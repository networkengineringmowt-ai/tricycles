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SP-DATA_Analysed\"/>
    </mc:Choice>
  </mc:AlternateContent>
  <xr:revisionPtr revIDLastSave="0" documentId="13_ncr:1_{3E235B8C-359E-452A-A89F-F085AA4AF40B}" xr6:coauthVersionLast="45" xr6:coauthVersionMax="45" xr10:uidLastSave="{00000000-0000-0000-0000-000000000000}"/>
  <bookViews>
    <workbookView xWindow="-120" yWindow="-120" windowWidth="20730" windowHeight="11160" activeTab="6" xr2:uid="{00000000-000D-0000-FFFF-FFFF00000000}"/>
  </bookViews>
  <sheets>
    <sheet name="Age" sheetId="6" r:id="rId1"/>
    <sheet name="Journey P" sheetId="7" r:id="rId2"/>
    <sheet name="Dist-Time" sheetId="8" r:id="rId3"/>
    <sheet name="Dist-Time Toll" sheetId="9" r:id="rId4"/>
    <sheet name="Income-Toll" sheetId="10" r:id="rId5"/>
    <sheet name="Veh-Toll" sheetId="11" r:id="rId6"/>
    <sheet name="KampalaSP" sheetId="3" r:id="rId7"/>
    <sheet name="RSI FORM" sheetId="4" state="hidden" r:id="rId8"/>
    <sheet name="Key" sheetId="5" r:id="rId9"/>
  </sheets>
  <externalReferences>
    <externalReference r:id="rId10"/>
    <externalReference r:id="rId11"/>
    <externalReference r:id="rId12"/>
  </externalReferences>
  <definedNames>
    <definedName name="_xlnm._FilterDatabase" localSheetId="6" hidden="1">KampalaSP!$A$2:$AT$75</definedName>
    <definedName name="Veh_Type">KampalaSP!$G$2:$G$75</definedName>
    <definedName name="zones">#REF!</definedName>
    <definedName name="Zones_Ndeke">#REF!</definedName>
  </definedNames>
  <calcPr calcId="191029"/>
  <pivotCaches>
    <pivotCache cacheId="286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M3" i="3" l="1"/>
  <c r="AM4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M19" i="3"/>
  <c r="AM20" i="3"/>
  <c r="AM21" i="3"/>
  <c r="AM22" i="3"/>
  <c r="AM23" i="3"/>
  <c r="AM24" i="3"/>
  <c r="AM25" i="3"/>
  <c r="AM26" i="3"/>
  <c r="AM27" i="3"/>
  <c r="AM28" i="3"/>
  <c r="AM29" i="3"/>
  <c r="AM30" i="3"/>
  <c r="AM31" i="3"/>
  <c r="AM32" i="3"/>
  <c r="AM33" i="3"/>
  <c r="AM34" i="3"/>
  <c r="AM35" i="3"/>
  <c r="AM36" i="3"/>
  <c r="AM37" i="3"/>
  <c r="AM38" i="3"/>
  <c r="AM39" i="3"/>
  <c r="AM40" i="3"/>
  <c r="AM41" i="3"/>
  <c r="AM42" i="3"/>
  <c r="AM43" i="3"/>
  <c r="AM44" i="3"/>
  <c r="AM45" i="3"/>
  <c r="AM46" i="3"/>
  <c r="AM47" i="3"/>
  <c r="AM48" i="3"/>
  <c r="AM49" i="3"/>
  <c r="AM50" i="3"/>
  <c r="AM51" i="3"/>
  <c r="AM52" i="3"/>
  <c r="AM53" i="3"/>
  <c r="AM54" i="3"/>
  <c r="AM55" i="3"/>
  <c r="AM56" i="3"/>
  <c r="AM57" i="3"/>
  <c r="AM58" i="3"/>
  <c r="AM59" i="3"/>
  <c r="AM60" i="3"/>
  <c r="AM61" i="3"/>
  <c r="AM62" i="3"/>
  <c r="AM63" i="3"/>
  <c r="AM64" i="3"/>
  <c r="AM65" i="3"/>
  <c r="AM66" i="3"/>
  <c r="AM67" i="3"/>
  <c r="AM68" i="3"/>
  <c r="AM69" i="3"/>
  <c r="AM70" i="3"/>
  <c r="AM71" i="3"/>
  <c r="AM72" i="3"/>
  <c r="AM73" i="3"/>
  <c r="AM74" i="3"/>
  <c r="AM75" i="3"/>
  <c r="AM76" i="3"/>
  <c r="AM77" i="3"/>
  <c r="AM78" i="3"/>
  <c r="AM79" i="3"/>
  <c r="AM80" i="3"/>
  <c r="AM81" i="3"/>
  <c r="AM82" i="3"/>
  <c r="AM83" i="3"/>
  <c r="AM84" i="3"/>
  <c r="AM85" i="3"/>
  <c r="AM86" i="3"/>
  <c r="AM87" i="3"/>
  <c r="AM88" i="3"/>
  <c r="AM89" i="3"/>
  <c r="AM90" i="3"/>
  <c r="AM91" i="3"/>
  <c r="AM92" i="3"/>
  <c r="AM93" i="3"/>
  <c r="AM94" i="3"/>
  <c r="AM95" i="3"/>
  <c r="AM96" i="3"/>
  <c r="AM97" i="3"/>
  <c r="AM98" i="3"/>
  <c r="AM99" i="3"/>
  <c r="AM100" i="3"/>
  <c r="AM101" i="3"/>
  <c r="AM102" i="3"/>
  <c r="AM103" i="3"/>
  <c r="AM104" i="3"/>
  <c r="AM105" i="3"/>
  <c r="AM106" i="3"/>
  <c r="AM107" i="3"/>
  <c r="AM108" i="3"/>
  <c r="AM109" i="3"/>
  <c r="AM110" i="3"/>
  <c r="AM111" i="3"/>
  <c r="AM112" i="3"/>
  <c r="AM113" i="3"/>
  <c r="AM114" i="3"/>
  <c r="AM115" i="3"/>
  <c r="AM116" i="3"/>
  <c r="AM117" i="3"/>
  <c r="AM118" i="3"/>
  <c r="AM119" i="3"/>
  <c r="AM120" i="3"/>
  <c r="AM121" i="3"/>
  <c r="AM122" i="3"/>
  <c r="AM123" i="3"/>
  <c r="AM124" i="3"/>
  <c r="AM125" i="3"/>
  <c r="AM126" i="3"/>
  <c r="AM127" i="3"/>
  <c r="AM128" i="3"/>
  <c r="AM129" i="3"/>
  <c r="AM130" i="3"/>
  <c r="AM131" i="3"/>
  <c r="AM132" i="3"/>
  <c r="AM133" i="3"/>
  <c r="AM134" i="3"/>
  <c r="AM135" i="3"/>
  <c r="AM136" i="3"/>
  <c r="AM137" i="3"/>
  <c r="AM138" i="3"/>
  <c r="AM139" i="3"/>
  <c r="AM140" i="3"/>
  <c r="AM141" i="3"/>
  <c r="AM142" i="3"/>
  <c r="AM143" i="3"/>
  <c r="AM144" i="3"/>
  <c r="AM145" i="3"/>
  <c r="AM146" i="3"/>
  <c r="AM147" i="3"/>
  <c r="AM148" i="3"/>
  <c r="AM149" i="3"/>
  <c r="AM150" i="3"/>
  <c r="AM151" i="3"/>
  <c r="AM152" i="3"/>
  <c r="AM153" i="3"/>
  <c r="AM154" i="3"/>
  <c r="AM155" i="3"/>
  <c r="AM156" i="3"/>
  <c r="AM157" i="3"/>
  <c r="AM158" i="3"/>
  <c r="AM159" i="3"/>
  <c r="AM160" i="3"/>
  <c r="AM161" i="3"/>
  <c r="AM162" i="3"/>
  <c r="AM163" i="3"/>
  <c r="AM164" i="3"/>
  <c r="AM165" i="3"/>
  <c r="AM166" i="3"/>
  <c r="AM167" i="3"/>
  <c r="AM168" i="3"/>
  <c r="AM169" i="3"/>
  <c r="AM170" i="3"/>
  <c r="AM171" i="3"/>
  <c r="AM172" i="3"/>
  <c r="AM173" i="3"/>
  <c r="AM174" i="3"/>
  <c r="AM175" i="3"/>
  <c r="AM176" i="3"/>
  <c r="AM177" i="3"/>
  <c r="AM178" i="3"/>
  <c r="AM179" i="3"/>
  <c r="AM180" i="3"/>
  <c r="AM181" i="3"/>
  <c r="AM182" i="3"/>
  <c r="AM183" i="3"/>
  <c r="AM184" i="3"/>
  <c r="AM185" i="3"/>
  <c r="AM186" i="3"/>
  <c r="AM187" i="3"/>
  <c r="AM188" i="3"/>
  <c r="AM189" i="3"/>
  <c r="AM190" i="3"/>
  <c r="AM191" i="3"/>
  <c r="AM192" i="3"/>
  <c r="AM193" i="3"/>
  <c r="AM194" i="3"/>
  <c r="AM195" i="3"/>
  <c r="AM196" i="3"/>
  <c r="AM197" i="3"/>
  <c r="AM198" i="3"/>
  <c r="AM199" i="3"/>
  <c r="AM200" i="3"/>
  <c r="AM201" i="3"/>
  <c r="AM202" i="3"/>
  <c r="AM203" i="3"/>
  <c r="AM204" i="3"/>
  <c r="AM205" i="3"/>
  <c r="AM206" i="3"/>
  <c r="AM207" i="3"/>
  <c r="AM208" i="3"/>
  <c r="AM209" i="3"/>
  <c r="AM210" i="3"/>
  <c r="AM211" i="3"/>
  <c r="AM212" i="3"/>
  <c r="AM213" i="3"/>
  <c r="AM214" i="3"/>
  <c r="AM215" i="3"/>
  <c r="AM216" i="3"/>
  <c r="AM217" i="3"/>
  <c r="AM218" i="3"/>
  <c r="AM219" i="3"/>
  <c r="AM220" i="3"/>
  <c r="AM221" i="3"/>
  <c r="AM222" i="3"/>
  <c r="AM223" i="3"/>
  <c r="AM224" i="3"/>
  <c r="AM225" i="3"/>
  <c r="AM226" i="3"/>
  <c r="AM227" i="3"/>
  <c r="AM228" i="3"/>
  <c r="AM229" i="3"/>
  <c r="AM230" i="3"/>
  <c r="AM231" i="3"/>
  <c r="AM232" i="3"/>
  <c r="AM233" i="3"/>
  <c r="AM234" i="3"/>
  <c r="AM235" i="3"/>
  <c r="AM236" i="3"/>
  <c r="AM237" i="3"/>
  <c r="AM238" i="3"/>
  <c r="AM239" i="3"/>
  <c r="AM240" i="3"/>
  <c r="AM241" i="3"/>
  <c r="AM242" i="3"/>
  <c r="AM243" i="3"/>
  <c r="AM244" i="3"/>
  <c r="AM245" i="3"/>
  <c r="AM246" i="3"/>
  <c r="AM247" i="3"/>
  <c r="AM248" i="3"/>
  <c r="AM249" i="3"/>
  <c r="AM250" i="3"/>
  <c r="AM251" i="3"/>
  <c r="AM252" i="3"/>
  <c r="AM253" i="3"/>
  <c r="AM254" i="3"/>
  <c r="AM255" i="3"/>
  <c r="AM256" i="3"/>
  <c r="AM257" i="3"/>
  <c r="AM258" i="3"/>
  <c r="AM259" i="3"/>
  <c r="AM260" i="3"/>
  <c r="AM261" i="3"/>
  <c r="AM262" i="3"/>
  <c r="AM263" i="3"/>
  <c r="AM264" i="3"/>
  <c r="AM265" i="3"/>
  <c r="AM266" i="3"/>
  <c r="AM267" i="3"/>
  <c r="AM268" i="3"/>
  <c r="AM269" i="3"/>
  <c r="AM270" i="3"/>
  <c r="AM271" i="3"/>
  <c r="AM272" i="3"/>
  <c r="AM273" i="3"/>
  <c r="AM274" i="3"/>
  <c r="AM275" i="3"/>
  <c r="AM276" i="3"/>
  <c r="AM277" i="3"/>
  <c r="AM278" i="3"/>
  <c r="AM279" i="3"/>
  <c r="AM280" i="3"/>
  <c r="AM281" i="3"/>
  <c r="AM282" i="3"/>
  <c r="AM283" i="3"/>
  <c r="AM284" i="3"/>
  <c r="AM285" i="3"/>
  <c r="AM286" i="3"/>
  <c r="AM287" i="3"/>
  <c r="AM288" i="3"/>
  <c r="AM289" i="3"/>
  <c r="AM290" i="3"/>
  <c r="AM291" i="3"/>
  <c r="AM292" i="3"/>
  <c r="AM293" i="3"/>
  <c r="AM294" i="3"/>
  <c r="AM295" i="3"/>
  <c r="AM296" i="3"/>
  <c r="AM297" i="3"/>
  <c r="AM298" i="3"/>
  <c r="AM299" i="3"/>
  <c r="AM300" i="3"/>
  <c r="AM301" i="3"/>
  <c r="AM302" i="3"/>
  <c r="AM303" i="3"/>
  <c r="AM304" i="3"/>
  <c r="AM305" i="3"/>
  <c r="AM306" i="3"/>
  <c r="AM307" i="3"/>
  <c r="AM308" i="3"/>
  <c r="AM309" i="3"/>
  <c r="AM310" i="3"/>
  <c r="AM311" i="3"/>
  <c r="AM312" i="3"/>
  <c r="AM313" i="3"/>
  <c r="AM314" i="3"/>
  <c r="AM315" i="3"/>
  <c r="AM316" i="3"/>
  <c r="AM317" i="3"/>
  <c r="AM318" i="3"/>
  <c r="AM319" i="3"/>
  <c r="AM320" i="3"/>
  <c r="AM321" i="3"/>
  <c r="AM322" i="3"/>
  <c r="AM323" i="3"/>
  <c r="AM324" i="3"/>
  <c r="AM325" i="3"/>
  <c r="AM326" i="3"/>
  <c r="AM327" i="3"/>
  <c r="AM328" i="3"/>
  <c r="AM329" i="3"/>
  <c r="AM330" i="3"/>
  <c r="AM331" i="3"/>
  <c r="AM332" i="3"/>
  <c r="AM333" i="3"/>
  <c r="AM334" i="3"/>
  <c r="AM335" i="3"/>
  <c r="AM336" i="3"/>
  <c r="AM337" i="3"/>
  <c r="AM338" i="3"/>
  <c r="AM339" i="3"/>
  <c r="AM340" i="3"/>
  <c r="AM341" i="3"/>
  <c r="AM342" i="3"/>
  <c r="AM343" i="3"/>
  <c r="AM344" i="3"/>
  <c r="AM345" i="3"/>
  <c r="AM346" i="3"/>
  <c r="AM347" i="3"/>
  <c r="AM348" i="3"/>
  <c r="AM349" i="3"/>
  <c r="AM350" i="3"/>
  <c r="AM351" i="3"/>
  <c r="AM352" i="3"/>
  <c r="AM353" i="3"/>
  <c r="AM354" i="3"/>
  <c r="AM355" i="3"/>
  <c r="AM356" i="3"/>
  <c r="AM357" i="3"/>
  <c r="AM358" i="3"/>
  <c r="AM359" i="3"/>
  <c r="AM360" i="3"/>
  <c r="AM361" i="3"/>
  <c r="AM362" i="3"/>
  <c r="AM363" i="3"/>
  <c r="AM364" i="3"/>
  <c r="AM365" i="3"/>
  <c r="AM366" i="3"/>
  <c r="AM367" i="3"/>
  <c r="AM368" i="3"/>
  <c r="AM369" i="3"/>
  <c r="AM370" i="3"/>
  <c r="AM371" i="3"/>
  <c r="AM372" i="3"/>
  <c r="AM373" i="3"/>
  <c r="AM374" i="3"/>
  <c r="AM375" i="3"/>
  <c r="AM376" i="3"/>
  <c r="AM377" i="3"/>
  <c r="AM378" i="3"/>
  <c r="AM379" i="3"/>
  <c r="AM380" i="3"/>
  <c r="AM381" i="3"/>
  <c r="AM382" i="3"/>
  <c r="AM383" i="3"/>
  <c r="AM384" i="3"/>
  <c r="AM385" i="3"/>
  <c r="AM386" i="3"/>
  <c r="AM387" i="3"/>
  <c r="AM388" i="3"/>
  <c r="AM389" i="3"/>
  <c r="AM390" i="3"/>
  <c r="AM391" i="3"/>
  <c r="AM392" i="3"/>
  <c r="AM393" i="3"/>
  <c r="AM394" i="3"/>
  <c r="AM395" i="3"/>
  <c r="AM396" i="3"/>
  <c r="AM397" i="3"/>
  <c r="AM398" i="3"/>
  <c r="AM399" i="3"/>
  <c r="AM400" i="3"/>
  <c r="AM401" i="3"/>
  <c r="AM402" i="3"/>
  <c r="AM403" i="3"/>
  <c r="AM404" i="3"/>
  <c r="AM405" i="3"/>
  <c r="AM406" i="3"/>
  <c r="AM407" i="3"/>
  <c r="AM408" i="3"/>
  <c r="AM409" i="3"/>
  <c r="AM410" i="3"/>
  <c r="AM411" i="3"/>
  <c r="AM412" i="3"/>
  <c r="AM413" i="3"/>
  <c r="AM414" i="3"/>
  <c r="AM415" i="3"/>
  <c r="AM416" i="3"/>
  <c r="AM417" i="3"/>
  <c r="AM418" i="3"/>
  <c r="AM419" i="3"/>
  <c r="AM420" i="3"/>
  <c r="AM421" i="3"/>
  <c r="AM422" i="3"/>
  <c r="AM423" i="3"/>
  <c r="AM424" i="3"/>
  <c r="AM425" i="3"/>
  <c r="AM426" i="3"/>
  <c r="AM427" i="3"/>
  <c r="AM428" i="3"/>
  <c r="AM429" i="3"/>
  <c r="AM430" i="3"/>
  <c r="AM431" i="3"/>
  <c r="AM432" i="3"/>
  <c r="AM433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AM2" i="3"/>
  <c r="AA2" i="3"/>
  <c r="Y2" i="3"/>
  <c r="R15" i="11"/>
  <c r="Z14" i="11" s="1"/>
  <c r="W14" i="11"/>
  <c r="V14" i="11"/>
  <c r="U14" i="11"/>
  <c r="Z13" i="11"/>
  <c r="Y13" i="11"/>
  <c r="W13" i="11"/>
  <c r="V13" i="11"/>
  <c r="U13" i="11"/>
  <c r="Z12" i="11"/>
  <c r="Y12" i="11"/>
  <c r="X12" i="11"/>
  <c r="W12" i="11"/>
  <c r="V12" i="11"/>
  <c r="U12" i="11"/>
  <c r="Z11" i="11"/>
  <c r="Y11" i="11"/>
  <c r="X11" i="11"/>
  <c r="W11" i="11"/>
  <c r="V11" i="11"/>
  <c r="U11" i="11"/>
  <c r="Z10" i="11"/>
  <c r="Y10" i="11"/>
  <c r="X10" i="11"/>
  <c r="W10" i="11"/>
  <c r="V10" i="11"/>
  <c r="U10" i="11"/>
  <c r="Z9" i="11"/>
  <c r="Y9" i="11"/>
  <c r="X9" i="11"/>
  <c r="W9" i="11"/>
  <c r="V9" i="11"/>
  <c r="U9" i="11"/>
  <c r="Z8" i="11"/>
  <c r="Y8" i="11"/>
  <c r="X8" i="11"/>
  <c r="W8" i="11"/>
  <c r="V8" i="11"/>
  <c r="U8" i="11"/>
  <c r="Z7" i="11"/>
  <c r="Y7" i="11"/>
  <c r="X7" i="11"/>
  <c r="W7" i="11"/>
  <c r="V7" i="11"/>
  <c r="U7" i="11"/>
  <c r="Z6" i="11"/>
  <c r="Y6" i="11"/>
  <c r="X6" i="11"/>
  <c r="W6" i="11"/>
  <c r="V6" i="11"/>
  <c r="U6" i="11"/>
  <c r="Z5" i="11"/>
  <c r="Y5" i="11"/>
  <c r="X5" i="11"/>
  <c r="W5" i="11"/>
  <c r="V5" i="11"/>
  <c r="U5" i="11"/>
  <c r="R12" i="10"/>
  <c r="V9" i="10" s="1"/>
  <c r="Y9" i="10"/>
  <c r="X9" i="10"/>
  <c r="W9" i="10"/>
  <c r="X8" i="10"/>
  <c r="W8" i="10"/>
  <c r="V8" i="10"/>
  <c r="U8" i="10"/>
  <c r="V7" i="10"/>
  <c r="U7" i="10"/>
  <c r="Z6" i="10"/>
  <c r="Y6" i="10"/>
  <c r="Z5" i="10"/>
  <c r="Y5" i="10"/>
  <c r="X5" i="10"/>
  <c r="W5" i="10"/>
  <c r="R13" i="9"/>
  <c r="AA11" i="9" s="1"/>
  <c r="Q13" i="9"/>
  <c r="P13" i="9"/>
  <c r="O13" i="9"/>
  <c r="N13" i="9"/>
  <c r="M13" i="9"/>
  <c r="L13" i="9"/>
  <c r="Z11" i="9"/>
  <c r="Y11" i="9"/>
  <c r="X11" i="9"/>
  <c r="W11" i="9"/>
  <c r="V11" i="9"/>
  <c r="AA10" i="9"/>
  <c r="Z10" i="9"/>
  <c r="X10" i="9"/>
  <c r="W10" i="9"/>
  <c r="V10" i="9"/>
  <c r="AA9" i="9"/>
  <c r="Z9" i="9"/>
  <c r="Y9" i="9"/>
  <c r="X9" i="9"/>
  <c r="W9" i="9"/>
  <c r="V9" i="9"/>
  <c r="AA8" i="9"/>
  <c r="Z8" i="9"/>
  <c r="Y8" i="9"/>
  <c r="X8" i="9"/>
  <c r="W8" i="9"/>
  <c r="V8" i="9"/>
  <c r="AA7" i="9"/>
  <c r="Z7" i="9"/>
  <c r="Y7" i="9"/>
  <c r="X7" i="9"/>
  <c r="W7" i="9"/>
  <c r="V7" i="9"/>
  <c r="AA6" i="9"/>
  <c r="Z6" i="9"/>
  <c r="Y6" i="9"/>
  <c r="X6" i="9"/>
  <c r="W6" i="9"/>
  <c r="V6" i="9"/>
  <c r="AA5" i="9"/>
  <c r="Z5" i="9"/>
  <c r="Y5" i="9"/>
  <c r="X5" i="9"/>
  <c r="W5" i="9"/>
  <c r="V5" i="9"/>
  <c r="G27" i="8"/>
  <c r="H22" i="8" s="1"/>
  <c r="H26" i="8"/>
  <c r="H25" i="8"/>
  <c r="H24" i="8"/>
  <c r="H23" i="8"/>
  <c r="G12" i="8"/>
  <c r="H10" i="8" s="1"/>
  <c r="H9" i="8"/>
  <c r="H8" i="8"/>
  <c r="H7" i="8"/>
  <c r="H6" i="8"/>
  <c r="H5" i="8"/>
  <c r="H4" i="8"/>
  <c r="O12" i="7"/>
  <c r="N12" i="7"/>
  <c r="M12" i="7"/>
  <c r="O11" i="7"/>
  <c r="N11" i="7"/>
  <c r="M11" i="7"/>
  <c r="N10" i="7"/>
  <c r="M10" i="7"/>
  <c r="N9" i="7"/>
  <c r="M9" i="7"/>
  <c r="N8" i="7"/>
  <c r="O8" i="7" s="1"/>
  <c r="M8" i="7"/>
  <c r="N7" i="7"/>
  <c r="M7" i="7"/>
  <c r="N6" i="7"/>
  <c r="M6" i="7"/>
  <c r="O5" i="7"/>
  <c r="N5" i="7"/>
  <c r="M5" i="7"/>
  <c r="P11" i="6"/>
  <c r="O10" i="6"/>
  <c r="N10" i="6"/>
  <c r="O9" i="6"/>
  <c r="N9" i="6"/>
  <c r="O8" i="6"/>
  <c r="N8" i="6"/>
  <c r="O7" i="6"/>
  <c r="N7" i="6"/>
  <c r="O6" i="6"/>
  <c r="N6" i="6"/>
  <c r="O5" i="6"/>
  <c r="N5" i="6"/>
  <c r="AE433" i="3"/>
  <c r="AC433" i="3"/>
  <c r="U433" i="3"/>
  <c r="P433" i="3"/>
  <c r="K433" i="3"/>
  <c r="H433" i="3"/>
  <c r="F433" i="3"/>
  <c r="AE432" i="3"/>
  <c r="AC432" i="3"/>
  <c r="U432" i="3"/>
  <c r="P432" i="3"/>
  <c r="K432" i="3"/>
  <c r="H432" i="3"/>
  <c r="F432" i="3"/>
  <c r="AE431" i="3"/>
  <c r="AC431" i="3"/>
  <c r="U431" i="3"/>
  <c r="P431" i="3"/>
  <c r="K431" i="3"/>
  <c r="H431" i="3"/>
  <c r="F431" i="3"/>
  <c r="AE430" i="3"/>
  <c r="AC430" i="3"/>
  <c r="U430" i="3"/>
  <c r="P430" i="3"/>
  <c r="V430" i="3" s="1"/>
  <c r="K430" i="3"/>
  <c r="H430" i="3"/>
  <c r="F430" i="3"/>
  <c r="AE429" i="3"/>
  <c r="AC429" i="3"/>
  <c r="U429" i="3"/>
  <c r="P429" i="3"/>
  <c r="K429" i="3"/>
  <c r="H429" i="3"/>
  <c r="F429" i="3"/>
  <c r="AE428" i="3"/>
  <c r="AC428" i="3"/>
  <c r="U428" i="3"/>
  <c r="P428" i="3"/>
  <c r="K428" i="3"/>
  <c r="H428" i="3"/>
  <c r="F428" i="3"/>
  <c r="AE427" i="3"/>
  <c r="AC427" i="3"/>
  <c r="U427" i="3"/>
  <c r="P427" i="3"/>
  <c r="K427" i="3"/>
  <c r="H427" i="3"/>
  <c r="F427" i="3"/>
  <c r="AE426" i="3"/>
  <c r="AC426" i="3"/>
  <c r="U426" i="3"/>
  <c r="P426" i="3"/>
  <c r="K426" i="3"/>
  <c r="H426" i="3"/>
  <c r="F426" i="3"/>
  <c r="AE425" i="3"/>
  <c r="AC425" i="3"/>
  <c r="U425" i="3"/>
  <c r="P425" i="3"/>
  <c r="K425" i="3"/>
  <c r="H425" i="3"/>
  <c r="F425" i="3"/>
  <c r="AE424" i="3"/>
  <c r="AC424" i="3"/>
  <c r="U424" i="3"/>
  <c r="P424" i="3"/>
  <c r="K424" i="3"/>
  <c r="H424" i="3"/>
  <c r="F424" i="3"/>
  <c r="AE423" i="3"/>
  <c r="AC423" i="3"/>
  <c r="U423" i="3"/>
  <c r="P423" i="3"/>
  <c r="K423" i="3"/>
  <c r="H423" i="3"/>
  <c r="F423" i="3"/>
  <c r="AE422" i="3"/>
  <c r="AC422" i="3"/>
  <c r="U422" i="3"/>
  <c r="P422" i="3"/>
  <c r="V422" i="3" s="1"/>
  <c r="K422" i="3"/>
  <c r="H422" i="3"/>
  <c r="F422" i="3"/>
  <c r="AE421" i="3"/>
  <c r="AC421" i="3"/>
  <c r="U421" i="3"/>
  <c r="P421" i="3"/>
  <c r="K421" i="3"/>
  <c r="H421" i="3"/>
  <c r="F421" i="3"/>
  <c r="AE420" i="3"/>
  <c r="U420" i="3"/>
  <c r="P420" i="3"/>
  <c r="V420" i="3" s="1"/>
  <c r="K420" i="3"/>
  <c r="H420" i="3"/>
  <c r="F420" i="3"/>
  <c r="AE419" i="3"/>
  <c r="AC419" i="3"/>
  <c r="U419" i="3"/>
  <c r="P419" i="3"/>
  <c r="K419" i="3"/>
  <c r="H419" i="3"/>
  <c r="F419" i="3"/>
  <c r="AE418" i="3"/>
  <c r="AC418" i="3"/>
  <c r="U418" i="3"/>
  <c r="P418" i="3"/>
  <c r="K418" i="3"/>
  <c r="H418" i="3"/>
  <c r="F418" i="3"/>
  <c r="AE417" i="3"/>
  <c r="AC417" i="3"/>
  <c r="U417" i="3"/>
  <c r="P417" i="3"/>
  <c r="K417" i="3"/>
  <c r="H417" i="3"/>
  <c r="F417" i="3"/>
  <c r="AE416" i="3"/>
  <c r="AC416" i="3"/>
  <c r="U416" i="3"/>
  <c r="P416" i="3"/>
  <c r="K416" i="3"/>
  <c r="H416" i="3"/>
  <c r="F416" i="3"/>
  <c r="AE415" i="3"/>
  <c r="AC415" i="3"/>
  <c r="U415" i="3"/>
  <c r="P415" i="3"/>
  <c r="V415" i="3" s="1"/>
  <c r="K415" i="3"/>
  <c r="H415" i="3"/>
  <c r="F415" i="3"/>
  <c r="AE414" i="3"/>
  <c r="AC414" i="3"/>
  <c r="U414" i="3"/>
  <c r="P414" i="3"/>
  <c r="K414" i="3"/>
  <c r="H414" i="3"/>
  <c r="F414" i="3"/>
  <c r="AE413" i="3"/>
  <c r="AC413" i="3"/>
  <c r="U413" i="3"/>
  <c r="P413" i="3"/>
  <c r="K413" i="3"/>
  <c r="H413" i="3"/>
  <c r="F413" i="3"/>
  <c r="AE412" i="3"/>
  <c r="AC412" i="3"/>
  <c r="U412" i="3"/>
  <c r="P412" i="3"/>
  <c r="V412" i="3" s="1"/>
  <c r="K412" i="3"/>
  <c r="H412" i="3"/>
  <c r="F412" i="3"/>
  <c r="AE411" i="3"/>
  <c r="AC411" i="3"/>
  <c r="U411" i="3"/>
  <c r="P411" i="3"/>
  <c r="K411" i="3"/>
  <c r="H411" i="3"/>
  <c r="F411" i="3"/>
  <c r="AE410" i="3"/>
  <c r="AC410" i="3"/>
  <c r="U410" i="3"/>
  <c r="P410" i="3"/>
  <c r="K410" i="3"/>
  <c r="H410" i="3"/>
  <c r="F410" i="3"/>
  <c r="AE409" i="3"/>
  <c r="AC409" i="3"/>
  <c r="U409" i="3"/>
  <c r="P409" i="3"/>
  <c r="K409" i="3"/>
  <c r="H409" i="3"/>
  <c r="F409" i="3"/>
  <c r="AE408" i="3"/>
  <c r="AC408" i="3"/>
  <c r="U408" i="3"/>
  <c r="P408" i="3"/>
  <c r="K408" i="3"/>
  <c r="H408" i="3"/>
  <c r="F408" i="3"/>
  <c r="AE407" i="3"/>
  <c r="AC407" i="3"/>
  <c r="U407" i="3"/>
  <c r="P407" i="3"/>
  <c r="V407" i="3" s="1"/>
  <c r="K407" i="3"/>
  <c r="H407" i="3"/>
  <c r="F407" i="3"/>
  <c r="AE406" i="3"/>
  <c r="AC406" i="3"/>
  <c r="U406" i="3"/>
  <c r="P406" i="3"/>
  <c r="K406" i="3"/>
  <c r="H406" i="3"/>
  <c r="F406" i="3"/>
  <c r="AE405" i="3"/>
  <c r="AC405" i="3"/>
  <c r="U405" i="3"/>
  <c r="P405" i="3"/>
  <c r="K405" i="3"/>
  <c r="H405" i="3"/>
  <c r="F405" i="3"/>
  <c r="AE404" i="3"/>
  <c r="AC404" i="3"/>
  <c r="U404" i="3"/>
  <c r="P404" i="3"/>
  <c r="V404" i="3" s="1"/>
  <c r="K404" i="3"/>
  <c r="H404" i="3"/>
  <c r="F404" i="3"/>
  <c r="AE403" i="3"/>
  <c r="AC403" i="3"/>
  <c r="U403" i="3"/>
  <c r="P403" i="3"/>
  <c r="K403" i="3"/>
  <c r="H403" i="3"/>
  <c r="F403" i="3"/>
  <c r="AE402" i="3"/>
  <c r="AC402" i="3"/>
  <c r="U402" i="3"/>
  <c r="P402" i="3"/>
  <c r="K402" i="3"/>
  <c r="H402" i="3"/>
  <c r="F402" i="3"/>
  <c r="AE401" i="3"/>
  <c r="AC401" i="3"/>
  <c r="U401" i="3"/>
  <c r="V401" i="3" s="1"/>
  <c r="K401" i="3"/>
  <c r="H401" i="3"/>
  <c r="F401" i="3"/>
  <c r="AE400" i="3"/>
  <c r="AC400" i="3"/>
  <c r="U400" i="3"/>
  <c r="P400" i="3"/>
  <c r="K400" i="3"/>
  <c r="H400" i="3"/>
  <c r="F400" i="3"/>
  <c r="AE399" i="3"/>
  <c r="AC399" i="3"/>
  <c r="U399" i="3"/>
  <c r="P399" i="3"/>
  <c r="K399" i="3"/>
  <c r="H399" i="3"/>
  <c r="F399" i="3"/>
  <c r="AE398" i="3"/>
  <c r="AC398" i="3"/>
  <c r="U398" i="3"/>
  <c r="P398" i="3"/>
  <c r="K398" i="3"/>
  <c r="H398" i="3"/>
  <c r="F398" i="3"/>
  <c r="AE397" i="3"/>
  <c r="AC397" i="3"/>
  <c r="U397" i="3"/>
  <c r="P397" i="3"/>
  <c r="K397" i="3"/>
  <c r="H397" i="3"/>
  <c r="F397" i="3"/>
  <c r="AE396" i="3"/>
  <c r="AC396" i="3"/>
  <c r="U396" i="3"/>
  <c r="P396" i="3"/>
  <c r="K396" i="3"/>
  <c r="H396" i="3"/>
  <c r="F396" i="3"/>
  <c r="AE395" i="3"/>
  <c r="AC395" i="3"/>
  <c r="U395" i="3"/>
  <c r="P395" i="3"/>
  <c r="K395" i="3"/>
  <c r="H395" i="3"/>
  <c r="F395" i="3"/>
  <c r="AE394" i="3"/>
  <c r="AC394" i="3"/>
  <c r="U394" i="3"/>
  <c r="P394" i="3"/>
  <c r="K394" i="3"/>
  <c r="H394" i="3"/>
  <c r="F394" i="3"/>
  <c r="AE393" i="3"/>
  <c r="AC393" i="3"/>
  <c r="U393" i="3"/>
  <c r="P393" i="3"/>
  <c r="K393" i="3"/>
  <c r="H393" i="3"/>
  <c r="F393" i="3"/>
  <c r="AE392" i="3"/>
  <c r="AC392" i="3"/>
  <c r="U392" i="3"/>
  <c r="P392" i="3"/>
  <c r="H392" i="3"/>
  <c r="F392" i="3"/>
  <c r="AE391" i="3"/>
  <c r="AC391" i="3"/>
  <c r="U391" i="3"/>
  <c r="V391" i="3" s="1"/>
  <c r="P391" i="3"/>
  <c r="K391" i="3"/>
  <c r="H391" i="3"/>
  <c r="F391" i="3"/>
  <c r="AE390" i="3"/>
  <c r="AC390" i="3"/>
  <c r="U390" i="3"/>
  <c r="P390" i="3"/>
  <c r="K390" i="3"/>
  <c r="H390" i="3"/>
  <c r="F390" i="3"/>
  <c r="AE389" i="3"/>
  <c r="AC389" i="3"/>
  <c r="U389" i="3"/>
  <c r="P389" i="3"/>
  <c r="K389" i="3"/>
  <c r="H389" i="3"/>
  <c r="F389" i="3"/>
  <c r="AE388" i="3"/>
  <c r="AC388" i="3"/>
  <c r="U388" i="3"/>
  <c r="P388" i="3"/>
  <c r="K388" i="3"/>
  <c r="H388" i="3"/>
  <c r="F388" i="3"/>
  <c r="AE387" i="3"/>
  <c r="AC387" i="3"/>
  <c r="U387" i="3"/>
  <c r="P387" i="3"/>
  <c r="K387" i="3"/>
  <c r="H387" i="3"/>
  <c r="F387" i="3"/>
  <c r="AE386" i="3"/>
  <c r="AC386" i="3"/>
  <c r="U386" i="3"/>
  <c r="V386" i="3" s="1"/>
  <c r="P386" i="3"/>
  <c r="K386" i="3"/>
  <c r="H386" i="3"/>
  <c r="F386" i="3"/>
  <c r="AE385" i="3"/>
  <c r="U385" i="3"/>
  <c r="P385" i="3"/>
  <c r="K385" i="3"/>
  <c r="H385" i="3"/>
  <c r="F385" i="3"/>
  <c r="AE384" i="3"/>
  <c r="AC384" i="3"/>
  <c r="U384" i="3"/>
  <c r="P384" i="3"/>
  <c r="K384" i="3"/>
  <c r="H384" i="3"/>
  <c r="F384" i="3"/>
  <c r="AE383" i="3"/>
  <c r="AC383" i="3"/>
  <c r="U383" i="3"/>
  <c r="P383" i="3"/>
  <c r="K383" i="3"/>
  <c r="H383" i="3"/>
  <c r="F383" i="3"/>
  <c r="AE382" i="3"/>
  <c r="AC382" i="3"/>
  <c r="U382" i="3"/>
  <c r="P382" i="3"/>
  <c r="K382" i="3"/>
  <c r="H382" i="3"/>
  <c r="F382" i="3"/>
  <c r="AE381" i="3"/>
  <c r="AC381" i="3"/>
  <c r="U381" i="3"/>
  <c r="P381" i="3"/>
  <c r="K381" i="3"/>
  <c r="H381" i="3"/>
  <c r="F381" i="3"/>
  <c r="AE380" i="3"/>
  <c r="AC380" i="3"/>
  <c r="U380" i="3"/>
  <c r="P380" i="3"/>
  <c r="K380" i="3"/>
  <c r="H380" i="3"/>
  <c r="F380" i="3"/>
  <c r="AE379" i="3"/>
  <c r="AC379" i="3"/>
  <c r="U379" i="3"/>
  <c r="P379" i="3"/>
  <c r="K379" i="3"/>
  <c r="H379" i="3"/>
  <c r="F379" i="3"/>
  <c r="AE378" i="3"/>
  <c r="AC378" i="3"/>
  <c r="U378" i="3"/>
  <c r="P378" i="3"/>
  <c r="K378" i="3"/>
  <c r="H378" i="3"/>
  <c r="F378" i="3"/>
  <c r="AE377" i="3"/>
  <c r="AC377" i="3"/>
  <c r="U377" i="3"/>
  <c r="P377" i="3"/>
  <c r="K377" i="3"/>
  <c r="H377" i="3"/>
  <c r="F377" i="3"/>
  <c r="AE376" i="3"/>
  <c r="AC376" i="3"/>
  <c r="U376" i="3"/>
  <c r="P376" i="3"/>
  <c r="K376" i="3"/>
  <c r="H376" i="3"/>
  <c r="F376" i="3"/>
  <c r="AE375" i="3"/>
  <c r="AC375" i="3"/>
  <c r="U375" i="3"/>
  <c r="P375" i="3"/>
  <c r="F375" i="3"/>
  <c r="AE374" i="3"/>
  <c r="AC374" i="3"/>
  <c r="U374" i="3"/>
  <c r="P374" i="3"/>
  <c r="K374" i="3"/>
  <c r="H374" i="3"/>
  <c r="F374" i="3"/>
  <c r="AE373" i="3"/>
  <c r="AC373" i="3"/>
  <c r="U373" i="3"/>
  <c r="P373" i="3"/>
  <c r="K373" i="3"/>
  <c r="H373" i="3"/>
  <c r="F373" i="3"/>
  <c r="AE372" i="3"/>
  <c r="AC372" i="3"/>
  <c r="U372" i="3"/>
  <c r="P372" i="3"/>
  <c r="K372" i="3"/>
  <c r="H372" i="3"/>
  <c r="F372" i="3"/>
  <c r="AE371" i="3"/>
  <c r="AC371" i="3"/>
  <c r="U371" i="3"/>
  <c r="P371" i="3"/>
  <c r="K371" i="3"/>
  <c r="H371" i="3"/>
  <c r="F371" i="3"/>
  <c r="AE370" i="3"/>
  <c r="AC370" i="3"/>
  <c r="U370" i="3"/>
  <c r="P370" i="3"/>
  <c r="K370" i="3"/>
  <c r="H370" i="3"/>
  <c r="F370" i="3"/>
  <c r="AE369" i="3"/>
  <c r="AC369" i="3"/>
  <c r="U369" i="3"/>
  <c r="P369" i="3"/>
  <c r="K369" i="3"/>
  <c r="H369" i="3"/>
  <c r="F369" i="3"/>
  <c r="AE368" i="3"/>
  <c r="AC368" i="3"/>
  <c r="U368" i="3"/>
  <c r="P368" i="3"/>
  <c r="K368" i="3"/>
  <c r="H368" i="3"/>
  <c r="F368" i="3"/>
  <c r="AE367" i="3"/>
  <c r="AC367" i="3"/>
  <c r="U367" i="3"/>
  <c r="P367" i="3"/>
  <c r="K367" i="3"/>
  <c r="H367" i="3"/>
  <c r="F367" i="3"/>
  <c r="AE366" i="3"/>
  <c r="AC366" i="3"/>
  <c r="U366" i="3"/>
  <c r="P366" i="3"/>
  <c r="K366" i="3"/>
  <c r="H366" i="3"/>
  <c r="F366" i="3"/>
  <c r="AE365" i="3"/>
  <c r="AC365" i="3"/>
  <c r="U365" i="3"/>
  <c r="P365" i="3"/>
  <c r="K365" i="3"/>
  <c r="H365" i="3"/>
  <c r="F365" i="3"/>
  <c r="AE364" i="3"/>
  <c r="AC364" i="3"/>
  <c r="U364" i="3"/>
  <c r="P364" i="3"/>
  <c r="K364" i="3"/>
  <c r="H364" i="3"/>
  <c r="F364" i="3"/>
  <c r="AE363" i="3"/>
  <c r="AC363" i="3"/>
  <c r="U363" i="3"/>
  <c r="P363" i="3"/>
  <c r="K363" i="3"/>
  <c r="H363" i="3"/>
  <c r="F363" i="3"/>
  <c r="AE362" i="3"/>
  <c r="AC362" i="3"/>
  <c r="U362" i="3"/>
  <c r="P362" i="3"/>
  <c r="K362" i="3"/>
  <c r="H362" i="3"/>
  <c r="F362" i="3"/>
  <c r="AE361" i="3"/>
  <c r="AC361" i="3"/>
  <c r="U361" i="3"/>
  <c r="P361" i="3"/>
  <c r="K361" i="3"/>
  <c r="H361" i="3"/>
  <c r="F361" i="3"/>
  <c r="AC360" i="3"/>
  <c r="U360" i="3"/>
  <c r="P360" i="3"/>
  <c r="K360" i="3"/>
  <c r="H360" i="3"/>
  <c r="F360" i="3"/>
  <c r="AE359" i="3"/>
  <c r="AC359" i="3"/>
  <c r="U359" i="3"/>
  <c r="P359" i="3"/>
  <c r="K359" i="3"/>
  <c r="H359" i="3"/>
  <c r="F359" i="3"/>
  <c r="AE358" i="3"/>
  <c r="AC358" i="3"/>
  <c r="U358" i="3"/>
  <c r="P358" i="3"/>
  <c r="K358" i="3"/>
  <c r="H358" i="3"/>
  <c r="F358" i="3"/>
  <c r="AE357" i="3"/>
  <c r="AC357" i="3"/>
  <c r="U357" i="3"/>
  <c r="V357" i="3" s="1"/>
  <c r="H357" i="3"/>
  <c r="F357" i="3"/>
  <c r="AE356" i="3"/>
  <c r="AC356" i="3"/>
  <c r="U356" i="3"/>
  <c r="P356" i="3"/>
  <c r="K356" i="3"/>
  <c r="H356" i="3"/>
  <c r="F356" i="3"/>
  <c r="AE355" i="3"/>
  <c r="AC355" i="3"/>
  <c r="U355" i="3"/>
  <c r="P355" i="3"/>
  <c r="K355" i="3"/>
  <c r="H355" i="3"/>
  <c r="F355" i="3"/>
  <c r="AE354" i="3"/>
  <c r="AC354" i="3"/>
  <c r="U354" i="3"/>
  <c r="P354" i="3"/>
  <c r="K354" i="3"/>
  <c r="H354" i="3"/>
  <c r="F354" i="3"/>
  <c r="AE353" i="3"/>
  <c r="AC353" i="3"/>
  <c r="U353" i="3"/>
  <c r="P353" i="3"/>
  <c r="K353" i="3"/>
  <c r="H353" i="3"/>
  <c r="AE352" i="3"/>
  <c r="AC352" i="3"/>
  <c r="U352" i="3"/>
  <c r="P352" i="3"/>
  <c r="K352" i="3"/>
  <c r="H352" i="3"/>
  <c r="F352" i="3"/>
  <c r="AE351" i="3"/>
  <c r="AC351" i="3"/>
  <c r="U351" i="3"/>
  <c r="P351" i="3"/>
  <c r="K351" i="3"/>
  <c r="H351" i="3"/>
  <c r="F351" i="3"/>
  <c r="AE350" i="3"/>
  <c r="AC350" i="3"/>
  <c r="U350" i="3"/>
  <c r="P350" i="3"/>
  <c r="K350" i="3"/>
  <c r="H350" i="3"/>
  <c r="F350" i="3"/>
  <c r="AE349" i="3"/>
  <c r="AC349" i="3"/>
  <c r="U349" i="3"/>
  <c r="P349" i="3"/>
  <c r="K349" i="3"/>
  <c r="H349" i="3"/>
  <c r="F349" i="3"/>
  <c r="AE348" i="3"/>
  <c r="AC348" i="3"/>
  <c r="U348" i="3"/>
  <c r="P348" i="3"/>
  <c r="K348" i="3"/>
  <c r="H348" i="3"/>
  <c r="F348" i="3"/>
  <c r="AE347" i="3"/>
  <c r="AC347" i="3"/>
  <c r="U347" i="3"/>
  <c r="P347" i="3"/>
  <c r="K347" i="3"/>
  <c r="H347" i="3"/>
  <c r="F347" i="3"/>
  <c r="AE346" i="3"/>
  <c r="AC346" i="3"/>
  <c r="U346" i="3"/>
  <c r="P346" i="3"/>
  <c r="K346" i="3"/>
  <c r="H346" i="3"/>
  <c r="F346" i="3"/>
  <c r="AE345" i="3"/>
  <c r="AC345" i="3"/>
  <c r="U345" i="3"/>
  <c r="P345" i="3"/>
  <c r="K345" i="3"/>
  <c r="H345" i="3"/>
  <c r="F345" i="3"/>
  <c r="AE344" i="3"/>
  <c r="AC344" i="3"/>
  <c r="U344" i="3"/>
  <c r="P344" i="3"/>
  <c r="K344" i="3"/>
  <c r="H344" i="3"/>
  <c r="F344" i="3"/>
  <c r="AE343" i="3"/>
  <c r="AC343" i="3"/>
  <c r="U343" i="3"/>
  <c r="P343" i="3"/>
  <c r="K343" i="3"/>
  <c r="H343" i="3"/>
  <c r="F343" i="3"/>
  <c r="AE342" i="3"/>
  <c r="AC342" i="3"/>
  <c r="U342" i="3"/>
  <c r="P342" i="3"/>
  <c r="K342" i="3"/>
  <c r="H342" i="3"/>
  <c r="F342" i="3"/>
  <c r="AE341" i="3"/>
  <c r="AC341" i="3"/>
  <c r="U341" i="3"/>
  <c r="P341" i="3"/>
  <c r="K341" i="3"/>
  <c r="H341" i="3"/>
  <c r="F341" i="3"/>
  <c r="AE340" i="3"/>
  <c r="AC340" i="3"/>
  <c r="U340" i="3"/>
  <c r="P340" i="3"/>
  <c r="K340" i="3"/>
  <c r="H340" i="3"/>
  <c r="F340" i="3"/>
  <c r="AE339" i="3"/>
  <c r="AC339" i="3"/>
  <c r="U339" i="3"/>
  <c r="P339" i="3"/>
  <c r="K339" i="3"/>
  <c r="H339" i="3"/>
  <c r="F339" i="3"/>
  <c r="AE338" i="3"/>
  <c r="AC338" i="3"/>
  <c r="U338" i="3"/>
  <c r="P338" i="3"/>
  <c r="K338" i="3"/>
  <c r="H338" i="3"/>
  <c r="F338" i="3"/>
  <c r="AE337" i="3"/>
  <c r="AC337" i="3"/>
  <c r="P337" i="3"/>
  <c r="V337" i="3" s="1"/>
  <c r="K337" i="3"/>
  <c r="H337" i="3"/>
  <c r="F337" i="3"/>
  <c r="AC336" i="3"/>
  <c r="U336" i="3"/>
  <c r="P336" i="3"/>
  <c r="K336" i="3"/>
  <c r="H336" i="3"/>
  <c r="F336" i="3"/>
  <c r="AE335" i="3"/>
  <c r="AC335" i="3"/>
  <c r="U335" i="3"/>
  <c r="P335" i="3"/>
  <c r="K335" i="3"/>
  <c r="H335" i="3"/>
  <c r="F335" i="3"/>
  <c r="AE334" i="3"/>
  <c r="AC334" i="3"/>
  <c r="U334" i="3"/>
  <c r="P334" i="3"/>
  <c r="K334" i="3"/>
  <c r="H334" i="3"/>
  <c r="F334" i="3"/>
  <c r="AE333" i="3"/>
  <c r="AC333" i="3"/>
  <c r="U333" i="3"/>
  <c r="P333" i="3"/>
  <c r="K333" i="3"/>
  <c r="H333" i="3"/>
  <c r="F333" i="3"/>
  <c r="AE332" i="3"/>
  <c r="AC332" i="3"/>
  <c r="U332" i="3"/>
  <c r="P332" i="3"/>
  <c r="K332" i="3"/>
  <c r="H332" i="3"/>
  <c r="AE331" i="3"/>
  <c r="AC331" i="3"/>
  <c r="U331" i="3"/>
  <c r="P331" i="3"/>
  <c r="K331" i="3"/>
  <c r="H331" i="3"/>
  <c r="F331" i="3"/>
  <c r="AE330" i="3"/>
  <c r="AC330" i="3"/>
  <c r="U330" i="3"/>
  <c r="P330" i="3"/>
  <c r="K330" i="3"/>
  <c r="H330" i="3"/>
  <c r="F330" i="3"/>
  <c r="AE329" i="3"/>
  <c r="AC329" i="3"/>
  <c r="U329" i="3"/>
  <c r="P329" i="3"/>
  <c r="K329" i="3"/>
  <c r="H329" i="3"/>
  <c r="F329" i="3"/>
  <c r="AE328" i="3"/>
  <c r="AC328" i="3"/>
  <c r="U328" i="3"/>
  <c r="P328" i="3"/>
  <c r="K328" i="3"/>
  <c r="H328" i="3"/>
  <c r="F328" i="3"/>
  <c r="AE327" i="3"/>
  <c r="AC327" i="3"/>
  <c r="U327" i="3"/>
  <c r="P327" i="3"/>
  <c r="K327" i="3"/>
  <c r="H327" i="3"/>
  <c r="F327" i="3"/>
  <c r="AE326" i="3"/>
  <c r="AC326" i="3"/>
  <c r="U326" i="3"/>
  <c r="P326" i="3"/>
  <c r="K326" i="3"/>
  <c r="H326" i="3"/>
  <c r="F326" i="3"/>
  <c r="AE325" i="3"/>
  <c r="AC325" i="3"/>
  <c r="U325" i="3"/>
  <c r="P325" i="3"/>
  <c r="K325" i="3"/>
  <c r="H325" i="3"/>
  <c r="F325" i="3"/>
  <c r="AE324" i="3"/>
  <c r="AC324" i="3"/>
  <c r="U324" i="3"/>
  <c r="P324" i="3"/>
  <c r="K324" i="3"/>
  <c r="H324" i="3"/>
  <c r="F324" i="3"/>
  <c r="AE323" i="3"/>
  <c r="AC323" i="3"/>
  <c r="U323" i="3"/>
  <c r="P323" i="3"/>
  <c r="K323" i="3"/>
  <c r="H323" i="3"/>
  <c r="F323" i="3"/>
  <c r="AE322" i="3"/>
  <c r="AC322" i="3"/>
  <c r="U322" i="3"/>
  <c r="P322" i="3"/>
  <c r="K322" i="3"/>
  <c r="H322" i="3"/>
  <c r="F322" i="3"/>
  <c r="AE321" i="3"/>
  <c r="AC321" i="3"/>
  <c r="U321" i="3"/>
  <c r="P321" i="3"/>
  <c r="K321" i="3"/>
  <c r="H321" i="3"/>
  <c r="F321" i="3"/>
  <c r="AE320" i="3"/>
  <c r="AC320" i="3"/>
  <c r="U320" i="3"/>
  <c r="P320" i="3"/>
  <c r="K320" i="3"/>
  <c r="H320" i="3"/>
  <c r="F320" i="3"/>
  <c r="AE319" i="3"/>
  <c r="AC319" i="3"/>
  <c r="U319" i="3"/>
  <c r="P319" i="3"/>
  <c r="K319" i="3"/>
  <c r="H319" i="3"/>
  <c r="F319" i="3"/>
  <c r="AE318" i="3"/>
  <c r="AC318" i="3"/>
  <c r="U318" i="3"/>
  <c r="P318" i="3"/>
  <c r="K318" i="3"/>
  <c r="H318" i="3"/>
  <c r="F318" i="3"/>
  <c r="AE317" i="3"/>
  <c r="AC317" i="3"/>
  <c r="U317" i="3"/>
  <c r="P317" i="3"/>
  <c r="K317" i="3"/>
  <c r="H317" i="3"/>
  <c r="F317" i="3"/>
  <c r="AE316" i="3"/>
  <c r="U316" i="3"/>
  <c r="P316" i="3"/>
  <c r="K316" i="3"/>
  <c r="H316" i="3"/>
  <c r="F316" i="3"/>
  <c r="AE315" i="3"/>
  <c r="AC315" i="3"/>
  <c r="U315" i="3"/>
  <c r="P315" i="3"/>
  <c r="K315" i="3"/>
  <c r="H315" i="3"/>
  <c r="F315" i="3"/>
  <c r="AE314" i="3"/>
  <c r="AC314" i="3"/>
  <c r="U314" i="3"/>
  <c r="P314" i="3"/>
  <c r="K314" i="3"/>
  <c r="H314" i="3"/>
  <c r="F314" i="3"/>
  <c r="AE313" i="3"/>
  <c r="AC313" i="3"/>
  <c r="U313" i="3"/>
  <c r="P313" i="3"/>
  <c r="K313" i="3"/>
  <c r="H313" i="3"/>
  <c r="F313" i="3"/>
  <c r="AE312" i="3"/>
  <c r="AC312" i="3"/>
  <c r="U312" i="3"/>
  <c r="P312" i="3"/>
  <c r="K312" i="3"/>
  <c r="H312" i="3"/>
  <c r="F312" i="3"/>
  <c r="AE311" i="3"/>
  <c r="AC311" i="3"/>
  <c r="U311" i="3"/>
  <c r="P311" i="3"/>
  <c r="K311" i="3"/>
  <c r="H311" i="3"/>
  <c r="F311" i="3"/>
  <c r="AE310" i="3"/>
  <c r="AC310" i="3"/>
  <c r="U310" i="3"/>
  <c r="P310" i="3"/>
  <c r="K310" i="3"/>
  <c r="H310" i="3"/>
  <c r="F310" i="3"/>
  <c r="AE309" i="3"/>
  <c r="AC309" i="3"/>
  <c r="U309" i="3"/>
  <c r="P309" i="3"/>
  <c r="K309" i="3"/>
  <c r="H309" i="3"/>
  <c r="F309" i="3"/>
  <c r="AE308" i="3"/>
  <c r="AC308" i="3"/>
  <c r="U308" i="3"/>
  <c r="V308" i="3" s="1"/>
  <c r="K308" i="3"/>
  <c r="H308" i="3"/>
  <c r="F308" i="3"/>
  <c r="AE307" i="3"/>
  <c r="AC307" i="3"/>
  <c r="U307" i="3"/>
  <c r="P307" i="3"/>
  <c r="H307" i="3"/>
  <c r="F307" i="3"/>
  <c r="AE306" i="3"/>
  <c r="AC306" i="3"/>
  <c r="U306" i="3"/>
  <c r="P306" i="3"/>
  <c r="K306" i="3"/>
  <c r="H306" i="3"/>
  <c r="F306" i="3"/>
  <c r="AE305" i="3"/>
  <c r="AC305" i="3"/>
  <c r="P305" i="3"/>
  <c r="V305" i="3" s="1"/>
  <c r="K305" i="3"/>
  <c r="H305" i="3"/>
  <c r="F305" i="3"/>
  <c r="AE304" i="3"/>
  <c r="AC304" i="3"/>
  <c r="U304" i="3"/>
  <c r="P304" i="3"/>
  <c r="K304" i="3"/>
  <c r="H304" i="3"/>
  <c r="F304" i="3"/>
  <c r="AE303" i="3"/>
  <c r="AC303" i="3"/>
  <c r="U303" i="3"/>
  <c r="P303" i="3"/>
  <c r="K303" i="3"/>
  <c r="H303" i="3"/>
  <c r="F303" i="3"/>
  <c r="AE302" i="3"/>
  <c r="AC302" i="3"/>
  <c r="U302" i="3"/>
  <c r="P302" i="3"/>
  <c r="K302" i="3"/>
  <c r="H302" i="3"/>
  <c r="F302" i="3"/>
  <c r="AE301" i="3"/>
  <c r="AC301" i="3"/>
  <c r="U301" i="3"/>
  <c r="P301" i="3"/>
  <c r="K301" i="3"/>
  <c r="H301" i="3"/>
  <c r="F301" i="3"/>
  <c r="AE300" i="3"/>
  <c r="AC300" i="3"/>
  <c r="U300" i="3"/>
  <c r="P300" i="3"/>
  <c r="K300" i="3"/>
  <c r="H300" i="3"/>
  <c r="F300" i="3"/>
  <c r="AE299" i="3"/>
  <c r="AC299" i="3"/>
  <c r="U299" i="3"/>
  <c r="P299" i="3"/>
  <c r="K299" i="3"/>
  <c r="H299" i="3"/>
  <c r="F299" i="3"/>
  <c r="AE298" i="3"/>
  <c r="AC298" i="3"/>
  <c r="U298" i="3"/>
  <c r="P298" i="3"/>
  <c r="K298" i="3"/>
  <c r="H298" i="3"/>
  <c r="F298" i="3"/>
  <c r="AE297" i="3"/>
  <c r="AC297" i="3"/>
  <c r="U297" i="3"/>
  <c r="P297" i="3"/>
  <c r="K297" i="3"/>
  <c r="H297" i="3"/>
  <c r="F297" i="3"/>
  <c r="AE296" i="3"/>
  <c r="AC296" i="3"/>
  <c r="U296" i="3"/>
  <c r="P296" i="3"/>
  <c r="K296" i="3"/>
  <c r="H296" i="3"/>
  <c r="F296" i="3"/>
  <c r="AE295" i="3"/>
  <c r="AC295" i="3"/>
  <c r="U295" i="3"/>
  <c r="P295" i="3"/>
  <c r="K295" i="3"/>
  <c r="H295" i="3"/>
  <c r="F295" i="3"/>
  <c r="AE294" i="3"/>
  <c r="AC294" i="3"/>
  <c r="U294" i="3"/>
  <c r="P294" i="3"/>
  <c r="K294" i="3"/>
  <c r="H294" i="3"/>
  <c r="F294" i="3"/>
  <c r="AE293" i="3"/>
  <c r="AC293" i="3"/>
  <c r="U293" i="3"/>
  <c r="P293" i="3"/>
  <c r="K293" i="3"/>
  <c r="H293" i="3"/>
  <c r="F293" i="3"/>
  <c r="AE292" i="3"/>
  <c r="AC292" i="3"/>
  <c r="U292" i="3"/>
  <c r="P292" i="3"/>
  <c r="K292" i="3"/>
  <c r="H292" i="3"/>
  <c r="F292" i="3"/>
  <c r="AE291" i="3"/>
  <c r="AC291" i="3"/>
  <c r="U291" i="3"/>
  <c r="P291" i="3"/>
  <c r="K291" i="3"/>
  <c r="H291" i="3"/>
  <c r="F291" i="3"/>
  <c r="AE290" i="3"/>
  <c r="AC290" i="3"/>
  <c r="U290" i="3"/>
  <c r="P290" i="3"/>
  <c r="K290" i="3"/>
  <c r="H290" i="3"/>
  <c r="F290" i="3"/>
  <c r="AE289" i="3"/>
  <c r="AC289" i="3"/>
  <c r="U289" i="3"/>
  <c r="P289" i="3"/>
  <c r="K289" i="3"/>
  <c r="H289" i="3"/>
  <c r="F289" i="3"/>
  <c r="AE288" i="3"/>
  <c r="AC288" i="3"/>
  <c r="U288" i="3"/>
  <c r="P288" i="3"/>
  <c r="K288" i="3"/>
  <c r="H288" i="3"/>
  <c r="F288" i="3"/>
  <c r="AE287" i="3"/>
  <c r="AC287" i="3"/>
  <c r="U287" i="3"/>
  <c r="P287" i="3"/>
  <c r="K287" i="3"/>
  <c r="H287" i="3"/>
  <c r="F287" i="3"/>
  <c r="AE286" i="3"/>
  <c r="AC286" i="3"/>
  <c r="U286" i="3"/>
  <c r="P286" i="3"/>
  <c r="K286" i="3"/>
  <c r="H286" i="3"/>
  <c r="F286" i="3"/>
  <c r="AE285" i="3"/>
  <c r="AC285" i="3"/>
  <c r="U285" i="3"/>
  <c r="P285" i="3"/>
  <c r="K285" i="3"/>
  <c r="H285" i="3"/>
  <c r="F285" i="3"/>
  <c r="AE284" i="3"/>
  <c r="AC284" i="3"/>
  <c r="U284" i="3"/>
  <c r="P284" i="3"/>
  <c r="K284" i="3"/>
  <c r="H284" i="3"/>
  <c r="F284" i="3"/>
  <c r="AE283" i="3"/>
  <c r="AC283" i="3"/>
  <c r="U283" i="3"/>
  <c r="P283" i="3"/>
  <c r="K283" i="3"/>
  <c r="H283" i="3"/>
  <c r="F283" i="3"/>
  <c r="AE282" i="3"/>
  <c r="AC282" i="3"/>
  <c r="U282" i="3"/>
  <c r="P282" i="3"/>
  <c r="K282" i="3"/>
  <c r="H282" i="3"/>
  <c r="F282" i="3"/>
  <c r="AE281" i="3"/>
  <c r="AC281" i="3"/>
  <c r="U281" i="3"/>
  <c r="P281" i="3"/>
  <c r="K281" i="3"/>
  <c r="H281" i="3"/>
  <c r="F281" i="3"/>
  <c r="AE280" i="3"/>
  <c r="AC280" i="3"/>
  <c r="U280" i="3"/>
  <c r="P280" i="3"/>
  <c r="K280" i="3"/>
  <c r="H280" i="3"/>
  <c r="F280" i="3"/>
  <c r="AE279" i="3"/>
  <c r="AC279" i="3"/>
  <c r="U279" i="3"/>
  <c r="P279" i="3"/>
  <c r="V279" i="3" s="1"/>
  <c r="K279" i="3"/>
  <c r="H279" i="3"/>
  <c r="F279" i="3"/>
  <c r="AE278" i="3"/>
  <c r="AC278" i="3"/>
  <c r="U278" i="3"/>
  <c r="P278" i="3"/>
  <c r="K278" i="3"/>
  <c r="H278" i="3"/>
  <c r="F278" i="3"/>
  <c r="AE277" i="3"/>
  <c r="AC277" i="3"/>
  <c r="U277" i="3"/>
  <c r="P277" i="3"/>
  <c r="K277" i="3"/>
  <c r="H277" i="3"/>
  <c r="F277" i="3"/>
  <c r="AE276" i="3"/>
  <c r="AC276" i="3"/>
  <c r="U276" i="3"/>
  <c r="P276" i="3"/>
  <c r="K276" i="3"/>
  <c r="F276" i="3"/>
  <c r="AE275" i="3"/>
  <c r="AC275" i="3"/>
  <c r="U275" i="3"/>
  <c r="P275" i="3"/>
  <c r="K275" i="3"/>
  <c r="H275" i="3"/>
  <c r="F275" i="3"/>
  <c r="AE274" i="3"/>
  <c r="AC274" i="3"/>
  <c r="U274" i="3"/>
  <c r="P274" i="3"/>
  <c r="K274" i="3"/>
  <c r="H274" i="3"/>
  <c r="F274" i="3"/>
  <c r="AE273" i="3"/>
  <c r="AC273" i="3"/>
  <c r="U273" i="3"/>
  <c r="P273" i="3"/>
  <c r="K273" i="3"/>
  <c r="H273" i="3"/>
  <c r="F273" i="3"/>
  <c r="AE272" i="3"/>
  <c r="AC272" i="3"/>
  <c r="U272" i="3"/>
  <c r="P272" i="3"/>
  <c r="V272" i="3" s="1"/>
  <c r="K272" i="3"/>
  <c r="H272" i="3"/>
  <c r="F272" i="3"/>
  <c r="AE271" i="3"/>
  <c r="AC271" i="3"/>
  <c r="U271" i="3"/>
  <c r="P271" i="3"/>
  <c r="K271" i="3"/>
  <c r="H271" i="3"/>
  <c r="F271" i="3"/>
  <c r="AE270" i="3"/>
  <c r="AC270" i="3"/>
  <c r="U270" i="3"/>
  <c r="P270" i="3"/>
  <c r="K270" i="3"/>
  <c r="H270" i="3"/>
  <c r="F270" i="3"/>
  <c r="AE269" i="3"/>
  <c r="AC269" i="3"/>
  <c r="U269" i="3"/>
  <c r="P269" i="3"/>
  <c r="K269" i="3"/>
  <c r="H269" i="3"/>
  <c r="F269" i="3"/>
  <c r="AE268" i="3"/>
  <c r="AC268" i="3"/>
  <c r="U268" i="3"/>
  <c r="P268" i="3"/>
  <c r="K268" i="3"/>
  <c r="H268" i="3"/>
  <c r="F268" i="3"/>
  <c r="AE267" i="3"/>
  <c r="AC267" i="3"/>
  <c r="U267" i="3"/>
  <c r="P267" i="3"/>
  <c r="K267" i="3"/>
  <c r="H267" i="3"/>
  <c r="F267" i="3"/>
  <c r="AE266" i="3"/>
  <c r="AC266" i="3"/>
  <c r="U266" i="3"/>
  <c r="P266" i="3"/>
  <c r="K266" i="3"/>
  <c r="H266" i="3"/>
  <c r="F266" i="3"/>
  <c r="AE265" i="3"/>
  <c r="AC265" i="3"/>
  <c r="U265" i="3"/>
  <c r="V265" i="3" s="1"/>
  <c r="K265" i="3"/>
  <c r="H265" i="3"/>
  <c r="F265" i="3"/>
  <c r="AE264" i="3"/>
  <c r="AC264" i="3"/>
  <c r="U264" i="3"/>
  <c r="P264" i="3"/>
  <c r="K264" i="3"/>
  <c r="H264" i="3"/>
  <c r="F264" i="3"/>
  <c r="AE263" i="3"/>
  <c r="AC263" i="3"/>
  <c r="U263" i="3"/>
  <c r="P263" i="3"/>
  <c r="K263" i="3"/>
  <c r="H263" i="3"/>
  <c r="F263" i="3"/>
  <c r="AE262" i="3"/>
  <c r="AC262" i="3"/>
  <c r="U262" i="3"/>
  <c r="P262" i="3"/>
  <c r="K262" i="3"/>
  <c r="H262" i="3"/>
  <c r="F262" i="3"/>
  <c r="AE261" i="3"/>
  <c r="AC261" i="3"/>
  <c r="U261" i="3"/>
  <c r="P261" i="3"/>
  <c r="K261" i="3"/>
  <c r="H261" i="3"/>
  <c r="F261" i="3"/>
  <c r="AE260" i="3"/>
  <c r="AC260" i="3"/>
  <c r="U260" i="3"/>
  <c r="P260" i="3"/>
  <c r="K260" i="3"/>
  <c r="H260" i="3"/>
  <c r="F260" i="3"/>
  <c r="AE259" i="3"/>
  <c r="AC259" i="3"/>
  <c r="U259" i="3"/>
  <c r="P259" i="3"/>
  <c r="K259" i="3"/>
  <c r="H259" i="3"/>
  <c r="F259" i="3"/>
  <c r="AE258" i="3"/>
  <c r="AC258" i="3"/>
  <c r="U258" i="3"/>
  <c r="P258" i="3"/>
  <c r="K258" i="3"/>
  <c r="H258" i="3"/>
  <c r="F258" i="3"/>
  <c r="AE257" i="3"/>
  <c r="AC257" i="3"/>
  <c r="U257" i="3"/>
  <c r="P257" i="3"/>
  <c r="V257" i="3" s="1"/>
  <c r="K257" i="3"/>
  <c r="H257" i="3"/>
  <c r="F257" i="3"/>
  <c r="AE256" i="3"/>
  <c r="AC256" i="3"/>
  <c r="U256" i="3"/>
  <c r="P256" i="3"/>
  <c r="K256" i="3"/>
  <c r="H256" i="3"/>
  <c r="F256" i="3"/>
  <c r="AE255" i="3"/>
  <c r="AC255" i="3"/>
  <c r="U255" i="3"/>
  <c r="P255" i="3"/>
  <c r="K255" i="3"/>
  <c r="H255" i="3"/>
  <c r="F255" i="3"/>
  <c r="AE254" i="3"/>
  <c r="AC254" i="3"/>
  <c r="U254" i="3"/>
  <c r="P254" i="3"/>
  <c r="K254" i="3"/>
  <c r="H254" i="3"/>
  <c r="F254" i="3"/>
  <c r="AE253" i="3"/>
  <c r="AC253" i="3"/>
  <c r="U253" i="3"/>
  <c r="P253" i="3"/>
  <c r="K253" i="3"/>
  <c r="H253" i="3"/>
  <c r="F253" i="3"/>
  <c r="AE252" i="3"/>
  <c r="AC252" i="3"/>
  <c r="U252" i="3"/>
  <c r="P252" i="3"/>
  <c r="K252" i="3"/>
  <c r="H252" i="3"/>
  <c r="F252" i="3"/>
  <c r="AE251" i="3"/>
  <c r="AC251" i="3"/>
  <c r="U251" i="3"/>
  <c r="P251" i="3"/>
  <c r="K251" i="3"/>
  <c r="H251" i="3"/>
  <c r="F251" i="3"/>
  <c r="AE250" i="3"/>
  <c r="AC250" i="3"/>
  <c r="U250" i="3"/>
  <c r="P250" i="3"/>
  <c r="K250" i="3"/>
  <c r="H250" i="3"/>
  <c r="F250" i="3"/>
  <c r="AE249" i="3"/>
  <c r="AC249" i="3"/>
  <c r="U249" i="3"/>
  <c r="P249" i="3"/>
  <c r="V249" i="3" s="1"/>
  <c r="K249" i="3"/>
  <c r="H249" i="3"/>
  <c r="F249" i="3"/>
  <c r="AE248" i="3"/>
  <c r="AC248" i="3"/>
  <c r="U248" i="3"/>
  <c r="P248" i="3"/>
  <c r="K248" i="3"/>
  <c r="H248" i="3"/>
  <c r="F248" i="3"/>
  <c r="AE247" i="3"/>
  <c r="AC247" i="3"/>
  <c r="U247" i="3"/>
  <c r="P247" i="3"/>
  <c r="K247" i="3"/>
  <c r="H247" i="3"/>
  <c r="F247" i="3"/>
  <c r="AE246" i="3"/>
  <c r="AC246" i="3"/>
  <c r="U246" i="3"/>
  <c r="P246" i="3"/>
  <c r="K246" i="3"/>
  <c r="H246" i="3"/>
  <c r="F246" i="3"/>
  <c r="AE245" i="3"/>
  <c r="AC245" i="3"/>
  <c r="U245" i="3"/>
  <c r="P245" i="3"/>
  <c r="K245" i="3"/>
  <c r="H245" i="3"/>
  <c r="F245" i="3"/>
  <c r="AE244" i="3"/>
  <c r="AC244" i="3"/>
  <c r="U244" i="3"/>
  <c r="P244" i="3"/>
  <c r="K244" i="3"/>
  <c r="H244" i="3"/>
  <c r="F244" i="3"/>
  <c r="AE243" i="3"/>
  <c r="AC243" i="3"/>
  <c r="U243" i="3"/>
  <c r="P243" i="3"/>
  <c r="K243" i="3"/>
  <c r="H243" i="3"/>
  <c r="F243" i="3"/>
  <c r="AE242" i="3"/>
  <c r="AC242" i="3"/>
  <c r="U242" i="3"/>
  <c r="P242" i="3"/>
  <c r="K242" i="3"/>
  <c r="H242" i="3"/>
  <c r="F242" i="3"/>
  <c r="AE241" i="3"/>
  <c r="AC241" i="3"/>
  <c r="U241" i="3"/>
  <c r="P241" i="3"/>
  <c r="V241" i="3" s="1"/>
  <c r="K241" i="3"/>
  <c r="H241" i="3"/>
  <c r="F241" i="3"/>
  <c r="AE240" i="3"/>
  <c r="AC240" i="3"/>
  <c r="U240" i="3"/>
  <c r="P240" i="3"/>
  <c r="K240" i="3"/>
  <c r="H240" i="3"/>
  <c r="F240" i="3"/>
  <c r="AE239" i="3"/>
  <c r="AC239" i="3"/>
  <c r="U239" i="3"/>
  <c r="P239" i="3"/>
  <c r="K239" i="3"/>
  <c r="H239" i="3"/>
  <c r="F239" i="3"/>
  <c r="AE238" i="3"/>
  <c r="AC238" i="3"/>
  <c r="U238" i="3"/>
  <c r="P238" i="3"/>
  <c r="K238" i="3"/>
  <c r="H238" i="3"/>
  <c r="F238" i="3"/>
  <c r="AE237" i="3"/>
  <c r="AC237" i="3"/>
  <c r="U237" i="3"/>
  <c r="P237" i="3"/>
  <c r="K237" i="3"/>
  <c r="H237" i="3"/>
  <c r="F237" i="3"/>
  <c r="AE236" i="3"/>
  <c r="AC236" i="3"/>
  <c r="U236" i="3"/>
  <c r="P236" i="3"/>
  <c r="K236" i="3"/>
  <c r="H236" i="3"/>
  <c r="F236" i="3"/>
  <c r="AE235" i="3"/>
  <c r="AC235" i="3"/>
  <c r="U235" i="3"/>
  <c r="P235" i="3"/>
  <c r="K235" i="3"/>
  <c r="H235" i="3"/>
  <c r="F235" i="3"/>
  <c r="AE234" i="3"/>
  <c r="AC234" i="3"/>
  <c r="U234" i="3"/>
  <c r="P234" i="3"/>
  <c r="K234" i="3"/>
  <c r="H234" i="3"/>
  <c r="F234" i="3"/>
  <c r="AE233" i="3"/>
  <c r="AC233" i="3"/>
  <c r="U233" i="3"/>
  <c r="P233" i="3"/>
  <c r="V233" i="3" s="1"/>
  <c r="K233" i="3"/>
  <c r="H233" i="3"/>
  <c r="F233" i="3"/>
  <c r="AE232" i="3"/>
  <c r="AC232" i="3"/>
  <c r="U232" i="3"/>
  <c r="P232" i="3"/>
  <c r="K232" i="3"/>
  <c r="H232" i="3"/>
  <c r="F232" i="3"/>
  <c r="AE231" i="3"/>
  <c r="AC231" i="3"/>
  <c r="U231" i="3"/>
  <c r="P231" i="3"/>
  <c r="K231" i="3"/>
  <c r="H231" i="3"/>
  <c r="F231" i="3"/>
  <c r="AE230" i="3"/>
  <c r="AC230" i="3"/>
  <c r="U230" i="3"/>
  <c r="P230" i="3"/>
  <c r="K230" i="3"/>
  <c r="H230" i="3"/>
  <c r="F230" i="3"/>
  <c r="AE229" i="3"/>
  <c r="AC229" i="3"/>
  <c r="U229" i="3"/>
  <c r="P229" i="3"/>
  <c r="K229" i="3"/>
  <c r="H229" i="3"/>
  <c r="F229" i="3"/>
  <c r="AE228" i="3"/>
  <c r="AC228" i="3"/>
  <c r="U228" i="3"/>
  <c r="P228" i="3"/>
  <c r="K228" i="3"/>
  <c r="H228" i="3"/>
  <c r="F228" i="3"/>
  <c r="AE227" i="3"/>
  <c r="AC227" i="3"/>
  <c r="U227" i="3"/>
  <c r="P227" i="3"/>
  <c r="K227" i="3"/>
  <c r="H227" i="3"/>
  <c r="F227" i="3"/>
  <c r="AE226" i="3"/>
  <c r="AC226" i="3"/>
  <c r="U226" i="3"/>
  <c r="P226" i="3"/>
  <c r="K226" i="3"/>
  <c r="H226" i="3"/>
  <c r="F226" i="3"/>
  <c r="AE225" i="3"/>
  <c r="AC225" i="3"/>
  <c r="U225" i="3"/>
  <c r="P225" i="3"/>
  <c r="V225" i="3" s="1"/>
  <c r="K225" i="3"/>
  <c r="H225" i="3"/>
  <c r="F225" i="3"/>
  <c r="AE224" i="3"/>
  <c r="AC224" i="3"/>
  <c r="U224" i="3"/>
  <c r="P224" i="3"/>
  <c r="K224" i="3"/>
  <c r="H224" i="3"/>
  <c r="F224" i="3"/>
  <c r="AE223" i="3"/>
  <c r="AC223" i="3"/>
  <c r="U223" i="3"/>
  <c r="P223" i="3"/>
  <c r="K223" i="3"/>
  <c r="H223" i="3"/>
  <c r="F223" i="3"/>
  <c r="AE222" i="3"/>
  <c r="AC222" i="3"/>
  <c r="U222" i="3"/>
  <c r="P222" i="3"/>
  <c r="K222" i="3"/>
  <c r="H222" i="3"/>
  <c r="F222" i="3"/>
  <c r="AE221" i="3"/>
  <c r="AC221" i="3"/>
  <c r="U221" i="3"/>
  <c r="P221" i="3"/>
  <c r="K221" i="3"/>
  <c r="H221" i="3"/>
  <c r="F221" i="3"/>
  <c r="AE220" i="3"/>
  <c r="AC220" i="3"/>
  <c r="U220" i="3"/>
  <c r="P220" i="3"/>
  <c r="K220" i="3"/>
  <c r="H220" i="3"/>
  <c r="F220" i="3"/>
  <c r="AE219" i="3"/>
  <c r="AC219" i="3"/>
  <c r="U219" i="3"/>
  <c r="P219" i="3"/>
  <c r="K219" i="3"/>
  <c r="H219" i="3"/>
  <c r="F219" i="3"/>
  <c r="AE218" i="3"/>
  <c r="AC218" i="3"/>
  <c r="U218" i="3"/>
  <c r="P218" i="3"/>
  <c r="K218" i="3"/>
  <c r="H218" i="3"/>
  <c r="F218" i="3"/>
  <c r="AE217" i="3"/>
  <c r="AC217" i="3"/>
  <c r="U217" i="3"/>
  <c r="P217" i="3"/>
  <c r="V217" i="3" s="1"/>
  <c r="K217" i="3"/>
  <c r="H217" i="3"/>
  <c r="F217" i="3"/>
  <c r="AE216" i="3"/>
  <c r="AC216" i="3"/>
  <c r="U216" i="3"/>
  <c r="P216" i="3"/>
  <c r="K216" i="3"/>
  <c r="H216" i="3"/>
  <c r="F216" i="3"/>
  <c r="AE215" i="3"/>
  <c r="AC215" i="3"/>
  <c r="U215" i="3"/>
  <c r="P215" i="3"/>
  <c r="K215" i="3"/>
  <c r="H215" i="3"/>
  <c r="F215" i="3"/>
  <c r="AE214" i="3"/>
  <c r="AC214" i="3"/>
  <c r="U214" i="3"/>
  <c r="P214" i="3"/>
  <c r="K214" i="3"/>
  <c r="H214" i="3"/>
  <c r="F214" i="3"/>
  <c r="AE213" i="3"/>
  <c r="AC213" i="3"/>
  <c r="U213" i="3"/>
  <c r="P213" i="3"/>
  <c r="K213" i="3"/>
  <c r="H213" i="3"/>
  <c r="F213" i="3"/>
  <c r="AE212" i="3"/>
  <c r="AC212" i="3"/>
  <c r="U212" i="3"/>
  <c r="P212" i="3"/>
  <c r="K212" i="3"/>
  <c r="H212" i="3"/>
  <c r="F212" i="3"/>
  <c r="AE211" i="3"/>
  <c r="AC211" i="3"/>
  <c r="U211" i="3"/>
  <c r="P211" i="3"/>
  <c r="K211" i="3"/>
  <c r="H211" i="3"/>
  <c r="F211" i="3"/>
  <c r="AE210" i="3"/>
  <c r="AC210" i="3"/>
  <c r="U210" i="3"/>
  <c r="P210" i="3"/>
  <c r="K210" i="3"/>
  <c r="H210" i="3"/>
  <c r="F210" i="3"/>
  <c r="AE209" i="3"/>
  <c r="AC209" i="3"/>
  <c r="U209" i="3"/>
  <c r="P209" i="3"/>
  <c r="K209" i="3"/>
  <c r="H209" i="3"/>
  <c r="F209" i="3"/>
  <c r="AE208" i="3"/>
  <c r="AC208" i="3"/>
  <c r="U208" i="3"/>
  <c r="P208" i="3"/>
  <c r="K208" i="3"/>
  <c r="H208" i="3"/>
  <c r="F208" i="3"/>
  <c r="AE207" i="3"/>
  <c r="AC207" i="3"/>
  <c r="U207" i="3"/>
  <c r="P207" i="3"/>
  <c r="K207" i="3"/>
  <c r="H207" i="3"/>
  <c r="F207" i="3"/>
  <c r="AE206" i="3"/>
  <c r="AC206" i="3"/>
  <c r="U206" i="3"/>
  <c r="P206" i="3"/>
  <c r="K206" i="3"/>
  <c r="H206" i="3"/>
  <c r="F206" i="3"/>
  <c r="AE205" i="3"/>
  <c r="AC205" i="3"/>
  <c r="U205" i="3"/>
  <c r="P205" i="3"/>
  <c r="K205" i="3"/>
  <c r="H205" i="3"/>
  <c r="F205" i="3"/>
  <c r="AE204" i="3"/>
  <c r="AC204" i="3"/>
  <c r="U204" i="3"/>
  <c r="P204" i="3"/>
  <c r="K204" i="3"/>
  <c r="H204" i="3"/>
  <c r="F204" i="3"/>
  <c r="AE203" i="3"/>
  <c r="AC203" i="3"/>
  <c r="U203" i="3"/>
  <c r="P203" i="3"/>
  <c r="K203" i="3"/>
  <c r="H203" i="3"/>
  <c r="F203" i="3"/>
  <c r="AE202" i="3"/>
  <c r="AC202" i="3"/>
  <c r="U202" i="3"/>
  <c r="P202" i="3"/>
  <c r="K202" i="3"/>
  <c r="H202" i="3"/>
  <c r="F202" i="3"/>
  <c r="AE201" i="3"/>
  <c r="AC201" i="3"/>
  <c r="U201" i="3"/>
  <c r="P201" i="3"/>
  <c r="K201" i="3"/>
  <c r="H201" i="3"/>
  <c r="F201" i="3"/>
  <c r="AE200" i="3"/>
  <c r="AC200" i="3"/>
  <c r="U200" i="3"/>
  <c r="P200" i="3"/>
  <c r="K200" i="3"/>
  <c r="H200" i="3"/>
  <c r="F200" i="3"/>
  <c r="AE199" i="3"/>
  <c r="AC199" i="3"/>
  <c r="U199" i="3"/>
  <c r="P199" i="3"/>
  <c r="K199" i="3"/>
  <c r="H199" i="3"/>
  <c r="F199" i="3"/>
  <c r="AE198" i="3"/>
  <c r="AC198" i="3"/>
  <c r="U198" i="3"/>
  <c r="P198" i="3"/>
  <c r="K198" i="3"/>
  <c r="H198" i="3"/>
  <c r="F198" i="3"/>
  <c r="AE197" i="3"/>
  <c r="AC197" i="3"/>
  <c r="U197" i="3"/>
  <c r="P197" i="3"/>
  <c r="K197" i="3"/>
  <c r="H197" i="3"/>
  <c r="F197" i="3"/>
  <c r="AE196" i="3"/>
  <c r="AC196" i="3"/>
  <c r="U196" i="3"/>
  <c r="P196" i="3"/>
  <c r="K196" i="3"/>
  <c r="H196" i="3"/>
  <c r="F196" i="3"/>
  <c r="AE195" i="3"/>
  <c r="AC195" i="3"/>
  <c r="U195" i="3"/>
  <c r="P195" i="3"/>
  <c r="K195" i="3"/>
  <c r="H195" i="3"/>
  <c r="F195" i="3"/>
  <c r="AE194" i="3"/>
  <c r="AC194" i="3"/>
  <c r="U194" i="3"/>
  <c r="P194" i="3"/>
  <c r="K194" i="3"/>
  <c r="H194" i="3"/>
  <c r="F194" i="3"/>
  <c r="AE193" i="3"/>
  <c r="AC193" i="3"/>
  <c r="U193" i="3"/>
  <c r="P193" i="3"/>
  <c r="K193" i="3"/>
  <c r="H193" i="3"/>
  <c r="F193" i="3"/>
  <c r="AE192" i="3"/>
  <c r="AC192" i="3"/>
  <c r="U192" i="3"/>
  <c r="P192" i="3"/>
  <c r="K192" i="3"/>
  <c r="H192" i="3"/>
  <c r="F192" i="3"/>
  <c r="AE191" i="3"/>
  <c r="AC191" i="3"/>
  <c r="U191" i="3"/>
  <c r="P191" i="3"/>
  <c r="K191" i="3"/>
  <c r="H191" i="3"/>
  <c r="F191" i="3"/>
  <c r="AE190" i="3"/>
  <c r="AC190" i="3"/>
  <c r="U190" i="3"/>
  <c r="P190" i="3"/>
  <c r="K190" i="3"/>
  <c r="H190" i="3"/>
  <c r="F190" i="3"/>
  <c r="AE189" i="3"/>
  <c r="AC189" i="3"/>
  <c r="U189" i="3"/>
  <c r="P189" i="3"/>
  <c r="K189" i="3"/>
  <c r="H189" i="3"/>
  <c r="F189" i="3"/>
  <c r="AE188" i="3"/>
  <c r="AC188" i="3"/>
  <c r="U188" i="3"/>
  <c r="P188" i="3"/>
  <c r="K188" i="3"/>
  <c r="H188" i="3"/>
  <c r="F188" i="3"/>
  <c r="AE187" i="3"/>
  <c r="AC187" i="3"/>
  <c r="U187" i="3"/>
  <c r="P187" i="3"/>
  <c r="K187" i="3"/>
  <c r="H187" i="3"/>
  <c r="F187" i="3"/>
  <c r="AE186" i="3"/>
  <c r="AC186" i="3"/>
  <c r="U186" i="3"/>
  <c r="P186" i="3"/>
  <c r="K186" i="3"/>
  <c r="H186" i="3"/>
  <c r="F186" i="3"/>
  <c r="AE185" i="3"/>
  <c r="AC185" i="3"/>
  <c r="U185" i="3"/>
  <c r="P185" i="3"/>
  <c r="V185" i="3" s="1"/>
  <c r="K185" i="3"/>
  <c r="H185" i="3"/>
  <c r="F185" i="3"/>
  <c r="AE184" i="3"/>
  <c r="AC184" i="3"/>
  <c r="U184" i="3"/>
  <c r="P184" i="3"/>
  <c r="K184" i="3"/>
  <c r="H184" i="3"/>
  <c r="F184" i="3"/>
  <c r="AE183" i="3"/>
  <c r="AC183" i="3"/>
  <c r="U183" i="3"/>
  <c r="P183" i="3"/>
  <c r="K183" i="3"/>
  <c r="H183" i="3"/>
  <c r="F183" i="3"/>
  <c r="AE182" i="3"/>
  <c r="AC182" i="3"/>
  <c r="U182" i="3"/>
  <c r="P182" i="3"/>
  <c r="K182" i="3"/>
  <c r="H182" i="3"/>
  <c r="F182" i="3"/>
  <c r="AE181" i="3"/>
  <c r="AC181" i="3"/>
  <c r="U181" i="3"/>
  <c r="P181" i="3"/>
  <c r="K181" i="3"/>
  <c r="H181" i="3"/>
  <c r="F181" i="3"/>
  <c r="AE180" i="3"/>
  <c r="AC180" i="3"/>
  <c r="U180" i="3"/>
  <c r="P180" i="3"/>
  <c r="K180" i="3"/>
  <c r="H180" i="3"/>
  <c r="F180" i="3"/>
  <c r="AE179" i="3"/>
  <c r="AC179" i="3"/>
  <c r="U179" i="3"/>
  <c r="P179" i="3"/>
  <c r="K179" i="3"/>
  <c r="H179" i="3"/>
  <c r="F179" i="3"/>
  <c r="AE178" i="3"/>
  <c r="AC178" i="3"/>
  <c r="U178" i="3"/>
  <c r="P178" i="3"/>
  <c r="K178" i="3"/>
  <c r="H178" i="3"/>
  <c r="F178" i="3"/>
  <c r="AE177" i="3"/>
  <c r="AC177" i="3"/>
  <c r="U177" i="3"/>
  <c r="P177" i="3"/>
  <c r="V177" i="3" s="1"/>
  <c r="K177" i="3"/>
  <c r="H177" i="3"/>
  <c r="F177" i="3"/>
  <c r="AE176" i="3"/>
  <c r="AC176" i="3"/>
  <c r="U176" i="3"/>
  <c r="P176" i="3"/>
  <c r="K176" i="3"/>
  <c r="H176" i="3"/>
  <c r="F176" i="3"/>
  <c r="AE175" i="3"/>
  <c r="AC175" i="3"/>
  <c r="U175" i="3"/>
  <c r="P175" i="3"/>
  <c r="K175" i="3"/>
  <c r="H175" i="3"/>
  <c r="F175" i="3"/>
  <c r="AE174" i="3"/>
  <c r="AC174" i="3"/>
  <c r="U174" i="3"/>
  <c r="P174" i="3"/>
  <c r="K174" i="3"/>
  <c r="H174" i="3"/>
  <c r="F174" i="3"/>
  <c r="AE173" i="3"/>
  <c r="AC173" i="3"/>
  <c r="U173" i="3"/>
  <c r="P173" i="3"/>
  <c r="K173" i="3"/>
  <c r="H173" i="3"/>
  <c r="F173" i="3"/>
  <c r="AE172" i="3"/>
  <c r="AC172" i="3"/>
  <c r="U172" i="3"/>
  <c r="P172" i="3"/>
  <c r="K172" i="3"/>
  <c r="H172" i="3"/>
  <c r="F172" i="3"/>
  <c r="AE171" i="3"/>
  <c r="AC171" i="3"/>
  <c r="U171" i="3"/>
  <c r="P171" i="3"/>
  <c r="K171" i="3"/>
  <c r="H171" i="3"/>
  <c r="F171" i="3"/>
  <c r="AE170" i="3"/>
  <c r="AC170" i="3"/>
  <c r="U170" i="3"/>
  <c r="P170" i="3"/>
  <c r="K170" i="3"/>
  <c r="H170" i="3"/>
  <c r="F170" i="3"/>
  <c r="AE169" i="3"/>
  <c r="AC169" i="3"/>
  <c r="U169" i="3"/>
  <c r="P169" i="3"/>
  <c r="V169" i="3" s="1"/>
  <c r="K169" i="3"/>
  <c r="H169" i="3"/>
  <c r="F169" i="3"/>
  <c r="AE168" i="3"/>
  <c r="AC168" i="3"/>
  <c r="U168" i="3"/>
  <c r="P168" i="3"/>
  <c r="K168" i="3"/>
  <c r="H168" i="3"/>
  <c r="F168" i="3"/>
  <c r="AE167" i="3"/>
  <c r="AC167" i="3"/>
  <c r="U167" i="3"/>
  <c r="P167" i="3"/>
  <c r="K167" i="3"/>
  <c r="H167" i="3"/>
  <c r="F167" i="3"/>
  <c r="AE166" i="3"/>
  <c r="AC166" i="3"/>
  <c r="U166" i="3"/>
  <c r="P166" i="3"/>
  <c r="K166" i="3"/>
  <c r="H166" i="3"/>
  <c r="F166" i="3"/>
  <c r="AE165" i="3"/>
  <c r="AC165" i="3"/>
  <c r="U165" i="3"/>
  <c r="P165" i="3"/>
  <c r="K165" i="3"/>
  <c r="H165" i="3"/>
  <c r="F165" i="3"/>
  <c r="AE164" i="3"/>
  <c r="AC164" i="3"/>
  <c r="U164" i="3"/>
  <c r="P164" i="3"/>
  <c r="K164" i="3"/>
  <c r="H164" i="3"/>
  <c r="F164" i="3"/>
  <c r="AE163" i="3"/>
  <c r="AC163" i="3"/>
  <c r="U163" i="3"/>
  <c r="P163" i="3"/>
  <c r="K163" i="3"/>
  <c r="H163" i="3"/>
  <c r="F163" i="3"/>
  <c r="AE162" i="3"/>
  <c r="AC162" i="3"/>
  <c r="U162" i="3"/>
  <c r="P162" i="3"/>
  <c r="K162" i="3"/>
  <c r="H162" i="3"/>
  <c r="F162" i="3"/>
  <c r="AE161" i="3"/>
  <c r="AC161" i="3"/>
  <c r="U161" i="3"/>
  <c r="P161" i="3"/>
  <c r="V161" i="3" s="1"/>
  <c r="K161" i="3"/>
  <c r="H161" i="3"/>
  <c r="F161" i="3"/>
  <c r="AE160" i="3"/>
  <c r="AC160" i="3"/>
  <c r="U160" i="3"/>
  <c r="P160" i="3"/>
  <c r="K160" i="3"/>
  <c r="H160" i="3"/>
  <c r="F160" i="3"/>
  <c r="AE159" i="3"/>
  <c r="AC159" i="3"/>
  <c r="U159" i="3"/>
  <c r="P159" i="3"/>
  <c r="K159" i="3"/>
  <c r="H159" i="3"/>
  <c r="F159" i="3"/>
  <c r="AE158" i="3"/>
  <c r="AC158" i="3"/>
  <c r="U158" i="3"/>
  <c r="P158" i="3"/>
  <c r="K158" i="3"/>
  <c r="H158" i="3"/>
  <c r="F158" i="3"/>
  <c r="AE157" i="3"/>
  <c r="AC157" i="3"/>
  <c r="U157" i="3"/>
  <c r="P157" i="3"/>
  <c r="K157" i="3"/>
  <c r="H157" i="3"/>
  <c r="F157" i="3"/>
  <c r="AE156" i="3"/>
  <c r="AC156" i="3"/>
  <c r="U156" i="3"/>
  <c r="P156" i="3"/>
  <c r="K156" i="3"/>
  <c r="H156" i="3"/>
  <c r="F156" i="3"/>
  <c r="AE155" i="3"/>
  <c r="AC155" i="3"/>
  <c r="U155" i="3"/>
  <c r="P155" i="3"/>
  <c r="K155" i="3"/>
  <c r="H155" i="3"/>
  <c r="F155" i="3"/>
  <c r="AE154" i="3"/>
  <c r="AC154" i="3"/>
  <c r="U154" i="3"/>
  <c r="P154" i="3"/>
  <c r="K154" i="3"/>
  <c r="H154" i="3"/>
  <c r="F154" i="3"/>
  <c r="AE153" i="3"/>
  <c r="AC153" i="3"/>
  <c r="U153" i="3"/>
  <c r="P153" i="3"/>
  <c r="V153" i="3" s="1"/>
  <c r="K153" i="3"/>
  <c r="H153" i="3"/>
  <c r="F153" i="3"/>
  <c r="AE152" i="3"/>
  <c r="AC152" i="3"/>
  <c r="U152" i="3"/>
  <c r="P152" i="3"/>
  <c r="K152" i="3"/>
  <c r="H152" i="3"/>
  <c r="F152" i="3"/>
  <c r="AE151" i="3"/>
  <c r="AC151" i="3"/>
  <c r="U151" i="3"/>
  <c r="P151" i="3"/>
  <c r="K151" i="3"/>
  <c r="H151" i="3"/>
  <c r="F151" i="3"/>
  <c r="AE150" i="3"/>
  <c r="AC150" i="3"/>
  <c r="U150" i="3"/>
  <c r="P150" i="3"/>
  <c r="K150" i="3"/>
  <c r="H150" i="3"/>
  <c r="F150" i="3"/>
  <c r="AE149" i="3"/>
  <c r="AC149" i="3"/>
  <c r="U149" i="3"/>
  <c r="P149" i="3"/>
  <c r="K149" i="3"/>
  <c r="H149" i="3"/>
  <c r="F149" i="3"/>
  <c r="AE148" i="3"/>
  <c r="AC148" i="3"/>
  <c r="U148" i="3"/>
  <c r="P148" i="3"/>
  <c r="K148" i="3"/>
  <c r="H148" i="3"/>
  <c r="F148" i="3"/>
  <c r="AE147" i="3"/>
  <c r="AC147" i="3"/>
  <c r="U147" i="3"/>
  <c r="P147" i="3"/>
  <c r="K147" i="3"/>
  <c r="H147" i="3"/>
  <c r="F147" i="3"/>
  <c r="AE146" i="3"/>
  <c r="AC146" i="3"/>
  <c r="U146" i="3"/>
  <c r="P146" i="3"/>
  <c r="K146" i="3"/>
  <c r="H146" i="3"/>
  <c r="F146" i="3"/>
  <c r="AE145" i="3"/>
  <c r="AC145" i="3"/>
  <c r="U145" i="3"/>
  <c r="P145" i="3"/>
  <c r="V145" i="3" s="1"/>
  <c r="K145" i="3"/>
  <c r="H145" i="3"/>
  <c r="F145" i="3"/>
  <c r="AE144" i="3"/>
  <c r="AC144" i="3"/>
  <c r="U144" i="3"/>
  <c r="P144" i="3"/>
  <c r="K144" i="3"/>
  <c r="H144" i="3"/>
  <c r="F144" i="3"/>
  <c r="AE143" i="3"/>
  <c r="AC143" i="3"/>
  <c r="U143" i="3"/>
  <c r="P143" i="3"/>
  <c r="K143" i="3"/>
  <c r="H143" i="3"/>
  <c r="F143" i="3"/>
  <c r="AE142" i="3"/>
  <c r="AC142" i="3"/>
  <c r="U142" i="3"/>
  <c r="P142" i="3"/>
  <c r="K142" i="3"/>
  <c r="H142" i="3"/>
  <c r="F142" i="3"/>
  <c r="AE141" i="3"/>
  <c r="AC141" i="3"/>
  <c r="U141" i="3"/>
  <c r="P141" i="3"/>
  <c r="K141" i="3"/>
  <c r="H141" i="3"/>
  <c r="F141" i="3"/>
  <c r="AE140" i="3"/>
  <c r="AC140" i="3"/>
  <c r="U140" i="3"/>
  <c r="P140" i="3"/>
  <c r="K140" i="3"/>
  <c r="H140" i="3"/>
  <c r="F140" i="3"/>
  <c r="AE139" i="3"/>
  <c r="AC139" i="3"/>
  <c r="U139" i="3"/>
  <c r="P139" i="3"/>
  <c r="K139" i="3"/>
  <c r="H139" i="3"/>
  <c r="F139" i="3"/>
  <c r="AE138" i="3"/>
  <c r="AC138" i="3"/>
  <c r="U138" i="3"/>
  <c r="P138" i="3"/>
  <c r="K138" i="3"/>
  <c r="H138" i="3"/>
  <c r="F138" i="3"/>
  <c r="AE137" i="3"/>
  <c r="AC137" i="3"/>
  <c r="U137" i="3"/>
  <c r="P137" i="3"/>
  <c r="V137" i="3" s="1"/>
  <c r="K137" i="3"/>
  <c r="H137" i="3"/>
  <c r="F137" i="3"/>
  <c r="AE136" i="3"/>
  <c r="AC136" i="3"/>
  <c r="U136" i="3"/>
  <c r="P136" i="3"/>
  <c r="K136" i="3"/>
  <c r="H136" i="3"/>
  <c r="F136" i="3"/>
  <c r="AE135" i="3"/>
  <c r="AC135" i="3"/>
  <c r="U135" i="3"/>
  <c r="P135" i="3"/>
  <c r="K135" i="3"/>
  <c r="H135" i="3"/>
  <c r="F135" i="3"/>
  <c r="AE134" i="3"/>
  <c r="AC134" i="3"/>
  <c r="U134" i="3"/>
  <c r="P134" i="3"/>
  <c r="K134" i="3"/>
  <c r="H134" i="3"/>
  <c r="F134" i="3"/>
  <c r="AE133" i="3"/>
  <c r="AC133" i="3"/>
  <c r="U133" i="3"/>
  <c r="P133" i="3"/>
  <c r="K133" i="3"/>
  <c r="H133" i="3"/>
  <c r="F133" i="3"/>
  <c r="AE132" i="3"/>
  <c r="AC132" i="3"/>
  <c r="U132" i="3"/>
  <c r="P132" i="3"/>
  <c r="K132" i="3"/>
  <c r="H132" i="3"/>
  <c r="F132" i="3"/>
  <c r="AE131" i="3"/>
  <c r="AC131" i="3"/>
  <c r="U131" i="3"/>
  <c r="P131" i="3"/>
  <c r="K131" i="3"/>
  <c r="H131" i="3"/>
  <c r="F131" i="3"/>
  <c r="AE130" i="3"/>
  <c r="AC130" i="3"/>
  <c r="U130" i="3"/>
  <c r="P130" i="3"/>
  <c r="K130" i="3"/>
  <c r="H130" i="3"/>
  <c r="AE129" i="3"/>
  <c r="AC129" i="3"/>
  <c r="U129" i="3"/>
  <c r="P129" i="3"/>
  <c r="K129" i="3"/>
  <c r="H129" i="3"/>
  <c r="F129" i="3"/>
  <c r="AE128" i="3"/>
  <c r="AC128" i="3"/>
  <c r="U128" i="3"/>
  <c r="P128" i="3"/>
  <c r="K128" i="3"/>
  <c r="H128" i="3"/>
  <c r="F128" i="3"/>
  <c r="AE127" i="3"/>
  <c r="AC127" i="3"/>
  <c r="U127" i="3"/>
  <c r="P127" i="3"/>
  <c r="K127" i="3"/>
  <c r="H127" i="3"/>
  <c r="F127" i="3"/>
  <c r="AE126" i="3"/>
  <c r="AC126" i="3"/>
  <c r="U126" i="3"/>
  <c r="P126" i="3"/>
  <c r="K126" i="3"/>
  <c r="H126" i="3"/>
  <c r="F126" i="3"/>
  <c r="AE125" i="3"/>
  <c r="AC125" i="3"/>
  <c r="U125" i="3"/>
  <c r="V125" i="3" s="1"/>
  <c r="K125" i="3"/>
  <c r="H125" i="3"/>
  <c r="F125" i="3"/>
  <c r="AE124" i="3"/>
  <c r="AC124" i="3"/>
  <c r="U124" i="3"/>
  <c r="P124" i="3"/>
  <c r="K124" i="3"/>
  <c r="H124" i="3"/>
  <c r="F124" i="3"/>
  <c r="AE123" i="3"/>
  <c r="AC123" i="3"/>
  <c r="U123" i="3"/>
  <c r="P123" i="3"/>
  <c r="K123" i="3"/>
  <c r="H123" i="3"/>
  <c r="F123" i="3"/>
  <c r="AE122" i="3"/>
  <c r="AC122" i="3"/>
  <c r="U122" i="3"/>
  <c r="P122" i="3"/>
  <c r="K122" i="3"/>
  <c r="H122" i="3"/>
  <c r="F122" i="3"/>
  <c r="AE121" i="3"/>
  <c r="AC121" i="3"/>
  <c r="U121" i="3"/>
  <c r="P121" i="3"/>
  <c r="K121" i="3"/>
  <c r="H121" i="3"/>
  <c r="F121" i="3"/>
  <c r="AE120" i="3"/>
  <c r="AC120" i="3"/>
  <c r="U120" i="3"/>
  <c r="P120" i="3"/>
  <c r="K120" i="3"/>
  <c r="H120" i="3"/>
  <c r="F120" i="3"/>
  <c r="AE119" i="3"/>
  <c r="AC119" i="3"/>
  <c r="U119" i="3"/>
  <c r="P119" i="3"/>
  <c r="K119" i="3"/>
  <c r="H119" i="3"/>
  <c r="F119" i="3"/>
  <c r="AE118" i="3"/>
  <c r="AC118" i="3"/>
  <c r="U118" i="3"/>
  <c r="P118" i="3"/>
  <c r="K118" i="3"/>
  <c r="H118" i="3"/>
  <c r="F118" i="3"/>
  <c r="AE117" i="3"/>
  <c r="AC117" i="3"/>
  <c r="U117" i="3"/>
  <c r="P117" i="3"/>
  <c r="K117" i="3"/>
  <c r="H117" i="3"/>
  <c r="F117" i="3"/>
  <c r="AE116" i="3"/>
  <c r="AC116" i="3"/>
  <c r="U116" i="3"/>
  <c r="P116" i="3"/>
  <c r="K116" i="3"/>
  <c r="H116" i="3"/>
  <c r="F116" i="3"/>
  <c r="AE115" i="3"/>
  <c r="AC115" i="3"/>
  <c r="U115" i="3"/>
  <c r="P115" i="3"/>
  <c r="K115" i="3"/>
  <c r="H115" i="3"/>
  <c r="F115" i="3"/>
  <c r="AE114" i="3"/>
  <c r="AC114" i="3"/>
  <c r="U114" i="3"/>
  <c r="P114" i="3"/>
  <c r="K114" i="3"/>
  <c r="H114" i="3"/>
  <c r="F114" i="3"/>
  <c r="AE113" i="3"/>
  <c r="AC113" i="3"/>
  <c r="U113" i="3"/>
  <c r="P113" i="3"/>
  <c r="K113" i="3"/>
  <c r="H113" i="3"/>
  <c r="F113" i="3"/>
  <c r="AE112" i="3"/>
  <c r="AC112" i="3"/>
  <c r="U112" i="3"/>
  <c r="P112" i="3"/>
  <c r="K112" i="3"/>
  <c r="H112" i="3"/>
  <c r="F112" i="3"/>
  <c r="AE111" i="3"/>
  <c r="AC111" i="3"/>
  <c r="U111" i="3"/>
  <c r="P111" i="3"/>
  <c r="K111" i="3"/>
  <c r="H111" i="3"/>
  <c r="F111" i="3"/>
  <c r="AE110" i="3"/>
  <c r="AC110" i="3"/>
  <c r="U110" i="3"/>
  <c r="P110" i="3"/>
  <c r="K110" i="3"/>
  <c r="H110" i="3"/>
  <c r="F110" i="3"/>
  <c r="AE109" i="3"/>
  <c r="AC109" i="3"/>
  <c r="U109" i="3"/>
  <c r="P109" i="3"/>
  <c r="K109" i="3"/>
  <c r="H109" i="3"/>
  <c r="F109" i="3"/>
  <c r="AE108" i="3"/>
  <c r="AC108" i="3"/>
  <c r="U108" i="3"/>
  <c r="P108" i="3"/>
  <c r="K108" i="3"/>
  <c r="H108" i="3"/>
  <c r="F108" i="3"/>
  <c r="AE107" i="3"/>
  <c r="AC107" i="3"/>
  <c r="U107" i="3"/>
  <c r="P107" i="3"/>
  <c r="K107" i="3"/>
  <c r="H107" i="3"/>
  <c r="F107" i="3"/>
  <c r="AE106" i="3"/>
  <c r="AC106" i="3"/>
  <c r="U106" i="3"/>
  <c r="P106" i="3"/>
  <c r="K106" i="3"/>
  <c r="H106" i="3"/>
  <c r="F106" i="3"/>
  <c r="AE105" i="3"/>
  <c r="AC105" i="3"/>
  <c r="U105" i="3"/>
  <c r="P105" i="3"/>
  <c r="K105" i="3"/>
  <c r="H105" i="3"/>
  <c r="F105" i="3"/>
  <c r="AE104" i="3"/>
  <c r="AC104" i="3"/>
  <c r="U104" i="3"/>
  <c r="P104" i="3"/>
  <c r="K104" i="3"/>
  <c r="H104" i="3"/>
  <c r="F104" i="3"/>
  <c r="AE103" i="3"/>
  <c r="AC103" i="3"/>
  <c r="U103" i="3"/>
  <c r="P103" i="3"/>
  <c r="K103" i="3"/>
  <c r="H103" i="3"/>
  <c r="F103" i="3"/>
  <c r="AE102" i="3"/>
  <c r="AC102" i="3"/>
  <c r="U102" i="3"/>
  <c r="P102" i="3"/>
  <c r="K102" i="3"/>
  <c r="H102" i="3"/>
  <c r="F102" i="3"/>
  <c r="AE101" i="3"/>
  <c r="AC101" i="3"/>
  <c r="U101" i="3"/>
  <c r="P101" i="3"/>
  <c r="K101" i="3"/>
  <c r="H101" i="3"/>
  <c r="F101" i="3"/>
  <c r="AE100" i="3"/>
  <c r="AC100" i="3"/>
  <c r="U100" i="3"/>
  <c r="P100" i="3"/>
  <c r="K100" i="3"/>
  <c r="H100" i="3"/>
  <c r="F100" i="3"/>
  <c r="AE99" i="3"/>
  <c r="AC99" i="3"/>
  <c r="U99" i="3"/>
  <c r="P99" i="3"/>
  <c r="K99" i="3"/>
  <c r="H99" i="3"/>
  <c r="F99" i="3"/>
  <c r="AE98" i="3"/>
  <c r="AC98" i="3"/>
  <c r="U98" i="3"/>
  <c r="P98" i="3"/>
  <c r="K98" i="3"/>
  <c r="H98" i="3"/>
  <c r="F98" i="3"/>
  <c r="AE97" i="3"/>
  <c r="AC97" i="3"/>
  <c r="U97" i="3"/>
  <c r="P97" i="3"/>
  <c r="K97" i="3"/>
  <c r="H97" i="3"/>
  <c r="F97" i="3"/>
  <c r="AE96" i="3"/>
  <c r="AC96" i="3"/>
  <c r="U96" i="3"/>
  <c r="P96" i="3"/>
  <c r="K96" i="3"/>
  <c r="H96" i="3"/>
  <c r="F96" i="3"/>
  <c r="AE95" i="3"/>
  <c r="AC95" i="3"/>
  <c r="U95" i="3"/>
  <c r="P95" i="3"/>
  <c r="K95" i="3"/>
  <c r="H95" i="3"/>
  <c r="F95" i="3"/>
  <c r="AE94" i="3"/>
  <c r="AC94" i="3"/>
  <c r="U94" i="3"/>
  <c r="P94" i="3"/>
  <c r="K94" i="3"/>
  <c r="H94" i="3"/>
  <c r="F94" i="3"/>
  <c r="AE93" i="3"/>
  <c r="AC93" i="3"/>
  <c r="U93" i="3"/>
  <c r="P93" i="3"/>
  <c r="K93" i="3"/>
  <c r="H93" i="3"/>
  <c r="F93" i="3"/>
  <c r="AE92" i="3"/>
  <c r="AC92" i="3"/>
  <c r="U92" i="3"/>
  <c r="P92" i="3"/>
  <c r="K92" i="3"/>
  <c r="H92" i="3"/>
  <c r="F92" i="3"/>
  <c r="AE91" i="3"/>
  <c r="AC91" i="3"/>
  <c r="U91" i="3"/>
  <c r="P91" i="3"/>
  <c r="K91" i="3"/>
  <c r="H91" i="3"/>
  <c r="F91" i="3"/>
  <c r="AE90" i="3"/>
  <c r="AC90" i="3"/>
  <c r="U90" i="3"/>
  <c r="P90" i="3"/>
  <c r="K90" i="3"/>
  <c r="H90" i="3"/>
  <c r="F90" i="3"/>
  <c r="AE89" i="3"/>
  <c r="AC89" i="3"/>
  <c r="U89" i="3"/>
  <c r="P89" i="3"/>
  <c r="K89" i="3"/>
  <c r="H89" i="3"/>
  <c r="F89" i="3"/>
  <c r="AE88" i="3"/>
  <c r="AC88" i="3"/>
  <c r="U88" i="3"/>
  <c r="P88" i="3"/>
  <c r="K88" i="3"/>
  <c r="H88" i="3"/>
  <c r="F88" i="3"/>
  <c r="AE87" i="3"/>
  <c r="AC87" i="3"/>
  <c r="U87" i="3"/>
  <c r="P87" i="3"/>
  <c r="K87" i="3"/>
  <c r="H87" i="3"/>
  <c r="F87" i="3"/>
  <c r="AE86" i="3"/>
  <c r="AC86" i="3"/>
  <c r="U86" i="3"/>
  <c r="P86" i="3"/>
  <c r="K86" i="3"/>
  <c r="H86" i="3"/>
  <c r="F86" i="3"/>
  <c r="AE85" i="3"/>
  <c r="AC85" i="3"/>
  <c r="U85" i="3"/>
  <c r="P85" i="3"/>
  <c r="K85" i="3"/>
  <c r="H85" i="3"/>
  <c r="F85" i="3"/>
  <c r="AE84" i="3"/>
  <c r="AC84" i="3"/>
  <c r="U84" i="3"/>
  <c r="P84" i="3"/>
  <c r="K84" i="3"/>
  <c r="H84" i="3"/>
  <c r="F84" i="3"/>
  <c r="AE83" i="3"/>
  <c r="AC83" i="3"/>
  <c r="U83" i="3"/>
  <c r="P83" i="3"/>
  <c r="K83" i="3"/>
  <c r="H83" i="3"/>
  <c r="F83" i="3"/>
  <c r="AE82" i="3"/>
  <c r="AC82" i="3"/>
  <c r="U82" i="3"/>
  <c r="P82" i="3"/>
  <c r="K82" i="3"/>
  <c r="H82" i="3"/>
  <c r="AE81" i="3"/>
  <c r="AC81" i="3"/>
  <c r="U81" i="3"/>
  <c r="P81" i="3"/>
  <c r="K81" i="3"/>
  <c r="H81" i="3"/>
  <c r="F81" i="3"/>
  <c r="AE80" i="3"/>
  <c r="AC80" i="3"/>
  <c r="U80" i="3"/>
  <c r="P80" i="3"/>
  <c r="K80" i="3"/>
  <c r="H80" i="3"/>
  <c r="F80" i="3"/>
  <c r="AE79" i="3"/>
  <c r="AC79" i="3"/>
  <c r="U79" i="3"/>
  <c r="P79" i="3"/>
  <c r="K79" i="3"/>
  <c r="H79" i="3"/>
  <c r="F79" i="3"/>
  <c r="AE78" i="3"/>
  <c r="AC78" i="3"/>
  <c r="U78" i="3"/>
  <c r="P78" i="3"/>
  <c r="H78" i="3"/>
  <c r="F78" i="3"/>
  <c r="AE77" i="3"/>
  <c r="AC77" i="3"/>
  <c r="U77" i="3"/>
  <c r="P77" i="3"/>
  <c r="K77" i="3"/>
  <c r="H77" i="3"/>
  <c r="F77" i="3"/>
  <c r="AE76" i="3"/>
  <c r="AC76" i="3"/>
  <c r="U76" i="3"/>
  <c r="P76" i="3"/>
  <c r="K76" i="3"/>
  <c r="H76" i="3"/>
  <c r="F76" i="3"/>
  <c r="V427" i="3" l="1"/>
  <c r="V355" i="3"/>
  <c r="V368" i="3"/>
  <c r="V387" i="3"/>
  <c r="V363" i="3"/>
  <c r="V371" i="3"/>
  <c r="V433" i="3"/>
  <c r="V78" i="3"/>
  <c r="V101" i="3"/>
  <c r="V109" i="3"/>
  <c r="V117" i="3"/>
  <c r="V131" i="3"/>
  <c r="V139" i="3"/>
  <c r="V147" i="3"/>
  <c r="V155" i="3"/>
  <c r="V163" i="3"/>
  <c r="V171" i="3"/>
  <c r="V179" i="3"/>
  <c r="V187" i="3"/>
  <c r="V195" i="3"/>
  <c r="V203" i="3"/>
  <c r="V212" i="3"/>
  <c r="V219" i="3"/>
  <c r="V227" i="3"/>
  <c r="V235" i="3"/>
  <c r="V243" i="3"/>
  <c r="V251" i="3"/>
  <c r="V259" i="3"/>
  <c r="V266" i="3"/>
  <c r="V274" i="3"/>
  <c r="V281" i="3"/>
  <c r="V289" i="3"/>
  <c r="V297" i="3"/>
  <c r="V310" i="3"/>
  <c r="V353" i="3"/>
  <c r="V360" i="3"/>
  <c r="V388" i="3"/>
  <c r="V215" i="3"/>
  <c r="V223" i="3"/>
  <c r="V231" i="3"/>
  <c r="V239" i="3"/>
  <c r="V247" i="3"/>
  <c r="V255" i="3"/>
  <c r="V80" i="3"/>
  <c r="V126" i="3"/>
  <c r="V133" i="3"/>
  <c r="V141" i="3"/>
  <c r="V149" i="3"/>
  <c r="V312" i="3"/>
  <c r="V319" i="3"/>
  <c r="V340" i="3"/>
  <c r="V348" i="3"/>
  <c r="V390" i="3"/>
  <c r="V389" i="3"/>
  <c r="V366" i="3"/>
  <c r="V374" i="3"/>
  <c r="V130" i="3"/>
  <c r="V138" i="3"/>
  <c r="V146" i="3"/>
  <c r="V154" i="3"/>
  <c r="V162" i="3"/>
  <c r="V178" i="3"/>
  <c r="V186" i="3"/>
  <c r="V194" i="3"/>
  <c r="V202" i="3"/>
  <c r="V218" i="3"/>
  <c r="V226" i="3"/>
  <c r="V234" i="3"/>
  <c r="V242" i="3"/>
  <c r="V250" i="3"/>
  <c r="V324" i="3"/>
  <c r="V345" i="3"/>
  <c r="V365" i="3"/>
  <c r="V373" i="3"/>
  <c r="V379" i="3"/>
  <c r="V429" i="3"/>
  <c r="V97" i="3"/>
  <c r="V105" i="3"/>
  <c r="V113" i="3"/>
  <c r="V121" i="3"/>
  <c r="V208" i="3"/>
  <c r="V81" i="3"/>
  <c r="V127" i="3"/>
  <c r="V134" i="3"/>
  <c r="V142" i="3"/>
  <c r="V150" i="3"/>
  <c r="V158" i="3"/>
  <c r="V166" i="3"/>
  <c r="V174" i="3"/>
  <c r="V182" i="3"/>
  <c r="V190" i="3"/>
  <c r="V198" i="3"/>
  <c r="V206" i="3"/>
  <c r="V214" i="3"/>
  <c r="V222" i="3"/>
  <c r="V230" i="3"/>
  <c r="V238" i="3"/>
  <c r="V246" i="3"/>
  <c r="V254" i="3"/>
  <c r="V262" i="3"/>
  <c r="V269" i="3"/>
  <c r="V307" i="3"/>
  <c r="V336" i="3"/>
  <c r="V356" i="3"/>
  <c r="V361" i="3"/>
  <c r="V369" i="3"/>
  <c r="V375" i="3"/>
  <c r="V395" i="3"/>
  <c r="V402" i="3"/>
  <c r="V410" i="3"/>
  <c r="V418" i="3"/>
  <c r="V425" i="3"/>
  <c r="V157" i="3"/>
  <c r="V165" i="3"/>
  <c r="V173" i="3"/>
  <c r="V181" i="3"/>
  <c r="V189" i="3"/>
  <c r="V197" i="3"/>
  <c r="V205" i="3"/>
  <c r="V221" i="3"/>
  <c r="V229" i="3"/>
  <c r="V237" i="3"/>
  <c r="V245" i="3"/>
  <c r="V253" i="3"/>
  <c r="V261" i="3"/>
  <c r="V268" i="3"/>
  <c r="V327" i="3"/>
  <c r="V409" i="3"/>
  <c r="V417" i="3"/>
  <c r="V424" i="3"/>
  <c r="V432" i="3"/>
  <c r="V79" i="3"/>
  <c r="V84" i="3"/>
  <c r="V92" i="3"/>
  <c r="V100" i="3"/>
  <c r="V108" i="3"/>
  <c r="V116" i="3"/>
  <c r="V124" i="3"/>
  <c r="V170" i="3"/>
  <c r="V258" i="3"/>
  <c r="V273" i="3"/>
  <c r="V309" i="3"/>
  <c r="V332" i="3"/>
  <c r="V359" i="3"/>
  <c r="V399" i="3"/>
  <c r="V406" i="3"/>
  <c r="V414" i="3"/>
  <c r="V421" i="3"/>
  <c r="V91" i="3"/>
  <c r="V99" i="3"/>
  <c r="V107" i="3"/>
  <c r="V115" i="3"/>
  <c r="V123" i="3"/>
  <c r="V287" i="3"/>
  <c r="V295" i="3"/>
  <c r="V303" i="3"/>
  <c r="V316" i="3"/>
  <c r="V323" i="3"/>
  <c r="V331" i="3"/>
  <c r="V358" i="3"/>
  <c r="V364" i="3"/>
  <c r="V372" i="3"/>
  <c r="V405" i="3"/>
  <c r="V413" i="3"/>
  <c r="V83" i="3"/>
  <c r="V98" i="3"/>
  <c r="V106" i="3"/>
  <c r="V114" i="3"/>
  <c r="V122" i="3"/>
  <c r="V209" i="3"/>
  <c r="V216" i="3"/>
  <c r="V224" i="3"/>
  <c r="V232" i="3"/>
  <c r="V240" i="3"/>
  <c r="V248" i="3"/>
  <c r="V256" i="3"/>
  <c r="V264" i="3"/>
  <c r="V271" i="3"/>
  <c r="V278" i="3"/>
  <c r="V286" i="3"/>
  <c r="V294" i="3"/>
  <c r="V302" i="3"/>
  <c r="V315" i="3"/>
  <c r="V263" i="3"/>
  <c r="V270" i="3"/>
  <c r="V314" i="3"/>
  <c r="V362" i="3"/>
  <c r="V370" i="3"/>
  <c r="V376" i="3"/>
  <c r="V385" i="3"/>
  <c r="V396" i="3"/>
  <c r="V403" i="3"/>
  <c r="V411" i="3"/>
  <c r="V419" i="3"/>
  <c r="V88" i="3"/>
  <c r="V96" i="3"/>
  <c r="V104" i="3"/>
  <c r="V112" i="3"/>
  <c r="V120" i="3"/>
  <c r="V313" i="3"/>
  <c r="V103" i="3"/>
  <c r="V111" i="3"/>
  <c r="V119" i="3"/>
  <c r="V335" i="3"/>
  <c r="V102" i="3"/>
  <c r="V110" i="3"/>
  <c r="V118" i="3"/>
  <c r="V220" i="3"/>
  <c r="V228" i="3"/>
  <c r="V236" i="3"/>
  <c r="V244" i="3"/>
  <c r="V252" i="3"/>
  <c r="V260" i="3"/>
  <c r="V267" i="3"/>
  <c r="V275" i="3"/>
  <c r="V282" i="3"/>
  <c r="V290" i="3"/>
  <c r="V298" i="3"/>
  <c r="V311" i="3"/>
  <c r="V318" i="3"/>
  <c r="V326" i="3"/>
  <c r="V339" i="3"/>
  <c r="V347" i="3"/>
  <c r="V354" i="3"/>
  <c r="V367" i="3"/>
  <c r="V381" i="3"/>
  <c r="V382" i="3"/>
  <c r="V393" i="3"/>
  <c r="V408" i="3"/>
  <c r="V416" i="3"/>
  <c r="V82" i="3"/>
  <c r="V334" i="3"/>
  <c r="V384" i="3"/>
  <c r="V90" i="3"/>
  <c r="V89" i="3"/>
  <c r="V132" i="3"/>
  <c r="V140" i="3"/>
  <c r="V148" i="3"/>
  <c r="V156" i="3"/>
  <c r="V164" i="3"/>
  <c r="V172" i="3"/>
  <c r="V180" i="3"/>
  <c r="V188" i="3"/>
  <c r="V196" i="3"/>
  <c r="V204" i="3"/>
  <c r="V213" i="3"/>
  <c r="V280" i="3"/>
  <c r="V288" i="3"/>
  <c r="V296" i="3"/>
  <c r="V304" i="3"/>
  <c r="V317" i="3"/>
  <c r="V325" i="3"/>
  <c r="V333" i="3"/>
  <c r="V338" i="3"/>
  <c r="V346" i="3"/>
  <c r="V383" i="3"/>
  <c r="V394" i="3"/>
  <c r="V428" i="3"/>
  <c r="V87" i="3"/>
  <c r="V95" i="3"/>
  <c r="V211" i="3"/>
  <c r="V344" i="3"/>
  <c r="V352" i="3"/>
  <c r="V380" i="3"/>
  <c r="V392" i="3"/>
  <c r="V400" i="3"/>
  <c r="V426" i="3"/>
  <c r="V77" i="3"/>
  <c r="V86" i="3"/>
  <c r="V94" i="3"/>
  <c r="V193" i="3"/>
  <c r="V201" i="3"/>
  <c r="V210" i="3"/>
  <c r="V277" i="3"/>
  <c r="V285" i="3"/>
  <c r="V293" i="3"/>
  <c r="V301" i="3"/>
  <c r="V322" i="3"/>
  <c r="V330" i="3"/>
  <c r="V343" i="3"/>
  <c r="V351" i="3"/>
  <c r="V76" i="3"/>
  <c r="V85" i="3"/>
  <c r="V93" i="3"/>
  <c r="V129" i="3"/>
  <c r="V136" i="3"/>
  <c r="V144" i="3"/>
  <c r="V152" i="3"/>
  <c r="V160" i="3"/>
  <c r="V168" i="3"/>
  <c r="V176" i="3"/>
  <c r="V184" i="3"/>
  <c r="V192" i="3"/>
  <c r="V200" i="3"/>
  <c r="V276" i="3"/>
  <c r="V284" i="3"/>
  <c r="V292" i="3"/>
  <c r="V300" i="3"/>
  <c r="V321" i="3"/>
  <c r="V329" i="3"/>
  <c r="V342" i="3"/>
  <c r="V350" i="3"/>
  <c r="V378" i="3"/>
  <c r="V398" i="3"/>
  <c r="V128" i="3"/>
  <c r="V135" i="3"/>
  <c r="V143" i="3"/>
  <c r="V151" i="3"/>
  <c r="V159" i="3"/>
  <c r="V167" i="3"/>
  <c r="V175" i="3"/>
  <c r="V183" i="3"/>
  <c r="V191" i="3"/>
  <c r="V199" i="3"/>
  <c r="V207" i="3"/>
  <c r="V283" i="3"/>
  <c r="V291" i="3"/>
  <c r="V299" i="3"/>
  <c r="V306" i="3"/>
  <c r="V320" i="3"/>
  <c r="V328" i="3"/>
  <c r="V341" i="3"/>
  <c r="V349" i="3"/>
  <c r="V377" i="3"/>
  <c r="V397" i="3"/>
  <c r="V423" i="3"/>
  <c r="V431" i="3"/>
  <c r="W10" i="10"/>
  <c r="O10" i="7"/>
  <c r="O7" i="7"/>
  <c r="Z9" i="10"/>
  <c r="O9" i="7"/>
  <c r="U6" i="10"/>
  <c r="W7" i="10"/>
  <c r="Y8" i="10"/>
  <c r="Y10" i="10" s="1"/>
  <c r="X14" i="11"/>
  <c r="O6" i="7"/>
  <c r="O13" i="7" s="1"/>
  <c r="V6" i="10"/>
  <c r="X7" i="10"/>
  <c r="Z8" i="10"/>
  <c r="Y14" i="11"/>
  <c r="Y10" i="9"/>
  <c r="U5" i="10"/>
  <c r="U10" i="10" s="1"/>
  <c r="W6" i="10"/>
  <c r="Y7" i="10"/>
  <c r="U9" i="10"/>
  <c r="X13" i="11"/>
  <c r="V5" i="10"/>
  <c r="V10" i="10" s="1"/>
  <c r="X6" i="10"/>
  <c r="X10" i="10" s="1"/>
  <c r="Z7" i="10"/>
  <c r="Z10" i="10" s="1"/>
  <c r="R10" i="7" l="1"/>
  <c r="S5" i="7"/>
  <c r="S11" i="7"/>
  <c r="R8" i="7"/>
  <c r="S12" i="7"/>
  <c r="S8" i="7"/>
  <c r="R5" i="7"/>
  <c r="S6" i="7"/>
  <c r="R12" i="7"/>
  <c r="S10" i="7"/>
  <c r="R11" i="7"/>
  <c r="S7" i="7"/>
  <c r="S9" i="7"/>
  <c r="R7" i="7"/>
  <c r="R6" i="7"/>
  <c r="R9" i="7"/>
  <c r="K5" i="3"/>
  <c r="AC25" i="3" l="1"/>
  <c r="AC68" i="3" l="1"/>
  <c r="AE68" i="3"/>
  <c r="AC57" i="3"/>
  <c r="AE57" i="3"/>
  <c r="AC23" i="3"/>
  <c r="AE23" i="3"/>
  <c r="AC24" i="3"/>
  <c r="AE24" i="3"/>
  <c r="AE25" i="3"/>
  <c r="AC58" i="3"/>
  <c r="AE58" i="3"/>
  <c r="AC17" i="3"/>
  <c r="AE17" i="3"/>
  <c r="AC67" i="3"/>
  <c r="AE67" i="3"/>
  <c r="AC64" i="3"/>
  <c r="AE64" i="3"/>
  <c r="AC18" i="3"/>
  <c r="AE18" i="3"/>
  <c r="AC50" i="3"/>
  <c r="AE50" i="3"/>
  <c r="AC33" i="3"/>
  <c r="AE33" i="3"/>
  <c r="AC31" i="3"/>
  <c r="AE31" i="3"/>
  <c r="AC32" i="3"/>
  <c r="AE32" i="3"/>
  <c r="AC69" i="3"/>
  <c r="AE69" i="3"/>
  <c r="AC3" i="3"/>
  <c r="AE3" i="3"/>
  <c r="AC14" i="3"/>
  <c r="AE14" i="3"/>
  <c r="AC6" i="3"/>
  <c r="AE6" i="3"/>
  <c r="AC71" i="3"/>
  <c r="AE71" i="3"/>
  <c r="AC40" i="3"/>
  <c r="AE40" i="3"/>
  <c r="AC51" i="3"/>
  <c r="AE51" i="3"/>
  <c r="AC59" i="3"/>
  <c r="AE59" i="3"/>
  <c r="AC60" i="3"/>
  <c r="AE60" i="3"/>
  <c r="AC28" i="3"/>
  <c r="AE28" i="3"/>
  <c r="AC19" i="3"/>
  <c r="AE19" i="3"/>
  <c r="AC7" i="3"/>
  <c r="AE7" i="3"/>
  <c r="AC10" i="3"/>
  <c r="AE10" i="3"/>
  <c r="AC52" i="3"/>
  <c r="AE52" i="3"/>
  <c r="AC61" i="3"/>
  <c r="AE61" i="3"/>
  <c r="AC11" i="3"/>
  <c r="AE11" i="3"/>
  <c r="AC65" i="3"/>
  <c r="AE65" i="3"/>
  <c r="AC41" i="3"/>
  <c r="AE41" i="3"/>
  <c r="AC62" i="3"/>
  <c r="AE62" i="3"/>
  <c r="AC42" i="3"/>
  <c r="AE42" i="3"/>
  <c r="AC63" i="3"/>
  <c r="AE63" i="3"/>
  <c r="AC8" i="3"/>
  <c r="AE8" i="3"/>
  <c r="AC4" i="3"/>
  <c r="AE4" i="3"/>
  <c r="AC35" i="3"/>
  <c r="AE35" i="3"/>
  <c r="AC43" i="3"/>
  <c r="AE43" i="3"/>
  <c r="AC44" i="3"/>
  <c r="AE44" i="3"/>
  <c r="AC30" i="3"/>
  <c r="AE30" i="3"/>
  <c r="AC74" i="3"/>
  <c r="AE74" i="3"/>
  <c r="AC12" i="3"/>
  <c r="AE12" i="3"/>
  <c r="AC66" i="3"/>
  <c r="AE66" i="3"/>
  <c r="U68" i="3"/>
  <c r="U57" i="3"/>
  <c r="U23" i="3"/>
  <c r="U24" i="3"/>
  <c r="U25" i="3"/>
  <c r="U58" i="3"/>
  <c r="U17" i="3"/>
  <c r="U67" i="3"/>
  <c r="U64" i="3"/>
  <c r="U18" i="3"/>
  <c r="U50" i="3"/>
  <c r="U33" i="3"/>
  <c r="U31" i="3"/>
  <c r="U32" i="3"/>
  <c r="U69" i="3"/>
  <c r="U3" i="3"/>
  <c r="U14" i="3"/>
  <c r="U6" i="3"/>
  <c r="U71" i="3"/>
  <c r="U40" i="3"/>
  <c r="U51" i="3"/>
  <c r="U59" i="3"/>
  <c r="U60" i="3"/>
  <c r="U28" i="3"/>
  <c r="U19" i="3"/>
  <c r="U7" i="3"/>
  <c r="U10" i="3"/>
  <c r="U52" i="3"/>
  <c r="U61" i="3"/>
  <c r="U11" i="3"/>
  <c r="U65" i="3"/>
  <c r="U41" i="3"/>
  <c r="U62" i="3"/>
  <c r="U42" i="3"/>
  <c r="U63" i="3"/>
  <c r="U8" i="3"/>
  <c r="U4" i="3"/>
  <c r="U35" i="3"/>
  <c r="U43" i="3"/>
  <c r="U44" i="3"/>
  <c r="U30" i="3"/>
  <c r="U74" i="3"/>
  <c r="U12" i="3"/>
  <c r="U66" i="3"/>
  <c r="P68" i="3"/>
  <c r="P57" i="3"/>
  <c r="P23" i="3"/>
  <c r="P24" i="3"/>
  <c r="P25" i="3"/>
  <c r="P58" i="3"/>
  <c r="P17" i="3"/>
  <c r="P67" i="3"/>
  <c r="P64" i="3"/>
  <c r="P18" i="3"/>
  <c r="P50" i="3"/>
  <c r="P33" i="3"/>
  <c r="P31" i="3"/>
  <c r="P32" i="3"/>
  <c r="P69" i="3"/>
  <c r="P3" i="3"/>
  <c r="P14" i="3"/>
  <c r="P6" i="3"/>
  <c r="P71" i="3"/>
  <c r="P40" i="3"/>
  <c r="P51" i="3"/>
  <c r="P59" i="3"/>
  <c r="P60" i="3"/>
  <c r="P28" i="3"/>
  <c r="P19" i="3"/>
  <c r="P7" i="3"/>
  <c r="P10" i="3"/>
  <c r="P52" i="3"/>
  <c r="P61" i="3"/>
  <c r="P11" i="3"/>
  <c r="P65" i="3"/>
  <c r="P41" i="3"/>
  <c r="P62" i="3"/>
  <c r="P42" i="3"/>
  <c r="P63" i="3"/>
  <c r="P8" i="3"/>
  <c r="P4" i="3"/>
  <c r="P35" i="3"/>
  <c r="P43" i="3"/>
  <c r="P44" i="3"/>
  <c r="P30" i="3"/>
  <c r="P74" i="3"/>
  <c r="P12" i="3"/>
  <c r="P66" i="3"/>
  <c r="K68" i="3"/>
  <c r="K57" i="3"/>
  <c r="K23" i="3"/>
  <c r="K24" i="3"/>
  <c r="K25" i="3"/>
  <c r="K58" i="3"/>
  <c r="K17" i="3"/>
  <c r="K67" i="3"/>
  <c r="K64" i="3"/>
  <c r="K18" i="3"/>
  <c r="K50" i="3"/>
  <c r="K33" i="3"/>
  <c r="K31" i="3"/>
  <c r="K32" i="3"/>
  <c r="K69" i="3"/>
  <c r="K3" i="3"/>
  <c r="K14" i="3"/>
  <c r="K6" i="3"/>
  <c r="K71" i="3"/>
  <c r="K40" i="3"/>
  <c r="K51" i="3"/>
  <c r="K59" i="3"/>
  <c r="K60" i="3"/>
  <c r="K28" i="3"/>
  <c r="K19" i="3"/>
  <c r="K7" i="3"/>
  <c r="K10" i="3"/>
  <c r="K52" i="3"/>
  <c r="K61" i="3"/>
  <c r="K11" i="3"/>
  <c r="K65" i="3"/>
  <c r="K41" i="3"/>
  <c r="K62" i="3"/>
  <c r="K42" i="3"/>
  <c r="K63" i="3"/>
  <c r="K8" i="3"/>
  <c r="K4" i="3"/>
  <c r="K35" i="3"/>
  <c r="K43" i="3"/>
  <c r="K44" i="3"/>
  <c r="K30" i="3"/>
  <c r="K74" i="3"/>
  <c r="K12" i="3"/>
  <c r="K66" i="3"/>
  <c r="H68" i="3"/>
  <c r="H57" i="3"/>
  <c r="H23" i="3"/>
  <c r="H24" i="3"/>
  <c r="H25" i="3"/>
  <c r="H58" i="3"/>
  <c r="H17" i="3"/>
  <c r="H67" i="3"/>
  <c r="H64" i="3"/>
  <c r="H18" i="3"/>
  <c r="H50" i="3"/>
  <c r="H33" i="3"/>
  <c r="H31" i="3"/>
  <c r="H32" i="3"/>
  <c r="H69" i="3"/>
  <c r="H3" i="3"/>
  <c r="H14" i="3"/>
  <c r="H6" i="3"/>
  <c r="H71" i="3"/>
  <c r="H40" i="3"/>
  <c r="H51" i="3"/>
  <c r="H59" i="3"/>
  <c r="H60" i="3"/>
  <c r="H28" i="3"/>
  <c r="H19" i="3"/>
  <c r="H7" i="3"/>
  <c r="H10" i="3"/>
  <c r="H52" i="3"/>
  <c r="H61" i="3"/>
  <c r="H11" i="3"/>
  <c r="H65" i="3"/>
  <c r="H41" i="3"/>
  <c r="H62" i="3"/>
  <c r="H42" i="3"/>
  <c r="H63" i="3"/>
  <c r="H8" i="3"/>
  <c r="H4" i="3"/>
  <c r="H35" i="3"/>
  <c r="H43" i="3"/>
  <c r="H44" i="3"/>
  <c r="H30" i="3"/>
  <c r="H74" i="3"/>
  <c r="H12" i="3"/>
  <c r="H66" i="3"/>
  <c r="F68" i="3"/>
  <c r="F57" i="3"/>
  <c r="F23" i="3"/>
  <c r="F24" i="3"/>
  <c r="F25" i="3"/>
  <c r="F58" i="3"/>
  <c r="F17" i="3"/>
  <c r="F67" i="3"/>
  <c r="F64" i="3"/>
  <c r="F18" i="3"/>
  <c r="F50" i="3"/>
  <c r="F33" i="3"/>
  <c r="F31" i="3"/>
  <c r="F32" i="3"/>
  <c r="F69" i="3"/>
  <c r="F3" i="3"/>
  <c r="F14" i="3"/>
  <c r="F6" i="3"/>
  <c r="F71" i="3"/>
  <c r="F40" i="3"/>
  <c r="F51" i="3"/>
  <c r="F59" i="3"/>
  <c r="F60" i="3"/>
  <c r="F28" i="3"/>
  <c r="F19" i="3"/>
  <c r="F7" i="3"/>
  <c r="F10" i="3"/>
  <c r="F52" i="3"/>
  <c r="F61" i="3"/>
  <c r="F11" i="3"/>
  <c r="F65" i="3"/>
  <c r="F41" i="3"/>
  <c r="F62" i="3"/>
  <c r="F42" i="3"/>
  <c r="F63" i="3"/>
  <c r="F8" i="3"/>
  <c r="F4" i="3"/>
  <c r="F35" i="3"/>
  <c r="F43" i="3"/>
  <c r="F44" i="3"/>
  <c r="F30" i="3"/>
  <c r="F74" i="3"/>
  <c r="F12" i="3"/>
  <c r="F66" i="3"/>
  <c r="AE56" i="3"/>
  <c r="AE5" i="3"/>
  <c r="AE49" i="3"/>
  <c r="AE13" i="3"/>
  <c r="AE48" i="3"/>
  <c r="AE55" i="3"/>
  <c r="AE47" i="3"/>
  <c r="AE54" i="3"/>
  <c r="AE22" i="3"/>
  <c r="AE39" i="3"/>
  <c r="AE70" i="3"/>
  <c r="AE73" i="3"/>
  <c r="AE27" i="3"/>
  <c r="AE37" i="3"/>
  <c r="AE34" i="3"/>
  <c r="AE46" i="3"/>
  <c r="AE21" i="3"/>
  <c r="AE16" i="3"/>
  <c r="AE29" i="3"/>
  <c r="AE26" i="3"/>
  <c r="AE45" i="3"/>
  <c r="AE75" i="3"/>
  <c r="AE38" i="3"/>
  <c r="AE9" i="3"/>
  <c r="AE15" i="3"/>
  <c r="AE20" i="3"/>
  <c r="AE72" i="3"/>
  <c r="AE53" i="3"/>
  <c r="AE36" i="3"/>
  <c r="AE2" i="3"/>
  <c r="AC56" i="3"/>
  <c r="AC5" i="3"/>
  <c r="AC49" i="3"/>
  <c r="AC13" i="3"/>
  <c r="AC48" i="3"/>
  <c r="AC55" i="3"/>
  <c r="AC47" i="3"/>
  <c r="AC54" i="3"/>
  <c r="AC22" i="3"/>
  <c r="AC39" i="3"/>
  <c r="AC70" i="3"/>
  <c r="AC73" i="3"/>
  <c r="AC27" i="3"/>
  <c r="AC37" i="3"/>
  <c r="AC34" i="3"/>
  <c r="AC46" i="3"/>
  <c r="AC21" i="3"/>
  <c r="AC16" i="3"/>
  <c r="AC29" i="3"/>
  <c r="AC26" i="3"/>
  <c r="AC45" i="3"/>
  <c r="AC75" i="3"/>
  <c r="AC38" i="3"/>
  <c r="AC9" i="3"/>
  <c r="AC15" i="3"/>
  <c r="AC20" i="3"/>
  <c r="AC72" i="3"/>
  <c r="AC53" i="3"/>
  <c r="AC36" i="3"/>
  <c r="AC2" i="3"/>
  <c r="K36" i="3"/>
  <c r="K53" i="3"/>
  <c r="K72" i="3"/>
  <c r="K20" i="3"/>
  <c r="K15" i="3"/>
  <c r="K9" i="3"/>
  <c r="K38" i="3"/>
  <c r="K75" i="3"/>
  <c r="K45" i="3"/>
  <c r="K26" i="3"/>
  <c r="K29" i="3"/>
  <c r="K16" i="3"/>
  <c r="K21" i="3"/>
  <c r="K46" i="3"/>
  <c r="K34" i="3"/>
  <c r="K37" i="3"/>
  <c r="K27" i="3"/>
  <c r="K73" i="3"/>
  <c r="K70" i="3"/>
  <c r="K39" i="3"/>
  <c r="K22" i="3"/>
  <c r="K54" i="3"/>
  <c r="K47" i="3"/>
  <c r="K55" i="3"/>
  <c r="K48" i="3"/>
  <c r="K13" i="3"/>
  <c r="K49" i="3"/>
  <c r="K56" i="3"/>
  <c r="H36" i="3"/>
  <c r="H53" i="3"/>
  <c r="H72" i="3"/>
  <c r="H20" i="3"/>
  <c r="H15" i="3"/>
  <c r="H9" i="3"/>
  <c r="H38" i="3"/>
  <c r="H75" i="3"/>
  <c r="H45" i="3"/>
  <c r="H26" i="3"/>
  <c r="H29" i="3"/>
  <c r="H16" i="3"/>
  <c r="H21" i="3"/>
  <c r="H46" i="3"/>
  <c r="H34" i="3"/>
  <c r="H37" i="3"/>
  <c r="H27" i="3"/>
  <c r="H73" i="3"/>
  <c r="H70" i="3"/>
  <c r="H39" i="3"/>
  <c r="H22" i="3"/>
  <c r="H54" i="3"/>
  <c r="H47" i="3"/>
  <c r="H55" i="3"/>
  <c r="H48" i="3"/>
  <c r="H13" i="3"/>
  <c r="H49" i="3"/>
  <c r="H5" i="3"/>
  <c r="H56" i="3"/>
  <c r="F36" i="3"/>
  <c r="F53" i="3"/>
  <c r="F72" i="3"/>
  <c r="F20" i="3"/>
  <c r="F15" i="3"/>
  <c r="F9" i="3"/>
  <c r="F38" i="3"/>
  <c r="F75" i="3"/>
  <c r="F45" i="3"/>
  <c r="F26" i="3"/>
  <c r="F29" i="3"/>
  <c r="F16" i="3"/>
  <c r="F21" i="3"/>
  <c r="F46" i="3"/>
  <c r="F34" i="3"/>
  <c r="F37" i="3"/>
  <c r="F27" i="3"/>
  <c r="F73" i="3"/>
  <c r="F70" i="3"/>
  <c r="F39" i="3"/>
  <c r="F22" i="3"/>
  <c r="F54" i="3"/>
  <c r="F47" i="3"/>
  <c r="F55" i="3"/>
  <c r="F48" i="3"/>
  <c r="F13" i="3"/>
  <c r="F49" i="3"/>
  <c r="F5" i="3"/>
  <c r="F56" i="3"/>
  <c r="K2" i="3"/>
  <c r="H2" i="3"/>
  <c r="F2" i="3"/>
  <c r="V8" i="3" l="1"/>
  <c r="V52" i="3"/>
  <c r="V33" i="3"/>
  <c r="V6" i="3"/>
  <c r="V59" i="3"/>
  <c r="V42" i="3"/>
  <c r="V11" i="3"/>
  <c r="V7" i="3"/>
  <c r="V32" i="3"/>
  <c r="V50" i="3"/>
  <c r="V17" i="3"/>
  <c r="V23" i="3"/>
  <c r="V66" i="3"/>
  <c r="V44" i="3"/>
  <c r="V62" i="3"/>
  <c r="V61" i="3"/>
  <c r="V12" i="3"/>
  <c r="V43" i="3"/>
  <c r="V41" i="3"/>
  <c r="V19" i="3"/>
  <c r="V51" i="3"/>
  <c r="V14" i="3"/>
  <c r="V31" i="3"/>
  <c r="V18" i="3"/>
  <c r="V58" i="3"/>
  <c r="V57" i="3"/>
  <c r="V74" i="3"/>
  <c r="V35" i="3"/>
  <c r="V63" i="3"/>
  <c r="V65" i="3"/>
  <c r="V28" i="3"/>
  <c r="V40" i="3"/>
  <c r="V3" i="3"/>
  <c r="V64" i="3"/>
  <c r="V25" i="3"/>
  <c r="V68" i="3"/>
  <c r="V30" i="3"/>
  <c r="V4" i="3"/>
  <c r="V10" i="3"/>
  <c r="V60" i="3"/>
  <c r="V71" i="3"/>
  <c r="V69" i="3"/>
  <c r="V67" i="3"/>
  <c r="V24" i="3"/>
  <c r="P56" i="3" l="1"/>
  <c r="U56" i="3"/>
  <c r="V56" i="3" l="1"/>
  <c r="U36" i="3"/>
  <c r="U72" i="3"/>
  <c r="U20" i="3"/>
  <c r="U15" i="3"/>
  <c r="U9" i="3"/>
  <c r="U38" i="3"/>
  <c r="U75" i="3"/>
  <c r="U45" i="3"/>
  <c r="U26" i="3"/>
  <c r="U29" i="3"/>
  <c r="U16" i="3"/>
  <c r="U21" i="3"/>
  <c r="U46" i="3"/>
  <c r="U34" i="3"/>
  <c r="U37" i="3"/>
  <c r="U27" i="3"/>
  <c r="U73" i="3"/>
  <c r="U70" i="3"/>
  <c r="U39" i="3"/>
  <c r="U22" i="3"/>
  <c r="U54" i="3"/>
  <c r="U47" i="3"/>
  <c r="U55" i="3"/>
  <c r="U48" i="3"/>
  <c r="U13" i="3"/>
  <c r="U49" i="3"/>
  <c r="U5" i="3"/>
  <c r="U2" i="3"/>
  <c r="P53" i="3"/>
  <c r="P72" i="3"/>
  <c r="P20" i="3"/>
  <c r="P15" i="3"/>
  <c r="P9" i="3"/>
  <c r="P38" i="3"/>
  <c r="P75" i="3"/>
  <c r="P45" i="3"/>
  <c r="P26" i="3"/>
  <c r="P29" i="3"/>
  <c r="P16" i="3"/>
  <c r="P21" i="3"/>
  <c r="P46" i="3"/>
  <c r="P34" i="3"/>
  <c r="P37" i="3"/>
  <c r="P27" i="3"/>
  <c r="P73" i="3"/>
  <c r="P70" i="3"/>
  <c r="P39" i="3"/>
  <c r="P22" i="3"/>
  <c r="P54" i="3"/>
  <c r="P47" i="3"/>
  <c r="P55" i="3"/>
  <c r="P48" i="3"/>
  <c r="P13" i="3"/>
  <c r="P49" i="3"/>
  <c r="P5" i="3"/>
  <c r="P2" i="3"/>
  <c r="P36" i="3"/>
  <c r="U53" i="3"/>
  <c r="V55" i="3" l="1"/>
  <c r="V37" i="3"/>
  <c r="V5" i="3"/>
  <c r="V13" i="3"/>
  <c r="V54" i="3"/>
  <c r="V39" i="3"/>
  <c r="V73" i="3"/>
  <c r="V46" i="3"/>
  <c r="V26" i="3"/>
  <c r="V75" i="3"/>
  <c r="V9" i="3"/>
  <c r="V20" i="3"/>
  <c r="V53" i="3"/>
  <c r="V16" i="3"/>
  <c r="V48" i="3"/>
  <c r="V22" i="3"/>
  <c r="V27" i="3"/>
  <c r="V21" i="3"/>
  <c r="V45" i="3"/>
  <c r="V15" i="3"/>
  <c r="V36" i="3"/>
  <c r="V49" i="3"/>
  <c r="V47" i="3"/>
  <c r="V70" i="3"/>
  <c r="V34" i="3"/>
  <c r="V29" i="3"/>
  <c r="V38" i="3"/>
  <c r="V72" i="3"/>
  <c r="V2" i="3"/>
</calcChain>
</file>

<file path=xl/sharedStrings.xml><?xml version="1.0" encoding="utf-8"?>
<sst xmlns="http://schemas.openxmlformats.org/spreadsheetml/2006/main" count="4699" uniqueCount="570">
  <si>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</si>
  <si>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</si>
  <si>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</si>
  <si>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</si>
  <si>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</si>
  <si>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</si>
  <si>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</si>
  <si>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</si>
  <si>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</si>
  <si>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</si>
  <si>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</si>
  <si>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</si>
  <si>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</si>
  <si>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</si>
  <si>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</si>
  <si>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</si>
  <si>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</si>
  <si>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</si>
  <si>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</si>
  <si>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</si>
  <si>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</si>
  <si>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</si>
  <si>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</si>
  <si>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</si>
  <si>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</si>
  <si>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</si>
  <si>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</si>
  <si>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</si>
  <si>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</si>
  <si>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</si>
  <si>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</si>
  <si>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</si>
  <si>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</si>
  <si>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</si>
  <si>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Veh_Reg_No.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</si>
  <si>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</si>
  <si>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</si>
  <si>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</si>
  <si>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</si>
  <si>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</si>
  <si>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</si>
  <si>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</si>
  <si>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</si>
  <si>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</si>
  <si>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</si>
  <si>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</si>
  <si>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</si>
  <si>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</si>
  <si>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</si>
  <si>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</si>
  <si>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</si>
  <si>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</si>
  <si>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</si>
  <si>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</si>
  <si>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</si>
  <si>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</si>
  <si>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</si>
  <si>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</si>
  <si>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</si>
  <si>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</si>
  <si>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</si>
  <si>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</si>
  <si>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</si>
  <si>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</si>
  <si>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</si>
  <si>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</si>
  <si>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</si>
  <si>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</si>
  <si>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</si>
  <si>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</si>
  <si>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</si>
  <si>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</si>
  <si>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</si>
  <si>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</si>
  <si>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</si>
  <si>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</si>
  <si>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</si>
  <si>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</si>
  <si>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</si>
  <si>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</si>
  <si>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</si>
  <si>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</si>
  <si>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</si>
  <si>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</si>
  <si>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</si>
  <si>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</si>
  <si>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</si>
  <si>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</si>
  <si>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</si>
  <si>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</si>
  <si>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</si>
  <si>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Origin-Purpose Desc</t>
  </si>
  <si>
    <t>Journey_Purpose</t>
  </si>
  <si>
    <t>Pay How Much? (UGX)</t>
  </si>
  <si>
    <t>Y</t>
  </si>
  <si>
    <t>Date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</si>
  <si>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</si>
  <si>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</si>
  <si>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</si>
  <si>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</si>
  <si>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</si>
  <si>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</si>
  <si>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</si>
  <si>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</si>
  <si>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</si>
  <si>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</si>
  <si>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</si>
  <si>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</si>
  <si>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</si>
  <si>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</si>
  <si>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</si>
  <si>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</si>
  <si>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</si>
  <si>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</si>
  <si>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</si>
  <si>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</si>
  <si>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</si>
  <si>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</si>
  <si>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</si>
  <si>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</si>
  <si>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</si>
  <si>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</si>
  <si>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</si>
  <si>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</si>
  <si>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</si>
  <si>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</si>
  <si>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</si>
  <si>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</si>
  <si>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</si>
  <si>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</si>
  <si>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</si>
  <si>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</si>
  <si>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</si>
  <si>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</si>
  <si>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</si>
  <si>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</si>
  <si>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</si>
  <si>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</si>
  <si>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</si>
  <si>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</si>
  <si>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</si>
  <si>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</si>
  <si>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</si>
  <si>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</si>
  <si>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</si>
  <si>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</si>
  <si>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</si>
  <si>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</si>
  <si>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</si>
  <si>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ARUA</t>
  </si>
  <si>
    <t>KAMPALA</t>
  </si>
  <si>
    <t>UGA</t>
  </si>
  <si>
    <t xml:space="preserve">TOWN </t>
  </si>
  <si>
    <t>HOIMA</t>
  </si>
  <si>
    <t>KYEGWEGWA</t>
  </si>
  <si>
    <t>NSANJI</t>
  </si>
  <si>
    <t>WAKISO</t>
  </si>
  <si>
    <t>MASAKA</t>
  </si>
  <si>
    <t>WANTONI</t>
  </si>
  <si>
    <t>MUKONO</t>
  </si>
  <si>
    <t>MPIGI</t>
  </si>
  <si>
    <t>MBARARA</t>
  </si>
  <si>
    <t>GULU</t>
  </si>
  <si>
    <t>SOROTI</t>
  </si>
  <si>
    <t>LIRA</t>
  </si>
  <si>
    <t>P</t>
  </si>
  <si>
    <t>BUKWELI</t>
  </si>
  <si>
    <t>KAJANSI</t>
  </si>
  <si>
    <t>TOWN</t>
  </si>
  <si>
    <t xml:space="preserve"> 10:44</t>
  </si>
  <si>
    <t>BUWATE</t>
  </si>
  <si>
    <t>KALISIZO</t>
  </si>
  <si>
    <t>BUSIA</t>
  </si>
  <si>
    <t>BUGEMA</t>
  </si>
  <si>
    <t>MBALE</t>
  </si>
  <si>
    <t>ENTEBBE</t>
  </si>
  <si>
    <t>BUWAMA</t>
  </si>
  <si>
    <t>KYOZANGA</t>
  </si>
  <si>
    <t>F</t>
  </si>
  <si>
    <t>BUSUNGU</t>
  </si>
  <si>
    <t>KYANKWANZE</t>
  </si>
  <si>
    <t>KAGEGE</t>
  </si>
  <si>
    <t>NAKASEKE</t>
  </si>
  <si>
    <t>KASESE</t>
  </si>
  <si>
    <t>RUKUNGIRI</t>
  </si>
  <si>
    <t>HOI MA</t>
  </si>
  <si>
    <t>BUSUNJU</t>
  </si>
  <si>
    <t>KAMULI</t>
  </si>
  <si>
    <t>MITYANA</t>
  </si>
  <si>
    <t>KITIMBWA</t>
  </si>
  <si>
    <t>KAYUNGA</t>
  </si>
  <si>
    <t>NANSANA</t>
  </si>
  <si>
    <t>NSAMBYA</t>
  </si>
  <si>
    <t>MUBENDE</t>
  </si>
  <si>
    <t>LUKOYA</t>
  </si>
  <si>
    <t>MASINDI</t>
  </si>
  <si>
    <t>WOBULENZI</t>
  </si>
  <si>
    <t>KAKOGE</t>
  </si>
  <si>
    <t>LUWERO</t>
  </si>
  <si>
    <t>KANONI</t>
  </si>
  <si>
    <t>RAKAI</t>
  </si>
  <si>
    <t>LUKAYA</t>
  </si>
  <si>
    <t>JINJA</t>
  </si>
  <si>
    <t>Female</t>
  </si>
  <si>
    <t>Male</t>
  </si>
  <si>
    <t>Grand Total</t>
  </si>
  <si>
    <t>Age</t>
  </si>
  <si>
    <t>UAR 010R</t>
  </si>
  <si>
    <t>KAMPALA CITY</t>
  </si>
  <si>
    <t>ZILOBWE</t>
  </si>
  <si>
    <t>LUWEERO</t>
  </si>
  <si>
    <t>KISUBI</t>
  </si>
  <si>
    <t>MAKERERE</t>
  </si>
  <si>
    <t>NALUKOLONGO</t>
  </si>
  <si>
    <t>KAZO</t>
  </si>
  <si>
    <t>N</t>
  </si>
  <si>
    <t>MATUGGA</t>
  </si>
  <si>
    <t>BUTA</t>
  </si>
  <si>
    <t>NAKAWA</t>
  </si>
  <si>
    <t>BWAISE</t>
  </si>
  <si>
    <t>SIR APOLLO</t>
  </si>
  <si>
    <t>NTINDA</t>
  </si>
  <si>
    <t>GAVO</t>
  </si>
  <si>
    <t>p</t>
  </si>
  <si>
    <t>NAMASUBA</t>
  </si>
  <si>
    <t>KABOWA</t>
  </si>
  <si>
    <t>KIREKA</t>
  </si>
  <si>
    <t>WANKULUKUKU</t>
  </si>
  <si>
    <t>RUBAGA</t>
  </si>
  <si>
    <t>KALIRO</t>
  </si>
  <si>
    <t>NAMULANDA</t>
  </si>
  <si>
    <t>JINJA TOWN</t>
  </si>
  <si>
    <t>SEETA</t>
  </si>
  <si>
    <t>OLD TAXI PARK</t>
  </si>
  <si>
    <t>NTENJERU</t>
  </si>
  <si>
    <t>SPEKE RESORT</t>
  </si>
  <si>
    <t>NATETE</t>
  </si>
  <si>
    <t>LUBAGA</t>
  </si>
  <si>
    <t>NDEEBA</t>
  </si>
  <si>
    <t>MALABA</t>
  </si>
  <si>
    <t>KAWEMPE</t>
  </si>
  <si>
    <t>KYENGERA</t>
  </si>
  <si>
    <t xml:space="preserve">BUSIA </t>
  </si>
  <si>
    <t>KISAASI</t>
  </si>
  <si>
    <t>KIDYERI</t>
  </si>
  <si>
    <t>ZZANA</t>
  </si>
  <si>
    <t>PALLISA</t>
  </si>
  <si>
    <t>NYANAMA</t>
  </si>
  <si>
    <t>MAGAMAGA</t>
  </si>
  <si>
    <t>BUSEGA</t>
  </si>
  <si>
    <t>BUWENGE</t>
  </si>
  <si>
    <t>KAMOKYA</t>
  </si>
  <si>
    <t>MAYUGE</t>
  </si>
  <si>
    <t>BWEYOGERERE</t>
  </si>
  <si>
    <t>KITEBI</t>
  </si>
  <si>
    <t>IGANGA</t>
  </si>
  <si>
    <t>MAKINDYE</t>
  </si>
  <si>
    <t>TORORO</t>
  </si>
  <si>
    <t>LUZIRA</t>
  </si>
  <si>
    <t>KASANA</t>
  </si>
  <si>
    <t>WANDEGEYA</t>
  </si>
  <si>
    <t>BOMBO</t>
  </si>
  <si>
    <t>KITEMU</t>
  </si>
  <si>
    <t>KIYOOLA</t>
  </si>
  <si>
    <t>MENGO</t>
  </si>
  <si>
    <t>WAKALIGA</t>
  </si>
  <si>
    <t>BANDA</t>
  </si>
  <si>
    <t>KAWAKA</t>
  </si>
  <si>
    <t>BUSEMBATYA</t>
  </si>
  <si>
    <t>UAN 185A</t>
  </si>
  <si>
    <t>KABALAGALA</t>
  </si>
  <si>
    <t>WAMBOGO</t>
  </si>
  <si>
    <t>NGONDO</t>
  </si>
  <si>
    <t>BUTAMBALA</t>
  </si>
  <si>
    <t>UAP 813R</t>
  </si>
  <si>
    <t>SEMBABULE</t>
  </si>
  <si>
    <t>NAKIFUMA</t>
  </si>
  <si>
    <t>UAT 538D</t>
  </si>
  <si>
    <t>NANKOMA</t>
  </si>
  <si>
    <t>UAT 364Y</t>
  </si>
  <si>
    <t>UAY 987U</t>
  </si>
  <si>
    <t>KOMAMBOGA</t>
  </si>
  <si>
    <t>KOBOLO</t>
  </si>
  <si>
    <t>BUIKWE</t>
  </si>
  <si>
    <t>BULOBA</t>
  </si>
  <si>
    <t>BUSIIKA</t>
  </si>
  <si>
    <t>UBB 761V</t>
  </si>
  <si>
    <t>KAKUBANSILI</t>
  </si>
  <si>
    <t>UAP 741T</t>
  </si>
  <si>
    <t>KIRA</t>
  </si>
  <si>
    <t>UAX 236D</t>
  </si>
  <si>
    <t>KIDOMOLE</t>
  </si>
  <si>
    <t>UAW 996W</t>
  </si>
  <si>
    <t>UBA 277E</t>
  </si>
  <si>
    <t>UAV 987U</t>
  </si>
  <si>
    <t>UAT 308D</t>
  </si>
  <si>
    <t>UAV 978U</t>
  </si>
  <si>
    <t>NAMULESA</t>
  </si>
  <si>
    <t>UAW 590V</t>
  </si>
  <si>
    <t>BUSITA</t>
  </si>
  <si>
    <t>UAN 199K</t>
  </si>
  <si>
    <t>KITUNKA</t>
  </si>
  <si>
    <t>LUMIA</t>
  </si>
  <si>
    <t>KASAWO</t>
  </si>
  <si>
    <t>MUTUKULA</t>
  </si>
  <si>
    <t>GAYAZA</t>
  </si>
  <si>
    <t>UAK 308D</t>
  </si>
  <si>
    <t>KIBUYE</t>
  </si>
  <si>
    <t>BUTALEJA</t>
  </si>
  <si>
    <t>KASUNGA</t>
  </si>
  <si>
    <t>SEKABAKA</t>
  </si>
  <si>
    <t>LUSAZE</t>
  </si>
  <si>
    <t>KISGU</t>
  </si>
  <si>
    <t>NAMUWONGO</t>
  </si>
  <si>
    <t xml:space="preserve"> 12:44</t>
  </si>
  <si>
    <t>NABITENDE</t>
  </si>
  <si>
    <t>TIRINYI</t>
  </si>
  <si>
    <t>BUNAMWEYA</t>
  </si>
  <si>
    <t>MAMUNGALWE</t>
  </si>
  <si>
    <t>UAW 417Q</t>
  </si>
  <si>
    <t>UAF 318Y</t>
  </si>
  <si>
    <t>UAK 664L</t>
  </si>
  <si>
    <t>UAR 166E</t>
  </si>
  <si>
    <t>KAWANDA</t>
  </si>
  <si>
    <t>KIYINDI</t>
  </si>
  <si>
    <t>BUYIKWE</t>
  </si>
  <si>
    <t>KATOSI</t>
  </si>
  <si>
    <t>BUSOLWE</t>
  </si>
  <si>
    <t>MUYENGA</t>
  </si>
  <si>
    <t>NAJKIFUMA</t>
  </si>
  <si>
    <t>WABIGALO</t>
  </si>
  <si>
    <t>UAC 657L</t>
  </si>
  <si>
    <t>LUGALI</t>
  </si>
  <si>
    <t>BUWOMBO</t>
  </si>
  <si>
    <t>UAW 822W</t>
  </si>
  <si>
    <t>UAT 947L</t>
  </si>
  <si>
    <t>BULAGA</t>
  </si>
  <si>
    <t>UAT 725R</t>
  </si>
  <si>
    <t>UAU 627P</t>
  </si>
  <si>
    <t>UAM 254T</t>
  </si>
  <si>
    <t>UAT 862A</t>
  </si>
  <si>
    <t>UAR 841W</t>
  </si>
  <si>
    <t>KOSOVO</t>
  </si>
  <si>
    <t>NAJERA</t>
  </si>
  <si>
    <t>KIBURI</t>
  </si>
  <si>
    <t>KARILO</t>
  </si>
  <si>
    <t>ZZIBA</t>
  </si>
  <si>
    <t>BUULE</t>
  </si>
  <si>
    <t>BUZIGA</t>
  </si>
  <si>
    <t>GABA</t>
  </si>
  <si>
    <t>MUYONYO</t>
  </si>
  <si>
    <t>UAS 654L</t>
  </si>
  <si>
    <t>UAS 146T</t>
  </si>
  <si>
    <t>UAT 476L</t>
  </si>
  <si>
    <t>UAK 742R</t>
  </si>
  <si>
    <t>4.11.2019</t>
  </si>
  <si>
    <t>KISENYI</t>
  </si>
  <si>
    <t>UG</t>
  </si>
  <si>
    <t>FORTPORTAL TOWN</t>
  </si>
  <si>
    <t>FORTPORTAL</t>
  </si>
  <si>
    <t>KASUBI</t>
  </si>
  <si>
    <t>KABOJJA</t>
  </si>
  <si>
    <t>NAKULABYE</t>
  </si>
  <si>
    <t>KAMPALA TOWN</t>
  </si>
  <si>
    <t>NASANA</t>
  </si>
  <si>
    <t>KASANJE</t>
  </si>
  <si>
    <t>KAJJANSI</t>
  </si>
  <si>
    <t>MUKONO TOWN</t>
  </si>
  <si>
    <t>NAKAWUKA</t>
  </si>
  <si>
    <t>KIKAJJO</t>
  </si>
  <si>
    <t>NAMANVE</t>
  </si>
  <si>
    <t>KAZINGA</t>
  </si>
  <si>
    <t>KIKANGE</t>
  </si>
  <si>
    <t>KATWE</t>
  </si>
  <si>
    <t xml:space="preserve">TANDA </t>
  </si>
  <si>
    <t>LUGOGO</t>
  </si>
  <si>
    <t>ZIGOTI</t>
  </si>
  <si>
    <t>MITYANA TOWN</t>
  </si>
  <si>
    <t>LUWERO TOWN</t>
  </si>
  <si>
    <t>LABALI</t>
  </si>
  <si>
    <t>KASANDA</t>
  </si>
  <si>
    <t>BUKUYA</t>
  </si>
  <si>
    <t>KOLOLO</t>
  </si>
  <si>
    <t>LUGONGWE</t>
  </si>
  <si>
    <t>MYANZI</t>
  </si>
  <si>
    <t>KASANDA TOWN</t>
  </si>
  <si>
    <t>MASAKA TOWN</t>
  </si>
  <si>
    <t>KYENJOJO TOWN</t>
  </si>
  <si>
    <t>KYENJOJO</t>
  </si>
  <si>
    <t>KYOTERA TOWN</t>
  </si>
  <si>
    <t>MUHORORO TOWN</t>
  </si>
  <si>
    <t>MUHORORO</t>
  </si>
  <si>
    <t>WAKALINGA</t>
  </si>
  <si>
    <t>LISAZE</t>
  </si>
  <si>
    <t>NSANGI</t>
  </si>
  <si>
    <t>KIGALAMA</t>
  </si>
  <si>
    <t>HASANJU</t>
  </si>
  <si>
    <t>NAMUGONGO</t>
  </si>
  <si>
    <t>KITORO</t>
  </si>
  <si>
    <t>MAGANJO</t>
  </si>
  <si>
    <t>KINAWATAKA</t>
  </si>
  <si>
    <t>NDELE LUBUGUMU</t>
  </si>
  <si>
    <t>9;21</t>
  </si>
  <si>
    <t>ZANA</t>
  </si>
  <si>
    <t>MUKILOKELE</t>
  </si>
  <si>
    <t>MUNYONYO</t>
  </si>
  <si>
    <t>KATALEMWA</t>
  </si>
  <si>
    <t>KINAWA</t>
  </si>
  <si>
    <t>UAS 537S</t>
  </si>
  <si>
    <t>UAV 252H</t>
  </si>
  <si>
    <t>UBC 057B</t>
  </si>
  <si>
    <t>MWENDA</t>
  </si>
  <si>
    <t>BULENGA</t>
  </si>
  <si>
    <t>UAN 845S</t>
  </si>
  <si>
    <t>KIWAWU</t>
  </si>
  <si>
    <t>UAL 318Z</t>
  </si>
  <si>
    <t>MU</t>
  </si>
  <si>
    <t>BUDO</t>
  </si>
  <si>
    <t>BUYALA</t>
  </si>
  <si>
    <t>KASANGA</t>
  </si>
  <si>
    <t>KASANJA</t>
  </si>
  <si>
    <t>KANSANGA</t>
  </si>
  <si>
    <t>UAS 584B</t>
  </si>
  <si>
    <t>KABUKA</t>
  </si>
  <si>
    <t>HOIMA TOWN</t>
  </si>
  <si>
    <t>RAKAI TOWN</t>
  </si>
  <si>
    <t>KAGODI TOWN</t>
  </si>
  <si>
    <t>KAGODI</t>
  </si>
  <si>
    <t>KAGADI TOWN</t>
  </si>
  <si>
    <t>KAGADI</t>
  </si>
  <si>
    <t>UAT 166E</t>
  </si>
  <si>
    <t>KIBALE TOWN</t>
  </si>
  <si>
    <t>KIBALE</t>
  </si>
  <si>
    <t>KYOTERA</t>
  </si>
  <si>
    <t>MUTUKULA TOWN</t>
  </si>
  <si>
    <t>BUSHENYI TOWN</t>
  </si>
  <si>
    <t>BUSHENYI</t>
  </si>
  <si>
    <t>500000-750000</t>
  </si>
  <si>
    <t>KASESE TOWN</t>
  </si>
  <si>
    <t>KABUSU</t>
  </si>
  <si>
    <t>MASANAFU</t>
  </si>
  <si>
    <t>KASAJJA</t>
  </si>
  <si>
    <t>NSONGI</t>
  </si>
  <si>
    <t>CANAAN LAND</t>
  </si>
  <si>
    <t>WAKISO TOWN</t>
  </si>
  <si>
    <t>UAP 450X</t>
  </si>
  <si>
    <t>KABAJJA</t>
  </si>
  <si>
    <t>BUJJUKA</t>
  </si>
  <si>
    <t>UAR 128C</t>
  </si>
  <si>
    <t>KIKONGE</t>
  </si>
  <si>
    <t>UAU 499L</t>
  </si>
  <si>
    <t>UAV 437K</t>
  </si>
  <si>
    <t>UAM 259Y</t>
  </si>
  <si>
    <t>UAP 697L</t>
  </si>
  <si>
    <t>UAP 687F</t>
  </si>
  <si>
    <t>UAN 167F</t>
  </si>
  <si>
    <t>9;23</t>
  </si>
  <si>
    <t>UAP 079F</t>
  </si>
  <si>
    <t>UAM 557H</t>
  </si>
  <si>
    <t>NAMAGOMA</t>
  </si>
  <si>
    <t>JESSA</t>
  </si>
  <si>
    <t>UAV 402M</t>
  </si>
  <si>
    <t>UAZ 815Q</t>
  </si>
  <si>
    <t>KIMENGO</t>
  </si>
  <si>
    <t>GULU TOWN</t>
  </si>
  <si>
    <t>7;10</t>
  </si>
  <si>
    <t>KASAJA</t>
  </si>
  <si>
    <t>KASANGAI TOWN</t>
  </si>
  <si>
    <t>KASANGAI</t>
  </si>
  <si>
    <t>MASINDI TOWN</t>
  </si>
  <si>
    <t>LIRA TOWN</t>
  </si>
  <si>
    <t>Count of Gender (M/F)</t>
  </si>
  <si>
    <t>Column Labels</t>
  </si>
  <si>
    <t>Row Labels</t>
  </si>
  <si>
    <t>(blank)</t>
  </si>
  <si>
    <t>Journey Purpose</t>
  </si>
  <si>
    <t>Commercial-Commercial</t>
  </si>
  <si>
    <t>Commercial-Home</t>
  </si>
  <si>
    <t>Commercial-Hospital</t>
  </si>
  <si>
    <t>Commercial-Leisure/Social</t>
  </si>
  <si>
    <t>Commercial-Tourism</t>
  </si>
  <si>
    <t>Leisure</t>
  </si>
  <si>
    <t>Commercial-Work</t>
  </si>
  <si>
    <t>Home-</t>
  </si>
  <si>
    <t>Home-Commercial</t>
  </si>
  <si>
    <t>Home-Home</t>
  </si>
  <si>
    <t>Home-Hospital</t>
  </si>
  <si>
    <t>Home-Leisure/Social</t>
  </si>
  <si>
    <t>Home-Others</t>
  </si>
  <si>
    <t>Home-Study</t>
  </si>
  <si>
    <t>Home-Tourism</t>
  </si>
  <si>
    <t>Home-Work</t>
  </si>
  <si>
    <t>Hospital-Home</t>
  </si>
  <si>
    <t>Hospital-Hospital</t>
  </si>
  <si>
    <t>Leisure/Social-Commercial</t>
  </si>
  <si>
    <t>Leisure/Social-Home</t>
  </si>
  <si>
    <t>Leisure/Social-Leisure/Social</t>
  </si>
  <si>
    <t>Leisure/Social-Others</t>
  </si>
  <si>
    <t>Leisure/Social-Tourism</t>
  </si>
  <si>
    <t>Leisure/Social-Work</t>
  </si>
  <si>
    <t>Others-Home</t>
  </si>
  <si>
    <t>Others-Others</t>
  </si>
  <si>
    <t>Others-Tourism</t>
  </si>
  <si>
    <t>Others-Work</t>
  </si>
  <si>
    <t>Study-Commercial</t>
  </si>
  <si>
    <t>Study-Home</t>
  </si>
  <si>
    <t>Study-Leisure/Social</t>
  </si>
  <si>
    <t>Study-Others</t>
  </si>
  <si>
    <t>Study-Study</t>
  </si>
  <si>
    <t>Study-Tourism</t>
  </si>
  <si>
    <t>Study-Work</t>
  </si>
  <si>
    <t>Tourism-Home</t>
  </si>
  <si>
    <t>Tourism-Tourism</t>
  </si>
  <si>
    <t>Work-Commercial</t>
  </si>
  <si>
    <t>Work-Home</t>
  </si>
  <si>
    <t>Work-Hospital</t>
  </si>
  <si>
    <t>Work-Leisure/Social</t>
  </si>
  <si>
    <t>Work-Others</t>
  </si>
  <si>
    <t>Work-Tourism</t>
  </si>
  <si>
    <t>Work-Work</t>
  </si>
  <si>
    <t>Count of Dist Range</t>
  </si>
  <si>
    <t>Distance (Km)</t>
  </si>
  <si>
    <t>No. Responses</t>
  </si>
  <si>
    <t>%ge Responses</t>
  </si>
  <si>
    <t>0-10</t>
  </si>
  <si>
    <t>100-200</t>
  </si>
  <si>
    <t>10-20</t>
  </si>
  <si>
    <t>20-40</t>
  </si>
  <si>
    <t>40-70</t>
  </si>
  <si>
    <t>70-100</t>
  </si>
  <si>
    <t>Over 200</t>
  </si>
  <si>
    <t>Count of Time Range</t>
  </si>
  <si>
    <t>0.5-1.0</t>
  </si>
  <si>
    <t>0-0.5</t>
  </si>
  <si>
    <t>1.0-2.0</t>
  </si>
  <si>
    <t>2.0-3.5</t>
  </si>
  <si>
    <t>Over 3.5</t>
  </si>
  <si>
    <t>Journey Time (Hours)</t>
  </si>
  <si>
    <t>Count of Toll Charge</t>
  </si>
  <si>
    <t>Potential Expressway Toll Charge (UGX)</t>
  </si>
  <si>
    <t>0-1000</t>
  </si>
  <si>
    <t>1000-2000</t>
  </si>
  <si>
    <t>2000-3000</t>
  </si>
  <si>
    <t>3000-5000</t>
  </si>
  <si>
    <t>5000-10000</t>
  </si>
  <si>
    <t>Over 10000</t>
  </si>
  <si>
    <t>Journey Distance (Km)</t>
  </si>
  <si>
    <t>0-1,000</t>
  </si>
  <si>
    <t>1,000-2,000</t>
  </si>
  <si>
    <t>2,000-3,000</t>
  </si>
  <si>
    <t>3,000-5,000</t>
  </si>
  <si>
    <t>5,000-10,000</t>
  </si>
  <si>
    <t>Over 10,000</t>
  </si>
  <si>
    <t>100-150</t>
  </si>
  <si>
    <t>Over 150</t>
  </si>
  <si>
    <t>Income (UGX)</t>
  </si>
  <si>
    <t>Totals</t>
  </si>
  <si>
    <t>#N/A</t>
  </si>
  <si>
    <t>2,000-3,00</t>
  </si>
  <si>
    <t>Or Village</t>
  </si>
  <si>
    <t>Or District</t>
  </si>
  <si>
    <t>Or Country</t>
  </si>
  <si>
    <t>Dest Village</t>
  </si>
  <si>
    <t>Dest District</t>
  </si>
  <si>
    <t>Des Country</t>
  </si>
  <si>
    <t>Dest_Purpose</t>
  </si>
  <si>
    <t>Dest_Purpose Desc</t>
  </si>
  <si>
    <t>Dist Range</t>
  </si>
  <si>
    <t>Time Range</t>
  </si>
  <si>
    <t>Toll 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</si>
</sst>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  <numFmt numFmtId="169" formatCode="0.0%"/>
    <numFmt numFmtId="170" formatCode="0;[Red]0"/>
  </numFmts>
  <fonts count="13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b/>
      <sz val="10"/>
      <color theme="1"/>
      <name val="Arial"/>
      <family val="2"/>
    </font>
    <font>
      <b/>
      <sz val="12"/>
      <color theme="0"/>
      <name val="Times New Roman"/>
      <family val="1"/>
    </font>
    <font>
      <b/>
      <sz val="10"/>
      <color theme="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8" fillId="0" borderId="0"/>
    <xf numFmtId="41" fontId="9" fillId="0" borderId="0" applyFont="0" applyFill="0" applyBorder="0" applyAlignment="0" applyProtection="0"/>
    <xf numFmtId="0" fontId="5" fillId="0" borderId="0"/>
  </cellStyleXfs>
  <cellXfs count="84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7" fillId="0" borderId="2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2" borderId="2" xfId="0" applyNumberFormat="1" applyFont="1" applyFill="1" applyBorder="1" applyAlignment="1">
      <alignment horizontal="center"/>
    </xf>
    <xf numFmtId="41" fontId="5" fillId="0" borderId="2" xfId="4" applyFont="1" applyFill="1" applyBorder="1"/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0" fontId="5" fillId="0" borderId="2" xfId="0" applyFont="1" applyBorder="1" applyAlignment="1">
      <alignment horizontal="center"/>
    </xf>
    <xf numFmtId="0" fontId="0" fillId="0" borderId="0" xfId="0" applyAlignment="1"/>
    <xf numFmtId="1" fontId="5" fillId="0" borderId="2" xfId="0" applyNumberFormat="1" applyFont="1" applyFill="1" applyBorder="1" applyAlignment="1"/>
    <xf numFmtId="1" fontId="1" fillId="0" borderId="8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165" fontId="5" fillId="0" borderId="2" xfId="0" applyNumberFormat="1" applyFont="1" applyBorder="1" applyAlignment="1">
      <alignment horizontal="center"/>
    </xf>
    <xf numFmtId="1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/>
    <xf numFmtId="1" fontId="5" fillId="0" borderId="2" xfId="0" applyNumberFormat="1" applyFont="1" applyBorder="1" applyAlignment="1">
      <alignment horizontal="left"/>
    </xf>
    <xf numFmtId="0" fontId="5" fillId="0" borderId="0" xfId="5"/>
    <xf numFmtId="0" fontId="10" fillId="3" borderId="18" xfId="5" applyFont="1" applyFill="1" applyBorder="1"/>
    <xf numFmtId="0" fontId="10" fillId="3" borderId="0" xfId="5" applyFont="1" applyFill="1"/>
    <xf numFmtId="0" fontId="5" fillId="0" borderId="0" xfId="5" applyAlignment="1">
      <alignment horizontal="left"/>
    </xf>
    <xf numFmtId="169" fontId="0" fillId="0" borderId="0" xfId="2" applyNumberFormat="1" applyFont="1"/>
    <xf numFmtId="0" fontId="1" fillId="4" borderId="2" xfId="5" applyFont="1" applyFill="1" applyBorder="1" applyAlignment="1">
      <alignment horizontal="center" vertical="center"/>
    </xf>
    <xf numFmtId="0" fontId="5" fillId="5" borderId="2" xfId="5" applyFill="1" applyBorder="1"/>
    <xf numFmtId="169" fontId="0" fillId="5" borderId="2" xfId="2" applyNumberFormat="1" applyFont="1" applyFill="1" applyBorder="1"/>
    <xf numFmtId="0" fontId="11" fillId="6" borderId="2" xfId="5" applyFont="1" applyFill="1" applyBorder="1" applyAlignment="1">
      <alignment horizontal="center"/>
    </xf>
    <xf numFmtId="0" fontId="12" fillId="6" borderId="2" xfId="5" applyFont="1" applyFill="1" applyBorder="1" applyAlignment="1">
      <alignment horizontal="center" vertical="center" wrapText="1"/>
    </xf>
    <xf numFmtId="0" fontId="8" fillId="7" borderId="2" xfId="5" applyFont="1" applyFill="1" applyBorder="1" applyAlignment="1">
      <alignment horizontal="center"/>
    </xf>
    <xf numFmtId="169" fontId="8" fillId="7" borderId="2" xfId="2" applyNumberFormat="1" applyFont="1" applyFill="1" applyBorder="1" applyAlignment="1">
      <alignment horizontal="center"/>
    </xf>
    <xf numFmtId="0" fontId="8" fillId="7" borderId="2" xfId="5" applyFont="1" applyFill="1" applyBorder="1" applyAlignment="1">
      <alignment horizontal="left"/>
    </xf>
    <xf numFmtId="0" fontId="8" fillId="7" borderId="7" xfId="5" applyFont="1" applyFill="1" applyBorder="1" applyAlignment="1">
      <alignment horizontal="left"/>
    </xf>
    <xf numFmtId="1" fontId="1" fillId="0" borderId="19" xfId="0" applyNumberFormat="1" applyFont="1" applyBorder="1" applyAlignment="1">
      <alignment vertical="center" wrapText="1"/>
    </xf>
    <xf numFmtId="1" fontId="1" fillId="0" borderId="17" xfId="0" applyNumberFormat="1" applyFont="1" applyBorder="1" applyAlignment="1">
      <alignment vertical="center" wrapText="1"/>
    </xf>
    <xf numFmtId="1" fontId="1" fillId="0" borderId="11" xfId="0" applyNumberFormat="1" applyFont="1" applyBorder="1" applyAlignment="1">
      <alignment vertical="center" wrapText="1"/>
    </xf>
    <xf numFmtId="1" fontId="1" fillId="0" borderId="9" xfId="0" applyNumberFormat="1" applyFont="1" applyBorder="1" applyAlignment="1">
      <alignment vertical="center" wrapText="1"/>
    </xf>
    <xf numFmtId="170" fontId="1" fillId="0" borderId="2" xfId="0" applyNumberFormat="1" applyFont="1" applyBorder="1" applyAlignment="1">
      <alignment vertical="center" wrapText="1"/>
    </xf>
    <xf numFmtId="170" fontId="1" fillId="0" borderId="7" xfId="0" applyNumberFormat="1" applyFont="1" applyBorder="1" applyAlignment="1">
      <alignment vertical="center" wrapText="1"/>
    </xf>
  </cellXfs>
  <cellStyles count="6">
    <cellStyle name="Comma" xfId="1" builtinId="3"/>
    <cellStyle name="Comma [0]" xfId="4" builtinId="6"/>
    <cellStyle name="Normal" xfId="0" builtinId="0"/>
    <cellStyle name="Normal 2" xfId="3" xr:uid="{00000000-0005-0000-0000-000003000000}"/>
    <cellStyle name="Normal 3" xfId="5" xr:uid="{4D421F01-6D93-45F7-95C5-55F41F753438}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b="1">
                <a:solidFill>
                  <a:sysClr val="windowText" lastClr="000000"/>
                </a:solidFill>
              </a:rPr>
              <a:t>Respondents (Male / Female)</a:t>
            </a:r>
          </a:p>
        </c:rich>
      </c:tx>
      <c:layout>
        <c:manualLayout>
          <c:xMode val="edge"/>
          <c:yMode val="edge"/>
          <c:x val="0.35737169392287499"/>
          <c:y val="2.83687943262411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sideWall>
    <c:backWall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6901716131637393"/>
          <c:y val="0.14666666666666667"/>
          <c:w val="0.80277771047849789"/>
          <c:h val="0.69724210005664189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Age!$N$4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Age!$M$5:$M$10</c:f>
              <c:strCache>
                <c:ptCount val="6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</c:v>
                </c:pt>
              </c:strCache>
            </c:strRef>
          </c:cat>
          <c:val>
            <c:numRef>
              <c:f>Age!$N$5:$N$10</c:f>
              <c:numCache>
                <c:formatCode>0.0%</c:formatCode>
                <c:ptCount val="6"/>
                <c:pt idx="0">
                  <c:v>0.11273712737127371</c:v>
                </c:pt>
                <c:pt idx="1">
                  <c:v>0.15284552845528454</c:v>
                </c:pt>
                <c:pt idx="2">
                  <c:v>5.3658536585365853E-2</c:v>
                </c:pt>
                <c:pt idx="3">
                  <c:v>1.0840108401084011E-2</c:v>
                </c:pt>
                <c:pt idx="4">
                  <c:v>4.8780487804878049E-3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1-4B13-BF5F-C8CBA5311DA7}"/>
            </c:ext>
          </c:extLst>
        </c:ser>
        <c:ser>
          <c:idx val="1"/>
          <c:order val="1"/>
          <c:tx>
            <c:strRef>
              <c:f>Age!$O$4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Age!$M$5:$M$10</c:f>
              <c:strCache>
                <c:ptCount val="6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</c:v>
                </c:pt>
              </c:strCache>
            </c:strRef>
          </c:cat>
          <c:val>
            <c:numRef>
              <c:f>Age!$O$5:$O$10</c:f>
              <c:numCache>
                <c:formatCode>0.0%</c:formatCode>
                <c:ptCount val="6"/>
                <c:pt idx="0">
                  <c:v>0.11978319783197831</c:v>
                </c:pt>
                <c:pt idx="1">
                  <c:v>0.32303523035230353</c:v>
                </c:pt>
                <c:pt idx="2">
                  <c:v>0.15880758807588075</c:v>
                </c:pt>
                <c:pt idx="3">
                  <c:v>5.4200542005420058E-2</c:v>
                </c:pt>
                <c:pt idx="4">
                  <c:v>8.6720867208672087E-3</c:v>
                </c:pt>
                <c:pt idx="5">
                  <c:v>5.4200542005420054E-4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31-4B13-BF5F-C8CBA5311DA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67319496"/>
        <c:axId val="667323104"/>
        <c:axId val="0"/>
      </c:bar3DChart>
      <c:catAx>
        <c:axId val="667319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>
                    <a:solidFill>
                      <a:sysClr val="windowText" lastClr="000000"/>
                    </a:solidFill>
                  </a:rPr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7323104"/>
        <c:crosses val="autoZero"/>
        <c:auto val="1"/>
        <c:lblAlgn val="ctr"/>
        <c:lblOffset val="100"/>
        <c:noMultiLvlLbl val="0"/>
      </c:catAx>
      <c:valAx>
        <c:axId val="66732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>
                    <a:solidFill>
                      <a:sysClr val="windowText" lastClr="000000"/>
                    </a:solidFill>
                  </a:rPr>
                  <a:t>Proportion of Respondents, %</a:t>
                </a:r>
              </a:p>
            </c:rich>
          </c:tx>
          <c:layout>
            <c:manualLayout>
              <c:xMode val="edge"/>
              <c:yMode val="edge"/>
              <c:x val="3.1816878659398348E-2"/>
              <c:y val="0.184522253867202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7319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7169977791237632"/>
          <c:y val="0.92904259308012027"/>
          <c:w val="0.22583121340601656"/>
          <c:h val="7.09574069198797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b="1"/>
              <a:t>Journey Purpose by Respondent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view3D>
      <c:rotX val="40"/>
      <c:rotY val="30"/>
      <c:depthPercent val="100"/>
      <c:rAngAx val="1"/>
    </c:view3D>
    <c:floor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bg1">
            <a:lumMod val="75000"/>
          </a:schemeClr>
        </a:solidFill>
        <a:ln>
          <a:noFill/>
        </a:ln>
        <a:effectLst/>
        <a:sp3d/>
      </c:spPr>
    </c:sideWall>
    <c:backWall>
      <c:thickness val="0"/>
      <c:spPr>
        <a:solidFill>
          <a:schemeClr val="bg1">
            <a:lumMod val="75000"/>
          </a:schemeClr>
        </a:solidFill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6731714785651794"/>
          <c:y val="3.2824074074074075E-2"/>
          <c:w val="0.74109208223972001"/>
          <c:h val="0.75504520268299802"/>
        </c:manualLayout>
      </c:layout>
      <c:bar3DChart>
        <c:barDir val="col"/>
        <c:grouping val="standard"/>
        <c:varyColors val="0"/>
        <c:ser>
          <c:idx val="0"/>
          <c:order val="0"/>
          <c:tx>
            <c:strRef>
              <c:f>'Journey P'!$R$4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'Journey P'!$Q$5:$Q$12</c:f>
              <c:strCache>
                <c:ptCount val="8"/>
                <c:pt idx="0">
                  <c:v>Commercial</c:v>
                </c:pt>
                <c:pt idx="1">
                  <c:v>Work</c:v>
                </c:pt>
                <c:pt idx="2">
                  <c:v>Home</c:v>
                </c:pt>
                <c:pt idx="3">
                  <c:v>Hospital</c:v>
                </c:pt>
                <c:pt idx="4">
                  <c:v>Leisure</c:v>
                </c:pt>
                <c:pt idx="5">
                  <c:v>Study</c:v>
                </c:pt>
                <c:pt idx="6">
                  <c:v>Tourism</c:v>
                </c:pt>
                <c:pt idx="7">
                  <c:v>Others</c:v>
                </c:pt>
              </c:strCache>
            </c:strRef>
          </c:cat>
          <c:val>
            <c:numRef>
              <c:f>'Journey P'!$R$5:$R$12</c:f>
              <c:numCache>
                <c:formatCode>0.0%</c:formatCode>
                <c:ptCount val="8"/>
                <c:pt idx="0">
                  <c:v>2.6558265582655827E-2</c:v>
                </c:pt>
                <c:pt idx="1">
                  <c:v>9.5392953929539295E-2</c:v>
                </c:pt>
                <c:pt idx="2">
                  <c:v>0.17018970189701896</c:v>
                </c:pt>
                <c:pt idx="3">
                  <c:v>2.7100271002710027E-3</c:v>
                </c:pt>
                <c:pt idx="4">
                  <c:v>1.5718157181571817E-2</c:v>
                </c:pt>
                <c:pt idx="5">
                  <c:v>1.5718157181571817E-2</c:v>
                </c:pt>
                <c:pt idx="6">
                  <c:v>1.0840108401084011E-3</c:v>
                </c:pt>
                <c:pt idx="7">
                  <c:v>7.5880758807588076E-3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7-46B5-899E-A80EE5EA04C9}"/>
            </c:ext>
          </c:extLst>
        </c:ser>
        <c:ser>
          <c:idx val="1"/>
          <c:order val="1"/>
          <c:tx>
            <c:strRef>
              <c:f>'Journey P'!$S$4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'Journey P'!$Q$5:$Q$12</c:f>
              <c:strCache>
                <c:ptCount val="8"/>
                <c:pt idx="0">
                  <c:v>Commercial</c:v>
                </c:pt>
                <c:pt idx="1">
                  <c:v>Work</c:v>
                </c:pt>
                <c:pt idx="2">
                  <c:v>Home</c:v>
                </c:pt>
                <c:pt idx="3">
                  <c:v>Hospital</c:v>
                </c:pt>
                <c:pt idx="4">
                  <c:v>Leisure</c:v>
                </c:pt>
                <c:pt idx="5">
                  <c:v>Study</c:v>
                </c:pt>
                <c:pt idx="6">
                  <c:v>Tourism</c:v>
                </c:pt>
                <c:pt idx="7">
                  <c:v>Others</c:v>
                </c:pt>
              </c:strCache>
            </c:strRef>
          </c:cat>
          <c:val>
            <c:numRef>
              <c:f>'Journey P'!$S$5:$S$12</c:f>
              <c:numCache>
                <c:formatCode>0.0%</c:formatCode>
                <c:ptCount val="8"/>
                <c:pt idx="0">
                  <c:v>8.1842818428184277E-2</c:v>
                </c:pt>
                <c:pt idx="1">
                  <c:v>0.27859078590785907</c:v>
                </c:pt>
                <c:pt idx="2">
                  <c:v>0.25257452574525746</c:v>
                </c:pt>
                <c:pt idx="3">
                  <c:v>2.7100271002710027E-3</c:v>
                </c:pt>
                <c:pt idx="4">
                  <c:v>1.9512195121951219E-2</c:v>
                </c:pt>
                <c:pt idx="5">
                  <c:v>1.1382113821138212E-2</c:v>
                </c:pt>
                <c:pt idx="6">
                  <c:v>2.1680216802168022E-3</c:v>
                </c:pt>
                <c:pt idx="7">
                  <c:v>1.6260162601626018E-2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47-46B5-899E-A80EE5EA04C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73930536"/>
        <c:axId val="673924304"/>
        <c:axId val="740692640"/>
      </c:bar3DChart>
      <c:catAx>
        <c:axId val="673930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 b="1"/>
                  <a:t>Journey Purpose</a:t>
                </a:r>
              </a:p>
            </c:rich>
          </c:tx>
          <c:layout>
            <c:manualLayout>
              <c:xMode val="edge"/>
              <c:yMode val="edge"/>
              <c:x val="0.42197922134733151"/>
              <c:y val="0.889755395158938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3924304"/>
        <c:crosses val="autoZero"/>
        <c:auto val="1"/>
        <c:lblAlgn val="ctr"/>
        <c:lblOffset val="100"/>
        <c:noMultiLvlLbl val="0"/>
      </c:catAx>
      <c:valAx>
        <c:axId val="6739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 b="1"/>
                  <a:t>Proportion of Respondents, %</a:t>
                </a:r>
              </a:p>
            </c:rich>
          </c:tx>
          <c:layout>
            <c:manualLayout>
              <c:xMode val="edge"/>
              <c:yMode val="edge"/>
              <c:x val="1.2784995625546807E-2"/>
              <c:y val="0.161147200349956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3930536"/>
        <c:crosses val="autoZero"/>
        <c:crossBetween val="between"/>
        <c:majorUnit val="0.1"/>
      </c:valAx>
      <c:serAx>
        <c:axId val="74069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3924304"/>
        <c:crosses val="autoZero"/>
      </c:ser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8336132983377083"/>
          <c:y val="0.92187445319335082"/>
          <c:w val="0.17568500272544466"/>
          <c:h val="5.43799634300211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b="1"/>
              <a:t>Distances Travelled by Respondents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'Dist-Time'!$G$3</c:f>
              <c:strCache>
                <c:ptCount val="1"/>
                <c:pt idx="0">
                  <c:v>No. Responses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'Dist-Time'!$F$4:$F$10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100-200</c:v>
                </c:pt>
                <c:pt idx="6">
                  <c:v>Over 200</c:v>
                </c:pt>
              </c:strCache>
            </c:strRef>
          </c:cat>
          <c:val>
            <c:numRef>
              <c:f>'Dist-Time'!$G$4:$G$10</c:f>
              <c:numCache>
                <c:formatCode>General</c:formatCode>
                <c:ptCount val="7"/>
                <c:pt idx="0">
                  <c:v>432</c:v>
                </c:pt>
                <c:pt idx="1">
                  <c:v>83</c:v>
                </c:pt>
                <c:pt idx="2">
                  <c:v>299</c:v>
                </c:pt>
                <c:pt idx="3">
                  <c:v>407</c:v>
                </c:pt>
                <c:pt idx="4">
                  <c:v>148</c:v>
                </c:pt>
                <c:pt idx="5">
                  <c:v>232</c:v>
                </c:pt>
                <c:pt idx="6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78-450A-9CE1-730EF7521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9"/>
        <c:axId val="698163504"/>
        <c:axId val="698165472"/>
      </c:barChart>
      <c:lineChart>
        <c:grouping val="standard"/>
        <c:varyColors val="0"/>
        <c:ser>
          <c:idx val="1"/>
          <c:order val="1"/>
          <c:tx>
            <c:strRef>
              <c:f>'Dist-Time'!$H$3</c:f>
              <c:strCache>
                <c:ptCount val="1"/>
                <c:pt idx="0">
                  <c:v>%ge Responses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2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val>
            <c:numRef>
              <c:f>'Dist-Time'!$H$4:$H$10</c:f>
              <c:numCache>
                <c:formatCode>0.0%</c:formatCode>
                <c:ptCount val="7"/>
                <c:pt idx="0">
                  <c:v>0.23414634146341465</c:v>
                </c:pt>
                <c:pt idx="1">
                  <c:v>4.4986449864498644E-2</c:v>
                </c:pt>
                <c:pt idx="2">
                  <c:v>0.16205962059620596</c:v>
                </c:pt>
                <c:pt idx="3">
                  <c:v>0.22059620596205962</c:v>
                </c:pt>
                <c:pt idx="4">
                  <c:v>8.0216802168021684E-2</c:v>
                </c:pt>
                <c:pt idx="5">
                  <c:v>0.12574525745257453</c:v>
                </c:pt>
                <c:pt idx="6">
                  <c:v>0.13224932249322494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78-450A-9CE1-730EF7521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01880"/>
        <c:axId val="698198928"/>
      </c:lineChart>
      <c:catAx>
        <c:axId val="69816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Distance (Km)</a:t>
                </a:r>
              </a:p>
            </c:rich>
          </c:tx>
          <c:layout>
            <c:manualLayout>
              <c:xMode val="edge"/>
              <c:yMode val="edge"/>
              <c:x val="0.33684383202099732"/>
              <c:y val="0.8581248177311169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165472"/>
        <c:crosses val="autoZero"/>
        <c:auto val="1"/>
        <c:lblAlgn val="ctr"/>
        <c:lblOffset val="100"/>
        <c:noMultiLvlLbl val="0"/>
      </c:catAx>
      <c:valAx>
        <c:axId val="69816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No. Respondents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163504"/>
        <c:crosses val="autoZero"/>
        <c:crossBetween val="between"/>
      </c:valAx>
      <c:valAx>
        <c:axId val="69819892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Proportion of Repsondents,</a:t>
                </a:r>
                <a:r>
                  <a:rPr lang="en-US" baseline="0"/>
                  <a:t> %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01880"/>
        <c:crosses val="max"/>
        <c:crossBetween val="between"/>
      </c:valAx>
      <c:catAx>
        <c:axId val="698201880"/>
        <c:scaling>
          <c:orientation val="minMax"/>
        </c:scaling>
        <c:delete val="1"/>
        <c:axPos val="b"/>
        <c:majorTickMark val="out"/>
        <c:minorTickMark val="none"/>
        <c:tickLblPos val="nextTo"/>
        <c:crossAx val="698198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b="1"/>
              <a:t>Journey</a:t>
            </a:r>
            <a:r>
              <a:rPr lang="en-US" b="1" baseline="0"/>
              <a:t> Time </a:t>
            </a:r>
            <a:r>
              <a:rPr lang="en-US" b="1"/>
              <a:t>by Respondents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'Dist-Time'!$G$21</c:f>
              <c:strCache>
                <c:ptCount val="1"/>
                <c:pt idx="0">
                  <c:v>No. Responses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'Dist-Time'!$F$22:$F$26</c:f>
              <c:strCache>
                <c:ptCount val="5"/>
                <c:pt idx="0">
                  <c:v>0-0.5</c:v>
                </c:pt>
                <c:pt idx="1">
                  <c:v>0.5-1.0</c:v>
                </c:pt>
                <c:pt idx="2">
                  <c:v>1.0-2.0</c:v>
                </c:pt>
                <c:pt idx="3">
                  <c:v>2.0-3.5</c:v>
                </c:pt>
                <c:pt idx="4">
                  <c:v>Over 3.5</c:v>
                </c:pt>
              </c:strCache>
            </c:strRef>
          </c:cat>
          <c:val>
            <c:numRef>
              <c:f>'Dist-Time'!$G$22:$G$26</c:f>
              <c:numCache>
                <c:formatCode>General</c:formatCode>
                <c:ptCount val="5"/>
                <c:pt idx="0">
                  <c:v>219</c:v>
                </c:pt>
                <c:pt idx="1">
                  <c:v>274</c:v>
                </c:pt>
                <c:pt idx="2">
                  <c:v>519</c:v>
                </c:pt>
                <c:pt idx="3">
                  <c:v>526</c:v>
                </c:pt>
                <c:pt idx="4">
                  <c:v>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4A-4B25-9062-0F7AF84FEB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9"/>
        <c:axId val="698163504"/>
        <c:axId val="698165472"/>
      </c:barChart>
      <c:lineChart>
        <c:grouping val="standard"/>
        <c:varyColors val="0"/>
        <c:ser>
          <c:idx val="1"/>
          <c:order val="1"/>
          <c:tx>
            <c:strRef>
              <c:f>'Dist-Time'!$H$21</c:f>
              <c:strCache>
                <c:ptCount val="1"/>
                <c:pt idx="0">
                  <c:v>%ge Responses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2">
                  <a:lumMod val="75000"/>
                </a:schemeClr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'Dist-Time'!$F$22:$F$26</c:f>
              <c:strCache>
                <c:ptCount val="5"/>
                <c:pt idx="0">
                  <c:v>0-0.5</c:v>
                </c:pt>
                <c:pt idx="1">
                  <c:v>0.5-1.0</c:v>
                </c:pt>
                <c:pt idx="2">
                  <c:v>1.0-2.0</c:v>
                </c:pt>
                <c:pt idx="3">
                  <c:v>2.0-3.5</c:v>
                </c:pt>
                <c:pt idx="4">
                  <c:v>Over 3.5</c:v>
                </c:pt>
              </c:strCache>
            </c:strRef>
          </c:cat>
          <c:val>
            <c:numRef>
              <c:f>'Dist-Time'!$H$22:$H$26</c:f>
              <c:numCache>
                <c:formatCode>0.0%</c:formatCode>
                <c:ptCount val="5"/>
                <c:pt idx="0">
                  <c:v>0.11869918699186992</c:v>
                </c:pt>
                <c:pt idx="1">
                  <c:v>0.14850948509485096</c:v>
                </c:pt>
                <c:pt idx="2">
                  <c:v>0.28130081300813009</c:v>
                </c:pt>
                <c:pt idx="3">
                  <c:v>0.2850948509485095</c:v>
                </c:pt>
                <c:pt idx="4">
                  <c:v>0.16639566395663957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4A-4B25-9062-0F7AF84FEB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01880"/>
        <c:axId val="698198928"/>
      </c:lineChart>
      <c:catAx>
        <c:axId val="69816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Journey Time (Hrs)</a:t>
                </a:r>
              </a:p>
            </c:rich>
          </c:tx>
          <c:layout>
            <c:manualLayout>
              <c:xMode val="edge"/>
              <c:yMode val="edge"/>
              <c:x val="0.36739938757655294"/>
              <c:y val="0.8859025955088947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165472"/>
        <c:crosses val="autoZero"/>
        <c:auto val="1"/>
        <c:lblAlgn val="ctr"/>
        <c:lblOffset val="100"/>
        <c:noMultiLvlLbl val="0"/>
      </c:catAx>
      <c:valAx>
        <c:axId val="69816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 b="1"/>
                  <a:t>No. Respondents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163504"/>
        <c:crosses val="autoZero"/>
        <c:crossBetween val="between"/>
      </c:valAx>
      <c:valAx>
        <c:axId val="69819892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/>
                  <a:t>Proportion of Repsondents,</a:t>
                </a:r>
                <a:r>
                  <a:rPr lang="en-US" sz="1050" baseline="0"/>
                  <a:t> %</a:t>
                </a:r>
                <a:endParaRPr lang="en-US" sz="105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01880"/>
        <c:crosses val="max"/>
        <c:crossBetween val="between"/>
        <c:majorUnit val="0.1"/>
      </c:valAx>
      <c:catAx>
        <c:axId val="6982018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8198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b="1"/>
              <a:t>Willingness To Pay Toll Charges by Journey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6083573928258968"/>
          <c:y val="0.15648148148148147"/>
          <c:w val="0.80860870516185479"/>
          <c:h val="0.601500801983085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'Dist-Time Toll'!$V$4</c:f>
              <c:strCache>
                <c:ptCount val="1"/>
                <c:pt idx="0">
                  <c:v>0-1,000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100-150</c:v>
                </c:pt>
                <c:pt idx="6">
                  <c:v>Over 150</c:v>
                </c:pt>
              </c:strCache>
            </c:strRef>
          </c:cat>
          <c:val>
            <c:numRef>
              <c:f>'Dist-Time Toll'!$V$5:$V$11</c:f>
              <c:numCache>
                <c:formatCode>0.0%</c:formatCode>
                <c:ptCount val="7"/>
                <c:pt idx="0">
                  <c:v>8.943089430894309E-2</c:v>
                </c:pt>
                <c:pt idx="1">
                  <c:v>3.5772357723577237E-2</c:v>
                </c:pt>
                <c:pt idx="2">
                  <c:v>2.4390243902439025E-2</c:v>
                </c:pt>
                <c:pt idx="3">
                  <c:v>5.3658536585365853E-2</c:v>
                </c:pt>
                <c:pt idx="4">
                  <c:v>8.0758807588075882E-2</c:v>
                </c:pt>
                <c:pt idx="5">
                  <c:v>3.2520325203252036E-2</c:v>
                </c:pt>
                <c:pt idx="6">
                  <c:v>3.1436314363143633E-2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EC-434F-B771-8480D787B46A}"/>
            </c:ext>
          </c:extLst>
        </c:ser>
        <c:ser>
          <c:idx val="1"/>
          <c:order val="1"/>
          <c:tx>
            <c:strRef>
              <c:f>'Dist-Time Toll'!$W$4</c:f>
              <c:strCache>
                <c:ptCount val="1"/>
                <c:pt idx="0">
                  <c:v>1,000-2,000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3.611111111111110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4EC-434F-B771-8480D787B4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100-150</c:v>
                </c:pt>
                <c:pt idx="6">
                  <c:v>Over 150</c:v>
                </c:pt>
              </c:strCache>
            </c:strRef>
          </c:cat>
          <c:val>
            <c:numRef>
              <c:f>'Dist-Time Toll'!$W$5:$W$11</c:f>
              <c:numCache>
                <c:formatCode>0.0%</c:formatCode>
                <c:ptCount val="7"/>
                <c:pt idx="0">
                  <c:v>6.558265582655827E-2</c:v>
                </c:pt>
                <c:pt idx="1">
                  <c:v>3.1436314363143633E-2</c:v>
                </c:pt>
                <c:pt idx="2">
                  <c:v>1.3550135501355014E-2</c:v>
                </c:pt>
                <c:pt idx="3">
                  <c:v>5.257452574525745E-2</c:v>
                </c:pt>
                <c:pt idx="4">
                  <c:v>5.7994579945799457E-2</c:v>
                </c:pt>
                <c:pt idx="5">
                  <c:v>2.1680216802168022E-2</c:v>
                </c:pt>
                <c:pt idx="6">
                  <c:v>3.035230352303523E-2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EC-434F-B771-8480D787B46A}"/>
            </c:ext>
          </c:extLst>
        </c:ser>
        <c:ser>
          <c:idx val="2"/>
          <c:order val="2"/>
          <c:tx>
            <c:strRef>
              <c:f>'Dist-Time Toll'!$X$4</c:f>
              <c:strCache>
                <c:ptCount val="1"/>
                <c:pt idx="0">
                  <c:v>2,000-3,000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-3.3333333333333333E-2"/>
                  <c:y val="-4.62962962962962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4EC-434F-B771-8480D787B4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100-150</c:v>
                </c:pt>
                <c:pt idx="6">
                  <c:v>Over 150</c:v>
                </c:pt>
              </c:strCache>
            </c:strRef>
          </c:cat>
          <c:val>
            <c:numRef>
              <c:f>'Dist-Time Toll'!$X$5:$X$11</c:f>
              <c:numCache>
                <c:formatCode>0.0%</c:formatCode>
                <c:ptCount val="7"/>
                <c:pt idx="0">
                  <c:v>3.4146341463414637E-2</c:v>
                </c:pt>
                <c:pt idx="1">
                  <c:v>2.0596205962059622E-2</c:v>
                </c:pt>
                <c:pt idx="2">
                  <c:v>2.1680216802168022E-3</c:v>
                </c:pt>
                <c:pt idx="3">
                  <c:v>2.0596205962059622E-2</c:v>
                </c:pt>
                <c:pt idx="4">
                  <c:v>3.8482384823848241E-2</c:v>
                </c:pt>
                <c:pt idx="5">
                  <c:v>1.1382113821138212E-2</c:v>
                </c:pt>
                <c:pt idx="6">
                  <c:v>2.4390243902439025E-2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EC-434F-B771-8480D787B46A}"/>
            </c:ext>
          </c:extLst>
        </c:ser>
        <c:ser>
          <c:idx val="3"/>
          <c:order val="3"/>
          <c:tx>
            <c:strRef>
              <c:f>'Dist-Time Toll'!$Y$4</c:f>
              <c:strCache>
                <c:ptCount val="1"/>
                <c:pt idx="0">
                  <c:v>3,000-5,000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100-150</c:v>
                </c:pt>
                <c:pt idx="6">
                  <c:v>Over 150</c:v>
                </c:pt>
              </c:strCache>
            </c:strRef>
          </c:cat>
          <c:val>
            <c:numRef>
              <c:f>'Dist-Time Toll'!$Y$5:$Y$11</c:f>
              <c:numCache>
                <c:formatCode>0.0%</c:formatCode>
                <c:ptCount val="7"/>
                <c:pt idx="0">
                  <c:v>2.2764227642276424E-2</c:v>
                </c:pt>
                <c:pt idx="1">
                  <c:v>1.7344173441734417E-2</c:v>
                </c:pt>
                <c:pt idx="2">
                  <c:v>1.6260162601626016E-3</c:v>
                </c:pt>
                <c:pt idx="3">
                  <c:v>1.6802168021680216E-2</c:v>
                </c:pt>
                <c:pt idx="4">
                  <c:v>1.7886178861788619E-2</c:v>
                </c:pt>
                <c:pt idx="5">
                  <c:v>7.5880758807588076E-3</c:v>
                </c:pt>
                <c:pt idx="6">
                  <c:v>1.3550135501355014E-2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EC-434F-B771-8480D787B46A}"/>
            </c:ext>
          </c:extLst>
        </c:ser>
        <c:ser>
          <c:idx val="4"/>
          <c:order val="4"/>
          <c:tx>
            <c:strRef>
              <c:f>'Dist-Time Toll'!$Z$4</c:f>
              <c:strCache>
                <c:ptCount val="1"/>
                <c:pt idx="0">
                  <c:v>5,000-10,000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100-150</c:v>
                </c:pt>
                <c:pt idx="6">
                  <c:v>Over 150</c:v>
                </c:pt>
              </c:strCache>
            </c:strRef>
          </c:cat>
          <c:val>
            <c:numRef>
              <c:f>'Dist-Time Toll'!$Z$5:$Z$11</c:f>
              <c:numCache>
                <c:formatCode>0.0%</c:formatCode>
                <c:ptCount val="7"/>
                <c:pt idx="0">
                  <c:v>1.7886178861788619E-2</c:v>
                </c:pt>
                <c:pt idx="1">
                  <c:v>1.5718157181571817E-2</c:v>
                </c:pt>
                <c:pt idx="2">
                  <c:v>1.0840108401084011E-3</c:v>
                </c:pt>
                <c:pt idx="3">
                  <c:v>1.6260162601626018E-2</c:v>
                </c:pt>
                <c:pt idx="4">
                  <c:v>1.7344173441734417E-2</c:v>
                </c:pt>
                <c:pt idx="5">
                  <c:v>5.962059620596206E-3</c:v>
                </c:pt>
                <c:pt idx="6">
                  <c:v>2.3306233062330622E-2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EC-434F-B771-8480D787B46A}"/>
            </c:ext>
          </c:extLst>
        </c:ser>
        <c:ser>
          <c:idx val="5"/>
          <c:order val="5"/>
          <c:tx>
            <c:strRef>
              <c:f>'Dist-Time Toll'!$AA$4</c:f>
              <c:strCache>
                <c:ptCount val="1"/>
                <c:pt idx="0">
                  <c:v>Over 10,000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100-150</c:v>
                </c:pt>
                <c:pt idx="6">
                  <c:v>Over 150</c:v>
                </c:pt>
              </c:strCache>
            </c:strRef>
          </c:cat>
          <c:val>
            <c:numRef>
              <c:f>'Dist-Time Toll'!$AA$5:$AA$11</c:f>
              <c:numCache>
                <c:formatCode>0.0%</c:formatCode>
                <c:ptCount val="7"/>
                <c:pt idx="0">
                  <c:v>4.3360433604336043E-3</c:v>
                </c:pt>
                <c:pt idx="1">
                  <c:v>4.8780487804878049E-3</c:v>
                </c:pt>
                <c:pt idx="2">
                  <c:v>2.1680216802168022E-3</c:v>
                </c:pt>
                <c:pt idx="3">
                  <c:v>2.1680216802168022E-3</c:v>
                </c:pt>
                <c:pt idx="4">
                  <c:v>8.130081300813009E-3</c:v>
                </c:pt>
                <c:pt idx="5">
                  <c:v>1.0840108401084011E-3</c:v>
                </c:pt>
                <c:pt idx="6">
                  <c:v>9.2140921409214101E-3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C-434F-B771-8480D787B4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98246160"/>
        <c:axId val="698236648"/>
      </c:barChart>
      <c:catAx>
        <c:axId val="6982461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Journey</a:t>
                </a:r>
                <a:r>
                  <a:rPr lang="en-US" b="1" baseline="0"/>
                  <a:t> Distance (Km)</a:t>
                </a:r>
                <a:endParaRPr lang="en-US" b="1"/>
              </a:p>
            </c:rich>
          </c:tx>
          <c:layout>
            <c:manualLayout>
              <c:xMode val="edge"/>
              <c:yMode val="edge"/>
              <c:x val="0.37998731408573932"/>
              <c:y val="0.83581401283172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36648"/>
        <c:crosses val="autoZero"/>
        <c:auto val="1"/>
        <c:lblAlgn val="ctr"/>
        <c:lblOffset val="100"/>
        <c:noMultiLvlLbl val="0"/>
      </c:catAx>
      <c:valAx>
        <c:axId val="698236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Proportion of Respondents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4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6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b="1"/>
              <a:t>Willingness To Pay Toll Charges by Income</a:t>
            </a:r>
            <a:endParaRPr lang="en-UG" b="1"/>
          </a:p>
        </c:rich>
      </c:tx>
      <c:layout>
        <c:manualLayout>
          <c:xMode val="edge"/>
          <c:yMode val="edge"/>
          <c:x val="0.24316033609006421"/>
          <c:y val="3.0456852791878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6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view3D>
      <c:rotX val="20"/>
      <c:rotY val="20"/>
      <c:depthPercent val="100"/>
      <c:rAngAx val="1"/>
    </c:view3D>
    <c:floor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bg1">
            <a:lumMod val="75000"/>
          </a:schemeClr>
        </a:solidFill>
        <a:ln>
          <a:noFill/>
        </a:ln>
        <a:effectLst/>
        <a:sp3d/>
      </c:spPr>
    </c:sideWall>
    <c:backWall>
      <c:thickness val="0"/>
      <c:spPr>
        <a:solidFill>
          <a:schemeClr val="bg1">
            <a:lumMod val="75000"/>
          </a:schemeClr>
        </a:solidFill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'Income-Toll'!$T$5</c:f>
              <c:strCache>
                <c:ptCount val="1"/>
                <c:pt idx="0">
                  <c:v>&lt;300,000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'Income-Toll'!$U$5:$Z$5</c:f>
              <c:numCache>
                <c:formatCode>0.0%</c:formatCode>
                <c:ptCount val="6"/>
                <c:pt idx="0">
                  <c:v>0.20529039677975849</c:v>
                </c:pt>
                <c:pt idx="1">
                  <c:v>9.8332374928119609E-2</c:v>
                </c:pt>
                <c:pt idx="2">
                  <c:v>4.8303622771707876E-2</c:v>
                </c:pt>
                <c:pt idx="3">
                  <c:v>1.437607820586544E-2</c:v>
                </c:pt>
                <c:pt idx="4">
                  <c:v>2.3001725129384705E-2</c:v>
                </c:pt>
                <c:pt idx="5">
                  <c:v>5.1753881541115581E-3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71-4126-A978-8866B43344E3}"/>
            </c:ext>
          </c:extLst>
        </c:ser>
        <c:ser>
          <c:idx val="1"/>
          <c:order val="1"/>
          <c:tx>
            <c:strRef>
              <c:f>'Income-Toll'!$T$6</c:f>
              <c:strCache>
                <c:ptCount val="1"/>
                <c:pt idx="0">
                  <c:v>300,000-500,000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'Income-Toll'!$U$6:$Z$6</c:f>
              <c:numCache>
                <c:formatCode>0.0%</c:formatCode>
                <c:ptCount val="6"/>
                <c:pt idx="0">
                  <c:v>1.5526164462334674E-2</c:v>
                </c:pt>
                <c:pt idx="1">
                  <c:v>1.3225991949396205E-2</c:v>
                </c:pt>
                <c:pt idx="2">
                  <c:v>1.0925819436457734E-2</c:v>
                </c:pt>
                <c:pt idx="3">
                  <c:v>6.3254744105807935E-3</c:v>
                </c:pt>
                <c:pt idx="4">
                  <c:v>9.7757331799884998E-3</c:v>
                </c:pt>
                <c:pt idx="5">
                  <c:v>3.4502587694077054E-3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71-4126-A978-8866B43344E3}"/>
            </c:ext>
          </c:extLst>
        </c:ser>
        <c:ser>
          <c:idx val="2"/>
          <c:order val="2"/>
          <c:tx>
            <c:strRef>
              <c:f>'Income-Toll'!$T$7</c:f>
              <c:strCache>
                <c:ptCount val="1"/>
                <c:pt idx="0">
                  <c:v>500,000-750,000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'Income-Toll'!$U$7:$Z$7</c:f>
              <c:numCache>
                <c:formatCode>0.0%</c:formatCode>
                <c:ptCount val="6"/>
                <c:pt idx="0">
                  <c:v>6.2104657849338697E-2</c:v>
                </c:pt>
                <c:pt idx="1">
                  <c:v>7.5330649798734911E-2</c:v>
                </c:pt>
                <c:pt idx="2">
                  <c:v>4.3128234617596323E-2</c:v>
                </c:pt>
                <c:pt idx="3">
                  <c:v>3.3352501437607818E-2</c:v>
                </c:pt>
                <c:pt idx="4">
                  <c:v>2.1276595744680851E-2</c:v>
                </c:pt>
                <c:pt idx="5">
                  <c:v>8.0506037952846471E-3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71-4126-A978-8866B43344E3}"/>
            </c:ext>
          </c:extLst>
        </c:ser>
        <c:ser>
          <c:idx val="3"/>
          <c:order val="3"/>
          <c:tx>
            <c:strRef>
              <c:f>'Income-Toll'!$T$8</c:f>
              <c:strCache>
                <c:ptCount val="1"/>
                <c:pt idx="0">
                  <c:v>750,000-1,000,000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'Income-Toll'!$U$8:$Z$8</c:f>
              <c:numCache>
                <c:formatCode>0.0%</c:formatCode>
                <c:ptCount val="6"/>
                <c:pt idx="0">
                  <c:v>5.1178838412880963E-2</c:v>
                </c:pt>
                <c:pt idx="1">
                  <c:v>6.2679700977573319E-2</c:v>
                </c:pt>
                <c:pt idx="2">
                  <c:v>3.3927544565842439E-2</c:v>
                </c:pt>
                <c:pt idx="3">
                  <c:v>2.7602070155261643E-2</c:v>
                </c:pt>
                <c:pt idx="4">
                  <c:v>3.1052328924669349E-2</c:v>
                </c:pt>
                <c:pt idx="5">
                  <c:v>7.4755606670500289E-3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71-4126-A978-8866B43344E3}"/>
            </c:ext>
          </c:extLst>
        </c:ser>
        <c:ser>
          <c:idx val="4"/>
          <c:order val="4"/>
          <c:tx>
            <c:strRef>
              <c:f>'Income-Toll'!$T$9</c:f>
              <c:strCache>
                <c:ptCount val="1"/>
                <c:pt idx="0">
                  <c:v>&gt;1,000,000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'Income-Toll'!$U$9:$Z$9</c:f>
              <c:numCache>
                <c:formatCode>0.0%</c:formatCode>
                <c:ptCount val="6"/>
                <c:pt idx="0">
                  <c:v>3.4502587694077054E-2</c:v>
                </c:pt>
                <c:pt idx="1">
                  <c:v>3.9677975848188614E-2</c:v>
                </c:pt>
                <c:pt idx="2">
                  <c:v>2.4726854514088556E-2</c:v>
                </c:pt>
                <c:pt idx="3">
                  <c:v>2.1851638872915469E-2</c:v>
                </c:pt>
                <c:pt idx="4">
                  <c:v>1.7826336975273145E-2</c:v>
                </c:pt>
                <c:pt idx="5">
                  <c:v>9.7757331799884998E-3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071-4126-A978-8866B43344E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98233040"/>
        <c:axId val="698231728"/>
        <c:axId val="779051632"/>
      </c:bar3DChart>
      <c:catAx>
        <c:axId val="698233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Potential Toll Charge (UGX)</a:t>
                </a:r>
              </a:p>
            </c:rich>
          </c:tx>
          <c:layout>
            <c:manualLayout>
              <c:xMode val="edge"/>
              <c:yMode val="edge"/>
              <c:x val="0.28017756504610741"/>
              <c:y val="0.941742593909027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31728"/>
        <c:crosses val="autoZero"/>
        <c:auto val="1"/>
        <c:lblAlgn val="ctr"/>
        <c:lblOffset val="100"/>
        <c:noMultiLvlLbl val="0"/>
      </c:catAx>
      <c:valAx>
        <c:axId val="69823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Proportion of Respondents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33040"/>
        <c:crosses val="autoZero"/>
        <c:crossBetween val="between"/>
      </c:valAx>
      <c:serAx>
        <c:axId val="77905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Income (UGX)</a:t>
                </a:r>
              </a:p>
            </c:rich>
          </c:tx>
          <c:layout>
            <c:manualLayout>
              <c:xMode val="edge"/>
              <c:yMode val="edge"/>
              <c:x val="0.93246564524809505"/>
              <c:y val="0.61374847172745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31728"/>
        <c:crosses val="autoZero"/>
      </c:ser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 i="0" baseline="0">
                <a:effectLst/>
              </a:rPr>
              <a:t>Willingness To Pay Toll Charges by Income</a:t>
            </a:r>
            <a:endParaRPr lang="en-UG" sz="1400">
              <a:effectLst/>
            </a:endParaRPr>
          </a:p>
        </c:rich>
      </c:tx>
      <c:layout>
        <c:manualLayout>
          <c:xMode val="edge"/>
          <c:yMode val="edge"/>
          <c:x val="0.32819277777777778"/>
          <c:y val="1.35683760683760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bg1">
            <a:lumMod val="95000"/>
          </a:schemeClr>
        </a:solidFill>
        <a:ln>
          <a:noFill/>
        </a:ln>
        <a:effectLst/>
        <a:sp3d/>
      </c:spPr>
    </c:sideWall>
    <c:backWall>
      <c:thickness val="0"/>
      <c:spPr>
        <a:solidFill>
          <a:schemeClr val="bg1">
            <a:lumMod val="95000"/>
          </a:schemeClr>
        </a:solidFill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834865307108577E-2"/>
          <c:y val="0.11017268177703382"/>
          <c:w val="0.83455229185594682"/>
          <c:h val="0.74739486482598083"/>
        </c:manualLayout>
      </c:layout>
      <c:bar3DChart>
        <c:barDir val="col"/>
        <c:grouping val="standard"/>
        <c:varyColors val="0"/>
        <c:ser>
          <c:idx val="0"/>
          <c:order val="0"/>
          <c:tx>
            <c:strRef>
              <c:f>'Veh-Toll'!$T$5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'Veh-Toll'!$U$5:$Z$5</c:f>
              <c:numCache>
                <c:formatCode>0.0%</c:formatCode>
                <c:ptCount val="6"/>
                <c:pt idx="0">
                  <c:v>2.113821138211382E-2</c:v>
                </c:pt>
                <c:pt idx="1">
                  <c:v>2.7100271002710029E-2</c:v>
                </c:pt>
                <c:pt idx="2">
                  <c:v>1.6260162601626018E-2</c:v>
                </c:pt>
                <c:pt idx="3">
                  <c:v>9.2140921409214101E-3</c:v>
                </c:pt>
                <c:pt idx="4">
                  <c:v>9.2140921409214101E-3</c:v>
                </c:pt>
                <c:pt idx="5">
                  <c:v>3.7940379403794038E-3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D3-4759-B956-887A9C917331}"/>
            </c:ext>
          </c:extLst>
        </c:ser>
        <c:ser>
          <c:idx val="1"/>
          <c:order val="1"/>
          <c:tx>
            <c:strRef>
              <c:f>'Veh-Toll'!$T$6</c:f>
              <c:strCache>
                <c:ptCount val="1"/>
                <c:pt idx="0">
                  <c:v>Heavy truck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'Veh-Toll'!$U$6:$Z$6</c:f>
              <c:numCache>
                <c:formatCode>0.0%</c:formatCode>
                <c:ptCount val="6"/>
                <c:pt idx="0">
                  <c:v>5.4200542005420054E-4</c:v>
                </c:pt>
                <c:pt idx="1">
                  <c:v>1.0840108401084011E-3</c:v>
                </c:pt>
                <c:pt idx="2">
                  <c:v>1.0840108401084011E-3</c:v>
                </c:pt>
                <c:pt idx="3">
                  <c:v>1.6260162601626016E-3</c:v>
                </c:pt>
                <c:pt idx="4">
                  <c:v>2.7100271002710027E-3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D3-4759-B956-887A9C917331}"/>
            </c:ext>
          </c:extLst>
        </c:ser>
        <c:ser>
          <c:idx val="2"/>
          <c:order val="2"/>
          <c:tx>
            <c:strRef>
              <c:f>'Veh-Toll'!$T$7</c:f>
              <c:strCache>
                <c:ptCount val="1"/>
                <c:pt idx="0">
                  <c:v>Large Bus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'Veh-Toll'!$U$7:$Z$7</c:f>
              <c:numCache>
                <c:formatCode>0.0%</c:formatCode>
                <c:ptCount val="6"/>
                <c:pt idx="0">
                  <c:v>1.9512195121951219E-2</c:v>
                </c:pt>
                <c:pt idx="1">
                  <c:v>1.0298102981029811E-2</c:v>
                </c:pt>
                <c:pt idx="2">
                  <c:v>1.3008130081300813E-2</c:v>
                </c:pt>
                <c:pt idx="3">
                  <c:v>6.5040650406504065E-3</c:v>
                </c:pt>
                <c:pt idx="4">
                  <c:v>1.1382113821138212E-2</c:v>
                </c:pt>
                <c:pt idx="5">
                  <c:v>9.2140921409214101E-3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D3-4759-B956-887A9C917331}"/>
            </c:ext>
          </c:extLst>
        </c:ser>
        <c:ser>
          <c:idx val="3"/>
          <c:order val="3"/>
          <c:tx>
            <c:strRef>
              <c:f>'Veh-Toll'!$T$8</c:f>
              <c:strCache>
                <c:ptCount val="1"/>
                <c:pt idx="0">
                  <c:v>Light Truck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'Veh-Toll'!$U$8:$Z$8</c:f>
              <c:numCache>
                <c:formatCode>0.0%</c:formatCode>
                <c:ptCount val="6"/>
                <c:pt idx="0">
                  <c:v>2.1680216802168022E-3</c:v>
                </c:pt>
                <c:pt idx="1">
                  <c:v>7.5880758807588076E-3</c:v>
                </c:pt>
                <c:pt idx="2">
                  <c:v>2.7100271002710027E-3</c:v>
                </c:pt>
                <c:pt idx="3">
                  <c:v>1.0840108401084011E-3</c:v>
                </c:pt>
                <c:pt idx="4">
                  <c:v>1.0840108401084011E-3</c:v>
                </c:pt>
                <c:pt idx="5">
                  <c:v>1.6260162601626016E-3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D3-4759-B956-887A9C917331}"/>
            </c:ext>
          </c:extLst>
        </c:ser>
        <c:ser>
          <c:idx val="4"/>
          <c:order val="4"/>
          <c:tx>
            <c:strRef>
              <c:f>'Veh-Toll'!$T$9</c:f>
              <c:strCache>
                <c:ptCount val="1"/>
                <c:pt idx="0">
                  <c:v>Medium bus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'Veh-Toll'!$U$9:$Z$9</c:f>
              <c:numCache>
                <c:formatCode>0.0%</c:formatCode>
                <c:ptCount val="6"/>
                <c:pt idx="0">
                  <c:v>9.7560975609756097E-3</c:v>
                </c:pt>
                <c:pt idx="1">
                  <c:v>4.8780487804878049E-3</c:v>
                </c:pt>
                <c:pt idx="2">
                  <c:v>3.7940379403794038E-3</c:v>
                </c:pt>
                <c:pt idx="3">
                  <c:v>2.1680216802168022E-3</c:v>
                </c:pt>
                <c:pt idx="4">
                  <c:v>2.7100271002710027E-3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D3-4759-B956-887A9C917331}"/>
            </c:ext>
          </c:extLst>
        </c:ser>
        <c:ser>
          <c:idx val="5"/>
          <c:order val="5"/>
          <c:tx>
            <c:strRef>
              <c:f>'Veh-Toll'!$T$10</c:f>
              <c:strCache>
                <c:ptCount val="1"/>
                <c:pt idx="0">
                  <c:v>Medium Truck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'Veh-Toll'!$U$10:$Z$10</c:f>
              <c:numCache>
                <c:formatCode>0.0%</c:formatCode>
                <c:ptCount val="6"/>
                <c:pt idx="0">
                  <c:v>1.0840108401084011E-3</c:v>
                </c:pt>
                <c:pt idx="1">
                  <c:v>3.2520325203252032E-3</c:v>
                </c:pt>
                <c:pt idx="2">
                  <c:v>1.0840108401084011E-3</c:v>
                </c:pt>
                <c:pt idx="3">
                  <c:v>1.0840108401084011E-3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D3-4759-B956-887A9C917331}"/>
            </c:ext>
          </c:extLst>
        </c:ser>
        <c:ser>
          <c:idx val="6"/>
          <c:order val="6"/>
          <c:tx>
            <c:strRef>
              <c:f>'Veh-Toll'!$T$11</c:f>
              <c:strCache>
                <c:ptCount val="1"/>
                <c:pt idx="0">
                  <c:v>Minibus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'Veh-Toll'!$U$11:$Z$11</c:f>
              <c:numCache>
                <c:formatCode>0.0%</c:formatCode>
                <c:ptCount val="6"/>
                <c:pt idx="0">
                  <c:v>0.27642276422764228</c:v>
                </c:pt>
                <c:pt idx="1">
                  <c:v>0.1962059620596206</c:v>
                </c:pt>
                <c:pt idx="2">
                  <c:v>0.1040650406504065</c:v>
                </c:pt>
                <c:pt idx="3">
                  <c:v>6.6666666666666666E-2</c:v>
                </c:pt>
                <c:pt idx="4">
                  <c:v>5.907859078590786E-2</c:v>
                </c:pt>
                <c:pt idx="5">
                  <c:v>9.7560975609756097E-3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8D3-4759-B956-887A9C917331}"/>
            </c:ext>
          </c:extLst>
        </c:ser>
        <c:ser>
          <c:idx val="7"/>
          <c:order val="7"/>
          <c:tx>
            <c:strRef>
              <c:f>'Veh-Toll'!$T$12</c:f>
              <c:strCache>
                <c:ptCount val="1"/>
                <c:pt idx="0">
                  <c:v>Pickups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'Veh-Toll'!$U$12:$Z$12</c:f>
              <c:numCache>
                <c:formatCode>0.0%</c:formatCode>
                <c:ptCount val="6"/>
                <c:pt idx="0">
                  <c:v>8.6720867208672087E-3</c:v>
                </c:pt>
                <c:pt idx="1">
                  <c:v>4.8780487804878049E-3</c:v>
                </c:pt>
                <c:pt idx="2">
                  <c:v>3.7940379403794038E-3</c:v>
                </c:pt>
                <c:pt idx="3">
                  <c:v>3.7940379403794038E-3</c:v>
                </c:pt>
                <c:pt idx="4">
                  <c:v>2.7100271002710027E-3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D3-4759-B956-887A9C917331}"/>
            </c:ext>
          </c:extLst>
        </c:ser>
        <c:ser>
          <c:idx val="8"/>
          <c:order val="8"/>
          <c:tx>
            <c:strRef>
              <c:f>'Veh-Toll'!$T$13</c:f>
              <c:strCache>
                <c:ptCount val="1"/>
                <c:pt idx="0">
                  <c:v>Station Wagon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'Veh-Toll'!$U$13:$Z$13</c:f>
              <c:numCache>
                <c:formatCode>0.0%</c:formatCode>
                <c:ptCount val="6"/>
                <c:pt idx="0">
                  <c:v>7.5880758807588076E-3</c:v>
                </c:pt>
                <c:pt idx="1">
                  <c:v>1.5176151761517615E-2</c:v>
                </c:pt>
                <c:pt idx="2">
                  <c:v>5.4200542005420054E-3</c:v>
                </c:pt>
                <c:pt idx="3">
                  <c:v>5.4200542005420054E-3</c:v>
                </c:pt>
                <c:pt idx="4">
                  <c:v>8.130081300813009E-3</c:v>
                </c:pt>
                <c:pt idx="5">
                  <c:v>7.046070460704607E-3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D3-4759-B956-887A9C917331}"/>
            </c:ext>
          </c:extLst>
        </c:ser>
        <c:ser>
          <c:idx val="9"/>
          <c:order val="9"/>
          <c:tx>
            <c:strRef>
              <c:f>'Veh-Toll'!$T$14</c:f>
              <c:strCache>
                <c:ptCount val="1"/>
                <c:pt idx="0">
                  <c:v>Truck Trailer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'Veh-Toll'!$U$14:$Z$14</c:f>
              <c:numCache>
                <c:formatCode>0.0%</c:formatCode>
                <c:ptCount val="6"/>
                <c:pt idx="0">
                  <c:v>1.0840108401084011E-3</c:v>
                </c:pt>
                <c:pt idx="1">
                  <c:v>2.7100271002710027E-3</c:v>
                </c:pt>
                <c:pt idx="2">
                  <c:v>5.4200542005420054E-4</c:v>
                </c:pt>
                <c:pt idx="3">
                  <c:v>0</c:v>
                </c:pt>
                <c:pt idx="4">
                  <c:v>5.4200542005420054E-4</c:v>
                </c:pt>
                <c:pt idx="5">
                  <c:v>5.4200542005420054E-4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8D3-4759-B956-887A9C91733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98274696"/>
        <c:axId val="698276664"/>
        <c:axId val="779010008"/>
      </c:bar3DChart>
      <c:catAx>
        <c:axId val="698274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baseline="0">
                    <a:effectLst/>
                  </a:rPr>
                  <a:t>Potential Toll Charge (UGX)</a:t>
                </a:r>
                <a:endParaRPr lang="en-UG" sz="1100">
                  <a:effectLst/>
                </a:endParaRPr>
              </a:p>
            </c:rich>
          </c:tx>
          <c:layout>
            <c:manualLayout>
              <c:xMode val="edge"/>
              <c:yMode val="edge"/>
              <c:x val="0.31618450590308067"/>
              <c:y val="0.957399045485145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76664"/>
        <c:crosses val="autoZero"/>
        <c:auto val="1"/>
        <c:lblAlgn val="ctr"/>
        <c:lblOffset val="100"/>
        <c:noMultiLvlLbl val="0"/>
      </c:catAx>
      <c:valAx>
        <c:axId val="698276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Proportion of Respondents, %</a:t>
                </a:r>
              </a:p>
            </c:rich>
          </c:tx>
          <c:layout>
            <c:manualLayout>
              <c:xMode val="edge"/>
              <c:yMode val="edge"/>
              <c:x val="4.4189640980620025E-2"/>
              <c:y val="0.320450923877764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74696"/>
        <c:crosses val="autoZero"/>
        <c:crossBetween val="between"/>
      </c:valAx>
      <c:serAx>
        <c:axId val="779010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76664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609599</xdr:colOff>
      <xdr:row>11</xdr:row>
      <xdr:rowOff>9524</xdr:rowOff>
    </xdr:from>
    <xdr:to>
      <xdr:col>21</xdr:col>
      <xdr:colOff>66674</xdr:colOff>
      <xdr:row>32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A6D775-CBAB-44FE-BA03-AA1058EA58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9524</xdr:colOff>
      <xdr:row>3</xdr:row>
      <xdr:rowOff>9524</xdr:rowOff>
    </xdr:from>
    <xdr:to>
      <xdr:col>27</xdr:col>
      <xdr:colOff>590549</xdr:colOff>
      <xdr:row>25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D0B43E-D2FE-420B-B201-0C22E02A8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</xdr:colOff>
      <xdr:row>2</xdr:row>
      <xdr:rowOff>9525</xdr:rowOff>
    </xdr:from>
    <xdr:to>
      <xdr:col>13</xdr:col>
      <xdr:colOff>352425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FDB81C-6E61-47C2-A9FE-1A388D45CB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20</xdr:row>
      <xdr:rowOff>0</xdr:rowOff>
    </xdr:from>
    <xdr:to>
      <xdr:col>13</xdr:col>
      <xdr:colOff>342900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BF21FC-D43A-4E4A-A555-A8812E1466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9524</xdr:colOff>
      <xdr:row>2</xdr:row>
      <xdr:rowOff>9525</xdr:rowOff>
    </xdr:from>
    <xdr:to>
      <xdr:col>35</xdr:col>
      <xdr:colOff>600075</xdr:colOff>
      <xdr:row>21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16E0C0-65ED-40BA-8D7A-56DFC6423F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19049</xdr:colOff>
      <xdr:row>2</xdr:row>
      <xdr:rowOff>9524</xdr:rowOff>
    </xdr:from>
    <xdr:to>
      <xdr:col>40</xdr:col>
      <xdr:colOff>9525</xdr:colOff>
      <xdr:row>35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F37CC0-C032-46E9-BA0C-F2EDC044C2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19051</xdr:colOff>
      <xdr:row>1</xdr:row>
      <xdr:rowOff>161923</xdr:rowOff>
    </xdr:from>
    <xdr:to>
      <xdr:col>40</xdr:col>
      <xdr:colOff>428625</xdr:colOff>
      <xdr:row>50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8B52E6-CF05-49B5-A6DF-C33F814FAF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1-Kampala/SP-OLD%20TAXI%20PARK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1-Kampala/SP-KISENYI%20TAXI%20PARK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Central%20S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LD Taxi park"/>
      <sheetName val="RSI FORM"/>
      <sheetName val="Key"/>
    </sheetNames>
    <sheetDataSet>
      <sheetData sheetId="0">
        <row r="8">
          <cell r="F8">
            <v>2</v>
          </cell>
        </row>
      </sheetData>
      <sheetData sheetId="1" refreshError="1"/>
      <sheetData sheetId="2">
        <row r="2">
          <cell r="A2">
            <v>1</v>
          </cell>
          <cell r="B2" t="str">
            <v>Car</v>
          </cell>
          <cell r="E2">
            <v>1</v>
          </cell>
          <cell r="F2" t="str">
            <v>Home</v>
          </cell>
        </row>
        <row r="3">
          <cell r="A3">
            <v>2</v>
          </cell>
          <cell r="B3" t="str">
            <v>Station Wagon</v>
          </cell>
          <cell r="E3">
            <v>2</v>
          </cell>
          <cell r="F3" t="str">
            <v>Work</v>
          </cell>
        </row>
        <row r="4">
          <cell r="A4">
            <v>3</v>
          </cell>
          <cell r="B4" t="str">
            <v>Pickups</v>
          </cell>
          <cell r="E4">
            <v>3</v>
          </cell>
          <cell r="F4" t="str">
            <v>Study</v>
          </cell>
        </row>
        <row r="5">
          <cell r="A5">
            <v>4</v>
          </cell>
          <cell r="B5" t="str">
            <v>Minibus</v>
          </cell>
          <cell r="E5">
            <v>4</v>
          </cell>
          <cell r="F5" t="str">
            <v>Commercial</v>
          </cell>
        </row>
        <row r="6">
          <cell r="A6">
            <v>5</v>
          </cell>
          <cell r="B6" t="str">
            <v xml:space="preserve">Medium bus </v>
          </cell>
          <cell r="E6">
            <v>5</v>
          </cell>
          <cell r="F6" t="str">
            <v>Tourism</v>
          </cell>
        </row>
        <row r="7">
          <cell r="A7">
            <v>6</v>
          </cell>
          <cell r="B7" t="str">
            <v>Large Bus</v>
          </cell>
          <cell r="E7">
            <v>6</v>
          </cell>
          <cell r="F7" t="str">
            <v>Leisure/Social</v>
          </cell>
        </row>
        <row r="8">
          <cell r="A8">
            <v>7</v>
          </cell>
          <cell r="B8" t="str">
            <v xml:space="preserve">Light Truck </v>
          </cell>
          <cell r="E8">
            <v>7</v>
          </cell>
          <cell r="F8" t="str">
            <v>Hospital</v>
          </cell>
        </row>
        <row r="9">
          <cell r="A9">
            <v>8</v>
          </cell>
          <cell r="B9" t="str">
            <v xml:space="preserve">Medium Truck </v>
          </cell>
          <cell r="E9">
            <v>8</v>
          </cell>
          <cell r="F9" t="str">
            <v>Others</v>
          </cell>
        </row>
        <row r="10">
          <cell r="A10">
            <v>9</v>
          </cell>
          <cell r="B10" t="str">
            <v xml:space="preserve">Heavy truck </v>
          </cell>
        </row>
        <row r="11">
          <cell r="A11">
            <v>10</v>
          </cell>
          <cell r="B11" t="str">
            <v xml:space="preserve">Truck Trailer </v>
          </cell>
        </row>
        <row r="12">
          <cell r="A12">
            <v>11</v>
          </cell>
          <cell r="B12" t="str">
            <v>Motor cycles</v>
          </cell>
        </row>
        <row r="13">
          <cell r="A13">
            <v>12</v>
          </cell>
          <cell r="B13" t="str">
            <v>Tractors</v>
          </cell>
        </row>
        <row r="17">
          <cell r="A17">
            <v>1</v>
          </cell>
          <cell r="B17" t="str">
            <v>Walking/Cycling</v>
          </cell>
        </row>
        <row r="18">
          <cell r="A18">
            <v>2</v>
          </cell>
          <cell r="B18" t="str">
            <v>Road Vehicle</v>
          </cell>
        </row>
        <row r="19">
          <cell r="A19">
            <v>3</v>
          </cell>
          <cell r="B19" t="str">
            <v>Rail</v>
          </cell>
        </row>
        <row r="20">
          <cell r="A20">
            <v>4</v>
          </cell>
          <cell r="B20" t="str">
            <v>Water/Ferry</v>
          </cell>
          <cell r="C20">
            <v>1</v>
          </cell>
          <cell r="D20" t="str">
            <v>Unemployed</v>
          </cell>
          <cell r="E20">
            <v>1</v>
          </cell>
          <cell r="F20" t="str">
            <v>&lt;300,000</v>
          </cell>
        </row>
        <row r="21">
          <cell r="A21">
            <v>5</v>
          </cell>
          <cell r="B21" t="str">
            <v>Air</v>
          </cell>
          <cell r="C21">
            <v>2</v>
          </cell>
          <cell r="D21" t="str">
            <v>Manual Labour</v>
          </cell>
          <cell r="E21">
            <v>2</v>
          </cell>
          <cell r="F21" t="str">
            <v>300,000-500,000</v>
          </cell>
        </row>
        <row r="22">
          <cell r="C22">
            <v>3</v>
          </cell>
          <cell r="D22" t="str">
            <v>Artisan/Domestic</v>
          </cell>
          <cell r="E22">
            <v>3</v>
          </cell>
          <cell r="F22" t="str">
            <v>500,000-750,000</v>
          </cell>
        </row>
        <row r="23">
          <cell r="C23">
            <v>4</v>
          </cell>
          <cell r="D23" t="str">
            <v>Office Worker</v>
          </cell>
          <cell r="E23">
            <v>4</v>
          </cell>
          <cell r="F23" t="str">
            <v>750,000-1,000,000</v>
          </cell>
        </row>
        <row r="24">
          <cell r="A24">
            <v>1</v>
          </cell>
          <cell r="B24" t="str">
            <v>20-29</v>
          </cell>
          <cell r="C24">
            <v>5</v>
          </cell>
          <cell r="D24" t="str">
            <v>Professional</v>
          </cell>
          <cell r="E24">
            <v>5</v>
          </cell>
          <cell r="F24" t="str">
            <v>&gt;1,000,000</v>
          </cell>
        </row>
        <row r="25">
          <cell r="A25">
            <v>2</v>
          </cell>
          <cell r="B25" t="str">
            <v>30-39</v>
          </cell>
          <cell r="C25">
            <v>6</v>
          </cell>
          <cell r="D25" t="str">
            <v>Businessman</v>
          </cell>
        </row>
        <row r="26">
          <cell r="A26">
            <v>3</v>
          </cell>
          <cell r="B26" t="str">
            <v>40-49</v>
          </cell>
          <cell r="C26">
            <v>7</v>
          </cell>
          <cell r="D26" t="str">
            <v>Farmer</v>
          </cell>
        </row>
        <row r="27">
          <cell r="A27">
            <v>4</v>
          </cell>
          <cell r="B27" t="str">
            <v>50-59</v>
          </cell>
          <cell r="C27">
            <v>8</v>
          </cell>
          <cell r="D27" t="str">
            <v>Student</v>
          </cell>
        </row>
        <row r="28">
          <cell r="A28">
            <v>5</v>
          </cell>
          <cell r="B28" t="str">
            <v>60-69</v>
          </cell>
          <cell r="C28">
            <v>9</v>
          </cell>
          <cell r="D28" t="str">
            <v>Retired</v>
          </cell>
        </row>
        <row r="29">
          <cell r="A29">
            <v>6</v>
          </cell>
          <cell r="B29" t="str">
            <v>70-</v>
          </cell>
          <cell r="C29">
            <v>10</v>
          </cell>
          <cell r="D29" t="str">
            <v>Other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ISENYI TAXI PARK"/>
      <sheetName val="RSI FORM"/>
      <sheetName val="Key"/>
      <sheetName val="Zones"/>
    </sheetNames>
    <sheetDataSet>
      <sheetData sheetId="0">
        <row r="8">
          <cell r="F8">
            <v>2</v>
          </cell>
        </row>
      </sheetData>
      <sheetData sheetId="1" refreshError="1"/>
      <sheetData sheetId="2">
        <row r="2">
          <cell r="A2">
            <v>1</v>
          </cell>
          <cell r="B2" t="str">
            <v>Car</v>
          </cell>
          <cell r="E2">
            <v>1</v>
          </cell>
          <cell r="F2" t="str">
            <v>Home</v>
          </cell>
        </row>
        <row r="3">
          <cell r="A3">
            <v>2</v>
          </cell>
          <cell r="B3" t="str">
            <v>Station Wagon</v>
          </cell>
          <cell r="E3">
            <v>2</v>
          </cell>
          <cell r="F3" t="str">
            <v>Work</v>
          </cell>
        </row>
        <row r="4">
          <cell r="A4">
            <v>3</v>
          </cell>
          <cell r="B4" t="str">
            <v>Pickups</v>
          </cell>
          <cell r="E4">
            <v>3</v>
          </cell>
          <cell r="F4" t="str">
            <v>Study</v>
          </cell>
        </row>
        <row r="5">
          <cell r="A5">
            <v>4</v>
          </cell>
          <cell r="B5" t="str">
            <v>Minibus</v>
          </cell>
          <cell r="E5">
            <v>4</v>
          </cell>
          <cell r="F5" t="str">
            <v>Commercial</v>
          </cell>
        </row>
        <row r="6">
          <cell r="A6">
            <v>5</v>
          </cell>
          <cell r="B6" t="str">
            <v xml:space="preserve">Medium bus </v>
          </cell>
          <cell r="E6">
            <v>5</v>
          </cell>
          <cell r="F6" t="str">
            <v>Tourism</v>
          </cell>
        </row>
        <row r="7">
          <cell r="A7">
            <v>6</v>
          </cell>
          <cell r="B7" t="str">
            <v>Large Bus</v>
          </cell>
          <cell r="E7">
            <v>6</v>
          </cell>
          <cell r="F7" t="str">
            <v>Leisure/Social</v>
          </cell>
        </row>
        <row r="8">
          <cell r="A8">
            <v>7</v>
          </cell>
          <cell r="B8" t="str">
            <v xml:space="preserve">Light Truck </v>
          </cell>
          <cell r="E8">
            <v>7</v>
          </cell>
          <cell r="F8" t="str">
            <v>Hospital</v>
          </cell>
        </row>
        <row r="9">
          <cell r="A9">
            <v>8</v>
          </cell>
          <cell r="B9" t="str">
            <v xml:space="preserve">Medium Truck </v>
          </cell>
          <cell r="E9">
            <v>8</v>
          </cell>
          <cell r="F9" t="str">
            <v>Others</v>
          </cell>
        </row>
        <row r="10">
          <cell r="A10">
            <v>9</v>
          </cell>
          <cell r="B10" t="str">
            <v xml:space="preserve">Heavy truck </v>
          </cell>
        </row>
        <row r="11">
          <cell r="A11">
            <v>10</v>
          </cell>
          <cell r="B11" t="str">
            <v xml:space="preserve">Truck Trailer </v>
          </cell>
        </row>
        <row r="12">
          <cell r="A12">
            <v>11</v>
          </cell>
          <cell r="B12" t="str">
            <v>Motor cycles</v>
          </cell>
        </row>
        <row r="13">
          <cell r="A13">
            <v>12</v>
          </cell>
          <cell r="B13" t="str">
            <v>Tractors</v>
          </cell>
        </row>
        <row r="17">
          <cell r="A17">
            <v>1</v>
          </cell>
          <cell r="B17" t="str">
            <v>Walking/Cycling</v>
          </cell>
        </row>
        <row r="18">
          <cell r="A18">
            <v>2</v>
          </cell>
          <cell r="B18" t="str">
            <v>Road Vehicle</v>
          </cell>
        </row>
        <row r="19">
          <cell r="A19">
            <v>3</v>
          </cell>
          <cell r="B19" t="str">
            <v>Rail</v>
          </cell>
        </row>
        <row r="20">
          <cell r="A20">
            <v>4</v>
          </cell>
          <cell r="B20" t="str">
            <v>Water/Ferry</v>
          </cell>
          <cell r="C20">
            <v>1</v>
          </cell>
          <cell r="D20" t="str">
            <v>Unemployed</v>
          </cell>
          <cell r="E20">
            <v>1</v>
          </cell>
          <cell r="F20" t="str">
            <v>&lt;300,000</v>
          </cell>
        </row>
        <row r="21">
          <cell r="A21">
            <v>5</v>
          </cell>
          <cell r="B21" t="str">
            <v>Air</v>
          </cell>
          <cell r="C21">
            <v>2</v>
          </cell>
          <cell r="D21" t="str">
            <v>Manual Labour</v>
          </cell>
          <cell r="E21">
            <v>2</v>
          </cell>
          <cell r="F21" t="str">
            <v>300,000-500,000</v>
          </cell>
        </row>
        <row r="22">
          <cell r="C22">
            <v>3</v>
          </cell>
          <cell r="D22" t="str">
            <v>Artisan/Domestic</v>
          </cell>
          <cell r="E22">
            <v>3</v>
          </cell>
          <cell r="F22" t="str">
            <v>500,000-750,000</v>
          </cell>
        </row>
        <row r="23">
          <cell r="C23">
            <v>4</v>
          </cell>
          <cell r="D23" t="str">
            <v>Office Worker</v>
          </cell>
          <cell r="E23">
            <v>4</v>
          </cell>
          <cell r="F23" t="str">
            <v>750,000-1,000,000</v>
          </cell>
        </row>
        <row r="24">
          <cell r="A24">
            <v>1</v>
          </cell>
          <cell r="B24" t="str">
            <v>20-29</v>
          </cell>
          <cell r="C24">
            <v>5</v>
          </cell>
          <cell r="D24" t="str">
            <v>Professional</v>
          </cell>
          <cell r="E24">
            <v>5</v>
          </cell>
          <cell r="F24" t="str">
            <v>&gt;1,000,000</v>
          </cell>
        </row>
        <row r="25">
          <cell r="A25">
            <v>2</v>
          </cell>
          <cell r="B25" t="str">
            <v>30-39</v>
          </cell>
          <cell r="C25">
            <v>6</v>
          </cell>
          <cell r="D25" t="str">
            <v>Businessman</v>
          </cell>
        </row>
        <row r="26">
          <cell r="A26">
            <v>3</v>
          </cell>
          <cell r="B26" t="str">
            <v>40-49</v>
          </cell>
          <cell r="C26">
            <v>7</v>
          </cell>
          <cell r="D26" t="str">
            <v>Farmer</v>
          </cell>
        </row>
        <row r="27">
          <cell r="A27">
            <v>4</v>
          </cell>
          <cell r="B27" t="str">
            <v>50-59</v>
          </cell>
          <cell r="C27">
            <v>8</v>
          </cell>
          <cell r="D27" t="str">
            <v>Student</v>
          </cell>
        </row>
        <row r="28">
          <cell r="A28">
            <v>5</v>
          </cell>
          <cell r="B28" t="str">
            <v>60-69</v>
          </cell>
          <cell r="C28">
            <v>9</v>
          </cell>
          <cell r="D28" t="str">
            <v>Retired</v>
          </cell>
        </row>
        <row r="29">
          <cell r="A29">
            <v>6</v>
          </cell>
          <cell r="B29" t="str">
            <v>70-</v>
          </cell>
          <cell r="C29">
            <v>10</v>
          </cell>
          <cell r="D29" t="str">
            <v>Other</v>
          </cell>
        </row>
      </sheetData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ge"/>
      <sheetName val="Journey P"/>
      <sheetName val="Dist-Time"/>
      <sheetName val="Dist-Time Toll"/>
      <sheetName val="Income-Toll"/>
      <sheetName val="Veh-Toll"/>
      <sheetName val="CentralSP"/>
      <sheetName val="RSI FORM"/>
      <sheetName val="Key"/>
    </sheetNames>
    <sheetDataSet>
      <sheetData sheetId="0">
        <row r="4">
          <cell r="N4" t="str">
            <v>Female</v>
          </cell>
          <cell r="O4" t="str">
            <v>Male</v>
          </cell>
        </row>
        <row r="5">
          <cell r="M5" t="str">
            <v>20-29</v>
          </cell>
          <cell r="N5">
            <v>0.11273712737127371</v>
          </cell>
          <cell r="O5">
            <v>0.11978319783197831</v>
          </cell>
        </row>
        <row r="6">
          <cell r="M6" t="str">
            <v>30-39</v>
          </cell>
          <cell r="N6">
            <v>0.15284552845528454</v>
          </cell>
          <cell r="O6">
            <v>0.32303523035230353</v>
          </cell>
        </row>
        <row r="7">
          <cell r="M7" t="str">
            <v>40-49</v>
          </cell>
          <cell r="N7">
            <v>5.3658536585365853E-2</v>
          </cell>
          <cell r="O7">
            <v>0.15880758807588075</v>
          </cell>
        </row>
        <row r="8">
          <cell r="M8" t="str">
            <v>50-59</v>
          </cell>
          <cell r="N8">
            <v>1.0840108401084011E-2</v>
          </cell>
          <cell r="O8">
            <v>5.4200542005420058E-2</v>
          </cell>
        </row>
        <row r="9">
          <cell r="M9" t="str">
            <v>60-69</v>
          </cell>
          <cell r="N9">
            <v>4.8780487804878049E-3</v>
          </cell>
          <cell r="O9">
            <v>8.6720867208672087E-3</v>
          </cell>
        </row>
        <row r="10">
          <cell r="M10" t="str">
            <v>70-</v>
          </cell>
          <cell r="N10">
            <v>0</v>
          </cell>
          <cell r="O10">
            <v>5.4200542005420054E-4</v>
          </cell>
        </row>
      </sheetData>
      <sheetData sheetId="1">
        <row r="4">
          <cell r="R4" t="str">
            <v>Female</v>
          </cell>
          <cell r="S4" t="str">
            <v>Male</v>
          </cell>
        </row>
        <row r="5">
          <cell r="Q5" t="str">
            <v>Commercial</v>
          </cell>
          <cell r="R5">
            <v>2.6558265582655827E-2</v>
          </cell>
          <cell r="S5">
            <v>8.1842818428184277E-2</v>
          </cell>
        </row>
        <row r="6">
          <cell r="Q6" t="str">
            <v>Work</v>
          </cell>
          <cell r="R6">
            <v>9.5392953929539295E-2</v>
          </cell>
          <cell r="S6">
            <v>0.27859078590785907</v>
          </cell>
        </row>
        <row r="7">
          <cell r="Q7" t="str">
            <v>Home</v>
          </cell>
          <cell r="R7">
            <v>0.17018970189701896</v>
          </cell>
          <cell r="S7">
            <v>0.25257452574525746</v>
          </cell>
        </row>
        <row r="8">
          <cell r="Q8" t="str">
            <v>Hospital</v>
          </cell>
          <cell r="R8">
            <v>2.7100271002710027E-3</v>
          </cell>
          <cell r="S8">
            <v>2.7100271002710027E-3</v>
          </cell>
        </row>
        <row r="9">
          <cell r="Q9" t="str">
            <v>Leisure</v>
          </cell>
          <cell r="R9">
            <v>1.5718157181571817E-2</v>
          </cell>
          <cell r="S9">
            <v>1.9512195121951219E-2</v>
          </cell>
        </row>
        <row r="10">
          <cell r="Q10" t="str">
            <v>Study</v>
          </cell>
          <cell r="R10">
            <v>1.5718157181571817E-2</v>
          </cell>
          <cell r="S10">
            <v>1.1382113821138212E-2</v>
          </cell>
        </row>
        <row r="11">
          <cell r="Q11" t="str">
            <v>Tourism</v>
          </cell>
          <cell r="R11">
            <v>1.0840108401084011E-3</v>
          </cell>
          <cell r="S11">
            <v>2.1680216802168022E-3</v>
          </cell>
        </row>
        <row r="12">
          <cell r="Q12" t="str">
            <v>Others</v>
          </cell>
          <cell r="R12">
            <v>7.5880758807588076E-3</v>
          </cell>
          <cell r="S12">
            <v>1.6260162601626018E-2</v>
          </cell>
        </row>
      </sheetData>
      <sheetData sheetId="2">
        <row r="3">
          <cell r="G3" t="str">
            <v>No. Responses</v>
          </cell>
          <cell r="H3" t="str">
            <v>%ge Responses</v>
          </cell>
        </row>
        <row r="4">
          <cell r="F4" t="str">
            <v>0-10</v>
          </cell>
          <cell r="G4">
            <v>432</v>
          </cell>
          <cell r="H4">
            <v>0.23414634146341465</v>
          </cell>
        </row>
        <row r="5">
          <cell r="F5" t="str">
            <v>10-20</v>
          </cell>
          <cell r="G5">
            <v>83</v>
          </cell>
          <cell r="H5">
            <v>4.4986449864498644E-2</v>
          </cell>
        </row>
        <row r="6">
          <cell r="F6" t="str">
            <v>20-40</v>
          </cell>
          <cell r="G6">
            <v>299</v>
          </cell>
          <cell r="H6">
            <v>0.16205962059620596</v>
          </cell>
        </row>
        <row r="7">
          <cell r="F7" t="str">
            <v>40-70</v>
          </cell>
          <cell r="G7">
            <v>407</v>
          </cell>
          <cell r="H7">
            <v>0.22059620596205962</v>
          </cell>
        </row>
        <row r="8">
          <cell r="F8" t="str">
            <v>70-100</v>
          </cell>
          <cell r="G8">
            <v>148</v>
          </cell>
          <cell r="H8">
            <v>8.0216802168021684E-2</v>
          </cell>
        </row>
        <row r="9">
          <cell r="F9" t="str">
            <v>100-200</v>
          </cell>
          <cell r="G9">
            <v>232</v>
          </cell>
          <cell r="H9">
            <v>0.12574525745257453</v>
          </cell>
        </row>
        <row r="10">
          <cell r="F10" t="str">
            <v>Over 200</v>
          </cell>
          <cell r="G10">
            <v>244</v>
          </cell>
          <cell r="H10">
            <v>0.13224932249322494</v>
          </cell>
        </row>
        <row r="21">
          <cell r="G21" t="str">
            <v>No. Responses</v>
          </cell>
          <cell r="H21" t="str">
            <v>%ge Responses</v>
          </cell>
        </row>
        <row r="22">
          <cell r="F22" t="str">
            <v>0-0.5</v>
          </cell>
          <cell r="G22">
            <v>219</v>
          </cell>
          <cell r="H22">
            <v>0.11869918699186992</v>
          </cell>
        </row>
        <row r="23">
          <cell r="F23" t="str">
            <v>0.5-1.0</v>
          </cell>
          <cell r="G23">
            <v>274</v>
          </cell>
          <cell r="H23">
            <v>0.14850948509485096</v>
          </cell>
        </row>
        <row r="24">
          <cell r="F24" t="str">
            <v>1.0-2.0</v>
          </cell>
          <cell r="G24">
            <v>519</v>
          </cell>
          <cell r="H24">
            <v>0.28130081300813009</v>
          </cell>
        </row>
        <row r="25">
          <cell r="F25" t="str">
            <v>2.0-3.5</v>
          </cell>
          <cell r="G25">
            <v>526</v>
          </cell>
          <cell r="H25">
            <v>0.2850948509485095</v>
          </cell>
        </row>
        <row r="26">
          <cell r="F26" t="str">
            <v>Over 3.5</v>
          </cell>
          <cell r="G26">
            <v>307</v>
          </cell>
          <cell r="H26">
            <v>0.16639566395663957</v>
          </cell>
        </row>
      </sheetData>
      <sheetData sheetId="3">
        <row r="4">
          <cell r="V4" t="str">
            <v>0-1,000</v>
          </cell>
          <cell r="W4" t="str">
            <v>1,000-2,000</v>
          </cell>
          <cell r="X4" t="str">
            <v>2,000-3,000</v>
          </cell>
          <cell r="Y4" t="str">
            <v>3,000-5,000</v>
          </cell>
          <cell r="Z4" t="str">
            <v>5,000-10,000</v>
          </cell>
          <cell r="AA4" t="str">
            <v>Over 10,000</v>
          </cell>
        </row>
        <row r="5">
          <cell r="U5" t="str">
            <v>0-10</v>
          </cell>
          <cell r="V5">
            <v>8.943089430894309E-2</v>
          </cell>
          <cell r="W5">
            <v>6.558265582655827E-2</v>
          </cell>
          <cell r="X5">
            <v>3.4146341463414637E-2</v>
          </cell>
          <cell r="Y5">
            <v>2.2764227642276424E-2</v>
          </cell>
          <cell r="Z5">
            <v>1.7886178861788619E-2</v>
          </cell>
          <cell r="AA5">
            <v>4.3360433604336043E-3</v>
          </cell>
        </row>
        <row r="6">
          <cell r="U6" t="str">
            <v>10-20</v>
          </cell>
          <cell r="V6">
            <v>3.5772357723577237E-2</v>
          </cell>
          <cell r="W6">
            <v>3.1436314363143633E-2</v>
          </cell>
          <cell r="X6">
            <v>2.0596205962059622E-2</v>
          </cell>
          <cell r="Y6">
            <v>1.7344173441734417E-2</v>
          </cell>
          <cell r="Z6">
            <v>1.5718157181571817E-2</v>
          </cell>
          <cell r="AA6">
            <v>4.8780487804878049E-3</v>
          </cell>
        </row>
        <row r="7">
          <cell r="U7" t="str">
            <v>20-40</v>
          </cell>
          <cell r="V7">
            <v>2.4390243902439025E-2</v>
          </cell>
          <cell r="W7">
            <v>1.3550135501355014E-2</v>
          </cell>
          <cell r="X7">
            <v>2.1680216802168022E-3</v>
          </cell>
          <cell r="Y7">
            <v>1.6260162601626016E-3</v>
          </cell>
          <cell r="Z7">
            <v>1.0840108401084011E-3</v>
          </cell>
          <cell r="AA7">
            <v>2.1680216802168022E-3</v>
          </cell>
        </row>
        <row r="8">
          <cell r="U8" t="str">
            <v>40-70</v>
          </cell>
          <cell r="V8">
            <v>5.3658536585365853E-2</v>
          </cell>
          <cell r="W8">
            <v>5.257452574525745E-2</v>
          </cell>
          <cell r="X8">
            <v>2.0596205962059622E-2</v>
          </cell>
          <cell r="Y8">
            <v>1.6802168021680216E-2</v>
          </cell>
          <cell r="Z8">
            <v>1.6260162601626018E-2</v>
          </cell>
          <cell r="AA8">
            <v>2.1680216802168022E-3</v>
          </cell>
        </row>
        <row r="9">
          <cell r="U9" t="str">
            <v>70-100</v>
          </cell>
          <cell r="V9">
            <v>8.0758807588075882E-2</v>
          </cell>
          <cell r="W9">
            <v>5.7994579945799457E-2</v>
          </cell>
          <cell r="X9">
            <v>3.8482384823848241E-2</v>
          </cell>
          <cell r="Y9">
            <v>1.7886178861788619E-2</v>
          </cell>
          <cell r="Z9">
            <v>1.7344173441734417E-2</v>
          </cell>
          <cell r="AA9">
            <v>8.130081300813009E-3</v>
          </cell>
        </row>
        <row r="10">
          <cell r="U10" t="str">
            <v>100-150</v>
          </cell>
          <cell r="V10">
            <v>3.2520325203252036E-2</v>
          </cell>
          <cell r="W10">
            <v>2.1680216802168022E-2</v>
          </cell>
          <cell r="X10">
            <v>1.1382113821138212E-2</v>
          </cell>
          <cell r="Y10">
            <v>7.5880758807588076E-3</v>
          </cell>
          <cell r="Z10">
            <v>5.962059620596206E-3</v>
          </cell>
          <cell r="AA10">
            <v>1.0840108401084011E-3</v>
          </cell>
        </row>
        <row r="11">
          <cell r="U11" t="str">
            <v>Over 150</v>
          </cell>
          <cell r="V11">
            <v>3.1436314363143633E-2</v>
          </cell>
          <cell r="W11">
            <v>3.035230352303523E-2</v>
          </cell>
          <cell r="X11">
            <v>2.4390243902439025E-2</v>
          </cell>
          <cell r="Y11">
            <v>1.3550135501355014E-2</v>
          </cell>
          <cell r="Z11">
            <v>2.3306233062330622E-2</v>
          </cell>
          <cell r="AA11">
            <v>9.2140921409214101E-3</v>
          </cell>
        </row>
      </sheetData>
      <sheetData sheetId="4">
        <row r="4">
          <cell r="U4" t="str">
            <v>0-1,000</v>
          </cell>
          <cell r="V4" t="str">
            <v>1,000-2,000</v>
          </cell>
          <cell r="W4" t="str">
            <v>2,000-3,000</v>
          </cell>
          <cell r="X4" t="str">
            <v>3,000-5,000</v>
          </cell>
          <cell r="Y4" t="str">
            <v>5,000-10,000</v>
          </cell>
          <cell r="Z4" t="str">
            <v>Over 10,000</v>
          </cell>
        </row>
        <row r="5">
          <cell r="T5" t="str">
            <v>&lt;300,000</v>
          </cell>
          <cell r="U5">
            <v>0.20529039677975849</v>
          </cell>
          <cell r="V5">
            <v>9.8332374928119609E-2</v>
          </cell>
          <cell r="W5">
            <v>4.8303622771707876E-2</v>
          </cell>
          <cell r="X5">
            <v>1.437607820586544E-2</v>
          </cell>
          <cell r="Y5">
            <v>2.3001725129384705E-2</v>
          </cell>
          <cell r="Z5">
            <v>5.1753881541115581E-3</v>
          </cell>
        </row>
        <row r="6">
          <cell r="T6" t="str">
            <v>300,000-500,000</v>
          </cell>
          <cell r="U6">
            <v>1.5526164462334674E-2</v>
          </cell>
          <cell r="V6">
            <v>1.3225991949396205E-2</v>
          </cell>
          <cell r="W6">
            <v>1.0925819436457734E-2</v>
          </cell>
          <cell r="X6">
            <v>6.3254744105807935E-3</v>
          </cell>
          <cell r="Y6">
            <v>9.7757331799884998E-3</v>
          </cell>
          <cell r="Z6">
            <v>3.4502587694077054E-3</v>
          </cell>
        </row>
        <row r="7">
          <cell r="T7" t="str">
            <v>500,000-750,000</v>
          </cell>
          <cell r="U7">
            <v>6.2104657849338697E-2</v>
          </cell>
          <cell r="V7">
            <v>7.5330649798734911E-2</v>
          </cell>
          <cell r="W7">
            <v>4.3128234617596323E-2</v>
          </cell>
          <cell r="X7">
            <v>3.3352501437607818E-2</v>
          </cell>
          <cell r="Y7">
            <v>2.1276595744680851E-2</v>
          </cell>
          <cell r="Z7">
            <v>8.0506037952846471E-3</v>
          </cell>
        </row>
        <row r="8">
          <cell r="T8" t="str">
            <v>750,000-1,000,000</v>
          </cell>
          <cell r="U8">
            <v>5.1178838412880963E-2</v>
          </cell>
          <cell r="V8">
            <v>6.2679700977573319E-2</v>
          </cell>
          <cell r="W8">
            <v>3.3927544565842439E-2</v>
          </cell>
          <cell r="X8">
            <v>2.7602070155261643E-2</v>
          </cell>
          <cell r="Y8">
            <v>3.1052328924669349E-2</v>
          </cell>
          <cell r="Z8">
            <v>7.4755606670500289E-3</v>
          </cell>
        </row>
        <row r="9">
          <cell r="T9" t="str">
            <v>&gt;1,000,000</v>
          </cell>
          <cell r="U9">
            <v>3.4502587694077054E-2</v>
          </cell>
          <cell r="V9">
            <v>3.9677975848188614E-2</v>
          </cell>
          <cell r="W9">
            <v>2.4726854514088556E-2</v>
          </cell>
          <cell r="X9">
            <v>2.1851638872915469E-2</v>
          </cell>
          <cell r="Y9">
            <v>1.7826336975273145E-2</v>
          </cell>
          <cell r="Z9">
            <v>9.7757331799884998E-3</v>
          </cell>
        </row>
      </sheetData>
      <sheetData sheetId="5">
        <row r="4">
          <cell r="U4" t="str">
            <v>0-1,000</v>
          </cell>
          <cell r="V4" t="str">
            <v>1,000-2,000</v>
          </cell>
          <cell r="W4" t="str">
            <v>2,000-3,00</v>
          </cell>
          <cell r="X4" t="str">
            <v>3,000-5,000</v>
          </cell>
          <cell r="Y4" t="str">
            <v>5,000-10,000</v>
          </cell>
          <cell r="Z4" t="str">
            <v>Over 10,000</v>
          </cell>
        </row>
        <row r="5">
          <cell r="T5" t="str">
            <v>Car</v>
          </cell>
          <cell r="U5">
            <v>2.113821138211382E-2</v>
          </cell>
          <cell r="V5">
            <v>2.7100271002710029E-2</v>
          </cell>
          <cell r="W5">
            <v>1.6260162601626018E-2</v>
          </cell>
          <cell r="X5">
            <v>9.2140921409214101E-3</v>
          </cell>
          <cell r="Y5">
            <v>9.2140921409214101E-3</v>
          </cell>
          <cell r="Z5">
            <v>3.7940379403794038E-3</v>
          </cell>
        </row>
        <row r="6">
          <cell r="T6" t="str">
            <v xml:space="preserve">Heavy truck </v>
          </cell>
          <cell r="U6">
            <v>5.4200542005420054E-4</v>
          </cell>
          <cell r="V6">
            <v>1.0840108401084011E-3</v>
          </cell>
          <cell r="W6">
            <v>1.0840108401084011E-3</v>
          </cell>
          <cell r="X6">
            <v>1.6260162601626016E-3</v>
          </cell>
          <cell r="Y6">
            <v>2.7100271002710027E-3</v>
          </cell>
          <cell r="Z6">
            <v>0</v>
          </cell>
        </row>
        <row r="7">
          <cell r="T7" t="str">
            <v>Large Bus</v>
          </cell>
          <cell r="U7">
            <v>1.9512195121951219E-2</v>
          </cell>
          <cell r="V7">
            <v>1.0298102981029811E-2</v>
          </cell>
          <cell r="W7">
            <v>1.3008130081300813E-2</v>
          </cell>
          <cell r="X7">
            <v>6.5040650406504065E-3</v>
          </cell>
          <cell r="Y7">
            <v>1.1382113821138212E-2</v>
          </cell>
          <cell r="Z7">
            <v>9.2140921409214101E-3</v>
          </cell>
        </row>
        <row r="8">
          <cell r="T8" t="str">
            <v xml:space="preserve">Light Truck </v>
          </cell>
          <cell r="U8">
            <v>2.1680216802168022E-3</v>
          </cell>
          <cell r="V8">
            <v>7.5880758807588076E-3</v>
          </cell>
          <cell r="W8">
            <v>2.7100271002710027E-3</v>
          </cell>
          <cell r="X8">
            <v>1.0840108401084011E-3</v>
          </cell>
          <cell r="Y8">
            <v>1.0840108401084011E-3</v>
          </cell>
          <cell r="Z8">
            <v>1.6260162601626016E-3</v>
          </cell>
        </row>
        <row r="9">
          <cell r="T9" t="str">
            <v xml:space="preserve">Medium bus </v>
          </cell>
          <cell r="U9">
            <v>9.7560975609756097E-3</v>
          </cell>
          <cell r="V9">
            <v>4.8780487804878049E-3</v>
          </cell>
          <cell r="W9">
            <v>3.7940379403794038E-3</v>
          </cell>
          <cell r="X9">
            <v>2.1680216802168022E-3</v>
          </cell>
          <cell r="Y9">
            <v>2.7100271002710027E-3</v>
          </cell>
          <cell r="Z9">
            <v>0</v>
          </cell>
        </row>
        <row r="10">
          <cell r="T10" t="str">
            <v xml:space="preserve">Medium Truck </v>
          </cell>
          <cell r="U10">
            <v>1.0840108401084011E-3</v>
          </cell>
          <cell r="V10">
            <v>3.2520325203252032E-3</v>
          </cell>
          <cell r="W10">
            <v>1.0840108401084011E-3</v>
          </cell>
          <cell r="X10">
            <v>1.0840108401084011E-3</v>
          </cell>
          <cell r="Y10">
            <v>0</v>
          </cell>
          <cell r="Z10">
            <v>0</v>
          </cell>
        </row>
        <row r="11">
          <cell r="T11" t="str">
            <v>Minibus</v>
          </cell>
          <cell r="U11">
            <v>0.27642276422764228</v>
          </cell>
          <cell r="V11">
            <v>0.1962059620596206</v>
          </cell>
          <cell r="W11">
            <v>0.1040650406504065</v>
          </cell>
          <cell r="X11">
            <v>6.6666666666666666E-2</v>
          </cell>
          <cell r="Y11">
            <v>5.907859078590786E-2</v>
          </cell>
          <cell r="Z11">
            <v>9.7560975609756097E-3</v>
          </cell>
        </row>
        <row r="12">
          <cell r="T12" t="str">
            <v>Pickups</v>
          </cell>
          <cell r="U12">
            <v>8.6720867208672087E-3</v>
          </cell>
          <cell r="V12">
            <v>4.8780487804878049E-3</v>
          </cell>
          <cell r="W12">
            <v>3.7940379403794038E-3</v>
          </cell>
          <cell r="X12">
            <v>3.7940379403794038E-3</v>
          </cell>
          <cell r="Y12">
            <v>2.7100271002710027E-3</v>
          </cell>
          <cell r="Z12">
            <v>0</v>
          </cell>
        </row>
        <row r="13">
          <cell r="T13" t="str">
            <v>Station Wagon</v>
          </cell>
          <cell r="U13">
            <v>7.5880758807588076E-3</v>
          </cell>
          <cell r="V13">
            <v>1.5176151761517615E-2</v>
          </cell>
          <cell r="W13">
            <v>5.4200542005420054E-3</v>
          </cell>
          <cell r="X13">
            <v>5.4200542005420054E-3</v>
          </cell>
          <cell r="Y13">
            <v>8.130081300813009E-3</v>
          </cell>
          <cell r="Z13">
            <v>7.046070460704607E-3</v>
          </cell>
        </row>
        <row r="14">
          <cell r="T14" t="str">
            <v xml:space="preserve">Truck Trailer </v>
          </cell>
          <cell r="U14">
            <v>1.0840108401084011E-3</v>
          </cell>
          <cell r="V14">
            <v>2.7100271002710027E-3</v>
          </cell>
          <cell r="W14">
            <v>5.4200542005420054E-4</v>
          </cell>
          <cell r="X14">
            <v>0</v>
          </cell>
          <cell r="Y14">
            <v>5.4200542005420054E-4</v>
          </cell>
          <cell r="Z14">
            <v>5.4200542005420054E-4</v>
          </cell>
        </row>
      </sheetData>
      <sheetData sheetId="6"/>
      <sheetData sheetId="7"/>
      <sheetData sheetId="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Central%20SP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3907.563673726851" createdVersion="6" refreshedVersion="6" minRefreshableVersion="3" recordCount="1846" xr:uid="{FA271491-FD60-4A30-8FF6-757A5950F9B1}">
  <cacheSource type="worksheet">
    <worksheetSource ref="A1:AM1048576" sheet="CentralSP" r:id="rId2"/>
  </cacheSource>
  <cacheFields count="39">
    <cacheField name="Date" numFmtId="0">
      <sharedItems containsDate="1" containsBlank="1" containsMixedTypes="1" minDate="2019-10-18T00:00:00" maxDate="2019-10-31T00:00:00"/>
    </cacheField>
    <cacheField name="Time (24-h format)" numFmtId="0">
      <sharedItems containsDate="1" containsBlank="1" containsMixedTypes="1" minDate="1899-12-30T00:05:00" maxDate="1899-12-30T20:45:00"/>
    </cacheField>
    <cacheField name="Veh_Reg_No." numFmtId="0">
      <sharedItems containsBlank="1"/>
    </cacheField>
    <cacheField name="Driver or Passenger? D/P" numFmtId="0">
      <sharedItems containsBlank="1"/>
    </cacheField>
    <cacheField name="Mode No." numFmtId="0">
      <sharedItems containsString="0" containsBlank="1" containsNumber="1" containsInteger="1" minValue="1" maxValue="2"/>
    </cacheField>
    <cacheField name="Mode Description" numFmtId="0">
      <sharedItems containsBlank="1"/>
    </cacheField>
    <cacheField name="Veh_Type" numFmtId="0">
      <sharedItems containsString="0" containsBlank="1" containsNumber="1" containsInteger="1" minValue="1" maxValue="10"/>
    </cacheField>
    <cacheField name="Veh_Type Desc" numFmtId="0">
      <sharedItems containsBlank="1" count="11">
        <s v="Car"/>
        <s v="Large Bus"/>
        <s v="Light Truck "/>
        <s v="Minibus"/>
        <s v="Station Wagon"/>
        <s v="Medium bus "/>
        <s v="Pickups"/>
        <s v="Truck Trailer "/>
        <s v="Medium Truck "/>
        <s v="Heavy truck "/>
        <m/>
      </sharedItems>
    </cacheField>
    <cacheField name="Gender (M/F)" numFmtId="0">
      <sharedItems containsBlank="1" count="3">
        <s v="F"/>
        <s v="M"/>
        <m/>
      </sharedItems>
    </cacheField>
    <cacheField name="Age Bracket No." numFmtId="0">
      <sharedItems containsString="0" containsBlank="1" containsNumber="1" containsInteger="1" minValue="1" maxValue="6"/>
    </cacheField>
    <cacheField name="Age Bracket Desc." numFmtId="0">
      <sharedItems containsBlank="1" count="7">
        <s v="20-29"/>
        <s v="30-39"/>
        <s v="40-49"/>
        <s v="50-59"/>
        <s v="60-69"/>
        <s v="70-"/>
        <m/>
      </sharedItems>
    </cacheField>
    <cacheField name="Or Village" numFmtId="0">
      <sharedItems containsBlank="1"/>
    </cacheField>
    <cacheField name="Or District" numFmtId="0">
      <sharedItems containsBlank="1"/>
    </cacheField>
    <cacheField name="Or Country" numFmtId="0">
      <sharedItems containsBlank="1"/>
    </cacheField>
    <cacheField name="Origin_Purpose" numFmtId="0">
      <sharedItems containsString="0" containsBlank="1" containsNumber="1" containsInteger="1" minValue="1" maxValue="8"/>
    </cacheField>
    <cacheField name="Origin-Purpose Desc" numFmtId="0">
      <sharedItems containsBlank="1"/>
    </cacheField>
    <cacheField name="Dest Village" numFmtId="0">
      <sharedItems containsBlank="1"/>
    </cacheField>
    <cacheField name="Dest District" numFmtId="0">
      <sharedItems containsBlank="1"/>
    </cacheField>
    <cacheField name="Des Country" numFmtId="0">
      <sharedItems containsBlank="1" containsMixedTypes="1" containsNumber="1" containsInteger="1" minValue="4" maxValue="4"/>
    </cacheField>
    <cacheField name="Dest_Purpose" numFmtId="0">
      <sharedItems containsString="0" containsBlank="1" containsNumber="1" containsInteger="1" minValue="1" maxValue="8"/>
    </cacheField>
    <cacheField name="Dest_Purpose Desc" numFmtId="0">
      <sharedItems containsBlank="1"/>
    </cacheField>
    <cacheField name="Journey_Purpose" numFmtId="0">
      <sharedItems containsBlank="1" count="44">
        <s v="Commercial-Home"/>
        <s v="Work-Home"/>
        <s v="Home-Home"/>
        <s v="Home-Leisure/Social"/>
        <s v="Home-Others"/>
        <s v="Work-Work"/>
        <s v="Work-Others"/>
        <s v="Leisure/Social-Home"/>
        <s v="Home-Work"/>
        <s v="Study-Home"/>
        <s v="Home-Study"/>
        <s v="Commercial-Leisure/Social"/>
        <s v="Home-Commercial"/>
        <s v="Commercial-Commercial"/>
        <s v="Tourism-Tourism"/>
        <s v="Work-Hospital"/>
        <s v="Study-Others"/>
        <s v="Leisure/Social-Leisure/Social"/>
        <s v="Home-"/>
        <s v="Hospital-Home"/>
        <s v="Commercial-Work"/>
        <s v="Work-Commercial"/>
        <s v="Work-Leisure/Social"/>
        <s v="Work-Tourism"/>
        <s v="Home-Tourism"/>
        <s v="Study-Commercial"/>
        <s v="Home-Hospital"/>
        <s v="Commercial-Hospital"/>
        <s v="Others-Others"/>
        <s v="Others-Home"/>
        <s v="Study-Study"/>
        <s v="Others-Work"/>
        <s v="Study-Leisure/Social"/>
        <s v="Leisure/Social-Work"/>
        <s v="Leisure/Social-Commercial"/>
        <s v="Hospital-Hospital"/>
        <s v="Others-Tourism"/>
        <s v="Study-Work"/>
        <s v="Leisure/Social-Tourism"/>
        <s v="Study-Tourism"/>
        <s v="Tourism-Home"/>
        <s v="Commercial-Tourism"/>
        <s v="Leisure/Social-Others"/>
        <m/>
      </sharedItems>
    </cacheField>
    <cacheField name="Cost of Trip (UGX)" numFmtId="0">
      <sharedItems containsString="0" containsBlank="1" containsNumber="1" containsInteger="1" minValue="66" maxValue="1900000"/>
    </cacheField>
    <cacheField name="Journey Dist (Km)" numFmtId="0">
      <sharedItems containsString="0" containsBlank="1" containsNumber="1" minValue="0.06" maxValue="1845"/>
    </cacheField>
    <cacheField name="Dist Range" numFmtId="0">
      <sharedItems containsBlank="1" count="8">
        <s v="70-100"/>
        <s v="40-70"/>
        <s v="100-200"/>
        <s v="Over 200"/>
        <s v="0-10"/>
        <s v="20-40"/>
        <s v="10-20"/>
        <m/>
      </sharedItems>
    </cacheField>
    <cacheField name="Journey Time (Hrs)" numFmtId="0">
      <sharedItems containsString="0" containsBlank="1" containsNumber="1" minValue="0.01" maxValue="72"/>
    </cacheField>
    <cacheField name="Time Range" numFmtId="0">
      <sharedItems containsBlank="1" count="6">
        <s v="Over 3.5"/>
        <s v="2.0-3.5"/>
        <s v="1.0-2.0"/>
        <s v="0.5-1.0"/>
        <s v="0-0.5"/>
        <m/>
      </sharedItems>
    </cacheField>
    <cacheField name="Profession No." numFmtId="0">
      <sharedItems containsString="0" containsBlank="1" containsNumber="1" containsInteger="1" minValue="1" maxValue="10"/>
    </cacheField>
    <cacheField name="Profession Desc." numFmtId="0">
      <sharedItems containsBlank="1" containsMixedTypes="1" containsNumber="1" containsInteger="1" minValue="2" maxValue="2"/>
    </cacheField>
    <cacheField name="Monthly Income No." numFmtId="0">
      <sharedItems containsString="0" containsBlank="1" containsNumber="1" containsInteger="1" minValue="1" maxValue="5"/>
    </cacheField>
    <cacheField name="Monthly Income " numFmtId="0">
      <sharedItems containsBlank="1" containsMixedTypes="1" containsNumber="1" containsInteger="1" minValue="3" maxValue="3" count="8">
        <s v="500,000-750,000"/>
        <s v="300,000-500,000"/>
        <s v="&lt;300,000"/>
        <s v="750,000-1,000,000"/>
        <s v="&gt;1,000,000"/>
        <e v="#N/A"/>
        <n v="3"/>
        <m/>
      </sharedItems>
    </cacheField>
    <cacheField name="Journey Time" numFmtId="0">
      <sharedItems containsString="0" containsBlank="1" containsNumber="1" containsInteger="1" minValue="1" maxValue="7"/>
    </cacheField>
    <cacheField name="Cost of Journey" numFmtId="0">
      <sharedItems containsString="0" containsBlank="1" containsNumber="1" containsInteger="1" minValue="1" maxValue="55"/>
    </cacheField>
    <cacheField name="Comfort" numFmtId="0">
      <sharedItems containsString="0" containsBlank="1" containsNumber="1" containsInteger="1" minValue="1" maxValue="5"/>
    </cacheField>
    <cacheField name="Safety" numFmtId="0">
      <sharedItems containsString="0" containsBlank="1" containsNumber="1" containsInteger="1" minValue="1" maxValue="7"/>
    </cacheField>
    <cacheField name="Reliability" numFmtId="0">
      <sharedItems containsString="0" containsBlank="1" containsNumber="1" containsInteger="1" minValue="0" maxValue="6"/>
    </cacheField>
    <cacheField name="Would You Use Xpressways? Y/N" numFmtId="0">
      <sharedItems containsBlank="1" containsMixedTypes="1" containsNumber="1" containsInteger="1" minValue="1" maxValue="2"/>
    </cacheField>
    <cacheField name="Pay How Much? (UGX)" numFmtId="0">
      <sharedItems containsString="0" containsBlank="1" containsNumber="1" containsInteger="1" minValue="0" maxValue="30000"/>
    </cacheField>
    <cacheField name="Toll Charge" numFmtId="0">
      <sharedItems containsBlank="1" count="7">
        <s v="0-1000"/>
        <s v="1000-2000"/>
        <s v="5000-10000"/>
        <s v="Over 10000"/>
        <s v="2000-3000"/>
        <s v="3000-50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6">
  <r>
    <d v="2019-10-26T00:00:00"/>
    <d v="1899-12-30T07:20:00"/>
    <m/>
    <s v="P"/>
    <n v="2"/>
    <s v="Road Vehicle"/>
    <n v="1"/>
    <x v="0"/>
    <x v="0"/>
    <n v="1"/>
    <x v="0"/>
    <s v="KAMPALA"/>
    <s v="KAMPALA"/>
    <s v="UGA"/>
    <n v="4"/>
    <s v="Commercial"/>
    <s v="NABISUJU"/>
    <s v="NAKASEKE"/>
    <s v="UGA"/>
    <n v="1"/>
    <s v="Home"/>
    <x v="0"/>
    <n v="9000"/>
    <n v="78"/>
    <x v="0"/>
    <n v="4"/>
    <x v="0"/>
    <n v="7"/>
    <s v="Farmer"/>
    <n v="3"/>
    <x v="0"/>
    <n v="5"/>
    <n v="2"/>
    <n v="5"/>
    <n v="2"/>
    <n v="1"/>
    <s v="Y"/>
    <n v="500"/>
    <x v="0"/>
  </r>
  <r>
    <d v="2019-10-26T00:00:00"/>
    <d v="1899-12-30T16:00:00"/>
    <m/>
    <s v="P"/>
    <n v="2"/>
    <s v="Road Vehicle"/>
    <n v="1"/>
    <x v="0"/>
    <x v="0"/>
    <n v="1"/>
    <x v="0"/>
    <s v="KAMPALA"/>
    <s v="KAMPALA"/>
    <s v="UGA"/>
    <n v="2"/>
    <s v="Work"/>
    <s v="NGOMA"/>
    <s v="NAKASEKE"/>
    <s v="UGA"/>
    <n v="1"/>
    <s v="Home"/>
    <x v="1"/>
    <n v="12000"/>
    <n v="69"/>
    <x v="1"/>
    <n v="3"/>
    <x v="1"/>
    <n v="4"/>
    <s v="Office Worker"/>
    <n v="3"/>
    <x v="0"/>
    <n v="5"/>
    <n v="3"/>
    <n v="1"/>
    <n v="2"/>
    <n v="1"/>
    <s v="Y"/>
    <n v="1000"/>
    <x v="1"/>
  </r>
  <r>
    <d v="2019-10-26T00:00:00"/>
    <d v="1899-12-30T12:31:00"/>
    <m/>
    <s v="D"/>
    <n v="2"/>
    <s v="Road Vehicle"/>
    <n v="1"/>
    <x v="0"/>
    <x v="0"/>
    <n v="1"/>
    <x v="0"/>
    <s v="GULU"/>
    <s v="GULU"/>
    <s v="UGA"/>
    <n v="1"/>
    <s v="Home"/>
    <s v="KASARIA"/>
    <s v="LUWERO"/>
    <s v="UGA"/>
    <n v="1"/>
    <s v="Home"/>
    <x v="2"/>
    <n v="230000"/>
    <n v="150"/>
    <x v="2"/>
    <n v="3"/>
    <x v="1"/>
    <n v="6"/>
    <s v="Businessman"/>
    <n v="2"/>
    <x v="1"/>
    <n v="1"/>
    <n v="4"/>
    <n v="1"/>
    <n v="1"/>
    <n v="1"/>
    <s v="Y"/>
    <n v="8000"/>
    <x v="2"/>
  </r>
  <r>
    <d v="2019-10-26T00:00:00"/>
    <d v="1899-12-30T10:38:00"/>
    <m/>
    <s v="P"/>
    <n v="2"/>
    <s v="Road Vehicle"/>
    <n v="1"/>
    <x v="0"/>
    <x v="1"/>
    <n v="1"/>
    <x v="0"/>
    <s v="MBALWA"/>
    <s v="WAKISO"/>
    <s v="UGA"/>
    <n v="1"/>
    <s v="Home"/>
    <s v="LUWERO"/>
    <s v="LUWERO"/>
    <s v="UGA"/>
    <n v="6"/>
    <s v="Leisure/Social"/>
    <x v="3"/>
    <n v="8000"/>
    <n v="83"/>
    <x v="0"/>
    <n v="3"/>
    <x v="1"/>
    <n v="8"/>
    <s v="Student"/>
    <n v="1"/>
    <x v="2"/>
    <n v="4"/>
    <n v="2"/>
    <n v="2"/>
    <n v="1"/>
    <n v="2"/>
    <s v="Y"/>
    <n v="1000"/>
    <x v="1"/>
  </r>
  <r>
    <d v="2019-10-26T00:00:00"/>
    <d v="1899-12-30T12:46:00"/>
    <m/>
    <s v="P"/>
    <n v="2"/>
    <s v="Road Vehicle"/>
    <n v="1"/>
    <x v="0"/>
    <x v="1"/>
    <n v="1"/>
    <x v="0"/>
    <s v="KAMPALA"/>
    <s v="KAMPALA"/>
    <s v="UGA"/>
    <n v="1"/>
    <s v="Home"/>
    <s v="BUGAZA"/>
    <s v="LUWERO"/>
    <s v="UGA"/>
    <n v="1"/>
    <s v="Home"/>
    <x v="2"/>
    <n v="6000"/>
    <n v="69"/>
    <x v="1"/>
    <n v="1.5"/>
    <x v="2"/>
    <n v="8"/>
    <s v="Student"/>
    <n v="1"/>
    <x v="2"/>
    <n v="1"/>
    <n v="1"/>
    <n v="2"/>
    <n v="2"/>
    <n v="1"/>
    <s v="Y"/>
    <n v="1000"/>
    <x v="1"/>
  </r>
  <r>
    <d v="2019-10-26T00:00:00"/>
    <d v="1899-12-30T11:00:00"/>
    <m/>
    <s v="D"/>
    <n v="2"/>
    <s v="Road Vehicle"/>
    <n v="1"/>
    <x v="0"/>
    <x v="1"/>
    <n v="1"/>
    <x v="0"/>
    <s v="JINJA"/>
    <s v="JINJA"/>
    <s v="UGA"/>
    <n v="1"/>
    <s v="Home"/>
    <s v="KASANA"/>
    <s v="LUWERO"/>
    <s v="UGA"/>
    <n v="1"/>
    <s v="Home"/>
    <x v="2"/>
    <n v="400000"/>
    <n v="280"/>
    <x v="3"/>
    <n v="5"/>
    <x v="0"/>
    <n v="5"/>
    <s v="Professional"/>
    <n v="3"/>
    <x v="0"/>
    <n v="5"/>
    <n v="4"/>
    <n v="2"/>
    <n v="2"/>
    <n v="1"/>
    <s v="Y"/>
    <n v="5000"/>
    <x v="2"/>
  </r>
  <r>
    <d v="2019-10-26T00:00:00"/>
    <d v="1899-12-30T12:00:00"/>
    <m/>
    <s v="D"/>
    <n v="2"/>
    <s v="Road Vehicle"/>
    <n v="1"/>
    <x v="0"/>
    <x v="1"/>
    <n v="1"/>
    <x v="0"/>
    <s v="NGOMA"/>
    <s v="NAKASEKE"/>
    <s v="UGA"/>
    <n v="1"/>
    <s v="Home"/>
    <s v="KASANA"/>
    <s v="LUWERO"/>
    <s v="UGA"/>
    <n v="8"/>
    <s v="Others"/>
    <x v="4"/>
    <n v="100000"/>
    <n v="45"/>
    <x v="1"/>
    <n v="3"/>
    <x v="1"/>
    <n v="4"/>
    <s v="Office Worker"/>
    <n v="2"/>
    <x v="1"/>
    <n v="1"/>
    <n v="1"/>
    <n v="4"/>
    <n v="5"/>
    <n v="3"/>
    <s v="Y"/>
    <n v="500"/>
    <x v="0"/>
  </r>
  <r>
    <d v="2019-10-26T00:00:00"/>
    <d v="1899-12-30T10:31:00"/>
    <m/>
    <s v="D"/>
    <n v="2"/>
    <s v="Road Vehicle"/>
    <n v="1"/>
    <x v="0"/>
    <x v="1"/>
    <n v="1"/>
    <x v="0"/>
    <s v="KASANA"/>
    <s v="LUWERO"/>
    <s v="UGA"/>
    <n v="1"/>
    <s v="Home"/>
    <s v="KASOMA"/>
    <s v="LUWERO"/>
    <s v="UGA"/>
    <n v="1"/>
    <s v="Home"/>
    <x v="2"/>
    <n v="150000"/>
    <n v="60"/>
    <x v="1"/>
    <n v="0.7"/>
    <x v="3"/>
    <n v="5"/>
    <s v="Professional"/>
    <n v="2"/>
    <x v="1"/>
    <n v="1"/>
    <n v="5"/>
    <n v="5"/>
    <n v="3"/>
    <n v="1"/>
    <s v="Y"/>
    <n v="7000"/>
    <x v="2"/>
  </r>
  <r>
    <d v="2019-10-26T00:00:00"/>
    <d v="1899-12-30T09:15:00"/>
    <m/>
    <s v="D"/>
    <n v="2"/>
    <s v="Road Vehicle"/>
    <n v="1"/>
    <x v="0"/>
    <x v="1"/>
    <n v="1"/>
    <x v="0"/>
    <s v="LUGAZI"/>
    <s v="BUIKWE"/>
    <s v="UGA"/>
    <n v="1"/>
    <s v="Home"/>
    <s v="KIZITO"/>
    <s v="LUWERO"/>
    <s v="UGA"/>
    <n v="1"/>
    <s v="Home"/>
    <x v="2"/>
    <n v="320000"/>
    <n v="150"/>
    <x v="2"/>
    <n v="4"/>
    <x v="0"/>
    <n v="5"/>
    <s v="Professional"/>
    <n v="2"/>
    <x v="1"/>
    <n v="5"/>
    <n v="4"/>
    <n v="4"/>
    <n v="5"/>
    <n v="1"/>
    <s v="Y"/>
    <n v="6000"/>
    <x v="2"/>
  </r>
  <r>
    <d v="2019-10-26T00:00:00"/>
    <d v="1899-12-30T09:01:00"/>
    <m/>
    <s v="D"/>
    <n v="2"/>
    <s v="Road Vehicle"/>
    <n v="1"/>
    <x v="0"/>
    <x v="1"/>
    <n v="1"/>
    <x v="0"/>
    <s v="MITYANA"/>
    <s v="MITYANA"/>
    <s v="UGA"/>
    <n v="1"/>
    <s v="Home"/>
    <s v="KASANA"/>
    <s v="LUWERO"/>
    <s v="UGA"/>
    <n v="1"/>
    <s v="Home"/>
    <x v="2"/>
    <n v="300000"/>
    <m/>
    <x v="4"/>
    <n v="3"/>
    <x v="1"/>
    <n v="6"/>
    <s v="Businessman"/>
    <n v="3"/>
    <x v="0"/>
    <n v="5"/>
    <n v="1"/>
    <n v="2"/>
    <n v="1"/>
    <n v="1"/>
    <s v="Y"/>
    <n v="10000"/>
    <x v="3"/>
  </r>
  <r>
    <d v="2019-10-26T00:00:00"/>
    <d v="1899-12-30T12:50:00"/>
    <m/>
    <s v="D"/>
    <n v="2"/>
    <s v="Road Vehicle"/>
    <n v="1"/>
    <x v="0"/>
    <x v="1"/>
    <n v="1"/>
    <x v="0"/>
    <s v="LUWERO"/>
    <s v="LUWERO"/>
    <s v="UGA"/>
    <n v="2"/>
    <s v="Work"/>
    <s v="MASALAZI"/>
    <s v="LUWERO"/>
    <s v="UGA"/>
    <n v="2"/>
    <s v="Work"/>
    <x v="5"/>
    <n v="10000"/>
    <n v="25"/>
    <x v="5"/>
    <n v="0.5"/>
    <x v="3"/>
    <n v="5"/>
    <s v="Professional"/>
    <n v="2"/>
    <x v="1"/>
    <n v="1"/>
    <n v="1"/>
    <n v="1"/>
    <n v="1"/>
    <n v="1"/>
    <s v="Y"/>
    <n v="1500"/>
    <x v="1"/>
  </r>
  <r>
    <m/>
    <d v="1899-12-30T13:10:00"/>
    <m/>
    <s v="D"/>
    <n v="2"/>
    <s v="Road Vehicle"/>
    <n v="1"/>
    <x v="0"/>
    <x v="1"/>
    <n v="1"/>
    <x v="0"/>
    <s v="ARUA"/>
    <s v="ARUA"/>
    <s v="UGA"/>
    <n v="2"/>
    <s v="Work"/>
    <s v="KAMPALA"/>
    <s v="KAMPALA"/>
    <s v="UGA"/>
    <n v="2"/>
    <s v="Work"/>
    <x v="5"/>
    <n v="1000000"/>
    <n v="509"/>
    <x v="3"/>
    <n v="9"/>
    <x v="0"/>
    <n v="4"/>
    <s v="Office Worker"/>
    <n v="4"/>
    <x v="3"/>
    <n v="2"/>
    <n v="1"/>
    <n v="2"/>
    <n v="1"/>
    <n v="2"/>
    <s v="Y"/>
    <n v="1000"/>
    <x v="1"/>
  </r>
  <r>
    <d v="2019-10-24T00:00:00"/>
    <d v="1899-12-30T11:26:00"/>
    <m/>
    <s v="P"/>
    <n v="2"/>
    <s v="Road Vehicle"/>
    <n v="6"/>
    <x v="1"/>
    <x v="0"/>
    <n v="1"/>
    <x v="0"/>
    <s v="LUWERO"/>
    <s v="LUWERO"/>
    <s v="UGA"/>
    <n v="1"/>
    <s v="Home"/>
    <s v="KAMPALA"/>
    <s v="KAMPALA"/>
    <s v="UGA"/>
    <n v="6"/>
    <s v="Leisure/Social"/>
    <x v="3"/>
    <n v="3000"/>
    <n v="39"/>
    <x v="5"/>
    <n v="0.6"/>
    <x v="3"/>
    <n v="6"/>
    <s v="Businessman"/>
    <n v="5"/>
    <x v="4"/>
    <m/>
    <m/>
    <m/>
    <m/>
    <m/>
    <s v="Y"/>
    <m/>
    <x v="0"/>
  </r>
  <r>
    <d v="2019-10-25T00:00:00"/>
    <d v="1899-12-30T08:45:00"/>
    <m/>
    <s v="P"/>
    <n v="2"/>
    <s v="Road Vehicle"/>
    <n v="6"/>
    <x v="1"/>
    <x v="0"/>
    <n v="1"/>
    <x v="0"/>
    <s v="KAMPALA"/>
    <s v="KAMPALA"/>
    <s v="UGA"/>
    <n v="2"/>
    <s v="Work"/>
    <s v="GULU"/>
    <s v="GULU"/>
    <s v="UGA"/>
    <n v="1"/>
    <s v="Home"/>
    <x v="1"/>
    <n v="25000"/>
    <n v="268"/>
    <x v="3"/>
    <n v="6"/>
    <x v="0"/>
    <n v="4"/>
    <s v="Office Worker"/>
    <n v="4"/>
    <x v="3"/>
    <n v="1"/>
    <n v="1"/>
    <n v="2"/>
    <n v="1"/>
    <n v="1"/>
    <s v="Y"/>
    <n v="1000"/>
    <x v="1"/>
  </r>
  <r>
    <d v="2019-10-25T00:00:00"/>
    <d v="1899-12-30T08:51:00"/>
    <m/>
    <s v="P"/>
    <n v="2"/>
    <s v="Road Vehicle"/>
    <n v="6"/>
    <x v="1"/>
    <x v="0"/>
    <n v="1"/>
    <x v="0"/>
    <s v="KAMPALA"/>
    <s v="KAMPALA"/>
    <s v="UGA"/>
    <n v="2"/>
    <s v="Work"/>
    <s v="GULU"/>
    <s v="GULU"/>
    <s v="UGA"/>
    <n v="8"/>
    <s v="Others"/>
    <x v="6"/>
    <n v="25000"/>
    <n v="268"/>
    <x v="3"/>
    <n v="5"/>
    <x v="0"/>
    <n v="4"/>
    <s v="Office Worker"/>
    <n v="3"/>
    <x v="0"/>
    <n v="2"/>
    <n v="3"/>
    <n v="1"/>
    <n v="2"/>
    <n v="1"/>
    <s v="Y"/>
    <n v="2000"/>
    <x v="4"/>
  </r>
  <r>
    <d v="2019-10-25T00:00:00"/>
    <d v="1899-12-30T09:16:00"/>
    <m/>
    <s v="P"/>
    <n v="2"/>
    <s v="Road Vehicle"/>
    <n v="6"/>
    <x v="1"/>
    <x v="0"/>
    <n v="1"/>
    <x v="0"/>
    <s v="KAMPALA"/>
    <s v="KAMPALA"/>
    <s v="UGA"/>
    <n v="6"/>
    <s v="Leisure/Social"/>
    <s v="GULU"/>
    <s v="GULU"/>
    <s v="UGA"/>
    <n v="1"/>
    <s v="Home"/>
    <x v="7"/>
    <n v="25000"/>
    <n v="259"/>
    <x v="3"/>
    <n v="5"/>
    <x v="0"/>
    <n v="10"/>
    <s v="Other"/>
    <n v="1"/>
    <x v="2"/>
    <n v="1"/>
    <n v="2"/>
    <n v="4"/>
    <n v="2"/>
    <n v="1"/>
    <s v="Y"/>
    <n v="0"/>
    <x v="0"/>
  </r>
  <r>
    <d v="2019-10-25T00:00:00"/>
    <d v="1899-12-30T12:23:00"/>
    <m/>
    <s v="P"/>
    <n v="2"/>
    <s v="Road Vehicle"/>
    <n v="6"/>
    <x v="1"/>
    <x v="0"/>
    <n v="1"/>
    <x v="0"/>
    <s v="KIGUMBA"/>
    <s v="MASINDI"/>
    <s v="UGA"/>
    <n v="1"/>
    <s v="Home"/>
    <s v="BOMBO"/>
    <s v="LUWERO"/>
    <s v="UGA"/>
    <n v="2"/>
    <s v="Work"/>
    <x v="8"/>
    <n v="20000"/>
    <n v="209"/>
    <x v="3"/>
    <n v="3"/>
    <x v="1"/>
    <n v="4"/>
    <s v="Office Worker"/>
    <n v="3"/>
    <x v="0"/>
    <n v="1"/>
    <n v="1"/>
    <n v="2"/>
    <n v="1"/>
    <n v="2"/>
    <s v="Y"/>
    <n v="6000"/>
    <x v="2"/>
  </r>
  <r>
    <d v="2019-10-25T00:00:00"/>
    <d v="1899-12-30T10:49:00"/>
    <m/>
    <s v="P"/>
    <n v="2"/>
    <s v="Road Vehicle"/>
    <n v="6"/>
    <x v="1"/>
    <x v="0"/>
    <n v="1"/>
    <x v="0"/>
    <s v="KIGUMBA"/>
    <s v="MASINDI"/>
    <s v="UGA"/>
    <n v="2"/>
    <s v="Work"/>
    <s v="LUWERO"/>
    <s v="LUWERO"/>
    <s v="UGA"/>
    <n v="1"/>
    <s v="Home"/>
    <x v="1"/>
    <n v="20000"/>
    <n v="198"/>
    <x v="2"/>
    <n v="3.5"/>
    <x v="0"/>
    <n v="4"/>
    <s v="Office Worker"/>
    <n v="3"/>
    <x v="0"/>
    <n v="1"/>
    <n v="2"/>
    <n v="1"/>
    <n v="2"/>
    <n v="1"/>
    <s v="Y"/>
    <n v="10000"/>
    <x v="3"/>
  </r>
  <r>
    <d v="2019-10-26T00:00:00"/>
    <d v="1899-12-30T09:47:00"/>
    <m/>
    <s v="P"/>
    <n v="2"/>
    <s v="Road Vehicle"/>
    <n v="6"/>
    <x v="1"/>
    <x v="0"/>
    <n v="1"/>
    <x v="0"/>
    <s v="LIRA"/>
    <s v="LIRA"/>
    <s v="UGA"/>
    <n v="3"/>
    <s v="Study"/>
    <s v="LUWERO"/>
    <s v="LUWERO"/>
    <s v="UGA"/>
    <n v="1"/>
    <s v="Home"/>
    <x v="9"/>
    <n v="25000"/>
    <n v="347"/>
    <x v="3"/>
    <n v="4"/>
    <x v="0"/>
    <n v="8"/>
    <s v="Student"/>
    <n v="1"/>
    <x v="2"/>
    <n v="1"/>
    <n v="1"/>
    <n v="2"/>
    <n v="1"/>
    <n v="1"/>
    <s v="Y"/>
    <n v="1000"/>
    <x v="1"/>
  </r>
  <r>
    <d v="2019-10-26T00:00:00"/>
    <d v="1899-12-30T16:54:00"/>
    <m/>
    <s v="P"/>
    <n v="2"/>
    <s v="Road Vehicle"/>
    <n v="6"/>
    <x v="1"/>
    <x v="1"/>
    <n v="1"/>
    <x v="0"/>
    <s v="BWEYALE"/>
    <s v="KIRYANDONGO"/>
    <s v="UGA"/>
    <n v="3"/>
    <s v="Study"/>
    <s v="KATWE"/>
    <s v="KAMPALA"/>
    <s v="UGA"/>
    <n v="1"/>
    <s v="Home"/>
    <x v="9"/>
    <n v="20000"/>
    <n v="201"/>
    <x v="3"/>
    <n v="3.5"/>
    <x v="0"/>
    <n v="8"/>
    <s v="Student"/>
    <n v="1"/>
    <x v="2"/>
    <n v="1"/>
    <n v="2"/>
    <n v="1"/>
    <n v="1"/>
    <n v="2"/>
    <s v="Y"/>
    <n v="1000"/>
    <x v="1"/>
  </r>
  <r>
    <d v="2019-10-26T00:00:00"/>
    <d v="1899-12-30T15:52:00"/>
    <m/>
    <s v="P"/>
    <n v="2"/>
    <s v="Road Vehicle"/>
    <n v="6"/>
    <x v="1"/>
    <x v="1"/>
    <n v="1"/>
    <x v="0"/>
    <s v="KAMPALA"/>
    <s v="KAMPALA"/>
    <s v="UGA"/>
    <n v="2"/>
    <s v="Work"/>
    <s v="ZOA"/>
    <s v="ZOMBO"/>
    <s v="UGA"/>
    <n v="1"/>
    <s v="Home"/>
    <x v="1"/>
    <n v="35000"/>
    <n v="419"/>
    <x v="3"/>
    <n v="8"/>
    <x v="0"/>
    <n v="4"/>
    <s v="Office Worker"/>
    <n v="2"/>
    <x v="1"/>
    <n v="1"/>
    <n v="1"/>
    <n v="3"/>
    <n v="1"/>
    <n v="2"/>
    <s v="Y"/>
    <n v="10000"/>
    <x v="3"/>
  </r>
  <r>
    <d v="2019-10-26T00:00:00"/>
    <d v="1899-12-30T07:09:00"/>
    <m/>
    <s v="P"/>
    <n v="2"/>
    <s v="Road Vehicle"/>
    <n v="6"/>
    <x v="1"/>
    <x v="1"/>
    <n v="1"/>
    <x v="0"/>
    <s v="KABOKO"/>
    <s v="KABOKO"/>
    <s v="UGA"/>
    <n v="2"/>
    <s v="Work"/>
    <s v="KAWEMPE"/>
    <s v="WAKISO"/>
    <s v="UGA"/>
    <n v="1"/>
    <s v="Home"/>
    <x v="1"/>
    <n v="35000"/>
    <n v="591"/>
    <x v="3"/>
    <n v="9"/>
    <x v="0"/>
    <n v="4"/>
    <s v="Office Worker"/>
    <n v="3"/>
    <x v="0"/>
    <n v="1"/>
    <n v="1"/>
    <n v="2"/>
    <n v="1"/>
    <n v="2"/>
    <s v="Y"/>
    <n v="5000"/>
    <x v="2"/>
  </r>
  <r>
    <d v="2019-10-26T00:00:00"/>
    <d v="1899-12-30T09:44:00"/>
    <m/>
    <s v="D"/>
    <n v="2"/>
    <s v="Road Vehicle"/>
    <n v="6"/>
    <x v="1"/>
    <x v="1"/>
    <n v="1"/>
    <x v="0"/>
    <s v="LUWERO"/>
    <s v="LUWERO"/>
    <s v="UGA"/>
    <n v="2"/>
    <s v="Work"/>
    <s v="KAMPALA"/>
    <s v="KAMPALA"/>
    <s v="UGA"/>
    <n v="2"/>
    <s v="Work"/>
    <x v="5"/>
    <n v="90000"/>
    <n v="30"/>
    <x v="5"/>
    <n v="1"/>
    <x v="2"/>
    <n v="5"/>
    <s v="Professional"/>
    <n v="1"/>
    <x v="2"/>
    <n v="1"/>
    <n v="2"/>
    <n v="2"/>
    <n v="1"/>
    <n v="1"/>
    <s v="Y"/>
    <n v="15000"/>
    <x v="3"/>
  </r>
  <r>
    <d v="2019-10-24T00:00:00"/>
    <d v="1899-12-30T12:43:00"/>
    <m/>
    <s v="P"/>
    <n v="2"/>
    <s v="Road Vehicle"/>
    <n v="7"/>
    <x v="2"/>
    <x v="1"/>
    <n v="1"/>
    <x v="0"/>
    <s v="MATUGA"/>
    <s v="WAKISO"/>
    <s v="UGA"/>
    <n v="2"/>
    <s v="Work"/>
    <s v="MIJERA"/>
    <s v="NAKASONGOLA"/>
    <s v="UGA"/>
    <n v="1"/>
    <s v="Home"/>
    <x v="1"/>
    <n v="15000"/>
    <n v="117"/>
    <x v="2"/>
    <n v="3.5"/>
    <x v="0"/>
    <n v="2"/>
    <s v="Manual Labour"/>
    <n v="2"/>
    <x v="1"/>
    <n v="5"/>
    <n v="1"/>
    <n v="1"/>
    <n v="1"/>
    <n v="2"/>
    <s v="Y"/>
    <n v="2000"/>
    <x v="4"/>
  </r>
  <r>
    <d v="2019-10-24T00:00:00"/>
    <d v="1899-12-30T07:07:00"/>
    <m/>
    <s v="D"/>
    <n v="2"/>
    <s v="Road Vehicle"/>
    <n v="7"/>
    <x v="2"/>
    <x v="1"/>
    <n v="1"/>
    <x v="0"/>
    <s v="BWEYOGERERE"/>
    <s v="WAKISO"/>
    <s v="UGA"/>
    <n v="1"/>
    <s v="Home"/>
    <s v="LUWERO"/>
    <s v="LUWERO"/>
    <s v="UGA"/>
    <n v="2"/>
    <s v="Work"/>
    <x v="8"/>
    <n v="60000"/>
    <n v="40"/>
    <x v="1"/>
    <n v="2"/>
    <x v="1"/>
    <n v="2"/>
    <s v="Manual Labour"/>
    <n v="1"/>
    <x v="2"/>
    <n v="4"/>
    <n v="4"/>
    <n v="1"/>
    <n v="2"/>
    <n v="1"/>
    <s v="Y"/>
    <n v="0"/>
    <x v="0"/>
  </r>
  <r>
    <d v="2019-10-26T00:00:00"/>
    <d v="1899-12-30T09:09:00"/>
    <m/>
    <s v="D"/>
    <n v="2"/>
    <s v="Road Vehicle"/>
    <n v="7"/>
    <x v="2"/>
    <x v="1"/>
    <n v="1"/>
    <x v="0"/>
    <s v="BUSEGA"/>
    <s v="KAMPALA"/>
    <s v="UGA"/>
    <n v="2"/>
    <s v="Work"/>
    <s v="LUWERO"/>
    <s v="LUWERO"/>
    <s v="UGA"/>
    <n v="2"/>
    <s v="Work"/>
    <x v="5"/>
    <n v="250000"/>
    <n v="59"/>
    <x v="1"/>
    <n v="2"/>
    <x v="1"/>
    <n v="2"/>
    <s v="Manual Labour"/>
    <n v="3"/>
    <x v="0"/>
    <n v="1"/>
    <n v="4"/>
    <n v="1"/>
    <n v="2"/>
    <n v="1"/>
    <s v="Y"/>
    <n v="10000"/>
    <x v="3"/>
  </r>
  <r>
    <d v="2019-10-26T00:00:00"/>
    <d v="1899-12-30T10:17:00"/>
    <m/>
    <s v="D"/>
    <n v="2"/>
    <s v="Road Vehicle"/>
    <n v="7"/>
    <x v="2"/>
    <x v="1"/>
    <n v="1"/>
    <x v="0"/>
    <s v="NAKASEKE"/>
    <s v="NAKASEKE"/>
    <s v="UGA"/>
    <n v="1"/>
    <s v="Home"/>
    <s v="LUWERO"/>
    <s v="LUWERO"/>
    <s v="UGA"/>
    <n v="2"/>
    <s v="Work"/>
    <x v="8"/>
    <n v="170000"/>
    <n v="36"/>
    <x v="5"/>
    <n v="2"/>
    <x v="1"/>
    <n v="5"/>
    <s v="Professional"/>
    <n v="1"/>
    <x v="2"/>
    <n v="1"/>
    <n v="5"/>
    <n v="5"/>
    <n v="4"/>
    <n v="1"/>
    <s v="Y"/>
    <n v="1000"/>
    <x v="1"/>
  </r>
  <r>
    <d v="2019-10-24T00:00:00"/>
    <d v="1899-12-30T08:56:00"/>
    <m/>
    <s v="P"/>
    <n v="2"/>
    <s v="Road Vehicle"/>
    <n v="4"/>
    <x v="3"/>
    <x v="0"/>
    <n v="1"/>
    <x v="0"/>
    <s v="KAMPALA"/>
    <s v="KAMPALA"/>
    <s v="UGA"/>
    <n v="3"/>
    <s v="Study"/>
    <s v="KIGUMABA"/>
    <s v="KIRYANDONGO"/>
    <s v="UGA"/>
    <n v="1"/>
    <s v="Home"/>
    <x v="9"/>
    <n v="20000"/>
    <n v="135"/>
    <x v="2"/>
    <n v="5"/>
    <x v="0"/>
    <n v="8"/>
    <s v="Student"/>
    <n v="1"/>
    <x v="2"/>
    <n v="2"/>
    <n v="1"/>
    <n v="2"/>
    <n v="1"/>
    <n v="2"/>
    <s v="Y"/>
    <n v="0"/>
    <x v="0"/>
  </r>
  <r>
    <d v="2019-10-24T00:00:00"/>
    <d v="1899-12-30T09:20:00"/>
    <m/>
    <s v="P"/>
    <n v="2"/>
    <s v="Road Vehicle"/>
    <n v="4"/>
    <x v="3"/>
    <x v="0"/>
    <n v="1"/>
    <x v="0"/>
    <s v="LUWERO"/>
    <s v="LUWERO"/>
    <s v="UGA"/>
    <n v="1"/>
    <s v="Home"/>
    <s v="NAKAWA"/>
    <s v="KAMPALA"/>
    <s v="UGA"/>
    <n v="3"/>
    <s v="Study"/>
    <x v="10"/>
    <n v="3000"/>
    <n v="38"/>
    <x v="5"/>
    <n v="1"/>
    <x v="2"/>
    <n v="8"/>
    <s v="Student"/>
    <n v="1"/>
    <x v="2"/>
    <n v="2"/>
    <n v="1"/>
    <n v="3"/>
    <n v="1"/>
    <n v="2"/>
    <s v="Y"/>
    <n v="1000"/>
    <x v="1"/>
  </r>
  <r>
    <d v="2019-10-24T00:00:00"/>
    <d v="1899-12-30T10:38:00"/>
    <m/>
    <s v="P"/>
    <n v="2"/>
    <s v="Road Vehicle"/>
    <n v="4"/>
    <x v="3"/>
    <x v="0"/>
    <n v="1"/>
    <x v="0"/>
    <s v="LUWERO"/>
    <s v="LUWERO"/>
    <s v="UGA"/>
    <n v="4"/>
    <s v="Commercial"/>
    <s v="MIJERA"/>
    <s v="KIRYANDONGO"/>
    <s v="UGA"/>
    <n v="6"/>
    <s v="Leisure/Social"/>
    <x v="11"/>
    <n v="20000"/>
    <n v="135"/>
    <x v="2"/>
    <n v="5"/>
    <x v="0"/>
    <n v="7"/>
    <s v="Farmer"/>
    <n v="3"/>
    <x v="0"/>
    <n v="2"/>
    <n v="1"/>
    <n v="2"/>
    <n v="2"/>
    <n v="1"/>
    <s v="Y"/>
    <n v="5000"/>
    <x v="2"/>
  </r>
  <r>
    <d v="2019-10-25T00:00:00"/>
    <d v="1899-12-30T07:18:00"/>
    <m/>
    <s v="P"/>
    <n v="2"/>
    <s v="Road Vehicle"/>
    <n v="4"/>
    <x v="3"/>
    <x v="0"/>
    <n v="1"/>
    <x v="0"/>
    <s v="LUWERO"/>
    <s v="LUWERO"/>
    <s v="UGA"/>
    <n v="1"/>
    <s v="Home"/>
    <s v="KINONI"/>
    <s v="GOMBA"/>
    <s v="UGA"/>
    <n v="1"/>
    <s v="Home"/>
    <x v="2"/>
    <n v="5000"/>
    <n v="73"/>
    <x v="0"/>
    <n v="3"/>
    <x v="1"/>
    <n v="10"/>
    <s v="Other"/>
    <n v="1"/>
    <x v="2"/>
    <n v="1"/>
    <n v="2"/>
    <n v="3"/>
    <n v="1"/>
    <n v="2"/>
    <s v="Y"/>
    <n v="0"/>
    <x v="0"/>
  </r>
  <r>
    <d v="2019-10-25T00:00:00"/>
    <d v="1899-12-30T07:55:00"/>
    <m/>
    <s v="P"/>
    <n v="2"/>
    <s v="Road Vehicle"/>
    <n v="4"/>
    <x v="3"/>
    <x v="0"/>
    <n v="1"/>
    <x v="0"/>
    <s v="LUWERO"/>
    <s v="LUWERO"/>
    <s v="UGA"/>
    <n v="4"/>
    <s v="Commercial"/>
    <s v="KAYONGAGWE"/>
    <s v="NAKASEKE"/>
    <s v="UGA"/>
    <n v="1"/>
    <s v="Home"/>
    <x v="0"/>
    <n v="7000"/>
    <n v="68"/>
    <x v="1"/>
    <n v="1.5"/>
    <x v="2"/>
    <n v="6"/>
    <s v="Businessman"/>
    <n v="3"/>
    <x v="0"/>
    <n v="4"/>
    <n v="2"/>
    <n v="3"/>
    <n v="4"/>
    <n v="2"/>
    <s v="Y"/>
    <n v="1000"/>
    <x v="1"/>
  </r>
  <r>
    <d v="2019-10-25T00:00:00"/>
    <d v="1899-12-30T07:59:00"/>
    <m/>
    <s v="P"/>
    <n v="2"/>
    <s v="Road Vehicle"/>
    <n v="4"/>
    <x v="3"/>
    <x v="0"/>
    <n v="1"/>
    <x v="0"/>
    <s v="LUWERO"/>
    <s v="LUWERO"/>
    <s v="UGA"/>
    <n v="1"/>
    <s v="Home"/>
    <s v="KATUGO"/>
    <s v="LUWERO"/>
    <s v="UGA"/>
    <n v="6"/>
    <s v="Leisure/Social"/>
    <x v="3"/>
    <n v="3000"/>
    <n v="64"/>
    <x v="1"/>
    <n v="34"/>
    <x v="0"/>
    <n v="10"/>
    <s v="Other"/>
    <n v="1"/>
    <x v="2"/>
    <n v="2"/>
    <n v="1"/>
    <n v="1"/>
    <n v="2"/>
    <n v="1"/>
    <s v="Y"/>
    <n v="2000"/>
    <x v="4"/>
  </r>
  <r>
    <d v="2019-10-25T00:00:00"/>
    <d v="1899-12-30T08:00:00"/>
    <m/>
    <s v="P"/>
    <n v="2"/>
    <s v="Road Vehicle"/>
    <n v="4"/>
    <x v="3"/>
    <x v="0"/>
    <n v="1"/>
    <x v="0"/>
    <s v="LUWERO"/>
    <s v="LUWERO"/>
    <s v="UGA"/>
    <n v="1"/>
    <s v="Home"/>
    <s v="KINONI"/>
    <s v="GOMBA"/>
    <s v="UGA"/>
    <n v="4"/>
    <s v="Commercial"/>
    <x v="12"/>
    <n v="5000"/>
    <n v="65"/>
    <x v="1"/>
    <n v="1"/>
    <x v="2"/>
    <n v="6"/>
    <s v="Businessman"/>
    <n v="2"/>
    <x v="1"/>
    <n v="1"/>
    <n v="1"/>
    <n v="3"/>
    <n v="2"/>
    <n v="2"/>
    <s v="Y"/>
    <n v="500"/>
    <x v="0"/>
  </r>
  <r>
    <d v="2019-10-25T00:00:00"/>
    <d v="1899-12-30T08:35:00"/>
    <m/>
    <s v="P"/>
    <n v="2"/>
    <s v="Road Vehicle"/>
    <n v="4"/>
    <x v="3"/>
    <x v="0"/>
    <n v="1"/>
    <x v="0"/>
    <s v="LUWERO"/>
    <s v="LUWERO"/>
    <s v="UGA"/>
    <n v="4"/>
    <s v="Commercial"/>
    <s v="KAWANDA"/>
    <s v="WAKISO"/>
    <s v="UGA"/>
    <n v="4"/>
    <s v="Commercial"/>
    <x v="13"/>
    <n v="3000"/>
    <n v="60"/>
    <x v="1"/>
    <n v="0.7"/>
    <x v="3"/>
    <n v="5"/>
    <s v="Professional"/>
    <n v="3"/>
    <x v="0"/>
    <n v="1"/>
    <n v="2"/>
    <n v="3"/>
    <n v="2"/>
    <n v="1"/>
    <s v="Y"/>
    <n v="0"/>
    <x v="0"/>
  </r>
  <r>
    <d v="2019-10-25T00:00:00"/>
    <d v="1899-12-30T10:07:00"/>
    <m/>
    <s v="P"/>
    <n v="2"/>
    <s v="Road Vehicle"/>
    <n v="4"/>
    <x v="3"/>
    <x v="0"/>
    <n v="1"/>
    <x v="0"/>
    <s v="MATUGA"/>
    <s v="WAKISO"/>
    <s v="UGA"/>
    <n v="6"/>
    <s v="Leisure/Social"/>
    <s v="KASANA"/>
    <s v="LUWERO"/>
    <s v="UGA"/>
    <n v="1"/>
    <s v="Home"/>
    <x v="7"/>
    <n v="3000"/>
    <n v="40"/>
    <x v="1"/>
    <n v="0.7"/>
    <x v="3"/>
    <n v="10"/>
    <s v="Other"/>
    <n v="1"/>
    <x v="2"/>
    <n v="1"/>
    <n v="2"/>
    <n v="1"/>
    <n v="2"/>
    <n v="2"/>
    <s v="Y"/>
    <n v="1000"/>
    <x v="1"/>
  </r>
  <r>
    <d v="2019-10-25T00:00:00"/>
    <d v="1899-12-30T11:25:00"/>
    <m/>
    <s v="P"/>
    <n v="2"/>
    <s v="Road Vehicle"/>
    <n v="4"/>
    <x v="3"/>
    <x v="0"/>
    <n v="1"/>
    <x v="0"/>
    <s v="LUWERO"/>
    <s v="LUWERO"/>
    <s v="UGA"/>
    <n v="3"/>
    <s v="Study"/>
    <s v="KATOOKE"/>
    <s v="GOMBA"/>
    <s v="UGA"/>
    <n v="1"/>
    <s v="Home"/>
    <x v="9"/>
    <n v="5000"/>
    <n v="69"/>
    <x v="1"/>
    <n v="1.5"/>
    <x v="2"/>
    <n v="8"/>
    <s v="Student"/>
    <n v="1"/>
    <x v="2"/>
    <n v="2"/>
    <n v="4"/>
    <n v="5"/>
    <n v="2"/>
    <n v="1"/>
    <s v="Y"/>
    <n v="1000"/>
    <x v="1"/>
  </r>
  <r>
    <d v="2019-10-25T00:00:00"/>
    <d v="1899-12-30T12:14:00"/>
    <m/>
    <s v="P"/>
    <n v="2"/>
    <s v="Road Vehicle"/>
    <n v="4"/>
    <x v="3"/>
    <x v="0"/>
    <n v="1"/>
    <x v="0"/>
    <s v="LUWERO"/>
    <s v="LUWERO"/>
    <s v="UGA"/>
    <n v="5"/>
    <s v="Tourism"/>
    <s v="KARUMA"/>
    <s v="KARUMA"/>
    <s v="UGA"/>
    <n v="5"/>
    <s v="Tourism"/>
    <x v="14"/>
    <n v="20000"/>
    <n v="200"/>
    <x v="3"/>
    <n v="5"/>
    <x v="0"/>
    <n v="10"/>
    <s v="Other"/>
    <n v="1"/>
    <x v="2"/>
    <n v="1"/>
    <n v="2"/>
    <n v="1"/>
    <n v="1"/>
    <n v="1"/>
    <s v="Y"/>
    <n v="1000"/>
    <x v="1"/>
  </r>
  <r>
    <d v="2019-10-25T00:00:00"/>
    <d v="1899-12-30T12:24:00"/>
    <m/>
    <s v="P"/>
    <n v="2"/>
    <s v="Road Vehicle"/>
    <n v="4"/>
    <x v="3"/>
    <x v="0"/>
    <n v="1"/>
    <x v="0"/>
    <s v="LUWERO"/>
    <s v="LUWERO"/>
    <s v="UGA"/>
    <n v="1"/>
    <s v="Home"/>
    <s v="LIRA"/>
    <s v="LIRA"/>
    <s v="UGA"/>
    <n v="6"/>
    <s v="Leisure/Social"/>
    <x v="3"/>
    <n v="20000"/>
    <n v="218"/>
    <x v="3"/>
    <n v="6"/>
    <x v="0"/>
    <n v="10"/>
    <s v="Other"/>
    <n v="1"/>
    <x v="2"/>
    <n v="4"/>
    <n v="5"/>
    <n v="2"/>
    <n v="1"/>
    <n v="2"/>
    <s v="Y"/>
    <n v="2000"/>
    <x v="4"/>
  </r>
  <r>
    <d v="2019-10-25T00:00:00"/>
    <d v="1899-12-30T16:23:00"/>
    <m/>
    <s v="P"/>
    <n v="2"/>
    <s v="Road Vehicle"/>
    <n v="4"/>
    <x v="3"/>
    <x v="0"/>
    <n v="1"/>
    <x v="0"/>
    <s v="LUWERO"/>
    <s v="LUWERO"/>
    <s v="UGA"/>
    <n v="2"/>
    <s v="Work"/>
    <s v="KAWANDA"/>
    <s v="WAKISO"/>
    <s v="UGA"/>
    <n v="2"/>
    <s v="Work"/>
    <x v="5"/>
    <n v="3000"/>
    <n v="39"/>
    <x v="5"/>
    <n v="0.7"/>
    <x v="3"/>
    <n v="10"/>
    <s v="Other"/>
    <n v="1"/>
    <x v="2"/>
    <n v="3"/>
    <n v="2"/>
    <n v="4"/>
    <n v="1"/>
    <n v="2"/>
    <s v="Y"/>
    <n v="0"/>
    <x v="0"/>
  </r>
  <r>
    <d v="2019-10-26T00:00:00"/>
    <d v="1899-12-30T08:36:00"/>
    <m/>
    <s v="P"/>
    <n v="2"/>
    <s v="Road Vehicle"/>
    <n v="4"/>
    <x v="3"/>
    <x v="0"/>
    <n v="1"/>
    <x v="0"/>
    <s v="KAMPALA"/>
    <s v="KAMPALA"/>
    <s v="UGA"/>
    <n v="1"/>
    <s v="Home"/>
    <s v="KARUMA"/>
    <s v="KIRYANDONGO"/>
    <s v="UGA"/>
    <n v="1"/>
    <s v="Home"/>
    <x v="2"/>
    <n v="20000"/>
    <n v="280"/>
    <x v="3"/>
    <n v="5"/>
    <x v="0"/>
    <n v="10"/>
    <s v="Other"/>
    <n v="1"/>
    <x v="2"/>
    <n v="4"/>
    <n v="5"/>
    <n v="2"/>
    <n v="1"/>
    <n v="1"/>
    <s v="Y"/>
    <n v="1000"/>
    <x v="1"/>
  </r>
  <r>
    <d v="2019-10-26T00:00:00"/>
    <d v="1899-12-30T08:47:00"/>
    <m/>
    <s v="P"/>
    <n v="2"/>
    <s v="Road Vehicle"/>
    <n v="4"/>
    <x v="3"/>
    <x v="0"/>
    <n v="1"/>
    <x v="0"/>
    <s v="KAMPALA"/>
    <s v="KAMPALA"/>
    <s v="UGA"/>
    <n v="2"/>
    <s v="Work"/>
    <s v="KATUGO"/>
    <s v="LUWERO"/>
    <s v="UGA"/>
    <n v="1"/>
    <s v="Home"/>
    <x v="1"/>
    <n v="5000"/>
    <n v="64"/>
    <x v="1"/>
    <n v="1"/>
    <x v="2"/>
    <n v="8"/>
    <s v="Student"/>
    <n v="1"/>
    <x v="2"/>
    <n v="2"/>
    <n v="1"/>
    <n v="3"/>
    <n v="2"/>
    <n v="2"/>
    <s v="Y"/>
    <n v="2000"/>
    <x v="4"/>
  </r>
  <r>
    <d v="2019-10-26T00:00:00"/>
    <d v="1899-12-30T08:47:00"/>
    <m/>
    <s v="P"/>
    <n v="2"/>
    <s v="Road Vehicle"/>
    <n v="4"/>
    <x v="3"/>
    <x v="0"/>
    <n v="1"/>
    <x v="0"/>
    <s v="KAMPALA"/>
    <s v="KAMPALA"/>
    <s v="UGA"/>
    <n v="2"/>
    <s v="Work"/>
    <s v="KATUGO"/>
    <s v="LUWERO"/>
    <s v="UGA"/>
    <n v="1"/>
    <s v="Home"/>
    <x v="1"/>
    <n v="5000"/>
    <n v="64"/>
    <x v="1"/>
    <n v="1"/>
    <x v="2"/>
    <n v="8"/>
    <s v="Student"/>
    <n v="1"/>
    <x v="2"/>
    <n v="2"/>
    <n v="1"/>
    <n v="3"/>
    <n v="2"/>
    <n v="2"/>
    <s v="Y"/>
    <n v="2000"/>
    <x v="4"/>
  </r>
  <r>
    <d v="2019-10-26T00:00:00"/>
    <d v="1899-12-30T15:06:00"/>
    <m/>
    <s v="P"/>
    <n v="2"/>
    <s v="Road Vehicle"/>
    <n v="4"/>
    <x v="3"/>
    <x v="0"/>
    <n v="1"/>
    <x v="0"/>
    <s v="LUWERO"/>
    <s v="LUWERO"/>
    <s v="UGA"/>
    <n v="4"/>
    <s v="Commercial"/>
    <s v="KATOOKE"/>
    <s v="NAKASEKE"/>
    <s v="UGA"/>
    <n v="1"/>
    <s v="Home"/>
    <x v="0"/>
    <n v="3000"/>
    <n v="10"/>
    <x v="6"/>
    <n v="0.5"/>
    <x v="3"/>
    <n v="6"/>
    <s v="Businessman"/>
    <n v="4"/>
    <x v="3"/>
    <n v="2"/>
    <n v="1"/>
    <n v="2"/>
    <n v="2"/>
    <n v="1"/>
    <s v="Y"/>
    <n v="1000"/>
    <x v="1"/>
  </r>
  <r>
    <d v="2019-10-26T00:00:00"/>
    <d v="1899-12-30T16:33:00"/>
    <m/>
    <s v="P"/>
    <n v="2"/>
    <s v="Road Vehicle"/>
    <n v="4"/>
    <x v="3"/>
    <x v="0"/>
    <n v="1"/>
    <x v="0"/>
    <s v="KATU"/>
    <s v="MASINDI"/>
    <s v="UGA"/>
    <n v="2"/>
    <s v="Work"/>
    <s v="KAWEMPE"/>
    <s v="WAKISO"/>
    <s v="UGA"/>
    <n v="7"/>
    <s v="Hospital"/>
    <x v="15"/>
    <n v="20000"/>
    <n v="212"/>
    <x v="3"/>
    <n v="3"/>
    <x v="1"/>
    <n v="2"/>
    <s v="Manual Labour"/>
    <n v="2"/>
    <x v="1"/>
    <n v="1"/>
    <n v="2"/>
    <n v="2"/>
    <n v="2"/>
    <n v="1"/>
    <s v="Y"/>
    <n v="3000"/>
    <x v="5"/>
  </r>
  <r>
    <d v="2019-10-25T00:00:00"/>
    <d v="1899-12-30T07:34:00"/>
    <m/>
    <s v="P"/>
    <n v="2"/>
    <s v="Road Vehicle"/>
    <n v="4"/>
    <x v="3"/>
    <x v="1"/>
    <n v="1"/>
    <x v="0"/>
    <s v="LUWERO"/>
    <s v="LUWERO"/>
    <s v="UGA"/>
    <n v="4"/>
    <s v="Commercial"/>
    <s v="KINYOGOGA"/>
    <s v="NAKASEKE"/>
    <s v="UGA"/>
    <n v="1"/>
    <s v="Home"/>
    <x v="0"/>
    <n v="7000"/>
    <m/>
    <x v="4"/>
    <n v="2"/>
    <x v="1"/>
    <n v="6"/>
    <s v="Businessman"/>
    <n v="4"/>
    <x v="3"/>
    <n v="1"/>
    <n v="1"/>
    <n v="5"/>
    <n v="2"/>
    <n v="2"/>
    <s v="Y"/>
    <n v="5000"/>
    <x v="2"/>
  </r>
  <r>
    <d v="2019-10-25T00:00:00"/>
    <d v="1899-12-30T11:36:00"/>
    <m/>
    <s v="P"/>
    <n v="2"/>
    <s v="Road Vehicle"/>
    <n v="4"/>
    <x v="3"/>
    <x v="1"/>
    <n v="1"/>
    <x v="0"/>
    <s v="LUWERO"/>
    <s v="LUWERO"/>
    <s v="UGA"/>
    <n v="3"/>
    <s v="Study"/>
    <s v="BATALANGU"/>
    <s v="NAKASEKE"/>
    <s v="UGA"/>
    <n v="1"/>
    <s v="Home"/>
    <x v="9"/>
    <n v="5000"/>
    <n v="70"/>
    <x v="0"/>
    <n v="1.5"/>
    <x v="2"/>
    <n v="8"/>
    <s v="Student"/>
    <n v="1"/>
    <x v="2"/>
    <n v="2"/>
    <n v="1"/>
    <n v="5"/>
    <n v="2"/>
    <n v="1"/>
    <s v="Y"/>
    <n v="1000"/>
    <x v="1"/>
  </r>
  <r>
    <d v="2019-10-25T00:00:00"/>
    <d v="1899-12-30T16:10:00"/>
    <m/>
    <s v="D"/>
    <n v="2"/>
    <s v="Road Vehicle"/>
    <n v="4"/>
    <x v="3"/>
    <x v="1"/>
    <n v="1"/>
    <x v="0"/>
    <s v="ARUA"/>
    <s v="ARUA"/>
    <s v="UGA"/>
    <n v="2"/>
    <s v="Work"/>
    <s v="LUWERO"/>
    <s v="LUWERO"/>
    <s v="UGA"/>
    <n v="2"/>
    <s v="Work"/>
    <x v="5"/>
    <n v="200000"/>
    <n v="400"/>
    <x v="3"/>
    <n v="5"/>
    <x v="0"/>
    <n v="6"/>
    <s v="Businessman"/>
    <n v="2"/>
    <x v="1"/>
    <n v="1"/>
    <n v="5"/>
    <n v="1"/>
    <n v="5"/>
    <n v="1"/>
    <s v="Y"/>
    <n v="1000"/>
    <x v="1"/>
  </r>
  <r>
    <d v="2019-10-25T00:00:00"/>
    <d v="1899-12-30T10:06:00"/>
    <m/>
    <s v="P"/>
    <n v="2"/>
    <s v="Road Vehicle"/>
    <n v="4"/>
    <x v="3"/>
    <x v="1"/>
    <n v="1"/>
    <x v="0"/>
    <s v="KAMPALA"/>
    <s v="KAMPALA"/>
    <s v="UGA"/>
    <n v="2"/>
    <s v="Work"/>
    <s v="KASANA"/>
    <s v="LUWERO"/>
    <s v="UGA"/>
    <n v="1"/>
    <s v="Home"/>
    <x v="1"/>
    <n v="5000"/>
    <n v="63"/>
    <x v="1"/>
    <n v="1.5"/>
    <x v="2"/>
    <n v="2"/>
    <s v="Manual Labour"/>
    <n v="1"/>
    <x v="2"/>
    <n v="1"/>
    <n v="1"/>
    <n v="4"/>
    <n v="1"/>
    <n v="2"/>
    <s v="Y"/>
    <n v="0"/>
    <x v="0"/>
  </r>
  <r>
    <d v="2019-10-25T00:00:00"/>
    <d v="1899-12-30T08:33:00"/>
    <m/>
    <s v="P"/>
    <n v="2"/>
    <s v="Road Vehicle"/>
    <n v="4"/>
    <x v="3"/>
    <x v="1"/>
    <n v="1"/>
    <x v="0"/>
    <s v="LUWERO"/>
    <s v="LUWERO"/>
    <s v="UGA"/>
    <n v="1"/>
    <s v="Home"/>
    <s v="KAWEMPE"/>
    <s v="KAMPALA"/>
    <s v="UGA"/>
    <n v="3"/>
    <s v="Study"/>
    <x v="10"/>
    <n v="5000"/>
    <n v="51"/>
    <x v="1"/>
    <n v="1"/>
    <x v="2"/>
    <n v="1"/>
    <s v="Unemployed"/>
    <n v="1"/>
    <x v="2"/>
    <n v="1"/>
    <n v="2"/>
    <n v="4"/>
    <n v="1"/>
    <n v="2"/>
    <s v="Y"/>
    <n v="1000"/>
    <x v="1"/>
  </r>
  <r>
    <d v="2019-10-26T00:00:00"/>
    <d v="1899-12-30T13:04:00"/>
    <m/>
    <s v="P"/>
    <n v="2"/>
    <s v="Road Vehicle"/>
    <n v="4"/>
    <x v="3"/>
    <x v="1"/>
    <n v="1"/>
    <x v="0"/>
    <s v="LUWERO"/>
    <s v="LUWERO"/>
    <s v="UGA"/>
    <n v="4"/>
    <s v="Commercial"/>
    <s v="WABULENZI"/>
    <s v="LUWERO"/>
    <s v="UGA"/>
    <n v="1"/>
    <s v="Home"/>
    <x v="0"/>
    <n v="2000"/>
    <n v="15"/>
    <x v="6"/>
    <n v="0.1"/>
    <x v="4"/>
    <n v="6"/>
    <s v="Businessman"/>
    <n v="2"/>
    <x v="1"/>
    <n v="1"/>
    <n v="1"/>
    <n v="2"/>
    <n v="1"/>
    <n v="2"/>
    <s v="Y"/>
    <n v="1000"/>
    <x v="1"/>
  </r>
  <r>
    <d v="2019-10-26T00:00:00"/>
    <d v="1899-12-30T10:46:00"/>
    <m/>
    <s v="P"/>
    <n v="2"/>
    <s v="Road Vehicle"/>
    <n v="4"/>
    <x v="3"/>
    <x v="1"/>
    <n v="1"/>
    <x v="0"/>
    <s v="MASAKA"/>
    <s v="MASAKA"/>
    <s v="UGA"/>
    <n v="1"/>
    <s v="Home"/>
    <s v="LUWERO"/>
    <s v="LUWERO"/>
    <s v="UGA"/>
    <n v="1"/>
    <s v="Home"/>
    <x v="2"/>
    <n v="20000"/>
    <m/>
    <x v="4"/>
    <n v="4"/>
    <x v="0"/>
    <n v="4"/>
    <s v="Office Worker"/>
    <n v="1"/>
    <x v="2"/>
    <n v="5"/>
    <n v="5"/>
    <n v="4"/>
    <n v="1"/>
    <n v="3"/>
    <s v="Y"/>
    <n v="3000"/>
    <x v="5"/>
  </r>
  <r>
    <d v="2019-10-26T00:00:00"/>
    <d v="1899-12-30T08:17:00"/>
    <m/>
    <s v="D"/>
    <n v="2"/>
    <s v="Road Vehicle"/>
    <n v="4"/>
    <x v="3"/>
    <x v="1"/>
    <n v="1"/>
    <x v="0"/>
    <s v="KAMPALA"/>
    <s v="KAMPALA"/>
    <s v="UGA"/>
    <n v="2"/>
    <s v="Work"/>
    <s v="LUWERO"/>
    <s v="LUWERO"/>
    <s v="UGA"/>
    <n v="2"/>
    <s v="Work"/>
    <x v="5"/>
    <n v="50000"/>
    <n v="50"/>
    <x v="1"/>
    <n v="1"/>
    <x v="2"/>
    <n v="5"/>
    <s v="Professional"/>
    <n v="1"/>
    <x v="2"/>
    <n v="1"/>
    <n v="5"/>
    <n v="2"/>
    <n v="1"/>
    <n v="1"/>
    <s v="Y"/>
    <n v="5000"/>
    <x v="2"/>
  </r>
  <r>
    <d v="2019-10-26T00:00:00"/>
    <d v="1899-12-30T08:05:00"/>
    <m/>
    <s v="D"/>
    <n v="2"/>
    <s v="Road Vehicle"/>
    <n v="4"/>
    <x v="3"/>
    <x v="1"/>
    <n v="1"/>
    <x v="0"/>
    <s v="NANSANA"/>
    <s v="KAMPALA"/>
    <s v="UGA"/>
    <n v="2"/>
    <s v="Work"/>
    <s v="LUWERO"/>
    <s v="LUWERO"/>
    <s v="UGA"/>
    <n v="2"/>
    <s v="Work"/>
    <x v="5"/>
    <n v="50000"/>
    <n v="80"/>
    <x v="0"/>
    <n v="2"/>
    <x v="1"/>
    <n v="5"/>
    <s v="Professional"/>
    <n v="2"/>
    <x v="1"/>
    <n v="5"/>
    <n v="1"/>
    <n v="5"/>
    <n v="5"/>
    <n v="2"/>
    <s v="Y"/>
    <n v="4000"/>
    <x v="5"/>
  </r>
  <r>
    <d v="2019-10-26T00:00:00"/>
    <d v="1899-12-30T14:55:00"/>
    <m/>
    <s v="D"/>
    <n v="2"/>
    <s v="Road Vehicle"/>
    <n v="2"/>
    <x v="4"/>
    <x v="0"/>
    <n v="1"/>
    <x v="0"/>
    <s v="MENGO"/>
    <s v="KAMPALA"/>
    <s v="UGA"/>
    <n v="1"/>
    <s v="Home"/>
    <s v="KIBOKO"/>
    <s v="LUWERO"/>
    <s v="UGA"/>
    <n v="1"/>
    <s v="Home"/>
    <x v="2"/>
    <n v="200000"/>
    <n v="65"/>
    <x v="1"/>
    <n v="1.5"/>
    <x v="2"/>
    <n v="4"/>
    <s v="Office Worker"/>
    <n v="3"/>
    <x v="0"/>
    <n v="1"/>
    <n v="3"/>
    <n v="2"/>
    <n v="1"/>
    <n v="2"/>
    <s v="Y"/>
    <n v="5000"/>
    <x v="2"/>
  </r>
  <r>
    <d v="2019-10-26T00:00:00"/>
    <d v="1899-12-30T12:20:00"/>
    <m/>
    <s v="P"/>
    <n v="2"/>
    <s v="Road Vehicle"/>
    <n v="2"/>
    <x v="4"/>
    <x v="0"/>
    <n v="1"/>
    <x v="0"/>
    <s v="LUWERO"/>
    <s v="LUWERO"/>
    <s v="UGA"/>
    <n v="3"/>
    <s v="Study"/>
    <s v="KINONI"/>
    <s v="GOMBA"/>
    <s v="UGA"/>
    <n v="1"/>
    <s v="Home"/>
    <x v="9"/>
    <n v="5000"/>
    <n v="69"/>
    <x v="1"/>
    <n v="1.5"/>
    <x v="2"/>
    <n v="8"/>
    <s v="Student"/>
    <n v="1"/>
    <x v="2"/>
    <n v="2"/>
    <n v="2"/>
    <n v="1"/>
    <n v="2"/>
    <n v="3"/>
    <s v="Y"/>
    <n v="500"/>
    <x v="0"/>
  </r>
  <r>
    <d v="2019-10-26T00:00:00"/>
    <d v="1899-12-30T12:15:00"/>
    <m/>
    <s v="D"/>
    <n v="2"/>
    <s v="Road Vehicle"/>
    <n v="2"/>
    <x v="4"/>
    <x v="0"/>
    <n v="1"/>
    <x v="0"/>
    <s v="MAKERERE"/>
    <s v="KAMPALA"/>
    <s v="UGA"/>
    <n v="3"/>
    <s v="Study"/>
    <s v="LUWERO"/>
    <s v="LUWERO"/>
    <s v="UGA"/>
    <n v="1"/>
    <s v="Home"/>
    <x v="9"/>
    <n v="45000"/>
    <n v="63"/>
    <x v="1"/>
    <n v="1.2"/>
    <x v="2"/>
    <n v="1"/>
    <s v="Unemployed"/>
    <n v="1"/>
    <x v="2"/>
    <n v="1"/>
    <n v="1"/>
    <n v="3"/>
    <n v="1"/>
    <n v="2"/>
    <s v="Y"/>
    <n v="0"/>
    <x v="0"/>
  </r>
  <r>
    <d v="2019-10-26T00:00:00"/>
    <d v="1899-12-30T12:42:00"/>
    <m/>
    <s v="D"/>
    <n v="2"/>
    <s v="Road Vehicle"/>
    <n v="2"/>
    <x v="4"/>
    <x v="1"/>
    <n v="1"/>
    <x v="0"/>
    <s v="NEBI"/>
    <s v="NEBI"/>
    <s v="UGA"/>
    <n v="1"/>
    <s v="Home"/>
    <s v="KIZITO"/>
    <s v="LUWERO"/>
    <s v="UGA"/>
    <n v="1"/>
    <s v="Home"/>
    <x v="2"/>
    <n v="80000"/>
    <m/>
    <x v="4"/>
    <n v="5"/>
    <x v="0"/>
    <n v="4"/>
    <s v="Office Worker"/>
    <n v="1"/>
    <x v="2"/>
    <n v="2"/>
    <n v="5"/>
    <n v="5"/>
    <n v="1"/>
    <n v="1"/>
    <s v="Y"/>
    <n v="4000"/>
    <x v="5"/>
  </r>
  <r>
    <d v="2019-10-26T00:00:00"/>
    <d v="1899-12-30T11:45:00"/>
    <m/>
    <s v="P"/>
    <n v="2"/>
    <s v="Road Vehicle"/>
    <n v="2"/>
    <x v="4"/>
    <x v="1"/>
    <n v="1"/>
    <x v="0"/>
    <s v="LUWERO"/>
    <s v="LUWERO"/>
    <s v="UGA"/>
    <n v="1"/>
    <s v="Home"/>
    <s v="LUWERO"/>
    <s v="LUWERO"/>
    <s v="UGA"/>
    <n v="2"/>
    <s v="Work"/>
    <x v="8"/>
    <n v="3000"/>
    <n v="60"/>
    <x v="1"/>
    <n v="2"/>
    <x v="1"/>
    <n v="6"/>
    <s v="Businessman"/>
    <n v="2"/>
    <x v="1"/>
    <n v="1"/>
    <n v="5"/>
    <n v="1"/>
    <n v="1"/>
    <n v="1"/>
    <s v="Y"/>
    <n v="1000"/>
    <x v="1"/>
  </r>
  <r>
    <m/>
    <d v="1899-12-30T16:00:00"/>
    <m/>
    <s v="D"/>
    <n v="2"/>
    <s v="Road Vehicle"/>
    <n v="2"/>
    <x v="4"/>
    <x v="1"/>
    <n v="1"/>
    <x v="0"/>
    <s v="NAMUGONGO"/>
    <s v="WAKISO"/>
    <s v="UGA"/>
    <n v="2"/>
    <s v="Work"/>
    <s v="LUWERO"/>
    <s v="LUWERO"/>
    <s v="UGA"/>
    <n v="1"/>
    <s v="Home"/>
    <x v="1"/>
    <n v="120000"/>
    <n v="170"/>
    <x v="2"/>
    <n v="3"/>
    <x v="1"/>
    <n v="5"/>
    <s v="Professional"/>
    <n v="1"/>
    <x v="2"/>
    <n v="5"/>
    <n v="1"/>
    <n v="5"/>
    <n v="3"/>
    <n v="1"/>
    <s v="Y"/>
    <n v="10000"/>
    <x v="3"/>
  </r>
  <r>
    <d v="2019-10-25T00:00:00"/>
    <d v="1899-12-30T09:36:00"/>
    <m/>
    <s v="D"/>
    <n v="2"/>
    <s v="Road Vehicle"/>
    <n v="1"/>
    <x v="0"/>
    <x v="0"/>
    <n v="2"/>
    <x v="1"/>
    <s v="NEBI"/>
    <s v="NEBI"/>
    <s v="UGA"/>
    <n v="2"/>
    <s v="Work"/>
    <s v="MATUGA"/>
    <s v="WAKISO"/>
    <s v="UGA"/>
    <n v="2"/>
    <s v="Work"/>
    <x v="5"/>
    <n v="300000"/>
    <n v="250"/>
    <x v="3"/>
    <n v="5"/>
    <x v="0"/>
    <n v="5"/>
    <s v="Professional"/>
    <n v="5"/>
    <x v="4"/>
    <n v="5"/>
    <n v="2"/>
    <n v="5"/>
    <n v="5"/>
    <n v="2"/>
    <s v="Y"/>
    <n v="1000"/>
    <x v="1"/>
  </r>
  <r>
    <d v="2019-10-25T00:00:00"/>
    <d v="1899-12-30T10:59:00"/>
    <m/>
    <s v="P"/>
    <n v="2"/>
    <s v="Road Vehicle"/>
    <n v="1"/>
    <x v="0"/>
    <x v="0"/>
    <n v="2"/>
    <x v="1"/>
    <s v="ARUA"/>
    <s v="ARUA"/>
    <s v="UGA"/>
    <n v="2"/>
    <s v="Work"/>
    <s v="KAMPALA"/>
    <s v="KAMPALA"/>
    <s v="UGA"/>
    <n v="2"/>
    <s v="Work"/>
    <x v="5"/>
    <n v="35000"/>
    <n v="500"/>
    <x v="3"/>
    <n v="8"/>
    <x v="0"/>
    <n v="5"/>
    <s v="Professional"/>
    <n v="5"/>
    <x v="4"/>
    <n v="5"/>
    <n v="3"/>
    <n v="2"/>
    <n v="1"/>
    <n v="2"/>
    <s v="Y"/>
    <n v="2000"/>
    <x v="4"/>
  </r>
  <r>
    <d v="2019-10-25T00:00:00"/>
    <d v="1899-12-30T11:39:00"/>
    <m/>
    <s v="D"/>
    <n v="2"/>
    <s v="Road Vehicle"/>
    <n v="1"/>
    <x v="0"/>
    <x v="0"/>
    <n v="2"/>
    <x v="1"/>
    <s v="KARUMA"/>
    <s v="KIRYANDONGO"/>
    <s v="UGA"/>
    <n v="2"/>
    <s v="Work"/>
    <s v="BOMBO"/>
    <s v="LUWERO"/>
    <s v="UGA"/>
    <n v="2"/>
    <s v="Work"/>
    <x v="5"/>
    <n v="100000"/>
    <n v="250"/>
    <x v="3"/>
    <n v="5"/>
    <x v="0"/>
    <n v="6"/>
    <s v="Businessman"/>
    <n v="5"/>
    <x v="4"/>
    <n v="5"/>
    <n v="2"/>
    <n v="3"/>
    <n v="2"/>
    <n v="2"/>
    <s v="Y"/>
    <n v="1000"/>
    <x v="1"/>
  </r>
  <r>
    <d v="2019-10-25T00:00:00"/>
    <d v="1899-12-30T14:48:00"/>
    <m/>
    <s v="D"/>
    <n v="2"/>
    <s v="Road Vehicle"/>
    <n v="1"/>
    <x v="0"/>
    <x v="0"/>
    <n v="2"/>
    <x v="1"/>
    <s v="ENTEBBE"/>
    <s v="WAKISO"/>
    <s v="UGA"/>
    <n v="2"/>
    <s v="Work"/>
    <s v="LUWERO"/>
    <s v="LUWERO"/>
    <s v="UGA"/>
    <n v="2"/>
    <s v="Work"/>
    <x v="5"/>
    <n v="80000"/>
    <n v="190"/>
    <x v="2"/>
    <n v="5"/>
    <x v="0"/>
    <n v="6"/>
    <s v="Businessman"/>
    <n v="3"/>
    <x v="0"/>
    <n v="5"/>
    <n v="1"/>
    <n v="2"/>
    <n v="2"/>
    <n v="1"/>
    <s v="Y"/>
    <n v="1000"/>
    <x v="1"/>
  </r>
  <r>
    <d v="2019-10-26T00:00:00"/>
    <d v="1899-12-30T15:40:00"/>
    <m/>
    <s v="D"/>
    <n v="2"/>
    <s v="Road Vehicle"/>
    <n v="1"/>
    <x v="0"/>
    <x v="0"/>
    <n v="2"/>
    <x v="1"/>
    <s v="ORIYO"/>
    <s v="ARUA"/>
    <s v="UGA"/>
    <n v="1"/>
    <s v="Home"/>
    <s v="KASANA"/>
    <s v="LUWERO"/>
    <s v="UGA"/>
    <n v="1"/>
    <s v="Home"/>
    <x v="2"/>
    <n v="400000"/>
    <n v="400"/>
    <x v="3"/>
    <n v="6"/>
    <x v="0"/>
    <n v="4"/>
    <s v="Office Worker"/>
    <n v="1"/>
    <x v="2"/>
    <n v="5"/>
    <n v="5"/>
    <n v="1"/>
    <n v="5"/>
    <n v="1"/>
    <s v="Y"/>
    <n v="2000"/>
    <x v="4"/>
  </r>
  <r>
    <m/>
    <d v="1899-12-30T13:47:00"/>
    <m/>
    <s v="D"/>
    <n v="2"/>
    <s v="Road Vehicle"/>
    <n v="1"/>
    <x v="0"/>
    <x v="0"/>
    <n v="2"/>
    <x v="1"/>
    <s v="GULU"/>
    <s v="GULU"/>
    <s v="UGA"/>
    <n v="1"/>
    <s v="Home"/>
    <s v="KAMPALA"/>
    <s v="KAMPALA"/>
    <s v="UGA"/>
    <n v="2"/>
    <s v="Work"/>
    <x v="8"/>
    <n v="100000"/>
    <n v="240"/>
    <x v="3"/>
    <n v="4"/>
    <x v="0"/>
    <n v="6"/>
    <s v="Businessman"/>
    <n v="4"/>
    <x v="3"/>
    <n v="2"/>
    <n v="1"/>
    <n v="2"/>
    <n v="1"/>
    <n v="2"/>
    <s v="Y"/>
    <n v="1000"/>
    <x v="1"/>
  </r>
  <r>
    <d v="2019-10-24T00:00:00"/>
    <d v="1899-12-30T10:05:00"/>
    <m/>
    <s v="P"/>
    <n v="2"/>
    <s v="Road Vehicle"/>
    <n v="1"/>
    <x v="0"/>
    <x v="1"/>
    <n v="2"/>
    <x v="1"/>
    <s v="KAMPALA"/>
    <s v="KAMPALA"/>
    <s v="UGA"/>
    <n v="2"/>
    <s v="Work"/>
    <s v="NAKASONGOLA"/>
    <s v="NAKASONGOLA"/>
    <s v="UGA"/>
    <n v="2"/>
    <s v="Work"/>
    <x v="5"/>
    <n v="10000"/>
    <n v="56"/>
    <x v="1"/>
    <n v="1"/>
    <x v="2"/>
    <n v="4"/>
    <s v="Office Worker"/>
    <n v="4"/>
    <x v="3"/>
    <n v="1"/>
    <n v="2"/>
    <n v="1"/>
    <n v="2"/>
    <n v="2"/>
    <s v="Y"/>
    <n v="5000"/>
    <x v="2"/>
  </r>
  <r>
    <d v="2019-10-25T00:00:00"/>
    <d v="1899-12-30T09:00:00"/>
    <m/>
    <s v="P"/>
    <n v="2"/>
    <s v="Road Vehicle"/>
    <n v="1"/>
    <x v="0"/>
    <x v="1"/>
    <n v="2"/>
    <x v="1"/>
    <s v="GULU"/>
    <s v="GULU"/>
    <s v="UGA"/>
    <n v="2"/>
    <s v="Work"/>
    <s v="KAMPALA"/>
    <s v="KAMPALA"/>
    <s v="UGA"/>
    <n v="2"/>
    <s v="Work"/>
    <x v="5"/>
    <n v="30000"/>
    <n v="500"/>
    <x v="3"/>
    <n v="8"/>
    <x v="0"/>
    <n v="6"/>
    <s v="Businessman"/>
    <n v="4"/>
    <x v="3"/>
    <n v="5"/>
    <n v="1"/>
    <n v="5"/>
    <n v="5"/>
    <n v="1"/>
    <s v="Y"/>
    <n v="10000"/>
    <x v="3"/>
  </r>
  <r>
    <d v="2019-10-25T00:00:00"/>
    <d v="1899-12-30T08:15:00"/>
    <m/>
    <s v="D"/>
    <n v="2"/>
    <s v="Road Vehicle"/>
    <n v="1"/>
    <x v="0"/>
    <x v="1"/>
    <n v="2"/>
    <x v="1"/>
    <s v="LUWERO"/>
    <s v="LUWERO"/>
    <s v="UGA"/>
    <n v="1"/>
    <s v="Home"/>
    <s v="KARULE"/>
    <s v="LUWERO"/>
    <s v="UGA"/>
    <n v="2"/>
    <s v="Work"/>
    <x v="8"/>
    <n v="3000"/>
    <n v="75"/>
    <x v="0"/>
    <n v="0.9"/>
    <x v="3"/>
    <n v="6"/>
    <s v="Businessman"/>
    <n v="3"/>
    <x v="0"/>
    <n v="4"/>
    <n v="2"/>
    <n v="1"/>
    <n v="2"/>
    <n v="2"/>
    <s v="Y"/>
    <n v="1000"/>
    <x v="1"/>
  </r>
  <r>
    <d v="2019-10-25T00:00:00"/>
    <d v="1899-12-30T09:25:00"/>
    <m/>
    <s v="D"/>
    <n v="2"/>
    <s v="Road Vehicle"/>
    <n v="1"/>
    <x v="0"/>
    <x v="1"/>
    <n v="2"/>
    <x v="1"/>
    <s v="KARUMA"/>
    <s v="KIRYANDONGO"/>
    <s v="UGA"/>
    <n v="2"/>
    <s v="Work"/>
    <s v="KAMPALA"/>
    <s v="KAMPALA"/>
    <s v="UGA"/>
    <n v="2"/>
    <s v="Work"/>
    <x v="5"/>
    <n v="200000"/>
    <n v="200"/>
    <x v="3"/>
    <n v="4"/>
    <x v="0"/>
    <n v="6"/>
    <s v="Businessman"/>
    <n v="5"/>
    <x v="4"/>
    <n v="4"/>
    <n v="2"/>
    <n v="2"/>
    <n v="1"/>
    <n v="1"/>
    <s v="Y"/>
    <n v="1000"/>
    <x v="1"/>
  </r>
  <r>
    <d v="2019-10-25T00:00:00"/>
    <d v="1899-12-30T10:37:00"/>
    <m/>
    <s v="D"/>
    <n v="2"/>
    <s v="Road Vehicle"/>
    <n v="1"/>
    <x v="0"/>
    <x v="1"/>
    <n v="2"/>
    <x v="1"/>
    <s v="NTINDA"/>
    <s v="KAMPALA"/>
    <s v="UGA"/>
    <n v="2"/>
    <s v="Work"/>
    <s v="LUWERO"/>
    <s v="LUWERO"/>
    <s v="UGA"/>
    <n v="2"/>
    <s v="Work"/>
    <x v="5"/>
    <n v="40000"/>
    <n v="100"/>
    <x v="2"/>
    <n v="2"/>
    <x v="1"/>
    <n v="6"/>
    <s v="Businessman"/>
    <n v="3"/>
    <x v="0"/>
    <n v="4"/>
    <n v="2"/>
    <n v="3"/>
    <n v="2"/>
    <n v="1"/>
    <s v="Y"/>
    <n v="10000"/>
    <x v="3"/>
  </r>
  <r>
    <d v="2019-10-25T00:00:00"/>
    <d v="1899-12-30T11:20:00"/>
    <m/>
    <s v="D"/>
    <n v="2"/>
    <s v="Road Vehicle"/>
    <n v="1"/>
    <x v="0"/>
    <x v="1"/>
    <n v="2"/>
    <x v="1"/>
    <s v="BOMBO"/>
    <s v="LUWERO"/>
    <s v="UGA"/>
    <n v="2"/>
    <s v="Work"/>
    <s v="NGOMA"/>
    <s v="NAKASEKE"/>
    <s v="UGA"/>
    <n v="2"/>
    <s v="Work"/>
    <x v="5"/>
    <n v="40000"/>
    <n v="200"/>
    <x v="3"/>
    <n v="3"/>
    <x v="1"/>
    <n v="2"/>
    <s v="Manual Labour"/>
    <n v="4"/>
    <x v="3"/>
    <n v="5"/>
    <n v="2"/>
    <n v="5"/>
    <n v="5"/>
    <n v="1"/>
    <s v="Y"/>
    <n v="1000"/>
    <x v="1"/>
  </r>
  <r>
    <d v="2019-10-25T00:00:00"/>
    <d v="1899-12-30T08:12:00"/>
    <m/>
    <s v="P"/>
    <n v="2"/>
    <s v="Road Vehicle"/>
    <n v="1"/>
    <x v="0"/>
    <x v="1"/>
    <n v="2"/>
    <x v="1"/>
    <s v="LUWERO"/>
    <s v="LUWERO"/>
    <s v="UGA"/>
    <n v="2"/>
    <s v="Work"/>
    <s v="KINYOGOGA"/>
    <s v="NAKASEKE"/>
    <s v="UGA"/>
    <n v="2"/>
    <s v="Work"/>
    <x v="5"/>
    <n v="7000"/>
    <n v="54"/>
    <x v="1"/>
    <n v="2.5"/>
    <x v="1"/>
    <n v="7"/>
    <s v="Farmer"/>
    <n v="3"/>
    <x v="0"/>
    <n v="3"/>
    <n v="2"/>
    <n v="4"/>
    <n v="1"/>
    <n v="2"/>
    <s v="Y"/>
    <n v="2000"/>
    <x v="4"/>
  </r>
  <r>
    <d v="2019-10-25T00:00:00"/>
    <d v="1899-12-30T15:23:00"/>
    <m/>
    <s v="P"/>
    <n v="2"/>
    <s v="Road Vehicle"/>
    <n v="1"/>
    <x v="0"/>
    <x v="1"/>
    <n v="2"/>
    <x v="1"/>
    <s v="LUWERO"/>
    <s v="LUWERO"/>
    <s v="UGA"/>
    <n v="1"/>
    <s v="Home"/>
    <s v="BOMBO"/>
    <s v="BOMBO"/>
    <s v="UGA"/>
    <n v="1"/>
    <s v="Home"/>
    <x v="2"/>
    <n v="3000"/>
    <n v="10"/>
    <x v="6"/>
    <n v="0.6"/>
    <x v="3"/>
    <n v="10"/>
    <s v="Other"/>
    <n v="1"/>
    <x v="2"/>
    <n v="1"/>
    <n v="2"/>
    <n v="1"/>
    <n v="2"/>
    <n v="1"/>
    <s v="Y"/>
    <n v="1000"/>
    <x v="1"/>
  </r>
  <r>
    <d v="2019-10-26T00:00:00"/>
    <d v="1899-12-30T07:05:00"/>
    <m/>
    <s v="P"/>
    <n v="2"/>
    <s v="Road Vehicle"/>
    <n v="1"/>
    <x v="0"/>
    <x v="1"/>
    <n v="2"/>
    <x v="1"/>
    <s v="KAMPALA"/>
    <s v="KAMPALA"/>
    <s v="UGA"/>
    <n v="2"/>
    <s v="Work"/>
    <s v="KATOKE"/>
    <s v="NAKASEKE"/>
    <s v="UGA"/>
    <n v="1"/>
    <s v="Home"/>
    <x v="1"/>
    <n v="7000"/>
    <n v="48"/>
    <x v="1"/>
    <n v="2"/>
    <x v="1"/>
    <n v="10"/>
    <s v="Other"/>
    <n v="1"/>
    <x v="2"/>
    <n v="2"/>
    <n v="1"/>
    <n v="2"/>
    <n v="1"/>
    <n v="1"/>
    <s v="Y"/>
    <n v="1000"/>
    <x v="1"/>
  </r>
  <r>
    <d v="2019-10-26T00:00:00"/>
    <d v="1899-12-30T16:54:00"/>
    <m/>
    <s v="D"/>
    <n v="2"/>
    <s v="Road Vehicle"/>
    <n v="1"/>
    <x v="0"/>
    <x v="1"/>
    <n v="2"/>
    <x v="1"/>
    <s v="KABALAGALA"/>
    <s v="KAMPALA"/>
    <s v="UGA"/>
    <n v="1"/>
    <s v="Home"/>
    <s v="LUWERO"/>
    <s v="LUWERO"/>
    <s v="UGA"/>
    <n v="1"/>
    <s v="Home"/>
    <x v="2"/>
    <n v="100000"/>
    <n v="68"/>
    <x v="1"/>
    <n v="1"/>
    <x v="2"/>
    <n v="10"/>
    <s v="Other"/>
    <n v="1"/>
    <x v="2"/>
    <n v="1"/>
    <n v="2"/>
    <n v="1"/>
    <n v="1"/>
    <n v="2"/>
    <s v="Y"/>
    <n v="1000"/>
    <x v="1"/>
  </r>
  <r>
    <d v="2019-10-26T00:00:00"/>
    <d v="1899-12-30T16:15:00"/>
    <m/>
    <s v="D"/>
    <n v="2"/>
    <s v="Road Vehicle"/>
    <n v="1"/>
    <x v="0"/>
    <x v="1"/>
    <n v="2"/>
    <x v="1"/>
    <s v="NAKAWA"/>
    <s v="KAMPALA"/>
    <s v="UGA"/>
    <n v="3"/>
    <s v="Study"/>
    <s v="LUWERO"/>
    <s v="LUWERO"/>
    <s v="UGA"/>
    <n v="8"/>
    <s v="Others"/>
    <x v="16"/>
    <n v="120000"/>
    <n v="64"/>
    <x v="1"/>
    <n v="2"/>
    <x v="1"/>
    <n v="8"/>
    <s v="Student"/>
    <n v="1"/>
    <x v="2"/>
    <n v="1"/>
    <n v="2"/>
    <n v="1"/>
    <n v="2"/>
    <n v="1"/>
    <s v="Y"/>
    <n v="3000"/>
    <x v="5"/>
  </r>
  <r>
    <d v="2019-10-26T00:00:00"/>
    <d v="1899-12-30T12:56:00"/>
    <m/>
    <s v="D"/>
    <n v="2"/>
    <s v="Road Vehicle"/>
    <n v="1"/>
    <x v="0"/>
    <x v="1"/>
    <n v="2"/>
    <x v="1"/>
    <s v="KAMPALA"/>
    <s v="KAMPALA"/>
    <s v="UGA"/>
    <n v="6"/>
    <s v="Leisure/Social"/>
    <s v="KIGUMBA"/>
    <s v="KIRYANDONGO"/>
    <s v="UGA"/>
    <n v="6"/>
    <s v="Leisure/Social"/>
    <x v="17"/>
    <n v="250000"/>
    <n v="220"/>
    <x v="3"/>
    <n v="3"/>
    <x v="1"/>
    <n v="10"/>
    <s v="Other"/>
    <n v="1"/>
    <x v="2"/>
    <n v="1"/>
    <n v="2"/>
    <n v="1"/>
    <n v="1"/>
    <n v="1"/>
    <s v="Y"/>
    <n v="5000"/>
    <x v="2"/>
  </r>
  <r>
    <d v="2019-10-26T00:00:00"/>
    <d v="1899-12-30T11:27:00"/>
    <m/>
    <s v="D"/>
    <n v="2"/>
    <s v="Road Vehicle"/>
    <n v="1"/>
    <x v="0"/>
    <x v="1"/>
    <n v="2"/>
    <x v="1"/>
    <s v="KIGOMA"/>
    <s v="LUWERO"/>
    <s v="UGA"/>
    <n v="1"/>
    <s v="Home"/>
    <s v="KASANA"/>
    <s v="LUWERO"/>
    <s v="UGA"/>
    <n v="2"/>
    <s v="Work"/>
    <x v="8"/>
    <n v="10000"/>
    <n v="15"/>
    <x v="6"/>
    <n v="0.7"/>
    <x v="3"/>
    <n v="5"/>
    <s v="Professional"/>
    <n v="2"/>
    <x v="1"/>
    <n v="1"/>
    <n v="1"/>
    <n v="3"/>
    <n v="5"/>
    <n v="4"/>
    <s v="Y"/>
    <n v="11000"/>
    <x v="3"/>
  </r>
  <r>
    <d v="2019-10-26T00:00:00"/>
    <d v="1899-12-30T07:32:00"/>
    <m/>
    <s v="D"/>
    <n v="2"/>
    <s v="Road Vehicle"/>
    <n v="1"/>
    <x v="0"/>
    <x v="1"/>
    <n v="2"/>
    <x v="1"/>
    <s v="KIBULI"/>
    <s v="KAMPALA"/>
    <s v="UGA"/>
    <n v="1"/>
    <s v="Home"/>
    <s v="KIZITO"/>
    <s v="LUWERO"/>
    <s v="UGA"/>
    <n v="1"/>
    <m/>
    <x v="18"/>
    <n v="68000"/>
    <m/>
    <x v="4"/>
    <n v="2"/>
    <x v="1"/>
    <n v="7"/>
    <s v="Farmer"/>
    <n v="3"/>
    <x v="0"/>
    <n v="1"/>
    <n v="1"/>
    <n v="1"/>
    <n v="1"/>
    <n v="2"/>
    <s v="Y"/>
    <n v="1000"/>
    <x v="1"/>
  </r>
  <r>
    <m/>
    <d v="1899-12-30T17:05:00"/>
    <m/>
    <s v="D"/>
    <n v="2"/>
    <s v="Road Vehicle"/>
    <n v="1"/>
    <x v="0"/>
    <x v="1"/>
    <n v="2"/>
    <x v="1"/>
    <s v="MASINDI"/>
    <s v="MASINDI"/>
    <s v="UGA"/>
    <n v="2"/>
    <s v="Work"/>
    <s v="KAMPALA"/>
    <s v="KAMPALA"/>
    <s v="UGA"/>
    <n v="1"/>
    <s v="Home"/>
    <x v="1"/>
    <n v="200000"/>
    <n v="250"/>
    <x v="3"/>
    <n v="5"/>
    <x v="0"/>
    <n v="4"/>
    <s v="Office Worker"/>
    <n v="3"/>
    <x v="0"/>
    <n v="2"/>
    <n v="2"/>
    <n v="1"/>
    <n v="2"/>
    <n v="1"/>
    <s v="Y"/>
    <n v="2000"/>
    <x v="4"/>
  </r>
  <r>
    <m/>
    <d v="1899-12-30T13:38:00"/>
    <m/>
    <s v="D"/>
    <n v="2"/>
    <s v="Road Vehicle"/>
    <n v="1"/>
    <x v="0"/>
    <x v="1"/>
    <n v="2"/>
    <x v="1"/>
    <s v="KARUMA"/>
    <s v="KIRYANDONGO"/>
    <s v="UGA"/>
    <n v="1"/>
    <s v="Home"/>
    <s v="KAMPALA"/>
    <s v="KAMPALA"/>
    <s v="UGA"/>
    <n v="2"/>
    <s v="Work"/>
    <x v="8"/>
    <n v="300000"/>
    <n v="340"/>
    <x v="3"/>
    <n v="5"/>
    <x v="0"/>
    <n v="4"/>
    <s v="Office Worker"/>
    <n v="3"/>
    <x v="0"/>
    <n v="1"/>
    <n v="2"/>
    <n v="2"/>
    <n v="1"/>
    <n v="2"/>
    <s v="Y"/>
    <n v="1000"/>
    <x v="1"/>
  </r>
  <r>
    <m/>
    <d v="1899-12-30T07:15:00"/>
    <m/>
    <s v="D"/>
    <n v="2"/>
    <s v="Road Vehicle"/>
    <n v="1"/>
    <x v="0"/>
    <x v="1"/>
    <n v="2"/>
    <x v="1"/>
    <s v="KAWEWETA"/>
    <s v="NAKASEKE"/>
    <s v="UGA"/>
    <n v="1"/>
    <s v="Home"/>
    <s v="LUWERO"/>
    <s v="LUWERO"/>
    <s v="UGA"/>
    <n v="2"/>
    <s v="Work"/>
    <x v="8"/>
    <n v="50000"/>
    <n v="100"/>
    <x v="2"/>
    <n v="2"/>
    <x v="1"/>
    <n v="7"/>
    <s v="Farmer"/>
    <n v="4"/>
    <x v="3"/>
    <n v="5"/>
    <n v="2"/>
    <n v="1"/>
    <n v="2"/>
    <n v="1"/>
    <s v="Y"/>
    <n v="1000"/>
    <x v="1"/>
  </r>
  <r>
    <d v="2019-10-26T00:00:00"/>
    <d v="1899-12-30T14:11:00"/>
    <m/>
    <s v="P"/>
    <n v="2"/>
    <s v="Road Vehicle"/>
    <n v="6"/>
    <x v="1"/>
    <x v="0"/>
    <n v="2"/>
    <x v="1"/>
    <s v="NAKASONGOLA"/>
    <s v="NAKASONGOLA"/>
    <s v="UGA"/>
    <n v="2"/>
    <s v="Work"/>
    <s v="KAMPALA"/>
    <s v="KAMPALA"/>
    <s v="UGA"/>
    <n v="2"/>
    <s v="Work"/>
    <x v="5"/>
    <n v="20000"/>
    <n v="178"/>
    <x v="2"/>
    <n v="3"/>
    <x v="1"/>
    <n v="6"/>
    <s v="Businessman"/>
    <n v="4"/>
    <x v="3"/>
    <n v="1"/>
    <n v="1"/>
    <n v="2"/>
    <n v="1"/>
    <n v="1"/>
    <s v="Y"/>
    <n v="10000"/>
    <x v="3"/>
  </r>
  <r>
    <m/>
    <d v="1899-12-30T13:29:00"/>
    <m/>
    <s v="P"/>
    <n v="2"/>
    <s v="Road Vehicle"/>
    <n v="6"/>
    <x v="1"/>
    <x v="0"/>
    <n v="2"/>
    <x v="1"/>
    <s v="NEBI"/>
    <s v="NEBI"/>
    <s v="UGA"/>
    <n v="1"/>
    <s v="Home"/>
    <s v="KAMPALA"/>
    <s v="KAMPALA"/>
    <s v="UGA"/>
    <n v="1"/>
    <s v="Home"/>
    <x v="2"/>
    <n v="25000"/>
    <n v="450"/>
    <x v="3"/>
    <n v="7"/>
    <x v="0"/>
    <n v="5"/>
    <s v="Professional"/>
    <n v="5"/>
    <x v="4"/>
    <n v="2"/>
    <n v="1"/>
    <n v="2"/>
    <n v="1"/>
    <n v="2"/>
    <s v="Y"/>
    <n v="1000"/>
    <x v="1"/>
  </r>
  <r>
    <d v="2019-10-24T00:00:00"/>
    <d v="1899-12-30T10:04:00"/>
    <m/>
    <s v="P"/>
    <n v="2"/>
    <s v="Road Vehicle"/>
    <n v="6"/>
    <x v="1"/>
    <x v="1"/>
    <n v="2"/>
    <x v="1"/>
    <s v="KAMPALA"/>
    <s v="KAMPALA"/>
    <s v="UGA"/>
    <n v="3"/>
    <s v="Study"/>
    <s v="KIGUMABA"/>
    <s v="MASINDI"/>
    <s v="UGA"/>
    <n v="1"/>
    <s v="Home"/>
    <x v="9"/>
    <n v="20000"/>
    <n v="205"/>
    <x v="3"/>
    <n v="3.5"/>
    <x v="0"/>
    <n v="1"/>
    <s v="Unemployed"/>
    <n v="1"/>
    <x v="2"/>
    <n v="4"/>
    <n v="1"/>
    <n v="2"/>
    <n v="1"/>
    <n v="3"/>
    <s v="Y"/>
    <n v="500"/>
    <x v="0"/>
  </r>
  <r>
    <d v="2019-10-24T00:00:00"/>
    <d v="1899-12-30T11:05:00"/>
    <m/>
    <s v="P"/>
    <n v="2"/>
    <s v="Road Vehicle"/>
    <n v="6"/>
    <x v="1"/>
    <x v="1"/>
    <n v="2"/>
    <x v="1"/>
    <s v="LUWERO"/>
    <s v="LUWERO"/>
    <s v="UGA"/>
    <n v="7"/>
    <s v="Hospital"/>
    <s v="BOMBO"/>
    <s v="BOMBO"/>
    <s v="UGA"/>
    <n v="1"/>
    <s v="Home"/>
    <x v="19"/>
    <n v="3000"/>
    <n v="35"/>
    <x v="5"/>
    <n v="0.5"/>
    <x v="3"/>
    <n v="10"/>
    <s v="Other"/>
    <n v="1"/>
    <x v="2"/>
    <n v="1"/>
    <n v="2"/>
    <n v="4"/>
    <n v="2"/>
    <n v="3"/>
    <s v="Y"/>
    <m/>
    <x v="0"/>
  </r>
  <r>
    <d v="2019-10-25T00:00:00"/>
    <d v="1899-12-30T12:58:00"/>
    <m/>
    <s v="P"/>
    <n v="2"/>
    <s v="Road Vehicle"/>
    <n v="6"/>
    <x v="1"/>
    <x v="1"/>
    <n v="2"/>
    <x v="1"/>
    <s v="KOLOKO"/>
    <s v="KOLOKO"/>
    <s v="UGA"/>
    <n v="2"/>
    <s v="Work"/>
    <s v="LUWERO"/>
    <s v="LUWERO"/>
    <s v="UGA"/>
    <n v="2"/>
    <s v="Work"/>
    <x v="5"/>
    <n v="35000"/>
    <n v="500"/>
    <x v="3"/>
    <n v="9"/>
    <x v="0"/>
    <n v="5"/>
    <s v="Professional"/>
    <n v="2"/>
    <x v="1"/>
    <n v="2"/>
    <n v="1"/>
    <n v="2"/>
    <n v="1"/>
    <n v="2"/>
    <s v="Y"/>
    <n v="500"/>
    <x v="0"/>
  </r>
  <r>
    <d v="2019-10-25T00:00:00"/>
    <d v="1899-12-30T09:08:00"/>
    <m/>
    <s v="P"/>
    <n v="2"/>
    <s v="Road Vehicle"/>
    <n v="6"/>
    <x v="1"/>
    <x v="1"/>
    <n v="2"/>
    <x v="1"/>
    <s v="KAMPALA"/>
    <s v="KAMPALA"/>
    <s v="UGA"/>
    <n v="2"/>
    <s v="Work"/>
    <s v="LIRA"/>
    <s v="LIRA"/>
    <s v="UGA"/>
    <n v="2"/>
    <s v="Work"/>
    <x v="5"/>
    <n v="25000"/>
    <n v="260"/>
    <x v="3"/>
    <n v="5"/>
    <x v="0"/>
    <n v="6"/>
    <s v="Businessman"/>
    <n v="3"/>
    <x v="0"/>
    <n v="1"/>
    <n v="2"/>
    <n v="2"/>
    <n v="1"/>
    <n v="2"/>
    <s v="Y"/>
    <n v="1000"/>
    <x v="1"/>
  </r>
  <r>
    <d v="2019-10-25T00:00:00"/>
    <d v="1899-12-30T09:24:00"/>
    <m/>
    <s v="P"/>
    <n v="2"/>
    <s v="Road Vehicle"/>
    <n v="6"/>
    <x v="1"/>
    <x v="1"/>
    <n v="2"/>
    <x v="1"/>
    <s v="KAMPALA"/>
    <s v="KAMPALA"/>
    <s v="UGA"/>
    <n v="4"/>
    <s v="Commercial"/>
    <s v="GULU"/>
    <s v="GULU"/>
    <s v="UGA"/>
    <n v="2"/>
    <s v="Work"/>
    <x v="20"/>
    <n v="25000"/>
    <n v="268"/>
    <x v="3"/>
    <n v="6"/>
    <x v="0"/>
    <n v="6"/>
    <s v="Businessman"/>
    <n v="4"/>
    <x v="3"/>
    <n v="4"/>
    <n v="3"/>
    <n v="1"/>
    <n v="2"/>
    <n v="1"/>
    <s v="Y"/>
    <n v="2000"/>
    <x v="4"/>
  </r>
  <r>
    <d v="2019-10-25T00:00:00"/>
    <d v="1899-12-30T16:32:00"/>
    <m/>
    <s v="P"/>
    <n v="2"/>
    <s v="Road Vehicle"/>
    <n v="6"/>
    <x v="1"/>
    <x v="1"/>
    <n v="2"/>
    <x v="1"/>
    <s v="ARUA"/>
    <s v="ARUA"/>
    <s v="UGA"/>
    <n v="2"/>
    <s v="Work"/>
    <s v="LUWERO"/>
    <s v="LUWERO"/>
    <s v="UGA"/>
    <n v="2"/>
    <s v="Work"/>
    <x v="5"/>
    <n v="30000"/>
    <n v="520"/>
    <x v="3"/>
    <n v="5"/>
    <x v="0"/>
    <n v="5"/>
    <s v="Professional"/>
    <n v="2"/>
    <x v="1"/>
    <n v="1"/>
    <n v="1"/>
    <n v="1"/>
    <n v="7"/>
    <n v="1"/>
    <s v="Y"/>
    <n v="7000"/>
    <x v="2"/>
  </r>
  <r>
    <d v="2019-10-25T00:00:00"/>
    <d v="1899-12-30T11:19:00"/>
    <m/>
    <s v="P"/>
    <n v="2"/>
    <s v="Road Vehicle"/>
    <n v="6"/>
    <x v="1"/>
    <x v="1"/>
    <n v="2"/>
    <x v="1"/>
    <s v="BONDO"/>
    <s v="ARUA"/>
    <s v="UGA"/>
    <n v="1"/>
    <s v="Home"/>
    <s v="KAMPALA"/>
    <s v="KAMPALA"/>
    <s v="UGA"/>
    <n v="2"/>
    <s v="Work"/>
    <x v="8"/>
    <n v="35000"/>
    <n v="507"/>
    <x v="3"/>
    <n v="8"/>
    <x v="0"/>
    <n v="4"/>
    <s v="Office Worker"/>
    <n v="3"/>
    <x v="0"/>
    <n v="1"/>
    <n v="1"/>
    <n v="2"/>
    <n v="1"/>
    <n v="2"/>
    <s v="Y"/>
    <n v="6000"/>
    <x v="2"/>
  </r>
  <r>
    <d v="2019-10-26T00:00:00"/>
    <d v="1899-12-30T14:00:00"/>
    <m/>
    <s v="P"/>
    <n v="2"/>
    <s v="Road Vehicle"/>
    <n v="6"/>
    <x v="1"/>
    <x v="1"/>
    <n v="2"/>
    <x v="1"/>
    <s v="LUWERO"/>
    <s v="LUWERO"/>
    <s v="UGA"/>
    <n v="2"/>
    <s v="Work"/>
    <s v="GULU"/>
    <s v="GULU"/>
    <s v="UGA"/>
    <n v="1"/>
    <s v="Home"/>
    <x v="1"/>
    <n v="25000"/>
    <n v="268"/>
    <x v="3"/>
    <n v="6"/>
    <x v="0"/>
    <n v="4"/>
    <s v="Office Worker"/>
    <n v="4"/>
    <x v="3"/>
    <n v="4"/>
    <n v="2"/>
    <n v="1"/>
    <n v="2"/>
    <n v="1"/>
    <s v="Y"/>
    <n v="1000"/>
    <x v="1"/>
  </r>
  <r>
    <d v="2019-10-26T00:00:00"/>
    <d v="1899-12-30T16:31:00"/>
    <m/>
    <s v="P"/>
    <n v="2"/>
    <s v="Road Vehicle"/>
    <n v="6"/>
    <x v="1"/>
    <x v="1"/>
    <n v="2"/>
    <x v="1"/>
    <s v="APAC"/>
    <s v="APAC"/>
    <s v="UGA"/>
    <n v="1"/>
    <s v="Home"/>
    <s v="WABULENZI"/>
    <s v="LUWERO"/>
    <s v="UGA"/>
    <n v="6"/>
    <s v="Leisure/Social"/>
    <x v="3"/>
    <n v="25000"/>
    <n v="459"/>
    <x v="3"/>
    <n v="8"/>
    <x v="0"/>
    <n v="10"/>
    <s v="Other"/>
    <n v="1"/>
    <x v="2"/>
    <n v="3"/>
    <n v="1"/>
    <n v="2"/>
    <n v="1"/>
    <n v="1"/>
    <s v="Y"/>
    <n v="0"/>
    <x v="0"/>
  </r>
  <r>
    <d v="2019-10-26T00:00:00"/>
    <d v="1899-12-30T16:05:00"/>
    <m/>
    <s v="D"/>
    <n v="2"/>
    <s v="Road Vehicle"/>
    <n v="6"/>
    <x v="1"/>
    <x v="1"/>
    <n v="2"/>
    <x v="1"/>
    <s v="LIRA"/>
    <s v="LIRA"/>
    <s v="UGA"/>
    <n v="2"/>
    <s v="Work"/>
    <s v="KAMPALA"/>
    <s v="KAMPALA"/>
    <s v="UGA"/>
    <n v="2"/>
    <s v="Work"/>
    <x v="5"/>
    <n v="25000"/>
    <n v="407"/>
    <x v="3"/>
    <n v="6"/>
    <x v="0"/>
    <n v="2"/>
    <s v="Manual Labour"/>
    <n v="4"/>
    <x v="3"/>
    <n v="1"/>
    <n v="1"/>
    <n v="2"/>
    <n v="1"/>
    <n v="3"/>
    <s v="Y"/>
    <n v="6000"/>
    <x v="2"/>
  </r>
  <r>
    <d v="2019-10-26T00:00:00"/>
    <d v="1899-12-30T09:57:00"/>
    <m/>
    <s v="P"/>
    <n v="2"/>
    <s v="Road Vehicle"/>
    <n v="6"/>
    <x v="1"/>
    <x v="1"/>
    <n v="2"/>
    <x v="1"/>
    <s v="ADUKU"/>
    <s v="APAC"/>
    <s v="UGA"/>
    <n v="3"/>
    <s v="Study"/>
    <s v="BOMBO"/>
    <s v="LUWERO"/>
    <s v="UGA"/>
    <n v="1"/>
    <s v="Home"/>
    <x v="9"/>
    <n v="25000"/>
    <n v="410"/>
    <x v="3"/>
    <n v="6"/>
    <x v="0"/>
    <n v="9"/>
    <s v="Retired"/>
    <n v="2"/>
    <x v="1"/>
    <n v="1"/>
    <n v="1"/>
    <n v="4"/>
    <n v="1"/>
    <n v="3"/>
    <s v="Y"/>
    <n v="2000"/>
    <x v="4"/>
  </r>
  <r>
    <d v="2019-10-24T00:00:00"/>
    <d v="1899-12-30T10:47:00"/>
    <m/>
    <s v="D"/>
    <n v="2"/>
    <s v="Road Vehicle"/>
    <n v="7"/>
    <x v="2"/>
    <x v="1"/>
    <n v="2"/>
    <x v="1"/>
    <s v="MATUGA"/>
    <s v="WAKISO"/>
    <s v="UGA"/>
    <n v="2"/>
    <s v="Work"/>
    <s v="LUWERO"/>
    <s v="LUWERO"/>
    <s v="UGA"/>
    <n v="2"/>
    <s v="Work"/>
    <x v="5"/>
    <n v="40000"/>
    <n v="32"/>
    <x v="5"/>
    <n v="1"/>
    <x v="2"/>
    <n v="2"/>
    <s v="Manual Labour"/>
    <n v="2"/>
    <x v="1"/>
    <n v="1"/>
    <n v="4"/>
    <n v="1"/>
    <n v="1"/>
    <n v="2"/>
    <s v="Y"/>
    <n v="4000"/>
    <x v="5"/>
  </r>
  <r>
    <d v="2019-10-24T00:00:00"/>
    <d v="1899-12-30T08:32:00"/>
    <m/>
    <s v="P"/>
    <n v="2"/>
    <s v="Road Vehicle"/>
    <n v="7"/>
    <x v="2"/>
    <x v="1"/>
    <n v="2"/>
    <x v="1"/>
    <s v="KASANA"/>
    <s v="LUWERO"/>
    <s v="UGA"/>
    <n v="2"/>
    <s v="Work"/>
    <s v="MATUGA"/>
    <s v="WAKISO"/>
    <s v="UGA"/>
    <n v="2"/>
    <s v="Work"/>
    <x v="5"/>
    <n v="5000"/>
    <n v="37"/>
    <x v="5"/>
    <n v="1"/>
    <x v="2"/>
    <n v="4"/>
    <s v="Office Worker"/>
    <n v="3"/>
    <x v="0"/>
    <n v="4"/>
    <n v="1"/>
    <n v="2"/>
    <n v="1"/>
    <m/>
    <s v="Y"/>
    <n v="2000"/>
    <x v="4"/>
  </r>
  <r>
    <d v="2019-10-26T00:00:00"/>
    <d v="1899-12-30T11:56:00"/>
    <m/>
    <s v="P"/>
    <n v="2"/>
    <s v="Road Vehicle"/>
    <n v="7"/>
    <x v="2"/>
    <x v="1"/>
    <n v="2"/>
    <x v="1"/>
    <s v="LUWERO"/>
    <s v="LUWERO"/>
    <s v="UGA"/>
    <n v="4"/>
    <s v="Commercial"/>
    <s v="MATUGA"/>
    <s v="WAKISO"/>
    <s v="UGA"/>
    <n v="4"/>
    <s v="Commercial"/>
    <x v="13"/>
    <n v="3000"/>
    <n v="60"/>
    <x v="1"/>
    <n v="0.7"/>
    <x v="3"/>
    <n v="10"/>
    <s v="Other"/>
    <n v="1"/>
    <x v="2"/>
    <n v="4"/>
    <n v="2"/>
    <n v="5"/>
    <n v="4"/>
    <n v="1"/>
    <s v="Y"/>
    <n v="1000"/>
    <x v="1"/>
  </r>
  <r>
    <d v="2019-10-26T00:00:00"/>
    <d v="1899-12-30T11:41:00"/>
    <m/>
    <s v="D"/>
    <n v="2"/>
    <s v="Road Vehicle"/>
    <n v="7"/>
    <x v="2"/>
    <x v="1"/>
    <n v="2"/>
    <x v="1"/>
    <s v="KINONI"/>
    <s v="GOMBA"/>
    <s v="UGA"/>
    <n v="1"/>
    <s v="Home"/>
    <s v="LUWERO"/>
    <s v="LUWERO"/>
    <s v="UGA"/>
    <n v="4"/>
    <s v="Commercial"/>
    <x v="12"/>
    <n v="60000"/>
    <n v="34"/>
    <x v="5"/>
    <n v="1"/>
    <x v="2"/>
    <n v="6"/>
    <s v="Businessman"/>
    <n v="3"/>
    <x v="0"/>
    <n v="4"/>
    <n v="4"/>
    <n v="1"/>
    <n v="2"/>
    <n v="1"/>
    <s v="Y"/>
    <n v="3000"/>
    <x v="5"/>
  </r>
  <r>
    <d v="2019-10-26T00:00:00"/>
    <d v="1899-12-30T11:36:00"/>
    <m/>
    <s v="D"/>
    <n v="2"/>
    <s v="Road Vehicle"/>
    <n v="7"/>
    <x v="2"/>
    <x v="1"/>
    <n v="2"/>
    <x v="1"/>
    <s v="BWAISE"/>
    <s v="KAMPALA"/>
    <s v="UGA"/>
    <n v="1"/>
    <s v="Home"/>
    <s v="LUWERO"/>
    <s v="LUWERO"/>
    <s v="UGA"/>
    <n v="2"/>
    <s v="Work"/>
    <x v="8"/>
    <n v="150000"/>
    <n v="160"/>
    <x v="2"/>
    <n v="4"/>
    <x v="0"/>
    <n v="6"/>
    <s v="Businessman"/>
    <n v="1"/>
    <x v="2"/>
    <n v="4"/>
    <n v="5"/>
    <n v="5"/>
    <n v="4"/>
    <n v="2"/>
    <s v="Y"/>
    <n v="1500"/>
    <x v="1"/>
  </r>
  <r>
    <d v="2019-10-26T00:00:00"/>
    <d v="1899-12-30T09:26:00"/>
    <m/>
    <s v="D"/>
    <n v="2"/>
    <s v="Road Vehicle"/>
    <n v="7"/>
    <x v="2"/>
    <x v="1"/>
    <n v="2"/>
    <x v="1"/>
    <s v="LUWERO"/>
    <s v="LUWERO"/>
    <s v="UGA"/>
    <n v="1"/>
    <s v="Home"/>
    <s v="BUKOTO"/>
    <s v="KAMPALA"/>
    <s v="UGA"/>
    <n v="2"/>
    <s v="Work"/>
    <x v="8"/>
    <n v="200000"/>
    <m/>
    <x v="4"/>
    <n v="2.5"/>
    <x v="1"/>
    <n v="5"/>
    <s v="Professional"/>
    <n v="3"/>
    <x v="0"/>
    <n v="1"/>
    <n v="2"/>
    <n v="5"/>
    <n v="1"/>
    <n v="1"/>
    <s v="Y"/>
    <n v="1000"/>
    <x v="1"/>
  </r>
  <r>
    <d v="2019-10-26T00:00:00"/>
    <d v="1899-12-30T08:26:00"/>
    <m/>
    <s v="D"/>
    <n v="2"/>
    <s v="Road Vehicle"/>
    <n v="7"/>
    <x v="2"/>
    <x v="1"/>
    <n v="2"/>
    <x v="1"/>
    <s v="NTINDA"/>
    <s v="KAMPALA"/>
    <s v="UGA"/>
    <n v="2"/>
    <s v="Work"/>
    <s v="LUWERO"/>
    <s v="LUWERO"/>
    <s v="UGA"/>
    <n v="2"/>
    <s v="Work"/>
    <x v="5"/>
    <n v="90000"/>
    <m/>
    <x v="4"/>
    <n v="3"/>
    <x v="1"/>
    <n v="6"/>
    <s v="Businessman"/>
    <n v="2"/>
    <x v="1"/>
    <n v="1"/>
    <n v="1"/>
    <n v="1"/>
    <n v="1"/>
    <n v="1"/>
    <s v="Y"/>
    <n v="1500"/>
    <x v="1"/>
  </r>
  <r>
    <d v="2019-10-26T00:00:00"/>
    <d v="1899-12-30T14:00:00"/>
    <m/>
    <s v="D"/>
    <n v="2"/>
    <s v="Road Vehicle"/>
    <n v="7"/>
    <x v="2"/>
    <x v="1"/>
    <n v="2"/>
    <x v="1"/>
    <s v="LIRA"/>
    <s v="LIRA"/>
    <s v="UGA"/>
    <n v="1"/>
    <s v="Home"/>
    <s v="KASANA"/>
    <s v="LUWERO"/>
    <s v="UGA"/>
    <n v="1"/>
    <s v="Home"/>
    <x v="2"/>
    <n v="200000"/>
    <m/>
    <x v="4"/>
    <n v="3"/>
    <x v="1"/>
    <n v="5"/>
    <s v="Professional"/>
    <n v="2"/>
    <x v="1"/>
    <n v="1"/>
    <n v="5"/>
    <n v="1"/>
    <n v="1"/>
    <n v="1"/>
    <s v="Y"/>
    <n v="10000"/>
    <x v="3"/>
  </r>
  <r>
    <m/>
    <d v="1899-12-30T12:19:00"/>
    <m/>
    <s v="D"/>
    <n v="2"/>
    <s v="Road Vehicle"/>
    <n v="7"/>
    <x v="2"/>
    <x v="1"/>
    <n v="2"/>
    <x v="1"/>
    <s v="GULU"/>
    <s v="GULU"/>
    <s v="UGA"/>
    <n v="2"/>
    <s v="Work"/>
    <s v="KAMPALA"/>
    <s v="KAMPALA"/>
    <s v="UGA"/>
    <n v="1"/>
    <s v="Home"/>
    <x v="1"/>
    <n v="900000"/>
    <n v="460"/>
    <x v="3"/>
    <n v="7"/>
    <x v="0"/>
    <n v="4"/>
    <s v="Office Worker"/>
    <n v="3"/>
    <x v="0"/>
    <n v="5"/>
    <n v="2"/>
    <n v="2"/>
    <n v="1"/>
    <n v="1"/>
    <s v="Y"/>
    <n v="1000"/>
    <x v="1"/>
  </r>
  <r>
    <d v="2019-10-25T00:00:00"/>
    <d v="1899-12-30T09:55:00"/>
    <m/>
    <s v="P"/>
    <n v="2"/>
    <s v="Road Vehicle"/>
    <n v="5"/>
    <x v="5"/>
    <x v="1"/>
    <n v="2"/>
    <x v="1"/>
    <s v="KARUMA"/>
    <s v="KIRYANDONGO"/>
    <s v="UGA"/>
    <n v="2"/>
    <s v="Work"/>
    <s v="LUWERO"/>
    <s v="LUWERO"/>
    <s v="UGA"/>
    <n v="2"/>
    <s v="Work"/>
    <x v="5"/>
    <n v="20000"/>
    <n v="250"/>
    <x v="3"/>
    <n v="5"/>
    <x v="0"/>
    <n v="6"/>
    <s v="Businessman"/>
    <n v="5"/>
    <x v="4"/>
    <n v="3"/>
    <n v="1"/>
    <n v="5"/>
    <m/>
    <n v="1"/>
    <s v="Y"/>
    <n v="2000"/>
    <x v="4"/>
  </r>
  <r>
    <d v="2019-10-24T00:00:00"/>
    <d v="1899-12-30T07:10:00"/>
    <m/>
    <s v="P"/>
    <n v="2"/>
    <s v="Road Vehicle"/>
    <n v="4"/>
    <x v="3"/>
    <x v="0"/>
    <n v="2"/>
    <x v="1"/>
    <s v="LUWERO"/>
    <s v="LUWERO"/>
    <s v="UGA"/>
    <n v="2"/>
    <s v="Work"/>
    <s v="BWEYALE"/>
    <s v="KIRYANDONGO"/>
    <s v="UGA"/>
    <n v="2"/>
    <s v="Work"/>
    <x v="5"/>
    <n v="10000"/>
    <n v="150"/>
    <x v="2"/>
    <n v="4"/>
    <x v="0"/>
    <n v="2"/>
    <s v="Manual Labour"/>
    <n v="2"/>
    <x v="1"/>
    <n v="5"/>
    <n v="2"/>
    <n v="1"/>
    <n v="2"/>
    <n v="1"/>
    <s v="Y"/>
    <n v="1000"/>
    <x v="1"/>
  </r>
  <r>
    <d v="2019-10-24T00:00:00"/>
    <d v="1899-12-30T08:20:00"/>
    <m/>
    <s v="P"/>
    <n v="2"/>
    <s v="Road Vehicle"/>
    <n v="4"/>
    <x v="3"/>
    <x v="0"/>
    <n v="2"/>
    <x v="1"/>
    <s v="LUWERO"/>
    <s v="LUWERO"/>
    <s v="UGA"/>
    <n v="4"/>
    <s v="Commercial"/>
    <s v="BWEYALE"/>
    <s v="KIRYANDONGO"/>
    <s v="UGA"/>
    <n v="1"/>
    <s v="Home"/>
    <x v="0"/>
    <n v="12000"/>
    <n v="140"/>
    <x v="2"/>
    <n v="5"/>
    <x v="0"/>
    <n v="6"/>
    <s v="Businessman"/>
    <n v="4"/>
    <x v="3"/>
    <n v="5"/>
    <n v="2"/>
    <n v="1"/>
    <n v="2"/>
    <n v="1"/>
    <s v="Y"/>
    <n v="0"/>
    <x v="0"/>
  </r>
  <r>
    <d v="2019-10-24T00:00:00"/>
    <d v="1899-12-30T09:58:00"/>
    <m/>
    <s v="P"/>
    <n v="2"/>
    <s v="Road Vehicle"/>
    <n v="4"/>
    <x v="3"/>
    <x v="0"/>
    <n v="2"/>
    <x v="1"/>
    <s v="KAMPALA"/>
    <s v="KAMPALA"/>
    <s v="UGA"/>
    <n v="4"/>
    <s v="Commercial"/>
    <s v="LUWERO"/>
    <s v="LUWERO"/>
    <s v="UGA"/>
    <n v="1"/>
    <s v="Home"/>
    <x v="0"/>
    <n v="20000"/>
    <n v="219"/>
    <x v="3"/>
    <n v="5"/>
    <x v="0"/>
    <n v="6"/>
    <s v="Businessman"/>
    <n v="3"/>
    <x v="0"/>
    <n v="4"/>
    <n v="2"/>
    <n v="1"/>
    <n v="2"/>
    <n v="1"/>
    <s v="Y"/>
    <n v="1000"/>
    <x v="1"/>
  </r>
  <r>
    <d v="2019-10-25T00:00:00"/>
    <d v="1899-12-30T07:16:00"/>
    <m/>
    <s v="P"/>
    <n v="2"/>
    <s v="Road Vehicle"/>
    <n v="4"/>
    <x v="3"/>
    <x v="0"/>
    <n v="2"/>
    <x v="1"/>
    <s v="LUWERO"/>
    <s v="LUWERO"/>
    <s v="UGA"/>
    <n v="1"/>
    <s v="Home"/>
    <s v="KAMPALA"/>
    <s v="KAMPALA"/>
    <s v="UGA"/>
    <n v="2"/>
    <s v="Work"/>
    <x v="8"/>
    <n v="4000"/>
    <n v="80"/>
    <x v="0"/>
    <n v="1"/>
    <x v="2"/>
    <n v="6"/>
    <s v="Businessman"/>
    <n v="4"/>
    <x v="3"/>
    <n v="3"/>
    <n v="2"/>
    <n v="2"/>
    <n v="1"/>
    <n v="2"/>
    <s v="Y"/>
    <n v="1000"/>
    <x v="1"/>
  </r>
  <r>
    <d v="2019-10-25T00:00:00"/>
    <d v="1899-12-30T08:48:00"/>
    <m/>
    <s v="P"/>
    <n v="2"/>
    <s v="Road Vehicle"/>
    <n v="4"/>
    <x v="3"/>
    <x v="0"/>
    <n v="2"/>
    <x v="1"/>
    <s v="LUWERO"/>
    <s v="LUWERO"/>
    <s v="UGA"/>
    <n v="1"/>
    <s v="Home"/>
    <s v="KAMPALA"/>
    <s v="KAMPALA"/>
    <s v="UGA"/>
    <n v="2"/>
    <s v="Work"/>
    <x v="8"/>
    <n v="4000"/>
    <n v="80"/>
    <x v="0"/>
    <n v="1"/>
    <x v="2"/>
    <n v="2"/>
    <s v="Manual Labour"/>
    <n v="2"/>
    <x v="1"/>
    <n v="5"/>
    <n v="2"/>
    <n v="4"/>
    <n v="1"/>
    <n v="2"/>
    <s v="Y"/>
    <n v="500"/>
    <x v="0"/>
  </r>
  <r>
    <d v="2019-10-25T00:00:00"/>
    <d v="1899-12-30T09:10:00"/>
    <m/>
    <s v="P"/>
    <n v="2"/>
    <s v="Road Vehicle"/>
    <n v="4"/>
    <x v="3"/>
    <x v="0"/>
    <n v="2"/>
    <x v="1"/>
    <s v="MATUGA"/>
    <s v="WAKISO"/>
    <s v="UGA"/>
    <n v="1"/>
    <s v="Home"/>
    <s v="LUWERO"/>
    <s v="LUWERO"/>
    <s v="UGA"/>
    <n v="2"/>
    <s v="Work"/>
    <x v="8"/>
    <n v="3000"/>
    <n v="75"/>
    <x v="0"/>
    <n v="1"/>
    <x v="2"/>
    <n v="6"/>
    <s v="Businessman"/>
    <n v="3"/>
    <x v="0"/>
    <n v="2"/>
    <n v="1"/>
    <n v="2"/>
    <n v="2"/>
    <n v="2"/>
    <s v="Y"/>
    <n v="500"/>
    <x v="0"/>
  </r>
  <r>
    <d v="2019-10-25T00:00:00"/>
    <d v="1899-12-30T11:59:00"/>
    <m/>
    <s v="P"/>
    <n v="2"/>
    <s v="Road Vehicle"/>
    <n v="4"/>
    <x v="3"/>
    <x v="0"/>
    <n v="2"/>
    <x v="1"/>
    <s v="KARULE"/>
    <s v="LUWERO"/>
    <s v="UGA"/>
    <n v="2"/>
    <s v="Work"/>
    <s v="LUWERO"/>
    <s v="LUWERO"/>
    <s v="UGA"/>
    <n v="2"/>
    <s v="Work"/>
    <x v="5"/>
    <n v="3000"/>
    <n v="80"/>
    <x v="0"/>
    <n v="1"/>
    <x v="2"/>
    <n v="6"/>
    <s v="Businessman"/>
    <n v="2"/>
    <x v="1"/>
    <n v="2"/>
    <n v="3"/>
    <n v="2"/>
    <n v="1"/>
    <n v="2"/>
    <s v="Y"/>
    <n v="500"/>
    <x v="0"/>
  </r>
  <r>
    <d v="2019-10-25T00:00:00"/>
    <d v="1899-12-30T16:30:00"/>
    <m/>
    <s v="P"/>
    <n v="2"/>
    <s v="Road Vehicle"/>
    <n v="4"/>
    <x v="3"/>
    <x v="0"/>
    <n v="2"/>
    <x v="1"/>
    <s v="KAMPALA"/>
    <s v="KAMPALA"/>
    <s v="UGA"/>
    <n v="2"/>
    <s v="Work"/>
    <s v="NEBI"/>
    <s v="NEBI"/>
    <s v="UGA"/>
    <n v="1"/>
    <s v="Home"/>
    <x v="1"/>
    <n v="25000"/>
    <m/>
    <x v="4"/>
    <n v="5"/>
    <x v="0"/>
    <n v="6"/>
    <s v="Businessman"/>
    <n v="4"/>
    <x v="3"/>
    <n v="5"/>
    <n v="2"/>
    <n v="1"/>
    <n v="2"/>
    <n v="2"/>
    <s v="Y"/>
    <n v="1000"/>
    <x v="1"/>
  </r>
  <r>
    <d v="2019-10-25T00:00:00"/>
    <d v="1899-12-30T15:25:00"/>
    <m/>
    <s v="P"/>
    <n v="2"/>
    <s v="Road Vehicle"/>
    <n v="4"/>
    <x v="3"/>
    <x v="0"/>
    <n v="2"/>
    <x v="1"/>
    <s v="KINONI"/>
    <s v="GOMBA"/>
    <s v="UGA"/>
    <n v="2"/>
    <s v="Work"/>
    <s v="LUWERO"/>
    <s v="LUWERO"/>
    <s v="UGA"/>
    <n v="2"/>
    <s v="Work"/>
    <x v="5"/>
    <n v="7000"/>
    <n v="80"/>
    <x v="0"/>
    <n v="2.5"/>
    <x v="1"/>
    <n v="6"/>
    <s v="Businessman"/>
    <n v="1"/>
    <x v="2"/>
    <n v="5"/>
    <n v="2"/>
    <n v="1"/>
    <n v="1"/>
    <n v="2"/>
    <s v="Y"/>
    <n v="1000"/>
    <x v="1"/>
  </r>
  <r>
    <d v="2019-10-25T00:00:00"/>
    <d v="1899-12-30T07:40:00"/>
    <m/>
    <s v="P"/>
    <n v="2"/>
    <s v="Road Vehicle"/>
    <n v="4"/>
    <x v="3"/>
    <x v="0"/>
    <n v="2"/>
    <x v="1"/>
    <s v="LUWERO"/>
    <s v="LUWERO"/>
    <s v="UGA"/>
    <n v="1"/>
    <s v="Home"/>
    <s v="RWOMA"/>
    <s v="NAKASEKE"/>
    <s v="UGA"/>
    <n v="6"/>
    <s v="Leisure/Social"/>
    <x v="3"/>
    <n v="10000"/>
    <n v="55"/>
    <x v="1"/>
    <n v="2"/>
    <x v="1"/>
    <n v="1"/>
    <s v="Unemployed"/>
    <n v="1"/>
    <x v="2"/>
    <n v="1"/>
    <n v="3"/>
    <n v="2"/>
    <n v="2"/>
    <n v="1"/>
    <s v="Y"/>
    <n v="1000"/>
    <x v="1"/>
  </r>
  <r>
    <d v="2019-10-25T00:00:00"/>
    <d v="1899-12-30T07:49:00"/>
    <m/>
    <s v="P"/>
    <n v="2"/>
    <s v="Road Vehicle"/>
    <n v="4"/>
    <x v="3"/>
    <x v="0"/>
    <n v="2"/>
    <x v="1"/>
    <s v="LUWERO"/>
    <s v="LUWERO"/>
    <s v="UGA"/>
    <n v="1"/>
    <s v="Home"/>
    <s v="KARUMA"/>
    <s v="NAKASEKE"/>
    <s v="UGA"/>
    <n v="1"/>
    <s v="Home"/>
    <x v="2"/>
    <n v="9000"/>
    <n v="55"/>
    <x v="1"/>
    <n v="2.5"/>
    <x v="1"/>
    <n v="1"/>
    <s v="Unemployed"/>
    <n v="1"/>
    <x v="2"/>
    <n v="5"/>
    <n v="3"/>
    <n v="2"/>
    <n v="2"/>
    <n v="4"/>
    <s v="Y"/>
    <n v="0"/>
    <x v="0"/>
  </r>
  <r>
    <d v="2019-10-25T00:00:00"/>
    <d v="1899-12-30T08:40:00"/>
    <m/>
    <s v="P"/>
    <n v="2"/>
    <s v="Road Vehicle"/>
    <n v="4"/>
    <x v="3"/>
    <x v="0"/>
    <n v="2"/>
    <x v="1"/>
    <s v="LUWERO"/>
    <s v="LUWERO"/>
    <s v="UGA"/>
    <n v="1"/>
    <s v="Home"/>
    <s v="KIGOGWA"/>
    <s v="WAKISO"/>
    <s v="UGA"/>
    <n v="2"/>
    <s v="Work"/>
    <x v="8"/>
    <n v="3000"/>
    <n v="23"/>
    <x v="5"/>
    <n v="0.6"/>
    <x v="3"/>
    <n v="7"/>
    <s v="Farmer"/>
    <n v="3"/>
    <x v="0"/>
    <n v="1"/>
    <n v="2"/>
    <n v="1"/>
    <n v="1"/>
    <n v="2"/>
    <s v="Y"/>
    <n v="0"/>
    <x v="0"/>
  </r>
  <r>
    <d v="2019-10-25T00:00:00"/>
    <d v="1899-12-30T10:38:00"/>
    <m/>
    <s v="P"/>
    <n v="2"/>
    <s v="Road Vehicle"/>
    <n v="4"/>
    <x v="3"/>
    <x v="0"/>
    <n v="2"/>
    <x v="1"/>
    <s v="LUWERO"/>
    <s v="LUWERO"/>
    <s v="UGA"/>
    <n v="4"/>
    <s v="Commercial"/>
    <s v="WACHATO"/>
    <s v="LUWERO"/>
    <s v="UGA"/>
    <n v="1"/>
    <s v="Home"/>
    <x v="0"/>
    <n v="5000"/>
    <n v="64"/>
    <x v="1"/>
    <n v="1"/>
    <x v="2"/>
    <n v="6"/>
    <s v="Businessman"/>
    <n v="3"/>
    <x v="0"/>
    <n v="1"/>
    <n v="2"/>
    <n v="2"/>
    <n v="1"/>
    <n v="1"/>
    <s v="Y"/>
    <n v="1000"/>
    <x v="1"/>
  </r>
  <r>
    <d v="2019-10-25T00:00:00"/>
    <d v="1899-12-30T11:16:00"/>
    <m/>
    <s v="P"/>
    <n v="2"/>
    <s v="Road Vehicle"/>
    <n v="4"/>
    <x v="3"/>
    <x v="0"/>
    <n v="2"/>
    <x v="1"/>
    <s v="KAMPALA"/>
    <s v="KAMPALA"/>
    <s v="UGA"/>
    <n v="4"/>
    <s v="Commercial"/>
    <s v="KIBOKO"/>
    <s v="LUWERO"/>
    <s v="UGA"/>
    <n v="1"/>
    <s v="Home"/>
    <x v="0"/>
    <n v="7000"/>
    <n v="68"/>
    <x v="1"/>
    <n v="2"/>
    <x v="1"/>
    <n v="7"/>
    <s v="Farmer"/>
    <n v="2"/>
    <x v="1"/>
    <n v="5"/>
    <n v="1"/>
    <n v="3"/>
    <n v="2"/>
    <n v="1"/>
    <s v="Y"/>
    <n v="0"/>
    <x v="0"/>
  </r>
  <r>
    <d v="2019-10-25T00:00:00"/>
    <d v="1899-12-30T16:20:00"/>
    <m/>
    <s v="P"/>
    <n v="2"/>
    <s v="Road Vehicle"/>
    <n v="4"/>
    <x v="3"/>
    <x v="0"/>
    <n v="2"/>
    <x v="1"/>
    <s v="KAWEMPE"/>
    <s v="KAMPALA"/>
    <s v="UGA"/>
    <n v="2"/>
    <s v="Work"/>
    <s v="LUWERO"/>
    <s v="LUWERO"/>
    <s v="UGA"/>
    <n v="1"/>
    <s v="Home"/>
    <x v="1"/>
    <n v="5000"/>
    <n v="52"/>
    <x v="1"/>
    <n v="0.7"/>
    <x v="3"/>
    <n v="4"/>
    <s v="Office Worker"/>
    <n v="3"/>
    <x v="0"/>
    <n v="1"/>
    <n v="2"/>
    <n v="1"/>
    <n v="1"/>
    <n v="2"/>
    <s v="Y"/>
    <n v="2000"/>
    <x v="4"/>
  </r>
  <r>
    <d v="2019-10-25T00:00:00"/>
    <d v="1899-12-30T15:09:00"/>
    <m/>
    <s v="P"/>
    <n v="2"/>
    <s v="Road Vehicle"/>
    <n v="4"/>
    <x v="3"/>
    <x v="0"/>
    <n v="2"/>
    <x v="1"/>
    <s v="KAGOMA"/>
    <s v="WAKISO"/>
    <s v="UGA"/>
    <n v="2"/>
    <s v="Work"/>
    <s v="KIGUMABA"/>
    <s v="MASINDI"/>
    <s v="UGA"/>
    <n v="1"/>
    <s v="Home"/>
    <x v="1"/>
    <n v="20000"/>
    <n v="194"/>
    <x v="2"/>
    <n v="2.5"/>
    <x v="1"/>
    <n v="4"/>
    <s v="Office Worker"/>
    <n v="2"/>
    <x v="1"/>
    <n v="1"/>
    <n v="4"/>
    <n v="1"/>
    <n v="2"/>
    <n v="1"/>
    <s v="Y"/>
    <n v="10000"/>
    <x v="3"/>
  </r>
  <r>
    <d v="2019-10-26T00:00:00"/>
    <d v="1899-12-30T07:56:00"/>
    <m/>
    <s v="P"/>
    <n v="2"/>
    <s v="Road Vehicle"/>
    <n v="4"/>
    <x v="3"/>
    <x v="0"/>
    <n v="2"/>
    <x v="1"/>
    <s v="LUWERO"/>
    <s v="LUWERO"/>
    <s v="UGA"/>
    <n v="1"/>
    <s v="Home"/>
    <s v="NAKASERO"/>
    <s v="KAMPALA"/>
    <s v="UGA"/>
    <n v="4"/>
    <s v="Commercial"/>
    <x v="12"/>
    <n v="4000"/>
    <n v="64"/>
    <x v="1"/>
    <n v="1.5"/>
    <x v="2"/>
    <n v="6"/>
    <s v="Businessman"/>
    <n v="3"/>
    <x v="0"/>
    <n v="1"/>
    <n v="2"/>
    <n v="4"/>
    <n v="1"/>
    <n v="3"/>
    <s v="Y"/>
    <n v="2000"/>
    <x v="4"/>
  </r>
  <r>
    <d v="2019-10-26T00:00:00"/>
    <d v="1899-12-30T08:00:00"/>
    <m/>
    <s v="P"/>
    <n v="2"/>
    <s v="Road Vehicle"/>
    <n v="4"/>
    <x v="3"/>
    <x v="0"/>
    <n v="2"/>
    <x v="1"/>
    <s v="LUWERO"/>
    <s v="LUWERO"/>
    <s v="UGA"/>
    <n v="4"/>
    <s v="Commercial"/>
    <s v="KINONI"/>
    <s v="GOMBA"/>
    <s v="UGA"/>
    <n v="1"/>
    <s v="Home"/>
    <x v="0"/>
    <n v="5000"/>
    <n v="48"/>
    <x v="1"/>
    <n v="0.6"/>
    <x v="3"/>
    <n v="6"/>
    <s v="Businessman"/>
    <n v="4"/>
    <x v="3"/>
    <n v="1"/>
    <n v="2"/>
    <n v="3"/>
    <n v="1"/>
    <n v="4"/>
    <s v="Y"/>
    <n v="3000"/>
    <x v="5"/>
  </r>
  <r>
    <d v="2019-10-26T00:00:00"/>
    <d v="1899-12-30T12:00:00"/>
    <m/>
    <s v="P"/>
    <n v="2"/>
    <s v="Road Vehicle"/>
    <n v="4"/>
    <x v="3"/>
    <x v="0"/>
    <n v="2"/>
    <x v="1"/>
    <s v="KINYONGANGA"/>
    <s v="NAKASEKE"/>
    <s v="UGA"/>
    <n v="1"/>
    <s v="Home"/>
    <s v="LUWERO"/>
    <s v="LUWERO"/>
    <s v="UGA"/>
    <n v="4"/>
    <s v="Commercial"/>
    <x v="12"/>
    <n v="7000"/>
    <n v="80"/>
    <x v="0"/>
    <n v="1"/>
    <x v="2"/>
    <n v="6"/>
    <s v="Businessman"/>
    <n v="2"/>
    <x v="1"/>
    <n v="4"/>
    <n v="3"/>
    <n v="5"/>
    <n v="1"/>
    <n v="2"/>
    <s v="Y"/>
    <n v="0"/>
    <x v="0"/>
  </r>
  <r>
    <m/>
    <d v="1899-12-30T16:39:00"/>
    <m/>
    <s v="P"/>
    <n v="2"/>
    <s v="Road Vehicle"/>
    <n v="4"/>
    <x v="3"/>
    <x v="0"/>
    <n v="2"/>
    <x v="1"/>
    <s v="KAMPALA"/>
    <s v="KAMPALA"/>
    <s v="UGA"/>
    <n v="2"/>
    <s v="Work"/>
    <s v="LUWERO"/>
    <s v="LUWERO"/>
    <s v="UGA"/>
    <n v="1"/>
    <s v="Home"/>
    <x v="1"/>
    <n v="4000"/>
    <n v="80"/>
    <x v="0"/>
    <n v="1.5"/>
    <x v="2"/>
    <n v="4"/>
    <s v="Office Worker"/>
    <n v="2"/>
    <x v="1"/>
    <n v="5"/>
    <n v="1"/>
    <n v="2"/>
    <n v="2"/>
    <n v="1"/>
    <s v="Y"/>
    <n v="500"/>
    <x v="0"/>
  </r>
  <r>
    <m/>
    <d v="1899-12-30T15:48:00"/>
    <m/>
    <s v="P"/>
    <n v="2"/>
    <s v="Road Vehicle"/>
    <n v="4"/>
    <x v="3"/>
    <x v="0"/>
    <n v="2"/>
    <x v="1"/>
    <s v="NGOMA"/>
    <s v="NAKASEKE"/>
    <s v="UGA"/>
    <n v="2"/>
    <s v="Work"/>
    <s v="LUWERO"/>
    <s v="LUWERO"/>
    <s v="UGA"/>
    <n v="1"/>
    <s v="Home"/>
    <x v="1"/>
    <n v="10000"/>
    <n v="100"/>
    <x v="2"/>
    <n v="2.5"/>
    <x v="1"/>
    <n v="6"/>
    <s v="Businessman"/>
    <n v="1"/>
    <x v="2"/>
    <n v="5"/>
    <n v="2"/>
    <n v="1"/>
    <n v="2"/>
    <n v="1"/>
    <s v="Y"/>
    <n v="500"/>
    <x v="0"/>
  </r>
  <r>
    <m/>
    <d v="1899-12-30T11:58:00"/>
    <m/>
    <s v="P"/>
    <n v="2"/>
    <s v="Road Vehicle"/>
    <n v="4"/>
    <x v="3"/>
    <x v="0"/>
    <n v="2"/>
    <x v="1"/>
    <s v="KIBOKO"/>
    <s v="NAKASEKE"/>
    <s v="UGA"/>
    <n v="1"/>
    <s v="Home"/>
    <s v="LUWERO"/>
    <s v="LUWERO"/>
    <s v="UGA"/>
    <n v="2"/>
    <s v="Work"/>
    <x v="8"/>
    <n v="3000"/>
    <n v="20"/>
    <x v="5"/>
    <n v="0.8"/>
    <x v="3"/>
    <n v="5"/>
    <s v="Professional"/>
    <n v="5"/>
    <x v="4"/>
    <n v="5"/>
    <n v="2"/>
    <n v="2"/>
    <n v="1"/>
    <n v="2"/>
    <s v="Y"/>
    <n v="1000"/>
    <x v="1"/>
  </r>
  <r>
    <m/>
    <d v="1899-12-30T07:58:00"/>
    <m/>
    <s v="D"/>
    <n v="2"/>
    <s v="Road Vehicle"/>
    <n v="4"/>
    <x v="3"/>
    <x v="0"/>
    <n v="2"/>
    <x v="1"/>
    <s v="KAWEMPE"/>
    <s v="KAMPALA"/>
    <s v="UGA"/>
    <n v="1"/>
    <s v="Home"/>
    <s v="LUWERO"/>
    <s v="LUWERO"/>
    <s v="UGA"/>
    <n v="2"/>
    <s v="Work"/>
    <x v="8"/>
    <n v="30000"/>
    <n v="80"/>
    <x v="0"/>
    <n v="1"/>
    <x v="2"/>
    <n v="4"/>
    <s v="Office Worker"/>
    <n v="4"/>
    <x v="3"/>
    <n v="3"/>
    <n v="2"/>
    <n v="1"/>
    <n v="2"/>
    <n v="2"/>
    <s v="Y"/>
    <n v="1000"/>
    <x v="1"/>
  </r>
  <r>
    <m/>
    <d v="1899-12-30T17:00:00"/>
    <m/>
    <s v="P"/>
    <n v="2"/>
    <s v="Road Vehicle"/>
    <n v="4"/>
    <x v="3"/>
    <x v="0"/>
    <n v="2"/>
    <x v="1"/>
    <s v="MEJEM"/>
    <s v="NAKASONGOLA"/>
    <s v="UGA"/>
    <n v="2"/>
    <s v="Work"/>
    <s v="WATUBA"/>
    <s v="WAKISO"/>
    <s v="UGA"/>
    <n v="2"/>
    <s v="Work"/>
    <x v="5"/>
    <n v="200000"/>
    <n v="508"/>
    <x v="3"/>
    <n v="3"/>
    <x v="1"/>
    <n v="7"/>
    <s v="Farmer"/>
    <n v="2"/>
    <x v="1"/>
    <m/>
    <m/>
    <m/>
    <m/>
    <m/>
    <s v="Y"/>
    <n v="5000"/>
    <x v="2"/>
  </r>
  <r>
    <d v="2019-10-24T00:00:00"/>
    <d v="1899-12-30T09:31:00"/>
    <m/>
    <s v="P"/>
    <n v="2"/>
    <s v="Road Vehicle"/>
    <n v="4"/>
    <x v="3"/>
    <x v="1"/>
    <n v="2"/>
    <x v="1"/>
    <s v="BWEYALE"/>
    <s v="KIRYANDONGO"/>
    <s v="UGA"/>
    <n v="1"/>
    <s v="Home"/>
    <s v="LUWERO"/>
    <s v="LUWERO"/>
    <s v="UGA"/>
    <n v="2"/>
    <s v="Work"/>
    <x v="8"/>
    <n v="12000"/>
    <n v="150"/>
    <x v="2"/>
    <n v="4"/>
    <x v="0"/>
    <n v="4"/>
    <s v="Office Worker"/>
    <n v="3"/>
    <x v="0"/>
    <n v="1"/>
    <n v="1"/>
    <n v="1"/>
    <n v="1"/>
    <n v="2"/>
    <s v="Y"/>
    <n v="0"/>
    <x v="0"/>
  </r>
  <r>
    <d v="2019-10-24T00:00:00"/>
    <d v="1899-12-30T09:31:00"/>
    <m/>
    <s v="P"/>
    <n v="2"/>
    <s v="Road Vehicle"/>
    <n v="4"/>
    <x v="3"/>
    <x v="1"/>
    <n v="2"/>
    <x v="1"/>
    <s v="BWEYALE"/>
    <s v="KIRYANDONGO"/>
    <s v="UGA"/>
    <n v="1"/>
    <s v="Home"/>
    <s v="LUWERO"/>
    <s v="LUWERO"/>
    <s v="UGA"/>
    <n v="2"/>
    <s v="Work"/>
    <x v="8"/>
    <n v="12000"/>
    <n v="150"/>
    <x v="2"/>
    <n v="4"/>
    <x v="0"/>
    <n v="4"/>
    <s v="Office Worker"/>
    <n v="3"/>
    <x v="0"/>
    <n v="1"/>
    <n v="1"/>
    <n v="1"/>
    <n v="1"/>
    <n v="2"/>
    <s v="Y"/>
    <n v="0"/>
    <x v="0"/>
  </r>
  <r>
    <d v="2019-10-24T00:00:00"/>
    <d v="1899-12-30T12:10:00"/>
    <m/>
    <s v="P"/>
    <n v="2"/>
    <s v="Road Vehicle"/>
    <n v="4"/>
    <x v="3"/>
    <x v="1"/>
    <n v="2"/>
    <x v="1"/>
    <s v="KAMPALA"/>
    <s v="KAMPALA"/>
    <s v="UGA"/>
    <n v="2"/>
    <s v="Work"/>
    <s v="KASANA"/>
    <s v="LUWERO"/>
    <s v="UGA"/>
    <n v="2"/>
    <s v="Work"/>
    <x v="5"/>
    <n v="35000"/>
    <n v="325"/>
    <x v="3"/>
    <n v="1.5"/>
    <x v="2"/>
    <n v="2"/>
    <s v="Manual Labour"/>
    <n v="2"/>
    <x v="1"/>
    <n v="1"/>
    <n v="1"/>
    <n v="2"/>
    <n v="1"/>
    <n v="3"/>
    <s v="Y"/>
    <n v="5000"/>
    <x v="2"/>
  </r>
  <r>
    <d v="2019-10-24T00:00:00"/>
    <d v="1899-12-30T07:00:00"/>
    <m/>
    <s v="P"/>
    <n v="2"/>
    <s v="Road Vehicle"/>
    <n v="4"/>
    <x v="3"/>
    <x v="1"/>
    <n v="2"/>
    <x v="1"/>
    <s v="LUWERO"/>
    <s v="LUWERO"/>
    <s v="UGA"/>
    <n v="2"/>
    <s v="Work"/>
    <s v="KAMPALA"/>
    <s v="KAMPALA"/>
    <s v="UGA"/>
    <n v="2"/>
    <s v="Work"/>
    <x v="5"/>
    <n v="50000"/>
    <n v="40"/>
    <x v="1"/>
    <n v="0.7"/>
    <x v="3"/>
    <n v="2"/>
    <s v="Manual Labour"/>
    <n v="1"/>
    <x v="2"/>
    <n v="1"/>
    <n v="5"/>
    <n v="1"/>
    <n v="1"/>
    <n v="2"/>
    <s v="Y"/>
    <n v="5000"/>
    <x v="2"/>
  </r>
  <r>
    <d v="2019-10-24T00:00:00"/>
    <d v="1899-12-30T07:57:00"/>
    <m/>
    <s v="D"/>
    <n v="2"/>
    <s v="Road Vehicle"/>
    <n v="4"/>
    <x v="3"/>
    <x v="1"/>
    <n v="2"/>
    <x v="1"/>
    <s v="LUWERO"/>
    <s v="LUWERO"/>
    <s v="UGA"/>
    <n v="2"/>
    <s v="Work"/>
    <s v="KAMPALA"/>
    <s v="KAMPALA"/>
    <s v="UGA"/>
    <n v="2"/>
    <s v="Work"/>
    <x v="5"/>
    <n v="52000"/>
    <n v="62"/>
    <x v="1"/>
    <n v="1.5"/>
    <x v="2"/>
    <n v="3"/>
    <s v="Artisan/Domestic"/>
    <n v="2"/>
    <x v="1"/>
    <n v="4"/>
    <n v="5"/>
    <n v="4"/>
    <n v="1"/>
    <n v="1"/>
    <s v="Y"/>
    <n v="1000"/>
    <x v="1"/>
  </r>
  <r>
    <d v="2019-10-24T00:00:00"/>
    <d v="1899-12-30T09:30:00"/>
    <m/>
    <s v="P"/>
    <n v="2"/>
    <s v="Road Vehicle"/>
    <n v="4"/>
    <x v="3"/>
    <x v="1"/>
    <n v="2"/>
    <x v="1"/>
    <s v="LUWERO"/>
    <s v="LUWERO"/>
    <s v="UGA"/>
    <n v="3"/>
    <s v="Study"/>
    <s v="LIRA"/>
    <s v="LIRA"/>
    <s v="UGA"/>
    <n v="1"/>
    <s v="Home"/>
    <x v="9"/>
    <n v="20000"/>
    <n v="218"/>
    <x v="3"/>
    <n v="4"/>
    <x v="0"/>
    <n v="8"/>
    <s v="Student"/>
    <n v="1"/>
    <x v="2"/>
    <n v="2"/>
    <n v="3"/>
    <n v="1"/>
    <n v="1"/>
    <n v="2"/>
    <s v="Y"/>
    <n v="1000"/>
    <x v="1"/>
  </r>
  <r>
    <d v="2019-10-24T00:00:00"/>
    <d v="1899-12-30T09:40:00"/>
    <m/>
    <s v="P"/>
    <n v="2"/>
    <s v="Road Vehicle"/>
    <n v="4"/>
    <x v="3"/>
    <x v="1"/>
    <n v="2"/>
    <x v="1"/>
    <s v="KAMPALA"/>
    <s v="KAMPALA"/>
    <s v="UGA"/>
    <n v="4"/>
    <s v="Commercial"/>
    <s v="LUWERO"/>
    <s v="LUWERO"/>
    <s v="UGA"/>
    <n v="4"/>
    <s v="Commercial"/>
    <x v="13"/>
    <n v="5000"/>
    <n v="93"/>
    <x v="0"/>
    <n v="1"/>
    <x v="2"/>
    <n v="6"/>
    <s v="Businessman"/>
    <n v="3"/>
    <x v="0"/>
    <n v="1"/>
    <n v="2"/>
    <n v="3"/>
    <n v="2"/>
    <n v="1"/>
    <s v="Y"/>
    <n v="1000"/>
    <x v="1"/>
  </r>
  <r>
    <d v="2019-10-25T00:00:00"/>
    <d v="1899-12-30T07:10:00"/>
    <m/>
    <s v="P"/>
    <n v="2"/>
    <s v="Road Vehicle"/>
    <n v="4"/>
    <x v="3"/>
    <x v="1"/>
    <n v="2"/>
    <x v="1"/>
    <s v="LUWERO"/>
    <s v="LUWERO"/>
    <s v="UGA"/>
    <n v="1"/>
    <s v="Home"/>
    <s v="KAMPALA"/>
    <s v="KAMPALA"/>
    <s v="UGA"/>
    <n v="2"/>
    <s v="Work"/>
    <x v="8"/>
    <n v="4000"/>
    <n v="80"/>
    <x v="0"/>
    <n v="1"/>
    <x v="2"/>
    <n v="6"/>
    <s v="Businessman"/>
    <n v="4"/>
    <x v="3"/>
    <n v="5"/>
    <n v="2"/>
    <n v="2"/>
    <n v="2"/>
    <n v="1"/>
    <s v="Y"/>
    <n v="2000"/>
    <x v="4"/>
  </r>
  <r>
    <d v="2019-10-25T00:00:00"/>
    <d v="1899-12-30T07:22:00"/>
    <m/>
    <s v="P"/>
    <n v="2"/>
    <s v="Road Vehicle"/>
    <n v="4"/>
    <x v="3"/>
    <x v="1"/>
    <n v="2"/>
    <x v="1"/>
    <s v="LUWERO"/>
    <s v="LUWERO"/>
    <s v="UGA"/>
    <n v="1"/>
    <s v="Home"/>
    <s v="NGOMA"/>
    <s v="NAKASEKE"/>
    <s v="UGA"/>
    <n v="2"/>
    <s v="Work"/>
    <x v="8"/>
    <n v="10000"/>
    <n v="100"/>
    <x v="2"/>
    <n v="4"/>
    <x v="0"/>
    <n v="6"/>
    <s v="Businessman"/>
    <n v="4"/>
    <x v="3"/>
    <n v="5"/>
    <n v="2"/>
    <n v="5"/>
    <n v="2"/>
    <n v="2"/>
    <s v="Y"/>
    <n v="1000"/>
    <x v="1"/>
  </r>
  <r>
    <d v="2019-10-25T00:00:00"/>
    <d v="1899-12-30T07:56:00"/>
    <m/>
    <s v="P"/>
    <n v="2"/>
    <s v="Road Vehicle"/>
    <n v="4"/>
    <x v="3"/>
    <x v="1"/>
    <n v="2"/>
    <x v="1"/>
    <s v="LUWERO"/>
    <s v="LUWERO"/>
    <s v="UGA"/>
    <n v="1"/>
    <s v="Home"/>
    <s v="KAMPALA"/>
    <s v="KAMPALA"/>
    <s v="UGA"/>
    <n v="2"/>
    <s v="Work"/>
    <x v="8"/>
    <n v="4000"/>
    <n v="80"/>
    <x v="0"/>
    <n v="1"/>
    <x v="2"/>
    <n v="6"/>
    <s v="Businessman"/>
    <n v="3"/>
    <x v="0"/>
    <n v="2"/>
    <n v="1"/>
    <n v="1"/>
    <n v="1"/>
    <n v="1"/>
    <s v="Y"/>
    <n v="1000"/>
    <x v="1"/>
  </r>
  <r>
    <d v="2019-10-25T00:00:00"/>
    <d v="1899-12-30T08:15:00"/>
    <m/>
    <s v="D"/>
    <n v="2"/>
    <s v="Road Vehicle"/>
    <n v="4"/>
    <x v="3"/>
    <x v="1"/>
    <n v="2"/>
    <x v="1"/>
    <s v="LUWERO"/>
    <s v="LUWERO"/>
    <s v="UGA"/>
    <n v="2"/>
    <s v="Work"/>
    <s v="KAMPALA"/>
    <s v="KAMPALA"/>
    <s v="UGA"/>
    <n v="2"/>
    <s v="Work"/>
    <x v="5"/>
    <n v="30000"/>
    <n v="80"/>
    <x v="0"/>
    <n v="1"/>
    <x v="2"/>
    <n v="6"/>
    <s v="Businessman"/>
    <n v="4"/>
    <x v="3"/>
    <n v="5"/>
    <n v="7"/>
    <n v="3"/>
    <n v="2"/>
    <n v="2"/>
    <s v="Y"/>
    <n v="1000"/>
    <x v="1"/>
  </r>
  <r>
    <d v="2019-10-25T00:00:00"/>
    <d v="1899-12-30T09:59:00"/>
    <m/>
    <s v="P"/>
    <n v="2"/>
    <s v="Road Vehicle"/>
    <n v="4"/>
    <x v="3"/>
    <x v="1"/>
    <n v="2"/>
    <x v="1"/>
    <s v="WABULENZI"/>
    <s v="LUWERO"/>
    <s v="UGA"/>
    <n v="1"/>
    <s v="Home"/>
    <s v="LUWERO"/>
    <s v="LUWERO"/>
    <s v="UGA"/>
    <n v="2"/>
    <s v="Work"/>
    <x v="8"/>
    <n v="1000"/>
    <n v="10"/>
    <x v="6"/>
    <n v="0.8"/>
    <x v="3"/>
    <n v="6"/>
    <s v="Businessman"/>
    <n v="3"/>
    <x v="0"/>
    <n v="1"/>
    <n v="2"/>
    <n v="1"/>
    <n v="2"/>
    <n v="3"/>
    <s v="Y"/>
    <n v="1000"/>
    <x v="1"/>
  </r>
  <r>
    <d v="2019-10-25T00:00:00"/>
    <d v="1899-12-30T10:05:00"/>
    <m/>
    <s v="P"/>
    <n v="2"/>
    <s v="Road Vehicle"/>
    <n v="4"/>
    <x v="3"/>
    <x v="1"/>
    <n v="2"/>
    <x v="1"/>
    <s v="KAWANDA"/>
    <s v="WAKISO"/>
    <s v="UGA"/>
    <n v="1"/>
    <s v="Home"/>
    <s v="LUWERO"/>
    <s v="LUWERO"/>
    <s v="UGA"/>
    <n v="2"/>
    <s v="Work"/>
    <x v="8"/>
    <n v="3000"/>
    <n v="80"/>
    <x v="0"/>
    <n v="1"/>
    <x v="2"/>
    <n v="5"/>
    <s v="Professional"/>
    <n v="5"/>
    <x v="4"/>
    <n v="2"/>
    <n v="2"/>
    <n v="2"/>
    <n v="1"/>
    <n v="1"/>
    <s v="Y"/>
    <n v="2000"/>
    <x v="4"/>
  </r>
  <r>
    <d v="2019-10-25T00:00:00"/>
    <d v="1899-12-30T10:28:00"/>
    <m/>
    <s v="D"/>
    <n v="2"/>
    <s v="Road Vehicle"/>
    <n v="4"/>
    <x v="3"/>
    <x v="1"/>
    <n v="2"/>
    <x v="1"/>
    <s v="KATIKAMU"/>
    <s v="LUWERO"/>
    <s v="UGA"/>
    <n v="2"/>
    <s v="Work"/>
    <s v="KARUMA"/>
    <s v="KIRYANDONGO"/>
    <s v="UGA"/>
    <n v="2"/>
    <s v="Work"/>
    <x v="5"/>
    <n v="20000"/>
    <n v="80"/>
    <x v="0"/>
    <n v="1"/>
    <x v="2"/>
    <n v="6"/>
    <s v="Businessman"/>
    <n v="4"/>
    <x v="3"/>
    <n v="2"/>
    <n v="2"/>
    <n v="1"/>
    <n v="1"/>
    <n v="2"/>
    <s v="Y"/>
    <n v="1000"/>
    <x v="1"/>
  </r>
  <r>
    <d v="2019-10-25T00:00:00"/>
    <d v="1899-12-30T11:13:00"/>
    <m/>
    <s v="P"/>
    <n v="2"/>
    <s v="Road Vehicle"/>
    <n v="4"/>
    <x v="3"/>
    <x v="1"/>
    <n v="2"/>
    <x v="1"/>
    <s v="KASANA"/>
    <s v="LUWERO"/>
    <s v="UGA"/>
    <n v="2"/>
    <s v="Work"/>
    <s v="GULU"/>
    <s v="GULU"/>
    <s v="UGA"/>
    <n v="4"/>
    <s v="Commercial"/>
    <x v="21"/>
    <n v="20000"/>
    <n v="268"/>
    <x v="3"/>
    <n v="7"/>
    <x v="0"/>
    <n v="4"/>
    <s v="Office Worker"/>
    <n v="3"/>
    <x v="0"/>
    <n v="5"/>
    <n v="1"/>
    <n v="2"/>
    <n v="1"/>
    <n v="2"/>
    <s v="Y"/>
    <n v="500"/>
    <x v="0"/>
  </r>
  <r>
    <d v="2019-10-25T00:00:00"/>
    <d v="1899-12-30T11:30:00"/>
    <m/>
    <s v="D"/>
    <n v="2"/>
    <s v="Road Vehicle"/>
    <n v="4"/>
    <x v="3"/>
    <x v="1"/>
    <n v="2"/>
    <x v="1"/>
    <s v="LUWERO"/>
    <s v="LUWERO"/>
    <s v="UGA"/>
    <n v="2"/>
    <s v="Work"/>
    <s v="KAWEWETE"/>
    <s v="NAKASEKE"/>
    <s v="UGA"/>
    <n v="2"/>
    <s v="Work"/>
    <x v="5"/>
    <n v="50000"/>
    <n v="180"/>
    <x v="2"/>
    <n v="3"/>
    <x v="1"/>
    <n v="2"/>
    <s v="Manual Labour"/>
    <n v="1"/>
    <x v="2"/>
    <n v="5"/>
    <n v="3"/>
    <n v="5"/>
    <n v="5"/>
    <n v="2"/>
    <s v="Y"/>
    <n v="1000"/>
    <x v="1"/>
  </r>
  <r>
    <d v="2019-10-25T00:00:00"/>
    <d v="1899-12-30T11:50:00"/>
    <m/>
    <s v="P"/>
    <n v="2"/>
    <s v="Road Vehicle"/>
    <n v="4"/>
    <x v="3"/>
    <x v="1"/>
    <n v="2"/>
    <x v="1"/>
    <s v="LUWERO"/>
    <s v="LUWERO"/>
    <s v="UGA"/>
    <n v="1"/>
    <s v="Home"/>
    <s v="KINONI"/>
    <s v="GOMBA"/>
    <s v="UGA"/>
    <n v="6"/>
    <s v="Leisure/Social"/>
    <x v="3"/>
    <n v="5000"/>
    <n v="80"/>
    <x v="0"/>
    <n v="2"/>
    <x v="1"/>
    <n v="6"/>
    <s v="Businessman"/>
    <n v="2"/>
    <x v="1"/>
    <n v="3"/>
    <n v="2"/>
    <n v="2"/>
    <n v="2"/>
    <n v="1"/>
    <s v="Y"/>
    <n v="1000"/>
    <x v="1"/>
  </r>
  <r>
    <d v="2019-10-25T00:00:00"/>
    <d v="1899-12-30T15:46:00"/>
    <m/>
    <s v="P"/>
    <n v="2"/>
    <s v="Road Vehicle"/>
    <n v="4"/>
    <x v="3"/>
    <x v="1"/>
    <n v="2"/>
    <x v="1"/>
    <s v="LUWERO"/>
    <s v="LUWERO"/>
    <s v="UGA"/>
    <n v="1"/>
    <s v="Home"/>
    <s v="KAMPALA"/>
    <s v="KAMPALA"/>
    <s v="UGA"/>
    <n v="2"/>
    <s v="Work"/>
    <x v="8"/>
    <n v="4000"/>
    <n v="75"/>
    <x v="0"/>
    <n v="2"/>
    <x v="1"/>
    <n v="6"/>
    <s v="Businessman"/>
    <n v="1"/>
    <x v="2"/>
    <n v="2"/>
    <n v="1"/>
    <n v="2"/>
    <n v="2"/>
    <n v="1"/>
    <s v="Y"/>
    <n v="500"/>
    <x v="0"/>
  </r>
  <r>
    <d v="2019-10-25T00:00:00"/>
    <d v="1899-12-30T14:33:00"/>
    <m/>
    <s v="P"/>
    <n v="2"/>
    <s v="Road Vehicle"/>
    <n v="4"/>
    <x v="3"/>
    <x v="1"/>
    <n v="2"/>
    <x v="1"/>
    <s v="KAWEMPE"/>
    <s v="KAMPALA"/>
    <s v="UGA"/>
    <n v="2"/>
    <s v="Work"/>
    <s v="LUWERO"/>
    <s v="LUWERO"/>
    <s v="UGA"/>
    <n v="2"/>
    <s v="Work"/>
    <x v="5"/>
    <n v="3000"/>
    <m/>
    <x v="4"/>
    <n v="1"/>
    <x v="2"/>
    <n v="6"/>
    <s v="Businessman"/>
    <n v="1"/>
    <x v="2"/>
    <n v="4"/>
    <n v="2"/>
    <n v="2"/>
    <n v="1"/>
    <n v="1"/>
    <s v="Y"/>
    <n v="1000"/>
    <x v="1"/>
  </r>
  <r>
    <d v="2019-10-25T00:00:00"/>
    <d v="1899-12-30T12:30:00"/>
    <m/>
    <s v="P"/>
    <n v="2"/>
    <s v="Road Vehicle"/>
    <n v="4"/>
    <x v="3"/>
    <x v="1"/>
    <n v="2"/>
    <x v="1"/>
    <s v="NEBI"/>
    <s v="NEBI"/>
    <s v="UGA"/>
    <n v="1"/>
    <s v="Home"/>
    <s v="KAWANDA"/>
    <s v="WAKISO"/>
    <s v="UGA"/>
    <n v="2"/>
    <s v="Work"/>
    <x v="8"/>
    <n v="25000"/>
    <n v="400"/>
    <x v="3"/>
    <n v="7"/>
    <x v="0"/>
    <n v="4"/>
    <s v="Office Worker"/>
    <n v="1"/>
    <x v="2"/>
    <n v="1"/>
    <n v="1"/>
    <n v="2"/>
    <n v="1"/>
    <n v="2"/>
    <s v="Y"/>
    <n v="1000"/>
    <x v="1"/>
  </r>
  <r>
    <d v="2019-10-25T00:00:00"/>
    <d v="1899-12-30T09:31:00"/>
    <m/>
    <s v="P"/>
    <n v="2"/>
    <s v="Road Vehicle"/>
    <n v="4"/>
    <x v="3"/>
    <x v="1"/>
    <n v="2"/>
    <x v="1"/>
    <s v="LUWERO"/>
    <s v="LUWERO"/>
    <s v="UGA"/>
    <n v="1"/>
    <s v="Home"/>
    <s v="KAMPALA"/>
    <s v="KAMPALA"/>
    <s v="UGA"/>
    <n v="4"/>
    <s v="Commercial"/>
    <x v="12"/>
    <n v="4000"/>
    <n v="64"/>
    <x v="1"/>
    <n v="1"/>
    <x v="2"/>
    <n v="6"/>
    <s v="Businessman"/>
    <n v="4"/>
    <x v="3"/>
    <n v="1"/>
    <n v="2"/>
    <n v="1"/>
    <n v="2"/>
    <n v="1"/>
    <s v="Y"/>
    <n v="1000"/>
    <x v="1"/>
  </r>
  <r>
    <d v="2019-10-25T00:00:00"/>
    <d v="1899-12-30T09:47:00"/>
    <m/>
    <s v="P"/>
    <n v="2"/>
    <s v="Road Vehicle"/>
    <n v="4"/>
    <x v="3"/>
    <x v="1"/>
    <n v="2"/>
    <x v="1"/>
    <s v="LUWERO"/>
    <s v="LUWERO"/>
    <s v="UGA"/>
    <n v="4"/>
    <s v="Commercial"/>
    <s v="KATUKAMU"/>
    <s v="LUWERO"/>
    <s v="UGA"/>
    <n v="1"/>
    <s v="Home"/>
    <x v="0"/>
    <n v="2000"/>
    <n v="40"/>
    <x v="1"/>
    <n v="0.6"/>
    <x v="3"/>
    <n v="7"/>
    <s v="Farmer"/>
    <n v="3"/>
    <x v="0"/>
    <n v="1"/>
    <n v="2"/>
    <n v="4"/>
    <n v="2"/>
    <n v="1"/>
    <s v="Y"/>
    <n v="0"/>
    <x v="0"/>
  </r>
  <r>
    <d v="2019-10-25T00:00:00"/>
    <d v="1899-12-30T11:03:00"/>
    <m/>
    <s v="P"/>
    <n v="2"/>
    <s v="Road Vehicle"/>
    <n v="4"/>
    <x v="3"/>
    <x v="1"/>
    <n v="2"/>
    <x v="1"/>
    <s v="KAMPALA"/>
    <s v="KAMPALA"/>
    <s v="UGA"/>
    <n v="2"/>
    <s v="Work"/>
    <s v="KIGOGWA"/>
    <s v="LUWERO"/>
    <s v="UGA"/>
    <n v="2"/>
    <s v="Work"/>
    <x v="5"/>
    <n v="5000"/>
    <n v="64"/>
    <x v="1"/>
    <n v="1"/>
    <x v="2"/>
    <n v="4"/>
    <s v="Office Worker"/>
    <n v="3"/>
    <x v="0"/>
    <n v="1"/>
    <n v="2"/>
    <n v="3"/>
    <n v="2"/>
    <n v="2"/>
    <s v="Y"/>
    <n v="5000"/>
    <x v="2"/>
  </r>
  <r>
    <d v="2019-10-25T00:00:00"/>
    <d v="1899-12-30T11:57:00"/>
    <m/>
    <s v="P"/>
    <n v="2"/>
    <s v="Road Vehicle"/>
    <n v="4"/>
    <x v="3"/>
    <x v="1"/>
    <n v="2"/>
    <x v="1"/>
    <s v="LUWERO"/>
    <s v="LUWERO"/>
    <s v="UGA"/>
    <n v="1"/>
    <s v="Home"/>
    <s v="KAWEMPE"/>
    <s v="WAKISO"/>
    <s v="UGA"/>
    <n v="1"/>
    <s v="Home"/>
    <x v="2"/>
    <n v="3000"/>
    <n v="50"/>
    <x v="1"/>
    <n v="0.7"/>
    <x v="3"/>
    <n v="10"/>
    <s v="Other"/>
    <n v="1"/>
    <x v="2"/>
    <n v="5"/>
    <n v="2"/>
    <n v="4"/>
    <n v="2"/>
    <n v="1"/>
    <s v="Y"/>
    <n v="200"/>
    <x v="0"/>
  </r>
  <r>
    <d v="2019-10-25T00:00:00"/>
    <d v="1899-12-30T12:06:00"/>
    <m/>
    <s v="P"/>
    <n v="2"/>
    <s v="Road Vehicle"/>
    <n v="4"/>
    <x v="3"/>
    <x v="1"/>
    <n v="2"/>
    <x v="1"/>
    <s v="LUWERO"/>
    <s v="LUWERO"/>
    <s v="UGA"/>
    <n v="2"/>
    <s v="Work"/>
    <s v="GULU"/>
    <s v="GULU"/>
    <s v="UGA"/>
    <n v="1"/>
    <s v="Home"/>
    <x v="1"/>
    <n v="25000"/>
    <n v="208"/>
    <x v="3"/>
    <n v="5"/>
    <x v="0"/>
    <n v="5"/>
    <s v="Professional"/>
    <n v="4"/>
    <x v="3"/>
    <n v="3"/>
    <n v="3"/>
    <n v="2"/>
    <n v="1"/>
    <n v="2"/>
    <s v="Y"/>
    <n v="3000"/>
    <x v="5"/>
  </r>
  <r>
    <d v="2019-10-25T00:00:00"/>
    <d v="1899-12-30T12:36:00"/>
    <m/>
    <s v="P"/>
    <n v="2"/>
    <s v="Road Vehicle"/>
    <n v="4"/>
    <x v="3"/>
    <x v="1"/>
    <n v="2"/>
    <x v="1"/>
    <s v="KAMPALA"/>
    <s v="KAMPALA"/>
    <s v="UGA"/>
    <n v="6"/>
    <s v="Leisure/Social"/>
    <s v="KARUMA"/>
    <s v="KARUMA"/>
    <s v="UGA"/>
    <n v="6"/>
    <s v="Leisure/Social"/>
    <x v="17"/>
    <n v="20000"/>
    <n v="219"/>
    <x v="3"/>
    <n v="6"/>
    <x v="0"/>
    <n v="10"/>
    <s v="Other"/>
    <n v="1"/>
    <x v="2"/>
    <n v="1"/>
    <n v="2"/>
    <n v="1"/>
    <n v="1"/>
    <n v="2"/>
    <s v="Y"/>
    <n v="0"/>
    <x v="0"/>
  </r>
  <r>
    <d v="2019-10-25T00:00:00"/>
    <d v="1899-12-30T14:56:00"/>
    <m/>
    <s v="P"/>
    <n v="2"/>
    <s v="Road Vehicle"/>
    <n v="4"/>
    <x v="3"/>
    <x v="1"/>
    <n v="2"/>
    <x v="1"/>
    <s v="LUWERO"/>
    <s v="LUWERO"/>
    <s v="UGA"/>
    <n v="5"/>
    <s v="Tourism"/>
    <s v="BUKOTO"/>
    <s v="KAMPALA"/>
    <s v="UGA"/>
    <n v="5"/>
    <s v="Tourism"/>
    <x v="14"/>
    <n v="5000"/>
    <n v="64"/>
    <x v="1"/>
    <n v="1.5"/>
    <x v="2"/>
    <n v="10"/>
    <s v="Other"/>
    <n v="1"/>
    <x v="2"/>
    <n v="4"/>
    <n v="1"/>
    <n v="2"/>
    <n v="1"/>
    <n v="2"/>
    <s v="Y"/>
    <n v="5000"/>
    <x v="2"/>
  </r>
  <r>
    <d v="2019-10-25T00:00:00"/>
    <d v="1899-12-30T14:15:00"/>
    <m/>
    <s v="P"/>
    <n v="2"/>
    <s v="Road Vehicle"/>
    <n v="4"/>
    <x v="3"/>
    <x v="1"/>
    <n v="2"/>
    <x v="1"/>
    <s v="LUWERO"/>
    <s v="LUWERO"/>
    <s v="UGA"/>
    <n v="5"/>
    <s v="Tourism"/>
    <s v="NABISUJU"/>
    <s v="NAKASEKE"/>
    <s v="UGA"/>
    <n v="5"/>
    <s v="Tourism"/>
    <x v="14"/>
    <n v="2000"/>
    <n v="76"/>
    <x v="0"/>
    <n v="2.5"/>
    <x v="1"/>
    <n v="10"/>
    <s v="Other"/>
    <n v="1"/>
    <x v="2"/>
    <n v="3"/>
    <n v="2"/>
    <n v="1"/>
    <n v="2"/>
    <n v="1"/>
    <s v="Y"/>
    <n v="2000"/>
    <x v="4"/>
  </r>
  <r>
    <d v="2019-10-25T00:00:00"/>
    <d v="1899-12-30T14:35:00"/>
    <m/>
    <s v="P"/>
    <n v="2"/>
    <s v="Road Vehicle"/>
    <n v="4"/>
    <x v="3"/>
    <x v="1"/>
    <n v="2"/>
    <x v="1"/>
    <s v="LUWERO"/>
    <s v="LUWERO"/>
    <s v="UGA"/>
    <n v="4"/>
    <s v="Commercial"/>
    <s v="NGOMA"/>
    <s v="NAKASEKE"/>
    <s v="UGA"/>
    <n v="1"/>
    <s v="Home"/>
    <x v="0"/>
    <n v="10000"/>
    <n v="60"/>
    <x v="1"/>
    <n v="4"/>
    <x v="0"/>
    <n v="6"/>
    <s v="Businessman"/>
    <n v="3"/>
    <x v="0"/>
    <n v="3"/>
    <n v="4"/>
    <n v="2"/>
    <n v="1"/>
    <n v="2"/>
    <s v="Y"/>
    <n v="2000"/>
    <x v="4"/>
  </r>
  <r>
    <d v="2019-10-25T00:00:00"/>
    <d v="1899-12-30T16:49:00"/>
    <m/>
    <s v="P"/>
    <n v="2"/>
    <s v="Road Vehicle"/>
    <n v="4"/>
    <x v="3"/>
    <x v="1"/>
    <n v="2"/>
    <x v="1"/>
    <s v="KASO"/>
    <s v="WAKISO"/>
    <s v="UGA"/>
    <n v="1"/>
    <s v="Home"/>
    <s v="LUWERO"/>
    <s v="LUWERO"/>
    <s v="UGA"/>
    <n v="6"/>
    <s v="Leisure/Social"/>
    <x v="3"/>
    <n v="5000"/>
    <n v="47"/>
    <x v="1"/>
    <n v="1"/>
    <x v="2"/>
    <n v="10"/>
    <s v="Other"/>
    <n v="1"/>
    <x v="2"/>
    <n v="4"/>
    <n v="1"/>
    <n v="2"/>
    <n v="1"/>
    <n v="2"/>
    <s v="Y"/>
    <n v="5000"/>
    <x v="2"/>
  </r>
  <r>
    <d v="2019-10-25T00:00:00"/>
    <d v="1899-12-30T15:36:00"/>
    <m/>
    <s v="D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50000"/>
    <n v="63"/>
    <x v="1"/>
    <n v="2.5"/>
    <x v="1"/>
    <n v="2"/>
    <s v="Manual Labour"/>
    <n v="3"/>
    <x v="0"/>
    <n v="4"/>
    <n v="4"/>
    <n v="1"/>
    <n v="1"/>
    <n v="2"/>
    <s v="Y"/>
    <n v="3000"/>
    <x v="5"/>
  </r>
  <r>
    <d v="2019-10-25T00:00:00"/>
    <d v="1899-12-30T15:27:00"/>
    <m/>
    <s v="P"/>
    <n v="2"/>
    <s v="Road Vehicle"/>
    <n v="4"/>
    <x v="3"/>
    <x v="1"/>
    <n v="2"/>
    <x v="1"/>
    <s v="BWAISE"/>
    <s v="KAMPALA"/>
    <s v="UGA"/>
    <n v="2"/>
    <s v="Work"/>
    <s v="LUWERO"/>
    <s v="LUWERO"/>
    <s v="UGA"/>
    <n v="6"/>
    <s v="Leisure/Social"/>
    <x v="22"/>
    <n v="5000"/>
    <n v="52"/>
    <x v="1"/>
    <m/>
    <x v="4"/>
    <n v="5"/>
    <s v="Professional"/>
    <n v="4"/>
    <x v="3"/>
    <m/>
    <m/>
    <m/>
    <m/>
    <m/>
    <s v="Y"/>
    <m/>
    <x v="0"/>
  </r>
  <r>
    <d v="2019-10-26T00:00:00"/>
    <d v="1899-12-30T07:45:00"/>
    <m/>
    <s v="P"/>
    <n v="2"/>
    <s v="Road Vehicle"/>
    <n v="4"/>
    <x v="3"/>
    <x v="1"/>
    <n v="2"/>
    <x v="1"/>
    <s v="LUWERO"/>
    <s v="LUWERO"/>
    <s v="UGA"/>
    <n v="1"/>
    <s v="Home"/>
    <s v="KAWEMPE"/>
    <s v="KAMPALA"/>
    <s v="UGA"/>
    <n v="4"/>
    <s v="Commercial"/>
    <x v="12"/>
    <n v="5000"/>
    <n v="64"/>
    <x v="1"/>
    <n v="1"/>
    <x v="2"/>
    <n v="7"/>
    <s v="Farmer"/>
    <n v="3"/>
    <x v="0"/>
    <n v="5"/>
    <n v="2"/>
    <n v="1"/>
    <n v="1"/>
    <n v="2"/>
    <s v="Y"/>
    <n v="0"/>
    <x v="0"/>
  </r>
  <r>
    <d v="2019-10-26T00:00:00"/>
    <d v="1899-12-30T08:57:00"/>
    <m/>
    <s v="P"/>
    <n v="2"/>
    <s v="Road Vehicle"/>
    <n v="4"/>
    <x v="3"/>
    <x v="1"/>
    <n v="2"/>
    <x v="1"/>
    <s v="KAWEWETA"/>
    <s v="NAKASEKE"/>
    <s v="UGA"/>
    <n v="4"/>
    <s v="Commercial"/>
    <s v="LUWERO"/>
    <s v="LUWERO"/>
    <s v="UGA"/>
    <n v="4"/>
    <s v="Commercial"/>
    <x v="13"/>
    <n v="10000"/>
    <n v="128"/>
    <x v="2"/>
    <n v="1.5"/>
    <x v="2"/>
    <n v="7"/>
    <s v="Farmer"/>
    <n v="2"/>
    <x v="1"/>
    <n v="2"/>
    <n v="4"/>
    <n v="5"/>
    <n v="1"/>
    <n v="4"/>
    <s v="Y"/>
    <n v="0"/>
    <x v="0"/>
  </r>
  <r>
    <d v="2019-10-26T00:00:00"/>
    <d v="1899-12-30T10:02:00"/>
    <m/>
    <s v="P"/>
    <n v="2"/>
    <s v="Road Vehicle"/>
    <n v="4"/>
    <x v="3"/>
    <x v="1"/>
    <n v="2"/>
    <x v="1"/>
    <s v="KAMPALA"/>
    <s v="KAMPALA"/>
    <s v="UGA"/>
    <n v="1"/>
    <s v="Home"/>
    <s v="LUWERO"/>
    <s v="LUWERO"/>
    <s v="UGA"/>
    <n v="1"/>
    <s v="Home"/>
    <x v="2"/>
    <n v="4000"/>
    <n v="64"/>
    <x v="1"/>
    <n v="1"/>
    <x v="2"/>
    <n v="10"/>
    <s v="Other"/>
    <n v="2"/>
    <x v="1"/>
    <n v="1"/>
    <n v="2"/>
    <n v="2"/>
    <n v="1"/>
    <n v="2"/>
    <s v="Y"/>
    <n v="3000"/>
    <x v="5"/>
  </r>
  <r>
    <d v="2019-10-26T00:00:00"/>
    <d v="1899-12-30T10:18:00"/>
    <m/>
    <s v="P"/>
    <n v="2"/>
    <s v="Road Vehicle"/>
    <n v="4"/>
    <x v="3"/>
    <x v="1"/>
    <n v="2"/>
    <x v="1"/>
    <s v="KAGOMA"/>
    <s v="WAKISO"/>
    <s v="UGA"/>
    <n v="2"/>
    <s v="Work"/>
    <s v="LUWERO"/>
    <s v="LUWERO"/>
    <s v="UGA"/>
    <n v="2"/>
    <s v="Work"/>
    <x v="5"/>
    <n v="3000"/>
    <n v="54"/>
    <x v="1"/>
    <n v="0.7"/>
    <x v="3"/>
    <n v="4"/>
    <s v="Office Worker"/>
    <n v="4"/>
    <x v="3"/>
    <n v="1"/>
    <n v="2"/>
    <n v="3"/>
    <n v="2"/>
    <n v="1"/>
    <s v="Y"/>
    <n v="2000"/>
    <x v="4"/>
  </r>
  <r>
    <d v="2019-10-26T00:00:00"/>
    <d v="1899-12-30T16:46:00"/>
    <m/>
    <s v="P"/>
    <n v="2"/>
    <s v="Road Vehicle"/>
    <n v="4"/>
    <x v="3"/>
    <x v="1"/>
    <n v="2"/>
    <x v="1"/>
    <s v="KAMPALA"/>
    <s v="KAMPALA"/>
    <s v="UGA"/>
    <n v="4"/>
    <s v="Commercial"/>
    <s v="KIBOKO"/>
    <s v="LUWERO"/>
    <s v="UGA"/>
    <n v="1"/>
    <s v="Home"/>
    <x v="0"/>
    <n v="7000"/>
    <n v="62"/>
    <x v="1"/>
    <n v="1.5"/>
    <x v="2"/>
    <n v="6"/>
    <s v="Businessman"/>
    <n v="4"/>
    <x v="3"/>
    <n v="5"/>
    <n v="1"/>
    <n v="2"/>
    <n v="2"/>
    <n v="2"/>
    <s v="Y"/>
    <n v="500"/>
    <x v="0"/>
  </r>
  <r>
    <d v="2019-10-26T00:00:00"/>
    <d v="1899-12-30T11:36:00"/>
    <m/>
    <s v="P"/>
    <n v="2"/>
    <s v="Road Vehicle"/>
    <n v="4"/>
    <x v="3"/>
    <x v="1"/>
    <n v="2"/>
    <x v="1"/>
    <s v="ARUA"/>
    <s v="ARUA"/>
    <s v="UGA"/>
    <n v="2"/>
    <s v="Work"/>
    <s v="KAMPALA"/>
    <s v="KAMPALA"/>
    <s v="UGA"/>
    <n v="1"/>
    <s v="Home"/>
    <x v="1"/>
    <n v="35000"/>
    <n v="500"/>
    <x v="3"/>
    <n v="6"/>
    <x v="0"/>
    <n v="4"/>
    <s v="Office Worker"/>
    <n v="4"/>
    <x v="3"/>
    <n v="4"/>
    <n v="5"/>
    <n v="4"/>
    <n v="1"/>
    <n v="2"/>
    <s v="Y"/>
    <n v="2000"/>
    <x v="4"/>
  </r>
  <r>
    <d v="2019-10-26T00:00:00"/>
    <d v="1899-12-30T13:13:00"/>
    <m/>
    <s v="D"/>
    <n v="2"/>
    <s v="Road Vehicle"/>
    <n v="4"/>
    <x v="3"/>
    <x v="1"/>
    <n v="2"/>
    <x v="1"/>
    <s v="NGOMA"/>
    <s v="NAKASEKE"/>
    <s v="UGA"/>
    <n v="1"/>
    <s v="Home"/>
    <s v="LUWERO"/>
    <s v="LUWERO"/>
    <s v="UGA"/>
    <n v="2"/>
    <s v="Work"/>
    <x v="8"/>
    <n v="12000"/>
    <n v="63"/>
    <x v="1"/>
    <n v="1"/>
    <x v="2"/>
    <n v="6"/>
    <s v="Businessman"/>
    <n v="3"/>
    <x v="0"/>
    <n v="4"/>
    <n v="4"/>
    <n v="1"/>
    <n v="1"/>
    <n v="2"/>
    <s v="Y"/>
    <n v="0"/>
    <x v="0"/>
  </r>
  <r>
    <d v="2019-10-26T00:00:00"/>
    <d v="1899-12-30T12:43:00"/>
    <m/>
    <s v="P"/>
    <n v="2"/>
    <s v="Road Vehicle"/>
    <n v="4"/>
    <x v="3"/>
    <x v="1"/>
    <n v="2"/>
    <x v="1"/>
    <s v="KIGUMBA"/>
    <s v="MASINDI"/>
    <s v="UGA"/>
    <n v="1"/>
    <s v="Home"/>
    <s v="LUWERO"/>
    <s v="LUWERO"/>
    <s v="UGA"/>
    <n v="6"/>
    <s v="Leisure/Social"/>
    <x v="3"/>
    <n v="20000"/>
    <n v="154"/>
    <x v="2"/>
    <n v="4"/>
    <x v="0"/>
    <n v="10"/>
    <s v="Other"/>
    <n v="1"/>
    <x v="2"/>
    <n v="1"/>
    <n v="4"/>
    <n v="1"/>
    <n v="2"/>
    <n v="1"/>
    <s v="Y"/>
    <n v="5000"/>
    <x v="2"/>
  </r>
  <r>
    <d v="2019-10-26T00:00:00"/>
    <d v="1899-12-30T11:37:00"/>
    <m/>
    <s v="P"/>
    <n v="2"/>
    <s v="Road Vehicle"/>
    <n v="4"/>
    <x v="3"/>
    <x v="1"/>
    <n v="2"/>
    <x v="1"/>
    <s v="KAMPALA"/>
    <s v="KAMPALA"/>
    <s v="UGA"/>
    <n v="4"/>
    <s v="Commercial"/>
    <s v="LUWERO"/>
    <s v="LUWERO"/>
    <s v="UGA"/>
    <n v="2"/>
    <s v="Work"/>
    <x v="20"/>
    <n v="5000"/>
    <n v="61"/>
    <x v="1"/>
    <n v="2"/>
    <x v="1"/>
    <n v="6"/>
    <s v="Businessman"/>
    <n v="3"/>
    <x v="0"/>
    <n v="5"/>
    <n v="1"/>
    <n v="1"/>
    <n v="1"/>
    <n v="3"/>
    <s v="Y"/>
    <n v="6000"/>
    <x v="2"/>
  </r>
  <r>
    <d v="2019-10-26T00:00:00"/>
    <d v="1899-12-30T10:24:00"/>
    <m/>
    <s v="D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52000"/>
    <n v="63"/>
    <x v="1"/>
    <n v="2"/>
    <x v="1"/>
    <n v="2"/>
    <s v="Manual Labour"/>
    <n v="2"/>
    <x v="1"/>
    <n v="1"/>
    <n v="4"/>
    <n v="1"/>
    <n v="1"/>
    <n v="2"/>
    <s v="Y"/>
    <n v="1000"/>
    <x v="1"/>
  </r>
  <r>
    <d v="2019-10-26T00:00:00"/>
    <d v="1899-12-30T08:05:00"/>
    <m/>
    <s v="P"/>
    <n v="2"/>
    <s v="Road Vehicle"/>
    <n v="4"/>
    <x v="3"/>
    <x v="1"/>
    <n v="2"/>
    <x v="1"/>
    <s v="NGOMA"/>
    <s v="NAKASEKE"/>
    <s v="UGA"/>
    <n v="1"/>
    <s v="Home"/>
    <s v="LUWERO"/>
    <s v="LUWERO"/>
    <s v="UGA"/>
    <n v="4"/>
    <s v="Commercial"/>
    <x v="12"/>
    <n v="12000"/>
    <n v="87"/>
    <x v="0"/>
    <n v="3"/>
    <x v="1"/>
    <n v="6"/>
    <s v="Businessman"/>
    <n v="3"/>
    <x v="0"/>
    <n v="5"/>
    <n v="2"/>
    <n v="1"/>
    <n v="2"/>
    <n v="3"/>
    <s v="Y"/>
    <n v="4000"/>
    <x v="5"/>
  </r>
  <r>
    <d v="2019-10-26T00:00:00"/>
    <d v="1899-12-30T12:10:00"/>
    <m/>
    <s v="D"/>
    <n v="2"/>
    <s v="Road Vehicle"/>
    <n v="4"/>
    <x v="3"/>
    <x v="1"/>
    <n v="2"/>
    <x v="1"/>
    <s v="LIRA"/>
    <s v="LIRA"/>
    <s v="UGA"/>
    <n v="2"/>
    <s v="Work"/>
    <s v="KASANA"/>
    <s v="LUWERO"/>
    <s v="UGA"/>
    <n v="2"/>
    <s v="Work"/>
    <x v="5"/>
    <n v="200000"/>
    <n v="240"/>
    <x v="3"/>
    <n v="4"/>
    <x v="0"/>
    <n v="5"/>
    <s v="Professional"/>
    <n v="1"/>
    <x v="2"/>
    <n v="5"/>
    <n v="5"/>
    <n v="2"/>
    <n v="1"/>
    <n v="1"/>
    <s v="Y"/>
    <n v="25000"/>
    <x v="3"/>
  </r>
  <r>
    <d v="2019-10-26T00:00:00"/>
    <d v="1899-12-30T10:24:00"/>
    <m/>
    <s v="D"/>
    <n v="2"/>
    <s v="Road Vehicle"/>
    <n v="4"/>
    <x v="3"/>
    <x v="1"/>
    <n v="2"/>
    <x v="1"/>
    <s v="GAYAZA"/>
    <s v="WAKISO"/>
    <s v="UGA"/>
    <n v="1"/>
    <s v="Home"/>
    <s v="MASALAZI"/>
    <s v="LUWERO"/>
    <s v="UGA"/>
    <n v="1"/>
    <s v="Home"/>
    <x v="2"/>
    <n v="100000"/>
    <m/>
    <x v="4"/>
    <n v="4"/>
    <x v="0"/>
    <n v="4"/>
    <s v="Office Worker"/>
    <n v="2"/>
    <x v="1"/>
    <n v="5"/>
    <n v="5"/>
    <n v="4"/>
    <n v="5"/>
    <n v="3"/>
    <s v="Y"/>
    <n v="1000"/>
    <x v="1"/>
  </r>
  <r>
    <d v="2019-10-26T00:00:00"/>
    <d v="1899-12-30T09:55:00"/>
    <m/>
    <s v="P"/>
    <n v="2"/>
    <s v="Road Vehicle"/>
    <n v="4"/>
    <x v="3"/>
    <x v="1"/>
    <n v="2"/>
    <x v="1"/>
    <s v="ARUA"/>
    <s v="ARUA"/>
    <s v="UGA"/>
    <n v="1"/>
    <s v="Home"/>
    <s v="LUWERO"/>
    <s v="LUWERO"/>
    <s v="UGA"/>
    <n v="1"/>
    <s v="Home"/>
    <x v="2"/>
    <n v="430000"/>
    <n v="400"/>
    <x v="3"/>
    <n v="5"/>
    <x v="0"/>
    <n v="4"/>
    <s v="Office Worker"/>
    <n v="2"/>
    <x v="1"/>
    <n v="1"/>
    <n v="1"/>
    <n v="1"/>
    <n v="1"/>
    <n v="3"/>
    <s v="Y"/>
    <n v="2000"/>
    <x v="4"/>
  </r>
  <r>
    <d v="2019-10-26T00:00:00"/>
    <d v="1899-12-30T09:37:00"/>
    <m/>
    <s v="P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5000"/>
    <n v="50"/>
    <x v="1"/>
    <n v="2"/>
    <x v="1"/>
    <n v="6"/>
    <s v="Businessman"/>
    <n v="3"/>
    <x v="0"/>
    <n v="1"/>
    <n v="2"/>
    <n v="1"/>
    <n v="1"/>
    <n v="1"/>
    <s v="Y"/>
    <n v="18000"/>
    <x v="3"/>
  </r>
  <r>
    <d v="2019-10-26T00:00:00"/>
    <d v="1899-12-30T08:37:00"/>
    <m/>
    <s v="D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40000"/>
    <m/>
    <x v="4"/>
    <n v="1"/>
    <x v="2"/>
    <n v="5"/>
    <s v="Professional"/>
    <n v="1"/>
    <x v="2"/>
    <n v="1"/>
    <n v="1"/>
    <n v="5"/>
    <n v="1"/>
    <n v="1"/>
    <s v="Y"/>
    <n v="3000"/>
    <x v="5"/>
  </r>
  <r>
    <d v="2019-10-26T00:00:00"/>
    <d v="1899-12-30T14:35:00"/>
    <m/>
    <s v="D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100000"/>
    <m/>
    <x v="4"/>
    <n v="1"/>
    <x v="2"/>
    <n v="6"/>
    <s v="Businessman"/>
    <n v="2"/>
    <x v="1"/>
    <n v="1"/>
    <n v="4"/>
    <n v="1"/>
    <n v="1"/>
    <n v="1"/>
    <s v="Y"/>
    <n v="6000"/>
    <x v="2"/>
  </r>
  <r>
    <d v="2019-10-26T00:00:00"/>
    <d v="1899-12-30T07:15:00"/>
    <m/>
    <s v="P"/>
    <n v="2"/>
    <s v="Road Vehicle"/>
    <n v="4"/>
    <x v="3"/>
    <x v="1"/>
    <n v="2"/>
    <x v="1"/>
    <s v="KAMPALA"/>
    <s v="KAMPALA"/>
    <s v="UGA"/>
    <n v="2"/>
    <s v="Work"/>
    <s v="LUWERO"/>
    <s v="LUWERO"/>
    <s v="UGA"/>
    <n v="1"/>
    <s v="Home"/>
    <x v="1"/>
    <n v="5000"/>
    <n v="504"/>
    <x v="3"/>
    <n v="1"/>
    <x v="2"/>
    <n v="4"/>
    <s v="Office Worker"/>
    <n v="1"/>
    <x v="2"/>
    <n v="1"/>
    <n v="1"/>
    <n v="4"/>
    <n v="4"/>
    <n v="1"/>
    <s v="Y"/>
    <n v="2000"/>
    <x v="4"/>
  </r>
  <r>
    <d v="2019-10-26T00:00:00"/>
    <d v="1899-12-30T07:06:00"/>
    <m/>
    <s v="D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30000"/>
    <n v="40"/>
    <x v="1"/>
    <n v="1"/>
    <x v="2"/>
    <n v="5"/>
    <s v="Professional"/>
    <n v="1"/>
    <x v="2"/>
    <n v="1"/>
    <n v="1"/>
    <n v="5"/>
    <n v="1"/>
    <n v="1"/>
    <s v="Y"/>
    <n v="7000"/>
    <x v="2"/>
  </r>
  <r>
    <d v="2019-10-26T00:00:00"/>
    <d v="1899-12-30T07:43:00"/>
    <m/>
    <s v="D"/>
    <n v="2"/>
    <s v="Road Vehicle"/>
    <n v="4"/>
    <x v="3"/>
    <x v="1"/>
    <n v="2"/>
    <x v="1"/>
    <s v="LUWERO"/>
    <s v="LUWERO"/>
    <s v="UGA"/>
    <n v="2"/>
    <s v="Work"/>
    <s v="ARUA"/>
    <s v="ARUA"/>
    <s v="UGA"/>
    <n v="2"/>
    <s v="Work"/>
    <x v="5"/>
    <n v="200000"/>
    <n v="320"/>
    <x v="3"/>
    <n v="5"/>
    <x v="0"/>
    <n v="5"/>
    <s v="Professional"/>
    <n v="4"/>
    <x v="3"/>
    <n v="1"/>
    <n v="5"/>
    <n v="4"/>
    <n v="5"/>
    <n v="1"/>
    <s v="Y"/>
    <n v="1000"/>
    <x v="1"/>
  </r>
  <r>
    <d v="2019-10-26T00:00:00"/>
    <d v="1899-12-30T14:20:00"/>
    <m/>
    <s v="P"/>
    <n v="2"/>
    <s v="Road Vehicle"/>
    <n v="4"/>
    <x v="3"/>
    <x v="1"/>
    <n v="2"/>
    <x v="1"/>
    <s v="NGOMA"/>
    <s v="NAKASEKE"/>
    <s v="UGA"/>
    <n v="2"/>
    <s v="Work"/>
    <s v="LUWERO"/>
    <s v="LUWERO"/>
    <s v="UGA"/>
    <n v="2"/>
    <s v="Work"/>
    <x v="5"/>
    <n v="10000"/>
    <m/>
    <x v="4"/>
    <n v="3"/>
    <x v="1"/>
    <n v="6"/>
    <s v="Businessman"/>
    <n v="2"/>
    <x v="1"/>
    <n v="1"/>
    <n v="3"/>
    <n v="2"/>
    <n v="5"/>
    <n v="1"/>
    <s v="Y"/>
    <n v="10000"/>
    <x v="3"/>
  </r>
  <r>
    <d v="2019-10-26T00:00:00"/>
    <d v="1899-12-30T14:10:00"/>
    <m/>
    <s v="D"/>
    <n v="2"/>
    <s v="Road Vehicle"/>
    <n v="4"/>
    <x v="3"/>
    <x v="1"/>
    <n v="2"/>
    <x v="1"/>
    <s v="NTINDA"/>
    <s v="KAMPALA"/>
    <s v="UGA"/>
    <n v="2"/>
    <s v="Work"/>
    <s v="KIGOMA"/>
    <s v="LUWERO"/>
    <s v="UGA"/>
    <n v="2"/>
    <s v="Work"/>
    <x v="5"/>
    <n v="100000"/>
    <n v="45"/>
    <x v="1"/>
    <n v="4"/>
    <x v="0"/>
    <n v="5"/>
    <s v="Professional"/>
    <n v="1"/>
    <x v="2"/>
    <n v="5"/>
    <n v="5"/>
    <n v="4"/>
    <n v="5"/>
    <n v="1"/>
    <s v="Y"/>
    <n v="10000"/>
    <x v="3"/>
  </r>
  <r>
    <d v="2019-10-26T00:00:00"/>
    <d v="1899-12-30T15:00:00"/>
    <m/>
    <s v="D"/>
    <n v="2"/>
    <s v="Road Vehicle"/>
    <n v="4"/>
    <x v="3"/>
    <x v="1"/>
    <n v="2"/>
    <x v="1"/>
    <s v="NATEETE"/>
    <s v="KAMPALA"/>
    <s v="UGA"/>
    <n v="1"/>
    <s v="Home"/>
    <s v="SEETA"/>
    <s v="LUWERO"/>
    <s v="UGA"/>
    <n v="1"/>
    <s v="Home"/>
    <x v="2"/>
    <n v="200000"/>
    <n v="90"/>
    <x v="0"/>
    <n v="3"/>
    <x v="1"/>
    <n v="6"/>
    <s v="Businessman"/>
    <n v="1"/>
    <x v="2"/>
    <n v="1"/>
    <n v="4"/>
    <n v="1"/>
    <n v="5"/>
    <n v="1"/>
    <s v="Y"/>
    <n v="9000"/>
    <x v="2"/>
  </r>
  <r>
    <m/>
    <d v="1899-12-30T17:48:00"/>
    <m/>
    <s v="P"/>
    <n v="2"/>
    <s v="Road Vehicle"/>
    <n v="4"/>
    <x v="3"/>
    <x v="1"/>
    <n v="2"/>
    <x v="1"/>
    <s v="BWAISE"/>
    <s v="KAMPALA"/>
    <s v="UGA"/>
    <n v="2"/>
    <s v="Work"/>
    <s v="KARUMA"/>
    <s v="KIRYANDONGO"/>
    <s v="UGA"/>
    <n v="1"/>
    <s v="Home"/>
    <x v="1"/>
    <n v="10000"/>
    <n v="180"/>
    <x v="2"/>
    <n v="4"/>
    <x v="0"/>
    <n v="6"/>
    <s v="Businessman"/>
    <n v="3"/>
    <x v="0"/>
    <n v="2"/>
    <n v="1"/>
    <n v="2"/>
    <n v="1"/>
    <n v="2"/>
    <s v="Y"/>
    <n v="500"/>
    <x v="0"/>
  </r>
  <r>
    <m/>
    <d v="1899-12-30T15:29:00"/>
    <m/>
    <s v="P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4000"/>
    <n v="80"/>
    <x v="0"/>
    <n v="1"/>
    <x v="2"/>
    <n v="6"/>
    <s v="Businessman"/>
    <n v="2"/>
    <x v="1"/>
    <n v="2"/>
    <n v="2"/>
    <n v="2"/>
    <n v="1"/>
    <n v="2"/>
    <s v="Y"/>
    <n v="1000"/>
    <x v="1"/>
  </r>
  <r>
    <m/>
    <d v="1899-12-30T13:55:00"/>
    <m/>
    <s v="P"/>
    <n v="2"/>
    <s v="Road Vehicle"/>
    <n v="4"/>
    <x v="3"/>
    <x v="1"/>
    <n v="2"/>
    <x v="1"/>
    <s v="LUWERO"/>
    <s v="LUWERO"/>
    <s v="UGA"/>
    <n v="2"/>
    <s v="Work"/>
    <s v="BOMBO"/>
    <s v="LUWERO"/>
    <s v="UGA"/>
    <n v="2"/>
    <s v="Work"/>
    <x v="5"/>
    <n v="3000"/>
    <n v="39"/>
    <x v="5"/>
    <n v="1"/>
    <x v="2"/>
    <n v="6"/>
    <s v="Businessman"/>
    <n v="1"/>
    <x v="2"/>
    <n v="2"/>
    <n v="3"/>
    <n v="2"/>
    <n v="2"/>
    <n v="1"/>
    <s v="Y"/>
    <n v="2000"/>
    <x v="4"/>
  </r>
  <r>
    <m/>
    <d v="1899-12-30T12:01:00"/>
    <m/>
    <s v="P"/>
    <n v="2"/>
    <s v="Road Vehicle"/>
    <n v="4"/>
    <x v="3"/>
    <x v="1"/>
    <n v="2"/>
    <x v="1"/>
    <s v="LUWERO"/>
    <s v="LUWERO"/>
    <s v="UGA"/>
    <n v="2"/>
    <s v="Work"/>
    <s v="KINONI"/>
    <s v="GOMBA"/>
    <s v="UGA"/>
    <n v="2"/>
    <s v="Work"/>
    <x v="5"/>
    <n v="2000"/>
    <n v="25"/>
    <x v="5"/>
    <n v="1"/>
    <x v="2"/>
    <n v="4"/>
    <s v="Office Worker"/>
    <n v="3"/>
    <x v="0"/>
    <n v="5"/>
    <n v="2"/>
    <n v="2"/>
    <n v="1"/>
    <n v="2"/>
    <s v="Y"/>
    <n v="1000"/>
    <x v="1"/>
  </r>
  <r>
    <m/>
    <d v="1899-12-30T10:40:00"/>
    <m/>
    <s v="D"/>
    <n v="2"/>
    <s v="Road Vehicle"/>
    <n v="4"/>
    <x v="3"/>
    <x v="1"/>
    <n v="2"/>
    <x v="1"/>
    <s v="NAMUGONGO"/>
    <s v="WAKISO"/>
    <s v="UGA"/>
    <n v="2"/>
    <s v="Work"/>
    <s v="LUWERO"/>
    <s v="LUWERO"/>
    <s v="UGA"/>
    <n v="2"/>
    <s v="Work"/>
    <x v="5"/>
    <n v="40000"/>
    <n v="8"/>
    <x v="4"/>
    <n v="1"/>
    <x v="2"/>
    <n v="6"/>
    <s v="Businessman"/>
    <n v="4"/>
    <x v="3"/>
    <m/>
    <m/>
    <m/>
    <m/>
    <m/>
    <s v="Y"/>
    <n v="1000"/>
    <x v="1"/>
  </r>
  <r>
    <m/>
    <d v="1899-12-30T10:35:00"/>
    <m/>
    <s v="P"/>
    <n v="2"/>
    <s v="Road Vehicle"/>
    <n v="4"/>
    <x v="3"/>
    <x v="1"/>
    <n v="2"/>
    <x v="1"/>
    <s v="BWAISE"/>
    <s v="KAMPALA"/>
    <s v="UGA"/>
    <n v="1"/>
    <s v="Home"/>
    <s v="LUWERO"/>
    <s v="LUWERO"/>
    <s v="UGA"/>
    <n v="2"/>
    <s v="Work"/>
    <x v="8"/>
    <n v="3000"/>
    <n v="75"/>
    <x v="0"/>
    <n v="1"/>
    <x v="2"/>
    <n v="5"/>
    <s v="Professional"/>
    <n v="4"/>
    <x v="3"/>
    <n v="1"/>
    <n v="2"/>
    <n v="1"/>
    <n v="2"/>
    <n v="2"/>
    <s v="Y"/>
    <n v="1000"/>
    <x v="1"/>
  </r>
  <r>
    <m/>
    <d v="1899-12-30T10:29:00"/>
    <m/>
    <s v="D"/>
    <n v="2"/>
    <s v="Road Vehicle"/>
    <n v="4"/>
    <x v="3"/>
    <x v="1"/>
    <n v="2"/>
    <x v="1"/>
    <s v="KIGOGWA"/>
    <s v="WAKISO"/>
    <s v="UGA"/>
    <n v="2"/>
    <s v="Work"/>
    <s v="LUWERO"/>
    <s v="LUWERO"/>
    <s v="UGA"/>
    <n v="2"/>
    <s v="Work"/>
    <x v="5"/>
    <n v="30000"/>
    <n v="65"/>
    <x v="1"/>
    <n v="0.8"/>
    <x v="3"/>
    <n v="4"/>
    <s v="Office Worker"/>
    <n v="2"/>
    <x v="1"/>
    <n v="1"/>
    <n v="1"/>
    <n v="2"/>
    <n v="1"/>
    <n v="2"/>
    <s v="Y"/>
    <n v="1000"/>
    <x v="1"/>
  </r>
  <r>
    <m/>
    <d v="1899-12-30T09:18:00"/>
    <m/>
    <s v="P"/>
    <n v="2"/>
    <s v="Road Vehicle"/>
    <n v="4"/>
    <x v="3"/>
    <x v="1"/>
    <n v="2"/>
    <x v="1"/>
    <s v="KAWEWETA"/>
    <s v="NAKASEKE"/>
    <s v="UGA"/>
    <n v="2"/>
    <s v="Work"/>
    <s v="LUWERO"/>
    <s v="LUWERO"/>
    <s v="UGA"/>
    <n v="2"/>
    <s v="Work"/>
    <x v="5"/>
    <n v="10000"/>
    <n v="150"/>
    <x v="2"/>
    <n v="3"/>
    <x v="1"/>
    <n v="6"/>
    <s v="Businessman"/>
    <n v="3"/>
    <x v="0"/>
    <n v="5"/>
    <n v="2"/>
    <n v="1"/>
    <n v="2"/>
    <n v="1"/>
    <s v="Y"/>
    <n v="500"/>
    <x v="0"/>
  </r>
  <r>
    <m/>
    <d v="1899-12-30T07:48:00"/>
    <m/>
    <s v="P"/>
    <n v="2"/>
    <s v="Road Vehicle"/>
    <n v="4"/>
    <x v="3"/>
    <x v="1"/>
    <n v="2"/>
    <x v="1"/>
    <s v="ENTEBBE"/>
    <s v="WAKISO"/>
    <s v="UGA"/>
    <n v="1"/>
    <s v="Home"/>
    <s v="KARUMA"/>
    <s v="KIRYANDONGO"/>
    <s v="UGA"/>
    <n v="2"/>
    <s v="Work"/>
    <x v="8"/>
    <n v="10000"/>
    <n v="250"/>
    <x v="3"/>
    <n v="4"/>
    <x v="0"/>
    <n v="2"/>
    <s v="Manual Labour"/>
    <n v="2"/>
    <x v="1"/>
    <n v="2"/>
    <n v="1"/>
    <n v="2"/>
    <n v="1"/>
    <n v="2"/>
    <s v="Y"/>
    <n v="500"/>
    <x v="0"/>
  </r>
  <r>
    <d v="2019-10-25T00:00:00"/>
    <d v="1899-12-30T11:47:00"/>
    <m/>
    <s v="P"/>
    <n v="2"/>
    <s v="Road Vehicle"/>
    <n v="4"/>
    <x v="3"/>
    <x v="1"/>
    <n v="2"/>
    <x v="1"/>
    <s v="LUWERO"/>
    <s v="LUWERO"/>
    <s v="UGA"/>
    <n v="1"/>
    <s v="Home"/>
    <s v="KAMPALA"/>
    <s v="KAMPALA"/>
    <s v="UGA"/>
    <n v="2"/>
    <s v="Work"/>
    <x v="8"/>
    <n v="4000"/>
    <n v="80"/>
    <x v="0"/>
    <n v="1"/>
    <x v="2"/>
    <n v="6"/>
    <s v="Businessman"/>
    <n v="2"/>
    <x v="1"/>
    <n v="2"/>
    <n v="2"/>
    <n v="1"/>
    <n v="1"/>
    <n v="1"/>
    <s v="Y"/>
    <n v="1000"/>
    <x v="1"/>
  </r>
  <r>
    <d v="2019-10-24T00:00:00"/>
    <d v="1899-12-30T10:26:00"/>
    <m/>
    <s v="P"/>
    <n v="2"/>
    <s v="Road Vehicle"/>
    <n v="3"/>
    <x v="6"/>
    <x v="0"/>
    <n v="2"/>
    <x v="1"/>
    <s v="KIGUMA"/>
    <s v="MASINDI"/>
    <s v="UGA"/>
    <n v="2"/>
    <s v="Work"/>
    <s v="NAKASONGOLA"/>
    <s v="NAKASONGOLA"/>
    <s v="UGA"/>
    <n v="5"/>
    <s v="Tourism"/>
    <x v="23"/>
    <n v="20000"/>
    <n v="98"/>
    <x v="0"/>
    <n v="2"/>
    <x v="1"/>
    <n v="7"/>
    <s v="Farmer"/>
    <n v="3"/>
    <x v="0"/>
    <n v="1"/>
    <n v="2"/>
    <n v="1"/>
    <n v="2"/>
    <n v="1"/>
    <s v="Y"/>
    <n v="1000"/>
    <x v="1"/>
  </r>
  <r>
    <d v="2019-10-24T00:00:00"/>
    <d v="1899-12-30T10:37:00"/>
    <m/>
    <s v="P"/>
    <n v="2"/>
    <s v="Road Vehicle"/>
    <n v="3"/>
    <x v="6"/>
    <x v="1"/>
    <n v="2"/>
    <x v="1"/>
    <s v="KASANA"/>
    <s v="LUWERO"/>
    <s v="UGA"/>
    <n v="2"/>
    <s v="Work"/>
    <s v="KIREKA"/>
    <s v="WAKISO"/>
    <s v="UGA"/>
    <n v="2"/>
    <s v="Work"/>
    <x v="5"/>
    <n v="6000"/>
    <n v="42"/>
    <x v="1"/>
    <n v="2"/>
    <x v="1"/>
    <n v="2"/>
    <s v="Manual Labour"/>
    <n v="1"/>
    <x v="2"/>
    <n v="1"/>
    <n v="2"/>
    <n v="1"/>
    <n v="1"/>
    <n v="2"/>
    <s v="Y"/>
    <n v="2000"/>
    <x v="4"/>
  </r>
  <r>
    <d v="2019-10-24T00:00:00"/>
    <d v="1899-12-30T07:00:00"/>
    <m/>
    <s v="D"/>
    <n v="2"/>
    <s v="Road Vehicle"/>
    <n v="3"/>
    <x v="6"/>
    <x v="1"/>
    <n v="2"/>
    <x v="1"/>
    <s v="LUWERO"/>
    <s v="LUWERO"/>
    <s v="UGA"/>
    <n v="2"/>
    <s v="Work"/>
    <s v="NALONGO"/>
    <s v="LUWERO"/>
    <s v="UGA"/>
    <n v="1"/>
    <s v="Home"/>
    <x v="1"/>
    <n v="20000"/>
    <n v="10"/>
    <x v="6"/>
    <n v="0.3"/>
    <x v="4"/>
    <n v="1"/>
    <s v="Unemployed"/>
    <n v="2"/>
    <x v="1"/>
    <n v="1"/>
    <n v="1"/>
    <n v="2"/>
    <n v="1"/>
    <n v="2"/>
    <s v="Y"/>
    <n v="1000"/>
    <x v="1"/>
  </r>
  <r>
    <d v="2019-10-24T00:00:00"/>
    <d v="1899-12-30T07:50:00"/>
    <m/>
    <s v="P"/>
    <n v="2"/>
    <s v="Road Vehicle"/>
    <n v="3"/>
    <x v="6"/>
    <x v="1"/>
    <n v="2"/>
    <x v="1"/>
    <s v="LUWERO"/>
    <s v="LUWERO"/>
    <s v="UGA"/>
    <n v="2"/>
    <s v="Work"/>
    <s v="MATUGA"/>
    <s v="WAKISO"/>
    <s v="UGA"/>
    <n v="2"/>
    <s v="Work"/>
    <x v="5"/>
    <n v="5000"/>
    <n v="35"/>
    <x v="5"/>
    <n v="1"/>
    <x v="2"/>
    <n v="4"/>
    <s v="Office Worker"/>
    <n v="4"/>
    <x v="3"/>
    <n v="1"/>
    <n v="1"/>
    <n v="1"/>
    <n v="2"/>
    <n v="1"/>
    <s v="Y"/>
    <n v="5000"/>
    <x v="2"/>
  </r>
  <r>
    <d v="2019-10-25T00:00:00"/>
    <d v="1899-12-30T10:50:00"/>
    <m/>
    <s v="D"/>
    <n v="2"/>
    <s v="Road Vehicle"/>
    <n v="3"/>
    <x v="6"/>
    <x v="1"/>
    <n v="2"/>
    <x v="1"/>
    <s v="KIRYANDONGO"/>
    <s v="KIRYANDONGO"/>
    <s v="UGA"/>
    <n v="2"/>
    <s v="Work"/>
    <s v="KAMPALA"/>
    <s v="KAMPALA"/>
    <s v="UGA"/>
    <n v="2"/>
    <s v="Work"/>
    <x v="5"/>
    <n v="200000"/>
    <n v="270"/>
    <x v="3"/>
    <n v="4"/>
    <x v="0"/>
    <n v="6"/>
    <s v="Businessman"/>
    <n v="3"/>
    <x v="0"/>
    <n v="4"/>
    <n v="2"/>
    <n v="1"/>
    <n v="1"/>
    <n v="1"/>
    <s v="Y"/>
    <n v="2000"/>
    <x v="4"/>
  </r>
  <r>
    <d v="2019-10-26T00:00:00"/>
    <d v="1899-12-30T10:44:00"/>
    <m/>
    <s v="D"/>
    <n v="2"/>
    <s v="Road Vehicle"/>
    <n v="3"/>
    <x v="6"/>
    <x v="1"/>
    <n v="2"/>
    <x v="1"/>
    <s v="NGOMA"/>
    <s v="NAKASEKE"/>
    <s v="UGA"/>
    <n v="1"/>
    <s v="Home"/>
    <s v="LUWERO"/>
    <s v="LUWERO"/>
    <s v="UGA"/>
    <n v="2"/>
    <s v="Work"/>
    <x v="8"/>
    <n v="90000"/>
    <n v="62"/>
    <x v="1"/>
    <n v="1.5"/>
    <x v="2"/>
    <n v="6"/>
    <s v="Businessman"/>
    <n v="3"/>
    <x v="0"/>
    <n v="4"/>
    <n v="4"/>
    <n v="1"/>
    <n v="1"/>
    <n v="2"/>
    <s v="Y"/>
    <n v="3000"/>
    <x v="5"/>
  </r>
  <r>
    <d v="2019-10-26T00:00:00"/>
    <d v="1899-12-30T07:40:00"/>
    <m/>
    <s v="D"/>
    <n v="2"/>
    <s v="Road Vehicle"/>
    <n v="3"/>
    <x v="6"/>
    <x v="1"/>
    <n v="2"/>
    <x v="1"/>
    <s v="BUSEGA"/>
    <s v="WAKISO"/>
    <s v="UGA"/>
    <n v="1"/>
    <s v="Home"/>
    <s v="KASANA"/>
    <s v="LUWERO"/>
    <s v="UGA"/>
    <n v="1"/>
    <s v="Home"/>
    <x v="2"/>
    <n v="120000"/>
    <n v="70"/>
    <x v="0"/>
    <n v="2"/>
    <x v="1"/>
    <n v="5"/>
    <s v="Professional"/>
    <n v="1"/>
    <x v="2"/>
    <n v="1"/>
    <n v="1"/>
    <n v="1"/>
    <n v="1"/>
    <n v="1"/>
    <s v="Y"/>
    <n v="8000"/>
    <x v="2"/>
  </r>
  <r>
    <d v="2019-10-26T00:00:00"/>
    <d v="1899-12-30T13:00:00"/>
    <m/>
    <s v="D"/>
    <n v="2"/>
    <s v="Road Vehicle"/>
    <n v="3"/>
    <x v="6"/>
    <x v="1"/>
    <n v="2"/>
    <x v="1"/>
    <s v="KAMPALA"/>
    <s v="KAMPALA"/>
    <s v="UGA"/>
    <n v="1"/>
    <s v="Home"/>
    <s v="LUWERO"/>
    <s v="LUWERO"/>
    <s v="UGA"/>
    <n v="1"/>
    <s v="Home"/>
    <x v="2"/>
    <n v="150000"/>
    <n v="67"/>
    <x v="1"/>
    <n v="2"/>
    <x v="1"/>
    <n v="6"/>
    <s v="Businessman"/>
    <n v="2"/>
    <x v="1"/>
    <n v="1"/>
    <n v="1"/>
    <n v="1"/>
    <n v="3"/>
    <n v="1"/>
    <s v="Y"/>
    <n v="9000"/>
    <x v="2"/>
  </r>
  <r>
    <m/>
    <d v="1899-12-30T11:52:00"/>
    <m/>
    <s v="D"/>
    <n v="2"/>
    <s v="Road Vehicle"/>
    <n v="3"/>
    <x v="6"/>
    <x v="1"/>
    <n v="2"/>
    <x v="1"/>
    <s v="KIRYANDONGO"/>
    <s v="KIRYANDONGO"/>
    <s v="UGA"/>
    <n v="1"/>
    <s v="Home"/>
    <s v="KAMPALA"/>
    <s v="KAMPALA"/>
    <s v="UGA"/>
    <n v="2"/>
    <s v="Work"/>
    <x v="8"/>
    <n v="80000"/>
    <n v="200"/>
    <x v="3"/>
    <n v="2"/>
    <x v="1"/>
    <n v="5"/>
    <s v="Professional"/>
    <n v="4"/>
    <x v="3"/>
    <n v="5"/>
    <n v="2"/>
    <n v="1"/>
    <n v="2"/>
    <n v="2"/>
    <s v="Y"/>
    <n v="2000"/>
    <x v="4"/>
  </r>
  <r>
    <d v="2019-10-25T00:00:00"/>
    <d v="1899-12-30T08:33:00"/>
    <m/>
    <s v="P"/>
    <n v="2"/>
    <s v="Road Vehicle"/>
    <n v="2"/>
    <x v="4"/>
    <x v="0"/>
    <n v="2"/>
    <x v="1"/>
    <s v="LUWERO"/>
    <s v="LUWERO"/>
    <s v="UGA"/>
    <n v="2"/>
    <s v="Work"/>
    <s v="LUWERO"/>
    <s v="LUWERO"/>
    <s v="UGA"/>
    <n v="1"/>
    <s v="Home"/>
    <x v="1"/>
    <n v="3000"/>
    <n v="75"/>
    <x v="0"/>
    <n v="1"/>
    <x v="2"/>
    <n v="6"/>
    <s v="Businessman"/>
    <n v="3"/>
    <x v="0"/>
    <n v="5"/>
    <n v="1"/>
    <n v="4"/>
    <n v="2"/>
    <n v="2"/>
    <s v="Y"/>
    <n v="1000"/>
    <x v="1"/>
  </r>
  <r>
    <d v="2019-10-25T00:00:00"/>
    <d v="1899-12-30T13:13:00"/>
    <m/>
    <s v="D"/>
    <n v="2"/>
    <s v="Road Vehicle"/>
    <n v="2"/>
    <x v="4"/>
    <x v="0"/>
    <n v="2"/>
    <x v="1"/>
    <s v="BOMBO"/>
    <s v="LUWERO"/>
    <s v="UGA"/>
    <n v="1"/>
    <s v="Home"/>
    <s v="NGOMA"/>
    <s v="NAKASEKE"/>
    <s v="UGA"/>
    <n v="6"/>
    <s v="Leisure/Social"/>
    <x v="3"/>
    <n v="50000"/>
    <n v="94"/>
    <x v="0"/>
    <n v="2"/>
    <x v="1"/>
    <n v="10"/>
    <s v="Other"/>
    <n v="1"/>
    <x v="2"/>
    <n v="4"/>
    <n v="4"/>
    <n v="4"/>
    <n v="1"/>
    <n v="1"/>
    <s v="Y"/>
    <n v="0"/>
    <x v="0"/>
  </r>
  <r>
    <d v="2019-10-26T00:00:00"/>
    <d v="1899-12-30T12:22:00"/>
    <m/>
    <s v="P"/>
    <n v="2"/>
    <s v="Road Vehicle"/>
    <n v="2"/>
    <x v="4"/>
    <x v="0"/>
    <n v="2"/>
    <x v="1"/>
    <s v="KAWEMPE"/>
    <s v="KAMPALA"/>
    <s v="UGA"/>
    <n v="1"/>
    <s v="Home"/>
    <s v="LUWERO"/>
    <s v="LUWERO"/>
    <s v="UGA"/>
    <n v="2"/>
    <s v="Work"/>
    <x v="8"/>
    <n v="3000"/>
    <n v="25"/>
    <x v="5"/>
    <n v="1"/>
    <x v="2"/>
    <n v="5"/>
    <s v="Professional"/>
    <n v="1"/>
    <x v="2"/>
    <n v="1"/>
    <n v="1"/>
    <n v="5"/>
    <n v="1"/>
    <n v="1"/>
    <s v="Y"/>
    <n v="5000"/>
    <x v="2"/>
  </r>
  <r>
    <d v="2019-10-26T00:00:00"/>
    <d v="1899-12-30T14:30:00"/>
    <m/>
    <s v="D"/>
    <n v="2"/>
    <s v="Road Vehicle"/>
    <n v="2"/>
    <x v="4"/>
    <x v="0"/>
    <n v="2"/>
    <x v="1"/>
    <s v="KARUMA"/>
    <s v="KIRYANDONGO"/>
    <s v="UGA"/>
    <n v="2"/>
    <s v="Work"/>
    <s v="LUWERO"/>
    <s v="LUWERO"/>
    <s v="UGA"/>
    <n v="2"/>
    <s v="Work"/>
    <x v="5"/>
    <n v="180000"/>
    <n v="180"/>
    <x v="2"/>
    <n v="4"/>
    <x v="0"/>
    <n v="7"/>
    <s v="Farmer"/>
    <n v="1"/>
    <x v="2"/>
    <n v="1"/>
    <n v="4"/>
    <n v="5"/>
    <n v="5"/>
    <n v="1"/>
    <s v="Y"/>
    <n v="1000"/>
    <x v="1"/>
  </r>
  <r>
    <d v="2019-10-26T00:00:00"/>
    <d v="1899-12-30T14:16:00"/>
    <m/>
    <s v="D"/>
    <n v="2"/>
    <s v="Road Vehicle"/>
    <n v="2"/>
    <x v="4"/>
    <x v="0"/>
    <n v="2"/>
    <x v="1"/>
    <s v="NSAMBYA"/>
    <s v="KAMPALA"/>
    <s v="UGA"/>
    <n v="1"/>
    <s v="Home"/>
    <s v="KIZITO"/>
    <s v="LUWERO"/>
    <s v="UGA"/>
    <n v="1"/>
    <s v="Home"/>
    <x v="2"/>
    <n v="150000"/>
    <n v="150"/>
    <x v="2"/>
    <n v="4"/>
    <x v="0"/>
    <n v="5"/>
    <s v="Professional"/>
    <n v="1"/>
    <x v="2"/>
    <n v="5"/>
    <n v="5"/>
    <n v="2"/>
    <n v="1"/>
    <n v="1"/>
    <s v="Y"/>
    <n v="12000"/>
    <x v="3"/>
  </r>
  <r>
    <m/>
    <d v="1899-12-30T09:25:00"/>
    <m/>
    <s v="P"/>
    <n v="2"/>
    <s v="Road Vehicle"/>
    <n v="2"/>
    <x v="4"/>
    <x v="0"/>
    <n v="2"/>
    <x v="1"/>
    <s v="KAMPALA"/>
    <s v="KAMPALA"/>
    <s v="UGA"/>
    <n v="2"/>
    <s v="Work"/>
    <s v="ARUA"/>
    <s v="ARUA"/>
    <s v="UGA"/>
    <n v="2"/>
    <s v="Work"/>
    <x v="5"/>
    <n v="800000"/>
    <n v="500"/>
    <x v="3"/>
    <n v="9"/>
    <x v="0"/>
    <n v="4"/>
    <s v="Office Worker"/>
    <n v="2"/>
    <x v="1"/>
    <n v="5"/>
    <n v="2"/>
    <n v="5"/>
    <n v="2"/>
    <n v="2"/>
    <s v="Y"/>
    <n v="2000"/>
    <x v="4"/>
  </r>
  <r>
    <d v="2019-10-25T00:00:00"/>
    <d v="1899-12-30T08:35:00"/>
    <m/>
    <s v="P"/>
    <n v="2"/>
    <s v="Road Vehicle"/>
    <n v="2"/>
    <x v="4"/>
    <x v="1"/>
    <n v="2"/>
    <x v="1"/>
    <s v="NGOMA"/>
    <s v="NAKASEKE"/>
    <s v="UGA"/>
    <n v="1"/>
    <s v="Home"/>
    <s v="LUWERO"/>
    <s v="LUWERO"/>
    <s v="UGA"/>
    <n v="2"/>
    <s v="Work"/>
    <x v="8"/>
    <n v="10000"/>
    <n v="100"/>
    <x v="2"/>
    <n v="4"/>
    <x v="0"/>
    <n v="6"/>
    <s v="Businessman"/>
    <n v="4"/>
    <x v="3"/>
    <n v="5"/>
    <n v="2"/>
    <n v="3"/>
    <n v="1"/>
    <n v="2"/>
    <s v="Y"/>
    <n v="1000"/>
    <x v="1"/>
  </r>
  <r>
    <d v="2019-10-25T00:00:00"/>
    <d v="1899-12-30T10:42:00"/>
    <m/>
    <s v="P"/>
    <n v="2"/>
    <s v="Road Vehicle"/>
    <n v="2"/>
    <x v="4"/>
    <x v="1"/>
    <n v="2"/>
    <x v="1"/>
    <s v="KARUMA"/>
    <s v="KIRYANDONGO"/>
    <s v="UGA"/>
    <n v="1"/>
    <s v="Home"/>
    <s v="KASANA"/>
    <s v="LUWERO"/>
    <s v="UGA"/>
    <n v="2"/>
    <s v="Work"/>
    <x v="8"/>
    <n v="25000"/>
    <n v="280"/>
    <x v="3"/>
    <n v="4"/>
    <x v="0"/>
    <n v="5"/>
    <s v="Professional"/>
    <n v="5"/>
    <x v="4"/>
    <n v="3"/>
    <m/>
    <n v="2"/>
    <n v="1"/>
    <n v="2"/>
    <s v="Y"/>
    <n v="1000"/>
    <x v="1"/>
  </r>
  <r>
    <d v="2019-10-25T00:00:00"/>
    <d v="1899-12-30T07:25:00"/>
    <m/>
    <s v="P"/>
    <n v="2"/>
    <s v="Road Vehicle"/>
    <n v="2"/>
    <x v="4"/>
    <x v="1"/>
    <n v="2"/>
    <x v="1"/>
    <s v="LUWERO"/>
    <s v="LUWERO"/>
    <s v="UGA"/>
    <n v="1"/>
    <s v="Home"/>
    <s v="KAWEWETE"/>
    <s v="NAKASEKE"/>
    <s v="UGA"/>
    <n v="8"/>
    <s v="Others"/>
    <x v="4"/>
    <n v="10000"/>
    <n v="55"/>
    <x v="1"/>
    <n v="2"/>
    <x v="1"/>
    <n v="7"/>
    <s v="Farmer"/>
    <n v="2"/>
    <x v="1"/>
    <n v="2"/>
    <n v="1"/>
    <n v="2"/>
    <n v="1"/>
    <n v="2"/>
    <s v="Y"/>
    <n v="2000"/>
    <x v="4"/>
  </r>
  <r>
    <d v="2019-10-25T00:00:00"/>
    <d v="1899-12-30T11:38:00"/>
    <m/>
    <s v="D"/>
    <n v="2"/>
    <s v="Road Vehicle"/>
    <n v="2"/>
    <x v="4"/>
    <x v="1"/>
    <n v="2"/>
    <x v="1"/>
    <s v="LUWERO"/>
    <s v="LUWERO"/>
    <s v="UGA"/>
    <n v="2"/>
    <s v="Work"/>
    <s v="WABULENZI"/>
    <s v="LUWERO"/>
    <s v="UGA"/>
    <n v="2"/>
    <s v="Work"/>
    <x v="5"/>
    <n v="20000"/>
    <n v="15"/>
    <x v="6"/>
    <n v="0.1"/>
    <x v="4"/>
    <n v="4"/>
    <s v="Office Worker"/>
    <n v="4"/>
    <x v="3"/>
    <n v="1"/>
    <n v="1"/>
    <n v="1"/>
    <n v="1"/>
    <n v="2"/>
    <s v="Y"/>
    <n v="12000"/>
    <x v="3"/>
  </r>
  <r>
    <d v="2019-10-26T00:00:00"/>
    <d v="1899-12-30T14:46:00"/>
    <m/>
    <s v="P"/>
    <n v="2"/>
    <s v="Road Vehicle"/>
    <n v="2"/>
    <x v="4"/>
    <x v="1"/>
    <n v="2"/>
    <x v="1"/>
    <s v="KAWEMPE"/>
    <s v="KAMPALA"/>
    <s v="UGA"/>
    <n v="1"/>
    <s v="Home"/>
    <s v="LUWERO"/>
    <s v="LUWERO"/>
    <s v="UGA"/>
    <n v="5"/>
    <s v="Tourism"/>
    <x v="24"/>
    <n v="2500"/>
    <n v="58"/>
    <x v="1"/>
    <n v="1"/>
    <x v="2"/>
    <n v="10"/>
    <s v="Other"/>
    <n v="1"/>
    <x v="2"/>
    <n v="5"/>
    <n v="2"/>
    <n v="1"/>
    <n v="2"/>
    <n v="2"/>
    <s v="Y"/>
    <n v="2000"/>
    <x v="4"/>
  </r>
  <r>
    <d v="2019-10-26T00:00:00"/>
    <d v="1899-12-30T12:02:00"/>
    <m/>
    <s v="D"/>
    <n v="2"/>
    <s v="Road Vehicle"/>
    <n v="2"/>
    <x v="4"/>
    <x v="1"/>
    <n v="2"/>
    <x v="1"/>
    <s v="KAWANDA"/>
    <s v="WAKISO"/>
    <s v="UGA"/>
    <n v="1"/>
    <s v="Home"/>
    <s v="LUWERO"/>
    <s v="LUWERO"/>
    <s v="UGA"/>
    <n v="2"/>
    <s v="Work"/>
    <x v="8"/>
    <n v="35000"/>
    <n v="42"/>
    <x v="1"/>
    <n v="1"/>
    <x v="2"/>
    <n v="4"/>
    <s v="Office Worker"/>
    <n v="3"/>
    <x v="0"/>
    <n v="1"/>
    <n v="1"/>
    <n v="2"/>
    <n v="1"/>
    <n v="3"/>
    <s v="Y"/>
    <n v="5000"/>
    <x v="2"/>
  </r>
  <r>
    <d v="2019-10-26T00:00:00"/>
    <d v="1899-12-30T08:45:00"/>
    <m/>
    <s v="D"/>
    <n v="2"/>
    <s v="Road Vehicle"/>
    <n v="2"/>
    <x v="4"/>
    <x v="1"/>
    <n v="2"/>
    <x v="1"/>
    <s v="NDEEBA"/>
    <s v="KAMPALA"/>
    <s v="UGA"/>
    <n v="1"/>
    <s v="Home"/>
    <s v="LUWERO"/>
    <s v="LUWERO"/>
    <s v="UGA"/>
    <n v="2"/>
    <s v="Work"/>
    <x v="8"/>
    <n v="80000"/>
    <n v="70"/>
    <x v="0"/>
    <n v="1.5"/>
    <x v="2"/>
    <n v="4"/>
    <s v="Office Worker"/>
    <n v="2"/>
    <x v="1"/>
    <n v="1"/>
    <n v="1"/>
    <n v="1"/>
    <n v="5"/>
    <n v="1"/>
    <s v="Y"/>
    <n v="10000"/>
    <x v="3"/>
  </r>
  <r>
    <d v="2019-10-26T00:00:00"/>
    <d v="1899-12-30T07:55:00"/>
    <m/>
    <s v="D"/>
    <n v="2"/>
    <s v="Road Vehicle"/>
    <n v="2"/>
    <x v="4"/>
    <x v="1"/>
    <n v="2"/>
    <x v="1"/>
    <s v="BWEYOGERERE"/>
    <s v="WAKISO"/>
    <s v="UGA"/>
    <n v="1"/>
    <s v="Home"/>
    <s v="KASANA"/>
    <s v="LUWERO"/>
    <s v="UGA"/>
    <n v="1"/>
    <s v="Home"/>
    <x v="2"/>
    <n v="70000"/>
    <m/>
    <x v="4"/>
    <n v="2"/>
    <x v="1"/>
    <n v="1"/>
    <s v="Unemployed"/>
    <n v="1"/>
    <x v="2"/>
    <n v="1"/>
    <n v="5"/>
    <n v="1"/>
    <n v="5"/>
    <n v="3"/>
    <s v="Y"/>
    <n v="3000"/>
    <x v="5"/>
  </r>
  <r>
    <d v="2019-10-26T00:00:00"/>
    <d v="1899-12-30T07:25:00"/>
    <m/>
    <s v="D"/>
    <n v="2"/>
    <s v="Road Vehicle"/>
    <n v="2"/>
    <x v="4"/>
    <x v="1"/>
    <n v="2"/>
    <x v="1"/>
    <s v="WATTUBA"/>
    <s v="WAKISO"/>
    <s v="UGA"/>
    <n v="1"/>
    <s v="Home"/>
    <s v="KASANA"/>
    <s v="LUWERO"/>
    <s v="UGA"/>
    <n v="2"/>
    <s v="Work"/>
    <x v="8"/>
    <n v="20000"/>
    <n v="10"/>
    <x v="6"/>
    <n v="0.7"/>
    <x v="3"/>
    <n v="4"/>
    <s v="Office Worker"/>
    <n v="2"/>
    <x v="1"/>
    <n v="1"/>
    <n v="2"/>
    <n v="5"/>
    <n v="1"/>
    <n v="1"/>
    <s v="Y"/>
    <n v="10000"/>
    <x v="3"/>
  </r>
  <r>
    <d v="2019-10-26T00:00:00"/>
    <d v="1899-12-30T14:46:00"/>
    <m/>
    <s v="D"/>
    <n v="2"/>
    <s v="Road Vehicle"/>
    <n v="2"/>
    <x v="4"/>
    <x v="1"/>
    <n v="2"/>
    <x v="1"/>
    <s v="PAKWACH"/>
    <s v="PAKWACH"/>
    <s v="UGA"/>
    <n v="1"/>
    <s v="Home"/>
    <s v="LUWERO"/>
    <s v="LUWERO"/>
    <s v="UGA"/>
    <n v="1"/>
    <s v="Home"/>
    <x v="2"/>
    <n v="187000"/>
    <n v="140"/>
    <x v="2"/>
    <n v="4"/>
    <x v="0"/>
    <n v="5"/>
    <s v="Professional"/>
    <n v="1"/>
    <x v="2"/>
    <n v="1"/>
    <n v="5"/>
    <n v="5"/>
    <n v="5"/>
    <n v="1"/>
    <s v="Y"/>
    <n v="8000"/>
    <x v="2"/>
  </r>
  <r>
    <m/>
    <d v="1899-12-30T12:55:00"/>
    <m/>
    <s v="D"/>
    <n v="2"/>
    <s v="Road Vehicle"/>
    <n v="2"/>
    <x v="4"/>
    <x v="1"/>
    <n v="2"/>
    <x v="1"/>
    <s v="KAMPALA"/>
    <s v="KAMPALA"/>
    <s v="UGA"/>
    <n v="2"/>
    <s v="Work"/>
    <s v="MASINDI"/>
    <s v="MASINDI"/>
    <s v="UGA"/>
    <n v="2"/>
    <s v="Work"/>
    <x v="5"/>
    <n v="300000"/>
    <n v="250"/>
    <x v="3"/>
    <n v="5"/>
    <x v="0"/>
    <n v="6"/>
    <s v="Businessman"/>
    <n v="3"/>
    <x v="0"/>
    <n v="5"/>
    <n v="2"/>
    <n v="2"/>
    <n v="1"/>
    <n v="2"/>
    <s v="Y"/>
    <n v="5000"/>
    <x v="2"/>
  </r>
  <r>
    <d v="2019-10-25T00:00:00"/>
    <d v="1899-12-30T12:15:00"/>
    <m/>
    <s v="D"/>
    <n v="2"/>
    <s v="Road Vehicle"/>
    <n v="10"/>
    <x v="7"/>
    <x v="1"/>
    <n v="2"/>
    <x v="1"/>
    <s v="ADJUMANI"/>
    <s v="ADJUMANI"/>
    <s v="UGA"/>
    <n v="1"/>
    <s v="Home"/>
    <s v="BOMBO"/>
    <s v="LUWERO"/>
    <s v="UGA"/>
    <n v="2"/>
    <s v="Work"/>
    <x v="8"/>
    <n v="1000000"/>
    <n v="480"/>
    <x v="3"/>
    <n v="12"/>
    <x v="0"/>
    <n v="6"/>
    <s v="Businessman"/>
    <n v="1"/>
    <x v="2"/>
    <n v="4"/>
    <n v="2"/>
    <n v="2"/>
    <n v="1"/>
    <n v="2"/>
    <s v="Y"/>
    <n v="500"/>
    <x v="0"/>
  </r>
  <r>
    <d v="2019-10-29T00:00:00"/>
    <d v="1899-12-30T12:10:00"/>
    <m/>
    <s v="D"/>
    <n v="2"/>
    <s v="Road Vehicle"/>
    <n v="10"/>
    <x v="7"/>
    <x v="1"/>
    <n v="2"/>
    <x v="1"/>
    <s v="ARUA"/>
    <s v="ARUA"/>
    <s v="UGA"/>
    <n v="2"/>
    <s v="Work"/>
    <s v="KAMPALA"/>
    <s v="KAMPALA"/>
    <s v="UGA"/>
    <n v="2"/>
    <s v="Work"/>
    <x v="5"/>
    <n v="1000000"/>
    <n v="500"/>
    <x v="3"/>
    <n v="13"/>
    <x v="0"/>
    <n v="5"/>
    <s v="Professional"/>
    <n v="4"/>
    <x v="3"/>
    <n v="5"/>
    <n v="2"/>
    <n v="2"/>
    <n v="1"/>
    <n v="2"/>
    <s v="Y"/>
    <n v="1000"/>
    <x v="1"/>
  </r>
  <r>
    <d v="2019-10-26T00:00:00"/>
    <d v="1899-12-30T09:38:00"/>
    <m/>
    <s v="P"/>
    <n v="2"/>
    <s v="Road Vehicle"/>
    <n v="1"/>
    <x v="0"/>
    <x v="0"/>
    <n v="3"/>
    <x v="2"/>
    <s v="KINYONGANGA"/>
    <s v="NAKASEKE"/>
    <s v="UGA"/>
    <n v="1"/>
    <s v="Home"/>
    <s v="LUWERO"/>
    <s v="LUWERO"/>
    <s v="UGA"/>
    <n v="4"/>
    <s v="Commercial"/>
    <x v="12"/>
    <n v="7000"/>
    <n v="210"/>
    <x v="3"/>
    <n v="4"/>
    <x v="0"/>
    <n v="7"/>
    <s v="Farmer"/>
    <n v="3"/>
    <x v="0"/>
    <n v="4"/>
    <n v="3"/>
    <n v="2"/>
    <n v="1"/>
    <n v="2"/>
    <s v="Y"/>
    <n v="500"/>
    <x v="0"/>
  </r>
  <r>
    <d v="2019-10-24T00:00:00"/>
    <d v="1899-12-30T09:52:00"/>
    <m/>
    <s v="P"/>
    <n v="2"/>
    <s v="Road Vehicle"/>
    <n v="1"/>
    <x v="0"/>
    <x v="1"/>
    <n v="3"/>
    <x v="2"/>
    <s v="KASANA"/>
    <s v="LUWERO"/>
    <s v="UGA"/>
    <n v="1"/>
    <s v="Home"/>
    <s v="KAMANDA"/>
    <s v="WAKISO"/>
    <s v="UGA"/>
    <n v="4"/>
    <s v="Commercial"/>
    <x v="12"/>
    <n v="5000"/>
    <n v="40"/>
    <x v="1"/>
    <n v="1.2"/>
    <x v="2"/>
    <n v="6"/>
    <s v="Businessman"/>
    <n v="3"/>
    <x v="0"/>
    <n v="1"/>
    <n v="1"/>
    <n v="2"/>
    <n v="1"/>
    <n v="3"/>
    <s v="Y"/>
    <n v="5000"/>
    <x v="2"/>
  </r>
  <r>
    <d v="2019-10-26T00:00:00"/>
    <d v="1899-12-30T10:27:00"/>
    <m/>
    <s v="D"/>
    <n v="2"/>
    <s v="Road Vehicle"/>
    <n v="1"/>
    <x v="0"/>
    <x v="1"/>
    <n v="3"/>
    <x v="2"/>
    <s v="NAMUGONGO"/>
    <s v="WAKISO"/>
    <s v="UGA"/>
    <n v="1"/>
    <s v="Home"/>
    <s v="LUWERO"/>
    <s v="LUWERO"/>
    <s v="UGA"/>
    <n v="1"/>
    <s v="Home"/>
    <x v="2"/>
    <n v="150000"/>
    <n v="68"/>
    <x v="1"/>
    <n v="1"/>
    <x v="2"/>
    <n v="10"/>
    <s v="Other"/>
    <n v="1"/>
    <x v="2"/>
    <n v="1"/>
    <n v="2"/>
    <n v="1"/>
    <n v="1"/>
    <n v="2"/>
    <s v="Y"/>
    <n v="2000"/>
    <x v="4"/>
  </r>
  <r>
    <d v="2019-10-26T00:00:00"/>
    <d v="1899-12-30T11:45:00"/>
    <m/>
    <s v="D"/>
    <n v="2"/>
    <s v="Road Vehicle"/>
    <n v="1"/>
    <x v="0"/>
    <x v="1"/>
    <n v="3"/>
    <x v="2"/>
    <s v="KARUMA"/>
    <s v="KARUMA"/>
    <s v="UGA"/>
    <n v="2"/>
    <s v="Work"/>
    <s v="KIRA"/>
    <s v="WAKISO"/>
    <s v="UGA"/>
    <n v="1"/>
    <s v="Home"/>
    <x v="1"/>
    <n v="300000"/>
    <n v="540"/>
    <x v="3"/>
    <n v="7"/>
    <x v="0"/>
    <n v="4"/>
    <s v="Office Worker"/>
    <n v="4"/>
    <x v="3"/>
    <n v="1"/>
    <n v="1"/>
    <n v="2"/>
    <n v="1"/>
    <n v="1"/>
    <s v="Y"/>
    <n v="10000"/>
    <x v="3"/>
  </r>
  <r>
    <d v="2019-10-24T00:00:00"/>
    <d v="1899-12-30T11:05:00"/>
    <m/>
    <s v="P"/>
    <n v="2"/>
    <s v="Road Vehicle"/>
    <n v="6"/>
    <x v="1"/>
    <x v="0"/>
    <n v="3"/>
    <x v="2"/>
    <s v="KAMMA"/>
    <s v="KIRYANDONGO"/>
    <s v="UGA"/>
    <n v="2"/>
    <s v="Work"/>
    <s v="KAMPALA"/>
    <s v="KAMPALA"/>
    <s v="UGA"/>
    <n v="2"/>
    <s v="Work"/>
    <x v="5"/>
    <n v="15000"/>
    <n v="201"/>
    <x v="3"/>
    <n v="4"/>
    <x v="0"/>
    <n v="4"/>
    <s v="Office Worker"/>
    <n v="2"/>
    <x v="1"/>
    <n v="1"/>
    <n v="1"/>
    <n v="5"/>
    <n v="1"/>
    <n v="2"/>
    <s v="Y"/>
    <n v="10000"/>
    <x v="3"/>
  </r>
  <r>
    <d v="2019-10-24T00:00:00"/>
    <d v="1899-12-30T09:18:00"/>
    <m/>
    <s v="P"/>
    <n v="2"/>
    <s v="Road Vehicle"/>
    <n v="6"/>
    <x v="1"/>
    <x v="0"/>
    <n v="3"/>
    <x v="2"/>
    <s v="GULU"/>
    <s v="GULU"/>
    <s v="UGA"/>
    <n v="1"/>
    <s v="Home"/>
    <s v="KAMPALA"/>
    <s v="KAMPALA"/>
    <s v="UGA"/>
    <n v="4"/>
    <s v="Commercial"/>
    <x v="12"/>
    <n v="25000"/>
    <n v="407"/>
    <x v="3"/>
    <n v="6"/>
    <x v="0"/>
    <n v="6"/>
    <s v="Businessman"/>
    <n v="4"/>
    <x v="3"/>
    <n v="4"/>
    <n v="1"/>
    <n v="1"/>
    <n v="2"/>
    <n v="1"/>
    <s v="Y"/>
    <n v="5000"/>
    <x v="2"/>
  </r>
  <r>
    <d v="2019-10-24T00:00:00"/>
    <d v="1899-12-30T09:18:00"/>
    <m/>
    <s v="P"/>
    <n v="2"/>
    <s v="Road Vehicle"/>
    <n v="6"/>
    <x v="1"/>
    <x v="0"/>
    <n v="3"/>
    <x v="2"/>
    <s v="GULU"/>
    <s v="GULU"/>
    <s v="UGA"/>
    <n v="1"/>
    <s v="Home"/>
    <s v="KAMPALA"/>
    <s v="KAMPALA"/>
    <s v="UGA"/>
    <n v="4"/>
    <s v="Commercial"/>
    <x v="12"/>
    <n v="25000"/>
    <n v="407"/>
    <x v="3"/>
    <n v="6"/>
    <x v="0"/>
    <n v="6"/>
    <s v="Businessman"/>
    <n v="4"/>
    <x v="3"/>
    <n v="4"/>
    <n v="1"/>
    <n v="1"/>
    <n v="2"/>
    <n v="1"/>
    <s v="Y"/>
    <n v="5000"/>
    <x v="2"/>
  </r>
  <r>
    <d v="2019-10-25T00:00:00"/>
    <d v="1899-12-30T16:40:00"/>
    <m/>
    <s v="P"/>
    <n v="2"/>
    <s v="Road Vehicle"/>
    <n v="6"/>
    <x v="1"/>
    <x v="0"/>
    <n v="3"/>
    <x v="2"/>
    <s v="KAMPALA"/>
    <s v="KAMPALA"/>
    <s v="UGA"/>
    <n v="4"/>
    <s v="Commercial"/>
    <s v="MASINDI"/>
    <s v="MASINDI"/>
    <s v="UGA"/>
    <n v="1"/>
    <s v="Home"/>
    <x v="0"/>
    <n v="20000"/>
    <n v="212"/>
    <x v="3"/>
    <n v="3.5"/>
    <x v="0"/>
    <n v="3"/>
    <s v="Artisan/Domestic"/>
    <n v="1"/>
    <x v="2"/>
    <n v="1"/>
    <n v="1"/>
    <n v="2"/>
    <n v="2"/>
    <n v="1"/>
    <s v="Y"/>
    <n v="0"/>
    <x v="0"/>
  </r>
  <r>
    <d v="2019-10-25T00:00:00"/>
    <d v="1899-12-30T12:10:00"/>
    <m/>
    <s v="P"/>
    <n v="2"/>
    <s v="Road Vehicle"/>
    <n v="6"/>
    <x v="1"/>
    <x v="0"/>
    <n v="3"/>
    <x v="2"/>
    <s v="KATU"/>
    <s v="MASINDI"/>
    <s v="UGA"/>
    <n v="1"/>
    <s v="Home"/>
    <s v="KAMPALA"/>
    <s v="KAMPALA"/>
    <s v="UGA"/>
    <n v="4"/>
    <s v="Commercial"/>
    <x v="12"/>
    <n v="20000"/>
    <n v="213"/>
    <x v="3"/>
    <n v="3.5"/>
    <x v="0"/>
    <n v="6"/>
    <s v="Businessman"/>
    <n v="3"/>
    <x v="0"/>
    <n v="1"/>
    <n v="2"/>
    <n v="1"/>
    <n v="2"/>
    <n v="1"/>
    <s v="Y"/>
    <n v="10000"/>
    <x v="3"/>
  </r>
  <r>
    <d v="2019-10-26T00:00:00"/>
    <d v="1899-12-30T15:35:00"/>
    <m/>
    <s v="P"/>
    <n v="2"/>
    <s v="Road Vehicle"/>
    <n v="6"/>
    <x v="1"/>
    <x v="0"/>
    <n v="3"/>
    <x v="2"/>
    <s v="KAMPALA"/>
    <s v="KAMPALA"/>
    <s v="UGA"/>
    <n v="5"/>
    <s v="Tourism"/>
    <s v="KARUMA"/>
    <s v="KARUMA"/>
    <s v="UGA"/>
    <n v="5"/>
    <s v="Tourism"/>
    <x v="14"/>
    <n v="25000"/>
    <n v="400"/>
    <x v="3"/>
    <n v="5"/>
    <x v="0"/>
    <n v="4"/>
    <s v="Office Worker"/>
    <n v="4"/>
    <x v="3"/>
    <n v="4"/>
    <n v="1"/>
    <n v="2"/>
    <n v="1"/>
    <n v="1"/>
    <s v="Y"/>
    <n v="2000"/>
    <x v="4"/>
  </r>
  <r>
    <d v="2019-10-26T00:00:00"/>
    <d v="1899-12-30T12:28:00"/>
    <m/>
    <s v="P"/>
    <n v="2"/>
    <s v="Road Vehicle"/>
    <n v="6"/>
    <x v="1"/>
    <x v="0"/>
    <n v="3"/>
    <x v="2"/>
    <s v="NAKASEKE"/>
    <s v="NAKASEKE"/>
    <s v="UGA"/>
    <n v="1"/>
    <s v="Home"/>
    <s v="BWEYALE"/>
    <s v="KIRYANDONGO"/>
    <s v="UGA"/>
    <n v="6"/>
    <s v="Leisure/Social"/>
    <x v="3"/>
    <n v="15000"/>
    <n v="187"/>
    <x v="2"/>
    <n v="3"/>
    <x v="1"/>
    <n v="10"/>
    <s v="Other"/>
    <n v="1"/>
    <x v="2"/>
    <n v="4"/>
    <n v="1"/>
    <n v="1"/>
    <n v="2"/>
    <n v="1"/>
    <s v="Y"/>
    <n v="10000"/>
    <x v="3"/>
  </r>
  <r>
    <d v="2019-10-26T00:00:00"/>
    <d v="1899-12-30T11:51:00"/>
    <m/>
    <s v="P"/>
    <n v="2"/>
    <s v="Road Vehicle"/>
    <n v="6"/>
    <x v="1"/>
    <x v="0"/>
    <n v="3"/>
    <x v="2"/>
    <s v="KAMPALA"/>
    <s v="KAMPALA"/>
    <s v="UGA"/>
    <n v="7"/>
    <s v="Hospital"/>
    <s v="ARUA"/>
    <s v="ARUA"/>
    <s v="UGA"/>
    <n v="1"/>
    <s v="Home"/>
    <x v="19"/>
    <n v="35000"/>
    <n v="509"/>
    <x v="3"/>
    <n v="8"/>
    <x v="0"/>
    <n v="10"/>
    <s v="Other"/>
    <n v="1"/>
    <x v="2"/>
    <n v="1"/>
    <n v="1"/>
    <n v="2"/>
    <n v="1"/>
    <n v="3"/>
    <s v="Y"/>
    <n v="0"/>
    <x v="0"/>
  </r>
  <r>
    <d v="2019-10-26T00:00:00"/>
    <d v="1899-12-30T11:16:00"/>
    <m/>
    <s v="P"/>
    <n v="2"/>
    <s v="Road Vehicle"/>
    <n v="6"/>
    <x v="1"/>
    <x v="0"/>
    <n v="3"/>
    <x v="2"/>
    <s v="GULU"/>
    <s v="GULU"/>
    <s v="UGA"/>
    <n v="1"/>
    <s v="Home"/>
    <s v="LUWERO"/>
    <s v="LUWERO"/>
    <s v="UGA"/>
    <n v="2"/>
    <s v="Work"/>
    <x v="8"/>
    <n v="25000"/>
    <n v="347"/>
    <x v="3"/>
    <n v="4"/>
    <x v="0"/>
    <n v="4"/>
    <s v="Office Worker"/>
    <n v="3"/>
    <x v="0"/>
    <n v="4"/>
    <n v="1"/>
    <n v="1"/>
    <n v="2"/>
    <n v="1"/>
    <s v="Y"/>
    <n v="0"/>
    <x v="0"/>
  </r>
  <r>
    <d v="2019-10-26T00:00:00"/>
    <d v="1899-12-30T07:17:00"/>
    <m/>
    <s v="P"/>
    <n v="2"/>
    <s v="Road Vehicle"/>
    <n v="6"/>
    <x v="1"/>
    <x v="0"/>
    <n v="3"/>
    <x v="2"/>
    <s v="HOIMA"/>
    <s v="HOIMA"/>
    <s v="UGA"/>
    <n v="2"/>
    <s v="Work"/>
    <s v="BWAISE"/>
    <s v="KAMPALA"/>
    <s v="UGA"/>
    <n v="6"/>
    <s v="Leisure/Social"/>
    <x v="22"/>
    <n v="27000"/>
    <n v="249"/>
    <x v="3"/>
    <n v="3"/>
    <x v="1"/>
    <n v="4"/>
    <s v="Office Worker"/>
    <n v="3"/>
    <x v="0"/>
    <n v="1"/>
    <n v="4"/>
    <n v="1"/>
    <n v="3"/>
    <n v="2"/>
    <s v="Y"/>
    <n v="2000"/>
    <x v="4"/>
  </r>
  <r>
    <m/>
    <d v="1899-12-30T12:38:00"/>
    <m/>
    <s v="D"/>
    <n v="2"/>
    <s v="Road Vehicle"/>
    <n v="6"/>
    <x v="1"/>
    <x v="0"/>
    <n v="3"/>
    <x v="2"/>
    <s v="BONDO"/>
    <s v="ARUA"/>
    <s v="UGA"/>
    <n v="1"/>
    <s v="Home"/>
    <s v="KAMPALA"/>
    <s v="KAMPALA"/>
    <s v="UGA"/>
    <n v="2"/>
    <s v="Work"/>
    <x v="8"/>
    <n v="1000000"/>
    <n v="490"/>
    <x v="3"/>
    <n v="9"/>
    <x v="0"/>
    <n v="4"/>
    <s v="Office Worker"/>
    <n v="3"/>
    <x v="0"/>
    <n v="1"/>
    <n v="2"/>
    <n v="1"/>
    <n v="2"/>
    <n v="2"/>
    <s v="Y"/>
    <n v="5000"/>
    <x v="2"/>
  </r>
  <r>
    <d v="2019-10-24T00:00:00"/>
    <d v="1899-12-30T11:13:00"/>
    <m/>
    <s v="D"/>
    <n v="2"/>
    <s v="Road Vehicle"/>
    <n v="6"/>
    <x v="1"/>
    <x v="1"/>
    <n v="3"/>
    <x v="2"/>
    <s v="KAMPALA"/>
    <s v="KAMPALA"/>
    <s v="UGA"/>
    <n v="4"/>
    <s v="Commercial"/>
    <s v="YUMBE"/>
    <s v="YUMBE"/>
    <s v="UGA"/>
    <n v="2"/>
    <s v="Work"/>
    <x v="20"/>
    <n v="35000"/>
    <n v="608"/>
    <x v="3"/>
    <n v="9"/>
    <x v="0"/>
    <n v="6"/>
    <s v="Businessman"/>
    <n v="4"/>
    <x v="3"/>
    <n v="1"/>
    <n v="2"/>
    <n v="1"/>
    <n v="1"/>
    <n v="2"/>
    <s v="Y"/>
    <n v="10000"/>
    <x v="3"/>
  </r>
  <r>
    <d v="2019-10-24T00:00:00"/>
    <d v="1899-12-30T10:21:00"/>
    <m/>
    <s v="P"/>
    <n v="2"/>
    <s v="Road Vehicle"/>
    <n v="6"/>
    <x v="1"/>
    <x v="1"/>
    <n v="3"/>
    <x v="2"/>
    <s v="ARUA"/>
    <s v="ARUA"/>
    <s v="UGA"/>
    <n v="1"/>
    <s v="Home"/>
    <s v="KAMPALA"/>
    <s v="KAMPALA"/>
    <s v="UGA"/>
    <n v="4"/>
    <s v="Commercial"/>
    <x v="12"/>
    <n v="35000"/>
    <n v="503"/>
    <x v="3"/>
    <n v="8"/>
    <x v="0"/>
    <n v="6"/>
    <s v="Businessman"/>
    <n v="4"/>
    <x v="3"/>
    <n v="7"/>
    <n v="1"/>
    <n v="2"/>
    <n v="1"/>
    <n v="2"/>
    <s v="Y"/>
    <n v="12000"/>
    <x v="3"/>
  </r>
  <r>
    <d v="2019-10-24T00:00:00"/>
    <d v="1899-12-30T08:11:00"/>
    <m/>
    <s v="P"/>
    <n v="2"/>
    <s v="Road Vehicle"/>
    <n v="6"/>
    <x v="1"/>
    <x v="1"/>
    <n v="3"/>
    <x v="2"/>
    <s v="KAMPALA"/>
    <s v="KAMPALA"/>
    <s v="UGA"/>
    <n v="2"/>
    <s v="Work"/>
    <s v="BWEYALE"/>
    <s v="KIRYANDONGO"/>
    <s v="UGA"/>
    <n v="2"/>
    <s v="Work"/>
    <x v="5"/>
    <n v="15000"/>
    <n v="180"/>
    <x v="2"/>
    <n v="5"/>
    <x v="0"/>
    <n v="4"/>
    <s v="Office Worker"/>
    <n v="2"/>
    <x v="1"/>
    <n v="4"/>
    <n v="1"/>
    <n v="1"/>
    <n v="2"/>
    <n v="1"/>
    <s v="Y"/>
    <n v="0"/>
    <x v="0"/>
  </r>
  <r>
    <d v="2019-10-24T00:00:00"/>
    <d v="1899-12-30T08:20:00"/>
    <m/>
    <s v="D"/>
    <n v="2"/>
    <s v="Road Vehicle"/>
    <n v="6"/>
    <x v="1"/>
    <x v="1"/>
    <n v="3"/>
    <x v="2"/>
    <s v="KAMPALA"/>
    <s v="KAMPALA"/>
    <s v="UGA"/>
    <n v="4"/>
    <s v="Commercial"/>
    <s v="LIRA"/>
    <s v="LIRA"/>
    <s v="UGA"/>
    <n v="1"/>
    <s v="Home"/>
    <x v="0"/>
    <n v="1000000"/>
    <n v="400"/>
    <x v="3"/>
    <n v="6"/>
    <x v="0"/>
    <n v="2"/>
    <s v="Manual Labour"/>
    <n v="4"/>
    <x v="3"/>
    <n v="1"/>
    <n v="2"/>
    <n v="1"/>
    <n v="2"/>
    <n v="3"/>
    <s v="Y"/>
    <n v="5000"/>
    <x v="2"/>
  </r>
  <r>
    <d v="2019-10-24T00:00:00"/>
    <d v="1899-12-30T14:13:00"/>
    <m/>
    <s v="P"/>
    <n v="2"/>
    <s v="Road Vehicle"/>
    <n v="6"/>
    <x v="1"/>
    <x v="1"/>
    <n v="3"/>
    <x v="2"/>
    <s v="MASINDI"/>
    <s v="MASINDI"/>
    <s v="UGA"/>
    <n v="1"/>
    <s v="Home"/>
    <s v="KAMPALA"/>
    <s v="KAMPALA"/>
    <s v="UGA"/>
    <n v="3"/>
    <s v="Study"/>
    <x v="10"/>
    <n v="20000"/>
    <n v="197"/>
    <x v="2"/>
    <n v="5"/>
    <x v="0"/>
    <n v="1"/>
    <s v="Unemployed"/>
    <n v="1"/>
    <x v="2"/>
    <n v="1"/>
    <n v="2"/>
    <n v="1"/>
    <n v="1"/>
    <n v="3"/>
    <s v="Y"/>
    <n v="1000"/>
    <x v="1"/>
  </r>
  <r>
    <d v="2019-10-24T00:00:00"/>
    <d v="1899-12-30T14:27:00"/>
    <m/>
    <s v="D"/>
    <n v="2"/>
    <s v="Road Vehicle"/>
    <n v="6"/>
    <x v="1"/>
    <x v="1"/>
    <n v="3"/>
    <x v="2"/>
    <s v="GULU"/>
    <s v="GULU"/>
    <s v="UGA"/>
    <n v="2"/>
    <s v="Work"/>
    <s v="KAMPALA"/>
    <s v="KAMPALA"/>
    <s v="UGA"/>
    <n v="2"/>
    <s v="Work"/>
    <x v="5"/>
    <n v="1000000"/>
    <n v="397"/>
    <x v="3"/>
    <n v="5"/>
    <x v="0"/>
    <n v="5"/>
    <s v="Professional"/>
    <n v="4"/>
    <x v="3"/>
    <n v="1"/>
    <n v="5"/>
    <n v="1"/>
    <n v="1"/>
    <n v="3"/>
    <s v="Y"/>
    <n v="11000"/>
    <x v="3"/>
  </r>
  <r>
    <d v="2019-10-24T00:00:00"/>
    <d v="1899-12-30T08:45:00"/>
    <m/>
    <s v="P"/>
    <n v="2"/>
    <s v="Road Vehicle"/>
    <n v="6"/>
    <x v="1"/>
    <x v="1"/>
    <n v="3"/>
    <x v="2"/>
    <s v="KAMPALA"/>
    <s v="KAMPALA"/>
    <s v="UGA"/>
    <n v="4"/>
    <s v="Commercial"/>
    <s v="KIGUMABA"/>
    <s v="MASINDI"/>
    <s v="UGA"/>
    <n v="1"/>
    <s v="Home"/>
    <x v="0"/>
    <n v="20000"/>
    <n v="120"/>
    <x v="2"/>
    <n v="5"/>
    <x v="0"/>
    <n v="4"/>
    <s v="Office Worker"/>
    <n v="4"/>
    <x v="3"/>
    <n v="5"/>
    <n v="1"/>
    <n v="2"/>
    <n v="2"/>
    <n v="3"/>
    <s v="Y"/>
    <n v="1000"/>
    <x v="1"/>
  </r>
  <r>
    <d v="2019-10-25T00:00:00"/>
    <d v="1899-12-30T08:55:00"/>
    <m/>
    <s v="D"/>
    <n v="2"/>
    <s v="Road Vehicle"/>
    <n v="6"/>
    <x v="1"/>
    <x v="1"/>
    <n v="3"/>
    <x v="2"/>
    <s v="ARUA"/>
    <s v="ARUA"/>
    <s v="UGA"/>
    <n v="3"/>
    <s v="Study"/>
    <s v="KAMPALA"/>
    <s v="KAMPALA"/>
    <s v="UGA"/>
    <n v="1"/>
    <s v="Home"/>
    <x v="9"/>
    <n v="1000000"/>
    <n v="500"/>
    <x v="3"/>
    <n v="9"/>
    <x v="0"/>
    <n v="5"/>
    <s v="Professional"/>
    <n v="5"/>
    <x v="4"/>
    <n v="5"/>
    <n v="1"/>
    <n v="5"/>
    <n v="5"/>
    <n v="2"/>
    <s v="Y"/>
    <n v="10000"/>
    <x v="3"/>
  </r>
  <r>
    <d v="2019-10-25T00:00:00"/>
    <d v="1899-12-30T08:58:00"/>
    <m/>
    <s v="D"/>
    <n v="2"/>
    <s v="Road Vehicle"/>
    <n v="6"/>
    <x v="1"/>
    <x v="1"/>
    <n v="3"/>
    <x v="2"/>
    <s v="KAMPALA"/>
    <s v="KAMPALA"/>
    <s v="UGA"/>
    <n v="2"/>
    <s v="Work"/>
    <s v="GULU"/>
    <s v="GULU"/>
    <s v="UGA"/>
    <n v="2"/>
    <s v="Work"/>
    <x v="5"/>
    <n v="1000000"/>
    <n v="268"/>
    <x v="3"/>
    <n v="6"/>
    <x v="0"/>
    <n v="2"/>
    <s v="Manual Labour"/>
    <n v="4"/>
    <x v="3"/>
    <n v="1"/>
    <n v="2"/>
    <n v="1"/>
    <n v="1"/>
    <n v="2"/>
    <s v="Y"/>
    <n v="3000"/>
    <x v="5"/>
  </r>
  <r>
    <d v="2019-10-25T00:00:00"/>
    <d v="1899-12-30T16:12:00"/>
    <m/>
    <s v="D"/>
    <n v="2"/>
    <s v="Road Vehicle"/>
    <n v="6"/>
    <x v="1"/>
    <x v="1"/>
    <n v="3"/>
    <x v="2"/>
    <s v="KAMPALA"/>
    <s v="KAMPALA"/>
    <s v="UGA"/>
    <n v="2"/>
    <s v="Work"/>
    <s v="ARUA"/>
    <s v="ARUA"/>
    <s v="UGA"/>
    <n v="2"/>
    <s v="Work"/>
    <x v="5"/>
    <n v="1000000"/>
    <n v="507"/>
    <x v="3"/>
    <n v="7"/>
    <x v="0"/>
    <n v="5"/>
    <s v="Professional"/>
    <n v="4"/>
    <x v="3"/>
    <n v="1"/>
    <n v="4"/>
    <n v="2"/>
    <n v="1"/>
    <n v="2"/>
    <s v="Y"/>
    <n v="10000"/>
    <x v="3"/>
  </r>
  <r>
    <d v="2019-10-25T00:00:00"/>
    <d v="1899-12-30T16:02:00"/>
    <m/>
    <s v="D"/>
    <n v="2"/>
    <s v="Road Vehicle"/>
    <n v="6"/>
    <x v="1"/>
    <x v="1"/>
    <n v="3"/>
    <x v="2"/>
    <s v="KAMPALA"/>
    <s v="KAMPALA"/>
    <s v="UGA"/>
    <n v="2"/>
    <s v="Work"/>
    <s v="MASINDI"/>
    <s v="MASINDI"/>
    <s v="UGA"/>
    <n v="2"/>
    <s v="Work"/>
    <x v="5"/>
    <n v="1100000"/>
    <n v="242"/>
    <x v="3"/>
    <n v="3"/>
    <x v="1"/>
    <n v="2"/>
    <s v="Manual Labour"/>
    <n v="4"/>
    <x v="3"/>
    <n v="4"/>
    <n v="1"/>
    <n v="2"/>
    <n v="1"/>
    <n v="2"/>
    <s v="Y"/>
    <n v="0"/>
    <x v="0"/>
  </r>
  <r>
    <d v="2019-10-25T00:00:00"/>
    <d v="1899-12-30T15:42:00"/>
    <m/>
    <s v="P"/>
    <n v="2"/>
    <s v="Road Vehicle"/>
    <n v="6"/>
    <x v="1"/>
    <x v="1"/>
    <n v="3"/>
    <x v="2"/>
    <s v="ARUA"/>
    <s v="ARUA"/>
    <s v="UGA"/>
    <n v="2"/>
    <s v="Work"/>
    <s v="KAMPALA"/>
    <s v="KAMPALA"/>
    <s v="UGA"/>
    <n v="7"/>
    <s v="Hospital"/>
    <x v="15"/>
    <n v="35000"/>
    <m/>
    <x v="4"/>
    <m/>
    <x v="4"/>
    <n v="4"/>
    <s v="Office Worker"/>
    <n v="4"/>
    <x v="3"/>
    <n v="1"/>
    <n v="2"/>
    <n v="1"/>
    <n v="2"/>
    <n v="2"/>
    <s v="Y"/>
    <n v="6000"/>
    <x v="2"/>
  </r>
  <r>
    <d v="2019-10-25T00:00:00"/>
    <d v="1899-12-30T14:33:00"/>
    <m/>
    <s v="P"/>
    <n v="2"/>
    <s v="Road Vehicle"/>
    <n v="6"/>
    <x v="1"/>
    <x v="1"/>
    <n v="3"/>
    <x v="2"/>
    <s v="KARUMA"/>
    <s v="KIRYANDONGO"/>
    <s v="UGA"/>
    <n v="1"/>
    <s v="Home"/>
    <s v="BOMBO"/>
    <s v="LUWERO"/>
    <s v="UGA"/>
    <n v="2"/>
    <s v="Work"/>
    <x v="8"/>
    <n v="20000"/>
    <n v="303"/>
    <x v="3"/>
    <n v="3"/>
    <x v="1"/>
    <n v="4"/>
    <s v="Office Worker"/>
    <n v="3"/>
    <x v="0"/>
    <n v="1"/>
    <n v="1"/>
    <n v="2"/>
    <n v="1"/>
    <n v="1"/>
    <s v="Y"/>
    <n v="0"/>
    <x v="0"/>
  </r>
  <r>
    <d v="2019-10-25T00:00:00"/>
    <d v="1899-12-30T12:16:00"/>
    <m/>
    <s v="P"/>
    <n v="2"/>
    <s v="Road Vehicle"/>
    <n v="6"/>
    <x v="1"/>
    <x v="1"/>
    <n v="3"/>
    <x v="2"/>
    <s v="MIJERA"/>
    <s v="NAKASONGOLA"/>
    <s v="UGA"/>
    <n v="1"/>
    <s v="Home"/>
    <s v="KAWEMPE"/>
    <s v="WAKISO"/>
    <s v="UGA"/>
    <n v="1"/>
    <s v="Home"/>
    <x v="2"/>
    <n v="20000"/>
    <n v="185"/>
    <x v="2"/>
    <n v="3"/>
    <x v="1"/>
    <n v="4"/>
    <s v="Office Worker"/>
    <n v="3"/>
    <x v="0"/>
    <n v="2"/>
    <n v="1"/>
    <n v="1"/>
    <n v="2"/>
    <n v="2"/>
    <s v="Y"/>
    <n v="5000"/>
    <x v="2"/>
  </r>
  <r>
    <d v="2019-10-25T00:00:00"/>
    <d v="1899-12-30T11:10:00"/>
    <m/>
    <s v="D"/>
    <n v="2"/>
    <s v="Road Vehicle"/>
    <n v="6"/>
    <x v="1"/>
    <x v="1"/>
    <n v="3"/>
    <x v="2"/>
    <s v="KAMPALA"/>
    <s v="KAMPALA"/>
    <s v="UGA"/>
    <n v="2"/>
    <s v="Work"/>
    <s v="GULU"/>
    <s v="GULU"/>
    <s v="UGA"/>
    <n v="2"/>
    <s v="Work"/>
    <x v="5"/>
    <n v="1000000"/>
    <n v="315"/>
    <x v="3"/>
    <n v="5"/>
    <x v="0"/>
    <n v="5"/>
    <s v="Professional"/>
    <n v="4"/>
    <x v="3"/>
    <n v="4"/>
    <n v="4"/>
    <n v="1"/>
    <n v="1"/>
    <n v="2"/>
    <s v="Y"/>
    <n v="6000"/>
    <x v="2"/>
  </r>
  <r>
    <d v="2019-10-25T00:00:00"/>
    <d v="1899-12-30T09:44:00"/>
    <m/>
    <s v="D"/>
    <n v="2"/>
    <s v="Road Vehicle"/>
    <n v="6"/>
    <x v="1"/>
    <x v="1"/>
    <n v="3"/>
    <x v="2"/>
    <s v="GULU"/>
    <s v="GULU"/>
    <s v="UGA"/>
    <n v="2"/>
    <s v="Work"/>
    <s v="KAMPALA"/>
    <s v="KAMPALA"/>
    <s v="UGA"/>
    <n v="2"/>
    <s v="Work"/>
    <x v="5"/>
    <n v="1100000"/>
    <n v="372"/>
    <x v="3"/>
    <n v="5"/>
    <x v="0"/>
    <n v="5"/>
    <s v="Professional"/>
    <n v="4"/>
    <x v="3"/>
    <n v="4"/>
    <n v="4"/>
    <n v="1"/>
    <n v="1"/>
    <n v="2"/>
    <s v="Y"/>
    <n v="11000"/>
    <x v="3"/>
  </r>
  <r>
    <d v="2019-10-25T00:00:00"/>
    <d v="1899-12-30T09:11:00"/>
    <m/>
    <s v="D"/>
    <n v="2"/>
    <s v="Road Vehicle"/>
    <n v="6"/>
    <x v="1"/>
    <x v="1"/>
    <n v="3"/>
    <x v="2"/>
    <s v="KAMPALA"/>
    <s v="KAMPALA"/>
    <s v="UGA"/>
    <n v="2"/>
    <s v="Work"/>
    <s v="GULU"/>
    <s v="GULU"/>
    <s v="UGA"/>
    <n v="2"/>
    <s v="Work"/>
    <x v="5"/>
    <n v="1000000"/>
    <n v="347"/>
    <x v="3"/>
    <n v="5"/>
    <x v="0"/>
    <n v="5"/>
    <s v="Professional"/>
    <n v="4"/>
    <x v="3"/>
    <n v="4"/>
    <n v="4"/>
    <n v="1"/>
    <n v="2"/>
    <n v="1"/>
    <s v="Y"/>
    <n v="10000"/>
    <x v="3"/>
  </r>
  <r>
    <d v="2019-10-25T00:00:00"/>
    <d v="1899-12-30T09:06:00"/>
    <m/>
    <s v="D"/>
    <n v="2"/>
    <s v="Road Vehicle"/>
    <n v="6"/>
    <x v="1"/>
    <x v="1"/>
    <n v="3"/>
    <x v="2"/>
    <s v="KAMPALA"/>
    <s v="KAMPALA"/>
    <s v="UGA"/>
    <n v="2"/>
    <s v="Work"/>
    <s v="ARUA"/>
    <s v="ARUA"/>
    <s v="UGA"/>
    <n v="2"/>
    <s v="Work"/>
    <x v="5"/>
    <n v="12000"/>
    <n v="507"/>
    <x v="3"/>
    <n v="7"/>
    <x v="0"/>
    <n v="2"/>
    <s v="Manual Labour"/>
    <n v="3"/>
    <x v="0"/>
    <n v="4"/>
    <n v="5"/>
    <n v="1"/>
    <n v="1"/>
    <n v="2"/>
    <s v="Y"/>
    <n v="6000"/>
    <x v="2"/>
  </r>
  <r>
    <d v="2019-10-26T00:00:00"/>
    <d v="1899-12-30T14:13:00"/>
    <m/>
    <s v="P"/>
    <n v="2"/>
    <s v="Road Vehicle"/>
    <n v="6"/>
    <x v="1"/>
    <x v="1"/>
    <n v="3"/>
    <x v="2"/>
    <s v="KAMPALA"/>
    <s v="KAMPALA"/>
    <s v="UGA"/>
    <n v="2"/>
    <s v="Work"/>
    <s v="LIRA"/>
    <s v="LIRA"/>
    <s v="UGA"/>
    <n v="1"/>
    <s v="Home"/>
    <x v="1"/>
    <n v="20000"/>
    <n v="262"/>
    <x v="3"/>
    <n v="5"/>
    <x v="0"/>
    <n v="4"/>
    <s v="Office Worker"/>
    <n v="3"/>
    <x v="0"/>
    <n v="5"/>
    <n v="1"/>
    <n v="2"/>
    <n v="1"/>
    <n v="2"/>
    <s v="Y"/>
    <n v="1000"/>
    <x v="1"/>
  </r>
  <r>
    <d v="2019-10-26T00:00:00"/>
    <d v="1899-12-30T15:10:00"/>
    <m/>
    <s v="P"/>
    <n v="2"/>
    <s v="Road Vehicle"/>
    <n v="6"/>
    <x v="1"/>
    <x v="1"/>
    <n v="3"/>
    <x v="2"/>
    <s v="KIRINYABIGO"/>
    <s v="LUWERO"/>
    <s v="UGA"/>
    <n v="2"/>
    <s v="Work"/>
    <s v="KWANIA"/>
    <s v="APAC"/>
    <s v="UGA"/>
    <n v="1"/>
    <s v="Home"/>
    <x v="1"/>
    <n v="25000"/>
    <n v="408"/>
    <x v="3"/>
    <n v="8"/>
    <x v="0"/>
    <n v="4"/>
    <s v="Office Worker"/>
    <n v="3"/>
    <x v="0"/>
    <n v="1"/>
    <n v="3"/>
    <n v="1"/>
    <n v="2"/>
    <n v="2"/>
    <s v="Y"/>
    <n v="2000"/>
    <x v="4"/>
  </r>
  <r>
    <d v="2019-10-26T00:00:00"/>
    <d v="1899-12-30T12:37:00"/>
    <m/>
    <s v="D"/>
    <n v="2"/>
    <s v="Road Vehicle"/>
    <n v="6"/>
    <x v="1"/>
    <x v="1"/>
    <n v="3"/>
    <x v="2"/>
    <s v="YUMBE"/>
    <s v="YUMBE"/>
    <s v="UGA"/>
    <n v="1"/>
    <s v="Home"/>
    <s v="LUWERO"/>
    <s v="LUWERO"/>
    <s v="UGA"/>
    <n v="2"/>
    <s v="Work"/>
    <x v="8"/>
    <n v="35000"/>
    <n v="576"/>
    <x v="3"/>
    <n v="9"/>
    <x v="0"/>
    <n v="4"/>
    <s v="Office Worker"/>
    <n v="3"/>
    <x v="0"/>
    <n v="1"/>
    <n v="1"/>
    <n v="2"/>
    <n v="2"/>
    <n v="1"/>
    <s v="Y"/>
    <n v="2000"/>
    <x v="4"/>
  </r>
  <r>
    <d v="2019-10-26T00:00:00"/>
    <d v="1899-12-30T07:23:00"/>
    <m/>
    <s v="D"/>
    <n v="2"/>
    <s v="Road Vehicle"/>
    <n v="6"/>
    <x v="1"/>
    <x v="1"/>
    <n v="3"/>
    <x v="2"/>
    <s v="HOIMA"/>
    <s v="HOIMA"/>
    <s v="UGA"/>
    <n v="2"/>
    <s v="Work"/>
    <s v="KAGOMA"/>
    <s v="WAKISO"/>
    <s v="UGA"/>
    <n v="2"/>
    <s v="Work"/>
    <x v="5"/>
    <n v="1250000"/>
    <n v="217"/>
    <x v="3"/>
    <n v="3"/>
    <x v="1"/>
    <n v="2"/>
    <s v="Manual Labour"/>
    <n v="3"/>
    <x v="0"/>
    <n v="1"/>
    <n v="2"/>
    <n v="1"/>
    <n v="2"/>
    <n v="1"/>
    <s v="Y"/>
    <n v="5000"/>
    <x v="2"/>
  </r>
  <r>
    <d v="2019-10-26T00:00:00"/>
    <d v="1899-12-30T07:00:00"/>
    <m/>
    <s v="P"/>
    <n v="2"/>
    <s v="Road Vehicle"/>
    <n v="6"/>
    <x v="1"/>
    <x v="1"/>
    <n v="3"/>
    <x v="2"/>
    <s v="ARUA"/>
    <s v="ARUA"/>
    <s v="UGA"/>
    <n v="2"/>
    <s v="Work"/>
    <s v="KAMPALA"/>
    <s v="KAMPALA"/>
    <s v="UGA"/>
    <n v="4"/>
    <s v="Commercial"/>
    <x v="21"/>
    <n v="35000"/>
    <n v="506"/>
    <x v="3"/>
    <n v="8"/>
    <x v="0"/>
    <n v="6"/>
    <s v="Businessman"/>
    <n v="3"/>
    <x v="0"/>
    <n v="5"/>
    <n v="1"/>
    <n v="1"/>
    <n v="1"/>
    <n v="2"/>
    <s v="Y"/>
    <n v="4000"/>
    <x v="5"/>
  </r>
  <r>
    <m/>
    <d v="1899-12-30T16:10:00"/>
    <m/>
    <s v="D"/>
    <n v="2"/>
    <s v="Road Vehicle"/>
    <n v="6"/>
    <x v="1"/>
    <x v="1"/>
    <n v="3"/>
    <x v="2"/>
    <s v="GULU"/>
    <s v="GULU"/>
    <s v="UGA"/>
    <n v="2"/>
    <s v="Work"/>
    <s v="KAMPALA"/>
    <s v="KAMPALA"/>
    <s v="UGA"/>
    <n v="2"/>
    <s v="Work"/>
    <x v="5"/>
    <n v="800000"/>
    <n v="200"/>
    <x v="3"/>
    <n v="6"/>
    <x v="0"/>
    <n v="7"/>
    <s v="Farmer"/>
    <n v="1"/>
    <x v="2"/>
    <n v="5"/>
    <n v="5"/>
    <n v="1"/>
    <n v="3"/>
    <n v="1"/>
    <s v="Y"/>
    <n v="5000"/>
    <x v="2"/>
  </r>
  <r>
    <m/>
    <d v="1899-12-30T16:15:00"/>
    <m/>
    <s v="D"/>
    <n v="2"/>
    <s v="Road Vehicle"/>
    <n v="6"/>
    <x v="1"/>
    <x v="1"/>
    <n v="3"/>
    <x v="2"/>
    <s v="KAMPALA"/>
    <s v="KAMPALA"/>
    <s v="UGA"/>
    <n v="2"/>
    <s v="Work"/>
    <s v="ARUA"/>
    <s v="ARUA"/>
    <s v="UGA"/>
    <n v="1"/>
    <s v="Home"/>
    <x v="1"/>
    <n v="1000000"/>
    <n v="509"/>
    <x v="3"/>
    <n v="9"/>
    <x v="0"/>
    <n v="4"/>
    <s v="Office Worker"/>
    <n v="1"/>
    <x v="2"/>
    <n v="5"/>
    <n v="2"/>
    <n v="2"/>
    <n v="2"/>
    <n v="1"/>
    <s v="Y"/>
    <n v="1000"/>
    <x v="1"/>
  </r>
  <r>
    <m/>
    <d v="1899-12-30T13:20:00"/>
    <m/>
    <s v="D"/>
    <n v="2"/>
    <s v="Road Vehicle"/>
    <n v="7"/>
    <x v="2"/>
    <x v="0"/>
    <n v="3"/>
    <x v="2"/>
    <s v="PACKWACH"/>
    <s v="PAKWACH"/>
    <s v="UGA"/>
    <n v="2"/>
    <s v="Work"/>
    <s v="KAMPALA"/>
    <s v="KAMPALA"/>
    <s v="UGA"/>
    <n v="2"/>
    <s v="Work"/>
    <x v="5"/>
    <n v="800000"/>
    <n v="450"/>
    <x v="3"/>
    <n v="8"/>
    <x v="0"/>
    <n v="3"/>
    <s v="Artisan/Domestic"/>
    <n v="2"/>
    <x v="1"/>
    <n v="5"/>
    <n v="2"/>
    <n v="2"/>
    <n v="1"/>
    <n v="2"/>
    <s v="Y"/>
    <n v="500"/>
    <x v="0"/>
  </r>
  <r>
    <d v="2019-10-24T00:00:00"/>
    <d v="1899-12-30T10:15:00"/>
    <m/>
    <s v="P"/>
    <n v="2"/>
    <s v="Road Vehicle"/>
    <n v="7"/>
    <x v="2"/>
    <x v="1"/>
    <n v="3"/>
    <x v="2"/>
    <s v="LUWERO"/>
    <s v="LUWERO"/>
    <s v="UGA"/>
    <n v="3"/>
    <s v="Study"/>
    <s v="KAFU"/>
    <s v="MASINDI"/>
    <s v="UGA"/>
    <n v="4"/>
    <s v="Commercial"/>
    <x v="25"/>
    <n v="20000"/>
    <n v="98"/>
    <x v="0"/>
    <n v="3"/>
    <x v="1"/>
    <n v="7"/>
    <s v="Farmer"/>
    <n v="3"/>
    <x v="0"/>
    <n v="3"/>
    <n v="1"/>
    <n v="5"/>
    <n v="3"/>
    <n v="2"/>
    <s v="Y"/>
    <n v="0"/>
    <x v="0"/>
  </r>
  <r>
    <d v="2019-10-26T00:00:00"/>
    <d v="1899-12-30T13:15:00"/>
    <m/>
    <s v="P"/>
    <n v="2"/>
    <s v="Road Vehicle"/>
    <n v="7"/>
    <x v="2"/>
    <x v="1"/>
    <n v="3"/>
    <x v="2"/>
    <s v="KINONI"/>
    <s v="GAMBA"/>
    <s v="UGA"/>
    <n v="1"/>
    <s v="Home"/>
    <s v="LUWERO"/>
    <s v="LUWERO"/>
    <s v="UGA"/>
    <n v="4"/>
    <s v="Commercial"/>
    <x v="12"/>
    <n v="5000"/>
    <n v="62"/>
    <x v="1"/>
    <n v="1"/>
    <x v="2"/>
    <n v="7"/>
    <s v="Farmer"/>
    <n v="3"/>
    <x v="0"/>
    <n v="5"/>
    <n v="4"/>
    <n v="2"/>
    <n v="3"/>
    <n v="2"/>
    <s v="Y"/>
    <n v="0"/>
    <x v="0"/>
  </r>
  <r>
    <d v="2019-10-26T00:00:00"/>
    <d v="1899-12-30T10:53:00"/>
    <m/>
    <s v="D"/>
    <n v="2"/>
    <s v="Road Vehicle"/>
    <n v="7"/>
    <x v="2"/>
    <x v="1"/>
    <n v="3"/>
    <x v="2"/>
    <s v="NAKASEKE"/>
    <s v="NAKASEKE"/>
    <s v="UGA"/>
    <n v="4"/>
    <s v="Commercial"/>
    <s v="LUWERO"/>
    <s v="LUWERO"/>
    <s v="UGA"/>
    <n v="2"/>
    <s v="Work"/>
    <x v="20"/>
    <n v="70000"/>
    <n v="61"/>
    <x v="1"/>
    <n v="1.5"/>
    <x v="2"/>
    <n v="6"/>
    <s v="Businessman"/>
    <n v="4"/>
    <x v="3"/>
    <n v="1"/>
    <n v="1"/>
    <n v="2"/>
    <n v="2"/>
    <n v="1"/>
    <s v="Y"/>
    <n v="12000"/>
    <x v="3"/>
  </r>
  <r>
    <d v="2019-10-26T00:00:00"/>
    <d v="1899-12-30T08:52:00"/>
    <m/>
    <s v="D"/>
    <n v="2"/>
    <s v="Road Vehicle"/>
    <n v="7"/>
    <x v="2"/>
    <x v="1"/>
    <n v="3"/>
    <x v="2"/>
    <s v="NAMANVE"/>
    <s v="MUKONO"/>
    <s v="UGA"/>
    <n v="2"/>
    <s v="Work"/>
    <s v="LUWERO"/>
    <s v="LUWERO"/>
    <s v="UGA"/>
    <n v="2"/>
    <s v="Work"/>
    <x v="5"/>
    <n v="200000"/>
    <n v="86"/>
    <x v="0"/>
    <n v="2.5"/>
    <x v="1"/>
    <n v="2"/>
    <s v="Manual Labour"/>
    <n v="3"/>
    <x v="0"/>
    <n v="4"/>
    <n v="1"/>
    <n v="1"/>
    <n v="2"/>
    <n v="1"/>
    <s v="Y"/>
    <n v="9000"/>
    <x v="2"/>
  </r>
  <r>
    <d v="2019-10-25T00:00:00"/>
    <d v="1899-12-30T09:45:00"/>
    <m/>
    <s v="P"/>
    <n v="2"/>
    <s v="Road Vehicle"/>
    <n v="5"/>
    <x v="5"/>
    <x v="1"/>
    <n v="3"/>
    <x v="2"/>
    <s v="BOMBO"/>
    <s v="BOMBO"/>
    <s v="UGA"/>
    <n v="1"/>
    <s v="Home"/>
    <s v="LUWERO"/>
    <s v="LUWERO"/>
    <s v="UGA"/>
    <n v="2"/>
    <s v="Work"/>
    <x v="8"/>
    <n v="3000"/>
    <n v="75"/>
    <x v="0"/>
    <n v="1"/>
    <x v="2"/>
    <n v="6"/>
    <s v="Businessman"/>
    <n v="3"/>
    <x v="0"/>
    <n v="3"/>
    <n v="1"/>
    <n v="2"/>
    <n v="2"/>
    <n v="1"/>
    <s v="Y"/>
    <n v="2000"/>
    <x v="4"/>
  </r>
  <r>
    <m/>
    <d v="1899-12-30T14:49:00"/>
    <m/>
    <s v="D"/>
    <n v="2"/>
    <s v="Road Vehicle"/>
    <n v="8"/>
    <x v="8"/>
    <x v="1"/>
    <n v="3"/>
    <x v="2"/>
    <s v="KARUMA"/>
    <s v="KIRYANDONGO"/>
    <s v="UGA"/>
    <n v="1"/>
    <s v="Home"/>
    <s v="KAMPALA"/>
    <s v="KAMPALA"/>
    <s v="UGA"/>
    <n v="2"/>
    <s v="Work"/>
    <x v="8"/>
    <n v="200000"/>
    <n v="250"/>
    <x v="3"/>
    <n v="5"/>
    <x v="0"/>
    <n v="6"/>
    <s v="Businessman"/>
    <n v="5"/>
    <x v="4"/>
    <n v="5"/>
    <n v="2"/>
    <n v="2"/>
    <n v="1"/>
    <n v="1"/>
    <s v="Y"/>
    <n v="1000"/>
    <x v="1"/>
  </r>
  <r>
    <d v="2019-10-24T00:00:00"/>
    <d v="1899-12-30T12:34:00"/>
    <m/>
    <s v="P"/>
    <n v="2"/>
    <s v="Road Vehicle"/>
    <n v="4"/>
    <x v="3"/>
    <x v="0"/>
    <n v="3"/>
    <x v="2"/>
    <s v="LUWERO"/>
    <s v="LUWERO"/>
    <s v="UGA"/>
    <n v="2"/>
    <s v="Work"/>
    <s v="MASINDI"/>
    <s v="MASINDI"/>
    <s v="UGA"/>
    <n v="2"/>
    <s v="Work"/>
    <x v="5"/>
    <n v="18000"/>
    <n v="204"/>
    <x v="3"/>
    <n v="5"/>
    <x v="0"/>
    <n v="6"/>
    <s v="Businessman"/>
    <n v="5"/>
    <x v="4"/>
    <n v="1"/>
    <n v="2"/>
    <n v="1"/>
    <n v="1"/>
    <n v="3"/>
    <s v="Y"/>
    <n v="2000"/>
    <x v="4"/>
  </r>
  <r>
    <d v="2019-10-24T00:00:00"/>
    <d v="1899-12-30T13:17:00"/>
    <m/>
    <s v="P"/>
    <n v="2"/>
    <s v="Road Vehicle"/>
    <n v="4"/>
    <x v="3"/>
    <x v="0"/>
    <n v="3"/>
    <x v="2"/>
    <s v="SEMUTO"/>
    <s v="NAKASEKE"/>
    <s v="UGA"/>
    <n v="1"/>
    <s v="Home"/>
    <s v="BOMBO"/>
    <s v="LUWERO"/>
    <s v="UGA"/>
    <n v="2"/>
    <s v="Work"/>
    <x v="8"/>
    <n v="2000"/>
    <n v="15"/>
    <x v="6"/>
    <n v="0.1"/>
    <x v="4"/>
    <n v="4"/>
    <s v="Office Worker"/>
    <n v="2"/>
    <x v="1"/>
    <n v="4"/>
    <n v="1"/>
    <n v="2"/>
    <n v="1"/>
    <n v="2"/>
    <s v="Y"/>
    <n v="3000"/>
    <x v="5"/>
  </r>
  <r>
    <d v="2019-10-24T00:00:00"/>
    <d v="1899-12-30T08:00:00"/>
    <m/>
    <s v="P"/>
    <n v="2"/>
    <s v="Road Vehicle"/>
    <n v="4"/>
    <x v="3"/>
    <x v="0"/>
    <n v="3"/>
    <x v="2"/>
    <s v="LUWERO"/>
    <s v="LUWERO"/>
    <s v="UGA"/>
    <n v="1"/>
    <s v="Home"/>
    <s v="MENGO"/>
    <s v="KAMPALA"/>
    <s v="UGA"/>
    <n v="2"/>
    <s v="Work"/>
    <x v="8"/>
    <n v="3000"/>
    <n v="10"/>
    <x v="6"/>
    <n v="0.3"/>
    <x v="4"/>
    <n v="4"/>
    <s v="Office Worker"/>
    <n v="4"/>
    <x v="3"/>
    <n v="4"/>
    <n v="1"/>
    <n v="1"/>
    <n v="2"/>
    <n v="1"/>
    <s v="Y"/>
    <n v="1000"/>
    <x v="1"/>
  </r>
  <r>
    <d v="2019-10-25T00:00:00"/>
    <d v="1899-12-30T08:00:00"/>
    <m/>
    <s v="P"/>
    <n v="2"/>
    <s v="Road Vehicle"/>
    <n v="4"/>
    <x v="3"/>
    <x v="0"/>
    <n v="3"/>
    <x v="2"/>
    <s v="BOMBO"/>
    <s v="LUWERO"/>
    <s v="UGA"/>
    <n v="2"/>
    <s v="Work"/>
    <s v="LUWERO"/>
    <s v="LUWERO"/>
    <s v="UGA"/>
    <n v="1"/>
    <s v="Home"/>
    <x v="1"/>
    <n v="3000"/>
    <n v="70"/>
    <x v="0"/>
    <n v="0.9"/>
    <x v="3"/>
    <n v="4"/>
    <s v="Office Worker"/>
    <n v="4"/>
    <x v="3"/>
    <n v="4"/>
    <n v="2"/>
    <n v="1"/>
    <n v="2"/>
    <n v="2"/>
    <s v="Y"/>
    <n v="500"/>
    <x v="0"/>
  </r>
  <r>
    <d v="2019-10-25T00:00:00"/>
    <d v="1899-12-30T08:22:00"/>
    <m/>
    <s v="P"/>
    <n v="2"/>
    <s v="Road Vehicle"/>
    <n v="4"/>
    <x v="3"/>
    <x v="0"/>
    <n v="3"/>
    <x v="2"/>
    <s v="LUWERO"/>
    <s v="LUWERO"/>
    <s v="UGA"/>
    <n v="1"/>
    <s v="Home"/>
    <s v="KARULE"/>
    <s v="LUWERO"/>
    <s v="UGA"/>
    <n v="2"/>
    <s v="Work"/>
    <x v="8"/>
    <n v="3000"/>
    <n v="75"/>
    <x v="0"/>
    <n v="0.9"/>
    <x v="3"/>
    <n v="4"/>
    <s v="Office Worker"/>
    <n v="3"/>
    <x v="0"/>
    <n v="4"/>
    <n v="2"/>
    <n v="2"/>
    <n v="2"/>
    <n v="1"/>
    <s v="Y"/>
    <n v="1000"/>
    <x v="1"/>
  </r>
  <r>
    <d v="2019-10-25T00:00:00"/>
    <d v="1899-12-30T10:10:00"/>
    <m/>
    <s v="P"/>
    <n v="2"/>
    <s v="Road Vehicle"/>
    <n v="4"/>
    <x v="3"/>
    <x v="0"/>
    <n v="3"/>
    <x v="2"/>
    <s v="MATUGA"/>
    <s v="LUWERO"/>
    <s v="UGA"/>
    <n v="1"/>
    <s v="Home"/>
    <s v="LUWERO"/>
    <s v="LUWERO"/>
    <s v="UGA"/>
    <n v="2"/>
    <s v="Work"/>
    <x v="8"/>
    <n v="3000"/>
    <n v="80"/>
    <x v="0"/>
    <n v="1"/>
    <x v="2"/>
    <n v="4"/>
    <s v="Office Worker"/>
    <n v="4"/>
    <x v="3"/>
    <n v="2"/>
    <n v="2"/>
    <n v="2"/>
    <n v="2"/>
    <n v="2"/>
    <s v="Y"/>
    <n v="1000"/>
    <x v="1"/>
  </r>
  <r>
    <d v="2019-10-25T00:00:00"/>
    <d v="1899-12-30T12:42:00"/>
    <m/>
    <s v="P"/>
    <n v="2"/>
    <s v="Road Vehicle"/>
    <n v="4"/>
    <x v="3"/>
    <x v="0"/>
    <n v="3"/>
    <x v="2"/>
    <s v="KAMPALA"/>
    <s v="KAMPALA"/>
    <s v="UGA"/>
    <n v="1"/>
    <s v="Home"/>
    <s v="LUWERO"/>
    <s v="LUWERO"/>
    <s v="UGA"/>
    <n v="2"/>
    <s v="Work"/>
    <x v="8"/>
    <n v="4000"/>
    <n v="80"/>
    <x v="0"/>
    <n v="1.5"/>
    <x v="2"/>
    <n v="6"/>
    <s v="Businessman"/>
    <n v="3"/>
    <x v="0"/>
    <n v="5"/>
    <n v="2"/>
    <n v="1"/>
    <n v="2"/>
    <n v="1"/>
    <s v="Y"/>
    <n v="1000"/>
    <x v="1"/>
  </r>
  <r>
    <d v="2019-10-25T00:00:00"/>
    <d v="1899-12-30T08:19:00"/>
    <m/>
    <s v="P"/>
    <n v="2"/>
    <s v="Road Vehicle"/>
    <n v="4"/>
    <x v="3"/>
    <x v="0"/>
    <n v="3"/>
    <x v="2"/>
    <s v="LUWERO"/>
    <s v="LUWERO"/>
    <s v="UGA"/>
    <n v="1"/>
    <s v="Home"/>
    <s v="BOMBO"/>
    <s v="BOMBO"/>
    <s v="UGA"/>
    <n v="7"/>
    <s v="Hospital"/>
    <x v="26"/>
    <n v="3000"/>
    <n v="35"/>
    <x v="5"/>
    <n v="0.7"/>
    <x v="3"/>
    <n v="10"/>
    <s v="Other"/>
    <n v="1"/>
    <x v="2"/>
    <n v="1"/>
    <n v="2"/>
    <n v="1"/>
    <n v="2"/>
    <n v="1"/>
    <s v="Y"/>
    <n v="0"/>
    <x v="0"/>
  </r>
  <r>
    <d v="2019-10-25T00:00:00"/>
    <d v="1899-12-30T09:59:00"/>
    <m/>
    <s v="P"/>
    <n v="2"/>
    <s v="Road Vehicle"/>
    <n v="4"/>
    <x v="3"/>
    <x v="0"/>
    <n v="3"/>
    <x v="2"/>
    <s v="KAMPALA"/>
    <s v="KAMPALA"/>
    <s v="UGA"/>
    <n v="1"/>
    <s v="Home"/>
    <s v="LUKOMERA"/>
    <s v="LUWERO"/>
    <s v="UGA"/>
    <n v="1"/>
    <s v="Home"/>
    <x v="2"/>
    <n v="5000"/>
    <n v="64"/>
    <x v="1"/>
    <n v="1"/>
    <x v="2"/>
    <n v="6"/>
    <s v="Businessman"/>
    <n v="3"/>
    <x v="0"/>
    <n v="1"/>
    <n v="3"/>
    <n v="2"/>
    <n v="1"/>
    <n v="1"/>
    <s v="Y"/>
    <n v="1000"/>
    <x v="1"/>
  </r>
  <r>
    <d v="2019-10-25T00:00:00"/>
    <d v="1899-12-30T16:25:00"/>
    <m/>
    <s v="P"/>
    <n v="2"/>
    <s v="Road Vehicle"/>
    <n v="4"/>
    <x v="3"/>
    <x v="0"/>
    <n v="3"/>
    <x v="2"/>
    <s v="MATUGA"/>
    <s v="WAKISO"/>
    <s v="UGA"/>
    <n v="2"/>
    <s v="Work"/>
    <s v="LUWERO"/>
    <s v="LUWERO"/>
    <s v="UGA"/>
    <n v="6"/>
    <s v="Leisure/Social"/>
    <x v="22"/>
    <n v="4000"/>
    <n v="40"/>
    <x v="1"/>
    <n v="0.7"/>
    <x v="3"/>
    <n v="4"/>
    <s v="Office Worker"/>
    <n v="3"/>
    <x v="0"/>
    <n v="1"/>
    <n v="1"/>
    <n v="2"/>
    <n v="1"/>
    <n v="1"/>
    <s v="Y"/>
    <n v="2000"/>
    <x v="4"/>
  </r>
  <r>
    <d v="2019-10-25T00:00:00"/>
    <d v="1899-12-30T14:17:00"/>
    <m/>
    <s v="P"/>
    <n v="2"/>
    <s v="Road Vehicle"/>
    <n v="4"/>
    <x v="3"/>
    <x v="0"/>
    <n v="3"/>
    <x v="2"/>
    <s v="MATUGA"/>
    <s v="WAKISO"/>
    <s v="UGA"/>
    <n v="2"/>
    <s v="Work"/>
    <s v="LUWERO"/>
    <s v="LUWERO"/>
    <s v="UGA"/>
    <n v="4"/>
    <s v="Commercial"/>
    <x v="21"/>
    <n v="5000"/>
    <n v="42"/>
    <x v="1"/>
    <n v="0.7"/>
    <x v="3"/>
    <n v="6"/>
    <s v="Businessman"/>
    <n v="3"/>
    <x v="0"/>
    <n v="1"/>
    <n v="4"/>
    <n v="2"/>
    <n v="2"/>
    <n v="2"/>
    <s v="Y"/>
    <n v="3000"/>
    <x v="5"/>
  </r>
  <r>
    <d v="2019-10-25T00:00:00"/>
    <d v="1899-12-30T10:13:00"/>
    <m/>
    <s v="P"/>
    <n v="2"/>
    <s v="Road Vehicle"/>
    <n v="4"/>
    <x v="3"/>
    <x v="0"/>
    <n v="3"/>
    <x v="2"/>
    <s v="BWAISE"/>
    <s v="KAMPALA"/>
    <s v="UGA"/>
    <n v="4"/>
    <s v="Commercial"/>
    <s v="LUWERO"/>
    <s v="LUWERO"/>
    <s v="UGA"/>
    <n v="2"/>
    <s v="Work"/>
    <x v="20"/>
    <n v="5000"/>
    <n v="61"/>
    <x v="1"/>
    <n v="1.5"/>
    <x v="2"/>
    <n v="6"/>
    <s v="Businessman"/>
    <n v="3"/>
    <x v="0"/>
    <n v="4"/>
    <n v="1"/>
    <n v="5"/>
    <n v="1"/>
    <n v="2"/>
    <s v="Y"/>
    <n v="0"/>
    <x v="0"/>
  </r>
  <r>
    <d v="2019-10-25T00:00:00"/>
    <d v="1899-12-30T09:47:00"/>
    <m/>
    <s v="P"/>
    <n v="2"/>
    <s v="Road Vehicle"/>
    <n v="4"/>
    <x v="3"/>
    <x v="0"/>
    <n v="3"/>
    <x v="2"/>
    <s v="NGOMA"/>
    <s v="NAKASEKE"/>
    <s v="UGA"/>
    <n v="1"/>
    <s v="Home"/>
    <s v="LUWERO"/>
    <s v="LUWERO"/>
    <s v="UGA"/>
    <n v="4"/>
    <s v="Commercial"/>
    <x v="12"/>
    <n v="12000"/>
    <n v="51"/>
    <x v="1"/>
    <n v="1"/>
    <x v="2"/>
    <n v="6"/>
    <s v="Businessman"/>
    <n v="3"/>
    <x v="0"/>
    <n v="5"/>
    <n v="4"/>
    <n v="4"/>
    <n v="1"/>
    <n v="2"/>
    <s v="Y"/>
    <n v="2000"/>
    <x v="4"/>
  </r>
  <r>
    <d v="2019-10-25T00:00:00"/>
    <d v="1899-12-30T09:29:00"/>
    <m/>
    <s v="P"/>
    <n v="2"/>
    <s v="Road Vehicle"/>
    <n v="4"/>
    <x v="3"/>
    <x v="0"/>
    <n v="3"/>
    <x v="2"/>
    <s v="KAMPALA"/>
    <s v="KAMPALA"/>
    <s v="UGA"/>
    <n v="2"/>
    <s v="Work"/>
    <s v="MASINDI"/>
    <s v="MASINDI"/>
    <s v="UGA"/>
    <n v="2"/>
    <s v="Work"/>
    <x v="5"/>
    <n v="25000"/>
    <n v="245"/>
    <x v="3"/>
    <n v="4"/>
    <x v="0"/>
    <n v="2"/>
    <s v="Manual Labour"/>
    <n v="2"/>
    <x v="1"/>
    <n v="1"/>
    <n v="4"/>
    <n v="4"/>
    <n v="1"/>
    <n v="3"/>
    <s v="Y"/>
    <n v="3000"/>
    <x v="5"/>
  </r>
  <r>
    <d v="2019-10-25T00:00:00"/>
    <d v="1899-12-30T08:44:00"/>
    <m/>
    <s v="P"/>
    <n v="2"/>
    <s v="Road Vehicle"/>
    <n v="4"/>
    <x v="3"/>
    <x v="0"/>
    <n v="3"/>
    <x v="2"/>
    <s v="LUWERO"/>
    <s v="LUWERO"/>
    <s v="UGA"/>
    <n v="2"/>
    <s v="Work"/>
    <s v="KIGUMBA"/>
    <s v="MASINDI"/>
    <s v="UGA"/>
    <n v="1"/>
    <s v="Home"/>
    <x v="1"/>
    <n v="10000"/>
    <n v="100"/>
    <x v="2"/>
    <n v="3"/>
    <x v="1"/>
    <n v="4"/>
    <s v="Office Worker"/>
    <n v="3"/>
    <x v="0"/>
    <n v="1"/>
    <n v="1"/>
    <n v="5"/>
    <n v="2"/>
    <n v="2"/>
    <s v="Y"/>
    <n v="5000"/>
    <x v="2"/>
  </r>
  <r>
    <d v="2019-10-26T00:00:00"/>
    <d v="1899-12-30T09:55:00"/>
    <m/>
    <s v="P"/>
    <n v="2"/>
    <s v="Road Vehicle"/>
    <n v="4"/>
    <x v="3"/>
    <x v="0"/>
    <n v="3"/>
    <x v="2"/>
    <s v="WACHATO"/>
    <s v="NAKASEKE"/>
    <s v="UGA"/>
    <n v="1"/>
    <s v="Home"/>
    <s v="LUWERO"/>
    <s v="LUWERO"/>
    <s v="UGA"/>
    <n v="6"/>
    <s v="Leisure/Social"/>
    <x v="3"/>
    <n v="8000"/>
    <n v="180"/>
    <x v="2"/>
    <n v="3"/>
    <x v="1"/>
    <n v="10"/>
    <s v="Other"/>
    <n v="1"/>
    <x v="2"/>
    <n v="2"/>
    <n v="2"/>
    <n v="3"/>
    <n v="1"/>
    <n v="2"/>
    <s v="Y"/>
    <n v="1000"/>
    <x v="1"/>
  </r>
  <r>
    <d v="2019-10-26T00:00:00"/>
    <d v="1899-12-30T16:30:00"/>
    <m/>
    <s v="P"/>
    <n v="2"/>
    <s v="Road Vehicle"/>
    <n v="4"/>
    <x v="3"/>
    <x v="0"/>
    <n v="3"/>
    <x v="2"/>
    <s v="KAGOMA"/>
    <s v="WAKISO"/>
    <s v="UGA"/>
    <n v="1"/>
    <s v="Home"/>
    <s v="LUWERO"/>
    <s v="LUWERO"/>
    <s v="UGA"/>
    <n v="1"/>
    <s v="Home"/>
    <x v="2"/>
    <n v="3000"/>
    <n v="64"/>
    <x v="1"/>
    <n v="1"/>
    <x v="2"/>
    <n v="10"/>
    <s v="Other"/>
    <n v="1"/>
    <x v="2"/>
    <n v="4"/>
    <n v="2"/>
    <n v="1"/>
    <n v="5"/>
    <n v="1"/>
    <s v="Y"/>
    <n v="0"/>
    <x v="0"/>
  </r>
  <r>
    <d v="2019-10-26T00:00:00"/>
    <d v="1899-12-30T15:49:00"/>
    <m/>
    <s v="D"/>
    <n v="2"/>
    <s v="Road Vehicle"/>
    <n v="4"/>
    <x v="3"/>
    <x v="0"/>
    <n v="3"/>
    <x v="2"/>
    <s v="LUWERO"/>
    <s v="LUWERO"/>
    <s v="UGA"/>
    <n v="4"/>
    <s v="Commercial"/>
    <s v="KAWANDA"/>
    <s v="WAKISO"/>
    <s v="UGA"/>
    <n v="1"/>
    <s v="Home"/>
    <x v="0"/>
    <n v="3000"/>
    <n v="50"/>
    <x v="1"/>
    <n v="0.7"/>
    <x v="3"/>
    <n v="6"/>
    <s v="Businessman"/>
    <n v="4"/>
    <x v="3"/>
    <n v="2"/>
    <n v="1"/>
    <n v="2"/>
    <n v="2"/>
    <n v="1"/>
    <s v="Y"/>
    <n v="0"/>
    <x v="0"/>
  </r>
  <r>
    <d v="2019-10-26T00:00:00"/>
    <d v="1899-12-30T15:24:00"/>
    <m/>
    <s v="P"/>
    <n v="2"/>
    <s v="Road Vehicle"/>
    <n v="4"/>
    <x v="3"/>
    <x v="0"/>
    <n v="3"/>
    <x v="2"/>
    <s v="WATINDO"/>
    <s v="WAKISO"/>
    <s v="UGA"/>
    <n v="2"/>
    <s v="Work"/>
    <s v="KIGUMBA"/>
    <s v="MASINDI"/>
    <s v="UGA"/>
    <n v="2"/>
    <s v="Work"/>
    <x v="5"/>
    <n v="20000"/>
    <n v="182"/>
    <x v="2"/>
    <n v="3"/>
    <x v="1"/>
    <n v="2"/>
    <s v="Manual Labour"/>
    <n v="2"/>
    <x v="1"/>
    <n v="1"/>
    <n v="2"/>
    <n v="1"/>
    <n v="1"/>
    <n v="3"/>
    <s v="Y"/>
    <n v="1000"/>
    <x v="1"/>
  </r>
  <r>
    <d v="2019-10-26T00:00:00"/>
    <d v="1899-12-30T07:39:00"/>
    <m/>
    <s v="P"/>
    <n v="2"/>
    <s v="Road Vehicle"/>
    <n v="4"/>
    <x v="3"/>
    <x v="0"/>
    <n v="3"/>
    <x v="2"/>
    <s v="LUWERO"/>
    <s v="LUWERO"/>
    <s v="UGA"/>
    <n v="1"/>
    <s v="Home"/>
    <s v="BWAISE"/>
    <s v="KAMPALA"/>
    <s v="UGA"/>
    <n v="2"/>
    <s v="Work"/>
    <x v="8"/>
    <n v="5000"/>
    <n v="51"/>
    <x v="1"/>
    <n v="1"/>
    <x v="2"/>
    <n v="6"/>
    <s v="Businessman"/>
    <n v="4"/>
    <x v="3"/>
    <n v="3"/>
    <n v="3"/>
    <n v="1"/>
    <n v="2"/>
    <n v="1"/>
    <s v="Y"/>
    <n v="10000"/>
    <x v="3"/>
  </r>
  <r>
    <d v="2019-10-26T00:00:00"/>
    <d v="1899-12-30T10:03:00"/>
    <m/>
    <s v="D"/>
    <n v="2"/>
    <s v="Road Vehicle"/>
    <n v="4"/>
    <x v="3"/>
    <x v="0"/>
    <n v="3"/>
    <x v="2"/>
    <s v="NTINDA"/>
    <s v="KAMPALA"/>
    <s v="UGA"/>
    <n v="2"/>
    <s v="Work"/>
    <s v="KASANA"/>
    <s v="LUWERO"/>
    <s v="UGA"/>
    <n v="2"/>
    <s v="Work"/>
    <x v="5"/>
    <n v="140000"/>
    <n v="80"/>
    <x v="0"/>
    <n v="4"/>
    <x v="0"/>
    <n v="5"/>
    <s v="Professional"/>
    <n v="2"/>
    <x v="1"/>
    <n v="1"/>
    <n v="1"/>
    <n v="5"/>
    <n v="5"/>
    <n v="1"/>
    <s v="Y"/>
    <n v="2000"/>
    <x v="4"/>
  </r>
  <r>
    <m/>
    <d v="1899-12-30T11:10:00"/>
    <m/>
    <s v="P"/>
    <n v="2"/>
    <s v="Road Vehicle"/>
    <n v="4"/>
    <x v="3"/>
    <x v="0"/>
    <n v="3"/>
    <x v="2"/>
    <s v="KARULE"/>
    <s v="LUWERO"/>
    <s v="UGA"/>
    <n v="1"/>
    <s v="Home"/>
    <s v="KARUMA"/>
    <s v="KIRYANDONGO"/>
    <s v="UGA"/>
    <n v="2"/>
    <s v="Work"/>
    <x v="8"/>
    <n v="20000"/>
    <n v="250"/>
    <x v="3"/>
    <n v="5"/>
    <x v="0"/>
    <n v="6"/>
    <s v="Businessman"/>
    <n v="4"/>
    <x v="3"/>
    <n v="2"/>
    <n v="1"/>
    <n v="2"/>
    <n v="3"/>
    <n v="2"/>
    <s v="Y"/>
    <n v="500"/>
    <x v="0"/>
  </r>
  <r>
    <m/>
    <d v="1899-12-30T10:52:00"/>
    <m/>
    <s v="P"/>
    <n v="2"/>
    <s v="Road Vehicle"/>
    <n v="4"/>
    <x v="3"/>
    <x v="0"/>
    <n v="3"/>
    <x v="2"/>
    <s v="KAMPALA"/>
    <s v="KAMPALA"/>
    <s v="UGA"/>
    <n v="2"/>
    <s v="Work"/>
    <s v="LUWERO"/>
    <s v="LUWERO"/>
    <s v="UGA"/>
    <n v="1"/>
    <s v="Home"/>
    <x v="1"/>
    <n v="4000"/>
    <n v="80"/>
    <x v="0"/>
    <n v="1"/>
    <x v="2"/>
    <n v="6"/>
    <s v="Businessman"/>
    <n v="3"/>
    <x v="0"/>
    <n v="1"/>
    <n v="1"/>
    <n v="2"/>
    <n v="2"/>
    <n v="2"/>
    <s v="Y"/>
    <n v="500"/>
    <x v="0"/>
  </r>
  <r>
    <m/>
    <d v="1899-12-30T09:00:00"/>
    <m/>
    <s v="P"/>
    <n v="2"/>
    <s v="Road Vehicle"/>
    <n v="4"/>
    <x v="3"/>
    <x v="0"/>
    <n v="3"/>
    <x v="2"/>
    <s v="KAMPALA"/>
    <s v="KAMPALA"/>
    <s v="UGA"/>
    <n v="1"/>
    <s v="Home"/>
    <s v="KARUMA"/>
    <s v="KIRYANDONGO"/>
    <s v="UGA"/>
    <n v="2"/>
    <s v="Work"/>
    <x v="8"/>
    <n v="20000"/>
    <n v="270"/>
    <x v="3"/>
    <n v="5"/>
    <x v="0"/>
    <n v="5"/>
    <s v="Professional"/>
    <n v="4"/>
    <x v="3"/>
    <n v="3"/>
    <n v="2"/>
    <n v="1"/>
    <n v="2"/>
    <n v="1"/>
    <s v="Y"/>
    <n v="1000"/>
    <x v="1"/>
  </r>
  <r>
    <m/>
    <d v="1899-12-30T08:15:00"/>
    <m/>
    <s v="P"/>
    <n v="2"/>
    <s v="Road Vehicle"/>
    <n v="4"/>
    <x v="3"/>
    <x v="0"/>
    <n v="3"/>
    <x v="2"/>
    <s v="MASINDI"/>
    <s v="MASINDI"/>
    <s v="UGA"/>
    <n v="2"/>
    <s v="Work"/>
    <s v="KAMPALA"/>
    <s v="KAMPALA"/>
    <s v="UGA"/>
    <n v="2"/>
    <s v="Work"/>
    <x v="5"/>
    <n v="20000"/>
    <n v="280"/>
    <x v="3"/>
    <n v="5"/>
    <x v="0"/>
    <n v="6"/>
    <s v="Businessman"/>
    <n v="5"/>
    <x v="4"/>
    <n v="5"/>
    <n v="1"/>
    <n v="2"/>
    <n v="2"/>
    <n v="2"/>
    <s v="Y"/>
    <n v="2000"/>
    <x v="4"/>
  </r>
  <r>
    <m/>
    <d v="1899-12-30T07:27:00"/>
    <m/>
    <s v="P"/>
    <n v="2"/>
    <s v="Road Vehicle"/>
    <n v="4"/>
    <x v="3"/>
    <x v="0"/>
    <n v="3"/>
    <x v="2"/>
    <s v="LUWERO"/>
    <s v="LUWERO"/>
    <s v="UGA"/>
    <n v="1"/>
    <s v="Home"/>
    <s v="KAMPALA"/>
    <s v="KAMPALA"/>
    <s v="UGA"/>
    <n v="2"/>
    <s v="Work"/>
    <x v="8"/>
    <n v="4000"/>
    <n v="80"/>
    <x v="0"/>
    <n v="1"/>
    <x v="2"/>
    <n v="5"/>
    <s v="Professional"/>
    <n v="4"/>
    <x v="3"/>
    <n v="5"/>
    <n v="2"/>
    <n v="3"/>
    <n v="1"/>
    <n v="2"/>
    <s v="Y"/>
    <n v="500"/>
    <x v="0"/>
  </r>
  <r>
    <d v="2019-10-24T00:00:00"/>
    <d v="1899-12-30T10:12:00"/>
    <m/>
    <s v="P"/>
    <n v="2"/>
    <s v="Road Vehicle"/>
    <n v="4"/>
    <x v="3"/>
    <x v="1"/>
    <n v="3"/>
    <x v="2"/>
    <s v="KAWEMPE"/>
    <s v="WAKISO"/>
    <s v="UGA"/>
    <n v="2"/>
    <s v="Work"/>
    <s v="KASANA"/>
    <s v="LUWERO"/>
    <s v="UGA"/>
    <n v="1"/>
    <s v="Home"/>
    <x v="1"/>
    <n v="35000"/>
    <n v="38"/>
    <x v="5"/>
    <n v="0.7"/>
    <x v="3"/>
    <n v="2"/>
    <s v="Manual Labour"/>
    <n v="1"/>
    <x v="2"/>
    <n v="1"/>
    <n v="1"/>
    <n v="2"/>
    <n v="1"/>
    <n v="3"/>
    <s v="Y"/>
    <n v="20000"/>
    <x v="3"/>
  </r>
  <r>
    <d v="2019-10-24T00:00:00"/>
    <d v="1899-12-30T08:07:00"/>
    <m/>
    <s v="D"/>
    <n v="2"/>
    <s v="Road Vehicle"/>
    <n v="4"/>
    <x v="3"/>
    <x v="1"/>
    <n v="3"/>
    <x v="2"/>
    <s v="LUWERO"/>
    <s v="LUWERO"/>
    <s v="UGA"/>
    <n v="2"/>
    <s v="Work"/>
    <s v="BWEYALE"/>
    <s v="KIRYANDONGO"/>
    <s v="UGA"/>
    <n v="2"/>
    <s v="Work"/>
    <x v="5"/>
    <n v="300000"/>
    <n v="150"/>
    <x v="2"/>
    <n v="4"/>
    <x v="0"/>
    <n v="2"/>
    <s v="Manual Labour"/>
    <n v="2"/>
    <x v="1"/>
    <n v="4"/>
    <n v="1"/>
    <n v="2"/>
    <n v="1"/>
    <n v="1"/>
    <s v="Y"/>
    <n v="4000"/>
    <x v="5"/>
  </r>
  <r>
    <d v="2019-10-24T00:00:00"/>
    <d v="1899-12-30T09:07:00"/>
    <m/>
    <s v="D"/>
    <n v="2"/>
    <s v="Road Vehicle"/>
    <n v="4"/>
    <x v="3"/>
    <x v="1"/>
    <n v="3"/>
    <x v="2"/>
    <s v="KASANA"/>
    <s v="LUWERO"/>
    <s v="UGA"/>
    <n v="2"/>
    <s v="Work"/>
    <s v="KAMPALA"/>
    <s v="KAMPALA"/>
    <s v="UGA"/>
    <n v="2"/>
    <s v="Work"/>
    <x v="5"/>
    <n v="35000"/>
    <n v="42"/>
    <x v="1"/>
    <n v="1"/>
    <x v="2"/>
    <n v="2"/>
    <s v="Manual Labour"/>
    <n v="3"/>
    <x v="0"/>
    <n v="1"/>
    <n v="2"/>
    <n v="1"/>
    <n v="2"/>
    <n v="2"/>
    <s v="Y"/>
    <n v="3000"/>
    <x v="5"/>
  </r>
  <r>
    <d v="2019-10-24T00:00:00"/>
    <d v="1899-12-30T09:11:00"/>
    <m/>
    <s v="P"/>
    <n v="2"/>
    <s v="Road Vehicle"/>
    <n v="4"/>
    <x v="3"/>
    <x v="1"/>
    <n v="3"/>
    <x v="2"/>
    <s v="LUWERO"/>
    <s v="LUWERO"/>
    <s v="UGA"/>
    <n v="1"/>
    <s v="Home"/>
    <s v="BWAISE"/>
    <s v="KAMPALA"/>
    <s v="UGA"/>
    <n v="2"/>
    <s v="Work"/>
    <x v="8"/>
    <n v="35000"/>
    <n v="40"/>
    <x v="1"/>
    <n v="1"/>
    <x v="2"/>
    <n v="6"/>
    <s v="Businessman"/>
    <n v="3"/>
    <x v="0"/>
    <n v="5"/>
    <n v="1"/>
    <n v="2"/>
    <n v="1"/>
    <n v="2"/>
    <s v="Y"/>
    <n v="5000"/>
    <x v="2"/>
  </r>
  <r>
    <d v="2019-10-24T00:00:00"/>
    <d v="1899-12-30T15:07:00"/>
    <m/>
    <s v="P"/>
    <n v="2"/>
    <s v="Road Vehicle"/>
    <n v="4"/>
    <x v="3"/>
    <x v="1"/>
    <n v="3"/>
    <x v="2"/>
    <s v="BWEYALE"/>
    <s v="KIRYANDONGO"/>
    <s v="UGA"/>
    <n v="2"/>
    <s v="Work"/>
    <s v="KAJAMA"/>
    <s v="LUWERO"/>
    <s v="UGA"/>
    <n v="1"/>
    <s v="Home"/>
    <x v="1"/>
    <n v="12000"/>
    <n v="197"/>
    <x v="2"/>
    <n v="4"/>
    <x v="0"/>
    <n v="2"/>
    <s v="Manual Labour"/>
    <n v="2"/>
    <x v="1"/>
    <n v="1"/>
    <n v="2"/>
    <n v="1"/>
    <n v="1"/>
    <n v="2"/>
    <s v="Y"/>
    <n v="4000"/>
    <x v="5"/>
  </r>
  <r>
    <d v="2019-10-24T00:00:00"/>
    <d v="1899-12-30T07:12:00"/>
    <m/>
    <s v="P"/>
    <n v="2"/>
    <s v="Road Vehicle"/>
    <n v="4"/>
    <x v="3"/>
    <x v="1"/>
    <n v="3"/>
    <x v="2"/>
    <s v="LUWERO"/>
    <s v="LUWERO"/>
    <s v="UGA"/>
    <n v="2"/>
    <s v="Work"/>
    <s v="BWEYALE"/>
    <s v="KIRYANDONGO"/>
    <s v="UGA"/>
    <n v="2"/>
    <s v="Work"/>
    <x v="5"/>
    <n v="10000"/>
    <n v="147"/>
    <x v="2"/>
    <n v="5"/>
    <x v="0"/>
    <n v="2"/>
    <s v="Manual Labour"/>
    <n v="2"/>
    <x v="1"/>
    <n v="5"/>
    <n v="1"/>
    <n v="2"/>
    <n v="3"/>
    <n v="1"/>
    <s v="Y"/>
    <n v="3000"/>
    <x v="5"/>
  </r>
  <r>
    <d v="2019-10-24T00:00:00"/>
    <d v="1899-12-30T07:20:00"/>
    <m/>
    <s v="P"/>
    <n v="2"/>
    <s v="Road Vehicle"/>
    <n v="4"/>
    <x v="3"/>
    <x v="1"/>
    <n v="3"/>
    <x v="2"/>
    <s v="LUWERO"/>
    <s v="LUWERO"/>
    <s v="UGA"/>
    <n v="1"/>
    <s v="Home"/>
    <s v="MATUGA"/>
    <s v="WAKISO"/>
    <s v="UGA"/>
    <n v="4"/>
    <s v="Commercial"/>
    <x v="12"/>
    <n v="4000"/>
    <n v="40"/>
    <x v="1"/>
    <n v="1.5"/>
    <x v="2"/>
    <n v="6"/>
    <s v="Businessman"/>
    <n v="3"/>
    <x v="0"/>
    <n v="4"/>
    <n v="1"/>
    <n v="1"/>
    <n v="2"/>
    <n v="1"/>
    <s v="Y"/>
    <n v="5000"/>
    <x v="2"/>
  </r>
  <r>
    <d v="2019-10-24T00:00:00"/>
    <d v="1899-12-30T07:32:00"/>
    <m/>
    <s v="D"/>
    <n v="2"/>
    <s v="Road Vehicle"/>
    <n v="4"/>
    <x v="3"/>
    <x v="1"/>
    <n v="3"/>
    <x v="2"/>
    <s v="LUWERO"/>
    <s v="LUWERO"/>
    <s v="UGA"/>
    <n v="2"/>
    <s v="Work"/>
    <s v="KAMPALA"/>
    <s v="KAMPALA"/>
    <s v="UGA"/>
    <n v="2"/>
    <s v="Work"/>
    <x v="5"/>
    <n v="50000"/>
    <n v="62"/>
    <x v="1"/>
    <n v="1.5"/>
    <x v="2"/>
    <n v="2"/>
    <s v="Manual Labour"/>
    <n v="2"/>
    <x v="1"/>
    <n v="5"/>
    <n v="1"/>
    <n v="4"/>
    <n v="1"/>
    <n v="1"/>
    <s v="Y"/>
    <n v="10000"/>
    <x v="3"/>
  </r>
  <r>
    <d v="2019-10-24T00:00:00"/>
    <d v="1899-12-30T08:23:00"/>
    <m/>
    <s v="D"/>
    <n v="2"/>
    <s v="Road Vehicle"/>
    <n v="4"/>
    <x v="3"/>
    <x v="1"/>
    <n v="3"/>
    <x v="2"/>
    <s v="LUWERO"/>
    <s v="LUWERO"/>
    <s v="UGA"/>
    <n v="1"/>
    <s v="Home"/>
    <s v="KANYOGOGA"/>
    <s v="NAKASEKE"/>
    <s v="UGA"/>
    <n v="6"/>
    <s v="Leisure/Social"/>
    <x v="3"/>
    <n v="7000"/>
    <n v="74"/>
    <x v="0"/>
    <n v="2"/>
    <x v="1"/>
    <n v="2"/>
    <s v="Manual Labour"/>
    <n v="2"/>
    <x v="1"/>
    <n v="4"/>
    <n v="1"/>
    <n v="4"/>
    <n v="1"/>
    <n v="2"/>
    <s v="Y"/>
    <n v="4000"/>
    <x v="5"/>
  </r>
  <r>
    <d v="2019-10-24T00:00:00"/>
    <d v="1899-12-30T07:43:00"/>
    <m/>
    <s v="D"/>
    <n v="2"/>
    <s v="Road Vehicle"/>
    <n v="4"/>
    <x v="3"/>
    <x v="1"/>
    <n v="3"/>
    <x v="2"/>
    <s v="LUWERO"/>
    <s v="LUWERO"/>
    <s v="UGA"/>
    <n v="2"/>
    <s v="Work"/>
    <s v="NGOMA"/>
    <s v="NAKASEKE"/>
    <s v="UGA"/>
    <n v="2"/>
    <s v="Work"/>
    <x v="5"/>
    <n v="102000"/>
    <n v="87"/>
    <x v="0"/>
    <n v="2"/>
    <x v="1"/>
    <n v="2"/>
    <s v="Manual Labour"/>
    <n v="2"/>
    <x v="1"/>
    <n v="5"/>
    <n v="1"/>
    <n v="4"/>
    <n v="1"/>
    <n v="1"/>
    <s v="Y"/>
    <n v="5000"/>
    <x v="2"/>
  </r>
  <r>
    <d v="2019-10-24T00:00:00"/>
    <d v="1899-12-30T07:00:00"/>
    <m/>
    <s v="D"/>
    <n v="2"/>
    <s v="Road Vehicle"/>
    <n v="4"/>
    <x v="3"/>
    <x v="1"/>
    <n v="3"/>
    <x v="2"/>
    <s v="LUWERO"/>
    <s v="LUWERO"/>
    <s v="UGA"/>
    <n v="4"/>
    <s v="Commercial"/>
    <s v="KAMPALA"/>
    <s v="KAMPALA"/>
    <s v="UGA"/>
    <n v="4"/>
    <s v="Commercial"/>
    <x v="13"/>
    <n v="5000"/>
    <n v="45"/>
    <x v="1"/>
    <n v="2"/>
    <x v="1"/>
    <n v="2"/>
    <s v="Manual Labour"/>
    <n v="2"/>
    <x v="1"/>
    <n v="1"/>
    <n v="2"/>
    <n v="1"/>
    <n v="2"/>
    <n v="1"/>
    <s v="Y"/>
    <n v="500"/>
    <x v="0"/>
  </r>
  <r>
    <d v="2019-10-24T00:00:00"/>
    <d v="1899-12-30T07:30:00"/>
    <m/>
    <s v="D"/>
    <n v="2"/>
    <s v="Road Vehicle"/>
    <n v="4"/>
    <x v="3"/>
    <x v="1"/>
    <n v="3"/>
    <x v="2"/>
    <s v="LUWERO"/>
    <s v="LUWERO"/>
    <s v="UGA"/>
    <n v="4"/>
    <s v="Commercial"/>
    <s v="GULU"/>
    <s v="GULU"/>
    <s v="UGA"/>
    <n v="4"/>
    <s v="Commercial"/>
    <x v="13"/>
    <n v="15000"/>
    <n v="400"/>
    <x v="3"/>
    <n v="5"/>
    <x v="0"/>
    <n v="2"/>
    <s v="Manual Labour"/>
    <n v="3"/>
    <x v="0"/>
    <n v="1"/>
    <n v="1"/>
    <n v="2"/>
    <n v="1"/>
    <n v="2"/>
    <s v="Y"/>
    <n v="1000"/>
    <x v="1"/>
  </r>
  <r>
    <d v="2019-10-24T00:00:00"/>
    <d v="1899-12-30T07:40:00"/>
    <m/>
    <s v="P"/>
    <n v="2"/>
    <s v="Road Vehicle"/>
    <n v="4"/>
    <x v="3"/>
    <x v="1"/>
    <n v="3"/>
    <x v="2"/>
    <s v="KAMPALA"/>
    <s v="KAMPALA"/>
    <s v="UGA"/>
    <n v="2"/>
    <s v="Work"/>
    <s v="LIRA"/>
    <s v="LIRA"/>
    <s v="UGA"/>
    <n v="4"/>
    <s v="Commercial"/>
    <x v="21"/>
    <n v="20000"/>
    <n v="300"/>
    <x v="3"/>
    <n v="5"/>
    <x v="0"/>
    <n v="6"/>
    <s v="Businessman"/>
    <n v="3"/>
    <x v="0"/>
    <n v="1"/>
    <n v="2"/>
    <n v="1"/>
    <n v="2"/>
    <n v="1"/>
    <s v="Y"/>
    <n v="2000"/>
    <x v="4"/>
  </r>
  <r>
    <d v="2019-10-24T00:00:00"/>
    <d v="1899-12-30T08:12:00"/>
    <m/>
    <s v="P"/>
    <n v="2"/>
    <s v="Road Vehicle"/>
    <n v="4"/>
    <x v="3"/>
    <x v="1"/>
    <n v="3"/>
    <x v="2"/>
    <s v="LUWERO"/>
    <s v="LUWERO"/>
    <s v="UGA"/>
    <n v="1"/>
    <s v="Home"/>
    <s v="NAKASONGOLA"/>
    <s v="NAKASONGOLA"/>
    <s v="UGA"/>
    <n v="5"/>
    <s v="Tourism"/>
    <x v="24"/>
    <n v="10000"/>
    <n v="56"/>
    <x v="1"/>
    <n v="1"/>
    <x v="2"/>
    <n v="10"/>
    <s v="Other"/>
    <n v="4"/>
    <x v="3"/>
    <n v="1"/>
    <n v="2"/>
    <n v="1"/>
    <n v="2"/>
    <n v="2"/>
    <s v="Y"/>
    <n v="2000"/>
    <x v="4"/>
  </r>
  <r>
    <d v="2019-10-24T00:00:00"/>
    <d v="1899-12-30T08:32:00"/>
    <m/>
    <s v="P"/>
    <n v="2"/>
    <s v="Road Vehicle"/>
    <n v="4"/>
    <x v="3"/>
    <x v="1"/>
    <n v="3"/>
    <x v="2"/>
    <s v="LUWERO"/>
    <s v="LUWERO"/>
    <s v="UGA"/>
    <n v="2"/>
    <s v="Work"/>
    <s v="NTINDA"/>
    <s v="KAMPALA"/>
    <s v="UGA"/>
    <n v="2"/>
    <s v="Work"/>
    <x v="5"/>
    <n v="5000"/>
    <n v="48"/>
    <x v="1"/>
    <n v="1"/>
    <x v="2"/>
    <n v="5"/>
    <s v="Professional"/>
    <n v="4"/>
    <x v="3"/>
    <n v="1"/>
    <n v="1"/>
    <n v="3"/>
    <n v="2"/>
    <n v="1"/>
    <s v="Y"/>
    <n v="2000"/>
    <x v="4"/>
  </r>
  <r>
    <d v="2019-10-24T00:00:00"/>
    <d v="1899-12-30T09:10:00"/>
    <m/>
    <s v="P"/>
    <n v="2"/>
    <s v="Road Vehicle"/>
    <n v="4"/>
    <x v="3"/>
    <x v="1"/>
    <n v="3"/>
    <x v="2"/>
    <s v="LUWERO"/>
    <s v="LUWERO"/>
    <s v="UGA"/>
    <n v="5"/>
    <s v="Tourism"/>
    <s v="KARUMA"/>
    <s v="KARUMA"/>
    <s v="UGA"/>
    <n v="5"/>
    <s v="Tourism"/>
    <x v="14"/>
    <n v="15000"/>
    <n v="135"/>
    <x v="2"/>
    <n v="5"/>
    <x v="0"/>
    <n v="10"/>
    <s v="Other"/>
    <n v="1"/>
    <x v="2"/>
    <n v="4"/>
    <n v="1"/>
    <n v="3"/>
    <n v="4"/>
    <n v="1"/>
    <s v="Y"/>
    <n v="5000"/>
    <x v="2"/>
  </r>
  <r>
    <d v="2019-10-25T00:00:00"/>
    <d v="1899-12-30T07:45:00"/>
    <m/>
    <s v="P"/>
    <n v="2"/>
    <s v="Road Vehicle"/>
    <n v="4"/>
    <x v="3"/>
    <x v="1"/>
    <n v="3"/>
    <x v="2"/>
    <s v="KAMPALA"/>
    <s v="KAMPALA"/>
    <s v="UGA"/>
    <n v="1"/>
    <s v="Home"/>
    <s v="LUWERO"/>
    <s v="LUWERO"/>
    <s v="UGA"/>
    <n v="2"/>
    <s v="Work"/>
    <x v="8"/>
    <n v="4000"/>
    <n v="80"/>
    <x v="0"/>
    <n v="1"/>
    <x v="2"/>
    <n v="6"/>
    <s v="Businessman"/>
    <n v="2"/>
    <x v="1"/>
    <n v="4"/>
    <n v="2"/>
    <n v="2"/>
    <n v="2"/>
    <n v="2"/>
    <s v="Y"/>
    <n v="3000"/>
    <x v="5"/>
  </r>
  <r>
    <d v="2019-10-25T00:00:00"/>
    <d v="1899-12-30T08:06:00"/>
    <m/>
    <s v="P"/>
    <n v="2"/>
    <s v="Road Vehicle"/>
    <n v="4"/>
    <x v="3"/>
    <x v="1"/>
    <n v="3"/>
    <x v="2"/>
    <s v="LUWERO"/>
    <s v="LUWERO"/>
    <s v="UGA"/>
    <n v="1"/>
    <s v="Home"/>
    <s v="LUKOMI"/>
    <s v="LUWERO"/>
    <s v="UGA"/>
    <n v="2"/>
    <s v="Work"/>
    <x v="8"/>
    <n v="1000"/>
    <n v="0.5"/>
    <x v="4"/>
    <n v="0.5"/>
    <x v="3"/>
    <n v="6"/>
    <s v="Businessman"/>
    <n v="4"/>
    <x v="3"/>
    <n v="3"/>
    <n v="2"/>
    <n v="1"/>
    <n v="2"/>
    <n v="1"/>
    <s v="Y"/>
    <n v="500"/>
    <x v="0"/>
  </r>
  <r>
    <d v="2019-10-25T00:00:00"/>
    <d v="1899-12-30T10:17:00"/>
    <m/>
    <s v="P"/>
    <n v="2"/>
    <s v="Road Vehicle"/>
    <n v="4"/>
    <x v="3"/>
    <x v="1"/>
    <n v="3"/>
    <x v="2"/>
    <s v="BWAISE"/>
    <s v="KAMPALA"/>
    <s v="UGA"/>
    <n v="2"/>
    <s v="Work"/>
    <s v="LUWERO"/>
    <s v="LUWERO"/>
    <s v="UGA"/>
    <n v="2"/>
    <s v="Work"/>
    <x v="5"/>
    <n v="3000"/>
    <n v="75"/>
    <x v="0"/>
    <n v="1"/>
    <x v="2"/>
    <n v="3"/>
    <s v="Artisan/Domestic"/>
    <n v="1"/>
    <x v="2"/>
    <n v="2"/>
    <n v="1"/>
    <n v="2"/>
    <n v="2"/>
    <n v="2"/>
    <s v="Y"/>
    <n v="1000"/>
    <x v="1"/>
  </r>
  <r>
    <d v="2019-10-25T00:00:00"/>
    <d v="1899-12-30T07:13:00"/>
    <m/>
    <s v="P"/>
    <n v="2"/>
    <s v="Road Vehicle"/>
    <n v="4"/>
    <x v="3"/>
    <x v="1"/>
    <n v="3"/>
    <x v="2"/>
    <s v="LUWERO"/>
    <s v="LUWERO"/>
    <s v="UGA"/>
    <n v="4"/>
    <s v="Commercial"/>
    <s v="KATUGO"/>
    <s v="GOMBA"/>
    <s v="UGA"/>
    <n v="4"/>
    <s v="Commercial"/>
    <x v="13"/>
    <n v="3000"/>
    <n v="64"/>
    <x v="1"/>
    <n v="1"/>
    <x v="2"/>
    <n v="6"/>
    <s v="Businessman"/>
    <n v="3"/>
    <x v="0"/>
    <n v="1"/>
    <n v="1"/>
    <n v="4"/>
    <n v="2"/>
    <n v="2"/>
    <s v="Y"/>
    <n v="1000"/>
    <x v="1"/>
  </r>
  <r>
    <d v="2019-10-25T00:00:00"/>
    <d v="1899-12-30T08:26:00"/>
    <m/>
    <s v="P"/>
    <n v="2"/>
    <s v="Road Vehicle"/>
    <n v="4"/>
    <x v="3"/>
    <x v="1"/>
    <n v="3"/>
    <x v="2"/>
    <s v="LUWERO"/>
    <s v="LUWERO"/>
    <s v="UGA"/>
    <n v="1"/>
    <s v="Home"/>
    <s v="MATUGA"/>
    <s v="WAKISO"/>
    <s v="UGA"/>
    <n v="2"/>
    <s v="Work"/>
    <x v="8"/>
    <n v="3000"/>
    <n v="20"/>
    <x v="5"/>
    <n v="0.6"/>
    <x v="3"/>
    <n v="4"/>
    <s v="Office Worker"/>
    <n v="4"/>
    <x v="3"/>
    <n v="1"/>
    <n v="1"/>
    <n v="4"/>
    <n v="3"/>
    <n v="2"/>
    <s v="Y"/>
    <n v="3000"/>
    <x v="5"/>
  </r>
  <r>
    <d v="2019-10-25T00:00:00"/>
    <d v="1899-12-30T09:38:00"/>
    <m/>
    <s v="P"/>
    <n v="2"/>
    <s v="Road Vehicle"/>
    <n v="4"/>
    <x v="3"/>
    <x v="1"/>
    <n v="3"/>
    <x v="2"/>
    <s v="LUWERO"/>
    <s v="LUWERO"/>
    <s v="UGA"/>
    <n v="2"/>
    <s v="Work"/>
    <s v="BOMBO"/>
    <s v="BOMBO"/>
    <s v="UGA"/>
    <n v="2"/>
    <s v="Work"/>
    <x v="5"/>
    <n v="3000"/>
    <n v="48"/>
    <x v="1"/>
    <n v="0.7"/>
    <x v="3"/>
    <n v="4"/>
    <s v="Office Worker"/>
    <n v="4"/>
    <x v="3"/>
    <n v="1"/>
    <n v="2"/>
    <n v="1"/>
    <n v="2"/>
    <n v="1"/>
    <s v="Y"/>
    <n v="4000"/>
    <x v="5"/>
  </r>
  <r>
    <d v="2019-10-25T00:00:00"/>
    <d v="1899-12-30T09:53:00"/>
    <m/>
    <s v="P"/>
    <n v="2"/>
    <s v="Road Vehicle"/>
    <n v="4"/>
    <x v="3"/>
    <x v="1"/>
    <n v="3"/>
    <x v="2"/>
    <s v="KASANA"/>
    <s v="LUWERO"/>
    <s v="UGA"/>
    <n v="1"/>
    <s v="Home"/>
    <s v="LUWERO"/>
    <s v="LUWERO"/>
    <s v="UGA"/>
    <n v="2"/>
    <s v="Work"/>
    <x v="8"/>
    <n v="1000"/>
    <n v="8"/>
    <x v="4"/>
    <n v="0.2"/>
    <x v="4"/>
    <n v="7"/>
    <s v="Farmer"/>
    <n v="2"/>
    <x v="1"/>
    <n v="1"/>
    <n v="2"/>
    <n v="3"/>
    <n v="1"/>
    <n v="1"/>
    <s v="Y"/>
    <n v="0"/>
    <x v="0"/>
  </r>
  <r>
    <d v="2019-10-25T00:00:00"/>
    <d v="1899-12-30T10:14:00"/>
    <m/>
    <s v="P"/>
    <n v="2"/>
    <s v="Road Vehicle"/>
    <n v="4"/>
    <x v="3"/>
    <x v="1"/>
    <n v="3"/>
    <x v="2"/>
    <s v="LUWERO"/>
    <s v="LUWERO"/>
    <s v="UGA"/>
    <n v="4"/>
    <s v="Commercial"/>
    <s v="KIBOKO"/>
    <s v="NAKASEKE"/>
    <s v="UGA"/>
    <n v="1"/>
    <s v="Home"/>
    <x v="0"/>
    <n v="3000"/>
    <n v="10"/>
    <x v="6"/>
    <n v="0.7"/>
    <x v="3"/>
    <n v="6"/>
    <s v="Businessman"/>
    <n v="3"/>
    <x v="0"/>
    <n v="1"/>
    <n v="1"/>
    <n v="4"/>
    <n v="2"/>
    <n v="2"/>
    <s v="Y"/>
    <n v="1000"/>
    <x v="1"/>
  </r>
  <r>
    <d v="2019-10-25T00:00:00"/>
    <d v="1899-12-30T14:48:00"/>
    <m/>
    <s v="P"/>
    <n v="2"/>
    <s v="Road Vehicle"/>
    <n v="4"/>
    <x v="3"/>
    <x v="1"/>
    <n v="3"/>
    <x v="2"/>
    <s v="LUWERO"/>
    <s v="LUWERO"/>
    <s v="UGA"/>
    <n v="4"/>
    <s v="Commercial"/>
    <s v="KATOOKE"/>
    <s v="NAKASEKE"/>
    <s v="UGA"/>
    <n v="2"/>
    <s v="Work"/>
    <x v="20"/>
    <n v="5000"/>
    <n v="64"/>
    <x v="1"/>
    <n v="1.5"/>
    <x v="2"/>
    <n v="7"/>
    <s v="Farmer"/>
    <n v="3"/>
    <x v="0"/>
    <n v="4"/>
    <n v="2"/>
    <n v="1"/>
    <n v="1"/>
    <n v="2"/>
    <s v="Y"/>
    <n v="500"/>
    <x v="0"/>
  </r>
  <r>
    <d v="2019-10-25T00:00:00"/>
    <d v="1899-12-30T10:57:00"/>
    <m/>
    <s v="P"/>
    <n v="2"/>
    <s v="Road Vehicle"/>
    <n v="4"/>
    <x v="3"/>
    <x v="1"/>
    <n v="3"/>
    <x v="2"/>
    <s v="NEBI"/>
    <s v="NEBI"/>
    <s v="UGA"/>
    <n v="1"/>
    <s v="Home"/>
    <s v="LUWERO"/>
    <s v="LUWERO"/>
    <s v="UGA"/>
    <n v="2"/>
    <s v="Work"/>
    <x v="8"/>
    <n v="30000"/>
    <n v="419"/>
    <x v="3"/>
    <n v="7"/>
    <x v="0"/>
    <n v="2"/>
    <s v="Manual Labour"/>
    <n v="2"/>
    <x v="1"/>
    <n v="4"/>
    <n v="1"/>
    <n v="1"/>
    <n v="2"/>
    <n v="1"/>
    <s v="Y"/>
    <n v="5000"/>
    <x v="2"/>
  </r>
  <r>
    <d v="2019-10-25T00:00:00"/>
    <d v="1899-12-30T10:31:00"/>
    <m/>
    <s v="P"/>
    <n v="2"/>
    <s v="Road Vehicle"/>
    <n v="4"/>
    <x v="3"/>
    <x v="1"/>
    <n v="3"/>
    <x v="2"/>
    <s v="KAGOMA"/>
    <s v="WAKISO"/>
    <s v="UGA"/>
    <n v="2"/>
    <s v="Work"/>
    <s v="LUWERO"/>
    <s v="LUWERO"/>
    <s v="UGA"/>
    <n v="1"/>
    <s v="Home"/>
    <x v="1"/>
    <n v="5000"/>
    <n v="60"/>
    <x v="1"/>
    <n v="1.5"/>
    <x v="2"/>
    <n v="4"/>
    <s v="Office Worker"/>
    <n v="3"/>
    <x v="0"/>
    <n v="5"/>
    <n v="1"/>
    <n v="4"/>
    <n v="1"/>
    <n v="2"/>
    <s v="Y"/>
    <n v="4000"/>
    <x v="5"/>
  </r>
  <r>
    <d v="2019-10-26T00:00:00"/>
    <d v="1899-12-30T09:12:00"/>
    <m/>
    <s v="P"/>
    <n v="2"/>
    <s v="Road Vehicle"/>
    <n v="4"/>
    <x v="3"/>
    <x v="1"/>
    <n v="3"/>
    <x v="2"/>
    <s v="KAKOOMA"/>
    <s v="NAKASEKE"/>
    <s v="UGA"/>
    <n v="1"/>
    <s v="Home"/>
    <s v="LUWERO"/>
    <s v="LUWERO"/>
    <s v="UGA"/>
    <n v="1"/>
    <s v="Home"/>
    <x v="2"/>
    <n v="9000"/>
    <n v="307"/>
    <x v="3"/>
    <n v="2"/>
    <x v="1"/>
    <n v="7"/>
    <s v="Farmer"/>
    <n v="2"/>
    <x v="1"/>
    <n v="4"/>
    <n v="5"/>
    <n v="5"/>
    <n v="2"/>
    <n v="4"/>
    <s v="Y"/>
    <n v="2000"/>
    <x v="4"/>
  </r>
  <r>
    <d v="2019-10-26T00:00:00"/>
    <d v="1899-12-30T09:23:00"/>
    <m/>
    <s v="P"/>
    <n v="2"/>
    <s v="Road Vehicle"/>
    <n v="4"/>
    <x v="3"/>
    <x v="1"/>
    <n v="3"/>
    <x v="2"/>
    <s v="BOMBO"/>
    <s v="LUWERO"/>
    <s v="UGA"/>
    <n v="1"/>
    <s v="Home"/>
    <s v="LUWERO"/>
    <s v="LUWERO"/>
    <s v="UGA"/>
    <n v="4"/>
    <s v="Commercial"/>
    <x v="12"/>
    <n v="3000"/>
    <n v="12"/>
    <x v="6"/>
    <n v="0.5"/>
    <x v="3"/>
    <n v="7"/>
    <s v="Farmer"/>
    <n v="3"/>
    <x v="0"/>
    <n v="1"/>
    <n v="2"/>
    <n v="3"/>
    <n v="2"/>
    <n v="3"/>
    <s v="Y"/>
    <n v="0"/>
    <x v="0"/>
  </r>
  <r>
    <d v="2019-10-26T00:00:00"/>
    <d v="1899-12-30T09:48:00"/>
    <m/>
    <s v="P"/>
    <n v="2"/>
    <s v="Road Vehicle"/>
    <n v="4"/>
    <x v="3"/>
    <x v="1"/>
    <n v="3"/>
    <x v="2"/>
    <s v="NGOMA"/>
    <s v="NAKASEKE"/>
    <s v="UGA"/>
    <n v="1"/>
    <s v="Home"/>
    <s v="LUWERO"/>
    <s v="LUWERO"/>
    <s v="UGA"/>
    <n v="4"/>
    <s v="Commercial"/>
    <x v="12"/>
    <n v="10000"/>
    <n v="60"/>
    <x v="1"/>
    <n v="4"/>
    <x v="0"/>
    <n v="7"/>
    <s v="Farmer"/>
    <n v="3"/>
    <x v="0"/>
    <n v="3"/>
    <n v="4"/>
    <n v="2"/>
    <n v="1"/>
    <n v="2"/>
    <s v="Y"/>
    <n v="1000"/>
    <x v="1"/>
  </r>
  <r>
    <d v="2019-10-26T00:00:00"/>
    <d v="1899-12-30T11:26:00"/>
    <m/>
    <s v="P"/>
    <n v="2"/>
    <s v="Road Vehicle"/>
    <n v="4"/>
    <x v="3"/>
    <x v="1"/>
    <n v="3"/>
    <x v="2"/>
    <s v="KAMPALA"/>
    <s v="KAMPALA"/>
    <s v="UGA"/>
    <n v="1"/>
    <s v="Home"/>
    <s v="LUWERO"/>
    <s v="LUWERO"/>
    <s v="UGA"/>
    <n v="6"/>
    <s v="Leisure/Social"/>
    <x v="3"/>
    <n v="3000"/>
    <n v="64"/>
    <x v="1"/>
    <n v="1.5"/>
    <x v="2"/>
    <n v="10"/>
    <s v="Other"/>
    <n v="1"/>
    <x v="2"/>
    <n v="5"/>
    <n v="1"/>
    <n v="2"/>
    <n v="1"/>
    <n v="2"/>
    <s v="Y"/>
    <n v="2000"/>
    <x v="4"/>
  </r>
  <r>
    <d v="2019-10-26T00:00:00"/>
    <d v="1899-12-30T17:20:00"/>
    <m/>
    <s v="P"/>
    <n v="2"/>
    <s v="Road Vehicle"/>
    <n v="4"/>
    <x v="3"/>
    <x v="1"/>
    <n v="3"/>
    <x v="2"/>
    <s v="KAWEMPE"/>
    <s v="WAKISO"/>
    <s v="UGA"/>
    <n v="1"/>
    <s v="Home"/>
    <s v="LUWERO"/>
    <s v="LUWERO"/>
    <s v="UGA"/>
    <n v="1"/>
    <s v="Home"/>
    <x v="2"/>
    <n v="2500"/>
    <n v="62"/>
    <x v="1"/>
    <n v="1"/>
    <x v="2"/>
    <n v="8"/>
    <s v="Student"/>
    <n v="1"/>
    <x v="2"/>
    <n v="5"/>
    <n v="4"/>
    <n v="2"/>
    <n v="2"/>
    <n v="1"/>
    <s v="Y"/>
    <n v="1000"/>
    <x v="1"/>
  </r>
  <r>
    <d v="2019-10-26T00:00:00"/>
    <d v="1899-12-30T17:10:00"/>
    <m/>
    <s v="D"/>
    <n v="2"/>
    <s v="Road Vehicle"/>
    <n v="4"/>
    <x v="3"/>
    <x v="1"/>
    <n v="3"/>
    <x v="2"/>
    <s v="MATUGA"/>
    <s v="WAKISO"/>
    <s v="UGA"/>
    <n v="4"/>
    <s v="Commercial"/>
    <s v="LUWERO"/>
    <s v="LUWERO"/>
    <s v="UGA"/>
    <n v="4"/>
    <s v="Commercial"/>
    <x v="13"/>
    <n v="30000"/>
    <n v="40"/>
    <x v="1"/>
    <n v="0.6"/>
    <x v="3"/>
    <n v="2"/>
    <s v="Manual Labour"/>
    <n v="3"/>
    <x v="0"/>
    <n v="1"/>
    <n v="5"/>
    <n v="1"/>
    <n v="2"/>
    <n v="1"/>
    <s v="Y"/>
    <n v="1000"/>
    <x v="1"/>
  </r>
  <r>
    <d v="2019-10-26T00:00:00"/>
    <d v="1899-12-30T17:00:00"/>
    <m/>
    <s v="P"/>
    <n v="2"/>
    <s v="Road Vehicle"/>
    <n v="4"/>
    <x v="3"/>
    <x v="1"/>
    <n v="3"/>
    <x v="2"/>
    <s v="KAMPALA"/>
    <s v="KAMPALA"/>
    <s v="UGA"/>
    <n v="2"/>
    <s v="Work"/>
    <s v="NGOMA"/>
    <s v="NAKASEKE"/>
    <s v="UGA"/>
    <n v="1"/>
    <s v="Home"/>
    <x v="1"/>
    <n v="10000"/>
    <n v="60"/>
    <x v="1"/>
    <n v="4"/>
    <x v="0"/>
    <n v="4"/>
    <s v="Office Worker"/>
    <n v="4"/>
    <x v="3"/>
    <n v="5"/>
    <n v="4"/>
    <n v="1"/>
    <n v="1"/>
    <n v="2"/>
    <s v="Y"/>
    <n v="2000"/>
    <x v="4"/>
  </r>
  <r>
    <d v="2019-10-26T00:00:00"/>
    <d v="1899-12-30T12:38:00"/>
    <m/>
    <s v="D"/>
    <n v="2"/>
    <s v="Road Vehicle"/>
    <n v="4"/>
    <x v="3"/>
    <x v="1"/>
    <n v="3"/>
    <x v="2"/>
    <s v="KAWETE"/>
    <s v="NAKASEKE"/>
    <s v="UGA"/>
    <n v="4"/>
    <s v="Commercial"/>
    <s v="LUWERO"/>
    <s v="LUWERO"/>
    <s v="UGA"/>
    <n v="4"/>
    <s v="Commercial"/>
    <x v="13"/>
    <n v="50000"/>
    <n v="55"/>
    <x v="1"/>
    <n v="2"/>
    <x v="1"/>
    <n v="2"/>
    <s v="Manual Labour"/>
    <n v="2"/>
    <x v="1"/>
    <n v="1"/>
    <n v="5"/>
    <n v="2"/>
    <n v="1"/>
    <n v="2"/>
    <s v="Y"/>
    <n v="1000"/>
    <x v="1"/>
  </r>
  <r>
    <d v="2019-10-26T00:00:00"/>
    <d v="1899-12-30T17:50:00"/>
    <m/>
    <s v="D"/>
    <n v="2"/>
    <s v="Road Vehicle"/>
    <n v="4"/>
    <x v="3"/>
    <x v="1"/>
    <n v="3"/>
    <x v="2"/>
    <s v="KAWEMPE"/>
    <s v="WAKISO"/>
    <s v="UGA"/>
    <n v="2"/>
    <s v="Work"/>
    <s v="BWEYALE"/>
    <s v="MASINDI"/>
    <s v="UGA"/>
    <n v="2"/>
    <s v="Work"/>
    <x v="5"/>
    <n v="200000"/>
    <n v="212"/>
    <x v="3"/>
    <n v="2"/>
    <x v="1"/>
    <n v="2"/>
    <s v="Manual Labour"/>
    <n v="3"/>
    <x v="0"/>
    <n v="1"/>
    <n v="5"/>
    <n v="1"/>
    <n v="1"/>
    <n v="3"/>
    <s v="Y"/>
    <n v="10000"/>
    <x v="3"/>
  </r>
  <r>
    <d v="2019-10-26T00:00:00"/>
    <d v="1899-12-30T17:33:00"/>
    <m/>
    <s v="D"/>
    <n v="2"/>
    <s v="Road Vehicle"/>
    <n v="4"/>
    <x v="3"/>
    <x v="1"/>
    <n v="3"/>
    <x v="2"/>
    <s v="KAMPALA"/>
    <s v="KAMPALA"/>
    <s v="UGA"/>
    <n v="2"/>
    <s v="Work"/>
    <s v="LUWERO"/>
    <s v="LUWERO"/>
    <s v="UGA"/>
    <n v="2"/>
    <s v="Work"/>
    <x v="5"/>
    <n v="67000"/>
    <n v="63"/>
    <x v="1"/>
    <n v="2"/>
    <x v="1"/>
    <n v="2"/>
    <s v="Manual Labour"/>
    <n v="2"/>
    <x v="1"/>
    <n v="1"/>
    <n v="4"/>
    <n v="3"/>
    <n v="1"/>
    <n v="2"/>
    <s v="Y"/>
    <n v="2000"/>
    <x v="4"/>
  </r>
  <r>
    <d v="2019-10-26T00:00:00"/>
    <d v="1899-12-30T16:55:00"/>
    <m/>
    <s v="D"/>
    <n v="2"/>
    <s v="Road Vehicle"/>
    <n v="4"/>
    <x v="3"/>
    <x v="1"/>
    <n v="3"/>
    <x v="2"/>
    <s v="LUWERO"/>
    <s v="LUWERO"/>
    <s v="UGA"/>
    <n v="1"/>
    <s v="Home"/>
    <s v="MATUGA"/>
    <s v="WAKISO"/>
    <s v="UGA"/>
    <n v="6"/>
    <s v="Leisure/Social"/>
    <x v="3"/>
    <n v="4000"/>
    <n v="42"/>
    <x v="1"/>
    <n v="0.7"/>
    <x v="3"/>
    <n v="10"/>
    <s v="Other"/>
    <n v="1"/>
    <x v="2"/>
    <n v="4"/>
    <n v="2"/>
    <n v="1"/>
    <n v="2"/>
    <n v="1"/>
    <s v="Y"/>
    <n v="2000"/>
    <x v="4"/>
  </r>
  <r>
    <d v="2019-10-26T00:00:00"/>
    <d v="1899-12-30T11:08:00"/>
    <m/>
    <s v="P"/>
    <n v="2"/>
    <s v="Road Vehicle"/>
    <n v="4"/>
    <x v="3"/>
    <x v="1"/>
    <n v="3"/>
    <x v="2"/>
    <s v="BWEYALE"/>
    <s v="KIRYANDONGO"/>
    <s v="UGA"/>
    <n v="1"/>
    <s v="Home"/>
    <s v="LUWERO"/>
    <s v="LUWERO"/>
    <s v="UGA"/>
    <n v="4"/>
    <s v="Commercial"/>
    <x v="12"/>
    <n v="10000"/>
    <n v="154"/>
    <x v="2"/>
    <n v="3"/>
    <x v="1"/>
    <n v="6"/>
    <s v="Businessman"/>
    <n v="3"/>
    <x v="0"/>
    <n v="1"/>
    <n v="1"/>
    <n v="1"/>
    <n v="2"/>
    <n v="1"/>
    <s v="Y"/>
    <n v="0"/>
    <x v="0"/>
  </r>
  <r>
    <d v="2019-10-26T00:00:00"/>
    <d v="1899-12-30T10:06:00"/>
    <m/>
    <s v="P"/>
    <n v="2"/>
    <s v="Road Vehicle"/>
    <n v="4"/>
    <x v="3"/>
    <x v="1"/>
    <n v="3"/>
    <x v="2"/>
    <s v="KANYANYA"/>
    <s v="KAMPALA"/>
    <s v="UGA"/>
    <n v="2"/>
    <s v="Work"/>
    <s v="NGOMA"/>
    <s v="NAKASEKE"/>
    <s v="UGA"/>
    <n v="1"/>
    <s v="Home"/>
    <x v="1"/>
    <n v="15000"/>
    <n v="67"/>
    <x v="1"/>
    <n v="2"/>
    <x v="1"/>
    <n v="2"/>
    <s v="Manual Labour"/>
    <n v="2"/>
    <x v="1"/>
    <n v="4"/>
    <n v="4"/>
    <n v="4"/>
    <n v="1"/>
    <n v="1"/>
    <s v="Y"/>
    <n v="2000"/>
    <x v="4"/>
  </r>
  <r>
    <d v="2019-10-26T00:00:00"/>
    <d v="1899-12-30T15:20:00"/>
    <m/>
    <s v="D"/>
    <n v="2"/>
    <s v="Road Vehicle"/>
    <n v="4"/>
    <x v="3"/>
    <x v="1"/>
    <n v="3"/>
    <x v="2"/>
    <s v="KAMPALA"/>
    <s v="KAMPALA"/>
    <s v="UGA"/>
    <n v="2"/>
    <s v="Work"/>
    <s v="LUWERO"/>
    <s v="LUWERO"/>
    <s v="UGA"/>
    <n v="2"/>
    <s v="Work"/>
    <x v="5"/>
    <n v="50000"/>
    <n v="58"/>
    <x v="1"/>
    <n v="1"/>
    <x v="2"/>
    <n v="5"/>
    <s v="Professional"/>
    <n v="1"/>
    <x v="2"/>
    <n v="1"/>
    <n v="3"/>
    <n v="5"/>
    <n v="1"/>
    <n v="1"/>
    <s v="Y"/>
    <n v="2000"/>
    <x v="4"/>
  </r>
  <r>
    <m/>
    <d v="1899-12-30T14:10:00"/>
    <m/>
    <s v="P"/>
    <n v="2"/>
    <s v="Road Vehicle"/>
    <n v="4"/>
    <x v="3"/>
    <x v="1"/>
    <n v="3"/>
    <x v="2"/>
    <s v="KAWANDA"/>
    <s v="WAKISO"/>
    <s v="UGA"/>
    <n v="2"/>
    <s v="Work"/>
    <s v="LUWERO"/>
    <s v="LUWERO"/>
    <s v="UGA"/>
    <n v="1"/>
    <s v="Home"/>
    <x v="1"/>
    <n v="4000"/>
    <n v="80"/>
    <x v="0"/>
    <n v="1"/>
    <x v="2"/>
    <n v="4"/>
    <s v="Office Worker"/>
    <n v="1"/>
    <x v="2"/>
    <n v="2"/>
    <n v="1"/>
    <n v="2"/>
    <n v="1"/>
    <n v="3"/>
    <s v="Y"/>
    <n v="500"/>
    <x v="0"/>
  </r>
  <r>
    <m/>
    <d v="1899-12-30T11:42:00"/>
    <m/>
    <s v="P"/>
    <n v="2"/>
    <s v="Road Vehicle"/>
    <n v="4"/>
    <x v="3"/>
    <x v="1"/>
    <n v="3"/>
    <x v="2"/>
    <s v="LUKOME"/>
    <s v="LUWERO"/>
    <s v="UGA"/>
    <n v="1"/>
    <s v="Home"/>
    <s v="LUWERO"/>
    <s v="LUWERO"/>
    <s v="UGA"/>
    <n v="2"/>
    <s v="Work"/>
    <x v="8"/>
    <n v="1000"/>
    <n v="1"/>
    <x v="4"/>
    <n v="0.5"/>
    <x v="3"/>
    <n v="4"/>
    <s v="Office Worker"/>
    <n v="3"/>
    <x v="0"/>
    <n v="4"/>
    <n v="2"/>
    <n v="2"/>
    <n v="1"/>
    <n v="2"/>
    <s v="Y"/>
    <n v="10000"/>
    <x v="3"/>
  </r>
  <r>
    <m/>
    <d v="1899-12-30T10:02:00"/>
    <m/>
    <s v="P"/>
    <n v="2"/>
    <s v="Road Vehicle"/>
    <n v="4"/>
    <x v="3"/>
    <x v="1"/>
    <n v="3"/>
    <x v="2"/>
    <s v="KYENGERA"/>
    <s v="WAKISO"/>
    <s v="UGA"/>
    <n v="1"/>
    <s v="Home"/>
    <s v="LUWERO"/>
    <s v="LUWERO"/>
    <s v="UGA"/>
    <n v="2"/>
    <s v="Work"/>
    <x v="8"/>
    <n v="7000"/>
    <n v="100"/>
    <x v="2"/>
    <n v="2"/>
    <x v="1"/>
    <n v="4"/>
    <s v="Office Worker"/>
    <n v="3"/>
    <x v="0"/>
    <n v="2"/>
    <n v="1"/>
    <n v="2"/>
    <n v="1"/>
    <n v="1"/>
    <s v="Y"/>
    <n v="1000"/>
    <x v="1"/>
  </r>
  <r>
    <m/>
    <d v="1899-12-30T09:52:00"/>
    <m/>
    <s v="D"/>
    <n v="2"/>
    <s v="Road Vehicle"/>
    <n v="4"/>
    <x v="3"/>
    <x v="1"/>
    <n v="3"/>
    <x v="2"/>
    <s v="LUWERO"/>
    <s v="LUWERO"/>
    <s v="UGA"/>
    <n v="1"/>
    <s v="Home"/>
    <s v="KAMPALA"/>
    <s v="KAMPALA"/>
    <s v="UGA"/>
    <n v="2"/>
    <s v="Work"/>
    <x v="8"/>
    <n v="30000"/>
    <n v="80"/>
    <x v="0"/>
    <n v="1"/>
    <x v="2"/>
    <n v="4"/>
    <s v="Office Worker"/>
    <n v="4"/>
    <x v="3"/>
    <n v="1"/>
    <n v="2"/>
    <n v="1"/>
    <n v="2"/>
    <n v="2"/>
    <s v="Y"/>
    <n v="1000"/>
    <x v="1"/>
  </r>
  <r>
    <m/>
    <d v="1899-12-30T07:35:00"/>
    <m/>
    <s v="P"/>
    <n v="2"/>
    <s v="Road Vehicle"/>
    <n v="4"/>
    <x v="3"/>
    <x v="1"/>
    <n v="3"/>
    <x v="2"/>
    <s v="LUWERO"/>
    <s v="LUWERO"/>
    <s v="UGA"/>
    <n v="1"/>
    <s v="Home"/>
    <s v="MATUGA"/>
    <s v="WAKISO"/>
    <s v="UGA"/>
    <n v="2"/>
    <s v="Work"/>
    <x v="8"/>
    <n v="3000"/>
    <n v="75"/>
    <x v="0"/>
    <n v="0.8"/>
    <x v="3"/>
    <n v="4"/>
    <s v="Office Worker"/>
    <n v="3"/>
    <x v="0"/>
    <n v="3"/>
    <n v="2"/>
    <n v="2"/>
    <n v="2"/>
    <n v="1"/>
    <s v="Y"/>
    <n v="1000"/>
    <x v="1"/>
  </r>
  <r>
    <m/>
    <d v="1899-12-30T07:00:00"/>
    <m/>
    <s v="P"/>
    <n v="2"/>
    <s v="Road Vehicle"/>
    <n v="4"/>
    <x v="3"/>
    <x v="1"/>
    <n v="3"/>
    <x v="2"/>
    <s v="LUWERO"/>
    <s v="LUWERO"/>
    <s v="UGA"/>
    <n v="1"/>
    <s v="Home"/>
    <s v="NGOMA"/>
    <s v="NAKASEKE"/>
    <s v="UGA"/>
    <n v="2"/>
    <s v="Work"/>
    <x v="8"/>
    <n v="10000"/>
    <n v="100"/>
    <x v="2"/>
    <n v="4"/>
    <x v="0"/>
    <n v="6"/>
    <s v="Businessman"/>
    <n v="3"/>
    <x v="0"/>
    <n v="4"/>
    <n v="2"/>
    <n v="2"/>
    <n v="1"/>
    <n v="1"/>
    <s v="Y"/>
    <n v="1000"/>
    <x v="1"/>
  </r>
  <r>
    <m/>
    <d v="1899-12-30T07:05:00"/>
    <m/>
    <s v="P"/>
    <n v="2"/>
    <s v="Road Vehicle"/>
    <n v="4"/>
    <x v="3"/>
    <x v="1"/>
    <n v="3"/>
    <x v="2"/>
    <s v="KAMPALA"/>
    <s v="KAMPALA"/>
    <s v="UGA"/>
    <n v="1"/>
    <s v="Home"/>
    <s v="KARUMA"/>
    <s v="KIRYANDONGO"/>
    <s v="UGA"/>
    <n v="2"/>
    <s v="Work"/>
    <x v="8"/>
    <n v="25000"/>
    <n v="250"/>
    <x v="3"/>
    <n v="4"/>
    <x v="0"/>
    <n v="4"/>
    <s v="Office Worker"/>
    <n v="4"/>
    <x v="3"/>
    <n v="5"/>
    <n v="2"/>
    <n v="2"/>
    <n v="1"/>
    <n v="2"/>
    <s v="Y"/>
    <n v="500"/>
    <x v="0"/>
  </r>
  <r>
    <m/>
    <d v="1899-12-30T09:36:00"/>
    <m/>
    <s v="D"/>
    <n v="2"/>
    <s v="Road Vehicle"/>
    <n v="3"/>
    <x v="6"/>
    <x v="1"/>
    <n v="3"/>
    <x v="2"/>
    <s v="LUWERO"/>
    <s v="LUWERO"/>
    <s v="UGA"/>
    <n v="1"/>
    <s v="Home"/>
    <s v="KIGOGWA"/>
    <s v="WAKISO"/>
    <s v="UGA"/>
    <n v="5"/>
    <s v="Tourism"/>
    <x v="24"/>
    <n v="40000"/>
    <n v="80"/>
    <x v="0"/>
    <n v="1.5"/>
    <x v="2"/>
    <n v="5"/>
    <s v="Professional"/>
    <n v="4"/>
    <x v="3"/>
    <n v="1"/>
    <n v="2"/>
    <n v="1"/>
    <n v="1"/>
    <n v="2"/>
    <s v="Y"/>
    <n v="0"/>
    <x v="0"/>
  </r>
  <r>
    <d v="2019-10-26T00:00:00"/>
    <d v="1899-12-30T17:27:00"/>
    <m/>
    <s v="P"/>
    <n v="2"/>
    <s v="Road Vehicle"/>
    <n v="2"/>
    <x v="4"/>
    <x v="0"/>
    <n v="3"/>
    <x v="2"/>
    <s v="WANDEGEYA"/>
    <s v="KAMPALA"/>
    <s v="UGA"/>
    <n v="2"/>
    <s v="Work"/>
    <s v="LUWERO"/>
    <s v="LUWERO"/>
    <s v="UGA"/>
    <n v="1"/>
    <s v="Home"/>
    <x v="1"/>
    <n v="60000"/>
    <n v="65"/>
    <x v="1"/>
    <n v="2"/>
    <x v="1"/>
    <n v="4"/>
    <s v="Office Worker"/>
    <n v="5"/>
    <x v="4"/>
    <n v="1"/>
    <n v="5"/>
    <n v="1"/>
    <n v="2"/>
    <n v="3"/>
    <s v="Y"/>
    <n v="15000"/>
    <x v="3"/>
  </r>
  <r>
    <d v="2019-10-26T00:00:00"/>
    <d v="1899-12-30T17:27:00"/>
    <m/>
    <s v="P"/>
    <n v="2"/>
    <s v="Road Vehicle"/>
    <n v="2"/>
    <x v="4"/>
    <x v="0"/>
    <n v="3"/>
    <x v="2"/>
    <s v="LUWERO"/>
    <s v="LUWERO"/>
    <s v="UGA"/>
    <n v="2"/>
    <s v="Work"/>
    <s v="LUWERO"/>
    <s v="LUWERO"/>
    <s v="UGA"/>
    <n v="1"/>
    <s v="Home"/>
    <x v="1"/>
    <n v="60000"/>
    <n v="65"/>
    <x v="1"/>
    <n v="2"/>
    <x v="1"/>
    <n v="4"/>
    <s v="Office Worker"/>
    <n v="5"/>
    <x v="4"/>
    <n v="1"/>
    <n v="5"/>
    <n v="1"/>
    <n v="2"/>
    <n v="3"/>
    <s v="Y"/>
    <n v="15000"/>
    <x v="3"/>
  </r>
  <r>
    <d v="2019-10-26T00:00:00"/>
    <d v="1899-12-30T15:49:00"/>
    <m/>
    <s v="P"/>
    <n v="2"/>
    <s v="Road Vehicle"/>
    <n v="2"/>
    <x v="4"/>
    <x v="0"/>
    <n v="3"/>
    <x v="2"/>
    <s v="KIREKA"/>
    <s v="WAKISO"/>
    <s v="UGA"/>
    <n v="2"/>
    <s v="Work"/>
    <s v="KIRYANDONGO"/>
    <s v="KIRYANDONGO"/>
    <s v="UGA"/>
    <n v="6"/>
    <s v="Leisure/Social"/>
    <x v="22"/>
    <n v="250000"/>
    <n v="213"/>
    <x v="3"/>
    <n v="3"/>
    <x v="1"/>
    <n v="6"/>
    <s v="Businessman"/>
    <n v="4"/>
    <x v="3"/>
    <n v="1"/>
    <n v="2"/>
    <n v="3"/>
    <n v="1"/>
    <n v="2"/>
    <s v="Y"/>
    <n v="3000"/>
    <x v="5"/>
  </r>
  <r>
    <d v="2019-10-26T00:00:00"/>
    <d v="1899-12-30T07:57:00"/>
    <m/>
    <s v="D"/>
    <n v="2"/>
    <s v="Road Vehicle"/>
    <n v="2"/>
    <x v="4"/>
    <x v="0"/>
    <n v="3"/>
    <x v="2"/>
    <s v="LUWERO"/>
    <s v="LUWERO"/>
    <s v="UGA"/>
    <n v="1"/>
    <s v="Home"/>
    <s v="LUWERO"/>
    <s v="LUWERO"/>
    <s v="UGA"/>
    <n v="4"/>
    <s v="Commercial"/>
    <x v="12"/>
    <n v="50000"/>
    <n v="62"/>
    <x v="1"/>
    <n v="0.7"/>
    <x v="3"/>
    <n v="6"/>
    <s v="Businessman"/>
    <n v="3"/>
    <x v="0"/>
    <n v="1"/>
    <n v="4"/>
    <n v="1"/>
    <n v="2"/>
    <n v="1"/>
    <s v="Y"/>
    <n v="3000"/>
    <x v="5"/>
  </r>
  <r>
    <d v="2019-10-24T00:00:00"/>
    <d v="1899-12-30T12:22:00"/>
    <m/>
    <s v="D"/>
    <n v="2"/>
    <s v="Road Vehicle"/>
    <n v="2"/>
    <x v="4"/>
    <x v="1"/>
    <n v="3"/>
    <x v="2"/>
    <s v="WABULENZI"/>
    <s v="LUWERO"/>
    <s v="UGA"/>
    <n v="2"/>
    <s v="Work"/>
    <s v="BWEYALE"/>
    <s v="KIRYANDONGO"/>
    <s v="UGA"/>
    <n v="7"/>
    <s v="Hospital"/>
    <x v="15"/>
    <n v="320000"/>
    <n v="150"/>
    <x v="2"/>
    <n v="4.5"/>
    <x v="0"/>
    <n v="4"/>
    <s v="Office Worker"/>
    <n v="3"/>
    <x v="0"/>
    <n v="5"/>
    <n v="4"/>
    <n v="1"/>
    <n v="1"/>
    <n v="2"/>
    <s v="Y"/>
    <n v="6000"/>
    <x v="2"/>
  </r>
  <r>
    <d v="2019-10-25T00:00:00"/>
    <d v="1899-12-30T16:30:00"/>
    <m/>
    <s v="D"/>
    <n v="2"/>
    <s v="Road Vehicle"/>
    <n v="2"/>
    <x v="4"/>
    <x v="1"/>
    <n v="3"/>
    <x v="2"/>
    <s v="NAKASONGOLA"/>
    <s v="NAKASONGOLA"/>
    <s v="UGA"/>
    <n v="2"/>
    <s v="Work"/>
    <s v="LUWERO"/>
    <s v="LUWERO"/>
    <s v="UGA"/>
    <n v="1"/>
    <s v="Home"/>
    <x v="1"/>
    <n v="200000"/>
    <n v="124"/>
    <x v="2"/>
    <n v="1.5"/>
    <x v="2"/>
    <n v="4"/>
    <s v="Office Worker"/>
    <n v="3"/>
    <x v="0"/>
    <n v="1"/>
    <n v="2"/>
    <n v="1"/>
    <n v="1"/>
    <n v="2"/>
    <s v="Y"/>
    <n v="0"/>
    <x v="0"/>
  </r>
  <r>
    <d v="2019-10-25T00:00:00"/>
    <d v="1899-12-30T14:10:00"/>
    <m/>
    <s v="P"/>
    <n v="2"/>
    <s v="Road Vehicle"/>
    <n v="2"/>
    <x v="4"/>
    <x v="1"/>
    <n v="3"/>
    <x v="2"/>
    <s v="GGABA"/>
    <s v="KAMPALA"/>
    <s v="UGA"/>
    <n v="2"/>
    <s v="Work"/>
    <s v="LUWERO"/>
    <s v="LUWERO"/>
    <s v="UGA"/>
    <n v="4"/>
    <s v="Commercial"/>
    <x v="21"/>
    <n v="100000"/>
    <n v="80"/>
    <x v="0"/>
    <n v="2"/>
    <x v="1"/>
    <n v="6"/>
    <s v="Businessman"/>
    <n v="4"/>
    <x v="3"/>
    <n v="4"/>
    <n v="4"/>
    <n v="1"/>
    <n v="2"/>
    <n v="2"/>
    <s v="Y"/>
    <n v="10000"/>
    <x v="3"/>
  </r>
  <r>
    <d v="2019-10-25T00:00:00"/>
    <d v="1899-12-30T12:53:00"/>
    <m/>
    <s v="D"/>
    <n v="2"/>
    <s v="Road Vehicle"/>
    <n v="2"/>
    <x v="4"/>
    <x v="1"/>
    <n v="3"/>
    <x v="2"/>
    <s v="KAGOMA"/>
    <s v="WAKISO"/>
    <s v="UGA"/>
    <n v="2"/>
    <s v="Work"/>
    <s v="LUWERO"/>
    <s v="LUWERO"/>
    <s v="UGA"/>
    <n v="1"/>
    <s v="Home"/>
    <x v="1"/>
    <n v="40000"/>
    <n v="49"/>
    <x v="1"/>
    <n v="1"/>
    <x v="2"/>
    <n v="6"/>
    <s v="Businessman"/>
    <n v="4"/>
    <x v="3"/>
    <n v="4"/>
    <n v="5"/>
    <n v="2"/>
    <n v="1"/>
    <n v="2"/>
    <s v="Y"/>
    <n v="11000"/>
    <x v="3"/>
  </r>
  <r>
    <d v="2019-10-25T00:00:00"/>
    <d v="1899-12-30T11:43:00"/>
    <m/>
    <s v="D"/>
    <n v="2"/>
    <s v="Road Vehicle"/>
    <n v="2"/>
    <x v="4"/>
    <x v="1"/>
    <n v="3"/>
    <x v="2"/>
    <s v="LUWERO"/>
    <s v="LUWERO"/>
    <s v="UGA"/>
    <n v="1"/>
    <s v="Home"/>
    <s v="KAWANDA"/>
    <s v="WAKISO"/>
    <s v="UGA"/>
    <n v="2"/>
    <s v="Work"/>
    <x v="8"/>
    <n v="50000"/>
    <n v="54"/>
    <x v="1"/>
    <n v="1"/>
    <x v="2"/>
    <n v="4"/>
    <s v="Office Worker"/>
    <n v="5"/>
    <x v="4"/>
    <n v="4"/>
    <n v="4"/>
    <n v="1"/>
    <n v="1"/>
    <n v="2"/>
    <s v="Y"/>
    <n v="10000"/>
    <x v="3"/>
  </r>
  <r>
    <d v="2019-10-26T00:00:00"/>
    <d v="1899-12-30T15:20:00"/>
    <m/>
    <s v="P"/>
    <n v="2"/>
    <s v="Road Vehicle"/>
    <n v="2"/>
    <x v="4"/>
    <x v="1"/>
    <n v="3"/>
    <x v="2"/>
    <s v="LUWERO"/>
    <s v="LUWERO"/>
    <s v="UGA"/>
    <n v="1"/>
    <s v="Home"/>
    <s v="BOMBO"/>
    <s v="LUWERO"/>
    <s v="UGA"/>
    <n v="1"/>
    <s v="Home"/>
    <x v="2"/>
    <n v="3000"/>
    <n v="10"/>
    <x v="6"/>
    <n v="0.7"/>
    <x v="3"/>
    <n v="10"/>
    <s v="Other"/>
    <n v="1"/>
    <x v="2"/>
    <n v="2"/>
    <n v="1"/>
    <n v="2"/>
    <n v="1"/>
    <n v="2"/>
    <s v="Y"/>
    <n v="0"/>
    <x v="0"/>
  </r>
  <r>
    <d v="2019-10-26T00:00:00"/>
    <d v="1899-12-30T17:03:00"/>
    <m/>
    <s v="D"/>
    <n v="2"/>
    <s v="Road Vehicle"/>
    <n v="2"/>
    <x v="4"/>
    <x v="1"/>
    <n v="3"/>
    <x v="2"/>
    <s v="WATINDO"/>
    <s v="WAKISO"/>
    <s v="UGA"/>
    <n v="2"/>
    <s v="Work"/>
    <s v="LUWERO"/>
    <s v="LUWERO"/>
    <s v="UGA"/>
    <n v="1"/>
    <s v="Home"/>
    <x v="1"/>
    <n v="40000"/>
    <n v="49"/>
    <x v="1"/>
    <n v="1"/>
    <x v="2"/>
    <n v="4"/>
    <s v="Office Worker"/>
    <n v="4"/>
    <x v="3"/>
    <n v="1"/>
    <n v="1"/>
    <n v="3"/>
    <n v="2"/>
    <n v="1"/>
    <s v="Y"/>
    <n v="10000"/>
    <x v="3"/>
  </r>
  <r>
    <d v="2019-10-26T00:00:00"/>
    <d v="1899-12-30T08:17:00"/>
    <m/>
    <s v="D"/>
    <n v="2"/>
    <s v="Road Vehicle"/>
    <n v="2"/>
    <x v="4"/>
    <x v="1"/>
    <n v="3"/>
    <x v="2"/>
    <s v="NGOMA"/>
    <s v="NAKASEKE"/>
    <s v="UGA"/>
    <n v="2"/>
    <s v="Work"/>
    <s v="LUWERO"/>
    <s v="LUWERO"/>
    <s v="UGA"/>
    <n v="2"/>
    <s v="Work"/>
    <x v="5"/>
    <n v="80000"/>
    <n v="87"/>
    <x v="0"/>
    <n v="3"/>
    <x v="1"/>
    <n v="2"/>
    <s v="Manual Labour"/>
    <n v="2"/>
    <x v="1"/>
    <n v="4"/>
    <n v="1"/>
    <n v="4"/>
    <n v="1"/>
    <n v="2"/>
    <s v="Y"/>
    <n v="1000"/>
    <x v="1"/>
  </r>
  <r>
    <d v="2019-10-26T00:00:00"/>
    <d v="1899-12-30T14:38:00"/>
    <m/>
    <s v="D"/>
    <n v="2"/>
    <s v="Road Vehicle"/>
    <n v="10"/>
    <x v="7"/>
    <x v="1"/>
    <n v="3"/>
    <x v="2"/>
    <s v="NAMANVE"/>
    <s v="MUKONO"/>
    <s v="UGA"/>
    <n v="4"/>
    <s v="Commercial"/>
    <s v="ARUA"/>
    <s v="ARUA"/>
    <s v="UGA"/>
    <n v="4"/>
    <s v="Commercial"/>
    <x v="13"/>
    <n v="1000000"/>
    <n v="1200"/>
    <x v="3"/>
    <n v="18"/>
    <x v="0"/>
    <n v="5"/>
    <s v="Professional"/>
    <n v="4"/>
    <x v="3"/>
    <n v="5"/>
    <n v="5"/>
    <n v="1"/>
    <n v="2"/>
    <n v="1"/>
    <s v="Y"/>
    <n v="10000"/>
    <x v="3"/>
  </r>
  <r>
    <d v="2019-10-25T00:00:00"/>
    <d v="1899-12-30T13:10:00"/>
    <m/>
    <s v="D"/>
    <n v="2"/>
    <s v="Road Vehicle"/>
    <n v="1"/>
    <x v="0"/>
    <x v="1"/>
    <n v="4"/>
    <x v="3"/>
    <s v="NEBI"/>
    <s v="NEBI"/>
    <s v="UGA"/>
    <n v="2"/>
    <s v="Work"/>
    <s v="KAMPALA"/>
    <s v="KAMPALA"/>
    <s v="UGA"/>
    <n v="1"/>
    <s v="Home"/>
    <x v="1"/>
    <n v="200000"/>
    <n v="480"/>
    <x v="3"/>
    <n v="5"/>
    <x v="0"/>
    <n v="6"/>
    <s v="Businessman"/>
    <n v="5"/>
    <x v="4"/>
    <n v="2"/>
    <n v="2"/>
    <n v="1"/>
    <n v="2"/>
    <n v="1"/>
    <s v="Y"/>
    <n v="1000"/>
    <x v="1"/>
  </r>
  <r>
    <d v="2019-10-26T00:00:00"/>
    <d v="1899-12-30T11:00:00"/>
    <m/>
    <s v="D"/>
    <n v="2"/>
    <s v="Road Vehicle"/>
    <n v="1"/>
    <x v="0"/>
    <x v="1"/>
    <n v="4"/>
    <x v="3"/>
    <s v="KIREKA"/>
    <s v="WAKISO"/>
    <s v="UGA"/>
    <n v="1"/>
    <s v="Home"/>
    <s v="LUWERO"/>
    <s v="LUWERO"/>
    <s v="UGA"/>
    <n v="1"/>
    <s v="Home"/>
    <x v="2"/>
    <n v="200000"/>
    <n v="98"/>
    <x v="0"/>
    <n v="3"/>
    <x v="1"/>
    <n v="10"/>
    <s v="Other"/>
    <n v="1"/>
    <x v="2"/>
    <n v="5"/>
    <n v="5"/>
    <n v="1"/>
    <n v="1"/>
    <n v="1"/>
    <s v="Y"/>
    <n v="2000"/>
    <x v="4"/>
  </r>
  <r>
    <m/>
    <d v="1899-12-30T08:47:00"/>
    <m/>
    <s v="D"/>
    <n v="2"/>
    <s v="Road Vehicle"/>
    <n v="1"/>
    <x v="0"/>
    <x v="1"/>
    <n v="4"/>
    <x v="3"/>
    <s v="ARUA"/>
    <s v="ARUA"/>
    <s v="UGA"/>
    <n v="2"/>
    <s v="Work"/>
    <s v="BOMBO"/>
    <s v="LUWERO"/>
    <s v="UGA"/>
    <n v="2"/>
    <s v="Work"/>
    <x v="5"/>
    <n v="500000"/>
    <n v="450"/>
    <x v="3"/>
    <n v="8"/>
    <x v="0"/>
    <n v="6"/>
    <s v="Businessman"/>
    <n v="5"/>
    <x v="4"/>
    <n v="4"/>
    <n v="2"/>
    <n v="3"/>
    <n v="1"/>
    <n v="2"/>
    <s v="Y"/>
    <n v="2000"/>
    <x v="4"/>
  </r>
  <r>
    <d v="2019-10-26T00:00:00"/>
    <d v="1899-12-30T14:01:00"/>
    <m/>
    <s v="P"/>
    <n v="2"/>
    <s v="Road Vehicle"/>
    <n v="6"/>
    <x v="1"/>
    <x v="0"/>
    <n v="4"/>
    <x v="3"/>
    <s v="AKOLO"/>
    <s v="ARUA"/>
    <s v="UGA"/>
    <n v="1"/>
    <s v="Home"/>
    <s v="BOMBO"/>
    <s v="LUWERO"/>
    <s v="UGA"/>
    <n v="2"/>
    <s v="Work"/>
    <x v="8"/>
    <n v="35000"/>
    <n v="512"/>
    <x v="3"/>
    <n v="9"/>
    <x v="0"/>
    <n v="4"/>
    <s v="Office Worker"/>
    <n v="3"/>
    <x v="0"/>
    <n v="5"/>
    <n v="1"/>
    <n v="2"/>
    <n v="1"/>
    <n v="2"/>
    <s v="Y"/>
    <n v="11500"/>
    <x v="3"/>
  </r>
  <r>
    <d v="2019-10-25T00:00:00"/>
    <d v="1899-12-30T13:22:00"/>
    <m/>
    <s v="P"/>
    <n v="2"/>
    <s v="Road Vehicle"/>
    <n v="6"/>
    <x v="1"/>
    <x v="1"/>
    <n v="4"/>
    <x v="3"/>
    <s v="KIRYANDONGO"/>
    <s v="KIRYANDONGO"/>
    <s v="UGA"/>
    <n v="1"/>
    <s v="Home"/>
    <s v="MULAGO"/>
    <s v="KAMPALA"/>
    <s v="UGA"/>
    <n v="7"/>
    <s v="Hospital"/>
    <x v="26"/>
    <n v="25000"/>
    <n v="271"/>
    <x v="3"/>
    <n v="3"/>
    <x v="1"/>
    <n v="1"/>
    <s v="Unemployed"/>
    <n v="1"/>
    <x v="2"/>
    <n v="1"/>
    <n v="4"/>
    <n v="1"/>
    <n v="2"/>
    <n v="1"/>
    <s v="Y"/>
    <n v="0"/>
    <x v="0"/>
  </r>
  <r>
    <d v="2019-10-25T00:00:00"/>
    <d v="1899-12-30T12:45:00"/>
    <m/>
    <s v="P"/>
    <n v="2"/>
    <s v="Road Vehicle"/>
    <n v="6"/>
    <x v="1"/>
    <x v="1"/>
    <n v="4"/>
    <x v="3"/>
    <s v="WEYANAKA"/>
    <s v="PACKWACH"/>
    <s v="UGA"/>
    <n v="1"/>
    <s v="Home"/>
    <s v="KAWANDA"/>
    <s v="WAKISO"/>
    <s v="UGA"/>
    <n v="2"/>
    <s v="Work"/>
    <x v="8"/>
    <n v="30000"/>
    <n v="372"/>
    <x v="3"/>
    <n v="4.5"/>
    <x v="0"/>
    <n v="4"/>
    <s v="Office Worker"/>
    <n v="3"/>
    <x v="0"/>
    <n v="1"/>
    <n v="2"/>
    <n v="2"/>
    <n v="1"/>
    <n v="1"/>
    <s v="Y"/>
    <n v="2000"/>
    <x v="4"/>
  </r>
  <r>
    <d v="2019-10-25T00:00:00"/>
    <d v="1899-12-30T12:37:00"/>
    <m/>
    <s v="D"/>
    <n v="2"/>
    <s v="Road Vehicle"/>
    <n v="6"/>
    <x v="1"/>
    <x v="1"/>
    <n v="4"/>
    <x v="3"/>
    <s v="YUMBE"/>
    <s v="YUMBE"/>
    <s v="UGA"/>
    <n v="2"/>
    <s v="Work"/>
    <s v="KAMPALA"/>
    <s v="KAMPALA"/>
    <s v="UGA"/>
    <n v="2"/>
    <s v="Work"/>
    <x v="5"/>
    <n v="35000"/>
    <n v="591"/>
    <x v="3"/>
    <n v="9"/>
    <x v="0"/>
    <n v="2"/>
    <s v="Manual Labour"/>
    <n v="4"/>
    <x v="3"/>
    <n v="4"/>
    <n v="1"/>
    <n v="4"/>
    <n v="1"/>
    <n v="1"/>
    <s v="Y"/>
    <n v="7000"/>
    <x v="2"/>
  </r>
  <r>
    <d v="2019-10-25T00:00:00"/>
    <d v="1899-12-30T11:05:00"/>
    <m/>
    <s v="P"/>
    <n v="2"/>
    <s v="Road Vehicle"/>
    <n v="5"/>
    <x v="5"/>
    <x v="0"/>
    <n v="4"/>
    <x v="3"/>
    <s v="ADJUMANI"/>
    <s v="ADJUMANI"/>
    <s v="UGA"/>
    <n v="1"/>
    <s v="Home"/>
    <s v="LUWERO"/>
    <s v="LUWERO"/>
    <s v="UGA"/>
    <n v="2"/>
    <s v="Work"/>
    <x v="8"/>
    <n v="35000"/>
    <n v="550"/>
    <x v="3"/>
    <n v="9"/>
    <x v="0"/>
    <n v="6"/>
    <s v="Businessman"/>
    <n v="4"/>
    <x v="3"/>
    <n v="5"/>
    <n v="2"/>
    <n v="4"/>
    <n v="1"/>
    <n v="2"/>
    <s v="Y"/>
    <n v="200"/>
    <x v="0"/>
  </r>
  <r>
    <d v="2019-10-24T00:00:00"/>
    <d v="1899-12-30T08:08:00"/>
    <m/>
    <s v="P"/>
    <n v="2"/>
    <s v="Road Vehicle"/>
    <n v="4"/>
    <x v="3"/>
    <x v="0"/>
    <n v="4"/>
    <x v="3"/>
    <s v="LUWERO"/>
    <s v="LUWERO"/>
    <s v="UGA"/>
    <n v="4"/>
    <s v="Commercial"/>
    <s v="MATUGA"/>
    <s v="WAKISO"/>
    <s v="UGA"/>
    <n v="7"/>
    <s v="Hospital"/>
    <x v="27"/>
    <n v="4000"/>
    <n v="42"/>
    <x v="1"/>
    <n v="0.7"/>
    <x v="3"/>
    <n v="9"/>
    <s v="Retired"/>
    <n v="3"/>
    <x v="0"/>
    <n v="1"/>
    <n v="1"/>
    <n v="4"/>
    <n v="1"/>
    <n v="1"/>
    <s v="Y"/>
    <n v="2000"/>
    <x v="4"/>
  </r>
  <r>
    <d v="2019-10-24T00:00:00"/>
    <d v="1899-12-30T08:01:00"/>
    <m/>
    <s v="P"/>
    <n v="2"/>
    <s v="Road Vehicle"/>
    <n v="4"/>
    <x v="3"/>
    <x v="0"/>
    <n v="4"/>
    <x v="3"/>
    <s v="LUWERO"/>
    <s v="LUWERO"/>
    <s v="UGA"/>
    <n v="1"/>
    <s v="Home"/>
    <s v="KAMPALA"/>
    <s v="KAMPALA"/>
    <s v="UGA"/>
    <n v="7"/>
    <s v="Hospital"/>
    <x v="26"/>
    <n v="5000"/>
    <n v="62"/>
    <x v="1"/>
    <n v="2"/>
    <x v="1"/>
    <n v="10"/>
    <s v="Other"/>
    <n v="1"/>
    <x v="2"/>
    <n v="5"/>
    <n v="1"/>
    <n v="4"/>
    <n v="1"/>
    <n v="2"/>
    <s v="Y"/>
    <n v="1000"/>
    <x v="1"/>
  </r>
  <r>
    <d v="2019-10-25T00:00:00"/>
    <d v="1899-12-30T07:32:00"/>
    <m/>
    <s v="P"/>
    <n v="2"/>
    <s v="Road Vehicle"/>
    <n v="4"/>
    <x v="3"/>
    <x v="0"/>
    <n v="4"/>
    <x v="3"/>
    <s v="LUWERO"/>
    <s v="LUWERO"/>
    <s v="UGA"/>
    <n v="1"/>
    <s v="Home"/>
    <s v="KATIKAMU"/>
    <s v="LUWERO"/>
    <s v="UGA"/>
    <n v="2"/>
    <s v="Work"/>
    <x v="8"/>
    <n v="1000"/>
    <n v="1.5"/>
    <x v="4"/>
    <n v="0.2"/>
    <x v="4"/>
    <n v="6"/>
    <s v="Businessman"/>
    <n v="3"/>
    <x v="0"/>
    <n v="1"/>
    <n v="1"/>
    <n v="1"/>
    <n v="1"/>
    <n v="1"/>
    <s v="Y"/>
    <n v="1000"/>
    <x v="1"/>
  </r>
  <r>
    <d v="2019-10-26T00:00:00"/>
    <d v="1899-12-30T17:09:00"/>
    <m/>
    <s v="P"/>
    <n v="2"/>
    <s v="Road Vehicle"/>
    <n v="4"/>
    <x v="3"/>
    <x v="0"/>
    <n v="4"/>
    <x v="3"/>
    <s v="BUKOTO"/>
    <s v="KAMPALA"/>
    <s v="UGA"/>
    <n v="1"/>
    <s v="Home"/>
    <s v="NAKASONGOLA"/>
    <s v="NAKASONGOLA"/>
    <s v="UGA"/>
    <n v="4"/>
    <s v="Commercial"/>
    <x v="12"/>
    <n v="20000"/>
    <n v="219"/>
    <x v="3"/>
    <n v="2"/>
    <x v="1"/>
    <n v="6"/>
    <s v="Businessman"/>
    <n v="3"/>
    <x v="0"/>
    <n v="4"/>
    <n v="1"/>
    <n v="1"/>
    <n v="1"/>
    <n v="2"/>
    <s v="Y"/>
    <n v="0"/>
    <x v="0"/>
  </r>
  <r>
    <d v="2019-10-26T00:00:00"/>
    <d v="1899-12-30T09:27:00"/>
    <m/>
    <s v="P"/>
    <n v="2"/>
    <s v="Road Vehicle"/>
    <n v="4"/>
    <x v="3"/>
    <x v="0"/>
    <n v="4"/>
    <x v="3"/>
    <s v="KAMPALA"/>
    <s v="KAMPALA"/>
    <s v="UGA"/>
    <n v="4"/>
    <s v="Commercial"/>
    <s v="LUWERO"/>
    <s v="LUWERO"/>
    <s v="UGA"/>
    <n v="2"/>
    <s v="Work"/>
    <x v="20"/>
    <n v="5000"/>
    <n v="62"/>
    <x v="1"/>
    <n v="2"/>
    <x v="1"/>
    <n v="6"/>
    <s v="Businessman"/>
    <n v="3"/>
    <x v="0"/>
    <n v="4"/>
    <n v="1"/>
    <n v="1"/>
    <n v="1"/>
    <n v="2"/>
    <s v="Y"/>
    <n v="2000"/>
    <x v="4"/>
  </r>
  <r>
    <d v="2019-10-26T00:00:00"/>
    <d v="1899-12-30T08:33:00"/>
    <m/>
    <s v="P"/>
    <n v="2"/>
    <s v="Road Vehicle"/>
    <n v="4"/>
    <x v="3"/>
    <x v="0"/>
    <n v="4"/>
    <x v="3"/>
    <s v="MATUGA"/>
    <s v="WAKISO"/>
    <s v="UGA"/>
    <n v="1"/>
    <s v="Home"/>
    <s v="LUWERO"/>
    <s v="LUWERO"/>
    <s v="UGA"/>
    <n v="2"/>
    <s v="Work"/>
    <x v="8"/>
    <n v="4000"/>
    <n v="45"/>
    <x v="1"/>
    <n v="0.7"/>
    <x v="3"/>
    <n v="4"/>
    <s v="Office Worker"/>
    <n v="3"/>
    <x v="0"/>
    <n v="1"/>
    <n v="1"/>
    <n v="2"/>
    <n v="1"/>
    <n v="2"/>
    <s v="Y"/>
    <n v="4000"/>
    <x v="5"/>
  </r>
  <r>
    <m/>
    <d v="1899-12-30T11:22:00"/>
    <m/>
    <s v="P"/>
    <n v="2"/>
    <s v="Road Vehicle"/>
    <n v="4"/>
    <x v="3"/>
    <x v="0"/>
    <n v="4"/>
    <x v="3"/>
    <s v="NAKASONGOLA"/>
    <s v="NAKASONGOLA"/>
    <s v="UGA"/>
    <n v="2"/>
    <s v="Work"/>
    <m/>
    <m/>
    <s v="UGA"/>
    <n v="2"/>
    <s v="Work"/>
    <x v="5"/>
    <m/>
    <m/>
    <x v="4"/>
    <m/>
    <x v="4"/>
    <n v="4"/>
    <s v="Office Worker"/>
    <n v="3"/>
    <x v="0"/>
    <m/>
    <m/>
    <m/>
    <m/>
    <m/>
    <s v="Y"/>
    <m/>
    <x v="0"/>
  </r>
  <r>
    <m/>
    <d v="1899-12-30T10:18:00"/>
    <m/>
    <s v="P"/>
    <n v="2"/>
    <s v="Road Vehicle"/>
    <n v="4"/>
    <x v="3"/>
    <x v="0"/>
    <n v="4"/>
    <x v="3"/>
    <s v="KAWEMPE"/>
    <s v="KAMPALA"/>
    <s v="UGA"/>
    <n v="2"/>
    <s v="Work"/>
    <s v="LUWERO"/>
    <s v="LUWERO"/>
    <s v="UGA"/>
    <n v="2"/>
    <s v="Work"/>
    <x v="5"/>
    <n v="3000"/>
    <n v="75"/>
    <x v="0"/>
    <n v="1"/>
    <x v="2"/>
    <n v="5"/>
    <s v="Professional"/>
    <n v="5"/>
    <x v="4"/>
    <m/>
    <m/>
    <m/>
    <m/>
    <m/>
    <s v="Y"/>
    <n v="500"/>
    <x v="0"/>
  </r>
  <r>
    <d v="2019-10-25T00:00:00"/>
    <d v="1899-12-30T10:25:00"/>
    <m/>
    <s v="P"/>
    <n v="2"/>
    <s v="Road Vehicle"/>
    <n v="4"/>
    <x v="3"/>
    <x v="1"/>
    <n v="4"/>
    <x v="3"/>
    <s v="LUWERO"/>
    <s v="LUWERO"/>
    <s v="UGA"/>
    <n v="4"/>
    <s v="Commercial"/>
    <s v="NGOMA"/>
    <s v="NAKASEKE"/>
    <s v="UGA"/>
    <n v="1"/>
    <s v="Home"/>
    <x v="0"/>
    <n v="10000"/>
    <n v="6"/>
    <x v="4"/>
    <n v="4"/>
    <x v="0"/>
    <n v="6"/>
    <s v="Businessman"/>
    <n v="3"/>
    <x v="0"/>
    <n v="4"/>
    <n v="5"/>
    <n v="4"/>
    <n v="1"/>
    <n v="2"/>
    <s v="Y"/>
    <n v="0"/>
    <x v="0"/>
  </r>
  <r>
    <d v="2019-10-25T00:00:00"/>
    <d v="1899-12-30T10:45:00"/>
    <m/>
    <s v="P"/>
    <n v="2"/>
    <s v="Road Vehicle"/>
    <n v="4"/>
    <x v="3"/>
    <x v="1"/>
    <n v="4"/>
    <x v="3"/>
    <s v="NGOMA"/>
    <s v="NGOMA"/>
    <s v="UGA"/>
    <n v="1"/>
    <s v="Home"/>
    <s v="KIBOKO"/>
    <s v="LUWERO"/>
    <s v="UGA"/>
    <n v="4"/>
    <s v="Commercial"/>
    <x v="12"/>
    <n v="10000"/>
    <n v="63"/>
    <x v="1"/>
    <n v="1"/>
    <x v="2"/>
    <n v="7"/>
    <s v="Farmer"/>
    <n v="3"/>
    <x v="0"/>
    <n v="4"/>
    <n v="3"/>
    <n v="2"/>
    <n v="1"/>
    <n v="2"/>
    <s v="Y"/>
    <n v="0"/>
    <x v="0"/>
  </r>
  <r>
    <d v="2019-10-25T00:00:00"/>
    <d v="1899-12-30T11:48:00"/>
    <m/>
    <s v="P"/>
    <n v="2"/>
    <s v="Road Vehicle"/>
    <n v="4"/>
    <x v="3"/>
    <x v="1"/>
    <n v="4"/>
    <x v="3"/>
    <s v="LUWERO"/>
    <s v="LUWERO"/>
    <s v="UGA"/>
    <n v="1"/>
    <s v="Home"/>
    <s v="KAWANDA"/>
    <s v="WAKISO"/>
    <s v="UGA"/>
    <n v="1"/>
    <s v="Home"/>
    <x v="2"/>
    <n v="2500"/>
    <n v="48"/>
    <x v="1"/>
    <n v="0.6"/>
    <x v="3"/>
    <n v="6"/>
    <s v="Businessman"/>
    <n v="3"/>
    <x v="0"/>
    <n v="1"/>
    <n v="2"/>
    <n v="1"/>
    <n v="2"/>
    <n v="1"/>
    <s v="Y"/>
    <n v="0"/>
    <x v="0"/>
  </r>
  <r>
    <d v="2019-10-25T00:00:00"/>
    <d v="1899-12-30T16:12:00"/>
    <m/>
    <s v="P"/>
    <n v="2"/>
    <s v="Road Vehicle"/>
    <n v="4"/>
    <x v="3"/>
    <x v="1"/>
    <n v="4"/>
    <x v="3"/>
    <s v="LUWERO"/>
    <s v="LUWERO"/>
    <s v="UGA"/>
    <n v="4"/>
    <s v="Commercial"/>
    <s v="KAWEMPE"/>
    <s v="KAMPALA"/>
    <s v="UGA"/>
    <n v="1"/>
    <s v="Home"/>
    <x v="0"/>
    <n v="4000"/>
    <n v="62"/>
    <x v="1"/>
    <n v="1.5"/>
    <x v="2"/>
    <n v="7"/>
    <s v="Farmer"/>
    <n v="3"/>
    <x v="0"/>
    <n v="1"/>
    <n v="2"/>
    <n v="1"/>
    <n v="2"/>
    <n v="3"/>
    <s v="Y"/>
    <n v="5000"/>
    <x v="2"/>
  </r>
  <r>
    <d v="2019-10-25T00:00:00"/>
    <d v="1899-12-30T09:36:00"/>
    <m/>
    <s v="D"/>
    <n v="2"/>
    <s v="Road Vehicle"/>
    <n v="4"/>
    <x v="3"/>
    <x v="1"/>
    <n v="4"/>
    <x v="3"/>
    <s v="YUMBE"/>
    <s v="YUMBE"/>
    <s v="UGA"/>
    <n v="2"/>
    <s v="Work"/>
    <s v="KAMPALA"/>
    <s v="KAMPALA"/>
    <s v="UGA"/>
    <n v="2"/>
    <s v="Work"/>
    <x v="5"/>
    <n v="1000000"/>
    <n v="607"/>
    <x v="3"/>
    <n v="9"/>
    <x v="0"/>
    <n v="5"/>
    <s v="Professional"/>
    <n v="4"/>
    <x v="3"/>
    <n v="5"/>
    <n v="4"/>
    <n v="1"/>
    <n v="2"/>
    <n v="1"/>
    <s v="Y"/>
    <n v="9000"/>
    <x v="2"/>
  </r>
  <r>
    <d v="2019-10-25T00:00:00"/>
    <d v="1899-12-30T08:57:00"/>
    <m/>
    <s v="P"/>
    <n v="2"/>
    <s v="Road Vehicle"/>
    <n v="4"/>
    <x v="3"/>
    <x v="1"/>
    <n v="4"/>
    <x v="3"/>
    <s v="KAMPALA"/>
    <s v="KAMPALA"/>
    <s v="UGA"/>
    <n v="7"/>
    <s v="Hospital"/>
    <s v="KARUMA"/>
    <s v="KIRYANDONGO"/>
    <s v="UGA"/>
    <n v="1"/>
    <s v="Home"/>
    <x v="19"/>
    <n v="25000"/>
    <n v="251"/>
    <x v="3"/>
    <n v="4"/>
    <x v="0"/>
    <n v="1"/>
    <s v="Unemployed"/>
    <n v="1"/>
    <x v="2"/>
    <n v="1"/>
    <n v="1"/>
    <n v="2"/>
    <n v="1"/>
    <n v="2"/>
    <s v="Y"/>
    <n v="4000"/>
    <x v="5"/>
  </r>
  <r>
    <d v="2019-10-26T00:00:00"/>
    <d v="1899-12-30T15:58:00"/>
    <m/>
    <s v="D"/>
    <n v="2"/>
    <s v="Road Vehicle"/>
    <n v="4"/>
    <x v="3"/>
    <x v="1"/>
    <n v="4"/>
    <x v="3"/>
    <s v="LUWERO"/>
    <s v="LUWERO"/>
    <s v="UGA"/>
    <n v="4"/>
    <s v="Commercial"/>
    <s v="KAWEMPE"/>
    <s v="KAMPALA"/>
    <s v="UGA"/>
    <n v="4"/>
    <s v="Commercial"/>
    <x v="13"/>
    <n v="30000"/>
    <n v="62"/>
    <x v="1"/>
    <n v="1"/>
    <x v="2"/>
    <n v="5"/>
    <s v="Professional"/>
    <n v="3"/>
    <x v="0"/>
    <n v="1"/>
    <n v="2"/>
    <n v="1"/>
    <n v="2"/>
    <n v="2"/>
    <s v="Y"/>
    <n v="3000"/>
    <x v="5"/>
  </r>
  <r>
    <d v="2019-10-26T00:00:00"/>
    <d v="1899-12-30T08:24:00"/>
    <m/>
    <s v="P"/>
    <n v="2"/>
    <s v="Road Vehicle"/>
    <n v="4"/>
    <x v="3"/>
    <x v="1"/>
    <n v="4"/>
    <x v="3"/>
    <s v="KINYOGOGA"/>
    <s v="NAKASEKE"/>
    <s v="UGA"/>
    <n v="1"/>
    <s v="Home"/>
    <s v="LUWERO"/>
    <s v="LUWERO"/>
    <s v="UGA"/>
    <n v="7"/>
    <s v="Hospital"/>
    <x v="26"/>
    <n v="7000"/>
    <n v="60"/>
    <x v="1"/>
    <n v="1.5"/>
    <x v="2"/>
    <n v="10"/>
    <s v="Other"/>
    <n v="1"/>
    <x v="2"/>
    <n v="4"/>
    <n v="1"/>
    <n v="4"/>
    <n v="1"/>
    <n v="2"/>
    <s v="Y"/>
    <n v="0"/>
    <x v="0"/>
  </r>
  <r>
    <d v="2019-10-26T00:00:00"/>
    <d v="1899-12-30T11:19:00"/>
    <m/>
    <s v="D"/>
    <n v="2"/>
    <s v="Road Vehicle"/>
    <n v="4"/>
    <x v="3"/>
    <x v="1"/>
    <n v="4"/>
    <x v="3"/>
    <s v="LUWERO"/>
    <s v="LUWERO"/>
    <s v="UGA"/>
    <n v="2"/>
    <s v="Work"/>
    <s v="NGOMA"/>
    <s v="NAKASEKE"/>
    <s v="UGA"/>
    <n v="2"/>
    <s v="Work"/>
    <x v="5"/>
    <n v="140000"/>
    <m/>
    <x v="4"/>
    <n v="4"/>
    <x v="0"/>
    <n v="5"/>
    <s v="Professional"/>
    <n v="1"/>
    <x v="2"/>
    <n v="5"/>
    <n v="4"/>
    <n v="5"/>
    <n v="5"/>
    <n v="2"/>
    <s v="Y"/>
    <n v="0"/>
    <x v="0"/>
  </r>
  <r>
    <m/>
    <d v="1899-12-30T16:55:00"/>
    <m/>
    <s v="P"/>
    <n v="2"/>
    <s v="Road Vehicle"/>
    <n v="4"/>
    <x v="3"/>
    <x v="1"/>
    <n v="4"/>
    <x v="3"/>
    <s v="BOMBO"/>
    <s v="LUWERO"/>
    <s v="UGA"/>
    <n v="2"/>
    <s v="Work"/>
    <s v="KARUMA"/>
    <s v="KIRYANDONGO"/>
    <s v="UGA"/>
    <n v="1"/>
    <s v="Home"/>
    <x v="1"/>
    <n v="20000"/>
    <n v="190"/>
    <x v="2"/>
    <n v="5"/>
    <x v="0"/>
    <n v="5"/>
    <s v="Professional"/>
    <n v="2"/>
    <x v="1"/>
    <n v="5"/>
    <n v="2"/>
    <n v="1"/>
    <n v="2"/>
    <n v="1"/>
    <s v="Y"/>
    <n v="1000"/>
    <x v="1"/>
  </r>
  <r>
    <m/>
    <d v="1899-12-30T15:10:00"/>
    <m/>
    <s v="P"/>
    <n v="2"/>
    <s v="Road Vehicle"/>
    <n v="4"/>
    <x v="3"/>
    <x v="1"/>
    <n v="4"/>
    <x v="3"/>
    <s v="NGOMA"/>
    <s v="NAKASEKE"/>
    <s v="UGA"/>
    <n v="2"/>
    <s v="Work"/>
    <s v="LUWERO"/>
    <s v="LUWERO"/>
    <s v="UGA"/>
    <n v="2"/>
    <s v="Work"/>
    <x v="5"/>
    <n v="10000"/>
    <n v="100"/>
    <x v="2"/>
    <n v="3"/>
    <x v="1"/>
    <n v="6"/>
    <s v="Businessman"/>
    <n v="1"/>
    <x v="2"/>
    <n v="5"/>
    <n v="2"/>
    <n v="2"/>
    <n v="2"/>
    <n v="1"/>
    <s v="Y"/>
    <n v="1000"/>
    <x v="1"/>
  </r>
  <r>
    <m/>
    <d v="1899-12-30T11:35:00"/>
    <m/>
    <s v="P"/>
    <n v="2"/>
    <s v="Road Vehicle"/>
    <n v="4"/>
    <x v="3"/>
    <x v="1"/>
    <n v="4"/>
    <x v="3"/>
    <s v="LUWERO"/>
    <s v="LUWERO"/>
    <s v="UGA"/>
    <n v="1"/>
    <s v="Home"/>
    <s v="KAMPALA"/>
    <s v="KAMPALA"/>
    <s v="UGA"/>
    <n v="2"/>
    <s v="Work"/>
    <x v="8"/>
    <n v="4000"/>
    <n v="80"/>
    <x v="0"/>
    <n v="2"/>
    <x v="1"/>
    <n v="4"/>
    <s v="Office Worker"/>
    <n v="3"/>
    <x v="0"/>
    <n v="5"/>
    <n v="2"/>
    <n v="2"/>
    <n v="1"/>
    <n v="1"/>
    <s v="Y"/>
    <n v="500"/>
    <x v="0"/>
  </r>
  <r>
    <m/>
    <d v="1899-12-30T10:59:00"/>
    <m/>
    <s v="P"/>
    <n v="2"/>
    <s v="Road Vehicle"/>
    <n v="4"/>
    <x v="3"/>
    <x v="1"/>
    <n v="4"/>
    <x v="3"/>
    <s v="MATUGA"/>
    <s v="WAKISO"/>
    <s v="UGA"/>
    <n v="1"/>
    <s v="Home"/>
    <s v="LUWERO"/>
    <s v="LUWERO"/>
    <s v="UGA"/>
    <n v="2"/>
    <s v="Work"/>
    <x v="8"/>
    <n v="3000"/>
    <n v="75"/>
    <x v="0"/>
    <n v="1"/>
    <x v="2"/>
    <n v="6"/>
    <s v="Businessman"/>
    <n v="4"/>
    <x v="3"/>
    <n v="5"/>
    <n v="2"/>
    <n v="1"/>
    <n v="1"/>
    <n v="2"/>
    <s v="Y"/>
    <n v="1000"/>
    <x v="1"/>
  </r>
  <r>
    <m/>
    <d v="1899-12-30T09:42:00"/>
    <m/>
    <s v="P"/>
    <n v="2"/>
    <s v="Road Vehicle"/>
    <n v="4"/>
    <x v="3"/>
    <x v="1"/>
    <n v="4"/>
    <x v="3"/>
    <s v="LUWERO"/>
    <s v="LUWERO"/>
    <s v="UGA"/>
    <n v="1"/>
    <s v="Home"/>
    <s v="KINYOGOGA"/>
    <s v="NAKASEKE"/>
    <s v="UGA"/>
    <n v="1"/>
    <s v="Home"/>
    <x v="2"/>
    <n v="7000"/>
    <n v="60"/>
    <x v="1"/>
    <n v="1.5"/>
    <x v="2"/>
    <n v="2"/>
    <s v="Manual Labour"/>
    <n v="2"/>
    <x v="1"/>
    <n v="5"/>
    <n v="2"/>
    <n v="1"/>
    <n v="2"/>
    <n v="2"/>
    <s v="Y"/>
    <n v="0"/>
    <x v="0"/>
  </r>
  <r>
    <d v="2019-10-26T00:00:00"/>
    <d v="1899-12-30T13:23:00"/>
    <m/>
    <s v="D"/>
    <n v="2"/>
    <s v="Road Vehicle"/>
    <n v="3"/>
    <x v="6"/>
    <x v="1"/>
    <n v="4"/>
    <x v="3"/>
    <s v="NAKASONGOLA"/>
    <s v="NAKASONGOLA"/>
    <s v="UGA"/>
    <n v="1"/>
    <s v="Home"/>
    <s v="LUWERO"/>
    <s v="LUWERO"/>
    <s v="UGA"/>
    <n v="1"/>
    <s v="Home"/>
    <x v="2"/>
    <n v="300000"/>
    <n v="93"/>
    <x v="0"/>
    <n v="1.5"/>
    <x v="2"/>
    <n v="10"/>
    <s v="Other"/>
    <n v="1"/>
    <x v="2"/>
    <n v="4"/>
    <n v="2"/>
    <n v="1"/>
    <n v="2"/>
    <n v="1"/>
    <s v="Y"/>
    <n v="2000"/>
    <x v="4"/>
  </r>
  <r>
    <m/>
    <d v="1899-12-30T12:25:00"/>
    <m/>
    <s v="D"/>
    <n v="2"/>
    <s v="Road Vehicle"/>
    <n v="3"/>
    <x v="6"/>
    <x v="1"/>
    <n v="4"/>
    <x v="3"/>
    <s v="NGOMA"/>
    <s v="NAKASEKE"/>
    <s v="UGA"/>
    <n v="2"/>
    <s v="Work"/>
    <s v="LUWERO"/>
    <s v="LUWERO"/>
    <s v="UGA"/>
    <n v="1"/>
    <s v="Home"/>
    <x v="1"/>
    <n v="40000"/>
    <n v="35"/>
    <x v="5"/>
    <n v="1"/>
    <x v="2"/>
    <n v="6"/>
    <s v="Businessman"/>
    <n v="3"/>
    <x v="0"/>
    <n v="2"/>
    <n v="2"/>
    <n v="2"/>
    <n v="2"/>
    <n v="2"/>
    <s v="Y"/>
    <n v="500"/>
    <x v="0"/>
  </r>
  <r>
    <m/>
    <d v="1899-12-30T08:10:00"/>
    <m/>
    <s v="D"/>
    <n v="2"/>
    <s v="Road Vehicle"/>
    <n v="2"/>
    <x v="4"/>
    <x v="0"/>
    <n v="4"/>
    <x v="3"/>
    <s v="NGOMA"/>
    <s v="NAKASEKE"/>
    <s v="UGA"/>
    <n v="1"/>
    <s v="Home"/>
    <s v="LUWERO"/>
    <s v="LUWERO"/>
    <s v="UGA"/>
    <n v="2"/>
    <s v="Work"/>
    <x v="8"/>
    <n v="40000"/>
    <m/>
    <x v="4"/>
    <m/>
    <x v="4"/>
    <n v="4"/>
    <s v="Office Worker"/>
    <n v="3"/>
    <x v="0"/>
    <n v="5"/>
    <n v="2"/>
    <n v="1"/>
    <n v="2"/>
    <n v="2"/>
    <s v="Y"/>
    <n v="1000"/>
    <x v="1"/>
  </r>
  <r>
    <d v="2019-10-26T00:00:00"/>
    <d v="1899-12-30T10:17:00"/>
    <m/>
    <s v="D"/>
    <n v="2"/>
    <s v="Road Vehicle"/>
    <n v="2"/>
    <x v="4"/>
    <x v="1"/>
    <n v="4"/>
    <x v="3"/>
    <s v="LUWERO"/>
    <s v="LUWERO"/>
    <s v="UGA"/>
    <n v="1"/>
    <s v="Home"/>
    <s v="KISASI"/>
    <s v="KAMPALA"/>
    <s v="UGA"/>
    <n v="6"/>
    <s v="Leisure/Social"/>
    <x v="3"/>
    <n v="40000"/>
    <n v="59"/>
    <x v="1"/>
    <n v="1"/>
    <x v="2"/>
    <n v="10"/>
    <s v="Other"/>
    <n v="1"/>
    <x v="2"/>
    <n v="1"/>
    <n v="1"/>
    <n v="2"/>
    <n v="1"/>
    <n v="2"/>
    <s v="Y"/>
    <n v="6000"/>
    <x v="2"/>
  </r>
  <r>
    <m/>
    <d v="1899-12-30T08:37:00"/>
    <m/>
    <s v="D"/>
    <n v="2"/>
    <s v="Road Vehicle"/>
    <n v="2"/>
    <x v="4"/>
    <x v="1"/>
    <n v="4"/>
    <x v="3"/>
    <s v="KATU"/>
    <s v="MASINDI"/>
    <s v="UGA"/>
    <n v="2"/>
    <s v="Work"/>
    <s v="BOMBO"/>
    <s v="LUWERO"/>
    <s v="UGA"/>
    <n v="2"/>
    <s v="Work"/>
    <x v="5"/>
    <n v="300000"/>
    <n v="200"/>
    <x v="3"/>
    <n v="3"/>
    <x v="1"/>
    <n v="6"/>
    <s v="Businessman"/>
    <n v="4"/>
    <x v="3"/>
    <n v="5"/>
    <n v="2"/>
    <n v="2"/>
    <n v="2"/>
    <n v="1"/>
    <s v="Y"/>
    <n v="2000"/>
    <x v="4"/>
  </r>
  <r>
    <d v="2019-10-25T00:00:00"/>
    <d v="1899-12-30T14:12:00"/>
    <m/>
    <s v="D"/>
    <n v="2"/>
    <s v="Road Vehicle"/>
    <n v="10"/>
    <x v="7"/>
    <x v="1"/>
    <n v="4"/>
    <x v="3"/>
    <s v="ARUA"/>
    <s v="ARUA"/>
    <s v="UGA"/>
    <n v="2"/>
    <s v="Work"/>
    <s v="KAMPALA"/>
    <s v="KAMPALA"/>
    <s v="UGA"/>
    <n v="2"/>
    <s v="Work"/>
    <x v="5"/>
    <n v="1000000"/>
    <n v="509"/>
    <x v="3"/>
    <n v="12"/>
    <x v="0"/>
    <n v="6"/>
    <s v="Businessman"/>
    <n v="4"/>
    <x v="3"/>
    <n v="2"/>
    <n v="1"/>
    <n v="2"/>
    <n v="2"/>
    <n v="1"/>
    <s v="Y"/>
    <n v="1000"/>
    <x v="1"/>
  </r>
  <r>
    <d v="2019-10-25T00:00:00"/>
    <d v="1899-12-30T13:18:00"/>
    <m/>
    <s v="D"/>
    <n v="2"/>
    <s v="Road Vehicle"/>
    <n v="10"/>
    <x v="7"/>
    <x v="1"/>
    <n v="4"/>
    <x v="3"/>
    <s v="GULU"/>
    <s v="GULU"/>
    <s v="UGA"/>
    <n v="2"/>
    <s v="Work"/>
    <s v="KAMPALA"/>
    <s v="KAMPALA"/>
    <s v="UGA"/>
    <n v="2"/>
    <s v="Work"/>
    <x v="5"/>
    <n v="800000"/>
    <n v="490"/>
    <x v="3"/>
    <n v="9"/>
    <x v="0"/>
    <n v="6"/>
    <s v="Businessman"/>
    <n v="3"/>
    <x v="0"/>
    <n v="2"/>
    <n v="1"/>
    <n v="1"/>
    <n v="1"/>
    <n v="2"/>
    <s v="Y"/>
    <n v="1000"/>
    <x v="1"/>
  </r>
  <r>
    <d v="2019-10-27T00:00:00"/>
    <d v="1899-12-30T16:30:00"/>
    <m/>
    <s v="D"/>
    <n v="2"/>
    <s v="Road Vehicle"/>
    <n v="10"/>
    <x v="7"/>
    <x v="1"/>
    <n v="4"/>
    <x v="3"/>
    <s v="MBALE"/>
    <s v="MBALE"/>
    <s v="UGA"/>
    <n v="2"/>
    <s v="Work"/>
    <s v="KAMPALA"/>
    <s v="KAMPALA"/>
    <s v="UGA"/>
    <n v="2"/>
    <s v="Work"/>
    <x v="5"/>
    <n v="900000"/>
    <n v="800"/>
    <x v="3"/>
    <n v="8"/>
    <x v="0"/>
    <n v="5"/>
    <s v="Professional"/>
    <n v="1"/>
    <x v="2"/>
    <n v="5"/>
    <n v="5"/>
    <n v="1"/>
    <n v="1"/>
    <n v="1"/>
    <s v="Y"/>
    <n v="5000"/>
    <x v="2"/>
  </r>
  <r>
    <d v="2019-10-28T00:00:00"/>
    <d v="1899-12-30T17:25:00"/>
    <m/>
    <s v="D"/>
    <n v="2"/>
    <s v="Road Vehicle"/>
    <n v="10"/>
    <x v="7"/>
    <x v="1"/>
    <n v="4"/>
    <x v="3"/>
    <s v="KAMPALA"/>
    <s v="KAMPALA"/>
    <s v="UGA"/>
    <n v="1"/>
    <s v="Home"/>
    <s v="ARUA"/>
    <s v="ARUA"/>
    <s v="UGA"/>
    <n v="1"/>
    <s v="Home"/>
    <x v="2"/>
    <n v="1000000"/>
    <n v="508"/>
    <x v="3"/>
    <n v="12"/>
    <x v="0"/>
    <n v="6"/>
    <s v="Businessman"/>
    <n v="3"/>
    <x v="0"/>
    <n v="2"/>
    <n v="1"/>
    <n v="2"/>
    <n v="1"/>
    <n v="2"/>
    <s v="Y"/>
    <n v="1000"/>
    <x v="1"/>
  </r>
  <r>
    <d v="2019-10-30T00:00:00"/>
    <d v="1899-12-30T08:29:00"/>
    <m/>
    <s v="D"/>
    <n v="2"/>
    <s v="Road Vehicle"/>
    <n v="10"/>
    <x v="7"/>
    <x v="1"/>
    <n v="4"/>
    <x v="3"/>
    <s v="ARUA"/>
    <s v="ARUA"/>
    <s v="UGA"/>
    <n v="2"/>
    <s v="Work"/>
    <s v="KAMPALA"/>
    <s v="KAMPALA"/>
    <s v="UGA"/>
    <n v="2"/>
    <s v="Work"/>
    <x v="5"/>
    <n v="1900000"/>
    <n v="500"/>
    <x v="3"/>
    <n v="12"/>
    <x v="0"/>
    <n v="6"/>
    <s v="Businessman"/>
    <n v="5"/>
    <x v="4"/>
    <n v="5"/>
    <n v="2"/>
    <n v="3"/>
    <n v="2"/>
    <n v="1"/>
    <s v="Y"/>
    <n v="2000"/>
    <x v="4"/>
  </r>
  <r>
    <d v="2019-10-25T00:00:00"/>
    <d v="1899-12-30T15:12:00"/>
    <m/>
    <s v="P"/>
    <n v="2"/>
    <s v="Road Vehicle"/>
    <n v="1"/>
    <x v="0"/>
    <x v="0"/>
    <n v="5"/>
    <x v="4"/>
    <s v="LUWERO"/>
    <s v="LUWERO"/>
    <s v="UGA"/>
    <n v="2"/>
    <s v="Work"/>
    <s v="MATUGA"/>
    <s v="WAKISO"/>
    <s v="UGA"/>
    <n v="1"/>
    <s v="Home"/>
    <x v="1"/>
    <n v="3000"/>
    <n v="53"/>
    <x v="1"/>
    <n v="0.5"/>
    <x v="3"/>
    <n v="9"/>
    <s v="Retired"/>
    <n v="4"/>
    <x v="3"/>
    <n v="1"/>
    <n v="2"/>
    <n v="1"/>
    <n v="2"/>
    <n v="1"/>
    <s v="Y"/>
    <n v="5000"/>
    <x v="2"/>
  </r>
  <r>
    <d v="2019-10-24T00:00:00"/>
    <d v="1899-12-30T08:16:00"/>
    <m/>
    <s v="P"/>
    <n v="2"/>
    <s v="Road Vehicle"/>
    <n v="4"/>
    <x v="3"/>
    <x v="1"/>
    <n v="5"/>
    <x v="4"/>
    <s v="LUWERO"/>
    <s v="LUWERO"/>
    <s v="UGA"/>
    <n v="4"/>
    <s v="Commercial"/>
    <s v="KINYOGOGA"/>
    <s v="NAKASEKE"/>
    <s v="UGA"/>
    <n v="1"/>
    <s v="Home"/>
    <x v="0"/>
    <n v="7000"/>
    <n v="78"/>
    <x v="0"/>
    <n v="2"/>
    <x v="1"/>
    <n v="6"/>
    <s v="Businessman"/>
    <n v="3"/>
    <x v="0"/>
    <n v="4"/>
    <n v="4"/>
    <n v="4"/>
    <n v="1"/>
    <n v="1"/>
    <s v="Y"/>
    <n v="1000"/>
    <x v="1"/>
  </r>
  <r>
    <d v="2019-10-26T00:00:00"/>
    <d v="1899-12-30T08:22:00"/>
    <m/>
    <s v="P"/>
    <n v="2"/>
    <s v="Road Vehicle"/>
    <n v="4"/>
    <x v="3"/>
    <x v="1"/>
    <n v="5"/>
    <x v="4"/>
    <s v="LUWERO"/>
    <s v="LUWERO"/>
    <s v="UGA"/>
    <n v="8"/>
    <s v="Others"/>
    <s v="KINYONGANGA"/>
    <s v="NAKASEKE"/>
    <s v="UGA"/>
    <n v="8"/>
    <s v="Others"/>
    <x v="28"/>
    <n v="7000"/>
    <n v="68"/>
    <x v="1"/>
    <n v="2"/>
    <x v="1"/>
    <n v="9"/>
    <s v="Retired"/>
    <n v="2"/>
    <x v="1"/>
    <n v="2"/>
    <n v="3"/>
    <n v="4"/>
    <n v="2"/>
    <n v="2"/>
    <s v="Y"/>
    <n v="0"/>
    <x v="0"/>
  </r>
  <r>
    <m/>
    <d v="1899-12-30T08:51:00"/>
    <m/>
    <s v="D"/>
    <n v="2"/>
    <s v="Road Vehicle"/>
    <n v="3"/>
    <x v="6"/>
    <x v="1"/>
    <n v="5"/>
    <x v="4"/>
    <s v="NAKASEKE"/>
    <s v="NAKASEKE"/>
    <s v="UGA"/>
    <n v="1"/>
    <s v="Home"/>
    <s v="ENTEBBE"/>
    <s v="WAKISO"/>
    <s v="UGA"/>
    <n v="2"/>
    <s v="Work"/>
    <x v="8"/>
    <n v="200000"/>
    <n v="280"/>
    <x v="3"/>
    <n v="4"/>
    <x v="0"/>
    <n v="4"/>
    <s v="Office Worker"/>
    <n v="3"/>
    <x v="0"/>
    <n v="2"/>
    <n v="1"/>
    <n v="2"/>
    <n v="3"/>
    <n v="2"/>
    <s v="Y"/>
    <n v="1000"/>
    <x v="1"/>
  </r>
  <r>
    <d v="2019-10-19T00:00:00"/>
    <d v="1899-12-30T16:07:00"/>
    <m/>
    <s v="P"/>
    <n v="2"/>
    <s v="Road Vehicle"/>
    <n v="1"/>
    <x v="0"/>
    <x v="0"/>
    <n v="1"/>
    <x v="0"/>
    <s v="Masaka"/>
    <s v="MASAKA"/>
    <s v="UGA"/>
    <n v="6"/>
    <s v="Leisure/Social"/>
    <s v="Nyendo"/>
    <s v="Masaka"/>
    <s v="UGA"/>
    <n v="6"/>
    <s v="Leisure/Social"/>
    <x v="17"/>
    <n v="1000"/>
    <n v="0.8"/>
    <x v="4"/>
    <n v="0.2"/>
    <x v="4"/>
    <n v="1"/>
    <s v="Unemployed"/>
    <n v="1"/>
    <x v="2"/>
    <n v="1"/>
    <n v="1"/>
    <n v="1"/>
    <n v="1"/>
    <n v="1"/>
    <s v="Y"/>
    <n v="500"/>
    <x v="0"/>
  </r>
  <r>
    <d v="2019-10-20T00:00:00"/>
    <d v="1899-12-30T15:46:00"/>
    <m/>
    <s v="D"/>
    <n v="2"/>
    <s v="Road Vehicle"/>
    <n v="1"/>
    <x v="0"/>
    <x v="0"/>
    <n v="1"/>
    <x v="0"/>
    <s v="Masaka"/>
    <s v="MASAKA"/>
    <s v="UGA"/>
    <n v="4"/>
    <s v="Commercial"/>
    <s v="Matete"/>
    <s v="Masaka"/>
    <s v="UGA"/>
    <n v="1"/>
    <s v="Home"/>
    <x v="0"/>
    <n v="10000"/>
    <n v="21"/>
    <x v="5"/>
    <n v="0.5"/>
    <x v="3"/>
    <n v="6"/>
    <s v="Businessman"/>
    <n v="2"/>
    <x v="1"/>
    <n v="2"/>
    <n v="1"/>
    <n v="1"/>
    <n v="1"/>
    <n v="1"/>
    <s v="Y"/>
    <n v="1000"/>
    <x v="1"/>
  </r>
  <r>
    <d v="2019-10-20T00:00:00"/>
    <d v="1899-12-30T10:00:00"/>
    <s v="UBF 419T"/>
    <s v="D"/>
    <n v="2"/>
    <s v="Road Vehicle"/>
    <n v="1"/>
    <x v="0"/>
    <x v="0"/>
    <n v="1"/>
    <x v="0"/>
    <s v="Buwama"/>
    <s v="MASAKA"/>
    <s v="UGA"/>
    <n v="1"/>
    <s v="Home"/>
    <s v="Kinoni"/>
    <s v="Masaka"/>
    <s v="UGA"/>
    <n v="6"/>
    <s v="Leisure/Social"/>
    <x v="3"/>
    <n v="20000"/>
    <n v="30"/>
    <x v="5"/>
    <n v="0.7"/>
    <x v="3"/>
    <n v="4"/>
    <s v="Office Worker"/>
    <n v="5"/>
    <x v="4"/>
    <n v="1"/>
    <n v="1"/>
    <n v="1"/>
    <n v="1"/>
    <n v="1"/>
    <s v="Y"/>
    <n v="5000"/>
    <x v="2"/>
  </r>
  <r>
    <d v="2019-10-19T00:00:00"/>
    <d v="1899-12-30T18:37:00"/>
    <s v="UAV 965L"/>
    <s v="D"/>
    <n v="2"/>
    <s v="Road Vehicle"/>
    <n v="1"/>
    <x v="0"/>
    <x v="1"/>
    <n v="1"/>
    <x v="0"/>
    <s v="Buwama"/>
    <s v="MASAKA"/>
    <s v="UGA"/>
    <n v="6"/>
    <s v="Leisure/Social"/>
    <s v="Masaka"/>
    <s v="Masaka"/>
    <s v="UGA"/>
    <n v="1"/>
    <s v="Home"/>
    <x v="7"/>
    <n v="20000"/>
    <n v="42"/>
    <x v="1"/>
    <n v="0.7"/>
    <x v="3"/>
    <n v="4"/>
    <s v="Office Worker"/>
    <n v="4"/>
    <x v="3"/>
    <n v="2"/>
    <n v="2"/>
    <n v="1"/>
    <n v="1"/>
    <n v="1"/>
    <s v="Y"/>
    <m/>
    <x v="0"/>
  </r>
  <r>
    <d v="2019-10-18T00:00:00"/>
    <d v="1899-12-30T16:11:00"/>
    <m/>
    <s v="P"/>
    <n v="2"/>
    <s v="Road Vehicle"/>
    <n v="6"/>
    <x v="1"/>
    <x v="0"/>
    <n v="1"/>
    <x v="0"/>
    <s v="Makindye"/>
    <s v="KAMPALA"/>
    <s v="UGA"/>
    <n v="1"/>
    <s v="Home"/>
    <s v="Rukungiri"/>
    <s v="Rukungiri"/>
    <s v="UGA"/>
    <n v="2"/>
    <s v="Work"/>
    <x v="8"/>
    <n v="25000"/>
    <n v="300"/>
    <x v="3"/>
    <n v="4"/>
    <x v="0"/>
    <n v="10"/>
    <s v="Other"/>
    <n v="1"/>
    <x v="2"/>
    <n v="5"/>
    <n v="5"/>
    <n v="5"/>
    <n v="5"/>
    <n v="5"/>
    <s v="Y"/>
    <m/>
    <x v="0"/>
  </r>
  <r>
    <d v="2019-10-18T00:00:00"/>
    <d v="1899-12-30T15:43:00"/>
    <m/>
    <s v="P"/>
    <n v="2"/>
    <s v="Road Vehicle"/>
    <n v="6"/>
    <x v="1"/>
    <x v="0"/>
    <n v="1"/>
    <x v="0"/>
    <s v="Nansana"/>
    <s v="KAMPALA"/>
    <s v="UGA"/>
    <n v="1"/>
    <s v="Home"/>
    <s v="Ishaka"/>
    <s v="Mbarara"/>
    <s v="UGA"/>
    <n v="6"/>
    <s v="Leisure/Social"/>
    <x v="3"/>
    <n v="350000"/>
    <n v="500"/>
    <x v="3"/>
    <n v="6"/>
    <x v="0"/>
    <n v="6"/>
    <s v="Businessman"/>
    <n v="1"/>
    <x v="2"/>
    <n v="5"/>
    <n v="5"/>
    <n v="5"/>
    <n v="5"/>
    <n v="5"/>
    <s v="Y"/>
    <m/>
    <x v="0"/>
  </r>
  <r>
    <d v="2019-10-18T00:00:00"/>
    <d v="1899-12-30T16:35:00"/>
    <m/>
    <s v="P"/>
    <n v="2"/>
    <s v="Road Vehicle"/>
    <n v="6"/>
    <x v="1"/>
    <x v="0"/>
    <n v="1"/>
    <x v="0"/>
    <s v="Gayaza"/>
    <s v="WAKISO"/>
    <s v="UGA"/>
    <n v="1"/>
    <s v="Home"/>
    <s v="Ibanda"/>
    <s v="Ibanda"/>
    <s v="UGA"/>
    <n v="8"/>
    <s v="Others"/>
    <x v="4"/>
    <n v="400000"/>
    <n v="600"/>
    <x v="3"/>
    <n v="7"/>
    <x v="0"/>
    <n v="10"/>
    <s v="Other"/>
    <n v="1"/>
    <x v="2"/>
    <n v="5"/>
    <n v="4"/>
    <n v="4"/>
    <n v="2"/>
    <n v="2"/>
    <s v="Y"/>
    <m/>
    <x v="0"/>
  </r>
  <r>
    <d v="2019-10-20T00:00:00"/>
    <d v="1899-12-30T07:21:00"/>
    <m/>
    <s v="P"/>
    <n v="2"/>
    <s v="Road Vehicle"/>
    <n v="6"/>
    <x v="1"/>
    <x v="0"/>
    <n v="1"/>
    <x v="0"/>
    <s v="Kyengera"/>
    <s v="WAKISO"/>
    <s v="UGA"/>
    <n v="1"/>
    <s v="Home"/>
    <s v="Mbarara"/>
    <s v="Mbarara"/>
    <s v="UGA"/>
    <n v="6"/>
    <s v="Leisure/Social"/>
    <x v="3"/>
    <n v="30000"/>
    <n v="200"/>
    <x v="3"/>
    <n v="4"/>
    <x v="0"/>
    <n v="1"/>
    <s v="Unemployed"/>
    <m/>
    <x v="5"/>
    <n v="2"/>
    <n v="2"/>
    <n v="2"/>
    <n v="3"/>
    <n v="1"/>
    <s v="Y"/>
    <m/>
    <x v="0"/>
  </r>
  <r>
    <d v="2019-10-20T00:00:00"/>
    <d v="1899-12-30T07:13:00"/>
    <m/>
    <s v="P"/>
    <n v="2"/>
    <s v="Road Vehicle"/>
    <n v="6"/>
    <x v="1"/>
    <x v="0"/>
    <n v="1"/>
    <x v="0"/>
    <s v="Kampala"/>
    <s v="KAMPALA"/>
    <s v="UGA"/>
    <n v="3"/>
    <s v="Study"/>
    <s v="Mbarara"/>
    <s v="Mbarara"/>
    <s v="UGA"/>
    <n v="1"/>
    <s v="Home"/>
    <x v="9"/>
    <n v="30000"/>
    <n v="201"/>
    <x v="3"/>
    <n v="4"/>
    <x v="0"/>
    <n v="8"/>
    <s v="Student"/>
    <m/>
    <x v="5"/>
    <n v="1"/>
    <n v="1"/>
    <n v="1"/>
    <n v="1"/>
    <n v="1"/>
    <s v="Y"/>
    <n v="5000"/>
    <x v="2"/>
  </r>
  <r>
    <d v="2019-10-18T00:00:00"/>
    <d v="1899-12-30T19:02:00"/>
    <m/>
    <s v="P"/>
    <n v="2"/>
    <s v="Road Vehicle"/>
    <n v="5"/>
    <x v="5"/>
    <x v="0"/>
    <n v="1"/>
    <x v="0"/>
    <s v="Lukaya"/>
    <s v="MASAKA"/>
    <s v="UGA"/>
    <n v="1"/>
    <s v="Home"/>
    <s v="Masaka"/>
    <s v="Masaka"/>
    <s v="UGA"/>
    <n v="2"/>
    <s v="Work"/>
    <x v="8"/>
    <m/>
    <n v="25"/>
    <x v="5"/>
    <n v="0.8"/>
    <x v="3"/>
    <n v="6"/>
    <s v="Businessman"/>
    <n v="1"/>
    <x v="2"/>
    <n v="2"/>
    <n v="2"/>
    <n v="2"/>
    <n v="5"/>
    <n v="1"/>
    <s v="Y"/>
    <m/>
    <x v="0"/>
  </r>
  <r>
    <d v="2019-10-19T00:00:00"/>
    <d v="1899-12-30T16:59:00"/>
    <m/>
    <s v="P"/>
    <n v="2"/>
    <s v="Road Vehicle"/>
    <n v="5"/>
    <x v="5"/>
    <x v="0"/>
    <n v="1"/>
    <x v="0"/>
    <s v="Kampala"/>
    <s v="KAMPALA"/>
    <s v="UGA"/>
    <n v="2"/>
    <s v="Work"/>
    <s v="Mbarara"/>
    <s v="Mbarara"/>
    <s v="UGA"/>
    <n v="1"/>
    <s v="Home"/>
    <x v="1"/>
    <n v="30000"/>
    <n v="240"/>
    <x v="3"/>
    <n v="5"/>
    <x v="0"/>
    <n v="5"/>
    <s v="Professional"/>
    <n v="3"/>
    <x v="0"/>
    <n v="3"/>
    <n v="2"/>
    <n v="2"/>
    <n v="4"/>
    <n v="5"/>
    <s v="Y"/>
    <m/>
    <x v="0"/>
  </r>
  <r>
    <d v="2019-10-19T00:00:00"/>
    <d v="1899-12-30T13:29:00"/>
    <m/>
    <s v="P"/>
    <n v="2"/>
    <s v="Road Vehicle"/>
    <n v="5"/>
    <x v="5"/>
    <x v="0"/>
    <n v="1"/>
    <x v="0"/>
    <s v="Mbarara"/>
    <s v="Mbarara"/>
    <s v="UGA"/>
    <n v="2"/>
    <s v="Work"/>
    <s v="Masaka"/>
    <s v="Masaka"/>
    <s v="UGA"/>
    <n v="2"/>
    <s v="Work"/>
    <x v="5"/>
    <n v="10000"/>
    <n v="80"/>
    <x v="0"/>
    <n v="2"/>
    <x v="1"/>
    <n v="6"/>
    <s v="Businessman"/>
    <n v="2"/>
    <x v="1"/>
    <n v="1"/>
    <n v="1"/>
    <n v="1"/>
    <n v="2"/>
    <n v="2"/>
    <s v="Y"/>
    <n v="2000"/>
    <x v="4"/>
  </r>
  <r>
    <d v="2019-10-19T00:00:00"/>
    <d v="1899-12-30T10:56:00"/>
    <m/>
    <s v="P"/>
    <n v="2"/>
    <s v="Road Vehicle"/>
    <n v="5"/>
    <x v="5"/>
    <x v="0"/>
    <n v="1"/>
    <x v="0"/>
    <s v="Ssebabule"/>
    <s v="Ssembabule"/>
    <s v="UGA"/>
    <n v="1"/>
    <s v="Home"/>
    <s v="Kampala"/>
    <s v="KAMPALA"/>
    <s v="UGA"/>
    <n v="2"/>
    <s v="Work"/>
    <x v="8"/>
    <n v="26000"/>
    <m/>
    <x v="4"/>
    <n v="4"/>
    <x v="0"/>
    <n v="2"/>
    <s v="Manual Labour"/>
    <n v="1"/>
    <x v="2"/>
    <n v="4"/>
    <n v="2"/>
    <n v="2"/>
    <n v="1"/>
    <n v="1"/>
    <s v="Y"/>
    <m/>
    <x v="0"/>
  </r>
  <r>
    <d v="2019-10-19T00:00:00"/>
    <d v="1899-12-30T08:40:00"/>
    <m/>
    <s v="P"/>
    <n v="2"/>
    <s v="Road Vehicle"/>
    <n v="5"/>
    <x v="5"/>
    <x v="0"/>
    <n v="1"/>
    <x v="0"/>
    <s v="Kampala"/>
    <s v="Kampala"/>
    <s v="UGA"/>
    <n v="1"/>
    <s v="Home"/>
    <s v="Masaka"/>
    <s v="Masaka"/>
    <s v="UGA"/>
    <n v="1"/>
    <s v="Home"/>
    <x v="2"/>
    <n v="15000"/>
    <n v="112"/>
    <x v="2"/>
    <n v="4"/>
    <x v="0"/>
    <n v="3"/>
    <s v="Artisan/Domestic"/>
    <n v="1"/>
    <x v="2"/>
    <n v="4"/>
    <n v="2"/>
    <n v="2"/>
    <n v="2"/>
    <n v="2"/>
    <s v="Y"/>
    <m/>
    <x v="0"/>
  </r>
  <r>
    <d v="2019-10-20T00:00:00"/>
    <d v="1899-12-30T10:17:00"/>
    <m/>
    <s v="P"/>
    <n v="2"/>
    <s v="Road Vehicle"/>
    <n v="5"/>
    <x v="5"/>
    <x v="0"/>
    <n v="1"/>
    <x v="0"/>
    <s v="Kampala"/>
    <s v="Kampala"/>
    <s v="UGA"/>
    <n v="3"/>
    <s v="Study"/>
    <s v="Mbarara"/>
    <s v="Mbarara"/>
    <s v="UGA"/>
    <n v="1"/>
    <s v="Home"/>
    <x v="9"/>
    <n v="30000"/>
    <n v="212"/>
    <x v="3"/>
    <n v="4"/>
    <x v="0"/>
    <n v="8"/>
    <s v="Student"/>
    <n v="1"/>
    <x v="2"/>
    <n v="1"/>
    <n v="1"/>
    <n v="1"/>
    <n v="1"/>
    <n v="1"/>
    <s v="Y"/>
    <m/>
    <x v="0"/>
  </r>
  <r>
    <d v="2019-10-19T00:00:00"/>
    <d v="1899-12-30T17:21:00"/>
    <m/>
    <s v="P"/>
    <n v="2"/>
    <s v="Road Vehicle"/>
    <n v="5"/>
    <x v="5"/>
    <x v="1"/>
    <n v="1"/>
    <x v="0"/>
    <s v="Kyotera"/>
    <s v="Masaka"/>
    <s v="UGA"/>
    <n v="1"/>
    <s v="Home"/>
    <s v="Masaka"/>
    <s v="Masaka"/>
    <s v="UGA"/>
    <n v="2"/>
    <s v="Work"/>
    <x v="8"/>
    <n v="3000"/>
    <n v="24"/>
    <x v="5"/>
    <n v="0.5"/>
    <x v="3"/>
    <n v="5"/>
    <s v="Professional"/>
    <n v="1"/>
    <x v="2"/>
    <m/>
    <m/>
    <m/>
    <m/>
    <m/>
    <s v="Y"/>
    <n v="1000"/>
    <x v="1"/>
  </r>
  <r>
    <d v="2019-10-19T00:00:00"/>
    <d v="1899-12-30T11:24:00"/>
    <m/>
    <s v="P"/>
    <n v="2"/>
    <s v="Road Vehicle"/>
    <n v="5"/>
    <x v="5"/>
    <x v="1"/>
    <n v="1"/>
    <x v="0"/>
    <s v="Mbarara"/>
    <s v="Mbarara"/>
    <s v="UGA"/>
    <n v="2"/>
    <s v="Work"/>
    <s v="Masaka"/>
    <s v="Masaka"/>
    <s v="UGA"/>
    <n v="2"/>
    <s v="Work"/>
    <x v="5"/>
    <n v="10000"/>
    <n v="89"/>
    <x v="0"/>
    <n v="3"/>
    <x v="1"/>
    <n v="4"/>
    <s v="Office Worker"/>
    <n v="5"/>
    <x v="4"/>
    <n v="1"/>
    <n v="1"/>
    <n v="1"/>
    <n v="1"/>
    <n v="1"/>
    <s v="Y"/>
    <n v="7000"/>
    <x v="2"/>
  </r>
  <r>
    <d v="2019-10-20T00:00:00"/>
    <d v="1899-12-30T16:21:00"/>
    <m/>
    <s v="P"/>
    <n v="2"/>
    <s v="Road Vehicle"/>
    <n v="5"/>
    <x v="5"/>
    <x v="1"/>
    <n v="1"/>
    <x v="0"/>
    <s v="Kampala"/>
    <s v="Kampala"/>
    <s v="UGA"/>
    <n v="2"/>
    <s v="Work"/>
    <s v="Kinoni"/>
    <s v="Masaka"/>
    <s v="UGA"/>
    <n v="2"/>
    <s v="Work"/>
    <x v="5"/>
    <n v="20000"/>
    <n v="136"/>
    <x v="2"/>
    <n v="4"/>
    <x v="0"/>
    <n v="6"/>
    <s v="Businessman"/>
    <n v="3"/>
    <x v="0"/>
    <n v="1"/>
    <n v="1"/>
    <n v="1"/>
    <n v="1"/>
    <n v="1"/>
    <s v="Y"/>
    <n v="3000"/>
    <x v="5"/>
  </r>
  <r>
    <d v="2019-10-20T00:00:00"/>
    <d v="1899-12-30T14:24:00"/>
    <m/>
    <s v="P"/>
    <n v="2"/>
    <s v="Road Vehicle"/>
    <n v="5"/>
    <x v="5"/>
    <x v="1"/>
    <n v="1"/>
    <x v="0"/>
    <s v="Kyengera"/>
    <s v="Wakiso"/>
    <s v="UGA"/>
    <n v="2"/>
    <s v="Work"/>
    <s v="Lyantonde"/>
    <s v="Lyantonde"/>
    <s v="UGA"/>
    <n v="1"/>
    <s v="Home"/>
    <x v="1"/>
    <n v="25000"/>
    <n v="186"/>
    <x v="2"/>
    <n v="3"/>
    <x v="1"/>
    <n v="7"/>
    <s v="Farmer"/>
    <n v="4"/>
    <x v="3"/>
    <n v="4"/>
    <n v="4"/>
    <n v="2"/>
    <n v="2"/>
    <n v="2"/>
    <s v="Y"/>
    <n v="4000"/>
    <x v="5"/>
  </r>
  <r>
    <d v="2019-10-19T00:00:00"/>
    <d v="1899-12-30T11:19:00"/>
    <m/>
    <s v="P"/>
    <n v="2"/>
    <s v="Road Vehicle"/>
    <n v="4"/>
    <x v="3"/>
    <x v="0"/>
    <n v="1"/>
    <x v="0"/>
    <s v="Masaka"/>
    <s v="Masaka"/>
    <s v="UGA"/>
    <n v="2"/>
    <s v="Work"/>
    <s v="Kyotera"/>
    <s v="Masaka"/>
    <s v="UGA"/>
    <n v="1"/>
    <s v="Home"/>
    <x v="1"/>
    <n v="3000"/>
    <n v="15"/>
    <x v="6"/>
    <n v="0.8"/>
    <x v="3"/>
    <n v="6"/>
    <s v="Businessman"/>
    <n v="1"/>
    <x v="2"/>
    <n v="2"/>
    <n v="2"/>
    <n v="2"/>
    <n v="5"/>
    <n v="2"/>
    <s v="Y"/>
    <m/>
    <x v="0"/>
  </r>
  <r>
    <d v="2019-10-19T00:00:00"/>
    <d v="1899-12-30T10:43:00"/>
    <m/>
    <s v="P"/>
    <n v="2"/>
    <s v="Road Vehicle"/>
    <n v="4"/>
    <x v="3"/>
    <x v="0"/>
    <n v="1"/>
    <x v="0"/>
    <s v="Lukaya"/>
    <s v="Masaka"/>
    <s v="UGA"/>
    <n v="1"/>
    <s v="Home"/>
    <s v="Masaka"/>
    <s v="Masaka"/>
    <s v="UGA"/>
    <n v="2"/>
    <s v="Work"/>
    <x v="8"/>
    <n v="3000"/>
    <n v="16"/>
    <x v="6"/>
    <n v="0.8"/>
    <x v="3"/>
    <n v="6"/>
    <s v="Businessman"/>
    <n v="1"/>
    <x v="2"/>
    <n v="2"/>
    <n v="4"/>
    <n v="1"/>
    <n v="2"/>
    <n v="1"/>
    <s v="Y"/>
    <m/>
    <x v="0"/>
  </r>
  <r>
    <d v="2019-10-19T00:00:00"/>
    <d v="1899-12-30T14:19:00"/>
    <m/>
    <s v="P"/>
    <n v="2"/>
    <s v="Road Vehicle"/>
    <n v="4"/>
    <x v="3"/>
    <x v="0"/>
    <n v="1"/>
    <x v="0"/>
    <s v="Kinoni"/>
    <s v="Masaka"/>
    <s v="UGA"/>
    <n v="2"/>
    <s v="Work"/>
    <s v="Masaka"/>
    <s v="Masaka"/>
    <s v="UGA"/>
    <n v="1"/>
    <s v="Home"/>
    <x v="1"/>
    <n v="3000"/>
    <n v="18"/>
    <x v="6"/>
    <n v="1.5"/>
    <x v="2"/>
    <n v="6"/>
    <s v="Businessman"/>
    <n v="2"/>
    <x v="1"/>
    <n v="4"/>
    <n v="2"/>
    <n v="4"/>
    <n v="4"/>
    <n v="3"/>
    <s v="Y"/>
    <m/>
    <x v="0"/>
  </r>
  <r>
    <d v="2019-10-19T00:00:00"/>
    <d v="1899-12-30T10:31:00"/>
    <m/>
    <s v="F"/>
    <n v="2"/>
    <s v="Road Vehicle"/>
    <n v="4"/>
    <x v="3"/>
    <x v="0"/>
    <n v="1"/>
    <x v="0"/>
    <s v="Lukaya"/>
    <s v="Masaka"/>
    <s v="UGA"/>
    <n v="2"/>
    <s v="Work"/>
    <s v="Masaka"/>
    <s v="Masaka"/>
    <s v="UGA"/>
    <n v="2"/>
    <s v="Work"/>
    <x v="5"/>
    <n v="3000"/>
    <n v="18"/>
    <x v="6"/>
    <n v="0.5"/>
    <x v="3"/>
    <n v="3"/>
    <s v="Artisan/Domestic"/>
    <n v="1"/>
    <x v="2"/>
    <n v="2"/>
    <n v="2"/>
    <n v="4"/>
    <n v="5"/>
    <n v="5"/>
    <s v="Y"/>
    <m/>
    <x v="0"/>
  </r>
  <r>
    <d v="2019-10-19T00:00:00"/>
    <d v="1899-12-30T07:54:00"/>
    <m/>
    <s v="P"/>
    <n v="2"/>
    <s v="Road Vehicle"/>
    <n v="4"/>
    <x v="3"/>
    <x v="0"/>
    <n v="1"/>
    <x v="0"/>
    <s v="Mbarara"/>
    <s v="Mbarara"/>
    <s v="UGA"/>
    <n v="1"/>
    <s v="Home"/>
    <s v="Masaka"/>
    <s v="Masaka"/>
    <s v="UGA"/>
    <n v="2"/>
    <s v="Work"/>
    <x v="8"/>
    <n v="15000"/>
    <n v="100"/>
    <x v="2"/>
    <n v="4"/>
    <x v="0"/>
    <n v="6"/>
    <s v="Businessman"/>
    <n v="2"/>
    <x v="1"/>
    <n v="2"/>
    <n v="4"/>
    <n v="3"/>
    <n v="3"/>
    <n v="3"/>
    <s v="Y"/>
    <n v="2000"/>
    <x v="4"/>
  </r>
  <r>
    <d v="2019-10-19T00:00:00"/>
    <d v="1899-12-30T18:23:00"/>
    <m/>
    <s v="P"/>
    <n v="2"/>
    <s v="Road Vehicle"/>
    <n v="4"/>
    <x v="3"/>
    <x v="0"/>
    <n v="1"/>
    <x v="0"/>
    <s v="Lukaya"/>
    <s v="Masaka"/>
    <s v="UGA"/>
    <n v="1"/>
    <s v="Home"/>
    <s v="Masaka"/>
    <s v="Masaka"/>
    <s v="UGA"/>
    <n v="6"/>
    <s v="Leisure/Social"/>
    <x v="3"/>
    <n v="5000"/>
    <n v="30"/>
    <x v="5"/>
    <n v="0.5"/>
    <x v="3"/>
    <n v="1"/>
    <s v="Unemployed"/>
    <n v="1"/>
    <x v="2"/>
    <n v="1"/>
    <n v="1"/>
    <n v="1"/>
    <n v="1"/>
    <n v="5"/>
    <s v="Y"/>
    <m/>
    <x v="0"/>
  </r>
  <r>
    <d v="2019-10-19T00:00:00"/>
    <d v="1899-12-30T16:31:00"/>
    <m/>
    <s v="P"/>
    <n v="2"/>
    <s v="Road Vehicle"/>
    <n v="4"/>
    <x v="3"/>
    <x v="0"/>
    <n v="1"/>
    <x v="0"/>
    <s v="Masaka"/>
    <s v="Masaka"/>
    <s v="UGA"/>
    <n v="3"/>
    <s v="Study"/>
    <s v="Lukaya"/>
    <s v="Masaka"/>
    <s v="UGA"/>
    <n v="1"/>
    <s v="Home"/>
    <x v="9"/>
    <n v="3000"/>
    <n v="20"/>
    <x v="5"/>
    <n v="0.3"/>
    <x v="4"/>
    <n v="1"/>
    <s v="Unemployed"/>
    <n v="1"/>
    <x v="2"/>
    <n v="1"/>
    <n v="1"/>
    <n v="1"/>
    <n v="3"/>
    <n v="5"/>
    <s v="Y"/>
    <m/>
    <x v="0"/>
  </r>
  <r>
    <d v="2019-10-19T00:00:00"/>
    <d v="1899-12-30T14:46:00"/>
    <m/>
    <s v="P"/>
    <n v="2"/>
    <s v="Road Vehicle"/>
    <n v="4"/>
    <x v="3"/>
    <x v="0"/>
    <n v="1"/>
    <x v="0"/>
    <s v="Masaka"/>
    <s v="Masaka"/>
    <s v="UGA"/>
    <n v="3"/>
    <s v="Study"/>
    <s v="Lukaya"/>
    <s v="Masaka"/>
    <s v="UGA"/>
    <n v="1"/>
    <s v="Home"/>
    <x v="9"/>
    <n v="3000"/>
    <n v="30"/>
    <x v="5"/>
    <n v="0.5"/>
    <x v="3"/>
    <n v="1"/>
    <s v="Unemployed"/>
    <n v="1"/>
    <x v="2"/>
    <n v="1"/>
    <n v="5"/>
    <n v="5"/>
    <n v="5"/>
    <n v="1"/>
    <s v="Y"/>
    <m/>
    <x v="0"/>
  </r>
  <r>
    <d v="2019-10-20T00:00:00"/>
    <d v="1899-12-30T14:15:00"/>
    <m/>
    <s v="P"/>
    <n v="2"/>
    <s v="Road Vehicle"/>
    <n v="4"/>
    <x v="3"/>
    <x v="0"/>
    <n v="1"/>
    <x v="0"/>
    <s v="Masaka"/>
    <s v="Masaka"/>
    <s v="UGA"/>
    <n v="1"/>
    <s v="Home"/>
    <s v="Kyotera"/>
    <s v="Masaka"/>
    <s v="UGA"/>
    <n v="6"/>
    <s v="Leisure/Social"/>
    <x v="3"/>
    <n v="3000"/>
    <n v="1"/>
    <x v="4"/>
    <n v="0.3"/>
    <x v="4"/>
    <n v="1"/>
    <s v="Unemployed"/>
    <n v="1"/>
    <x v="2"/>
    <n v="1"/>
    <n v="1"/>
    <n v="1"/>
    <n v="5"/>
    <n v="5"/>
    <s v="Y"/>
    <n v="100"/>
    <x v="0"/>
  </r>
  <r>
    <d v="2019-10-20T00:00:00"/>
    <d v="1899-12-30T14:35:00"/>
    <m/>
    <s v="P"/>
    <n v="2"/>
    <s v="Road Vehicle"/>
    <n v="4"/>
    <x v="3"/>
    <x v="0"/>
    <n v="1"/>
    <x v="0"/>
    <s v="Masaka"/>
    <s v="Masaka"/>
    <s v="UGA"/>
    <n v="1"/>
    <s v="Home"/>
    <s v="Nyendo"/>
    <s v="Masaka"/>
    <s v="UGA"/>
    <n v="6"/>
    <s v="Leisure/Social"/>
    <x v="3"/>
    <n v="1000"/>
    <n v="1"/>
    <x v="4"/>
    <n v="0.2"/>
    <x v="4"/>
    <n v="1"/>
    <s v="Unemployed"/>
    <n v="1"/>
    <x v="2"/>
    <n v="1"/>
    <n v="1"/>
    <n v="1"/>
    <n v="1"/>
    <n v="1"/>
    <s v="Y"/>
    <m/>
    <x v="0"/>
  </r>
  <r>
    <d v="2019-10-20T00:00:00"/>
    <d v="1899-12-30T15:16:00"/>
    <m/>
    <s v="P"/>
    <n v="2"/>
    <s v="Road Vehicle"/>
    <n v="4"/>
    <x v="3"/>
    <x v="0"/>
    <n v="1"/>
    <x v="0"/>
    <s v="Masaka"/>
    <s v="Masaka"/>
    <s v="UGA"/>
    <n v="1"/>
    <s v="Home"/>
    <s v="Mutukula"/>
    <s v="Mutukula"/>
    <s v="UGA"/>
    <n v="4"/>
    <s v="Commercial"/>
    <x v="12"/>
    <n v="30000"/>
    <n v="205"/>
    <x v="3"/>
    <n v="4"/>
    <x v="0"/>
    <n v="1"/>
    <s v="Unemployed"/>
    <n v="1"/>
    <x v="2"/>
    <n v="1"/>
    <n v="5"/>
    <n v="5"/>
    <n v="5"/>
    <n v="1"/>
    <s v="Y"/>
    <m/>
    <x v="0"/>
  </r>
  <r>
    <d v="2019-10-20T00:00:00"/>
    <d v="1899-12-30T15:31:00"/>
    <m/>
    <s v="P"/>
    <n v="2"/>
    <s v="Road Vehicle"/>
    <n v="4"/>
    <x v="3"/>
    <x v="0"/>
    <n v="1"/>
    <x v="0"/>
    <s v="Masaka"/>
    <s v="Masaka"/>
    <s v="UGA"/>
    <n v="1"/>
    <s v="Home"/>
    <s v="Kasanje"/>
    <s v="Kasanje"/>
    <s v="UGA"/>
    <n v="6"/>
    <s v="Leisure/Social"/>
    <x v="3"/>
    <n v="5000"/>
    <n v="47"/>
    <x v="1"/>
    <n v="0.6"/>
    <x v="3"/>
    <n v="1"/>
    <s v="Unemployed"/>
    <n v="1"/>
    <x v="2"/>
    <n v="1"/>
    <n v="1"/>
    <n v="5"/>
    <n v="5"/>
    <n v="5"/>
    <s v="Y"/>
    <m/>
    <x v="0"/>
  </r>
  <r>
    <d v="2019-10-20T00:00:00"/>
    <d v="1899-12-30T18:23:00"/>
    <m/>
    <s v="P"/>
    <n v="2"/>
    <s v="Road Vehicle"/>
    <n v="4"/>
    <x v="3"/>
    <x v="0"/>
    <n v="1"/>
    <x v="0"/>
    <s v="Masaka"/>
    <s v="Masaka"/>
    <s v="UGA"/>
    <n v="6"/>
    <s v="Leisure/Social"/>
    <s v="Lukaya"/>
    <s v="Masaka"/>
    <s v="UGA"/>
    <n v="1"/>
    <s v="Home"/>
    <x v="7"/>
    <n v="3000"/>
    <n v="21"/>
    <x v="5"/>
    <n v="0.5"/>
    <x v="3"/>
    <n v="1"/>
    <s v="Unemployed"/>
    <n v="1"/>
    <x v="2"/>
    <n v="1"/>
    <n v="1"/>
    <n v="1"/>
    <n v="1"/>
    <n v="1"/>
    <s v="Y"/>
    <m/>
    <x v="0"/>
  </r>
  <r>
    <d v="2019-10-20T00:00:00"/>
    <d v="1899-12-30T14:31:00"/>
    <m/>
    <s v="P"/>
    <n v="2"/>
    <s v="Road Vehicle"/>
    <n v="4"/>
    <x v="3"/>
    <x v="0"/>
    <n v="1"/>
    <x v="0"/>
    <s v="Kampala"/>
    <s v="Kampala"/>
    <s v="UGA"/>
    <n v="3"/>
    <s v="Study"/>
    <s v="Kyotera"/>
    <s v="Masaka"/>
    <s v="UGA"/>
    <n v="1"/>
    <s v="Home"/>
    <x v="9"/>
    <n v="17000"/>
    <n v="121"/>
    <x v="2"/>
    <n v="4"/>
    <x v="0"/>
    <n v="8"/>
    <s v="Student"/>
    <n v="1"/>
    <x v="2"/>
    <n v="2"/>
    <n v="2"/>
    <n v="1"/>
    <n v="1"/>
    <n v="1"/>
    <s v="Y"/>
    <n v="2000"/>
    <x v="4"/>
  </r>
  <r>
    <d v="2019-10-20T00:00:00"/>
    <d v="1899-12-30T08:34:00"/>
    <m/>
    <s v="P"/>
    <n v="2"/>
    <s v="Road Vehicle"/>
    <n v="4"/>
    <x v="3"/>
    <x v="0"/>
    <n v="1"/>
    <x v="0"/>
    <s v="Kyengera"/>
    <s v="Wakiso"/>
    <s v="UGA"/>
    <n v="6"/>
    <s v="Leisure/Social"/>
    <s v="Masaka"/>
    <s v="Masaka"/>
    <s v="UGA"/>
    <n v="1"/>
    <s v="Home"/>
    <x v="7"/>
    <n v="190000"/>
    <n v="100"/>
    <x v="2"/>
    <n v="3"/>
    <x v="1"/>
    <n v="6"/>
    <s v="Businessman"/>
    <n v="2"/>
    <x v="1"/>
    <n v="2"/>
    <n v="2"/>
    <n v="2"/>
    <n v="2"/>
    <n v="1"/>
    <s v="Y"/>
    <n v="2000"/>
    <x v="4"/>
  </r>
  <r>
    <d v="2019-10-19T00:00:00"/>
    <d v="1899-12-30T16:48:00"/>
    <s v="UBC 357A"/>
    <s v="D"/>
    <n v="2"/>
    <s v="Road Vehicle"/>
    <n v="4"/>
    <x v="3"/>
    <x v="1"/>
    <n v="1"/>
    <x v="0"/>
    <s v="Kampala"/>
    <s v="Kampala"/>
    <s v="UGA"/>
    <n v="2"/>
    <s v="Work"/>
    <s v="Masaka"/>
    <s v="Masaka"/>
    <s v="UGA"/>
    <n v="2"/>
    <s v="Work"/>
    <x v="5"/>
    <n v="100000"/>
    <n v="114"/>
    <x v="2"/>
    <n v="3"/>
    <x v="1"/>
    <n v="5"/>
    <s v="Professional"/>
    <n v="4"/>
    <x v="3"/>
    <n v="1"/>
    <n v="1"/>
    <n v="1"/>
    <n v="1"/>
    <n v="1"/>
    <s v="Y"/>
    <n v="2000"/>
    <x v="4"/>
  </r>
  <r>
    <d v="2019-10-19T00:00:00"/>
    <d v="1899-12-30T15:18:00"/>
    <m/>
    <s v="P"/>
    <n v="2"/>
    <s v="Road Vehicle"/>
    <n v="4"/>
    <x v="3"/>
    <x v="1"/>
    <n v="1"/>
    <x v="0"/>
    <s v="Mukono"/>
    <s v="Mukono"/>
    <s v="UGA"/>
    <n v="4"/>
    <s v="Commercial"/>
    <s v="Masaka"/>
    <s v="Masaka"/>
    <s v="UGA"/>
    <n v="4"/>
    <s v="Commercial"/>
    <x v="13"/>
    <n v="25000"/>
    <n v="142"/>
    <x v="2"/>
    <n v="4"/>
    <x v="0"/>
    <n v="6"/>
    <s v="Businessman"/>
    <n v="4"/>
    <x v="3"/>
    <n v="4"/>
    <n v="2"/>
    <n v="2"/>
    <n v="2"/>
    <n v="2"/>
    <s v="Y"/>
    <n v="4000"/>
    <x v="5"/>
  </r>
  <r>
    <d v="2019-10-19T00:00:00"/>
    <d v="1899-12-30T14:09:00"/>
    <m/>
    <s v="P"/>
    <n v="2"/>
    <s v="Road Vehicle"/>
    <n v="4"/>
    <x v="3"/>
    <x v="1"/>
    <n v="1"/>
    <x v="0"/>
    <s v="Buwama"/>
    <s v="Masaka"/>
    <s v="UGA"/>
    <n v="1"/>
    <s v="Home"/>
    <s v="Masaka"/>
    <s v="Masaka"/>
    <s v="UGA"/>
    <n v="6"/>
    <s v="Leisure/Social"/>
    <x v="3"/>
    <n v="7000"/>
    <n v="34"/>
    <x v="5"/>
    <n v="1"/>
    <x v="2"/>
    <n v="2"/>
    <s v="Manual Labour"/>
    <n v="1"/>
    <x v="2"/>
    <n v="2"/>
    <n v="3"/>
    <n v="2"/>
    <n v="2"/>
    <n v="2"/>
    <s v="Y"/>
    <m/>
    <x v="0"/>
  </r>
  <r>
    <d v="2019-10-19T00:00:00"/>
    <d v="1899-12-30T08:28:00"/>
    <m/>
    <s v="P"/>
    <n v="2"/>
    <s v="Road Vehicle"/>
    <n v="4"/>
    <x v="3"/>
    <x v="1"/>
    <n v="1"/>
    <x v="0"/>
    <s v="Masaka"/>
    <s v="Masaka"/>
    <s v="UGA"/>
    <n v="2"/>
    <s v="Work"/>
    <s v="Mbarara"/>
    <s v="Mbarara"/>
    <s v="UGA"/>
    <n v="2"/>
    <s v="Work"/>
    <x v="5"/>
    <n v="10000"/>
    <m/>
    <x v="4"/>
    <n v="2"/>
    <x v="1"/>
    <n v="6"/>
    <s v="Businessman"/>
    <n v="3"/>
    <x v="0"/>
    <n v="2"/>
    <n v="2"/>
    <n v="2"/>
    <n v="2"/>
    <n v="2"/>
    <s v="Y"/>
    <n v="4000"/>
    <x v="5"/>
  </r>
  <r>
    <d v="2019-10-20T00:00:00"/>
    <d v="1899-12-30T07:15:00"/>
    <m/>
    <s v="P"/>
    <n v="2"/>
    <s v="Road Vehicle"/>
    <n v="4"/>
    <x v="3"/>
    <x v="1"/>
    <n v="1"/>
    <x v="0"/>
    <s v="Mtukula"/>
    <s v="Mtukula"/>
    <s v="UGA"/>
    <n v="1"/>
    <s v="Home"/>
    <s v="Kampala"/>
    <s v="KAMPALA"/>
    <s v="UGA"/>
    <n v="6"/>
    <s v="Leisure/Social"/>
    <x v="3"/>
    <n v="60000"/>
    <n v="420"/>
    <x v="3"/>
    <n v="8"/>
    <x v="0"/>
    <n v="2"/>
    <s v="Manual Labour"/>
    <n v="2"/>
    <x v="1"/>
    <n v="3"/>
    <n v="5"/>
    <n v="1"/>
    <n v="1"/>
    <n v="5"/>
    <s v="Y"/>
    <n v="500"/>
    <x v="0"/>
  </r>
  <r>
    <d v="2019-10-20T00:00:00"/>
    <d v="1899-12-30T16:08:00"/>
    <m/>
    <s v="P"/>
    <n v="2"/>
    <s v="Road Vehicle"/>
    <n v="4"/>
    <x v="3"/>
    <x v="1"/>
    <n v="1"/>
    <x v="0"/>
    <s v="Lukaya"/>
    <s v="Masaka"/>
    <s v="UGA"/>
    <n v="1"/>
    <s v="Home"/>
    <s v="Masaka"/>
    <s v="Masaka"/>
    <s v="UGA"/>
    <n v="6"/>
    <s v="Leisure/Social"/>
    <x v="3"/>
    <n v="3000"/>
    <n v="18"/>
    <x v="6"/>
    <n v="0.3"/>
    <x v="4"/>
    <n v="8"/>
    <s v="Student"/>
    <n v="1"/>
    <x v="2"/>
    <n v="2"/>
    <n v="2"/>
    <n v="2"/>
    <n v="2"/>
    <n v="2"/>
    <s v="Y"/>
    <m/>
    <x v="0"/>
  </r>
  <r>
    <d v="2019-10-20T00:00:00"/>
    <d v="1899-12-30T10:09:00"/>
    <m/>
    <s v="P"/>
    <n v="2"/>
    <s v="Road Vehicle"/>
    <n v="4"/>
    <x v="3"/>
    <x v="1"/>
    <n v="1"/>
    <x v="0"/>
    <s v="Masaka"/>
    <s v="Masaka"/>
    <s v="UGA"/>
    <n v="1"/>
    <s v="Home"/>
    <s v="Kyotera"/>
    <s v="Masaka"/>
    <s v="UGA"/>
    <n v="6"/>
    <s v="Leisure/Social"/>
    <x v="3"/>
    <n v="3000"/>
    <n v="21"/>
    <x v="5"/>
    <n v="0.7"/>
    <x v="3"/>
    <n v="8"/>
    <s v="Student"/>
    <n v="1"/>
    <x v="2"/>
    <n v="2"/>
    <n v="2"/>
    <n v="2"/>
    <n v="2"/>
    <n v="2"/>
    <s v="Y"/>
    <n v="1000"/>
    <x v="1"/>
  </r>
  <r>
    <d v="2019-10-19T00:00:00"/>
    <d v="1899-12-30T16:23:00"/>
    <m/>
    <s v="P"/>
    <n v="2"/>
    <s v="Road Vehicle"/>
    <n v="2"/>
    <x v="4"/>
    <x v="0"/>
    <n v="1"/>
    <x v="0"/>
    <s v="Masaka"/>
    <s v="Masaka"/>
    <s v="UGA"/>
    <n v="3"/>
    <s v="Study"/>
    <s v="Nyendo"/>
    <s v="Masaka"/>
    <s v="UGA"/>
    <n v="1"/>
    <s v="Home"/>
    <x v="9"/>
    <n v="500"/>
    <m/>
    <x v="4"/>
    <n v="0.1"/>
    <x v="4"/>
    <n v="1"/>
    <s v="Unemployed"/>
    <n v="1"/>
    <x v="2"/>
    <n v="1"/>
    <n v="1"/>
    <n v="1"/>
    <n v="1"/>
    <n v="1"/>
    <s v="Y"/>
    <m/>
    <x v="0"/>
  </r>
  <r>
    <d v="2019-10-19T00:00:00"/>
    <d v="1899-12-30T15:24:00"/>
    <m/>
    <s v="P"/>
    <n v="2"/>
    <s v="Road Vehicle"/>
    <n v="2"/>
    <x v="4"/>
    <x v="1"/>
    <n v="1"/>
    <x v="0"/>
    <s v="Nyendo"/>
    <s v="Masaka"/>
    <s v="UGA"/>
    <n v="1"/>
    <s v="Home"/>
    <s v="Masaka"/>
    <s v="Masaka"/>
    <s v="UGA"/>
    <n v="6"/>
    <s v="Leisure/Social"/>
    <x v="3"/>
    <n v="500"/>
    <n v="3"/>
    <x v="4"/>
    <n v="0.1"/>
    <x v="4"/>
    <n v="5"/>
    <s v="Professional"/>
    <n v="4"/>
    <x v="3"/>
    <n v="1"/>
    <n v="1"/>
    <n v="1"/>
    <n v="1"/>
    <n v="1"/>
    <s v="Y"/>
    <n v="3000"/>
    <x v="5"/>
  </r>
  <r>
    <d v="2019-10-19T00:00:00"/>
    <d v="1899-12-30T11:28:00"/>
    <m/>
    <s v="P"/>
    <n v="2"/>
    <s v="Road Vehicle"/>
    <n v="1"/>
    <x v="0"/>
    <x v="0"/>
    <n v="2"/>
    <x v="1"/>
    <s v="Masaka"/>
    <s v="Masaka"/>
    <s v="UGA"/>
    <n v="2"/>
    <s v="Work"/>
    <s v="Kinoni"/>
    <s v="Masaka"/>
    <s v="UGA"/>
    <n v="1"/>
    <s v="Home"/>
    <x v="1"/>
    <n v="3000"/>
    <n v="15"/>
    <x v="6"/>
    <n v="0.8"/>
    <x v="3"/>
    <n v="6"/>
    <s v="Businessman"/>
    <n v="1"/>
    <x v="2"/>
    <n v="5"/>
    <n v="4"/>
    <n v="2"/>
    <n v="2"/>
    <n v="2"/>
    <s v="Y"/>
    <m/>
    <x v="0"/>
  </r>
  <r>
    <d v="2019-10-19T00:00:00"/>
    <d v="1899-12-30T12:45:00"/>
    <s v="UBB 660U"/>
    <s v="D"/>
    <n v="2"/>
    <s v="Road Vehicle"/>
    <n v="1"/>
    <x v="0"/>
    <x v="0"/>
    <n v="2"/>
    <x v="1"/>
    <s v="Masaka"/>
    <s v="Masaka"/>
    <s v="UGA"/>
    <n v="2"/>
    <s v="Work"/>
    <s v="Lukaya"/>
    <s v="Masaka"/>
    <s v="UGA"/>
    <n v="4"/>
    <s v="Commercial"/>
    <x v="21"/>
    <n v="20000"/>
    <n v="10"/>
    <x v="6"/>
    <n v="0.5"/>
    <x v="3"/>
    <n v="10"/>
    <s v="Other"/>
    <n v="1"/>
    <x v="2"/>
    <n v="2"/>
    <n v="3"/>
    <n v="2"/>
    <n v="2"/>
    <n v="2"/>
    <s v="Y"/>
    <n v="1000"/>
    <x v="1"/>
  </r>
  <r>
    <d v="2019-10-19T00:00:00"/>
    <d v="1899-12-30T10:00:00"/>
    <m/>
    <s v="P"/>
    <n v="2"/>
    <s v="Road Vehicle"/>
    <n v="1"/>
    <x v="0"/>
    <x v="0"/>
    <n v="2"/>
    <x v="1"/>
    <s v="Masaka"/>
    <s v="Masaka"/>
    <s v="UGA"/>
    <n v="2"/>
    <s v="Work"/>
    <s v="Matete"/>
    <s v="Masaka"/>
    <s v="UGA"/>
    <n v="1"/>
    <s v="Home"/>
    <x v="1"/>
    <n v="7000"/>
    <n v="40"/>
    <x v="1"/>
    <n v="1.5"/>
    <x v="2"/>
    <n v="6"/>
    <s v="Businessman"/>
    <n v="1"/>
    <x v="2"/>
    <n v="2"/>
    <n v="2"/>
    <n v="2"/>
    <n v="2"/>
    <n v="2"/>
    <s v="Y"/>
    <m/>
    <x v="0"/>
  </r>
  <r>
    <d v="2019-10-19T00:00:00"/>
    <d v="1899-12-30T10:00:00"/>
    <m/>
    <s v="P"/>
    <n v="2"/>
    <s v="Road Vehicle"/>
    <n v="1"/>
    <x v="0"/>
    <x v="0"/>
    <n v="2"/>
    <x v="1"/>
    <s v="Masaka"/>
    <s v="Masaka"/>
    <s v="UGA"/>
    <n v="2"/>
    <s v="Work"/>
    <s v="Matete"/>
    <s v="Masaka"/>
    <s v="UGA"/>
    <n v="1"/>
    <s v="Home"/>
    <x v="1"/>
    <n v="7000"/>
    <n v="40"/>
    <x v="1"/>
    <n v="1.5"/>
    <x v="2"/>
    <n v="6"/>
    <s v="Businessman"/>
    <n v="1"/>
    <x v="2"/>
    <n v="2"/>
    <n v="2"/>
    <n v="2"/>
    <n v="2"/>
    <n v="2"/>
    <s v="Y"/>
    <m/>
    <x v="0"/>
  </r>
  <r>
    <d v="2019-10-19T00:00:00"/>
    <d v="1899-12-30T17:16:00"/>
    <s v="UAZ 022T"/>
    <s v="D"/>
    <n v="2"/>
    <s v="Road Vehicle"/>
    <n v="1"/>
    <x v="0"/>
    <x v="0"/>
    <n v="2"/>
    <x v="1"/>
    <s v="Nyendo"/>
    <s v="Masaka"/>
    <s v="UGA"/>
    <n v="1"/>
    <s v="Home"/>
    <s v="Masaka"/>
    <s v="Masaka"/>
    <s v="UGA"/>
    <n v="6"/>
    <s v="Leisure/Social"/>
    <x v="3"/>
    <n v="5000"/>
    <n v="6"/>
    <x v="4"/>
    <n v="0.2"/>
    <x v="4"/>
    <n v="5"/>
    <s v="Professional"/>
    <n v="3"/>
    <x v="0"/>
    <n v="1"/>
    <n v="1"/>
    <n v="1"/>
    <n v="1"/>
    <n v="1"/>
    <s v="Y"/>
    <m/>
    <x v="0"/>
  </r>
  <r>
    <d v="2019-10-19T00:00:00"/>
    <d v="1899-12-30T11:30:00"/>
    <m/>
    <s v="P"/>
    <n v="2"/>
    <s v="Road Vehicle"/>
    <n v="1"/>
    <x v="0"/>
    <x v="0"/>
    <n v="2"/>
    <x v="1"/>
    <s v="Masaka"/>
    <s v="Masaka"/>
    <s v="UGA"/>
    <n v="4"/>
    <s v="Commercial"/>
    <s v="Nyendo"/>
    <s v="Masaka"/>
    <s v="UGA"/>
    <n v="1"/>
    <s v="Home"/>
    <x v="0"/>
    <n v="1000"/>
    <n v="8"/>
    <x v="4"/>
    <n v="4"/>
    <x v="0"/>
    <n v="6"/>
    <s v="Businessman"/>
    <n v="1"/>
    <x v="2"/>
    <n v="4"/>
    <n v="2"/>
    <n v="4"/>
    <n v="2"/>
    <n v="2"/>
    <s v="Y"/>
    <m/>
    <x v="0"/>
  </r>
  <r>
    <d v="2019-10-19T00:00:00"/>
    <d v="1899-12-30T17:49:00"/>
    <m/>
    <s v="P"/>
    <n v="2"/>
    <s v="Road Vehicle"/>
    <n v="1"/>
    <x v="0"/>
    <x v="0"/>
    <n v="2"/>
    <x v="1"/>
    <s v="Masaka"/>
    <s v="Masaka"/>
    <s v="UGA"/>
    <n v="6"/>
    <s v="Leisure/Social"/>
    <s v="Matete"/>
    <s v="Masaka"/>
    <s v="UGA"/>
    <n v="6"/>
    <s v="Leisure/Social"/>
    <x v="17"/>
    <n v="4000"/>
    <n v="20"/>
    <x v="5"/>
    <n v="0.3"/>
    <x v="4"/>
    <n v="2"/>
    <s v="Manual Labour"/>
    <n v="1"/>
    <x v="2"/>
    <n v="4"/>
    <n v="3"/>
    <n v="4"/>
    <n v="5"/>
    <n v="3"/>
    <s v="Y"/>
    <n v="2000"/>
    <x v="4"/>
  </r>
  <r>
    <d v="2019-10-19T00:00:00"/>
    <d v="1899-12-30T16:55:00"/>
    <m/>
    <s v="P"/>
    <n v="2"/>
    <s v="Road Vehicle"/>
    <n v="1"/>
    <x v="0"/>
    <x v="0"/>
    <n v="2"/>
    <x v="1"/>
    <s v="Masaka"/>
    <s v="Masaka"/>
    <s v="UGA"/>
    <n v="6"/>
    <s v="Leisure/Social"/>
    <s v="Nyendo"/>
    <s v="Masaka"/>
    <s v="UGA"/>
    <n v="6"/>
    <s v="Leisure/Social"/>
    <x v="17"/>
    <n v="1000"/>
    <n v="1"/>
    <x v="4"/>
    <n v="0.1"/>
    <x v="4"/>
    <n v="1"/>
    <s v="Unemployed"/>
    <n v="1"/>
    <x v="2"/>
    <n v="1"/>
    <n v="1"/>
    <n v="1"/>
    <n v="1"/>
    <n v="1"/>
    <s v="Y"/>
    <n v="1000"/>
    <x v="1"/>
  </r>
  <r>
    <d v="2019-10-20T00:00:00"/>
    <d v="1899-12-30T15:07:00"/>
    <s v="UBF 499S"/>
    <s v="D"/>
    <n v="2"/>
    <s v="Road Vehicle"/>
    <n v="1"/>
    <x v="0"/>
    <x v="0"/>
    <n v="2"/>
    <x v="1"/>
    <s v="Buwama"/>
    <s v="Masaka"/>
    <s v="UGA"/>
    <n v="1"/>
    <s v="Home"/>
    <s v="Masaka"/>
    <s v="Masaka"/>
    <s v="UGA"/>
    <n v="6"/>
    <s v="Leisure/Social"/>
    <x v="3"/>
    <n v="20000"/>
    <n v="43"/>
    <x v="1"/>
    <n v="1"/>
    <x v="2"/>
    <n v="6"/>
    <s v="Businessman"/>
    <n v="4"/>
    <x v="3"/>
    <n v="1"/>
    <n v="1"/>
    <n v="1"/>
    <n v="1"/>
    <n v="1"/>
    <s v="Y"/>
    <m/>
    <x v="0"/>
  </r>
  <r>
    <d v="2019-10-20T00:00:00"/>
    <d v="1899-12-30T14:10:00"/>
    <s v="UAX 023P"/>
    <s v="D"/>
    <n v="2"/>
    <s v="Road Vehicle"/>
    <n v="1"/>
    <x v="0"/>
    <x v="0"/>
    <n v="2"/>
    <x v="1"/>
    <s v="Nyendo"/>
    <s v="Masaka"/>
    <s v="UGA"/>
    <n v="2"/>
    <s v="Work"/>
    <s v="Matete"/>
    <s v="Masaka"/>
    <s v="UGA"/>
    <n v="2"/>
    <s v="Work"/>
    <x v="5"/>
    <n v="15000"/>
    <n v="24"/>
    <x v="5"/>
    <n v="0.5"/>
    <x v="3"/>
    <n v="4"/>
    <s v="Office Worker"/>
    <n v="5"/>
    <x v="4"/>
    <n v="2"/>
    <n v="1"/>
    <n v="1"/>
    <n v="2"/>
    <n v="2"/>
    <s v="Y"/>
    <n v="3000"/>
    <x v="5"/>
  </r>
  <r>
    <d v="2019-10-20T00:00:00"/>
    <d v="1899-12-30T07:33:00"/>
    <m/>
    <s v="P"/>
    <n v="2"/>
    <s v="Road Vehicle"/>
    <n v="1"/>
    <x v="0"/>
    <x v="0"/>
    <n v="2"/>
    <x v="1"/>
    <s v="Nyendo"/>
    <s v="Masaka"/>
    <s v="UGA"/>
    <n v="1"/>
    <s v="Home"/>
    <s v="Masaka"/>
    <s v="Masaka"/>
    <s v="UGA"/>
    <n v="6"/>
    <s v="Leisure/Social"/>
    <x v="3"/>
    <n v="500"/>
    <n v="7"/>
    <x v="4"/>
    <n v="0.1"/>
    <x v="4"/>
    <n v="5"/>
    <s v="Professional"/>
    <n v="1"/>
    <x v="2"/>
    <n v="2"/>
    <n v="2"/>
    <n v="4"/>
    <n v="2"/>
    <n v="2"/>
    <s v="Y"/>
    <n v="1000"/>
    <x v="1"/>
  </r>
  <r>
    <d v="2019-10-19T00:00:00"/>
    <d v="1899-12-30T11:35:00"/>
    <m/>
    <s v="D"/>
    <n v="2"/>
    <s v="Road Vehicle"/>
    <n v="1"/>
    <x v="0"/>
    <x v="1"/>
    <n v="2"/>
    <x v="1"/>
    <s v="Masaka"/>
    <s v="Masaka"/>
    <s v="UGA"/>
    <n v="2"/>
    <s v="Work"/>
    <s v="Kinoni"/>
    <s v="Masaka"/>
    <s v="UGA"/>
    <n v="1"/>
    <s v="Home"/>
    <x v="1"/>
    <n v="20000"/>
    <n v="15"/>
    <x v="6"/>
    <n v="0.8"/>
    <x v="3"/>
    <n v="5"/>
    <s v="Professional"/>
    <n v="1"/>
    <x v="2"/>
    <n v="2"/>
    <n v="5"/>
    <n v="5"/>
    <n v="5"/>
    <n v="5"/>
    <s v="Y"/>
    <n v="2000"/>
    <x v="4"/>
  </r>
  <r>
    <d v="2019-10-19T00:00:00"/>
    <d v="1899-12-30T12:33:00"/>
    <m/>
    <s v="D"/>
    <n v="2"/>
    <s v="Road Vehicle"/>
    <n v="1"/>
    <x v="0"/>
    <x v="1"/>
    <n v="2"/>
    <x v="1"/>
    <s v="Buwama"/>
    <s v="Masaka"/>
    <s v="UGA"/>
    <n v="2"/>
    <s v="Work"/>
    <s v="Masaka"/>
    <s v="Masaka"/>
    <s v="UGA"/>
    <n v="7"/>
    <s v="Hospital"/>
    <x v="15"/>
    <n v="30000"/>
    <n v="25"/>
    <x v="5"/>
    <n v="1.5"/>
    <x v="2"/>
    <n v="10"/>
    <s v="Other"/>
    <n v="1"/>
    <x v="2"/>
    <n v="2"/>
    <n v="2"/>
    <n v="2"/>
    <n v="2"/>
    <n v="2"/>
    <s v="Y"/>
    <m/>
    <x v="0"/>
  </r>
  <r>
    <d v="2019-10-19T00:00:00"/>
    <d v="1899-12-30T18:33:00"/>
    <s v="UAY 467Y"/>
    <s v="D"/>
    <n v="2"/>
    <s v="Road Vehicle"/>
    <n v="1"/>
    <x v="0"/>
    <x v="1"/>
    <n v="2"/>
    <x v="1"/>
    <s v="Masaka"/>
    <s v="Masaka"/>
    <s v="UGA"/>
    <n v="2"/>
    <s v="Work"/>
    <s v="Kinoni"/>
    <s v="Masaka"/>
    <s v="UGA"/>
    <n v="8"/>
    <s v="Others"/>
    <x v="6"/>
    <n v="30000"/>
    <n v="16"/>
    <x v="6"/>
    <n v="0.8"/>
    <x v="3"/>
    <n v="10"/>
    <s v="Other"/>
    <n v="1"/>
    <x v="2"/>
    <n v="5"/>
    <n v="4"/>
    <n v="5"/>
    <n v="5"/>
    <n v="5"/>
    <s v="Y"/>
    <m/>
    <x v="0"/>
  </r>
  <r>
    <d v="2019-10-19T00:00:00"/>
    <d v="1899-12-30T10:08:00"/>
    <s v="UBD 659M"/>
    <s v="D"/>
    <n v="2"/>
    <s v="Road Vehicle"/>
    <n v="1"/>
    <x v="0"/>
    <x v="1"/>
    <n v="2"/>
    <x v="1"/>
    <s v="Masaka"/>
    <s v="Masaka"/>
    <s v="UGA"/>
    <n v="2"/>
    <s v="Work"/>
    <s v="Matete"/>
    <s v="Masaka"/>
    <s v="UGA"/>
    <n v="8"/>
    <s v="Others"/>
    <x v="6"/>
    <n v="50000"/>
    <n v="42"/>
    <x v="1"/>
    <n v="1.5"/>
    <x v="2"/>
    <n v="5"/>
    <s v="Professional"/>
    <n v="1"/>
    <x v="2"/>
    <n v="5"/>
    <n v="5"/>
    <n v="5"/>
    <n v="4"/>
    <n v="4"/>
    <s v="Y"/>
    <n v="2000"/>
    <x v="4"/>
  </r>
  <r>
    <d v="2019-10-19T00:00:00"/>
    <d v="1899-12-30T10:08:00"/>
    <s v="UBD 659G"/>
    <s v="D"/>
    <n v="2"/>
    <s v="Road Vehicle"/>
    <n v="1"/>
    <x v="0"/>
    <x v="1"/>
    <n v="2"/>
    <x v="1"/>
    <s v="Masaka"/>
    <s v="Masaka"/>
    <s v="UGA"/>
    <n v="2"/>
    <s v="Work"/>
    <s v="Matete"/>
    <s v="Masaka"/>
    <s v="UGA"/>
    <n v="8"/>
    <s v="Others"/>
    <x v="6"/>
    <n v="50000"/>
    <n v="42"/>
    <x v="1"/>
    <n v="1.5"/>
    <x v="2"/>
    <n v="5"/>
    <s v="Professional"/>
    <n v="1"/>
    <x v="2"/>
    <n v="5"/>
    <n v="5"/>
    <n v="5"/>
    <n v="4"/>
    <n v="4"/>
    <s v="Y"/>
    <n v="2000"/>
    <x v="4"/>
  </r>
  <r>
    <d v="2019-10-19T00:00:00"/>
    <d v="1899-12-30T09:55:00"/>
    <s v="UAZ 372Y"/>
    <s v="D"/>
    <n v="2"/>
    <s v="Road Vehicle"/>
    <n v="1"/>
    <x v="0"/>
    <x v="1"/>
    <n v="2"/>
    <x v="1"/>
    <s v="Masaka"/>
    <s v="Masaka"/>
    <s v="UGA"/>
    <n v="2"/>
    <s v="Work"/>
    <s v="Kampala"/>
    <s v="KAMPALA"/>
    <s v="UGA"/>
    <n v="8"/>
    <s v="Others"/>
    <x v="6"/>
    <n v="40000"/>
    <n v="45"/>
    <x v="1"/>
    <n v="2"/>
    <x v="1"/>
    <n v="10"/>
    <s v="Other"/>
    <n v="1"/>
    <x v="2"/>
    <n v="2"/>
    <n v="2"/>
    <n v="2"/>
    <n v="2"/>
    <n v="2"/>
    <s v="Y"/>
    <n v="1000"/>
    <x v="1"/>
  </r>
  <r>
    <d v="2019-10-19T00:00:00"/>
    <d v="1899-12-30T17:30:00"/>
    <m/>
    <s v="D"/>
    <n v="2"/>
    <s v="Road Vehicle"/>
    <n v="1"/>
    <x v="0"/>
    <x v="1"/>
    <n v="2"/>
    <x v="1"/>
    <s v="Nyendo"/>
    <s v="Masaka"/>
    <s v="UGA"/>
    <n v="1"/>
    <s v="Home"/>
    <s v="Masaka"/>
    <s v="Masaka"/>
    <s v="UGA"/>
    <n v="6"/>
    <s v="Leisure/Social"/>
    <x v="3"/>
    <n v="5000"/>
    <n v="6"/>
    <x v="4"/>
    <n v="0.1"/>
    <x v="4"/>
    <n v="4"/>
    <s v="Office Worker"/>
    <n v="3"/>
    <x v="0"/>
    <n v="1"/>
    <n v="1"/>
    <n v="1"/>
    <n v="1"/>
    <n v="2"/>
    <s v="Y"/>
    <n v="4000"/>
    <x v="5"/>
  </r>
  <r>
    <d v="2019-10-19T00:00:00"/>
    <d v="1899-12-30T15:22:00"/>
    <m/>
    <s v="P"/>
    <n v="2"/>
    <s v="Road Vehicle"/>
    <n v="1"/>
    <x v="0"/>
    <x v="1"/>
    <n v="2"/>
    <x v="1"/>
    <s v="Buwama"/>
    <s v="Masaka"/>
    <s v="UGA"/>
    <n v="1"/>
    <s v="Home"/>
    <s v="Masaka"/>
    <s v="Masaka"/>
    <s v="UGA"/>
    <n v="6"/>
    <s v="Leisure/Social"/>
    <x v="3"/>
    <n v="7000"/>
    <n v="31"/>
    <x v="5"/>
    <n v="0.7"/>
    <x v="3"/>
    <n v="7"/>
    <s v="Farmer"/>
    <n v="2"/>
    <x v="1"/>
    <n v="2"/>
    <n v="2"/>
    <n v="2"/>
    <n v="2"/>
    <n v="2"/>
    <s v="Y"/>
    <n v="1000"/>
    <x v="1"/>
  </r>
  <r>
    <d v="2019-10-19T00:00:00"/>
    <d v="1899-12-30T15:37:00"/>
    <s v="UBD 789V"/>
    <s v="D"/>
    <n v="2"/>
    <s v="Road Vehicle"/>
    <n v="1"/>
    <x v="0"/>
    <x v="1"/>
    <n v="2"/>
    <x v="1"/>
    <s v="Masaka"/>
    <s v="Masaka"/>
    <s v="UGA"/>
    <n v="1"/>
    <s v="Home"/>
    <s v="Nyendo"/>
    <s v="Masaka"/>
    <s v="UGA"/>
    <n v="4"/>
    <s v="Commercial"/>
    <x v="12"/>
    <n v="5000"/>
    <n v="0.2"/>
    <x v="4"/>
    <n v="0.2"/>
    <x v="4"/>
    <n v="2"/>
    <s v="Manual Labour"/>
    <n v="2"/>
    <x v="1"/>
    <n v="1"/>
    <n v="1"/>
    <n v="5"/>
    <n v="1"/>
    <n v="1"/>
    <s v="Y"/>
    <n v="2000"/>
    <x v="4"/>
  </r>
  <r>
    <d v="2019-10-20T00:00:00"/>
    <m/>
    <s v="UAR 466H"/>
    <s v="D"/>
    <n v="2"/>
    <s v="Road Vehicle"/>
    <n v="1"/>
    <x v="0"/>
    <x v="1"/>
    <n v="2"/>
    <x v="1"/>
    <s v="Masaka"/>
    <s v="Masaka"/>
    <s v="UGA"/>
    <n v="4"/>
    <s v="Commercial"/>
    <s v="Baggu"/>
    <s v="Masaka"/>
    <s v="UGA"/>
    <n v="4"/>
    <s v="Commercial"/>
    <x v="13"/>
    <n v="20000"/>
    <n v="20"/>
    <x v="5"/>
    <n v="0.3"/>
    <x v="4"/>
    <n v="10"/>
    <s v="Other"/>
    <n v="2"/>
    <x v="1"/>
    <n v="1"/>
    <n v="1"/>
    <n v="1"/>
    <n v="1"/>
    <n v="1"/>
    <s v="Y"/>
    <n v="1000"/>
    <x v="1"/>
  </r>
  <r>
    <d v="2019-10-20T00:00:00"/>
    <m/>
    <m/>
    <s v="P"/>
    <n v="2"/>
    <s v="Road Vehicle"/>
    <n v="1"/>
    <x v="0"/>
    <x v="1"/>
    <n v="2"/>
    <x v="1"/>
    <s v="Masaka"/>
    <s v="Masaka"/>
    <s v="UGA"/>
    <n v="4"/>
    <s v="Commercial"/>
    <s v="Lukaya"/>
    <s v="Masaka"/>
    <s v="UGA"/>
    <n v="1"/>
    <s v="Home"/>
    <x v="0"/>
    <n v="3000"/>
    <n v="30"/>
    <x v="5"/>
    <n v="0.5"/>
    <x v="3"/>
    <n v="2"/>
    <s v="Manual Labour"/>
    <n v="1"/>
    <x v="2"/>
    <n v="1"/>
    <n v="1"/>
    <n v="1"/>
    <n v="1"/>
    <n v="1"/>
    <s v="Y"/>
    <m/>
    <x v="0"/>
  </r>
  <r>
    <d v="2019-10-20T00:00:00"/>
    <d v="1899-12-30T08:34:00"/>
    <m/>
    <s v="P"/>
    <n v="2"/>
    <s v="Road Vehicle"/>
    <n v="1"/>
    <x v="0"/>
    <x v="1"/>
    <n v="2"/>
    <x v="1"/>
    <s v="Kakoma"/>
    <s v="Kakoma"/>
    <s v="UGA"/>
    <n v="6"/>
    <s v="Leisure/Social"/>
    <s v="Kampala"/>
    <s v="KAMPALA"/>
    <s v="UGA"/>
    <n v="6"/>
    <s v="Leisure/Social"/>
    <x v="17"/>
    <n v="30000"/>
    <n v="320"/>
    <x v="3"/>
    <n v="3"/>
    <x v="1"/>
    <n v="2"/>
    <s v="Manual Labour"/>
    <n v="1"/>
    <x v="2"/>
    <m/>
    <m/>
    <m/>
    <m/>
    <m/>
    <s v="Y"/>
    <m/>
    <x v="0"/>
  </r>
  <r>
    <d v="2019-10-20T00:00:00"/>
    <d v="1899-12-30T09:25:00"/>
    <m/>
    <s v="P"/>
    <n v="2"/>
    <s v="Road Vehicle"/>
    <n v="1"/>
    <x v="0"/>
    <x v="1"/>
    <n v="2"/>
    <x v="1"/>
    <s v="Kakoma"/>
    <s v="Kakoma"/>
    <s v="UGA"/>
    <n v="1"/>
    <s v="Home"/>
    <s v="Kampala"/>
    <s v="KAMPALA"/>
    <s v="UGA"/>
    <n v="6"/>
    <s v="Leisure/Social"/>
    <x v="3"/>
    <n v="20000"/>
    <n v="280"/>
    <x v="3"/>
    <n v="4"/>
    <x v="0"/>
    <n v="2"/>
    <s v="Manual Labour"/>
    <n v="3"/>
    <x v="0"/>
    <n v="1"/>
    <n v="1"/>
    <n v="1"/>
    <n v="5"/>
    <n v="5"/>
    <s v="Y"/>
    <n v="5000"/>
    <x v="2"/>
  </r>
  <r>
    <d v="2019-10-20T00:00:00"/>
    <d v="1899-12-30T10:36:00"/>
    <m/>
    <s v="D"/>
    <n v="2"/>
    <s v="Road Vehicle"/>
    <n v="1"/>
    <x v="0"/>
    <x v="1"/>
    <n v="2"/>
    <x v="1"/>
    <s v="Kiwagala"/>
    <s v="Kiwagala"/>
    <s v="UGA"/>
    <n v="1"/>
    <s v="Home"/>
    <s v="Lukaya"/>
    <s v="Masaka"/>
    <s v="UGA"/>
    <n v="4"/>
    <s v="Commercial"/>
    <x v="12"/>
    <n v="50000"/>
    <n v="87"/>
    <x v="0"/>
    <n v="1.5"/>
    <x v="2"/>
    <n v="5"/>
    <s v="Professional"/>
    <n v="3"/>
    <x v="0"/>
    <n v="1"/>
    <n v="1"/>
    <n v="1"/>
    <n v="1"/>
    <n v="1"/>
    <s v="Y"/>
    <n v="5000"/>
    <x v="2"/>
  </r>
  <r>
    <d v="2019-10-20T00:00:00"/>
    <d v="1899-12-30T14:57:00"/>
    <m/>
    <s v="D"/>
    <n v="2"/>
    <s v="Road Vehicle"/>
    <n v="1"/>
    <x v="0"/>
    <x v="1"/>
    <n v="2"/>
    <x v="1"/>
    <s v="Masaka"/>
    <s v="Masaka"/>
    <s v="UGA"/>
    <n v="4"/>
    <s v="Commercial"/>
    <s v="Kitemu"/>
    <s v="Kitemu"/>
    <s v="UGA"/>
    <n v="4"/>
    <s v="Commercial"/>
    <x v="13"/>
    <n v="200000"/>
    <n v="137"/>
    <x v="2"/>
    <n v="2"/>
    <x v="1"/>
    <n v="5"/>
    <s v="Professional"/>
    <n v="2"/>
    <x v="1"/>
    <n v="1"/>
    <n v="1"/>
    <n v="5"/>
    <n v="5"/>
    <n v="5"/>
    <s v="Y"/>
    <n v="1000"/>
    <x v="1"/>
  </r>
  <r>
    <d v="2019-10-20T00:00:00"/>
    <d v="1899-12-30T16:28:00"/>
    <m/>
    <s v="D"/>
    <n v="2"/>
    <s v="Road Vehicle"/>
    <n v="1"/>
    <x v="0"/>
    <x v="1"/>
    <n v="2"/>
    <x v="1"/>
    <s v="Masaka"/>
    <s v="Masaka"/>
    <s v="UGA"/>
    <n v="4"/>
    <s v="Commercial"/>
    <s v="Matete"/>
    <s v="Masaka"/>
    <s v="UGA"/>
    <n v="4"/>
    <s v="Commercial"/>
    <x v="13"/>
    <n v="20000"/>
    <m/>
    <x v="4"/>
    <m/>
    <x v="4"/>
    <n v="5"/>
    <s v="Professional"/>
    <n v="2"/>
    <x v="1"/>
    <n v="5"/>
    <n v="4"/>
    <n v="4"/>
    <n v="1"/>
    <n v="3"/>
    <s v="Y"/>
    <n v="3000"/>
    <x v="5"/>
  </r>
  <r>
    <d v="2019-10-20T00:00:00"/>
    <d v="1899-12-30T18:15:00"/>
    <m/>
    <s v="P"/>
    <n v="2"/>
    <s v="Road Vehicle"/>
    <n v="1"/>
    <x v="0"/>
    <x v="1"/>
    <n v="2"/>
    <x v="1"/>
    <s v="Mutukula"/>
    <s v="Mutukula"/>
    <s v="UGA"/>
    <n v="1"/>
    <s v="Home"/>
    <s v="Kampala"/>
    <s v="KAMPALA"/>
    <s v="UGA"/>
    <n v="4"/>
    <s v="Commercial"/>
    <x v="12"/>
    <n v="60000"/>
    <n v="380"/>
    <x v="3"/>
    <n v="6"/>
    <x v="0"/>
    <n v="7"/>
    <s v="Farmer"/>
    <n v="2"/>
    <x v="1"/>
    <n v="5"/>
    <n v="5"/>
    <n v="5"/>
    <n v="1"/>
    <n v="5"/>
    <s v="Y"/>
    <n v="3000"/>
    <x v="5"/>
  </r>
  <r>
    <d v="2019-10-20T00:00:00"/>
    <d v="1899-12-30T16:29:00"/>
    <s v="UAZ 209K"/>
    <s v="D"/>
    <n v="2"/>
    <s v="Road Vehicle"/>
    <n v="1"/>
    <x v="0"/>
    <x v="1"/>
    <n v="2"/>
    <x v="1"/>
    <s v="Buwama"/>
    <s v="Masaka"/>
    <s v="UGA"/>
    <n v="1"/>
    <s v="Home"/>
    <s v="Masaka"/>
    <s v="Masaka"/>
    <s v="UGA"/>
    <n v="7"/>
    <s v="Hospital"/>
    <x v="26"/>
    <n v="20000"/>
    <n v="41"/>
    <x v="1"/>
    <n v="0.5"/>
    <x v="3"/>
    <n v="6"/>
    <s v="Businessman"/>
    <n v="4"/>
    <x v="3"/>
    <n v="2"/>
    <n v="2"/>
    <n v="1"/>
    <n v="1"/>
    <n v="1"/>
    <s v="Y"/>
    <n v="4000"/>
    <x v="5"/>
  </r>
  <r>
    <d v="2019-10-18T00:00:00"/>
    <d v="1899-12-30T15:51:00"/>
    <m/>
    <s v="P"/>
    <n v="2"/>
    <s v="Road Vehicle"/>
    <n v="6"/>
    <x v="1"/>
    <x v="0"/>
    <n v="2"/>
    <x v="1"/>
    <s v="Mukono"/>
    <s v="Mukono"/>
    <s v="UGA"/>
    <n v="1"/>
    <s v="Home"/>
    <s v="Ishaka"/>
    <s v="Mbarara"/>
    <s v="UGA"/>
    <n v="8"/>
    <s v="Others"/>
    <x v="4"/>
    <n v="350000"/>
    <n v="500"/>
    <x v="3"/>
    <n v="5"/>
    <x v="0"/>
    <n v="10"/>
    <s v="Other"/>
    <n v="1"/>
    <x v="2"/>
    <n v="5"/>
    <n v="5"/>
    <n v="5"/>
    <n v="5"/>
    <n v="5"/>
    <s v="Y"/>
    <m/>
    <x v="0"/>
  </r>
  <r>
    <d v="2019-10-18T00:00:00"/>
    <d v="1899-12-30T17:45:00"/>
    <m/>
    <s v="P"/>
    <n v="2"/>
    <s v="Road Vehicle"/>
    <n v="6"/>
    <x v="1"/>
    <x v="0"/>
    <n v="2"/>
    <x v="1"/>
    <s v="Kololo"/>
    <s v="Kampala"/>
    <s v="UGA"/>
    <n v="2"/>
    <s v="Work"/>
    <s v="Mbarara"/>
    <s v="Mbarara"/>
    <s v="UGA"/>
    <n v="1"/>
    <s v="Home"/>
    <x v="1"/>
    <n v="250000"/>
    <n v="150"/>
    <x v="2"/>
    <n v="4"/>
    <x v="0"/>
    <n v="6"/>
    <s v="Businessman"/>
    <n v="1"/>
    <x v="2"/>
    <n v="5"/>
    <n v="4"/>
    <n v="2"/>
    <n v="2"/>
    <n v="1"/>
    <s v="Y"/>
    <m/>
    <x v="0"/>
  </r>
  <r>
    <d v="2019-10-18T00:00:00"/>
    <d v="1899-12-30T18:21:00"/>
    <m/>
    <s v="P"/>
    <n v="2"/>
    <s v="Road Vehicle"/>
    <n v="6"/>
    <x v="1"/>
    <x v="0"/>
    <n v="2"/>
    <x v="1"/>
    <s v="Kibuye"/>
    <s v="Kampala"/>
    <s v="UGA"/>
    <n v="2"/>
    <s v="Work"/>
    <s v="Mbarara"/>
    <s v="Mbarara"/>
    <s v="UGA"/>
    <n v="1"/>
    <s v="Home"/>
    <x v="1"/>
    <n v="250000"/>
    <n v="150"/>
    <x v="2"/>
    <n v="4"/>
    <x v="0"/>
    <n v="6"/>
    <s v="Businessman"/>
    <n v="1"/>
    <x v="2"/>
    <n v="5"/>
    <n v="5"/>
    <n v="5"/>
    <n v="5"/>
    <n v="5"/>
    <s v="Y"/>
    <m/>
    <x v="0"/>
  </r>
  <r>
    <d v="2019-10-18T00:00:00"/>
    <d v="1899-12-30T17:39:00"/>
    <m/>
    <s v="P"/>
    <n v="2"/>
    <s v="Road Vehicle"/>
    <n v="6"/>
    <x v="1"/>
    <x v="0"/>
    <n v="2"/>
    <x v="1"/>
    <s v="Munyonyo"/>
    <s v="Kampala"/>
    <s v="UGA"/>
    <n v="2"/>
    <s v="Work"/>
    <s v="Ntungamo"/>
    <s v="Ntungamo"/>
    <s v="UGA"/>
    <n v="1"/>
    <s v="Home"/>
    <x v="1"/>
    <n v="25000"/>
    <n v="100"/>
    <x v="2"/>
    <n v="3"/>
    <x v="1"/>
    <n v="6"/>
    <s v="Businessman"/>
    <n v="1"/>
    <x v="2"/>
    <n v="5"/>
    <n v="2"/>
    <n v="2"/>
    <n v="2"/>
    <n v="2"/>
    <s v="Y"/>
    <m/>
    <x v="0"/>
  </r>
  <r>
    <d v="2019-10-19T00:00:00"/>
    <d v="1899-12-30T18:30:00"/>
    <m/>
    <s v="P"/>
    <n v="2"/>
    <s v="Road Vehicle"/>
    <n v="6"/>
    <x v="1"/>
    <x v="0"/>
    <n v="2"/>
    <x v="1"/>
    <s v="Mukono"/>
    <s v="Mukono"/>
    <s v="UGA"/>
    <n v="1"/>
    <s v="Home"/>
    <s v="Kabale"/>
    <s v="Kabale"/>
    <s v="UGA"/>
    <n v="2"/>
    <s v="Work"/>
    <x v="8"/>
    <n v="30000"/>
    <n v="200"/>
    <x v="3"/>
    <n v="4"/>
    <x v="0"/>
    <n v="6"/>
    <s v="Businessman"/>
    <n v="1"/>
    <x v="2"/>
    <n v="5"/>
    <n v="2"/>
    <n v="2"/>
    <n v="5"/>
    <n v="2"/>
    <s v="Y"/>
    <m/>
    <x v="0"/>
  </r>
  <r>
    <d v="2019-10-19T00:00:00"/>
    <d v="1899-12-30T18:49:00"/>
    <m/>
    <s v="P"/>
    <n v="2"/>
    <s v="Road Vehicle"/>
    <n v="6"/>
    <x v="1"/>
    <x v="0"/>
    <n v="2"/>
    <x v="1"/>
    <s v="Nateete"/>
    <s v="Kampala"/>
    <s v="UGA"/>
    <n v="2"/>
    <s v="Work"/>
    <s v="Kabale"/>
    <s v="Kabale"/>
    <s v="UGA"/>
    <n v="1"/>
    <s v="Home"/>
    <x v="1"/>
    <n v="30000"/>
    <n v="200"/>
    <x v="3"/>
    <n v="5"/>
    <x v="0"/>
    <n v="6"/>
    <s v="Businessman"/>
    <n v="1"/>
    <x v="2"/>
    <n v="5"/>
    <n v="5"/>
    <n v="5"/>
    <n v="5"/>
    <n v="5"/>
    <s v="Y"/>
    <m/>
    <x v="0"/>
  </r>
  <r>
    <d v="2019-10-19T00:00:00"/>
    <d v="1899-12-30T08:09:00"/>
    <m/>
    <s v="P"/>
    <n v="2"/>
    <s v="Road Vehicle"/>
    <n v="6"/>
    <x v="1"/>
    <x v="0"/>
    <n v="2"/>
    <x v="1"/>
    <s v="Mbarara"/>
    <s v="Mbarara"/>
    <s v="UGA"/>
    <n v="1"/>
    <s v="Home"/>
    <s v="Kampala"/>
    <s v="KAMPALA"/>
    <s v="UGA"/>
    <n v="2"/>
    <s v="Work"/>
    <x v="8"/>
    <n v="30000"/>
    <m/>
    <x v="4"/>
    <n v="4"/>
    <x v="0"/>
    <n v="6"/>
    <s v="Businessman"/>
    <n v="3"/>
    <x v="0"/>
    <n v="2"/>
    <n v="2"/>
    <n v="2"/>
    <n v="4"/>
    <n v="4"/>
    <s v="N"/>
    <m/>
    <x v="0"/>
  </r>
  <r>
    <d v="2019-10-20T00:00:00"/>
    <d v="1899-12-30T09:43:00"/>
    <m/>
    <s v="P"/>
    <n v="2"/>
    <s v="Road Vehicle"/>
    <n v="6"/>
    <x v="1"/>
    <x v="0"/>
    <n v="2"/>
    <x v="1"/>
    <s v="Kampala"/>
    <s v="Kampala"/>
    <s v="UGA"/>
    <n v="2"/>
    <s v="Work"/>
    <s v="Mbarara"/>
    <s v="Mbarara"/>
    <s v="UGA"/>
    <n v="4"/>
    <s v="Commercial"/>
    <x v="21"/>
    <n v="30000"/>
    <n v="206"/>
    <x v="3"/>
    <n v="5"/>
    <x v="0"/>
    <n v="5"/>
    <s v="Professional"/>
    <n v="4"/>
    <x v="3"/>
    <n v="4"/>
    <n v="2"/>
    <n v="1"/>
    <n v="4"/>
    <n v="2"/>
    <s v="Y"/>
    <n v="1000"/>
    <x v="1"/>
  </r>
  <r>
    <d v="2019-10-18T00:00:00"/>
    <d v="1899-12-30T16:03:00"/>
    <m/>
    <s v="P"/>
    <n v="2"/>
    <s v="Road Vehicle"/>
    <n v="6"/>
    <x v="1"/>
    <x v="1"/>
    <n v="2"/>
    <x v="1"/>
    <s v="Ntinda"/>
    <s v="Kampala"/>
    <s v="UGA"/>
    <n v="1"/>
    <s v="Home"/>
    <s v="Rukungiri"/>
    <s v="Rukungiri"/>
    <s v="UGA"/>
    <n v="4"/>
    <s v="Commercial"/>
    <x v="12"/>
    <n v="25000"/>
    <n v="300"/>
    <x v="3"/>
    <n v="5"/>
    <x v="0"/>
    <n v="6"/>
    <s v="Businessman"/>
    <n v="1"/>
    <x v="2"/>
    <n v="1"/>
    <n v="5"/>
    <n v="4"/>
    <n v="4"/>
    <n v="2"/>
    <s v="Y"/>
    <m/>
    <x v="0"/>
  </r>
  <r>
    <d v="2019-10-18T00:00:00"/>
    <d v="1899-12-30T16:41:00"/>
    <m/>
    <s v="D"/>
    <n v="2"/>
    <s v="Road Vehicle"/>
    <n v="6"/>
    <x v="1"/>
    <x v="1"/>
    <n v="2"/>
    <x v="1"/>
    <s v="Kampala"/>
    <s v="Kampala"/>
    <s v="UGA"/>
    <n v="2"/>
    <s v="Work"/>
    <s v="Ibanda"/>
    <s v="Ibanda"/>
    <s v="UGA"/>
    <n v="8"/>
    <s v="Others"/>
    <x v="6"/>
    <n v="200000"/>
    <n v="600"/>
    <x v="3"/>
    <n v="6"/>
    <x v="0"/>
    <n v="10"/>
    <s v="Other"/>
    <n v="3"/>
    <x v="0"/>
    <n v="5"/>
    <n v="4"/>
    <n v="2"/>
    <n v="2"/>
    <n v="1"/>
    <s v="Y"/>
    <n v="3000"/>
    <x v="5"/>
  </r>
  <r>
    <d v="2019-10-18T00:00:00"/>
    <d v="1899-12-30T16:22:00"/>
    <m/>
    <s v="D"/>
    <n v="2"/>
    <s v="Road Vehicle"/>
    <n v="6"/>
    <x v="1"/>
    <x v="1"/>
    <n v="2"/>
    <x v="1"/>
    <s v="Masaka"/>
    <s v="Masaka"/>
    <s v="UGA"/>
    <n v="2"/>
    <s v="Work"/>
    <s v="Lukaya"/>
    <s v="Masaka"/>
    <s v="UGA"/>
    <n v="8"/>
    <s v="Others"/>
    <x v="6"/>
    <n v="30000"/>
    <n v="20"/>
    <x v="5"/>
    <n v="0.7"/>
    <x v="3"/>
    <n v="10"/>
    <s v="Other"/>
    <n v="1"/>
    <x v="2"/>
    <n v="2"/>
    <n v="2"/>
    <n v="2"/>
    <n v="2"/>
    <n v="3"/>
    <s v="Y"/>
    <n v="1000"/>
    <x v="1"/>
  </r>
  <r>
    <d v="2019-10-18T00:00:00"/>
    <d v="1899-12-30T17:55:00"/>
    <m/>
    <s v="P"/>
    <n v="2"/>
    <s v="Road Vehicle"/>
    <n v="6"/>
    <x v="1"/>
    <x v="1"/>
    <n v="2"/>
    <x v="1"/>
    <s v="Lugogo"/>
    <s v="Kampala"/>
    <s v="UGA"/>
    <n v="2"/>
    <s v="Work"/>
    <s v="Mbarara"/>
    <s v="Mbarara"/>
    <s v="UGA"/>
    <n v="1"/>
    <s v="Home"/>
    <x v="1"/>
    <n v="25000"/>
    <n v="150"/>
    <x v="2"/>
    <n v="4"/>
    <x v="0"/>
    <n v="6"/>
    <s v="Businessman"/>
    <n v="1"/>
    <x v="2"/>
    <n v="5"/>
    <n v="5"/>
    <n v="4"/>
    <n v="5"/>
    <n v="5"/>
    <s v="Y"/>
    <m/>
    <x v="0"/>
  </r>
  <r>
    <d v="2019-10-18T00:00:00"/>
    <d v="1899-12-30T18:09:00"/>
    <m/>
    <s v="D"/>
    <n v="2"/>
    <s v="Road Vehicle"/>
    <n v="6"/>
    <x v="1"/>
    <x v="1"/>
    <n v="2"/>
    <x v="1"/>
    <s v="Kampala"/>
    <s v="Kampala"/>
    <s v="UGA"/>
    <n v="2"/>
    <s v="Work"/>
    <s v="Mbarara"/>
    <s v="Mbarara"/>
    <s v="UGA"/>
    <n v="8"/>
    <s v="Others"/>
    <x v="6"/>
    <n v="200000"/>
    <n v="150"/>
    <x v="2"/>
    <n v="4"/>
    <x v="0"/>
    <n v="5"/>
    <s v="Professional"/>
    <n v="2"/>
    <x v="1"/>
    <n v="5"/>
    <n v="2"/>
    <n v="2"/>
    <n v="2"/>
    <n v="1"/>
    <s v="Y"/>
    <n v="3000"/>
    <x v="5"/>
  </r>
  <r>
    <d v="2019-10-20T00:00:00"/>
    <d v="1899-12-30T07:10:00"/>
    <m/>
    <s v="D"/>
    <n v="2"/>
    <s v="Road Vehicle"/>
    <n v="7"/>
    <x v="2"/>
    <x v="1"/>
    <n v="2"/>
    <x v="1"/>
    <s v="Masaka"/>
    <s v="Masaka"/>
    <s v="UGA"/>
    <n v="2"/>
    <s v="Work"/>
    <s v="Lukaya"/>
    <s v="Masaka"/>
    <s v="UGA"/>
    <n v="4"/>
    <s v="Commercial"/>
    <x v="21"/>
    <n v="20000"/>
    <n v="15"/>
    <x v="6"/>
    <n v="0.7"/>
    <x v="3"/>
    <n v="10"/>
    <s v="Other"/>
    <n v="1"/>
    <x v="2"/>
    <n v="2"/>
    <n v="4"/>
    <n v="1"/>
    <n v="1"/>
    <n v="1"/>
    <s v="Y"/>
    <n v="1000"/>
    <x v="1"/>
  </r>
  <r>
    <d v="2019-10-19T00:00:00"/>
    <d v="1899-12-30T12:41:00"/>
    <m/>
    <s v="P"/>
    <n v="2"/>
    <s v="Road Vehicle"/>
    <n v="5"/>
    <x v="5"/>
    <x v="0"/>
    <n v="2"/>
    <x v="1"/>
    <s v="Kyabakuza"/>
    <s v="Masaka"/>
    <s v="UGA"/>
    <n v="1"/>
    <s v="Home"/>
    <s v="Matete"/>
    <s v="Masaka"/>
    <s v="UGA"/>
    <n v="6"/>
    <s v="Leisure/Social"/>
    <x v="3"/>
    <n v="5000"/>
    <n v="30"/>
    <x v="5"/>
    <n v="1"/>
    <x v="2"/>
    <n v="6"/>
    <s v="Businessman"/>
    <n v="2"/>
    <x v="1"/>
    <n v="4"/>
    <n v="2"/>
    <n v="4"/>
    <n v="2"/>
    <n v="2"/>
    <s v="N"/>
    <m/>
    <x v="0"/>
  </r>
  <r>
    <d v="2019-10-20T00:00:00"/>
    <d v="1899-12-30T14:18:00"/>
    <m/>
    <s v="P"/>
    <n v="2"/>
    <s v="Road Vehicle"/>
    <n v="5"/>
    <x v="5"/>
    <x v="0"/>
    <n v="2"/>
    <x v="1"/>
    <s v="Buwama"/>
    <s v="Masaka"/>
    <s v="UGA"/>
    <n v="1"/>
    <s v="Home"/>
    <s v="Kinoni"/>
    <s v="Masaka"/>
    <s v="UGA"/>
    <n v="6"/>
    <s v="Leisure/Social"/>
    <x v="3"/>
    <n v="10000"/>
    <n v="39"/>
    <x v="5"/>
    <n v="0.7"/>
    <x v="3"/>
    <n v="10"/>
    <s v="Other"/>
    <n v="2"/>
    <x v="1"/>
    <n v="1"/>
    <n v="1"/>
    <n v="1"/>
    <n v="1"/>
    <n v="1"/>
    <s v="Y"/>
    <m/>
    <x v="0"/>
  </r>
  <r>
    <d v="2019-10-18T00:00:00"/>
    <d v="1899-12-30T18:54:00"/>
    <m/>
    <s v="D"/>
    <n v="2"/>
    <s v="Road Vehicle"/>
    <n v="5"/>
    <x v="5"/>
    <x v="1"/>
    <n v="2"/>
    <x v="1"/>
    <s v="Lukaya"/>
    <s v="Masaka"/>
    <s v="UGA"/>
    <n v="2"/>
    <s v="Work"/>
    <s v="Masaka"/>
    <s v="Masaka"/>
    <s v="UGA"/>
    <n v="8"/>
    <s v="Others"/>
    <x v="6"/>
    <n v="50000"/>
    <n v="20"/>
    <x v="5"/>
    <n v="0.6"/>
    <x v="3"/>
    <n v="10"/>
    <s v="Other"/>
    <n v="1"/>
    <x v="2"/>
    <n v="2"/>
    <n v="1"/>
    <n v="2"/>
    <n v="2"/>
    <n v="2"/>
    <s v="Y"/>
    <n v="1000"/>
    <x v="1"/>
  </r>
  <r>
    <d v="2019-10-19T00:00:00"/>
    <d v="1899-12-30T07:45:00"/>
    <s v="UAV 752S"/>
    <s v="D"/>
    <n v="2"/>
    <s v="Road Vehicle"/>
    <n v="5"/>
    <x v="5"/>
    <x v="1"/>
    <n v="2"/>
    <x v="1"/>
    <s v="Masaka"/>
    <s v="Masaka"/>
    <s v="UGA"/>
    <n v="2"/>
    <s v="Work"/>
    <s v="Mbarara"/>
    <s v="Mbarara"/>
    <s v="UGA"/>
    <n v="2"/>
    <s v="Work"/>
    <x v="5"/>
    <n v="100000"/>
    <n v="60"/>
    <x v="1"/>
    <n v="3"/>
    <x v="1"/>
    <n v="10"/>
    <s v="Other"/>
    <n v="2"/>
    <x v="1"/>
    <n v="5"/>
    <n v="2"/>
    <n v="1"/>
    <n v="1"/>
    <n v="2"/>
    <s v="Y"/>
    <n v="1000"/>
    <x v="1"/>
  </r>
  <r>
    <d v="2019-10-19T00:00:00"/>
    <d v="1899-12-30T07:45:00"/>
    <s v="UAV 754U"/>
    <s v="D"/>
    <n v="2"/>
    <s v="Road Vehicle"/>
    <n v="5"/>
    <x v="5"/>
    <x v="1"/>
    <n v="2"/>
    <x v="1"/>
    <s v="Masaka"/>
    <s v="Masaka"/>
    <s v="UGA"/>
    <n v="2"/>
    <s v="Work"/>
    <s v="Mbarara"/>
    <s v="Mbarara"/>
    <s v="UGA"/>
    <n v="2"/>
    <s v="Work"/>
    <x v="5"/>
    <n v="100000"/>
    <n v="60"/>
    <x v="1"/>
    <n v="3"/>
    <x v="1"/>
    <n v="10"/>
    <s v="Other"/>
    <n v="2"/>
    <x v="1"/>
    <n v="5"/>
    <n v="2"/>
    <n v="1"/>
    <n v="1"/>
    <n v="2"/>
    <s v="Y"/>
    <n v="1000"/>
    <x v="1"/>
  </r>
  <r>
    <d v="2019-10-19T00:00:00"/>
    <d v="1899-12-30T07:38:00"/>
    <s v="UAZ 496U"/>
    <s v="D"/>
    <n v="2"/>
    <s v="Road Vehicle"/>
    <n v="5"/>
    <x v="5"/>
    <x v="1"/>
    <n v="2"/>
    <x v="1"/>
    <s v="Kyabakuza"/>
    <s v="Masaka"/>
    <s v="UGA"/>
    <n v="2"/>
    <s v="Work"/>
    <s v="Matete"/>
    <s v="Masaka"/>
    <s v="UGA"/>
    <n v="8"/>
    <s v="Others"/>
    <x v="6"/>
    <n v="70000"/>
    <n v="35"/>
    <x v="5"/>
    <n v="1"/>
    <x v="2"/>
    <n v="10"/>
    <s v="Other"/>
    <n v="1"/>
    <x v="2"/>
    <n v="3"/>
    <n v="4"/>
    <n v="3"/>
    <n v="5"/>
    <n v="2"/>
    <s v="Y"/>
    <n v="1000"/>
    <x v="1"/>
  </r>
  <r>
    <d v="2019-10-19T00:00:00"/>
    <d v="1899-12-30T18:22:00"/>
    <m/>
    <s v="P"/>
    <n v="2"/>
    <s v="Road Vehicle"/>
    <n v="5"/>
    <x v="5"/>
    <x v="1"/>
    <n v="2"/>
    <x v="1"/>
    <s v="Kampala"/>
    <s v="Kampala"/>
    <s v="UGA"/>
    <n v="1"/>
    <s v="Home"/>
    <s v="Masaka"/>
    <s v="Masaka"/>
    <s v="UGA"/>
    <n v="1"/>
    <s v="Home"/>
    <x v="2"/>
    <n v="15000"/>
    <n v="151"/>
    <x v="2"/>
    <n v="4"/>
    <x v="0"/>
    <n v="6"/>
    <s v="Businessman"/>
    <n v="3"/>
    <x v="0"/>
    <n v="4"/>
    <n v="2"/>
    <n v="2"/>
    <n v="4"/>
    <n v="4"/>
    <s v="Y"/>
    <n v="1000"/>
    <x v="1"/>
  </r>
  <r>
    <d v="2019-10-19T00:00:00"/>
    <d v="1899-12-30T16:26:00"/>
    <s v="UBA 828B"/>
    <s v="D"/>
    <n v="2"/>
    <s v="Road Vehicle"/>
    <n v="5"/>
    <x v="5"/>
    <x v="1"/>
    <n v="2"/>
    <x v="1"/>
    <s v="Masaka"/>
    <s v="Masaka"/>
    <s v="UGA"/>
    <n v="2"/>
    <s v="Work"/>
    <s v="Mbarara"/>
    <s v="Mbarara"/>
    <s v="UGA"/>
    <n v="2"/>
    <s v="Work"/>
    <x v="5"/>
    <n v="100000"/>
    <n v="100"/>
    <x v="2"/>
    <n v="4"/>
    <x v="0"/>
    <n v="5"/>
    <s v="Professional"/>
    <n v="4"/>
    <x v="3"/>
    <n v="1"/>
    <n v="1"/>
    <n v="1"/>
    <n v="1"/>
    <n v="1"/>
    <s v="Y"/>
    <n v="5000"/>
    <x v="2"/>
  </r>
  <r>
    <d v="2019-10-19T00:00:00"/>
    <d v="1899-12-30T15:01:00"/>
    <m/>
    <s v="P"/>
    <n v="2"/>
    <s v="Road Vehicle"/>
    <n v="5"/>
    <x v="5"/>
    <x v="1"/>
    <n v="2"/>
    <x v="1"/>
    <s v="Kawempe"/>
    <s v="Wakiso"/>
    <s v="UGA"/>
    <n v="1"/>
    <s v="Home"/>
    <s v="Masaka"/>
    <s v="Masaka"/>
    <s v="UGA"/>
    <n v="6"/>
    <s v="Leisure/Social"/>
    <x v="3"/>
    <n v="17000"/>
    <n v="128"/>
    <x v="2"/>
    <n v="4"/>
    <x v="0"/>
    <n v="6"/>
    <s v="Businessman"/>
    <n v="3"/>
    <x v="0"/>
    <n v="3"/>
    <n v="2"/>
    <n v="2"/>
    <n v="4"/>
    <n v="4"/>
    <s v="Y"/>
    <m/>
    <x v="0"/>
  </r>
  <r>
    <d v="2019-10-19T00:00:00"/>
    <d v="1899-12-30T13:38:00"/>
    <m/>
    <s v="P"/>
    <n v="2"/>
    <s v="Road Vehicle"/>
    <n v="5"/>
    <x v="5"/>
    <x v="1"/>
    <n v="2"/>
    <x v="1"/>
    <s v="Ishaka"/>
    <s v="Bushenyi"/>
    <s v="UGA"/>
    <n v="1"/>
    <s v="Home"/>
    <s v="Masaka"/>
    <s v="Masaka"/>
    <s v="UGA"/>
    <n v="2"/>
    <s v="Work"/>
    <x v="8"/>
    <n v="15000"/>
    <n v="100"/>
    <x v="2"/>
    <n v="4"/>
    <x v="0"/>
    <n v="5"/>
    <s v="Professional"/>
    <n v="5"/>
    <x v="4"/>
    <n v="2"/>
    <n v="1"/>
    <n v="1"/>
    <n v="4"/>
    <n v="4"/>
    <s v="Y"/>
    <m/>
    <x v="0"/>
  </r>
  <r>
    <d v="2019-10-19T00:00:00"/>
    <d v="1899-12-30T09:09:00"/>
    <m/>
    <s v="P"/>
    <n v="2"/>
    <s v="Road Vehicle"/>
    <n v="5"/>
    <x v="5"/>
    <x v="1"/>
    <n v="2"/>
    <x v="1"/>
    <s v="Nyendo"/>
    <s v="Masaka"/>
    <s v="UGA"/>
    <n v="3"/>
    <s v="Study"/>
    <s v="Masaka"/>
    <s v="Masaka"/>
    <s v="UGA"/>
    <n v="1"/>
    <s v="Home"/>
    <x v="9"/>
    <n v="4000"/>
    <n v="21"/>
    <x v="5"/>
    <n v="0.7"/>
    <x v="3"/>
    <n v="6"/>
    <s v="Businessman"/>
    <n v="4"/>
    <x v="3"/>
    <n v="2"/>
    <n v="3"/>
    <n v="4"/>
    <n v="2"/>
    <n v="2"/>
    <s v="Y"/>
    <n v="1000"/>
    <x v="1"/>
  </r>
  <r>
    <d v="2019-10-20T00:00:00"/>
    <d v="1899-12-30T08:15:00"/>
    <m/>
    <s v="D"/>
    <n v="2"/>
    <s v="Road Vehicle"/>
    <n v="5"/>
    <x v="5"/>
    <x v="1"/>
    <n v="2"/>
    <x v="1"/>
    <s v="Kakoma"/>
    <s v="Kakoma"/>
    <s v="UGA"/>
    <n v="4"/>
    <s v="Commercial"/>
    <s v="Kampala"/>
    <s v="KAMPALA"/>
    <s v="UGA"/>
    <n v="4"/>
    <s v="Commercial"/>
    <x v="13"/>
    <n v="20000"/>
    <n v="320"/>
    <x v="3"/>
    <n v="4"/>
    <x v="0"/>
    <n v="5"/>
    <s v="Professional"/>
    <n v="3"/>
    <x v="0"/>
    <n v="5"/>
    <n v="5"/>
    <n v="1"/>
    <n v="1"/>
    <n v="5"/>
    <s v="Y"/>
    <n v="5000"/>
    <x v="2"/>
  </r>
  <r>
    <d v="2019-10-20T00:00:00"/>
    <d v="1899-12-30T15:31:00"/>
    <m/>
    <s v="P"/>
    <n v="2"/>
    <s v="Road Vehicle"/>
    <n v="5"/>
    <x v="5"/>
    <x v="1"/>
    <n v="2"/>
    <x v="1"/>
    <s v="Mpigi"/>
    <s v="Mpigi"/>
    <s v="UGA"/>
    <n v="3"/>
    <s v="Study"/>
    <s v="Masaka"/>
    <s v="Masaka"/>
    <s v="UGA"/>
    <n v="1"/>
    <s v="Home"/>
    <x v="9"/>
    <n v="10000"/>
    <n v="98"/>
    <x v="0"/>
    <n v="2"/>
    <x v="1"/>
    <n v="8"/>
    <s v="Student"/>
    <n v="1"/>
    <x v="2"/>
    <n v="2"/>
    <n v="3"/>
    <n v="2"/>
    <n v="4"/>
    <n v="2"/>
    <s v="Y"/>
    <m/>
    <x v="0"/>
  </r>
  <r>
    <d v="2019-10-20T00:00:00"/>
    <d v="1899-12-30T14:54:00"/>
    <m/>
    <s v="P"/>
    <n v="2"/>
    <s v="Road Vehicle"/>
    <n v="5"/>
    <x v="5"/>
    <x v="1"/>
    <n v="2"/>
    <x v="1"/>
    <s v="Kawempe"/>
    <s v="Wakiso"/>
    <s v="UGA"/>
    <n v="1"/>
    <s v="Home"/>
    <s v="Masaka"/>
    <s v="Masaka"/>
    <s v="UGA"/>
    <n v="2"/>
    <s v="Work"/>
    <x v="8"/>
    <n v="17000"/>
    <n v="148"/>
    <x v="2"/>
    <n v="3"/>
    <x v="1"/>
    <n v="5"/>
    <s v="Professional"/>
    <n v="5"/>
    <x v="4"/>
    <n v="3"/>
    <n v="2"/>
    <n v="2"/>
    <n v="1"/>
    <n v="1"/>
    <s v="Y"/>
    <n v="2000"/>
    <x v="4"/>
  </r>
  <r>
    <d v="2019-10-20T00:00:00"/>
    <d v="1899-12-30T10:26:00"/>
    <m/>
    <s v="P"/>
    <n v="2"/>
    <s v="Road Vehicle"/>
    <n v="5"/>
    <x v="5"/>
    <x v="1"/>
    <n v="2"/>
    <x v="1"/>
    <s v="Buwama"/>
    <s v="Masaka"/>
    <s v="UGA"/>
    <n v="2"/>
    <s v="Work"/>
    <s v="Kyotera"/>
    <s v="Masaka"/>
    <s v="UGA"/>
    <n v="2"/>
    <s v="Work"/>
    <x v="5"/>
    <n v="10000"/>
    <n v="49"/>
    <x v="1"/>
    <n v="0.8"/>
    <x v="3"/>
    <n v="6"/>
    <s v="Businessman"/>
    <n v="3"/>
    <x v="0"/>
    <n v="1"/>
    <n v="1"/>
    <n v="1"/>
    <n v="1"/>
    <n v="1"/>
    <s v="Y"/>
    <n v="1500"/>
    <x v="1"/>
  </r>
  <r>
    <d v="2019-10-19T00:00:00"/>
    <d v="1899-12-30T12:08:00"/>
    <m/>
    <s v="P"/>
    <n v="2"/>
    <s v="Road Vehicle"/>
    <n v="4"/>
    <x v="3"/>
    <x v="0"/>
    <n v="2"/>
    <x v="1"/>
    <s v="Kayabwe"/>
    <s v="Masaka"/>
    <s v="UGA"/>
    <n v="1"/>
    <s v="Home"/>
    <s v="Masaka"/>
    <s v="Masaka"/>
    <s v="UGA"/>
    <n v="2"/>
    <s v="Work"/>
    <x v="8"/>
    <n v="5000"/>
    <n v="30"/>
    <x v="5"/>
    <n v="1.5"/>
    <x v="2"/>
    <n v="6"/>
    <s v="Businessman"/>
    <n v="1"/>
    <x v="2"/>
    <n v="2"/>
    <n v="4"/>
    <n v="2"/>
    <n v="4"/>
    <n v="2"/>
    <s v="Y"/>
    <m/>
    <x v="0"/>
  </r>
  <r>
    <d v="2019-10-19T00:00:00"/>
    <d v="1899-12-30T12:58:00"/>
    <m/>
    <s v="P"/>
    <n v="2"/>
    <s v="Road Vehicle"/>
    <n v="4"/>
    <x v="3"/>
    <x v="0"/>
    <n v="2"/>
    <x v="1"/>
    <s v="Masaka"/>
    <s v="Masaka"/>
    <s v="UGA"/>
    <n v="2"/>
    <s v="Work"/>
    <s v="Kinoni"/>
    <s v="Masaka"/>
    <s v="UGA"/>
    <n v="1"/>
    <s v="Home"/>
    <x v="1"/>
    <n v="3000"/>
    <n v="10"/>
    <x v="6"/>
    <n v="0.5"/>
    <x v="3"/>
    <n v="6"/>
    <s v="Businessman"/>
    <n v="1"/>
    <x v="2"/>
    <n v="2"/>
    <n v="2"/>
    <n v="2"/>
    <n v="5"/>
    <n v="5"/>
    <s v="Y"/>
    <m/>
    <x v="0"/>
  </r>
  <r>
    <d v="2019-10-19T00:00:00"/>
    <d v="1899-12-30T10:50:00"/>
    <m/>
    <s v="P"/>
    <n v="2"/>
    <s v="Road Vehicle"/>
    <n v="4"/>
    <x v="3"/>
    <x v="0"/>
    <n v="2"/>
    <x v="1"/>
    <s v="Masajja"/>
    <s v="Wakiso"/>
    <s v="UGA"/>
    <n v="1"/>
    <s v="Home"/>
    <s v="Kyotera"/>
    <s v="Masaka"/>
    <s v="UGA"/>
    <n v="2"/>
    <s v="Work"/>
    <x v="8"/>
    <n v="15000"/>
    <n v="50"/>
    <x v="1"/>
    <n v="3"/>
    <x v="1"/>
    <n v="6"/>
    <s v="Businessman"/>
    <n v="1"/>
    <x v="2"/>
    <n v="5"/>
    <n v="2"/>
    <n v="2"/>
    <n v="2"/>
    <n v="2"/>
    <s v="Y"/>
    <m/>
    <x v="0"/>
  </r>
  <r>
    <d v="2019-10-19T00:00:00"/>
    <d v="1899-12-30T10:15:00"/>
    <m/>
    <s v="P"/>
    <n v="2"/>
    <s v="Road Vehicle"/>
    <n v="4"/>
    <x v="3"/>
    <x v="0"/>
    <n v="2"/>
    <x v="1"/>
    <s v="Ntinda"/>
    <s v="Wakiso"/>
    <s v="UGA"/>
    <n v="2"/>
    <s v="Work"/>
    <s v="Masaka"/>
    <s v="Masaka"/>
    <s v="UGA"/>
    <n v="1"/>
    <s v="Home"/>
    <x v="1"/>
    <n v="12000"/>
    <n v="45"/>
    <x v="1"/>
    <n v="2"/>
    <x v="1"/>
    <n v="10"/>
    <s v="Other"/>
    <n v="1"/>
    <x v="2"/>
    <n v="5"/>
    <n v="4"/>
    <n v="2"/>
    <n v="2"/>
    <n v="2"/>
    <s v="Y"/>
    <m/>
    <x v="0"/>
  </r>
  <r>
    <d v="2019-10-19T00:00:00"/>
    <d v="1899-12-30T10:20:00"/>
    <m/>
    <s v="P"/>
    <n v="2"/>
    <s v="Road Vehicle"/>
    <n v="4"/>
    <x v="3"/>
    <x v="0"/>
    <n v="2"/>
    <x v="1"/>
    <s v="Busabala"/>
    <s v="Wakiso"/>
    <s v="UGA"/>
    <n v="1"/>
    <s v="Home"/>
    <s v="Masaka"/>
    <s v="Masaka"/>
    <s v="UGA"/>
    <n v="2"/>
    <s v="Work"/>
    <x v="8"/>
    <n v="12000"/>
    <n v="50"/>
    <x v="1"/>
    <n v="2"/>
    <x v="1"/>
    <n v="6"/>
    <s v="Businessman"/>
    <n v="1"/>
    <x v="2"/>
    <n v="5"/>
    <n v="4"/>
    <n v="5"/>
    <n v="5"/>
    <n v="5"/>
    <s v="Y"/>
    <m/>
    <x v="0"/>
  </r>
  <r>
    <d v="2019-10-19T00:00:00"/>
    <d v="1899-12-30T18:18:00"/>
    <m/>
    <s v="P"/>
    <n v="2"/>
    <s v="Road Vehicle"/>
    <n v="4"/>
    <x v="3"/>
    <x v="0"/>
    <n v="2"/>
    <x v="1"/>
    <s v="Lukaya"/>
    <s v="Masaka"/>
    <s v="UGA"/>
    <n v="2"/>
    <s v="Work"/>
    <s v="Masaka"/>
    <s v="Masaka"/>
    <s v="UGA"/>
    <n v="1"/>
    <s v="Home"/>
    <x v="1"/>
    <n v="3000"/>
    <n v="15"/>
    <x v="6"/>
    <n v="0.8"/>
    <x v="3"/>
    <n v="6"/>
    <s v="Businessman"/>
    <n v="1"/>
    <x v="2"/>
    <n v="5"/>
    <n v="2"/>
    <n v="2"/>
    <n v="2"/>
    <n v="2"/>
    <s v="Y"/>
    <m/>
    <x v="0"/>
  </r>
  <r>
    <d v="2019-10-19T00:00:00"/>
    <d v="1899-12-30T09:10:00"/>
    <m/>
    <s v="P"/>
    <n v="2"/>
    <s v="Road Vehicle"/>
    <n v="4"/>
    <x v="3"/>
    <x v="0"/>
    <n v="2"/>
    <x v="1"/>
    <s v="Lukaya"/>
    <s v="Masaka"/>
    <s v="UGA"/>
    <n v="1"/>
    <s v="Home"/>
    <s v="Masaka"/>
    <s v="Masaka"/>
    <s v="UGA"/>
    <n v="2"/>
    <s v="Work"/>
    <x v="8"/>
    <n v="3000"/>
    <n v="10"/>
    <x v="6"/>
    <n v="0.7"/>
    <x v="3"/>
    <n v="6"/>
    <s v="Businessman"/>
    <n v="1"/>
    <x v="2"/>
    <n v="2"/>
    <n v="2"/>
    <n v="2"/>
    <n v="2"/>
    <n v="2"/>
    <s v="Y"/>
    <m/>
    <x v="0"/>
  </r>
  <r>
    <d v="2019-10-19T00:00:00"/>
    <d v="1899-12-30T09:30:00"/>
    <m/>
    <s v="P"/>
    <n v="2"/>
    <s v="Road Vehicle"/>
    <n v="4"/>
    <x v="3"/>
    <x v="0"/>
    <n v="2"/>
    <x v="1"/>
    <s v="Kampala"/>
    <s v="Kampala"/>
    <s v="UGA"/>
    <n v="2"/>
    <s v="Work"/>
    <s v="Kyotera"/>
    <s v="Masaka"/>
    <s v="UGA"/>
    <n v="1"/>
    <s v="Home"/>
    <x v="1"/>
    <n v="15000"/>
    <n v="50"/>
    <x v="1"/>
    <n v="3"/>
    <x v="1"/>
    <n v="7"/>
    <s v="Farmer"/>
    <n v="1"/>
    <x v="2"/>
    <n v="2"/>
    <n v="4"/>
    <n v="1"/>
    <n v="2"/>
    <n v="1"/>
    <s v="Y"/>
    <m/>
    <x v="0"/>
  </r>
  <r>
    <d v="2019-10-19T00:00:00"/>
    <d v="1899-12-30T09:40:00"/>
    <m/>
    <s v="P"/>
    <n v="2"/>
    <s v="Road Vehicle"/>
    <n v="4"/>
    <x v="3"/>
    <x v="0"/>
    <n v="2"/>
    <x v="1"/>
    <s v="Kireka"/>
    <s v="Kampala"/>
    <s v="UGA"/>
    <n v="1"/>
    <s v="Home"/>
    <s v="Kyotera"/>
    <s v="Masaka"/>
    <s v="UGA"/>
    <n v="2"/>
    <s v="Work"/>
    <x v="8"/>
    <n v="15000"/>
    <n v="50"/>
    <x v="1"/>
    <n v="3"/>
    <x v="1"/>
    <n v="7"/>
    <s v="Farmer"/>
    <n v="1"/>
    <x v="2"/>
    <n v="5"/>
    <n v="4"/>
    <n v="1"/>
    <n v="2"/>
    <n v="2"/>
    <s v="Y"/>
    <m/>
    <x v="0"/>
  </r>
  <r>
    <d v="2019-10-19T00:00:00"/>
    <d v="1899-12-30T15:44:00"/>
    <m/>
    <s v="P"/>
    <n v="2"/>
    <s v="Road Vehicle"/>
    <n v="4"/>
    <x v="3"/>
    <x v="0"/>
    <n v="2"/>
    <x v="1"/>
    <s v="Nyendo"/>
    <s v="Masaka"/>
    <s v="UGA"/>
    <n v="1"/>
    <s v="Home"/>
    <s v="Masaka"/>
    <s v="Masaka"/>
    <s v="UGA"/>
    <n v="7"/>
    <s v="Hospital"/>
    <x v="26"/>
    <n v="1000"/>
    <n v="7"/>
    <x v="4"/>
    <n v="0.2"/>
    <x v="4"/>
    <n v="5"/>
    <s v="Professional"/>
    <n v="3"/>
    <x v="0"/>
    <n v="1"/>
    <n v="1"/>
    <n v="1"/>
    <n v="1"/>
    <n v="1"/>
    <s v="Y"/>
    <m/>
    <x v="0"/>
  </r>
  <r>
    <d v="2019-10-19T00:00:00"/>
    <d v="1899-12-30T14:24:00"/>
    <m/>
    <s v="P"/>
    <n v="2"/>
    <s v="Road Vehicle"/>
    <n v="4"/>
    <x v="3"/>
    <x v="0"/>
    <n v="2"/>
    <x v="1"/>
    <s v="Kyabakuza"/>
    <s v="Masaka"/>
    <s v="UGA"/>
    <n v="4"/>
    <s v="Commercial"/>
    <s v="Matete"/>
    <s v="Masaka"/>
    <s v="UGA"/>
    <n v="1"/>
    <s v="Home"/>
    <x v="0"/>
    <n v="5000"/>
    <n v="29"/>
    <x v="5"/>
    <n v="1"/>
    <x v="2"/>
    <n v="6"/>
    <s v="Businessman"/>
    <n v="3"/>
    <x v="0"/>
    <n v="3"/>
    <n v="3"/>
    <n v="4"/>
    <n v="4"/>
    <n v="5"/>
    <s v="Y"/>
    <n v="1000"/>
    <x v="1"/>
  </r>
  <r>
    <d v="2019-10-19T00:00:00"/>
    <d v="1899-12-30T07:51:00"/>
    <m/>
    <s v="P"/>
    <n v="2"/>
    <s v="Road Vehicle"/>
    <n v="4"/>
    <x v="3"/>
    <x v="0"/>
    <n v="2"/>
    <x v="1"/>
    <s v="Masaka"/>
    <s v="Masaka"/>
    <s v="UGA"/>
    <n v="1"/>
    <s v="Home"/>
    <s v="Kyengera"/>
    <s v="WAKISO"/>
    <s v="UGA"/>
    <n v="1"/>
    <s v="Home"/>
    <x v="2"/>
    <n v="13000"/>
    <n v="100"/>
    <x v="2"/>
    <n v="3"/>
    <x v="1"/>
    <n v="6"/>
    <s v="Businessman"/>
    <n v="1"/>
    <x v="2"/>
    <n v="4"/>
    <n v="4"/>
    <n v="3"/>
    <n v="5"/>
    <n v="5"/>
    <s v="Y"/>
    <m/>
    <x v="0"/>
  </r>
  <r>
    <d v="2019-10-19T00:00:00"/>
    <d v="1899-12-30T07:31:00"/>
    <m/>
    <s v="P"/>
    <n v="2"/>
    <s v="Road Vehicle"/>
    <n v="4"/>
    <x v="3"/>
    <x v="0"/>
    <n v="2"/>
    <x v="1"/>
    <s v="Masaka"/>
    <s v="Masaka"/>
    <s v="UGA"/>
    <n v="2"/>
    <s v="Work"/>
    <s v="Mbarara"/>
    <s v="Mbarara"/>
    <s v="UGA"/>
    <n v="1"/>
    <s v="Home"/>
    <x v="1"/>
    <n v="10000"/>
    <m/>
    <x v="4"/>
    <n v="3"/>
    <x v="1"/>
    <n v="6"/>
    <s v="Businessman"/>
    <n v="3"/>
    <x v="0"/>
    <n v="2"/>
    <n v="2"/>
    <n v="2"/>
    <n v="2"/>
    <n v="4"/>
    <s v="Y"/>
    <m/>
    <x v="0"/>
  </r>
  <r>
    <d v="2019-10-19T00:00:00"/>
    <d v="1899-12-30T15:48:00"/>
    <s v="UBB 515A"/>
    <s v="P"/>
    <n v="2"/>
    <s v="Road Vehicle"/>
    <n v="4"/>
    <x v="3"/>
    <x v="0"/>
    <n v="2"/>
    <x v="1"/>
    <s v="Masaka"/>
    <s v="Masaka"/>
    <s v="UGA"/>
    <n v="1"/>
    <s v="Home"/>
    <s v="Natete"/>
    <s v="KAMPALA"/>
    <s v="UGA"/>
    <n v="4"/>
    <s v="Commercial"/>
    <x v="12"/>
    <n v="12000"/>
    <n v="137"/>
    <x v="2"/>
    <n v="2"/>
    <x v="1"/>
    <n v="1"/>
    <s v="Unemployed"/>
    <n v="1"/>
    <x v="2"/>
    <n v="1"/>
    <n v="1"/>
    <n v="4"/>
    <n v="5"/>
    <n v="1"/>
    <s v="Y"/>
    <m/>
    <x v="0"/>
  </r>
  <r>
    <d v="2019-10-19T00:00:00"/>
    <d v="1899-12-30T14:36:00"/>
    <m/>
    <s v="P"/>
    <n v="2"/>
    <s v="Road Vehicle"/>
    <n v="4"/>
    <x v="3"/>
    <x v="0"/>
    <n v="2"/>
    <x v="1"/>
    <s v="Ndegeya"/>
    <s v="Masaka"/>
    <s v="UGA"/>
    <n v="1"/>
    <s v="Home"/>
    <s v="Lukaya"/>
    <s v="Masaka"/>
    <s v="UGA"/>
    <n v="4"/>
    <s v="Commercial"/>
    <x v="12"/>
    <n v="3000"/>
    <n v="40"/>
    <x v="1"/>
    <n v="0.5"/>
    <x v="3"/>
    <n v="2"/>
    <s v="Manual Labour"/>
    <n v="2"/>
    <x v="1"/>
    <n v="1"/>
    <n v="1"/>
    <n v="1"/>
    <n v="5"/>
    <n v="5"/>
    <s v="Y"/>
    <n v="1000"/>
    <x v="1"/>
  </r>
  <r>
    <d v="2019-10-20T00:00:00"/>
    <d v="1899-12-30T07:38:00"/>
    <m/>
    <s v="P"/>
    <n v="2"/>
    <s v="Road Vehicle"/>
    <n v="4"/>
    <x v="3"/>
    <x v="0"/>
    <n v="2"/>
    <x v="1"/>
    <s v="Kiwatule"/>
    <s v="Kampala"/>
    <s v="UGA"/>
    <n v="2"/>
    <s v="Work"/>
    <s v="Kyotera"/>
    <s v="Masaka"/>
    <s v="UGA"/>
    <n v="1"/>
    <s v="Home"/>
    <x v="1"/>
    <n v="15000"/>
    <n v="70"/>
    <x v="0"/>
    <n v="2.5"/>
    <x v="1"/>
    <n v="6"/>
    <s v="Businessman"/>
    <n v="1"/>
    <x v="2"/>
    <n v="5"/>
    <n v="5"/>
    <n v="5"/>
    <n v="5"/>
    <n v="5"/>
    <s v="Y"/>
    <m/>
    <x v="0"/>
  </r>
  <r>
    <d v="2019-10-20T00:00:00"/>
    <d v="1899-12-30T07:30:00"/>
    <m/>
    <s v="P"/>
    <n v="2"/>
    <s v="Road Vehicle"/>
    <n v="4"/>
    <x v="3"/>
    <x v="0"/>
    <n v="2"/>
    <x v="1"/>
    <s v="Munyonyo"/>
    <s v="Kampala"/>
    <s v="UGA"/>
    <n v="2"/>
    <s v="Work"/>
    <s v="Masaka"/>
    <s v="Masaka"/>
    <s v="UGA"/>
    <n v="8"/>
    <s v="Others"/>
    <x v="6"/>
    <n v="15000"/>
    <n v="65"/>
    <x v="1"/>
    <n v="2.5"/>
    <x v="1"/>
    <n v="6"/>
    <s v="Businessman"/>
    <n v="1"/>
    <x v="2"/>
    <n v="5"/>
    <n v="2"/>
    <n v="4"/>
    <n v="5"/>
    <n v="1"/>
    <s v="Y"/>
    <m/>
    <x v="0"/>
  </r>
  <r>
    <d v="2019-10-20T00:00:00"/>
    <d v="1899-12-30T07:18:00"/>
    <m/>
    <s v="P"/>
    <n v="2"/>
    <s v="Road Vehicle"/>
    <n v="4"/>
    <x v="3"/>
    <x v="0"/>
    <n v="2"/>
    <x v="1"/>
    <s v="Namulanda"/>
    <s v="Kampala"/>
    <s v="UGA"/>
    <n v="2"/>
    <s v="Work"/>
    <s v="Kyotera"/>
    <s v="Masaka"/>
    <s v="UGA"/>
    <n v="1"/>
    <s v="Home"/>
    <x v="1"/>
    <n v="15000"/>
    <n v="60"/>
    <x v="1"/>
    <n v="2.5"/>
    <x v="1"/>
    <n v="6"/>
    <s v="Businessman"/>
    <n v="1"/>
    <x v="2"/>
    <n v="5"/>
    <n v="2"/>
    <n v="4"/>
    <n v="4"/>
    <n v="1"/>
    <s v="Y"/>
    <m/>
    <x v="0"/>
  </r>
  <r>
    <d v="2019-10-20T00:00:00"/>
    <d v="1899-12-30T17:38:00"/>
    <m/>
    <s v="P"/>
    <n v="2"/>
    <s v="Road Vehicle"/>
    <n v="4"/>
    <x v="3"/>
    <x v="0"/>
    <n v="2"/>
    <x v="1"/>
    <s v="Kinoni"/>
    <s v="Masaka"/>
    <s v="UGA"/>
    <n v="2"/>
    <s v="Work"/>
    <s v="Masaka"/>
    <s v="Masaka"/>
    <s v="UGA"/>
    <n v="1"/>
    <s v="Home"/>
    <x v="1"/>
    <n v="3000"/>
    <n v="15"/>
    <x v="6"/>
    <n v="0.7"/>
    <x v="3"/>
    <n v="6"/>
    <s v="Businessman"/>
    <n v="1"/>
    <x v="2"/>
    <n v="2"/>
    <n v="2"/>
    <n v="1"/>
    <n v="2"/>
    <n v="2"/>
    <s v="Y"/>
    <m/>
    <x v="0"/>
  </r>
  <r>
    <d v="2019-10-20T00:00:00"/>
    <d v="1899-12-30T17:28:00"/>
    <m/>
    <s v="P"/>
    <n v="2"/>
    <s v="Road Vehicle"/>
    <n v="4"/>
    <x v="3"/>
    <x v="0"/>
    <n v="2"/>
    <x v="1"/>
    <s v="Kinoni"/>
    <s v="Masaka"/>
    <s v="UGA"/>
    <n v="2"/>
    <s v="Work"/>
    <s v="Masaka"/>
    <s v="Masaka"/>
    <s v="UGA"/>
    <n v="1"/>
    <s v="Home"/>
    <x v="1"/>
    <n v="3000"/>
    <n v="15"/>
    <x v="6"/>
    <n v="0.8"/>
    <x v="3"/>
    <n v="6"/>
    <s v="Businessman"/>
    <n v="1"/>
    <x v="2"/>
    <n v="2"/>
    <n v="2"/>
    <n v="2"/>
    <n v="2"/>
    <n v="2"/>
    <s v="Y"/>
    <m/>
    <x v="0"/>
  </r>
  <r>
    <d v="2019-10-20T00:00:00"/>
    <d v="1899-12-30T17:09:00"/>
    <m/>
    <s v="P"/>
    <n v="2"/>
    <s v="Road Vehicle"/>
    <n v="4"/>
    <x v="3"/>
    <x v="0"/>
    <n v="2"/>
    <x v="1"/>
    <s v="Lukaya"/>
    <s v="Masaka"/>
    <s v="UGA"/>
    <n v="2"/>
    <s v="Work"/>
    <s v="Masaka"/>
    <s v="Masaka"/>
    <s v="UGA"/>
    <n v="1"/>
    <s v="Home"/>
    <x v="1"/>
    <n v="3000"/>
    <n v="15"/>
    <x v="6"/>
    <n v="0.8"/>
    <x v="3"/>
    <n v="6"/>
    <s v="Businessman"/>
    <n v="1"/>
    <x v="2"/>
    <n v="1"/>
    <n v="2"/>
    <n v="2"/>
    <n v="2"/>
    <n v="2"/>
    <s v="Y"/>
    <m/>
    <x v="0"/>
  </r>
  <r>
    <d v="2019-10-20T00:00:00"/>
    <d v="1899-12-30T18:15:00"/>
    <m/>
    <s v="P"/>
    <n v="2"/>
    <s v="Road Vehicle"/>
    <n v="4"/>
    <x v="3"/>
    <x v="0"/>
    <n v="2"/>
    <x v="1"/>
    <s v="Lukaya"/>
    <s v="Masaka"/>
    <s v="UGA"/>
    <n v="2"/>
    <s v="Work"/>
    <s v="Masaka"/>
    <s v="Masaka"/>
    <s v="UGA"/>
    <n v="1"/>
    <s v="Home"/>
    <x v="1"/>
    <n v="7000"/>
    <n v="15"/>
    <x v="6"/>
    <n v="0.8"/>
    <x v="3"/>
    <n v="6"/>
    <s v="Businessman"/>
    <n v="1"/>
    <x v="2"/>
    <n v="2"/>
    <n v="4"/>
    <n v="1"/>
    <n v="2"/>
    <n v="1"/>
    <s v="Y"/>
    <m/>
    <x v="0"/>
  </r>
  <r>
    <d v="2019-10-20T00:00:00"/>
    <d v="1899-12-30T18:08:00"/>
    <m/>
    <s v="P"/>
    <n v="2"/>
    <s v="Road Vehicle"/>
    <n v="4"/>
    <x v="3"/>
    <x v="0"/>
    <n v="2"/>
    <x v="1"/>
    <s v="Kyotera"/>
    <s v="Masaka"/>
    <s v="UGA"/>
    <n v="2"/>
    <s v="Work"/>
    <s v="Masaka"/>
    <s v="Masaka"/>
    <s v="UGA"/>
    <n v="1"/>
    <s v="Home"/>
    <x v="1"/>
    <n v="3000"/>
    <n v="15"/>
    <x v="6"/>
    <n v="0.8"/>
    <x v="3"/>
    <n v="6"/>
    <s v="Businessman"/>
    <n v="1"/>
    <x v="2"/>
    <n v="2"/>
    <n v="4"/>
    <n v="1"/>
    <n v="5"/>
    <n v="1"/>
    <s v="Y"/>
    <m/>
    <x v="0"/>
  </r>
  <r>
    <d v="2019-10-20T00:00:00"/>
    <d v="1899-12-30T18:45:00"/>
    <m/>
    <s v="P"/>
    <n v="2"/>
    <s v="Road Vehicle"/>
    <n v="4"/>
    <x v="3"/>
    <x v="0"/>
    <n v="2"/>
    <x v="1"/>
    <s v="Lukaya"/>
    <s v="Masaka"/>
    <s v="UGA"/>
    <n v="2"/>
    <s v="Work"/>
    <s v="Masaka"/>
    <s v="Masaka"/>
    <s v="UGA"/>
    <n v="1"/>
    <s v="Home"/>
    <x v="1"/>
    <n v="3000"/>
    <n v="15"/>
    <x v="6"/>
    <n v="0.8"/>
    <x v="3"/>
    <n v="6"/>
    <s v="Businessman"/>
    <n v="1"/>
    <x v="2"/>
    <n v="2"/>
    <n v="1"/>
    <n v="2"/>
    <n v="2"/>
    <n v="2"/>
    <s v="Y"/>
    <m/>
    <x v="0"/>
  </r>
  <r>
    <d v="2019-10-20T00:00:00"/>
    <d v="1899-12-30T13:48:00"/>
    <m/>
    <s v="P"/>
    <n v="2"/>
    <s v="Road Vehicle"/>
    <n v="4"/>
    <x v="3"/>
    <x v="0"/>
    <n v="2"/>
    <x v="1"/>
    <s v="Masaka"/>
    <s v="Masaka"/>
    <s v="UGA"/>
    <n v="2"/>
    <s v="Work"/>
    <s v="Matete"/>
    <s v="Masaka"/>
    <s v="UGA"/>
    <n v="1"/>
    <s v="Home"/>
    <x v="1"/>
    <n v="7000"/>
    <n v="35"/>
    <x v="5"/>
    <n v="1.5"/>
    <x v="2"/>
    <n v="6"/>
    <s v="Businessman"/>
    <n v="1"/>
    <x v="2"/>
    <n v="2"/>
    <n v="2"/>
    <n v="2"/>
    <n v="1"/>
    <n v="2"/>
    <s v="Y"/>
    <m/>
    <x v="0"/>
  </r>
  <r>
    <d v="2019-10-20T00:00:00"/>
    <d v="1899-12-30T09:40:00"/>
    <m/>
    <s v="P"/>
    <n v="2"/>
    <s v="Road Vehicle"/>
    <n v="4"/>
    <x v="3"/>
    <x v="0"/>
    <n v="2"/>
    <x v="1"/>
    <s v="Kyabakuza"/>
    <s v="Masaka"/>
    <s v="UGA"/>
    <n v="2"/>
    <s v="Work"/>
    <s v="Masaka"/>
    <s v="Masaka"/>
    <s v="UGA"/>
    <n v="1"/>
    <s v="Home"/>
    <x v="1"/>
    <n v="5000"/>
    <n v="30"/>
    <x v="5"/>
    <n v="1"/>
    <x v="2"/>
    <n v="6"/>
    <s v="Businessman"/>
    <n v="1"/>
    <x v="2"/>
    <n v="5"/>
    <n v="4"/>
    <n v="4"/>
    <n v="2"/>
    <n v="2"/>
    <s v="Y"/>
    <m/>
    <x v="0"/>
  </r>
  <r>
    <d v="2019-10-20T00:00:00"/>
    <d v="1899-12-30T09:30:00"/>
    <m/>
    <s v="P"/>
    <n v="2"/>
    <s v="Road Vehicle"/>
    <n v="4"/>
    <x v="3"/>
    <x v="0"/>
    <n v="2"/>
    <x v="1"/>
    <s v="Kayabwe"/>
    <s v="Masaka"/>
    <s v="UGA"/>
    <n v="2"/>
    <s v="Work"/>
    <s v="Masaka"/>
    <s v="Masaka"/>
    <s v="UGA"/>
    <n v="1"/>
    <s v="Home"/>
    <x v="1"/>
    <n v="5000"/>
    <n v="35"/>
    <x v="5"/>
    <n v="1"/>
    <x v="2"/>
    <n v="6"/>
    <s v="Businessman"/>
    <n v="1"/>
    <x v="2"/>
    <n v="5"/>
    <n v="2"/>
    <n v="1"/>
    <n v="1"/>
    <n v="2"/>
    <s v="Y"/>
    <m/>
    <x v="0"/>
  </r>
  <r>
    <d v="2019-10-20T00:00:00"/>
    <d v="1899-12-30T09:20:00"/>
    <m/>
    <s v="P"/>
    <n v="2"/>
    <s v="Road Vehicle"/>
    <n v="4"/>
    <x v="3"/>
    <x v="0"/>
    <n v="2"/>
    <x v="1"/>
    <s v="Buwama"/>
    <s v="Masaka"/>
    <s v="UGA"/>
    <n v="2"/>
    <s v="Work"/>
    <s v="Masaka"/>
    <s v="Masaka"/>
    <s v="UGA"/>
    <n v="1"/>
    <s v="Home"/>
    <x v="1"/>
    <n v="7000"/>
    <n v="45"/>
    <x v="1"/>
    <n v="1"/>
    <x v="2"/>
    <n v="6"/>
    <s v="Businessman"/>
    <n v="1"/>
    <x v="2"/>
    <n v="5"/>
    <n v="4"/>
    <n v="5"/>
    <n v="5"/>
    <n v="5"/>
    <s v="Y"/>
    <m/>
    <x v="0"/>
  </r>
  <r>
    <d v="2019-10-20T00:00:00"/>
    <d v="1899-12-30T08:40:00"/>
    <m/>
    <s v="P"/>
    <n v="2"/>
    <s v="Road Vehicle"/>
    <n v="4"/>
    <x v="3"/>
    <x v="0"/>
    <n v="2"/>
    <x v="1"/>
    <s v="Mukono"/>
    <s v="Mukono"/>
    <s v="UGA"/>
    <n v="2"/>
    <s v="Work"/>
    <s v="Masaka"/>
    <s v="Masaka"/>
    <s v="UGA"/>
    <n v="1"/>
    <s v="Home"/>
    <x v="1"/>
    <n v="12000"/>
    <n v="65"/>
    <x v="1"/>
    <n v="2.5"/>
    <x v="1"/>
    <n v="6"/>
    <s v="Businessman"/>
    <n v="1"/>
    <x v="2"/>
    <n v="5"/>
    <n v="4"/>
    <n v="2"/>
    <n v="5"/>
    <n v="2"/>
    <s v="Y"/>
    <m/>
    <x v="0"/>
  </r>
  <r>
    <d v="2019-10-20T00:00:00"/>
    <d v="1899-12-30T08:18:00"/>
    <m/>
    <s v="P"/>
    <n v="2"/>
    <s v="Road Vehicle"/>
    <n v="4"/>
    <x v="3"/>
    <x v="0"/>
    <n v="2"/>
    <x v="1"/>
    <s v="Zzana"/>
    <s v="Kampala"/>
    <s v="UGA"/>
    <n v="2"/>
    <s v="Work"/>
    <s v="Masaka"/>
    <s v="Masaka"/>
    <s v="UGA"/>
    <n v="2"/>
    <s v="Work"/>
    <x v="5"/>
    <n v="12000"/>
    <n v="60"/>
    <x v="1"/>
    <n v="2"/>
    <x v="1"/>
    <n v="6"/>
    <s v="Businessman"/>
    <n v="1"/>
    <x v="2"/>
    <n v="5"/>
    <n v="2"/>
    <n v="2"/>
    <n v="5"/>
    <n v="2"/>
    <s v="Y"/>
    <m/>
    <x v="0"/>
  </r>
  <r>
    <d v="2019-10-20T00:00:00"/>
    <d v="1899-12-30T07:23:00"/>
    <m/>
    <s v="P"/>
    <n v="2"/>
    <s v="Road Vehicle"/>
    <n v="4"/>
    <x v="3"/>
    <x v="0"/>
    <n v="2"/>
    <x v="1"/>
    <s v="Kalisizo"/>
    <s v="Kalisizo"/>
    <s v="UGA"/>
    <n v="1"/>
    <s v="Home"/>
    <s v="Kampala"/>
    <s v="KAMPALA"/>
    <s v="UGA"/>
    <n v="4"/>
    <s v="Commercial"/>
    <x v="12"/>
    <n v="40000"/>
    <n v="360"/>
    <x v="3"/>
    <n v="3"/>
    <x v="1"/>
    <n v="1"/>
    <s v="Unemployed"/>
    <n v="1"/>
    <x v="2"/>
    <n v="1"/>
    <n v="1"/>
    <n v="1"/>
    <n v="5"/>
    <n v="5"/>
    <s v="Y"/>
    <n v="1000"/>
    <x v="1"/>
  </r>
  <r>
    <d v="2019-10-20T00:00:00"/>
    <d v="1899-12-30T08:52:00"/>
    <m/>
    <s v="P"/>
    <n v="2"/>
    <s v="Road Vehicle"/>
    <n v="4"/>
    <x v="3"/>
    <x v="0"/>
    <n v="2"/>
    <x v="1"/>
    <s v="Masaka"/>
    <s v="Masaka"/>
    <s v="UGA"/>
    <n v="6"/>
    <s v="Leisure/Social"/>
    <s v="Lukaya"/>
    <s v="Masaka"/>
    <s v="UGA"/>
    <n v="6"/>
    <s v="Leisure/Social"/>
    <x v="17"/>
    <n v="300"/>
    <n v="30"/>
    <x v="5"/>
    <n v="0.5"/>
    <x v="3"/>
    <n v="1"/>
    <s v="Unemployed"/>
    <n v="1"/>
    <x v="2"/>
    <n v="1"/>
    <n v="1"/>
    <n v="1"/>
    <n v="1"/>
    <n v="1"/>
    <s v="Y"/>
    <m/>
    <x v="0"/>
  </r>
  <r>
    <d v="2019-10-20T00:00:00"/>
    <d v="1899-12-30T09:36:00"/>
    <m/>
    <s v="P"/>
    <n v="2"/>
    <s v="Road Vehicle"/>
    <n v="4"/>
    <x v="3"/>
    <x v="0"/>
    <n v="2"/>
    <x v="1"/>
    <s v="Kalisizo"/>
    <s v="Kalisizo"/>
    <s v="UGA"/>
    <n v="1"/>
    <s v="Home"/>
    <s v="Kampala"/>
    <s v="KAMPALA"/>
    <s v="UGA"/>
    <n v="4"/>
    <s v="Commercial"/>
    <x v="12"/>
    <n v="35000"/>
    <n v="260"/>
    <x v="3"/>
    <n v="3"/>
    <x v="1"/>
    <n v="2"/>
    <s v="Manual Labour"/>
    <n v="2"/>
    <x v="1"/>
    <n v="5"/>
    <n v="1"/>
    <n v="5"/>
    <n v="1"/>
    <n v="1"/>
    <s v="Y"/>
    <n v="1000"/>
    <x v="1"/>
  </r>
  <r>
    <d v="2019-10-20T00:00:00"/>
    <d v="1899-12-30T14:18:00"/>
    <m/>
    <s v="P"/>
    <n v="2"/>
    <s v="Road Vehicle"/>
    <n v="4"/>
    <x v="3"/>
    <x v="0"/>
    <n v="2"/>
    <x v="1"/>
    <s v="Buwama"/>
    <s v="Masaka"/>
    <s v="UGA"/>
    <n v="1"/>
    <s v="Home"/>
    <s v="Masaka"/>
    <s v="Masaka"/>
    <s v="UGA"/>
    <n v="4"/>
    <s v="Commercial"/>
    <x v="12"/>
    <n v="7000"/>
    <n v="30"/>
    <x v="5"/>
    <n v="1.5"/>
    <x v="2"/>
    <n v="2"/>
    <s v="Manual Labour"/>
    <n v="2"/>
    <x v="1"/>
    <n v="5"/>
    <n v="5"/>
    <n v="5"/>
    <n v="5"/>
    <n v="1"/>
    <s v="Y"/>
    <n v="5000"/>
    <x v="2"/>
  </r>
  <r>
    <d v="2019-10-20T00:00:00"/>
    <d v="1899-12-30T16:00:00"/>
    <m/>
    <s v="P"/>
    <n v="2"/>
    <s v="Road Vehicle"/>
    <n v="4"/>
    <x v="3"/>
    <x v="0"/>
    <n v="2"/>
    <x v="1"/>
    <s v="Masaka"/>
    <s v="Masaka"/>
    <s v="UGA"/>
    <n v="1"/>
    <s v="Home"/>
    <s v="Lukaya"/>
    <s v="Masaka"/>
    <s v="UGA"/>
    <n v="4"/>
    <s v="Commercial"/>
    <x v="12"/>
    <n v="3000"/>
    <n v="1"/>
    <x v="4"/>
    <n v="0.3"/>
    <x v="4"/>
    <n v="2"/>
    <s v="Manual Labour"/>
    <n v="2"/>
    <x v="1"/>
    <n v="1"/>
    <n v="1"/>
    <n v="1"/>
    <n v="1"/>
    <n v="5"/>
    <s v="Y"/>
    <n v="1000"/>
    <x v="1"/>
  </r>
  <r>
    <d v="2019-10-20T00:00:00"/>
    <d v="1899-12-30T16:49:00"/>
    <m/>
    <s v="P"/>
    <n v="2"/>
    <s v="Road Vehicle"/>
    <n v="4"/>
    <x v="3"/>
    <x v="0"/>
    <n v="2"/>
    <x v="1"/>
    <s v="Masaka"/>
    <s v="Masaka"/>
    <s v="UGA"/>
    <n v="4"/>
    <s v="Commercial"/>
    <s v="Lwela"/>
    <s v="Masaka"/>
    <s v="UGA"/>
    <n v="1"/>
    <s v="Home"/>
    <x v="0"/>
    <n v="5000"/>
    <n v="35"/>
    <x v="5"/>
    <n v="0.5"/>
    <x v="3"/>
    <n v="1"/>
    <s v="Unemployed"/>
    <n v="1"/>
    <x v="2"/>
    <n v="1"/>
    <n v="1"/>
    <n v="1"/>
    <n v="5"/>
    <n v="5"/>
    <s v="Y"/>
    <m/>
    <x v="0"/>
  </r>
  <r>
    <d v="2019-10-20T00:00:00"/>
    <d v="1899-12-30T14:46:00"/>
    <m/>
    <s v="P"/>
    <n v="2"/>
    <s v="Road Vehicle"/>
    <n v="4"/>
    <x v="3"/>
    <x v="0"/>
    <n v="2"/>
    <x v="1"/>
    <s v="Kayabwe"/>
    <s v="Masaka"/>
    <s v="UGA"/>
    <n v="1"/>
    <s v="Home"/>
    <s v="Mbarara"/>
    <s v="Mbarara"/>
    <s v="UGA"/>
    <n v="6"/>
    <s v="Leisure/Social"/>
    <x v="3"/>
    <n v="15000"/>
    <n v="142"/>
    <x v="2"/>
    <n v="3"/>
    <x v="1"/>
    <n v="6"/>
    <s v="Businessman"/>
    <n v="4"/>
    <x v="3"/>
    <n v="1"/>
    <n v="1"/>
    <n v="1"/>
    <n v="1"/>
    <n v="1"/>
    <s v="Y"/>
    <n v="3000"/>
    <x v="5"/>
  </r>
  <r>
    <d v="2019-10-20T00:00:00"/>
    <d v="1899-12-30T10:32:00"/>
    <m/>
    <s v="P"/>
    <n v="2"/>
    <s v="Road Vehicle"/>
    <n v="4"/>
    <x v="3"/>
    <x v="0"/>
    <n v="2"/>
    <x v="1"/>
    <s v="Kyengera"/>
    <s v="Wakiso"/>
    <s v="UGA"/>
    <n v="1"/>
    <s v="Home"/>
    <s v="Kinoni"/>
    <s v="Masaka"/>
    <s v="UGA"/>
    <n v="6"/>
    <s v="Leisure/Social"/>
    <x v="3"/>
    <n v="20000"/>
    <n v="160"/>
    <x v="2"/>
    <n v="4"/>
    <x v="0"/>
    <n v="10"/>
    <s v="Other"/>
    <n v="3"/>
    <x v="0"/>
    <n v="2"/>
    <n v="2"/>
    <n v="2"/>
    <n v="2"/>
    <n v="2"/>
    <s v="Y"/>
    <m/>
    <x v="0"/>
  </r>
  <r>
    <d v="2019-10-20T00:00:00"/>
    <d v="1899-12-30T09:31:00"/>
    <s v="UAK 747R"/>
    <s v="D"/>
    <n v="2"/>
    <s v="Road Vehicle"/>
    <n v="4"/>
    <x v="3"/>
    <x v="0"/>
    <n v="2"/>
    <x v="1"/>
    <s v="Nyendo"/>
    <s v="Masaka"/>
    <s v="UGA"/>
    <n v="1"/>
    <s v="Home"/>
    <s v="Masaka"/>
    <s v="Masaka"/>
    <s v="UGA"/>
    <n v="6"/>
    <s v="Leisure/Social"/>
    <x v="3"/>
    <n v="6000"/>
    <n v="5"/>
    <x v="4"/>
    <n v="0.1"/>
    <x v="4"/>
    <n v="4"/>
    <s v="Office Worker"/>
    <n v="5"/>
    <x v="4"/>
    <n v="1"/>
    <n v="1"/>
    <n v="1"/>
    <n v="1"/>
    <n v="1"/>
    <s v="Y"/>
    <n v="5000"/>
    <x v="2"/>
  </r>
  <r>
    <d v="2019-10-20T00:00:00"/>
    <d v="1899-12-30T08:29:00"/>
    <m/>
    <s v="P"/>
    <n v="2"/>
    <s v="Road Vehicle"/>
    <n v="4"/>
    <x v="3"/>
    <x v="0"/>
    <n v="2"/>
    <x v="1"/>
    <s v="Buwama"/>
    <s v="Masaka"/>
    <s v="UGA"/>
    <n v="1"/>
    <s v="Home"/>
    <s v="Matete"/>
    <s v="Masaka"/>
    <s v="UGA"/>
    <n v="6"/>
    <s v="Leisure/Social"/>
    <x v="3"/>
    <n v="14000"/>
    <n v="61"/>
    <x v="1"/>
    <n v="1"/>
    <x v="2"/>
    <n v="6"/>
    <s v="Businessman"/>
    <n v="2"/>
    <x v="1"/>
    <n v="4"/>
    <n v="1"/>
    <n v="1"/>
    <n v="3"/>
    <n v="3"/>
    <s v="Y"/>
    <n v="1000"/>
    <x v="1"/>
  </r>
  <r>
    <d v="2019-10-20T00:00:00"/>
    <d v="1899-12-30T08:09:00"/>
    <m/>
    <s v="P"/>
    <n v="2"/>
    <s v="Road Vehicle"/>
    <n v="4"/>
    <x v="3"/>
    <x v="0"/>
    <n v="2"/>
    <x v="1"/>
    <s v="Kinoni"/>
    <s v="Masaka"/>
    <s v="UGA"/>
    <n v="1"/>
    <s v="Home"/>
    <s v="Buwama"/>
    <s v="Masaka"/>
    <s v="UGA"/>
    <n v="6"/>
    <s v="Leisure/Social"/>
    <x v="3"/>
    <n v="10000"/>
    <n v="49"/>
    <x v="1"/>
    <n v="1.5"/>
    <x v="2"/>
    <n v="6"/>
    <s v="Businessman"/>
    <n v="2"/>
    <x v="1"/>
    <n v="4"/>
    <n v="4"/>
    <n v="2"/>
    <n v="2"/>
    <n v="2"/>
    <s v="Y"/>
    <n v="2000"/>
    <x v="4"/>
  </r>
  <r>
    <d v="2019-10-20T00:00:00"/>
    <d v="1899-12-30T07:39:00"/>
    <m/>
    <s v="P"/>
    <n v="2"/>
    <s v="Road Vehicle"/>
    <n v="4"/>
    <x v="3"/>
    <x v="0"/>
    <n v="2"/>
    <x v="1"/>
    <s v="Kasange"/>
    <s v="Kampala"/>
    <s v="UGA"/>
    <n v="2"/>
    <s v="Work"/>
    <s v="Masaka"/>
    <s v="Masaka"/>
    <s v="UGA"/>
    <n v="1"/>
    <s v="Home"/>
    <x v="1"/>
    <n v="15000"/>
    <n v="110"/>
    <x v="2"/>
    <n v="3"/>
    <x v="1"/>
    <n v="5"/>
    <s v="Professional"/>
    <n v="2"/>
    <x v="1"/>
    <n v="2"/>
    <n v="1"/>
    <n v="1"/>
    <n v="2"/>
    <n v="2"/>
    <s v="Y"/>
    <n v="2000"/>
    <x v="4"/>
  </r>
  <r>
    <d v="2019-10-19T00:00:00"/>
    <d v="1899-12-30T13:22:00"/>
    <s v="UAM 009H"/>
    <s v="D"/>
    <n v="2"/>
    <s v="Road Vehicle"/>
    <n v="4"/>
    <x v="3"/>
    <x v="1"/>
    <n v="2"/>
    <x v="1"/>
    <s v="Kampala"/>
    <s v="Kampala"/>
    <s v="UGA"/>
    <n v="2"/>
    <s v="Work"/>
    <s v="Masaka"/>
    <s v="Masaka"/>
    <s v="UGA"/>
    <n v="8"/>
    <s v="Others"/>
    <x v="6"/>
    <n v="70000"/>
    <n v="45"/>
    <x v="1"/>
    <n v="2"/>
    <x v="1"/>
    <n v="5"/>
    <s v="Professional"/>
    <n v="1"/>
    <x v="2"/>
    <n v="5"/>
    <n v="4"/>
    <n v="5"/>
    <n v="5"/>
    <n v="5"/>
    <s v="Y"/>
    <n v="1000"/>
    <x v="1"/>
  </r>
  <r>
    <d v="2019-10-19T00:00:00"/>
    <d v="1899-12-30T13:30:00"/>
    <s v="UAS 506S"/>
    <s v="D"/>
    <n v="2"/>
    <s v="Road Vehicle"/>
    <n v="4"/>
    <x v="3"/>
    <x v="1"/>
    <n v="2"/>
    <x v="1"/>
    <s v="Masaka"/>
    <s v="Masaka"/>
    <s v="UGA"/>
    <n v="2"/>
    <s v="Work"/>
    <s v="Kyotera"/>
    <s v="Masaka"/>
    <s v="UGA"/>
    <n v="8"/>
    <s v="Others"/>
    <x v="6"/>
    <n v="30000"/>
    <n v="15"/>
    <x v="6"/>
    <n v="0.5"/>
    <x v="3"/>
    <n v="5"/>
    <s v="Professional"/>
    <n v="1"/>
    <x v="2"/>
    <n v="5"/>
    <n v="2"/>
    <n v="2"/>
    <n v="2"/>
    <n v="2"/>
    <s v="Y"/>
    <n v="2000"/>
    <x v="4"/>
  </r>
  <r>
    <d v="2019-10-19T00:00:00"/>
    <d v="1899-12-30T15:33:00"/>
    <m/>
    <s v="P"/>
    <n v="2"/>
    <s v="Road Vehicle"/>
    <n v="4"/>
    <x v="3"/>
    <x v="1"/>
    <n v="2"/>
    <x v="1"/>
    <s v="Masaka"/>
    <s v="Masaka"/>
    <s v="UGA"/>
    <n v="2"/>
    <s v="Work"/>
    <s v="Matete"/>
    <s v="Masaka"/>
    <s v="UGA"/>
    <n v="1"/>
    <s v="Home"/>
    <x v="1"/>
    <n v="7000"/>
    <n v="35"/>
    <x v="5"/>
    <n v="1"/>
    <x v="2"/>
    <n v="6"/>
    <s v="Businessman"/>
    <n v="1"/>
    <x v="2"/>
    <n v="2"/>
    <n v="2"/>
    <n v="2"/>
    <n v="5"/>
    <n v="2"/>
    <s v="Y"/>
    <m/>
    <x v="0"/>
  </r>
  <r>
    <d v="2019-10-19T00:00:00"/>
    <d v="1899-12-30T09:18:00"/>
    <s v="UAL 814R"/>
    <s v="D"/>
    <n v="2"/>
    <s v="Road Vehicle"/>
    <n v="4"/>
    <x v="3"/>
    <x v="1"/>
    <n v="2"/>
    <x v="1"/>
    <s v="Kampala"/>
    <s v="Kampala"/>
    <s v="UGA"/>
    <n v="2"/>
    <s v="Work"/>
    <s v="Kyotera"/>
    <s v="Masaka"/>
    <s v="UGA"/>
    <n v="8"/>
    <s v="Others"/>
    <x v="6"/>
    <n v="70000"/>
    <n v="50"/>
    <x v="1"/>
    <n v="2"/>
    <x v="1"/>
    <n v="1"/>
    <s v="Unemployed"/>
    <n v="1"/>
    <x v="2"/>
    <n v="5"/>
    <n v="5"/>
    <n v="5"/>
    <n v="5"/>
    <n v="5"/>
    <s v="Y"/>
    <n v="2000"/>
    <x v="4"/>
  </r>
  <r>
    <d v="2019-10-19T00:00:00"/>
    <d v="1899-12-30T17:13:00"/>
    <m/>
    <s v="P"/>
    <n v="2"/>
    <s v="Road Vehicle"/>
    <n v="4"/>
    <x v="3"/>
    <x v="1"/>
    <n v="2"/>
    <x v="1"/>
    <s v="Kampala"/>
    <s v="Kampala"/>
    <s v="UGA"/>
    <n v="2"/>
    <s v="Work"/>
    <s v="Kyotera"/>
    <s v="Masaka"/>
    <s v="UGA"/>
    <n v="1"/>
    <s v="Home"/>
    <x v="1"/>
    <n v="15000"/>
    <n v="50"/>
    <x v="1"/>
    <n v="2.5"/>
    <x v="1"/>
    <n v="6"/>
    <s v="Businessman"/>
    <n v="1"/>
    <x v="2"/>
    <n v="2"/>
    <n v="2"/>
    <n v="2"/>
    <n v="5"/>
    <n v="1"/>
    <s v="Y"/>
    <m/>
    <x v="0"/>
  </r>
  <r>
    <d v="2019-10-19T00:00:00"/>
    <d v="1899-12-30T11:12:00"/>
    <s v="UAM 049G"/>
    <s v="D"/>
    <n v="2"/>
    <s v="Road Vehicle"/>
    <n v="4"/>
    <x v="3"/>
    <x v="1"/>
    <n v="2"/>
    <x v="1"/>
    <s v="Masaka"/>
    <s v="Masaka"/>
    <s v="UGA"/>
    <n v="2"/>
    <s v="Work"/>
    <s v="Kyotera"/>
    <s v="Masaka"/>
    <s v="UGA"/>
    <n v="8"/>
    <s v="Others"/>
    <x v="6"/>
    <n v="30000"/>
    <n v="15"/>
    <x v="6"/>
    <n v="0.8"/>
    <x v="3"/>
    <n v="5"/>
    <s v="Professional"/>
    <n v="1"/>
    <x v="2"/>
    <n v="5"/>
    <n v="2"/>
    <n v="2"/>
    <n v="5"/>
    <n v="2"/>
    <s v="Y"/>
    <n v="1000"/>
    <x v="1"/>
  </r>
  <r>
    <d v="2019-10-19T00:00:00"/>
    <d v="1899-12-30T10:38:00"/>
    <m/>
    <s v="P"/>
    <n v="2"/>
    <s v="Road Vehicle"/>
    <n v="4"/>
    <x v="3"/>
    <x v="1"/>
    <n v="2"/>
    <x v="1"/>
    <s v="Lukaya"/>
    <s v="Masaka"/>
    <s v="UGA"/>
    <n v="1"/>
    <s v="Home"/>
    <s v="Masaka"/>
    <s v="Masaka"/>
    <s v="UGA"/>
    <n v="2"/>
    <s v="Work"/>
    <x v="8"/>
    <n v="3000"/>
    <n v="15"/>
    <x v="6"/>
    <n v="0.8"/>
    <x v="3"/>
    <n v="6"/>
    <s v="Businessman"/>
    <n v="1"/>
    <x v="2"/>
    <n v="5"/>
    <n v="5"/>
    <n v="5"/>
    <n v="2"/>
    <n v="2"/>
    <s v="Y"/>
    <m/>
    <x v="0"/>
  </r>
  <r>
    <d v="2019-10-19T00:00:00"/>
    <d v="1899-12-30T07:50:00"/>
    <s v="UAZ 712C"/>
    <s v="D"/>
    <n v="2"/>
    <s v="Road Vehicle"/>
    <n v="4"/>
    <x v="3"/>
    <x v="1"/>
    <n v="2"/>
    <x v="1"/>
    <s v="Masaka"/>
    <s v="Masaka"/>
    <s v="UGA"/>
    <n v="2"/>
    <s v="Work"/>
    <s v="Kinoni"/>
    <s v="Masaka"/>
    <s v="UGA"/>
    <n v="8"/>
    <s v="Others"/>
    <x v="6"/>
    <n v="30000"/>
    <n v="15"/>
    <x v="6"/>
    <n v="0.8"/>
    <x v="3"/>
    <n v="10"/>
    <s v="Other"/>
    <n v="1"/>
    <x v="2"/>
    <n v="5"/>
    <n v="3"/>
    <n v="2"/>
    <n v="5"/>
    <n v="2"/>
    <s v="Y"/>
    <m/>
    <x v="0"/>
  </r>
  <r>
    <d v="2019-10-19T00:00:00"/>
    <d v="1899-12-30T10:38:00"/>
    <m/>
    <s v="P"/>
    <n v="2"/>
    <s v="Road Vehicle"/>
    <n v="4"/>
    <x v="3"/>
    <x v="1"/>
    <n v="2"/>
    <x v="1"/>
    <s v="Lukaya"/>
    <s v="Masaka"/>
    <s v="UGA"/>
    <n v="1"/>
    <s v="Home"/>
    <s v="Masaka"/>
    <s v="Masaka"/>
    <s v="UGA"/>
    <n v="2"/>
    <s v="Work"/>
    <x v="8"/>
    <n v="3000"/>
    <n v="15"/>
    <x v="6"/>
    <n v="0.8"/>
    <x v="3"/>
    <n v="6"/>
    <s v="Businessman"/>
    <n v="1"/>
    <x v="2"/>
    <n v="5"/>
    <n v="5"/>
    <n v="5"/>
    <n v="2"/>
    <n v="2"/>
    <s v="Y"/>
    <m/>
    <x v="0"/>
  </r>
  <r>
    <d v="2019-10-19T00:00:00"/>
    <d v="1899-12-30T07:50:00"/>
    <s v="UAZ 712C"/>
    <s v="D"/>
    <n v="2"/>
    <s v="Road Vehicle"/>
    <n v="4"/>
    <x v="3"/>
    <x v="1"/>
    <n v="2"/>
    <x v="1"/>
    <s v="Masaka"/>
    <s v="Masaka"/>
    <s v="UGA"/>
    <n v="2"/>
    <s v="Work"/>
    <s v="Kinoni"/>
    <s v="Masaka"/>
    <s v="UGA"/>
    <n v="8"/>
    <s v="Others"/>
    <x v="6"/>
    <n v="30000"/>
    <n v="15"/>
    <x v="6"/>
    <n v="0.8"/>
    <x v="3"/>
    <n v="10"/>
    <s v="Other"/>
    <n v="1"/>
    <x v="2"/>
    <n v="5"/>
    <n v="3"/>
    <n v="2"/>
    <n v="5"/>
    <n v="2"/>
    <s v="Y"/>
    <m/>
    <x v="0"/>
  </r>
  <r>
    <d v="2019-10-19T00:00:00"/>
    <d v="1899-12-30T08:00:00"/>
    <s v="UAU 780U"/>
    <s v="D"/>
    <n v="2"/>
    <s v="Road Vehicle"/>
    <n v="4"/>
    <x v="3"/>
    <x v="1"/>
    <n v="2"/>
    <x v="1"/>
    <s v="Masaka"/>
    <s v="Masaka"/>
    <s v="UGA"/>
    <n v="2"/>
    <s v="Work"/>
    <s v="Kyengera"/>
    <s v="WAKISO"/>
    <s v="UGA"/>
    <n v="8"/>
    <s v="Others"/>
    <x v="6"/>
    <n v="80000"/>
    <n v="40"/>
    <x v="1"/>
    <n v="2"/>
    <x v="1"/>
    <n v="10"/>
    <s v="Other"/>
    <n v="1"/>
    <x v="2"/>
    <n v="5"/>
    <n v="2"/>
    <n v="2"/>
    <n v="5"/>
    <n v="5"/>
    <s v="Y"/>
    <m/>
    <x v="0"/>
  </r>
  <r>
    <d v="2019-10-19T00:00:00"/>
    <d v="1899-12-30T07:55:00"/>
    <s v="UAM 542M"/>
    <s v="D"/>
    <n v="2"/>
    <s v="Road Vehicle"/>
    <n v="4"/>
    <x v="3"/>
    <x v="1"/>
    <n v="2"/>
    <x v="1"/>
    <s v="Masaka"/>
    <s v="Masaka"/>
    <s v="UGA"/>
    <n v="2"/>
    <s v="Work"/>
    <s v="Kyotera"/>
    <s v="Masaka"/>
    <s v="UGA"/>
    <n v="2"/>
    <s v="Work"/>
    <x v="5"/>
    <n v="20000"/>
    <n v="10"/>
    <x v="6"/>
    <n v="0.8"/>
    <x v="3"/>
    <n v="10"/>
    <s v="Other"/>
    <n v="1"/>
    <x v="2"/>
    <n v="2"/>
    <n v="2"/>
    <n v="2"/>
    <n v="2"/>
    <n v="2"/>
    <s v="Y"/>
    <m/>
    <x v="0"/>
  </r>
  <r>
    <d v="2019-10-19T00:00:00"/>
    <d v="1899-12-30T09:00:00"/>
    <m/>
    <s v="D"/>
    <n v="2"/>
    <s v="Road Vehicle"/>
    <n v="4"/>
    <x v="3"/>
    <x v="1"/>
    <n v="2"/>
    <x v="1"/>
    <s v="Lukaya"/>
    <s v="Masaka"/>
    <s v="UGA"/>
    <n v="2"/>
    <s v="Work"/>
    <s v="Masaka"/>
    <s v="Masaka"/>
    <s v="UGA"/>
    <n v="2"/>
    <s v="Work"/>
    <x v="5"/>
    <n v="30000"/>
    <n v="10"/>
    <x v="6"/>
    <n v="0.7"/>
    <x v="3"/>
    <n v="1"/>
    <s v="Unemployed"/>
    <n v="1"/>
    <x v="2"/>
    <n v="2"/>
    <n v="4"/>
    <n v="5"/>
    <n v="5"/>
    <n v="5"/>
    <s v="Y"/>
    <m/>
    <x v="0"/>
  </r>
  <r>
    <d v="2019-10-19T00:00:00"/>
    <d v="1899-12-30T08:15:00"/>
    <m/>
    <s v="D"/>
    <n v="2"/>
    <s v="Road Vehicle"/>
    <n v="4"/>
    <x v="3"/>
    <x v="1"/>
    <n v="2"/>
    <x v="1"/>
    <s v="Kayabwe"/>
    <s v="Masaka"/>
    <s v="UGA"/>
    <n v="2"/>
    <s v="Work"/>
    <s v="Masaka"/>
    <s v="Masaka"/>
    <s v="UGA"/>
    <n v="8"/>
    <s v="Others"/>
    <x v="6"/>
    <n v="60000"/>
    <n v="30"/>
    <x v="5"/>
    <n v="1.5"/>
    <x v="2"/>
    <n v="10"/>
    <s v="Other"/>
    <n v="1"/>
    <x v="2"/>
    <n v="5"/>
    <n v="2"/>
    <n v="2"/>
    <n v="5"/>
    <n v="2"/>
    <s v="Y"/>
    <n v="1000"/>
    <x v="1"/>
  </r>
  <r>
    <d v="2019-10-19T00:00:00"/>
    <d v="1899-12-30T15:29:00"/>
    <m/>
    <s v="P"/>
    <n v="2"/>
    <s v="Road Vehicle"/>
    <n v="4"/>
    <x v="3"/>
    <x v="1"/>
    <n v="2"/>
    <x v="1"/>
    <s v="Kyotera"/>
    <s v="Masaka"/>
    <s v="UGA"/>
    <n v="1"/>
    <s v="Home"/>
    <s v="Masaka"/>
    <s v="Masaka"/>
    <s v="UGA"/>
    <n v="6"/>
    <s v="Leisure/Social"/>
    <x v="3"/>
    <n v="6000"/>
    <n v="31"/>
    <x v="5"/>
    <n v="1"/>
    <x v="2"/>
    <n v="1"/>
    <s v="Unemployed"/>
    <n v="2"/>
    <x v="1"/>
    <n v="3"/>
    <n v="2"/>
    <n v="2"/>
    <n v="1"/>
    <n v="1"/>
    <s v="Y"/>
    <m/>
    <x v="0"/>
  </r>
  <r>
    <d v="2019-10-19T00:00:00"/>
    <d v="1899-12-30T15:42:00"/>
    <m/>
    <s v="P"/>
    <n v="2"/>
    <s v="Road Vehicle"/>
    <n v="4"/>
    <x v="3"/>
    <x v="1"/>
    <n v="2"/>
    <x v="1"/>
    <s v="Kyengera"/>
    <s v="Wakiso"/>
    <s v="UGA"/>
    <n v="2"/>
    <s v="Work"/>
    <s v="Masaka"/>
    <s v="Masaka"/>
    <s v="UGA"/>
    <n v="1"/>
    <s v="Home"/>
    <x v="1"/>
    <n v="11000"/>
    <n v="108"/>
    <x v="2"/>
    <n v="3"/>
    <x v="1"/>
    <n v="6"/>
    <s v="Businessman"/>
    <n v="3"/>
    <x v="0"/>
    <n v="2"/>
    <n v="2"/>
    <n v="1"/>
    <n v="1"/>
    <n v="2"/>
    <s v="Y"/>
    <n v="2000"/>
    <x v="4"/>
  </r>
  <r>
    <d v="2019-10-19T00:00:00"/>
    <d v="1899-12-30T13:03:00"/>
    <m/>
    <s v="D"/>
    <n v="2"/>
    <s v="Road Vehicle"/>
    <n v="4"/>
    <x v="3"/>
    <x v="1"/>
    <n v="2"/>
    <x v="1"/>
    <s v="Kampala"/>
    <s v="Kampala"/>
    <s v="UGA"/>
    <n v="2"/>
    <s v="Work"/>
    <s v="Masaka"/>
    <s v="Masaka"/>
    <s v="UGA"/>
    <n v="2"/>
    <s v="Work"/>
    <x v="5"/>
    <n v="120000"/>
    <n v="118"/>
    <x v="2"/>
    <n v="3"/>
    <x v="1"/>
    <n v="5"/>
    <s v="Professional"/>
    <n v="3"/>
    <x v="0"/>
    <n v="4"/>
    <n v="2"/>
    <n v="2"/>
    <n v="2"/>
    <n v="2"/>
    <s v="Y"/>
    <m/>
    <x v="0"/>
  </r>
  <r>
    <d v="2019-10-19T00:00:00"/>
    <d v="1899-12-30T08:47:00"/>
    <s v="UBD 221L"/>
    <s v="D"/>
    <n v="2"/>
    <s v="Road Vehicle"/>
    <n v="4"/>
    <x v="3"/>
    <x v="1"/>
    <n v="2"/>
    <x v="1"/>
    <s v="Mutukula"/>
    <s v="Masaka"/>
    <s v="UGA"/>
    <n v="2"/>
    <s v="Work"/>
    <s v="Masaka"/>
    <s v="Masaka"/>
    <s v="UGA"/>
    <n v="2"/>
    <s v="Work"/>
    <x v="5"/>
    <n v="40000"/>
    <n v="22"/>
    <x v="5"/>
    <n v="1"/>
    <x v="2"/>
    <n v="6"/>
    <s v="Businessman"/>
    <n v="3"/>
    <x v="0"/>
    <n v="2"/>
    <n v="2"/>
    <n v="2"/>
    <n v="2"/>
    <n v="2"/>
    <s v="Y"/>
    <n v="2000"/>
    <x v="4"/>
  </r>
  <r>
    <d v="2019-10-19T00:00:00"/>
    <d v="1899-12-30T08:11:00"/>
    <s v="UAQ 213H"/>
    <s v="D"/>
    <n v="2"/>
    <s v="Road Vehicle"/>
    <n v="4"/>
    <x v="3"/>
    <x v="1"/>
    <n v="2"/>
    <x v="1"/>
    <s v="Masaka"/>
    <s v="Masaka"/>
    <s v="UGA"/>
    <n v="2"/>
    <s v="Work"/>
    <s v="Matete"/>
    <s v="Masaka"/>
    <s v="UGA"/>
    <n v="2"/>
    <s v="Work"/>
    <x v="5"/>
    <n v="40000"/>
    <n v="40"/>
    <x v="1"/>
    <n v="1.5"/>
    <x v="2"/>
    <n v="5"/>
    <s v="Professional"/>
    <n v="2"/>
    <x v="1"/>
    <n v="4"/>
    <n v="3"/>
    <n v="5"/>
    <n v="2"/>
    <n v="2"/>
    <s v="Y"/>
    <n v="3000"/>
    <x v="5"/>
  </r>
  <r>
    <d v="2019-10-19T00:00:00"/>
    <d v="1899-12-30T07:49:00"/>
    <s v="UAS 732Q"/>
    <s v="D"/>
    <n v="2"/>
    <s v="Road Vehicle"/>
    <n v="4"/>
    <x v="3"/>
    <x v="1"/>
    <n v="2"/>
    <x v="1"/>
    <s v="Masaka"/>
    <s v="Masaka"/>
    <s v="UGA"/>
    <n v="2"/>
    <s v="Work"/>
    <s v="Kyotera"/>
    <s v="Masaka"/>
    <s v="UGA"/>
    <n v="2"/>
    <s v="Work"/>
    <x v="5"/>
    <n v="40000"/>
    <n v="13"/>
    <x v="6"/>
    <n v="40"/>
    <x v="0"/>
    <n v="2"/>
    <s v="Manual Labour"/>
    <n v="2"/>
    <x v="1"/>
    <n v="3"/>
    <n v="3"/>
    <n v="2"/>
    <n v="2"/>
    <n v="2"/>
    <s v="Y"/>
    <n v="1000"/>
    <x v="1"/>
  </r>
  <r>
    <d v="2019-10-19T00:00:00"/>
    <d v="1899-12-30T17:07:00"/>
    <s v="UAN 246E"/>
    <s v="D"/>
    <n v="2"/>
    <s v="Road Vehicle"/>
    <n v="4"/>
    <x v="3"/>
    <x v="1"/>
    <n v="2"/>
    <x v="1"/>
    <s v="Rwengo"/>
    <s v="Rwengo"/>
    <s v="UGA"/>
    <n v="4"/>
    <s v="Commercial"/>
    <s v="Masaka"/>
    <s v="Masaka"/>
    <s v="UGA"/>
    <n v="4"/>
    <s v="Commercial"/>
    <x v="13"/>
    <n v="30000"/>
    <n v="30"/>
    <x v="5"/>
    <n v="2"/>
    <x v="1"/>
    <n v="10"/>
    <s v="Other"/>
    <n v="2"/>
    <x v="1"/>
    <n v="5"/>
    <n v="5"/>
    <n v="5"/>
    <n v="1"/>
    <n v="5"/>
    <s v="Y"/>
    <n v="1000"/>
    <x v="1"/>
  </r>
  <r>
    <d v="2019-10-19T00:00:00"/>
    <d v="1899-12-30T16:40:00"/>
    <s v="UBA 971V"/>
    <s v="D"/>
    <n v="2"/>
    <s v="Road Vehicle"/>
    <n v="4"/>
    <x v="3"/>
    <x v="1"/>
    <n v="2"/>
    <x v="1"/>
    <s v="Masaka"/>
    <s v="Masaka"/>
    <s v="UGA"/>
    <n v="4"/>
    <s v="Commercial"/>
    <s v="Kampala"/>
    <s v="KAMPALA"/>
    <s v="UGA"/>
    <n v="4"/>
    <s v="Commercial"/>
    <x v="13"/>
    <n v="500000"/>
    <n v="137"/>
    <x v="2"/>
    <n v="2"/>
    <x v="1"/>
    <n v="2"/>
    <s v="Manual Labour"/>
    <n v="2"/>
    <x v="1"/>
    <n v="1"/>
    <n v="1"/>
    <n v="1"/>
    <n v="5"/>
    <n v="5"/>
    <s v="Y"/>
    <n v="2000"/>
    <x v="4"/>
  </r>
  <r>
    <d v="2019-10-19T00:00:00"/>
    <d v="1899-12-30T15:19:00"/>
    <s v="UAZ 335K"/>
    <s v="P"/>
    <n v="2"/>
    <s v="Road Vehicle"/>
    <n v="4"/>
    <x v="3"/>
    <x v="1"/>
    <n v="2"/>
    <x v="1"/>
    <s v="Masaka"/>
    <s v="Masaka"/>
    <s v="UGA"/>
    <n v="6"/>
    <s v="Leisure/Social"/>
    <s v="Lukaya"/>
    <s v="Masaka"/>
    <s v="UGA"/>
    <n v="6"/>
    <s v="Leisure/Social"/>
    <x v="17"/>
    <n v="5000"/>
    <n v="20"/>
    <x v="5"/>
    <n v="0.5"/>
    <x v="3"/>
    <n v="2"/>
    <s v="Manual Labour"/>
    <n v="1"/>
    <x v="2"/>
    <n v="1"/>
    <n v="1"/>
    <n v="1"/>
    <n v="2"/>
    <n v="1"/>
    <s v="Y"/>
    <n v="1000"/>
    <x v="1"/>
  </r>
  <r>
    <d v="2019-10-19T00:00:00"/>
    <d v="1899-12-30T15:11:00"/>
    <s v="UBD 432F"/>
    <s v="D"/>
    <n v="2"/>
    <s v="Road Vehicle"/>
    <n v="4"/>
    <x v="3"/>
    <x v="1"/>
    <n v="2"/>
    <x v="1"/>
    <s v="Masaka"/>
    <s v="Masaka"/>
    <s v="UGA"/>
    <n v="4"/>
    <s v="Commercial"/>
    <s v="Kyotera"/>
    <s v="Masaka"/>
    <s v="UGA"/>
    <n v="1"/>
    <s v="Home"/>
    <x v="0"/>
    <n v="20000"/>
    <n v="40"/>
    <x v="1"/>
    <n v="0.5"/>
    <x v="3"/>
    <n v="2"/>
    <s v="Manual Labour"/>
    <n v="2"/>
    <x v="1"/>
    <n v="1"/>
    <n v="1"/>
    <n v="1"/>
    <n v="1"/>
    <n v="1"/>
    <s v="Y"/>
    <n v="1000"/>
    <x v="1"/>
  </r>
  <r>
    <d v="2019-10-19T00:00:00"/>
    <d v="1899-12-30T14:52:00"/>
    <s v="UBD 659G"/>
    <s v="D"/>
    <n v="2"/>
    <s v="Road Vehicle"/>
    <n v="4"/>
    <x v="3"/>
    <x v="1"/>
    <n v="2"/>
    <x v="1"/>
    <s v="Masaka"/>
    <s v="Masaka"/>
    <s v="UGA"/>
    <n v="4"/>
    <s v="Commercial"/>
    <s v="Buwama"/>
    <s v="Masaka"/>
    <s v="UGA"/>
    <n v="4"/>
    <s v="Commercial"/>
    <x v="13"/>
    <n v="20000"/>
    <n v="30"/>
    <x v="5"/>
    <n v="0.5"/>
    <x v="3"/>
    <n v="2"/>
    <s v="Manual Labour"/>
    <n v="2"/>
    <x v="1"/>
    <n v="1"/>
    <n v="1"/>
    <n v="1"/>
    <n v="1"/>
    <n v="1"/>
    <s v="Y"/>
    <n v="3000"/>
    <x v="5"/>
  </r>
  <r>
    <d v="2019-10-20T00:00:00"/>
    <d v="1899-12-30T17:19:00"/>
    <m/>
    <s v="P"/>
    <n v="2"/>
    <s v="Road Vehicle"/>
    <n v="4"/>
    <x v="3"/>
    <x v="1"/>
    <n v="2"/>
    <x v="1"/>
    <s v="Lukaya"/>
    <s v="Masaka"/>
    <s v="UGA"/>
    <n v="2"/>
    <s v="Work"/>
    <s v="Masaka"/>
    <s v="Masaka"/>
    <s v="UGA"/>
    <n v="1"/>
    <s v="Home"/>
    <x v="1"/>
    <n v="3000"/>
    <n v="15"/>
    <x v="6"/>
    <n v="0.8"/>
    <x v="3"/>
    <n v="6"/>
    <s v="Businessman"/>
    <n v="1"/>
    <x v="2"/>
    <n v="5"/>
    <n v="5"/>
    <n v="5"/>
    <n v="5"/>
    <n v="5"/>
    <s v="Y"/>
    <m/>
    <x v="0"/>
  </r>
  <r>
    <d v="2019-10-20T00:00:00"/>
    <d v="1899-12-30T18:20:00"/>
    <m/>
    <s v="P"/>
    <n v="2"/>
    <s v="Road Vehicle"/>
    <n v="4"/>
    <x v="3"/>
    <x v="1"/>
    <n v="2"/>
    <x v="1"/>
    <s v="Kinoni"/>
    <s v="Masaka"/>
    <s v="UGA"/>
    <n v="2"/>
    <s v="Work"/>
    <s v="Masaka"/>
    <s v="Masaka"/>
    <s v="UGA"/>
    <n v="4"/>
    <s v="Commercial"/>
    <x v="21"/>
    <n v="3000"/>
    <n v="15"/>
    <x v="6"/>
    <n v="0.8"/>
    <x v="3"/>
    <n v="7"/>
    <s v="Farmer"/>
    <n v="1"/>
    <x v="2"/>
    <n v="2"/>
    <n v="2"/>
    <n v="4"/>
    <n v="5"/>
    <n v="1"/>
    <s v="Y"/>
    <m/>
    <x v="0"/>
  </r>
  <r>
    <d v="2019-10-20T00:00:00"/>
    <d v="1899-12-30T08:50:00"/>
    <m/>
    <s v="D"/>
    <n v="2"/>
    <s v="Road Vehicle"/>
    <n v="4"/>
    <x v="3"/>
    <x v="1"/>
    <n v="2"/>
    <x v="1"/>
    <s v="Kyotera"/>
    <s v="Masaka"/>
    <s v="UGA"/>
    <n v="2"/>
    <s v="Work"/>
    <s v="Kampala"/>
    <s v="KAMPALA"/>
    <s v="UGA"/>
    <n v="8"/>
    <s v="Others"/>
    <x v="6"/>
    <n v="15000"/>
    <n v="70"/>
    <x v="0"/>
    <n v="3"/>
    <x v="1"/>
    <n v="10"/>
    <s v="Other"/>
    <n v="1"/>
    <x v="2"/>
    <n v="2"/>
    <n v="2"/>
    <n v="2"/>
    <n v="2"/>
    <n v="2"/>
    <s v="Y"/>
    <m/>
    <x v="0"/>
  </r>
  <r>
    <d v="2019-10-20T00:00:00"/>
    <d v="1899-12-30T08:28:00"/>
    <m/>
    <s v="P"/>
    <n v="2"/>
    <s v="Road Vehicle"/>
    <n v="4"/>
    <x v="3"/>
    <x v="1"/>
    <n v="2"/>
    <x v="1"/>
    <s v="Bulenga"/>
    <s v="Kampala"/>
    <s v="UGA"/>
    <n v="2"/>
    <s v="Work"/>
    <s v="Masaka"/>
    <s v="Masaka"/>
    <s v="UGA"/>
    <n v="8"/>
    <s v="Others"/>
    <x v="6"/>
    <n v="12000"/>
    <n v="70"/>
    <x v="0"/>
    <n v="2.5"/>
    <x v="1"/>
    <n v="6"/>
    <s v="Businessman"/>
    <n v="1"/>
    <x v="2"/>
    <n v="2"/>
    <n v="2"/>
    <n v="2"/>
    <n v="5"/>
    <n v="2"/>
    <s v="Y"/>
    <m/>
    <x v="0"/>
  </r>
  <r>
    <d v="2019-10-20T00:00:00"/>
    <d v="1899-12-30T08:10:00"/>
    <m/>
    <s v="P"/>
    <n v="2"/>
    <s v="Road Vehicle"/>
    <n v="4"/>
    <x v="3"/>
    <x v="1"/>
    <n v="2"/>
    <x v="1"/>
    <s v="Katwe"/>
    <s v="Kampala"/>
    <s v="UGA"/>
    <n v="2"/>
    <s v="Work"/>
    <s v="Kyotera"/>
    <s v="Masaka"/>
    <s v="UGA"/>
    <n v="1"/>
    <s v="Home"/>
    <x v="1"/>
    <n v="15000"/>
    <n v="75"/>
    <x v="0"/>
    <n v="3"/>
    <x v="1"/>
    <n v="6"/>
    <s v="Businessman"/>
    <n v="1"/>
    <x v="2"/>
    <n v="5"/>
    <n v="2"/>
    <n v="4"/>
    <n v="2"/>
    <n v="1"/>
    <s v="Y"/>
    <m/>
    <x v="0"/>
  </r>
  <r>
    <d v="2019-10-20T00:00:00"/>
    <d v="1899-12-30T08:00:00"/>
    <m/>
    <s v="P"/>
    <n v="2"/>
    <s v="Road Vehicle"/>
    <n v="4"/>
    <x v="3"/>
    <x v="1"/>
    <n v="2"/>
    <x v="1"/>
    <s v="Entebbe"/>
    <s v="Wakiso"/>
    <s v="UGA"/>
    <n v="1"/>
    <s v="Home"/>
    <s v="Kyotera"/>
    <s v="Masaka"/>
    <s v="UGA"/>
    <n v="8"/>
    <s v="Others"/>
    <x v="4"/>
    <n v="15000"/>
    <n v="75"/>
    <x v="0"/>
    <n v="3"/>
    <x v="1"/>
    <n v="6"/>
    <s v="Businessman"/>
    <n v="1"/>
    <x v="2"/>
    <n v="2"/>
    <n v="5"/>
    <n v="1"/>
    <n v="2"/>
    <n v="1"/>
    <s v="Y"/>
    <m/>
    <x v="0"/>
  </r>
  <r>
    <d v="2019-10-20T00:00:00"/>
    <d v="1899-12-30T07:27:00"/>
    <m/>
    <s v="D"/>
    <n v="2"/>
    <s v="Road Vehicle"/>
    <n v="4"/>
    <x v="3"/>
    <x v="1"/>
    <n v="2"/>
    <x v="1"/>
    <s v="Masaka"/>
    <s v="Masaka"/>
    <s v="UGA"/>
    <n v="4"/>
    <s v="Commercial"/>
    <s v="Kampala"/>
    <s v="KAMPALA"/>
    <s v="UGA"/>
    <n v="4"/>
    <s v="Commercial"/>
    <x v="13"/>
    <n v="100000"/>
    <n v="137"/>
    <x v="2"/>
    <n v="2"/>
    <x v="1"/>
    <n v="10"/>
    <s v="Other"/>
    <n v="2"/>
    <x v="1"/>
    <n v="1"/>
    <n v="1"/>
    <n v="1"/>
    <n v="5"/>
    <n v="5"/>
    <s v="Y"/>
    <n v="2000"/>
    <x v="4"/>
  </r>
  <r>
    <d v="2019-10-20T00:00:00"/>
    <d v="1899-12-30T10:17:00"/>
    <m/>
    <s v="D"/>
    <n v="2"/>
    <s v="Road Vehicle"/>
    <n v="4"/>
    <x v="3"/>
    <x v="1"/>
    <n v="2"/>
    <x v="1"/>
    <s v="Masaka"/>
    <s v="Masaka"/>
    <s v="UGA"/>
    <n v="4"/>
    <s v="Commercial"/>
    <s v="Kyotera"/>
    <s v="Masaka"/>
    <s v="UGA"/>
    <n v="4"/>
    <s v="Commercial"/>
    <x v="13"/>
    <n v="30000"/>
    <n v="40"/>
    <x v="1"/>
    <n v="0.5"/>
    <x v="3"/>
    <n v="5"/>
    <s v="Professional"/>
    <n v="2"/>
    <x v="1"/>
    <n v="1"/>
    <n v="1"/>
    <n v="1"/>
    <n v="5"/>
    <n v="5"/>
    <s v="Y"/>
    <n v="1000"/>
    <x v="1"/>
  </r>
  <r>
    <d v="2019-10-20T00:00:00"/>
    <d v="1899-12-30T14:30:00"/>
    <m/>
    <s v="P"/>
    <n v="2"/>
    <s v="Road Vehicle"/>
    <n v="4"/>
    <x v="3"/>
    <x v="1"/>
    <n v="2"/>
    <x v="1"/>
    <s v="Masaka"/>
    <s v="Masaka"/>
    <s v="UGA"/>
    <n v="6"/>
    <s v="Leisure/Social"/>
    <s v="Kingi"/>
    <s v="Masaka"/>
    <s v="UGA"/>
    <n v="1"/>
    <s v="Home"/>
    <x v="7"/>
    <n v="3000"/>
    <n v="30"/>
    <x v="5"/>
    <n v="0.5"/>
    <x v="3"/>
    <n v="1"/>
    <s v="Unemployed"/>
    <n v="1"/>
    <x v="2"/>
    <n v="1"/>
    <n v="1"/>
    <n v="1"/>
    <n v="1"/>
    <n v="1"/>
    <s v="Y"/>
    <m/>
    <x v="0"/>
  </r>
  <r>
    <d v="2019-10-20T00:00:00"/>
    <d v="1899-12-30T17:26:00"/>
    <m/>
    <s v="P"/>
    <n v="2"/>
    <s v="Road Vehicle"/>
    <n v="4"/>
    <x v="3"/>
    <x v="1"/>
    <n v="2"/>
    <x v="1"/>
    <s v="Mpigi"/>
    <s v="Mpigi"/>
    <s v="UGA"/>
    <n v="1"/>
    <s v="Home"/>
    <s v="Mbarara"/>
    <s v="Mbarara"/>
    <s v="UGA"/>
    <n v="6"/>
    <s v="Leisure/Social"/>
    <x v="3"/>
    <n v="20000"/>
    <n v="140"/>
    <x v="2"/>
    <n v="3"/>
    <x v="1"/>
    <n v="5"/>
    <s v="Professional"/>
    <n v="1"/>
    <x v="2"/>
    <n v="1"/>
    <n v="2"/>
    <n v="2"/>
    <n v="2"/>
    <n v="2"/>
    <s v="Y"/>
    <m/>
    <x v="0"/>
  </r>
  <r>
    <d v="2019-10-20T00:00:00"/>
    <d v="1899-12-30T10:44:00"/>
    <m/>
    <s v="P"/>
    <n v="2"/>
    <s v="Road Vehicle"/>
    <n v="4"/>
    <x v="3"/>
    <x v="1"/>
    <n v="2"/>
    <x v="1"/>
    <s v="Lukaya"/>
    <s v="Masaka"/>
    <s v="UGA"/>
    <n v="1"/>
    <s v="Home"/>
    <s v="Kyotera"/>
    <s v="Masaka"/>
    <s v="UGA"/>
    <n v="2"/>
    <s v="Work"/>
    <x v="8"/>
    <n v="6000"/>
    <n v="38"/>
    <x v="5"/>
    <n v="0.7"/>
    <x v="3"/>
    <n v="6"/>
    <s v="Businessman"/>
    <n v="3"/>
    <x v="0"/>
    <n v="1"/>
    <n v="1"/>
    <n v="1"/>
    <n v="1"/>
    <n v="1"/>
    <s v="Y"/>
    <n v="4000"/>
    <x v="5"/>
  </r>
  <r>
    <d v="2019-10-20T00:00:00"/>
    <d v="1899-12-30T09:41:00"/>
    <s v="UBF 433X"/>
    <s v="D"/>
    <n v="2"/>
    <s v="Road Vehicle"/>
    <n v="4"/>
    <x v="3"/>
    <x v="1"/>
    <n v="2"/>
    <x v="1"/>
    <s v="Kampala"/>
    <s v="Kampala"/>
    <s v="UGA"/>
    <n v="2"/>
    <s v="Work"/>
    <s v="Kyotera"/>
    <s v="Masaka"/>
    <s v="UGA"/>
    <n v="2"/>
    <s v="Work"/>
    <x v="5"/>
    <n v="140000"/>
    <n v="142"/>
    <x v="2"/>
    <n v="3"/>
    <x v="1"/>
    <n v="3"/>
    <s v="Artisan/Domestic"/>
    <n v="1"/>
    <x v="2"/>
    <m/>
    <m/>
    <m/>
    <m/>
    <m/>
    <s v="Y"/>
    <m/>
    <x v="0"/>
  </r>
  <r>
    <d v="2019-10-20T00:00:00"/>
    <d v="1899-12-30T09:13:00"/>
    <m/>
    <s v="P"/>
    <n v="2"/>
    <s v="Road Vehicle"/>
    <n v="4"/>
    <x v="3"/>
    <x v="1"/>
    <n v="2"/>
    <x v="1"/>
    <s v="Kinoni"/>
    <s v="Masaka"/>
    <s v="UGA"/>
    <n v="1"/>
    <s v="Home"/>
    <s v="Lukaya"/>
    <s v="Masaka"/>
    <s v="UGA"/>
    <n v="6"/>
    <s v="Leisure/Social"/>
    <x v="3"/>
    <n v="6000"/>
    <n v="31"/>
    <x v="5"/>
    <n v="0.8"/>
    <x v="3"/>
    <n v="6"/>
    <s v="Businessman"/>
    <n v="2"/>
    <x v="1"/>
    <n v="2"/>
    <n v="2"/>
    <n v="4"/>
    <n v="5"/>
    <n v="2"/>
    <s v="Y"/>
    <n v="1000"/>
    <x v="1"/>
  </r>
  <r>
    <d v="2019-10-20T00:00:00"/>
    <d v="1899-12-30T08:22:00"/>
    <m/>
    <s v="P"/>
    <n v="2"/>
    <s v="Road Vehicle"/>
    <n v="4"/>
    <x v="3"/>
    <x v="1"/>
    <n v="2"/>
    <x v="1"/>
    <s v="Kyabakuza"/>
    <s v="Masaka"/>
    <s v="UGA"/>
    <n v="1"/>
    <s v="Home"/>
    <s v="Matete"/>
    <s v="Masaka"/>
    <s v="UGA"/>
    <n v="6"/>
    <s v="Leisure/Social"/>
    <x v="3"/>
    <n v="5000"/>
    <n v="24"/>
    <x v="5"/>
    <n v="0.7"/>
    <x v="3"/>
    <n v="6"/>
    <s v="Businessman"/>
    <n v="3"/>
    <x v="0"/>
    <n v="2"/>
    <n v="2"/>
    <n v="3"/>
    <n v="4"/>
    <n v="4"/>
    <s v="Y"/>
    <n v="3000"/>
    <x v="5"/>
  </r>
  <r>
    <d v="2019-10-20T00:00:00"/>
    <d v="1899-12-30T16:36:00"/>
    <s v="UG 0461 A"/>
    <s v="D"/>
    <n v="2"/>
    <s v="Road Vehicle"/>
    <n v="3"/>
    <x v="6"/>
    <x v="0"/>
    <n v="2"/>
    <x v="1"/>
    <s v="Buwama"/>
    <s v="Masaka"/>
    <s v="UGA"/>
    <n v="1"/>
    <s v="Home"/>
    <s v="Masaka"/>
    <s v="Masaka"/>
    <s v="UGA"/>
    <n v="6"/>
    <s v="Leisure/Social"/>
    <x v="3"/>
    <n v="20000"/>
    <n v="32"/>
    <x v="5"/>
    <n v="0.3"/>
    <x v="4"/>
    <n v="4"/>
    <s v="Office Worker"/>
    <n v="5"/>
    <x v="4"/>
    <n v="1"/>
    <n v="1"/>
    <n v="1"/>
    <n v="1"/>
    <n v="1"/>
    <s v="Y"/>
    <n v="2000"/>
    <x v="4"/>
  </r>
  <r>
    <d v="2019-10-20T00:00:00"/>
    <d v="1899-12-30T09:35:00"/>
    <s v="UG 4041 K"/>
    <s v="D"/>
    <n v="2"/>
    <s v="Road Vehicle"/>
    <n v="3"/>
    <x v="6"/>
    <x v="0"/>
    <n v="2"/>
    <x v="1"/>
    <s v="Buwama"/>
    <s v="Masaka"/>
    <s v="UGA"/>
    <n v="1"/>
    <s v="Home"/>
    <s v="Kinoni"/>
    <s v="Masaka"/>
    <s v="UGA"/>
    <n v="6"/>
    <s v="Leisure/Social"/>
    <x v="3"/>
    <n v="25000"/>
    <n v="33"/>
    <x v="5"/>
    <n v="0.4"/>
    <x v="4"/>
    <n v="4"/>
    <s v="Office Worker"/>
    <n v="5"/>
    <x v="4"/>
    <n v="1"/>
    <n v="1"/>
    <n v="1"/>
    <n v="1"/>
    <n v="1"/>
    <s v="Y"/>
    <m/>
    <x v="0"/>
  </r>
  <r>
    <d v="2019-10-20T00:00:00"/>
    <d v="1899-12-30T09:18:00"/>
    <m/>
    <s v="P"/>
    <n v="2"/>
    <s v="Road Vehicle"/>
    <n v="3"/>
    <x v="6"/>
    <x v="0"/>
    <n v="2"/>
    <x v="1"/>
    <s v="Kyotera"/>
    <s v="Masaka"/>
    <s v="UGA"/>
    <n v="1"/>
    <s v="Home"/>
    <s v="Nyendo"/>
    <s v="Masaka"/>
    <s v="UGA"/>
    <n v="6"/>
    <s v="Leisure/Social"/>
    <x v="3"/>
    <n v="4000"/>
    <n v="19"/>
    <x v="6"/>
    <n v="1"/>
    <x v="2"/>
    <n v="10"/>
    <s v="Other"/>
    <n v="1"/>
    <x v="2"/>
    <n v="4"/>
    <n v="4"/>
    <n v="4"/>
    <n v="3"/>
    <n v="4"/>
    <s v="Y"/>
    <m/>
    <x v="0"/>
  </r>
  <r>
    <d v="2019-10-20T00:00:00"/>
    <d v="1899-12-30T08:19:00"/>
    <s v="UAP 446T"/>
    <s v="D"/>
    <n v="2"/>
    <s v="Road Vehicle"/>
    <n v="3"/>
    <x v="6"/>
    <x v="0"/>
    <n v="2"/>
    <x v="1"/>
    <s v="Matete"/>
    <s v="Masaka"/>
    <s v="UGA"/>
    <n v="6"/>
    <s v="Leisure/Social"/>
    <s v="Masaka"/>
    <s v="Masaka"/>
    <s v="UGA"/>
    <n v="6"/>
    <s v="Leisure/Social"/>
    <x v="17"/>
    <n v="20000"/>
    <n v="29"/>
    <x v="5"/>
    <n v="0.7"/>
    <x v="3"/>
    <n v="5"/>
    <s v="Professional"/>
    <n v="4"/>
    <x v="3"/>
    <n v="2"/>
    <n v="1"/>
    <n v="2"/>
    <n v="1"/>
    <n v="2"/>
    <s v="Y"/>
    <m/>
    <x v="0"/>
  </r>
  <r>
    <d v="2019-10-19T00:00:00"/>
    <d v="1899-12-30T16:14:00"/>
    <m/>
    <s v="D"/>
    <n v="2"/>
    <s v="Road Vehicle"/>
    <n v="3"/>
    <x v="6"/>
    <x v="1"/>
    <n v="2"/>
    <x v="1"/>
    <s v="Kyotera"/>
    <s v="Masaka"/>
    <s v="UGA"/>
    <n v="8"/>
    <s v="Others"/>
    <s v="Masaka"/>
    <s v="Masaka"/>
    <s v="UGA"/>
    <n v="1"/>
    <s v="Home"/>
    <x v="29"/>
    <n v="25000"/>
    <n v="26"/>
    <x v="5"/>
    <n v="0.7"/>
    <x v="3"/>
    <n v="7"/>
    <s v="Farmer"/>
    <n v="4"/>
    <x v="3"/>
    <n v="3"/>
    <n v="3"/>
    <n v="2"/>
    <n v="2"/>
    <n v="1"/>
    <s v="Y"/>
    <n v="4000"/>
    <x v="5"/>
  </r>
  <r>
    <d v="2019-10-20T00:00:00"/>
    <d v="1899-12-30T09:47:00"/>
    <m/>
    <s v="P"/>
    <n v="2"/>
    <s v="Road Vehicle"/>
    <n v="3"/>
    <x v="6"/>
    <x v="1"/>
    <n v="2"/>
    <x v="1"/>
    <s v="Kasange"/>
    <s v="Kasange"/>
    <s v="UGA"/>
    <n v="4"/>
    <s v="Commercial"/>
    <s v="Lukaya"/>
    <s v="Masaka"/>
    <s v="UGA"/>
    <n v="4"/>
    <s v="Commercial"/>
    <x v="13"/>
    <n v="20000"/>
    <n v="34"/>
    <x v="5"/>
    <n v="0.5"/>
    <x v="3"/>
    <n v="1"/>
    <s v="Unemployed"/>
    <n v="1"/>
    <x v="2"/>
    <n v="1"/>
    <n v="1"/>
    <n v="1"/>
    <n v="5"/>
    <n v="5"/>
    <s v="Y"/>
    <m/>
    <x v="0"/>
  </r>
  <r>
    <d v="2019-10-20T00:00:00"/>
    <d v="1899-12-30T08:39:00"/>
    <s v="UBF 202A"/>
    <s v="D"/>
    <n v="2"/>
    <s v="Road Vehicle"/>
    <n v="3"/>
    <x v="6"/>
    <x v="1"/>
    <n v="2"/>
    <x v="1"/>
    <s v="Kampala"/>
    <s v="Kampala"/>
    <s v="UGA"/>
    <n v="2"/>
    <s v="Work"/>
    <s v="Matete"/>
    <s v="Masaka"/>
    <s v="UGA"/>
    <n v="6"/>
    <s v="Leisure/Social"/>
    <x v="22"/>
    <n v="140000"/>
    <n v="126"/>
    <x v="2"/>
    <n v="2"/>
    <x v="1"/>
    <n v="4"/>
    <s v="Office Worker"/>
    <n v="5"/>
    <x v="4"/>
    <n v="2"/>
    <n v="2"/>
    <n v="1"/>
    <n v="2"/>
    <n v="1"/>
    <s v="Y"/>
    <n v="5000"/>
    <x v="2"/>
  </r>
  <r>
    <d v="2019-10-20T00:00:00"/>
    <d v="1899-12-30T07:49:00"/>
    <s v="UAA 359R"/>
    <s v="D"/>
    <n v="2"/>
    <s v="Road Vehicle"/>
    <n v="3"/>
    <x v="6"/>
    <x v="1"/>
    <n v="2"/>
    <x v="1"/>
    <s v="Buwama"/>
    <s v="Masaka"/>
    <s v="UGA"/>
    <n v="2"/>
    <s v="Work"/>
    <s v="Mbarara"/>
    <s v="Mbarara"/>
    <s v="UGA"/>
    <n v="4"/>
    <s v="Commercial"/>
    <x v="21"/>
    <n v="70000"/>
    <n v="110"/>
    <x v="2"/>
    <n v="5"/>
    <x v="0"/>
    <n v="7"/>
    <s v="Farmer"/>
    <n v="4"/>
    <x v="3"/>
    <n v="1"/>
    <n v="1"/>
    <n v="1"/>
    <n v="1"/>
    <n v="1"/>
    <s v="Y"/>
    <n v="3000"/>
    <x v="5"/>
  </r>
  <r>
    <d v="2019-10-19T00:00:00"/>
    <d v="1899-12-30T12:18:00"/>
    <m/>
    <s v="P"/>
    <n v="2"/>
    <s v="Road Vehicle"/>
    <n v="2"/>
    <x v="4"/>
    <x v="0"/>
    <n v="2"/>
    <x v="1"/>
    <s v="Masaka"/>
    <s v="Masaka"/>
    <s v="UGA"/>
    <n v="2"/>
    <s v="Work"/>
    <s v="Mbarara"/>
    <s v="Mbarara"/>
    <s v="UGA"/>
    <n v="1"/>
    <s v="Home"/>
    <x v="1"/>
    <n v="10000"/>
    <n v="80"/>
    <x v="0"/>
    <n v="3"/>
    <x v="1"/>
    <n v="10"/>
    <s v="Other"/>
    <n v="1"/>
    <x v="2"/>
    <n v="5"/>
    <n v="5"/>
    <n v="5"/>
    <n v="5"/>
    <n v="5"/>
    <s v="Y"/>
    <m/>
    <x v="0"/>
  </r>
  <r>
    <d v="2019-10-19T00:00:00"/>
    <d v="1899-12-30T08:52:00"/>
    <s v="UBE 044B"/>
    <s v="D"/>
    <n v="2"/>
    <s v="Road Vehicle"/>
    <n v="2"/>
    <x v="4"/>
    <x v="0"/>
    <n v="2"/>
    <x v="1"/>
    <s v="Kyengera"/>
    <s v="Wakiso"/>
    <s v="UGA"/>
    <n v="1"/>
    <s v="Home"/>
    <s v="Masaka"/>
    <s v="Masaka"/>
    <s v="UGA"/>
    <n v="1"/>
    <s v="Home"/>
    <x v="2"/>
    <n v="100000"/>
    <n v="93"/>
    <x v="0"/>
    <n v="3"/>
    <x v="1"/>
    <n v="6"/>
    <s v="Businessman"/>
    <n v="5"/>
    <x v="4"/>
    <n v="4"/>
    <n v="2"/>
    <n v="2"/>
    <n v="2"/>
    <n v="2"/>
    <s v="Y"/>
    <m/>
    <x v="0"/>
  </r>
  <r>
    <d v="2019-10-19T00:00:00"/>
    <d v="1899-12-30T08:14:00"/>
    <s v="UBF 581K"/>
    <s v="D"/>
    <n v="2"/>
    <s v="Road Vehicle"/>
    <n v="2"/>
    <x v="4"/>
    <x v="0"/>
    <n v="2"/>
    <x v="1"/>
    <s v="Kampala"/>
    <s v="Kampala"/>
    <s v="UGA"/>
    <n v="2"/>
    <s v="Work"/>
    <s v="Masaka"/>
    <s v="Masaka"/>
    <s v="UGA"/>
    <n v="1"/>
    <s v="Home"/>
    <x v="1"/>
    <n v="150000"/>
    <n v="108"/>
    <x v="2"/>
    <n v="3"/>
    <x v="1"/>
    <n v="4"/>
    <s v="Office Worker"/>
    <n v="5"/>
    <x v="4"/>
    <n v="2"/>
    <n v="2"/>
    <n v="1"/>
    <n v="2"/>
    <n v="2"/>
    <s v="Y"/>
    <m/>
    <x v="0"/>
  </r>
  <r>
    <d v="2019-10-19T00:00:00"/>
    <d v="1899-12-30T17:23:00"/>
    <m/>
    <s v="P"/>
    <n v="2"/>
    <s v="Road Vehicle"/>
    <n v="2"/>
    <x v="4"/>
    <x v="0"/>
    <n v="2"/>
    <x v="1"/>
    <s v="Masaka"/>
    <s v="Masaka"/>
    <s v="UGA"/>
    <n v="6"/>
    <s v="Leisure/Social"/>
    <s v="Nyendo"/>
    <s v="Masaka"/>
    <s v="UGA"/>
    <n v="6"/>
    <s v="Leisure/Social"/>
    <x v="17"/>
    <n v="1000"/>
    <n v="1"/>
    <x v="4"/>
    <n v="0.1"/>
    <x v="4"/>
    <n v="1"/>
    <s v="Unemployed"/>
    <n v="1"/>
    <x v="2"/>
    <n v="1"/>
    <n v="1"/>
    <n v="5"/>
    <n v="5"/>
    <n v="1"/>
    <s v="Y"/>
    <n v="2000"/>
    <x v="4"/>
  </r>
  <r>
    <d v="2019-10-20T00:00:00"/>
    <d v="1899-12-30T08:48:00"/>
    <s v="UBB 001A"/>
    <s v="D"/>
    <n v="2"/>
    <s v="Road Vehicle"/>
    <n v="2"/>
    <x v="4"/>
    <x v="1"/>
    <n v="2"/>
    <x v="1"/>
    <s v="Nyendo"/>
    <s v="Masaka"/>
    <s v="UGA"/>
    <n v="1"/>
    <s v="Home"/>
    <s v="Masaka"/>
    <s v="Masaka"/>
    <s v="UGA"/>
    <n v="6"/>
    <s v="Leisure/Social"/>
    <x v="3"/>
    <n v="5000"/>
    <n v="8"/>
    <x v="4"/>
    <n v="0.1"/>
    <x v="4"/>
    <n v="5"/>
    <s v="Professional"/>
    <n v="4"/>
    <x v="3"/>
    <n v="1"/>
    <n v="1"/>
    <n v="1"/>
    <n v="1"/>
    <n v="1"/>
    <s v="Y"/>
    <m/>
    <x v="0"/>
  </r>
  <r>
    <d v="2019-10-19T00:00:00"/>
    <d v="1899-12-30T13:56:00"/>
    <m/>
    <s v="D"/>
    <n v="2"/>
    <s v="Road Vehicle"/>
    <n v="2"/>
    <x v="4"/>
    <x v="1"/>
    <n v="2"/>
    <x v="1"/>
    <s v="Kampala"/>
    <s v="Kampala"/>
    <s v="UGA"/>
    <n v="2"/>
    <s v="Work"/>
    <s v="Masaka"/>
    <s v="Masaka"/>
    <s v="UGA"/>
    <n v="1"/>
    <s v="Home"/>
    <x v="1"/>
    <n v="70000"/>
    <n v="121"/>
    <x v="2"/>
    <n v="3"/>
    <x v="1"/>
    <n v="4"/>
    <s v="Office Worker"/>
    <n v="4"/>
    <x v="3"/>
    <n v="3"/>
    <n v="4"/>
    <n v="2"/>
    <n v="4"/>
    <n v="2"/>
    <s v="Y"/>
    <n v="2000"/>
    <x v="4"/>
  </r>
  <r>
    <d v="2019-10-19T00:00:00"/>
    <d v="1899-12-30T11:40:00"/>
    <s v="UAR 211B"/>
    <s v="D"/>
    <n v="2"/>
    <s v="Road Vehicle"/>
    <n v="2"/>
    <x v="4"/>
    <x v="1"/>
    <n v="2"/>
    <x v="1"/>
    <s v="Buwama"/>
    <s v="Masaka"/>
    <s v="UGA"/>
    <n v="1"/>
    <s v="Home"/>
    <s v="Masaka"/>
    <s v="Masaka"/>
    <s v="UGA"/>
    <n v="6"/>
    <s v="Leisure/Social"/>
    <x v="3"/>
    <n v="20000"/>
    <n v="29"/>
    <x v="5"/>
    <n v="0.3"/>
    <x v="4"/>
    <n v="5"/>
    <s v="Professional"/>
    <n v="5"/>
    <x v="4"/>
    <n v="2"/>
    <n v="1"/>
    <n v="1"/>
    <n v="1"/>
    <n v="1"/>
    <s v="Y"/>
    <m/>
    <x v="0"/>
  </r>
  <r>
    <d v="2019-10-19T00:00:00"/>
    <d v="1899-12-30T11:34:00"/>
    <m/>
    <s v="P"/>
    <n v="2"/>
    <s v="Road Vehicle"/>
    <n v="2"/>
    <x v="4"/>
    <x v="1"/>
    <n v="2"/>
    <x v="1"/>
    <s v="Masaka"/>
    <s v="Masaka"/>
    <s v="UGA"/>
    <n v="1"/>
    <s v="Home"/>
    <s v="Kampala"/>
    <s v="KAMPALA"/>
    <s v="UGA"/>
    <n v="2"/>
    <s v="Work"/>
    <x v="8"/>
    <n v="15000"/>
    <n v="102"/>
    <x v="2"/>
    <n v="4"/>
    <x v="0"/>
    <n v="6"/>
    <s v="Businessman"/>
    <n v="4"/>
    <x v="3"/>
    <n v="4"/>
    <n v="2"/>
    <n v="1"/>
    <n v="1"/>
    <n v="1"/>
    <s v="Y"/>
    <n v="3000"/>
    <x v="5"/>
  </r>
  <r>
    <d v="2019-10-19T00:00:00"/>
    <d v="1899-12-30T08:36:00"/>
    <s v="UAW 519W"/>
    <s v="D"/>
    <n v="2"/>
    <s v="Road Vehicle"/>
    <n v="2"/>
    <x v="4"/>
    <x v="1"/>
    <n v="2"/>
    <x v="1"/>
    <s v="Buwama"/>
    <s v="Masaka"/>
    <s v="UGA"/>
    <n v="1"/>
    <s v="Home"/>
    <s v="Masaka"/>
    <s v="Masaka"/>
    <s v="UGA"/>
    <n v="2"/>
    <s v="Work"/>
    <x v="8"/>
    <n v="20000"/>
    <n v="17"/>
    <x v="6"/>
    <n v="0.3"/>
    <x v="4"/>
    <n v="4"/>
    <s v="Office Worker"/>
    <n v="3"/>
    <x v="0"/>
    <n v="2"/>
    <n v="2"/>
    <n v="2"/>
    <n v="2"/>
    <n v="2"/>
    <s v="Y"/>
    <n v="3000"/>
    <x v="5"/>
  </r>
  <r>
    <d v="2019-10-19T00:00:00"/>
    <d v="1899-12-30T08:30:00"/>
    <s v="UAS 161P"/>
    <s v="D"/>
    <n v="2"/>
    <s v="Road Vehicle"/>
    <n v="2"/>
    <x v="4"/>
    <x v="1"/>
    <n v="2"/>
    <x v="1"/>
    <s v="Lyantonde"/>
    <s v="Lyantonde"/>
    <s v="UGA"/>
    <n v="1"/>
    <s v="Home"/>
    <s v="Masaka"/>
    <s v="Masaka"/>
    <s v="UGA"/>
    <n v="2"/>
    <s v="Work"/>
    <x v="8"/>
    <n v="30000"/>
    <n v="81"/>
    <x v="0"/>
    <n v="1.5"/>
    <x v="2"/>
    <n v="6"/>
    <s v="Businessman"/>
    <n v="3"/>
    <x v="0"/>
    <n v="2"/>
    <n v="1"/>
    <n v="2"/>
    <n v="1"/>
    <n v="1"/>
    <s v="Y"/>
    <n v="6000"/>
    <x v="2"/>
  </r>
  <r>
    <d v="2019-10-19T00:00:00"/>
    <d v="1899-12-30T18:07:00"/>
    <m/>
    <s v="P"/>
    <n v="2"/>
    <s v="Road Vehicle"/>
    <n v="2"/>
    <x v="4"/>
    <x v="1"/>
    <n v="2"/>
    <x v="1"/>
    <s v="Nagalama"/>
    <s v="Gayaza"/>
    <s v="UGA"/>
    <n v="1"/>
    <s v="Home"/>
    <s v="Kazabwe"/>
    <s v="Masaka"/>
    <s v="UGA"/>
    <n v="1"/>
    <s v="Home"/>
    <x v="2"/>
    <n v="100000"/>
    <n v="280"/>
    <x v="3"/>
    <n v="3"/>
    <x v="1"/>
    <n v="1"/>
    <s v="Unemployed"/>
    <n v="1"/>
    <x v="2"/>
    <n v="1"/>
    <n v="4"/>
    <n v="4"/>
    <n v="3"/>
    <n v="4"/>
    <s v="Y"/>
    <n v="1000"/>
    <x v="1"/>
  </r>
  <r>
    <d v="2019-10-19T00:00:00"/>
    <d v="1899-12-30T17:37:00"/>
    <m/>
    <s v="P"/>
    <n v="2"/>
    <s v="Road Vehicle"/>
    <n v="2"/>
    <x v="4"/>
    <x v="1"/>
    <n v="2"/>
    <x v="1"/>
    <s v="Kawempe"/>
    <s v="Kampala"/>
    <s v="UGA"/>
    <n v="4"/>
    <s v="Commercial"/>
    <s v="Kanuguza"/>
    <s v="Kibaale"/>
    <s v="UGA"/>
    <n v="6"/>
    <s v="Leisure/Social"/>
    <x v="11"/>
    <n v="30000"/>
    <n v="280"/>
    <x v="3"/>
    <n v="4"/>
    <x v="0"/>
    <n v="1"/>
    <s v="Unemployed"/>
    <n v="1"/>
    <x v="2"/>
    <n v="5"/>
    <n v="4"/>
    <n v="3"/>
    <n v="1"/>
    <n v="1"/>
    <s v="Y"/>
    <n v="1000"/>
    <x v="1"/>
  </r>
  <r>
    <d v="2019-10-19T00:00:00"/>
    <d v="1899-12-30T09:50:00"/>
    <m/>
    <s v="P"/>
    <n v="2"/>
    <s v="Road Vehicle"/>
    <n v="1"/>
    <x v="0"/>
    <x v="0"/>
    <n v="3"/>
    <x v="2"/>
    <s v="Kayabwe"/>
    <s v="Masaka"/>
    <s v="UGA"/>
    <n v="2"/>
    <s v="Work"/>
    <s v="Masaka"/>
    <s v="Masaka"/>
    <s v="UGA"/>
    <n v="1"/>
    <s v="Home"/>
    <x v="1"/>
    <n v="5000"/>
    <n v="30"/>
    <x v="5"/>
    <n v="1.5"/>
    <x v="2"/>
    <n v="6"/>
    <s v="Businessman"/>
    <n v="1"/>
    <x v="2"/>
    <n v="2"/>
    <n v="4"/>
    <n v="5"/>
    <n v="5"/>
    <n v="5"/>
    <s v="Y"/>
    <m/>
    <x v="0"/>
  </r>
  <r>
    <d v="2019-10-19T00:00:00"/>
    <d v="1899-12-30T12:00:00"/>
    <m/>
    <s v="D"/>
    <n v="2"/>
    <s v="Road Vehicle"/>
    <n v="1"/>
    <x v="0"/>
    <x v="1"/>
    <n v="3"/>
    <x v="2"/>
    <s v="Kyabakuza"/>
    <s v="Masaka"/>
    <s v="UGA"/>
    <n v="2"/>
    <s v="Work"/>
    <s v="Matete"/>
    <s v="Masaka"/>
    <s v="UGA"/>
    <n v="1"/>
    <s v="Home"/>
    <x v="1"/>
    <n v="30000"/>
    <n v="35"/>
    <x v="5"/>
    <n v="1"/>
    <x v="2"/>
    <n v="5"/>
    <s v="Professional"/>
    <n v="1"/>
    <x v="2"/>
    <n v="5"/>
    <n v="2"/>
    <n v="1"/>
    <n v="5"/>
    <n v="2"/>
    <s v="Y"/>
    <n v="2000"/>
    <x v="4"/>
  </r>
  <r>
    <d v="2019-10-19T00:00:00"/>
    <d v="1899-12-30T10:42:00"/>
    <s v="UAZ 879K"/>
    <s v="D"/>
    <n v="2"/>
    <s v="Road Vehicle"/>
    <n v="1"/>
    <x v="0"/>
    <x v="1"/>
    <n v="3"/>
    <x v="2"/>
    <s v="Masaka"/>
    <s v="Masaka"/>
    <s v="UGA"/>
    <n v="2"/>
    <s v="Work"/>
    <s v="Nyendo"/>
    <s v="Masaka"/>
    <s v="UGA"/>
    <n v="2"/>
    <s v="Work"/>
    <x v="5"/>
    <n v="5000"/>
    <n v="4"/>
    <x v="4"/>
    <n v="0.1"/>
    <x v="4"/>
    <n v="6"/>
    <s v="Businessman"/>
    <n v="5"/>
    <x v="4"/>
    <n v="2"/>
    <n v="2"/>
    <n v="1"/>
    <n v="2"/>
    <n v="2"/>
    <s v="Y"/>
    <n v="2000"/>
    <x v="4"/>
  </r>
  <r>
    <d v="2019-10-20T00:00:00"/>
    <d v="1899-12-30T07:36:00"/>
    <s v="UAD 046D"/>
    <s v="D"/>
    <n v="2"/>
    <s v="Road Vehicle"/>
    <n v="1"/>
    <x v="0"/>
    <x v="1"/>
    <n v="3"/>
    <x v="2"/>
    <s v="Masaka"/>
    <s v="Masaka"/>
    <s v="UGA"/>
    <n v="1"/>
    <s v="Home"/>
    <s v="Kadugala"/>
    <s v="KAMPALA"/>
    <s v="UGA"/>
    <n v="6"/>
    <s v="Leisure/Social"/>
    <x v="3"/>
    <n v="20000"/>
    <n v="15"/>
    <x v="6"/>
    <n v="0.3"/>
    <x v="4"/>
    <n v="2"/>
    <s v="Manual Labour"/>
    <n v="2"/>
    <x v="1"/>
    <n v="1"/>
    <n v="1"/>
    <n v="4"/>
    <n v="1"/>
    <n v="5"/>
    <s v="Y"/>
    <n v="2000"/>
    <x v="4"/>
  </r>
  <r>
    <d v="2019-10-20T00:00:00"/>
    <d v="1899-12-30T16:19:00"/>
    <m/>
    <s v="P"/>
    <n v="2"/>
    <s v="Road Vehicle"/>
    <n v="1"/>
    <x v="0"/>
    <x v="1"/>
    <n v="3"/>
    <x v="2"/>
    <s v="Nyendo"/>
    <s v="Masaka"/>
    <s v="UGA"/>
    <n v="1"/>
    <s v="Home"/>
    <s v="Masaka"/>
    <s v="Masaka"/>
    <s v="UGA"/>
    <n v="7"/>
    <s v="Hospital"/>
    <x v="26"/>
    <n v="500"/>
    <n v="6"/>
    <x v="4"/>
    <n v="0.1"/>
    <x v="4"/>
    <n v="7"/>
    <s v="Farmer"/>
    <n v="2"/>
    <x v="1"/>
    <n v="1"/>
    <n v="1"/>
    <n v="1"/>
    <n v="1"/>
    <n v="1"/>
    <s v="Y"/>
    <m/>
    <x v="0"/>
  </r>
  <r>
    <d v="2019-10-20T00:00:00"/>
    <d v="1899-12-30T08:55:00"/>
    <s v="UAS 931K"/>
    <s v="D"/>
    <n v="2"/>
    <s v="Road Vehicle"/>
    <n v="9"/>
    <x v="9"/>
    <x v="1"/>
    <n v="3"/>
    <x v="2"/>
    <s v="Kyabakuza"/>
    <s v="Masaka"/>
    <s v="UGA"/>
    <n v="2"/>
    <s v="Work"/>
    <s v="Mbarara"/>
    <s v="Mbarara"/>
    <s v="UGA"/>
    <n v="4"/>
    <s v="Commercial"/>
    <x v="21"/>
    <n v="180000"/>
    <n v="110"/>
    <x v="2"/>
    <n v="4"/>
    <x v="0"/>
    <n v="6"/>
    <s v="Businessman"/>
    <n v="5"/>
    <x v="4"/>
    <n v="1"/>
    <n v="1"/>
    <n v="1"/>
    <n v="1"/>
    <n v="1"/>
    <s v="Y"/>
    <n v="3000"/>
    <x v="5"/>
  </r>
  <r>
    <d v="2019-10-19T00:00:00"/>
    <d v="1899-12-30T12:38:00"/>
    <m/>
    <s v="P"/>
    <n v="2"/>
    <s v="Road Vehicle"/>
    <n v="6"/>
    <x v="1"/>
    <x v="0"/>
    <n v="3"/>
    <x v="2"/>
    <s v="Lyantonde"/>
    <s v="Lyantonde"/>
    <s v="UGA"/>
    <n v="4"/>
    <s v="Commercial"/>
    <s v="Buwama"/>
    <s v="Masaka"/>
    <s v="UGA"/>
    <n v="1"/>
    <s v="Home"/>
    <x v="0"/>
    <n v="12000"/>
    <n v="64"/>
    <x v="1"/>
    <n v="1"/>
    <x v="2"/>
    <n v="6"/>
    <s v="Businessman"/>
    <n v="3"/>
    <x v="0"/>
    <n v="4"/>
    <n v="2"/>
    <n v="2"/>
    <n v="1"/>
    <n v="1"/>
    <s v="Y"/>
    <m/>
    <x v="0"/>
  </r>
  <r>
    <d v="2019-10-18T00:00:00"/>
    <d v="1899-12-30T15:56:00"/>
    <m/>
    <s v="D"/>
    <n v="2"/>
    <s v="Road Vehicle"/>
    <n v="6"/>
    <x v="1"/>
    <x v="1"/>
    <n v="3"/>
    <x v="2"/>
    <s v="Kampala"/>
    <s v="Kampala"/>
    <s v="UGA"/>
    <n v="2"/>
    <s v="Work"/>
    <s v="Rukungiri"/>
    <s v="Rukungiri"/>
    <s v="UGA"/>
    <n v="8"/>
    <s v="Others"/>
    <x v="6"/>
    <n v="200000"/>
    <n v="300"/>
    <x v="3"/>
    <n v="4"/>
    <x v="0"/>
    <n v="10"/>
    <s v="Other"/>
    <n v="2"/>
    <x v="1"/>
    <n v="2"/>
    <n v="1"/>
    <n v="2"/>
    <n v="2"/>
    <n v="1"/>
    <s v="Y"/>
    <n v="2000"/>
    <x v="4"/>
  </r>
  <r>
    <d v="2019-10-18T00:00:00"/>
    <d v="1899-12-30T15:39:00"/>
    <m/>
    <s v="D"/>
    <n v="2"/>
    <s v="Road Vehicle"/>
    <n v="6"/>
    <x v="1"/>
    <x v="1"/>
    <n v="3"/>
    <x v="2"/>
    <s v="Kampala"/>
    <s v="Kampala"/>
    <s v="UGA"/>
    <n v="2"/>
    <s v="Work"/>
    <s v="Ishaka"/>
    <s v="Mbarara"/>
    <s v="UGA"/>
    <n v="8"/>
    <s v="Others"/>
    <x v="6"/>
    <n v="200000"/>
    <n v="500"/>
    <x v="3"/>
    <n v="6"/>
    <x v="0"/>
    <n v="10"/>
    <s v="Other"/>
    <n v="3"/>
    <x v="0"/>
    <n v="5"/>
    <n v="4"/>
    <n v="5"/>
    <n v="5"/>
    <n v="5"/>
    <s v="Y"/>
    <n v="3000"/>
    <x v="5"/>
  </r>
  <r>
    <d v="2019-10-18T00:00:00"/>
    <d v="1899-12-30T16:15:00"/>
    <m/>
    <s v="P"/>
    <n v="2"/>
    <s v="Road Vehicle"/>
    <n v="6"/>
    <x v="1"/>
    <x v="1"/>
    <n v="3"/>
    <x v="2"/>
    <s v="Kawuku"/>
    <s v="Wakiso"/>
    <s v="UGA"/>
    <n v="1"/>
    <s v="Home"/>
    <s v="Rukungiri"/>
    <s v="Rukungiri"/>
    <s v="UGA"/>
    <n v="3"/>
    <s v="Study"/>
    <x v="10"/>
    <n v="25000"/>
    <n v="300"/>
    <x v="3"/>
    <n v="4.5"/>
    <x v="0"/>
    <n v="8"/>
    <s v="Student"/>
    <n v="2"/>
    <x v="1"/>
    <n v="2"/>
    <n v="5"/>
    <n v="4"/>
    <n v="2"/>
    <n v="3"/>
    <s v="Y"/>
    <m/>
    <x v="0"/>
  </r>
  <r>
    <d v="2019-10-18T00:00:00"/>
    <d v="1899-12-30T17:23:00"/>
    <m/>
    <s v="D"/>
    <n v="2"/>
    <s v="Road Vehicle"/>
    <n v="6"/>
    <x v="1"/>
    <x v="1"/>
    <n v="3"/>
    <x v="2"/>
    <s v="Kampala"/>
    <s v="Kampala"/>
    <s v="UGA"/>
    <n v="2"/>
    <s v="Work"/>
    <s v="Ntungamo"/>
    <s v="Ntungamo"/>
    <s v="UGA"/>
    <n v="8"/>
    <s v="Others"/>
    <x v="6"/>
    <n v="150000"/>
    <n v="100"/>
    <x v="2"/>
    <n v="3"/>
    <x v="1"/>
    <n v="5"/>
    <s v="Professional"/>
    <n v="1"/>
    <x v="2"/>
    <n v="5"/>
    <n v="5"/>
    <n v="5"/>
    <n v="5"/>
    <n v="5"/>
    <s v="Y"/>
    <n v="1000"/>
    <x v="1"/>
  </r>
  <r>
    <d v="2019-10-19T00:00:00"/>
    <d v="1899-12-30T18:35:00"/>
    <m/>
    <s v="P"/>
    <n v="2"/>
    <s v="Road Vehicle"/>
    <n v="6"/>
    <x v="1"/>
    <x v="1"/>
    <n v="3"/>
    <x v="2"/>
    <s v="Seeta"/>
    <s v="Mukono"/>
    <s v="UGA"/>
    <n v="1"/>
    <s v="Home"/>
    <s v="Kabale"/>
    <s v="Kabale"/>
    <s v="UGA"/>
    <n v="2"/>
    <s v="Work"/>
    <x v="8"/>
    <n v="30000"/>
    <n v="200"/>
    <x v="3"/>
    <n v="4"/>
    <x v="0"/>
    <n v="6"/>
    <s v="Businessman"/>
    <n v="1"/>
    <x v="2"/>
    <n v="5"/>
    <n v="2"/>
    <n v="2"/>
    <n v="5"/>
    <n v="2"/>
    <s v="Y"/>
    <m/>
    <x v="0"/>
  </r>
  <r>
    <d v="2019-10-19T00:00:00"/>
    <d v="1899-12-30T18:43:00"/>
    <m/>
    <s v="D"/>
    <n v="2"/>
    <s v="Road Vehicle"/>
    <n v="6"/>
    <x v="1"/>
    <x v="1"/>
    <n v="3"/>
    <x v="2"/>
    <s v="Kampala"/>
    <s v="Kampala"/>
    <s v="UGA"/>
    <n v="2"/>
    <s v="Work"/>
    <s v="Kabale"/>
    <s v="Kabale"/>
    <s v="UGA"/>
    <n v="8"/>
    <s v="Others"/>
    <x v="6"/>
    <n v="200000"/>
    <n v="100"/>
    <x v="2"/>
    <n v="4"/>
    <x v="0"/>
    <n v="5"/>
    <s v="Professional"/>
    <n v="2"/>
    <x v="1"/>
    <n v="5"/>
    <n v="2"/>
    <n v="2"/>
    <n v="2"/>
    <n v="2"/>
    <s v="Y"/>
    <n v="2000"/>
    <x v="4"/>
  </r>
  <r>
    <d v="2019-10-19T00:00:00"/>
    <d v="1899-12-30T13:46:00"/>
    <m/>
    <s v="D"/>
    <n v="2"/>
    <s v="Road Vehicle"/>
    <n v="6"/>
    <x v="1"/>
    <x v="1"/>
    <n v="3"/>
    <x v="2"/>
    <s v="Mpigi"/>
    <s v="Mpigi"/>
    <s v="UGA"/>
    <n v="2"/>
    <s v="Work"/>
    <s v="Masaka"/>
    <s v="Masaka"/>
    <s v="UGA"/>
    <n v="6"/>
    <s v="Leisure/Social"/>
    <x v="22"/>
    <n v="120000"/>
    <n v="98"/>
    <x v="0"/>
    <n v="2"/>
    <x v="1"/>
    <n v="5"/>
    <s v="Professional"/>
    <n v="4"/>
    <x v="3"/>
    <n v="3"/>
    <n v="3"/>
    <n v="2"/>
    <n v="1"/>
    <n v="1"/>
    <s v="Y"/>
    <n v="4500"/>
    <x v="5"/>
  </r>
  <r>
    <d v="2019-10-19T00:00:00"/>
    <d v="1899-12-30T07:40:00"/>
    <s v="UAZ 891V"/>
    <s v="D"/>
    <n v="2"/>
    <s v="Road Vehicle"/>
    <n v="5"/>
    <x v="5"/>
    <x v="1"/>
    <n v="3"/>
    <x v="2"/>
    <s v="Masaka"/>
    <s v="Masaka"/>
    <s v="UGA"/>
    <n v="2"/>
    <s v="Work"/>
    <s v="Matete"/>
    <s v="Masaka"/>
    <s v="UGA"/>
    <n v="8"/>
    <s v="Others"/>
    <x v="6"/>
    <n v="70000"/>
    <n v="40"/>
    <x v="1"/>
    <n v="1.5"/>
    <x v="2"/>
    <n v="10"/>
    <s v="Other"/>
    <n v="1"/>
    <x v="2"/>
    <n v="5"/>
    <n v="5"/>
    <n v="5"/>
    <n v="5"/>
    <n v="5"/>
    <s v="Y"/>
    <m/>
    <x v="0"/>
  </r>
  <r>
    <d v="2019-10-19T00:00:00"/>
    <d v="1899-12-30T12:14:00"/>
    <m/>
    <s v="P"/>
    <n v="2"/>
    <s v="Road Vehicle"/>
    <n v="5"/>
    <x v="5"/>
    <x v="1"/>
    <n v="3"/>
    <x v="2"/>
    <s v="Kyotera"/>
    <s v="Masaka"/>
    <s v="UGA"/>
    <n v="2"/>
    <s v="Work"/>
    <s v="Masaka"/>
    <s v="Masaka"/>
    <s v="UGA"/>
    <n v="1"/>
    <s v="Home"/>
    <x v="1"/>
    <n v="15000"/>
    <n v="111"/>
    <x v="2"/>
    <n v="3"/>
    <x v="1"/>
    <n v="7"/>
    <s v="Farmer"/>
    <n v="2"/>
    <x v="1"/>
    <n v="3"/>
    <n v="2"/>
    <n v="2"/>
    <n v="2"/>
    <n v="2"/>
    <s v="N"/>
    <m/>
    <x v="0"/>
  </r>
  <r>
    <d v="2019-10-19T00:00:00"/>
    <d v="1899-12-30T11:18:00"/>
    <m/>
    <s v="P"/>
    <n v="2"/>
    <s v="Road Vehicle"/>
    <n v="5"/>
    <x v="5"/>
    <x v="1"/>
    <n v="3"/>
    <x v="2"/>
    <s v="Mbarara"/>
    <s v="Mbarara"/>
    <s v="UGA"/>
    <n v="1"/>
    <s v="Home"/>
    <s v="Kyengera"/>
    <s v="WAKISO"/>
    <s v="UGA"/>
    <n v="2"/>
    <s v="Work"/>
    <x v="8"/>
    <n v="30000"/>
    <n v="178"/>
    <x v="2"/>
    <n v="4"/>
    <x v="0"/>
    <n v="6"/>
    <s v="Businessman"/>
    <n v="4"/>
    <x v="3"/>
    <n v="2"/>
    <n v="2"/>
    <n v="2"/>
    <n v="2"/>
    <n v="2"/>
    <s v="Y"/>
    <n v="4000"/>
    <x v="5"/>
  </r>
  <r>
    <d v="2019-10-20T00:00:00"/>
    <d v="1899-12-30T18:12:00"/>
    <s v="UAX 412D"/>
    <s v="D"/>
    <n v="2"/>
    <s v="Road Vehicle"/>
    <n v="5"/>
    <x v="5"/>
    <x v="1"/>
    <n v="3"/>
    <x v="2"/>
    <s v="Kampala"/>
    <s v="Kampala"/>
    <s v="UGA"/>
    <n v="2"/>
    <s v="Work"/>
    <s v="Masaka"/>
    <s v="Masaka"/>
    <s v="UGA"/>
    <n v="2"/>
    <s v="Work"/>
    <x v="5"/>
    <n v="140000"/>
    <n v="139"/>
    <x v="2"/>
    <n v="4"/>
    <x v="0"/>
    <n v="5"/>
    <s v="Professional"/>
    <n v="4"/>
    <x v="3"/>
    <n v="2"/>
    <n v="2"/>
    <n v="2"/>
    <n v="2"/>
    <n v="2"/>
    <s v="Y"/>
    <n v="3000"/>
    <x v="5"/>
  </r>
  <r>
    <d v="2019-10-19T00:00:00"/>
    <d v="1899-12-30T07:38:00"/>
    <m/>
    <s v="D"/>
    <n v="2"/>
    <s v="Road Vehicle"/>
    <n v="8"/>
    <x v="8"/>
    <x v="1"/>
    <n v="3"/>
    <x v="2"/>
    <s v="Masaka"/>
    <s v="Masaka"/>
    <s v="UGA"/>
    <n v="2"/>
    <s v="Work"/>
    <s v="Kawempe"/>
    <s v="WAKISO"/>
    <s v="UGA"/>
    <n v="2"/>
    <s v="Work"/>
    <x v="5"/>
    <n v="70000"/>
    <n v="114"/>
    <x v="2"/>
    <n v="3"/>
    <x v="1"/>
    <n v="5"/>
    <s v="Professional"/>
    <n v="2"/>
    <x v="1"/>
    <n v="2"/>
    <n v="2"/>
    <n v="4"/>
    <n v="2"/>
    <n v="2"/>
    <s v="Y"/>
    <n v="2000"/>
    <x v="4"/>
  </r>
  <r>
    <d v="2019-10-20T00:00:00"/>
    <d v="1899-12-30T09:26:00"/>
    <s v="UAP 931Q"/>
    <s v="D"/>
    <n v="2"/>
    <s v="Road Vehicle"/>
    <n v="8"/>
    <x v="8"/>
    <x v="1"/>
    <n v="3"/>
    <x v="2"/>
    <s v="Kinoni"/>
    <s v="Masaka"/>
    <s v="UGA"/>
    <n v="2"/>
    <s v="Work"/>
    <s v="Lukaya"/>
    <s v="Masaka"/>
    <s v="UGA"/>
    <n v="2"/>
    <s v="Work"/>
    <x v="5"/>
    <n v="30000"/>
    <n v="41"/>
    <x v="1"/>
    <n v="2"/>
    <x v="1"/>
    <n v="6"/>
    <s v="Businessman"/>
    <n v="4"/>
    <x v="3"/>
    <m/>
    <m/>
    <m/>
    <m/>
    <m/>
    <s v="Y"/>
    <n v="4000"/>
    <x v="5"/>
  </r>
  <r>
    <d v="2019-10-20T00:00:00"/>
    <d v="1899-12-30T08:01:00"/>
    <s v="UBF 411K"/>
    <s v="D"/>
    <n v="2"/>
    <s v="Road Vehicle"/>
    <n v="8"/>
    <x v="8"/>
    <x v="1"/>
    <n v="3"/>
    <x v="2"/>
    <s v="Kinoni"/>
    <s v="Masaka"/>
    <s v="UGA"/>
    <n v="2"/>
    <s v="Work"/>
    <s v="Kampala"/>
    <s v="KAMPALA"/>
    <s v="UGA"/>
    <n v="4"/>
    <s v="Commercial"/>
    <x v="21"/>
    <n v="180000"/>
    <n v="141"/>
    <x v="2"/>
    <n v="5"/>
    <x v="0"/>
    <n v="6"/>
    <s v="Businessman"/>
    <n v="5"/>
    <x v="4"/>
    <n v="4"/>
    <n v="2"/>
    <n v="1"/>
    <n v="2"/>
    <n v="2"/>
    <s v="Y"/>
    <n v="4000"/>
    <x v="5"/>
  </r>
  <r>
    <d v="2019-10-19T00:00:00"/>
    <d v="1899-12-30T13:12:00"/>
    <m/>
    <s v="P"/>
    <n v="2"/>
    <s v="Road Vehicle"/>
    <n v="4"/>
    <x v="3"/>
    <x v="0"/>
    <n v="3"/>
    <x v="2"/>
    <s v="Kampala"/>
    <s v="Kampala"/>
    <s v="UGA"/>
    <n v="2"/>
    <s v="Work"/>
    <s v="Masaka"/>
    <s v="Masaka"/>
    <s v="UGA"/>
    <n v="1"/>
    <s v="Home"/>
    <x v="1"/>
    <n v="12000"/>
    <n v="45"/>
    <x v="1"/>
    <n v="2"/>
    <x v="1"/>
    <n v="7"/>
    <s v="Farmer"/>
    <n v="1"/>
    <x v="2"/>
    <n v="2"/>
    <n v="2"/>
    <n v="2"/>
    <n v="2"/>
    <n v="2"/>
    <s v="Y"/>
    <m/>
    <x v="0"/>
  </r>
  <r>
    <d v="2019-10-20T00:00:00"/>
    <d v="1899-12-30T15:41:00"/>
    <m/>
    <s v="P"/>
    <n v="2"/>
    <s v="Road Vehicle"/>
    <n v="4"/>
    <x v="3"/>
    <x v="0"/>
    <n v="3"/>
    <x v="2"/>
    <s v="Buwama"/>
    <s v="Masaka"/>
    <s v="UGA"/>
    <n v="2"/>
    <s v="Work"/>
    <s v="Masaka"/>
    <s v="Masaka"/>
    <s v="UGA"/>
    <n v="8"/>
    <s v="Others"/>
    <x v="6"/>
    <n v="7000"/>
    <n v="40"/>
    <x v="1"/>
    <n v="1.5"/>
    <x v="2"/>
    <n v="6"/>
    <s v="Businessman"/>
    <n v="1"/>
    <x v="2"/>
    <n v="5"/>
    <n v="5"/>
    <n v="5"/>
    <n v="5"/>
    <n v="5"/>
    <s v="Y"/>
    <m/>
    <x v="0"/>
  </r>
  <r>
    <d v="2019-10-20T00:00:00"/>
    <d v="1899-12-30T07:49:00"/>
    <m/>
    <s v="P"/>
    <n v="2"/>
    <s v="Road Vehicle"/>
    <n v="4"/>
    <x v="3"/>
    <x v="0"/>
    <n v="3"/>
    <x v="2"/>
    <s v="Ndeeba"/>
    <s v="Kampala"/>
    <s v="UGA"/>
    <n v="2"/>
    <s v="Work"/>
    <s v="Kyotera"/>
    <s v="Masaka"/>
    <s v="UGA"/>
    <n v="4"/>
    <s v="Commercial"/>
    <x v="21"/>
    <n v="15000"/>
    <n v="68"/>
    <x v="1"/>
    <n v="3"/>
    <x v="1"/>
    <n v="7"/>
    <s v="Farmer"/>
    <n v="1"/>
    <x v="2"/>
    <n v="5"/>
    <n v="4"/>
    <n v="2"/>
    <n v="5"/>
    <n v="1"/>
    <s v="Y"/>
    <m/>
    <x v="0"/>
  </r>
  <r>
    <d v="2019-10-20T00:00:00"/>
    <d v="1899-12-30T14:47:00"/>
    <m/>
    <s v="P"/>
    <n v="2"/>
    <s v="Road Vehicle"/>
    <n v="4"/>
    <x v="3"/>
    <x v="0"/>
    <n v="3"/>
    <x v="2"/>
    <s v="Nsungai"/>
    <s v="Nsungai"/>
    <s v="UGA"/>
    <n v="1"/>
    <s v="Home"/>
    <s v="Kampala"/>
    <s v="KAMPALA"/>
    <s v="UGA"/>
    <n v="4"/>
    <s v="Commercial"/>
    <x v="12"/>
    <n v="45000"/>
    <n v="368"/>
    <x v="3"/>
    <n v="5"/>
    <x v="0"/>
    <n v="3"/>
    <s v="Artisan/Domestic"/>
    <n v="2"/>
    <x v="1"/>
    <n v="5"/>
    <n v="5"/>
    <n v="1"/>
    <n v="5"/>
    <n v="5"/>
    <s v="Y"/>
    <m/>
    <x v="0"/>
  </r>
  <r>
    <d v="2019-10-19T00:00:00"/>
    <d v="1899-12-30T11:00:00"/>
    <m/>
    <s v="P"/>
    <n v="2"/>
    <s v="Road Vehicle"/>
    <n v="4"/>
    <x v="3"/>
    <x v="1"/>
    <n v="3"/>
    <x v="2"/>
    <s v="Nansana"/>
    <s v="Kampala"/>
    <s v="UGA"/>
    <n v="1"/>
    <s v="Home"/>
    <s v="Kyotera"/>
    <s v="Masaka"/>
    <s v="UGA"/>
    <n v="4"/>
    <s v="Commercial"/>
    <x v="12"/>
    <n v="15000"/>
    <n v="50"/>
    <x v="1"/>
    <n v="3"/>
    <x v="1"/>
    <n v="7"/>
    <s v="Farmer"/>
    <n v="1"/>
    <x v="2"/>
    <n v="5"/>
    <n v="4"/>
    <n v="5"/>
    <n v="2"/>
    <n v="2"/>
    <s v="Y"/>
    <m/>
    <x v="0"/>
  </r>
  <r>
    <d v="2019-10-19T00:00:00"/>
    <d v="1899-12-30T10:28:00"/>
    <s v="UAZ 919Z"/>
    <s v="D"/>
    <n v="2"/>
    <s v="Road Vehicle"/>
    <n v="4"/>
    <x v="3"/>
    <x v="1"/>
    <n v="3"/>
    <x v="2"/>
    <s v="Buwama"/>
    <s v="Masaka"/>
    <s v="UGA"/>
    <n v="2"/>
    <s v="Work"/>
    <s v="Masaka"/>
    <s v="Masaka"/>
    <s v="UGA"/>
    <n v="8"/>
    <s v="Others"/>
    <x v="6"/>
    <n v="20000"/>
    <n v="40"/>
    <x v="1"/>
    <n v="1"/>
    <x v="2"/>
    <n v="10"/>
    <s v="Other"/>
    <n v="1"/>
    <x v="2"/>
    <n v="5"/>
    <n v="2"/>
    <n v="2"/>
    <n v="5"/>
    <n v="2"/>
    <s v="Y"/>
    <n v="1000"/>
    <x v="1"/>
  </r>
  <r>
    <d v="2019-10-19T00:00:00"/>
    <d v="1899-12-30T10:28:00"/>
    <s v="UAZ 919Z"/>
    <s v="D"/>
    <n v="2"/>
    <s v="Road Vehicle"/>
    <n v="4"/>
    <x v="3"/>
    <x v="1"/>
    <n v="3"/>
    <x v="2"/>
    <s v="Buwama"/>
    <s v="Masaka"/>
    <s v="UGA"/>
    <n v="2"/>
    <s v="Work"/>
    <s v="Masaka"/>
    <s v="Masaka"/>
    <s v="UGA"/>
    <n v="8"/>
    <s v="Others"/>
    <x v="6"/>
    <n v="20000"/>
    <n v="40"/>
    <x v="1"/>
    <n v="1"/>
    <x v="2"/>
    <n v="10"/>
    <s v="Other"/>
    <n v="1"/>
    <x v="2"/>
    <n v="5"/>
    <n v="2"/>
    <n v="2"/>
    <n v="5"/>
    <n v="2"/>
    <s v="Y"/>
    <n v="1000"/>
    <x v="1"/>
  </r>
  <r>
    <d v="2019-10-19T00:00:00"/>
    <d v="1899-12-30T10:02:00"/>
    <s v="UBA 951U"/>
    <s v="D"/>
    <n v="2"/>
    <s v="Road Vehicle"/>
    <n v="4"/>
    <x v="3"/>
    <x v="1"/>
    <n v="3"/>
    <x v="2"/>
    <s v="Lyantonde"/>
    <s v="Lyantonde"/>
    <s v="UGA"/>
    <n v="2"/>
    <s v="Work"/>
    <s v="Masaka"/>
    <s v="Masaka"/>
    <s v="UGA"/>
    <n v="2"/>
    <s v="Work"/>
    <x v="5"/>
    <n v="60000"/>
    <n v="81"/>
    <x v="0"/>
    <n v="1.5"/>
    <x v="2"/>
    <n v="5"/>
    <s v="Professional"/>
    <n v="2"/>
    <x v="1"/>
    <n v="2"/>
    <n v="2"/>
    <n v="2"/>
    <n v="2"/>
    <n v="2"/>
    <s v="Y"/>
    <n v="2000"/>
    <x v="4"/>
  </r>
  <r>
    <d v="2019-10-19T00:00:00"/>
    <d v="1899-12-30T09:14:00"/>
    <s v="UBE 102S"/>
    <s v="D"/>
    <n v="2"/>
    <s v="Road Vehicle"/>
    <n v="4"/>
    <x v="3"/>
    <x v="1"/>
    <n v="3"/>
    <x v="2"/>
    <s v="Lyantonde"/>
    <s v="Lyantonde"/>
    <s v="UGA"/>
    <n v="2"/>
    <s v="Work"/>
    <s v="Kampala"/>
    <s v="KAMPALA"/>
    <s v="UGA"/>
    <n v="2"/>
    <s v="Work"/>
    <x v="5"/>
    <n v="120000"/>
    <n v="164"/>
    <x v="2"/>
    <n v="4"/>
    <x v="0"/>
    <n v="6"/>
    <s v="Businessman"/>
    <n v="4"/>
    <x v="3"/>
    <n v="2"/>
    <n v="2"/>
    <n v="2"/>
    <n v="2"/>
    <n v="2"/>
    <s v="Y"/>
    <n v="2000"/>
    <x v="4"/>
  </r>
  <r>
    <d v="2019-10-19T00:00:00"/>
    <d v="1899-12-30T08:24:00"/>
    <s v="UAK 718P"/>
    <s v="D"/>
    <n v="2"/>
    <s v="Road Vehicle"/>
    <n v="4"/>
    <x v="3"/>
    <x v="1"/>
    <n v="3"/>
    <x v="2"/>
    <s v="Masaka"/>
    <s v="Masaka"/>
    <s v="UGA"/>
    <n v="2"/>
    <s v="Work"/>
    <s v="Kinoni"/>
    <s v="Masaka"/>
    <s v="UGA"/>
    <n v="2"/>
    <s v="Work"/>
    <x v="5"/>
    <n v="25000"/>
    <n v="15"/>
    <x v="6"/>
    <n v="1"/>
    <x v="2"/>
    <n v="10"/>
    <s v="Other"/>
    <n v="1"/>
    <x v="2"/>
    <n v="3"/>
    <n v="2"/>
    <n v="3"/>
    <n v="2"/>
    <n v="2"/>
    <s v="Y"/>
    <m/>
    <x v="0"/>
  </r>
  <r>
    <d v="2019-10-19T00:00:00"/>
    <d v="1899-12-30T14:21:00"/>
    <m/>
    <s v="D"/>
    <n v="2"/>
    <s v="Road Vehicle"/>
    <n v="4"/>
    <x v="3"/>
    <x v="1"/>
    <n v="3"/>
    <x v="2"/>
    <s v="Masaka"/>
    <s v="Masaka"/>
    <s v="UGA"/>
    <n v="4"/>
    <s v="Commercial"/>
    <s v="Bwaise"/>
    <s v="KAMPALA"/>
    <s v="UGA"/>
    <n v="4"/>
    <s v="Commercial"/>
    <x v="13"/>
    <n v="50000"/>
    <n v="140"/>
    <x v="2"/>
    <n v="2"/>
    <x v="1"/>
    <n v="2"/>
    <s v="Manual Labour"/>
    <n v="2"/>
    <x v="1"/>
    <n v="3"/>
    <n v="1"/>
    <n v="1"/>
    <n v="4"/>
    <n v="1"/>
    <s v="Y"/>
    <n v="2000"/>
    <x v="4"/>
  </r>
  <r>
    <d v="2019-10-19T00:00:00"/>
    <d v="1899-12-30T14:06:00"/>
    <m/>
    <s v="D"/>
    <n v="2"/>
    <s v="Road Vehicle"/>
    <n v="4"/>
    <x v="3"/>
    <x v="1"/>
    <n v="3"/>
    <x v="2"/>
    <s v="Masaka"/>
    <s v="Masaka"/>
    <s v="UGA"/>
    <n v="4"/>
    <s v="Commercial"/>
    <s v="Natete"/>
    <s v="KAMPALA"/>
    <s v="UGA"/>
    <n v="4"/>
    <s v="Commercial"/>
    <x v="13"/>
    <n v="47000"/>
    <n v="137"/>
    <x v="2"/>
    <n v="2.5"/>
    <x v="1"/>
    <n v="5"/>
    <s v="Professional"/>
    <n v="2"/>
    <x v="1"/>
    <n v="3"/>
    <n v="1"/>
    <n v="1"/>
    <n v="3"/>
    <n v="3"/>
    <s v="Y"/>
    <n v="3000"/>
    <x v="5"/>
  </r>
  <r>
    <d v="2019-10-20T00:00:00"/>
    <d v="1899-12-30T09:00:00"/>
    <m/>
    <s v="P"/>
    <n v="2"/>
    <s v="Road Vehicle"/>
    <n v="4"/>
    <x v="3"/>
    <x v="1"/>
    <n v="3"/>
    <x v="2"/>
    <s v="Mutukula"/>
    <s v="Mutukula"/>
    <s v="UGA"/>
    <n v="1"/>
    <s v="Home"/>
    <s v="Kampala"/>
    <s v="KAMPALA"/>
    <s v="UGA"/>
    <n v="4"/>
    <s v="Commercial"/>
    <x v="12"/>
    <n v="60000"/>
    <n v="270"/>
    <x v="3"/>
    <n v="7"/>
    <x v="0"/>
    <n v="7"/>
    <s v="Farmer"/>
    <n v="2"/>
    <x v="1"/>
    <n v="5"/>
    <n v="5"/>
    <n v="1"/>
    <n v="1"/>
    <n v="1"/>
    <s v="Y"/>
    <n v="3000"/>
    <x v="5"/>
  </r>
  <r>
    <d v="2019-10-20T00:00:00"/>
    <d v="1899-12-30T09:16:00"/>
    <m/>
    <s v="D"/>
    <n v="2"/>
    <s v="Road Vehicle"/>
    <n v="4"/>
    <x v="3"/>
    <x v="1"/>
    <n v="3"/>
    <x v="2"/>
    <s v="Masaka"/>
    <s v="Masaka"/>
    <s v="UGA"/>
    <n v="4"/>
    <s v="Commercial"/>
    <s v="Lukaya"/>
    <s v="Masaka"/>
    <s v="UGA"/>
    <n v="4"/>
    <s v="Commercial"/>
    <x v="13"/>
    <n v="10000"/>
    <n v="20"/>
    <x v="5"/>
    <n v="0.5"/>
    <x v="3"/>
    <n v="5"/>
    <s v="Professional"/>
    <n v="2"/>
    <x v="1"/>
    <n v="1"/>
    <n v="1"/>
    <n v="1"/>
    <n v="1"/>
    <n v="4"/>
    <s v="Y"/>
    <n v="2000"/>
    <x v="4"/>
  </r>
  <r>
    <d v="2019-10-20T00:00:00"/>
    <d v="1899-12-30T14:21:00"/>
    <m/>
    <s v="D"/>
    <n v="2"/>
    <s v="Road Vehicle"/>
    <n v="4"/>
    <x v="3"/>
    <x v="1"/>
    <n v="3"/>
    <x v="2"/>
    <s v="Kampala"/>
    <s v="Kampala"/>
    <s v="UGA"/>
    <n v="4"/>
    <s v="Commercial"/>
    <s v="Masaka"/>
    <s v="Masaka"/>
    <s v="UGA"/>
    <n v="4"/>
    <s v="Commercial"/>
    <x v="13"/>
    <n v="100000"/>
    <n v="137"/>
    <x v="2"/>
    <n v="2"/>
    <x v="1"/>
    <n v="5"/>
    <s v="Professional"/>
    <n v="3"/>
    <x v="0"/>
    <n v="1"/>
    <n v="1"/>
    <n v="5"/>
    <n v="5"/>
    <n v="1"/>
    <s v="Y"/>
    <n v="3000"/>
    <x v="5"/>
  </r>
  <r>
    <d v="2019-10-20T00:00:00"/>
    <d v="1899-12-30T17:19:00"/>
    <m/>
    <s v="D"/>
    <n v="2"/>
    <s v="Road Vehicle"/>
    <n v="4"/>
    <x v="3"/>
    <x v="1"/>
    <n v="3"/>
    <x v="2"/>
    <s v="Mutukula"/>
    <s v="Mutukula"/>
    <s v="UGA"/>
    <n v="4"/>
    <s v="Commercial"/>
    <s v="Masaka"/>
    <s v="Masaka"/>
    <s v="UGA"/>
    <n v="4"/>
    <s v="Commercial"/>
    <x v="13"/>
    <n v="50000"/>
    <n v="280"/>
    <x v="3"/>
    <n v="4"/>
    <x v="0"/>
    <n v="5"/>
    <s v="Professional"/>
    <n v="2"/>
    <x v="1"/>
    <n v="5"/>
    <n v="5"/>
    <n v="1"/>
    <n v="1"/>
    <n v="4"/>
    <s v="Y"/>
    <n v="1000"/>
    <x v="1"/>
  </r>
  <r>
    <d v="2019-10-20T00:00:00"/>
    <d v="1899-12-30T15:19:00"/>
    <s v="UAK 140J"/>
    <s v="P"/>
    <n v="2"/>
    <s v="Road Vehicle"/>
    <n v="4"/>
    <x v="3"/>
    <x v="1"/>
    <n v="3"/>
    <x v="2"/>
    <s v="Kyabakuza"/>
    <s v="Masaka"/>
    <s v="UGA"/>
    <n v="2"/>
    <s v="Work"/>
    <s v="Kinoni"/>
    <s v="Masaka"/>
    <s v="UGA"/>
    <n v="1"/>
    <s v="Home"/>
    <x v="1"/>
    <n v="7000"/>
    <n v="36"/>
    <x v="5"/>
    <n v="0.7"/>
    <x v="3"/>
    <n v="4"/>
    <s v="Office Worker"/>
    <n v="5"/>
    <x v="4"/>
    <n v="1"/>
    <n v="1"/>
    <n v="1"/>
    <n v="1"/>
    <n v="1"/>
    <s v="Y"/>
    <n v="2500"/>
    <x v="4"/>
  </r>
  <r>
    <d v="2019-10-19T00:00:00"/>
    <d v="1899-12-30T16:46:00"/>
    <m/>
    <s v="D"/>
    <n v="2"/>
    <s v="Road Vehicle"/>
    <n v="3"/>
    <x v="6"/>
    <x v="0"/>
    <n v="3"/>
    <x v="2"/>
    <s v="Buwama"/>
    <s v="Masaka"/>
    <s v="UGA"/>
    <n v="4"/>
    <s v="Commercial"/>
    <s v="Masaka"/>
    <s v="Masaka"/>
    <s v="UGA"/>
    <n v="1"/>
    <s v="Home"/>
    <x v="0"/>
    <n v="40000"/>
    <n v="42"/>
    <x v="1"/>
    <n v="1.5"/>
    <x v="2"/>
    <n v="7"/>
    <s v="Farmer"/>
    <n v="4"/>
    <x v="3"/>
    <n v="1"/>
    <n v="1"/>
    <n v="2"/>
    <n v="3"/>
    <n v="1"/>
    <s v="Y"/>
    <m/>
    <x v="0"/>
  </r>
  <r>
    <d v="2019-10-19T00:00:00"/>
    <d v="1899-12-30T07:42:00"/>
    <s v="UBD 808L"/>
    <s v="D"/>
    <n v="2"/>
    <s v="Road Vehicle"/>
    <n v="2"/>
    <x v="4"/>
    <x v="1"/>
    <n v="3"/>
    <x v="2"/>
    <s v="Buwama"/>
    <s v="Masaka"/>
    <s v="UGA"/>
    <n v="1"/>
    <s v="Home"/>
    <s v="Masaka"/>
    <s v="Masaka"/>
    <s v="UGA"/>
    <n v="2"/>
    <s v="Work"/>
    <x v="8"/>
    <n v="20000"/>
    <n v="21"/>
    <x v="5"/>
    <n v="0.8"/>
    <x v="3"/>
    <n v="6"/>
    <s v="Businessman"/>
    <n v="5"/>
    <x v="4"/>
    <n v="2"/>
    <n v="2"/>
    <n v="1"/>
    <n v="2"/>
    <n v="2"/>
    <s v="Y"/>
    <n v="5000"/>
    <x v="2"/>
  </r>
  <r>
    <d v="2019-10-19T00:00:00"/>
    <d v="1899-12-30T14:10:00"/>
    <m/>
    <s v="D"/>
    <n v="2"/>
    <s v="Road Vehicle"/>
    <n v="2"/>
    <x v="4"/>
    <x v="1"/>
    <n v="3"/>
    <x v="2"/>
    <s v="Masaka"/>
    <s v="Masaka"/>
    <s v="UGA"/>
    <n v="4"/>
    <s v="Commercial"/>
    <s v="Sedegeya"/>
    <s v="Masaka"/>
    <s v="UGA"/>
    <n v="1"/>
    <s v="Home"/>
    <x v="0"/>
    <n v="5000"/>
    <n v="2"/>
    <x v="4"/>
    <n v="0.1"/>
    <x v="4"/>
    <n v="2"/>
    <s v="Manual Labour"/>
    <n v="2"/>
    <x v="1"/>
    <n v="1"/>
    <n v="1"/>
    <n v="1"/>
    <n v="5"/>
    <n v="1"/>
    <s v="Y"/>
    <n v="1000"/>
    <x v="1"/>
  </r>
  <r>
    <d v="2019-10-20T00:00:00"/>
    <d v="1899-12-30T07:29:00"/>
    <m/>
    <s v="D"/>
    <n v="2"/>
    <s v="Road Vehicle"/>
    <n v="2"/>
    <x v="4"/>
    <x v="1"/>
    <n v="3"/>
    <x v="2"/>
    <s v="Kyotera"/>
    <s v="Masaka"/>
    <s v="UGA"/>
    <n v="1"/>
    <s v="Home"/>
    <s v="Masaka"/>
    <s v="Masaka"/>
    <s v="UGA"/>
    <n v="6"/>
    <s v="Leisure/Social"/>
    <x v="3"/>
    <n v="40000"/>
    <n v="25"/>
    <x v="5"/>
    <n v="0.2"/>
    <x v="4"/>
    <n v="6"/>
    <s v="Businessman"/>
    <n v="4"/>
    <x v="3"/>
    <n v="2"/>
    <n v="2"/>
    <n v="1"/>
    <n v="1"/>
    <n v="1"/>
    <s v="Y"/>
    <n v="4000"/>
    <x v="5"/>
  </r>
  <r>
    <d v="2019-10-20T00:00:00"/>
    <d v="1899-12-30T15:49:00"/>
    <m/>
    <s v="D"/>
    <n v="2"/>
    <s v="Road Vehicle"/>
    <n v="1"/>
    <x v="0"/>
    <x v="1"/>
    <n v="4"/>
    <x v="3"/>
    <s v="Katwe"/>
    <s v="Masaka"/>
    <s v="UGA"/>
    <n v="1"/>
    <s v="Home"/>
    <s v="Masaka"/>
    <s v="Masaka"/>
    <s v="UGA"/>
    <n v="4"/>
    <s v="Commercial"/>
    <x v="12"/>
    <n v="10000"/>
    <n v="1"/>
    <x v="4"/>
    <n v="0.1"/>
    <x v="4"/>
    <n v="2"/>
    <s v="Manual Labour"/>
    <n v="3"/>
    <x v="0"/>
    <n v="1"/>
    <n v="1"/>
    <n v="1"/>
    <n v="1"/>
    <n v="1"/>
    <s v="Y"/>
    <n v="2000"/>
    <x v="4"/>
  </r>
  <r>
    <d v="2019-10-20T00:00:00"/>
    <d v="1899-12-30T18:09:00"/>
    <m/>
    <s v="P"/>
    <n v="2"/>
    <s v="Road Vehicle"/>
    <n v="1"/>
    <x v="0"/>
    <x v="1"/>
    <n v="4"/>
    <x v="3"/>
    <s v="Masaka"/>
    <s v="Masaka"/>
    <s v="UGA"/>
    <n v="1"/>
    <s v="Home"/>
    <s v="Kampala"/>
    <s v="KAMPALA"/>
    <s v="UGA"/>
    <n v="4"/>
    <s v="Commercial"/>
    <x v="12"/>
    <n v="13000"/>
    <n v="137"/>
    <x v="2"/>
    <n v="2"/>
    <x v="1"/>
    <n v="6"/>
    <s v="Businessman"/>
    <n v="2"/>
    <x v="1"/>
    <n v="1"/>
    <n v="1"/>
    <n v="1"/>
    <n v="3"/>
    <n v="3"/>
    <s v="Y"/>
    <n v="3000"/>
    <x v="5"/>
  </r>
  <r>
    <d v="2019-10-19T00:00:00"/>
    <d v="1899-12-30T13:26:00"/>
    <s v="UAX 416B"/>
    <s v="D"/>
    <n v="2"/>
    <s v="Road Vehicle"/>
    <n v="9"/>
    <x v="9"/>
    <x v="1"/>
    <n v="4"/>
    <x v="3"/>
    <s v="Tororo"/>
    <s v="Tororo"/>
    <s v="UGA"/>
    <n v="2"/>
    <s v="Work"/>
    <s v="Masaka"/>
    <s v="Masaka"/>
    <s v="UGA"/>
    <n v="4"/>
    <s v="Commercial"/>
    <x v="21"/>
    <n v="550000"/>
    <n v="367"/>
    <x v="3"/>
    <n v="7"/>
    <x v="0"/>
    <n v="5"/>
    <s v="Professional"/>
    <n v="5"/>
    <x v="4"/>
    <n v="2"/>
    <n v="2"/>
    <n v="1"/>
    <n v="1"/>
    <n v="1"/>
    <s v="Y"/>
    <n v="4000"/>
    <x v="5"/>
  </r>
  <r>
    <d v="2019-10-20T00:00:00"/>
    <d v="1899-12-30T14:06:00"/>
    <s v="UAX 444S"/>
    <s v="D"/>
    <n v="2"/>
    <s v="Road Vehicle"/>
    <n v="9"/>
    <x v="9"/>
    <x v="1"/>
    <n v="4"/>
    <x v="3"/>
    <s v="Kampala"/>
    <s v="Kampala"/>
    <s v="UGA"/>
    <n v="2"/>
    <s v="Work"/>
    <s v="Lyantonde"/>
    <s v="Lyantonde"/>
    <s v="UGA"/>
    <n v="4"/>
    <s v="Commercial"/>
    <x v="21"/>
    <n v="250000"/>
    <n v="198"/>
    <x v="2"/>
    <n v="5"/>
    <x v="0"/>
    <n v="6"/>
    <s v="Businessman"/>
    <n v="4"/>
    <x v="3"/>
    <n v="2"/>
    <n v="2"/>
    <n v="2"/>
    <n v="2"/>
    <n v="2"/>
    <s v="Y"/>
    <n v="4000"/>
    <x v="5"/>
  </r>
  <r>
    <d v="2019-10-20T00:00:00"/>
    <d v="1899-12-30T07:52:00"/>
    <s v="UAF 997U"/>
    <s v="D"/>
    <n v="2"/>
    <s v="Road Vehicle"/>
    <n v="9"/>
    <x v="9"/>
    <x v="1"/>
    <n v="4"/>
    <x v="3"/>
    <s v="Kampala"/>
    <s v="Kampala"/>
    <s v="UGA"/>
    <n v="2"/>
    <s v="Work"/>
    <s v="Mbarara"/>
    <s v="Mbarara"/>
    <s v="UGA"/>
    <n v="4"/>
    <s v="Commercial"/>
    <x v="21"/>
    <n v="240000"/>
    <n v="200"/>
    <x v="3"/>
    <n v="7"/>
    <x v="0"/>
    <n v="5"/>
    <s v="Professional"/>
    <n v="5"/>
    <x v="4"/>
    <n v="1"/>
    <n v="1"/>
    <n v="1"/>
    <n v="1"/>
    <n v="1"/>
    <s v="Y"/>
    <n v="5000"/>
    <x v="2"/>
  </r>
  <r>
    <d v="2019-10-19T00:00:00"/>
    <d v="1899-12-30T08:04:00"/>
    <s v="UBB 079S"/>
    <s v="D"/>
    <n v="2"/>
    <s v="Road Vehicle"/>
    <n v="6"/>
    <x v="1"/>
    <x v="1"/>
    <n v="4"/>
    <x v="3"/>
    <s v="Ishaka"/>
    <s v="Ishaka"/>
    <s v="UGA"/>
    <n v="2"/>
    <s v="Work"/>
    <s v="Kampala"/>
    <s v="KAMPALA"/>
    <s v="UGA"/>
    <n v="2"/>
    <s v="Work"/>
    <x v="5"/>
    <n v="400000"/>
    <n v="400"/>
    <x v="3"/>
    <n v="6"/>
    <x v="0"/>
    <n v="5"/>
    <s v="Professional"/>
    <n v="3"/>
    <x v="0"/>
    <n v="4"/>
    <n v="2"/>
    <n v="2"/>
    <n v="4"/>
    <n v="4"/>
    <s v="Y"/>
    <n v="5000"/>
    <x v="2"/>
  </r>
  <r>
    <d v="2019-10-19T00:00:00"/>
    <d v="1899-12-30T07:58:00"/>
    <s v="UBF 005K"/>
    <s v="D"/>
    <n v="2"/>
    <s v="Road Vehicle"/>
    <n v="6"/>
    <x v="1"/>
    <x v="1"/>
    <n v="4"/>
    <x v="3"/>
    <s v="Mbarara"/>
    <s v="Mbarara"/>
    <s v="UGA"/>
    <n v="2"/>
    <s v="Work"/>
    <s v="Kampala"/>
    <s v="KAMPALA"/>
    <s v="UGA"/>
    <n v="2"/>
    <s v="Work"/>
    <x v="5"/>
    <n v="340000"/>
    <n v="210"/>
    <x v="3"/>
    <n v="4"/>
    <x v="0"/>
    <n v="5"/>
    <s v="Professional"/>
    <n v="4"/>
    <x v="3"/>
    <n v="2"/>
    <n v="2"/>
    <n v="1"/>
    <n v="2"/>
    <n v="2"/>
    <s v="Y"/>
    <n v="5000"/>
    <x v="2"/>
  </r>
  <r>
    <d v="2019-10-20T00:00:00"/>
    <d v="1899-12-30T09:46:00"/>
    <s v="UBE 706M"/>
    <s v="D"/>
    <n v="2"/>
    <s v="Road Vehicle"/>
    <n v="6"/>
    <x v="1"/>
    <x v="1"/>
    <n v="4"/>
    <x v="3"/>
    <s v="Kampala"/>
    <s v="Kampala"/>
    <s v="UGA"/>
    <n v="2"/>
    <s v="Work"/>
    <s v="Mbarara"/>
    <s v="Mbarara"/>
    <s v="UGA"/>
    <n v="2"/>
    <s v="Work"/>
    <x v="5"/>
    <n v="240000"/>
    <n v="206"/>
    <x v="3"/>
    <n v="4"/>
    <x v="0"/>
    <n v="5"/>
    <s v="Professional"/>
    <n v="5"/>
    <x v="4"/>
    <n v="1"/>
    <n v="1"/>
    <n v="1"/>
    <n v="1"/>
    <n v="1"/>
    <s v="Y"/>
    <n v="3000"/>
    <x v="5"/>
  </r>
  <r>
    <d v="2019-10-19T00:00:00"/>
    <d v="1899-12-30T08:59:00"/>
    <m/>
    <s v="D"/>
    <n v="2"/>
    <s v="Road Vehicle"/>
    <n v="7"/>
    <x v="2"/>
    <x v="1"/>
    <n v="4"/>
    <x v="3"/>
    <s v="Matete"/>
    <s v="Masaka"/>
    <s v="UGA"/>
    <n v="2"/>
    <s v="Work"/>
    <s v="Masaka"/>
    <s v="Masaka"/>
    <s v="UGA"/>
    <n v="2"/>
    <s v="Work"/>
    <x v="5"/>
    <n v="40000"/>
    <n v="24"/>
    <x v="5"/>
    <n v="0.7"/>
    <x v="3"/>
    <n v="6"/>
    <s v="Businessman"/>
    <n v="3"/>
    <x v="0"/>
    <n v="4"/>
    <n v="4"/>
    <n v="2"/>
    <n v="2"/>
    <n v="2"/>
    <s v="Y"/>
    <n v="1000"/>
    <x v="1"/>
  </r>
  <r>
    <d v="2019-10-20T00:00:00"/>
    <d v="1899-12-30T16:51:00"/>
    <m/>
    <s v="P"/>
    <n v="2"/>
    <s v="Road Vehicle"/>
    <n v="5"/>
    <x v="5"/>
    <x v="1"/>
    <n v="4"/>
    <x v="3"/>
    <s v="Mpigi"/>
    <s v="Mpigi"/>
    <s v="UGA"/>
    <n v="6"/>
    <s v="Leisure/Social"/>
    <s v="Masaka"/>
    <s v="Masaka"/>
    <s v="UGA"/>
    <n v="1"/>
    <s v="Home"/>
    <x v="7"/>
    <n v="10000"/>
    <n v="103"/>
    <x v="2"/>
    <n v="2"/>
    <x v="1"/>
    <n v="6"/>
    <s v="Businessman"/>
    <n v="4"/>
    <x v="3"/>
    <n v="4"/>
    <n v="2"/>
    <n v="2"/>
    <n v="2"/>
    <n v="2"/>
    <s v="Y"/>
    <n v="2000"/>
    <x v="4"/>
  </r>
  <r>
    <d v="2019-10-19T00:00:00"/>
    <d v="1899-12-30T09:31:00"/>
    <s v="UBF 086S"/>
    <s v="D"/>
    <n v="2"/>
    <s v="Road Vehicle"/>
    <n v="4"/>
    <x v="3"/>
    <x v="1"/>
    <n v="4"/>
    <x v="3"/>
    <s v="Masaka"/>
    <s v="Masaka"/>
    <s v="UGA"/>
    <n v="2"/>
    <s v="Work"/>
    <s v="Kampala"/>
    <s v="KAMPALA"/>
    <s v="UGA"/>
    <n v="2"/>
    <s v="Work"/>
    <x v="5"/>
    <n v="150000"/>
    <n v="112"/>
    <x v="2"/>
    <n v="3"/>
    <x v="1"/>
    <n v="6"/>
    <s v="Businessman"/>
    <n v="3"/>
    <x v="0"/>
    <n v="2"/>
    <n v="2"/>
    <n v="2"/>
    <n v="2"/>
    <n v="2"/>
    <m/>
    <m/>
    <x v="0"/>
  </r>
  <r>
    <d v="2019-10-20T00:00:00"/>
    <d v="1899-12-30T17:01:00"/>
    <m/>
    <s v="P"/>
    <n v="2"/>
    <s v="Road Vehicle"/>
    <n v="4"/>
    <x v="3"/>
    <x v="1"/>
    <n v="4"/>
    <x v="3"/>
    <s v="Masaka"/>
    <s v="Masaka"/>
    <s v="UGA"/>
    <n v="4"/>
    <s v="Commercial"/>
    <s v="Lukaya"/>
    <s v="Masaka"/>
    <s v="UGA"/>
    <n v="1"/>
    <s v="Home"/>
    <x v="0"/>
    <n v="3000"/>
    <n v="1"/>
    <x v="4"/>
    <n v="0.5"/>
    <x v="3"/>
    <n v="1"/>
    <s v="Unemployed"/>
    <n v="1"/>
    <x v="2"/>
    <n v="1"/>
    <n v="1"/>
    <n v="1"/>
    <n v="5"/>
    <n v="5"/>
    <s v="Y"/>
    <n v="1000"/>
    <x v="1"/>
  </r>
  <r>
    <d v="2019-10-19T00:00:00"/>
    <d v="1899-12-30T08:22:00"/>
    <s v="UG 1771 S"/>
    <s v="D"/>
    <n v="2"/>
    <s v="Road Vehicle"/>
    <n v="3"/>
    <x v="6"/>
    <x v="1"/>
    <n v="4"/>
    <x v="3"/>
    <s v="Kinoni"/>
    <s v="Masaka"/>
    <s v="UGA"/>
    <n v="1"/>
    <s v="Home"/>
    <s v="Masaka"/>
    <s v="Masaka"/>
    <s v="UGA"/>
    <n v="2"/>
    <s v="Work"/>
    <x v="8"/>
    <n v="20000"/>
    <n v="15"/>
    <x v="6"/>
    <n v="0.3"/>
    <x v="4"/>
    <n v="5"/>
    <s v="Professional"/>
    <n v="4"/>
    <x v="3"/>
    <m/>
    <m/>
    <m/>
    <m/>
    <m/>
    <s v="Y"/>
    <m/>
    <x v="0"/>
  </r>
  <r>
    <d v="2019-10-19T00:00:00"/>
    <d v="1899-12-30T08:56:00"/>
    <s v="UBD 222A"/>
    <s v="D"/>
    <n v="2"/>
    <s v="Road Vehicle"/>
    <n v="2"/>
    <x v="4"/>
    <x v="1"/>
    <n v="4"/>
    <x v="3"/>
    <s v="Kyotera"/>
    <s v="Masaka"/>
    <s v="UGA"/>
    <n v="6"/>
    <s v="Leisure/Social"/>
    <s v="Masaka"/>
    <s v="Masaka"/>
    <s v="UGA"/>
    <n v="1"/>
    <s v="Home"/>
    <x v="7"/>
    <n v="15000"/>
    <n v="15"/>
    <x v="6"/>
    <n v="0.3"/>
    <x v="4"/>
    <n v="6"/>
    <s v="Businessman"/>
    <n v="4"/>
    <x v="3"/>
    <m/>
    <n v="2"/>
    <n v="3"/>
    <n v="2"/>
    <n v="2"/>
    <s v="Y"/>
    <m/>
    <x v="0"/>
  </r>
  <r>
    <d v="2019-10-19T00:00:00"/>
    <d v="1899-12-30T14:15:00"/>
    <m/>
    <s v="P"/>
    <n v="2"/>
    <s v="Road Vehicle"/>
    <n v="2"/>
    <x v="4"/>
    <x v="1"/>
    <n v="4"/>
    <x v="3"/>
    <s v="Katwe"/>
    <s v="Masaka"/>
    <s v="UGA"/>
    <n v="1"/>
    <s v="Home"/>
    <s v="Kayabwe"/>
    <s v="Masaka"/>
    <s v="UGA"/>
    <n v="6"/>
    <s v="Leisure/Social"/>
    <x v="3"/>
    <n v="20000"/>
    <n v="40"/>
    <x v="1"/>
    <n v="0.3"/>
    <x v="4"/>
    <n v="3"/>
    <s v="Artisan/Domestic"/>
    <n v="2"/>
    <x v="1"/>
    <n v="1"/>
    <n v="1"/>
    <n v="1"/>
    <n v="1"/>
    <n v="1"/>
    <s v="Y"/>
    <n v="2000"/>
    <x v="4"/>
  </r>
  <r>
    <d v="2019-10-19T00:00:00"/>
    <d v="1899-12-30T09:49:00"/>
    <s v="UAV 896V"/>
    <s v="D"/>
    <n v="2"/>
    <s v="Road Vehicle"/>
    <n v="1"/>
    <x v="0"/>
    <x v="0"/>
    <n v="5"/>
    <x v="4"/>
    <s v="Masaka"/>
    <s v="Masaka"/>
    <s v="UGA"/>
    <n v="2"/>
    <s v="Work"/>
    <s v="Buwama"/>
    <s v="Masaka"/>
    <s v="UGA"/>
    <n v="1"/>
    <s v="Home"/>
    <x v="1"/>
    <n v="20000"/>
    <n v="21"/>
    <x v="5"/>
    <n v="0.5"/>
    <x v="3"/>
    <n v="5"/>
    <s v="Professional"/>
    <n v="5"/>
    <x v="4"/>
    <n v="1"/>
    <n v="1"/>
    <n v="1"/>
    <n v="1"/>
    <n v="1"/>
    <s v="Y"/>
    <m/>
    <x v="0"/>
  </r>
  <r>
    <d v="2019-10-19T00:00:00"/>
    <d v="1899-12-30T11:06:00"/>
    <s v="UBA 794H"/>
    <s v="D"/>
    <n v="2"/>
    <s v="Road Vehicle"/>
    <n v="9"/>
    <x v="9"/>
    <x v="1"/>
    <n v="5"/>
    <x v="4"/>
    <s v="Kampala"/>
    <s v="Kampala"/>
    <s v="UGA"/>
    <n v="2"/>
    <s v="Work"/>
    <s v="Masaka"/>
    <s v="Masaka"/>
    <s v="UGA"/>
    <n v="2"/>
    <s v="Work"/>
    <x v="5"/>
    <n v="210000"/>
    <n v="114"/>
    <x v="2"/>
    <n v="4"/>
    <x v="0"/>
    <n v="5"/>
    <s v="Professional"/>
    <n v="5"/>
    <x v="4"/>
    <n v="2"/>
    <n v="1"/>
    <n v="1"/>
    <n v="1"/>
    <n v="2"/>
    <s v="Y"/>
    <n v="5000"/>
    <x v="2"/>
  </r>
  <r>
    <d v="2019-10-20T00:00:00"/>
    <d v="1899-12-30T17:34:00"/>
    <s v="UAT 043T"/>
    <s v="D"/>
    <n v="2"/>
    <s v="Road Vehicle"/>
    <n v="9"/>
    <x v="9"/>
    <x v="1"/>
    <n v="5"/>
    <x v="4"/>
    <s v="Tororo"/>
    <s v="Tororo"/>
    <s v="UGA"/>
    <n v="2"/>
    <s v="Work"/>
    <s v="Mbarara"/>
    <s v="Mbarara"/>
    <s v="UGA"/>
    <n v="4"/>
    <s v="Commercial"/>
    <x v="21"/>
    <n v="400000"/>
    <n v="390"/>
    <x v="3"/>
    <n v="7"/>
    <x v="0"/>
    <n v="5"/>
    <s v="Professional"/>
    <n v="5"/>
    <x v="4"/>
    <n v="4"/>
    <n v="2"/>
    <n v="2"/>
    <n v="2"/>
    <n v="2"/>
    <s v="Y"/>
    <n v="5000"/>
    <x v="2"/>
  </r>
  <r>
    <d v="2019-10-19T00:00:00"/>
    <d v="1899-12-30T10:12:00"/>
    <s v="UAK 811M"/>
    <s v="D"/>
    <n v="2"/>
    <s v="Road Vehicle"/>
    <n v="8"/>
    <x v="8"/>
    <x v="1"/>
    <n v="5"/>
    <x v="4"/>
    <s v="Mbarara"/>
    <s v="Mbarara"/>
    <s v="UGA"/>
    <n v="2"/>
    <s v="Work"/>
    <s v="Masaka"/>
    <s v="Masaka"/>
    <s v="UGA"/>
    <n v="2"/>
    <s v="Work"/>
    <x v="5"/>
    <n v="150000"/>
    <n v="106"/>
    <x v="2"/>
    <n v="4"/>
    <x v="0"/>
    <n v="5"/>
    <s v="Professional"/>
    <n v="4"/>
    <x v="3"/>
    <n v="3"/>
    <n v="2"/>
    <n v="2"/>
    <n v="1"/>
    <n v="2"/>
    <s v="Y"/>
    <n v="1500"/>
    <x v="1"/>
  </r>
  <r>
    <d v="2019-10-19T00:00:00"/>
    <d v="1899-12-30T11:46:00"/>
    <m/>
    <s v="P"/>
    <n v="2"/>
    <s v="Road Vehicle"/>
    <n v="4"/>
    <x v="3"/>
    <x v="0"/>
    <n v="5"/>
    <x v="4"/>
    <s v="Masaka"/>
    <s v="Masaka"/>
    <s v="UGA"/>
    <n v="4"/>
    <s v="Commercial"/>
    <s v="Mbarara"/>
    <s v="Mbarara"/>
    <s v="UGA"/>
    <n v="4"/>
    <s v="Commercial"/>
    <x v="13"/>
    <n v="10000"/>
    <n v="102"/>
    <x v="2"/>
    <n v="4"/>
    <x v="0"/>
    <n v="6"/>
    <s v="Businessman"/>
    <n v="3"/>
    <x v="0"/>
    <n v="4"/>
    <n v="2"/>
    <n v="2"/>
    <n v="2"/>
    <n v="2"/>
    <s v="Y"/>
    <m/>
    <x v="0"/>
  </r>
  <r>
    <d v="2019-10-19T00:00:00"/>
    <d v="1899-12-30T11:10:00"/>
    <s v="UAH 098E"/>
    <s v="D"/>
    <n v="2"/>
    <s v="Road Vehicle"/>
    <n v="2"/>
    <x v="4"/>
    <x v="0"/>
    <n v="5"/>
    <x v="4"/>
    <s v="Nyendo"/>
    <s v="Masaka"/>
    <s v="UGA"/>
    <n v="1"/>
    <s v="Home"/>
    <s v="Masaka"/>
    <s v="Masaka"/>
    <s v="UGA"/>
    <n v="4"/>
    <s v="Commercial"/>
    <x v="12"/>
    <n v="10000"/>
    <n v="8"/>
    <x v="4"/>
    <n v="0.1"/>
    <x v="4"/>
    <n v="9"/>
    <s v="Retired"/>
    <n v="5"/>
    <x v="4"/>
    <n v="1"/>
    <n v="1"/>
    <n v="1"/>
    <n v="1"/>
    <n v="1"/>
    <s v="Y"/>
    <m/>
    <x v="0"/>
  </r>
  <r>
    <d v="2019-10-19T00:00:00"/>
    <d v="1899-12-30T11:52:00"/>
    <m/>
    <s v="P"/>
    <n v="2"/>
    <s v="Road Vehicle"/>
    <n v="10"/>
    <x v="7"/>
    <x v="1"/>
    <n v="5"/>
    <x v="4"/>
    <s v="Kayabwe"/>
    <s v="Masaka"/>
    <s v="UGA"/>
    <n v="1"/>
    <s v="Home"/>
    <s v="Masaka"/>
    <s v="Masaka"/>
    <s v="UGA"/>
    <n v="6"/>
    <s v="Leisure/Social"/>
    <x v="3"/>
    <n v="5000"/>
    <n v="32"/>
    <x v="5"/>
    <n v="1"/>
    <x v="2"/>
    <n v="6"/>
    <s v="Businessman"/>
    <n v="4"/>
    <x v="3"/>
    <n v="4"/>
    <n v="2"/>
    <n v="5"/>
    <n v="2"/>
    <n v="2"/>
    <s v="Y"/>
    <m/>
    <x v="0"/>
  </r>
  <r>
    <s v="2019.10.26"/>
    <d v="1899-12-30T08:33:00"/>
    <m/>
    <s v="P"/>
    <n v="1"/>
    <s v="Walking/Cycling"/>
    <n v="1"/>
    <x v="0"/>
    <x v="0"/>
    <n v="1"/>
    <x v="0"/>
    <s v="KIWAWU"/>
    <s v="MITYANA"/>
    <s v="UG"/>
    <n v="1"/>
    <s v="Home"/>
    <s v="TAXI PARK"/>
    <s v="MITYANA"/>
    <s v="UG"/>
    <n v="2"/>
    <s v="Work"/>
    <x v="8"/>
    <n v="2000"/>
    <n v="28"/>
    <x v="5"/>
    <n v="0.06"/>
    <x v="4"/>
    <n v="2"/>
    <s v="Manual Labour"/>
    <n v="1"/>
    <x v="2"/>
    <n v="3"/>
    <n v="4"/>
    <n v="2"/>
    <n v="1"/>
    <n v="5"/>
    <s v="Y"/>
    <m/>
    <x v="0"/>
  </r>
  <r>
    <s v="2019.10.25"/>
    <d v="1899-12-30T04:15:00"/>
    <m/>
    <s v="D"/>
    <n v="2"/>
    <s v="Road Vehicle"/>
    <n v="1"/>
    <x v="0"/>
    <x v="1"/>
    <n v="1"/>
    <x v="0"/>
    <s v="TAXI PARK"/>
    <s v="MITYANA"/>
    <s v="UG"/>
    <n v="2"/>
    <s v="Work"/>
    <s v="NATEETE"/>
    <s v="KAMPALA"/>
    <s v="UG"/>
    <n v="2"/>
    <s v="Work"/>
    <x v="5"/>
    <n v="60000"/>
    <n v="65"/>
    <x v="1"/>
    <n v="1"/>
    <x v="2"/>
    <n v="2"/>
    <s v="Manual Labour"/>
    <n v="1"/>
    <x v="2"/>
    <n v="2"/>
    <n v="4"/>
    <n v="5"/>
    <n v="3"/>
    <n v="1"/>
    <s v="Y"/>
    <n v="1000"/>
    <x v="1"/>
  </r>
  <r>
    <s v="2019.10.26"/>
    <d v="1899-12-30T08:30:00"/>
    <m/>
    <s v="D"/>
    <n v="2"/>
    <s v="Road Vehicle"/>
    <n v="1"/>
    <x v="0"/>
    <x v="1"/>
    <n v="1"/>
    <x v="0"/>
    <s v="TAXI PARK"/>
    <s v="MITYANA"/>
    <s v="UG"/>
    <n v="2"/>
    <s v="Work"/>
    <s v="BUSEGA"/>
    <s v="KAMPALA"/>
    <s v="UG"/>
    <n v="2"/>
    <s v="Work"/>
    <x v="5"/>
    <n v="8000"/>
    <n v="66"/>
    <x v="1"/>
    <n v="1"/>
    <x v="2"/>
    <n v="2"/>
    <s v="Manual Labour"/>
    <n v="1"/>
    <x v="2"/>
    <n v="5"/>
    <n v="3"/>
    <n v="2"/>
    <n v="1"/>
    <n v="4"/>
    <s v="Y"/>
    <n v="1000"/>
    <x v="1"/>
  </r>
  <r>
    <s v="2019.10.26"/>
    <d v="1899-12-30T08:48:00"/>
    <m/>
    <s v="D"/>
    <n v="2"/>
    <s v="Road Vehicle"/>
    <n v="1"/>
    <x v="0"/>
    <x v="1"/>
    <n v="1"/>
    <x v="0"/>
    <s v="TAXI PARK"/>
    <s v="MITYANA"/>
    <s v="UG"/>
    <n v="2"/>
    <s v="Work"/>
    <s v="BUSEGA"/>
    <s v="KAMPALA"/>
    <s v="UG"/>
    <n v="2"/>
    <s v="Work"/>
    <x v="5"/>
    <n v="50000"/>
    <n v="60"/>
    <x v="1"/>
    <n v="1"/>
    <x v="2"/>
    <n v="2"/>
    <s v="Manual Labour"/>
    <n v="1"/>
    <x v="2"/>
    <n v="2"/>
    <n v="3"/>
    <n v="5"/>
    <n v="4"/>
    <n v="1"/>
    <s v="Y"/>
    <n v="1000"/>
    <x v="1"/>
  </r>
  <r>
    <s v="2019.10.24"/>
    <d v="1899-12-30T13:59:00"/>
    <m/>
    <s v="P"/>
    <n v="2"/>
    <s v="Road Vehicle"/>
    <n v="4"/>
    <x v="3"/>
    <x v="0"/>
    <n v="1"/>
    <x v="0"/>
    <s v="MAANYI"/>
    <s v="MITYANA"/>
    <s v="UG"/>
    <n v="6"/>
    <s v="Leisure/Social"/>
    <s v="BUJJUKO"/>
    <s v="WAKISO"/>
    <s v="UG"/>
    <n v="1"/>
    <s v="Home"/>
    <x v="7"/>
    <n v="6000"/>
    <n v="41"/>
    <x v="1"/>
    <n v="0.7"/>
    <x v="3"/>
    <n v="1"/>
    <s v="Unemployed"/>
    <n v="1"/>
    <x v="2"/>
    <n v="4"/>
    <n v="2"/>
    <n v="1"/>
    <n v="3"/>
    <n v="5"/>
    <s v="Y"/>
    <m/>
    <x v="0"/>
  </r>
  <r>
    <s v="2019.10.24"/>
    <d v="1899-12-30T01:29:00"/>
    <m/>
    <s v="P"/>
    <n v="2"/>
    <s v="Road Vehicle"/>
    <n v="4"/>
    <x v="3"/>
    <x v="0"/>
    <n v="1"/>
    <x v="0"/>
    <s v="MARIA ASUMPTER"/>
    <s v="MITYANA"/>
    <s v="UG"/>
    <n v="8"/>
    <s v="Others"/>
    <s v="MASANAFU"/>
    <s v="KAMPALA"/>
    <s v="UG"/>
    <n v="1"/>
    <s v="Home"/>
    <x v="29"/>
    <n v="9000"/>
    <m/>
    <x v="4"/>
    <n v="2"/>
    <x v="1"/>
    <n v="5"/>
    <s v="Professional"/>
    <n v="2"/>
    <x v="1"/>
    <n v="4"/>
    <n v="1"/>
    <n v="5"/>
    <n v="2"/>
    <n v="3"/>
    <s v="Y"/>
    <n v="1500"/>
    <x v="1"/>
  </r>
  <r>
    <s v="2019.10.24"/>
    <d v="1899-12-30T15:26:00"/>
    <m/>
    <s v="P"/>
    <n v="2"/>
    <s v="Road Vehicle"/>
    <n v="4"/>
    <x v="3"/>
    <x v="0"/>
    <n v="1"/>
    <x v="0"/>
    <s v="FULL GOSPEL"/>
    <s v="MITYANA"/>
    <s v="UG"/>
    <n v="8"/>
    <s v="Others"/>
    <s v="LUBYA"/>
    <s v="KAMPALA"/>
    <s v="UG"/>
    <n v="1"/>
    <s v="Home"/>
    <x v="29"/>
    <n v="8000"/>
    <m/>
    <x v="4"/>
    <n v="2"/>
    <x v="1"/>
    <n v="1"/>
    <s v="Unemployed"/>
    <n v="1"/>
    <x v="2"/>
    <n v="3"/>
    <n v="5"/>
    <n v="4"/>
    <n v="1"/>
    <n v="2"/>
    <s v="Y"/>
    <n v="500"/>
    <x v="0"/>
  </r>
  <r>
    <s v="2019.10.24"/>
    <d v="1899-12-30T16:14:00"/>
    <m/>
    <s v="P"/>
    <n v="2"/>
    <s v="Road Vehicle"/>
    <n v="4"/>
    <x v="3"/>
    <x v="0"/>
    <n v="1"/>
    <x v="0"/>
    <s v="TAXI PARK"/>
    <s v="MITYANA"/>
    <s v="UG"/>
    <n v="1"/>
    <s v="Home"/>
    <s v="NAKAWA"/>
    <s v="KAMPALA"/>
    <s v="UG"/>
    <n v="3"/>
    <s v="Study"/>
    <x v="10"/>
    <n v="9000"/>
    <m/>
    <x v="4"/>
    <n v="3"/>
    <x v="1"/>
    <n v="8"/>
    <s v="Student"/>
    <n v="1"/>
    <x v="2"/>
    <n v="2"/>
    <n v="1"/>
    <n v="5"/>
    <n v="4"/>
    <n v="3"/>
    <s v="Y"/>
    <n v="500"/>
    <x v="0"/>
  </r>
  <r>
    <s v="2019.10.24"/>
    <d v="1899-12-30T16:20:00"/>
    <m/>
    <s v="P"/>
    <n v="2"/>
    <s v="Road Vehicle"/>
    <n v="4"/>
    <x v="3"/>
    <x v="0"/>
    <n v="1"/>
    <x v="0"/>
    <s v="TAXI PARK"/>
    <s v="MITYANA"/>
    <s v="UG"/>
    <n v="2"/>
    <s v="Work"/>
    <s v="JEZA"/>
    <s v="MITYANA"/>
    <s v="UG"/>
    <n v="1"/>
    <s v="Home"/>
    <x v="1"/>
    <n v="3000"/>
    <m/>
    <x v="4"/>
    <n v="0.2"/>
    <x v="4"/>
    <n v="6"/>
    <s v="Businessman"/>
    <n v="2"/>
    <x v="1"/>
    <n v="2"/>
    <n v="4"/>
    <n v="3"/>
    <n v="1"/>
    <n v="5"/>
    <s v="Y"/>
    <n v="100"/>
    <x v="0"/>
  </r>
  <r>
    <s v="2019.10.24"/>
    <d v="1899-12-30T17:51:00"/>
    <m/>
    <s v="P"/>
    <n v="2"/>
    <s v="Road Vehicle"/>
    <n v="4"/>
    <x v="3"/>
    <x v="0"/>
    <n v="1"/>
    <x v="0"/>
    <s v="NAMUTAMBA"/>
    <s v="MITYANA"/>
    <s v="UG"/>
    <n v="1"/>
    <s v="Home"/>
    <s v="MITYANA TOWN"/>
    <s v="MITYANA"/>
    <s v="UG"/>
    <n v="8"/>
    <s v="Others"/>
    <x v="4"/>
    <n v="5000"/>
    <m/>
    <x v="4"/>
    <n v="0.5"/>
    <x v="3"/>
    <n v="1"/>
    <s v="Unemployed"/>
    <n v="1"/>
    <x v="2"/>
    <n v="2"/>
    <n v="3"/>
    <n v="1"/>
    <n v="5"/>
    <n v="4"/>
    <s v="Y"/>
    <n v="500"/>
    <x v="0"/>
  </r>
  <r>
    <s v="2019.10.24"/>
    <d v="1899-12-30T00:18:00"/>
    <m/>
    <s v="P"/>
    <n v="1"/>
    <s v="Walking/Cycling"/>
    <n v="4"/>
    <x v="3"/>
    <x v="0"/>
    <n v="1"/>
    <x v="0"/>
    <s v="KITINKOKOLA"/>
    <s v="MITYANA"/>
    <s v="UG"/>
    <n v="1"/>
    <s v="Home"/>
    <s v="TAXI PARK"/>
    <s v="KAMPALA"/>
    <s v="UG"/>
    <n v="2"/>
    <s v="Work"/>
    <x v="8"/>
    <n v="1000"/>
    <n v="1.5"/>
    <x v="4"/>
    <n v="0.1"/>
    <x v="4"/>
    <n v="2"/>
    <s v="Manual Labour"/>
    <n v="1"/>
    <x v="2"/>
    <n v="1"/>
    <n v="3"/>
    <n v="5"/>
    <n v="4"/>
    <n v="2"/>
    <s v="Y"/>
    <n v="1000"/>
    <x v="1"/>
  </r>
  <r>
    <s v="2019.10.24"/>
    <d v="1899-12-30T00:30:00"/>
    <m/>
    <s v="P"/>
    <n v="2"/>
    <s v="Road Vehicle"/>
    <n v="4"/>
    <x v="3"/>
    <x v="0"/>
    <n v="1"/>
    <x v="0"/>
    <s v="BUKOMA"/>
    <s v="MITYANA"/>
    <s v="UG"/>
    <n v="1"/>
    <s v="Home"/>
    <s v="TAXI PARK"/>
    <s v="MITYANA"/>
    <s v="UG"/>
    <n v="2"/>
    <s v="Work"/>
    <x v="8"/>
    <n v="1500"/>
    <n v="2"/>
    <x v="4"/>
    <n v="0.1"/>
    <x v="4"/>
    <n v="2"/>
    <s v="Manual Labour"/>
    <n v="1"/>
    <x v="2"/>
    <n v="1"/>
    <n v="2"/>
    <n v="5"/>
    <n v="3"/>
    <n v="4"/>
    <s v="Y"/>
    <n v="1000"/>
    <x v="1"/>
  </r>
  <r>
    <s v="2019.10.24"/>
    <d v="1899-12-30T13:32:00"/>
    <m/>
    <s v="P"/>
    <n v="2"/>
    <s v="Road Vehicle"/>
    <n v="4"/>
    <x v="3"/>
    <x v="0"/>
    <n v="1"/>
    <x v="0"/>
    <s v="LIGHT SCHOOL"/>
    <s v="MITYANA"/>
    <s v="UG"/>
    <n v="3"/>
    <s v="Study"/>
    <s v="NANSANA"/>
    <s v="WAKISO"/>
    <s v="UG"/>
    <n v="1"/>
    <s v="Home"/>
    <x v="9"/>
    <n v="10000"/>
    <m/>
    <x v="4"/>
    <n v="1.6"/>
    <x v="2"/>
    <n v="8"/>
    <s v="Student"/>
    <n v="1"/>
    <x v="2"/>
    <n v="1"/>
    <n v="2"/>
    <n v="3"/>
    <n v="4"/>
    <n v="5"/>
    <s v="Y"/>
    <m/>
    <x v="0"/>
  </r>
  <r>
    <s v="2019.10.24"/>
    <d v="1899-12-30T13:44:00"/>
    <m/>
    <s v="P"/>
    <n v="2"/>
    <s v="Road Vehicle"/>
    <n v="4"/>
    <x v="3"/>
    <x v="0"/>
    <n v="1"/>
    <x v="0"/>
    <s v="MITYANA MODERN"/>
    <s v="MITYANA"/>
    <s v="UG"/>
    <n v="3"/>
    <s v="Study"/>
    <s v="BUKOMA"/>
    <s v="MITYANA"/>
    <s v="UG"/>
    <n v="1"/>
    <s v="Home"/>
    <x v="9"/>
    <n v="1000"/>
    <n v="0.15"/>
    <x v="4"/>
    <n v="0.1"/>
    <x v="4"/>
    <n v="8"/>
    <s v="Student"/>
    <n v="1"/>
    <x v="2"/>
    <m/>
    <m/>
    <m/>
    <m/>
    <m/>
    <s v="Y"/>
    <n v="500"/>
    <x v="0"/>
  </r>
  <r>
    <s v="2019.10.24"/>
    <d v="1899-12-30T16:38:00"/>
    <m/>
    <s v="P"/>
    <n v="2"/>
    <s v="Road Vehicle"/>
    <n v="4"/>
    <x v="3"/>
    <x v="0"/>
    <n v="1"/>
    <x v="0"/>
    <s v="MITYANA MODERN"/>
    <s v="MITYANA"/>
    <s v="UG"/>
    <n v="3"/>
    <s v="Study"/>
    <s v="KYENGERA"/>
    <s v="MITYANA"/>
    <s v="UG"/>
    <n v="1"/>
    <s v="Home"/>
    <x v="9"/>
    <n v="2000"/>
    <n v="1"/>
    <x v="4"/>
    <n v="0.15"/>
    <x v="4"/>
    <n v="8"/>
    <s v="Student"/>
    <n v="1"/>
    <x v="2"/>
    <n v="1"/>
    <n v="2"/>
    <n v="3"/>
    <n v="4"/>
    <n v="5"/>
    <s v="Y"/>
    <n v="500"/>
    <x v="0"/>
  </r>
  <r>
    <s v="2019.10.24"/>
    <d v="1899-12-30T16:53:00"/>
    <m/>
    <s v="P"/>
    <n v="2"/>
    <s v="Road Vehicle"/>
    <n v="4"/>
    <x v="3"/>
    <x v="0"/>
    <n v="1"/>
    <x v="0"/>
    <s v="ROYAL GIANT"/>
    <s v="MITYANA"/>
    <s v="UG"/>
    <n v="3"/>
    <s v="Study"/>
    <s v="NDIBULUNGI"/>
    <s v="MITYANA"/>
    <s v="UG"/>
    <n v="1"/>
    <s v="Home"/>
    <x v="9"/>
    <n v="1000"/>
    <n v="0.5"/>
    <x v="4"/>
    <n v="0.02"/>
    <x v="4"/>
    <n v="8"/>
    <s v="Student"/>
    <n v="1"/>
    <x v="2"/>
    <n v="3"/>
    <n v="2"/>
    <n v="4"/>
    <n v="1"/>
    <n v="5"/>
    <s v="Y"/>
    <n v="1000"/>
    <x v="1"/>
  </r>
  <r>
    <s v="2019.10.24"/>
    <d v="1899-12-30T17:30:00"/>
    <m/>
    <s v="P"/>
    <n v="2"/>
    <s v="Road Vehicle"/>
    <n v="4"/>
    <x v="3"/>
    <x v="0"/>
    <n v="1"/>
    <x v="0"/>
    <s v="MUMUSU ACADEMY"/>
    <s v="MITYANA"/>
    <s v="UG"/>
    <n v="3"/>
    <s v="Study"/>
    <s v="BULENGA"/>
    <s v="WAKISO"/>
    <s v="UG"/>
    <n v="1"/>
    <s v="Home"/>
    <x v="9"/>
    <n v="10000"/>
    <n v="55"/>
    <x v="1"/>
    <n v="1.5"/>
    <x v="2"/>
    <n v="2"/>
    <s v="Manual Labour"/>
    <n v="1"/>
    <x v="2"/>
    <n v="3"/>
    <n v="4"/>
    <n v="1"/>
    <n v="2"/>
    <n v="5"/>
    <s v="Y"/>
    <n v="1000"/>
    <x v="1"/>
  </r>
  <r>
    <s v="2019.10.24"/>
    <d v="1899-12-30T17:35:00"/>
    <m/>
    <s v="P"/>
    <n v="2"/>
    <s v="Road Vehicle"/>
    <n v="4"/>
    <x v="3"/>
    <x v="0"/>
    <n v="1"/>
    <x v="0"/>
    <s v="MITYANA TOWN"/>
    <s v="MITYANA"/>
    <s v="UG"/>
    <n v="3"/>
    <s v="Study"/>
    <s v="TAMU"/>
    <s v="MITYANA"/>
    <s v="UG"/>
    <n v="1"/>
    <s v="Home"/>
    <x v="9"/>
    <n v="1000"/>
    <n v="0.5"/>
    <x v="4"/>
    <n v="0.02"/>
    <x v="4"/>
    <n v="2"/>
    <s v="Manual Labour"/>
    <n v="1"/>
    <x v="2"/>
    <n v="2"/>
    <n v="3"/>
    <n v="4"/>
    <n v="5"/>
    <n v="1"/>
    <s v="Y"/>
    <n v="500"/>
    <x v="0"/>
  </r>
  <r>
    <s v="2019.10.24"/>
    <d v="1899-12-30T17:38:00"/>
    <m/>
    <s v="D"/>
    <n v="2"/>
    <s v="Road Vehicle"/>
    <n v="4"/>
    <x v="3"/>
    <x v="0"/>
    <n v="1"/>
    <x v="0"/>
    <s v="KYANKOWE"/>
    <s v="MITYANA"/>
    <s v="UG"/>
    <n v="1"/>
    <s v="Home"/>
    <s v="TAXI PARK"/>
    <s v="MITYANA"/>
    <s v="UG"/>
    <n v="2"/>
    <s v="Work"/>
    <x v="8"/>
    <n v="10000"/>
    <n v="2"/>
    <x v="4"/>
    <n v="0.15"/>
    <x v="4"/>
    <n v="2"/>
    <s v="Manual Labour"/>
    <n v="2"/>
    <x v="1"/>
    <n v="5"/>
    <n v="1"/>
    <n v="3"/>
    <n v="2"/>
    <n v="4"/>
    <s v="Y"/>
    <n v="1000"/>
    <x v="1"/>
  </r>
  <r>
    <s v="2019.10.24"/>
    <d v="1899-12-30T17:52:00"/>
    <m/>
    <s v="P"/>
    <n v="2"/>
    <s v="Road Vehicle"/>
    <n v="4"/>
    <x v="3"/>
    <x v="0"/>
    <n v="1"/>
    <x v="0"/>
    <s v="NDIBULUNGI"/>
    <s v="MITYANA"/>
    <s v="UG"/>
    <n v="1"/>
    <s v="Home"/>
    <s v="MITYANA TOWN"/>
    <s v="MITYANA"/>
    <s v="UG"/>
    <n v="6"/>
    <s v="Leisure/Social"/>
    <x v="3"/>
    <n v="500"/>
    <n v="0.5"/>
    <x v="4"/>
    <n v="0.02"/>
    <x v="4"/>
    <n v="2"/>
    <s v="Manual Labour"/>
    <n v="1"/>
    <x v="2"/>
    <n v="2"/>
    <n v="3"/>
    <n v="5"/>
    <n v="1"/>
    <n v="2"/>
    <s v="Y"/>
    <m/>
    <x v="0"/>
  </r>
  <r>
    <s v="2019.10.25"/>
    <d v="1899-12-30T14:05:00"/>
    <m/>
    <s v="P"/>
    <n v="1"/>
    <s v="Walking/Cycling"/>
    <n v="4"/>
    <x v="3"/>
    <x v="0"/>
    <n v="1"/>
    <x v="0"/>
    <s v="MITYANA TOWN"/>
    <s v="MITYANA"/>
    <s v="UG"/>
    <n v="3"/>
    <s v="Study"/>
    <s v="BUKOMA"/>
    <s v="MITYANA"/>
    <s v="UG"/>
    <n v="1"/>
    <s v="Home"/>
    <x v="9"/>
    <n v="1000"/>
    <n v="1"/>
    <x v="4"/>
    <n v="0.02"/>
    <x v="4"/>
    <n v="8"/>
    <s v="Student"/>
    <n v="1"/>
    <x v="2"/>
    <n v="3"/>
    <n v="1"/>
    <n v="4"/>
    <n v="2"/>
    <n v="5"/>
    <s v="Y"/>
    <n v="1000"/>
    <x v="1"/>
  </r>
  <r>
    <s v="2019.10.25"/>
    <d v="1899-12-30T14:15:00"/>
    <m/>
    <s v="P"/>
    <n v="1"/>
    <s v="Walking/Cycling"/>
    <n v="4"/>
    <x v="3"/>
    <x v="0"/>
    <n v="1"/>
    <x v="0"/>
    <s v="MITYANA TOWN"/>
    <s v="MITYANA"/>
    <s v="UG"/>
    <n v="2"/>
    <s v="Work"/>
    <s v="JEZA"/>
    <s v="MITYANA"/>
    <s v="UG"/>
    <n v="1"/>
    <s v="Home"/>
    <x v="1"/>
    <n v="2000"/>
    <n v="34"/>
    <x v="5"/>
    <n v="0.2"/>
    <x v="4"/>
    <n v="2"/>
    <s v="Manual Labour"/>
    <n v="1"/>
    <x v="2"/>
    <n v="1"/>
    <n v="2"/>
    <n v="3"/>
    <n v="4"/>
    <n v="5"/>
    <s v="Y"/>
    <n v="2000"/>
    <x v="4"/>
  </r>
  <r>
    <s v="2019.10.25"/>
    <d v="1899-12-30T15:59:00"/>
    <m/>
    <s v="P"/>
    <n v="1"/>
    <s v="Walking/Cycling"/>
    <n v="4"/>
    <x v="3"/>
    <x v="0"/>
    <n v="1"/>
    <x v="0"/>
    <s v="NURSING SCHOOL"/>
    <s v="MITYANA"/>
    <s v="UG"/>
    <n v="3"/>
    <s v="Study"/>
    <s v="NAMUTAMBA"/>
    <s v="MITYANA"/>
    <s v="UG"/>
    <n v="1"/>
    <s v="Home"/>
    <x v="9"/>
    <n v="3000"/>
    <n v="27"/>
    <x v="5"/>
    <n v="0.2"/>
    <x v="4"/>
    <n v="8"/>
    <s v="Student"/>
    <n v="1"/>
    <x v="2"/>
    <n v="1"/>
    <n v="5"/>
    <n v="3"/>
    <n v="2"/>
    <n v="4"/>
    <s v="Y"/>
    <m/>
    <x v="0"/>
  </r>
  <r>
    <s v="2019.10.25"/>
    <d v="1899-12-30T16:08:00"/>
    <m/>
    <s v="P"/>
    <n v="1"/>
    <s v="Walking/Cycling"/>
    <n v="4"/>
    <x v="3"/>
    <x v="0"/>
    <n v="1"/>
    <x v="0"/>
    <s v="NURSING SCHOOL"/>
    <s v="MITYANA"/>
    <s v="UG"/>
    <n v="3"/>
    <s v="Study"/>
    <s v="NAMUTAMBA"/>
    <s v="MITYANA"/>
    <s v="UG"/>
    <n v="1"/>
    <s v="Home"/>
    <x v="9"/>
    <n v="3000"/>
    <n v="25"/>
    <x v="5"/>
    <n v="0.15"/>
    <x v="4"/>
    <n v="8"/>
    <s v="Student"/>
    <n v="1"/>
    <x v="2"/>
    <n v="1"/>
    <n v="2"/>
    <n v="5"/>
    <n v="3"/>
    <n v="4"/>
    <s v="Y"/>
    <n v="1000"/>
    <x v="1"/>
  </r>
  <r>
    <s v="2019.10.26"/>
    <d v="1899-12-30T10:20:00"/>
    <m/>
    <s v="P"/>
    <n v="2"/>
    <s v="Road Vehicle"/>
    <n v="4"/>
    <x v="3"/>
    <x v="0"/>
    <n v="1"/>
    <x v="0"/>
    <s v="TAXI PARK"/>
    <s v="MITYANA"/>
    <s v="UG"/>
    <n v="1"/>
    <s v="Home"/>
    <s v="KAKINDU"/>
    <s v="MITYANA"/>
    <s v="UG"/>
    <n v="6"/>
    <s v="Leisure/Social"/>
    <x v="3"/>
    <n v="9000"/>
    <m/>
    <x v="4"/>
    <m/>
    <x v="4"/>
    <n v="3"/>
    <s v="Artisan/Domestic"/>
    <n v="1"/>
    <x v="2"/>
    <n v="5"/>
    <n v="2"/>
    <n v="1"/>
    <n v="4"/>
    <n v="3"/>
    <s v="Y"/>
    <n v="6000"/>
    <x v="2"/>
  </r>
  <r>
    <s v="2019.10.26"/>
    <d v="1899-12-30T15:46:00"/>
    <m/>
    <s v="P"/>
    <n v="2"/>
    <s v="Road Vehicle"/>
    <n v="4"/>
    <x v="3"/>
    <x v="0"/>
    <n v="1"/>
    <x v="0"/>
    <s v="T.C"/>
    <s v="MITYANA"/>
    <s v="UG"/>
    <n v="1"/>
    <s v="Home"/>
    <s v="NAMUTAMBA"/>
    <s v="MITYANA"/>
    <s v="UG"/>
    <n v="6"/>
    <s v="Leisure/Social"/>
    <x v="3"/>
    <n v="3000"/>
    <m/>
    <x v="4"/>
    <n v="0.2"/>
    <x v="4"/>
    <n v="6"/>
    <s v="Businessman"/>
    <n v="3"/>
    <x v="0"/>
    <n v="4"/>
    <n v="2"/>
    <n v="1"/>
    <n v="5"/>
    <n v="3"/>
    <s v="Y"/>
    <n v="500"/>
    <x v="0"/>
  </r>
  <r>
    <s v="2019.10.26"/>
    <d v="1899-12-30T15:49:00"/>
    <m/>
    <s v="P"/>
    <n v="2"/>
    <s v="Road Vehicle"/>
    <n v="4"/>
    <x v="3"/>
    <x v="0"/>
    <n v="1"/>
    <x v="0"/>
    <s v="KALANGALA"/>
    <s v="MITYANA"/>
    <s v="UG"/>
    <n v="1"/>
    <s v="Home"/>
    <s v="BULOBA"/>
    <s v="WAKISO"/>
    <s v="UG"/>
    <n v="6"/>
    <s v="Leisure/Social"/>
    <x v="3"/>
    <n v="8000"/>
    <m/>
    <x v="4"/>
    <n v="3"/>
    <x v="1"/>
    <n v="1"/>
    <s v="Unemployed"/>
    <n v="1"/>
    <x v="2"/>
    <n v="2"/>
    <n v="3"/>
    <n v="4"/>
    <n v="1"/>
    <n v="5"/>
    <s v="Y"/>
    <n v="1000"/>
    <x v="1"/>
  </r>
  <r>
    <s v="2019.10.26"/>
    <d v="1899-12-30T15:11:00"/>
    <m/>
    <s v="P"/>
    <n v="2"/>
    <s v="Road Vehicle"/>
    <n v="4"/>
    <x v="3"/>
    <x v="0"/>
    <n v="1"/>
    <x v="0"/>
    <s v="BUUIMBI"/>
    <s v="MITYANA"/>
    <s v="UG"/>
    <n v="1"/>
    <s v="Home"/>
    <s v="CITY CENTER"/>
    <s v="KAMPALA"/>
    <s v="UG"/>
    <n v="6"/>
    <s v="Leisure/Social"/>
    <x v="3"/>
    <n v="8000"/>
    <m/>
    <x v="4"/>
    <n v="1.5"/>
    <x v="2"/>
    <n v="4"/>
    <s v="Office Worker"/>
    <n v="3"/>
    <x v="0"/>
    <n v="5"/>
    <n v="2"/>
    <n v="4"/>
    <n v="1"/>
    <n v="3"/>
    <s v="Y"/>
    <n v="5000"/>
    <x v="2"/>
  </r>
  <r>
    <s v="2019.10.26"/>
    <d v="1899-12-30T12:21:00"/>
    <m/>
    <s v="P"/>
    <n v="2"/>
    <s v="Road Vehicle"/>
    <n v="4"/>
    <x v="3"/>
    <x v="0"/>
    <n v="1"/>
    <x v="0"/>
    <s v="MITYANA TOWN"/>
    <s v="MITYANA"/>
    <s v="UG"/>
    <n v="6"/>
    <s v="Leisure/Social"/>
    <s v="CITY CENTER"/>
    <s v="KAMPALA"/>
    <s v="UG"/>
    <n v="1"/>
    <s v="Home"/>
    <x v="7"/>
    <n v="9500"/>
    <m/>
    <x v="4"/>
    <n v="3"/>
    <x v="1"/>
    <n v="8"/>
    <s v="Student"/>
    <n v="1"/>
    <x v="2"/>
    <n v="2"/>
    <n v="1"/>
    <n v="4"/>
    <n v="3"/>
    <n v="5"/>
    <s v="Y"/>
    <n v="1500"/>
    <x v="1"/>
  </r>
  <r>
    <s v="2019.10.26"/>
    <d v="1899-12-30T11:06:00"/>
    <m/>
    <s v="P"/>
    <n v="2"/>
    <s v="Road Vehicle"/>
    <n v="4"/>
    <x v="3"/>
    <x v="0"/>
    <n v="1"/>
    <x v="0"/>
    <s v="MITYANA TOWN"/>
    <s v="MITYANA"/>
    <s v="UG"/>
    <n v="1"/>
    <s v="Home"/>
    <s v="NAKAWA"/>
    <s v="KAMPALA"/>
    <s v="UG"/>
    <n v="3"/>
    <s v="Study"/>
    <x v="10"/>
    <n v="8000"/>
    <m/>
    <x v="4"/>
    <n v="2.5"/>
    <x v="1"/>
    <n v="8"/>
    <s v="Student"/>
    <n v="1"/>
    <x v="2"/>
    <n v="2"/>
    <n v="3"/>
    <n v="5"/>
    <n v="1"/>
    <n v="4"/>
    <s v="Y"/>
    <n v="1000"/>
    <x v="1"/>
  </r>
  <r>
    <s v="2019.10.26"/>
    <d v="1899-12-30T07:15:00"/>
    <m/>
    <s v="P"/>
    <n v="2"/>
    <s v="Road Vehicle"/>
    <n v="4"/>
    <x v="3"/>
    <x v="0"/>
    <n v="1"/>
    <x v="0"/>
    <s v="MITYANA TOWN"/>
    <s v="MITYANA"/>
    <s v="UG"/>
    <n v="8"/>
    <s v="Others"/>
    <s v="NAMUTAMBA"/>
    <s v="MITYANA"/>
    <s v="UG"/>
    <n v="1"/>
    <s v="Home"/>
    <x v="29"/>
    <n v="3000"/>
    <m/>
    <x v="4"/>
    <n v="0.5"/>
    <x v="3"/>
    <n v="4"/>
    <s v="Office Worker"/>
    <n v="1"/>
    <x v="2"/>
    <n v="2"/>
    <n v="1"/>
    <n v="5"/>
    <n v="3"/>
    <n v="4"/>
    <s v="Y"/>
    <n v="1000"/>
    <x v="1"/>
  </r>
  <r>
    <s v="2019.10.26"/>
    <d v="1899-12-30T08:10:00"/>
    <m/>
    <s v="P"/>
    <n v="2"/>
    <s v="Road Vehicle"/>
    <n v="4"/>
    <x v="3"/>
    <x v="0"/>
    <n v="1"/>
    <x v="0"/>
    <s v="BUTAYUNGA"/>
    <s v="MITYANA"/>
    <s v="UG"/>
    <n v="1"/>
    <s v="Home"/>
    <s v="KIWAWU"/>
    <s v="MITYANA"/>
    <s v="UG"/>
    <n v="8"/>
    <s v="Others"/>
    <x v="4"/>
    <n v="3000"/>
    <m/>
    <x v="4"/>
    <n v="0.7"/>
    <x v="3"/>
    <n v="1"/>
    <s v="Unemployed"/>
    <n v="1"/>
    <x v="2"/>
    <n v="2"/>
    <n v="1"/>
    <n v="4"/>
    <n v="5"/>
    <n v="3"/>
    <s v="Y"/>
    <m/>
    <x v="0"/>
  </r>
  <r>
    <s v="2019.10.26"/>
    <d v="1899-12-30T07:20:00"/>
    <m/>
    <s v="P"/>
    <n v="1"/>
    <s v="Walking/Cycling"/>
    <n v="4"/>
    <x v="3"/>
    <x v="0"/>
    <n v="1"/>
    <x v="0"/>
    <s v="KYENGERA"/>
    <s v="MITYANA"/>
    <s v="UG"/>
    <n v="1"/>
    <s v="Home"/>
    <s v="TAXI PARK"/>
    <s v="MITYANA"/>
    <s v="UG"/>
    <n v="2"/>
    <s v="Work"/>
    <x v="8"/>
    <n v="2000"/>
    <n v="20"/>
    <x v="5"/>
    <n v="0.02"/>
    <x v="4"/>
    <n v="2"/>
    <s v="Manual Labour"/>
    <n v="1"/>
    <x v="2"/>
    <n v="2"/>
    <n v="3"/>
    <n v="4"/>
    <n v="1"/>
    <n v="5"/>
    <s v="Y"/>
    <m/>
    <x v="0"/>
  </r>
  <r>
    <s v="2019.10.26"/>
    <d v="1899-12-30T07:22:00"/>
    <m/>
    <s v="P"/>
    <n v="1"/>
    <s v="Walking/Cycling"/>
    <n v="4"/>
    <x v="3"/>
    <x v="0"/>
    <n v="1"/>
    <x v="0"/>
    <s v="MITYANA INSTITUTE"/>
    <s v="MITYANA"/>
    <s v="UG"/>
    <n v="1"/>
    <s v="Home"/>
    <s v="WABIGALO"/>
    <s v="MITYANA"/>
    <s v="UG"/>
    <n v="2"/>
    <s v="Work"/>
    <x v="8"/>
    <n v="1000"/>
    <n v="2"/>
    <x v="4"/>
    <n v="0.02"/>
    <x v="4"/>
    <n v="2"/>
    <s v="Manual Labour"/>
    <n v="1"/>
    <x v="2"/>
    <n v="2"/>
    <n v="3"/>
    <n v="4"/>
    <n v="1"/>
    <n v="5"/>
    <s v="Y"/>
    <n v="1000"/>
    <x v="1"/>
  </r>
  <r>
    <s v="2019.10.26"/>
    <d v="1899-12-30T07:57:00"/>
    <m/>
    <s v="P"/>
    <n v="1"/>
    <s v="Walking/Cycling"/>
    <n v="4"/>
    <x v="3"/>
    <x v="0"/>
    <n v="1"/>
    <x v="0"/>
    <s v="MITYANA NURSING"/>
    <s v="MITYANA"/>
    <s v="UG"/>
    <n v="3"/>
    <s v="Study"/>
    <s v="NTANDA"/>
    <s v="MITYANA"/>
    <s v="UG"/>
    <n v="1"/>
    <s v="Home"/>
    <x v="9"/>
    <n v="3000"/>
    <n v="2"/>
    <x v="4"/>
    <n v="0.06"/>
    <x v="4"/>
    <n v="2"/>
    <s v="Manual Labour"/>
    <n v="1"/>
    <x v="2"/>
    <n v="3"/>
    <n v="5"/>
    <n v="2"/>
    <n v="1"/>
    <n v="4"/>
    <s v="Y"/>
    <n v="2000"/>
    <x v="4"/>
  </r>
  <r>
    <s v="2019.10.26"/>
    <d v="1899-12-30T08:15:00"/>
    <m/>
    <s v="P"/>
    <n v="1"/>
    <s v="Walking/Cycling"/>
    <n v="4"/>
    <x v="3"/>
    <x v="0"/>
    <n v="1"/>
    <x v="0"/>
    <s v="KYANKOWE"/>
    <s v="MITYANA"/>
    <s v="UG"/>
    <n v="1"/>
    <s v="Home"/>
    <s v="TAXI PARK"/>
    <s v="KAMPALA"/>
    <s v="UG"/>
    <n v="2"/>
    <s v="Work"/>
    <x v="8"/>
    <n v="2000"/>
    <n v="2"/>
    <x v="4"/>
    <n v="0.06"/>
    <x v="4"/>
    <n v="2"/>
    <s v="Manual Labour"/>
    <n v="1"/>
    <x v="2"/>
    <n v="2"/>
    <n v="3"/>
    <n v="4"/>
    <n v="1"/>
    <n v="5"/>
    <s v="Y"/>
    <n v="1000"/>
    <x v="1"/>
  </r>
  <r>
    <s v="2019.10.26"/>
    <d v="1899-12-30T08:58:00"/>
    <m/>
    <s v="P"/>
    <n v="1"/>
    <s v="Walking/Cycling"/>
    <n v="4"/>
    <x v="3"/>
    <x v="0"/>
    <n v="1"/>
    <x v="0"/>
    <s v="MITYANA HOSPITAL"/>
    <s v="MITYANA"/>
    <s v="UG"/>
    <n v="3"/>
    <s v="Study"/>
    <s v="MITYANA TOWN"/>
    <s v="MITYANA"/>
    <s v="UG"/>
    <n v="3"/>
    <s v="Study"/>
    <x v="30"/>
    <n v="1000"/>
    <n v="1"/>
    <x v="4"/>
    <n v="0.1"/>
    <x v="4"/>
    <n v="8"/>
    <s v="Student"/>
    <n v="1"/>
    <x v="2"/>
    <n v="2"/>
    <n v="3"/>
    <n v="4"/>
    <n v="1"/>
    <n v="5"/>
    <s v="Y"/>
    <n v="2000"/>
    <x v="4"/>
  </r>
  <r>
    <s v="2019.10.26"/>
    <d v="1899-12-30T09:03:00"/>
    <m/>
    <s v="P"/>
    <n v="1"/>
    <s v="Walking/Cycling"/>
    <n v="4"/>
    <x v="3"/>
    <x v="0"/>
    <n v="1"/>
    <x v="0"/>
    <s v="MITYANA INSTITUTE"/>
    <s v="MITYANA"/>
    <s v="UG"/>
    <n v="3"/>
    <s v="Study"/>
    <s v="TAMU"/>
    <s v="MITYANA"/>
    <s v="UG"/>
    <n v="1"/>
    <s v="Home"/>
    <x v="9"/>
    <n v="2000"/>
    <n v="0.5"/>
    <x v="4"/>
    <n v="2"/>
    <x v="1"/>
    <n v="8"/>
    <s v="Student"/>
    <n v="1"/>
    <x v="2"/>
    <n v="5"/>
    <n v="3"/>
    <n v="4"/>
    <n v="1"/>
    <n v="2"/>
    <s v="Y"/>
    <n v="1000"/>
    <x v="1"/>
  </r>
  <r>
    <s v="2019.10.26"/>
    <d v="1899-12-30T11:02:00"/>
    <m/>
    <s v="P"/>
    <n v="1"/>
    <s v="Walking/Cycling"/>
    <n v="4"/>
    <x v="3"/>
    <x v="0"/>
    <n v="1"/>
    <x v="0"/>
    <s v="BULOBA"/>
    <s v="WAKISO"/>
    <s v="UG"/>
    <n v="2"/>
    <s v="Work"/>
    <s v="MITYANA DESTINY"/>
    <s v="MITYANA"/>
    <s v="UG"/>
    <n v="1"/>
    <s v="Home"/>
    <x v="1"/>
    <n v="4000"/>
    <n v="40"/>
    <x v="1"/>
    <n v="0.25"/>
    <x v="4"/>
    <n v="5"/>
    <s v="Professional"/>
    <n v="2"/>
    <x v="1"/>
    <n v="5"/>
    <n v="4"/>
    <n v="2"/>
    <n v="1"/>
    <n v="3"/>
    <s v="Y"/>
    <n v="1000"/>
    <x v="1"/>
  </r>
  <r>
    <s v="2019.10.26"/>
    <d v="1899-12-30T00:30:00"/>
    <m/>
    <s v="P"/>
    <n v="1"/>
    <s v="Walking/Cycling"/>
    <n v="4"/>
    <x v="3"/>
    <x v="0"/>
    <n v="1"/>
    <x v="0"/>
    <s v="JAMIR"/>
    <s v="MITYANA"/>
    <s v="UG"/>
    <n v="1"/>
    <s v="Home"/>
    <s v="TAXI PARK"/>
    <s v="MITYANA"/>
    <s v="UG"/>
    <n v="2"/>
    <s v="Work"/>
    <x v="8"/>
    <n v="5000"/>
    <n v="42"/>
    <x v="1"/>
    <n v="0.5"/>
    <x v="3"/>
    <n v="2"/>
    <s v="Manual Labour"/>
    <n v="1"/>
    <x v="2"/>
    <n v="3"/>
    <n v="4"/>
    <n v="5"/>
    <n v="1"/>
    <n v="2"/>
    <s v="Y"/>
    <n v="1000"/>
    <x v="1"/>
  </r>
  <r>
    <s v="2019.10.26"/>
    <d v="1899-12-30T15:20:00"/>
    <m/>
    <s v="P"/>
    <n v="1"/>
    <s v="Walking/Cycling"/>
    <n v="4"/>
    <x v="3"/>
    <x v="0"/>
    <n v="1"/>
    <x v="0"/>
    <s v="BUJJUKO"/>
    <s v="MPIGI"/>
    <s v="UG"/>
    <n v="1"/>
    <s v="Home"/>
    <s v="TAXI PARK"/>
    <s v="MITYANA"/>
    <s v="UG"/>
    <n v="2"/>
    <s v="Work"/>
    <x v="8"/>
    <n v="4000"/>
    <n v="42"/>
    <x v="1"/>
    <n v="0.1"/>
    <x v="4"/>
    <n v="2"/>
    <s v="Manual Labour"/>
    <n v="1"/>
    <x v="2"/>
    <n v="3"/>
    <n v="4"/>
    <n v="5"/>
    <n v="2"/>
    <n v="1"/>
    <s v="Y"/>
    <n v="1000"/>
    <x v="1"/>
  </r>
  <r>
    <s v="2019.10.26"/>
    <d v="1899-12-30T16:20:00"/>
    <m/>
    <s v="P"/>
    <n v="1"/>
    <s v="Walking/Cycling"/>
    <n v="4"/>
    <x v="3"/>
    <x v="0"/>
    <n v="1"/>
    <x v="0"/>
    <s v="MITYANA NURSING"/>
    <s v="MITYANA"/>
    <s v="UG"/>
    <n v="3"/>
    <s v="Study"/>
    <s v="WABIGALO"/>
    <s v="MITYANA"/>
    <s v="UG"/>
    <n v="1"/>
    <s v="Home"/>
    <x v="9"/>
    <n v="2000"/>
    <n v="3"/>
    <x v="4"/>
    <n v="0.06"/>
    <x v="4"/>
    <n v="8"/>
    <s v="Student"/>
    <n v="1"/>
    <x v="2"/>
    <n v="3"/>
    <n v="5"/>
    <n v="4"/>
    <n v="1"/>
    <n v="2"/>
    <s v="Y"/>
    <n v="1000"/>
    <x v="1"/>
  </r>
  <r>
    <s v="2019.10.26"/>
    <d v="1899-12-30T16:29:00"/>
    <m/>
    <s v="P"/>
    <n v="1"/>
    <s v="Walking/Cycling"/>
    <n v="4"/>
    <x v="3"/>
    <x v="0"/>
    <n v="1"/>
    <x v="0"/>
    <s v="MITYANA INSTITUTE"/>
    <s v="MITYANA"/>
    <s v="UG"/>
    <n v="3"/>
    <s v="Study"/>
    <s v="WABIGALO"/>
    <s v="MITYANA"/>
    <s v="UG"/>
    <n v="1"/>
    <s v="Home"/>
    <x v="9"/>
    <n v="2000"/>
    <n v="3"/>
    <x v="4"/>
    <n v="0.05"/>
    <x v="4"/>
    <n v="8"/>
    <s v="Student"/>
    <n v="1"/>
    <x v="2"/>
    <n v="3"/>
    <n v="2"/>
    <n v="4"/>
    <n v="5"/>
    <n v="1"/>
    <s v="Y"/>
    <n v="1000"/>
    <x v="1"/>
  </r>
  <r>
    <s v="2019.10.26"/>
    <d v="1899-12-30T16:58:00"/>
    <m/>
    <s v="P"/>
    <n v="1"/>
    <s v="Walking/Cycling"/>
    <n v="4"/>
    <x v="3"/>
    <x v="0"/>
    <n v="1"/>
    <x v="0"/>
    <s v="KAKINDU"/>
    <s v="MITYANA"/>
    <s v="UG"/>
    <n v="1"/>
    <s v="Home"/>
    <s v="MITYANA TOWN"/>
    <s v="MITYANA"/>
    <s v="UG"/>
    <n v="6"/>
    <s v="Leisure/Social"/>
    <x v="3"/>
    <n v="500"/>
    <m/>
    <x v="4"/>
    <n v="0.01"/>
    <x v="4"/>
    <n v="7"/>
    <s v="Farmer"/>
    <n v="1"/>
    <x v="2"/>
    <n v="2"/>
    <n v="3"/>
    <n v="5"/>
    <n v="1"/>
    <n v="4"/>
    <s v="Y"/>
    <n v="1000"/>
    <x v="1"/>
  </r>
  <r>
    <s v="2019.10.26"/>
    <d v="1899-12-30T17:08:00"/>
    <m/>
    <s v="P"/>
    <n v="1"/>
    <s v="Walking/Cycling"/>
    <n v="4"/>
    <x v="3"/>
    <x v="0"/>
    <n v="1"/>
    <x v="0"/>
    <s v="KAKINDU"/>
    <s v="MITYANA"/>
    <s v="UG"/>
    <n v="1"/>
    <s v="Home"/>
    <s v="MITYANA TOWN"/>
    <s v="MITYANA"/>
    <s v="UG"/>
    <n v="6"/>
    <s v="Leisure/Social"/>
    <x v="3"/>
    <n v="1000"/>
    <m/>
    <x v="4"/>
    <n v="0.02"/>
    <x v="4"/>
    <n v="7"/>
    <s v="Farmer"/>
    <n v="1"/>
    <x v="2"/>
    <n v="1"/>
    <n v="3"/>
    <n v="4"/>
    <n v="2"/>
    <n v="5"/>
    <s v="Y"/>
    <n v="1000"/>
    <x v="1"/>
  </r>
  <r>
    <s v="2019.10.24"/>
    <d v="1899-12-30T13:22:00"/>
    <m/>
    <s v="P"/>
    <n v="2"/>
    <s v="Road Vehicle"/>
    <n v="4"/>
    <x v="3"/>
    <x v="1"/>
    <n v="1"/>
    <x v="0"/>
    <s v="COSINA VAH"/>
    <s v="MITYANA"/>
    <s v="UG"/>
    <n v="8"/>
    <s v="Others"/>
    <s v="BULAGA"/>
    <s v="MITYANA"/>
    <s v="UG"/>
    <n v="1"/>
    <s v="Home"/>
    <x v="29"/>
    <n v="9000"/>
    <m/>
    <x v="4"/>
    <n v="1"/>
    <x v="2"/>
    <n v="8"/>
    <s v="Student"/>
    <n v="1"/>
    <x v="2"/>
    <n v="2"/>
    <n v="3"/>
    <n v="1"/>
    <n v="4"/>
    <n v="5"/>
    <s v="Y"/>
    <n v="100"/>
    <x v="0"/>
  </r>
  <r>
    <s v="2019.10.24"/>
    <d v="1899-12-30T15:31:00"/>
    <m/>
    <s v="P"/>
    <n v="2"/>
    <s v="Road Vehicle"/>
    <n v="4"/>
    <x v="3"/>
    <x v="1"/>
    <n v="1"/>
    <x v="0"/>
    <s v="BUWABULONGO"/>
    <s v="MITYANA"/>
    <s v="UG"/>
    <n v="6"/>
    <s v="Leisure/Social"/>
    <s v="BUYELA"/>
    <s v="WAKISO"/>
    <s v="UG"/>
    <n v="1"/>
    <s v="Home"/>
    <x v="7"/>
    <n v="6000"/>
    <m/>
    <x v="4"/>
    <n v="1"/>
    <x v="2"/>
    <n v="8"/>
    <s v="Student"/>
    <n v="1"/>
    <x v="2"/>
    <n v="4"/>
    <n v="2"/>
    <n v="1"/>
    <n v="3"/>
    <n v="5"/>
    <s v="Y"/>
    <m/>
    <x v="0"/>
  </r>
  <r>
    <s v="2019.10.24"/>
    <d v="1899-12-30T14:19:00"/>
    <m/>
    <s v="P"/>
    <n v="2"/>
    <s v="Road Vehicle"/>
    <n v="4"/>
    <x v="3"/>
    <x v="1"/>
    <n v="1"/>
    <x v="0"/>
    <s v="TAMU"/>
    <s v="MITYANA"/>
    <s v="UG"/>
    <n v="1"/>
    <s v="Home"/>
    <s v="KABIBI"/>
    <s v="BUTAMBALA"/>
    <s v="UG"/>
    <n v="6"/>
    <s v="Leisure/Social"/>
    <x v="3"/>
    <n v="13000"/>
    <m/>
    <x v="4"/>
    <n v="3"/>
    <x v="1"/>
    <n v="2"/>
    <s v="Manual Labour"/>
    <n v="1"/>
    <x v="2"/>
    <n v="5"/>
    <n v="2"/>
    <n v="1"/>
    <n v="3"/>
    <n v="4"/>
    <s v="Y"/>
    <m/>
    <x v="0"/>
  </r>
  <r>
    <s v="2019.10.24"/>
    <d v="1899-12-30T12:14:00"/>
    <m/>
    <s v="P"/>
    <n v="2"/>
    <s v="Road Vehicle"/>
    <n v="4"/>
    <x v="3"/>
    <x v="1"/>
    <n v="1"/>
    <x v="0"/>
    <s v="TAXI PARK"/>
    <s v="MITYANA"/>
    <s v="UG"/>
    <n v="2"/>
    <s v="Work"/>
    <s v="KIKOMGE"/>
    <s v="MITYANA"/>
    <s v="UG"/>
    <n v="1"/>
    <s v="Home"/>
    <x v="1"/>
    <n v="3000"/>
    <m/>
    <x v="4"/>
    <n v="0.5"/>
    <x v="3"/>
    <n v="2"/>
    <s v="Manual Labour"/>
    <n v="1"/>
    <x v="2"/>
    <n v="5"/>
    <n v="1"/>
    <n v="4"/>
    <n v="2"/>
    <n v="3"/>
    <s v="Y"/>
    <m/>
    <x v="0"/>
  </r>
  <r>
    <s v="2019.10.24"/>
    <d v="1899-12-30T11:55:00"/>
    <m/>
    <s v="P"/>
    <n v="2"/>
    <s v="Road Vehicle"/>
    <n v="4"/>
    <x v="3"/>
    <x v="1"/>
    <n v="1"/>
    <x v="0"/>
    <s v="BULERA"/>
    <s v="MITYANA"/>
    <s v="UG"/>
    <n v="2"/>
    <s v="Work"/>
    <s v="MUDUMA"/>
    <s v="MITYANA"/>
    <s v="UG"/>
    <n v="1"/>
    <s v="Home"/>
    <x v="1"/>
    <n v="4000"/>
    <m/>
    <x v="4"/>
    <n v="0.9"/>
    <x v="3"/>
    <n v="2"/>
    <s v="Manual Labour"/>
    <n v="1"/>
    <x v="2"/>
    <n v="2"/>
    <n v="4"/>
    <n v="1"/>
    <n v="3"/>
    <n v="5"/>
    <s v="Y"/>
    <n v="1000"/>
    <x v="1"/>
  </r>
  <r>
    <s v="2019.10.24"/>
    <d v="1899-12-30T12:01:00"/>
    <m/>
    <s v="P"/>
    <n v="2"/>
    <s v="Road Vehicle"/>
    <n v="4"/>
    <x v="3"/>
    <x v="1"/>
    <n v="1"/>
    <x v="0"/>
    <s v="BUSWABULA"/>
    <s v="MITYANA"/>
    <s v="UG"/>
    <n v="1"/>
    <s v="Home"/>
    <s v="NAKAWA"/>
    <s v="KAMPALA"/>
    <s v="UG"/>
    <n v="8"/>
    <s v="Others"/>
    <x v="4"/>
    <n v="9000"/>
    <m/>
    <x v="4"/>
    <n v="2"/>
    <x v="1"/>
    <n v="8"/>
    <s v="Student"/>
    <n v="1"/>
    <x v="2"/>
    <n v="2"/>
    <n v="3"/>
    <n v="5"/>
    <n v="1"/>
    <n v="4"/>
    <s v="Y"/>
    <n v="2000"/>
    <x v="4"/>
  </r>
  <r>
    <s v="2019.10.24"/>
    <d v="1899-12-30T11:49:00"/>
    <m/>
    <s v="P"/>
    <n v="2"/>
    <s v="Road Vehicle"/>
    <n v="4"/>
    <x v="3"/>
    <x v="1"/>
    <n v="1"/>
    <x v="0"/>
    <s v="CITY CENTER"/>
    <s v="MITYANA"/>
    <s v="UG"/>
    <n v="8"/>
    <s v="Others"/>
    <s v="ENTEBBE"/>
    <s v="KAMPALA"/>
    <s v="UG"/>
    <n v="1"/>
    <s v="Home"/>
    <x v="29"/>
    <n v="11000"/>
    <m/>
    <x v="4"/>
    <n v="2"/>
    <x v="1"/>
    <n v="4"/>
    <s v="Office Worker"/>
    <n v="3"/>
    <x v="0"/>
    <n v="4"/>
    <n v="2"/>
    <n v="3"/>
    <n v="1"/>
    <n v="5"/>
    <s v="Y"/>
    <n v="3000"/>
    <x v="5"/>
  </r>
  <r>
    <s v="2019.10.24"/>
    <d v="1899-12-30T11:39:00"/>
    <m/>
    <s v="P"/>
    <n v="2"/>
    <s v="Road Vehicle"/>
    <n v="4"/>
    <x v="3"/>
    <x v="1"/>
    <n v="1"/>
    <x v="0"/>
    <s v="KIGUDAYA"/>
    <s v="MITYANA"/>
    <s v="UG"/>
    <n v="6"/>
    <s v="Leisure/Social"/>
    <s v="BULOBA"/>
    <s v="WAKISO"/>
    <s v="UG"/>
    <n v="1"/>
    <s v="Home"/>
    <x v="7"/>
    <n v="7000"/>
    <m/>
    <x v="4"/>
    <n v="1.5"/>
    <x v="2"/>
    <n v="2"/>
    <s v="Manual Labour"/>
    <n v="1"/>
    <x v="2"/>
    <n v="2"/>
    <n v="3"/>
    <n v="5"/>
    <n v="1"/>
    <n v="4"/>
    <s v="Y"/>
    <n v="100"/>
    <x v="0"/>
  </r>
  <r>
    <s v="2019.10.24"/>
    <d v="1899-12-30T11:26:00"/>
    <m/>
    <s v="P"/>
    <n v="2"/>
    <s v="Road Vehicle"/>
    <n v="4"/>
    <x v="3"/>
    <x v="1"/>
    <n v="1"/>
    <x v="0"/>
    <s v="TAXI PARK"/>
    <s v="MITYANA"/>
    <s v="UG"/>
    <n v="2"/>
    <s v="Work"/>
    <s v="SEETA"/>
    <s v="MUKONO"/>
    <s v="UG"/>
    <n v="1"/>
    <s v="Home"/>
    <x v="1"/>
    <n v="10000"/>
    <n v="93"/>
    <x v="0"/>
    <n v="3.5"/>
    <x v="0"/>
    <n v="2"/>
    <s v="Manual Labour"/>
    <n v="1"/>
    <x v="2"/>
    <n v="4"/>
    <n v="2"/>
    <n v="1"/>
    <n v="5"/>
    <n v="6"/>
    <s v="Y"/>
    <n v="1000"/>
    <x v="1"/>
  </r>
  <r>
    <s v="2019.10.24"/>
    <d v="1899-12-30T11:21:00"/>
    <m/>
    <s v="P"/>
    <n v="2"/>
    <s v="Road Vehicle"/>
    <n v="4"/>
    <x v="3"/>
    <x v="1"/>
    <n v="1"/>
    <x v="0"/>
    <s v="T.C"/>
    <s v="MITYANA"/>
    <s v="UG"/>
    <n v="6"/>
    <s v="Leisure/Social"/>
    <s v="BULAMU"/>
    <s v="MITYANA"/>
    <s v="UG"/>
    <n v="1"/>
    <s v="Home"/>
    <x v="7"/>
    <n v="5000"/>
    <m/>
    <x v="4"/>
    <n v="0.9"/>
    <x v="3"/>
    <n v="1"/>
    <s v="Unemployed"/>
    <n v="1"/>
    <x v="2"/>
    <n v="2"/>
    <n v="5"/>
    <n v="1"/>
    <n v="3"/>
    <n v="4"/>
    <s v="Y"/>
    <m/>
    <x v="0"/>
  </r>
  <r>
    <s v="2019.10.24"/>
    <d v="1899-12-30T11:07:00"/>
    <m/>
    <s v="P"/>
    <n v="2"/>
    <s v="Road Vehicle"/>
    <n v="4"/>
    <x v="3"/>
    <x v="1"/>
    <n v="1"/>
    <x v="0"/>
    <s v="MITYANA TOWN"/>
    <s v="MITYANA"/>
    <s v="UG"/>
    <n v="8"/>
    <s v="Others"/>
    <s v="WABIGALO"/>
    <s v="MITYANA"/>
    <s v="UG"/>
    <n v="2"/>
    <s v="Work"/>
    <x v="31"/>
    <n v="1000"/>
    <n v="2"/>
    <x v="4"/>
    <n v="0.1"/>
    <x v="4"/>
    <n v="6"/>
    <s v="Businessman"/>
    <n v="1"/>
    <x v="2"/>
    <n v="2"/>
    <n v="4"/>
    <n v="3"/>
    <n v="1"/>
    <n v="5"/>
    <s v="Y"/>
    <m/>
    <x v="0"/>
  </r>
  <r>
    <s v="2019.10.24"/>
    <d v="1899-12-30T18:51:00"/>
    <m/>
    <s v="P"/>
    <n v="2"/>
    <s v="Road Vehicle"/>
    <n v="4"/>
    <x v="3"/>
    <x v="1"/>
    <n v="1"/>
    <x v="0"/>
    <s v="CENTRAL COLLEGE"/>
    <s v="MITYANA"/>
    <s v="UG"/>
    <n v="3"/>
    <s v="Study"/>
    <s v="NATIONAL HOUSING"/>
    <s v="KAMPALA"/>
    <s v="UG"/>
    <n v="1"/>
    <s v="Home"/>
    <x v="9"/>
    <n v="10000"/>
    <m/>
    <x v="4"/>
    <n v="2"/>
    <x v="1"/>
    <n v="8"/>
    <s v="Student"/>
    <n v="1"/>
    <x v="2"/>
    <n v="1"/>
    <n v="4"/>
    <n v="3"/>
    <n v="2"/>
    <n v="5"/>
    <s v="Y"/>
    <m/>
    <x v="0"/>
  </r>
  <r>
    <s v="2019.10.24"/>
    <d v="1899-12-30T16:33:00"/>
    <m/>
    <s v="P"/>
    <n v="2"/>
    <s v="Road Vehicle"/>
    <n v="4"/>
    <x v="3"/>
    <x v="1"/>
    <n v="1"/>
    <x v="0"/>
    <s v="MIZIGO"/>
    <s v="MITYANA"/>
    <s v="UG"/>
    <n v="1"/>
    <s v="Home"/>
    <s v="BUSEGA"/>
    <s v="WAKISO"/>
    <s v="UG"/>
    <n v="8"/>
    <s v="Others"/>
    <x v="4"/>
    <n v="9000"/>
    <n v="6"/>
    <x v="4"/>
    <n v="2"/>
    <x v="1"/>
    <n v="8"/>
    <s v="Student"/>
    <n v="1"/>
    <x v="2"/>
    <n v="3"/>
    <n v="2"/>
    <n v="4"/>
    <n v="1"/>
    <n v="5"/>
    <s v="Y"/>
    <n v="15000"/>
    <x v="3"/>
  </r>
  <r>
    <s v="2019.10.24"/>
    <d v="1899-12-30T16:59:00"/>
    <m/>
    <s v="P"/>
    <n v="2"/>
    <s v="Road Vehicle"/>
    <n v="4"/>
    <x v="3"/>
    <x v="1"/>
    <n v="1"/>
    <x v="0"/>
    <s v="NAMUTAMBA"/>
    <s v="MITYANA"/>
    <s v="UG"/>
    <n v="1"/>
    <s v="Home"/>
    <s v="POLICE STATION"/>
    <s v="MITYANA"/>
    <s v="UG"/>
    <n v="4"/>
    <s v="Commercial"/>
    <x v="12"/>
    <n v="5000"/>
    <m/>
    <x v="4"/>
    <n v="0.3"/>
    <x v="4"/>
    <n v="5"/>
    <s v="Professional"/>
    <n v="3"/>
    <x v="0"/>
    <n v="2"/>
    <n v="4"/>
    <n v="1"/>
    <n v="3"/>
    <n v="5"/>
    <s v="Y"/>
    <n v="1000"/>
    <x v="1"/>
  </r>
  <r>
    <s v="2019.10.24"/>
    <d v="1899-12-30T17:42:00"/>
    <m/>
    <s v="P"/>
    <n v="2"/>
    <s v="Road Vehicle"/>
    <n v="4"/>
    <x v="3"/>
    <x v="1"/>
    <n v="1"/>
    <x v="0"/>
    <s v="MITYANA TOWN"/>
    <s v="MITYANA"/>
    <s v="UG"/>
    <n v="6"/>
    <s v="Leisure/Social"/>
    <s v="BUGOLOBI"/>
    <s v="KAMPALA"/>
    <s v="UG"/>
    <n v="1"/>
    <s v="Home"/>
    <x v="7"/>
    <n v="4000"/>
    <m/>
    <x v="4"/>
    <n v="2.5"/>
    <x v="1"/>
    <n v="5"/>
    <s v="Professional"/>
    <n v="4"/>
    <x v="3"/>
    <n v="3"/>
    <n v="4"/>
    <n v="1"/>
    <n v="2"/>
    <n v="5"/>
    <s v="Y"/>
    <m/>
    <x v="0"/>
  </r>
  <r>
    <s v="2019.10.24"/>
    <d v="1899-12-30T11:23:00"/>
    <m/>
    <s v="P"/>
    <n v="2"/>
    <s v="Road Vehicle"/>
    <n v="4"/>
    <x v="3"/>
    <x v="1"/>
    <n v="1"/>
    <x v="0"/>
    <s v="NAMUTAMBA"/>
    <s v="MITYANA"/>
    <s v="UG"/>
    <n v="1"/>
    <s v="Home"/>
    <s v="MITYANA TOWN"/>
    <s v="MITYANA"/>
    <s v="UG"/>
    <n v="2"/>
    <s v="Work"/>
    <x v="8"/>
    <n v="4000"/>
    <n v="12"/>
    <x v="6"/>
    <n v="0.5"/>
    <x v="3"/>
    <n v="2"/>
    <s v="Manual Labour"/>
    <n v="1"/>
    <x v="2"/>
    <n v="1"/>
    <n v="2"/>
    <n v="5"/>
    <n v="3"/>
    <n v="4"/>
    <s v="Y"/>
    <m/>
    <x v="0"/>
  </r>
  <r>
    <s v="2019.10.24"/>
    <d v="1899-12-30T14:19:00"/>
    <m/>
    <s v="P"/>
    <n v="2"/>
    <s v="Road Vehicle"/>
    <n v="4"/>
    <x v="3"/>
    <x v="1"/>
    <n v="1"/>
    <x v="0"/>
    <s v="NTANDA"/>
    <s v="MITYANA"/>
    <s v="UG"/>
    <n v="2"/>
    <s v="Work"/>
    <s v="CITY CENTER"/>
    <s v="KAMPALA"/>
    <s v="UG"/>
    <n v="4"/>
    <s v="Commercial"/>
    <x v="21"/>
    <n v="9000"/>
    <n v="65"/>
    <x v="1"/>
    <n v="1.5"/>
    <x v="2"/>
    <n v="5"/>
    <s v="Professional"/>
    <n v="2"/>
    <x v="1"/>
    <n v="1"/>
    <n v="2"/>
    <n v="3"/>
    <n v="4"/>
    <n v="5"/>
    <s v="Y"/>
    <n v="1000"/>
    <x v="1"/>
  </r>
  <r>
    <s v="2019.10.24"/>
    <d v="1899-12-30T16:48:00"/>
    <m/>
    <s v="P"/>
    <n v="2"/>
    <s v="Road Vehicle"/>
    <n v="4"/>
    <x v="3"/>
    <x v="1"/>
    <n v="1"/>
    <x v="0"/>
    <s v="KITINKOKOLA"/>
    <s v="MITYANA"/>
    <s v="UG"/>
    <n v="1"/>
    <s v="Home"/>
    <s v="TAXI PARK"/>
    <s v="MITYANA"/>
    <s v="UG"/>
    <n v="2"/>
    <s v="Work"/>
    <x v="8"/>
    <n v="1000"/>
    <n v="0.5"/>
    <x v="4"/>
    <n v="0.02"/>
    <x v="4"/>
    <n v="2"/>
    <s v="Manual Labour"/>
    <n v="1"/>
    <x v="2"/>
    <n v="2"/>
    <n v="4"/>
    <n v="5"/>
    <n v="1"/>
    <n v="3"/>
    <s v="Y"/>
    <n v="1000"/>
    <x v="1"/>
  </r>
  <r>
    <s v="2019.10.24"/>
    <d v="1899-12-30T17:20:00"/>
    <m/>
    <s v="P"/>
    <n v="2"/>
    <s v="Road Vehicle"/>
    <n v="4"/>
    <x v="3"/>
    <x v="1"/>
    <n v="1"/>
    <x v="0"/>
    <s v="MITYANA"/>
    <s v="MITYANA"/>
    <s v="UG"/>
    <n v="3"/>
    <s v="Study"/>
    <s v="CITY CENTER"/>
    <s v="MITYANA"/>
    <s v="UG"/>
    <n v="6"/>
    <s v="Leisure/Social"/>
    <x v="32"/>
    <n v="500"/>
    <m/>
    <x v="4"/>
    <m/>
    <x v="4"/>
    <n v="8"/>
    <s v="Student"/>
    <n v="1"/>
    <x v="2"/>
    <n v="2"/>
    <n v="1"/>
    <n v="5"/>
    <n v="3"/>
    <n v="4"/>
    <s v="Y"/>
    <n v="1000"/>
    <x v="1"/>
  </r>
  <r>
    <s v="2019.10.24"/>
    <d v="1899-12-30T17:45:00"/>
    <m/>
    <s v="P"/>
    <n v="2"/>
    <s v="Road Vehicle"/>
    <n v="4"/>
    <x v="3"/>
    <x v="1"/>
    <n v="1"/>
    <x v="0"/>
    <s v="BUKOMA"/>
    <s v="MITYANA"/>
    <s v="UG"/>
    <n v="1"/>
    <s v="Home"/>
    <s v="TAXI PARK"/>
    <s v="MITYANA"/>
    <s v="UG"/>
    <n v="2"/>
    <s v="Work"/>
    <x v="8"/>
    <n v="2000"/>
    <n v="1"/>
    <x v="4"/>
    <n v="0.05"/>
    <x v="4"/>
    <n v="2"/>
    <s v="Manual Labour"/>
    <n v="1"/>
    <x v="2"/>
    <n v="2"/>
    <n v="3"/>
    <n v="5"/>
    <n v="4"/>
    <n v="1"/>
    <s v="Y"/>
    <m/>
    <x v="0"/>
  </r>
  <r>
    <s v="2019.10.25"/>
    <d v="1899-12-30T15:00:00"/>
    <m/>
    <s v="P"/>
    <n v="2"/>
    <s v="Road Vehicle"/>
    <n v="4"/>
    <x v="3"/>
    <x v="1"/>
    <n v="1"/>
    <x v="0"/>
    <s v="BUSUJJU"/>
    <s v="MITYANA"/>
    <s v="UG"/>
    <n v="1"/>
    <s v="Home"/>
    <s v="BUTEGA"/>
    <s v="MITYANA"/>
    <s v="UG"/>
    <n v="4"/>
    <s v="Commercial"/>
    <x v="12"/>
    <n v="6000"/>
    <n v="49"/>
    <x v="1"/>
    <n v="0.9"/>
    <x v="3"/>
    <n v="6"/>
    <s v="Businessman"/>
    <n v="2"/>
    <x v="1"/>
    <n v="5"/>
    <n v="3"/>
    <n v="4"/>
    <n v="2"/>
    <n v="1"/>
    <s v="Y"/>
    <n v="1000"/>
    <x v="1"/>
  </r>
  <r>
    <s v="2019.10.25"/>
    <d v="1899-12-30T16:25:00"/>
    <m/>
    <s v="D"/>
    <n v="2"/>
    <s v="Road Vehicle"/>
    <n v="4"/>
    <x v="3"/>
    <x v="1"/>
    <n v="1"/>
    <x v="0"/>
    <s v="TAXI PARK"/>
    <s v="MITYANA"/>
    <s v="UG"/>
    <n v="2"/>
    <s v="Work"/>
    <s v="KALERWE"/>
    <s v="KAMPALA"/>
    <s v="UG"/>
    <n v="2"/>
    <s v="Work"/>
    <x v="5"/>
    <n v="80000"/>
    <n v="70"/>
    <x v="0"/>
    <n v="2"/>
    <x v="1"/>
    <n v="2"/>
    <s v="Manual Labour"/>
    <n v="1"/>
    <x v="2"/>
    <n v="4"/>
    <n v="3"/>
    <n v="5"/>
    <n v="1"/>
    <n v="2"/>
    <s v="Y"/>
    <n v="2000"/>
    <x v="4"/>
  </r>
  <r>
    <s v="2019.10.25"/>
    <d v="1899-12-30T16:28:00"/>
    <m/>
    <s v="D"/>
    <n v="2"/>
    <s v="Road Vehicle"/>
    <n v="4"/>
    <x v="3"/>
    <x v="1"/>
    <n v="1"/>
    <x v="0"/>
    <s v="LUBIGI"/>
    <s v="WAKISO"/>
    <s v="UG"/>
    <n v="2"/>
    <s v="Work"/>
    <s v="MITYANA TOWN"/>
    <s v="MITYANA"/>
    <s v="UG"/>
    <n v="2"/>
    <s v="Work"/>
    <x v="5"/>
    <n v="60000"/>
    <n v="65"/>
    <x v="1"/>
    <m/>
    <x v="4"/>
    <n v="2"/>
    <s v="Manual Labour"/>
    <n v="1"/>
    <x v="2"/>
    <n v="2"/>
    <n v="5"/>
    <n v="3"/>
    <n v="1"/>
    <n v="4"/>
    <s v="Y"/>
    <m/>
    <x v="0"/>
  </r>
  <r>
    <s v="2019.10.25"/>
    <d v="1899-12-30T16:34:00"/>
    <m/>
    <s v="D"/>
    <n v="2"/>
    <s v="Road Vehicle"/>
    <n v="4"/>
    <x v="3"/>
    <x v="1"/>
    <n v="1"/>
    <x v="0"/>
    <s v="TAXI PARK"/>
    <s v="MITYANA"/>
    <s v="UG"/>
    <n v="2"/>
    <s v="Work"/>
    <s v="KALERWE"/>
    <s v="KAMPALA"/>
    <s v="UG"/>
    <n v="2"/>
    <s v="Work"/>
    <x v="5"/>
    <n v="65000"/>
    <n v="65"/>
    <x v="1"/>
    <n v="1.5"/>
    <x v="2"/>
    <n v="2"/>
    <s v="Manual Labour"/>
    <n v="1"/>
    <x v="2"/>
    <n v="1"/>
    <n v="3"/>
    <n v="5"/>
    <n v="4"/>
    <n v="2"/>
    <s v="Y"/>
    <n v="2000"/>
    <x v="4"/>
  </r>
  <r>
    <s v="2019.10.25"/>
    <d v="1899-12-30T16:39:00"/>
    <m/>
    <s v="D"/>
    <n v="2"/>
    <s v="Road Vehicle"/>
    <n v="4"/>
    <x v="3"/>
    <x v="1"/>
    <n v="1"/>
    <x v="0"/>
    <s v="TAXI PARK"/>
    <s v="MITYANA"/>
    <s v="UG"/>
    <n v="2"/>
    <s v="Work"/>
    <s v="KALERWE"/>
    <s v="KAMPALA"/>
    <s v="UG"/>
    <n v="2"/>
    <s v="Work"/>
    <x v="5"/>
    <n v="60000"/>
    <n v="65"/>
    <x v="1"/>
    <n v="1.5"/>
    <x v="2"/>
    <n v="2"/>
    <s v="Manual Labour"/>
    <n v="1"/>
    <x v="2"/>
    <n v="3"/>
    <n v="2"/>
    <n v="4"/>
    <n v="5"/>
    <n v="1"/>
    <s v="Y"/>
    <n v="1000"/>
    <x v="1"/>
  </r>
  <r>
    <s v="2019.10.25"/>
    <d v="1899-12-30T16:39:00"/>
    <m/>
    <s v="D"/>
    <n v="2"/>
    <s v="Road Vehicle"/>
    <n v="4"/>
    <x v="3"/>
    <x v="1"/>
    <n v="1"/>
    <x v="0"/>
    <s v="TAXI PARK"/>
    <s v="MITYANA"/>
    <s v="UG"/>
    <n v="2"/>
    <s v="Work"/>
    <s v="KALERWE"/>
    <s v="KAMPALA"/>
    <s v="UG"/>
    <n v="2"/>
    <s v="Work"/>
    <x v="5"/>
    <n v="60000"/>
    <n v="65"/>
    <x v="1"/>
    <n v="1.5"/>
    <x v="2"/>
    <n v="2"/>
    <s v="Manual Labour"/>
    <n v="1"/>
    <x v="2"/>
    <n v="3"/>
    <n v="2"/>
    <n v="4"/>
    <n v="5"/>
    <n v="1"/>
    <s v="Y"/>
    <n v="1000"/>
    <x v="1"/>
  </r>
  <r>
    <s v="2019.10.26"/>
    <d v="1899-12-30T15:29:00"/>
    <m/>
    <s v="P"/>
    <n v="2"/>
    <s v="Road Vehicle"/>
    <n v="4"/>
    <x v="3"/>
    <x v="1"/>
    <n v="1"/>
    <x v="0"/>
    <s v="BUWABULONGO"/>
    <s v="MITYANA"/>
    <s v="UG"/>
    <n v="1"/>
    <s v="Home"/>
    <s v="KALANGALA"/>
    <s v="MITYANA"/>
    <s v="UG"/>
    <n v="2"/>
    <s v="Work"/>
    <x v="8"/>
    <n v="4000"/>
    <m/>
    <x v="4"/>
    <n v="0.5"/>
    <x v="3"/>
    <n v="6"/>
    <s v="Businessman"/>
    <n v="2"/>
    <x v="1"/>
    <n v="3"/>
    <n v="1"/>
    <n v="5"/>
    <n v="2"/>
    <n v="4"/>
    <s v="Y"/>
    <m/>
    <x v="0"/>
  </r>
  <r>
    <s v="2019.10.26"/>
    <d v="1899-12-30T12:39:00"/>
    <m/>
    <s v="P"/>
    <n v="2"/>
    <s v="Road Vehicle"/>
    <n v="4"/>
    <x v="3"/>
    <x v="1"/>
    <n v="1"/>
    <x v="0"/>
    <s v="TAXI PARK"/>
    <s v="MITYANA"/>
    <s v="UG"/>
    <n v="1"/>
    <s v="Home"/>
    <s v="CITY CENTER"/>
    <s v="KAMPALA"/>
    <s v="UG"/>
    <n v="7"/>
    <s v="Hospital"/>
    <x v="26"/>
    <n v="7000"/>
    <m/>
    <x v="4"/>
    <n v="2"/>
    <x v="1"/>
    <n v="1"/>
    <s v="Unemployed"/>
    <n v="1"/>
    <x v="2"/>
    <n v="2"/>
    <n v="3"/>
    <n v="1"/>
    <n v="5"/>
    <n v="4"/>
    <s v="Y"/>
    <n v="200"/>
    <x v="0"/>
  </r>
  <r>
    <s v="2019.10.26"/>
    <d v="1899-12-30T16:35:00"/>
    <m/>
    <s v="P"/>
    <n v="2"/>
    <s v="Road Vehicle"/>
    <n v="4"/>
    <x v="3"/>
    <x v="1"/>
    <n v="1"/>
    <x v="0"/>
    <s v="KIKANDWA"/>
    <s v="MITYANA"/>
    <s v="UG"/>
    <n v="1"/>
    <s v="Home"/>
    <s v="BUYALA"/>
    <s v="MITYANA"/>
    <s v="UG"/>
    <n v="6"/>
    <s v="Leisure/Social"/>
    <x v="3"/>
    <n v="5000"/>
    <m/>
    <x v="4"/>
    <n v="0.9"/>
    <x v="3"/>
    <n v="2"/>
    <s v="Manual Labour"/>
    <n v="1"/>
    <x v="2"/>
    <n v="3"/>
    <n v="2"/>
    <n v="4"/>
    <n v="1"/>
    <n v="5"/>
    <s v="Y"/>
    <m/>
    <x v="0"/>
  </r>
  <r>
    <s v="2019.10.26"/>
    <d v="1899-12-30T16:29:00"/>
    <m/>
    <s v="P"/>
    <n v="2"/>
    <s v="Road Vehicle"/>
    <n v="4"/>
    <x v="3"/>
    <x v="1"/>
    <n v="1"/>
    <x v="0"/>
    <s v="MIZIGO"/>
    <s v="MITYANA"/>
    <s v="UG"/>
    <n v="1"/>
    <s v="Home"/>
    <s v="KIREKA"/>
    <s v="KAMPALA"/>
    <s v="UG"/>
    <n v="2"/>
    <s v="Work"/>
    <x v="8"/>
    <n v="9000"/>
    <n v="82"/>
    <x v="0"/>
    <n v="3"/>
    <x v="1"/>
    <n v="2"/>
    <s v="Manual Labour"/>
    <n v="1"/>
    <x v="2"/>
    <n v="4"/>
    <n v="2"/>
    <n v="5"/>
    <n v="3"/>
    <n v="1"/>
    <s v="Y"/>
    <m/>
    <x v="0"/>
  </r>
  <r>
    <s v="2019.10.26"/>
    <d v="1899-12-30T10:41:00"/>
    <m/>
    <s v="P"/>
    <n v="2"/>
    <s v="Road Vehicle"/>
    <n v="4"/>
    <x v="3"/>
    <x v="1"/>
    <n v="1"/>
    <x v="0"/>
    <s v="MIZIGO"/>
    <s v="MITYANA"/>
    <s v="UG"/>
    <n v="6"/>
    <s v="Leisure/Social"/>
    <s v="KANSANGA"/>
    <s v="KAMPALA"/>
    <s v="UG"/>
    <n v="1"/>
    <s v="Home"/>
    <x v="7"/>
    <n v="9000"/>
    <m/>
    <x v="4"/>
    <n v="2"/>
    <x v="1"/>
    <n v="6"/>
    <s v="Businessman"/>
    <n v="2"/>
    <x v="1"/>
    <n v="3"/>
    <n v="4"/>
    <n v="2"/>
    <n v="1"/>
    <n v="5"/>
    <s v="Y"/>
    <n v="1000"/>
    <x v="1"/>
  </r>
  <r>
    <s v="2019.10.26"/>
    <d v="1899-12-30T09:42:00"/>
    <m/>
    <s v="P"/>
    <n v="2"/>
    <s v="Road Vehicle"/>
    <n v="4"/>
    <x v="3"/>
    <x v="1"/>
    <n v="1"/>
    <x v="0"/>
    <s v="KIKANDWA"/>
    <s v="MITYANA"/>
    <s v="UG"/>
    <n v="1"/>
    <s v="Home"/>
    <s v="MULAGO"/>
    <s v="KAMPALA"/>
    <s v="UG"/>
    <n v="7"/>
    <s v="Hospital"/>
    <x v="26"/>
    <n v="10000"/>
    <m/>
    <x v="4"/>
    <n v="2"/>
    <x v="1"/>
    <n v="1"/>
    <s v="Unemployed"/>
    <n v="1"/>
    <x v="2"/>
    <n v="2"/>
    <n v="4"/>
    <n v="1"/>
    <n v="3"/>
    <n v="5"/>
    <s v="Y"/>
    <n v="1000"/>
    <x v="1"/>
  </r>
  <r>
    <s v="2019.10.26"/>
    <d v="1899-12-30T09:59:00"/>
    <m/>
    <s v="P"/>
    <n v="2"/>
    <s v="Road Vehicle"/>
    <n v="4"/>
    <x v="3"/>
    <x v="1"/>
    <n v="1"/>
    <x v="0"/>
    <s v="MITYANA TOWN"/>
    <s v="MITYANA"/>
    <s v="UG"/>
    <n v="2"/>
    <s v="Work"/>
    <s v="JINJA ROAD"/>
    <s v="KAMPALA"/>
    <s v="UG"/>
    <n v="4"/>
    <s v="Commercial"/>
    <x v="21"/>
    <n v="1000"/>
    <n v="68"/>
    <x v="1"/>
    <n v="2"/>
    <x v="1"/>
    <n v="4"/>
    <s v="Office Worker"/>
    <n v="3"/>
    <x v="0"/>
    <n v="3"/>
    <n v="2"/>
    <n v="1"/>
    <n v="5"/>
    <n v="4"/>
    <s v="Y"/>
    <n v="200"/>
    <x v="0"/>
  </r>
  <r>
    <s v="2019.10.26"/>
    <d v="1899-12-30T07:12:00"/>
    <m/>
    <s v="P"/>
    <n v="1"/>
    <s v="Walking/Cycling"/>
    <n v="4"/>
    <x v="3"/>
    <x v="1"/>
    <n v="1"/>
    <x v="0"/>
    <s v="KYENGERA"/>
    <s v="MITYANA"/>
    <s v="UG"/>
    <n v="1"/>
    <s v="Home"/>
    <s v="TAXI PARK"/>
    <s v="KAMPALA"/>
    <s v="UG"/>
    <n v="2"/>
    <s v="Work"/>
    <x v="8"/>
    <n v="2000"/>
    <n v="18"/>
    <x v="6"/>
    <n v="0.02"/>
    <x v="4"/>
    <n v="2"/>
    <s v="Manual Labour"/>
    <n v="1"/>
    <x v="2"/>
    <n v="3"/>
    <n v="4"/>
    <n v="5"/>
    <n v="1"/>
    <n v="2"/>
    <s v="Y"/>
    <m/>
    <x v="0"/>
  </r>
  <r>
    <s v="2019.10.26"/>
    <d v="1899-12-30T10:30:00"/>
    <m/>
    <s v="P"/>
    <n v="1"/>
    <s v="Walking/Cycling"/>
    <n v="4"/>
    <x v="3"/>
    <x v="1"/>
    <n v="1"/>
    <x v="0"/>
    <s v="KYENGERA"/>
    <s v="MITYANA"/>
    <s v="UG"/>
    <n v="1"/>
    <s v="Home"/>
    <s v="CITY CENTER"/>
    <s v="KAMPALA"/>
    <s v="UG"/>
    <n v="4"/>
    <s v="Commercial"/>
    <x v="12"/>
    <n v="2000"/>
    <n v="20"/>
    <x v="5"/>
    <n v="0.06"/>
    <x v="4"/>
    <n v="5"/>
    <s v="Professional"/>
    <n v="2"/>
    <x v="1"/>
    <n v="4"/>
    <n v="3"/>
    <n v="5"/>
    <n v="1"/>
    <n v="2"/>
    <s v="Y"/>
    <n v="1000"/>
    <x v="1"/>
  </r>
  <r>
    <s v="2019.10.26"/>
    <d v="1899-12-30T11:20:00"/>
    <m/>
    <s v="P"/>
    <n v="1"/>
    <s v="Walking/Cycling"/>
    <n v="4"/>
    <x v="3"/>
    <x v="1"/>
    <n v="1"/>
    <x v="0"/>
    <s v="BULAMU"/>
    <s v="MITYANA"/>
    <s v="UG"/>
    <n v="1"/>
    <s v="Home"/>
    <s v="TAXI PARK"/>
    <s v="MITYANA"/>
    <s v="UG"/>
    <n v="2"/>
    <s v="Work"/>
    <x v="8"/>
    <n v="4000"/>
    <n v="35"/>
    <x v="5"/>
    <n v="0.15"/>
    <x v="4"/>
    <n v="2"/>
    <s v="Manual Labour"/>
    <n v="1"/>
    <x v="2"/>
    <n v="2"/>
    <n v="3"/>
    <n v="4"/>
    <n v="1"/>
    <n v="5"/>
    <s v="Y"/>
    <n v="1000"/>
    <x v="1"/>
  </r>
  <r>
    <s v="2019.10.26"/>
    <d v="1899-12-30T00:50:00"/>
    <m/>
    <s v="P"/>
    <n v="2"/>
    <s v="Road Vehicle"/>
    <n v="4"/>
    <x v="3"/>
    <x v="1"/>
    <n v="1"/>
    <x v="0"/>
    <s v="BULAGA"/>
    <s v="MPIGI"/>
    <s v="UG"/>
    <n v="1"/>
    <s v="Home"/>
    <s v="TAXI PARK"/>
    <s v="MITYANA"/>
    <s v="UG"/>
    <n v="2"/>
    <s v="Work"/>
    <x v="8"/>
    <n v="5000"/>
    <n v="45"/>
    <x v="1"/>
    <n v="0.25"/>
    <x v="4"/>
    <n v="2"/>
    <s v="Manual Labour"/>
    <n v="1"/>
    <x v="2"/>
    <n v="4"/>
    <n v="3"/>
    <n v="5"/>
    <n v="1"/>
    <n v="2"/>
    <s v="Y"/>
    <n v="1000"/>
    <x v="1"/>
  </r>
  <r>
    <s v="2019.10.26"/>
    <d v="1899-12-30T15:05:00"/>
    <m/>
    <s v="P"/>
    <n v="2"/>
    <s v="Road Vehicle"/>
    <n v="4"/>
    <x v="3"/>
    <x v="1"/>
    <n v="1"/>
    <x v="0"/>
    <s v="MARIA ASUMPTER"/>
    <s v="MITYANA"/>
    <s v="UG"/>
    <n v="8"/>
    <s v="Others"/>
    <s v="BUSEGA"/>
    <s v="WAKISO"/>
    <s v="UG"/>
    <n v="1"/>
    <s v="Home"/>
    <x v="29"/>
    <n v="8000"/>
    <m/>
    <x v="4"/>
    <n v="1.5"/>
    <x v="2"/>
    <n v="1"/>
    <s v="Unemployed"/>
    <n v="1"/>
    <x v="2"/>
    <n v="3"/>
    <n v="1"/>
    <n v="4"/>
    <n v="2"/>
    <n v="5"/>
    <s v="Y"/>
    <n v="100"/>
    <x v="0"/>
  </r>
  <r>
    <s v="2019.10.25"/>
    <d v="1899-12-30T16:12:00"/>
    <m/>
    <s v="D"/>
    <n v="2"/>
    <s v="Road Vehicle"/>
    <n v="2"/>
    <x v="4"/>
    <x v="1"/>
    <n v="1"/>
    <x v="0"/>
    <s v="TAXI PARK"/>
    <s v="MITYANA"/>
    <s v="UG"/>
    <n v="2"/>
    <s v="Work"/>
    <s v="NAMBOOLE"/>
    <s v="WAKISO"/>
    <s v="UG"/>
    <n v="2"/>
    <s v="Work"/>
    <x v="5"/>
    <n v="80000"/>
    <n v="82"/>
    <x v="0"/>
    <n v="2"/>
    <x v="1"/>
    <n v="2"/>
    <s v="Manual Labour"/>
    <n v="1"/>
    <x v="2"/>
    <n v="1"/>
    <n v="2"/>
    <n v="3"/>
    <n v="4"/>
    <n v="5"/>
    <s v="Y"/>
    <n v="1000"/>
    <x v="1"/>
  </r>
  <r>
    <s v="2019.10.25"/>
    <d v="1899-12-30T16:20:00"/>
    <m/>
    <s v="D"/>
    <n v="2"/>
    <s v="Road Vehicle"/>
    <n v="2"/>
    <x v="4"/>
    <x v="1"/>
    <n v="1"/>
    <x v="0"/>
    <s v="TAXI PARK"/>
    <s v="MITYANA"/>
    <s v="UG"/>
    <n v="2"/>
    <s v="Work"/>
    <s v="KALERWE"/>
    <s v="KAMPALA"/>
    <s v="UG"/>
    <n v="2"/>
    <s v="Work"/>
    <x v="5"/>
    <n v="80000"/>
    <n v="70"/>
    <x v="0"/>
    <m/>
    <x v="4"/>
    <n v="2"/>
    <s v="Manual Labour"/>
    <n v="1"/>
    <x v="2"/>
    <n v="1"/>
    <n v="2"/>
    <n v="5"/>
    <n v="3"/>
    <n v="4"/>
    <s v="Y"/>
    <n v="2000"/>
    <x v="4"/>
  </r>
  <r>
    <s v="2019.10.24"/>
    <d v="1899-12-30T10:39:00"/>
    <m/>
    <s v="D"/>
    <n v="2"/>
    <s v="Road Vehicle"/>
    <n v="1"/>
    <x v="0"/>
    <x v="1"/>
    <n v="2"/>
    <x v="1"/>
    <s v="TAXI PARK"/>
    <s v="MITYANA"/>
    <s v="UG"/>
    <n v="2"/>
    <s v="Work"/>
    <s v="NAMUTAMBA"/>
    <s v="MITYANA"/>
    <s v="UG"/>
    <n v="2"/>
    <s v="Work"/>
    <x v="5"/>
    <n v="30000"/>
    <n v="18"/>
    <x v="6"/>
    <n v="0.7"/>
    <x v="3"/>
    <n v="10"/>
    <s v="Other"/>
    <n v="2"/>
    <x v="1"/>
    <n v="3"/>
    <n v="4"/>
    <n v="5"/>
    <n v="1"/>
    <n v="2"/>
    <s v="Y"/>
    <n v="1200"/>
    <x v="1"/>
  </r>
  <r>
    <s v="2019.10.24"/>
    <d v="1899-12-30T10:49:00"/>
    <m/>
    <s v="D"/>
    <n v="2"/>
    <s v="Road Vehicle"/>
    <n v="1"/>
    <x v="0"/>
    <x v="1"/>
    <n v="2"/>
    <x v="1"/>
    <s v="TAXI PARK"/>
    <s v="MITYANA"/>
    <s v="UG"/>
    <n v="2"/>
    <s v="Work"/>
    <s v="KYAMUVI"/>
    <s v="MITYANA"/>
    <s v="UG"/>
    <n v="2"/>
    <s v="Work"/>
    <x v="5"/>
    <n v="30000"/>
    <n v="0.5"/>
    <x v="4"/>
    <n v="1"/>
    <x v="2"/>
    <n v="10"/>
    <s v="Other"/>
    <n v="3"/>
    <x v="0"/>
    <n v="2"/>
    <n v="1"/>
    <n v="4"/>
    <n v="5"/>
    <n v="3"/>
    <s v="Y"/>
    <n v="1000"/>
    <x v="1"/>
  </r>
  <r>
    <s v="2019.10.26"/>
    <d v="1899-12-30T08:44:00"/>
    <m/>
    <s v="D"/>
    <n v="2"/>
    <s v="Road Vehicle"/>
    <n v="1"/>
    <x v="0"/>
    <x v="1"/>
    <n v="2"/>
    <x v="1"/>
    <s v="TAXI PARK"/>
    <s v="MITYANA"/>
    <s v="UG"/>
    <n v="2"/>
    <s v="Work"/>
    <s v="BUSUJJU"/>
    <s v="MITYANA"/>
    <s v="UG"/>
    <n v="2"/>
    <s v="Work"/>
    <x v="5"/>
    <n v="7000"/>
    <n v="60"/>
    <x v="1"/>
    <n v="1.5"/>
    <x v="2"/>
    <n v="2"/>
    <s v="Manual Labour"/>
    <n v="1"/>
    <x v="2"/>
    <n v="5"/>
    <n v="4"/>
    <n v="2"/>
    <n v="1"/>
    <n v="3"/>
    <s v="Y"/>
    <m/>
    <x v="0"/>
  </r>
  <r>
    <s v="2019.10.24"/>
    <d v="1899-12-30T13:42:00"/>
    <m/>
    <s v="P"/>
    <n v="2"/>
    <s v="Road Vehicle"/>
    <n v="4"/>
    <x v="3"/>
    <x v="0"/>
    <n v="2"/>
    <x v="1"/>
    <s v="BULERA"/>
    <s v="MITYANA"/>
    <s v="UG"/>
    <n v="1"/>
    <s v="Home"/>
    <s v="KIRA ROAD"/>
    <s v="KAMPALA"/>
    <s v="UG"/>
    <n v="6"/>
    <s v="Leisure/Social"/>
    <x v="3"/>
    <n v="9000"/>
    <n v="90"/>
    <x v="0"/>
    <n v="20.5"/>
    <x v="0"/>
    <n v="1"/>
    <s v="Unemployed"/>
    <n v="1"/>
    <x v="2"/>
    <n v="5"/>
    <n v="2"/>
    <n v="3"/>
    <n v="1"/>
    <n v="4"/>
    <s v="Y"/>
    <n v="200"/>
    <x v="0"/>
  </r>
  <r>
    <s v="2019.10.24"/>
    <d v="1899-12-30T13:16:00"/>
    <m/>
    <s v="P"/>
    <n v="2"/>
    <s v="Road Vehicle"/>
    <n v="4"/>
    <x v="3"/>
    <x v="0"/>
    <n v="2"/>
    <x v="1"/>
    <s v="TAXI PARK"/>
    <s v="MITYANA"/>
    <s v="UG"/>
    <n v="2"/>
    <s v="Work"/>
    <s v="IGANGA TOWN"/>
    <s v="IGANGA"/>
    <s v="UG"/>
    <n v="6"/>
    <s v="Leisure/Social"/>
    <x v="22"/>
    <n v="1800"/>
    <n v="180"/>
    <x v="2"/>
    <n v="5"/>
    <x v="0"/>
    <n v="6"/>
    <s v="Businessman"/>
    <n v="1"/>
    <x v="2"/>
    <n v="3"/>
    <n v="2"/>
    <n v="5"/>
    <n v="1"/>
    <n v="4"/>
    <s v="Y"/>
    <n v="500"/>
    <x v="0"/>
  </r>
  <r>
    <s v="2019.10.24"/>
    <d v="1899-12-30T15:05:00"/>
    <m/>
    <s v="P"/>
    <n v="2"/>
    <s v="Road Vehicle"/>
    <n v="4"/>
    <x v="3"/>
    <x v="0"/>
    <n v="2"/>
    <x v="1"/>
    <s v="BULERA"/>
    <s v="MITYANA"/>
    <s v="UG"/>
    <n v="6"/>
    <s v="Leisure/Social"/>
    <s v="BUJJUKO"/>
    <s v="WAKISO"/>
    <s v="UG"/>
    <n v="1"/>
    <s v="Home"/>
    <x v="7"/>
    <n v="8000"/>
    <m/>
    <x v="4"/>
    <n v="1.5"/>
    <x v="2"/>
    <n v="6"/>
    <s v="Businessman"/>
    <n v="2"/>
    <x v="1"/>
    <n v="3"/>
    <n v="4"/>
    <n v="1"/>
    <n v="2"/>
    <n v="5"/>
    <s v="Y"/>
    <n v="2000"/>
    <x v="4"/>
  </r>
  <r>
    <s v="2019.10.24"/>
    <d v="1899-12-30T14:59:00"/>
    <m/>
    <s v="P"/>
    <n v="2"/>
    <s v="Road Vehicle"/>
    <n v="4"/>
    <x v="3"/>
    <x v="0"/>
    <n v="2"/>
    <x v="1"/>
    <s v="TAXI PARK"/>
    <s v="MITYANA"/>
    <s v="UG"/>
    <n v="2"/>
    <s v="Work"/>
    <s v="KIKUUBO"/>
    <s v="KAMPALA"/>
    <s v="UG"/>
    <n v="8"/>
    <s v="Others"/>
    <x v="6"/>
    <n v="7000"/>
    <m/>
    <x v="4"/>
    <n v="2"/>
    <x v="1"/>
    <n v="6"/>
    <s v="Businessman"/>
    <n v="2"/>
    <x v="1"/>
    <n v="2"/>
    <n v="3"/>
    <n v="1"/>
    <n v="5"/>
    <n v="1"/>
    <s v="Y"/>
    <n v="500"/>
    <x v="0"/>
  </r>
  <r>
    <s v="2019.10.24"/>
    <d v="1899-12-30T14:46:00"/>
    <m/>
    <s v="P"/>
    <n v="2"/>
    <s v="Road Vehicle"/>
    <n v="4"/>
    <x v="3"/>
    <x v="0"/>
    <n v="2"/>
    <x v="1"/>
    <s v="KIKAN"/>
    <s v="MITYANA"/>
    <s v="UG"/>
    <n v="1"/>
    <s v="Home"/>
    <s v="KABALAGALA"/>
    <s v="KAMPALA"/>
    <s v="UG"/>
    <n v="6"/>
    <s v="Leisure/Social"/>
    <x v="3"/>
    <n v="8500"/>
    <m/>
    <x v="4"/>
    <n v="2.5"/>
    <x v="1"/>
    <n v="4"/>
    <s v="Office Worker"/>
    <n v="2"/>
    <x v="1"/>
    <n v="3"/>
    <n v="4"/>
    <n v="5"/>
    <n v="1"/>
    <n v="2"/>
    <s v="Y"/>
    <n v="2000"/>
    <x v="4"/>
  </r>
  <r>
    <s v="2019.10.24"/>
    <d v="1899-12-30T14:50:00"/>
    <m/>
    <s v="P"/>
    <n v="2"/>
    <s v="Road Vehicle"/>
    <n v="4"/>
    <x v="3"/>
    <x v="0"/>
    <n v="2"/>
    <x v="1"/>
    <s v="MIZIGO"/>
    <s v="MITYANA"/>
    <s v="UG"/>
    <n v="1"/>
    <s v="Home"/>
    <s v="BUYALA"/>
    <s v="WAKISO"/>
    <s v="UG"/>
    <n v="1"/>
    <s v="Home"/>
    <x v="2"/>
    <n v="6000"/>
    <m/>
    <x v="4"/>
    <n v="1"/>
    <x v="2"/>
    <n v="4"/>
    <s v="Office Worker"/>
    <n v="1"/>
    <x v="2"/>
    <n v="2"/>
    <n v="1"/>
    <n v="4"/>
    <n v="3"/>
    <n v="5"/>
    <s v="Y"/>
    <n v="3000"/>
    <x v="5"/>
  </r>
  <r>
    <s v="2019.10.24"/>
    <d v="1899-12-30T14:40:00"/>
    <m/>
    <s v="P"/>
    <n v="2"/>
    <s v="Road Vehicle"/>
    <n v="4"/>
    <x v="3"/>
    <x v="0"/>
    <n v="2"/>
    <x v="1"/>
    <s v="ROYAL"/>
    <s v="MITYANA"/>
    <s v="UG"/>
    <n v="3"/>
    <s v="Study"/>
    <s v="WABIGALO"/>
    <s v="MITYANA"/>
    <s v="UG"/>
    <n v="1"/>
    <s v="Home"/>
    <x v="9"/>
    <n v="3000"/>
    <m/>
    <x v="4"/>
    <n v="0.15"/>
    <x v="4"/>
    <n v="8"/>
    <s v="Student"/>
    <n v="1"/>
    <x v="2"/>
    <n v="1"/>
    <n v="3"/>
    <n v="4"/>
    <n v="2"/>
    <n v="5"/>
    <s v="Y"/>
    <n v="100"/>
    <x v="0"/>
  </r>
  <r>
    <s v="2019.10.24"/>
    <d v="1899-12-30T11:45:00"/>
    <m/>
    <s v="P"/>
    <n v="2"/>
    <s v="Road Vehicle"/>
    <n v="4"/>
    <x v="3"/>
    <x v="0"/>
    <n v="2"/>
    <x v="1"/>
    <s v="TOWN"/>
    <s v="MITYANA"/>
    <s v="UG"/>
    <n v="2"/>
    <s v="Work"/>
    <s v="JEZA"/>
    <s v="MITYANA"/>
    <s v="UG"/>
    <n v="1"/>
    <s v="Home"/>
    <x v="1"/>
    <n v="4000"/>
    <n v="10"/>
    <x v="6"/>
    <n v="0.15"/>
    <x v="4"/>
    <n v="6"/>
    <s v="Businessman"/>
    <n v="1"/>
    <x v="2"/>
    <n v="3"/>
    <n v="4"/>
    <n v="1"/>
    <n v="2"/>
    <n v="5"/>
    <s v="Y"/>
    <n v="500"/>
    <x v="0"/>
  </r>
  <r>
    <s v="2019.10.24"/>
    <d v="1899-12-30T11:31:00"/>
    <m/>
    <s v="P"/>
    <n v="2"/>
    <s v="Road Vehicle"/>
    <n v="4"/>
    <x v="3"/>
    <x v="0"/>
    <n v="2"/>
    <x v="1"/>
    <s v="TAXI PARK"/>
    <s v="MITYANA"/>
    <s v="UG"/>
    <n v="6"/>
    <s v="Leisure/Social"/>
    <s v="NANSANA"/>
    <s v="WAKISO"/>
    <s v="UG"/>
    <n v="1"/>
    <s v="Home"/>
    <x v="7"/>
    <n v="9000"/>
    <n v="80"/>
    <x v="0"/>
    <n v="3"/>
    <x v="1"/>
    <n v="5"/>
    <s v="Professional"/>
    <n v="3"/>
    <x v="0"/>
    <n v="2"/>
    <n v="3"/>
    <n v="1"/>
    <n v="5"/>
    <n v="4"/>
    <s v="Y"/>
    <n v="2000"/>
    <x v="4"/>
  </r>
  <r>
    <s v="2019.10.24"/>
    <d v="1899-12-30T10:06:00"/>
    <m/>
    <s v="P"/>
    <n v="2"/>
    <s v="Road Vehicle"/>
    <n v="4"/>
    <x v="3"/>
    <x v="0"/>
    <n v="2"/>
    <x v="1"/>
    <s v="BUUIMBI"/>
    <s v="MITYANA"/>
    <s v="UG"/>
    <n v="1"/>
    <s v="Home"/>
    <s v="BULENGA"/>
    <s v="WAKISO"/>
    <s v="UG"/>
    <n v="7"/>
    <s v="Hospital"/>
    <x v="26"/>
    <n v="7500"/>
    <n v="59"/>
    <x v="1"/>
    <n v="1.5"/>
    <x v="2"/>
    <n v="1"/>
    <s v="Unemployed"/>
    <n v="1"/>
    <x v="2"/>
    <n v="2"/>
    <n v="3"/>
    <n v="4"/>
    <n v="1"/>
    <n v="5"/>
    <s v="Y"/>
    <m/>
    <x v="0"/>
  </r>
  <r>
    <s v="2019.10.24"/>
    <d v="1899-12-30T10:50:00"/>
    <m/>
    <s v="P"/>
    <n v="2"/>
    <s v="Road Vehicle"/>
    <n v="4"/>
    <x v="3"/>
    <x v="0"/>
    <n v="2"/>
    <x v="1"/>
    <s v="CITY CENTER"/>
    <s v="MITYANA"/>
    <s v="UG"/>
    <n v="2"/>
    <s v="Work"/>
    <s v="MASANAFU"/>
    <s v="KAMPALA"/>
    <s v="UG"/>
    <n v="1"/>
    <s v="Home"/>
    <x v="1"/>
    <n v="9000"/>
    <m/>
    <x v="4"/>
    <n v="3"/>
    <x v="1"/>
    <n v="5"/>
    <s v="Professional"/>
    <n v="3"/>
    <x v="0"/>
    <n v="2"/>
    <n v="1"/>
    <n v="4"/>
    <n v="3"/>
    <n v="5"/>
    <s v="Y"/>
    <n v="1000"/>
    <x v="1"/>
  </r>
  <r>
    <s v="2019.10.24"/>
    <d v="1899-12-30T14:05:00"/>
    <m/>
    <s v="P"/>
    <n v="2"/>
    <s v="Road Vehicle"/>
    <n v="4"/>
    <x v="3"/>
    <x v="0"/>
    <n v="2"/>
    <x v="1"/>
    <s v="CITY CENTER"/>
    <s v="MITYANA"/>
    <s v="UG"/>
    <n v="2"/>
    <s v="Work"/>
    <s v="BUSEGA"/>
    <s v="KAMPALA"/>
    <s v="UG"/>
    <n v="1"/>
    <s v="Home"/>
    <x v="1"/>
    <n v="7000"/>
    <n v="60"/>
    <x v="1"/>
    <n v="1.5"/>
    <x v="2"/>
    <n v="6"/>
    <s v="Businessman"/>
    <n v="2"/>
    <x v="1"/>
    <n v="3"/>
    <n v="2"/>
    <n v="1"/>
    <n v="4"/>
    <n v="5"/>
    <s v="Y"/>
    <n v="1000"/>
    <x v="1"/>
  </r>
  <r>
    <s v="2019.10.24"/>
    <d v="1899-12-30T14:10:00"/>
    <m/>
    <s v="P"/>
    <n v="2"/>
    <s v="Road Vehicle"/>
    <n v="4"/>
    <x v="3"/>
    <x v="0"/>
    <n v="2"/>
    <x v="1"/>
    <s v="TOWN"/>
    <s v="SEMBABULE"/>
    <s v="UG"/>
    <n v="2"/>
    <s v="Work"/>
    <s v="TOWN"/>
    <s v="MITYANA"/>
    <s v="UG"/>
    <n v="2"/>
    <s v="Work"/>
    <x v="5"/>
    <n v="20000"/>
    <n v="120"/>
    <x v="2"/>
    <n v="2.5"/>
    <x v="1"/>
    <n v="10"/>
    <s v="Other"/>
    <n v="3"/>
    <x v="0"/>
    <n v="1"/>
    <n v="2"/>
    <n v="5"/>
    <n v="4"/>
    <n v="3"/>
    <s v="Y"/>
    <n v="5000"/>
    <x v="2"/>
  </r>
  <r>
    <s v="2019.10.24"/>
    <d v="1899-12-30T18:39:00"/>
    <m/>
    <s v="P"/>
    <n v="2"/>
    <s v="Road Vehicle"/>
    <n v="4"/>
    <x v="3"/>
    <x v="0"/>
    <n v="2"/>
    <x v="1"/>
    <s v="TAXI PARK"/>
    <s v="MITYANA"/>
    <s v="UG"/>
    <n v="6"/>
    <s v="Leisure/Social"/>
    <s v="NAWANJIRI"/>
    <s v="MITYANA"/>
    <s v="UG"/>
    <n v="6"/>
    <s v="Leisure/Social"/>
    <x v="17"/>
    <n v="6000"/>
    <n v="90"/>
    <x v="0"/>
    <n v="1"/>
    <x v="2"/>
    <n v="7"/>
    <s v="Farmer"/>
    <n v="1"/>
    <x v="2"/>
    <n v="3"/>
    <n v="4"/>
    <n v="2"/>
    <n v="1"/>
    <n v="5"/>
    <s v="Y"/>
    <m/>
    <x v="0"/>
  </r>
  <r>
    <s v="2019.10.24"/>
    <d v="1899-12-30T18:49:00"/>
    <m/>
    <s v="P"/>
    <n v="2"/>
    <s v="Road Vehicle"/>
    <n v="4"/>
    <x v="3"/>
    <x v="0"/>
    <n v="2"/>
    <x v="1"/>
    <s v="BUKOMA"/>
    <s v="MITYANA"/>
    <s v="UG"/>
    <n v="1"/>
    <s v="Home"/>
    <s v="BULENGA"/>
    <s v="WAKISO"/>
    <s v="UG"/>
    <n v="6"/>
    <s v="Leisure/Social"/>
    <x v="3"/>
    <n v="5000"/>
    <m/>
    <x v="4"/>
    <n v="1"/>
    <x v="2"/>
    <n v="2"/>
    <s v="Manual Labour"/>
    <n v="1"/>
    <x v="2"/>
    <n v="2"/>
    <n v="4"/>
    <n v="1"/>
    <n v="5"/>
    <n v="3"/>
    <s v="Y"/>
    <n v="100"/>
    <x v="0"/>
  </r>
  <r>
    <s v="2019.10.24"/>
    <d v="1899-12-30T17:26:00"/>
    <m/>
    <s v="P"/>
    <n v="2"/>
    <s v="Road Vehicle"/>
    <n v="4"/>
    <x v="3"/>
    <x v="0"/>
    <n v="2"/>
    <x v="1"/>
    <s v="MITYANA TOWN"/>
    <s v="MITYANA"/>
    <s v="UG"/>
    <n v="2"/>
    <s v="Work"/>
    <s v="BUSEGA"/>
    <s v="KAMPALA"/>
    <s v="UG"/>
    <n v="6"/>
    <s v="Leisure/Social"/>
    <x v="22"/>
    <n v="7000"/>
    <m/>
    <x v="4"/>
    <n v="1.5"/>
    <x v="2"/>
    <n v="3"/>
    <s v="Artisan/Domestic"/>
    <n v="1"/>
    <x v="2"/>
    <n v="2"/>
    <n v="3"/>
    <n v="4"/>
    <n v="1"/>
    <n v="5"/>
    <s v="Y"/>
    <m/>
    <x v="0"/>
  </r>
  <r>
    <s v="2019.10.24"/>
    <d v="1899-12-30T17:37:00"/>
    <m/>
    <s v="P"/>
    <n v="2"/>
    <s v="Road Vehicle"/>
    <n v="4"/>
    <x v="3"/>
    <x v="0"/>
    <n v="2"/>
    <x v="1"/>
    <s v="NAMUTAMBA"/>
    <s v="MITYANA"/>
    <s v="UG"/>
    <n v="2"/>
    <s v="Work"/>
    <s v="MITYANA TOWN"/>
    <s v="MITYANA"/>
    <s v="UG"/>
    <n v="2"/>
    <s v="Work"/>
    <x v="5"/>
    <n v="5000"/>
    <m/>
    <x v="4"/>
    <n v="0.5"/>
    <x v="3"/>
    <n v="6"/>
    <s v="Businessman"/>
    <n v="3"/>
    <x v="0"/>
    <n v="1"/>
    <n v="5"/>
    <n v="3"/>
    <n v="2"/>
    <n v="4"/>
    <s v="Y"/>
    <n v="2500"/>
    <x v="4"/>
  </r>
  <r>
    <s v="2019.10.24"/>
    <d v="1899-12-30T14:15:00"/>
    <m/>
    <s v="P"/>
    <n v="2"/>
    <s v="Road Vehicle"/>
    <n v="4"/>
    <x v="3"/>
    <x v="0"/>
    <n v="2"/>
    <x v="1"/>
    <s v="TAXI PARK"/>
    <s v="MITYANA"/>
    <s v="UG"/>
    <n v="2"/>
    <s v="Work"/>
    <s v="CITY CENTER"/>
    <s v="KAMPALA"/>
    <s v="UG"/>
    <n v="4"/>
    <s v="Commercial"/>
    <x v="21"/>
    <n v="7000"/>
    <n v="67"/>
    <x v="1"/>
    <n v="2"/>
    <x v="1"/>
    <n v="6"/>
    <s v="Businessman"/>
    <n v="2"/>
    <x v="1"/>
    <n v="1"/>
    <n v="3"/>
    <n v="5"/>
    <n v="4"/>
    <n v="1"/>
    <s v="Y"/>
    <n v="1000"/>
    <x v="1"/>
  </r>
  <r>
    <s v="2019.10.24"/>
    <d v="1899-12-30T16:27:00"/>
    <m/>
    <s v="D"/>
    <n v="2"/>
    <s v="Road Vehicle"/>
    <n v="4"/>
    <x v="3"/>
    <x v="0"/>
    <n v="2"/>
    <x v="1"/>
    <s v="TAXI PARK"/>
    <s v="MITYANA"/>
    <s v="UG"/>
    <n v="2"/>
    <s v="Work"/>
    <s v="NAMIREMBE"/>
    <s v="KAMPALA"/>
    <s v="UG"/>
    <n v="2"/>
    <s v="Work"/>
    <x v="5"/>
    <n v="50000"/>
    <n v="67"/>
    <x v="1"/>
    <n v="1.5"/>
    <x v="2"/>
    <n v="2"/>
    <s v="Manual Labour"/>
    <n v="1"/>
    <x v="2"/>
    <n v="1"/>
    <n v="2"/>
    <n v="5"/>
    <n v="3"/>
    <n v="4"/>
    <s v="Y"/>
    <m/>
    <x v="0"/>
  </r>
  <r>
    <s v="2019.10.24"/>
    <d v="1899-12-30T17:42:00"/>
    <m/>
    <s v="D"/>
    <n v="2"/>
    <s v="Road Vehicle"/>
    <n v="4"/>
    <x v="3"/>
    <x v="0"/>
    <n v="2"/>
    <x v="1"/>
    <s v="MITYANA TOWN"/>
    <s v="MITYANA"/>
    <s v="UG"/>
    <n v="2"/>
    <s v="Work"/>
    <s v="TAXI PARK"/>
    <s v="MITYANA"/>
    <s v="UG"/>
    <n v="6"/>
    <s v="Leisure/Social"/>
    <x v="22"/>
    <n v="5000"/>
    <n v="0.5"/>
    <x v="4"/>
    <n v="0.9"/>
    <x v="3"/>
    <n v="5"/>
    <s v="Professional"/>
    <n v="2"/>
    <x v="1"/>
    <n v="1"/>
    <n v="2"/>
    <n v="3"/>
    <n v="4"/>
    <n v="5"/>
    <s v="Y"/>
    <n v="1000"/>
    <x v="1"/>
  </r>
  <r>
    <s v="2019.10.24"/>
    <d v="1899-12-30T17:48:00"/>
    <m/>
    <s v="P"/>
    <n v="2"/>
    <s v="Road Vehicle"/>
    <n v="4"/>
    <x v="3"/>
    <x v="0"/>
    <n v="2"/>
    <x v="1"/>
    <s v="TAMU"/>
    <s v="MITYANA"/>
    <s v="UG"/>
    <n v="1"/>
    <s v="Home"/>
    <s v="TAXI PARK"/>
    <s v="MITYANA"/>
    <s v="UG"/>
    <n v="2"/>
    <s v="Work"/>
    <x v="8"/>
    <n v="2000"/>
    <n v="1"/>
    <x v="4"/>
    <n v="0.1"/>
    <x v="4"/>
    <n v="2"/>
    <s v="Manual Labour"/>
    <n v="1"/>
    <x v="2"/>
    <n v="1"/>
    <n v="2"/>
    <n v="4"/>
    <n v="3"/>
    <n v="5"/>
    <s v="Y"/>
    <m/>
    <x v="0"/>
  </r>
  <r>
    <s v="2019.10.24"/>
    <d v="1899-12-30T18:08:00"/>
    <m/>
    <s v="P"/>
    <n v="2"/>
    <s v="Road Vehicle"/>
    <n v="4"/>
    <x v="3"/>
    <x v="0"/>
    <n v="2"/>
    <x v="1"/>
    <s v="STAGE NINE"/>
    <s v="MITYANA"/>
    <s v="UG"/>
    <n v="2"/>
    <s v="Work"/>
    <s v="KAKINDU"/>
    <s v="MITYANA"/>
    <s v="UG"/>
    <n v="2"/>
    <s v="Work"/>
    <x v="5"/>
    <n v="9000"/>
    <n v="0.75"/>
    <x v="4"/>
    <n v="0.9"/>
    <x v="3"/>
    <n v="2"/>
    <s v="Manual Labour"/>
    <n v="1"/>
    <x v="2"/>
    <n v="3"/>
    <n v="4"/>
    <n v="5"/>
    <n v="1"/>
    <n v="2"/>
    <s v="Y"/>
    <n v="1000"/>
    <x v="1"/>
  </r>
  <r>
    <s v="2019.10.26"/>
    <d v="1899-12-30T15:35:00"/>
    <m/>
    <s v="P"/>
    <n v="2"/>
    <s v="Road Vehicle"/>
    <n v="4"/>
    <x v="3"/>
    <x v="0"/>
    <n v="2"/>
    <x v="1"/>
    <s v="MITYANA TOWN"/>
    <s v="MITYANA"/>
    <s v="UG"/>
    <n v="2"/>
    <s v="Work"/>
    <s v="WABIGALO"/>
    <s v="MITYANA"/>
    <s v="UG"/>
    <n v="6"/>
    <s v="Leisure/Social"/>
    <x v="22"/>
    <n v="1000"/>
    <m/>
    <x v="4"/>
    <n v="0.1"/>
    <x v="4"/>
    <n v="6"/>
    <s v="Businessman"/>
    <n v="2"/>
    <x v="1"/>
    <n v="2"/>
    <n v="4"/>
    <n v="3"/>
    <n v="1"/>
    <n v="5"/>
    <s v="Y"/>
    <n v="500"/>
    <x v="0"/>
  </r>
  <r>
    <s v="2019.10.26"/>
    <d v="1899-12-30T15:24:00"/>
    <m/>
    <s v="P"/>
    <n v="2"/>
    <s v="Road Vehicle"/>
    <n v="4"/>
    <x v="3"/>
    <x v="0"/>
    <n v="2"/>
    <x v="1"/>
    <s v="MITYANA TOWN"/>
    <s v="MITYANA"/>
    <s v="UG"/>
    <n v="2"/>
    <s v="Work"/>
    <s v="WABIGALO"/>
    <s v="KAMPALA"/>
    <s v="UG"/>
    <n v="1"/>
    <s v="Home"/>
    <x v="1"/>
    <n v="1000"/>
    <n v="80"/>
    <x v="0"/>
    <n v="2"/>
    <x v="1"/>
    <n v="4"/>
    <s v="Office Worker"/>
    <n v="2"/>
    <x v="1"/>
    <n v="3"/>
    <n v="2"/>
    <n v="1"/>
    <n v="4"/>
    <n v="5"/>
    <s v="Y"/>
    <n v="200"/>
    <x v="0"/>
  </r>
  <r>
    <s v="2019.10.26"/>
    <d v="1899-12-30T15:31:00"/>
    <m/>
    <s v="P"/>
    <n v="2"/>
    <s v="Road Vehicle"/>
    <n v="4"/>
    <x v="3"/>
    <x v="0"/>
    <n v="2"/>
    <x v="1"/>
    <s v="MITYANA TOWN"/>
    <s v="MITYANA"/>
    <s v="UG"/>
    <n v="1"/>
    <s v="Home"/>
    <s v="KALERWE"/>
    <s v="KAMPALA"/>
    <s v="UG"/>
    <n v="1"/>
    <s v="Home"/>
    <x v="2"/>
    <n v="7500"/>
    <m/>
    <x v="4"/>
    <n v="1.5"/>
    <x v="2"/>
    <n v="6"/>
    <s v="Businessman"/>
    <n v="1"/>
    <x v="2"/>
    <n v="5"/>
    <n v="1"/>
    <n v="4"/>
    <n v="2"/>
    <n v="5"/>
    <s v="Y"/>
    <n v="500"/>
    <x v="0"/>
  </r>
  <r>
    <s v="2019.10.26"/>
    <d v="1899-12-30T08:29:00"/>
    <m/>
    <s v="P"/>
    <n v="2"/>
    <s v="Road Vehicle"/>
    <n v="4"/>
    <x v="3"/>
    <x v="0"/>
    <n v="2"/>
    <x v="1"/>
    <s v="MULAGALA"/>
    <s v="MITYANA"/>
    <s v="UG"/>
    <n v="1"/>
    <s v="Home"/>
    <s v="BWAISE"/>
    <s v="KAMPALA"/>
    <s v="UG"/>
    <n v="6"/>
    <s v="Leisure/Social"/>
    <x v="3"/>
    <n v="9000"/>
    <m/>
    <x v="4"/>
    <n v="2"/>
    <x v="1"/>
    <n v="6"/>
    <s v="Businessman"/>
    <n v="1"/>
    <x v="2"/>
    <n v="5"/>
    <n v="2"/>
    <n v="3"/>
    <n v="1"/>
    <n v="4"/>
    <s v="Y"/>
    <n v="400"/>
    <x v="0"/>
  </r>
  <r>
    <s v="2019.10.26"/>
    <d v="1899-12-30T09:00:00"/>
    <m/>
    <s v="P"/>
    <n v="2"/>
    <s v="Road Vehicle"/>
    <n v="4"/>
    <x v="3"/>
    <x v="0"/>
    <n v="2"/>
    <x v="1"/>
    <s v="MITYANA TOWN"/>
    <s v="MITYANA"/>
    <s v="UG"/>
    <n v="6"/>
    <s v="Leisure/Social"/>
    <s v="KALANGALA"/>
    <s v="MITYANA"/>
    <s v="UG"/>
    <n v="1"/>
    <s v="Home"/>
    <x v="7"/>
    <n v="4000"/>
    <m/>
    <x v="4"/>
    <n v="0.5"/>
    <x v="3"/>
    <n v="1"/>
    <s v="Unemployed"/>
    <n v="1"/>
    <x v="2"/>
    <n v="3"/>
    <n v="2"/>
    <n v="4"/>
    <n v="1"/>
    <n v="5"/>
    <s v="Y"/>
    <m/>
    <x v="0"/>
  </r>
  <r>
    <s v="2019.10.26"/>
    <d v="1899-12-30T11:39:00"/>
    <m/>
    <s v="P"/>
    <n v="2"/>
    <s v="Road Vehicle"/>
    <n v="4"/>
    <x v="3"/>
    <x v="0"/>
    <n v="2"/>
    <x v="1"/>
    <s v="BUSWABULA"/>
    <s v="MITYANA"/>
    <s v="UG"/>
    <n v="6"/>
    <s v="Leisure/Social"/>
    <s v="ZIGOTI"/>
    <s v="MITYANA"/>
    <s v="UG"/>
    <n v="1"/>
    <s v="Home"/>
    <x v="7"/>
    <n v="50000"/>
    <n v="40"/>
    <x v="1"/>
    <n v="1"/>
    <x v="2"/>
    <n v="1"/>
    <s v="Unemployed"/>
    <n v="1"/>
    <x v="2"/>
    <n v="5"/>
    <n v="2"/>
    <n v="3"/>
    <n v="1"/>
    <n v="4"/>
    <s v="Y"/>
    <n v="500"/>
    <x v="0"/>
  </r>
  <r>
    <s v="2019.10.26"/>
    <d v="1899-12-30T07:15:00"/>
    <m/>
    <s v="P"/>
    <n v="1"/>
    <s v="Walking/Cycling"/>
    <n v="4"/>
    <x v="3"/>
    <x v="0"/>
    <n v="2"/>
    <x v="1"/>
    <s v="HEALTH CENTER"/>
    <s v="MITYANA"/>
    <s v="UG"/>
    <n v="4"/>
    <s v="Commercial"/>
    <s v="HEALTH CENTER"/>
    <s v="MITYANA"/>
    <s v="UG"/>
    <n v="4"/>
    <s v="Commercial"/>
    <x v="13"/>
    <m/>
    <m/>
    <x v="4"/>
    <m/>
    <x v="4"/>
    <n v="5"/>
    <s v="Professional"/>
    <n v="2"/>
    <x v="1"/>
    <m/>
    <m/>
    <m/>
    <m/>
    <m/>
    <s v="Y"/>
    <n v="2000"/>
    <x v="4"/>
  </r>
  <r>
    <s v="2019.10.26"/>
    <d v="1899-12-30T07:32:00"/>
    <m/>
    <s v="P"/>
    <n v="1"/>
    <s v="Walking/Cycling"/>
    <n v="4"/>
    <x v="3"/>
    <x v="0"/>
    <n v="2"/>
    <x v="1"/>
    <s v="MUDUUMA"/>
    <s v="MITYANA"/>
    <s v="UG"/>
    <n v="1"/>
    <s v="Home"/>
    <s v="TAXI PARK"/>
    <s v="KAMPALA"/>
    <s v="UG"/>
    <n v="4"/>
    <s v="Commercial"/>
    <x v="12"/>
    <n v="5000"/>
    <n v="38"/>
    <x v="5"/>
    <n v="0.15"/>
    <x v="4"/>
    <n v="6"/>
    <s v="Businessman"/>
    <n v="1"/>
    <x v="2"/>
    <n v="2"/>
    <n v="3"/>
    <n v="4"/>
    <n v="1"/>
    <n v="5"/>
    <s v="Y"/>
    <n v="5000"/>
    <x v="2"/>
  </r>
  <r>
    <s v="2019.10.26"/>
    <d v="1899-12-30T07:42:00"/>
    <m/>
    <s v="P"/>
    <n v="1"/>
    <s v="Walking/Cycling"/>
    <n v="4"/>
    <x v="3"/>
    <x v="0"/>
    <n v="2"/>
    <x v="1"/>
    <s v="NDIBULUNGI"/>
    <s v="MITYANA"/>
    <s v="UG"/>
    <n v="1"/>
    <s v="Home"/>
    <s v="TAXI PARK"/>
    <s v="MITYANA"/>
    <s v="UG"/>
    <n v="2"/>
    <s v="Work"/>
    <x v="8"/>
    <n v="2000"/>
    <n v="2"/>
    <x v="4"/>
    <n v="0.03"/>
    <x v="4"/>
    <n v="2"/>
    <s v="Manual Labour"/>
    <n v="1"/>
    <x v="2"/>
    <n v="3"/>
    <n v="2"/>
    <n v="5"/>
    <n v="1"/>
    <n v="4"/>
    <s v="Y"/>
    <n v="1000"/>
    <x v="1"/>
  </r>
  <r>
    <s v="2019.10.26"/>
    <d v="1899-12-30T07:49:00"/>
    <m/>
    <s v="P"/>
    <n v="1"/>
    <s v="Walking/Cycling"/>
    <n v="4"/>
    <x v="3"/>
    <x v="0"/>
    <n v="2"/>
    <x v="1"/>
    <s v="MITYANA INSTITUTE"/>
    <s v="MITYANA"/>
    <s v="UG"/>
    <n v="1"/>
    <s v="Home"/>
    <s v="ZIGOTI"/>
    <s v="MITYANA"/>
    <s v="UG"/>
    <n v="2"/>
    <s v="Work"/>
    <x v="8"/>
    <n v="2000"/>
    <n v="4"/>
    <x v="4"/>
    <n v="0.06"/>
    <x v="4"/>
    <n v="2"/>
    <s v="Manual Labour"/>
    <n v="1"/>
    <x v="2"/>
    <n v="3"/>
    <n v="2"/>
    <n v="4"/>
    <n v="1"/>
    <n v="5"/>
    <s v="Y"/>
    <n v="1000"/>
    <x v="1"/>
  </r>
  <r>
    <s v="2019.10.26"/>
    <d v="1899-12-30T08:18:00"/>
    <m/>
    <s v="P"/>
    <n v="1"/>
    <s v="Walking/Cycling"/>
    <n v="4"/>
    <x v="3"/>
    <x v="0"/>
    <n v="2"/>
    <x v="1"/>
    <s v="BUSUBIZI"/>
    <s v="MITYANA"/>
    <s v="UG"/>
    <n v="1"/>
    <s v="Home"/>
    <s v="TAXI PARK"/>
    <s v="MITYANA"/>
    <s v="UG"/>
    <n v="2"/>
    <s v="Work"/>
    <x v="8"/>
    <n v="3000"/>
    <n v="0.06"/>
    <x v="4"/>
    <n v="2"/>
    <x v="1"/>
    <n v="2"/>
    <s v="Manual Labour"/>
    <n v="1"/>
    <x v="2"/>
    <n v="2"/>
    <n v="5"/>
    <n v="3"/>
    <n v="1"/>
    <n v="4"/>
    <s v="Y"/>
    <n v="1000"/>
    <x v="1"/>
  </r>
  <r>
    <s v="2019.10.26"/>
    <d v="1899-12-30T10:45:00"/>
    <m/>
    <s v="P"/>
    <n v="1"/>
    <s v="Walking/Cycling"/>
    <n v="4"/>
    <x v="3"/>
    <x v="0"/>
    <n v="2"/>
    <x v="1"/>
    <s v="STAGE NINE"/>
    <s v="MITYANA"/>
    <s v="UG"/>
    <n v="1"/>
    <s v="Home"/>
    <s v="TAXI PARK"/>
    <s v="MITYANA"/>
    <s v="UG"/>
    <n v="2"/>
    <s v="Work"/>
    <x v="8"/>
    <n v="5000"/>
    <n v="50"/>
    <x v="1"/>
    <n v="0.5"/>
    <x v="3"/>
    <n v="5"/>
    <s v="Professional"/>
    <n v="2"/>
    <x v="1"/>
    <n v="1"/>
    <n v="2"/>
    <n v="3"/>
    <n v="4"/>
    <n v="5"/>
    <s v="Y"/>
    <n v="1000"/>
    <x v="1"/>
  </r>
  <r>
    <s v="2019.10.26"/>
    <d v="1899-12-30T11:55:00"/>
    <m/>
    <s v="P"/>
    <n v="1"/>
    <s v="Walking/Cycling"/>
    <n v="4"/>
    <x v="3"/>
    <x v="0"/>
    <n v="2"/>
    <x v="1"/>
    <s v="JEZA"/>
    <s v="MITYANA"/>
    <s v="UG"/>
    <n v="1"/>
    <s v="Home"/>
    <s v="TAXI PARK"/>
    <s v="MITYANA"/>
    <s v="UG"/>
    <n v="2"/>
    <s v="Work"/>
    <x v="8"/>
    <n v="3000"/>
    <n v="34"/>
    <x v="5"/>
    <n v="0.15"/>
    <x v="4"/>
    <n v="2"/>
    <s v="Manual Labour"/>
    <n v="1"/>
    <x v="2"/>
    <n v="1"/>
    <n v="2"/>
    <n v="5"/>
    <n v="4"/>
    <n v="3"/>
    <s v="Y"/>
    <n v="2000"/>
    <x v="4"/>
  </r>
  <r>
    <s v="2019.10.26"/>
    <d v="1899-12-30T15:10:00"/>
    <m/>
    <s v="P"/>
    <n v="1"/>
    <s v="Walking/Cycling"/>
    <n v="4"/>
    <x v="3"/>
    <x v="0"/>
    <n v="2"/>
    <x v="1"/>
    <s v="MUDUUMA"/>
    <s v="MITYANA"/>
    <s v="UG"/>
    <n v="1"/>
    <s v="Home"/>
    <s v="TAXI PARK"/>
    <s v="MITYANA"/>
    <s v="UG"/>
    <n v="2"/>
    <s v="Work"/>
    <x v="8"/>
    <n v="3000"/>
    <n v="38"/>
    <x v="5"/>
    <n v="0.06"/>
    <x v="4"/>
    <n v="2"/>
    <s v="Manual Labour"/>
    <n v="1"/>
    <x v="2"/>
    <n v="3"/>
    <n v="4"/>
    <n v="5"/>
    <n v="1"/>
    <n v="2"/>
    <s v="Y"/>
    <n v="1000"/>
    <x v="1"/>
  </r>
  <r>
    <s v="2019.10.26"/>
    <d v="1899-12-30T16:52:00"/>
    <m/>
    <s v="P"/>
    <n v="1"/>
    <s v="Walking/Cycling"/>
    <n v="4"/>
    <x v="3"/>
    <x v="0"/>
    <n v="2"/>
    <x v="1"/>
    <s v="ROYAL GIANT"/>
    <s v="MITYANA"/>
    <s v="UG"/>
    <n v="3"/>
    <s v="Study"/>
    <s v="KITINKOKOLA"/>
    <s v="MITYANA"/>
    <s v="UG"/>
    <n v="1"/>
    <s v="Home"/>
    <x v="9"/>
    <n v="1000"/>
    <n v="2"/>
    <x v="4"/>
    <n v="0.05"/>
    <x v="4"/>
    <n v="8"/>
    <s v="Student"/>
    <n v="1"/>
    <x v="2"/>
    <n v="1"/>
    <n v="2"/>
    <n v="3"/>
    <n v="4"/>
    <n v="5"/>
    <s v="Y"/>
    <n v="1000"/>
    <x v="1"/>
  </r>
  <r>
    <s v="2019.10.24"/>
    <d v="1899-12-30T15:40:00"/>
    <m/>
    <s v="P"/>
    <n v="2"/>
    <s v="Road Vehicle"/>
    <n v="4"/>
    <x v="3"/>
    <x v="1"/>
    <n v="2"/>
    <x v="1"/>
    <s v="TAXI PARK"/>
    <s v="MITYANA"/>
    <s v="UG"/>
    <n v="6"/>
    <s v="Leisure/Social"/>
    <s v="TAXI PARK"/>
    <s v="MITYANA"/>
    <s v="UG"/>
    <n v="6"/>
    <s v="Leisure/Social"/>
    <x v="17"/>
    <n v="8000"/>
    <m/>
    <x v="4"/>
    <n v="1.5"/>
    <x v="2"/>
    <n v="6"/>
    <s v="Businessman"/>
    <n v="1"/>
    <x v="2"/>
    <n v="3"/>
    <n v="4"/>
    <n v="3"/>
    <n v="1"/>
    <n v="2"/>
    <s v="Y"/>
    <n v="100"/>
    <x v="0"/>
  </r>
  <r>
    <s v="2019.10.24"/>
    <d v="1899-12-30T15:20:00"/>
    <m/>
    <s v="P"/>
    <n v="2"/>
    <s v="Road Vehicle"/>
    <n v="4"/>
    <x v="3"/>
    <x v="1"/>
    <n v="2"/>
    <x v="1"/>
    <s v="TAXI PARK"/>
    <s v="MITYANA"/>
    <s v="UG"/>
    <n v="2"/>
    <s v="Work"/>
    <s v="KIKOMGE"/>
    <s v="MITYANA"/>
    <s v="UG"/>
    <n v="1"/>
    <s v="Home"/>
    <x v="1"/>
    <n v="2000"/>
    <m/>
    <x v="4"/>
    <n v="0.2"/>
    <x v="4"/>
    <n v="2"/>
    <s v="Manual Labour"/>
    <n v="2"/>
    <x v="1"/>
    <n v="3"/>
    <n v="4"/>
    <n v="2"/>
    <n v="1"/>
    <n v="5"/>
    <s v="Y"/>
    <n v="1000"/>
    <x v="1"/>
  </r>
  <r>
    <s v="2019.10.24"/>
    <d v="1899-12-30T12:16:00"/>
    <m/>
    <s v="P"/>
    <n v="2"/>
    <s v="Road Vehicle"/>
    <n v="4"/>
    <x v="3"/>
    <x v="1"/>
    <n v="2"/>
    <x v="1"/>
    <s v="TAXI PARK"/>
    <s v="MITYANA"/>
    <s v="UG"/>
    <n v="2"/>
    <s v="Work"/>
    <s v="JESCO PLAZA"/>
    <s v="KAMPALA"/>
    <s v="UG"/>
    <n v="8"/>
    <s v="Others"/>
    <x v="6"/>
    <n v="7000"/>
    <m/>
    <x v="4"/>
    <n v="3"/>
    <x v="1"/>
    <n v="2"/>
    <s v="Manual Labour"/>
    <n v="1"/>
    <x v="2"/>
    <n v="2"/>
    <n v="4"/>
    <n v="3"/>
    <n v="1"/>
    <n v="5"/>
    <s v="Y"/>
    <n v="100"/>
    <x v="0"/>
  </r>
  <r>
    <s v="2019.10.24"/>
    <d v="1899-12-30T15:09:00"/>
    <m/>
    <s v="P"/>
    <n v="2"/>
    <s v="Road Vehicle"/>
    <n v="4"/>
    <x v="3"/>
    <x v="1"/>
    <n v="2"/>
    <x v="1"/>
    <s v="KAKINDU"/>
    <s v="MITYANA"/>
    <s v="UG"/>
    <n v="1"/>
    <s v="Home"/>
    <s v="HOIMA PARK"/>
    <s v="KAMPALA"/>
    <s v="UG"/>
    <n v="1"/>
    <s v="Home"/>
    <x v="2"/>
    <n v="10000"/>
    <m/>
    <x v="4"/>
    <n v="2.5"/>
    <x v="1"/>
    <n v="5"/>
    <s v="Professional"/>
    <n v="2"/>
    <x v="1"/>
    <n v="3"/>
    <n v="5"/>
    <n v="2"/>
    <n v="1"/>
    <n v="4"/>
    <s v="Y"/>
    <m/>
    <x v="0"/>
  </r>
  <r>
    <s v="2019.10.24"/>
    <d v="1899-12-30T12:59:00"/>
    <m/>
    <s v="P"/>
    <n v="2"/>
    <s v="Road Vehicle"/>
    <n v="4"/>
    <x v="3"/>
    <x v="1"/>
    <n v="2"/>
    <x v="1"/>
    <s v="KIDAWALIME"/>
    <s v="MITYANA"/>
    <s v="UG"/>
    <n v="8"/>
    <s v="Others"/>
    <s v="CITY CENTER"/>
    <s v="KAMPALA"/>
    <s v="UG"/>
    <n v="2"/>
    <s v="Work"/>
    <x v="31"/>
    <n v="9000"/>
    <m/>
    <x v="4"/>
    <n v="2"/>
    <x v="1"/>
    <n v="6"/>
    <s v="Businessman"/>
    <n v="2"/>
    <x v="1"/>
    <n v="2"/>
    <n v="5"/>
    <n v="4"/>
    <n v="1"/>
    <n v="3"/>
    <s v="Y"/>
    <n v="1500"/>
    <x v="1"/>
  </r>
  <r>
    <s v="2019.10.24"/>
    <d v="1899-12-30T12:09:00"/>
    <m/>
    <s v="P"/>
    <n v="2"/>
    <s v="Road Vehicle"/>
    <n v="4"/>
    <x v="3"/>
    <x v="1"/>
    <n v="2"/>
    <x v="1"/>
    <s v="MODIN SS"/>
    <s v="MITYANA"/>
    <s v="UG"/>
    <n v="8"/>
    <s v="Others"/>
    <s v="CITY CENTER"/>
    <s v="KAMPALA"/>
    <s v="UG"/>
    <n v="1"/>
    <s v="Home"/>
    <x v="29"/>
    <n v="8000"/>
    <m/>
    <x v="4"/>
    <n v="1.5"/>
    <x v="2"/>
    <n v="4"/>
    <s v="Office Worker"/>
    <n v="2"/>
    <x v="1"/>
    <n v="4"/>
    <n v="2"/>
    <n v="5"/>
    <n v="1"/>
    <n v="3"/>
    <s v="Y"/>
    <n v="1500"/>
    <x v="1"/>
  </r>
  <r>
    <s v="2019.10.24"/>
    <d v="1899-12-30T09:59:00"/>
    <m/>
    <s v="P"/>
    <n v="2"/>
    <s v="Road Vehicle"/>
    <n v="4"/>
    <x v="3"/>
    <x v="1"/>
    <n v="2"/>
    <x v="1"/>
    <s v="BUUIMBI"/>
    <s v="MITYANA"/>
    <s v="UG"/>
    <n v="1"/>
    <s v="Home"/>
    <s v="BUSEGA"/>
    <s v="KAMPALA"/>
    <s v="UG"/>
    <n v="1"/>
    <s v="Home"/>
    <x v="2"/>
    <n v="8000"/>
    <m/>
    <x v="4"/>
    <n v="1.5"/>
    <x v="2"/>
    <n v="6"/>
    <s v="Businessman"/>
    <n v="1"/>
    <x v="2"/>
    <n v="2"/>
    <n v="3"/>
    <n v="1"/>
    <n v="5"/>
    <n v="4"/>
    <s v="Y"/>
    <m/>
    <x v="0"/>
  </r>
  <r>
    <s v="2019.10.24"/>
    <d v="1899-12-30T18:21:00"/>
    <m/>
    <s v="P"/>
    <n v="2"/>
    <s v="Road Vehicle"/>
    <n v="4"/>
    <x v="3"/>
    <x v="1"/>
    <n v="2"/>
    <x v="1"/>
    <s v="TAXI PARK"/>
    <s v="MITYANA"/>
    <s v="UG"/>
    <n v="2"/>
    <s v="Work"/>
    <s v="BUTEGA"/>
    <s v="MITYANA"/>
    <s v="UG"/>
    <n v="2"/>
    <s v="Work"/>
    <x v="5"/>
    <n v="2000"/>
    <m/>
    <x v="4"/>
    <n v="0.15"/>
    <x v="4"/>
    <n v="4"/>
    <s v="Office Worker"/>
    <n v="3"/>
    <x v="0"/>
    <n v="5"/>
    <n v="3"/>
    <n v="1"/>
    <n v="4"/>
    <n v="2"/>
    <s v="Y"/>
    <n v="1000"/>
    <x v="1"/>
  </r>
  <r>
    <s v="2019.10.24"/>
    <d v="1899-12-30T15:51:00"/>
    <m/>
    <s v="P"/>
    <n v="2"/>
    <s v="Road Vehicle"/>
    <n v="4"/>
    <x v="3"/>
    <x v="1"/>
    <n v="2"/>
    <x v="1"/>
    <s v="TAXI PARK"/>
    <s v="MITYANA"/>
    <s v="UG"/>
    <n v="8"/>
    <s v="Others"/>
    <s v="KISAMULA"/>
    <s v="MITYANA"/>
    <s v="UG"/>
    <n v="1"/>
    <s v="Home"/>
    <x v="29"/>
    <n v="6000"/>
    <n v="40"/>
    <x v="1"/>
    <n v="0.5"/>
    <x v="3"/>
    <n v="2"/>
    <s v="Manual Labour"/>
    <n v="2"/>
    <x v="1"/>
    <n v="2"/>
    <n v="5"/>
    <n v="4"/>
    <n v="1"/>
    <n v="3"/>
    <s v="Y"/>
    <m/>
    <x v="0"/>
  </r>
  <r>
    <s v="2019.10.24"/>
    <d v="1899-12-30T16:50:00"/>
    <m/>
    <s v="P"/>
    <n v="2"/>
    <s v="Road Vehicle"/>
    <n v="4"/>
    <x v="3"/>
    <x v="1"/>
    <n v="2"/>
    <x v="1"/>
    <s v="MAANYI"/>
    <s v="MITYANA"/>
    <s v="UG"/>
    <n v="1"/>
    <s v="Home"/>
    <s v="MENGO"/>
    <s v="KAMPALA"/>
    <s v="UG"/>
    <n v="7"/>
    <s v="Hospital"/>
    <x v="26"/>
    <n v="9500"/>
    <m/>
    <x v="4"/>
    <n v="2.5"/>
    <x v="1"/>
    <n v="7"/>
    <s v="Farmer"/>
    <n v="2"/>
    <x v="1"/>
    <n v="2"/>
    <n v="3"/>
    <n v="1"/>
    <n v="5"/>
    <n v="4"/>
    <s v="Y"/>
    <n v="3000"/>
    <x v="5"/>
  </r>
  <r>
    <s v="2019.10.24"/>
    <d v="1899-12-30T11:00:00"/>
    <m/>
    <s v="D"/>
    <n v="2"/>
    <s v="Road Vehicle"/>
    <n v="4"/>
    <x v="3"/>
    <x v="1"/>
    <n v="2"/>
    <x v="1"/>
    <s v="MIYANANA"/>
    <s v="MITYANA"/>
    <s v="UG"/>
    <n v="2"/>
    <s v="Work"/>
    <s v="TAXI PARK"/>
    <s v="KAMPALA"/>
    <s v="UG"/>
    <n v="2"/>
    <s v="Work"/>
    <x v="5"/>
    <n v="60000"/>
    <n v="50"/>
    <x v="1"/>
    <n v="2"/>
    <x v="1"/>
    <n v="2"/>
    <s v="Manual Labour"/>
    <n v="1"/>
    <x v="2"/>
    <n v="4"/>
    <n v="1"/>
    <n v="5"/>
    <n v="2"/>
    <n v="3"/>
    <s v="Y"/>
    <m/>
    <x v="0"/>
  </r>
  <r>
    <s v="2019.10.24"/>
    <d v="1899-12-30T11:19:00"/>
    <m/>
    <s v="P"/>
    <n v="2"/>
    <s v="Road Vehicle"/>
    <n v="4"/>
    <x v="3"/>
    <x v="1"/>
    <n v="2"/>
    <x v="1"/>
    <s v="IGANGA TOWN"/>
    <s v="IGANGA"/>
    <s v="UG"/>
    <n v="1"/>
    <s v="Home"/>
    <s v="MITYANA TOWN"/>
    <s v="MITYANA"/>
    <s v="UG"/>
    <n v="6"/>
    <s v="Leisure/Social"/>
    <x v="3"/>
    <n v="17000"/>
    <m/>
    <x v="4"/>
    <n v="5.5"/>
    <x v="0"/>
    <n v="7"/>
    <s v="Farmer"/>
    <n v="2"/>
    <x v="1"/>
    <n v="2"/>
    <n v="1"/>
    <n v="5"/>
    <n v="3"/>
    <n v="4"/>
    <s v="Y"/>
    <m/>
    <x v="0"/>
  </r>
  <r>
    <s v="2019.10.24"/>
    <d v="1899-12-30T11:27:00"/>
    <m/>
    <s v="P"/>
    <n v="2"/>
    <s v="Road Vehicle"/>
    <n v="4"/>
    <x v="3"/>
    <x v="1"/>
    <n v="2"/>
    <x v="1"/>
    <s v="BUYE KIVUMBI"/>
    <s v="MITYANA"/>
    <s v="UG"/>
    <n v="1"/>
    <s v="Home"/>
    <s v="MITYANA TOWN"/>
    <s v="MITYANA"/>
    <s v="UG"/>
    <n v="2"/>
    <s v="Work"/>
    <x v="8"/>
    <n v="1000"/>
    <n v="2"/>
    <x v="4"/>
    <n v="0.1"/>
    <x v="4"/>
    <n v="6"/>
    <s v="Businessman"/>
    <n v="1"/>
    <x v="2"/>
    <n v="2"/>
    <n v="1"/>
    <n v="5"/>
    <n v="3"/>
    <n v="4"/>
    <s v="Y"/>
    <m/>
    <x v="0"/>
  </r>
  <r>
    <s v="2019.10.24"/>
    <d v="1899-12-30T11:35:00"/>
    <m/>
    <s v="D"/>
    <n v="2"/>
    <s v="Road Vehicle"/>
    <n v="4"/>
    <x v="3"/>
    <x v="1"/>
    <n v="2"/>
    <x v="1"/>
    <s v="MITYANA TOWN"/>
    <s v="MITYANA"/>
    <s v="UG"/>
    <n v="2"/>
    <s v="Work"/>
    <s v="CITY CENTER"/>
    <s v="KAMPALA"/>
    <s v="UG"/>
    <n v="2"/>
    <s v="Work"/>
    <x v="5"/>
    <n v="60000"/>
    <n v="60"/>
    <x v="1"/>
    <n v="0.75"/>
    <x v="3"/>
    <n v="2"/>
    <s v="Manual Labour"/>
    <n v="1"/>
    <x v="2"/>
    <n v="1"/>
    <n v="3"/>
    <n v="5"/>
    <n v="2"/>
    <n v="4"/>
    <s v="Y"/>
    <m/>
    <x v="0"/>
  </r>
  <r>
    <s v="2019.10.24"/>
    <d v="1899-12-30T11:42:00"/>
    <m/>
    <s v="P"/>
    <n v="1"/>
    <s v="Walking/Cycling"/>
    <n v="4"/>
    <x v="3"/>
    <x v="1"/>
    <n v="2"/>
    <x v="1"/>
    <s v="BUKOMA"/>
    <s v="MITYANA"/>
    <s v="UG"/>
    <n v="1"/>
    <s v="Home"/>
    <s v="TOWN"/>
    <s v="MITYANA"/>
    <s v="UG"/>
    <n v="2"/>
    <s v="Work"/>
    <x v="8"/>
    <n v="2000"/>
    <n v="1"/>
    <x v="4"/>
    <n v="3"/>
    <x v="1"/>
    <n v="2"/>
    <s v="Manual Labour"/>
    <n v="1"/>
    <x v="2"/>
    <n v="1"/>
    <n v="4"/>
    <n v="5"/>
    <n v="2"/>
    <n v="3"/>
    <s v="Y"/>
    <n v="500"/>
    <x v="0"/>
  </r>
  <r>
    <s v="2019.10.24"/>
    <d v="1899-12-30T00:12:00"/>
    <m/>
    <s v="P"/>
    <n v="2"/>
    <s v="Road Vehicle"/>
    <n v="4"/>
    <x v="3"/>
    <x v="1"/>
    <n v="2"/>
    <x v="1"/>
    <s v="NTANDA"/>
    <s v="MITYANA"/>
    <s v="UG"/>
    <n v="1"/>
    <s v="Home"/>
    <s v="MITYANA TOWN"/>
    <s v="MITYANA"/>
    <s v="UG"/>
    <n v="2"/>
    <s v="Work"/>
    <x v="8"/>
    <n v="2000"/>
    <n v="2"/>
    <x v="4"/>
    <n v="0.1"/>
    <x v="4"/>
    <n v="2"/>
    <s v="Manual Labour"/>
    <n v="1"/>
    <x v="2"/>
    <n v="2"/>
    <n v="1"/>
    <n v="4"/>
    <n v="3"/>
    <n v="5"/>
    <s v="Y"/>
    <m/>
    <x v="0"/>
  </r>
  <r>
    <s v="2019.10.24"/>
    <d v="1899-12-30T00:38:00"/>
    <m/>
    <s v="P"/>
    <n v="2"/>
    <s v="Road Vehicle"/>
    <n v="4"/>
    <x v="3"/>
    <x v="1"/>
    <n v="2"/>
    <x v="1"/>
    <s v="TAMU"/>
    <s v="MITYANA"/>
    <s v="UG"/>
    <n v="1"/>
    <s v="Home"/>
    <s v="MITYANA TOWN"/>
    <s v="MITYANA"/>
    <s v="UG"/>
    <n v="2"/>
    <s v="Work"/>
    <x v="8"/>
    <n v="1000"/>
    <n v="0.5"/>
    <x v="4"/>
    <n v="2"/>
    <x v="1"/>
    <n v="2"/>
    <s v="Manual Labour"/>
    <n v="1"/>
    <x v="2"/>
    <n v="1"/>
    <n v="5"/>
    <n v="4"/>
    <n v="2"/>
    <n v="3"/>
    <s v="Y"/>
    <m/>
    <x v="0"/>
  </r>
  <r>
    <s v="2019.10.24"/>
    <d v="1899-12-30T00:45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0000"/>
    <n v="33"/>
    <x v="5"/>
    <n v="2"/>
    <x v="1"/>
    <n v="2"/>
    <s v="Manual Labour"/>
    <n v="1"/>
    <x v="2"/>
    <n v="2"/>
    <n v="3"/>
    <n v="4"/>
    <n v="1"/>
    <n v="5"/>
    <s v="Y"/>
    <m/>
    <x v="0"/>
  </r>
  <r>
    <s v="2019.10.24"/>
    <d v="1899-12-30T00:53:00"/>
    <m/>
    <s v="P"/>
    <n v="2"/>
    <s v="Road Vehicle"/>
    <n v="4"/>
    <x v="3"/>
    <x v="1"/>
    <n v="2"/>
    <x v="1"/>
    <s v="KANYANYA"/>
    <s v="WAKISO"/>
    <s v="UG"/>
    <n v="1"/>
    <s v="Home"/>
    <s v="BUWALULA"/>
    <s v="MITYANA"/>
    <s v="UG"/>
    <n v="4"/>
    <s v="Commercial"/>
    <x v="12"/>
    <n v="8000"/>
    <n v="40"/>
    <x v="1"/>
    <n v="2"/>
    <x v="1"/>
    <n v="2"/>
    <s v="Manual Labour"/>
    <n v="1"/>
    <x v="2"/>
    <n v="3"/>
    <n v="1"/>
    <n v="5"/>
    <n v="2"/>
    <n v="4"/>
    <s v="Y"/>
    <n v="1000"/>
    <x v="1"/>
  </r>
  <r>
    <s v="2019.10.24"/>
    <d v="1899-12-30T13:02:00"/>
    <m/>
    <s v="P"/>
    <n v="2"/>
    <s v="Road Vehicle"/>
    <n v="4"/>
    <x v="3"/>
    <x v="1"/>
    <n v="2"/>
    <x v="1"/>
    <s v="BULENGA"/>
    <s v="WAKISO"/>
    <s v="UG"/>
    <n v="1"/>
    <s v="Home"/>
    <s v="MPENJA"/>
    <s v="MITYANA"/>
    <s v="UG"/>
    <n v="4"/>
    <s v="Commercial"/>
    <x v="12"/>
    <n v="15000"/>
    <n v="70"/>
    <x v="0"/>
    <n v="3"/>
    <x v="1"/>
    <n v="6"/>
    <s v="Businessman"/>
    <n v="2"/>
    <x v="1"/>
    <n v="2"/>
    <n v="3"/>
    <n v="4"/>
    <n v="5"/>
    <n v="1"/>
    <s v="Y"/>
    <n v="1000"/>
    <x v="1"/>
  </r>
  <r>
    <s v="2019.10.24"/>
    <d v="1899-12-30T13:12:00"/>
    <m/>
    <s v="P"/>
    <n v="2"/>
    <s v="Road Vehicle"/>
    <n v="4"/>
    <x v="3"/>
    <x v="1"/>
    <n v="2"/>
    <x v="1"/>
    <s v="KIWAWU"/>
    <s v="MITYANA"/>
    <s v="UG"/>
    <n v="4"/>
    <s v="Commercial"/>
    <s v="BUSUBIZI"/>
    <s v="MITYANA"/>
    <s v="UG"/>
    <n v="4"/>
    <s v="Commercial"/>
    <x v="13"/>
    <n v="10000"/>
    <m/>
    <x v="4"/>
    <n v="1.5"/>
    <x v="2"/>
    <n v="2"/>
    <s v="Manual Labour"/>
    <n v="1"/>
    <x v="2"/>
    <n v="1"/>
    <n v="2"/>
    <n v="3"/>
    <n v="4"/>
    <n v="5"/>
    <s v="Y"/>
    <n v="1000"/>
    <x v="1"/>
  </r>
  <r>
    <s v="2019.10.24"/>
    <d v="1899-12-30T13:21:00"/>
    <m/>
    <s v="P"/>
    <n v="2"/>
    <s v="Road Vehicle"/>
    <n v="4"/>
    <x v="3"/>
    <x v="1"/>
    <n v="2"/>
    <x v="1"/>
    <s v="MITYANA TOWN"/>
    <s v="MITYANA"/>
    <s v="UG"/>
    <n v="1"/>
    <s v="Home"/>
    <s v="BUTAYUNGA"/>
    <s v="MITYANA"/>
    <s v="UG"/>
    <n v="4"/>
    <s v="Commercial"/>
    <x v="12"/>
    <n v="17000"/>
    <n v="80"/>
    <x v="0"/>
    <n v="4"/>
    <x v="0"/>
    <n v="6"/>
    <s v="Businessman"/>
    <n v="2"/>
    <x v="1"/>
    <n v="3"/>
    <n v="2"/>
    <n v="4"/>
    <n v="1"/>
    <n v="5"/>
    <s v="Y"/>
    <m/>
    <x v="0"/>
  </r>
  <r>
    <s v="2019.10.24"/>
    <d v="1899-12-30T14:25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50000"/>
    <n v="70"/>
    <x v="0"/>
    <n v="2"/>
    <x v="1"/>
    <n v="2"/>
    <s v="Manual Labour"/>
    <n v="1"/>
    <x v="2"/>
    <n v="2"/>
    <n v="1"/>
    <n v="5"/>
    <n v="3"/>
    <n v="4"/>
    <s v="Y"/>
    <m/>
    <x v="0"/>
  </r>
  <r>
    <s v="2019.10.24"/>
    <d v="1899-12-30T14:33:00"/>
    <m/>
    <s v="P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50000"/>
    <n v="70"/>
    <x v="0"/>
    <n v="2.5"/>
    <x v="1"/>
    <n v="2"/>
    <s v="Manual Labour"/>
    <n v="1"/>
    <x v="2"/>
    <n v="1"/>
    <n v="2"/>
    <n v="3"/>
    <n v="4"/>
    <n v="5"/>
    <s v="Y"/>
    <n v="1000"/>
    <x v="1"/>
  </r>
  <r>
    <s v="2019.10.24"/>
    <d v="1899-12-30T14:47:00"/>
    <m/>
    <s v="P"/>
    <n v="2"/>
    <s v="Road Vehicle"/>
    <n v="4"/>
    <x v="3"/>
    <x v="1"/>
    <n v="2"/>
    <x v="1"/>
    <s v="BUTAYUNGA"/>
    <s v="MITYANA"/>
    <s v="UG"/>
    <n v="1"/>
    <s v="Home"/>
    <s v="MUDUMA"/>
    <s v="MPIGI"/>
    <s v="UG"/>
    <n v="4"/>
    <s v="Commercial"/>
    <x v="12"/>
    <n v="15000"/>
    <n v="65"/>
    <x v="1"/>
    <n v="2.5"/>
    <x v="1"/>
    <n v="6"/>
    <s v="Businessman"/>
    <n v="2"/>
    <x v="1"/>
    <n v="2"/>
    <n v="3"/>
    <n v="5"/>
    <n v="1"/>
    <n v="4"/>
    <s v="Y"/>
    <m/>
    <x v="0"/>
  </r>
  <r>
    <s v="2019.10.24"/>
    <d v="1899-12-30T14:52:00"/>
    <m/>
    <s v="P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0000"/>
    <n v="62"/>
    <x v="1"/>
    <n v="2"/>
    <x v="1"/>
    <n v="2"/>
    <s v="Manual Labour"/>
    <n v="1"/>
    <x v="2"/>
    <n v="1"/>
    <n v="3"/>
    <n v="4"/>
    <n v="2"/>
    <n v="5"/>
    <s v="Y"/>
    <m/>
    <x v="0"/>
  </r>
  <r>
    <s v="2019.10.24"/>
    <d v="1899-12-30T14:58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0000"/>
    <n v="60"/>
    <x v="1"/>
    <n v="2"/>
    <x v="1"/>
    <n v="2"/>
    <s v="Manual Labour"/>
    <n v="1"/>
    <x v="2"/>
    <n v="3"/>
    <n v="2"/>
    <n v="5"/>
    <n v="1"/>
    <n v="4"/>
    <s v="Y"/>
    <n v="1000"/>
    <x v="1"/>
  </r>
  <r>
    <s v="2019.10.24"/>
    <d v="1899-12-30T15:01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55000"/>
    <n v="60"/>
    <x v="1"/>
    <n v="2"/>
    <x v="1"/>
    <n v="2"/>
    <s v="Manual Labour"/>
    <n v="1"/>
    <x v="2"/>
    <n v="1"/>
    <n v="2"/>
    <n v="3"/>
    <n v="4"/>
    <n v="5"/>
    <s v="Y"/>
    <n v="2000"/>
    <x v="4"/>
  </r>
  <r>
    <s v="2019.10.24"/>
    <d v="1899-12-30T15:08:00"/>
    <m/>
    <s v="D"/>
    <n v="2"/>
    <s v="Road Vehicle"/>
    <n v="4"/>
    <x v="3"/>
    <x v="1"/>
    <n v="2"/>
    <x v="1"/>
    <s v="GOMBA"/>
    <s v="KANONI"/>
    <s v="UG"/>
    <n v="2"/>
    <s v="Work"/>
    <s v="TAXI PARK"/>
    <s v="MITYANA"/>
    <s v="UG"/>
    <n v="2"/>
    <s v="Work"/>
    <x v="5"/>
    <n v="80000"/>
    <n v="120"/>
    <x v="2"/>
    <n v="3"/>
    <x v="1"/>
    <n v="2"/>
    <s v="Manual Labour"/>
    <n v="1"/>
    <x v="2"/>
    <n v="2"/>
    <n v="3"/>
    <n v="4"/>
    <n v="5"/>
    <n v="1"/>
    <s v="Y"/>
    <n v="1000"/>
    <x v="1"/>
  </r>
  <r>
    <s v="2019.10.24"/>
    <d v="1899-12-30T15:10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0000"/>
    <n v="55"/>
    <x v="1"/>
    <n v="2"/>
    <x v="1"/>
    <n v="2"/>
    <s v="Manual Labour"/>
    <n v="1"/>
    <x v="2"/>
    <n v="1"/>
    <n v="2"/>
    <n v="3"/>
    <n v="4"/>
    <n v="5"/>
    <s v="Y"/>
    <m/>
    <x v="0"/>
  </r>
  <r>
    <s v="2019.10.24"/>
    <d v="1899-12-30T15:16:00"/>
    <m/>
    <s v="P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50000"/>
    <n v="61"/>
    <x v="1"/>
    <n v="2"/>
    <x v="1"/>
    <n v="2"/>
    <s v="Manual Labour"/>
    <n v="1"/>
    <x v="2"/>
    <n v="5"/>
    <n v="1"/>
    <n v="3"/>
    <n v="2"/>
    <n v="4"/>
    <s v="Y"/>
    <m/>
    <x v="0"/>
  </r>
  <r>
    <s v="2019.10.24"/>
    <d v="1899-12-30T15:23:00"/>
    <m/>
    <s v="P"/>
    <n v="2"/>
    <s v="Road Vehicle"/>
    <n v="4"/>
    <x v="3"/>
    <x v="1"/>
    <n v="2"/>
    <x v="1"/>
    <s v="TAXI PARK"/>
    <s v="MITYANA"/>
    <s v="UG"/>
    <n v="2"/>
    <s v="Work"/>
    <s v="BUSEGA"/>
    <s v="WAKISO"/>
    <s v="UG"/>
    <n v="2"/>
    <s v="Work"/>
    <x v="5"/>
    <n v="45000"/>
    <n v="47"/>
    <x v="1"/>
    <n v="1"/>
    <x v="2"/>
    <n v="2"/>
    <s v="Manual Labour"/>
    <n v="1"/>
    <x v="2"/>
    <n v="2"/>
    <n v="1"/>
    <n v="4"/>
    <n v="3"/>
    <n v="5"/>
    <s v="Y"/>
    <n v="1000"/>
    <x v="1"/>
  </r>
  <r>
    <s v="2019.10.24"/>
    <d v="1899-12-30T15:27:00"/>
    <m/>
    <s v="P"/>
    <n v="2"/>
    <s v="Road Vehicle"/>
    <n v="4"/>
    <x v="3"/>
    <x v="1"/>
    <n v="2"/>
    <x v="1"/>
    <s v="TAXI PARK"/>
    <s v="MITYANA"/>
    <s v="UG"/>
    <n v="2"/>
    <s v="Work"/>
    <s v="TAXI PARK"/>
    <s v="MITYANA"/>
    <s v="UG"/>
    <n v="2"/>
    <s v="Work"/>
    <x v="5"/>
    <n v="60000"/>
    <n v="60"/>
    <x v="1"/>
    <n v="2"/>
    <x v="1"/>
    <n v="2"/>
    <s v="Manual Labour"/>
    <n v="1"/>
    <x v="2"/>
    <n v="1"/>
    <n v="2"/>
    <n v="3"/>
    <n v="4"/>
    <n v="5"/>
    <s v="Y"/>
    <n v="1000"/>
    <x v="1"/>
  </r>
  <r>
    <s v="2019.10.24"/>
    <d v="1899-12-30T15:50:00"/>
    <m/>
    <s v="P"/>
    <n v="2"/>
    <s v="Road Vehicle"/>
    <n v="4"/>
    <x v="3"/>
    <x v="1"/>
    <n v="2"/>
    <x v="1"/>
    <s v="WABIYINJA"/>
    <s v="MITYANA"/>
    <s v="UG"/>
    <n v="2"/>
    <s v="Work"/>
    <s v="BULENGA"/>
    <s v="WAKISO"/>
    <s v="UG"/>
    <n v="2"/>
    <s v="Work"/>
    <x v="5"/>
    <n v="12000"/>
    <n v="80"/>
    <x v="0"/>
    <n v="3"/>
    <x v="1"/>
    <n v="2"/>
    <s v="Manual Labour"/>
    <n v="1"/>
    <x v="2"/>
    <n v="3"/>
    <n v="4"/>
    <n v="2"/>
    <n v="1"/>
    <n v="5"/>
    <s v="Y"/>
    <m/>
    <x v="0"/>
  </r>
  <r>
    <s v="2019.10.24"/>
    <d v="1899-12-30T16:00:00"/>
    <m/>
    <s v="D"/>
    <n v="2"/>
    <s v="Road Vehicle"/>
    <n v="4"/>
    <x v="3"/>
    <x v="1"/>
    <n v="2"/>
    <x v="1"/>
    <s v="TAXI PARK"/>
    <s v="MITYANA"/>
    <s v="UG"/>
    <n v="2"/>
    <s v="Work"/>
    <s v="KAKINDU"/>
    <s v="MITYANA"/>
    <s v="UG"/>
    <n v="2"/>
    <s v="Work"/>
    <x v="5"/>
    <n v="60000"/>
    <m/>
    <x v="4"/>
    <n v="2"/>
    <x v="1"/>
    <n v="2"/>
    <s v="Manual Labour"/>
    <n v="1"/>
    <x v="2"/>
    <n v="2"/>
    <n v="3"/>
    <n v="5"/>
    <n v="4"/>
    <n v="1"/>
    <s v="Y"/>
    <m/>
    <x v="0"/>
  </r>
  <r>
    <s v="2019.10.24"/>
    <d v="1899-12-30T16:05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0000"/>
    <n v="65"/>
    <x v="1"/>
    <n v="1.5"/>
    <x v="2"/>
    <n v="2"/>
    <s v="Manual Labour"/>
    <n v="1"/>
    <x v="2"/>
    <n v="3"/>
    <n v="2"/>
    <n v="5"/>
    <n v="4"/>
    <n v="1"/>
    <s v="Y"/>
    <m/>
    <x v="0"/>
  </r>
  <r>
    <s v="2019.10.24"/>
    <d v="1899-12-30T16:20:00"/>
    <m/>
    <s v="P"/>
    <n v="2"/>
    <s v="Road Vehicle"/>
    <n v="4"/>
    <x v="3"/>
    <x v="1"/>
    <n v="2"/>
    <x v="1"/>
    <s v="KIYINDA"/>
    <s v="MITYANA"/>
    <s v="UG"/>
    <n v="1"/>
    <s v="Home"/>
    <s v="TAXI PARK"/>
    <s v="MITYANA"/>
    <s v="UG"/>
    <n v="4"/>
    <s v="Commercial"/>
    <x v="12"/>
    <n v="3000"/>
    <n v="4"/>
    <x v="4"/>
    <n v="0.1"/>
    <x v="4"/>
    <n v="1"/>
    <s v="Unemployed"/>
    <n v="2"/>
    <x v="1"/>
    <n v="3"/>
    <n v="2"/>
    <n v="5"/>
    <n v="1"/>
    <n v="4"/>
    <s v="Y"/>
    <n v="2000"/>
    <x v="4"/>
  </r>
  <r>
    <s v="2019.10.25"/>
    <d v="1899-12-30T14:32:00"/>
    <m/>
    <s v="P"/>
    <n v="1"/>
    <s v="Walking/Cycling"/>
    <n v="4"/>
    <x v="3"/>
    <x v="1"/>
    <n v="2"/>
    <x v="1"/>
    <s v="SEKANYONYI"/>
    <s v="MITYANA"/>
    <s v="UG"/>
    <n v="1"/>
    <s v="Home"/>
    <s v="TAXI PARK"/>
    <s v="MITYANA"/>
    <s v="UG"/>
    <n v="4"/>
    <s v="Commercial"/>
    <x v="12"/>
    <n v="10000"/>
    <m/>
    <x v="4"/>
    <n v="1"/>
    <x v="2"/>
    <n v="6"/>
    <s v="Businessman"/>
    <n v="2"/>
    <x v="1"/>
    <n v="1"/>
    <n v="2"/>
    <n v="4"/>
    <n v="3"/>
    <n v="5"/>
    <s v="Y"/>
    <n v="1000"/>
    <x v="1"/>
  </r>
  <r>
    <s v="2019.10.25"/>
    <d v="1899-12-30T14:40:00"/>
    <m/>
    <s v="P"/>
    <n v="1"/>
    <s v="Walking/Cycling"/>
    <n v="4"/>
    <x v="3"/>
    <x v="1"/>
    <n v="2"/>
    <x v="1"/>
    <s v="NAMUTAMBA"/>
    <s v="MITYANA"/>
    <s v="UG"/>
    <n v="1"/>
    <s v="Home"/>
    <s v="TAXI PARK"/>
    <s v="MITYANA"/>
    <s v="UG"/>
    <n v="4"/>
    <s v="Commercial"/>
    <x v="12"/>
    <n v="3000"/>
    <n v="30"/>
    <x v="5"/>
    <n v="0.2"/>
    <x v="4"/>
    <n v="6"/>
    <s v="Businessman"/>
    <n v="2"/>
    <x v="1"/>
    <n v="2"/>
    <n v="1"/>
    <n v="5"/>
    <n v="3"/>
    <n v="4"/>
    <s v="Y"/>
    <n v="1000"/>
    <x v="1"/>
  </r>
  <r>
    <s v="2019.10.25"/>
    <d v="1899-12-30T15:20:00"/>
    <m/>
    <s v="P"/>
    <n v="2"/>
    <s v="Road Vehicle"/>
    <n v="4"/>
    <x v="3"/>
    <x v="1"/>
    <n v="2"/>
    <x v="1"/>
    <s v="BUSUJJU"/>
    <s v="MITYANA"/>
    <s v="UG"/>
    <n v="1"/>
    <s v="Home"/>
    <s v="WABIGALO"/>
    <s v="MITYANA"/>
    <s v="UG"/>
    <n v="4"/>
    <s v="Commercial"/>
    <x v="12"/>
    <n v="9000"/>
    <m/>
    <x v="4"/>
    <n v="1"/>
    <x v="2"/>
    <n v="5"/>
    <s v="Professional"/>
    <n v="2"/>
    <x v="1"/>
    <n v="2"/>
    <n v="1"/>
    <n v="5"/>
    <n v="3"/>
    <n v="4"/>
    <s v="Y"/>
    <n v="500"/>
    <x v="0"/>
  </r>
  <r>
    <s v="2019.10.25"/>
    <d v="1899-12-30T15:40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50000"/>
    <n v="48"/>
    <x v="1"/>
    <n v="0.9"/>
    <x v="3"/>
    <n v="2"/>
    <s v="Manual Labour"/>
    <n v="1"/>
    <x v="2"/>
    <n v="3"/>
    <n v="4"/>
    <n v="2"/>
    <n v="1"/>
    <n v="5"/>
    <s v="Y"/>
    <n v="1000"/>
    <x v="1"/>
  </r>
  <r>
    <s v="2019.10.25"/>
    <d v="1899-12-30T15:50:00"/>
    <m/>
    <s v="P"/>
    <n v="2"/>
    <s v="Road Vehicle"/>
    <n v="4"/>
    <x v="3"/>
    <x v="1"/>
    <n v="2"/>
    <x v="1"/>
    <s v="TAXI PARK"/>
    <s v="MITYANA"/>
    <s v="UG"/>
    <n v="2"/>
    <s v="Work"/>
    <s v="NATEETE"/>
    <s v="KAMPALA"/>
    <s v="UG"/>
    <n v="2"/>
    <s v="Work"/>
    <x v="5"/>
    <n v="50000"/>
    <n v="58"/>
    <x v="1"/>
    <n v="0.9"/>
    <x v="3"/>
    <n v="2"/>
    <s v="Manual Labour"/>
    <n v="1"/>
    <x v="2"/>
    <n v="2"/>
    <n v="3"/>
    <n v="4"/>
    <n v="5"/>
    <n v="1"/>
    <s v="Y"/>
    <n v="1000"/>
    <x v="1"/>
  </r>
  <r>
    <s v="2019.10.25"/>
    <d v="1899-12-30T15:55:00"/>
    <m/>
    <s v="P"/>
    <n v="2"/>
    <s v="Road Vehicle"/>
    <n v="4"/>
    <x v="3"/>
    <x v="1"/>
    <n v="2"/>
    <x v="1"/>
    <s v="BULEELA"/>
    <s v="MITYANA"/>
    <s v="UG"/>
    <n v="1"/>
    <s v="Home"/>
    <s v="TAXI PARK"/>
    <s v="KAMPALA"/>
    <s v="UG"/>
    <n v="2"/>
    <s v="Work"/>
    <x v="8"/>
    <n v="3000"/>
    <n v="28"/>
    <x v="5"/>
    <n v="0.2"/>
    <x v="4"/>
    <n v="2"/>
    <s v="Manual Labour"/>
    <n v="1"/>
    <x v="2"/>
    <n v="2"/>
    <n v="3"/>
    <n v="4"/>
    <n v="1"/>
    <n v="5"/>
    <s v="Y"/>
    <m/>
    <x v="0"/>
  </r>
  <r>
    <s v="2019.10.25"/>
    <d v="1899-12-30T16:05:00"/>
    <m/>
    <s v="P"/>
    <n v="1"/>
    <s v="Walking/Cycling"/>
    <n v="4"/>
    <x v="3"/>
    <x v="1"/>
    <n v="2"/>
    <x v="1"/>
    <s v="SEKANYONYI"/>
    <s v="GOMBA"/>
    <s v="UG"/>
    <n v="1"/>
    <s v="Home"/>
    <s v="TAXI PARK"/>
    <s v="MITYANA"/>
    <s v="UG"/>
    <n v="4"/>
    <s v="Commercial"/>
    <x v="12"/>
    <n v="8000"/>
    <n v="32"/>
    <x v="5"/>
    <n v="0.5"/>
    <x v="3"/>
    <n v="6"/>
    <s v="Businessman"/>
    <n v="2"/>
    <x v="1"/>
    <n v="1"/>
    <n v="3"/>
    <n v="4"/>
    <n v="2"/>
    <n v="5"/>
    <s v="Y"/>
    <n v="2000"/>
    <x v="4"/>
  </r>
  <r>
    <s v="2019.10.25"/>
    <d v="1899-12-30T16:22:00"/>
    <m/>
    <s v="D"/>
    <n v="2"/>
    <s v="Road Vehicle"/>
    <n v="4"/>
    <x v="3"/>
    <x v="1"/>
    <n v="2"/>
    <x v="1"/>
    <s v="TAXI PARK"/>
    <s v="MITYANA"/>
    <s v="UG"/>
    <n v="2"/>
    <s v="Work"/>
    <s v="BUSEGA"/>
    <s v="KAMPALA"/>
    <s v="UG"/>
    <n v="2"/>
    <s v="Work"/>
    <x v="5"/>
    <n v="70000"/>
    <n v="65"/>
    <x v="1"/>
    <m/>
    <x v="4"/>
    <n v="2"/>
    <s v="Manual Labour"/>
    <n v="1"/>
    <x v="2"/>
    <n v="3"/>
    <n v="4"/>
    <n v="5"/>
    <n v="1"/>
    <n v="2"/>
    <s v="Y"/>
    <n v="1000"/>
    <x v="1"/>
  </r>
  <r>
    <s v="2019.10.25"/>
    <d v="1899-12-30T16:44:00"/>
    <m/>
    <s v="D"/>
    <n v="2"/>
    <s v="Road Vehicle"/>
    <n v="4"/>
    <x v="3"/>
    <x v="1"/>
    <n v="2"/>
    <x v="1"/>
    <s v="TAXI PARK"/>
    <s v="MITYANA"/>
    <s v="UG"/>
    <n v="2"/>
    <s v="Work"/>
    <s v="BWAISE"/>
    <s v="KAMPALA"/>
    <s v="UG"/>
    <n v="2"/>
    <s v="Work"/>
    <x v="5"/>
    <n v="60000"/>
    <n v="63"/>
    <x v="1"/>
    <n v="1"/>
    <x v="2"/>
    <n v="2"/>
    <s v="Manual Labour"/>
    <n v="1"/>
    <x v="2"/>
    <n v="2"/>
    <n v="3"/>
    <n v="4"/>
    <n v="1"/>
    <n v="5"/>
    <s v="Y"/>
    <n v="1000"/>
    <x v="1"/>
  </r>
  <r>
    <s v="2019.10.25"/>
    <d v="1899-12-30T16:49:00"/>
    <m/>
    <s v="D"/>
    <n v="2"/>
    <s v="Road Vehicle"/>
    <n v="4"/>
    <x v="3"/>
    <x v="1"/>
    <n v="2"/>
    <x v="1"/>
    <s v="TAXI PARK"/>
    <s v="MITYANA"/>
    <s v="UG"/>
    <n v="2"/>
    <s v="Work"/>
    <s v="KALERWE"/>
    <s v="KAMPALA"/>
    <s v="UG"/>
    <n v="2"/>
    <s v="Work"/>
    <x v="5"/>
    <n v="65000"/>
    <n v="65"/>
    <x v="1"/>
    <n v="1.5"/>
    <x v="2"/>
    <n v="2"/>
    <s v="Manual Labour"/>
    <n v="1"/>
    <x v="2"/>
    <n v="3"/>
    <n v="2"/>
    <n v="5"/>
    <n v="4"/>
    <n v="1"/>
    <s v="Y"/>
    <m/>
    <x v="0"/>
  </r>
  <r>
    <s v="2019.10.25"/>
    <d v="1899-12-30T16:52:00"/>
    <m/>
    <s v="D"/>
    <n v="2"/>
    <s v="Road Vehicle"/>
    <n v="4"/>
    <x v="3"/>
    <x v="1"/>
    <n v="2"/>
    <x v="1"/>
    <s v="TAXI PARK"/>
    <s v="MITYANA"/>
    <s v="UG"/>
    <n v="2"/>
    <s v="Work"/>
    <s v="BUSEGA"/>
    <s v="KAMPALA"/>
    <s v="UG"/>
    <n v="2"/>
    <s v="Work"/>
    <x v="5"/>
    <n v="50000"/>
    <n v="65"/>
    <x v="1"/>
    <n v="1"/>
    <x v="2"/>
    <n v="2"/>
    <s v="Manual Labour"/>
    <n v="1"/>
    <x v="2"/>
    <n v="2"/>
    <n v="3"/>
    <n v="4"/>
    <n v="5"/>
    <n v="1"/>
    <s v="Y"/>
    <m/>
    <x v="0"/>
  </r>
  <r>
    <s v="2019.10.25"/>
    <d v="1899-12-30T17:08:00"/>
    <m/>
    <s v="D"/>
    <n v="2"/>
    <s v="Road Vehicle"/>
    <n v="4"/>
    <x v="3"/>
    <x v="1"/>
    <n v="2"/>
    <x v="1"/>
    <s v="TAXI PARK"/>
    <s v="MITYANA"/>
    <s v="UG"/>
    <n v="2"/>
    <s v="Work"/>
    <s v="LUBIGI"/>
    <s v="WAKISO"/>
    <s v="UG"/>
    <n v="2"/>
    <s v="Work"/>
    <x v="5"/>
    <n v="50000"/>
    <n v="63"/>
    <x v="1"/>
    <n v="1.5"/>
    <x v="2"/>
    <n v="2"/>
    <s v="Manual Labour"/>
    <n v="1"/>
    <x v="2"/>
    <n v="3"/>
    <n v="2"/>
    <n v="4"/>
    <n v="1"/>
    <n v="5"/>
    <s v="Y"/>
    <m/>
    <x v="0"/>
  </r>
  <r>
    <s v="2019.10.25"/>
    <d v="1899-12-30T17:12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0000"/>
    <n v="67"/>
    <x v="1"/>
    <n v="1.5"/>
    <x v="2"/>
    <n v="2"/>
    <s v="Manual Labour"/>
    <n v="1"/>
    <x v="2"/>
    <n v="1"/>
    <n v="2"/>
    <n v="3"/>
    <n v="4"/>
    <n v="5"/>
    <s v="Y"/>
    <m/>
    <x v="0"/>
  </r>
  <r>
    <s v="2019.10.25"/>
    <d v="1899-12-30T17:20:00"/>
    <m/>
    <s v="D"/>
    <n v="2"/>
    <s v="Road Vehicle"/>
    <n v="4"/>
    <x v="3"/>
    <x v="1"/>
    <n v="2"/>
    <x v="1"/>
    <s v="TAXI PARK"/>
    <s v="MITYANA"/>
    <s v="UG"/>
    <n v="2"/>
    <s v="Work"/>
    <s v="KALERWE"/>
    <s v="KAMPALA"/>
    <s v="UG"/>
    <n v="2"/>
    <s v="Work"/>
    <x v="5"/>
    <n v="50000"/>
    <n v="62"/>
    <x v="1"/>
    <n v="1"/>
    <x v="2"/>
    <n v="2"/>
    <s v="Manual Labour"/>
    <n v="1"/>
    <x v="2"/>
    <n v="1"/>
    <n v="2"/>
    <n v="5"/>
    <n v="4"/>
    <n v="3"/>
    <s v="Y"/>
    <m/>
    <x v="0"/>
  </r>
  <r>
    <s v="2019.10.25"/>
    <d v="1899-12-30T17:27:00"/>
    <m/>
    <s v="P"/>
    <n v="1"/>
    <s v="Walking/Cycling"/>
    <n v="4"/>
    <x v="3"/>
    <x v="1"/>
    <n v="2"/>
    <x v="1"/>
    <s v="KYENYANJA"/>
    <s v="MITYANA"/>
    <s v="UG"/>
    <n v="1"/>
    <s v="Home"/>
    <s v="NANSANA"/>
    <s v="WAKISO"/>
    <s v="UG"/>
    <n v="4"/>
    <s v="Commercial"/>
    <x v="12"/>
    <n v="6000"/>
    <m/>
    <x v="4"/>
    <n v="1.5"/>
    <x v="2"/>
    <n v="2"/>
    <s v="Manual Labour"/>
    <n v="1"/>
    <x v="2"/>
    <n v="1"/>
    <n v="2"/>
    <n v="5"/>
    <n v="4"/>
    <n v="3"/>
    <s v="Y"/>
    <m/>
    <x v="0"/>
  </r>
  <r>
    <s v="2019.10.25"/>
    <d v="1899-12-30T17:32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5000"/>
    <n v="63"/>
    <x v="1"/>
    <n v="1.3"/>
    <x v="2"/>
    <n v="2"/>
    <s v="Manual Labour"/>
    <n v="1"/>
    <x v="2"/>
    <n v="3"/>
    <n v="1"/>
    <n v="4"/>
    <n v="2"/>
    <n v="5"/>
    <s v="Y"/>
    <m/>
    <x v="0"/>
  </r>
  <r>
    <s v="2019.10.26"/>
    <d v="1899-12-30T14:59:00"/>
    <m/>
    <s v="P"/>
    <n v="2"/>
    <s v="Road Vehicle"/>
    <n v="4"/>
    <x v="3"/>
    <x v="1"/>
    <n v="2"/>
    <x v="1"/>
    <s v="BULENGA"/>
    <s v="MITYANA"/>
    <s v="UG"/>
    <n v="1"/>
    <s v="Home"/>
    <s v="KIKAYA"/>
    <s v="MITYANA"/>
    <s v="UG"/>
    <n v="2"/>
    <s v="Work"/>
    <x v="8"/>
    <n v="4000"/>
    <m/>
    <x v="4"/>
    <n v="0.5"/>
    <x v="3"/>
    <n v="1"/>
    <s v="Unemployed"/>
    <n v="1"/>
    <x v="2"/>
    <n v="3"/>
    <n v="1"/>
    <n v="2"/>
    <n v="5"/>
    <n v="4"/>
    <s v="Y"/>
    <n v="1000"/>
    <x v="1"/>
  </r>
  <r>
    <s v="2019.10.26"/>
    <d v="1899-12-30T12:31:00"/>
    <m/>
    <s v="P"/>
    <n v="2"/>
    <s v="Road Vehicle"/>
    <n v="4"/>
    <x v="3"/>
    <x v="1"/>
    <n v="2"/>
    <x v="1"/>
    <s v="BUSIMBI"/>
    <s v="MITYANA"/>
    <s v="UG"/>
    <n v="2"/>
    <s v="Work"/>
    <s v="KYENGERA"/>
    <s v="MITYANA"/>
    <s v="UG"/>
    <n v="1"/>
    <s v="Home"/>
    <x v="1"/>
    <n v="4000"/>
    <m/>
    <x v="4"/>
    <n v="0.7"/>
    <x v="3"/>
    <n v="2"/>
    <s v="Manual Labour"/>
    <n v="1"/>
    <x v="2"/>
    <n v="4"/>
    <n v="2"/>
    <n v="3"/>
    <n v="1"/>
    <n v="5"/>
    <s v="Y"/>
    <m/>
    <x v="0"/>
  </r>
  <r>
    <s v="2019.10.26"/>
    <d v="1899-12-30T16:44:00"/>
    <m/>
    <s v="P"/>
    <n v="2"/>
    <s v="Road Vehicle"/>
    <n v="4"/>
    <x v="3"/>
    <x v="1"/>
    <n v="2"/>
    <x v="1"/>
    <s v="SEKANYONYI"/>
    <s v="MITYANA"/>
    <s v="UG"/>
    <n v="1"/>
    <s v="Home"/>
    <s v="BULOBA"/>
    <s v="WAKISO"/>
    <s v="UG"/>
    <n v="6"/>
    <s v="Leisure/Social"/>
    <x v="3"/>
    <n v="6500"/>
    <n v="50"/>
    <x v="1"/>
    <n v="1"/>
    <x v="2"/>
    <n v="5"/>
    <s v="Professional"/>
    <n v="2"/>
    <x v="1"/>
    <n v="2"/>
    <n v="3"/>
    <n v="5"/>
    <n v="1"/>
    <n v="4"/>
    <s v="Y"/>
    <n v="2000"/>
    <x v="4"/>
  </r>
  <r>
    <s v="2019.10.26"/>
    <d v="1899-12-30T16:22:00"/>
    <m/>
    <s v="P"/>
    <n v="2"/>
    <s v="Road Vehicle"/>
    <n v="4"/>
    <x v="3"/>
    <x v="1"/>
    <n v="2"/>
    <x v="1"/>
    <s v="TAXI PARK"/>
    <s v="MITYANA"/>
    <s v="UG"/>
    <n v="8"/>
    <s v="Others"/>
    <s v="SEKANYONYI"/>
    <s v="MITYANA"/>
    <s v="UG"/>
    <n v="1"/>
    <s v="Home"/>
    <x v="29"/>
    <n v="4000"/>
    <m/>
    <x v="4"/>
    <n v="0.5"/>
    <x v="3"/>
    <n v="2"/>
    <s v="Manual Labour"/>
    <n v="1"/>
    <x v="2"/>
    <n v="2"/>
    <n v="3"/>
    <n v="1"/>
    <n v="4"/>
    <n v="5"/>
    <s v="Y"/>
    <m/>
    <x v="0"/>
  </r>
  <r>
    <s v="2019.10.26"/>
    <d v="1899-12-30T07:09:00"/>
    <m/>
    <s v="P"/>
    <n v="2"/>
    <s v="Road Vehicle"/>
    <n v="4"/>
    <x v="3"/>
    <x v="1"/>
    <n v="2"/>
    <x v="1"/>
    <s v="AMBIANCE"/>
    <s v="MITYANA"/>
    <s v="UG"/>
    <n v="6"/>
    <s v="Leisure/Social"/>
    <s v="JEZA"/>
    <s v="MITYANA"/>
    <s v="UG"/>
    <n v="1"/>
    <s v="Home"/>
    <x v="7"/>
    <n v="3500"/>
    <m/>
    <x v="4"/>
    <n v="0.7"/>
    <x v="3"/>
    <n v="6"/>
    <s v="Businessman"/>
    <n v="4"/>
    <x v="3"/>
    <n v="1"/>
    <n v="4"/>
    <n v="5"/>
    <n v="3"/>
    <n v="2"/>
    <s v="Y"/>
    <n v="4000"/>
    <x v="5"/>
  </r>
  <r>
    <s v="2019.10.26"/>
    <d v="1899-12-30T08:41:00"/>
    <m/>
    <s v="P"/>
    <n v="2"/>
    <s v="Road Vehicle"/>
    <n v="4"/>
    <x v="3"/>
    <x v="1"/>
    <n v="2"/>
    <x v="1"/>
    <s v="KIGUDAYA"/>
    <s v="MITYANA"/>
    <s v="UG"/>
    <n v="1"/>
    <s v="Home"/>
    <s v="BUJJUKO"/>
    <s v="WAKISO"/>
    <s v="UG"/>
    <n v="6"/>
    <s v="Leisure/Social"/>
    <x v="3"/>
    <n v="5000"/>
    <m/>
    <x v="4"/>
    <n v="1"/>
    <x v="2"/>
    <n v="5"/>
    <s v="Professional"/>
    <n v="3"/>
    <x v="0"/>
    <n v="5"/>
    <n v="2"/>
    <n v="4"/>
    <n v="1"/>
    <n v="3"/>
    <s v="Y"/>
    <n v="2500"/>
    <x v="4"/>
  </r>
  <r>
    <s v="2019.10.26"/>
    <d v="1899-12-30T10:11:00"/>
    <m/>
    <s v="P"/>
    <n v="2"/>
    <s v="Road Vehicle"/>
    <n v="4"/>
    <x v="3"/>
    <x v="1"/>
    <n v="2"/>
    <x v="1"/>
    <s v="MULAGALA"/>
    <s v="MITYANA"/>
    <s v="UG"/>
    <n v="6"/>
    <s v="Leisure/Social"/>
    <s v="BUZIGA"/>
    <s v="KAMPALA"/>
    <s v="UG"/>
    <n v="1"/>
    <s v="Home"/>
    <x v="7"/>
    <n v="7000"/>
    <m/>
    <x v="4"/>
    <n v="1"/>
    <x v="2"/>
    <n v="6"/>
    <s v="Businessman"/>
    <n v="3"/>
    <x v="0"/>
    <n v="2"/>
    <n v="4"/>
    <n v="3"/>
    <n v="1"/>
    <n v="5"/>
    <s v="Y"/>
    <n v="2000"/>
    <x v="4"/>
  </r>
  <r>
    <s v="2019.10.26"/>
    <d v="1899-12-30T07:28:00"/>
    <m/>
    <s v="P"/>
    <n v="1"/>
    <s v="Walking/Cycling"/>
    <n v="4"/>
    <x v="3"/>
    <x v="1"/>
    <n v="2"/>
    <x v="1"/>
    <s v="KYENGERA"/>
    <s v="MITYANA"/>
    <s v="UG"/>
    <n v="1"/>
    <s v="Home"/>
    <s v="TAXI PARK"/>
    <s v="MITYANA"/>
    <s v="UG"/>
    <n v="2"/>
    <s v="Work"/>
    <x v="8"/>
    <n v="3500"/>
    <n v="20"/>
    <x v="5"/>
    <n v="0.11"/>
    <x v="4"/>
    <n v="2"/>
    <s v="Manual Labour"/>
    <n v="1"/>
    <x v="2"/>
    <n v="2"/>
    <n v="4"/>
    <n v="5"/>
    <n v="1"/>
    <n v="3"/>
    <s v="Y"/>
    <n v="1000"/>
    <x v="1"/>
  </r>
  <r>
    <s v="2019.10.26"/>
    <d v="1899-12-30T07:37:00"/>
    <m/>
    <s v="D"/>
    <n v="2"/>
    <s v="Road Vehicle"/>
    <n v="4"/>
    <x v="3"/>
    <x v="1"/>
    <n v="2"/>
    <x v="1"/>
    <s v="MITYANA MODERN"/>
    <s v="MITYANA"/>
    <s v="UG"/>
    <n v="1"/>
    <s v="Home"/>
    <s v="KYANKOWE"/>
    <s v="MITYANA"/>
    <s v="UG"/>
    <n v="2"/>
    <s v="Work"/>
    <x v="8"/>
    <n v="2000"/>
    <n v="3"/>
    <x v="4"/>
    <n v="0.02"/>
    <x v="4"/>
    <n v="2"/>
    <s v="Manual Labour"/>
    <n v="1"/>
    <x v="2"/>
    <n v="2"/>
    <n v="3"/>
    <n v="4"/>
    <n v="1"/>
    <n v="5"/>
    <s v="Y"/>
    <n v="1000"/>
    <x v="1"/>
  </r>
  <r>
    <s v="2019.10.26"/>
    <d v="1899-12-30T07:52:00"/>
    <m/>
    <s v="P"/>
    <n v="1"/>
    <s v="Walking/Cycling"/>
    <n v="4"/>
    <x v="3"/>
    <x v="1"/>
    <n v="2"/>
    <x v="1"/>
    <s v="MITYANA NURSING"/>
    <s v="MITYANA"/>
    <s v="UG"/>
    <n v="1"/>
    <s v="Home"/>
    <s v="KYANKOWE"/>
    <s v="MITYANA"/>
    <s v="UG"/>
    <n v="2"/>
    <s v="Work"/>
    <x v="8"/>
    <n v="2000"/>
    <n v="2"/>
    <x v="4"/>
    <n v="0.03"/>
    <x v="4"/>
    <n v="2"/>
    <s v="Manual Labour"/>
    <n v="1"/>
    <x v="2"/>
    <n v="1"/>
    <n v="5"/>
    <n v="4"/>
    <n v="2"/>
    <n v="3"/>
    <s v="Y"/>
    <n v="1000"/>
    <x v="1"/>
  </r>
  <r>
    <s v="2019.10.26"/>
    <d v="1899-12-30T08:02:00"/>
    <m/>
    <s v="P"/>
    <n v="1"/>
    <s v="Walking/Cycling"/>
    <n v="4"/>
    <x v="3"/>
    <x v="1"/>
    <n v="2"/>
    <x v="1"/>
    <s v="KAWENZIKE"/>
    <s v="MITYANA"/>
    <s v="UG"/>
    <n v="1"/>
    <s v="Home"/>
    <s v="TAXI PARK"/>
    <s v="KAMPALA"/>
    <s v="UG"/>
    <n v="2"/>
    <s v="Work"/>
    <x v="8"/>
    <n v="3000"/>
    <n v="4"/>
    <x v="4"/>
    <n v="0.2"/>
    <x v="4"/>
    <n v="2"/>
    <s v="Manual Labour"/>
    <n v="1"/>
    <x v="2"/>
    <n v="4"/>
    <n v="2"/>
    <n v="5"/>
    <n v="1"/>
    <n v="3"/>
    <s v="Y"/>
    <n v="1000"/>
    <x v="1"/>
  </r>
  <r>
    <s v="2019.10.26"/>
    <d v="1899-12-30T08:07:00"/>
    <m/>
    <s v="D"/>
    <n v="2"/>
    <s v="Road Vehicle"/>
    <n v="4"/>
    <x v="3"/>
    <x v="1"/>
    <n v="2"/>
    <x v="1"/>
    <s v="TAXI PARK"/>
    <s v="MITYANA"/>
    <s v="UG"/>
    <n v="2"/>
    <s v="Work"/>
    <s v="CITY CENTER"/>
    <s v="KAMPALA"/>
    <s v="UG"/>
    <n v="2"/>
    <s v="Work"/>
    <x v="5"/>
    <n v="55000"/>
    <n v="67"/>
    <x v="1"/>
    <n v="1.5"/>
    <x v="2"/>
    <n v="2"/>
    <s v="Manual Labour"/>
    <n v="1"/>
    <x v="2"/>
    <n v="4"/>
    <n v="1"/>
    <n v="2"/>
    <n v="3"/>
    <n v="5"/>
    <s v="Y"/>
    <n v="1000"/>
    <x v="1"/>
  </r>
  <r>
    <s v="2019.10.26"/>
    <d v="1899-12-30T08:25:00"/>
    <m/>
    <s v="D"/>
    <n v="2"/>
    <s v="Road Vehicle"/>
    <n v="4"/>
    <x v="3"/>
    <x v="1"/>
    <n v="2"/>
    <x v="1"/>
    <s v="TAXI PARK"/>
    <s v="MITYANA"/>
    <s v="UG"/>
    <n v="2"/>
    <s v="Work"/>
    <s v="CITY CENTER"/>
    <s v="KAMPALA"/>
    <s v="UG"/>
    <n v="2"/>
    <s v="Work"/>
    <x v="5"/>
    <n v="80000"/>
    <n v="68"/>
    <x v="1"/>
    <n v="1.7"/>
    <x v="2"/>
    <n v="2"/>
    <s v="Manual Labour"/>
    <n v="1"/>
    <x v="2"/>
    <n v="5"/>
    <n v="4"/>
    <n v="3"/>
    <n v="1"/>
    <n v="2"/>
    <s v="Y"/>
    <n v="1000"/>
    <x v="1"/>
  </r>
  <r>
    <s v="2019.10.26"/>
    <d v="1899-12-30T08:36:00"/>
    <m/>
    <s v="P"/>
    <n v="2"/>
    <s v="Road Vehicle"/>
    <n v="4"/>
    <x v="3"/>
    <x v="1"/>
    <n v="2"/>
    <x v="1"/>
    <s v="BUSUJJU"/>
    <s v="MITYANA"/>
    <s v="UG"/>
    <n v="4"/>
    <s v="Commercial"/>
    <s v="CITY CENTER"/>
    <s v="KAMPALA"/>
    <s v="UG"/>
    <n v="4"/>
    <s v="Commercial"/>
    <x v="13"/>
    <n v="15000"/>
    <n v="98"/>
    <x v="0"/>
    <n v="3"/>
    <x v="1"/>
    <n v="2"/>
    <s v="Manual Labour"/>
    <n v="1"/>
    <x v="2"/>
    <n v="3"/>
    <n v="1"/>
    <n v="5"/>
    <n v="2"/>
    <n v="4"/>
    <s v="Y"/>
    <n v="1000"/>
    <x v="1"/>
  </r>
  <r>
    <s v="2019.10.26"/>
    <d v="1899-12-30T08:53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5000"/>
    <n v="67"/>
    <x v="1"/>
    <n v="1.2"/>
    <x v="2"/>
    <n v="2"/>
    <s v="Manual Labour"/>
    <n v="1"/>
    <x v="2"/>
    <n v="4"/>
    <n v="5"/>
    <n v="3"/>
    <n v="1"/>
    <n v="2"/>
    <s v="Y"/>
    <n v="1000"/>
    <x v="1"/>
  </r>
  <r>
    <s v="2019.10.26"/>
    <d v="1899-12-30T09:30:00"/>
    <m/>
    <s v="P"/>
    <n v="1"/>
    <s v="Walking/Cycling"/>
    <n v="4"/>
    <x v="3"/>
    <x v="1"/>
    <n v="2"/>
    <x v="1"/>
    <s v="TAXI PARK"/>
    <s v="MITYANA"/>
    <s v="UG"/>
    <n v="4"/>
    <s v="Commercial"/>
    <s v="KIBIBI"/>
    <s v="BUTAMBALA"/>
    <s v="UG"/>
    <n v="4"/>
    <s v="Commercial"/>
    <x v="13"/>
    <n v="12000"/>
    <n v="47"/>
    <x v="1"/>
    <n v="0.9"/>
    <x v="3"/>
    <n v="6"/>
    <s v="Businessman"/>
    <n v="2"/>
    <x v="1"/>
    <n v="4"/>
    <n v="3"/>
    <n v="2"/>
    <n v="1"/>
    <n v="5"/>
    <s v="Y"/>
    <n v="1000"/>
    <x v="1"/>
  </r>
  <r>
    <s v="2019.10.26"/>
    <d v="1899-12-30T09:57:00"/>
    <m/>
    <s v="P"/>
    <n v="1"/>
    <s v="Walking/Cycling"/>
    <n v="4"/>
    <x v="3"/>
    <x v="1"/>
    <n v="2"/>
    <x v="1"/>
    <s v="ZIMULA"/>
    <s v="MPIGI"/>
    <s v="UG"/>
    <n v="1"/>
    <s v="Home"/>
    <s v="TAXI PARK"/>
    <s v="MITYANA"/>
    <s v="UG"/>
    <n v="2"/>
    <s v="Work"/>
    <x v="8"/>
    <n v="4000"/>
    <n v="42"/>
    <x v="1"/>
    <n v="0.3"/>
    <x v="4"/>
    <n v="6"/>
    <s v="Businessman"/>
    <n v="2"/>
    <x v="1"/>
    <n v="5"/>
    <n v="3"/>
    <n v="4"/>
    <n v="1"/>
    <n v="2"/>
    <s v="Y"/>
    <n v="1000"/>
    <x v="1"/>
  </r>
  <r>
    <s v="2019.10.26"/>
    <d v="1899-12-30T10:50:00"/>
    <m/>
    <s v="P"/>
    <n v="1"/>
    <s v="Walking/Cycling"/>
    <n v="4"/>
    <x v="3"/>
    <x v="1"/>
    <n v="2"/>
    <x v="1"/>
    <s v="NSWANJERE"/>
    <s v="MPIGI"/>
    <s v="UG"/>
    <n v="1"/>
    <s v="Home"/>
    <s v="TAXI PARK"/>
    <s v="MITYANA"/>
    <s v="UG"/>
    <n v="2"/>
    <s v="Work"/>
    <x v="8"/>
    <n v="4000"/>
    <n v="40"/>
    <x v="1"/>
    <n v="0.3"/>
    <x v="4"/>
    <n v="2"/>
    <s v="Manual Labour"/>
    <n v="1"/>
    <x v="2"/>
    <n v="2"/>
    <n v="5"/>
    <n v="4"/>
    <n v="3"/>
    <n v="1"/>
    <s v="Y"/>
    <n v="1000"/>
    <x v="1"/>
  </r>
  <r>
    <s v="2019.10.26"/>
    <d v="1899-12-30T15:31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0000"/>
    <n v="65"/>
    <x v="1"/>
    <n v="1.2"/>
    <x v="2"/>
    <n v="2"/>
    <s v="Manual Labour"/>
    <n v="1"/>
    <x v="2"/>
    <n v="1"/>
    <n v="2"/>
    <n v="5"/>
    <n v="4"/>
    <n v="3"/>
    <s v="Y"/>
    <n v="1000"/>
    <x v="1"/>
  </r>
  <r>
    <s v="2019.10.26"/>
    <d v="1899-12-30T15:39:00"/>
    <m/>
    <s v="D"/>
    <n v="2"/>
    <s v="Road Vehicle"/>
    <n v="4"/>
    <x v="3"/>
    <x v="1"/>
    <n v="2"/>
    <x v="1"/>
    <s v="TAXI PARK"/>
    <s v="MITYANA"/>
    <s v="UG"/>
    <n v="2"/>
    <s v="Work"/>
    <s v="KALERWE"/>
    <s v="MITYANA"/>
    <s v="UG"/>
    <n v="2"/>
    <s v="Work"/>
    <x v="5"/>
    <n v="50000"/>
    <n v="68"/>
    <x v="1"/>
    <n v="1.5"/>
    <x v="2"/>
    <n v="2"/>
    <s v="Manual Labour"/>
    <n v="1"/>
    <x v="2"/>
    <n v="1"/>
    <n v="2"/>
    <n v="5"/>
    <n v="4"/>
    <n v="3"/>
    <s v="Y"/>
    <n v="1000"/>
    <x v="1"/>
  </r>
  <r>
    <s v="2019.10.26"/>
    <d v="1899-12-30T15:50:00"/>
    <m/>
    <s v="P"/>
    <n v="2"/>
    <s v="Road Vehicle"/>
    <n v="4"/>
    <x v="3"/>
    <x v="1"/>
    <n v="2"/>
    <x v="1"/>
    <s v="NAMABALE"/>
    <s v="MPIGI"/>
    <s v="UG"/>
    <n v="1"/>
    <s v="Home"/>
    <s v="TAXI PARK"/>
    <s v="MITYANA"/>
    <n v="4"/>
    <n v="4"/>
    <s v="Commercial"/>
    <x v="12"/>
    <n v="4000"/>
    <n v="42"/>
    <x v="1"/>
    <n v="0.2"/>
    <x v="4"/>
    <n v="2"/>
    <s v="Manual Labour"/>
    <n v="1"/>
    <x v="2"/>
    <n v="2"/>
    <n v="3"/>
    <n v="5"/>
    <n v="4"/>
    <n v="1"/>
    <s v="Y"/>
    <n v="1000"/>
    <x v="1"/>
  </r>
  <r>
    <s v="2019.10.26"/>
    <d v="1899-12-30T16:08:00"/>
    <m/>
    <s v="P"/>
    <n v="1"/>
    <s v="Walking/Cycling"/>
    <n v="4"/>
    <x v="3"/>
    <x v="1"/>
    <n v="2"/>
    <x v="1"/>
    <s v="TAXI PARK"/>
    <s v="MITYANA"/>
    <s v="UG"/>
    <n v="4"/>
    <s v="Commercial"/>
    <s v="KALERWE"/>
    <s v="KAMPALA"/>
    <s v="UG"/>
    <n v="4"/>
    <s v="Commercial"/>
    <x v="13"/>
    <n v="8000"/>
    <n v="60"/>
    <x v="1"/>
    <n v="0.9"/>
    <x v="3"/>
    <n v="6"/>
    <s v="Businessman"/>
    <n v="2"/>
    <x v="1"/>
    <n v="3"/>
    <n v="4"/>
    <n v="5"/>
    <n v="2"/>
    <n v="1"/>
    <s v="Y"/>
    <n v="1000"/>
    <x v="1"/>
  </r>
  <r>
    <s v="2019.10.26"/>
    <d v="1899-12-30T16:37:00"/>
    <m/>
    <s v="P"/>
    <n v="1"/>
    <s v="Walking/Cycling"/>
    <n v="4"/>
    <x v="3"/>
    <x v="1"/>
    <n v="2"/>
    <x v="1"/>
    <s v="KYANKOWE"/>
    <s v="MITYANA"/>
    <s v="UG"/>
    <n v="2"/>
    <s v="Work"/>
    <s v="BUSUJJU"/>
    <s v="MITYANA"/>
    <s v="UG"/>
    <n v="4"/>
    <s v="Commercial"/>
    <x v="21"/>
    <n v="8000"/>
    <n v="65"/>
    <x v="1"/>
    <n v="1"/>
    <x v="2"/>
    <n v="6"/>
    <s v="Businessman"/>
    <n v="2"/>
    <x v="1"/>
    <n v="2"/>
    <n v="3"/>
    <n v="5"/>
    <n v="1"/>
    <n v="4"/>
    <s v="Y"/>
    <n v="1000"/>
    <x v="1"/>
  </r>
  <r>
    <s v="2019.10.24"/>
    <d v="1899-12-30T10:31:00"/>
    <m/>
    <s v="D"/>
    <n v="2"/>
    <s v="Road Vehicle"/>
    <n v="3"/>
    <x v="6"/>
    <x v="1"/>
    <n v="2"/>
    <x v="1"/>
    <s v="TAXI PARK"/>
    <s v="MITYANA"/>
    <s v="UG"/>
    <n v="2"/>
    <s v="Work"/>
    <s v="BUKUYA"/>
    <s v="KIBOGA"/>
    <s v="UG"/>
    <n v="2"/>
    <s v="Work"/>
    <x v="5"/>
    <n v="40000"/>
    <n v="35"/>
    <x v="5"/>
    <n v="1"/>
    <x v="2"/>
    <n v="10"/>
    <s v="Other"/>
    <n v="2"/>
    <x v="1"/>
    <n v="3"/>
    <n v="2"/>
    <n v="5"/>
    <n v="1"/>
    <n v="4"/>
    <s v="Y"/>
    <m/>
    <x v="0"/>
  </r>
  <r>
    <s v="2019.10.26"/>
    <d v="1899-12-30T08:41:00"/>
    <m/>
    <s v="D"/>
    <n v="2"/>
    <s v="Road Vehicle"/>
    <n v="2"/>
    <x v="4"/>
    <x v="1"/>
    <n v="2"/>
    <x v="1"/>
    <s v="TAXI PARK"/>
    <s v="MITYANA"/>
    <s v="UG"/>
    <n v="2"/>
    <s v="Work"/>
    <s v="KIKONGE"/>
    <s v="MITYANA"/>
    <s v="UG"/>
    <n v="2"/>
    <s v="Work"/>
    <x v="5"/>
    <n v="40000"/>
    <n v="22"/>
    <x v="5"/>
    <n v="0.1"/>
    <x v="4"/>
    <n v="2"/>
    <s v="Manual Labour"/>
    <n v="1"/>
    <x v="2"/>
    <n v="5"/>
    <n v="4"/>
    <n v="3"/>
    <n v="1"/>
    <n v="2"/>
    <s v="Y"/>
    <n v="1000"/>
    <x v="1"/>
  </r>
  <r>
    <s v="2019.10.26"/>
    <d v="1899-12-30T10:15:00"/>
    <m/>
    <s v="D"/>
    <n v="2"/>
    <s v="Road Vehicle"/>
    <n v="2"/>
    <x v="4"/>
    <x v="1"/>
    <n v="2"/>
    <x v="1"/>
    <s v="WABIYINJA"/>
    <s v="MPIGI"/>
    <s v="UG"/>
    <n v="1"/>
    <s v="Home"/>
    <s v="TAXI PARK"/>
    <s v="MITYANA"/>
    <s v="UG"/>
    <n v="6"/>
    <s v="Leisure/Social"/>
    <x v="3"/>
    <n v="60000"/>
    <n v="76"/>
    <x v="0"/>
    <n v="1.9"/>
    <x v="2"/>
    <n v="5"/>
    <s v="Professional"/>
    <n v="2"/>
    <x v="1"/>
    <n v="5"/>
    <n v="3"/>
    <n v="4"/>
    <n v="1"/>
    <n v="2"/>
    <s v="Y"/>
    <n v="1000"/>
    <x v="1"/>
  </r>
  <r>
    <s v="2019.10.24"/>
    <d v="1899-12-30T10:12:00"/>
    <m/>
    <s v="D"/>
    <n v="2"/>
    <s v="Road Vehicle"/>
    <n v="1"/>
    <x v="0"/>
    <x v="1"/>
    <n v="3"/>
    <x v="2"/>
    <s v="KAWANDA TOWN"/>
    <s v="KAWANDA"/>
    <s v="UG"/>
    <n v="2"/>
    <s v="Work"/>
    <s v="MITYANA TOWN"/>
    <s v="MITYANA"/>
    <s v="UG"/>
    <n v="2"/>
    <s v="Work"/>
    <x v="5"/>
    <n v="40000"/>
    <n v="26"/>
    <x v="5"/>
    <n v="0.7"/>
    <x v="3"/>
    <n v="10"/>
    <s v="Other"/>
    <n v="2"/>
    <x v="1"/>
    <n v="3"/>
    <n v="1"/>
    <n v="4"/>
    <n v="2"/>
    <n v="5"/>
    <s v="Y"/>
    <m/>
    <x v="0"/>
  </r>
  <r>
    <s v="2019.10.24"/>
    <d v="1899-12-30T10:45:00"/>
    <m/>
    <s v="D"/>
    <n v="2"/>
    <s v="Road Vehicle"/>
    <n v="1"/>
    <x v="0"/>
    <x v="1"/>
    <n v="3"/>
    <x v="2"/>
    <s v="BUSUJJU"/>
    <s v="MITYANA"/>
    <s v="UG"/>
    <n v="2"/>
    <s v="Work"/>
    <s v="CITY CENTER"/>
    <s v="MITYANA"/>
    <s v="UG"/>
    <n v="2"/>
    <s v="Work"/>
    <x v="5"/>
    <n v="40000"/>
    <m/>
    <x v="4"/>
    <n v="1"/>
    <x v="2"/>
    <n v="10"/>
    <s v="Other"/>
    <n v="2"/>
    <x v="1"/>
    <n v="2"/>
    <n v="4"/>
    <n v="5"/>
    <n v="1"/>
    <n v="3"/>
    <s v="Y"/>
    <m/>
    <x v="0"/>
  </r>
  <r>
    <s v="2019.10.26"/>
    <d v="1899-12-30T08:10:00"/>
    <m/>
    <s v="D"/>
    <n v="2"/>
    <s v="Road Vehicle"/>
    <n v="4"/>
    <x v="3"/>
    <x v="0"/>
    <n v="3"/>
    <x v="2"/>
    <s v="TAXI PARK"/>
    <s v="MITYANA"/>
    <s v="UG"/>
    <n v="2"/>
    <s v="Work"/>
    <s v="LUBIGI"/>
    <s v="WAKISO"/>
    <s v="UG"/>
    <n v="2"/>
    <s v="Work"/>
    <x v="5"/>
    <n v="49000"/>
    <n v="69"/>
    <x v="1"/>
    <n v="1.7"/>
    <x v="2"/>
    <n v="2"/>
    <s v="Manual Labour"/>
    <n v="1"/>
    <x v="2"/>
    <m/>
    <m/>
    <m/>
    <m/>
    <m/>
    <s v="Y"/>
    <n v="1000"/>
    <x v="1"/>
  </r>
  <r>
    <s v="2019.10.24"/>
    <d v="1899-12-30T13:49:00"/>
    <m/>
    <s v="P"/>
    <n v="2"/>
    <s v="Road Vehicle"/>
    <n v="4"/>
    <x v="3"/>
    <x v="0"/>
    <n v="3"/>
    <x v="2"/>
    <s v="BUTAYUNGA"/>
    <s v="MITYANA"/>
    <s v="UG"/>
    <n v="6"/>
    <s v="Leisure/Social"/>
    <s v="NAWANJERU"/>
    <s v="MITYANA"/>
    <s v="UG"/>
    <n v="1"/>
    <s v="Home"/>
    <x v="7"/>
    <n v="5000"/>
    <m/>
    <x v="4"/>
    <n v="1"/>
    <x v="2"/>
    <n v="6"/>
    <s v="Businessman"/>
    <n v="2"/>
    <x v="1"/>
    <n v="3"/>
    <n v="5"/>
    <n v="1"/>
    <n v="2"/>
    <n v="4"/>
    <s v="Y"/>
    <n v="1000"/>
    <x v="1"/>
  </r>
  <r>
    <s v="2019.10.24"/>
    <d v="1899-12-30T12:24:00"/>
    <m/>
    <s v="P"/>
    <n v="2"/>
    <s v="Road Vehicle"/>
    <n v="4"/>
    <x v="3"/>
    <x v="0"/>
    <n v="3"/>
    <x v="2"/>
    <s v="KIYUNGA"/>
    <s v="MITYANA"/>
    <s v="UG"/>
    <n v="1"/>
    <s v="Home"/>
    <s v="ZIGOTI"/>
    <s v="MITYANA"/>
    <s v="UG"/>
    <n v="2"/>
    <s v="Work"/>
    <x v="8"/>
    <n v="4000"/>
    <n v="28"/>
    <x v="5"/>
    <n v="0.5"/>
    <x v="3"/>
    <n v="6"/>
    <s v="Businessman"/>
    <n v="2"/>
    <x v="1"/>
    <n v="2"/>
    <n v="5"/>
    <n v="1"/>
    <n v="4"/>
    <n v="3"/>
    <s v="Y"/>
    <n v="1500"/>
    <x v="1"/>
  </r>
  <r>
    <s v="2019.10.24"/>
    <d v="1899-12-30T17:18:00"/>
    <m/>
    <s v="P"/>
    <n v="2"/>
    <s v="Road Vehicle"/>
    <n v="4"/>
    <x v="3"/>
    <x v="0"/>
    <n v="3"/>
    <x v="2"/>
    <s v="MITYANA TOWN"/>
    <s v="MITYANA"/>
    <s v="UG"/>
    <n v="6"/>
    <s v="Leisure/Social"/>
    <s v="KYEBANDO"/>
    <s v="KAMPALA"/>
    <s v="UG"/>
    <n v="1"/>
    <s v="Home"/>
    <x v="7"/>
    <n v="10000"/>
    <m/>
    <x v="4"/>
    <n v="2"/>
    <x v="1"/>
    <n v="6"/>
    <s v="Businessman"/>
    <n v="1"/>
    <x v="2"/>
    <n v="2"/>
    <n v="3"/>
    <n v="4"/>
    <n v="1"/>
    <n v="5"/>
    <s v="Y"/>
    <n v="2000"/>
    <x v="4"/>
  </r>
  <r>
    <s v="2019.10.26"/>
    <d v="1899-12-30T15:39:00"/>
    <m/>
    <s v="P"/>
    <n v="2"/>
    <s v="Road Vehicle"/>
    <n v="4"/>
    <x v="3"/>
    <x v="0"/>
    <n v="3"/>
    <x v="2"/>
    <s v="BUSWABULA"/>
    <s v="MITYANA"/>
    <s v="UG"/>
    <n v="1"/>
    <s v="Home"/>
    <s v="MULAGO"/>
    <s v="KAMPALA"/>
    <s v="UG"/>
    <n v="7"/>
    <s v="Hospital"/>
    <x v="26"/>
    <n v="9000"/>
    <m/>
    <x v="4"/>
    <n v="2"/>
    <x v="1"/>
    <n v="7"/>
    <s v="Farmer"/>
    <n v="3"/>
    <x v="0"/>
    <n v="3"/>
    <n v="4"/>
    <n v="1"/>
    <n v="5"/>
    <n v="2"/>
    <s v="Y"/>
    <n v="2000"/>
    <x v="4"/>
  </r>
  <r>
    <s v="2019.10.26"/>
    <d v="1899-12-30T15:19:00"/>
    <m/>
    <s v="P"/>
    <n v="2"/>
    <s v="Road Vehicle"/>
    <n v="4"/>
    <x v="3"/>
    <x v="0"/>
    <n v="3"/>
    <x v="2"/>
    <s v="NAMUTAMBA"/>
    <s v="MITYANA"/>
    <s v="UG"/>
    <n v="6"/>
    <s v="Leisure/Social"/>
    <s v="KISENYI"/>
    <s v="KAMPALA"/>
    <s v="UG"/>
    <n v="2"/>
    <s v="Work"/>
    <x v="33"/>
    <n v="8000"/>
    <n v="60"/>
    <x v="1"/>
    <n v="2"/>
    <x v="1"/>
    <n v="6"/>
    <s v="Businessman"/>
    <n v="3"/>
    <x v="0"/>
    <n v="1"/>
    <n v="4"/>
    <n v="5"/>
    <n v="2"/>
    <n v="3"/>
    <s v="Y"/>
    <n v="2000"/>
    <x v="4"/>
  </r>
  <r>
    <s v="2019.10.26"/>
    <d v="1899-12-30T07:42:00"/>
    <m/>
    <s v="P"/>
    <n v="2"/>
    <s v="Road Vehicle"/>
    <n v="4"/>
    <x v="3"/>
    <x v="0"/>
    <n v="3"/>
    <x v="2"/>
    <s v="BUWABULONGO"/>
    <s v="MITYANA"/>
    <s v="UG"/>
    <n v="1"/>
    <s v="Home"/>
    <s v="ZIGOTI"/>
    <s v="MITYANA"/>
    <s v="UG"/>
    <n v="6"/>
    <s v="Leisure/Social"/>
    <x v="3"/>
    <n v="3000"/>
    <m/>
    <x v="4"/>
    <n v="0.5"/>
    <x v="3"/>
    <n v="4"/>
    <s v="Office Worker"/>
    <n v="1"/>
    <x v="2"/>
    <n v="3"/>
    <n v="4"/>
    <n v="1"/>
    <n v="5"/>
    <n v="2"/>
    <s v="Y"/>
    <m/>
    <x v="0"/>
  </r>
  <r>
    <s v="2019.10.26"/>
    <d v="1899-12-30T09:12:00"/>
    <m/>
    <s v="P"/>
    <n v="2"/>
    <s v="Road Vehicle"/>
    <n v="4"/>
    <x v="3"/>
    <x v="0"/>
    <n v="3"/>
    <x v="2"/>
    <s v="KALANGALA"/>
    <s v="MITYANA"/>
    <s v="UG"/>
    <n v="1"/>
    <s v="Home"/>
    <s v="KAWEMPE"/>
    <s v="KAMPALA"/>
    <s v="UG"/>
    <n v="6"/>
    <s v="Leisure/Social"/>
    <x v="3"/>
    <n v="15000"/>
    <m/>
    <x v="4"/>
    <n v="3"/>
    <x v="1"/>
    <n v="7"/>
    <s v="Farmer"/>
    <n v="1"/>
    <x v="2"/>
    <n v="5"/>
    <n v="3"/>
    <n v="2"/>
    <n v="1"/>
    <n v="4"/>
    <s v="Y"/>
    <m/>
    <x v="0"/>
  </r>
  <r>
    <s v="2019.10.24"/>
    <d v="1899-12-30T13:34:00"/>
    <m/>
    <s v="P"/>
    <n v="2"/>
    <s v="Road Vehicle"/>
    <n v="4"/>
    <x v="3"/>
    <x v="1"/>
    <n v="3"/>
    <x v="2"/>
    <s v="BUMBI"/>
    <s v="MITYANA"/>
    <s v="UG"/>
    <n v="2"/>
    <s v="Work"/>
    <s v="KIWASU"/>
    <s v="MITYANA"/>
    <s v="UG"/>
    <n v="2"/>
    <s v="Work"/>
    <x v="5"/>
    <n v="4000"/>
    <m/>
    <x v="4"/>
    <n v="0.7"/>
    <x v="3"/>
    <n v="4"/>
    <s v="Office Worker"/>
    <n v="3"/>
    <x v="0"/>
    <n v="5"/>
    <n v="3"/>
    <n v="2"/>
    <n v="1"/>
    <n v="4"/>
    <s v="Y"/>
    <n v="3000"/>
    <x v="5"/>
  </r>
  <r>
    <s v="2019.10.24"/>
    <d v="1899-12-30T12:41:00"/>
    <m/>
    <s v="P"/>
    <n v="2"/>
    <s v="Road Vehicle"/>
    <n v="4"/>
    <x v="3"/>
    <x v="1"/>
    <n v="3"/>
    <x v="2"/>
    <s v="TAXI PARK"/>
    <s v="MITYANA"/>
    <s v="UG"/>
    <n v="2"/>
    <s v="Work"/>
    <s v="NTANDA"/>
    <s v="MITYANA"/>
    <s v="UG"/>
    <n v="2"/>
    <s v="Work"/>
    <x v="5"/>
    <n v="2000"/>
    <m/>
    <x v="4"/>
    <n v="0.5"/>
    <x v="3"/>
    <n v="6"/>
    <s v="Businessman"/>
    <n v="3"/>
    <x v="0"/>
    <n v="2"/>
    <n v="4"/>
    <n v="1"/>
    <n v="5"/>
    <n v="3"/>
    <s v="Y"/>
    <n v="1000"/>
    <x v="1"/>
  </r>
  <r>
    <s v="2019.10.24"/>
    <d v="1899-12-30T12:41:00"/>
    <m/>
    <s v="P"/>
    <n v="2"/>
    <s v="Road Vehicle"/>
    <n v="4"/>
    <x v="3"/>
    <x v="1"/>
    <n v="3"/>
    <x v="2"/>
    <s v="TAXI PARK"/>
    <s v="MITYANA"/>
    <s v="UG"/>
    <n v="2"/>
    <s v="Work"/>
    <s v="NTANDA"/>
    <s v="MITYANA"/>
    <s v="UG"/>
    <n v="2"/>
    <s v="Work"/>
    <x v="5"/>
    <n v="2000"/>
    <m/>
    <x v="4"/>
    <n v="0.5"/>
    <x v="3"/>
    <n v="6"/>
    <s v="Businessman"/>
    <n v="3"/>
    <x v="0"/>
    <n v="2"/>
    <n v="4"/>
    <n v="1"/>
    <n v="5"/>
    <n v="3"/>
    <s v="Y"/>
    <n v="1000"/>
    <x v="1"/>
  </r>
  <r>
    <s v="2019.10.24"/>
    <d v="1899-12-30T14:55:00"/>
    <m/>
    <s v="P"/>
    <n v="2"/>
    <s v="Road Vehicle"/>
    <n v="4"/>
    <x v="3"/>
    <x v="1"/>
    <n v="3"/>
    <x v="2"/>
    <s v="T.C"/>
    <s v="MITYANA"/>
    <s v="UG"/>
    <n v="2"/>
    <s v="Work"/>
    <s v="NAMATABA"/>
    <s v="MITYANA"/>
    <s v="UG"/>
    <n v="1"/>
    <s v="Home"/>
    <x v="1"/>
    <n v="300000"/>
    <n v="12"/>
    <x v="6"/>
    <n v="0.5"/>
    <x v="3"/>
    <n v="6"/>
    <s v="Businessman"/>
    <n v="1"/>
    <x v="2"/>
    <n v="4"/>
    <n v="2"/>
    <n v="3"/>
    <n v="1"/>
    <n v="5"/>
    <s v="Y"/>
    <m/>
    <x v="0"/>
  </r>
  <r>
    <s v="2019.10.24"/>
    <d v="1899-12-30T14:36:00"/>
    <m/>
    <s v="P"/>
    <n v="2"/>
    <s v="Road Vehicle"/>
    <n v="4"/>
    <x v="3"/>
    <x v="1"/>
    <n v="3"/>
    <x v="2"/>
    <s v="TAXI PARK"/>
    <s v="MITYANA"/>
    <s v="UG"/>
    <n v="8"/>
    <s v="Others"/>
    <s v="MUYENGA"/>
    <s v="KAMPALA"/>
    <s v="UG"/>
    <n v="1"/>
    <s v="Home"/>
    <x v="29"/>
    <n v="10000"/>
    <m/>
    <x v="4"/>
    <n v="3"/>
    <x v="1"/>
    <n v="5"/>
    <s v="Professional"/>
    <n v="3"/>
    <x v="0"/>
    <n v="3"/>
    <n v="4"/>
    <n v="2"/>
    <n v="1"/>
    <n v="5"/>
    <s v="Y"/>
    <n v="1000"/>
    <x v="1"/>
  </r>
  <r>
    <s v="2019.10.24"/>
    <d v="1899-12-30T14:30:00"/>
    <m/>
    <s v="P"/>
    <n v="2"/>
    <s v="Road Vehicle"/>
    <n v="4"/>
    <x v="3"/>
    <x v="1"/>
    <n v="3"/>
    <x v="2"/>
    <s v="ALL SAINTS"/>
    <s v="MITYANA"/>
    <s v="UG"/>
    <n v="8"/>
    <s v="Others"/>
    <s v="KIWAWU"/>
    <s v="MITYANA"/>
    <s v="UG"/>
    <n v="1"/>
    <s v="Home"/>
    <x v="29"/>
    <n v="4000"/>
    <m/>
    <x v="4"/>
    <n v="0.7"/>
    <x v="3"/>
    <n v="6"/>
    <s v="Businessman"/>
    <n v="1"/>
    <x v="2"/>
    <n v="2"/>
    <n v="3"/>
    <n v="1"/>
    <n v="5"/>
    <n v="4"/>
    <s v="Y"/>
    <n v="1000"/>
    <x v="1"/>
  </r>
  <r>
    <s v="2019.10.24"/>
    <d v="1899-12-30T14:20:00"/>
    <m/>
    <s v="P"/>
    <n v="2"/>
    <s v="Road Vehicle"/>
    <n v="4"/>
    <x v="3"/>
    <x v="1"/>
    <n v="3"/>
    <x v="2"/>
    <s v="TAXI PARK"/>
    <s v="MITYANA"/>
    <s v="UG"/>
    <n v="6"/>
    <s v="Leisure/Social"/>
    <s v="LUBYA"/>
    <s v="KAMPALA"/>
    <s v="UG"/>
    <n v="1"/>
    <s v="Home"/>
    <x v="7"/>
    <n v="8000"/>
    <m/>
    <x v="4"/>
    <n v="2"/>
    <x v="1"/>
    <n v="1"/>
    <s v="Unemployed"/>
    <n v="1"/>
    <x v="2"/>
    <n v="5"/>
    <n v="2"/>
    <n v="3"/>
    <n v="1"/>
    <n v="4"/>
    <s v="Y"/>
    <m/>
    <x v="0"/>
  </r>
  <r>
    <s v="2019.10.24"/>
    <d v="1899-12-30T14:16:00"/>
    <m/>
    <s v="P"/>
    <n v="2"/>
    <s v="Road Vehicle"/>
    <n v="4"/>
    <x v="3"/>
    <x v="1"/>
    <n v="3"/>
    <x v="2"/>
    <s v="TAXI PARK"/>
    <s v="MITYANA"/>
    <s v="UG"/>
    <n v="1"/>
    <s v="Home"/>
    <s v="KUMBUZI"/>
    <s v="MITYANA"/>
    <s v="UG"/>
    <n v="4"/>
    <s v="Commercial"/>
    <x v="12"/>
    <n v="5000"/>
    <m/>
    <x v="4"/>
    <n v="1"/>
    <x v="2"/>
    <n v="4"/>
    <s v="Office Worker"/>
    <n v="4"/>
    <x v="3"/>
    <n v="3"/>
    <n v="5"/>
    <n v="2"/>
    <n v="1"/>
    <n v="4"/>
    <s v="Y"/>
    <n v="1500"/>
    <x v="1"/>
  </r>
  <r>
    <s v="2019.10.24"/>
    <d v="1899-12-30T12:50:00"/>
    <m/>
    <s v="D"/>
    <n v="2"/>
    <s v="Road Vehicle"/>
    <n v="4"/>
    <x v="3"/>
    <x v="1"/>
    <n v="3"/>
    <x v="2"/>
    <s v="TAXI PARK"/>
    <s v="MITYANA"/>
    <s v="UG"/>
    <n v="2"/>
    <s v="Work"/>
    <s v="TAXI PARK"/>
    <s v="KAMPALA"/>
    <s v="UG"/>
    <n v="2"/>
    <s v="Work"/>
    <x v="5"/>
    <n v="70000"/>
    <n v="33"/>
    <x v="5"/>
    <n v="1.5"/>
    <x v="2"/>
    <n v="10"/>
    <s v="Other"/>
    <n v="2"/>
    <x v="1"/>
    <n v="4"/>
    <n v="1"/>
    <n v="3"/>
    <n v="2"/>
    <n v="5"/>
    <s v="Y"/>
    <n v="200"/>
    <x v="0"/>
  </r>
  <r>
    <s v="2019.10.24"/>
    <d v="1899-12-30T12:19:00"/>
    <m/>
    <s v="P"/>
    <n v="2"/>
    <s v="Road Vehicle"/>
    <n v="4"/>
    <x v="3"/>
    <x v="1"/>
    <n v="3"/>
    <x v="2"/>
    <s v="BUWABULONGO"/>
    <s v="MITYANA"/>
    <s v="UG"/>
    <n v="6"/>
    <s v="Leisure/Social"/>
    <s v="MENGO"/>
    <s v="KAMPALA"/>
    <s v="UG"/>
    <n v="1"/>
    <s v="Home"/>
    <x v="7"/>
    <n v="9500"/>
    <m/>
    <x v="4"/>
    <n v="2"/>
    <x v="1"/>
    <n v="5"/>
    <s v="Professional"/>
    <n v="2"/>
    <x v="1"/>
    <n v="2"/>
    <n v="3"/>
    <n v="5"/>
    <n v="1"/>
    <n v="4"/>
    <s v="Y"/>
    <m/>
    <x v="0"/>
  </r>
  <r>
    <s v="2019.10.24"/>
    <d v="1899-12-30T18:31:00"/>
    <m/>
    <s v="P"/>
    <n v="2"/>
    <s v="Road Vehicle"/>
    <n v="4"/>
    <x v="3"/>
    <x v="1"/>
    <n v="3"/>
    <x v="2"/>
    <s v="MIZIGO"/>
    <s v="MITYANA"/>
    <s v="UG"/>
    <n v="2"/>
    <s v="Work"/>
    <s v="NDIBULUNGI"/>
    <s v="MITYANA"/>
    <s v="UG"/>
    <n v="2"/>
    <s v="Work"/>
    <x v="5"/>
    <n v="3000"/>
    <n v="8"/>
    <x v="4"/>
    <n v="0.15"/>
    <x v="4"/>
    <n v="6"/>
    <s v="Businessman"/>
    <n v="3"/>
    <x v="0"/>
    <n v="5"/>
    <n v="1"/>
    <n v="3"/>
    <n v="4"/>
    <n v="2"/>
    <s v="Y"/>
    <m/>
    <x v="0"/>
  </r>
  <r>
    <s v="2019.10.24"/>
    <d v="1899-12-30T18:55:00"/>
    <m/>
    <s v="P"/>
    <n v="2"/>
    <s v="Road Vehicle"/>
    <n v="4"/>
    <x v="3"/>
    <x v="1"/>
    <n v="3"/>
    <x v="2"/>
    <s v="BUWABULONGO"/>
    <s v="MITYANA"/>
    <s v="UG"/>
    <n v="1"/>
    <s v="Home"/>
    <s v="WABIGALO"/>
    <s v="MITYANA"/>
    <s v="UG"/>
    <n v="6"/>
    <s v="Leisure/Social"/>
    <x v="3"/>
    <n v="3000"/>
    <m/>
    <x v="4"/>
    <n v="0.15"/>
    <x v="4"/>
    <n v="6"/>
    <s v="Businessman"/>
    <n v="2"/>
    <x v="1"/>
    <n v="2"/>
    <n v="4"/>
    <n v="1"/>
    <n v="5"/>
    <n v="3"/>
    <s v="Y"/>
    <m/>
    <x v="0"/>
  </r>
  <r>
    <s v="2019.10.24"/>
    <d v="1899-12-30T04:09:00"/>
    <m/>
    <s v="P"/>
    <n v="2"/>
    <s v="Road Vehicle"/>
    <n v="4"/>
    <x v="3"/>
    <x v="1"/>
    <n v="3"/>
    <x v="2"/>
    <s v="BUWABULONGO"/>
    <s v="MITYANA"/>
    <s v="UG"/>
    <n v="6"/>
    <s v="Leisure/Social"/>
    <s v="KALERWE"/>
    <s v="KAMPALA"/>
    <s v="UG"/>
    <n v="1"/>
    <s v="Home"/>
    <x v="7"/>
    <n v="10000"/>
    <n v="60"/>
    <x v="1"/>
    <n v="1.5"/>
    <x v="2"/>
    <n v="4"/>
    <s v="Office Worker"/>
    <n v="3"/>
    <x v="0"/>
    <n v="2"/>
    <n v="3"/>
    <n v="4"/>
    <n v="1"/>
    <n v="5"/>
    <s v="Y"/>
    <m/>
    <x v="0"/>
  </r>
  <r>
    <s v="2019.10.24"/>
    <d v="1899-12-30T18:01:00"/>
    <m/>
    <s v="P"/>
    <n v="2"/>
    <s v="Road Vehicle"/>
    <n v="4"/>
    <x v="3"/>
    <x v="1"/>
    <n v="3"/>
    <x v="2"/>
    <s v="NAMUTAMBA"/>
    <s v="MITYANA"/>
    <s v="UG"/>
    <n v="1"/>
    <s v="Home"/>
    <s v="BUUIMBI"/>
    <s v="MITYANA"/>
    <s v="UG"/>
    <n v="6"/>
    <s v="Leisure/Social"/>
    <x v="3"/>
    <n v="6000"/>
    <m/>
    <x v="4"/>
    <n v="0.5"/>
    <x v="3"/>
    <n v="6"/>
    <s v="Businessman"/>
    <n v="2"/>
    <x v="1"/>
    <n v="2"/>
    <n v="3"/>
    <n v="5"/>
    <n v="1"/>
    <n v="4"/>
    <s v="Y"/>
    <n v="100"/>
    <x v="0"/>
  </r>
  <r>
    <s v="2019.10.24"/>
    <d v="1899-12-30T18:09:00"/>
    <m/>
    <s v="D"/>
    <n v="2"/>
    <s v="Road Vehicle"/>
    <n v="4"/>
    <x v="3"/>
    <x v="1"/>
    <n v="3"/>
    <x v="2"/>
    <s v="MITYANA TOWN"/>
    <s v="MITYANA"/>
    <s v="UG"/>
    <n v="2"/>
    <s v="Work"/>
    <s v="CITY CENTER"/>
    <s v="KAMPALA"/>
    <s v="UG"/>
    <n v="2"/>
    <s v="Work"/>
    <x v="5"/>
    <n v="80000"/>
    <n v="79"/>
    <x v="0"/>
    <n v="2"/>
    <x v="1"/>
    <n v="10"/>
    <s v="Other"/>
    <n v="2"/>
    <x v="1"/>
    <n v="3"/>
    <n v="1"/>
    <n v="5"/>
    <n v="2"/>
    <n v="4"/>
    <s v="Y"/>
    <m/>
    <x v="0"/>
  </r>
  <r>
    <s v="2019.10.24"/>
    <d v="1899-12-30T11:15:00"/>
    <m/>
    <s v="D"/>
    <n v="2"/>
    <s v="Road Vehicle"/>
    <n v="4"/>
    <x v="3"/>
    <x v="1"/>
    <n v="3"/>
    <x v="2"/>
    <s v="MITYANA TOWN"/>
    <s v="MITYANA"/>
    <s v="UG"/>
    <n v="2"/>
    <s v="Work"/>
    <s v="TAXI PARK"/>
    <s v="KAMPALA"/>
    <s v="UG"/>
    <n v="2"/>
    <s v="Work"/>
    <x v="5"/>
    <n v="70000"/>
    <m/>
    <x v="4"/>
    <n v="1.5"/>
    <x v="2"/>
    <n v="1"/>
    <s v="Unemployed"/>
    <n v="2"/>
    <x v="1"/>
    <n v="1"/>
    <n v="2"/>
    <n v="5"/>
    <n v="4"/>
    <n v="3"/>
    <s v="Y"/>
    <n v="1000"/>
    <x v="1"/>
  </r>
  <r>
    <s v="2019.10.24"/>
    <d v="1899-12-30T11:51:00"/>
    <m/>
    <s v="P"/>
    <n v="2"/>
    <s v="Road Vehicle"/>
    <n v="4"/>
    <x v="3"/>
    <x v="1"/>
    <n v="3"/>
    <x v="2"/>
    <s v="JEZA"/>
    <s v="MPIGI"/>
    <s v="UG"/>
    <n v="1"/>
    <s v="Home"/>
    <s v="TAXI PARK"/>
    <s v="MITYANA"/>
    <s v="UG"/>
    <n v="4"/>
    <s v="Commercial"/>
    <x v="12"/>
    <n v="5000"/>
    <n v="0.7"/>
    <x v="4"/>
    <n v="0.5"/>
    <x v="3"/>
    <n v="2"/>
    <s v="Manual Labour"/>
    <n v="1"/>
    <x v="2"/>
    <n v="1"/>
    <n v="4"/>
    <n v="5"/>
    <n v="3"/>
    <n v="2"/>
    <s v="Y"/>
    <n v="500"/>
    <x v="0"/>
  </r>
  <r>
    <s v="2019.10.24"/>
    <d v="1899-12-30T00:05:00"/>
    <m/>
    <s v="P"/>
    <n v="2"/>
    <s v="Road Vehicle"/>
    <n v="4"/>
    <x v="3"/>
    <x v="1"/>
    <n v="3"/>
    <x v="2"/>
    <s v="TAXI PARK"/>
    <s v="MITYANA"/>
    <s v="UG"/>
    <n v="2"/>
    <s v="Work"/>
    <s v="KYENGERA"/>
    <s v="MITYANA"/>
    <s v="UG"/>
    <n v="4"/>
    <s v="Commercial"/>
    <x v="21"/>
    <n v="4000"/>
    <n v="20"/>
    <x v="5"/>
    <n v="0.2"/>
    <x v="4"/>
    <n v="2"/>
    <s v="Manual Labour"/>
    <n v="1"/>
    <x v="2"/>
    <n v="2"/>
    <n v="3"/>
    <n v="5"/>
    <n v="1"/>
    <n v="4"/>
    <s v="Y"/>
    <n v="500"/>
    <x v="0"/>
  </r>
  <r>
    <s v="2019.10.24"/>
    <d v="1899-12-30T14:10:00"/>
    <m/>
    <s v="P"/>
    <n v="2"/>
    <s v="Road Vehicle"/>
    <n v="4"/>
    <x v="3"/>
    <x v="1"/>
    <n v="3"/>
    <x v="2"/>
    <s v="NSWANJERE"/>
    <s v="MPIGI"/>
    <s v="UG"/>
    <n v="8"/>
    <s v="Others"/>
    <s v="KIBIBI"/>
    <s v="KANONI"/>
    <s v="UG"/>
    <n v="1"/>
    <s v="Home"/>
    <x v="29"/>
    <n v="14000"/>
    <n v="98"/>
    <x v="0"/>
    <n v="4"/>
    <x v="0"/>
    <n v="10"/>
    <s v="Other"/>
    <n v="1"/>
    <x v="2"/>
    <n v="2"/>
    <n v="1"/>
    <n v="3"/>
    <n v="4"/>
    <n v="5"/>
    <s v="Y"/>
    <n v="2000"/>
    <x v="4"/>
  </r>
  <r>
    <s v="2019.10.24"/>
    <d v="1899-12-30T15:33:00"/>
    <m/>
    <s v="P"/>
    <n v="2"/>
    <s v="Road Vehicle"/>
    <n v="4"/>
    <x v="3"/>
    <x v="1"/>
    <n v="3"/>
    <x v="2"/>
    <s v="TAXI PARK"/>
    <s v="MITYANA"/>
    <s v="UG"/>
    <n v="2"/>
    <s v="Work"/>
    <s v="TAXI PARK"/>
    <s v="KAMPALA"/>
    <s v="UG"/>
    <n v="2"/>
    <s v="Work"/>
    <x v="5"/>
    <n v="50000"/>
    <n v="63"/>
    <x v="1"/>
    <n v="2"/>
    <x v="1"/>
    <n v="2"/>
    <s v="Manual Labour"/>
    <n v="1"/>
    <x v="2"/>
    <n v="3"/>
    <n v="2"/>
    <n v="4"/>
    <n v="1"/>
    <n v="5"/>
    <s v="Y"/>
    <n v="500"/>
    <x v="0"/>
  </r>
  <r>
    <s v="2019.10.24"/>
    <d v="1899-12-30T15:43:00"/>
    <m/>
    <s v="D"/>
    <n v="2"/>
    <s v="Road Vehicle"/>
    <n v="4"/>
    <x v="3"/>
    <x v="1"/>
    <n v="3"/>
    <x v="2"/>
    <s v="TAXI PARK"/>
    <s v="MITYANA"/>
    <s v="UG"/>
    <n v="2"/>
    <s v="Work"/>
    <s v="NAMIREMBE"/>
    <s v="KAMPALA"/>
    <s v="UG"/>
    <n v="2"/>
    <s v="Work"/>
    <x v="5"/>
    <n v="60000"/>
    <n v="62"/>
    <x v="1"/>
    <n v="2"/>
    <x v="1"/>
    <n v="1"/>
    <s v="Unemployed"/>
    <n v="2"/>
    <x v="1"/>
    <n v="4"/>
    <n v="1"/>
    <n v="3"/>
    <n v="2"/>
    <n v="5"/>
    <s v="Y"/>
    <n v="1000"/>
    <x v="1"/>
  </r>
  <r>
    <s v="2019.10.26"/>
    <d v="1899-12-30T15:52:00"/>
    <m/>
    <s v="P"/>
    <n v="2"/>
    <s v="Road Vehicle"/>
    <n v="4"/>
    <x v="3"/>
    <x v="1"/>
    <n v="3"/>
    <x v="2"/>
    <s v="TOWN"/>
    <s v="MITYANA"/>
    <s v="UG"/>
    <n v="2"/>
    <s v="Work"/>
    <s v="KALANGALA"/>
    <s v="MITYANA"/>
    <s v="UG"/>
    <n v="2"/>
    <s v="Work"/>
    <x v="5"/>
    <n v="15000"/>
    <m/>
    <x v="4"/>
    <n v="0.7"/>
    <x v="3"/>
    <n v="10"/>
    <s v="Other"/>
    <n v="1"/>
    <x v="2"/>
    <n v="2"/>
    <n v="1"/>
    <n v="4"/>
    <n v="5"/>
    <n v="3"/>
    <s v="Y"/>
    <n v="500"/>
    <x v="0"/>
  </r>
  <r>
    <s v="2019.10.26"/>
    <d v="1899-12-30T15:50:00"/>
    <m/>
    <s v="P"/>
    <n v="2"/>
    <s v="Road Vehicle"/>
    <n v="4"/>
    <x v="3"/>
    <x v="1"/>
    <n v="3"/>
    <x v="2"/>
    <s v="ZAAKE PLAZA"/>
    <s v="MITYANA"/>
    <s v="UG"/>
    <n v="2"/>
    <s v="Work"/>
    <s v="KIKUUBO"/>
    <s v="KAMPALA"/>
    <s v="UG"/>
    <n v="2"/>
    <s v="Work"/>
    <x v="5"/>
    <n v="7000"/>
    <n v="70"/>
    <x v="0"/>
    <n v="1.5"/>
    <x v="2"/>
    <n v="6"/>
    <s v="Businessman"/>
    <n v="4"/>
    <x v="3"/>
    <n v="2"/>
    <n v="1"/>
    <n v="4"/>
    <n v="2"/>
    <n v="3"/>
    <s v="Y"/>
    <n v="3000"/>
    <x v="5"/>
  </r>
  <r>
    <s v="2019.10.26"/>
    <d v="1899-12-30T15:31:00"/>
    <m/>
    <s v="D"/>
    <n v="2"/>
    <s v="Road Vehicle"/>
    <n v="4"/>
    <x v="3"/>
    <x v="1"/>
    <n v="3"/>
    <x v="2"/>
    <s v="TAXI PARK"/>
    <s v="MITYANA"/>
    <s v="UG"/>
    <n v="2"/>
    <s v="Work"/>
    <s v="CITY CENTER"/>
    <s v="KAMPALA"/>
    <s v="UG"/>
    <n v="2"/>
    <s v="Work"/>
    <x v="5"/>
    <n v="90000"/>
    <n v="70"/>
    <x v="0"/>
    <n v="1.5"/>
    <x v="2"/>
    <n v="10"/>
    <s v="Other"/>
    <n v="2"/>
    <x v="1"/>
    <n v="1"/>
    <n v="2"/>
    <n v="4"/>
    <n v="5"/>
    <n v="3"/>
    <s v="Y"/>
    <m/>
    <x v="0"/>
  </r>
  <r>
    <s v="2019.10.26"/>
    <d v="1899-12-30T15:00:00"/>
    <m/>
    <s v="P"/>
    <n v="2"/>
    <s v="Road Vehicle"/>
    <n v="4"/>
    <x v="3"/>
    <x v="1"/>
    <n v="3"/>
    <x v="2"/>
    <s v="NAMIKOZI"/>
    <s v="MITYANA"/>
    <s v="UG"/>
    <n v="1"/>
    <s v="Home"/>
    <s v="NANSANA"/>
    <s v="WAKISO"/>
    <s v="UG"/>
    <n v="6"/>
    <s v="Leisure/Social"/>
    <x v="3"/>
    <n v="10000"/>
    <m/>
    <x v="4"/>
    <n v="2"/>
    <x v="1"/>
    <n v="6"/>
    <s v="Businessman"/>
    <n v="1"/>
    <x v="2"/>
    <n v="3"/>
    <n v="4"/>
    <n v="1"/>
    <n v="5"/>
    <n v="2"/>
    <s v="Y"/>
    <n v="5000"/>
    <x v="2"/>
  </r>
  <r>
    <s v="2019.10.26"/>
    <d v="1899-12-30T12:18:00"/>
    <m/>
    <s v="D"/>
    <n v="2"/>
    <s v="Road Vehicle"/>
    <n v="4"/>
    <x v="3"/>
    <x v="1"/>
    <n v="3"/>
    <x v="2"/>
    <s v="MITYANA TOWN"/>
    <s v="MITYANA"/>
    <s v="UG"/>
    <n v="2"/>
    <s v="Work"/>
    <s v="CITY CENTER"/>
    <s v="KAMPALA"/>
    <s v="UG"/>
    <n v="2"/>
    <s v="Work"/>
    <x v="5"/>
    <n v="35000"/>
    <n v="68"/>
    <x v="1"/>
    <n v="1.7"/>
    <x v="2"/>
    <n v="10"/>
    <s v="Other"/>
    <n v="1"/>
    <x v="2"/>
    <n v="3"/>
    <n v="4"/>
    <n v="1"/>
    <n v="5"/>
    <n v="2"/>
    <s v="Y"/>
    <n v="1000"/>
    <x v="1"/>
  </r>
  <r>
    <s v="2019.10.26"/>
    <d v="1899-12-30T16:02:00"/>
    <m/>
    <s v="P"/>
    <n v="2"/>
    <s v="Road Vehicle"/>
    <n v="4"/>
    <x v="3"/>
    <x v="1"/>
    <n v="3"/>
    <x v="2"/>
    <s v="KAKINDU"/>
    <s v="MITYANA"/>
    <s v="UG"/>
    <n v="1"/>
    <s v="Home"/>
    <s v="MBUYA"/>
    <s v="KAMPALA"/>
    <s v="UG"/>
    <n v="6"/>
    <s v="Leisure/Social"/>
    <x v="3"/>
    <n v="10000"/>
    <m/>
    <x v="4"/>
    <n v="3"/>
    <x v="1"/>
    <n v="1"/>
    <s v="Unemployed"/>
    <n v="1"/>
    <x v="2"/>
    <n v="2"/>
    <n v="1"/>
    <n v="4"/>
    <n v="5"/>
    <n v="3"/>
    <s v="Y"/>
    <n v="100"/>
    <x v="0"/>
  </r>
  <r>
    <s v="2019.10.26"/>
    <d v="1899-12-30T11:19:00"/>
    <m/>
    <s v="D"/>
    <n v="2"/>
    <s v="Road Vehicle"/>
    <n v="4"/>
    <x v="3"/>
    <x v="1"/>
    <n v="3"/>
    <x v="2"/>
    <s v="TAXI PARK"/>
    <s v="MITYANA"/>
    <s v="UG"/>
    <n v="2"/>
    <s v="Work"/>
    <s v="TAXI PARK"/>
    <s v="KAMPALA"/>
    <s v="UG"/>
    <n v="2"/>
    <s v="Work"/>
    <x v="5"/>
    <n v="50000"/>
    <n v="60"/>
    <x v="1"/>
    <n v="3"/>
    <x v="1"/>
    <n v="10"/>
    <s v="Other"/>
    <n v="2"/>
    <x v="1"/>
    <n v="1"/>
    <n v="5"/>
    <n v="4"/>
    <n v="2"/>
    <n v="3"/>
    <s v="Y"/>
    <m/>
    <x v="0"/>
  </r>
  <r>
    <s v="2019.10.26"/>
    <d v="1899-12-30T07:22:00"/>
    <m/>
    <s v="P"/>
    <n v="2"/>
    <s v="Road Vehicle"/>
    <n v="4"/>
    <x v="3"/>
    <x v="1"/>
    <n v="3"/>
    <x v="2"/>
    <s v="MANYI"/>
    <s v="MITYANA"/>
    <s v="UG"/>
    <n v="1"/>
    <s v="Home"/>
    <s v="JINJA TOWN"/>
    <s v="JINJA"/>
    <s v="UG"/>
    <n v="6"/>
    <s v="Leisure/Social"/>
    <x v="3"/>
    <n v="15000"/>
    <n v="150"/>
    <x v="2"/>
    <n v="4"/>
    <x v="0"/>
    <n v="4"/>
    <s v="Office Worker"/>
    <n v="3"/>
    <x v="0"/>
    <n v="4"/>
    <n v="3"/>
    <n v="2"/>
    <n v="1"/>
    <n v="5"/>
    <s v="Y"/>
    <n v="3000"/>
    <x v="5"/>
  </r>
  <r>
    <s v="2019.10.26"/>
    <d v="1899-12-30T07:30:00"/>
    <m/>
    <s v="P"/>
    <n v="2"/>
    <s v="Road Vehicle"/>
    <n v="4"/>
    <x v="3"/>
    <x v="1"/>
    <n v="3"/>
    <x v="2"/>
    <s v="MITYANA TOWN"/>
    <s v="MITYANA"/>
    <s v="UG"/>
    <n v="6"/>
    <s v="Leisure/Social"/>
    <s v="BUSEGA"/>
    <s v="KAMPALA"/>
    <s v="UG"/>
    <n v="1"/>
    <s v="Home"/>
    <x v="7"/>
    <n v="6000"/>
    <m/>
    <x v="4"/>
    <n v="1.5"/>
    <x v="2"/>
    <n v="6"/>
    <s v="Businessman"/>
    <n v="3"/>
    <x v="0"/>
    <n v="5"/>
    <n v="1"/>
    <n v="4"/>
    <n v="2"/>
    <n v="3"/>
    <s v="Y"/>
    <n v="1000"/>
    <x v="1"/>
  </r>
  <r>
    <s v="2019.10.26"/>
    <d v="1899-12-30T08:13:00"/>
    <m/>
    <s v="P"/>
    <n v="2"/>
    <s v="Road Vehicle"/>
    <n v="4"/>
    <x v="3"/>
    <x v="1"/>
    <n v="3"/>
    <x v="2"/>
    <s v="MITYANA TOWN"/>
    <s v="MITYANA"/>
    <s v="UG"/>
    <n v="2"/>
    <s v="Work"/>
    <s v="BUSEGA"/>
    <s v="WAKISO"/>
    <s v="UG"/>
    <n v="6"/>
    <s v="Leisure/Social"/>
    <x v="22"/>
    <n v="8000"/>
    <m/>
    <x v="4"/>
    <n v="1.5"/>
    <x v="2"/>
    <n v="6"/>
    <s v="Businessman"/>
    <n v="3"/>
    <x v="0"/>
    <n v="4"/>
    <n v="5"/>
    <n v="1"/>
    <n v="2"/>
    <n v="3"/>
    <s v="Y"/>
    <n v="1000"/>
    <x v="1"/>
  </r>
  <r>
    <s v="2019.10.26"/>
    <d v="1899-12-30T08:22:00"/>
    <m/>
    <s v="P"/>
    <n v="2"/>
    <s v="Road Vehicle"/>
    <n v="4"/>
    <x v="3"/>
    <x v="1"/>
    <n v="3"/>
    <x v="2"/>
    <s v="NDIBULUNGI"/>
    <s v="MITYANA"/>
    <s v="UG"/>
    <n v="6"/>
    <s v="Leisure/Social"/>
    <s v="SEETA"/>
    <s v="MUKONO"/>
    <s v="UG"/>
    <n v="1"/>
    <s v="Home"/>
    <x v="7"/>
    <n v="11000"/>
    <m/>
    <x v="4"/>
    <n v="3"/>
    <x v="1"/>
    <n v="4"/>
    <s v="Office Worker"/>
    <n v="3"/>
    <x v="0"/>
    <n v="3"/>
    <n v="2"/>
    <n v="4"/>
    <n v="1"/>
    <n v="5"/>
    <s v="Y"/>
    <n v="1500"/>
    <x v="1"/>
  </r>
  <r>
    <s v="2019.10.26"/>
    <d v="1899-12-30T08:49:00"/>
    <m/>
    <s v="P"/>
    <n v="2"/>
    <s v="Road Vehicle"/>
    <n v="4"/>
    <x v="3"/>
    <x v="1"/>
    <n v="3"/>
    <x v="2"/>
    <s v="MITYANA TOWN"/>
    <s v="MITYANA"/>
    <s v="UG"/>
    <n v="2"/>
    <s v="Work"/>
    <s v="ABAITAABABIRI"/>
    <s v="ENTEBBE"/>
    <s v="UG"/>
    <n v="1"/>
    <s v="Home"/>
    <x v="1"/>
    <n v="10000"/>
    <n v="90"/>
    <x v="0"/>
    <n v="2"/>
    <x v="1"/>
    <n v="4"/>
    <s v="Office Worker"/>
    <n v="3"/>
    <x v="0"/>
    <n v="2"/>
    <n v="5"/>
    <n v="3"/>
    <n v="1"/>
    <n v="4"/>
    <s v="Y"/>
    <n v="2000"/>
    <x v="4"/>
  </r>
  <r>
    <s v="2019.10.26"/>
    <d v="1899-12-30T08:51:00"/>
    <m/>
    <s v="P"/>
    <n v="2"/>
    <s v="Road Vehicle"/>
    <n v="4"/>
    <x v="3"/>
    <x v="1"/>
    <n v="3"/>
    <x v="2"/>
    <s v="SEKANYONYI"/>
    <s v="MITYANA"/>
    <s v="UG"/>
    <n v="1"/>
    <s v="Home"/>
    <s v="CITY CENTER"/>
    <s v="KAMPALA"/>
    <s v="UG"/>
    <n v="6"/>
    <s v="Leisure/Social"/>
    <x v="3"/>
    <n v="10000"/>
    <m/>
    <x v="4"/>
    <n v="2"/>
    <x v="1"/>
    <n v="6"/>
    <s v="Businessman"/>
    <n v="3"/>
    <x v="0"/>
    <n v="5"/>
    <n v="1"/>
    <n v="3"/>
    <n v="2"/>
    <n v="1"/>
    <s v="Y"/>
    <n v="3000"/>
    <x v="5"/>
  </r>
  <r>
    <s v="2019.10.26"/>
    <d v="1899-12-30T11:28:00"/>
    <m/>
    <s v="P"/>
    <n v="2"/>
    <s v="Road Vehicle"/>
    <n v="4"/>
    <x v="3"/>
    <x v="1"/>
    <n v="3"/>
    <x v="2"/>
    <s v="MITYANA TOWN"/>
    <s v="MITYANA"/>
    <s v="UG"/>
    <n v="1"/>
    <s v="Home"/>
    <s v="NAKAWA"/>
    <s v="KAMPALA"/>
    <s v="UG"/>
    <n v="8"/>
    <s v="Others"/>
    <x v="4"/>
    <n v="9000"/>
    <n v="70"/>
    <x v="0"/>
    <n v="3"/>
    <x v="1"/>
    <n v="4"/>
    <s v="Office Worker"/>
    <n v="1"/>
    <x v="2"/>
    <n v="2"/>
    <n v="5"/>
    <n v="3"/>
    <n v="1"/>
    <n v="4"/>
    <s v="Y"/>
    <n v="500"/>
    <x v="0"/>
  </r>
  <r>
    <s v="2019.10.26"/>
    <d v="1899-12-30T12:51:00"/>
    <m/>
    <s v="P"/>
    <n v="2"/>
    <s v="Road Vehicle"/>
    <n v="4"/>
    <x v="3"/>
    <x v="1"/>
    <n v="3"/>
    <x v="2"/>
    <s v="MITYANA TOWN"/>
    <s v="MITYANA"/>
    <s v="UG"/>
    <n v="2"/>
    <s v="Work"/>
    <s v="KALANGALA"/>
    <s v="MITYANA"/>
    <s v="UG"/>
    <n v="8"/>
    <s v="Others"/>
    <x v="6"/>
    <n v="4000"/>
    <n v="15"/>
    <x v="6"/>
    <n v="0.5"/>
    <x v="3"/>
    <n v="6"/>
    <s v="Businessman"/>
    <n v="2"/>
    <x v="1"/>
    <n v="1"/>
    <n v="2"/>
    <n v="5"/>
    <n v="4"/>
    <n v="3"/>
    <s v="Y"/>
    <n v="100"/>
    <x v="0"/>
  </r>
  <r>
    <s v="2019.10.24"/>
    <d v="1899-12-30T14:00:00"/>
    <m/>
    <s v="D"/>
    <n v="2"/>
    <s v="Road Vehicle"/>
    <n v="2"/>
    <x v="4"/>
    <x v="0"/>
    <n v="3"/>
    <x v="2"/>
    <s v="TAXI PARK"/>
    <s v="MITYANA"/>
    <s v="UG"/>
    <n v="2"/>
    <s v="Work"/>
    <s v="KAWENZIKE"/>
    <s v="MITYANA"/>
    <s v="UG"/>
    <n v="2"/>
    <s v="Work"/>
    <x v="5"/>
    <n v="40000"/>
    <n v="7"/>
    <x v="4"/>
    <n v="0.9"/>
    <x v="3"/>
    <n v="5"/>
    <s v="Professional"/>
    <n v="3"/>
    <x v="0"/>
    <n v="3"/>
    <n v="1"/>
    <n v="5"/>
    <n v="2"/>
    <n v="4"/>
    <s v="Y"/>
    <n v="1000"/>
    <x v="1"/>
  </r>
  <r>
    <s v="2019.10.24"/>
    <d v="1899-12-30T14:51:00"/>
    <m/>
    <s v="D "/>
    <n v="2"/>
    <s v="Road Vehicle"/>
    <n v="1"/>
    <x v="0"/>
    <x v="1"/>
    <n v="4"/>
    <x v="3"/>
    <s v="NDIBULUNGI"/>
    <s v="MITYANA"/>
    <s v="UG"/>
    <n v="2"/>
    <s v="Work"/>
    <s v="TAXI PARK"/>
    <s v="MITYANA"/>
    <s v="UG"/>
    <n v="2"/>
    <s v="Work"/>
    <x v="5"/>
    <n v="15000"/>
    <n v="6"/>
    <x v="4"/>
    <n v="0.15"/>
    <x v="4"/>
    <n v="10"/>
    <s v="Other"/>
    <n v="2"/>
    <x v="1"/>
    <n v="1"/>
    <n v="3"/>
    <n v="5"/>
    <n v="4"/>
    <n v="2"/>
    <s v="Y"/>
    <n v="2000"/>
    <x v="4"/>
  </r>
  <r>
    <s v="2019.10.24"/>
    <d v="1899-12-30T10:29:00"/>
    <m/>
    <s v="D"/>
    <n v="2"/>
    <s v="Road Vehicle"/>
    <n v="1"/>
    <x v="0"/>
    <x v="1"/>
    <n v="4"/>
    <x v="3"/>
    <s v="KIGOGWA"/>
    <s v="MITYANA"/>
    <s v="UG"/>
    <n v="2"/>
    <s v="Work"/>
    <s v="KALANGALA"/>
    <s v="MITYANA"/>
    <s v="UG"/>
    <n v="2"/>
    <s v="Work"/>
    <x v="5"/>
    <n v="30000"/>
    <n v="18"/>
    <x v="6"/>
    <n v="1"/>
    <x v="2"/>
    <n v="10"/>
    <s v="Other"/>
    <n v="1"/>
    <x v="2"/>
    <n v="2"/>
    <n v="3"/>
    <n v="1"/>
    <n v="5"/>
    <n v="4"/>
    <s v="Y"/>
    <n v="1000"/>
    <x v="1"/>
  </r>
  <r>
    <s v="2019.10.26"/>
    <d v="1899-12-30T12:43:00"/>
    <m/>
    <s v="P"/>
    <n v="2"/>
    <s v="Road Vehicle"/>
    <n v="4"/>
    <x v="3"/>
    <x v="1"/>
    <n v="4"/>
    <x v="3"/>
    <s v="BUWABULONGO"/>
    <s v="MITYANA"/>
    <s v="UG"/>
    <n v="1"/>
    <s v="Home"/>
    <s v="NAMUTAMBA"/>
    <s v="MITYANA"/>
    <s v="UG"/>
    <n v="6"/>
    <s v="Leisure/Social"/>
    <x v="3"/>
    <n v="3000"/>
    <m/>
    <x v="4"/>
    <n v="0.5"/>
    <x v="3"/>
    <n v="1"/>
    <s v="Unemployed"/>
    <n v="1"/>
    <x v="2"/>
    <n v="4"/>
    <n v="2"/>
    <n v="3"/>
    <n v="1"/>
    <n v="5"/>
    <s v="Y"/>
    <n v="1000"/>
    <x v="1"/>
  </r>
  <r>
    <s v="2019.10.24"/>
    <d v="1899-12-30T13:55:00"/>
    <m/>
    <s v="P"/>
    <n v="2"/>
    <s v="Road Vehicle"/>
    <n v="4"/>
    <x v="3"/>
    <x v="1"/>
    <n v="4"/>
    <x v="3"/>
    <s v="KAKINDU"/>
    <s v="MITYANA"/>
    <s v="UG"/>
    <n v="6"/>
    <s v="Leisure/Social"/>
    <s v="KIVAMULA"/>
    <s v="MITYANA"/>
    <s v="UG"/>
    <n v="1"/>
    <s v="Home"/>
    <x v="7"/>
    <n v="5000"/>
    <m/>
    <x v="4"/>
    <n v="0.9"/>
    <x v="3"/>
    <n v="5"/>
    <s v="Professional"/>
    <n v="3"/>
    <x v="0"/>
    <n v="3"/>
    <n v="5"/>
    <n v="2"/>
    <n v="1"/>
    <n v="4"/>
    <s v="Y"/>
    <n v="2000"/>
    <x v="4"/>
  </r>
  <r>
    <s v="2019.10.24"/>
    <d v="1899-12-30T11:18:00"/>
    <m/>
    <s v="D"/>
    <n v="2"/>
    <s v="Road Vehicle"/>
    <n v="4"/>
    <x v="3"/>
    <x v="1"/>
    <n v="4"/>
    <x v="3"/>
    <s v="TAXI PARK"/>
    <s v="MITYANA"/>
    <s v="UG"/>
    <n v="2"/>
    <s v="Work"/>
    <s v="TAXI PARK"/>
    <s v="KAMPALA"/>
    <s v="UG"/>
    <n v="2"/>
    <s v="Work"/>
    <x v="5"/>
    <n v="65000"/>
    <m/>
    <x v="4"/>
    <n v="2"/>
    <x v="1"/>
    <n v="10"/>
    <s v="Other"/>
    <n v="2"/>
    <x v="1"/>
    <n v="4"/>
    <n v="2"/>
    <n v="5"/>
    <n v="1"/>
    <n v="3"/>
    <s v="Y"/>
    <n v="1000"/>
    <x v="1"/>
  </r>
  <r>
    <s v="2019.10.24"/>
    <d v="1899-12-30T10:55:00"/>
    <m/>
    <s v="D"/>
    <n v="2"/>
    <s v="Road Vehicle"/>
    <n v="4"/>
    <x v="3"/>
    <x v="1"/>
    <n v="4"/>
    <x v="3"/>
    <s v="TAXI PARK"/>
    <s v="MITYANA"/>
    <s v="UG"/>
    <n v="2"/>
    <s v="Work"/>
    <s v="TAXI PARK"/>
    <s v="KAMPALA"/>
    <s v="UG"/>
    <n v="2"/>
    <s v="Work"/>
    <x v="5"/>
    <n v="40000"/>
    <n v="65"/>
    <x v="1"/>
    <n v="2"/>
    <x v="1"/>
    <n v="5"/>
    <s v="Professional"/>
    <n v="2"/>
    <x v="1"/>
    <n v="2"/>
    <n v="3"/>
    <n v="5"/>
    <n v="1"/>
    <n v="4"/>
    <s v="Y"/>
    <m/>
    <x v="0"/>
  </r>
  <r>
    <s v="2019.10.24"/>
    <d v="1899-12-30T15:59:00"/>
    <m/>
    <s v="P"/>
    <n v="2"/>
    <s v="Road Vehicle"/>
    <n v="4"/>
    <x v="3"/>
    <x v="1"/>
    <n v="4"/>
    <x v="3"/>
    <s v="MAANYI"/>
    <s v="MITYANA"/>
    <s v="UG"/>
    <n v="1"/>
    <s v="Home"/>
    <s v="KISAASI"/>
    <s v="KAMPALA"/>
    <s v="UG"/>
    <n v="2"/>
    <s v="Work"/>
    <x v="8"/>
    <n v="11000"/>
    <n v="72"/>
    <x v="0"/>
    <n v="1.5"/>
    <x v="2"/>
    <n v="4"/>
    <s v="Office Worker"/>
    <n v="3"/>
    <x v="0"/>
    <n v="3"/>
    <n v="2"/>
    <n v="5"/>
    <n v="1"/>
    <n v="4"/>
    <s v="Y"/>
    <n v="1000"/>
    <x v="1"/>
  </r>
  <r>
    <s v="2019.10.24"/>
    <d v="1899-12-30T16:27:00"/>
    <m/>
    <s v="P"/>
    <n v="2"/>
    <s v="Road Vehicle"/>
    <n v="4"/>
    <x v="3"/>
    <x v="1"/>
    <n v="4"/>
    <x v="3"/>
    <s v="BUTAYUNGA"/>
    <s v="MITYANA"/>
    <s v="UG"/>
    <n v="1"/>
    <s v="Home"/>
    <s v="BUSEGA"/>
    <s v="WAKISO"/>
    <s v="UG"/>
    <n v="2"/>
    <s v="Work"/>
    <x v="8"/>
    <n v="9000"/>
    <m/>
    <x v="4"/>
    <n v="1.5"/>
    <x v="2"/>
    <n v="5"/>
    <s v="Professional"/>
    <n v="2"/>
    <x v="1"/>
    <n v="2"/>
    <n v="4"/>
    <n v="5"/>
    <n v="1"/>
    <n v="3"/>
    <s v="Y"/>
    <n v="2000"/>
    <x v="4"/>
  </r>
  <r>
    <s v="2019.10.24"/>
    <d v="1899-12-30T16:43:00"/>
    <m/>
    <s v="D"/>
    <n v="2"/>
    <s v="Road Vehicle"/>
    <n v="4"/>
    <x v="3"/>
    <x v="1"/>
    <n v="4"/>
    <x v="3"/>
    <s v="TAXI PARK"/>
    <s v="MITYANA"/>
    <s v="UG"/>
    <n v="2"/>
    <s v="Work"/>
    <s v="TAXI PARK"/>
    <s v="KAMPALA"/>
    <s v="UG"/>
    <n v="2"/>
    <s v="Work"/>
    <x v="5"/>
    <n v="70000"/>
    <n v="80"/>
    <x v="0"/>
    <n v="3"/>
    <x v="1"/>
    <n v="10"/>
    <s v="Other"/>
    <n v="2"/>
    <x v="1"/>
    <n v="1"/>
    <n v="2"/>
    <n v="5"/>
    <n v="4"/>
    <n v="3"/>
    <s v="Y"/>
    <n v="200"/>
    <x v="0"/>
  </r>
  <r>
    <s v="2019.10.24"/>
    <d v="1899-12-30T17:05:00"/>
    <m/>
    <s v="P"/>
    <n v="2"/>
    <s v="Road Vehicle"/>
    <n v="4"/>
    <x v="3"/>
    <x v="1"/>
    <n v="4"/>
    <x v="3"/>
    <s v="KIKINDU"/>
    <s v="MITYANA"/>
    <s v="UG"/>
    <n v="1"/>
    <s v="Home"/>
    <s v="NYENGE"/>
    <s v="MUKONO"/>
    <s v="UG"/>
    <n v="6"/>
    <s v="Leisure/Social"/>
    <x v="3"/>
    <n v="15000"/>
    <m/>
    <x v="4"/>
    <n v="3"/>
    <x v="1"/>
    <n v="6"/>
    <s v="Businessman"/>
    <n v="5"/>
    <x v="4"/>
    <n v="2"/>
    <n v="5"/>
    <n v="3"/>
    <n v="1"/>
    <n v="4"/>
    <s v="Y"/>
    <m/>
    <x v="0"/>
  </r>
  <r>
    <s v="2019.10.26"/>
    <d v="1899-12-30T10:34:00"/>
    <m/>
    <s v="D"/>
    <n v="2"/>
    <s v="Road Vehicle"/>
    <n v="4"/>
    <x v="3"/>
    <x v="1"/>
    <n v="4"/>
    <x v="3"/>
    <s v="MITYANA TOWN"/>
    <s v="MITYANA"/>
    <s v="UG"/>
    <n v="2"/>
    <s v="Work"/>
    <s v="CITY CENTER"/>
    <s v="KAMPALA"/>
    <s v="UG"/>
    <n v="2"/>
    <s v="Work"/>
    <x v="5"/>
    <n v="80000"/>
    <n v="60"/>
    <x v="1"/>
    <n v="1.5"/>
    <x v="2"/>
    <n v="10"/>
    <s v="Other"/>
    <n v="2"/>
    <x v="1"/>
    <n v="1"/>
    <n v="3"/>
    <n v="5"/>
    <n v="4"/>
    <n v="2"/>
    <s v="Y"/>
    <n v="1000"/>
    <x v="1"/>
  </r>
  <r>
    <s v="2019.10.26"/>
    <d v="1899-12-30T15:40:00"/>
    <m/>
    <s v="P"/>
    <n v="2"/>
    <s v="Road Vehicle"/>
    <n v="4"/>
    <x v="3"/>
    <x v="1"/>
    <n v="4"/>
    <x v="3"/>
    <s v="NAMUTAMBA"/>
    <s v="MITYANA"/>
    <s v="UG"/>
    <n v="8"/>
    <s v="Others"/>
    <s v="BUSEGA"/>
    <s v="KAMPALA"/>
    <s v="UG"/>
    <n v="1"/>
    <s v="Home"/>
    <x v="29"/>
    <n v="10000"/>
    <m/>
    <x v="4"/>
    <n v="2"/>
    <x v="1"/>
    <n v="7"/>
    <s v="Farmer"/>
    <n v="4"/>
    <x v="3"/>
    <n v="2"/>
    <n v="4"/>
    <n v="3"/>
    <n v="1"/>
    <n v="5"/>
    <s v="Y"/>
    <n v="1000"/>
    <x v="1"/>
  </r>
  <r>
    <s v="2019.10.26"/>
    <d v="1899-12-30T16:12:00"/>
    <m/>
    <s v="D"/>
    <n v="2"/>
    <s v="Road Vehicle"/>
    <n v="4"/>
    <x v="3"/>
    <x v="1"/>
    <n v="4"/>
    <x v="3"/>
    <s v="TAXI PARK"/>
    <s v="MITYANA"/>
    <s v="UG"/>
    <n v="2"/>
    <s v="Work"/>
    <s v="NAMUTAMBA"/>
    <s v="MITYANA"/>
    <s v="UG"/>
    <n v="2"/>
    <s v="Work"/>
    <x v="5"/>
    <n v="10000"/>
    <n v="14"/>
    <x v="6"/>
    <n v="0.2"/>
    <x v="4"/>
    <n v="10"/>
    <s v="Other"/>
    <n v="2"/>
    <x v="1"/>
    <n v="3"/>
    <n v="4"/>
    <n v="1"/>
    <n v="2"/>
    <n v="5"/>
    <s v="Y"/>
    <m/>
    <x v="0"/>
  </r>
  <r>
    <s v="2019.10.26"/>
    <d v="1899-12-30T10:54:00"/>
    <m/>
    <s v="D"/>
    <n v="2"/>
    <s v="Road Vehicle"/>
    <n v="4"/>
    <x v="3"/>
    <x v="1"/>
    <n v="4"/>
    <x v="3"/>
    <s v="TAXI PARK"/>
    <s v="MITYANA"/>
    <s v="UG"/>
    <n v="2"/>
    <s v="Work"/>
    <s v="CITY CENTER"/>
    <s v="KAMPALA"/>
    <s v="UG"/>
    <n v="2"/>
    <s v="Work"/>
    <x v="5"/>
    <n v="35000"/>
    <n v="68"/>
    <x v="1"/>
    <n v="1.5"/>
    <x v="2"/>
    <n v="10"/>
    <s v="Other"/>
    <n v="2"/>
    <x v="1"/>
    <n v="4"/>
    <n v="2"/>
    <n v="5"/>
    <n v="1"/>
    <n v="3"/>
    <s v="Y"/>
    <n v="1000"/>
    <x v="1"/>
  </r>
  <r>
    <s v="2019.10.26"/>
    <d v="1899-12-30T07:36:00"/>
    <m/>
    <s v="P"/>
    <n v="2"/>
    <s v="Road Vehicle"/>
    <n v="4"/>
    <x v="3"/>
    <x v="1"/>
    <n v="4"/>
    <x v="3"/>
    <s v="MITYANA TOWN"/>
    <s v="MITYANA"/>
    <s v="UG"/>
    <n v="1"/>
    <s v="Home"/>
    <s v="KASANGATI"/>
    <s v="WAKISO"/>
    <s v="UG"/>
    <n v="6"/>
    <s v="Leisure/Social"/>
    <x v="3"/>
    <n v="7000"/>
    <n v="79"/>
    <x v="0"/>
    <n v="2"/>
    <x v="1"/>
    <n v="10"/>
    <s v="Other"/>
    <n v="2"/>
    <x v="1"/>
    <n v="3"/>
    <n v="5"/>
    <n v="4"/>
    <n v="1"/>
    <n v="2"/>
    <s v="Y"/>
    <n v="1000"/>
    <x v="1"/>
  </r>
  <r>
    <s v="2019.10.26"/>
    <d v="1899-12-30T07:59:00"/>
    <m/>
    <s v="D"/>
    <n v="2"/>
    <s v="Road Vehicle"/>
    <n v="4"/>
    <x v="3"/>
    <x v="1"/>
    <n v="4"/>
    <x v="3"/>
    <s v="TAXI PARK"/>
    <s v="MITYANA"/>
    <s v="UG"/>
    <n v="2"/>
    <s v="Work"/>
    <s v="TAXI PARK"/>
    <s v="KAMPALA"/>
    <s v="UG"/>
    <n v="2"/>
    <s v="Work"/>
    <x v="5"/>
    <n v="30000"/>
    <n v="70"/>
    <x v="0"/>
    <n v="1.5"/>
    <x v="2"/>
    <n v="10"/>
    <s v="Other"/>
    <n v="2"/>
    <x v="1"/>
    <n v="1"/>
    <n v="3"/>
    <n v="5"/>
    <n v="4"/>
    <n v="2"/>
    <s v="Y"/>
    <n v="100"/>
    <x v="0"/>
  </r>
  <r>
    <s v="2019.10.26"/>
    <d v="1899-12-30T08:35:00"/>
    <m/>
    <s v="D"/>
    <n v="2"/>
    <s v="Road Vehicle"/>
    <n v="4"/>
    <x v="3"/>
    <x v="1"/>
    <n v="4"/>
    <x v="3"/>
    <s v="MITYANA TOWN"/>
    <s v="MITYANA"/>
    <s v="UG"/>
    <n v="2"/>
    <s v="Work"/>
    <s v="TAXI PARK"/>
    <s v="KAMPALA"/>
    <s v="UG"/>
    <n v="2"/>
    <s v="Work"/>
    <x v="5"/>
    <n v="50000"/>
    <n v="60"/>
    <x v="1"/>
    <n v="2"/>
    <x v="1"/>
    <n v="10"/>
    <s v="Other"/>
    <n v="2"/>
    <x v="1"/>
    <n v="3"/>
    <n v="2"/>
    <n v="5"/>
    <n v="1"/>
    <n v="4"/>
    <s v="Y"/>
    <n v="1000"/>
    <x v="1"/>
  </r>
  <r>
    <s v="2019.10.26"/>
    <d v="1899-12-30T09:45:00"/>
    <m/>
    <s v="P"/>
    <n v="2"/>
    <s v="Road Vehicle"/>
    <n v="4"/>
    <x v="3"/>
    <x v="1"/>
    <n v="4"/>
    <x v="3"/>
    <s v="GOMBA"/>
    <s v="KANONI"/>
    <s v="UG"/>
    <n v="1"/>
    <s v="Home"/>
    <s v="TAXI PARK"/>
    <s v="MITYANA"/>
    <s v="UG"/>
    <n v="4"/>
    <s v="Commercial"/>
    <x v="12"/>
    <n v="12000"/>
    <n v="35"/>
    <x v="5"/>
    <n v="1"/>
    <x v="2"/>
    <n v="6"/>
    <s v="Businessman"/>
    <n v="2"/>
    <x v="1"/>
    <n v="5"/>
    <n v="2"/>
    <n v="3"/>
    <n v="1"/>
    <n v="4"/>
    <s v="Y"/>
    <n v="1000"/>
    <x v="1"/>
  </r>
  <r>
    <s v="2019.10.24"/>
    <d v="1899-12-30T12:30:00"/>
    <m/>
    <s v="P"/>
    <n v="2"/>
    <s v="Road Vehicle"/>
    <n v="4"/>
    <x v="3"/>
    <x v="1"/>
    <n v="5"/>
    <x v="4"/>
    <s v="NAMUKOZI"/>
    <s v="MITYANA"/>
    <s v="UG"/>
    <n v="1"/>
    <s v="Home"/>
    <s v="TAMU"/>
    <s v="MITYANA"/>
    <s v="UG"/>
    <n v="2"/>
    <s v="Work"/>
    <x v="8"/>
    <n v="4000"/>
    <m/>
    <x v="4"/>
    <n v="0.5"/>
    <x v="3"/>
    <n v="6"/>
    <s v="Businessman"/>
    <n v="3"/>
    <x v="0"/>
    <n v="3"/>
    <n v="2"/>
    <n v="1"/>
    <n v="4"/>
    <n v="5"/>
    <s v="Y"/>
    <n v="4000"/>
    <x v="5"/>
  </r>
  <r>
    <s v="26.10.2019"/>
    <d v="1899-12-30T07:30:00"/>
    <m/>
    <s v="D"/>
    <n v="2"/>
    <s v="Road Vehicle"/>
    <n v="1"/>
    <x v="0"/>
    <x v="0"/>
    <n v="1"/>
    <x v="0"/>
    <s v="MUKIGAGA"/>
    <s v="MUBENDE"/>
    <s v="UG"/>
    <n v="1"/>
    <s v="Home"/>
    <s v="MUBENDE TOWN"/>
    <s v="MUBENDE"/>
    <s v="UG"/>
    <n v="2"/>
    <s v="Work"/>
    <x v="8"/>
    <n v="12000"/>
    <n v="22"/>
    <x v="5"/>
    <n v="0.4"/>
    <x v="4"/>
    <n v="6"/>
    <s v="Businessman"/>
    <n v="5"/>
    <x v="4"/>
    <n v="2"/>
    <n v="1"/>
    <n v="1"/>
    <n v="1"/>
    <n v="1"/>
    <s v="Y"/>
    <n v="3000"/>
    <x v="5"/>
  </r>
  <r>
    <s v="26.10.2019"/>
    <d v="1899-12-30T09:31:00"/>
    <m/>
    <s v="P"/>
    <n v="2"/>
    <s v="Road Vehicle"/>
    <n v="1"/>
    <x v="0"/>
    <x v="0"/>
    <n v="1"/>
    <x v="0"/>
    <s v="KASAJJA"/>
    <s v="MUBENDE"/>
    <s v="UG"/>
    <n v="1"/>
    <s v="Home"/>
    <s v="MUBENDE TOWN"/>
    <s v="MUB"/>
    <s v="UG"/>
    <n v="2"/>
    <s v="Work"/>
    <x v="8"/>
    <n v="10000"/>
    <n v="31"/>
    <x v="5"/>
    <n v="0.4"/>
    <x v="4"/>
    <n v="6"/>
    <s v="Businessman"/>
    <n v="4"/>
    <x v="3"/>
    <n v="2"/>
    <n v="1"/>
    <n v="1"/>
    <n v="1"/>
    <n v="2"/>
    <s v="Y"/>
    <m/>
    <x v="0"/>
  </r>
  <r>
    <s v="24.10.2019"/>
    <d v="1899-12-30T18:31:00"/>
    <m/>
    <s v="P"/>
    <n v="2"/>
    <s v="Road Vehicle"/>
    <n v="6"/>
    <x v="1"/>
    <x v="1"/>
    <n v="1"/>
    <x v="0"/>
    <s v="MUKONO TOWN"/>
    <s v="MUKONO"/>
    <s v="UG"/>
    <n v="3"/>
    <s v="Study"/>
    <s v="KASESE TOWN"/>
    <s v="KASESE"/>
    <s v="UG"/>
    <n v="3"/>
    <s v="Study"/>
    <x v="30"/>
    <n v="60000"/>
    <n v="300"/>
    <x v="3"/>
    <n v="5"/>
    <x v="0"/>
    <n v="8"/>
    <s v="Student"/>
    <n v="1"/>
    <x v="2"/>
    <n v="1"/>
    <n v="1"/>
    <n v="1"/>
    <n v="1"/>
    <n v="1"/>
    <s v="Y"/>
    <n v="1000"/>
    <x v="1"/>
  </r>
  <r>
    <s v="26.10.2019"/>
    <d v="1899-12-30T10:08:00"/>
    <m/>
    <s v="P"/>
    <n v="2"/>
    <s v="Road Vehicle"/>
    <n v="6"/>
    <x v="1"/>
    <x v="1"/>
    <n v="1"/>
    <x v="0"/>
    <s v="KASESE TOWN"/>
    <s v="KASESE"/>
    <s v="UG"/>
    <n v="1"/>
    <s v="Home"/>
    <s v="KAMPALA TOWN"/>
    <s v="KAMPALA"/>
    <s v="UG"/>
    <n v="2"/>
    <s v="Work"/>
    <x v="8"/>
    <n v="35000"/>
    <n v="406"/>
    <x v="3"/>
    <n v="8"/>
    <x v="0"/>
    <n v="7"/>
    <s v="Farmer"/>
    <n v="2"/>
    <x v="1"/>
    <n v="1"/>
    <n v="1"/>
    <n v="1"/>
    <n v="1"/>
    <n v="2"/>
    <s v="Y"/>
    <n v="2000"/>
    <x v="4"/>
  </r>
  <r>
    <s v="24.10.2019"/>
    <d v="1899-12-30T14:28:00"/>
    <m/>
    <s v="P"/>
    <n v="2"/>
    <s v="Road Vehicle"/>
    <n v="4"/>
    <x v="3"/>
    <x v="0"/>
    <n v="1"/>
    <x v="0"/>
    <s v="MUBENDE TOWN"/>
    <s v="MUBENDE"/>
    <s v="UG"/>
    <n v="1"/>
    <s v="Home"/>
    <s v="MITYANA TOWN"/>
    <s v="MITYANA"/>
    <s v="UG"/>
    <n v="3"/>
    <s v="Study"/>
    <x v="10"/>
    <m/>
    <m/>
    <x v="4"/>
    <m/>
    <x v="4"/>
    <n v="8"/>
    <s v="Student"/>
    <n v="1"/>
    <x v="2"/>
    <n v="5"/>
    <n v="5"/>
    <n v="5"/>
    <n v="5"/>
    <n v="5"/>
    <s v="Y"/>
    <m/>
    <x v="0"/>
  </r>
  <r>
    <s v="24.10.2019"/>
    <d v="1899-12-30T16:15:00"/>
    <m/>
    <s v="P"/>
    <n v="2"/>
    <s v="Road Vehicle"/>
    <n v="4"/>
    <x v="3"/>
    <x v="0"/>
    <n v="1"/>
    <x v="0"/>
    <m/>
    <m/>
    <s v="UG"/>
    <n v="6"/>
    <s v="Leisure/Social"/>
    <m/>
    <m/>
    <s v="UG"/>
    <n v="6"/>
    <s v="Leisure/Social"/>
    <x v="17"/>
    <m/>
    <m/>
    <x v="4"/>
    <m/>
    <x v="4"/>
    <n v="1"/>
    <s v="Unemployed"/>
    <n v="1"/>
    <x v="2"/>
    <n v="5"/>
    <n v="5"/>
    <n v="5"/>
    <n v="5"/>
    <n v="5"/>
    <s v="Y"/>
    <m/>
    <x v="0"/>
  </r>
  <r>
    <s v="24.10.2019"/>
    <d v="1899-12-30T17:52:00"/>
    <m/>
    <s v="P"/>
    <n v="2"/>
    <s v="Road Vehicle"/>
    <n v="4"/>
    <x v="3"/>
    <x v="0"/>
    <n v="1"/>
    <x v="0"/>
    <s v="MUBENDE TOWN"/>
    <s v="MUBENDE"/>
    <s v="UG"/>
    <n v="1"/>
    <s v="Home"/>
    <s v="MITYANA TOWN"/>
    <s v="MITYANA"/>
    <s v="UG"/>
    <n v="3"/>
    <s v="Study"/>
    <x v="10"/>
    <n v="7000"/>
    <n v="150"/>
    <x v="2"/>
    <n v="1"/>
    <x v="2"/>
    <n v="1"/>
    <s v="Unemployed"/>
    <n v="1"/>
    <x v="2"/>
    <n v="1"/>
    <n v="1"/>
    <n v="1"/>
    <n v="1"/>
    <n v="1"/>
    <s v="Y"/>
    <m/>
    <x v="0"/>
  </r>
  <r>
    <s v="24.10.2019"/>
    <d v="1899-12-30T15:26:00"/>
    <m/>
    <s v="P"/>
    <n v="2"/>
    <s v="Road Vehicle"/>
    <n v="4"/>
    <x v="3"/>
    <x v="0"/>
    <n v="1"/>
    <x v="0"/>
    <s v="MUKIGOYO"/>
    <s v="MUBENDE"/>
    <s v="UG"/>
    <n v="1"/>
    <s v="Home"/>
    <s v="MUBENDE TOWN"/>
    <s v="MUBENDE"/>
    <s v="UG"/>
    <n v="2"/>
    <s v="Work"/>
    <x v="8"/>
    <n v="2500"/>
    <n v="36"/>
    <x v="5"/>
    <n v="0.7"/>
    <x v="3"/>
    <n v="6"/>
    <s v="Businessman"/>
    <n v="1"/>
    <x v="2"/>
    <n v="3"/>
    <n v="2"/>
    <n v="3"/>
    <n v="2"/>
    <n v="2"/>
    <s v="Y"/>
    <m/>
    <x v="0"/>
  </r>
  <r>
    <s v="24.10.2019"/>
    <d v="1899-12-30T15:46:00"/>
    <m/>
    <s v="P"/>
    <n v="2"/>
    <s v="Road Vehicle"/>
    <n v="4"/>
    <x v="3"/>
    <x v="0"/>
    <n v="1"/>
    <x v="0"/>
    <s v="MITYANA TOWN"/>
    <s v="MITYANA"/>
    <s v="UG"/>
    <n v="4"/>
    <s v="Commercial"/>
    <s v="KIRANGI"/>
    <s v="MUBENDE"/>
    <s v="UG"/>
    <n v="1"/>
    <s v="Home"/>
    <x v="0"/>
    <n v="11000"/>
    <n v="86"/>
    <x v="0"/>
    <n v="1.5"/>
    <x v="2"/>
    <n v="7"/>
    <s v="Farmer"/>
    <n v="3"/>
    <x v="0"/>
    <n v="1"/>
    <n v="1"/>
    <n v="1"/>
    <n v="2"/>
    <n v="2"/>
    <s v="Y"/>
    <n v="1000"/>
    <x v="1"/>
  </r>
  <r>
    <s v="24.10.2019"/>
    <d v="1899-12-30T16:12:00"/>
    <m/>
    <s v="P"/>
    <n v="2"/>
    <s v="Road Vehicle"/>
    <n v="4"/>
    <x v="3"/>
    <x v="0"/>
    <n v="1"/>
    <x v="0"/>
    <s v="KIKOOLA"/>
    <s v="MITYANA"/>
    <s v="UG"/>
    <n v="1"/>
    <s v="Home"/>
    <s v="NAMAGAGO"/>
    <s v="MUBENDE"/>
    <s v="UG"/>
    <n v="1"/>
    <s v="Home"/>
    <x v="2"/>
    <n v="18000"/>
    <n v="63"/>
    <x v="1"/>
    <n v="3"/>
    <x v="1"/>
    <n v="10"/>
    <s v="Other"/>
    <n v="1"/>
    <x v="2"/>
    <n v="3"/>
    <n v="4"/>
    <n v="4"/>
    <n v="3"/>
    <n v="4"/>
    <s v="Y"/>
    <n v="1000"/>
    <x v="1"/>
  </r>
  <r>
    <s v="24.10.2019"/>
    <d v="1899-12-30T16:42:00"/>
    <m/>
    <s v="P"/>
    <n v="2"/>
    <s v="Road Vehicle"/>
    <n v="4"/>
    <x v="3"/>
    <x v="0"/>
    <n v="1"/>
    <x v="0"/>
    <s v="LUSABAGABO"/>
    <s v="MUBENDE"/>
    <s v="UG"/>
    <n v="2"/>
    <s v="Work"/>
    <s v="MUBENDE TOWN"/>
    <s v="MUBENDE"/>
    <s v="UG"/>
    <n v="1"/>
    <s v="Home"/>
    <x v="1"/>
    <n v="2000"/>
    <n v="21"/>
    <x v="5"/>
    <n v="0.4"/>
    <x v="4"/>
    <n v="6"/>
    <s v="Businessman"/>
    <n v="2"/>
    <x v="1"/>
    <n v="2"/>
    <n v="4"/>
    <n v="2"/>
    <n v="2"/>
    <n v="2"/>
    <s v="Y"/>
    <n v="1000"/>
    <x v="1"/>
  </r>
  <r>
    <s v="24.10.2019"/>
    <d v="1899-12-30T17:10:00"/>
    <m/>
    <s v="P"/>
    <n v="2"/>
    <s v="Road Vehicle"/>
    <n v="4"/>
    <x v="3"/>
    <x v="0"/>
    <n v="1"/>
    <x v="0"/>
    <s v="KAKUMIRO TOWN"/>
    <s v="MUBENDE"/>
    <s v="UG"/>
    <n v="2"/>
    <s v="Work"/>
    <s v="MITYANA TOWN"/>
    <s v="MI"/>
    <s v="UG"/>
    <n v="1"/>
    <s v="Home"/>
    <x v="1"/>
    <n v="10000"/>
    <n v="84"/>
    <x v="0"/>
    <n v="3"/>
    <x v="1"/>
    <n v="7"/>
    <s v="Farmer"/>
    <n v="3"/>
    <x v="0"/>
    <n v="3"/>
    <n v="3"/>
    <n v="5"/>
    <n v="4"/>
    <n v="4"/>
    <s v="Y"/>
    <n v="2000"/>
    <x v="4"/>
  </r>
  <r>
    <s v="25.10.2019"/>
    <d v="1899-12-30T07:06:00"/>
    <m/>
    <s v="P"/>
    <n v="2"/>
    <s v="Road Vehicle"/>
    <n v="4"/>
    <x v="3"/>
    <x v="0"/>
    <n v="1"/>
    <x v="0"/>
    <s v="MITYANA TOWN"/>
    <s v="MITYANA"/>
    <s v="UG"/>
    <n v="1"/>
    <s v="Home"/>
    <s v="KAKUMIRO TOWN "/>
    <s v="KAKUMIRO"/>
    <s v="UG"/>
    <n v="2"/>
    <s v="Work"/>
    <x v="8"/>
    <n v="12000"/>
    <n v="140"/>
    <x v="2"/>
    <n v="1.5"/>
    <x v="2"/>
    <n v="1"/>
    <s v="Unemployed"/>
    <n v="1"/>
    <x v="2"/>
    <n v="1"/>
    <n v="1"/>
    <n v="1"/>
    <n v="5"/>
    <n v="5"/>
    <s v="Y"/>
    <m/>
    <x v="0"/>
  </r>
  <r>
    <s v="26.10.2019"/>
    <d v="1899-12-30T10:26:00"/>
    <m/>
    <s v="P"/>
    <n v="2"/>
    <s v="Road Vehicle"/>
    <n v="4"/>
    <x v="3"/>
    <x v="0"/>
    <n v="1"/>
    <x v="0"/>
    <s v="MUBENDE TOWN"/>
    <s v="MUBENDE"/>
    <s v="UG"/>
    <n v="4"/>
    <s v="Commercial"/>
    <s v="KAWEMPE"/>
    <s v="KAMPALA"/>
    <s v="UG"/>
    <n v="1"/>
    <s v="Home"/>
    <x v="0"/>
    <n v="120000"/>
    <n v="118"/>
    <x v="2"/>
    <n v="1.5"/>
    <x v="2"/>
    <n v="6"/>
    <s v="Businessman"/>
    <n v="1"/>
    <x v="2"/>
    <n v="2"/>
    <n v="3"/>
    <n v="4"/>
    <n v="5"/>
    <n v="1"/>
    <s v="Y"/>
    <m/>
    <x v="0"/>
  </r>
  <r>
    <s v="26.10.2019"/>
    <d v="1899-12-30T11:48:00"/>
    <m/>
    <s v="P"/>
    <n v="2"/>
    <s v="Road Vehicle"/>
    <n v="4"/>
    <x v="3"/>
    <x v="0"/>
    <n v="1"/>
    <x v="0"/>
    <s v="NAMAGONJO"/>
    <s v="MUBENDE"/>
    <s v="UG"/>
    <n v="1"/>
    <s v="Home"/>
    <s v="MUBENDE TOWN"/>
    <s v="MUBENDE"/>
    <s v="UG"/>
    <n v="3"/>
    <s v="Study"/>
    <x v="10"/>
    <n v="4000"/>
    <n v="40"/>
    <x v="1"/>
    <n v="0.7"/>
    <x v="3"/>
    <n v="8"/>
    <s v="Student"/>
    <n v="1"/>
    <x v="2"/>
    <n v="5"/>
    <n v="5"/>
    <n v="1"/>
    <n v="1"/>
    <n v="5"/>
    <s v="Y"/>
    <m/>
    <x v="0"/>
  </r>
  <r>
    <s v="26.10.2019"/>
    <d v="1899-12-30T07:51:00"/>
    <m/>
    <s v="P"/>
    <n v="2"/>
    <s v="Road Vehicle"/>
    <n v="4"/>
    <x v="3"/>
    <x v="0"/>
    <n v="1"/>
    <x v="0"/>
    <s v="KAMPALA TOWN"/>
    <s v="KAMPALA"/>
    <s v="UG"/>
    <n v="1"/>
    <s v="Home"/>
    <s v="HOIMA TOWN"/>
    <s v="HOIMA"/>
    <s v="UG"/>
    <n v="1"/>
    <s v="Home"/>
    <x v="2"/>
    <n v="20000"/>
    <n v="140"/>
    <x v="2"/>
    <n v="4"/>
    <x v="0"/>
    <n v="8"/>
    <s v="Student"/>
    <n v="1"/>
    <x v="2"/>
    <n v="3"/>
    <n v="2"/>
    <n v="3"/>
    <n v="2"/>
    <n v="2"/>
    <s v="Y"/>
    <m/>
    <x v="0"/>
  </r>
  <r>
    <s v="26.10.2019"/>
    <d v="1899-12-30T10:06:00"/>
    <m/>
    <s v="P"/>
    <n v="2"/>
    <s v="Road Vehicle"/>
    <n v="4"/>
    <x v="3"/>
    <x v="0"/>
    <n v="1"/>
    <x v="0"/>
    <s v="KASANDA TOWN"/>
    <s v="KASANDA"/>
    <s v="UG"/>
    <n v="6"/>
    <s v="Leisure/Social"/>
    <s v="MABIGOWLA"/>
    <s v="MUB"/>
    <s v="UG"/>
    <n v="1"/>
    <s v="Home"/>
    <x v="7"/>
    <n v="10000"/>
    <n v="69"/>
    <x v="1"/>
    <n v="1"/>
    <x v="2"/>
    <n v="7"/>
    <s v="Farmer"/>
    <n v="2"/>
    <x v="1"/>
    <n v="2"/>
    <n v="1"/>
    <n v="1"/>
    <n v="1"/>
    <n v="2"/>
    <s v="Y"/>
    <n v="1000"/>
    <x v="1"/>
  </r>
  <r>
    <s v="26.10.2019"/>
    <d v="1899-12-30T10:36:00"/>
    <m/>
    <s v="P"/>
    <n v="2"/>
    <s v="Road Vehicle"/>
    <n v="4"/>
    <x v="3"/>
    <x v="0"/>
    <n v="1"/>
    <x v="0"/>
    <s v="KASESE TOWN"/>
    <s v="KASESE"/>
    <s v="UG"/>
    <n v="2"/>
    <s v="Work"/>
    <s v="KAMPALA TOWN"/>
    <s v="KAMPALA"/>
    <s v="UG"/>
    <n v="2"/>
    <s v="Work"/>
    <x v="5"/>
    <n v="25000"/>
    <n v="362"/>
    <x v="3"/>
    <n v="8"/>
    <x v="0"/>
    <n v="5"/>
    <s v="Professional"/>
    <n v="5"/>
    <x v="4"/>
    <n v="1"/>
    <n v="1"/>
    <n v="1"/>
    <n v="1"/>
    <n v="1"/>
    <s v="Y"/>
    <m/>
    <x v="0"/>
  </r>
  <r>
    <s v="24.10.2019"/>
    <d v="1899-12-30T15:18:00"/>
    <m/>
    <s v="P"/>
    <n v="2"/>
    <s v="Road Vehicle"/>
    <n v="4"/>
    <x v="3"/>
    <x v="1"/>
    <n v="1"/>
    <x v="0"/>
    <s v="MUBENDE TOWN"/>
    <s v="MUBENDE"/>
    <s v="UG"/>
    <n v="4"/>
    <s v="Commercial"/>
    <s v="KAKUMIRO TOWN "/>
    <s v="KAKUMIRO"/>
    <s v="UG"/>
    <n v="2"/>
    <s v="Work"/>
    <x v="20"/>
    <n v="7000"/>
    <n v="46"/>
    <x v="1"/>
    <n v="1.5"/>
    <x v="2"/>
    <n v="1"/>
    <s v="Unemployed"/>
    <n v="1"/>
    <x v="2"/>
    <n v="5"/>
    <n v="5"/>
    <n v="5"/>
    <n v="5"/>
    <n v="5"/>
    <s v="Y"/>
    <n v="1"/>
    <x v="0"/>
  </r>
  <r>
    <s v="24.10.2019"/>
    <d v="1899-12-30T17:46:00"/>
    <m/>
    <s v="P"/>
    <n v="2"/>
    <s v="Road Vehicle"/>
    <n v="4"/>
    <x v="3"/>
    <x v="1"/>
    <n v="1"/>
    <x v="0"/>
    <s v="MITYANA TOWN"/>
    <s v="MITYANA"/>
    <s v="UG"/>
    <n v="1"/>
    <s v="Home"/>
    <s v="MUBENDE TOWN"/>
    <s v="MUBENDE"/>
    <s v="UG"/>
    <n v="6"/>
    <s v="Leisure/Social"/>
    <x v="34"/>
    <n v="7000"/>
    <n v="150"/>
    <x v="2"/>
    <n v="1"/>
    <x v="2"/>
    <n v="1"/>
    <s v="Unemployed"/>
    <n v="1"/>
    <x v="2"/>
    <n v="5"/>
    <n v="5"/>
    <n v="5"/>
    <n v="5"/>
    <n v="5"/>
    <s v="Y"/>
    <m/>
    <x v="0"/>
  </r>
  <r>
    <s v="24.10.2019"/>
    <d v="1899-12-30T14:17:00"/>
    <m/>
    <s v="P"/>
    <n v="2"/>
    <s v="Road Vehicle"/>
    <n v="4"/>
    <x v="3"/>
    <x v="1"/>
    <n v="1"/>
    <x v="0"/>
    <s v="MUBENDE TOWN"/>
    <s v="MUBENDE"/>
    <s v="UG"/>
    <n v="1"/>
    <s v="Home"/>
    <s v="KIKOGE"/>
    <s v="KIBALAE"/>
    <s v="UG"/>
    <n v="4"/>
    <s v="Commercial"/>
    <x v="12"/>
    <n v="17000"/>
    <n v="140"/>
    <x v="2"/>
    <n v="2"/>
    <x v="1"/>
    <n v="6"/>
    <s v="Businessman"/>
    <n v="2"/>
    <x v="1"/>
    <n v="1"/>
    <n v="1"/>
    <n v="5"/>
    <n v="5"/>
    <n v="1"/>
    <s v="Y"/>
    <n v="1000"/>
    <x v="1"/>
  </r>
  <r>
    <s v="24.10.2019"/>
    <d v="1899-12-30T14:14:00"/>
    <m/>
    <s v="P"/>
    <n v="2"/>
    <s v="Road Vehicle"/>
    <n v="4"/>
    <x v="3"/>
    <x v="1"/>
    <n v="1"/>
    <x v="0"/>
    <s v="MITYANA TOWN"/>
    <s v="MITYANA"/>
    <s v="UG"/>
    <n v="2"/>
    <s v="Work"/>
    <s v="MUBENDE TOWN"/>
    <s v="MUBENDE"/>
    <s v="UG"/>
    <n v="2"/>
    <s v="Work"/>
    <x v="5"/>
    <n v="7000"/>
    <n v="64"/>
    <x v="1"/>
    <n v="1.5"/>
    <x v="2"/>
    <n v="6"/>
    <s v="Businessman"/>
    <n v="4"/>
    <x v="3"/>
    <n v="1"/>
    <n v="1"/>
    <n v="2"/>
    <n v="2"/>
    <n v="2"/>
    <s v="Y"/>
    <n v="2000"/>
    <x v="4"/>
  </r>
  <r>
    <s v="24.10.2019"/>
    <d v="1899-12-30T15:02:00"/>
    <m/>
    <s v="P"/>
    <n v="2"/>
    <s v="Road Vehicle"/>
    <n v="4"/>
    <x v="3"/>
    <x v="1"/>
    <n v="1"/>
    <x v="0"/>
    <s v="KATABALANGA"/>
    <s v="MUBENDE"/>
    <s v="UG"/>
    <n v="3"/>
    <s v="Study"/>
    <s v="MUBENDE TOWN"/>
    <s v="MUBENDE"/>
    <s v="UG"/>
    <n v="1"/>
    <s v="Home"/>
    <x v="9"/>
    <n v="5000"/>
    <n v="10"/>
    <x v="6"/>
    <n v="0.1"/>
    <x v="4"/>
    <n v="8"/>
    <s v="Student"/>
    <n v="1"/>
    <x v="2"/>
    <n v="2"/>
    <n v="1"/>
    <n v="1"/>
    <n v="1"/>
    <n v="1"/>
    <s v="Y"/>
    <m/>
    <x v="0"/>
  </r>
  <r>
    <s v="24.10.2019"/>
    <d v="1899-12-30T16:55:00"/>
    <m/>
    <s v="P"/>
    <n v="2"/>
    <s v="Road Vehicle"/>
    <n v="4"/>
    <x v="3"/>
    <x v="1"/>
    <n v="1"/>
    <x v="0"/>
    <s v="KASAMBYA"/>
    <s v="MUBENDE"/>
    <s v="UG"/>
    <n v="1"/>
    <s v="Home"/>
    <s v="MUBENDE TOWN"/>
    <s v="MUBENDE"/>
    <s v="UG"/>
    <n v="4"/>
    <s v="Commercial"/>
    <x v="12"/>
    <n v="3000"/>
    <n v="33"/>
    <x v="5"/>
    <n v="0.7"/>
    <x v="3"/>
    <n v="6"/>
    <s v="Businessman"/>
    <n v="3"/>
    <x v="0"/>
    <n v="3"/>
    <n v="2"/>
    <n v="2"/>
    <n v="1"/>
    <n v="1"/>
    <s v="Y"/>
    <n v="1000"/>
    <x v="1"/>
  </r>
  <r>
    <s v="25.10.2019"/>
    <d v="1899-12-30T09:27:00"/>
    <m/>
    <s v="P"/>
    <n v="2"/>
    <s v="Road Vehicle"/>
    <n v="4"/>
    <x v="3"/>
    <x v="1"/>
    <n v="1"/>
    <x v="0"/>
    <s v="MUBENDE TOWN"/>
    <s v="MUBENDE"/>
    <s v="UG"/>
    <n v="1"/>
    <s v="Home"/>
    <s v="KAMPALA TOWN"/>
    <s v="KAMPALA"/>
    <s v="UG"/>
    <n v="3"/>
    <s v="Study"/>
    <x v="10"/>
    <n v="10000"/>
    <n v="4"/>
    <x v="4"/>
    <n v="2"/>
    <x v="1"/>
    <n v="5"/>
    <s v="Professional"/>
    <n v="2"/>
    <x v="1"/>
    <n v="5"/>
    <n v="5"/>
    <n v="1"/>
    <n v="2"/>
    <n v="1"/>
    <s v="Y"/>
    <n v="4000"/>
    <x v="5"/>
  </r>
  <r>
    <s v="25.10.2019"/>
    <d v="1899-12-30T13:39:00"/>
    <s v="UBA 217C"/>
    <s v="D"/>
    <n v="2"/>
    <s v="Road Vehicle"/>
    <n v="4"/>
    <x v="3"/>
    <x v="1"/>
    <n v="1"/>
    <x v="0"/>
    <s v="MUBENDE TOWN"/>
    <s v="MUBENDE"/>
    <s v="UG"/>
    <n v="4"/>
    <s v="Commercial"/>
    <s v="MITYANA TOWN"/>
    <s v="MITYANA"/>
    <s v="UG"/>
    <n v="4"/>
    <s v="Commercial"/>
    <x v="13"/>
    <m/>
    <n v="80"/>
    <x v="0"/>
    <n v="1.5"/>
    <x v="2"/>
    <n v="5"/>
    <s v="Professional"/>
    <n v="2"/>
    <x v="1"/>
    <n v="5"/>
    <n v="5"/>
    <n v="1"/>
    <n v="1"/>
    <n v="5"/>
    <s v="Y"/>
    <m/>
    <x v="0"/>
  </r>
  <r>
    <s v="25.10.2019"/>
    <d v="1899-12-30T17:16:00"/>
    <m/>
    <s v="P"/>
    <n v="2"/>
    <s v="Road Vehicle"/>
    <n v="4"/>
    <x v="3"/>
    <x v="1"/>
    <n v="1"/>
    <x v="0"/>
    <s v="KARUGUUZA"/>
    <s v="KIBALE"/>
    <s v="UG"/>
    <n v="1"/>
    <s v="Home"/>
    <s v="MUBENDE TOWN"/>
    <s v="MUB"/>
    <s v="UG"/>
    <n v="4"/>
    <s v="Commercial"/>
    <x v="12"/>
    <n v="15000"/>
    <n v="65"/>
    <x v="1"/>
    <n v="1"/>
    <x v="2"/>
    <n v="6"/>
    <s v="Businessman"/>
    <n v="2"/>
    <x v="1"/>
    <n v="1"/>
    <n v="1"/>
    <n v="5"/>
    <n v="5"/>
    <n v="1"/>
    <s v="Y"/>
    <n v="1000"/>
    <x v="1"/>
  </r>
  <r>
    <s v="26.10.2019"/>
    <d v="1899-12-30T07:26:00"/>
    <s v="UAT 653V"/>
    <s v="D"/>
    <n v="2"/>
    <s v="Road Vehicle"/>
    <n v="4"/>
    <x v="3"/>
    <x v="1"/>
    <n v="1"/>
    <x v="0"/>
    <s v="KAMPALA TOWN"/>
    <s v="KAMPALA"/>
    <s v="UG"/>
    <n v="4"/>
    <s v="Commercial"/>
    <s v="KAGADI TOWN "/>
    <s v="KAGDI"/>
    <s v="UG"/>
    <n v="4"/>
    <s v="Commercial"/>
    <x v="13"/>
    <n v="100000"/>
    <n v="340"/>
    <x v="3"/>
    <n v="3"/>
    <x v="1"/>
    <n v="5"/>
    <s v="Professional"/>
    <n v="1"/>
    <x v="2"/>
    <n v="5"/>
    <n v="4"/>
    <n v="5"/>
    <n v="3"/>
    <n v="5"/>
    <s v="Y"/>
    <n v="2000"/>
    <x v="4"/>
  </r>
  <r>
    <s v="26.10.2019"/>
    <d v="1899-12-30T07:19:00"/>
    <m/>
    <s v="P"/>
    <n v="2"/>
    <s v="Road Vehicle"/>
    <n v="4"/>
    <x v="3"/>
    <x v="1"/>
    <n v="1"/>
    <x v="0"/>
    <s v="KAGULUMIRA"/>
    <s v="MUBENDE"/>
    <s v="UG"/>
    <n v="1"/>
    <s v="Home"/>
    <s v="MUBENDE TOWN"/>
    <s v="MUBENDE"/>
    <s v="UG"/>
    <n v="2"/>
    <s v="Work"/>
    <x v="8"/>
    <n v="4000"/>
    <n v="30"/>
    <x v="5"/>
    <n v="0.7"/>
    <x v="3"/>
    <n v="6"/>
    <s v="Businessman"/>
    <n v="2"/>
    <x v="1"/>
    <n v="1"/>
    <n v="2"/>
    <n v="2"/>
    <n v="1"/>
    <n v="1"/>
    <s v="Y"/>
    <n v="1000"/>
    <x v="1"/>
  </r>
  <r>
    <s v="26.10.2019"/>
    <d v="1899-12-30T08:42:00"/>
    <m/>
    <s v="P"/>
    <n v="2"/>
    <s v="Road Vehicle"/>
    <n v="4"/>
    <x v="3"/>
    <x v="1"/>
    <n v="1"/>
    <x v="0"/>
    <s v="MYANSI"/>
    <s v="KASANDA"/>
    <s v="UG"/>
    <n v="1"/>
    <s v="Home"/>
    <s v="MUBENDE TOWN"/>
    <s v="MUBENDE"/>
    <s v="UG"/>
    <n v="6"/>
    <s v="Leisure/Social"/>
    <x v="3"/>
    <n v="5000"/>
    <n v="60"/>
    <x v="1"/>
    <n v="0.9"/>
    <x v="3"/>
    <n v="6"/>
    <s v="Businessman"/>
    <n v="2"/>
    <x v="1"/>
    <n v="2"/>
    <n v="1"/>
    <n v="1"/>
    <n v="2"/>
    <n v="2"/>
    <s v="Y"/>
    <n v="500"/>
    <x v="0"/>
  </r>
  <r>
    <s v="26.10.2019"/>
    <d v="1899-12-30T11:19:00"/>
    <m/>
    <s v="P"/>
    <n v="2"/>
    <s v="Road Vehicle"/>
    <n v="4"/>
    <x v="3"/>
    <x v="1"/>
    <n v="1"/>
    <x v="0"/>
    <s v="KATIKALA"/>
    <s v="KAKUMIRO"/>
    <s v="UG"/>
    <n v="1"/>
    <s v="Home"/>
    <s v="KAMPALA TOWN"/>
    <s v="KAMPALA"/>
    <s v="UG"/>
    <n v="4"/>
    <s v="Commercial"/>
    <x v="12"/>
    <n v="25000"/>
    <n v="181"/>
    <x v="2"/>
    <n v="4"/>
    <x v="0"/>
    <n v="6"/>
    <s v="Businessman"/>
    <n v="2"/>
    <x v="1"/>
    <n v="4"/>
    <n v="3"/>
    <n v="4"/>
    <n v="3"/>
    <n v="4"/>
    <s v="Y"/>
    <n v="1000"/>
    <x v="1"/>
  </r>
  <r>
    <s v="26.10.2019"/>
    <d v="1899-12-30T13:31:00"/>
    <m/>
    <s v="P"/>
    <n v="2"/>
    <s v="Road Vehicle"/>
    <n v="4"/>
    <x v="3"/>
    <x v="1"/>
    <n v="1"/>
    <x v="0"/>
    <s v="KAMPALA TOWN"/>
    <s v="KAMPALA"/>
    <s v="UG"/>
    <n v="3"/>
    <s v="Study"/>
    <s v="KASESE TOWN"/>
    <s v="KASESE"/>
    <s v="UG"/>
    <n v="1"/>
    <s v="Home"/>
    <x v="9"/>
    <n v="28000"/>
    <n v="362"/>
    <x v="3"/>
    <n v="4"/>
    <x v="0"/>
    <n v="8"/>
    <s v="Student"/>
    <n v="1"/>
    <x v="2"/>
    <n v="2"/>
    <n v="2"/>
    <n v="1"/>
    <n v="1"/>
    <n v="1"/>
    <s v="Y"/>
    <m/>
    <x v="0"/>
  </r>
  <r>
    <s v="26.10.2019"/>
    <d v="1899-12-30T13:39:00"/>
    <m/>
    <s v="P"/>
    <n v="2"/>
    <s v="Road Vehicle"/>
    <n v="4"/>
    <x v="3"/>
    <x v="1"/>
    <n v="1"/>
    <x v="0"/>
    <s v="KIKWAAYA"/>
    <s v="MUBENDE"/>
    <s v="UG"/>
    <n v="1"/>
    <s v="Home"/>
    <s v="MITYANA TOWN"/>
    <s v="MITYANA"/>
    <s v="UG"/>
    <n v="1"/>
    <s v="Home"/>
    <x v="2"/>
    <n v="18000"/>
    <n v="102"/>
    <x v="2"/>
    <n v="3"/>
    <x v="1"/>
    <n v="4"/>
    <s v="Office Worker"/>
    <n v="2"/>
    <x v="1"/>
    <n v="3"/>
    <n v="3"/>
    <n v="4"/>
    <n v="5"/>
    <n v="4"/>
    <s v="Y"/>
    <n v="500"/>
    <x v="0"/>
  </r>
  <r>
    <s v="26.10.2019"/>
    <d v="1899-12-30T16:24:00"/>
    <m/>
    <s v="P"/>
    <n v="2"/>
    <s v="Road Vehicle"/>
    <n v="4"/>
    <x v="3"/>
    <x v="1"/>
    <n v="1"/>
    <x v="0"/>
    <s v="MITYANA TOWN"/>
    <s v="MITYANA"/>
    <s v="UG"/>
    <n v="1"/>
    <s v="Home"/>
    <s v="FORTPORTAL TOWN"/>
    <s v="FORTPORTAL"/>
    <s v="UG"/>
    <n v="2"/>
    <s v="Work"/>
    <x v="8"/>
    <n v="20000"/>
    <n v="219"/>
    <x v="3"/>
    <n v="4"/>
    <x v="0"/>
    <n v="6"/>
    <s v="Businessman"/>
    <n v="3"/>
    <x v="0"/>
    <n v="2"/>
    <n v="2"/>
    <n v="3"/>
    <n v="2"/>
    <n v="2"/>
    <s v="Y"/>
    <m/>
    <x v="0"/>
  </r>
  <r>
    <s v="24.10.2019"/>
    <d v="1899-12-30T15:14:00"/>
    <m/>
    <s v="P"/>
    <n v="2"/>
    <s v="Road Vehicle"/>
    <n v="2"/>
    <x v="4"/>
    <x v="0"/>
    <n v="1"/>
    <x v="0"/>
    <s v="KIYUNI"/>
    <s v="MUBENDE"/>
    <s v="UG"/>
    <n v="4"/>
    <s v="Commercial"/>
    <s v="MUBENDE TOWN"/>
    <s v="MUBENDE"/>
    <s v="UG"/>
    <n v="4"/>
    <s v="Commercial"/>
    <x v="13"/>
    <n v="3000"/>
    <n v="21"/>
    <x v="5"/>
    <n v="0.7"/>
    <x v="3"/>
    <n v="6"/>
    <s v="Businessman"/>
    <n v="3"/>
    <x v="0"/>
    <n v="4"/>
    <n v="2"/>
    <n v="4"/>
    <n v="2"/>
    <n v="2"/>
    <s v="Y"/>
    <n v="1000"/>
    <x v="1"/>
  </r>
  <r>
    <s v="24.10.2019"/>
    <d v="1899-12-30T14:13:00"/>
    <s v="UBE 761U"/>
    <s v="D"/>
    <n v="2"/>
    <s v="Road Vehicle"/>
    <n v="1"/>
    <x v="0"/>
    <x v="0"/>
    <n v="2"/>
    <x v="1"/>
    <s v="KASANJJA"/>
    <s v="MUBENDE"/>
    <s v="UG"/>
    <n v="1"/>
    <s v="Home"/>
    <s v="MUBENDE TOWN"/>
    <s v="MUBENDE"/>
    <s v="UG"/>
    <n v="2"/>
    <s v="Work"/>
    <x v="8"/>
    <n v="5000"/>
    <n v="8"/>
    <x v="4"/>
    <n v="0.4"/>
    <x v="4"/>
    <n v="6"/>
    <s v="Businessman"/>
    <n v="4"/>
    <x v="3"/>
    <n v="3"/>
    <n v="2"/>
    <n v="1"/>
    <n v="1"/>
    <n v="1"/>
    <s v="Y"/>
    <n v="2000"/>
    <x v="4"/>
  </r>
  <r>
    <s v="26.10.2019"/>
    <d v="1899-12-30T11:30:00"/>
    <s v="UBF 309N"/>
    <s v="P"/>
    <n v="2"/>
    <s v="Road Vehicle"/>
    <n v="1"/>
    <x v="0"/>
    <x v="0"/>
    <n v="2"/>
    <x v="1"/>
    <s v="KYAMUJUMBO"/>
    <s v="MUBENDE"/>
    <s v="UG"/>
    <n v="1"/>
    <s v="Home"/>
    <s v="MUBENDE TOWN"/>
    <s v="MUB"/>
    <s v="UG"/>
    <n v="2"/>
    <s v="Work"/>
    <x v="8"/>
    <n v="10000"/>
    <n v="37"/>
    <x v="5"/>
    <n v="0.7"/>
    <x v="3"/>
    <n v="6"/>
    <s v="Businessman"/>
    <n v="3"/>
    <x v="0"/>
    <n v="3"/>
    <n v="2"/>
    <n v="1"/>
    <n v="2"/>
    <n v="2"/>
    <s v="Y"/>
    <m/>
    <x v="0"/>
  </r>
  <r>
    <s v="24.10.2019"/>
    <d v="1899-12-30T17:49:00"/>
    <s v="UBB 105T"/>
    <s v="D"/>
    <n v="2"/>
    <s v="Road Vehicle"/>
    <n v="1"/>
    <x v="0"/>
    <x v="1"/>
    <n v="2"/>
    <x v="1"/>
    <s v="KIWENZA"/>
    <s v="GAYAZA"/>
    <s v="UG"/>
    <n v="2"/>
    <s v="Work"/>
    <s v="HOIMA TOWN"/>
    <s v="HOIMA"/>
    <s v="UG"/>
    <n v="1"/>
    <s v="Home"/>
    <x v="1"/>
    <n v="30000"/>
    <n v="162"/>
    <x v="2"/>
    <n v="4"/>
    <x v="0"/>
    <n v="5"/>
    <s v="Professional"/>
    <n v="4"/>
    <x v="3"/>
    <n v="1"/>
    <n v="1"/>
    <n v="1"/>
    <n v="1"/>
    <n v="1"/>
    <s v="Y"/>
    <n v="2000"/>
    <x v="4"/>
  </r>
  <r>
    <s v="26.10.2019"/>
    <d v="1899-12-30T11:48:00"/>
    <s v="UAU 775U"/>
    <s v="D"/>
    <n v="2"/>
    <s v="Road Vehicle"/>
    <n v="1"/>
    <x v="0"/>
    <x v="1"/>
    <n v="2"/>
    <x v="1"/>
    <s v="KAGULUMIRA"/>
    <s v="MUBENDE"/>
    <s v="UG"/>
    <n v="1"/>
    <s v="Home"/>
    <s v="HOIMA TOWN"/>
    <s v="HOIMA"/>
    <s v="UG"/>
    <n v="8"/>
    <s v="Others"/>
    <x v="4"/>
    <n v="80000"/>
    <n v="90"/>
    <x v="0"/>
    <n v="2"/>
    <x v="1"/>
    <n v="10"/>
    <s v="Other"/>
    <n v="1"/>
    <x v="2"/>
    <n v="5"/>
    <n v="4"/>
    <n v="1"/>
    <n v="2"/>
    <n v="2"/>
    <s v="Y"/>
    <m/>
    <x v="0"/>
  </r>
  <r>
    <s v="26.10.2019"/>
    <d v="1899-12-30T09:50:00"/>
    <m/>
    <s v="D"/>
    <n v="2"/>
    <s v="Road Vehicle"/>
    <n v="1"/>
    <x v="0"/>
    <x v="1"/>
    <n v="2"/>
    <x v="1"/>
    <s v="MUBENDE TOWN"/>
    <s v="MUBENDE"/>
    <s v="UG"/>
    <n v="2"/>
    <s v="Work"/>
    <s v="NATEETE"/>
    <s v="KAMPALA"/>
    <s v="UG"/>
    <n v="8"/>
    <s v="Others"/>
    <x v="6"/>
    <n v="80000"/>
    <n v="50"/>
    <x v="1"/>
    <n v="2.5"/>
    <x v="1"/>
    <n v="10"/>
    <s v="Other"/>
    <n v="1"/>
    <x v="2"/>
    <n v="2"/>
    <n v="4"/>
    <n v="5"/>
    <n v="5"/>
    <n v="2"/>
    <s v="Y"/>
    <m/>
    <x v="0"/>
  </r>
  <r>
    <s v="26.10.2019"/>
    <d v="1899-12-30T14:00:00"/>
    <s v="UBB 123T"/>
    <s v="D"/>
    <n v="2"/>
    <s v="Road Vehicle"/>
    <n v="1"/>
    <x v="0"/>
    <x v="1"/>
    <n v="2"/>
    <x v="1"/>
    <s v="MUBENDE TOWN"/>
    <s v="MUBENDE"/>
    <s v="UG"/>
    <n v="1"/>
    <s v="Home"/>
    <s v="KIWENZA"/>
    <s v="GAYAZA"/>
    <s v="UG"/>
    <n v="8"/>
    <s v="Others"/>
    <x v="4"/>
    <n v="80000"/>
    <n v="38"/>
    <x v="5"/>
    <n v="1.5"/>
    <x v="2"/>
    <n v="10"/>
    <s v="Other"/>
    <n v="1"/>
    <x v="2"/>
    <n v="5"/>
    <n v="5"/>
    <n v="4"/>
    <n v="4"/>
    <n v="3"/>
    <s v="Y"/>
    <n v="2000"/>
    <x v="4"/>
  </r>
  <r>
    <s v="26.10.2019"/>
    <d v="1899-12-30T11:32:00"/>
    <s v="UAK 642W"/>
    <s v="D"/>
    <n v="2"/>
    <s v="Road Vehicle"/>
    <n v="1"/>
    <x v="0"/>
    <x v="1"/>
    <n v="2"/>
    <x v="1"/>
    <s v="KIKOOLA"/>
    <s v="MITYANA"/>
    <s v="UG"/>
    <n v="1"/>
    <s v="Home"/>
    <s v="KARUGUZA TOWN"/>
    <s v="KIBALE"/>
    <s v="UG"/>
    <n v="6"/>
    <s v="Leisure/Social"/>
    <x v="3"/>
    <n v="80000"/>
    <n v="140"/>
    <x v="2"/>
    <n v="1.5"/>
    <x v="2"/>
    <n v="7"/>
    <s v="Farmer"/>
    <n v="1"/>
    <x v="2"/>
    <m/>
    <m/>
    <m/>
    <m/>
    <m/>
    <s v="Y"/>
    <m/>
    <x v="0"/>
  </r>
  <r>
    <s v="26.10.2019"/>
    <d v="1899-12-30T09:33:00"/>
    <s v="UAM 331X"/>
    <s v="D"/>
    <n v="2"/>
    <s v="Road Vehicle"/>
    <n v="1"/>
    <x v="0"/>
    <x v="1"/>
    <n v="2"/>
    <x v="1"/>
    <s v="KASESE TOWN"/>
    <s v="KASESE"/>
    <s v="UG"/>
    <n v="2"/>
    <s v="Work"/>
    <s v="MITYANA TOWN"/>
    <s v="MITYANA"/>
    <s v="UG"/>
    <n v="2"/>
    <s v="Work"/>
    <x v="5"/>
    <n v="70000"/>
    <n v="183"/>
    <x v="2"/>
    <n v="3"/>
    <x v="1"/>
    <n v="5"/>
    <s v="Professional"/>
    <n v="4"/>
    <x v="3"/>
    <n v="2"/>
    <n v="2"/>
    <n v="1"/>
    <n v="2"/>
    <n v="1"/>
    <s v="Y"/>
    <n v="2000"/>
    <x v="4"/>
  </r>
  <r>
    <s v="26.10.2019"/>
    <d v="1899-12-30T12:46:00"/>
    <s v="UBE 911S"/>
    <s v="D"/>
    <n v="2"/>
    <s v="Road Vehicle"/>
    <n v="1"/>
    <x v="0"/>
    <x v="1"/>
    <n v="2"/>
    <x v="1"/>
    <s v="KISENYI"/>
    <s v="KAMPALA"/>
    <s v="UG"/>
    <n v="2"/>
    <s v="Work"/>
    <s v="KASESE TOWN"/>
    <s v="KASESE"/>
    <s v="UG"/>
    <n v="1"/>
    <s v="Home"/>
    <x v="1"/>
    <n v="270000"/>
    <n v="396"/>
    <x v="3"/>
    <n v="5"/>
    <x v="0"/>
    <n v="6"/>
    <s v="Businessman"/>
    <n v="5"/>
    <x v="4"/>
    <n v="2"/>
    <n v="2"/>
    <n v="1"/>
    <n v="1"/>
    <n v="1"/>
    <s v="Y"/>
    <m/>
    <x v="0"/>
  </r>
  <r>
    <s v="24.10.2019"/>
    <d v="1899-12-30T14:39:00"/>
    <s v="UAZ 372K"/>
    <s v="D"/>
    <n v="2"/>
    <s v="Road Vehicle"/>
    <n v="9"/>
    <x v="9"/>
    <x v="1"/>
    <n v="2"/>
    <x v="1"/>
    <s v="KAMPALA TOWN"/>
    <s v="KAMPALA"/>
    <s v="UG"/>
    <n v="4"/>
    <s v="Commercial"/>
    <s v="KASESE TOWN"/>
    <s v="KASESE"/>
    <s v="UG"/>
    <n v="4"/>
    <s v="Commercial"/>
    <x v="13"/>
    <n v="450000"/>
    <n v="400"/>
    <x v="3"/>
    <n v="10"/>
    <x v="0"/>
    <n v="6"/>
    <s v="Businessman"/>
    <n v="5"/>
    <x v="4"/>
    <n v="2"/>
    <n v="2"/>
    <n v="2"/>
    <n v="2"/>
    <n v="2"/>
    <s v="Y"/>
    <n v="2000"/>
    <x v="4"/>
  </r>
  <r>
    <s v="24.10.2019"/>
    <d v="1899-12-30T15:00:00"/>
    <m/>
    <s v="P"/>
    <n v="2"/>
    <s v="Road Vehicle"/>
    <n v="6"/>
    <x v="1"/>
    <x v="0"/>
    <n v="2"/>
    <x v="1"/>
    <s v="MAKENKE"/>
    <s v="MUBENDE"/>
    <s v="UG"/>
    <n v="1"/>
    <s v="Home"/>
    <s v="KIBUYE"/>
    <s v="KAMPALA"/>
    <s v="UG"/>
    <n v="2"/>
    <s v="Work"/>
    <x v="8"/>
    <n v="10000"/>
    <n v="40"/>
    <x v="1"/>
    <n v="2"/>
    <x v="1"/>
    <n v="6"/>
    <s v="Businessman"/>
    <n v="1"/>
    <x v="2"/>
    <n v="5"/>
    <n v="4"/>
    <n v="1"/>
    <n v="2"/>
    <n v="3"/>
    <s v="Y"/>
    <m/>
    <x v="0"/>
  </r>
  <r>
    <s v="24.10.2019"/>
    <d v="1899-12-30T15:58:00"/>
    <m/>
    <s v="P"/>
    <n v="2"/>
    <s v="Road Vehicle"/>
    <n v="6"/>
    <x v="1"/>
    <x v="0"/>
    <n v="2"/>
    <x v="1"/>
    <s v="KIRUNGI"/>
    <s v="MUBENDE"/>
    <s v="UG"/>
    <n v="2"/>
    <s v="Work"/>
    <s v="NAMASABA"/>
    <s v="KAMPALA"/>
    <s v="UG"/>
    <n v="1"/>
    <s v="Home"/>
    <x v="1"/>
    <n v="10000"/>
    <n v="40"/>
    <x v="1"/>
    <n v="2"/>
    <x v="1"/>
    <n v="6"/>
    <s v="Businessman"/>
    <n v="1"/>
    <x v="2"/>
    <n v="5"/>
    <n v="4"/>
    <n v="1"/>
    <n v="2"/>
    <n v="1"/>
    <s v="Y"/>
    <m/>
    <x v="0"/>
  </r>
  <r>
    <s v="24.10.2019"/>
    <d v="1899-12-30T15:10:00"/>
    <m/>
    <s v="P"/>
    <n v="2"/>
    <s v="Road Vehicle"/>
    <n v="6"/>
    <x v="1"/>
    <x v="0"/>
    <n v="2"/>
    <x v="1"/>
    <s v="LUSALIRA"/>
    <s v="MUBENDE"/>
    <s v="UG"/>
    <n v="1"/>
    <s v="Home"/>
    <s v="KATWE"/>
    <s v="KAMPALA"/>
    <s v="UG"/>
    <n v="2"/>
    <s v="Work"/>
    <x v="8"/>
    <n v="10000"/>
    <n v="40"/>
    <x v="1"/>
    <n v="2"/>
    <x v="1"/>
    <n v="6"/>
    <s v="Businessman"/>
    <n v="1"/>
    <x v="2"/>
    <n v="2"/>
    <n v="4"/>
    <n v="1"/>
    <n v="2"/>
    <n v="4"/>
    <s v="Y"/>
    <m/>
    <x v="0"/>
  </r>
  <r>
    <s v="24.10.2019"/>
    <d v="1899-12-30T15:04:00"/>
    <m/>
    <s v="P"/>
    <n v="2"/>
    <s v="Road Vehicle"/>
    <n v="6"/>
    <x v="1"/>
    <x v="0"/>
    <n v="2"/>
    <x v="1"/>
    <s v="MITYANA TOWN"/>
    <s v="MITYANA"/>
    <s v="UG"/>
    <n v="1"/>
    <s v="Home"/>
    <s v="HOIMA TOWN"/>
    <s v="HOIMA"/>
    <s v="UG"/>
    <n v="1"/>
    <s v="Home"/>
    <x v="2"/>
    <n v="15000"/>
    <n v="120"/>
    <x v="2"/>
    <n v="2"/>
    <x v="1"/>
    <n v="7"/>
    <s v="Farmer"/>
    <n v="4"/>
    <x v="3"/>
    <n v="1"/>
    <n v="1"/>
    <n v="1"/>
    <n v="1"/>
    <n v="1"/>
    <s v="Y"/>
    <n v="2000"/>
    <x v="4"/>
  </r>
  <r>
    <s v="25.10.2019"/>
    <d v="1899-12-30T10:49:00"/>
    <m/>
    <s v="P"/>
    <n v="2"/>
    <s v="Road Vehicle"/>
    <n v="6"/>
    <x v="1"/>
    <x v="0"/>
    <n v="2"/>
    <x v="1"/>
    <s v="KIRUNGI"/>
    <s v="MUBENDE"/>
    <s v="UG"/>
    <n v="2"/>
    <s v="Work"/>
    <s v="KAKUMIRO TOWN "/>
    <s v="KAKUMIRO"/>
    <s v="UG"/>
    <n v="1"/>
    <s v="Home"/>
    <x v="1"/>
    <n v="5000"/>
    <n v="30"/>
    <x v="5"/>
    <n v="1"/>
    <x v="2"/>
    <n v="6"/>
    <s v="Businessman"/>
    <n v="1"/>
    <x v="2"/>
    <n v="2"/>
    <n v="4"/>
    <n v="1"/>
    <n v="2"/>
    <n v="4"/>
    <s v="Y"/>
    <m/>
    <x v="0"/>
  </r>
  <r>
    <s v="26.10.2019"/>
    <d v="1899-12-30T10:40:00"/>
    <m/>
    <s v="P"/>
    <n v="2"/>
    <s v="Road Vehicle"/>
    <n v="6"/>
    <x v="1"/>
    <x v="0"/>
    <n v="2"/>
    <x v="1"/>
    <s v="ENTEBBE"/>
    <s v="WAKISO"/>
    <s v="UG"/>
    <n v="1"/>
    <s v="Home"/>
    <s v="HOIMA TOWN"/>
    <s v="HOIMA"/>
    <s v="UG"/>
    <n v="2"/>
    <s v="Work"/>
    <x v="8"/>
    <n v="30000"/>
    <n v="113"/>
    <x v="2"/>
    <n v="3"/>
    <x v="1"/>
    <n v="6"/>
    <s v="Businessman"/>
    <n v="1"/>
    <x v="2"/>
    <n v="5"/>
    <n v="4"/>
    <n v="2"/>
    <n v="2"/>
    <n v="1"/>
    <s v="Y"/>
    <m/>
    <x v="0"/>
  </r>
  <r>
    <s v="26.10.2019"/>
    <d v="1899-12-30T09:10:00"/>
    <m/>
    <s v="P"/>
    <n v="2"/>
    <s v="Road Vehicle"/>
    <n v="6"/>
    <x v="1"/>
    <x v="0"/>
    <n v="2"/>
    <x v="1"/>
    <s v="KAMPALA TOWN"/>
    <s v="KAMPALA"/>
    <s v="UG"/>
    <n v="2"/>
    <s v="Work"/>
    <s v="KASESE TOWN"/>
    <s v="KASESE"/>
    <s v="UG"/>
    <n v="2"/>
    <s v="Work"/>
    <x v="5"/>
    <n v="40000"/>
    <n v="396"/>
    <x v="3"/>
    <n v="8"/>
    <x v="0"/>
    <n v="4"/>
    <s v="Office Worker"/>
    <n v="4"/>
    <x v="3"/>
    <n v="3"/>
    <n v="2"/>
    <n v="1"/>
    <n v="2"/>
    <n v="2"/>
    <s v="Y"/>
    <n v="2000"/>
    <x v="4"/>
  </r>
  <r>
    <s v="26.10.2019"/>
    <d v="1899-12-30T09:23:00"/>
    <m/>
    <s v="P"/>
    <n v="2"/>
    <s v="Road Vehicle"/>
    <n v="6"/>
    <x v="1"/>
    <x v="0"/>
    <n v="2"/>
    <x v="1"/>
    <s v="HOIMA TOWN"/>
    <s v="HOIMA"/>
    <s v="UG"/>
    <n v="2"/>
    <s v="Work"/>
    <s v="MUBENDE TOWN"/>
    <s v="MUBENDE"/>
    <s v="UG"/>
    <n v="2"/>
    <s v="Work"/>
    <x v="5"/>
    <n v="15000"/>
    <n v="87"/>
    <x v="0"/>
    <n v="3"/>
    <x v="1"/>
    <n v="6"/>
    <s v="Businessman"/>
    <n v="2"/>
    <x v="1"/>
    <n v="3"/>
    <n v="2"/>
    <n v="2"/>
    <n v="4"/>
    <n v="4"/>
    <s v="Y"/>
    <n v="3000"/>
    <x v="5"/>
  </r>
  <r>
    <s v="26.10.2019"/>
    <d v="1899-12-30T16:31:00"/>
    <m/>
    <s v="P"/>
    <n v="2"/>
    <s v="Road Vehicle"/>
    <n v="6"/>
    <x v="1"/>
    <x v="0"/>
    <n v="2"/>
    <x v="1"/>
    <s v="KAMPALA TOWN"/>
    <s v="KAMPALA"/>
    <s v="UG"/>
    <n v="7"/>
    <s v="Hospital"/>
    <s v="KALUNGUUZA"/>
    <s v="MUBENDE"/>
    <s v="UG"/>
    <n v="1"/>
    <s v="Home"/>
    <x v="19"/>
    <n v="20000"/>
    <n v="177"/>
    <x v="2"/>
    <m/>
    <x v="4"/>
    <n v="4"/>
    <s v="Office Worker"/>
    <n v="2"/>
    <x v="1"/>
    <n v="2"/>
    <n v="1"/>
    <n v="1"/>
    <n v="1"/>
    <n v="1"/>
    <s v="Y"/>
    <n v="2000"/>
    <x v="4"/>
  </r>
  <r>
    <s v="24.10.2019"/>
    <d v="1899-12-30T17:00:00"/>
    <s v="UAW 754G"/>
    <s v="D"/>
    <n v="2"/>
    <s v="Road Vehicle"/>
    <n v="6"/>
    <x v="1"/>
    <x v="1"/>
    <n v="2"/>
    <x v="1"/>
    <s v="MUBENDE TOWN"/>
    <s v="MUBENDE"/>
    <s v="UG"/>
    <n v="2"/>
    <s v="Work"/>
    <s v="KAMPALA TOWN"/>
    <s v="KAMPALA"/>
    <s v="UG"/>
    <n v="8"/>
    <s v="Others"/>
    <x v="6"/>
    <n v="80000"/>
    <n v="40"/>
    <x v="1"/>
    <n v="2"/>
    <x v="1"/>
    <n v="6"/>
    <s v="Businessman"/>
    <n v="1"/>
    <x v="2"/>
    <n v="5"/>
    <n v="4"/>
    <n v="1"/>
    <n v="2"/>
    <n v="3"/>
    <s v="Y"/>
    <n v="2000"/>
    <x v="4"/>
  </r>
  <r>
    <s v="24.10.2019"/>
    <d v="1899-12-30T17:28:00"/>
    <s v="UAY 564W"/>
    <s v="D"/>
    <n v="2"/>
    <s v="Road Vehicle"/>
    <n v="6"/>
    <x v="1"/>
    <x v="1"/>
    <n v="2"/>
    <x v="1"/>
    <s v="MUBENDE TOWN"/>
    <s v="MUBENDE"/>
    <s v="UG"/>
    <n v="1"/>
    <s v="Home"/>
    <s v="KAMPALA TOWN"/>
    <s v="KAMPALA"/>
    <s v="UG"/>
    <n v="2"/>
    <s v="Work"/>
    <x v="8"/>
    <n v="80000"/>
    <n v="40"/>
    <x v="1"/>
    <n v="2"/>
    <x v="1"/>
    <n v="10"/>
    <s v="Other"/>
    <n v="1"/>
    <x v="2"/>
    <n v="5"/>
    <n v="4"/>
    <n v="2"/>
    <n v="1"/>
    <n v="3"/>
    <s v="Y"/>
    <n v="2000"/>
    <x v="4"/>
  </r>
  <r>
    <s v="24.10.2019"/>
    <d v="1899-12-30T15:00:00"/>
    <s v="UAZ 845M"/>
    <s v="D"/>
    <n v="2"/>
    <s v="Road Vehicle"/>
    <n v="6"/>
    <x v="1"/>
    <x v="1"/>
    <n v="2"/>
    <x v="1"/>
    <s v="MUBENDE TOWN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5"/>
    <n v="4"/>
    <n v="3"/>
    <n v="2"/>
    <n v="4"/>
    <s v="Y"/>
    <n v="2000"/>
    <x v="4"/>
  </r>
  <r>
    <s v="24.10.2019"/>
    <d v="1899-12-30T15:59:00"/>
    <m/>
    <s v="P"/>
    <n v="2"/>
    <s v="Road Vehicle"/>
    <n v="6"/>
    <x v="1"/>
    <x v="1"/>
    <n v="2"/>
    <x v="1"/>
    <s v="KASESE TOWN"/>
    <s v="KASESE"/>
    <s v="UG"/>
    <n v="2"/>
    <s v="Work"/>
    <s v="KAMPALA TOWN"/>
    <s v="KAMPALA"/>
    <s v="UG"/>
    <n v="2"/>
    <s v="Work"/>
    <x v="5"/>
    <n v="30000"/>
    <n v="380"/>
    <x v="3"/>
    <n v="4"/>
    <x v="0"/>
    <n v="5"/>
    <s v="Professional"/>
    <n v="5"/>
    <x v="4"/>
    <n v="2"/>
    <n v="2"/>
    <n v="1"/>
    <n v="1"/>
    <n v="0"/>
    <s v="Y"/>
    <n v="1000"/>
    <x v="1"/>
  </r>
  <r>
    <s v="24.10.2019"/>
    <d v="1899-12-30T17:01:00"/>
    <m/>
    <s v="P"/>
    <n v="2"/>
    <s v="Road Vehicle"/>
    <n v="6"/>
    <x v="1"/>
    <x v="1"/>
    <n v="2"/>
    <x v="1"/>
    <s v="KASESE TOWN"/>
    <s v="KASESE"/>
    <s v="UG"/>
    <n v="1"/>
    <s v="Home"/>
    <s v="KAMPALA TOWN"/>
    <s v="KAMPALA"/>
    <s v="UG"/>
    <n v="2"/>
    <s v="Work"/>
    <x v="8"/>
    <n v="30000"/>
    <n v="390"/>
    <x v="3"/>
    <n v="4"/>
    <x v="0"/>
    <n v="5"/>
    <s v="Professional"/>
    <n v="5"/>
    <x v="4"/>
    <n v="2"/>
    <n v="2"/>
    <n v="1"/>
    <n v="1"/>
    <n v="1"/>
    <s v="Y"/>
    <n v="2000"/>
    <x v="4"/>
  </r>
  <r>
    <s v="25.10.2019"/>
    <d v="1899-12-30T10:33:00"/>
    <s v="UAY 307H"/>
    <s v="D"/>
    <n v="2"/>
    <s v="Road Vehicle"/>
    <n v="6"/>
    <x v="1"/>
    <x v="1"/>
    <n v="2"/>
    <x v="1"/>
    <s v="KIRUNGI"/>
    <s v="MUBENDE"/>
    <s v="UG"/>
    <n v="2"/>
    <s v="Work"/>
    <s v="KAKUMIRO TOWN "/>
    <s v="KAKUMIRO"/>
    <s v="UG"/>
    <n v="8"/>
    <s v="Others"/>
    <x v="6"/>
    <n v="50000"/>
    <n v="30"/>
    <x v="5"/>
    <n v="1"/>
    <x v="2"/>
    <n v="5"/>
    <s v="Professional"/>
    <n v="2"/>
    <x v="1"/>
    <n v="5"/>
    <n v="4"/>
    <n v="2"/>
    <n v="1"/>
    <n v="3"/>
    <s v="Y"/>
    <n v="2000"/>
    <x v="4"/>
  </r>
  <r>
    <s v="26.10.2019"/>
    <d v="1899-12-30T10:53:00"/>
    <s v="UAX 307H"/>
    <s v="D"/>
    <n v="2"/>
    <s v="Road Vehicle"/>
    <n v="6"/>
    <x v="1"/>
    <x v="1"/>
    <n v="2"/>
    <x v="1"/>
    <s v="KAMPALA TOWN"/>
    <s v="KAMPALA"/>
    <s v="UG"/>
    <n v="2"/>
    <s v="Work"/>
    <s v="HOIMA TOWN"/>
    <s v="HOIMA"/>
    <s v="UG"/>
    <n v="8"/>
    <s v="Others"/>
    <x v="6"/>
    <n v="100000"/>
    <n v="113"/>
    <x v="2"/>
    <n v="3"/>
    <x v="1"/>
    <n v="10"/>
    <s v="Other"/>
    <n v="2"/>
    <x v="1"/>
    <n v="5"/>
    <n v="4"/>
    <n v="5"/>
    <n v="4"/>
    <n v="4"/>
    <s v="Y"/>
    <n v="2000"/>
    <x v="4"/>
  </r>
  <r>
    <s v="26.10.2019"/>
    <d v="1899-12-30T07:40:00"/>
    <m/>
    <s v="P"/>
    <n v="2"/>
    <s v="Road Vehicle"/>
    <n v="6"/>
    <x v="1"/>
    <x v="1"/>
    <n v="2"/>
    <x v="1"/>
    <s v="MUNYONYO"/>
    <s v="KAMPALA"/>
    <s v="UG"/>
    <n v="2"/>
    <s v="Work"/>
    <s v="FORTPORTAL TOWN"/>
    <s v="FORTPORTAL"/>
    <s v="UG"/>
    <n v="1"/>
    <s v="Home"/>
    <x v="1"/>
    <n v="30000"/>
    <n v="160"/>
    <x v="2"/>
    <n v="4"/>
    <x v="0"/>
    <n v="6"/>
    <s v="Businessman"/>
    <n v="1"/>
    <x v="2"/>
    <n v="2"/>
    <n v="4"/>
    <n v="1"/>
    <n v="2"/>
    <n v="3"/>
    <s v="Y"/>
    <m/>
    <x v="0"/>
  </r>
  <r>
    <s v="26.10.2019"/>
    <d v="1899-12-30T07:28:00"/>
    <s v="UAY 157Y"/>
    <s v="D"/>
    <n v="2"/>
    <s v="Road Vehicle"/>
    <n v="6"/>
    <x v="1"/>
    <x v="1"/>
    <n v="2"/>
    <x v="1"/>
    <s v="KAMPALA TOWN"/>
    <s v="KAMPALA"/>
    <s v="UG"/>
    <n v="2"/>
    <s v="Work"/>
    <s v="FORTPORTAL TOWN"/>
    <s v="FORTPORTAL"/>
    <s v="UG"/>
    <n v="8"/>
    <s v="Others"/>
    <x v="6"/>
    <n v="200000"/>
    <n v="160"/>
    <x v="2"/>
    <n v="4"/>
    <x v="0"/>
    <n v="5"/>
    <s v="Professional"/>
    <n v="2"/>
    <x v="1"/>
    <n v="5"/>
    <n v="4"/>
    <n v="3"/>
    <n v="5"/>
    <n v="4"/>
    <s v="Y"/>
    <n v="2000"/>
    <x v="4"/>
  </r>
  <r>
    <s v="26.10.2019"/>
    <d v="1899-12-30T07:39:00"/>
    <s v="UBE 700K"/>
    <s v="D"/>
    <n v="2"/>
    <s v="Road Vehicle"/>
    <n v="6"/>
    <x v="1"/>
    <x v="1"/>
    <n v="2"/>
    <x v="1"/>
    <s v="KASESE TOWN"/>
    <s v="KASESE"/>
    <s v="UG"/>
    <n v="2"/>
    <s v="Work"/>
    <s v="KAMPALA TOWN"/>
    <s v="KAMPALA"/>
    <s v="UG"/>
    <n v="2"/>
    <s v="Work"/>
    <x v="5"/>
    <n v="350000"/>
    <n v="390"/>
    <x v="3"/>
    <n v="8"/>
    <x v="0"/>
    <n v="5"/>
    <s v="Professional"/>
    <n v="5"/>
    <x v="4"/>
    <n v="2"/>
    <n v="2"/>
    <n v="2"/>
    <n v="1"/>
    <n v="1"/>
    <s v="Y"/>
    <n v="5000"/>
    <x v="2"/>
  </r>
  <r>
    <s v="26.10.2019"/>
    <d v="1899-12-30T09:19:00"/>
    <m/>
    <s v="P"/>
    <n v="2"/>
    <s v="Road Vehicle"/>
    <n v="6"/>
    <x v="1"/>
    <x v="1"/>
    <n v="2"/>
    <x v="1"/>
    <s v="KASESE TOWN"/>
    <s v="KASESE"/>
    <s v="UG"/>
    <n v="1"/>
    <s v="Home"/>
    <s v="MYANSI"/>
    <s v="KASANDE"/>
    <s v="UG"/>
    <n v="6"/>
    <s v="Leisure/Social"/>
    <x v="3"/>
    <n v="20000"/>
    <n v="270"/>
    <x v="3"/>
    <n v="6"/>
    <x v="0"/>
    <n v="6"/>
    <s v="Businessman"/>
    <n v="3"/>
    <x v="0"/>
    <n v="2"/>
    <n v="1"/>
    <n v="1"/>
    <n v="1"/>
    <n v="2"/>
    <s v="Y"/>
    <n v="1000"/>
    <x v="1"/>
  </r>
  <r>
    <s v="26.10.2019"/>
    <d v="1899-12-30T16:06:00"/>
    <m/>
    <s v="P"/>
    <n v="2"/>
    <s v="Road Vehicle"/>
    <n v="6"/>
    <x v="1"/>
    <x v="1"/>
    <n v="2"/>
    <x v="1"/>
    <s v="KAMPALA TOWN"/>
    <s v="KAMPALA"/>
    <s v="UG"/>
    <n v="2"/>
    <s v="Work"/>
    <s v="KASESE TOWN"/>
    <s v="KASESE"/>
    <s v="UG"/>
    <n v="1"/>
    <s v="Home"/>
    <x v="1"/>
    <n v="25000"/>
    <n v="364"/>
    <x v="3"/>
    <n v="4"/>
    <x v="0"/>
    <n v="5"/>
    <s v="Professional"/>
    <n v="3"/>
    <x v="0"/>
    <n v="2"/>
    <n v="2"/>
    <n v="1"/>
    <n v="1"/>
    <n v="2"/>
    <s v="Y"/>
    <m/>
    <x v="0"/>
  </r>
  <r>
    <s v="24.10.2019"/>
    <d v="1899-12-30T15:16:00"/>
    <m/>
    <s v="P"/>
    <n v="2"/>
    <s v="Road Vehicle"/>
    <n v="7"/>
    <x v="2"/>
    <x v="1"/>
    <n v="2"/>
    <x v="1"/>
    <s v="LUSALIRA"/>
    <s v="MUBENDE"/>
    <s v="UG"/>
    <n v="4"/>
    <s v="Commercial"/>
    <s v="MUBENDE TOWN"/>
    <s v="MUBENDE"/>
    <s v="UG"/>
    <n v="1"/>
    <s v="Home"/>
    <x v="0"/>
    <n v="2000"/>
    <n v="14"/>
    <x v="6"/>
    <n v="0.4"/>
    <x v="4"/>
    <n v="2"/>
    <s v="Manual Labour"/>
    <n v="2"/>
    <x v="1"/>
    <n v="3"/>
    <n v="2"/>
    <n v="2"/>
    <n v="3"/>
    <n v="2"/>
    <s v="Y"/>
    <n v="1000"/>
    <x v="1"/>
  </r>
  <r>
    <s v="24.10.2019"/>
    <d v="1899-12-30T15:36:00"/>
    <s v="UAK 610W"/>
    <s v="D"/>
    <n v="2"/>
    <s v="Road Vehicle"/>
    <n v="7"/>
    <x v="2"/>
    <x v="1"/>
    <n v="2"/>
    <x v="1"/>
    <s v="MUKIGOYO"/>
    <s v="MUBENDE"/>
    <s v="UG"/>
    <n v="2"/>
    <s v="Work"/>
    <s v="MUBENDE TOWN"/>
    <s v="MUBENDE"/>
    <s v="UG"/>
    <n v="2"/>
    <s v="Work"/>
    <x v="5"/>
    <n v="40000"/>
    <n v="66"/>
    <x v="1"/>
    <n v="1.5"/>
    <x v="2"/>
    <n v="5"/>
    <s v="Professional"/>
    <n v="4"/>
    <x v="3"/>
    <n v="2"/>
    <n v="1"/>
    <n v="1"/>
    <n v="1"/>
    <n v="1"/>
    <s v="Y"/>
    <n v="1000"/>
    <x v="1"/>
  </r>
  <r>
    <s v="26.10.2019"/>
    <d v="1899-12-30T11:39:00"/>
    <s v="UBB 243B"/>
    <s v="D"/>
    <n v="2"/>
    <s v="Road Vehicle"/>
    <n v="7"/>
    <x v="2"/>
    <x v="1"/>
    <n v="2"/>
    <x v="1"/>
    <s v="KAGULUMIRA"/>
    <s v="MUBENDE"/>
    <s v="UG"/>
    <n v="2"/>
    <s v="Work"/>
    <s v="KATWE"/>
    <s v="KAMPALA"/>
    <s v="UG"/>
    <n v="8"/>
    <s v="Others"/>
    <x v="6"/>
    <n v="70000"/>
    <n v="80"/>
    <x v="0"/>
    <n v="2"/>
    <x v="1"/>
    <n v="10"/>
    <s v="Other"/>
    <n v="2"/>
    <x v="1"/>
    <n v="5"/>
    <n v="4"/>
    <n v="1"/>
    <n v="2"/>
    <n v="1"/>
    <s v="Y"/>
    <n v="2000"/>
    <x v="4"/>
  </r>
  <r>
    <s v="26.10.2019"/>
    <d v="1899-12-30T07:01:00"/>
    <m/>
    <s v="P"/>
    <n v="2"/>
    <s v="Road Vehicle"/>
    <n v="7"/>
    <x v="2"/>
    <x v="1"/>
    <n v="2"/>
    <x v="1"/>
    <s v="KASAJJA"/>
    <s v="MUBENDE"/>
    <s v="UG"/>
    <n v="2"/>
    <s v="Work"/>
    <s v="MUBENDE TOWN"/>
    <s v="MUBENDE"/>
    <s v="UG"/>
    <n v="2"/>
    <s v="Work"/>
    <x v="5"/>
    <m/>
    <n v="24"/>
    <x v="5"/>
    <n v="0.7"/>
    <x v="3"/>
    <n v="2"/>
    <s v="Manual Labour"/>
    <n v="1"/>
    <x v="2"/>
    <n v="3"/>
    <n v="3"/>
    <n v="3"/>
    <n v="1"/>
    <n v="1"/>
    <s v="Y"/>
    <n v="1000"/>
    <x v="1"/>
  </r>
  <r>
    <s v="26.10.2019"/>
    <d v="1899-12-30T13:33:00"/>
    <m/>
    <s v="P"/>
    <n v="2"/>
    <s v="Road Vehicle"/>
    <n v="5"/>
    <x v="5"/>
    <x v="0"/>
    <n v="2"/>
    <x v="1"/>
    <s v="KAWEMPE"/>
    <s v="WAKISO"/>
    <s v="UG"/>
    <n v="4"/>
    <s v="Commercial"/>
    <s v="KASESE TOWN"/>
    <s v="KASESE"/>
    <s v="UG"/>
    <n v="1"/>
    <s v="Home"/>
    <x v="0"/>
    <n v="25000"/>
    <n v="362"/>
    <x v="3"/>
    <n v="4"/>
    <x v="0"/>
    <n v="6"/>
    <s v="Businessman"/>
    <n v="4"/>
    <x v="3"/>
    <n v="2"/>
    <n v="1"/>
    <n v="1"/>
    <n v="1"/>
    <n v="1"/>
    <s v="Y"/>
    <m/>
    <x v="0"/>
  </r>
  <r>
    <s v="26.10.2019"/>
    <d v="1899-12-30T08:44:00"/>
    <m/>
    <s v="P"/>
    <n v="2"/>
    <s v="Road Vehicle"/>
    <n v="5"/>
    <x v="5"/>
    <x v="1"/>
    <n v="2"/>
    <x v="1"/>
    <s v="GAYAZA"/>
    <s v="WAKISO"/>
    <s v="UG"/>
    <n v="1"/>
    <s v="Home"/>
    <s v="LUSALIRA"/>
    <s v="MUBENDE"/>
    <s v="UG"/>
    <n v="6"/>
    <s v="Leisure/Social"/>
    <x v="3"/>
    <n v="10000"/>
    <n v="87"/>
    <x v="0"/>
    <n v="1"/>
    <x v="2"/>
    <n v="7"/>
    <s v="Farmer"/>
    <n v="3"/>
    <x v="0"/>
    <n v="2"/>
    <n v="2"/>
    <n v="1"/>
    <n v="1"/>
    <n v="2"/>
    <s v="Y"/>
    <n v="500"/>
    <x v="0"/>
  </r>
  <r>
    <s v="26.10.2019"/>
    <d v="1899-12-30T07:04:00"/>
    <m/>
    <s v="D"/>
    <n v="2"/>
    <s v="Road Vehicle"/>
    <n v="8"/>
    <x v="8"/>
    <x v="1"/>
    <n v="2"/>
    <x v="1"/>
    <s v="KIRUNGI"/>
    <s v="MUBENDE"/>
    <s v="UG"/>
    <n v="2"/>
    <s v="Work"/>
    <s v="MUBENDE TOWN"/>
    <s v="MUBENDE"/>
    <s v="UG"/>
    <n v="4"/>
    <s v="Commercial"/>
    <x v="21"/>
    <n v="40000"/>
    <n v="46"/>
    <x v="1"/>
    <n v="1"/>
    <x v="2"/>
    <n v="6"/>
    <s v="Businessman"/>
    <n v="4"/>
    <x v="3"/>
    <n v="1"/>
    <n v="2"/>
    <n v="2"/>
    <n v="1"/>
    <n v="1"/>
    <s v="Y"/>
    <m/>
    <x v="0"/>
  </r>
  <r>
    <s v="24.10.2019"/>
    <d v="1899-12-30T15:10:00"/>
    <s v="UAY 423P"/>
    <s v="P"/>
    <n v="2"/>
    <s v="Road Vehicle"/>
    <n v="4"/>
    <x v="3"/>
    <x v="0"/>
    <n v="2"/>
    <x v="1"/>
    <s v="MUBENDE TOWN"/>
    <s v="MUBENDE"/>
    <s v="UG"/>
    <n v="1"/>
    <s v="Home"/>
    <s v="RUKINDO"/>
    <s v="KIBALAE"/>
    <s v="UG"/>
    <n v="2"/>
    <s v="Work"/>
    <x v="8"/>
    <n v="700000"/>
    <n v="160"/>
    <x v="2"/>
    <n v="1.5"/>
    <x v="2"/>
    <n v="6"/>
    <s v="Businessman"/>
    <n v="2"/>
    <x v="1"/>
    <n v="5"/>
    <n v="5"/>
    <n v="1"/>
    <n v="1"/>
    <n v="1"/>
    <s v="Y"/>
    <n v="3000"/>
    <x v="5"/>
  </r>
  <r>
    <s v="24.10.2019"/>
    <d v="1899-12-30T16:20:00"/>
    <s v="UBA 217C"/>
    <s v="D"/>
    <n v="2"/>
    <s v="Road Vehicle"/>
    <n v="4"/>
    <x v="3"/>
    <x v="0"/>
    <n v="2"/>
    <x v="1"/>
    <s v="MUBENDE TOWN"/>
    <s v="MUBENDE"/>
    <s v="UG"/>
    <n v="4"/>
    <s v="Commercial"/>
    <s v="NGANJI"/>
    <s v="KIBALAE"/>
    <s v="UG"/>
    <n v="4"/>
    <s v="Commercial"/>
    <x v="13"/>
    <n v="15000"/>
    <n v="40"/>
    <x v="1"/>
    <n v="2"/>
    <x v="1"/>
    <n v="5"/>
    <s v="Professional"/>
    <n v="2"/>
    <x v="1"/>
    <n v="1"/>
    <n v="1"/>
    <n v="1"/>
    <n v="1"/>
    <n v="1"/>
    <s v="Y"/>
    <n v="3000"/>
    <x v="5"/>
  </r>
  <r>
    <s v="24.10.2019"/>
    <d v="1899-12-30T16:31:00"/>
    <m/>
    <s v="P"/>
    <n v="2"/>
    <s v="Road Vehicle"/>
    <n v="4"/>
    <x v="3"/>
    <x v="0"/>
    <n v="2"/>
    <x v="1"/>
    <m/>
    <m/>
    <s v="UG"/>
    <n v="4"/>
    <s v="Commercial"/>
    <m/>
    <m/>
    <s v="UG"/>
    <n v="4"/>
    <s v="Commercial"/>
    <x v="13"/>
    <m/>
    <m/>
    <x v="4"/>
    <m/>
    <x v="4"/>
    <n v="6"/>
    <s v="Businessman"/>
    <n v="2"/>
    <x v="1"/>
    <n v="5"/>
    <n v="5"/>
    <n v="1"/>
    <n v="1"/>
    <n v="5"/>
    <s v="Y"/>
    <n v="500"/>
    <x v="0"/>
  </r>
  <r>
    <s v="24.10.2019"/>
    <d v="1899-12-30T16:58:00"/>
    <m/>
    <s v="P"/>
    <n v="2"/>
    <s v="Road Vehicle"/>
    <n v="4"/>
    <x v="3"/>
    <x v="0"/>
    <n v="2"/>
    <x v="1"/>
    <s v="KIYUNI"/>
    <s v="MUBENDE"/>
    <s v="UG"/>
    <n v="1"/>
    <s v="Home"/>
    <s v="KAGANDI TOWN"/>
    <s v="KAGANDI"/>
    <s v="UG"/>
    <n v="2"/>
    <s v="Work"/>
    <x v="8"/>
    <n v="15000"/>
    <n v="47"/>
    <x v="1"/>
    <n v="2.5"/>
    <x v="1"/>
    <n v="6"/>
    <s v="Businessman"/>
    <n v="1"/>
    <x v="2"/>
    <n v="2"/>
    <n v="4"/>
    <n v="1"/>
    <n v="1"/>
    <n v="2"/>
    <s v="Y"/>
    <m/>
    <x v="0"/>
  </r>
  <r>
    <s v="24.10.2019"/>
    <d v="1899-12-30T16:40:00"/>
    <m/>
    <s v="P"/>
    <n v="2"/>
    <s v="Road Vehicle"/>
    <n v="4"/>
    <x v="3"/>
    <x v="0"/>
    <n v="2"/>
    <x v="1"/>
    <s v="MUBENDE TOWN"/>
    <s v="MUBENDE"/>
    <s v="UG"/>
    <n v="2"/>
    <s v="Work"/>
    <s v="KALUGUUZA TOWN"/>
    <s v="KALUGUUZA"/>
    <s v="UG"/>
    <n v="1"/>
    <s v="Home"/>
    <x v="1"/>
    <n v="10000"/>
    <n v="40"/>
    <x v="1"/>
    <n v="2"/>
    <x v="1"/>
    <n v="6"/>
    <s v="Businessman"/>
    <n v="1"/>
    <x v="2"/>
    <n v="2"/>
    <n v="1"/>
    <n v="2"/>
    <n v="2"/>
    <n v="2"/>
    <n v="1"/>
    <m/>
    <x v="0"/>
  </r>
  <r>
    <s v="24.10.2019"/>
    <d v="1899-12-30T15:43:00"/>
    <m/>
    <s v="P"/>
    <n v="2"/>
    <s v="Road Vehicle"/>
    <n v="4"/>
    <x v="3"/>
    <x v="0"/>
    <n v="2"/>
    <x v="1"/>
    <s v="MUBENDE TOWN"/>
    <s v="MUBENDE"/>
    <s v="UG"/>
    <n v="1"/>
    <s v="Home"/>
    <s v="GAYAZA"/>
    <s v="WAKISO"/>
    <s v="UG"/>
    <n v="2"/>
    <s v="Work"/>
    <x v="8"/>
    <n v="10000"/>
    <n v="39"/>
    <x v="5"/>
    <n v="2"/>
    <x v="1"/>
    <n v="6"/>
    <s v="Businessman"/>
    <n v="1"/>
    <x v="2"/>
    <n v="2"/>
    <n v="1"/>
    <n v="3"/>
    <n v="1"/>
    <n v="2"/>
    <s v="Y"/>
    <m/>
    <x v="0"/>
  </r>
  <r>
    <s v="24.10.2019"/>
    <d v="1899-12-30T14:54:00"/>
    <m/>
    <s v="P"/>
    <n v="2"/>
    <s v="Road Vehicle"/>
    <n v="4"/>
    <x v="3"/>
    <x v="0"/>
    <n v="2"/>
    <x v="1"/>
    <s v="MUBENDE TOWN"/>
    <s v="MUBENDE"/>
    <s v="UG"/>
    <n v="1"/>
    <s v="Home"/>
    <s v="MUYITAZINGE"/>
    <s v="KAKUMIRO"/>
    <s v="UG"/>
    <n v="2"/>
    <s v="Work"/>
    <x v="8"/>
    <n v="10000"/>
    <n v="40"/>
    <x v="1"/>
    <n v="2"/>
    <x v="1"/>
    <n v="6"/>
    <s v="Businessman"/>
    <n v="1"/>
    <x v="2"/>
    <n v="2"/>
    <n v="4"/>
    <n v="1"/>
    <n v="3"/>
    <n v="2"/>
    <s v="Y"/>
    <m/>
    <x v="0"/>
  </r>
  <r>
    <s v="24.10.2019"/>
    <d v="1899-12-30T14:33:00"/>
    <m/>
    <s v="P"/>
    <n v="2"/>
    <s v="Road Vehicle"/>
    <n v="4"/>
    <x v="3"/>
    <x v="0"/>
    <n v="2"/>
    <x v="1"/>
    <s v="MUBENDE TOWN"/>
    <s v="MUBENDE"/>
    <s v="UG"/>
    <n v="1"/>
    <s v="Home"/>
    <s v="NKONDO"/>
    <s v="GAYAZA"/>
    <s v="UG"/>
    <n v="2"/>
    <s v="Work"/>
    <x v="8"/>
    <n v="8000"/>
    <n v="35"/>
    <x v="5"/>
    <n v="1.5"/>
    <x v="2"/>
    <n v="6"/>
    <s v="Businessman"/>
    <n v="1"/>
    <x v="2"/>
    <n v="2"/>
    <n v="1"/>
    <n v="3"/>
    <n v="4"/>
    <n v="1"/>
    <s v="Y"/>
    <m/>
    <x v="0"/>
  </r>
  <r>
    <s v="24.10.2019"/>
    <d v="1899-12-30T19:19:00"/>
    <m/>
    <s v="P"/>
    <n v="2"/>
    <s v="Road Vehicle"/>
    <n v="4"/>
    <x v="3"/>
    <x v="0"/>
    <n v="2"/>
    <x v="1"/>
    <s v="MUKIGAGA"/>
    <s v="MUBENDE"/>
    <s v="UG"/>
    <n v="1"/>
    <s v="Home"/>
    <s v="ENTEBBE"/>
    <s v="WAKISO"/>
    <s v="UG"/>
    <n v="2"/>
    <s v="Work"/>
    <x v="8"/>
    <n v="10000"/>
    <n v="40"/>
    <x v="1"/>
    <n v="2"/>
    <x v="1"/>
    <n v="6"/>
    <s v="Businessman"/>
    <n v="1"/>
    <x v="2"/>
    <n v="2"/>
    <n v="1"/>
    <n v="2"/>
    <n v="3"/>
    <n v="4"/>
    <s v="Y"/>
    <m/>
    <x v="0"/>
  </r>
  <r>
    <s v="24.10.2019"/>
    <d v="1899-12-30T18:58:00"/>
    <m/>
    <s v="P"/>
    <n v="2"/>
    <s v="Road Vehicle"/>
    <n v="4"/>
    <x v="3"/>
    <x v="0"/>
    <n v="2"/>
    <x v="1"/>
    <s v="KIRUNGI"/>
    <s v="MUBENDE"/>
    <s v="UG"/>
    <n v="1"/>
    <s v="Home"/>
    <s v="MAKINDYE"/>
    <s v="KAMPALA"/>
    <s v="UG"/>
    <n v="2"/>
    <s v="Work"/>
    <x v="8"/>
    <n v="10000"/>
    <n v="40"/>
    <x v="1"/>
    <n v="2"/>
    <x v="1"/>
    <n v="6"/>
    <s v="Businessman"/>
    <n v="1"/>
    <x v="2"/>
    <n v="2"/>
    <n v="4"/>
    <n v="1"/>
    <n v="2"/>
    <n v="1"/>
    <s v="Y"/>
    <m/>
    <x v="0"/>
  </r>
  <r>
    <s v="24.10.2019"/>
    <d v="1899-12-30T18:40:00"/>
    <m/>
    <s v="P"/>
    <n v="2"/>
    <s v="Road Vehicle"/>
    <n v="4"/>
    <x v="3"/>
    <x v="0"/>
    <n v="2"/>
    <x v="1"/>
    <s v="KASAAJA"/>
    <s v="MUBENDE"/>
    <s v="UG"/>
    <n v="1"/>
    <s v="Home"/>
    <s v="KAJJANSI"/>
    <s v="WAKISO"/>
    <s v="UG"/>
    <n v="2"/>
    <s v="Work"/>
    <x v="8"/>
    <n v="10000"/>
    <n v="10"/>
    <x v="6"/>
    <n v="2"/>
    <x v="1"/>
    <n v="6"/>
    <s v="Businessman"/>
    <n v="1"/>
    <x v="2"/>
    <n v="2"/>
    <n v="4"/>
    <n v="1"/>
    <n v="2"/>
    <n v="3"/>
    <s v="Y"/>
    <m/>
    <x v="0"/>
  </r>
  <r>
    <s v="24.10.2019"/>
    <d v="1899-12-30T18:08:00"/>
    <m/>
    <s v="P"/>
    <n v="2"/>
    <s v="Road Vehicle"/>
    <n v="4"/>
    <x v="3"/>
    <x v="0"/>
    <n v="2"/>
    <x v="1"/>
    <s v="LUSALIRA"/>
    <s v="MUBENDE"/>
    <s v="UG"/>
    <n v="1"/>
    <s v="Home"/>
    <s v="BUSEGA"/>
    <s v="KAMPALA"/>
    <s v="UG"/>
    <n v="2"/>
    <s v="Work"/>
    <x v="8"/>
    <n v="10000"/>
    <n v="40"/>
    <x v="1"/>
    <n v="2"/>
    <x v="1"/>
    <n v="6"/>
    <s v="Businessman"/>
    <n v="1"/>
    <x v="2"/>
    <n v="5"/>
    <n v="4"/>
    <n v="1"/>
    <n v="2"/>
    <n v="1"/>
    <s v="Y"/>
    <m/>
    <x v="0"/>
  </r>
  <r>
    <s v="24.10.2019"/>
    <d v="1899-12-30T17:59:00"/>
    <m/>
    <s v="P"/>
    <n v="2"/>
    <s v="Road Vehicle"/>
    <n v="4"/>
    <x v="3"/>
    <x v="0"/>
    <n v="2"/>
    <x v="1"/>
    <s v="MALWEEYO"/>
    <s v="KAGADI"/>
    <s v="UG"/>
    <n v="2"/>
    <s v="Work"/>
    <s v="MUBENDE TOWN"/>
    <s v="MUBENDE"/>
    <s v="UG"/>
    <n v="2"/>
    <s v="Work"/>
    <x v="5"/>
    <n v="66"/>
    <n v="2"/>
    <x v="4"/>
    <n v="4"/>
    <x v="0"/>
    <m/>
    <n v="2"/>
    <m/>
    <x v="6"/>
    <n v="3"/>
    <n v="2"/>
    <n v="2"/>
    <n v="2"/>
    <n v="2"/>
    <s v="Y"/>
    <n v="1000"/>
    <x v="1"/>
  </r>
  <r>
    <s v="25.10.2019"/>
    <d v="1899-12-30T07:26:00"/>
    <m/>
    <s v="P"/>
    <n v="2"/>
    <s v="Road Vehicle"/>
    <n v="4"/>
    <x v="3"/>
    <x v="0"/>
    <n v="2"/>
    <x v="1"/>
    <s v="MUBENDE TOWN"/>
    <s v="MU"/>
    <s v="UG"/>
    <n v="1"/>
    <s v="Home"/>
    <s v="MITYANA TOWN"/>
    <s v="MI"/>
    <s v="UG"/>
    <n v="4"/>
    <s v="Commercial"/>
    <x v="12"/>
    <n v="18000"/>
    <n v="140"/>
    <x v="2"/>
    <n v="1"/>
    <x v="2"/>
    <n v="5"/>
    <s v="Professional"/>
    <n v="2"/>
    <x v="1"/>
    <n v="5"/>
    <n v="5"/>
    <n v="1"/>
    <n v="1"/>
    <n v="5"/>
    <s v="Y"/>
    <n v="1000"/>
    <x v="1"/>
  </r>
  <r>
    <s v="25.10.2019"/>
    <d v="1899-12-30T12:38:00"/>
    <m/>
    <s v="P"/>
    <n v="2"/>
    <s v="Road Vehicle"/>
    <n v="4"/>
    <x v="3"/>
    <x v="0"/>
    <n v="2"/>
    <x v="1"/>
    <s v="MPASANA"/>
    <s v="MUBENDE"/>
    <s v="UG"/>
    <n v="1"/>
    <s v="Home"/>
    <s v="MUBENDE TOWN"/>
    <s v="MUB"/>
    <s v="UG"/>
    <n v="2"/>
    <s v="Work"/>
    <x v="8"/>
    <n v="13000"/>
    <n v="100"/>
    <x v="2"/>
    <n v="2"/>
    <x v="1"/>
    <n v="8"/>
    <s v="Student"/>
    <n v="1"/>
    <x v="2"/>
    <n v="1"/>
    <n v="5"/>
    <n v="5"/>
    <n v="1"/>
    <n v="5"/>
    <s v="Y"/>
    <m/>
    <x v="0"/>
  </r>
  <r>
    <s v="25.10.2019"/>
    <d v="1899-12-30T16:58:00"/>
    <m/>
    <s v="P"/>
    <n v="2"/>
    <s v="Road Vehicle"/>
    <n v="4"/>
    <x v="3"/>
    <x v="0"/>
    <n v="2"/>
    <x v="1"/>
    <s v="MUBENDE TOWN"/>
    <s v="MUBENDE"/>
    <s v="UG"/>
    <n v="1"/>
    <s v="Home"/>
    <s v="MITYANA TOWN"/>
    <s v="MITYANA"/>
    <s v="UG"/>
    <n v="2"/>
    <s v="Work"/>
    <x v="8"/>
    <n v="7000"/>
    <n v="80"/>
    <x v="0"/>
    <n v="1"/>
    <x v="2"/>
    <n v="7"/>
    <s v="Farmer"/>
    <n v="1"/>
    <x v="2"/>
    <n v="5"/>
    <n v="5"/>
    <n v="1"/>
    <n v="3"/>
    <n v="1"/>
    <s v="Y"/>
    <n v="3000"/>
    <x v="5"/>
  </r>
  <r>
    <s v="25.10.2019"/>
    <d v="1899-12-30T11:49:00"/>
    <m/>
    <s v="P"/>
    <n v="2"/>
    <s v="Road Vehicle"/>
    <n v="4"/>
    <x v="3"/>
    <x v="0"/>
    <n v="2"/>
    <x v="1"/>
    <s v="KISEKENDE"/>
    <s v="MUBENDE"/>
    <s v="UG"/>
    <n v="2"/>
    <s v="Work"/>
    <s v="KYAMUJUMBO"/>
    <s v="MUBENDE"/>
    <s v="UG"/>
    <n v="1"/>
    <s v="Home"/>
    <x v="1"/>
    <n v="10000"/>
    <n v="60"/>
    <x v="1"/>
    <n v="2"/>
    <x v="1"/>
    <n v="6"/>
    <s v="Businessman"/>
    <n v="1"/>
    <x v="2"/>
    <n v="2"/>
    <n v="1"/>
    <n v="2"/>
    <n v="5"/>
    <n v="4"/>
    <s v="Y"/>
    <m/>
    <x v="0"/>
  </r>
  <r>
    <s v="25.10.2019"/>
    <d v="1899-12-30T11:13:00"/>
    <m/>
    <s v="P"/>
    <n v="2"/>
    <s v="Road Vehicle"/>
    <n v="4"/>
    <x v="3"/>
    <x v="0"/>
    <n v="2"/>
    <x v="1"/>
    <s v="NAMAGOGO"/>
    <s v="MUBENDE"/>
    <s v="UG"/>
    <n v="2"/>
    <s v="Work"/>
    <s v="HOIMA TOWN"/>
    <s v="HOIMA"/>
    <s v="UG"/>
    <n v="1"/>
    <s v="Home"/>
    <x v="1"/>
    <n v="20000"/>
    <n v="60"/>
    <x v="1"/>
    <n v="3"/>
    <x v="1"/>
    <n v="6"/>
    <s v="Businessman"/>
    <n v="1"/>
    <x v="2"/>
    <n v="2"/>
    <n v="4"/>
    <n v="1"/>
    <n v="3"/>
    <n v="1"/>
    <s v="Y"/>
    <m/>
    <x v="0"/>
  </r>
  <r>
    <s v="25.10.2019"/>
    <d v="1899-12-30T10:14:00"/>
    <m/>
    <s v="P"/>
    <n v="2"/>
    <s v="Road Vehicle"/>
    <n v="4"/>
    <x v="3"/>
    <x v="0"/>
    <n v="2"/>
    <x v="1"/>
    <s v="KIRUNGI"/>
    <s v="MUBENDE"/>
    <s v="UG"/>
    <n v="2"/>
    <s v="Work"/>
    <s v="KABASEKEDDE"/>
    <s v="KAGANDI"/>
    <s v="UG"/>
    <n v="1"/>
    <s v="Home"/>
    <x v="1"/>
    <n v="13000"/>
    <n v="50"/>
    <x v="1"/>
    <n v="2.5"/>
    <x v="1"/>
    <n v="6"/>
    <s v="Businessman"/>
    <n v="1"/>
    <x v="2"/>
    <n v="2"/>
    <n v="4"/>
    <n v="1"/>
    <n v="2"/>
    <n v="1"/>
    <s v="Y"/>
    <m/>
    <x v="0"/>
  </r>
  <r>
    <s v="25.10.2019"/>
    <d v="1899-12-30T09:19:00"/>
    <m/>
    <s v="P"/>
    <n v="2"/>
    <s v="Road Vehicle"/>
    <n v="4"/>
    <x v="3"/>
    <x v="0"/>
    <n v="2"/>
    <x v="1"/>
    <s v="MUBENDE TOWN"/>
    <s v="MUBENDE"/>
    <s v="UG"/>
    <n v="1"/>
    <s v="Home"/>
    <s v="ZANA"/>
    <s v="KAMPALA"/>
    <s v="UG"/>
    <n v="2"/>
    <s v="Work"/>
    <x v="8"/>
    <n v="10000"/>
    <n v="45"/>
    <x v="1"/>
    <n v="2"/>
    <x v="1"/>
    <n v="6"/>
    <s v="Businessman"/>
    <n v="1"/>
    <x v="2"/>
    <n v="2"/>
    <n v="1"/>
    <n v="3"/>
    <n v="4"/>
    <n v="1"/>
    <s v="Y"/>
    <n v="0"/>
    <x v="0"/>
  </r>
  <r>
    <s v="25.10.2019"/>
    <d v="1899-12-30T08:00:00"/>
    <m/>
    <s v="P"/>
    <n v="2"/>
    <s v="Road Vehicle"/>
    <n v="4"/>
    <x v="3"/>
    <x v="0"/>
    <n v="2"/>
    <x v="1"/>
    <s v="LWABAGABA"/>
    <s v="MUBENDE"/>
    <s v="UG"/>
    <n v="2"/>
    <s v="Work"/>
    <s v="KAKUMIRO TOWN "/>
    <s v="KAKUMIRO"/>
    <s v="UG"/>
    <n v="1"/>
    <s v="Home"/>
    <x v="1"/>
    <n v="5000"/>
    <n v="25"/>
    <x v="5"/>
    <n v="1"/>
    <x v="2"/>
    <n v="6"/>
    <s v="Businessman"/>
    <n v="1"/>
    <x v="2"/>
    <n v="2"/>
    <n v="4"/>
    <n v="5"/>
    <n v="5"/>
    <n v="2"/>
    <s v="Y"/>
    <m/>
    <x v="0"/>
  </r>
  <r>
    <s v="25.10.2019"/>
    <d v="1899-12-30T07:29:00"/>
    <m/>
    <s v="P"/>
    <n v="2"/>
    <s v="Road Vehicle"/>
    <n v="4"/>
    <x v="3"/>
    <x v="0"/>
    <n v="2"/>
    <x v="1"/>
    <s v="KISEKENDE"/>
    <s v="MUBENDE"/>
    <s v="UG"/>
    <n v="2"/>
    <s v="Work"/>
    <s v="NALWEEYO"/>
    <s v="NALWEEYO"/>
    <s v="UG"/>
    <n v="1"/>
    <s v="Home"/>
    <x v="1"/>
    <n v="15000"/>
    <n v="65"/>
    <x v="1"/>
    <n v="2.5"/>
    <x v="1"/>
    <n v="6"/>
    <s v="Businessman"/>
    <n v="1"/>
    <x v="2"/>
    <n v="2"/>
    <n v="1"/>
    <n v="5"/>
    <n v="4"/>
    <n v="3"/>
    <s v="Y"/>
    <m/>
    <x v="0"/>
  </r>
  <r>
    <s v="25.10.2019"/>
    <d v="1899-12-30T15:33:00"/>
    <m/>
    <s v="P"/>
    <n v="2"/>
    <s v="Road Vehicle"/>
    <n v="4"/>
    <x v="3"/>
    <x v="0"/>
    <n v="2"/>
    <x v="1"/>
    <m/>
    <m/>
    <s v="UG"/>
    <n v="2"/>
    <s v="Work"/>
    <s v="KASAMBYA"/>
    <s v="MUBENDE"/>
    <s v="UG"/>
    <n v="1"/>
    <s v="Home"/>
    <x v="1"/>
    <n v="10000"/>
    <n v="40"/>
    <x v="1"/>
    <n v="2"/>
    <x v="1"/>
    <n v="6"/>
    <s v="Businessman"/>
    <n v="1"/>
    <x v="2"/>
    <n v="2"/>
    <n v="1"/>
    <n v="2"/>
    <n v="3"/>
    <n v="2"/>
    <s v="Y"/>
    <m/>
    <x v="0"/>
  </r>
  <r>
    <s v="25.10.2019"/>
    <d v="1899-12-30T18:28:00"/>
    <m/>
    <s v="P"/>
    <n v="2"/>
    <s v="Road Vehicle"/>
    <n v="4"/>
    <x v="3"/>
    <x v="0"/>
    <n v="2"/>
    <x v="1"/>
    <s v="MUBENDE TOWN"/>
    <s v="MUBENDE"/>
    <s v="UG"/>
    <n v="2"/>
    <s v="Work"/>
    <s v="MAKINDYE"/>
    <s v="KAMPALA"/>
    <s v="UG"/>
    <n v="1"/>
    <s v="Home"/>
    <x v="1"/>
    <n v="10000"/>
    <n v="50"/>
    <x v="1"/>
    <n v="2"/>
    <x v="1"/>
    <n v="6"/>
    <s v="Businessman"/>
    <n v="1"/>
    <x v="2"/>
    <n v="2"/>
    <n v="1"/>
    <n v="3"/>
    <n v="2"/>
    <n v="1"/>
    <s v="Y"/>
    <m/>
    <x v="0"/>
  </r>
  <r>
    <s v="26.10.2019"/>
    <d v="1899-12-30T19:10:00"/>
    <m/>
    <s v="P"/>
    <n v="2"/>
    <s v="Road Vehicle"/>
    <n v="4"/>
    <x v="3"/>
    <x v="0"/>
    <n v="2"/>
    <x v="1"/>
    <s v="KASAMBYA"/>
    <s v="MUBENDE"/>
    <s v="UG"/>
    <n v="2"/>
    <s v="Work"/>
    <s v="KOLOLO"/>
    <s v="KAMPALA"/>
    <s v="UG"/>
    <n v="1"/>
    <s v="Home"/>
    <x v="1"/>
    <n v="10000"/>
    <n v="50"/>
    <x v="1"/>
    <n v="2"/>
    <x v="1"/>
    <n v="6"/>
    <s v="Businessman"/>
    <n v="1"/>
    <x v="2"/>
    <n v="2"/>
    <n v="1"/>
    <n v="3"/>
    <n v="4"/>
    <n v="1"/>
    <s v="Y"/>
    <m/>
    <x v="0"/>
  </r>
  <r>
    <s v="26.10.2019"/>
    <d v="1899-12-30T10:10:00"/>
    <m/>
    <s v="P"/>
    <n v="2"/>
    <s v="Road Vehicle"/>
    <n v="4"/>
    <x v="3"/>
    <x v="0"/>
    <n v="2"/>
    <x v="1"/>
    <s v="KIRUNGI"/>
    <s v="MUBENDE"/>
    <s v="UG"/>
    <n v="2"/>
    <s v="Work"/>
    <s v="NATEETE"/>
    <s v="KAMPALA"/>
    <s v="UG"/>
    <n v="1"/>
    <s v="Home"/>
    <x v="1"/>
    <n v="10000"/>
    <n v="58"/>
    <x v="1"/>
    <n v="2"/>
    <x v="1"/>
    <n v="6"/>
    <s v="Businessman"/>
    <n v="1"/>
    <x v="2"/>
    <n v="2"/>
    <n v="4"/>
    <n v="1"/>
    <n v="2"/>
    <n v="1"/>
    <s v="Y"/>
    <m/>
    <x v="0"/>
  </r>
  <r>
    <s v="26.10.2019"/>
    <d v="1899-12-30T12:10:00"/>
    <m/>
    <s v="P"/>
    <n v="2"/>
    <s v="Road Vehicle"/>
    <n v="4"/>
    <x v="3"/>
    <x v="0"/>
    <n v="2"/>
    <x v="1"/>
    <s v="LWABAGABO"/>
    <s v="MUBENDE"/>
    <s v="UG"/>
    <n v="1"/>
    <s v="Home"/>
    <s v="HOIMA TOWN"/>
    <s v="HOIMA"/>
    <s v="UG"/>
    <n v="2"/>
    <s v="Work"/>
    <x v="8"/>
    <n v="20000"/>
    <n v="90"/>
    <x v="0"/>
    <n v="2"/>
    <x v="1"/>
    <n v="6"/>
    <s v="Businessman"/>
    <n v="1"/>
    <x v="2"/>
    <n v="5"/>
    <n v="2"/>
    <n v="1"/>
    <n v="2"/>
    <n v="2"/>
    <s v="Y"/>
    <m/>
    <x v="0"/>
  </r>
  <r>
    <s v="26.10.2019"/>
    <d v="1899-12-30T01:24:00"/>
    <m/>
    <s v="P"/>
    <n v="2"/>
    <s v="Road Vehicle"/>
    <n v="4"/>
    <x v="3"/>
    <x v="0"/>
    <n v="2"/>
    <x v="1"/>
    <s v="KAGULUMIRA"/>
    <s v="MUBENDE"/>
    <s v="UG"/>
    <n v="1"/>
    <s v="Home"/>
    <s v="NATEETE"/>
    <s v="KAMPALA"/>
    <s v="UG"/>
    <n v="2"/>
    <s v="Work"/>
    <x v="8"/>
    <n v="10000"/>
    <n v="80"/>
    <x v="0"/>
    <n v="2"/>
    <x v="1"/>
    <n v="10"/>
    <s v="Other"/>
    <n v="1"/>
    <x v="2"/>
    <n v="2"/>
    <n v="1"/>
    <n v="2"/>
    <n v="3"/>
    <n v="2"/>
    <s v="Y"/>
    <m/>
    <x v="0"/>
  </r>
  <r>
    <s v="26.10.2019"/>
    <d v="1899-12-30T12:30:00"/>
    <m/>
    <s v="P"/>
    <n v="2"/>
    <s v="Road Vehicle"/>
    <n v="4"/>
    <x v="3"/>
    <x v="0"/>
    <n v="2"/>
    <x v="1"/>
    <s v="KASAMBYA"/>
    <s v="MUBENDE"/>
    <s v="UG"/>
    <n v="2"/>
    <s v="Work"/>
    <s v="HOIMA TOWN"/>
    <s v="HOIMA"/>
    <s v="UG"/>
    <n v="8"/>
    <s v="Others"/>
    <x v="6"/>
    <n v="20000"/>
    <n v="90"/>
    <x v="0"/>
    <n v="2"/>
    <x v="1"/>
    <n v="6"/>
    <s v="Businessman"/>
    <n v="1"/>
    <x v="2"/>
    <n v="2"/>
    <n v="4"/>
    <n v="1"/>
    <n v="5"/>
    <n v="5"/>
    <s v="Y"/>
    <m/>
    <x v="0"/>
  </r>
  <r>
    <s v="26.10.2019"/>
    <d v="1899-12-30T12:20:00"/>
    <m/>
    <s v="P"/>
    <n v="2"/>
    <s v="Road Vehicle"/>
    <n v="4"/>
    <x v="3"/>
    <x v="0"/>
    <n v="2"/>
    <x v="1"/>
    <s v="KIRUNGI"/>
    <s v="MUBENDE"/>
    <s v="UG"/>
    <n v="1"/>
    <s v="Home"/>
    <s v="HOIMA TOWN"/>
    <s v="HOIMA"/>
    <s v="UG"/>
    <n v="2"/>
    <s v="Work"/>
    <x v="8"/>
    <n v="20000"/>
    <n v="90"/>
    <x v="0"/>
    <n v="2"/>
    <x v="1"/>
    <n v="6"/>
    <s v="Businessman"/>
    <n v="1"/>
    <x v="2"/>
    <n v="2"/>
    <n v="4"/>
    <n v="2"/>
    <n v="2"/>
    <n v="1"/>
    <s v="Y"/>
    <m/>
    <x v="0"/>
  </r>
  <r>
    <s v="26.10.2019"/>
    <d v="1899-12-30T08:38:00"/>
    <m/>
    <s v="P"/>
    <n v="2"/>
    <s v="Road Vehicle"/>
    <n v="4"/>
    <x v="3"/>
    <x v="0"/>
    <n v="2"/>
    <x v="1"/>
    <s v="MUBENDE TOWN"/>
    <s v="MUBENDE"/>
    <s v="UG"/>
    <n v="2"/>
    <s v="Work"/>
    <s v="KYENGERA"/>
    <s v="KAMPALA"/>
    <s v="UG"/>
    <n v="8"/>
    <s v="Others"/>
    <x v="6"/>
    <n v="10000"/>
    <n v="48"/>
    <x v="1"/>
    <n v="2"/>
    <x v="1"/>
    <n v="10"/>
    <s v="Other"/>
    <n v="1"/>
    <x v="2"/>
    <n v="5"/>
    <n v="4"/>
    <n v="2"/>
    <n v="2"/>
    <n v="1"/>
    <s v="Y"/>
    <m/>
    <x v="0"/>
  </r>
  <r>
    <s v="26.10.2019"/>
    <d v="1899-12-30T17:00:00"/>
    <m/>
    <s v="P"/>
    <n v="2"/>
    <s v="Road Vehicle"/>
    <n v="4"/>
    <x v="3"/>
    <x v="0"/>
    <n v="2"/>
    <x v="1"/>
    <s v="KISEKENDE"/>
    <s v="MUBENDE"/>
    <s v="UG"/>
    <n v="1"/>
    <s v="Home"/>
    <s v="MITYANA TOWN"/>
    <s v="MITYANA"/>
    <s v="UG"/>
    <n v="2"/>
    <s v="Work"/>
    <x v="8"/>
    <n v="7000"/>
    <n v="30"/>
    <x v="5"/>
    <n v="1.5"/>
    <x v="2"/>
    <n v="6"/>
    <s v="Businessman"/>
    <n v="1"/>
    <x v="2"/>
    <n v="2"/>
    <n v="1"/>
    <n v="2"/>
    <n v="2"/>
    <n v="3"/>
    <s v="Y"/>
    <m/>
    <x v="0"/>
  </r>
  <r>
    <s v="26.10.2019"/>
    <d v="1899-12-30T12:13:00"/>
    <m/>
    <s v="P"/>
    <n v="2"/>
    <s v="Road Vehicle"/>
    <n v="4"/>
    <x v="3"/>
    <x v="0"/>
    <n v="2"/>
    <x v="1"/>
    <s v="KASAAJA"/>
    <s v="MUBENDE"/>
    <s v="UG"/>
    <n v="2"/>
    <s v="Work"/>
    <s v="NKONDO"/>
    <s v="MUBENDE"/>
    <s v="UG"/>
    <n v="1"/>
    <s v="Home"/>
    <x v="1"/>
    <n v="8000"/>
    <n v="40"/>
    <x v="1"/>
    <n v="2"/>
    <x v="1"/>
    <n v="6"/>
    <s v="Businessman"/>
    <n v="1"/>
    <x v="2"/>
    <n v="2"/>
    <n v="1"/>
    <n v="3"/>
    <n v="4"/>
    <n v="2"/>
    <s v="Y"/>
    <m/>
    <x v="0"/>
  </r>
  <r>
    <s v="26.10.2019"/>
    <d v="1899-12-30T12:44:00"/>
    <m/>
    <s v="P"/>
    <n v="2"/>
    <s v="Road Vehicle"/>
    <n v="4"/>
    <x v="3"/>
    <x v="0"/>
    <n v="2"/>
    <x v="1"/>
    <s v="NABIGOOLA"/>
    <s v="MUBENDE"/>
    <s v="UG"/>
    <n v="2"/>
    <s v="Work"/>
    <s v="KIWENZA"/>
    <s v="GAYAZA"/>
    <s v="UG"/>
    <n v="1"/>
    <s v="Home"/>
    <x v="1"/>
    <n v="10000"/>
    <n v="40"/>
    <x v="1"/>
    <n v="2"/>
    <x v="1"/>
    <n v="6"/>
    <s v="Businessman"/>
    <n v="1"/>
    <x v="2"/>
    <n v="2"/>
    <n v="1"/>
    <n v="5"/>
    <n v="4"/>
    <n v="2"/>
    <s v="Y"/>
    <m/>
    <x v="0"/>
  </r>
  <r>
    <s v="26.10.2019"/>
    <d v="1899-12-30T13:19:00"/>
    <m/>
    <s v="P"/>
    <n v="2"/>
    <s v="Road Vehicle"/>
    <n v="4"/>
    <x v="3"/>
    <x v="0"/>
    <n v="2"/>
    <x v="1"/>
    <s v="KIRUNGI"/>
    <s v="MUBENDE"/>
    <s v="UG"/>
    <n v="2"/>
    <s v="Work"/>
    <s v="KISIITA"/>
    <s v="KISIITA"/>
    <s v="UG"/>
    <n v="1"/>
    <s v="Home"/>
    <x v="1"/>
    <n v="15000"/>
    <n v="50"/>
    <x v="1"/>
    <n v="2.5"/>
    <x v="1"/>
    <n v="6"/>
    <s v="Businessman"/>
    <n v="1"/>
    <x v="2"/>
    <n v="2"/>
    <n v="1"/>
    <n v="5"/>
    <n v="4"/>
    <n v="5"/>
    <s v="Y"/>
    <m/>
    <x v="0"/>
  </r>
  <r>
    <s v="26.10.2019"/>
    <d v="1899-12-30T13:28:00"/>
    <m/>
    <s v="P"/>
    <n v="2"/>
    <s v="Road Vehicle"/>
    <n v="4"/>
    <x v="3"/>
    <x v="0"/>
    <n v="2"/>
    <x v="1"/>
    <s v="KIRUNGI"/>
    <s v="MUBENDE"/>
    <s v="UG"/>
    <n v="1"/>
    <s v="Home"/>
    <s v="GAYAZA"/>
    <s v="WAKISO"/>
    <s v="UG"/>
    <n v="2"/>
    <s v="Work"/>
    <x v="8"/>
    <n v="10000"/>
    <n v="67"/>
    <x v="1"/>
    <n v="2"/>
    <x v="1"/>
    <n v="6"/>
    <s v="Businessman"/>
    <n v="1"/>
    <x v="2"/>
    <n v="5"/>
    <n v="4"/>
    <n v="2"/>
    <n v="1"/>
    <n v="1"/>
    <s v="Y"/>
    <m/>
    <x v="0"/>
  </r>
  <r>
    <s v="26.10.2019"/>
    <d v="1899-12-30T14:30:00"/>
    <m/>
    <s v="P"/>
    <n v="2"/>
    <s v="Road Vehicle"/>
    <n v="4"/>
    <x v="3"/>
    <x v="0"/>
    <n v="2"/>
    <x v="1"/>
    <s v="KISEKENDE"/>
    <s v="MUBENDE"/>
    <s v="UG"/>
    <n v="1"/>
    <s v="Home"/>
    <s v="MITYANA TOWN"/>
    <s v="MITYANA"/>
    <s v="UG"/>
    <n v="8"/>
    <s v="Others"/>
    <x v="4"/>
    <n v="7000"/>
    <n v="40"/>
    <x v="1"/>
    <n v="1"/>
    <x v="2"/>
    <n v="10"/>
    <s v="Other"/>
    <n v="1"/>
    <x v="2"/>
    <n v="2"/>
    <n v="1"/>
    <n v="2"/>
    <n v="2"/>
    <n v="1"/>
    <s v="Y"/>
    <m/>
    <x v="0"/>
  </r>
  <r>
    <s v="26.10.2019"/>
    <d v="1899-12-30T13:50:00"/>
    <m/>
    <s v="P"/>
    <n v="2"/>
    <s v="Road Vehicle"/>
    <n v="4"/>
    <x v="3"/>
    <x v="0"/>
    <n v="2"/>
    <x v="1"/>
    <s v="KIRUNGI"/>
    <s v="MUBENDE"/>
    <s v="UG"/>
    <n v="1"/>
    <s v="Home"/>
    <s v="KIWENZA"/>
    <s v="GAYAZA"/>
    <s v="UG"/>
    <n v="2"/>
    <s v="Work"/>
    <x v="8"/>
    <n v="10000"/>
    <n v="40"/>
    <x v="1"/>
    <n v="2"/>
    <x v="1"/>
    <n v="6"/>
    <s v="Businessman"/>
    <n v="1"/>
    <x v="2"/>
    <n v="2"/>
    <n v="4"/>
    <n v="4"/>
    <n v="3"/>
    <n v="1"/>
    <s v="Y"/>
    <m/>
    <x v="0"/>
  </r>
  <r>
    <s v="26.10.2019"/>
    <d v="1899-12-30T08:36:00"/>
    <m/>
    <s v="P"/>
    <n v="2"/>
    <s v="Road Vehicle"/>
    <n v="4"/>
    <x v="3"/>
    <x v="0"/>
    <n v="2"/>
    <x v="1"/>
    <s v="KARUGUUZA"/>
    <s v="KIBALE"/>
    <s v="UG"/>
    <n v="1"/>
    <s v="Home"/>
    <s v="KAMPALA TOWN"/>
    <s v="KAMPALA"/>
    <s v="UG"/>
    <n v="4"/>
    <s v="Commercial"/>
    <x v="12"/>
    <n v="20000"/>
    <n v="210"/>
    <x v="3"/>
    <n v="2.5"/>
    <x v="1"/>
    <n v="6"/>
    <s v="Businessman"/>
    <n v="2"/>
    <x v="1"/>
    <n v="1"/>
    <n v="1"/>
    <n v="2"/>
    <n v="1"/>
    <n v="2"/>
    <s v="Y"/>
    <n v="4000"/>
    <x v="5"/>
  </r>
  <r>
    <s v="26.10.2019"/>
    <d v="1899-12-30T09:11:00"/>
    <m/>
    <s v="P"/>
    <n v="2"/>
    <s v="Road Vehicle"/>
    <n v="4"/>
    <x v="3"/>
    <x v="0"/>
    <n v="2"/>
    <x v="1"/>
    <s v="KAKUMIRO TOWN"/>
    <s v="KAKUMIRO"/>
    <s v="UG"/>
    <n v="1"/>
    <s v="Home"/>
    <s v="KAMPALA TOWN"/>
    <s v="KAMPALA"/>
    <s v="UG"/>
    <n v="4"/>
    <s v="Commercial"/>
    <x v="12"/>
    <n v="15000"/>
    <n v="170"/>
    <x v="2"/>
    <n v="2"/>
    <x v="1"/>
    <n v="6"/>
    <s v="Businessman"/>
    <n v="3"/>
    <x v="0"/>
    <n v="5"/>
    <n v="5"/>
    <n v="4"/>
    <n v="1"/>
    <n v="1"/>
    <s v="Y"/>
    <n v="5000"/>
    <x v="2"/>
  </r>
  <r>
    <s v="26.10.2019"/>
    <d v="1899-12-30T09:47:00"/>
    <s v="UBD 261V"/>
    <s v="D"/>
    <n v="2"/>
    <s v="Road Vehicle"/>
    <n v="4"/>
    <x v="3"/>
    <x v="0"/>
    <n v="2"/>
    <x v="1"/>
    <s v="MUBENDE TOWN"/>
    <s v="MUBENDE"/>
    <s v="UG"/>
    <n v="4"/>
    <s v="Commercial"/>
    <s v="KAKUMIRO TOWN "/>
    <s v="KAKUMIRO"/>
    <s v="UG"/>
    <n v="4"/>
    <s v="Commercial"/>
    <x v="13"/>
    <n v="60000"/>
    <n v="108"/>
    <x v="2"/>
    <n v="1.5"/>
    <x v="2"/>
    <n v="5"/>
    <s v="Professional"/>
    <n v="1"/>
    <x v="2"/>
    <n v="5"/>
    <n v="5"/>
    <n v="3"/>
    <n v="4"/>
    <n v="5"/>
    <s v="Y"/>
    <m/>
    <x v="0"/>
  </r>
  <r>
    <s v="26.10.2019"/>
    <d v="1899-12-30T10:06:00"/>
    <m/>
    <s v="P"/>
    <n v="2"/>
    <s v="Road Vehicle"/>
    <n v="4"/>
    <x v="3"/>
    <x v="0"/>
    <n v="2"/>
    <x v="1"/>
    <s v="MUBENDE TOWN"/>
    <s v="MUBENDE"/>
    <s v="UG"/>
    <n v="1"/>
    <s v="Home"/>
    <s v="BUSEGA"/>
    <s v="KAMPALA"/>
    <s v="UG"/>
    <n v="4"/>
    <s v="Commercial"/>
    <x v="12"/>
    <n v="10000"/>
    <n v="108"/>
    <x v="2"/>
    <n v="2.5"/>
    <x v="1"/>
    <n v="6"/>
    <s v="Businessman"/>
    <n v="2"/>
    <x v="1"/>
    <n v="1"/>
    <n v="1"/>
    <n v="5"/>
    <n v="5"/>
    <n v="5"/>
    <s v="Y"/>
    <n v="1000"/>
    <x v="1"/>
  </r>
  <r>
    <s v="26.10.2019"/>
    <d v="1899-12-30T11:15:00"/>
    <s v="UAX 364V"/>
    <s v="D"/>
    <n v="2"/>
    <s v="Road Vehicle"/>
    <n v="4"/>
    <x v="3"/>
    <x v="0"/>
    <n v="2"/>
    <x v="1"/>
    <s v="KAKOGE"/>
    <s v="MUBENDE"/>
    <s v="UG"/>
    <n v="1"/>
    <s v="Home"/>
    <s v="MUBENDE TOWN"/>
    <s v="MUBENDE"/>
    <s v="UG"/>
    <n v="2"/>
    <s v="Work"/>
    <x v="8"/>
    <n v="70000"/>
    <n v="240"/>
    <x v="3"/>
    <n v="2.5"/>
    <x v="1"/>
    <n v="7"/>
    <s v="Farmer"/>
    <n v="1"/>
    <x v="2"/>
    <n v="5"/>
    <n v="4"/>
    <n v="5"/>
    <n v="4"/>
    <n v="4"/>
    <s v="Y"/>
    <n v="1000"/>
    <x v="1"/>
  </r>
  <r>
    <s v="26.10.2019"/>
    <d v="1899-12-30T08:40:00"/>
    <m/>
    <s v="P"/>
    <n v="2"/>
    <s v="Road Vehicle"/>
    <n v="4"/>
    <x v="3"/>
    <x v="0"/>
    <n v="2"/>
    <x v="1"/>
    <s v="KAMPALA TOWN"/>
    <s v="KAMPALA"/>
    <s v="UG"/>
    <n v="2"/>
    <s v="Work"/>
    <s v="HOIMA TOWN"/>
    <s v="HOIMA"/>
    <s v="UG"/>
    <n v="1"/>
    <s v="Home"/>
    <x v="1"/>
    <n v="25000"/>
    <n v="236"/>
    <x v="3"/>
    <n v="3"/>
    <x v="1"/>
    <n v="5"/>
    <s v="Professional"/>
    <n v="4"/>
    <x v="3"/>
    <n v="2"/>
    <n v="2"/>
    <n v="1"/>
    <n v="1"/>
    <n v="2"/>
    <s v="Y"/>
    <n v="1000"/>
    <x v="1"/>
  </r>
  <r>
    <s v="26.10.2019"/>
    <d v="1899-12-30T08:46:00"/>
    <m/>
    <s v="P"/>
    <n v="2"/>
    <s v="Road Vehicle"/>
    <n v="4"/>
    <x v="3"/>
    <x v="0"/>
    <n v="2"/>
    <x v="1"/>
    <s v="KAMPALA TOWN"/>
    <s v="KAMPALA"/>
    <s v="UG"/>
    <n v="2"/>
    <s v="Work"/>
    <s v="MUBENDE TOWN"/>
    <s v="MUBENDE"/>
    <s v="UG"/>
    <n v="2"/>
    <s v="Work"/>
    <x v="5"/>
    <n v="15000"/>
    <n v="143"/>
    <x v="2"/>
    <n v="3"/>
    <x v="1"/>
    <n v="6"/>
    <s v="Businessman"/>
    <n v="4"/>
    <x v="3"/>
    <n v="2"/>
    <n v="2"/>
    <n v="2"/>
    <n v="2"/>
    <n v="1"/>
    <s v="Y"/>
    <m/>
    <x v="0"/>
  </r>
  <r>
    <s v="26.10.2019"/>
    <d v="1899-12-30T09:42:00"/>
    <s v="UAK 136T"/>
    <s v="D"/>
    <n v="2"/>
    <s v="Road Vehicle"/>
    <n v="4"/>
    <x v="3"/>
    <x v="0"/>
    <n v="2"/>
    <x v="1"/>
    <s v="MUBENDE TOWN"/>
    <s v="MUBENDE"/>
    <s v="UG"/>
    <n v="3"/>
    <s v="Study"/>
    <s v="MUBENDE TOWN"/>
    <s v="MUB"/>
    <s v="UG"/>
    <n v="1"/>
    <s v="Home"/>
    <x v="9"/>
    <n v="20000"/>
    <n v="10"/>
    <x v="6"/>
    <n v="0.7"/>
    <x v="3"/>
    <n v="6"/>
    <s v="Businessman"/>
    <n v="3"/>
    <x v="0"/>
    <n v="2"/>
    <n v="1"/>
    <n v="1"/>
    <n v="2"/>
    <n v="2"/>
    <s v="Y"/>
    <n v="3000"/>
    <x v="5"/>
  </r>
  <r>
    <s v="26.10.2019"/>
    <d v="1899-12-30T10:18:00"/>
    <m/>
    <s v="P"/>
    <n v="2"/>
    <s v="Road Vehicle"/>
    <n v="4"/>
    <x v="3"/>
    <x v="0"/>
    <n v="2"/>
    <x v="1"/>
    <s v="MYAMALUDA"/>
    <s v="KAKUMIRO"/>
    <s v="UG"/>
    <n v="6"/>
    <s v="Leisure/Social"/>
    <s v="KALUNGUUZA"/>
    <s v="MUBENDE"/>
    <s v="UG"/>
    <n v="1"/>
    <s v="Home"/>
    <x v="7"/>
    <n v="15000"/>
    <n v="86"/>
    <x v="0"/>
    <n v="4"/>
    <x v="0"/>
    <n v="10"/>
    <s v="Other"/>
    <n v="1"/>
    <x v="2"/>
    <n v="3"/>
    <n v="4"/>
    <n v="4"/>
    <n v="5"/>
    <n v="5"/>
    <s v="Y"/>
    <m/>
    <x v="0"/>
  </r>
  <r>
    <s v="26.10.2019"/>
    <d v="1899-12-30T10:33:00"/>
    <m/>
    <s v="P"/>
    <n v="2"/>
    <s v="Road Vehicle"/>
    <n v="4"/>
    <x v="3"/>
    <x v="0"/>
    <n v="2"/>
    <x v="1"/>
    <s v="KIKOOLA"/>
    <s v="MUBENDE"/>
    <s v="UG"/>
    <n v="1"/>
    <s v="Home"/>
    <s v="KAMPALA TOWN"/>
    <s v="KAMPALA"/>
    <s v="UG"/>
    <n v="7"/>
    <s v="Hospital"/>
    <x v="26"/>
    <n v="28000"/>
    <n v="210"/>
    <x v="3"/>
    <n v="6"/>
    <x v="0"/>
    <n v="7"/>
    <s v="Farmer"/>
    <n v="3"/>
    <x v="0"/>
    <n v="2"/>
    <n v="4"/>
    <n v="4"/>
    <n v="2"/>
    <n v="2"/>
    <s v="Y"/>
    <m/>
    <x v="0"/>
  </r>
  <r>
    <s v="26.10.2019"/>
    <d v="1899-12-30T12:10:00"/>
    <m/>
    <s v="P"/>
    <n v="2"/>
    <s v="Road Vehicle"/>
    <n v="4"/>
    <x v="3"/>
    <x v="0"/>
    <n v="2"/>
    <x v="1"/>
    <s v="KAMPALA TOWN"/>
    <s v="KAMPALA"/>
    <s v="UG"/>
    <n v="4"/>
    <s v="Commercial"/>
    <s v="HOIMA TOWN"/>
    <s v="HOIMA"/>
    <s v="UG"/>
    <n v="1"/>
    <s v="Home"/>
    <x v="0"/>
    <n v="25000"/>
    <n v="200"/>
    <x v="3"/>
    <n v="4"/>
    <x v="0"/>
    <n v="6"/>
    <s v="Businessman"/>
    <n v="4"/>
    <x v="3"/>
    <n v="4"/>
    <n v="2"/>
    <n v="2"/>
    <n v="1"/>
    <n v="2"/>
    <s v="Y"/>
    <n v="2000"/>
    <x v="4"/>
  </r>
  <r>
    <s v="26.10.2019"/>
    <d v="1899-12-30T13:06:00"/>
    <m/>
    <s v="P"/>
    <n v="2"/>
    <s v="Road Vehicle"/>
    <n v="4"/>
    <x v="3"/>
    <x v="0"/>
    <n v="2"/>
    <x v="1"/>
    <s v="KASAMBYA"/>
    <s v="MUBENDE"/>
    <s v="UG"/>
    <n v="1"/>
    <s v="Home"/>
    <s v="MUBENDE TOWN"/>
    <s v="MUBENDE"/>
    <s v="UG"/>
    <n v="4"/>
    <s v="Commercial"/>
    <x v="12"/>
    <n v="8000"/>
    <n v="59"/>
    <x v="1"/>
    <n v="1.5"/>
    <x v="2"/>
    <n v="6"/>
    <s v="Businessman"/>
    <n v="3"/>
    <x v="0"/>
    <n v="3"/>
    <n v="2"/>
    <n v="4"/>
    <n v="4"/>
    <n v="4"/>
    <s v="Y"/>
    <m/>
    <x v="0"/>
  </r>
  <r>
    <s v="24.10.2019"/>
    <d v="1899-12-30T14:24:00"/>
    <m/>
    <s v="P"/>
    <n v="2"/>
    <s v="Road Vehicle"/>
    <n v="4"/>
    <x v="3"/>
    <x v="1"/>
    <n v="2"/>
    <x v="1"/>
    <m/>
    <m/>
    <s v="UG"/>
    <n v="1"/>
    <s v="Home"/>
    <m/>
    <m/>
    <s v="UG"/>
    <n v="2"/>
    <s v="Work"/>
    <x v="8"/>
    <m/>
    <m/>
    <x v="4"/>
    <m/>
    <x v="4"/>
    <n v="6"/>
    <s v="Businessman"/>
    <n v="2"/>
    <x v="1"/>
    <n v="1"/>
    <n v="1"/>
    <n v="1"/>
    <n v="1"/>
    <n v="1"/>
    <s v="Y"/>
    <m/>
    <x v="0"/>
  </r>
  <r>
    <s v="24.10.2019"/>
    <d v="1899-12-30T16:23:00"/>
    <m/>
    <s v="P"/>
    <n v="2"/>
    <s v="Road Vehicle"/>
    <n v="4"/>
    <x v="3"/>
    <x v="1"/>
    <n v="2"/>
    <x v="1"/>
    <s v="MUBENDE TOWN"/>
    <s v="MUBENDE"/>
    <s v="UG"/>
    <n v="6"/>
    <s v="Leisure/Social"/>
    <s v="KAKUMIRO TOWN "/>
    <s v="KAKUMIRO"/>
    <s v="UG"/>
    <n v="4"/>
    <s v="Commercial"/>
    <x v="34"/>
    <n v="7000"/>
    <n v="136"/>
    <x v="2"/>
    <n v="2"/>
    <x v="1"/>
    <n v="3"/>
    <s v="Artisan/Domestic"/>
    <n v="2"/>
    <x v="1"/>
    <n v="5"/>
    <n v="5"/>
    <n v="1"/>
    <n v="1"/>
    <n v="5"/>
    <s v="Y"/>
    <n v="500"/>
    <x v="0"/>
  </r>
  <r>
    <s v="24.10.2019"/>
    <d v="1899-12-30T17:31:00"/>
    <s v="UBD 321V"/>
    <s v="D"/>
    <n v="2"/>
    <s v="Road Vehicle"/>
    <n v="4"/>
    <x v="3"/>
    <x v="1"/>
    <n v="2"/>
    <x v="1"/>
    <s v="KAMPALA TOWN"/>
    <s v="KAMPALA"/>
    <s v="UG"/>
    <n v="4"/>
    <s v="Commercial"/>
    <s v="NALWEISO TOWN"/>
    <s v="NALWEISO"/>
    <s v="UG"/>
    <n v="4"/>
    <s v="Commercial"/>
    <x v="13"/>
    <n v="100000"/>
    <n v="280"/>
    <x v="3"/>
    <n v="4"/>
    <x v="0"/>
    <n v="5"/>
    <s v="Professional"/>
    <n v="2"/>
    <x v="1"/>
    <n v="1"/>
    <n v="1"/>
    <n v="1"/>
    <n v="5"/>
    <n v="5"/>
    <s v="Y"/>
    <n v="3000"/>
    <x v="5"/>
  </r>
  <r>
    <s v="24.10.2019"/>
    <d v="1899-12-30T18:30:00"/>
    <s v="UBE 598H"/>
    <s v="D"/>
    <n v="2"/>
    <s v="Road Vehicle"/>
    <n v="4"/>
    <x v="3"/>
    <x v="1"/>
    <n v="2"/>
    <x v="1"/>
    <s v="MITYANA TOWN"/>
    <s v="MITYANA"/>
    <s v="UG"/>
    <n v="4"/>
    <s v="Commercial"/>
    <s v="KAKUMIRO TOWN "/>
    <s v="KAKUMIRO"/>
    <s v="UG"/>
    <n v="4"/>
    <s v="Commercial"/>
    <x v="13"/>
    <n v="600000"/>
    <n v="140"/>
    <x v="2"/>
    <n v="2"/>
    <x v="1"/>
    <n v="5"/>
    <s v="Professional"/>
    <n v="2"/>
    <x v="1"/>
    <n v="5"/>
    <n v="5"/>
    <n v="5"/>
    <n v="5"/>
    <n v="5"/>
    <s v="Y"/>
    <n v="1000"/>
    <x v="1"/>
  </r>
  <r>
    <s v="24.10.2019"/>
    <d v="1899-12-30T16:50:00"/>
    <s v="UAB 369V"/>
    <s v="D"/>
    <n v="2"/>
    <s v="Road Vehicle"/>
    <n v="4"/>
    <x v="3"/>
    <x v="1"/>
    <n v="2"/>
    <x v="1"/>
    <s v="MUBENDE TOWN"/>
    <s v="MUBENDE"/>
    <s v="UG"/>
    <n v="2"/>
    <s v="Work"/>
    <s v="KAGANDI TOWN"/>
    <s v="KAGANDI"/>
    <s v="UG"/>
    <n v="2"/>
    <s v="Work"/>
    <x v="5"/>
    <n v="70000"/>
    <n v="47"/>
    <x v="1"/>
    <n v="2.5"/>
    <x v="1"/>
    <n v="10"/>
    <s v="Other"/>
    <n v="1"/>
    <x v="2"/>
    <n v="5"/>
    <n v="4"/>
    <n v="5"/>
    <n v="5"/>
    <n v="5"/>
    <s v="Y"/>
    <m/>
    <x v="0"/>
  </r>
  <r>
    <s v="24.10.2019"/>
    <d v="1899-12-30T17:44:00"/>
    <m/>
    <s v="P"/>
    <n v="2"/>
    <s v="Road Vehicle"/>
    <n v="4"/>
    <x v="3"/>
    <x v="1"/>
    <n v="2"/>
    <x v="1"/>
    <s v="KASAMBYA"/>
    <s v="MUBENDE"/>
    <s v="UG"/>
    <n v="1"/>
    <s v="Home"/>
    <s v="KIREKA"/>
    <s v="KAMPALA"/>
    <s v="UG"/>
    <n v="2"/>
    <s v="Work"/>
    <x v="8"/>
    <n v="10000"/>
    <n v="40"/>
    <x v="1"/>
    <n v="2"/>
    <x v="1"/>
    <n v="6"/>
    <s v="Businessman"/>
    <n v="1"/>
    <x v="2"/>
    <n v="2"/>
    <n v="1"/>
    <n v="5"/>
    <n v="4"/>
    <n v="3"/>
    <s v="Y"/>
    <m/>
    <x v="0"/>
  </r>
  <r>
    <s v="24.10.2019"/>
    <d v="1899-12-30T16:08:00"/>
    <m/>
    <s v="P"/>
    <n v="2"/>
    <s v="Road Vehicle"/>
    <n v="4"/>
    <x v="3"/>
    <x v="1"/>
    <n v="2"/>
    <x v="1"/>
    <s v="MUBENDE TOWN"/>
    <s v="MUBENDE"/>
    <s v="UG"/>
    <n v="2"/>
    <s v="Work"/>
    <s v="KIKOOLA TOWN"/>
    <s v="KIKOOLA"/>
    <s v="UG"/>
    <n v="8"/>
    <s v="Others"/>
    <x v="6"/>
    <n v="13000"/>
    <n v="49"/>
    <x v="1"/>
    <n v="2.5"/>
    <x v="1"/>
    <n v="6"/>
    <s v="Businessman"/>
    <n v="1"/>
    <x v="2"/>
    <n v="2"/>
    <n v="4"/>
    <n v="1"/>
    <n v="3"/>
    <n v="2"/>
    <s v="Y"/>
    <m/>
    <x v="0"/>
  </r>
  <r>
    <s v="24.10.2019"/>
    <d v="1899-12-30T16:00:00"/>
    <s v="UBB 268X"/>
    <s v="D"/>
    <n v="2"/>
    <s v="Road Vehicle"/>
    <n v="4"/>
    <x v="3"/>
    <x v="1"/>
    <n v="2"/>
    <x v="1"/>
    <s v="MUBENDE TOWN"/>
    <s v="MUBENDE"/>
    <s v="UG"/>
    <n v="2"/>
    <s v="Work"/>
    <s v="KIKOOLA TOWN"/>
    <s v="KIKOOLA"/>
    <s v="UG"/>
    <n v="8"/>
    <s v="Others"/>
    <x v="6"/>
    <n v="80000"/>
    <n v="49"/>
    <x v="1"/>
    <n v="2.5"/>
    <x v="1"/>
    <n v="10"/>
    <s v="Other"/>
    <n v="1"/>
    <x v="2"/>
    <n v="5"/>
    <n v="4"/>
    <n v="2"/>
    <n v="1"/>
    <n v="1"/>
    <s v="Y"/>
    <n v="1000"/>
    <x v="1"/>
  </r>
  <r>
    <s v="24.10.2019"/>
    <d v="1899-12-30T16:30:00"/>
    <s v="UAT 651T"/>
    <s v="D"/>
    <n v="2"/>
    <s v="Road Vehicle"/>
    <n v="4"/>
    <x v="3"/>
    <x v="1"/>
    <n v="2"/>
    <x v="1"/>
    <s v="MUBENDE TOWN"/>
    <s v="MUBENDE"/>
    <s v="UG"/>
    <n v="2"/>
    <s v="Work"/>
    <s v="KALUGUUZA TOWN"/>
    <s v="KALUGUUZA"/>
    <s v="UG"/>
    <n v="2"/>
    <s v="Work"/>
    <x v="5"/>
    <n v="70000"/>
    <n v="40"/>
    <x v="1"/>
    <n v="2"/>
    <x v="1"/>
    <n v="10"/>
    <s v="Other"/>
    <n v="1"/>
    <x v="2"/>
    <n v="5"/>
    <n v="2"/>
    <n v="2"/>
    <n v="2"/>
    <n v="2"/>
    <s v="Y"/>
    <n v="1000"/>
    <x v="1"/>
  </r>
  <r>
    <s v="24.10.2019"/>
    <d v="1899-12-30T14:42:00"/>
    <s v="UAW 355W"/>
    <s v="D"/>
    <n v="2"/>
    <s v="Road Vehicle"/>
    <n v="4"/>
    <x v="3"/>
    <x v="1"/>
    <n v="2"/>
    <x v="1"/>
    <s v="MUBENDE TOWN"/>
    <s v="MUBENDE"/>
    <s v="UG"/>
    <n v="2"/>
    <s v="Work"/>
    <s v="MUYITAZINGE"/>
    <s v="KAKUMIRO"/>
    <s v="UG"/>
    <n v="8"/>
    <s v="Others"/>
    <x v="6"/>
    <n v="90000"/>
    <n v="40"/>
    <x v="1"/>
    <n v="2"/>
    <x v="1"/>
    <n v="10"/>
    <s v="Other"/>
    <n v="1"/>
    <x v="2"/>
    <n v="5"/>
    <n v="4"/>
    <n v="1"/>
    <n v="2"/>
    <n v="1"/>
    <s v="Y"/>
    <n v="2000"/>
    <x v="4"/>
  </r>
  <r>
    <s v="24.10.2019"/>
    <d v="1899-12-30T14:23:00"/>
    <s v="UAW 649N"/>
    <s v="D"/>
    <n v="2"/>
    <s v="Road Vehicle"/>
    <n v="4"/>
    <x v="3"/>
    <x v="1"/>
    <n v="2"/>
    <x v="1"/>
    <s v="MUBENDE TOWN"/>
    <s v="MUBENDE"/>
    <s v="UG"/>
    <n v="2"/>
    <s v="Work"/>
    <s v="NKONDO"/>
    <s v="GAYAZA"/>
    <s v="UG"/>
    <n v="8"/>
    <s v="Others"/>
    <x v="6"/>
    <n v="70000"/>
    <n v="35"/>
    <x v="5"/>
    <n v="1.5"/>
    <x v="2"/>
    <n v="10"/>
    <s v="Other"/>
    <n v="1"/>
    <x v="2"/>
    <n v="5"/>
    <n v="4"/>
    <n v="1"/>
    <n v="5"/>
    <n v="2"/>
    <s v="Y"/>
    <m/>
    <x v="0"/>
  </r>
  <r>
    <s v="24.10.2019"/>
    <d v="1899-12-30T19:08:00"/>
    <s v="UAN 649N"/>
    <s v="D"/>
    <n v="2"/>
    <s v="Road Vehicle"/>
    <n v="4"/>
    <x v="3"/>
    <x v="1"/>
    <n v="2"/>
    <x v="1"/>
    <s v="MUBENDE TOWN"/>
    <s v="MUBENDE"/>
    <s v="UG"/>
    <n v="1"/>
    <s v="Home"/>
    <s v="KAMPALA TOWN"/>
    <s v="KAMPALA"/>
    <s v="UG"/>
    <n v="8"/>
    <s v="Others"/>
    <x v="4"/>
    <n v="80000"/>
    <n v="40"/>
    <x v="1"/>
    <n v="2"/>
    <x v="1"/>
    <n v="10"/>
    <s v="Other"/>
    <n v="1"/>
    <x v="2"/>
    <n v="5"/>
    <n v="1"/>
    <n v="2"/>
    <n v="3"/>
    <n v="1"/>
    <s v="Y"/>
    <n v="2000"/>
    <x v="4"/>
  </r>
  <r>
    <s v="24.10.2019"/>
    <d v="1899-12-30T18:48:00"/>
    <s v="UAB 456D"/>
    <s v="D"/>
    <n v="2"/>
    <s v="Road Vehicle"/>
    <n v="4"/>
    <x v="3"/>
    <x v="1"/>
    <n v="2"/>
    <x v="1"/>
    <s v="MU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5"/>
    <n v="4"/>
    <n v="1"/>
    <n v="3"/>
    <n v="2"/>
    <s v="Y"/>
    <n v="2000"/>
    <x v="4"/>
  </r>
  <r>
    <s v="24.10.2019"/>
    <d v="1899-12-30T18:30:00"/>
    <s v="UBC 552W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5"/>
    <n v="4"/>
    <n v="5"/>
    <n v="1"/>
    <n v="3"/>
    <s v="Y"/>
    <n v="2000"/>
    <x v="4"/>
  </r>
  <r>
    <s v="24.10.2019"/>
    <d v="1899-12-30T18:26:00"/>
    <m/>
    <s v="P"/>
    <n v="2"/>
    <s v="Road Vehicle"/>
    <n v="4"/>
    <x v="3"/>
    <x v="1"/>
    <n v="2"/>
    <x v="1"/>
    <s v="NAMAGOGO"/>
    <s v="MUBENDE"/>
    <s v="UG"/>
    <n v="1"/>
    <s v="Home"/>
    <s v="MUNYONYO"/>
    <s v="KAMPALA"/>
    <s v="UG"/>
    <n v="2"/>
    <s v="Work"/>
    <x v="8"/>
    <n v="10000"/>
    <n v="40"/>
    <x v="1"/>
    <n v="2"/>
    <x v="1"/>
    <n v="6"/>
    <s v="Businessman"/>
    <n v="1"/>
    <x v="2"/>
    <n v="2"/>
    <n v="4"/>
    <n v="1"/>
    <n v="2"/>
    <n v="1"/>
    <s v="Y"/>
    <m/>
    <x v="0"/>
  </r>
  <r>
    <s v="24.10.2019"/>
    <d v="1899-12-30T18:00:00"/>
    <s v="UBB 242C"/>
    <s v="D"/>
    <n v="2"/>
    <s v="Road Vehicle"/>
    <n v="4"/>
    <x v="3"/>
    <x v="1"/>
    <n v="2"/>
    <x v="1"/>
    <s v="MU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5"/>
    <n v="4"/>
    <n v="1"/>
    <n v="2"/>
    <n v="3"/>
    <s v="Y"/>
    <m/>
    <x v="0"/>
  </r>
  <r>
    <s v="24.10.2019"/>
    <d v="1899-12-30T14:23:00"/>
    <s v="UAX 808Q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2"/>
    <s v="Work"/>
    <x v="5"/>
    <n v="20000"/>
    <n v="141"/>
    <x v="2"/>
    <n v="3"/>
    <x v="1"/>
    <n v="5"/>
    <s v="Professional"/>
    <n v="4"/>
    <x v="3"/>
    <n v="2"/>
    <n v="1"/>
    <n v="1"/>
    <n v="1"/>
    <n v="1"/>
    <s v="Y"/>
    <n v="2000"/>
    <x v="4"/>
  </r>
  <r>
    <s v="24.10.2019"/>
    <d v="1899-12-30T14:29:00"/>
    <m/>
    <s v="P"/>
    <n v="2"/>
    <s v="Road Vehicle"/>
    <n v="4"/>
    <x v="3"/>
    <x v="1"/>
    <n v="2"/>
    <x v="1"/>
    <s v="MITYANA TOWN"/>
    <s v="MITYANA"/>
    <s v="UG"/>
    <n v="7"/>
    <s v="Hospital"/>
    <s v="MUBENDE TOWN"/>
    <s v="MUBENDE"/>
    <s v="UG"/>
    <n v="1"/>
    <s v="Home"/>
    <x v="19"/>
    <n v="7000"/>
    <n v="72"/>
    <x v="0"/>
    <n v="1"/>
    <x v="2"/>
    <n v="7"/>
    <s v="Farmer"/>
    <n v="2"/>
    <x v="1"/>
    <n v="3"/>
    <n v="2"/>
    <n v="2"/>
    <n v="2"/>
    <n v="2"/>
    <s v="Y"/>
    <n v="2000"/>
    <x v="4"/>
  </r>
  <r>
    <s v="24.10.2019"/>
    <d v="1899-12-30T15:19:00"/>
    <m/>
    <s v="P"/>
    <n v="2"/>
    <s v="Road Vehicle"/>
    <n v="4"/>
    <x v="3"/>
    <x v="1"/>
    <n v="2"/>
    <x v="1"/>
    <s v="KISEKENDE"/>
    <s v="MUBENDE"/>
    <s v="UG"/>
    <n v="2"/>
    <s v="Work"/>
    <s v="MUBENDE TOWN"/>
    <s v="MUBENDE"/>
    <s v="UG"/>
    <n v="1"/>
    <s v="Home"/>
    <x v="1"/>
    <n v="2000"/>
    <n v="18"/>
    <x v="6"/>
    <n v="0.5"/>
    <x v="3"/>
    <n v="6"/>
    <s v="Businessman"/>
    <n v="2"/>
    <x v="1"/>
    <n v="3"/>
    <n v="2"/>
    <n v="3"/>
    <n v="3"/>
    <n v="3"/>
    <s v="Y"/>
    <n v="1000"/>
    <x v="1"/>
  </r>
  <r>
    <s v="24.10.2019"/>
    <d v="1899-12-30T16:19:00"/>
    <s v="UAY 437V"/>
    <s v="D"/>
    <n v="2"/>
    <s v="Road Vehicle"/>
    <n v="4"/>
    <x v="3"/>
    <x v="1"/>
    <n v="2"/>
    <x v="1"/>
    <s v="KISIITA"/>
    <s v="MUBENDE"/>
    <s v="UG"/>
    <n v="7"/>
    <s v="Hospital"/>
    <s v="MUBENDE TOWN"/>
    <s v="MUBENDE"/>
    <s v="UG"/>
    <n v="1"/>
    <s v="Home"/>
    <x v="19"/>
    <n v="17000"/>
    <n v="84"/>
    <x v="0"/>
    <n v="1"/>
    <x v="2"/>
    <n v="4"/>
    <s v="Office Worker"/>
    <n v="3"/>
    <x v="0"/>
    <n v="2"/>
    <n v="2"/>
    <n v="2"/>
    <n v="2"/>
    <n v="2"/>
    <s v="Y"/>
    <m/>
    <x v="0"/>
  </r>
  <r>
    <s v="24.10.2019"/>
    <d v="1899-12-30T17:06:00"/>
    <m/>
    <s v="P"/>
    <n v="2"/>
    <s v="Road Vehicle"/>
    <n v="4"/>
    <x v="3"/>
    <x v="1"/>
    <n v="2"/>
    <x v="1"/>
    <s v="MUKIGAGA"/>
    <s v="MUBENDE"/>
    <s v="UG"/>
    <n v="4"/>
    <s v="Commercial"/>
    <s v="MUBENDE TOWN"/>
    <s v="MUBENDE"/>
    <s v="UG"/>
    <n v="1"/>
    <s v="Home"/>
    <x v="0"/>
    <n v="4000"/>
    <n v="46"/>
    <x v="1"/>
    <n v="1"/>
    <x v="2"/>
    <n v="6"/>
    <s v="Businessman"/>
    <n v="3"/>
    <x v="0"/>
    <n v="3"/>
    <n v="3"/>
    <n v="4"/>
    <n v="4"/>
    <n v="4"/>
    <s v="Y"/>
    <n v="1000"/>
    <x v="1"/>
  </r>
  <r>
    <s v="24.10.2019"/>
    <d v="1899-12-30T17:36:00"/>
    <m/>
    <s v="P"/>
    <n v="2"/>
    <s v="Road Vehicle"/>
    <n v="4"/>
    <x v="3"/>
    <x v="1"/>
    <n v="2"/>
    <x v="1"/>
    <s v="KYAMUJUMBO"/>
    <s v="KAGADI"/>
    <s v="UG"/>
    <n v="1"/>
    <s v="Home"/>
    <s v="KAMPALA TOWN"/>
    <s v="KAMPALA"/>
    <s v="UG"/>
    <n v="2"/>
    <s v="Work"/>
    <x v="8"/>
    <n v="18000"/>
    <n v="120"/>
    <x v="2"/>
    <n v="3"/>
    <x v="1"/>
    <n v="6"/>
    <s v="Businessman"/>
    <n v="3"/>
    <x v="0"/>
    <n v="3"/>
    <n v="2"/>
    <n v="4"/>
    <n v="4"/>
    <n v="4"/>
    <s v="Y"/>
    <n v="2000"/>
    <x v="4"/>
  </r>
  <r>
    <s v="24.10.2019"/>
    <d v="1899-12-30T17:57:00"/>
    <s v="UP 4661"/>
    <s v="D"/>
    <n v="2"/>
    <s v="Road Vehicle"/>
    <n v="4"/>
    <x v="3"/>
    <x v="1"/>
    <n v="2"/>
    <x v="1"/>
    <s v="KASESE TOWN"/>
    <s v="KASESE"/>
    <s v="UG"/>
    <n v="2"/>
    <s v="Work"/>
    <s v="KAMPALA TOWN"/>
    <s v="KAMPALA"/>
    <s v="UG"/>
    <n v="2"/>
    <s v="Work"/>
    <x v="5"/>
    <n v="240000"/>
    <n v="390"/>
    <x v="3"/>
    <n v="2"/>
    <x v="1"/>
    <n v="5"/>
    <s v="Professional"/>
    <n v="5"/>
    <x v="4"/>
    <n v="1"/>
    <n v="1"/>
    <n v="1"/>
    <n v="1"/>
    <n v="1"/>
    <s v="Y"/>
    <m/>
    <x v="0"/>
  </r>
  <r>
    <s v="25.10.2019"/>
    <d v="1899-12-30T07:11:00"/>
    <s v="UAP 921Z"/>
    <s v="D"/>
    <n v="2"/>
    <s v="Road Vehicle"/>
    <n v="4"/>
    <x v="3"/>
    <x v="1"/>
    <n v="2"/>
    <x v="1"/>
    <s v="KABAROLE TOWN"/>
    <s v="KABAROLE"/>
    <s v="UG"/>
    <n v="4"/>
    <s v="Commercial"/>
    <s v="MUBENDE TOWN"/>
    <s v="MUBENDE"/>
    <s v="UG"/>
    <n v="4"/>
    <s v="Commercial"/>
    <x v="13"/>
    <n v="40000"/>
    <n v="100"/>
    <x v="2"/>
    <n v="2.5"/>
    <x v="1"/>
    <n v="5"/>
    <s v="Professional"/>
    <n v="3"/>
    <x v="0"/>
    <n v="5"/>
    <n v="5"/>
    <n v="1"/>
    <n v="1"/>
    <n v="5"/>
    <s v="Y"/>
    <n v="1000"/>
    <x v="1"/>
  </r>
  <r>
    <s v="25.10.2019"/>
    <d v="1899-12-30T07:18:00"/>
    <m/>
    <s v="P"/>
    <n v="2"/>
    <s v="Road Vehicle"/>
    <n v="4"/>
    <x v="3"/>
    <x v="1"/>
    <n v="2"/>
    <x v="1"/>
    <s v="MUBENDE TOWN"/>
    <s v="MU"/>
    <s v="UG"/>
    <n v="4"/>
    <s v="Commercial"/>
    <s v="KAKUMIRO TOWN "/>
    <s v="KAKUMIRO"/>
    <s v="UG"/>
    <n v="1"/>
    <s v="Home"/>
    <x v="0"/>
    <n v="15000"/>
    <n v="180"/>
    <x v="2"/>
    <n v="1.5"/>
    <x v="2"/>
    <n v="6"/>
    <s v="Businessman"/>
    <n v="2"/>
    <x v="1"/>
    <n v="1"/>
    <n v="1"/>
    <n v="3"/>
    <n v="4"/>
    <n v="1"/>
    <s v="Y"/>
    <n v="1000"/>
    <x v="1"/>
  </r>
  <r>
    <s v="25.10.2019"/>
    <d v="1899-12-30T08:30:00"/>
    <m/>
    <s v="P"/>
    <n v="2"/>
    <s v="Road Vehicle"/>
    <n v="4"/>
    <x v="3"/>
    <x v="1"/>
    <n v="2"/>
    <x v="1"/>
    <s v="MUBENDE TOWN"/>
    <s v="MU"/>
    <s v="UG"/>
    <n v="1"/>
    <s v="Home"/>
    <s v="KIBALE TOWN"/>
    <s v="KIBALAE"/>
    <s v="UG"/>
    <n v="4"/>
    <s v="Commercial"/>
    <x v="12"/>
    <n v="15000"/>
    <n v="108"/>
    <x v="2"/>
    <n v="2"/>
    <x v="1"/>
    <n v="6"/>
    <s v="Businessman"/>
    <n v="2"/>
    <x v="1"/>
    <n v="5"/>
    <n v="5"/>
    <n v="1"/>
    <n v="1"/>
    <n v="5"/>
    <s v="Y"/>
    <n v="1000"/>
    <x v="1"/>
  </r>
  <r>
    <s v="25.10.2019"/>
    <d v="1899-12-30T09:09:00"/>
    <m/>
    <s v="P"/>
    <n v="2"/>
    <s v="Road Vehicle"/>
    <n v="4"/>
    <x v="3"/>
    <x v="1"/>
    <n v="2"/>
    <x v="1"/>
    <s v="KAMPALA TOWN"/>
    <s v="KAMPALA"/>
    <s v="UG"/>
    <n v="4"/>
    <s v="Commercial"/>
    <s v="MUBENDE TOWN"/>
    <s v="MUBENDE"/>
    <s v="UG"/>
    <n v="1"/>
    <s v="Home"/>
    <x v="0"/>
    <n v="10000"/>
    <n v="180"/>
    <x v="2"/>
    <n v="1.5"/>
    <x v="2"/>
    <n v="5"/>
    <s v="Professional"/>
    <n v="2"/>
    <x v="1"/>
    <n v="5"/>
    <n v="5"/>
    <n v="5"/>
    <n v="5"/>
    <n v="5"/>
    <s v="Y"/>
    <n v="1000"/>
    <x v="1"/>
  </r>
  <r>
    <s v="25.10.2019"/>
    <d v="1899-12-30T10:33:00"/>
    <s v="UBC 712T"/>
    <s v="D"/>
    <n v="2"/>
    <s v="Road Vehicle"/>
    <n v="4"/>
    <x v="3"/>
    <x v="1"/>
    <n v="2"/>
    <x v="1"/>
    <s v="MUBENDE TOWN"/>
    <s v="MUBENDE"/>
    <s v="UG"/>
    <n v="4"/>
    <s v="Commercial"/>
    <s v="KAKUMIRO TOWN "/>
    <s v="KAKUMIRO"/>
    <s v="UG"/>
    <n v="4"/>
    <s v="Commercial"/>
    <x v="13"/>
    <n v="80000"/>
    <n v="80"/>
    <x v="0"/>
    <n v="2"/>
    <x v="1"/>
    <n v="5"/>
    <s v="Professional"/>
    <n v="2"/>
    <x v="1"/>
    <n v="5"/>
    <n v="3"/>
    <n v="4"/>
    <n v="1"/>
    <n v="1"/>
    <s v="Y"/>
    <n v="3000"/>
    <x v="5"/>
  </r>
  <r>
    <s v="25.10.2019"/>
    <d v="1899-12-30T12:09:00"/>
    <s v="UBE 833R"/>
    <s v="D"/>
    <n v="2"/>
    <s v="Road Vehicle"/>
    <n v="4"/>
    <x v="3"/>
    <x v="1"/>
    <n v="2"/>
    <x v="1"/>
    <s v="KIKWAAYA"/>
    <s v="KAKUMIRO"/>
    <s v="UG"/>
    <n v="4"/>
    <s v="Commercial"/>
    <s v="MUBENDE TOWN"/>
    <s v="MUBENDE"/>
    <s v="UG"/>
    <n v="4"/>
    <s v="Commercial"/>
    <x v="13"/>
    <n v="30000"/>
    <n v="64"/>
    <x v="1"/>
    <n v="1.5"/>
    <x v="2"/>
    <n v="5"/>
    <s v="Professional"/>
    <n v="2"/>
    <x v="1"/>
    <n v="5"/>
    <n v="5"/>
    <n v="5"/>
    <n v="1"/>
    <n v="5"/>
    <s v="Y"/>
    <n v="3000"/>
    <x v="5"/>
  </r>
  <r>
    <s v="25.10.2019"/>
    <d v="1899-12-30T13:15:00"/>
    <s v="UBE 187T"/>
    <s v="D"/>
    <n v="2"/>
    <s v="Road Vehicle"/>
    <n v="4"/>
    <x v="3"/>
    <x v="1"/>
    <n v="2"/>
    <x v="1"/>
    <s v="NKONDO TOWN"/>
    <s v="NKONDO"/>
    <s v="UG"/>
    <n v="4"/>
    <s v="Commercial"/>
    <s v="MITYANA TOWN"/>
    <s v="MITYANA"/>
    <s v="UG"/>
    <n v="4"/>
    <s v="Commercial"/>
    <x v="13"/>
    <n v="100000"/>
    <n v="45"/>
    <x v="1"/>
    <n v="0.8"/>
    <x v="3"/>
    <n v="5"/>
    <s v="Professional"/>
    <n v="3"/>
    <x v="0"/>
    <n v="5"/>
    <n v="5"/>
    <n v="5"/>
    <n v="1"/>
    <n v="1"/>
    <s v="Y"/>
    <m/>
    <x v="0"/>
  </r>
  <r>
    <s v="25.10.2019"/>
    <d v="1899-12-30T13:26:00"/>
    <s v="UAY 517Y"/>
    <s v="D"/>
    <n v="2"/>
    <s v="Road Vehicle"/>
    <n v="4"/>
    <x v="3"/>
    <x v="1"/>
    <n v="2"/>
    <x v="1"/>
    <s v="KAGADI TOWN"/>
    <s v="KAGADI"/>
    <s v="UG"/>
    <n v="4"/>
    <s v="Commercial"/>
    <s v="MUBENDE TOWN"/>
    <s v="MUB"/>
    <s v="UG"/>
    <n v="4"/>
    <s v="Commercial"/>
    <x v="13"/>
    <n v="20000"/>
    <n v="106"/>
    <x v="2"/>
    <n v="2"/>
    <x v="1"/>
    <n v="6"/>
    <s v="Businessman"/>
    <n v="2"/>
    <x v="1"/>
    <n v="5"/>
    <n v="5"/>
    <n v="5"/>
    <n v="1"/>
    <n v="4"/>
    <s v="Y"/>
    <n v="2000"/>
    <x v="4"/>
  </r>
  <r>
    <s v="25.10.2019"/>
    <d v="1899-12-30T16:11:00"/>
    <s v="UAY 025T"/>
    <s v="D"/>
    <n v="2"/>
    <s v="Road Vehicle"/>
    <n v="4"/>
    <x v="3"/>
    <x v="1"/>
    <n v="2"/>
    <x v="1"/>
    <s v="MITYANA TOWN"/>
    <s v="MITYANA"/>
    <s v="UG"/>
    <n v="1"/>
    <s v="Home"/>
    <s v="MUBENDE TOWN"/>
    <s v="MUB"/>
    <s v="UG"/>
    <n v="2"/>
    <s v="Home"/>
    <x v="2"/>
    <n v="7000"/>
    <n v="80"/>
    <x v="0"/>
    <n v="1.5"/>
    <x v="2"/>
    <n v="6"/>
    <s v="Businessman"/>
    <n v="3"/>
    <x v="0"/>
    <n v="1"/>
    <n v="1"/>
    <n v="1"/>
    <n v="1"/>
    <n v="1"/>
    <s v="Y"/>
    <n v="2000"/>
    <x v="4"/>
  </r>
  <r>
    <s v="25.10.2019"/>
    <d v="1899-12-30T18:09:00"/>
    <s v="UAY 290C"/>
    <s v="D"/>
    <n v="2"/>
    <s v="Road Vehicle"/>
    <n v="4"/>
    <x v="3"/>
    <x v="1"/>
    <n v="2"/>
    <x v="1"/>
    <s v="MUBENDE TOWN"/>
    <s v="MUBENDE"/>
    <s v="UG"/>
    <n v="4"/>
    <s v="Commercial"/>
    <s v="MITYANA TOWN"/>
    <s v="MITYANA"/>
    <s v="UG"/>
    <n v="4"/>
    <s v="Commercial"/>
    <x v="13"/>
    <n v="7000"/>
    <n v="80"/>
    <x v="0"/>
    <n v="1"/>
    <x v="2"/>
    <n v="5"/>
    <s v="Professional"/>
    <n v="2"/>
    <x v="1"/>
    <n v="1"/>
    <n v="1"/>
    <n v="5"/>
    <n v="5"/>
    <n v="5"/>
    <s v="Y"/>
    <n v="5000"/>
    <x v="2"/>
  </r>
  <r>
    <s v="25.10.2019"/>
    <d v="1899-12-30T11:28:00"/>
    <s v="UAQ 706D"/>
    <s v="D"/>
    <n v="2"/>
    <s v="Road Vehicle"/>
    <n v="4"/>
    <x v="3"/>
    <x v="1"/>
    <n v="2"/>
    <x v="1"/>
    <s v="MUBENDE TOWN"/>
    <s v="MUBENDE"/>
    <s v="UG"/>
    <n v="2"/>
    <s v="Work"/>
    <s v="KYAMUJUMBO"/>
    <s v="MUBENDE"/>
    <s v="UG"/>
    <n v="1"/>
    <s v="Home"/>
    <x v="1"/>
    <n v="80000"/>
    <n v="60"/>
    <x v="1"/>
    <n v="2"/>
    <x v="1"/>
    <n v="10"/>
    <s v="Other"/>
    <n v="1"/>
    <x v="2"/>
    <n v="5"/>
    <n v="1"/>
    <n v="2"/>
    <n v="3"/>
    <n v="2"/>
    <s v="Y"/>
    <n v="2000"/>
    <x v="4"/>
  </r>
  <r>
    <s v="25.10.2019"/>
    <d v="1899-12-30T10:00:00"/>
    <s v="UBE 589H"/>
    <s v="D"/>
    <n v="2"/>
    <s v="Road Vehicle"/>
    <n v="4"/>
    <x v="3"/>
    <x v="1"/>
    <n v="2"/>
    <x v="1"/>
    <s v="MUBENDE TOWN"/>
    <s v="MUBENDE"/>
    <s v="UG"/>
    <n v="2"/>
    <s v="Work"/>
    <s v="KABASEKEDDE"/>
    <s v="KAGANDI"/>
    <s v="UG"/>
    <n v="8"/>
    <s v="Others"/>
    <x v="6"/>
    <n v="90000"/>
    <n v="50"/>
    <x v="1"/>
    <n v="2.5"/>
    <x v="1"/>
    <n v="10"/>
    <s v="Other"/>
    <n v="1"/>
    <x v="2"/>
    <n v="5"/>
    <n v="2"/>
    <n v="1"/>
    <n v="3"/>
    <n v="2"/>
    <s v="Y"/>
    <n v="2000"/>
    <x v="4"/>
  </r>
  <r>
    <s v="25.10.2019"/>
    <d v="1899-12-30T09:30:00"/>
    <s v="UAP 071P"/>
    <s v="D"/>
    <n v="2"/>
    <s v="Road Vehicle"/>
    <n v="4"/>
    <x v="3"/>
    <x v="1"/>
    <n v="2"/>
    <x v="1"/>
    <s v="MUBENDE TOWN"/>
    <s v="MUBENDE"/>
    <s v="UG"/>
    <n v="2"/>
    <s v="Work"/>
    <s v="HOIMA TOWN"/>
    <s v="HOIMA"/>
    <s v="UG"/>
    <n v="8"/>
    <s v="Others"/>
    <x v="6"/>
    <n v="90000"/>
    <n v="60"/>
    <x v="1"/>
    <n v="3"/>
    <x v="1"/>
    <n v="10"/>
    <s v="Other"/>
    <n v="1"/>
    <x v="2"/>
    <n v="5"/>
    <n v="4"/>
    <n v="1"/>
    <n v="2"/>
    <n v="2"/>
    <s v="Y"/>
    <n v="2000"/>
    <x v="4"/>
  </r>
  <r>
    <s v="25.10.2019"/>
    <d v="1899-12-30T09:48:00"/>
    <m/>
    <s v="P"/>
    <n v="2"/>
    <s v="Road Vehicle"/>
    <n v="4"/>
    <x v="3"/>
    <x v="1"/>
    <n v="2"/>
    <x v="1"/>
    <s v="MUKIGAGA"/>
    <s v="MUBENDE"/>
    <s v="UG"/>
    <n v="2"/>
    <s v="Work"/>
    <s v="HOIMA TOWN"/>
    <s v="HOIMA"/>
    <s v="UG"/>
    <n v="1"/>
    <s v="Home"/>
    <x v="1"/>
    <n v="20000"/>
    <n v="60"/>
    <x v="1"/>
    <n v="3"/>
    <x v="1"/>
    <n v="6"/>
    <s v="Businessman"/>
    <n v="1"/>
    <x v="2"/>
    <n v="2"/>
    <n v="4"/>
    <n v="1"/>
    <n v="5"/>
    <n v="4"/>
    <s v="Y"/>
    <m/>
    <x v="0"/>
  </r>
  <r>
    <s v="25.10.2019"/>
    <d v="1899-12-30T08:50:00"/>
    <s v="UAY 290C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90000"/>
    <n v="50"/>
    <x v="1"/>
    <n v="2"/>
    <x v="1"/>
    <n v="10"/>
    <s v="Other"/>
    <n v="1"/>
    <x v="2"/>
    <n v="5"/>
    <n v="5"/>
    <n v="4"/>
    <n v="1"/>
    <n v="2"/>
    <s v="Y"/>
    <n v="2000"/>
    <x v="4"/>
  </r>
  <r>
    <s v="25.10.2019"/>
    <d v="1899-12-30T08:30:00"/>
    <m/>
    <s v="P"/>
    <n v="2"/>
    <s v="Road Vehicle"/>
    <n v="4"/>
    <x v="3"/>
    <x v="1"/>
    <n v="2"/>
    <x v="1"/>
    <s v="MUBENDE TOWN"/>
    <s v="MUBENDE"/>
    <s v="UG"/>
    <n v="2"/>
    <s v="Work"/>
    <s v="KALUGUUZA TOWN"/>
    <s v="MUBENDE"/>
    <s v="UG"/>
    <n v="1"/>
    <s v="Home"/>
    <x v="1"/>
    <n v="10000"/>
    <n v="45"/>
    <x v="1"/>
    <n v="2"/>
    <x v="1"/>
    <n v="6"/>
    <s v="Businessman"/>
    <n v="1"/>
    <x v="2"/>
    <n v="2"/>
    <n v="4"/>
    <n v="1"/>
    <n v="2"/>
    <n v="3"/>
    <s v="Y"/>
    <m/>
    <x v="0"/>
  </r>
  <r>
    <s v="25.10.2019"/>
    <d v="1899-12-30T08:15:00"/>
    <s v="UAY 239J"/>
    <s v="D"/>
    <n v="2"/>
    <s v="Road Vehicle"/>
    <n v="4"/>
    <x v="3"/>
    <x v="1"/>
    <n v="2"/>
    <x v="1"/>
    <s v="MUBENDE TOWN"/>
    <s v="MUBENDE"/>
    <s v="UG"/>
    <n v="2"/>
    <s v="Work"/>
    <s v="KALUGUUZA TOWN"/>
    <s v="MUBENDE"/>
    <s v="UG"/>
    <n v="1"/>
    <s v="Home"/>
    <x v="1"/>
    <n v="80000"/>
    <n v="45"/>
    <x v="1"/>
    <n v="2"/>
    <x v="1"/>
    <n v="10"/>
    <s v="Other"/>
    <n v="1"/>
    <x v="2"/>
    <n v="5"/>
    <n v="4"/>
    <n v="1"/>
    <n v="2"/>
    <n v="3"/>
    <s v="Y"/>
    <m/>
    <x v="0"/>
  </r>
  <r>
    <s v="25.10.2019"/>
    <d v="1899-12-30T15:19:00"/>
    <s v="UAY 025T"/>
    <s v="D"/>
    <n v="2"/>
    <s v="Road Vehicle"/>
    <n v="4"/>
    <x v="3"/>
    <x v="1"/>
    <n v="2"/>
    <x v="1"/>
    <s v="MUBENDE TOWN"/>
    <s v="MUBENDE"/>
    <s v="UG"/>
    <n v="2"/>
    <s v="Work"/>
    <s v="KASAMBYA"/>
    <s v="WAKISO"/>
    <s v="UG"/>
    <n v="8"/>
    <s v="Others"/>
    <x v="6"/>
    <n v="70000"/>
    <n v="40"/>
    <x v="1"/>
    <n v="2"/>
    <x v="1"/>
    <n v="10"/>
    <s v="Other"/>
    <n v="1"/>
    <x v="2"/>
    <n v="5"/>
    <n v="2"/>
    <n v="1"/>
    <n v="2"/>
    <n v="1"/>
    <s v="Y"/>
    <n v="2000"/>
    <x v="4"/>
  </r>
  <r>
    <s v="25.10.2019"/>
    <d v="1899-12-30T17:23:00"/>
    <m/>
    <s v="P"/>
    <n v="2"/>
    <s v="Road Vehicle"/>
    <n v="4"/>
    <x v="3"/>
    <x v="1"/>
    <n v="2"/>
    <x v="1"/>
    <s v="KIRUNGI"/>
    <s v="MUBENDE"/>
    <s v="UG"/>
    <n v="3"/>
    <s v="Study"/>
    <s v="BWEYOGERERE"/>
    <s v="WAKISO"/>
    <s v="UG"/>
    <n v="1"/>
    <s v="Home"/>
    <x v="9"/>
    <n v="10000"/>
    <n v="50"/>
    <x v="1"/>
    <n v="2"/>
    <x v="1"/>
    <n v="6"/>
    <s v="Businessman"/>
    <n v="1"/>
    <x v="2"/>
    <n v="2"/>
    <n v="1"/>
    <n v="3"/>
    <n v="5"/>
    <n v="4"/>
    <s v="Y"/>
    <m/>
    <x v="0"/>
  </r>
  <r>
    <s v="25.10.2019"/>
    <d v="1899-12-30T17:03:00"/>
    <s v="UAU 775U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100000"/>
    <n v="70"/>
    <x v="0"/>
    <n v="2.5"/>
    <x v="1"/>
    <n v="10"/>
    <s v="Other"/>
    <n v="1"/>
    <x v="2"/>
    <n v="5"/>
    <n v="4"/>
    <n v="3"/>
    <n v="1"/>
    <n v="2"/>
    <s v="Y"/>
    <m/>
    <x v="0"/>
  </r>
  <r>
    <s v="25.10.2019"/>
    <d v="1899-12-30T18:01:00"/>
    <s v="UBA 217C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90000"/>
    <n v="50"/>
    <x v="1"/>
    <n v="2"/>
    <x v="1"/>
    <n v="10"/>
    <s v="Other"/>
    <n v="1"/>
    <x v="2"/>
    <n v="2"/>
    <n v="1"/>
    <n v="4"/>
    <n v="2"/>
    <n v="3"/>
    <s v="Y"/>
    <n v="2000"/>
    <x v="4"/>
  </r>
  <r>
    <s v="26.10.2019"/>
    <d v="1899-12-30T01:10:00"/>
    <s v="UAQ 215Q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70000"/>
    <n v="67"/>
    <x v="1"/>
    <n v="2"/>
    <x v="1"/>
    <n v="10"/>
    <s v="Other"/>
    <n v="1"/>
    <x v="2"/>
    <n v="5"/>
    <n v="5"/>
    <n v="4"/>
    <n v="3"/>
    <n v="4"/>
    <s v="Y"/>
    <m/>
    <x v="0"/>
  </r>
  <r>
    <s v="26.10.2019"/>
    <d v="1899-12-30T13:10:00"/>
    <m/>
    <s v="P"/>
    <n v="2"/>
    <s v="Road Vehicle"/>
    <n v="4"/>
    <x v="3"/>
    <x v="1"/>
    <n v="2"/>
    <x v="1"/>
    <m/>
    <m/>
    <s v="UG"/>
    <n v="1"/>
    <s v="Home"/>
    <s v="HOIMA TOWN"/>
    <s v="HOIMA"/>
    <s v="UG"/>
    <n v="2"/>
    <s v="Work"/>
    <x v="8"/>
    <n v="20000"/>
    <n v="90"/>
    <x v="0"/>
    <n v="2"/>
    <x v="1"/>
    <n v="6"/>
    <s v="Businessman"/>
    <n v="1"/>
    <x v="2"/>
    <n v="5"/>
    <n v="5"/>
    <n v="2"/>
    <n v="4"/>
    <n v="2"/>
    <s v="Y"/>
    <m/>
    <x v="0"/>
  </r>
  <r>
    <s v="26.10.2019"/>
    <d v="1899-12-30T13:28:00"/>
    <m/>
    <s v="P"/>
    <n v="2"/>
    <s v="Road Vehicle"/>
    <n v="4"/>
    <x v="3"/>
    <x v="1"/>
    <n v="2"/>
    <x v="1"/>
    <s v="KIRUNGI"/>
    <s v="MUBENDE"/>
    <s v="UG"/>
    <n v="1"/>
    <s v="Home"/>
    <s v="HOIMA TOWN"/>
    <s v="HOIMA"/>
    <s v="UG"/>
    <n v="8"/>
    <s v="Others"/>
    <x v="4"/>
    <n v="20000"/>
    <n v="90"/>
    <x v="0"/>
    <n v="2"/>
    <x v="1"/>
    <n v="6"/>
    <s v="Businessman"/>
    <n v="1"/>
    <x v="2"/>
    <n v="2"/>
    <n v="1"/>
    <n v="2"/>
    <n v="3"/>
    <n v="1"/>
    <s v="Y"/>
    <m/>
    <x v="0"/>
  </r>
  <r>
    <s v="26.10.2019"/>
    <d v="1899-12-30T08:10:00"/>
    <m/>
    <s v="P"/>
    <n v="2"/>
    <s v="Road Vehicle"/>
    <n v="4"/>
    <x v="3"/>
    <x v="1"/>
    <n v="2"/>
    <x v="1"/>
    <s v="MUKIGAGA"/>
    <s v="MUBENDE"/>
    <s v="UG"/>
    <n v="1"/>
    <s v="Home"/>
    <s v="NTINDA"/>
    <s v="WAKISO"/>
    <s v="UG"/>
    <n v="2"/>
    <s v="Work"/>
    <x v="8"/>
    <n v="10000"/>
    <n v="45"/>
    <x v="1"/>
    <n v="2"/>
    <x v="1"/>
    <n v="6"/>
    <s v="Businessman"/>
    <n v="1"/>
    <x v="2"/>
    <n v="2"/>
    <n v="1"/>
    <n v="1"/>
    <n v="5"/>
    <n v="4"/>
    <s v="Y"/>
    <m/>
    <x v="0"/>
  </r>
  <r>
    <s v="26.10.2019"/>
    <d v="1899-12-30T08:28:00"/>
    <s v="UAP 071P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80000"/>
    <n v="48"/>
    <x v="1"/>
    <n v="2"/>
    <x v="1"/>
    <n v="10"/>
    <s v="Other"/>
    <n v="1"/>
    <x v="2"/>
    <n v="5"/>
    <n v="4"/>
    <n v="2"/>
    <n v="1"/>
    <n v="2"/>
    <s v="Y"/>
    <m/>
    <x v="0"/>
  </r>
  <r>
    <s v="26.10.2019"/>
    <d v="1899-12-30T08:08:00"/>
    <s v="UAU 561T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80000"/>
    <n v="45"/>
    <x v="1"/>
    <n v="2"/>
    <x v="1"/>
    <n v="10"/>
    <s v="Other"/>
    <n v="1"/>
    <x v="2"/>
    <n v="5"/>
    <n v="5"/>
    <n v="1"/>
    <n v="2"/>
    <n v="3"/>
    <s v="Y"/>
    <n v="2000"/>
    <x v="4"/>
  </r>
  <r>
    <s v="26.10.2019"/>
    <d v="1899-12-30T16:50:00"/>
    <s v="UBE 835K"/>
    <s v="D"/>
    <n v="2"/>
    <s v="Road Vehicle"/>
    <n v="4"/>
    <x v="3"/>
    <x v="1"/>
    <n v="2"/>
    <x v="1"/>
    <s v="MUBENDE TOWN"/>
    <s v="MUBENDE"/>
    <s v="UG"/>
    <n v="2"/>
    <s v="Work"/>
    <s v="MITYANA TOWN"/>
    <s v="MITYANA"/>
    <s v="UG"/>
    <n v="8"/>
    <s v="Others"/>
    <x v="6"/>
    <n v="50000"/>
    <n v="30"/>
    <x v="5"/>
    <n v="1"/>
    <x v="2"/>
    <n v="10"/>
    <s v="Other"/>
    <n v="1"/>
    <x v="2"/>
    <n v="5"/>
    <n v="4"/>
    <n v="4"/>
    <n v="5"/>
    <n v="3"/>
    <s v="Y"/>
    <n v="1000"/>
    <x v="1"/>
  </r>
  <r>
    <s v="26.10.2019"/>
    <d v="1899-12-30T12:00:00"/>
    <s v="UBB 112D"/>
    <s v="D"/>
    <n v="2"/>
    <s v="Road Vehicle"/>
    <n v="4"/>
    <x v="3"/>
    <x v="1"/>
    <n v="2"/>
    <x v="1"/>
    <s v="MUBENDE TOWN"/>
    <s v="MUBENDE"/>
    <s v="UG"/>
    <n v="2"/>
    <s v="Work"/>
    <s v="NKONDO"/>
    <s v="GAYAZA"/>
    <s v="UG"/>
    <n v="8"/>
    <s v="Others"/>
    <x v="6"/>
    <n v="90000"/>
    <n v="40"/>
    <x v="1"/>
    <n v="1.5"/>
    <x v="2"/>
    <n v="10"/>
    <s v="Other"/>
    <n v="1"/>
    <x v="2"/>
    <n v="5"/>
    <n v="4"/>
    <n v="1"/>
    <n v="2"/>
    <n v="4"/>
    <s v="Y"/>
    <m/>
    <x v="0"/>
  </r>
  <r>
    <s v="26.10.2019"/>
    <d v="1899-12-30T12:23:00"/>
    <s v="UBA 921Z"/>
    <s v="D"/>
    <n v="2"/>
    <s v="Road Vehicle"/>
    <n v="4"/>
    <x v="3"/>
    <x v="1"/>
    <n v="2"/>
    <x v="1"/>
    <s v="NABIGOOLA"/>
    <s v="MUBENDE"/>
    <s v="UG"/>
    <n v="2"/>
    <s v="Work"/>
    <s v="KIWENZA"/>
    <s v="GAYAZA"/>
    <s v="UG"/>
    <n v="8"/>
    <s v="Others"/>
    <x v="6"/>
    <n v="70000"/>
    <n v="40"/>
    <x v="1"/>
    <n v="2"/>
    <x v="1"/>
    <n v="10"/>
    <s v="Other"/>
    <n v="1"/>
    <x v="2"/>
    <n v="5"/>
    <n v="4"/>
    <n v="2"/>
    <n v="1"/>
    <n v="2"/>
    <s v="Y"/>
    <n v="2000"/>
    <x v="4"/>
  </r>
  <r>
    <s v="26.10.2019"/>
    <d v="1899-12-30T13:00:00"/>
    <s v="UAX 256X"/>
    <s v="D"/>
    <n v="2"/>
    <s v="Road Vehicle"/>
    <n v="4"/>
    <x v="3"/>
    <x v="1"/>
    <n v="2"/>
    <x v="1"/>
    <s v="MUBENDE TOWN"/>
    <s v="MUBENDE"/>
    <s v="UG"/>
    <n v="2"/>
    <s v="Work"/>
    <s v="KISIITA"/>
    <s v="KISIITA"/>
    <s v="UG"/>
    <n v="8"/>
    <s v="Others"/>
    <x v="6"/>
    <n v="80000"/>
    <n v="50"/>
    <x v="1"/>
    <n v="2.5"/>
    <x v="1"/>
    <n v="10"/>
    <s v="Other"/>
    <n v="1"/>
    <x v="2"/>
    <n v="5"/>
    <n v="4"/>
    <n v="3"/>
    <n v="4"/>
    <n v="5"/>
    <s v="Y"/>
    <m/>
    <x v="0"/>
  </r>
  <r>
    <s v="26.10.2019"/>
    <d v="1899-12-30T13:40:00"/>
    <s v="UAT 561T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70000"/>
    <n v="58"/>
    <x v="1"/>
    <n v="2"/>
    <x v="1"/>
    <n v="10"/>
    <s v="Other"/>
    <n v="1"/>
    <x v="2"/>
    <n v="5"/>
    <n v="1"/>
    <n v="2"/>
    <n v="2"/>
    <n v="2"/>
    <s v="Y"/>
    <n v="2000"/>
    <x v="4"/>
  </r>
  <r>
    <s v="26.10.2019"/>
    <d v="1899-12-30T09:27:00"/>
    <s v="UAN 233N"/>
    <s v="D"/>
    <n v="2"/>
    <s v="Road Vehicle"/>
    <n v="4"/>
    <x v="3"/>
    <x v="1"/>
    <n v="2"/>
    <x v="1"/>
    <s v="MUBENDE TOWN"/>
    <s v="MUBENDE"/>
    <s v="UG"/>
    <n v="4"/>
    <s v="Commercial"/>
    <s v="MITYANA TOWN"/>
    <s v="MITYANA"/>
    <s v="UG"/>
    <n v="4"/>
    <s v="Commercial"/>
    <x v="13"/>
    <n v="40000"/>
    <n v="76"/>
    <x v="0"/>
    <n v="1.4"/>
    <x v="2"/>
    <n v="5"/>
    <s v="Professional"/>
    <n v="2"/>
    <x v="1"/>
    <n v="1"/>
    <n v="1"/>
    <n v="2"/>
    <n v="2"/>
    <n v="5"/>
    <s v="Y"/>
    <m/>
    <x v="0"/>
  </r>
  <r>
    <s v="26.10.2019"/>
    <d v="1899-12-30T10:32:00"/>
    <s v="UBD 412V"/>
    <s v="D"/>
    <n v="2"/>
    <s v="Road Vehicle"/>
    <n v="4"/>
    <x v="3"/>
    <x v="1"/>
    <n v="2"/>
    <x v="1"/>
    <s v="MUBENDE TOWN"/>
    <s v="MUBENDE"/>
    <s v="UG"/>
    <n v="4"/>
    <s v="Commercial"/>
    <s v="KAMPALA TOWN"/>
    <s v="KAMPALA"/>
    <s v="UG"/>
    <n v="4"/>
    <s v="Commercial"/>
    <x v="13"/>
    <n v="80000"/>
    <n v="210"/>
    <x v="3"/>
    <n v="2"/>
    <x v="1"/>
    <n v="5"/>
    <s v="Professional"/>
    <n v="3"/>
    <x v="0"/>
    <n v="1"/>
    <n v="2"/>
    <n v="4"/>
    <n v="5"/>
    <n v="5"/>
    <s v="Y"/>
    <n v="10000"/>
    <x v="3"/>
  </r>
  <r>
    <s v="26.10.2019"/>
    <d v="1899-12-30T10:46:00"/>
    <m/>
    <s v="P"/>
    <n v="2"/>
    <s v="Road Vehicle"/>
    <n v="4"/>
    <x v="3"/>
    <x v="1"/>
    <n v="2"/>
    <x v="1"/>
    <s v="MUBENDE TOWN"/>
    <s v="MUBENDE"/>
    <s v="UG"/>
    <n v="1"/>
    <s v="Home"/>
    <s v="KAMPALA TOWN"/>
    <s v="KAMPALA"/>
    <s v="UG"/>
    <n v="4"/>
    <s v="Commercial"/>
    <x v="12"/>
    <n v="10000"/>
    <n v="40"/>
    <x v="1"/>
    <n v="2"/>
    <x v="1"/>
    <n v="6"/>
    <s v="Businessman"/>
    <n v="3"/>
    <x v="0"/>
    <n v="1"/>
    <n v="5"/>
    <n v="1"/>
    <n v="1"/>
    <n v="2"/>
    <s v="Y"/>
    <n v="1000"/>
    <x v="1"/>
  </r>
  <r>
    <s v="26.10.2019"/>
    <d v="1899-12-30T11:00:00"/>
    <m/>
    <s v="P"/>
    <n v="2"/>
    <s v="Road Vehicle"/>
    <n v="4"/>
    <x v="3"/>
    <x v="1"/>
    <n v="2"/>
    <x v="1"/>
    <s v="MUBENDE TOWN"/>
    <s v="MUBENDE"/>
    <s v="UG"/>
    <n v="1"/>
    <s v="Home"/>
    <s v="KAMPALA TOWN"/>
    <s v="KAMPALA"/>
    <s v="UG"/>
    <n v="4"/>
    <s v="Commercial"/>
    <x v="12"/>
    <n v="10000"/>
    <n v="180"/>
    <x v="2"/>
    <n v="2"/>
    <x v="1"/>
    <n v="6"/>
    <s v="Businessman"/>
    <n v="3"/>
    <x v="0"/>
    <n v="1"/>
    <n v="2"/>
    <n v="5"/>
    <n v="4"/>
    <n v="3"/>
    <s v="Y"/>
    <n v="5000"/>
    <x v="2"/>
  </r>
  <r>
    <s v="26.10.2019"/>
    <d v="1899-12-30T12:28:00"/>
    <m/>
    <s v="P"/>
    <n v="2"/>
    <s v="Road Vehicle"/>
    <n v="4"/>
    <x v="3"/>
    <x v="1"/>
    <n v="2"/>
    <x v="1"/>
    <s v="MUBENDE TOWN"/>
    <s v="MUBENDE"/>
    <s v="UG"/>
    <n v="4"/>
    <s v="Commercial"/>
    <s v="KAMPALA TOWN"/>
    <s v="KAMPALA"/>
    <s v="UG"/>
    <n v="4"/>
    <s v="Commercial"/>
    <x v="13"/>
    <m/>
    <m/>
    <x v="4"/>
    <m/>
    <x v="4"/>
    <n v="6"/>
    <s v="Businessman"/>
    <n v="2"/>
    <x v="1"/>
    <n v="1"/>
    <n v="5"/>
    <n v="5"/>
    <n v="1"/>
    <n v="5"/>
    <s v="Y"/>
    <n v="2000"/>
    <x v="4"/>
  </r>
  <r>
    <s v="26.10.2019"/>
    <d v="1899-12-30T13:10:00"/>
    <m/>
    <s v="P"/>
    <n v="2"/>
    <s v="Road Vehicle"/>
    <n v="4"/>
    <x v="3"/>
    <x v="1"/>
    <n v="2"/>
    <x v="1"/>
    <s v="KATIKAKA"/>
    <s v="KATIKALA"/>
    <s v="UG"/>
    <n v="1"/>
    <s v="Home"/>
    <s v="MUBENDE TOWN"/>
    <s v="MUBENDE"/>
    <s v="UG"/>
    <n v="4"/>
    <s v="Commercial"/>
    <x v="12"/>
    <n v="15000"/>
    <n v="36"/>
    <x v="5"/>
    <n v="0.5"/>
    <x v="3"/>
    <n v="8"/>
    <s v="Student"/>
    <n v="1"/>
    <x v="2"/>
    <n v="1"/>
    <n v="1"/>
    <n v="5"/>
    <n v="5"/>
    <n v="4"/>
    <s v="Y"/>
    <m/>
    <x v="0"/>
  </r>
  <r>
    <s v="26.10.2019"/>
    <d v="1899-12-30T07:38:00"/>
    <m/>
    <s v="P"/>
    <n v="2"/>
    <s v="Road Vehicle"/>
    <n v="4"/>
    <x v="3"/>
    <x v="1"/>
    <n v="2"/>
    <x v="1"/>
    <s v="MUBENDE TOWN"/>
    <s v="MUBENDE"/>
    <s v="UG"/>
    <n v="1"/>
    <s v="Home"/>
    <s v="MITYANA TOWN"/>
    <s v="MITYANA"/>
    <s v="UG"/>
    <n v="2"/>
    <s v="Work"/>
    <x v="8"/>
    <n v="7000"/>
    <n v="108"/>
    <x v="2"/>
    <n v="1"/>
    <x v="2"/>
    <n v="2"/>
    <s v="Manual Labour"/>
    <n v="2"/>
    <x v="1"/>
    <n v="1"/>
    <n v="1"/>
    <n v="2"/>
    <n v="2"/>
    <n v="1"/>
    <s v="Y"/>
    <n v="3000"/>
    <x v="5"/>
  </r>
  <r>
    <s v="26.10.2019"/>
    <d v="1899-12-30T14:02:00"/>
    <s v="UAN 261V"/>
    <s v="D"/>
    <n v="2"/>
    <s v="Road Vehicle"/>
    <n v="4"/>
    <x v="3"/>
    <x v="1"/>
    <n v="2"/>
    <x v="1"/>
    <s v="KAMPALA TOWN"/>
    <s v="KAMPALA"/>
    <s v="UG"/>
    <n v="4"/>
    <s v="Commercial"/>
    <s v="MUBENDE TOWN"/>
    <s v="MUBENDE"/>
    <s v="UG"/>
    <n v="4"/>
    <s v="Commercial"/>
    <x v="13"/>
    <n v="50000"/>
    <n v="180"/>
    <x v="2"/>
    <n v="2"/>
    <x v="1"/>
    <n v="5"/>
    <s v="Professional"/>
    <n v="1"/>
    <x v="2"/>
    <n v="5"/>
    <n v="5"/>
    <n v="5"/>
    <n v="5"/>
    <n v="5"/>
    <s v="Y"/>
    <n v="7000"/>
    <x v="2"/>
  </r>
  <r>
    <s v="26.10.2019"/>
    <d v="1899-12-30T07:14:00"/>
    <s v="UBF 331U"/>
    <s v="D"/>
    <n v="2"/>
    <s v="Road Vehicle"/>
    <n v="4"/>
    <x v="3"/>
    <x v="1"/>
    <n v="2"/>
    <x v="1"/>
    <s v="MITYANA TOWN"/>
    <s v="MITYANA"/>
    <s v="UG"/>
    <n v="2"/>
    <s v="Work"/>
    <s v="HOIMA TOWN"/>
    <s v="HOIMA"/>
    <s v="UG"/>
    <n v="2"/>
    <s v="Work"/>
    <x v="5"/>
    <n v="70000"/>
    <n v="120"/>
    <x v="2"/>
    <n v="3"/>
    <x v="1"/>
    <n v="5"/>
    <s v="Professional"/>
    <n v="5"/>
    <x v="4"/>
    <n v="2"/>
    <n v="1"/>
    <n v="1"/>
    <n v="1"/>
    <n v="2"/>
    <s v="Y"/>
    <n v="1000"/>
    <x v="1"/>
  </r>
  <r>
    <s v="26.10.2019"/>
    <d v="1899-12-30T07:49:00"/>
    <s v="UBA 522T"/>
    <s v="D"/>
    <n v="2"/>
    <s v="Road Vehicle"/>
    <n v="4"/>
    <x v="3"/>
    <x v="1"/>
    <n v="2"/>
    <x v="1"/>
    <s v="KAMPALA TOWN"/>
    <s v="KAMPALA"/>
    <s v="UG"/>
    <n v="2"/>
    <s v="Work"/>
    <s v="HOIMA TOWN"/>
    <s v="HOIMA"/>
    <s v="UG"/>
    <n v="2"/>
    <s v="Work"/>
    <x v="5"/>
    <n v="120000"/>
    <n v="142"/>
    <x v="2"/>
    <n v="4"/>
    <x v="0"/>
    <n v="6"/>
    <s v="Businessman"/>
    <n v="3"/>
    <x v="0"/>
    <n v="1"/>
    <n v="1"/>
    <n v="1"/>
    <n v="2"/>
    <n v="1"/>
    <s v="Y"/>
    <n v="3000"/>
    <x v="5"/>
  </r>
  <r>
    <s v="26.10.2019"/>
    <d v="1899-12-30T07:59:00"/>
    <s v="UG 443G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2"/>
    <s v="Work"/>
    <x v="5"/>
    <n v="100000"/>
    <n v="146"/>
    <x v="2"/>
    <n v="1.5"/>
    <x v="2"/>
    <n v="4"/>
    <s v="Office Worker"/>
    <n v="4"/>
    <x v="3"/>
    <n v="2"/>
    <n v="2"/>
    <n v="1"/>
    <n v="1"/>
    <n v="2"/>
    <s v="Y"/>
    <n v="1000"/>
    <x v="1"/>
  </r>
  <r>
    <s v="26.10.2019"/>
    <d v="1899-12-30T09:40:00"/>
    <m/>
    <s v="P"/>
    <n v="2"/>
    <s v="Road Vehicle"/>
    <n v="4"/>
    <x v="3"/>
    <x v="1"/>
    <n v="2"/>
    <x v="1"/>
    <s v="KAMPALA TOWN"/>
    <s v="KAMPALA"/>
    <s v="UG"/>
    <n v="2"/>
    <s v="Work"/>
    <s v="HOIMA TOWN"/>
    <s v="HOIMA"/>
    <s v="UG"/>
    <n v="2"/>
    <s v="Work"/>
    <x v="5"/>
    <n v="25000"/>
    <n v="209"/>
    <x v="3"/>
    <n v="4"/>
    <x v="0"/>
    <n v="5"/>
    <s v="Professional"/>
    <n v="4"/>
    <x v="3"/>
    <n v="2"/>
    <n v="2"/>
    <n v="1"/>
    <n v="1"/>
    <n v="2"/>
    <s v="Y"/>
    <m/>
    <x v="0"/>
  </r>
  <r>
    <s v="26.10.2019"/>
    <d v="1899-12-30T10:12:00"/>
    <m/>
    <s v="P"/>
    <n v="2"/>
    <s v="Road Vehicle"/>
    <n v="4"/>
    <x v="3"/>
    <x v="1"/>
    <n v="2"/>
    <x v="1"/>
    <s v="KAWEMPE"/>
    <s v="WAKISO"/>
    <s v="UG"/>
    <n v="6"/>
    <s v="Leisure/Social"/>
    <s v="KIYUNI"/>
    <s v="MUBENDE"/>
    <s v="UG"/>
    <n v="1"/>
    <s v="Home"/>
    <x v="7"/>
    <n v="19000"/>
    <n v="186"/>
    <x v="2"/>
    <n v="4"/>
    <x v="0"/>
    <n v="7"/>
    <s v="Farmer"/>
    <n v="2"/>
    <x v="1"/>
    <n v="1"/>
    <n v="3"/>
    <n v="2"/>
    <n v="2"/>
    <n v="1"/>
    <s v="Y"/>
    <n v="2000"/>
    <x v="4"/>
  </r>
  <r>
    <s v="26.10.2019"/>
    <d v="1899-12-30T11:49:00"/>
    <m/>
    <s v="P"/>
    <n v="2"/>
    <s v="Road Vehicle"/>
    <n v="4"/>
    <x v="3"/>
    <x v="1"/>
    <n v="2"/>
    <x v="1"/>
    <s v="KISEKENDE"/>
    <s v="MUBENDE"/>
    <s v="UG"/>
    <n v="1"/>
    <s v="Home"/>
    <s v="MUBENDE TOWN"/>
    <s v="MUB"/>
    <s v="UG"/>
    <n v="4"/>
    <s v="Commercial"/>
    <x v="12"/>
    <n v="10000"/>
    <n v="49"/>
    <x v="1"/>
    <n v="1"/>
    <x v="2"/>
    <n v="6"/>
    <s v="Businessman"/>
    <n v="4"/>
    <x v="3"/>
    <n v="4"/>
    <n v="4"/>
    <n v="3"/>
    <n v="3"/>
    <n v="2"/>
    <s v="Y"/>
    <n v="1000"/>
    <x v="1"/>
  </r>
  <r>
    <s v="26.10.2019"/>
    <d v="1899-12-30T12:09:00"/>
    <m/>
    <s v="D"/>
    <n v="2"/>
    <s v="Road Vehicle"/>
    <n v="4"/>
    <x v="3"/>
    <x v="1"/>
    <n v="2"/>
    <x v="1"/>
    <s v="KAMPALA TOWN"/>
    <s v="KAMPALA"/>
    <s v="UG"/>
    <n v="2"/>
    <s v="Work"/>
    <s v="HOIMA TOWN"/>
    <s v="HOIMA"/>
    <s v="UG"/>
    <n v="2"/>
    <s v="Work"/>
    <x v="5"/>
    <n v="200000"/>
    <n v="202"/>
    <x v="3"/>
    <n v="5"/>
    <x v="0"/>
    <n v="6"/>
    <s v="Businessman"/>
    <n v="4"/>
    <x v="3"/>
    <n v="2"/>
    <n v="2"/>
    <n v="2"/>
    <n v="1"/>
    <n v="1"/>
    <s v="Y"/>
    <n v="2000"/>
    <x v="4"/>
  </r>
  <r>
    <s v="26.10.2019"/>
    <d v="1899-12-30T12:14:00"/>
    <m/>
    <s v="P"/>
    <n v="2"/>
    <s v="Road Vehicle"/>
    <n v="4"/>
    <x v="3"/>
    <x v="1"/>
    <n v="2"/>
    <x v="1"/>
    <s v="MITYANA TOWN"/>
    <s v="MITYANA"/>
    <s v="UG"/>
    <n v="2"/>
    <s v="Work"/>
    <s v="MUBENDE TOWN"/>
    <s v="MUB"/>
    <s v="UG"/>
    <n v="1"/>
    <s v="Home"/>
    <x v="1"/>
    <n v="7000"/>
    <n v="77"/>
    <x v="0"/>
    <n v="1"/>
    <x v="2"/>
    <n v="7"/>
    <s v="Farmer"/>
    <n v="3"/>
    <x v="0"/>
    <n v="2"/>
    <n v="3"/>
    <n v="2"/>
    <n v="2"/>
    <n v="1"/>
    <s v="Y"/>
    <m/>
    <x v="0"/>
  </r>
  <r>
    <s v="26.10.2019"/>
    <d v="1899-12-30T07:50:00"/>
    <m/>
    <s v="P"/>
    <n v="2"/>
    <s v="Road Vehicle"/>
    <n v="4"/>
    <x v="3"/>
    <x v="1"/>
    <n v="2"/>
    <x v="1"/>
    <s v="KASAMBYA"/>
    <s v="MUBENDE"/>
    <s v="UG"/>
    <n v="1"/>
    <s v="Home"/>
    <s v="KAWEMPE"/>
    <s v="KAMPALA"/>
    <s v="UG"/>
    <n v="2"/>
    <s v="Work"/>
    <x v="8"/>
    <n v="10000"/>
    <n v="45"/>
    <x v="1"/>
    <n v="2"/>
    <x v="1"/>
    <n v="10"/>
    <s v="Other"/>
    <n v="1"/>
    <x v="2"/>
    <n v="2"/>
    <n v="4"/>
    <n v="3"/>
    <n v="1"/>
    <n v="2"/>
    <s v="Y"/>
    <m/>
    <x v="0"/>
  </r>
  <r>
    <s v="24.10.2019"/>
    <d v="1899-12-30T16:49:00"/>
    <s v="UBB 021M"/>
    <s v="D"/>
    <n v="2"/>
    <s v="Road Vehicle"/>
    <n v="3"/>
    <x v="6"/>
    <x v="0"/>
    <n v="2"/>
    <x v="1"/>
    <s v="HOIMA TOWN"/>
    <s v="HOIMA"/>
    <s v="UG"/>
    <n v="2"/>
    <s v="Work"/>
    <s v="KASAMBYA"/>
    <s v="MUBENDE"/>
    <s v="UG"/>
    <n v="1"/>
    <s v="Home"/>
    <x v="1"/>
    <n v="95000"/>
    <n v="110"/>
    <x v="2"/>
    <n v="2"/>
    <x v="1"/>
    <n v="4"/>
    <s v="Office Worker"/>
    <n v="5"/>
    <x v="4"/>
    <n v="2"/>
    <n v="1"/>
    <n v="1"/>
    <n v="2"/>
    <n v="1"/>
    <s v="Y"/>
    <n v="5000"/>
    <x v="2"/>
  </r>
  <r>
    <s v="26.10.2019"/>
    <d v="1899-12-30T09:06:00"/>
    <s v="UBD 109K"/>
    <s v="D"/>
    <n v="2"/>
    <s v="Road Vehicle"/>
    <n v="3"/>
    <x v="6"/>
    <x v="0"/>
    <n v="2"/>
    <x v="1"/>
    <s v="KAMPALA TOWN"/>
    <s v="KAMPALA"/>
    <s v="UG"/>
    <n v="4"/>
    <s v="Commercial"/>
    <s v="MUBENDE TOWN"/>
    <s v="MUB"/>
    <s v="UG"/>
    <n v="4"/>
    <s v="Commercial"/>
    <x v="13"/>
    <n v="200000"/>
    <n v="147"/>
    <x v="2"/>
    <n v="3"/>
    <x v="1"/>
    <n v="6"/>
    <s v="Businessman"/>
    <n v="5"/>
    <x v="4"/>
    <n v="1"/>
    <n v="2"/>
    <n v="1"/>
    <n v="1"/>
    <n v="2"/>
    <s v="Y"/>
    <m/>
    <x v="0"/>
  </r>
  <r>
    <s v="24.10.2019"/>
    <d v="1899-12-30T14:49:00"/>
    <m/>
    <s v="P"/>
    <n v="2"/>
    <s v="Road Vehicle"/>
    <n v="3"/>
    <x v="6"/>
    <x v="1"/>
    <n v="2"/>
    <x v="1"/>
    <s v="KAGADI TOWN"/>
    <s v="KAGADI"/>
    <s v="UG"/>
    <n v="2"/>
    <s v="Work"/>
    <s v="MUBENDE TOWN"/>
    <s v="MUBENDE"/>
    <s v="UG"/>
    <n v="2"/>
    <s v="Work"/>
    <x v="5"/>
    <m/>
    <n v="49"/>
    <x v="1"/>
    <n v="1"/>
    <x v="2"/>
    <n v="2"/>
    <s v="Manual Labour"/>
    <n v="2"/>
    <x v="1"/>
    <n v="3"/>
    <n v="5"/>
    <n v="3"/>
    <n v="3"/>
    <n v="2"/>
    <s v="Y"/>
    <n v="1500"/>
    <x v="1"/>
  </r>
  <r>
    <s v="24.10.2019"/>
    <d v="1899-12-30T16:27:00"/>
    <s v="CD 11004U"/>
    <s v="D"/>
    <n v="2"/>
    <s v="Road Vehicle"/>
    <n v="3"/>
    <x v="6"/>
    <x v="1"/>
    <n v="2"/>
    <x v="1"/>
    <s v="FORT PORTAL TOWN"/>
    <s v="FORT PORTAL"/>
    <s v="UG"/>
    <n v="2"/>
    <s v="Work"/>
    <s v="KAMPALA TOWN"/>
    <s v="KAMPALA"/>
    <s v="UG"/>
    <n v="2"/>
    <s v="Work"/>
    <x v="5"/>
    <n v="390000"/>
    <n v="398"/>
    <x v="3"/>
    <n v="4"/>
    <x v="0"/>
    <n v="5"/>
    <s v="Professional"/>
    <n v="5"/>
    <x v="4"/>
    <n v="2"/>
    <n v="2"/>
    <n v="1"/>
    <n v="1"/>
    <n v="1"/>
    <s v="Y"/>
    <n v="1000"/>
    <x v="1"/>
  </r>
  <r>
    <s v="24.10.2019"/>
    <d v="1899-12-30T18:03:00"/>
    <s v="UG 0717Z"/>
    <s v="D"/>
    <n v="2"/>
    <s v="Road Vehicle"/>
    <n v="3"/>
    <x v="6"/>
    <x v="1"/>
    <n v="2"/>
    <x v="1"/>
    <s v="HOIMA TOWN"/>
    <s v="HOIMA"/>
    <s v="UG"/>
    <n v="2"/>
    <s v="Work"/>
    <s v="KAMPALA TOWN"/>
    <s v="KAMPALA"/>
    <s v="UG"/>
    <n v="2"/>
    <s v="Work"/>
    <x v="5"/>
    <n v="270000"/>
    <n v="270"/>
    <x v="3"/>
    <n v="3"/>
    <x v="1"/>
    <n v="4"/>
    <s v="Office Worker"/>
    <n v="3"/>
    <x v="0"/>
    <n v="2"/>
    <n v="2"/>
    <n v="1"/>
    <n v="1"/>
    <n v="1"/>
    <n v="1"/>
    <n v="3000"/>
    <x v="5"/>
  </r>
  <r>
    <s v="26.10.2019"/>
    <d v="1899-12-30T08:28:00"/>
    <s v="UBA 850D"/>
    <s v="D"/>
    <n v="2"/>
    <s v="Road Vehicle"/>
    <n v="3"/>
    <x v="6"/>
    <x v="1"/>
    <n v="2"/>
    <x v="1"/>
    <s v="MUBENDE TOWN"/>
    <s v="MUBENDE"/>
    <s v="UG"/>
    <n v="2"/>
    <s v="Work"/>
    <s v="FORTPORTAL TOWN"/>
    <s v="FORTPORTAL"/>
    <s v="UG"/>
    <n v="2"/>
    <s v="Work"/>
    <x v="5"/>
    <n v="150000"/>
    <n v="149"/>
    <x v="2"/>
    <n v="2"/>
    <x v="1"/>
    <n v="4"/>
    <s v="Office Worker"/>
    <n v="5"/>
    <x v="4"/>
    <n v="2"/>
    <n v="2"/>
    <n v="1"/>
    <n v="1"/>
    <n v="1"/>
    <s v="Y"/>
    <n v="1000"/>
    <x v="1"/>
  </r>
  <r>
    <s v="26.10.2019"/>
    <d v="1899-12-30T08:56:00"/>
    <s v="UG 701Z"/>
    <s v="D"/>
    <n v="2"/>
    <s v="Road Vehicle"/>
    <n v="3"/>
    <x v="6"/>
    <x v="1"/>
    <n v="2"/>
    <x v="1"/>
    <s v="JINJA TOWN"/>
    <s v="JINJA"/>
    <s v="UG"/>
    <n v="2"/>
    <s v="Work"/>
    <s v="FORTPORTAL TOWN"/>
    <s v="FORTPORTAL"/>
    <s v="UG"/>
    <n v="2"/>
    <s v="Work"/>
    <x v="5"/>
    <n v="320000"/>
    <n v="490"/>
    <x v="3"/>
    <n v="7"/>
    <x v="0"/>
    <n v="4"/>
    <s v="Office Worker"/>
    <n v="5"/>
    <x v="4"/>
    <n v="1"/>
    <n v="1"/>
    <n v="1"/>
    <n v="1"/>
    <n v="1"/>
    <s v="Y"/>
    <m/>
    <x v="0"/>
  </r>
  <r>
    <s v="26.10.2019"/>
    <d v="1899-12-30T10:35:00"/>
    <s v="UG 041K"/>
    <s v="D"/>
    <n v="2"/>
    <s v="Road Vehicle"/>
    <n v="3"/>
    <x v="6"/>
    <x v="1"/>
    <n v="2"/>
    <x v="1"/>
    <s v="KASESE TOWN"/>
    <s v="KASESE"/>
    <s v="UG"/>
    <n v="2"/>
    <s v="Work"/>
    <s v="HOIMA TOWN"/>
    <s v="HOIMA"/>
    <s v="UG"/>
    <n v="2"/>
    <s v="Work"/>
    <x v="5"/>
    <n v="120000"/>
    <n v="186"/>
    <x v="2"/>
    <n v="3"/>
    <x v="1"/>
    <n v="5"/>
    <s v="Professional"/>
    <n v="5"/>
    <x v="4"/>
    <n v="2"/>
    <n v="1"/>
    <n v="1"/>
    <n v="2"/>
    <n v="2"/>
    <s v="Y"/>
    <m/>
    <x v="0"/>
  </r>
  <r>
    <s v="26.10.2019"/>
    <d v="1899-12-30T10:46:00"/>
    <m/>
    <s v="P"/>
    <n v="2"/>
    <s v="Road Vehicle"/>
    <n v="3"/>
    <x v="6"/>
    <x v="1"/>
    <n v="2"/>
    <x v="1"/>
    <s v="HOIMA TOWN"/>
    <s v="HOIMA"/>
    <s v="UG"/>
    <n v="2"/>
    <s v="Work"/>
    <s v="KIWENZA"/>
    <s v="KASANDE"/>
    <s v="UG"/>
    <n v="2"/>
    <s v="Work"/>
    <x v="5"/>
    <n v="18000"/>
    <n v="191"/>
    <x v="2"/>
    <n v="4"/>
    <x v="0"/>
    <n v="5"/>
    <s v="Professional"/>
    <n v="4"/>
    <x v="3"/>
    <n v="3"/>
    <n v="2"/>
    <n v="2"/>
    <n v="2"/>
    <n v="2"/>
    <s v="Y"/>
    <n v="1000"/>
    <x v="1"/>
  </r>
  <r>
    <s v="26.10.2019"/>
    <d v="1899-12-30T16:12:00"/>
    <s v="UBF 306M"/>
    <s v="P"/>
    <n v="2"/>
    <s v="Road Vehicle"/>
    <n v="2"/>
    <x v="4"/>
    <x v="0"/>
    <n v="2"/>
    <x v="1"/>
    <s v="KAMPALA TOWN"/>
    <s v="KAMPALA"/>
    <s v="UG"/>
    <n v="2"/>
    <s v="Home"/>
    <s v="HOIMA TOWN"/>
    <s v="HOIMA"/>
    <s v="UG"/>
    <n v="2"/>
    <s v="Work"/>
    <x v="8"/>
    <n v="290000"/>
    <n v="290"/>
    <x v="3"/>
    <n v="3"/>
    <x v="1"/>
    <n v="6"/>
    <s v="Businessman"/>
    <n v="5"/>
    <x v="4"/>
    <n v="2"/>
    <n v="1"/>
    <n v="1"/>
    <n v="2"/>
    <n v="2"/>
    <s v="Y"/>
    <n v="4000"/>
    <x v="5"/>
  </r>
  <r>
    <s v="26.10.2019"/>
    <d v="1899-12-30T13:46:00"/>
    <s v="UG 0911S"/>
    <s v="D"/>
    <n v="2"/>
    <s v="Road Vehicle"/>
    <n v="2"/>
    <x v="4"/>
    <x v="1"/>
    <n v="2"/>
    <x v="1"/>
    <s v="KASAJJA"/>
    <s v="MUBENDE"/>
    <s v="UG"/>
    <n v="2"/>
    <s v="Work"/>
    <s v="MUBENDE TOWN"/>
    <s v="MUB"/>
    <s v="UG"/>
    <n v="2"/>
    <s v="Work"/>
    <x v="5"/>
    <n v="10000"/>
    <n v="29"/>
    <x v="5"/>
    <n v="0.5"/>
    <x v="3"/>
    <n v="5"/>
    <s v="Professional"/>
    <n v="4"/>
    <x v="3"/>
    <n v="1"/>
    <n v="1"/>
    <n v="2"/>
    <n v="1"/>
    <n v="2"/>
    <s v="Y"/>
    <n v="4000"/>
    <x v="5"/>
  </r>
  <r>
    <s v="26.10.2019"/>
    <d v="1899-12-30T16:49:00"/>
    <s v="UBB 006C"/>
    <s v="D"/>
    <n v="2"/>
    <s v="Road Vehicle"/>
    <n v="2"/>
    <x v="4"/>
    <x v="1"/>
    <n v="2"/>
    <x v="1"/>
    <s v="KAMPALA TOWN"/>
    <s v="KAMPALA"/>
    <s v="UG"/>
    <n v="2"/>
    <s v="Work"/>
    <s v="HOIMA TOWN"/>
    <s v="HOIMA"/>
    <s v="UG"/>
    <n v="2"/>
    <s v="Work"/>
    <x v="5"/>
    <n v="200000"/>
    <n v="290"/>
    <x v="3"/>
    <n v="4"/>
    <x v="0"/>
    <n v="5"/>
    <s v="Professional"/>
    <n v="5"/>
    <x v="4"/>
    <n v="1"/>
    <n v="2"/>
    <n v="1"/>
    <n v="1"/>
    <n v="2"/>
    <s v="Y"/>
    <n v="5000"/>
    <x v="2"/>
  </r>
  <r>
    <s v="26.10.2019"/>
    <d v="1899-12-30T13:26:00"/>
    <m/>
    <s v="P"/>
    <n v="2"/>
    <s v="Road Vehicle"/>
    <n v="4"/>
    <x v="3"/>
    <x v="1"/>
    <n v="2"/>
    <x v="1"/>
    <s v="KAMPALA TOWN"/>
    <s v="KAMPALA"/>
    <s v="UG"/>
    <n v="4"/>
    <s v="Commercial"/>
    <s v="KAKUMIRO TOWN "/>
    <s v="KAKUMIRO"/>
    <s v="UG"/>
    <n v="1"/>
    <s v="Home"/>
    <x v="0"/>
    <n v="15000"/>
    <n v="240"/>
    <x v="3"/>
    <n v="2"/>
    <x v="1"/>
    <n v="6"/>
    <s v="Businessman"/>
    <n v="2"/>
    <x v="1"/>
    <n v="5"/>
    <n v="5"/>
    <n v="1"/>
    <n v="1"/>
    <n v="2"/>
    <s v="Y"/>
    <n v="2000"/>
    <x v="4"/>
  </r>
  <r>
    <s v="26.10.2019"/>
    <d v="1899-12-30T08:24:00"/>
    <s v="UBF 002E"/>
    <s v="D"/>
    <n v="2"/>
    <s v="Road Vehicle"/>
    <n v="9"/>
    <x v="9"/>
    <x v="1"/>
    <n v="3"/>
    <x v="2"/>
    <s v="KAMPALA TOWN"/>
    <s v="KAMPALA"/>
    <s v="UG"/>
    <n v="2"/>
    <s v="Work"/>
    <s v="HOIMA TOWN"/>
    <s v="HOIMA"/>
    <s v="UG"/>
    <n v="2"/>
    <s v="Work"/>
    <x v="5"/>
    <n v="350000"/>
    <n v="231"/>
    <x v="3"/>
    <n v="7"/>
    <x v="0"/>
    <n v="5"/>
    <s v="Professional"/>
    <n v="5"/>
    <x v="4"/>
    <n v="3"/>
    <n v="2"/>
    <n v="2"/>
    <n v="1"/>
    <n v="1"/>
    <s v="Y"/>
    <n v="5000"/>
    <x v="2"/>
  </r>
  <r>
    <s v="26.10.2019"/>
    <d v="1899-12-30T11:01:00"/>
    <s v="KCB 3011W"/>
    <s v="D"/>
    <n v="2"/>
    <s v="Road Vehicle"/>
    <n v="9"/>
    <x v="9"/>
    <x v="1"/>
    <n v="3"/>
    <x v="2"/>
    <s v="MOMBASA"/>
    <s v="KENYA"/>
    <s v="UG"/>
    <n v="2"/>
    <s v="Work"/>
    <s v="KASESE TOWN"/>
    <s v="KASESE"/>
    <s v="UG"/>
    <n v="4"/>
    <s v="Commercial"/>
    <x v="21"/>
    <n v="1800000"/>
    <n v="1845"/>
    <x v="3"/>
    <n v="72"/>
    <x v="0"/>
    <n v="5"/>
    <s v="Professional"/>
    <n v="5"/>
    <x v="4"/>
    <n v="2"/>
    <n v="2"/>
    <n v="1"/>
    <n v="1"/>
    <n v="1"/>
    <s v="Y"/>
    <m/>
    <x v="0"/>
  </r>
  <r>
    <s v="24.10.2019"/>
    <d v="1899-12-30T05:29:00"/>
    <m/>
    <s v="P"/>
    <n v="2"/>
    <s v="Road Vehicle"/>
    <n v="6"/>
    <x v="1"/>
    <x v="0"/>
    <n v="3"/>
    <x v="2"/>
    <s v="HOIMA TOWN"/>
    <s v="HOIMA"/>
    <s v="UG"/>
    <n v="2"/>
    <s v="Work"/>
    <s v="KAMPALA TOWN"/>
    <s v="KAMPALA"/>
    <s v="UG"/>
    <n v="1"/>
    <s v="Home"/>
    <x v="1"/>
    <n v="20000"/>
    <n v="186"/>
    <x v="2"/>
    <n v="3"/>
    <x v="1"/>
    <n v="5"/>
    <s v="Professional"/>
    <n v="4"/>
    <x v="3"/>
    <n v="2"/>
    <n v="2"/>
    <n v="2"/>
    <n v="2"/>
    <n v="2"/>
    <s v="Y"/>
    <n v="1000"/>
    <x v="1"/>
  </r>
  <r>
    <s v="24.10.2019"/>
    <d v="1899-12-30T15:50:00"/>
    <s v="UBA 869C"/>
    <s v="D"/>
    <n v="2"/>
    <s v="Road Vehicle"/>
    <n v="6"/>
    <x v="1"/>
    <x v="1"/>
    <n v="3"/>
    <x v="2"/>
    <s v="KIRUNGI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2"/>
    <n v="1"/>
    <n v="3"/>
    <n v="4"/>
    <n v="1"/>
    <s v="Y"/>
    <n v="1000"/>
    <x v="1"/>
  </r>
  <r>
    <s v="26.10.2019"/>
    <d v="1899-12-30T12:36:00"/>
    <s v="UBF 256F"/>
    <s v="D"/>
    <n v="2"/>
    <s v="Road Vehicle"/>
    <n v="6"/>
    <x v="1"/>
    <x v="1"/>
    <n v="3"/>
    <x v="2"/>
    <s v="MUBENDE TOWN"/>
    <s v="MUBENDE"/>
    <s v="UG"/>
    <n v="4"/>
    <s v="Commercial"/>
    <s v="KAMPALA TOWN"/>
    <s v="KAMPALA"/>
    <s v="UG"/>
    <n v="4"/>
    <s v="Commercial"/>
    <x v="13"/>
    <n v="70000"/>
    <n v="150"/>
    <x v="2"/>
    <n v="2"/>
    <x v="1"/>
    <n v="5"/>
    <s v="Professional"/>
    <n v="2"/>
    <x v="1"/>
    <n v="1"/>
    <n v="3"/>
    <n v="1"/>
    <n v="2"/>
    <n v="1"/>
    <s v="Y"/>
    <n v="3000"/>
    <x v="5"/>
  </r>
  <r>
    <s v="26.10.2019"/>
    <d v="1899-12-30T09:14:00"/>
    <m/>
    <s v="D"/>
    <n v="2"/>
    <s v="Road Vehicle"/>
    <n v="6"/>
    <x v="1"/>
    <x v="1"/>
    <n v="3"/>
    <x v="2"/>
    <s v="KASESE TOWN"/>
    <s v="KASESE"/>
    <s v="UG"/>
    <n v="2"/>
    <s v="Work"/>
    <s v="KAMPALA TOWN"/>
    <s v="KAMPALA"/>
    <s v="UG"/>
    <n v="2"/>
    <s v="Work"/>
    <x v="5"/>
    <n v="320000"/>
    <n v="396"/>
    <x v="3"/>
    <n v="8"/>
    <x v="0"/>
    <n v="5"/>
    <s v="Professional"/>
    <n v="5"/>
    <x v="4"/>
    <n v="2"/>
    <n v="1"/>
    <n v="1"/>
    <n v="2"/>
    <n v="1"/>
    <s v="Y"/>
    <n v="2000"/>
    <x v="4"/>
  </r>
  <r>
    <s v="26.10.2019"/>
    <d v="1899-12-30T11:21:00"/>
    <m/>
    <s v="P"/>
    <n v="2"/>
    <s v="Road Vehicle"/>
    <n v="6"/>
    <x v="1"/>
    <x v="1"/>
    <n v="3"/>
    <x v="2"/>
    <s v="KASESE TOWN"/>
    <s v="KASESE"/>
    <s v="UG"/>
    <n v="1"/>
    <s v="Home"/>
    <s v="KAMPALA TOWN"/>
    <s v="KAMPALA"/>
    <s v="UG"/>
    <n v="2"/>
    <s v="Work"/>
    <x v="8"/>
    <n v="25000"/>
    <n v="362"/>
    <x v="3"/>
    <n v="9"/>
    <x v="0"/>
    <n v="5"/>
    <s v="Professional"/>
    <n v="5"/>
    <x v="4"/>
    <n v="2"/>
    <n v="2"/>
    <n v="1"/>
    <n v="2"/>
    <n v="1"/>
    <s v="Y"/>
    <n v="2000"/>
    <x v="4"/>
  </r>
  <r>
    <s v="26.10.2019"/>
    <d v="1899-12-30T12:36:00"/>
    <m/>
    <s v="P"/>
    <n v="2"/>
    <s v="Road Vehicle"/>
    <n v="6"/>
    <x v="1"/>
    <x v="1"/>
    <n v="3"/>
    <x v="2"/>
    <s v="KAMPALA TOWN"/>
    <s v="KAMPALA"/>
    <s v="UG"/>
    <n v="2"/>
    <s v="Work"/>
    <s v="KABAROLE TOWN"/>
    <s v="KABAROLE"/>
    <s v="UG"/>
    <n v="2"/>
    <s v="Work"/>
    <x v="5"/>
    <n v="28000"/>
    <n v="366"/>
    <x v="3"/>
    <n v="6"/>
    <x v="0"/>
    <n v="5"/>
    <s v="Professional"/>
    <n v="5"/>
    <x v="4"/>
    <n v="3"/>
    <n v="2"/>
    <n v="1"/>
    <n v="1"/>
    <n v="1"/>
    <s v="Y"/>
    <n v="2000"/>
    <x v="4"/>
  </r>
  <r>
    <s v="26.10.2019"/>
    <d v="1899-12-30T17:12:00"/>
    <m/>
    <s v="D"/>
    <n v="2"/>
    <s v="Road Vehicle"/>
    <n v="6"/>
    <x v="1"/>
    <x v="1"/>
    <n v="3"/>
    <x v="2"/>
    <s v="KAMPALA TOWN"/>
    <s v="KAMPALA"/>
    <s v="UG"/>
    <n v="2"/>
    <s v="Work"/>
    <s v="KASESE TOWN"/>
    <s v="KASESE"/>
    <s v="UG"/>
    <n v="2"/>
    <s v="Work"/>
    <x v="5"/>
    <n v="310000"/>
    <n v="392"/>
    <x v="3"/>
    <n v="8"/>
    <x v="0"/>
    <n v="5"/>
    <s v="Professional"/>
    <n v="5"/>
    <x v="4"/>
    <n v="2"/>
    <n v="1"/>
    <n v="1"/>
    <n v="2"/>
    <n v="2"/>
    <s v="Y"/>
    <n v="4500"/>
    <x v="5"/>
  </r>
  <r>
    <s v="26.10.2019"/>
    <d v="1899-12-30T10:28:00"/>
    <s v="UAY 239J"/>
    <s v="D"/>
    <n v="2"/>
    <s v="Road Vehicle"/>
    <n v="7"/>
    <x v="2"/>
    <x v="1"/>
    <n v="3"/>
    <x v="2"/>
    <s v="NABIGOOLA"/>
    <s v="MUBENDE"/>
    <s v="UG"/>
    <n v="2"/>
    <s v="Work"/>
    <s v="MITYANA TOWN"/>
    <s v="MITYANA"/>
    <s v="UG"/>
    <n v="8"/>
    <s v="Others"/>
    <x v="6"/>
    <n v="70000"/>
    <n v="28"/>
    <x v="5"/>
    <n v="1"/>
    <x v="2"/>
    <n v="10"/>
    <s v="Other"/>
    <n v="1"/>
    <x v="2"/>
    <n v="5"/>
    <n v="4"/>
    <n v="3"/>
    <n v="5"/>
    <n v="5"/>
    <s v="Y"/>
    <n v="1000"/>
    <x v="1"/>
  </r>
  <r>
    <s v="26.10.2019"/>
    <d v="1899-12-30T09:56:00"/>
    <s v="UBA 319V"/>
    <s v="D"/>
    <n v="2"/>
    <s v="Road Vehicle"/>
    <n v="5"/>
    <x v="5"/>
    <x v="1"/>
    <n v="3"/>
    <x v="2"/>
    <s v="KAMPALA TOWN"/>
    <s v="KAMPALA"/>
    <s v="UG"/>
    <n v="1"/>
    <s v="Home"/>
    <s v="MUBENDE TOWN"/>
    <s v="MUB"/>
    <s v="UG"/>
    <n v="6"/>
    <s v="Leisure/Social"/>
    <x v="3"/>
    <n v="180000"/>
    <n v="149"/>
    <x v="2"/>
    <n v="4"/>
    <x v="0"/>
    <n v="6"/>
    <s v="Businessman"/>
    <n v="4"/>
    <x v="3"/>
    <n v="2"/>
    <n v="1"/>
    <n v="1"/>
    <n v="1"/>
    <n v="2"/>
    <s v="Y"/>
    <n v="2000"/>
    <x v="4"/>
  </r>
  <r>
    <s v="26.10.2019"/>
    <d v="1899-12-30T10:39:00"/>
    <s v="UBD 302B"/>
    <s v="D"/>
    <n v="2"/>
    <s v="Road Vehicle"/>
    <n v="5"/>
    <x v="5"/>
    <x v="1"/>
    <n v="3"/>
    <x v="2"/>
    <s v="HOIMA TOWN"/>
    <s v="HOIMA"/>
    <s v="UG"/>
    <n v="2"/>
    <s v="Work"/>
    <s v="ENTEBBE"/>
    <s v="WAKISO"/>
    <s v="UG"/>
    <n v="6"/>
    <s v="Leisure/Social"/>
    <x v="22"/>
    <n v="300000"/>
    <n v="216"/>
    <x v="3"/>
    <n v="4"/>
    <x v="0"/>
    <n v="5"/>
    <s v="Professional"/>
    <n v="5"/>
    <x v="4"/>
    <n v="1"/>
    <n v="1"/>
    <n v="1"/>
    <n v="1"/>
    <n v="1"/>
    <s v="Y"/>
    <n v="5000"/>
    <x v="2"/>
  </r>
  <r>
    <s v="26.10.2019"/>
    <d v="1899-12-30T10:52:00"/>
    <s v="UG 0461H"/>
    <s v="D"/>
    <n v="2"/>
    <s v="Road Vehicle"/>
    <n v="5"/>
    <x v="5"/>
    <x v="1"/>
    <n v="3"/>
    <x v="2"/>
    <s v="KASESE TOWN"/>
    <s v="KASESE"/>
    <s v="UG"/>
    <n v="2"/>
    <s v="Work"/>
    <s v="KAMPALA TOWN"/>
    <s v="KAMPALA"/>
    <s v="UG"/>
    <n v="2"/>
    <s v="Work"/>
    <x v="5"/>
    <n v="300000"/>
    <n v="362"/>
    <x v="3"/>
    <n v="5"/>
    <x v="0"/>
    <n v="5"/>
    <s v="Professional"/>
    <n v="5"/>
    <x v="4"/>
    <n v="2"/>
    <n v="2"/>
    <n v="1"/>
    <n v="1"/>
    <n v="2"/>
    <s v="Y"/>
    <m/>
    <x v="0"/>
  </r>
  <r>
    <s v="26.10.2019"/>
    <d v="1899-12-30T11:09:00"/>
    <s v="UBE 110S"/>
    <s v="D"/>
    <n v="2"/>
    <s v="Road Vehicle"/>
    <n v="8"/>
    <x v="8"/>
    <x v="1"/>
    <n v="3"/>
    <x v="2"/>
    <s v="TORORO TOWN"/>
    <s v="TORORO"/>
    <s v="UG"/>
    <n v="2"/>
    <s v="Work"/>
    <s v="HOIMA TOWN"/>
    <s v="HOIMA"/>
    <s v="UG"/>
    <n v="4"/>
    <s v="Commercial"/>
    <x v="21"/>
    <n v="350000"/>
    <n v="549"/>
    <x v="3"/>
    <n v="11"/>
    <x v="0"/>
    <n v="5"/>
    <s v="Professional"/>
    <n v="5"/>
    <x v="4"/>
    <n v="4"/>
    <n v="2"/>
    <n v="1"/>
    <n v="1"/>
    <n v="1"/>
    <s v="Y"/>
    <m/>
    <x v="0"/>
  </r>
  <r>
    <s v="26.10.2019"/>
    <d v="1899-12-30T13:09:00"/>
    <s v="UAS 403M"/>
    <s v="D"/>
    <n v="2"/>
    <s v="Road Vehicle"/>
    <n v="8"/>
    <x v="8"/>
    <x v="1"/>
    <n v="3"/>
    <x v="2"/>
    <s v="KISEKENDE"/>
    <s v="MUBENDE"/>
    <s v="UG"/>
    <n v="2"/>
    <s v="Work"/>
    <s v="MUBENDE TOWN"/>
    <s v="MUBENDE"/>
    <s v="UG"/>
    <n v="2"/>
    <s v="Work"/>
    <x v="5"/>
    <n v="40000"/>
    <n v="31"/>
    <x v="5"/>
    <n v="0.8"/>
    <x v="3"/>
    <n v="6"/>
    <s v="Businessman"/>
    <n v="4"/>
    <x v="3"/>
    <n v="2"/>
    <n v="2"/>
    <n v="1"/>
    <n v="2"/>
    <n v="2"/>
    <s v="Y"/>
    <n v="1000"/>
    <x v="1"/>
  </r>
  <r>
    <s v="24.10.2019"/>
    <d v="1899-12-30T15:26:00"/>
    <s v="UBC 514T"/>
    <s v="P"/>
    <n v="2"/>
    <s v="Road Vehicle"/>
    <n v="4"/>
    <x v="3"/>
    <x v="0"/>
    <n v="3"/>
    <x v="2"/>
    <s v="KAMPALA TOWN"/>
    <s v="KAMPALA"/>
    <s v="UG"/>
    <n v="2"/>
    <s v="Work"/>
    <s v="KIBEDI TOWN"/>
    <s v="KIBEDI"/>
    <s v="UG"/>
    <n v="1"/>
    <s v="Home"/>
    <x v="1"/>
    <n v="20000"/>
    <n v="240"/>
    <x v="3"/>
    <n v="2.8"/>
    <x v="1"/>
    <n v="4"/>
    <s v="Office Worker"/>
    <n v="1"/>
    <x v="2"/>
    <n v="5"/>
    <n v="5"/>
    <n v="1"/>
    <n v="1"/>
    <n v="5"/>
    <s v="Y"/>
    <n v="5000"/>
    <x v="2"/>
  </r>
  <r>
    <s v="24.10.2019"/>
    <d v="1899-12-30T15:56:00"/>
    <m/>
    <s v="P"/>
    <n v="2"/>
    <s v="Road Vehicle"/>
    <n v="4"/>
    <x v="3"/>
    <x v="0"/>
    <n v="3"/>
    <x v="2"/>
    <s v="MUBENDE TOWN"/>
    <s v="MUBENDE"/>
    <s v="UG"/>
    <n v="1"/>
    <s v="Home"/>
    <s v="MUBENDE TOWN"/>
    <s v="MUBENDE"/>
    <s v="UG"/>
    <n v="2"/>
    <s v="Work"/>
    <x v="8"/>
    <n v="20000"/>
    <n v="1"/>
    <x v="4"/>
    <n v="0.5"/>
    <x v="3"/>
    <n v="5"/>
    <s v="Professional"/>
    <n v="2"/>
    <x v="1"/>
    <n v="1"/>
    <n v="1"/>
    <n v="5"/>
    <n v="3"/>
    <n v="5"/>
    <s v="Y"/>
    <n v="1000"/>
    <x v="1"/>
  </r>
  <r>
    <s v="24.10.2019"/>
    <d v="1899-12-30T16:37:00"/>
    <s v="UBC 414W"/>
    <s v="D"/>
    <n v="2"/>
    <s v="Road Vehicle"/>
    <n v="4"/>
    <x v="3"/>
    <x v="0"/>
    <n v="3"/>
    <x v="2"/>
    <s v="MITYANA TOWN"/>
    <s v="MITYANA"/>
    <s v="UG"/>
    <n v="1"/>
    <s v="Home"/>
    <s v="KAKUMIRO TOWN "/>
    <s v="KAKUMIRO"/>
    <s v="UG"/>
    <n v="2"/>
    <s v="Work"/>
    <x v="8"/>
    <n v="600000"/>
    <n v="120"/>
    <x v="2"/>
    <n v="2"/>
    <x v="1"/>
    <n v="7"/>
    <s v="Farmer"/>
    <n v="1"/>
    <x v="2"/>
    <n v="5"/>
    <n v="5"/>
    <n v="5"/>
    <n v="5"/>
    <n v="5"/>
    <s v="Y"/>
    <m/>
    <x v="0"/>
  </r>
  <r>
    <s v="24.10.2019"/>
    <d v="1899-12-30T17:03:00"/>
    <s v="UBD 251W"/>
    <s v="D"/>
    <n v="2"/>
    <s v="Road Vehicle"/>
    <n v="4"/>
    <x v="3"/>
    <x v="0"/>
    <n v="3"/>
    <x v="2"/>
    <s v="MUBENDE TOWN"/>
    <s v="MUBENDE"/>
    <s v="UG"/>
    <n v="4"/>
    <s v="Commercial"/>
    <s v="KARUGUZA TOWN"/>
    <s v="KIBALAE"/>
    <s v="UG"/>
    <n v="4"/>
    <s v="Commercial"/>
    <x v="13"/>
    <n v="15000"/>
    <n v="150"/>
    <x v="2"/>
    <n v="1.9"/>
    <x v="2"/>
    <n v="5"/>
    <s v="Professional"/>
    <n v="3"/>
    <x v="0"/>
    <n v="5"/>
    <n v="5"/>
    <n v="1"/>
    <n v="5"/>
    <n v="1"/>
    <s v="Y"/>
    <m/>
    <x v="0"/>
  </r>
  <r>
    <s v="24.10.2019"/>
    <d v="1899-12-30T17:39:00"/>
    <m/>
    <s v="P"/>
    <n v="2"/>
    <s v="Road Vehicle"/>
    <n v="4"/>
    <x v="3"/>
    <x v="0"/>
    <n v="3"/>
    <x v="2"/>
    <s v="MUBENDE TOWN"/>
    <s v="MUBENDE"/>
    <s v="UG"/>
    <n v="1"/>
    <s v="Home"/>
    <s v="MITYANA TOWN"/>
    <s v="MITYANA"/>
    <s v="UG"/>
    <n v="2"/>
    <s v="Work"/>
    <x v="8"/>
    <n v="7000"/>
    <n v="58"/>
    <x v="1"/>
    <n v="1"/>
    <x v="2"/>
    <n v="7"/>
    <s v="Farmer"/>
    <n v="2"/>
    <x v="1"/>
    <n v="1"/>
    <n v="1"/>
    <n v="1"/>
    <n v="3"/>
    <n v="5"/>
    <s v="Y"/>
    <n v="2000"/>
    <x v="4"/>
  </r>
  <r>
    <s v="24.10.2019"/>
    <d v="1899-12-30T17:30:00"/>
    <m/>
    <s v="P"/>
    <n v="2"/>
    <s v="Road Vehicle"/>
    <n v="4"/>
    <x v="3"/>
    <x v="0"/>
    <n v="3"/>
    <x v="2"/>
    <s v="KASAAJA"/>
    <s v="MUBENDE"/>
    <s v="UG"/>
    <n v="2"/>
    <s v="Work"/>
    <s v="LUWERO TOWN"/>
    <s v="LUWERO"/>
    <s v="UG"/>
    <n v="1"/>
    <s v="Home"/>
    <x v="1"/>
    <n v="10000"/>
    <n v="42"/>
    <x v="1"/>
    <n v="2"/>
    <x v="1"/>
    <n v="6"/>
    <s v="Businessman"/>
    <n v="1"/>
    <x v="2"/>
    <n v="5"/>
    <n v="4"/>
    <n v="1"/>
    <n v="5"/>
    <n v="3"/>
    <s v="Y"/>
    <m/>
    <x v="0"/>
  </r>
  <r>
    <s v="25.10.2019"/>
    <d v="1899-12-30T08:44:00"/>
    <m/>
    <s v="P"/>
    <n v="2"/>
    <s v="Road Vehicle"/>
    <n v="4"/>
    <x v="3"/>
    <x v="0"/>
    <n v="3"/>
    <x v="2"/>
    <s v="BUSESA"/>
    <s v="KIBALE"/>
    <s v="UG"/>
    <n v="1"/>
    <s v="Home"/>
    <s v="MUBENDE TOWN"/>
    <s v="MUBENDE"/>
    <s v="UG"/>
    <n v="1"/>
    <s v="Home"/>
    <x v="2"/>
    <n v="15000"/>
    <n v="46"/>
    <x v="1"/>
    <n v="1"/>
    <x v="2"/>
    <n v="6"/>
    <s v="Businessman"/>
    <n v="3"/>
    <x v="0"/>
    <n v="5"/>
    <n v="4"/>
    <n v="5"/>
    <n v="1"/>
    <n v="1"/>
    <s v="Y"/>
    <n v="2000"/>
    <x v="4"/>
  </r>
  <r>
    <s v="25.10.2019"/>
    <d v="1899-12-30T09:48:00"/>
    <m/>
    <s v="P"/>
    <n v="2"/>
    <s v="Road Vehicle"/>
    <n v="4"/>
    <x v="3"/>
    <x v="0"/>
    <n v="3"/>
    <x v="2"/>
    <s v="KASAJJA"/>
    <s v="MUBENDE"/>
    <s v="UG"/>
    <n v="1"/>
    <s v="Home"/>
    <s v="MUBENDE TOWN"/>
    <s v="MUBENDE"/>
    <s v="UG"/>
    <n v="2"/>
    <s v="Work"/>
    <x v="8"/>
    <n v="5000"/>
    <n v="140"/>
    <x v="2"/>
    <n v="1"/>
    <x v="2"/>
    <n v="7"/>
    <s v="Farmer"/>
    <n v="2"/>
    <x v="1"/>
    <n v="5"/>
    <n v="5"/>
    <n v="1"/>
    <n v="5"/>
    <n v="4"/>
    <s v="Y"/>
    <m/>
    <x v="0"/>
  </r>
  <r>
    <s v="25.10.2019"/>
    <m/>
    <m/>
    <s v="P"/>
    <n v="2"/>
    <s v="Road Vehicle"/>
    <n v="4"/>
    <x v="3"/>
    <x v="0"/>
    <n v="3"/>
    <x v="2"/>
    <s v="KIYUNI"/>
    <s v="MUBENDE"/>
    <s v="UG"/>
    <n v="1"/>
    <s v="Home"/>
    <s v="MUBENDE TOWN"/>
    <s v="MUBV"/>
    <s v="UG"/>
    <n v="2"/>
    <s v="Work"/>
    <x v="8"/>
    <m/>
    <n v="21"/>
    <x v="5"/>
    <n v="0.3"/>
    <x v="4"/>
    <n v="6"/>
    <s v="Businessman"/>
    <n v="2"/>
    <x v="1"/>
    <n v="5"/>
    <n v="5"/>
    <n v="5"/>
    <n v="5"/>
    <n v="5"/>
    <s v="Y"/>
    <n v="3000"/>
    <x v="5"/>
  </r>
  <r>
    <s v="25.10.2019"/>
    <d v="1899-12-30T16:46:00"/>
    <m/>
    <s v="P"/>
    <n v="2"/>
    <s v="Road Vehicle"/>
    <n v="4"/>
    <x v="3"/>
    <x v="0"/>
    <n v="3"/>
    <x v="2"/>
    <s v="KAKUMIRO TOWN"/>
    <s v="KAKUMIRO"/>
    <s v="UG"/>
    <n v="4"/>
    <s v="Commercial"/>
    <s v="MUBENDE TOWN"/>
    <s v="MUB"/>
    <s v="UG"/>
    <n v="4"/>
    <s v="Commercial"/>
    <x v="13"/>
    <n v="15000"/>
    <n v="32"/>
    <x v="5"/>
    <n v="33"/>
    <x v="0"/>
    <n v="6"/>
    <s v="Businessman"/>
    <n v="3"/>
    <x v="0"/>
    <n v="5"/>
    <n v="5"/>
    <n v="5"/>
    <n v="5"/>
    <n v="5"/>
    <s v="Y"/>
    <n v="5000"/>
    <x v="2"/>
  </r>
  <r>
    <s v="26.10.2019"/>
    <d v="1899-12-30T08:10:00"/>
    <m/>
    <s v="P"/>
    <n v="2"/>
    <s v="Road Vehicle"/>
    <n v="4"/>
    <x v="3"/>
    <x v="0"/>
    <n v="3"/>
    <x v="2"/>
    <s v="KAKUMIRO TOWN"/>
    <s v="KAKUMIRO"/>
    <s v="UG"/>
    <n v="1"/>
    <s v="Home"/>
    <s v="KAMPALA TOWN"/>
    <s v="KAMPALA"/>
    <s v="UG"/>
    <n v="4"/>
    <s v="Commercial"/>
    <x v="12"/>
    <n v="20000"/>
    <n v="280"/>
    <x v="3"/>
    <n v="2.5"/>
    <x v="1"/>
    <n v="6"/>
    <s v="Businessman"/>
    <n v="3"/>
    <x v="0"/>
    <n v="4"/>
    <n v="5"/>
    <n v="5"/>
    <n v="4"/>
    <n v="5"/>
    <s v="Y"/>
    <n v="3000"/>
    <x v="5"/>
  </r>
  <r>
    <s v="26.10.2019"/>
    <d v="1899-12-30T08:19:00"/>
    <m/>
    <s v="P"/>
    <n v="2"/>
    <s v="Road Vehicle"/>
    <n v="4"/>
    <x v="3"/>
    <x v="0"/>
    <n v="3"/>
    <x v="2"/>
    <s v="KARUGUUZA"/>
    <s v="KIBALE"/>
    <s v="UG"/>
    <n v="1"/>
    <s v="Home"/>
    <s v="KAMPALA TOWN"/>
    <s v="KAMPALA"/>
    <s v="UG"/>
    <n v="4"/>
    <s v="Commercial"/>
    <x v="12"/>
    <n v="20000"/>
    <n v="240"/>
    <x v="3"/>
    <n v="2"/>
    <x v="1"/>
    <n v="6"/>
    <s v="Businessman"/>
    <n v="3"/>
    <x v="0"/>
    <n v="5"/>
    <n v="2"/>
    <n v="4"/>
    <n v="5"/>
    <n v="3"/>
    <s v="Y"/>
    <n v="1000"/>
    <x v="1"/>
  </r>
  <r>
    <s v="26.10.2019"/>
    <d v="1899-12-30T09:36:00"/>
    <m/>
    <s v="P"/>
    <n v="2"/>
    <s v="Road Vehicle"/>
    <n v="4"/>
    <x v="3"/>
    <x v="0"/>
    <n v="3"/>
    <x v="2"/>
    <s v="MUBENDE TOWN"/>
    <s v="MUBENDE"/>
    <s v="UG"/>
    <n v="4"/>
    <s v="Commercial"/>
    <s v="KALELWE"/>
    <s v="KAMPALA"/>
    <s v="UG"/>
    <n v="1"/>
    <s v="Home"/>
    <x v="0"/>
    <n v="10000"/>
    <n v="108"/>
    <x v="2"/>
    <n v="2.5"/>
    <x v="1"/>
    <n v="6"/>
    <s v="Businessman"/>
    <n v="3"/>
    <x v="0"/>
    <n v="5"/>
    <n v="4"/>
    <n v="2"/>
    <n v="1"/>
    <n v="1"/>
    <s v="Y"/>
    <n v="5000"/>
    <x v="2"/>
  </r>
  <r>
    <s v="26.10.2019"/>
    <d v="1899-12-30T11:26:00"/>
    <s v="UAS 527C"/>
    <s v="D"/>
    <n v="2"/>
    <s v="Road Vehicle"/>
    <n v="4"/>
    <x v="3"/>
    <x v="0"/>
    <n v="3"/>
    <x v="2"/>
    <s v="KAGADI TOWN"/>
    <s v="KAGADI"/>
    <s v="UG"/>
    <n v="4"/>
    <s v="Commercial"/>
    <s v="MUBENDE TOWN"/>
    <s v="MUBENDE"/>
    <s v="UG"/>
    <n v="4"/>
    <s v="Commercial"/>
    <x v="13"/>
    <n v="70000"/>
    <n v="240"/>
    <x v="3"/>
    <n v="2"/>
    <x v="1"/>
    <n v="8"/>
    <s v="Student"/>
    <n v="1"/>
    <x v="2"/>
    <n v="5"/>
    <n v="5"/>
    <n v="4"/>
    <n v="1"/>
    <n v="3"/>
    <s v="Y"/>
    <m/>
    <x v="0"/>
  </r>
  <r>
    <s v="26.10.2019"/>
    <d v="1899-12-30T13:39:00"/>
    <m/>
    <s v="P"/>
    <n v="2"/>
    <s v="Road Vehicle"/>
    <n v="4"/>
    <x v="3"/>
    <x v="0"/>
    <n v="3"/>
    <x v="2"/>
    <s v="KASIITA"/>
    <s v="KASIITA"/>
    <s v="UG"/>
    <n v="4"/>
    <s v="Commercial"/>
    <s v="MITYANA TOWN"/>
    <s v="MITYANA"/>
    <s v="UG"/>
    <n v="4"/>
    <s v="Commercial"/>
    <x v="13"/>
    <n v="20000"/>
    <n v="240"/>
    <x v="3"/>
    <n v="2.5"/>
    <x v="1"/>
    <n v="5"/>
    <s v="Professional"/>
    <n v="3"/>
    <x v="0"/>
    <n v="5"/>
    <n v="4"/>
    <n v="1"/>
    <n v="5"/>
    <n v="3"/>
    <s v="Y"/>
    <n v="2000"/>
    <x v="4"/>
  </r>
  <r>
    <s v="26.10.2019"/>
    <d v="1899-12-30T14:06:00"/>
    <m/>
    <s v="P"/>
    <n v="2"/>
    <s v="Road Vehicle"/>
    <n v="4"/>
    <x v="3"/>
    <x v="0"/>
    <n v="3"/>
    <x v="2"/>
    <s v="KIKWAAYA"/>
    <s v="KAKUMIRO"/>
    <s v="UG"/>
    <n v="1"/>
    <s v="Home"/>
    <s v="MUBENDE TOWN"/>
    <s v="MUBENDE"/>
    <s v="UG"/>
    <n v="4"/>
    <s v="Commercial"/>
    <x v="12"/>
    <n v="12000"/>
    <n v="240"/>
    <x v="3"/>
    <n v="2.5"/>
    <x v="1"/>
    <n v="7"/>
    <s v="Farmer"/>
    <n v="2"/>
    <x v="1"/>
    <n v="5"/>
    <n v="5"/>
    <n v="5"/>
    <n v="4"/>
    <n v="3"/>
    <s v="Y"/>
    <n v="5000"/>
    <x v="2"/>
  </r>
  <r>
    <s v="26.10.2019"/>
    <d v="1899-12-30T11:24:00"/>
    <m/>
    <s v="P"/>
    <n v="2"/>
    <s v="Road Vehicle"/>
    <n v="4"/>
    <x v="3"/>
    <x v="0"/>
    <n v="3"/>
    <x v="2"/>
    <s v="NKONDO"/>
    <s v="GAYAZA"/>
    <s v="UG"/>
    <n v="2"/>
    <s v="Work"/>
    <s v="FORTPORTAL TOWN"/>
    <s v="FORTPORTAL"/>
    <s v="UG"/>
    <n v="2"/>
    <s v="Work"/>
    <x v="5"/>
    <n v="23000"/>
    <n v="288"/>
    <x v="3"/>
    <n v="5"/>
    <x v="0"/>
    <n v="4"/>
    <s v="Office Worker"/>
    <n v="4"/>
    <x v="3"/>
    <n v="1"/>
    <n v="1"/>
    <n v="2"/>
    <n v="2"/>
    <n v="1"/>
    <s v="Y"/>
    <m/>
    <x v="0"/>
  </r>
  <r>
    <s v="24.10.2019"/>
    <d v="1899-12-30T15:31:00"/>
    <s v="UAY 422W"/>
    <s v="D"/>
    <n v="2"/>
    <s v="Road Vehicle"/>
    <n v="4"/>
    <x v="3"/>
    <x v="1"/>
    <n v="3"/>
    <x v="2"/>
    <s v="KAMPALA TOWN"/>
    <s v="KAMPALA"/>
    <s v="UG"/>
    <n v="1"/>
    <s v="Home"/>
    <s v="MUBENDE TOWN"/>
    <s v="MUBENDE"/>
    <s v="UG"/>
    <n v="2"/>
    <s v="Work"/>
    <x v="8"/>
    <n v="150000"/>
    <n v="210"/>
    <x v="3"/>
    <n v="2"/>
    <x v="1"/>
    <n v="4"/>
    <s v="Office Worker"/>
    <n v="3"/>
    <x v="0"/>
    <n v="1"/>
    <n v="1"/>
    <n v="1"/>
    <n v="5"/>
    <n v="5"/>
    <s v="Y"/>
    <n v="5000"/>
    <x v="2"/>
  </r>
  <r>
    <s v="24.10.2019"/>
    <d v="1899-12-30T15:42:00"/>
    <s v="UAY 342W"/>
    <s v="D"/>
    <n v="2"/>
    <s v="Road Vehicle"/>
    <n v="4"/>
    <x v="3"/>
    <x v="1"/>
    <n v="3"/>
    <x v="2"/>
    <s v="MUBENDE TOWN"/>
    <s v="MUBENDE"/>
    <s v="UG"/>
    <n v="4"/>
    <s v="Commercial"/>
    <s v="KARUGUZA TOWN"/>
    <s v="KARUGUZA"/>
    <s v="UG"/>
    <n v="4"/>
    <s v="Commercial"/>
    <x v="13"/>
    <n v="80000"/>
    <n v="150"/>
    <x v="2"/>
    <n v="2"/>
    <x v="1"/>
    <n v="5"/>
    <s v="Professional"/>
    <n v="2"/>
    <x v="1"/>
    <n v="1"/>
    <n v="1"/>
    <n v="4"/>
    <n v="5"/>
    <n v="3"/>
    <s v="Y"/>
    <n v="5000"/>
    <x v="2"/>
  </r>
  <r>
    <s v="24.10.2019"/>
    <d v="1899-12-30T16:07:00"/>
    <s v="UBC 447T"/>
    <s v="D"/>
    <n v="2"/>
    <s v="Road Vehicle"/>
    <n v="4"/>
    <x v="3"/>
    <x v="1"/>
    <n v="3"/>
    <x v="2"/>
    <s v="KAMPALA TOWN"/>
    <s v="KAMPALA"/>
    <s v="UG"/>
    <n v="4"/>
    <s v="Commercial"/>
    <s v="KAKUMIRO TOWN "/>
    <s v="KAKUMIRO"/>
    <s v="UG"/>
    <n v="4"/>
    <s v="Commercial"/>
    <x v="13"/>
    <n v="200000"/>
    <n v="230"/>
    <x v="3"/>
    <n v="3"/>
    <x v="1"/>
    <n v="5"/>
    <s v="Professional"/>
    <n v="2"/>
    <x v="1"/>
    <n v="5"/>
    <n v="5"/>
    <n v="5"/>
    <n v="5"/>
    <n v="5"/>
    <s v="Y"/>
    <n v="1000"/>
    <x v="1"/>
  </r>
  <r>
    <s v="24.10.2019"/>
    <d v="1899-12-30T17:26:00"/>
    <s v="UBC 586Y"/>
    <s v="D"/>
    <n v="2"/>
    <s v="Road Vehicle"/>
    <n v="4"/>
    <x v="3"/>
    <x v="1"/>
    <n v="3"/>
    <x v="2"/>
    <s v="MITYANA TOWN"/>
    <s v="MITYANA"/>
    <s v="UG"/>
    <n v="4"/>
    <s v="Commercial"/>
    <s v="MUBENDE TOWN"/>
    <s v="MUBENDE"/>
    <s v="UG"/>
    <n v="4"/>
    <s v="Commercial"/>
    <x v="13"/>
    <n v="400000"/>
    <n v="67"/>
    <x v="1"/>
    <n v="1"/>
    <x v="2"/>
    <n v="5"/>
    <s v="Professional"/>
    <n v="2"/>
    <x v="1"/>
    <n v="1"/>
    <n v="1"/>
    <n v="1"/>
    <n v="1"/>
    <n v="1"/>
    <s v="Y"/>
    <n v="2000"/>
    <x v="4"/>
  </r>
  <r>
    <s v="24.10.2019"/>
    <d v="1899-12-30T18:21:00"/>
    <s v="UBB 312T"/>
    <s v="D"/>
    <n v="2"/>
    <s v="Road Vehicle"/>
    <n v="4"/>
    <x v="3"/>
    <x v="1"/>
    <n v="3"/>
    <x v="2"/>
    <s v="KAKUMIRO TOWN"/>
    <s v="KAKUMIRO"/>
    <s v="UG"/>
    <n v="4"/>
    <s v="Commercial"/>
    <s v="KAGADI TOWN "/>
    <s v="KAGADI"/>
    <s v="UG"/>
    <n v="4"/>
    <s v="Commercial"/>
    <x v="13"/>
    <n v="150000"/>
    <n v="240"/>
    <x v="3"/>
    <n v="4"/>
    <x v="0"/>
    <n v="5"/>
    <s v="Professional"/>
    <n v="2"/>
    <x v="1"/>
    <n v="1"/>
    <n v="1"/>
    <n v="1"/>
    <n v="5"/>
    <n v="3"/>
    <s v="Y"/>
    <n v="5000"/>
    <x v="2"/>
  </r>
  <r>
    <s v="24.10.2019"/>
    <d v="1899-12-30T14:34:00"/>
    <s v="UAP 213V"/>
    <s v="D"/>
    <n v="2"/>
    <s v="Road Vehicle"/>
    <n v="4"/>
    <x v="3"/>
    <x v="1"/>
    <n v="3"/>
    <x v="2"/>
    <s v="MUBENDE TOWN"/>
    <s v="MUBENDE"/>
    <s v="UG"/>
    <n v="4"/>
    <s v="Commercial"/>
    <s v="MITYANA TOWN"/>
    <s v="MITYANA"/>
    <s v="UG"/>
    <n v="4"/>
    <s v="Commercial"/>
    <x v="13"/>
    <n v="30000"/>
    <n v="56"/>
    <x v="1"/>
    <n v="1.5"/>
    <x v="2"/>
    <n v="5"/>
    <s v="Professional"/>
    <n v="2"/>
    <x v="1"/>
    <n v="1"/>
    <n v="1"/>
    <n v="1"/>
    <n v="1"/>
    <n v="1"/>
    <s v="Y"/>
    <m/>
    <x v="0"/>
  </r>
  <r>
    <s v="24.10.2019"/>
    <d v="1899-12-30T17:38:00"/>
    <s v="UBF 619V"/>
    <s v="D"/>
    <n v="2"/>
    <s v="Road Vehicle"/>
    <n v="4"/>
    <x v="3"/>
    <x v="1"/>
    <n v="3"/>
    <x v="2"/>
    <s v="MUBENDE TOWN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5"/>
    <n v="4"/>
    <n v="2"/>
    <n v="2"/>
    <n v="1"/>
    <s v="Y"/>
    <n v="2000"/>
    <x v="4"/>
  </r>
  <r>
    <s v="24.10.2019"/>
    <d v="1899-12-30T15:23:00"/>
    <s v="UAR 616J"/>
    <s v="D"/>
    <n v="2"/>
    <s v="Road Vehicle"/>
    <n v="4"/>
    <x v="3"/>
    <x v="1"/>
    <n v="3"/>
    <x v="2"/>
    <s v="MUBENDE TOWN"/>
    <s v="MUBENDE"/>
    <s v="UG"/>
    <n v="2"/>
    <s v="Work"/>
    <s v="GAYAZA"/>
    <s v="WAKISO"/>
    <s v="UG"/>
    <n v="8"/>
    <s v="Others"/>
    <x v="6"/>
    <n v="70000"/>
    <n v="39"/>
    <x v="5"/>
    <n v="2"/>
    <x v="1"/>
    <n v="10"/>
    <s v="Other"/>
    <n v="1"/>
    <x v="2"/>
    <n v="5"/>
    <n v="4"/>
    <n v="3"/>
    <n v="1"/>
    <n v="5"/>
    <s v="Y"/>
    <n v="1000"/>
    <x v="1"/>
  </r>
  <r>
    <s v="24.10.2019"/>
    <d v="1899-12-30T18:19:00"/>
    <s v="UAB 456D"/>
    <s v="D"/>
    <n v="2"/>
    <s v="Road Vehicle"/>
    <n v="4"/>
    <x v="3"/>
    <x v="1"/>
    <n v="3"/>
    <x v="2"/>
    <s v="MUBENDE TOWN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5"/>
    <n v="4"/>
    <n v="1"/>
    <n v="2"/>
    <n v="1"/>
    <s v="Y"/>
    <n v="2000"/>
    <x v="4"/>
  </r>
  <r>
    <s v="25.10.2019"/>
    <d v="1899-12-30T08:00:00"/>
    <s v="UAQ 706D"/>
    <s v="D"/>
    <n v="2"/>
    <s v="Road Vehicle"/>
    <n v="4"/>
    <x v="3"/>
    <x v="1"/>
    <n v="3"/>
    <x v="2"/>
    <s v="MUBENDE TOWN"/>
    <s v="MU"/>
    <s v="UG"/>
    <n v="4"/>
    <s v="Commercial"/>
    <s v="KARUGUZA TOWN"/>
    <s v="KIBALAE"/>
    <s v="UG"/>
    <n v="4"/>
    <s v="Commercial"/>
    <x v="13"/>
    <n v="30000"/>
    <n v="120"/>
    <x v="2"/>
    <n v="0.4"/>
    <x v="4"/>
    <n v="5"/>
    <s v="Professional"/>
    <n v="3"/>
    <x v="0"/>
    <n v="5"/>
    <n v="1"/>
    <n v="1"/>
    <n v="4"/>
    <n v="5"/>
    <s v="Y"/>
    <n v="3000"/>
    <x v="5"/>
  </r>
  <r>
    <s v="25.10.2019"/>
    <d v="1899-12-30T10:26:00"/>
    <m/>
    <s v="P"/>
    <n v="2"/>
    <s v="Road Vehicle"/>
    <n v="4"/>
    <x v="3"/>
    <x v="1"/>
    <n v="3"/>
    <x v="2"/>
    <s v="KASAMBYA"/>
    <s v="KAKUMIRO"/>
    <s v="UG"/>
    <n v="1"/>
    <s v="Home"/>
    <s v="MUBENDE TOWN"/>
    <s v="MUBENDE"/>
    <s v="UG"/>
    <n v="2"/>
    <s v="Work"/>
    <x v="8"/>
    <n v="4000"/>
    <n v="97"/>
    <x v="0"/>
    <n v="1"/>
    <x v="2"/>
    <n v="4"/>
    <s v="Office Worker"/>
    <n v="3"/>
    <x v="0"/>
    <n v="5"/>
    <n v="5"/>
    <n v="5"/>
    <n v="5"/>
    <n v="5"/>
    <s v="Y"/>
    <n v="2000"/>
    <x v="4"/>
  </r>
  <r>
    <s v="25.10.2019"/>
    <d v="1899-12-30T10:47:00"/>
    <s v="UAQ 706D"/>
    <s v="D"/>
    <n v="2"/>
    <s v="Road Vehicle"/>
    <n v="4"/>
    <x v="3"/>
    <x v="1"/>
    <n v="3"/>
    <x v="2"/>
    <s v="LUSARIRA"/>
    <s v="MUBENDE"/>
    <s v="UG"/>
    <n v="4"/>
    <s v="Commercial"/>
    <s v="MUBENDE TOWN"/>
    <s v="MUBENDE"/>
    <s v="UG"/>
    <n v="4"/>
    <s v="Commercial"/>
    <x v="13"/>
    <n v="20000"/>
    <n v="40"/>
    <x v="1"/>
    <n v="0.7"/>
    <x v="3"/>
    <n v="8"/>
    <s v="Student"/>
    <n v="1"/>
    <x v="2"/>
    <n v="5"/>
    <n v="5"/>
    <n v="5"/>
    <n v="5"/>
    <n v="5"/>
    <s v="Y"/>
    <m/>
    <x v="0"/>
  </r>
  <r>
    <s v="25.10.2019"/>
    <d v="1899-12-30T10:59:00"/>
    <s v="UAZ 952R"/>
    <s v="D"/>
    <n v="2"/>
    <s v="Road Vehicle"/>
    <n v="4"/>
    <x v="3"/>
    <x v="1"/>
    <n v="3"/>
    <x v="2"/>
    <s v="MUBENDE TOWN"/>
    <s v="MUBENDE"/>
    <s v="UG"/>
    <n v="4"/>
    <s v="Commercial"/>
    <s v="MIHITANZIGE"/>
    <s v="MUHITANZIGE"/>
    <s v="UG"/>
    <n v="4"/>
    <s v="Commercial"/>
    <x v="13"/>
    <n v="20000"/>
    <n v="47"/>
    <x v="1"/>
    <n v="1"/>
    <x v="2"/>
    <n v="5"/>
    <s v="Professional"/>
    <n v="2"/>
    <x v="1"/>
    <n v="1"/>
    <n v="1"/>
    <n v="1"/>
    <n v="1"/>
    <n v="1"/>
    <s v="Y"/>
    <m/>
    <x v="0"/>
  </r>
  <r>
    <s v="25.10.2019"/>
    <d v="1899-12-30T13:00:00"/>
    <s v="UBB 123T"/>
    <s v="D"/>
    <n v="2"/>
    <s v="Road Vehicle"/>
    <n v="4"/>
    <x v="3"/>
    <x v="1"/>
    <n v="3"/>
    <x v="2"/>
    <s v="MUBENDE TOWN"/>
    <s v="MUBENDE"/>
    <s v="UG"/>
    <n v="4"/>
    <s v="Commercial"/>
    <s v="MITYANA TOWN"/>
    <s v="MITYANA"/>
    <s v="UG"/>
    <n v="4"/>
    <s v="Commercial"/>
    <x v="13"/>
    <n v="70000"/>
    <n v="50"/>
    <x v="1"/>
    <n v="1"/>
    <x v="2"/>
    <n v="5"/>
    <s v="Professional"/>
    <n v="2"/>
    <x v="1"/>
    <n v="1"/>
    <n v="1"/>
    <n v="1"/>
    <n v="5"/>
    <n v="5"/>
    <s v="Y"/>
    <n v="10000"/>
    <x v="3"/>
  </r>
  <r>
    <s v="25.10.2019"/>
    <d v="1899-12-30T18:58:00"/>
    <s v="UAH 307H"/>
    <s v="D"/>
    <n v="2"/>
    <s v="Road Vehicle"/>
    <n v="4"/>
    <x v="3"/>
    <x v="1"/>
    <n v="3"/>
    <x v="2"/>
    <m/>
    <m/>
    <s v="UG"/>
    <n v="4"/>
    <s v="Commercial"/>
    <m/>
    <m/>
    <s v="UG"/>
    <n v="1"/>
    <s v="Home"/>
    <x v="0"/>
    <m/>
    <m/>
    <x v="4"/>
    <m/>
    <x v="4"/>
    <n v="3"/>
    <s v="Artisan/Domestic"/>
    <n v="2"/>
    <x v="1"/>
    <n v="5"/>
    <n v="5"/>
    <n v="5"/>
    <n v="5"/>
    <n v="5"/>
    <s v="Y"/>
    <m/>
    <x v="0"/>
  </r>
  <r>
    <s v="25.10.2019"/>
    <d v="1899-12-30T16:36:00"/>
    <m/>
    <s v="P"/>
    <n v="2"/>
    <s v="Road Vehicle"/>
    <n v="4"/>
    <x v="3"/>
    <x v="1"/>
    <n v="3"/>
    <x v="2"/>
    <s v="MUBENDE TOWN"/>
    <s v="MUBENDE"/>
    <s v="UG"/>
    <n v="1"/>
    <s v="Home"/>
    <s v="KAMPALA TOWN"/>
    <s v="KAMPALA"/>
    <s v="UG"/>
    <n v="3"/>
    <s v="Study"/>
    <x v="10"/>
    <n v="7000"/>
    <n v="150"/>
    <x v="2"/>
    <n v="2.5"/>
    <x v="1"/>
    <n v="8"/>
    <s v="Student"/>
    <n v="1"/>
    <x v="2"/>
    <n v="1"/>
    <n v="1"/>
    <n v="1"/>
    <n v="1"/>
    <n v="1"/>
    <s v="Y"/>
    <m/>
    <x v="0"/>
  </r>
  <r>
    <s v="25.10.2019"/>
    <d v="1899-12-30T17:46:00"/>
    <s v="UAQ 215Q"/>
    <s v="D"/>
    <n v="2"/>
    <s v="Road Vehicle"/>
    <n v="4"/>
    <x v="3"/>
    <x v="1"/>
    <n v="3"/>
    <x v="2"/>
    <s v="MUBENDE TOWN"/>
    <s v="MUBENDE"/>
    <s v="UG"/>
    <n v="4"/>
    <s v="Commercial"/>
    <s v="KAMPALA TOWN"/>
    <s v="KAMPALA"/>
    <s v="UG"/>
    <n v="4"/>
    <s v="Commercial"/>
    <x v="13"/>
    <n v="12000"/>
    <n v="150"/>
    <x v="2"/>
    <n v="2.5"/>
    <x v="1"/>
    <n v="5"/>
    <s v="Professional"/>
    <n v="1"/>
    <x v="2"/>
    <n v="1"/>
    <n v="1"/>
    <n v="1"/>
    <n v="1"/>
    <n v="1"/>
    <s v="Y"/>
    <n v="500"/>
    <x v="0"/>
  </r>
  <r>
    <s v="25.10.2019"/>
    <d v="1899-12-30T18:38:00"/>
    <s v="UBD 243B"/>
    <s v="D"/>
    <n v="2"/>
    <s v="Road Vehicle"/>
    <n v="4"/>
    <x v="3"/>
    <x v="1"/>
    <n v="3"/>
    <x v="2"/>
    <s v="NYAMARUNDA"/>
    <s v="NYAMARUNDA"/>
    <s v="UG"/>
    <n v="4"/>
    <s v="Commercial"/>
    <s v="MUBENDE TOWN"/>
    <s v="MUBENDE"/>
    <s v="UG"/>
    <n v="4"/>
    <s v="Commercial"/>
    <x v="13"/>
    <n v="4000"/>
    <n v="32"/>
    <x v="5"/>
    <n v="0.5"/>
    <x v="3"/>
    <n v="5"/>
    <s v="Professional"/>
    <n v="1"/>
    <x v="2"/>
    <n v="1"/>
    <n v="1"/>
    <n v="1"/>
    <n v="1"/>
    <n v="1"/>
    <s v="Y"/>
    <m/>
    <x v="0"/>
  </r>
  <r>
    <s v="25.10.2019"/>
    <d v="1899-12-30T11:00:00"/>
    <s v="UBD 858D"/>
    <s v="D"/>
    <n v="2"/>
    <s v="Road Vehicle"/>
    <n v="4"/>
    <x v="3"/>
    <x v="1"/>
    <n v="3"/>
    <x v="2"/>
    <s v="NAMAGOGO"/>
    <s v="MUBENDE"/>
    <s v="UG"/>
    <n v="2"/>
    <s v="Work"/>
    <s v="HOIMA TOWN"/>
    <s v="HOIMA"/>
    <s v="UG"/>
    <n v="8"/>
    <s v="Others"/>
    <x v="6"/>
    <n v="90000"/>
    <n v="60"/>
    <x v="1"/>
    <n v="3"/>
    <x v="1"/>
    <n v="10"/>
    <s v="Other"/>
    <n v="1"/>
    <x v="2"/>
    <n v="5"/>
    <n v="4"/>
    <n v="2"/>
    <n v="1"/>
    <n v="1"/>
    <s v="Y"/>
    <m/>
    <x v="0"/>
  </r>
  <r>
    <s v="25.10.2019"/>
    <d v="1899-12-30T07:40:00"/>
    <s v="UBD 243B"/>
    <s v="D"/>
    <n v="2"/>
    <s v="Road Vehicle"/>
    <n v="4"/>
    <x v="3"/>
    <x v="1"/>
    <n v="3"/>
    <x v="2"/>
    <s v="MUBENDE TOWN"/>
    <s v="MUBENDE"/>
    <s v="UG"/>
    <n v="2"/>
    <s v="Work"/>
    <s v="KAKUMIRO TOWN "/>
    <s v="KAKUMIRO"/>
    <s v="UG"/>
    <n v="8"/>
    <s v="Others"/>
    <x v="6"/>
    <n v="60000"/>
    <n v="25"/>
    <x v="5"/>
    <n v="1"/>
    <x v="2"/>
    <n v="10"/>
    <s v="Other"/>
    <n v="2"/>
    <x v="1"/>
    <n v="5"/>
    <n v="4"/>
    <n v="3"/>
    <n v="5"/>
    <n v="5"/>
    <s v="Y"/>
    <n v="2000"/>
    <x v="4"/>
  </r>
  <r>
    <s v="25.10.2019"/>
    <d v="1899-12-30T07:19:00"/>
    <s v="UAU 215Q"/>
    <s v="D"/>
    <n v="2"/>
    <s v="Road Vehicle"/>
    <n v="4"/>
    <x v="3"/>
    <x v="1"/>
    <n v="3"/>
    <x v="2"/>
    <s v="MUBENDE TOWN"/>
    <s v="MUBENDE"/>
    <s v="UG"/>
    <n v="2"/>
    <s v="Work"/>
    <s v="NALWEEYO"/>
    <s v="NALWEEYO"/>
    <s v="UG"/>
    <n v="8"/>
    <s v="Others"/>
    <x v="6"/>
    <n v="80000"/>
    <n v="65"/>
    <x v="1"/>
    <n v="2.5"/>
    <x v="1"/>
    <n v="10"/>
    <s v="Other"/>
    <n v="1"/>
    <x v="2"/>
    <n v="5"/>
    <n v="4"/>
    <n v="1"/>
    <n v="5"/>
    <n v="2"/>
    <s v="Y"/>
    <n v="2000"/>
    <x v="4"/>
  </r>
  <r>
    <s v="26.10.2019"/>
    <d v="1899-12-30T19:00:00"/>
    <s v="UAB 218C"/>
    <s v="D"/>
    <n v="2"/>
    <s v="Road Vehicle"/>
    <n v="4"/>
    <x v="3"/>
    <x v="1"/>
    <n v="3"/>
    <x v="2"/>
    <s v="MUBENDE TOWN"/>
    <s v="MUBENDE"/>
    <s v="UG"/>
    <n v="2"/>
    <s v="Work"/>
    <s v="KAMPALA TOWN"/>
    <s v="KAMPALA"/>
    <s v="UG"/>
    <n v="8"/>
    <s v="Others"/>
    <x v="6"/>
    <n v="90000"/>
    <n v="50"/>
    <x v="1"/>
    <n v="2"/>
    <x v="1"/>
    <n v="10"/>
    <s v="Other"/>
    <n v="1"/>
    <x v="2"/>
    <n v="5"/>
    <n v="4"/>
    <n v="4"/>
    <n v="5"/>
    <n v="2"/>
    <s v="Y"/>
    <m/>
    <x v="0"/>
  </r>
  <r>
    <s v="26.10.2019"/>
    <d v="1899-12-30T08:00:00"/>
    <s v="UBA 217C"/>
    <s v="D"/>
    <n v="2"/>
    <s v="Road Vehicle"/>
    <n v="4"/>
    <x v="3"/>
    <x v="1"/>
    <n v="3"/>
    <x v="2"/>
    <s v="MUBENDE TOWN"/>
    <s v="MUBENDE"/>
    <s v="UG"/>
    <n v="2"/>
    <s v="Work"/>
    <s v="KAMPALA TOWN"/>
    <s v="KAMPALA"/>
    <s v="UG"/>
    <n v="8"/>
    <s v="Others"/>
    <x v="6"/>
    <n v="80000"/>
    <n v="45"/>
    <x v="1"/>
    <n v="2"/>
    <x v="1"/>
    <n v="10"/>
    <s v="Other"/>
    <n v="1"/>
    <x v="2"/>
    <n v="5"/>
    <n v="4"/>
    <n v="3"/>
    <n v="4"/>
    <n v="5"/>
    <s v="Y"/>
    <m/>
    <x v="0"/>
  </r>
  <r>
    <s v="26.10.2019"/>
    <d v="1899-12-30T10:00:00"/>
    <s v="UBD 858D"/>
    <s v="D"/>
    <n v="2"/>
    <s v="Road Vehicle"/>
    <n v="4"/>
    <x v="3"/>
    <x v="1"/>
    <n v="3"/>
    <x v="2"/>
    <s v="MUKIGAGA"/>
    <s v="MUBENDE"/>
    <s v="UG"/>
    <n v="1"/>
    <s v="Home"/>
    <s v="MITYANA TOWN"/>
    <s v="MITYANA"/>
    <s v="UG"/>
    <n v="8"/>
    <s v="Others"/>
    <x v="4"/>
    <n v="50000"/>
    <n v="30"/>
    <x v="5"/>
    <n v="1.5"/>
    <x v="2"/>
    <n v="10"/>
    <s v="Other"/>
    <n v="1"/>
    <x v="2"/>
    <n v="2"/>
    <n v="4"/>
    <n v="2"/>
    <n v="2"/>
    <n v="1"/>
    <s v="Y"/>
    <n v="2000"/>
    <x v="4"/>
  </r>
  <r>
    <s v="26.10.2019"/>
    <d v="1899-12-30T14:19:00"/>
    <s v="UAZ 952R"/>
    <s v="D"/>
    <n v="2"/>
    <s v="Road Vehicle"/>
    <n v="4"/>
    <x v="3"/>
    <x v="1"/>
    <n v="3"/>
    <x v="2"/>
    <s v="MUBENDE TOWN"/>
    <s v="MUBENDE"/>
    <s v="UG"/>
    <n v="2"/>
    <s v="Work"/>
    <s v="KAMPALA TOWN"/>
    <s v="KAMPALA"/>
    <s v="UG"/>
    <n v="8"/>
    <s v="Others"/>
    <x v="6"/>
    <n v="80000"/>
    <n v="80"/>
    <x v="0"/>
    <n v="2"/>
    <x v="1"/>
    <n v="10"/>
    <s v="Other"/>
    <n v="1"/>
    <x v="2"/>
    <n v="5"/>
    <n v="4"/>
    <n v="5"/>
    <n v="3"/>
    <n v="3"/>
    <s v="Y"/>
    <m/>
    <x v="0"/>
  </r>
  <r>
    <s v="26.10.2019"/>
    <d v="1899-12-30T08:26:00"/>
    <s v="UBB 234T"/>
    <s v="D"/>
    <n v="2"/>
    <s v="Road Vehicle"/>
    <n v="4"/>
    <x v="3"/>
    <x v="1"/>
    <n v="3"/>
    <x v="2"/>
    <s v="KARUGUUZA"/>
    <s v="KIBALE"/>
    <s v="UG"/>
    <n v="4"/>
    <s v="Commercial"/>
    <s v="KAMPALA TOWN"/>
    <s v="KAMPALA"/>
    <s v="UG"/>
    <n v="4"/>
    <s v="Commercial"/>
    <x v="13"/>
    <n v="100000"/>
    <n v="280"/>
    <x v="3"/>
    <n v="2"/>
    <x v="1"/>
    <n v="5"/>
    <s v="Professional"/>
    <n v="2"/>
    <x v="1"/>
    <n v="5"/>
    <n v="1"/>
    <n v="2"/>
    <n v="1"/>
    <n v="1"/>
    <s v="Y"/>
    <n v="5000"/>
    <x v="2"/>
  </r>
  <r>
    <s v="26.10.2019"/>
    <d v="1899-12-30T11:59:00"/>
    <s v="UAY 586W"/>
    <s v="D"/>
    <n v="2"/>
    <s v="Road Vehicle"/>
    <n v="4"/>
    <x v="3"/>
    <x v="1"/>
    <n v="3"/>
    <x v="2"/>
    <s v="MPASANA"/>
    <s v="KAKUMIRO"/>
    <s v="UG"/>
    <n v="4"/>
    <s v="Commercial"/>
    <s v="MUBENDE TOWN"/>
    <s v="MUBENDE"/>
    <s v="UG"/>
    <n v="4"/>
    <s v="Commercial"/>
    <x v="13"/>
    <n v="50000"/>
    <n v="240"/>
    <x v="3"/>
    <n v="2"/>
    <x v="1"/>
    <n v="5"/>
    <s v="Professional"/>
    <n v="3"/>
    <x v="0"/>
    <n v="5"/>
    <n v="4"/>
    <n v="5"/>
    <n v="3"/>
    <n v="4"/>
    <s v="Y"/>
    <n v="2000"/>
    <x v="4"/>
  </r>
  <r>
    <s v="26.10.2019"/>
    <d v="1899-12-30T13:49:00"/>
    <s v="UAS 561Y"/>
    <s v="D"/>
    <n v="2"/>
    <s v="Road Vehicle"/>
    <n v="4"/>
    <x v="3"/>
    <x v="1"/>
    <n v="3"/>
    <x v="2"/>
    <s v="KAMPALA TOWN"/>
    <s v="KAMPALA"/>
    <s v="UG"/>
    <n v="4"/>
    <s v="Commercial"/>
    <s v="FORTPORTAL TOWN"/>
    <s v="FORTPORTAL"/>
    <s v="UG"/>
    <n v="4"/>
    <s v="Commercial"/>
    <x v="13"/>
    <n v="100000"/>
    <n v="340"/>
    <x v="3"/>
    <n v="3"/>
    <x v="1"/>
    <n v="5"/>
    <s v="Professional"/>
    <n v="2"/>
    <x v="1"/>
    <n v="5"/>
    <n v="5"/>
    <n v="1"/>
    <n v="1"/>
    <n v="3"/>
    <s v="Y"/>
    <n v="3000"/>
    <x v="5"/>
  </r>
  <r>
    <s v="26.10.2019"/>
    <d v="1899-12-30T09:46:00"/>
    <m/>
    <s v="P"/>
    <n v="2"/>
    <s v="Road Vehicle"/>
    <n v="4"/>
    <x v="3"/>
    <x v="1"/>
    <n v="3"/>
    <x v="2"/>
    <s v="KAGADI TOWN"/>
    <s v="KAGADI"/>
    <s v="UG"/>
    <n v="1"/>
    <s v="Home"/>
    <s v="KASANDA TOWN"/>
    <s v="KASANDE"/>
    <s v="UG"/>
    <n v="6"/>
    <s v="Leisure/Social"/>
    <x v="3"/>
    <n v="15000"/>
    <n v="83"/>
    <x v="0"/>
    <n v="1"/>
    <x v="2"/>
    <n v="6"/>
    <s v="Businessman"/>
    <n v="3"/>
    <x v="0"/>
    <n v="4"/>
    <n v="3"/>
    <n v="4"/>
    <n v="4"/>
    <n v="4"/>
    <s v="Y"/>
    <m/>
    <x v="0"/>
  </r>
  <r>
    <s v="26.10.2019"/>
    <d v="1899-12-30T08:16:00"/>
    <m/>
    <s v="P"/>
    <n v="2"/>
    <s v="Road Vehicle"/>
    <n v="3"/>
    <x v="6"/>
    <x v="0"/>
    <n v="3"/>
    <x v="2"/>
    <s v="KIGANDA"/>
    <s v="KASANDA"/>
    <s v="UG"/>
    <n v="2"/>
    <s v="Work"/>
    <s v="MUBENDE TOWN"/>
    <s v="MUBENDE"/>
    <s v="UG"/>
    <n v="1"/>
    <s v="Home"/>
    <x v="1"/>
    <n v="4000"/>
    <n v="46"/>
    <x v="1"/>
    <n v="1"/>
    <x v="2"/>
    <n v="6"/>
    <s v="Businessman"/>
    <n v="3"/>
    <x v="0"/>
    <n v="4"/>
    <n v="2"/>
    <n v="3"/>
    <n v="2"/>
    <n v="2"/>
    <s v="Y"/>
    <n v="2000"/>
    <x v="4"/>
  </r>
  <r>
    <s v="26.10.2019"/>
    <d v="1899-12-30T12:00:00"/>
    <s v="UAP 310J"/>
    <s v="D"/>
    <n v="2"/>
    <s v="Road Vehicle"/>
    <n v="3"/>
    <x v="6"/>
    <x v="0"/>
    <n v="3"/>
    <x v="2"/>
    <s v="LWABAGABO"/>
    <s v="MUBENDE"/>
    <s v="UG"/>
    <n v="2"/>
    <s v="Work"/>
    <s v="MUBENDE TOWN"/>
    <s v="MUB"/>
    <s v="UG"/>
    <n v="2"/>
    <s v="Work"/>
    <x v="5"/>
    <n v="10000"/>
    <n v="36"/>
    <x v="5"/>
    <n v="0.7"/>
    <x v="3"/>
    <n v="5"/>
    <s v="Professional"/>
    <n v="5"/>
    <x v="4"/>
    <n v="2"/>
    <n v="1"/>
    <n v="1"/>
    <n v="1"/>
    <n v="1"/>
    <s v="Y"/>
    <n v="2000"/>
    <x v="4"/>
  </r>
  <r>
    <s v="26.10.2019"/>
    <d v="1899-12-30T13:23:00"/>
    <s v="CD 11041U"/>
    <s v="D"/>
    <n v="2"/>
    <s v="Road Vehicle"/>
    <n v="3"/>
    <x v="6"/>
    <x v="1"/>
    <n v="3"/>
    <x v="2"/>
    <s v="HOIMA TOWN"/>
    <s v="HOIMA"/>
    <s v="UG"/>
    <n v="2"/>
    <s v="Work"/>
    <s v="KAMPALA TOWN"/>
    <s v="KAMPALA"/>
    <s v="UG"/>
    <n v="2"/>
    <s v="Work"/>
    <x v="5"/>
    <n v="280000"/>
    <n v="376"/>
    <x v="3"/>
    <n v="4"/>
    <x v="0"/>
    <n v="5"/>
    <s v="Professional"/>
    <n v="5"/>
    <x v="4"/>
    <n v="2"/>
    <n v="2"/>
    <n v="1"/>
    <n v="1"/>
    <n v="1"/>
    <s v="Y"/>
    <m/>
    <x v="0"/>
  </r>
  <r>
    <s v="24.10.2019"/>
    <d v="1899-12-30T16:33:00"/>
    <s v="UBD 437X"/>
    <s v="D"/>
    <n v="2"/>
    <s v="Road Vehicle"/>
    <n v="6"/>
    <x v="1"/>
    <x v="1"/>
    <n v="4"/>
    <x v="3"/>
    <s v="GAYAZA"/>
    <s v="WAKISO"/>
    <s v="UG"/>
    <n v="2"/>
    <s v="Work"/>
    <s v="KASESE TOWN"/>
    <s v="KASESE"/>
    <s v="UG"/>
    <n v="2"/>
    <s v="Work"/>
    <x v="5"/>
    <n v="120000"/>
    <n v="390"/>
    <x v="3"/>
    <n v="3"/>
    <x v="1"/>
    <n v="5"/>
    <s v="Professional"/>
    <n v="5"/>
    <x v="4"/>
    <n v="2"/>
    <n v="2"/>
    <n v="1"/>
    <n v="1"/>
    <n v="2"/>
    <s v="Y"/>
    <n v="4000"/>
    <x v="5"/>
  </r>
  <r>
    <s v="26.10.2019"/>
    <d v="1899-12-30T07:12:00"/>
    <s v="UBB 459B"/>
    <s v="D"/>
    <n v="2"/>
    <s v="Road Vehicle"/>
    <n v="6"/>
    <x v="1"/>
    <x v="1"/>
    <n v="4"/>
    <x v="3"/>
    <s v="KAMPALA TOWN"/>
    <s v="KAMPALA"/>
    <s v="UG"/>
    <n v="2"/>
    <s v="Work"/>
    <s v="KASESE TOWN"/>
    <s v="KASESE"/>
    <s v="UG"/>
    <n v="2"/>
    <s v="Work"/>
    <x v="5"/>
    <n v="350000"/>
    <n v="390"/>
    <x v="3"/>
    <n v="5"/>
    <x v="0"/>
    <n v="5"/>
    <s v="Professional"/>
    <n v="5"/>
    <x v="4"/>
    <n v="2"/>
    <n v="1"/>
    <n v="1"/>
    <n v="2"/>
    <n v="1"/>
    <s v="Y"/>
    <n v="3000"/>
    <x v="5"/>
  </r>
  <r>
    <s v="24.10.2019"/>
    <d v="1899-12-30T14:39:00"/>
    <m/>
    <s v="P"/>
    <n v="2"/>
    <s v="Road Vehicle"/>
    <n v="4"/>
    <x v="3"/>
    <x v="0"/>
    <n v="4"/>
    <x v="3"/>
    <s v="KAMPALA TOWN"/>
    <s v="KAMPALA"/>
    <s v="UG"/>
    <n v="2"/>
    <s v="Work"/>
    <s v="KAKUMIRO TOWN "/>
    <s v="KAKUMIRO"/>
    <s v="UG"/>
    <n v="4"/>
    <s v="Commercial"/>
    <x v="21"/>
    <n v="17000"/>
    <n v="250"/>
    <x v="3"/>
    <n v="3"/>
    <x v="1"/>
    <n v="6"/>
    <s v="Businessman"/>
    <n v="3"/>
    <x v="0"/>
    <n v="5"/>
    <n v="5"/>
    <n v="5"/>
    <n v="5"/>
    <n v="5"/>
    <s v="Y"/>
    <n v="3000"/>
    <x v="5"/>
  </r>
  <r>
    <s v="24.10.2019"/>
    <d v="1899-12-30T16:19:00"/>
    <m/>
    <s v="P"/>
    <n v="2"/>
    <s v="Road Vehicle"/>
    <n v="4"/>
    <x v="3"/>
    <x v="0"/>
    <n v="4"/>
    <x v="3"/>
    <s v="MITYANA TOWN"/>
    <s v="MITYANA"/>
    <s v="UG"/>
    <n v="1"/>
    <s v="Home"/>
    <s v="BUSESA"/>
    <s v="KAKUMIRO"/>
    <s v="UG"/>
    <n v="2"/>
    <s v="Work"/>
    <x v="8"/>
    <n v="15000"/>
    <n v="64"/>
    <x v="1"/>
    <n v="2"/>
    <x v="1"/>
    <n v="7"/>
    <s v="Farmer"/>
    <n v="2"/>
    <x v="1"/>
    <n v="5"/>
    <n v="5"/>
    <n v="5"/>
    <n v="5"/>
    <n v="5"/>
    <s v="Y"/>
    <m/>
    <x v="0"/>
  </r>
  <r>
    <s v="25.10.2019"/>
    <d v="1899-12-30T09:11:00"/>
    <m/>
    <s v="P"/>
    <n v="2"/>
    <s v="Road Vehicle"/>
    <n v="4"/>
    <x v="3"/>
    <x v="0"/>
    <n v="4"/>
    <x v="3"/>
    <s v="LWABAGABA"/>
    <s v="MUBENDE"/>
    <s v="UG"/>
    <n v="4"/>
    <s v="Commercial"/>
    <s v="MUBENDE TOWN"/>
    <s v="MUBENDE"/>
    <s v="UG"/>
    <n v="2"/>
    <s v="Work"/>
    <x v="20"/>
    <n v="30000"/>
    <n v="40"/>
    <x v="1"/>
    <n v="0.7"/>
    <x v="3"/>
    <n v="6"/>
    <s v="Professional"/>
    <n v="2"/>
    <x v="1"/>
    <n v="5"/>
    <n v="4"/>
    <n v="5"/>
    <n v="1"/>
    <n v="1"/>
    <s v="Y"/>
    <n v="1000"/>
    <x v="1"/>
  </r>
  <r>
    <s v="25.10.2019"/>
    <d v="1899-12-30T14:16:00"/>
    <m/>
    <s v="P"/>
    <n v="2"/>
    <s v="Road Vehicle"/>
    <n v="4"/>
    <x v="3"/>
    <x v="0"/>
    <n v="4"/>
    <x v="3"/>
    <s v="MUBENDE TOWN"/>
    <s v="MUBENDE"/>
    <s v="UG"/>
    <n v="2"/>
    <s v="Work"/>
    <s v="BUSESA"/>
    <s v="KAKUMIRO"/>
    <s v="UG"/>
    <n v="1"/>
    <s v="Home"/>
    <x v="1"/>
    <n v="18000"/>
    <n v="283"/>
    <x v="3"/>
    <n v="5"/>
    <x v="0"/>
    <n v="6"/>
    <s v="Businessman"/>
    <n v="2"/>
    <x v="1"/>
    <n v="5"/>
    <n v="5"/>
    <n v="1"/>
    <n v="1"/>
    <n v="5"/>
    <s v="Y"/>
    <n v="3000"/>
    <x v="5"/>
  </r>
  <r>
    <s v="25.10.2019"/>
    <d v="1899-12-30T15:10:00"/>
    <m/>
    <s v="P"/>
    <n v="2"/>
    <s v="Road Vehicle"/>
    <n v="4"/>
    <x v="3"/>
    <x v="0"/>
    <n v="4"/>
    <x v="3"/>
    <s v="KAKUMIRO TOWN"/>
    <s v="KAKUMIRO"/>
    <s v="UG"/>
    <n v="1"/>
    <s v="Home"/>
    <s v="MUBENDE TOWN"/>
    <s v="MUB"/>
    <s v="UG"/>
    <n v="2"/>
    <s v="Work"/>
    <x v="8"/>
    <n v="5000"/>
    <n v="33"/>
    <x v="5"/>
    <n v="0.5"/>
    <x v="3"/>
    <n v="7"/>
    <s v="Farmer"/>
    <n v="3"/>
    <x v="0"/>
    <n v="5"/>
    <n v="5"/>
    <n v="5"/>
    <n v="1"/>
    <n v="1"/>
    <s v="Y"/>
    <m/>
    <x v="0"/>
  </r>
  <r>
    <s v="26.10.2019"/>
    <d v="1899-12-30T08:49:00"/>
    <s v="UAS 553V"/>
    <s v="D"/>
    <n v="2"/>
    <s v="Road Vehicle"/>
    <n v="4"/>
    <x v="3"/>
    <x v="0"/>
    <n v="4"/>
    <x v="3"/>
    <s v="MUBENDE TOWN"/>
    <s v="MUBENDE"/>
    <s v="UG"/>
    <n v="4"/>
    <s v="Commercial"/>
    <s v="MITYANA TOWN"/>
    <s v="MITYANA"/>
    <s v="UG"/>
    <n v="4"/>
    <s v="Commercial"/>
    <x v="13"/>
    <n v="30000"/>
    <n v="70"/>
    <x v="0"/>
    <n v="1"/>
    <x v="2"/>
    <n v="5"/>
    <s v="Professional"/>
    <n v="3"/>
    <x v="0"/>
    <n v="1"/>
    <n v="1"/>
    <n v="2"/>
    <n v="1"/>
    <n v="2"/>
    <s v="Y"/>
    <m/>
    <x v="0"/>
  </r>
  <r>
    <s v="26.10.2019"/>
    <d v="1899-12-30T12:15:00"/>
    <m/>
    <s v="P"/>
    <n v="2"/>
    <s v="Road Vehicle"/>
    <n v="4"/>
    <x v="3"/>
    <x v="0"/>
    <n v="4"/>
    <x v="3"/>
    <s v="MUBENDE TOWN"/>
    <s v="MUBENDE"/>
    <s v="UG"/>
    <n v="4"/>
    <s v="Commercial"/>
    <s v="MITYANA TOWN"/>
    <s v="MITYANA"/>
    <s v="UG"/>
    <n v="1"/>
    <s v="Home"/>
    <x v="0"/>
    <n v="7000"/>
    <n v="108"/>
    <x v="2"/>
    <n v="2"/>
    <x v="1"/>
    <n v="6"/>
    <s v="Businessman"/>
    <n v="2"/>
    <x v="1"/>
    <n v="1"/>
    <n v="5"/>
    <n v="4"/>
    <n v="1"/>
    <n v="1"/>
    <s v="Y"/>
    <n v="2000"/>
    <x v="4"/>
  </r>
  <r>
    <s v="26.10.2019"/>
    <d v="1899-12-30T12:22:00"/>
    <m/>
    <s v="D"/>
    <n v="2"/>
    <s v="Road Vehicle"/>
    <n v="4"/>
    <x v="3"/>
    <x v="0"/>
    <n v="4"/>
    <x v="3"/>
    <s v="KAKUMIRO TOWN"/>
    <s v="KAKUMIRO"/>
    <s v="UG"/>
    <n v="4"/>
    <s v="Commercial"/>
    <s v="MUBENDE TOWN"/>
    <s v="MUBENDE"/>
    <s v="UG"/>
    <n v="4"/>
    <s v="Commercial"/>
    <x v="13"/>
    <n v="40000"/>
    <n v="240"/>
    <x v="3"/>
    <n v="2.5"/>
    <x v="1"/>
    <n v="5"/>
    <s v="Professional"/>
    <n v="2"/>
    <x v="1"/>
    <n v="5"/>
    <n v="5"/>
    <n v="1"/>
    <n v="1"/>
    <n v="5"/>
    <s v="Y"/>
    <n v="3000"/>
    <x v="5"/>
  </r>
  <r>
    <s v="24.10.2019"/>
    <d v="1899-12-30T16:00:00"/>
    <s v="UAY 412T"/>
    <s v="D"/>
    <n v="2"/>
    <s v="Road Vehicle"/>
    <n v="4"/>
    <x v="3"/>
    <x v="1"/>
    <n v="4"/>
    <x v="3"/>
    <s v="MUBENDE TOWN"/>
    <s v="MUBENDE"/>
    <s v="UG"/>
    <n v="4"/>
    <s v="Commercial"/>
    <s v="MITYANA TOWN"/>
    <s v="MITYANA"/>
    <s v="UG"/>
    <n v="4"/>
    <s v="Commercial"/>
    <x v="13"/>
    <n v="70000"/>
    <n v="150"/>
    <x v="2"/>
    <n v="2"/>
    <x v="1"/>
    <n v="5"/>
    <s v="Professional"/>
    <n v="2"/>
    <x v="1"/>
    <n v="5"/>
    <n v="5"/>
    <n v="5"/>
    <n v="5"/>
    <n v="5"/>
    <s v="Y"/>
    <n v="5000"/>
    <x v="2"/>
  </r>
  <r>
    <s v="24.10.2019"/>
    <d v="1899-12-30T17:16:00"/>
    <s v="UBA 001V"/>
    <s v="D"/>
    <n v="2"/>
    <s v="Road Vehicle"/>
    <n v="4"/>
    <x v="3"/>
    <x v="1"/>
    <n v="4"/>
    <x v="3"/>
    <s v="MITYANA TOWN"/>
    <s v="MITYANA"/>
    <s v="UG"/>
    <n v="4"/>
    <s v="Commercial"/>
    <s v="KAKUMIRO TOWN "/>
    <s v="KAKUMIRO"/>
    <s v="UG"/>
    <n v="4"/>
    <s v="Commercial"/>
    <x v="13"/>
    <n v="80000"/>
    <n v="126"/>
    <x v="2"/>
    <n v="2"/>
    <x v="1"/>
    <n v="5"/>
    <s v="Professional"/>
    <n v="2"/>
    <x v="1"/>
    <n v="5"/>
    <n v="5"/>
    <n v="5"/>
    <n v="5"/>
    <n v="5"/>
    <s v="Y"/>
    <n v="3000"/>
    <x v="5"/>
  </r>
  <r>
    <s v="24.10.2019"/>
    <d v="1899-12-30T17:22:00"/>
    <s v="UAY 341Y"/>
    <s v="D"/>
    <n v="2"/>
    <s v="Road Vehicle"/>
    <n v="4"/>
    <x v="3"/>
    <x v="1"/>
    <n v="4"/>
    <x v="3"/>
    <s v="KAMPALA TOWN"/>
    <s v="KAMPALA"/>
    <s v="UG"/>
    <n v="4"/>
    <s v="Commercial"/>
    <s v="KAKUMIRO TOWN "/>
    <s v="KAKUMIRO"/>
    <s v="UG"/>
    <n v="4"/>
    <s v="Commercial"/>
    <x v="13"/>
    <n v="100000"/>
    <n v="270"/>
    <x v="3"/>
    <n v="3"/>
    <x v="1"/>
    <n v="5"/>
    <s v="Professional"/>
    <n v="2"/>
    <x v="1"/>
    <n v="1"/>
    <n v="1"/>
    <n v="5"/>
    <n v="5"/>
    <n v="5"/>
    <s v="Y"/>
    <n v="2000"/>
    <x v="4"/>
  </r>
  <r>
    <s v="24.10.2019"/>
    <d v="1899-12-30T18:12:00"/>
    <s v="UAY 256X"/>
    <s v="D"/>
    <n v="2"/>
    <s v="Road Vehicle"/>
    <n v="4"/>
    <x v="3"/>
    <x v="1"/>
    <n v="4"/>
    <x v="3"/>
    <s v="MUBENDE TOWN"/>
    <s v="MUBENDE"/>
    <s v="UG"/>
    <n v="4"/>
    <s v="Commercial"/>
    <s v="KAKUMIRO TOWN "/>
    <s v="KAKUMIRO"/>
    <s v="UG"/>
    <n v="4"/>
    <s v="Commercial"/>
    <x v="13"/>
    <n v="800000"/>
    <n v="210"/>
    <x v="3"/>
    <n v="3"/>
    <x v="1"/>
    <n v="5"/>
    <s v="Professional"/>
    <n v="2"/>
    <x v="1"/>
    <n v="1"/>
    <n v="1"/>
    <n v="5"/>
    <n v="5"/>
    <n v="5"/>
    <s v="Y"/>
    <m/>
    <x v="0"/>
  </r>
  <r>
    <s v="25.10.2019"/>
    <d v="1899-12-30T07:49:00"/>
    <m/>
    <s v="P"/>
    <n v="2"/>
    <s v="Road Vehicle"/>
    <n v="4"/>
    <x v="3"/>
    <x v="1"/>
    <n v="4"/>
    <x v="3"/>
    <s v="NAMAGONJO"/>
    <s v="MU"/>
    <s v="UG"/>
    <n v="4"/>
    <s v="Commercial"/>
    <s v="MUBENDE TOWN"/>
    <s v="MUBENDE"/>
    <s v="UG"/>
    <n v="4"/>
    <s v="Commercial"/>
    <x v="13"/>
    <n v="40000"/>
    <n v="150"/>
    <x v="2"/>
    <n v="1.5"/>
    <x v="2"/>
    <n v="1"/>
    <s v="Unemployed"/>
    <n v="1"/>
    <x v="2"/>
    <n v="5"/>
    <n v="5"/>
    <n v="5"/>
    <n v="5"/>
    <n v="5"/>
    <s v="Y"/>
    <m/>
    <x v="0"/>
  </r>
  <r>
    <s v="25.10.2019"/>
    <d v="1899-12-30T08:11:00"/>
    <s v="UBA 551T"/>
    <s v="D"/>
    <n v="2"/>
    <s v="Road Vehicle"/>
    <n v="4"/>
    <x v="3"/>
    <x v="1"/>
    <n v="4"/>
    <x v="3"/>
    <s v="KAMPALA TOWN"/>
    <s v="KAMPALA"/>
    <s v="UG"/>
    <n v="4"/>
    <s v="Commercial"/>
    <s v="KAKUMIRO TOWN "/>
    <s v="KAKUMIRO"/>
    <s v="UG"/>
    <n v="4"/>
    <s v="Commercial"/>
    <x v="13"/>
    <n v="30000"/>
    <n v="40"/>
    <x v="1"/>
    <n v="0.7"/>
    <x v="3"/>
    <n v="5"/>
    <s v="Professional"/>
    <n v="3"/>
    <x v="0"/>
    <n v="5"/>
    <n v="5"/>
    <n v="5"/>
    <n v="1"/>
    <n v="1"/>
    <s v="Y"/>
    <n v="4000"/>
    <x v="5"/>
  </r>
  <r>
    <s v="25.10.2019"/>
    <d v="1899-12-30T08:36:00"/>
    <m/>
    <s v="P"/>
    <n v="2"/>
    <s v="Road Vehicle"/>
    <n v="4"/>
    <x v="3"/>
    <x v="1"/>
    <n v="4"/>
    <x v="3"/>
    <s v="MUBENDE TOWN"/>
    <s v="MU"/>
    <s v="UG"/>
    <n v="4"/>
    <s v="Commercial"/>
    <s v="KASAMBYA"/>
    <s v="MUBENDE"/>
    <s v="UG"/>
    <n v="4"/>
    <s v="Commercial"/>
    <x v="13"/>
    <n v="70000"/>
    <n v="180"/>
    <x v="2"/>
    <n v="1.5"/>
    <x v="2"/>
    <n v="5"/>
    <s v="Professional"/>
    <n v="2"/>
    <x v="1"/>
    <n v="5"/>
    <n v="5"/>
    <n v="4"/>
    <n v="3"/>
    <n v="5"/>
    <s v="Y"/>
    <n v="2000"/>
    <x v="4"/>
  </r>
  <r>
    <s v="25.10.2019"/>
    <d v="1899-12-30T12:42:00"/>
    <m/>
    <s v="P"/>
    <n v="2"/>
    <s v="Road Vehicle"/>
    <n v="4"/>
    <x v="3"/>
    <x v="1"/>
    <n v="4"/>
    <x v="3"/>
    <s v="MUKIGOGO"/>
    <s v="MUBENDE"/>
    <s v="UG"/>
    <n v="4"/>
    <s v="Commercial"/>
    <s v="MUBENDE TOWN"/>
    <s v="MUB"/>
    <s v="UG"/>
    <n v="2"/>
    <s v="Work"/>
    <x v="20"/>
    <n v="2000"/>
    <n v="34"/>
    <x v="5"/>
    <n v="2"/>
    <x v="1"/>
    <n v="6"/>
    <s v="Businessman"/>
    <n v="1"/>
    <x v="2"/>
    <n v="5"/>
    <n v="5"/>
    <n v="5"/>
    <n v="1"/>
    <n v="1"/>
    <s v="Y"/>
    <m/>
    <x v="0"/>
  </r>
  <r>
    <s v="25.10.2019"/>
    <d v="1899-12-30T13:37:00"/>
    <s v="UBA 712B"/>
    <s v="D"/>
    <n v="2"/>
    <s v="Road Vehicle"/>
    <n v="4"/>
    <x v="3"/>
    <x v="1"/>
    <n v="4"/>
    <x v="3"/>
    <s v="KAGADI TOWN"/>
    <s v="KAGADI"/>
    <s v="UG"/>
    <n v="4"/>
    <s v="Commercial"/>
    <s v="KAKUMIRO TOWN "/>
    <s v="KAKUMIRO"/>
    <s v="UG"/>
    <n v="4"/>
    <s v="Commercial"/>
    <x v="13"/>
    <n v="90000"/>
    <n v="106"/>
    <x v="2"/>
    <n v="2"/>
    <x v="1"/>
    <n v="5"/>
    <s v="Professional"/>
    <n v="2"/>
    <x v="1"/>
    <n v="5"/>
    <n v="5"/>
    <n v="5"/>
    <n v="1"/>
    <n v="1"/>
    <s v="Y"/>
    <n v="2000"/>
    <x v="4"/>
  </r>
  <r>
    <s v="25.10.2019"/>
    <d v="1899-12-30T14:19:00"/>
    <s v="UBD 858D"/>
    <s v="D"/>
    <n v="2"/>
    <s v="Road Vehicle"/>
    <n v="4"/>
    <x v="3"/>
    <x v="1"/>
    <n v="4"/>
    <x v="3"/>
    <s v="KIYUNI"/>
    <s v="KIYUNI"/>
    <s v="UG"/>
    <n v="4"/>
    <s v="Commercial"/>
    <s v="MUBENDE TOWN"/>
    <s v="MUB"/>
    <s v="UG"/>
    <n v="4"/>
    <s v="Commercial"/>
    <x v="13"/>
    <n v="10000"/>
    <n v="19"/>
    <x v="6"/>
    <n v="0.4"/>
    <x v="4"/>
    <n v="5"/>
    <s v="Professional"/>
    <n v="2"/>
    <x v="1"/>
    <n v="1"/>
    <n v="1"/>
    <n v="1"/>
    <n v="1"/>
    <n v="1"/>
    <s v="Y"/>
    <n v="1000"/>
    <x v="1"/>
  </r>
  <r>
    <s v="26.10.2019"/>
    <d v="1899-12-30T07:42:00"/>
    <s v="UAT 723H"/>
    <s v="D"/>
    <n v="2"/>
    <s v="Road Vehicle"/>
    <n v="4"/>
    <x v="3"/>
    <x v="1"/>
    <n v="4"/>
    <x v="3"/>
    <s v="MUBENDE TOWN"/>
    <s v="MUBENDE"/>
    <s v="UG"/>
    <n v="1"/>
    <s v="Home"/>
    <s v="KAMPALA TOWN"/>
    <s v="KAMPALA"/>
    <s v="UG"/>
    <n v="4"/>
    <s v="Commercial"/>
    <x v="12"/>
    <n v="50000"/>
    <n v="180"/>
    <x v="2"/>
    <n v="1.5"/>
    <x v="2"/>
    <n v="6"/>
    <s v="Businessman"/>
    <n v="2"/>
    <x v="1"/>
    <n v="1"/>
    <n v="2"/>
    <n v="1"/>
    <n v="1"/>
    <n v="1"/>
    <s v="Y"/>
    <n v="1000"/>
    <x v="1"/>
  </r>
  <r>
    <s v="26.10.2019"/>
    <d v="1899-12-30T07:51:00"/>
    <m/>
    <s v="P"/>
    <n v="2"/>
    <s v="Road Vehicle"/>
    <n v="4"/>
    <x v="3"/>
    <x v="1"/>
    <n v="4"/>
    <x v="3"/>
    <s v="MUBENDE TOWN"/>
    <s v="MUBENDE"/>
    <s v="UG"/>
    <n v="1"/>
    <s v="Home"/>
    <s v="KAMPALA TOWN"/>
    <s v="KAMPALA"/>
    <s v="UG"/>
    <n v="4"/>
    <s v="Commercial"/>
    <x v="12"/>
    <n v="10000"/>
    <n v="180"/>
    <x v="2"/>
    <n v="1.5"/>
    <x v="2"/>
    <n v="6"/>
    <s v="Businessman"/>
    <n v="2"/>
    <x v="1"/>
    <n v="5"/>
    <n v="4"/>
    <n v="1"/>
    <n v="1"/>
    <n v="1"/>
    <s v="Y"/>
    <n v="3000"/>
    <x v="5"/>
  </r>
  <r>
    <s v="26.10.2019"/>
    <d v="1899-12-30T13:17:00"/>
    <s v="UAZ 019W"/>
    <s v="D"/>
    <n v="2"/>
    <s v="Road Vehicle"/>
    <n v="4"/>
    <x v="3"/>
    <x v="1"/>
    <n v="4"/>
    <x v="3"/>
    <s v="GAYAZA"/>
    <s v="WAKISO"/>
    <s v="UG"/>
    <n v="4"/>
    <s v="Commercial"/>
    <s v="KAMPALA TOWN"/>
    <s v="KAMPALA"/>
    <s v="UG"/>
    <n v="4"/>
    <s v="Commercial"/>
    <x v="13"/>
    <n v="70000"/>
    <n v="170"/>
    <x v="2"/>
    <n v="2"/>
    <x v="1"/>
    <n v="5"/>
    <s v="Professional"/>
    <n v="2"/>
    <x v="1"/>
    <n v="3"/>
    <n v="4"/>
    <n v="5"/>
    <n v="5"/>
    <n v="4"/>
    <s v="Y"/>
    <n v="3000"/>
    <x v="5"/>
  </r>
  <r>
    <s v="26.10.2019"/>
    <d v="1899-12-30T16:43:00"/>
    <m/>
    <s v="P"/>
    <n v="2"/>
    <s v="Road Vehicle"/>
    <n v="4"/>
    <x v="3"/>
    <x v="1"/>
    <n v="4"/>
    <x v="3"/>
    <s v="MYANSI"/>
    <s v="MITYANA"/>
    <s v="UG"/>
    <n v="6"/>
    <s v="Leisure/Social"/>
    <s v="MUBENDE TOWN"/>
    <s v="MUBENDE"/>
    <s v="UG"/>
    <n v="1"/>
    <s v="Home"/>
    <x v="7"/>
    <n v="8000"/>
    <n v="60"/>
    <x v="1"/>
    <n v="1"/>
    <x v="2"/>
    <n v="4"/>
    <s v="Office Worker"/>
    <n v="3"/>
    <x v="0"/>
    <n v="2"/>
    <n v="2"/>
    <n v="1"/>
    <n v="1"/>
    <n v="2"/>
    <s v="Y"/>
    <n v="1000"/>
    <x v="1"/>
  </r>
  <r>
    <s v="24.10.2019"/>
    <d v="1899-12-30T16:56:00"/>
    <s v="UAK 727C"/>
    <s v="D"/>
    <n v="2"/>
    <s v="Road Vehicle"/>
    <n v="3"/>
    <x v="6"/>
    <x v="1"/>
    <n v="4"/>
    <x v="3"/>
    <s v="KASANJJA"/>
    <s v="MUBENDE"/>
    <s v="UG"/>
    <n v="4"/>
    <s v="Commercial"/>
    <s v="MUBENDE TOWN"/>
    <s v="MUBENDE"/>
    <s v="UG"/>
    <n v="2"/>
    <s v="Work"/>
    <x v="20"/>
    <n v="20000"/>
    <n v="26"/>
    <x v="5"/>
    <n v="0.7"/>
    <x v="3"/>
    <n v="6"/>
    <s v="Businessman"/>
    <n v="4"/>
    <x v="3"/>
    <n v="2"/>
    <n v="2"/>
    <n v="2"/>
    <n v="2"/>
    <n v="2"/>
    <s v="Y"/>
    <n v="3000"/>
    <x v="5"/>
  </r>
  <r>
    <s v="24.10.2019"/>
    <d v="1899-12-30T17:36:00"/>
    <m/>
    <s v="P"/>
    <n v="2"/>
    <s v="Road Vehicle"/>
    <n v="1"/>
    <x v="0"/>
    <x v="1"/>
    <n v="5"/>
    <x v="4"/>
    <s v="MUBENDE TOWN"/>
    <s v="MUBENDE"/>
    <s v="UG"/>
    <n v="1"/>
    <s v="Home"/>
    <s v="MITYANA TOWN"/>
    <s v="MITYANA"/>
    <s v="UG"/>
    <n v="6"/>
    <s v="Leisure/Social"/>
    <x v="3"/>
    <n v="7000"/>
    <n v="67"/>
    <x v="1"/>
    <n v="1.5"/>
    <x v="2"/>
    <n v="9"/>
    <s v="Retired"/>
    <n v="4"/>
    <x v="3"/>
    <n v="5"/>
    <n v="5"/>
    <n v="5"/>
    <n v="5"/>
    <n v="5"/>
    <s v="Y"/>
    <n v="5000"/>
    <x v="2"/>
  </r>
  <r>
    <s v="25.10.2019"/>
    <d v="1899-12-30T10:16:00"/>
    <m/>
    <s v="P"/>
    <n v="2"/>
    <s v="Road Vehicle"/>
    <n v="4"/>
    <x v="3"/>
    <x v="0"/>
    <n v="5"/>
    <x v="4"/>
    <s v="LUSARIRA"/>
    <s v="MUBENDE"/>
    <s v="UG"/>
    <n v="1"/>
    <s v="Home"/>
    <s v="MUBENDE TOWN"/>
    <s v="MUBENDE"/>
    <s v="UG"/>
    <n v="4"/>
    <s v="Commercial"/>
    <x v="12"/>
    <n v="4000"/>
    <n v="40"/>
    <x v="1"/>
    <n v="0.5"/>
    <x v="3"/>
    <n v="6"/>
    <s v="Businessman"/>
    <n v="2"/>
    <x v="1"/>
    <n v="5"/>
    <n v="4"/>
    <n v="1"/>
    <n v="5"/>
    <n v="3"/>
    <s v="Y"/>
    <n v="1000"/>
    <x v="1"/>
  </r>
  <r>
    <s v="25.10.2019"/>
    <d v="1899-12-30T07:32:00"/>
    <m/>
    <s v="P"/>
    <n v="2"/>
    <s v="Road Vehicle"/>
    <n v="4"/>
    <x v="3"/>
    <x v="1"/>
    <n v="5"/>
    <x v="4"/>
    <s v="MUBENDE TOWN"/>
    <s v="MU"/>
    <s v="UG"/>
    <n v="1"/>
    <s v="Home"/>
    <s v="KWANJA"/>
    <s v="MUBENDE"/>
    <s v="UG"/>
    <n v="4"/>
    <s v="Commercial"/>
    <x v="12"/>
    <n v="5000"/>
    <n v="46"/>
    <x v="1"/>
    <n v="0.7"/>
    <x v="3"/>
    <n v="3"/>
    <s v="Artisan/Domestic"/>
    <n v="2"/>
    <x v="1"/>
    <n v="4"/>
    <n v="3"/>
    <n v="1"/>
    <n v="1"/>
    <n v="3"/>
    <s v="Y"/>
    <n v="3000"/>
    <x v="5"/>
  </r>
  <r>
    <s v="25.10.2019"/>
    <d v="1899-12-30T09:18:00"/>
    <s v="UBE 591P"/>
    <s v="D"/>
    <n v="2"/>
    <s v="Road Vehicle"/>
    <n v="4"/>
    <x v="3"/>
    <x v="1"/>
    <n v="5"/>
    <x v="4"/>
    <s v="NAMAGONJO"/>
    <s v="KIBALE"/>
    <s v="UG"/>
    <n v="1"/>
    <s v="Home"/>
    <s v="MUBENDE TOWN"/>
    <s v="MUBENDE"/>
    <s v="UG"/>
    <n v="2"/>
    <s v="Work"/>
    <x v="8"/>
    <n v="4000"/>
    <n v="40"/>
    <x v="1"/>
    <n v="0.7"/>
    <x v="3"/>
    <n v="4"/>
    <s v="Office Worker"/>
    <n v="3"/>
    <x v="0"/>
    <n v="5"/>
    <n v="5"/>
    <n v="1"/>
    <n v="4"/>
    <n v="5"/>
    <s v="Y"/>
    <n v="3000"/>
    <x v="5"/>
  </r>
  <r>
    <s v="25.10.2019"/>
    <d v="1899-12-30T12:26:00"/>
    <m/>
    <s v="P"/>
    <n v="2"/>
    <s v="Road Vehicle"/>
    <n v="4"/>
    <x v="3"/>
    <x v="1"/>
    <n v="5"/>
    <x v="4"/>
    <s v="KABASEKENDE"/>
    <s v="KABASEKENDE"/>
    <s v="UG"/>
    <n v="2"/>
    <s v="Work"/>
    <s v="MUBENDE TOWN"/>
    <s v="MUBENDE"/>
    <s v="UG"/>
    <n v="4"/>
    <s v="Commercial"/>
    <x v="21"/>
    <n v="13000"/>
    <n v="70"/>
    <x v="0"/>
    <n v="1.5"/>
    <x v="2"/>
    <n v="6"/>
    <s v="Businessman"/>
    <n v="2"/>
    <x v="1"/>
    <n v="5"/>
    <n v="5"/>
    <n v="1"/>
    <n v="1"/>
    <n v="5"/>
    <s v="Y"/>
    <n v="1000"/>
    <x v="1"/>
  </r>
  <r>
    <s v="26.10.2019"/>
    <d v="1899-12-30T08:21:00"/>
    <m/>
    <s v="P"/>
    <n v="2"/>
    <s v="Road Vehicle"/>
    <n v="4"/>
    <x v="3"/>
    <x v="1"/>
    <n v="5"/>
    <x v="4"/>
    <s v="MYANSI"/>
    <s v="KASANDA"/>
    <s v="UG"/>
    <n v="6"/>
    <s v="Leisure/Social"/>
    <s v="FORTPORTAL TOWN"/>
    <s v="FORTPORTAL"/>
    <s v="UG"/>
    <n v="1"/>
    <s v="Home"/>
    <x v="7"/>
    <n v="20000"/>
    <n v="202"/>
    <x v="3"/>
    <n v="4"/>
    <x v="0"/>
    <n v="9"/>
    <s v="Retired"/>
    <n v="5"/>
    <x v="4"/>
    <n v="2"/>
    <n v="1"/>
    <n v="1"/>
    <n v="2"/>
    <n v="1"/>
    <s v="Y"/>
    <n v="1000"/>
    <x v="1"/>
  </r>
  <r>
    <s v="26.10.2019"/>
    <d v="1899-12-30T12:21:00"/>
    <m/>
    <s v="P"/>
    <n v="2"/>
    <s v="Road Vehicle"/>
    <n v="5"/>
    <x v="5"/>
    <x v="1"/>
    <n v="6"/>
    <x v="5"/>
    <s v="KIRUNGI"/>
    <s v="MUBENDE"/>
    <s v="UG"/>
    <n v="1"/>
    <s v="Home"/>
    <s v="FORTPORTAL TOWN"/>
    <s v="FORTPORTAL"/>
    <s v="UG"/>
    <n v="6"/>
    <s v="Leisure/Social"/>
    <x v="3"/>
    <n v="15000"/>
    <n v="142"/>
    <x v="2"/>
    <n v="2"/>
    <x v="1"/>
    <n v="9"/>
    <s v="Retired"/>
    <n v="5"/>
    <x v="4"/>
    <n v="2"/>
    <n v="2"/>
    <n v="1"/>
    <n v="1"/>
    <n v="1"/>
    <s v="Y"/>
    <m/>
    <x v="0"/>
  </r>
  <r>
    <d v="2019-10-27T00:00:00"/>
    <d v="1899-12-30T15:26:00"/>
    <m/>
    <s v="D"/>
    <n v="2"/>
    <s v="Road Vehicle"/>
    <n v="1"/>
    <x v="0"/>
    <x v="0"/>
    <n v="1"/>
    <x v="0"/>
    <s v="AIRPORT"/>
    <s v="WAKISO"/>
    <s v="UG"/>
    <n v="2"/>
    <s v="Work"/>
    <s v="KAJJANSI"/>
    <s v="WAKISO"/>
    <s v="UG"/>
    <n v="1"/>
    <s v="Home"/>
    <x v="1"/>
    <n v="10000"/>
    <n v="31"/>
    <x v="5"/>
    <n v="0.5"/>
    <x v="3"/>
    <n v="4"/>
    <s v="Office Worker"/>
    <n v="2"/>
    <x v="1"/>
    <n v="1"/>
    <n v="1"/>
    <n v="1"/>
    <n v="1"/>
    <n v="1"/>
    <s v="Y"/>
    <n v="3000"/>
    <x v="5"/>
  </r>
  <r>
    <d v="2019-10-27T00:00:00"/>
    <d v="1899-12-30T14:00:00"/>
    <m/>
    <s v="D"/>
    <n v="2"/>
    <s v="Road Vehicle"/>
    <n v="1"/>
    <x v="0"/>
    <x v="0"/>
    <n v="1"/>
    <x v="0"/>
    <s v="KATWE"/>
    <s v="KAMPALA"/>
    <s v="UG"/>
    <n v="2"/>
    <s v="Work"/>
    <s v="KITORO"/>
    <s v="WAKISO"/>
    <s v="UG"/>
    <n v="2"/>
    <s v="Work"/>
    <x v="5"/>
    <n v="25000"/>
    <n v="38"/>
    <x v="5"/>
    <n v="2"/>
    <x v="1"/>
    <n v="6"/>
    <s v="Businessman"/>
    <n v="2"/>
    <x v="1"/>
    <n v="1"/>
    <n v="1"/>
    <n v="1"/>
    <n v="2"/>
    <n v="1"/>
    <s v="Y"/>
    <n v="5000"/>
    <x v="2"/>
  </r>
  <r>
    <d v="2019-10-27T00:00:00"/>
    <d v="1899-12-30T13:24:00"/>
    <m/>
    <s v="D"/>
    <n v="2"/>
    <s v="Road Vehicle"/>
    <n v="1"/>
    <x v="0"/>
    <x v="0"/>
    <n v="1"/>
    <x v="0"/>
    <s v="MAKINDYE"/>
    <s v="KAMPALA"/>
    <s v="UG"/>
    <n v="1"/>
    <s v="Home"/>
    <s v="ERO BEACH"/>
    <s v="WAKISO"/>
    <s v="UG"/>
    <n v="6"/>
    <s v="Leisure/Social"/>
    <x v="3"/>
    <n v="40000"/>
    <n v="38"/>
    <x v="5"/>
    <n v="2"/>
    <x v="1"/>
    <n v="4"/>
    <s v="Office Worker"/>
    <n v="3"/>
    <x v="0"/>
    <n v="5"/>
    <n v="1"/>
    <n v="1"/>
    <n v="5"/>
    <n v="1"/>
    <s v="Y"/>
    <n v="2000"/>
    <x v="4"/>
  </r>
  <r>
    <d v="2019-10-27T00:00:00"/>
    <d v="1899-12-30T12:33:00"/>
    <m/>
    <s v="D"/>
    <n v="2"/>
    <s v="Road Vehicle"/>
    <n v="1"/>
    <x v="0"/>
    <x v="0"/>
    <n v="1"/>
    <x v="0"/>
    <s v="NSAMBYA"/>
    <s v="KAMPALA"/>
    <s v="UG"/>
    <n v="1"/>
    <s v="Home"/>
    <s v="KITORO"/>
    <s v="WAKISO"/>
    <s v="UG"/>
    <n v="1"/>
    <s v="Home"/>
    <x v="2"/>
    <n v="33000"/>
    <n v="37"/>
    <x v="5"/>
    <n v="1"/>
    <x v="2"/>
    <n v="6"/>
    <s v="Businessman"/>
    <n v="4"/>
    <x v="3"/>
    <n v="1"/>
    <n v="4"/>
    <n v="1"/>
    <n v="1"/>
    <n v="1"/>
    <s v="Y"/>
    <m/>
    <x v="0"/>
  </r>
  <r>
    <d v="2019-10-27T00:00:00"/>
    <d v="1899-12-30T12:45:00"/>
    <m/>
    <s v="D"/>
    <n v="2"/>
    <s v="Road Vehicle"/>
    <n v="1"/>
    <x v="0"/>
    <x v="0"/>
    <n v="1"/>
    <x v="0"/>
    <s v="KIBULI"/>
    <s v="KAMPALA"/>
    <s v="UG"/>
    <n v="7"/>
    <s v="Hospital"/>
    <s v="ENTEBBE REFERAL HOSPITA"/>
    <s v="WAKISO"/>
    <s v="UG"/>
    <n v="7"/>
    <s v="Hospital"/>
    <x v="35"/>
    <n v="100000"/>
    <n v="38"/>
    <x v="5"/>
    <n v="2.5"/>
    <x v="1"/>
    <n v="5"/>
    <s v="Professional"/>
    <n v="3"/>
    <x v="0"/>
    <n v="1"/>
    <n v="4"/>
    <n v="1"/>
    <n v="1"/>
    <n v="1"/>
    <s v="Y"/>
    <n v="4000"/>
    <x v="5"/>
  </r>
  <r>
    <d v="2019-10-27T00:00:00"/>
    <d v="1899-12-30T11:58:00"/>
    <m/>
    <s v="D"/>
    <n v="2"/>
    <s v="Road Vehicle"/>
    <n v="1"/>
    <x v="0"/>
    <x v="0"/>
    <n v="1"/>
    <x v="0"/>
    <s v="BUGOLOBI"/>
    <s v="KAMPALA"/>
    <s v="UG"/>
    <n v="1"/>
    <s v="Home"/>
    <s v="ENTEBBE STAGE"/>
    <s v="WAKISO"/>
    <s v="UG"/>
    <n v="6"/>
    <s v="Leisure/Social"/>
    <x v="3"/>
    <n v="60000"/>
    <n v="80"/>
    <x v="0"/>
    <n v="2"/>
    <x v="1"/>
    <n v="5"/>
    <s v="Professional"/>
    <n v="2"/>
    <x v="1"/>
    <n v="1"/>
    <n v="1"/>
    <n v="5"/>
    <n v="1"/>
    <n v="2"/>
    <s v="Y"/>
    <n v="2000"/>
    <x v="4"/>
  </r>
  <r>
    <d v="2019-10-27T00:00:00"/>
    <d v="1899-12-30T11:40:00"/>
    <m/>
    <s v="D"/>
    <n v="2"/>
    <s v="Road Vehicle"/>
    <n v="1"/>
    <x v="0"/>
    <x v="0"/>
    <n v="1"/>
    <x v="0"/>
    <s v="KAMPALA CITY"/>
    <s v="KAMPALA"/>
    <s v="UG"/>
    <n v="1"/>
    <s v="Home"/>
    <s v="ENTEBBE TOWN"/>
    <s v="WAKISO"/>
    <s v="UG"/>
    <n v="1"/>
    <s v="Home"/>
    <x v="2"/>
    <n v="30000"/>
    <n v="36"/>
    <x v="5"/>
    <n v="1"/>
    <x v="2"/>
    <n v="6"/>
    <s v="Businessman"/>
    <n v="3"/>
    <x v="0"/>
    <n v="1"/>
    <n v="1"/>
    <n v="1"/>
    <n v="1"/>
    <n v="1"/>
    <s v="Y"/>
    <n v="1000"/>
    <x v="1"/>
  </r>
  <r>
    <d v="2019-10-27T00:00:00"/>
    <d v="1899-12-30T11:39:00"/>
    <m/>
    <s v="D"/>
    <n v="2"/>
    <s v="Road Vehicle"/>
    <n v="1"/>
    <x v="0"/>
    <x v="0"/>
    <n v="1"/>
    <x v="0"/>
    <s v="LUWEERO"/>
    <s v="LUWEERO"/>
    <s v="UG"/>
    <n v="1"/>
    <s v="Home"/>
    <s v="ENTEBBE TOWN"/>
    <s v="WAKISO"/>
    <s v="UG"/>
    <n v="1"/>
    <s v="Home"/>
    <x v="2"/>
    <n v="100000"/>
    <n v="180"/>
    <x v="2"/>
    <n v="2"/>
    <x v="1"/>
    <n v="5"/>
    <s v="Professional"/>
    <n v="3"/>
    <x v="0"/>
    <n v="1"/>
    <n v="1"/>
    <n v="5"/>
    <n v="1"/>
    <n v="2"/>
    <s v="Y"/>
    <n v="5000"/>
    <x v="2"/>
  </r>
  <r>
    <d v="2019-10-27T00:00:00"/>
    <d v="1899-12-30T10:58:00"/>
    <m/>
    <s v="D"/>
    <n v="2"/>
    <s v="Road Vehicle"/>
    <n v="1"/>
    <x v="0"/>
    <x v="0"/>
    <n v="1"/>
    <x v="0"/>
    <s v="MITYANA"/>
    <s v="MIYTANA"/>
    <s v="UG"/>
    <n v="1"/>
    <s v="Home"/>
    <s v="ENTEBBE TOWN"/>
    <s v="WAKISO"/>
    <s v="UG"/>
    <n v="1"/>
    <s v="Home"/>
    <x v="2"/>
    <n v="100000"/>
    <n v="50"/>
    <x v="1"/>
    <n v="2"/>
    <x v="1"/>
    <n v="5"/>
    <s v="Professional"/>
    <n v="1"/>
    <x v="2"/>
    <n v="1"/>
    <n v="2"/>
    <n v="1"/>
    <n v="1"/>
    <n v="1"/>
    <s v="Y"/>
    <m/>
    <x v="0"/>
  </r>
  <r>
    <d v="2019-10-27T00:00:00"/>
    <d v="1899-12-30T15:41:00"/>
    <m/>
    <s v="P"/>
    <n v="2"/>
    <s v="Road Vehicle"/>
    <n v="1"/>
    <x v="0"/>
    <x v="0"/>
    <n v="1"/>
    <x v="0"/>
    <s v="NAKIWOGO"/>
    <s v="WAKISO"/>
    <s v="UG"/>
    <n v="1"/>
    <s v="Home"/>
    <s v="VICTORIA MALL"/>
    <s v="WAKISO"/>
    <s v="UG"/>
    <n v="6"/>
    <s v="Leisure/Social"/>
    <x v="3"/>
    <n v="2000"/>
    <m/>
    <x v="4"/>
    <n v="0.1"/>
    <x v="4"/>
    <n v="6"/>
    <s v="Businessman"/>
    <n v="2"/>
    <x v="1"/>
    <n v="3"/>
    <n v="2"/>
    <n v="1"/>
    <n v="1"/>
    <n v="5"/>
    <s v="Y"/>
    <n v="1000"/>
    <x v="1"/>
  </r>
  <r>
    <d v="2019-10-27T00:00:00"/>
    <d v="1899-12-30T14:32:00"/>
    <m/>
    <s v="D"/>
    <n v="2"/>
    <s v="Road Vehicle"/>
    <n v="1"/>
    <x v="0"/>
    <x v="0"/>
    <n v="1"/>
    <x v="0"/>
    <s v="GARENGE"/>
    <s v="WAKISO"/>
    <s v="UG"/>
    <n v="1"/>
    <s v="Home"/>
    <s v="ENTEBBE"/>
    <s v="WAKISO"/>
    <s v="UG"/>
    <n v="6"/>
    <s v="Leisure/Social"/>
    <x v="3"/>
    <m/>
    <m/>
    <x v="4"/>
    <m/>
    <x v="4"/>
    <n v="8"/>
    <s v="Student"/>
    <n v="1"/>
    <x v="2"/>
    <n v="2"/>
    <n v="3"/>
    <n v="4"/>
    <n v="1"/>
    <n v="5"/>
    <s v="Y"/>
    <n v="2000"/>
    <x v="4"/>
  </r>
  <r>
    <d v="2019-10-27T00:00:00"/>
    <d v="1899-12-30T09:28:00"/>
    <m/>
    <s v="D"/>
    <n v="2"/>
    <s v="Road Vehicle"/>
    <n v="1"/>
    <x v="0"/>
    <x v="1"/>
    <n v="1"/>
    <x v="0"/>
    <s v="ZANA"/>
    <s v="WAKISO"/>
    <s v="UG"/>
    <n v="2"/>
    <s v="Work"/>
    <s v="AIRPORT"/>
    <s v="WAKISO"/>
    <s v="UG"/>
    <n v="2"/>
    <s v="Work"/>
    <x v="5"/>
    <n v="25000"/>
    <n v="33"/>
    <x v="5"/>
    <n v="0.5"/>
    <x v="3"/>
    <n v="4"/>
    <s v="Office Worker"/>
    <n v="4"/>
    <x v="3"/>
    <n v="1"/>
    <n v="1"/>
    <n v="1"/>
    <n v="1"/>
    <n v="1"/>
    <s v="Y"/>
    <n v="1000"/>
    <x v="1"/>
  </r>
  <r>
    <d v="2019-10-27T00:00:00"/>
    <d v="1899-12-30T08:46:00"/>
    <m/>
    <s v="D"/>
    <n v="2"/>
    <s v="Road Vehicle"/>
    <n v="1"/>
    <x v="0"/>
    <x v="1"/>
    <n v="1"/>
    <x v="0"/>
    <s v="KITENDE"/>
    <s v="WAKISO"/>
    <s v="UG"/>
    <n v="1"/>
    <s v="Home"/>
    <s v="ENTEBBE TOWN"/>
    <s v="WAKISO"/>
    <s v="UG"/>
    <n v="1"/>
    <s v="Home"/>
    <x v="2"/>
    <n v="10000"/>
    <n v="20"/>
    <x v="5"/>
    <n v="0.9"/>
    <x v="3"/>
    <n v="5"/>
    <s v="Professional"/>
    <n v="2"/>
    <x v="1"/>
    <n v="1"/>
    <n v="1"/>
    <n v="1"/>
    <n v="1"/>
    <n v="1"/>
    <s v="Y"/>
    <n v="2000"/>
    <x v="4"/>
  </r>
  <r>
    <d v="2019-10-27T00:00:00"/>
    <d v="1899-12-30T08:10:00"/>
    <m/>
    <s v="D"/>
    <n v="2"/>
    <s v="Road Vehicle"/>
    <n v="1"/>
    <x v="0"/>
    <x v="1"/>
    <n v="1"/>
    <x v="0"/>
    <s v="NSAMBYA"/>
    <s v="KAMPALA"/>
    <s v="UG"/>
    <n v="1"/>
    <s v="Home"/>
    <s v="KITALA"/>
    <s v="WAKISO"/>
    <s v="UG"/>
    <n v="1"/>
    <s v="Home"/>
    <x v="2"/>
    <n v="20000"/>
    <n v="35"/>
    <x v="5"/>
    <n v="1"/>
    <x v="2"/>
    <n v="5"/>
    <s v="Professional"/>
    <n v="2"/>
    <x v="1"/>
    <n v="1"/>
    <n v="1"/>
    <n v="1"/>
    <n v="1"/>
    <n v="1"/>
    <s v="Y"/>
    <n v="2000"/>
    <x v="4"/>
  </r>
  <r>
    <d v="2019-10-27T00:00:00"/>
    <d v="1899-12-30T15:39:00"/>
    <m/>
    <s v="D"/>
    <n v="2"/>
    <s v="Road Vehicle"/>
    <n v="1"/>
    <x v="0"/>
    <x v="1"/>
    <n v="1"/>
    <x v="0"/>
    <s v="KIREKA"/>
    <s v="WAKISO"/>
    <s v="UG"/>
    <n v="1"/>
    <s v="Home"/>
    <s v="ENTEBBE TOWN"/>
    <s v="WAKISO"/>
    <s v="UG"/>
    <n v="1"/>
    <s v="Home"/>
    <x v="2"/>
    <n v="130000"/>
    <n v="48"/>
    <x v="1"/>
    <n v="2"/>
    <x v="1"/>
    <n v="4"/>
    <s v="Office Worker"/>
    <n v="2"/>
    <x v="1"/>
    <n v="4"/>
    <n v="1"/>
    <n v="5"/>
    <n v="1"/>
    <n v="1"/>
    <s v="Y"/>
    <n v="3000"/>
    <x v="5"/>
  </r>
  <r>
    <d v="2019-10-27T00:00:00"/>
    <d v="1899-12-30T15:05:00"/>
    <m/>
    <s v="D"/>
    <n v="2"/>
    <s v="Road Vehicle"/>
    <n v="1"/>
    <x v="0"/>
    <x v="1"/>
    <n v="1"/>
    <x v="0"/>
    <s v="BULOBA"/>
    <s v="WAKISO"/>
    <s v="UG"/>
    <n v="1"/>
    <s v="Home"/>
    <s v="ENTEBBE TOWN"/>
    <s v="WAKISO"/>
    <s v="UG"/>
    <n v="1"/>
    <s v="Home"/>
    <x v="2"/>
    <n v="100000"/>
    <m/>
    <x v="4"/>
    <n v="3"/>
    <x v="1"/>
    <n v="5"/>
    <s v="Professional"/>
    <n v="2"/>
    <x v="1"/>
    <n v="5"/>
    <n v="4"/>
    <n v="1"/>
    <n v="1"/>
    <n v="1"/>
    <s v="Y"/>
    <n v="15000"/>
    <x v="3"/>
  </r>
  <r>
    <d v="2019-10-27T00:00:00"/>
    <d v="1899-12-30T14:39:00"/>
    <m/>
    <s v="D"/>
    <n v="2"/>
    <s v="Road Vehicle"/>
    <n v="1"/>
    <x v="0"/>
    <x v="1"/>
    <n v="1"/>
    <x v="0"/>
    <s v="KIREKA"/>
    <s v="WAKISO"/>
    <s v="UG"/>
    <n v="1"/>
    <s v="Home"/>
    <s v="ENTEBBE TOWN"/>
    <s v="WAKISO"/>
    <s v="UG"/>
    <n v="1"/>
    <s v="Home"/>
    <x v="2"/>
    <n v="130000"/>
    <n v="48"/>
    <x v="1"/>
    <n v="2"/>
    <x v="1"/>
    <n v="4"/>
    <s v="Office Worker"/>
    <n v="2"/>
    <x v="1"/>
    <n v="4"/>
    <n v="1"/>
    <n v="5"/>
    <n v="1"/>
    <n v="1"/>
    <s v="Y"/>
    <n v="3000"/>
    <x v="5"/>
  </r>
  <r>
    <d v="2019-10-27T00:00:00"/>
    <d v="1899-12-30T13:36:00"/>
    <m/>
    <s v="D"/>
    <n v="2"/>
    <s v="Road Vehicle"/>
    <n v="1"/>
    <x v="0"/>
    <x v="1"/>
    <n v="1"/>
    <x v="0"/>
    <s v="NATETE"/>
    <s v="KAMPALA"/>
    <s v="UG"/>
    <n v="1"/>
    <s v="Home"/>
    <s v="KITORO"/>
    <s v="WAKISO"/>
    <s v="UG"/>
    <n v="1"/>
    <s v="Home"/>
    <x v="2"/>
    <n v="50000"/>
    <n v="39"/>
    <x v="5"/>
    <n v="1"/>
    <x v="2"/>
    <n v="5"/>
    <s v="Professional"/>
    <n v="1"/>
    <x v="2"/>
    <n v="1"/>
    <n v="1"/>
    <n v="1"/>
    <n v="1"/>
    <n v="1"/>
    <s v="Y"/>
    <n v="1000"/>
    <x v="1"/>
  </r>
  <r>
    <d v="2019-10-27T00:00:00"/>
    <d v="1899-12-30T11:20:00"/>
    <m/>
    <s v="D"/>
    <n v="2"/>
    <s v="Road Vehicle"/>
    <n v="1"/>
    <x v="0"/>
    <x v="1"/>
    <n v="1"/>
    <x v="0"/>
    <s v="NSAMBYA"/>
    <s v="KAMPALA"/>
    <s v="UG"/>
    <n v="2"/>
    <s v="Work"/>
    <s v="AIRPORT"/>
    <s v="WAKISO"/>
    <s v="UG"/>
    <n v="2"/>
    <s v="Work"/>
    <x v="5"/>
    <n v="50000"/>
    <n v="45"/>
    <x v="1"/>
    <n v="1"/>
    <x v="2"/>
    <n v="6"/>
    <s v="Businessman"/>
    <n v="5"/>
    <x v="4"/>
    <n v="1"/>
    <n v="2"/>
    <n v="4"/>
    <n v="1"/>
    <n v="1"/>
    <s v="Y"/>
    <n v="2000"/>
    <x v="4"/>
  </r>
  <r>
    <d v="2019-10-27T00:00:00"/>
    <d v="1899-12-30T10:52:00"/>
    <m/>
    <s v="D"/>
    <n v="2"/>
    <s v="Road Vehicle"/>
    <n v="1"/>
    <x v="0"/>
    <x v="1"/>
    <n v="1"/>
    <x v="0"/>
    <s v="KIBUYE"/>
    <s v="KAMPALA"/>
    <s v="UG"/>
    <n v="1"/>
    <s v="Home"/>
    <s v="ENTEBBE TOWN"/>
    <s v="WAKISO"/>
    <s v="UG"/>
    <n v="7"/>
    <s v="Hospital"/>
    <x v="26"/>
    <n v="20000"/>
    <n v="47"/>
    <x v="1"/>
    <n v="0.5"/>
    <x v="3"/>
    <n v="5"/>
    <s v="Professional"/>
    <n v="3"/>
    <x v="0"/>
    <n v="1"/>
    <n v="1"/>
    <n v="1"/>
    <n v="1"/>
    <n v="1"/>
    <s v="Y"/>
    <n v="400"/>
    <x v="0"/>
  </r>
  <r>
    <d v="2019-10-27T00:00:00"/>
    <d v="1899-12-30T07:30:00"/>
    <m/>
    <s v="D"/>
    <n v="2"/>
    <s v="Road Vehicle"/>
    <n v="1"/>
    <x v="0"/>
    <x v="1"/>
    <n v="1"/>
    <x v="0"/>
    <s v="NANSANA"/>
    <s v="WAKISO"/>
    <s v="UG"/>
    <n v="1"/>
    <s v="Home"/>
    <s v="ENTEBBE TOWN"/>
    <s v="WAKISO"/>
    <s v="UG"/>
    <n v="1"/>
    <s v="Home"/>
    <x v="2"/>
    <n v="30000"/>
    <n v="80"/>
    <x v="0"/>
    <n v="2"/>
    <x v="1"/>
    <n v="5"/>
    <s v="Professional"/>
    <n v="4"/>
    <x v="3"/>
    <n v="1"/>
    <n v="5"/>
    <n v="1"/>
    <n v="1"/>
    <n v="1"/>
    <s v="Y"/>
    <n v="3000"/>
    <x v="5"/>
  </r>
  <r>
    <d v="2019-10-27T00:00:00"/>
    <d v="1899-12-30T08:08:00"/>
    <m/>
    <s v="D"/>
    <n v="2"/>
    <s v="Road Vehicle"/>
    <n v="1"/>
    <x v="0"/>
    <x v="1"/>
    <n v="1"/>
    <x v="0"/>
    <s v="KISENYI"/>
    <s v="WAKISO"/>
    <s v="UG"/>
    <n v="4"/>
    <s v="Commercial"/>
    <s v="BATABATA"/>
    <s v="WAKISO"/>
    <s v="UG"/>
    <n v="6"/>
    <s v="Leisure/Social"/>
    <x v="11"/>
    <n v="25000"/>
    <n v="36"/>
    <x v="5"/>
    <n v="0.7"/>
    <x v="3"/>
    <n v="2"/>
    <s v="Manual Labour"/>
    <n v="1"/>
    <x v="2"/>
    <n v="1"/>
    <n v="4"/>
    <n v="3"/>
    <n v="2"/>
    <n v="5"/>
    <s v="Y"/>
    <n v="2000"/>
    <x v="4"/>
  </r>
  <r>
    <d v="2019-10-27T00:00:00"/>
    <d v="1899-12-30T17:00:00"/>
    <m/>
    <s v="P"/>
    <n v="2"/>
    <s v="Road Vehicle"/>
    <n v="4"/>
    <x v="3"/>
    <x v="0"/>
    <n v="1"/>
    <x v="0"/>
    <s v="MANALA"/>
    <s v="WAKISO"/>
    <s v="UG"/>
    <n v="2"/>
    <s v="Work"/>
    <s v="NAKIWOGO"/>
    <s v="WAKISO"/>
    <s v="UG"/>
    <n v="1"/>
    <s v="Home"/>
    <x v="1"/>
    <n v="2000"/>
    <m/>
    <x v="4"/>
    <n v="0.2"/>
    <x v="4"/>
    <n v="2"/>
    <s v="Manual Labour"/>
    <n v="1"/>
    <x v="2"/>
    <n v="2"/>
    <n v="4"/>
    <n v="3"/>
    <n v="1"/>
    <n v="5"/>
    <s v="Y"/>
    <n v="100"/>
    <x v="0"/>
  </r>
  <r>
    <d v="2019-10-27T00:00:00"/>
    <d v="1899-12-30T07:38:00"/>
    <m/>
    <s v="P"/>
    <n v="2"/>
    <s v="Road Vehicle"/>
    <n v="4"/>
    <x v="3"/>
    <x v="0"/>
    <n v="1"/>
    <x v="0"/>
    <s v="FAITH MIRACLE CHURCH"/>
    <s v="WAKISO"/>
    <s v="UG"/>
    <n v="8"/>
    <s v="Others"/>
    <s v="KITALA"/>
    <s v="WAKISO"/>
    <s v="UG"/>
    <n v="1"/>
    <s v="Home"/>
    <x v="29"/>
    <n v="2000"/>
    <m/>
    <x v="4"/>
    <n v="0.1"/>
    <x v="4"/>
    <n v="6"/>
    <s v="Businessman"/>
    <n v="3"/>
    <x v="0"/>
    <n v="4"/>
    <n v="5"/>
    <n v="2"/>
    <n v="1"/>
    <n v="3"/>
    <s v="Y"/>
    <n v="500"/>
    <x v="0"/>
  </r>
  <r>
    <d v="2019-10-27T00:00:00"/>
    <d v="1899-12-30T13:16:00"/>
    <m/>
    <s v="P"/>
    <n v="2"/>
    <s v="Road Vehicle"/>
    <n v="4"/>
    <x v="3"/>
    <x v="0"/>
    <n v="1"/>
    <x v="0"/>
    <s v="KITORO"/>
    <s v="WAKISO"/>
    <s v="UG"/>
    <n v="1"/>
    <s v="Home"/>
    <s v="NKUMBA"/>
    <s v="WAKISO"/>
    <s v="UG"/>
    <n v="3"/>
    <s v="Study"/>
    <x v="10"/>
    <n v="100"/>
    <n v="10"/>
    <x v="6"/>
    <n v="0.3"/>
    <x v="4"/>
    <n v="8"/>
    <s v="Student"/>
    <n v="1"/>
    <x v="2"/>
    <n v="4"/>
    <n v="5"/>
    <n v="2"/>
    <n v="1"/>
    <n v="3"/>
    <s v="Y"/>
    <n v="1000"/>
    <x v="1"/>
  </r>
  <r>
    <d v="2019-10-27T00:00:00"/>
    <d v="1899-12-30T11:39:00"/>
    <m/>
    <s v="P"/>
    <n v="2"/>
    <s v="Road Vehicle"/>
    <n v="4"/>
    <x v="3"/>
    <x v="0"/>
    <n v="1"/>
    <x v="0"/>
    <s v="KITORO"/>
    <s v="WAKISO"/>
    <s v="UG"/>
    <n v="6"/>
    <s v="Leisure/Social"/>
    <s v="ZANA"/>
    <s v="WAKISO"/>
    <s v="UG"/>
    <n v="1"/>
    <s v="Home"/>
    <x v="7"/>
    <n v="2500"/>
    <m/>
    <x v="4"/>
    <n v="0.9"/>
    <x v="3"/>
    <n v="8"/>
    <s v="Student"/>
    <n v="1"/>
    <x v="2"/>
    <n v="2"/>
    <n v="4"/>
    <n v="3"/>
    <n v="1"/>
    <n v="5"/>
    <s v="Y"/>
    <n v="500"/>
    <x v="0"/>
  </r>
  <r>
    <d v="2019-10-27T00:00:00"/>
    <d v="1899-12-30T11:01:00"/>
    <m/>
    <s v="P"/>
    <n v="2"/>
    <s v="Road Vehicle"/>
    <n v="4"/>
    <x v="3"/>
    <x v="0"/>
    <n v="1"/>
    <x v="0"/>
    <s v="KITORO"/>
    <s v="WAKISO"/>
    <s v="UG"/>
    <n v="6"/>
    <s v="Leisure/Social"/>
    <s v="SEGUUKU"/>
    <s v="WAKISO"/>
    <s v="UG"/>
    <n v="1"/>
    <s v="Home"/>
    <x v="7"/>
    <n v="3000"/>
    <n v="20"/>
    <x v="5"/>
    <n v="0.8"/>
    <x v="3"/>
    <n v="1"/>
    <s v="Unemployed"/>
    <n v="1"/>
    <x v="2"/>
    <n v="5"/>
    <n v="2"/>
    <n v="4"/>
    <n v="1"/>
    <n v="3"/>
    <s v="Y"/>
    <n v="200"/>
    <x v="0"/>
  </r>
  <r>
    <d v="2019-10-27T00:00:00"/>
    <d v="1899-12-30T11:15:00"/>
    <m/>
    <s v="P"/>
    <n v="1"/>
    <s v="Walking/Cycling"/>
    <n v="4"/>
    <x v="3"/>
    <x v="0"/>
    <n v="1"/>
    <x v="0"/>
    <s v="NAKIWOGO"/>
    <s v="WAKISO"/>
    <s v="UG"/>
    <n v="1"/>
    <s v="Home"/>
    <s v="LUNGUJJA"/>
    <s v="KAMPALA"/>
    <s v="UG"/>
    <n v="2"/>
    <s v="Work"/>
    <x v="8"/>
    <n v="6000"/>
    <m/>
    <x v="4"/>
    <n v="2"/>
    <x v="1"/>
    <n v="3"/>
    <s v="Artisan/Domestic"/>
    <n v="1"/>
    <x v="2"/>
    <n v="4"/>
    <n v="3"/>
    <n v="2"/>
    <n v="1"/>
    <n v="5"/>
    <s v="Y"/>
    <m/>
    <x v="0"/>
  </r>
  <r>
    <d v="2019-10-27T00:00:00"/>
    <d v="1899-12-30T07:45:00"/>
    <m/>
    <s v="P"/>
    <n v="2"/>
    <s v="Road Vehicle"/>
    <n v="4"/>
    <x v="3"/>
    <x v="0"/>
    <n v="1"/>
    <x v="0"/>
    <s v="KITORO"/>
    <s v="WAKISO"/>
    <s v="UG"/>
    <n v="1"/>
    <s v="Home"/>
    <s v="SEGUUKU"/>
    <s v="WAKISO"/>
    <s v="UG"/>
    <n v="6"/>
    <s v="Leisure/Social"/>
    <x v="3"/>
    <n v="2000"/>
    <n v="30"/>
    <x v="5"/>
    <n v="0.5"/>
    <x v="3"/>
    <n v="2"/>
    <s v="Manual Labour"/>
    <n v="1"/>
    <x v="2"/>
    <n v="1"/>
    <n v="3"/>
    <n v="4"/>
    <n v="2"/>
    <n v="5"/>
    <s v="Y"/>
    <n v="1500"/>
    <x v="1"/>
  </r>
  <r>
    <d v="2019-10-27T00:00:00"/>
    <d v="1899-12-30T07:52:00"/>
    <m/>
    <s v="P"/>
    <n v="2"/>
    <s v="Road Vehicle"/>
    <n v="4"/>
    <x v="3"/>
    <x v="0"/>
    <n v="1"/>
    <x v="0"/>
    <s v="ENTEBBE TOWN"/>
    <s v="WAKISO"/>
    <s v="UG"/>
    <n v="1"/>
    <s v="Home"/>
    <s v="ST. JUDE CHURCH"/>
    <s v="WAKISO"/>
    <s v="UG"/>
    <n v="8"/>
    <s v="Others"/>
    <x v="4"/>
    <n v="1000"/>
    <n v="0.5"/>
    <x v="4"/>
    <n v="0.1"/>
    <x v="4"/>
    <n v="10"/>
    <s v="Other"/>
    <n v="2"/>
    <x v="1"/>
    <n v="1"/>
    <n v="5"/>
    <n v="4"/>
    <n v="2"/>
    <n v="3"/>
    <s v="Y"/>
    <n v="2000"/>
    <x v="4"/>
  </r>
  <r>
    <d v="2019-10-27T00:00:00"/>
    <d v="1899-12-30T09:10:00"/>
    <m/>
    <s v="P"/>
    <n v="2"/>
    <s v="Road Vehicle"/>
    <n v="4"/>
    <x v="3"/>
    <x v="0"/>
    <n v="1"/>
    <x v="0"/>
    <s v="KINYARWANDA"/>
    <s v="WAKISO"/>
    <s v="UG"/>
    <n v="1"/>
    <s v="Home"/>
    <s v="KASANGATI"/>
    <s v="WAKISO"/>
    <s v="UG"/>
    <n v="6"/>
    <s v="Leisure/Social"/>
    <x v="3"/>
    <n v="6000"/>
    <m/>
    <x v="4"/>
    <n v="3"/>
    <x v="1"/>
    <n v="2"/>
    <s v="Manual Labour"/>
    <n v="1"/>
    <x v="2"/>
    <n v="1"/>
    <n v="2"/>
    <n v="3"/>
    <n v="4"/>
    <n v="5"/>
    <s v="Y"/>
    <n v="1000"/>
    <x v="1"/>
  </r>
  <r>
    <d v="2019-10-27T00:00:00"/>
    <d v="1899-12-30T09:15:00"/>
    <m/>
    <s v="P"/>
    <n v="2"/>
    <s v="Road Vehicle"/>
    <n v="4"/>
    <x v="3"/>
    <x v="0"/>
    <n v="1"/>
    <x v="0"/>
    <s v="KASENYI"/>
    <s v="WAKISO"/>
    <s v="UG"/>
    <n v="4"/>
    <s v="Commercial"/>
    <s v="JINJA BEACH"/>
    <s v="JINJA"/>
    <s v="UG"/>
    <n v="6"/>
    <s v="Leisure/Social"/>
    <x v="11"/>
    <n v="10000"/>
    <m/>
    <x v="4"/>
    <n v="5"/>
    <x v="0"/>
    <n v="2"/>
    <s v="Manual Labour"/>
    <n v="1"/>
    <x v="2"/>
    <n v="1"/>
    <n v="1"/>
    <n v="2"/>
    <n v="5"/>
    <n v="4"/>
    <s v="Y"/>
    <n v="2000"/>
    <x v="4"/>
  </r>
  <r>
    <d v="2019-10-27T00:00:00"/>
    <d v="1899-12-30T12:15:00"/>
    <m/>
    <s v="P"/>
    <n v="2"/>
    <s v="Road Vehicle"/>
    <n v="4"/>
    <x v="3"/>
    <x v="0"/>
    <n v="1"/>
    <x v="0"/>
    <s v="ENTEBBE"/>
    <s v="WAKISO"/>
    <s v="UG"/>
    <n v="1"/>
    <s v="Home"/>
    <s v="NANSANA"/>
    <s v="WAKISO"/>
    <s v="UG"/>
    <n v="6"/>
    <s v="Leisure/Social"/>
    <x v="3"/>
    <n v="5500"/>
    <n v="52"/>
    <x v="1"/>
    <n v="1.5"/>
    <x v="2"/>
    <n v="2"/>
    <s v="Manual Labour"/>
    <n v="1"/>
    <x v="2"/>
    <n v="2"/>
    <n v="3"/>
    <n v="4"/>
    <n v="1"/>
    <n v="5"/>
    <s v="Y"/>
    <n v="3000"/>
    <x v="5"/>
  </r>
  <r>
    <d v="2019-10-27T00:00:00"/>
    <d v="1899-12-30T12:40:00"/>
    <m/>
    <s v="P"/>
    <n v="2"/>
    <s v="Road Vehicle"/>
    <n v="4"/>
    <x v="3"/>
    <x v="0"/>
    <n v="1"/>
    <x v="0"/>
    <s v="ENTEBBE"/>
    <s v="WAKISO"/>
    <s v="UG"/>
    <n v="1"/>
    <s v="Home"/>
    <s v="MUNYONYO"/>
    <s v="WAKISO"/>
    <s v="UG"/>
    <n v="6"/>
    <s v="Leisure/Social"/>
    <x v="3"/>
    <n v="8000"/>
    <m/>
    <x v="4"/>
    <n v="2"/>
    <x v="1"/>
    <n v="2"/>
    <s v="Manual Labour"/>
    <n v="1"/>
    <x v="2"/>
    <n v="2"/>
    <n v="5"/>
    <n v="4"/>
    <n v="1"/>
    <n v="3"/>
    <s v="Y"/>
    <n v="1000"/>
    <x v="1"/>
  </r>
  <r>
    <d v="2019-10-27T00:00:00"/>
    <d v="1899-12-30T12:52:00"/>
    <m/>
    <s v="P"/>
    <n v="2"/>
    <s v="Road Vehicle"/>
    <n v="4"/>
    <x v="3"/>
    <x v="0"/>
    <n v="1"/>
    <x v="0"/>
    <s v="ENTEBBE"/>
    <s v="WAKISO"/>
    <s v="UG"/>
    <n v="1"/>
    <s v="Home"/>
    <s v="NKUMBA"/>
    <s v="WAKISO"/>
    <s v="UG"/>
    <n v="6"/>
    <s v="Leisure/Social"/>
    <x v="3"/>
    <n v="1000"/>
    <n v="8"/>
    <x v="4"/>
    <n v="0.1"/>
    <x v="4"/>
    <n v="6"/>
    <s v="Businessman"/>
    <n v="2"/>
    <x v="1"/>
    <n v="2"/>
    <n v="1"/>
    <n v="3"/>
    <n v="4"/>
    <n v="5"/>
    <s v="Y"/>
    <n v="1000"/>
    <x v="1"/>
  </r>
  <r>
    <d v="2019-10-27T00:00:00"/>
    <d v="1899-12-30T12:48:00"/>
    <m/>
    <s v="P"/>
    <n v="2"/>
    <s v="Road Vehicle"/>
    <n v="4"/>
    <x v="3"/>
    <x v="0"/>
    <n v="1"/>
    <x v="0"/>
    <s v="ENTEBBE"/>
    <s v="WAKISO"/>
    <s v="UG"/>
    <n v="1"/>
    <s v="Home"/>
    <s v="MUNYONYO"/>
    <s v="WAKISO"/>
    <s v="UG"/>
    <n v="6"/>
    <s v="Leisure/Social"/>
    <x v="3"/>
    <n v="8000"/>
    <m/>
    <x v="4"/>
    <n v="2"/>
    <x v="1"/>
    <n v="8"/>
    <s v="Student"/>
    <n v="1"/>
    <x v="2"/>
    <n v="2"/>
    <n v="1"/>
    <n v="5"/>
    <n v="4"/>
    <n v="3"/>
    <s v="Y"/>
    <n v="1000"/>
    <x v="1"/>
  </r>
  <r>
    <d v="2019-10-27T00:00:00"/>
    <d v="1899-12-30T13:00:00"/>
    <m/>
    <s v="P"/>
    <n v="2"/>
    <s v="Road Vehicle"/>
    <n v="4"/>
    <x v="3"/>
    <x v="0"/>
    <n v="1"/>
    <x v="0"/>
    <s v="ENTEBBE"/>
    <s v="WAKISO"/>
    <s v="UG"/>
    <n v="1"/>
    <s v="Home"/>
    <s v="NKUMBA"/>
    <s v="WAKISO"/>
    <s v="UG"/>
    <n v="4"/>
    <s v="Commercial"/>
    <x v="12"/>
    <n v="1000"/>
    <n v="20"/>
    <x v="5"/>
    <n v="0.1"/>
    <x v="4"/>
    <n v="8"/>
    <s v="Student"/>
    <n v="2"/>
    <x v="1"/>
    <n v="1"/>
    <n v="2"/>
    <n v="3"/>
    <n v="4"/>
    <n v="5"/>
    <s v="Y"/>
    <n v="1000"/>
    <x v="1"/>
  </r>
  <r>
    <d v="2019-10-27T00:00:00"/>
    <d v="1899-12-30T14:38:00"/>
    <m/>
    <s v="P"/>
    <n v="2"/>
    <s v="Road Vehicle"/>
    <n v="4"/>
    <x v="3"/>
    <x v="0"/>
    <n v="1"/>
    <x v="0"/>
    <s v="KINYARWANDA"/>
    <s v="WAKISO"/>
    <s v="UG"/>
    <n v="1"/>
    <s v="Home"/>
    <s v="ENTEBBE"/>
    <s v="WAKISO"/>
    <s v="UG"/>
    <n v="6"/>
    <s v="Leisure/Social"/>
    <x v="3"/>
    <n v="1000"/>
    <n v="1"/>
    <x v="4"/>
    <n v="0.3"/>
    <x v="4"/>
    <n v="8"/>
    <s v="Student"/>
    <n v="1"/>
    <x v="2"/>
    <n v="1"/>
    <n v="2"/>
    <n v="5"/>
    <n v="3"/>
    <n v="4"/>
    <s v="Y"/>
    <n v="1000"/>
    <x v="1"/>
  </r>
  <r>
    <d v="2019-10-27T00:00:00"/>
    <d v="1899-12-30T15:26:00"/>
    <m/>
    <s v="P"/>
    <n v="2"/>
    <s v="Road Vehicle"/>
    <n v="4"/>
    <x v="3"/>
    <x v="0"/>
    <n v="1"/>
    <x v="0"/>
    <s v="NAKIWOGO"/>
    <s v="WAKISO"/>
    <s v="UG"/>
    <n v="1"/>
    <s v="Home"/>
    <s v="KASENYI"/>
    <s v="WAKISO"/>
    <s v="UG"/>
    <n v="6"/>
    <s v="Leisure/Social"/>
    <x v="3"/>
    <n v="3000"/>
    <n v="26"/>
    <x v="5"/>
    <n v="0.3"/>
    <x v="4"/>
    <n v="2"/>
    <s v="Manual Labour"/>
    <n v="1"/>
    <x v="2"/>
    <n v="2"/>
    <n v="3"/>
    <n v="4"/>
    <n v="1"/>
    <n v="5"/>
    <s v="Y"/>
    <m/>
    <x v="0"/>
  </r>
  <r>
    <d v="2019-10-27T00:00:00"/>
    <d v="1899-12-30T18:15:00"/>
    <m/>
    <s v="D"/>
    <n v="2"/>
    <s v="Road Vehicle"/>
    <n v="4"/>
    <x v="3"/>
    <x v="0"/>
    <n v="1"/>
    <x v="0"/>
    <s v="BAITA ABABIRI"/>
    <s v="WAKISO"/>
    <s v="UG"/>
    <n v="2"/>
    <s v="Work"/>
    <s v="POLICE STATION"/>
    <s v="WAKISO"/>
    <s v="UG"/>
    <n v="2"/>
    <s v="Work"/>
    <x v="5"/>
    <n v="1000"/>
    <n v="1"/>
    <x v="4"/>
    <n v="0.1"/>
    <x v="4"/>
    <n v="5"/>
    <s v="Professional"/>
    <n v="2"/>
    <x v="1"/>
    <n v="1"/>
    <n v="2"/>
    <n v="5"/>
    <n v="5"/>
    <n v="4"/>
    <s v="Y"/>
    <n v="1000"/>
    <x v="1"/>
  </r>
  <r>
    <d v="2019-10-27T00:00:00"/>
    <d v="1899-12-30T08:20:00"/>
    <m/>
    <s v="P"/>
    <n v="2"/>
    <s v="Road Vehicle"/>
    <n v="4"/>
    <x v="3"/>
    <x v="1"/>
    <n v="1"/>
    <x v="0"/>
    <s v="OLD TAXI PARK"/>
    <s v="KAMPALA"/>
    <s v="UG"/>
    <n v="2"/>
    <s v="Work"/>
    <s v="ENTEBBE TOWN"/>
    <s v="WAKISO"/>
    <s v="UG"/>
    <n v="2"/>
    <s v="Work"/>
    <x v="5"/>
    <n v="38000"/>
    <n v="36"/>
    <x v="5"/>
    <n v="2"/>
    <x v="1"/>
    <n v="5"/>
    <s v="Professional"/>
    <n v="3"/>
    <x v="0"/>
    <n v="1"/>
    <n v="1"/>
    <n v="1"/>
    <n v="1"/>
    <n v="1"/>
    <s v="Y"/>
    <n v="10000"/>
    <x v="3"/>
  </r>
  <r>
    <d v="2019-10-27T00:00:00"/>
    <d v="1899-12-30T15:33:00"/>
    <m/>
    <s v="D"/>
    <n v="2"/>
    <s v="Road Vehicle"/>
    <n v="4"/>
    <x v="3"/>
    <x v="1"/>
    <n v="1"/>
    <x v="0"/>
    <s v="OLD TAXI PARK"/>
    <s v="KAMPALA"/>
    <s v="UG"/>
    <n v="2"/>
    <s v="Work"/>
    <s v="ENTEBBE TOWN"/>
    <s v="WAKISO"/>
    <s v="UG"/>
    <n v="2"/>
    <s v="Work"/>
    <x v="5"/>
    <n v="30000"/>
    <n v="36"/>
    <x v="5"/>
    <n v="1"/>
    <x v="2"/>
    <n v="5"/>
    <s v="Professional"/>
    <n v="1"/>
    <x v="2"/>
    <n v="1"/>
    <n v="5"/>
    <n v="1"/>
    <n v="1"/>
    <n v="1"/>
    <s v="Y"/>
    <n v="5000"/>
    <x v="2"/>
  </r>
  <r>
    <d v="2019-10-27T00:00:00"/>
    <d v="1899-12-30T13:28:00"/>
    <m/>
    <s v="D"/>
    <n v="2"/>
    <s v="Road Vehicle"/>
    <n v="4"/>
    <x v="3"/>
    <x v="1"/>
    <n v="1"/>
    <x v="0"/>
    <s v="OLD TAXI PARK"/>
    <s v="KAMPALA"/>
    <s v="UG"/>
    <n v="2"/>
    <s v="Work"/>
    <s v="ENTEBBE TOWN"/>
    <s v="WAKISO"/>
    <s v="UG"/>
    <n v="2"/>
    <s v="Work"/>
    <x v="5"/>
    <n v="20000"/>
    <n v="37"/>
    <x v="5"/>
    <n v="2"/>
    <x v="1"/>
    <n v="5"/>
    <s v="Professional"/>
    <n v="1"/>
    <x v="2"/>
    <n v="5"/>
    <n v="1"/>
    <n v="5"/>
    <n v="1"/>
    <n v="1"/>
    <s v="Y"/>
    <n v="1100"/>
    <x v="1"/>
  </r>
  <r>
    <d v="2019-10-27T00:00:00"/>
    <d v="1899-12-30T13:44:00"/>
    <m/>
    <s v="P"/>
    <n v="2"/>
    <s v="Road Vehicle"/>
    <n v="4"/>
    <x v="3"/>
    <x v="1"/>
    <n v="1"/>
    <x v="0"/>
    <s v="NEW TAXI PARK"/>
    <s v="KAMPALA"/>
    <s v="UG"/>
    <n v="2"/>
    <s v="Work"/>
    <s v="ENTEBBE TOWN"/>
    <s v="WAKISO"/>
    <s v="UG"/>
    <n v="2"/>
    <s v="Work"/>
    <x v="5"/>
    <n v="50000"/>
    <n v="37"/>
    <x v="5"/>
    <n v="2"/>
    <x v="1"/>
    <n v="6"/>
    <s v="Businessman"/>
    <n v="2"/>
    <x v="1"/>
    <n v="1"/>
    <n v="4"/>
    <n v="1"/>
    <n v="1"/>
    <n v="1"/>
    <s v="Y"/>
    <n v="6000"/>
    <x v="2"/>
  </r>
  <r>
    <d v="2019-10-27T00:00:00"/>
    <d v="1899-12-30T07:55:00"/>
    <m/>
    <s v="P"/>
    <n v="2"/>
    <s v="Road Vehicle"/>
    <n v="4"/>
    <x v="3"/>
    <x v="1"/>
    <n v="1"/>
    <x v="0"/>
    <s v="OLD TAXI PARK"/>
    <s v="KAMPALA"/>
    <s v="UG"/>
    <n v="1"/>
    <s v="Home"/>
    <s v="KITORO"/>
    <s v="WAKISO"/>
    <s v="UG"/>
    <n v="2"/>
    <s v="Work"/>
    <x v="8"/>
    <n v="3000"/>
    <n v="40"/>
    <x v="1"/>
    <n v="2"/>
    <x v="1"/>
    <n v="4"/>
    <s v="Office Worker"/>
    <n v="1"/>
    <x v="2"/>
    <n v="1"/>
    <n v="1"/>
    <n v="1"/>
    <n v="2"/>
    <n v="1"/>
    <s v="Y"/>
    <n v="5000"/>
    <x v="2"/>
  </r>
  <r>
    <d v="2019-10-27T00:00:00"/>
    <d v="1899-12-30T07:15:00"/>
    <m/>
    <s v="D"/>
    <n v="2"/>
    <s v="Road Vehicle"/>
    <n v="4"/>
    <x v="3"/>
    <x v="1"/>
    <n v="1"/>
    <x v="0"/>
    <s v="NEW TAXI PARK"/>
    <s v="KAMPALA"/>
    <s v="UG"/>
    <n v="2"/>
    <s v="Work"/>
    <s v="PETROL STATION"/>
    <s v="WAKISO"/>
    <s v="UG"/>
    <n v="2"/>
    <s v="Work"/>
    <x v="5"/>
    <n v="20000"/>
    <n v="36"/>
    <x v="5"/>
    <n v="2"/>
    <x v="1"/>
    <n v="5"/>
    <s v="Professional"/>
    <n v="1"/>
    <x v="2"/>
    <n v="1"/>
    <n v="1"/>
    <n v="1"/>
    <n v="2"/>
    <n v="1"/>
    <s v="Y"/>
    <n v="4000"/>
    <x v="5"/>
  </r>
  <r>
    <d v="2019-10-27T00:00:00"/>
    <d v="1899-12-30T09:00:00"/>
    <m/>
    <s v="D"/>
    <n v="2"/>
    <s v="Road Vehicle"/>
    <n v="4"/>
    <x v="3"/>
    <x v="1"/>
    <n v="1"/>
    <x v="0"/>
    <s v="MBALALA"/>
    <s v="MUKONO"/>
    <s v="UG"/>
    <n v="1"/>
    <s v="Home"/>
    <s v="AIRPORT"/>
    <s v="WAKISO"/>
    <s v="UG"/>
    <n v="2"/>
    <s v="Work"/>
    <x v="8"/>
    <n v="100000"/>
    <n v="85"/>
    <x v="0"/>
    <n v="4"/>
    <x v="0"/>
    <n v="4"/>
    <s v="Office Worker"/>
    <n v="2"/>
    <x v="1"/>
    <n v="5"/>
    <n v="4"/>
    <n v="1"/>
    <n v="1"/>
    <n v="1"/>
    <s v="Y"/>
    <n v="4000"/>
    <x v="5"/>
  </r>
  <r>
    <d v="2019-10-27T00:00:00"/>
    <d v="1899-12-30T16:27:00"/>
    <m/>
    <s v="P"/>
    <n v="2"/>
    <s v="Road Vehicle"/>
    <n v="4"/>
    <x v="3"/>
    <x v="1"/>
    <n v="1"/>
    <x v="0"/>
    <s v="SSESE"/>
    <s v="WAKISO"/>
    <s v="UG"/>
    <n v="6"/>
    <s v="Leisure/Social"/>
    <s v="NANSANA"/>
    <s v="WAKISO"/>
    <s v="UG"/>
    <n v="1"/>
    <s v="Home"/>
    <x v="7"/>
    <n v="2000"/>
    <n v="50"/>
    <x v="1"/>
    <n v="2"/>
    <x v="1"/>
    <n v="4"/>
    <s v="Office Worker"/>
    <n v="3"/>
    <x v="0"/>
    <n v="5"/>
    <n v="2"/>
    <n v="4"/>
    <n v="1"/>
    <n v="3"/>
    <s v="Y"/>
    <n v="500"/>
    <x v="0"/>
  </r>
  <r>
    <d v="2019-10-27T00:00:00"/>
    <d v="1899-12-30T16:39:00"/>
    <m/>
    <s v="P"/>
    <n v="2"/>
    <s v="Road Vehicle"/>
    <n v="4"/>
    <x v="3"/>
    <x v="1"/>
    <n v="1"/>
    <x v="0"/>
    <s v="ST.STEPHEN"/>
    <s v="WAKISO"/>
    <s v="UG"/>
    <n v="8"/>
    <s v="Others"/>
    <s v="BAITA"/>
    <s v="WAKISO"/>
    <s v="UG"/>
    <n v="1"/>
    <s v="Home"/>
    <x v="29"/>
    <n v="1000"/>
    <n v="6"/>
    <x v="4"/>
    <n v="0.1"/>
    <x v="4"/>
    <n v="4"/>
    <s v="Office Worker"/>
    <n v="2"/>
    <x v="1"/>
    <n v="5"/>
    <n v="4"/>
    <n v="1"/>
    <n v="3"/>
    <n v="2"/>
    <s v="Y"/>
    <n v="500"/>
    <x v="0"/>
  </r>
  <r>
    <d v="2019-10-27T00:00:00"/>
    <d v="1899-12-30T15:28:00"/>
    <m/>
    <s v="P"/>
    <n v="2"/>
    <s v="Road Vehicle"/>
    <n v="4"/>
    <x v="3"/>
    <x v="1"/>
    <n v="1"/>
    <x v="0"/>
    <s v="KITORO"/>
    <s v="WAKISO"/>
    <s v="UG"/>
    <n v="6"/>
    <s v="Leisure/Social"/>
    <s v="LUBOWA"/>
    <s v="WAKISO"/>
    <s v="UG"/>
    <n v="1"/>
    <s v="Home"/>
    <x v="7"/>
    <n v="2000"/>
    <n v="20"/>
    <x v="5"/>
    <n v="0.7"/>
    <x v="3"/>
    <n v="2"/>
    <s v="Manual Labour"/>
    <n v="2"/>
    <x v="1"/>
    <n v="3"/>
    <n v="3"/>
    <n v="4"/>
    <n v="1"/>
    <n v="5"/>
    <s v="Y"/>
    <m/>
    <x v="0"/>
  </r>
  <r>
    <d v="2019-10-27T00:00:00"/>
    <d v="1899-12-30T10:21:00"/>
    <m/>
    <s v="P"/>
    <n v="2"/>
    <s v="Road Vehicle"/>
    <n v="4"/>
    <x v="3"/>
    <x v="1"/>
    <n v="1"/>
    <x v="0"/>
    <s v="AIRPORT"/>
    <s v="WAKISO"/>
    <s v="UG"/>
    <n v="2"/>
    <s v="Work"/>
    <s v="NSAMBYA"/>
    <s v="KAMPALA"/>
    <s v="UG"/>
    <n v="1"/>
    <s v="Home"/>
    <x v="1"/>
    <n v="5000"/>
    <m/>
    <x v="4"/>
    <n v="1.5"/>
    <x v="2"/>
    <n v="10"/>
    <s v="Other"/>
    <n v="1"/>
    <x v="2"/>
    <n v="1"/>
    <n v="5"/>
    <n v="3"/>
    <n v="2"/>
    <n v="4"/>
    <s v="Y"/>
    <n v="500"/>
    <x v="0"/>
  </r>
  <r>
    <d v="2019-10-27T00:00:00"/>
    <d v="1899-12-30T09:09:00"/>
    <m/>
    <s v="P"/>
    <n v="2"/>
    <s v="Road Vehicle"/>
    <n v="4"/>
    <x v="3"/>
    <x v="1"/>
    <n v="1"/>
    <x v="0"/>
    <s v="KINYARWANDA"/>
    <s v="WAKISO"/>
    <s v="UG"/>
    <n v="1"/>
    <s v="Home"/>
    <s v="FREEDOMCITY"/>
    <s v="WAKISO"/>
    <s v="UG"/>
    <n v="6"/>
    <s v="Leisure/Social"/>
    <x v="3"/>
    <n v="3000"/>
    <n v="30"/>
    <x v="5"/>
    <n v="0.9"/>
    <x v="3"/>
    <n v="4"/>
    <s v="Office Worker"/>
    <n v="3"/>
    <x v="0"/>
    <n v="2"/>
    <n v="4"/>
    <n v="3"/>
    <n v="1"/>
    <n v="5"/>
    <s v="Y"/>
    <n v="2000"/>
    <x v="4"/>
  </r>
  <r>
    <d v="2019-10-27T00:00:00"/>
    <d v="1899-12-30T07:24:00"/>
    <m/>
    <s v="D"/>
    <n v="2"/>
    <s v="Road Vehicle"/>
    <n v="4"/>
    <x v="3"/>
    <x v="1"/>
    <n v="1"/>
    <x v="0"/>
    <s v="KITORO"/>
    <s v="WAKISO"/>
    <s v="UG"/>
    <n v="2"/>
    <s v="Work"/>
    <s v="KAMPALA CITY"/>
    <s v="KAMPALA"/>
    <s v="UG"/>
    <n v="2"/>
    <s v="Work"/>
    <x v="5"/>
    <n v="15000"/>
    <n v="40"/>
    <x v="1"/>
    <n v="10"/>
    <x v="0"/>
    <n v="10"/>
    <s v="Other"/>
    <n v="3"/>
    <x v="0"/>
    <n v="5"/>
    <n v="1"/>
    <n v="3"/>
    <n v="2"/>
    <n v="4"/>
    <s v="Y"/>
    <n v="2000"/>
    <x v="4"/>
  </r>
  <r>
    <d v="2019-10-27T00:00:00"/>
    <d v="1899-12-30T07:09:00"/>
    <m/>
    <s v="P"/>
    <n v="2"/>
    <s v="Road Vehicle"/>
    <n v="4"/>
    <x v="3"/>
    <x v="1"/>
    <n v="1"/>
    <x v="0"/>
    <s v="KITORO"/>
    <s v="WAKISO"/>
    <s v="UG"/>
    <n v="1"/>
    <s v="Home"/>
    <s v="KISENYI"/>
    <s v="WAKISO"/>
    <s v="UG"/>
    <n v="2"/>
    <s v="Work"/>
    <x v="8"/>
    <n v="1500"/>
    <m/>
    <x v="4"/>
    <n v="0.1"/>
    <x v="4"/>
    <n v="2"/>
    <s v="Manual Labour"/>
    <n v="1"/>
    <x v="2"/>
    <n v="2"/>
    <n v="1"/>
    <n v="4"/>
    <n v="5"/>
    <n v="3"/>
    <s v="Y"/>
    <m/>
    <x v="0"/>
  </r>
  <r>
    <d v="2019-10-27T00:00:00"/>
    <d v="1899-12-30T07:16:00"/>
    <m/>
    <s v="P"/>
    <n v="2"/>
    <s v="Road Vehicle"/>
    <n v="4"/>
    <x v="3"/>
    <x v="1"/>
    <n v="1"/>
    <x v="0"/>
    <s v="KITORO"/>
    <s v="WAKISO"/>
    <s v="UG"/>
    <n v="1"/>
    <s v="Home"/>
    <s v="KABOJJA"/>
    <s v="WAKISO"/>
    <s v="UG"/>
    <n v="8"/>
    <s v="Others"/>
    <x v="4"/>
    <n v="3000"/>
    <m/>
    <x v="4"/>
    <n v="0.9"/>
    <x v="3"/>
    <n v="4"/>
    <s v="Office Worker"/>
    <n v="3"/>
    <x v="0"/>
    <n v="2"/>
    <n v="3"/>
    <n v="1"/>
    <n v="1"/>
    <n v="1"/>
    <s v="Y"/>
    <n v="3000"/>
    <x v="5"/>
  </r>
  <r>
    <d v="2019-10-27T00:00:00"/>
    <d v="1899-12-30T13:21:00"/>
    <m/>
    <s v="D"/>
    <n v="2"/>
    <s v="Road Vehicle"/>
    <n v="4"/>
    <x v="3"/>
    <x v="1"/>
    <n v="1"/>
    <x v="0"/>
    <s v="TAXIPARK"/>
    <s v="WAKISO"/>
    <s v="UG"/>
    <n v="2"/>
    <s v="Work"/>
    <s v="KAMPALA CITY"/>
    <s v="KAMPALA"/>
    <s v="UG"/>
    <n v="2"/>
    <s v="Work"/>
    <x v="5"/>
    <n v="35000"/>
    <n v="40"/>
    <x v="1"/>
    <n v="1.5"/>
    <x v="2"/>
    <n v="10"/>
    <s v="Other"/>
    <n v="3"/>
    <x v="0"/>
    <n v="3"/>
    <n v="1"/>
    <n v="5"/>
    <n v="4"/>
    <n v="2"/>
    <s v="Y"/>
    <n v="2000"/>
    <x v="4"/>
  </r>
  <r>
    <d v="2019-10-27T00:00:00"/>
    <d v="1899-12-30T12:12:00"/>
    <m/>
    <s v="P"/>
    <n v="2"/>
    <s v="Road Vehicle"/>
    <n v="4"/>
    <x v="3"/>
    <x v="1"/>
    <n v="1"/>
    <x v="0"/>
    <s v="KITORO"/>
    <s v="WAKISO"/>
    <s v="UG"/>
    <n v="6"/>
    <s v="Leisure/Social"/>
    <s v="KITENDE"/>
    <s v="WAKISO"/>
    <s v="UG"/>
    <n v="1"/>
    <s v="Home"/>
    <x v="7"/>
    <n v="2000"/>
    <n v="25"/>
    <x v="5"/>
    <n v="0.8"/>
    <x v="3"/>
    <n v="1"/>
    <s v="Unemployed"/>
    <n v="1"/>
    <x v="2"/>
    <n v="2"/>
    <n v="3"/>
    <n v="4"/>
    <n v="1"/>
    <n v="5"/>
    <s v="Y"/>
    <n v="1500"/>
    <x v="1"/>
  </r>
  <r>
    <d v="2019-10-27T00:00:00"/>
    <d v="1899-12-30T11:59:00"/>
    <m/>
    <s v="P"/>
    <n v="2"/>
    <s v="Road Vehicle"/>
    <n v="4"/>
    <x v="3"/>
    <x v="1"/>
    <n v="1"/>
    <x v="0"/>
    <s v="KIWAFFU"/>
    <s v="WAKISO"/>
    <s v="UG"/>
    <n v="1"/>
    <s v="Home"/>
    <s v="GANDA CITY"/>
    <s v="KAMPALA"/>
    <s v="UG"/>
    <n v="6"/>
    <s v="Leisure/Social"/>
    <x v="3"/>
    <n v="5000"/>
    <n v="48"/>
    <x v="1"/>
    <n v="1.5"/>
    <x v="2"/>
    <n v="1"/>
    <s v="Unemployed"/>
    <n v="1"/>
    <x v="2"/>
    <n v="3"/>
    <n v="5"/>
    <n v="1"/>
    <n v="4"/>
    <n v="2"/>
    <s v="Y"/>
    <n v="3000"/>
    <x v="5"/>
  </r>
  <r>
    <d v="2019-10-27T00:00:00"/>
    <d v="1899-12-30T11:18:00"/>
    <m/>
    <s v="P"/>
    <n v="2"/>
    <s v="Road Vehicle"/>
    <n v="4"/>
    <x v="3"/>
    <x v="1"/>
    <n v="1"/>
    <x v="0"/>
    <s v="KITORO"/>
    <s v="WAKISO"/>
    <s v="UG"/>
    <n v="6"/>
    <s v="Leisure/Social"/>
    <s v="BUSEGA"/>
    <s v="KAMPALA"/>
    <s v="UG"/>
    <n v="1"/>
    <s v="Home"/>
    <x v="7"/>
    <n v="5000"/>
    <n v="36"/>
    <x v="5"/>
    <n v="0.9"/>
    <x v="3"/>
    <n v="1"/>
    <s v="Unemployed"/>
    <n v="1"/>
    <x v="2"/>
    <n v="5"/>
    <n v="1"/>
    <n v="4"/>
    <n v="2"/>
    <n v="3"/>
    <s v="Y"/>
    <n v="100"/>
    <x v="0"/>
  </r>
  <r>
    <d v="2019-10-27T00:00:00"/>
    <d v="1899-12-30T07:20:00"/>
    <m/>
    <s v="D"/>
    <n v="2"/>
    <s v="Road Vehicle"/>
    <n v="4"/>
    <x v="3"/>
    <x v="1"/>
    <n v="1"/>
    <x v="0"/>
    <s v="ENTEBBE"/>
    <s v="WAKISO"/>
    <s v="UG"/>
    <n v="2"/>
    <s v="Work"/>
    <s v="TAXI PARK"/>
    <s v="KAMPALA"/>
    <s v="UG"/>
    <n v="2"/>
    <s v="Work"/>
    <x v="5"/>
    <n v="40000"/>
    <n v="30"/>
    <x v="5"/>
    <n v="1"/>
    <x v="2"/>
    <n v="2"/>
    <s v="Manual Labour"/>
    <n v="1"/>
    <x v="2"/>
    <n v="1"/>
    <n v="3"/>
    <n v="5"/>
    <n v="4"/>
    <n v="2"/>
    <s v="Y"/>
    <n v="2000"/>
    <x v="4"/>
  </r>
  <r>
    <d v="2019-10-27T00:00:00"/>
    <d v="1899-12-30T07:32:00"/>
    <m/>
    <s v="D"/>
    <n v="2"/>
    <s v="Road Vehicle"/>
    <n v="4"/>
    <x v="3"/>
    <x v="1"/>
    <n v="1"/>
    <x v="0"/>
    <s v="KITORO"/>
    <s v="WAKISO"/>
    <s v="UG"/>
    <n v="2"/>
    <s v="Work"/>
    <s v="SHOPRITE"/>
    <s v="KAMPALA"/>
    <s v="UG"/>
    <n v="2"/>
    <s v="Work"/>
    <x v="5"/>
    <n v="35000"/>
    <n v="46"/>
    <x v="1"/>
    <n v="1.5"/>
    <x v="2"/>
    <n v="2"/>
    <s v="Manual Labour"/>
    <n v="1"/>
    <x v="2"/>
    <n v="1"/>
    <n v="2"/>
    <n v="3"/>
    <n v="5"/>
    <n v="4"/>
    <s v="Y"/>
    <n v="2000"/>
    <x v="4"/>
  </r>
  <r>
    <d v="2019-10-27T00:00:00"/>
    <d v="1899-12-30T08:28:00"/>
    <m/>
    <s v="D"/>
    <n v="2"/>
    <s v="Road Vehicle"/>
    <n v="4"/>
    <x v="3"/>
    <x v="1"/>
    <n v="1"/>
    <x v="0"/>
    <s v="ENTEBBE"/>
    <s v="WAKISO"/>
    <s v="UG"/>
    <n v="2"/>
    <s v="Work"/>
    <s v="CENTRAL PARK"/>
    <s v="KAMPALA"/>
    <s v="UG"/>
    <n v="2"/>
    <s v="Work"/>
    <x v="5"/>
    <n v="40000"/>
    <n v="46"/>
    <x v="1"/>
    <n v="1"/>
    <x v="2"/>
    <n v="2"/>
    <s v="Manual Labour"/>
    <n v="1"/>
    <x v="2"/>
    <n v="1"/>
    <n v="4"/>
    <n v="2"/>
    <n v="3"/>
    <n v="5"/>
    <s v="Y"/>
    <m/>
    <x v="0"/>
  </r>
  <r>
    <d v="2019-10-27T00:00:00"/>
    <d v="1899-12-30T08:52:00"/>
    <m/>
    <s v="P"/>
    <n v="2"/>
    <s v="Road Vehicle"/>
    <n v="4"/>
    <x v="3"/>
    <x v="1"/>
    <n v="1"/>
    <x v="0"/>
    <s v="KITORO"/>
    <s v="WAKISO"/>
    <s v="UG"/>
    <n v="1"/>
    <s v="Home"/>
    <s v="KASANGATI"/>
    <s v="WAKISO"/>
    <s v="UG"/>
    <n v="6"/>
    <s v="Leisure/Social"/>
    <x v="3"/>
    <n v="6000"/>
    <m/>
    <x v="4"/>
    <n v="3"/>
    <x v="1"/>
    <n v="2"/>
    <s v="Manual Labour"/>
    <n v="1"/>
    <x v="2"/>
    <n v="1"/>
    <n v="3"/>
    <n v="4"/>
    <n v="2"/>
    <n v="5"/>
    <s v="Y"/>
    <n v="1000"/>
    <x v="1"/>
  </r>
  <r>
    <d v="2019-10-27T00:00:00"/>
    <d v="1899-12-30T10:36:00"/>
    <m/>
    <s v="P"/>
    <n v="2"/>
    <s v="Road Vehicle"/>
    <n v="4"/>
    <x v="3"/>
    <x v="1"/>
    <n v="1"/>
    <x v="0"/>
    <s v="ENTEBBE"/>
    <s v="WAKISO"/>
    <s v="UG"/>
    <n v="1"/>
    <s v="Home"/>
    <s v="MPALA"/>
    <s v="WAKISO"/>
    <s v="UG"/>
    <n v="8"/>
    <s v="Others"/>
    <x v="4"/>
    <n v="1000"/>
    <n v="8"/>
    <x v="4"/>
    <n v="0.1"/>
    <x v="4"/>
    <n v="10"/>
    <s v="Other"/>
    <n v="1"/>
    <x v="2"/>
    <n v="1"/>
    <n v="1"/>
    <n v="1"/>
    <n v="1"/>
    <n v="1"/>
    <s v="Y"/>
    <n v="2000"/>
    <x v="4"/>
  </r>
  <r>
    <d v="2019-10-27T00:00:00"/>
    <d v="1899-12-30T11:15:00"/>
    <m/>
    <s v="D"/>
    <n v="2"/>
    <s v="Road Vehicle"/>
    <n v="4"/>
    <x v="3"/>
    <x v="1"/>
    <n v="1"/>
    <x v="0"/>
    <s v="KITORO"/>
    <s v="WAKISO"/>
    <s v="UG"/>
    <n v="2"/>
    <s v="Work"/>
    <s v="CENTRAL PARK"/>
    <s v="KAMPALA"/>
    <s v="UG"/>
    <n v="2"/>
    <s v="Work"/>
    <x v="5"/>
    <n v="40000"/>
    <n v="36"/>
    <x v="5"/>
    <n v="0.1"/>
    <x v="4"/>
    <n v="2"/>
    <s v="Manual Labour"/>
    <n v="1"/>
    <x v="2"/>
    <n v="1"/>
    <n v="2"/>
    <n v="5"/>
    <n v="3"/>
    <n v="4"/>
    <s v="Y"/>
    <m/>
    <x v="0"/>
  </r>
  <r>
    <d v="2019-10-27T00:00:00"/>
    <d v="1899-12-30T11:50:00"/>
    <m/>
    <s v="P"/>
    <n v="2"/>
    <s v="Road Vehicle"/>
    <n v="4"/>
    <x v="3"/>
    <x v="1"/>
    <n v="1"/>
    <x v="0"/>
    <s v="KIWAFFU"/>
    <s v="WAKISO"/>
    <s v="UG"/>
    <n v="1"/>
    <s v="Home"/>
    <s v="CENTRAL PARK"/>
    <s v="KAMPALA"/>
    <s v="UG"/>
    <n v="6"/>
    <s v="Leisure/Social"/>
    <x v="3"/>
    <n v="4000"/>
    <n v="32"/>
    <x v="5"/>
    <n v="0.3"/>
    <x v="4"/>
    <n v="2"/>
    <s v="Manual Labour"/>
    <n v="1"/>
    <x v="2"/>
    <n v="1"/>
    <n v="3"/>
    <n v="4"/>
    <n v="2"/>
    <n v="5"/>
    <s v="Y"/>
    <m/>
    <x v="0"/>
  </r>
  <r>
    <d v="2019-10-27T00:00:00"/>
    <d v="1899-12-30T13:57:00"/>
    <m/>
    <s v="P"/>
    <n v="2"/>
    <s v="Road Vehicle"/>
    <n v="4"/>
    <x v="3"/>
    <x v="1"/>
    <n v="1"/>
    <x v="0"/>
    <s v="KITENDE"/>
    <s v="WAKISO"/>
    <s v="UG"/>
    <n v="1"/>
    <s v="Home"/>
    <s v="ENTEBBE"/>
    <s v="WAKISO"/>
    <s v="UG"/>
    <n v="6"/>
    <s v="Leisure/Social"/>
    <x v="3"/>
    <n v="2000"/>
    <m/>
    <x v="4"/>
    <n v="30"/>
    <x v="0"/>
    <n v="5"/>
    <s v="Professional"/>
    <n v="1"/>
    <x v="2"/>
    <n v="1"/>
    <n v="2"/>
    <n v="3"/>
    <n v="4"/>
    <n v="5"/>
    <s v="Y"/>
    <m/>
    <x v="0"/>
  </r>
  <r>
    <d v="2019-10-27T00:00:00"/>
    <d v="1899-12-30T14:54:00"/>
    <m/>
    <s v="D"/>
    <n v="2"/>
    <s v="Road Vehicle"/>
    <n v="4"/>
    <x v="3"/>
    <x v="1"/>
    <n v="1"/>
    <x v="0"/>
    <s v="ENTEBBE"/>
    <s v="WAKISO"/>
    <s v="UG"/>
    <n v="1"/>
    <s v="Home"/>
    <s v="KASENYI"/>
    <s v="WAKISO"/>
    <s v="UG"/>
    <n v="6"/>
    <s v="Leisure/Social"/>
    <x v="3"/>
    <n v="2000"/>
    <n v="8"/>
    <x v="4"/>
    <n v="0.2"/>
    <x v="4"/>
    <n v="5"/>
    <s v="Professional"/>
    <n v="1"/>
    <x v="2"/>
    <n v="1"/>
    <n v="5"/>
    <n v="4"/>
    <n v="2"/>
    <n v="3"/>
    <s v="Y"/>
    <n v="2000"/>
    <x v="4"/>
  </r>
  <r>
    <d v="2019-10-27T00:00:00"/>
    <s v="15:000"/>
    <m/>
    <s v="D"/>
    <n v="2"/>
    <s v="Road Vehicle"/>
    <n v="4"/>
    <x v="3"/>
    <x v="1"/>
    <n v="1"/>
    <x v="0"/>
    <s v="KITORO"/>
    <s v="WAKISO"/>
    <s v="UG"/>
    <n v="2"/>
    <s v="Work"/>
    <s v="TAXI PARK"/>
    <s v="KAMPALA"/>
    <s v="UG"/>
    <n v="2"/>
    <s v="Work"/>
    <x v="5"/>
    <n v="35000"/>
    <n v="36"/>
    <x v="5"/>
    <n v="1"/>
    <x v="2"/>
    <n v="2"/>
    <s v="Manual Labour"/>
    <n v="1"/>
    <x v="2"/>
    <n v="3"/>
    <n v="2"/>
    <n v="4"/>
    <n v="1"/>
    <n v="5"/>
    <s v="Y"/>
    <n v="2000"/>
    <x v="4"/>
  </r>
  <r>
    <d v="2019-10-27T00:00:00"/>
    <s v="15:013"/>
    <m/>
    <s v="D"/>
    <n v="2"/>
    <s v="Road Vehicle"/>
    <n v="4"/>
    <x v="3"/>
    <x v="1"/>
    <n v="1"/>
    <x v="0"/>
    <s v="KITORO"/>
    <s v="WAKISO"/>
    <s v="UG"/>
    <n v="2"/>
    <s v="Work"/>
    <s v="CITY PARK"/>
    <s v="KAMPALA"/>
    <s v="UG"/>
    <n v="2"/>
    <s v="Work"/>
    <x v="5"/>
    <n v="35000"/>
    <m/>
    <x v="4"/>
    <n v="1"/>
    <x v="2"/>
    <n v="2"/>
    <s v="Manual Labour"/>
    <n v="1"/>
    <x v="2"/>
    <n v="3"/>
    <n v="1"/>
    <n v="4"/>
    <n v="2"/>
    <n v="5"/>
    <s v="Y"/>
    <m/>
    <x v="0"/>
  </r>
  <r>
    <d v="2019-10-27T00:00:00"/>
    <d v="1899-12-30T17:20:00"/>
    <m/>
    <s v="D"/>
    <n v="2"/>
    <s v="Road Vehicle"/>
    <n v="4"/>
    <x v="3"/>
    <x v="1"/>
    <n v="1"/>
    <x v="0"/>
    <s v="KITORO"/>
    <s v="WAKISO"/>
    <s v="UG"/>
    <n v="2"/>
    <s v="Work"/>
    <s v="KAMPALA CITY"/>
    <s v="KAMPALA"/>
    <s v="UG"/>
    <n v="2"/>
    <s v="Work"/>
    <x v="5"/>
    <n v="35000"/>
    <n v="36"/>
    <x v="5"/>
    <n v="1"/>
    <x v="2"/>
    <n v="2"/>
    <s v="Manual Labour"/>
    <n v="1"/>
    <x v="2"/>
    <n v="1"/>
    <n v="2"/>
    <n v="3"/>
    <n v="4"/>
    <n v="5"/>
    <s v="Y"/>
    <m/>
    <x v="0"/>
  </r>
  <r>
    <d v="2019-10-27T00:00:00"/>
    <d v="1899-12-30T17:25:00"/>
    <m/>
    <s v="D"/>
    <n v="2"/>
    <s v="Road Vehicle"/>
    <n v="4"/>
    <x v="3"/>
    <x v="1"/>
    <n v="1"/>
    <x v="0"/>
    <s v="KITORO"/>
    <s v="WAKISO"/>
    <s v="UG"/>
    <n v="2"/>
    <s v="Work"/>
    <s v="CENTRAL PARK"/>
    <s v="KAMPALA"/>
    <s v="UG"/>
    <n v="2"/>
    <s v="Work"/>
    <x v="5"/>
    <n v="40000"/>
    <n v="36"/>
    <x v="5"/>
    <n v="1"/>
    <x v="2"/>
    <n v="2"/>
    <s v="Manual Labour"/>
    <n v="1"/>
    <x v="2"/>
    <n v="3"/>
    <n v="1"/>
    <n v="4"/>
    <n v="2"/>
    <n v="5"/>
    <s v="Y"/>
    <m/>
    <x v="0"/>
  </r>
  <r>
    <d v="2019-10-27T00:00:00"/>
    <d v="1899-12-30T16:42:00"/>
    <m/>
    <s v="D"/>
    <n v="2"/>
    <s v="Road Vehicle"/>
    <n v="4"/>
    <x v="3"/>
    <x v="1"/>
    <n v="1"/>
    <x v="0"/>
    <s v="GAYAZA"/>
    <s v="WAKISO"/>
    <s v="UG"/>
    <n v="2"/>
    <s v="Work"/>
    <s v="KASENYI"/>
    <s v="WAKISO"/>
    <s v="UG"/>
    <n v="2"/>
    <s v="Work"/>
    <x v="5"/>
    <n v="60000"/>
    <m/>
    <x v="4"/>
    <n v="3"/>
    <x v="1"/>
    <n v="2"/>
    <s v="Manual Labour"/>
    <n v="1"/>
    <x v="2"/>
    <n v="3"/>
    <n v="1"/>
    <n v="4"/>
    <n v="2"/>
    <n v="5"/>
    <s v="Y"/>
    <n v="2000"/>
    <x v="4"/>
  </r>
  <r>
    <d v="2019-10-27T00:00:00"/>
    <d v="1899-12-30T16:27:00"/>
    <m/>
    <s v="D"/>
    <n v="2"/>
    <s v="Road Vehicle"/>
    <n v="4"/>
    <x v="3"/>
    <x v="1"/>
    <n v="1"/>
    <x v="0"/>
    <s v="KITORO"/>
    <s v="WAKISO"/>
    <s v="UG"/>
    <n v="2"/>
    <s v="Work"/>
    <s v="KAMPALA CITY"/>
    <s v="KAMPALA"/>
    <s v="UG"/>
    <n v="2"/>
    <s v="Work"/>
    <x v="5"/>
    <n v="40000"/>
    <n v="36"/>
    <x v="5"/>
    <n v="1.3"/>
    <x v="2"/>
    <n v="2"/>
    <s v="Manual Labour"/>
    <n v="1"/>
    <x v="2"/>
    <n v="2"/>
    <n v="1"/>
    <n v="5"/>
    <n v="3"/>
    <n v="4"/>
    <s v="Y"/>
    <m/>
    <x v="0"/>
  </r>
  <r>
    <d v="2019-10-27T00:00:00"/>
    <d v="1899-12-30T16:10:00"/>
    <m/>
    <s v="D"/>
    <n v="2"/>
    <s v="Road Vehicle"/>
    <n v="4"/>
    <x v="3"/>
    <x v="1"/>
    <n v="1"/>
    <x v="0"/>
    <s v="KITORO"/>
    <s v="WAKISO"/>
    <s v="UG"/>
    <n v="2"/>
    <s v="Work"/>
    <s v="BUJJUKO"/>
    <s v="MPIGI"/>
    <s v="UG"/>
    <n v="2"/>
    <s v="Work"/>
    <x v="5"/>
    <n v="50000"/>
    <n v="62"/>
    <x v="1"/>
    <n v="2"/>
    <x v="1"/>
    <n v="2"/>
    <s v="Manual Labour"/>
    <n v="1"/>
    <x v="2"/>
    <n v="2"/>
    <n v="3"/>
    <n v="4"/>
    <n v="1"/>
    <n v="5"/>
    <s v="Y"/>
    <m/>
    <x v="0"/>
  </r>
  <r>
    <d v="2019-10-27T00:00:00"/>
    <d v="1899-12-30T15:49:00"/>
    <m/>
    <s v="D"/>
    <n v="2"/>
    <s v="Road Vehicle"/>
    <n v="4"/>
    <x v="3"/>
    <x v="1"/>
    <n v="1"/>
    <x v="0"/>
    <s v="KITORO"/>
    <s v="WAKISO"/>
    <s v="UG"/>
    <n v="2"/>
    <s v="Work"/>
    <s v="GAABA"/>
    <s v="WAKISO"/>
    <s v="UG"/>
    <n v="2"/>
    <s v="Work"/>
    <x v="5"/>
    <n v="60000"/>
    <n v="72"/>
    <x v="0"/>
    <n v="2.5"/>
    <x v="1"/>
    <n v="2"/>
    <s v="Manual Labour"/>
    <n v="1"/>
    <x v="2"/>
    <n v="1"/>
    <n v="2"/>
    <n v="3"/>
    <n v="4"/>
    <n v="5"/>
    <s v="Y"/>
    <m/>
    <x v="0"/>
  </r>
  <r>
    <d v="2019-10-27T00:00:00"/>
    <d v="1899-12-30T15:58:00"/>
    <m/>
    <s v="D"/>
    <n v="2"/>
    <s v="Road Vehicle"/>
    <n v="4"/>
    <x v="3"/>
    <x v="1"/>
    <n v="1"/>
    <x v="0"/>
    <s v="KITORO"/>
    <s v="WAKISO"/>
    <s v="UG"/>
    <n v="2"/>
    <s v="Work"/>
    <s v="WAKISO"/>
    <s v="WAKISO"/>
    <s v="UG"/>
    <n v="2"/>
    <s v="Work"/>
    <x v="5"/>
    <n v="55000"/>
    <n v="57"/>
    <x v="1"/>
    <n v="0.9"/>
    <x v="3"/>
    <n v="2"/>
    <s v="Manual Labour"/>
    <n v="1"/>
    <x v="2"/>
    <n v="4"/>
    <n v="1"/>
    <n v="3"/>
    <n v="2"/>
    <n v="5"/>
    <s v="Y"/>
    <m/>
    <x v="0"/>
  </r>
  <r>
    <d v="2019-10-27T00:00:00"/>
    <d v="1899-12-30T16:50:00"/>
    <m/>
    <s v="D"/>
    <n v="2"/>
    <s v="Road Vehicle"/>
    <n v="4"/>
    <x v="3"/>
    <x v="1"/>
    <n v="1"/>
    <x v="0"/>
    <s v="KITORO"/>
    <s v="WAKISO"/>
    <s v="UG"/>
    <n v="2"/>
    <s v="Work"/>
    <s v="TAXI PARK"/>
    <s v="KAMPALA"/>
    <s v="UG"/>
    <n v="2"/>
    <s v="Work"/>
    <x v="5"/>
    <n v="35000"/>
    <n v="36"/>
    <x v="5"/>
    <n v="1"/>
    <x v="2"/>
    <n v="2"/>
    <s v="Manual Labour"/>
    <n v="1"/>
    <x v="2"/>
    <n v="1"/>
    <n v="2"/>
    <n v="3"/>
    <n v="4"/>
    <n v="5"/>
    <s v="Y"/>
    <n v="2000"/>
    <x v="4"/>
  </r>
  <r>
    <d v="2019-10-27T00:00:00"/>
    <d v="1899-12-30T14:59:00"/>
    <m/>
    <s v="D"/>
    <n v="2"/>
    <s v="Road Vehicle"/>
    <n v="3"/>
    <x v="6"/>
    <x v="0"/>
    <n v="1"/>
    <x v="0"/>
    <s v="GABA"/>
    <s v="KAMPALA"/>
    <s v="UG"/>
    <n v="1"/>
    <s v="Home"/>
    <s v="AIRPORT"/>
    <s v="WAKISO"/>
    <s v="UG"/>
    <n v="2"/>
    <s v="Work"/>
    <x v="8"/>
    <n v="150000"/>
    <n v="45"/>
    <x v="1"/>
    <n v="3.5"/>
    <x v="0"/>
    <n v="5"/>
    <s v="Professional"/>
    <n v="2"/>
    <x v="1"/>
    <n v="5"/>
    <n v="1"/>
    <n v="4"/>
    <n v="1"/>
    <n v="1"/>
    <s v="Y"/>
    <n v="4000"/>
    <x v="5"/>
  </r>
  <r>
    <d v="2019-10-27T00:00:00"/>
    <d v="1899-12-30T10:10:00"/>
    <m/>
    <s v="D"/>
    <n v="2"/>
    <s v="Road Vehicle"/>
    <n v="2"/>
    <x v="4"/>
    <x v="0"/>
    <n v="1"/>
    <x v="0"/>
    <s v="BUSEGA"/>
    <s v="WAKISO"/>
    <s v="UG"/>
    <n v="1"/>
    <s v="Home"/>
    <s v="AIRPORT"/>
    <s v="WAKISO"/>
    <s v="UG"/>
    <n v="2"/>
    <s v="Work"/>
    <x v="8"/>
    <n v="30000"/>
    <n v="35"/>
    <x v="5"/>
    <n v="1"/>
    <x v="2"/>
    <n v="4"/>
    <s v="Office Worker"/>
    <n v="3"/>
    <x v="0"/>
    <n v="1"/>
    <n v="1"/>
    <n v="1"/>
    <n v="1"/>
    <n v="1"/>
    <s v="Y"/>
    <n v="10000"/>
    <x v="3"/>
  </r>
  <r>
    <d v="2019-10-27T00:00:00"/>
    <d v="1899-12-30T10:25:00"/>
    <m/>
    <s v="P"/>
    <n v="2"/>
    <s v="Road Vehicle"/>
    <n v="2"/>
    <x v="4"/>
    <x v="0"/>
    <n v="1"/>
    <x v="0"/>
    <s v="ENTEBBE"/>
    <s v="WAKISO"/>
    <s v="UG"/>
    <n v="4"/>
    <s v="Commercial"/>
    <s v="KASENYI"/>
    <s v="WAKISO"/>
    <s v="UG"/>
    <n v="6"/>
    <s v="Leisure/Social"/>
    <x v="11"/>
    <n v="1000"/>
    <n v="8"/>
    <x v="4"/>
    <n v="0.1"/>
    <x v="4"/>
    <n v="2"/>
    <s v="Manual Labour"/>
    <n v="1"/>
    <x v="2"/>
    <n v="1"/>
    <n v="2"/>
    <n v="4"/>
    <n v="3"/>
    <n v="5"/>
    <s v="Y"/>
    <n v="2000"/>
    <x v="4"/>
  </r>
  <r>
    <d v="2019-10-27T00:00:00"/>
    <d v="1899-12-30T08:35:00"/>
    <m/>
    <s v="D"/>
    <n v="2"/>
    <s v="Road Vehicle"/>
    <n v="2"/>
    <x v="4"/>
    <x v="1"/>
    <n v="1"/>
    <x v="0"/>
    <s v="KAJJANSI"/>
    <s v="WAKISO"/>
    <s v="UG"/>
    <n v="2"/>
    <s v="Work"/>
    <s v="AIRPORT"/>
    <s v="WAKISO"/>
    <s v="UG"/>
    <n v="1"/>
    <s v="Home"/>
    <x v="1"/>
    <n v="15000"/>
    <n v="28"/>
    <x v="5"/>
    <n v="0.5"/>
    <x v="3"/>
    <n v="4"/>
    <s v="Office Worker"/>
    <n v="2"/>
    <x v="1"/>
    <n v="1"/>
    <n v="1"/>
    <n v="1"/>
    <n v="1"/>
    <n v="1"/>
    <s v="Y"/>
    <n v="9000"/>
    <x v="2"/>
  </r>
  <r>
    <d v="2019-10-27T00:00:00"/>
    <d v="1899-12-30T17:08:00"/>
    <m/>
    <s v="D"/>
    <n v="2"/>
    <s v="Road Vehicle"/>
    <n v="1"/>
    <x v="0"/>
    <x v="0"/>
    <n v="2"/>
    <x v="1"/>
    <s v="KAMPALA CITY"/>
    <s v="KAMPALA"/>
    <s v="UG"/>
    <n v="1"/>
    <s v="Home"/>
    <s v="ENTEBBE TOWN"/>
    <s v="WAKISO"/>
    <s v="UG"/>
    <n v="2"/>
    <s v="Work"/>
    <x v="8"/>
    <n v="30000"/>
    <n v="38"/>
    <x v="5"/>
    <n v="1.5"/>
    <x v="2"/>
    <n v="6"/>
    <s v="Businessman"/>
    <n v="3"/>
    <x v="0"/>
    <n v="5"/>
    <n v="1"/>
    <n v="2"/>
    <n v="1"/>
    <n v="2"/>
    <s v="Y"/>
    <n v="1000"/>
    <x v="1"/>
  </r>
  <r>
    <d v="2019-10-27T00:00:00"/>
    <d v="1899-12-30T07:35:00"/>
    <m/>
    <s v="P"/>
    <n v="2"/>
    <s v="Road Vehicle"/>
    <n v="1"/>
    <x v="0"/>
    <x v="1"/>
    <n v="2"/>
    <x v="1"/>
    <s v="KAMPALA CITY"/>
    <s v="KAMPALA"/>
    <s v="UG"/>
    <n v="2"/>
    <s v="Work"/>
    <s v="KITORO"/>
    <s v="WAKISO"/>
    <s v="UG"/>
    <n v="1"/>
    <s v="Home"/>
    <x v="1"/>
    <n v="3000"/>
    <n v="36"/>
    <x v="5"/>
    <n v="1"/>
    <x v="2"/>
    <n v="6"/>
    <s v="Businessman"/>
    <n v="3"/>
    <x v="0"/>
    <n v="2"/>
    <n v="1"/>
    <n v="1"/>
    <n v="1"/>
    <n v="2"/>
    <s v="Y"/>
    <n v="1000"/>
    <x v="1"/>
  </r>
  <r>
    <d v="2019-10-27T00:00:00"/>
    <d v="1899-12-30T08:28:00"/>
    <m/>
    <s v="D"/>
    <n v="2"/>
    <s v="Road Vehicle"/>
    <n v="1"/>
    <x v="0"/>
    <x v="1"/>
    <n v="2"/>
    <x v="1"/>
    <s v="KITORO"/>
    <s v="WAKISO"/>
    <s v="UG"/>
    <n v="1"/>
    <s v="Home"/>
    <s v="MUKONO TOWN"/>
    <s v="MUKONO"/>
    <s v="UG"/>
    <n v="2"/>
    <s v="Work"/>
    <x v="8"/>
    <n v="70000"/>
    <n v="150"/>
    <x v="2"/>
    <n v="3.5"/>
    <x v="0"/>
    <n v="4"/>
    <s v="Office Worker"/>
    <n v="3"/>
    <x v="0"/>
    <n v="5"/>
    <n v="1"/>
    <n v="2"/>
    <n v="2"/>
    <n v="1"/>
    <s v="Y"/>
    <n v="1000"/>
    <x v="1"/>
  </r>
  <r>
    <d v="2019-10-27T00:00:00"/>
    <d v="1899-12-30T11:32:00"/>
    <m/>
    <s v="D"/>
    <n v="2"/>
    <s v="Road Vehicle"/>
    <n v="1"/>
    <x v="0"/>
    <x v="1"/>
    <n v="2"/>
    <x v="1"/>
    <s v="KAMPALA CITY"/>
    <s v="KAMPALA"/>
    <s v="UG"/>
    <n v="1"/>
    <s v="Home"/>
    <s v="ENTEBBE"/>
    <s v="WAKISO"/>
    <s v="UG"/>
    <n v="2"/>
    <s v="Work"/>
    <x v="8"/>
    <n v="3000"/>
    <n v="37"/>
    <x v="5"/>
    <n v="1"/>
    <x v="2"/>
    <n v="6"/>
    <s v="Businessman"/>
    <n v="4"/>
    <x v="3"/>
    <n v="2"/>
    <n v="1"/>
    <n v="2"/>
    <n v="1"/>
    <n v="2"/>
    <s v="Y"/>
    <n v="1000"/>
    <x v="1"/>
  </r>
  <r>
    <d v="2019-10-27T00:00:00"/>
    <d v="1899-12-30T10:52:00"/>
    <m/>
    <s v="P"/>
    <n v="2"/>
    <s v="Road Vehicle"/>
    <n v="1"/>
    <x v="0"/>
    <x v="1"/>
    <n v="2"/>
    <x v="1"/>
    <s v="ENTEBBE"/>
    <s v="WAKISO"/>
    <s v="UG"/>
    <n v="1"/>
    <s v="Home"/>
    <s v="KAMPALA CITY"/>
    <s v="KAMPALA"/>
    <s v="UG"/>
    <n v="2"/>
    <s v="Work"/>
    <x v="8"/>
    <n v="3000"/>
    <n v="36"/>
    <x v="5"/>
    <n v="1.5"/>
    <x v="2"/>
    <n v="4"/>
    <s v="Office Worker"/>
    <n v="2"/>
    <x v="1"/>
    <n v="5"/>
    <n v="2"/>
    <n v="2"/>
    <n v="2"/>
    <n v="2"/>
    <s v="Y"/>
    <n v="1000"/>
    <x v="1"/>
  </r>
  <r>
    <d v="2019-10-27T00:00:00"/>
    <d v="1899-12-30T10:19:00"/>
    <m/>
    <s v="D"/>
    <n v="2"/>
    <s v="Road Vehicle"/>
    <n v="1"/>
    <x v="0"/>
    <x v="1"/>
    <n v="2"/>
    <x v="1"/>
    <s v="LWEZA"/>
    <s v="WAKISO"/>
    <s v="UG"/>
    <n v="1"/>
    <s v="Home"/>
    <s v="LIDO BEACH"/>
    <s v="WAKISO"/>
    <s v="UG"/>
    <n v="6"/>
    <s v="Leisure/Social"/>
    <x v="3"/>
    <n v="20000"/>
    <n v="29"/>
    <x v="5"/>
    <n v="0.6"/>
    <x v="3"/>
    <n v="4"/>
    <s v="Office Worker"/>
    <n v="3"/>
    <x v="0"/>
    <n v="1"/>
    <n v="2"/>
    <n v="2"/>
    <n v="1"/>
    <n v="2"/>
    <s v="Y"/>
    <n v="1000"/>
    <x v="1"/>
  </r>
  <r>
    <d v="2019-10-27T00:00:00"/>
    <d v="1899-12-30T10:46:00"/>
    <m/>
    <s v="P"/>
    <n v="2"/>
    <s v="Road Vehicle"/>
    <n v="1"/>
    <x v="0"/>
    <x v="1"/>
    <n v="2"/>
    <x v="1"/>
    <s v="KITENDE"/>
    <s v="WAKISO"/>
    <s v="UG"/>
    <n v="1"/>
    <s v="Home"/>
    <s v="SPINA BEACH"/>
    <s v="WAKISO"/>
    <s v="UG"/>
    <n v="6"/>
    <s v="Leisure/Social"/>
    <x v="3"/>
    <n v="2000"/>
    <n v="20"/>
    <x v="5"/>
    <n v="0.9"/>
    <x v="3"/>
    <n v="6"/>
    <s v="Businessman"/>
    <n v="2"/>
    <x v="1"/>
    <n v="1"/>
    <n v="1"/>
    <n v="2"/>
    <n v="1"/>
    <n v="1"/>
    <s v="Y"/>
    <n v="500"/>
    <x v="0"/>
  </r>
  <r>
    <d v="2019-10-27T00:00:00"/>
    <d v="1899-12-30T15:10:00"/>
    <m/>
    <s v="D"/>
    <n v="2"/>
    <s v="Road Vehicle"/>
    <n v="1"/>
    <x v="0"/>
    <x v="1"/>
    <n v="2"/>
    <x v="1"/>
    <s v="AIRPORT"/>
    <s v="WAKISO"/>
    <s v="UG"/>
    <n v="1"/>
    <s v="Home"/>
    <s v="NAKASERO"/>
    <s v="KAMPALA"/>
    <s v="UG"/>
    <n v="1"/>
    <s v="Home"/>
    <x v="2"/>
    <n v="50000"/>
    <n v="39"/>
    <x v="5"/>
    <n v="2"/>
    <x v="1"/>
    <n v="4"/>
    <s v="Office Worker"/>
    <n v="4"/>
    <x v="3"/>
    <n v="5"/>
    <n v="2"/>
    <n v="3"/>
    <n v="2"/>
    <n v="1"/>
    <s v="Y"/>
    <n v="1000"/>
    <x v="1"/>
  </r>
  <r>
    <d v="2019-10-27T00:00:00"/>
    <d v="1899-12-30T16:49:00"/>
    <m/>
    <s v="D"/>
    <n v="2"/>
    <s v="Road Vehicle"/>
    <n v="1"/>
    <x v="0"/>
    <x v="1"/>
    <n v="2"/>
    <x v="1"/>
    <s v="KAMPALA CITY"/>
    <s v="KAMPALA"/>
    <s v="UG"/>
    <n v="2"/>
    <s v="Work"/>
    <s v="ENTEBBE TOWN"/>
    <s v="WAKISO"/>
    <s v="UG"/>
    <n v="1"/>
    <s v="Home"/>
    <x v="1"/>
    <n v="40000"/>
    <n v="38"/>
    <x v="5"/>
    <n v="1.5"/>
    <x v="2"/>
    <n v="4"/>
    <s v="Office Worker"/>
    <n v="2"/>
    <x v="1"/>
    <n v="2"/>
    <n v="1"/>
    <n v="2"/>
    <n v="1"/>
    <n v="2"/>
    <s v="Y"/>
    <n v="500"/>
    <x v="0"/>
  </r>
  <r>
    <d v="2019-10-27T00:00:00"/>
    <d v="1899-12-30T17:30:00"/>
    <m/>
    <s v="D"/>
    <n v="2"/>
    <s v="Road Vehicle"/>
    <n v="1"/>
    <x v="0"/>
    <x v="1"/>
    <n v="2"/>
    <x v="1"/>
    <s v="LIDO BEACH"/>
    <s v="WAKISO"/>
    <s v="UG"/>
    <n v="6"/>
    <s v="Leisure/Social"/>
    <s v="NTINDA"/>
    <s v="KAMPALA"/>
    <s v="UG"/>
    <n v="1"/>
    <s v="Home"/>
    <x v="7"/>
    <n v="50000"/>
    <n v="40"/>
    <x v="1"/>
    <n v="2"/>
    <x v="1"/>
    <n v="4"/>
    <s v="Office Worker"/>
    <n v="4"/>
    <x v="3"/>
    <n v="1"/>
    <n v="2"/>
    <n v="1"/>
    <n v="2"/>
    <n v="1"/>
    <s v="Y"/>
    <n v="500"/>
    <x v="0"/>
  </r>
  <r>
    <d v="2019-10-27T00:00:00"/>
    <d v="1899-12-30T13:20:00"/>
    <m/>
    <s v="D"/>
    <n v="2"/>
    <s v="Road Vehicle"/>
    <n v="1"/>
    <x v="0"/>
    <x v="1"/>
    <n v="2"/>
    <x v="1"/>
    <s v="KAJJANSI"/>
    <s v="WAKISO"/>
    <s v="UG"/>
    <n v="2"/>
    <s v="Work"/>
    <s v="ENTEBBE TOWN"/>
    <s v="WAKISO"/>
    <s v="UG"/>
    <n v="1"/>
    <s v="Home"/>
    <x v="1"/>
    <n v="15000"/>
    <n v="15"/>
    <x v="6"/>
    <n v="0.8"/>
    <x v="3"/>
    <n v="5"/>
    <s v="Professional"/>
    <n v="2"/>
    <x v="1"/>
    <n v="1"/>
    <n v="1"/>
    <n v="4"/>
    <n v="1"/>
    <n v="1"/>
    <s v="Y"/>
    <n v="2500"/>
    <x v="4"/>
  </r>
  <r>
    <d v="2019-10-27T00:00:00"/>
    <d v="1899-12-30T13:18:00"/>
    <m/>
    <s v="D"/>
    <n v="2"/>
    <s v="Road Vehicle"/>
    <n v="1"/>
    <x v="0"/>
    <x v="1"/>
    <n v="2"/>
    <x v="1"/>
    <s v="OWINO"/>
    <s v="KAMPALA"/>
    <s v="UG"/>
    <n v="2"/>
    <s v="Work"/>
    <s v="ENTEBBE TOWN"/>
    <s v="WAKISO"/>
    <s v="UG"/>
    <n v="1"/>
    <s v="Home"/>
    <x v="1"/>
    <n v="20000"/>
    <n v="36"/>
    <x v="5"/>
    <n v="1"/>
    <x v="2"/>
    <n v="6"/>
    <s v="Businessman"/>
    <n v="3"/>
    <x v="0"/>
    <n v="1"/>
    <n v="1"/>
    <n v="1"/>
    <n v="1"/>
    <n v="1"/>
    <s v="Y"/>
    <n v="1000"/>
    <x v="1"/>
  </r>
  <r>
    <d v="2019-10-27T00:00:00"/>
    <d v="1899-12-30T12:15:00"/>
    <m/>
    <s v="D"/>
    <n v="2"/>
    <s v="Road Vehicle"/>
    <n v="1"/>
    <x v="0"/>
    <x v="1"/>
    <n v="2"/>
    <x v="1"/>
    <s v="SEETA"/>
    <s v="MUKONO"/>
    <s v="UG"/>
    <n v="1"/>
    <s v="Home"/>
    <s v="AIRPORT"/>
    <s v="WAKISO"/>
    <s v="UG"/>
    <n v="1"/>
    <s v="Home"/>
    <x v="2"/>
    <n v="150000"/>
    <n v="42"/>
    <x v="1"/>
    <n v="3"/>
    <x v="1"/>
    <n v="5"/>
    <s v="Professional"/>
    <n v="2"/>
    <x v="1"/>
    <n v="5"/>
    <n v="1"/>
    <n v="4"/>
    <n v="1"/>
    <n v="2"/>
    <s v="Y"/>
    <n v="5000"/>
    <x v="2"/>
  </r>
  <r>
    <d v="2019-10-27T00:00:00"/>
    <d v="1899-12-30T11:25:00"/>
    <m/>
    <s v="D"/>
    <n v="2"/>
    <s v="Road Vehicle"/>
    <n v="1"/>
    <x v="0"/>
    <x v="1"/>
    <n v="2"/>
    <x v="1"/>
    <s v="NTINDA"/>
    <s v="KAMPALA"/>
    <s v="UG"/>
    <n v="1"/>
    <s v="Home"/>
    <s v="KITORO"/>
    <s v="WAKISO"/>
    <s v="UG"/>
    <n v="2"/>
    <s v="Work"/>
    <x v="8"/>
    <n v="50000"/>
    <n v="150"/>
    <x v="2"/>
    <n v="3"/>
    <x v="1"/>
    <n v="5"/>
    <s v="Professional"/>
    <n v="2"/>
    <x v="1"/>
    <n v="1"/>
    <n v="5"/>
    <n v="1"/>
    <n v="1"/>
    <n v="2"/>
    <s v="Y"/>
    <m/>
    <x v="0"/>
  </r>
  <r>
    <d v="2019-10-27T00:00:00"/>
    <d v="1899-12-30T10:36:00"/>
    <m/>
    <s v="D"/>
    <n v="2"/>
    <s v="Road Vehicle"/>
    <n v="1"/>
    <x v="0"/>
    <x v="1"/>
    <n v="2"/>
    <x v="1"/>
    <s v="KOLOLO"/>
    <s v="KAMPALA"/>
    <s v="UG"/>
    <n v="1"/>
    <s v="Home"/>
    <s v="ENTEBBE TOWN"/>
    <s v="WAKISO"/>
    <s v="UG"/>
    <n v="7"/>
    <s v="Hospital"/>
    <x v="26"/>
    <n v="50000"/>
    <n v="100"/>
    <x v="2"/>
    <n v="1.5"/>
    <x v="2"/>
    <n v="5"/>
    <s v="Professional"/>
    <n v="2"/>
    <x v="1"/>
    <n v="1"/>
    <n v="1"/>
    <n v="1"/>
    <n v="1"/>
    <n v="1"/>
    <s v="Y"/>
    <n v="4000"/>
    <x v="5"/>
  </r>
  <r>
    <d v="2019-10-27T00:00:00"/>
    <d v="1899-12-30T08:00:00"/>
    <m/>
    <s v="D"/>
    <n v="2"/>
    <s v="Road Vehicle"/>
    <n v="1"/>
    <x v="0"/>
    <x v="1"/>
    <n v="2"/>
    <x v="1"/>
    <s v="KAJJANSI"/>
    <s v="WAKISO"/>
    <s v="UG"/>
    <n v="1"/>
    <s v="Home"/>
    <s v="AIRPORT"/>
    <s v="WAKISO"/>
    <s v="UG"/>
    <n v="2"/>
    <s v="Work"/>
    <x v="8"/>
    <n v="15000"/>
    <n v="15"/>
    <x v="6"/>
    <n v="0.8"/>
    <x v="3"/>
    <n v="5"/>
    <s v="Professional"/>
    <n v="2"/>
    <x v="1"/>
    <n v="1"/>
    <n v="1"/>
    <n v="2"/>
    <n v="1"/>
    <n v="1"/>
    <s v="Y"/>
    <n v="10000"/>
    <x v="3"/>
  </r>
  <r>
    <d v="2019-10-27T00:00:00"/>
    <d v="1899-12-30T14:15:00"/>
    <m/>
    <s v="D"/>
    <n v="2"/>
    <s v="Road Vehicle"/>
    <n v="1"/>
    <x v="0"/>
    <x v="1"/>
    <n v="2"/>
    <x v="1"/>
    <s v="KITORO"/>
    <s v="WAKISO"/>
    <s v="UG"/>
    <n v="2"/>
    <s v="Work"/>
    <s v="KIBUYE"/>
    <s v="KAMPALA"/>
    <s v="UG"/>
    <n v="1"/>
    <s v="Home"/>
    <x v="1"/>
    <n v="30000"/>
    <n v="38"/>
    <x v="5"/>
    <n v="1"/>
    <x v="2"/>
    <n v="5"/>
    <s v="Professional"/>
    <n v="1"/>
    <x v="2"/>
    <n v="5"/>
    <n v="1"/>
    <n v="5"/>
    <n v="1"/>
    <n v="1"/>
    <s v="Y"/>
    <n v="1000"/>
    <x v="1"/>
  </r>
  <r>
    <d v="2019-10-27T00:00:00"/>
    <d v="1899-12-30T09:44:00"/>
    <m/>
    <s v="D"/>
    <n v="2"/>
    <s v="Road Vehicle"/>
    <n v="1"/>
    <x v="0"/>
    <x v="1"/>
    <n v="2"/>
    <x v="1"/>
    <s v="MASAKA"/>
    <s v="MASAKA"/>
    <s v="UG"/>
    <n v="1"/>
    <s v="Home"/>
    <s v="ENTEBBE"/>
    <s v="WAKISO"/>
    <s v="UG"/>
    <n v="1"/>
    <s v="Home"/>
    <x v="2"/>
    <n v="130000"/>
    <n v="200"/>
    <x v="3"/>
    <n v="4"/>
    <x v="0"/>
    <n v="4"/>
    <s v="Office Worker"/>
    <n v="2"/>
    <x v="1"/>
    <n v="1"/>
    <n v="4"/>
    <n v="1"/>
    <n v="1"/>
    <n v="1"/>
    <s v="Y"/>
    <n v="1000"/>
    <x v="1"/>
  </r>
  <r>
    <d v="2019-10-27T00:00:00"/>
    <d v="1899-12-30T09:55:00"/>
    <m/>
    <s v="D"/>
    <n v="2"/>
    <s v="Road Vehicle"/>
    <n v="1"/>
    <x v="0"/>
    <x v="1"/>
    <n v="2"/>
    <x v="1"/>
    <s v="NSAMBYA"/>
    <s v="KAMPALA"/>
    <s v="UG"/>
    <n v="1"/>
    <s v="Home"/>
    <s v="KITALA"/>
    <s v="WAKISO"/>
    <s v="UG"/>
    <n v="1"/>
    <s v="Home"/>
    <x v="2"/>
    <n v="36000"/>
    <n v="15"/>
    <x v="6"/>
    <n v="0.5"/>
    <x v="3"/>
    <n v="5"/>
    <s v="Professional"/>
    <n v="2"/>
    <x v="1"/>
    <n v="1"/>
    <n v="1"/>
    <n v="1"/>
    <n v="1"/>
    <n v="1"/>
    <s v="Y"/>
    <n v="1000"/>
    <x v="1"/>
  </r>
  <r>
    <d v="2019-10-27T00:00:00"/>
    <d v="1899-12-30T15:59:00"/>
    <m/>
    <s v="P"/>
    <n v="2"/>
    <s v="Road Vehicle"/>
    <n v="1"/>
    <x v="0"/>
    <x v="1"/>
    <n v="2"/>
    <x v="1"/>
    <s v="NAKIWOGO"/>
    <s v="WAKISO"/>
    <s v="UG"/>
    <n v="6"/>
    <s v="Leisure/Social"/>
    <s v="BWEBAJJA"/>
    <s v="WAKISO"/>
    <s v="UG"/>
    <n v="1"/>
    <s v="Home"/>
    <x v="7"/>
    <n v="2500"/>
    <n v="20"/>
    <x v="5"/>
    <n v="0.5"/>
    <x v="3"/>
    <n v="4"/>
    <s v="Office Worker"/>
    <n v="2"/>
    <x v="1"/>
    <n v="3"/>
    <n v="3"/>
    <n v="4"/>
    <n v="1"/>
    <n v="2"/>
    <s v="Y"/>
    <n v="500"/>
    <x v="0"/>
  </r>
  <r>
    <d v="2019-10-27T00:00:00"/>
    <d v="1899-12-30T16:37:00"/>
    <m/>
    <s v="P"/>
    <n v="2"/>
    <s v="Road Vehicle"/>
    <n v="6"/>
    <x v="1"/>
    <x v="0"/>
    <n v="2"/>
    <x v="1"/>
    <s v="NSAMBYA"/>
    <s v="KAMPALA"/>
    <s v="UG"/>
    <n v="1"/>
    <s v="Home"/>
    <s v="LIDO BEACH"/>
    <s v="WAKISO"/>
    <s v="UG"/>
    <n v="6"/>
    <s v="Leisure/Social"/>
    <x v="3"/>
    <n v="10000"/>
    <n v="40"/>
    <x v="1"/>
    <n v="2"/>
    <x v="1"/>
    <n v="6"/>
    <s v="Businessman"/>
    <n v="3"/>
    <x v="0"/>
    <n v="2"/>
    <n v="2"/>
    <n v="1"/>
    <n v="1"/>
    <n v="2"/>
    <s v="Y"/>
    <n v="1000"/>
    <x v="1"/>
  </r>
  <r>
    <d v="2019-10-27T00:00:00"/>
    <d v="1899-12-30T11:31:00"/>
    <m/>
    <s v="D"/>
    <n v="2"/>
    <s v="Road Vehicle"/>
    <n v="6"/>
    <x v="1"/>
    <x v="1"/>
    <n v="2"/>
    <x v="1"/>
    <s v="KAMPALA CITY"/>
    <s v="KAMPALA"/>
    <s v="UG"/>
    <n v="2"/>
    <s v="Work"/>
    <s v="ENTEBBE TOWN"/>
    <s v="WAKISO"/>
    <s v="UG"/>
    <n v="2"/>
    <s v="Work"/>
    <x v="5"/>
    <n v="200000"/>
    <n v="48"/>
    <x v="1"/>
    <n v="1"/>
    <x v="2"/>
    <n v="5"/>
    <s v="Professional"/>
    <n v="4"/>
    <x v="3"/>
    <n v="1"/>
    <n v="5"/>
    <n v="1"/>
    <n v="1"/>
    <n v="1"/>
    <s v="Y"/>
    <n v="10000"/>
    <x v="3"/>
  </r>
  <r>
    <d v="2019-10-27T00:00:00"/>
    <d v="1899-12-30T13:52:00"/>
    <m/>
    <s v="D"/>
    <n v="2"/>
    <s v="Road Vehicle"/>
    <n v="7"/>
    <x v="2"/>
    <x v="1"/>
    <n v="2"/>
    <x v="1"/>
    <s v="BUSEGA"/>
    <s v="WAKISO"/>
    <s v="UG"/>
    <n v="2"/>
    <s v="Work"/>
    <s v="ENTEBBE TOWN"/>
    <s v="WAKISO"/>
    <s v="UG"/>
    <n v="2"/>
    <s v="Work"/>
    <x v="5"/>
    <n v="150000"/>
    <n v="30"/>
    <x v="5"/>
    <n v="1"/>
    <x v="2"/>
    <n v="5"/>
    <s v="Professional"/>
    <n v="2"/>
    <x v="1"/>
    <n v="1"/>
    <n v="5"/>
    <n v="1"/>
    <n v="1"/>
    <n v="1"/>
    <s v="Y"/>
    <n v="1000"/>
    <x v="1"/>
  </r>
  <r>
    <d v="2019-10-27T00:00:00"/>
    <d v="1899-12-30T10:16:00"/>
    <m/>
    <s v="D"/>
    <n v="2"/>
    <s v="Road Vehicle"/>
    <n v="7"/>
    <x v="2"/>
    <x v="1"/>
    <n v="2"/>
    <x v="1"/>
    <s v="MUKWANO INDUSTRY"/>
    <s v="KAMPALA"/>
    <s v="UG"/>
    <n v="2"/>
    <s v="Work"/>
    <s v="ENTEBBE TOWN"/>
    <s v="WAKISO"/>
    <s v="UG"/>
    <n v="2"/>
    <s v="Work"/>
    <x v="5"/>
    <n v="350000"/>
    <n v="48"/>
    <x v="1"/>
    <n v="2"/>
    <x v="1"/>
    <n v="5"/>
    <s v="Professional"/>
    <n v="3"/>
    <x v="0"/>
    <n v="1"/>
    <n v="5"/>
    <n v="1"/>
    <n v="1"/>
    <n v="1"/>
    <s v="Y"/>
    <n v="5000"/>
    <x v="2"/>
  </r>
  <r>
    <d v="2019-10-27T00:00:00"/>
    <d v="1899-12-30T12:05:00"/>
    <m/>
    <s v="P"/>
    <n v="2"/>
    <s v="Road Vehicle"/>
    <n v="5"/>
    <x v="5"/>
    <x v="1"/>
    <n v="2"/>
    <x v="1"/>
    <s v="JINJA TOWN"/>
    <s v="JINJA"/>
    <s v="UG"/>
    <n v="1"/>
    <s v="Home"/>
    <s v="ENTEBBE TOWN"/>
    <s v="WAKISO"/>
    <s v="UG"/>
    <n v="6"/>
    <s v="Leisure/Social"/>
    <x v="3"/>
    <n v="300000"/>
    <n v="250"/>
    <x v="3"/>
    <n v="4"/>
    <x v="0"/>
    <n v="5"/>
    <s v="Professional"/>
    <n v="4"/>
    <x v="3"/>
    <n v="5"/>
    <n v="1"/>
    <n v="5"/>
    <n v="1"/>
    <n v="1"/>
    <s v="Y"/>
    <n v="5000"/>
    <x v="2"/>
  </r>
  <r>
    <d v="2019-10-27T00:00:00"/>
    <d v="1899-12-30T10:25:00"/>
    <m/>
    <s v="D"/>
    <n v="2"/>
    <s v="Road Vehicle"/>
    <n v="5"/>
    <x v="5"/>
    <x v="1"/>
    <n v="2"/>
    <x v="1"/>
    <s v="NDEEBA "/>
    <s v="KAMPALA"/>
    <s v="UG"/>
    <n v="2"/>
    <s v="Work"/>
    <s v="ENTEBBE TOWN"/>
    <s v="WAKISO"/>
    <s v="UG"/>
    <n v="2"/>
    <s v="Work"/>
    <x v="5"/>
    <n v="100000"/>
    <n v="50"/>
    <x v="1"/>
    <n v="1"/>
    <x v="2"/>
    <n v="5"/>
    <s v="Professional"/>
    <n v="2"/>
    <x v="1"/>
    <n v="2"/>
    <n v="5"/>
    <n v="1"/>
    <n v="1"/>
    <n v="1"/>
    <s v="Y"/>
    <m/>
    <x v="0"/>
  </r>
  <r>
    <d v="2019-10-27T00:00:00"/>
    <d v="1899-12-30T08:45:00"/>
    <m/>
    <s v="D"/>
    <n v="2"/>
    <s v="Road Vehicle"/>
    <n v="5"/>
    <x v="5"/>
    <x v="1"/>
    <n v="2"/>
    <x v="1"/>
    <s v="GAYAZA"/>
    <s v="WAKISO"/>
    <s v="UG"/>
    <n v="8"/>
    <s v="Others"/>
    <s v="KASENYI"/>
    <s v="WAKISO"/>
    <s v="UG"/>
    <n v="5"/>
    <s v="Tourism"/>
    <x v="36"/>
    <n v="60000"/>
    <n v="2.5"/>
    <x v="4"/>
    <n v="5"/>
    <x v="0"/>
    <n v="2"/>
    <s v="Manual Labour"/>
    <n v="1"/>
    <x v="2"/>
    <n v="3"/>
    <n v="4"/>
    <n v="2"/>
    <n v="1"/>
    <n v="5"/>
    <s v="Y"/>
    <n v="2000"/>
    <x v="4"/>
  </r>
  <r>
    <d v="2019-10-27T00:00:00"/>
    <d v="1899-12-30T08:10:00"/>
    <m/>
    <s v="P"/>
    <n v="2"/>
    <s v="Road Vehicle"/>
    <n v="4"/>
    <x v="3"/>
    <x v="0"/>
    <n v="2"/>
    <x v="1"/>
    <s v="AIRPORT"/>
    <s v="WAKISO"/>
    <s v="UG"/>
    <n v="1"/>
    <s v="Home"/>
    <s v="KAJJANSI"/>
    <s v="WAKISO"/>
    <s v="UG"/>
    <n v="2"/>
    <s v="Work"/>
    <x v="8"/>
    <n v="2000"/>
    <n v="25"/>
    <x v="5"/>
    <n v="0.5"/>
    <x v="3"/>
    <n v="6"/>
    <s v="Businessman"/>
    <n v="1"/>
    <x v="2"/>
    <n v="1"/>
    <n v="2"/>
    <n v="1"/>
    <n v="2"/>
    <n v="1"/>
    <s v="Y"/>
    <n v="500"/>
    <x v="0"/>
  </r>
  <r>
    <d v="2019-10-27T00:00:00"/>
    <d v="1899-12-30T10:07:00"/>
    <m/>
    <s v="P"/>
    <n v="2"/>
    <s v="Road Vehicle"/>
    <n v="4"/>
    <x v="3"/>
    <x v="0"/>
    <n v="2"/>
    <x v="1"/>
    <s v="KITORO"/>
    <s v="WAKISO"/>
    <s v="UG"/>
    <n v="1"/>
    <s v="Home"/>
    <s v="NAMASUBA"/>
    <s v="WAKISO"/>
    <s v="UG"/>
    <n v="2"/>
    <s v="Work"/>
    <x v="8"/>
    <n v="3000"/>
    <n v="34"/>
    <x v="5"/>
    <n v="1"/>
    <x v="2"/>
    <n v="6"/>
    <s v="Businessman"/>
    <n v="1"/>
    <x v="2"/>
    <n v="2"/>
    <n v="2"/>
    <n v="3"/>
    <n v="2"/>
    <n v="1"/>
    <s v="Y"/>
    <n v="500"/>
    <x v="0"/>
  </r>
  <r>
    <d v="2019-10-27T00:00:00"/>
    <d v="1899-12-30T12:19:00"/>
    <m/>
    <s v="D"/>
    <n v="2"/>
    <s v="Road Vehicle"/>
    <n v="4"/>
    <x v="3"/>
    <x v="0"/>
    <n v="2"/>
    <x v="1"/>
    <s v="ZANA"/>
    <s v="WAKISO"/>
    <s v="UG"/>
    <n v="1"/>
    <s v="Home"/>
    <s v="LIDO BEACH"/>
    <s v="WAKISO"/>
    <s v="UG"/>
    <n v="6"/>
    <s v="Leisure/Social"/>
    <x v="3"/>
    <n v="40000"/>
    <n v="39"/>
    <x v="5"/>
    <n v="1"/>
    <x v="2"/>
    <n v="6"/>
    <s v="Businessman"/>
    <n v="3"/>
    <x v="0"/>
    <n v="1"/>
    <n v="1"/>
    <n v="2"/>
    <n v="1"/>
    <n v="2"/>
    <s v="Y"/>
    <n v="1000"/>
    <x v="1"/>
  </r>
  <r>
    <d v="2019-10-27T00:00:00"/>
    <d v="1899-12-30T14:28:00"/>
    <m/>
    <s v="P"/>
    <n v="2"/>
    <s v="Road Vehicle"/>
    <n v="4"/>
    <x v="3"/>
    <x v="0"/>
    <n v="2"/>
    <x v="1"/>
    <s v="KAMPALA CITY"/>
    <s v="KAMPALA"/>
    <s v="UG"/>
    <n v="1"/>
    <s v="Home"/>
    <s v="LIDO BEACH"/>
    <s v="WAKISO"/>
    <s v="UG"/>
    <n v="1"/>
    <s v="Home"/>
    <x v="2"/>
    <n v="3000"/>
    <n v="37"/>
    <x v="5"/>
    <n v="1.5"/>
    <x v="2"/>
    <n v="6"/>
    <s v="Businessman"/>
    <n v="1"/>
    <x v="2"/>
    <n v="4"/>
    <n v="1"/>
    <n v="1"/>
    <n v="2"/>
    <n v="1"/>
    <s v="Y"/>
    <n v="5000"/>
    <x v="2"/>
  </r>
  <r>
    <d v="2019-10-27T00:00:00"/>
    <d v="1899-12-30T14:55:00"/>
    <m/>
    <s v="P"/>
    <n v="2"/>
    <s v="Road Vehicle"/>
    <n v="4"/>
    <x v="3"/>
    <x v="0"/>
    <n v="2"/>
    <x v="1"/>
    <s v="NAJANANKUMBI"/>
    <s v="KAMPALA"/>
    <s v="UG"/>
    <n v="1"/>
    <s v="Home"/>
    <s v="SPINA BEACH"/>
    <s v="WAKISO"/>
    <s v="UG"/>
    <n v="6"/>
    <s v="Leisure/Social"/>
    <x v="3"/>
    <n v="3000"/>
    <n v="36"/>
    <x v="5"/>
    <n v="1.5"/>
    <x v="2"/>
    <n v="4"/>
    <s v="Office Worker"/>
    <n v="3"/>
    <x v="0"/>
    <n v="5"/>
    <n v="2"/>
    <n v="1"/>
    <n v="2"/>
    <n v="1"/>
    <s v="Y"/>
    <n v="500"/>
    <x v="0"/>
  </r>
  <r>
    <d v="2019-10-27T00:00:00"/>
    <d v="1899-12-30T16:07:00"/>
    <m/>
    <s v="P"/>
    <n v="2"/>
    <s v="Road Vehicle"/>
    <n v="4"/>
    <x v="3"/>
    <x v="0"/>
    <n v="2"/>
    <x v="1"/>
    <s v="KAMPALA CITY"/>
    <s v="KAMPALA"/>
    <s v="UG"/>
    <n v="2"/>
    <s v="Work"/>
    <s v="ENTEBBE TOWN"/>
    <s v="WAKISO"/>
    <s v="UG"/>
    <n v="1"/>
    <s v="Home"/>
    <x v="1"/>
    <n v="3000"/>
    <n v="38"/>
    <x v="5"/>
    <n v="2"/>
    <x v="1"/>
    <n v="6"/>
    <s v="Businessman"/>
    <n v="2"/>
    <x v="1"/>
    <n v="5"/>
    <n v="1"/>
    <n v="1"/>
    <n v="2"/>
    <n v="2"/>
    <s v="Y"/>
    <n v="500"/>
    <x v="0"/>
  </r>
  <r>
    <d v="2019-10-27T00:00:00"/>
    <d v="1899-12-30T16:55:00"/>
    <m/>
    <s v="P"/>
    <n v="2"/>
    <s v="Road Vehicle"/>
    <n v="4"/>
    <x v="3"/>
    <x v="0"/>
    <n v="2"/>
    <x v="1"/>
    <s v="LWEZA"/>
    <s v="WAKISO"/>
    <s v="UG"/>
    <n v="2"/>
    <s v="Work"/>
    <s v="AIRPORT"/>
    <s v="WAKISO"/>
    <s v="UG"/>
    <n v="1"/>
    <s v="Home"/>
    <x v="1"/>
    <n v="2000"/>
    <n v="28"/>
    <x v="5"/>
    <n v="0.9"/>
    <x v="3"/>
    <n v="4"/>
    <s v="Office Worker"/>
    <n v="1"/>
    <x v="2"/>
    <n v="2"/>
    <n v="1"/>
    <n v="2"/>
    <n v="1"/>
    <n v="2"/>
    <s v="Y"/>
    <n v="500"/>
    <x v="0"/>
  </r>
  <r>
    <d v="2019-10-27T00:00:00"/>
    <d v="1899-12-30T18:45:00"/>
    <m/>
    <s v="P"/>
    <n v="2"/>
    <s v="Road Vehicle"/>
    <n v="4"/>
    <x v="3"/>
    <x v="0"/>
    <n v="2"/>
    <x v="1"/>
    <s v="SSEGUKU"/>
    <s v="WAKISO"/>
    <s v="UG"/>
    <n v="2"/>
    <s v="Work"/>
    <s v="ENTEBBE TOWN"/>
    <s v="WAKISO"/>
    <s v="UG"/>
    <n v="1"/>
    <s v="Home"/>
    <x v="1"/>
    <n v="2500"/>
    <n v="26"/>
    <x v="5"/>
    <n v="0.7"/>
    <x v="3"/>
    <n v="6"/>
    <s v="Businessman"/>
    <n v="4"/>
    <x v="3"/>
    <n v="1"/>
    <n v="1"/>
    <n v="1"/>
    <n v="1"/>
    <n v="1"/>
    <s v="Y"/>
    <n v="1000"/>
    <x v="1"/>
  </r>
  <r>
    <d v="2019-10-27T00:00:00"/>
    <d v="1899-12-30T19:00:00"/>
    <m/>
    <s v="D"/>
    <n v="2"/>
    <s v="Road Vehicle"/>
    <n v="4"/>
    <x v="3"/>
    <x v="0"/>
    <n v="2"/>
    <x v="1"/>
    <s v="KAMPALA CITY"/>
    <s v="KAMPALA"/>
    <s v="UG"/>
    <n v="2"/>
    <s v="Work"/>
    <s v="ENTEBBE TOWN"/>
    <s v="WAKISO"/>
    <s v="UG"/>
    <n v="1"/>
    <s v="Home"/>
    <x v="1"/>
    <n v="40000"/>
    <n v="40"/>
    <x v="1"/>
    <n v="2"/>
    <x v="1"/>
    <n v="5"/>
    <s v="Professional"/>
    <n v="3"/>
    <x v="0"/>
    <n v="5"/>
    <n v="1"/>
    <n v="2"/>
    <n v="2"/>
    <n v="1"/>
    <s v="Y"/>
    <n v="1000"/>
    <x v="1"/>
  </r>
  <r>
    <d v="2019-10-27T00:00:00"/>
    <d v="1899-12-30T15:11:00"/>
    <m/>
    <s v="P"/>
    <n v="2"/>
    <s v="Road Vehicle"/>
    <n v="4"/>
    <x v="3"/>
    <x v="0"/>
    <n v="2"/>
    <x v="1"/>
    <s v="SSESE"/>
    <s v="WAKISO"/>
    <s v="UG"/>
    <n v="6"/>
    <s v="Leisure/Social"/>
    <s v="NAMASUBA"/>
    <s v="WAKISO"/>
    <s v="UG"/>
    <n v="6"/>
    <s v="Leisure/Social"/>
    <x v="17"/>
    <n v="4000"/>
    <m/>
    <x v="4"/>
    <n v="0.5"/>
    <x v="3"/>
    <n v="6"/>
    <s v="Businessman"/>
    <n v="2"/>
    <x v="1"/>
    <n v="5"/>
    <n v="4"/>
    <n v="1"/>
    <n v="2"/>
    <n v="3"/>
    <s v="Y"/>
    <n v="500"/>
    <x v="0"/>
  </r>
  <r>
    <d v="2019-10-27T00:00:00"/>
    <d v="1899-12-30T08:18:00"/>
    <m/>
    <s v="P"/>
    <n v="2"/>
    <s v="Road Vehicle"/>
    <n v="4"/>
    <x v="3"/>
    <x v="0"/>
    <n v="2"/>
    <x v="1"/>
    <s v="KITORO"/>
    <s v="WAKISO"/>
    <s v="UG"/>
    <n v="1"/>
    <s v="Home"/>
    <s v="KAMPALA CITY"/>
    <s v="KAMPALA"/>
    <s v="UG"/>
    <n v="6"/>
    <s v="Leisure/Social"/>
    <x v="3"/>
    <n v="3000"/>
    <m/>
    <x v="4"/>
    <n v="1"/>
    <x v="2"/>
    <n v="4"/>
    <s v="Office Worker"/>
    <n v="2"/>
    <x v="1"/>
    <n v="2"/>
    <n v="3"/>
    <n v="4"/>
    <n v="1"/>
    <n v="5"/>
    <s v="Y"/>
    <n v="600"/>
    <x v="0"/>
  </r>
  <r>
    <d v="2019-10-27T00:00:00"/>
    <d v="1899-12-30T17:09:00"/>
    <m/>
    <s v="P"/>
    <n v="2"/>
    <s v="Road Vehicle"/>
    <n v="4"/>
    <x v="3"/>
    <x v="0"/>
    <n v="2"/>
    <x v="1"/>
    <s v="KIWATU"/>
    <s v="WAKISO"/>
    <s v="UG"/>
    <n v="6"/>
    <s v="Leisure/Social"/>
    <s v="NAKAWA"/>
    <s v="KAMPALA"/>
    <s v="UG"/>
    <n v="1"/>
    <s v="Home"/>
    <x v="7"/>
    <n v="4000"/>
    <m/>
    <x v="4"/>
    <n v="2"/>
    <x v="1"/>
    <n v="4"/>
    <s v="Office Worker"/>
    <n v="3"/>
    <x v="0"/>
    <n v="5"/>
    <n v="1"/>
    <n v="3"/>
    <n v="4"/>
    <n v="2"/>
    <s v="Y"/>
    <n v="4000"/>
    <x v="5"/>
  </r>
  <r>
    <d v="2019-10-27T00:00:00"/>
    <d v="1899-12-30T12:54:00"/>
    <m/>
    <s v="P"/>
    <n v="2"/>
    <s v="Road Vehicle"/>
    <n v="4"/>
    <x v="3"/>
    <x v="0"/>
    <n v="2"/>
    <x v="1"/>
    <s v="KITORO"/>
    <s v="WAKISO"/>
    <s v="UG"/>
    <n v="1"/>
    <s v="Home"/>
    <s v="BATABATA"/>
    <s v="WAKISO"/>
    <s v="UG"/>
    <n v="6"/>
    <s v="Leisure/Social"/>
    <x v="3"/>
    <n v="3000"/>
    <m/>
    <x v="4"/>
    <n v="1"/>
    <x v="2"/>
    <n v="6"/>
    <s v="Businessman"/>
    <n v="1"/>
    <x v="2"/>
    <n v="3"/>
    <n v="4"/>
    <n v="5"/>
    <n v="1"/>
    <n v="2"/>
    <s v="Y"/>
    <m/>
    <x v="0"/>
  </r>
  <r>
    <d v="2019-10-27T00:00:00"/>
    <d v="1899-12-30T11:09:00"/>
    <m/>
    <s v="P"/>
    <n v="2"/>
    <s v="Road Vehicle"/>
    <n v="4"/>
    <x v="3"/>
    <x v="0"/>
    <n v="2"/>
    <x v="1"/>
    <s v="KIWAFFU"/>
    <s v="WAKISO"/>
    <s v="UG"/>
    <n v="6"/>
    <s v="Leisure/Social"/>
    <s v="GARUGA"/>
    <s v="WAKISO"/>
    <s v="UG"/>
    <n v="1"/>
    <s v="Home"/>
    <x v="7"/>
    <n v="3000"/>
    <n v="12"/>
    <x v="6"/>
    <n v="0.7"/>
    <x v="3"/>
    <n v="4"/>
    <s v="Office Worker"/>
    <n v="2"/>
    <x v="1"/>
    <n v="3"/>
    <n v="2"/>
    <n v="1"/>
    <n v="4"/>
    <n v="5"/>
    <s v="Y"/>
    <n v="1000"/>
    <x v="1"/>
  </r>
  <r>
    <d v="2019-10-27T00:00:00"/>
    <d v="1899-12-30T14:16:00"/>
    <m/>
    <s v="P"/>
    <n v="2"/>
    <s v="Road Vehicle"/>
    <n v="4"/>
    <x v="3"/>
    <x v="0"/>
    <n v="2"/>
    <x v="1"/>
    <s v="ST.STEPHEN"/>
    <s v="WAKISO"/>
    <s v="UG"/>
    <n v="8"/>
    <s v="Others"/>
    <s v="GARUGA"/>
    <s v="WAKISO"/>
    <s v="UG"/>
    <n v="1"/>
    <s v="Home"/>
    <x v="29"/>
    <n v="2000"/>
    <m/>
    <x v="4"/>
    <n v="0.3"/>
    <x v="4"/>
    <n v="5"/>
    <s v="Professional"/>
    <n v="2"/>
    <x v="1"/>
    <n v="3"/>
    <n v="4"/>
    <n v="1"/>
    <n v="2"/>
    <n v="5"/>
    <s v="Y"/>
    <n v="1500"/>
    <x v="1"/>
  </r>
  <r>
    <d v="2019-10-27T00:00:00"/>
    <d v="1899-12-30T07:41:00"/>
    <m/>
    <s v="P"/>
    <n v="2"/>
    <s v="Road Vehicle"/>
    <n v="4"/>
    <x v="3"/>
    <x v="0"/>
    <n v="2"/>
    <x v="1"/>
    <s v="KATABI"/>
    <s v="WAKISO"/>
    <s v="UG"/>
    <n v="1"/>
    <s v="Home"/>
    <s v="KAMPALA CITY"/>
    <s v="KAMPALA"/>
    <s v="UG"/>
    <n v="6"/>
    <s v="Leisure/Social"/>
    <x v="3"/>
    <n v="4000"/>
    <n v="46"/>
    <x v="1"/>
    <n v="1.5"/>
    <x v="2"/>
    <n v="6"/>
    <s v="Businessman"/>
    <n v="2"/>
    <x v="1"/>
    <n v="4"/>
    <n v="1"/>
    <n v="3"/>
    <n v="2"/>
    <n v="5"/>
    <s v="Y"/>
    <n v="2000"/>
    <x v="4"/>
  </r>
  <r>
    <d v="2019-10-27T00:00:00"/>
    <d v="1899-12-30T09:28:00"/>
    <m/>
    <s v="D"/>
    <n v="2"/>
    <s v="Road Vehicle"/>
    <n v="4"/>
    <x v="3"/>
    <x v="0"/>
    <n v="2"/>
    <x v="1"/>
    <s v="KITORO"/>
    <s v="WAKISO"/>
    <s v="UG"/>
    <n v="2"/>
    <s v="Work"/>
    <s v="GARUGA"/>
    <s v="WAKISO"/>
    <s v="UG"/>
    <n v="6"/>
    <s v="Leisure/Social"/>
    <x v="22"/>
    <n v="70000"/>
    <m/>
    <x v="4"/>
    <n v="1"/>
    <x v="2"/>
    <n v="2"/>
    <s v="Manual Labour"/>
    <n v="2"/>
    <x v="1"/>
    <n v="1"/>
    <n v="2"/>
    <n v="3"/>
    <n v="4"/>
    <n v="5"/>
    <s v="Y"/>
    <m/>
    <x v="0"/>
  </r>
  <r>
    <d v="2019-10-27T00:00:00"/>
    <d v="1899-12-30T09:45:00"/>
    <m/>
    <s v="P"/>
    <n v="2"/>
    <s v="Road Vehicle"/>
    <n v="4"/>
    <x v="3"/>
    <x v="0"/>
    <n v="2"/>
    <x v="1"/>
    <s v="ENTEBBE"/>
    <s v="WAKISO"/>
    <s v="UG"/>
    <n v="1"/>
    <s v="Home"/>
    <s v="KITALA"/>
    <s v="WAKISO"/>
    <s v="UG"/>
    <n v="2"/>
    <s v="Work"/>
    <x v="8"/>
    <n v="15000"/>
    <n v="18"/>
    <x v="6"/>
    <n v="0.1"/>
    <x v="4"/>
    <n v="2"/>
    <s v="Manual Labour"/>
    <n v="1"/>
    <x v="2"/>
    <n v="3"/>
    <n v="1"/>
    <n v="4"/>
    <n v="2"/>
    <n v="5"/>
    <s v="Y"/>
    <n v="1000"/>
    <x v="1"/>
  </r>
  <r>
    <d v="2019-10-27T00:00:00"/>
    <d v="1899-12-30T10:18:00"/>
    <m/>
    <s v="D"/>
    <n v="2"/>
    <s v="Road Vehicle"/>
    <n v="4"/>
    <x v="3"/>
    <x v="0"/>
    <n v="2"/>
    <x v="1"/>
    <s v="KINYARWANDA"/>
    <s v="WAKISO"/>
    <s v="UG"/>
    <n v="1"/>
    <s v="Home"/>
    <s v="KISUBI"/>
    <s v="WAKISO"/>
    <s v="UG"/>
    <n v="8"/>
    <s v="Others"/>
    <x v="4"/>
    <n v="2000"/>
    <n v="20"/>
    <x v="5"/>
    <n v="0.3"/>
    <x v="4"/>
    <n v="2"/>
    <s v="Manual Labour"/>
    <n v="1"/>
    <x v="2"/>
    <n v="5"/>
    <n v="1"/>
    <n v="3"/>
    <n v="2"/>
    <n v="4"/>
    <s v="Y"/>
    <n v="1000"/>
    <x v="1"/>
  </r>
  <r>
    <d v="2019-10-27T00:00:00"/>
    <d v="1899-12-30T11:40:00"/>
    <m/>
    <s v="P"/>
    <n v="2"/>
    <s v="Road Vehicle"/>
    <n v="4"/>
    <x v="3"/>
    <x v="0"/>
    <n v="2"/>
    <x v="1"/>
    <s v="NAKIWOGO"/>
    <s v="WAKISO"/>
    <s v="UG"/>
    <n v="1"/>
    <s v="Home"/>
    <s v="KISUBI"/>
    <s v="WAKISO"/>
    <s v="UG"/>
    <n v="2"/>
    <s v="Work"/>
    <x v="8"/>
    <n v="2000"/>
    <n v="28"/>
    <x v="5"/>
    <n v="0.1"/>
    <x v="4"/>
    <n v="2"/>
    <s v="Manual Labour"/>
    <n v="1"/>
    <x v="2"/>
    <n v="1"/>
    <n v="2"/>
    <n v="5"/>
    <n v="3"/>
    <n v="4"/>
    <s v="Y"/>
    <m/>
    <x v="0"/>
  </r>
  <r>
    <d v="2019-10-27T00:00:00"/>
    <d v="1899-12-30T11:25:00"/>
    <m/>
    <s v="D"/>
    <n v="2"/>
    <s v="Road Vehicle"/>
    <n v="4"/>
    <x v="3"/>
    <x v="0"/>
    <n v="2"/>
    <x v="1"/>
    <s v="KITORO"/>
    <s v="WAKISO"/>
    <s v="UG"/>
    <n v="2"/>
    <s v="Work"/>
    <s v="CENTRAL PARK"/>
    <s v="KAMPALA"/>
    <s v="UG"/>
    <n v="2"/>
    <s v="Work"/>
    <x v="5"/>
    <n v="35000"/>
    <n v="38"/>
    <x v="5"/>
    <n v="1"/>
    <x v="2"/>
    <n v="2"/>
    <s v="Manual Labour"/>
    <n v="1"/>
    <x v="2"/>
    <n v="5"/>
    <n v="3"/>
    <n v="4"/>
    <n v="2"/>
    <n v="1"/>
    <s v="Y"/>
    <n v="1000"/>
    <x v="1"/>
  </r>
  <r>
    <d v="2019-10-27T00:00:00"/>
    <d v="1899-12-30T12:22:00"/>
    <m/>
    <s v="P"/>
    <n v="2"/>
    <s v="Road Vehicle"/>
    <n v="4"/>
    <x v="3"/>
    <x v="0"/>
    <n v="2"/>
    <x v="1"/>
    <s v="KASENYI"/>
    <s v="WAKISO"/>
    <s v="UG"/>
    <n v="1"/>
    <s v="Home"/>
    <s v="CENTRAL PARK"/>
    <s v="KAMPALA"/>
    <s v="UG"/>
    <n v="4"/>
    <s v="Commercial"/>
    <x v="12"/>
    <n v="4000"/>
    <n v="46"/>
    <x v="1"/>
    <n v="1"/>
    <x v="2"/>
    <n v="4"/>
    <s v="Office Worker"/>
    <n v="1"/>
    <x v="2"/>
    <n v="1"/>
    <n v="2"/>
    <n v="5"/>
    <n v="3"/>
    <n v="4"/>
    <s v="Y"/>
    <n v="1000"/>
    <x v="1"/>
  </r>
  <r>
    <d v="2019-10-27T00:00:00"/>
    <d v="1899-12-30T12:31:00"/>
    <m/>
    <s v="P"/>
    <n v="2"/>
    <s v="Road Vehicle"/>
    <n v="4"/>
    <x v="3"/>
    <x v="0"/>
    <n v="2"/>
    <x v="1"/>
    <s v="KASENYI"/>
    <s v="WAKISO"/>
    <s v="UG"/>
    <n v="1"/>
    <s v="Home"/>
    <s v="KAMPALA CITY"/>
    <s v="KAMPALA"/>
    <s v="UG"/>
    <n v="4"/>
    <s v="Commercial"/>
    <x v="12"/>
    <n v="4000"/>
    <n v="36"/>
    <x v="5"/>
    <n v="1"/>
    <x v="2"/>
    <n v="6"/>
    <s v="Businessman"/>
    <n v="2"/>
    <x v="1"/>
    <n v="1"/>
    <n v="3"/>
    <n v="4"/>
    <n v="2"/>
    <n v="5"/>
    <s v="Y"/>
    <n v="1000"/>
    <x v="1"/>
  </r>
  <r>
    <d v="2019-10-27T00:00:00"/>
    <d v="1899-12-30T14:20:00"/>
    <m/>
    <s v="P"/>
    <n v="2"/>
    <s v="Road Vehicle"/>
    <n v="4"/>
    <x v="3"/>
    <x v="0"/>
    <n v="2"/>
    <x v="1"/>
    <s v="ENTEEBE"/>
    <s v="WAKISO"/>
    <s v="UG"/>
    <n v="1"/>
    <s v="Home"/>
    <s v="KITARA"/>
    <s v="WAKISO"/>
    <s v="UG"/>
    <n v="6"/>
    <s v="Leisure/Social"/>
    <x v="3"/>
    <n v="15000"/>
    <n v="18"/>
    <x v="6"/>
    <n v="0.1"/>
    <x v="4"/>
    <n v="6"/>
    <s v="Businessman"/>
    <n v="3"/>
    <x v="0"/>
    <n v="2"/>
    <n v="1"/>
    <n v="5"/>
    <n v="3"/>
    <n v="4"/>
    <s v="Y"/>
    <n v="1000"/>
    <x v="1"/>
  </r>
  <r>
    <d v="2019-10-27T00:00:00"/>
    <d v="1899-12-30T07:19:00"/>
    <m/>
    <s v="P"/>
    <n v="2"/>
    <s v="Road Vehicle"/>
    <n v="4"/>
    <x v="3"/>
    <x v="1"/>
    <n v="2"/>
    <x v="1"/>
    <s v="KITORO"/>
    <s v="WAKISO"/>
    <s v="UG"/>
    <n v="1"/>
    <s v="Home"/>
    <s v="ZANA"/>
    <s v="WAKISO"/>
    <s v="UG"/>
    <n v="2"/>
    <s v="Work"/>
    <x v="8"/>
    <n v="2500"/>
    <n v="30"/>
    <x v="5"/>
    <n v="0.8"/>
    <x v="3"/>
    <n v="6"/>
    <s v="Businessman"/>
    <n v="1"/>
    <x v="2"/>
    <n v="2"/>
    <n v="1"/>
    <n v="2"/>
    <n v="1"/>
    <n v="2"/>
    <s v="Y"/>
    <n v="500"/>
    <x v="0"/>
  </r>
  <r>
    <d v="2019-10-27T00:00:00"/>
    <d v="1899-12-30T08:49:00"/>
    <m/>
    <s v="P"/>
    <n v="2"/>
    <s v="Road Vehicle"/>
    <n v="4"/>
    <x v="3"/>
    <x v="1"/>
    <n v="2"/>
    <x v="1"/>
    <s v="ENTEBBE"/>
    <s v="WAKISO"/>
    <s v="UG"/>
    <n v="1"/>
    <s v="Home"/>
    <s v="KAJJANSI"/>
    <s v="WAKISO"/>
    <s v="UG"/>
    <n v="2"/>
    <s v="Work"/>
    <x v="8"/>
    <n v="2000"/>
    <n v="25"/>
    <x v="5"/>
    <n v="0.5"/>
    <x v="3"/>
    <n v="6"/>
    <s v="Businessman"/>
    <n v="1"/>
    <x v="2"/>
    <n v="1"/>
    <n v="1"/>
    <n v="1"/>
    <n v="2"/>
    <n v="1"/>
    <s v="Y"/>
    <n v="5000"/>
    <x v="2"/>
  </r>
  <r>
    <d v="2019-10-27T00:00:00"/>
    <d v="1899-12-30T12:08:00"/>
    <m/>
    <s v="P"/>
    <n v="2"/>
    <s v="Road Vehicle"/>
    <n v="4"/>
    <x v="3"/>
    <x v="1"/>
    <n v="2"/>
    <x v="1"/>
    <s v="KAMPALA CITY"/>
    <s v="KAMPALA"/>
    <s v="UG"/>
    <n v="1"/>
    <s v="Home"/>
    <s v="LIDO BEACH"/>
    <s v="WAKISO"/>
    <s v="UG"/>
    <n v="6"/>
    <s v="Leisure/Social"/>
    <x v="3"/>
    <n v="4000"/>
    <n v="39"/>
    <x v="5"/>
    <n v="1.5"/>
    <x v="2"/>
    <n v="6"/>
    <s v="Businessman"/>
    <n v="4"/>
    <x v="3"/>
    <n v="2"/>
    <n v="1"/>
    <n v="2"/>
    <n v="1"/>
    <n v="2"/>
    <s v="Y"/>
    <n v="1000"/>
    <x v="1"/>
  </r>
  <r>
    <d v="2019-10-27T00:00:00"/>
    <d v="1899-12-30T12:45:00"/>
    <m/>
    <s v="P"/>
    <n v="2"/>
    <s v="Road Vehicle"/>
    <n v="4"/>
    <x v="3"/>
    <x v="1"/>
    <n v="2"/>
    <x v="1"/>
    <s v="KAMPALA CITY"/>
    <s v="KAMPALA"/>
    <s v="UG"/>
    <n v="2"/>
    <s v="Work"/>
    <s v="KITORO"/>
    <s v="WAKISO"/>
    <s v="UG"/>
    <n v="1"/>
    <s v="Home"/>
    <x v="1"/>
    <n v="3000"/>
    <n v="38"/>
    <x v="5"/>
    <n v="1"/>
    <x v="2"/>
    <n v="6"/>
    <s v="Businessman"/>
    <n v="1"/>
    <x v="2"/>
    <n v="5"/>
    <n v="2"/>
    <n v="1"/>
    <n v="2"/>
    <n v="1"/>
    <s v="Y"/>
    <n v="500"/>
    <x v="0"/>
  </r>
  <r>
    <d v="2019-10-27T00:00:00"/>
    <d v="1899-12-30T12:58:00"/>
    <m/>
    <s v="P"/>
    <n v="2"/>
    <s v="Road Vehicle"/>
    <n v="4"/>
    <x v="3"/>
    <x v="1"/>
    <n v="2"/>
    <x v="1"/>
    <s v="NATETE"/>
    <s v="KAMPALA"/>
    <s v="UG"/>
    <n v="2"/>
    <s v="Work"/>
    <s v="ENTEBBE TOWN"/>
    <s v="WAKISO"/>
    <s v="UG"/>
    <n v="2"/>
    <s v="Work"/>
    <x v="5"/>
    <n v="4000"/>
    <n v="40"/>
    <x v="1"/>
    <n v="1.5"/>
    <x v="2"/>
    <n v="6"/>
    <s v="Businessman"/>
    <n v="3"/>
    <x v="0"/>
    <n v="1"/>
    <n v="1"/>
    <n v="2"/>
    <n v="1"/>
    <n v="1"/>
    <s v="Y"/>
    <n v="500"/>
    <x v="0"/>
  </r>
  <r>
    <d v="2019-10-27T00:00:00"/>
    <d v="1899-12-30T14:00:00"/>
    <m/>
    <s v="D"/>
    <n v="2"/>
    <s v="Road Vehicle"/>
    <n v="4"/>
    <x v="3"/>
    <x v="1"/>
    <n v="2"/>
    <x v="1"/>
    <s v="KITORO"/>
    <s v="WAKISO"/>
    <s v="UG"/>
    <n v="2"/>
    <s v="Work"/>
    <s v="KAMPALA CITY"/>
    <s v="KAMPALA"/>
    <s v="UG"/>
    <n v="2"/>
    <s v="Work"/>
    <x v="5"/>
    <n v="15000"/>
    <n v="35"/>
    <x v="5"/>
    <n v="1"/>
    <x v="2"/>
    <n v="5"/>
    <s v="Professional"/>
    <n v="4"/>
    <x v="3"/>
    <n v="2"/>
    <n v="1"/>
    <n v="2"/>
    <n v="1"/>
    <n v="2"/>
    <s v="Y"/>
    <n v="500"/>
    <x v="0"/>
  </r>
  <r>
    <d v="2019-10-27T00:00:00"/>
    <d v="1899-12-30T16:20:00"/>
    <m/>
    <s v="P"/>
    <n v="2"/>
    <s v="Road Vehicle"/>
    <n v="4"/>
    <x v="3"/>
    <x v="1"/>
    <n v="2"/>
    <x v="1"/>
    <s v="ENTEBBE"/>
    <s v="WAKISO"/>
    <s v="UG"/>
    <n v="1"/>
    <s v="Home"/>
    <s v="NKUMBA"/>
    <s v="WAKISO"/>
    <s v="UG"/>
    <n v="3"/>
    <s v="Study"/>
    <x v="10"/>
    <n v="1000"/>
    <n v="8"/>
    <x v="4"/>
    <n v="0.1"/>
    <x v="4"/>
    <n v="8"/>
    <s v="Student"/>
    <n v="1"/>
    <x v="2"/>
    <n v="1"/>
    <n v="1"/>
    <n v="1"/>
    <n v="1"/>
    <n v="2"/>
    <s v="Y"/>
    <n v="500"/>
    <x v="0"/>
  </r>
  <r>
    <d v="2019-10-27T00:00:00"/>
    <d v="1899-12-30T16:25:00"/>
    <m/>
    <s v="D"/>
    <n v="2"/>
    <s v="Road Vehicle"/>
    <n v="4"/>
    <x v="3"/>
    <x v="1"/>
    <n v="2"/>
    <x v="1"/>
    <s v="KITORO"/>
    <s v="WAKISO"/>
    <s v="UG"/>
    <n v="2"/>
    <s v="Work"/>
    <s v="KAMPALA CITY"/>
    <s v="KAMPALA"/>
    <s v="UG"/>
    <n v="2"/>
    <s v="Work"/>
    <x v="5"/>
    <n v="35000"/>
    <n v="40"/>
    <x v="1"/>
    <n v="1.5"/>
    <x v="2"/>
    <n v="2"/>
    <s v="Manual Labour"/>
    <n v="4"/>
    <x v="3"/>
    <n v="2"/>
    <n v="1"/>
    <n v="1"/>
    <n v="1"/>
    <n v="2"/>
    <s v="Y"/>
    <n v="1000"/>
    <x v="1"/>
  </r>
  <r>
    <d v="2019-10-27T00:00:00"/>
    <d v="1899-12-30T17:57:00"/>
    <m/>
    <s v="P"/>
    <n v="2"/>
    <s v="Road Vehicle"/>
    <n v="4"/>
    <x v="3"/>
    <x v="1"/>
    <n v="2"/>
    <x v="1"/>
    <s v="KAJJANSI"/>
    <s v="WAKISO"/>
    <s v="UG"/>
    <n v="2"/>
    <s v="Work"/>
    <s v="ENTEBBE TOWN"/>
    <s v="WAKISO"/>
    <s v="UG"/>
    <n v="1"/>
    <s v="Home"/>
    <x v="1"/>
    <n v="2000"/>
    <n v="27"/>
    <x v="5"/>
    <n v="0.4"/>
    <x v="4"/>
    <n v="4"/>
    <s v="Office Worker"/>
    <n v="3"/>
    <x v="0"/>
    <n v="1"/>
    <n v="1"/>
    <n v="2"/>
    <n v="1"/>
    <n v="2"/>
    <s v="Y"/>
    <n v="5000"/>
    <x v="2"/>
  </r>
  <r>
    <d v="2019-10-27T00:00:00"/>
    <d v="1899-12-30T18:10:00"/>
    <m/>
    <s v="P"/>
    <n v="2"/>
    <s v="Road Vehicle"/>
    <n v="4"/>
    <x v="3"/>
    <x v="1"/>
    <n v="2"/>
    <x v="1"/>
    <s v="KAMPALA CITY"/>
    <s v="KAMPALA"/>
    <s v="UG"/>
    <n v="2"/>
    <s v="Work"/>
    <s v="GERONGE"/>
    <s v="WAKISO"/>
    <s v="UG"/>
    <n v="1"/>
    <s v="Home"/>
    <x v="1"/>
    <n v="3000"/>
    <n v="39"/>
    <x v="5"/>
    <n v="1.5"/>
    <x v="2"/>
    <n v="4"/>
    <s v="Office Worker"/>
    <n v="2"/>
    <x v="1"/>
    <n v="2"/>
    <n v="1"/>
    <n v="2"/>
    <n v="1"/>
    <n v="2"/>
    <s v="Y"/>
    <n v="5000"/>
    <x v="2"/>
  </r>
  <r>
    <d v="2019-10-27T00:00:00"/>
    <d v="1899-12-30T18:37:00"/>
    <m/>
    <s v="P"/>
    <n v="2"/>
    <s v="Road Vehicle"/>
    <n v="4"/>
    <x v="3"/>
    <x v="1"/>
    <n v="2"/>
    <x v="1"/>
    <s v="KAMPALA CITY"/>
    <s v="KAMPALA"/>
    <s v="UG"/>
    <n v="2"/>
    <s v="Work"/>
    <s v="ENTEBBE TOWN"/>
    <s v="WAKISO"/>
    <s v="UG"/>
    <n v="1"/>
    <s v="Home"/>
    <x v="1"/>
    <n v="3000"/>
    <n v="39"/>
    <x v="5"/>
    <n v="2"/>
    <x v="1"/>
    <n v="4"/>
    <s v="Office Worker"/>
    <n v="3"/>
    <x v="0"/>
    <n v="5"/>
    <n v="1"/>
    <n v="1"/>
    <n v="1"/>
    <n v="1"/>
    <s v="Y"/>
    <n v="1000"/>
    <x v="1"/>
  </r>
  <r>
    <d v="2019-10-27T00:00:00"/>
    <d v="1899-12-30T18:58:00"/>
    <m/>
    <s v="P"/>
    <n v="2"/>
    <s v="Road Vehicle"/>
    <n v="4"/>
    <x v="3"/>
    <x v="1"/>
    <n v="2"/>
    <x v="1"/>
    <s v="KAMPALA CITY"/>
    <s v="KAMPALA"/>
    <s v="UG"/>
    <n v="1"/>
    <s v="Home"/>
    <s v="ENTEBBE TOWN"/>
    <s v="WAKISO"/>
    <s v="UG"/>
    <n v="2"/>
    <s v="Work"/>
    <x v="8"/>
    <n v="3000"/>
    <n v="39"/>
    <x v="5"/>
    <n v="2"/>
    <x v="1"/>
    <n v="6"/>
    <s v="Businessman"/>
    <n v="3"/>
    <x v="0"/>
    <n v="5"/>
    <n v="2"/>
    <n v="1"/>
    <n v="2"/>
    <n v="1"/>
    <s v="Y"/>
    <n v="1000"/>
    <x v="1"/>
  </r>
  <r>
    <d v="2019-10-27T00:00:00"/>
    <d v="1899-12-30T12:57:00"/>
    <m/>
    <s v="D"/>
    <n v="2"/>
    <s v="Road Vehicle"/>
    <n v="4"/>
    <x v="3"/>
    <x v="1"/>
    <n v="2"/>
    <x v="1"/>
    <s v="MATUGGA"/>
    <s v="WAKISO"/>
    <s v="UG"/>
    <n v="1"/>
    <s v="Home"/>
    <s v="AIRPORT"/>
    <s v="WAKISO"/>
    <s v="UG"/>
    <n v="2"/>
    <s v="Work"/>
    <x v="8"/>
    <n v="80000"/>
    <n v="50"/>
    <x v="1"/>
    <n v="3"/>
    <x v="1"/>
    <n v="4"/>
    <s v="Office Worker"/>
    <n v="2"/>
    <x v="1"/>
    <n v="5"/>
    <n v="2"/>
    <n v="1"/>
    <n v="2"/>
    <n v="1"/>
    <s v="Y"/>
    <n v="10000"/>
    <x v="3"/>
  </r>
  <r>
    <d v="2019-10-27T00:00:00"/>
    <d v="1899-12-30T11:16:00"/>
    <m/>
    <s v="D"/>
    <n v="2"/>
    <s v="Road Vehicle"/>
    <n v="4"/>
    <x v="3"/>
    <x v="1"/>
    <n v="2"/>
    <x v="1"/>
    <s v="OLD TAXI PARK"/>
    <s v="KAMPALA"/>
    <s v="UG"/>
    <n v="2"/>
    <s v="Work"/>
    <s v="ENTEBBE PARK"/>
    <s v="WAKISO"/>
    <s v="UG"/>
    <n v="2"/>
    <s v="Work"/>
    <x v="5"/>
    <n v="15000"/>
    <n v="45"/>
    <x v="1"/>
    <n v="2"/>
    <x v="1"/>
    <n v="5"/>
    <s v="Professional"/>
    <n v="2"/>
    <x v="1"/>
    <n v="1"/>
    <n v="2"/>
    <n v="5"/>
    <n v="1"/>
    <n v="1"/>
    <s v="Y"/>
    <n v="2000"/>
    <x v="4"/>
  </r>
  <r>
    <d v="2019-10-27T00:00:00"/>
    <d v="1899-12-30T10:41:00"/>
    <m/>
    <s v="D"/>
    <n v="2"/>
    <s v="Road Vehicle"/>
    <n v="4"/>
    <x v="3"/>
    <x v="1"/>
    <n v="2"/>
    <x v="1"/>
    <s v="KAWEMPE"/>
    <s v="KAMPALA"/>
    <s v="UG"/>
    <n v="2"/>
    <s v="Work"/>
    <s v="ENTEBBE TOWN"/>
    <s v="WAKISO"/>
    <s v="UG"/>
    <n v="2"/>
    <s v="Work"/>
    <x v="5"/>
    <n v="70000"/>
    <m/>
    <x v="4"/>
    <n v="2"/>
    <x v="1"/>
    <n v="6"/>
    <s v="Businessman"/>
    <n v="3"/>
    <x v="0"/>
    <n v="1"/>
    <n v="1"/>
    <n v="1"/>
    <n v="1"/>
    <n v="1"/>
    <s v="Y"/>
    <n v="1000"/>
    <x v="1"/>
  </r>
  <r>
    <d v="2019-10-27T00:00:00"/>
    <d v="1899-12-30T07:08:00"/>
    <m/>
    <s v="P"/>
    <n v="2"/>
    <s v="Road Vehicle"/>
    <n v="4"/>
    <x v="3"/>
    <x v="1"/>
    <n v="2"/>
    <x v="1"/>
    <s v="OLD TAXI PARK"/>
    <s v="KAMPALA"/>
    <s v="UG"/>
    <n v="1"/>
    <s v="Home"/>
    <s v="KITORO"/>
    <s v="WAKISO"/>
    <s v="UG"/>
    <n v="2"/>
    <s v="Work"/>
    <x v="8"/>
    <n v="3500"/>
    <n v="100"/>
    <x v="2"/>
    <n v="1"/>
    <x v="2"/>
    <n v="4"/>
    <s v="Office Worker"/>
    <n v="2"/>
    <x v="1"/>
    <n v="1"/>
    <n v="1"/>
    <n v="1"/>
    <n v="1"/>
    <n v="1"/>
    <s v="Y"/>
    <n v="5000"/>
    <x v="2"/>
  </r>
  <r>
    <d v="2019-10-27T00:00:00"/>
    <d v="1899-12-30T09:30:00"/>
    <m/>
    <s v="D"/>
    <n v="2"/>
    <s v="Road Vehicle"/>
    <n v="4"/>
    <x v="3"/>
    <x v="1"/>
    <n v="2"/>
    <x v="1"/>
    <s v="KIBUYE"/>
    <s v="KAMPALA"/>
    <s v="UG"/>
    <n v="7"/>
    <s v="Hospital"/>
    <s v="ENTEBBE "/>
    <s v="WAKISO"/>
    <s v="UG"/>
    <n v="7"/>
    <s v="Hospital"/>
    <x v="35"/>
    <n v="100000"/>
    <m/>
    <x v="4"/>
    <m/>
    <x v="4"/>
    <n v="5"/>
    <s v="Professional"/>
    <n v="1"/>
    <x v="2"/>
    <n v="1"/>
    <n v="5"/>
    <n v="1"/>
    <n v="1"/>
    <n v="1"/>
    <s v="Y"/>
    <n v="4000"/>
    <x v="5"/>
  </r>
  <r>
    <d v="2019-10-27T00:00:00"/>
    <d v="1899-12-30T09:20:00"/>
    <m/>
    <s v="D"/>
    <n v="2"/>
    <s v="Road Vehicle"/>
    <n v="4"/>
    <x v="3"/>
    <x v="1"/>
    <n v="2"/>
    <x v="1"/>
    <s v="MITYANA"/>
    <s v="MIYTANA"/>
    <s v="UG"/>
    <n v="2"/>
    <s v="Work"/>
    <s v="AIRPORT"/>
    <s v="WAKISO"/>
    <s v="UG"/>
    <n v="2"/>
    <s v="Work"/>
    <x v="5"/>
    <n v="90000"/>
    <n v="84"/>
    <x v="0"/>
    <n v="3"/>
    <x v="1"/>
    <n v="5"/>
    <s v="Professional"/>
    <n v="2"/>
    <x v="1"/>
    <n v="5"/>
    <n v="1"/>
    <n v="1"/>
    <n v="1"/>
    <n v="1"/>
    <s v="Y"/>
    <n v="4000"/>
    <x v="5"/>
  </r>
  <r>
    <d v="2019-10-27T00:00:00"/>
    <d v="1899-12-30T14:59:00"/>
    <m/>
    <s v="P"/>
    <n v="2"/>
    <s v="Road Vehicle"/>
    <n v="4"/>
    <x v="3"/>
    <x v="1"/>
    <n v="2"/>
    <x v="1"/>
    <s v="NAKIWOGO"/>
    <s v="WAKISO"/>
    <s v="UG"/>
    <n v="1"/>
    <s v="Home"/>
    <s v="ENTEBBE TOWN"/>
    <s v="WAKISO"/>
    <s v="UG"/>
    <n v="8"/>
    <s v="Others"/>
    <x v="4"/>
    <n v="3000"/>
    <m/>
    <x v="4"/>
    <n v="1.5"/>
    <x v="2"/>
    <n v="5"/>
    <s v="Professional"/>
    <n v="3"/>
    <x v="0"/>
    <n v="2"/>
    <n v="5"/>
    <n v="4"/>
    <n v="1"/>
    <n v="3"/>
    <s v="Y"/>
    <n v="500"/>
    <x v="0"/>
  </r>
  <r>
    <d v="2019-10-27T00:00:00"/>
    <d v="1899-12-30T09:18:00"/>
    <m/>
    <s v="P"/>
    <n v="2"/>
    <s v="Road Vehicle"/>
    <n v="4"/>
    <x v="3"/>
    <x v="1"/>
    <n v="2"/>
    <x v="1"/>
    <s v="KITORO"/>
    <s v="WAKISO"/>
    <s v="UG"/>
    <n v="1"/>
    <s v="Home"/>
    <s v="SEETA"/>
    <s v="MUKONO"/>
    <s v="UG"/>
    <n v="6"/>
    <s v="Leisure/Social"/>
    <x v="3"/>
    <n v="6000"/>
    <n v="60"/>
    <x v="1"/>
    <n v="2"/>
    <x v="1"/>
    <n v="4"/>
    <s v="Office Worker"/>
    <n v="3"/>
    <x v="0"/>
    <n v="3"/>
    <n v="2"/>
    <n v="4"/>
    <n v="1"/>
    <n v="5"/>
    <s v="Y"/>
    <n v="1500"/>
    <x v="1"/>
  </r>
  <r>
    <d v="2019-10-27T00:00:00"/>
    <d v="1899-12-30T16:48:00"/>
    <m/>
    <s v="P"/>
    <n v="2"/>
    <s v="Road Vehicle"/>
    <n v="4"/>
    <x v="3"/>
    <x v="1"/>
    <n v="2"/>
    <x v="1"/>
    <s v="KITORO"/>
    <s v="WAKISO"/>
    <s v="UG"/>
    <n v="1"/>
    <s v="Home"/>
    <s v="KABALAGALA"/>
    <s v="KAMPALA"/>
    <s v="UG"/>
    <n v="6"/>
    <s v="Leisure/Social"/>
    <x v="3"/>
    <n v="5000"/>
    <m/>
    <x v="4"/>
    <n v="2"/>
    <x v="1"/>
    <n v="6"/>
    <s v="Businessman"/>
    <n v="2"/>
    <x v="1"/>
    <n v="5"/>
    <n v="4"/>
    <n v="1"/>
    <n v="2"/>
    <n v="3"/>
    <s v="Y"/>
    <n v="1000"/>
    <x v="1"/>
  </r>
  <r>
    <d v="2019-10-27T00:00:00"/>
    <d v="1899-12-30T08:57:00"/>
    <m/>
    <s v="D"/>
    <n v="2"/>
    <s v="Road Vehicle"/>
    <n v="4"/>
    <x v="3"/>
    <x v="1"/>
    <n v="2"/>
    <x v="1"/>
    <s v="KITORO"/>
    <s v="WAKISO"/>
    <s v="UG"/>
    <n v="2"/>
    <s v="Work"/>
    <s v="KAMPALA CITY"/>
    <s v="KAMPALA"/>
    <s v="UG"/>
    <n v="2"/>
    <s v="Work"/>
    <x v="5"/>
    <n v="50000"/>
    <n v="45"/>
    <x v="1"/>
    <n v="1.1000000000000001"/>
    <x v="2"/>
    <n v="10"/>
    <s v="Other"/>
    <n v="2"/>
    <x v="1"/>
    <n v="2"/>
    <n v="3"/>
    <n v="1"/>
    <n v="4"/>
    <n v="5"/>
    <s v="Y"/>
    <n v="1000"/>
    <x v="1"/>
  </r>
  <r>
    <d v="2019-10-27T00:00:00"/>
    <d v="1899-12-30T08:48:00"/>
    <m/>
    <s v="P"/>
    <n v="2"/>
    <s v="Road Vehicle"/>
    <n v="4"/>
    <x v="3"/>
    <x v="1"/>
    <n v="2"/>
    <x v="1"/>
    <s v="AIRPORT"/>
    <s v="WAKISO"/>
    <s v="UG"/>
    <n v="4"/>
    <s v="Commercial"/>
    <s v="NAJJANAKUMBI"/>
    <s v="KAMPALA"/>
    <s v="UG"/>
    <n v="1"/>
    <s v="Home"/>
    <x v="0"/>
    <n v="4000"/>
    <m/>
    <x v="4"/>
    <n v="1"/>
    <x v="2"/>
    <n v="5"/>
    <s v="Professional"/>
    <n v="3"/>
    <x v="0"/>
    <n v="1"/>
    <n v="5"/>
    <n v="3"/>
    <n v="2"/>
    <n v="4"/>
    <s v="Y"/>
    <n v="3000"/>
    <x v="5"/>
  </r>
  <r>
    <d v="2019-10-27T00:00:00"/>
    <d v="1899-12-30T08:11:00"/>
    <m/>
    <s v="D"/>
    <n v="2"/>
    <s v="Road Vehicle"/>
    <n v="4"/>
    <x v="3"/>
    <x v="1"/>
    <n v="2"/>
    <x v="1"/>
    <s v="KITORO"/>
    <s v="WAKISO"/>
    <s v="UG"/>
    <n v="2"/>
    <s v="Work"/>
    <s v="KAMPALA CITY"/>
    <s v="KAMPALA"/>
    <s v="UG"/>
    <n v="2"/>
    <s v="Work"/>
    <x v="5"/>
    <n v="30000"/>
    <n v="50"/>
    <x v="1"/>
    <n v="1.5"/>
    <x v="2"/>
    <n v="10"/>
    <s v="Other"/>
    <n v="1"/>
    <x v="2"/>
    <n v="1"/>
    <n v="2"/>
    <n v="5"/>
    <n v="4"/>
    <n v="3"/>
    <s v="Y"/>
    <n v="1500"/>
    <x v="1"/>
  </r>
  <r>
    <d v="2019-10-27T00:00:00"/>
    <d v="1899-12-30T07:48:00"/>
    <m/>
    <s v="P"/>
    <n v="2"/>
    <s v="Road Vehicle"/>
    <n v="4"/>
    <x v="3"/>
    <x v="1"/>
    <n v="2"/>
    <x v="1"/>
    <s v="KITORO"/>
    <s v="WAKISO"/>
    <s v="UG"/>
    <n v="2"/>
    <s v="Work"/>
    <s v="KAMPALA CITY"/>
    <s v="KAMPALA"/>
    <s v="UG"/>
    <n v="8"/>
    <s v="Others"/>
    <x v="6"/>
    <n v="3000"/>
    <m/>
    <x v="4"/>
    <n v="1"/>
    <x v="2"/>
    <n v="6"/>
    <s v="Businessman"/>
    <n v="2"/>
    <x v="1"/>
    <n v="1"/>
    <n v="3"/>
    <n v="4"/>
    <n v="2"/>
    <n v="5"/>
    <s v="Y"/>
    <n v="500"/>
    <x v="0"/>
  </r>
  <r>
    <d v="2019-10-27T00:00:00"/>
    <d v="1899-12-30T17:36:00"/>
    <m/>
    <s v="P"/>
    <n v="2"/>
    <s v="Road Vehicle"/>
    <n v="4"/>
    <x v="3"/>
    <x v="1"/>
    <n v="2"/>
    <x v="1"/>
    <s v="KITORO"/>
    <s v="WAKISO"/>
    <s v="UG"/>
    <n v="2"/>
    <s v="Work"/>
    <s v="KATABI"/>
    <s v="WAKISO"/>
    <s v="UG"/>
    <n v="1"/>
    <s v="Home"/>
    <x v="1"/>
    <n v="1000"/>
    <n v="6"/>
    <x v="4"/>
    <n v="0.2"/>
    <x v="4"/>
    <n v="6"/>
    <s v="Businessman"/>
    <n v="3"/>
    <x v="0"/>
    <n v="5"/>
    <n v="3"/>
    <n v="4"/>
    <n v="1"/>
    <n v="2"/>
    <s v="Y"/>
    <n v="500"/>
    <x v="0"/>
  </r>
  <r>
    <d v="2019-10-27T00:00:00"/>
    <d v="1899-12-30T13:01:00"/>
    <m/>
    <s v="D"/>
    <n v="2"/>
    <s v="Road Vehicle"/>
    <n v="4"/>
    <x v="3"/>
    <x v="1"/>
    <n v="2"/>
    <x v="1"/>
    <s v="KITORO"/>
    <s v="WAKISO"/>
    <s v="UG"/>
    <n v="2"/>
    <s v="Work"/>
    <s v="ZANA"/>
    <s v="WAKISO"/>
    <s v="UG"/>
    <n v="2"/>
    <s v="Work"/>
    <x v="5"/>
    <n v="10000"/>
    <n v="30"/>
    <x v="5"/>
    <n v="0.9"/>
    <x v="3"/>
    <n v="10"/>
    <s v="Other"/>
    <n v="2"/>
    <x v="1"/>
    <n v="1"/>
    <n v="2"/>
    <n v="5"/>
    <n v="4"/>
    <n v="3"/>
    <s v="Y"/>
    <n v="1000"/>
    <x v="1"/>
  </r>
  <r>
    <d v="2019-10-27T00:00:00"/>
    <d v="1899-12-30T07:28:00"/>
    <m/>
    <s v="D"/>
    <n v="2"/>
    <s v="Road Vehicle"/>
    <n v="4"/>
    <x v="3"/>
    <x v="1"/>
    <n v="2"/>
    <x v="1"/>
    <s v="ENTEBBE"/>
    <s v="WAKISO"/>
    <s v="UG"/>
    <n v="2"/>
    <s v="Work"/>
    <s v="OLD TAXI PARK"/>
    <s v="KAMPALA"/>
    <s v="UG"/>
    <n v="2"/>
    <s v="Work"/>
    <x v="5"/>
    <n v="40000"/>
    <n v="36"/>
    <x v="5"/>
    <n v="1.5"/>
    <x v="2"/>
    <n v="1"/>
    <s v="Unemployed"/>
    <n v="1"/>
    <x v="2"/>
    <n v="2"/>
    <n v="3"/>
    <n v="4"/>
    <n v="1"/>
    <n v="5"/>
    <s v="Y"/>
    <n v="3000"/>
    <x v="5"/>
  </r>
  <r>
    <d v="2019-10-27T00:00:00"/>
    <d v="1899-12-30T07:38:00"/>
    <m/>
    <s v="D"/>
    <n v="2"/>
    <s v="Road Vehicle"/>
    <n v="4"/>
    <x v="3"/>
    <x v="1"/>
    <n v="2"/>
    <x v="1"/>
    <s v="KITORO"/>
    <s v="WAKISO"/>
    <s v="UG"/>
    <n v="2"/>
    <s v="Work"/>
    <s v="SHOPRITE"/>
    <s v="KAMPALA"/>
    <s v="UG"/>
    <n v="2"/>
    <s v="Work"/>
    <x v="5"/>
    <n v="35000"/>
    <n v="46"/>
    <x v="1"/>
    <n v="1"/>
    <x v="2"/>
    <n v="2"/>
    <s v="Manual Labour"/>
    <n v="1"/>
    <x v="2"/>
    <n v="1"/>
    <n v="2"/>
    <n v="3"/>
    <n v="5"/>
    <n v="4"/>
    <s v="Y"/>
    <n v="2000"/>
    <x v="4"/>
  </r>
  <r>
    <d v="2019-10-27T00:00:00"/>
    <d v="1899-12-30T08:20:00"/>
    <m/>
    <s v="D"/>
    <n v="2"/>
    <s v="Road Vehicle"/>
    <n v="4"/>
    <x v="3"/>
    <x v="1"/>
    <n v="2"/>
    <x v="1"/>
    <s v="KITORO"/>
    <s v="WAKISO"/>
    <s v="UG"/>
    <n v="2"/>
    <s v="Work"/>
    <s v="OLD TAXI PARK"/>
    <s v="KAMPALA"/>
    <s v="UG"/>
    <n v="2"/>
    <s v="Work"/>
    <x v="5"/>
    <n v="35000"/>
    <n v="46"/>
    <x v="1"/>
    <n v="0.9"/>
    <x v="3"/>
    <n v="1"/>
    <s v="Unemployed"/>
    <n v="2"/>
    <x v="1"/>
    <n v="2"/>
    <n v="3"/>
    <n v="4"/>
    <n v="1"/>
    <n v="5"/>
    <s v="Y"/>
    <n v="2000"/>
    <x v="4"/>
  </r>
  <r>
    <d v="2019-10-27T00:00:00"/>
    <d v="1899-12-30T08:38:00"/>
    <m/>
    <s v="D"/>
    <n v="2"/>
    <s v="Road Vehicle"/>
    <n v="4"/>
    <x v="3"/>
    <x v="1"/>
    <n v="2"/>
    <x v="1"/>
    <s v="KASENYI"/>
    <s v="WAKISO"/>
    <s v="UG"/>
    <n v="2"/>
    <s v="Work"/>
    <s v="CENTRAL PARK"/>
    <s v="KAMPALA"/>
    <s v="UG"/>
    <n v="2"/>
    <s v="Work"/>
    <x v="5"/>
    <n v="40000"/>
    <n v="46"/>
    <x v="1"/>
    <n v="1.5"/>
    <x v="2"/>
    <n v="2"/>
    <s v="Manual Labour"/>
    <n v="1"/>
    <x v="2"/>
    <n v="4"/>
    <n v="2"/>
    <n v="3"/>
    <n v="1"/>
    <n v="5"/>
    <s v="Y"/>
    <n v="1000"/>
    <x v="1"/>
  </r>
  <r>
    <d v="2019-10-27T00:00:00"/>
    <d v="1899-12-30T09:56:00"/>
    <m/>
    <s v="P"/>
    <n v="2"/>
    <s v="Road Vehicle"/>
    <n v="4"/>
    <x v="3"/>
    <x v="1"/>
    <n v="2"/>
    <x v="1"/>
    <s v="GARENGE"/>
    <s v="WAKISO"/>
    <s v="UG"/>
    <n v="1"/>
    <s v="Home"/>
    <s v="KITENDE"/>
    <s v="WAKISO"/>
    <s v="UG"/>
    <n v="6"/>
    <s v="Leisure/Social"/>
    <x v="3"/>
    <n v="1000"/>
    <n v="18"/>
    <x v="6"/>
    <n v="0.5"/>
    <x v="3"/>
    <n v="2"/>
    <s v="Manual Labour"/>
    <n v="1"/>
    <x v="2"/>
    <n v="1"/>
    <n v="2"/>
    <n v="3"/>
    <n v="4"/>
    <n v="5"/>
    <s v="Y"/>
    <m/>
    <x v="0"/>
  </r>
  <r>
    <d v="2019-10-27T00:00:00"/>
    <d v="1899-12-30T10:10:00"/>
    <m/>
    <s v="P"/>
    <n v="2"/>
    <s v="Road Vehicle"/>
    <n v="4"/>
    <x v="3"/>
    <x v="1"/>
    <n v="2"/>
    <x v="1"/>
    <s v="ENTEBBE"/>
    <s v="WAKISO"/>
    <s v="UG"/>
    <n v="1"/>
    <s v="Home"/>
    <s v="KITALA"/>
    <s v="WAKISO"/>
    <s v="UG"/>
    <n v="6"/>
    <s v="Leisure/Social"/>
    <x v="3"/>
    <n v="1000"/>
    <n v="15"/>
    <x v="6"/>
    <n v="0.1"/>
    <x v="4"/>
    <n v="2"/>
    <s v="Manual Labour"/>
    <n v="1"/>
    <x v="2"/>
    <n v="2"/>
    <n v="3"/>
    <n v="4"/>
    <n v="1"/>
    <n v="5"/>
    <s v="Y"/>
    <n v="1000"/>
    <x v="1"/>
  </r>
  <r>
    <d v="2019-10-27T00:00:00"/>
    <d v="1899-12-30T10:58:00"/>
    <m/>
    <s v="D"/>
    <n v="2"/>
    <s v="Road Vehicle"/>
    <n v="4"/>
    <x v="3"/>
    <x v="1"/>
    <n v="2"/>
    <x v="1"/>
    <s v="ENTEBBE"/>
    <s v="WAKISO"/>
    <s v="UG"/>
    <n v="2"/>
    <s v="Work"/>
    <s v="OLD TAXI PARK"/>
    <s v="KAMPALA"/>
    <s v="UG"/>
    <n v="2"/>
    <s v="Work"/>
    <x v="5"/>
    <n v="35000"/>
    <n v="36"/>
    <x v="5"/>
    <n v="1"/>
    <x v="2"/>
    <n v="1"/>
    <s v="Unemployed"/>
    <n v="2"/>
    <x v="1"/>
    <n v="2"/>
    <n v="1"/>
    <n v="5"/>
    <n v="3"/>
    <n v="4"/>
    <s v="Y"/>
    <m/>
    <x v="0"/>
  </r>
  <r>
    <d v="2019-10-27T00:00:00"/>
    <d v="1899-12-30T12:00:00"/>
    <m/>
    <s v="P"/>
    <n v="2"/>
    <s v="Road Vehicle"/>
    <n v="4"/>
    <x v="3"/>
    <x v="1"/>
    <n v="2"/>
    <x v="1"/>
    <s v="KITORO"/>
    <s v="WAKISO"/>
    <s v="UG"/>
    <n v="1"/>
    <s v="Home"/>
    <s v="KITARA"/>
    <s v="KAMPALA"/>
    <s v="UG"/>
    <n v="4"/>
    <s v="Commercial"/>
    <x v="12"/>
    <n v="35000"/>
    <n v="36"/>
    <x v="5"/>
    <n v="0.9"/>
    <x v="3"/>
    <n v="6"/>
    <s v="Businessman"/>
    <n v="2"/>
    <x v="1"/>
    <n v="1"/>
    <n v="2"/>
    <n v="3"/>
    <n v="4"/>
    <n v="5"/>
    <s v="Y"/>
    <n v="1000"/>
    <x v="1"/>
  </r>
  <r>
    <d v="2019-10-27T00:00:00"/>
    <d v="1899-12-30T14:29:00"/>
    <m/>
    <s v="D"/>
    <n v="2"/>
    <s v="Road Vehicle"/>
    <n v="4"/>
    <x v="3"/>
    <x v="1"/>
    <n v="2"/>
    <x v="1"/>
    <s v="ENTEBBE"/>
    <s v="WAKISO"/>
    <s v="UG"/>
    <n v="1"/>
    <s v="Home"/>
    <s v="CENTRAL PARK"/>
    <s v="WAKISO"/>
    <s v="UG"/>
    <n v="4"/>
    <s v="Commercial"/>
    <x v="12"/>
    <n v="40000"/>
    <n v="36"/>
    <x v="5"/>
    <n v="1"/>
    <x v="2"/>
    <n v="6"/>
    <s v="Businessman"/>
    <n v="2"/>
    <x v="1"/>
    <n v="2"/>
    <n v="1"/>
    <n v="4"/>
    <n v="3"/>
    <n v="5"/>
    <s v="Y"/>
    <n v="1000"/>
    <x v="1"/>
  </r>
  <r>
    <d v="2019-10-27T00:00:00"/>
    <d v="1899-12-30T14:48:00"/>
    <m/>
    <s v="D"/>
    <n v="2"/>
    <s v="Road Vehicle"/>
    <n v="4"/>
    <x v="3"/>
    <x v="1"/>
    <n v="2"/>
    <x v="1"/>
    <s v="KITORO"/>
    <s v="WAKISO"/>
    <s v="UG"/>
    <n v="2"/>
    <s v="Work"/>
    <s v="OLD TAXI PARK"/>
    <s v="KAMPALA"/>
    <s v="UG"/>
    <n v="2"/>
    <s v="Work"/>
    <x v="5"/>
    <n v="35000"/>
    <n v="36"/>
    <x v="5"/>
    <n v="0.9"/>
    <x v="3"/>
    <n v="2"/>
    <s v="Manual Labour"/>
    <n v="1"/>
    <x v="2"/>
    <n v="1"/>
    <n v="2"/>
    <n v="3"/>
    <n v="4"/>
    <n v="5"/>
    <s v="Y"/>
    <m/>
    <x v="0"/>
  </r>
  <r>
    <d v="2019-10-27T00:00:00"/>
    <d v="1899-12-30T15:08:00"/>
    <m/>
    <s v="D"/>
    <n v="2"/>
    <s v="Road Vehicle"/>
    <n v="4"/>
    <x v="3"/>
    <x v="1"/>
    <n v="2"/>
    <x v="1"/>
    <s v="ENTEBBE"/>
    <s v="WAKISO"/>
    <s v="UG"/>
    <n v="2"/>
    <s v="Work"/>
    <s v="CENTRAL PARK"/>
    <s v="KAMPALA"/>
    <s v="UG"/>
    <n v="2"/>
    <s v="Work"/>
    <x v="5"/>
    <n v="35000"/>
    <n v="38"/>
    <x v="5"/>
    <n v="1"/>
    <x v="2"/>
    <n v="2"/>
    <s v="Manual Labour"/>
    <n v="1"/>
    <x v="2"/>
    <n v="1"/>
    <n v="2"/>
    <n v="3"/>
    <n v="5"/>
    <n v="4"/>
    <s v="Y"/>
    <n v="1000"/>
    <x v="1"/>
  </r>
  <r>
    <d v="2019-10-27T00:00:00"/>
    <d v="1899-12-30T15:32:00"/>
    <m/>
    <s v="D"/>
    <n v="2"/>
    <s v="Road Vehicle"/>
    <n v="4"/>
    <x v="3"/>
    <x v="1"/>
    <n v="2"/>
    <x v="1"/>
    <s v="OLD TAXI PARK"/>
    <s v="KAMPALA"/>
    <s v="UG"/>
    <n v="2"/>
    <s v="Work"/>
    <s v="KITORO"/>
    <s v="WAKISO"/>
    <s v="UG"/>
    <n v="2"/>
    <s v="Work"/>
    <x v="5"/>
    <n v="40000"/>
    <n v="36"/>
    <x v="5"/>
    <n v="0.9"/>
    <x v="3"/>
    <n v="1"/>
    <s v="Unemployed"/>
    <n v="2"/>
    <x v="1"/>
    <n v="1"/>
    <n v="3"/>
    <n v="4"/>
    <n v="2"/>
    <n v="5"/>
    <s v="Y"/>
    <n v="1000"/>
    <x v="1"/>
  </r>
  <r>
    <d v="2019-10-27T00:00:00"/>
    <d v="1899-12-30T16:40:00"/>
    <m/>
    <s v="D"/>
    <n v="2"/>
    <s v="Road Vehicle"/>
    <n v="4"/>
    <x v="3"/>
    <x v="1"/>
    <n v="2"/>
    <x v="1"/>
    <s v="KAMPALA CITY"/>
    <s v="KAMPALA"/>
    <s v="UG"/>
    <n v="2"/>
    <s v="Work"/>
    <s v="ENTEBBE"/>
    <s v="WAKISO"/>
    <s v="UG"/>
    <n v="2"/>
    <s v="Work"/>
    <x v="5"/>
    <n v="40000"/>
    <n v="36"/>
    <x v="5"/>
    <n v="0.9"/>
    <x v="3"/>
    <n v="2"/>
    <s v="Manual Labour"/>
    <n v="1"/>
    <x v="2"/>
    <n v="1"/>
    <n v="2"/>
    <n v="3"/>
    <n v="4"/>
    <n v="5"/>
    <s v="Y"/>
    <m/>
    <x v="0"/>
  </r>
  <r>
    <d v="2019-10-27T00:00:00"/>
    <d v="1899-12-30T16:38:00"/>
    <m/>
    <s v="D"/>
    <n v="2"/>
    <s v="Road Vehicle"/>
    <n v="4"/>
    <x v="3"/>
    <x v="1"/>
    <n v="2"/>
    <x v="1"/>
    <s v="KITORO"/>
    <s v="WAKISO"/>
    <s v="UG"/>
    <n v="2"/>
    <s v="Work"/>
    <s v="KAMPALA CITY"/>
    <s v="KAMPALA"/>
    <s v="UG"/>
    <n v="2"/>
    <s v="Work"/>
    <x v="5"/>
    <n v="35000"/>
    <n v="36"/>
    <x v="5"/>
    <n v="1"/>
    <x v="2"/>
    <n v="2"/>
    <s v="Manual Labour"/>
    <n v="2"/>
    <x v="1"/>
    <n v="1"/>
    <n v="2"/>
    <n v="3"/>
    <n v="4"/>
    <n v="5"/>
    <s v="Y"/>
    <m/>
    <x v="0"/>
  </r>
  <r>
    <d v="2019-10-27T00:00:00"/>
    <d v="1899-12-30T16:18:00"/>
    <m/>
    <s v="D"/>
    <n v="2"/>
    <s v="Road Vehicle"/>
    <n v="4"/>
    <x v="3"/>
    <x v="1"/>
    <n v="2"/>
    <x v="1"/>
    <s v="KITORO"/>
    <s v="WAKISO"/>
    <s v="UG"/>
    <n v="2"/>
    <s v="Work"/>
    <s v="WAKISO"/>
    <s v="WAKISO"/>
    <s v="UG"/>
    <n v="2"/>
    <s v="Work"/>
    <x v="5"/>
    <n v="55000"/>
    <n v="58"/>
    <x v="1"/>
    <n v="2"/>
    <x v="1"/>
    <n v="2"/>
    <s v="Manual Labour"/>
    <n v="1"/>
    <x v="2"/>
    <n v="2"/>
    <n v="3"/>
    <n v="5"/>
    <n v="4"/>
    <n v="1"/>
    <s v="Y"/>
    <m/>
    <x v="0"/>
  </r>
  <r>
    <d v="2019-10-27T00:00:00"/>
    <d v="1899-12-30T15:52:00"/>
    <m/>
    <s v="D"/>
    <n v="2"/>
    <s v="Road Vehicle"/>
    <n v="4"/>
    <x v="3"/>
    <x v="1"/>
    <n v="2"/>
    <x v="1"/>
    <s v="KITORO"/>
    <s v="WAKISO"/>
    <s v="UG"/>
    <n v="2"/>
    <s v="Work"/>
    <s v="TAXI PARK"/>
    <s v="KAMPALA"/>
    <s v="UG"/>
    <n v="2"/>
    <s v="Work"/>
    <x v="5"/>
    <n v="35000"/>
    <n v="36"/>
    <x v="5"/>
    <n v="1"/>
    <x v="2"/>
    <n v="2"/>
    <s v="Manual Labour"/>
    <n v="1"/>
    <x v="2"/>
    <n v="1"/>
    <n v="2"/>
    <n v="3"/>
    <n v="4"/>
    <n v="5"/>
    <s v="Y"/>
    <n v="2000"/>
    <x v="4"/>
  </r>
  <r>
    <d v="2019-10-27T00:00:00"/>
    <d v="1899-12-30T15:45:00"/>
    <m/>
    <s v="D"/>
    <n v="2"/>
    <s v="Road Vehicle"/>
    <n v="4"/>
    <x v="3"/>
    <x v="1"/>
    <n v="2"/>
    <x v="1"/>
    <s v="OLD TAXI PARK"/>
    <s v="KAMPALA"/>
    <s v="UG"/>
    <n v="2"/>
    <s v="Work"/>
    <s v="KITORO"/>
    <s v="WAKISO"/>
    <s v="UG"/>
    <n v="2"/>
    <s v="Work"/>
    <x v="5"/>
    <n v="35000"/>
    <n v="39"/>
    <x v="5"/>
    <n v="1"/>
    <x v="2"/>
    <n v="2"/>
    <s v="Manual Labour"/>
    <n v="2"/>
    <x v="1"/>
    <n v="1"/>
    <n v="2"/>
    <n v="3"/>
    <n v="4"/>
    <n v="5"/>
    <s v="Y"/>
    <n v="2000"/>
    <x v="4"/>
  </r>
  <r>
    <d v="2019-10-27T00:00:00"/>
    <d v="1899-12-30T16:52:00"/>
    <m/>
    <s v="D"/>
    <n v="2"/>
    <s v="Road Vehicle"/>
    <n v="4"/>
    <x v="3"/>
    <x v="1"/>
    <n v="2"/>
    <x v="1"/>
    <s v="KITORO"/>
    <s v="WAKISO"/>
    <s v="UG"/>
    <n v="2"/>
    <s v="Work"/>
    <s v="OLD TAXI PARK"/>
    <s v="KAMPALA"/>
    <s v="UG"/>
    <n v="2"/>
    <s v="Work"/>
    <x v="5"/>
    <n v="40000"/>
    <n v="36"/>
    <x v="5"/>
    <n v="1"/>
    <x v="2"/>
    <n v="1"/>
    <s v="Unemployed"/>
    <n v="2"/>
    <x v="1"/>
    <n v="1"/>
    <n v="2"/>
    <n v="5"/>
    <n v="4"/>
    <n v="3"/>
    <s v="Y"/>
    <n v="1000"/>
    <x v="1"/>
  </r>
  <r>
    <d v="2019-10-27T00:00:00"/>
    <d v="1899-12-30T16:58:00"/>
    <m/>
    <s v="D"/>
    <n v="2"/>
    <s v="Road Vehicle"/>
    <n v="4"/>
    <x v="3"/>
    <x v="1"/>
    <n v="2"/>
    <x v="1"/>
    <s v="FIRM FOUNDATION"/>
    <s v="WAKISO"/>
    <s v="UG"/>
    <n v="2"/>
    <s v="Work"/>
    <s v="KITORO"/>
    <s v="WAKISO"/>
    <s v="UG"/>
    <n v="2"/>
    <s v="Work"/>
    <x v="5"/>
    <n v="10000"/>
    <n v="0.5"/>
    <x v="4"/>
    <n v="0.1"/>
    <x v="4"/>
    <n v="2"/>
    <s v="Manual Labour"/>
    <n v="2"/>
    <x v="1"/>
    <n v="1"/>
    <n v="3"/>
    <n v="4"/>
    <n v="2"/>
    <n v="5"/>
    <s v="Y"/>
    <n v="1000"/>
    <x v="1"/>
  </r>
  <r>
    <d v="2019-10-27T00:00:00"/>
    <d v="1899-12-30T12:00:00"/>
    <m/>
    <s v="D"/>
    <n v="2"/>
    <s v="Road Vehicle"/>
    <n v="3"/>
    <x v="6"/>
    <x v="0"/>
    <n v="2"/>
    <x v="1"/>
    <s v="MUNYONYO"/>
    <s v="KAMPALA"/>
    <s v="UG"/>
    <n v="1"/>
    <s v="Home"/>
    <s v="VICTORIA MALL"/>
    <s v="WAKISO"/>
    <s v="UG"/>
    <n v="8"/>
    <s v="Others"/>
    <x v="4"/>
    <n v="40000"/>
    <n v="45"/>
    <x v="1"/>
    <n v="1"/>
    <x v="2"/>
    <n v="5"/>
    <s v="Professional"/>
    <n v="5"/>
    <x v="4"/>
    <n v="1"/>
    <n v="1"/>
    <n v="1"/>
    <n v="1"/>
    <n v="1"/>
    <s v="Y"/>
    <m/>
    <x v="0"/>
  </r>
  <r>
    <d v="2019-10-27T00:00:00"/>
    <d v="1899-12-30T18:50:00"/>
    <m/>
    <s v="D"/>
    <n v="2"/>
    <s v="Road Vehicle"/>
    <n v="3"/>
    <x v="6"/>
    <x v="1"/>
    <n v="2"/>
    <x v="1"/>
    <s v="ENTEBBE"/>
    <s v="WAKISO"/>
    <s v="UG"/>
    <n v="2"/>
    <s v="Work"/>
    <s v="KASEHYI"/>
    <s v="WAKISO"/>
    <s v="UG"/>
    <n v="1"/>
    <s v="Home"/>
    <x v="1"/>
    <n v="40000"/>
    <n v="38"/>
    <x v="5"/>
    <n v="2"/>
    <x v="1"/>
    <n v="6"/>
    <s v="Businessman"/>
    <n v="4"/>
    <x v="3"/>
    <n v="1"/>
    <n v="1"/>
    <n v="2"/>
    <n v="2"/>
    <n v="2"/>
    <s v="Y"/>
    <n v="1000"/>
    <x v="1"/>
  </r>
  <r>
    <d v="2019-10-27T00:00:00"/>
    <d v="1899-12-30T09:10:00"/>
    <m/>
    <s v="D"/>
    <n v="2"/>
    <s v="Road Vehicle"/>
    <n v="2"/>
    <x v="4"/>
    <x v="0"/>
    <n v="2"/>
    <x v="1"/>
    <s v="KABALAGALA"/>
    <s v="KAMPALA"/>
    <s v="UG"/>
    <n v="1"/>
    <s v="Home"/>
    <s v="LIDO BEACH"/>
    <s v="WAKISO"/>
    <s v="UG"/>
    <n v="6"/>
    <s v="Leisure/Social"/>
    <x v="3"/>
    <n v="50000"/>
    <n v="39"/>
    <x v="5"/>
    <n v="1"/>
    <x v="2"/>
    <n v="4"/>
    <s v="Office Worker"/>
    <n v="4"/>
    <x v="3"/>
    <n v="5"/>
    <n v="1"/>
    <n v="2"/>
    <n v="1"/>
    <n v="2"/>
    <s v="Y"/>
    <n v="1000"/>
    <x v="1"/>
  </r>
  <r>
    <d v="2019-10-27T00:00:00"/>
    <d v="1899-12-30T17:26:00"/>
    <m/>
    <s v="D"/>
    <n v="2"/>
    <s v="Road Vehicle"/>
    <n v="2"/>
    <x v="4"/>
    <x v="0"/>
    <n v="2"/>
    <x v="1"/>
    <s v="ENTEBBE"/>
    <s v="WAKISO"/>
    <s v="UG"/>
    <n v="1"/>
    <s v="Home"/>
    <s v="MBALE TOWN"/>
    <s v="MBALE"/>
    <s v="UG"/>
    <n v="2"/>
    <s v="Work"/>
    <x v="8"/>
    <n v="200000"/>
    <n v="300"/>
    <x v="3"/>
    <n v="1"/>
    <x v="2"/>
    <n v="5"/>
    <s v="Professional"/>
    <n v="5"/>
    <x v="4"/>
    <n v="5"/>
    <n v="2"/>
    <n v="1"/>
    <n v="1"/>
    <n v="2"/>
    <s v="Y"/>
    <n v="5000"/>
    <x v="2"/>
  </r>
  <r>
    <d v="2019-10-27T00:00:00"/>
    <d v="1899-12-30T11:08:00"/>
    <m/>
    <s v="D"/>
    <n v="2"/>
    <s v="Road Vehicle"/>
    <n v="2"/>
    <x v="4"/>
    <x v="0"/>
    <n v="2"/>
    <x v="1"/>
    <s v="SONDE"/>
    <s v="WAKISO"/>
    <s v="UG"/>
    <n v="1"/>
    <s v="Home"/>
    <s v="ENTEBBE BEACH"/>
    <s v="WAKISO"/>
    <s v="UG"/>
    <n v="6"/>
    <s v="Leisure/Social"/>
    <x v="3"/>
    <n v="80000"/>
    <n v="120"/>
    <x v="2"/>
    <n v="3"/>
    <x v="1"/>
    <n v="6"/>
    <s v="Businessman"/>
    <n v="4"/>
    <x v="3"/>
    <n v="5"/>
    <n v="5"/>
    <n v="2"/>
    <n v="5"/>
    <n v="1"/>
    <s v="Y"/>
    <n v="1000"/>
    <x v="1"/>
  </r>
  <r>
    <d v="2019-10-27T00:00:00"/>
    <d v="1899-12-30T11:20:00"/>
    <m/>
    <s v="D"/>
    <n v="2"/>
    <s v="Road Vehicle"/>
    <n v="2"/>
    <x v="4"/>
    <x v="1"/>
    <n v="2"/>
    <x v="1"/>
    <s v="KAJJANSI"/>
    <s v="WAKISO"/>
    <s v="UG"/>
    <n v="1"/>
    <s v="Home"/>
    <s v="AIRPORT"/>
    <s v="WAKISO"/>
    <s v="UG"/>
    <n v="6"/>
    <s v="Leisure/Social"/>
    <x v="3"/>
    <n v="20000"/>
    <n v="29"/>
    <x v="5"/>
    <n v="0.3"/>
    <x v="4"/>
    <n v="6"/>
    <s v="Businessman"/>
    <n v="4"/>
    <x v="3"/>
    <n v="1"/>
    <n v="2"/>
    <n v="1"/>
    <n v="2"/>
    <n v="2"/>
    <s v="Y"/>
    <n v="1000"/>
    <x v="1"/>
  </r>
  <r>
    <d v="2019-10-27T00:00:00"/>
    <d v="1899-12-30T09:49:00"/>
    <m/>
    <s v="D"/>
    <n v="2"/>
    <s v="Road Vehicle"/>
    <n v="2"/>
    <x v="4"/>
    <x v="1"/>
    <n v="2"/>
    <x v="1"/>
    <s v="MAKINDYE"/>
    <s v="WAKISO"/>
    <s v="UG"/>
    <n v="1"/>
    <s v="Home"/>
    <s v="KAMPALA CITY"/>
    <s v="KAMPALA"/>
    <s v="UG"/>
    <n v="2"/>
    <s v="Work"/>
    <x v="8"/>
    <n v="50000"/>
    <n v="42"/>
    <x v="1"/>
    <n v="1.5"/>
    <x v="2"/>
    <n v="6"/>
    <s v="Businessman"/>
    <n v="4"/>
    <x v="3"/>
    <n v="5"/>
    <n v="2"/>
    <n v="1"/>
    <n v="2"/>
    <n v="1"/>
    <s v="Y"/>
    <n v="1000"/>
    <x v="1"/>
  </r>
  <r>
    <d v="2019-10-27T00:00:00"/>
    <d v="1899-12-30T09:57:00"/>
    <m/>
    <s v="D"/>
    <n v="2"/>
    <s v="Road Vehicle"/>
    <n v="2"/>
    <x v="4"/>
    <x v="1"/>
    <n v="2"/>
    <x v="1"/>
    <s v="NTINDA"/>
    <s v="KAMPALA"/>
    <s v="UG"/>
    <n v="1"/>
    <s v="Home"/>
    <s v="LIDO BEACH"/>
    <s v="WAKISO"/>
    <s v="UG"/>
    <n v="6"/>
    <s v="Leisure/Social"/>
    <x v="3"/>
    <n v="70000"/>
    <n v="100"/>
    <x v="2"/>
    <n v="1.5"/>
    <x v="2"/>
    <n v="4"/>
    <s v="Office Worker"/>
    <n v="4"/>
    <x v="3"/>
    <n v="5"/>
    <n v="1"/>
    <n v="2"/>
    <n v="2"/>
    <n v="1"/>
    <s v="Y"/>
    <n v="1000"/>
    <x v="1"/>
  </r>
  <r>
    <d v="2019-10-27T00:00:00"/>
    <d v="1899-12-30T12:30:00"/>
    <m/>
    <s v="D"/>
    <n v="2"/>
    <s v="Road Vehicle"/>
    <n v="2"/>
    <x v="4"/>
    <x v="1"/>
    <n v="2"/>
    <x v="1"/>
    <s v="LWEZA"/>
    <s v="WAKISO"/>
    <s v="UG"/>
    <n v="1"/>
    <s v="Home"/>
    <s v="AIRPORT"/>
    <s v="WAKISO"/>
    <s v="UG"/>
    <n v="5"/>
    <s v="Tourism"/>
    <x v="24"/>
    <n v="30000"/>
    <n v="29"/>
    <x v="5"/>
    <n v="0.9"/>
    <x v="3"/>
    <n v="4"/>
    <s v="Office Worker"/>
    <n v="4"/>
    <x v="3"/>
    <n v="2"/>
    <n v="2"/>
    <n v="1"/>
    <n v="2"/>
    <n v="1"/>
    <s v="Y"/>
    <n v="500"/>
    <x v="0"/>
  </r>
  <r>
    <d v="2019-10-27T00:00:00"/>
    <d v="1899-12-30T13:36:00"/>
    <m/>
    <s v="D"/>
    <n v="2"/>
    <s v="Road Vehicle"/>
    <n v="2"/>
    <x v="4"/>
    <x v="1"/>
    <n v="2"/>
    <x v="1"/>
    <s v="LWEZA"/>
    <s v="WAKISO"/>
    <s v="UG"/>
    <n v="1"/>
    <s v="Home"/>
    <s v="ERO BEACH"/>
    <s v="WAKISO"/>
    <s v="UG"/>
    <n v="6"/>
    <s v="Leisure/Social"/>
    <x v="3"/>
    <n v="10000"/>
    <n v="30"/>
    <x v="5"/>
    <n v="0.8"/>
    <x v="3"/>
    <n v="6"/>
    <s v="Businessman"/>
    <n v="2"/>
    <x v="1"/>
    <n v="1"/>
    <n v="1"/>
    <n v="1"/>
    <n v="5"/>
    <n v="1"/>
    <s v="Y"/>
    <n v="2000"/>
    <x v="4"/>
  </r>
  <r>
    <d v="2019-10-27T00:00:00"/>
    <d v="1899-12-30T07:42:00"/>
    <m/>
    <s v="D"/>
    <n v="2"/>
    <s v="Road Vehicle"/>
    <n v="2"/>
    <x v="4"/>
    <x v="1"/>
    <n v="2"/>
    <x v="1"/>
    <s v="MUNYONYO"/>
    <s v="KAMPALA"/>
    <s v="UG"/>
    <n v="1"/>
    <s v="Home"/>
    <s v="AIRPORT"/>
    <s v="WAKISO"/>
    <s v="UG"/>
    <n v="2"/>
    <s v="Work"/>
    <x v="8"/>
    <n v="30000"/>
    <n v="40"/>
    <x v="1"/>
    <n v="1"/>
    <x v="2"/>
    <n v="4"/>
    <s v="Office Worker"/>
    <n v="2"/>
    <x v="1"/>
    <n v="1"/>
    <n v="1"/>
    <n v="1"/>
    <n v="1"/>
    <n v="1"/>
    <s v="Y"/>
    <n v="9000"/>
    <x v="2"/>
  </r>
  <r>
    <d v="2019-10-27T00:00:00"/>
    <d v="1899-12-30T07:28:00"/>
    <m/>
    <s v="D"/>
    <n v="2"/>
    <s v="Road Vehicle"/>
    <n v="1"/>
    <x v="0"/>
    <x v="0"/>
    <n v="3"/>
    <x v="2"/>
    <s v="AIRPORT"/>
    <s v="WAKISO"/>
    <s v="UG"/>
    <n v="2"/>
    <s v="Work"/>
    <s v="KAMPALA CITY"/>
    <s v="KAMPALA"/>
    <s v="UG"/>
    <n v="1"/>
    <s v="Home"/>
    <x v="1"/>
    <n v="40000"/>
    <n v="36"/>
    <x v="5"/>
    <n v="0.8"/>
    <x v="3"/>
    <n v="4"/>
    <s v="Office Worker"/>
    <n v="4"/>
    <x v="3"/>
    <n v="1"/>
    <n v="2"/>
    <n v="1"/>
    <n v="1"/>
    <n v="2"/>
    <s v="Y"/>
    <n v="500"/>
    <x v="0"/>
  </r>
  <r>
    <d v="2019-10-27T00:00:00"/>
    <d v="1899-12-30T07:55:00"/>
    <m/>
    <s v="D"/>
    <n v="2"/>
    <s v="Road Vehicle"/>
    <n v="1"/>
    <x v="0"/>
    <x v="1"/>
    <n v="3"/>
    <x v="2"/>
    <s v="NAKAWA"/>
    <s v="KAMPALA"/>
    <s v="UG"/>
    <n v="1"/>
    <s v="Home"/>
    <s v="LAKE VICTORIA"/>
    <s v="WAKISO"/>
    <s v="UG"/>
    <n v="2"/>
    <s v="Work"/>
    <x v="8"/>
    <n v="50000"/>
    <n v="100"/>
    <x v="2"/>
    <n v="1"/>
    <x v="2"/>
    <n v="4"/>
    <s v="Office Worker"/>
    <n v="3"/>
    <x v="0"/>
    <n v="5"/>
    <n v="2"/>
    <n v="1"/>
    <n v="2"/>
    <n v="1"/>
    <s v="Y"/>
    <n v="1000"/>
    <x v="1"/>
  </r>
  <r>
    <d v="2019-10-27T00:00:00"/>
    <d v="1899-12-30T10:46:00"/>
    <m/>
    <s v="P"/>
    <n v="2"/>
    <s v="Road Vehicle"/>
    <n v="1"/>
    <x v="0"/>
    <x v="1"/>
    <n v="3"/>
    <x v="2"/>
    <s v="NKUMBA"/>
    <s v="WAKISO"/>
    <s v="UG"/>
    <n v="3"/>
    <s v="Study"/>
    <s v="ENTEBBE TOWN"/>
    <s v="WAKISO"/>
    <s v="UG"/>
    <n v="2"/>
    <s v="Work"/>
    <x v="37"/>
    <n v="1000"/>
    <n v="20"/>
    <x v="5"/>
    <n v="0.3"/>
    <x v="4"/>
    <n v="5"/>
    <s v="Professional"/>
    <n v="3"/>
    <x v="0"/>
    <n v="1"/>
    <n v="1"/>
    <n v="2"/>
    <n v="1"/>
    <n v="1"/>
    <s v="Y"/>
    <n v="2000"/>
    <x v="4"/>
  </r>
  <r>
    <d v="2019-10-27T00:00:00"/>
    <d v="1899-12-30T10:00:00"/>
    <m/>
    <s v="D"/>
    <n v="2"/>
    <s v="Road Vehicle"/>
    <n v="1"/>
    <x v="0"/>
    <x v="1"/>
    <n v="3"/>
    <x v="2"/>
    <s v="NAKAWA"/>
    <s v="KAMPALA"/>
    <s v="UG"/>
    <n v="2"/>
    <s v="Work"/>
    <s v="ENTEBBE TOWN"/>
    <s v="WAKISO"/>
    <s v="UG"/>
    <n v="2"/>
    <s v="Work"/>
    <x v="5"/>
    <n v="35000"/>
    <n v="90"/>
    <x v="0"/>
    <n v="2"/>
    <x v="1"/>
    <n v="4"/>
    <s v="Office Worker"/>
    <n v="3"/>
    <x v="0"/>
    <n v="1"/>
    <n v="5"/>
    <n v="1"/>
    <n v="1"/>
    <n v="2"/>
    <s v="Y"/>
    <n v="4000"/>
    <x v="5"/>
  </r>
  <r>
    <d v="2019-10-27T00:00:00"/>
    <d v="1899-12-30T15:23:00"/>
    <m/>
    <s v="D"/>
    <n v="2"/>
    <s v="Road Vehicle"/>
    <n v="9"/>
    <x v="9"/>
    <x v="1"/>
    <n v="3"/>
    <x v="2"/>
    <s v="AIRPORT"/>
    <s v="WAKISO"/>
    <s v="UG"/>
    <n v="2"/>
    <s v="Work"/>
    <s v="NAKAWA"/>
    <s v="KAMPALA"/>
    <s v="UG"/>
    <n v="2"/>
    <s v="Work"/>
    <x v="5"/>
    <n v="80000"/>
    <n v="70"/>
    <x v="0"/>
    <n v="4"/>
    <x v="0"/>
    <n v="2"/>
    <s v="Manual Labour"/>
    <n v="5"/>
    <x v="4"/>
    <n v="2"/>
    <n v="1"/>
    <n v="2"/>
    <n v="1"/>
    <n v="2"/>
    <s v="Y"/>
    <n v="1000"/>
    <x v="1"/>
  </r>
  <r>
    <d v="2019-10-27T00:00:00"/>
    <d v="1899-12-30T12:23:00"/>
    <m/>
    <s v="D"/>
    <n v="2"/>
    <s v="Road Vehicle"/>
    <n v="9"/>
    <x v="9"/>
    <x v="1"/>
    <n v="3"/>
    <x v="2"/>
    <s v="KAWEMPE"/>
    <s v="KAMPALA"/>
    <s v="UG"/>
    <n v="2"/>
    <s v="Work"/>
    <s v="ENTEBBE"/>
    <s v="WAKISO"/>
    <s v="UG"/>
    <n v="2"/>
    <s v="Work"/>
    <x v="5"/>
    <n v="280000"/>
    <n v="50"/>
    <x v="1"/>
    <n v="2"/>
    <x v="1"/>
    <n v="5"/>
    <s v="Professional"/>
    <n v="4"/>
    <x v="3"/>
    <n v="1"/>
    <n v="1"/>
    <n v="1"/>
    <n v="4"/>
    <n v="1"/>
    <s v="Y"/>
    <n v="1000"/>
    <x v="1"/>
  </r>
  <r>
    <d v="2019-10-27T00:00:00"/>
    <d v="1899-12-30T13:10:00"/>
    <m/>
    <s v="D"/>
    <n v="2"/>
    <s v="Road Vehicle"/>
    <n v="6"/>
    <x v="1"/>
    <x v="1"/>
    <n v="3"/>
    <x v="2"/>
    <s v="KAMPALA CITY"/>
    <s v="KAMPALA"/>
    <s v="UG"/>
    <n v="6"/>
    <s v="Leisure/Social"/>
    <s v="SPINA BEACH"/>
    <s v="WAKISO"/>
    <s v="UG"/>
    <n v="5"/>
    <s v="Tourism"/>
    <x v="38"/>
    <n v="500000"/>
    <n v="40"/>
    <x v="1"/>
    <n v="3"/>
    <x v="1"/>
    <n v="10"/>
    <s v="Other"/>
    <n v="5"/>
    <x v="4"/>
    <n v="1"/>
    <n v="1"/>
    <n v="1"/>
    <n v="1"/>
    <n v="1"/>
    <s v="Y"/>
    <n v="10000"/>
    <x v="3"/>
  </r>
  <r>
    <d v="2019-10-27T00:00:00"/>
    <d v="1899-12-30T13:10:00"/>
    <m/>
    <s v="D"/>
    <n v="2"/>
    <s v="Road Vehicle"/>
    <n v="6"/>
    <x v="1"/>
    <x v="1"/>
    <n v="3"/>
    <x v="2"/>
    <s v="MBARARA"/>
    <s v="MBARARA"/>
    <s v="UG"/>
    <n v="1"/>
    <s v="Home"/>
    <s v="ENTEBBE TOWN"/>
    <s v="WAKISO"/>
    <s v="UG"/>
    <n v="1"/>
    <s v="Home"/>
    <x v="2"/>
    <n v="400000"/>
    <n v="480"/>
    <x v="3"/>
    <n v="5"/>
    <x v="0"/>
    <n v="4"/>
    <s v="Office Worker"/>
    <n v="2"/>
    <x v="1"/>
    <n v="5"/>
    <n v="4"/>
    <n v="1"/>
    <n v="1"/>
    <n v="1"/>
    <s v="Y"/>
    <n v="8000"/>
    <x v="2"/>
  </r>
  <r>
    <d v="2019-10-27T00:00:00"/>
    <d v="1899-12-30T09:10:00"/>
    <m/>
    <s v="P"/>
    <n v="2"/>
    <s v="Road Vehicle"/>
    <n v="5"/>
    <x v="5"/>
    <x v="1"/>
    <n v="3"/>
    <x v="2"/>
    <s v="SEETA"/>
    <s v="MUKONO"/>
    <s v="UG"/>
    <n v="3"/>
    <s v="Study"/>
    <s v="ZOO"/>
    <s v="WAKISO"/>
    <s v="UG"/>
    <n v="5"/>
    <s v="Tourism"/>
    <x v="39"/>
    <n v="400000"/>
    <n v="65"/>
    <x v="1"/>
    <n v="3.5"/>
    <x v="0"/>
    <n v="7"/>
    <s v="Farmer"/>
    <n v="2"/>
    <x v="1"/>
    <n v="1"/>
    <n v="1"/>
    <n v="1"/>
    <n v="1"/>
    <n v="1"/>
    <s v="Y"/>
    <n v="1000"/>
    <x v="1"/>
  </r>
  <r>
    <d v="2019-10-27T00:00:00"/>
    <d v="1899-12-30T16:42:00"/>
    <m/>
    <s v="D"/>
    <n v="2"/>
    <s v="Road Vehicle"/>
    <n v="8"/>
    <x v="8"/>
    <x v="1"/>
    <n v="3"/>
    <x v="2"/>
    <s v="KAWEMPE"/>
    <s v="KAMPALA"/>
    <s v="UG"/>
    <n v="2"/>
    <s v="Work"/>
    <s v="KITORO"/>
    <s v="WAKISO"/>
    <s v="UG"/>
    <n v="2"/>
    <s v="Work"/>
    <x v="5"/>
    <n v="100000"/>
    <n v="59"/>
    <x v="1"/>
    <n v="3"/>
    <x v="1"/>
    <n v="2"/>
    <s v="Manual Labour"/>
    <n v="4"/>
    <x v="3"/>
    <n v="4"/>
    <n v="1"/>
    <n v="2"/>
    <n v="1"/>
    <n v="2"/>
    <s v="Y"/>
    <n v="1000"/>
    <x v="1"/>
  </r>
  <r>
    <d v="2019-10-27T00:00:00"/>
    <d v="1899-12-30T08:57:00"/>
    <m/>
    <s v="P"/>
    <n v="2"/>
    <s v="Road Vehicle"/>
    <n v="4"/>
    <x v="3"/>
    <x v="0"/>
    <n v="3"/>
    <x v="2"/>
    <s v="LUBOWA"/>
    <s v="WAKISO"/>
    <s v="UG"/>
    <n v="1"/>
    <s v="Home"/>
    <s v="SPINA BEACH"/>
    <s v="WAKISO"/>
    <s v="UG"/>
    <n v="6"/>
    <s v="Leisure/Social"/>
    <x v="3"/>
    <n v="3000"/>
    <n v="30"/>
    <x v="5"/>
    <n v="0.9"/>
    <x v="3"/>
    <n v="6"/>
    <s v="Businessman"/>
    <n v="1"/>
    <x v="2"/>
    <n v="2"/>
    <n v="2"/>
    <n v="3"/>
    <n v="1"/>
    <n v="1"/>
    <s v="Y"/>
    <n v="500"/>
    <x v="0"/>
  </r>
  <r>
    <d v="2019-10-27T00:00:00"/>
    <d v="1899-12-30T10:30:00"/>
    <m/>
    <s v="P"/>
    <n v="2"/>
    <s v="Road Vehicle"/>
    <n v="4"/>
    <x v="3"/>
    <x v="0"/>
    <n v="3"/>
    <x v="2"/>
    <s v="KAWEMPE"/>
    <s v="KAMPALA"/>
    <s v="UG"/>
    <n v="2"/>
    <s v="Work"/>
    <s v="ENTEBBE TOWN"/>
    <s v="WAKISO"/>
    <s v="UG"/>
    <n v="2"/>
    <s v="Work"/>
    <x v="5"/>
    <n v="5000"/>
    <n v="100"/>
    <x v="2"/>
    <n v="2"/>
    <x v="1"/>
    <n v="6"/>
    <s v="Businessman"/>
    <n v="3"/>
    <x v="0"/>
    <n v="5"/>
    <n v="2"/>
    <m/>
    <n v="1"/>
    <n v="1"/>
    <s v="Y"/>
    <n v="1000"/>
    <x v="1"/>
  </r>
  <r>
    <d v="2019-10-27T00:00:00"/>
    <d v="1899-12-30T14:48:00"/>
    <m/>
    <s v="P"/>
    <n v="2"/>
    <s v="Road Vehicle"/>
    <n v="4"/>
    <x v="3"/>
    <x v="0"/>
    <n v="3"/>
    <x v="2"/>
    <s v="SEETA"/>
    <s v="MUKONO"/>
    <s v="UG"/>
    <n v="1"/>
    <s v="Home"/>
    <s v="SSESE"/>
    <s v="WAKISO"/>
    <s v="UG"/>
    <n v="6"/>
    <s v="Leisure/Social"/>
    <x v="3"/>
    <n v="7000"/>
    <m/>
    <x v="4"/>
    <n v="2.5"/>
    <x v="1"/>
    <n v="6"/>
    <s v="Businessman"/>
    <n v="3"/>
    <x v="0"/>
    <n v="2"/>
    <n v="4"/>
    <n v="5"/>
    <n v="1"/>
    <n v="3"/>
    <s v="Y"/>
    <n v="300"/>
    <x v="0"/>
  </r>
  <r>
    <d v="2019-10-27T00:00:00"/>
    <d v="1899-12-30T09:32:00"/>
    <m/>
    <s v="P"/>
    <n v="2"/>
    <s v="Road Vehicle"/>
    <n v="4"/>
    <x v="3"/>
    <x v="0"/>
    <n v="3"/>
    <x v="2"/>
    <s v="BUGONGA"/>
    <s v="WAKISO"/>
    <s v="UG"/>
    <n v="1"/>
    <s v="Home"/>
    <s v="KAWUKU"/>
    <s v="WAKISO"/>
    <s v="UG"/>
    <n v="6"/>
    <s v="Leisure/Social"/>
    <x v="3"/>
    <n v="2500"/>
    <m/>
    <x v="4"/>
    <n v="0.4"/>
    <x v="4"/>
    <n v="6"/>
    <s v="Businessman"/>
    <n v="2"/>
    <x v="1"/>
    <n v="3"/>
    <n v="4"/>
    <n v="2"/>
    <n v="1"/>
    <n v="5"/>
    <s v="Y"/>
    <n v="500"/>
    <x v="0"/>
  </r>
  <r>
    <d v="2019-10-27T00:00:00"/>
    <d v="1899-12-30T07:59:00"/>
    <m/>
    <s v="P"/>
    <n v="2"/>
    <s v="Road Vehicle"/>
    <n v="4"/>
    <x v="3"/>
    <x v="0"/>
    <n v="3"/>
    <x v="2"/>
    <s v="KITORO"/>
    <s v="WAKISO"/>
    <s v="UG"/>
    <n v="1"/>
    <s v="Home"/>
    <s v="KITALA"/>
    <s v="WAKISO"/>
    <s v="UG"/>
    <n v="6"/>
    <s v="Leisure/Social"/>
    <x v="3"/>
    <n v="1500"/>
    <m/>
    <x v="4"/>
    <n v="0.3"/>
    <x v="4"/>
    <n v="6"/>
    <s v="Businessman"/>
    <n v="3"/>
    <x v="0"/>
    <n v="3"/>
    <n v="4"/>
    <n v="2"/>
    <n v="1"/>
    <n v="5"/>
    <s v="Y"/>
    <n v="1000"/>
    <x v="1"/>
  </r>
  <r>
    <d v="2019-10-27T00:00:00"/>
    <d v="1899-12-30T12:34:00"/>
    <m/>
    <s v="P"/>
    <n v="2"/>
    <s v="Road Vehicle"/>
    <n v="4"/>
    <x v="3"/>
    <x v="0"/>
    <n v="3"/>
    <x v="2"/>
    <s v="KITORO"/>
    <s v="WAKISO"/>
    <s v="UG"/>
    <n v="8"/>
    <s v="Others"/>
    <s v="BAITA ABABIRI"/>
    <s v="WAKISO"/>
    <s v="UG"/>
    <n v="1"/>
    <s v="Home"/>
    <x v="29"/>
    <n v="1000"/>
    <n v="6"/>
    <x v="4"/>
    <n v="0.1"/>
    <x v="4"/>
    <n v="4"/>
    <s v="Office Worker"/>
    <n v="4"/>
    <x v="3"/>
    <n v="2"/>
    <n v="4"/>
    <n v="1"/>
    <n v="3"/>
    <n v="5"/>
    <s v="Y"/>
    <n v="5000"/>
    <x v="2"/>
  </r>
  <r>
    <d v="2019-10-27T00:00:00"/>
    <d v="1899-12-30T11:27:00"/>
    <m/>
    <s v="P"/>
    <n v="2"/>
    <s v="Road Vehicle"/>
    <n v="4"/>
    <x v="3"/>
    <x v="1"/>
    <n v="3"/>
    <x v="2"/>
    <s v="KITORO"/>
    <s v="WAKISO"/>
    <s v="UG"/>
    <n v="1"/>
    <s v="Home"/>
    <s v="KAMPALA CITY"/>
    <s v="KAMPALA"/>
    <s v="UG"/>
    <n v="2"/>
    <s v="Work"/>
    <x v="8"/>
    <n v="3000"/>
    <n v="38"/>
    <x v="5"/>
    <n v="1"/>
    <x v="2"/>
    <n v="6"/>
    <s v="Businessman"/>
    <n v="1"/>
    <x v="2"/>
    <n v="2"/>
    <n v="1"/>
    <n v="1"/>
    <n v="2"/>
    <n v="1"/>
    <s v="Y"/>
    <n v="500"/>
    <x v="0"/>
  </r>
  <r>
    <d v="2019-10-27T00:00:00"/>
    <d v="1899-12-30T11:02:00"/>
    <m/>
    <s v="P"/>
    <n v="2"/>
    <s v="Road Vehicle"/>
    <n v="4"/>
    <x v="3"/>
    <x v="1"/>
    <n v="3"/>
    <x v="2"/>
    <s v="MENGO"/>
    <s v="KAMPALA"/>
    <s v="UG"/>
    <n v="1"/>
    <s v="Home"/>
    <s v="LIDO BEACH"/>
    <s v="WAKISO"/>
    <s v="UG"/>
    <n v="6"/>
    <s v="Leisure/Social"/>
    <x v="3"/>
    <n v="4000"/>
    <n v="39"/>
    <x v="5"/>
    <n v="1.5"/>
    <x v="2"/>
    <n v="6"/>
    <s v="Businessman"/>
    <n v="3"/>
    <x v="0"/>
    <n v="5"/>
    <n v="2"/>
    <n v="2"/>
    <n v="2"/>
    <n v="2"/>
    <s v="Y"/>
    <n v="1000"/>
    <x v="1"/>
  </r>
  <r>
    <d v="2019-10-27T00:00:00"/>
    <d v="1899-12-30T14:15:00"/>
    <m/>
    <s v="P"/>
    <n v="2"/>
    <s v="Road Vehicle"/>
    <n v="4"/>
    <x v="3"/>
    <x v="1"/>
    <n v="3"/>
    <x v="2"/>
    <s v="KITORO"/>
    <s v="WAKISO"/>
    <s v="UG"/>
    <n v="1"/>
    <s v="Home"/>
    <s v="KAMPALA CITY"/>
    <s v="KAMPALA"/>
    <s v="UG"/>
    <n v="2"/>
    <s v="Work"/>
    <x v="8"/>
    <n v="3000"/>
    <n v="18"/>
    <x v="6"/>
    <n v="1"/>
    <x v="2"/>
    <n v="6"/>
    <s v="Businessman"/>
    <n v="1"/>
    <x v="2"/>
    <n v="2"/>
    <n v="1"/>
    <n v="2"/>
    <n v="1"/>
    <n v="2"/>
    <s v="Y"/>
    <n v="500"/>
    <x v="0"/>
  </r>
  <r>
    <d v="2019-10-27T00:00:00"/>
    <d v="1899-12-30T15:39:00"/>
    <m/>
    <s v="P"/>
    <n v="2"/>
    <s v="Road Vehicle"/>
    <n v="4"/>
    <x v="3"/>
    <x v="1"/>
    <n v="3"/>
    <x v="2"/>
    <s v="KAMPALA CITY"/>
    <s v="KAMPALA"/>
    <s v="UG"/>
    <n v="2"/>
    <s v="Work"/>
    <s v="KITORO"/>
    <s v="WAKISO"/>
    <s v="UG"/>
    <n v="1"/>
    <s v="Home"/>
    <x v="1"/>
    <n v="3000"/>
    <n v="38"/>
    <x v="5"/>
    <n v="1.5"/>
    <x v="2"/>
    <n v="5"/>
    <s v="Professional"/>
    <n v="3"/>
    <x v="0"/>
    <n v="5"/>
    <n v="1"/>
    <n v="1"/>
    <n v="2"/>
    <n v="1"/>
    <s v="Y"/>
    <n v="500"/>
    <x v="0"/>
  </r>
  <r>
    <d v="2019-10-27T00:00:00"/>
    <d v="1899-12-30T15:47:00"/>
    <m/>
    <s v="P"/>
    <n v="2"/>
    <s v="Road Vehicle"/>
    <n v="4"/>
    <x v="3"/>
    <x v="1"/>
    <n v="3"/>
    <x v="2"/>
    <s v="KAMPALA CITY"/>
    <s v="KAMPALA"/>
    <s v="UG"/>
    <n v="2"/>
    <s v="Work"/>
    <s v="ENTEBBE TOWN"/>
    <s v="WAKISO"/>
    <s v="UG"/>
    <n v="1"/>
    <s v="Home"/>
    <x v="1"/>
    <n v="3000"/>
    <n v="39"/>
    <x v="5"/>
    <n v="1.5"/>
    <x v="2"/>
    <n v="6"/>
    <s v="Businessman"/>
    <n v="2"/>
    <x v="1"/>
    <n v="2"/>
    <n v="1"/>
    <n v="1"/>
    <n v="2"/>
    <n v="1"/>
    <s v="Y"/>
    <n v="1000"/>
    <x v="1"/>
  </r>
  <r>
    <d v="2019-10-27T00:00:00"/>
    <d v="1899-12-30T14:01:00"/>
    <m/>
    <s v="D"/>
    <n v="2"/>
    <s v="Road Vehicle"/>
    <n v="4"/>
    <x v="3"/>
    <x v="1"/>
    <n v="3"/>
    <x v="2"/>
    <s v="ENTEBBE PARK"/>
    <s v="WAKISO"/>
    <s v="UG"/>
    <n v="2"/>
    <s v="Work"/>
    <s v="OLD TAXI PARK"/>
    <s v="KAMPALA"/>
    <s v="UG"/>
    <n v="2"/>
    <s v="Work"/>
    <x v="5"/>
    <n v="25000"/>
    <n v="36"/>
    <x v="5"/>
    <n v="2"/>
    <x v="1"/>
    <n v="5"/>
    <s v="Professional"/>
    <n v="1"/>
    <x v="2"/>
    <n v="5"/>
    <n v="1"/>
    <n v="4"/>
    <n v="1"/>
    <n v="1"/>
    <s v="Y"/>
    <n v="1000"/>
    <x v="1"/>
  </r>
  <r>
    <d v="2019-10-27T00:00:00"/>
    <d v="1899-12-30T15:21:00"/>
    <m/>
    <s v="P"/>
    <n v="2"/>
    <s v="Road Vehicle"/>
    <n v="4"/>
    <x v="3"/>
    <x v="1"/>
    <n v="3"/>
    <x v="2"/>
    <s v="KITORO"/>
    <s v="WAKISO"/>
    <s v="UG"/>
    <n v="1"/>
    <s v="Home"/>
    <s v="VICTORIA MALL"/>
    <s v="WAKISO"/>
    <s v="UG"/>
    <n v="6"/>
    <s v="Leisure/Social"/>
    <x v="3"/>
    <n v="2000"/>
    <m/>
    <x v="4"/>
    <n v="0.1"/>
    <x v="4"/>
    <n v="2"/>
    <s v="Manual Labour"/>
    <n v="2"/>
    <x v="1"/>
    <n v="2"/>
    <n v="5"/>
    <n v="4"/>
    <n v="1"/>
    <n v="3"/>
    <s v="Y"/>
    <n v="100"/>
    <x v="0"/>
  </r>
  <r>
    <d v="2019-10-27T00:00:00"/>
    <d v="1899-12-30T14:04:00"/>
    <m/>
    <s v="D"/>
    <n v="2"/>
    <s v="Road Vehicle"/>
    <n v="4"/>
    <x v="3"/>
    <x v="1"/>
    <n v="3"/>
    <x v="2"/>
    <s v="KITORO"/>
    <s v="WAKISO"/>
    <s v="UG"/>
    <n v="2"/>
    <s v="Work"/>
    <s v="ENTEBBE TOWN"/>
    <s v="WAKISO"/>
    <s v="UG"/>
    <n v="2"/>
    <s v="Work"/>
    <x v="5"/>
    <n v="1000"/>
    <n v="3"/>
    <x v="4"/>
    <n v="0.1"/>
    <x v="4"/>
    <n v="10"/>
    <s v="Other"/>
    <n v="2"/>
    <x v="1"/>
    <n v="3"/>
    <n v="2"/>
    <n v="5"/>
    <n v="1"/>
    <n v="4"/>
    <s v="Y"/>
    <m/>
    <x v="0"/>
  </r>
  <r>
    <d v="2019-10-27T00:00:00"/>
    <d v="1899-12-30T08:39:00"/>
    <m/>
    <s v="D"/>
    <n v="2"/>
    <s v="Road Vehicle"/>
    <n v="4"/>
    <x v="3"/>
    <x v="1"/>
    <n v="3"/>
    <x v="2"/>
    <s v="TAXIPARK"/>
    <s v="WAKISO"/>
    <s v="UG"/>
    <n v="2"/>
    <s v="Work"/>
    <s v="OLD TAXI PARK"/>
    <s v="KAMPALA"/>
    <s v="UG"/>
    <n v="2"/>
    <s v="Work"/>
    <x v="5"/>
    <n v="20000"/>
    <n v="40"/>
    <x v="1"/>
    <n v="1"/>
    <x v="2"/>
    <n v="10"/>
    <s v="Other"/>
    <n v="1"/>
    <x v="2"/>
    <n v="1"/>
    <n v="2"/>
    <n v="5"/>
    <n v="4"/>
    <n v="3"/>
    <s v="Y"/>
    <n v="500"/>
    <x v="0"/>
  </r>
  <r>
    <d v="2019-10-27T00:00:00"/>
    <d v="1899-12-30T08:29:00"/>
    <m/>
    <s v="P"/>
    <n v="2"/>
    <s v="Road Vehicle"/>
    <n v="4"/>
    <x v="3"/>
    <x v="1"/>
    <n v="3"/>
    <x v="2"/>
    <s v="KITORO"/>
    <s v="WAKISO"/>
    <s v="UG"/>
    <n v="1"/>
    <s v="Home"/>
    <s v="KISENYI"/>
    <s v="WAKISO"/>
    <s v="UG"/>
    <n v="6"/>
    <s v="Leisure/Social"/>
    <x v="3"/>
    <n v="1000"/>
    <m/>
    <x v="4"/>
    <n v="0.2"/>
    <x v="4"/>
    <n v="5"/>
    <s v="Professional"/>
    <n v="4"/>
    <x v="3"/>
    <n v="1"/>
    <n v="4"/>
    <n v="3"/>
    <n v="2"/>
    <n v="5"/>
    <s v="Y"/>
    <n v="3000"/>
    <x v="5"/>
  </r>
  <r>
    <d v="2019-10-27T00:00:00"/>
    <d v="1899-12-30T12:48:00"/>
    <m/>
    <s v="P"/>
    <n v="2"/>
    <s v="Road Vehicle"/>
    <n v="4"/>
    <x v="3"/>
    <x v="1"/>
    <n v="3"/>
    <x v="2"/>
    <s v="KITORO"/>
    <s v="WAKISO"/>
    <s v="UG"/>
    <n v="1"/>
    <s v="Home"/>
    <s v="LUBOWA"/>
    <s v="WAKISO"/>
    <s v="UG"/>
    <n v="6"/>
    <s v="Leisure/Social"/>
    <x v="3"/>
    <n v="2000"/>
    <n v="18"/>
    <x v="6"/>
    <n v="0.5"/>
    <x v="3"/>
    <n v="6"/>
    <s v="Businessman"/>
    <n v="3"/>
    <x v="0"/>
    <n v="3"/>
    <n v="5"/>
    <n v="2"/>
    <n v="1"/>
    <n v="4"/>
    <s v="Y"/>
    <n v="1000"/>
    <x v="1"/>
  </r>
  <r>
    <d v="2019-10-27T00:00:00"/>
    <d v="1899-12-30T11:51:00"/>
    <m/>
    <s v="P"/>
    <n v="2"/>
    <s v="Road Vehicle"/>
    <n v="4"/>
    <x v="3"/>
    <x v="1"/>
    <n v="3"/>
    <x v="2"/>
    <s v="KITORO"/>
    <s v="WAKISO"/>
    <s v="UG"/>
    <n v="1"/>
    <s v="Home"/>
    <s v="LWEZA"/>
    <s v="WAKISO"/>
    <s v="UG"/>
    <n v="6"/>
    <s v="Leisure/Social"/>
    <x v="3"/>
    <n v="2000"/>
    <n v="27"/>
    <x v="5"/>
    <n v="0.5"/>
    <x v="3"/>
    <n v="5"/>
    <s v="Professional"/>
    <n v="2"/>
    <x v="1"/>
    <n v="2"/>
    <n v="6"/>
    <n v="4"/>
    <n v="1"/>
    <n v="5"/>
    <s v="Y"/>
    <n v="1000"/>
    <x v="1"/>
  </r>
  <r>
    <d v="2019-10-27T00:00:00"/>
    <d v="1899-12-30T11:06:00"/>
    <m/>
    <s v="P"/>
    <n v="2"/>
    <s v="Road Vehicle"/>
    <n v="4"/>
    <x v="3"/>
    <x v="1"/>
    <n v="3"/>
    <x v="2"/>
    <s v="NAKIWOGO"/>
    <s v="WAKISO"/>
    <s v="UG"/>
    <n v="1"/>
    <s v="Home"/>
    <s v="KATABI"/>
    <s v="WAKISO"/>
    <s v="UG"/>
    <n v="6"/>
    <s v="Leisure/Social"/>
    <x v="3"/>
    <n v="1000"/>
    <m/>
    <x v="4"/>
    <n v="0.1"/>
    <x v="4"/>
    <n v="4"/>
    <s v="Office Worker"/>
    <n v="3"/>
    <x v="0"/>
    <n v="3"/>
    <n v="2"/>
    <n v="4"/>
    <n v="1"/>
    <n v="5"/>
    <s v="Y"/>
    <m/>
    <x v="0"/>
  </r>
  <r>
    <d v="2019-10-27T00:00:00"/>
    <d v="1899-12-30T11:23:00"/>
    <m/>
    <s v="P"/>
    <n v="2"/>
    <s v="Road Vehicle"/>
    <n v="4"/>
    <x v="3"/>
    <x v="1"/>
    <n v="3"/>
    <x v="2"/>
    <s v="BUGONGA"/>
    <s v="WAKISO"/>
    <s v="UG"/>
    <n v="1"/>
    <s v="Home"/>
    <s v="KISUBI"/>
    <s v="WAKISO"/>
    <s v="UG"/>
    <n v="8"/>
    <s v="Others"/>
    <x v="4"/>
    <n v="2500"/>
    <n v="19"/>
    <x v="6"/>
    <n v="0.3"/>
    <x v="4"/>
    <n v="4"/>
    <s v="Office Worker"/>
    <n v="3"/>
    <x v="0"/>
    <n v="4"/>
    <n v="2"/>
    <n v="1"/>
    <n v="3"/>
    <n v="5"/>
    <s v="Y"/>
    <n v="1000"/>
    <x v="1"/>
  </r>
  <r>
    <d v="2019-10-27T00:00:00"/>
    <d v="1899-12-30T14:28:00"/>
    <m/>
    <s v="D"/>
    <n v="2"/>
    <s v="Road Vehicle"/>
    <n v="4"/>
    <x v="3"/>
    <x v="1"/>
    <n v="3"/>
    <x v="2"/>
    <s v="ENTEBBE"/>
    <s v="WAKISO"/>
    <s v="UG"/>
    <n v="1"/>
    <s v="Home"/>
    <s v="GONGA"/>
    <s v="WAKISO"/>
    <s v="UG"/>
    <n v="6"/>
    <s v="Leisure/Social"/>
    <x v="3"/>
    <n v="2000"/>
    <n v="48"/>
    <x v="1"/>
    <n v="0.3"/>
    <x v="4"/>
    <n v="2"/>
    <s v="Manual Labour"/>
    <n v="1"/>
    <x v="2"/>
    <n v="2"/>
    <n v="3"/>
    <n v="4"/>
    <n v="1"/>
    <n v="5"/>
    <s v="Y"/>
    <n v="1000"/>
    <x v="1"/>
  </r>
  <r>
    <d v="2019-10-27T00:00:00"/>
    <d v="1899-12-30T18:55:00"/>
    <m/>
    <s v="D"/>
    <n v="2"/>
    <s v="Road Vehicle"/>
    <n v="3"/>
    <x v="6"/>
    <x v="1"/>
    <n v="3"/>
    <x v="2"/>
    <s v="ENTEBBE"/>
    <s v="WAKISO"/>
    <s v="UG"/>
    <n v="2"/>
    <s v="Work"/>
    <s v="ZANA"/>
    <s v="WAKISO"/>
    <s v="UG"/>
    <n v="1"/>
    <s v="Home"/>
    <x v="1"/>
    <n v="30000"/>
    <n v="30"/>
    <x v="5"/>
    <n v="0.5"/>
    <x v="3"/>
    <n v="6"/>
    <s v="Businessman"/>
    <n v="4"/>
    <x v="3"/>
    <n v="1"/>
    <n v="2"/>
    <n v="1"/>
    <n v="2"/>
    <n v="1"/>
    <s v="Y"/>
    <n v="500"/>
    <x v="0"/>
  </r>
  <r>
    <d v="2019-10-27T00:00:00"/>
    <d v="1899-12-30T08:38:00"/>
    <m/>
    <s v="D"/>
    <n v="2"/>
    <s v="Road Vehicle"/>
    <n v="2"/>
    <x v="4"/>
    <x v="0"/>
    <n v="3"/>
    <x v="2"/>
    <s v="ENTEBBE"/>
    <s v="WAKISO"/>
    <s v="UG"/>
    <n v="2"/>
    <s v="Work"/>
    <s v="BWEBAJJA"/>
    <s v="WAKISO"/>
    <s v="UG"/>
    <n v="2"/>
    <s v="Work"/>
    <x v="5"/>
    <n v="1500"/>
    <n v="15"/>
    <x v="6"/>
    <n v="0.3"/>
    <x v="4"/>
    <n v="6"/>
    <s v="Businessman"/>
    <n v="3"/>
    <x v="0"/>
    <n v="1"/>
    <n v="2"/>
    <n v="1"/>
    <n v="2"/>
    <n v="1"/>
    <s v="Y"/>
    <n v="5000"/>
    <x v="2"/>
  </r>
  <r>
    <d v="2019-10-27T00:00:00"/>
    <d v="1899-12-30T11:48:00"/>
    <m/>
    <s v="D"/>
    <n v="2"/>
    <s v="Road Vehicle"/>
    <n v="2"/>
    <x v="4"/>
    <x v="0"/>
    <n v="3"/>
    <x v="2"/>
    <s v="ENTEBBE"/>
    <s v="WAKISO"/>
    <s v="UG"/>
    <n v="2"/>
    <s v="Work"/>
    <s v="JINJA TOWN"/>
    <s v="JINJA"/>
    <s v="UG"/>
    <n v="2"/>
    <s v="Work"/>
    <x v="5"/>
    <n v="80000"/>
    <n v="200"/>
    <x v="3"/>
    <n v="4"/>
    <x v="0"/>
    <n v="4"/>
    <s v="Office Worker"/>
    <n v="3"/>
    <x v="0"/>
    <n v="5"/>
    <n v="2"/>
    <n v="1"/>
    <n v="1"/>
    <n v="2"/>
    <s v="Y"/>
    <n v="1000"/>
    <x v="1"/>
  </r>
  <r>
    <d v="2019-10-27T00:00:00"/>
    <d v="1899-12-30T14:36:00"/>
    <m/>
    <s v="D"/>
    <n v="2"/>
    <s v="Road Vehicle"/>
    <n v="2"/>
    <x v="4"/>
    <x v="0"/>
    <n v="3"/>
    <x v="2"/>
    <s v="ENTEBBE"/>
    <s v="WAKISO"/>
    <s v="UG"/>
    <n v="2"/>
    <s v="Work"/>
    <s v="MBALE TOWN"/>
    <s v="MBALE"/>
    <s v="UG"/>
    <n v="2"/>
    <s v="Work"/>
    <x v="5"/>
    <n v="150000"/>
    <n v="400"/>
    <x v="3"/>
    <n v="10"/>
    <x v="0"/>
    <n v="5"/>
    <s v="Professional"/>
    <n v="4"/>
    <x v="3"/>
    <n v="5"/>
    <n v="1"/>
    <n v="2"/>
    <n v="2"/>
    <n v="1"/>
    <s v="Y"/>
    <n v="1000"/>
    <x v="1"/>
  </r>
  <r>
    <d v="2019-10-27T00:00:00"/>
    <d v="1899-12-30T16:50:00"/>
    <m/>
    <s v="P"/>
    <n v="2"/>
    <s v="Road Vehicle"/>
    <n v="2"/>
    <x v="4"/>
    <x v="0"/>
    <n v="3"/>
    <x v="2"/>
    <s v="KITORO"/>
    <s v="WAKISO"/>
    <s v="UG"/>
    <n v="1"/>
    <s v="Home"/>
    <s v="KAMPALA CITY"/>
    <s v="KAMPALA"/>
    <s v="UG"/>
    <n v="2"/>
    <s v="Work"/>
    <x v="8"/>
    <n v="8000"/>
    <n v="39"/>
    <x v="5"/>
    <n v="1.5"/>
    <x v="2"/>
    <n v="6"/>
    <s v="Businessman"/>
    <n v="1"/>
    <x v="2"/>
    <n v="2"/>
    <n v="1"/>
    <n v="2"/>
    <n v="1"/>
    <n v="2"/>
    <s v="Y"/>
    <n v="1000"/>
    <x v="1"/>
  </r>
  <r>
    <d v="2019-10-27T00:00:00"/>
    <d v="1899-12-30T17:35:00"/>
    <m/>
    <s v="D"/>
    <n v="2"/>
    <s v="Road Vehicle"/>
    <n v="2"/>
    <x v="4"/>
    <x v="0"/>
    <n v="3"/>
    <x v="2"/>
    <s v="MUNYONYO"/>
    <s v="KAMPALA"/>
    <s v="UG"/>
    <n v="2"/>
    <s v="Work"/>
    <s v="ENTEBBE TOWN"/>
    <s v="WAKISO"/>
    <s v="UG"/>
    <n v="1"/>
    <s v="Home"/>
    <x v="1"/>
    <n v="50000"/>
    <n v="80"/>
    <x v="0"/>
    <n v="3"/>
    <x v="1"/>
    <n v="4"/>
    <s v="Office Worker"/>
    <n v="3"/>
    <x v="0"/>
    <n v="2"/>
    <n v="1"/>
    <n v="2"/>
    <n v="1"/>
    <n v="2"/>
    <s v="Y"/>
    <n v="1000"/>
    <x v="1"/>
  </r>
  <r>
    <d v="2019-10-27T00:00:00"/>
    <d v="1899-12-30T17:00:00"/>
    <m/>
    <s v="D"/>
    <n v="2"/>
    <s v="Road Vehicle"/>
    <n v="2"/>
    <x v="4"/>
    <x v="1"/>
    <n v="3"/>
    <x v="2"/>
    <s v="NKUMBER"/>
    <s v="WAKISO"/>
    <s v="UG"/>
    <n v="3"/>
    <s v="Study"/>
    <s v="ENTEBBE TOWN"/>
    <s v="WAKISO"/>
    <s v="UG"/>
    <n v="1"/>
    <s v="Home"/>
    <x v="9"/>
    <n v="10000"/>
    <n v="8"/>
    <x v="4"/>
    <n v="0.1"/>
    <x v="4"/>
    <n v="6"/>
    <s v="Businessman"/>
    <n v="1"/>
    <x v="2"/>
    <n v="1"/>
    <n v="2"/>
    <n v="1"/>
    <n v="2"/>
    <n v="2"/>
    <s v="Y"/>
    <n v="1000"/>
    <x v="1"/>
  </r>
  <r>
    <d v="2019-10-27T00:00:00"/>
    <d v="1899-12-30T18:00:00"/>
    <m/>
    <s v="D"/>
    <n v="2"/>
    <s v="Road Vehicle"/>
    <n v="2"/>
    <x v="4"/>
    <x v="1"/>
    <n v="3"/>
    <x v="2"/>
    <s v="SPINA BEACH"/>
    <s v="WAKISO"/>
    <s v="UG"/>
    <n v="6"/>
    <s v="Leisure/Social"/>
    <s v="NAJJANAKUMBI"/>
    <s v="KAMPALA"/>
    <s v="UG"/>
    <n v="1"/>
    <s v="Home"/>
    <x v="7"/>
    <n v="40000"/>
    <n v="30"/>
    <x v="5"/>
    <n v="1"/>
    <x v="2"/>
    <n v="6"/>
    <s v="Businessman"/>
    <n v="2"/>
    <x v="1"/>
    <n v="4"/>
    <n v="2"/>
    <n v="1"/>
    <n v="1"/>
    <n v="2"/>
    <n v="2"/>
    <n v="1000"/>
    <x v="1"/>
  </r>
  <r>
    <d v="2019-10-27T00:00:00"/>
    <d v="1899-12-30T07:43:00"/>
    <m/>
    <s v="D"/>
    <n v="2"/>
    <s v="Road Vehicle"/>
    <n v="1"/>
    <x v="0"/>
    <x v="1"/>
    <n v="4"/>
    <x v="3"/>
    <s v="ZANA"/>
    <s v="WAKISO"/>
    <s v="UG"/>
    <n v="1"/>
    <s v="Home"/>
    <s v="AIRPORT"/>
    <s v="WAKISO"/>
    <s v="UG"/>
    <n v="5"/>
    <s v="Tourism"/>
    <x v="24"/>
    <n v="30000"/>
    <n v="30"/>
    <x v="5"/>
    <n v="0.6"/>
    <x v="3"/>
    <n v="6"/>
    <s v="Businessman"/>
    <n v="4"/>
    <x v="3"/>
    <n v="1"/>
    <n v="1"/>
    <n v="2"/>
    <n v="1"/>
    <n v="1"/>
    <s v="Y"/>
    <n v="1000"/>
    <x v="1"/>
  </r>
  <r>
    <d v="2019-10-27T00:00:00"/>
    <d v="1899-12-30T10:42:00"/>
    <m/>
    <s v="D"/>
    <n v="2"/>
    <s v="Road Vehicle"/>
    <n v="9"/>
    <x v="9"/>
    <x v="1"/>
    <n v="4"/>
    <x v="3"/>
    <s v="MUKWANO INDUSTRY"/>
    <s v="KAMPALA"/>
    <s v="UG"/>
    <n v="2"/>
    <s v="Work"/>
    <s v="ENTEBBE TOWN"/>
    <s v="WAKISO"/>
    <s v="UG"/>
    <n v="2"/>
    <s v="Work"/>
    <x v="5"/>
    <n v="300000"/>
    <n v="45"/>
    <x v="1"/>
    <n v="1"/>
    <x v="2"/>
    <n v="5"/>
    <s v="Professional"/>
    <n v="4"/>
    <x v="3"/>
    <n v="1"/>
    <n v="5"/>
    <n v="1"/>
    <n v="1"/>
    <n v="1"/>
    <s v="Y"/>
    <n v="5000"/>
    <x v="2"/>
  </r>
  <r>
    <d v="2019-10-27T00:00:00"/>
    <d v="1899-12-30T15:57:00"/>
    <m/>
    <s v="D"/>
    <n v="2"/>
    <s v="Road Vehicle"/>
    <n v="8"/>
    <x v="8"/>
    <x v="1"/>
    <n v="4"/>
    <x v="3"/>
    <s v="KAZINGA"/>
    <s v="MUKONO"/>
    <s v="UG"/>
    <n v="2"/>
    <s v="Work"/>
    <s v="AIRPORT"/>
    <s v="WAKISO"/>
    <s v="UG"/>
    <n v="2"/>
    <s v="Work"/>
    <x v="5"/>
    <n v="180000"/>
    <n v="150"/>
    <x v="2"/>
    <n v="8"/>
    <x v="0"/>
    <n v="2"/>
    <s v="Manual Labour"/>
    <n v="4"/>
    <x v="3"/>
    <n v="5"/>
    <n v="2"/>
    <n v="1"/>
    <n v="1"/>
    <n v="2"/>
    <s v="Y"/>
    <n v="1000"/>
    <x v="1"/>
  </r>
  <r>
    <d v="2019-10-27T00:00:00"/>
    <d v="1899-12-30T14:47:00"/>
    <m/>
    <s v="P"/>
    <n v="2"/>
    <s v="Road Vehicle"/>
    <n v="4"/>
    <x v="3"/>
    <x v="1"/>
    <n v="4"/>
    <x v="3"/>
    <s v="KITORO"/>
    <s v="WAKISO"/>
    <s v="UG"/>
    <n v="1"/>
    <s v="Home"/>
    <s v="ZANA"/>
    <s v="WAKISO"/>
    <s v="UG"/>
    <n v="2"/>
    <s v="Work"/>
    <x v="8"/>
    <n v="2500"/>
    <n v="30"/>
    <x v="5"/>
    <n v="0.8"/>
    <x v="3"/>
    <n v="6"/>
    <s v="Businessman"/>
    <n v="2"/>
    <x v="1"/>
    <n v="1"/>
    <n v="2"/>
    <n v="2"/>
    <n v="1"/>
    <n v="2"/>
    <s v="Y"/>
    <n v="1000"/>
    <x v="1"/>
  </r>
  <r>
    <d v="2019-10-27T00:00:00"/>
    <d v="1899-12-30T14:28:00"/>
    <m/>
    <s v="P"/>
    <n v="2"/>
    <s v="Road Vehicle"/>
    <n v="4"/>
    <x v="3"/>
    <x v="1"/>
    <n v="4"/>
    <x v="3"/>
    <s v="KITORO"/>
    <s v="WAKISO"/>
    <s v="UG"/>
    <n v="8"/>
    <s v="Others"/>
    <s v="NTINDA"/>
    <s v="KAMPALA"/>
    <s v="UG"/>
    <n v="1"/>
    <s v="Home"/>
    <x v="29"/>
    <n v="5000"/>
    <n v="40"/>
    <x v="1"/>
    <n v="2"/>
    <x v="1"/>
    <n v="6"/>
    <s v="Businessman"/>
    <n v="3"/>
    <x v="0"/>
    <n v="2"/>
    <n v="5"/>
    <n v="3"/>
    <n v="1"/>
    <n v="4"/>
    <s v="Y"/>
    <n v="2000"/>
    <x v="4"/>
  </r>
  <r>
    <d v="2019-10-27T00:00:00"/>
    <d v="1899-12-30T10:48:00"/>
    <m/>
    <s v="P"/>
    <n v="2"/>
    <s v="Road Vehicle"/>
    <n v="4"/>
    <x v="3"/>
    <x v="1"/>
    <n v="4"/>
    <x v="3"/>
    <s v="KITUBULU"/>
    <s v="WAKISO"/>
    <s v="UG"/>
    <n v="1"/>
    <s v="Home"/>
    <s v="NKUMBA"/>
    <s v="WAKISO"/>
    <s v="UG"/>
    <n v="2"/>
    <s v="Work"/>
    <x v="8"/>
    <n v="2000"/>
    <n v="20"/>
    <x v="5"/>
    <n v="0.1"/>
    <x v="4"/>
    <n v="5"/>
    <s v="Professional"/>
    <n v="3"/>
    <x v="0"/>
    <n v="1"/>
    <n v="1"/>
    <n v="1"/>
    <n v="1"/>
    <n v="1"/>
    <s v="Y"/>
    <n v="5000"/>
    <x v="2"/>
  </r>
  <r>
    <d v="2019-10-27T00:00:00"/>
    <d v="1899-12-30T08:00:00"/>
    <m/>
    <s v="D"/>
    <n v="2"/>
    <s v="Road Vehicle"/>
    <n v="3"/>
    <x v="6"/>
    <x v="1"/>
    <n v="4"/>
    <x v="3"/>
    <s v="ENTEBBE"/>
    <s v="WAKISO"/>
    <s v="UG"/>
    <n v="1"/>
    <s v="Home"/>
    <s v="KIBUYE"/>
    <s v="KAMPALA"/>
    <s v="UG"/>
    <n v="2"/>
    <s v="Work"/>
    <x v="8"/>
    <n v="40000"/>
    <n v="34"/>
    <x v="5"/>
    <n v="0.5"/>
    <x v="3"/>
    <n v="4"/>
    <s v="Office Worker"/>
    <n v="4"/>
    <x v="3"/>
    <n v="2"/>
    <n v="1"/>
    <n v="2"/>
    <n v="2"/>
    <n v="1"/>
    <s v="Y"/>
    <n v="1000"/>
    <x v="1"/>
  </r>
  <r>
    <d v="2019-10-27T00:00:00"/>
    <d v="1899-12-30T09:36:00"/>
    <m/>
    <s v="D"/>
    <n v="2"/>
    <s v="Road Vehicle"/>
    <n v="3"/>
    <x v="6"/>
    <x v="1"/>
    <n v="4"/>
    <x v="3"/>
    <s v="ENTEBBE"/>
    <s v="WAKISO"/>
    <s v="UG"/>
    <n v="1"/>
    <s v="Home"/>
    <s v="LIDO BEACH"/>
    <s v="WAKISO"/>
    <s v="UG"/>
    <n v="6"/>
    <s v="Leisure/Social"/>
    <x v="3"/>
    <n v="35000"/>
    <n v="32"/>
    <x v="5"/>
    <n v="0.5"/>
    <x v="3"/>
    <n v="6"/>
    <s v="Businessman"/>
    <n v="4"/>
    <x v="3"/>
    <n v="2"/>
    <n v="1"/>
    <n v="1"/>
    <n v="2"/>
    <n v="1"/>
    <s v="Y"/>
    <n v="500"/>
    <x v="0"/>
  </r>
  <r>
    <d v="2019-10-27T00:00:00"/>
    <d v="1899-12-30T17:45:00"/>
    <m/>
    <s v="D"/>
    <n v="2"/>
    <s v="Road Vehicle"/>
    <n v="2"/>
    <x v="4"/>
    <x v="1"/>
    <n v="4"/>
    <x v="3"/>
    <s v="KITENDE"/>
    <s v="WAKISO"/>
    <s v="UG"/>
    <n v="2"/>
    <s v="Work"/>
    <s v="GERONGE"/>
    <s v="WAKISO"/>
    <s v="UG"/>
    <n v="1"/>
    <s v="Home"/>
    <x v="1"/>
    <n v="20000"/>
    <n v="25"/>
    <x v="5"/>
    <n v="0.3"/>
    <x v="4"/>
    <n v="4"/>
    <s v="Office Worker"/>
    <n v="3"/>
    <x v="0"/>
    <n v="2"/>
    <n v="1"/>
    <n v="2"/>
    <n v="1"/>
    <n v="2"/>
    <s v="Y"/>
    <n v="1000"/>
    <x v="1"/>
  </r>
  <r>
    <d v="2019-10-27T00:00:00"/>
    <d v="1899-12-30T13:10:00"/>
    <m/>
    <s v="D"/>
    <n v="2"/>
    <s v="Road Vehicle"/>
    <n v="2"/>
    <x v="4"/>
    <x v="1"/>
    <n v="4"/>
    <x v="3"/>
    <s v="VICTORIA MALL"/>
    <s v="WAKISO"/>
    <s v="UG"/>
    <n v="8"/>
    <s v="Others"/>
    <s v="AIRPORT"/>
    <s v="WAKISO"/>
    <s v="UG"/>
    <n v="2"/>
    <s v="Work"/>
    <x v="31"/>
    <n v="5000"/>
    <n v="2"/>
    <x v="4"/>
    <n v="0.1"/>
    <x v="4"/>
    <n v="4"/>
    <s v="Office Worker"/>
    <n v="2"/>
    <x v="1"/>
    <n v="1"/>
    <n v="1"/>
    <n v="1"/>
    <n v="1"/>
    <n v="1"/>
    <s v="Y"/>
    <n v="1500"/>
    <x v="1"/>
  </r>
  <r>
    <d v="2019-10-27T00:00:00"/>
    <d v="1899-12-30T16:59:00"/>
    <m/>
    <s v="D"/>
    <n v="2"/>
    <s v="Road Vehicle"/>
    <n v="10"/>
    <x v="7"/>
    <x v="1"/>
    <n v="4"/>
    <x v="3"/>
    <s v="AIRPORT"/>
    <s v="WAKISO"/>
    <s v="UG"/>
    <n v="2"/>
    <s v="Work"/>
    <s v="NAKAWA"/>
    <s v="KAMPALA"/>
    <s v="UG"/>
    <n v="2"/>
    <s v="Work"/>
    <x v="5"/>
    <n v="100000"/>
    <n v="100"/>
    <x v="2"/>
    <n v="10"/>
    <x v="0"/>
    <n v="2"/>
    <s v="Manual Labour"/>
    <n v="5"/>
    <x v="4"/>
    <n v="5"/>
    <n v="2"/>
    <n v="1"/>
    <n v="2"/>
    <n v="1"/>
    <s v="Y"/>
    <n v="1000"/>
    <x v="1"/>
  </r>
  <r>
    <d v="2019-10-27T00:00:00"/>
    <d v="1899-12-30T15:15:00"/>
    <m/>
    <s v="P"/>
    <n v="2"/>
    <s v="Road Vehicle"/>
    <n v="4"/>
    <x v="3"/>
    <x v="1"/>
    <n v="5"/>
    <x v="4"/>
    <s v="KAMPALA CITY"/>
    <s v="KAMPALA"/>
    <s v="UG"/>
    <n v="2"/>
    <s v="Work"/>
    <s v="ENTEBBE TOWN"/>
    <s v="WAKISO"/>
    <s v="UG"/>
    <n v="1"/>
    <s v="Home"/>
    <x v="1"/>
    <n v="3000"/>
    <n v="36"/>
    <x v="5"/>
    <n v="2"/>
    <x v="1"/>
    <n v="6"/>
    <s v="Businessman"/>
    <n v="4"/>
    <x v="3"/>
    <n v="5"/>
    <n v="2"/>
    <n v="1"/>
    <n v="1"/>
    <n v="2"/>
    <s v="Y"/>
    <n v="5000"/>
    <x v="2"/>
  </r>
  <r>
    <d v="2019-10-27T00:00:00"/>
    <d v="1899-12-30T12:27:00"/>
    <m/>
    <s v="P"/>
    <n v="2"/>
    <s v="Road Vehicle"/>
    <n v="4"/>
    <x v="3"/>
    <x v="0"/>
    <n v="1"/>
    <x v="0"/>
    <s v="Busujju"/>
    <s v="Wakiso"/>
    <s v="UGA"/>
    <n v="1"/>
    <s v="Home"/>
    <s v="Wakiso"/>
    <s v="Wakiso"/>
    <s v="UGA"/>
    <n v="6"/>
    <s v="Leisure/Social"/>
    <x v="3"/>
    <n v="3000"/>
    <n v="37"/>
    <x v="5"/>
    <n v="0.9"/>
    <x v="3"/>
    <n v="3"/>
    <s v="Artisan/Domestic"/>
    <n v="1"/>
    <x v="2"/>
    <n v="3"/>
    <n v="5"/>
    <n v="4"/>
    <n v="2"/>
    <n v="1"/>
    <s v="Y"/>
    <n v="5000"/>
    <x v="2"/>
  </r>
  <r>
    <d v="2019-10-27T00:00:00"/>
    <d v="1899-12-30T12:50:00"/>
    <m/>
    <s v="P"/>
    <n v="2"/>
    <s v="Road Vehicle"/>
    <n v="4"/>
    <x v="3"/>
    <x v="0"/>
    <n v="1"/>
    <x v="0"/>
    <s v="Kiboga"/>
    <s v="Kiboga"/>
    <s v="UGA"/>
    <n v="1"/>
    <s v="Home"/>
    <s v="Busujju"/>
    <s v="Wakiso"/>
    <s v="UGA"/>
    <n v="8"/>
    <s v="Others"/>
    <x v="4"/>
    <n v="5000"/>
    <m/>
    <x v="4"/>
    <n v="0.75"/>
    <x v="3"/>
    <n v="3"/>
    <s v="Artisan/Domestic"/>
    <n v="1"/>
    <x v="2"/>
    <n v="4"/>
    <n v="2"/>
    <n v="1"/>
    <n v="3"/>
    <n v="5"/>
    <s v="Y"/>
    <m/>
    <x v="0"/>
  </r>
  <r>
    <d v="2019-10-27T00:00:00"/>
    <d v="1899-12-30T11:38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2"/>
    <s v="Work"/>
    <x v="8"/>
    <n v="5000"/>
    <m/>
    <x v="4"/>
    <n v="1.5"/>
    <x v="2"/>
    <n v="3"/>
    <s v="Artisan/Domestic"/>
    <n v="1"/>
    <x v="2"/>
    <n v="4"/>
    <n v="3"/>
    <n v="2"/>
    <n v="1"/>
    <n v="5"/>
    <s v="Y"/>
    <n v="1000"/>
    <x v="1"/>
  </r>
  <r>
    <d v="2019-10-27T00:00:00"/>
    <d v="1899-12-30T10:53:00"/>
    <m/>
    <s v="P"/>
    <n v="2"/>
    <s v="Road Vehicle"/>
    <n v="4"/>
    <x v="3"/>
    <x v="0"/>
    <n v="1"/>
    <x v="0"/>
    <s v="Busujju"/>
    <s v="Wakiso"/>
    <s v="UGA"/>
    <n v="1"/>
    <s v="Home"/>
    <s v="Nansana"/>
    <s v="Wakiso"/>
    <s v="UGA"/>
    <n v="2"/>
    <s v="Work"/>
    <x v="8"/>
    <n v="4000"/>
    <m/>
    <x v="4"/>
    <n v="0.6"/>
    <x v="3"/>
    <n v="3"/>
    <s v="Artisan/Domestic"/>
    <n v="2"/>
    <x v="1"/>
    <n v="5"/>
    <n v="3"/>
    <n v="1"/>
    <n v="2"/>
    <n v="4"/>
    <s v="Y"/>
    <m/>
    <x v="0"/>
  </r>
  <r>
    <d v="2019-10-28T00:00:00"/>
    <d v="1899-12-30T07:42:00"/>
    <m/>
    <s v="P"/>
    <n v="2"/>
    <s v="Road Vehicle"/>
    <n v="4"/>
    <x v="3"/>
    <x v="0"/>
    <n v="1"/>
    <x v="0"/>
    <s v="Busujju"/>
    <s v="Wakiso"/>
    <s v="UGA"/>
    <n v="2"/>
    <s v="Work"/>
    <s v="Namayuba"/>
    <s v="Wakiso"/>
    <s v="UGA"/>
    <n v="1"/>
    <s v="Home"/>
    <x v="1"/>
    <n v="1000"/>
    <n v="15"/>
    <x v="6"/>
    <n v="0.3"/>
    <x v="4"/>
    <n v="3"/>
    <s v="Artisan/Domestic"/>
    <n v="2"/>
    <x v="1"/>
    <n v="2"/>
    <n v="1"/>
    <n v="5"/>
    <n v="4"/>
    <n v="3"/>
    <s v="Y"/>
    <m/>
    <x v="0"/>
  </r>
  <r>
    <d v="2019-10-29T00:00:00"/>
    <d v="1899-12-30T08:23:00"/>
    <m/>
    <s v="P"/>
    <n v="2"/>
    <s v="Road Vehicle"/>
    <n v="4"/>
    <x v="3"/>
    <x v="0"/>
    <n v="1"/>
    <x v="0"/>
    <s v="Busujju"/>
    <s v="Wakiso"/>
    <s v="UGA"/>
    <n v="1"/>
    <s v="Home"/>
    <s v="Nansana"/>
    <s v="Wakiso"/>
    <s v="UGA"/>
    <n v="6"/>
    <s v="Leisure/Social"/>
    <x v="3"/>
    <n v="3000"/>
    <m/>
    <x v="4"/>
    <n v="1"/>
    <x v="2"/>
    <n v="3"/>
    <s v="Artisan/Domestic"/>
    <n v="2"/>
    <x v="1"/>
    <n v="4"/>
    <n v="1"/>
    <n v="2"/>
    <n v="3"/>
    <n v="5"/>
    <s v="Y"/>
    <n v="2000"/>
    <x v="4"/>
  </r>
  <r>
    <d v="2019-10-29T00:00:00"/>
    <d v="1899-12-30T16:22:00"/>
    <m/>
    <s v="P"/>
    <n v="2"/>
    <s v="Road Vehicle"/>
    <n v="4"/>
    <x v="3"/>
    <x v="1"/>
    <n v="1"/>
    <x v="0"/>
    <s v="Busujju"/>
    <s v="Wakiso"/>
    <s v="UGA"/>
    <n v="2"/>
    <s v="Work"/>
    <s v="Kampala"/>
    <s v="Kampala"/>
    <s v="UGA"/>
    <n v="1"/>
    <s v="Home"/>
    <x v="1"/>
    <n v="4000"/>
    <m/>
    <x v="4"/>
    <n v="2"/>
    <x v="1"/>
    <n v="3"/>
    <s v="Artisan/Domestic"/>
    <n v="2"/>
    <x v="1"/>
    <n v="5"/>
    <n v="4"/>
    <n v="3"/>
    <n v="1"/>
    <n v="2"/>
    <s v="Y"/>
    <n v="3000"/>
    <x v="5"/>
  </r>
  <r>
    <d v="2019-10-29T00:00:00"/>
    <d v="1899-12-30T11:30:00"/>
    <m/>
    <s v="P"/>
    <n v="2"/>
    <s v="Road Vehicle"/>
    <n v="4"/>
    <x v="3"/>
    <x v="1"/>
    <n v="1"/>
    <x v="0"/>
    <s v="Busujju"/>
    <s v="Wakiso"/>
    <s v="UGA"/>
    <n v="2"/>
    <s v="Work"/>
    <s v="Kakiri"/>
    <s v="Wakiso"/>
    <s v="UGA"/>
    <n v="5"/>
    <s v="Tourism"/>
    <x v="23"/>
    <n v="2000"/>
    <n v="75"/>
    <x v="0"/>
    <n v="0.8"/>
    <x v="3"/>
    <n v="3"/>
    <s v="Artisan/Domestic"/>
    <n v="1"/>
    <x v="2"/>
    <n v="3"/>
    <n v="4"/>
    <n v="2"/>
    <n v="1"/>
    <n v="5"/>
    <s v="Y"/>
    <m/>
    <x v="0"/>
  </r>
  <r>
    <d v="2019-10-29T00:00:00"/>
    <d v="1899-12-30T07:43:00"/>
    <m/>
    <s v="P"/>
    <n v="2"/>
    <s v="Road Vehicle"/>
    <n v="4"/>
    <x v="3"/>
    <x v="1"/>
    <n v="1"/>
    <x v="0"/>
    <s v="Busujju"/>
    <s v="Wakiso"/>
    <s v="UGA"/>
    <n v="1"/>
    <s v="Home"/>
    <s v="Namayuba"/>
    <s v="Wakiso"/>
    <s v="UGA"/>
    <n v="2"/>
    <s v="Work"/>
    <x v="8"/>
    <n v="1000"/>
    <m/>
    <x v="4"/>
    <n v="0.4"/>
    <x v="4"/>
    <n v="3"/>
    <s v="Artisan/Domestic"/>
    <n v="1"/>
    <x v="2"/>
    <n v="3"/>
    <n v="5"/>
    <n v="4"/>
    <n v="2"/>
    <n v="1"/>
    <s v="Y"/>
    <n v="3000"/>
    <x v="5"/>
  </r>
  <r>
    <d v="2019-10-27T00:00:00"/>
    <d v="1899-12-30T09:39:00"/>
    <m/>
    <s v="D"/>
    <n v="2"/>
    <s v="Road Vehicle"/>
    <n v="1"/>
    <x v="0"/>
    <x v="1"/>
    <n v="1"/>
    <x v="0"/>
    <s v="Busujju"/>
    <s v="Wakiso"/>
    <s v="UGA"/>
    <n v="2"/>
    <s v="Work"/>
    <s v="Kampala"/>
    <s v="Kampala"/>
    <s v="UGA"/>
    <n v="6"/>
    <s v="Leisure/Social"/>
    <x v="22"/>
    <n v="30000"/>
    <n v="95"/>
    <x v="0"/>
    <n v="1.3"/>
    <x v="2"/>
    <n v="6"/>
    <s v="Businessman"/>
    <n v="3"/>
    <x v="0"/>
    <n v="2"/>
    <n v="3"/>
    <n v="5"/>
    <n v="1"/>
    <n v="4"/>
    <s v="Y"/>
    <m/>
    <x v="0"/>
  </r>
  <r>
    <d v="2019-10-27T00:00:00"/>
    <d v="1899-12-30T16:22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5"/>
    <s v="Tourism"/>
    <x v="24"/>
    <n v="4000"/>
    <n v="29"/>
    <x v="5"/>
    <n v="1"/>
    <x v="2"/>
    <n v="6"/>
    <s v="Businessman"/>
    <n v="2"/>
    <x v="1"/>
    <n v="3"/>
    <n v="4"/>
    <n v="5"/>
    <n v="1"/>
    <n v="2"/>
    <s v="Y"/>
    <n v="3000"/>
    <x v="5"/>
  </r>
  <r>
    <d v="2019-10-28T00:00:00"/>
    <d v="1899-12-30T09:46:00"/>
    <m/>
    <s v="P"/>
    <n v="2"/>
    <s v="Road Vehicle"/>
    <n v="4"/>
    <x v="3"/>
    <x v="0"/>
    <n v="1"/>
    <x v="0"/>
    <s v="Busujju"/>
    <s v="Wakiso"/>
    <s v="UGA"/>
    <n v="2"/>
    <s v="Work"/>
    <s v="Kampala"/>
    <s v="Kampala"/>
    <s v="UGA"/>
    <n v="1"/>
    <s v="Home"/>
    <x v="1"/>
    <n v="4000"/>
    <n v="114"/>
    <x v="2"/>
    <n v="1"/>
    <x v="2"/>
    <n v="6"/>
    <s v="Businessman"/>
    <n v="3"/>
    <x v="0"/>
    <n v="2"/>
    <n v="1"/>
    <n v="5"/>
    <n v="3"/>
    <n v="4"/>
    <s v="Y"/>
    <n v="1000"/>
    <x v="1"/>
  </r>
  <r>
    <d v="2019-10-28T00:00:00"/>
    <d v="1899-12-30T12:36:00"/>
    <m/>
    <s v="P"/>
    <n v="2"/>
    <s v="Road Vehicle"/>
    <n v="4"/>
    <x v="3"/>
    <x v="0"/>
    <n v="1"/>
    <x v="0"/>
    <s v="Busujju"/>
    <s v="Wakiso"/>
    <s v="UGA"/>
    <n v="2"/>
    <s v="Work"/>
    <s v="Hoima"/>
    <s v="Hoima"/>
    <s v="UGA"/>
    <n v="6"/>
    <s v="Leisure/Social"/>
    <x v="22"/>
    <n v="8000"/>
    <n v="200"/>
    <x v="3"/>
    <n v="2"/>
    <x v="1"/>
    <n v="6"/>
    <s v="Businessman"/>
    <n v="4"/>
    <x v="3"/>
    <n v="3"/>
    <n v="2"/>
    <n v="4"/>
    <n v="1"/>
    <n v="5"/>
    <s v="Y"/>
    <n v="2000"/>
    <x v="4"/>
  </r>
  <r>
    <d v="2019-10-28T00:00:00"/>
    <d v="1899-12-30T11:50:00"/>
    <m/>
    <s v="P"/>
    <n v="2"/>
    <s v="Road Vehicle"/>
    <n v="4"/>
    <x v="3"/>
    <x v="0"/>
    <n v="1"/>
    <x v="0"/>
    <s v="Busujju"/>
    <s v="Wakiso"/>
    <s v="UGA"/>
    <n v="2"/>
    <s v="Work"/>
    <s v="Kampala"/>
    <s v="Kampala"/>
    <s v="UGA"/>
    <n v="1"/>
    <s v="Home"/>
    <x v="1"/>
    <n v="4000"/>
    <n v="114"/>
    <x v="2"/>
    <n v="1"/>
    <x v="2"/>
    <n v="6"/>
    <s v="Businessman"/>
    <n v="2"/>
    <x v="1"/>
    <n v="2"/>
    <n v="1"/>
    <n v="5"/>
    <n v="4"/>
    <n v="3"/>
    <s v="Y"/>
    <n v="3000"/>
    <x v="5"/>
  </r>
  <r>
    <d v="2019-10-28T00:00:00"/>
    <d v="1899-12-30T09:36:00"/>
    <m/>
    <s v="P"/>
    <n v="2"/>
    <s v="Road Vehicle"/>
    <n v="4"/>
    <x v="3"/>
    <x v="0"/>
    <n v="1"/>
    <x v="0"/>
    <s v="Busujju"/>
    <s v="Wakiso"/>
    <s v="UGA"/>
    <n v="1"/>
    <s v="Home"/>
    <s v="Bukomero"/>
    <s v="Kiboga"/>
    <s v="UGA"/>
    <n v="2"/>
    <s v="Work"/>
    <x v="8"/>
    <n v="3000"/>
    <n v="28"/>
    <x v="5"/>
    <n v="1"/>
    <x v="2"/>
    <n v="6"/>
    <s v="Businessman"/>
    <n v="1"/>
    <x v="2"/>
    <n v="4"/>
    <n v="3"/>
    <n v="1"/>
    <n v="2"/>
    <n v="5"/>
    <s v="Y"/>
    <n v="2000"/>
    <x v="4"/>
  </r>
  <r>
    <d v="2019-10-28T00:00:00"/>
    <d v="1899-12-30T18:48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5"/>
    <s v="Tourism"/>
    <x v="24"/>
    <n v="4000"/>
    <n v="40"/>
    <x v="1"/>
    <n v="1.5"/>
    <x v="2"/>
    <n v="6"/>
    <s v="Businessman"/>
    <n v="3"/>
    <x v="0"/>
    <n v="3"/>
    <n v="1"/>
    <n v="5"/>
    <n v="4"/>
    <n v="2"/>
    <s v="Y"/>
    <n v="5000"/>
    <x v="2"/>
  </r>
  <r>
    <d v="2019-10-28T00:00:00"/>
    <d v="1899-12-30T17:32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6"/>
    <s v="Businessman"/>
    <n v="3"/>
    <x v="0"/>
    <n v="3"/>
    <n v="4"/>
    <n v="5"/>
    <n v="2"/>
    <n v="1"/>
    <s v="Y"/>
    <n v="2000"/>
    <x v="4"/>
  </r>
  <r>
    <d v="2019-10-28T00:00:00"/>
    <d v="1899-12-30T18:36:00"/>
    <m/>
    <s v="P"/>
    <n v="2"/>
    <s v="Road Vehicle"/>
    <n v="4"/>
    <x v="3"/>
    <x v="0"/>
    <n v="1"/>
    <x v="0"/>
    <s v="Busujju"/>
    <s v="Wakiso"/>
    <s v="UGA"/>
    <n v="1"/>
    <s v="Home"/>
    <s v="Old kla"/>
    <s v="Kampala"/>
    <s v="UGA"/>
    <n v="4"/>
    <s v="Commercial"/>
    <x v="12"/>
    <n v="4000"/>
    <n v="35"/>
    <x v="5"/>
    <n v="1"/>
    <x v="2"/>
    <n v="6"/>
    <s v="Businessman"/>
    <n v="3"/>
    <x v="0"/>
    <n v="3"/>
    <n v="5"/>
    <n v="2"/>
    <n v="1"/>
    <n v="4"/>
    <s v="Y"/>
    <n v="3000"/>
    <x v="5"/>
  </r>
  <r>
    <d v="2019-10-28T00:00:00"/>
    <d v="1899-12-30T10:53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4"/>
    <s v="Commercial"/>
    <x v="12"/>
    <n v="4000"/>
    <n v="55"/>
    <x v="1"/>
    <n v="1.5"/>
    <x v="2"/>
    <n v="6"/>
    <s v="Businessman"/>
    <n v="2"/>
    <x v="1"/>
    <n v="4"/>
    <n v="1"/>
    <n v="5"/>
    <n v="3"/>
    <n v="2"/>
    <s v="Y"/>
    <n v="5000"/>
    <x v="2"/>
  </r>
  <r>
    <d v="2019-10-29T00:00:00"/>
    <d v="1899-12-30T07:20:00"/>
    <m/>
    <s v="P"/>
    <n v="2"/>
    <s v="Road Vehicle"/>
    <n v="4"/>
    <x v="3"/>
    <x v="0"/>
    <n v="1"/>
    <x v="0"/>
    <s v="Busujju"/>
    <s v="Wakiso"/>
    <s v="UGA"/>
    <n v="1"/>
    <s v="Home"/>
    <s v="Old kla"/>
    <s v="Kampala"/>
    <s v="UGA"/>
    <n v="2"/>
    <s v="Work"/>
    <x v="8"/>
    <n v="4000"/>
    <n v="34"/>
    <x v="5"/>
    <n v="1.5"/>
    <x v="2"/>
    <n v="6"/>
    <s v="Businessman"/>
    <n v="2"/>
    <x v="1"/>
    <n v="3"/>
    <n v="5"/>
    <n v="4"/>
    <n v="1"/>
    <n v="2"/>
    <s v="Y"/>
    <n v="5000"/>
    <x v="2"/>
  </r>
  <r>
    <d v="2019-10-29T00:00:00"/>
    <d v="1899-12-30T08:45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2"/>
    <s v="Work"/>
    <x v="8"/>
    <n v="4000"/>
    <n v="34"/>
    <x v="5"/>
    <n v="2"/>
    <x v="1"/>
    <n v="6"/>
    <s v="Businessman"/>
    <n v="3"/>
    <x v="0"/>
    <n v="3"/>
    <n v="2"/>
    <n v="1"/>
    <n v="5"/>
    <n v="4"/>
    <s v="Y"/>
    <n v="4000"/>
    <x v="5"/>
  </r>
  <r>
    <d v="2019-10-27T00:00:00"/>
    <d v="1899-12-30T16:12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4"/>
    <s v="Commercial"/>
    <x v="12"/>
    <n v="4000"/>
    <n v="30"/>
    <x v="5"/>
    <n v="1"/>
    <x v="2"/>
    <n v="6"/>
    <s v="Businessman"/>
    <n v="3"/>
    <x v="0"/>
    <n v="3"/>
    <n v="5"/>
    <n v="2"/>
    <n v="1"/>
    <n v="4"/>
    <s v="Y"/>
    <m/>
    <x v="0"/>
  </r>
  <r>
    <d v="2019-10-27T00:00:00"/>
    <d v="1899-12-30T11:52:00"/>
    <m/>
    <s v="P"/>
    <n v="2"/>
    <s v="Road Vehicle"/>
    <n v="4"/>
    <x v="3"/>
    <x v="1"/>
    <n v="1"/>
    <x v="0"/>
    <s v="Hoima"/>
    <s v="Hoima"/>
    <s v="UGA"/>
    <n v="4"/>
    <s v="Commercial"/>
    <s v="Miika"/>
    <s v="Wakiso"/>
    <s v="UGA"/>
    <n v="1"/>
    <s v="Home"/>
    <x v="0"/>
    <n v="12000"/>
    <m/>
    <x v="4"/>
    <n v="2"/>
    <x v="1"/>
    <n v="6"/>
    <s v="Businessman"/>
    <n v="4"/>
    <x v="3"/>
    <n v="3"/>
    <n v="2"/>
    <n v="1"/>
    <n v="5"/>
    <n v="4"/>
    <s v="Y"/>
    <m/>
    <x v="0"/>
  </r>
  <r>
    <d v="2019-10-28T00:00:00"/>
    <d v="1899-12-30T07:51:00"/>
    <m/>
    <s v="P"/>
    <n v="2"/>
    <s v="Road Vehicle"/>
    <n v="4"/>
    <x v="3"/>
    <x v="1"/>
    <n v="1"/>
    <x v="0"/>
    <s v="Busujju"/>
    <s v="Wakiso"/>
    <s v="UGA"/>
    <n v="2"/>
    <s v="Work"/>
    <s v="Ssekanyonyi"/>
    <s v="Mityana"/>
    <s v="UGA"/>
    <n v="1"/>
    <s v="Home"/>
    <x v="1"/>
    <n v="3000"/>
    <n v="40"/>
    <x v="1"/>
    <n v="0.4"/>
    <x v="4"/>
    <n v="6"/>
    <s v="Businessman"/>
    <n v="2"/>
    <x v="1"/>
    <n v="5"/>
    <n v="4"/>
    <n v="3"/>
    <n v="1"/>
    <n v="2"/>
    <s v="Y"/>
    <n v="3000"/>
    <x v="5"/>
  </r>
  <r>
    <d v="2019-10-28T00:00:00"/>
    <d v="1899-12-30T09:43:00"/>
    <m/>
    <s v="P"/>
    <n v="2"/>
    <s v="Road Vehicle"/>
    <n v="4"/>
    <x v="3"/>
    <x v="1"/>
    <n v="1"/>
    <x v="0"/>
    <s v="Busujju"/>
    <s v="Wakiso"/>
    <s v="UGA"/>
    <n v="1"/>
    <s v="Home"/>
    <s v="Gobero"/>
    <s v="Wakiso"/>
    <s v="UGA"/>
    <n v="4"/>
    <s v="Commercial"/>
    <x v="12"/>
    <n v="2000"/>
    <n v="15"/>
    <x v="6"/>
    <n v="1"/>
    <x v="2"/>
    <n v="6"/>
    <s v="Businessman"/>
    <n v="1"/>
    <x v="2"/>
    <n v="3"/>
    <n v="5"/>
    <n v="2"/>
    <n v="1"/>
    <n v="4"/>
    <s v="Y"/>
    <m/>
    <x v="0"/>
  </r>
  <r>
    <d v="2019-10-28T00:00:00"/>
    <d v="1899-12-30T17:51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6"/>
    <s v="Businessman"/>
    <n v="4"/>
    <x v="3"/>
    <n v="3"/>
    <n v="5"/>
    <n v="4"/>
    <n v="1"/>
    <n v="2"/>
    <s v="Y"/>
    <n v="1000"/>
    <x v="1"/>
  </r>
  <r>
    <d v="2019-10-28T00:00:00"/>
    <d v="1899-12-30T17:20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4"/>
    <s v="Commercial"/>
    <x v="12"/>
    <n v="4000"/>
    <n v="37"/>
    <x v="5"/>
    <n v="1.5"/>
    <x v="2"/>
    <n v="6"/>
    <s v="Businessman"/>
    <n v="3"/>
    <x v="0"/>
    <n v="4"/>
    <n v="2"/>
    <n v="5"/>
    <n v="1"/>
    <n v="3"/>
    <s v="Y"/>
    <n v="3000"/>
    <x v="5"/>
  </r>
  <r>
    <d v="2019-10-28T00:00:00"/>
    <d v="1899-12-30T18:20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4"/>
    <s v="Commercial"/>
    <x v="12"/>
    <n v="4000"/>
    <n v="34"/>
    <x v="5"/>
    <n v="1"/>
    <x v="2"/>
    <n v="6"/>
    <s v="Businessman"/>
    <n v="4"/>
    <x v="3"/>
    <n v="3"/>
    <n v="2"/>
    <n v="4"/>
    <n v="1"/>
    <n v="5"/>
    <s v="Y"/>
    <n v="2000"/>
    <x v="4"/>
  </r>
  <r>
    <d v="2019-10-29T00:00:00"/>
    <d v="1899-12-30T13:35:00"/>
    <m/>
    <s v="P"/>
    <n v="2"/>
    <s v="Road Vehicle"/>
    <n v="4"/>
    <x v="3"/>
    <x v="1"/>
    <n v="1"/>
    <x v="0"/>
    <s v="Busujju"/>
    <s v="Wakiso"/>
    <s v="UGA"/>
    <n v="1"/>
    <s v="Home"/>
    <s v="Kiboga"/>
    <s v="Kiboga"/>
    <s v="UGA"/>
    <n v="2"/>
    <s v="Work"/>
    <x v="8"/>
    <n v="5000"/>
    <m/>
    <x v="4"/>
    <n v="0.8"/>
    <x v="3"/>
    <n v="6"/>
    <s v="Businessman"/>
    <n v="3"/>
    <x v="0"/>
    <n v="5"/>
    <n v="4"/>
    <n v="2"/>
    <n v="1"/>
    <n v="3"/>
    <s v="Y"/>
    <n v="5000"/>
    <x v="2"/>
  </r>
  <r>
    <d v="2019-10-29T00:00:00"/>
    <d v="1899-12-30T16:15:00"/>
    <m/>
    <s v="P"/>
    <n v="2"/>
    <s v="Road Vehicle"/>
    <n v="4"/>
    <x v="3"/>
    <x v="1"/>
    <n v="1"/>
    <x v="0"/>
    <s v="Kiboga"/>
    <s v="Kiboga"/>
    <s v="UGA"/>
    <n v="2"/>
    <s v="Work"/>
    <s v="Busujju"/>
    <s v="Wakiso"/>
    <s v="UGA"/>
    <n v="2"/>
    <s v="Work"/>
    <x v="5"/>
    <n v="5000"/>
    <m/>
    <x v="4"/>
    <n v="3"/>
    <x v="1"/>
    <n v="6"/>
    <s v="Businessman"/>
    <n v="1"/>
    <x v="2"/>
    <n v="2"/>
    <n v="3"/>
    <n v="1"/>
    <n v="4"/>
    <n v="5"/>
    <s v="Y"/>
    <m/>
    <x v="0"/>
  </r>
  <r>
    <d v="2019-10-29T00:00:00"/>
    <d v="1899-12-30T10:45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4"/>
    <s v="Commercial"/>
    <x v="12"/>
    <n v="4000"/>
    <n v="35"/>
    <x v="5"/>
    <n v="1.5"/>
    <x v="2"/>
    <n v="6"/>
    <s v="Businessman"/>
    <n v="3"/>
    <x v="0"/>
    <n v="5"/>
    <n v="3"/>
    <n v="4"/>
    <n v="2"/>
    <n v="1"/>
    <s v="Y"/>
    <n v="1000"/>
    <x v="1"/>
  </r>
  <r>
    <d v="2019-10-29T00:00:00"/>
    <d v="1899-12-30T10:37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1"/>
    <s v="Home"/>
    <x v="2"/>
    <n v="4000"/>
    <n v="34"/>
    <x v="5"/>
    <n v="2"/>
    <x v="1"/>
    <n v="6"/>
    <s v="Businessman"/>
    <n v="3"/>
    <x v="0"/>
    <n v="3"/>
    <n v="5"/>
    <n v="1"/>
    <n v="2"/>
    <n v="4"/>
    <s v="Y"/>
    <n v="1000"/>
    <x v="1"/>
  </r>
  <r>
    <d v="2019-10-29T00:00:00"/>
    <d v="1899-12-30T09:29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2"/>
    <s v="Work"/>
    <x v="8"/>
    <n v="4000"/>
    <n v="34"/>
    <x v="5"/>
    <n v="2"/>
    <x v="1"/>
    <n v="6"/>
    <s v="Businessman"/>
    <n v="4"/>
    <x v="3"/>
    <n v="2"/>
    <n v="1"/>
    <n v="3"/>
    <n v="5"/>
    <n v="4"/>
    <s v="Y"/>
    <m/>
    <x v="0"/>
  </r>
  <r>
    <d v="2019-10-29T00:00:00"/>
    <d v="1899-12-30T11:54:00"/>
    <m/>
    <s v="P"/>
    <n v="2"/>
    <s v="Road Vehicle"/>
    <n v="4"/>
    <x v="3"/>
    <x v="0"/>
    <n v="1"/>
    <x v="0"/>
    <s v="Busujju"/>
    <s v="Wakiso"/>
    <s v="UGA"/>
    <n v="1"/>
    <s v="Home"/>
    <s v="Nansana"/>
    <s v="Wakiso"/>
    <s v="UGA"/>
    <n v="2"/>
    <s v="Work"/>
    <x v="8"/>
    <n v="4000"/>
    <m/>
    <x v="4"/>
    <n v="2"/>
    <x v="1"/>
    <n v="7"/>
    <s v="Farmer"/>
    <n v="2"/>
    <x v="1"/>
    <n v="1"/>
    <n v="3"/>
    <n v="4"/>
    <n v="2"/>
    <n v="5"/>
    <s v="Y"/>
    <n v="1000"/>
    <x v="1"/>
  </r>
  <r>
    <d v="2019-10-28T00:00:00"/>
    <d v="1899-12-30T17:26:00"/>
    <m/>
    <s v="P"/>
    <n v="2"/>
    <s v="Road Vehicle"/>
    <n v="4"/>
    <x v="3"/>
    <x v="1"/>
    <n v="1"/>
    <x v="0"/>
    <s v="Busujju"/>
    <s v="Wakiso"/>
    <s v="UGA"/>
    <n v="1"/>
    <s v="Home"/>
    <s v="Hoima"/>
    <s v="Hoima"/>
    <s v="UGA"/>
    <n v="6"/>
    <s v="Leisure/Social"/>
    <x v="3"/>
    <n v="12000"/>
    <m/>
    <x v="4"/>
    <n v="3"/>
    <x v="1"/>
    <n v="7"/>
    <s v="Farmer"/>
    <n v="1"/>
    <x v="2"/>
    <n v="3"/>
    <n v="55"/>
    <n v="4"/>
    <n v="2"/>
    <n v="1"/>
    <s v="Y"/>
    <n v="5000"/>
    <x v="2"/>
  </r>
  <r>
    <d v="2019-10-28T00:00:00"/>
    <d v="1899-12-30T15:18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4"/>
    <s v="Commercial"/>
    <x v="12"/>
    <n v="4000"/>
    <n v="34"/>
    <x v="5"/>
    <n v="1"/>
    <x v="2"/>
    <n v="7"/>
    <s v="Farmer"/>
    <n v="3"/>
    <x v="0"/>
    <n v="3"/>
    <n v="4"/>
    <n v="2"/>
    <n v="1"/>
    <n v="5"/>
    <s v="Y"/>
    <n v="2000"/>
    <x v="4"/>
  </r>
  <r>
    <d v="2019-10-29T00:00:00"/>
    <d v="1899-12-30T10:53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5"/>
    <s v="Tourism"/>
    <x v="24"/>
    <n v="4000"/>
    <n v="35"/>
    <x v="5"/>
    <n v="1.5"/>
    <x v="2"/>
    <n v="7"/>
    <s v="Farmer"/>
    <n v="3"/>
    <x v="0"/>
    <n v="5"/>
    <n v="4"/>
    <n v="1"/>
    <n v="2"/>
    <n v="3"/>
    <s v="Y"/>
    <n v="2000"/>
    <x v="4"/>
  </r>
  <r>
    <d v="2019-10-27T00:00:00"/>
    <d v="1899-12-30T09:19:00"/>
    <m/>
    <s v="P"/>
    <n v="2"/>
    <s v="Road Vehicle"/>
    <n v="4"/>
    <x v="3"/>
    <x v="0"/>
    <n v="1"/>
    <x v="0"/>
    <s v="Busujju"/>
    <s v="Wakiso"/>
    <s v="UGA"/>
    <n v="1"/>
    <s v="Home"/>
    <s v="Lyamatte"/>
    <s v="Wakiso"/>
    <s v="UGA"/>
    <n v="6"/>
    <s v="Leisure/Social"/>
    <x v="3"/>
    <n v="5000"/>
    <n v="50"/>
    <x v="1"/>
    <n v="1"/>
    <x v="2"/>
    <n v="2"/>
    <s v="Manual Labour"/>
    <n v="2"/>
    <x v="1"/>
    <n v="3"/>
    <n v="1"/>
    <n v="2"/>
    <n v="5"/>
    <n v="4"/>
    <s v="Y"/>
    <n v="2000"/>
    <x v="4"/>
  </r>
  <r>
    <d v="2019-10-27T00:00:00"/>
    <d v="1899-12-30T11:45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4"/>
    <s v="Commercial"/>
    <x v="12"/>
    <n v="4000"/>
    <n v="55"/>
    <x v="1"/>
    <n v="1"/>
    <x v="2"/>
    <n v="2"/>
    <s v="Manual Labour"/>
    <n v="1"/>
    <x v="2"/>
    <n v="3"/>
    <n v="5"/>
    <n v="4"/>
    <n v="1"/>
    <n v="2"/>
    <s v="Y"/>
    <n v="2000"/>
    <x v="4"/>
  </r>
  <r>
    <d v="2019-10-27T00:00:00"/>
    <d v="1899-12-30T08:59:00"/>
    <m/>
    <s v="P"/>
    <n v="2"/>
    <s v="Road Vehicle"/>
    <n v="4"/>
    <x v="3"/>
    <x v="0"/>
    <n v="1"/>
    <x v="0"/>
    <s v="Busujju"/>
    <s v="Wakiso"/>
    <s v="UGA"/>
    <n v="1"/>
    <s v="Home"/>
    <s v="Ssekanyonyi"/>
    <s v="Wakiso"/>
    <s v="UGA"/>
    <n v="6"/>
    <s v="Leisure/Social"/>
    <x v="3"/>
    <n v="3000"/>
    <n v="45"/>
    <x v="1"/>
    <n v="1"/>
    <x v="2"/>
    <n v="2"/>
    <s v="Manual Labour"/>
    <n v="1"/>
    <x v="2"/>
    <n v="3"/>
    <n v="4"/>
    <n v="1"/>
    <n v="5"/>
    <n v="2"/>
    <s v="Y"/>
    <n v="1000"/>
    <x v="1"/>
  </r>
  <r>
    <d v="2019-10-27T00:00:00"/>
    <d v="1899-12-30T10:51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4"/>
    <s v="Commercial"/>
    <x v="12"/>
    <n v="4000"/>
    <n v="60"/>
    <x v="1"/>
    <n v="1.5"/>
    <x v="2"/>
    <n v="2"/>
    <s v="Manual Labour"/>
    <n v="2"/>
    <x v="1"/>
    <n v="3"/>
    <n v="2"/>
    <n v="4"/>
    <n v="5"/>
    <n v="1"/>
    <s v="Y"/>
    <n v="5000"/>
    <x v="2"/>
  </r>
  <r>
    <d v="2019-10-27T00:00:00"/>
    <d v="1899-12-30T10:21:00"/>
    <m/>
    <s v="P"/>
    <n v="2"/>
    <s v="Road Vehicle"/>
    <n v="4"/>
    <x v="3"/>
    <x v="0"/>
    <n v="1"/>
    <x v="0"/>
    <s v="Busujju"/>
    <s v="Wakiso"/>
    <s v="UGA"/>
    <n v="1"/>
    <s v="Home"/>
    <s v="Lyamatte"/>
    <s v="Wakiso"/>
    <s v="UGA"/>
    <n v="6"/>
    <s v="Leisure/Social"/>
    <x v="3"/>
    <n v="5000"/>
    <n v="70"/>
    <x v="0"/>
    <n v="1.5"/>
    <x v="2"/>
    <n v="2"/>
    <s v="Manual Labour"/>
    <n v="1"/>
    <x v="2"/>
    <n v="1"/>
    <n v="3"/>
    <n v="5"/>
    <n v="4"/>
    <n v="2"/>
    <s v="Y"/>
    <n v="5000"/>
    <x v="2"/>
  </r>
  <r>
    <d v="2019-10-27T00:00:00"/>
    <d v="1899-12-30T09:46:00"/>
    <m/>
    <s v="P"/>
    <n v="2"/>
    <s v="Road Vehicle"/>
    <n v="4"/>
    <x v="3"/>
    <x v="0"/>
    <n v="1"/>
    <x v="0"/>
    <s v="Busujju"/>
    <s v="Wakiso"/>
    <s v="UGA"/>
    <n v="1"/>
    <s v="Home"/>
    <s v="Gobero"/>
    <s v="Wakiso"/>
    <s v="UGA"/>
    <n v="2"/>
    <s v="Work"/>
    <x v="8"/>
    <n v="2000"/>
    <n v="20"/>
    <x v="5"/>
    <n v="0.8"/>
    <x v="3"/>
    <n v="2"/>
    <s v="Manual Labour"/>
    <n v="1"/>
    <x v="2"/>
    <n v="3"/>
    <n v="5"/>
    <n v="4"/>
    <n v="2"/>
    <n v="1"/>
    <s v="Y"/>
    <n v="5000"/>
    <x v="2"/>
  </r>
  <r>
    <d v="2019-10-27T00:00:00"/>
    <d v="1899-12-30T12:48:00"/>
    <m/>
    <s v="D"/>
    <n v="2"/>
    <s v="Road Vehicle"/>
    <n v="4"/>
    <x v="3"/>
    <x v="0"/>
    <n v="1"/>
    <x v="0"/>
    <s v="Miika"/>
    <s v="Wakiso"/>
    <s v="UGA"/>
    <n v="1"/>
    <s v="Home"/>
    <s v="Wakiso"/>
    <s v="Wakiso"/>
    <s v="UGA"/>
    <n v="2"/>
    <s v="Work"/>
    <x v="8"/>
    <n v="50000"/>
    <n v="40"/>
    <x v="1"/>
    <n v="1"/>
    <x v="2"/>
    <n v="2"/>
    <s v="Manual Labour"/>
    <n v="2"/>
    <x v="1"/>
    <n v="3"/>
    <n v="1"/>
    <n v="4"/>
    <n v="2"/>
    <n v="5"/>
    <s v="Y"/>
    <n v="2000"/>
    <x v="4"/>
  </r>
  <r>
    <d v="2019-10-27T00:00:00"/>
    <d v="1899-12-30T13:12:00"/>
    <m/>
    <s v="P"/>
    <n v="2"/>
    <s v="Road Vehicle"/>
    <n v="4"/>
    <x v="3"/>
    <x v="0"/>
    <n v="1"/>
    <x v="0"/>
    <s v="Busujju"/>
    <s v="Wakiso"/>
    <s v="UGA"/>
    <n v="2"/>
    <s v="Work"/>
    <s v="Mutungo"/>
    <s v="Kampala"/>
    <s v="UGA"/>
    <n v="1"/>
    <s v="Home"/>
    <x v="1"/>
    <n v="6000"/>
    <n v="65"/>
    <x v="1"/>
    <n v="2"/>
    <x v="1"/>
    <n v="2"/>
    <s v="Manual Labour"/>
    <n v="1"/>
    <x v="2"/>
    <n v="3"/>
    <n v="5"/>
    <n v="4"/>
    <n v="2"/>
    <n v="1"/>
    <s v="Y"/>
    <n v="5000"/>
    <x v="2"/>
  </r>
  <r>
    <d v="2019-10-28T00:00:00"/>
    <d v="1899-12-30T17:56:00"/>
    <m/>
    <s v="P"/>
    <n v="2"/>
    <s v="Road Vehicle"/>
    <n v="4"/>
    <x v="3"/>
    <x v="0"/>
    <n v="1"/>
    <x v="0"/>
    <s v="Busujju"/>
    <s v="Wakiso"/>
    <s v="UGA"/>
    <n v="8"/>
    <s v="Others"/>
    <s v="Namayuba"/>
    <s v="Wakiso"/>
    <s v="UGA"/>
    <n v="1"/>
    <s v="Home"/>
    <x v="29"/>
    <n v="1000"/>
    <m/>
    <x v="4"/>
    <n v="0.1"/>
    <x v="4"/>
    <n v="2"/>
    <s v="Manual Labour"/>
    <n v="1"/>
    <x v="2"/>
    <n v="4"/>
    <n v="5"/>
    <n v="3"/>
    <n v="1"/>
    <n v="2"/>
    <s v="Y"/>
    <n v="10000"/>
    <x v="3"/>
  </r>
  <r>
    <d v="2019-10-28T00:00:00"/>
    <d v="1899-12-30T08:53:00"/>
    <m/>
    <s v="P"/>
    <n v="2"/>
    <s v="Road Vehicle"/>
    <n v="4"/>
    <x v="3"/>
    <x v="0"/>
    <n v="1"/>
    <x v="0"/>
    <s v="Busujju"/>
    <s v="Wakiso"/>
    <s v="UGA"/>
    <n v="2"/>
    <s v="Work"/>
    <s v="Gobero"/>
    <s v="Wakiso"/>
    <s v="UGA"/>
    <n v="1"/>
    <s v="Home"/>
    <x v="1"/>
    <n v="2000"/>
    <n v="15"/>
    <x v="6"/>
    <n v="0.3"/>
    <x v="4"/>
    <n v="2"/>
    <s v="Manual Labour"/>
    <n v="2"/>
    <x v="1"/>
    <n v="1"/>
    <n v="2"/>
    <n v="3"/>
    <n v="4"/>
    <n v="5"/>
    <s v="Y"/>
    <m/>
    <x v="0"/>
  </r>
  <r>
    <d v="2019-10-28T00:00:00"/>
    <d v="1899-12-30T16:41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5"/>
    <s v="Tourism"/>
    <x v="24"/>
    <n v="4500"/>
    <n v="37"/>
    <x v="5"/>
    <n v="1"/>
    <x v="2"/>
    <n v="2"/>
    <s v="Manual Labour"/>
    <n v="1"/>
    <x v="2"/>
    <n v="3"/>
    <n v="1"/>
    <n v="2"/>
    <n v="4"/>
    <n v="5"/>
    <s v="Y"/>
    <n v="1000"/>
    <x v="1"/>
  </r>
  <r>
    <d v="2019-10-28T00:00:00"/>
    <d v="1899-12-30T16:53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6"/>
    <s v="Leisure/Social"/>
    <x v="3"/>
    <n v="4000"/>
    <n v="37"/>
    <x v="5"/>
    <n v="1.5"/>
    <x v="2"/>
    <n v="2"/>
    <s v="Manual Labour"/>
    <n v="1"/>
    <x v="2"/>
    <n v="3"/>
    <n v="5"/>
    <n v="2"/>
    <n v="1"/>
    <n v="4"/>
    <s v="Y"/>
    <n v="5000"/>
    <x v="2"/>
  </r>
  <r>
    <d v="2019-10-28T00:00:00"/>
    <d v="1899-12-30T16:25:00"/>
    <m/>
    <s v="P"/>
    <n v="2"/>
    <s v="Road Vehicle"/>
    <n v="4"/>
    <x v="3"/>
    <x v="0"/>
    <n v="1"/>
    <x v="0"/>
    <s v="Busujju"/>
    <s v="Wakiso"/>
    <s v="UGA"/>
    <n v="1"/>
    <s v="Home"/>
    <s v="Namayuba"/>
    <s v="Wakiso"/>
    <s v="UGA"/>
    <n v="2"/>
    <s v="Work"/>
    <x v="8"/>
    <n v="1000"/>
    <n v="1"/>
    <x v="4"/>
    <n v="0.4"/>
    <x v="4"/>
    <n v="2"/>
    <s v="Manual Labour"/>
    <n v="2"/>
    <x v="1"/>
    <n v="3"/>
    <n v="5"/>
    <n v="4"/>
    <n v="2"/>
    <n v="1"/>
    <s v="Y"/>
    <n v="4000"/>
    <x v="5"/>
  </r>
  <r>
    <d v="2019-10-28T00:00:00"/>
    <d v="1899-12-30T16:31:00"/>
    <m/>
    <s v="P"/>
    <n v="2"/>
    <s v="Road Vehicle"/>
    <n v="4"/>
    <x v="3"/>
    <x v="0"/>
    <n v="1"/>
    <x v="0"/>
    <s v="Busujju"/>
    <s v="Wakiso"/>
    <s v="UGA"/>
    <n v="1"/>
    <s v="Home"/>
    <s v="Kayunga"/>
    <s v="Kayunga"/>
    <s v="UGA"/>
    <n v="6"/>
    <s v="Leisure/Social"/>
    <x v="3"/>
    <n v="3000"/>
    <m/>
    <x v="4"/>
    <n v="1"/>
    <x v="2"/>
    <n v="2"/>
    <s v="Manual Labour"/>
    <n v="1"/>
    <x v="2"/>
    <n v="3"/>
    <n v="4"/>
    <n v="2"/>
    <n v="1"/>
    <n v="5"/>
    <s v="Y"/>
    <n v="5000"/>
    <x v="2"/>
  </r>
  <r>
    <d v="2019-10-29T00:00:00"/>
    <d v="1899-12-30T12:01:00"/>
    <m/>
    <s v="P"/>
    <n v="2"/>
    <s v="Road Vehicle"/>
    <n v="4"/>
    <x v="3"/>
    <x v="0"/>
    <n v="1"/>
    <x v="0"/>
    <s v="Busujju"/>
    <s v="Wakiso"/>
    <s v="UGA"/>
    <n v="1"/>
    <s v="Home"/>
    <s v="Nalukwakula"/>
    <s v="Wakiso"/>
    <s v="UGA"/>
    <n v="2"/>
    <s v="Work"/>
    <x v="8"/>
    <n v="2000"/>
    <n v="45"/>
    <x v="1"/>
    <n v="5"/>
    <x v="0"/>
    <n v="2"/>
    <s v="Manual Labour"/>
    <n v="1"/>
    <x v="2"/>
    <n v="4"/>
    <n v="1"/>
    <n v="2"/>
    <n v="5"/>
    <n v="3"/>
    <s v="Y"/>
    <m/>
    <x v="0"/>
  </r>
  <r>
    <d v="2019-10-29T00:00:00"/>
    <d v="1899-12-30T13:02:00"/>
    <m/>
    <s v="P"/>
    <n v="2"/>
    <s v="Road Vehicle"/>
    <n v="4"/>
    <x v="3"/>
    <x v="0"/>
    <n v="1"/>
    <x v="0"/>
    <s v="Busujju"/>
    <s v="Wakiso"/>
    <s v="UGA"/>
    <n v="1"/>
    <s v="Home"/>
    <s v="Miika"/>
    <s v="Wakiso"/>
    <s v="UGA"/>
    <n v="2"/>
    <s v="Work"/>
    <x v="8"/>
    <n v="500"/>
    <m/>
    <x v="4"/>
    <n v="0.3"/>
    <x v="4"/>
    <n v="2"/>
    <s v="Manual Labour"/>
    <n v="1"/>
    <x v="2"/>
    <n v="3"/>
    <n v="4"/>
    <n v="1"/>
    <n v="2"/>
    <n v="5"/>
    <s v="Y"/>
    <n v="1000"/>
    <x v="1"/>
  </r>
  <r>
    <d v="2019-10-29T00:00:00"/>
    <d v="1899-12-30T13:48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2"/>
    <s v="Work"/>
    <x v="8"/>
    <n v="4000"/>
    <n v="34"/>
    <x v="5"/>
    <n v="2"/>
    <x v="1"/>
    <n v="2"/>
    <s v="Manual Labour"/>
    <n v="2"/>
    <x v="1"/>
    <n v="3"/>
    <n v="4"/>
    <n v="2"/>
    <n v="1"/>
    <n v="5"/>
    <s v="Y"/>
    <n v="1000"/>
    <x v="1"/>
  </r>
  <r>
    <d v="2019-10-29T00:00:00"/>
    <d v="1899-12-30T14:26:00"/>
    <m/>
    <s v="P"/>
    <n v="2"/>
    <s v="Road Vehicle"/>
    <n v="4"/>
    <x v="3"/>
    <x v="0"/>
    <n v="1"/>
    <x v="0"/>
    <s v="Busujju"/>
    <s v="Wakiso"/>
    <s v="UGA"/>
    <n v="1"/>
    <s v="Home"/>
    <s v="Hoima"/>
    <s v="Hoima"/>
    <s v="UGA"/>
    <n v="6"/>
    <s v="Leisure/Social"/>
    <x v="3"/>
    <n v="12000"/>
    <m/>
    <x v="4"/>
    <n v="4"/>
    <x v="0"/>
    <n v="2"/>
    <s v="Manual Labour"/>
    <n v="1"/>
    <x v="2"/>
    <n v="5"/>
    <n v="2"/>
    <n v="1"/>
    <n v="3"/>
    <n v="4"/>
    <s v="Y"/>
    <n v="3000"/>
    <x v="5"/>
  </r>
  <r>
    <d v="2019-10-29T00:00:00"/>
    <d v="1899-12-30T15:04:00"/>
    <m/>
    <s v="P"/>
    <n v="2"/>
    <s v="Road Vehicle"/>
    <n v="4"/>
    <x v="3"/>
    <x v="0"/>
    <n v="1"/>
    <x v="0"/>
    <s v="Busujju"/>
    <s v="Wakiso"/>
    <s v="UGA"/>
    <n v="1"/>
    <s v="Home"/>
    <s v="Miika"/>
    <s v="Wakiso"/>
    <s v="UGA"/>
    <n v="2"/>
    <s v="Work"/>
    <x v="8"/>
    <n v="500"/>
    <m/>
    <x v="4"/>
    <n v="0.2"/>
    <x v="4"/>
    <n v="2"/>
    <s v="Manual Labour"/>
    <n v="1"/>
    <x v="2"/>
    <n v="3"/>
    <n v="2"/>
    <n v="1"/>
    <n v="4"/>
    <n v="5"/>
    <s v="Y"/>
    <n v="1000"/>
    <x v="1"/>
  </r>
  <r>
    <d v="2019-10-29T00:00:00"/>
    <d v="1899-12-30T15:58:00"/>
    <m/>
    <s v="P"/>
    <n v="2"/>
    <s v="Road Vehicle"/>
    <n v="4"/>
    <x v="3"/>
    <x v="0"/>
    <n v="1"/>
    <x v="0"/>
    <s v="Busujju"/>
    <s v="Wakiso"/>
    <s v="UGA"/>
    <n v="2"/>
    <s v="Work"/>
    <s v="Kakiri"/>
    <s v="Wakiso"/>
    <s v="UGA"/>
    <n v="2"/>
    <s v="Work"/>
    <x v="5"/>
    <n v="2000"/>
    <m/>
    <x v="4"/>
    <n v="0.6"/>
    <x v="3"/>
    <n v="2"/>
    <s v="Manual Labour"/>
    <n v="2"/>
    <x v="1"/>
    <n v="3"/>
    <n v="2"/>
    <n v="1"/>
    <n v="5"/>
    <n v="4"/>
    <s v="Y"/>
    <n v="3000"/>
    <x v="5"/>
  </r>
  <r>
    <d v="2019-10-29T00:00:00"/>
    <d v="1899-12-30T16:39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4"/>
    <s v="Commercial"/>
    <x v="12"/>
    <n v="4000"/>
    <n v="54"/>
    <x v="1"/>
    <n v="1.5"/>
    <x v="2"/>
    <n v="2"/>
    <s v="Manual Labour"/>
    <n v="2"/>
    <x v="1"/>
    <n v="3"/>
    <n v="1"/>
    <n v="2"/>
    <n v="5"/>
    <n v="4"/>
    <s v="Y"/>
    <m/>
    <x v="0"/>
  </r>
  <r>
    <d v="2019-10-29T00:00:00"/>
    <d v="1899-12-30T11:20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7"/>
    <s v="Hospital"/>
    <x v="26"/>
    <n v="4000"/>
    <n v="34"/>
    <x v="5"/>
    <n v="2"/>
    <x v="1"/>
    <n v="2"/>
    <s v="Manual Labour"/>
    <n v="2"/>
    <x v="1"/>
    <n v="2"/>
    <n v="1"/>
    <n v="3"/>
    <n v="5"/>
    <n v="4"/>
    <s v="Y"/>
    <m/>
    <x v="0"/>
  </r>
  <r>
    <d v="2019-10-29T00:00:00"/>
    <d v="1899-12-30T09:44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5"/>
    <s v="Tourism"/>
    <x v="24"/>
    <n v="4000"/>
    <n v="34"/>
    <x v="5"/>
    <n v="2"/>
    <x v="1"/>
    <n v="2"/>
    <s v="Manual Labour"/>
    <n v="1"/>
    <x v="2"/>
    <n v="3"/>
    <n v="1"/>
    <n v="2"/>
    <n v="5"/>
    <n v="4"/>
    <s v="Y"/>
    <n v="3000"/>
    <x v="5"/>
  </r>
  <r>
    <d v="2019-10-29T00:00:00"/>
    <d v="1899-12-30T08:55:00"/>
    <m/>
    <s v="P"/>
    <n v="2"/>
    <s v="Road Vehicle"/>
    <n v="4"/>
    <x v="3"/>
    <x v="0"/>
    <n v="1"/>
    <x v="0"/>
    <s v="Busujju"/>
    <s v="Wakiso"/>
    <s v="UGA"/>
    <n v="1"/>
    <s v="Home"/>
    <s v="Miika"/>
    <s v="Wakiso"/>
    <s v="UGA"/>
    <n v="4"/>
    <s v="Commercial"/>
    <x v="12"/>
    <n v="500"/>
    <m/>
    <x v="4"/>
    <n v="0.3"/>
    <x v="4"/>
    <n v="2"/>
    <s v="Manual Labour"/>
    <n v="1"/>
    <x v="2"/>
    <n v="3"/>
    <n v="5"/>
    <n v="1"/>
    <n v="2"/>
    <n v="4"/>
    <s v="Y"/>
    <n v="5000"/>
    <x v="2"/>
  </r>
  <r>
    <d v="2019-10-27T00:00:00"/>
    <d v="1899-12-30T08:51:00"/>
    <m/>
    <s v="P"/>
    <n v="2"/>
    <s v="Road Vehicle"/>
    <n v="4"/>
    <x v="3"/>
    <x v="1"/>
    <n v="1"/>
    <x v="0"/>
    <s v="Busujju"/>
    <s v="Wakiso"/>
    <s v="UGA"/>
    <n v="1"/>
    <s v="Home"/>
    <s v="Nansana"/>
    <s v="Wakiso"/>
    <s v="UGA"/>
    <n v="3"/>
    <s v="Study"/>
    <x v="10"/>
    <n v="5000"/>
    <n v="70"/>
    <x v="0"/>
    <n v="2"/>
    <x v="1"/>
    <n v="2"/>
    <s v="Manual Labour"/>
    <n v="1"/>
    <x v="2"/>
    <n v="3"/>
    <n v="5"/>
    <n v="4"/>
    <n v="1"/>
    <n v="2"/>
    <s v="Y"/>
    <n v="5000"/>
    <x v="2"/>
  </r>
  <r>
    <d v="2019-10-27T00:00:00"/>
    <d v="1899-12-30T20:45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4"/>
    <s v="Commercial"/>
    <x v="12"/>
    <n v="4000"/>
    <n v="65"/>
    <x v="1"/>
    <n v="1.5"/>
    <x v="2"/>
    <n v="2"/>
    <s v="Manual Labour"/>
    <n v="2"/>
    <x v="1"/>
    <n v="1"/>
    <n v="5"/>
    <n v="4"/>
    <n v="2"/>
    <n v="3"/>
    <s v="Y"/>
    <n v="1500"/>
    <x v="1"/>
  </r>
  <r>
    <d v="2019-10-27T00:00:00"/>
    <d v="1899-12-30T09:54:00"/>
    <m/>
    <s v="P"/>
    <n v="2"/>
    <s v="Road Vehicle"/>
    <n v="4"/>
    <x v="3"/>
    <x v="1"/>
    <n v="1"/>
    <x v="0"/>
    <s v="Busujju"/>
    <s v="Wakiso"/>
    <s v="UGA"/>
    <n v="1"/>
    <s v="Home"/>
    <s v="Miika"/>
    <s v="Wakiso"/>
    <s v="UGA"/>
    <n v="2"/>
    <s v="Work"/>
    <x v="8"/>
    <n v="500"/>
    <n v="0.5"/>
    <x v="4"/>
    <n v="0.2"/>
    <x v="4"/>
    <n v="2"/>
    <s v="Manual Labour"/>
    <n v="1"/>
    <x v="2"/>
    <n v="1"/>
    <n v="2"/>
    <n v="3"/>
    <n v="4"/>
    <n v="5"/>
    <s v="Y"/>
    <n v="5000"/>
    <x v="2"/>
  </r>
  <r>
    <d v="2019-10-27T00:00:00"/>
    <d v="1899-12-30T12:55:00"/>
    <m/>
    <s v="P"/>
    <n v="2"/>
    <s v="Road Vehicle"/>
    <n v="4"/>
    <x v="3"/>
    <x v="1"/>
    <n v="1"/>
    <x v="0"/>
    <s v="Busujju"/>
    <s v="Wakiso"/>
    <s v="UGA"/>
    <n v="1"/>
    <s v="Home"/>
    <m/>
    <s v="Wakiso"/>
    <s v="UGA"/>
    <n v="2"/>
    <s v="Work"/>
    <x v="8"/>
    <n v="2000"/>
    <n v="6"/>
    <x v="4"/>
    <n v="0.4"/>
    <x v="4"/>
    <n v="2"/>
    <s v="Manual Labour"/>
    <n v="1"/>
    <x v="2"/>
    <n v="3"/>
    <n v="1"/>
    <n v="2"/>
    <n v="5"/>
    <n v="4"/>
    <s v="Y"/>
    <n v="2000"/>
    <x v="4"/>
  </r>
  <r>
    <d v="2019-10-27T00:00:00"/>
    <d v="1899-12-30T11:09:00"/>
    <m/>
    <s v="P"/>
    <n v="2"/>
    <s v="Road Vehicle"/>
    <n v="4"/>
    <x v="3"/>
    <x v="1"/>
    <n v="1"/>
    <x v="0"/>
    <s v="Busujju"/>
    <s v="Wakiso"/>
    <s v="UGA"/>
    <n v="1"/>
    <s v="Home"/>
    <s v="Bukomero"/>
    <s v="Kiboga"/>
    <s v="UGA"/>
    <n v="6"/>
    <s v="Leisure/Social"/>
    <x v="3"/>
    <n v="3000"/>
    <n v="45"/>
    <x v="1"/>
    <n v="1"/>
    <x v="2"/>
    <n v="2"/>
    <s v="Manual Labour"/>
    <n v="1"/>
    <x v="2"/>
    <n v="3"/>
    <n v="5"/>
    <n v="4"/>
    <n v="1"/>
    <n v="2"/>
    <s v="Y"/>
    <m/>
    <x v="0"/>
  </r>
  <r>
    <d v="2019-10-27T00:00:00"/>
    <d v="1899-12-30T11:24:00"/>
    <m/>
    <s v="P"/>
    <n v="2"/>
    <s v="Road Vehicle"/>
    <n v="4"/>
    <x v="3"/>
    <x v="1"/>
    <n v="1"/>
    <x v="0"/>
    <s v="Busujju"/>
    <s v="Wakiso"/>
    <s v="UGA"/>
    <n v="1"/>
    <s v="Home"/>
    <s v="Miika"/>
    <s v="Wakiso"/>
    <s v="UGA"/>
    <n v="4"/>
    <s v="Commercial"/>
    <x v="12"/>
    <n v="5000"/>
    <n v="1"/>
    <x v="4"/>
    <n v="0.2"/>
    <x v="4"/>
    <n v="2"/>
    <s v="Manual Labour"/>
    <n v="1"/>
    <x v="2"/>
    <n v="1"/>
    <n v="2"/>
    <n v="3"/>
    <n v="4"/>
    <n v="5"/>
    <s v="Y"/>
    <n v="1000"/>
    <x v="1"/>
  </r>
  <r>
    <d v="2019-10-27T00:00:00"/>
    <d v="1899-12-30T10:32:00"/>
    <m/>
    <s v="P"/>
    <n v="2"/>
    <s v="Road Vehicle"/>
    <n v="4"/>
    <x v="3"/>
    <x v="1"/>
    <n v="1"/>
    <x v="0"/>
    <s v="Kampala"/>
    <s v="Kampala"/>
    <s v="UGA"/>
    <n v="1"/>
    <s v="Home"/>
    <s v="Busujju"/>
    <s v="Wakiso"/>
    <s v="UGA"/>
    <n v="2"/>
    <s v="Work"/>
    <x v="8"/>
    <n v="5000"/>
    <m/>
    <x v="4"/>
    <n v="2"/>
    <x v="1"/>
    <n v="2"/>
    <s v="Manual Labour"/>
    <n v="2"/>
    <x v="1"/>
    <n v="1"/>
    <n v="2"/>
    <n v="5"/>
    <n v="4"/>
    <n v="3"/>
    <s v="Y"/>
    <n v="2000"/>
    <x v="4"/>
  </r>
  <r>
    <d v="2019-10-27T00:00:00"/>
    <d v="1899-12-30T11:06:00"/>
    <m/>
    <s v="P"/>
    <n v="2"/>
    <s v="Road Vehicle"/>
    <n v="4"/>
    <x v="3"/>
    <x v="1"/>
    <n v="1"/>
    <x v="0"/>
    <s v="Busujju"/>
    <s v="Wakiso"/>
    <s v="UGA"/>
    <n v="1"/>
    <s v="Home"/>
    <s v="Gobero"/>
    <s v="Wakiso"/>
    <s v="UGA"/>
    <n v="8"/>
    <s v="Others"/>
    <x v="4"/>
    <n v="2000"/>
    <m/>
    <x v="4"/>
    <n v="0.4"/>
    <x v="4"/>
    <n v="2"/>
    <s v="Manual Labour"/>
    <n v="2"/>
    <x v="1"/>
    <n v="5"/>
    <n v="1"/>
    <n v="4"/>
    <n v="3"/>
    <n v="2"/>
    <s v="Y"/>
    <n v="2000"/>
    <x v="4"/>
  </r>
  <r>
    <d v="2019-10-27T00:00:00"/>
    <d v="1899-12-30T10:56:00"/>
    <m/>
    <s v="P"/>
    <n v="2"/>
    <s v="Road Vehicle"/>
    <n v="4"/>
    <x v="3"/>
    <x v="1"/>
    <n v="1"/>
    <x v="0"/>
    <s v="Busujju"/>
    <s v="Wakiso"/>
    <s v="UGA"/>
    <n v="1"/>
    <s v="Home"/>
    <s v="Bukomero"/>
    <s v="Wakiso"/>
    <s v="UGA"/>
    <n v="2"/>
    <s v="Work"/>
    <x v="8"/>
    <n v="3000"/>
    <m/>
    <x v="4"/>
    <n v="0.5"/>
    <x v="3"/>
    <n v="2"/>
    <s v="Manual Labour"/>
    <n v="1"/>
    <x v="2"/>
    <n v="3"/>
    <n v="2"/>
    <n v="1"/>
    <n v="4"/>
    <n v="5"/>
    <s v="Y"/>
    <n v="1000"/>
    <x v="1"/>
  </r>
  <r>
    <d v="2019-10-27T00:00:00"/>
    <d v="1899-12-30T12:30:00"/>
    <m/>
    <s v="P"/>
    <n v="2"/>
    <s v="Road Vehicle"/>
    <n v="4"/>
    <x v="3"/>
    <x v="1"/>
    <n v="1"/>
    <x v="0"/>
    <s v="Busujju"/>
    <s v="Wakiso"/>
    <s v="UGA"/>
    <n v="2"/>
    <s v="Work"/>
    <s v="Mende"/>
    <s v="Wakiso"/>
    <s v="UGA"/>
    <n v="8"/>
    <s v="Others"/>
    <x v="6"/>
    <n v="2000"/>
    <m/>
    <x v="4"/>
    <n v="0.5"/>
    <x v="3"/>
    <n v="2"/>
    <s v="Manual Labour"/>
    <n v="1"/>
    <x v="2"/>
    <n v="1"/>
    <n v="4"/>
    <n v="3"/>
    <n v="2"/>
    <n v="5"/>
    <s v="Y"/>
    <m/>
    <x v="0"/>
  </r>
  <r>
    <d v="2019-10-27T00:00:00"/>
    <d v="1899-12-30T15:05:00"/>
    <m/>
    <s v="P"/>
    <n v="2"/>
    <s v="Road Vehicle"/>
    <n v="4"/>
    <x v="3"/>
    <x v="1"/>
    <n v="1"/>
    <x v="0"/>
    <s v="Busujju"/>
    <s v="Wakiso"/>
    <s v="UGA"/>
    <n v="8"/>
    <s v="Others"/>
    <s v="Northern by-pass"/>
    <s v="Wakiso"/>
    <s v="UGA"/>
    <n v="2"/>
    <s v="Work"/>
    <x v="31"/>
    <n v="4000"/>
    <m/>
    <x v="4"/>
    <n v="1.5"/>
    <x v="2"/>
    <n v="2"/>
    <s v="Manual Labour"/>
    <n v="1"/>
    <x v="2"/>
    <n v="1"/>
    <n v="3"/>
    <n v="2"/>
    <n v="4"/>
    <n v="5"/>
    <s v="Y"/>
    <m/>
    <x v="0"/>
  </r>
  <r>
    <d v="2019-10-28T00:00:00"/>
    <d v="1899-12-30T10:51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2"/>
    <s v="Work"/>
    <x v="8"/>
    <n v="4000"/>
    <m/>
    <x v="4"/>
    <n v="2"/>
    <x v="1"/>
    <n v="2"/>
    <s v="Manual Labour"/>
    <n v="1"/>
    <x v="2"/>
    <n v="4"/>
    <n v="1"/>
    <n v="3"/>
    <n v="2"/>
    <n v="5"/>
    <s v="Y"/>
    <m/>
    <x v="0"/>
  </r>
  <r>
    <d v="2019-10-28T00:00:00"/>
    <d v="1899-12-30T10:37:00"/>
    <m/>
    <s v="P"/>
    <n v="2"/>
    <s v="Road Vehicle"/>
    <n v="4"/>
    <x v="3"/>
    <x v="1"/>
    <n v="1"/>
    <x v="0"/>
    <s v="Busujju"/>
    <s v="Wakiso"/>
    <s v="UGA"/>
    <n v="2"/>
    <s v="Work"/>
    <s v="Mityana"/>
    <s v="Mityana"/>
    <s v="UGA"/>
    <n v="1"/>
    <s v="Home"/>
    <x v="1"/>
    <n v="10000"/>
    <m/>
    <x v="4"/>
    <n v="1.5"/>
    <x v="2"/>
    <n v="2"/>
    <s v="Manual Labour"/>
    <n v="1"/>
    <x v="2"/>
    <n v="2"/>
    <n v="4"/>
    <n v="5"/>
    <n v="1"/>
    <n v="3"/>
    <s v="Y"/>
    <m/>
    <x v="0"/>
  </r>
  <r>
    <d v="2019-10-28T00:00:00"/>
    <d v="1899-12-30T09:14:00"/>
    <m/>
    <s v="P"/>
    <n v="2"/>
    <s v="Road Vehicle"/>
    <n v="4"/>
    <x v="3"/>
    <x v="1"/>
    <n v="1"/>
    <x v="0"/>
    <s v="Busujju"/>
    <s v="Wakiso"/>
    <s v="UGA"/>
    <n v="2"/>
    <s v="Work"/>
    <s v="Miika"/>
    <s v="Wakiso"/>
    <s v="UGA"/>
    <n v="1"/>
    <s v="Home"/>
    <x v="1"/>
    <n v="500"/>
    <n v="10"/>
    <x v="6"/>
    <n v="0.1"/>
    <x v="4"/>
    <n v="2"/>
    <s v="Manual Labour"/>
    <n v="1"/>
    <x v="2"/>
    <n v="2"/>
    <n v="1"/>
    <n v="5"/>
    <n v="4"/>
    <n v="3"/>
    <s v="Y"/>
    <m/>
    <x v="0"/>
  </r>
  <r>
    <d v="2019-10-28T00:00:00"/>
    <d v="1899-12-30T09:30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5"/>
    <s v="Tourism"/>
    <x v="24"/>
    <n v="4000"/>
    <n v="50"/>
    <x v="1"/>
    <n v="1.5"/>
    <x v="2"/>
    <n v="2"/>
    <s v="Manual Labour"/>
    <n v="1"/>
    <x v="2"/>
    <n v="3"/>
    <n v="5"/>
    <n v="4"/>
    <n v="2"/>
    <n v="1"/>
    <s v="Y"/>
    <n v="5000"/>
    <x v="2"/>
  </r>
  <r>
    <d v="2019-10-28T00:00:00"/>
    <d v="1899-12-30T16:41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2"/>
    <s v="Manual Labour"/>
    <n v="1"/>
    <x v="2"/>
    <n v="5"/>
    <n v="3"/>
    <n v="4"/>
    <n v="2"/>
    <n v="1"/>
    <s v="Y"/>
    <n v="1000"/>
    <x v="1"/>
  </r>
  <r>
    <d v="2019-10-28T00:00:00"/>
    <d v="1899-12-30T16:48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5"/>
    <s v="Tourism"/>
    <x v="24"/>
    <n v="4000"/>
    <n v="35"/>
    <x v="5"/>
    <n v="1.5"/>
    <x v="2"/>
    <n v="2"/>
    <s v="Manual Labour"/>
    <n v="1"/>
    <x v="2"/>
    <n v="3"/>
    <n v="5"/>
    <n v="4"/>
    <n v="2"/>
    <n v="1"/>
    <s v="Y"/>
    <n v="5000"/>
    <x v="2"/>
  </r>
  <r>
    <d v="2019-10-28T00:00:00"/>
    <d v="1899-12-30T18:07:00"/>
    <m/>
    <s v="P"/>
    <n v="2"/>
    <s v="Road Vehicle"/>
    <n v="4"/>
    <x v="3"/>
    <x v="1"/>
    <n v="1"/>
    <x v="0"/>
    <s v="Busujju"/>
    <s v="Wakiso"/>
    <s v="UGA"/>
    <n v="2"/>
    <s v="Work"/>
    <s v="Kampala"/>
    <s v="Kampala"/>
    <s v="UGA"/>
    <n v="1"/>
    <s v="Home"/>
    <x v="1"/>
    <n v="4000"/>
    <n v="35"/>
    <x v="5"/>
    <n v="1"/>
    <x v="2"/>
    <n v="2"/>
    <s v="Manual Labour"/>
    <n v="2"/>
    <x v="1"/>
    <n v="1"/>
    <n v="5"/>
    <n v="3"/>
    <n v="2"/>
    <n v="4"/>
    <s v="Y"/>
    <n v="1000"/>
    <x v="1"/>
  </r>
  <r>
    <d v="2019-10-28T00:00:00"/>
    <d v="1899-12-30T15:56:00"/>
    <m/>
    <s v="D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2"/>
    <s v="Work"/>
    <x v="8"/>
    <n v="50000"/>
    <n v="34"/>
    <x v="5"/>
    <n v="2"/>
    <x v="1"/>
    <n v="2"/>
    <s v="Manual Labour"/>
    <n v="1"/>
    <x v="2"/>
    <n v="5"/>
    <n v="4"/>
    <n v="3"/>
    <n v="2"/>
    <n v="1"/>
    <s v="Y"/>
    <n v="2000"/>
    <x v="4"/>
  </r>
  <r>
    <d v="2019-10-28T00:00:00"/>
    <d v="1899-12-30T15:00:00"/>
    <m/>
    <s v="D"/>
    <n v="2"/>
    <s v="Road Vehicle"/>
    <n v="4"/>
    <x v="3"/>
    <x v="1"/>
    <n v="1"/>
    <x v="0"/>
    <s v="Busujju"/>
    <s v="Wakiso"/>
    <s v="UGA"/>
    <n v="2"/>
    <s v="Work"/>
    <s v="Kampala"/>
    <s v="Kampala"/>
    <s v="UGA"/>
    <n v="1"/>
    <s v="Home"/>
    <x v="1"/>
    <n v="50000"/>
    <n v="35"/>
    <x v="5"/>
    <n v="1.5"/>
    <x v="2"/>
    <n v="2"/>
    <s v="Manual Labour"/>
    <n v="1"/>
    <x v="2"/>
    <n v="3"/>
    <n v="4"/>
    <n v="1"/>
    <n v="2"/>
    <n v="5"/>
    <s v="Y"/>
    <n v="1000"/>
    <x v="1"/>
  </r>
  <r>
    <d v="2019-10-29T00:00:00"/>
    <d v="1899-12-30T13:11:00"/>
    <m/>
    <s v="P"/>
    <n v="2"/>
    <s v="Road Vehicle"/>
    <n v="4"/>
    <x v="3"/>
    <x v="1"/>
    <n v="1"/>
    <x v="0"/>
    <s v="Busujju"/>
    <s v="Wakiso"/>
    <s v="UGA"/>
    <n v="1"/>
    <s v="Home"/>
    <s v="Matte"/>
    <s v="Wakiso"/>
    <s v="UGA"/>
    <n v="2"/>
    <s v="Work"/>
    <x v="8"/>
    <n v="1000"/>
    <m/>
    <x v="4"/>
    <n v="0.2"/>
    <x v="4"/>
    <n v="2"/>
    <s v="Manual Labour"/>
    <n v="1"/>
    <x v="2"/>
    <n v="4"/>
    <n v="5"/>
    <n v="3"/>
    <n v="1"/>
    <n v="2"/>
    <s v="Y"/>
    <m/>
    <x v="0"/>
  </r>
  <r>
    <d v="2019-10-29T00:00:00"/>
    <d v="1899-12-30T10:03:00"/>
    <m/>
    <s v="P"/>
    <n v="2"/>
    <s v="Road Vehicle"/>
    <n v="4"/>
    <x v="3"/>
    <x v="1"/>
    <n v="1"/>
    <x v="0"/>
    <s v="Busujju"/>
    <s v="Wakiso"/>
    <s v="UGA"/>
    <n v="2"/>
    <s v="Work"/>
    <s v="Busujju"/>
    <s v="Wakiso"/>
    <s v="UGA"/>
    <n v="1"/>
    <s v="Home"/>
    <x v="1"/>
    <n v="2000"/>
    <m/>
    <x v="4"/>
    <n v="0.3"/>
    <x v="4"/>
    <n v="2"/>
    <s v="Manual Labour"/>
    <n v="1"/>
    <x v="2"/>
    <n v="5"/>
    <n v="1"/>
    <n v="4"/>
    <n v="2"/>
    <n v="3"/>
    <s v="Y"/>
    <n v="1000"/>
    <x v="1"/>
  </r>
  <r>
    <d v="2019-10-29T00:00:00"/>
    <d v="1899-12-30T12:29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8"/>
    <s v="Others"/>
    <x v="4"/>
    <n v="4000"/>
    <m/>
    <x v="4"/>
    <n v="2"/>
    <x v="1"/>
    <n v="2"/>
    <s v="Manual Labour"/>
    <n v="1"/>
    <x v="2"/>
    <n v="2"/>
    <n v="1"/>
    <n v="5"/>
    <n v="3"/>
    <n v="4"/>
    <s v="Y"/>
    <m/>
    <x v="0"/>
  </r>
  <r>
    <d v="2019-10-29T00:00:00"/>
    <d v="1899-12-30T13:36:00"/>
    <m/>
    <s v="P"/>
    <n v="2"/>
    <s v="Road Vehicle"/>
    <n v="4"/>
    <x v="3"/>
    <x v="1"/>
    <n v="1"/>
    <x v="0"/>
    <s v="Busujju"/>
    <s v="Wakiso"/>
    <s v="UGA"/>
    <n v="1"/>
    <s v="Home"/>
    <s v="Matte"/>
    <s v="Wakiso"/>
    <s v="UGA"/>
    <n v="8"/>
    <s v="Others"/>
    <x v="4"/>
    <n v="1000"/>
    <m/>
    <x v="4"/>
    <n v="0.1"/>
    <x v="4"/>
    <n v="2"/>
    <s v="Manual Labour"/>
    <n v="2"/>
    <x v="1"/>
    <n v="5"/>
    <n v="1"/>
    <n v="4"/>
    <n v="2"/>
    <n v="3"/>
    <s v="Y"/>
    <m/>
    <x v="0"/>
  </r>
  <r>
    <d v="2019-10-29T00:00:00"/>
    <d v="1899-12-30T10:05:00"/>
    <m/>
    <s v="D"/>
    <n v="2"/>
    <s v="Road Vehicle"/>
    <n v="4"/>
    <x v="3"/>
    <x v="1"/>
    <n v="1"/>
    <x v="0"/>
    <s v="Busujju"/>
    <s v="Wakiso"/>
    <s v="UGA"/>
    <n v="1"/>
    <s v="Home"/>
    <s v="Kiwotya"/>
    <s v="Kiboga"/>
    <s v="UGA"/>
    <n v="2"/>
    <s v="Work"/>
    <x v="8"/>
    <n v="70000"/>
    <m/>
    <x v="4"/>
    <n v="1.5"/>
    <x v="2"/>
    <n v="2"/>
    <s v="Manual Labour"/>
    <n v="1"/>
    <x v="2"/>
    <n v="4"/>
    <n v="3"/>
    <n v="1"/>
    <n v="5"/>
    <n v="2"/>
    <s v="Y"/>
    <n v="3000"/>
    <x v="5"/>
  </r>
  <r>
    <d v="2019-10-29T00:00:00"/>
    <d v="1899-12-30T12:54:00"/>
    <m/>
    <s v="P"/>
    <n v="2"/>
    <s v="Road Vehicle"/>
    <n v="4"/>
    <x v="3"/>
    <x v="1"/>
    <n v="1"/>
    <x v="0"/>
    <s v="Busujju"/>
    <s v="Wakiso"/>
    <s v="UGA"/>
    <n v="1"/>
    <s v="Home"/>
    <s v="Mityana"/>
    <s v="Mityana"/>
    <s v="UGA"/>
    <n v="2"/>
    <s v="Work"/>
    <x v="8"/>
    <n v="10000"/>
    <m/>
    <x v="4"/>
    <n v="2.5"/>
    <x v="1"/>
    <n v="2"/>
    <s v="Manual Labour"/>
    <n v="2"/>
    <x v="1"/>
    <n v="5"/>
    <n v="3"/>
    <n v="2"/>
    <n v="1"/>
    <n v="4"/>
    <s v="Y"/>
    <n v="1000"/>
    <x v="1"/>
  </r>
  <r>
    <d v="2019-10-29T00:00:00"/>
    <d v="1899-12-30T08:01:00"/>
    <m/>
    <s v="P"/>
    <n v="2"/>
    <s v="Road Vehicle"/>
    <n v="4"/>
    <x v="3"/>
    <x v="1"/>
    <n v="1"/>
    <x v="0"/>
    <s v="Busujju"/>
    <s v="Wakiso"/>
    <s v="UGA"/>
    <n v="2"/>
    <s v="Work"/>
    <s v="Miika"/>
    <s v="Wakiso"/>
    <s v="UGA"/>
    <n v="1"/>
    <s v="Home"/>
    <x v="1"/>
    <n v="500"/>
    <n v="15"/>
    <x v="6"/>
    <n v="0.2"/>
    <x v="4"/>
    <n v="2"/>
    <s v="Manual Labour"/>
    <n v="1"/>
    <x v="2"/>
    <n v="1"/>
    <n v="2"/>
    <n v="3"/>
    <n v="4"/>
    <n v="5"/>
    <s v="Y"/>
    <m/>
    <x v="0"/>
  </r>
  <r>
    <d v="2019-10-27T00:00:00"/>
    <d v="1899-12-30T15:45:00"/>
    <m/>
    <s v="P"/>
    <n v="2"/>
    <s v="Road Vehicle"/>
    <n v="4"/>
    <x v="3"/>
    <x v="0"/>
    <n v="1"/>
    <x v="0"/>
    <s v="Kiboga"/>
    <s v="Kiboga"/>
    <s v="UGA"/>
    <n v="1"/>
    <s v="Home"/>
    <s v="Wakiso"/>
    <s v="Wakiso"/>
    <s v="UGA"/>
    <n v="8"/>
    <s v="Others"/>
    <x v="4"/>
    <n v="8000"/>
    <m/>
    <x v="4"/>
    <n v="1.5"/>
    <x v="2"/>
    <n v="4"/>
    <s v="Office Worker"/>
    <n v="3"/>
    <x v="0"/>
    <n v="2"/>
    <n v="1"/>
    <n v="3"/>
    <n v="4"/>
    <n v="5"/>
    <s v="Y"/>
    <n v="2000"/>
    <x v="4"/>
  </r>
  <r>
    <d v="2019-10-27T00:00:00"/>
    <d v="1899-12-30T16:06:00"/>
    <m/>
    <s v="P"/>
    <n v="2"/>
    <s v="Road Vehicle"/>
    <n v="4"/>
    <x v="3"/>
    <x v="0"/>
    <n v="1"/>
    <x v="0"/>
    <s v="Kikonda"/>
    <s v="Kyankwanzi"/>
    <s v="UGA"/>
    <n v="2"/>
    <s v="Work"/>
    <s v="Kampala"/>
    <s v="Kampala"/>
    <s v="UGA"/>
    <n v="2"/>
    <s v="Work"/>
    <x v="5"/>
    <n v="10000"/>
    <m/>
    <x v="4"/>
    <n v="2"/>
    <x v="1"/>
    <n v="4"/>
    <s v="Office Worker"/>
    <n v="2"/>
    <x v="1"/>
    <n v="1"/>
    <n v="2"/>
    <n v="5"/>
    <n v="4"/>
    <n v="3"/>
    <s v="Y"/>
    <n v="5000"/>
    <x v="2"/>
  </r>
  <r>
    <d v="2019-10-28T00:00:00"/>
    <d v="1899-12-30T16:19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2"/>
    <s v="Work"/>
    <x v="8"/>
    <n v="4000"/>
    <m/>
    <x v="4"/>
    <n v="2"/>
    <x v="1"/>
    <n v="4"/>
    <s v="Office Worker"/>
    <n v="2"/>
    <x v="1"/>
    <n v="5"/>
    <n v="1"/>
    <n v="4"/>
    <n v="2"/>
    <n v="3"/>
    <s v="Y"/>
    <m/>
    <x v="0"/>
  </r>
  <r>
    <d v="2019-10-28T00:00:00"/>
    <d v="1899-12-30T16:18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8"/>
    <s v="Others"/>
    <x v="4"/>
    <n v="4000"/>
    <m/>
    <x v="4"/>
    <n v="2"/>
    <x v="1"/>
    <n v="4"/>
    <s v="Office Worker"/>
    <n v="2"/>
    <x v="1"/>
    <n v="2"/>
    <n v="3"/>
    <n v="1"/>
    <n v="4"/>
    <n v="5"/>
    <s v="Y"/>
    <m/>
    <x v="0"/>
  </r>
  <r>
    <d v="2019-10-28T00:00:00"/>
    <d v="1899-12-30T10:43:00"/>
    <m/>
    <s v="P"/>
    <n v="2"/>
    <s v="Road Vehicle"/>
    <n v="4"/>
    <x v="3"/>
    <x v="0"/>
    <n v="1"/>
    <x v="0"/>
    <s v="Busujju"/>
    <s v="Wakiso"/>
    <s v="UGA"/>
    <n v="8"/>
    <s v="Others"/>
    <s v="Namayuba"/>
    <s v="Wakiso"/>
    <s v="UGA"/>
    <n v="1"/>
    <s v="Home"/>
    <x v="29"/>
    <n v="1000"/>
    <m/>
    <x v="4"/>
    <n v="0.3"/>
    <x v="4"/>
    <n v="4"/>
    <s v="Office Worker"/>
    <n v="2"/>
    <x v="1"/>
    <n v="5"/>
    <n v="4"/>
    <n v="2"/>
    <n v="1"/>
    <n v="3"/>
    <s v="Y"/>
    <n v="1000"/>
    <x v="1"/>
  </r>
  <r>
    <d v="2019-10-29T00:00:00"/>
    <d v="1899-12-30T16:06:00"/>
    <m/>
    <s v="P"/>
    <n v="2"/>
    <s v="Road Vehicle"/>
    <n v="4"/>
    <x v="3"/>
    <x v="0"/>
    <n v="1"/>
    <x v="0"/>
    <s v="Busujju"/>
    <s v="Wakiso"/>
    <s v="UGA"/>
    <n v="2"/>
    <s v="Work"/>
    <s v="Kasubi"/>
    <s v="Kampala"/>
    <s v="UGA"/>
    <n v="8"/>
    <s v="Others"/>
    <x v="6"/>
    <n v="4000"/>
    <m/>
    <x v="4"/>
    <n v="2"/>
    <x v="1"/>
    <n v="4"/>
    <s v="Office Worker"/>
    <n v="3"/>
    <x v="0"/>
    <n v="5"/>
    <n v="4"/>
    <n v="1"/>
    <n v="2"/>
    <n v="3"/>
    <s v="Y"/>
    <m/>
    <x v="0"/>
  </r>
  <r>
    <d v="2019-10-27T00:00:00"/>
    <d v="1899-12-30T11:25:00"/>
    <m/>
    <s v="P"/>
    <n v="2"/>
    <s v="Road Vehicle"/>
    <n v="4"/>
    <x v="3"/>
    <x v="1"/>
    <n v="1"/>
    <x v="0"/>
    <s v="Ntwantwe"/>
    <s v="Ntwantwe"/>
    <s v="UGA"/>
    <n v="2"/>
    <s v="Work"/>
    <s v="Busujju"/>
    <s v="Wakiso"/>
    <s v="UGA"/>
    <n v="8"/>
    <s v="Others"/>
    <x v="6"/>
    <n v="5000"/>
    <m/>
    <x v="4"/>
    <n v="1.5"/>
    <x v="2"/>
    <n v="4"/>
    <s v="Office Worker"/>
    <n v="2"/>
    <x v="1"/>
    <n v="3"/>
    <n v="2"/>
    <n v="1"/>
    <n v="5"/>
    <n v="4"/>
    <s v="Y"/>
    <m/>
    <x v="0"/>
  </r>
  <r>
    <d v="2019-10-27T00:00:00"/>
    <d v="1899-12-30T10:49:00"/>
    <m/>
    <s v="P"/>
    <n v="2"/>
    <s v="Road Vehicle"/>
    <n v="4"/>
    <x v="3"/>
    <x v="1"/>
    <n v="1"/>
    <x v="0"/>
    <s v="Busujju"/>
    <s v="Wakiso"/>
    <s v="UGA"/>
    <n v="1"/>
    <s v="Home"/>
    <s v="Wakiso"/>
    <s v="Wakiso"/>
    <s v="UGA"/>
    <n v="2"/>
    <s v="Work"/>
    <x v="8"/>
    <n v="3000"/>
    <m/>
    <x v="4"/>
    <n v="0.6"/>
    <x v="3"/>
    <n v="4"/>
    <s v="Office Worker"/>
    <n v="3"/>
    <x v="0"/>
    <n v="1"/>
    <n v="3"/>
    <n v="2"/>
    <n v="4"/>
    <n v="5"/>
    <s v="Y"/>
    <n v="2000"/>
    <x v="4"/>
  </r>
  <r>
    <d v="2019-10-28T00:00:00"/>
    <d v="1899-12-30T15:40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6"/>
    <s v="Leisure/Social"/>
    <x v="3"/>
    <n v="4000"/>
    <m/>
    <x v="4"/>
    <n v="2"/>
    <x v="1"/>
    <n v="10"/>
    <s v="Other"/>
    <n v="5"/>
    <x v="4"/>
    <n v="3"/>
    <n v="4"/>
    <n v="1"/>
    <n v="2"/>
    <n v="5"/>
    <s v="Y"/>
    <m/>
    <x v="0"/>
  </r>
  <r>
    <d v="2019-10-28T00:00:00"/>
    <d v="1899-12-30T09:01:00"/>
    <m/>
    <s v="P"/>
    <n v="2"/>
    <s v="Road Vehicle"/>
    <n v="4"/>
    <x v="3"/>
    <x v="0"/>
    <n v="1"/>
    <x v="0"/>
    <s v="Busujju"/>
    <s v="Wakiso"/>
    <s v="UGA"/>
    <n v="1"/>
    <s v="Home"/>
    <s v="Gobero"/>
    <s v="Wakiso"/>
    <s v="UGA"/>
    <n v="8"/>
    <s v="Others"/>
    <x v="4"/>
    <n v="2000"/>
    <n v="25"/>
    <x v="5"/>
    <n v="1"/>
    <x v="2"/>
    <n v="10"/>
    <s v="Other"/>
    <n v="2"/>
    <x v="1"/>
    <n v="3"/>
    <n v="5"/>
    <n v="4"/>
    <n v="2"/>
    <n v="1"/>
    <s v="Y"/>
    <n v="5000"/>
    <x v="2"/>
  </r>
  <r>
    <d v="2019-10-27T00:00:00"/>
    <d v="1899-12-30T17:18:00"/>
    <m/>
    <s v="D"/>
    <n v="2"/>
    <s v="Road Vehicle"/>
    <n v="4"/>
    <x v="3"/>
    <x v="1"/>
    <n v="1"/>
    <x v="0"/>
    <s v="Busujju"/>
    <s v="Wakiso"/>
    <s v="UGA"/>
    <n v="2"/>
    <s v="Work"/>
    <s v="Hoima"/>
    <s v="Hoima"/>
    <s v="UGA"/>
    <n v="1"/>
    <s v="Home"/>
    <x v="1"/>
    <n v="80000"/>
    <n v="195"/>
    <x v="2"/>
    <n v="2"/>
    <x v="1"/>
    <n v="10"/>
    <s v="Other"/>
    <n v="4"/>
    <x v="3"/>
    <n v="1"/>
    <n v="2"/>
    <n v="5"/>
    <n v="4"/>
    <n v="3"/>
    <s v="Y"/>
    <n v="3000"/>
    <x v="5"/>
  </r>
  <r>
    <d v="2019-10-27T00:00:00"/>
    <d v="1899-12-30T18:44:00"/>
    <m/>
    <s v="D"/>
    <n v="2"/>
    <s v="Road Vehicle"/>
    <n v="4"/>
    <x v="3"/>
    <x v="1"/>
    <n v="1"/>
    <x v="0"/>
    <s v="Busujju"/>
    <s v="Wakiso"/>
    <s v="UGA"/>
    <n v="2"/>
    <s v="Work"/>
    <s v="Hoima"/>
    <s v="Hoima"/>
    <s v="UGA"/>
    <n v="2"/>
    <s v="Work"/>
    <x v="5"/>
    <n v="60000"/>
    <n v="210"/>
    <x v="3"/>
    <n v="2.5"/>
    <x v="1"/>
    <n v="10"/>
    <s v="Other"/>
    <n v="4"/>
    <x v="3"/>
    <n v="4"/>
    <n v="2"/>
    <n v="3"/>
    <n v="5"/>
    <n v="1"/>
    <s v="Y"/>
    <n v="1000"/>
    <x v="1"/>
  </r>
  <r>
    <d v="2019-10-27T00:00:00"/>
    <d v="1899-12-30T08:35:00"/>
    <m/>
    <s v="D"/>
    <n v="2"/>
    <s v="Road Vehicle"/>
    <n v="4"/>
    <x v="3"/>
    <x v="1"/>
    <n v="1"/>
    <x v="0"/>
    <s v="Busujju"/>
    <s v="Wakiso"/>
    <s v="UGA"/>
    <n v="2"/>
    <s v="Work"/>
    <s v="Kampala"/>
    <s v="Kampala"/>
    <s v="UGA"/>
    <n v="1"/>
    <s v="Home"/>
    <x v="1"/>
    <n v="50000"/>
    <n v="150"/>
    <x v="2"/>
    <n v="2"/>
    <x v="1"/>
    <n v="10"/>
    <s v="Other"/>
    <n v="3"/>
    <x v="0"/>
    <n v="3"/>
    <n v="2"/>
    <n v="1"/>
    <n v="4"/>
    <n v="5"/>
    <s v="Y"/>
    <n v="500"/>
    <x v="0"/>
  </r>
  <r>
    <d v="2019-10-27T00:00:00"/>
    <d v="1899-12-30T07:23:00"/>
    <m/>
    <s v="D"/>
    <n v="2"/>
    <s v="Road Vehicle"/>
    <n v="4"/>
    <x v="3"/>
    <x v="1"/>
    <n v="1"/>
    <x v="0"/>
    <s v="Busujju"/>
    <s v="Wakiso"/>
    <s v="UGA"/>
    <n v="1"/>
    <s v="Home"/>
    <m/>
    <m/>
    <s v="UGA"/>
    <n v="2"/>
    <s v="Work"/>
    <x v="8"/>
    <n v="50000"/>
    <n v="114"/>
    <x v="2"/>
    <n v="1"/>
    <x v="2"/>
    <n v="10"/>
    <s v="Other"/>
    <n v="3"/>
    <x v="0"/>
    <n v="2"/>
    <n v="3"/>
    <n v="1"/>
    <n v="5"/>
    <n v="4"/>
    <s v="Y"/>
    <n v="1000"/>
    <x v="1"/>
  </r>
  <r>
    <d v="2019-10-28T00:00:00"/>
    <d v="1899-12-30T16:36:00"/>
    <m/>
    <s v="P"/>
    <n v="2"/>
    <s v="Road Vehicle"/>
    <n v="4"/>
    <x v="3"/>
    <x v="1"/>
    <n v="1"/>
    <x v="0"/>
    <s v="Busujju"/>
    <s v="Wakiso"/>
    <s v="UGA"/>
    <n v="1"/>
    <s v="Home"/>
    <s v="Hoima"/>
    <s v="Hoima"/>
    <s v="UGA"/>
    <n v="5"/>
    <s v="Tourism"/>
    <x v="24"/>
    <n v="12000"/>
    <m/>
    <x v="4"/>
    <n v="4"/>
    <x v="0"/>
    <n v="10"/>
    <s v="Other"/>
    <n v="5"/>
    <x v="4"/>
    <n v="3"/>
    <n v="4"/>
    <n v="5"/>
    <n v="1"/>
    <n v="2"/>
    <s v="Y"/>
    <m/>
    <x v="0"/>
  </r>
  <r>
    <d v="2019-10-28T00:00:00"/>
    <d v="1899-12-30T17:53:00"/>
    <m/>
    <s v="P"/>
    <n v="2"/>
    <s v="Road Vehicle"/>
    <n v="4"/>
    <x v="3"/>
    <x v="0"/>
    <n v="1"/>
    <x v="0"/>
    <s v="Busujju"/>
    <s v="Wakiso"/>
    <s v="UGA"/>
    <n v="2"/>
    <s v="Work"/>
    <s v="Kasubi"/>
    <s v="Kampala"/>
    <s v="UGA"/>
    <n v="1"/>
    <s v="Home"/>
    <x v="1"/>
    <n v="4000"/>
    <m/>
    <x v="4"/>
    <n v="1.5"/>
    <x v="2"/>
    <n v="5"/>
    <s v="Professional"/>
    <n v="3"/>
    <x v="0"/>
    <n v="4"/>
    <n v="5"/>
    <n v="3"/>
    <n v="1"/>
    <n v="2"/>
    <s v="Y"/>
    <n v="1000"/>
    <x v="1"/>
  </r>
  <r>
    <d v="2019-10-27T00:00:00"/>
    <d v="1899-12-30T08:17:00"/>
    <m/>
    <s v="D"/>
    <n v="2"/>
    <s v="Road Vehicle"/>
    <n v="4"/>
    <x v="3"/>
    <x v="1"/>
    <n v="1"/>
    <x v="0"/>
    <s v="Busujju"/>
    <s v="Wakiso"/>
    <s v="UGA"/>
    <n v="1"/>
    <s v="Home"/>
    <s v="Jinja"/>
    <s v="Jinja"/>
    <s v="UGA"/>
    <n v="2"/>
    <s v="Work"/>
    <x v="8"/>
    <n v="180000"/>
    <n v="136.69999999999999"/>
    <x v="2"/>
    <n v="3"/>
    <x v="1"/>
    <n v="5"/>
    <s v="Professional"/>
    <n v="3"/>
    <x v="0"/>
    <n v="1"/>
    <n v="2"/>
    <n v="4"/>
    <n v="5"/>
    <n v="3"/>
    <s v="Y"/>
    <n v="5000"/>
    <x v="2"/>
  </r>
  <r>
    <d v="2019-10-27T00:00:00"/>
    <d v="1899-12-30T08:45:00"/>
    <m/>
    <s v="P"/>
    <n v="2"/>
    <s v="Road Vehicle"/>
    <n v="4"/>
    <x v="3"/>
    <x v="1"/>
    <n v="1"/>
    <x v="0"/>
    <s v="Busujju"/>
    <s v="Wakiso"/>
    <s v="UGA"/>
    <n v="1"/>
    <s v="Home"/>
    <s v="Nakawa"/>
    <s v="Kampala"/>
    <s v="UGA"/>
    <n v="4"/>
    <s v="Commercial"/>
    <x v="12"/>
    <n v="5000"/>
    <m/>
    <x v="4"/>
    <n v="1.5"/>
    <x v="2"/>
    <n v="5"/>
    <s v="Professional"/>
    <n v="2"/>
    <x v="1"/>
    <n v="1"/>
    <n v="5"/>
    <n v="4"/>
    <n v="2"/>
    <n v="3"/>
    <s v="Y"/>
    <m/>
    <x v="0"/>
  </r>
  <r>
    <d v="2019-10-27T00:00:00"/>
    <d v="1899-12-30T14:31:00"/>
    <m/>
    <s v="P"/>
    <n v="2"/>
    <s v="Road Vehicle"/>
    <n v="4"/>
    <x v="3"/>
    <x v="1"/>
    <n v="1"/>
    <x v="0"/>
    <s v="Kampala"/>
    <s v="Kampala"/>
    <s v="UGA"/>
    <n v="8"/>
    <s v="Others"/>
    <s v="Busujju"/>
    <s v="Wakiso"/>
    <s v="UGA"/>
    <n v="2"/>
    <s v="Work"/>
    <x v="31"/>
    <n v="5000"/>
    <m/>
    <x v="4"/>
    <n v="1.5"/>
    <x v="2"/>
    <n v="5"/>
    <s v="Professional"/>
    <n v="3"/>
    <x v="0"/>
    <n v="5"/>
    <n v="2"/>
    <n v="1"/>
    <n v="4"/>
    <n v="3"/>
    <s v="Y"/>
    <n v="1000"/>
    <x v="1"/>
  </r>
  <r>
    <d v="2019-10-27T00:00:00"/>
    <d v="1899-12-30T15:55:00"/>
    <m/>
    <s v="P"/>
    <n v="2"/>
    <s v="Road Vehicle"/>
    <n v="4"/>
    <x v="3"/>
    <x v="1"/>
    <n v="1"/>
    <x v="0"/>
    <s v="Bukomero"/>
    <s v="Kyankwanzi"/>
    <s v="UGA"/>
    <n v="1"/>
    <s v="Home"/>
    <s v="Kampala"/>
    <s v="Kampala"/>
    <s v="UGA"/>
    <n v="2"/>
    <s v="Work"/>
    <x v="8"/>
    <n v="8000"/>
    <m/>
    <x v="4"/>
    <n v="1.5"/>
    <x v="2"/>
    <n v="5"/>
    <s v="Professional"/>
    <n v="4"/>
    <x v="3"/>
    <n v="2"/>
    <n v="1"/>
    <n v="4"/>
    <n v="3"/>
    <n v="5"/>
    <s v="Y"/>
    <n v="2000"/>
    <x v="4"/>
  </r>
  <r>
    <d v="2019-10-28T00:00:00"/>
    <d v="1899-12-30T15:29:00"/>
    <m/>
    <s v="P"/>
    <n v="2"/>
    <s v="Road Vehicle"/>
    <n v="4"/>
    <x v="3"/>
    <x v="1"/>
    <n v="1"/>
    <x v="0"/>
    <s v="Busujju"/>
    <s v="Wakiso"/>
    <s v="UGA"/>
    <n v="1"/>
    <s v="Home"/>
    <s v="Sebbobo"/>
    <s v="Mityana"/>
    <s v="UGA"/>
    <n v="2"/>
    <s v="Work"/>
    <x v="8"/>
    <n v="20000"/>
    <m/>
    <x v="4"/>
    <n v="0.6"/>
    <x v="3"/>
    <n v="5"/>
    <s v="Professional"/>
    <n v="2"/>
    <x v="1"/>
    <n v="3"/>
    <n v="4"/>
    <n v="1"/>
    <n v="5"/>
    <n v="2"/>
    <s v="Y"/>
    <n v="3000"/>
    <x v="5"/>
  </r>
  <r>
    <d v="2019-10-29T00:00:00"/>
    <d v="1899-12-30T09:58:00"/>
    <m/>
    <s v="D"/>
    <n v="2"/>
    <s v="Road Vehicle"/>
    <n v="4"/>
    <x v="3"/>
    <x v="1"/>
    <n v="1"/>
    <x v="0"/>
    <s v="Busujju"/>
    <s v="Wakiso"/>
    <s v="UGA"/>
    <n v="1"/>
    <s v="Home"/>
    <s v="Mityana"/>
    <s v="Mityana"/>
    <s v="UGA"/>
    <n v="2"/>
    <s v="Work"/>
    <x v="8"/>
    <n v="30000"/>
    <n v="21"/>
    <x v="5"/>
    <n v="1"/>
    <x v="2"/>
    <n v="5"/>
    <s v="Professional"/>
    <n v="3"/>
    <x v="0"/>
    <n v="1"/>
    <n v="4"/>
    <n v="3"/>
    <n v="5"/>
    <n v="2"/>
    <s v="Y"/>
    <m/>
    <x v="0"/>
  </r>
  <r>
    <d v="2019-10-29T00:00:00"/>
    <d v="1899-12-30T13:26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4"/>
    <s v="Commercial"/>
    <x v="12"/>
    <n v="4000"/>
    <n v="34"/>
    <x v="5"/>
    <n v="2"/>
    <x v="1"/>
    <n v="5"/>
    <s v="Professional"/>
    <n v="2"/>
    <x v="1"/>
    <n v="5"/>
    <n v="2"/>
    <n v="1"/>
    <n v="3"/>
    <n v="4"/>
    <s v="Y"/>
    <n v="1000"/>
    <x v="1"/>
  </r>
  <r>
    <d v="2019-10-29T00:00:00"/>
    <d v="1899-12-30T15:17:00"/>
    <m/>
    <s v="P"/>
    <n v="2"/>
    <s v="Road Vehicle"/>
    <n v="4"/>
    <x v="3"/>
    <x v="1"/>
    <n v="1"/>
    <x v="0"/>
    <s v="Kampala"/>
    <s v="Kampala"/>
    <s v="UGA"/>
    <n v="5"/>
    <s v="Tourism"/>
    <s v="Hoima"/>
    <s v="Hoima"/>
    <s v="UGA"/>
    <n v="1"/>
    <s v="Home"/>
    <x v="40"/>
    <n v="15000"/>
    <n v="200"/>
    <x v="3"/>
    <n v="4"/>
    <x v="0"/>
    <n v="5"/>
    <s v="Professional"/>
    <n v="3"/>
    <x v="0"/>
    <n v="1"/>
    <n v="4"/>
    <n v="3"/>
    <n v="2"/>
    <n v="5"/>
    <s v="Y"/>
    <n v="5000"/>
    <x v="2"/>
  </r>
  <r>
    <d v="2019-10-29T00:00:00"/>
    <d v="1899-12-30T09:55:00"/>
    <m/>
    <s v="D"/>
    <n v="2"/>
    <s v="Road Vehicle"/>
    <n v="4"/>
    <x v="3"/>
    <x v="1"/>
    <n v="1"/>
    <x v="0"/>
    <s v="Busujju"/>
    <s v="Wakiso"/>
    <s v="UGA"/>
    <n v="1"/>
    <s v="Home"/>
    <s v="Hoima"/>
    <s v="Hoima"/>
    <s v="UGA"/>
    <n v="2"/>
    <s v="Work"/>
    <x v="8"/>
    <n v="200000"/>
    <n v="200"/>
    <x v="3"/>
    <n v="4"/>
    <x v="0"/>
    <n v="5"/>
    <s v="Professional"/>
    <n v="1"/>
    <x v="2"/>
    <n v="4"/>
    <n v="3"/>
    <n v="2"/>
    <n v="1"/>
    <n v="5"/>
    <s v="Y"/>
    <n v="1000"/>
    <x v="1"/>
  </r>
  <r>
    <d v="2019-10-27T00:00:00"/>
    <d v="1899-12-30T09:39:00"/>
    <m/>
    <s v="P"/>
    <n v="2"/>
    <s v="Road Vehicle"/>
    <n v="4"/>
    <x v="3"/>
    <x v="0"/>
    <n v="1"/>
    <x v="0"/>
    <s v="Busujju"/>
    <s v="Wakiso"/>
    <s v="UGA"/>
    <n v="1"/>
    <s v="Home"/>
    <s v="Namayuba"/>
    <s v="Kampala"/>
    <s v="UGA"/>
    <n v="3"/>
    <s v="Study"/>
    <x v="10"/>
    <n v="1000"/>
    <n v="2"/>
    <x v="4"/>
    <n v="0.3"/>
    <x v="4"/>
    <n v="8"/>
    <s v="Student"/>
    <n v="1"/>
    <x v="2"/>
    <n v="1"/>
    <n v="2"/>
    <n v="3"/>
    <n v="4"/>
    <n v="5"/>
    <s v="Y"/>
    <n v="3000"/>
    <x v="5"/>
  </r>
  <r>
    <d v="2019-10-28T00:00:00"/>
    <d v="1899-12-30T07:19:00"/>
    <m/>
    <s v="P"/>
    <n v="2"/>
    <s v="Road Vehicle"/>
    <n v="4"/>
    <x v="3"/>
    <x v="0"/>
    <n v="1"/>
    <x v="0"/>
    <s v="Busujju"/>
    <s v="Wakiso"/>
    <s v="UGA"/>
    <n v="3"/>
    <s v="Study"/>
    <s v="Kiboga"/>
    <s v="Kiboga"/>
    <s v="UGA"/>
    <n v="2"/>
    <s v="Work"/>
    <x v="37"/>
    <n v="5000"/>
    <n v="120"/>
    <x v="2"/>
    <n v="1.5"/>
    <x v="2"/>
    <n v="8"/>
    <s v="Student"/>
    <n v="1"/>
    <x v="2"/>
    <n v="1"/>
    <n v="5"/>
    <n v="4"/>
    <n v="2"/>
    <n v="3"/>
    <s v="Y"/>
    <n v="2000"/>
    <x v="4"/>
  </r>
  <r>
    <d v="2019-10-27T00:00:00"/>
    <d v="1899-12-30T15:21:00"/>
    <m/>
    <s v="P"/>
    <n v="2"/>
    <s v="Road Vehicle"/>
    <n v="4"/>
    <x v="3"/>
    <x v="1"/>
    <n v="1"/>
    <x v="0"/>
    <s v="Busujju"/>
    <s v="Wakiso"/>
    <s v="UGA"/>
    <n v="1"/>
    <s v="Home"/>
    <s v="Miika"/>
    <s v="Wakiso"/>
    <s v="UGA"/>
    <n v="3"/>
    <s v="Study"/>
    <x v="10"/>
    <n v="500"/>
    <n v="1"/>
    <x v="4"/>
    <n v="0.2"/>
    <x v="4"/>
    <n v="8"/>
    <s v="Student"/>
    <n v="1"/>
    <x v="2"/>
    <n v="3"/>
    <n v="5"/>
    <n v="4"/>
    <n v="2"/>
    <n v="1"/>
    <s v="Y"/>
    <n v="2000"/>
    <x v="4"/>
  </r>
  <r>
    <d v="2019-10-27T00:00:00"/>
    <d v="1899-12-30T11:31:00"/>
    <m/>
    <s v="P"/>
    <n v="2"/>
    <s v="Road Vehicle"/>
    <n v="4"/>
    <x v="3"/>
    <x v="1"/>
    <n v="1"/>
    <x v="0"/>
    <s v="Busujju"/>
    <s v="Wakiso"/>
    <s v="UGA"/>
    <n v="1"/>
    <s v="Home"/>
    <s v="Miika"/>
    <s v="Wakiso"/>
    <s v="UGA"/>
    <n v="3"/>
    <s v="Study"/>
    <x v="10"/>
    <n v="500"/>
    <n v="2"/>
    <x v="4"/>
    <n v="0.2"/>
    <x v="4"/>
    <n v="8"/>
    <s v="Student"/>
    <n v="1"/>
    <x v="2"/>
    <n v="3"/>
    <n v="5"/>
    <n v="1"/>
    <n v="4"/>
    <n v="2"/>
    <s v="Y"/>
    <n v="5000"/>
    <x v="2"/>
  </r>
  <r>
    <d v="2019-10-29T00:00:00"/>
    <d v="1899-12-30T12:22:00"/>
    <m/>
    <s v="P"/>
    <n v="2"/>
    <s v="Road Vehicle"/>
    <n v="4"/>
    <x v="3"/>
    <x v="1"/>
    <n v="1"/>
    <x v="0"/>
    <s v="Busujju"/>
    <s v="Wakiso"/>
    <s v="UGA"/>
    <n v="3"/>
    <s v="Study"/>
    <s v="Namayuba"/>
    <s v="Wakiso"/>
    <s v="UGA"/>
    <n v="1"/>
    <s v="Home"/>
    <x v="9"/>
    <n v="1000"/>
    <m/>
    <x v="4"/>
    <n v="0.1"/>
    <x v="4"/>
    <n v="8"/>
    <s v="Student"/>
    <n v="1"/>
    <x v="2"/>
    <n v="4"/>
    <n v="5"/>
    <n v="3"/>
    <n v="1"/>
    <n v="2"/>
    <s v="Y"/>
    <n v="1000"/>
    <x v="1"/>
  </r>
  <r>
    <d v="2019-10-29T00:00:00"/>
    <s v="  7:52"/>
    <m/>
    <s v="P"/>
    <n v="2"/>
    <s v="Road Vehicle"/>
    <n v="4"/>
    <x v="3"/>
    <x v="1"/>
    <n v="1"/>
    <x v="0"/>
    <s v="Busujju"/>
    <s v="Wakiso"/>
    <s v="UGA"/>
    <n v="1"/>
    <s v="Home"/>
    <s v="Gobero"/>
    <s v="Wakiso"/>
    <s v="UGA"/>
    <n v="4"/>
    <s v="Commercial"/>
    <x v="12"/>
    <n v="2000"/>
    <n v="25"/>
    <x v="5"/>
    <n v="0.8"/>
    <x v="3"/>
    <n v="8"/>
    <s v="Student"/>
    <n v="1"/>
    <x v="2"/>
    <n v="3"/>
    <n v="4"/>
    <n v="1"/>
    <n v="2"/>
    <n v="5"/>
    <s v="Y"/>
    <n v="2000"/>
    <x v="4"/>
  </r>
  <r>
    <d v="2019-10-27T00:00:00"/>
    <d v="1899-12-30T12:09:00"/>
    <m/>
    <s v="P"/>
    <n v="2"/>
    <s v="Road Vehicle"/>
    <n v="4"/>
    <x v="3"/>
    <x v="0"/>
    <n v="1"/>
    <x v="0"/>
    <s v="Kiboga"/>
    <s v="Kiboga"/>
    <s v="UGA"/>
    <n v="1"/>
    <s v="Home"/>
    <s v="Busujju"/>
    <s v="Wakiso"/>
    <s v="UGA"/>
    <n v="8"/>
    <s v="Others"/>
    <x v="4"/>
    <n v="5000"/>
    <m/>
    <x v="4"/>
    <n v="1"/>
    <x v="2"/>
    <n v="1"/>
    <s v="Unemployed"/>
    <n v="1"/>
    <x v="2"/>
    <n v="4"/>
    <n v="5"/>
    <n v="2"/>
    <n v="1"/>
    <n v="3"/>
    <s v="Y"/>
    <m/>
    <x v="0"/>
  </r>
  <r>
    <d v="2019-10-28T00:00:00"/>
    <d v="1899-12-30T10:15:00"/>
    <m/>
    <s v="P"/>
    <n v="2"/>
    <s v="Road Vehicle"/>
    <n v="4"/>
    <x v="3"/>
    <x v="0"/>
    <n v="1"/>
    <x v="0"/>
    <s v="Busujju"/>
    <s v="Wakiso"/>
    <s v="UGA"/>
    <n v="1"/>
    <s v="Home"/>
    <s v="Kiboga"/>
    <s v="Kiboga"/>
    <s v="UGA"/>
    <n v="8"/>
    <s v="Others"/>
    <x v="4"/>
    <n v="5000"/>
    <m/>
    <x v="4"/>
    <n v="0.8"/>
    <x v="3"/>
    <n v="1"/>
    <s v="Unemployed"/>
    <n v="1"/>
    <x v="2"/>
    <n v="1"/>
    <n v="2"/>
    <n v="5"/>
    <n v="3"/>
    <n v="4"/>
    <s v="Y"/>
    <m/>
    <x v="0"/>
  </r>
  <r>
    <d v="2019-10-28T00:00:00"/>
    <d v="1899-12-30T15:53:00"/>
    <m/>
    <s v="P"/>
    <n v="2"/>
    <s v="Road Vehicle"/>
    <n v="4"/>
    <x v="3"/>
    <x v="0"/>
    <n v="1"/>
    <x v="0"/>
    <s v="Busujju"/>
    <s v="Wakiso"/>
    <s v="UGA"/>
    <n v="7"/>
    <s v="Hospital"/>
    <s v="Namayuba"/>
    <s v="Wakiso"/>
    <s v="UGA"/>
    <n v="1"/>
    <s v="Home"/>
    <x v="19"/>
    <n v="1000"/>
    <m/>
    <x v="4"/>
    <n v="0.2"/>
    <x v="4"/>
    <n v="1"/>
    <s v="Unemployed"/>
    <n v="1"/>
    <x v="2"/>
    <n v="5"/>
    <n v="4"/>
    <n v="1"/>
    <n v="2"/>
    <n v="3"/>
    <s v="Y"/>
    <m/>
    <x v="0"/>
  </r>
  <r>
    <d v="2019-10-29T00:00:00"/>
    <d v="1899-12-30T13:23:00"/>
    <m/>
    <s v="P"/>
    <n v="2"/>
    <s v="Road Vehicle"/>
    <n v="4"/>
    <x v="3"/>
    <x v="1"/>
    <n v="1"/>
    <x v="0"/>
    <s v="Busujju"/>
    <s v="Wakiso"/>
    <s v="UGA"/>
    <n v="8"/>
    <s v="Others"/>
    <s v="Kikondwa"/>
    <s v="Mityana"/>
    <s v="UGA"/>
    <n v="1"/>
    <s v="Home"/>
    <x v="29"/>
    <n v="2000"/>
    <m/>
    <x v="4"/>
    <n v="0.6"/>
    <x v="3"/>
    <n v="1"/>
    <s v="Unemployed"/>
    <n v="1"/>
    <x v="2"/>
    <n v="4"/>
    <n v="5"/>
    <n v="3"/>
    <n v="1"/>
    <n v="2"/>
    <s v="Y"/>
    <m/>
    <x v="0"/>
  </r>
  <r>
    <d v="2019-10-29T00:00:00"/>
    <d v="1899-12-30T15:41:00"/>
    <m/>
    <s v="P"/>
    <n v="2"/>
    <s v="Road Vehicle"/>
    <n v="4"/>
    <x v="3"/>
    <x v="1"/>
    <n v="1"/>
    <x v="0"/>
    <s v="Hoima"/>
    <s v="Hoima"/>
    <s v="UGA"/>
    <n v="8"/>
    <s v="Others"/>
    <s v="Busujju"/>
    <s v="Wakiso"/>
    <s v="UGA"/>
    <n v="1"/>
    <s v="Home"/>
    <x v="29"/>
    <n v="12000"/>
    <m/>
    <x v="4"/>
    <n v="2"/>
    <x v="1"/>
    <n v="1"/>
    <s v="Unemployed"/>
    <n v="1"/>
    <x v="2"/>
    <n v="5"/>
    <n v="1"/>
    <n v="4"/>
    <n v="2"/>
    <n v="3"/>
    <s v="Y"/>
    <m/>
    <x v="0"/>
  </r>
  <r>
    <d v="2019-10-28T00:00:00"/>
    <d v="1899-12-30T11:00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8"/>
    <s v="Others"/>
    <x v="4"/>
    <n v="4000"/>
    <m/>
    <x v="4"/>
    <n v="2"/>
    <x v="1"/>
    <n v="3"/>
    <s v="Artisan/Domestic"/>
    <n v="1"/>
    <x v="2"/>
    <n v="4"/>
    <n v="1"/>
    <n v="5"/>
    <n v="2"/>
    <n v="3"/>
    <s v="Y"/>
    <m/>
    <x v="0"/>
  </r>
  <r>
    <d v="2019-10-27T00:00:00"/>
    <d v="1899-12-30T18:21:00"/>
    <m/>
    <s v="D"/>
    <n v="2"/>
    <s v="Road Vehicle"/>
    <n v="1"/>
    <x v="0"/>
    <x v="0"/>
    <n v="2"/>
    <x v="1"/>
    <s v="Busujju"/>
    <s v="Wakiso"/>
    <s v="UGA"/>
    <n v="2"/>
    <s v="Work"/>
    <s v="Kampala"/>
    <s v="Kampala"/>
    <s v="UGA"/>
    <n v="1"/>
    <s v="Home"/>
    <x v="1"/>
    <n v="70000"/>
    <n v="120"/>
    <x v="2"/>
    <n v="1.5"/>
    <x v="2"/>
    <n v="6"/>
    <s v="Businessman"/>
    <n v="4"/>
    <x v="3"/>
    <n v="5"/>
    <n v="4"/>
    <n v="3"/>
    <n v="1"/>
    <n v="2"/>
    <s v="Y"/>
    <n v="5000"/>
    <x v="2"/>
  </r>
  <r>
    <d v="2019-10-27T00:00:00"/>
    <d v="1899-12-30T11:39:00"/>
    <m/>
    <s v="P"/>
    <n v="2"/>
    <s v="Road Vehicle"/>
    <n v="4"/>
    <x v="3"/>
    <x v="0"/>
    <n v="2"/>
    <x v="1"/>
    <s v="Busujju"/>
    <s v="Wakiso"/>
    <s v="UGA"/>
    <n v="1"/>
    <s v="Home"/>
    <s v="Namayuba"/>
    <s v="Kampala"/>
    <s v="UGA"/>
    <n v="2"/>
    <s v="Work"/>
    <x v="8"/>
    <n v="1000"/>
    <n v="5"/>
    <x v="4"/>
    <n v="0.5"/>
    <x v="3"/>
    <n v="6"/>
    <s v="Businessman"/>
    <n v="1"/>
    <x v="2"/>
    <n v="3"/>
    <n v="1"/>
    <n v="2"/>
    <n v="4"/>
    <n v="5"/>
    <s v="Y"/>
    <n v="7000"/>
    <x v="2"/>
  </r>
  <r>
    <d v="2019-10-27T00:00:00"/>
    <d v="1899-12-30T10:45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4"/>
    <s v="Commercial"/>
    <x v="12"/>
    <n v="4000"/>
    <n v="50"/>
    <x v="1"/>
    <n v="1"/>
    <x v="2"/>
    <n v="6"/>
    <s v="Businessman"/>
    <n v="2"/>
    <x v="1"/>
    <n v="3"/>
    <n v="4"/>
    <n v="1"/>
    <n v="2"/>
    <n v="5"/>
    <s v="Y"/>
    <n v="5000"/>
    <x v="2"/>
  </r>
  <r>
    <d v="2019-10-27T00:00:00"/>
    <d v="1899-12-30T15:04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4"/>
    <s v="Commercial"/>
    <x v="12"/>
    <n v="4000"/>
    <m/>
    <x v="4"/>
    <n v="1"/>
    <x v="2"/>
    <n v="6"/>
    <s v="Businessman"/>
    <n v="2"/>
    <x v="1"/>
    <n v="3"/>
    <n v="4"/>
    <n v="5"/>
    <n v="1"/>
    <n v="2"/>
    <s v="Y"/>
    <n v="3000"/>
    <x v="5"/>
  </r>
  <r>
    <d v="2019-10-27T00:00:00"/>
    <d v="1899-12-30T12:19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4"/>
    <s v="Commercial"/>
    <x v="12"/>
    <n v="4000"/>
    <n v="50"/>
    <x v="1"/>
    <n v="1"/>
    <x v="2"/>
    <n v="6"/>
    <s v="Businessman"/>
    <n v="2"/>
    <x v="1"/>
    <n v="3"/>
    <n v="4"/>
    <n v="1"/>
    <n v="5"/>
    <n v="2"/>
    <s v="Y"/>
    <n v="3000"/>
    <x v="5"/>
  </r>
  <r>
    <d v="2019-10-27T00:00:00"/>
    <d v="1899-12-30T08:39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6"/>
    <s v="Businessman"/>
    <n v="3"/>
    <x v="0"/>
    <n v="1"/>
    <n v="3"/>
    <n v="4"/>
    <n v="2"/>
    <n v="5"/>
    <s v="Y"/>
    <n v="5000"/>
    <x v="2"/>
  </r>
  <r>
    <d v="2019-10-27T00:00:00"/>
    <d v="1899-12-30T11:45:00"/>
    <m/>
    <s v="P"/>
    <n v="2"/>
    <s v="Road Vehicle"/>
    <n v="4"/>
    <x v="3"/>
    <x v="0"/>
    <n v="2"/>
    <x v="1"/>
    <s v="Kakiri"/>
    <s v="Wakiso"/>
    <s v="UGA"/>
    <n v="1"/>
    <s v="Home"/>
    <s v="Busujju"/>
    <s v="Wakiso"/>
    <s v="UGA"/>
    <n v="4"/>
    <s v="Commercial"/>
    <x v="12"/>
    <n v="2000"/>
    <m/>
    <x v="4"/>
    <n v="0.3"/>
    <x v="4"/>
    <n v="6"/>
    <s v="Businessman"/>
    <n v="4"/>
    <x v="3"/>
    <n v="1"/>
    <n v="2"/>
    <n v="3"/>
    <n v="4"/>
    <n v="5"/>
    <s v="Y"/>
    <m/>
    <x v="0"/>
  </r>
  <r>
    <d v="2019-10-27T00:00:00"/>
    <d v="1899-12-30T10:44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4"/>
    <s v="Commercial"/>
    <x v="12"/>
    <n v="5000"/>
    <m/>
    <x v="4"/>
    <n v="2"/>
    <x v="1"/>
    <n v="6"/>
    <s v="Businessman"/>
    <n v="4"/>
    <x v="3"/>
    <n v="4"/>
    <n v="5"/>
    <n v="1"/>
    <n v="2"/>
    <n v="3"/>
    <s v="Y"/>
    <n v="2000"/>
    <x v="4"/>
  </r>
  <r>
    <d v="2019-10-27T00:00:00"/>
    <d v="1899-12-30T14:20:00"/>
    <m/>
    <s v="P"/>
    <n v="2"/>
    <s v="Road Vehicle"/>
    <n v="4"/>
    <x v="3"/>
    <x v="0"/>
    <n v="2"/>
    <x v="1"/>
    <s v="Hoima"/>
    <s v="Hoima"/>
    <s v="UGA"/>
    <n v="7"/>
    <s v="Hospital"/>
    <s v="Busujju"/>
    <s v="Wakiso"/>
    <s v="UGA"/>
    <n v="1"/>
    <s v="Home"/>
    <x v="19"/>
    <n v="12000"/>
    <m/>
    <x v="4"/>
    <n v="2"/>
    <x v="1"/>
    <n v="6"/>
    <s v="Businessman"/>
    <n v="5"/>
    <x v="4"/>
    <n v="3"/>
    <n v="5"/>
    <n v="1"/>
    <n v="2"/>
    <n v="4"/>
    <s v="Y"/>
    <n v="1000"/>
    <x v="1"/>
  </r>
  <r>
    <d v="2019-10-28T00:00:00"/>
    <d v="1899-12-30T09:23:00"/>
    <m/>
    <s v="P"/>
    <n v="2"/>
    <s v="Road Vehicle"/>
    <n v="4"/>
    <x v="3"/>
    <x v="0"/>
    <n v="2"/>
    <x v="1"/>
    <s v="Busujju"/>
    <s v="Wakiso"/>
    <s v="UGA"/>
    <n v="4"/>
    <s v="Commercial"/>
    <s v="Mityana"/>
    <s v="Mityana"/>
    <s v="UGA"/>
    <n v="1"/>
    <s v="Home"/>
    <x v="0"/>
    <n v="10000"/>
    <n v="170"/>
    <x v="2"/>
    <n v="2"/>
    <x v="1"/>
    <n v="6"/>
    <s v="Businessman"/>
    <n v="3"/>
    <x v="0"/>
    <n v="1"/>
    <n v="2"/>
    <n v="3"/>
    <n v="4"/>
    <n v="5"/>
    <s v="Y"/>
    <n v="1000"/>
    <x v="1"/>
  </r>
  <r>
    <d v="2019-10-28T00:00:00"/>
    <d v="1899-12-30T10:16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6"/>
    <s v="Leisure/Social"/>
    <x v="3"/>
    <n v="5000"/>
    <n v="115"/>
    <x v="2"/>
    <n v="1"/>
    <x v="2"/>
    <n v="6"/>
    <s v="Businessman"/>
    <n v="4"/>
    <x v="3"/>
    <n v="2"/>
    <n v="1"/>
    <n v="3"/>
    <n v="5"/>
    <n v="4"/>
    <s v="Y"/>
    <n v="5000"/>
    <x v="2"/>
  </r>
  <r>
    <d v="2019-10-28T00:00:00"/>
    <d v="1899-12-30T08:16:00"/>
    <m/>
    <s v="P"/>
    <n v="2"/>
    <s v="Road Vehicle"/>
    <n v="4"/>
    <x v="3"/>
    <x v="0"/>
    <n v="2"/>
    <x v="1"/>
    <s v="Busujju"/>
    <s v="Wakiso"/>
    <s v="UGA"/>
    <n v="1"/>
    <s v="Home"/>
    <s v="Namusera"/>
    <m/>
    <s v="UGA"/>
    <n v="7"/>
    <s v="Hospital"/>
    <x v="26"/>
    <n v="1500"/>
    <n v="85"/>
    <x v="0"/>
    <n v="0.5"/>
    <x v="3"/>
    <n v="6"/>
    <s v="Businessman"/>
    <n v="3"/>
    <x v="0"/>
    <n v="1"/>
    <n v="2"/>
    <n v="3"/>
    <n v="4"/>
    <n v="5"/>
    <s v="Y"/>
    <m/>
    <x v="0"/>
  </r>
  <r>
    <d v="2019-10-29T00:00:00"/>
    <d v="1899-12-30T12:09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2"/>
    <s v="Work"/>
    <x v="8"/>
    <n v="4000"/>
    <n v="35"/>
    <x v="5"/>
    <n v="2"/>
    <x v="1"/>
    <n v="6"/>
    <s v="Businessman"/>
    <n v="3"/>
    <x v="0"/>
    <n v="1"/>
    <n v="5"/>
    <n v="3"/>
    <n v="2"/>
    <n v="4"/>
    <s v="Y"/>
    <n v="1000"/>
    <x v="1"/>
  </r>
  <r>
    <d v="2019-10-27T00:00:00"/>
    <d v="1899-12-30T10:36:00"/>
    <m/>
    <s v="P"/>
    <n v="2"/>
    <s v="Road Vehicle"/>
    <n v="4"/>
    <x v="3"/>
    <x v="1"/>
    <n v="2"/>
    <x v="1"/>
    <s v="Busujju"/>
    <s v="Wakiso"/>
    <s v="UGA"/>
    <n v="2"/>
    <s v="Work"/>
    <s v="Kwagalana"/>
    <m/>
    <s v="UGA"/>
    <n v="1"/>
    <s v="Home"/>
    <x v="1"/>
    <n v="500"/>
    <m/>
    <x v="4"/>
    <n v="0.1"/>
    <x v="4"/>
    <n v="6"/>
    <s v="Businessman"/>
    <n v="3"/>
    <x v="0"/>
    <n v="1"/>
    <n v="4"/>
    <n v="2"/>
    <n v="5"/>
    <n v="3"/>
    <s v="Y"/>
    <m/>
    <x v="0"/>
  </r>
  <r>
    <d v="2019-10-27T00:00:00"/>
    <d v="1899-12-30T12:46:00"/>
    <m/>
    <s v="P"/>
    <n v="2"/>
    <s v="Road Vehicle"/>
    <n v="4"/>
    <x v="3"/>
    <x v="1"/>
    <n v="2"/>
    <x v="1"/>
    <s v="Hoima"/>
    <s v="Hoima"/>
    <s v="UGA"/>
    <n v="4"/>
    <s v="Commercial"/>
    <s v="Namayuba"/>
    <s v="Wakiso"/>
    <s v="UGA"/>
    <n v="1"/>
    <s v="Home"/>
    <x v="0"/>
    <n v="12000"/>
    <m/>
    <x v="4"/>
    <n v="2.5"/>
    <x v="1"/>
    <n v="6"/>
    <s v="Businessman"/>
    <n v="4"/>
    <x v="3"/>
    <n v="2"/>
    <n v="1"/>
    <n v="4"/>
    <n v="3"/>
    <n v="5"/>
    <s v="Y"/>
    <n v="3000"/>
    <x v="5"/>
  </r>
  <r>
    <d v="2019-10-27T00:00:00"/>
    <d v="1899-12-30T14:26:00"/>
    <m/>
    <s v="P"/>
    <n v="2"/>
    <s v="Road Vehicle"/>
    <n v="4"/>
    <x v="3"/>
    <x v="1"/>
    <n v="2"/>
    <x v="1"/>
    <s v="Kampala"/>
    <s v="Kampala"/>
    <s v="UGA"/>
    <n v="4"/>
    <s v="Commercial"/>
    <s v="Bukomero"/>
    <s v="Kyankwanzi"/>
    <s v="UGA"/>
    <n v="1"/>
    <s v="Home"/>
    <x v="0"/>
    <n v="15000"/>
    <m/>
    <x v="4"/>
    <n v="2.5"/>
    <x v="1"/>
    <n v="6"/>
    <s v="Businessman"/>
    <n v="4"/>
    <x v="3"/>
    <n v="1"/>
    <n v="5"/>
    <n v="3"/>
    <n v="4"/>
    <n v="2"/>
    <s v="Y"/>
    <n v="5000"/>
    <x v="2"/>
  </r>
  <r>
    <d v="2019-10-27T00:00:00"/>
    <d v="1899-12-30T12:06:00"/>
    <m/>
    <s v="P"/>
    <n v="2"/>
    <s v="Road Vehicle"/>
    <n v="4"/>
    <x v="3"/>
    <x v="1"/>
    <n v="2"/>
    <x v="1"/>
    <s v="Kampala"/>
    <s v="Kampala"/>
    <s v="UGA"/>
    <n v="4"/>
    <s v="Commercial"/>
    <s v="Busujju"/>
    <s v="Wakiso"/>
    <s v="UGA"/>
    <n v="1"/>
    <s v="Home"/>
    <x v="0"/>
    <n v="5000"/>
    <m/>
    <x v="4"/>
    <n v="2"/>
    <x v="1"/>
    <n v="6"/>
    <s v="Businessman"/>
    <n v="4"/>
    <x v="3"/>
    <n v="2"/>
    <n v="1"/>
    <n v="3"/>
    <n v="4"/>
    <n v="5"/>
    <s v="Y"/>
    <n v="2000"/>
    <x v="4"/>
  </r>
  <r>
    <d v="2019-10-27T00:00:00"/>
    <d v="1899-12-30T14:55:00"/>
    <m/>
    <s v="P"/>
    <n v="2"/>
    <s v="Road Vehicle"/>
    <n v="4"/>
    <x v="3"/>
    <x v="1"/>
    <n v="2"/>
    <x v="1"/>
    <s v="Busujju"/>
    <s v="Wakiso"/>
    <s v="UGA"/>
    <n v="1"/>
    <s v="Home"/>
    <s v="Kayunga"/>
    <s v="Kayunga"/>
    <s v="UGA"/>
    <n v="4"/>
    <s v="Commercial"/>
    <x v="12"/>
    <n v="3000"/>
    <m/>
    <x v="4"/>
    <n v="0.8"/>
    <x v="3"/>
    <n v="6"/>
    <s v="Businessman"/>
    <n v="4"/>
    <x v="3"/>
    <n v="4"/>
    <n v="1"/>
    <n v="2"/>
    <n v="3"/>
    <n v="5"/>
    <s v="Y"/>
    <m/>
    <x v="0"/>
  </r>
  <r>
    <d v="2019-10-27T00:00:00"/>
    <d v="1899-12-30T16:15:00"/>
    <s v="                               "/>
    <s v="P"/>
    <n v="2"/>
    <s v="Road Vehicle"/>
    <n v="4"/>
    <x v="3"/>
    <x v="1"/>
    <n v="2"/>
    <x v="1"/>
    <s v="Busujju"/>
    <s v="Wakiso"/>
    <s v="UGA"/>
    <n v="4"/>
    <s v="Commercial"/>
    <s v="Kakiri"/>
    <s v="Wakiso"/>
    <s v="UGA"/>
    <n v="1"/>
    <s v="Home"/>
    <x v="0"/>
    <n v="2000"/>
    <m/>
    <x v="4"/>
    <n v="0.9"/>
    <x v="3"/>
    <n v="6"/>
    <s v="Businessman"/>
    <n v="3"/>
    <x v="0"/>
    <n v="2"/>
    <n v="1"/>
    <n v="3"/>
    <n v="4"/>
    <n v="5"/>
    <s v="Y"/>
    <n v="2000"/>
    <x v="4"/>
  </r>
  <r>
    <d v="2019-10-28T00:00:00"/>
    <d v="1899-12-30T17:51:00"/>
    <m/>
    <s v="P"/>
    <n v="2"/>
    <s v="Road Vehicle"/>
    <n v="4"/>
    <x v="3"/>
    <x v="1"/>
    <n v="2"/>
    <x v="1"/>
    <s v="Busujju"/>
    <s v="Wakiso"/>
    <s v="UGA"/>
    <n v="2"/>
    <s v="Work"/>
    <s v="Namulamba"/>
    <s v="Mityana"/>
    <s v="UGA"/>
    <n v="2"/>
    <s v="Work"/>
    <x v="5"/>
    <n v="2000"/>
    <m/>
    <x v="4"/>
    <n v="0.3"/>
    <x v="4"/>
    <n v="6"/>
    <s v="Businessman"/>
    <n v="5"/>
    <x v="4"/>
    <n v="5"/>
    <n v="2"/>
    <n v="1"/>
    <n v="3"/>
    <n v="4"/>
    <s v="Y"/>
    <n v="1000"/>
    <x v="1"/>
  </r>
  <r>
    <d v="2019-10-28T00:00:00"/>
    <d v="1899-12-30T10:11:00"/>
    <m/>
    <s v="P"/>
    <n v="2"/>
    <s v="Road Vehicle"/>
    <n v="4"/>
    <x v="3"/>
    <x v="1"/>
    <n v="2"/>
    <x v="1"/>
    <s v="Busujju"/>
    <s v="Wakiso"/>
    <s v="UGA"/>
    <n v="1"/>
    <s v="Home"/>
    <s v="Hoima"/>
    <s v="Hoima"/>
    <s v="UGA"/>
    <n v="4"/>
    <s v="Commercial"/>
    <x v="12"/>
    <n v="12000"/>
    <m/>
    <x v="4"/>
    <n v="2"/>
    <x v="1"/>
    <n v="6"/>
    <s v="Businessman"/>
    <n v="3"/>
    <x v="0"/>
    <n v="1"/>
    <n v="2"/>
    <n v="4"/>
    <n v="3"/>
    <n v="5"/>
    <s v="Y"/>
    <n v="2000"/>
    <x v="4"/>
  </r>
  <r>
    <d v="2019-10-28T00:00:00"/>
    <d v="1899-12-30T09:02:00"/>
    <m/>
    <s v="P"/>
    <n v="2"/>
    <s v="Road Vehicle"/>
    <n v="4"/>
    <x v="3"/>
    <x v="1"/>
    <n v="2"/>
    <x v="1"/>
    <s v="Busujju"/>
    <s v="Wakiso"/>
    <s v="UGA"/>
    <n v="2"/>
    <s v="Work"/>
    <s v="Kakiri"/>
    <s v="Wakiso"/>
    <s v="UGA"/>
    <n v="1"/>
    <s v="Home"/>
    <x v="1"/>
    <n v="2000"/>
    <n v="30"/>
    <x v="5"/>
    <n v="0.2"/>
    <x v="4"/>
    <n v="6"/>
    <s v="Businessman"/>
    <n v="3"/>
    <x v="0"/>
    <n v="1"/>
    <n v="2"/>
    <n v="3"/>
    <n v="4"/>
    <n v="5"/>
    <s v="Y"/>
    <n v="1000"/>
    <x v="1"/>
  </r>
  <r>
    <d v="2019-10-28T00:00:00"/>
    <d v="1899-12-30T12:18:00"/>
    <m/>
    <s v="P"/>
    <n v="2"/>
    <s v="Road Vehicle"/>
    <n v="4"/>
    <x v="3"/>
    <x v="1"/>
    <n v="2"/>
    <x v="1"/>
    <s v="Busujju"/>
    <s v="Wakiso"/>
    <s v="UGA"/>
    <n v="2"/>
    <s v="Work"/>
    <s v="Bukomero"/>
    <s v="Kiboga"/>
    <s v="UGA"/>
    <n v="1"/>
    <s v="Home"/>
    <x v="1"/>
    <n v="3000"/>
    <n v="75"/>
    <x v="0"/>
    <n v="0.8"/>
    <x v="3"/>
    <n v="6"/>
    <s v="Businessman"/>
    <n v="3"/>
    <x v="0"/>
    <n v="2"/>
    <n v="1"/>
    <n v="5"/>
    <n v="4"/>
    <n v="3"/>
    <s v="Y"/>
    <n v="1000"/>
    <x v="1"/>
  </r>
  <r>
    <d v="2019-10-28T00:00:00"/>
    <d v="1899-12-30T12:00:00"/>
    <m/>
    <s v="P"/>
    <n v="2"/>
    <s v="Road Vehicle"/>
    <n v="4"/>
    <x v="3"/>
    <x v="1"/>
    <n v="2"/>
    <x v="1"/>
    <s v="Busujju"/>
    <s v="Wakiso"/>
    <s v="UGA"/>
    <n v="6"/>
    <s v="Leisure/Social"/>
    <s v="Kampala"/>
    <s v="Kampala"/>
    <s v="UGA"/>
    <n v="1"/>
    <s v="Home"/>
    <x v="7"/>
    <n v="4000"/>
    <n v="114"/>
    <x v="2"/>
    <n v="1"/>
    <x v="2"/>
    <n v="6"/>
    <s v="Businessman"/>
    <n v="3"/>
    <x v="0"/>
    <n v="1"/>
    <n v="2"/>
    <n v="3"/>
    <n v="4"/>
    <n v="5"/>
    <s v="Y"/>
    <m/>
    <x v="0"/>
  </r>
  <r>
    <d v="2019-10-28T00:00:00"/>
    <d v="1899-12-30T18:42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6"/>
    <s v="Businessman"/>
    <n v="3"/>
    <x v="0"/>
    <n v="3"/>
    <n v="2"/>
    <n v="5"/>
    <n v="1"/>
    <n v="4"/>
    <s v="Y"/>
    <n v="3000"/>
    <x v="5"/>
  </r>
  <r>
    <d v="2019-10-28T00:00:00"/>
    <d v="1899-12-30T16:52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4000"/>
    <n v="35"/>
    <x v="5"/>
    <n v="1"/>
    <x v="2"/>
    <n v="6"/>
    <s v="Businessman"/>
    <n v="3"/>
    <x v="0"/>
    <n v="3"/>
    <n v="5"/>
    <n v="4"/>
    <n v="2"/>
    <n v="1"/>
    <s v="Y"/>
    <n v="1000"/>
    <x v="1"/>
  </r>
  <r>
    <d v="2019-10-29T00:00:00"/>
    <d v="1899-12-30T13:48:00"/>
    <m/>
    <s v="D"/>
    <n v="2"/>
    <s v="Road Vehicle"/>
    <n v="4"/>
    <x v="3"/>
    <x v="1"/>
    <n v="2"/>
    <x v="1"/>
    <s v="Kyengera"/>
    <s v="Wakiso"/>
    <s v="UGA"/>
    <n v="2"/>
    <s v="Work"/>
    <s v="Bukomero"/>
    <s v="Kiboga"/>
    <s v="UGA"/>
    <n v="2"/>
    <s v="Work"/>
    <x v="5"/>
    <n v="250000"/>
    <m/>
    <x v="4"/>
    <n v="2"/>
    <x v="1"/>
    <n v="6"/>
    <s v="Businessman"/>
    <n v="2"/>
    <x v="1"/>
    <n v="3"/>
    <n v="4"/>
    <n v="5"/>
    <n v="2"/>
    <n v="1"/>
    <s v="Y"/>
    <n v="5000"/>
    <x v="2"/>
  </r>
  <r>
    <d v="2019-10-29T00:00:00"/>
    <d v="1899-12-30T15:34:00"/>
    <m/>
    <s v="P"/>
    <n v="2"/>
    <s v="Road Vehicle"/>
    <n v="4"/>
    <x v="3"/>
    <x v="1"/>
    <n v="2"/>
    <x v="1"/>
    <s v="Wakiso"/>
    <s v="Wakiso"/>
    <s v="UGA"/>
    <n v="4"/>
    <s v="Commercial"/>
    <s v="Busujju"/>
    <s v="Wakiso"/>
    <s v="UGA"/>
    <n v="1"/>
    <s v="Home"/>
    <x v="0"/>
    <n v="4000"/>
    <m/>
    <x v="4"/>
    <n v="1.5"/>
    <x v="2"/>
    <n v="6"/>
    <s v="Businessman"/>
    <n v="4"/>
    <x v="3"/>
    <n v="1"/>
    <n v="5"/>
    <n v="4"/>
    <n v="2"/>
    <n v="3"/>
    <s v="Y"/>
    <n v="3000"/>
    <x v="5"/>
  </r>
  <r>
    <d v="2019-10-29T00:00:00"/>
    <d v="1899-12-30T12:21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34"/>
    <x v="5"/>
    <n v="2"/>
    <x v="1"/>
    <n v="6"/>
    <s v="Businessman"/>
    <n v="3"/>
    <x v="0"/>
    <n v="1"/>
    <n v="3"/>
    <n v="2"/>
    <n v="5"/>
    <n v="4"/>
    <s v="Y"/>
    <n v="2000"/>
    <x v="4"/>
  </r>
  <r>
    <d v="2019-10-29T00:00:00"/>
    <d v="1899-12-30T12:15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35"/>
    <x v="5"/>
    <n v="2"/>
    <x v="1"/>
    <n v="6"/>
    <s v="Businessman"/>
    <n v="4"/>
    <x v="3"/>
    <n v="3"/>
    <n v="1"/>
    <n v="2"/>
    <n v="5"/>
    <n v="4"/>
    <s v="Y"/>
    <m/>
    <x v="0"/>
  </r>
  <r>
    <d v="2019-10-29T00:00:00"/>
    <d v="1899-12-30T01:11:00"/>
    <m/>
    <s v="P"/>
    <n v="2"/>
    <s v="Road Vehicle"/>
    <n v="4"/>
    <x v="3"/>
    <x v="1"/>
    <n v="2"/>
    <x v="1"/>
    <s v="Busujju"/>
    <s v="Wakiso"/>
    <s v="UGA"/>
    <n v="1"/>
    <s v="Home"/>
    <s v="Gobero"/>
    <s v="Wakiso"/>
    <s v="UGA"/>
    <n v="2"/>
    <s v="Work"/>
    <x v="8"/>
    <n v="2000"/>
    <n v="10"/>
    <x v="6"/>
    <n v="0.78"/>
    <x v="3"/>
    <n v="6"/>
    <s v="Businessman"/>
    <n v="1"/>
    <x v="2"/>
    <n v="1"/>
    <n v="3"/>
    <n v="2"/>
    <n v="4"/>
    <n v="5"/>
    <s v="Y"/>
    <n v="5000"/>
    <x v="2"/>
  </r>
  <r>
    <d v="2019-10-29T00:00:00"/>
    <d v="1899-12-30T14:41:00"/>
    <m/>
    <s v="P"/>
    <n v="2"/>
    <s v="Road Vehicle"/>
    <n v="4"/>
    <x v="3"/>
    <x v="1"/>
    <n v="2"/>
    <x v="1"/>
    <s v="Busujju"/>
    <s v="Wakiso"/>
    <s v="UGA"/>
    <n v="1"/>
    <s v="Home"/>
    <s v="Hoima"/>
    <s v="Hoima"/>
    <s v="UGA"/>
    <n v="6"/>
    <s v="Leisure/Social"/>
    <x v="3"/>
    <n v="12000"/>
    <m/>
    <x v="4"/>
    <n v="3.5"/>
    <x v="0"/>
    <n v="6"/>
    <s v="Businessman"/>
    <n v="3"/>
    <x v="0"/>
    <n v="4"/>
    <n v="3"/>
    <n v="2"/>
    <n v="1"/>
    <n v="5"/>
    <s v="Y"/>
    <n v="5000"/>
    <x v="2"/>
  </r>
  <r>
    <d v="2019-10-29T00:00:00"/>
    <d v="1899-12-30T15:41:00"/>
    <m/>
    <s v="P"/>
    <n v="2"/>
    <s v="Road Vehicle"/>
    <n v="4"/>
    <x v="3"/>
    <x v="1"/>
    <n v="2"/>
    <x v="1"/>
    <s v="Busujju"/>
    <s v="Wakiso"/>
    <s v="UGA"/>
    <n v="1"/>
    <s v="Home"/>
    <s v="Bukoto"/>
    <s v="Kampala"/>
    <s v="UGA"/>
    <n v="6"/>
    <s v="Leisure/Social"/>
    <x v="3"/>
    <n v="6000"/>
    <m/>
    <x v="4"/>
    <n v="2.5"/>
    <x v="1"/>
    <n v="6"/>
    <s v="Businessman"/>
    <n v="3"/>
    <x v="0"/>
    <n v="4"/>
    <n v="3"/>
    <n v="1"/>
    <n v="2"/>
    <n v="5"/>
    <s v="Y"/>
    <n v="5000"/>
    <x v="2"/>
  </r>
  <r>
    <d v="2019-10-29T00:00:00"/>
    <d v="1899-12-30T16:34:00"/>
    <m/>
    <s v="P"/>
    <n v="2"/>
    <s v="Road Vehicle"/>
    <n v="4"/>
    <x v="3"/>
    <x v="1"/>
    <n v="2"/>
    <x v="1"/>
    <s v="Kampala"/>
    <s v="Kampala"/>
    <s v="UGA"/>
    <n v="4"/>
    <s v="Commercial"/>
    <s v="Hoima"/>
    <s v="Hoima"/>
    <s v="UGA"/>
    <n v="1"/>
    <s v="Home"/>
    <x v="0"/>
    <n v="15000"/>
    <n v="200"/>
    <x v="3"/>
    <n v="4.5"/>
    <x v="0"/>
    <n v="6"/>
    <s v="Businessman"/>
    <n v="3"/>
    <x v="0"/>
    <n v="3"/>
    <n v="2"/>
    <n v="1"/>
    <n v="4"/>
    <n v="5"/>
    <s v="Y"/>
    <n v="1000"/>
    <x v="1"/>
  </r>
  <r>
    <d v="2019-10-27T00:00:00"/>
    <d v="1899-12-30T15:15:00"/>
    <m/>
    <s v="P"/>
    <n v="2"/>
    <s v="Road Vehicle"/>
    <n v="4"/>
    <x v="3"/>
    <x v="0"/>
    <n v="2"/>
    <x v="1"/>
    <s v="Busujju"/>
    <s v="Wakiso"/>
    <s v="UGA"/>
    <n v="4"/>
    <s v="Commercial"/>
    <s v="Mityana"/>
    <s v="Mityana"/>
    <s v="UGA"/>
    <n v="1"/>
    <s v="Home"/>
    <x v="0"/>
    <n v="5000"/>
    <m/>
    <x v="4"/>
    <n v="1"/>
    <x v="2"/>
    <n v="7"/>
    <s v="Farmer"/>
    <n v="3"/>
    <x v="0"/>
    <n v="1"/>
    <n v="5"/>
    <n v="2"/>
    <n v="3"/>
    <n v="4"/>
    <s v="Y"/>
    <m/>
    <x v="0"/>
  </r>
  <r>
    <d v="2019-10-29T00:00:00"/>
    <d v="1899-12-30T14:04:00"/>
    <m/>
    <s v="P"/>
    <n v="2"/>
    <s v="Road Vehicle"/>
    <n v="4"/>
    <x v="3"/>
    <x v="0"/>
    <n v="2"/>
    <x v="1"/>
    <s v="Busujju"/>
    <s v="Wakiso"/>
    <s v="UGA"/>
    <n v="1"/>
    <s v="Home"/>
    <s v="Nakawa"/>
    <s v="Kampala"/>
    <s v="UGA"/>
    <n v="4"/>
    <s v="Commercial"/>
    <x v="12"/>
    <n v="5000"/>
    <m/>
    <x v="4"/>
    <n v="2"/>
    <x v="1"/>
    <n v="7"/>
    <s v="Farmer"/>
    <n v="1"/>
    <x v="2"/>
    <n v="3"/>
    <n v="2"/>
    <n v="1"/>
    <n v="5"/>
    <n v="4"/>
    <s v="Y"/>
    <n v="3000"/>
    <x v="5"/>
  </r>
  <r>
    <d v="2019-10-29T00:00:00"/>
    <d v="1899-12-30T12:43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5"/>
    <s v="Tourism"/>
    <x v="24"/>
    <n v="4000"/>
    <n v="35"/>
    <x v="5"/>
    <n v="2"/>
    <x v="1"/>
    <n v="7"/>
    <s v="Farmer"/>
    <n v="2"/>
    <x v="1"/>
    <n v="1"/>
    <n v="3"/>
    <n v="2"/>
    <n v="5"/>
    <n v="4"/>
    <s v="Y"/>
    <n v="5000"/>
    <x v="2"/>
  </r>
  <r>
    <d v="2019-10-29T00:00:00"/>
    <d v="1899-12-30T14:34:00"/>
    <m/>
    <s v="P"/>
    <n v="2"/>
    <s v="Road Vehicle"/>
    <n v="4"/>
    <x v="3"/>
    <x v="1"/>
    <n v="2"/>
    <x v="1"/>
    <s v="Busujju"/>
    <s v="Wakiso"/>
    <s v="UGA"/>
    <n v="1"/>
    <s v="Home"/>
    <s v="Gobero"/>
    <s v="Wakiso"/>
    <s v="UGA"/>
    <n v="2"/>
    <s v="Work"/>
    <x v="8"/>
    <n v="2000"/>
    <m/>
    <x v="4"/>
    <n v="0.8"/>
    <x v="3"/>
    <n v="7"/>
    <s v="Farmer"/>
    <n v="1"/>
    <x v="2"/>
    <n v="2"/>
    <n v="3"/>
    <n v="1"/>
    <n v="5"/>
    <n v="4"/>
    <s v="Y"/>
    <m/>
    <x v="0"/>
  </r>
  <r>
    <d v="2019-10-27T00:00:00"/>
    <d v="1899-12-30T15:13:00"/>
    <m/>
    <s v="P"/>
    <n v="2"/>
    <s v="Road Vehicle"/>
    <n v="4"/>
    <x v="3"/>
    <x v="0"/>
    <n v="2"/>
    <x v="1"/>
    <s v="Busujju"/>
    <s v="Wakiso"/>
    <s v="UGA"/>
    <n v="1"/>
    <s v="Home"/>
    <s v="Kiboga"/>
    <s v="Kiboga"/>
    <s v="UGA"/>
    <n v="6"/>
    <s v="Leisure/Social"/>
    <x v="3"/>
    <n v="3000"/>
    <n v="0.6"/>
    <x v="4"/>
    <n v="1"/>
    <x v="2"/>
    <n v="2"/>
    <s v="Manual Labour"/>
    <n v="2"/>
    <x v="1"/>
    <n v="1"/>
    <n v="2"/>
    <n v="5"/>
    <n v="4"/>
    <n v="3"/>
    <s v="Y"/>
    <n v="1000"/>
    <x v="1"/>
  </r>
  <r>
    <d v="2019-10-27T00:00:00"/>
    <d v="1899-12-30T13:21:00"/>
    <m/>
    <s v="P"/>
    <n v="2"/>
    <s v="Road Vehicle"/>
    <n v="4"/>
    <x v="3"/>
    <x v="0"/>
    <n v="2"/>
    <x v="1"/>
    <s v="Busujju"/>
    <s v="Wakiso"/>
    <s v="UGA"/>
    <n v="1"/>
    <s v="Home"/>
    <s v="Ntwentwe"/>
    <s v="Kyankwanzi"/>
    <s v="UGA"/>
    <n v="5"/>
    <s v="Tourism"/>
    <x v="24"/>
    <n v="5000"/>
    <m/>
    <x v="4"/>
    <n v="2"/>
    <x v="1"/>
    <n v="2"/>
    <s v="Manual Labour"/>
    <n v="1"/>
    <x v="2"/>
    <n v="2"/>
    <n v="3"/>
    <n v="5"/>
    <n v="1"/>
    <n v="4"/>
    <s v="Y"/>
    <n v="3000"/>
    <x v="5"/>
  </r>
  <r>
    <d v="2019-10-27T00:00:00"/>
    <d v="1899-12-30T15:33:00"/>
    <m/>
    <s v="P"/>
    <n v="2"/>
    <s v="Road Vehicle"/>
    <n v="4"/>
    <x v="3"/>
    <x v="0"/>
    <n v="2"/>
    <x v="1"/>
    <s v="Busujju"/>
    <s v="Wakiso"/>
    <s v="UGA"/>
    <n v="2"/>
    <s v="Work"/>
    <s v="Bugolobi"/>
    <s v="Kampala"/>
    <s v="UGA"/>
    <n v="4"/>
    <s v="Commercial"/>
    <x v="21"/>
    <n v="5000"/>
    <n v="40"/>
    <x v="1"/>
    <n v="1.5"/>
    <x v="2"/>
    <n v="2"/>
    <s v="Manual Labour"/>
    <n v="1"/>
    <x v="2"/>
    <n v="3"/>
    <n v="4"/>
    <n v="1"/>
    <n v="2"/>
    <n v="5"/>
    <s v="Y"/>
    <n v="2000"/>
    <x v="4"/>
  </r>
  <r>
    <d v="2019-10-27T00:00:00"/>
    <d v="1899-12-30T11:28:00"/>
    <m/>
    <s v="P"/>
    <n v="2"/>
    <s v="Road Vehicle"/>
    <n v="4"/>
    <x v="3"/>
    <x v="0"/>
    <n v="2"/>
    <x v="1"/>
    <s v="Lyamatte"/>
    <s v="Kyankwanzi"/>
    <s v="UGA"/>
    <n v="1"/>
    <s v="Home"/>
    <s v="Busujju"/>
    <s v="Wakiso"/>
    <s v="UGA"/>
    <n v="2"/>
    <s v="Work"/>
    <x v="8"/>
    <n v="5000"/>
    <m/>
    <x v="4"/>
    <n v="1.5"/>
    <x v="2"/>
    <n v="2"/>
    <s v="Manual Labour"/>
    <n v="2"/>
    <x v="1"/>
    <n v="4"/>
    <n v="2"/>
    <n v="1"/>
    <n v="3"/>
    <n v="5"/>
    <s v="Y"/>
    <n v="2000"/>
    <x v="4"/>
  </r>
  <r>
    <d v="2019-10-29T00:00:00"/>
    <d v="1899-12-30T08:31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7"/>
    <s v="Hospital"/>
    <x v="26"/>
    <n v="4000"/>
    <m/>
    <x v="4"/>
    <m/>
    <x v="4"/>
    <n v="2"/>
    <s v="Manual Labour"/>
    <n v="2"/>
    <x v="1"/>
    <n v="3"/>
    <n v="4"/>
    <n v="1"/>
    <n v="5"/>
    <n v="2"/>
    <s v="Y"/>
    <n v="1000"/>
    <x v="1"/>
  </r>
  <r>
    <d v="2019-10-29T00:00:00"/>
    <d v="1899-12-30T08:38:00"/>
    <m/>
    <s v="P"/>
    <n v="2"/>
    <s v="Road Vehicle"/>
    <n v="4"/>
    <x v="3"/>
    <x v="0"/>
    <n v="2"/>
    <x v="1"/>
    <s v="Busujju"/>
    <s v="Wakiso"/>
    <s v="UGA"/>
    <n v="1"/>
    <s v="Home"/>
    <s v="Ssekanyonyi"/>
    <s v="Wakiso"/>
    <s v="UGA"/>
    <n v="4"/>
    <s v="Commercial"/>
    <x v="12"/>
    <n v="3000"/>
    <n v="114"/>
    <x v="2"/>
    <n v="1"/>
    <x v="2"/>
    <n v="2"/>
    <s v="Manual Labour"/>
    <n v="1"/>
    <x v="2"/>
    <n v="5"/>
    <n v="4"/>
    <n v="1"/>
    <n v="2"/>
    <n v="3"/>
    <s v="Y"/>
    <n v="1000"/>
    <x v="1"/>
  </r>
  <r>
    <d v="2019-10-27T00:00:00"/>
    <d v="1899-12-30T11:03:00"/>
    <m/>
    <s v="P"/>
    <n v="2"/>
    <s v="Road Vehicle"/>
    <n v="4"/>
    <x v="3"/>
    <x v="1"/>
    <n v="2"/>
    <x v="1"/>
    <s v="Busujju"/>
    <s v="Wakiso"/>
    <s v="UGA"/>
    <n v="1"/>
    <s v="Home"/>
    <s v="Bukomwero"/>
    <s v="Kiboga"/>
    <s v="UGA"/>
    <n v="6"/>
    <s v="Leisure/Social"/>
    <x v="3"/>
    <n v="3000"/>
    <n v="30"/>
    <x v="5"/>
    <n v="1"/>
    <x v="2"/>
    <n v="2"/>
    <s v="Manual Labour"/>
    <n v="1"/>
    <x v="2"/>
    <n v="4"/>
    <n v="5"/>
    <n v="1"/>
    <n v="3"/>
    <n v="2"/>
    <s v="Y"/>
    <n v="2000"/>
    <x v="4"/>
  </r>
  <r>
    <d v="2019-10-27T00:00:00"/>
    <d v="1899-12-30T10:12:00"/>
    <m/>
    <s v="D"/>
    <n v="2"/>
    <s v="Road Vehicle"/>
    <n v="4"/>
    <x v="3"/>
    <x v="1"/>
    <n v="2"/>
    <x v="1"/>
    <s v="Busujju"/>
    <s v="Wakiso"/>
    <s v="UGA"/>
    <n v="1"/>
    <s v="Home"/>
    <s v="Bukomwero"/>
    <s v="Kiboga"/>
    <s v="UGA"/>
    <n v="2"/>
    <s v="Work"/>
    <x v="8"/>
    <n v="40000"/>
    <n v="30"/>
    <x v="5"/>
    <n v="0.75"/>
    <x v="3"/>
    <n v="2"/>
    <s v="Manual Labour"/>
    <n v="2"/>
    <x v="1"/>
    <n v="3"/>
    <n v="5"/>
    <n v="4"/>
    <n v="2"/>
    <n v="1"/>
    <s v="Y"/>
    <m/>
    <x v="0"/>
  </r>
  <r>
    <d v="2019-10-27T00:00:00"/>
    <d v="1899-12-30T08:29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51.4"/>
    <x v="1"/>
    <n v="1"/>
    <x v="2"/>
    <n v="2"/>
    <s v="Manual Labour"/>
    <n v="1"/>
    <x v="2"/>
    <n v="1"/>
    <n v="5"/>
    <n v="3"/>
    <n v="4"/>
    <n v="2"/>
    <s v="Y"/>
    <m/>
    <x v="0"/>
  </r>
  <r>
    <d v="2019-10-28T00:00:00"/>
    <d v="1899-12-30T15:51:00"/>
    <m/>
    <s v="P"/>
    <n v="2"/>
    <s v="Road Vehicle"/>
    <n v="4"/>
    <x v="3"/>
    <x v="1"/>
    <n v="2"/>
    <x v="1"/>
    <s v="Busujju"/>
    <s v="Wakiso"/>
    <s v="UGA"/>
    <n v="8"/>
    <s v="Others"/>
    <s v="Namayuba"/>
    <s v="Wakiso"/>
    <s v="UGA"/>
    <n v="1"/>
    <s v="Home"/>
    <x v="29"/>
    <n v="1000"/>
    <m/>
    <x v="4"/>
    <n v="0.2"/>
    <x v="4"/>
    <n v="2"/>
    <s v="Manual Labour"/>
    <n v="1"/>
    <x v="2"/>
    <n v="5"/>
    <n v="4"/>
    <n v="1"/>
    <n v="2"/>
    <n v="3"/>
    <s v="Y"/>
    <m/>
    <x v="0"/>
  </r>
  <r>
    <d v="2019-10-28T00:00:00"/>
    <d v="1899-12-30T07:59:00"/>
    <m/>
    <s v="P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4000"/>
    <n v="114"/>
    <x v="2"/>
    <n v="1"/>
    <x v="2"/>
    <n v="2"/>
    <s v="Manual Labour"/>
    <n v="1"/>
    <x v="2"/>
    <n v="5"/>
    <n v="4"/>
    <n v="2"/>
    <n v="3"/>
    <n v="1"/>
    <s v="Y"/>
    <m/>
    <x v="0"/>
  </r>
  <r>
    <d v="2019-10-28T00:00:00"/>
    <d v="1899-12-30T16:12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2"/>
    <s v="Manual Labour"/>
    <n v="1"/>
    <x v="2"/>
    <n v="3"/>
    <n v="5"/>
    <n v="4"/>
    <n v="1"/>
    <n v="2"/>
    <s v="Y"/>
    <n v="1000"/>
    <x v="1"/>
  </r>
  <r>
    <d v="2019-10-28T00:00:00"/>
    <d v="1899-12-30T10:37:00"/>
    <m/>
    <s v="P"/>
    <n v="2"/>
    <s v="Road Vehicle"/>
    <n v="4"/>
    <x v="3"/>
    <x v="1"/>
    <n v="2"/>
    <x v="1"/>
    <s v="Busujju"/>
    <s v="Wakiso"/>
    <s v="UGA"/>
    <n v="1"/>
    <s v="Home"/>
    <s v="Ssekanyonyi"/>
    <s v="Mityana"/>
    <s v="UGA"/>
    <n v="6"/>
    <s v="Leisure/Social"/>
    <x v="3"/>
    <n v="2000"/>
    <n v="5"/>
    <x v="4"/>
    <n v="0.9"/>
    <x v="3"/>
    <n v="2"/>
    <s v="Manual Labour"/>
    <n v="2"/>
    <x v="1"/>
    <n v="5"/>
    <n v="3"/>
    <n v="2"/>
    <n v="4"/>
    <n v="1"/>
    <s v="Y"/>
    <n v="2000"/>
    <x v="4"/>
  </r>
  <r>
    <d v="2019-10-28T00:00:00"/>
    <d v="1899-12-30T10:48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5"/>
    <s v="Tourism"/>
    <x v="24"/>
    <n v="4000"/>
    <n v="53"/>
    <x v="1"/>
    <n v="1.5"/>
    <x v="2"/>
    <n v="2"/>
    <s v="Manual Labour"/>
    <n v="1"/>
    <x v="2"/>
    <n v="3"/>
    <n v="1"/>
    <n v="4"/>
    <n v="2"/>
    <n v="5"/>
    <s v="Y"/>
    <n v="4000"/>
    <x v="5"/>
  </r>
  <r>
    <d v="2019-10-29T00:00:00"/>
    <d v="1899-12-30T10:25:00"/>
    <m/>
    <s v="P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4"/>
    <s v="Commercial"/>
    <x v="21"/>
    <n v="5000"/>
    <m/>
    <x v="4"/>
    <n v="3"/>
    <x v="1"/>
    <n v="2"/>
    <s v="Manual Labour"/>
    <n v="1"/>
    <x v="2"/>
    <n v="3"/>
    <n v="2"/>
    <n v="4"/>
    <n v="5"/>
    <n v="1"/>
    <s v="Y"/>
    <n v="2000"/>
    <x v="4"/>
  </r>
  <r>
    <d v="2019-10-29T00:00:00"/>
    <d v="1899-12-30T13:52:00"/>
    <m/>
    <s v="P"/>
    <n v="2"/>
    <s v="Road Vehicle"/>
    <n v="4"/>
    <x v="3"/>
    <x v="1"/>
    <n v="2"/>
    <x v="1"/>
    <s v="Matugga"/>
    <s v="Wakiso"/>
    <s v="UGA"/>
    <n v="1"/>
    <s v="Home"/>
    <s v="Busujju"/>
    <s v="Wakiso"/>
    <s v="UGA"/>
    <n v="2"/>
    <s v="Work"/>
    <x v="8"/>
    <n v="10000"/>
    <m/>
    <x v="4"/>
    <n v="2.5"/>
    <x v="1"/>
    <n v="2"/>
    <s v="Manual Labour"/>
    <n v="1"/>
    <x v="2"/>
    <n v="5"/>
    <n v="4"/>
    <n v="1"/>
    <n v="3"/>
    <n v="2"/>
    <s v="Y"/>
    <m/>
    <x v="0"/>
  </r>
  <r>
    <d v="2019-10-29T00:00:00"/>
    <d v="1899-12-30T13:55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34"/>
    <x v="5"/>
    <n v="1"/>
    <x v="2"/>
    <n v="2"/>
    <s v="Manual Labour"/>
    <n v="3"/>
    <x v="0"/>
    <n v="5"/>
    <n v="2"/>
    <n v="3"/>
    <n v="4"/>
    <n v="1"/>
    <s v="Y"/>
    <n v="3000"/>
    <x v="5"/>
  </r>
  <r>
    <d v="2019-10-29T00:00:00"/>
    <d v="1899-12-30T07:38:00"/>
    <m/>
    <s v="P"/>
    <n v="2"/>
    <s v="Road Vehicle"/>
    <n v="4"/>
    <x v="3"/>
    <x v="1"/>
    <n v="2"/>
    <x v="1"/>
    <s v="Busujju"/>
    <s v="Wakiso"/>
    <s v="UGA"/>
    <n v="1"/>
    <s v="Home"/>
    <s v="Wakiso"/>
    <s v="Wakiso"/>
    <s v="UGA"/>
    <n v="4"/>
    <s v="Commercial"/>
    <x v="12"/>
    <n v="3000"/>
    <n v="114"/>
    <x v="2"/>
    <n v="1"/>
    <x v="2"/>
    <n v="2"/>
    <s v="Manual Labour"/>
    <n v="1"/>
    <x v="2"/>
    <n v="5"/>
    <n v="2"/>
    <n v="3"/>
    <n v="1"/>
    <n v="4"/>
    <s v="Y"/>
    <n v="1000"/>
    <x v="1"/>
  </r>
  <r>
    <d v="2019-10-29T00:00:00"/>
    <d v="1899-12-30T11:32:00"/>
    <m/>
    <s v="P"/>
    <n v="2"/>
    <s v="Road Vehicle"/>
    <n v="4"/>
    <x v="3"/>
    <x v="1"/>
    <n v="2"/>
    <x v="1"/>
    <s v="Busujju"/>
    <s v="Wakiso"/>
    <s v="UGA"/>
    <n v="1"/>
    <s v="Home"/>
    <s v="Ntwentwe"/>
    <s v="Ntwentwe"/>
    <s v="UGA"/>
    <n v="2"/>
    <s v="Work"/>
    <x v="8"/>
    <n v="5000"/>
    <n v="170"/>
    <x v="2"/>
    <n v="1.5"/>
    <x v="2"/>
    <n v="2"/>
    <s v="Manual Labour"/>
    <n v="2"/>
    <x v="1"/>
    <n v="3"/>
    <n v="1"/>
    <n v="2"/>
    <n v="5"/>
    <n v="4"/>
    <s v="Y"/>
    <n v="1000"/>
    <x v="1"/>
  </r>
  <r>
    <d v="2019-10-29T00:00:00"/>
    <d v="1899-12-30T09:12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4000"/>
    <n v="34"/>
    <x v="5"/>
    <n v="1.5"/>
    <x v="2"/>
    <n v="2"/>
    <s v="Manual Labour"/>
    <n v="1"/>
    <x v="2"/>
    <n v="5"/>
    <n v="3"/>
    <n v="1"/>
    <n v="2"/>
    <n v="4"/>
    <s v="Y"/>
    <n v="3000"/>
    <x v="5"/>
  </r>
  <r>
    <d v="2019-10-27T00:00:00"/>
    <d v="1899-12-30T17:33:00"/>
    <m/>
    <s v="P"/>
    <n v="2"/>
    <s v="Road Vehicle"/>
    <n v="4"/>
    <x v="3"/>
    <x v="0"/>
    <n v="2"/>
    <x v="1"/>
    <s v="Busujju"/>
    <s v="Wakiso"/>
    <s v="UGA"/>
    <n v="2"/>
    <s v="Work"/>
    <s v="Kiboga"/>
    <s v="Kiboga"/>
    <s v="UGA"/>
    <n v="1"/>
    <s v="Home"/>
    <x v="1"/>
    <n v="5000"/>
    <n v="114"/>
    <x v="2"/>
    <n v="1"/>
    <x v="2"/>
    <n v="4"/>
    <s v="Office Worker"/>
    <n v="4"/>
    <x v="3"/>
    <n v="1"/>
    <n v="2"/>
    <n v="3"/>
    <n v="4"/>
    <n v="5"/>
    <s v="Y"/>
    <n v="1000"/>
    <x v="1"/>
  </r>
  <r>
    <d v="2019-10-27T00:00:00"/>
    <d v="1899-12-30T17:53:00"/>
    <m/>
    <s v="P"/>
    <n v="2"/>
    <s v="Road Vehicle"/>
    <n v="4"/>
    <x v="3"/>
    <x v="0"/>
    <n v="2"/>
    <x v="1"/>
    <s v="Busujju"/>
    <s v="Wakiso"/>
    <s v="UGA"/>
    <n v="2"/>
    <s v="Work"/>
    <s v="Kampala"/>
    <s v="Kampala"/>
    <s v="UGA"/>
    <n v="1"/>
    <s v="Home"/>
    <x v="1"/>
    <n v="4000"/>
    <n v="190"/>
    <x v="2"/>
    <n v="1"/>
    <x v="2"/>
    <n v="4"/>
    <s v="Office Worker"/>
    <n v="4"/>
    <x v="3"/>
    <n v="3"/>
    <n v="2"/>
    <n v="4"/>
    <n v="1"/>
    <n v="5"/>
    <s v="Y"/>
    <n v="1000"/>
    <x v="1"/>
  </r>
  <r>
    <d v="2019-10-27T00:00:00"/>
    <d v="1899-12-30T14:44:00"/>
    <m/>
    <s v="P"/>
    <n v="2"/>
    <s v="Road Vehicle"/>
    <n v="4"/>
    <x v="3"/>
    <x v="0"/>
    <n v="2"/>
    <x v="1"/>
    <s v="Busujju"/>
    <s v="Wakiso"/>
    <s v="UGA"/>
    <n v="1"/>
    <s v="Home"/>
    <s v="Namuseera"/>
    <s v="Wakiso"/>
    <s v="UGA"/>
    <n v="2"/>
    <s v="Work"/>
    <x v="8"/>
    <n v="3000"/>
    <m/>
    <x v="4"/>
    <n v="1"/>
    <x v="2"/>
    <n v="4"/>
    <s v="Office Worker"/>
    <n v="2"/>
    <x v="1"/>
    <n v="1"/>
    <n v="5"/>
    <n v="3"/>
    <n v="2"/>
    <n v="4"/>
    <s v="Y"/>
    <n v="3000"/>
    <x v="5"/>
  </r>
  <r>
    <d v="2019-10-27T00:00:00"/>
    <d v="1899-12-30T14:48:00"/>
    <m/>
    <s v="P"/>
    <n v="2"/>
    <s v="Road Vehicle"/>
    <n v="4"/>
    <x v="3"/>
    <x v="0"/>
    <n v="2"/>
    <x v="1"/>
    <s v="Busujju"/>
    <s v="Wakiso"/>
    <s v="UGA"/>
    <n v="1"/>
    <s v="Home"/>
    <s v="Naluvule"/>
    <s v="Wakiso"/>
    <s v="UGA"/>
    <n v="2"/>
    <s v="Work"/>
    <x v="8"/>
    <n v="3000"/>
    <m/>
    <x v="4"/>
    <n v="0.6"/>
    <x v="3"/>
    <n v="4"/>
    <s v="Office Worker"/>
    <n v="2"/>
    <x v="1"/>
    <n v="2"/>
    <n v="1"/>
    <n v="4"/>
    <n v="3"/>
    <n v="5"/>
    <s v="Y"/>
    <n v="2000"/>
    <x v="4"/>
  </r>
  <r>
    <d v="2019-10-28T00:00:00"/>
    <d v="1899-12-30T07:40:00"/>
    <m/>
    <s v="P"/>
    <n v="2"/>
    <s v="Road Vehicle"/>
    <n v="4"/>
    <x v="3"/>
    <x v="0"/>
    <n v="2"/>
    <x v="1"/>
    <s v="Busujju"/>
    <s v="Wakiso"/>
    <s v="UGA"/>
    <n v="1"/>
    <s v="Home"/>
    <s v="Kiboga"/>
    <s v="Kiboga"/>
    <s v="UGA"/>
    <n v="2"/>
    <s v="Work"/>
    <x v="8"/>
    <n v="5000"/>
    <m/>
    <x v="4"/>
    <n v="1"/>
    <x v="2"/>
    <n v="4"/>
    <s v="Office Worker"/>
    <n v="3"/>
    <x v="0"/>
    <n v="5"/>
    <n v="4"/>
    <n v="1"/>
    <n v="2"/>
    <n v="3"/>
    <s v="Y"/>
    <m/>
    <x v="0"/>
  </r>
  <r>
    <d v="2019-10-28T00:00:00"/>
    <d v="1899-12-30T17:29:00"/>
    <m/>
    <s v="P"/>
    <n v="2"/>
    <s v="Road Vehicle"/>
    <n v="4"/>
    <x v="3"/>
    <x v="0"/>
    <n v="2"/>
    <x v="1"/>
    <s v="Busujju"/>
    <s v="Wakiso"/>
    <s v="UGA"/>
    <n v="1"/>
    <s v="Home"/>
    <s v="Nansana"/>
    <s v="Wakiso"/>
    <s v="UGA"/>
    <n v="8"/>
    <s v="Others"/>
    <x v="4"/>
    <n v="3000"/>
    <m/>
    <x v="4"/>
    <n v="1.5"/>
    <x v="2"/>
    <n v="4"/>
    <s v="Office Worker"/>
    <n v="2"/>
    <x v="1"/>
    <n v="4"/>
    <n v="5"/>
    <n v="3"/>
    <n v="1"/>
    <n v="2"/>
    <s v="Y"/>
    <n v="2000"/>
    <x v="4"/>
  </r>
  <r>
    <d v="2019-10-28T00:00:00"/>
    <d v="1899-12-30T10:50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2"/>
    <s v="Work"/>
    <x v="8"/>
    <n v="4000"/>
    <m/>
    <x v="4"/>
    <n v="1.5"/>
    <x v="2"/>
    <n v="4"/>
    <s v="Office Worker"/>
    <n v="2"/>
    <x v="1"/>
    <n v="2"/>
    <n v="1"/>
    <n v="4"/>
    <n v="3"/>
    <n v="5"/>
    <s v="Y"/>
    <m/>
    <x v="0"/>
  </r>
  <r>
    <d v="2019-10-28T00:00:00"/>
    <d v="1899-12-30T10:59:00"/>
    <m/>
    <s v="P"/>
    <n v="2"/>
    <s v="Road Vehicle"/>
    <n v="4"/>
    <x v="3"/>
    <x v="0"/>
    <n v="2"/>
    <x v="1"/>
    <s v="Busujju"/>
    <s v="Wakiso"/>
    <s v="UGA"/>
    <n v="2"/>
    <s v="Work"/>
    <s v="Nansana"/>
    <s v="Wakiso"/>
    <s v="UGA"/>
    <n v="1"/>
    <s v="Home"/>
    <x v="1"/>
    <n v="4000"/>
    <n v="100"/>
    <x v="2"/>
    <n v="0.8"/>
    <x v="3"/>
    <n v="4"/>
    <s v="Office Worker"/>
    <n v="3"/>
    <x v="0"/>
    <n v="3"/>
    <n v="2"/>
    <n v="4"/>
    <n v="5"/>
    <n v="1"/>
    <s v="Y"/>
    <n v="1000"/>
    <x v="1"/>
  </r>
  <r>
    <d v="2019-10-28T00:00:00"/>
    <d v="1899-12-30T07:00:00"/>
    <m/>
    <s v="P"/>
    <n v="2"/>
    <s v="Road Vehicle"/>
    <n v="4"/>
    <x v="3"/>
    <x v="0"/>
    <n v="2"/>
    <x v="1"/>
    <s v="Busujju"/>
    <s v="Wakiso"/>
    <s v="UGA"/>
    <n v="2"/>
    <s v="Work"/>
    <s v="Kampala"/>
    <s v="Kampala"/>
    <s v="UGA"/>
    <n v="4"/>
    <s v="Commercial"/>
    <x v="21"/>
    <n v="4000"/>
    <n v="114"/>
    <x v="2"/>
    <n v="1"/>
    <x v="2"/>
    <n v="4"/>
    <s v="Office Worker"/>
    <n v="3"/>
    <x v="0"/>
    <n v="2"/>
    <n v="1"/>
    <n v="3"/>
    <n v="5"/>
    <n v="4"/>
    <s v="Y"/>
    <n v="2000"/>
    <x v="4"/>
  </r>
  <r>
    <d v="2019-10-29T00:00:00"/>
    <d v="1899-12-30T10:39:00"/>
    <m/>
    <s v="P"/>
    <n v="2"/>
    <s v="Road Vehicle"/>
    <n v="4"/>
    <x v="3"/>
    <x v="0"/>
    <n v="2"/>
    <x v="1"/>
    <s v="Busujju"/>
    <s v="Wakiso"/>
    <s v="UGA"/>
    <n v="8"/>
    <s v="Others"/>
    <s v="Hoima"/>
    <s v="Hoima"/>
    <s v="UGA"/>
    <n v="1"/>
    <s v="Home"/>
    <x v="29"/>
    <n v="12000"/>
    <m/>
    <x v="4"/>
    <n v="2"/>
    <x v="1"/>
    <n v="4"/>
    <s v="Office Worker"/>
    <n v="2"/>
    <x v="1"/>
    <n v="3"/>
    <n v="5"/>
    <n v="1"/>
    <n v="2"/>
    <n v="4"/>
    <s v="Y"/>
    <m/>
    <x v="0"/>
  </r>
  <r>
    <d v="2019-10-29T00:00:00"/>
    <d v="1899-12-30T12:51:00"/>
    <m/>
    <s v="P"/>
    <n v="2"/>
    <s v="Road Vehicle"/>
    <n v="4"/>
    <x v="3"/>
    <x v="0"/>
    <n v="2"/>
    <x v="1"/>
    <s v="Busujju"/>
    <s v="Wakiso"/>
    <s v="UGA"/>
    <n v="1"/>
    <s v="Home"/>
    <s v="Kakiri"/>
    <s v="Wakiso"/>
    <s v="UGA"/>
    <n v="8"/>
    <s v="Others"/>
    <x v="4"/>
    <n v="2000"/>
    <m/>
    <x v="4"/>
    <n v="0.9"/>
    <x v="3"/>
    <n v="4"/>
    <s v="Office Worker"/>
    <n v="3"/>
    <x v="0"/>
    <n v="1"/>
    <n v="4"/>
    <n v="5"/>
    <n v="2"/>
    <n v="3"/>
    <s v="Y"/>
    <m/>
    <x v="0"/>
  </r>
  <r>
    <d v="2019-10-29T00:00:00"/>
    <d v="1899-12-30T14:52:00"/>
    <m/>
    <s v="P"/>
    <n v="2"/>
    <s v="Road Vehicle"/>
    <n v="4"/>
    <x v="3"/>
    <x v="0"/>
    <n v="2"/>
    <x v="1"/>
    <s v="Busujju"/>
    <s v="Wakiso"/>
    <s v="UGA"/>
    <n v="8"/>
    <s v="Others"/>
    <s v="Kayunga"/>
    <s v="Kayunga"/>
    <s v="UGA"/>
    <n v="1"/>
    <s v="Home"/>
    <x v="29"/>
    <n v="3000"/>
    <m/>
    <x v="4"/>
    <n v="1.5"/>
    <x v="2"/>
    <n v="4"/>
    <s v="Office Worker"/>
    <n v="2"/>
    <x v="1"/>
    <n v="4"/>
    <n v="3"/>
    <n v="2"/>
    <n v="1"/>
    <n v="5"/>
    <s v="Y"/>
    <n v="2000"/>
    <x v="4"/>
  </r>
  <r>
    <d v="2019-10-27T00:00:00"/>
    <d v="1899-12-30T15:57:00"/>
    <m/>
    <s v="D"/>
    <n v="2"/>
    <s v="Road Vehicle"/>
    <n v="4"/>
    <x v="3"/>
    <x v="1"/>
    <n v="2"/>
    <x v="1"/>
    <s v="Busujju"/>
    <s v="Wakiso"/>
    <s v="UGA"/>
    <n v="1"/>
    <s v="Home"/>
    <s v="Luzira"/>
    <s v="Kampala"/>
    <s v="UGA"/>
    <n v="5"/>
    <s v="Tourism"/>
    <x v="24"/>
    <n v="50000"/>
    <m/>
    <x v="4"/>
    <n v="1.5"/>
    <x v="2"/>
    <n v="4"/>
    <s v="Office Worker"/>
    <n v="5"/>
    <x v="4"/>
    <n v="5"/>
    <n v="4"/>
    <n v="3"/>
    <n v="2"/>
    <n v="1"/>
    <s v="Y"/>
    <n v="1000"/>
    <x v="1"/>
  </r>
  <r>
    <d v="2019-10-27T00:00:00"/>
    <d v="1899-12-30T11:09:00"/>
    <m/>
    <s v="P"/>
    <n v="2"/>
    <s v="Road Vehicle"/>
    <n v="4"/>
    <x v="3"/>
    <x v="1"/>
    <n v="2"/>
    <x v="1"/>
    <s v="Busujju"/>
    <s v="Wakiso"/>
    <s v="UGA"/>
    <n v="1"/>
    <s v="Home"/>
    <s v="Mende"/>
    <s v="Wakiso"/>
    <s v="UGA"/>
    <n v="8"/>
    <s v="Others"/>
    <x v="4"/>
    <n v="3000"/>
    <m/>
    <x v="4"/>
    <n v="0.4"/>
    <x v="4"/>
    <n v="4"/>
    <s v="Office Worker"/>
    <n v="2"/>
    <x v="1"/>
    <n v="3"/>
    <n v="4"/>
    <n v="5"/>
    <n v="1"/>
    <n v="2"/>
    <s v="Y"/>
    <m/>
    <x v="0"/>
  </r>
  <r>
    <d v="2019-10-27T00:00:00"/>
    <d v="1899-12-30T10:40:00"/>
    <m/>
    <s v="P"/>
    <n v="2"/>
    <s v="Road Vehicle"/>
    <n v="4"/>
    <x v="3"/>
    <x v="1"/>
    <n v="2"/>
    <x v="1"/>
    <s v="Hoima"/>
    <s v="Hoima"/>
    <s v="UGA"/>
    <n v="8"/>
    <s v="Others"/>
    <s v="Busujju"/>
    <s v="Wakiso"/>
    <s v="UGA"/>
    <n v="1"/>
    <s v="Home"/>
    <x v="29"/>
    <n v="12000"/>
    <m/>
    <x v="4"/>
    <n v="2"/>
    <x v="1"/>
    <n v="4"/>
    <s v="Office Worker"/>
    <n v="2"/>
    <x v="1"/>
    <n v="3"/>
    <n v="1"/>
    <n v="2"/>
    <n v="4"/>
    <n v="5"/>
    <s v="Y"/>
    <n v="2000"/>
    <x v="4"/>
  </r>
  <r>
    <d v="2019-10-28T00:00:00"/>
    <d v="1899-12-30T11:21:00"/>
    <m/>
    <s v="P"/>
    <n v="2"/>
    <s v="Road Vehicle"/>
    <n v="4"/>
    <x v="3"/>
    <x v="1"/>
    <n v="2"/>
    <x v="1"/>
    <s v="Busujju"/>
    <s v="Wakiso"/>
    <s v="UGA"/>
    <n v="2"/>
    <s v="Work"/>
    <s v="Wakiso"/>
    <s v="Wakiso"/>
    <s v="UGA"/>
    <n v="1"/>
    <s v="Home"/>
    <x v="1"/>
    <n v="3000"/>
    <m/>
    <x v="4"/>
    <n v="1.5"/>
    <x v="2"/>
    <n v="4"/>
    <s v="Office Worker"/>
    <n v="3"/>
    <x v="0"/>
    <n v="5"/>
    <n v="3"/>
    <n v="4"/>
    <n v="1"/>
    <n v="2"/>
    <s v="Y"/>
    <n v="2000"/>
    <x v="4"/>
  </r>
  <r>
    <d v="2019-10-28T00:00:00"/>
    <d v="1899-12-30T08:25:00"/>
    <m/>
    <s v="P"/>
    <n v="2"/>
    <s v="Road Vehicle"/>
    <n v="4"/>
    <x v="3"/>
    <x v="1"/>
    <n v="2"/>
    <x v="1"/>
    <s v="Wakiso"/>
    <s v="Wakiso"/>
    <s v="UGA"/>
    <n v="8"/>
    <s v="Others"/>
    <s v="Busujju"/>
    <s v="Wakiso"/>
    <s v="UGA"/>
    <n v="2"/>
    <s v="Work"/>
    <x v="31"/>
    <n v="4000"/>
    <m/>
    <x v="4"/>
    <n v="1"/>
    <x v="2"/>
    <n v="4"/>
    <s v="Office Worker"/>
    <n v="3"/>
    <x v="0"/>
    <n v="5"/>
    <n v="3"/>
    <n v="2"/>
    <n v="1"/>
    <n v="4"/>
    <s v="Y"/>
    <n v="2000"/>
    <x v="4"/>
  </r>
  <r>
    <d v="2019-10-28T00:00:00"/>
    <d v="1899-12-30T07:10:00"/>
    <m/>
    <s v="P"/>
    <n v="2"/>
    <s v="Road Vehicle"/>
    <n v="4"/>
    <x v="3"/>
    <x v="1"/>
    <n v="2"/>
    <x v="1"/>
    <s v="Kampala"/>
    <s v="Kampala"/>
    <s v="UGA"/>
    <n v="8"/>
    <s v="Others"/>
    <s v="Hoima"/>
    <s v="Hoima"/>
    <s v="UGA"/>
    <n v="2"/>
    <s v="Work"/>
    <x v="31"/>
    <n v="15000"/>
    <m/>
    <x v="4"/>
    <n v="4"/>
    <x v="0"/>
    <n v="4"/>
    <s v="Office Worker"/>
    <n v="2"/>
    <x v="1"/>
    <n v="1"/>
    <n v="5"/>
    <n v="4"/>
    <n v="2"/>
    <n v="3"/>
    <s v="Y"/>
    <n v="2000"/>
    <x v="4"/>
  </r>
  <r>
    <d v="2019-10-28T00:00:00"/>
    <d v="1899-12-30T13:19:00"/>
    <m/>
    <s v="P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4000"/>
    <n v="114"/>
    <x v="2"/>
    <n v="1"/>
    <x v="2"/>
    <n v="4"/>
    <s v="Office Worker"/>
    <n v="3"/>
    <x v="0"/>
    <n v="5"/>
    <n v="2"/>
    <n v="1"/>
    <n v="3"/>
    <n v="4"/>
    <s v="Y"/>
    <n v="5000"/>
    <x v="2"/>
  </r>
  <r>
    <d v="2019-10-28T00:00:00"/>
    <d v="1899-12-30T07:26:00"/>
    <m/>
    <s v="P"/>
    <n v="2"/>
    <s v="Road Vehicle"/>
    <n v="4"/>
    <x v="3"/>
    <x v="1"/>
    <n v="2"/>
    <x v="1"/>
    <s v="Busujju"/>
    <s v="Wakiso"/>
    <s v="UGA"/>
    <n v="2"/>
    <s v="Work"/>
    <s v="Nansana"/>
    <s v="Wakiso"/>
    <s v="UGA"/>
    <n v="1"/>
    <s v="Home"/>
    <x v="1"/>
    <n v="4000"/>
    <n v="75"/>
    <x v="0"/>
    <n v="0.8"/>
    <x v="3"/>
    <n v="4"/>
    <s v="Office Worker"/>
    <n v="3"/>
    <x v="0"/>
    <n v="1"/>
    <n v="2"/>
    <n v="3"/>
    <n v="4"/>
    <n v="5"/>
    <s v="Y"/>
    <n v="2000"/>
    <x v="4"/>
  </r>
  <r>
    <d v="2019-10-29T00:00:00"/>
    <d v="1899-12-30T12:15:00"/>
    <m/>
    <s v="P"/>
    <n v="2"/>
    <s v="Road Vehicle"/>
    <n v="4"/>
    <x v="3"/>
    <x v="1"/>
    <n v="2"/>
    <x v="1"/>
    <s v="Busujju"/>
    <s v="Wakiso"/>
    <s v="UGA"/>
    <n v="2"/>
    <s v="Work"/>
    <s v="Wakiso"/>
    <s v="Wakiso"/>
    <s v="UGA"/>
    <n v="8"/>
    <s v="Others"/>
    <x v="6"/>
    <n v="3000"/>
    <m/>
    <x v="4"/>
    <n v="1"/>
    <x v="2"/>
    <n v="4"/>
    <s v="Office Worker"/>
    <n v="3"/>
    <x v="0"/>
    <n v="1"/>
    <n v="4"/>
    <n v="5"/>
    <n v="2"/>
    <n v="3"/>
    <s v="Y"/>
    <n v="1000"/>
    <x v="1"/>
  </r>
  <r>
    <d v="2019-10-29T00:00:00"/>
    <d v="1899-12-30T12:30:00"/>
    <m/>
    <s v="P"/>
    <n v="2"/>
    <s v="Road Vehicle"/>
    <n v="4"/>
    <x v="3"/>
    <x v="1"/>
    <n v="2"/>
    <x v="1"/>
    <s v="Busujju"/>
    <s v="Wakiso"/>
    <s v="UGA"/>
    <n v="1"/>
    <s v="Home"/>
    <s v="Mityana"/>
    <s v="Mityana"/>
    <s v="UGA"/>
    <n v="2"/>
    <s v="Work"/>
    <x v="8"/>
    <n v="10000"/>
    <n v="390"/>
    <x v="3"/>
    <n v="3"/>
    <x v="1"/>
    <n v="4"/>
    <s v="Office Worker"/>
    <n v="4"/>
    <x v="3"/>
    <n v="2"/>
    <n v="4"/>
    <n v="1"/>
    <n v="3"/>
    <n v="5"/>
    <s v="Y"/>
    <n v="2000"/>
    <x v="4"/>
  </r>
  <r>
    <d v="2019-10-28T00:00:00"/>
    <d v="1899-12-30T16:48:00"/>
    <m/>
    <s v="D"/>
    <n v="2"/>
    <s v="Road Vehicle"/>
    <n v="1"/>
    <x v="0"/>
    <x v="1"/>
    <n v="2"/>
    <x v="1"/>
    <s v="Kajogi"/>
    <s v="Wakiso"/>
    <s v="UGA"/>
    <n v="4"/>
    <s v="Commercial"/>
    <s v="Busujju"/>
    <s v="Wakiso"/>
    <s v="UGA"/>
    <n v="4"/>
    <s v="Commercial"/>
    <x v="13"/>
    <n v="18000"/>
    <m/>
    <x v="4"/>
    <n v="0.2"/>
    <x v="4"/>
    <n v="10"/>
    <s v="Other"/>
    <n v="4"/>
    <x v="3"/>
    <n v="1"/>
    <n v="5"/>
    <n v="2"/>
    <n v="3"/>
    <n v="4"/>
    <s v="Y"/>
    <n v="3000"/>
    <x v="5"/>
  </r>
  <r>
    <d v="2019-10-27T00:00:00"/>
    <d v="1899-12-30T17:02:00"/>
    <m/>
    <s v="D"/>
    <n v="2"/>
    <s v="Road Vehicle"/>
    <n v="7"/>
    <x v="2"/>
    <x v="1"/>
    <n v="2"/>
    <x v="1"/>
    <s v="Busujju"/>
    <s v="Wakiso"/>
    <s v="UGA"/>
    <n v="4"/>
    <s v="Commercial"/>
    <s v="Hoima"/>
    <s v="Hoima"/>
    <s v="UGA"/>
    <n v="2"/>
    <s v="Work"/>
    <x v="20"/>
    <n v="150000"/>
    <n v="190"/>
    <x v="2"/>
    <n v="2"/>
    <x v="1"/>
    <n v="10"/>
    <s v="Other"/>
    <n v="3"/>
    <x v="0"/>
    <n v="1"/>
    <n v="3"/>
    <n v="2"/>
    <n v="5"/>
    <n v="4"/>
    <s v="Y"/>
    <n v="1000"/>
    <x v="1"/>
  </r>
  <r>
    <d v="2019-10-27T00:00:00"/>
    <d v="1899-12-30T07:48:00"/>
    <m/>
    <s v="D"/>
    <n v="2"/>
    <s v="Road Vehicle"/>
    <n v="7"/>
    <x v="2"/>
    <x v="1"/>
    <n v="2"/>
    <x v="1"/>
    <s v="Busujju"/>
    <s v="Wakiso"/>
    <s v="UGA"/>
    <n v="4"/>
    <s v="Commercial"/>
    <s v="Mityana"/>
    <s v="Mityana"/>
    <s v="UGA"/>
    <n v="1"/>
    <s v="Home"/>
    <x v="0"/>
    <n v="120000"/>
    <n v="150"/>
    <x v="2"/>
    <n v="2"/>
    <x v="1"/>
    <n v="10"/>
    <s v="Other"/>
    <n v="3"/>
    <x v="0"/>
    <n v="2"/>
    <n v="1"/>
    <n v="3"/>
    <n v="5"/>
    <n v="4"/>
    <s v="Y"/>
    <n v="2000"/>
    <x v="4"/>
  </r>
  <r>
    <d v="2019-10-28T00:00:00"/>
    <d v="1899-12-30T14:52:00"/>
    <m/>
    <s v="D"/>
    <n v="2"/>
    <s v="Road Vehicle"/>
    <n v="8"/>
    <x v="8"/>
    <x v="1"/>
    <n v="2"/>
    <x v="1"/>
    <s v="Kiboga"/>
    <s v="Kiboga"/>
    <s v="UGA"/>
    <n v="4"/>
    <s v="Commercial"/>
    <s v="Busia"/>
    <s v="Busia"/>
    <s v="UGA"/>
    <n v="4"/>
    <s v="Commercial"/>
    <x v="13"/>
    <n v="600000"/>
    <m/>
    <x v="4"/>
    <n v="7"/>
    <x v="0"/>
    <n v="10"/>
    <s v="Other"/>
    <n v="5"/>
    <x v="4"/>
    <n v="4"/>
    <n v="3"/>
    <n v="5"/>
    <n v="1"/>
    <n v="2"/>
    <s v="Y"/>
    <n v="1000"/>
    <x v="1"/>
  </r>
  <r>
    <d v="2019-10-27T00:00:00"/>
    <d v="1899-12-30T11:16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50000"/>
    <n v="114"/>
    <x v="2"/>
    <n v="1"/>
    <x v="2"/>
    <n v="10"/>
    <s v="Other"/>
    <n v="3"/>
    <x v="0"/>
    <n v="1"/>
    <n v="2"/>
    <n v="3"/>
    <n v="4"/>
    <n v="5"/>
    <s v="Y"/>
    <n v="3000"/>
    <x v="5"/>
  </r>
  <r>
    <d v="2019-10-27T00:00:00"/>
    <d v="1899-12-30T10:52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50000"/>
    <n v="115"/>
    <x v="2"/>
    <n v="1"/>
    <x v="2"/>
    <n v="10"/>
    <s v="Other"/>
    <n v="2"/>
    <x v="1"/>
    <m/>
    <m/>
    <m/>
    <m/>
    <m/>
    <s v="Y"/>
    <m/>
    <x v="0"/>
  </r>
  <r>
    <d v="2019-10-27T00:00:00"/>
    <d v="1899-12-30T10:44:00"/>
    <m/>
    <s v="D"/>
    <n v="2"/>
    <s v="Road Vehicle"/>
    <n v="4"/>
    <x v="3"/>
    <x v="1"/>
    <n v="2"/>
    <x v="1"/>
    <s v="Busujju"/>
    <s v="Wakiso"/>
    <s v="UGA"/>
    <n v="2"/>
    <s v="Work"/>
    <s v="Mityana"/>
    <s v="Mityana"/>
    <s v="UGA"/>
    <n v="1"/>
    <s v="Home"/>
    <x v="1"/>
    <n v="50000"/>
    <n v="170"/>
    <x v="2"/>
    <n v="2"/>
    <x v="1"/>
    <n v="10"/>
    <s v="Other"/>
    <n v="3"/>
    <x v="0"/>
    <n v="5"/>
    <n v="4"/>
    <n v="3"/>
    <n v="2"/>
    <n v="1"/>
    <s v="Y"/>
    <n v="1000"/>
    <x v="1"/>
  </r>
  <r>
    <d v="2019-10-27T00:00:00"/>
    <d v="1899-12-30T10:38:00"/>
    <m/>
    <s v="D"/>
    <n v="2"/>
    <s v="Road Vehicle"/>
    <n v="4"/>
    <x v="3"/>
    <x v="1"/>
    <n v="2"/>
    <x v="1"/>
    <s v="Busujju"/>
    <s v="Wakiso"/>
    <s v="UGA"/>
    <n v="1"/>
    <s v="Home"/>
    <s v="Miika"/>
    <s v="Kampala"/>
    <s v="UGA"/>
    <n v="2"/>
    <s v="Work"/>
    <x v="8"/>
    <n v="60000"/>
    <n v="114"/>
    <x v="2"/>
    <n v="1"/>
    <x v="2"/>
    <n v="10"/>
    <s v="Other"/>
    <n v="2"/>
    <x v="1"/>
    <n v="1"/>
    <n v="2"/>
    <n v="3"/>
    <n v="4"/>
    <n v="5"/>
    <s v="Y"/>
    <m/>
    <x v="0"/>
  </r>
  <r>
    <d v="2019-10-27T00:00:00"/>
    <d v="1899-12-30T10:20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114"/>
    <x v="2"/>
    <n v="1"/>
    <x v="2"/>
    <n v="10"/>
    <s v="Other"/>
    <n v="3"/>
    <x v="0"/>
    <n v="1"/>
    <n v="2"/>
    <n v="3"/>
    <n v="4"/>
    <n v="5"/>
    <s v="Y"/>
    <n v="1000"/>
    <x v="1"/>
  </r>
  <r>
    <d v="2019-10-27T00:00:00"/>
    <d v="1899-12-30T10:10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50000"/>
    <n v="114"/>
    <x v="2"/>
    <n v="1"/>
    <x v="2"/>
    <n v="10"/>
    <s v="Other"/>
    <n v="3"/>
    <x v="0"/>
    <n v="1"/>
    <n v="5"/>
    <n v="4"/>
    <n v="3"/>
    <n v="2"/>
    <s v="Y"/>
    <n v="1500"/>
    <x v="1"/>
  </r>
  <r>
    <d v="2019-10-27T00:00:00"/>
    <d v="1899-12-30T09:08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50000"/>
    <n v="114"/>
    <x v="2"/>
    <n v="1"/>
    <x v="2"/>
    <n v="10"/>
    <s v="Other"/>
    <n v="3"/>
    <x v="0"/>
    <n v="2"/>
    <n v="3"/>
    <n v="1"/>
    <n v="5"/>
    <n v="4"/>
    <s v="Y"/>
    <n v="2000"/>
    <x v="4"/>
  </r>
  <r>
    <d v="2019-10-27T00:00:00"/>
    <d v="1899-12-30T08:42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114"/>
    <x v="2"/>
    <n v="1"/>
    <x v="2"/>
    <n v="10"/>
    <s v="Other"/>
    <n v="2"/>
    <x v="1"/>
    <n v="2"/>
    <n v="1"/>
    <n v="3"/>
    <n v="5"/>
    <n v="4"/>
    <s v="Y"/>
    <m/>
    <x v="0"/>
  </r>
  <r>
    <d v="2019-10-27T00:00:00"/>
    <d v="1899-12-30T17:45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50000"/>
    <n v="120"/>
    <x v="2"/>
    <n v="1.5"/>
    <x v="2"/>
    <n v="10"/>
    <s v="Other"/>
    <n v="4"/>
    <x v="3"/>
    <n v="5"/>
    <n v="4"/>
    <n v="3"/>
    <n v="1"/>
    <n v="2"/>
    <s v="Y"/>
    <n v="2000"/>
    <x v="4"/>
  </r>
  <r>
    <d v="2019-10-27T00:00:00"/>
    <d v="1899-12-30T08:29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60000"/>
    <n v="110"/>
    <x v="2"/>
    <n v="1.5"/>
    <x v="2"/>
    <n v="10"/>
    <s v="Other"/>
    <n v="2"/>
    <x v="1"/>
    <n v="5"/>
    <n v="4"/>
    <n v="3"/>
    <n v="2"/>
    <n v="1"/>
    <s v="Y"/>
    <m/>
    <x v="0"/>
  </r>
  <r>
    <d v="2019-10-27T00:00:00"/>
    <d v="1899-12-30T08:13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45000"/>
    <n v="100"/>
    <x v="2"/>
    <n v="1.5"/>
    <x v="2"/>
    <n v="10"/>
    <s v="Other"/>
    <n v="4"/>
    <x v="3"/>
    <n v="1"/>
    <n v="2"/>
    <n v="3"/>
    <n v="4"/>
    <n v="5"/>
    <s v="Y"/>
    <m/>
    <x v="0"/>
  </r>
  <r>
    <d v="2019-10-27T00:00:00"/>
    <d v="1899-12-30T08:06:00"/>
    <m/>
    <s v="D"/>
    <n v="2"/>
    <s v="Road Vehicle"/>
    <n v="4"/>
    <x v="3"/>
    <x v="1"/>
    <n v="2"/>
    <x v="1"/>
    <s v="Busujju"/>
    <s v="Wakiso"/>
    <s v="UGA"/>
    <n v="2"/>
    <s v="Work"/>
    <s v="Hoima"/>
    <s v="Hoima"/>
    <s v="UGA"/>
    <n v="1"/>
    <s v="Home"/>
    <x v="1"/>
    <n v="180000"/>
    <n v="200"/>
    <x v="3"/>
    <n v="3"/>
    <x v="1"/>
    <n v="10"/>
    <s v="Other"/>
    <n v="4"/>
    <x v="3"/>
    <n v="2"/>
    <n v="1"/>
    <n v="5"/>
    <n v="4"/>
    <n v="3"/>
    <s v="Y"/>
    <m/>
    <x v="0"/>
  </r>
  <r>
    <d v="2019-10-27T00:00:00"/>
    <d v="1899-12-30T07:56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2"/>
    <s v="Work"/>
    <x v="5"/>
    <n v="40000"/>
    <n v="114"/>
    <x v="2"/>
    <n v="1"/>
    <x v="2"/>
    <n v="10"/>
    <s v="Other"/>
    <n v="2"/>
    <x v="1"/>
    <n v="1"/>
    <n v="2"/>
    <n v="4"/>
    <n v="3"/>
    <n v="5"/>
    <s v="Y"/>
    <n v="1000"/>
    <x v="1"/>
  </r>
  <r>
    <d v="2019-10-27T00:00:00"/>
    <d v="1899-12-30T07:31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50000"/>
    <n v="117"/>
    <x v="2"/>
    <n v="1.5"/>
    <x v="2"/>
    <n v="10"/>
    <s v="Other"/>
    <n v="3"/>
    <x v="0"/>
    <m/>
    <m/>
    <m/>
    <m/>
    <m/>
    <s v="Y"/>
    <m/>
    <x v="0"/>
  </r>
  <r>
    <d v="2019-10-27T00:00:00"/>
    <d v="1899-12-30T07:15:00"/>
    <m/>
    <s v="D"/>
    <n v="2"/>
    <s v="Road Vehicle"/>
    <n v="4"/>
    <x v="3"/>
    <x v="1"/>
    <n v="2"/>
    <x v="1"/>
    <s v="Wakiso"/>
    <s v="Wakiso"/>
    <s v="UGA"/>
    <n v="2"/>
    <s v="Work"/>
    <s v="Kampala"/>
    <s v="Kampala"/>
    <s v="UGA"/>
    <n v="1"/>
    <s v="Home"/>
    <x v="1"/>
    <n v="50000"/>
    <n v="114"/>
    <x v="2"/>
    <n v="1"/>
    <x v="2"/>
    <n v="10"/>
    <s v="Other"/>
    <n v="2"/>
    <x v="1"/>
    <n v="2"/>
    <n v="1"/>
    <n v="5"/>
    <n v="3"/>
    <n v="4"/>
    <s v="Y"/>
    <m/>
    <x v="0"/>
  </r>
  <r>
    <d v="2019-10-27T00:00:00"/>
    <d v="1899-12-30T11:00:00"/>
    <m/>
    <s v="D"/>
    <n v="2"/>
    <s v="Road Vehicle"/>
    <n v="4"/>
    <x v="3"/>
    <x v="1"/>
    <n v="2"/>
    <x v="1"/>
    <s v="Busujju"/>
    <s v="Wakiso"/>
    <s v="UGA"/>
    <n v="4"/>
    <s v="Commercial"/>
    <s v="Kampala"/>
    <s v="Kampala"/>
    <s v="UGA"/>
    <n v="4"/>
    <s v="Commercial"/>
    <x v="13"/>
    <n v="25000"/>
    <m/>
    <x v="4"/>
    <n v="2"/>
    <x v="1"/>
    <n v="10"/>
    <s v="Other"/>
    <n v="4"/>
    <x v="3"/>
    <n v="1"/>
    <n v="5"/>
    <n v="3"/>
    <n v="4"/>
    <n v="2"/>
    <s v="Y"/>
    <m/>
    <x v="0"/>
  </r>
  <r>
    <d v="2019-10-27T00:00:00"/>
    <d v="1899-12-30T14:38:00"/>
    <m/>
    <s v="P"/>
    <n v="2"/>
    <s v="Road Vehicle"/>
    <n v="4"/>
    <x v="3"/>
    <x v="1"/>
    <n v="2"/>
    <x v="1"/>
    <s v="Kampala"/>
    <s v="Kampala"/>
    <s v="UGA"/>
    <n v="4"/>
    <s v="Commercial"/>
    <s v="Hoima"/>
    <s v="Hoima"/>
    <s v="UGA"/>
    <n v="4"/>
    <s v="Commercial"/>
    <x v="13"/>
    <n v="180000"/>
    <m/>
    <x v="4"/>
    <n v="4"/>
    <x v="0"/>
    <n v="10"/>
    <s v="Other"/>
    <n v="4"/>
    <x v="3"/>
    <n v="3"/>
    <n v="1"/>
    <n v="2"/>
    <n v="4"/>
    <n v="5"/>
    <s v="Y"/>
    <n v="5000"/>
    <x v="2"/>
  </r>
  <r>
    <d v="2019-10-27T00:00:00"/>
    <d v="1899-12-30T16:30:00"/>
    <m/>
    <s v="P"/>
    <n v="2"/>
    <s v="Road Vehicle"/>
    <n v="4"/>
    <x v="3"/>
    <x v="1"/>
    <n v="2"/>
    <x v="1"/>
    <s v="Kampala"/>
    <s v="Kampala"/>
    <s v="UGA"/>
    <n v="4"/>
    <s v="Commercial"/>
    <s v="Busujju"/>
    <s v="Wakiso"/>
    <s v="UGA"/>
    <n v="4"/>
    <s v="Commercial"/>
    <x v="13"/>
    <n v="35000"/>
    <m/>
    <x v="4"/>
    <n v="2"/>
    <x v="1"/>
    <n v="10"/>
    <s v="Other"/>
    <n v="4"/>
    <x v="3"/>
    <n v="3"/>
    <n v="1"/>
    <n v="2"/>
    <n v="4"/>
    <n v="5"/>
    <s v="Y"/>
    <n v="2000"/>
    <x v="4"/>
  </r>
  <r>
    <d v="2019-10-28T00:00:00"/>
    <d v="1899-12-30T13:39:00"/>
    <m/>
    <s v="D"/>
    <n v="2"/>
    <s v="Road Vehicle"/>
    <n v="4"/>
    <x v="3"/>
    <x v="1"/>
    <n v="2"/>
    <x v="1"/>
    <s v="Busujju"/>
    <s v="Wakiso"/>
    <s v="UGA"/>
    <n v="4"/>
    <s v="Commercial"/>
    <s v="Kampala"/>
    <s v="Kampala"/>
    <s v="UGA"/>
    <n v="4"/>
    <s v="Commercial"/>
    <x v="13"/>
    <n v="60000"/>
    <m/>
    <x v="4"/>
    <n v="1.5"/>
    <x v="2"/>
    <n v="10"/>
    <s v="Other"/>
    <n v="4"/>
    <x v="3"/>
    <n v="5"/>
    <n v="1"/>
    <n v="2"/>
    <n v="3"/>
    <n v="4"/>
    <s v="Y"/>
    <n v="1000"/>
    <x v="1"/>
  </r>
  <r>
    <d v="2019-10-28T00:00:00"/>
    <d v="1899-12-30T14:28:00"/>
    <m/>
    <s v="D"/>
    <n v="2"/>
    <s v="Road Vehicle"/>
    <n v="4"/>
    <x v="3"/>
    <x v="1"/>
    <n v="2"/>
    <x v="1"/>
    <s v="Kampala"/>
    <s v="Kampala"/>
    <s v="UGA"/>
    <n v="4"/>
    <s v="Commercial"/>
    <s v="Hoima"/>
    <s v="Hoima"/>
    <s v="UGA"/>
    <n v="5"/>
    <s v="Tourism"/>
    <x v="41"/>
    <n v="180000"/>
    <m/>
    <x v="4"/>
    <n v="3.5"/>
    <x v="0"/>
    <n v="10"/>
    <s v="Other"/>
    <n v="4"/>
    <x v="3"/>
    <n v="2"/>
    <n v="1"/>
    <n v="4"/>
    <n v="3"/>
    <n v="5"/>
    <s v="Y"/>
    <n v="1000"/>
    <x v="1"/>
  </r>
  <r>
    <d v="2019-10-28T00:00:00"/>
    <d v="1899-12-30T07:30:00"/>
    <m/>
    <s v="D"/>
    <n v="2"/>
    <s v="Road Vehicle"/>
    <n v="4"/>
    <x v="3"/>
    <x v="1"/>
    <n v="2"/>
    <x v="1"/>
    <s v="Kampala"/>
    <s v="Kampala"/>
    <s v="UGA"/>
    <n v="4"/>
    <s v="Commercial"/>
    <s v="Hoima"/>
    <s v="Hoima"/>
    <s v="UGA"/>
    <n v="4"/>
    <s v="Commercial"/>
    <x v="13"/>
    <n v="160000"/>
    <m/>
    <x v="4"/>
    <n v="4"/>
    <x v="0"/>
    <n v="10"/>
    <s v="Other"/>
    <n v="4"/>
    <x v="3"/>
    <n v="5"/>
    <n v="1"/>
    <n v="2"/>
    <n v="3"/>
    <n v="4"/>
    <s v="Y"/>
    <n v="2000"/>
    <x v="4"/>
  </r>
  <r>
    <d v="2019-10-28T00:00:00"/>
    <d v="1899-12-30T17:37:00"/>
    <m/>
    <s v="D"/>
    <n v="2"/>
    <s v="Road Vehicle"/>
    <n v="4"/>
    <x v="3"/>
    <x v="1"/>
    <n v="2"/>
    <x v="1"/>
    <s v="Mityana"/>
    <s v="Mityana"/>
    <s v="UGA"/>
    <n v="1"/>
    <s v="Home"/>
    <s v="Kampala"/>
    <s v="Kampala"/>
    <s v="UGA"/>
    <n v="8"/>
    <s v="Others"/>
    <x v="4"/>
    <n v="6500"/>
    <m/>
    <x v="4"/>
    <n v="2.5"/>
    <x v="1"/>
    <n v="10"/>
    <s v="Other"/>
    <n v="3"/>
    <x v="0"/>
    <n v="3"/>
    <n v="1"/>
    <n v="2"/>
    <n v="4"/>
    <n v="5"/>
    <s v="Y"/>
    <n v="2000"/>
    <x v="4"/>
  </r>
  <r>
    <d v="2019-10-28T00:00:00"/>
    <d v="1899-12-30T10:29:00"/>
    <m/>
    <s v="D"/>
    <n v="2"/>
    <s v="Road Vehicle"/>
    <n v="4"/>
    <x v="3"/>
    <x v="1"/>
    <n v="2"/>
    <x v="1"/>
    <s v="Busujju"/>
    <s v="Wakiso"/>
    <s v="UGA"/>
    <n v="4"/>
    <s v="Commercial"/>
    <s v="Kampala"/>
    <s v="Kampala"/>
    <s v="UGA"/>
    <n v="4"/>
    <s v="Commercial"/>
    <x v="13"/>
    <n v="55000"/>
    <m/>
    <x v="4"/>
    <n v="2"/>
    <x v="1"/>
    <n v="10"/>
    <s v="Other"/>
    <n v="4"/>
    <x v="3"/>
    <n v="5"/>
    <n v="4"/>
    <n v="1"/>
    <n v="2"/>
    <n v="3"/>
    <s v="Y"/>
    <n v="2000"/>
    <x v="4"/>
  </r>
  <r>
    <d v="2019-10-28T00:00:00"/>
    <d v="1899-12-30T10:23:00"/>
    <m/>
    <s v="D"/>
    <n v="2"/>
    <s v="Road Vehicle"/>
    <n v="4"/>
    <x v="3"/>
    <x v="1"/>
    <n v="2"/>
    <x v="1"/>
    <s v="Busujju"/>
    <s v="Wakiso"/>
    <s v="UGA"/>
    <n v="4"/>
    <s v="Commercial"/>
    <s v="Kampala"/>
    <s v="Kampala"/>
    <s v="UGA"/>
    <n v="4"/>
    <s v="Commercial"/>
    <x v="13"/>
    <n v="5000"/>
    <m/>
    <x v="4"/>
    <n v="2"/>
    <x v="1"/>
    <n v="10"/>
    <s v="Other"/>
    <n v="4"/>
    <x v="3"/>
    <n v="5"/>
    <n v="1"/>
    <n v="2"/>
    <n v="3"/>
    <n v="4"/>
    <s v="Y"/>
    <n v="5000"/>
    <x v="2"/>
  </r>
  <r>
    <d v="2019-10-28T00:00:00"/>
    <d v="1899-12-30T14:46:00"/>
    <m/>
    <s v="D"/>
    <n v="2"/>
    <s v="Road Vehicle"/>
    <n v="4"/>
    <x v="3"/>
    <x v="1"/>
    <n v="2"/>
    <x v="1"/>
    <s v="Kampala"/>
    <s v="Kampala"/>
    <s v="UGA"/>
    <n v="4"/>
    <s v="Commercial"/>
    <s v="Busujju"/>
    <s v="Wakiso"/>
    <s v="UGA"/>
    <n v="4"/>
    <s v="Commercial"/>
    <x v="13"/>
    <n v="80000"/>
    <m/>
    <x v="4"/>
    <n v="1"/>
    <x v="2"/>
    <n v="10"/>
    <s v="Other"/>
    <n v="5"/>
    <x v="4"/>
    <n v="5"/>
    <n v="4"/>
    <n v="1"/>
    <n v="2"/>
    <n v="3"/>
    <s v="Y"/>
    <n v="5000"/>
    <x v="2"/>
  </r>
  <r>
    <d v="2019-10-28T00:00:00"/>
    <d v="1899-12-30T16:46:00"/>
    <m/>
    <s v="D"/>
    <n v="2"/>
    <s v="Road Vehicle"/>
    <n v="4"/>
    <x v="3"/>
    <x v="1"/>
    <n v="2"/>
    <x v="1"/>
    <s v="Kajogi"/>
    <s v="Wakiso"/>
    <s v="UGA"/>
    <n v="4"/>
    <s v="Commercial"/>
    <s v="Busujju"/>
    <s v="Wakiso"/>
    <s v="UGA"/>
    <n v="4"/>
    <s v="Commercial"/>
    <x v="13"/>
    <n v="15000"/>
    <m/>
    <x v="4"/>
    <n v="0.2"/>
    <x v="4"/>
    <n v="10"/>
    <s v="Other"/>
    <n v="4"/>
    <x v="3"/>
    <n v="4"/>
    <n v="2"/>
    <n v="1"/>
    <n v="3"/>
    <n v="5"/>
    <s v="Y"/>
    <n v="2000"/>
    <x v="4"/>
  </r>
  <r>
    <d v="2019-10-28T00:00:00"/>
    <d v="1899-12-30T10:33:00"/>
    <m/>
    <s v="D"/>
    <n v="2"/>
    <s v="Road Vehicle"/>
    <n v="4"/>
    <x v="3"/>
    <x v="1"/>
    <n v="2"/>
    <x v="1"/>
    <s v="Busujju"/>
    <s v="Wakiso"/>
    <s v="UGA"/>
    <n v="4"/>
    <s v="Commercial"/>
    <s v="Kampala"/>
    <s v="Kampala"/>
    <s v="UGA"/>
    <n v="4"/>
    <s v="Commercial"/>
    <x v="13"/>
    <n v="50000"/>
    <m/>
    <x v="4"/>
    <n v="1"/>
    <x v="2"/>
    <n v="10"/>
    <s v="Other"/>
    <n v="4"/>
    <x v="3"/>
    <n v="5"/>
    <n v="1"/>
    <n v="3"/>
    <n v="2"/>
    <n v="4"/>
    <s v="Y"/>
    <m/>
    <x v="0"/>
  </r>
  <r>
    <d v="2019-10-28T00:00:00"/>
    <d v="1899-12-30T14:18:00"/>
    <m/>
    <s v="D"/>
    <n v="2"/>
    <s v="Road Vehicle"/>
    <n v="4"/>
    <x v="3"/>
    <x v="1"/>
    <n v="2"/>
    <x v="1"/>
    <s v="Kibawolume"/>
    <s v="Wakiso"/>
    <s v="UGA"/>
    <n v="2"/>
    <s v="Work"/>
    <s v="Bukomero"/>
    <s v="Kiboga"/>
    <s v="UGA"/>
    <n v="2"/>
    <s v="Work"/>
    <x v="5"/>
    <n v="266500"/>
    <m/>
    <x v="4"/>
    <n v="2"/>
    <x v="1"/>
    <n v="10"/>
    <s v="Other"/>
    <n v="3"/>
    <x v="0"/>
    <n v="2"/>
    <n v="1"/>
    <n v="5"/>
    <n v="3"/>
    <n v="4"/>
    <s v="Y"/>
    <n v="5000"/>
    <x v="2"/>
  </r>
  <r>
    <d v="2019-10-28T00:00:00"/>
    <d v="1899-12-30T06:56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40000"/>
    <n v="114"/>
    <x v="2"/>
    <n v="1"/>
    <x v="2"/>
    <n v="10"/>
    <s v="Other"/>
    <n v="2"/>
    <x v="1"/>
    <n v="4"/>
    <n v="2"/>
    <n v="3"/>
    <n v="1"/>
    <n v="5"/>
    <s v="Y"/>
    <m/>
    <x v="0"/>
  </r>
  <r>
    <d v="2019-10-28T00:00:00"/>
    <d v="1899-12-30T09:56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50000"/>
    <n v="114"/>
    <x v="2"/>
    <n v="1.5"/>
    <x v="2"/>
    <n v="10"/>
    <s v="Other"/>
    <n v="3"/>
    <x v="0"/>
    <n v="1"/>
    <n v="2"/>
    <n v="3"/>
    <n v="4"/>
    <n v="5"/>
    <s v="Y"/>
    <n v="1000"/>
    <x v="1"/>
  </r>
  <r>
    <d v="2019-10-28T00:00:00"/>
    <d v="1899-12-30T10:47:00"/>
    <m/>
    <s v="D"/>
    <n v="2"/>
    <s v="Road Vehicle"/>
    <n v="4"/>
    <x v="3"/>
    <x v="1"/>
    <n v="2"/>
    <x v="1"/>
    <s v="Busujju"/>
    <s v="Wakiso"/>
    <s v="UGA"/>
    <n v="2"/>
    <s v="Work"/>
    <s v="Hoima"/>
    <s v="Hoima"/>
    <s v="UGA"/>
    <n v="1"/>
    <s v="Home"/>
    <x v="1"/>
    <n v="120000"/>
    <n v="200"/>
    <x v="3"/>
    <n v="2"/>
    <x v="1"/>
    <n v="10"/>
    <s v="Other"/>
    <n v="4"/>
    <x v="3"/>
    <n v="3"/>
    <n v="4"/>
    <n v="5"/>
    <n v="2"/>
    <n v="1"/>
    <s v="Y"/>
    <m/>
    <x v="0"/>
  </r>
  <r>
    <d v="2019-10-29T00:00:00"/>
    <d v="1899-12-30T10:51:00"/>
    <m/>
    <s v="D"/>
    <n v="2"/>
    <s v="Road Vehicle"/>
    <n v="4"/>
    <x v="3"/>
    <x v="1"/>
    <n v="2"/>
    <x v="1"/>
    <s v="Bukomero"/>
    <s v="Kiboga"/>
    <s v="UGA"/>
    <n v="2"/>
    <s v="Work"/>
    <s v="Busujju"/>
    <s v="Wakiso"/>
    <s v="UGA"/>
    <n v="4"/>
    <s v="Commercial"/>
    <x v="21"/>
    <n v="156000"/>
    <m/>
    <x v="4"/>
    <n v="1"/>
    <x v="2"/>
    <n v="10"/>
    <s v="Other"/>
    <n v="2"/>
    <x v="1"/>
    <n v="5"/>
    <n v="2"/>
    <n v="1"/>
    <n v="4"/>
    <n v="3"/>
    <s v="Y"/>
    <m/>
    <x v="0"/>
  </r>
  <r>
    <d v="2019-10-29T00:00:00"/>
    <d v="1899-12-30T11:15:00"/>
    <m/>
    <s v="D"/>
    <n v="2"/>
    <s v="Road Vehicle"/>
    <n v="4"/>
    <x v="3"/>
    <x v="1"/>
    <n v="2"/>
    <x v="1"/>
    <s v="Kampala"/>
    <s v="Kampala"/>
    <s v="UGA"/>
    <n v="4"/>
    <s v="Commercial"/>
    <s v="Busujju"/>
    <s v="Wakiso"/>
    <s v="UGA"/>
    <n v="1"/>
    <s v="Home"/>
    <x v="0"/>
    <n v="30000"/>
    <m/>
    <x v="4"/>
    <n v="1"/>
    <x v="2"/>
    <n v="10"/>
    <s v="Other"/>
    <n v="5"/>
    <x v="4"/>
    <n v="4"/>
    <n v="5"/>
    <n v="3"/>
    <n v="2"/>
    <n v="1"/>
    <s v="Y"/>
    <m/>
    <x v="0"/>
  </r>
  <r>
    <d v="2019-10-29T00:00:00"/>
    <d v="1899-12-30T11:57:00"/>
    <m/>
    <s v="D"/>
    <n v="2"/>
    <s v="Road Vehicle"/>
    <n v="4"/>
    <x v="3"/>
    <x v="1"/>
    <n v="2"/>
    <x v="1"/>
    <s v="Kampala"/>
    <s v="Kampala"/>
    <s v="UGA"/>
    <n v="4"/>
    <s v="Commercial"/>
    <s v="Kiboga"/>
    <s v="Kiboga"/>
    <s v="UGA"/>
    <n v="4"/>
    <s v="Commercial"/>
    <x v="13"/>
    <n v="50000"/>
    <m/>
    <x v="4"/>
    <n v="1.5"/>
    <x v="2"/>
    <n v="10"/>
    <s v="Other"/>
    <n v="4"/>
    <x v="3"/>
    <n v="4"/>
    <n v="3"/>
    <n v="2"/>
    <n v="1"/>
    <n v="5"/>
    <s v="Y"/>
    <n v="1000"/>
    <x v="1"/>
  </r>
  <r>
    <d v="2019-10-29T00:00:00"/>
    <d v="1899-12-30T12:00:00"/>
    <m/>
    <s v="D"/>
    <n v="2"/>
    <s v="Road Vehicle"/>
    <n v="4"/>
    <x v="3"/>
    <x v="1"/>
    <n v="2"/>
    <x v="1"/>
    <s v="Busujju"/>
    <s v="Wakiso"/>
    <s v="UGA"/>
    <n v="4"/>
    <s v="Commercial"/>
    <s v="Ssekanyonyi"/>
    <s v="Mityana"/>
    <s v="UGA"/>
    <n v="4"/>
    <s v="Commercial"/>
    <x v="13"/>
    <n v="25000"/>
    <m/>
    <x v="4"/>
    <n v="0.6"/>
    <x v="3"/>
    <n v="10"/>
    <s v="Other"/>
    <n v="5"/>
    <x v="4"/>
    <n v="3"/>
    <n v="2"/>
    <n v="1"/>
    <n v="4"/>
    <n v="5"/>
    <s v="Y"/>
    <n v="2000"/>
    <x v="4"/>
  </r>
  <r>
    <d v="2019-10-29T00:00:00"/>
    <d v="1899-12-30T11:04:00"/>
    <m/>
    <s v="D"/>
    <n v="2"/>
    <s v="Road Vehicle"/>
    <n v="4"/>
    <x v="3"/>
    <x v="1"/>
    <n v="2"/>
    <x v="1"/>
    <s v="Busujju"/>
    <s v="Wakiso"/>
    <s v="UGA"/>
    <n v="4"/>
    <s v="Commercial"/>
    <s v="Kampala"/>
    <s v="Kampala"/>
    <s v="UGA"/>
    <n v="4"/>
    <s v="Commercial"/>
    <x v="13"/>
    <n v="50000"/>
    <m/>
    <x v="4"/>
    <n v="2"/>
    <x v="1"/>
    <n v="10"/>
    <s v="Other"/>
    <n v="4"/>
    <x v="3"/>
    <n v="3"/>
    <n v="1"/>
    <n v="5"/>
    <n v="2"/>
    <n v="4"/>
    <s v="Y"/>
    <n v="1000"/>
    <x v="1"/>
  </r>
  <r>
    <d v="2019-10-29T00:00:00"/>
    <d v="1899-12-30T12:06:00"/>
    <m/>
    <s v="D"/>
    <n v="2"/>
    <s v="Road Vehicle"/>
    <n v="4"/>
    <x v="3"/>
    <x v="1"/>
    <n v="2"/>
    <x v="1"/>
    <s v="Kampala"/>
    <s v="Kampala"/>
    <s v="UGA"/>
    <n v="4"/>
    <s v="Commercial"/>
    <s v="Ntwentwe"/>
    <s v="Ntwentwe"/>
    <s v="UGA"/>
    <n v="4"/>
    <s v="Commercial"/>
    <x v="13"/>
    <n v="80000"/>
    <m/>
    <x v="4"/>
    <n v="3"/>
    <x v="1"/>
    <n v="10"/>
    <s v="Other"/>
    <n v="4"/>
    <x v="3"/>
    <n v="3"/>
    <n v="1"/>
    <n v="4"/>
    <n v="2"/>
    <n v="5"/>
    <s v="Y"/>
    <n v="3000"/>
    <x v="5"/>
  </r>
  <r>
    <d v="2019-10-29T00:00:00"/>
    <d v="1899-12-30T12:08:00"/>
    <m/>
    <s v="D"/>
    <n v="2"/>
    <s v="Road Vehicle"/>
    <n v="4"/>
    <x v="3"/>
    <x v="1"/>
    <n v="2"/>
    <x v="1"/>
    <s v="Mityana"/>
    <s v="Mityana"/>
    <s v="UGA"/>
    <n v="4"/>
    <s v="Commercial"/>
    <s v="Kampala"/>
    <s v="Kampala"/>
    <s v="UGA"/>
    <n v="4"/>
    <s v="Commercial"/>
    <x v="13"/>
    <n v="60000"/>
    <m/>
    <x v="4"/>
    <n v="2"/>
    <x v="1"/>
    <n v="10"/>
    <s v="Other"/>
    <n v="4"/>
    <x v="3"/>
    <n v="1"/>
    <n v="3"/>
    <n v="2"/>
    <n v="4"/>
    <n v="5"/>
    <s v="Y"/>
    <n v="1000"/>
    <x v="1"/>
  </r>
  <r>
    <d v="2019-10-29T00:00:00"/>
    <d v="1899-12-30T14:39:00"/>
    <m/>
    <s v="D"/>
    <n v="2"/>
    <s v="Road Vehicle"/>
    <n v="4"/>
    <x v="3"/>
    <x v="1"/>
    <n v="2"/>
    <x v="1"/>
    <s v="Kakiri"/>
    <s v="Wakiso"/>
    <s v="UGA"/>
    <n v="4"/>
    <s v="Commercial"/>
    <s v="Busujju"/>
    <s v="Wakiso"/>
    <s v="UGA"/>
    <n v="1"/>
    <s v="Home"/>
    <x v="0"/>
    <n v="40000"/>
    <m/>
    <x v="4"/>
    <n v="1"/>
    <x v="2"/>
    <n v="10"/>
    <s v="Other"/>
    <n v="4"/>
    <x v="3"/>
    <n v="2"/>
    <n v="1"/>
    <n v="5"/>
    <n v="3"/>
    <n v="4"/>
    <s v="Y"/>
    <n v="1000"/>
    <x v="1"/>
  </r>
  <r>
    <d v="2019-10-29T00:00:00"/>
    <d v="1899-12-30T15:52:00"/>
    <m/>
    <s v="D"/>
    <n v="2"/>
    <s v="Road Vehicle"/>
    <n v="4"/>
    <x v="3"/>
    <x v="1"/>
    <n v="2"/>
    <x v="1"/>
    <s v="Hoima"/>
    <s v="Hoima"/>
    <s v="UGA"/>
    <n v="4"/>
    <s v="Commercial"/>
    <s v="Kampala"/>
    <s v="Kampala"/>
    <s v="UGA"/>
    <n v="4"/>
    <s v="Commercial"/>
    <x v="13"/>
    <n v="180000"/>
    <m/>
    <x v="4"/>
    <n v="4"/>
    <x v="0"/>
    <n v="10"/>
    <s v="Other"/>
    <n v="4"/>
    <x v="3"/>
    <n v="5"/>
    <n v="2"/>
    <n v="1"/>
    <n v="3"/>
    <n v="4"/>
    <s v="Y"/>
    <n v="1000"/>
    <x v="1"/>
  </r>
  <r>
    <d v="2019-10-29T00:00:00"/>
    <d v="1899-12-30T14:59:00"/>
    <m/>
    <s v="D"/>
    <n v="2"/>
    <s v="Road Vehicle"/>
    <n v="4"/>
    <x v="3"/>
    <x v="1"/>
    <n v="2"/>
    <x v="1"/>
    <s v="Kalege"/>
    <s v="Nakaseke"/>
    <s v="UGA"/>
    <n v="4"/>
    <s v="Commercial"/>
    <s v="Busujju"/>
    <s v="Wakiso"/>
    <s v="UGA"/>
    <n v="4"/>
    <s v="Commercial"/>
    <x v="13"/>
    <n v="50000"/>
    <m/>
    <x v="4"/>
    <n v="3"/>
    <x v="1"/>
    <n v="10"/>
    <s v="Other"/>
    <n v="2"/>
    <x v="1"/>
    <n v="1"/>
    <n v="2"/>
    <n v="3"/>
    <n v="5"/>
    <n v="4"/>
    <s v="Y"/>
    <n v="1000"/>
    <x v="1"/>
  </r>
  <r>
    <d v="2019-10-29T00:00:00"/>
    <d v="1899-12-30T11:10:00"/>
    <m/>
    <s v="P"/>
    <n v="2"/>
    <s v="Road Vehicle"/>
    <n v="4"/>
    <x v="3"/>
    <x v="1"/>
    <n v="2"/>
    <x v="1"/>
    <s v="Busujju"/>
    <s v="Wakiso"/>
    <s v="UGA"/>
    <n v="1"/>
    <s v="Home"/>
    <s v="Mityana"/>
    <s v="Mityana"/>
    <s v="UGA"/>
    <n v="4"/>
    <s v="Commercial"/>
    <x v="12"/>
    <n v="10000"/>
    <n v="28.9"/>
    <x v="5"/>
    <m/>
    <x v="4"/>
    <n v="10"/>
    <s v="Other"/>
    <n v="2"/>
    <x v="1"/>
    <n v="2"/>
    <n v="5"/>
    <n v="1"/>
    <n v="3"/>
    <n v="4"/>
    <s v="Y"/>
    <m/>
    <x v="0"/>
  </r>
  <r>
    <d v="2019-10-27T00:00:00"/>
    <d v="1899-12-30T09:47:00"/>
    <m/>
    <s v="D"/>
    <n v="2"/>
    <s v="Road Vehicle"/>
    <n v="1"/>
    <x v="0"/>
    <x v="0"/>
    <n v="2"/>
    <x v="1"/>
    <s v="Busujju"/>
    <s v="Wakiso"/>
    <s v="UGA"/>
    <n v="4"/>
    <s v="Commercial"/>
    <s v="Kampala"/>
    <s v="Kampala"/>
    <s v="UGA"/>
    <n v="2"/>
    <s v="Work"/>
    <x v="20"/>
    <n v="40000"/>
    <n v="114"/>
    <x v="2"/>
    <n v="1"/>
    <x v="2"/>
    <n v="5"/>
    <s v="Professional"/>
    <n v="4"/>
    <x v="3"/>
    <n v="2"/>
    <n v="1"/>
    <n v="5"/>
    <n v="3"/>
    <n v="4"/>
    <s v="Y"/>
    <n v="5000"/>
    <x v="2"/>
  </r>
  <r>
    <d v="2019-10-28T00:00:00"/>
    <d v="1899-12-30T14:31:00"/>
    <m/>
    <s v="D"/>
    <n v="2"/>
    <s v="Road Vehicle"/>
    <n v="1"/>
    <x v="0"/>
    <x v="1"/>
    <n v="2"/>
    <x v="1"/>
    <s v="Busujju"/>
    <s v="Wakiso"/>
    <s v="UGA"/>
    <n v="1"/>
    <s v="Home"/>
    <s v="Mityana"/>
    <s v="Mityana"/>
    <s v="UGA"/>
    <n v="2"/>
    <s v="Work"/>
    <x v="8"/>
    <n v="35000"/>
    <m/>
    <x v="4"/>
    <n v="0.5"/>
    <x v="3"/>
    <n v="5"/>
    <s v="Professional"/>
    <n v="4"/>
    <x v="3"/>
    <n v="2"/>
    <n v="5"/>
    <n v="1"/>
    <n v="3"/>
    <n v="4"/>
    <s v="Y"/>
    <n v="3000"/>
    <x v="5"/>
  </r>
  <r>
    <d v="2019-10-28T00:00:00"/>
    <d v="1899-12-30T10:39:00"/>
    <m/>
    <s v="P"/>
    <n v="2"/>
    <s v="Road Vehicle"/>
    <n v="4"/>
    <x v="3"/>
    <x v="0"/>
    <n v="2"/>
    <x v="1"/>
    <s v="Busujju"/>
    <s v="Wakiso"/>
    <s v="UGA"/>
    <n v="2"/>
    <s v="Work"/>
    <s v="Kyankwanzi"/>
    <s v="Kiboga"/>
    <s v="UGA"/>
    <n v="4"/>
    <s v="Commercial"/>
    <x v="21"/>
    <n v="10000"/>
    <n v="120"/>
    <x v="2"/>
    <n v="1.5"/>
    <x v="2"/>
    <n v="5"/>
    <s v="Professional"/>
    <n v="3"/>
    <x v="0"/>
    <n v="5"/>
    <n v="4"/>
    <n v="3"/>
    <n v="2"/>
    <n v="1"/>
    <s v="Y"/>
    <n v="10000"/>
    <x v="3"/>
  </r>
  <r>
    <d v="2019-10-28T00:00:00"/>
    <d v="1899-12-30T11:11:00"/>
    <m/>
    <s v="P"/>
    <n v="2"/>
    <s v="Road Vehicle"/>
    <n v="4"/>
    <x v="3"/>
    <x v="0"/>
    <n v="2"/>
    <x v="1"/>
    <s v="Busujju"/>
    <s v="Wakiso"/>
    <s v="UGA"/>
    <n v="4"/>
    <s v="Commercial"/>
    <s v="Kampala"/>
    <s v="Kampala"/>
    <s v="UGA"/>
    <n v="1"/>
    <s v="Home"/>
    <x v="0"/>
    <n v="5000"/>
    <n v="114"/>
    <x v="2"/>
    <n v="1"/>
    <x v="2"/>
    <n v="5"/>
    <s v="Professional"/>
    <n v="4"/>
    <x v="3"/>
    <n v="5"/>
    <n v="4"/>
    <n v="3"/>
    <n v="2"/>
    <n v="1"/>
    <s v="Y"/>
    <m/>
    <x v="0"/>
  </r>
  <r>
    <d v="2019-10-27T00:00:00"/>
    <d v="1899-12-30T08:32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65"/>
    <x v="1"/>
    <n v="1.5"/>
    <x v="2"/>
    <n v="5"/>
    <s v="Professional"/>
    <n v="2"/>
    <x v="1"/>
    <n v="3"/>
    <n v="5"/>
    <n v="4"/>
    <n v="2"/>
    <n v="1"/>
    <s v="Y"/>
    <n v="1000"/>
    <x v="1"/>
  </r>
  <r>
    <d v="2019-10-27T00:00:00"/>
    <d v="1899-12-30T09:09:00"/>
    <m/>
    <s v="D"/>
    <n v="2"/>
    <s v="Road Vehicle"/>
    <n v="4"/>
    <x v="3"/>
    <x v="1"/>
    <n v="2"/>
    <x v="1"/>
    <s v="Busujju"/>
    <s v="Wakiso"/>
    <s v="UGA"/>
    <n v="1"/>
    <s v="Home"/>
    <s v="Ssekanyonyi"/>
    <s v="Wakiso"/>
    <s v="UGA"/>
    <n v="2"/>
    <s v="Work"/>
    <x v="8"/>
    <n v="40000"/>
    <n v="47"/>
    <x v="1"/>
    <n v="0.5"/>
    <x v="3"/>
    <n v="5"/>
    <s v="Professional"/>
    <n v="3"/>
    <x v="0"/>
    <n v="5"/>
    <n v="1"/>
    <n v="3"/>
    <n v="2"/>
    <n v="4"/>
    <s v="Y"/>
    <n v="1000"/>
    <x v="1"/>
  </r>
  <r>
    <d v="2019-10-27T00:00:00"/>
    <d v="1899-12-30T11:38:00"/>
    <m/>
    <s v="P"/>
    <n v="2"/>
    <s v="Road Vehicle"/>
    <n v="4"/>
    <x v="3"/>
    <x v="1"/>
    <n v="2"/>
    <x v="1"/>
    <s v="Busujju"/>
    <s v="Wakiso"/>
    <s v="UGA"/>
    <n v="8"/>
    <s v="Others"/>
    <s v="Kikubampanga"/>
    <s v="Wakiso"/>
    <s v="UGA"/>
    <n v="1"/>
    <s v="Home"/>
    <x v="29"/>
    <n v="3000"/>
    <m/>
    <x v="4"/>
    <n v="0.3"/>
    <x v="4"/>
    <n v="5"/>
    <s v="Professional"/>
    <n v="4"/>
    <x v="3"/>
    <n v="5"/>
    <n v="1"/>
    <n v="2"/>
    <n v="3"/>
    <n v="4"/>
    <s v="Y"/>
    <n v="5000"/>
    <x v="2"/>
  </r>
  <r>
    <d v="2019-10-27T00:00:00"/>
    <d v="1899-12-30T12:15:00"/>
    <m/>
    <s v="P"/>
    <n v="2"/>
    <s v="Road Vehicle"/>
    <n v="4"/>
    <x v="3"/>
    <x v="1"/>
    <n v="2"/>
    <x v="1"/>
    <s v="Ntwantwe"/>
    <s v="Ntwantwe"/>
    <s v="UGA"/>
    <n v="8"/>
    <s v="Others"/>
    <s v="Busujju"/>
    <s v="Wakiso"/>
    <s v="UGA"/>
    <n v="8"/>
    <s v="Others"/>
    <x v="28"/>
    <n v="5000"/>
    <m/>
    <x v="4"/>
    <n v="0.8"/>
    <x v="3"/>
    <n v="5"/>
    <s v="Professional"/>
    <n v="4"/>
    <x v="3"/>
    <n v="1"/>
    <n v="4"/>
    <n v="3"/>
    <n v="5"/>
    <n v="2"/>
    <s v="Y"/>
    <n v="5000"/>
    <x v="2"/>
  </r>
  <r>
    <d v="2019-10-28T00:00:00"/>
    <d v="1899-12-30T08:01:00"/>
    <m/>
    <s v="P"/>
    <n v="2"/>
    <s v="Road Vehicle"/>
    <n v="4"/>
    <x v="3"/>
    <x v="1"/>
    <n v="2"/>
    <x v="1"/>
    <s v="Kampala"/>
    <s v="Kampala"/>
    <s v="UGA"/>
    <n v="4"/>
    <s v="Commercial"/>
    <s v="Kyankwanzi"/>
    <s v="Kyankwanzi"/>
    <s v="UGA"/>
    <n v="1"/>
    <s v="Home"/>
    <x v="0"/>
    <n v="15000"/>
    <m/>
    <x v="4"/>
    <n v="3.5"/>
    <x v="0"/>
    <n v="5"/>
    <s v="Professional"/>
    <n v="4"/>
    <x v="3"/>
    <n v="4"/>
    <n v="5"/>
    <n v="2"/>
    <n v="1"/>
    <n v="3"/>
    <s v="Y"/>
    <n v="2000"/>
    <x v="4"/>
  </r>
  <r>
    <d v="2019-10-28T00:00:00"/>
    <d v="1899-12-30T14:09:00"/>
    <m/>
    <s v="D"/>
    <n v="2"/>
    <s v="Road Vehicle"/>
    <n v="4"/>
    <x v="3"/>
    <x v="1"/>
    <n v="2"/>
    <x v="1"/>
    <s v="Ssekanyonyi"/>
    <s v="Mityana"/>
    <s v="UGA"/>
    <n v="2"/>
    <s v="Work"/>
    <s v="Busujju"/>
    <s v="Wakiso"/>
    <s v="UGA"/>
    <n v="2"/>
    <s v="Work"/>
    <x v="5"/>
    <n v="20000"/>
    <m/>
    <x v="4"/>
    <n v="0.2"/>
    <x v="4"/>
    <n v="5"/>
    <s v="Professional"/>
    <n v="3"/>
    <x v="0"/>
    <n v="5"/>
    <n v="3"/>
    <n v="2"/>
    <n v="1"/>
    <n v="4"/>
    <s v="Y"/>
    <n v="1000"/>
    <x v="1"/>
  </r>
  <r>
    <d v="2019-10-28T00:00:00"/>
    <d v="1899-12-30T12:54:00"/>
    <m/>
    <s v="P"/>
    <n v="2"/>
    <s v="Road Vehicle"/>
    <n v="4"/>
    <x v="3"/>
    <x v="1"/>
    <n v="2"/>
    <x v="1"/>
    <s v="Busujju"/>
    <s v="Wakiso"/>
    <s v="UGA"/>
    <n v="1"/>
    <s v="Home"/>
    <s v="Nansana"/>
    <s v="Wakiso"/>
    <s v="UGA"/>
    <n v="2"/>
    <s v="Work"/>
    <x v="8"/>
    <n v="4000"/>
    <n v="80"/>
    <x v="0"/>
    <n v="0.93"/>
    <x v="3"/>
    <n v="5"/>
    <s v="Professional"/>
    <n v="3"/>
    <x v="0"/>
    <n v="1"/>
    <n v="2"/>
    <n v="3"/>
    <n v="4"/>
    <n v="5"/>
    <s v="Y"/>
    <n v="1000"/>
    <x v="1"/>
  </r>
  <r>
    <d v="2019-10-28T00:00:00"/>
    <d v="1899-12-30T07:35:00"/>
    <m/>
    <s v="P"/>
    <n v="2"/>
    <s v="Road Vehicle"/>
    <n v="4"/>
    <x v="3"/>
    <x v="1"/>
    <n v="2"/>
    <x v="1"/>
    <s v="Busujju"/>
    <s v="Wakiso"/>
    <s v="UGA"/>
    <n v="2"/>
    <s v="Work"/>
    <s v="Wakiso"/>
    <s v="Wakiso"/>
    <s v="UGA"/>
    <n v="1"/>
    <s v="Home"/>
    <x v="1"/>
    <n v="3000"/>
    <n v="70"/>
    <x v="0"/>
    <n v="0.8"/>
    <x v="3"/>
    <n v="5"/>
    <s v="Professional"/>
    <n v="3"/>
    <x v="0"/>
    <n v="2"/>
    <n v="1"/>
    <n v="3"/>
    <n v="4"/>
    <n v="5"/>
    <s v="Y"/>
    <n v="1000"/>
    <x v="1"/>
  </r>
  <r>
    <d v="2019-10-28T00:00:00"/>
    <d v="1899-12-30T08:02:00"/>
    <m/>
    <s v="P"/>
    <n v="2"/>
    <s v="Road Vehicle"/>
    <n v="4"/>
    <x v="3"/>
    <x v="1"/>
    <n v="2"/>
    <x v="1"/>
    <s v="Busujju"/>
    <s v="Wakiso"/>
    <s v="UGA"/>
    <n v="2"/>
    <s v="Work"/>
    <s v="Bukomero"/>
    <s v="Kiboga"/>
    <s v="UGA"/>
    <n v="4"/>
    <s v="Commercial"/>
    <x v="21"/>
    <n v="3000"/>
    <n v="45"/>
    <x v="1"/>
    <n v="0.3"/>
    <x v="4"/>
    <n v="5"/>
    <s v="Professional"/>
    <n v="3"/>
    <x v="0"/>
    <n v="5"/>
    <n v="4"/>
    <n v="3"/>
    <n v="2"/>
    <n v="1"/>
    <s v="Y"/>
    <n v="4000"/>
    <x v="5"/>
  </r>
  <r>
    <d v="2019-10-28T00:00:00"/>
    <d v="1899-12-30T09:25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53"/>
    <x v="1"/>
    <n v="1"/>
    <x v="2"/>
    <n v="5"/>
    <s v="Professional"/>
    <n v="4"/>
    <x v="3"/>
    <n v="3"/>
    <n v="5"/>
    <n v="4"/>
    <n v="2"/>
    <n v="1"/>
    <s v="Y"/>
    <n v="5000"/>
    <x v="2"/>
  </r>
  <r>
    <d v="2019-10-28T00:00:00"/>
    <d v="1899-12-30T17:07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34"/>
    <x v="5"/>
    <n v="1.5"/>
    <x v="2"/>
    <n v="5"/>
    <s v="Professional"/>
    <n v="4"/>
    <x v="3"/>
    <n v="3"/>
    <n v="5"/>
    <n v="1"/>
    <n v="4"/>
    <n v="2"/>
    <s v="Y"/>
    <n v="3000"/>
    <x v="5"/>
  </r>
  <r>
    <d v="2019-10-28T00:00:00"/>
    <d v="1899-12-30T08:40:00"/>
    <m/>
    <s v="D"/>
    <n v="2"/>
    <s v="Road Vehicle"/>
    <n v="4"/>
    <x v="3"/>
    <x v="1"/>
    <n v="2"/>
    <x v="1"/>
    <s v="Busujju"/>
    <s v="Wakiso"/>
    <s v="UGA"/>
    <n v="1"/>
    <s v="Home"/>
    <s v="Ssekanyonyi"/>
    <s v="Mityana"/>
    <s v="UGA"/>
    <n v="2"/>
    <s v="Work"/>
    <x v="8"/>
    <n v="35000"/>
    <m/>
    <x v="4"/>
    <n v="0.8"/>
    <x v="3"/>
    <n v="5"/>
    <s v="Professional"/>
    <n v="3"/>
    <x v="0"/>
    <n v="3"/>
    <n v="5"/>
    <n v="4"/>
    <n v="2"/>
    <n v="1"/>
    <s v="Y"/>
    <n v="1000"/>
    <x v="1"/>
  </r>
  <r>
    <d v="2019-10-28T00:00:00"/>
    <d v="1899-12-30T08:51:00"/>
    <m/>
    <s v="P"/>
    <n v="2"/>
    <s v="Road Vehicle"/>
    <n v="4"/>
    <x v="3"/>
    <x v="1"/>
    <n v="2"/>
    <x v="1"/>
    <s v="Busujju"/>
    <s v="Wakiso"/>
    <s v="UGA"/>
    <n v="1"/>
    <s v="Home"/>
    <s v="Kakiri"/>
    <s v="Wakiso"/>
    <s v="UGA"/>
    <n v="2"/>
    <s v="Work"/>
    <x v="8"/>
    <n v="50000"/>
    <n v="25"/>
    <x v="5"/>
    <n v="1.5"/>
    <x v="2"/>
    <n v="5"/>
    <s v="Professional"/>
    <n v="4"/>
    <x v="3"/>
    <n v="5"/>
    <n v="4"/>
    <n v="3"/>
    <n v="2"/>
    <n v="1"/>
    <s v="Y"/>
    <m/>
    <x v="0"/>
  </r>
  <r>
    <d v="2019-10-28T00:00:00"/>
    <d v="1899-12-30T08:24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5"/>
    <s v="Professional"/>
    <n v="3"/>
    <x v="0"/>
    <n v="3"/>
    <n v="5"/>
    <n v="4"/>
    <n v="1"/>
    <n v="2"/>
    <s v="Y"/>
    <n v="1000"/>
    <x v="1"/>
  </r>
  <r>
    <d v="2019-10-29T00:00:00"/>
    <d v="1899-12-30T11:40:00"/>
    <m/>
    <s v="D"/>
    <n v="2"/>
    <s v="Road Vehicle"/>
    <n v="4"/>
    <x v="3"/>
    <x v="1"/>
    <n v="2"/>
    <x v="1"/>
    <s v="Busujju"/>
    <s v="Wakiso"/>
    <s v="UGA"/>
    <n v="1"/>
    <s v="Home"/>
    <s v="Wakiso"/>
    <s v="Wakiso"/>
    <s v="UGA"/>
    <n v="2"/>
    <s v="Work"/>
    <x v="8"/>
    <n v="60000"/>
    <m/>
    <x v="4"/>
    <n v="2"/>
    <x v="1"/>
    <n v="5"/>
    <s v="Professional"/>
    <n v="3"/>
    <x v="0"/>
    <n v="1"/>
    <n v="3"/>
    <n v="5"/>
    <n v="4"/>
    <n v="2"/>
    <s v="Y"/>
    <n v="5000"/>
    <x v="2"/>
  </r>
  <r>
    <d v="2019-10-29T00:00:00"/>
    <d v="1899-12-30T10:15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8"/>
    <s v="Others"/>
    <x v="4"/>
    <n v="40000"/>
    <n v="34"/>
    <x v="5"/>
    <n v="2.5"/>
    <x v="1"/>
    <n v="5"/>
    <s v="Professional"/>
    <n v="3"/>
    <x v="0"/>
    <n v="1"/>
    <n v="2"/>
    <n v="3"/>
    <n v="5"/>
    <n v="4"/>
    <s v="Y"/>
    <m/>
    <x v="0"/>
  </r>
  <r>
    <d v="2019-10-29T00:00:00"/>
    <d v="1899-12-30T12:37:00"/>
    <m/>
    <s v="P"/>
    <n v="2"/>
    <s v="Road Vehicle"/>
    <n v="4"/>
    <x v="3"/>
    <x v="1"/>
    <n v="2"/>
    <x v="1"/>
    <s v="Busujju"/>
    <s v="Wakiso"/>
    <s v="UGA"/>
    <n v="1"/>
    <s v="Home"/>
    <s v="Wakiso"/>
    <s v="Wakiso"/>
    <s v="UGA"/>
    <n v="4"/>
    <s v="Commercial"/>
    <x v="12"/>
    <n v="30000"/>
    <n v="2.5"/>
    <x v="4"/>
    <n v="1"/>
    <x v="2"/>
    <n v="5"/>
    <s v="Professional"/>
    <n v="2"/>
    <x v="1"/>
    <n v="5"/>
    <n v="4"/>
    <n v="3"/>
    <n v="2"/>
    <n v="1"/>
    <s v="Y"/>
    <m/>
    <x v="0"/>
  </r>
  <r>
    <d v="2019-10-29T00:00:00"/>
    <d v="1899-12-30T13:34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34"/>
    <x v="5"/>
    <n v="1.5"/>
    <x v="2"/>
    <n v="5"/>
    <s v="Professional"/>
    <n v="3"/>
    <x v="0"/>
    <n v="3"/>
    <n v="4"/>
    <n v="1"/>
    <n v="2"/>
    <n v="5"/>
    <s v="Y"/>
    <n v="5000"/>
    <x v="2"/>
  </r>
  <r>
    <d v="2019-10-29T00:00:00"/>
    <d v="1899-12-30T14:19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34"/>
    <x v="5"/>
    <n v="1.5"/>
    <x v="2"/>
    <n v="5"/>
    <s v="Professional"/>
    <n v="4"/>
    <x v="3"/>
    <n v="5"/>
    <n v="2"/>
    <n v="1"/>
    <n v="3"/>
    <n v="4"/>
    <s v="Y"/>
    <m/>
    <x v="0"/>
  </r>
  <r>
    <d v="2019-10-29T00:00:00"/>
    <d v="1899-12-30T16:11:00"/>
    <m/>
    <s v="D"/>
    <n v="2"/>
    <s v="Road Vehicle"/>
    <n v="4"/>
    <x v="3"/>
    <x v="1"/>
    <n v="2"/>
    <x v="1"/>
    <s v="Hoima"/>
    <s v="Hoima"/>
    <s v="UGA"/>
    <n v="1"/>
    <s v="Home"/>
    <s v="Kampala"/>
    <s v="Kampala"/>
    <s v="UGA"/>
    <n v="2"/>
    <s v="Work"/>
    <x v="8"/>
    <n v="200000"/>
    <n v="200"/>
    <x v="3"/>
    <n v="4.5"/>
    <x v="0"/>
    <n v="5"/>
    <s v="Professional"/>
    <n v="3"/>
    <x v="0"/>
    <n v="3"/>
    <n v="1"/>
    <n v="2"/>
    <n v="5"/>
    <n v="4"/>
    <s v="Y"/>
    <n v="5000"/>
    <x v="2"/>
  </r>
  <r>
    <d v="2019-10-29T00:00:00"/>
    <d v="1899-12-30T16:20:00"/>
    <m/>
    <s v="D"/>
    <n v="2"/>
    <s v="Road Vehicle"/>
    <n v="4"/>
    <x v="3"/>
    <x v="1"/>
    <n v="2"/>
    <x v="1"/>
    <s v="Kampala"/>
    <s v="Kampala"/>
    <s v="UGA"/>
    <n v="1"/>
    <s v="Home"/>
    <s v="Hoima"/>
    <s v="Hoima"/>
    <s v="UGA"/>
    <n v="2"/>
    <s v="Work"/>
    <x v="8"/>
    <n v="200000"/>
    <n v="200"/>
    <x v="3"/>
    <n v="4"/>
    <x v="0"/>
    <n v="5"/>
    <s v="Professional"/>
    <n v="4"/>
    <x v="3"/>
    <n v="5"/>
    <n v="3"/>
    <n v="2"/>
    <n v="1"/>
    <n v="4"/>
    <s v="Y"/>
    <n v="2000"/>
    <x v="4"/>
  </r>
  <r>
    <d v="2019-10-27T00:00:00"/>
    <d v="1899-12-30T15:27:00"/>
    <m/>
    <s v="P"/>
    <n v="2"/>
    <s v="Road Vehicle"/>
    <n v="4"/>
    <x v="3"/>
    <x v="0"/>
    <n v="2"/>
    <x v="1"/>
    <s v="Busujju"/>
    <s v="Wakiso"/>
    <s v="UGA"/>
    <n v="8"/>
    <s v="Others"/>
    <s v="Ssekanyonyi"/>
    <s v="Mityana"/>
    <s v="UGA"/>
    <n v="1"/>
    <s v="Home"/>
    <x v="29"/>
    <n v="3000"/>
    <m/>
    <x v="4"/>
    <n v="0.8"/>
    <x v="3"/>
    <n v="1"/>
    <s v="Unemployed"/>
    <n v="1"/>
    <x v="2"/>
    <n v="5"/>
    <n v="2"/>
    <n v="1"/>
    <n v="3"/>
    <n v="4"/>
    <s v="Y"/>
    <n v="1000"/>
    <x v="1"/>
  </r>
  <r>
    <d v="2019-10-28T00:00:00"/>
    <d v="1899-12-30T08:32:00"/>
    <m/>
    <s v="P"/>
    <n v="2"/>
    <s v="Road Vehicle"/>
    <n v="4"/>
    <x v="3"/>
    <x v="0"/>
    <n v="2"/>
    <x v="1"/>
    <s v="Busujju"/>
    <s v="Wakiso"/>
    <s v="UGA"/>
    <n v="4"/>
    <s v="Commercial"/>
    <s v="Wakiso"/>
    <s v="Wakiso"/>
    <s v="UGA"/>
    <n v="1"/>
    <s v="Home"/>
    <x v="0"/>
    <n v="3000"/>
    <n v="70"/>
    <x v="0"/>
    <n v="0.7"/>
    <x v="3"/>
    <n v="1"/>
    <s v="Unemployed"/>
    <n v="1"/>
    <x v="2"/>
    <n v="5"/>
    <n v="4"/>
    <n v="2"/>
    <n v="1"/>
    <n v="3"/>
    <s v="Y"/>
    <m/>
    <x v="0"/>
  </r>
  <r>
    <d v="2019-10-28T00:00:00"/>
    <d v="1899-12-30T07:11:00"/>
    <m/>
    <s v="P"/>
    <n v="2"/>
    <s v="Road Vehicle"/>
    <n v="4"/>
    <x v="3"/>
    <x v="0"/>
    <n v="2"/>
    <x v="1"/>
    <s v="Busujju"/>
    <s v="Wakiso"/>
    <s v="UGA"/>
    <n v="6"/>
    <s v="Leisure/Social"/>
    <s v="Miika"/>
    <s v="Wakiso"/>
    <s v="UGA"/>
    <n v="8"/>
    <s v="Others"/>
    <x v="42"/>
    <n v="500"/>
    <n v="5"/>
    <x v="4"/>
    <n v="0.1"/>
    <x v="4"/>
    <n v="1"/>
    <s v="Unemployed"/>
    <n v="1"/>
    <x v="2"/>
    <n v="3"/>
    <n v="2"/>
    <n v="4"/>
    <n v="1"/>
    <n v="5"/>
    <s v="Y"/>
    <m/>
    <x v="0"/>
  </r>
  <r>
    <d v="2019-10-28T00:00:00"/>
    <d v="1899-12-30T10:03:00"/>
    <m/>
    <s v="P"/>
    <n v="2"/>
    <s v="Road Vehicle"/>
    <n v="4"/>
    <x v="3"/>
    <x v="1"/>
    <n v="2"/>
    <x v="1"/>
    <s v="Kakiri"/>
    <s v="Wakiso"/>
    <s v="UGA"/>
    <n v="1"/>
    <s v="Home"/>
    <s v="Busujju"/>
    <s v="Wakiso"/>
    <s v="UGA"/>
    <n v="2"/>
    <s v="Work"/>
    <x v="8"/>
    <n v="3000"/>
    <m/>
    <x v="4"/>
    <n v="0.8"/>
    <x v="3"/>
    <n v="1"/>
    <s v="Unemployed"/>
    <n v="1"/>
    <x v="2"/>
    <n v="4"/>
    <n v="1"/>
    <n v="5"/>
    <n v="2"/>
    <n v="3"/>
    <s v="Y"/>
    <m/>
    <x v="0"/>
  </r>
  <r>
    <d v="2019-10-27T00:00:00"/>
    <d v="1899-12-30T08:22:00"/>
    <m/>
    <s v="P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4000"/>
    <n v="60"/>
    <x v="1"/>
    <n v="1.5"/>
    <x v="2"/>
    <n v="3"/>
    <s v="Artisan/Domestic"/>
    <n v="2"/>
    <x v="1"/>
    <n v="3"/>
    <n v="4"/>
    <n v="2"/>
    <n v="1"/>
    <n v="5"/>
    <s v="Y"/>
    <n v="2000"/>
    <x v="4"/>
  </r>
  <r>
    <d v="2019-10-28T00:00:00"/>
    <d v="1899-12-30T09:35:00"/>
    <m/>
    <s v="P"/>
    <n v="2"/>
    <s v="Road Vehicle"/>
    <n v="4"/>
    <x v="3"/>
    <x v="0"/>
    <n v="3"/>
    <x v="2"/>
    <s v="Busujju"/>
    <s v="Wakiso"/>
    <s v="UGA"/>
    <n v="1"/>
    <s v="Home"/>
    <s v="Hoima"/>
    <s v="Hoima"/>
    <s v="UGA"/>
    <n v="4"/>
    <s v="Commercial"/>
    <x v="12"/>
    <n v="8000"/>
    <n v="200"/>
    <x v="3"/>
    <n v="2.5"/>
    <x v="1"/>
    <n v="6"/>
    <s v="Businessman"/>
    <n v="4"/>
    <x v="3"/>
    <n v="5"/>
    <n v="1"/>
    <n v="2"/>
    <n v="4"/>
    <n v="3"/>
    <s v="Y"/>
    <n v="1000"/>
    <x v="1"/>
  </r>
  <r>
    <d v="2019-10-29T00:00:00"/>
    <d v="1899-12-30T14:48:00"/>
    <m/>
    <s v="P"/>
    <n v="2"/>
    <s v="Road Vehicle"/>
    <n v="4"/>
    <x v="3"/>
    <x v="0"/>
    <n v="3"/>
    <x v="2"/>
    <s v="Kampala"/>
    <s v="Kampala"/>
    <s v="UGA"/>
    <n v="1"/>
    <s v="Home"/>
    <s v="Hoima"/>
    <s v="Hoima"/>
    <s v="UGA"/>
    <n v="1"/>
    <s v="Home"/>
    <x v="2"/>
    <n v="150000"/>
    <m/>
    <x v="4"/>
    <n v="4.5"/>
    <x v="0"/>
    <n v="6"/>
    <s v="Businessman"/>
    <n v="2"/>
    <x v="1"/>
    <n v="5"/>
    <n v="4"/>
    <n v="3"/>
    <n v="2"/>
    <n v="1"/>
    <s v="Y"/>
    <n v="4000"/>
    <x v="5"/>
  </r>
  <r>
    <d v="2019-10-27T00:00:00"/>
    <d v="1899-12-30T14:41:00"/>
    <m/>
    <s v="P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4"/>
    <s v="Commercial"/>
    <x v="12"/>
    <n v="4000"/>
    <n v="60"/>
    <x v="1"/>
    <n v="1"/>
    <x v="2"/>
    <n v="6"/>
    <s v="Businessman"/>
    <n v="1"/>
    <x v="2"/>
    <n v="3"/>
    <n v="5"/>
    <n v="4"/>
    <n v="2"/>
    <n v="1"/>
    <s v="Y"/>
    <n v="4000"/>
    <x v="5"/>
  </r>
  <r>
    <d v="2019-10-27T00:00:00"/>
    <d v="1899-12-30T12:09:00"/>
    <m/>
    <s v="P"/>
    <n v="2"/>
    <s v="Road Vehicle"/>
    <n v="4"/>
    <x v="3"/>
    <x v="1"/>
    <n v="3"/>
    <x v="2"/>
    <s v="Busujju"/>
    <s v="Wakiso"/>
    <s v="UGA"/>
    <n v="1"/>
    <s v="Home"/>
    <s v="Kabowa"/>
    <s v="Kampala"/>
    <s v="UGA"/>
    <n v="4"/>
    <s v="Commercial"/>
    <x v="12"/>
    <n v="6000"/>
    <n v="50"/>
    <x v="1"/>
    <n v="2"/>
    <x v="1"/>
    <n v="6"/>
    <s v="Businessman"/>
    <n v="2"/>
    <x v="1"/>
    <n v="3"/>
    <n v="4"/>
    <n v="2"/>
    <n v="5"/>
    <n v="1"/>
    <s v="Y"/>
    <m/>
    <x v="0"/>
  </r>
  <r>
    <d v="2019-10-27T00:00:00"/>
    <d v="1899-12-30T12:01:00"/>
    <m/>
    <s v="P"/>
    <n v="2"/>
    <s v="Road Vehicle"/>
    <n v="4"/>
    <x v="3"/>
    <x v="1"/>
    <n v="3"/>
    <x v="2"/>
    <s v="Kampala"/>
    <s v="Kampala"/>
    <s v="UGA"/>
    <n v="4"/>
    <s v="Commercial"/>
    <s v="Busujju"/>
    <s v="Wakiso"/>
    <s v="UGA"/>
    <n v="4"/>
    <s v="Commercial"/>
    <x v="13"/>
    <n v="30000"/>
    <m/>
    <x v="4"/>
    <n v="1.5"/>
    <x v="2"/>
    <n v="6"/>
    <s v="Businessman"/>
    <n v="4"/>
    <x v="3"/>
    <n v="3"/>
    <n v="2"/>
    <n v="1"/>
    <n v="5"/>
    <n v="4"/>
    <s v="Y"/>
    <m/>
    <x v="0"/>
  </r>
  <r>
    <d v="2019-10-28T00:00:00"/>
    <d v="1899-12-30T13:35:00"/>
    <m/>
    <s v="P"/>
    <n v="2"/>
    <s v="Road Vehicle"/>
    <n v="4"/>
    <x v="3"/>
    <x v="1"/>
    <n v="3"/>
    <x v="2"/>
    <s v="Busujju"/>
    <s v="Wakiso"/>
    <s v="UGA"/>
    <n v="1"/>
    <s v="Home"/>
    <s v="Hoima"/>
    <s v="Hoima"/>
    <s v="UGA"/>
    <n v="4"/>
    <s v="Commercial"/>
    <x v="12"/>
    <n v="12000"/>
    <m/>
    <x v="4"/>
    <n v="2"/>
    <x v="1"/>
    <n v="6"/>
    <s v="Businessman"/>
    <n v="4"/>
    <x v="3"/>
    <n v="5"/>
    <n v="1"/>
    <n v="4"/>
    <n v="2"/>
    <n v="3"/>
    <s v="Y"/>
    <m/>
    <x v="0"/>
  </r>
  <r>
    <d v="2019-10-28T00:00:00"/>
    <d v="1899-12-30T14:38:00"/>
    <m/>
    <s v="D"/>
    <n v="2"/>
    <s v="Road Vehicle"/>
    <n v="4"/>
    <x v="3"/>
    <x v="1"/>
    <n v="3"/>
    <x v="2"/>
    <s v="Kampala"/>
    <s v="Kampala"/>
    <s v="UGA"/>
    <n v="1"/>
    <s v="Home"/>
    <s v="Masindi"/>
    <s v="Masindi"/>
    <s v="UGA"/>
    <n v="4"/>
    <s v="Commercial"/>
    <x v="12"/>
    <n v="200000"/>
    <n v="400"/>
    <x v="3"/>
    <n v="6"/>
    <x v="0"/>
    <n v="6"/>
    <s v="Businessman"/>
    <n v="5"/>
    <x v="4"/>
    <n v="5"/>
    <n v="1"/>
    <n v="2"/>
    <n v="3"/>
    <n v="4"/>
    <s v="Y"/>
    <m/>
    <x v="0"/>
  </r>
  <r>
    <d v="2019-10-29T00:00:00"/>
    <d v="1899-12-30T13:45:00"/>
    <m/>
    <s v="D"/>
    <n v="2"/>
    <s v="Road Vehicle"/>
    <n v="4"/>
    <x v="3"/>
    <x v="1"/>
    <n v="3"/>
    <x v="2"/>
    <s v="Kampala"/>
    <s v="Kampala"/>
    <s v="UGA"/>
    <n v="1"/>
    <s v="Home"/>
    <s v="Kiboga"/>
    <s v="Kiboga"/>
    <s v="UGA"/>
    <n v="4"/>
    <s v="Commercial"/>
    <x v="12"/>
    <n v="260000"/>
    <m/>
    <x v="4"/>
    <n v="4"/>
    <x v="0"/>
    <n v="6"/>
    <s v="Businessman"/>
    <n v="5"/>
    <x v="4"/>
    <n v="2"/>
    <n v="1"/>
    <n v="3"/>
    <n v="4"/>
    <n v="5"/>
    <s v="Y"/>
    <m/>
    <x v="0"/>
  </r>
  <r>
    <d v="2019-10-27T00:00:00"/>
    <d v="1899-12-30T08:21:00"/>
    <m/>
    <s v="D"/>
    <n v="2"/>
    <s v="Road Vehicle"/>
    <n v="2"/>
    <x v="4"/>
    <x v="0"/>
    <n v="3"/>
    <x v="2"/>
    <s v="Busujju"/>
    <s v="Wakiso"/>
    <s v="UGA"/>
    <n v="4"/>
    <s v="Commercial"/>
    <s v="Kampala"/>
    <s v="Kampala"/>
    <s v="UGA"/>
    <n v="2"/>
    <s v="Work"/>
    <x v="20"/>
    <n v="150000"/>
    <n v="120"/>
    <x v="2"/>
    <n v="1"/>
    <x v="2"/>
    <n v="6"/>
    <s v="Businessman"/>
    <n v="4"/>
    <x v="3"/>
    <n v="1"/>
    <n v="4"/>
    <n v="5"/>
    <n v="2"/>
    <n v="3"/>
    <s v="Y"/>
    <n v="8000"/>
    <x v="2"/>
  </r>
  <r>
    <d v="2019-10-28T00:00:00"/>
    <d v="1899-12-30T10:27:00"/>
    <m/>
    <s v="D"/>
    <n v="2"/>
    <s v="Road Vehicle"/>
    <n v="4"/>
    <x v="3"/>
    <x v="1"/>
    <n v="3"/>
    <x v="2"/>
    <s v="Busujju"/>
    <s v="Wakiso"/>
    <s v="UGA"/>
    <n v="1"/>
    <s v="Home"/>
    <s v="Hoima"/>
    <s v="Hoima"/>
    <s v="UGA"/>
    <n v="1"/>
    <s v="Home"/>
    <x v="2"/>
    <n v="100000"/>
    <n v="200"/>
    <x v="3"/>
    <n v="2"/>
    <x v="1"/>
    <n v="7"/>
    <s v="Farmer"/>
    <n v="3"/>
    <x v="0"/>
    <n v="2"/>
    <n v="1"/>
    <n v="3"/>
    <n v="5"/>
    <n v="4"/>
    <s v="Y"/>
    <n v="500"/>
    <x v="0"/>
  </r>
  <r>
    <d v="2019-10-28T00:00:00"/>
    <d v="1899-12-30T08:23:00"/>
    <m/>
    <s v="P"/>
    <n v="2"/>
    <s v="Road Vehicle"/>
    <n v="4"/>
    <x v="3"/>
    <x v="1"/>
    <n v="3"/>
    <x v="2"/>
    <s v="Busujju"/>
    <s v="Wakiso"/>
    <s v="UGA"/>
    <n v="1"/>
    <s v="Home"/>
    <s v="Lyamatte"/>
    <s v="Lyamatte"/>
    <s v="UGA"/>
    <n v="2"/>
    <s v="Work"/>
    <x v="8"/>
    <n v="5000"/>
    <n v="120"/>
    <x v="2"/>
    <n v="1.5"/>
    <x v="2"/>
    <n v="7"/>
    <s v="Farmer"/>
    <n v="1"/>
    <x v="2"/>
    <n v="1"/>
    <n v="2"/>
    <n v="4"/>
    <n v="5"/>
    <n v="3"/>
    <s v="Y"/>
    <n v="2000"/>
    <x v="4"/>
  </r>
  <r>
    <d v="2019-10-27T00:00:00"/>
    <d v="1899-12-30T09:56:00"/>
    <m/>
    <s v="D"/>
    <n v="2"/>
    <s v="Road Vehicle"/>
    <n v="3"/>
    <x v="6"/>
    <x v="1"/>
    <n v="3"/>
    <x v="2"/>
    <s v="Busujju"/>
    <s v="Wakiso"/>
    <s v="UGA"/>
    <n v="4"/>
    <s v="Commercial"/>
    <s v="Ntwentwe"/>
    <s v="Ntwentwe"/>
    <s v="UGA"/>
    <n v="1"/>
    <s v="Home"/>
    <x v="0"/>
    <n v="90000"/>
    <n v="30"/>
    <x v="5"/>
    <n v="0.7"/>
    <x v="3"/>
    <n v="7"/>
    <s v="Farmer"/>
    <n v="4"/>
    <x v="3"/>
    <n v="1"/>
    <n v="2"/>
    <n v="3"/>
    <n v="4"/>
    <n v="5"/>
    <s v="Y"/>
    <n v="3000"/>
    <x v="5"/>
  </r>
  <r>
    <d v="2019-10-27T00:00:00"/>
    <d v="1899-12-30T13:36:00"/>
    <m/>
    <s v="P"/>
    <n v="2"/>
    <s v="Road Vehicle"/>
    <n v="4"/>
    <x v="3"/>
    <x v="0"/>
    <n v="3"/>
    <x v="2"/>
    <s v="Busujju"/>
    <s v="Wakiso"/>
    <s v="UGA"/>
    <n v="1"/>
    <s v="Home"/>
    <s v="Nalukwakula"/>
    <s v="Wakiso"/>
    <s v="UGA"/>
    <n v="2"/>
    <s v="Work"/>
    <x v="8"/>
    <n v="2000"/>
    <n v="5"/>
    <x v="4"/>
    <n v="0.5"/>
    <x v="3"/>
    <n v="2"/>
    <s v="Manual Labour"/>
    <n v="1"/>
    <x v="2"/>
    <n v="3"/>
    <n v="5"/>
    <n v="4"/>
    <n v="2"/>
    <n v="1"/>
    <s v="Y"/>
    <n v="2000"/>
    <x v="4"/>
  </r>
  <r>
    <d v="2019-10-27T00:00:00"/>
    <d v="1899-12-30T12:35:00"/>
    <m/>
    <s v="P"/>
    <n v="2"/>
    <s v="Road Vehicle"/>
    <n v="4"/>
    <x v="3"/>
    <x v="0"/>
    <n v="3"/>
    <x v="2"/>
    <s v="Gobero"/>
    <s v="Wakiso"/>
    <s v="UGA"/>
    <n v="1"/>
    <s v="Home"/>
    <s v="Kampala"/>
    <s v="Kampala"/>
    <s v="UGA"/>
    <n v="5"/>
    <s v="Tourism"/>
    <x v="24"/>
    <n v="4000"/>
    <n v="60"/>
    <x v="1"/>
    <n v="1"/>
    <x v="2"/>
    <n v="2"/>
    <s v="Manual Labour"/>
    <n v="1"/>
    <x v="2"/>
    <n v="3"/>
    <n v="2"/>
    <n v="1"/>
    <n v="4"/>
    <n v="5"/>
    <s v="Y"/>
    <n v="3000"/>
    <x v="5"/>
  </r>
  <r>
    <d v="2019-10-27T00:00:00"/>
    <d v="1899-12-30T11:15:00"/>
    <m/>
    <s v="P"/>
    <n v="2"/>
    <s v="Road Vehicle"/>
    <n v="4"/>
    <x v="3"/>
    <x v="0"/>
    <n v="3"/>
    <x v="2"/>
    <s v="Busujju"/>
    <s v="Wakiso"/>
    <s v="UGA"/>
    <n v="2"/>
    <s v="Work"/>
    <s v="Namayuba"/>
    <s v="Wakiso"/>
    <s v="UGA"/>
    <n v="8"/>
    <s v="Others"/>
    <x v="6"/>
    <n v="1000"/>
    <m/>
    <x v="4"/>
    <n v="0.2"/>
    <x v="4"/>
    <n v="2"/>
    <s v="Manual Labour"/>
    <n v="2"/>
    <x v="1"/>
    <n v="2"/>
    <n v="1"/>
    <n v="4"/>
    <n v="5"/>
    <n v="3"/>
    <s v="Y"/>
    <m/>
    <x v="0"/>
  </r>
  <r>
    <d v="2019-10-29T00:00:00"/>
    <d v="1899-12-30T10:26:00"/>
    <m/>
    <s v="P"/>
    <n v="2"/>
    <s v="Road Vehicle"/>
    <n v="4"/>
    <x v="3"/>
    <x v="0"/>
    <n v="3"/>
    <x v="2"/>
    <s v="Busujju"/>
    <s v="Wakiso"/>
    <s v="UGA"/>
    <n v="1"/>
    <s v="Home"/>
    <s v="Kampala"/>
    <s v="Kampala"/>
    <s v="UGA"/>
    <n v="2"/>
    <s v="Work"/>
    <x v="8"/>
    <n v="4000"/>
    <n v="34"/>
    <x v="5"/>
    <n v="2"/>
    <x v="1"/>
    <n v="2"/>
    <s v="Manual Labour"/>
    <n v="2"/>
    <x v="1"/>
    <n v="3"/>
    <n v="4"/>
    <n v="1"/>
    <n v="2"/>
    <n v="5"/>
    <s v="Y"/>
    <n v="3000"/>
    <x v="5"/>
  </r>
  <r>
    <d v="2019-10-27T00:00:00"/>
    <d v="1899-12-30T14:32:00"/>
    <m/>
    <s v="P"/>
    <n v="2"/>
    <s v="Road Vehicle"/>
    <n v="4"/>
    <x v="3"/>
    <x v="1"/>
    <n v="3"/>
    <x v="2"/>
    <s v="Busujju"/>
    <s v="Wakiso"/>
    <s v="UGA"/>
    <n v="1"/>
    <s v="Home"/>
    <s v="Old kla"/>
    <s v="Kampala"/>
    <s v="UGA"/>
    <n v="5"/>
    <s v="Tourism"/>
    <x v="24"/>
    <n v="4000"/>
    <n v="55"/>
    <x v="1"/>
    <n v="1.5"/>
    <x v="2"/>
    <n v="2"/>
    <s v="Manual Labour"/>
    <n v="2"/>
    <x v="1"/>
    <n v="3"/>
    <n v="2"/>
    <n v="5"/>
    <n v="4"/>
    <n v="1"/>
    <s v="Y"/>
    <n v="5000"/>
    <x v="2"/>
  </r>
  <r>
    <d v="2019-10-27T00:00:00"/>
    <d v="1899-12-30T08:39:00"/>
    <m/>
    <s v="D"/>
    <n v="2"/>
    <s v="Road Vehicle"/>
    <n v="4"/>
    <x v="3"/>
    <x v="1"/>
    <n v="3"/>
    <x v="2"/>
    <s v="Busujju"/>
    <s v="Wakiso"/>
    <s v="UGA"/>
    <n v="1"/>
    <s v="Home"/>
    <s v="Wakiso"/>
    <s v="Wakiso"/>
    <s v="UGA"/>
    <n v="2"/>
    <s v="Work"/>
    <x v="8"/>
    <n v="80000"/>
    <n v="85"/>
    <x v="0"/>
    <n v="2"/>
    <x v="1"/>
    <n v="2"/>
    <s v="Manual Labour"/>
    <n v="3"/>
    <x v="0"/>
    <n v="3"/>
    <n v="4"/>
    <n v="1"/>
    <n v="2"/>
    <n v="5"/>
    <s v="Y"/>
    <m/>
    <x v="0"/>
  </r>
  <r>
    <d v="2019-10-27T00:00:00"/>
    <d v="1899-12-30T09:21:00"/>
    <m/>
    <s v="P"/>
    <n v="2"/>
    <s v="Road Vehicle"/>
    <n v="4"/>
    <x v="3"/>
    <x v="1"/>
    <n v="3"/>
    <x v="2"/>
    <s v="Busujju"/>
    <s v="Wakiso"/>
    <s v="UGA"/>
    <n v="1"/>
    <s v="Home"/>
    <s v="Mityana"/>
    <s v="Mityana"/>
    <s v="UGA"/>
    <n v="6"/>
    <s v="Leisure/Social"/>
    <x v="3"/>
    <n v="10000"/>
    <n v="120"/>
    <x v="2"/>
    <n v="1.5"/>
    <x v="2"/>
    <n v="2"/>
    <s v="Manual Labour"/>
    <n v="2"/>
    <x v="1"/>
    <n v="3"/>
    <n v="5"/>
    <n v="4"/>
    <n v="2"/>
    <n v="1"/>
    <s v="Y"/>
    <n v="7000"/>
    <x v="2"/>
  </r>
  <r>
    <d v="2019-10-28T00:00:00"/>
    <d v="1899-12-30T17:47:00"/>
    <m/>
    <s v="P"/>
    <n v="2"/>
    <s v="Road Vehicle"/>
    <n v="4"/>
    <x v="3"/>
    <x v="1"/>
    <n v="3"/>
    <x v="2"/>
    <s v="Busujju"/>
    <s v="Wakiso"/>
    <s v="UGA"/>
    <n v="1"/>
    <s v="Home"/>
    <s v="Luzira"/>
    <s v="Kampala"/>
    <s v="UGA"/>
    <n v="5"/>
    <s v="Tourism"/>
    <x v="24"/>
    <n v="6000"/>
    <n v="45"/>
    <x v="1"/>
    <n v="2"/>
    <x v="1"/>
    <n v="2"/>
    <s v="Manual Labour"/>
    <n v="2"/>
    <x v="1"/>
    <n v="3"/>
    <n v="5"/>
    <n v="1"/>
    <n v="2"/>
    <n v="4"/>
    <s v="Y"/>
    <n v="3000"/>
    <x v="5"/>
  </r>
  <r>
    <d v="2019-10-28T00:00:00"/>
    <d v="1899-12-30T16:00:00"/>
    <m/>
    <s v="P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5"/>
    <s v="Tourism"/>
    <x v="24"/>
    <n v="4000"/>
    <n v="34"/>
    <x v="5"/>
    <n v="1"/>
    <x v="2"/>
    <n v="2"/>
    <s v="Manual Labour"/>
    <n v="2"/>
    <x v="1"/>
    <n v="3"/>
    <n v="5"/>
    <n v="4"/>
    <n v="1"/>
    <n v="2"/>
    <s v="Y"/>
    <n v="2000"/>
    <x v="4"/>
  </r>
  <r>
    <d v="2019-10-28T00:00:00"/>
    <d v="1899-12-30T08:31:00"/>
    <m/>
    <s v="P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6"/>
    <s v="Leisure/Social"/>
    <x v="3"/>
    <n v="4000"/>
    <n v="60"/>
    <x v="1"/>
    <n v="1.5"/>
    <x v="2"/>
    <n v="2"/>
    <s v="Manual Labour"/>
    <n v="2"/>
    <x v="1"/>
    <n v="3"/>
    <n v="5"/>
    <n v="2"/>
    <n v="1"/>
    <n v="4"/>
    <s v="Y"/>
    <n v="1000"/>
    <x v="1"/>
  </r>
  <r>
    <d v="2019-10-29T00:00:00"/>
    <d v="1899-12-30T11:47:00"/>
    <m/>
    <s v="P"/>
    <n v="2"/>
    <s v="Road Vehicle"/>
    <n v="4"/>
    <x v="3"/>
    <x v="1"/>
    <n v="3"/>
    <x v="2"/>
    <s v="Busujju"/>
    <s v="Wakiso"/>
    <s v="UGA"/>
    <n v="1"/>
    <s v="Home"/>
    <s v="Ssekanyonyi"/>
    <s v="Wakiso"/>
    <s v="UGA"/>
    <n v="6"/>
    <s v="Leisure/Social"/>
    <x v="3"/>
    <n v="3000"/>
    <m/>
    <x v="4"/>
    <n v="1.5"/>
    <x v="2"/>
    <n v="2"/>
    <s v="Manual Labour"/>
    <n v="1"/>
    <x v="2"/>
    <n v="3"/>
    <n v="2"/>
    <n v="5"/>
    <n v="1"/>
    <n v="4"/>
    <s v="Y"/>
    <n v="3000"/>
    <x v="5"/>
  </r>
  <r>
    <d v="2019-10-29T00:00:00"/>
    <d v="1899-12-30T14:54:00"/>
    <m/>
    <s v="P"/>
    <n v="2"/>
    <s v="Road Vehicle"/>
    <n v="4"/>
    <x v="3"/>
    <x v="1"/>
    <n v="3"/>
    <x v="2"/>
    <s v="Busujju"/>
    <s v="Wakiso"/>
    <s v="UGA"/>
    <n v="1"/>
    <s v="Home"/>
    <s v="Miika"/>
    <s v="Wakiso"/>
    <s v="UGA"/>
    <n v="2"/>
    <s v="Work"/>
    <x v="8"/>
    <n v="500"/>
    <m/>
    <x v="4"/>
    <n v="0.2"/>
    <x v="4"/>
    <n v="2"/>
    <s v="Manual Labour"/>
    <n v="1"/>
    <x v="2"/>
    <n v="3"/>
    <n v="1"/>
    <n v="2"/>
    <n v="4"/>
    <n v="5"/>
    <s v="Y"/>
    <n v="5000"/>
    <x v="2"/>
  </r>
  <r>
    <d v="2019-10-29T00:00:00"/>
    <d v="1899-12-30T08:26:00"/>
    <m/>
    <s v="P"/>
    <n v="2"/>
    <s v="Road Vehicle"/>
    <n v="4"/>
    <x v="3"/>
    <x v="1"/>
    <n v="3"/>
    <x v="2"/>
    <s v="Busujju"/>
    <s v="Wakiso"/>
    <s v="UGA"/>
    <n v="1"/>
    <s v="Home"/>
    <s v="Kyankwanzi"/>
    <s v="Kyankwanzi"/>
    <s v="UGA"/>
    <n v="8"/>
    <s v="Others"/>
    <x v="4"/>
    <n v="10000"/>
    <m/>
    <x v="4"/>
    <n v="2.5"/>
    <x v="1"/>
    <n v="2"/>
    <s v="Manual Labour"/>
    <n v="1"/>
    <x v="2"/>
    <n v="5"/>
    <n v="1"/>
    <n v="2"/>
    <n v="3"/>
    <n v="4"/>
    <s v="Y"/>
    <n v="1000"/>
    <x v="1"/>
  </r>
  <r>
    <d v="2019-10-28T00:00:00"/>
    <d v="1899-12-30T18:09:00"/>
    <m/>
    <s v="P"/>
    <n v="2"/>
    <s v="Road Vehicle"/>
    <n v="4"/>
    <x v="3"/>
    <x v="1"/>
    <n v="3"/>
    <x v="2"/>
    <s v="Busujju"/>
    <s v="Wakiso"/>
    <s v="UGA"/>
    <n v="2"/>
    <s v="Work"/>
    <s v="Kakiri"/>
    <s v="Wakiso"/>
    <s v="UGA"/>
    <n v="1"/>
    <s v="Home"/>
    <x v="1"/>
    <n v="2000"/>
    <m/>
    <x v="4"/>
    <n v="0.5"/>
    <x v="3"/>
    <n v="4"/>
    <s v="Office Worker"/>
    <n v="3"/>
    <x v="0"/>
    <n v="5"/>
    <n v="4"/>
    <n v="3"/>
    <n v="1"/>
    <n v="2"/>
    <s v="Y"/>
    <n v="3000"/>
    <x v="5"/>
  </r>
  <r>
    <d v="2019-10-27T00:00:00"/>
    <d v="1899-12-30T15:38:00"/>
    <m/>
    <s v="P"/>
    <n v="2"/>
    <s v="Road Vehicle"/>
    <n v="1"/>
    <x v="0"/>
    <x v="1"/>
    <n v="3"/>
    <x v="2"/>
    <s v="Busujju"/>
    <s v="Wakiso"/>
    <s v="UGA"/>
    <n v="4"/>
    <s v="Commercial"/>
    <s v="Mityana"/>
    <s v="Mityana"/>
    <s v="UGA"/>
    <n v="4"/>
    <s v="Commercial"/>
    <x v="13"/>
    <n v="20000"/>
    <m/>
    <x v="4"/>
    <n v="1"/>
    <x v="2"/>
    <n v="10"/>
    <s v="Other"/>
    <n v="3"/>
    <x v="0"/>
    <n v="1"/>
    <n v="3"/>
    <n v="2"/>
    <n v="5"/>
    <n v="4"/>
    <s v="Y"/>
    <m/>
    <x v="0"/>
  </r>
  <r>
    <d v="2019-10-27T00:00:00"/>
    <d v="1899-12-30T07:38:00"/>
    <m/>
    <s v="D"/>
    <n v="2"/>
    <s v="Road Vehicle"/>
    <n v="7"/>
    <x v="2"/>
    <x v="1"/>
    <n v="3"/>
    <x v="2"/>
    <s v="Busujju"/>
    <s v="Wakiso"/>
    <s v="UGA"/>
    <n v="2"/>
    <s v="Work"/>
    <s v="Busujju"/>
    <s v="Wakiso"/>
    <s v="UGA"/>
    <n v="4"/>
    <s v="Commercial"/>
    <x v="21"/>
    <n v="100000"/>
    <n v="120"/>
    <x v="2"/>
    <n v="1"/>
    <x v="2"/>
    <n v="10"/>
    <s v="Other"/>
    <n v="3"/>
    <x v="0"/>
    <n v="1"/>
    <n v="2"/>
    <n v="3"/>
    <n v="4"/>
    <n v="5"/>
    <s v="Y"/>
    <n v="2000"/>
    <x v="4"/>
  </r>
  <r>
    <d v="2019-10-27T00:00:00"/>
    <d v="1899-12-30T18:32:00"/>
    <m/>
    <s v="D"/>
    <n v="2"/>
    <s v="Road Vehicle"/>
    <n v="8"/>
    <x v="8"/>
    <x v="1"/>
    <n v="3"/>
    <x v="2"/>
    <s v="Busujju"/>
    <s v="Wakiso"/>
    <s v="UGA"/>
    <n v="3"/>
    <s v="Study"/>
    <s v="Kampala"/>
    <s v="Kampala"/>
    <s v="UGA"/>
    <n v="4"/>
    <s v="Commercial"/>
    <x v="25"/>
    <n v="100000"/>
    <n v="114"/>
    <x v="2"/>
    <n v="1"/>
    <x v="2"/>
    <n v="10"/>
    <s v="Other"/>
    <n v="4"/>
    <x v="3"/>
    <n v="2"/>
    <n v="1"/>
    <n v="3"/>
    <n v="5"/>
    <n v="4"/>
    <s v="Y"/>
    <n v="2000"/>
    <x v="4"/>
  </r>
  <r>
    <d v="2019-10-27T00:00:00"/>
    <d v="1899-12-30T08:51:00"/>
    <m/>
    <s v="D"/>
    <n v="2"/>
    <s v="Road Vehicle"/>
    <n v="4"/>
    <x v="3"/>
    <x v="1"/>
    <n v="3"/>
    <x v="2"/>
    <s v="Busujju"/>
    <s v="Wakiso"/>
    <s v="UGA"/>
    <n v="2"/>
    <s v="Work"/>
    <s v="Kampala"/>
    <s v="Kampala"/>
    <s v="UGA"/>
    <n v="2"/>
    <s v="Work"/>
    <x v="5"/>
    <n v="40000"/>
    <n v="114"/>
    <x v="2"/>
    <n v="1"/>
    <x v="2"/>
    <n v="10"/>
    <s v="Other"/>
    <n v="3"/>
    <x v="0"/>
    <n v="1"/>
    <n v="2"/>
    <n v="3"/>
    <n v="4"/>
    <n v="5"/>
    <s v="Y"/>
    <n v="3000"/>
    <x v="5"/>
  </r>
  <r>
    <d v="2019-10-27T00:00:00"/>
    <d v="1899-12-30T14:12:00"/>
    <m/>
    <s v="P"/>
    <n v="2"/>
    <s v="Road Vehicle"/>
    <n v="4"/>
    <x v="3"/>
    <x v="1"/>
    <n v="3"/>
    <x v="2"/>
    <s v="Hoima"/>
    <s v="Hoima"/>
    <s v="UGA"/>
    <n v="4"/>
    <s v="Commercial"/>
    <s v="Kampala"/>
    <s v="Kampala"/>
    <s v="UGA"/>
    <n v="4"/>
    <s v="Commercial"/>
    <x v="13"/>
    <n v="200000"/>
    <m/>
    <x v="4"/>
    <n v="3.5"/>
    <x v="0"/>
    <n v="10"/>
    <s v="Other"/>
    <n v="4"/>
    <x v="3"/>
    <n v="2"/>
    <n v="1"/>
    <n v="3"/>
    <n v="4"/>
    <n v="5"/>
    <s v="Y"/>
    <m/>
    <x v="0"/>
  </r>
  <r>
    <d v="2019-10-28T00:00:00"/>
    <d v="1899-12-30T15:01:00"/>
    <s v=" "/>
    <s v="D"/>
    <n v="2"/>
    <s v="Road Vehicle"/>
    <n v="4"/>
    <x v="3"/>
    <x v="1"/>
    <n v="3"/>
    <x v="2"/>
    <s v="Busujju"/>
    <s v="Wakiso"/>
    <s v="UGA"/>
    <n v="4"/>
    <s v="Commercial"/>
    <s v="Kampala"/>
    <s v="Kampala"/>
    <s v="UGA"/>
    <n v="4"/>
    <s v="Commercial"/>
    <x v="13"/>
    <n v="50000"/>
    <n v="56.3"/>
    <x v="1"/>
    <n v="2"/>
    <x v="1"/>
    <n v="10"/>
    <s v="Other"/>
    <n v="5"/>
    <x v="4"/>
    <n v="3"/>
    <n v="2"/>
    <n v="1"/>
    <n v="4"/>
    <n v="5"/>
    <s v="Y"/>
    <n v="1000"/>
    <x v="1"/>
  </r>
  <r>
    <d v="2019-10-28T00:00:00"/>
    <d v="1899-12-30T09:15:00"/>
    <m/>
    <s v="D"/>
    <n v="2"/>
    <s v="Road Vehicle"/>
    <n v="4"/>
    <x v="3"/>
    <x v="1"/>
    <n v="3"/>
    <x v="2"/>
    <s v="Hoima"/>
    <s v="Hoima"/>
    <s v="UGA"/>
    <n v="4"/>
    <s v="Commercial"/>
    <s v="Kampala"/>
    <s v="Kampala"/>
    <s v="UGA"/>
    <n v="4"/>
    <s v="Commercial"/>
    <x v="13"/>
    <n v="170000"/>
    <m/>
    <x v="4"/>
    <n v="4"/>
    <x v="0"/>
    <n v="10"/>
    <s v="Other"/>
    <n v="4"/>
    <x v="3"/>
    <n v="3"/>
    <n v="1"/>
    <n v="4"/>
    <n v="2"/>
    <n v="5"/>
    <s v="Y"/>
    <m/>
    <x v="0"/>
  </r>
  <r>
    <d v="2019-10-28T00:00:00"/>
    <d v="1899-12-30T15:45:00"/>
    <m/>
    <s v="D"/>
    <n v="2"/>
    <s v="Road Vehicle"/>
    <n v="4"/>
    <x v="3"/>
    <x v="1"/>
    <n v="3"/>
    <x v="2"/>
    <s v="Busujju"/>
    <s v="Wakiso"/>
    <s v="UGA"/>
    <n v="4"/>
    <s v="Commercial"/>
    <s v="Kampala"/>
    <s v="Kampala"/>
    <s v="UGA"/>
    <n v="4"/>
    <s v="Commercial"/>
    <x v="13"/>
    <n v="50000"/>
    <m/>
    <x v="4"/>
    <n v="2"/>
    <x v="1"/>
    <n v="10"/>
    <s v="Other"/>
    <n v="2"/>
    <x v="1"/>
    <n v="4"/>
    <n v="2"/>
    <n v="1"/>
    <n v="3"/>
    <n v="5"/>
    <s v="Y"/>
    <m/>
    <x v="0"/>
  </r>
  <r>
    <d v="2019-10-28T00:00:00"/>
    <d v="1899-12-30T09:58:00"/>
    <m/>
    <s v="D"/>
    <n v="2"/>
    <s v="Road Vehicle"/>
    <n v="4"/>
    <x v="3"/>
    <x v="1"/>
    <n v="3"/>
    <x v="2"/>
    <s v="Busujju"/>
    <s v="Wakiso"/>
    <s v="UGA"/>
    <n v="2"/>
    <s v="Work"/>
    <s v="Miika"/>
    <s v="Wakiso"/>
    <s v="UGA"/>
    <n v="2"/>
    <s v="Work"/>
    <x v="5"/>
    <n v="30000"/>
    <m/>
    <x v="4"/>
    <n v="2"/>
    <x v="1"/>
    <n v="10"/>
    <s v="Other"/>
    <n v="2"/>
    <x v="1"/>
    <n v="5"/>
    <n v="4"/>
    <n v="3"/>
    <n v="1"/>
    <n v="2"/>
    <s v="Y"/>
    <n v="30000"/>
    <x v="3"/>
  </r>
  <r>
    <d v="2019-10-28T00:00:00"/>
    <d v="1899-12-30T10:54:00"/>
    <m/>
    <s v="D"/>
    <n v="2"/>
    <s v="Road Vehicle"/>
    <n v="4"/>
    <x v="3"/>
    <x v="1"/>
    <n v="3"/>
    <x v="2"/>
    <s v="Busujju"/>
    <s v="Wakiso"/>
    <s v="UGA"/>
    <n v="4"/>
    <s v="Commercial"/>
    <s v="Kampala"/>
    <s v="Kampala"/>
    <s v="UGA"/>
    <n v="4"/>
    <s v="Commercial"/>
    <x v="13"/>
    <n v="55000"/>
    <m/>
    <x v="4"/>
    <n v="0.7"/>
    <x v="3"/>
    <n v="10"/>
    <s v="Other"/>
    <n v="4"/>
    <x v="3"/>
    <n v="5"/>
    <n v="1"/>
    <n v="2"/>
    <n v="3"/>
    <n v="4"/>
    <s v="Y"/>
    <m/>
    <x v="0"/>
  </r>
  <r>
    <d v="2019-10-29T00:00:00"/>
    <d v="1899-12-30T10:11:00"/>
    <m/>
    <s v="D"/>
    <n v="2"/>
    <s v="Road Vehicle"/>
    <n v="4"/>
    <x v="3"/>
    <x v="1"/>
    <n v="3"/>
    <x v="2"/>
    <s v="Kalege"/>
    <s v="Nakaseke"/>
    <s v="UGA"/>
    <n v="4"/>
    <s v="Commercial"/>
    <s v="Matte"/>
    <s v="Wakiso"/>
    <s v="UGA"/>
    <n v="4"/>
    <s v="Commercial"/>
    <x v="13"/>
    <n v="30000"/>
    <m/>
    <x v="4"/>
    <n v="3"/>
    <x v="1"/>
    <n v="10"/>
    <s v="Other"/>
    <n v="5"/>
    <x v="4"/>
    <n v="2"/>
    <n v="5"/>
    <n v="1"/>
    <n v="3"/>
    <n v="4"/>
    <s v="Y"/>
    <n v="5000"/>
    <x v="2"/>
  </r>
  <r>
    <d v="2019-10-29T00:00:00"/>
    <d v="1899-12-30T10:33:00"/>
    <m/>
    <s v="D"/>
    <n v="2"/>
    <s v="Road Vehicle"/>
    <n v="4"/>
    <x v="3"/>
    <x v="1"/>
    <n v="3"/>
    <x v="2"/>
    <s v="Kakiri"/>
    <s v="Wakiso"/>
    <s v="UGA"/>
    <n v="1"/>
    <s v="Home"/>
    <s v="Matte"/>
    <s v="Wakiso"/>
    <s v="UGA"/>
    <n v="4"/>
    <s v="Commercial"/>
    <x v="12"/>
    <n v="80000"/>
    <m/>
    <x v="4"/>
    <n v="2"/>
    <x v="1"/>
    <n v="10"/>
    <s v="Other"/>
    <n v="5"/>
    <x v="4"/>
    <n v="2"/>
    <n v="1"/>
    <n v="3"/>
    <n v="4"/>
    <n v="5"/>
    <s v="Y"/>
    <n v="1000"/>
    <x v="1"/>
  </r>
  <r>
    <d v="2019-10-29T00:00:00"/>
    <d v="1899-12-30T11:55:00"/>
    <m/>
    <s v="D"/>
    <n v="2"/>
    <s v="Road Vehicle"/>
    <n v="4"/>
    <x v="3"/>
    <x v="1"/>
    <n v="3"/>
    <x v="2"/>
    <s v="Kampala"/>
    <s v="Kampala"/>
    <s v="UGA"/>
    <n v="4"/>
    <s v="Commercial"/>
    <s v="Kyankwanzi"/>
    <s v="Kyankwanzi"/>
    <s v="UGA"/>
    <n v="4"/>
    <s v="Commercial"/>
    <x v="13"/>
    <n v="80000"/>
    <m/>
    <x v="4"/>
    <n v="2"/>
    <x v="1"/>
    <n v="10"/>
    <s v="Other"/>
    <n v="4"/>
    <x v="3"/>
    <n v="5"/>
    <n v="3"/>
    <n v="2"/>
    <n v="1"/>
    <n v="4"/>
    <s v="Y"/>
    <m/>
    <x v="0"/>
  </r>
  <r>
    <d v="2019-10-29T00:00:00"/>
    <d v="1899-12-30T12:03:00"/>
    <m/>
    <s v="D"/>
    <n v="2"/>
    <s v="Road Vehicle"/>
    <n v="4"/>
    <x v="3"/>
    <x v="1"/>
    <n v="3"/>
    <x v="2"/>
    <s v="Kampala"/>
    <s v="Kampala"/>
    <s v="UGA"/>
    <n v="4"/>
    <s v="Commercial"/>
    <s v="Hoima"/>
    <s v="Hoima"/>
    <s v="UGA"/>
    <n v="4"/>
    <s v="Commercial"/>
    <x v="13"/>
    <n v="100000"/>
    <m/>
    <x v="4"/>
    <n v="4"/>
    <x v="0"/>
    <n v="10"/>
    <s v="Other"/>
    <n v="5"/>
    <x v="4"/>
    <n v="5"/>
    <n v="3"/>
    <n v="1"/>
    <n v="2"/>
    <n v="4"/>
    <s v="Y"/>
    <n v="3000"/>
    <x v="5"/>
  </r>
  <r>
    <d v="2019-10-29T00:00:00"/>
    <d v="1899-12-30T10:55:00"/>
    <m/>
    <s v="D"/>
    <n v="2"/>
    <s v="Road Vehicle"/>
    <n v="4"/>
    <x v="3"/>
    <x v="1"/>
    <n v="3"/>
    <x v="2"/>
    <s v="Busujju"/>
    <s v="Wakiso"/>
    <s v="UGA"/>
    <n v="4"/>
    <s v="Commercial"/>
    <s v="Mityana"/>
    <s v="Mityana"/>
    <s v="UGA"/>
    <n v="4"/>
    <s v="Commercial"/>
    <x v="13"/>
    <m/>
    <m/>
    <x v="4"/>
    <n v="1"/>
    <x v="2"/>
    <n v="10"/>
    <s v="Other"/>
    <n v="3"/>
    <x v="0"/>
    <n v="5"/>
    <n v="4"/>
    <n v="1"/>
    <n v="3"/>
    <n v="2"/>
    <s v="Y"/>
    <m/>
    <x v="0"/>
  </r>
  <r>
    <d v="2019-10-29T00:00:00"/>
    <d v="1899-12-30T15:10:00"/>
    <m/>
    <s v="D"/>
    <n v="2"/>
    <s v="Road Vehicle"/>
    <n v="4"/>
    <x v="3"/>
    <x v="1"/>
    <n v="3"/>
    <x v="2"/>
    <s v="Kampala"/>
    <s v="Kampala"/>
    <s v="UGA"/>
    <n v="2"/>
    <s v="Work"/>
    <s v="Hoima"/>
    <s v="Hoima"/>
    <s v="UGA"/>
    <n v="2"/>
    <s v="Work"/>
    <x v="5"/>
    <n v="470000"/>
    <n v="225"/>
    <x v="3"/>
    <n v="6"/>
    <x v="0"/>
    <n v="10"/>
    <s v="Other"/>
    <n v="5"/>
    <x v="4"/>
    <n v="1"/>
    <n v="2"/>
    <n v="4"/>
    <n v="3"/>
    <n v="5"/>
    <s v="Y"/>
    <n v="1000"/>
    <x v="1"/>
  </r>
  <r>
    <d v="2019-10-29T00:00:00"/>
    <d v="1899-12-30T16:25:00"/>
    <m/>
    <s v="D"/>
    <n v="2"/>
    <s v="Road Vehicle"/>
    <n v="4"/>
    <x v="3"/>
    <x v="1"/>
    <n v="3"/>
    <x v="2"/>
    <s v="Busujju"/>
    <s v="Wakiso"/>
    <s v="UGA"/>
    <n v="4"/>
    <s v="Commercial"/>
    <s v="Kampala"/>
    <s v="Kampala"/>
    <s v="UGA"/>
    <n v="4"/>
    <s v="Commercial"/>
    <x v="13"/>
    <n v="50000"/>
    <m/>
    <x v="4"/>
    <n v="2"/>
    <x v="1"/>
    <n v="10"/>
    <s v="Other"/>
    <n v="3"/>
    <x v="0"/>
    <n v="5"/>
    <n v="1"/>
    <n v="2"/>
    <n v="3"/>
    <n v="4"/>
    <s v="Y"/>
    <n v="5000"/>
    <x v="2"/>
  </r>
  <r>
    <d v="2019-10-27T00:00:00"/>
    <d v="1899-12-30T10:29:00"/>
    <m/>
    <s v="D"/>
    <n v="2"/>
    <s v="Road Vehicle"/>
    <n v="9"/>
    <x v="9"/>
    <x v="1"/>
    <n v="3"/>
    <x v="2"/>
    <s v="Busujju"/>
    <s v="Wakiso"/>
    <s v="UGA"/>
    <n v="2"/>
    <s v="Work"/>
    <m/>
    <m/>
    <s v="UGA"/>
    <n v="4"/>
    <s v="Commercial"/>
    <x v="21"/>
    <n v="200000"/>
    <m/>
    <x v="4"/>
    <m/>
    <x v="4"/>
    <n v="5"/>
    <s v="Professional"/>
    <n v="4"/>
    <x v="3"/>
    <n v="2"/>
    <n v="3"/>
    <n v="1"/>
    <n v="5"/>
    <n v="4"/>
    <s v="Y"/>
    <n v="2000"/>
    <x v="4"/>
  </r>
  <r>
    <d v="2019-10-28T00:00:00"/>
    <d v="1899-12-30T13:47:00"/>
    <m/>
    <s v="P"/>
    <n v="2"/>
    <s v="Road Vehicle"/>
    <n v="4"/>
    <x v="3"/>
    <x v="0"/>
    <n v="3"/>
    <x v="2"/>
    <s v="Kyankwanzi"/>
    <s v="Kyankwanzi"/>
    <s v="UGA"/>
    <n v="2"/>
    <s v="Work"/>
    <s v="Busujju"/>
    <s v="Wakiso"/>
    <s v="UGA"/>
    <n v="8"/>
    <s v="Others"/>
    <x v="6"/>
    <n v="8000"/>
    <m/>
    <x v="4"/>
    <n v="1.5"/>
    <x v="2"/>
    <n v="5"/>
    <s v="Professional"/>
    <n v="4"/>
    <x v="3"/>
    <n v="2"/>
    <n v="1"/>
    <n v="3"/>
    <n v="4"/>
    <n v="5"/>
    <s v="Y"/>
    <m/>
    <x v="0"/>
  </r>
  <r>
    <d v="2019-10-27T00:00:00"/>
    <d v="1899-12-30T09:14:00"/>
    <m/>
    <s v="P"/>
    <n v="1"/>
    <s v="Walking/Cycling"/>
    <n v="4"/>
    <x v="3"/>
    <x v="1"/>
    <n v="3"/>
    <x v="2"/>
    <s v="Busujju"/>
    <s v="Wakiso"/>
    <s v="UGA"/>
    <n v="1"/>
    <s v="Home"/>
    <s v="Ntwentwe"/>
    <s v="Kyankwanzi"/>
    <s v="UGA"/>
    <n v="2"/>
    <s v="Work"/>
    <x v="8"/>
    <n v="80000"/>
    <n v="90"/>
    <x v="0"/>
    <n v="2"/>
    <x v="1"/>
    <n v="5"/>
    <s v="Professional"/>
    <n v="4"/>
    <x v="3"/>
    <n v="3"/>
    <n v="1"/>
    <n v="5"/>
    <n v="2"/>
    <n v="4"/>
    <s v="Y"/>
    <n v="3000"/>
    <x v="5"/>
  </r>
  <r>
    <d v="2019-10-27T00:00:00"/>
    <d v="1899-12-30T13:45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0"/>
    <n v="53"/>
    <x v="1"/>
    <n v="1.5"/>
    <x v="2"/>
    <n v="5"/>
    <s v="Professional"/>
    <n v="4"/>
    <x v="3"/>
    <n v="3"/>
    <n v="5"/>
    <n v="1"/>
    <n v="2"/>
    <n v="4"/>
    <s v="Y"/>
    <m/>
    <x v="0"/>
  </r>
  <r>
    <d v="2019-10-27T00:00:00"/>
    <d v="1899-12-30T10:31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0"/>
    <n v="55"/>
    <x v="1"/>
    <n v="1"/>
    <x v="2"/>
    <n v="5"/>
    <s v="Professional"/>
    <n v="4"/>
    <x v="3"/>
    <n v="3"/>
    <n v="5"/>
    <n v="4"/>
    <n v="2"/>
    <n v="1"/>
    <s v="Y"/>
    <n v="4000"/>
    <x v="5"/>
  </r>
  <r>
    <d v="2019-10-27T00:00:00"/>
    <d v="1899-12-30T10:02:00"/>
    <m/>
    <s v="D"/>
    <n v="2"/>
    <s v="Road Vehicle"/>
    <n v="4"/>
    <x v="3"/>
    <x v="1"/>
    <n v="3"/>
    <x v="2"/>
    <s v="Busujju"/>
    <s v="Wakiso"/>
    <s v="UGA"/>
    <n v="1"/>
    <s v="Home"/>
    <s v="Ntwentwe"/>
    <s v="Kyankwanzi"/>
    <s v="UGA"/>
    <n v="2"/>
    <s v="Work"/>
    <x v="8"/>
    <n v="70000"/>
    <n v="93"/>
    <x v="0"/>
    <n v="2"/>
    <x v="1"/>
    <n v="5"/>
    <s v="Professional"/>
    <n v="4"/>
    <x v="3"/>
    <n v="3"/>
    <n v="1"/>
    <n v="2"/>
    <n v="5"/>
    <n v="4"/>
    <s v="Y"/>
    <n v="5000"/>
    <x v="2"/>
  </r>
  <r>
    <d v="2019-10-27T00:00:00"/>
    <d v="1899-12-30T09:32:00"/>
    <m/>
    <s v="D"/>
    <n v="2"/>
    <s v="Road Vehicle"/>
    <n v="4"/>
    <x v="3"/>
    <x v="1"/>
    <n v="3"/>
    <x v="2"/>
    <s v="Busujju"/>
    <s v="Wakiso"/>
    <s v="UGA"/>
    <n v="1"/>
    <s v="Home"/>
    <s v="Kakiri"/>
    <s v="Wakiso"/>
    <s v="UGA"/>
    <n v="2"/>
    <s v="Work"/>
    <x v="8"/>
    <n v="40000"/>
    <n v="20"/>
    <x v="5"/>
    <n v="0.5"/>
    <x v="3"/>
    <n v="5"/>
    <s v="Professional"/>
    <n v="3"/>
    <x v="0"/>
    <n v="3"/>
    <n v="4"/>
    <n v="5"/>
    <n v="1"/>
    <n v="2"/>
    <s v="Y"/>
    <n v="5000"/>
    <x v="2"/>
  </r>
  <r>
    <d v="2019-10-27T00:00:00"/>
    <d v="1899-12-30T15:41:00"/>
    <m/>
    <s v="D"/>
    <n v="2"/>
    <s v="Road Vehicle"/>
    <n v="4"/>
    <x v="3"/>
    <x v="1"/>
    <n v="3"/>
    <x v="2"/>
    <s v="Busujju"/>
    <s v="Wakiso"/>
    <s v="UGA"/>
    <n v="1"/>
    <s v="Home"/>
    <s v="Old kla"/>
    <s v="Kampala"/>
    <s v="UGA"/>
    <n v="2"/>
    <s v="Work"/>
    <x v="8"/>
    <n v="50000"/>
    <n v="37"/>
    <x v="5"/>
    <n v="1"/>
    <x v="2"/>
    <n v="5"/>
    <s v="Professional"/>
    <n v="4"/>
    <x v="3"/>
    <n v="3"/>
    <n v="4"/>
    <n v="1"/>
    <n v="5"/>
    <n v="2"/>
    <s v="Y"/>
    <n v="5000"/>
    <x v="2"/>
  </r>
  <r>
    <d v="2019-10-27T00:00:00"/>
    <d v="1899-12-30T11:41:00"/>
    <m/>
    <s v="P"/>
    <n v="2"/>
    <s v="Road Vehicle"/>
    <n v="4"/>
    <x v="3"/>
    <x v="1"/>
    <n v="3"/>
    <x v="2"/>
    <s v="Kiboga"/>
    <s v="Kiboga"/>
    <s v="UGA"/>
    <n v="2"/>
    <s v="Work"/>
    <s v="Busujju"/>
    <s v="Wakiso"/>
    <s v="UGA"/>
    <n v="8"/>
    <s v="Others"/>
    <x v="6"/>
    <n v="5000"/>
    <m/>
    <x v="4"/>
    <n v="0.75"/>
    <x v="3"/>
    <n v="5"/>
    <s v="Professional"/>
    <n v="4"/>
    <x v="3"/>
    <n v="1"/>
    <n v="4"/>
    <n v="2"/>
    <n v="3"/>
    <n v="5"/>
    <s v="Y"/>
    <m/>
    <x v="0"/>
  </r>
  <r>
    <d v="2019-10-28T00:00:00"/>
    <d v="1899-12-30T08:45:00"/>
    <m/>
    <s v="P"/>
    <n v="2"/>
    <s v="Road Vehicle"/>
    <n v="4"/>
    <x v="3"/>
    <x v="1"/>
    <n v="3"/>
    <x v="2"/>
    <s v="Busujju"/>
    <s v="Wakiso"/>
    <s v="UGA"/>
    <n v="4"/>
    <s v="Commercial"/>
    <s v="Nalukwakula"/>
    <m/>
    <s v="UGA"/>
    <n v="1"/>
    <s v="Home"/>
    <x v="0"/>
    <n v="2000"/>
    <n v="15"/>
    <x v="6"/>
    <n v="0.2"/>
    <x v="4"/>
    <n v="5"/>
    <s v="Professional"/>
    <n v="3"/>
    <x v="0"/>
    <n v="1"/>
    <n v="2"/>
    <n v="3"/>
    <n v="4"/>
    <n v="5"/>
    <s v="Y"/>
    <n v="1000"/>
    <x v="1"/>
  </r>
  <r>
    <d v="2019-10-28T00:00:00"/>
    <d v="1899-12-30T17:14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0"/>
    <n v="35"/>
    <x v="5"/>
    <n v="1.5"/>
    <x v="2"/>
    <n v="5"/>
    <s v="Professional"/>
    <n v="3"/>
    <x v="0"/>
    <n v="3"/>
    <n v="1"/>
    <n v="4"/>
    <n v="5"/>
    <n v="2"/>
    <s v="Y"/>
    <n v="5000"/>
    <x v="2"/>
  </r>
  <r>
    <d v="2019-10-29T00:00:00"/>
    <d v="1899-12-30T10:36:00"/>
    <m/>
    <s v="P"/>
    <n v="2"/>
    <s v="Road Vehicle"/>
    <n v="4"/>
    <x v="3"/>
    <x v="1"/>
    <n v="3"/>
    <x v="2"/>
    <s v="Busujju"/>
    <s v="Wakiso"/>
    <s v="UGA"/>
    <n v="8"/>
    <s v="Others"/>
    <s v="Hoima"/>
    <s v="Hoima"/>
    <s v="UGA"/>
    <n v="2"/>
    <s v="Work"/>
    <x v="31"/>
    <n v="12000"/>
    <m/>
    <x v="4"/>
    <n v="2"/>
    <x v="1"/>
    <n v="5"/>
    <s v="Professional"/>
    <n v="4"/>
    <x v="3"/>
    <n v="1"/>
    <n v="3"/>
    <n v="4"/>
    <n v="2"/>
    <n v="5"/>
    <s v="Y"/>
    <n v="2000"/>
    <x v="4"/>
  </r>
  <r>
    <d v="2019-10-29T00:00:00"/>
    <d v="1899-12-30T08:17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0"/>
    <n v="34"/>
    <x v="5"/>
    <n v="1"/>
    <x v="2"/>
    <n v="5"/>
    <s v="Professional"/>
    <n v="5"/>
    <x v="4"/>
    <n v="3"/>
    <n v="4"/>
    <n v="1"/>
    <n v="2"/>
    <n v="5"/>
    <s v="Y"/>
    <n v="1000"/>
    <x v="1"/>
  </r>
  <r>
    <d v="2019-10-29T00:00:00"/>
    <d v="1899-12-30T08:11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0"/>
    <n v="34"/>
    <x v="5"/>
    <n v="1.5"/>
    <x v="2"/>
    <n v="5"/>
    <s v="Professional"/>
    <n v="4"/>
    <x v="3"/>
    <n v="5"/>
    <n v="3"/>
    <n v="2"/>
    <n v="4"/>
    <n v="1"/>
    <s v="Y"/>
    <n v="3000"/>
    <x v="5"/>
  </r>
  <r>
    <d v="2019-10-29T00:00:00"/>
    <d v="1899-12-30T13:18:00"/>
    <m/>
    <s v="D"/>
    <n v="2"/>
    <s v="Road Vehicle"/>
    <n v="4"/>
    <x v="3"/>
    <x v="1"/>
    <n v="3"/>
    <x v="2"/>
    <s v="Busujju"/>
    <s v="Wakiso"/>
    <s v="UGA"/>
    <n v="1"/>
    <s v="Home"/>
    <s v="Mityana"/>
    <s v="Mityana"/>
    <s v="UGA"/>
    <n v="2"/>
    <s v="Work"/>
    <x v="8"/>
    <n v="100000"/>
    <m/>
    <x v="4"/>
    <n v="2.5"/>
    <x v="1"/>
    <n v="5"/>
    <s v="Professional"/>
    <n v="3"/>
    <x v="0"/>
    <n v="5"/>
    <n v="4"/>
    <n v="3"/>
    <n v="2"/>
    <n v="1"/>
    <s v="Y"/>
    <n v="5000"/>
    <x v="2"/>
  </r>
  <r>
    <d v="2019-10-29T00:00:00"/>
    <d v="1899-12-30T13:40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60000"/>
    <n v="34"/>
    <x v="5"/>
    <n v="1.5"/>
    <x v="2"/>
    <n v="5"/>
    <s v="Professional"/>
    <n v="3"/>
    <x v="0"/>
    <n v="3"/>
    <n v="2"/>
    <n v="1"/>
    <n v="4"/>
    <n v="5"/>
    <s v="Y"/>
    <m/>
    <x v="0"/>
  </r>
  <r>
    <d v="2019-10-29T00:00:00"/>
    <d v="1899-12-30T14:12:00"/>
    <m/>
    <s v="D"/>
    <n v="2"/>
    <s v="Road Vehicle"/>
    <n v="4"/>
    <x v="3"/>
    <x v="1"/>
    <n v="3"/>
    <x v="2"/>
    <s v="Busujju"/>
    <s v="Wakiso"/>
    <s v="UGA"/>
    <n v="1"/>
    <s v="Home"/>
    <s v="Old kla"/>
    <s v="Kampala"/>
    <s v="UGA"/>
    <n v="2"/>
    <s v="Work"/>
    <x v="8"/>
    <n v="50000"/>
    <n v="34"/>
    <x v="5"/>
    <n v="2"/>
    <x v="1"/>
    <n v="5"/>
    <s v="Professional"/>
    <n v="5"/>
    <x v="4"/>
    <n v="2"/>
    <n v="3"/>
    <n v="1"/>
    <n v="4"/>
    <n v="5"/>
    <s v="Y"/>
    <n v="5000"/>
    <x v="2"/>
  </r>
  <r>
    <d v="2019-10-29T00:00:00"/>
    <d v="1899-12-30T16:47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0"/>
    <n v="24"/>
    <x v="5"/>
    <n v="1.5"/>
    <x v="2"/>
    <n v="5"/>
    <s v="Professional"/>
    <n v="4"/>
    <x v="3"/>
    <n v="3"/>
    <n v="1"/>
    <n v="2"/>
    <n v="4"/>
    <n v="5"/>
    <s v="Y"/>
    <n v="3000"/>
    <x v="5"/>
  </r>
  <r>
    <d v="2019-10-29T00:00:00"/>
    <d v="1899-12-30T10:46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"/>
    <n v="34"/>
    <x v="5"/>
    <n v="2"/>
    <x v="1"/>
    <n v="5"/>
    <s v="Professional"/>
    <n v="4"/>
    <x v="3"/>
    <n v="3"/>
    <n v="5"/>
    <n v="1"/>
    <n v="2"/>
    <n v="4"/>
    <s v="Y"/>
    <n v="1000"/>
    <x v="1"/>
  </r>
  <r>
    <d v="2019-10-29T00:00:00"/>
    <d v="1899-12-30T09:32:00"/>
    <m/>
    <s v="D"/>
    <n v="2"/>
    <s v="Road Vehicle"/>
    <n v="4"/>
    <x v="3"/>
    <x v="1"/>
    <n v="3"/>
    <x v="2"/>
    <s v="Kampala"/>
    <s v="Kampala"/>
    <s v="UGA"/>
    <n v="2"/>
    <s v="Work"/>
    <s v="Hoima"/>
    <s v="Hoima"/>
    <s v="UGA"/>
    <n v="1"/>
    <s v="Home"/>
    <x v="1"/>
    <n v="200000"/>
    <n v="200"/>
    <x v="3"/>
    <n v="4"/>
    <x v="0"/>
    <n v="5"/>
    <s v="Professional"/>
    <n v="4"/>
    <x v="3"/>
    <n v="2"/>
    <n v="1"/>
    <n v="3"/>
    <n v="4"/>
    <n v="5"/>
    <s v="Y"/>
    <m/>
    <x v="0"/>
  </r>
  <r>
    <d v="2019-10-27T00:00:00"/>
    <d v="1899-12-30T14:53:00"/>
    <m/>
    <s v="P"/>
    <n v="2"/>
    <s v="Road Vehicle"/>
    <n v="4"/>
    <x v="3"/>
    <x v="1"/>
    <n v="3"/>
    <x v="2"/>
    <s v="Busujju"/>
    <s v="Wakiso"/>
    <s v="UGA"/>
    <n v="1"/>
    <s v="Home"/>
    <s v="Wakiso"/>
    <s v="Wakiso"/>
    <s v="UGA"/>
    <n v="6"/>
    <s v="Leisure/Social"/>
    <x v="3"/>
    <n v="3000"/>
    <m/>
    <x v="4"/>
    <n v="1"/>
    <x v="2"/>
    <n v="1"/>
    <s v="Unemployed"/>
    <n v="2"/>
    <x v="1"/>
    <n v="5"/>
    <n v="4"/>
    <n v="2"/>
    <n v="1"/>
    <n v="3"/>
    <s v="Y"/>
    <n v="5000"/>
    <x v="2"/>
  </r>
  <r>
    <d v="2019-10-29T00:00:00"/>
    <d v="1899-12-30T12:21:00"/>
    <m/>
    <s v="P"/>
    <n v="2"/>
    <s v="Road Vehicle"/>
    <n v="4"/>
    <x v="3"/>
    <x v="1"/>
    <n v="4"/>
    <x v="3"/>
    <s v="Busujju"/>
    <s v="Wakiso"/>
    <s v="UGA"/>
    <n v="2"/>
    <s v="Work"/>
    <s v="Kyankwanzi"/>
    <s v="Kyankwanzi"/>
    <s v="UGA"/>
    <n v="2"/>
    <s v="Work"/>
    <x v="5"/>
    <n v="7000"/>
    <m/>
    <x v="4"/>
    <n v="5"/>
    <x v="0"/>
    <n v="6"/>
    <s v="Businessman"/>
    <n v="4"/>
    <x v="3"/>
    <n v="5"/>
    <n v="2"/>
    <n v="1"/>
    <n v="3"/>
    <n v="4"/>
    <s v="Y"/>
    <n v="2000"/>
    <x v="4"/>
  </r>
  <r>
    <d v="2019-10-27T00:00:00"/>
    <d v="1899-12-30T10:12:00"/>
    <m/>
    <s v="P"/>
    <n v="2"/>
    <s v="Road Vehicle"/>
    <n v="4"/>
    <x v="3"/>
    <x v="1"/>
    <n v="4"/>
    <x v="3"/>
    <s v="Busujju"/>
    <s v="Wakiso"/>
    <s v="UGA"/>
    <n v="1"/>
    <s v="Home"/>
    <s v="Gobero"/>
    <s v="Wakiso"/>
    <s v="UGA"/>
    <n v="2"/>
    <s v="Work"/>
    <x v="8"/>
    <n v="2000"/>
    <n v="7"/>
    <x v="4"/>
    <n v="0.9"/>
    <x v="3"/>
    <n v="2"/>
    <s v="Manual Labour"/>
    <n v="1"/>
    <x v="2"/>
    <n v="3"/>
    <n v="5"/>
    <n v="2"/>
    <n v="4"/>
    <n v="1"/>
    <s v="Y"/>
    <n v="1000"/>
    <x v="1"/>
  </r>
  <r>
    <d v="2019-10-27T00:00:00"/>
    <d v="1899-12-30T09:34:00"/>
    <m/>
    <s v="D"/>
    <n v="2"/>
    <s v="Road Vehicle"/>
    <n v="8"/>
    <x v="3"/>
    <x v="1"/>
    <n v="4"/>
    <x v="3"/>
    <s v="Busujju"/>
    <s v="Wakiso"/>
    <s v="UGA"/>
    <n v="2"/>
    <s v="Work"/>
    <s v="Kampala"/>
    <s v="Kampala"/>
    <s v="UGA"/>
    <n v="4"/>
    <s v="Commercial"/>
    <x v="21"/>
    <n v="120000"/>
    <n v="120"/>
    <x v="2"/>
    <n v="1.5"/>
    <x v="2"/>
    <n v="10"/>
    <s v="Other"/>
    <n v="4"/>
    <x v="3"/>
    <n v="2"/>
    <n v="1"/>
    <n v="3"/>
    <n v="5"/>
    <n v="4"/>
    <s v="Y"/>
    <m/>
    <x v="0"/>
  </r>
  <r>
    <d v="2019-10-27T00:00:00"/>
    <d v="1899-12-30T11:57:00"/>
    <m/>
    <s v="D"/>
    <n v="2"/>
    <s v="Road Vehicle"/>
    <n v="4"/>
    <x v="3"/>
    <x v="1"/>
    <n v="4"/>
    <x v="3"/>
    <s v="Busujju"/>
    <s v="Wakiso"/>
    <s v="UGA"/>
    <n v="1"/>
    <s v="Home"/>
    <s v="Kampala"/>
    <s v="Kampala"/>
    <s v="UGA"/>
    <n v="2"/>
    <s v="Work"/>
    <x v="8"/>
    <n v="50000"/>
    <n v="50"/>
    <x v="1"/>
    <n v="1"/>
    <x v="2"/>
    <n v="5"/>
    <s v="Professional"/>
    <n v="4"/>
    <x v="3"/>
    <n v="3"/>
    <n v="4"/>
    <n v="1"/>
    <n v="5"/>
    <n v="2"/>
    <s v="Y"/>
    <m/>
    <x v="0"/>
  </r>
  <r>
    <d v="2019-10-27T00:00:00"/>
    <d v="1899-12-30T15:50:00"/>
    <m/>
    <s v="D"/>
    <n v="2"/>
    <s v="Road Vehicle"/>
    <n v="4"/>
    <x v="3"/>
    <x v="1"/>
    <n v="4"/>
    <x v="3"/>
    <s v="Busujju"/>
    <s v="Wakiso"/>
    <s v="UGA"/>
    <n v="1"/>
    <s v="Home"/>
    <s v="Kampala"/>
    <s v="Kampala"/>
    <s v="UGA"/>
    <n v="2"/>
    <s v="Work"/>
    <x v="8"/>
    <n v="50000"/>
    <n v="35"/>
    <x v="5"/>
    <n v="1"/>
    <x v="2"/>
    <n v="5"/>
    <s v="Professional"/>
    <n v="4"/>
    <x v="3"/>
    <n v="3"/>
    <n v="5"/>
    <n v="4"/>
    <n v="2"/>
    <n v="1"/>
    <s v="Y"/>
    <m/>
    <x v="0"/>
  </r>
  <r>
    <d v="2019-10-29T00:00:00"/>
    <d v="1899-12-30T09:56:00"/>
    <m/>
    <s v="D"/>
    <n v="2"/>
    <s v="Road Vehicle"/>
    <n v="4"/>
    <x v="3"/>
    <x v="1"/>
    <n v="4"/>
    <x v="3"/>
    <s v="Kiboga"/>
    <s v="Kiboga"/>
    <s v="UGA"/>
    <n v="2"/>
    <s v="Work"/>
    <s v="Busujju"/>
    <s v="Wakiso"/>
    <s v="UGA"/>
    <n v="8"/>
    <s v="Others"/>
    <x v="6"/>
    <n v="39000"/>
    <m/>
    <x v="4"/>
    <n v="0.5"/>
    <x v="3"/>
    <n v="5"/>
    <s v="Professional"/>
    <n v="2"/>
    <x v="1"/>
    <n v="2"/>
    <n v="5"/>
    <n v="1"/>
    <n v="3"/>
    <n v="4"/>
    <s v="Y"/>
    <n v="5000"/>
    <x v="2"/>
  </r>
  <r>
    <d v="2019-10-29T00:00:00"/>
    <d v="1899-12-30T11:52:00"/>
    <m/>
    <s v="D"/>
    <n v="2"/>
    <s v="Road Vehicle"/>
    <n v="4"/>
    <x v="3"/>
    <x v="1"/>
    <n v="4"/>
    <x v="3"/>
    <s v="Busujju"/>
    <s v="Wakiso"/>
    <s v="UGA"/>
    <n v="8"/>
    <s v="Others"/>
    <s v="Ssekanyonyi"/>
    <s v="Mityana"/>
    <s v="UGA"/>
    <n v="2"/>
    <s v="Work"/>
    <x v="31"/>
    <n v="20000"/>
    <m/>
    <x v="4"/>
    <n v="0.6"/>
    <x v="3"/>
    <n v="5"/>
    <s v="Professional"/>
    <n v="4"/>
    <x v="3"/>
    <n v="2"/>
    <n v="3"/>
    <n v="1"/>
    <n v="4"/>
    <n v="5"/>
    <s v="Y"/>
    <n v="2000"/>
    <x v="4"/>
  </r>
  <r>
    <d v="2019-10-29T00:00:00"/>
    <d v="1899-12-30T15:26:00"/>
    <m/>
    <s v="D"/>
    <n v="2"/>
    <s v="Road Vehicle"/>
    <n v="4"/>
    <x v="3"/>
    <x v="1"/>
    <n v="4"/>
    <x v="3"/>
    <s v="Kampala"/>
    <s v="Kampala"/>
    <s v="UGA"/>
    <n v="4"/>
    <s v="Commercial"/>
    <s v="Hoima"/>
    <s v="Hoima"/>
    <s v="UGA"/>
    <n v="2"/>
    <s v="Work"/>
    <x v="20"/>
    <n v="250000"/>
    <n v="201"/>
    <x v="3"/>
    <n v="4"/>
    <x v="0"/>
    <n v="5"/>
    <s v="Professional"/>
    <n v="4"/>
    <x v="3"/>
    <n v="5"/>
    <n v="3"/>
    <n v="2"/>
    <n v="1"/>
    <n v="4"/>
    <s v="Y"/>
    <n v="2000"/>
    <x v="4"/>
  </r>
  <r>
    <d v="2019-10-27T00:00:00"/>
    <d v="1899-12-30T18:10:00"/>
    <m/>
    <s v="D"/>
    <n v="2"/>
    <s v="Road Vehicle"/>
    <n v="2"/>
    <x v="4"/>
    <x v="1"/>
    <n v="4"/>
    <x v="3"/>
    <s v="Busujju"/>
    <s v="Wakiso"/>
    <s v="UGA"/>
    <n v="4"/>
    <s v="Commercial"/>
    <s v="Kampala"/>
    <s v="Kampala"/>
    <s v="UGA"/>
    <n v="1"/>
    <s v="Home"/>
    <x v="0"/>
    <n v="150000"/>
    <n v="114"/>
    <x v="2"/>
    <n v="1"/>
    <x v="2"/>
    <n v="5"/>
    <s v="Professional"/>
    <n v="5"/>
    <x v="4"/>
    <n v="1"/>
    <n v="2"/>
    <n v="3"/>
    <n v="4"/>
    <n v="5"/>
    <s v="Y"/>
    <n v="10000"/>
    <x v="3"/>
  </r>
  <r>
    <d v="2019-10-28T00:00:00"/>
    <d v="1899-12-30T17:47:00"/>
    <m/>
    <s v="P"/>
    <n v="2"/>
    <s v="Road Vehicle"/>
    <n v="4"/>
    <x v="3"/>
    <x v="0"/>
    <n v="4"/>
    <x v="3"/>
    <s v="Busujju"/>
    <s v="Wakiso"/>
    <s v="UGA"/>
    <n v="8"/>
    <s v="Others"/>
    <s v="Wakiso"/>
    <s v="Wakiso"/>
    <s v="UGA"/>
    <n v="1"/>
    <s v="Home"/>
    <x v="29"/>
    <n v="3000"/>
    <m/>
    <x v="4"/>
    <n v="1.5"/>
    <x v="2"/>
    <n v="9"/>
    <s v="Retired"/>
    <n v="2"/>
    <x v="1"/>
    <n v="1"/>
    <n v="5"/>
    <n v="4"/>
    <n v="2"/>
    <n v="3"/>
    <s v="Y"/>
    <n v="1000"/>
    <x v="1"/>
  </r>
  <r>
    <d v="2019-10-28T00:00:00"/>
    <d v="1899-12-30T09:30:00"/>
    <m/>
    <s v="P"/>
    <n v="2"/>
    <s v="Road Vehicle"/>
    <n v="4"/>
    <x v="3"/>
    <x v="1"/>
    <n v="4"/>
    <x v="3"/>
    <s v="Busujju"/>
    <s v="Wakiso"/>
    <s v="UGA"/>
    <n v="4"/>
    <s v="Commercial"/>
    <s v="Kampala"/>
    <s v="Kampala"/>
    <s v="UGA"/>
    <n v="1"/>
    <s v="Home"/>
    <x v="0"/>
    <n v="4000"/>
    <n v="114"/>
    <x v="2"/>
    <n v="1.5"/>
    <x v="2"/>
    <n v="9"/>
    <s v="Retired"/>
    <n v="3"/>
    <x v="0"/>
    <n v="1"/>
    <n v="4"/>
    <n v="3"/>
    <n v="2"/>
    <n v="5"/>
    <s v="Y"/>
    <m/>
    <x v="0"/>
  </r>
  <r>
    <d v="2019-10-29T00:00:00"/>
    <d v="1899-12-30T15:50:00"/>
    <m/>
    <s v="D"/>
    <n v="2"/>
    <s v="Road Vehicle"/>
    <n v="4"/>
    <x v="3"/>
    <x v="1"/>
    <n v="5"/>
    <x v="4"/>
    <s v="Busujju"/>
    <s v="Wakiso"/>
    <s v="UGA"/>
    <n v="1"/>
    <s v="Home"/>
    <s v="Kampala"/>
    <s v="Kampala"/>
    <s v="UGA"/>
    <n v="2"/>
    <s v="Work"/>
    <x v="8"/>
    <n v="50000"/>
    <n v="34"/>
    <x v="5"/>
    <n v="2"/>
    <x v="1"/>
    <n v="5"/>
    <s v="Professional"/>
    <n v="3"/>
    <x v="0"/>
    <n v="3"/>
    <n v="2"/>
    <n v="1"/>
    <n v="5"/>
    <n v="4"/>
    <s v="Y"/>
    <n v="4000"/>
    <x v="5"/>
  </r>
  <r>
    <d v="2019-10-27T00:00:00"/>
    <d v="1899-12-30T11:19:00"/>
    <m/>
    <s v="P"/>
    <n v="2"/>
    <s v="Road Vehicle"/>
    <n v="4"/>
    <x v="3"/>
    <x v="0"/>
    <n v="5"/>
    <x v="4"/>
    <s v="Busujju"/>
    <s v="Wakiso"/>
    <s v="UGA"/>
    <n v="1"/>
    <s v="Home"/>
    <s v="Ssekanyonyi"/>
    <s v="Mityana"/>
    <s v="UGA"/>
    <n v="1"/>
    <s v="Home"/>
    <x v="2"/>
    <n v="3000"/>
    <m/>
    <x v="4"/>
    <m/>
    <x v="4"/>
    <n v="9"/>
    <s v="Retired"/>
    <n v="3"/>
    <x v="0"/>
    <m/>
    <m/>
    <m/>
    <m/>
    <m/>
    <s v="Y"/>
    <m/>
    <x v="0"/>
  </r>
  <r>
    <d v="2019-10-28T00:00:00"/>
    <d v="1899-12-30T13:42:00"/>
    <m/>
    <s v="P"/>
    <n v="2"/>
    <s v="Road Vehicle"/>
    <n v="4"/>
    <x v="3"/>
    <x v="0"/>
    <n v="5"/>
    <x v="4"/>
    <s v="Kiboga"/>
    <s v="Kiboga"/>
    <s v="UGA"/>
    <n v="1"/>
    <s v="Home"/>
    <s v="Busujju"/>
    <s v="Wakiso"/>
    <s v="UGA"/>
    <n v="8"/>
    <s v="Others"/>
    <x v="4"/>
    <n v="5000"/>
    <m/>
    <x v="4"/>
    <n v="1"/>
    <x v="2"/>
    <n v="9"/>
    <s v="Retired"/>
    <n v="2"/>
    <x v="1"/>
    <n v="2"/>
    <n v="1"/>
    <n v="5"/>
    <n v="3"/>
    <n v="4"/>
    <s v="Y"/>
    <m/>
    <x v="0"/>
  </r>
  <r>
    <d v="2019-10-28T00:00:00"/>
    <d v="1899-12-30T16:39:00"/>
    <m/>
    <s v="P"/>
    <n v="2"/>
    <s v="Road Vehicle"/>
    <n v="4"/>
    <x v="3"/>
    <x v="0"/>
    <n v="5"/>
    <x v="4"/>
    <s v="Busujju"/>
    <s v="Wakiso"/>
    <s v="UGA"/>
    <n v="8"/>
    <s v="Others"/>
    <s v="Kampala"/>
    <s v="Kampala"/>
    <s v="UGA"/>
    <n v="1"/>
    <s v="Home"/>
    <x v="29"/>
    <n v="5000"/>
    <m/>
    <x v="4"/>
    <n v="2"/>
    <x v="1"/>
    <n v="9"/>
    <s v="Retired"/>
    <n v="2"/>
    <x v="1"/>
    <n v="1"/>
    <n v="2"/>
    <n v="5"/>
    <n v="3"/>
    <n v="4"/>
    <s v="Y"/>
    <n v="1000"/>
    <x v="1"/>
  </r>
  <r>
    <d v="2019-10-29T00:00:00"/>
    <d v="1899-12-30T15:21:00"/>
    <m/>
    <s v="P"/>
    <n v="2"/>
    <s v="Road Vehicle"/>
    <n v="4"/>
    <x v="3"/>
    <x v="0"/>
    <n v="5"/>
    <x v="4"/>
    <s v="Busujju"/>
    <s v="Wakiso"/>
    <s v="UGA"/>
    <n v="8"/>
    <s v="Others"/>
    <s v="Bukomero"/>
    <s v="Kiboga"/>
    <s v="UGA"/>
    <n v="1"/>
    <s v="Home"/>
    <x v="29"/>
    <n v="5000"/>
    <m/>
    <x v="4"/>
    <n v="1"/>
    <x v="2"/>
    <n v="9"/>
    <s v="Retired"/>
    <n v="1"/>
    <x v="2"/>
    <n v="4"/>
    <n v="1"/>
    <n v="3"/>
    <n v="2"/>
    <n v="5"/>
    <s v="Y"/>
    <m/>
    <x v="0"/>
  </r>
  <r>
    <d v="2019-10-27T00:00:00"/>
    <d v="1899-12-30T12:37:00"/>
    <m/>
    <s v="P"/>
    <n v="2"/>
    <s v="Road Vehicle"/>
    <n v="4"/>
    <x v="3"/>
    <x v="1"/>
    <n v="5"/>
    <x v="4"/>
    <s v="Busujju"/>
    <s v="Wakiso"/>
    <s v="UGA"/>
    <n v="1"/>
    <s v="Home"/>
    <s v="Ntwentwe"/>
    <s v="Ntwentwe"/>
    <s v="UGA"/>
    <n v="8"/>
    <s v="Others"/>
    <x v="4"/>
    <n v="5000"/>
    <m/>
    <x v="4"/>
    <n v="0.9"/>
    <x v="3"/>
    <n v="9"/>
    <s v="Retired"/>
    <n v="3"/>
    <x v="0"/>
    <n v="4"/>
    <n v="1"/>
    <n v="2"/>
    <n v="5"/>
    <n v="3"/>
    <s v="Y"/>
    <m/>
    <x v="0"/>
  </r>
  <r>
    <m/>
    <m/>
    <m/>
    <m/>
    <m/>
    <m/>
    <m/>
    <x v="10"/>
    <x v="2"/>
    <m/>
    <x v="6"/>
    <m/>
    <m/>
    <m/>
    <m/>
    <m/>
    <m/>
    <m/>
    <m/>
    <m/>
    <m/>
    <x v="43"/>
    <m/>
    <m/>
    <x v="7"/>
    <m/>
    <x v="5"/>
    <m/>
    <m/>
    <m/>
    <x v="7"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DD034E-FA01-41C0-AB5C-8BF456BB36C3}" name="PivotTable70" cacheId="28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E49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5">
        <item x="13"/>
        <item x="0"/>
        <item x="27"/>
        <item x="11"/>
        <item x="41"/>
        <item x="20"/>
        <item x="18"/>
        <item x="12"/>
        <item x="2"/>
        <item x="26"/>
        <item x="3"/>
        <item x="4"/>
        <item x="10"/>
        <item x="24"/>
        <item x="8"/>
        <item x="19"/>
        <item x="35"/>
        <item x="34"/>
        <item x="7"/>
        <item x="17"/>
        <item x="42"/>
        <item x="38"/>
        <item x="33"/>
        <item x="29"/>
        <item x="28"/>
        <item x="36"/>
        <item x="31"/>
        <item x="25"/>
        <item x="9"/>
        <item x="32"/>
        <item x="16"/>
        <item x="30"/>
        <item x="39"/>
        <item x="37"/>
        <item x="40"/>
        <item x="14"/>
        <item x="21"/>
        <item x="1"/>
        <item x="15"/>
        <item x="22"/>
        <item x="6"/>
        <item x="23"/>
        <item x="5"/>
        <item x="4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1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Count of Gender (M/F)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45888F-DE48-457A-B6DB-398578A808A3}" name="PivotTable71" cacheId="28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2" firstHeaderRow="1" firstDataRow="1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9">
        <item x="4"/>
        <item x="2"/>
        <item x="6"/>
        <item x="5"/>
        <item x="1"/>
        <item x="0"/>
        <item x="3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Dist Range" fld="2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1CABD2-BE21-400E-8C73-6CB81D407C22}" name="PivotTable72" cacheId="28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5:B22" firstHeaderRow="1" firstDataRow="1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7">
        <item x="3"/>
        <item x="4"/>
        <item x="2"/>
        <item x="1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Time Range" fld="2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BC3352-A09F-434C-A667-C7383EA1194B}" name="PivotTable73" cacheId="28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I13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4"/>
        <item x="2"/>
        <item x="6"/>
        <item x="5"/>
        <item x="1"/>
        <item x="0"/>
        <item x="3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8">
        <item x="0"/>
        <item x="1"/>
        <item x="4"/>
        <item x="5"/>
        <item x="2"/>
        <item x="3"/>
        <item x="6"/>
        <item t="default"/>
      </items>
    </pivotField>
  </pivotFields>
  <rowFields count="1">
    <field x="2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3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Toll Charge" fld="3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95A8F-B653-45C3-95E3-CD65880D2FFB}" name="PivotTable74" cacheId="28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I13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2"/>
        <item x="4"/>
        <item x="1"/>
        <item x="0"/>
        <item x="3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8">
        <item x="0"/>
        <item x="1"/>
        <item x="4"/>
        <item x="5"/>
        <item x="2"/>
        <item x="3"/>
        <item x="6"/>
        <item t="default"/>
      </items>
    </pivotField>
  </pivotFields>
  <rowFields count="1">
    <field x="3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3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Toll Charge" fld="3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84C5DF-695E-42B7-AD80-F50615808056}" name="PivotTable75" cacheId="28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I16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axis="axisRow" showAll="0">
      <items count="12">
        <item x="0"/>
        <item x="9"/>
        <item x="1"/>
        <item x="2"/>
        <item x="5"/>
        <item x="8"/>
        <item x="3"/>
        <item x="6"/>
        <item x="4"/>
        <item x="7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8">
        <item x="0"/>
        <item x="1"/>
        <item x="4"/>
        <item x="5"/>
        <item x="2"/>
        <item x="3"/>
        <item x="6"/>
        <item t="default"/>
      </items>
    </pivotField>
  </pivotFields>
  <rowFields count="1">
    <field x="7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3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Toll Charge" fld="3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31248-39D9-4FD2-B8B9-BC7E9D769343}">
  <dimension ref="A3:P12"/>
  <sheetViews>
    <sheetView workbookViewId="0">
      <selection activeCell="A3" sqref="A3:E12"/>
    </sheetView>
  </sheetViews>
  <sheetFormatPr defaultRowHeight="12.75" x14ac:dyDescent="0.2"/>
  <cols>
    <col min="1" max="1" width="21.140625" style="64" bestFit="1" customWidth="1"/>
    <col min="2" max="2" width="17" style="64" bestFit="1" customWidth="1"/>
    <col min="3" max="3" width="5" style="64" bestFit="1" customWidth="1"/>
    <col min="4" max="4" width="7.140625" style="64" bestFit="1" customWidth="1"/>
    <col min="5" max="5" width="11.7109375" style="64" bestFit="1" customWidth="1"/>
    <col min="6" max="16384" width="9.140625" style="64"/>
  </cols>
  <sheetData>
    <row r="3" spans="1:16" x14ac:dyDescent="0.2">
      <c r="A3"/>
      <c r="B3"/>
      <c r="C3"/>
      <c r="D3"/>
      <c r="E3"/>
    </row>
    <row r="4" spans="1:16" x14ac:dyDescent="0.2">
      <c r="A4"/>
      <c r="B4"/>
      <c r="C4"/>
      <c r="D4"/>
      <c r="E4"/>
      <c r="G4" s="65" t="s">
        <v>473</v>
      </c>
      <c r="H4" s="65" t="s">
        <v>178</v>
      </c>
      <c r="I4" s="65" t="s">
        <v>108</v>
      </c>
      <c r="J4" s="66"/>
      <c r="K4" s="66"/>
      <c r="M4" s="64" t="s">
        <v>206</v>
      </c>
      <c r="N4" s="64" t="s">
        <v>203</v>
      </c>
      <c r="O4" s="64" t="s">
        <v>204</v>
      </c>
      <c r="P4" s="64" t="s">
        <v>205</v>
      </c>
    </row>
    <row r="5" spans="1:16" x14ac:dyDescent="0.2">
      <c r="A5"/>
      <c r="B5"/>
      <c r="C5"/>
      <c r="D5"/>
      <c r="E5"/>
      <c r="G5" s="67" t="s">
        <v>111</v>
      </c>
      <c r="H5" s="64">
        <v>208</v>
      </c>
      <c r="I5" s="64">
        <v>221</v>
      </c>
      <c r="K5" s="64">
        <v>429</v>
      </c>
      <c r="M5" s="64" t="s">
        <v>111</v>
      </c>
      <c r="N5" s="68">
        <f>H5/$P$11</f>
        <v>0.11273712737127371</v>
      </c>
      <c r="O5" s="68">
        <f>I5/$P$11</f>
        <v>0.11978319783197831</v>
      </c>
      <c r="P5" s="64">
        <v>429</v>
      </c>
    </row>
    <row r="6" spans="1:16" x14ac:dyDescent="0.2">
      <c r="A6"/>
      <c r="B6"/>
      <c r="C6"/>
      <c r="D6"/>
      <c r="E6"/>
      <c r="G6" s="67" t="s">
        <v>112</v>
      </c>
      <c r="H6" s="64">
        <v>282</v>
      </c>
      <c r="I6" s="64">
        <v>596</v>
      </c>
      <c r="K6" s="64">
        <v>878</v>
      </c>
      <c r="M6" s="64" t="s">
        <v>112</v>
      </c>
      <c r="N6" s="68">
        <f t="shared" ref="N6:O10" si="0">H6/$P$11</f>
        <v>0.15284552845528454</v>
      </c>
      <c r="O6" s="68">
        <f t="shared" si="0"/>
        <v>0.32303523035230353</v>
      </c>
      <c r="P6" s="64">
        <v>878</v>
      </c>
    </row>
    <row r="7" spans="1:16" x14ac:dyDescent="0.2">
      <c r="A7"/>
      <c r="B7"/>
      <c r="C7"/>
      <c r="D7"/>
      <c r="E7"/>
      <c r="G7" s="67" t="s">
        <v>113</v>
      </c>
      <c r="H7" s="64">
        <v>99</v>
      </c>
      <c r="I7" s="64">
        <v>293</v>
      </c>
      <c r="K7" s="64">
        <v>392</v>
      </c>
      <c r="M7" s="64" t="s">
        <v>113</v>
      </c>
      <c r="N7" s="68">
        <f t="shared" si="0"/>
        <v>5.3658536585365853E-2</v>
      </c>
      <c r="O7" s="68">
        <f t="shared" si="0"/>
        <v>0.15880758807588075</v>
      </c>
      <c r="P7" s="64">
        <v>392</v>
      </c>
    </row>
    <row r="8" spans="1:16" x14ac:dyDescent="0.2">
      <c r="A8"/>
      <c r="B8"/>
      <c r="C8"/>
      <c r="D8"/>
      <c r="E8"/>
      <c r="G8" s="67" t="s">
        <v>114</v>
      </c>
      <c r="H8" s="64">
        <v>20</v>
      </c>
      <c r="I8" s="64">
        <v>100</v>
      </c>
      <c r="K8" s="64">
        <v>120</v>
      </c>
      <c r="M8" s="64" t="s">
        <v>114</v>
      </c>
      <c r="N8" s="68">
        <f t="shared" si="0"/>
        <v>1.0840108401084011E-2</v>
      </c>
      <c r="O8" s="68">
        <f t="shared" si="0"/>
        <v>5.4200542005420058E-2</v>
      </c>
      <c r="P8" s="64">
        <v>120</v>
      </c>
    </row>
    <row r="9" spans="1:16" x14ac:dyDescent="0.2">
      <c r="A9"/>
      <c r="B9"/>
      <c r="C9"/>
      <c r="D9"/>
      <c r="E9"/>
      <c r="G9" s="67" t="s">
        <v>115</v>
      </c>
      <c r="H9" s="64">
        <v>9</v>
      </c>
      <c r="I9" s="64">
        <v>16</v>
      </c>
      <c r="K9" s="64">
        <v>25</v>
      </c>
      <c r="M9" s="64" t="s">
        <v>115</v>
      </c>
      <c r="N9" s="68">
        <f t="shared" si="0"/>
        <v>4.8780487804878049E-3</v>
      </c>
      <c r="O9" s="68">
        <f t="shared" si="0"/>
        <v>8.6720867208672087E-3</v>
      </c>
      <c r="P9" s="64">
        <v>25</v>
      </c>
    </row>
    <row r="10" spans="1:16" x14ac:dyDescent="0.2">
      <c r="A10"/>
      <c r="B10"/>
      <c r="C10"/>
      <c r="D10"/>
      <c r="E10"/>
      <c r="G10" s="64" t="s">
        <v>116</v>
      </c>
      <c r="I10" s="64">
        <v>1</v>
      </c>
      <c r="K10" s="64">
        <v>1</v>
      </c>
      <c r="M10" s="64" t="s">
        <v>116</v>
      </c>
      <c r="N10" s="68">
        <f t="shared" si="0"/>
        <v>0</v>
      </c>
      <c r="O10" s="68">
        <f t="shared" si="0"/>
        <v>5.4200542005420054E-4</v>
      </c>
      <c r="P10" s="64">
        <v>1</v>
      </c>
    </row>
    <row r="11" spans="1:16" x14ac:dyDescent="0.2">
      <c r="A11"/>
      <c r="B11"/>
      <c r="C11"/>
      <c r="D11"/>
      <c r="E11"/>
      <c r="M11" s="64" t="s">
        <v>205</v>
      </c>
      <c r="N11" s="64">
        <v>184</v>
      </c>
      <c r="O11" s="64">
        <v>1069</v>
      </c>
      <c r="P11" s="64">
        <f>SUM(P5:P10)</f>
        <v>1845</v>
      </c>
    </row>
    <row r="12" spans="1:16" x14ac:dyDescent="0.2">
      <c r="A12"/>
      <c r="B12"/>
      <c r="C12"/>
      <c r="D12"/>
      <c r="E1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E967-FA05-48DB-9126-5BE805D084E2}">
  <dimension ref="A3:S49"/>
  <sheetViews>
    <sheetView topLeftCell="L1" workbookViewId="0">
      <selection activeCell="W22" sqref="W22"/>
    </sheetView>
  </sheetViews>
  <sheetFormatPr defaultRowHeight="12.75" x14ac:dyDescent="0.2"/>
  <cols>
    <col min="1" max="1" width="25.5703125" style="64" bestFit="1" customWidth="1"/>
    <col min="2" max="2" width="17" style="64" bestFit="1" customWidth="1"/>
    <col min="3" max="3" width="5" style="64" bestFit="1" customWidth="1"/>
    <col min="4" max="4" width="7.140625" style="64" bestFit="1" customWidth="1"/>
    <col min="5" max="5" width="11.7109375" style="64" bestFit="1" customWidth="1"/>
    <col min="6" max="6" width="9.140625" style="64"/>
    <col min="7" max="7" width="23.7109375" style="64" customWidth="1"/>
    <col min="8" max="11" width="9.140625" style="64"/>
    <col min="12" max="12" width="23.5703125" style="64" customWidth="1"/>
    <col min="13" max="16" width="9.140625" style="64"/>
    <col min="17" max="17" width="16.7109375" style="64" customWidth="1"/>
    <col min="18" max="16384" width="9.140625" style="64"/>
  </cols>
  <sheetData>
    <row r="3" spans="1:19" x14ac:dyDescent="0.2">
      <c r="A3" s="64" t="s">
        <v>471</v>
      </c>
      <c r="B3" s="64" t="s">
        <v>472</v>
      </c>
    </row>
    <row r="4" spans="1:19" x14ac:dyDescent="0.2">
      <c r="A4" s="64" t="s">
        <v>473</v>
      </c>
      <c r="B4" s="64" t="s">
        <v>178</v>
      </c>
      <c r="C4" s="64" t="s">
        <v>108</v>
      </c>
      <c r="D4" s="64" t="s">
        <v>474</v>
      </c>
      <c r="E4" s="64" t="s">
        <v>205</v>
      </c>
      <c r="G4" s="64" t="s">
        <v>475</v>
      </c>
      <c r="H4" s="64" t="s">
        <v>203</v>
      </c>
      <c r="I4" s="64" t="s">
        <v>204</v>
      </c>
      <c r="J4" s="64" t="s">
        <v>205</v>
      </c>
      <c r="L4" s="64" t="s">
        <v>475</v>
      </c>
      <c r="M4" s="64" t="s">
        <v>203</v>
      </c>
      <c r="N4" s="64" t="s">
        <v>204</v>
      </c>
      <c r="O4" s="64" t="s">
        <v>205</v>
      </c>
      <c r="R4" s="69" t="s">
        <v>203</v>
      </c>
      <c r="S4" s="69" t="s">
        <v>204</v>
      </c>
    </row>
    <row r="5" spans="1:19" x14ac:dyDescent="0.2">
      <c r="A5" s="67" t="s">
        <v>476</v>
      </c>
      <c r="B5" s="64">
        <v>14</v>
      </c>
      <c r="C5" s="64">
        <v>101</v>
      </c>
      <c r="E5" s="64">
        <v>115</v>
      </c>
      <c r="G5" s="64" t="s">
        <v>476</v>
      </c>
      <c r="H5" s="64">
        <v>14</v>
      </c>
      <c r="I5" s="64">
        <v>101</v>
      </c>
      <c r="J5" s="64">
        <v>115</v>
      </c>
      <c r="L5" s="64" t="s">
        <v>67</v>
      </c>
      <c r="M5" s="64">
        <f>SUM(H5:H10)</f>
        <v>49</v>
      </c>
      <c r="N5" s="64">
        <f>SUM(I5:I10)</f>
        <v>151</v>
      </c>
      <c r="O5" s="64">
        <f>SUM(M5:N5)</f>
        <v>200</v>
      </c>
      <c r="Q5" s="70" t="s">
        <v>67</v>
      </c>
      <c r="R5" s="71">
        <f>M5/$O$13</f>
        <v>2.6558265582655827E-2</v>
      </c>
      <c r="S5" s="71">
        <f>N5/$O$13</f>
        <v>8.1842818428184277E-2</v>
      </c>
    </row>
    <row r="6" spans="1:19" x14ac:dyDescent="0.2">
      <c r="A6" s="67" t="s">
        <v>477</v>
      </c>
      <c r="B6" s="64">
        <v>26</v>
      </c>
      <c r="C6" s="64">
        <v>37</v>
      </c>
      <c r="E6" s="64">
        <v>63</v>
      </c>
      <c r="G6" s="64" t="s">
        <v>477</v>
      </c>
      <c r="H6" s="64">
        <v>26</v>
      </c>
      <c r="I6" s="64">
        <v>37</v>
      </c>
      <c r="J6" s="64">
        <v>63</v>
      </c>
      <c r="L6" s="64" t="s">
        <v>65</v>
      </c>
      <c r="M6" s="64">
        <f>SUM(H41:H47)</f>
        <v>176</v>
      </c>
      <c r="N6" s="64">
        <f>SUM(I41:I47)</f>
        <v>514</v>
      </c>
      <c r="O6" s="64">
        <f t="shared" ref="O6:O12" si="0">SUM(M6:N6)</f>
        <v>690</v>
      </c>
      <c r="Q6" s="70" t="s">
        <v>65</v>
      </c>
      <c r="R6" s="71">
        <f t="shared" ref="R6:S12" si="1">M6/$O$13</f>
        <v>9.5392953929539295E-2</v>
      </c>
      <c r="S6" s="71">
        <f t="shared" si="1"/>
        <v>0.27859078590785907</v>
      </c>
    </row>
    <row r="7" spans="1:19" x14ac:dyDescent="0.2">
      <c r="A7" s="67" t="s">
        <v>478</v>
      </c>
      <c r="B7" s="64">
        <v>1</v>
      </c>
      <c r="E7" s="64">
        <v>1</v>
      </c>
      <c r="G7" s="64" t="s">
        <v>478</v>
      </c>
      <c r="H7" s="64">
        <v>1</v>
      </c>
      <c r="J7" s="64">
        <v>1</v>
      </c>
      <c r="L7" s="64" t="s">
        <v>64</v>
      </c>
      <c r="M7" s="64">
        <f>SUM(H11:H19)</f>
        <v>314</v>
      </c>
      <c r="N7" s="64">
        <f>SUM(I11:I19)</f>
        <v>466</v>
      </c>
      <c r="O7" s="64">
        <f t="shared" si="0"/>
        <v>780</v>
      </c>
      <c r="Q7" s="70" t="s">
        <v>64</v>
      </c>
      <c r="R7" s="71">
        <f t="shared" si="1"/>
        <v>0.17018970189701896</v>
      </c>
      <c r="S7" s="71">
        <f t="shared" si="1"/>
        <v>0.25257452574525746</v>
      </c>
    </row>
    <row r="8" spans="1:19" x14ac:dyDescent="0.2">
      <c r="A8" s="67" t="s">
        <v>479</v>
      </c>
      <c r="B8" s="64">
        <v>3</v>
      </c>
      <c r="C8" s="64">
        <v>2</v>
      </c>
      <c r="E8" s="64">
        <v>5</v>
      </c>
      <c r="G8" s="64" t="s">
        <v>479</v>
      </c>
      <c r="H8" s="64">
        <v>3</v>
      </c>
      <c r="I8" s="64">
        <v>2</v>
      </c>
      <c r="J8" s="64">
        <v>5</v>
      </c>
      <c r="L8" s="64" t="s">
        <v>51</v>
      </c>
      <c r="M8" s="64">
        <f>SUM(H20:H21)</f>
        <v>5</v>
      </c>
      <c r="N8" s="64">
        <f>SUM(I20:I21)</f>
        <v>5</v>
      </c>
      <c r="O8" s="64">
        <f t="shared" si="0"/>
        <v>10</v>
      </c>
      <c r="Q8" s="70" t="s">
        <v>51</v>
      </c>
      <c r="R8" s="71">
        <f t="shared" si="1"/>
        <v>2.7100271002710027E-3</v>
      </c>
      <c r="S8" s="71">
        <f t="shared" si="1"/>
        <v>2.7100271002710027E-3</v>
      </c>
    </row>
    <row r="9" spans="1:19" x14ac:dyDescent="0.2">
      <c r="A9" s="67" t="s">
        <v>480</v>
      </c>
      <c r="C9" s="64">
        <v>1</v>
      </c>
      <c r="E9" s="64">
        <v>1</v>
      </c>
      <c r="G9" s="64" t="s">
        <v>480</v>
      </c>
      <c r="I9" s="64">
        <v>1</v>
      </c>
      <c r="J9" s="64">
        <v>1</v>
      </c>
      <c r="L9" s="64" t="s">
        <v>481</v>
      </c>
      <c r="M9" s="64">
        <f>SUM(H22:H27)</f>
        <v>29</v>
      </c>
      <c r="N9" s="64">
        <f>SUM(I22:I27)</f>
        <v>36</v>
      </c>
      <c r="O9" s="64">
        <f t="shared" si="0"/>
        <v>65</v>
      </c>
      <c r="Q9" s="70" t="s">
        <v>481</v>
      </c>
      <c r="R9" s="71">
        <f t="shared" si="1"/>
        <v>1.5718157181571817E-2</v>
      </c>
      <c r="S9" s="71">
        <f t="shared" si="1"/>
        <v>1.9512195121951219E-2</v>
      </c>
    </row>
    <row r="10" spans="1:19" x14ac:dyDescent="0.2">
      <c r="A10" s="67" t="s">
        <v>482</v>
      </c>
      <c r="B10" s="64">
        <v>5</v>
      </c>
      <c r="C10" s="64">
        <v>10</v>
      </c>
      <c r="E10" s="64">
        <v>15</v>
      </c>
      <c r="G10" s="64" t="s">
        <v>482</v>
      </c>
      <c r="H10" s="64">
        <v>5</v>
      </c>
      <c r="I10" s="64">
        <v>10</v>
      </c>
      <c r="J10" s="64">
        <v>15</v>
      </c>
      <c r="L10" s="64" t="s">
        <v>66</v>
      </c>
      <c r="M10" s="64">
        <f>SUM(H32:H38)</f>
        <v>29</v>
      </c>
      <c r="N10" s="64">
        <f>SUM(I32:I38)</f>
        <v>21</v>
      </c>
      <c r="O10" s="64">
        <f t="shared" si="0"/>
        <v>50</v>
      </c>
      <c r="Q10" s="70" t="s">
        <v>66</v>
      </c>
      <c r="R10" s="71">
        <f t="shared" si="1"/>
        <v>1.5718157181571817E-2</v>
      </c>
      <c r="S10" s="71">
        <f t="shared" si="1"/>
        <v>1.1382113821138212E-2</v>
      </c>
    </row>
    <row r="11" spans="1:19" x14ac:dyDescent="0.2">
      <c r="A11" s="67" t="s">
        <v>483</v>
      </c>
      <c r="C11" s="64">
        <v>1</v>
      </c>
      <c r="E11" s="64">
        <v>1</v>
      </c>
      <c r="G11" s="64" t="s">
        <v>483</v>
      </c>
      <c r="I11" s="64">
        <v>1</v>
      </c>
      <c r="J11" s="64">
        <v>1</v>
      </c>
      <c r="L11" s="64" t="s">
        <v>68</v>
      </c>
      <c r="M11" s="64">
        <f>SUM(H39:H40)</f>
        <v>2</v>
      </c>
      <c r="N11" s="64">
        <f>SUM(I39:I40)</f>
        <v>4</v>
      </c>
      <c r="O11" s="64">
        <f t="shared" si="0"/>
        <v>6</v>
      </c>
      <c r="Q11" s="70" t="s">
        <v>68</v>
      </c>
      <c r="R11" s="71">
        <f t="shared" si="1"/>
        <v>1.0840108401084011E-3</v>
      </c>
      <c r="S11" s="71">
        <f t="shared" si="1"/>
        <v>2.1680216802168022E-3</v>
      </c>
    </row>
    <row r="12" spans="1:19" x14ac:dyDescent="0.2">
      <c r="A12" s="67" t="s">
        <v>484</v>
      </c>
      <c r="B12" s="64">
        <v>48</v>
      </c>
      <c r="C12" s="64">
        <v>82</v>
      </c>
      <c r="E12" s="64">
        <v>130</v>
      </c>
      <c r="G12" s="64" t="s">
        <v>484</v>
      </c>
      <c r="H12" s="64">
        <v>48</v>
      </c>
      <c r="I12" s="64">
        <v>82</v>
      </c>
      <c r="J12" s="64">
        <v>130</v>
      </c>
      <c r="L12" s="64" t="s">
        <v>70</v>
      </c>
      <c r="M12" s="64">
        <f>SUM(H28:H31)</f>
        <v>14</v>
      </c>
      <c r="N12" s="64">
        <f>SUM(I28:I31)</f>
        <v>30</v>
      </c>
      <c r="O12" s="64">
        <f t="shared" si="0"/>
        <v>44</v>
      </c>
      <c r="Q12" s="70" t="s">
        <v>70</v>
      </c>
      <c r="R12" s="71">
        <f t="shared" si="1"/>
        <v>7.5880758807588076E-3</v>
      </c>
      <c r="S12" s="71">
        <f t="shared" si="1"/>
        <v>1.6260162601626018E-2</v>
      </c>
    </row>
    <row r="13" spans="1:19" x14ac:dyDescent="0.2">
      <c r="A13" s="67" t="s">
        <v>485</v>
      </c>
      <c r="B13" s="64">
        <v>26</v>
      </c>
      <c r="C13" s="64">
        <v>49</v>
      </c>
      <c r="E13" s="64">
        <v>75</v>
      </c>
      <c r="G13" s="64" t="s">
        <v>485</v>
      </c>
      <c r="H13" s="64">
        <v>26</v>
      </c>
      <c r="I13" s="64">
        <v>49</v>
      </c>
      <c r="J13" s="64">
        <v>75</v>
      </c>
      <c r="O13" s="64">
        <f>SUM(O5:O12)</f>
        <v>1845</v>
      </c>
    </row>
    <row r="14" spans="1:19" x14ac:dyDescent="0.2">
      <c r="A14" s="67" t="s">
        <v>486</v>
      </c>
      <c r="B14" s="64">
        <v>9</v>
      </c>
      <c r="C14" s="64">
        <v>9</v>
      </c>
      <c r="E14" s="64">
        <v>18</v>
      </c>
      <c r="G14" s="64" t="s">
        <v>486</v>
      </c>
      <c r="H14" s="64">
        <v>9</v>
      </c>
      <c r="I14" s="64">
        <v>9</v>
      </c>
      <c r="J14" s="64">
        <v>18</v>
      </c>
    </row>
    <row r="15" spans="1:19" x14ac:dyDescent="0.2">
      <c r="A15" s="67" t="s">
        <v>487</v>
      </c>
      <c r="B15" s="64">
        <v>76</v>
      </c>
      <c r="C15" s="64">
        <v>86</v>
      </c>
      <c r="E15" s="64">
        <v>162</v>
      </c>
      <c r="G15" s="64" t="s">
        <v>487</v>
      </c>
      <c r="H15" s="64">
        <v>76</v>
      </c>
      <c r="I15" s="64">
        <v>86</v>
      </c>
      <c r="J15" s="64">
        <v>162</v>
      </c>
    </row>
    <row r="16" spans="1:19" x14ac:dyDescent="0.2">
      <c r="A16" s="67" t="s">
        <v>488</v>
      </c>
      <c r="B16" s="64">
        <v>18</v>
      </c>
      <c r="C16" s="64">
        <v>23</v>
      </c>
      <c r="E16" s="64">
        <v>41</v>
      </c>
      <c r="G16" s="64" t="s">
        <v>488</v>
      </c>
      <c r="H16" s="64">
        <v>18</v>
      </c>
      <c r="I16" s="64">
        <v>23</v>
      </c>
      <c r="J16" s="64">
        <v>41</v>
      </c>
    </row>
    <row r="17" spans="1:10" x14ac:dyDescent="0.2">
      <c r="A17" s="67" t="s">
        <v>489</v>
      </c>
      <c r="B17" s="64">
        <v>8</v>
      </c>
      <c r="C17" s="64">
        <v>9</v>
      </c>
      <c r="E17" s="64">
        <v>17</v>
      </c>
      <c r="G17" s="64" t="s">
        <v>489</v>
      </c>
      <c r="H17" s="64">
        <v>8</v>
      </c>
      <c r="I17" s="64">
        <v>9</v>
      </c>
      <c r="J17" s="64">
        <v>17</v>
      </c>
    </row>
    <row r="18" spans="1:10" x14ac:dyDescent="0.2">
      <c r="A18" s="67" t="s">
        <v>490</v>
      </c>
      <c r="B18" s="64">
        <v>6</v>
      </c>
      <c r="C18" s="64">
        <v>15</v>
      </c>
      <c r="E18" s="64">
        <v>21</v>
      </c>
      <c r="G18" s="64" t="s">
        <v>490</v>
      </c>
      <c r="H18" s="64">
        <v>6</v>
      </c>
      <c r="I18" s="64">
        <v>15</v>
      </c>
      <c r="J18" s="64">
        <v>21</v>
      </c>
    </row>
    <row r="19" spans="1:10" x14ac:dyDescent="0.2">
      <c r="A19" s="67" t="s">
        <v>491</v>
      </c>
      <c r="B19" s="64">
        <v>123</v>
      </c>
      <c r="C19" s="64">
        <v>192</v>
      </c>
      <c r="E19" s="64">
        <v>315</v>
      </c>
      <c r="G19" s="64" t="s">
        <v>491</v>
      </c>
      <c r="H19" s="64">
        <v>123</v>
      </c>
      <c r="I19" s="64">
        <v>192</v>
      </c>
      <c r="J19" s="64">
        <v>315</v>
      </c>
    </row>
    <row r="20" spans="1:10" x14ac:dyDescent="0.2">
      <c r="A20" s="67" t="s">
        <v>492</v>
      </c>
      <c r="B20" s="64">
        <v>4</v>
      </c>
      <c r="C20" s="64">
        <v>4</v>
      </c>
      <c r="E20" s="64">
        <v>8</v>
      </c>
      <c r="G20" s="64" t="s">
        <v>492</v>
      </c>
      <c r="H20" s="64">
        <v>4</v>
      </c>
      <c r="I20" s="64">
        <v>4</v>
      </c>
      <c r="J20" s="64">
        <v>8</v>
      </c>
    </row>
    <row r="21" spans="1:10" x14ac:dyDescent="0.2">
      <c r="A21" s="67" t="s">
        <v>493</v>
      </c>
      <c r="B21" s="64">
        <v>1</v>
      </c>
      <c r="C21" s="64">
        <v>1</v>
      </c>
      <c r="E21" s="64">
        <v>2</v>
      </c>
      <c r="G21" s="64" t="s">
        <v>493</v>
      </c>
      <c r="H21" s="64">
        <v>1</v>
      </c>
      <c r="I21" s="64">
        <v>1</v>
      </c>
      <c r="J21" s="64">
        <v>2</v>
      </c>
    </row>
    <row r="22" spans="1:10" x14ac:dyDescent="0.2">
      <c r="A22" s="67" t="s">
        <v>494</v>
      </c>
      <c r="C22" s="64">
        <v>2</v>
      </c>
      <c r="E22" s="64">
        <v>2</v>
      </c>
      <c r="G22" s="64" t="s">
        <v>494</v>
      </c>
      <c r="I22" s="64">
        <v>2</v>
      </c>
      <c r="J22" s="64">
        <v>2</v>
      </c>
    </row>
    <row r="23" spans="1:10" x14ac:dyDescent="0.2">
      <c r="A23" s="67" t="s">
        <v>495</v>
      </c>
      <c r="B23" s="64">
        <v>18</v>
      </c>
      <c r="C23" s="64">
        <v>28</v>
      </c>
      <c r="E23" s="64">
        <v>46</v>
      </c>
      <c r="G23" s="64" t="s">
        <v>495</v>
      </c>
      <c r="H23" s="64">
        <v>18</v>
      </c>
      <c r="I23" s="64">
        <v>28</v>
      </c>
      <c r="J23" s="64">
        <v>46</v>
      </c>
    </row>
    <row r="24" spans="1:10" x14ac:dyDescent="0.2">
      <c r="A24" s="67" t="s">
        <v>496</v>
      </c>
      <c r="B24" s="64">
        <v>9</v>
      </c>
      <c r="C24" s="64">
        <v>5</v>
      </c>
      <c r="E24" s="64">
        <v>14</v>
      </c>
      <c r="G24" s="64" t="s">
        <v>496</v>
      </c>
      <c r="H24" s="64">
        <v>9</v>
      </c>
      <c r="I24" s="64">
        <v>5</v>
      </c>
      <c r="J24" s="64">
        <v>14</v>
      </c>
    </row>
    <row r="25" spans="1:10" x14ac:dyDescent="0.2">
      <c r="A25" s="67" t="s">
        <v>497</v>
      </c>
      <c r="B25" s="64">
        <v>1</v>
      </c>
      <c r="E25" s="64">
        <v>1</v>
      </c>
      <c r="G25" s="64" t="s">
        <v>497</v>
      </c>
      <c r="H25" s="64">
        <v>1</v>
      </c>
      <c r="J25" s="64">
        <v>1</v>
      </c>
    </row>
    <row r="26" spans="1:10" x14ac:dyDescent="0.2">
      <c r="A26" s="67" t="s">
        <v>498</v>
      </c>
      <c r="C26" s="64">
        <v>1</v>
      </c>
      <c r="E26" s="64">
        <v>1</v>
      </c>
      <c r="G26" s="64" t="s">
        <v>498</v>
      </c>
      <c r="I26" s="64">
        <v>1</v>
      </c>
      <c r="J26" s="64">
        <v>1</v>
      </c>
    </row>
    <row r="27" spans="1:10" x14ac:dyDescent="0.2">
      <c r="A27" s="67" t="s">
        <v>499</v>
      </c>
      <c r="B27" s="64">
        <v>1</v>
      </c>
      <c r="E27" s="64">
        <v>1</v>
      </c>
      <c r="G27" s="64" t="s">
        <v>499</v>
      </c>
      <c r="H27" s="64">
        <v>1</v>
      </c>
      <c r="J27" s="64">
        <v>1</v>
      </c>
    </row>
    <row r="28" spans="1:10" x14ac:dyDescent="0.2">
      <c r="A28" s="67" t="s">
        <v>500</v>
      </c>
      <c r="B28" s="64">
        <v>14</v>
      </c>
      <c r="C28" s="64">
        <v>18</v>
      </c>
      <c r="E28" s="64">
        <v>32</v>
      </c>
      <c r="G28" s="64" t="s">
        <v>500</v>
      </c>
      <c r="H28" s="64">
        <v>14</v>
      </c>
      <c r="I28" s="64">
        <v>18</v>
      </c>
      <c r="J28" s="64">
        <v>32</v>
      </c>
    </row>
    <row r="29" spans="1:10" x14ac:dyDescent="0.2">
      <c r="A29" s="67" t="s">
        <v>501</v>
      </c>
      <c r="C29" s="64">
        <v>2</v>
      </c>
      <c r="E29" s="64">
        <v>2</v>
      </c>
      <c r="G29" s="64" t="s">
        <v>501</v>
      </c>
      <c r="I29" s="64">
        <v>2</v>
      </c>
      <c r="J29" s="64">
        <v>2</v>
      </c>
    </row>
    <row r="30" spans="1:10" x14ac:dyDescent="0.2">
      <c r="A30" s="67" t="s">
        <v>502</v>
      </c>
      <c r="C30" s="64">
        <v>1</v>
      </c>
      <c r="E30" s="64">
        <v>1</v>
      </c>
      <c r="G30" s="64" t="s">
        <v>502</v>
      </c>
      <c r="I30" s="64">
        <v>1</v>
      </c>
      <c r="J30" s="64">
        <v>1</v>
      </c>
    </row>
    <row r="31" spans="1:10" x14ac:dyDescent="0.2">
      <c r="A31" s="67" t="s">
        <v>503</v>
      </c>
      <c r="C31" s="64">
        <v>9</v>
      </c>
      <c r="E31" s="64">
        <v>9</v>
      </c>
      <c r="G31" s="64" t="s">
        <v>503</v>
      </c>
      <c r="I31" s="64">
        <v>9</v>
      </c>
      <c r="J31" s="64">
        <v>9</v>
      </c>
    </row>
    <row r="32" spans="1:10" x14ac:dyDescent="0.2">
      <c r="A32" s="67" t="s">
        <v>504</v>
      </c>
      <c r="C32" s="64">
        <v>2</v>
      </c>
      <c r="E32" s="64">
        <v>2</v>
      </c>
      <c r="G32" s="64" t="s">
        <v>504</v>
      </c>
      <c r="I32" s="64">
        <v>2</v>
      </c>
      <c r="J32" s="64">
        <v>2</v>
      </c>
    </row>
    <row r="33" spans="1:10" x14ac:dyDescent="0.2">
      <c r="A33" s="67" t="s">
        <v>505</v>
      </c>
      <c r="B33" s="64">
        <v>27</v>
      </c>
      <c r="C33" s="64">
        <v>14</v>
      </c>
      <c r="E33" s="64">
        <v>41</v>
      </c>
      <c r="G33" s="64" t="s">
        <v>505</v>
      </c>
      <c r="H33" s="64">
        <v>27</v>
      </c>
      <c r="I33" s="64">
        <v>14</v>
      </c>
      <c r="J33" s="64">
        <v>41</v>
      </c>
    </row>
    <row r="34" spans="1:10" x14ac:dyDescent="0.2">
      <c r="A34" s="67" t="s">
        <v>506</v>
      </c>
      <c r="C34" s="64">
        <v>1</v>
      </c>
      <c r="E34" s="64">
        <v>1</v>
      </c>
      <c r="G34" s="64" t="s">
        <v>506</v>
      </c>
      <c r="I34" s="64">
        <v>1</v>
      </c>
      <c r="J34" s="64">
        <v>1</v>
      </c>
    </row>
    <row r="35" spans="1:10" x14ac:dyDescent="0.2">
      <c r="A35" s="67" t="s">
        <v>507</v>
      </c>
      <c r="C35" s="64">
        <v>1</v>
      </c>
      <c r="E35" s="64">
        <v>1</v>
      </c>
      <c r="G35" s="64" t="s">
        <v>507</v>
      </c>
      <c r="I35" s="64">
        <v>1</v>
      </c>
      <c r="J35" s="64">
        <v>1</v>
      </c>
    </row>
    <row r="36" spans="1:10" x14ac:dyDescent="0.2">
      <c r="A36" s="67" t="s">
        <v>508</v>
      </c>
      <c r="B36" s="64">
        <v>1</v>
      </c>
      <c r="C36" s="64">
        <v>1</v>
      </c>
      <c r="E36" s="64">
        <v>2</v>
      </c>
      <c r="G36" s="64" t="s">
        <v>508</v>
      </c>
      <c r="H36" s="64">
        <v>1</v>
      </c>
      <c r="I36" s="64">
        <v>1</v>
      </c>
      <c r="J36" s="64">
        <v>2</v>
      </c>
    </row>
    <row r="37" spans="1:10" x14ac:dyDescent="0.2">
      <c r="A37" s="67" t="s">
        <v>509</v>
      </c>
      <c r="C37" s="64">
        <v>1</v>
      </c>
      <c r="E37" s="64">
        <v>1</v>
      </c>
      <c r="G37" s="64" t="s">
        <v>509</v>
      </c>
      <c r="I37" s="64">
        <v>1</v>
      </c>
      <c r="J37" s="64">
        <v>1</v>
      </c>
    </row>
    <row r="38" spans="1:10" x14ac:dyDescent="0.2">
      <c r="A38" s="67" t="s">
        <v>510</v>
      </c>
      <c r="B38" s="64">
        <v>1</v>
      </c>
      <c r="C38" s="64">
        <v>1</v>
      </c>
      <c r="E38" s="64">
        <v>2</v>
      </c>
      <c r="G38" s="64" t="s">
        <v>510</v>
      </c>
      <c r="H38" s="64">
        <v>1</v>
      </c>
      <c r="I38" s="64">
        <v>1</v>
      </c>
      <c r="J38" s="64">
        <v>2</v>
      </c>
    </row>
    <row r="39" spans="1:10" x14ac:dyDescent="0.2">
      <c r="A39" s="67" t="s">
        <v>511</v>
      </c>
      <c r="C39" s="64">
        <v>1</v>
      </c>
      <c r="E39" s="64">
        <v>1</v>
      </c>
      <c r="G39" s="64" t="s">
        <v>511</v>
      </c>
      <c r="I39" s="64">
        <v>1</v>
      </c>
      <c r="J39" s="64">
        <v>1</v>
      </c>
    </row>
    <row r="40" spans="1:10" x14ac:dyDescent="0.2">
      <c r="A40" s="67" t="s">
        <v>512</v>
      </c>
      <c r="B40" s="64">
        <v>2</v>
      </c>
      <c r="C40" s="64">
        <v>3</v>
      </c>
      <c r="E40" s="64">
        <v>5</v>
      </c>
      <c r="G40" s="64" t="s">
        <v>512</v>
      </c>
      <c r="H40" s="64">
        <v>2</v>
      </c>
      <c r="I40" s="64">
        <v>3</v>
      </c>
      <c r="J40" s="64">
        <v>5</v>
      </c>
    </row>
    <row r="41" spans="1:10" x14ac:dyDescent="0.2">
      <c r="A41" s="67" t="s">
        <v>513</v>
      </c>
      <c r="B41" s="64">
        <v>9</v>
      </c>
      <c r="C41" s="64">
        <v>27</v>
      </c>
      <c r="E41" s="64">
        <v>36</v>
      </c>
      <c r="G41" s="64" t="s">
        <v>513</v>
      </c>
      <c r="H41" s="64">
        <v>9</v>
      </c>
      <c r="I41" s="64">
        <v>27</v>
      </c>
      <c r="J41" s="64">
        <v>36</v>
      </c>
    </row>
    <row r="42" spans="1:10" x14ac:dyDescent="0.2">
      <c r="A42" s="67" t="s">
        <v>514</v>
      </c>
      <c r="B42" s="64">
        <v>100</v>
      </c>
      <c r="C42" s="64">
        <v>111</v>
      </c>
      <c r="E42" s="64">
        <v>211</v>
      </c>
      <c r="G42" s="64" t="s">
        <v>514</v>
      </c>
      <c r="H42" s="64">
        <v>100</v>
      </c>
      <c r="I42" s="64">
        <v>111</v>
      </c>
      <c r="J42" s="64">
        <v>211</v>
      </c>
    </row>
    <row r="43" spans="1:10" x14ac:dyDescent="0.2">
      <c r="A43" s="67" t="s">
        <v>515</v>
      </c>
      <c r="B43" s="64">
        <v>1</v>
      </c>
      <c r="C43" s="64">
        <v>3</v>
      </c>
      <c r="E43" s="64">
        <v>4</v>
      </c>
      <c r="G43" s="64" t="s">
        <v>515</v>
      </c>
      <c r="H43" s="64">
        <v>1</v>
      </c>
      <c r="I43" s="64">
        <v>3</v>
      </c>
      <c r="J43" s="64">
        <v>4</v>
      </c>
    </row>
    <row r="44" spans="1:10" x14ac:dyDescent="0.2">
      <c r="A44" s="67" t="s">
        <v>516</v>
      </c>
      <c r="B44" s="64">
        <v>9</v>
      </c>
      <c r="C44" s="64">
        <v>6</v>
      </c>
      <c r="E44" s="64">
        <v>15</v>
      </c>
      <c r="G44" s="64" t="s">
        <v>516</v>
      </c>
      <c r="H44" s="64">
        <v>9</v>
      </c>
      <c r="I44" s="64">
        <v>6</v>
      </c>
      <c r="J44" s="64">
        <v>15</v>
      </c>
    </row>
    <row r="45" spans="1:10" x14ac:dyDescent="0.2">
      <c r="A45" s="67" t="s">
        <v>517</v>
      </c>
      <c r="B45" s="64">
        <v>9</v>
      </c>
      <c r="C45" s="64">
        <v>73</v>
      </c>
      <c r="E45" s="64">
        <v>82</v>
      </c>
      <c r="G45" s="64" t="s">
        <v>517</v>
      </c>
      <c r="H45" s="64">
        <v>9</v>
      </c>
      <c r="I45" s="64">
        <v>73</v>
      </c>
      <c r="J45" s="64">
        <v>82</v>
      </c>
    </row>
    <row r="46" spans="1:10" x14ac:dyDescent="0.2">
      <c r="A46" s="67" t="s">
        <v>518</v>
      </c>
      <c r="B46" s="64">
        <v>1</v>
      </c>
      <c r="C46" s="64">
        <v>1</v>
      </c>
      <c r="E46" s="64">
        <v>2</v>
      </c>
      <c r="G46" s="64" t="s">
        <v>518</v>
      </c>
      <c r="H46" s="64">
        <v>1</v>
      </c>
      <c r="I46" s="64">
        <v>1</v>
      </c>
      <c r="J46" s="64">
        <v>2</v>
      </c>
    </row>
    <row r="47" spans="1:10" x14ac:dyDescent="0.2">
      <c r="A47" s="67" t="s">
        <v>519</v>
      </c>
      <c r="B47" s="64">
        <v>47</v>
      </c>
      <c r="C47" s="64">
        <v>293</v>
      </c>
      <c r="E47" s="64">
        <v>340</v>
      </c>
      <c r="G47" s="64" t="s">
        <v>519</v>
      </c>
      <c r="H47" s="64">
        <v>47</v>
      </c>
      <c r="I47" s="64">
        <v>293</v>
      </c>
      <c r="J47" s="64">
        <v>340</v>
      </c>
    </row>
    <row r="48" spans="1:10" x14ac:dyDescent="0.2">
      <c r="A48" s="67" t="s">
        <v>474</v>
      </c>
      <c r="G48" s="64" t="s">
        <v>474</v>
      </c>
    </row>
    <row r="49" spans="1:5" x14ac:dyDescent="0.2">
      <c r="A49" s="67" t="s">
        <v>205</v>
      </c>
      <c r="B49" s="64">
        <v>618</v>
      </c>
      <c r="C49" s="64">
        <v>1227</v>
      </c>
      <c r="E49" s="64">
        <v>1845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19B24-929E-4E40-97E8-F854DBCC4168}">
  <dimension ref="A3:H27"/>
  <sheetViews>
    <sheetView topLeftCell="A7" workbookViewId="0">
      <selection activeCell="W22" sqref="W22"/>
    </sheetView>
  </sheetViews>
  <sheetFormatPr defaultRowHeight="12.75" x14ac:dyDescent="0.2"/>
  <cols>
    <col min="1" max="1" width="13.85546875" style="64" bestFit="1" customWidth="1"/>
    <col min="2" max="2" width="20.42578125" style="64" bestFit="1" customWidth="1"/>
    <col min="3" max="3" width="5" style="64" bestFit="1" customWidth="1"/>
    <col min="4" max="4" width="4" style="64" bestFit="1" customWidth="1"/>
    <col min="5" max="6" width="12.7109375" style="64" customWidth="1"/>
    <col min="7" max="7" width="15" style="64" customWidth="1"/>
    <col min="8" max="8" width="14.85546875" style="64" customWidth="1"/>
    <col min="9" max="38" width="12.7109375" style="64" customWidth="1"/>
    <col min="39" max="39" width="5" style="64" bestFit="1" customWidth="1"/>
    <col min="40" max="43" width="3" style="64" bestFit="1" customWidth="1"/>
    <col min="44" max="44" width="7.140625" style="64" bestFit="1" customWidth="1"/>
    <col min="45" max="45" width="11.7109375" style="64" bestFit="1" customWidth="1"/>
    <col min="46" max="16384" width="9.140625" style="64"/>
  </cols>
  <sheetData>
    <row r="3" spans="1:8" x14ac:dyDescent="0.2">
      <c r="A3" s="64" t="s">
        <v>473</v>
      </c>
      <c r="B3" s="64" t="s">
        <v>520</v>
      </c>
      <c r="F3" s="64" t="s">
        <v>521</v>
      </c>
      <c r="G3" s="64" t="s">
        <v>522</v>
      </c>
      <c r="H3" s="64" t="s">
        <v>523</v>
      </c>
    </row>
    <row r="4" spans="1:8" x14ac:dyDescent="0.2">
      <c r="A4" s="67" t="s">
        <v>524</v>
      </c>
      <c r="B4" s="64">
        <v>432</v>
      </c>
      <c r="F4" s="64" t="s">
        <v>524</v>
      </c>
      <c r="G4" s="64">
        <v>432</v>
      </c>
      <c r="H4" s="68">
        <f>G4/$G$12</f>
        <v>0.23414634146341465</v>
      </c>
    </row>
    <row r="5" spans="1:8" x14ac:dyDescent="0.2">
      <c r="A5" s="67" t="s">
        <v>525</v>
      </c>
      <c r="B5" s="64">
        <v>232</v>
      </c>
      <c r="F5" s="64" t="s">
        <v>526</v>
      </c>
      <c r="G5" s="64">
        <v>83</v>
      </c>
      <c r="H5" s="68">
        <f>G5/$G$12</f>
        <v>4.4986449864498644E-2</v>
      </c>
    </row>
    <row r="6" spans="1:8" x14ac:dyDescent="0.2">
      <c r="A6" s="67" t="s">
        <v>526</v>
      </c>
      <c r="B6" s="64">
        <v>83</v>
      </c>
      <c r="F6" s="64" t="s">
        <v>527</v>
      </c>
      <c r="G6" s="64">
        <v>299</v>
      </c>
      <c r="H6" s="68">
        <f>G6/$G$12</f>
        <v>0.16205962059620596</v>
      </c>
    </row>
    <row r="7" spans="1:8" x14ac:dyDescent="0.2">
      <c r="A7" s="67" t="s">
        <v>527</v>
      </c>
      <c r="B7" s="64">
        <v>299</v>
      </c>
      <c r="F7" s="64" t="s">
        <v>528</v>
      </c>
      <c r="G7" s="64">
        <v>407</v>
      </c>
      <c r="H7" s="68">
        <f>G7/$G$12</f>
        <v>0.22059620596205962</v>
      </c>
    </row>
    <row r="8" spans="1:8" x14ac:dyDescent="0.2">
      <c r="A8" s="67" t="s">
        <v>528</v>
      </c>
      <c r="B8" s="64">
        <v>407</v>
      </c>
      <c r="F8" s="64" t="s">
        <v>529</v>
      </c>
      <c r="G8" s="64">
        <v>148</v>
      </c>
      <c r="H8" s="68">
        <f>G8/$G$12</f>
        <v>8.0216802168021684E-2</v>
      </c>
    </row>
    <row r="9" spans="1:8" x14ac:dyDescent="0.2">
      <c r="A9" s="67" t="s">
        <v>529</v>
      </c>
      <c r="B9" s="64">
        <v>148</v>
      </c>
      <c r="F9" s="64" t="s">
        <v>525</v>
      </c>
      <c r="G9" s="64">
        <v>232</v>
      </c>
      <c r="H9" s="68">
        <f>G9/$G$12</f>
        <v>0.12574525745257453</v>
      </c>
    </row>
    <row r="10" spans="1:8" x14ac:dyDescent="0.2">
      <c r="A10" s="67" t="s">
        <v>530</v>
      </c>
      <c r="B10" s="64">
        <v>244</v>
      </c>
      <c r="F10" s="64" t="s">
        <v>530</v>
      </c>
      <c r="G10" s="64">
        <v>244</v>
      </c>
      <c r="H10" s="68">
        <f t="shared" ref="H10" si="0">G10/$G$12</f>
        <v>0.13224932249322494</v>
      </c>
    </row>
    <row r="11" spans="1:8" x14ac:dyDescent="0.2">
      <c r="A11" s="67" t="s">
        <v>474</v>
      </c>
    </row>
    <row r="12" spans="1:8" x14ac:dyDescent="0.2">
      <c r="A12" s="67" t="s">
        <v>205</v>
      </c>
      <c r="B12" s="64">
        <v>1845</v>
      </c>
      <c r="F12" s="64" t="s">
        <v>205</v>
      </c>
      <c r="G12" s="64">
        <f>SUM(G4:G10)</f>
        <v>1845</v>
      </c>
    </row>
    <row r="15" spans="1:8" x14ac:dyDescent="0.2">
      <c r="A15" s="64" t="s">
        <v>473</v>
      </c>
      <c r="B15" s="64" t="s">
        <v>531</v>
      </c>
    </row>
    <row r="16" spans="1:8" x14ac:dyDescent="0.2">
      <c r="A16" s="67" t="s">
        <v>532</v>
      </c>
      <c r="B16" s="64">
        <v>274</v>
      </c>
    </row>
    <row r="17" spans="1:8" x14ac:dyDescent="0.2">
      <c r="A17" s="67" t="s">
        <v>533</v>
      </c>
      <c r="B17" s="64">
        <v>219</v>
      </c>
    </row>
    <row r="18" spans="1:8" x14ac:dyDescent="0.2">
      <c r="A18" s="67" t="s">
        <v>534</v>
      </c>
      <c r="B18" s="64">
        <v>519</v>
      </c>
    </row>
    <row r="19" spans="1:8" x14ac:dyDescent="0.2">
      <c r="A19" s="67" t="s">
        <v>535</v>
      </c>
      <c r="B19" s="64">
        <v>526</v>
      </c>
    </row>
    <row r="20" spans="1:8" x14ac:dyDescent="0.2">
      <c r="A20" s="67" t="s">
        <v>536</v>
      </c>
      <c r="B20" s="64">
        <v>307</v>
      </c>
    </row>
    <row r="21" spans="1:8" x14ac:dyDescent="0.2">
      <c r="A21" s="67" t="s">
        <v>474</v>
      </c>
      <c r="F21" s="64" t="s">
        <v>537</v>
      </c>
      <c r="G21" s="64" t="s">
        <v>522</v>
      </c>
      <c r="H21" s="64" t="s">
        <v>523</v>
      </c>
    </row>
    <row r="22" spans="1:8" x14ac:dyDescent="0.2">
      <c r="A22" s="67" t="s">
        <v>205</v>
      </c>
      <c r="B22" s="64">
        <v>1845</v>
      </c>
      <c r="F22" s="64" t="s">
        <v>533</v>
      </c>
      <c r="G22" s="64">
        <v>219</v>
      </c>
      <c r="H22" s="68">
        <f>G22/$G$27</f>
        <v>0.11869918699186992</v>
      </c>
    </row>
    <row r="23" spans="1:8" x14ac:dyDescent="0.2">
      <c r="F23" s="64" t="s">
        <v>532</v>
      </c>
      <c r="G23" s="64">
        <v>274</v>
      </c>
      <c r="H23" s="68">
        <f>G23/$G$27</f>
        <v>0.14850948509485096</v>
      </c>
    </row>
    <row r="24" spans="1:8" x14ac:dyDescent="0.2">
      <c r="F24" s="64" t="s">
        <v>534</v>
      </c>
      <c r="G24" s="64">
        <v>519</v>
      </c>
      <c r="H24" s="68">
        <f t="shared" ref="H24:H26" si="1">G24/$G$27</f>
        <v>0.28130081300813009</v>
      </c>
    </row>
    <row r="25" spans="1:8" x14ac:dyDescent="0.2">
      <c r="F25" s="64" t="s">
        <v>535</v>
      </c>
      <c r="G25" s="64">
        <v>526</v>
      </c>
      <c r="H25" s="68">
        <f t="shared" si="1"/>
        <v>0.2850948509485095</v>
      </c>
    </row>
    <row r="26" spans="1:8" x14ac:dyDescent="0.2">
      <c r="F26" s="64" t="s">
        <v>536</v>
      </c>
      <c r="G26" s="64">
        <v>307</v>
      </c>
      <c r="H26" s="68">
        <f t="shared" si="1"/>
        <v>0.16639566395663957</v>
      </c>
    </row>
    <row r="27" spans="1:8" x14ac:dyDescent="0.2">
      <c r="F27" s="64" t="s">
        <v>205</v>
      </c>
      <c r="G27" s="64">
        <f>SUM(G22:G26)</f>
        <v>1845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83E0C-11FE-4830-AC78-21A356AFA0A5}">
  <dimension ref="A3:AA13"/>
  <sheetViews>
    <sheetView topLeftCell="P1" workbookViewId="0">
      <selection activeCell="W22" sqref="W22"/>
    </sheetView>
  </sheetViews>
  <sheetFormatPr defaultRowHeight="12.75" x14ac:dyDescent="0.2"/>
  <cols>
    <col min="1" max="1" width="20" style="64" bestFit="1" customWidth="1"/>
    <col min="2" max="2" width="17" style="64" bestFit="1" customWidth="1"/>
    <col min="3" max="5" width="9.5703125" style="64" bestFit="1" customWidth="1"/>
    <col min="6" max="6" width="10.5703125" style="64" bestFit="1" customWidth="1"/>
    <col min="7" max="7" width="10.85546875" style="64" bestFit="1" customWidth="1"/>
    <col min="8" max="8" width="7.140625" style="64" bestFit="1" customWidth="1"/>
    <col min="9" max="9" width="11.7109375" style="64" bestFit="1" customWidth="1"/>
    <col min="10" max="20" width="9.140625" style="64"/>
    <col min="21" max="21" width="11.7109375" style="64" customWidth="1"/>
    <col min="22" max="16384" width="9.140625" style="64"/>
  </cols>
  <sheetData>
    <row r="3" spans="1:27" ht="15.75" x14ac:dyDescent="0.25">
      <c r="A3" s="64" t="s">
        <v>538</v>
      </c>
      <c r="B3" s="64" t="s">
        <v>472</v>
      </c>
      <c r="V3" s="72" t="s">
        <v>539</v>
      </c>
      <c r="W3" s="72"/>
      <c r="X3" s="72"/>
      <c r="Y3" s="72"/>
      <c r="Z3" s="72"/>
      <c r="AA3" s="72"/>
    </row>
    <row r="4" spans="1:27" ht="38.25" x14ac:dyDescent="0.2">
      <c r="A4" s="64" t="s">
        <v>473</v>
      </c>
      <c r="B4" s="64" t="s">
        <v>540</v>
      </c>
      <c r="C4" s="64" t="s">
        <v>541</v>
      </c>
      <c r="D4" s="64" t="s">
        <v>542</v>
      </c>
      <c r="E4" s="64" t="s">
        <v>543</v>
      </c>
      <c r="F4" s="64" t="s">
        <v>544</v>
      </c>
      <c r="G4" s="64" t="s">
        <v>545</v>
      </c>
      <c r="H4" s="64" t="s">
        <v>474</v>
      </c>
      <c r="I4" s="64" t="s">
        <v>205</v>
      </c>
      <c r="K4" s="64" t="s">
        <v>521</v>
      </c>
      <c r="L4" s="64" t="s">
        <v>540</v>
      </c>
      <c r="M4" s="64" t="s">
        <v>541</v>
      </c>
      <c r="N4" s="64" t="s">
        <v>542</v>
      </c>
      <c r="O4" s="64" t="s">
        <v>543</v>
      </c>
      <c r="P4" s="64" t="s">
        <v>544</v>
      </c>
      <c r="Q4" s="64" t="s">
        <v>545</v>
      </c>
      <c r="R4" s="64" t="s">
        <v>205</v>
      </c>
      <c r="U4" s="73" t="s">
        <v>546</v>
      </c>
      <c r="V4" s="73" t="s">
        <v>547</v>
      </c>
      <c r="W4" s="73" t="s">
        <v>548</v>
      </c>
      <c r="X4" s="73" t="s">
        <v>549</v>
      </c>
      <c r="Y4" s="73" t="s">
        <v>550</v>
      </c>
      <c r="Z4" s="73" t="s">
        <v>551</v>
      </c>
      <c r="AA4" s="73" t="s">
        <v>552</v>
      </c>
    </row>
    <row r="5" spans="1:27" x14ac:dyDescent="0.2">
      <c r="A5" s="67" t="s">
        <v>524</v>
      </c>
      <c r="B5" s="64">
        <v>165</v>
      </c>
      <c r="C5" s="64">
        <v>121</v>
      </c>
      <c r="D5" s="64">
        <v>63</v>
      </c>
      <c r="E5" s="64">
        <v>42</v>
      </c>
      <c r="F5" s="64">
        <v>33</v>
      </c>
      <c r="G5" s="64">
        <v>8</v>
      </c>
      <c r="I5" s="64">
        <v>432</v>
      </c>
      <c r="K5" s="64" t="s">
        <v>524</v>
      </c>
      <c r="L5" s="64">
        <v>165</v>
      </c>
      <c r="M5" s="64">
        <v>121</v>
      </c>
      <c r="N5" s="64">
        <v>63</v>
      </c>
      <c r="O5" s="64">
        <v>42</v>
      </c>
      <c r="P5" s="64">
        <v>33</v>
      </c>
      <c r="Q5" s="64">
        <v>8</v>
      </c>
      <c r="R5" s="64">
        <v>432</v>
      </c>
      <c r="U5" s="74" t="s">
        <v>524</v>
      </c>
      <c r="V5" s="75">
        <f>L5/$R$13</f>
        <v>8.943089430894309E-2</v>
      </c>
      <c r="W5" s="75">
        <f t="shared" ref="W5:AA11" si="0">M5/$R$13</f>
        <v>6.558265582655827E-2</v>
      </c>
      <c r="X5" s="75">
        <f t="shared" si="0"/>
        <v>3.4146341463414637E-2</v>
      </c>
      <c r="Y5" s="75">
        <f t="shared" si="0"/>
        <v>2.2764227642276424E-2</v>
      </c>
      <c r="Z5" s="75">
        <f t="shared" si="0"/>
        <v>1.7886178861788619E-2</v>
      </c>
      <c r="AA5" s="75">
        <f t="shared" si="0"/>
        <v>4.3360433604336043E-3</v>
      </c>
    </row>
    <row r="6" spans="1:27" x14ac:dyDescent="0.2">
      <c r="A6" s="67" t="s">
        <v>525</v>
      </c>
      <c r="B6" s="64">
        <v>66</v>
      </c>
      <c r="C6" s="64">
        <v>58</v>
      </c>
      <c r="D6" s="64">
        <v>38</v>
      </c>
      <c r="E6" s="64">
        <v>32</v>
      </c>
      <c r="F6" s="64">
        <v>29</v>
      </c>
      <c r="G6" s="64">
        <v>9</v>
      </c>
      <c r="I6" s="64">
        <v>232</v>
      </c>
      <c r="K6" s="64" t="s">
        <v>526</v>
      </c>
      <c r="L6" s="64">
        <v>45</v>
      </c>
      <c r="M6" s="64">
        <v>25</v>
      </c>
      <c r="N6" s="64">
        <v>4</v>
      </c>
      <c r="O6" s="64">
        <v>3</v>
      </c>
      <c r="P6" s="64">
        <v>2</v>
      </c>
      <c r="Q6" s="64">
        <v>4</v>
      </c>
      <c r="R6" s="64">
        <v>83</v>
      </c>
      <c r="U6" s="74" t="s">
        <v>526</v>
      </c>
      <c r="V6" s="75">
        <f>L10/$R$13</f>
        <v>3.5772357723577237E-2</v>
      </c>
      <c r="W6" s="75">
        <f>M10/$R$13</f>
        <v>3.1436314363143633E-2</v>
      </c>
      <c r="X6" s="75">
        <f>N10/$R$13</f>
        <v>2.0596205962059622E-2</v>
      </c>
      <c r="Y6" s="75">
        <f>O10/$R$13</f>
        <v>1.7344173441734417E-2</v>
      </c>
      <c r="Z6" s="75">
        <f>P10/$R$13</f>
        <v>1.5718157181571817E-2</v>
      </c>
      <c r="AA6" s="75">
        <f>Q10/$R$13</f>
        <v>4.8780487804878049E-3</v>
      </c>
    </row>
    <row r="7" spans="1:27" x14ac:dyDescent="0.2">
      <c r="A7" s="67" t="s">
        <v>526</v>
      </c>
      <c r="B7" s="64">
        <v>45</v>
      </c>
      <c r="C7" s="64">
        <v>25</v>
      </c>
      <c r="D7" s="64">
        <v>4</v>
      </c>
      <c r="E7" s="64">
        <v>3</v>
      </c>
      <c r="F7" s="64">
        <v>2</v>
      </c>
      <c r="G7" s="64">
        <v>4</v>
      </c>
      <c r="I7" s="64">
        <v>83</v>
      </c>
      <c r="K7" s="64" t="s">
        <v>527</v>
      </c>
      <c r="L7" s="64">
        <v>99</v>
      </c>
      <c r="M7" s="64">
        <v>97</v>
      </c>
      <c r="N7" s="64">
        <v>38</v>
      </c>
      <c r="O7" s="64">
        <v>31</v>
      </c>
      <c r="P7" s="64">
        <v>30</v>
      </c>
      <c r="Q7" s="64">
        <v>4</v>
      </c>
      <c r="R7" s="64">
        <v>299</v>
      </c>
      <c r="U7" s="74" t="s">
        <v>527</v>
      </c>
      <c r="V7" s="75">
        <f>L6/$R$13</f>
        <v>2.4390243902439025E-2</v>
      </c>
      <c r="W7" s="75">
        <f>M6/$R$13</f>
        <v>1.3550135501355014E-2</v>
      </c>
      <c r="X7" s="75">
        <f>N6/$R$13</f>
        <v>2.1680216802168022E-3</v>
      </c>
      <c r="Y7" s="75">
        <f>O6/$R$13</f>
        <v>1.6260162601626016E-3</v>
      </c>
      <c r="Z7" s="75">
        <f>P6/$R$13</f>
        <v>1.0840108401084011E-3</v>
      </c>
      <c r="AA7" s="75">
        <f>Q6/$R$13</f>
        <v>2.1680216802168022E-3</v>
      </c>
    </row>
    <row r="8" spans="1:27" x14ac:dyDescent="0.2">
      <c r="A8" s="67" t="s">
        <v>527</v>
      </c>
      <c r="B8" s="64">
        <v>99</v>
      </c>
      <c r="C8" s="64">
        <v>97</v>
      </c>
      <c r="D8" s="64">
        <v>38</v>
      </c>
      <c r="E8" s="64">
        <v>31</v>
      </c>
      <c r="F8" s="64">
        <v>30</v>
      </c>
      <c r="G8" s="64">
        <v>4</v>
      </c>
      <c r="I8" s="64">
        <v>299</v>
      </c>
      <c r="K8" s="64" t="s">
        <v>528</v>
      </c>
      <c r="L8" s="64">
        <v>149</v>
      </c>
      <c r="M8" s="64">
        <v>107</v>
      </c>
      <c r="N8" s="64">
        <v>71</v>
      </c>
      <c r="O8" s="64">
        <v>33</v>
      </c>
      <c r="P8" s="64">
        <v>32</v>
      </c>
      <c r="Q8" s="64">
        <v>15</v>
      </c>
      <c r="R8" s="64">
        <v>407</v>
      </c>
      <c r="U8" s="74" t="s">
        <v>528</v>
      </c>
      <c r="V8" s="75">
        <f>L7/$R$13</f>
        <v>5.3658536585365853E-2</v>
      </c>
      <c r="W8" s="75">
        <f>M7/$R$13</f>
        <v>5.257452574525745E-2</v>
      </c>
      <c r="X8" s="75">
        <f>N7/$R$13</f>
        <v>2.0596205962059622E-2</v>
      </c>
      <c r="Y8" s="75">
        <f>O7/$R$13</f>
        <v>1.6802168021680216E-2</v>
      </c>
      <c r="Z8" s="75">
        <f>P7/$R$13</f>
        <v>1.6260162601626018E-2</v>
      </c>
      <c r="AA8" s="75">
        <f>Q7/$R$13</f>
        <v>2.1680216802168022E-3</v>
      </c>
    </row>
    <row r="9" spans="1:27" x14ac:dyDescent="0.2">
      <c r="A9" s="67" t="s">
        <v>528</v>
      </c>
      <c r="B9" s="64">
        <v>149</v>
      </c>
      <c r="C9" s="64">
        <v>107</v>
      </c>
      <c r="D9" s="64">
        <v>71</v>
      </c>
      <c r="E9" s="64">
        <v>33</v>
      </c>
      <c r="F9" s="64">
        <v>32</v>
      </c>
      <c r="G9" s="64">
        <v>15</v>
      </c>
      <c r="I9" s="64">
        <v>407</v>
      </c>
      <c r="K9" s="64" t="s">
        <v>529</v>
      </c>
      <c r="L9" s="64">
        <v>60</v>
      </c>
      <c r="M9" s="64">
        <v>40</v>
      </c>
      <c r="N9" s="64">
        <v>21</v>
      </c>
      <c r="O9" s="64">
        <v>14</v>
      </c>
      <c r="P9" s="64">
        <v>11</v>
      </c>
      <c r="Q9" s="64">
        <v>2</v>
      </c>
      <c r="R9" s="64">
        <v>148</v>
      </c>
      <c r="U9" s="74" t="s">
        <v>529</v>
      </c>
      <c r="V9" s="75">
        <f>L8/$R$13</f>
        <v>8.0758807588075882E-2</v>
      </c>
      <c r="W9" s="75">
        <f>M8/$R$13</f>
        <v>5.7994579945799457E-2</v>
      </c>
      <c r="X9" s="75">
        <f>N8/$R$13</f>
        <v>3.8482384823848241E-2</v>
      </c>
      <c r="Y9" s="75">
        <f>O8/$R$13</f>
        <v>1.7886178861788619E-2</v>
      </c>
      <c r="Z9" s="75">
        <f>P8/$R$13</f>
        <v>1.7344173441734417E-2</v>
      </c>
      <c r="AA9" s="75">
        <f>Q8/$R$13</f>
        <v>8.130081300813009E-3</v>
      </c>
    </row>
    <row r="10" spans="1:27" x14ac:dyDescent="0.2">
      <c r="A10" s="67" t="s">
        <v>529</v>
      </c>
      <c r="B10" s="64">
        <v>60</v>
      </c>
      <c r="C10" s="64">
        <v>40</v>
      </c>
      <c r="D10" s="64">
        <v>21</v>
      </c>
      <c r="E10" s="64">
        <v>14</v>
      </c>
      <c r="F10" s="64">
        <v>11</v>
      </c>
      <c r="G10" s="64">
        <v>2</v>
      </c>
      <c r="I10" s="64">
        <v>148</v>
      </c>
      <c r="K10" s="64" t="s">
        <v>525</v>
      </c>
      <c r="L10" s="64">
        <v>66</v>
      </c>
      <c r="M10" s="64">
        <v>58</v>
      </c>
      <c r="N10" s="64">
        <v>38</v>
      </c>
      <c r="O10" s="64">
        <v>32</v>
      </c>
      <c r="P10" s="64">
        <v>29</v>
      </c>
      <c r="Q10" s="64">
        <v>9</v>
      </c>
      <c r="R10" s="64">
        <v>232</v>
      </c>
      <c r="U10" s="74" t="s">
        <v>553</v>
      </c>
      <c r="V10" s="75">
        <f>L9/$R$13</f>
        <v>3.2520325203252036E-2</v>
      </c>
      <c r="W10" s="75">
        <f>M9/$R$13</f>
        <v>2.1680216802168022E-2</v>
      </c>
      <c r="X10" s="75">
        <f>N9/$R$13</f>
        <v>1.1382113821138212E-2</v>
      </c>
      <c r="Y10" s="75">
        <f>O9/$R$13</f>
        <v>7.5880758807588076E-3</v>
      </c>
      <c r="Z10" s="75">
        <f>P9/$R$13</f>
        <v>5.962059620596206E-3</v>
      </c>
      <c r="AA10" s="75">
        <f>Q9/$R$13</f>
        <v>1.0840108401084011E-3</v>
      </c>
    </row>
    <row r="11" spans="1:27" x14ac:dyDescent="0.2">
      <c r="A11" s="67" t="s">
        <v>530</v>
      </c>
      <c r="B11" s="64">
        <v>58</v>
      </c>
      <c r="C11" s="64">
        <v>56</v>
      </c>
      <c r="D11" s="64">
        <v>45</v>
      </c>
      <c r="E11" s="64">
        <v>25</v>
      </c>
      <c r="F11" s="64">
        <v>43</v>
      </c>
      <c r="G11" s="64">
        <v>17</v>
      </c>
      <c r="I11" s="64">
        <v>244</v>
      </c>
      <c r="K11" s="64" t="s">
        <v>530</v>
      </c>
      <c r="L11" s="64">
        <v>58</v>
      </c>
      <c r="M11" s="64">
        <v>56</v>
      </c>
      <c r="N11" s="64">
        <v>45</v>
      </c>
      <c r="O11" s="64">
        <v>25</v>
      </c>
      <c r="P11" s="64">
        <v>43</v>
      </c>
      <c r="Q11" s="64">
        <v>17</v>
      </c>
      <c r="R11" s="64">
        <v>244</v>
      </c>
      <c r="U11" s="74" t="s">
        <v>554</v>
      </c>
      <c r="V11" s="75">
        <f t="shared" ref="V11:V16" si="1">L11/$R$13</f>
        <v>3.1436314363143633E-2</v>
      </c>
      <c r="W11" s="75">
        <f t="shared" si="0"/>
        <v>3.035230352303523E-2</v>
      </c>
      <c r="X11" s="75">
        <f t="shared" si="0"/>
        <v>2.4390243902439025E-2</v>
      </c>
      <c r="Y11" s="75">
        <f t="shared" si="0"/>
        <v>1.3550135501355014E-2</v>
      </c>
      <c r="Z11" s="75">
        <f t="shared" si="0"/>
        <v>2.3306233062330622E-2</v>
      </c>
      <c r="AA11" s="75">
        <f t="shared" si="0"/>
        <v>9.2140921409214101E-3</v>
      </c>
    </row>
    <row r="12" spans="1:27" x14ac:dyDescent="0.2">
      <c r="A12" s="67" t="s">
        <v>474</v>
      </c>
    </row>
    <row r="13" spans="1:27" x14ac:dyDescent="0.2">
      <c r="A13" s="67" t="s">
        <v>205</v>
      </c>
      <c r="B13" s="64">
        <v>642</v>
      </c>
      <c r="C13" s="64">
        <v>504</v>
      </c>
      <c r="D13" s="64">
        <v>280</v>
      </c>
      <c r="E13" s="64">
        <v>180</v>
      </c>
      <c r="F13" s="64">
        <v>180</v>
      </c>
      <c r="G13" s="64">
        <v>59</v>
      </c>
      <c r="I13" s="64">
        <v>1845</v>
      </c>
      <c r="K13" s="64" t="s">
        <v>205</v>
      </c>
      <c r="L13" s="64">
        <f t="shared" ref="L13:Q13" si="2">SUM(L5:L11)</f>
        <v>642</v>
      </c>
      <c r="M13" s="64">
        <f t="shared" si="2"/>
        <v>504</v>
      </c>
      <c r="N13" s="64">
        <f t="shared" si="2"/>
        <v>280</v>
      </c>
      <c r="O13" s="64">
        <f t="shared" si="2"/>
        <v>180</v>
      </c>
      <c r="P13" s="64">
        <f t="shared" si="2"/>
        <v>180</v>
      </c>
      <c r="Q13" s="64">
        <f t="shared" si="2"/>
        <v>59</v>
      </c>
      <c r="R13" s="64">
        <f>SUM(R5:R11)</f>
        <v>1845</v>
      </c>
    </row>
  </sheetData>
  <mergeCells count="1">
    <mergeCell ref="V3:AA3"/>
  </mergeCell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537E3-0520-4082-BC42-8ACC5B0EFA8E}">
  <dimension ref="A3:Z13"/>
  <sheetViews>
    <sheetView topLeftCell="J7" zoomScale="70" zoomScaleNormal="70" workbookViewId="0">
      <selection activeCell="W22" sqref="W22"/>
    </sheetView>
  </sheetViews>
  <sheetFormatPr defaultRowHeight="12.75" x14ac:dyDescent="0.2"/>
  <cols>
    <col min="1" max="1" width="24.28515625" style="64" bestFit="1" customWidth="1"/>
    <col min="2" max="2" width="20.5703125" style="64" bestFit="1" customWidth="1"/>
    <col min="3" max="3" width="12" style="64" bestFit="1" customWidth="1"/>
    <col min="4" max="5" width="12.42578125" style="64" bestFit="1" customWidth="1"/>
    <col min="6" max="6" width="13.140625" style="64" bestFit="1" customWidth="1"/>
    <col min="7" max="7" width="13" style="64" bestFit="1" customWidth="1"/>
    <col min="8" max="8" width="8.85546875" style="64" bestFit="1" customWidth="1"/>
    <col min="9" max="9" width="14.28515625" style="64" bestFit="1" customWidth="1"/>
    <col min="10" max="10" width="9.140625" style="64"/>
    <col min="11" max="11" width="17" style="64" customWidth="1"/>
    <col min="12" max="19" width="9.140625" style="64"/>
    <col min="20" max="20" width="13.42578125" style="64" customWidth="1"/>
    <col min="21" max="16384" width="9.140625" style="64"/>
  </cols>
  <sheetData>
    <row r="3" spans="1:26" ht="15.75" x14ac:dyDescent="0.25">
      <c r="A3" s="64" t="s">
        <v>538</v>
      </c>
      <c r="B3" s="64" t="s">
        <v>472</v>
      </c>
      <c r="U3" s="72" t="s">
        <v>539</v>
      </c>
      <c r="V3" s="72"/>
      <c r="W3" s="72"/>
      <c r="X3" s="72"/>
      <c r="Y3" s="72"/>
      <c r="Z3" s="72"/>
    </row>
    <row r="4" spans="1:26" ht="25.5" x14ac:dyDescent="0.2">
      <c r="A4" s="64" t="s">
        <v>473</v>
      </c>
      <c r="B4" s="64" t="s">
        <v>540</v>
      </c>
      <c r="C4" s="64" t="s">
        <v>541</v>
      </c>
      <c r="D4" s="64" t="s">
        <v>542</v>
      </c>
      <c r="E4" s="64" t="s">
        <v>543</v>
      </c>
      <c r="F4" s="64" t="s">
        <v>544</v>
      </c>
      <c r="G4" s="64" t="s">
        <v>545</v>
      </c>
      <c r="H4" s="64" t="s">
        <v>474</v>
      </c>
      <c r="I4" s="64" t="s">
        <v>205</v>
      </c>
      <c r="K4" s="64" t="s">
        <v>555</v>
      </c>
      <c r="L4" s="64" t="s">
        <v>540</v>
      </c>
      <c r="M4" s="64" t="s">
        <v>541</v>
      </c>
      <c r="N4" s="64" t="s">
        <v>542</v>
      </c>
      <c r="O4" s="64" t="s">
        <v>543</v>
      </c>
      <c r="P4" s="64" t="s">
        <v>544</v>
      </c>
      <c r="Q4" s="64" t="s">
        <v>545</v>
      </c>
      <c r="R4" s="64" t="s">
        <v>205</v>
      </c>
      <c r="T4" s="73" t="s">
        <v>555</v>
      </c>
      <c r="U4" s="73" t="s">
        <v>547</v>
      </c>
      <c r="V4" s="73" t="s">
        <v>548</v>
      </c>
      <c r="W4" s="73" t="s">
        <v>549</v>
      </c>
      <c r="X4" s="73" t="s">
        <v>550</v>
      </c>
      <c r="Y4" s="73" t="s">
        <v>551</v>
      </c>
      <c r="Z4" s="73" t="s">
        <v>552</v>
      </c>
    </row>
    <row r="5" spans="1:26" x14ac:dyDescent="0.2">
      <c r="A5" s="67">
        <v>3</v>
      </c>
      <c r="C5" s="64">
        <v>1</v>
      </c>
      <c r="I5" s="64">
        <v>1</v>
      </c>
      <c r="K5" s="64" t="s">
        <v>136</v>
      </c>
      <c r="L5" s="64">
        <v>357</v>
      </c>
      <c r="M5" s="64">
        <v>171</v>
      </c>
      <c r="N5" s="64">
        <v>84</v>
      </c>
      <c r="O5" s="64">
        <v>25</v>
      </c>
      <c r="P5" s="64">
        <v>40</v>
      </c>
      <c r="Q5" s="64">
        <v>9</v>
      </c>
      <c r="R5" s="64">
        <v>686</v>
      </c>
      <c r="T5" s="76" t="s">
        <v>136</v>
      </c>
      <c r="U5" s="75">
        <f>L5/$R$12</f>
        <v>0.20529039677975849</v>
      </c>
      <c r="V5" s="75">
        <f t="shared" ref="V5:Z9" si="0">M5/$R$12</f>
        <v>9.8332374928119609E-2</v>
      </c>
      <c r="W5" s="75">
        <f t="shared" si="0"/>
        <v>4.8303622771707876E-2</v>
      </c>
      <c r="X5" s="75">
        <f t="shared" si="0"/>
        <v>1.437607820586544E-2</v>
      </c>
      <c r="Y5" s="75">
        <f t="shared" si="0"/>
        <v>2.3001725129384705E-2</v>
      </c>
      <c r="Z5" s="75">
        <f t="shared" si="0"/>
        <v>5.1753881541115581E-3</v>
      </c>
    </row>
    <row r="6" spans="1:26" x14ac:dyDescent="0.2">
      <c r="A6" s="67" t="s">
        <v>136</v>
      </c>
      <c r="B6" s="64">
        <v>357</v>
      </c>
      <c r="C6" s="64">
        <v>171</v>
      </c>
      <c r="D6" s="64">
        <v>84</v>
      </c>
      <c r="E6" s="64">
        <v>25</v>
      </c>
      <c r="F6" s="64">
        <v>40</v>
      </c>
      <c r="G6" s="64">
        <v>9</v>
      </c>
      <c r="I6" s="64">
        <v>686</v>
      </c>
      <c r="K6" s="64" t="s">
        <v>137</v>
      </c>
      <c r="L6" s="64">
        <v>108</v>
      </c>
      <c r="M6" s="64">
        <v>131</v>
      </c>
      <c r="N6" s="64">
        <v>75</v>
      </c>
      <c r="O6" s="64">
        <v>58</v>
      </c>
      <c r="P6" s="64">
        <v>37</v>
      </c>
      <c r="Q6" s="64">
        <v>14</v>
      </c>
      <c r="R6" s="64">
        <v>423</v>
      </c>
      <c r="T6" s="76" t="s">
        <v>137</v>
      </c>
      <c r="U6" s="75">
        <f>L9/$R$12</f>
        <v>1.5526164462334674E-2</v>
      </c>
      <c r="V6" s="75">
        <f>M9/$R$12</f>
        <v>1.3225991949396205E-2</v>
      </c>
      <c r="W6" s="75">
        <f>N9/$R$12</f>
        <v>1.0925819436457734E-2</v>
      </c>
      <c r="X6" s="75">
        <f>O9/$R$12</f>
        <v>6.3254744105807935E-3</v>
      </c>
      <c r="Y6" s="75">
        <f>P9/$R$12</f>
        <v>9.7757331799884998E-3</v>
      </c>
      <c r="Z6" s="75">
        <f>Q9/$R$12</f>
        <v>3.4502587694077054E-3</v>
      </c>
    </row>
    <row r="7" spans="1:26" x14ac:dyDescent="0.2">
      <c r="A7" s="67" t="s">
        <v>140</v>
      </c>
      <c r="B7" s="64">
        <v>27</v>
      </c>
      <c r="C7" s="64">
        <v>23</v>
      </c>
      <c r="D7" s="64">
        <v>19</v>
      </c>
      <c r="E7" s="64">
        <v>11</v>
      </c>
      <c r="F7" s="64">
        <v>17</v>
      </c>
      <c r="G7" s="64">
        <v>6</v>
      </c>
      <c r="I7" s="64">
        <v>103</v>
      </c>
      <c r="K7" s="64" t="s">
        <v>138</v>
      </c>
      <c r="L7" s="64">
        <v>89</v>
      </c>
      <c r="M7" s="64">
        <v>109</v>
      </c>
      <c r="N7" s="64">
        <v>59</v>
      </c>
      <c r="O7" s="64">
        <v>48</v>
      </c>
      <c r="P7" s="64">
        <v>54</v>
      </c>
      <c r="Q7" s="64">
        <v>13</v>
      </c>
      <c r="R7" s="64">
        <v>372</v>
      </c>
      <c r="T7" s="76" t="s">
        <v>138</v>
      </c>
      <c r="U7" s="75">
        <f>L6/$R$12</f>
        <v>6.2104657849338697E-2</v>
      </c>
      <c r="V7" s="75">
        <f>M6/$R$12</f>
        <v>7.5330649798734911E-2</v>
      </c>
      <c r="W7" s="75">
        <f>N6/$R$12</f>
        <v>4.3128234617596323E-2</v>
      </c>
      <c r="X7" s="75">
        <f>O6/$R$12</f>
        <v>3.3352501437607818E-2</v>
      </c>
      <c r="Y7" s="75">
        <f>P6/$R$12</f>
        <v>2.1276595744680851E-2</v>
      </c>
      <c r="Z7" s="75">
        <f>Q6/$R$12</f>
        <v>8.0506037952846471E-3</v>
      </c>
    </row>
    <row r="8" spans="1:26" x14ac:dyDescent="0.2">
      <c r="A8" s="67" t="s">
        <v>137</v>
      </c>
      <c r="B8" s="64">
        <v>108</v>
      </c>
      <c r="C8" s="64">
        <v>131</v>
      </c>
      <c r="D8" s="64">
        <v>75</v>
      </c>
      <c r="E8" s="64">
        <v>58</v>
      </c>
      <c r="F8" s="64">
        <v>37</v>
      </c>
      <c r="G8" s="64">
        <v>14</v>
      </c>
      <c r="I8" s="64">
        <v>423</v>
      </c>
      <c r="K8" s="64" t="s">
        <v>139</v>
      </c>
      <c r="L8" s="64">
        <v>60</v>
      </c>
      <c r="M8" s="64">
        <v>69</v>
      </c>
      <c r="N8" s="64">
        <v>43</v>
      </c>
      <c r="O8" s="64">
        <v>38</v>
      </c>
      <c r="P8" s="64">
        <v>31</v>
      </c>
      <c r="Q8" s="64">
        <v>17</v>
      </c>
      <c r="R8" s="64">
        <v>258</v>
      </c>
      <c r="T8" s="76" t="s">
        <v>139</v>
      </c>
      <c r="U8" s="75">
        <f>L7/$R$12</f>
        <v>5.1178838412880963E-2</v>
      </c>
      <c r="V8" s="75">
        <f>M7/$R$12</f>
        <v>6.2679700977573319E-2</v>
      </c>
      <c r="W8" s="75">
        <f>N7/$R$12</f>
        <v>3.3927544565842439E-2</v>
      </c>
      <c r="X8" s="75">
        <f>O7/$R$12</f>
        <v>2.7602070155261643E-2</v>
      </c>
      <c r="Y8" s="75">
        <f>P7/$R$12</f>
        <v>3.1052328924669349E-2</v>
      </c>
      <c r="Z8" s="75">
        <f>Q7/$R$12</f>
        <v>7.4755606670500289E-3</v>
      </c>
    </row>
    <row r="9" spans="1:26" x14ac:dyDescent="0.2">
      <c r="A9" s="67" t="s">
        <v>138</v>
      </c>
      <c r="B9" s="64">
        <v>89</v>
      </c>
      <c r="C9" s="64">
        <v>109</v>
      </c>
      <c r="D9" s="64">
        <v>59</v>
      </c>
      <c r="E9" s="64">
        <v>48</v>
      </c>
      <c r="F9" s="64">
        <v>54</v>
      </c>
      <c r="G9" s="64">
        <v>13</v>
      </c>
      <c r="I9" s="64">
        <v>372</v>
      </c>
      <c r="K9" s="64" t="s">
        <v>140</v>
      </c>
      <c r="L9" s="64">
        <v>27</v>
      </c>
      <c r="M9" s="64">
        <v>23</v>
      </c>
      <c r="N9" s="64">
        <v>19</v>
      </c>
      <c r="O9" s="64">
        <v>11</v>
      </c>
      <c r="P9" s="64">
        <v>17</v>
      </c>
      <c r="Q9" s="64">
        <v>6</v>
      </c>
      <c r="R9" s="64">
        <v>103</v>
      </c>
      <c r="T9" s="76" t="s">
        <v>140</v>
      </c>
      <c r="U9" s="75">
        <f>L8/$R$12</f>
        <v>3.4502587694077054E-2</v>
      </c>
      <c r="V9" s="75">
        <f>M8/$R$12</f>
        <v>3.9677975848188614E-2</v>
      </c>
      <c r="W9" s="75">
        <f>N8/$R$12</f>
        <v>2.4726854514088556E-2</v>
      </c>
      <c r="X9" s="75">
        <f>O8/$R$12</f>
        <v>2.1851638872915469E-2</v>
      </c>
      <c r="Y9" s="75">
        <f>P8/$R$12</f>
        <v>1.7826336975273145E-2</v>
      </c>
      <c r="Z9" s="75">
        <f>Q8/$R$12</f>
        <v>9.7757331799884998E-3</v>
      </c>
    </row>
    <row r="10" spans="1:26" x14ac:dyDescent="0.2">
      <c r="A10" s="67" t="s">
        <v>139</v>
      </c>
      <c r="B10" s="64">
        <v>60</v>
      </c>
      <c r="C10" s="64">
        <v>69</v>
      </c>
      <c r="D10" s="64">
        <v>43</v>
      </c>
      <c r="E10" s="64">
        <v>38</v>
      </c>
      <c r="F10" s="64">
        <v>31</v>
      </c>
      <c r="G10" s="64">
        <v>17</v>
      </c>
      <c r="I10" s="64">
        <v>258</v>
      </c>
      <c r="T10" s="77" t="s">
        <v>556</v>
      </c>
      <c r="U10" s="75">
        <f>SUM(U5:U9)</f>
        <v>0.36860264519838987</v>
      </c>
      <c r="V10" s="75">
        <f t="shared" ref="V10:Z10" si="1">SUM(V5:V9)</f>
        <v>0.28924669350201265</v>
      </c>
      <c r="W10" s="75">
        <f t="shared" si="1"/>
        <v>0.16101207590569294</v>
      </c>
      <c r="X10" s="75">
        <f t="shared" si="1"/>
        <v>0.10350776308223117</v>
      </c>
      <c r="Y10" s="75">
        <f t="shared" si="1"/>
        <v>0.10293271995399655</v>
      </c>
      <c r="Z10" s="75">
        <f t="shared" si="1"/>
        <v>3.3927544565842439E-2</v>
      </c>
    </row>
    <row r="11" spans="1:26" x14ac:dyDescent="0.2">
      <c r="A11" s="67" t="s">
        <v>557</v>
      </c>
      <c r="B11" s="64">
        <v>1</v>
      </c>
      <c r="F11" s="64">
        <v>1</v>
      </c>
      <c r="I11" s="64">
        <v>2</v>
      </c>
    </row>
    <row r="12" spans="1:26" x14ac:dyDescent="0.2">
      <c r="A12" s="67" t="s">
        <v>474</v>
      </c>
      <c r="K12" s="64" t="s">
        <v>205</v>
      </c>
      <c r="L12" s="64">
        <v>387</v>
      </c>
      <c r="M12" s="64">
        <v>256</v>
      </c>
      <c r="N12" s="64">
        <v>175</v>
      </c>
      <c r="O12" s="64">
        <v>66</v>
      </c>
      <c r="P12" s="64">
        <v>55</v>
      </c>
      <c r="Q12" s="64">
        <v>29</v>
      </c>
      <c r="R12" s="64">
        <f>SUM(R5:R8)</f>
        <v>1739</v>
      </c>
    </row>
    <row r="13" spans="1:26" x14ac:dyDescent="0.2">
      <c r="A13" s="67" t="s">
        <v>205</v>
      </c>
      <c r="B13" s="64">
        <v>642</v>
      </c>
      <c r="C13" s="64">
        <v>504</v>
      </c>
      <c r="D13" s="64">
        <v>280</v>
      </c>
      <c r="E13" s="64">
        <v>180</v>
      </c>
      <c r="F13" s="64">
        <v>180</v>
      </c>
      <c r="G13" s="64">
        <v>59</v>
      </c>
      <c r="I13" s="64">
        <v>1845</v>
      </c>
    </row>
  </sheetData>
  <mergeCells count="1">
    <mergeCell ref="U3:Z3"/>
  </mergeCell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CF4C7-FDDC-4156-A6F1-BEDB8CD9CC0C}">
  <dimension ref="A3:Z16"/>
  <sheetViews>
    <sheetView topLeftCell="Q16" zoomScale="85" zoomScaleNormal="85" workbookViewId="0">
      <selection activeCell="W22" sqref="W22"/>
    </sheetView>
  </sheetViews>
  <sheetFormatPr defaultRowHeight="12.75" x14ac:dyDescent="0.2"/>
  <cols>
    <col min="1" max="1" width="20.42578125" style="64" bestFit="1" customWidth="1"/>
    <col min="2" max="2" width="18" style="64" bestFit="1" customWidth="1"/>
    <col min="3" max="5" width="9.85546875" style="64" bestFit="1" customWidth="1"/>
    <col min="6" max="6" width="10.85546875" style="64" bestFit="1" customWidth="1"/>
    <col min="7" max="7" width="11" style="64" bestFit="1" customWidth="1"/>
    <col min="8" max="8" width="7.5703125" style="64" bestFit="1" customWidth="1"/>
    <col min="9" max="9" width="11.7109375" style="64" bestFit="1" customWidth="1"/>
    <col min="10" max="19" width="9.140625" style="64"/>
    <col min="20" max="20" width="12.7109375" style="64" customWidth="1"/>
    <col min="21" max="16384" width="9.140625" style="64"/>
  </cols>
  <sheetData>
    <row r="3" spans="1:26" ht="15.75" x14ac:dyDescent="0.25">
      <c r="A3" s="64" t="s">
        <v>538</v>
      </c>
      <c r="B3" s="64" t="s">
        <v>472</v>
      </c>
      <c r="U3" s="72" t="s">
        <v>539</v>
      </c>
      <c r="V3" s="72"/>
      <c r="W3" s="72"/>
      <c r="X3" s="72"/>
      <c r="Y3" s="72"/>
      <c r="Z3" s="72"/>
    </row>
    <row r="4" spans="1:26" ht="25.5" x14ac:dyDescent="0.2">
      <c r="A4" s="64" t="s">
        <v>473</v>
      </c>
      <c r="B4" s="64" t="s">
        <v>540</v>
      </c>
      <c r="C4" s="64" t="s">
        <v>541</v>
      </c>
      <c r="D4" s="64" t="s">
        <v>542</v>
      </c>
      <c r="E4" s="64" t="s">
        <v>543</v>
      </c>
      <c r="F4" s="64" t="s">
        <v>544</v>
      </c>
      <c r="G4" s="64" t="s">
        <v>545</v>
      </c>
      <c r="H4" s="64" t="s">
        <v>474</v>
      </c>
      <c r="I4" s="64" t="s">
        <v>205</v>
      </c>
      <c r="K4" s="64" t="s">
        <v>33</v>
      </c>
      <c r="L4" s="64" t="s">
        <v>540</v>
      </c>
      <c r="M4" s="64" t="s">
        <v>541</v>
      </c>
      <c r="N4" s="64" t="s">
        <v>542</v>
      </c>
      <c r="O4" s="64" t="s">
        <v>543</v>
      </c>
      <c r="P4" s="64" t="s">
        <v>544</v>
      </c>
      <c r="Q4" s="64" t="s">
        <v>545</v>
      </c>
      <c r="R4" s="64" t="s">
        <v>205</v>
      </c>
      <c r="T4" s="73" t="s">
        <v>33</v>
      </c>
      <c r="U4" s="73" t="s">
        <v>547</v>
      </c>
      <c r="V4" s="73" t="s">
        <v>548</v>
      </c>
      <c r="W4" s="73" t="s">
        <v>558</v>
      </c>
      <c r="X4" s="73" t="s">
        <v>550</v>
      </c>
      <c r="Y4" s="73" t="s">
        <v>551</v>
      </c>
      <c r="Z4" s="73" t="s">
        <v>552</v>
      </c>
    </row>
    <row r="5" spans="1:26" x14ac:dyDescent="0.2">
      <c r="A5" s="67" t="s">
        <v>35</v>
      </c>
      <c r="B5" s="64">
        <v>39</v>
      </c>
      <c r="C5" s="64">
        <v>50</v>
      </c>
      <c r="D5" s="64">
        <v>30</v>
      </c>
      <c r="E5" s="64">
        <v>17</v>
      </c>
      <c r="F5" s="64">
        <v>17</v>
      </c>
      <c r="G5" s="64">
        <v>7</v>
      </c>
      <c r="I5" s="64">
        <v>160</v>
      </c>
      <c r="K5" s="64" t="s">
        <v>35</v>
      </c>
      <c r="L5" s="64">
        <v>39</v>
      </c>
      <c r="M5" s="64">
        <v>50</v>
      </c>
      <c r="N5" s="64">
        <v>30</v>
      </c>
      <c r="O5" s="64">
        <v>17</v>
      </c>
      <c r="P5" s="64">
        <v>17</v>
      </c>
      <c r="Q5" s="64">
        <v>7</v>
      </c>
      <c r="R5" s="64">
        <v>160</v>
      </c>
      <c r="T5" s="76" t="s">
        <v>35</v>
      </c>
      <c r="U5" s="75">
        <f>L5/$R$15</f>
        <v>2.113821138211382E-2</v>
      </c>
      <c r="V5" s="75">
        <f t="shared" ref="V5:Z14" si="0">M5/$R$15</f>
        <v>2.7100271002710029E-2</v>
      </c>
      <c r="W5" s="75">
        <f t="shared" si="0"/>
        <v>1.6260162601626018E-2</v>
      </c>
      <c r="X5" s="75">
        <f t="shared" si="0"/>
        <v>9.2140921409214101E-3</v>
      </c>
      <c r="Y5" s="75">
        <f t="shared" si="0"/>
        <v>9.2140921409214101E-3</v>
      </c>
      <c r="Z5" s="75">
        <f t="shared" si="0"/>
        <v>3.7940379403794038E-3</v>
      </c>
    </row>
    <row r="6" spans="1:26" x14ac:dyDescent="0.2">
      <c r="A6" s="67" t="s">
        <v>42</v>
      </c>
      <c r="B6" s="64">
        <v>1</v>
      </c>
      <c r="C6" s="64">
        <v>2</v>
      </c>
      <c r="D6" s="64">
        <v>2</v>
      </c>
      <c r="E6" s="64">
        <v>3</v>
      </c>
      <c r="F6" s="64">
        <v>5</v>
      </c>
      <c r="I6" s="64">
        <v>13</v>
      </c>
      <c r="K6" s="64" t="s">
        <v>42</v>
      </c>
      <c r="L6" s="64">
        <v>1</v>
      </c>
      <c r="M6" s="64">
        <v>2</v>
      </c>
      <c r="N6" s="64">
        <v>2</v>
      </c>
      <c r="O6" s="64">
        <v>3</v>
      </c>
      <c r="P6" s="64">
        <v>5</v>
      </c>
      <c r="R6" s="64">
        <v>13</v>
      </c>
      <c r="T6" s="76" t="s">
        <v>42</v>
      </c>
      <c r="U6" s="75">
        <f t="shared" ref="U6:U14" si="1">L6/$R$15</f>
        <v>5.4200542005420054E-4</v>
      </c>
      <c r="V6" s="75">
        <f t="shared" si="0"/>
        <v>1.0840108401084011E-3</v>
      </c>
      <c r="W6" s="75">
        <f t="shared" si="0"/>
        <v>1.0840108401084011E-3</v>
      </c>
      <c r="X6" s="75">
        <f t="shared" si="0"/>
        <v>1.6260162601626016E-3</v>
      </c>
      <c r="Y6" s="75">
        <f t="shared" si="0"/>
        <v>2.7100271002710027E-3</v>
      </c>
      <c r="Z6" s="75">
        <f t="shared" si="0"/>
        <v>0</v>
      </c>
    </row>
    <row r="7" spans="1:26" x14ac:dyDescent="0.2">
      <c r="A7" s="67" t="s">
        <v>39</v>
      </c>
      <c r="B7" s="64">
        <v>36</v>
      </c>
      <c r="C7" s="64">
        <v>19</v>
      </c>
      <c r="D7" s="64">
        <v>24</v>
      </c>
      <c r="E7" s="64">
        <v>12</v>
      </c>
      <c r="F7" s="64">
        <v>21</v>
      </c>
      <c r="G7" s="64">
        <v>17</v>
      </c>
      <c r="I7" s="64">
        <v>129</v>
      </c>
      <c r="K7" s="64" t="s">
        <v>39</v>
      </c>
      <c r="L7" s="64">
        <v>36</v>
      </c>
      <c r="M7" s="64">
        <v>19</v>
      </c>
      <c r="N7" s="64">
        <v>24</v>
      </c>
      <c r="O7" s="64">
        <v>12</v>
      </c>
      <c r="P7" s="64">
        <v>21</v>
      </c>
      <c r="Q7" s="64">
        <v>17</v>
      </c>
      <c r="R7" s="64">
        <v>129</v>
      </c>
      <c r="T7" s="76" t="s">
        <v>39</v>
      </c>
      <c r="U7" s="75">
        <f t="shared" si="1"/>
        <v>1.9512195121951219E-2</v>
      </c>
      <c r="V7" s="75">
        <f t="shared" si="0"/>
        <v>1.0298102981029811E-2</v>
      </c>
      <c r="W7" s="75">
        <f t="shared" si="0"/>
        <v>1.3008130081300813E-2</v>
      </c>
      <c r="X7" s="75">
        <f t="shared" si="0"/>
        <v>6.5040650406504065E-3</v>
      </c>
      <c r="Y7" s="75">
        <f t="shared" si="0"/>
        <v>1.1382113821138212E-2</v>
      </c>
      <c r="Z7" s="75">
        <f t="shared" si="0"/>
        <v>9.2140921409214101E-3</v>
      </c>
    </row>
    <row r="8" spans="1:26" x14ac:dyDescent="0.2">
      <c r="A8" s="67" t="s">
        <v>40</v>
      </c>
      <c r="B8" s="64">
        <v>4</v>
      </c>
      <c r="C8" s="64">
        <v>14</v>
      </c>
      <c r="D8" s="64">
        <v>5</v>
      </c>
      <c r="E8" s="64">
        <v>2</v>
      </c>
      <c r="F8" s="64">
        <v>2</v>
      </c>
      <c r="G8" s="64">
        <v>3</v>
      </c>
      <c r="I8" s="64">
        <v>30</v>
      </c>
      <c r="K8" s="64" t="s">
        <v>40</v>
      </c>
      <c r="L8" s="64">
        <v>4</v>
      </c>
      <c r="M8" s="64">
        <v>14</v>
      </c>
      <c r="N8" s="64">
        <v>5</v>
      </c>
      <c r="O8" s="64">
        <v>2</v>
      </c>
      <c r="P8" s="64">
        <v>2</v>
      </c>
      <c r="Q8" s="64">
        <v>3</v>
      </c>
      <c r="R8" s="64">
        <v>30</v>
      </c>
      <c r="T8" s="76" t="s">
        <v>40</v>
      </c>
      <c r="U8" s="75">
        <f t="shared" si="1"/>
        <v>2.1680216802168022E-3</v>
      </c>
      <c r="V8" s="75">
        <f t="shared" si="0"/>
        <v>7.5880758807588076E-3</v>
      </c>
      <c r="W8" s="75">
        <f t="shared" si="0"/>
        <v>2.7100271002710027E-3</v>
      </c>
      <c r="X8" s="75">
        <f t="shared" si="0"/>
        <v>1.0840108401084011E-3</v>
      </c>
      <c r="Y8" s="75">
        <f t="shared" si="0"/>
        <v>1.0840108401084011E-3</v>
      </c>
      <c r="Z8" s="75">
        <f t="shared" si="0"/>
        <v>1.6260162601626016E-3</v>
      </c>
    </row>
    <row r="9" spans="1:26" x14ac:dyDescent="0.2">
      <c r="A9" s="67" t="s">
        <v>38</v>
      </c>
      <c r="B9" s="64">
        <v>18</v>
      </c>
      <c r="C9" s="64">
        <v>9</v>
      </c>
      <c r="D9" s="64">
        <v>7</v>
      </c>
      <c r="E9" s="64">
        <v>4</v>
      </c>
      <c r="F9" s="64">
        <v>5</v>
      </c>
      <c r="I9" s="64">
        <v>43</v>
      </c>
      <c r="K9" s="64" t="s">
        <v>38</v>
      </c>
      <c r="L9" s="64">
        <v>18</v>
      </c>
      <c r="M9" s="64">
        <v>9</v>
      </c>
      <c r="N9" s="64">
        <v>7</v>
      </c>
      <c r="O9" s="64">
        <v>4</v>
      </c>
      <c r="P9" s="64">
        <v>5</v>
      </c>
      <c r="R9" s="64">
        <v>43</v>
      </c>
      <c r="T9" s="76" t="s">
        <v>38</v>
      </c>
      <c r="U9" s="75">
        <f t="shared" si="1"/>
        <v>9.7560975609756097E-3</v>
      </c>
      <c r="V9" s="75">
        <f t="shared" si="0"/>
        <v>4.8780487804878049E-3</v>
      </c>
      <c r="W9" s="75">
        <f t="shared" si="0"/>
        <v>3.7940379403794038E-3</v>
      </c>
      <c r="X9" s="75">
        <f t="shared" si="0"/>
        <v>2.1680216802168022E-3</v>
      </c>
      <c r="Y9" s="75">
        <f t="shared" si="0"/>
        <v>2.7100271002710027E-3</v>
      </c>
      <c r="Z9" s="75">
        <f t="shared" si="0"/>
        <v>0</v>
      </c>
    </row>
    <row r="10" spans="1:26" x14ac:dyDescent="0.2">
      <c r="A10" s="67" t="s">
        <v>41</v>
      </c>
      <c r="B10" s="64">
        <v>2</v>
      </c>
      <c r="C10" s="64">
        <v>6</v>
      </c>
      <c r="D10" s="64">
        <v>2</v>
      </c>
      <c r="E10" s="64">
        <v>2</v>
      </c>
      <c r="I10" s="64">
        <v>12</v>
      </c>
      <c r="K10" s="64" t="s">
        <v>41</v>
      </c>
      <c r="L10" s="64">
        <v>2</v>
      </c>
      <c r="M10" s="64">
        <v>6</v>
      </c>
      <c r="N10" s="64">
        <v>2</v>
      </c>
      <c r="O10" s="64">
        <v>2</v>
      </c>
      <c r="R10" s="64">
        <v>12</v>
      </c>
      <c r="T10" s="76" t="s">
        <v>41</v>
      </c>
      <c r="U10" s="75">
        <f t="shared" si="1"/>
        <v>1.0840108401084011E-3</v>
      </c>
      <c r="V10" s="75">
        <f t="shared" si="0"/>
        <v>3.2520325203252032E-3</v>
      </c>
      <c r="W10" s="75">
        <f t="shared" si="0"/>
        <v>1.0840108401084011E-3</v>
      </c>
      <c r="X10" s="75">
        <f t="shared" si="0"/>
        <v>1.0840108401084011E-3</v>
      </c>
      <c r="Y10" s="75">
        <f t="shared" si="0"/>
        <v>0</v>
      </c>
      <c r="Z10" s="75">
        <f t="shared" si="0"/>
        <v>0</v>
      </c>
    </row>
    <row r="11" spans="1:26" x14ac:dyDescent="0.2">
      <c r="A11" s="67" t="s">
        <v>106</v>
      </c>
      <c r="B11" s="64">
        <v>510</v>
      </c>
      <c r="C11" s="64">
        <v>362</v>
      </c>
      <c r="D11" s="64">
        <v>192</v>
      </c>
      <c r="E11" s="64">
        <v>123</v>
      </c>
      <c r="F11" s="64">
        <v>109</v>
      </c>
      <c r="G11" s="64">
        <v>18</v>
      </c>
      <c r="I11" s="64">
        <v>1314</v>
      </c>
      <c r="K11" s="64" t="s">
        <v>106</v>
      </c>
      <c r="L11" s="64">
        <v>510</v>
      </c>
      <c r="M11" s="64">
        <v>362</v>
      </c>
      <c r="N11" s="64">
        <v>192</v>
      </c>
      <c r="O11" s="64">
        <v>123</v>
      </c>
      <c r="P11" s="64">
        <v>109</v>
      </c>
      <c r="Q11" s="64">
        <v>18</v>
      </c>
      <c r="R11" s="64">
        <v>1314</v>
      </c>
      <c r="T11" s="76" t="s">
        <v>106</v>
      </c>
      <c r="U11" s="75">
        <f t="shared" si="1"/>
        <v>0.27642276422764228</v>
      </c>
      <c r="V11" s="75">
        <f t="shared" si="0"/>
        <v>0.1962059620596206</v>
      </c>
      <c r="W11" s="75">
        <f t="shared" si="0"/>
        <v>0.1040650406504065</v>
      </c>
      <c r="X11" s="75">
        <f t="shared" si="0"/>
        <v>6.6666666666666666E-2</v>
      </c>
      <c r="Y11" s="75">
        <f t="shared" si="0"/>
        <v>5.907859078590786E-2</v>
      </c>
      <c r="Z11" s="75">
        <f t="shared" si="0"/>
        <v>9.7560975609756097E-3</v>
      </c>
    </row>
    <row r="12" spans="1:26" x14ac:dyDescent="0.2">
      <c r="A12" s="67" t="s">
        <v>37</v>
      </c>
      <c r="B12" s="64">
        <v>16</v>
      </c>
      <c r="C12" s="64">
        <v>9</v>
      </c>
      <c r="D12" s="64">
        <v>7</v>
      </c>
      <c r="E12" s="64">
        <v>7</v>
      </c>
      <c r="F12" s="64">
        <v>5</v>
      </c>
      <c r="I12" s="64">
        <v>44</v>
      </c>
      <c r="K12" s="64" t="s">
        <v>37</v>
      </c>
      <c r="L12" s="64">
        <v>16</v>
      </c>
      <c r="M12" s="64">
        <v>9</v>
      </c>
      <c r="N12" s="64">
        <v>7</v>
      </c>
      <c r="O12" s="64">
        <v>7</v>
      </c>
      <c r="P12" s="64">
        <v>5</v>
      </c>
      <c r="R12" s="64">
        <v>44</v>
      </c>
      <c r="T12" s="76" t="s">
        <v>37</v>
      </c>
      <c r="U12" s="75">
        <f t="shared" si="1"/>
        <v>8.6720867208672087E-3</v>
      </c>
      <c r="V12" s="75">
        <f t="shared" si="0"/>
        <v>4.8780487804878049E-3</v>
      </c>
      <c r="W12" s="75">
        <f t="shared" si="0"/>
        <v>3.7940379403794038E-3</v>
      </c>
      <c r="X12" s="75">
        <f t="shared" si="0"/>
        <v>3.7940379403794038E-3</v>
      </c>
      <c r="Y12" s="75">
        <f t="shared" si="0"/>
        <v>2.7100271002710027E-3</v>
      </c>
      <c r="Z12" s="75">
        <f t="shared" si="0"/>
        <v>0</v>
      </c>
    </row>
    <row r="13" spans="1:26" x14ac:dyDescent="0.2">
      <c r="A13" s="67" t="s">
        <v>36</v>
      </c>
      <c r="B13" s="64">
        <v>14</v>
      </c>
      <c r="C13" s="64">
        <v>28</v>
      </c>
      <c r="D13" s="64">
        <v>10</v>
      </c>
      <c r="E13" s="64">
        <v>10</v>
      </c>
      <c r="F13" s="64">
        <v>15</v>
      </c>
      <c r="G13" s="64">
        <v>13</v>
      </c>
      <c r="I13" s="64">
        <v>90</v>
      </c>
      <c r="K13" s="64" t="s">
        <v>36</v>
      </c>
      <c r="L13" s="64">
        <v>14</v>
      </c>
      <c r="M13" s="64">
        <v>28</v>
      </c>
      <c r="N13" s="64">
        <v>10</v>
      </c>
      <c r="O13" s="64">
        <v>10</v>
      </c>
      <c r="P13" s="64">
        <v>15</v>
      </c>
      <c r="Q13" s="64">
        <v>13</v>
      </c>
      <c r="R13" s="64">
        <v>90</v>
      </c>
      <c r="T13" s="76" t="s">
        <v>36</v>
      </c>
      <c r="U13" s="75">
        <f t="shared" si="1"/>
        <v>7.5880758807588076E-3</v>
      </c>
      <c r="V13" s="75">
        <f t="shared" si="0"/>
        <v>1.5176151761517615E-2</v>
      </c>
      <c r="W13" s="75">
        <f t="shared" si="0"/>
        <v>5.4200542005420054E-3</v>
      </c>
      <c r="X13" s="75">
        <f t="shared" si="0"/>
        <v>5.4200542005420054E-3</v>
      </c>
      <c r="Y13" s="75">
        <f t="shared" si="0"/>
        <v>8.130081300813009E-3</v>
      </c>
      <c r="Z13" s="75">
        <f t="shared" si="0"/>
        <v>7.046070460704607E-3</v>
      </c>
    </row>
    <row r="14" spans="1:26" x14ac:dyDescent="0.2">
      <c r="A14" s="67" t="s">
        <v>43</v>
      </c>
      <c r="B14" s="64">
        <v>2</v>
      </c>
      <c r="C14" s="64">
        <v>5</v>
      </c>
      <c r="D14" s="64">
        <v>1</v>
      </c>
      <c r="F14" s="64">
        <v>1</v>
      </c>
      <c r="G14" s="64">
        <v>1</v>
      </c>
      <c r="I14" s="64">
        <v>10</v>
      </c>
      <c r="K14" s="64" t="s">
        <v>43</v>
      </c>
      <c r="L14" s="64">
        <v>2</v>
      </c>
      <c r="M14" s="64">
        <v>5</v>
      </c>
      <c r="N14" s="64">
        <v>1</v>
      </c>
      <c r="P14" s="64">
        <v>1</v>
      </c>
      <c r="Q14" s="64">
        <v>1</v>
      </c>
      <c r="R14" s="64">
        <v>10</v>
      </c>
      <c r="T14" s="76" t="s">
        <v>43</v>
      </c>
      <c r="U14" s="75">
        <f t="shared" si="1"/>
        <v>1.0840108401084011E-3</v>
      </c>
      <c r="V14" s="75">
        <f t="shared" si="0"/>
        <v>2.7100271002710027E-3</v>
      </c>
      <c r="W14" s="75">
        <f t="shared" si="0"/>
        <v>5.4200542005420054E-4</v>
      </c>
      <c r="X14" s="75">
        <f t="shared" si="0"/>
        <v>0</v>
      </c>
      <c r="Y14" s="75">
        <f t="shared" si="0"/>
        <v>5.4200542005420054E-4</v>
      </c>
      <c r="Z14" s="75">
        <f t="shared" si="0"/>
        <v>5.4200542005420054E-4</v>
      </c>
    </row>
    <row r="15" spans="1:26" x14ac:dyDescent="0.2">
      <c r="A15" s="67" t="s">
        <v>474</v>
      </c>
      <c r="R15" s="64">
        <f>SUM(R5:R14)</f>
        <v>1845</v>
      </c>
    </row>
    <row r="16" spans="1:26" x14ac:dyDescent="0.2">
      <c r="A16" s="67" t="s">
        <v>205</v>
      </c>
      <c r="B16" s="64">
        <v>642</v>
      </c>
      <c r="C16" s="64">
        <v>504</v>
      </c>
      <c r="D16" s="64">
        <v>280</v>
      </c>
      <c r="E16" s="64">
        <v>180</v>
      </c>
      <c r="F16" s="64">
        <v>180</v>
      </c>
      <c r="G16" s="64">
        <v>59</v>
      </c>
      <c r="I16" s="64">
        <v>1845</v>
      </c>
    </row>
  </sheetData>
  <mergeCells count="1">
    <mergeCell ref="U3:Z3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33"/>
  <sheetViews>
    <sheetView tabSelected="1" zoomScale="75" zoomScaleNormal="75" zoomScaleSheetLayoutView="80" workbookViewId="0">
      <selection sqref="A1:AM1048576"/>
    </sheetView>
  </sheetViews>
  <sheetFormatPr defaultRowHeight="12.75" x14ac:dyDescent="0.2"/>
  <cols>
    <col min="1" max="1" width="12.140625" customWidth="1"/>
    <col min="2" max="2" width="7.28515625" customWidth="1"/>
    <col min="3" max="3" width="11.5703125" customWidth="1"/>
    <col min="4" max="5" width="10.28515625" customWidth="1"/>
    <col min="6" max="6" width="13.140625" customWidth="1"/>
    <col min="7" max="7" width="10.28515625" customWidth="1"/>
    <col min="8" max="8" width="15.140625" customWidth="1"/>
    <col min="9" max="9" width="11.5703125" customWidth="1"/>
    <col min="10" max="10" width="8.85546875" customWidth="1"/>
    <col min="11" max="11" width="9.7109375" customWidth="1"/>
    <col min="12" max="12" width="12.28515625" style="46" customWidth="1"/>
    <col min="13" max="13" width="12.85546875" customWidth="1"/>
    <col min="14" max="14" width="11" customWidth="1"/>
    <col min="15" max="15" width="8.42578125" style="37" customWidth="1"/>
    <col min="16" max="16" width="11.85546875" customWidth="1"/>
    <col min="17" max="17" width="13.28515625" customWidth="1"/>
    <col min="18" max="18" width="12.28515625" customWidth="1"/>
    <col min="19" max="19" width="12.140625" customWidth="1"/>
    <col min="20" max="20" width="9.28515625" customWidth="1"/>
    <col min="21" max="21" width="12.7109375" customWidth="1"/>
    <col min="22" max="22" width="15.7109375" customWidth="1"/>
    <col min="23" max="23" width="11.5703125" style="43" customWidth="1"/>
    <col min="24" max="25" width="9.28515625" customWidth="1"/>
    <col min="26" max="27" width="9.42578125" customWidth="1"/>
    <col min="28" max="28" width="9.28515625" customWidth="1"/>
    <col min="29" max="29" width="12.85546875" customWidth="1"/>
    <col min="30" max="30" width="9.42578125" customWidth="1"/>
    <col min="31" max="31" width="17.42578125" customWidth="1"/>
    <col min="32" max="32" width="11.140625" customWidth="1"/>
    <col min="33" max="33" width="11" customWidth="1"/>
    <col min="34" max="35" width="10.7109375" customWidth="1"/>
    <col min="36" max="36" width="12.28515625" customWidth="1"/>
    <col min="37" max="37" width="10.5703125" customWidth="1"/>
    <col min="38" max="39" width="10.7109375" customWidth="1"/>
  </cols>
  <sheetData>
    <row r="1" spans="1:39" ht="12.6" customHeight="1" x14ac:dyDescent="0.2">
      <c r="A1" s="78" t="s">
        <v>95</v>
      </c>
      <c r="B1" s="79" t="s">
        <v>148</v>
      </c>
      <c r="C1" s="80" t="s">
        <v>34</v>
      </c>
      <c r="D1" s="81" t="s">
        <v>147</v>
      </c>
      <c r="E1" s="81" t="s">
        <v>97</v>
      </c>
      <c r="F1" s="81" t="s">
        <v>98</v>
      </c>
      <c r="G1" s="81" t="s">
        <v>9</v>
      </c>
      <c r="H1" s="80" t="s">
        <v>105</v>
      </c>
      <c r="I1" s="80" t="s">
        <v>107</v>
      </c>
      <c r="J1" s="80" t="s">
        <v>109</v>
      </c>
      <c r="K1" s="80" t="s">
        <v>110</v>
      </c>
      <c r="L1" s="48" t="s">
        <v>559</v>
      </c>
      <c r="M1" s="48" t="s">
        <v>560</v>
      </c>
      <c r="N1" s="22" t="s">
        <v>561</v>
      </c>
      <c r="O1" s="80" t="s">
        <v>15</v>
      </c>
      <c r="P1" s="80" t="s">
        <v>91</v>
      </c>
      <c r="Q1" s="48" t="s">
        <v>562</v>
      </c>
      <c r="R1" s="48" t="s">
        <v>563</v>
      </c>
      <c r="S1" s="48" t="s">
        <v>564</v>
      </c>
      <c r="T1" s="80" t="s">
        <v>565</v>
      </c>
      <c r="U1" s="80" t="s">
        <v>566</v>
      </c>
      <c r="V1" s="80" t="s">
        <v>92</v>
      </c>
      <c r="W1" s="80" t="s">
        <v>117</v>
      </c>
      <c r="X1" s="80" t="s">
        <v>118</v>
      </c>
      <c r="Y1" s="80" t="s">
        <v>567</v>
      </c>
      <c r="Z1" s="80" t="s">
        <v>119</v>
      </c>
      <c r="AA1" s="80" t="s">
        <v>568</v>
      </c>
      <c r="AB1" s="80" t="s">
        <v>120</v>
      </c>
      <c r="AC1" s="80" t="s">
        <v>121</v>
      </c>
      <c r="AD1" s="80" t="s">
        <v>133</v>
      </c>
      <c r="AE1" s="80" t="s">
        <v>134</v>
      </c>
      <c r="AF1" s="42" t="s">
        <v>141</v>
      </c>
      <c r="AG1" s="82" t="s">
        <v>142</v>
      </c>
      <c r="AH1" s="82" t="s">
        <v>143</v>
      </c>
      <c r="AI1" s="82" t="s">
        <v>144</v>
      </c>
      <c r="AJ1" s="82" t="s">
        <v>145</v>
      </c>
      <c r="AK1" s="80" t="s">
        <v>146</v>
      </c>
      <c r="AL1" s="80" t="s">
        <v>93</v>
      </c>
      <c r="AM1" s="83" t="s">
        <v>569</v>
      </c>
    </row>
    <row r="2" spans="1:39" s="19" customFormat="1" x14ac:dyDescent="0.2">
      <c r="A2" s="44">
        <v>43771</v>
      </c>
      <c r="B2" s="31">
        <v>0.39166666666666666</v>
      </c>
      <c r="C2" s="31"/>
      <c r="D2" s="31" t="s">
        <v>96</v>
      </c>
      <c r="E2" s="33">
        <v>2</v>
      </c>
      <c r="F2" s="38" t="str">
        <f>VLOOKUP(E2,Key!$A$17:$B$21,2,FALSE)</f>
        <v>Road Vehicle</v>
      </c>
      <c r="G2" s="32">
        <v>9</v>
      </c>
      <c r="H2" s="39" t="str">
        <f>VLOOKUP(G2,Key!$A$2:$B$13,2,FALSE)</f>
        <v xml:space="preserve">Heavy truck </v>
      </c>
      <c r="I2" s="33" t="s">
        <v>108</v>
      </c>
      <c r="J2" s="33">
        <v>2</v>
      </c>
      <c r="K2" s="40" t="str">
        <f>VLOOKUP(J2,Key!$A$24:$B$29,2,FALSE)</f>
        <v>30-39</v>
      </c>
      <c r="L2" s="47" t="s">
        <v>168</v>
      </c>
      <c r="M2" s="29" t="s">
        <v>150</v>
      </c>
      <c r="N2" s="33" t="s">
        <v>151</v>
      </c>
      <c r="O2" s="35">
        <v>2</v>
      </c>
      <c r="P2" s="30" t="str">
        <f>VLOOKUP(O2,Key!$E$2:$F$9,2,FALSE)</f>
        <v>Work</v>
      </c>
      <c r="Q2" s="33" t="s">
        <v>152</v>
      </c>
      <c r="R2" s="29" t="s">
        <v>153</v>
      </c>
      <c r="S2" s="33" t="s">
        <v>151</v>
      </c>
      <c r="T2" s="29">
        <v>2</v>
      </c>
      <c r="U2" s="30" t="str">
        <f>VLOOKUP(T2,Key!$E$2:$F$9,2,FALSE)</f>
        <v>Work</v>
      </c>
      <c r="V2" s="30" t="str">
        <f t="shared" ref="V2:V33" si="0">P2&amp;"-"&amp;U2</f>
        <v>Work-Work</v>
      </c>
      <c r="W2" s="41">
        <v>200000</v>
      </c>
      <c r="X2" s="34">
        <v>200</v>
      </c>
      <c r="Y2" s="62" t="str">
        <f>IF(X2&lt;10,"0-10",IF(X2&lt;20,"10-20",IF(X2&lt;40,"20-40",IF(X2&lt;70,"40-70",IF(X2&lt;100,"70-100",IF(X2&lt;200,"100-200","Over 200"))))))</f>
        <v>Over 200</v>
      </c>
      <c r="Z2" s="34">
        <v>3.5</v>
      </c>
      <c r="AA2" s="62" t="str">
        <f>IF(Z2&lt;0.5,"0-0.5",IF(Z2&lt;1,"0.5-1.0",IF(Z2&lt;2,"1.0-2.0",IF(Z2&lt;3.5,"2.0-3.5","Over 3.5"))))</f>
        <v>Over 3.5</v>
      </c>
      <c r="AB2" s="29">
        <v>6</v>
      </c>
      <c r="AC2" s="30" t="str">
        <f>VLOOKUP(AB2,Key!$C$20:$D$29,2,FALSE)</f>
        <v>Businessman</v>
      </c>
      <c r="AD2" s="29">
        <v>4</v>
      </c>
      <c r="AE2" s="30" t="str">
        <f>VLOOKUP(AD2,Key!$E$20:$F$24,2,FALSE)</f>
        <v>750,000-1,000,000</v>
      </c>
      <c r="AF2" s="29">
        <v>3</v>
      </c>
      <c r="AG2" s="34">
        <v>4</v>
      </c>
      <c r="AH2" s="34">
        <v>5</v>
      </c>
      <c r="AI2" s="34">
        <v>1</v>
      </c>
      <c r="AJ2" s="34">
        <v>2</v>
      </c>
      <c r="AK2" s="35" t="s">
        <v>94</v>
      </c>
      <c r="AL2" s="36">
        <v>3000</v>
      </c>
      <c r="AM2" t="str">
        <f>IF(AL2&lt;1000,"0-1000",IF(AL2&lt;2000,"1000-2000",IF(AL2&lt;3000,"2000-3000",IF(AL2&lt;5000,"3000-5000",IF(AL2&lt;10000,"5000-10000","Over 10000")))))</f>
        <v>3000-5000</v>
      </c>
    </row>
    <row r="3" spans="1:39" x14ac:dyDescent="0.2">
      <c r="A3" s="44">
        <v>43771</v>
      </c>
      <c r="B3" s="31">
        <v>0.39444444444444443</v>
      </c>
      <c r="C3" s="31"/>
      <c r="D3" s="31" t="s">
        <v>96</v>
      </c>
      <c r="E3" s="33">
        <v>2</v>
      </c>
      <c r="F3" s="38" t="str">
        <f>VLOOKUP(E3,Key!$A$17:$B$21,2,FALSE)</f>
        <v>Road Vehicle</v>
      </c>
      <c r="G3" s="32">
        <v>9</v>
      </c>
      <c r="H3" s="39" t="str">
        <f>VLOOKUP(G3,Key!$A$2:$B$13,2,FALSE)</f>
        <v xml:space="preserve">Heavy truck </v>
      </c>
      <c r="I3" s="33" t="s">
        <v>108</v>
      </c>
      <c r="J3" s="33">
        <v>2</v>
      </c>
      <c r="K3" s="40" t="str">
        <f>VLOOKUP(J3,Key!$A$24:$B$29,2,FALSE)</f>
        <v>30-39</v>
      </c>
      <c r="L3" s="47" t="s">
        <v>150</v>
      </c>
      <c r="M3" s="29" t="s">
        <v>150</v>
      </c>
      <c r="N3" s="33" t="s">
        <v>151</v>
      </c>
      <c r="O3" s="35">
        <v>1</v>
      </c>
      <c r="P3" s="30" t="str">
        <f>VLOOKUP(O3,Key!$E$2:$F$9,2,FALSE)</f>
        <v>Home</v>
      </c>
      <c r="Q3" s="33" t="s">
        <v>149</v>
      </c>
      <c r="R3" s="29" t="s">
        <v>149</v>
      </c>
      <c r="S3" s="33" t="s">
        <v>151</v>
      </c>
      <c r="T3" s="29">
        <v>2</v>
      </c>
      <c r="U3" s="30" t="str">
        <f>VLOOKUP(T3,Key!$E$2:$F$9,2,FALSE)</f>
        <v>Work</v>
      </c>
      <c r="V3" s="30" t="str">
        <f t="shared" si="0"/>
        <v>Home-Work</v>
      </c>
      <c r="W3" s="29">
        <v>300000</v>
      </c>
      <c r="X3" s="34">
        <v>500</v>
      </c>
      <c r="Y3" s="62" t="str">
        <f t="shared" ref="Y3:Y66" si="1">IF(X3&lt;10,"0-10",IF(X3&lt;20,"10-20",IF(X3&lt;40,"20-40",IF(X3&lt;70,"40-70",IF(X3&lt;100,"70-100",IF(X3&lt;200,"100-200","Over 200"))))))</f>
        <v>Over 200</v>
      </c>
      <c r="Z3" s="34">
        <v>8</v>
      </c>
      <c r="AA3" s="62" t="str">
        <f t="shared" ref="AA3:AA66" si="2">IF(Z3&lt;0.5,"0-0.5",IF(Z3&lt;1,"0.5-1.0",IF(Z3&lt;2,"1.0-2.0",IF(Z3&lt;3.5,"2.0-3.5","Over 3.5"))))</f>
        <v>Over 3.5</v>
      </c>
      <c r="AB3" s="29">
        <v>5</v>
      </c>
      <c r="AC3" s="30" t="str">
        <f>VLOOKUP(AB3,Key!$C$20:$D$29,2,FALSE)</f>
        <v>Professional</v>
      </c>
      <c r="AD3" s="29">
        <v>3</v>
      </c>
      <c r="AE3" s="30" t="str">
        <f>VLOOKUP(AD3,Key!$E$20:$F$24,2,FALSE)</f>
        <v>500,000-750,000</v>
      </c>
      <c r="AF3" s="29">
        <v>4</v>
      </c>
      <c r="AG3" s="34">
        <v>3</v>
      </c>
      <c r="AH3" s="34">
        <v>1</v>
      </c>
      <c r="AI3" s="34">
        <v>2</v>
      </c>
      <c r="AJ3" s="34">
        <v>5</v>
      </c>
      <c r="AK3" s="35" t="s">
        <v>94</v>
      </c>
      <c r="AL3" s="36">
        <v>5000</v>
      </c>
      <c r="AM3" t="str">
        <f t="shared" ref="AM3:AM66" si="3">IF(AL3&lt;1000,"0-1000",IF(AL3&lt;2000,"1000-2000",IF(AL3&lt;3000,"2000-3000",IF(AL3&lt;5000,"3000-5000",IF(AL3&lt;10000,"5000-10000","Over 10000")))))</f>
        <v>5000-10000</v>
      </c>
    </row>
    <row r="4" spans="1:39" x14ac:dyDescent="0.2">
      <c r="A4" s="44">
        <v>43771</v>
      </c>
      <c r="B4" s="31">
        <v>0.53263888888888888</v>
      </c>
      <c r="C4" s="31"/>
      <c r="D4" s="31" t="s">
        <v>96</v>
      </c>
      <c r="E4" s="33">
        <v>2</v>
      </c>
      <c r="F4" s="38" t="str">
        <f>VLOOKUP(E4,Key!$A$17:$B$21,2,FALSE)</f>
        <v>Road Vehicle</v>
      </c>
      <c r="G4" s="32">
        <v>9</v>
      </c>
      <c r="H4" s="39" t="str">
        <f>VLOOKUP(G4,Key!$A$2:$B$13,2,FALSE)</f>
        <v xml:space="preserve">Heavy truck </v>
      </c>
      <c r="I4" s="33" t="s">
        <v>108</v>
      </c>
      <c r="J4" s="33">
        <v>2</v>
      </c>
      <c r="K4" s="40" t="str">
        <f>VLOOKUP(J4,Key!$A$24:$B$29,2,FALSE)</f>
        <v>30-39</v>
      </c>
      <c r="L4" s="47" t="s">
        <v>150</v>
      </c>
      <c r="M4" s="29" t="s">
        <v>150</v>
      </c>
      <c r="N4" s="33" t="s">
        <v>151</v>
      </c>
      <c r="O4" s="35">
        <v>1</v>
      </c>
      <c r="P4" s="30" t="str">
        <f>VLOOKUP(O4,Key!$E$2:$F$9,2,FALSE)</f>
        <v>Home</v>
      </c>
      <c r="Q4" s="33" t="s">
        <v>199</v>
      </c>
      <c r="R4" s="29" t="s">
        <v>199</v>
      </c>
      <c r="S4" s="33" t="s">
        <v>151</v>
      </c>
      <c r="T4" s="29">
        <v>2</v>
      </c>
      <c r="U4" s="30" t="str">
        <f>VLOOKUP(T4,Key!$E$2:$F$9,2,FALSE)</f>
        <v>Work</v>
      </c>
      <c r="V4" s="30" t="str">
        <f t="shared" si="0"/>
        <v>Home-Work</v>
      </c>
      <c r="W4" s="29">
        <v>65000</v>
      </c>
      <c r="X4" s="34">
        <v>94</v>
      </c>
      <c r="Y4" s="62" t="str">
        <f t="shared" si="1"/>
        <v>70-100</v>
      </c>
      <c r="Z4" s="34">
        <v>3</v>
      </c>
      <c r="AA4" s="62" t="str">
        <f t="shared" si="2"/>
        <v>2.0-3.5</v>
      </c>
      <c r="AB4" s="29">
        <v>5</v>
      </c>
      <c r="AC4" s="30" t="str">
        <f>VLOOKUP(AB4,Key!$C$20:$D$29,2,FALSE)</f>
        <v>Professional</v>
      </c>
      <c r="AD4" s="29">
        <v>3</v>
      </c>
      <c r="AE4" s="30" t="str">
        <f>VLOOKUP(AD4,Key!$E$20:$F$24,2,FALSE)</f>
        <v>500,000-750,000</v>
      </c>
      <c r="AF4" s="29">
        <v>3</v>
      </c>
      <c r="AG4" s="34">
        <v>2</v>
      </c>
      <c r="AH4" s="34">
        <v>1</v>
      </c>
      <c r="AI4" s="34">
        <v>4</v>
      </c>
      <c r="AJ4" s="34">
        <v>5</v>
      </c>
      <c r="AK4" s="35" t="s">
        <v>94</v>
      </c>
      <c r="AL4" s="36">
        <v>5000</v>
      </c>
      <c r="AM4" t="str">
        <f t="shared" si="3"/>
        <v>5000-10000</v>
      </c>
    </row>
    <row r="5" spans="1:39" ht="15.75" customHeight="1" x14ac:dyDescent="0.2">
      <c r="A5" s="44">
        <v>43771</v>
      </c>
      <c r="B5" s="31">
        <v>0.64930555555555558</v>
      </c>
      <c r="C5" s="31"/>
      <c r="D5" s="31" t="s">
        <v>96</v>
      </c>
      <c r="E5" s="33">
        <v>2</v>
      </c>
      <c r="F5" s="38" t="str">
        <f>VLOOKUP(E5,Key!$A$17:$B$21,2,FALSE)</f>
        <v>Road Vehicle</v>
      </c>
      <c r="G5" s="32">
        <v>9</v>
      </c>
      <c r="H5" s="39" t="str">
        <f>VLOOKUP(G5,Key!$A$2:$B$13,2,FALSE)</f>
        <v xml:space="preserve">Heavy truck </v>
      </c>
      <c r="I5" s="33" t="s">
        <v>108</v>
      </c>
      <c r="J5" s="33">
        <v>3</v>
      </c>
      <c r="K5" s="40" t="str">
        <f>VLOOKUP(J5,Key!$A$24:$B$29,2,FALSE)</f>
        <v>40-49</v>
      </c>
      <c r="L5" s="47" t="s">
        <v>168</v>
      </c>
      <c r="M5" s="29" t="s">
        <v>150</v>
      </c>
      <c r="N5" s="33" t="s">
        <v>151</v>
      </c>
      <c r="O5" s="35">
        <v>2</v>
      </c>
      <c r="P5" s="30" t="str">
        <f>VLOOKUP(O5,Key!$E$2:$F$9,2,FALSE)</f>
        <v>Work</v>
      </c>
      <c r="Q5" s="33" t="s">
        <v>152</v>
      </c>
      <c r="R5" s="29" t="s">
        <v>160</v>
      </c>
      <c r="S5" s="33" t="s">
        <v>151</v>
      </c>
      <c r="T5" s="29">
        <v>2</v>
      </c>
      <c r="U5" s="30" t="str">
        <f>VLOOKUP(T5,Key!$E$2:$F$9,2,FALSE)</f>
        <v>Work</v>
      </c>
      <c r="V5" s="30" t="str">
        <f t="shared" si="0"/>
        <v>Work-Work</v>
      </c>
      <c r="W5" s="41">
        <v>80000</v>
      </c>
      <c r="X5" s="34"/>
      <c r="Y5" s="62" t="str">
        <f t="shared" si="1"/>
        <v>0-10</v>
      </c>
      <c r="Z5" s="34"/>
      <c r="AA5" s="62" t="str">
        <f t="shared" si="2"/>
        <v>0-0.5</v>
      </c>
      <c r="AB5" s="29">
        <v>6</v>
      </c>
      <c r="AC5" s="30" t="str">
        <f>VLOOKUP(AB5,Key!$C$20:$D$29,2,FALSE)</f>
        <v>Businessman</v>
      </c>
      <c r="AD5" s="29">
        <v>4</v>
      </c>
      <c r="AE5" s="30" t="str">
        <f>VLOOKUP(AD5,Key!$E$20:$F$24,2,FALSE)</f>
        <v>750,000-1,000,000</v>
      </c>
      <c r="AF5" s="29">
        <v>1</v>
      </c>
      <c r="AG5" s="34">
        <v>4</v>
      </c>
      <c r="AH5" s="34">
        <v>5</v>
      </c>
      <c r="AI5" s="34">
        <v>2</v>
      </c>
      <c r="AJ5" s="34">
        <v>3</v>
      </c>
      <c r="AK5" s="35" t="s">
        <v>94</v>
      </c>
      <c r="AL5" s="36">
        <v>4000</v>
      </c>
      <c r="AM5" t="str">
        <f t="shared" si="3"/>
        <v>3000-5000</v>
      </c>
    </row>
    <row r="6" spans="1:39" x14ac:dyDescent="0.2">
      <c r="A6" s="44">
        <v>43771</v>
      </c>
      <c r="B6" s="31">
        <v>0.40208333333333335</v>
      </c>
      <c r="C6" s="31"/>
      <c r="D6" s="31" t="s">
        <v>96</v>
      </c>
      <c r="E6" s="33">
        <v>2</v>
      </c>
      <c r="F6" s="38" t="str">
        <f>VLOOKUP(E6,Key!$A$17:$B$21,2,FALSE)</f>
        <v>Road Vehicle</v>
      </c>
      <c r="G6" s="32">
        <v>9</v>
      </c>
      <c r="H6" s="39" t="str">
        <f>VLOOKUP(G6,Key!$A$2:$B$13,2,FALSE)</f>
        <v xml:space="preserve">Heavy truck </v>
      </c>
      <c r="I6" s="33" t="s">
        <v>108</v>
      </c>
      <c r="J6" s="33">
        <v>3</v>
      </c>
      <c r="K6" s="40" t="str">
        <f>VLOOKUP(J6,Key!$A$24:$B$29,2,FALSE)</f>
        <v>40-49</v>
      </c>
      <c r="L6" s="47" t="s">
        <v>150</v>
      </c>
      <c r="M6" s="29" t="s">
        <v>150</v>
      </c>
      <c r="N6" s="33" t="s">
        <v>151</v>
      </c>
      <c r="O6" s="35">
        <v>1</v>
      </c>
      <c r="P6" s="30" t="str">
        <f>VLOOKUP(O6,Key!$E$2:$F$9,2,FALSE)</f>
        <v>Home</v>
      </c>
      <c r="Q6" s="33" t="s">
        <v>153</v>
      </c>
      <c r="R6" s="29" t="s">
        <v>153</v>
      </c>
      <c r="S6" s="33" t="s">
        <v>151</v>
      </c>
      <c r="T6" s="29">
        <v>3</v>
      </c>
      <c r="U6" s="30" t="str">
        <f>VLOOKUP(T6,Key!$E$2:$F$9,2,FALSE)</f>
        <v>Study</v>
      </c>
      <c r="V6" s="30" t="str">
        <f t="shared" si="0"/>
        <v>Home-Study</v>
      </c>
      <c r="W6" s="29">
        <v>200000</v>
      </c>
      <c r="X6" s="34">
        <v>200</v>
      </c>
      <c r="Y6" s="62" t="str">
        <f t="shared" si="1"/>
        <v>Over 200</v>
      </c>
      <c r="Z6" s="34">
        <v>4</v>
      </c>
      <c r="AA6" s="62" t="str">
        <f t="shared" si="2"/>
        <v>Over 3.5</v>
      </c>
      <c r="AB6" s="29">
        <v>5</v>
      </c>
      <c r="AC6" s="30" t="str">
        <f>VLOOKUP(AB6,Key!$C$20:$D$29,2,FALSE)</f>
        <v>Professional</v>
      </c>
      <c r="AD6" s="29">
        <v>3</v>
      </c>
      <c r="AE6" s="30" t="str">
        <f>VLOOKUP(AD6,Key!$E$20:$F$24,2,FALSE)</f>
        <v>500,000-750,000</v>
      </c>
      <c r="AF6" s="29">
        <v>4</v>
      </c>
      <c r="AG6" s="34">
        <v>3</v>
      </c>
      <c r="AH6" s="34">
        <v>2</v>
      </c>
      <c r="AI6" s="34">
        <v>1</v>
      </c>
      <c r="AJ6" s="34">
        <v>5</v>
      </c>
      <c r="AK6" s="35" t="s">
        <v>94</v>
      </c>
      <c r="AL6" s="36">
        <v>200</v>
      </c>
      <c r="AM6" t="str">
        <f t="shared" si="3"/>
        <v>0-1000</v>
      </c>
    </row>
    <row r="7" spans="1:39" x14ac:dyDescent="0.2">
      <c r="A7" s="44">
        <v>43771</v>
      </c>
      <c r="B7" s="31">
        <v>0.44027777777777777</v>
      </c>
      <c r="C7" s="31"/>
      <c r="D7" s="31" t="s">
        <v>96</v>
      </c>
      <c r="E7" s="33">
        <v>2</v>
      </c>
      <c r="F7" s="38" t="str">
        <f>VLOOKUP(E7,Key!$A$17:$B$21,2,FALSE)</f>
        <v>Road Vehicle</v>
      </c>
      <c r="G7" s="32">
        <v>9</v>
      </c>
      <c r="H7" s="39" t="str">
        <f>VLOOKUP(G7,Key!$A$2:$B$13,2,FALSE)</f>
        <v xml:space="preserve">Heavy truck </v>
      </c>
      <c r="I7" s="33" t="s">
        <v>108</v>
      </c>
      <c r="J7" s="33">
        <v>3</v>
      </c>
      <c r="K7" s="40" t="str">
        <f>VLOOKUP(J7,Key!$A$24:$B$29,2,FALSE)</f>
        <v>40-49</v>
      </c>
      <c r="L7" s="47" t="s">
        <v>150</v>
      </c>
      <c r="M7" s="29" t="s">
        <v>150</v>
      </c>
      <c r="N7" s="33" t="s">
        <v>151</v>
      </c>
      <c r="O7" s="35">
        <v>2</v>
      </c>
      <c r="P7" s="30" t="str">
        <f>VLOOKUP(O7,Key!$E$2:$F$9,2,FALSE)</f>
        <v>Work</v>
      </c>
      <c r="Q7" s="33" t="s">
        <v>157</v>
      </c>
      <c r="R7" s="29" t="s">
        <v>157</v>
      </c>
      <c r="S7" s="33" t="s">
        <v>151</v>
      </c>
      <c r="T7" s="29">
        <v>1</v>
      </c>
      <c r="U7" s="30" t="str">
        <f>VLOOKUP(T7,Key!$E$2:$F$9,2,FALSE)</f>
        <v>Home</v>
      </c>
      <c r="V7" s="30" t="str">
        <f t="shared" si="0"/>
        <v>Work-Home</v>
      </c>
      <c r="W7" s="29">
        <v>100000</v>
      </c>
      <c r="X7" s="34">
        <v>127</v>
      </c>
      <c r="Y7" s="62" t="str">
        <f t="shared" si="1"/>
        <v>100-200</v>
      </c>
      <c r="Z7" s="34">
        <v>3</v>
      </c>
      <c r="AA7" s="62" t="str">
        <f t="shared" si="2"/>
        <v>2.0-3.5</v>
      </c>
      <c r="AB7" s="29">
        <v>5</v>
      </c>
      <c r="AC7" s="30" t="str">
        <f>VLOOKUP(AB7,Key!$C$20:$D$29,2,FALSE)</f>
        <v>Professional</v>
      </c>
      <c r="AD7" s="29">
        <v>4</v>
      </c>
      <c r="AE7" s="30" t="str">
        <f>VLOOKUP(AD7,Key!$E$20:$F$24,2,FALSE)</f>
        <v>750,000-1,000,000</v>
      </c>
      <c r="AF7" s="29">
        <v>3</v>
      </c>
      <c r="AG7" s="34">
        <v>5</v>
      </c>
      <c r="AH7" s="34">
        <v>1</v>
      </c>
      <c r="AI7" s="34">
        <v>2</v>
      </c>
      <c r="AJ7" s="34">
        <v>3</v>
      </c>
      <c r="AK7" s="35" t="s">
        <v>94</v>
      </c>
      <c r="AL7" s="36">
        <v>3000</v>
      </c>
      <c r="AM7" t="str">
        <f t="shared" si="3"/>
        <v>3000-5000</v>
      </c>
    </row>
    <row r="8" spans="1:39" x14ac:dyDescent="0.2">
      <c r="A8" s="44">
        <v>43771</v>
      </c>
      <c r="B8" s="31">
        <v>0.53819444444444442</v>
      </c>
      <c r="C8" s="31"/>
      <c r="D8" s="31" t="s">
        <v>96</v>
      </c>
      <c r="E8" s="33">
        <v>2</v>
      </c>
      <c r="F8" s="38" t="str">
        <f>VLOOKUP(E8,Key!$A$17:$B$21,2,FALSE)</f>
        <v>Road Vehicle</v>
      </c>
      <c r="G8" s="32">
        <v>9</v>
      </c>
      <c r="H8" s="39" t="str">
        <f>VLOOKUP(G8,Key!$A$2:$B$13,2,FALSE)</f>
        <v xml:space="preserve">Heavy truck </v>
      </c>
      <c r="I8" s="33" t="s">
        <v>108</v>
      </c>
      <c r="J8" s="33">
        <v>3</v>
      </c>
      <c r="K8" s="40" t="str">
        <f>VLOOKUP(J8,Key!$A$24:$B$29,2,FALSE)</f>
        <v>40-49</v>
      </c>
      <c r="L8" s="47" t="s">
        <v>150</v>
      </c>
      <c r="M8" s="29" t="s">
        <v>150</v>
      </c>
      <c r="N8" s="33" t="s">
        <v>151</v>
      </c>
      <c r="O8" s="35">
        <v>1</v>
      </c>
      <c r="P8" s="30" t="str">
        <f>VLOOKUP(O8,Key!$E$2:$F$9,2,FALSE)</f>
        <v>Home</v>
      </c>
      <c r="Q8" s="33" t="s">
        <v>197</v>
      </c>
      <c r="R8" s="29" t="s">
        <v>198</v>
      </c>
      <c r="S8" s="33" t="s">
        <v>151</v>
      </c>
      <c r="T8" s="29">
        <v>2</v>
      </c>
      <c r="U8" s="30" t="str">
        <f>VLOOKUP(T8,Key!$E$2:$F$9,2,FALSE)</f>
        <v>Work</v>
      </c>
      <c r="V8" s="30" t="str">
        <f t="shared" si="0"/>
        <v>Home-Work</v>
      </c>
      <c r="W8" s="29">
        <v>100000</v>
      </c>
      <c r="X8" s="34">
        <v>62</v>
      </c>
      <c r="Y8" s="62" t="str">
        <f t="shared" si="1"/>
        <v>40-70</v>
      </c>
      <c r="Z8" s="34">
        <v>2</v>
      </c>
      <c r="AA8" s="62" t="str">
        <f t="shared" si="2"/>
        <v>2.0-3.5</v>
      </c>
      <c r="AB8" s="29">
        <v>5</v>
      </c>
      <c r="AC8" s="30" t="str">
        <f>VLOOKUP(AB8,Key!$C$20:$D$29,2,FALSE)</f>
        <v>Professional</v>
      </c>
      <c r="AD8" s="29">
        <v>3</v>
      </c>
      <c r="AE8" s="30" t="str">
        <f>VLOOKUP(AD8,Key!$E$20:$F$24,2,FALSE)</f>
        <v>500,000-750,000</v>
      </c>
      <c r="AF8" s="29">
        <v>5</v>
      </c>
      <c r="AG8" s="34">
        <v>2</v>
      </c>
      <c r="AH8" s="34">
        <v>1</v>
      </c>
      <c r="AI8" s="34">
        <v>3</v>
      </c>
      <c r="AJ8" s="34">
        <v>4</v>
      </c>
      <c r="AK8" s="35" t="s">
        <v>94</v>
      </c>
      <c r="AL8" s="36"/>
      <c r="AM8" t="str">
        <f t="shared" si="3"/>
        <v>0-1000</v>
      </c>
    </row>
    <row r="9" spans="1:39" x14ac:dyDescent="0.2">
      <c r="A9" s="44">
        <v>43771</v>
      </c>
      <c r="B9" s="31">
        <v>0.44375000000000003</v>
      </c>
      <c r="C9" s="31"/>
      <c r="D9" s="31" t="s">
        <v>96</v>
      </c>
      <c r="E9" s="33">
        <v>2</v>
      </c>
      <c r="F9" s="38" t="str">
        <f>VLOOKUP(E9,Key!$A$17:$B$21,2,FALSE)</f>
        <v>Road Vehicle</v>
      </c>
      <c r="G9" s="32">
        <v>9</v>
      </c>
      <c r="H9" s="39" t="str">
        <f>VLOOKUP(G9,Key!$A$2:$B$13,2,FALSE)</f>
        <v xml:space="preserve">Heavy truck </v>
      </c>
      <c r="I9" s="33" t="s">
        <v>108</v>
      </c>
      <c r="J9" s="33">
        <v>4</v>
      </c>
      <c r="K9" s="40" t="str">
        <f>VLOOKUP(J9,Key!$A$24:$B$29,2,FALSE)</f>
        <v>50-59</v>
      </c>
      <c r="L9" s="47" t="s">
        <v>168</v>
      </c>
      <c r="M9" s="29" t="s">
        <v>150</v>
      </c>
      <c r="N9" s="33" t="s">
        <v>151</v>
      </c>
      <c r="O9" s="35">
        <v>2</v>
      </c>
      <c r="P9" s="30" t="str">
        <f>VLOOKUP(O9,Key!$E$2:$F$9,2,FALSE)</f>
        <v>Work</v>
      </c>
      <c r="Q9" s="33" t="s">
        <v>152</v>
      </c>
      <c r="R9" s="29" t="s">
        <v>150</v>
      </c>
      <c r="S9" s="33" t="s">
        <v>151</v>
      </c>
      <c r="T9" s="29">
        <v>2</v>
      </c>
      <c r="U9" s="30" t="str">
        <f>VLOOKUP(T9,Key!$E$2:$F$9,2,FALSE)</f>
        <v>Work</v>
      </c>
      <c r="V9" s="30" t="str">
        <f t="shared" si="0"/>
        <v>Work-Work</v>
      </c>
      <c r="W9" s="41">
        <v>280000</v>
      </c>
      <c r="X9" s="34">
        <v>244</v>
      </c>
      <c r="Y9" s="62" t="str">
        <f t="shared" si="1"/>
        <v>Over 200</v>
      </c>
      <c r="Z9" s="34">
        <v>5</v>
      </c>
      <c r="AA9" s="62" t="str">
        <f t="shared" si="2"/>
        <v>Over 3.5</v>
      </c>
      <c r="AB9" s="29">
        <v>7</v>
      </c>
      <c r="AC9" s="30" t="str">
        <f>VLOOKUP(AB9,Key!$C$20:$D$29,2,FALSE)</f>
        <v>Farmer</v>
      </c>
      <c r="AD9" s="29">
        <v>4</v>
      </c>
      <c r="AE9" s="30" t="str">
        <f>VLOOKUP(AD9,Key!$E$20:$F$24,2,FALSE)</f>
        <v>750,000-1,000,000</v>
      </c>
      <c r="AF9" s="29">
        <v>8</v>
      </c>
      <c r="AG9" s="34">
        <v>3</v>
      </c>
      <c r="AH9" s="34">
        <v>1</v>
      </c>
      <c r="AI9" s="34">
        <v>2</v>
      </c>
      <c r="AJ9" s="34">
        <v>4</v>
      </c>
      <c r="AK9" s="35" t="s">
        <v>94</v>
      </c>
      <c r="AL9" s="36">
        <v>2000</v>
      </c>
      <c r="AM9" t="str">
        <f t="shared" si="3"/>
        <v>2000-3000</v>
      </c>
    </row>
    <row r="10" spans="1:39" x14ac:dyDescent="0.2">
      <c r="A10" s="44">
        <v>43771</v>
      </c>
      <c r="B10" s="31">
        <v>0.61249999999999993</v>
      </c>
      <c r="C10" s="31"/>
      <c r="D10" s="31" t="s">
        <v>96</v>
      </c>
      <c r="E10" s="33">
        <v>2</v>
      </c>
      <c r="F10" s="38" t="str">
        <f>VLOOKUP(E10,Key!$A$17:$B$21,2,FALSE)</f>
        <v>Road Vehicle</v>
      </c>
      <c r="G10" s="32">
        <v>9</v>
      </c>
      <c r="H10" s="39" t="str">
        <f>VLOOKUP(G10,Key!$A$2:$B$13,2,FALSE)</f>
        <v xml:space="preserve">Heavy truck </v>
      </c>
      <c r="I10" s="33" t="s">
        <v>108</v>
      </c>
      <c r="J10" s="33">
        <v>4</v>
      </c>
      <c r="K10" s="40" t="str">
        <f>VLOOKUP(J10,Key!$A$24:$B$29,2,FALSE)</f>
        <v>50-59</v>
      </c>
      <c r="L10" s="47" t="s">
        <v>150</v>
      </c>
      <c r="M10" s="29" t="s">
        <v>150</v>
      </c>
      <c r="N10" s="33" t="s">
        <v>151</v>
      </c>
      <c r="O10" s="35">
        <v>1</v>
      </c>
      <c r="P10" s="30" t="str">
        <f>VLOOKUP(O10,Key!$E$2:$F$9,2,FALSE)</f>
        <v>Home</v>
      </c>
      <c r="Q10" s="33" t="s">
        <v>157</v>
      </c>
      <c r="R10" s="29" t="s">
        <v>157</v>
      </c>
      <c r="S10" s="33" t="s">
        <v>151</v>
      </c>
      <c r="T10" s="29">
        <v>2</v>
      </c>
      <c r="U10" s="30" t="str">
        <f>VLOOKUP(T10,Key!$E$2:$F$9,2,FALSE)</f>
        <v>Work</v>
      </c>
      <c r="V10" s="30" t="str">
        <f t="shared" si="0"/>
        <v>Home-Work</v>
      </c>
      <c r="W10" s="29">
        <v>130000</v>
      </c>
      <c r="X10" s="34">
        <v>140</v>
      </c>
      <c r="Y10" s="62" t="str">
        <f t="shared" si="1"/>
        <v>100-200</v>
      </c>
      <c r="Z10" s="34">
        <v>3</v>
      </c>
      <c r="AA10" s="62" t="str">
        <f t="shared" si="2"/>
        <v>2.0-3.5</v>
      </c>
      <c r="AB10" s="29">
        <v>5</v>
      </c>
      <c r="AC10" s="30" t="str">
        <f>VLOOKUP(AB10,Key!$C$20:$D$29,2,FALSE)</f>
        <v>Professional</v>
      </c>
      <c r="AD10" s="29">
        <v>4</v>
      </c>
      <c r="AE10" s="30" t="str">
        <f>VLOOKUP(AD10,Key!$E$20:$F$24,2,FALSE)</f>
        <v>750,000-1,000,000</v>
      </c>
      <c r="AF10" s="29">
        <v>5</v>
      </c>
      <c r="AG10" s="34">
        <v>1</v>
      </c>
      <c r="AH10" s="34">
        <v>2</v>
      </c>
      <c r="AI10" s="34">
        <v>3</v>
      </c>
      <c r="AJ10" s="34">
        <v>4</v>
      </c>
      <c r="AK10" s="35" t="s">
        <v>94</v>
      </c>
      <c r="AL10" s="36">
        <v>5000</v>
      </c>
      <c r="AM10" t="str">
        <f t="shared" si="3"/>
        <v>5000-10000</v>
      </c>
    </row>
    <row r="11" spans="1:39" x14ac:dyDescent="0.2">
      <c r="A11" s="44">
        <v>43771</v>
      </c>
      <c r="B11" s="31">
        <v>0.45416666666666666</v>
      </c>
      <c r="C11" s="31"/>
      <c r="D11" s="31" t="s">
        <v>96</v>
      </c>
      <c r="E11" s="33">
        <v>2</v>
      </c>
      <c r="F11" s="38" t="str">
        <f>VLOOKUP(E11,Key!$A$17:$B$21,2,FALSE)</f>
        <v>Road Vehicle</v>
      </c>
      <c r="G11" s="32">
        <v>9</v>
      </c>
      <c r="H11" s="39" t="str">
        <f>VLOOKUP(G11,Key!$A$2:$B$13,2,FALSE)</f>
        <v xml:space="preserve">Heavy truck </v>
      </c>
      <c r="I11" s="33" t="s">
        <v>108</v>
      </c>
      <c r="J11" s="33">
        <v>4</v>
      </c>
      <c r="K11" s="40" t="str">
        <f>VLOOKUP(J11,Key!$A$24:$B$29,2,FALSE)</f>
        <v>50-59</v>
      </c>
      <c r="L11" s="47" t="s">
        <v>150</v>
      </c>
      <c r="M11" s="29" t="s">
        <v>150</v>
      </c>
      <c r="N11" s="33" t="s">
        <v>151</v>
      </c>
      <c r="O11" s="35">
        <v>1</v>
      </c>
      <c r="P11" s="30" t="str">
        <f>VLOOKUP(O11,Key!$E$2:$F$9,2,FALSE)</f>
        <v>Home</v>
      </c>
      <c r="Q11" s="33" t="s">
        <v>162</v>
      </c>
      <c r="R11" s="29" t="s">
        <v>162</v>
      </c>
      <c r="S11" s="33" t="s">
        <v>151</v>
      </c>
      <c r="T11" s="29">
        <v>2</v>
      </c>
      <c r="U11" s="30" t="str">
        <f>VLOOKUP(T11,Key!$E$2:$F$9,2,FALSE)</f>
        <v>Work</v>
      </c>
      <c r="V11" s="30" t="str">
        <f t="shared" si="0"/>
        <v>Home-Work</v>
      </c>
      <c r="W11" s="29">
        <v>280000</v>
      </c>
      <c r="X11" s="34">
        <v>335</v>
      </c>
      <c r="Y11" s="62" t="str">
        <f t="shared" si="1"/>
        <v>Over 200</v>
      </c>
      <c r="Z11" s="34">
        <v>6</v>
      </c>
      <c r="AA11" s="62" t="str">
        <f t="shared" si="2"/>
        <v>Over 3.5</v>
      </c>
      <c r="AB11" s="29">
        <v>5</v>
      </c>
      <c r="AC11" s="30" t="str">
        <f>VLOOKUP(AB11,Key!$C$20:$D$29,2,FALSE)</f>
        <v>Professional</v>
      </c>
      <c r="AD11" s="29">
        <v>3</v>
      </c>
      <c r="AE11" s="30" t="str">
        <f>VLOOKUP(AD11,Key!$E$20:$F$24,2,FALSE)</f>
        <v>500,000-750,000</v>
      </c>
      <c r="AF11" s="29">
        <v>3</v>
      </c>
      <c r="AG11" s="34">
        <v>1</v>
      </c>
      <c r="AH11" s="34">
        <v>2</v>
      </c>
      <c r="AI11" s="34">
        <v>5</v>
      </c>
      <c r="AJ11" s="34">
        <v>4</v>
      </c>
      <c r="AK11" s="35" t="s">
        <v>94</v>
      </c>
      <c r="AL11" s="36">
        <v>5000</v>
      </c>
      <c r="AM11" t="str">
        <f t="shared" si="3"/>
        <v>5000-10000</v>
      </c>
    </row>
    <row r="12" spans="1:39" x14ac:dyDescent="0.2">
      <c r="A12" s="44">
        <v>43771</v>
      </c>
      <c r="B12" s="31">
        <v>0.65763888888888888</v>
      </c>
      <c r="C12" s="31"/>
      <c r="D12" s="31" t="s">
        <v>96</v>
      </c>
      <c r="E12" s="33">
        <v>2</v>
      </c>
      <c r="F12" s="38" t="str">
        <f>VLOOKUP(E12,Key!$A$17:$B$21,2,FALSE)</f>
        <v>Road Vehicle</v>
      </c>
      <c r="G12" s="32">
        <v>9</v>
      </c>
      <c r="H12" s="39" t="str">
        <f>VLOOKUP(G12,Key!$A$2:$B$13,2,FALSE)</f>
        <v xml:space="preserve">Heavy truck </v>
      </c>
      <c r="I12" s="33" t="s">
        <v>108</v>
      </c>
      <c r="J12" s="33">
        <v>4</v>
      </c>
      <c r="K12" s="40" t="str">
        <f>VLOOKUP(J12,Key!$A$24:$B$29,2,FALSE)</f>
        <v>50-59</v>
      </c>
      <c r="L12" s="47" t="s">
        <v>150</v>
      </c>
      <c r="M12" s="29" t="s">
        <v>150</v>
      </c>
      <c r="N12" s="33" t="s">
        <v>151</v>
      </c>
      <c r="O12" s="35">
        <v>1</v>
      </c>
      <c r="P12" s="30" t="str">
        <f>VLOOKUP(O12,Key!$E$2:$F$9,2,FALSE)</f>
        <v>Home</v>
      </c>
      <c r="Q12" s="33" t="s">
        <v>202</v>
      </c>
      <c r="R12" s="29" t="s">
        <v>202</v>
      </c>
      <c r="S12" s="33" t="s">
        <v>151</v>
      </c>
      <c r="T12" s="29">
        <v>2</v>
      </c>
      <c r="U12" s="30" t="str">
        <f>VLOOKUP(T12,Key!$E$2:$F$9,2,FALSE)</f>
        <v>Work</v>
      </c>
      <c r="V12" s="30" t="str">
        <f t="shared" si="0"/>
        <v>Home-Work</v>
      </c>
      <c r="W12" s="29">
        <v>70000</v>
      </c>
      <c r="X12" s="34">
        <v>80</v>
      </c>
      <c r="Y12" s="62" t="str">
        <f t="shared" si="1"/>
        <v>70-100</v>
      </c>
      <c r="Z12" s="34">
        <v>2.5</v>
      </c>
      <c r="AA12" s="62" t="str">
        <f t="shared" si="2"/>
        <v>2.0-3.5</v>
      </c>
      <c r="AB12" s="29">
        <v>6</v>
      </c>
      <c r="AC12" s="30" t="str">
        <f>VLOOKUP(AB12,Key!$C$20:$D$29,2,FALSE)</f>
        <v>Businessman</v>
      </c>
      <c r="AD12" s="29">
        <v>2</v>
      </c>
      <c r="AE12" s="30" t="str">
        <f>VLOOKUP(AD12,Key!$E$20:$F$24,2,FALSE)</f>
        <v>300,000-500,000</v>
      </c>
      <c r="AF12" s="29">
        <v>5</v>
      </c>
      <c r="AG12" s="34">
        <v>1</v>
      </c>
      <c r="AH12" s="34">
        <v>2</v>
      </c>
      <c r="AI12" s="34">
        <v>3</v>
      </c>
      <c r="AJ12" s="34">
        <v>4</v>
      </c>
      <c r="AK12" s="35" t="s">
        <v>94</v>
      </c>
      <c r="AL12" s="36">
        <v>5000</v>
      </c>
      <c r="AM12" t="str">
        <f t="shared" si="3"/>
        <v>5000-10000</v>
      </c>
    </row>
    <row r="13" spans="1:39" x14ac:dyDescent="0.2">
      <c r="A13" s="44">
        <v>43771</v>
      </c>
      <c r="B13" s="31">
        <v>0.62013888888888891</v>
      </c>
      <c r="C13" s="31"/>
      <c r="D13" s="31" t="s">
        <v>165</v>
      </c>
      <c r="E13" s="33">
        <v>2</v>
      </c>
      <c r="F13" s="38" t="str">
        <f>VLOOKUP(E13,Key!$A$17:$B$21,2,FALSE)</f>
        <v>Road Vehicle</v>
      </c>
      <c r="G13" s="32">
        <v>6</v>
      </c>
      <c r="H13" s="39" t="str">
        <f>VLOOKUP(G13,Key!$A$2:$B$13,2,FALSE)</f>
        <v>Large Bus</v>
      </c>
      <c r="I13" s="33" t="s">
        <v>178</v>
      </c>
      <c r="J13" s="33">
        <v>2</v>
      </c>
      <c r="K13" s="40" t="str">
        <f>VLOOKUP(J13,Key!$A$24:$B$29,2,FALSE)</f>
        <v>30-39</v>
      </c>
      <c r="L13" s="47" t="s">
        <v>153</v>
      </c>
      <c r="M13" s="29" t="s">
        <v>153</v>
      </c>
      <c r="N13" s="33" t="s">
        <v>151</v>
      </c>
      <c r="O13" s="35">
        <v>1</v>
      </c>
      <c r="P13" s="30" t="str">
        <f>VLOOKUP(O13,Key!$E$2:$F$9,2,FALSE)</f>
        <v>Home</v>
      </c>
      <c r="Q13" s="33" t="s">
        <v>152</v>
      </c>
      <c r="R13" s="29" t="s">
        <v>150</v>
      </c>
      <c r="S13" s="33" t="s">
        <v>151</v>
      </c>
      <c r="T13" s="29">
        <v>1</v>
      </c>
      <c r="U13" s="30" t="str">
        <f>VLOOKUP(T13,Key!$E$2:$F$9,2,FALSE)</f>
        <v>Home</v>
      </c>
      <c r="V13" s="30" t="str">
        <f t="shared" si="0"/>
        <v>Home-Home</v>
      </c>
      <c r="W13" s="41">
        <v>15000</v>
      </c>
      <c r="X13" s="34">
        <v>201</v>
      </c>
      <c r="Y13" s="62" t="str">
        <f t="shared" si="1"/>
        <v>Over 200</v>
      </c>
      <c r="Z13" s="34">
        <v>4</v>
      </c>
      <c r="AA13" s="62" t="str">
        <f t="shared" si="2"/>
        <v>Over 3.5</v>
      </c>
      <c r="AB13" s="29">
        <v>7</v>
      </c>
      <c r="AC13" s="30" t="str">
        <f>VLOOKUP(AB13,Key!$C$20:$D$29,2,FALSE)</f>
        <v>Farmer</v>
      </c>
      <c r="AD13" s="29">
        <v>2</v>
      </c>
      <c r="AE13" s="30" t="str">
        <f>VLOOKUP(AD13,Key!$E$20:$F$24,2,FALSE)</f>
        <v>300,000-500,000</v>
      </c>
      <c r="AF13" s="29">
        <v>3</v>
      </c>
      <c r="AG13" s="34">
        <v>5</v>
      </c>
      <c r="AH13" s="34">
        <v>4</v>
      </c>
      <c r="AI13" s="34">
        <v>2</v>
      </c>
      <c r="AJ13" s="34">
        <v>1</v>
      </c>
      <c r="AK13" s="35" t="s">
        <v>94</v>
      </c>
      <c r="AL13" s="36">
        <v>1000</v>
      </c>
      <c r="AM13" t="str">
        <f t="shared" si="3"/>
        <v>1000-2000</v>
      </c>
    </row>
    <row r="14" spans="1:39" x14ac:dyDescent="0.2">
      <c r="A14" s="44">
        <v>43771</v>
      </c>
      <c r="B14" s="31">
        <v>0.40833333333333338</v>
      </c>
      <c r="C14" s="31"/>
      <c r="D14" s="31" t="s">
        <v>165</v>
      </c>
      <c r="E14" s="33">
        <v>2</v>
      </c>
      <c r="F14" s="38" t="str">
        <f>VLOOKUP(E14,Key!$A$17:$B$21,2,FALSE)</f>
        <v>Road Vehicle</v>
      </c>
      <c r="G14" s="32">
        <v>6</v>
      </c>
      <c r="H14" s="39" t="str">
        <f>VLOOKUP(G14,Key!$A$2:$B$13,2,FALSE)</f>
        <v>Large Bus</v>
      </c>
      <c r="I14" s="33" t="s">
        <v>178</v>
      </c>
      <c r="J14" s="33">
        <v>2</v>
      </c>
      <c r="K14" s="40" t="str">
        <f>VLOOKUP(J14,Key!$A$24:$B$29,2,FALSE)</f>
        <v>30-39</v>
      </c>
      <c r="L14" s="47" t="s">
        <v>153</v>
      </c>
      <c r="M14" s="29" t="s">
        <v>153</v>
      </c>
      <c r="N14" s="33" t="s">
        <v>151</v>
      </c>
      <c r="O14" s="35">
        <v>1</v>
      </c>
      <c r="P14" s="30" t="str">
        <f>VLOOKUP(O14,Key!$E$2:$F$9,2,FALSE)</f>
        <v>Home</v>
      </c>
      <c r="Q14" s="33" t="s">
        <v>150</v>
      </c>
      <c r="R14" s="29" t="s">
        <v>150</v>
      </c>
      <c r="S14" s="33" t="s">
        <v>151</v>
      </c>
      <c r="T14" s="29">
        <v>2</v>
      </c>
      <c r="U14" s="30" t="str">
        <f>VLOOKUP(T14,Key!$E$2:$F$9,2,FALSE)</f>
        <v>Work</v>
      </c>
      <c r="V14" s="30" t="str">
        <f t="shared" si="0"/>
        <v>Home-Work</v>
      </c>
      <c r="W14" s="29">
        <v>15000</v>
      </c>
      <c r="X14" s="34">
        <v>201</v>
      </c>
      <c r="Y14" s="62" t="str">
        <f t="shared" si="1"/>
        <v>Over 200</v>
      </c>
      <c r="Z14" s="34">
        <v>4.5</v>
      </c>
      <c r="AA14" s="62" t="str">
        <f t="shared" si="2"/>
        <v>Over 3.5</v>
      </c>
      <c r="AB14" s="29">
        <v>2</v>
      </c>
      <c r="AC14" s="30" t="str">
        <f>VLOOKUP(AB14,Key!$C$20:$D$29,2,FALSE)</f>
        <v>Manual Labour</v>
      </c>
      <c r="AD14" s="29">
        <v>1</v>
      </c>
      <c r="AE14" s="30" t="str">
        <f>VLOOKUP(AD14,Key!$E$20:$F$24,2,FALSE)</f>
        <v>&lt;300,000</v>
      </c>
      <c r="AF14" s="29">
        <v>3</v>
      </c>
      <c r="AG14" s="34">
        <v>2</v>
      </c>
      <c r="AH14" s="34">
        <v>1</v>
      </c>
      <c r="AI14" s="34">
        <v>5</v>
      </c>
      <c r="AJ14" s="34">
        <v>4</v>
      </c>
      <c r="AK14" s="35" t="s">
        <v>94</v>
      </c>
      <c r="AL14" s="36"/>
      <c r="AM14" t="str">
        <f t="shared" si="3"/>
        <v>0-1000</v>
      </c>
    </row>
    <row r="15" spans="1:39" x14ac:dyDescent="0.2">
      <c r="A15" s="44">
        <v>43771</v>
      </c>
      <c r="B15" s="31">
        <v>0.4236111111111111</v>
      </c>
      <c r="C15" s="31"/>
      <c r="D15" s="31" t="s">
        <v>96</v>
      </c>
      <c r="E15" s="33">
        <v>2</v>
      </c>
      <c r="F15" s="38" t="str">
        <f>VLOOKUP(E15,Key!$A$17:$B$21,2,FALSE)</f>
        <v>Road Vehicle</v>
      </c>
      <c r="G15" s="32">
        <v>6</v>
      </c>
      <c r="H15" s="39" t="str">
        <f>VLOOKUP(G15,Key!$A$2:$B$13,2,FALSE)</f>
        <v>Large Bus</v>
      </c>
      <c r="I15" s="33" t="s">
        <v>108</v>
      </c>
      <c r="J15" s="33">
        <v>2</v>
      </c>
      <c r="K15" s="40" t="str">
        <f>VLOOKUP(J15,Key!$A$24:$B$29,2,FALSE)</f>
        <v>30-39</v>
      </c>
      <c r="L15" s="47" t="s">
        <v>168</v>
      </c>
      <c r="M15" s="29" t="s">
        <v>150</v>
      </c>
      <c r="N15" s="33" t="s">
        <v>151</v>
      </c>
      <c r="O15" s="35">
        <v>2</v>
      </c>
      <c r="P15" s="30" t="str">
        <f>VLOOKUP(O15,Key!$E$2:$F$9,2,FALSE)</f>
        <v>Work</v>
      </c>
      <c r="Q15" s="33" t="s">
        <v>152</v>
      </c>
      <c r="R15" s="29" t="s">
        <v>150</v>
      </c>
      <c r="S15" s="33" t="s">
        <v>151</v>
      </c>
      <c r="T15" s="29">
        <v>2</v>
      </c>
      <c r="U15" s="30" t="str">
        <f>VLOOKUP(T15,Key!$E$2:$F$9,2,FALSE)</f>
        <v>Work</v>
      </c>
      <c r="V15" s="30" t="str">
        <f t="shared" si="0"/>
        <v>Work-Work</v>
      </c>
      <c r="W15" s="41">
        <v>100000</v>
      </c>
      <c r="X15" s="34">
        <v>66</v>
      </c>
      <c r="Y15" s="62" t="str">
        <f t="shared" si="1"/>
        <v>40-70</v>
      </c>
      <c r="Z15" s="34">
        <v>2</v>
      </c>
      <c r="AA15" s="62" t="str">
        <f t="shared" si="2"/>
        <v>2.0-3.5</v>
      </c>
      <c r="AB15" s="29">
        <v>5</v>
      </c>
      <c r="AC15" s="30" t="str">
        <f>VLOOKUP(AB15,Key!$C$20:$D$29,2,FALSE)</f>
        <v>Professional</v>
      </c>
      <c r="AD15" s="29">
        <v>3</v>
      </c>
      <c r="AE15" s="30" t="str">
        <f>VLOOKUP(AD15,Key!$E$20:$F$24,2,FALSE)</f>
        <v>500,000-750,000</v>
      </c>
      <c r="AF15" s="29">
        <v>4</v>
      </c>
      <c r="AG15" s="34">
        <v>2</v>
      </c>
      <c r="AH15" s="34">
        <v>3</v>
      </c>
      <c r="AI15" s="34">
        <v>5</v>
      </c>
      <c r="AJ15" s="34">
        <v>1</v>
      </c>
      <c r="AK15" s="35" t="s">
        <v>94</v>
      </c>
      <c r="AL15" s="36">
        <v>3000</v>
      </c>
      <c r="AM15" t="str">
        <f t="shared" si="3"/>
        <v>3000-5000</v>
      </c>
    </row>
    <row r="16" spans="1:39" x14ac:dyDescent="0.2">
      <c r="A16" s="44">
        <v>43771</v>
      </c>
      <c r="B16" s="31">
        <v>0.39652777777777781</v>
      </c>
      <c r="C16" s="31"/>
      <c r="D16" s="31" t="s">
        <v>165</v>
      </c>
      <c r="E16" s="33">
        <v>2</v>
      </c>
      <c r="F16" s="38" t="str">
        <f>VLOOKUP(E16,Key!$A$17:$B$21,2,FALSE)</f>
        <v>Road Vehicle</v>
      </c>
      <c r="G16" s="32">
        <v>6</v>
      </c>
      <c r="H16" s="39" t="str">
        <f>VLOOKUP(G16,Key!$A$2:$B$13,2,FALSE)</f>
        <v>Large Bus</v>
      </c>
      <c r="I16" s="33" t="s">
        <v>108</v>
      </c>
      <c r="J16" s="33">
        <v>2</v>
      </c>
      <c r="K16" s="40" t="str">
        <f>VLOOKUP(J16,Key!$A$24:$B$29,2,FALSE)</f>
        <v>30-39</v>
      </c>
      <c r="L16" s="47" t="s">
        <v>168</v>
      </c>
      <c r="M16" s="29" t="s">
        <v>150</v>
      </c>
      <c r="N16" s="33" t="s">
        <v>151</v>
      </c>
      <c r="O16" s="35">
        <v>1</v>
      </c>
      <c r="P16" s="30" t="str">
        <f>VLOOKUP(O16,Key!$E$2:$F$9,2,FALSE)</f>
        <v>Home</v>
      </c>
      <c r="Q16" s="33" t="s">
        <v>166</v>
      </c>
      <c r="R16" s="29" t="s">
        <v>153</v>
      </c>
      <c r="S16" s="33" t="s">
        <v>151</v>
      </c>
      <c r="T16" s="29">
        <v>2</v>
      </c>
      <c r="U16" s="30" t="str">
        <f>VLOOKUP(T16,Key!$E$2:$F$9,2,FALSE)</f>
        <v>Work</v>
      </c>
      <c r="V16" s="30" t="str">
        <f t="shared" si="0"/>
        <v>Home-Work</v>
      </c>
      <c r="W16" s="41">
        <v>15000</v>
      </c>
      <c r="X16" s="34">
        <v>60</v>
      </c>
      <c r="Y16" s="62" t="str">
        <f t="shared" si="1"/>
        <v>40-70</v>
      </c>
      <c r="Z16" s="34">
        <v>3</v>
      </c>
      <c r="AA16" s="62" t="str">
        <f t="shared" si="2"/>
        <v>2.0-3.5</v>
      </c>
      <c r="AB16" s="29">
        <v>6</v>
      </c>
      <c r="AC16" s="30" t="str">
        <f>VLOOKUP(AB16,Key!$C$20:$D$29,2,FALSE)</f>
        <v>Businessman</v>
      </c>
      <c r="AD16" s="29">
        <v>3</v>
      </c>
      <c r="AE16" s="30" t="str">
        <f>VLOOKUP(AD16,Key!$E$20:$F$24,2,FALSE)</f>
        <v>500,000-750,000</v>
      </c>
      <c r="AF16" s="29"/>
      <c r="AG16" s="34"/>
      <c r="AH16" s="34"/>
      <c r="AI16" s="34"/>
      <c r="AJ16" s="34"/>
      <c r="AK16" s="35" t="s">
        <v>94</v>
      </c>
      <c r="AL16" s="36">
        <v>1000</v>
      </c>
      <c r="AM16" t="str">
        <f t="shared" si="3"/>
        <v>1000-2000</v>
      </c>
    </row>
    <row r="17" spans="1:39" x14ac:dyDescent="0.2">
      <c r="A17" s="44">
        <v>43771</v>
      </c>
      <c r="B17" s="31">
        <v>0.62708333333333333</v>
      </c>
      <c r="C17" s="31"/>
      <c r="D17" s="31" t="s">
        <v>96</v>
      </c>
      <c r="E17" s="33">
        <v>2</v>
      </c>
      <c r="F17" s="38" t="str">
        <f>VLOOKUP(E17,Key!$A$17:$B$21,2,FALSE)</f>
        <v>Road Vehicle</v>
      </c>
      <c r="G17" s="32">
        <v>6</v>
      </c>
      <c r="H17" s="39" t="str">
        <f>VLOOKUP(G17,Key!$A$2:$B$13,2,FALSE)</f>
        <v>Large Bus</v>
      </c>
      <c r="I17" s="33" t="s">
        <v>108</v>
      </c>
      <c r="J17" s="33">
        <v>2</v>
      </c>
      <c r="K17" s="40" t="str">
        <f>VLOOKUP(J17,Key!$A$24:$B$29,2,FALSE)</f>
        <v>30-39</v>
      </c>
      <c r="L17" s="47" t="s">
        <v>150</v>
      </c>
      <c r="M17" s="29" t="s">
        <v>150</v>
      </c>
      <c r="N17" s="33" t="s">
        <v>151</v>
      </c>
      <c r="O17" s="35">
        <v>1</v>
      </c>
      <c r="P17" s="30" t="str">
        <f>VLOOKUP(O17,Key!$E$2:$F$9,2,FALSE)</f>
        <v>Home</v>
      </c>
      <c r="Q17" s="33" t="s">
        <v>153</v>
      </c>
      <c r="R17" s="29" t="s">
        <v>185</v>
      </c>
      <c r="S17" s="33" t="s">
        <v>151</v>
      </c>
      <c r="T17" s="29">
        <v>2</v>
      </c>
      <c r="U17" s="30" t="str">
        <f>VLOOKUP(T17,Key!$E$2:$F$9,2,FALSE)</f>
        <v>Work</v>
      </c>
      <c r="V17" s="30" t="str">
        <f t="shared" si="0"/>
        <v>Home-Work</v>
      </c>
      <c r="W17" s="29">
        <v>200000</v>
      </c>
      <c r="X17" s="34">
        <v>200</v>
      </c>
      <c r="Y17" s="62" t="str">
        <f t="shared" si="1"/>
        <v>Over 200</v>
      </c>
      <c r="Z17" s="34">
        <v>4</v>
      </c>
      <c r="AA17" s="62" t="str">
        <f t="shared" si="2"/>
        <v>Over 3.5</v>
      </c>
      <c r="AB17" s="29">
        <v>5</v>
      </c>
      <c r="AC17" s="30" t="str">
        <f>VLOOKUP(AB17,Key!$C$20:$D$29,2,FALSE)</f>
        <v>Professional</v>
      </c>
      <c r="AD17" s="29">
        <v>4</v>
      </c>
      <c r="AE17" s="30" t="str">
        <f>VLOOKUP(AD17,Key!$E$20:$F$24,2,FALSE)</f>
        <v>750,000-1,000,000</v>
      </c>
      <c r="AF17" s="29">
        <v>5</v>
      </c>
      <c r="AG17" s="34">
        <v>2</v>
      </c>
      <c r="AH17" s="34">
        <v>1</v>
      </c>
      <c r="AI17" s="34">
        <v>3</v>
      </c>
      <c r="AJ17" s="34">
        <v>4</v>
      </c>
      <c r="AK17" s="35" t="s">
        <v>94</v>
      </c>
      <c r="AL17" s="36">
        <v>1000</v>
      </c>
      <c r="AM17" t="str">
        <f t="shared" si="3"/>
        <v>1000-2000</v>
      </c>
    </row>
    <row r="18" spans="1:39" x14ac:dyDescent="0.2">
      <c r="A18" s="44">
        <v>43771</v>
      </c>
      <c r="B18" s="31">
        <v>0.64930555555555558</v>
      </c>
      <c r="C18" s="31"/>
      <c r="D18" s="31" t="s">
        <v>165</v>
      </c>
      <c r="E18" s="33">
        <v>2</v>
      </c>
      <c r="F18" s="38" t="str">
        <f>VLOOKUP(E18,Key!$A$17:$B$21,2,FALSE)</f>
        <v>Road Vehicle</v>
      </c>
      <c r="G18" s="32">
        <v>6</v>
      </c>
      <c r="H18" s="39" t="str">
        <f>VLOOKUP(G18,Key!$A$2:$B$13,2,FALSE)</f>
        <v>Large Bus</v>
      </c>
      <c r="I18" s="33" t="s">
        <v>108</v>
      </c>
      <c r="J18" s="33">
        <v>3</v>
      </c>
      <c r="K18" s="40" t="str">
        <f>VLOOKUP(J18,Key!$A$24:$B$29,2,FALSE)</f>
        <v>40-49</v>
      </c>
      <c r="L18" s="47" t="s">
        <v>150</v>
      </c>
      <c r="M18" s="29" t="s">
        <v>150</v>
      </c>
      <c r="N18" s="33" t="s">
        <v>151</v>
      </c>
      <c r="O18" s="35">
        <v>1</v>
      </c>
      <c r="P18" s="30" t="str">
        <f>VLOOKUP(O18,Key!$E$2:$F$9,2,FALSE)</f>
        <v>Home</v>
      </c>
      <c r="Q18" s="33" t="s">
        <v>187</v>
      </c>
      <c r="R18" s="29" t="s">
        <v>187</v>
      </c>
      <c r="S18" s="33" t="s">
        <v>151</v>
      </c>
      <c r="T18" s="29">
        <v>2</v>
      </c>
      <c r="U18" s="30" t="str">
        <f>VLOOKUP(T18,Key!$E$2:$F$9,2,FALSE)</f>
        <v>Work</v>
      </c>
      <c r="V18" s="30" t="str">
        <f t="shared" si="0"/>
        <v>Home-Work</v>
      </c>
      <c r="W18" s="29"/>
      <c r="X18" s="34">
        <v>141</v>
      </c>
      <c r="Y18" s="62" t="str">
        <f t="shared" si="1"/>
        <v>100-200</v>
      </c>
      <c r="Z18" s="34">
        <v>3</v>
      </c>
      <c r="AA18" s="62" t="str">
        <f t="shared" si="2"/>
        <v>2.0-3.5</v>
      </c>
      <c r="AB18" s="29">
        <v>6</v>
      </c>
      <c r="AC18" s="30" t="str">
        <f>VLOOKUP(AB18,Key!$C$20:$D$29,2,FALSE)</f>
        <v>Businessman</v>
      </c>
      <c r="AD18" s="29">
        <v>3</v>
      </c>
      <c r="AE18" s="30" t="str">
        <f>VLOOKUP(AD18,Key!$E$20:$F$24,2,FALSE)</f>
        <v>500,000-750,000</v>
      </c>
      <c r="AF18" s="29"/>
      <c r="AG18" s="34"/>
      <c r="AH18" s="34"/>
      <c r="AI18" s="34"/>
      <c r="AJ18" s="34"/>
      <c r="AK18" s="35" t="s">
        <v>94</v>
      </c>
      <c r="AL18" s="36">
        <v>3000</v>
      </c>
      <c r="AM18" t="str">
        <f t="shared" si="3"/>
        <v>3000-5000</v>
      </c>
    </row>
    <row r="19" spans="1:39" x14ac:dyDescent="0.2">
      <c r="A19" s="44">
        <v>43771</v>
      </c>
      <c r="B19" s="31">
        <v>0.45</v>
      </c>
      <c r="C19" s="31"/>
      <c r="D19" s="31" t="s">
        <v>96</v>
      </c>
      <c r="E19" s="33">
        <v>2</v>
      </c>
      <c r="F19" s="38" t="str">
        <f>VLOOKUP(E19,Key!$A$17:$B$21,2,FALSE)</f>
        <v>Road Vehicle</v>
      </c>
      <c r="G19" s="32">
        <v>6</v>
      </c>
      <c r="H19" s="39" t="str">
        <f>VLOOKUP(G19,Key!$A$2:$B$13,2,FALSE)</f>
        <v>Large Bus</v>
      </c>
      <c r="I19" s="33" t="s">
        <v>108</v>
      </c>
      <c r="J19" s="33">
        <v>4</v>
      </c>
      <c r="K19" s="40" t="str">
        <f>VLOOKUP(J19,Key!$A$24:$B$29,2,FALSE)</f>
        <v>50-59</v>
      </c>
      <c r="L19" s="47" t="s">
        <v>150</v>
      </c>
      <c r="M19" s="29" t="s">
        <v>150</v>
      </c>
      <c r="N19" s="33" t="s">
        <v>151</v>
      </c>
      <c r="O19" s="35">
        <v>1</v>
      </c>
      <c r="P19" s="30" t="str">
        <f>VLOOKUP(O19,Key!$E$2:$F$9,2,FALSE)</f>
        <v>Home</v>
      </c>
      <c r="Q19" s="33" t="s">
        <v>195</v>
      </c>
      <c r="R19" s="29" t="s">
        <v>195</v>
      </c>
      <c r="S19" s="33" t="s">
        <v>151</v>
      </c>
      <c r="T19" s="29">
        <v>2</v>
      </c>
      <c r="U19" s="30" t="str">
        <f>VLOOKUP(T19,Key!$E$2:$F$9,2,FALSE)</f>
        <v>Work</v>
      </c>
      <c r="V19" s="30" t="str">
        <f t="shared" si="0"/>
        <v>Home-Work</v>
      </c>
      <c r="W19" s="29">
        <v>300000</v>
      </c>
      <c r="X19" s="34">
        <v>213</v>
      </c>
      <c r="Y19" s="62" t="str">
        <f t="shared" si="1"/>
        <v>Over 200</v>
      </c>
      <c r="Z19" s="34">
        <v>5</v>
      </c>
      <c r="AA19" s="62" t="str">
        <f t="shared" si="2"/>
        <v>Over 3.5</v>
      </c>
      <c r="AB19" s="29">
        <v>5</v>
      </c>
      <c r="AC19" s="30" t="str">
        <f>VLOOKUP(AB19,Key!$C$20:$D$29,2,FALSE)</f>
        <v>Professional</v>
      </c>
      <c r="AD19" s="29">
        <v>3</v>
      </c>
      <c r="AE19" s="30" t="str">
        <f>VLOOKUP(AD19,Key!$E$20:$F$24,2,FALSE)</f>
        <v>500,000-750,000</v>
      </c>
      <c r="AF19" s="29">
        <v>3</v>
      </c>
      <c r="AG19" s="34">
        <v>2</v>
      </c>
      <c r="AH19" s="34">
        <v>1</v>
      </c>
      <c r="AI19" s="34">
        <v>4</v>
      </c>
      <c r="AJ19" s="34">
        <v>5</v>
      </c>
      <c r="AK19" s="35" t="s">
        <v>94</v>
      </c>
      <c r="AL19" s="36">
        <v>1000</v>
      </c>
      <c r="AM19" t="str">
        <f t="shared" si="3"/>
        <v>1000-2000</v>
      </c>
    </row>
    <row r="20" spans="1:39" x14ac:dyDescent="0.2">
      <c r="A20" s="44">
        <v>43771</v>
      </c>
      <c r="B20" s="31">
        <v>0.41388888888888892</v>
      </c>
      <c r="C20" s="31"/>
      <c r="D20" s="31" t="s">
        <v>96</v>
      </c>
      <c r="E20" s="33">
        <v>2</v>
      </c>
      <c r="F20" s="38" t="str">
        <f>VLOOKUP(E20,Key!$A$17:$B$21,2,FALSE)</f>
        <v>Road Vehicle</v>
      </c>
      <c r="G20" s="32">
        <v>7</v>
      </c>
      <c r="H20" s="39" t="str">
        <f>VLOOKUP(G20,Key!$A$2:$B$13,2,FALSE)</f>
        <v xml:space="preserve">Light Truck </v>
      </c>
      <c r="I20" s="33" t="s">
        <v>108</v>
      </c>
      <c r="J20" s="33">
        <v>2</v>
      </c>
      <c r="K20" s="40" t="str">
        <f>VLOOKUP(J20,Key!$A$24:$B$29,2,FALSE)</f>
        <v>30-39</v>
      </c>
      <c r="L20" s="47" t="s">
        <v>168</v>
      </c>
      <c r="M20" s="29" t="s">
        <v>150</v>
      </c>
      <c r="N20" s="33" t="s">
        <v>151</v>
      </c>
      <c r="O20" s="35">
        <v>2</v>
      </c>
      <c r="P20" s="30" t="str">
        <f>VLOOKUP(O20,Key!$E$2:$F$9,2,FALSE)</f>
        <v>Work</v>
      </c>
      <c r="Q20" s="33" t="s">
        <v>158</v>
      </c>
      <c r="R20" s="29" t="s">
        <v>159</v>
      </c>
      <c r="S20" s="33" t="s">
        <v>151</v>
      </c>
      <c r="T20" s="29">
        <v>2</v>
      </c>
      <c r="U20" s="30" t="str">
        <f>VLOOKUP(T20,Key!$E$2:$F$9,2,FALSE)</f>
        <v>Work</v>
      </c>
      <c r="V20" s="30" t="str">
        <f t="shared" si="0"/>
        <v>Work-Work</v>
      </c>
      <c r="W20" s="41">
        <v>40000</v>
      </c>
      <c r="X20" s="34">
        <v>2.5</v>
      </c>
      <c r="Y20" s="62" t="str">
        <f t="shared" si="1"/>
        <v>0-10</v>
      </c>
      <c r="Z20" s="34">
        <v>1.5</v>
      </c>
      <c r="AA20" s="62" t="str">
        <f t="shared" si="2"/>
        <v>1.0-2.0</v>
      </c>
      <c r="AB20" s="29">
        <v>5</v>
      </c>
      <c r="AC20" s="30" t="str">
        <f>VLOOKUP(AB20,Key!$C$20:$D$29,2,FALSE)</f>
        <v>Professional</v>
      </c>
      <c r="AD20" s="29">
        <v>3</v>
      </c>
      <c r="AE20" s="30" t="str">
        <f>VLOOKUP(AD20,Key!$E$20:$F$24,2,FALSE)</f>
        <v>500,000-750,000</v>
      </c>
      <c r="AF20" s="29">
        <v>5</v>
      </c>
      <c r="AG20" s="34">
        <v>3</v>
      </c>
      <c r="AH20" s="34">
        <v>4</v>
      </c>
      <c r="AI20" s="34">
        <v>2</v>
      </c>
      <c r="AJ20" s="34">
        <v>1</v>
      </c>
      <c r="AK20" s="35" t="s">
        <v>94</v>
      </c>
      <c r="AL20" s="36">
        <v>4000</v>
      </c>
      <c r="AM20" t="str">
        <f t="shared" si="3"/>
        <v>3000-5000</v>
      </c>
    </row>
    <row r="21" spans="1:39" x14ac:dyDescent="0.2">
      <c r="A21" s="44">
        <v>43771</v>
      </c>
      <c r="B21" s="31">
        <v>0.50624999999999998</v>
      </c>
      <c r="C21" s="31"/>
      <c r="D21" s="31" t="s">
        <v>96</v>
      </c>
      <c r="E21" s="33">
        <v>2</v>
      </c>
      <c r="F21" s="38" t="str">
        <f>VLOOKUP(E21,Key!$A$17:$B$21,2,FALSE)</f>
        <v>Road Vehicle</v>
      </c>
      <c r="G21" s="32">
        <v>7</v>
      </c>
      <c r="H21" s="39" t="str">
        <f>VLOOKUP(G21,Key!$A$2:$B$13,2,FALSE)</f>
        <v xml:space="preserve">Light Truck </v>
      </c>
      <c r="I21" s="33" t="s">
        <v>108</v>
      </c>
      <c r="J21" s="33">
        <v>2</v>
      </c>
      <c r="K21" s="40" t="str">
        <f>VLOOKUP(J21,Key!$A$24:$B$29,2,FALSE)</f>
        <v>30-39</v>
      </c>
      <c r="L21" s="47" t="s">
        <v>168</v>
      </c>
      <c r="M21" s="29" t="s">
        <v>150</v>
      </c>
      <c r="N21" s="33" t="s">
        <v>151</v>
      </c>
      <c r="O21" s="35">
        <v>2</v>
      </c>
      <c r="P21" s="30" t="str">
        <f>VLOOKUP(O21,Key!$E$2:$F$9,2,FALSE)</f>
        <v>Work</v>
      </c>
      <c r="Q21" s="33" t="s">
        <v>167</v>
      </c>
      <c r="R21" s="29" t="s">
        <v>156</v>
      </c>
      <c r="S21" s="33" t="s">
        <v>151</v>
      </c>
      <c r="T21" s="29">
        <v>2</v>
      </c>
      <c r="U21" s="30" t="str">
        <f>VLOOKUP(T21,Key!$E$2:$F$9,2,FALSE)</f>
        <v>Work</v>
      </c>
      <c r="V21" s="30" t="str">
        <f t="shared" si="0"/>
        <v>Work-Work</v>
      </c>
      <c r="W21" s="41">
        <v>35000</v>
      </c>
      <c r="X21" s="34">
        <v>17</v>
      </c>
      <c r="Y21" s="62" t="str">
        <f t="shared" si="1"/>
        <v>10-20</v>
      </c>
      <c r="Z21" s="34">
        <v>1</v>
      </c>
      <c r="AA21" s="62" t="str">
        <f t="shared" si="2"/>
        <v>1.0-2.0</v>
      </c>
      <c r="AB21" s="29">
        <v>5</v>
      </c>
      <c r="AC21" s="30" t="str">
        <f>VLOOKUP(AB21,Key!$C$20:$D$29,2,FALSE)</f>
        <v>Professional</v>
      </c>
      <c r="AD21" s="29"/>
      <c r="AE21" s="30" t="e">
        <f>VLOOKUP(AD21,Key!$E$20:$F$24,2,FALSE)</f>
        <v>#N/A</v>
      </c>
      <c r="AF21" s="29">
        <v>1</v>
      </c>
      <c r="AG21" s="34">
        <v>2</v>
      </c>
      <c r="AH21" s="34">
        <v>3</v>
      </c>
      <c r="AI21" s="34">
        <v>4</v>
      </c>
      <c r="AJ21" s="34">
        <v>5</v>
      </c>
      <c r="AK21" s="35" t="s">
        <v>94</v>
      </c>
      <c r="AL21" s="36">
        <v>3000</v>
      </c>
      <c r="AM21" t="str">
        <f t="shared" si="3"/>
        <v>3000-5000</v>
      </c>
    </row>
    <row r="22" spans="1:39" x14ac:dyDescent="0.2">
      <c r="A22" s="44">
        <v>43771</v>
      </c>
      <c r="B22" s="31">
        <v>0.5708333333333333</v>
      </c>
      <c r="C22" s="31"/>
      <c r="D22" s="31" t="s">
        <v>96</v>
      </c>
      <c r="E22" s="33">
        <v>2</v>
      </c>
      <c r="F22" s="38" t="str">
        <f>VLOOKUP(E22,Key!$A$17:$B$21,2,FALSE)</f>
        <v>Road Vehicle</v>
      </c>
      <c r="G22" s="32">
        <v>7</v>
      </c>
      <c r="H22" s="39" t="str">
        <f>VLOOKUP(G22,Key!$A$2:$B$13,2,FALSE)</f>
        <v xml:space="preserve">Light Truck </v>
      </c>
      <c r="I22" s="33" t="s">
        <v>108</v>
      </c>
      <c r="J22" s="33">
        <v>2</v>
      </c>
      <c r="K22" s="40" t="str">
        <f>VLOOKUP(J22,Key!$A$24:$B$29,2,FALSE)</f>
        <v>30-39</v>
      </c>
      <c r="L22" s="47" t="s">
        <v>150</v>
      </c>
      <c r="M22" s="29" t="s">
        <v>150</v>
      </c>
      <c r="N22" s="33" t="s">
        <v>151</v>
      </c>
      <c r="O22" s="35">
        <v>1</v>
      </c>
      <c r="P22" s="30" t="str">
        <f>VLOOKUP(O22,Key!$E$2:$F$9,2,FALSE)</f>
        <v>Home</v>
      </c>
      <c r="Q22" s="33" t="s">
        <v>174</v>
      </c>
      <c r="R22" s="29" t="s">
        <v>174</v>
      </c>
      <c r="S22" s="33" t="s">
        <v>151</v>
      </c>
      <c r="T22" s="29">
        <v>2</v>
      </c>
      <c r="U22" s="30" t="str">
        <f>VLOOKUP(T22,Key!$E$2:$F$9,2,FALSE)</f>
        <v>Work</v>
      </c>
      <c r="V22" s="30" t="str">
        <f t="shared" si="0"/>
        <v>Home-Work</v>
      </c>
      <c r="W22" s="41">
        <v>240000</v>
      </c>
      <c r="X22" s="34">
        <v>256</v>
      </c>
      <c r="Y22" s="62" t="str">
        <f t="shared" si="1"/>
        <v>Over 200</v>
      </c>
      <c r="Z22" s="34">
        <v>5</v>
      </c>
      <c r="AA22" s="62" t="str">
        <f t="shared" si="2"/>
        <v>Over 3.5</v>
      </c>
      <c r="AB22" s="29">
        <v>5</v>
      </c>
      <c r="AC22" s="30" t="str">
        <f>VLOOKUP(AB22,Key!$C$20:$D$29,2,FALSE)</f>
        <v>Professional</v>
      </c>
      <c r="AD22" s="29">
        <v>4</v>
      </c>
      <c r="AE22" s="30" t="str">
        <f>VLOOKUP(AD22,Key!$E$20:$F$24,2,FALSE)</f>
        <v>750,000-1,000,000</v>
      </c>
      <c r="AF22" s="29">
        <v>3</v>
      </c>
      <c r="AG22" s="34">
        <v>2</v>
      </c>
      <c r="AH22" s="34">
        <v>1</v>
      </c>
      <c r="AI22" s="34">
        <v>5</v>
      </c>
      <c r="AJ22" s="34">
        <v>4</v>
      </c>
      <c r="AK22" s="35" t="s">
        <v>94</v>
      </c>
      <c r="AL22" s="36">
        <v>3000</v>
      </c>
      <c r="AM22" t="str">
        <f t="shared" si="3"/>
        <v>3000-5000</v>
      </c>
    </row>
    <row r="23" spans="1:39" x14ac:dyDescent="0.2">
      <c r="A23" s="44">
        <v>43771</v>
      </c>
      <c r="B23" s="31">
        <v>0.6972222222222223</v>
      </c>
      <c r="C23" s="31"/>
      <c r="D23" s="31" t="s">
        <v>96</v>
      </c>
      <c r="E23" s="33">
        <v>2</v>
      </c>
      <c r="F23" s="38" t="str">
        <f>VLOOKUP(E23,Key!$A$17:$B$21,2,FALSE)</f>
        <v>Road Vehicle</v>
      </c>
      <c r="G23" s="32">
        <v>7</v>
      </c>
      <c r="H23" s="39" t="str">
        <f>VLOOKUP(G23,Key!$A$2:$B$13,2,FALSE)</f>
        <v xml:space="preserve">Light Truck </v>
      </c>
      <c r="I23" s="33" t="s">
        <v>108</v>
      </c>
      <c r="J23" s="33">
        <v>2</v>
      </c>
      <c r="K23" s="40" t="str">
        <f>VLOOKUP(J23,Key!$A$24:$B$29,2,FALSE)</f>
        <v>30-39</v>
      </c>
      <c r="L23" s="47" t="s">
        <v>150</v>
      </c>
      <c r="M23" s="29" t="s">
        <v>150</v>
      </c>
      <c r="N23" s="33" t="s">
        <v>151</v>
      </c>
      <c r="O23" s="35">
        <v>1</v>
      </c>
      <c r="P23" s="30" t="str">
        <f>VLOOKUP(O23,Key!$E$2:$F$9,2,FALSE)</f>
        <v>Home</v>
      </c>
      <c r="Q23" s="33" t="s">
        <v>181</v>
      </c>
      <c r="R23" s="29" t="s">
        <v>182</v>
      </c>
      <c r="S23" s="33" t="s">
        <v>151</v>
      </c>
      <c r="T23" s="29">
        <v>1</v>
      </c>
      <c r="U23" s="30" t="str">
        <f>VLOOKUP(T23,Key!$E$2:$F$9,2,FALSE)</f>
        <v>Home</v>
      </c>
      <c r="V23" s="30" t="str">
        <f t="shared" si="0"/>
        <v>Home-Home</v>
      </c>
      <c r="W23" s="29">
        <v>130000</v>
      </c>
      <c r="X23" s="34">
        <v>150</v>
      </c>
      <c r="Y23" s="62" t="str">
        <f t="shared" si="1"/>
        <v>100-200</v>
      </c>
      <c r="Z23" s="34">
        <v>4</v>
      </c>
      <c r="AA23" s="62" t="str">
        <f t="shared" si="2"/>
        <v>Over 3.5</v>
      </c>
      <c r="AB23" s="29">
        <v>5</v>
      </c>
      <c r="AC23" s="30" t="str">
        <f>VLOOKUP(AB23,Key!$C$20:$D$29,2,FALSE)</f>
        <v>Professional</v>
      </c>
      <c r="AD23" s="29">
        <v>3</v>
      </c>
      <c r="AE23" s="30" t="str">
        <f>VLOOKUP(AD23,Key!$E$20:$F$24,2,FALSE)</f>
        <v>500,000-750,000</v>
      </c>
      <c r="AF23" s="29">
        <v>3</v>
      </c>
      <c r="AG23" s="34">
        <v>1</v>
      </c>
      <c r="AH23" s="34">
        <v>5</v>
      </c>
      <c r="AI23" s="34">
        <v>2</v>
      </c>
      <c r="AJ23" s="34">
        <v>4</v>
      </c>
      <c r="AK23" s="35" t="s">
        <v>94</v>
      </c>
      <c r="AL23" s="36">
        <v>4000</v>
      </c>
      <c r="AM23" t="str">
        <f t="shared" si="3"/>
        <v>3000-5000</v>
      </c>
    </row>
    <row r="24" spans="1:39" x14ac:dyDescent="0.2">
      <c r="A24" s="44">
        <v>43771</v>
      </c>
      <c r="B24" s="31">
        <v>0.70972222222222225</v>
      </c>
      <c r="C24" s="31"/>
      <c r="D24" s="31" t="s">
        <v>96</v>
      </c>
      <c r="E24" s="33">
        <v>2</v>
      </c>
      <c r="F24" s="38" t="str">
        <f>VLOOKUP(E24,Key!$A$17:$B$21,2,FALSE)</f>
        <v>Road Vehicle</v>
      </c>
      <c r="G24" s="32">
        <v>7</v>
      </c>
      <c r="H24" s="39" t="str">
        <f>VLOOKUP(G24,Key!$A$2:$B$13,2,FALSE)</f>
        <v xml:space="preserve">Light Truck </v>
      </c>
      <c r="I24" s="33" t="s">
        <v>108</v>
      </c>
      <c r="J24" s="33">
        <v>2</v>
      </c>
      <c r="K24" s="40" t="str">
        <f>VLOOKUP(J24,Key!$A$24:$B$29,2,FALSE)</f>
        <v>30-39</v>
      </c>
      <c r="L24" s="47" t="s">
        <v>150</v>
      </c>
      <c r="M24" s="29" t="s">
        <v>150</v>
      </c>
      <c r="N24" s="33" t="s">
        <v>151</v>
      </c>
      <c r="O24" s="35">
        <v>1</v>
      </c>
      <c r="P24" s="30" t="str">
        <f>VLOOKUP(O24,Key!$E$2:$F$9,2,FALSE)</f>
        <v>Home</v>
      </c>
      <c r="Q24" s="33" t="s">
        <v>160</v>
      </c>
      <c r="R24" s="29" t="s">
        <v>160</v>
      </c>
      <c r="S24" s="33" t="s">
        <v>151</v>
      </c>
      <c r="T24" s="29">
        <v>2</v>
      </c>
      <c r="U24" s="30" t="str">
        <f>VLOOKUP(T24,Key!$E$2:$F$9,2,FALSE)</f>
        <v>Work</v>
      </c>
      <c r="V24" s="30" t="str">
        <f t="shared" si="0"/>
        <v>Home-Work</v>
      </c>
      <c r="W24" s="29">
        <v>5000</v>
      </c>
      <c r="X24" s="34">
        <v>35</v>
      </c>
      <c r="Y24" s="62" t="str">
        <f t="shared" si="1"/>
        <v>20-40</v>
      </c>
      <c r="Z24" s="34">
        <v>2</v>
      </c>
      <c r="AA24" s="62" t="str">
        <f t="shared" si="2"/>
        <v>2.0-3.5</v>
      </c>
      <c r="AB24" s="29">
        <v>2</v>
      </c>
      <c r="AC24" s="30" t="str">
        <f>VLOOKUP(AB24,Key!$C$20:$D$29,2,FALSE)</f>
        <v>Manual Labour</v>
      </c>
      <c r="AD24" s="29">
        <v>3</v>
      </c>
      <c r="AE24" s="30" t="str">
        <f>VLOOKUP(AD24,Key!$E$20:$F$24,2,FALSE)</f>
        <v>500,000-750,000</v>
      </c>
      <c r="AF24" s="29">
        <v>3</v>
      </c>
      <c r="AG24" s="34">
        <v>1</v>
      </c>
      <c r="AH24" s="34">
        <v>2</v>
      </c>
      <c r="AI24" s="34">
        <v>5</v>
      </c>
      <c r="AJ24" s="34">
        <v>4</v>
      </c>
      <c r="AK24" s="35" t="s">
        <v>94</v>
      </c>
      <c r="AL24" s="36">
        <v>5000</v>
      </c>
      <c r="AM24" t="str">
        <f t="shared" si="3"/>
        <v>5000-10000</v>
      </c>
    </row>
    <row r="25" spans="1:39" x14ac:dyDescent="0.2">
      <c r="A25" s="44">
        <v>43771</v>
      </c>
      <c r="B25" s="31">
        <v>0.73541666666666661</v>
      </c>
      <c r="C25" s="31"/>
      <c r="D25" s="31" t="s">
        <v>96</v>
      </c>
      <c r="E25" s="33">
        <v>2</v>
      </c>
      <c r="F25" s="38" t="str">
        <f>VLOOKUP(E25,Key!$A$17:$B$21,2,FALSE)</f>
        <v>Road Vehicle</v>
      </c>
      <c r="G25" s="32">
        <v>7</v>
      </c>
      <c r="H25" s="39" t="str">
        <f>VLOOKUP(G25,Key!$A$2:$B$13,2,FALSE)</f>
        <v xml:space="preserve">Light Truck </v>
      </c>
      <c r="I25" s="33" t="s">
        <v>108</v>
      </c>
      <c r="J25" s="33">
        <v>2</v>
      </c>
      <c r="K25" s="40" t="str">
        <f>VLOOKUP(J25,Key!$A$24:$B$29,2,FALSE)</f>
        <v>30-39</v>
      </c>
      <c r="L25" s="47" t="s">
        <v>168</v>
      </c>
      <c r="M25" s="29" t="s">
        <v>150</v>
      </c>
      <c r="N25" s="33" t="s">
        <v>151</v>
      </c>
      <c r="O25" s="35">
        <v>2</v>
      </c>
      <c r="P25" s="30" t="str">
        <f>VLOOKUP(O25,Key!$E$2:$F$9,2,FALSE)</f>
        <v>Work</v>
      </c>
      <c r="Q25" s="33" t="s">
        <v>152</v>
      </c>
      <c r="R25" s="29" t="s">
        <v>183</v>
      </c>
      <c r="S25" s="33" t="s">
        <v>151</v>
      </c>
      <c r="T25" s="29">
        <v>2</v>
      </c>
      <c r="U25" s="30" t="str">
        <f>VLOOKUP(T25,Key!$E$2:$F$9,2,FALSE)</f>
        <v>Work</v>
      </c>
      <c r="V25" s="30" t="str">
        <f t="shared" si="0"/>
        <v>Work-Work</v>
      </c>
      <c r="W25" s="29">
        <v>300000</v>
      </c>
      <c r="X25" s="34">
        <v>370</v>
      </c>
      <c r="Y25" s="62" t="str">
        <f t="shared" si="1"/>
        <v>Over 200</v>
      </c>
      <c r="Z25" s="34">
        <v>6</v>
      </c>
      <c r="AA25" s="62" t="str">
        <f t="shared" si="2"/>
        <v>Over 3.5</v>
      </c>
      <c r="AB25" s="29">
        <v>5</v>
      </c>
      <c r="AC25" s="30" t="str">
        <f>VLOOKUP(AB25,Key!$C$20:$D$29,2,FALSE)</f>
        <v>Professional</v>
      </c>
      <c r="AD25" s="29">
        <v>4</v>
      </c>
      <c r="AE25" s="30" t="str">
        <f>VLOOKUP(AD25,Key!$E$20:$F$24,2,FALSE)</f>
        <v>750,000-1,000,000</v>
      </c>
      <c r="AF25" s="29">
        <v>1</v>
      </c>
      <c r="AG25" s="34">
        <v>2</v>
      </c>
      <c r="AH25" s="34">
        <v>5</v>
      </c>
      <c r="AI25" s="34">
        <v>4</v>
      </c>
      <c r="AJ25" s="34">
        <v>3</v>
      </c>
      <c r="AK25" s="35" t="s">
        <v>94</v>
      </c>
      <c r="AL25" s="36">
        <v>4000</v>
      </c>
      <c r="AM25" t="str">
        <f t="shared" si="3"/>
        <v>3000-5000</v>
      </c>
    </row>
    <row r="26" spans="1:39" x14ac:dyDescent="0.2">
      <c r="A26" s="44">
        <v>43771</v>
      </c>
      <c r="B26" s="31">
        <v>0.46666666666666662</v>
      </c>
      <c r="C26" s="31"/>
      <c r="D26" s="31" t="s">
        <v>96</v>
      </c>
      <c r="E26" s="33">
        <v>2</v>
      </c>
      <c r="F26" s="38" t="str">
        <f>VLOOKUP(E26,Key!$A$17:$B$21,2,FALSE)</f>
        <v>Road Vehicle</v>
      </c>
      <c r="G26" s="32">
        <v>7</v>
      </c>
      <c r="H26" s="39" t="str">
        <f>VLOOKUP(G26,Key!$A$2:$B$13,2,FALSE)</f>
        <v xml:space="preserve">Light Truck </v>
      </c>
      <c r="I26" s="33" t="s">
        <v>108</v>
      </c>
      <c r="J26" s="33">
        <v>3</v>
      </c>
      <c r="K26" s="40" t="str">
        <f>VLOOKUP(J26,Key!$A$24:$B$29,2,FALSE)</f>
        <v>40-49</v>
      </c>
      <c r="L26" s="47" t="s">
        <v>150</v>
      </c>
      <c r="M26" s="29" t="s">
        <v>150</v>
      </c>
      <c r="N26" s="33" t="s">
        <v>151</v>
      </c>
      <c r="O26" s="35">
        <v>1</v>
      </c>
      <c r="P26" s="30" t="str">
        <f>VLOOKUP(O26,Key!$E$2:$F$9,2,FALSE)</f>
        <v>Home</v>
      </c>
      <c r="Q26" s="33" t="s">
        <v>163</v>
      </c>
      <c r="R26" s="29" t="s">
        <v>163</v>
      </c>
      <c r="S26" s="33" t="s">
        <v>151</v>
      </c>
      <c r="T26" s="29">
        <v>2</v>
      </c>
      <c r="U26" s="30" t="str">
        <f>VLOOKUP(T26,Key!$E$2:$F$9,2,FALSE)</f>
        <v>Work</v>
      </c>
      <c r="V26" s="30" t="str">
        <f t="shared" si="0"/>
        <v>Home-Work</v>
      </c>
      <c r="W26" s="41">
        <v>270000</v>
      </c>
      <c r="X26" s="34">
        <v>323</v>
      </c>
      <c r="Y26" s="62" t="str">
        <f t="shared" si="1"/>
        <v>Over 200</v>
      </c>
      <c r="Z26" s="34">
        <v>5</v>
      </c>
      <c r="AA26" s="62" t="str">
        <f t="shared" si="2"/>
        <v>Over 3.5</v>
      </c>
      <c r="AB26" s="29">
        <v>5</v>
      </c>
      <c r="AC26" s="30" t="str">
        <f>VLOOKUP(AB26,Key!$C$20:$D$29,2,FALSE)</f>
        <v>Professional</v>
      </c>
      <c r="AD26" s="29">
        <v>4</v>
      </c>
      <c r="AE26" s="30" t="str">
        <f>VLOOKUP(AD26,Key!$E$20:$F$24,2,FALSE)</f>
        <v>750,000-1,000,000</v>
      </c>
      <c r="AF26" s="29">
        <v>5</v>
      </c>
      <c r="AG26" s="34">
        <v>4</v>
      </c>
      <c r="AH26" s="34">
        <v>1</v>
      </c>
      <c r="AI26" s="34">
        <v>2</v>
      </c>
      <c r="AJ26" s="34">
        <v>3</v>
      </c>
      <c r="AK26" s="35" t="s">
        <v>94</v>
      </c>
      <c r="AL26" s="36">
        <v>3000</v>
      </c>
      <c r="AM26" t="str">
        <f t="shared" si="3"/>
        <v>3000-5000</v>
      </c>
    </row>
    <row r="27" spans="1:39" x14ac:dyDescent="0.2">
      <c r="A27" s="44">
        <v>43771</v>
      </c>
      <c r="B27" s="31">
        <v>0.52916666666666667</v>
      </c>
      <c r="C27" s="31"/>
      <c r="D27" s="31" t="s">
        <v>96</v>
      </c>
      <c r="E27" s="33">
        <v>2</v>
      </c>
      <c r="F27" s="38" t="str">
        <f>VLOOKUP(E27,Key!$A$17:$B$21,2,FALSE)</f>
        <v>Road Vehicle</v>
      </c>
      <c r="G27" s="32">
        <v>7</v>
      </c>
      <c r="H27" s="39" t="str">
        <f>VLOOKUP(G27,Key!$A$2:$B$13,2,FALSE)</f>
        <v xml:space="preserve">Light Truck </v>
      </c>
      <c r="I27" s="33" t="s">
        <v>108</v>
      </c>
      <c r="J27" s="33">
        <v>3</v>
      </c>
      <c r="K27" s="40" t="str">
        <f>VLOOKUP(J27,Key!$A$24:$B$29,2,FALSE)</f>
        <v>40-49</v>
      </c>
      <c r="L27" s="47" t="s">
        <v>150</v>
      </c>
      <c r="M27" s="29" t="s">
        <v>150</v>
      </c>
      <c r="N27" s="33" t="s">
        <v>151</v>
      </c>
      <c r="O27" s="35">
        <v>1</v>
      </c>
      <c r="P27" s="30" t="str">
        <f>VLOOKUP(O27,Key!$E$2:$F$9,2,FALSE)</f>
        <v>Home</v>
      </c>
      <c r="Q27" s="33" t="s">
        <v>170</v>
      </c>
      <c r="R27" s="29" t="s">
        <v>156</v>
      </c>
      <c r="S27" s="33" t="s">
        <v>151</v>
      </c>
      <c r="T27" s="29">
        <v>2</v>
      </c>
      <c r="U27" s="30" t="str">
        <f>VLOOKUP(T27,Key!$E$2:$F$9,2,FALSE)</f>
        <v>Work</v>
      </c>
      <c r="V27" s="30" t="str">
        <f t="shared" si="0"/>
        <v>Home-Work</v>
      </c>
      <c r="W27" s="41">
        <v>15000</v>
      </c>
      <c r="X27" s="34">
        <v>16</v>
      </c>
      <c r="Y27" s="62" t="str">
        <f t="shared" si="1"/>
        <v>10-20</v>
      </c>
      <c r="Z27" s="34">
        <v>0.8</v>
      </c>
      <c r="AA27" s="62" t="str">
        <f t="shared" si="2"/>
        <v>0.5-1.0</v>
      </c>
      <c r="AB27" s="29">
        <v>5</v>
      </c>
      <c r="AC27" s="30" t="str">
        <f>VLOOKUP(AB27,Key!$C$20:$D$29,2,FALSE)</f>
        <v>Professional</v>
      </c>
      <c r="AD27" s="29">
        <v>4</v>
      </c>
      <c r="AE27" s="30" t="str">
        <f>VLOOKUP(AD27,Key!$E$20:$F$24,2,FALSE)</f>
        <v>750,000-1,000,000</v>
      </c>
      <c r="AF27" s="29">
        <v>5</v>
      </c>
      <c r="AG27" s="34">
        <v>3</v>
      </c>
      <c r="AH27" s="34">
        <v>1</v>
      </c>
      <c r="AI27" s="34">
        <v>2</v>
      </c>
      <c r="AJ27" s="34">
        <v>4</v>
      </c>
      <c r="AK27" s="35" t="s">
        <v>94</v>
      </c>
      <c r="AL27" s="36">
        <v>1000</v>
      </c>
      <c r="AM27" t="str">
        <f t="shared" si="3"/>
        <v>1000-2000</v>
      </c>
    </row>
    <row r="28" spans="1:39" x14ac:dyDescent="0.2">
      <c r="A28" s="44">
        <v>43771</v>
      </c>
      <c r="B28" s="31">
        <v>0.60833333333333328</v>
      </c>
      <c r="C28" s="31"/>
      <c r="D28" s="31" t="s">
        <v>96</v>
      </c>
      <c r="E28" s="33">
        <v>2</v>
      </c>
      <c r="F28" s="38" t="str">
        <f>VLOOKUP(E28,Key!$A$17:$B$21,2,FALSE)</f>
        <v>Road Vehicle</v>
      </c>
      <c r="G28" s="32">
        <v>7</v>
      </c>
      <c r="H28" s="39" t="str">
        <f>VLOOKUP(G28,Key!$A$2:$B$13,2,FALSE)</f>
        <v xml:space="preserve">Light Truck </v>
      </c>
      <c r="I28" s="33" t="s">
        <v>108</v>
      </c>
      <c r="J28" s="33">
        <v>3</v>
      </c>
      <c r="K28" s="40" t="str">
        <f>VLOOKUP(J28,Key!$A$24:$B$29,2,FALSE)</f>
        <v>40-49</v>
      </c>
      <c r="L28" s="47" t="s">
        <v>150</v>
      </c>
      <c r="M28" s="29" t="s">
        <v>150</v>
      </c>
      <c r="N28" s="33" t="s">
        <v>151</v>
      </c>
      <c r="O28" s="35">
        <v>1</v>
      </c>
      <c r="P28" s="30" t="str">
        <f>VLOOKUP(O28,Key!$E$2:$F$9,2,FALSE)</f>
        <v>Home</v>
      </c>
      <c r="Q28" s="33" t="s">
        <v>187</v>
      </c>
      <c r="R28" s="29" t="s">
        <v>187</v>
      </c>
      <c r="S28" s="33" t="s">
        <v>151</v>
      </c>
      <c r="T28" s="29">
        <v>2</v>
      </c>
      <c r="U28" s="30" t="str">
        <f>VLOOKUP(T28,Key!$E$2:$F$9,2,FALSE)</f>
        <v>Work</v>
      </c>
      <c r="V28" s="30" t="str">
        <f t="shared" si="0"/>
        <v>Home-Work</v>
      </c>
      <c r="W28" s="29">
        <v>170000</v>
      </c>
      <c r="X28" s="34">
        <v>140</v>
      </c>
      <c r="Y28" s="62" t="str">
        <f t="shared" si="1"/>
        <v>100-200</v>
      </c>
      <c r="Z28" s="34">
        <v>3</v>
      </c>
      <c r="AA28" s="62" t="str">
        <f t="shared" si="2"/>
        <v>2.0-3.5</v>
      </c>
      <c r="AB28" s="29">
        <v>5</v>
      </c>
      <c r="AC28" s="30" t="str">
        <f>VLOOKUP(AB28,Key!$C$20:$D$29,2,FALSE)</f>
        <v>Professional</v>
      </c>
      <c r="AD28" s="29">
        <v>4</v>
      </c>
      <c r="AE28" s="30" t="str">
        <f>VLOOKUP(AD28,Key!$E$20:$F$24,2,FALSE)</f>
        <v>750,000-1,000,000</v>
      </c>
      <c r="AF28" s="29">
        <v>5</v>
      </c>
      <c r="AG28" s="34">
        <v>2</v>
      </c>
      <c r="AH28" s="34">
        <v>1</v>
      </c>
      <c r="AI28" s="34">
        <v>3</v>
      </c>
      <c r="AJ28" s="34">
        <v>4</v>
      </c>
      <c r="AK28" s="35" t="s">
        <v>94</v>
      </c>
      <c r="AL28" s="36">
        <v>5000</v>
      </c>
      <c r="AM28" t="str">
        <f t="shared" si="3"/>
        <v>5000-10000</v>
      </c>
    </row>
    <row r="29" spans="1:39" x14ac:dyDescent="0.2">
      <c r="A29" s="44">
        <v>43771</v>
      </c>
      <c r="B29" s="31">
        <v>0.50069444444444444</v>
      </c>
      <c r="C29" s="31"/>
      <c r="D29" s="31" t="s">
        <v>96</v>
      </c>
      <c r="E29" s="33">
        <v>2</v>
      </c>
      <c r="F29" s="38" t="str">
        <f>VLOOKUP(E29,Key!$A$17:$B$21,2,FALSE)</f>
        <v>Road Vehicle</v>
      </c>
      <c r="G29" s="32">
        <v>7</v>
      </c>
      <c r="H29" s="39" t="str">
        <f>VLOOKUP(G29,Key!$A$2:$B$13,2,FALSE)</f>
        <v xml:space="preserve">Light Truck </v>
      </c>
      <c r="I29" s="33" t="s">
        <v>108</v>
      </c>
      <c r="J29" s="33">
        <v>5</v>
      </c>
      <c r="K29" s="40" t="str">
        <f>VLOOKUP(J29,Key!$A$24:$B$29,2,FALSE)</f>
        <v>60-69</v>
      </c>
      <c r="L29" s="47" t="s">
        <v>150</v>
      </c>
      <c r="M29" s="29" t="s">
        <v>150</v>
      </c>
      <c r="N29" s="33" t="s">
        <v>151</v>
      </c>
      <c r="O29" s="35">
        <v>1</v>
      </c>
      <c r="P29" s="30" t="str">
        <f>VLOOKUP(O29,Key!$E$2:$F$9,2,FALSE)</f>
        <v>Home</v>
      </c>
      <c r="Q29" s="33" t="s">
        <v>164</v>
      </c>
      <c r="R29" s="29" t="s">
        <v>164</v>
      </c>
      <c r="S29" s="33" t="s">
        <v>151</v>
      </c>
      <c r="T29" s="29">
        <v>2</v>
      </c>
      <c r="U29" s="30" t="str">
        <f>VLOOKUP(T29,Key!$E$2:$F$9,2,FALSE)</f>
        <v>Work</v>
      </c>
      <c r="V29" s="30" t="str">
        <f t="shared" si="0"/>
        <v>Home-Work</v>
      </c>
      <c r="W29" s="41">
        <v>280000</v>
      </c>
      <c r="X29" s="34">
        <v>330</v>
      </c>
      <c r="Y29" s="62" t="str">
        <f t="shared" si="1"/>
        <v>Over 200</v>
      </c>
      <c r="Z29" s="34">
        <v>6</v>
      </c>
      <c r="AA29" s="62" t="str">
        <f t="shared" si="2"/>
        <v>Over 3.5</v>
      </c>
      <c r="AB29" s="29">
        <v>5</v>
      </c>
      <c r="AC29" s="30" t="str">
        <f>VLOOKUP(AB29,Key!$C$20:$D$29,2,FALSE)</f>
        <v>Professional</v>
      </c>
      <c r="AD29" s="29">
        <v>4</v>
      </c>
      <c r="AE29" s="30" t="str">
        <f>VLOOKUP(AD29,Key!$E$20:$F$24,2,FALSE)</f>
        <v>750,000-1,000,000</v>
      </c>
      <c r="AF29" s="29">
        <v>3</v>
      </c>
      <c r="AG29" s="34">
        <v>5</v>
      </c>
      <c r="AH29" s="34">
        <v>1</v>
      </c>
      <c r="AI29" s="34">
        <v>2</v>
      </c>
      <c r="AJ29" s="34">
        <v>3</v>
      </c>
      <c r="AK29" s="35" t="s">
        <v>94</v>
      </c>
      <c r="AL29" s="36">
        <v>3000</v>
      </c>
      <c r="AM29" t="str">
        <f t="shared" si="3"/>
        <v>3000-5000</v>
      </c>
    </row>
    <row r="30" spans="1:39" x14ac:dyDescent="0.2">
      <c r="A30" s="44">
        <v>43771</v>
      </c>
      <c r="B30" s="31">
        <v>0.49374999999999997</v>
      </c>
      <c r="C30" s="31"/>
      <c r="D30" s="31" t="s">
        <v>96</v>
      </c>
      <c r="E30" s="33">
        <v>2</v>
      </c>
      <c r="F30" s="38" t="str">
        <f>VLOOKUP(E30,Key!$A$17:$B$21,2,FALSE)</f>
        <v>Road Vehicle</v>
      </c>
      <c r="G30" s="32">
        <v>7</v>
      </c>
      <c r="H30" s="39" t="str">
        <f>VLOOKUP(G30,Key!$A$2:$B$13,2,FALSE)</f>
        <v xml:space="preserve">Light Truck </v>
      </c>
      <c r="I30" s="33" t="s">
        <v>108</v>
      </c>
      <c r="J30" s="33">
        <v>5</v>
      </c>
      <c r="K30" s="40" t="str">
        <f>VLOOKUP(J30,Key!$A$24:$B$29,2,FALSE)</f>
        <v>60-69</v>
      </c>
      <c r="L30" s="47" t="s">
        <v>150</v>
      </c>
      <c r="M30" s="29" t="s">
        <v>150</v>
      </c>
      <c r="N30" s="33" t="s">
        <v>151</v>
      </c>
      <c r="O30" s="35">
        <v>1</v>
      </c>
      <c r="P30" s="30" t="str">
        <f>VLOOKUP(O30,Key!$E$2:$F$9,2,FALSE)</f>
        <v>Home</v>
      </c>
      <c r="Q30" s="33" t="s">
        <v>163</v>
      </c>
      <c r="R30" s="29" t="s">
        <v>163</v>
      </c>
      <c r="S30" s="33" t="s">
        <v>151</v>
      </c>
      <c r="T30" s="29">
        <v>2</v>
      </c>
      <c r="U30" s="30" t="str">
        <f>VLOOKUP(T30,Key!$E$2:$F$9,2,FALSE)</f>
        <v>Work</v>
      </c>
      <c r="V30" s="30" t="str">
        <f t="shared" si="0"/>
        <v>Home-Work</v>
      </c>
      <c r="W30" s="29">
        <v>240000</v>
      </c>
      <c r="X30" s="34">
        <v>290</v>
      </c>
      <c r="Y30" s="62" t="str">
        <f t="shared" si="1"/>
        <v>Over 200</v>
      </c>
      <c r="Z30" s="34">
        <v>8</v>
      </c>
      <c r="AA30" s="62" t="str">
        <f t="shared" si="2"/>
        <v>Over 3.5</v>
      </c>
      <c r="AB30" s="29">
        <v>5</v>
      </c>
      <c r="AC30" s="30" t="str">
        <f>VLOOKUP(AB30,Key!$C$20:$D$29,2,FALSE)</f>
        <v>Professional</v>
      </c>
      <c r="AD30" s="29">
        <v>4</v>
      </c>
      <c r="AE30" s="30" t="str">
        <f>VLOOKUP(AD30,Key!$E$20:$F$24,2,FALSE)</f>
        <v>750,000-1,000,000</v>
      </c>
      <c r="AF30" s="29">
        <v>3</v>
      </c>
      <c r="AG30" s="34">
        <v>5</v>
      </c>
      <c r="AH30" s="34">
        <v>1</v>
      </c>
      <c r="AI30" s="34">
        <v>2</v>
      </c>
      <c r="AJ30" s="34">
        <v>4</v>
      </c>
      <c r="AK30" s="35" t="s">
        <v>94</v>
      </c>
      <c r="AL30" s="36">
        <v>2000</v>
      </c>
      <c r="AM30" t="str">
        <f t="shared" si="3"/>
        <v>2000-3000</v>
      </c>
    </row>
    <row r="31" spans="1:39" x14ac:dyDescent="0.2">
      <c r="A31" s="44">
        <v>43771</v>
      </c>
      <c r="B31" s="31">
        <v>0.58680555555555558</v>
      </c>
      <c r="C31" s="31"/>
      <c r="D31" s="31" t="s">
        <v>165</v>
      </c>
      <c r="E31" s="33">
        <v>2</v>
      </c>
      <c r="F31" s="38" t="str">
        <f>VLOOKUP(E31,Key!$A$17:$B$21,2,FALSE)</f>
        <v>Road Vehicle</v>
      </c>
      <c r="G31" s="32">
        <v>5</v>
      </c>
      <c r="H31" s="39" t="str">
        <f>VLOOKUP(G31,Key!$A$2:$B$13,2,FALSE)</f>
        <v xml:space="preserve">Medium bus </v>
      </c>
      <c r="I31" s="33" t="s">
        <v>108</v>
      </c>
      <c r="J31" s="33">
        <v>1</v>
      </c>
      <c r="K31" s="40" t="str">
        <f>VLOOKUP(J31,Key!$A$24:$B$29,2,FALSE)</f>
        <v>20-29</v>
      </c>
      <c r="L31" s="47" t="s">
        <v>189</v>
      </c>
      <c r="M31" s="29" t="s">
        <v>190</v>
      </c>
      <c r="N31" s="33" t="s">
        <v>151</v>
      </c>
      <c r="O31" s="35">
        <v>1</v>
      </c>
      <c r="P31" s="30" t="str">
        <f>VLOOKUP(O31,Key!$E$2:$F$9,2,FALSE)</f>
        <v>Home</v>
      </c>
      <c r="Q31" s="33" t="s">
        <v>150</v>
      </c>
      <c r="R31" s="29" t="s">
        <v>150</v>
      </c>
      <c r="S31" s="33" t="s">
        <v>151</v>
      </c>
      <c r="T31" s="29">
        <v>4</v>
      </c>
      <c r="U31" s="30" t="str">
        <f>VLOOKUP(T31,Key!$E$2:$F$9,2,FALSE)</f>
        <v>Commercial</v>
      </c>
      <c r="V31" s="30" t="str">
        <f t="shared" si="0"/>
        <v>Home-Commercial</v>
      </c>
      <c r="W31" s="29">
        <v>6000</v>
      </c>
      <c r="X31" s="34">
        <v>36</v>
      </c>
      <c r="Y31" s="62" t="str">
        <f t="shared" si="1"/>
        <v>20-40</v>
      </c>
      <c r="Z31" s="34">
        <v>2</v>
      </c>
      <c r="AA31" s="62" t="str">
        <f t="shared" si="2"/>
        <v>2.0-3.5</v>
      </c>
      <c r="AB31" s="29">
        <v>6</v>
      </c>
      <c r="AC31" s="30" t="str">
        <f>VLOOKUP(AB31,Key!$C$20:$D$29,2,FALSE)</f>
        <v>Businessman</v>
      </c>
      <c r="AD31" s="29">
        <v>3</v>
      </c>
      <c r="AE31" s="30" t="str">
        <f>VLOOKUP(AD31,Key!$E$20:$F$24,2,FALSE)</f>
        <v>500,000-750,000</v>
      </c>
      <c r="AF31" s="29">
        <v>5</v>
      </c>
      <c r="AG31" s="34">
        <v>2</v>
      </c>
      <c r="AH31" s="34">
        <v>1</v>
      </c>
      <c r="AI31" s="34">
        <v>3</v>
      </c>
      <c r="AJ31" s="34">
        <v>4</v>
      </c>
      <c r="AK31" s="35" t="s">
        <v>94</v>
      </c>
      <c r="AL31" s="36">
        <v>5000</v>
      </c>
      <c r="AM31" t="str">
        <f t="shared" si="3"/>
        <v>5000-10000</v>
      </c>
    </row>
    <row r="32" spans="1:39" x14ac:dyDescent="0.2">
      <c r="A32" s="44">
        <v>43771</v>
      </c>
      <c r="B32" s="31">
        <v>0.59375</v>
      </c>
      <c r="C32" s="31"/>
      <c r="D32" s="31" t="s">
        <v>96</v>
      </c>
      <c r="E32" s="33">
        <v>2</v>
      </c>
      <c r="F32" s="38" t="str">
        <f>VLOOKUP(E32,Key!$A$17:$B$21,2,FALSE)</f>
        <v>Road Vehicle</v>
      </c>
      <c r="G32" s="32">
        <v>5</v>
      </c>
      <c r="H32" s="39" t="str">
        <f>VLOOKUP(G32,Key!$A$2:$B$13,2,FALSE)</f>
        <v xml:space="preserve">Medium bus </v>
      </c>
      <c r="I32" s="33" t="s">
        <v>108</v>
      </c>
      <c r="J32" s="33">
        <v>1</v>
      </c>
      <c r="K32" s="40" t="str">
        <f>VLOOKUP(J32,Key!$A$24:$B$29,2,FALSE)</f>
        <v>20-29</v>
      </c>
      <c r="L32" s="47" t="s">
        <v>149</v>
      </c>
      <c r="M32" s="29" t="s">
        <v>149</v>
      </c>
      <c r="N32" s="33" t="s">
        <v>151</v>
      </c>
      <c r="O32" s="35">
        <v>1</v>
      </c>
      <c r="P32" s="30" t="str">
        <f>VLOOKUP(O32,Key!$E$2:$F$9,2,FALSE)</f>
        <v>Home</v>
      </c>
      <c r="Q32" s="33" t="s">
        <v>150</v>
      </c>
      <c r="R32" s="29" t="s">
        <v>150</v>
      </c>
      <c r="S32" s="33" t="s">
        <v>151</v>
      </c>
      <c r="T32" s="29">
        <v>4</v>
      </c>
      <c r="U32" s="30" t="str">
        <f>VLOOKUP(T32,Key!$E$2:$F$9,2,FALSE)</f>
        <v>Commercial</v>
      </c>
      <c r="V32" s="30" t="str">
        <f t="shared" si="0"/>
        <v>Home-Commercial</v>
      </c>
      <c r="W32" s="29">
        <v>300000</v>
      </c>
      <c r="X32" s="34">
        <v>500</v>
      </c>
      <c r="Y32" s="62" t="str">
        <f t="shared" si="1"/>
        <v>Over 200</v>
      </c>
      <c r="Z32" s="34">
        <v>7</v>
      </c>
      <c r="AA32" s="62" t="str">
        <f t="shared" si="2"/>
        <v>Over 3.5</v>
      </c>
      <c r="AB32" s="29">
        <v>5</v>
      </c>
      <c r="AC32" s="30" t="str">
        <f>VLOOKUP(AB32,Key!$C$20:$D$29,2,FALSE)</f>
        <v>Professional</v>
      </c>
      <c r="AD32" s="29">
        <v>2</v>
      </c>
      <c r="AE32" s="30" t="str">
        <f>VLOOKUP(AD32,Key!$E$20:$F$24,2,FALSE)</f>
        <v>300,000-500,000</v>
      </c>
      <c r="AF32" s="29">
        <v>5</v>
      </c>
      <c r="AG32" s="34">
        <v>4</v>
      </c>
      <c r="AH32" s="34">
        <v>1</v>
      </c>
      <c r="AI32" s="34">
        <v>2</v>
      </c>
      <c r="AJ32" s="34">
        <v>3</v>
      </c>
      <c r="AK32" s="35" t="s">
        <v>94</v>
      </c>
      <c r="AL32" s="36"/>
      <c r="AM32" t="str">
        <f t="shared" si="3"/>
        <v>0-1000</v>
      </c>
    </row>
    <row r="33" spans="1:39" x14ac:dyDescent="0.2">
      <c r="A33" s="44">
        <v>43771</v>
      </c>
      <c r="B33" s="31">
        <v>0.47430555555555554</v>
      </c>
      <c r="C33" s="31"/>
      <c r="D33" s="31" t="s">
        <v>96</v>
      </c>
      <c r="E33" s="33">
        <v>2</v>
      </c>
      <c r="F33" s="38" t="str">
        <f>VLOOKUP(E33,Key!$A$17:$B$21,2,FALSE)</f>
        <v>Road Vehicle</v>
      </c>
      <c r="G33" s="32">
        <v>5</v>
      </c>
      <c r="H33" s="39" t="str">
        <f>VLOOKUP(G33,Key!$A$2:$B$13,2,FALSE)</f>
        <v xml:space="preserve">Medium bus </v>
      </c>
      <c r="I33" s="33" t="s">
        <v>108</v>
      </c>
      <c r="J33" s="33">
        <v>2</v>
      </c>
      <c r="K33" s="40" t="str">
        <f>VLOOKUP(J33,Key!$A$24:$B$29,2,FALSE)</f>
        <v>30-39</v>
      </c>
      <c r="L33" s="47" t="s">
        <v>150</v>
      </c>
      <c r="M33" s="29" t="s">
        <v>150</v>
      </c>
      <c r="N33" s="33" t="s">
        <v>151</v>
      </c>
      <c r="O33" s="35">
        <v>1</v>
      </c>
      <c r="P33" s="30" t="str">
        <f>VLOOKUP(O33,Key!$E$2:$F$9,2,FALSE)</f>
        <v>Home</v>
      </c>
      <c r="Q33" s="33" t="s">
        <v>153</v>
      </c>
      <c r="R33" s="29" t="s">
        <v>153</v>
      </c>
      <c r="S33" s="33" t="s">
        <v>151</v>
      </c>
      <c r="T33" s="29">
        <v>2</v>
      </c>
      <c r="U33" s="30" t="str">
        <f>VLOOKUP(T33,Key!$E$2:$F$9,2,FALSE)</f>
        <v>Work</v>
      </c>
      <c r="V33" s="30" t="str">
        <f t="shared" si="0"/>
        <v>Home-Work</v>
      </c>
      <c r="W33" s="29">
        <v>200000</v>
      </c>
      <c r="X33" s="34">
        <v>201</v>
      </c>
      <c r="Y33" s="62" t="str">
        <f t="shared" si="1"/>
        <v>Over 200</v>
      </c>
      <c r="Z33" s="34">
        <v>4.5</v>
      </c>
      <c r="AA33" s="62" t="str">
        <f t="shared" si="2"/>
        <v>Over 3.5</v>
      </c>
      <c r="AB33" s="29">
        <v>5</v>
      </c>
      <c r="AC33" s="30" t="str">
        <f>VLOOKUP(AB33,Key!$C$20:$D$29,2,FALSE)</f>
        <v>Professional</v>
      </c>
      <c r="AD33" s="29">
        <v>3</v>
      </c>
      <c r="AE33" s="30" t="str">
        <f>VLOOKUP(AD33,Key!$E$20:$F$24,2,FALSE)</f>
        <v>500,000-750,000</v>
      </c>
      <c r="AF33" s="29">
        <v>3</v>
      </c>
      <c r="AG33" s="34">
        <v>1</v>
      </c>
      <c r="AH33" s="34">
        <v>5</v>
      </c>
      <c r="AI33" s="34">
        <v>2</v>
      </c>
      <c r="AJ33" s="34">
        <v>4</v>
      </c>
      <c r="AK33" s="35" t="s">
        <v>94</v>
      </c>
      <c r="AL33" s="36">
        <v>3000</v>
      </c>
      <c r="AM33" t="str">
        <f t="shared" si="3"/>
        <v>3000-5000</v>
      </c>
    </row>
    <row r="34" spans="1:39" x14ac:dyDescent="0.2">
      <c r="A34" s="44">
        <v>43771</v>
      </c>
      <c r="B34" s="31" t="s">
        <v>169</v>
      </c>
      <c r="C34" s="31"/>
      <c r="D34" s="31" t="s">
        <v>96</v>
      </c>
      <c r="E34" s="33">
        <v>2</v>
      </c>
      <c r="F34" s="38" t="str">
        <f>VLOOKUP(E34,Key!$A$17:$B$21,2,FALSE)</f>
        <v>Road Vehicle</v>
      </c>
      <c r="G34" s="32">
        <v>5</v>
      </c>
      <c r="H34" s="39" t="str">
        <f>VLOOKUP(G34,Key!$A$2:$B$13,2,FALSE)</f>
        <v xml:space="preserve">Medium bus </v>
      </c>
      <c r="I34" s="33" t="s">
        <v>108</v>
      </c>
      <c r="J34" s="33">
        <v>3</v>
      </c>
      <c r="K34" s="40" t="str">
        <f>VLOOKUP(J34,Key!$A$24:$B$29,2,FALSE)</f>
        <v>40-49</v>
      </c>
      <c r="L34" s="47" t="s">
        <v>168</v>
      </c>
      <c r="M34" s="29" t="s">
        <v>150</v>
      </c>
      <c r="N34" s="33" t="s">
        <v>151</v>
      </c>
      <c r="O34" s="35">
        <v>2</v>
      </c>
      <c r="P34" s="30" t="str">
        <f>VLOOKUP(O34,Key!$E$2:$F$9,2,FALSE)</f>
        <v>Work</v>
      </c>
      <c r="Q34" s="33" t="s">
        <v>159</v>
      </c>
      <c r="R34" s="29" t="s">
        <v>159</v>
      </c>
      <c r="S34" s="33" t="s">
        <v>151</v>
      </c>
      <c r="T34" s="29">
        <v>2</v>
      </c>
      <c r="U34" s="30" t="str">
        <f>VLOOKUP(T34,Key!$E$2:$F$9,2,FALSE)</f>
        <v>Work</v>
      </c>
      <c r="V34" s="30" t="str">
        <f t="shared" ref="V34:V65" si="4">P34&amp;"-"&amp;U34</f>
        <v>Work-Work</v>
      </c>
      <c r="W34" s="41">
        <v>70000</v>
      </c>
      <c r="X34" s="34">
        <v>15</v>
      </c>
      <c r="Y34" s="62" t="str">
        <f t="shared" si="1"/>
        <v>10-20</v>
      </c>
      <c r="Z34" s="34">
        <v>3</v>
      </c>
      <c r="AA34" s="62" t="str">
        <f t="shared" si="2"/>
        <v>2.0-3.5</v>
      </c>
      <c r="AB34" s="29">
        <v>6</v>
      </c>
      <c r="AC34" s="30" t="str">
        <f>VLOOKUP(AB34,Key!$C$20:$D$29,2,FALSE)</f>
        <v>Businessman</v>
      </c>
      <c r="AD34" s="29">
        <v>4</v>
      </c>
      <c r="AE34" s="30" t="str">
        <f>VLOOKUP(AD34,Key!$E$20:$F$24,2,FALSE)</f>
        <v>750,000-1,000,000</v>
      </c>
      <c r="AF34" s="29">
        <v>3</v>
      </c>
      <c r="AG34" s="34">
        <v>4</v>
      </c>
      <c r="AH34" s="34">
        <v>5</v>
      </c>
      <c r="AI34" s="34">
        <v>2</v>
      </c>
      <c r="AJ34" s="34">
        <v>1</v>
      </c>
      <c r="AK34" s="35" t="s">
        <v>94</v>
      </c>
      <c r="AL34" s="36">
        <v>2000</v>
      </c>
      <c r="AM34" t="str">
        <f t="shared" si="3"/>
        <v>2000-3000</v>
      </c>
    </row>
    <row r="35" spans="1:39" x14ac:dyDescent="0.2">
      <c r="A35" s="44">
        <v>43771</v>
      </c>
      <c r="B35" s="31">
        <v>0.52500000000000002</v>
      </c>
      <c r="C35" s="31"/>
      <c r="D35" s="31" t="s">
        <v>96</v>
      </c>
      <c r="E35" s="33">
        <v>2</v>
      </c>
      <c r="F35" s="38" t="str">
        <f>VLOOKUP(E35,Key!$A$17:$B$21,2,FALSE)</f>
        <v>Road Vehicle</v>
      </c>
      <c r="G35" s="32">
        <v>5</v>
      </c>
      <c r="H35" s="39" t="str">
        <f>VLOOKUP(G35,Key!$A$2:$B$13,2,FALSE)</f>
        <v xml:space="preserve">Medium bus </v>
      </c>
      <c r="I35" s="33" t="s">
        <v>108</v>
      </c>
      <c r="J35" s="33">
        <v>3</v>
      </c>
      <c r="K35" s="40" t="str">
        <f>VLOOKUP(J35,Key!$A$24:$B$29,2,FALSE)</f>
        <v>40-49</v>
      </c>
      <c r="L35" s="47" t="s">
        <v>150</v>
      </c>
      <c r="M35" s="29" t="s">
        <v>150</v>
      </c>
      <c r="N35" s="33" t="s">
        <v>151</v>
      </c>
      <c r="O35" s="35">
        <v>1</v>
      </c>
      <c r="P35" s="30" t="str">
        <f>VLOOKUP(O35,Key!$E$2:$F$9,2,FALSE)</f>
        <v>Home</v>
      </c>
      <c r="Q35" s="33" t="s">
        <v>160</v>
      </c>
      <c r="R35" s="29" t="s">
        <v>160</v>
      </c>
      <c r="S35" s="33" t="s">
        <v>151</v>
      </c>
      <c r="T35" s="29">
        <v>2</v>
      </c>
      <c r="U35" s="30" t="str">
        <f>VLOOKUP(T35,Key!$E$2:$F$9,2,FALSE)</f>
        <v>Work</v>
      </c>
      <c r="V35" s="30" t="str">
        <f t="shared" si="4"/>
        <v>Home-Work</v>
      </c>
      <c r="W35" s="29">
        <v>40000</v>
      </c>
      <c r="X35" s="34">
        <v>39</v>
      </c>
      <c r="Y35" s="62" t="str">
        <f t="shared" si="1"/>
        <v>20-40</v>
      </c>
      <c r="Z35" s="34">
        <v>2</v>
      </c>
      <c r="AA35" s="62" t="str">
        <f t="shared" si="2"/>
        <v>2.0-3.5</v>
      </c>
      <c r="AB35" s="29">
        <v>5</v>
      </c>
      <c r="AC35" s="30" t="str">
        <f>VLOOKUP(AB35,Key!$C$20:$D$29,2,FALSE)</f>
        <v>Professional</v>
      </c>
      <c r="AD35" s="29">
        <v>3</v>
      </c>
      <c r="AE35" s="30" t="str">
        <f>VLOOKUP(AD35,Key!$E$20:$F$24,2,FALSE)</f>
        <v>500,000-750,000</v>
      </c>
      <c r="AF35" s="29">
        <v>3</v>
      </c>
      <c r="AG35" s="34">
        <v>1</v>
      </c>
      <c r="AH35" s="34">
        <v>2</v>
      </c>
      <c r="AI35" s="34">
        <v>5</v>
      </c>
      <c r="AJ35" s="34">
        <v>4</v>
      </c>
      <c r="AK35" s="35" t="s">
        <v>94</v>
      </c>
      <c r="AL35" s="36">
        <v>2000</v>
      </c>
      <c r="AM35" t="str">
        <f t="shared" si="3"/>
        <v>2000-3000</v>
      </c>
    </row>
    <row r="36" spans="1:39" x14ac:dyDescent="0.2">
      <c r="A36" s="44">
        <v>43771</v>
      </c>
      <c r="B36" s="31">
        <v>0.40625</v>
      </c>
      <c r="C36" s="31"/>
      <c r="D36" s="31" t="s">
        <v>96</v>
      </c>
      <c r="E36" s="33">
        <v>2</v>
      </c>
      <c r="F36" s="38" t="str">
        <f>VLOOKUP(E36,Key!$A$17:$B$21,2,FALSE)</f>
        <v>Road Vehicle</v>
      </c>
      <c r="G36" s="32">
        <v>5</v>
      </c>
      <c r="H36" s="39" t="str">
        <f>VLOOKUP(G36,Key!$A$2:$B$13,2,FALSE)</f>
        <v xml:space="preserve">Medium bus </v>
      </c>
      <c r="I36" s="33" t="s">
        <v>108</v>
      </c>
      <c r="J36" s="33">
        <v>4</v>
      </c>
      <c r="K36" s="40" t="str">
        <f>VLOOKUP(J36,Key!$A$24:$B$29,2,FALSE)</f>
        <v>50-59</v>
      </c>
      <c r="L36" s="47" t="s">
        <v>150</v>
      </c>
      <c r="M36" s="29" t="s">
        <v>150</v>
      </c>
      <c r="N36" s="33" t="s">
        <v>151</v>
      </c>
      <c r="O36" s="35">
        <v>2</v>
      </c>
      <c r="P36" s="30" t="str">
        <f>VLOOKUP(O36,Key!$E$2:$F$9,2,FALSE)</f>
        <v>Work</v>
      </c>
      <c r="Q36" s="33" t="s">
        <v>154</v>
      </c>
      <c r="R36" s="29" t="s">
        <v>154</v>
      </c>
      <c r="S36" s="33" t="s">
        <v>151</v>
      </c>
      <c r="T36" s="29">
        <v>2</v>
      </c>
      <c r="U36" s="30" t="str">
        <f>VLOOKUP(T36,Key!$E$2:$F$9,2,FALSE)</f>
        <v>Work</v>
      </c>
      <c r="V36" s="30" t="str">
        <f t="shared" si="4"/>
        <v>Work-Work</v>
      </c>
      <c r="W36" s="41">
        <v>165000</v>
      </c>
      <c r="X36" s="34">
        <v>192</v>
      </c>
      <c r="Y36" s="62" t="str">
        <f t="shared" si="1"/>
        <v>100-200</v>
      </c>
      <c r="Z36" s="34">
        <v>4</v>
      </c>
      <c r="AA36" s="62" t="str">
        <f t="shared" si="2"/>
        <v>Over 3.5</v>
      </c>
      <c r="AB36" s="29">
        <v>5</v>
      </c>
      <c r="AC36" s="30" t="str">
        <f>VLOOKUP(AB36,Key!$C$20:$D$29,2,FALSE)</f>
        <v>Professional</v>
      </c>
      <c r="AD36" s="29">
        <v>4</v>
      </c>
      <c r="AE36" s="30" t="str">
        <f>VLOOKUP(AD36,Key!$E$20:$F$24,2,FALSE)</f>
        <v>750,000-1,000,000</v>
      </c>
      <c r="AF36" s="29">
        <v>3</v>
      </c>
      <c r="AG36" s="34">
        <v>4</v>
      </c>
      <c r="AH36" s="34">
        <v>5</v>
      </c>
      <c r="AI36" s="34">
        <v>1</v>
      </c>
      <c r="AJ36" s="34">
        <v>2</v>
      </c>
      <c r="AK36" s="35" t="s">
        <v>94</v>
      </c>
      <c r="AL36" s="36">
        <v>4000</v>
      </c>
      <c r="AM36" t="str">
        <f t="shared" si="3"/>
        <v>3000-5000</v>
      </c>
    </row>
    <row r="37" spans="1:39" x14ac:dyDescent="0.2">
      <c r="A37" s="44">
        <v>43771</v>
      </c>
      <c r="B37" s="31">
        <v>0.52361111111111114</v>
      </c>
      <c r="C37" s="31"/>
      <c r="D37" s="31" t="s">
        <v>96</v>
      </c>
      <c r="E37" s="33">
        <v>2</v>
      </c>
      <c r="F37" s="38" t="str">
        <f>VLOOKUP(E37,Key!$A$17:$B$21,2,FALSE)</f>
        <v>Road Vehicle</v>
      </c>
      <c r="G37" s="32">
        <v>8</v>
      </c>
      <c r="H37" s="39" t="str">
        <f>VLOOKUP(G37,Key!$A$2:$B$13,2,FALSE)</f>
        <v xml:space="preserve">Medium Truck </v>
      </c>
      <c r="I37" s="33" t="s">
        <v>108</v>
      </c>
      <c r="J37" s="33">
        <v>1</v>
      </c>
      <c r="K37" s="40" t="str">
        <f>VLOOKUP(J37,Key!$A$24:$B$29,2,FALSE)</f>
        <v>20-29</v>
      </c>
      <c r="L37" s="47" t="s">
        <v>150</v>
      </c>
      <c r="M37" s="29" t="s">
        <v>150</v>
      </c>
      <c r="N37" s="33" t="s">
        <v>151</v>
      </c>
      <c r="O37" s="35">
        <v>1</v>
      </c>
      <c r="P37" s="30" t="str">
        <f>VLOOKUP(O37,Key!$E$2:$F$9,2,FALSE)</f>
        <v>Home</v>
      </c>
      <c r="Q37" s="33" t="s">
        <v>162</v>
      </c>
      <c r="R37" s="29" t="s">
        <v>162</v>
      </c>
      <c r="S37" s="33" t="s">
        <v>151</v>
      </c>
      <c r="T37" s="29">
        <v>2</v>
      </c>
      <c r="U37" s="30" t="str">
        <f>VLOOKUP(T37,Key!$E$2:$F$9,2,FALSE)</f>
        <v>Work</v>
      </c>
      <c r="V37" s="30" t="str">
        <f t="shared" si="4"/>
        <v>Home-Work</v>
      </c>
      <c r="W37" s="41">
        <v>250000</v>
      </c>
      <c r="X37" s="34">
        <v>335</v>
      </c>
      <c r="Y37" s="62" t="str">
        <f t="shared" si="1"/>
        <v>Over 200</v>
      </c>
      <c r="Z37" s="34">
        <v>5</v>
      </c>
      <c r="AA37" s="62" t="str">
        <f t="shared" si="2"/>
        <v>Over 3.5</v>
      </c>
      <c r="AB37" s="29">
        <v>5</v>
      </c>
      <c r="AC37" s="30" t="str">
        <f>VLOOKUP(AB37,Key!$C$20:$D$29,2,FALSE)</f>
        <v>Professional</v>
      </c>
      <c r="AD37" s="29">
        <v>4</v>
      </c>
      <c r="AE37" s="30" t="str">
        <f>VLOOKUP(AD37,Key!$E$20:$F$24,2,FALSE)</f>
        <v>750,000-1,000,000</v>
      </c>
      <c r="AF37" s="29">
        <v>5</v>
      </c>
      <c r="AG37" s="34">
        <v>2</v>
      </c>
      <c r="AH37" s="34">
        <v>1</v>
      </c>
      <c r="AI37" s="34">
        <v>3</v>
      </c>
      <c r="AJ37" s="34">
        <v>4</v>
      </c>
      <c r="AK37" s="35" t="s">
        <v>94</v>
      </c>
      <c r="AL37" s="36">
        <v>3000</v>
      </c>
      <c r="AM37" t="str">
        <f t="shared" si="3"/>
        <v>3000-5000</v>
      </c>
    </row>
    <row r="38" spans="1:39" x14ac:dyDescent="0.2">
      <c r="A38" s="44">
        <v>43771</v>
      </c>
      <c r="B38" s="31">
        <v>0.45555555555555555</v>
      </c>
      <c r="C38" s="31"/>
      <c r="D38" s="31" t="s">
        <v>96</v>
      </c>
      <c r="E38" s="33">
        <v>2</v>
      </c>
      <c r="F38" s="38" t="str">
        <f>VLOOKUP(E38,Key!$A$17:$B$21,2,FALSE)</f>
        <v>Road Vehicle</v>
      </c>
      <c r="G38" s="32">
        <v>8</v>
      </c>
      <c r="H38" s="39" t="str">
        <f>VLOOKUP(G38,Key!$A$2:$B$13,2,FALSE)</f>
        <v xml:space="preserve">Medium Truck </v>
      </c>
      <c r="I38" s="33" t="s">
        <v>108</v>
      </c>
      <c r="J38" s="33">
        <v>2</v>
      </c>
      <c r="K38" s="40" t="str">
        <f>VLOOKUP(J38,Key!$A$24:$B$29,2,FALSE)</f>
        <v>30-39</v>
      </c>
      <c r="L38" s="47" t="s">
        <v>168</v>
      </c>
      <c r="M38" s="29" t="s">
        <v>150</v>
      </c>
      <c r="N38" s="33" t="s">
        <v>151</v>
      </c>
      <c r="O38" s="35">
        <v>2</v>
      </c>
      <c r="P38" s="30" t="str">
        <f>VLOOKUP(O38,Key!$E$2:$F$9,2,FALSE)</f>
        <v>Work</v>
      </c>
      <c r="Q38" s="33" t="s">
        <v>160</v>
      </c>
      <c r="R38" s="29" t="s">
        <v>160</v>
      </c>
      <c r="S38" s="33" t="s">
        <v>151</v>
      </c>
      <c r="T38" s="29">
        <v>2</v>
      </c>
      <c r="U38" s="30" t="str">
        <f>VLOOKUP(T38,Key!$E$2:$F$9,2,FALSE)</f>
        <v>Work</v>
      </c>
      <c r="V38" s="30" t="str">
        <f t="shared" si="4"/>
        <v>Work-Work</v>
      </c>
      <c r="W38" s="41">
        <v>45000</v>
      </c>
      <c r="X38" s="34">
        <v>39</v>
      </c>
      <c r="Y38" s="62" t="str">
        <f t="shared" si="1"/>
        <v>20-40</v>
      </c>
      <c r="Z38" s="34">
        <v>2</v>
      </c>
      <c r="AA38" s="62" t="str">
        <f t="shared" si="2"/>
        <v>2.0-3.5</v>
      </c>
      <c r="AB38" s="29">
        <v>5</v>
      </c>
      <c r="AC38" s="30" t="str">
        <f>VLOOKUP(AB38,Key!$C$20:$D$29,2,FALSE)</f>
        <v>Professional</v>
      </c>
      <c r="AD38" s="29">
        <v>3</v>
      </c>
      <c r="AE38" s="30" t="str">
        <f>VLOOKUP(AD38,Key!$E$20:$F$24,2,FALSE)</f>
        <v>500,000-750,000</v>
      </c>
      <c r="AF38" s="29">
        <v>3</v>
      </c>
      <c r="AG38" s="34">
        <v>2</v>
      </c>
      <c r="AH38" s="34">
        <v>4</v>
      </c>
      <c r="AI38" s="34">
        <v>1</v>
      </c>
      <c r="AJ38" s="34">
        <v>5</v>
      </c>
      <c r="AK38" s="35" t="s">
        <v>94</v>
      </c>
      <c r="AL38" s="36">
        <v>1000</v>
      </c>
      <c r="AM38" t="str">
        <f t="shared" si="3"/>
        <v>1000-2000</v>
      </c>
    </row>
    <row r="39" spans="1:39" x14ac:dyDescent="0.2">
      <c r="A39" s="44">
        <v>43771</v>
      </c>
      <c r="B39" s="31">
        <v>0.56180555555555556</v>
      </c>
      <c r="C39" s="31"/>
      <c r="D39" s="31" t="s">
        <v>96</v>
      </c>
      <c r="E39" s="33">
        <v>2</v>
      </c>
      <c r="F39" s="38" t="str">
        <f>VLOOKUP(E39,Key!$A$17:$B$21,2,FALSE)</f>
        <v>Road Vehicle</v>
      </c>
      <c r="G39" s="32">
        <v>8</v>
      </c>
      <c r="H39" s="39" t="str">
        <f>VLOOKUP(G39,Key!$A$2:$B$13,2,FALSE)</f>
        <v xml:space="preserve">Medium Truck </v>
      </c>
      <c r="I39" s="33" t="s">
        <v>108</v>
      </c>
      <c r="J39" s="33">
        <v>2</v>
      </c>
      <c r="K39" s="40" t="str">
        <f>VLOOKUP(J39,Key!$A$24:$B$29,2,FALSE)</f>
        <v>30-39</v>
      </c>
      <c r="L39" s="47" t="s">
        <v>150</v>
      </c>
      <c r="M39" s="29" t="s">
        <v>150</v>
      </c>
      <c r="N39" s="33" t="s">
        <v>151</v>
      </c>
      <c r="O39" s="35">
        <v>1</v>
      </c>
      <c r="P39" s="30" t="str">
        <f>VLOOKUP(O39,Key!$E$2:$F$9,2,FALSE)</f>
        <v>Home</v>
      </c>
      <c r="Q39" s="33" t="s">
        <v>173</v>
      </c>
      <c r="R39" s="29" t="s">
        <v>173</v>
      </c>
      <c r="S39" s="33" t="s">
        <v>151</v>
      </c>
      <c r="T39" s="29">
        <v>2</v>
      </c>
      <c r="U39" s="30" t="str">
        <f>VLOOKUP(T39,Key!$E$2:$F$9,2,FALSE)</f>
        <v>Work</v>
      </c>
      <c r="V39" s="30" t="str">
        <f t="shared" si="4"/>
        <v>Home-Work</v>
      </c>
      <c r="W39" s="41">
        <v>270000</v>
      </c>
      <c r="X39" s="34">
        <v>259</v>
      </c>
      <c r="Y39" s="62" t="str">
        <f t="shared" si="1"/>
        <v>Over 200</v>
      </c>
      <c r="Z39" s="34">
        <v>4</v>
      </c>
      <c r="AA39" s="62" t="str">
        <f t="shared" si="2"/>
        <v>Over 3.5</v>
      </c>
      <c r="AB39" s="29">
        <v>5</v>
      </c>
      <c r="AC39" s="30" t="str">
        <f>VLOOKUP(AB39,Key!$C$20:$D$29,2,FALSE)</f>
        <v>Professional</v>
      </c>
      <c r="AD39" s="29">
        <v>4</v>
      </c>
      <c r="AE39" s="30" t="str">
        <f>VLOOKUP(AD39,Key!$E$20:$F$24,2,FALSE)</f>
        <v>750,000-1,000,000</v>
      </c>
      <c r="AF39" s="29">
        <v>5</v>
      </c>
      <c r="AG39" s="34">
        <v>4</v>
      </c>
      <c r="AH39" s="34">
        <v>2</v>
      </c>
      <c r="AI39" s="34">
        <v>1</v>
      </c>
      <c r="AJ39" s="34">
        <v>3</v>
      </c>
      <c r="AK39" s="35" t="s">
        <v>94</v>
      </c>
      <c r="AL39" s="36">
        <v>10000</v>
      </c>
      <c r="AM39" t="str">
        <f t="shared" si="3"/>
        <v>Over 10000</v>
      </c>
    </row>
    <row r="40" spans="1:39" x14ac:dyDescent="0.2">
      <c r="A40" s="44">
        <v>43771</v>
      </c>
      <c r="B40" s="31">
        <v>0.41666666666666669</v>
      </c>
      <c r="C40" s="31"/>
      <c r="D40" s="31" t="s">
        <v>96</v>
      </c>
      <c r="E40" s="33">
        <v>2</v>
      </c>
      <c r="F40" s="38" t="str">
        <f>VLOOKUP(E40,Key!$A$17:$B$21,2,FALSE)</f>
        <v>Road Vehicle</v>
      </c>
      <c r="G40" s="32">
        <v>8</v>
      </c>
      <c r="H40" s="39" t="str">
        <f>VLOOKUP(G40,Key!$A$2:$B$13,2,FALSE)</f>
        <v xml:space="preserve">Medium Truck </v>
      </c>
      <c r="I40" s="33" t="s">
        <v>108</v>
      </c>
      <c r="J40" s="33">
        <v>2</v>
      </c>
      <c r="K40" s="40" t="str">
        <f>VLOOKUP(J40,Key!$A$24:$B$29,2,FALSE)</f>
        <v>30-39</v>
      </c>
      <c r="L40" s="47" t="s">
        <v>150</v>
      </c>
      <c r="M40" s="29" t="s">
        <v>150</v>
      </c>
      <c r="N40" s="33" t="s">
        <v>151</v>
      </c>
      <c r="O40" s="35">
        <v>1</v>
      </c>
      <c r="P40" s="30" t="str">
        <f>VLOOKUP(O40,Key!$E$2:$F$9,2,FALSE)</f>
        <v>Home</v>
      </c>
      <c r="Q40" s="33" t="s">
        <v>187</v>
      </c>
      <c r="R40" s="29" t="s">
        <v>187</v>
      </c>
      <c r="S40" s="33" t="s">
        <v>151</v>
      </c>
      <c r="T40" s="29">
        <v>2</v>
      </c>
      <c r="U40" s="30" t="str">
        <f>VLOOKUP(T40,Key!$E$2:$F$9,2,FALSE)</f>
        <v>Work</v>
      </c>
      <c r="V40" s="30" t="str">
        <f t="shared" si="4"/>
        <v>Home-Work</v>
      </c>
      <c r="W40" s="29">
        <v>180000</v>
      </c>
      <c r="X40" s="34">
        <v>141</v>
      </c>
      <c r="Y40" s="62" t="str">
        <f t="shared" si="1"/>
        <v>100-200</v>
      </c>
      <c r="Z40" s="34">
        <v>3.5</v>
      </c>
      <c r="AA40" s="62" t="str">
        <f t="shared" si="2"/>
        <v>Over 3.5</v>
      </c>
      <c r="AB40" s="29">
        <v>5</v>
      </c>
      <c r="AC40" s="30" t="str">
        <f>VLOOKUP(AB40,Key!$C$20:$D$29,2,FALSE)</f>
        <v>Professional</v>
      </c>
      <c r="AD40" s="29">
        <v>4</v>
      </c>
      <c r="AE40" s="30" t="str">
        <f>VLOOKUP(AD40,Key!$E$20:$F$24,2,FALSE)</f>
        <v>750,000-1,000,000</v>
      </c>
      <c r="AF40" s="29">
        <v>4</v>
      </c>
      <c r="AG40" s="34">
        <v>3</v>
      </c>
      <c r="AH40" s="34">
        <v>1</v>
      </c>
      <c r="AI40" s="34">
        <v>2</v>
      </c>
      <c r="AJ40" s="34">
        <v>5</v>
      </c>
      <c r="AK40" s="35" t="s">
        <v>94</v>
      </c>
      <c r="AL40" s="36">
        <v>3000</v>
      </c>
      <c r="AM40" t="str">
        <f t="shared" si="3"/>
        <v>3000-5000</v>
      </c>
    </row>
    <row r="41" spans="1:39" x14ac:dyDescent="0.2">
      <c r="A41" s="44">
        <v>43771</v>
      </c>
      <c r="B41" s="31">
        <v>0.57361111111111118</v>
      </c>
      <c r="C41" s="31"/>
      <c r="D41" s="31" t="s">
        <v>96</v>
      </c>
      <c r="E41" s="33">
        <v>2</v>
      </c>
      <c r="F41" s="38" t="str">
        <f>VLOOKUP(E41,Key!$A$17:$B$21,2,FALSE)</f>
        <v>Road Vehicle</v>
      </c>
      <c r="G41" s="32">
        <v>8</v>
      </c>
      <c r="H41" s="39" t="str">
        <f>VLOOKUP(G41,Key!$A$2:$B$13,2,FALSE)</f>
        <v xml:space="preserve">Medium Truck </v>
      </c>
      <c r="I41" s="33" t="s">
        <v>108</v>
      </c>
      <c r="J41" s="33">
        <v>2</v>
      </c>
      <c r="K41" s="40" t="str">
        <f>VLOOKUP(J41,Key!$A$24:$B$29,2,FALSE)</f>
        <v>30-39</v>
      </c>
      <c r="L41" s="47" t="s">
        <v>150</v>
      </c>
      <c r="M41" s="29" t="s">
        <v>150</v>
      </c>
      <c r="N41" s="33" t="s">
        <v>151</v>
      </c>
      <c r="O41" s="35">
        <v>1</v>
      </c>
      <c r="P41" s="30" t="str">
        <f>VLOOKUP(O41,Key!$E$2:$F$9,2,FALSE)</f>
        <v>Home</v>
      </c>
      <c r="Q41" s="33" t="s">
        <v>190</v>
      </c>
      <c r="R41" s="29" t="s">
        <v>190</v>
      </c>
      <c r="S41" s="33" t="s">
        <v>151</v>
      </c>
      <c r="T41" s="29">
        <v>2</v>
      </c>
      <c r="U41" s="30" t="str">
        <f>VLOOKUP(T41,Key!$E$2:$F$9,2,FALSE)</f>
        <v>Work</v>
      </c>
      <c r="V41" s="30" t="str">
        <f t="shared" si="4"/>
        <v>Home-Work</v>
      </c>
      <c r="W41" s="29">
        <v>40000</v>
      </c>
      <c r="X41" s="34">
        <v>36</v>
      </c>
      <c r="Y41" s="62" t="str">
        <f t="shared" si="1"/>
        <v>20-40</v>
      </c>
      <c r="Z41" s="34">
        <v>2</v>
      </c>
      <c r="AA41" s="62" t="str">
        <f t="shared" si="2"/>
        <v>2.0-3.5</v>
      </c>
      <c r="AB41" s="29">
        <v>5</v>
      </c>
      <c r="AC41" s="30" t="str">
        <f>VLOOKUP(AB41,Key!$C$20:$D$29,2,FALSE)</f>
        <v>Professional</v>
      </c>
      <c r="AD41" s="29">
        <v>4</v>
      </c>
      <c r="AE41" s="30" t="str">
        <f>VLOOKUP(AD41,Key!$E$20:$F$24,2,FALSE)</f>
        <v>750,000-1,000,000</v>
      </c>
      <c r="AF41" s="29">
        <v>3</v>
      </c>
      <c r="AG41" s="34">
        <v>1</v>
      </c>
      <c r="AH41" s="34">
        <v>2</v>
      </c>
      <c r="AI41" s="34">
        <v>4</v>
      </c>
      <c r="AJ41" s="34">
        <v>5</v>
      </c>
      <c r="AK41" s="35" t="s">
        <v>94</v>
      </c>
      <c r="AL41" s="36">
        <v>3000</v>
      </c>
      <c r="AM41" t="str">
        <f t="shared" si="3"/>
        <v>3000-5000</v>
      </c>
    </row>
    <row r="42" spans="1:39" x14ac:dyDescent="0.2">
      <c r="A42" s="44">
        <v>43771</v>
      </c>
      <c r="B42" s="31">
        <v>0.55694444444444446</v>
      </c>
      <c r="C42" s="31"/>
      <c r="D42" s="31" t="s">
        <v>96</v>
      </c>
      <c r="E42" s="33">
        <v>2</v>
      </c>
      <c r="F42" s="38" t="str">
        <f>VLOOKUP(E42,Key!$A$17:$B$21,2,FALSE)</f>
        <v>Road Vehicle</v>
      </c>
      <c r="G42" s="32">
        <v>8</v>
      </c>
      <c r="H42" s="39" t="str">
        <f>VLOOKUP(G42,Key!$A$2:$B$13,2,FALSE)</f>
        <v xml:space="preserve">Medium Truck </v>
      </c>
      <c r="I42" s="33" t="s">
        <v>108</v>
      </c>
      <c r="J42" s="33">
        <v>2</v>
      </c>
      <c r="K42" s="40" t="str">
        <f>VLOOKUP(J42,Key!$A$24:$B$29,2,FALSE)</f>
        <v>30-39</v>
      </c>
      <c r="L42" s="47" t="s">
        <v>150</v>
      </c>
      <c r="M42" s="29" t="s">
        <v>150</v>
      </c>
      <c r="N42" s="33" t="s">
        <v>151</v>
      </c>
      <c r="O42" s="35">
        <v>1</v>
      </c>
      <c r="P42" s="30" t="str">
        <f>VLOOKUP(O42,Key!$E$2:$F$9,2,FALSE)</f>
        <v>Home</v>
      </c>
      <c r="Q42" s="33" t="s">
        <v>196</v>
      </c>
      <c r="R42" s="29" t="s">
        <v>196</v>
      </c>
      <c r="S42" s="33" t="s">
        <v>151</v>
      </c>
      <c r="T42" s="29">
        <v>4</v>
      </c>
      <c r="U42" s="30" t="str">
        <f>VLOOKUP(T42,Key!$E$2:$F$9,2,FALSE)</f>
        <v>Commercial</v>
      </c>
      <c r="V42" s="30" t="str">
        <f t="shared" si="4"/>
        <v>Home-Commercial</v>
      </c>
      <c r="W42" s="29">
        <v>60000</v>
      </c>
      <c r="X42" s="34">
        <v>49</v>
      </c>
      <c r="Y42" s="62" t="str">
        <f t="shared" si="1"/>
        <v>40-70</v>
      </c>
      <c r="Z42" s="34">
        <v>2</v>
      </c>
      <c r="AA42" s="62" t="str">
        <f t="shared" si="2"/>
        <v>2.0-3.5</v>
      </c>
      <c r="AB42" s="29">
        <v>5</v>
      </c>
      <c r="AC42" s="30" t="str">
        <f>VLOOKUP(AB42,Key!$C$20:$D$29,2,FALSE)</f>
        <v>Professional</v>
      </c>
      <c r="AD42" s="29">
        <v>4</v>
      </c>
      <c r="AE42" s="30" t="str">
        <f>VLOOKUP(AD42,Key!$E$20:$F$24,2,FALSE)</f>
        <v>750,000-1,000,000</v>
      </c>
      <c r="AF42" s="29">
        <v>4</v>
      </c>
      <c r="AG42" s="34">
        <v>1</v>
      </c>
      <c r="AH42" s="34">
        <v>3</v>
      </c>
      <c r="AI42" s="34">
        <v>2</v>
      </c>
      <c r="AJ42" s="34">
        <v>5</v>
      </c>
      <c r="AK42" s="35" t="s">
        <v>94</v>
      </c>
      <c r="AL42" s="36">
        <v>3000</v>
      </c>
      <c r="AM42" t="str">
        <f t="shared" si="3"/>
        <v>3000-5000</v>
      </c>
    </row>
    <row r="43" spans="1:39" x14ac:dyDescent="0.2">
      <c r="A43" s="44">
        <v>43771</v>
      </c>
      <c r="B43" s="31">
        <v>0.51180555555555551</v>
      </c>
      <c r="C43" s="31"/>
      <c r="D43" s="31" t="s">
        <v>96</v>
      </c>
      <c r="E43" s="33">
        <v>2</v>
      </c>
      <c r="F43" s="38" t="str">
        <f>VLOOKUP(E43,Key!$A$17:$B$21,2,FALSE)</f>
        <v>Road Vehicle</v>
      </c>
      <c r="G43" s="32">
        <v>8</v>
      </c>
      <c r="H43" s="39" t="str">
        <f>VLOOKUP(G43,Key!$A$2:$B$13,2,FALSE)</f>
        <v xml:space="preserve">Medium Truck </v>
      </c>
      <c r="I43" s="33" t="s">
        <v>108</v>
      </c>
      <c r="J43" s="33">
        <v>2</v>
      </c>
      <c r="K43" s="40" t="str">
        <f>VLOOKUP(J43,Key!$A$24:$B$29,2,FALSE)</f>
        <v>30-39</v>
      </c>
      <c r="L43" s="47" t="s">
        <v>150</v>
      </c>
      <c r="M43" s="29" t="s">
        <v>150</v>
      </c>
      <c r="N43" s="33" t="s">
        <v>151</v>
      </c>
      <c r="O43" s="35">
        <v>1</v>
      </c>
      <c r="P43" s="30" t="str">
        <f>VLOOKUP(O43,Key!$E$2:$F$9,2,FALSE)</f>
        <v>Home</v>
      </c>
      <c r="Q43" s="33" t="s">
        <v>200</v>
      </c>
      <c r="R43" s="29" t="s">
        <v>200</v>
      </c>
      <c r="S43" s="33" t="s">
        <v>151</v>
      </c>
      <c r="T43" s="29">
        <v>1</v>
      </c>
      <c r="U43" s="30" t="str">
        <f>VLOOKUP(T43,Key!$E$2:$F$9,2,FALSE)</f>
        <v>Home</v>
      </c>
      <c r="V43" s="30" t="str">
        <f t="shared" si="4"/>
        <v>Home-Home</v>
      </c>
      <c r="W43" s="29">
        <v>170000</v>
      </c>
      <c r="X43" s="34">
        <v>190</v>
      </c>
      <c r="Y43" s="62" t="str">
        <f t="shared" si="1"/>
        <v>100-200</v>
      </c>
      <c r="Z43" s="34">
        <v>4</v>
      </c>
      <c r="AA43" s="62" t="str">
        <f t="shared" si="2"/>
        <v>Over 3.5</v>
      </c>
      <c r="AB43" s="29">
        <v>5</v>
      </c>
      <c r="AC43" s="30" t="str">
        <f>VLOOKUP(AB43,Key!$C$20:$D$29,2,FALSE)</f>
        <v>Professional</v>
      </c>
      <c r="AD43" s="29">
        <v>4</v>
      </c>
      <c r="AE43" s="30" t="str">
        <f>VLOOKUP(AD43,Key!$E$20:$F$24,2,FALSE)</f>
        <v>750,000-1,000,000</v>
      </c>
      <c r="AF43" s="29">
        <v>3</v>
      </c>
      <c r="AG43" s="34">
        <v>1</v>
      </c>
      <c r="AH43" s="34">
        <v>2</v>
      </c>
      <c r="AI43" s="34">
        <v>5</v>
      </c>
      <c r="AJ43" s="34">
        <v>4</v>
      </c>
      <c r="AK43" s="35" t="s">
        <v>94</v>
      </c>
      <c r="AL43" s="36">
        <v>3000</v>
      </c>
      <c r="AM43" t="str">
        <f t="shared" si="3"/>
        <v>3000-5000</v>
      </c>
    </row>
    <row r="44" spans="1:39" x14ac:dyDescent="0.2">
      <c r="A44" s="44">
        <v>43771</v>
      </c>
      <c r="B44" s="31">
        <v>0.50277777777777777</v>
      </c>
      <c r="C44" s="31"/>
      <c r="D44" s="31" t="s">
        <v>96</v>
      </c>
      <c r="E44" s="33">
        <v>2</v>
      </c>
      <c r="F44" s="38" t="str">
        <f>VLOOKUP(E44,Key!$A$17:$B$21,2,FALSE)</f>
        <v>Road Vehicle</v>
      </c>
      <c r="G44" s="32">
        <v>8</v>
      </c>
      <c r="H44" s="39" t="str">
        <f>VLOOKUP(G44,Key!$A$2:$B$13,2,FALSE)</f>
        <v xml:space="preserve">Medium Truck </v>
      </c>
      <c r="I44" s="33" t="s">
        <v>108</v>
      </c>
      <c r="J44" s="33">
        <v>2</v>
      </c>
      <c r="K44" s="40" t="str">
        <f>VLOOKUP(J44,Key!$A$24:$B$29,2,FALSE)</f>
        <v>30-39</v>
      </c>
      <c r="L44" s="47" t="s">
        <v>150</v>
      </c>
      <c r="M44" s="29" t="s">
        <v>150</v>
      </c>
      <c r="N44" s="33" t="s">
        <v>151</v>
      </c>
      <c r="O44" s="35">
        <v>1</v>
      </c>
      <c r="P44" s="30" t="str">
        <f>VLOOKUP(O44,Key!$E$2:$F$9,2,FALSE)</f>
        <v>Home</v>
      </c>
      <c r="Q44" s="33" t="s">
        <v>201</v>
      </c>
      <c r="R44" s="29" t="s">
        <v>201</v>
      </c>
      <c r="S44" s="33" t="s">
        <v>151</v>
      </c>
      <c r="T44" s="29">
        <v>2</v>
      </c>
      <c r="U44" s="30" t="str">
        <f>VLOOKUP(T44,Key!$E$2:$F$9,2,FALSE)</f>
        <v>Work</v>
      </c>
      <c r="V44" s="30" t="str">
        <f t="shared" si="4"/>
        <v>Home-Work</v>
      </c>
      <c r="W44" s="29">
        <v>110000</v>
      </c>
      <c r="X44" s="34">
        <v>101</v>
      </c>
      <c r="Y44" s="62" t="str">
        <f t="shared" si="1"/>
        <v>100-200</v>
      </c>
      <c r="Z44" s="34">
        <v>3.5</v>
      </c>
      <c r="AA44" s="62" t="str">
        <f t="shared" si="2"/>
        <v>Over 3.5</v>
      </c>
      <c r="AB44" s="29">
        <v>5</v>
      </c>
      <c r="AC44" s="30" t="str">
        <f>VLOOKUP(AB44,Key!$C$20:$D$29,2,FALSE)</f>
        <v>Professional</v>
      </c>
      <c r="AD44" s="29">
        <v>3</v>
      </c>
      <c r="AE44" s="30" t="str">
        <f>VLOOKUP(AD44,Key!$E$20:$F$24,2,FALSE)</f>
        <v>500,000-750,000</v>
      </c>
      <c r="AF44" s="29">
        <v>3</v>
      </c>
      <c r="AG44" s="34">
        <v>5</v>
      </c>
      <c r="AH44" s="34">
        <v>1</v>
      </c>
      <c r="AI44" s="34">
        <v>2</v>
      </c>
      <c r="AJ44" s="34">
        <v>3</v>
      </c>
      <c r="AK44" s="35" t="s">
        <v>94</v>
      </c>
      <c r="AL44" s="36">
        <v>4000</v>
      </c>
      <c r="AM44" t="str">
        <f t="shared" si="3"/>
        <v>3000-5000</v>
      </c>
    </row>
    <row r="45" spans="1:39" x14ac:dyDescent="0.2">
      <c r="A45" s="44">
        <v>43771</v>
      </c>
      <c r="B45" s="31">
        <v>0.46666666666666662</v>
      </c>
      <c r="C45" s="31"/>
      <c r="D45" s="31" t="s">
        <v>96</v>
      </c>
      <c r="E45" s="33">
        <v>2</v>
      </c>
      <c r="F45" s="38" t="str">
        <f>VLOOKUP(E45,Key!$A$17:$B$21,2,FALSE)</f>
        <v>Road Vehicle</v>
      </c>
      <c r="G45" s="32">
        <v>8</v>
      </c>
      <c r="H45" s="39" t="str">
        <f>VLOOKUP(G45,Key!$A$2:$B$13,2,FALSE)</f>
        <v xml:space="preserve">Medium Truck </v>
      </c>
      <c r="I45" s="33" t="s">
        <v>108</v>
      </c>
      <c r="J45" s="33">
        <v>3</v>
      </c>
      <c r="K45" s="40" t="str">
        <f>VLOOKUP(J45,Key!$A$24:$B$29,2,FALSE)</f>
        <v>40-49</v>
      </c>
      <c r="L45" s="47" t="s">
        <v>168</v>
      </c>
      <c r="M45" s="29" t="s">
        <v>150</v>
      </c>
      <c r="N45" s="33" t="s">
        <v>151</v>
      </c>
      <c r="O45" s="35">
        <v>2</v>
      </c>
      <c r="P45" s="30" t="str">
        <f>VLOOKUP(O45,Key!$E$2:$F$9,2,FALSE)</f>
        <v>Work</v>
      </c>
      <c r="Q45" s="33" t="s">
        <v>152</v>
      </c>
      <c r="R45" s="29" t="s">
        <v>162</v>
      </c>
      <c r="S45" s="33" t="s">
        <v>151</v>
      </c>
      <c r="T45" s="29">
        <v>2</v>
      </c>
      <c r="U45" s="30" t="str">
        <f>VLOOKUP(T45,Key!$E$2:$F$9,2,FALSE)</f>
        <v>Work</v>
      </c>
      <c r="V45" s="30" t="str">
        <f t="shared" si="4"/>
        <v>Work-Work</v>
      </c>
      <c r="W45" s="41">
        <v>220000</v>
      </c>
      <c r="X45" s="34">
        <v>266</v>
      </c>
      <c r="Y45" s="62" t="str">
        <f t="shared" si="1"/>
        <v>Over 200</v>
      </c>
      <c r="Z45" s="34">
        <v>6</v>
      </c>
      <c r="AA45" s="62" t="str">
        <f t="shared" si="2"/>
        <v>Over 3.5</v>
      </c>
      <c r="AB45" s="29">
        <v>5</v>
      </c>
      <c r="AC45" s="30" t="str">
        <f>VLOOKUP(AB45,Key!$C$20:$D$29,2,FALSE)</f>
        <v>Professional</v>
      </c>
      <c r="AD45" s="29"/>
      <c r="AE45" s="30" t="e">
        <f>VLOOKUP(AD45,Key!$E$20:$F$24,2,FALSE)</f>
        <v>#N/A</v>
      </c>
      <c r="AF45" s="29">
        <v>1</v>
      </c>
      <c r="AG45" s="34">
        <v>2</v>
      </c>
      <c r="AH45" s="34">
        <v>3</v>
      </c>
      <c r="AI45" s="34">
        <v>3</v>
      </c>
      <c r="AJ45" s="34">
        <v>4</v>
      </c>
      <c r="AK45" s="35" t="s">
        <v>94</v>
      </c>
      <c r="AL45" s="36">
        <v>1000</v>
      </c>
      <c r="AM45" t="str">
        <f t="shared" si="3"/>
        <v>1000-2000</v>
      </c>
    </row>
    <row r="46" spans="1:39" x14ac:dyDescent="0.2">
      <c r="A46" s="44">
        <v>43771</v>
      </c>
      <c r="B46" s="31">
        <v>0.37916666666666665</v>
      </c>
      <c r="C46" s="31"/>
      <c r="D46" s="31" t="s">
        <v>96</v>
      </c>
      <c r="E46" s="33">
        <v>2</v>
      </c>
      <c r="F46" s="38" t="str">
        <f>VLOOKUP(E46,Key!$A$17:$B$21,2,FALSE)</f>
        <v>Road Vehicle</v>
      </c>
      <c r="G46" s="32">
        <v>8</v>
      </c>
      <c r="H46" s="39" t="str">
        <f>VLOOKUP(G46,Key!$A$2:$B$13,2,FALSE)</f>
        <v xml:space="preserve">Medium Truck </v>
      </c>
      <c r="I46" s="33" t="s">
        <v>108</v>
      </c>
      <c r="J46" s="33">
        <v>3</v>
      </c>
      <c r="K46" s="40" t="str">
        <f>VLOOKUP(J46,Key!$A$24:$B$29,2,FALSE)</f>
        <v>40-49</v>
      </c>
      <c r="L46" s="47" t="s">
        <v>168</v>
      </c>
      <c r="M46" s="29" t="s">
        <v>150</v>
      </c>
      <c r="N46" s="33" t="s">
        <v>151</v>
      </c>
      <c r="O46" s="35">
        <v>2</v>
      </c>
      <c r="P46" s="30" t="str">
        <f>VLOOKUP(O46,Key!$E$2:$F$9,2,FALSE)</f>
        <v>Work</v>
      </c>
      <c r="Q46" s="33" t="s">
        <v>160</v>
      </c>
      <c r="R46" s="29" t="s">
        <v>160</v>
      </c>
      <c r="S46" s="33" t="s">
        <v>151</v>
      </c>
      <c r="T46" s="29">
        <v>2</v>
      </c>
      <c r="U46" s="30" t="str">
        <f>VLOOKUP(T46,Key!$E$2:$F$9,2,FALSE)</f>
        <v>Work</v>
      </c>
      <c r="V46" s="30" t="str">
        <f t="shared" si="4"/>
        <v>Work-Work</v>
      </c>
      <c r="W46" s="41">
        <v>40000</v>
      </c>
      <c r="X46" s="34">
        <v>20</v>
      </c>
      <c r="Y46" s="62" t="str">
        <f t="shared" si="1"/>
        <v>20-40</v>
      </c>
      <c r="Z46" s="34">
        <v>2</v>
      </c>
      <c r="AA46" s="62" t="str">
        <f t="shared" si="2"/>
        <v>2.0-3.5</v>
      </c>
      <c r="AB46" s="29">
        <v>5</v>
      </c>
      <c r="AC46" s="30" t="str">
        <f>VLOOKUP(AB46,Key!$C$20:$D$29,2,FALSE)</f>
        <v>Professional</v>
      </c>
      <c r="AD46" s="29"/>
      <c r="AE46" s="30" t="e">
        <f>VLOOKUP(AD46,Key!$E$20:$F$24,2,FALSE)</f>
        <v>#N/A</v>
      </c>
      <c r="AF46" s="29">
        <v>1</v>
      </c>
      <c r="AG46" s="34">
        <v>4</v>
      </c>
      <c r="AH46" s="34">
        <v>5</v>
      </c>
      <c r="AI46" s="34">
        <v>3</v>
      </c>
      <c r="AJ46" s="34">
        <v>4</v>
      </c>
      <c r="AK46" s="35" t="s">
        <v>94</v>
      </c>
      <c r="AL46" s="36">
        <v>4000</v>
      </c>
      <c r="AM46" t="str">
        <f t="shared" si="3"/>
        <v>3000-5000</v>
      </c>
    </row>
    <row r="47" spans="1:39" x14ac:dyDescent="0.2">
      <c r="A47" s="44">
        <v>43771</v>
      </c>
      <c r="B47" s="31">
        <v>0.59027777777777779</v>
      </c>
      <c r="C47" s="31"/>
      <c r="D47" s="31" t="s">
        <v>96</v>
      </c>
      <c r="E47" s="33">
        <v>2</v>
      </c>
      <c r="F47" s="38" t="str">
        <f>VLOOKUP(E47,Key!$A$17:$B$21,2,FALSE)</f>
        <v>Road Vehicle</v>
      </c>
      <c r="G47" s="32">
        <v>8</v>
      </c>
      <c r="H47" s="39" t="str">
        <f>VLOOKUP(G47,Key!$A$2:$B$13,2,FALSE)</f>
        <v xml:space="preserve">Medium Truck </v>
      </c>
      <c r="I47" s="33" t="s">
        <v>108</v>
      </c>
      <c r="J47" s="33">
        <v>3</v>
      </c>
      <c r="K47" s="40" t="str">
        <f>VLOOKUP(J47,Key!$A$24:$B$29,2,FALSE)</f>
        <v>40-49</v>
      </c>
      <c r="L47" s="47" t="s">
        <v>150</v>
      </c>
      <c r="M47" s="29" t="s">
        <v>150</v>
      </c>
      <c r="N47" s="33" t="s">
        <v>151</v>
      </c>
      <c r="O47" s="35">
        <v>1</v>
      </c>
      <c r="P47" s="30" t="str">
        <f>VLOOKUP(O47,Key!$E$2:$F$9,2,FALSE)</f>
        <v>Home</v>
      </c>
      <c r="Q47" s="33" t="s">
        <v>175</v>
      </c>
      <c r="R47" s="29" t="s">
        <v>156</v>
      </c>
      <c r="S47" s="33" t="s">
        <v>151</v>
      </c>
      <c r="T47" s="29">
        <v>2</v>
      </c>
      <c r="U47" s="30" t="str">
        <f>VLOOKUP(T47,Key!$E$2:$F$9,2,FALSE)</f>
        <v>Work</v>
      </c>
      <c r="V47" s="30" t="str">
        <f t="shared" si="4"/>
        <v>Home-Work</v>
      </c>
      <c r="W47" s="41">
        <v>50000</v>
      </c>
      <c r="X47" s="34">
        <v>36</v>
      </c>
      <c r="Y47" s="62" t="str">
        <f t="shared" si="1"/>
        <v>20-40</v>
      </c>
      <c r="Z47" s="34">
        <v>1.5</v>
      </c>
      <c r="AA47" s="62" t="str">
        <f t="shared" si="2"/>
        <v>1.0-2.0</v>
      </c>
      <c r="AB47" s="29">
        <v>5</v>
      </c>
      <c r="AC47" s="30" t="str">
        <f>VLOOKUP(AB47,Key!$C$20:$D$29,2,FALSE)</f>
        <v>Professional</v>
      </c>
      <c r="AD47" s="29">
        <v>4</v>
      </c>
      <c r="AE47" s="30" t="str">
        <f>VLOOKUP(AD47,Key!$E$20:$F$24,2,FALSE)</f>
        <v>750,000-1,000,000</v>
      </c>
      <c r="AF47" s="29">
        <v>3</v>
      </c>
      <c r="AG47" s="34">
        <v>1</v>
      </c>
      <c r="AH47" s="34">
        <v>2</v>
      </c>
      <c r="AI47" s="34">
        <v>5</v>
      </c>
      <c r="AJ47" s="34">
        <v>4</v>
      </c>
      <c r="AK47" s="35" t="s">
        <v>94</v>
      </c>
      <c r="AL47" s="36">
        <v>2000</v>
      </c>
      <c r="AM47" t="str">
        <f t="shared" si="3"/>
        <v>2000-3000</v>
      </c>
    </row>
    <row r="48" spans="1:39" x14ac:dyDescent="0.2">
      <c r="A48" s="44">
        <v>43771</v>
      </c>
      <c r="B48" s="31">
        <v>0.61736111111111114</v>
      </c>
      <c r="C48" s="31"/>
      <c r="D48" s="31" t="s">
        <v>96</v>
      </c>
      <c r="E48" s="33">
        <v>2</v>
      </c>
      <c r="F48" s="38" t="str">
        <f>VLOOKUP(E48,Key!$A$17:$B$21,2,FALSE)</f>
        <v>Road Vehicle</v>
      </c>
      <c r="G48" s="32">
        <v>8</v>
      </c>
      <c r="H48" s="39" t="str">
        <f>VLOOKUP(G48,Key!$A$2:$B$13,2,FALSE)</f>
        <v xml:space="preserve">Medium Truck </v>
      </c>
      <c r="I48" s="33" t="s">
        <v>108</v>
      </c>
      <c r="J48" s="33">
        <v>3</v>
      </c>
      <c r="K48" s="40" t="str">
        <f>VLOOKUP(J48,Key!$A$24:$B$29,2,FALSE)</f>
        <v>40-49</v>
      </c>
      <c r="L48" s="47" t="s">
        <v>150</v>
      </c>
      <c r="M48" s="29" t="s">
        <v>150</v>
      </c>
      <c r="N48" s="33" t="s">
        <v>151</v>
      </c>
      <c r="O48" s="35">
        <v>1</v>
      </c>
      <c r="P48" s="30" t="str">
        <f>VLOOKUP(O48,Key!$E$2:$F$9,2,FALSE)</f>
        <v>Home</v>
      </c>
      <c r="Q48" s="33" t="s">
        <v>177</v>
      </c>
      <c r="R48" s="29" t="s">
        <v>157</v>
      </c>
      <c r="S48" s="33" t="s">
        <v>151</v>
      </c>
      <c r="T48" s="29">
        <v>2</v>
      </c>
      <c r="U48" s="30" t="str">
        <f>VLOOKUP(T48,Key!$E$2:$F$9,2,FALSE)</f>
        <v>Work</v>
      </c>
      <c r="V48" s="30" t="str">
        <f t="shared" si="4"/>
        <v>Home-Work</v>
      </c>
      <c r="W48" s="41">
        <v>120000</v>
      </c>
      <c r="X48" s="34">
        <v>184</v>
      </c>
      <c r="Y48" s="62" t="str">
        <f t="shared" si="1"/>
        <v>100-200</v>
      </c>
      <c r="Z48" s="34">
        <v>4</v>
      </c>
      <c r="AA48" s="62" t="str">
        <f t="shared" si="2"/>
        <v>Over 3.5</v>
      </c>
      <c r="AB48" s="29">
        <v>5</v>
      </c>
      <c r="AC48" s="30" t="str">
        <f>VLOOKUP(AB48,Key!$C$20:$D$29,2,FALSE)</f>
        <v>Professional</v>
      </c>
      <c r="AD48" s="29">
        <v>4</v>
      </c>
      <c r="AE48" s="30" t="str">
        <f>VLOOKUP(AD48,Key!$E$20:$F$24,2,FALSE)</f>
        <v>750,000-1,000,000</v>
      </c>
      <c r="AF48" s="29">
        <v>3</v>
      </c>
      <c r="AG48" s="34">
        <v>1</v>
      </c>
      <c r="AH48" s="34">
        <v>2</v>
      </c>
      <c r="AI48" s="34">
        <v>4</v>
      </c>
      <c r="AJ48" s="34">
        <v>5</v>
      </c>
      <c r="AK48" s="35" t="s">
        <v>94</v>
      </c>
      <c r="AL48" s="36">
        <v>5000</v>
      </c>
      <c r="AM48" t="str">
        <f t="shared" si="3"/>
        <v>5000-10000</v>
      </c>
    </row>
    <row r="49" spans="1:39" x14ac:dyDescent="0.2">
      <c r="A49" s="44">
        <v>43771</v>
      </c>
      <c r="B49" s="31">
        <v>0.63402777777777775</v>
      </c>
      <c r="C49" s="31"/>
      <c r="D49" s="31" t="s">
        <v>96</v>
      </c>
      <c r="E49" s="33">
        <v>2</v>
      </c>
      <c r="F49" s="38" t="str">
        <f>VLOOKUP(E49,Key!$A$17:$B$21,2,FALSE)</f>
        <v>Road Vehicle</v>
      </c>
      <c r="G49" s="32">
        <v>8</v>
      </c>
      <c r="H49" s="39" t="str">
        <f>VLOOKUP(G49,Key!$A$2:$B$13,2,FALSE)</f>
        <v xml:space="preserve">Medium Truck </v>
      </c>
      <c r="I49" s="33" t="s">
        <v>108</v>
      </c>
      <c r="J49" s="33">
        <v>3</v>
      </c>
      <c r="K49" s="40" t="str">
        <f>VLOOKUP(J49,Key!$A$24:$B$29,2,FALSE)</f>
        <v>40-49</v>
      </c>
      <c r="L49" s="47" t="s">
        <v>179</v>
      </c>
      <c r="M49" s="29" t="s">
        <v>156</v>
      </c>
      <c r="N49" s="33" t="s">
        <v>151</v>
      </c>
      <c r="O49" s="35">
        <v>2</v>
      </c>
      <c r="P49" s="30" t="str">
        <f>VLOOKUP(O49,Key!$E$2:$F$9,2,FALSE)</f>
        <v>Work</v>
      </c>
      <c r="Q49" s="33" t="s">
        <v>152</v>
      </c>
      <c r="R49" s="29" t="s">
        <v>150</v>
      </c>
      <c r="S49" s="33" t="s">
        <v>151</v>
      </c>
      <c r="T49" s="29">
        <v>2</v>
      </c>
      <c r="U49" s="30" t="str">
        <f>VLOOKUP(T49,Key!$E$2:$F$9,2,FALSE)</f>
        <v>Work</v>
      </c>
      <c r="V49" s="30" t="str">
        <f t="shared" si="4"/>
        <v>Work-Work</v>
      </c>
      <c r="W49" s="41">
        <v>40000</v>
      </c>
      <c r="X49" s="34">
        <v>34</v>
      </c>
      <c r="Y49" s="62" t="str">
        <f t="shared" si="1"/>
        <v>20-40</v>
      </c>
      <c r="Z49" s="34">
        <v>1</v>
      </c>
      <c r="AA49" s="62" t="str">
        <f t="shared" si="2"/>
        <v>1.0-2.0</v>
      </c>
      <c r="AB49" s="29">
        <v>6</v>
      </c>
      <c r="AC49" s="30" t="str">
        <f>VLOOKUP(AB49,Key!$C$20:$D$29,2,FALSE)</f>
        <v>Businessman</v>
      </c>
      <c r="AD49" s="29">
        <v>4</v>
      </c>
      <c r="AE49" s="30" t="str">
        <f>VLOOKUP(AD49,Key!$E$20:$F$24,2,FALSE)</f>
        <v>750,000-1,000,000</v>
      </c>
      <c r="AF49" s="29">
        <v>5</v>
      </c>
      <c r="AG49" s="34">
        <v>4</v>
      </c>
      <c r="AH49" s="34">
        <v>1</v>
      </c>
      <c r="AI49" s="34">
        <v>2</v>
      </c>
      <c r="AJ49" s="34">
        <v>3</v>
      </c>
      <c r="AK49" s="35" t="s">
        <v>94</v>
      </c>
      <c r="AL49" s="36">
        <v>5000</v>
      </c>
      <c r="AM49" t="str">
        <f t="shared" si="3"/>
        <v>5000-10000</v>
      </c>
    </row>
    <row r="50" spans="1:39" x14ac:dyDescent="0.2">
      <c r="A50" s="44">
        <v>43771</v>
      </c>
      <c r="B50" s="31">
        <v>0.48194444444444445</v>
      </c>
      <c r="C50" s="31"/>
      <c r="D50" s="31" t="s">
        <v>96</v>
      </c>
      <c r="E50" s="33">
        <v>2</v>
      </c>
      <c r="F50" s="38" t="str">
        <f>VLOOKUP(E50,Key!$A$17:$B$21,2,FALSE)</f>
        <v>Road Vehicle</v>
      </c>
      <c r="G50" s="32">
        <v>8</v>
      </c>
      <c r="H50" s="39" t="str">
        <f>VLOOKUP(G50,Key!$A$2:$B$13,2,FALSE)</f>
        <v xml:space="preserve">Medium Truck </v>
      </c>
      <c r="I50" s="33" t="s">
        <v>108</v>
      </c>
      <c r="J50" s="33">
        <v>3</v>
      </c>
      <c r="K50" s="40" t="str">
        <f>VLOOKUP(J50,Key!$A$24:$B$29,2,FALSE)</f>
        <v>40-49</v>
      </c>
      <c r="L50" s="47" t="s">
        <v>150</v>
      </c>
      <c r="M50" s="29" t="s">
        <v>150</v>
      </c>
      <c r="N50" s="33" t="s">
        <v>151</v>
      </c>
      <c r="O50" s="35">
        <v>1</v>
      </c>
      <c r="P50" s="30" t="str">
        <f>VLOOKUP(O50,Key!$E$2:$F$9,2,FALSE)</f>
        <v>Home</v>
      </c>
      <c r="Q50" s="33" t="s">
        <v>188</v>
      </c>
      <c r="R50" s="29" t="s">
        <v>188</v>
      </c>
      <c r="S50" s="33" t="s">
        <v>151</v>
      </c>
      <c r="T50" s="29">
        <v>2</v>
      </c>
      <c r="U50" s="30" t="str">
        <f>VLOOKUP(T50,Key!$E$2:$F$9,2,FALSE)</f>
        <v>Work</v>
      </c>
      <c r="V50" s="30" t="str">
        <f t="shared" si="4"/>
        <v>Home-Work</v>
      </c>
      <c r="W50" s="29">
        <v>70000</v>
      </c>
      <c r="X50" s="34">
        <v>70</v>
      </c>
      <c r="Y50" s="62" t="str">
        <f t="shared" si="1"/>
        <v>70-100</v>
      </c>
      <c r="Z50" s="34">
        <v>2</v>
      </c>
      <c r="AA50" s="62" t="str">
        <f t="shared" si="2"/>
        <v>2.0-3.5</v>
      </c>
      <c r="AB50" s="29">
        <v>5</v>
      </c>
      <c r="AC50" s="30" t="str">
        <f>VLOOKUP(AB50,Key!$C$20:$D$29,2,FALSE)</f>
        <v>Professional</v>
      </c>
      <c r="AD50" s="29">
        <v>3</v>
      </c>
      <c r="AE50" s="30" t="str">
        <f>VLOOKUP(AD50,Key!$E$20:$F$24,2,FALSE)</f>
        <v>500,000-750,000</v>
      </c>
      <c r="AF50" s="29">
        <v>3</v>
      </c>
      <c r="AG50" s="34">
        <v>1</v>
      </c>
      <c r="AH50" s="34">
        <v>2</v>
      </c>
      <c r="AI50" s="34">
        <v>5</v>
      </c>
      <c r="AJ50" s="34">
        <v>4</v>
      </c>
      <c r="AK50" s="35" t="s">
        <v>94</v>
      </c>
      <c r="AL50" s="36">
        <v>1000</v>
      </c>
      <c r="AM50" t="str">
        <f t="shared" si="3"/>
        <v>1000-2000</v>
      </c>
    </row>
    <row r="51" spans="1:39" x14ac:dyDescent="0.2">
      <c r="A51" s="44">
        <v>43771</v>
      </c>
      <c r="B51" s="31">
        <v>0.43263888888888885</v>
      </c>
      <c r="C51" s="31"/>
      <c r="D51" s="31" t="s">
        <v>96</v>
      </c>
      <c r="E51" s="33">
        <v>2</v>
      </c>
      <c r="F51" s="38" t="str">
        <f>VLOOKUP(E51,Key!$A$17:$B$21,2,FALSE)</f>
        <v>Road Vehicle</v>
      </c>
      <c r="G51" s="32">
        <v>8</v>
      </c>
      <c r="H51" s="39" t="str">
        <f>VLOOKUP(G51,Key!$A$2:$B$13,2,FALSE)</f>
        <v xml:space="preserve">Medium Truck </v>
      </c>
      <c r="I51" s="33" t="s">
        <v>108</v>
      </c>
      <c r="J51" s="33">
        <v>3</v>
      </c>
      <c r="K51" s="40" t="str">
        <f>VLOOKUP(J51,Key!$A$24:$B$29,2,FALSE)</f>
        <v>40-49</v>
      </c>
      <c r="L51" s="47" t="s">
        <v>150</v>
      </c>
      <c r="M51" s="29" t="s">
        <v>150</v>
      </c>
      <c r="N51" s="33" t="s">
        <v>151</v>
      </c>
      <c r="O51" s="35">
        <v>1</v>
      </c>
      <c r="P51" s="30" t="str">
        <f>VLOOKUP(O51,Key!$E$2:$F$9,2,FALSE)</f>
        <v>Home</v>
      </c>
      <c r="Q51" s="33" t="s">
        <v>193</v>
      </c>
      <c r="R51" s="29" t="s">
        <v>193</v>
      </c>
      <c r="S51" s="33" t="s">
        <v>151</v>
      </c>
      <c r="T51" s="29">
        <v>2</v>
      </c>
      <c r="U51" s="30" t="str">
        <f>VLOOKUP(T51,Key!$E$2:$F$9,2,FALSE)</f>
        <v>Work</v>
      </c>
      <c r="V51" s="30" t="str">
        <f t="shared" si="4"/>
        <v>Home-Work</v>
      </c>
      <c r="W51" s="29">
        <v>200000</v>
      </c>
      <c r="X51" s="34">
        <v>154</v>
      </c>
      <c r="Y51" s="62" t="str">
        <f t="shared" si="1"/>
        <v>100-200</v>
      </c>
      <c r="Z51" s="34">
        <v>3</v>
      </c>
      <c r="AA51" s="62" t="str">
        <f t="shared" si="2"/>
        <v>2.0-3.5</v>
      </c>
      <c r="AB51" s="29">
        <v>5</v>
      </c>
      <c r="AC51" s="30" t="str">
        <f>VLOOKUP(AB51,Key!$C$20:$D$29,2,FALSE)</f>
        <v>Professional</v>
      </c>
      <c r="AD51" s="29">
        <v>3</v>
      </c>
      <c r="AE51" s="30" t="str">
        <f>VLOOKUP(AD51,Key!$E$20:$F$24,2,FALSE)</f>
        <v>500,000-750,000</v>
      </c>
      <c r="AF51" s="29"/>
      <c r="AG51" s="34"/>
      <c r="AH51" s="34"/>
      <c r="AI51" s="34"/>
      <c r="AJ51" s="34"/>
      <c r="AK51" s="35" t="s">
        <v>94</v>
      </c>
      <c r="AL51" s="36">
        <v>3000</v>
      </c>
      <c r="AM51" t="str">
        <f t="shared" si="3"/>
        <v>3000-5000</v>
      </c>
    </row>
    <row r="52" spans="1:39" x14ac:dyDescent="0.2">
      <c r="A52" s="44">
        <v>43771</v>
      </c>
      <c r="B52" s="31">
        <v>0.61805555555555558</v>
      </c>
      <c r="C52" s="31"/>
      <c r="D52" s="31" t="s">
        <v>96</v>
      </c>
      <c r="E52" s="33">
        <v>2</v>
      </c>
      <c r="F52" s="38" t="str">
        <f>VLOOKUP(E52,Key!$A$17:$B$21,2,FALSE)</f>
        <v>Road Vehicle</v>
      </c>
      <c r="G52" s="32">
        <v>8</v>
      </c>
      <c r="H52" s="39" t="str">
        <f>VLOOKUP(G52,Key!$A$2:$B$13,2,FALSE)</f>
        <v xml:space="preserve">Medium Truck </v>
      </c>
      <c r="I52" s="33" t="s">
        <v>108</v>
      </c>
      <c r="J52" s="33">
        <v>3</v>
      </c>
      <c r="K52" s="40" t="str">
        <f>VLOOKUP(J52,Key!$A$24:$B$29,2,FALSE)</f>
        <v>40-49</v>
      </c>
      <c r="L52" s="47" t="s">
        <v>150</v>
      </c>
      <c r="M52" s="29" t="s">
        <v>150</v>
      </c>
      <c r="N52" s="33" t="s">
        <v>151</v>
      </c>
      <c r="O52" s="35">
        <v>1</v>
      </c>
      <c r="P52" s="30" t="str">
        <f>VLOOKUP(O52,Key!$E$2:$F$9,2,FALSE)</f>
        <v>Home</v>
      </c>
      <c r="Q52" s="33" t="s">
        <v>162</v>
      </c>
      <c r="R52" s="29" t="s">
        <v>162</v>
      </c>
      <c r="S52" s="33" t="s">
        <v>151</v>
      </c>
      <c r="T52" s="29">
        <v>2</v>
      </c>
      <c r="U52" s="30" t="str">
        <f>VLOOKUP(T52,Key!$E$2:$F$9,2,FALSE)</f>
        <v>Work</v>
      </c>
      <c r="V52" s="30" t="str">
        <f t="shared" si="4"/>
        <v>Home-Work</v>
      </c>
      <c r="W52" s="29">
        <v>250000</v>
      </c>
      <c r="X52" s="34">
        <v>353</v>
      </c>
      <c r="Y52" s="62" t="str">
        <f t="shared" si="1"/>
        <v>Over 200</v>
      </c>
      <c r="Z52" s="34">
        <v>5</v>
      </c>
      <c r="AA52" s="62" t="str">
        <f t="shared" si="2"/>
        <v>Over 3.5</v>
      </c>
      <c r="AB52" s="29">
        <v>5</v>
      </c>
      <c r="AC52" s="30" t="str">
        <f>VLOOKUP(AB52,Key!$C$20:$D$29,2,FALSE)</f>
        <v>Professional</v>
      </c>
      <c r="AD52" s="29">
        <v>5</v>
      </c>
      <c r="AE52" s="30" t="str">
        <f>VLOOKUP(AD52,Key!$E$20:$F$24,2,FALSE)</f>
        <v>&gt;1,000,000</v>
      </c>
      <c r="AF52" s="29">
        <v>4</v>
      </c>
      <c r="AG52" s="34">
        <v>2</v>
      </c>
      <c r="AH52" s="34">
        <v>3</v>
      </c>
      <c r="AI52" s="34">
        <v>1</v>
      </c>
      <c r="AJ52" s="34">
        <v>5</v>
      </c>
      <c r="AK52" s="35" t="s">
        <v>94</v>
      </c>
      <c r="AL52" s="36">
        <v>2000</v>
      </c>
      <c r="AM52" t="str">
        <f t="shared" si="3"/>
        <v>2000-3000</v>
      </c>
    </row>
    <row r="53" spans="1:39" x14ac:dyDescent="0.2">
      <c r="A53" s="44">
        <v>43771</v>
      </c>
      <c r="B53" s="31">
        <v>0.36041666666666666</v>
      </c>
      <c r="C53" s="31"/>
      <c r="D53" s="31" t="s">
        <v>96</v>
      </c>
      <c r="E53" s="33">
        <v>2</v>
      </c>
      <c r="F53" s="38" t="str">
        <f>VLOOKUP(E53,Key!$A$17:$B$21,2,FALSE)</f>
        <v>Road Vehicle</v>
      </c>
      <c r="G53" s="32">
        <v>8</v>
      </c>
      <c r="H53" s="39" t="str">
        <f>VLOOKUP(G53,Key!$A$2:$B$13,2,FALSE)</f>
        <v xml:space="preserve">Medium Truck </v>
      </c>
      <c r="I53" s="33" t="s">
        <v>108</v>
      </c>
      <c r="J53" s="33">
        <v>4</v>
      </c>
      <c r="K53" s="40" t="str">
        <f>VLOOKUP(J53,Key!$A$24:$B$29,2,FALSE)</f>
        <v>50-59</v>
      </c>
      <c r="L53" s="47" t="s">
        <v>150</v>
      </c>
      <c r="M53" s="29" t="s">
        <v>150</v>
      </c>
      <c r="N53" s="33" t="s">
        <v>151</v>
      </c>
      <c r="O53" s="35">
        <v>1</v>
      </c>
      <c r="P53" s="30" t="str">
        <f>VLOOKUP(O53,Key!$E$2:$F$9,2,FALSE)</f>
        <v>Home</v>
      </c>
      <c r="Q53" s="33" t="s">
        <v>155</v>
      </c>
      <c r="R53" s="29" t="s">
        <v>156</v>
      </c>
      <c r="S53" s="33" t="s">
        <v>151</v>
      </c>
      <c r="T53" s="29">
        <v>2</v>
      </c>
      <c r="U53" s="30" t="str">
        <f>VLOOKUP(T53,Key!$E$2:$F$9,2,FALSE)</f>
        <v>Work</v>
      </c>
      <c r="V53" s="30" t="str">
        <f t="shared" si="4"/>
        <v>Home-Work</v>
      </c>
      <c r="W53" s="41">
        <v>25000</v>
      </c>
      <c r="X53" s="34">
        <v>18</v>
      </c>
      <c r="Y53" s="62" t="str">
        <f t="shared" si="1"/>
        <v>10-20</v>
      </c>
      <c r="Z53" s="34">
        <v>1.5</v>
      </c>
      <c r="AA53" s="62" t="str">
        <f t="shared" si="2"/>
        <v>1.0-2.0</v>
      </c>
      <c r="AB53" s="29">
        <v>5</v>
      </c>
      <c r="AC53" s="30" t="str">
        <f>VLOOKUP(AB53,Key!$C$20:$D$29,2,FALSE)</f>
        <v>Professional</v>
      </c>
      <c r="AD53" s="29">
        <v>4</v>
      </c>
      <c r="AE53" s="30" t="str">
        <f>VLOOKUP(AD53,Key!$E$20:$F$24,2,FALSE)</f>
        <v>750,000-1,000,000</v>
      </c>
      <c r="AF53" s="29">
        <v>3</v>
      </c>
      <c r="AG53" s="34">
        <v>2</v>
      </c>
      <c r="AH53" s="34">
        <v>1</v>
      </c>
      <c r="AI53" s="34">
        <v>4</v>
      </c>
      <c r="AJ53" s="34">
        <v>5</v>
      </c>
      <c r="AK53" s="35" t="s">
        <v>94</v>
      </c>
      <c r="AL53" s="36">
        <v>5000</v>
      </c>
      <c r="AM53" t="str">
        <f t="shared" si="3"/>
        <v>5000-10000</v>
      </c>
    </row>
    <row r="54" spans="1:39" x14ac:dyDescent="0.2">
      <c r="A54" s="44">
        <v>43771</v>
      </c>
      <c r="B54" s="31">
        <v>0.54305555555555551</v>
      </c>
      <c r="C54" s="31"/>
      <c r="D54" s="31" t="s">
        <v>96</v>
      </c>
      <c r="E54" s="33">
        <v>2</v>
      </c>
      <c r="F54" s="38" t="str">
        <f>VLOOKUP(E54,Key!$A$17:$B$21,2,FALSE)</f>
        <v>Road Vehicle</v>
      </c>
      <c r="G54" s="32">
        <v>8</v>
      </c>
      <c r="H54" s="39" t="str">
        <f>VLOOKUP(G54,Key!$A$2:$B$13,2,FALSE)</f>
        <v xml:space="preserve">Medium Truck </v>
      </c>
      <c r="I54" s="33" t="s">
        <v>108</v>
      </c>
      <c r="J54" s="33">
        <v>4</v>
      </c>
      <c r="K54" s="40" t="str">
        <f>VLOOKUP(J54,Key!$A$24:$B$29,2,FALSE)</f>
        <v>50-59</v>
      </c>
      <c r="L54" s="47" t="s">
        <v>150</v>
      </c>
      <c r="M54" s="29" t="s">
        <v>150</v>
      </c>
      <c r="N54" s="33" t="s">
        <v>151</v>
      </c>
      <c r="O54" s="35">
        <v>1</v>
      </c>
      <c r="P54" s="30" t="str">
        <f>VLOOKUP(O54,Key!$E$2:$F$9,2,FALSE)</f>
        <v>Home</v>
      </c>
      <c r="Q54" s="33" t="s">
        <v>157</v>
      </c>
      <c r="R54" s="29" t="s">
        <v>157</v>
      </c>
      <c r="S54" s="33" t="s">
        <v>151</v>
      </c>
      <c r="T54" s="29">
        <v>2</v>
      </c>
      <c r="U54" s="30" t="str">
        <f>VLOOKUP(T54,Key!$E$2:$F$9,2,FALSE)</f>
        <v>Work</v>
      </c>
      <c r="V54" s="30" t="str">
        <f t="shared" si="4"/>
        <v>Home-Work</v>
      </c>
      <c r="W54" s="41">
        <v>170000</v>
      </c>
      <c r="X54" s="34">
        <v>131</v>
      </c>
      <c r="Y54" s="62" t="str">
        <f t="shared" si="1"/>
        <v>100-200</v>
      </c>
      <c r="Z54" s="34">
        <v>3</v>
      </c>
      <c r="AA54" s="62" t="str">
        <f t="shared" si="2"/>
        <v>2.0-3.5</v>
      </c>
      <c r="AB54" s="29">
        <v>9</v>
      </c>
      <c r="AC54" s="30" t="str">
        <f>VLOOKUP(AB54,Key!$C$20:$D$29,2,FALSE)</f>
        <v>Retired</v>
      </c>
      <c r="AD54" s="29">
        <v>4</v>
      </c>
      <c r="AE54" s="30" t="str">
        <f>VLOOKUP(AD54,Key!$E$20:$F$24,2,FALSE)</f>
        <v>750,000-1,000,000</v>
      </c>
      <c r="AF54" s="29">
        <v>3</v>
      </c>
      <c r="AG54" s="34">
        <v>1</v>
      </c>
      <c r="AH54" s="34">
        <v>5</v>
      </c>
      <c r="AI54" s="34">
        <v>2</v>
      </c>
      <c r="AJ54" s="34">
        <v>4</v>
      </c>
      <c r="AK54" s="35" t="s">
        <v>94</v>
      </c>
      <c r="AL54" s="36">
        <v>5000</v>
      </c>
      <c r="AM54" t="str">
        <f t="shared" si="3"/>
        <v>5000-10000</v>
      </c>
    </row>
    <row r="55" spans="1:39" x14ac:dyDescent="0.2">
      <c r="A55" s="44">
        <v>43771</v>
      </c>
      <c r="B55" s="31">
        <v>0.60347222222222219</v>
      </c>
      <c r="C55" s="31"/>
      <c r="D55" s="31" t="s">
        <v>96</v>
      </c>
      <c r="E55" s="33">
        <v>2</v>
      </c>
      <c r="F55" s="38" t="str">
        <f>VLOOKUP(E55,Key!$A$17:$B$21,2,FALSE)</f>
        <v>Road Vehicle</v>
      </c>
      <c r="G55" s="32">
        <v>8</v>
      </c>
      <c r="H55" s="39" t="str">
        <f>VLOOKUP(G55,Key!$A$2:$B$13,2,FALSE)</f>
        <v xml:space="preserve">Medium Truck </v>
      </c>
      <c r="I55" s="33" t="s">
        <v>108</v>
      </c>
      <c r="J55" s="33">
        <v>4</v>
      </c>
      <c r="K55" s="40" t="str">
        <f>VLOOKUP(J55,Key!$A$24:$B$29,2,FALSE)</f>
        <v>50-59</v>
      </c>
      <c r="L55" s="47" t="s">
        <v>150</v>
      </c>
      <c r="M55" s="29" t="s">
        <v>150</v>
      </c>
      <c r="N55" s="33" t="s">
        <v>151</v>
      </c>
      <c r="O55" s="35">
        <v>1</v>
      </c>
      <c r="P55" s="30" t="str">
        <f>VLOOKUP(O55,Key!$E$2:$F$9,2,FALSE)</f>
        <v>Home</v>
      </c>
      <c r="Q55" s="33" t="s">
        <v>176</v>
      </c>
      <c r="R55" s="29" t="s">
        <v>157</v>
      </c>
      <c r="S55" s="33" t="s">
        <v>151</v>
      </c>
      <c r="T55" s="29">
        <v>2</v>
      </c>
      <c r="U55" s="30" t="str">
        <f>VLOOKUP(T55,Key!$E$2:$F$9,2,FALSE)</f>
        <v>Work</v>
      </c>
      <c r="V55" s="30" t="str">
        <f t="shared" si="4"/>
        <v>Home-Work</v>
      </c>
      <c r="W55" s="41">
        <v>170000</v>
      </c>
      <c r="X55" s="34">
        <v>132</v>
      </c>
      <c r="Y55" s="62" t="str">
        <f t="shared" si="1"/>
        <v>100-200</v>
      </c>
      <c r="Z55" s="34">
        <v>3</v>
      </c>
      <c r="AA55" s="62" t="str">
        <f t="shared" si="2"/>
        <v>2.0-3.5</v>
      </c>
      <c r="AB55" s="29">
        <v>5</v>
      </c>
      <c r="AC55" s="30" t="str">
        <f>VLOOKUP(AB55,Key!$C$20:$D$29,2,FALSE)</f>
        <v>Professional</v>
      </c>
      <c r="AD55" s="29">
        <v>4</v>
      </c>
      <c r="AE55" s="30" t="str">
        <f>VLOOKUP(AD55,Key!$E$20:$F$24,2,FALSE)</f>
        <v>750,000-1,000,000</v>
      </c>
      <c r="AF55" s="29">
        <v>3</v>
      </c>
      <c r="AG55" s="34">
        <v>1</v>
      </c>
      <c r="AH55" s="34">
        <v>2</v>
      </c>
      <c r="AI55" s="34">
        <v>3</v>
      </c>
      <c r="AJ55" s="34">
        <v>4</v>
      </c>
      <c r="AK55" s="35" t="s">
        <v>94</v>
      </c>
      <c r="AL55" s="36">
        <v>1000</v>
      </c>
      <c r="AM55" t="str">
        <f t="shared" si="3"/>
        <v>1000-2000</v>
      </c>
    </row>
    <row r="56" spans="1:39" x14ac:dyDescent="0.2">
      <c r="A56" s="44">
        <v>43771</v>
      </c>
      <c r="B56" s="31">
        <v>0.66597222222222219</v>
      </c>
      <c r="C56" s="31"/>
      <c r="D56" s="31" t="s">
        <v>96</v>
      </c>
      <c r="E56" s="33">
        <v>2</v>
      </c>
      <c r="F56" s="38" t="str">
        <f>VLOOKUP(E56,Key!$A$17:$B$21,2,FALSE)</f>
        <v>Road Vehicle</v>
      </c>
      <c r="G56" s="32">
        <v>8</v>
      </c>
      <c r="H56" s="39" t="str">
        <f>VLOOKUP(G56,Key!$A$2:$B$13,2,FALSE)</f>
        <v xml:space="preserve">Medium Truck </v>
      </c>
      <c r="I56" s="33" t="s">
        <v>108</v>
      </c>
      <c r="J56" s="33">
        <v>4</v>
      </c>
      <c r="K56" s="40" t="str">
        <f>VLOOKUP(J56,Key!$A$24:$B$29,2,FALSE)</f>
        <v>50-59</v>
      </c>
      <c r="L56" s="47" t="s">
        <v>168</v>
      </c>
      <c r="M56" s="29" t="s">
        <v>150</v>
      </c>
      <c r="N56" s="33" t="s">
        <v>151</v>
      </c>
      <c r="O56" s="35">
        <v>2</v>
      </c>
      <c r="P56" s="30" t="str">
        <f>VLOOKUP(O56,Key!$E$2:$F$9,2,FALSE)</f>
        <v>Work</v>
      </c>
      <c r="Q56" s="33" t="s">
        <v>149</v>
      </c>
      <c r="R56" s="29" t="s">
        <v>149</v>
      </c>
      <c r="S56" s="33" t="s">
        <v>151</v>
      </c>
      <c r="T56" s="29">
        <v>2</v>
      </c>
      <c r="U56" s="30" t="str">
        <f>VLOOKUP(T56,Key!$E$2:$F$9,2,FALSE)</f>
        <v>Work</v>
      </c>
      <c r="V56" s="30" t="str">
        <f t="shared" si="4"/>
        <v>Work-Work</v>
      </c>
      <c r="W56" s="41">
        <v>200000</v>
      </c>
      <c r="X56" s="34">
        <v>500</v>
      </c>
      <c r="Y56" s="62" t="str">
        <f t="shared" si="1"/>
        <v>Over 200</v>
      </c>
      <c r="Z56" s="34">
        <v>6</v>
      </c>
      <c r="AA56" s="62" t="str">
        <f t="shared" si="2"/>
        <v>Over 3.5</v>
      </c>
      <c r="AB56" s="29">
        <v>5</v>
      </c>
      <c r="AC56" s="30" t="str">
        <f>VLOOKUP(AB56,Key!$C$20:$D$29,2,FALSE)</f>
        <v>Professional</v>
      </c>
      <c r="AD56" s="29">
        <v>4</v>
      </c>
      <c r="AE56" s="30" t="str">
        <f>VLOOKUP(AD56,Key!$E$20:$F$24,2,FALSE)</f>
        <v>750,000-1,000,000</v>
      </c>
      <c r="AF56" s="29">
        <v>3</v>
      </c>
      <c r="AG56" s="34">
        <v>1</v>
      </c>
      <c r="AH56" s="34">
        <v>2</v>
      </c>
      <c r="AI56" s="34">
        <v>5</v>
      </c>
      <c r="AJ56" s="34">
        <v>4</v>
      </c>
      <c r="AK56" s="35" t="s">
        <v>94</v>
      </c>
      <c r="AL56" s="36">
        <v>5000</v>
      </c>
      <c r="AM56" t="str">
        <f t="shared" si="3"/>
        <v>5000-10000</v>
      </c>
    </row>
    <row r="57" spans="1:39" x14ac:dyDescent="0.2">
      <c r="A57" s="44">
        <v>43771</v>
      </c>
      <c r="B57" s="31">
        <v>0.68888888888888899</v>
      </c>
      <c r="C57" s="31"/>
      <c r="D57" s="31" t="s">
        <v>96</v>
      </c>
      <c r="E57" s="33">
        <v>2</v>
      </c>
      <c r="F57" s="38" t="str">
        <f>VLOOKUP(E57,Key!$A$17:$B$21,2,FALSE)</f>
        <v>Road Vehicle</v>
      </c>
      <c r="G57" s="32">
        <v>8</v>
      </c>
      <c r="H57" s="39" t="str">
        <f>VLOOKUP(G57,Key!$A$2:$B$13,2,FALSE)</f>
        <v xml:space="preserve">Medium Truck </v>
      </c>
      <c r="I57" s="33" t="s">
        <v>108</v>
      </c>
      <c r="J57" s="33">
        <v>4</v>
      </c>
      <c r="K57" s="40" t="str">
        <f>VLOOKUP(J57,Key!$A$24:$B$29,2,FALSE)</f>
        <v>50-59</v>
      </c>
      <c r="L57" s="47" t="s">
        <v>150</v>
      </c>
      <c r="M57" s="29" t="s">
        <v>150</v>
      </c>
      <c r="N57" s="33" t="s">
        <v>151</v>
      </c>
      <c r="O57" s="35">
        <v>1</v>
      </c>
      <c r="P57" s="30" t="str">
        <f>VLOOKUP(O57,Key!$E$2:$F$9,2,FALSE)</f>
        <v>Home</v>
      </c>
      <c r="Q57" s="33"/>
      <c r="R57" s="29"/>
      <c r="S57" s="33" t="s">
        <v>151</v>
      </c>
      <c r="T57" s="29">
        <v>2</v>
      </c>
      <c r="U57" s="30" t="str">
        <f>VLOOKUP(T57,Key!$E$2:$F$9,2,FALSE)</f>
        <v>Work</v>
      </c>
      <c r="V57" s="30" t="str">
        <f t="shared" si="4"/>
        <v>Home-Work</v>
      </c>
      <c r="W57" s="29">
        <v>20000</v>
      </c>
      <c r="X57" s="34">
        <v>28</v>
      </c>
      <c r="Y57" s="62" t="str">
        <f t="shared" si="1"/>
        <v>20-40</v>
      </c>
      <c r="Z57" s="34">
        <v>1.5</v>
      </c>
      <c r="AA57" s="62" t="str">
        <f t="shared" si="2"/>
        <v>1.0-2.0</v>
      </c>
      <c r="AB57" s="29">
        <v>5</v>
      </c>
      <c r="AC57" s="30" t="str">
        <f>VLOOKUP(AB57,Key!$C$20:$D$29,2,FALSE)</f>
        <v>Professional</v>
      </c>
      <c r="AD57" s="29">
        <v>4</v>
      </c>
      <c r="AE57" s="30" t="str">
        <f>VLOOKUP(AD57,Key!$E$20:$F$24,2,FALSE)</f>
        <v>750,000-1,000,000</v>
      </c>
      <c r="AF57" s="29">
        <v>5</v>
      </c>
      <c r="AG57" s="34">
        <v>2</v>
      </c>
      <c r="AH57" s="34">
        <v>1</v>
      </c>
      <c r="AI57" s="34">
        <v>3</v>
      </c>
      <c r="AJ57" s="34">
        <v>4</v>
      </c>
      <c r="AK57" s="35" t="s">
        <v>94</v>
      </c>
      <c r="AL57" s="36">
        <v>5000</v>
      </c>
      <c r="AM57" t="str">
        <f t="shared" si="3"/>
        <v>5000-10000</v>
      </c>
    </row>
    <row r="58" spans="1:39" x14ac:dyDescent="0.2">
      <c r="A58" s="44">
        <v>43771</v>
      </c>
      <c r="B58" s="31">
        <v>0.75624999999999998</v>
      </c>
      <c r="C58" s="31"/>
      <c r="D58" s="31" t="s">
        <v>96</v>
      </c>
      <c r="E58" s="33">
        <v>2</v>
      </c>
      <c r="F58" s="38" t="str">
        <f>VLOOKUP(E58,Key!$A$17:$B$21,2,FALSE)</f>
        <v>Road Vehicle</v>
      </c>
      <c r="G58" s="32">
        <v>8</v>
      </c>
      <c r="H58" s="39" t="str">
        <f>VLOOKUP(G58,Key!$A$2:$B$13,2,FALSE)</f>
        <v xml:space="preserve">Medium Truck </v>
      </c>
      <c r="I58" s="33" t="s">
        <v>108</v>
      </c>
      <c r="J58" s="33">
        <v>4</v>
      </c>
      <c r="K58" s="40" t="str">
        <f>VLOOKUP(J58,Key!$A$24:$B$29,2,FALSE)</f>
        <v>50-59</v>
      </c>
      <c r="L58" s="47" t="s">
        <v>168</v>
      </c>
      <c r="M58" s="29" t="s">
        <v>150</v>
      </c>
      <c r="N58" s="33" t="s">
        <v>151</v>
      </c>
      <c r="O58" s="35">
        <v>2</v>
      </c>
      <c r="P58" s="30" t="str">
        <f>VLOOKUP(O58,Key!$E$2:$F$9,2,FALSE)</f>
        <v>Work</v>
      </c>
      <c r="Q58" s="33" t="s">
        <v>152</v>
      </c>
      <c r="R58" s="29" t="s">
        <v>184</v>
      </c>
      <c r="S58" s="33" t="s">
        <v>151</v>
      </c>
      <c r="T58" s="29">
        <v>2</v>
      </c>
      <c r="U58" s="30" t="str">
        <f>VLOOKUP(T58,Key!$E$2:$F$9,2,FALSE)</f>
        <v>Work</v>
      </c>
      <c r="V58" s="30" t="str">
        <f t="shared" si="4"/>
        <v>Work-Work</v>
      </c>
      <c r="W58" s="29">
        <v>800000</v>
      </c>
      <c r="X58" s="34">
        <v>353</v>
      </c>
      <c r="Y58" s="62" t="str">
        <f t="shared" si="1"/>
        <v>Over 200</v>
      </c>
      <c r="Z58" s="34">
        <v>6</v>
      </c>
      <c r="AA58" s="62" t="str">
        <f t="shared" si="2"/>
        <v>Over 3.5</v>
      </c>
      <c r="AB58" s="29">
        <v>5</v>
      </c>
      <c r="AC58" s="30" t="str">
        <f>VLOOKUP(AB58,Key!$C$20:$D$29,2,FALSE)</f>
        <v>Professional</v>
      </c>
      <c r="AD58" s="29">
        <v>3</v>
      </c>
      <c r="AE58" s="30" t="str">
        <f>VLOOKUP(AD58,Key!$E$20:$F$24,2,FALSE)</f>
        <v>500,000-750,000</v>
      </c>
      <c r="AF58" s="29"/>
      <c r="AG58" s="34"/>
      <c r="AH58" s="34"/>
      <c r="AI58" s="34"/>
      <c r="AJ58" s="34"/>
      <c r="AK58" s="35" t="s">
        <v>94</v>
      </c>
      <c r="AL58" s="36">
        <v>8000</v>
      </c>
      <c r="AM58" t="str">
        <f t="shared" si="3"/>
        <v>5000-10000</v>
      </c>
    </row>
    <row r="59" spans="1:39" x14ac:dyDescent="0.2">
      <c r="A59" s="44">
        <v>43771</v>
      </c>
      <c r="B59" s="31">
        <v>0.42569444444444443</v>
      </c>
      <c r="C59" s="31"/>
      <c r="D59" s="31" t="s">
        <v>96</v>
      </c>
      <c r="E59" s="33">
        <v>2</v>
      </c>
      <c r="F59" s="38" t="str">
        <f>VLOOKUP(E59,Key!$A$17:$B$21,2,FALSE)</f>
        <v>Road Vehicle</v>
      </c>
      <c r="G59" s="32">
        <v>8</v>
      </c>
      <c r="H59" s="39" t="str">
        <f>VLOOKUP(G59,Key!$A$2:$B$13,2,FALSE)</f>
        <v xml:space="preserve">Medium Truck </v>
      </c>
      <c r="I59" s="33" t="s">
        <v>108</v>
      </c>
      <c r="J59" s="33">
        <v>4</v>
      </c>
      <c r="K59" s="40" t="str">
        <f>VLOOKUP(J59,Key!$A$24:$B$29,2,FALSE)</f>
        <v>50-59</v>
      </c>
      <c r="L59" s="47" t="s">
        <v>150</v>
      </c>
      <c r="M59" s="29" t="s">
        <v>150</v>
      </c>
      <c r="N59" s="33" t="s">
        <v>151</v>
      </c>
      <c r="O59" s="35">
        <v>1</v>
      </c>
      <c r="P59" s="30" t="str">
        <f>VLOOKUP(O59,Key!$E$2:$F$9,2,FALSE)</f>
        <v>Home</v>
      </c>
      <c r="Q59" s="33" t="s">
        <v>194</v>
      </c>
      <c r="R59" s="29" t="s">
        <v>194</v>
      </c>
      <c r="S59" s="33" t="s">
        <v>151</v>
      </c>
      <c r="T59" s="29">
        <v>2</v>
      </c>
      <c r="U59" s="30" t="str">
        <f>VLOOKUP(T59,Key!$E$2:$F$9,2,FALSE)</f>
        <v>Work</v>
      </c>
      <c r="V59" s="30" t="str">
        <f t="shared" si="4"/>
        <v>Home-Work</v>
      </c>
      <c r="W59" s="29">
        <v>130000</v>
      </c>
      <c r="X59" s="34">
        <v>102</v>
      </c>
      <c r="Y59" s="62" t="str">
        <f t="shared" si="1"/>
        <v>100-200</v>
      </c>
      <c r="Z59" s="34">
        <v>3.5</v>
      </c>
      <c r="AA59" s="62" t="str">
        <f t="shared" si="2"/>
        <v>Over 3.5</v>
      </c>
      <c r="AB59" s="29">
        <v>5</v>
      </c>
      <c r="AC59" s="30" t="str">
        <f>VLOOKUP(AB59,Key!$C$20:$D$29,2,FALSE)</f>
        <v>Professional</v>
      </c>
      <c r="AD59" s="29">
        <v>3</v>
      </c>
      <c r="AE59" s="30" t="str">
        <f>VLOOKUP(AD59,Key!$E$20:$F$24,2,FALSE)</f>
        <v>500,000-750,000</v>
      </c>
      <c r="AF59" s="29">
        <v>3</v>
      </c>
      <c r="AG59" s="34">
        <v>5</v>
      </c>
      <c r="AH59" s="34">
        <v>1</v>
      </c>
      <c r="AI59" s="34">
        <v>2</v>
      </c>
      <c r="AJ59" s="34">
        <v>4</v>
      </c>
      <c r="AK59" s="35" t="s">
        <v>94</v>
      </c>
      <c r="AL59" s="36">
        <v>3000</v>
      </c>
      <c r="AM59" t="str">
        <f t="shared" si="3"/>
        <v>3000-5000</v>
      </c>
    </row>
    <row r="60" spans="1:39" x14ac:dyDescent="0.2">
      <c r="A60" s="44">
        <v>43771</v>
      </c>
      <c r="B60" s="31">
        <v>0.6</v>
      </c>
      <c r="C60" s="31"/>
      <c r="D60" s="31" t="s">
        <v>96</v>
      </c>
      <c r="E60" s="33">
        <v>2</v>
      </c>
      <c r="F60" s="38" t="str">
        <f>VLOOKUP(E60,Key!$A$17:$B$21,2,FALSE)</f>
        <v>Road Vehicle</v>
      </c>
      <c r="G60" s="32">
        <v>8</v>
      </c>
      <c r="H60" s="39" t="str">
        <f>VLOOKUP(G60,Key!$A$2:$B$13,2,FALSE)</f>
        <v xml:space="preserve">Medium Truck </v>
      </c>
      <c r="I60" s="33" t="s">
        <v>108</v>
      </c>
      <c r="J60" s="33">
        <v>4</v>
      </c>
      <c r="K60" s="40" t="str">
        <f>VLOOKUP(J60,Key!$A$24:$B$29,2,FALSE)</f>
        <v>50-59</v>
      </c>
      <c r="L60" s="47" t="s">
        <v>150</v>
      </c>
      <c r="M60" s="29" t="s">
        <v>150</v>
      </c>
      <c r="N60" s="33" t="s">
        <v>151</v>
      </c>
      <c r="O60" s="35">
        <v>1</v>
      </c>
      <c r="P60" s="30" t="str">
        <f>VLOOKUP(O60,Key!$E$2:$F$9,2,FALSE)</f>
        <v>Home</v>
      </c>
      <c r="Q60" s="33" t="s">
        <v>153</v>
      </c>
      <c r="R60" s="29" t="s">
        <v>153</v>
      </c>
      <c r="S60" s="33" t="s">
        <v>151</v>
      </c>
      <c r="T60" s="29">
        <v>2</v>
      </c>
      <c r="U60" s="30" t="str">
        <f>VLOOKUP(T60,Key!$E$2:$F$9,2,FALSE)</f>
        <v>Work</v>
      </c>
      <c r="V60" s="30" t="str">
        <f t="shared" si="4"/>
        <v>Home-Work</v>
      </c>
      <c r="W60" s="29">
        <v>200000</v>
      </c>
      <c r="X60" s="34">
        <v>240</v>
      </c>
      <c r="Y60" s="62" t="str">
        <f t="shared" si="1"/>
        <v>Over 200</v>
      </c>
      <c r="Z60" s="34">
        <v>5</v>
      </c>
      <c r="AA60" s="62" t="str">
        <f t="shared" si="2"/>
        <v>Over 3.5</v>
      </c>
      <c r="AB60" s="29">
        <v>6</v>
      </c>
      <c r="AC60" s="30" t="str">
        <f>VLOOKUP(AB60,Key!$C$20:$D$29,2,FALSE)</f>
        <v>Businessman</v>
      </c>
      <c r="AD60" s="29">
        <v>4</v>
      </c>
      <c r="AE60" s="30" t="str">
        <f>VLOOKUP(AD60,Key!$E$20:$F$24,2,FALSE)</f>
        <v>750,000-1,000,000</v>
      </c>
      <c r="AF60" s="29">
        <v>3</v>
      </c>
      <c r="AG60" s="34">
        <v>1</v>
      </c>
      <c r="AH60" s="34">
        <v>2</v>
      </c>
      <c r="AI60" s="34">
        <v>3</v>
      </c>
      <c r="AJ60" s="34">
        <v>5</v>
      </c>
      <c r="AK60" s="35" t="s">
        <v>94</v>
      </c>
      <c r="AL60" s="36">
        <v>5000</v>
      </c>
      <c r="AM60" t="str">
        <f t="shared" si="3"/>
        <v>5000-10000</v>
      </c>
    </row>
    <row r="61" spans="1:39" x14ac:dyDescent="0.2">
      <c r="A61" s="44">
        <v>43771</v>
      </c>
      <c r="B61" s="31">
        <v>0.4604166666666667</v>
      </c>
      <c r="C61" s="31"/>
      <c r="D61" s="31" t="s">
        <v>96</v>
      </c>
      <c r="E61" s="33">
        <v>2</v>
      </c>
      <c r="F61" s="38" t="str">
        <f>VLOOKUP(E61,Key!$A$17:$B$21,2,FALSE)</f>
        <v>Road Vehicle</v>
      </c>
      <c r="G61" s="32">
        <v>8</v>
      </c>
      <c r="H61" s="39" t="str">
        <f>VLOOKUP(G61,Key!$A$2:$B$13,2,FALSE)</f>
        <v xml:space="preserve">Medium Truck </v>
      </c>
      <c r="I61" s="33" t="s">
        <v>108</v>
      </c>
      <c r="J61" s="33">
        <v>4</v>
      </c>
      <c r="K61" s="40" t="str">
        <f>VLOOKUP(J61,Key!$A$24:$B$29,2,FALSE)</f>
        <v>50-59</v>
      </c>
      <c r="L61" s="47" t="s">
        <v>150</v>
      </c>
      <c r="M61" s="29" t="s">
        <v>150</v>
      </c>
      <c r="N61" s="33" t="s">
        <v>151</v>
      </c>
      <c r="O61" s="35">
        <v>1</v>
      </c>
      <c r="P61" s="30" t="str">
        <f>VLOOKUP(O61,Key!$E$2:$F$9,2,FALSE)</f>
        <v>Home</v>
      </c>
      <c r="Q61" s="33" t="s">
        <v>161</v>
      </c>
      <c r="R61" s="29" t="s">
        <v>161</v>
      </c>
      <c r="S61" s="33" t="s">
        <v>151</v>
      </c>
      <c r="T61" s="29">
        <v>2</v>
      </c>
      <c r="U61" s="30" t="str">
        <f>VLOOKUP(T61,Key!$E$2:$F$9,2,FALSE)</f>
        <v>Work</v>
      </c>
      <c r="V61" s="30" t="str">
        <f t="shared" si="4"/>
        <v>Home-Work</v>
      </c>
      <c r="W61" s="29">
        <v>280000</v>
      </c>
      <c r="X61" s="34">
        <v>280</v>
      </c>
      <c r="Y61" s="62" t="str">
        <f t="shared" si="1"/>
        <v>Over 200</v>
      </c>
      <c r="Z61" s="34">
        <v>5</v>
      </c>
      <c r="AA61" s="62" t="str">
        <f t="shared" si="2"/>
        <v>Over 3.5</v>
      </c>
      <c r="AB61" s="29">
        <v>5</v>
      </c>
      <c r="AC61" s="30" t="str">
        <f>VLOOKUP(AB61,Key!$C$20:$D$29,2,FALSE)</f>
        <v>Professional</v>
      </c>
      <c r="AD61" s="29">
        <v>3</v>
      </c>
      <c r="AE61" s="30" t="str">
        <f>VLOOKUP(AD61,Key!$E$20:$F$24,2,FALSE)</f>
        <v>500,000-750,000</v>
      </c>
      <c r="AF61" s="29">
        <v>3</v>
      </c>
      <c r="AG61" s="34">
        <v>5</v>
      </c>
      <c r="AH61" s="34">
        <v>1</v>
      </c>
      <c r="AI61" s="34">
        <v>2</v>
      </c>
      <c r="AJ61" s="34">
        <v>3</v>
      </c>
      <c r="AK61" s="35" t="s">
        <v>94</v>
      </c>
      <c r="AL61" s="36"/>
      <c r="AM61" t="str">
        <f t="shared" si="3"/>
        <v>0-1000</v>
      </c>
    </row>
    <row r="62" spans="1:39" x14ac:dyDescent="0.2">
      <c r="A62" s="44">
        <v>43771</v>
      </c>
      <c r="B62" s="31">
        <v>0.56597222222222221</v>
      </c>
      <c r="C62" s="31"/>
      <c r="D62" s="31" t="s">
        <v>96</v>
      </c>
      <c r="E62" s="33">
        <v>2</v>
      </c>
      <c r="F62" s="38" t="str">
        <f>VLOOKUP(E62,Key!$A$17:$B$21,2,FALSE)</f>
        <v>Road Vehicle</v>
      </c>
      <c r="G62" s="32">
        <v>8</v>
      </c>
      <c r="H62" s="39" t="str">
        <f>VLOOKUP(G62,Key!$A$2:$B$13,2,FALSE)</f>
        <v xml:space="preserve">Medium Truck </v>
      </c>
      <c r="I62" s="33" t="s">
        <v>108</v>
      </c>
      <c r="J62" s="33">
        <v>4</v>
      </c>
      <c r="K62" s="40" t="str">
        <f>VLOOKUP(J62,Key!$A$24:$B$29,2,FALSE)</f>
        <v>50-59</v>
      </c>
      <c r="L62" s="47" t="s">
        <v>150</v>
      </c>
      <c r="M62" s="29" t="s">
        <v>150</v>
      </c>
      <c r="N62" s="33" t="s">
        <v>151</v>
      </c>
      <c r="O62" s="35">
        <v>1</v>
      </c>
      <c r="P62" s="30" t="str">
        <f>VLOOKUP(O62,Key!$E$2:$F$9,2,FALSE)</f>
        <v>Home</v>
      </c>
      <c r="Q62" s="33" t="s">
        <v>186</v>
      </c>
      <c r="R62" s="29" t="s">
        <v>188</v>
      </c>
      <c r="S62" s="33" t="s">
        <v>151</v>
      </c>
      <c r="T62" s="29">
        <v>2</v>
      </c>
      <c r="U62" s="30" t="str">
        <f>VLOOKUP(T62,Key!$E$2:$F$9,2,FALSE)</f>
        <v>Work</v>
      </c>
      <c r="V62" s="30" t="str">
        <f t="shared" si="4"/>
        <v>Home-Work</v>
      </c>
      <c r="W62" s="29">
        <v>50000</v>
      </c>
      <c r="X62" s="34">
        <v>34</v>
      </c>
      <c r="Y62" s="62" t="str">
        <f t="shared" si="1"/>
        <v>20-40</v>
      </c>
      <c r="Z62" s="34">
        <v>2</v>
      </c>
      <c r="AA62" s="62" t="str">
        <f t="shared" si="2"/>
        <v>2.0-3.5</v>
      </c>
      <c r="AB62" s="29">
        <v>5</v>
      </c>
      <c r="AC62" s="30" t="str">
        <f>VLOOKUP(AB62,Key!$C$20:$D$29,2,FALSE)</f>
        <v>Professional</v>
      </c>
      <c r="AD62" s="29">
        <v>4</v>
      </c>
      <c r="AE62" s="30" t="str">
        <f>VLOOKUP(AD62,Key!$E$20:$F$24,2,FALSE)</f>
        <v>750,000-1,000,000</v>
      </c>
      <c r="AF62" s="29">
        <v>5</v>
      </c>
      <c r="AG62" s="34">
        <v>4</v>
      </c>
      <c r="AH62" s="34">
        <v>1</v>
      </c>
      <c r="AI62" s="34">
        <v>2</v>
      </c>
      <c r="AJ62" s="34">
        <v>3</v>
      </c>
      <c r="AK62" s="35" t="s">
        <v>94</v>
      </c>
      <c r="AL62" s="36">
        <v>5000</v>
      </c>
      <c r="AM62" t="str">
        <f t="shared" si="3"/>
        <v>5000-10000</v>
      </c>
    </row>
    <row r="63" spans="1:39" x14ac:dyDescent="0.2">
      <c r="A63" s="44">
        <v>43771</v>
      </c>
      <c r="B63" s="31">
        <v>0.54513888888888895</v>
      </c>
      <c r="C63" s="31"/>
      <c r="D63" s="31" t="s">
        <v>96</v>
      </c>
      <c r="E63" s="33">
        <v>2</v>
      </c>
      <c r="F63" s="38" t="str">
        <f>VLOOKUP(E63,Key!$A$17:$B$21,2,FALSE)</f>
        <v>Road Vehicle</v>
      </c>
      <c r="G63" s="32">
        <v>8</v>
      </c>
      <c r="H63" s="39" t="str">
        <f>VLOOKUP(G63,Key!$A$2:$B$13,2,FALSE)</f>
        <v xml:space="preserve">Medium Truck </v>
      </c>
      <c r="I63" s="33" t="s">
        <v>108</v>
      </c>
      <c r="J63" s="33">
        <v>4</v>
      </c>
      <c r="K63" s="40" t="str">
        <f>VLOOKUP(J63,Key!$A$24:$B$29,2,FALSE)</f>
        <v>50-59</v>
      </c>
      <c r="L63" s="47" t="s">
        <v>150</v>
      </c>
      <c r="M63" s="29" t="s">
        <v>150</v>
      </c>
      <c r="N63" s="33" t="s">
        <v>151</v>
      </c>
      <c r="O63" s="35">
        <v>1</v>
      </c>
      <c r="P63" s="30" t="str">
        <f>VLOOKUP(O63,Key!$E$2:$F$9,2,FALSE)</f>
        <v>Home</v>
      </c>
      <c r="Q63" s="33" t="s">
        <v>175</v>
      </c>
      <c r="R63" s="29" t="s">
        <v>156</v>
      </c>
      <c r="S63" s="33" t="s">
        <v>151</v>
      </c>
      <c r="T63" s="29">
        <v>2</v>
      </c>
      <c r="U63" s="30" t="str">
        <f>VLOOKUP(T63,Key!$E$2:$F$9,2,FALSE)</f>
        <v>Work</v>
      </c>
      <c r="V63" s="30" t="str">
        <f t="shared" si="4"/>
        <v>Home-Work</v>
      </c>
      <c r="W63" s="29">
        <v>50000</v>
      </c>
      <c r="X63" s="34">
        <v>36</v>
      </c>
      <c r="Y63" s="62" t="str">
        <f t="shared" si="1"/>
        <v>20-40</v>
      </c>
      <c r="Z63" s="34">
        <v>1</v>
      </c>
      <c r="AA63" s="62" t="str">
        <f t="shared" si="2"/>
        <v>1.0-2.0</v>
      </c>
      <c r="AB63" s="29">
        <v>5</v>
      </c>
      <c r="AC63" s="30" t="str">
        <f>VLOOKUP(AB63,Key!$C$20:$D$29,2,FALSE)</f>
        <v>Professional</v>
      </c>
      <c r="AD63" s="29">
        <v>4</v>
      </c>
      <c r="AE63" s="30" t="str">
        <f>VLOOKUP(AD63,Key!$E$20:$F$24,2,FALSE)</f>
        <v>750,000-1,000,000</v>
      </c>
      <c r="AF63" s="29">
        <v>3</v>
      </c>
      <c r="AG63" s="34">
        <v>1</v>
      </c>
      <c r="AH63" s="34">
        <v>4</v>
      </c>
      <c r="AI63" s="34">
        <v>5</v>
      </c>
      <c r="AJ63" s="34">
        <v>2</v>
      </c>
      <c r="AK63" s="35" t="s">
        <v>94</v>
      </c>
      <c r="AL63" s="36">
        <v>3000</v>
      </c>
      <c r="AM63" t="str">
        <f t="shared" si="3"/>
        <v>3000-5000</v>
      </c>
    </row>
    <row r="64" spans="1:39" x14ac:dyDescent="0.2">
      <c r="A64" s="44">
        <v>43771</v>
      </c>
      <c r="B64" s="31">
        <v>0.64027777777777783</v>
      </c>
      <c r="C64" s="31"/>
      <c r="D64" s="31" t="s">
        <v>165</v>
      </c>
      <c r="E64" s="33">
        <v>2</v>
      </c>
      <c r="F64" s="38" t="str">
        <f>VLOOKUP(E64,Key!$A$17:$B$21,2,FALSE)</f>
        <v>Road Vehicle</v>
      </c>
      <c r="G64" s="32">
        <v>4</v>
      </c>
      <c r="H64" s="39" t="str">
        <f>VLOOKUP(G64,Key!$A$2:$B$13,2,FALSE)</f>
        <v>Minibus</v>
      </c>
      <c r="I64" s="33" t="s">
        <v>178</v>
      </c>
      <c r="J64" s="33">
        <v>1</v>
      </c>
      <c r="K64" s="40" t="str">
        <f>VLOOKUP(J64,Key!$A$24:$B$29,2,FALSE)</f>
        <v>20-29</v>
      </c>
      <c r="L64" s="47" t="s">
        <v>186</v>
      </c>
      <c r="M64" s="29" t="s">
        <v>156</v>
      </c>
      <c r="N64" s="33" t="s">
        <v>151</v>
      </c>
      <c r="O64" s="35">
        <v>2</v>
      </c>
      <c r="P64" s="30" t="str">
        <f>VLOOKUP(O64,Key!$E$2:$F$9,2,FALSE)</f>
        <v>Work</v>
      </c>
      <c r="Q64" s="33" t="s">
        <v>150</v>
      </c>
      <c r="R64" s="29" t="s">
        <v>150</v>
      </c>
      <c r="S64" s="33" t="s">
        <v>151</v>
      </c>
      <c r="T64" s="29">
        <v>1</v>
      </c>
      <c r="U64" s="30" t="str">
        <f>VLOOKUP(T64,Key!$E$2:$F$9,2,FALSE)</f>
        <v>Home</v>
      </c>
      <c r="V64" s="30" t="str">
        <f t="shared" si="4"/>
        <v>Work-Home</v>
      </c>
      <c r="W64" s="29">
        <v>4000</v>
      </c>
      <c r="X64" s="34">
        <v>34</v>
      </c>
      <c r="Y64" s="62" t="str">
        <f t="shared" si="1"/>
        <v>20-40</v>
      </c>
      <c r="Z64" s="34">
        <v>1.5</v>
      </c>
      <c r="AA64" s="62" t="str">
        <f t="shared" si="2"/>
        <v>1.0-2.0</v>
      </c>
      <c r="AB64" s="29">
        <v>6</v>
      </c>
      <c r="AC64" s="30" t="str">
        <f>VLOOKUP(AB64,Key!$C$20:$D$29,2,FALSE)</f>
        <v>Businessman</v>
      </c>
      <c r="AD64" s="29">
        <v>3</v>
      </c>
      <c r="AE64" s="30" t="str">
        <f>VLOOKUP(AD64,Key!$E$20:$F$24,2,FALSE)</f>
        <v>500,000-750,000</v>
      </c>
      <c r="AF64" s="29">
        <v>4</v>
      </c>
      <c r="AG64" s="34">
        <v>2</v>
      </c>
      <c r="AH64" s="34">
        <v>1</v>
      </c>
      <c r="AI64" s="34">
        <v>3</v>
      </c>
      <c r="AJ64" s="34">
        <v>5</v>
      </c>
      <c r="AK64" s="35" t="s">
        <v>94</v>
      </c>
      <c r="AL64" s="36"/>
      <c r="AM64" t="str">
        <f t="shared" si="3"/>
        <v>0-1000</v>
      </c>
    </row>
    <row r="65" spans="1:46" x14ac:dyDescent="0.2">
      <c r="A65" s="44">
        <v>43771</v>
      </c>
      <c r="B65" s="31">
        <v>0.57708333333333328</v>
      </c>
      <c r="C65" s="31"/>
      <c r="D65" s="31" t="s">
        <v>165</v>
      </c>
      <c r="E65" s="33">
        <v>2</v>
      </c>
      <c r="F65" s="38" t="str">
        <f>VLOOKUP(E65,Key!$A$17:$B$21,2,FALSE)</f>
        <v>Road Vehicle</v>
      </c>
      <c r="G65" s="32">
        <v>4</v>
      </c>
      <c r="H65" s="39" t="str">
        <f>VLOOKUP(G65,Key!$A$2:$B$13,2,FALSE)</f>
        <v>Minibus</v>
      </c>
      <c r="I65" s="33" t="s">
        <v>178</v>
      </c>
      <c r="J65" s="33">
        <v>1</v>
      </c>
      <c r="K65" s="40" t="str">
        <f>VLOOKUP(J65,Key!$A$24:$B$29,2,FALSE)</f>
        <v>20-29</v>
      </c>
      <c r="L65" s="47" t="s">
        <v>186</v>
      </c>
      <c r="M65" s="29" t="s">
        <v>156</v>
      </c>
      <c r="N65" s="33" t="s">
        <v>151</v>
      </c>
      <c r="O65" s="35">
        <v>1</v>
      </c>
      <c r="P65" s="30" t="str">
        <f>VLOOKUP(O65,Key!$E$2:$F$9,2,FALSE)</f>
        <v>Home</v>
      </c>
      <c r="Q65" s="33" t="s">
        <v>150</v>
      </c>
      <c r="R65" s="29" t="s">
        <v>150</v>
      </c>
      <c r="S65" s="33" t="s">
        <v>151</v>
      </c>
      <c r="T65" s="29">
        <v>4</v>
      </c>
      <c r="U65" s="30" t="str">
        <f>VLOOKUP(T65,Key!$E$2:$F$9,2,FALSE)</f>
        <v>Commercial</v>
      </c>
      <c r="V65" s="30" t="str">
        <f t="shared" si="4"/>
        <v>Home-Commercial</v>
      </c>
      <c r="W65" s="29">
        <v>4000</v>
      </c>
      <c r="X65" s="34">
        <v>34</v>
      </c>
      <c r="Y65" s="62" t="str">
        <f t="shared" si="1"/>
        <v>20-40</v>
      </c>
      <c r="Z65" s="34">
        <v>2</v>
      </c>
      <c r="AA65" s="62" t="str">
        <f t="shared" si="2"/>
        <v>2.0-3.5</v>
      </c>
      <c r="AB65" s="29">
        <v>5</v>
      </c>
      <c r="AC65" s="30" t="str">
        <f>VLOOKUP(AB65,Key!$C$20:$D$29,2,FALSE)</f>
        <v>Professional</v>
      </c>
      <c r="AD65" s="29">
        <v>4</v>
      </c>
      <c r="AE65" s="30" t="str">
        <f>VLOOKUP(AD65,Key!$E$20:$F$24,2,FALSE)</f>
        <v>750,000-1,000,000</v>
      </c>
      <c r="AF65" s="29">
        <v>4</v>
      </c>
      <c r="AG65" s="34">
        <v>1</v>
      </c>
      <c r="AH65" s="34">
        <v>2</v>
      </c>
      <c r="AI65" s="34">
        <v>3</v>
      </c>
      <c r="AJ65" s="34">
        <v>5</v>
      </c>
      <c r="AK65" s="35" t="s">
        <v>94</v>
      </c>
      <c r="AL65" s="36">
        <v>3000</v>
      </c>
      <c r="AM65" t="str">
        <f t="shared" si="3"/>
        <v>3000-5000</v>
      </c>
    </row>
    <row r="66" spans="1:46" x14ac:dyDescent="0.2">
      <c r="A66" s="44">
        <v>43771</v>
      </c>
      <c r="B66" s="31">
        <v>0.67499999999999993</v>
      </c>
      <c r="C66" s="31"/>
      <c r="D66" s="31" t="s">
        <v>165</v>
      </c>
      <c r="E66" s="33">
        <v>2</v>
      </c>
      <c r="F66" s="38" t="str">
        <f>VLOOKUP(E66,Key!$A$17:$B$21,2,FALSE)</f>
        <v>Road Vehicle</v>
      </c>
      <c r="G66" s="32">
        <v>4</v>
      </c>
      <c r="H66" s="39" t="str">
        <f>VLOOKUP(G66,Key!$A$2:$B$13,2,FALSE)</f>
        <v>Minibus</v>
      </c>
      <c r="I66" s="33" t="s">
        <v>178</v>
      </c>
      <c r="J66" s="33">
        <v>1</v>
      </c>
      <c r="K66" s="40" t="str">
        <f>VLOOKUP(J66,Key!$A$24:$B$29,2,FALSE)</f>
        <v>20-29</v>
      </c>
      <c r="L66" s="47" t="s">
        <v>150</v>
      </c>
      <c r="M66" s="29" t="s">
        <v>150</v>
      </c>
      <c r="N66" s="33" t="s">
        <v>151</v>
      </c>
      <c r="O66" s="35">
        <v>1</v>
      </c>
      <c r="P66" s="30" t="str">
        <f>VLOOKUP(O66,Key!$E$2:$F$9,2,FALSE)</f>
        <v>Home</v>
      </c>
      <c r="Q66" s="33" t="s">
        <v>187</v>
      </c>
      <c r="R66" s="29" t="s">
        <v>187</v>
      </c>
      <c r="S66" s="33" t="s">
        <v>151</v>
      </c>
      <c r="T66" s="29">
        <v>5</v>
      </c>
      <c r="U66" s="30" t="str">
        <f>VLOOKUP(T66,Key!$E$2:$F$9,2,FALSE)</f>
        <v>Tourism</v>
      </c>
      <c r="V66" s="30" t="str">
        <f t="shared" ref="V66:V129" si="5">P66&amp;"-"&amp;U66</f>
        <v>Home-Tourism</v>
      </c>
      <c r="W66" s="29">
        <v>8000</v>
      </c>
      <c r="X66" s="34">
        <v>141</v>
      </c>
      <c r="Y66" s="62" t="str">
        <f t="shared" si="1"/>
        <v>100-200</v>
      </c>
      <c r="Z66" s="34">
        <v>2</v>
      </c>
      <c r="AA66" s="62" t="str">
        <f t="shared" si="2"/>
        <v>2.0-3.5</v>
      </c>
      <c r="AB66" s="29">
        <v>6</v>
      </c>
      <c r="AC66" s="30" t="str">
        <f>VLOOKUP(AB66,Key!$C$20:$D$29,2,FALSE)</f>
        <v>Businessman</v>
      </c>
      <c r="AD66" s="29">
        <v>3</v>
      </c>
      <c r="AE66" s="30" t="str">
        <f>VLOOKUP(AD66,Key!$E$20:$F$24,2,FALSE)</f>
        <v>500,000-750,000</v>
      </c>
      <c r="AF66" s="29">
        <v>3</v>
      </c>
      <c r="AG66" s="34">
        <v>4</v>
      </c>
      <c r="AH66" s="34">
        <v>1</v>
      </c>
      <c r="AI66" s="34">
        <v>2</v>
      </c>
      <c r="AJ66" s="34">
        <v>5</v>
      </c>
      <c r="AK66" s="35" t="s">
        <v>94</v>
      </c>
      <c r="AL66" s="36">
        <v>3000</v>
      </c>
      <c r="AM66" t="str">
        <f t="shared" si="3"/>
        <v>3000-5000</v>
      </c>
    </row>
    <row r="67" spans="1:46" x14ac:dyDescent="0.2">
      <c r="A67" s="44">
        <v>43771</v>
      </c>
      <c r="B67" s="31">
        <v>0.63472222222222219</v>
      </c>
      <c r="C67" s="31"/>
      <c r="D67" s="31" t="s">
        <v>165</v>
      </c>
      <c r="E67" s="33">
        <v>2</v>
      </c>
      <c r="F67" s="38" t="str">
        <f>VLOOKUP(E67,Key!$A$17:$B$21,2,FALSE)</f>
        <v>Road Vehicle</v>
      </c>
      <c r="G67" s="32">
        <v>4</v>
      </c>
      <c r="H67" s="39" t="str">
        <f>VLOOKUP(G67,Key!$A$2:$B$13,2,FALSE)</f>
        <v>Minibus</v>
      </c>
      <c r="I67" s="33" t="s">
        <v>108</v>
      </c>
      <c r="J67" s="33">
        <v>2</v>
      </c>
      <c r="K67" s="40" t="str">
        <f>VLOOKUP(J67,Key!$A$24:$B$29,2,FALSE)</f>
        <v>30-39</v>
      </c>
      <c r="L67" s="47" t="s">
        <v>150</v>
      </c>
      <c r="M67" s="29" t="s">
        <v>150</v>
      </c>
      <c r="N67" s="33" t="s">
        <v>151</v>
      </c>
      <c r="O67" s="35">
        <v>4</v>
      </c>
      <c r="P67" s="30" t="str">
        <f>VLOOKUP(O67,Key!$E$2:$F$9,2,FALSE)</f>
        <v>Commercial</v>
      </c>
      <c r="Q67" s="33" t="s">
        <v>153</v>
      </c>
      <c r="R67" s="29" t="s">
        <v>153</v>
      </c>
      <c r="S67" s="33" t="s">
        <v>151</v>
      </c>
      <c r="T67" s="29">
        <v>1</v>
      </c>
      <c r="U67" s="30" t="str">
        <f>VLOOKUP(T67,Key!$E$2:$F$9,2,FALSE)</f>
        <v>Home</v>
      </c>
      <c r="V67" s="30" t="str">
        <f t="shared" si="5"/>
        <v>Commercial-Home</v>
      </c>
      <c r="W67" s="29">
        <v>15000</v>
      </c>
      <c r="X67" s="34">
        <v>200</v>
      </c>
      <c r="Y67" s="62" t="str">
        <f t="shared" ref="Y67:Y130" si="6">IF(X67&lt;10,"0-10",IF(X67&lt;20,"10-20",IF(X67&lt;40,"20-40",IF(X67&lt;70,"40-70",IF(X67&lt;100,"70-100",IF(X67&lt;200,"100-200","Over 200"))))))</f>
        <v>Over 200</v>
      </c>
      <c r="Z67" s="34">
        <v>4</v>
      </c>
      <c r="AA67" s="62" t="str">
        <f t="shared" ref="AA67:AA130" si="7">IF(Z67&lt;0.5,"0-0.5",IF(Z67&lt;1,"0.5-1.0",IF(Z67&lt;2,"1.0-2.0",IF(Z67&lt;3.5,"2.0-3.5","Over 3.5"))))</f>
        <v>Over 3.5</v>
      </c>
      <c r="AB67" s="29">
        <v>6</v>
      </c>
      <c r="AC67" s="30" t="str">
        <f>VLOOKUP(AB67,Key!$C$20:$D$29,2,FALSE)</f>
        <v>Businessman</v>
      </c>
      <c r="AD67" s="29">
        <v>3</v>
      </c>
      <c r="AE67" s="30" t="str">
        <f>VLOOKUP(AD67,Key!$E$20:$F$24,2,FALSE)</f>
        <v>500,000-750,000</v>
      </c>
      <c r="AF67" s="29">
        <v>5</v>
      </c>
      <c r="AG67" s="34">
        <v>1</v>
      </c>
      <c r="AH67" s="34">
        <v>2</v>
      </c>
      <c r="AI67" s="34">
        <v>3</v>
      </c>
      <c r="AJ67" s="34">
        <v>4</v>
      </c>
      <c r="AK67" s="35" t="s">
        <v>94</v>
      </c>
      <c r="AL67" s="36">
        <v>1000</v>
      </c>
      <c r="AM67" t="str">
        <f t="shared" ref="AM67:AM130" si="8">IF(AL67&lt;1000,"0-1000",IF(AL67&lt;2000,"1000-2000",IF(AL67&lt;3000,"2000-3000",IF(AL67&lt;5000,"3000-5000",IF(AL67&lt;10000,"5000-10000","Over 10000")))))</f>
        <v>1000-2000</v>
      </c>
    </row>
    <row r="68" spans="1:46" x14ac:dyDescent="0.2">
      <c r="A68" s="44">
        <v>43771</v>
      </c>
      <c r="B68" s="31">
        <v>0.67708333333333337</v>
      </c>
      <c r="C68" s="31"/>
      <c r="D68" s="31" t="s">
        <v>96</v>
      </c>
      <c r="E68" s="33">
        <v>2</v>
      </c>
      <c r="F68" s="38" t="str">
        <f>VLOOKUP(E68,Key!$A$17:$B$21,2,FALSE)</f>
        <v>Road Vehicle</v>
      </c>
      <c r="G68" s="32">
        <v>3</v>
      </c>
      <c r="H68" s="39" t="str">
        <f>VLOOKUP(G68,Key!$A$2:$B$13,2,FALSE)</f>
        <v>Pickups</v>
      </c>
      <c r="I68" s="33" t="s">
        <v>108</v>
      </c>
      <c r="J68" s="33">
        <v>2</v>
      </c>
      <c r="K68" s="40" t="str">
        <f>VLOOKUP(J68,Key!$A$24:$B$29,2,FALSE)</f>
        <v>30-39</v>
      </c>
      <c r="L68" s="47" t="s">
        <v>150</v>
      </c>
      <c r="M68" s="29" t="s">
        <v>150</v>
      </c>
      <c r="N68" s="33" t="s">
        <v>151</v>
      </c>
      <c r="O68" s="35">
        <v>1</v>
      </c>
      <c r="P68" s="30" t="str">
        <f>VLOOKUP(O68,Key!$E$2:$F$9,2,FALSE)</f>
        <v>Home</v>
      </c>
      <c r="Q68" s="33" t="s">
        <v>180</v>
      </c>
      <c r="R68" s="29" t="s">
        <v>180</v>
      </c>
      <c r="S68" s="33" t="s">
        <v>151</v>
      </c>
      <c r="T68" s="29">
        <v>2</v>
      </c>
      <c r="U68" s="30" t="str">
        <f>VLOOKUP(T68,Key!$E$2:$F$9,2,FALSE)</f>
        <v>Work</v>
      </c>
      <c r="V68" s="30" t="str">
        <f t="shared" si="5"/>
        <v>Home-Work</v>
      </c>
      <c r="W68" s="41">
        <v>150000</v>
      </c>
      <c r="X68" s="34">
        <v>152</v>
      </c>
      <c r="Y68" s="62" t="str">
        <f t="shared" si="6"/>
        <v>100-200</v>
      </c>
      <c r="Z68" s="34">
        <v>3</v>
      </c>
      <c r="AA68" s="62" t="str">
        <f t="shared" si="7"/>
        <v>2.0-3.5</v>
      </c>
      <c r="AB68" s="29">
        <v>5</v>
      </c>
      <c r="AC68" s="30" t="str">
        <f>VLOOKUP(AB68,Key!$C$20:$D$29,2,FALSE)</f>
        <v>Professional</v>
      </c>
      <c r="AD68" s="29">
        <v>4</v>
      </c>
      <c r="AE68" s="30" t="str">
        <f>VLOOKUP(AD68,Key!$E$20:$F$24,2,FALSE)</f>
        <v>750,000-1,000,000</v>
      </c>
      <c r="AF68" s="29">
        <v>5</v>
      </c>
      <c r="AG68" s="34">
        <v>1</v>
      </c>
      <c r="AH68" s="34">
        <v>2</v>
      </c>
      <c r="AI68" s="34">
        <v>4</v>
      </c>
      <c r="AJ68" s="34">
        <v>5</v>
      </c>
      <c r="AK68" s="35" t="s">
        <v>94</v>
      </c>
      <c r="AL68" s="36">
        <v>5000</v>
      </c>
      <c r="AM68" t="str">
        <f t="shared" si="8"/>
        <v>5000-10000</v>
      </c>
    </row>
    <row r="69" spans="1:46" x14ac:dyDescent="0.2">
      <c r="A69" s="44">
        <v>43771</v>
      </c>
      <c r="B69" s="31">
        <v>0.39583333333333331</v>
      </c>
      <c r="C69" s="31"/>
      <c r="D69" s="31" t="s">
        <v>96</v>
      </c>
      <c r="E69" s="33">
        <v>2</v>
      </c>
      <c r="F69" s="38" t="str">
        <f>VLOOKUP(E69,Key!$A$17:$B$21,2,FALSE)</f>
        <v>Road Vehicle</v>
      </c>
      <c r="G69" s="32">
        <v>3</v>
      </c>
      <c r="H69" s="39" t="str">
        <f>VLOOKUP(G69,Key!$A$2:$B$13,2,FALSE)</f>
        <v>Pickups</v>
      </c>
      <c r="I69" s="33" t="s">
        <v>108</v>
      </c>
      <c r="J69" s="33">
        <v>2</v>
      </c>
      <c r="K69" s="40" t="str">
        <f>VLOOKUP(J69,Key!$A$24:$B$29,2,FALSE)</f>
        <v>30-39</v>
      </c>
      <c r="L69" s="47" t="s">
        <v>191</v>
      </c>
      <c r="M69" s="29" t="s">
        <v>150</v>
      </c>
      <c r="N69" s="33" t="s">
        <v>151</v>
      </c>
      <c r="O69" s="35">
        <v>1</v>
      </c>
      <c r="P69" s="30" t="str">
        <f>VLOOKUP(O69,Key!$E$2:$F$9,2,FALSE)</f>
        <v>Home</v>
      </c>
      <c r="Q69" s="33" t="s">
        <v>192</v>
      </c>
      <c r="R69" s="29" t="s">
        <v>150</v>
      </c>
      <c r="S69" s="33" t="s">
        <v>151</v>
      </c>
      <c r="T69" s="29">
        <v>2</v>
      </c>
      <c r="U69" s="30" t="str">
        <f>VLOOKUP(T69,Key!$E$2:$F$9,2,FALSE)</f>
        <v>Work</v>
      </c>
      <c r="V69" s="30" t="str">
        <f t="shared" si="5"/>
        <v>Home-Work</v>
      </c>
      <c r="W69" s="29">
        <v>10000</v>
      </c>
      <c r="X69" s="34">
        <v>10</v>
      </c>
      <c r="Y69" s="62" t="str">
        <f t="shared" si="6"/>
        <v>10-20</v>
      </c>
      <c r="Z69" s="34">
        <v>1</v>
      </c>
      <c r="AA69" s="62" t="str">
        <f t="shared" si="7"/>
        <v>1.0-2.0</v>
      </c>
      <c r="AB69" s="29">
        <v>5</v>
      </c>
      <c r="AC69" s="30" t="str">
        <f>VLOOKUP(AB69,Key!$C$20:$D$29,2,FALSE)</f>
        <v>Professional</v>
      </c>
      <c r="AD69" s="29">
        <v>1</v>
      </c>
      <c r="AE69" s="30" t="str">
        <f>VLOOKUP(AD69,Key!$E$20:$F$24,2,FALSE)</f>
        <v>&lt;300,000</v>
      </c>
      <c r="AF69" s="29">
        <v>4</v>
      </c>
      <c r="AG69" s="34">
        <v>3</v>
      </c>
      <c r="AH69" s="34">
        <v>1</v>
      </c>
      <c r="AI69" s="34">
        <v>2</v>
      </c>
      <c r="AJ69" s="34">
        <v>5</v>
      </c>
      <c r="AK69" s="35" t="s">
        <v>94</v>
      </c>
      <c r="AL69" s="36"/>
      <c r="AM69" t="str">
        <f t="shared" si="8"/>
        <v>0-1000</v>
      </c>
    </row>
    <row r="70" spans="1:46" x14ac:dyDescent="0.2">
      <c r="A70" s="44">
        <v>43771</v>
      </c>
      <c r="B70" s="31">
        <v>0.5444444444444444</v>
      </c>
      <c r="C70" s="31"/>
      <c r="D70" s="31" t="s">
        <v>96</v>
      </c>
      <c r="E70" s="33">
        <v>2</v>
      </c>
      <c r="F70" s="38" t="str">
        <f>VLOOKUP(E70,Key!$A$17:$B$21,2,FALSE)</f>
        <v>Road Vehicle</v>
      </c>
      <c r="G70" s="32">
        <v>2</v>
      </c>
      <c r="H70" s="39" t="str">
        <f>VLOOKUP(G70,Key!$A$2:$B$13,2,FALSE)</f>
        <v>Station Wagon</v>
      </c>
      <c r="I70" s="33" t="s">
        <v>108</v>
      </c>
      <c r="J70" s="33">
        <v>3</v>
      </c>
      <c r="K70" s="40" t="str">
        <f>VLOOKUP(J70,Key!$A$24:$B$29,2,FALSE)</f>
        <v>40-49</v>
      </c>
      <c r="L70" s="47" t="s">
        <v>150</v>
      </c>
      <c r="M70" s="29" t="s">
        <v>150</v>
      </c>
      <c r="N70" s="33" t="s">
        <v>151</v>
      </c>
      <c r="O70" s="35">
        <v>1</v>
      </c>
      <c r="P70" s="30" t="str">
        <f>VLOOKUP(O70,Key!$E$2:$F$9,2,FALSE)</f>
        <v>Home</v>
      </c>
      <c r="Q70" s="33" t="s">
        <v>172</v>
      </c>
      <c r="R70" s="29" t="s">
        <v>172</v>
      </c>
      <c r="S70" s="33" t="s">
        <v>151</v>
      </c>
      <c r="T70" s="29">
        <v>2</v>
      </c>
      <c r="U70" s="30" t="str">
        <f>VLOOKUP(T70,Key!$E$2:$F$9,2,FALSE)</f>
        <v>Work</v>
      </c>
      <c r="V70" s="30" t="str">
        <f t="shared" si="5"/>
        <v>Home-Work</v>
      </c>
      <c r="W70" s="41">
        <v>220000</v>
      </c>
      <c r="X70" s="34">
        <v>229</v>
      </c>
      <c r="Y70" s="62" t="str">
        <f t="shared" si="6"/>
        <v>Over 200</v>
      </c>
      <c r="Z70" s="34">
        <v>4</v>
      </c>
      <c r="AA70" s="62" t="str">
        <f t="shared" si="7"/>
        <v>Over 3.5</v>
      </c>
      <c r="AB70" s="29">
        <v>5</v>
      </c>
      <c r="AC70" s="30" t="str">
        <f>VLOOKUP(AB70,Key!$C$20:$D$29,2,FALSE)</f>
        <v>Professional</v>
      </c>
      <c r="AD70" s="29">
        <v>4</v>
      </c>
      <c r="AE70" s="30" t="str">
        <f>VLOOKUP(AD70,Key!$E$20:$F$24,2,FALSE)</f>
        <v>750,000-1,000,000</v>
      </c>
      <c r="AF70" s="29">
        <v>3</v>
      </c>
      <c r="AG70" s="34">
        <v>5</v>
      </c>
      <c r="AH70" s="34">
        <v>1</v>
      </c>
      <c r="AI70" s="34">
        <v>2</v>
      </c>
      <c r="AJ70" s="34">
        <v>5</v>
      </c>
      <c r="AK70" s="35" t="s">
        <v>94</v>
      </c>
      <c r="AL70" s="36">
        <v>4000</v>
      </c>
      <c r="AM70" t="str">
        <f t="shared" si="8"/>
        <v>3000-5000</v>
      </c>
    </row>
    <row r="71" spans="1:46" x14ac:dyDescent="0.2">
      <c r="A71" s="44">
        <v>43771</v>
      </c>
      <c r="B71" s="31">
        <v>0.41250000000000003</v>
      </c>
      <c r="C71" s="31"/>
      <c r="D71" s="31" t="s">
        <v>96</v>
      </c>
      <c r="E71" s="33">
        <v>2</v>
      </c>
      <c r="F71" s="38" t="str">
        <f>VLOOKUP(E71,Key!$A$17:$B$21,2,FALSE)</f>
        <v>Road Vehicle</v>
      </c>
      <c r="G71" s="32">
        <v>10</v>
      </c>
      <c r="H71" s="39" t="str">
        <f>VLOOKUP(G71,Key!$A$2:$B$13,2,FALSE)</f>
        <v xml:space="preserve">Truck Trailer </v>
      </c>
      <c r="I71" s="33" t="s">
        <v>108</v>
      </c>
      <c r="J71" s="33">
        <v>3</v>
      </c>
      <c r="K71" s="40" t="str">
        <f>VLOOKUP(J71,Key!$A$24:$B$29,2,FALSE)</f>
        <v>40-49</v>
      </c>
      <c r="L71" s="47" t="s">
        <v>150</v>
      </c>
      <c r="M71" s="29" t="s">
        <v>150</v>
      </c>
      <c r="N71" s="33" t="s">
        <v>151</v>
      </c>
      <c r="O71" s="35">
        <v>1</v>
      </c>
      <c r="P71" s="30" t="str">
        <f>VLOOKUP(O71,Key!$E$2:$F$9,2,FALSE)</f>
        <v>Home</v>
      </c>
      <c r="Q71" s="33" t="s">
        <v>186</v>
      </c>
      <c r="R71" s="29" t="s">
        <v>156</v>
      </c>
      <c r="S71" s="33" t="s">
        <v>151</v>
      </c>
      <c r="T71" s="29">
        <v>2</v>
      </c>
      <c r="U71" s="30" t="str">
        <f>VLOOKUP(T71,Key!$E$2:$F$9,2,FALSE)</f>
        <v>Work</v>
      </c>
      <c r="V71" s="30" t="str">
        <f t="shared" si="5"/>
        <v>Home-Work</v>
      </c>
      <c r="W71" s="29">
        <v>50000</v>
      </c>
      <c r="X71" s="34">
        <v>34</v>
      </c>
      <c r="Y71" s="62" t="str">
        <f t="shared" si="6"/>
        <v>20-40</v>
      </c>
      <c r="Z71" s="34">
        <v>2</v>
      </c>
      <c r="AA71" s="62" t="str">
        <f t="shared" si="7"/>
        <v>2.0-3.5</v>
      </c>
      <c r="AB71" s="29">
        <v>5</v>
      </c>
      <c r="AC71" s="30" t="str">
        <f>VLOOKUP(AB71,Key!$C$20:$D$29,2,FALSE)</f>
        <v>Professional</v>
      </c>
      <c r="AD71" s="29">
        <v>4</v>
      </c>
      <c r="AE71" s="30" t="str">
        <f>VLOOKUP(AD71,Key!$E$20:$F$24,2,FALSE)</f>
        <v>750,000-1,000,000</v>
      </c>
      <c r="AF71" s="29">
        <v>4</v>
      </c>
      <c r="AG71" s="34">
        <v>1</v>
      </c>
      <c r="AH71" s="34">
        <v>2</v>
      </c>
      <c r="AI71" s="34">
        <v>5</v>
      </c>
      <c r="AJ71" s="34">
        <v>3</v>
      </c>
      <c r="AK71" s="35" t="s">
        <v>94</v>
      </c>
      <c r="AL71" s="36">
        <v>1000</v>
      </c>
      <c r="AM71" t="str">
        <f t="shared" si="8"/>
        <v>1000-2000</v>
      </c>
    </row>
    <row r="72" spans="1:46" x14ac:dyDescent="0.2">
      <c r="A72" s="44">
        <v>43771</v>
      </c>
      <c r="B72" s="31">
        <v>0.37777777777777777</v>
      </c>
      <c r="C72" s="31"/>
      <c r="D72" s="31" t="s">
        <v>96</v>
      </c>
      <c r="E72" s="33">
        <v>2</v>
      </c>
      <c r="F72" s="38" t="str">
        <f>VLOOKUP(E72,Key!$A$17:$B$21,2,FALSE)</f>
        <v>Road Vehicle</v>
      </c>
      <c r="G72" s="32">
        <v>10</v>
      </c>
      <c r="H72" s="39" t="str">
        <f>VLOOKUP(G72,Key!$A$2:$B$13,2,FALSE)</f>
        <v xml:space="preserve">Truck Trailer </v>
      </c>
      <c r="I72" s="33" t="s">
        <v>108</v>
      </c>
      <c r="J72" s="33">
        <v>4</v>
      </c>
      <c r="K72" s="40" t="str">
        <f>VLOOKUP(J72,Key!$A$24:$B$29,2,FALSE)</f>
        <v>50-59</v>
      </c>
      <c r="L72" s="47" t="s">
        <v>150</v>
      </c>
      <c r="M72" s="29" t="s">
        <v>150</v>
      </c>
      <c r="N72" s="33" t="s">
        <v>151</v>
      </c>
      <c r="O72" s="35">
        <v>1</v>
      </c>
      <c r="P72" s="30" t="str">
        <f>VLOOKUP(O72,Key!$E$2:$F$9,2,FALSE)</f>
        <v>Home</v>
      </c>
      <c r="Q72" s="33" t="s">
        <v>157</v>
      </c>
      <c r="R72" s="29" t="s">
        <v>157</v>
      </c>
      <c r="S72" s="33" t="s">
        <v>151</v>
      </c>
      <c r="T72" s="29">
        <v>2</v>
      </c>
      <c r="U72" s="30" t="str">
        <f>VLOOKUP(T72,Key!$E$2:$F$9,2,FALSE)</f>
        <v>Work</v>
      </c>
      <c r="V72" s="30" t="str">
        <f t="shared" si="5"/>
        <v>Home-Work</v>
      </c>
      <c r="W72" s="41">
        <v>130000</v>
      </c>
      <c r="X72" s="34">
        <v>127</v>
      </c>
      <c r="Y72" s="62" t="str">
        <f t="shared" si="6"/>
        <v>100-200</v>
      </c>
      <c r="Z72" s="34">
        <v>3</v>
      </c>
      <c r="AA72" s="62" t="str">
        <f t="shared" si="7"/>
        <v>2.0-3.5</v>
      </c>
      <c r="AB72" s="29">
        <v>5</v>
      </c>
      <c r="AC72" s="30" t="str">
        <f>VLOOKUP(AB72,Key!$C$20:$D$29,2,FALSE)</f>
        <v>Professional</v>
      </c>
      <c r="AD72" s="29">
        <v>4</v>
      </c>
      <c r="AE72" s="30" t="str">
        <f>VLOOKUP(AD72,Key!$E$20:$F$24,2,FALSE)</f>
        <v>750,000-1,000,000</v>
      </c>
      <c r="AF72" s="29">
        <v>3</v>
      </c>
      <c r="AG72" s="34">
        <v>1</v>
      </c>
      <c r="AH72" s="34">
        <v>2</v>
      </c>
      <c r="AI72" s="34">
        <v>5</v>
      </c>
      <c r="AJ72" s="34">
        <v>4</v>
      </c>
      <c r="AK72" s="35" t="s">
        <v>94</v>
      </c>
      <c r="AL72" s="36">
        <v>5000</v>
      </c>
      <c r="AM72" t="str">
        <f t="shared" si="8"/>
        <v>5000-10000</v>
      </c>
    </row>
    <row r="73" spans="1:46" x14ac:dyDescent="0.2">
      <c r="A73" s="44">
        <v>43771</v>
      </c>
      <c r="B73" s="31">
        <v>0.53611111111111109</v>
      </c>
      <c r="C73" s="31"/>
      <c r="D73" s="31" t="s">
        <v>96</v>
      </c>
      <c r="E73" s="33">
        <v>2</v>
      </c>
      <c r="F73" s="38" t="str">
        <f>VLOOKUP(E73,Key!$A$17:$B$21,2,FALSE)</f>
        <v>Road Vehicle</v>
      </c>
      <c r="G73" s="32">
        <v>10</v>
      </c>
      <c r="H73" s="39" t="str">
        <f>VLOOKUP(G73,Key!$A$2:$B$13,2,FALSE)</f>
        <v xml:space="preserve">Truck Trailer </v>
      </c>
      <c r="I73" s="33" t="s">
        <v>108</v>
      </c>
      <c r="J73" s="33">
        <v>4</v>
      </c>
      <c r="K73" s="40" t="str">
        <f>VLOOKUP(J73,Key!$A$24:$B$29,2,FALSE)</f>
        <v>50-59</v>
      </c>
      <c r="L73" s="47" t="s">
        <v>150</v>
      </c>
      <c r="M73" s="29" t="s">
        <v>150</v>
      </c>
      <c r="N73" s="33" t="s">
        <v>151</v>
      </c>
      <c r="O73" s="35">
        <v>1</v>
      </c>
      <c r="P73" s="30" t="str">
        <f>VLOOKUP(O73,Key!$E$2:$F$9,2,FALSE)</f>
        <v>Home</v>
      </c>
      <c r="Q73" s="33" t="s">
        <v>171</v>
      </c>
      <c r="R73" s="29" t="s">
        <v>171</v>
      </c>
      <c r="S73" s="33" t="s">
        <v>151</v>
      </c>
      <c r="T73" s="29">
        <v>2</v>
      </c>
      <c r="U73" s="30" t="str">
        <f>VLOOKUP(T73,Key!$E$2:$F$9,2,FALSE)</f>
        <v>Work</v>
      </c>
      <c r="V73" s="30" t="str">
        <f t="shared" si="5"/>
        <v>Home-Work</v>
      </c>
      <c r="W73" s="41">
        <v>160000</v>
      </c>
      <c r="X73" s="34">
        <v>462</v>
      </c>
      <c r="Y73" s="62" t="str">
        <f t="shared" si="6"/>
        <v>Over 200</v>
      </c>
      <c r="Z73" s="34">
        <v>3</v>
      </c>
      <c r="AA73" s="62" t="str">
        <f t="shared" si="7"/>
        <v>2.0-3.5</v>
      </c>
      <c r="AB73" s="29">
        <v>5</v>
      </c>
      <c r="AC73" s="30" t="str">
        <f>VLOOKUP(AB73,Key!$C$20:$D$29,2,FALSE)</f>
        <v>Professional</v>
      </c>
      <c r="AD73" s="29">
        <v>4</v>
      </c>
      <c r="AE73" s="30" t="str">
        <f>VLOOKUP(AD73,Key!$E$20:$F$24,2,FALSE)</f>
        <v>750,000-1,000,000</v>
      </c>
      <c r="AF73" s="29">
        <v>4</v>
      </c>
      <c r="AG73" s="34">
        <v>1</v>
      </c>
      <c r="AH73" s="34">
        <v>2</v>
      </c>
      <c r="AI73" s="34">
        <v>5</v>
      </c>
      <c r="AJ73" s="34">
        <v>4</v>
      </c>
      <c r="AK73" s="35" t="s">
        <v>94</v>
      </c>
      <c r="AL73" s="36">
        <v>5000</v>
      </c>
      <c r="AM73" t="str">
        <f t="shared" si="8"/>
        <v>5000-10000</v>
      </c>
    </row>
    <row r="74" spans="1:46" x14ac:dyDescent="0.2">
      <c r="A74" s="44">
        <v>43771</v>
      </c>
      <c r="B74" s="31">
        <v>0.48888888888888887</v>
      </c>
      <c r="C74" s="31"/>
      <c r="D74" s="31" t="s">
        <v>96</v>
      </c>
      <c r="E74" s="33">
        <v>2</v>
      </c>
      <c r="F74" s="38" t="str">
        <f>VLOOKUP(E74,Key!$A$17:$B$21,2,FALSE)</f>
        <v>Road Vehicle</v>
      </c>
      <c r="G74" s="32">
        <v>10</v>
      </c>
      <c r="H74" s="39" t="str">
        <f>VLOOKUP(G74,Key!$A$2:$B$13,2,FALSE)</f>
        <v xml:space="preserve">Truck Trailer </v>
      </c>
      <c r="I74" s="33" t="s">
        <v>108</v>
      </c>
      <c r="J74" s="33">
        <v>4</v>
      </c>
      <c r="K74" s="40" t="str">
        <f>VLOOKUP(J74,Key!$A$24:$B$29,2,FALSE)</f>
        <v>50-59</v>
      </c>
      <c r="L74" s="47" t="s">
        <v>150</v>
      </c>
      <c r="M74" s="29" t="s">
        <v>150</v>
      </c>
      <c r="N74" s="33" t="s">
        <v>151</v>
      </c>
      <c r="O74" s="35">
        <v>1</v>
      </c>
      <c r="P74" s="30" t="str">
        <f>VLOOKUP(O74,Key!$E$2:$F$9,2,FALSE)</f>
        <v>Home</v>
      </c>
      <c r="Q74" s="33" t="s">
        <v>202</v>
      </c>
      <c r="R74" s="29" t="s">
        <v>202</v>
      </c>
      <c r="S74" s="33" t="s">
        <v>151</v>
      </c>
      <c r="T74" s="29">
        <v>2</v>
      </c>
      <c r="U74" s="30" t="str">
        <f>VLOOKUP(T74,Key!$E$2:$F$9,2,FALSE)</f>
        <v>Work</v>
      </c>
      <c r="V74" s="30" t="str">
        <f t="shared" si="5"/>
        <v>Home-Work</v>
      </c>
      <c r="W74" s="29">
        <v>80000</v>
      </c>
      <c r="X74" s="34">
        <v>80</v>
      </c>
      <c r="Y74" s="62" t="str">
        <f t="shared" si="6"/>
        <v>70-100</v>
      </c>
      <c r="Z74" s="34">
        <v>3</v>
      </c>
      <c r="AA74" s="62" t="str">
        <f t="shared" si="7"/>
        <v>2.0-3.5</v>
      </c>
      <c r="AB74" s="29">
        <v>5</v>
      </c>
      <c r="AC74" s="30" t="str">
        <f>VLOOKUP(AB74,Key!$C$20:$D$29,2,FALSE)</f>
        <v>Professional</v>
      </c>
      <c r="AD74" s="29">
        <v>4</v>
      </c>
      <c r="AE74" s="30" t="str">
        <f>VLOOKUP(AD74,Key!$E$20:$F$24,2,FALSE)</f>
        <v>750,000-1,000,000</v>
      </c>
      <c r="AF74" s="29">
        <v>5</v>
      </c>
      <c r="AG74" s="34">
        <v>1</v>
      </c>
      <c r="AH74" s="34">
        <v>2</v>
      </c>
      <c r="AI74" s="34">
        <v>3</v>
      </c>
      <c r="AJ74" s="34">
        <v>4</v>
      </c>
      <c r="AK74" s="35" t="s">
        <v>94</v>
      </c>
      <c r="AL74" s="36">
        <v>5000</v>
      </c>
      <c r="AM74" t="str">
        <f t="shared" si="8"/>
        <v>5000-10000</v>
      </c>
    </row>
    <row r="75" spans="1:46" x14ac:dyDescent="0.2">
      <c r="A75" s="44">
        <v>43771</v>
      </c>
      <c r="B75" s="31">
        <v>0.45694444444444443</v>
      </c>
      <c r="C75" s="31"/>
      <c r="D75" s="31" t="s">
        <v>96</v>
      </c>
      <c r="E75" s="33">
        <v>2</v>
      </c>
      <c r="F75" s="38" t="str">
        <f>VLOOKUP(E75,Key!$A$17:$B$21,2,FALSE)</f>
        <v>Road Vehicle</v>
      </c>
      <c r="G75" s="32">
        <v>10</v>
      </c>
      <c r="H75" s="39" t="str">
        <f>VLOOKUP(G75,Key!$A$2:$B$13,2,FALSE)</f>
        <v xml:space="preserve">Truck Trailer </v>
      </c>
      <c r="I75" s="33" t="s">
        <v>108</v>
      </c>
      <c r="J75" s="33">
        <v>4</v>
      </c>
      <c r="K75" s="40" t="str">
        <f>VLOOKUP(J75,Key!$A$24:$B$29,2,FALSE)</f>
        <v>50-59</v>
      </c>
      <c r="L75" s="47" t="s">
        <v>168</v>
      </c>
      <c r="M75" s="29" t="s">
        <v>150</v>
      </c>
      <c r="N75" s="33" t="s">
        <v>151</v>
      </c>
      <c r="O75" s="35">
        <v>2</v>
      </c>
      <c r="P75" s="30" t="str">
        <f>VLOOKUP(O75,Key!$E$2:$F$9,2,FALSE)</f>
        <v>Work</v>
      </c>
      <c r="Q75" s="33" t="s">
        <v>152</v>
      </c>
      <c r="R75" s="29" t="s">
        <v>161</v>
      </c>
      <c r="S75" s="33" t="s">
        <v>151</v>
      </c>
      <c r="T75" s="29">
        <v>2</v>
      </c>
      <c r="U75" s="30" t="str">
        <f>VLOOKUP(T75,Key!$E$2:$F$9,2,FALSE)</f>
        <v>Work</v>
      </c>
      <c r="V75" s="30" t="str">
        <f t="shared" si="5"/>
        <v>Work-Work</v>
      </c>
      <c r="W75" s="41">
        <v>300000</v>
      </c>
      <c r="X75" s="34">
        <v>160</v>
      </c>
      <c r="Y75" s="62" t="str">
        <f t="shared" si="6"/>
        <v>100-200</v>
      </c>
      <c r="Z75" s="34">
        <v>6</v>
      </c>
      <c r="AA75" s="62" t="str">
        <f t="shared" si="7"/>
        <v>Over 3.5</v>
      </c>
      <c r="AB75" s="29">
        <v>5</v>
      </c>
      <c r="AC75" s="30" t="str">
        <f>VLOOKUP(AB75,Key!$C$20:$D$29,2,FALSE)</f>
        <v>Professional</v>
      </c>
      <c r="AD75" s="29"/>
      <c r="AE75" s="30" t="e">
        <f>VLOOKUP(AD75,Key!$E$20:$F$24,2,FALSE)</f>
        <v>#N/A</v>
      </c>
      <c r="AF75" s="29">
        <v>1</v>
      </c>
      <c r="AG75" s="34">
        <v>2</v>
      </c>
      <c r="AH75" s="34">
        <v>2</v>
      </c>
      <c r="AI75" s="34">
        <v>4</v>
      </c>
      <c r="AJ75" s="34"/>
      <c r="AK75" s="35" t="s">
        <v>94</v>
      </c>
      <c r="AL75" s="36">
        <v>3000</v>
      </c>
      <c r="AM75" t="str">
        <f t="shared" si="8"/>
        <v>3000-5000</v>
      </c>
    </row>
    <row r="76" spans="1:46" s="19" customFormat="1" x14ac:dyDescent="0.2">
      <c r="A76" s="44">
        <v>43771</v>
      </c>
      <c r="B76" s="60">
        <v>0.61597222222222225</v>
      </c>
      <c r="C76" s="60" t="s">
        <v>207</v>
      </c>
      <c r="D76" s="60" t="s">
        <v>96</v>
      </c>
      <c r="E76" s="13">
        <v>2</v>
      </c>
      <c r="F76" s="38" t="str">
        <f>VLOOKUP(E76,[1]Key!$A$17:$B$21,2,FALSE)</f>
        <v>Road Vehicle</v>
      </c>
      <c r="G76" s="61">
        <v>5</v>
      </c>
      <c r="H76" s="39" t="str">
        <f>VLOOKUP(G76,[1]Key!$A$2:$B$13,2,FALSE)</f>
        <v xml:space="preserve">Medium bus </v>
      </c>
      <c r="I76" s="13" t="s">
        <v>108</v>
      </c>
      <c r="J76" s="13">
        <v>1</v>
      </c>
      <c r="K76" s="40" t="str">
        <f>VLOOKUP(J76,[1]Key!$A$24:$B$29,2,FALSE)</f>
        <v>20-29</v>
      </c>
      <c r="L76" s="13" t="s">
        <v>208</v>
      </c>
      <c r="M76" s="23" t="s">
        <v>150</v>
      </c>
      <c r="N76" s="13" t="s">
        <v>151</v>
      </c>
      <c r="O76" s="45">
        <v>4</v>
      </c>
      <c r="P76" s="30" t="str">
        <f>VLOOKUP(O76,[1]Key!$E$2:$F$9,2,FALSE)</f>
        <v>Commercial</v>
      </c>
      <c r="Q76" s="13" t="s">
        <v>159</v>
      </c>
      <c r="R76" s="23" t="s">
        <v>159</v>
      </c>
      <c r="S76" s="13" t="s">
        <v>151</v>
      </c>
      <c r="T76" s="23">
        <v>4</v>
      </c>
      <c r="U76" s="30" t="str">
        <f>VLOOKUP(T76,[1]Key!$E$2:$F$9,2,FALSE)</f>
        <v>Commercial</v>
      </c>
      <c r="V76" s="30" t="str">
        <f t="shared" si="5"/>
        <v>Commercial-Commercial</v>
      </c>
      <c r="W76" s="23">
        <v>70000</v>
      </c>
      <c r="X76" s="62">
        <v>220</v>
      </c>
      <c r="Y76" s="62" t="str">
        <f t="shared" si="6"/>
        <v>Over 200</v>
      </c>
      <c r="Z76" s="62">
        <v>4</v>
      </c>
      <c r="AA76" s="62" t="str">
        <f t="shared" si="7"/>
        <v>Over 3.5</v>
      </c>
      <c r="AB76" s="23">
        <v>5</v>
      </c>
      <c r="AC76" s="30" t="str">
        <f>VLOOKUP(AB76,[1]Key!$C$20:$D$29,2,FALSE)</f>
        <v>Professional</v>
      </c>
      <c r="AD76" s="23">
        <v>3</v>
      </c>
      <c r="AE76" s="30" t="str">
        <f>VLOOKUP(AD76,[1]Key!$E$20:$F$24,2,FALSE)</f>
        <v>500,000-750,000</v>
      </c>
      <c r="AF76" s="23">
        <v>5</v>
      </c>
      <c r="AG76" s="62">
        <v>4</v>
      </c>
      <c r="AH76" s="62">
        <v>1</v>
      </c>
      <c r="AI76" s="62">
        <v>1</v>
      </c>
      <c r="AJ76" s="62">
        <v>5</v>
      </c>
      <c r="AK76" s="45" t="s">
        <v>94</v>
      </c>
      <c r="AL76" s="36">
        <v>2000</v>
      </c>
      <c r="AM76" t="str">
        <f t="shared" si="8"/>
        <v>2000-3000</v>
      </c>
      <c r="AN76"/>
      <c r="AO76"/>
      <c r="AP76"/>
      <c r="AQ76"/>
      <c r="AR76"/>
      <c r="AS76"/>
      <c r="AT76"/>
    </row>
    <row r="77" spans="1:46" x14ac:dyDescent="0.2">
      <c r="A77" s="44">
        <v>43771</v>
      </c>
      <c r="B77" s="60">
        <v>0.76041666666666663</v>
      </c>
      <c r="C77" s="60"/>
      <c r="D77" s="60" t="s">
        <v>165</v>
      </c>
      <c r="E77" s="13">
        <v>2</v>
      </c>
      <c r="F77" s="38" t="str">
        <f>VLOOKUP(E77,[1]Key!$A$17:$B$21,2,FALSE)</f>
        <v>Road Vehicle</v>
      </c>
      <c r="G77" s="61">
        <v>4</v>
      </c>
      <c r="H77" s="39" t="str">
        <f>VLOOKUP(G77,[1]Key!$A$2:$B$13,2,FALSE)</f>
        <v>Minibus</v>
      </c>
      <c r="I77" s="13" t="s">
        <v>178</v>
      </c>
      <c r="J77" s="13">
        <v>1</v>
      </c>
      <c r="K77" s="40" t="str">
        <f>VLOOKUP(J77,[1]Key!$A$24:$B$29,2,FALSE)</f>
        <v>20-29</v>
      </c>
      <c r="L77" s="13" t="s">
        <v>208</v>
      </c>
      <c r="M77" s="23" t="s">
        <v>150</v>
      </c>
      <c r="N77" s="13" t="s">
        <v>151</v>
      </c>
      <c r="O77" s="45">
        <v>1</v>
      </c>
      <c r="P77" s="30" t="str">
        <f>VLOOKUP(O77,[1]Key!$E$2:$F$9,2,FALSE)</f>
        <v>Home</v>
      </c>
      <c r="Q77" s="13" t="s">
        <v>159</v>
      </c>
      <c r="R77" s="23" t="s">
        <v>159</v>
      </c>
      <c r="S77" s="13" t="s">
        <v>151</v>
      </c>
      <c r="T77" s="23">
        <v>1</v>
      </c>
      <c r="U77" s="30" t="str">
        <f>VLOOKUP(T77,[1]Key!$E$2:$F$9,2,FALSE)</f>
        <v>Home</v>
      </c>
      <c r="V77" s="30" t="str">
        <f t="shared" si="5"/>
        <v>Home-Home</v>
      </c>
      <c r="W77" s="23">
        <v>10000</v>
      </c>
      <c r="X77" s="62">
        <v>137</v>
      </c>
      <c r="Y77" s="62" t="str">
        <f t="shared" si="6"/>
        <v>100-200</v>
      </c>
      <c r="Z77" s="62">
        <v>1</v>
      </c>
      <c r="AA77" s="62" t="str">
        <f t="shared" si="7"/>
        <v>1.0-2.0</v>
      </c>
      <c r="AB77" s="23">
        <v>5</v>
      </c>
      <c r="AC77" s="30" t="str">
        <f>VLOOKUP(AB77,[1]Key!$C$20:$D$29,2,FALSE)</f>
        <v>Professional</v>
      </c>
      <c r="AD77" s="23">
        <v>1</v>
      </c>
      <c r="AE77" s="30" t="str">
        <f>VLOOKUP(AD77,[1]Key!$E$20:$F$24,2,FALSE)</f>
        <v>&lt;300,000</v>
      </c>
      <c r="AF77" s="23">
        <v>5</v>
      </c>
      <c r="AG77" s="62">
        <v>4</v>
      </c>
      <c r="AH77" s="62">
        <v>5</v>
      </c>
      <c r="AI77" s="62">
        <v>5</v>
      </c>
      <c r="AJ77" s="62">
        <v>3</v>
      </c>
      <c r="AK77" s="45" t="s">
        <v>94</v>
      </c>
      <c r="AL77" s="36"/>
      <c r="AM77" t="str">
        <f t="shared" si="8"/>
        <v>0-1000</v>
      </c>
    </row>
    <row r="78" spans="1:46" x14ac:dyDescent="0.2">
      <c r="A78" s="44">
        <v>43771</v>
      </c>
      <c r="B78" s="60">
        <v>0.7729166666666667</v>
      </c>
      <c r="C78" s="60"/>
      <c r="D78" s="60" t="s">
        <v>165</v>
      </c>
      <c r="E78" s="13">
        <v>2</v>
      </c>
      <c r="F78" s="38" t="str">
        <f>VLOOKUP(E78,[1]Key!$A$17:$B$21,2,FALSE)</f>
        <v>Road Vehicle</v>
      </c>
      <c r="G78" s="61">
        <v>4</v>
      </c>
      <c r="H78" s="39" t="str">
        <f>VLOOKUP(G78,[1]Key!$A$2:$B$13,2,FALSE)</f>
        <v>Minibus</v>
      </c>
      <c r="I78" s="13" t="s">
        <v>178</v>
      </c>
      <c r="J78" s="13">
        <v>1</v>
      </c>
      <c r="K78" s="40" t="s">
        <v>111</v>
      </c>
      <c r="L78" s="13" t="s">
        <v>208</v>
      </c>
      <c r="M78" s="23" t="s">
        <v>150</v>
      </c>
      <c r="N78" s="13" t="s">
        <v>151</v>
      </c>
      <c r="O78" s="45">
        <v>1</v>
      </c>
      <c r="P78" s="30" t="str">
        <f>VLOOKUP(O78,[1]Key!$E$2:$F$9,2,FALSE)</f>
        <v>Home</v>
      </c>
      <c r="Q78" s="13" t="s">
        <v>209</v>
      </c>
      <c r="R78" s="23" t="s">
        <v>210</v>
      </c>
      <c r="S78" s="13" t="s">
        <v>151</v>
      </c>
      <c r="T78" s="23">
        <v>1</v>
      </c>
      <c r="U78" s="30" t="str">
        <f>VLOOKUP(T78,[1]Key!$E$2:$F$9,2,FALSE)</f>
        <v>Home</v>
      </c>
      <c r="V78" s="30" t="str">
        <f t="shared" si="5"/>
        <v>Home-Home</v>
      </c>
      <c r="W78" s="23">
        <v>5000</v>
      </c>
      <c r="X78" s="62">
        <v>137</v>
      </c>
      <c r="Y78" s="62" t="str">
        <f t="shared" si="6"/>
        <v>100-200</v>
      </c>
      <c r="Z78" s="62">
        <v>1.5</v>
      </c>
      <c r="AA78" s="62" t="str">
        <f t="shared" si="7"/>
        <v>1.0-2.0</v>
      </c>
      <c r="AB78" s="23">
        <v>2</v>
      </c>
      <c r="AC78" s="30" t="str">
        <f>VLOOKUP(AB78,[1]Key!$C$20:$D$29,2,FALSE)</f>
        <v>Manual Labour</v>
      </c>
      <c r="AD78" s="23">
        <v>2</v>
      </c>
      <c r="AE78" s="30" t="str">
        <f>VLOOKUP(AD78,[1]Key!$E$20:$F$24,2,FALSE)</f>
        <v>300,000-500,000</v>
      </c>
      <c r="AF78" s="23">
        <v>5</v>
      </c>
      <c r="AG78" s="62">
        <v>5</v>
      </c>
      <c r="AH78" s="62">
        <v>2</v>
      </c>
      <c r="AI78" s="62">
        <v>2</v>
      </c>
      <c r="AJ78" s="62">
        <v>3</v>
      </c>
      <c r="AK78" s="45" t="s">
        <v>94</v>
      </c>
      <c r="AL78" s="36">
        <v>1000</v>
      </c>
      <c r="AM78" t="str">
        <f t="shared" si="8"/>
        <v>1000-2000</v>
      </c>
    </row>
    <row r="79" spans="1:46" x14ac:dyDescent="0.2">
      <c r="A79" s="44">
        <v>43771</v>
      </c>
      <c r="B79" s="60">
        <v>0.38819444444444445</v>
      </c>
      <c r="C79" s="60"/>
      <c r="D79" s="60" t="s">
        <v>165</v>
      </c>
      <c r="E79" s="13">
        <v>2</v>
      </c>
      <c r="F79" s="38" t="str">
        <f>VLOOKUP(E79,[1]Key!$A$17:$B$21,2,FALSE)</f>
        <v>Road Vehicle</v>
      </c>
      <c r="G79" s="61">
        <v>4</v>
      </c>
      <c r="H79" s="39" t="str">
        <f>VLOOKUP(G79,[1]Key!$A$2:$B$13,2,FALSE)</f>
        <v>Minibus</v>
      </c>
      <c r="I79" s="13" t="s">
        <v>178</v>
      </c>
      <c r="J79" s="13">
        <v>1</v>
      </c>
      <c r="K79" s="40" t="str">
        <f>VLOOKUP(J79,[1]Key!$A$24:$B$29,2,FALSE)</f>
        <v>20-29</v>
      </c>
      <c r="L79" s="63" t="s">
        <v>208</v>
      </c>
      <c r="M79" s="23" t="s">
        <v>150</v>
      </c>
      <c r="N79" s="13" t="s">
        <v>151</v>
      </c>
      <c r="O79" s="45">
        <v>1</v>
      </c>
      <c r="P79" s="30" t="str">
        <f>VLOOKUP(O79,[1]Key!$E$2:$F$9,2,FALSE)</f>
        <v>Home</v>
      </c>
      <c r="Q79" s="13" t="s">
        <v>211</v>
      </c>
      <c r="R79" s="23" t="s">
        <v>150</v>
      </c>
      <c r="S79" s="13" t="s">
        <v>151</v>
      </c>
      <c r="T79" s="23">
        <v>3</v>
      </c>
      <c r="U79" s="30" t="str">
        <f>VLOOKUP(T79,[1]Key!$E$2:$F$9,2,FALSE)</f>
        <v>Study</v>
      </c>
      <c r="V79" s="30" t="str">
        <f t="shared" si="5"/>
        <v>Home-Study</v>
      </c>
      <c r="W79" s="41">
        <v>1000</v>
      </c>
      <c r="X79" s="62">
        <v>1</v>
      </c>
      <c r="Y79" s="62" t="str">
        <f t="shared" si="6"/>
        <v>0-10</v>
      </c>
      <c r="Z79" s="62">
        <v>0.5</v>
      </c>
      <c r="AA79" s="62" t="str">
        <f t="shared" si="7"/>
        <v>0.5-1.0</v>
      </c>
      <c r="AB79" s="23">
        <v>8</v>
      </c>
      <c r="AC79" s="30" t="str">
        <f>VLOOKUP(AB79,[1]Key!$C$20:$D$29,2,FALSE)</f>
        <v>Student</v>
      </c>
      <c r="AD79" s="23">
        <v>1</v>
      </c>
      <c r="AE79" s="30" t="str">
        <f>VLOOKUP(AD79,[1]Key!$E$20:$F$24,2,FALSE)</f>
        <v>&lt;300,000</v>
      </c>
      <c r="AF79" s="23">
        <v>5</v>
      </c>
      <c r="AG79" s="62">
        <v>1</v>
      </c>
      <c r="AH79" s="62">
        <v>2</v>
      </c>
      <c r="AI79" s="62">
        <v>4</v>
      </c>
      <c r="AJ79" s="62">
        <v>1</v>
      </c>
      <c r="AK79" s="45" t="s">
        <v>94</v>
      </c>
      <c r="AL79" s="36"/>
      <c r="AM79" t="str">
        <f t="shared" si="8"/>
        <v>0-1000</v>
      </c>
    </row>
    <row r="80" spans="1:46" x14ac:dyDescent="0.2">
      <c r="A80" s="44">
        <v>43771</v>
      </c>
      <c r="B80" s="60">
        <v>0.7270833333333333</v>
      </c>
      <c r="C80" s="60"/>
      <c r="D80" s="60" t="s">
        <v>165</v>
      </c>
      <c r="E80" s="13">
        <v>2</v>
      </c>
      <c r="F80" s="38" t="str">
        <f>VLOOKUP(E80,[1]Key!$A$17:$B$21,2,FALSE)</f>
        <v>Road Vehicle</v>
      </c>
      <c r="G80" s="61">
        <v>4</v>
      </c>
      <c r="H80" s="39" t="str">
        <f>VLOOKUP(G80,[1]Key!$A$2:$B$13,2,FALSE)</f>
        <v>Minibus</v>
      </c>
      <c r="I80" s="13" t="s">
        <v>178</v>
      </c>
      <c r="J80" s="13">
        <v>1</v>
      </c>
      <c r="K80" s="40" t="str">
        <f>VLOOKUP(J80,[1]Key!$A$24:$B$29,2,FALSE)</f>
        <v>20-29</v>
      </c>
      <c r="L80" s="13" t="s">
        <v>212</v>
      </c>
      <c r="M80" s="23" t="s">
        <v>150</v>
      </c>
      <c r="N80" s="13" t="s">
        <v>151</v>
      </c>
      <c r="O80" s="45">
        <v>6</v>
      </c>
      <c r="P80" s="30" t="str">
        <f>VLOOKUP(O80,[1]Key!$E$2:$F$9,2,FALSE)</f>
        <v>Leisure/Social</v>
      </c>
      <c r="Q80" s="13" t="s">
        <v>213</v>
      </c>
      <c r="R80" s="23" t="s">
        <v>156</v>
      </c>
      <c r="S80" s="13" t="s">
        <v>151</v>
      </c>
      <c r="T80" s="23">
        <v>6</v>
      </c>
      <c r="U80" s="30" t="str">
        <f>VLOOKUP(T80,[1]Key!$E$2:$F$9,2,FALSE)</f>
        <v>Leisure/Social</v>
      </c>
      <c r="V80" s="30" t="str">
        <f t="shared" si="5"/>
        <v>Leisure/Social-Leisure/Social</v>
      </c>
      <c r="W80" s="23">
        <v>2000</v>
      </c>
      <c r="X80" s="62">
        <v>1</v>
      </c>
      <c r="Y80" s="62" t="str">
        <f t="shared" si="6"/>
        <v>0-10</v>
      </c>
      <c r="Z80" s="62">
        <v>0.5</v>
      </c>
      <c r="AA80" s="62" t="str">
        <f t="shared" si="7"/>
        <v>0.5-1.0</v>
      </c>
      <c r="AB80" s="23">
        <v>1</v>
      </c>
      <c r="AC80" s="30" t="str">
        <f>VLOOKUP(AB80,[1]Key!$C$20:$D$29,2,FALSE)</f>
        <v>Unemployed</v>
      </c>
      <c r="AD80" s="23">
        <v>1</v>
      </c>
      <c r="AE80" s="30" t="str">
        <f>VLOOKUP(AD80,[1]Key!$E$20:$F$24,2,FALSE)</f>
        <v>&lt;300,000</v>
      </c>
      <c r="AF80" s="23">
        <v>1</v>
      </c>
      <c r="AG80" s="62">
        <v>2</v>
      </c>
      <c r="AH80" s="62">
        <v>1</v>
      </c>
      <c r="AI80" s="62">
        <v>1</v>
      </c>
      <c r="AJ80" s="62">
        <v>2</v>
      </c>
      <c r="AK80" s="45" t="s">
        <v>94</v>
      </c>
      <c r="AL80" s="36"/>
      <c r="AM80" t="str">
        <f t="shared" si="8"/>
        <v>0-1000</v>
      </c>
    </row>
    <row r="81" spans="1:39" x14ac:dyDescent="0.2">
      <c r="A81" s="44">
        <v>43771</v>
      </c>
      <c r="B81" s="60">
        <v>0.47361111111111115</v>
      </c>
      <c r="C81" s="60"/>
      <c r="D81" s="60" t="s">
        <v>165</v>
      </c>
      <c r="E81" s="13">
        <v>2</v>
      </c>
      <c r="F81" s="38" t="str">
        <f>VLOOKUP(E81,[1]Key!$A$17:$B$21,2,FALSE)</f>
        <v>Road Vehicle</v>
      </c>
      <c r="G81" s="61">
        <v>4</v>
      </c>
      <c r="H81" s="39" t="str">
        <f>VLOOKUP(G81,[1]Key!$A$2:$B$13,2,FALSE)</f>
        <v>Minibus</v>
      </c>
      <c r="I81" s="13" t="s">
        <v>178</v>
      </c>
      <c r="J81" s="13">
        <v>1</v>
      </c>
      <c r="K81" s="40" t="str">
        <f>VLOOKUP(J81,[1]Key!$A$24:$B$29,2,FALSE)</f>
        <v>20-29</v>
      </c>
      <c r="L81" s="63" t="s">
        <v>208</v>
      </c>
      <c r="M81" s="23" t="s">
        <v>150</v>
      </c>
      <c r="N81" s="13" t="s">
        <v>151</v>
      </c>
      <c r="O81" s="45">
        <v>3</v>
      </c>
      <c r="P81" s="30" t="str">
        <f>VLOOKUP(O81,[1]Key!$E$2:$F$9,2,FALSE)</f>
        <v>Study</v>
      </c>
      <c r="Q81" s="13" t="s">
        <v>214</v>
      </c>
      <c r="R81" s="23" t="s">
        <v>150</v>
      </c>
      <c r="S81" s="13" t="s">
        <v>151</v>
      </c>
      <c r="T81" s="23">
        <v>1</v>
      </c>
      <c r="U81" s="30" t="str">
        <f>VLOOKUP(T81,[1]Key!$E$2:$F$9,2,FALSE)</f>
        <v>Home</v>
      </c>
      <c r="V81" s="30" t="str">
        <f t="shared" si="5"/>
        <v>Study-Home</v>
      </c>
      <c r="W81" s="41">
        <v>2500</v>
      </c>
      <c r="X81" s="62">
        <v>23</v>
      </c>
      <c r="Y81" s="62" t="str">
        <f t="shared" si="6"/>
        <v>20-40</v>
      </c>
      <c r="Z81" s="62">
        <v>0.5</v>
      </c>
      <c r="AA81" s="62" t="str">
        <f t="shared" si="7"/>
        <v>0.5-1.0</v>
      </c>
      <c r="AB81" s="23">
        <v>8</v>
      </c>
      <c r="AC81" s="30" t="str">
        <f>VLOOKUP(AB81,[1]Key!$C$20:$D$29,2,FALSE)</f>
        <v>Student</v>
      </c>
      <c r="AD81" s="23"/>
      <c r="AE81" s="30" t="e">
        <f>VLOOKUP(AD81,[1]Key!$E$20:$F$24,2,FALSE)</f>
        <v>#N/A</v>
      </c>
      <c r="AF81" s="23">
        <v>5</v>
      </c>
      <c r="AG81" s="62">
        <v>4</v>
      </c>
      <c r="AH81" s="62">
        <v>5</v>
      </c>
      <c r="AI81" s="62">
        <v>4</v>
      </c>
      <c r="AJ81" s="62">
        <v>5</v>
      </c>
      <c r="AK81" s="45" t="s">
        <v>215</v>
      </c>
      <c r="AL81" s="36"/>
      <c r="AM81" t="str">
        <f t="shared" si="8"/>
        <v>0-1000</v>
      </c>
    </row>
    <row r="82" spans="1:39" x14ac:dyDescent="0.2">
      <c r="A82" s="44">
        <v>43771</v>
      </c>
      <c r="B82" s="60">
        <v>0.68819444444444444</v>
      </c>
      <c r="C82" s="60"/>
      <c r="D82" s="60" t="s">
        <v>165</v>
      </c>
      <c r="E82" s="13">
        <v>2</v>
      </c>
      <c r="F82" s="38" t="s">
        <v>101</v>
      </c>
      <c r="G82" s="61">
        <v>4</v>
      </c>
      <c r="H82" s="39" t="str">
        <f>VLOOKUP(G82,[1]Key!$A$2:$B$13,2,FALSE)</f>
        <v>Minibus</v>
      </c>
      <c r="I82" s="13" t="s">
        <v>178</v>
      </c>
      <c r="J82" s="13">
        <v>1</v>
      </c>
      <c r="K82" s="40" t="str">
        <f>VLOOKUP(J82,[1]Key!$A$24:$B$29,2,FALSE)</f>
        <v>20-29</v>
      </c>
      <c r="L82" s="13" t="s">
        <v>211</v>
      </c>
      <c r="M82" s="23" t="s">
        <v>156</v>
      </c>
      <c r="N82" s="13" t="s">
        <v>151</v>
      </c>
      <c r="O82" s="45">
        <v>3</v>
      </c>
      <c r="P82" s="30" t="str">
        <f>VLOOKUP(O82,[1]Key!$E$2:$F$9,2,FALSE)</f>
        <v>Study</v>
      </c>
      <c r="Q82" s="13" t="s">
        <v>216</v>
      </c>
      <c r="R82" s="23" t="s">
        <v>156</v>
      </c>
      <c r="S82" s="13" t="s">
        <v>151</v>
      </c>
      <c r="T82" s="23">
        <v>1</v>
      </c>
      <c r="U82" s="30" t="str">
        <f>VLOOKUP(T82,[1]Key!$E$2:$F$9,2,FALSE)</f>
        <v>Home</v>
      </c>
      <c r="V82" s="30" t="str">
        <f t="shared" si="5"/>
        <v>Study-Home</v>
      </c>
      <c r="W82" s="23">
        <v>2500</v>
      </c>
      <c r="X82" s="62">
        <v>10</v>
      </c>
      <c r="Y82" s="62" t="str">
        <f t="shared" si="6"/>
        <v>10-20</v>
      </c>
      <c r="Z82" s="62">
        <v>0.5</v>
      </c>
      <c r="AA82" s="62" t="str">
        <f t="shared" si="7"/>
        <v>0.5-1.0</v>
      </c>
      <c r="AB82" s="23">
        <v>8</v>
      </c>
      <c r="AC82" s="30" t="str">
        <f>VLOOKUP(AB82,[1]Key!$C$20:$D$29,2,FALSE)</f>
        <v>Student</v>
      </c>
      <c r="AD82" s="23">
        <v>1</v>
      </c>
      <c r="AE82" s="30" t="str">
        <f>VLOOKUP(AD82,[1]Key!$E$20:$F$24,2,FALSE)</f>
        <v>&lt;300,000</v>
      </c>
      <c r="AF82" s="23">
        <v>5</v>
      </c>
      <c r="AG82" s="62">
        <v>1</v>
      </c>
      <c r="AH82" s="62">
        <v>1</v>
      </c>
      <c r="AI82" s="62">
        <v>2</v>
      </c>
      <c r="AJ82" s="62">
        <v>5</v>
      </c>
      <c r="AK82" s="45" t="s">
        <v>94</v>
      </c>
      <c r="AL82" s="36"/>
      <c r="AM82" t="str">
        <f t="shared" si="8"/>
        <v>0-1000</v>
      </c>
    </row>
    <row r="83" spans="1:39" x14ac:dyDescent="0.2">
      <c r="A83" s="44">
        <v>43771</v>
      </c>
      <c r="B83" s="60">
        <v>0.70624999999999993</v>
      </c>
      <c r="C83" s="60"/>
      <c r="D83" s="60" t="s">
        <v>165</v>
      </c>
      <c r="E83" s="13">
        <v>2</v>
      </c>
      <c r="F83" s="38" t="str">
        <f>VLOOKUP(E83,[1]Key!$A$17:$B$21,2,FALSE)</f>
        <v>Road Vehicle</v>
      </c>
      <c r="G83" s="61">
        <v>4</v>
      </c>
      <c r="H83" s="39" t="str">
        <f>VLOOKUP(G83,[1]Key!$A$2:$B$13,2,FALSE)</f>
        <v>Minibus</v>
      </c>
      <c r="I83" s="13" t="s">
        <v>178</v>
      </c>
      <c r="J83" s="13">
        <v>1</v>
      </c>
      <c r="K83" s="40" t="str">
        <f>VLOOKUP(J83,[1]Key!$A$24:$B$29,2,FALSE)</f>
        <v>20-29</v>
      </c>
      <c r="L83" s="13" t="s">
        <v>211</v>
      </c>
      <c r="M83" s="23" t="s">
        <v>156</v>
      </c>
      <c r="N83" s="13" t="s">
        <v>151</v>
      </c>
      <c r="O83" s="45">
        <v>3</v>
      </c>
      <c r="P83" s="30" t="str">
        <f>VLOOKUP(O83,[1]Key!$E$2:$F$9,2,FALSE)</f>
        <v>Study</v>
      </c>
      <c r="Q83" s="13" t="s">
        <v>216</v>
      </c>
      <c r="R83" s="23" t="s">
        <v>156</v>
      </c>
      <c r="S83" s="13" t="s">
        <v>151</v>
      </c>
      <c r="T83" s="23">
        <v>1</v>
      </c>
      <c r="U83" s="30" t="str">
        <f>VLOOKUP(T83,[1]Key!$E$2:$F$9,2,FALSE)</f>
        <v>Home</v>
      </c>
      <c r="V83" s="30" t="str">
        <f t="shared" si="5"/>
        <v>Study-Home</v>
      </c>
      <c r="W83" s="23">
        <v>2500</v>
      </c>
      <c r="X83" s="62">
        <v>20</v>
      </c>
      <c r="Y83" s="62" t="str">
        <f t="shared" si="6"/>
        <v>20-40</v>
      </c>
      <c r="Z83" s="62">
        <v>0.5</v>
      </c>
      <c r="AA83" s="62" t="str">
        <f t="shared" si="7"/>
        <v>0.5-1.0</v>
      </c>
      <c r="AB83" s="23">
        <v>8</v>
      </c>
      <c r="AC83" s="30" t="str">
        <f>VLOOKUP(AB83,[1]Key!$C$20:$D$29,2,FALSE)</f>
        <v>Student</v>
      </c>
      <c r="AD83" s="23">
        <v>1</v>
      </c>
      <c r="AE83" s="30" t="str">
        <f>VLOOKUP(AD83,[1]Key!$E$20:$F$24,2,FALSE)</f>
        <v>&lt;300,000</v>
      </c>
      <c r="AF83" s="23">
        <v>1</v>
      </c>
      <c r="AG83" s="62">
        <v>1</v>
      </c>
      <c r="AH83" s="62">
        <v>2</v>
      </c>
      <c r="AI83" s="62">
        <v>1</v>
      </c>
      <c r="AJ83" s="62">
        <v>5</v>
      </c>
      <c r="AK83" s="45" t="s">
        <v>94</v>
      </c>
      <c r="AL83" s="36"/>
      <c r="AM83" t="str">
        <f t="shared" si="8"/>
        <v>0-1000</v>
      </c>
    </row>
    <row r="84" spans="1:39" x14ac:dyDescent="0.2">
      <c r="A84" s="44">
        <v>43771</v>
      </c>
      <c r="B84" s="60">
        <v>0.31041666666666667</v>
      </c>
      <c r="C84" s="60"/>
      <c r="D84" s="60" t="s">
        <v>165</v>
      </c>
      <c r="E84" s="13">
        <v>2</v>
      </c>
      <c r="F84" s="38" t="str">
        <f>VLOOKUP(E84,[1]Key!$A$17:$B$21,2,FALSE)</f>
        <v>Road Vehicle</v>
      </c>
      <c r="G84" s="61">
        <v>4</v>
      </c>
      <c r="H84" s="39" t="str">
        <f>VLOOKUP(G84,[1]Key!$A$2:$B$13,2,FALSE)</f>
        <v>Minibus</v>
      </c>
      <c r="I84" s="13" t="s">
        <v>178</v>
      </c>
      <c r="J84" s="13">
        <v>2</v>
      </c>
      <c r="K84" s="40" t="str">
        <f>VLOOKUP(J84,[1]Key!$A$24:$B$29,2,FALSE)</f>
        <v>30-39</v>
      </c>
      <c r="L84" s="63" t="s">
        <v>208</v>
      </c>
      <c r="M84" s="23" t="s">
        <v>150</v>
      </c>
      <c r="N84" s="13" t="s">
        <v>151</v>
      </c>
      <c r="O84" s="45">
        <v>4</v>
      </c>
      <c r="P84" s="30" t="str">
        <f>VLOOKUP(O84,[1]Key!$E$2:$F$9,2,FALSE)</f>
        <v>Commercial</v>
      </c>
      <c r="Q84" s="13" t="s">
        <v>217</v>
      </c>
      <c r="R84" s="23" t="s">
        <v>150</v>
      </c>
      <c r="S84" s="13" t="s">
        <v>151</v>
      </c>
      <c r="T84" s="23">
        <v>1</v>
      </c>
      <c r="U84" s="30" t="str">
        <f>VLOOKUP(T84,[1]Key!$E$2:$F$9,2,FALSE)</f>
        <v>Home</v>
      </c>
      <c r="V84" s="30" t="str">
        <f t="shared" si="5"/>
        <v>Commercial-Home</v>
      </c>
      <c r="W84" s="41">
        <v>3000</v>
      </c>
      <c r="X84" s="62">
        <v>20</v>
      </c>
      <c r="Y84" s="62" t="str">
        <f t="shared" si="6"/>
        <v>20-40</v>
      </c>
      <c r="Z84" s="62">
        <v>0.5</v>
      </c>
      <c r="AA84" s="62" t="str">
        <f t="shared" si="7"/>
        <v>0.5-1.0</v>
      </c>
      <c r="AB84" s="23">
        <v>2</v>
      </c>
      <c r="AC84" s="30" t="str">
        <f>VLOOKUP(AB84,[1]Key!$C$20:$D$29,2,FALSE)</f>
        <v>Manual Labour</v>
      </c>
      <c r="AD84" s="23">
        <v>2</v>
      </c>
      <c r="AE84" s="30" t="str">
        <f>VLOOKUP(AD84,[1]Key!$E$20:$F$24,2,FALSE)</f>
        <v>300,000-500,000</v>
      </c>
      <c r="AF84" s="23">
        <v>4</v>
      </c>
      <c r="AG84" s="62">
        <v>2</v>
      </c>
      <c r="AH84" s="62">
        <v>2</v>
      </c>
      <c r="AI84" s="62">
        <v>4</v>
      </c>
      <c r="AJ84" s="62">
        <v>5</v>
      </c>
      <c r="AK84" s="45" t="s">
        <v>94</v>
      </c>
      <c r="AL84" s="36">
        <v>1000</v>
      </c>
      <c r="AM84" t="str">
        <f t="shared" si="8"/>
        <v>1000-2000</v>
      </c>
    </row>
    <row r="85" spans="1:39" x14ac:dyDescent="0.2">
      <c r="A85" s="44">
        <v>43771</v>
      </c>
      <c r="B85" s="60">
        <v>0.4909722222222222</v>
      </c>
      <c r="C85" s="60"/>
      <c r="D85" s="60" t="s">
        <v>165</v>
      </c>
      <c r="E85" s="13">
        <v>2</v>
      </c>
      <c r="F85" s="38" t="str">
        <f>VLOOKUP(E85,[1]Key!$A$17:$B$21,2,FALSE)</f>
        <v>Road Vehicle</v>
      </c>
      <c r="G85" s="61">
        <v>4</v>
      </c>
      <c r="H85" s="39" t="str">
        <f>VLOOKUP(G85,[1]Key!$A$2:$B$13,2,FALSE)</f>
        <v>Minibus</v>
      </c>
      <c r="I85" s="13" t="s">
        <v>178</v>
      </c>
      <c r="J85" s="13">
        <v>2</v>
      </c>
      <c r="K85" s="40" t="str">
        <f>VLOOKUP(J85,[1]Key!$A$24:$B$29,2,FALSE)</f>
        <v>30-39</v>
      </c>
      <c r="L85" s="63" t="s">
        <v>218</v>
      </c>
      <c r="M85" s="23" t="s">
        <v>150</v>
      </c>
      <c r="N85" s="13" t="s">
        <v>151</v>
      </c>
      <c r="O85" s="45">
        <v>4</v>
      </c>
      <c r="P85" s="30" t="str">
        <f>VLOOKUP(O85,[1]Key!$E$2:$F$9,2,FALSE)</f>
        <v>Commercial</v>
      </c>
      <c r="Q85" s="13" t="s">
        <v>219</v>
      </c>
      <c r="R85" s="23" t="s">
        <v>150</v>
      </c>
      <c r="S85" s="13" t="s">
        <v>151</v>
      </c>
      <c r="T85" s="23">
        <v>1</v>
      </c>
      <c r="U85" s="30" t="str">
        <f>VLOOKUP(T85,[1]Key!$E$2:$F$9,2,FALSE)</f>
        <v>Home</v>
      </c>
      <c r="V85" s="30" t="str">
        <f t="shared" si="5"/>
        <v>Commercial-Home</v>
      </c>
      <c r="W85" s="41">
        <v>2500</v>
      </c>
      <c r="X85" s="62">
        <v>23</v>
      </c>
      <c r="Y85" s="62" t="str">
        <f t="shared" si="6"/>
        <v>20-40</v>
      </c>
      <c r="Z85" s="62">
        <v>0.5</v>
      </c>
      <c r="AA85" s="62" t="str">
        <f t="shared" si="7"/>
        <v>0.5-1.0</v>
      </c>
      <c r="AB85" s="23">
        <v>6</v>
      </c>
      <c r="AC85" s="30" t="str">
        <f>VLOOKUP(AB85,[1]Key!$C$20:$D$29,2,FALSE)</f>
        <v>Businessman</v>
      </c>
      <c r="AD85" s="23">
        <v>2</v>
      </c>
      <c r="AE85" s="30" t="str">
        <f>VLOOKUP(AD85,[1]Key!$E$20:$F$24,2,FALSE)</f>
        <v>300,000-500,000</v>
      </c>
      <c r="AF85" s="23">
        <v>5</v>
      </c>
      <c r="AG85" s="62">
        <v>4</v>
      </c>
      <c r="AH85" s="62">
        <v>1</v>
      </c>
      <c r="AI85" s="62">
        <v>2</v>
      </c>
      <c r="AJ85" s="62">
        <v>1</v>
      </c>
      <c r="AK85" s="45" t="s">
        <v>94</v>
      </c>
      <c r="AL85" s="36">
        <v>500</v>
      </c>
      <c r="AM85" t="str">
        <f t="shared" si="8"/>
        <v>0-1000</v>
      </c>
    </row>
    <row r="86" spans="1:39" x14ac:dyDescent="0.2">
      <c r="A86" s="44">
        <v>43771</v>
      </c>
      <c r="B86" s="60">
        <v>0.53194444444444444</v>
      </c>
      <c r="C86" s="60"/>
      <c r="D86" s="60" t="s">
        <v>165</v>
      </c>
      <c r="E86" s="13">
        <v>2</v>
      </c>
      <c r="F86" s="38" t="str">
        <f>VLOOKUP(E86,[1]Key!$A$17:$B$21,2,FALSE)</f>
        <v>Road Vehicle</v>
      </c>
      <c r="G86" s="61">
        <v>4</v>
      </c>
      <c r="H86" s="39" t="str">
        <f>VLOOKUP(G86,[1]Key!$A$2:$B$13,2,FALSE)</f>
        <v>Minibus</v>
      </c>
      <c r="I86" s="13" t="s">
        <v>178</v>
      </c>
      <c r="J86" s="13">
        <v>2</v>
      </c>
      <c r="K86" s="40" t="str">
        <f>VLOOKUP(J86,[1]Key!$A$24:$B$29,2,FALSE)</f>
        <v>30-39</v>
      </c>
      <c r="L86" s="13" t="s">
        <v>208</v>
      </c>
      <c r="M86" s="23" t="s">
        <v>150</v>
      </c>
      <c r="N86" s="13" t="s">
        <v>151</v>
      </c>
      <c r="O86" s="45">
        <v>4</v>
      </c>
      <c r="P86" s="30" t="str">
        <f>VLOOKUP(O86,[1]Key!$E$2:$F$9,2,FALSE)</f>
        <v>Commercial</v>
      </c>
      <c r="Q86" s="13" t="s">
        <v>220</v>
      </c>
      <c r="R86" s="23" t="s">
        <v>150</v>
      </c>
      <c r="S86" s="13" t="s">
        <v>151</v>
      </c>
      <c r="T86" s="23">
        <v>1</v>
      </c>
      <c r="U86" s="30" t="str">
        <f>VLOOKUP(T86,[1]Key!$E$2:$F$9,2,FALSE)</f>
        <v>Home</v>
      </c>
      <c r="V86" s="30" t="str">
        <f t="shared" si="5"/>
        <v>Commercial-Home</v>
      </c>
      <c r="W86" s="41">
        <v>1500</v>
      </c>
      <c r="X86" s="62">
        <v>10</v>
      </c>
      <c r="Y86" s="62" t="str">
        <f t="shared" si="6"/>
        <v>10-20</v>
      </c>
      <c r="Z86" s="62">
        <v>0.3</v>
      </c>
      <c r="AA86" s="62" t="str">
        <f t="shared" si="7"/>
        <v>0-0.5</v>
      </c>
      <c r="AB86" s="23">
        <v>6</v>
      </c>
      <c r="AC86" s="30" t="str">
        <f>VLOOKUP(AB86,[1]Key!$C$20:$D$29,2,FALSE)</f>
        <v>Businessman</v>
      </c>
      <c r="AD86" s="23">
        <v>3</v>
      </c>
      <c r="AE86" s="30" t="str">
        <f>VLOOKUP(AD86,[1]Key!$E$20:$F$24,2,FALSE)</f>
        <v>500,000-750,000</v>
      </c>
      <c r="AF86" s="23">
        <v>5</v>
      </c>
      <c r="AG86" s="62">
        <v>5</v>
      </c>
      <c r="AH86" s="62">
        <v>1</v>
      </c>
      <c r="AI86" s="62">
        <v>3</v>
      </c>
      <c r="AJ86" s="62">
        <v>2</v>
      </c>
      <c r="AK86" s="45" t="s">
        <v>94</v>
      </c>
      <c r="AL86" s="36">
        <v>2000</v>
      </c>
      <c r="AM86" t="str">
        <f t="shared" si="8"/>
        <v>2000-3000</v>
      </c>
    </row>
    <row r="87" spans="1:39" x14ac:dyDescent="0.2">
      <c r="A87" s="44">
        <v>43771</v>
      </c>
      <c r="B87" s="60">
        <v>0.75694444444444453</v>
      </c>
      <c r="C87" s="60"/>
      <c r="D87" s="60" t="s">
        <v>165</v>
      </c>
      <c r="E87" s="13">
        <v>2</v>
      </c>
      <c r="F87" s="38" t="str">
        <f>VLOOKUP(E87,[1]Key!$A$17:$B$21,2,FALSE)</f>
        <v>Road Vehicle</v>
      </c>
      <c r="G87" s="61">
        <v>4</v>
      </c>
      <c r="H87" s="39" t="str">
        <f>VLOOKUP(G87,[1]Key!$A$2:$B$13,2,FALSE)</f>
        <v>Minibus</v>
      </c>
      <c r="I87" s="13" t="s">
        <v>178</v>
      </c>
      <c r="J87" s="13">
        <v>2</v>
      </c>
      <c r="K87" s="40" t="str">
        <f>VLOOKUP(J87,[1]Key!$A$24:$B$29,2,FALSE)</f>
        <v>30-39</v>
      </c>
      <c r="L87" s="13" t="s">
        <v>221</v>
      </c>
      <c r="M87" s="23" t="s">
        <v>150</v>
      </c>
      <c r="N87" s="13" t="s">
        <v>151</v>
      </c>
      <c r="O87" s="45">
        <v>4</v>
      </c>
      <c r="P87" s="30" t="str">
        <f>VLOOKUP(O87,[1]Key!$E$2:$F$9,2,FALSE)</f>
        <v>Commercial</v>
      </c>
      <c r="Q87" s="13" t="s">
        <v>222</v>
      </c>
      <c r="R87" s="23" t="s">
        <v>159</v>
      </c>
      <c r="S87" s="13" t="s">
        <v>151</v>
      </c>
      <c r="T87" s="23">
        <v>1</v>
      </c>
      <c r="U87" s="30" t="str">
        <f>VLOOKUP(T87,[1]Key!$E$2:$F$9,2,FALSE)</f>
        <v>Home</v>
      </c>
      <c r="V87" s="30" t="str">
        <f t="shared" si="5"/>
        <v>Commercial-Home</v>
      </c>
      <c r="W87" s="23">
        <v>10000</v>
      </c>
      <c r="X87" s="62">
        <v>37</v>
      </c>
      <c r="Y87" s="62" t="str">
        <f t="shared" si="6"/>
        <v>20-40</v>
      </c>
      <c r="Z87" s="62">
        <v>1</v>
      </c>
      <c r="AA87" s="62" t="str">
        <f t="shared" si="7"/>
        <v>1.0-2.0</v>
      </c>
      <c r="AB87" s="23">
        <v>6</v>
      </c>
      <c r="AC87" s="30" t="str">
        <f>VLOOKUP(AB87,[1]Key!$C$20:$D$29,2,FALSE)</f>
        <v>Businessman</v>
      </c>
      <c r="AD87" s="23">
        <v>3</v>
      </c>
      <c r="AE87" s="30" t="str">
        <f>VLOOKUP(AD87,[1]Key!$E$20:$F$24,2,FALSE)</f>
        <v>500,000-750,000</v>
      </c>
      <c r="AF87" s="23">
        <v>5</v>
      </c>
      <c r="AG87" s="62">
        <v>5</v>
      </c>
      <c r="AH87" s="62">
        <v>1</v>
      </c>
      <c r="AI87" s="62">
        <v>5</v>
      </c>
      <c r="AJ87" s="62">
        <v>5</v>
      </c>
      <c r="AK87" s="45" t="s">
        <v>94</v>
      </c>
      <c r="AL87" s="36">
        <v>5000</v>
      </c>
      <c r="AM87" t="str">
        <f t="shared" si="8"/>
        <v>5000-10000</v>
      </c>
    </row>
    <row r="88" spans="1:39" x14ac:dyDescent="0.2">
      <c r="A88" s="44">
        <v>43771</v>
      </c>
      <c r="B88" s="60">
        <v>0.35138888888888892</v>
      </c>
      <c r="C88" s="60"/>
      <c r="D88" s="60" t="s">
        <v>165</v>
      </c>
      <c r="E88" s="13">
        <v>2</v>
      </c>
      <c r="F88" s="38" t="str">
        <f>VLOOKUP(E88,[1]Key!$A$17:$B$21,2,FALSE)</f>
        <v>Road Vehicle</v>
      </c>
      <c r="G88" s="61">
        <v>4</v>
      </c>
      <c r="H88" s="39" t="str">
        <f>VLOOKUP(G88,[1]Key!$A$2:$B$13,2,FALSE)</f>
        <v>Minibus</v>
      </c>
      <c r="I88" s="13" t="s">
        <v>178</v>
      </c>
      <c r="J88" s="13">
        <v>2</v>
      </c>
      <c r="K88" s="40" t="str">
        <f>VLOOKUP(J88,[1]Key!$A$24:$B$29,2,FALSE)</f>
        <v>30-39</v>
      </c>
      <c r="L88" s="63" t="s">
        <v>208</v>
      </c>
      <c r="M88" s="23" t="s">
        <v>150</v>
      </c>
      <c r="N88" s="13" t="s">
        <v>151</v>
      </c>
      <c r="O88" s="45">
        <v>1</v>
      </c>
      <c r="P88" s="30" t="str">
        <f>VLOOKUP(O88,[1]Key!$E$2:$F$9,2,FALSE)</f>
        <v>Home</v>
      </c>
      <c r="Q88" s="13" t="s">
        <v>157</v>
      </c>
      <c r="R88" s="23" t="s">
        <v>157</v>
      </c>
      <c r="S88" s="13" t="s">
        <v>151</v>
      </c>
      <c r="T88" s="23">
        <v>1</v>
      </c>
      <c r="U88" s="30" t="str">
        <f>VLOOKUP(T88,[1]Key!$E$2:$F$9,2,FALSE)</f>
        <v>Home</v>
      </c>
      <c r="V88" s="30" t="str">
        <f t="shared" si="5"/>
        <v>Home-Home</v>
      </c>
      <c r="W88" s="41">
        <v>17000</v>
      </c>
      <c r="X88" s="62">
        <v>137</v>
      </c>
      <c r="Y88" s="62" t="str">
        <f t="shared" si="6"/>
        <v>100-200</v>
      </c>
      <c r="Z88" s="62">
        <v>1.5</v>
      </c>
      <c r="AA88" s="62" t="str">
        <f t="shared" si="7"/>
        <v>1.0-2.0</v>
      </c>
      <c r="AB88" s="23">
        <v>2</v>
      </c>
      <c r="AC88" s="30" t="str">
        <f>VLOOKUP(AB88,[1]Key!$C$20:$D$29,2,FALSE)</f>
        <v>Manual Labour</v>
      </c>
      <c r="AD88" s="23">
        <v>2</v>
      </c>
      <c r="AE88" s="30" t="str">
        <f>VLOOKUP(AD88,[1]Key!$E$20:$F$24,2,FALSE)</f>
        <v>300,000-500,000</v>
      </c>
      <c r="AF88" s="23">
        <v>3</v>
      </c>
      <c r="AG88" s="62">
        <v>5</v>
      </c>
      <c r="AH88" s="62">
        <v>2</v>
      </c>
      <c r="AI88" s="62">
        <v>1</v>
      </c>
      <c r="AJ88" s="62">
        <v>1</v>
      </c>
      <c r="AK88" s="45" t="s">
        <v>94</v>
      </c>
      <c r="AL88" s="36">
        <v>1000</v>
      </c>
      <c r="AM88" t="str">
        <f t="shared" si="8"/>
        <v>1000-2000</v>
      </c>
    </row>
    <row r="89" spans="1:39" x14ac:dyDescent="0.2">
      <c r="A89" s="44">
        <v>43771</v>
      </c>
      <c r="B89" s="60">
        <v>0.77569444444444446</v>
      </c>
      <c r="C89" s="60"/>
      <c r="D89" s="60" t="s">
        <v>223</v>
      </c>
      <c r="E89" s="13">
        <v>2</v>
      </c>
      <c r="F89" s="38" t="str">
        <f>VLOOKUP(E89,[1]Key!$A$17:$B$21,2,FALSE)</f>
        <v>Road Vehicle</v>
      </c>
      <c r="G89" s="61">
        <v>4</v>
      </c>
      <c r="H89" s="39" t="str">
        <f>VLOOKUP(G89,[1]Key!$A$2:$B$13,2,FALSE)</f>
        <v>Minibus</v>
      </c>
      <c r="I89" s="13" t="s">
        <v>178</v>
      </c>
      <c r="J89" s="13">
        <v>2</v>
      </c>
      <c r="K89" s="40" t="str">
        <f>VLOOKUP(J89,[1]Key!$A$24:$B$29,2,FALSE)</f>
        <v>30-39</v>
      </c>
      <c r="L89" s="13" t="s">
        <v>224</v>
      </c>
      <c r="M89" s="23" t="s">
        <v>156</v>
      </c>
      <c r="N89" s="13" t="s">
        <v>151</v>
      </c>
      <c r="O89" s="45">
        <v>1</v>
      </c>
      <c r="P89" s="30" t="str">
        <f>VLOOKUP(O89,[1]Key!$E$2:$F$9,2,FALSE)</f>
        <v>Home</v>
      </c>
      <c r="Q89" s="13" t="s">
        <v>225</v>
      </c>
      <c r="R89" s="23" t="s">
        <v>156</v>
      </c>
      <c r="S89" s="13" t="s">
        <v>151</v>
      </c>
      <c r="T89" s="23">
        <v>8</v>
      </c>
      <c r="U89" s="30" t="str">
        <f>VLOOKUP(T89,[1]Key!$E$2:$F$9,2,FALSE)</f>
        <v>Others</v>
      </c>
      <c r="V89" s="30" t="str">
        <f t="shared" si="5"/>
        <v>Home-Others</v>
      </c>
      <c r="W89" s="23">
        <v>40000</v>
      </c>
      <c r="X89" s="62">
        <v>15</v>
      </c>
      <c r="Y89" s="62" t="str">
        <f t="shared" si="6"/>
        <v>10-20</v>
      </c>
      <c r="Z89" s="62">
        <v>0.8</v>
      </c>
      <c r="AA89" s="62" t="str">
        <f t="shared" si="7"/>
        <v>0.5-1.0</v>
      </c>
      <c r="AB89" s="23">
        <v>6</v>
      </c>
      <c r="AC89" s="30" t="str">
        <f>VLOOKUP(AB89,[1]Key!$C$20:$D$29,2,FALSE)</f>
        <v>Businessman</v>
      </c>
      <c r="AD89" s="23">
        <v>1</v>
      </c>
      <c r="AE89" s="30" t="str">
        <f>VLOOKUP(AD89,[1]Key!$E$20:$F$24,2,FALSE)</f>
        <v>&lt;300,000</v>
      </c>
      <c r="AF89" s="23">
        <v>5</v>
      </c>
      <c r="AG89" s="62">
        <v>2</v>
      </c>
      <c r="AH89" s="62">
        <v>2</v>
      </c>
      <c r="AI89" s="62">
        <v>2</v>
      </c>
      <c r="AJ89" s="62">
        <v>1</v>
      </c>
      <c r="AK89" s="45" t="s">
        <v>94</v>
      </c>
      <c r="AL89" s="36"/>
      <c r="AM89" t="str">
        <f t="shared" si="8"/>
        <v>0-1000</v>
      </c>
    </row>
    <row r="90" spans="1:39" x14ac:dyDescent="0.2">
      <c r="A90" s="44">
        <v>43771</v>
      </c>
      <c r="B90" s="60">
        <v>0.76874999999999993</v>
      </c>
      <c r="C90" s="60"/>
      <c r="D90" s="60" t="s">
        <v>165</v>
      </c>
      <c r="E90" s="13">
        <v>2</v>
      </c>
      <c r="F90" s="38" t="str">
        <f>VLOOKUP(E90,[1]Key!$A$17:$B$21,2,FALSE)</f>
        <v>Road Vehicle</v>
      </c>
      <c r="G90" s="61">
        <v>4</v>
      </c>
      <c r="H90" s="39" t="str">
        <f>VLOOKUP(G90,[1]Key!$A$2:$B$13,2,FALSE)</f>
        <v>Minibus</v>
      </c>
      <c r="I90" s="13" t="s">
        <v>178</v>
      </c>
      <c r="J90" s="13">
        <v>2</v>
      </c>
      <c r="K90" s="40" t="str">
        <f>VLOOKUP(J90,[1]Key!$A$24:$B$29,2,FALSE)</f>
        <v>30-39</v>
      </c>
      <c r="L90" s="13" t="s">
        <v>226</v>
      </c>
      <c r="M90" s="23" t="s">
        <v>150</v>
      </c>
      <c r="N90" s="13" t="s">
        <v>151</v>
      </c>
      <c r="O90" s="45">
        <v>1</v>
      </c>
      <c r="P90" s="30" t="str">
        <f>VLOOKUP(O90,[1]Key!$E$2:$F$9,2,FALSE)</f>
        <v>Home</v>
      </c>
      <c r="Q90" s="13" t="s">
        <v>227</v>
      </c>
      <c r="R90" s="23" t="s">
        <v>150</v>
      </c>
      <c r="S90" s="13" t="s">
        <v>151</v>
      </c>
      <c r="T90" s="23">
        <v>8</v>
      </c>
      <c r="U90" s="30" t="str">
        <f>VLOOKUP(T90,[1]Key!$E$2:$F$9,2,FALSE)</f>
        <v>Others</v>
      </c>
      <c r="V90" s="30" t="str">
        <f t="shared" si="5"/>
        <v>Home-Others</v>
      </c>
      <c r="W90" s="23">
        <v>1500</v>
      </c>
      <c r="X90" s="62">
        <v>15</v>
      </c>
      <c r="Y90" s="62" t="str">
        <f t="shared" si="6"/>
        <v>10-20</v>
      </c>
      <c r="Z90" s="62">
        <v>0.8</v>
      </c>
      <c r="AA90" s="62" t="str">
        <f t="shared" si="7"/>
        <v>0.5-1.0</v>
      </c>
      <c r="AB90" s="23">
        <v>6</v>
      </c>
      <c r="AC90" s="30" t="str">
        <f>VLOOKUP(AB90,[1]Key!$C$20:$D$29,2,FALSE)</f>
        <v>Businessman</v>
      </c>
      <c r="AD90" s="23">
        <v>1</v>
      </c>
      <c r="AE90" s="30" t="str">
        <f>VLOOKUP(AD90,[1]Key!$E$20:$F$24,2,FALSE)</f>
        <v>&lt;300,000</v>
      </c>
      <c r="AF90" s="23">
        <v>2</v>
      </c>
      <c r="AG90" s="62">
        <v>4</v>
      </c>
      <c r="AH90" s="62">
        <v>2</v>
      </c>
      <c r="AI90" s="62">
        <v>2</v>
      </c>
      <c r="AJ90" s="62">
        <v>1</v>
      </c>
      <c r="AK90" s="45" t="s">
        <v>94</v>
      </c>
      <c r="AL90" s="36"/>
      <c r="AM90" t="str">
        <f t="shared" si="8"/>
        <v>0-1000</v>
      </c>
    </row>
    <row r="91" spans="1:39" x14ac:dyDescent="0.2">
      <c r="A91" s="44">
        <v>43771</v>
      </c>
      <c r="B91" s="60">
        <v>0.69374999999999998</v>
      </c>
      <c r="C91" s="60"/>
      <c r="D91" s="60" t="s">
        <v>165</v>
      </c>
      <c r="E91" s="13">
        <v>2</v>
      </c>
      <c r="F91" s="38" t="str">
        <f>VLOOKUP(E91,[1]Key!$A$17:$B$21,2,FALSE)</f>
        <v>Road Vehicle</v>
      </c>
      <c r="G91" s="61">
        <v>4</v>
      </c>
      <c r="H91" s="39" t="str">
        <f>VLOOKUP(G91,[1]Key!$A$2:$B$13,2,FALSE)</f>
        <v>Minibus</v>
      </c>
      <c r="I91" s="13" t="s">
        <v>178</v>
      </c>
      <c r="J91" s="13">
        <v>2</v>
      </c>
      <c r="K91" s="40" t="str">
        <f>VLOOKUP(J91,[1]Key!$A$24:$B$29,2,FALSE)</f>
        <v>30-39</v>
      </c>
      <c r="L91" s="13" t="s">
        <v>228</v>
      </c>
      <c r="M91" s="23" t="s">
        <v>150</v>
      </c>
      <c r="N91" s="13" t="s">
        <v>151</v>
      </c>
      <c r="O91" s="45">
        <v>1</v>
      </c>
      <c r="P91" s="30" t="str">
        <f>VLOOKUP(O91,[1]Key!$E$2:$F$9,2,FALSE)</f>
        <v>Home</v>
      </c>
      <c r="Q91" s="13" t="s">
        <v>174</v>
      </c>
      <c r="R91" s="23" t="s">
        <v>174</v>
      </c>
      <c r="S91" s="13" t="s">
        <v>151</v>
      </c>
      <c r="T91" s="23">
        <v>8</v>
      </c>
      <c r="U91" s="30" t="str">
        <f>VLOOKUP(T91,[1]Key!$E$2:$F$9,2,FALSE)</f>
        <v>Others</v>
      </c>
      <c r="V91" s="30" t="str">
        <f t="shared" si="5"/>
        <v>Home-Others</v>
      </c>
      <c r="W91" s="23">
        <v>18000</v>
      </c>
      <c r="X91" s="62">
        <v>110</v>
      </c>
      <c r="Y91" s="62" t="str">
        <f t="shared" si="6"/>
        <v>100-200</v>
      </c>
      <c r="Z91" s="62">
        <v>4.5</v>
      </c>
      <c r="AA91" s="62" t="str">
        <f t="shared" si="7"/>
        <v>Over 3.5</v>
      </c>
      <c r="AB91" s="23">
        <v>6</v>
      </c>
      <c r="AC91" s="30" t="str">
        <f>VLOOKUP(AB91,[1]Key!$C$20:$D$29,2,FALSE)</f>
        <v>Businessman</v>
      </c>
      <c r="AD91" s="23">
        <v>1</v>
      </c>
      <c r="AE91" s="30" t="str">
        <f>VLOOKUP(AD91,[1]Key!$E$20:$F$24,2,FALSE)</f>
        <v>&lt;300,000</v>
      </c>
      <c r="AF91" s="23">
        <v>5</v>
      </c>
      <c r="AG91" s="62">
        <v>4</v>
      </c>
      <c r="AH91" s="62">
        <v>1</v>
      </c>
      <c r="AI91" s="62">
        <v>2</v>
      </c>
      <c r="AJ91" s="62">
        <v>2</v>
      </c>
      <c r="AK91" s="45" t="s">
        <v>94</v>
      </c>
      <c r="AL91" s="36"/>
      <c r="AM91" t="str">
        <f t="shared" si="8"/>
        <v>0-1000</v>
      </c>
    </row>
    <row r="92" spans="1:39" x14ac:dyDescent="0.2">
      <c r="A92" s="44">
        <v>43771</v>
      </c>
      <c r="B92" s="60">
        <v>0.76041666666666663</v>
      </c>
      <c r="C92" s="60"/>
      <c r="D92" s="60" t="s">
        <v>165</v>
      </c>
      <c r="E92" s="13">
        <v>2</v>
      </c>
      <c r="F92" s="38" t="str">
        <f>VLOOKUP(E92,[1]Key!$A$17:$B$21,2,FALSE)</f>
        <v>Road Vehicle</v>
      </c>
      <c r="G92" s="61">
        <v>4</v>
      </c>
      <c r="H92" s="39" t="str">
        <f>VLOOKUP(G92,[1]Key!$A$2:$B$13,2,FALSE)</f>
        <v>Minibus</v>
      </c>
      <c r="I92" s="13" t="s">
        <v>178</v>
      </c>
      <c r="J92" s="13">
        <v>2</v>
      </c>
      <c r="K92" s="40" t="str">
        <f>VLOOKUP(J92,[1]Key!$A$24:$B$29,2,FALSE)</f>
        <v>30-39</v>
      </c>
      <c r="L92" s="13" t="s">
        <v>212</v>
      </c>
      <c r="M92" s="23" t="s">
        <v>150</v>
      </c>
      <c r="N92" s="13" t="s">
        <v>151</v>
      </c>
      <c r="O92" s="45">
        <v>1</v>
      </c>
      <c r="P92" s="30" t="str">
        <f>VLOOKUP(O92,[1]Key!$E$2:$F$9,2,FALSE)</f>
        <v>Home</v>
      </c>
      <c r="Q92" s="13" t="s">
        <v>229</v>
      </c>
      <c r="R92" s="23" t="s">
        <v>229</v>
      </c>
      <c r="S92" s="13" t="s">
        <v>151</v>
      </c>
      <c r="T92" s="23">
        <v>2</v>
      </c>
      <c r="U92" s="30" t="str">
        <f>VLOOKUP(T92,[1]Key!$E$2:$F$9,2,FALSE)</f>
        <v>Work</v>
      </c>
      <c r="V92" s="30" t="str">
        <f t="shared" si="5"/>
        <v>Home-Work</v>
      </c>
      <c r="W92" s="23">
        <v>12000</v>
      </c>
      <c r="X92" s="62">
        <v>120</v>
      </c>
      <c r="Y92" s="62" t="str">
        <f t="shared" si="6"/>
        <v>100-200</v>
      </c>
      <c r="Z92" s="62">
        <v>3.5</v>
      </c>
      <c r="AA92" s="62" t="str">
        <f t="shared" si="7"/>
        <v>Over 3.5</v>
      </c>
      <c r="AB92" s="23">
        <v>6</v>
      </c>
      <c r="AC92" s="30" t="str">
        <f>VLOOKUP(AB92,[1]Key!$C$20:$D$29,2,FALSE)</f>
        <v>Businessman</v>
      </c>
      <c r="AD92" s="23">
        <v>1</v>
      </c>
      <c r="AE92" s="30" t="str">
        <f>VLOOKUP(AD92,[1]Key!$E$20:$F$24,2,FALSE)</f>
        <v>&lt;300,000</v>
      </c>
      <c r="AF92" s="23">
        <v>2</v>
      </c>
      <c r="AG92" s="62">
        <v>4</v>
      </c>
      <c r="AH92" s="62">
        <v>2</v>
      </c>
      <c r="AI92" s="62">
        <v>2</v>
      </c>
      <c r="AJ92" s="62">
        <v>1</v>
      </c>
      <c r="AK92" s="45" t="s">
        <v>94</v>
      </c>
      <c r="AL92" s="36"/>
      <c r="AM92" t="str">
        <f t="shared" si="8"/>
        <v>0-1000</v>
      </c>
    </row>
    <row r="93" spans="1:39" x14ac:dyDescent="0.2">
      <c r="A93" s="44">
        <v>43771</v>
      </c>
      <c r="B93" s="60">
        <v>0.32083333333333336</v>
      </c>
      <c r="C93" s="60"/>
      <c r="D93" s="60" t="s">
        <v>165</v>
      </c>
      <c r="E93" s="13">
        <v>2</v>
      </c>
      <c r="F93" s="38" t="str">
        <f>VLOOKUP(E93,[1]Key!$A$17:$B$21,2,FALSE)</f>
        <v>Road Vehicle</v>
      </c>
      <c r="G93" s="61">
        <v>4</v>
      </c>
      <c r="H93" s="39" t="str">
        <f>VLOOKUP(G93,[1]Key!$A$2:$B$13,2,FALSE)</f>
        <v>Minibus</v>
      </c>
      <c r="I93" s="13" t="s">
        <v>178</v>
      </c>
      <c r="J93" s="13">
        <v>2</v>
      </c>
      <c r="K93" s="40" t="str">
        <f>VLOOKUP(J93,[1]Key!$A$24:$B$29,2,FALSE)</f>
        <v>30-39</v>
      </c>
      <c r="L93" s="13" t="s">
        <v>230</v>
      </c>
      <c r="M93" s="23" t="s">
        <v>150</v>
      </c>
      <c r="N93" s="13" t="s">
        <v>151</v>
      </c>
      <c r="O93" s="45">
        <v>1</v>
      </c>
      <c r="P93" s="30" t="str">
        <f>VLOOKUP(O93,[1]Key!$E$2:$F$9,2,FALSE)</f>
        <v>Home</v>
      </c>
      <c r="Q93" s="13" t="s">
        <v>231</v>
      </c>
      <c r="R93" s="23" t="s">
        <v>202</v>
      </c>
      <c r="S93" s="13" t="s">
        <v>151</v>
      </c>
      <c r="T93" s="23">
        <v>2</v>
      </c>
      <c r="U93" s="30" t="str">
        <f>VLOOKUP(T93,[1]Key!$E$2:$F$9,2,FALSE)</f>
        <v>Work</v>
      </c>
      <c r="V93" s="30" t="str">
        <f t="shared" si="5"/>
        <v>Home-Work</v>
      </c>
      <c r="W93" s="23">
        <v>8000</v>
      </c>
      <c r="X93" s="62">
        <v>85</v>
      </c>
      <c r="Y93" s="62" t="str">
        <f t="shared" si="6"/>
        <v>70-100</v>
      </c>
      <c r="Z93" s="62">
        <v>2.5</v>
      </c>
      <c r="AA93" s="62" t="str">
        <f t="shared" si="7"/>
        <v>2.0-3.5</v>
      </c>
      <c r="AB93" s="23">
        <v>6</v>
      </c>
      <c r="AC93" s="30" t="str">
        <f>VLOOKUP(AB93,[1]Key!$C$20:$D$29,2,FALSE)</f>
        <v>Businessman</v>
      </c>
      <c r="AD93" s="23">
        <v>1</v>
      </c>
      <c r="AE93" s="30" t="str">
        <f>VLOOKUP(AD93,[1]Key!$E$20:$F$24,2,FALSE)</f>
        <v>&lt;300,000</v>
      </c>
      <c r="AF93" s="23">
        <v>2</v>
      </c>
      <c r="AG93" s="62">
        <v>4</v>
      </c>
      <c r="AH93" s="62">
        <v>1</v>
      </c>
      <c r="AI93" s="62">
        <v>2</v>
      </c>
      <c r="AJ93" s="62">
        <v>1</v>
      </c>
      <c r="AK93" s="45" t="s">
        <v>94</v>
      </c>
      <c r="AL93" s="36"/>
      <c r="AM93" t="str">
        <f t="shared" si="8"/>
        <v>0-1000</v>
      </c>
    </row>
    <row r="94" spans="1:39" x14ac:dyDescent="0.2">
      <c r="A94" s="44">
        <v>43771</v>
      </c>
      <c r="B94" s="60">
        <v>0.6972222222222223</v>
      </c>
      <c r="C94" s="60"/>
      <c r="D94" s="60" t="s">
        <v>165</v>
      </c>
      <c r="E94" s="13">
        <v>2</v>
      </c>
      <c r="F94" s="38" t="str">
        <f>VLOOKUP(E94,[1]Key!$A$17:$B$21,2,FALSE)</f>
        <v>Road Vehicle</v>
      </c>
      <c r="G94" s="61">
        <v>4</v>
      </c>
      <c r="H94" s="39" t="str">
        <f>VLOOKUP(G94,[1]Key!$A$2:$B$13,2,FALSE)</f>
        <v>Minibus</v>
      </c>
      <c r="I94" s="13" t="s">
        <v>178</v>
      </c>
      <c r="J94" s="13">
        <v>2</v>
      </c>
      <c r="K94" s="40" t="str">
        <f>VLOOKUP(J94,[1]Key!$A$24:$B$29,2,FALSE)</f>
        <v>30-39</v>
      </c>
      <c r="L94" s="13" t="s">
        <v>192</v>
      </c>
      <c r="M94" s="23" t="s">
        <v>150</v>
      </c>
      <c r="N94" s="13" t="s">
        <v>151</v>
      </c>
      <c r="O94" s="45">
        <v>7</v>
      </c>
      <c r="P94" s="30" t="str">
        <f>VLOOKUP(O94,[1]Key!$E$2:$F$9,2,FALSE)</f>
        <v>Hospital</v>
      </c>
      <c r="Q94" s="13" t="s">
        <v>232</v>
      </c>
      <c r="R94" s="23" t="s">
        <v>159</v>
      </c>
      <c r="S94" s="13" t="s">
        <v>151</v>
      </c>
      <c r="T94" s="23">
        <v>1</v>
      </c>
      <c r="U94" s="30" t="str">
        <f>VLOOKUP(T94,[1]Key!$E$2:$F$9,2,FALSE)</f>
        <v>Home</v>
      </c>
      <c r="V94" s="30" t="str">
        <f t="shared" si="5"/>
        <v>Hospital-Home</v>
      </c>
      <c r="W94" s="23">
        <v>10000</v>
      </c>
      <c r="X94" s="62">
        <v>137</v>
      </c>
      <c r="Y94" s="62" t="str">
        <f t="shared" si="6"/>
        <v>100-200</v>
      </c>
      <c r="Z94" s="62">
        <v>1.5</v>
      </c>
      <c r="AA94" s="62" t="str">
        <f t="shared" si="7"/>
        <v>1.0-2.0</v>
      </c>
      <c r="AB94" s="23">
        <v>2</v>
      </c>
      <c r="AC94" s="30" t="str">
        <f>VLOOKUP(AB94,[1]Key!$C$20:$D$29,2,FALSE)</f>
        <v>Manual Labour</v>
      </c>
      <c r="AD94" s="23">
        <v>2</v>
      </c>
      <c r="AE94" s="30" t="str">
        <f>VLOOKUP(AD94,[1]Key!$E$20:$F$24,2,FALSE)</f>
        <v>300,000-500,000</v>
      </c>
      <c r="AF94" s="23">
        <v>5</v>
      </c>
      <c r="AG94" s="62">
        <v>5</v>
      </c>
      <c r="AH94" s="62">
        <v>4</v>
      </c>
      <c r="AI94" s="62">
        <v>3</v>
      </c>
      <c r="AJ94" s="62">
        <v>5</v>
      </c>
      <c r="AK94" s="45" t="s">
        <v>94</v>
      </c>
      <c r="AL94" s="36">
        <v>1000</v>
      </c>
      <c r="AM94" t="str">
        <f t="shared" si="8"/>
        <v>1000-2000</v>
      </c>
    </row>
    <row r="95" spans="1:39" x14ac:dyDescent="0.2">
      <c r="A95" s="44">
        <v>43771</v>
      </c>
      <c r="B95" s="60">
        <v>0.43611111111111112</v>
      </c>
      <c r="C95" s="60"/>
      <c r="D95" s="60" t="s">
        <v>165</v>
      </c>
      <c r="E95" s="13">
        <v>2</v>
      </c>
      <c r="F95" s="38" t="str">
        <f>VLOOKUP(E95,[1]Key!$A$17:$B$21,2,FALSE)</f>
        <v>Road Vehicle</v>
      </c>
      <c r="G95" s="61">
        <v>4</v>
      </c>
      <c r="H95" s="39" t="str">
        <f>VLOOKUP(G95,[1]Key!$A$2:$B$13,2,FALSE)</f>
        <v>Minibus</v>
      </c>
      <c r="I95" s="13" t="s">
        <v>178</v>
      </c>
      <c r="J95" s="13">
        <v>2</v>
      </c>
      <c r="K95" s="40" t="str">
        <f>VLOOKUP(J95,[1]Key!$A$24:$B$29,2,FALSE)</f>
        <v>30-39</v>
      </c>
      <c r="L95" s="13" t="s">
        <v>233</v>
      </c>
      <c r="M95" s="23" t="s">
        <v>150</v>
      </c>
      <c r="N95" s="13" t="s">
        <v>151</v>
      </c>
      <c r="O95" s="45">
        <v>2</v>
      </c>
      <c r="P95" s="30" t="str">
        <f>VLOOKUP(O95,[1]Key!$E$2:$F$9,2,FALSE)</f>
        <v>Work</v>
      </c>
      <c r="Q95" s="13" t="s">
        <v>234</v>
      </c>
      <c r="R95" s="23" t="s">
        <v>159</v>
      </c>
      <c r="S95" s="13" t="s">
        <v>151</v>
      </c>
      <c r="T95" s="23">
        <v>1</v>
      </c>
      <c r="U95" s="30" t="str">
        <f>VLOOKUP(T95,[1]Key!$E$2:$F$9,2,FALSE)</f>
        <v>Home</v>
      </c>
      <c r="V95" s="30" t="str">
        <f t="shared" si="5"/>
        <v>Work-Home</v>
      </c>
      <c r="W95" s="23">
        <v>6000</v>
      </c>
      <c r="X95" s="62">
        <v>35</v>
      </c>
      <c r="Y95" s="62" t="str">
        <f t="shared" si="6"/>
        <v>20-40</v>
      </c>
      <c r="Z95" s="62">
        <v>3</v>
      </c>
      <c r="AA95" s="62" t="str">
        <f t="shared" si="7"/>
        <v>2.0-3.5</v>
      </c>
      <c r="AB95" s="23">
        <v>6</v>
      </c>
      <c r="AC95" s="30" t="str">
        <f>VLOOKUP(AB95,[1]Key!$C$20:$D$29,2,FALSE)</f>
        <v>Businessman</v>
      </c>
      <c r="AD95" s="23">
        <v>2</v>
      </c>
      <c r="AE95" s="30" t="str">
        <f>VLOOKUP(AD95,[1]Key!$E$20:$F$24,2,FALSE)</f>
        <v>300,000-500,000</v>
      </c>
      <c r="AF95" s="23">
        <v>5</v>
      </c>
      <c r="AG95" s="62">
        <v>2</v>
      </c>
      <c r="AH95" s="62">
        <v>5</v>
      </c>
      <c r="AI95" s="62">
        <v>1</v>
      </c>
      <c r="AJ95" s="62">
        <v>2</v>
      </c>
      <c r="AK95" s="45" t="s">
        <v>94</v>
      </c>
      <c r="AL95" s="36">
        <v>1000</v>
      </c>
      <c r="AM95" t="str">
        <f t="shared" si="8"/>
        <v>1000-2000</v>
      </c>
    </row>
    <row r="96" spans="1:39" x14ac:dyDescent="0.2">
      <c r="A96" s="44">
        <v>43771</v>
      </c>
      <c r="B96" s="60">
        <v>0.57291666666666663</v>
      </c>
      <c r="C96" s="60"/>
      <c r="D96" s="60" t="s">
        <v>165</v>
      </c>
      <c r="E96" s="13">
        <v>2</v>
      </c>
      <c r="F96" s="38" t="str">
        <f>VLOOKUP(E96,[1]Key!$A$17:$B$21,2,FALSE)</f>
        <v>Road Vehicle</v>
      </c>
      <c r="G96" s="61">
        <v>4</v>
      </c>
      <c r="H96" s="39" t="str">
        <f>VLOOKUP(G96,[1]Key!$A$2:$B$13,2,FALSE)</f>
        <v>Minibus</v>
      </c>
      <c r="I96" s="13" t="s">
        <v>178</v>
      </c>
      <c r="J96" s="13">
        <v>2</v>
      </c>
      <c r="K96" s="40" t="str">
        <f>VLOOKUP(J96,[1]Key!$A$24:$B$29,2,FALSE)</f>
        <v>30-39</v>
      </c>
      <c r="L96" s="13" t="s">
        <v>233</v>
      </c>
      <c r="M96" s="23" t="s">
        <v>150</v>
      </c>
      <c r="N96" s="13" t="s">
        <v>151</v>
      </c>
      <c r="O96" s="45">
        <v>2</v>
      </c>
      <c r="P96" s="30" t="str">
        <f>VLOOKUP(O96,[1]Key!$E$2:$F$9,2,FALSE)</f>
        <v>Work</v>
      </c>
      <c r="Q96" s="13" t="s">
        <v>235</v>
      </c>
      <c r="R96" s="23" t="s">
        <v>150</v>
      </c>
      <c r="S96" s="13" t="s">
        <v>151</v>
      </c>
      <c r="T96" s="23">
        <v>1</v>
      </c>
      <c r="U96" s="30" t="str">
        <f>VLOOKUP(T96,[1]Key!$E$2:$F$9,2,FALSE)</f>
        <v>Home</v>
      </c>
      <c r="V96" s="30" t="str">
        <f t="shared" si="5"/>
        <v>Work-Home</v>
      </c>
      <c r="W96" s="23">
        <v>1500</v>
      </c>
      <c r="X96" s="62">
        <v>30</v>
      </c>
      <c r="Y96" s="62" t="str">
        <f t="shared" si="6"/>
        <v>20-40</v>
      </c>
      <c r="Z96" s="62">
        <v>0.8</v>
      </c>
      <c r="AA96" s="62" t="str">
        <f t="shared" si="7"/>
        <v>0.5-1.0</v>
      </c>
      <c r="AB96" s="23">
        <v>6</v>
      </c>
      <c r="AC96" s="30" t="str">
        <f>VLOOKUP(AB96,[1]Key!$C$20:$D$29,2,FALSE)</f>
        <v>Businessman</v>
      </c>
      <c r="AD96" s="23">
        <v>3</v>
      </c>
      <c r="AE96" s="30" t="str">
        <f>VLOOKUP(AD96,[1]Key!$E$20:$F$24,2,FALSE)</f>
        <v>500,000-750,000</v>
      </c>
      <c r="AF96" s="23">
        <v>2</v>
      </c>
      <c r="AG96" s="62">
        <v>2</v>
      </c>
      <c r="AH96" s="62">
        <v>1</v>
      </c>
      <c r="AI96" s="62">
        <v>1</v>
      </c>
      <c r="AJ96" s="62">
        <v>1</v>
      </c>
      <c r="AK96" s="45" t="s">
        <v>94</v>
      </c>
      <c r="AL96" s="36">
        <v>2000</v>
      </c>
      <c r="AM96" t="str">
        <f t="shared" si="8"/>
        <v>2000-3000</v>
      </c>
    </row>
    <row r="97" spans="1:39" x14ac:dyDescent="0.2">
      <c r="A97" s="44">
        <v>43771</v>
      </c>
      <c r="B97" s="60">
        <v>0.64930555555555558</v>
      </c>
      <c r="C97" s="60"/>
      <c r="D97" s="60" t="s">
        <v>165</v>
      </c>
      <c r="E97" s="13">
        <v>2</v>
      </c>
      <c r="F97" s="38" t="str">
        <f>VLOOKUP(E97,[1]Key!$A$17:$B$21,2,FALSE)</f>
        <v>Road Vehicle</v>
      </c>
      <c r="G97" s="61">
        <v>4</v>
      </c>
      <c r="H97" s="39" t="str">
        <f>VLOOKUP(G97,[1]Key!$A$2:$B$13,2,FALSE)</f>
        <v>Minibus</v>
      </c>
      <c r="I97" s="13" t="s">
        <v>178</v>
      </c>
      <c r="J97" s="13">
        <v>2</v>
      </c>
      <c r="K97" s="40" t="str">
        <f>VLOOKUP(J97,[1]Key!$A$24:$B$29,2,FALSE)</f>
        <v>30-39</v>
      </c>
      <c r="L97" s="13" t="s">
        <v>233</v>
      </c>
      <c r="M97" s="23" t="s">
        <v>150</v>
      </c>
      <c r="N97" s="13" t="s">
        <v>151</v>
      </c>
      <c r="O97" s="45">
        <v>2</v>
      </c>
      <c r="P97" s="30" t="str">
        <f>VLOOKUP(O97,[1]Key!$E$2:$F$9,2,FALSE)</f>
        <v>Work</v>
      </c>
      <c r="Q97" s="13" t="s">
        <v>236</v>
      </c>
      <c r="R97" s="23" t="s">
        <v>150</v>
      </c>
      <c r="S97" s="13" t="s">
        <v>151</v>
      </c>
      <c r="T97" s="23">
        <v>1</v>
      </c>
      <c r="U97" s="30" t="str">
        <f>VLOOKUP(T97,[1]Key!$E$2:$F$9,2,FALSE)</f>
        <v>Home</v>
      </c>
      <c r="V97" s="30" t="str">
        <f t="shared" si="5"/>
        <v>Work-Home</v>
      </c>
      <c r="W97" s="23">
        <v>1500</v>
      </c>
      <c r="X97" s="62">
        <v>18</v>
      </c>
      <c r="Y97" s="62" t="str">
        <f t="shared" si="6"/>
        <v>10-20</v>
      </c>
      <c r="Z97" s="62">
        <v>0.3</v>
      </c>
      <c r="AA97" s="62" t="str">
        <f t="shared" si="7"/>
        <v>0-0.5</v>
      </c>
      <c r="AB97" s="23">
        <v>4</v>
      </c>
      <c r="AC97" s="30" t="str">
        <f>VLOOKUP(AB97,[1]Key!$C$20:$D$29,2,FALSE)</f>
        <v>Office Worker</v>
      </c>
      <c r="AD97" s="23">
        <v>2</v>
      </c>
      <c r="AE97" s="30" t="str">
        <f>VLOOKUP(AD97,[1]Key!$E$20:$F$24,2,FALSE)</f>
        <v>300,000-500,000</v>
      </c>
      <c r="AF97" s="23">
        <v>1</v>
      </c>
      <c r="AG97" s="62">
        <v>2</v>
      </c>
      <c r="AH97" s="62">
        <v>1</v>
      </c>
      <c r="AI97" s="62">
        <v>1</v>
      </c>
      <c r="AJ97" s="62">
        <v>2</v>
      </c>
      <c r="AK97" s="45" t="s">
        <v>94</v>
      </c>
      <c r="AL97" s="36">
        <v>500</v>
      </c>
      <c r="AM97" t="str">
        <f t="shared" si="8"/>
        <v>0-1000</v>
      </c>
    </row>
    <row r="98" spans="1:39" x14ac:dyDescent="0.2">
      <c r="A98" s="44">
        <v>43771</v>
      </c>
      <c r="B98" s="60">
        <v>0.7319444444444444</v>
      </c>
      <c r="C98" s="60"/>
      <c r="D98" s="60" t="s">
        <v>165</v>
      </c>
      <c r="E98" s="13">
        <v>2</v>
      </c>
      <c r="F98" s="38" t="str">
        <f>VLOOKUP(E98,[1]Key!$A$17:$B$21,2,FALSE)</f>
        <v>Road Vehicle</v>
      </c>
      <c r="G98" s="61">
        <v>4</v>
      </c>
      <c r="H98" s="39" t="str">
        <f>VLOOKUP(G98,[1]Key!$A$2:$B$13,2,FALSE)</f>
        <v>Minibus</v>
      </c>
      <c r="I98" s="13" t="s">
        <v>178</v>
      </c>
      <c r="J98" s="13">
        <v>2</v>
      </c>
      <c r="K98" s="40" t="str">
        <f>VLOOKUP(J98,[1]Key!$A$24:$B$29,2,FALSE)</f>
        <v>30-39</v>
      </c>
      <c r="L98" s="13" t="s">
        <v>233</v>
      </c>
      <c r="M98" s="23" t="s">
        <v>150</v>
      </c>
      <c r="N98" s="13" t="s">
        <v>151</v>
      </c>
      <c r="O98" s="45">
        <v>2</v>
      </c>
      <c r="P98" s="30" t="str">
        <f>VLOOKUP(O98,[1]Key!$E$2:$F$9,2,FALSE)</f>
        <v>Work</v>
      </c>
      <c r="Q98" s="13" t="s">
        <v>237</v>
      </c>
      <c r="R98" s="23" t="s">
        <v>150</v>
      </c>
      <c r="S98" s="13" t="s">
        <v>151</v>
      </c>
      <c r="T98" s="23">
        <v>1</v>
      </c>
      <c r="U98" s="30" t="str">
        <f>VLOOKUP(T98,[1]Key!$E$2:$F$9,2,FALSE)</f>
        <v>Home</v>
      </c>
      <c r="V98" s="30" t="str">
        <f t="shared" si="5"/>
        <v>Work-Home</v>
      </c>
      <c r="W98" s="23">
        <v>1000</v>
      </c>
      <c r="X98" s="62">
        <v>15</v>
      </c>
      <c r="Y98" s="62" t="str">
        <f t="shared" si="6"/>
        <v>10-20</v>
      </c>
      <c r="Z98" s="62">
        <v>0.3</v>
      </c>
      <c r="AA98" s="62" t="str">
        <f t="shared" si="7"/>
        <v>0-0.5</v>
      </c>
      <c r="AB98" s="23">
        <v>4</v>
      </c>
      <c r="AC98" s="30" t="str">
        <f>VLOOKUP(AB98,[1]Key!$C$20:$D$29,2,FALSE)</f>
        <v>Office Worker</v>
      </c>
      <c r="AD98" s="23">
        <v>2</v>
      </c>
      <c r="AE98" s="30" t="str">
        <f>VLOOKUP(AD98,[1]Key!$E$20:$F$24,2,FALSE)</f>
        <v>300,000-500,000</v>
      </c>
      <c r="AF98" s="23">
        <v>1</v>
      </c>
      <c r="AG98" s="62">
        <v>1</v>
      </c>
      <c r="AH98" s="62">
        <v>1</v>
      </c>
      <c r="AI98" s="62">
        <v>1</v>
      </c>
      <c r="AJ98" s="62">
        <v>1</v>
      </c>
      <c r="AK98" s="45" t="s">
        <v>94</v>
      </c>
      <c r="AL98" s="36">
        <v>500</v>
      </c>
      <c r="AM98" t="str">
        <f t="shared" si="8"/>
        <v>0-1000</v>
      </c>
    </row>
    <row r="99" spans="1:39" x14ac:dyDescent="0.2">
      <c r="A99" s="44">
        <v>43771</v>
      </c>
      <c r="B99" s="60">
        <v>0.69791666666666663</v>
      </c>
      <c r="C99" s="60"/>
      <c r="D99" s="60" t="s">
        <v>165</v>
      </c>
      <c r="E99" s="13">
        <v>2</v>
      </c>
      <c r="F99" s="38" t="str">
        <f>VLOOKUP(E99,[1]Key!$A$17:$B$21,2,FALSE)</f>
        <v>Road Vehicle</v>
      </c>
      <c r="G99" s="61">
        <v>4</v>
      </c>
      <c r="H99" s="39" t="str">
        <f>VLOOKUP(G99,[1]Key!$A$2:$B$13,2,FALSE)</f>
        <v>Minibus</v>
      </c>
      <c r="I99" s="13" t="s">
        <v>178</v>
      </c>
      <c r="J99" s="13">
        <v>2</v>
      </c>
      <c r="K99" s="40" t="str">
        <f>VLOOKUP(J99,[1]Key!$A$24:$B$29,2,FALSE)</f>
        <v>30-39</v>
      </c>
      <c r="L99" s="13" t="s">
        <v>238</v>
      </c>
      <c r="M99" s="23" t="s">
        <v>150</v>
      </c>
      <c r="N99" s="13" t="s">
        <v>151</v>
      </c>
      <c r="O99" s="45">
        <v>2</v>
      </c>
      <c r="P99" s="30" t="str">
        <f>VLOOKUP(O99,[1]Key!$E$2:$F$9,2,FALSE)</f>
        <v>Work</v>
      </c>
      <c r="Q99" s="13" t="s">
        <v>239</v>
      </c>
      <c r="R99" s="23" t="s">
        <v>239</v>
      </c>
      <c r="S99" s="13" t="s">
        <v>151</v>
      </c>
      <c r="T99" s="23">
        <v>1</v>
      </c>
      <c r="U99" s="30" t="str">
        <f>VLOOKUP(T99,[1]Key!$E$2:$F$9,2,FALSE)</f>
        <v>Home</v>
      </c>
      <c r="V99" s="30" t="str">
        <f t="shared" si="5"/>
        <v>Work-Home</v>
      </c>
      <c r="W99" s="23">
        <v>18000</v>
      </c>
      <c r="X99" s="62">
        <v>110</v>
      </c>
      <c r="Y99" s="62" t="str">
        <f t="shared" si="6"/>
        <v>100-200</v>
      </c>
      <c r="Z99" s="62">
        <v>4</v>
      </c>
      <c r="AA99" s="62" t="str">
        <f t="shared" si="7"/>
        <v>Over 3.5</v>
      </c>
      <c r="AB99" s="23">
        <v>6</v>
      </c>
      <c r="AC99" s="30" t="str">
        <f>VLOOKUP(AB99,[1]Key!$C$20:$D$29,2,FALSE)</f>
        <v>Businessman</v>
      </c>
      <c r="AD99" s="23">
        <v>1</v>
      </c>
      <c r="AE99" s="30" t="str">
        <f>VLOOKUP(AD99,[1]Key!$E$20:$F$24,2,FALSE)</f>
        <v>&lt;300,000</v>
      </c>
      <c r="AF99" s="23">
        <v>2</v>
      </c>
      <c r="AG99" s="62">
        <v>1</v>
      </c>
      <c r="AH99" s="62">
        <v>2</v>
      </c>
      <c r="AI99" s="62">
        <v>5</v>
      </c>
      <c r="AJ99" s="62">
        <v>5</v>
      </c>
      <c r="AK99" s="45" t="s">
        <v>94</v>
      </c>
      <c r="AL99" s="36"/>
      <c r="AM99" t="str">
        <f t="shared" si="8"/>
        <v>0-1000</v>
      </c>
    </row>
    <row r="100" spans="1:39" x14ac:dyDescent="0.2">
      <c r="A100" s="44">
        <v>43771</v>
      </c>
      <c r="B100" s="60">
        <v>0.68541666666666667</v>
      </c>
      <c r="C100" s="60"/>
      <c r="D100" s="60" t="s">
        <v>165</v>
      </c>
      <c r="E100" s="13">
        <v>2</v>
      </c>
      <c r="F100" s="38" t="str">
        <f>VLOOKUP(E100,[1]Key!$A$17:$B$21,2,FALSE)</f>
        <v>Road Vehicle</v>
      </c>
      <c r="G100" s="61">
        <v>4</v>
      </c>
      <c r="H100" s="39" t="str">
        <f>VLOOKUP(G100,[1]Key!$A$2:$B$13,2,FALSE)</f>
        <v>Minibus</v>
      </c>
      <c r="I100" s="13" t="s">
        <v>178</v>
      </c>
      <c r="J100" s="13">
        <v>2</v>
      </c>
      <c r="K100" s="40" t="str">
        <f>VLOOKUP(J100,[1]Key!$A$24:$B$29,2,FALSE)</f>
        <v>30-39</v>
      </c>
      <c r="L100" s="13" t="s">
        <v>240</v>
      </c>
      <c r="M100" s="23" t="s">
        <v>150</v>
      </c>
      <c r="N100" s="13" t="s">
        <v>151</v>
      </c>
      <c r="O100" s="45">
        <v>2</v>
      </c>
      <c r="P100" s="30" t="str">
        <f>VLOOKUP(O100,[1]Key!$E$2:$F$9,2,FALSE)</f>
        <v>Work</v>
      </c>
      <c r="Q100" s="13" t="s">
        <v>174</v>
      </c>
      <c r="R100" s="23" t="s">
        <v>174</v>
      </c>
      <c r="S100" s="13" t="s">
        <v>151</v>
      </c>
      <c r="T100" s="23">
        <v>1</v>
      </c>
      <c r="U100" s="30" t="str">
        <f>VLOOKUP(T100,[1]Key!$E$2:$F$9,2,FALSE)</f>
        <v>Home</v>
      </c>
      <c r="V100" s="30" t="str">
        <f t="shared" si="5"/>
        <v>Work-Home</v>
      </c>
      <c r="W100" s="23">
        <v>18000</v>
      </c>
      <c r="X100" s="62">
        <v>110</v>
      </c>
      <c r="Y100" s="62" t="str">
        <f t="shared" si="6"/>
        <v>100-200</v>
      </c>
      <c r="Z100" s="62">
        <v>4.5</v>
      </c>
      <c r="AA100" s="62" t="str">
        <f t="shared" si="7"/>
        <v>Over 3.5</v>
      </c>
      <c r="AB100" s="23">
        <v>6</v>
      </c>
      <c r="AC100" s="30" t="str">
        <f>VLOOKUP(AB100,[1]Key!$C$20:$D$29,2,FALSE)</f>
        <v>Businessman</v>
      </c>
      <c r="AD100" s="23">
        <v>1</v>
      </c>
      <c r="AE100" s="30" t="str">
        <f>VLOOKUP(AD100,[1]Key!$E$20:$F$24,2,FALSE)</f>
        <v>&lt;300,000</v>
      </c>
      <c r="AF100" s="23">
        <v>2</v>
      </c>
      <c r="AG100" s="62">
        <v>4</v>
      </c>
      <c r="AH100" s="62">
        <v>1</v>
      </c>
      <c r="AI100" s="62">
        <v>2</v>
      </c>
      <c r="AJ100" s="62">
        <v>1</v>
      </c>
      <c r="AK100" s="45" t="s">
        <v>94</v>
      </c>
      <c r="AL100" s="36"/>
      <c r="AM100" t="str">
        <f t="shared" si="8"/>
        <v>0-1000</v>
      </c>
    </row>
    <row r="101" spans="1:39" x14ac:dyDescent="0.2">
      <c r="A101" s="44">
        <v>43771</v>
      </c>
      <c r="B101" s="60">
        <v>0.625</v>
      </c>
      <c r="C101" s="60"/>
      <c r="D101" s="60" t="s">
        <v>165</v>
      </c>
      <c r="E101" s="13">
        <v>2</v>
      </c>
      <c r="F101" s="38" t="str">
        <f>VLOOKUP(E101,[1]Key!$A$17:$B$21,2,FALSE)</f>
        <v>Road Vehicle</v>
      </c>
      <c r="G101" s="61">
        <v>4</v>
      </c>
      <c r="H101" s="39" t="str">
        <f>VLOOKUP(G101,[1]Key!$A$2:$B$13,2,FALSE)</f>
        <v>Minibus</v>
      </c>
      <c r="I101" s="13" t="s">
        <v>178</v>
      </c>
      <c r="J101" s="13">
        <v>2</v>
      </c>
      <c r="K101" s="40" t="str">
        <f>VLOOKUP(J101,[1]Key!$A$24:$B$29,2,FALSE)</f>
        <v>30-39</v>
      </c>
      <c r="L101" s="13" t="s">
        <v>241</v>
      </c>
      <c r="M101" s="23" t="s">
        <v>150</v>
      </c>
      <c r="N101" s="13" t="s">
        <v>151</v>
      </c>
      <c r="O101" s="45">
        <v>2</v>
      </c>
      <c r="P101" s="30" t="str">
        <f>VLOOKUP(O101,[1]Key!$E$2:$F$9,2,FALSE)</f>
        <v>Work</v>
      </c>
      <c r="Q101" s="13" t="s">
        <v>242</v>
      </c>
      <c r="R101" s="23" t="s">
        <v>172</v>
      </c>
      <c r="S101" s="13" t="s">
        <v>151</v>
      </c>
      <c r="T101" s="23">
        <v>1</v>
      </c>
      <c r="U101" s="30" t="str">
        <f>VLOOKUP(T101,[1]Key!$E$2:$F$9,2,FALSE)</f>
        <v>Home</v>
      </c>
      <c r="V101" s="30" t="str">
        <f t="shared" si="5"/>
        <v>Work-Home</v>
      </c>
      <c r="W101" s="23">
        <v>17000</v>
      </c>
      <c r="X101" s="62">
        <v>100</v>
      </c>
      <c r="Y101" s="62" t="str">
        <f t="shared" si="6"/>
        <v>100-200</v>
      </c>
      <c r="Z101" s="62">
        <v>4</v>
      </c>
      <c r="AA101" s="62" t="str">
        <f t="shared" si="7"/>
        <v>Over 3.5</v>
      </c>
      <c r="AB101" s="23">
        <v>6</v>
      </c>
      <c r="AC101" s="30" t="str">
        <f>VLOOKUP(AB101,[1]Key!$C$20:$D$29,2,FALSE)</f>
        <v>Businessman</v>
      </c>
      <c r="AD101" s="23">
        <v>1</v>
      </c>
      <c r="AE101" s="30" t="str">
        <f>VLOOKUP(AD101,[1]Key!$E$20:$F$24,2,FALSE)</f>
        <v>&lt;300,000</v>
      </c>
      <c r="AF101" s="23">
        <v>5</v>
      </c>
      <c r="AG101" s="62">
        <v>4</v>
      </c>
      <c r="AH101" s="62">
        <v>1</v>
      </c>
      <c r="AI101" s="62">
        <v>2</v>
      </c>
      <c r="AJ101" s="62">
        <v>1</v>
      </c>
      <c r="AK101" s="45" t="s">
        <v>94</v>
      </c>
      <c r="AL101" s="36"/>
      <c r="AM101" t="str">
        <f t="shared" si="8"/>
        <v>0-1000</v>
      </c>
    </row>
    <row r="102" spans="1:39" x14ac:dyDescent="0.2">
      <c r="A102" s="44">
        <v>43771</v>
      </c>
      <c r="B102" s="60">
        <v>0.56874999999999998</v>
      </c>
      <c r="C102" s="60"/>
      <c r="D102" s="60" t="s">
        <v>165</v>
      </c>
      <c r="E102" s="13">
        <v>2</v>
      </c>
      <c r="F102" s="38" t="str">
        <f>VLOOKUP(E102,[1]Key!$A$17:$B$21,2,FALSE)</f>
        <v>Road Vehicle</v>
      </c>
      <c r="G102" s="61">
        <v>4</v>
      </c>
      <c r="H102" s="39" t="str">
        <f>VLOOKUP(G102,[1]Key!$A$2:$B$13,2,FALSE)</f>
        <v>Minibus</v>
      </c>
      <c r="I102" s="13" t="s">
        <v>178</v>
      </c>
      <c r="J102" s="13">
        <v>2</v>
      </c>
      <c r="K102" s="40" t="str">
        <f>VLOOKUP(J102,[1]Key!$A$24:$B$29,2,FALSE)</f>
        <v>30-39</v>
      </c>
      <c r="L102" s="13" t="s">
        <v>159</v>
      </c>
      <c r="M102" s="23" t="s">
        <v>159</v>
      </c>
      <c r="N102" s="13" t="s">
        <v>151</v>
      </c>
      <c r="O102" s="45">
        <v>2</v>
      </c>
      <c r="P102" s="30" t="str">
        <f>VLOOKUP(O102,[1]Key!$E$2:$F$9,2,FALSE)</f>
        <v>Work</v>
      </c>
      <c r="Q102" s="13" t="s">
        <v>242</v>
      </c>
      <c r="R102" s="23" t="s">
        <v>172</v>
      </c>
      <c r="S102" s="13" t="s">
        <v>151</v>
      </c>
      <c r="T102" s="23">
        <v>1</v>
      </c>
      <c r="U102" s="30" t="str">
        <f>VLOOKUP(T102,[1]Key!$E$2:$F$9,2,FALSE)</f>
        <v>Home</v>
      </c>
      <c r="V102" s="30" t="str">
        <f t="shared" si="5"/>
        <v>Work-Home</v>
      </c>
      <c r="W102" s="23">
        <v>17000</v>
      </c>
      <c r="X102" s="62">
        <v>100</v>
      </c>
      <c r="Y102" s="62" t="str">
        <f t="shared" si="6"/>
        <v>100-200</v>
      </c>
      <c r="Z102" s="62">
        <v>4</v>
      </c>
      <c r="AA102" s="62" t="str">
        <f t="shared" si="7"/>
        <v>Over 3.5</v>
      </c>
      <c r="AB102" s="23">
        <v>6</v>
      </c>
      <c r="AC102" s="30" t="str">
        <f>VLOOKUP(AB102,[1]Key!$C$20:$D$29,2,FALSE)</f>
        <v>Businessman</v>
      </c>
      <c r="AD102" s="23">
        <v>1</v>
      </c>
      <c r="AE102" s="30" t="str">
        <f>VLOOKUP(AD102,[1]Key!$E$20:$F$24,2,FALSE)</f>
        <v>&lt;300,000</v>
      </c>
      <c r="AF102" s="23">
        <v>5</v>
      </c>
      <c r="AG102" s="62">
        <v>5</v>
      </c>
      <c r="AH102" s="62">
        <v>2</v>
      </c>
      <c r="AI102" s="62">
        <v>3</v>
      </c>
      <c r="AJ102" s="62">
        <v>1</v>
      </c>
      <c r="AK102" s="45" t="s">
        <v>94</v>
      </c>
      <c r="AL102" s="36"/>
      <c r="AM102" t="str">
        <f t="shared" si="8"/>
        <v>0-1000</v>
      </c>
    </row>
    <row r="103" spans="1:39" x14ac:dyDescent="0.2">
      <c r="A103" s="44">
        <v>43771</v>
      </c>
      <c r="B103" s="60">
        <v>0.49027777777777781</v>
      </c>
      <c r="C103" s="60"/>
      <c r="D103" s="60" t="s">
        <v>165</v>
      </c>
      <c r="E103" s="13">
        <v>2</v>
      </c>
      <c r="F103" s="38" t="str">
        <f>VLOOKUP(E103,[1]Key!$A$17:$B$21,2,FALSE)</f>
        <v>Road Vehicle</v>
      </c>
      <c r="G103" s="61">
        <v>4</v>
      </c>
      <c r="H103" s="39" t="str">
        <f>VLOOKUP(G103,[1]Key!$A$2:$B$13,2,FALSE)</f>
        <v>Minibus</v>
      </c>
      <c r="I103" s="13" t="s">
        <v>178</v>
      </c>
      <c r="J103" s="13">
        <v>2</v>
      </c>
      <c r="K103" s="40" t="str">
        <f>VLOOKUP(J103,[1]Key!$A$24:$B$29,2,FALSE)</f>
        <v>30-39</v>
      </c>
      <c r="L103" s="13" t="s">
        <v>243</v>
      </c>
      <c r="M103" s="23" t="s">
        <v>150</v>
      </c>
      <c r="N103" s="13" t="s">
        <v>151</v>
      </c>
      <c r="O103" s="45">
        <v>2</v>
      </c>
      <c r="P103" s="30" t="str">
        <f>VLOOKUP(O103,[1]Key!$E$2:$F$9,2,FALSE)</f>
        <v>Work</v>
      </c>
      <c r="Q103" s="13" t="s">
        <v>244</v>
      </c>
      <c r="R103" s="23" t="s">
        <v>244</v>
      </c>
      <c r="S103" s="13" t="s">
        <v>151</v>
      </c>
      <c r="T103" s="23">
        <v>1</v>
      </c>
      <c r="U103" s="30" t="str">
        <f>VLOOKUP(T103,[1]Key!$E$2:$F$9,2,FALSE)</f>
        <v>Home</v>
      </c>
      <c r="V103" s="30" t="str">
        <f t="shared" si="5"/>
        <v>Work-Home</v>
      </c>
      <c r="W103" s="23">
        <v>9000</v>
      </c>
      <c r="X103" s="62">
        <v>80</v>
      </c>
      <c r="Y103" s="62" t="str">
        <f t="shared" si="6"/>
        <v>70-100</v>
      </c>
      <c r="Z103" s="62">
        <v>3</v>
      </c>
      <c r="AA103" s="62" t="str">
        <f t="shared" si="7"/>
        <v>2.0-3.5</v>
      </c>
      <c r="AB103" s="23">
        <v>6</v>
      </c>
      <c r="AC103" s="30" t="str">
        <f>VLOOKUP(AB103,[1]Key!$C$20:$D$29,2,FALSE)</f>
        <v>Businessman</v>
      </c>
      <c r="AD103" s="23">
        <v>1</v>
      </c>
      <c r="AE103" s="30" t="str">
        <f>VLOOKUP(AD103,[1]Key!$E$20:$F$24,2,FALSE)</f>
        <v>&lt;300,000</v>
      </c>
      <c r="AF103" s="23">
        <v>2</v>
      </c>
      <c r="AG103" s="62">
        <v>4</v>
      </c>
      <c r="AH103" s="62">
        <v>1</v>
      </c>
      <c r="AI103" s="62">
        <v>5</v>
      </c>
      <c r="AJ103" s="62">
        <v>5</v>
      </c>
      <c r="AK103" s="45" t="s">
        <v>94</v>
      </c>
      <c r="AL103" s="36"/>
      <c r="AM103" t="str">
        <f t="shared" si="8"/>
        <v>0-1000</v>
      </c>
    </row>
    <row r="104" spans="1:39" x14ac:dyDescent="0.2">
      <c r="A104" s="44">
        <v>43771</v>
      </c>
      <c r="B104" s="60">
        <v>0.44166666666666665</v>
      </c>
      <c r="C104" s="60"/>
      <c r="D104" s="60" t="s">
        <v>165</v>
      </c>
      <c r="E104" s="13">
        <v>2</v>
      </c>
      <c r="F104" s="38" t="str">
        <f>VLOOKUP(E104,[1]Key!$A$17:$B$21,2,FALSE)</f>
        <v>Road Vehicle</v>
      </c>
      <c r="G104" s="61">
        <v>4</v>
      </c>
      <c r="H104" s="39" t="str">
        <f>VLOOKUP(G104,[1]Key!$A$2:$B$13,2,FALSE)</f>
        <v>Minibus</v>
      </c>
      <c r="I104" s="13" t="s">
        <v>178</v>
      </c>
      <c r="J104" s="13">
        <v>2</v>
      </c>
      <c r="K104" s="40" t="str">
        <f>VLOOKUP(J104,[1]Key!$A$24:$B$29,2,FALSE)</f>
        <v>30-39</v>
      </c>
      <c r="L104" s="13" t="s">
        <v>245</v>
      </c>
      <c r="M104" s="23" t="s">
        <v>156</v>
      </c>
      <c r="N104" s="13" t="s">
        <v>151</v>
      </c>
      <c r="O104" s="45">
        <v>2</v>
      </c>
      <c r="P104" s="30" t="str">
        <f>VLOOKUP(O104,[1]Key!$E$2:$F$9,2,FALSE)</f>
        <v>Work</v>
      </c>
      <c r="Q104" s="13" t="s">
        <v>246</v>
      </c>
      <c r="R104" s="23" t="s">
        <v>246</v>
      </c>
      <c r="S104" s="13" t="s">
        <v>151</v>
      </c>
      <c r="T104" s="23">
        <v>1</v>
      </c>
      <c r="U104" s="30" t="str">
        <f>VLOOKUP(T104,[1]Key!$E$2:$F$9,2,FALSE)</f>
        <v>Home</v>
      </c>
      <c r="V104" s="30" t="str">
        <f t="shared" si="5"/>
        <v>Work-Home</v>
      </c>
      <c r="W104" s="23">
        <v>16000</v>
      </c>
      <c r="X104" s="62">
        <v>130</v>
      </c>
      <c r="Y104" s="62" t="str">
        <f t="shared" si="6"/>
        <v>100-200</v>
      </c>
      <c r="Z104" s="62">
        <v>5</v>
      </c>
      <c r="AA104" s="62" t="str">
        <f t="shared" si="7"/>
        <v>Over 3.5</v>
      </c>
      <c r="AB104" s="23">
        <v>6</v>
      </c>
      <c r="AC104" s="30" t="str">
        <f>VLOOKUP(AB104,[1]Key!$C$20:$D$29,2,FALSE)</f>
        <v>Businessman</v>
      </c>
      <c r="AD104" s="23">
        <v>1</v>
      </c>
      <c r="AE104" s="30" t="str">
        <f>VLOOKUP(AD104,[1]Key!$E$20:$F$24,2,FALSE)</f>
        <v>&lt;300,000</v>
      </c>
      <c r="AF104" s="23">
        <v>2</v>
      </c>
      <c r="AG104" s="62">
        <v>4</v>
      </c>
      <c r="AH104" s="62">
        <v>2</v>
      </c>
      <c r="AI104" s="62">
        <v>2</v>
      </c>
      <c r="AJ104" s="62">
        <v>1</v>
      </c>
      <c r="AK104" s="45" t="s">
        <v>94</v>
      </c>
      <c r="AL104" s="36"/>
      <c r="AM104" t="str">
        <f t="shared" si="8"/>
        <v>0-1000</v>
      </c>
    </row>
    <row r="105" spans="1:39" x14ac:dyDescent="0.2">
      <c r="A105" s="44">
        <v>43771</v>
      </c>
      <c r="B105" s="60">
        <v>0.40833333333333338</v>
      </c>
      <c r="C105" s="60"/>
      <c r="D105" s="60" t="s">
        <v>165</v>
      </c>
      <c r="E105" s="13">
        <v>2</v>
      </c>
      <c r="F105" s="38" t="str">
        <f>VLOOKUP(E105,[1]Key!$A$17:$B$21,2,FALSE)</f>
        <v>Road Vehicle</v>
      </c>
      <c r="G105" s="61">
        <v>4</v>
      </c>
      <c r="H105" s="39" t="str">
        <f>VLOOKUP(G105,[1]Key!$A$2:$B$13,2,FALSE)</f>
        <v>Minibus</v>
      </c>
      <c r="I105" s="13" t="s">
        <v>178</v>
      </c>
      <c r="J105" s="13">
        <v>2</v>
      </c>
      <c r="K105" s="40" t="str">
        <f>VLOOKUP(J105,[1]Key!$A$24:$B$29,2,FALSE)</f>
        <v>30-39</v>
      </c>
      <c r="L105" s="13" t="s">
        <v>247</v>
      </c>
      <c r="M105" s="23" t="s">
        <v>150</v>
      </c>
      <c r="N105" s="13" t="s">
        <v>151</v>
      </c>
      <c r="O105" s="45">
        <v>2</v>
      </c>
      <c r="P105" s="30" t="str">
        <f>VLOOKUP(O105,[1]Key!$E$2:$F$9,2,FALSE)</f>
        <v>Work</v>
      </c>
      <c r="Q105" s="13" t="s">
        <v>248</v>
      </c>
      <c r="R105" s="23" t="s">
        <v>210</v>
      </c>
      <c r="S105" s="13" t="s">
        <v>151</v>
      </c>
      <c r="T105" s="23">
        <v>1</v>
      </c>
      <c r="U105" s="30" t="str">
        <f>VLOOKUP(T105,[1]Key!$E$2:$F$9,2,FALSE)</f>
        <v>Home</v>
      </c>
      <c r="V105" s="30" t="str">
        <f t="shared" si="5"/>
        <v>Work-Home</v>
      </c>
      <c r="W105" s="23">
        <v>10000</v>
      </c>
      <c r="X105" s="62">
        <v>90</v>
      </c>
      <c r="Y105" s="62" t="str">
        <f t="shared" si="6"/>
        <v>70-100</v>
      </c>
      <c r="Z105" s="62">
        <v>3</v>
      </c>
      <c r="AA105" s="62" t="str">
        <f t="shared" si="7"/>
        <v>2.0-3.5</v>
      </c>
      <c r="AB105" s="23">
        <v>6</v>
      </c>
      <c r="AC105" s="30" t="str">
        <f>VLOOKUP(AB105,[1]Key!$C$20:$D$29,2,FALSE)</f>
        <v>Businessman</v>
      </c>
      <c r="AD105" s="23">
        <v>1</v>
      </c>
      <c r="AE105" s="30" t="str">
        <f>VLOOKUP(AD105,[1]Key!$E$20:$F$24,2,FALSE)</f>
        <v>&lt;300,000</v>
      </c>
      <c r="AF105" s="23">
        <v>2</v>
      </c>
      <c r="AG105" s="62">
        <v>4</v>
      </c>
      <c r="AH105" s="62">
        <v>1</v>
      </c>
      <c r="AI105" s="62">
        <v>2</v>
      </c>
      <c r="AJ105" s="62">
        <v>1</v>
      </c>
      <c r="AK105" s="45" t="s">
        <v>94</v>
      </c>
      <c r="AL105" s="36"/>
      <c r="AM105" t="str">
        <f t="shared" si="8"/>
        <v>0-1000</v>
      </c>
    </row>
    <row r="106" spans="1:39" x14ac:dyDescent="0.2">
      <c r="A106" s="44">
        <v>43771</v>
      </c>
      <c r="B106" s="60">
        <v>0.38680555555555557</v>
      </c>
      <c r="C106" s="60"/>
      <c r="D106" s="60" t="s">
        <v>165</v>
      </c>
      <c r="E106" s="13">
        <v>2</v>
      </c>
      <c r="F106" s="38" t="str">
        <f>VLOOKUP(E106,[1]Key!$A$17:$B$21,2,FALSE)</f>
        <v>Road Vehicle</v>
      </c>
      <c r="G106" s="61">
        <v>4</v>
      </c>
      <c r="H106" s="39" t="str">
        <f>VLOOKUP(G106,[1]Key!$A$2:$B$13,2,FALSE)</f>
        <v>Minibus</v>
      </c>
      <c r="I106" s="13" t="s">
        <v>178</v>
      </c>
      <c r="J106" s="13">
        <v>2</v>
      </c>
      <c r="K106" s="40" t="str">
        <f>VLOOKUP(J106,[1]Key!$A$24:$B$29,2,FALSE)</f>
        <v>30-39</v>
      </c>
      <c r="L106" s="13" t="s">
        <v>249</v>
      </c>
      <c r="M106" s="23" t="s">
        <v>150</v>
      </c>
      <c r="N106" s="13" t="s">
        <v>151</v>
      </c>
      <c r="O106" s="45">
        <v>2</v>
      </c>
      <c r="P106" s="30" t="str">
        <f>VLOOKUP(O106,[1]Key!$E$2:$F$9,2,FALSE)</f>
        <v>Work</v>
      </c>
      <c r="Q106" s="13" t="s">
        <v>231</v>
      </c>
      <c r="R106" s="23" t="s">
        <v>202</v>
      </c>
      <c r="S106" s="13" t="s">
        <v>151</v>
      </c>
      <c r="T106" s="23">
        <v>1</v>
      </c>
      <c r="U106" s="30" t="str">
        <f>VLOOKUP(T106,[1]Key!$E$2:$F$9,2,FALSE)</f>
        <v>Home</v>
      </c>
      <c r="V106" s="30" t="str">
        <f t="shared" si="5"/>
        <v>Work-Home</v>
      </c>
      <c r="W106" s="23">
        <v>8000</v>
      </c>
      <c r="X106" s="62">
        <v>85</v>
      </c>
      <c r="Y106" s="62" t="str">
        <f t="shared" si="6"/>
        <v>70-100</v>
      </c>
      <c r="Z106" s="62">
        <v>2.5</v>
      </c>
      <c r="AA106" s="62" t="str">
        <f t="shared" si="7"/>
        <v>2.0-3.5</v>
      </c>
      <c r="AB106" s="23">
        <v>6</v>
      </c>
      <c r="AC106" s="30" t="str">
        <f>VLOOKUP(AB106,[1]Key!$C$20:$D$29,2,FALSE)</f>
        <v>Businessman</v>
      </c>
      <c r="AD106" s="23">
        <v>1</v>
      </c>
      <c r="AE106" s="30" t="str">
        <f>VLOOKUP(AD106,[1]Key!$E$20:$F$24,2,FALSE)</f>
        <v>&lt;300,000</v>
      </c>
      <c r="AF106" s="23">
        <v>5</v>
      </c>
      <c r="AG106" s="62">
        <v>5</v>
      </c>
      <c r="AH106" s="62">
        <v>1</v>
      </c>
      <c r="AI106" s="62">
        <v>2</v>
      </c>
      <c r="AJ106" s="62">
        <v>1</v>
      </c>
      <c r="AK106" s="45" t="s">
        <v>94</v>
      </c>
      <c r="AL106" s="36"/>
      <c r="AM106" t="str">
        <f t="shared" si="8"/>
        <v>0-1000</v>
      </c>
    </row>
    <row r="107" spans="1:39" x14ac:dyDescent="0.2">
      <c r="A107" s="44">
        <v>43771</v>
      </c>
      <c r="B107" s="60">
        <v>0.37291666666666662</v>
      </c>
      <c r="C107" s="60"/>
      <c r="D107" s="60" t="s">
        <v>165</v>
      </c>
      <c r="E107" s="13">
        <v>2</v>
      </c>
      <c r="F107" s="38" t="str">
        <f>VLOOKUP(E107,[1]Key!$A$17:$B$21,2,FALSE)</f>
        <v>Road Vehicle</v>
      </c>
      <c r="G107" s="61">
        <v>4</v>
      </c>
      <c r="H107" s="39" t="str">
        <f>VLOOKUP(G107,[1]Key!$A$2:$B$13,2,FALSE)</f>
        <v>Minibus</v>
      </c>
      <c r="I107" s="13" t="s">
        <v>178</v>
      </c>
      <c r="J107" s="13">
        <v>2</v>
      </c>
      <c r="K107" s="40" t="str">
        <f>VLOOKUP(J107,[1]Key!$A$24:$B$29,2,FALSE)</f>
        <v>30-39</v>
      </c>
      <c r="L107" s="13" t="s">
        <v>236</v>
      </c>
      <c r="M107" s="23" t="s">
        <v>150</v>
      </c>
      <c r="N107" s="13" t="s">
        <v>151</v>
      </c>
      <c r="O107" s="45">
        <v>2</v>
      </c>
      <c r="P107" s="30" t="str">
        <f>VLOOKUP(O107,[1]Key!$E$2:$F$9,2,FALSE)</f>
        <v>Work</v>
      </c>
      <c r="Q107" s="13" t="s">
        <v>250</v>
      </c>
      <c r="R107" s="23" t="s">
        <v>250</v>
      </c>
      <c r="S107" s="13" t="s">
        <v>151</v>
      </c>
      <c r="T107" s="23">
        <v>1</v>
      </c>
      <c r="U107" s="30" t="str">
        <f>VLOOKUP(T107,[1]Key!$E$2:$F$9,2,FALSE)</f>
        <v>Home</v>
      </c>
      <c r="V107" s="30" t="str">
        <f t="shared" si="5"/>
        <v>Work-Home</v>
      </c>
      <c r="W107" s="23">
        <v>10000</v>
      </c>
      <c r="X107" s="62">
        <v>100</v>
      </c>
      <c r="Y107" s="62" t="str">
        <f t="shared" si="6"/>
        <v>100-200</v>
      </c>
      <c r="Z107" s="62">
        <v>3.5</v>
      </c>
      <c r="AA107" s="62" t="str">
        <f t="shared" si="7"/>
        <v>Over 3.5</v>
      </c>
      <c r="AB107" s="23">
        <v>6</v>
      </c>
      <c r="AC107" s="30" t="str">
        <f>VLOOKUP(AB107,[1]Key!$C$20:$D$29,2,FALSE)</f>
        <v>Businessman</v>
      </c>
      <c r="AD107" s="23">
        <v>1</v>
      </c>
      <c r="AE107" s="30" t="str">
        <f>VLOOKUP(AD107,[1]Key!$E$20:$F$24,2,FALSE)</f>
        <v>&lt;300,000</v>
      </c>
      <c r="AF107" s="23">
        <v>2</v>
      </c>
      <c r="AG107" s="62">
        <v>4</v>
      </c>
      <c r="AH107" s="62">
        <v>2</v>
      </c>
      <c r="AI107" s="62">
        <v>5</v>
      </c>
      <c r="AJ107" s="62">
        <v>5</v>
      </c>
      <c r="AK107" s="45" t="s">
        <v>94</v>
      </c>
      <c r="AL107" s="36"/>
      <c r="AM107" t="str">
        <f t="shared" si="8"/>
        <v>0-1000</v>
      </c>
    </row>
    <row r="108" spans="1:39" x14ac:dyDescent="0.2">
      <c r="A108" s="44">
        <v>43771</v>
      </c>
      <c r="B108" s="60">
        <v>0.35902777777777778</v>
      </c>
      <c r="C108" s="60"/>
      <c r="D108" s="60" t="s">
        <v>165</v>
      </c>
      <c r="E108" s="13">
        <v>2</v>
      </c>
      <c r="F108" s="38" t="str">
        <f>VLOOKUP(E108,[1]Key!$A$17:$B$21,2,FALSE)</f>
        <v>Road Vehicle</v>
      </c>
      <c r="G108" s="61">
        <v>4</v>
      </c>
      <c r="H108" s="39" t="str">
        <f>VLOOKUP(G108,[1]Key!$A$2:$B$13,2,FALSE)</f>
        <v>Minibus</v>
      </c>
      <c r="I108" s="13" t="s">
        <v>178</v>
      </c>
      <c r="J108" s="13">
        <v>2</v>
      </c>
      <c r="K108" s="40" t="str">
        <f>VLOOKUP(J108,[1]Key!$A$24:$B$29,2,FALSE)</f>
        <v>30-39</v>
      </c>
      <c r="L108" s="13" t="s">
        <v>175</v>
      </c>
      <c r="M108" s="23" t="s">
        <v>156</v>
      </c>
      <c r="N108" s="13" t="s">
        <v>151</v>
      </c>
      <c r="O108" s="45">
        <v>2</v>
      </c>
      <c r="P108" s="30" t="str">
        <f>VLOOKUP(O108,[1]Key!$E$2:$F$9,2,FALSE)</f>
        <v>Work</v>
      </c>
      <c r="Q108" s="13" t="s">
        <v>229</v>
      </c>
      <c r="R108" s="23" t="s">
        <v>229</v>
      </c>
      <c r="S108" s="13" t="s">
        <v>151</v>
      </c>
      <c r="T108" s="23">
        <v>1</v>
      </c>
      <c r="U108" s="30" t="str">
        <f>VLOOKUP(T108,[1]Key!$E$2:$F$9,2,FALSE)</f>
        <v>Home</v>
      </c>
      <c r="V108" s="30" t="str">
        <f t="shared" si="5"/>
        <v>Work-Home</v>
      </c>
      <c r="W108" s="23">
        <v>12000</v>
      </c>
      <c r="X108" s="62">
        <v>120</v>
      </c>
      <c r="Y108" s="62" t="str">
        <f t="shared" si="6"/>
        <v>100-200</v>
      </c>
      <c r="Z108" s="62">
        <v>3.5</v>
      </c>
      <c r="AA108" s="62" t="str">
        <f t="shared" si="7"/>
        <v>Over 3.5</v>
      </c>
      <c r="AB108" s="23">
        <v>6</v>
      </c>
      <c r="AC108" s="30" t="str">
        <f>VLOOKUP(AB108,[1]Key!$C$20:$D$29,2,FALSE)</f>
        <v>Businessman</v>
      </c>
      <c r="AD108" s="23">
        <v>1</v>
      </c>
      <c r="AE108" s="30" t="str">
        <f>VLOOKUP(AD108,[1]Key!$E$20:$F$24,2,FALSE)</f>
        <v>&lt;300,000</v>
      </c>
      <c r="AF108" s="23">
        <v>5</v>
      </c>
      <c r="AG108" s="62">
        <v>4</v>
      </c>
      <c r="AH108" s="62">
        <v>3</v>
      </c>
      <c r="AI108" s="62">
        <v>4</v>
      </c>
      <c r="AJ108" s="62">
        <v>2</v>
      </c>
      <c r="AK108" s="45" t="s">
        <v>94</v>
      </c>
      <c r="AL108" s="36"/>
      <c r="AM108" t="str">
        <f t="shared" si="8"/>
        <v>0-1000</v>
      </c>
    </row>
    <row r="109" spans="1:39" x14ac:dyDescent="0.2">
      <c r="A109" s="44">
        <v>43771</v>
      </c>
      <c r="B109" s="60">
        <v>0.33958333333333335</v>
      </c>
      <c r="C109" s="60"/>
      <c r="D109" s="60" t="s">
        <v>165</v>
      </c>
      <c r="E109" s="13">
        <v>2</v>
      </c>
      <c r="F109" s="38" t="str">
        <f>VLOOKUP(E109,[1]Key!$A$17:$B$21,2,FALSE)</f>
        <v>Road Vehicle</v>
      </c>
      <c r="G109" s="61">
        <v>4</v>
      </c>
      <c r="H109" s="39" t="str">
        <f>VLOOKUP(G109,[1]Key!$A$2:$B$13,2,FALSE)</f>
        <v>Minibus</v>
      </c>
      <c r="I109" s="13" t="s">
        <v>178</v>
      </c>
      <c r="J109" s="13">
        <v>2</v>
      </c>
      <c r="K109" s="40" t="str">
        <f>VLOOKUP(J109,[1]Key!$A$24:$B$29,2,FALSE)</f>
        <v>30-39</v>
      </c>
      <c r="L109" s="13" t="s">
        <v>251</v>
      </c>
      <c r="M109" s="23" t="s">
        <v>150</v>
      </c>
      <c r="N109" s="13" t="s">
        <v>151</v>
      </c>
      <c r="O109" s="45">
        <v>2</v>
      </c>
      <c r="P109" s="30" t="str">
        <f>VLOOKUP(O109,[1]Key!$E$2:$F$9,2,FALSE)</f>
        <v>Work</v>
      </c>
      <c r="Q109" s="13" t="s">
        <v>252</v>
      </c>
      <c r="R109" s="23" t="s">
        <v>252</v>
      </c>
      <c r="S109" s="13" t="s">
        <v>151</v>
      </c>
      <c r="T109" s="23">
        <v>1</v>
      </c>
      <c r="U109" s="30" t="str">
        <f>VLOOKUP(T109,[1]Key!$E$2:$F$9,2,FALSE)</f>
        <v>Home</v>
      </c>
      <c r="V109" s="30" t="str">
        <f t="shared" si="5"/>
        <v>Work-Home</v>
      </c>
      <c r="W109" s="23">
        <v>10000</v>
      </c>
      <c r="X109" s="62">
        <v>85</v>
      </c>
      <c r="Y109" s="62" t="str">
        <f t="shared" si="6"/>
        <v>70-100</v>
      </c>
      <c r="Z109" s="62">
        <v>3</v>
      </c>
      <c r="AA109" s="62" t="str">
        <f t="shared" si="7"/>
        <v>2.0-3.5</v>
      </c>
      <c r="AB109" s="23">
        <v>6</v>
      </c>
      <c r="AC109" s="30" t="str">
        <f>VLOOKUP(AB109,[1]Key!$C$20:$D$29,2,FALSE)</f>
        <v>Businessman</v>
      </c>
      <c r="AD109" s="23">
        <v>1</v>
      </c>
      <c r="AE109" s="30" t="str">
        <f>VLOOKUP(AD109,[1]Key!$E$20:$F$24,2,FALSE)</f>
        <v>&lt;300,000</v>
      </c>
      <c r="AF109" s="23">
        <v>2</v>
      </c>
      <c r="AG109" s="62">
        <v>4</v>
      </c>
      <c r="AH109" s="62">
        <v>1</v>
      </c>
      <c r="AI109" s="62">
        <v>2</v>
      </c>
      <c r="AJ109" s="62">
        <v>2</v>
      </c>
      <c r="AK109" s="45" t="s">
        <v>94</v>
      </c>
      <c r="AL109" s="36"/>
      <c r="AM109" t="str">
        <f t="shared" si="8"/>
        <v>0-1000</v>
      </c>
    </row>
    <row r="110" spans="1:39" x14ac:dyDescent="0.2">
      <c r="A110" s="44">
        <v>43771</v>
      </c>
      <c r="B110" s="60">
        <v>0.71250000000000002</v>
      </c>
      <c r="C110" s="60"/>
      <c r="D110" s="60" t="s">
        <v>165</v>
      </c>
      <c r="E110" s="13">
        <v>2</v>
      </c>
      <c r="F110" s="38" t="str">
        <f>VLOOKUP(E110,[1]Key!$A$17:$B$21,2,FALSE)</f>
        <v>Road Vehicle</v>
      </c>
      <c r="G110" s="61">
        <v>4</v>
      </c>
      <c r="H110" s="39" t="str">
        <f>VLOOKUP(G110,[1]Key!$A$2:$B$13,2,FALSE)</f>
        <v>Minibus</v>
      </c>
      <c r="I110" s="13" t="s">
        <v>178</v>
      </c>
      <c r="J110" s="13">
        <v>2</v>
      </c>
      <c r="K110" s="40" t="str">
        <f>VLOOKUP(J110,[1]Key!$A$24:$B$29,2,FALSE)</f>
        <v>30-39</v>
      </c>
      <c r="L110" s="13" t="s">
        <v>253</v>
      </c>
      <c r="M110" s="23" t="s">
        <v>150</v>
      </c>
      <c r="N110" s="13" t="s">
        <v>151</v>
      </c>
      <c r="O110" s="45">
        <v>2</v>
      </c>
      <c r="P110" s="30" t="str">
        <f>VLOOKUP(O110,[1]Key!$E$2:$F$9,2,FALSE)</f>
        <v>Work</v>
      </c>
      <c r="Q110" s="13" t="s">
        <v>231</v>
      </c>
      <c r="R110" s="23" t="s">
        <v>202</v>
      </c>
      <c r="S110" s="13" t="s">
        <v>151</v>
      </c>
      <c r="T110" s="23">
        <v>8</v>
      </c>
      <c r="U110" s="30" t="str">
        <f>VLOOKUP(T110,[1]Key!$E$2:$F$9,2,FALSE)</f>
        <v>Others</v>
      </c>
      <c r="V110" s="30" t="str">
        <f t="shared" si="5"/>
        <v>Work-Others</v>
      </c>
      <c r="W110" s="23">
        <v>8000</v>
      </c>
      <c r="X110" s="62">
        <v>85</v>
      </c>
      <c r="Y110" s="62" t="str">
        <f t="shared" si="6"/>
        <v>70-100</v>
      </c>
      <c r="Z110" s="62">
        <v>2.5</v>
      </c>
      <c r="AA110" s="62" t="str">
        <f t="shared" si="7"/>
        <v>2.0-3.5</v>
      </c>
      <c r="AB110" s="23">
        <v>6</v>
      </c>
      <c r="AC110" s="30" t="str">
        <f>VLOOKUP(AB110,[1]Key!$C$20:$D$29,2,FALSE)</f>
        <v>Businessman</v>
      </c>
      <c r="AD110" s="23">
        <v>1</v>
      </c>
      <c r="AE110" s="30" t="str">
        <f>VLOOKUP(AD110,[1]Key!$E$20:$F$24,2,FALSE)</f>
        <v>&lt;300,000</v>
      </c>
      <c r="AF110" s="23">
        <v>5</v>
      </c>
      <c r="AG110" s="62">
        <v>5</v>
      </c>
      <c r="AH110" s="62">
        <v>4</v>
      </c>
      <c r="AI110" s="62">
        <v>3</v>
      </c>
      <c r="AJ110" s="62">
        <v>5</v>
      </c>
      <c r="AK110" s="45" t="s">
        <v>94</v>
      </c>
      <c r="AL110" s="36"/>
      <c r="AM110" t="str">
        <f t="shared" si="8"/>
        <v>0-1000</v>
      </c>
    </row>
    <row r="111" spans="1:39" x14ac:dyDescent="0.2">
      <c r="A111" s="44">
        <v>43771</v>
      </c>
      <c r="B111" s="60">
        <v>0.61111111111111105</v>
      </c>
      <c r="C111" s="60"/>
      <c r="D111" s="60" t="s">
        <v>165</v>
      </c>
      <c r="E111" s="13">
        <v>2</v>
      </c>
      <c r="F111" s="38" t="str">
        <f>VLOOKUP(E111,[1]Key!$A$17:$B$21,2,FALSE)</f>
        <v>Road Vehicle</v>
      </c>
      <c r="G111" s="61">
        <v>4</v>
      </c>
      <c r="H111" s="39" t="str">
        <f>VLOOKUP(G111,[1]Key!$A$2:$B$13,2,FALSE)</f>
        <v>Minibus</v>
      </c>
      <c r="I111" s="13" t="s">
        <v>178</v>
      </c>
      <c r="J111" s="13">
        <v>2</v>
      </c>
      <c r="K111" s="40" t="str">
        <f>VLOOKUP(J111,[1]Key!$A$24:$B$29,2,FALSE)</f>
        <v>30-39</v>
      </c>
      <c r="L111" s="13" t="s">
        <v>254</v>
      </c>
      <c r="M111" s="23" t="s">
        <v>150</v>
      </c>
      <c r="N111" s="13" t="s">
        <v>151</v>
      </c>
      <c r="O111" s="45">
        <v>2</v>
      </c>
      <c r="P111" s="30" t="str">
        <f>VLOOKUP(O111,[1]Key!$E$2:$F$9,2,FALSE)</f>
        <v>Work</v>
      </c>
      <c r="Q111" s="13" t="s">
        <v>255</v>
      </c>
      <c r="R111" s="23" t="s">
        <v>255</v>
      </c>
      <c r="S111" s="13" t="s">
        <v>151</v>
      </c>
      <c r="T111" s="23">
        <v>8</v>
      </c>
      <c r="U111" s="30" t="str">
        <f>VLOOKUP(T111,[1]Key!$E$2:$F$9,2,FALSE)</f>
        <v>Others</v>
      </c>
      <c r="V111" s="30" t="str">
        <f t="shared" si="5"/>
        <v>Work-Others</v>
      </c>
      <c r="W111" s="23">
        <v>10000</v>
      </c>
      <c r="X111" s="62">
        <v>95</v>
      </c>
      <c r="Y111" s="62" t="str">
        <f t="shared" si="6"/>
        <v>70-100</v>
      </c>
      <c r="Z111" s="62">
        <v>3</v>
      </c>
      <c r="AA111" s="62" t="str">
        <f t="shared" si="7"/>
        <v>2.0-3.5</v>
      </c>
      <c r="AB111" s="23">
        <v>6</v>
      </c>
      <c r="AC111" s="30" t="str">
        <f>VLOOKUP(AB111,[1]Key!$C$20:$D$29,2,FALSE)</f>
        <v>Businessman</v>
      </c>
      <c r="AD111" s="23">
        <v>1</v>
      </c>
      <c r="AE111" s="30" t="str">
        <f>VLOOKUP(AD111,[1]Key!$E$20:$F$24,2,FALSE)</f>
        <v>&lt;300,000</v>
      </c>
      <c r="AF111" s="23">
        <v>5</v>
      </c>
      <c r="AG111" s="62">
        <v>4</v>
      </c>
      <c r="AH111" s="62">
        <v>2</v>
      </c>
      <c r="AI111" s="62">
        <v>2</v>
      </c>
      <c r="AJ111" s="62">
        <v>1</v>
      </c>
      <c r="AK111" s="45" t="s">
        <v>94</v>
      </c>
      <c r="AL111" s="36"/>
      <c r="AM111" t="str">
        <f t="shared" si="8"/>
        <v>0-1000</v>
      </c>
    </row>
    <row r="112" spans="1:39" x14ac:dyDescent="0.2">
      <c r="A112" s="44">
        <v>43771</v>
      </c>
      <c r="B112" s="60">
        <v>0.74097222222222225</v>
      </c>
      <c r="C112" s="60"/>
      <c r="D112" s="60" t="s">
        <v>165</v>
      </c>
      <c r="E112" s="13">
        <v>2</v>
      </c>
      <c r="F112" s="38" t="str">
        <f>VLOOKUP(E112,[1]Key!$A$17:$B$21,2,FALSE)</f>
        <v>Road Vehicle</v>
      </c>
      <c r="G112" s="61">
        <v>4</v>
      </c>
      <c r="H112" s="39" t="str">
        <f>VLOOKUP(G112,[1]Key!$A$2:$B$13,2,FALSE)</f>
        <v>Minibus</v>
      </c>
      <c r="I112" s="13" t="s">
        <v>178</v>
      </c>
      <c r="J112" s="13">
        <v>2</v>
      </c>
      <c r="K112" s="40" t="str">
        <f>VLOOKUP(J112,[1]Key!$A$24:$B$29,2,FALSE)</f>
        <v>30-39</v>
      </c>
      <c r="L112" s="13" t="s">
        <v>256</v>
      </c>
      <c r="M112" s="23" t="s">
        <v>150</v>
      </c>
      <c r="N112" s="13" t="s">
        <v>151</v>
      </c>
      <c r="O112" s="45">
        <v>2</v>
      </c>
      <c r="P112" s="30" t="str">
        <f>VLOOKUP(O112,[1]Key!$E$2:$F$9,2,FALSE)</f>
        <v>Work</v>
      </c>
      <c r="Q112" s="13" t="s">
        <v>190</v>
      </c>
      <c r="R112" s="23" t="s">
        <v>190</v>
      </c>
      <c r="S112" s="13" t="s">
        <v>151</v>
      </c>
      <c r="T112" s="23">
        <v>3</v>
      </c>
      <c r="U112" s="30" t="str">
        <f>VLOOKUP(T112,[1]Key!$E$2:$F$9,2,FALSE)</f>
        <v>Study</v>
      </c>
      <c r="V112" s="30" t="str">
        <f t="shared" si="5"/>
        <v>Work-Study</v>
      </c>
      <c r="W112" s="23">
        <v>6000</v>
      </c>
      <c r="X112" s="62">
        <v>65</v>
      </c>
      <c r="Y112" s="62" t="str">
        <f t="shared" si="6"/>
        <v>40-70</v>
      </c>
      <c r="Z112" s="62">
        <v>2</v>
      </c>
      <c r="AA112" s="62" t="str">
        <f t="shared" si="7"/>
        <v>2.0-3.5</v>
      </c>
      <c r="AB112" s="23">
        <v>8</v>
      </c>
      <c r="AC112" s="30" t="str">
        <f>VLOOKUP(AB112,[1]Key!$C$20:$D$29,2,FALSE)</f>
        <v>Student</v>
      </c>
      <c r="AD112" s="23">
        <v>1</v>
      </c>
      <c r="AE112" s="30" t="str">
        <f>VLOOKUP(AD112,[1]Key!$E$20:$F$24,2,FALSE)</f>
        <v>&lt;300,000</v>
      </c>
      <c r="AF112" s="23">
        <v>2</v>
      </c>
      <c r="AG112" s="62">
        <v>2</v>
      </c>
      <c r="AH112" s="62">
        <v>1</v>
      </c>
      <c r="AI112" s="62">
        <v>2</v>
      </c>
      <c r="AJ112" s="62">
        <v>1</v>
      </c>
      <c r="AK112" s="45" t="s">
        <v>94</v>
      </c>
      <c r="AL112" s="36"/>
      <c r="AM112" t="str">
        <f t="shared" si="8"/>
        <v>0-1000</v>
      </c>
    </row>
    <row r="113" spans="1:39" x14ac:dyDescent="0.2">
      <c r="A113" s="44">
        <v>43771</v>
      </c>
      <c r="B113" s="60">
        <v>0.31319444444444444</v>
      </c>
      <c r="C113" s="60"/>
      <c r="D113" s="60" t="s">
        <v>165</v>
      </c>
      <c r="E113" s="13">
        <v>2</v>
      </c>
      <c r="F113" s="38" t="str">
        <f>VLOOKUP(E113,[1]Key!$A$17:$B$21,2,FALSE)</f>
        <v>Road Vehicle</v>
      </c>
      <c r="G113" s="61">
        <v>4</v>
      </c>
      <c r="H113" s="39" t="str">
        <f>VLOOKUP(G113,[1]Key!$A$2:$B$13,2,FALSE)</f>
        <v>Minibus</v>
      </c>
      <c r="I113" s="13" t="s">
        <v>178</v>
      </c>
      <c r="J113" s="13">
        <v>2</v>
      </c>
      <c r="K113" s="40" t="str">
        <f>VLOOKUP(J113,[1]Key!$A$24:$B$29,2,FALSE)</f>
        <v>30-39</v>
      </c>
      <c r="L113" s="13" t="s">
        <v>159</v>
      </c>
      <c r="M113" s="23" t="s">
        <v>159</v>
      </c>
      <c r="N113" s="13" t="s">
        <v>151</v>
      </c>
      <c r="O113" s="45">
        <v>2</v>
      </c>
      <c r="P113" s="30" t="str">
        <f>VLOOKUP(O113,[1]Key!$E$2:$F$9,2,FALSE)</f>
        <v>Work</v>
      </c>
      <c r="Q113" s="13" t="s">
        <v>229</v>
      </c>
      <c r="R113" s="23" t="s">
        <v>229</v>
      </c>
      <c r="S113" s="13" t="s">
        <v>151</v>
      </c>
      <c r="T113" s="23">
        <v>3</v>
      </c>
      <c r="U113" s="30" t="str">
        <f>VLOOKUP(T113,[1]Key!$E$2:$F$9,2,FALSE)</f>
        <v>Study</v>
      </c>
      <c r="V113" s="30" t="str">
        <f t="shared" si="5"/>
        <v>Work-Study</v>
      </c>
      <c r="W113" s="23">
        <v>12000</v>
      </c>
      <c r="X113" s="62">
        <v>120</v>
      </c>
      <c r="Y113" s="62" t="str">
        <f t="shared" si="6"/>
        <v>100-200</v>
      </c>
      <c r="Z113" s="62">
        <v>3.5</v>
      </c>
      <c r="AA113" s="62" t="str">
        <f t="shared" si="7"/>
        <v>Over 3.5</v>
      </c>
      <c r="AB113" s="23">
        <v>8</v>
      </c>
      <c r="AC113" s="30" t="str">
        <f>VLOOKUP(AB113,[1]Key!$C$20:$D$29,2,FALSE)</f>
        <v>Student</v>
      </c>
      <c r="AD113" s="23">
        <v>1</v>
      </c>
      <c r="AE113" s="30" t="str">
        <f>VLOOKUP(AD113,[1]Key!$E$20:$F$24,2,FALSE)</f>
        <v>&lt;300,000</v>
      </c>
      <c r="AF113" s="23">
        <v>5</v>
      </c>
      <c r="AG113" s="62">
        <v>4</v>
      </c>
      <c r="AH113" s="62">
        <v>2</v>
      </c>
      <c r="AI113" s="62">
        <v>2</v>
      </c>
      <c r="AJ113" s="62">
        <v>1</v>
      </c>
      <c r="AK113" s="45" t="s">
        <v>94</v>
      </c>
      <c r="AL113" s="36"/>
      <c r="AM113" t="str">
        <f t="shared" si="8"/>
        <v>0-1000</v>
      </c>
    </row>
    <row r="114" spans="1:39" x14ac:dyDescent="0.2">
      <c r="A114" s="44">
        <v>43771</v>
      </c>
      <c r="B114" s="60">
        <v>0.64236111111111105</v>
      </c>
      <c r="C114" s="60"/>
      <c r="D114" s="60" t="s">
        <v>165</v>
      </c>
      <c r="E114" s="13">
        <v>2</v>
      </c>
      <c r="F114" s="38" t="str">
        <f>VLOOKUP(E114,[1]Key!$A$17:$B$21,2,FALSE)</f>
        <v>Road Vehicle</v>
      </c>
      <c r="G114" s="61">
        <v>4</v>
      </c>
      <c r="H114" s="39" t="str">
        <f>VLOOKUP(G114,[1]Key!$A$2:$B$13,2,FALSE)</f>
        <v>Minibus</v>
      </c>
      <c r="I114" s="13" t="s">
        <v>178</v>
      </c>
      <c r="J114" s="13">
        <v>2</v>
      </c>
      <c r="K114" s="40" t="str">
        <f>VLOOKUP(J114,[1]Key!$A$24:$B$29,2,FALSE)</f>
        <v>30-39</v>
      </c>
      <c r="L114" s="13" t="s">
        <v>219</v>
      </c>
      <c r="M114" s="23" t="s">
        <v>156</v>
      </c>
      <c r="N114" s="13" t="s">
        <v>151</v>
      </c>
      <c r="O114" s="45">
        <v>2</v>
      </c>
      <c r="P114" s="30" t="str">
        <f>VLOOKUP(O114,[1]Key!$E$2:$F$9,2,FALSE)</f>
        <v>Work</v>
      </c>
      <c r="Q114" s="13" t="s">
        <v>257</v>
      </c>
      <c r="R114" s="23" t="s">
        <v>257</v>
      </c>
      <c r="S114" s="13" t="s">
        <v>151</v>
      </c>
      <c r="T114" s="23">
        <v>2</v>
      </c>
      <c r="U114" s="30" t="str">
        <f>VLOOKUP(T114,[1]Key!$E$2:$F$9,2,FALSE)</f>
        <v>Work</v>
      </c>
      <c r="V114" s="30" t="str">
        <f t="shared" si="5"/>
        <v>Work-Work</v>
      </c>
      <c r="W114" s="23">
        <v>18000</v>
      </c>
      <c r="X114" s="62">
        <v>110</v>
      </c>
      <c r="Y114" s="62" t="str">
        <f t="shared" si="6"/>
        <v>100-200</v>
      </c>
      <c r="Z114" s="62">
        <v>4.5</v>
      </c>
      <c r="AA114" s="62" t="str">
        <f t="shared" si="7"/>
        <v>Over 3.5</v>
      </c>
      <c r="AB114" s="23">
        <v>6</v>
      </c>
      <c r="AC114" s="30" t="str">
        <f>VLOOKUP(AB114,[1]Key!$C$20:$D$29,2,FALSE)</f>
        <v>Businessman</v>
      </c>
      <c r="AD114" s="23">
        <v>1</v>
      </c>
      <c r="AE114" s="30" t="str">
        <f>VLOOKUP(AD114,[1]Key!$E$20:$F$24,2,FALSE)</f>
        <v>&lt;300,000</v>
      </c>
      <c r="AF114" s="23">
        <v>5</v>
      </c>
      <c r="AG114" s="62">
        <v>4</v>
      </c>
      <c r="AH114" s="62">
        <v>1</v>
      </c>
      <c r="AI114" s="62">
        <v>2</v>
      </c>
      <c r="AJ114" s="62">
        <v>1</v>
      </c>
      <c r="AK114" s="45" t="s">
        <v>94</v>
      </c>
      <c r="AL114" s="36"/>
      <c r="AM114" t="str">
        <f t="shared" si="8"/>
        <v>0-1000</v>
      </c>
    </row>
    <row r="115" spans="1:39" x14ac:dyDescent="0.2">
      <c r="A115" s="44">
        <v>43771</v>
      </c>
      <c r="B115" s="60">
        <v>0.47291666666666665</v>
      </c>
      <c r="C115" s="60"/>
      <c r="D115" s="60" t="s">
        <v>165</v>
      </c>
      <c r="E115" s="13">
        <v>2</v>
      </c>
      <c r="F115" s="38" t="str">
        <f>VLOOKUP(E115,[1]Key!$A$17:$B$21,2,FALSE)</f>
        <v>Road Vehicle</v>
      </c>
      <c r="G115" s="61">
        <v>4</v>
      </c>
      <c r="H115" s="39" t="str">
        <f>VLOOKUP(G115,[1]Key!$A$2:$B$13,2,FALSE)</f>
        <v>Minibus</v>
      </c>
      <c r="I115" s="13" t="s">
        <v>178</v>
      </c>
      <c r="J115" s="13">
        <v>2</v>
      </c>
      <c r="K115" s="40" t="str">
        <f>VLOOKUP(J115,[1]Key!$A$24:$B$29,2,FALSE)</f>
        <v>30-39</v>
      </c>
      <c r="L115" s="13" t="s">
        <v>258</v>
      </c>
      <c r="M115" s="23" t="s">
        <v>150</v>
      </c>
      <c r="N115" s="13" t="s">
        <v>151</v>
      </c>
      <c r="O115" s="45">
        <v>2</v>
      </c>
      <c r="P115" s="30" t="str">
        <f>VLOOKUP(O115,[1]Key!$E$2:$F$9,2,FALSE)</f>
        <v>Work</v>
      </c>
      <c r="Q115" s="13" t="s">
        <v>259</v>
      </c>
      <c r="R115" s="23" t="s">
        <v>210</v>
      </c>
      <c r="S115" s="13" t="s">
        <v>151</v>
      </c>
      <c r="T115" s="23">
        <v>2</v>
      </c>
      <c r="U115" s="30" t="str">
        <f>VLOOKUP(T115,[1]Key!$E$2:$F$9,2,FALSE)</f>
        <v>Work</v>
      </c>
      <c r="V115" s="30" t="str">
        <f t="shared" si="5"/>
        <v>Work-Work</v>
      </c>
      <c r="W115" s="23">
        <v>9000</v>
      </c>
      <c r="X115" s="62">
        <v>78</v>
      </c>
      <c r="Y115" s="62" t="str">
        <f t="shared" si="6"/>
        <v>70-100</v>
      </c>
      <c r="Z115" s="62">
        <v>3</v>
      </c>
      <c r="AA115" s="62" t="str">
        <f t="shared" si="7"/>
        <v>2.0-3.5</v>
      </c>
      <c r="AB115" s="23">
        <v>6</v>
      </c>
      <c r="AC115" s="30" t="str">
        <f>VLOOKUP(AB115,[1]Key!$C$20:$D$29,2,FALSE)</f>
        <v>Businessman</v>
      </c>
      <c r="AD115" s="23">
        <v>1</v>
      </c>
      <c r="AE115" s="30" t="str">
        <f>VLOOKUP(AD115,[1]Key!$E$20:$F$24,2,FALSE)</f>
        <v>&lt;300,000</v>
      </c>
      <c r="AF115" s="23">
        <v>2</v>
      </c>
      <c r="AG115" s="62">
        <v>4</v>
      </c>
      <c r="AH115" s="62">
        <v>1</v>
      </c>
      <c r="AI115" s="62">
        <v>5</v>
      </c>
      <c r="AJ115" s="62">
        <v>5</v>
      </c>
      <c r="AK115" s="45" t="s">
        <v>94</v>
      </c>
      <c r="AL115" s="36"/>
      <c r="AM115" t="str">
        <f t="shared" si="8"/>
        <v>0-1000</v>
      </c>
    </row>
    <row r="116" spans="1:39" x14ac:dyDescent="0.2">
      <c r="A116" s="44">
        <v>43771</v>
      </c>
      <c r="B116" s="60">
        <v>0.40069444444444446</v>
      </c>
      <c r="C116" s="60"/>
      <c r="D116" s="60" t="s">
        <v>165</v>
      </c>
      <c r="E116" s="13">
        <v>2</v>
      </c>
      <c r="F116" s="38" t="str">
        <f>VLOOKUP(E116,[1]Key!$A$17:$B$21,2,FALSE)</f>
        <v>Road Vehicle</v>
      </c>
      <c r="G116" s="61">
        <v>4</v>
      </c>
      <c r="H116" s="39" t="str">
        <f>VLOOKUP(G116,[1]Key!$A$2:$B$13,2,FALSE)</f>
        <v>Minibus</v>
      </c>
      <c r="I116" s="13" t="s">
        <v>178</v>
      </c>
      <c r="J116" s="13">
        <v>3</v>
      </c>
      <c r="K116" s="40" t="str">
        <f>VLOOKUP(J116,[1]Key!$A$24:$B$29,2,FALSE)</f>
        <v>40-49</v>
      </c>
      <c r="L116" s="63" t="s">
        <v>260</v>
      </c>
      <c r="M116" s="23" t="s">
        <v>150</v>
      </c>
      <c r="N116" s="13" t="s">
        <v>151</v>
      </c>
      <c r="O116" s="45">
        <v>4</v>
      </c>
      <c r="P116" s="30" t="str">
        <f>VLOOKUP(O116,[1]Key!$E$2:$F$9,2,FALSE)</f>
        <v>Commercial</v>
      </c>
      <c r="Q116" s="13" t="s">
        <v>261</v>
      </c>
      <c r="R116" s="23" t="s">
        <v>210</v>
      </c>
      <c r="S116" s="13" t="s">
        <v>151</v>
      </c>
      <c r="T116" s="23">
        <v>1</v>
      </c>
      <c r="U116" s="30" t="str">
        <f>VLOOKUP(T116,[1]Key!$E$2:$F$9,2,FALSE)</f>
        <v>Home</v>
      </c>
      <c r="V116" s="30" t="str">
        <f t="shared" si="5"/>
        <v>Commercial-Home</v>
      </c>
      <c r="W116" s="41">
        <v>7000</v>
      </c>
      <c r="X116" s="62">
        <v>120</v>
      </c>
      <c r="Y116" s="62" t="str">
        <f t="shared" si="6"/>
        <v>100-200</v>
      </c>
      <c r="Z116" s="62">
        <v>1</v>
      </c>
      <c r="AA116" s="62" t="str">
        <f t="shared" si="7"/>
        <v>1.0-2.0</v>
      </c>
      <c r="AB116" s="23">
        <v>7</v>
      </c>
      <c r="AC116" s="30" t="str">
        <f>VLOOKUP(AB116,[1]Key!$C$20:$D$29,2,FALSE)</f>
        <v>Farmer</v>
      </c>
      <c r="AD116" s="23">
        <v>2</v>
      </c>
      <c r="AE116" s="30" t="str">
        <f>VLOOKUP(AD116,[1]Key!$E$20:$F$24,2,FALSE)</f>
        <v>300,000-500,000</v>
      </c>
      <c r="AF116" s="23">
        <v>5</v>
      </c>
      <c r="AG116" s="62">
        <v>4</v>
      </c>
      <c r="AH116" s="62">
        <v>1</v>
      </c>
      <c r="AI116" s="62">
        <v>1</v>
      </c>
      <c r="AJ116" s="62">
        <v>2</v>
      </c>
      <c r="AK116" s="45" t="s">
        <v>94</v>
      </c>
      <c r="AL116" s="36">
        <v>1000</v>
      </c>
      <c r="AM116" t="str">
        <f t="shared" si="8"/>
        <v>1000-2000</v>
      </c>
    </row>
    <row r="117" spans="1:39" x14ac:dyDescent="0.2">
      <c r="A117" s="44">
        <v>43771</v>
      </c>
      <c r="B117" s="60">
        <v>0.55972222222222223</v>
      </c>
      <c r="C117" s="60"/>
      <c r="D117" s="60" t="s">
        <v>165</v>
      </c>
      <c r="E117" s="13">
        <v>2</v>
      </c>
      <c r="F117" s="38" t="str">
        <f>VLOOKUP(E117,[1]Key!$A$17:$B$21,2,FALSE)</f>
        <v>Road Vehicle</v>
      </c>
      <c r="G117" s="61">
        <v>4</v>
      </c>
      <c r="H117" s="39" t="str">
        <f>VLOOKUP(G117,[1]Key!$A$2:$B$13,2,FALSE)</f>
        <v>Minibus</v>
      </c>
      <c r="I117" s="13" t="s">
        <v>178</v>
      </c>
      <c r="J117" s="13">
        <v>3</v>
      </c>
      <c r="K117" s="40" t="str">
        <f>VLOOKUP(J117,[1]Key!$A$24:$B$29,2,FALSE)</f>
        <v>40-49</v>
      </c>
      <c r="L117" s="13" t="s">
        <v>262</v>
      </c>
      <c r="M117" s="23" t="s">
        <v>150</v>
      </c>
      <c r="N117" s="13" t="s">
        <v>151</v>
      </c>
      <c r="O117" s="45">
        <v>4</v>
      </c>
      <c r="P117" s="30" t="str">
        <f>VLOOKUP(O117,[1]Key!$E$2:$F$9,2,FALSE)</f>
        <v>Commercial</v>
      </c>
      <c r="Q117" s="13" t="s">
        <v>253</v>
      </c>
      <c r="R117" s="23" t="s">
        <v>156</v>
      </c>
      <c r="S117" s="13" t="s">
        <v>151</v>
      </c>
      <c r="T117" s="23">
        <v>2</v>
      </c>
      <c r="U117" s="30" t="str">
        <f>VLOOKUP(T117,[1]Key!$E$2:$F$9,2,FALSE)</f>
        <v>Work</v>
      </c>
      <c r="V117" s="30" t="str">
        <f t="shared" si="5"/>
        <v>Commercial-Work</v>
      </c>
      <c r="W117" s="41">
        <v>5000</v>
      </c>
      <c r="X117" s="62">
        <v>30</v>
      </c>
      <c r="Y117" s="62" t="str">
        <f t="shared" si="6"/>
        <v>20-40</v>
      </c>
      <c r="Z117" s="62">
        <v>0.8</v>
      </c>
      <c r="AA117" s="62" t="str">
        <f t="shared" si="7"/>
        <v>0.5-1.0</v>
      </c>
      <c r="AB117" s="23">
        <v>6</v>
      </c>
      <c r="AC117" s="30" t="str">
        <f>VLOOKUP(AB117,[1]Key!$C$20:$D$29,2,FALSE)</f>
        <v>Businessman</v>
      </c>
      <c r="AD117" s="23">
        <v>2</v>
      </c>
      <c r="AE117" s="30" t="str">
        <f>VLOOKUP(AD117,[1]Key!$E$20:$F$24,2,FALSE)</f>
        <v>300,000-500,000</v>
      </c>
      <c r="AF117" s="23">
        <v>5</v>
      </c>
      <c r="AG117" s="62">
        <v>4</v>
      </c>
      <c r="AH117" s="62">
        <v>4</v>
      </c>
      <c r="AI117" s="62">
        <v>3</v>
      </c>
      <c r="AJ117" s="62">
        <v>5</v>
      </c>
      <c r="AK117" s="45" t="s">
        <v>94</v>
      </c>
      <c r="AL117" s="36">
        <v>3000</v>
      </c>
      <c r="AM117" t="str">
        <f t="shared" si="8"/>
        <v>3000-5000</v>
      </c>
    </row>
    <row r="118" spans="1:39" x14ac:dyDescent="0.2">
      <c r="A118" s="44">
        <v>43771</v>
      </c>
      <c r="B118" s="60">
        <v>0.44236111111111115</v>
      </c>
      <c r="C118" s="60"/>
      <c r="D118" s="60" t="s">
        <v>165</v>
      </c>
      <c r="E118" s="13">
        <v>2</v>
      </c>
      <c r="F118" s="38" t="str">
        <f>VLOOKUP(E118,[1]Key!$A$17:$B$21,2,FALSE)</f>
        <v>Road Vehicle</v>
      </c>
      <c r="G118" s="61">
        <v>4</v>
      </c>
      <c r="H118" s="39" t="str">
        <f>VLOOKUP(G118,[1]Key!$A$2:$B$13,2,FALSE)</f>
        <v>Minibus</v>
      </c>
      <c r="I118" s="13" t="s">
        <v>178</v>
      </c>
      <c r="J118" s="13">
        <v>3</v>
      </c>
      <c r="K118" s="40" t="str">
        <f>VLOOKUP(J118,[1]Key!$A$24:$B$29,2,FALSE)</f>
        <v>40-49</v>
      </c>
      <c r="L118" s="13" t="s">
        <v>233</v>
      </c>
      <c r="M118" s="23" t="s">
        <v>150</v>
      </c>
      <c r="N118" s="13" t="s">
        <v>151</v>
      </c>
      <c r="O118" s="45">
        <v>2</v>
      </c>
      <c r="P118" s="30" t="str">
        <f>VLOOKUP(O118,[1]Key!$E$2:$F$9,2,FALSE)</f>
        <v>Work</v>
      </c>
      <c r="Q118" s="13" t="s">
        <v>263</v>
      </c>
      <c r="R118" s="23" t="s">
        <v>159</v>
      </c>
      <c r="S118" s="13" t="s">
        <v>151</v>
      </c>
      <c r="T118" s="23">
        <v>1</v>
      </c>
      <c r="U118" s="30" t="str">
        <f>VLOOKUP(T118,[1]Key!$E$2:$F$9,2,FALSE)</f>
        <v>Home</v>
      </c>
      <c r="V118" s="30" t="str">
        <f t="shared" si="5"/>
        <v>Work-Home</v>
      </c>
      <c r="W118" s="23">
        <v>6000</v>
      </c>
      <c r="X118" s="62">
        <v>35</v>
      </c>
      <c r="Y118" s="62" t="str">
        <f t="shared" si="6"/>
        <v>20-40</v>
      </c>
      <c r="Z118" s="62">
        <v>3</v>
      </c>
      <c r="AA118" s="62" t="str">
        <f t="shared" si="7"/>
        <v>2.0-3.5</v>
      </c>
      <c r="AB118" s="23">
        <v>6</v>
      </c>
      <c r="AC118" s="30" t="str">
        <f>VLOOKUP(AB118,[1]Key!$C$20:$D$29,2,FALSE)</f>
        <v>Businessman</v>
      </c>
      <c r="AD118" s="23">
        <v>4</v>
      </c>
      <c r="AE118" s="30" t="str">
        <f>VLOOKUP(AD118,[1]Key!$E$20:$F$24,2,FALSE)</f>
        <v>750,000-1,000,000</v>
      </c>
      <c r="AF118" s="23">
        <v>5</v>
      </c>
      <c r="AG118" s="62">
        <v>1</v>
      </c>
      <c r="AH118" s="62">
        <v>2</v>
      </c>
      <c r="AI118" s="62">
        <v>1</v>
      </c>
      <c r="AJ118" s="62">
        <v>2</v>
      </c>
      <c r="AK118" s="45" t="s">
        <v>94</v>
      </c>
      <c r="AL118" s="36">
        <v>2000</v>
      </c>
      <c r="AM118" t="str">
        <f t="shared" si="8"/>
        <v>2000-3000</v>
      </c>
    </row>
    <row r="119" spans="1:39" x14ac:dyDescent="0.2">
      <c r="A119" s="44">
        <v>43771</v>
      </c>
      <c r="B119" s="60">
        <v>0.65902777777777777</v>
      </c>
      <c r="C119" s="60"/>
      <c r="D119" s="60" t="s">
        <v>165</v>
      </c>
      <c r="E119" s="13">
        <v>2</v>
      </c>
      <c r="F119" s="38" t="str">
        <f>VLOOKUP(E119,[1]Key!$A$17:$B$21,2,FALSE)</f>
        <v>Road Vehicle</v>
      </c>
      <c r="G119" s="61">
        <v>4</v>
      </c>
      <c r="H119" s="39" t="str">
        <f>VLOOKUP(G119,[1]Key!$A$2:$B$13,2,FALSE)</f>
        <v>Minibus</v>
      </c>
      <c r="I119" s="13" t="s">
        <v>178</v>
      </c>
      <c r="J119" s="13">
        <v>3</v>
      </c>
      <c r="K119" s="40" t="str">
        <f>VLOOKUP(J119,[1]Key!$A$24:$B$29,2,FALSE)</f>
        <v>40-49</v>
      </c>
      <c r="L119" s="13" t="s">
        <v>233</v>
      </c>
      <c r="M119" s="23" t="s">
        <v>150</v>
      </c>
      <c r="N119" s="13" t="s">
        <v>151</v>
      </c>
      <c r="O119" s="45">
        <v>2</v>
      </c>
      <c r="P119" s="30" t="str">
        <f>VLOOKUP(O119,[1]Key!$E$2:$F$9,2,FALSE)</f>
        <v>Work</v>
      </c>
      <c r="Q119" s="13" t="s">
        <v>264</v>
      </c>
      <c r="R119" s="23" t="s">
        <v>150</v>
      </c>
      <c r="S119" s="13" t="s">
        <v>151</v>
      </c>
      <c r="T119" s="23">
        <v>1</v>
      </c>
      <c r="U119" s="30" t="str">
        <f>VLOOKUP(T119,[1]Key!$E$2:$F$9,2,FALSE)</f>
        <v>Home</v>
      </c>
      <c r="V119" s="30" t="str">
        <f t="shared" si="5"/>
        <v>Work-Home</v>
      </c>
      <c r="W119" s="23">
        <v>1000</v>
      </c>
      <c r="X119" s="62">
        <v>8</v>
      </c>
      <c r="Y119" s="62" t="str">
        <f t="shared" si="6"/>
        <v>0-10</v>
      </c>
      <c r="Z119" s="62">
        <v>0.3</v>
      </c>
      <c r="AA119" s="62" t="str">
        <f t="shared" si="7"/>
        <v>0-0.5</v>
      </c>
      <c r="AB119" s="23">
        <v>6</v>
      </c>
      <c r="AC119" s="30" t="str">
        <f>VLOOKUP(AB119,[1]Key!$C$20:$D$29,2,FALSE)</f>
        <v>Businessman</v>
      </c>
      <c r="AD119" s="23">
        <v>2</v>
      </c>
      <c r="AE119" s="30" t="str">
        <f>VLOOKUP(AD119,[1]Key!$E$20:$F$24,2,FALSE)</f>
        <v>300,000-500,000</v>
      </c>
      <c r="AF119" s="23">
        <v>2</v>
      </c>
      <c r="AG119" s="62">
        <v>1</v>
      </c>
      <c r="AH119" s="62">
        <v>2</v>
      </c>
      <c r="AI119" s="62">
        <v>2</v>
      </c>
      <c r="AJ119" s="62">
        <v>2</v>
      </c>
      <c r="AK119" s="45" t="s">
        <v>94</v>
      </c>
      <c r="AL119" s="36">
        <v>500</v>
      </c>
      <c r="AM119" t="str">
        <f t="shared" si="8"/>
        <v>0-1000</v>
      </c>
    </row>
    <row r="120" spans="1:39" x14ac:dyDescent="0.2">
      <c r="A120" s="44">
        <v>43771</v>
      </c>
      <c r="B120" s="60">
        <v>0.68194444444444446</v>
      </c>
      <c r="C120" s="60"/>
      <c r="D120" s="60" t="s">
        <v>165</v>
      </c>
      <c r="E120" s="13">
        <v>2</v>
      </c>
      <c r="F120" s="38" t="str">
        <f>VLOOKUP(E120,[1]Key!$A$17:$B$21,2,FALSE)</f>
        <v>Road Vehicle</v>
      </c>
      <c r="G120" s="61">
        <v>4</v>
      </c>
      <c r="H120" s="39" t="str">
        <f>VLOOKUP(G120,[1]Key!$A$2:$B$13,2,FALSE)</f>
        <v>Minibus</v>
      </c>
      <c r="I120" s="13" t="s">
        <v>178</v>
      </c>
      <c r="J120" s="13">
        <v>3</v>
      </c>
      <c r="K120" s="40" t="str">
        <f>VLOOKUP(J120,[1]Key!$A$24:$B$29,2,FALSE)</f>
        <v>40-49</v>
      </c>
      <c r="L120" s="13" t="s">
        <v>233</v>
      </c>
      <c r="M120" s="23" t="s">
        <v>150</v>
      </c>
      <c r="N120" s="13" t="s">
        <v>151</v>
      </c>
      <c r="O120" s="45">
        <v>2</v>
      </c>
      <c r="P120" s="30" t="str">
        <f>VLOOKUP(O120,[1]Key!$E$2:$F$9,2,FALSE)</f>
        <v>Work</v>
      </c>
      <c r="Q120" s="13" t="s">
        <v>265</v>
      </c>
      <c r="R120" s="23" t="s">
        <v>150</v>
      </c>
      <c r="S120" s="13" t="s">
        <v>151</v>
      </c>
      <c r="T120" s="23">
        <v>1</v>
      </c>
      <c r="U120" s="30" t="str">
        <f>VLOOKUP(T120,[1]Key!$E$2:$F$9,2,FALSE)</f>
        <v>Home</v>
      </c>
      <c r="V120" s="30" t="str">
        <f t="shared" si="5"/>
        <v>Work-Home</v>
      </c>
      <c r="W120" s="23">
        <v>1500</v>
      </c>
      <c r="X120" s="62">
        <v>5</v>
      </c>
      <c r="Y120" s="62" t="str">
        <f t="shared" si="6"/>
        <v>0-10</v>
      </c>
      <c r="Z120" s="62">
        <v>0.5</v>
      </c>
      <c r="AA120" s="62" t="str">
        <f t="shared" si="7"/>
        <v>0.5-1.0</v>
      </c>
      <c r="AB120" s="23">
        <v>4</v>
      </c>
      <c r="AC120" s="30" t="str">
        <f>VLOOKUP(AB120,[1]Key!$C$20:$D$29,2,FALSE)</f>
        <v>Office Worker</v>
      </c>
      <c r="AD120" s="23">
        <v>4</v>
      </c>
      <c r="AE120" s="30" t="str">
        <f>VLOOKUP(AD120,[1]Key!$E$20:$F$24,2,FALSE)</f>
        <v>750,000-1,000,000</v>
      </c>
      <c r="AF120" s="23">
        <v>5</v>
      </c>
      <c r="AG120" s="62">
        <v>1</v>
      </c>
      <c r="AH120" s="62">
        <v>2</v>
      </c>
      <c r="AI120" s="62">
        <v>2</v>
      </c>
      <c r="AJ120" s="62">
        <v>1</v>
      </c>
      <c r="AK120" s="45" t="s">
        <v>94</v>
      </c>
      <c r="AL120" s="36">
        <v>1000</v>
      </c>
      <c r="AM120" t="str">
        <f t="shared" si="8"/>
        <v>1000-2000</v>
      </c>
    </row>
    <row r="121" spans="1:39" x14ac:dyDescent="0.2">
      <c r="A121" s="44">
        <v>43771</v>
      </c>
      <c r="B121" s="60">
        <v>0.72430555555555554</v>
      </c>
      <c r="C121" s="60"/>
      <c r="D121" s="60" t="s">
        <v>165</v>
      </c>
      <c r="E121" s="13">
        <v>2</v>
      </c>
      <c r="F121" s="38" t="str">
        <f>VLOOKUP(E121,[1]Key!$A$17:$B$21,2,FALSE)</f>
        <v>Road Vehicle</v>
      </c>
      <c r="G121" s="61">
        <v>4</v>
      </c>
      <c r="H121" s="39" t="str">
        <f>VLOOKUP(G121,[1]Key!$A$2:$B$13,2,FALSE)</f>
        <v>Minibus</v>
      </c>
      <c r="I121" s="13" t="s">
        <v>178</v>
      </c>
      <c r="J121" s="13">
        <v>3</v>
      </c>
      <c r="K121" s="40" t="str">
        <f>VLOOKUP(J121,[1]Key!$A$24:$B$29,2,FALSE)</f>
        <v>40-49</v>
      </c>
      <c r="L121" s="13" t="s">
        <v>233</v>
      </c>
      <c r="M121" s="23" t="s">
        <v>150</v>
      </c>
      <c r="N121" s="13" t="s">
        <v>151</v>
      </c>
      <c r="O121" s="45">
        <v>2</v>
      </c>
      <c r="P121" s="30" t="str">
        <f>VLOOKUP(O121,[1]Key!$E$2:$F$9,2,FALSE)</f>
        <v>Work</v>
      </c>
      <c r="Q121" s="13" t="s">
        <v>266</v>
      </c>
      <c r="R121" s="23" t="s">
        <v>156</v>
      </c>
      <c r="S121" s="13" t="s">
        <v>151</v>
      </c>
      <c r="T121" s="23">
        <v>1</v>
      </c>
      <c r="U121" s="30" t="str">
        <f>VLOOKUP(T121,[1]Key!$E$2:$F$9,2,FALSE)</f>
        <v>Home</v>
      </c>
      <c r="V121" s="30" t="str">
        <f t="shared" si="5"/>
        <v>Work-Home</v>
      </c>
      <c r="W121" s="23">
        <v>1500</v>
      </c>
      <c r="X121" s="62">
        <v>33</v>
      </c>
      <c r="Y121" s="62" t="str">
        <f t="shared" si="6"/>
        <v>20-40</v>
      </c>
      <c r="Z121" s="62">
        <v>1</v>
      </c>
      <c r="AA121" s="62" t="str">
        <f t="shared" si="7"/>
        <v>1.0-2.0</v>
      </c>
      <c r="AB121" s="23">
        <v>6</v>
      </c>
      <c r="AC121" s="30" t="str">
        <f>VLOOKUP(AB121,[1]Key!$C$20:$D$29,2,FALSE)</f>
        <v>Businessman</v>
      </c>
      <c r="AD121" s="23">
        <v>2</v>
      </c>
      <c r="AE121" s="30" t="str">
        <f>VLOOKUP(AD121,[1]Key!$E$20:$F$24,2,FALSE)</f>
        <v>300,000-500,000</v>
      </c>
      <c r="AF121" s="23">
        <v>2</v>
      </c>
      <c r="AG121" s="62">
        <v>1</v>
      </c>
      <c r="AH121" s="62">
        <v>2</v>
      </c>
      <c r="AI121" s="62">
        <v>2</v>
      </c>
      <c r="AJ121" s="62">
        <v>1</v>
      </c>
      <c r="AK121" s="45" t="s">
        <v>94</v>
      </c>
      <c r="AL121" s="36">
        <v>500</v>
      </c>
      <c r="AM121" t="str">
        <f t="shared" si="8"/>
        <v>0-1000</v>
      </c>
    </row>
    <row r="122" spans="1:39" x14ac:dyDescent="0.2">
      <c r="A122" s="44">
        <v>43771</v>
      </c>
      <c r="B122" s="60">
        <v>0.51180555555555551</v>
      </c>
      <c r="C122" s="60"/>
      <c r="D122" s="60" t="s">
        <v>165</v>
      </c>
      <c r="E122" s="13">
        <v>2</v>
      </c>
      <c r="F122" s="38" t="str">
        <f>VLOOKUP(E122,[1]Key!$A$17:$B$21,2,FALSE)</f>
        <v>Road Vehicle</v>
      </c>
      <c r="G122" s="61">
        <v>4</v>
      </c>
      <c r="H122" s="39" t="str">
        <f>VLOOKUP(G122,[1]Key!$A$2:$B$13,2,FALSE)</f>
        <v>Minibus</v>
      </c>
      <c r="I122" s="13" t="s">
        <v>178</v>
      </c>
      <c r="J122" s="13">
        <v>3</v>
      </c>
      <c r="K122" s="40" t="str">
        <f>VLOOKUP(J122,[1]Key!$A$24:$B$29,2,FALSE)</f>
        <v>40-49</v>
      </c>
      <c r="L122" s="13" t="s">
        <v>267</v>
      </c>
      <c r="M122" s="23" t="s">
        <v>156</v>
      </c>
      <c r="N122" s="13" t="s">
        <v>151</v>
      </c>
      <c r="O122" s="45">
        <v>2</v>
      </c>
      <c r="P122" s="30" t="str">
        <f>VLOOKUP(O122,[1]Key!$E$2:$F$9,2,FALSE)</f>
        <v>Work</v>
      </c>
      <c r="Q122" s="13" t="s">
        <v>268</v>
      </c>
      <c r="R122" s="23" t="s">
        <v>268</v>
      </c>
      <c r="S122" s="13" t="s">
        <v>151</v>
      </c>
      <c r="T122" s="23">
        <v>1</v>
      </c>
      <c r="U122" s="30" t="str">
        <f>VLOOKUP(T122,[1]Key!$E$2:$F$9,2,FALSE)</f>
        <v>Home</v>
      </c>
      <c r="V122" s="30" t="str">
        <f t="shared" si="5"/>
        <v>Work-Home</v>
      </c>
      <c r="W122" s="23">
        <v>15000</v>
      </c>
      <c r="X122" s="62">
        <v>90</v>
      </c>
      <c r="Y122" s="62" t="str">
        <f t="shared" si="6"/>
        <v>70-100</v>
      </c>
      <c r="Z122" s="62">
        <v>3.5</v>
      </c>
      <c r="AA122" s="62" t="str">
        <f t="shared" si="7"/>
        <v>Over 3.5</v>
      </c>
      <c r="AB122" s="23">
        <v>6</v>
      </c>
      <c r="AC122" s="30" t="str">
        <f>VLOOKUP(AB122,[1]Key!$C$20:$D$29,2,FALSE)</f>
        <v>Businessman</v>
      </c>
      <c r="AD122" s="23">
        <v>1</v>
      </c>
      <c r="AE122" s="30" t="str">
        <f>VLOOKUP(AD122,[1]Key!$E$20:$F$24,2,FALSE)</f>
        <v>&lt;300,000</v>
      </c>
      <c r="AF122" s="23">
        <v>2</v>
      </c>
      <c r="AG122" s="62">
        <v>4</v>
      </c>
      <c r="AH122" s="62">
        <v>1</v>
      </c>
      <c r="AI122" s="62">
        <v>2</v>
      </c>
      <c r="AJ122" s="62">
        <v>1</v>
      </c>
      <c r="AK122" s="45" t="s">
        <v>94</v>
      </c>
      <c r="AL122" s="36"/>
      <c r="AM122" t="str">
        <f t="shared" si="8"/>
        <v>0-1000</v>
      </c>
    </row>
    <row r="123" spans="1:39" x14ac:dyDescent="0.2">
      <c r="A123" s="44">
        <v>43771</v>
      </c>
      <c r="B123" s="60">
        <v>0.31736111111111115</v>
      </c>
      <c r="C123" s="60" t="s">
        <v>269</v>
      </c>
      <c r="D123" s="60" t="s">
        <v>96</v>
      </c>
      <c r="E123" s="13">
        <v>2</v>
      </c>
      <c r="F123" s="38" t="str">
        <f>VLOOKUP(E123,[1]Key!$A$17:$B$21,2,FALSE)</f>
        <v>Road Vehicle</v>
      </c>
      <c r="G123" s="61">
        <v>4</v>
      </c>
      <c r="H123" s="39" t="str">
        <f>VLOOKUP(G123,[1]Key!$A$2:$B$13,2,FALSE)</f>
        <v>Minibus</v>
      </c>
      <c r="I123" s="13" t="s">
        <v>178</v>
      </c>
      <c r="J123" s="13">
        <v>3</v>
      </c>
      <c r="K123" s="40" t="str">
        <f>VLOOKUP(J123,[1]Key!$A$24:$B$29,2,FALSE)</f>
        <v>40-49</v>
      </c>
      <c r="L123" s="13" t="s">
        <v>233</v>
      </c>
      <c r="M123" s="23" t="s">
        <v>150</v>
      </c>
      <c r="N123" s="13" t="s">
        <v>151</v>
      </c>
      <c r="O123" s="45">
        <v>2</v>
      </c>
      <c r="P123" s="30" t="str">
        <f>VLOOKUP(O123,[1]Key!$E$2:$F$9,2,FALSE)</f>
        <v>Work</v>
      </c>
      <c r="Q123" s="13" t="s">
        <v>231</v>
      </c>
      <c r="R123" s="23" t="s">
        <v>202</v>
      </c>
      <c r="S123" s="13" t="s">
        <v>151</v>
      </c>
      <c r="T123" s="23">
        <v>8</v>
      </c>
      <c r="U123" s="30" t="str">
        <f>VLOOKUP(T123,[1]Key!$E$2:$F$9,2,FALSE)</f>
        <v>Others</v>
      </c>
      <c r="V123" s="30" t="str">
        <f t="shared" si="5"/>
        <v>Work-Others</v>
      </c>
      <c r="W123" s="23">
        <v>90000</v>
      </c>
      <c r="X123" s="62">
        <v>85</v>
      </c>
      <c r="Y123" s="62" t="str">
        <f t="shared" si="6"/>
        <v>70-100</v>
      </c>
      <c r="Z123" s="62">
        <v>2.5</v>
      </c>
      <c r="AA123" s="62" t="str">
        <f t="shared" si="7"/>
        <v>2.0-3.5</v>
      </c>
      <c r="AB123" s="23">
        <v>10</v>
      </c>
      <c r="AC123" s="30" t="str">
        <f>VLOOKUP(AB123,[1]Key!$C$20:$D$29,2,FALSE)</f>
        <v>Other</v>
      </c>
      <c r="AD123" s="23">
        <v>1</v>
      </c>
      <c r="AE123" s="30" t="str">
        <f>VLOOKUP(AD123,[1]Key!$E$20:$F$24,2,FALSE)</f>
        <v>&lt;300,000</v>
      </c>
      <c r="AF123" s="23">
        <v>5</v>
      </c>
      <c r="AG123" s="62">
        <v>4</v>
      </c>
      <c r="AH123" s="62">
        <v>3</v>
      </c>
      <c r="AI123" s="62">
        <v>5</v>
      </c>
      <c r="AJ123" s="62">
        <v>2</v>
      </c>
      <c r="AK123" s="45" t="s">
        <v>94</v>
      </c>
      <c r="AL123" s="36">
        <v>3000</v>
      </c>
      <c r="AM123" t="str">
        <f t="shared" si="8"/>
        <v>3000-5000</v>
      </c>
    </row>
    <row r="124" spans="1:39" x14ac:dyDescent="0.2">
      <c r="A124" s="44">
        <v>43771</v>
      </c>
      <c r="B124" s="60">
        <v>0.61111111111111105</v>
      </c>
      <c r="C124" s="60"/>
      <c r="D124" s="60" t="s">
        <v>165</v>
      </c>
      <c r="E124" s="13">
        <v>2</v>
      </c>
      <c r="F124" s="38" t="str">
        <f>VLOOKUP(E124,[1]Key!$A$17:$B$21,2,FALSE)</f>
        <v>Road Vehicle</v>
      </c>
      <c r="G124" s="61">
        <v>4</v>
      </c>
      <c r="H124" s="39" t="str">
        <f>VLOOKUP(G124,[1]Key!$A$2:$B$13,2,FALSE)</f>
        <v>Minibus</v>
      </c>
      <c r="I124" s="13" t="s">
        <v>178</v>
      </c>
      <c r="J124" s="13">
        <v>3</v>
      </c>
      <c r="K124" s="40" t="str">
        <f>VLOOKUP(J124,[1]Key!$A$24:$B$29,2,FALSE)</f>
        <v>40-49</v>
      </c>
      <c r="L124" s="13" t="s">
        <v>233</v>
      </c>
      <c r="M124" s="23" t="s">
        <v>150</v>
      </c>
      <c r="N124" s="13" t="s">
        <v>151</v>
      </c>
      <c r="O124" s="45">
        <v>2</v>
      </c>
      <c r="P124" s="30" t="str">
        <f>VLOOKUP(O124,[1]Key!$E$2:$F$9,2,FALSE)</f>
        <v>Work</v>
      </c>
      <c r="Q124" s="13" t="s">
        <v>270</v>
      </c>
      <c r="R124" s="23" t="s">
        <v>150</v>
      </c>
      <c r="S124" s="13" t="s">
        <v>151</v>
      </c>
      <c r="T124" s="23">
        <v>2</v>
      </c>
      <c r="U124" s="30" t="str">
        <f>VLOOKUP(T124,[1]Key!$E$2:$F$9,2,FALSE)</f>
        <v>Work</v>
      </c>
      <c r="V124" s="30" t="str">
        <f t="shared" si="5"/>
        <v>Work-Work</v>
      </c>
      <c r="W124" s="23">
        <v>1000</v>
      </c>
      <c r="X124" s="62">
        <v>8</v>
      </c>
      <c r="Y124" s="62" t="str">
        <f t="shared" si="6"/>
        <v>0-10</v>
      </c>
      <c r="Z124" s="62">
        <v>0.3</v>
      </c>
      <c r="AA124" s="62" t="str">
        <f t="shared" si="7"/>
        <v>0-0.5</v>
      </c>
      <c r="AB124" s="23">
        <v>2</v>
      </c>
      <c r="AC124" s="30" t="str">
        <f>VLOOKUP(AB124,[1]Key!$C$20:$D$29,2,FALSE)</f>
        <v>Manual Labour</v>
      </c>
      <c r="AD124" s="23">
        <v>2</v>
      </c>
      <c r="AE124" s="30" t="str">
        <f>VLOOKUP(AD124,[1]Key!$E$20:$F$24,2,FALSE)</f>
        <v>300,000-500,000</v>
      </c>
      <c r="AF124" s="23">
        <v>2</v>
      </c>
      <c r="AG124" s="62">
        <v>1</v>
      </c>
      <c r="AH124" s="62">
        <v>1</v>
      </c>
      <c r="AI124" s="62">
        <v>2</v>
      </c>
      <c r="AJ124" s="62">
        <v>1</v>
      </c>
      <c r="AK124" s="45" t="s">
        <v>94</v>
      </c>
      <c r="AL124" s="36"/>
      <c r="AM124" t="str">
        <f t="shared" si="8"/>
        <v>0-1000</v>
      </c>
    </row>
    <row r="125" spans="1:39" x14ac:dyDescent="0.2">
      <c r="A125" s="44">
        <v>43771</v>
      </c>
      <c r="B125" s="60">
        <v>0.44305555555555554</v>
      </c>
      <c r="C125" s="60"/>
      <c r="D125" s="60" t="s">
        <v>165</v>
      </c>
      <c r="E125" s="13">
        <v>2</v>
      </c>
      <c r="F125" s="38" t="str">
        <f>VLOOKUP(E125,[1]Key!$A$17:$B$21,2,FALSE)</f>
        <v>Road Vehicle</v>
      </c>
      <c r="G125" s="61">
        <v>4</v>
      </c>
      <c r="H125" s="39" t="str">
        <f>VLOOKUP(G125,[1]Key!$A$2:$B$13,2,FALSE)</f>
        <v>Minibus</v>
      </c>
      <c r="I125" s="13" t="s">
        <v>178</v>
      </c>
      <c r="J125" s="13">
        <v>4</v>
      </c>
      <c r="K125" s="40" t="str">
        <f>VLOOKUP(J125,[1]Key!$A$24:$B$29,2,FALSE)</f>
        <v>50-59</v>
      </c>
      <c r="L125" s="63" t="s">
        <v>208</v>
      </c>
      <c r="M125" s="23" t="s">
        <v>150</v>
      </c>
      <c r="N125" s="13" t="s">
        <v>151</v>
      </c>
      <c r="O125" s="45">
        <v>4</v>
      </c>
      <c r="P125" s="30" t="s">
        <v>67</v>
      </c>
      <c r="Q125" s="13" t="s">
        <v>271</v>
      </c>
      <c r="R125" s="23" t="s">
        <v>150</v>
      </c>
      <c r="S125" s="13" t="s">
        <v>151</v>
      </c>
      <c r="T125" s="23">
        <v>1</v>
      </c>
      <c r="U125" s="30" t="str">
        <f>VLOOKUP(T125,[1]Key!$E$2:$F$9,2,FALSE)</f>
        <v>Home</v>
      </c>
      <c r="V125" s="30" t="str">
        <f t="shared" si="5"/>
        <v>Commercial-Home</v>
      </c>
      <c r="W125" s="41">
        <v>2000</v>
      </c>
      <c r="X125" s="62">
        <v>20</v>
      </c>
      <c r="Y125" s="62" t="str">
        <f t="shared" si="6"/>
        <v>20-40</v>
      </c>
      <c r="Z125" s="62">
        <v>0.5</v>
      </c>
      <c r="AA125" s="62" t="str">
        <f t="shared" si="7"/>
        <v>0.5-1.0</v>
      </c>
      <c r="AB125" s="23">
        <v>6</v>
      </c>
      <c r="AC125" s="30" t="str">
        <f>VLOOKUP(AB125,[1]Key!$C$20:$D$29,2,FALSE)</f>
        <v>Businessman</v>
      </c>
      <c r="AD125" s="23">
        <v>2</v>
      </c>
      <c r="AE125" s="30" t="str">
        <f>VLOOKUP(AD125,[1]Key!$E$20:$F$24,2,FALSE)</f>
        <v>300,000-500,000</v>
      </c>
      <c r="AF125" s="23">
        <v>1</v>
      </c>
      <c r="AG125" s="62">
        <v>2</v>
      </c>
      <c r="AH125" s="62">
        <v>1</v>
      </c>
      <c r="AI125" s="62">
        <v>1</v>
      </c>
      <c r="AJ125" s="62">
        <v>2</v>
      </c>
      <c r="AK125" s="45" t="s">
        <v>94</v>
      </c>
      <c r="AL125" s="36">
        <v>1000</v>
      </c>
      <c r="AM125" t="str">
        <f t="shared" si="8"/>
        <v>1000-2000</v>
      </c>
    </row>
    <row r="126" spans="1:39" x14ac:dyDescent="0.2">
      <c r="A126" s="44">
        <v>43771</v>
      </c>
      <c r="B126" s="60">
        <v>0.43611111111111112</v>
      </c>
      <c r="C126" s="60"/>
      <c r="D126" s="60" t="s">
        <v>96</v>
      </c>
      <c r="E126" s="13">
        <v>2</v>
      </c>
      <c r="F126" s="38" t="str">
        <f>VLOOKUP(E126,[1]Key!$A$17:$B$21,2,FALSE)</f>
        <v>Road Vehicle</v>
      </c>
      <c r="G126" s="61">
        <v>4</v>
      </c>
      <c r="H126" s="39" t="str">
        <f>VLOOKUP(G126,[1]Key!$A$2:$B$13,2,FALSE)</f>
        <v>Minibus</v>
      </c>
      <c r="I126" s="13" t="s">
        <v>108</v>
      </c>
      <c r="J126" s="13">
        <v>1</v>
      </c>
      <c r="K126" s="40" t="str">
        <f>VLOOKUP(J126,[1]Key!$A$24:$B$29,2,FALSE)</f>
        <v>20-29</v>
      </c>
      <c r="L126" s="63" t="s">
        <v>208</v>
      </c>
      <c r="M126" s="23" t="s">
        <v>150</v>
      </c>
      <c r="N126" s="13" t="s">
        <v>151</v>
      </c>
      <c r="O126" s="45">
        <v>4</v>
      </c>
      <c r="P126" s="30" t="str">
        <f>VLOOKUP(O126,[1]Key!$E$2:$F$9,2,FALSE)</f>
        <v>Commercial</v>
      </c>
      <c r="Q126" s="13" t="s">
        <v>272</v>
      </c>
      <c r="R126" s="23" t="s">
        <v>273</v>
      </c>
      <c r="S126" s="13" t="s">
        <v>151</v>
      </c>
      <c r="T126" s="23">
        <v>4</v>
      </c>
      <c r="U126" s="30" t="str">
        <f>VLOOKUP(T126,[1]Key!$E$2:$F$9,2,FALSE)</f>
        <v>Commercial</v>
      </c>
      <c r="V126" s="30" t="str">
        <f t="shared" si="5"/>
        <v>Commercial-Commercial</v>
      </c>
      <c r="W126" s="41">
        <v>70000</v>
      </c>
      <c r="X126" s="62">
        <v>320</v>
      </c>
      <c r="Y126" s="62" t="str">
        <f t="shared" si="6"/>
        <v>Over 200</v>
      </c>
      <c r="Z126" s="62">
        <v>4</v>
      </c>
      <c r="AA126" s="62" t="str">
        <f t="shared" si="7"/>
        <v>Over 3.5</v>
      </c>
      <c r="AB126" s="23">
        <v>5</v>
      </c>
      <c r="AC126" s="30" t="str">
        <f>VLOOKUP(AB126,[1]Key!$C$20:$D$29,2,FALSE)</f>
        <v>Professional</v>
      </c>
      <c r="AD126" s="23">
        <v>2</v>
      </c>
      <c r="AE126" s="30" t="str">
        <f>VLOOKUP(AD126,[1]Key!$E$20:$F$24,2,FALSE)</f>
        <v>300,000-500,000</v>
      </c>
      <c r="AF126" s="23">
        <v>5</v>
      </c>
      <c r="AG126" s="62">
        <v>4</v>
      </c>
      <c r="AH126" s="62">
        <v>5</v>
      </c>
      <c r="AI126" s="62">
        <v>5</v>
      </c>
      <c r="AJ126" s="62">
        <v>4</v>
      </c>
      <c r="AK126" s="45" t="s">
        <v>94</v>
      </c>
      <c r="AL126" s="36">
        <v>1000</v>
      </c>
      <c r="AM126" t="str">
        <f t="shared" si="8"/>
        <v>1000-2000</v>
      </c>
    </row>
    <row r="127" spans="1:39" x14ac:dyDescent="0.2">
      <c r="A127" s="44">
        <v>43771</v>
      </c>
      <c r="B127" s="60">
        <v>0.48194444444444445</v>
      </c>
      <c r="C127" s="60" t="s">
        <v>274</v>
      </c>
      <c r="D127" s="60" t="s">
        <v>96</v>
      </c>
      <c r="E127" s="13">
        <v>2</v>
      </c>
      <c r="F127" s="38" t="str">
        <f>VLOOKUP(E127,[1]Key!$A$17:$B$21,2,FALSE)</f>
        <v>Road Vehicle</v>
      </c>
      <c r="G127" s="61">
        <v>4</v>
      </c>
      <c r="H127" s="39" t="str">
        <f>VLOOKUP(G127,[1]Key!$A$2:$B$13,2,FALSE)</f>
        <v>Minibus</v>
      </c>
      <c r="I127" s="13" t="s">
        <v>108</v>
      </c>
      <c r="J127" s="13">
        <v>1</v>
      </c>
      <c r="K127" s="40" t="str">
        <f>VLOOKUP(J127,[1]Key!$A$24:$B$29,2,FALSE)</f>
        <v>20-29</v>
      </c>
      <c r="L127" s="63" t="s">
        <v>208</v>
      </c>
      <c r="M127" s="23" t="s">
        <v>150</v>
      </c>
      <c r="N127" s="13" t="s">
        <v>151</v>
      </c>
      <c r="O127" s="45">
        <v>4</v>
      </c>
      <c r="P127" s="30" t="str">
        <f>VLOOKUP(O127,[1]Key!$E$2:$F$9,2,FALSE)</f>
        <v>Commercial</v>
      </c>
      <c r="Q127" s="13" t="s">
        <v>275</v>
      </c>
      <c r="R127" s="23" t="s">
        <v>275</v>
      </c>
      <c r="S127" s="13" t="s">
        <v>151</v>
      </c>
      <c r="T127" s="23">
        <v>4</v>
      </c>
      <c r="U127" s="30" t="str">
        <f>VLOOKUP(T127,[1]Key!$E$2:$F$9,2,FALSE)</f>
        <v>Commercial</v>
      </c>
      <c r="V127" s="30" t="str">
        <f t="shared" si="5"/>
        <v>Commercial-Commercial</v>
      </c>
      <c r="W127" s="41">
        <v>100000</v>
      </c>
      <c r="X127" s="62">
        <v>200</v>
      </c>
      <c r="Y127" s="62" t="str">
        <f t="shared" si="6"/>
        <v>Over 200</v>
      </c>
      <c r="Z127" s="62">
        <v>2.5</v>
      </c>
      <c r="AA127" s="62" t="str">
        <f t="shared" si="7"/>
        <v>2.0-3.5</v>
      </c>
      <c r="AB127" s="23">
        <v>5</v>
      </c>
      <c r="AC127" s="30" t="str">
        <f>VLOOKUP(AB127,[1]Key!$C$20:$D$29,2,FALSE)</f>
        <v>Professional</v>
      </c>
      <c r="AD127" s="23">
        <v>2</v>
      </c>
      <c r="AE127" s="30" t="str">
        <f>VLOOKUP(AD127,[1]Key!$E$20:$F$24,2,FALSE)</f>
        <v>300,000-500,000</v>
      </c>
      <c r="AF127" s="23">
        <v>5</v>
      </c>
      <c r="AG127" s="62">
        <v>4</v>
      </c>
      <c r="AH127" s="62">
        <v>4</v>
      </c>
      <c r="AI127" s="62">
        <v>5</v>
      </c>
      <c r="AJ127" s="62">
        <v>3</v>
      </c>
      <c r="AK127" s="45" t="s">
        <v>94</v>
      </c>
      <c r="AL127" s="36">
        <v>1000</v>
      </c>
      <c r="AM127" t="str">
        <f t="shared" si="8"/>
        <v>1000-2000</v>
      </c>
    </row>
    <row r="128" spans="1:39" x14ac:dyDescent="0.2">
      <c r="A128" s="44">
        <v>43771</v>
      </c>
      <c r="B128" s="60">
        <v>0.63611111111111118</v>
      </c>
      <c r="C128" s="60"/>
      <c r="D128" s="60" t="s">
        <v>165</v>
      </c>
      <c r="E128" s="13">
        <v>2</v>
      </c>
      <c r="F128" s="38" t="str">
        <f>VLOOKUP(E128,[1]Key!$A$17:$B$21,2,FALSE)</f>
        <v>Road Vehicle</v>
      </c>
      <c r="G128" s="61">
        <v>4</v>
      </c>
      <c r="H128" s="39" t="str">
        <f>VLOOKUP(G128,[1]Key!$A$2:$B$13,2,FALSE)</f>
        <v>Minibus</v>
      </c>
      <c r="I128" s="13" t="s">
        <v>108</v>
      </c>
      <c r="J128" s="13">
        <v>1</v>
      </c>
      <c r="K128" s="40" t="str">
        <f>VLOOKUP(J128,[1]Key!$A$24:$B$29,2,FALSE)</f>
        <v>20-29</v>
      </c>
      <c r="L128" s="13" t="s">
        <v>208</v>
      </c>
      <c r="M128" s="23" t="s">
        <v>150</v>
      </c>
      <c r="N128" s="13" t="s">
        <v>151</v>
      </c>
      <c r="O128" s="45">
        <v>4</v>
      </c>
      <c r="P128" s="30" t="str">
        <f>VLOOKUP(O128,[1]Key!$E$2:$F$9,2,FALSE)</f>
        <v>Commercial</v>
      </c>
      <c r="Q128" s="13" t="s">
        <v>276</v>
      </c>
      <c r="R128" s="23" t="s">
        <v>159</v>
      </c>
      <c r="S128" s="13" t="s">
        <v>151</v>
      </c>
      <c r="T128" s="23">
        <v>4</v>
      </c>
      <c r="U128" s="30" t="str">
        <f>VLOOKUP(T128,[1]Key!$E$2:$F$9,2,FALSE)</f>
        <v>Commercial</v>
      </c>
      <c r="V128" s="30" t="str">
        <f t="shared" si="5"/>
        <v>Commercial-Commercial</v>
      </c>
      <c r="W128" s="23">
        <v>60000</v>
      </c>
      <c r="X128" s="62">
        <v>130</v>
      </c>
      <c r="Y128" s="62" t="str">
        <f t="shared" si="6"/>
        <v>100-200</v>
      </c>
      <c r="Z128" s="62">
        <v>2</v>
      </c>
      <c r="AA128" s="62" t="str">
        <f t="shared" si="7"/>
        <v>2.0-3.5</v>
      </c>
      <c r="AB128" s="23">
        <v>5</v>
      </c>
      <c r="AC128" s="30" t="str">
        <f>VLOOKUP(AB128,[1]Key!$C$20:$D$29,2,FALSE)</f>
        <v>Professional</v>
      </c>
      <c r="AD128" s="23">
        <v>2</v>
      </c>
      <c r="AE128" s="30" t="str">
        <f>VLOOKUP(AD128,[1]Key!$E$20:$F$24,2,FALSE)</f>
        <v>300,000-500,000</v>
      </c>
      <c r="AF128" s="23">
        <v>5</v>
      </c>
      <c r="AG128" s="62">
        <v>5</v>
      </c>
      <c r="AH128" s="62">
        <v>5</v>
      </c>
      <c r="AI128" s="62">
        <v>5</v>
      </c>
      <c r="AJ128" s="62">
        <v>5</v>
      </c>
      <c r="AK128" s="45" t="s">
        <v>94</v>
      </c>
      <c r="AL128" s="36">
        <v>2000</v>
      </c>
      <c r="AM128" t="str">
        <f t="shared" si="8"/>
        <v>2000-3000</v>
      </c>
    </row>
    <row r="129" spans="1:39" x14ac:dyDescent="0.2">
      <c r="A129" s="44">
        <v>43771</v>
      </c>
      <c r="B129" s="60">
        <v>0.75</v>
      </c>
      <c r="C129" s="60" t="s">
        <v>277</v>
      </c>
      <c r="D129" s="60" t="s">
        <v>96</v>
      </c>
      <c r="E129" s="13">
        <v>2</v>
      </c>
      <c r="F129" s="38" t="str">
        <f>VLOOKUP(E129,[1]Key!$A$17:$B$21,2,FALSE)</f>
        <v>Road Vehicle</v>
      </c>
      <c r="G129" s="61">
        <v>4</v>
      </c>
      <c r="H129" s="39" t="str">
        <f>VLOOKUP(G129,[1]Key!$A$2:$B$13,2,FALSE)</f>
        <v>Minibus</v>
      </c>
      <c r="I129" s="13" t="s">
        <v>108</v>
      </c>
      <c r="J129" s="13">
        <v>1</v>
      </c>
      <c r="K129" s="40" t="str">
        <f>VLOOKUP(J129,[1]Key!$A$24:$B$29,2,FALSE)</f>
        <v>20-29</v>
      </c>
      <c r="L129" s="13" t="s">
        <v>208</v>
      </c>
      <c r="M129" s="23" t="s">
        <v>150</v>
      </c>
      <c r="N129" s="13" t="s">
        <v>151</v>
      </c>
      <c r="O129" s="45">
        <v>4</v>
      </c>
      <c r="P129" s="30" t="str">
        <f>VLOOKUP(O129,[1]Key!$E$2:$F$9,2,FALSE)</f>
        <v>Commercial</v>
      </c>
      <c r="Q129" s="13" t="s">
        <v>278</v>
      </c>
      <c r="R129" s="23" t="s">
        <v>159</v>
      </c>
      <c r="S129" s="13" t="s">
        <v>151</v>
      </c>
      <c r="T129" s="23">
        <v>4</v>
      </c>
      <c r="U129" s="30" t="str">
        <f>VLOOKUP(T129,[1]Key!$E$2:$F$9,2,FALSE)</f>
        <v>Commercial</v>
      </c>
      <c r="V129" s="30" t="str">
        <f t="shared" si="5"/>
        <v>Commercial-Commercial</v>
      </c>
      <c r="W129" s="23">
        <v>70000</v>
      </c>
      <c r="X129" s="62">
        <v>120</v>
      </c>
      <c r="Y129" s="62" t="str">
        <f t="shared" si="6"/>
        <v>100-200</v>
      </c>
      <c r="Z129" s="62">
        <v>2</v>
      </c>
      <c r="AA129" s="62" t="str">
        <f t="shared" si="7"/>
        <v>2.0-3.5</v>
      </c>
      <c r="AB129" s="23">
        <v>5</v>
      </c>
      <c r="AC129" s="30" t="str">
        <f>VLOOKUP(AB129,[1]Key!$C$20:$D$29,2,FALSE)</f>
        <v>Professional</v>
      </c>
      <c r="AD129" s="23">
        <v>2</v>
      </c>
      <c r="AE129" s="30" t="str">
        <f>VLOOKUP(AD129,[1]Key!$E$20:$F$24,2,FALSE)</f>
        <v>300,000-500,000</v>
      </c>
      <c r="AF129" s="23">
        <v>5</v>
      </c>
      <c r="AG129" s="62">
        <v>4</v>
      </c>
      <c r="AH129" s="62">
        <v>2</v>
      </c>
      <c r="AI129" s="62">
        <v>5</v>
      </c>
      <c r="AJ129" s="62">
        <v>1</v>
      </c>
      <c r="AK129" s="45" t="s">
        <v>94</v>
      </c>
      <c r="AL129" s="36">
        <v>2000</v>
      </c>
      <c r="AM129" t="str">
        <f t="shared" si="8"/>
        <v>2000-3000</v>
      </c>
    </row>
    <row r="130" spans="1:39" x14ac:dyDescent="0.2">
      <c r="A130" s="44">
        <v>43771</v>
      </c>
      <c r="B130" s="60">
        <v>0.72152777777777777</v>
      </c>
      <c r="C130" s="60" t="s">
        <v>279</v>
      </c>
      <c r="D130" s="60" t="s">
        <v>96</v>
      </c>
      <c r="E130" s="13">
        <v>2</v>
      </c>
      <c r="F130" s="38" t="s">
        <v>101</v>
      </c>
      <c r="G130" s="61">
        <v>4</v>
      </c>
      <c r="H130" s="39" t="str">
        <f>VLOOKUP(G130,[1]Key!$A$2:$B$13,2,FALSE)</f>
        <v>Minibus</v>
      </c>
      <c r="I130" s="13" t="s">
        <v>108</v>
      </c>
      <c r="J130" s="13">
        <v>1</v>
      </c>
      <c r="K130" s="40" t="str">
        <f>VLOOKUP(J130,[1]Key!$A$24:$B$29,2,FALSE)</f>
        <v>20-29</v>
      </c>
      <c r="L130" s="13" t="s">
        <v>208</v>
      </c>
      <c r="M130" s="23" t="s">
        <v>150</v>
      </c>
      <c r="N130" s="13" t="s">
        <v>151</v>
      </c>
      <c r="O130" s="45">
        <v>4</v>
      </c>
      <c r="P130" s="30" t="str">
        <f>VLOOKUP(O130,[1]Key!$E$2:$F$9,2,FALSE)</f>
        <v>Commercial</v>
      </c>
      <c r="Q130" s="13" t="s">
        <v>253</v>
      </c>
      <c r="R130" s="23" t="s">
        <v>156</v>
      </c>
      <c r="S130" s="13" t="s">
        <v>151</v>
      </c>
      <c r="T130" s="23">
        <v>4</v>
      </c>
      <c r="U130" s="30" t="str">
        <f>VLOOKUP(T130,[1]Key!$E$2:$F$9,2,FALSE)</f>
        <v>Commercial</v>
      </c>
      <c r="V130" s="30" t="str">
        <f t="shared" ref="V130:V193" si="9">P130&amp;"-"&amp;U130</f>
        <v>Commercial-Commercial</v>
      </c>
      <c r="W130" s="23">
        <v>30000</v>
      </c>
      <c r="X130" s="62">
        <v>40</v>
      </c>
      <c r="Y130" s="62" t="str">
        <f t="shared" si="6"/>
        <v>40-70</v>
      </c>
      <c r="Z130" s="62">
        <v>0.4</v>
      </c>
      <c r="AA130" s="62" t="str">
        <f t="shared" si="7"/>
        <v>0-0.5</v>
      </c>
      <c r="AB130" s="23">
        <v>5</v>
      </c>
      <c r="AC130" s="30" t="str">
        <f>VLOOKUP(AB130,[1]Key!$C$20:$D$29,2,FALSE)</f>
        <v>Professional</v>
      </c>
      <c r="AD130" s="23">
        <v>2</v>
      </c>
      <c r="AE130" s="30" t="str">
        <f>VLOOKUP(AD130,[1]Key!$E$20:$F$24,2,FALSE)</f>
        <v>300,000-500,000</v>
      </c>
      <c r="AF130" s="23">
        <v>1</v>
      </c>
      <c r="AG130" s="62">
        <v>2</v>
      </c>
      <c r="AH130" s="62">
        <v>1</v>
      </c>
      <c r="AI130" s="62">
        <v>1</v>
      </c>
      <c r="AJ130" s="62">
        <v>2</v>
      </c>
      <c r="AK130" s="45" t="s">
        <v>94</v>
      </c>
      <c r="AL130" s="36">
        <v>1000</v>
      </c>
      <c r="AM130" t="str">
        <f t="shared" si="8"/>
        <v>1000-2000</v>
      </c>
    </row>
    <row r="131" spans="1:39" x14ac:dyDescent="0.2">
      <c r="A131" s="44">
        <v>43771</v>
      </c>
      <c r="B131" s="60">
        <v>0.34375</v>
      </c>
      <c r="C131" s="60" t="s">
        <v>280</v>
      </c>
      <c r="D131" s="60" t="s">
        <v>96</v>
      </c>
      <c r="E131" s="13">
        <v>2</v>
      </c>
      <c r="F131" s="38" t="str">
        <f>VLOOKUP(E131,[1]Key!$A$17:$B$21,2,FALSE)</f>
        <v>Road Vehicle</v>
      </c>
      <c r="G131" s="61">
        <v>4</v>
      </c>
      <c r="H131" s="39" t="str">
        <f>VLOOKUP(G131,[1]Key!$A$2:$B$13,2,FALSE)</f>
        <v>Minibus</v>
      </c>
      <c r="I131" s="13" t="s">
        <v>108</v>
      </c>
      <c r="J131" s="13">
        <v>1</v>
      </c>
      <c r="K131" s="40" t="str">
        <f>VLOOKUP(J131,[1]Key!$A$24:$B$29,2,FALSE)</f>
        <v>20-29</v>
      </c>
      <c r="L131" s="63" t="s">
        <v>208</v>
      </c>
      <c r="M131" s="23" t="s">
        <v>150</v>
      </c>
      <c r="N131" s="13" t="s">
        <v>151</v>
      </c>
      <c r="O131" s="45">
        <v>4</v>
      </c>
      <c r="P131" s="30" t="str">
        <f>VLOOKUP(O131,[1]Key!$E$2:$F$9,2,FALSE)</f>
        <v>Commercial</v>
      </c>
      <c r="Q131" s="13" t="s">
        <v>281</v>
      </c>
      <c r="R131" s="23" t="s">
        <v>156</v>
      </c>
      <c r="S131" s="13" t="s">
        <v>151</v>
      </c>
      <c r="T131" s="23">
        <v>4</v>
      </c>
      <c r="U131" s="30" t="str">
        <f>VLOOKUP(T131,[1]Key!$E$2:$F$9,2,FALSE)</f>
        <v>Commercial</v>
      </c>
      <c r="V131" s="30" t="str">
        <f t="shared" si="9"/>
        <v>Commercial-Commercial</v>
      </c>
      <c r="W131" s="41">
        <v>70000</v>
      </c>
      <c r="X131" s="62">
        <v>300</v>
      </c>
      <c r="Y131" s="62" t="str">
        <f t="shared" ref="Y131:Y194" si="10">IF(X131&lt;10,"0-10",IF(X131&lt;20,"10-20",IF(X131&lt;40,"20-40",IF(X131&lt;70,"40-70",IF(X131&lt;100,"70-100",IF(X131&lt;200,"100-200","Over 200"))))))</f>
        <v>Over 200</v>
      </c>
      <c r="Z131" s="62">
        <v>3.5</v>
      </c>
      <c r="AA131" s="62" t="str">
        <f t="shared" ref="AA131:AA194" si="11">IF(Z131&lt;0.5,"0-0.5",IF(Z131&lt;1,"0.5-1.0",IF(Z131&lt;2,"1.0-2.0",IF(Z131&lt;3.5,"2.0-3.5","Over 3.5"))))</f>
        <v>Over 3.5</v>
      </c>
      <c r="AB131" s="23">
        <v>5</v>
      </c>
      <c r="AC131" s="30" t="str">
        <f>VLOOKUP(AB131,[1]Key!$C$20:$D$29,2,FALSE)</f>
        <v>Professional</v>
      </c>
      <c r="AD131" s="23">
        <v>2</v>
      </c>
      <c r="AE131" s="30" t="str">
        <f>VLOOKUP(AD131,[1]Key!$E$20:$F$24,2,FALSE)</f>
        <v>300,000-500,000</v>
      </c>
      <c r="AF131" s="23">
        <v>5</v>
      </c>
      <c r="AG131" s="62">
        <v>4</v>
      </c>
      <c r="AH131" s="62">
        <v>5</v>
      </c>
      <c r="AI131" s="62">
        <v>5</v>
      </c>
      <c r="AJ131" s="62">
        <v>4</v>
      </c>
      <c r="AK131" s="45" t="s">
        <v>94</v>
      </c>
      <c r="AL131" s="36">
        <v>1000</v>
      </c>
      <c r="AM131" t="str">
        <f t="shared" ref="AM131:AM194" si="12">IF(AL131&lt;1000,"0-1000",IF(AL131&lt;2000,"1000-2000",IF(AL131&lt;3000,"2000-3000",IF(AL131&lt;5000,"3000-5000",IF(AL131&lt;10000,"5000-10000","Over 10000")))))</f>
        <v>1000-2000</v>
      </c>
    </row>
    <row r="132" spans="1:39" x14ac:dyDescent="0.2">
      <c r="A132" s="44">
        <v>43771</v>
      </c>
      <c r="B132" s="60">
        <v>0.3833333333333333</v>
      </c>
      <c r="C132" s="60"/>
      <c r="D132" s="60" t="s">
        <v>165</v>
      </c>
      <c r="E132" s="13">
        <v>2</v>
      </c>
      <c r="F132" s="38" t="str">
        <f>VLOOKUP(E132,[1]Key!$A$17:$B$21,2,FALSE)</f>
        <v>Road Vehicle</v>
      </c>
      <c r="G132" s="61">
        <v>4</v>
      </c>
      <c r="H132" s="39" t="str">
        <f>VLOOKUP(G132,[1]Key!$A$2:$B$13,2,FALSE)</f>
        <v>Minibus</v>
      </c>
      <c r="I132" s="13" t="s">
        <v>108</v>
      </c>
      <c r="J132" s="13">
        <v>1</v>
      </c>
      <c r="K132" s="40" t="str">
        <f>VLOOKUP(J132,[1]Key!$A$24:$B$29,2,FALSE)</f>
        <v>20-29</v>
      </c>
      <c r="L132" s="13" t="s">
        <v>233</v>
      </c>
      <c r="M132" s="23" t="s">
        <v>150</v>
      </c>
      <c r="N132" s="13" t="s">
        <v>151</v>
      </c>
      <c r="O132" s="45">
        <v>1</v>
      </c>
      <c r="P132" s="30" t="str">
        <f>VLOOKUP(O132,[1]Key!$E$2:$F$9,2,FALSE)</f>
        <v>Home</v>
      </c>
      <c r="Q132" s="13" t="s">
        <v>282</v>
      </c>
      <c r="R132" s="23" t="s">
        <v>283</v>
      </c>
      <c r="S132" s="13" t="s">
        <v>151</v>
      </c>
      <c r="T132" s="23">
        <v>1</v>
      </c>
      <c r="U132" s="30" t="str">
        <f>VLOOKUP(T132,[1]Key!$E$2:$F$9,2,FALSE)</f>
        <v>Home</v>
      </c>
      <c r="V132" s="30" t="str">
        <f t="shared" si="9"/>
        <v>Home-Home</v>
      </c>
      <c r="W132" s="23">
        <v>5000</v>
      </c>
      <c r="X132" s="62">
        <v>100</v>
      </c>
      <c r="Y132" s="62" t="str">
        <f t="shared" si="10"/>
        <v>100-200</v>
      </c>
      <c r="Z132" s="62">
        <v>4</v>
      </c>
      <c r="AA132" s="62" t="str">
        <f t="shared" si="11"/>
        <v>Over 3.5</v>
      </c>
      <c r="AB132" s="23">
        <v>6</v>
      </c>
      <c r="AC132" s="30" t="str">
        <f>VLOOKUP(AB132,[1]Key!$C$20:$D$29,2,FALSE)</f>
        <v>Businessman</v>
      </c>
      <c r="AD132" s="23">
        <v>3</v>
      </c>
      <c r="AE132" s="30" t="str">
        <f>VLOOKUP(AD132,[1]Key!$E$20:$F$24,2,FALSE)</f>
        <v>500,000-750,000</v>
      </c>
      <c r="AF132" s="23">
        <v>5</v>
      </c>
      <c r="AG132" s="62">
        <v>1</v>
      </c>
      <c r="AH132" s="62">
        <v>2</v>
      </c>
      <c r="AI132" s="62">
        <v>1</v>
      </c>
      <c r="AJ132" s="62">
        <v>2</v>
      </c>
      <c r="AK132" s="45" t="s">
        <v>94</v>
      </c>
      <c r="AL132" s="36">
        <v>1000</v>
      </c>
      <c r="AM132" t="str">
        <f t="shared" si="12"/>
        <v>1000-2000</v>
      </c>
    </row>
    <row r="133" spans="1:39" x14ac:dyDescent="0.2">
      <c r="A133" s="44">
        <v>43771</v>
      </c>
      <c r="B133" s="60">
        <v>0.37361111111111112</v>
      </c>
      <c r="C133" s="60"/>
      <c r="D133" s="60" t="s">
        <v>165</v>
      </c>
      <c r="E133" s="13">
        <v>2</v>
      </c>
      <c r="F133" s="38" t="str">
        <f>VLOOKUP(E133,[1]Key!$A$17:$B$21,2,FALSE)</f>
        <v>Road Vehicle</v>
      </c>
      <c r="G133" s="61">
        <v>4</v>
      </c>
      <c r="H133" s="39" t="str">
        <f>VLOOKUP(G133,[1]Key!$A$2:$B$13,2,FALSE)</f>
        <v>Minibus</v>
      </c>
      <c r="I133" s="13" t="s">
        <v>108</v>
      </c>
      <c r="J133" s="13">
        <v>1</v>
      </c>
      <c r="K133" s="40" t="str">
        <f>VLOOKUP(J133,[1]Key!$A$24:$B$29,2,FALSE)</f>
        <v>20-29</v>
      </c>
      <c r="L133" s="63" t="s">
        <v>219</v>
      </c>
      <c r="M133" s="23" t="s">
        <v>150</v>
      </c>
      <c r="N133" s="13" t="s">
        <v>151</v>
      </c>
      <c r="O133" s="45">
        <v>3</v>
      </c>
      <c r="P133" s="30" t="str">
        <f>VLOOKUP(O133,[1]Key!$E$2:$F$9,2,FALSE)</f>
        <v>Study</v>
      </c>
      <c r="Q133" s="13" t="s">
        <v>284</v>
      </c>
      <c r="R133" s="23" t="s">
        <v>150</v>
      </c>
      <c r="S133" s="13" t="s">
        <v>151</v>
      </c>
      <c r="T133" s="23">
        <v>1</v>
      </c>
      <c r="U133" s="30" t="str">
        <f>VLOOKUP(T133,[1]Key!$E$2:$F$9,2,FALSE)</f>
        <v>Home</v>
      </c>
      <c r="V133" s="30" t="str">
        <f t="shared" si="9"/>
        <v>Study-Home</v>
      </c>
      <c r="W133" s="41">
        <v>4000</v>
      </c>
      <c r="X133" s="62">
        <v>20</v>
      </c>
      <c r="Y133" s="62" t="str">
        <f t="shared" si="10"/>
        <v>20-40</v>
      </c>
      <c r="Z133" s="62">
        <v>0.8</v>
      </c>
      <c r="AA133" s="62" t="str">
        <f t="shared" si="11"/>
        <v>0.5-1.0</v>
      </c>
      <c r="AB133" s="23">
        <v>8</v>
      </c>
      <c r="AC133" s="30" t="str">
        <f>VLOOKUP(AB133,[1]Key!$C$20:$D$29,2,FALSE)</f>
        <v>Student</v>
      </c>
      <c r="AD133" s="23">
        <v>1</v>
      </c>
      <c r="AE133" s="30" t="str">
        <f>VLOOKUP(AD133,[1]Key!$E$20:$F$24,2,FALSE)</f>
        <v>&lt;300,000</v>
      </c>
      <c r="AF133" s="23">
        <v>1</v>
      </c>
      <c r="AG133" s="62">
        <v>5</v>
      </c>
      <c r="AH133" s="62">
        <v>4</v>
      </c>
      <c r="AI133" s="62">
        <v>4</v>
      </c>
      <c r="AJ133" s="62">
        <v>1</v>
      </c>
      <c r="AK133" s="45" t="s">
        <v>94</v>
      </c>
      <c r="AL133" s="36"/>
      <c r="AM133" t="str">
        <f t="shared" si="12"/>
        <v>0-1000</v>
      </c>
    </row>
    <row r="134" spans="1:39" x14ac:dyDescent="0.2">
      <c r="A134" s="44">
        <v>43771</v>
      </c>
      <c r="B134" s="60">
        <v>0.4284722222222222</v>
      </c>
      <c r="C134" s="60"/>
      <c r="D134" s="60" t="s">
        <v>165</v>
      </c>
      <c r="E134" s="13">
        <v>2</v>
      </c>
      <c r="F134" s="38" t="str">
        <f>VLOOKUP(E134,[1]Key!$A$17:$B$21,2,FALSE)</f>
        <v>Road Vehicle</v>
      </c>
      <c r="G134" s="61">
        <v>4</v>
      </c>
      <c r="H134" s="39" t="str">
        <f>VLOOKUP(G134,[1]Key!$A$2:$B$13,2,FALSE)</f>
        <v>Minibus</v>
      </c>
      <c r="I134" s="13" t="s">
        <v>108</v>
      </c>
      <c r="J134" s="13">
        <v>1</v>
      </c>
      <c r="K134" s="40" t="str">
        <f>VLOOKUP(J134,[1]Key!$A$24:$B$29,2,FALSE)</f>
        <v>20-29</v>
      </c>
      <c r="L134" s="63" t="s">
        <v>240</v>
      </c>
      <c r="M134" s="23" t="s">
        <v>150</v>
      </c>
      <c r="N134" s="13" t="s">
        <v>151</v>
      </c>
      <c r="O134" s="45">
        <v>3</v>
      </c>
      <c r="P134" s="30" t="str">
        <f>VLOOKUP(O134,[1]Key!$E$2:$F$9,2,FALSE)</f>
        <v>Study</v>
      </c>
      <c r="Q134" s="13" t="s">
        <v>285</v>
      </c>
      <c r="R134" s="23" t="s">
        <v>156</v>
      </c>
      <c r="S134" s="13" t="s">
        <v>151</v>
      </c>
      <c r="T134" s="23">
        <v>1</v>
      </c>
      <c r="U134" s="30" t="str">
        <f>VLOOKUP(T134,[1]Key!$E$2:$F$9,2,FALSE)</f>
        <v>Home</v>
      </c>
      <c r="V134" s="30" t="str">
        <f t="shared" si="9"/>
        <v>Study-Home</v>
      </c>
      <c r="W134" s="41">
        <v>4000</v>
      </c>
      <c r="X134" s="62">
        <v>20</v>
      </c>
      <c r="Y134" s="62" t="str">
        <f t="shared" si="10"/>
        <v>20-40</v>
      </c>
      <c r="Z134" s="62">
        <v>0.5</v>
      </c>
      <c r="AA134" s="62" t="str">
        <f t="shared" si="11"/>
        <v>0.5-1.0</v>
      </c>
      <c r="AB134" s="23">
        <v>8</v>
      </c>
      <c r="AC134" s="30" t="str">
        <f>VLOOKUP(AB134,[1]Key!$C$20:$D$29,2,FALSE)</f>
        <v>Student</v>
      </c>
      <c r="AD134" s="23">
        <v>1</v>
      </c>
      <c r="AE134" s="30" t="str">
        <f>VLOOKUP(AD134,[1]Key!$E$20:$F$24,2,FALSE)</f>
        <v>&lt;300,000</v>
      </c>
      <c r="AF134" s="23">
        <v>1</v>
      </c>
      <c r="AG134" s="62">
        <v>2</v>
      </c>
      <c r="AH134" s="62">
        <v>1</v>
      </c>
      <c r="AI134" s="62">
        <v>1</v>
      </c>
      <c r="AJ134" s="62">
        <v>2</v>
      </c>
      <c r="AK134" s="45" t="s">
        <v>94</v>
      </c>
      <c r="AL134" s="36"/>
      <c r="AM134" t="str">
        <f t="shared" si="12"/>
        <v>0-1000</v>
      </c>
    </row>
    <row r="135" spans="1:39" x14ac:dyDescent="0.2">
      <c r="A135" s="44">
        <v>43771</v>
      </c>
      <c r="B135" s="60">
        <v>0.30624999999999997</v>
      </c>
      <c r="C135" s="60" t="s">
        <v>286</v>
      </c>
      <c r="D135" s="60" t="s">
        <v>96</v>
      </c>
      <c r="E135" s="13">
        <v>2</v>
      </c>
      <c r="F135" s="38" t="str">
        <f>VLOOKUP(E135,[1]Key!$A$17:$B$21,2,FALSE)</f>
        <v>Road Vehicle</v>
      </c>
      <c r="G135" s="61">
        <v>4</v>
      </c>
      <c r="H135" s="39" t="str">
        <f>VLOOKUP(G135,[1]Key!$A$2:$B$13,2,FALSE)</f>
        <v>Minibus</v>
      </c>
      <c r="I135" s="13" t="s">
        <v>108</v>
      </c>
      <c r="J135" s="13">
        <v>2</v>
      </c>
      <c r="K135" s="40" t="str">
        <f>VLOOKUP(J135,[1]Key!$A$24:$B$29,2,FALSE)</f>
        <v>30-39</v>
      </c>
      <c r="L135" s="63" t="s">
        <v>208</v>
      </c>
      <c r="M135" s="23" t="s">
        <v>150</v>
      </c>
      <c r="N135" s="13" t="s">
        <v>151</v>
      </c>
      <c r="O135" s="45">
        <v>4</v>
      </c>
      <c r="P135" s="30" t="str">
        <f>VLOOKUP(O135,[1]Key!$E$2:$F$9,2,FALSE)</f>
        <v>Commercial</v>
      </c>
      <c r="Q135" s="13" t="s">
        <v>287</v>
      </c>
      <c r="R135" s="23" t="s">
        <v>273</v>
      </c>
      <c r="S135" s="13" t="s">
        <v>151</v>
      </c>
      <c r="T135" s="23">
        <v>4</v>
      </c>
      <c r="U135" s="30" t="str">
        <f>VLOOKUP(T135,[1]Key!$E$2:$F$9,2,FALSE)</f>
        <v>Commercial</v>
      </c>
      <c r="V135" s="30" t="str">
        <f t="shared" si="9"/>
        <v>Commercial-Commercial</v>
      </c>
      <c r="W135" s="41">
        <v>70000</v>
      </c>
      <c r="X135" s="62">
        <v>337</v>
      </c>
      <c r="Y135" s="62" t="str">
        <f t="shared" si="10"/>
        <v>Over 200</v>
      </c>
      <c r="Z135" s="62">
        <v>4</v>
      </c>
      <c r="AA135" s="62" t="str">
        <f t="shared" si="11"/>
        <v>Over 3.5</v>
      </c>
      <c r="AB135" s="23">
        <v>5</v>
      </c>
      <c r="AC135" s="30" t="str">
        <f>VLOOKUP(AB135,[1]Key!$C$20:$D$29,2,FALSE)</f>
        <v>Professional</v>
      </c>
      <c r="AD135" s="23">
        <v>2</v>
      </c>
      <c r="AE135" s="30" t="str">
        <f>VLOOKUP(AD135,[1]Key!$E$20:$F$24,2,FALSE)</f>
        <v>300,000-500,000</v>
      </c>
      <c r="AF135" s="23">
        <v>5</v>
      </c>
      <c r="AG135" s="62">
        <v>4</v>
      </c>
      <c r="AH135" s="62">
        <v>5</v>
      </c>
      <c r="AI135" s="62">
        <v>3</v>
      </c>
      <c r="AJ135" s="62">
        <v>4</v>
      </c>
      <c r="AK135" s="45" t="s">
        <v>94</v>
      </c>
      <c r="AL135" s="36"/>
      <c r="AM135" t="str">
        <f t="shared" si="12"/>
        <v>0-1000</v>
      </c>
    </row>
    <row r="136" spans="1:39" x14ac:dyDescent="0.2">
      <c r="A136" s="44">
        <v>43771</v>
      </c>
      <c r="B136" s="60">
        <v>0.31736111111111115</v>
      </c>
      <c r="C136" s="60" t="s">
        <v>288</v>
      </c>
      <c r="D136" s="60" t="s">
        <v>96</v>
      </c>
      <c r="E136" s="13">
        <v>2</v>
      </c>
      <c r="F136" s="38" t="str">
        <f>VLOOKUP(E136,[1]Key!$A$17:$B$21,2,FALSE)</f>
        <v>Road Vehicle</v>
      </c>
      <c r="G136" s="61">
        <v>4</v>
      </c>
      <c r="H136" s="39" t="str">
        <f>VLOOKUP(G136,[1]Key!$A$2:$B$13,2,FALSE)</f>
        <v>Minibus</v>
      </c>
      <c r="I136" s="13" t="s">
        <v>108</v>
      </c>
      <c r="J136" s="13">
        <v>2</v>
      </c>
      <c r="K136" s="40" t="str">
        <f>VLOOKUP(J136,[1]Key!$A$24:$B$29,2,FALSE)</f>
        <v>30-39</v>
      </c>
      <c r="L136" s="63" t="s">
        <v>208</v>
      </c>
      <c r="M136" s="23" t="s">
        <v>150</v>
      </c>
      <c r="N136" s="13" t="s">
        <v>151</v>
      </c>
      <c r="O136" s="45">
        <v>4</v>
      </c>
      <c r="P136" s="30" t="str">
        <f>VLOOKUP(O136,[1]Key!$E$2:$F$9,2,FALSE)</f>
        <v>Commercial</v>
      </c>
      <c r="Q136" s="13" t="s">
        <v>289</v>
      </c>
      <c r="R136" s="23" t="s">
        <v>156</v>
      </c>
      <c r="S136" s="13" t="s">
        <v>151</v>
      </c>
      <c r="T136" s="23">
        <v>4</v>
      </c>
      <c r="U136" s="30" t="str">
        <f>VLOOKUP(T136,[1]Key!$E$2:$F$9,2,FALSE)</f>
        <v>Commercial</v>
      </c>
      <c r="V136" s="30" t="str">
        <f t="shared" si="9"/>
        <v>Commercial-Commercial</v>
      </c>
      <c r="W136" s="41">
        <v>70000</v>
      </c>
      <c r="X136" s="62">
        <v>137</v>
      </c>
      <c r="Y136" s="62" t="str">
        <f t="shared" si="10"/>
        <v>100-200</v>
      </c>
      <c r="Z136" s="62">
        <v>1.5</v>
      </c>
      <c r="AA136" s="62" t="str">
        <f t="shared" si="11"/>
        <v>1.0-2.0</v>
      </c>
      <c r="AB136" s="23">
        <v>5</v>
      </c>
      <c r="AC136" s="30" t="str">
        <f>VLOOKUP(AB136,[1]Key!$C$20:$D$29,2,FALSE)</f>
        <v>Professional</v>
      </c>
      <c r="AD136" s="23">
        <v>2</v>
      </c>
      <c r="AE136" s="30" t="str">
        <f>VLOOKUP(AD136,[1]Key!$E$20:$F$24,2,FALSE)</f>
        <v>300,000-500,000</v>
      </c>
      <c r="AF136" s="23">
        <v>5</v>
      </c>
      <c r="AG136" s="62">
        <v>4</v>
      </c>
      <c r="AH136" s="62">
        <v>5</v>
      </c>
      <c r="AI136" s="62">
        <v>5</v>
      </c>
      <c r="AJ136" s="62">
        <v>4</v>
      </c>
      <c r="AK136" s="45" t="s">
        <v>215</v>
      </c>
      <c r="AL136" s="36"/>
      <c r="AM136" t="str">
        <f t="shared" si="12"/>
        <v>0-1000</v>
      </c>
    </row>
    <row r="137" spans="1:39" x14ac:dyDescent="0.2">
      <c r="A137" s="44">
        <v>43771</v>
      </c>
      <c r="B137" s="60">
        <v>0.42083333333333334</v>
      </c>
      <c r="C137" s="60" t="s">
        <v>290</v>
      </c>
      <c r="D137" s="60" t="s">
        <v>96</v>
      </c>
      <c r="E137" s="13">
        <v>2</v>
      </c>
      <c r="F137" s="38" t="str">
        <f>VLOOKUP(E137,[1]Key!$A$17:$B$21,2,FALSE)</f>
        <v>Road Vehicle</v>
      </c>
      <c r="G137" s="61">
        <v>4</v>
      </c>
      <c r="H137" s="39" t="str">
        <f>VLOOKUP(G137,[1]Key!$A$2:$B$13,2,FALSE)</f>
        <v>Minibus</v>
      </c>
      <c r="I137" s="13" t="s">
        <v>108</v>
      </c>
      <c r="J137" s="13">
        <v>2</v>
      </c>
      <c r="K137" s="40" t="str">
        <f>VLOOKUP(J137,[1]Key!$A$24:$B$29,2,FALSE)</f>
        <v>30-39</v>
      </c>
      <c r="L137" s="63" t="s">
        <v>208</v>
      </c>
      <c r="M137" s="23" t="s">
        <v>150</v>
      </c>
      <c r="N137" s="13" t="s">
        <v>151</v>
      </c>
      <c r="O137" s="45">
        <v>4</v>
      </c>
      <c r="P137" s="30" t="str">
        <f>VLOOKUP(O137,[1]Key!$E$2:$F$9,2,FALSE)</f>
        <v>Commercial</v>
      </c>
      <c r="Q137" s="13" t="s">
        <v>291</v>
      </c>
      <c r="R137" s="23" t="s">
        <v>273</v>
      </c>
      <c r="S137" s="13" t="s">
        <v>151</v>
      </c>
      <c r="T137" s="23">
        <v>4</v>
      </c>
      <c r="U137" s="30" t="str">
        <f>VLOOKUP(T137,[1]Key!$E$2:$F$9,2,FALSE)</f>
        <v>Commercial</v>
      </c>
      <c r="V137" s="30" t="str">
        <f t="shared" si="9"/>
        <v>Commercial-Commercial</v>
      </c>
      <c r="W137" s="41">
        <v>100000</v>
      </c>
      <c r="X137" s="62">
        <v>380</v>
      </c>
      <c r="Y137" s="62" t="str">
        <f t="shared" si="10"/>
        <v>Over 200</v>
      </c>
      <c r="Z137" s="62">
        <v>4</v>
      </c>
      <c r="AA137" s="62" t="str">
        <f t="shared" si="11"/>
        <v>Over 3.5</v>
      </c>
      <c r="AB137" s="23">
        <v>5</v>
      </c>
      <c r="AC137" s="30" t="str">
        <f>VLOOKUP(AB137,[1]Key!$C$20:$D$29,2,FALSE)</f>
        <v>Professional</v>
      </c>
      <c r="AD137" s="23">
        <v>2</v>
      </c>
      <c r="AE137" s="30" t="str">
        <f>VLOOKUP(AD137,[1]Key!$E$20:$F$24,2,FALSE)</f>
        <v>300,000-500,000</v>
      </c>
      <c r="AF137" s="23">
        <v>5</v>
      </c>
      <c r="AG137" s="62">
        <v>5</v>
      </c>
      <c r="AH137" s="62">
        <v>4</v>
      </c>
      <c r="AI137" s="62">
        <v>3</v>
      </c>
      <c r="AJ137" s="62">
        <v>5</v>
      </c>
      <c r="AK137" s="45" t="s">
        <v>94</v>
      </c>
      <c r="AL137" s="36">
        <v>1000</v>
      </c>
      <c r="AM137" t="str">
        <f t="shared" si="12"/>
        <v>1000-2000</v>
      </c>
    </row>
    <row r="138" spans="1:39" x14ac:dyDescent="0.2">
      <c r="A138" s="44">
        <v>43771</v>
      </c>
      <c r="B138" s="60">
        <v>0.45277777777777778</v>
      </c>
      <c r="C138" s="60" t="s">
        <v>292</v>
      </c>
      <c r="D138" s="60" t="s">
        <v>96</v>
      </c>
      <c r="E138" s="13">
        <v>2</v>
      </c>
      <c r="F138" s="38" t="str">
        <f>VLOOKUP(E138,[1]Key!$A$17:$B$21,2,FALSE)</f>
        <v>Road Vehicle</v>
      </c>
      <c r="G138" s="61">
        <v>4</v>
      </c>
      <c r="H138" s="39" t="str">
        <f>VLOOKUP(G138,[1]Key!$A$2:$B$13,2,FALSE)</f>
        <v>Minibus</v>
      </c>
      <c r="I138" s="13" t="s">
        <v>108</v>
      </c>
      <c r="J138" s="13">
        <v>2</v>
      </c>
      <c r="K138" s="40" t="str">
        <f>VLOOKUP(J138,[1]Key!$A$24:$B$29,2,FALSE)</f>
        <v>30-39</v>
      </c>
      <c r="L138" s="63" t="s">
        <v>208</v>
      </c>
      <c r="M138" s="23" t="s">
        <v>150</v>
      </c>
      <c r="N138" s="13" t="s">
        <v>151</v>
      </c>
      <c r="O138" s="45">
        <v>4</v>
      </c>
      <c r="P138" s="30" t="str">
        <f>VLOOKUP(O138,[1]Key!$E$2:$F$9,2,FALSE)</f>
        <v>Commercial</v>
      </c>
      <c r="Q138" s="13" t="s">
        <v>159</v>
      </c>
      <c r="R138" s="23" t="s">
        <v>159</v>
      </c>
      <c r="S138" s="13" t="s">
        <v>151</v>
      </c>
      <c r="T138" s="23">
        <v>4</v>
      </c>
      <c r="U138" s="30" t="str">
        <f>VLOOKUP(T138,[1]Key!$E$2:$F$9,2,FALSE)</f>
        <v>Commercial</v>
      </c>
      <c r="V138" s="30" t="str">
        <f t="shared" si="9"/>
        <v>Commercial-Commercial</v>
      </c>
      <c r="W138" s="41">
        <v>70000</v>
      </c>
      <c r="X138" s="62">
        <v>210</v>
      </c>
      <c r="Y138" s="62" t="str">
        <f t="shared" si="10"/>
        <v>Over 200</v>
      </c>
      <c r="Z138" s="62">
        <v>4</v>
      </c>
      <c r="AA138" s="62" t="str">
        <f t="shared" si="11"/>
        <v>Over 3.5</v>
      </c>
      <c r="AB138" s="23">
        <v>5</v>
      </c>
      <c r="AC138" s="30" t="str">
        <f>VLOOKUP(AB138,[1]Key!$C$20:$D$29,2,FALSE)</f>
        <v>Professional</v>
      </c>
      <c r="AD138" s="23">
        <v>2</v>
      </c>
      <c r="AE138" s="30" t="str">
        <f>VLOOKUP(AD138,[1]Key!$E$20:$F$24,2,FALSE)</f>
        <v>300,000-500,000</v>
      </c>
      <c r="AF138" s="23">
        <v>5</v>
      </c>
      <c r="AG138" s="62">
        <v>1</v>
      </c>
      <c r="AH138" s="62">
        <v>2</v>
      </c>
      <c r="AI138" s="62">
        <v>5</v>
      </c>
      <c r="AJ138" s="62">
        <v>5</v>
      </c>
      <c r="AK138" s="45" t="s">
        <v>94</v>
      </c>
      <c r="AL138" s="36">
        <v>1000</v>
      </c>
      <c r="AM138" t="str">
        <f t="shared" si="12"/>
        <v>1000-2000</v>
      </c>
    </row>
    <row r="139" spans="1:39" x14ac:dyDescent="0.2">
      <c r="A139" s="44">
        <v>43771</v>
      </c>
      <c r="B139" s="60">
        <v>0.49652777777777773</v>
      </c>
      <c r="C139" s="60" t="s">
        <v>293</v>
      </c>
      <c r="D139" s="60" t="s">
        <v>96</v>
      </c>
      <c r="E139" s="13">
        <v>2</v>
      </c>
      <c r="F139" s="38" t="str">
        <f>VLOOKUP(E139,[1]Key!$A$17:$B$21,2,FALSE)</f>
        <v>Road Vehicle</v>
      </c>
      <c r="G139" s="61">
        <v>4</v>
      </c>
      <c r="H139" s="39" t="str">
        <f>VLOOKUP(G139,[1]Key!$A$2:$B$13,2,FALSE)</f>
        <v>Minibus</v>
      </c>
      <c r="I139" s="13" t="s">
        <v>108</v>
      </c>
      <c r="J139" s="13">
        <v>2</v>
      </c>
      <c r="K139" s="40" t="str">
        <f>VLOOKUP(J139,[1]Key!$A$24:$B$29,2,FALSE)</f>
        <v>30-39</v>
      </c>
      <c r="L139" s="13" t="s">
        <v>208</v>
      </c>
      <c r="M139" s="23" t="s">
        <v>150</v>
      </c>
      <c r="N139" s="13" t="s">
        <v>151</v>
      </c>
      <c r="O139" s="45">
        <v>4</v>
      </c>
      <c r="P139" s="30" t="str">
        <f>VLOOKUP(O139,[1]Key!$E$2:$F$9,2,FALSE)</f>
        <v>Commercial</v>
      </c>
      <c r="Q139" s="13" t="s">
        <v>159</v>
      </c>
      <c r="R139" s="23" t="s">
        <v>159</v>
      </c>
      <c r="S139" s="13" t="s">
        <v>151</v>
      </c>
      <c r="T139" s="23">
        <v>4</v>
      </c>
      <c r="U139" s="30" t="str">
        <f>VLOOKUP(T139,[1]Key!$E$2:$F$9,2,FALSE)</f>
        <v>Commercial</v>
      </c>
      <c r="V139" s="30" t="str">
        <f t="shared" si="9"/>
        <v>Commercial-Commercial</v>
      </c>
      <c r="W139" s="41">
        <v>40000</v>
      </c>
      <c r="X139" s="62">
        <v>240</v>
      </c>
      <c r="Y139" s="62" t="str">
        <f t="shared" si="10"/>
        <v>Over 200</v>
      </c>
      <c r="Z139" s="62">
        <v>4</v>
      </c>
      <c r="AA139" s="62" t="str">
        <f t="shared" si="11"/>
        <v>Over 3.5</v>
      </c>
      <c r="AB139" s="23">
        <v>5</v>
      </c>
      <c r="AC139" s="30" t="str">
        <f>VLOOKUP(AB139,[1]Key!$C$20:$D$29,2,FALSE)</f>
        <v>Professional</v>
      </c>
      <c r="AD139" s="23">
        <v>2</v>
      </c>
      <c r="AE139" s="30" t="str">
        <f>VLOOKUP(AD139,[1]Key!$E$20:$F$24,2,FALSE)</f>
        <v>300,000-500,000</v>
      </c>
      <c r="AF139" s="23">
        <v>5</v>
      </c>
      <c r="AG139" s="62">
        <v>4</v>
      </c>
      <c r="AH139" s="62">
        <v>5</v>
      </c>
      <c r="AI139" s="62">
        <v>5</v>
      </c>
      <c r="AJ139" s="62">
        <v>4</v>
      </c>
      <c r="AK139" s="45" t="s">
        <v>94</v>
      </c>
      <c r="AL139" s="36">
        <v>200</v>
      </c>
      <c r="AM139" t="str">
        <f t="shared" si="12"/>
        <v>0-1000</v>
      </c>
    </row>
    <row r="140" spans="1:39" x14ac:dyDescent="0.2">
      <c r="A140" s="44">
        <v>43771</v>
      </c>
      <c r="B140" s="60">
        <v>0.52222222222222225</v>
      </c>
      <c r="C140" s="60" t="s">
        <v>294</v>
      </c>
      <c r="D140" s="60" t="s">
        <v>96</v>
      </c>
      <c r="E140" s="13">
        <v>2</v>
      </c>
      <c r="F140" s="38" t="str">
        <f>VLOOKUP(E140,[1]Key!$A$17:$B$21,2,FALSE)</f>
        <v>Road Vehicle</v>
      </c>
      <c r="G140" s="61">
        <v>4</v>
      </c>
      <c r="H140" s="39" t="str">
        <f>VLOOKUP(G140,[1]Key!$A$2:$B$13,2,FALSE)</f>
        <v>Minibus</v>
      </c>
      <c r="I140" s="13" t="s">
        <v>108</v>
      </c>
      <c r="J140" s="13">
        <v>2</v>
      </c>
      <c r="K140" s="40" t="str">
        <f>VLOOKUP(J140,[1]Key!$A$24:$B$29,2,FALSE)</f>
        <v>30-39</v>
      </c>
      <c r="L140" s="13" t="s">
        <v>208</v>
      </c>
      <c r="M140" s="23" t="s">
        <v>150</v>
      </c>
      <c r="N140" s="13" t="s">
        <v>151</v>
      </c>
      <c r="O140" s="45">
        <v>4</v>
      </c>
      <c r="P140" s="30" t="str">
        <f>VLOOKUP(O140,[1]Key!$E$2:$F$9,2,FALSE)</f>
        <v>Commercial</v>
      </c>
      <c r="Q140" s="13" t="s">
        <v>212</v>
      </c>
      <c r="R140" s="23" t="s">
        <v>150</v>
      </c>
      <c r="S140" s="13" t="s">
        <v>151</v>
      </c>
      <c r="T140" s="23">
        <v>4</v>
      </c>
      <c r="U140" s="30" t="str">
        <f>VLOOKUP(T140,[1]Key!$E$2:$F$9,2,FALSE)</f>
        <v>Commercial</v>
      </c>
      <c r="V140" s="30" t="str">
        <f t="shared" si="9"/>
        <v>Commercial-Commercial</v>
      </c>
      <c r="W140" s="41">
        <v>5000</v>
      </c>
      <c r="X140" s="62">
        <v>10</v>
      </c>
      <c r="Y140" s="62" t="str">
        <f t="shared" si="10"/>
        <v>10-20</v>
      </c>
      <c r="Z140" s="62">
        <v>0.3</v>
      </c>
      <c r="AA140" s="62" t="str">
        <f t="shared" si="11"/>
        <v>0-0.5</v>
      </c>
      <c r="AB140" s="23">
        <v>5</v>
      </c>
      <c r="AC140" s="30" t="str">
        <f>VLOOKUP(AB140,[1]Key!$C$20:$D$29,2,FALSE)</f>
        <v>Professional</v>
      </c>
      <c r="AD140" s="23">
        <v>3</v>
      </c>
      <c r="AE140" s="30" t="str">
        <f>VLOOKUP(AD140,[1]Key!$E$20:$F$24,2,FALSE)</f>
        <v>500,000-750,000</v>
      </c>
      <c r="AF140" s="23">
        <v>2</v>
      </c>
      <c r="AG140" s="62">
        <v>1</v>
      </c>
      <c r="AH140" s="62">
        <v>5</v>
      </c>
      <c r="AI140" s="62">
        <v>1</v>
      </c>
      <c r="AJ140" s="62">
        <v>5</v>
      </c>
      <c r="AK140" s="45" t="s">
        <v>94</v>
      </c>
      <c r="AL140" s="36"/>
      <c r="AM140" t="str">
        <f t="shared" si="12"/>
        <v>0-1000</v>
      </c>
    </row>
    <row r="141" spans="1:39" x14ac:dyDescent="0.2">
      <c r="A141" s="44">
        <v>43771</v>
      </c>
      <c r="B141" s="60">
        <v>0.59097222222222223</v>
      </c>
      <c r="C141" s="60" t="s">
        <v>295</v>
      </c>
      <c r="D141" s="60" t="s">
        <v>96</v>
      </c>
      <c r="E141" s="13">
        <v>2</v>
      </c>
      <c r="F141" s="38" t="str">
        <f>VLOOKUP(E141,[1]Key!$A$17:$B$21,2,FALSE)</f>
        <v>Road Vehicle</v>
      </c>
      <c r="G141" s="61">
        <v>4</v>
      </c>
      <c r="H141" s="39" t="str">
        <f>VLOOKUP(G141,[1]Key!$A$2:$B$13,2,FALSE)</f>
        <v>Minibus</v>
      </c>
      <c r="I141" s="13" t="s">
        <v>108</v>
      </c>
      <c r="J141" s="13">
        <v>2</v>
      </c>
      <c r="K141" s="40" t="str">
        <f>VLOOKUP(J141,[1]Key!$A$24:$B$29,2,FALSE)</f>
        <v>30-39</v>
      </c>
      <c r="L141" s="13" t="s">
        <v>208</v>
      </c>
      <c r="M141" s="23" t="s">
        <v>150</v>
      </c>
      <c r="N141" s="13" t="s">
        <v>151</v>
      </c>
      <c r="O141" s="45">
        <v>4</v>
      </c>
      <c r="P141" s="30" t="str">
        <f>VLOOKUP(O141,[1]Key!$E$2:$F$9,2,FALSE)</f>
        <v>Commercial</v>
      </c>
      <c r="Q141" s="13" t="s">
        <v>187</v>
      </c>
      <c r="R141" s="23" t="s">
        <v>187</v>
      </c>
      <c r="S141" s="13" t="s">
        <v>151</v>
      </c>
      <c r="T141" s="23">
        <v>4</v>
      </c>
      <c r="U141" s="30" t="str">
        <f>VLOOKUP(T141,[1]Key!$E$2:$F$9,2,FALSE)</f>
        <v>Commercial</v>
      </c>
      <c r="V141" s="30" t="str">
        <f t="shared" si="9"/>
        <v>Commercial-Commercial</v>
      </c>
      <c r="W141" s="23">
        <v>60000</v>
      </c>
      <c r="X141" s="62">
        <v>210</v>
      </c>
      <c r="Y141" s="62" t="str">
        <f t="shared" si="10"/>
        <v>Over 200</v>
      </c>
      <c r="Z141" s="62">
        <v>2.5</v>
      </c>
      <c r="AA141" s="62" t="str">
        <f t="shared" si="11"/>
        <v>2.0-3.5</v>
      </c>
      <c r="AB141" s="23">
        <v>5</v>
      </c>
      <c r="AC141" s="30" t="str">
        <f>VLOOKUP(AB141,[1]Key!$C$20:$D$29,2,FALSE)</f>
        <v>Professional</v>
      </c>
      <c r="AD141" s="23">
        <v>3</v>
      </c>
      <c r="AE141" s="30" t="str">
        <f>VLOOKUP(AD141,[1]Key!$E$20:$F$24,2,FALSE)</f>
        <v>500,000-750,000</v>
      </c>
      <c r="AF141" s="23">
        <v>5</v>
      </c>
      <c r="AG141" s="62">
        <v>5</v>
      </c>
      <c r="AH141" s="62">
        <v>3</v>
      </c>
      <c r="AI141" s="62">
        <v>1</v>
      </c>
      <c r="AJ141" s="62">
        <v>3</v>
      </c>
      <c r="AK141" s="45" t="s">
        <v>94</v>
      </c>
      <c r="AL141" s="36"/>
      <c r="AM141" t="str">
        <f t="shared" si="12"/>
        <v>0-1000</v>
      </c>
    </row>
    <row r="142" spans="1:39" x14ac:dyDescent="0.2">
      <c r="A142" s="44">
        <v>43771</v>
      </c>
      <c r="B142" s="60">
        <v>0.62222222222222223</v>
      </c>
      <c r="C142" s="60" t="s">
        <v>296</v>
      </c>
      <c r="D142" s="60" t="s">
        <v>96</v>
      </c>
      <c r="E142" s="13">
        <v>2</v>
      </c>
      <c r="F142" s="38" t="str">
        <f>VLOOKUP(E142,[1]Key!$A$17:$B$21,2,FALSE)</f>
        <v>Road Vehicle</v>
      </c>
      <c r="G142" s="61">
        <v>4</v>
      </c>
      <c r="H142" s="39" t="str">
        <f>VLOOKUP(G142,[1]Key!$A$2:$B$13,2,FALSE)</f>
        <v>Minibus</v>
      </c>
      <c r="I142" s="13" t="s">
        <v>108</v>
      </c>
      <c r="J142" s="13">
        <v>2</v>
      </c>
      <c r="K142" s="40" t="str">
        <f>VLOOKUP(J142,[1]Key!$A$24:$B$29,2,FALSE)</f>
        <v>30-39</v>
      </c>
      <c r="L142" s="13" t="s">
        <v>208</v>
      </c>
      <c r="M142" s="23" t="s">
        <v>150</v>
      </c>
      <c r="N142" s="13" t="s">
        <v>151</v>
      </c>
      <c r="O142" s="45">
        <v>4</v>
      </c>
      <c r="P142" s="30" t="str">
        <f>VLOOKUP(O142,[1]Key!$E$2:$F$9,2,FALSE)</f>
        <v>Commercial</v>
      </c>
      <c r="Q142" s="13" t="s">
        <v>297</v>
      </c>
      <c r="R142" s="23" t="s">
        <v>187</v>
      </c>
      <c r="S142" s="13" t="s">
        <v>151</v>
      </c>
      <c r="T142" s="23">
        <v>4</v>
      </c>
      <c r="U142" s="30" t="str">
        <f>VLOOKUP(T142,[1]Key!$E$2:$F$9,2,FALSE)</f>
        <v>Commercial</v>
      </c>
      <c r="V142" s="30" t="str">
        <f t="shared" si="9"/>
        <v>Commercial-Commercial</v>
      </c>
      <c r="W142" s="23">
        <v>100000</v>
      </c>
      <c r="X142" s="62">
        <v>270</v>
      </c>
      <c r="Y142" s="62" t="str">
        <f t="shared" si="10"/>
        <v>Over 200</v>
      </c>
      <c r="Z142" s="62">
        <v>2</v>
      </c>
      <c r="AA142" s="62" t="str">
        <f t="shared" si="11"/>
        <v>2.0-3.5</v>
      </c>
      <c r="AB142" s="23">
        <v>5</v>
      </c>
      <c r="AC142" s="30" t="str">
        <f>VLOOKUP(AB142,[1]Key!$C$20:$D$29,2,FALSE)</f>
        <v>Professional</v>
      </c>
      <c r="AD142" s="23">
        <v>2</v>
      </c>
      <c r="AE142" s="30" t="str">
        <f>VLOOKUP(AD142,[1]Key!$E$20:$F$24,2,FALSE)</f>
        <v>300,000-500,000</v>
      </c>
      <c r="AF142" s="23">
        <v>5</v>
      </c>
      <c r="AG142" s="62">
        <v>4</v>
      </c>
      <c r="AH142" s="62">
        <v>4</v>
      </c>
      <c r="AI142" s="62">
        <v>5</v>
      </c>
      <c r="AJ142" s="62">
        <v>5</v>
      </c>
      <c r="AK142" s="45" t="s">
        <v>94</v>
      </c>
      <c r="AL142" s="36">
        <v>2000</v>
      </c>
      <c r="AM142" t="str">
        <f t="shared" si="12"/>
        <v>2000-3000</v>
      </c>
    </row>
    <row r="143" spans="1:39" x14ac:dyDescent="0.2">
      <c r="A143" s="44">
        <v>43771</v>
      </c>
      <c r="B143" s="60">
        <v>0.65069444444444446</v>
      </c>
      <c r="C143" s="60" t="s">
        <v>298</v>
      </c>
      <c r="D143" s="60" t="s">
        <v>96</v>
      </c>
      <c r="E143" s="13">
        <v>2</v>
      </c>
      <c r="F143" s="38" t="str">
        <f>VLOOKUP(E143,[1]Key!$A$17:$B$21,2,FALSE)</f>
        <v>Road Vehicle</v>
      </c>
      <c r="G143" s="61">
        <v>4</v>
      </c>
      <c r="H143" s="39" t="str">
        <f>VLOOKUP(G143,[1]Key!$A$2:$B$13,2,FALSE)</f>
        <v>Minibus</v>
      </c>
      <c r="I143" s="13" t="s">
        <v>108</v>
      </c>
      <c r="J143" s="13">
        <v>2</v>
      </c>
      <c r="K143" s="40" t="str">
        <f>VLOOKUP(J143,[1]Key!$A$24:$B$29,2,FALSE)</f>
        <v>30-39</v>
      </c>
      <c r="L143" s="13" t="s">
        <v>208</v>
      </c>
      <c r="M143" s="23" t="s">
        <v>150</v>
      </c>
      <c r="N143" s="13" t="s">
        <v>151</v>
      </c>
      <c r="O143" s="45">
        <v>4</v>
      </c>
      <c r="P143" s="30" t="str">
        <f>VLOOKUP(O143,[1]Key!$E$2:$F$9,2,FALSE)</f>
        <v>Commercial</v>
      </c>
      <c r="Q143" s="13" t="s">
        <v>299</v>
      </c>
      <c r="R143" s="23" t="s">
        <v>299</v>
      </c>
      <c r="S143" s="13" t="s">
        <v>151</v>
      </c>
      <c r="T143" s="23">
        <v>4</v>
      </c>
      <c r="U143" s="30" t="str">
        <f>VLOOKUP(T143,[1]Key!$E$2:$F$9,2,FALSE)</f>
        <v>Commercial</v>
      </c>
      <c r="V143" s="30" t="str">
        <f t="shared" si="9"/>
        <v>Commercial-Commercial</v>
      </c>
      <c r="W143" s="23">
        <v>70000</v>
      </c>
      <c r="X143" s="62">
        <v>120</v>
      </c>
      <c r="Y143" s="62" t="str">
        <f t="shared" si="10"/>
        <v>100-200</v>
      </c>
      <c r="Z143" s="62">
        <v>1.5</v>
      </c>
      <c r="AA143" s="62" t="str">
        <f t="shared" si="11"/>
        <v>1.0-2.0</v>
      </c>
      <c r="AB143" s="23">
        <v>5</v>
      </c>
      <c r="AC143" s="30" t="str">
        <f>VLOOKUP(AB143,[1]Key!$C$20:$D$29,2,FALSE)</f>
        <v>Professional</v>
      </c>
      <c r="AD143" s="23">
        <v>3</v>
      </c>
      <c r="AE143" s="30" t="str">
        <f>VLOOKUP(AD143,[1]Key!$E$20:$F$24,2,FALSE)</f>
        <v>500,000-750,000</v>
      </c>
      <c r="AF143" s="23">
        <v>5</v>
      </c>
      <c r="AG143" s="62">
        <v>4</v>
      </c>
      <c r="AH143" s="62">
        <v>2</v>
      </c>
      <c r="AI143" s="62">
        <v>5</v>
      </c>
      <c r="AJ143" s="62">
        <v>5</v>
      </c>
      <c r="AK143" s="45" t="s">
        <v>94</v>
      </c>
      <c r="AL143" s="36">
        <v>2000</v>
      </c>
      <c r="AM143" t="str">
        <f t="shared" si="12"/>
        <v>2000-3000</v>
      </c>
    </row>
    <row r="144" spans="1:39" x14ac:dyDescent="0.2">
      <c r="A144" s="44">
        <v>43771</v>
      </c>
      <c r="B144" s="60">
        <v>0.65694444444444444</v>
      </c>
      <c r="C144" s="60"/>
      <c r="D144" s="60" t="s">
        <v>96</v>
      </c>
      <c r="E144" s="13">
        <v>2</v>
      </c>
      <c r="F144" s="38" t="str">
        <f>VLOOKUP(E144,[1]Key!$A$17:$B$21,2,FALSE)</f>
        <v>Road Vehicle</v>
      </c>
      <c r="G144" s="61">
        <v>4</v>
      </c>
      <c r="H144" s="39" t="str">
        <f>VLOOKUP(G144,[1]Key!$A$2:$B$13,2,FALSE)</f>
        <v>Minibus</v>
      </c>
      <c r="I144" s="13" t="s">
        <v>108</v>
      </c>
      <c r="J144" s="13">
        <v>2</v>
      </c>
      <c r="K144" s="40" t="str">
        <f>VLOOKUP(J144,[1]Key!$A$24:$B$29,2,FALSE)</f>
        <v>30-39</v>
      </c>
      <c r="L144" s="13" t="s">
        <v>208</v>
      </c>
      <c r="M144" s="23" t="s">
        <v>150</v>
      </c>
      <c r="N144" s="13" t="s">
        <v>151</v>
      </c>
      <c r="O144" s="45">
        <v>4</v>
      </c>
      <c r="P144" s="30" t="str">
        <f>VLOOKUP(O144,[1]Key!$E$2:$F$9,2,FALSE)</f>
        <v>Commercial</v>
      </c>
      <c r="Q144" s="13" t="s">
        <v>222</v>
      </c>
      <c r="R144" s="23" t="s">
        <v>159</v>
      </c>
      <c r="S144" s="13" t="s">
        <v>151</v>
      </c>
      <c r="T144" s="23">
        <v>4</v>
      </c>
      <c r="U144" s="30" t="str">
        <f>VLOOKUP(T144,[1]Key!$E$2:$F$9,2,FALSE)</f>
        <v>Commercial</v>
      </c>
      <c r="V144" s="30" t="str">
        <f t="shared" si="9"/>
        <v>Commercial-Commercial</v>
      </c>
      <c r="W144" s="23">
        <v>50000</v>
      </c>
      <c r="X144" s="62">
        <v>120</v>
      </c>
      <c r="Y144" s="62" t="str">
        <f t="shared" si="10"/>
        <v>100-200</v>
      </c>
      <c r="Z144" s="62">
        <v>1</v>
      </c>
      <c r="AA144" s="62" t="str">
        <f t="shared" si="11"/>
        <v>1.0-2.0</v>
      </c>
      <c r="AB144" s="23">
        <v>5</v>
      </c>
      <c r="AC144" s="30" t="str">
        <f>VLOOKUP(AB144,[1]Key!$C$20:$D$29,2,FALSE)</f>
        <v>Professional</v>
      </c>
      <c r="AD144" s="23">
        <v>3</v>
      </c>
      <c r="AE144" s="30" t="str">
        <f>VLOOKUP(AD144,[1]Key!$E$20:$F$24,2,FALSE)</f>
        <v>500,000-750,000</v>
      </c>
      <c r="AF144" s="23">
        <v>5</v>
      </c>
      <c r="AG144" s="62">
        <v>3</v>
      </c>
      <c r="AH144" s="62">
        <v>1</v>
      </c>
      <c r="AI144" s="62">
        <v>5</v>
      </c>
      <c r="AJ144" s="62">
        <v>5</v>
      </c>
      <c r="AK144" s="45" t="s">
        <v>94</v>
      </c>
      <c r="AL144" s="36">
        <v>2000</v>
      </c>
      <c r="AM144" t="str">
        <f t="shared" si="12"/>
        <v>2000-3000</v>
      </c>
    </row>
    <row r="145" spans="1:39" x14ac:dyDescent="0.2">
      <c r="A145" s="44">
        <v>43771</v>
      </c>
      <c r="B145" s="60">
        <v>0.6645833333333333</v>
      </c>
      <c r="C145" s="60" t="s">
        <v>300</v>
      </c>
      <c r="D145" s="60" t="s">
        <v>96</v>
      </c>
      <c r="E145" s="13">
        <v>2</v>
      </c>
      <c r="F145" s="38" t="str">
        <f>VLOOKUP(E145,[1]Key!$A$17:$B$21,2,FALSE)</f>
        <v>Road Vehicle</v>
      </c>
      <c r="G145" s="61">
        <v>4</v>
      </c>
      <c r="H145" s="39" t="str">
        <f>VLOOKUP(G145,[1]Key!$A$2:$B$13,2,FALSE)</f>
        <v>Minibus</v>
      </c>
      <c r="I145" s="13" t="s">
        <v>108</v>
      </c>
      <c r="J145" s="13">
        <v>2</v>
      </c>
      <c r="K145" s="40" t="str">
        <f>VLOOKUP(J145,[1]Key!$A$24:$B$29,2,FALSE)</f>
        <v>30-39</v>
      </c>
      <c r="L145" s="13" t="s">
        <v>208</v>
      </c>
      <c r="M145" s="23" t="s">
        <v>150</v>
      </c>
      <c r="N145" s="13" t="s">
        <v>151</v>
      </c>
      <c r="O145" s="45">
        <v>4</v>
      </c>
      <c r="P145" s="30" t="str">
        <f>VLOOKUP(O145,[1]Key!$E$2:$F$9,2,FALSE)</f>
        <v>Commercial</v>
      </c>
      <c r="Q145" s="13" t="s">
        <v>301</v>
      </c>
      <c r="R145" s="23" t="s">
        <v>159</v>
      </c>
      <c r="S145" s="13" t="s">
        <v>151</v>
      </c>
      <c r="T145" s="23">
        <v>4</v>
      </c>
      <c r="U145" s="30" t="str">
        <f>VLOOKUP(T145,[1]Key!$E$2:$F$9,2,FALSE)</f>
        <v>Commercial</v>
      </c>
      <c r="V145" s="30" t="str">
        <f t="shared" si="9"/>
        <v>Commercial-Commercial</v>
      </c>
      <c r="W145" s="23">
        <v>50000</v>
      </c>
      <c r="X145" s="62">
        <v>120</v>
      </c>
      <c r="Y145" s="62" t="str">
        <f t="shared" si="10"/>
        <v>100-200</v>
      </c>
      <c r="Z145" s="62">
        <v>2</v>
      </c>
      <c r="AA145" s="62" t="str">
        <f t="shared" si="11"/>
        <v>2.0-3.5</v>
      </c>
      <c r="AB145" s="23">
        <v>5</v>
      </c>
      <c r="AC145" s="30" t="str">
        <f>VLOOKUP(AB145,[1]Key!$C$20:$D$29,2,FALSE)</f>
        <v>Professional</v>
      </c>
      <c r="AD145" s="23">
        <v>3</v>
      </c>
      <c r="AE145" s="30" t="str">
        <f>VLOOKUP(AD145,[1]Key!$E$20:$F$24,2,FALSE)</f>
        <v>500,000-750,000</v>
      </c>
      <c r="AF145" s="23">
        <v>5</v>
      </c>
      <c r="AG145" s="62">
        <v>5</v>
      </c>
      <c r="AH145" s="62">
        <v>4</v>
      </c>
      <c r="AI145" s="62">
        <v>5</v>
      </c>
      <c r="AJ145" s="62">
        <v>5</v>
      </c>
      <c r="AK145" s="45" t="s">
        <v>94</v>
      </c>
      <c r="AL145" s="36">
        <v>1000</v>
      </c>
      <c r="AM145" t="str">
        <f t="shared" si="12"/>
        <v>1000-2000</v>
      </c>
    </row>
    <row r="146" spans="1:39" x14ac:dyDescent="0.2">
      <c r="A146" s="44">
        <v>43771</v>
      </c>
      <c r="B146" s="60">
        <v>0.66666666666666663</v>
      </c>
      <c r="C146" s="60"/>
      <c r="D146" s="60" t="s">
        <v>96</v>
      </c>
      <c r="E146" s="13">
        <v>2</v>
      </c>
      <c r="F146" s="38" t="str">
        <f>VLOOKUP(E146,[1]Key!$A$17:$B$21,2,FALSE)</f>
        <v>Road Vehicle</v>
      </c>
      <c r="G146" s="61">
        <v>4</v>
      </c>
      <c r="H146" s="39" t="str">
        <f>VLOOKUP(G146,[1]Key!$A$2:$B$13,2,FALSE)</f>
        <v>Minibus</v>
      </c>
      <c r="I146" s="13" t="s">
        <v>108</v>
      </c>
      <c r="J146" s="13">
        <v>2</v>
      </c>
      <c r="K146" s="40" t="str">
        <f>VLOOKUP(J146,[1]Key!$A$24:$B$29,2,FALSE)</f>
        <v>30-39</v>
      </c>
      <c r="L146" s="13" t="s">
        <v>208</v>
      </c>
      <c r="M146" s="23" t="s">
        <v>150</v>
      </c>
      <c r="N146" s="13" t="s">
        <v>151</v>
      </c>
      <c r="O146" s="45">
        <v>4</v>
      </c>
      <c r="P146" s="30" t="str">
        <f>VLOOKUP(O146,[1]Key!$E$2:$F$9,2,FALSE)</f>
        <v>Commercial</v>
      </c>
      <c r="Q146" s="13" t="s">
        <v>302</v>
      </c>
      <c r="R146" s="23" t="s">
        <v>302</v>
      </c>
      <c r="S146" s="13" t="s">
        <v>151</v>
      </c>
      <c r="T146" s="23">
        <v>4</v>
      </c>
      <c r="U146" s="30" t="str">
        <f>VLOOKUP(T146,[1]Key!$E$2:$F$9,2,FALSE)</f>
        <v>Commercial</v>
      </c>
      <c r="V146" s="30" t="str">
        <f t="shared" si="9"/>
        <v>Commercial-Commercial</v>
      </c>
      <c r="W146" s="23">
        <v>50000</v>
      </c>
      <c r="X146" s="62">
        <v>210</v>
      </c>
      <c r="Y146" s="62" t="str">
        <f t="shared" si="10"/>
        <v>Over 200</v>
      </c>
      <c r="Z146" s="62">
        <v>2.5</v>
      </c>
      <c r="AA146" s="62" t="str">
        <f t="shared" si="11"/>
        <v>2.0-3.5</v>
      </c>
      <c r="AB146" s="23">
        <v>5</v>
      </c>
      <c r="AC146" s="30" t="str">
        <f>VLOOKUP(AB146,[1]Key!$C$20:$D$29,2,FALSE)</f>
        <v>Professional</v>
      </c>
      <c r="AD146" s="23">
        <v>3</v>
      </c>
      <c r="AE146" s="30" t="str">
        <f>VLOOKUP(AD146,[1]Key!$E$20:$F$24,2,FALSE)</f>
        <v>500,000-750,000</v>
      </c>
      <c r="AF146" s="23">
        <v>5</v>
      </c>
      <c r="AG146" s="62">
        <v>5</v>
      </c>
      <c r="AH146" s="62">
        <v>3</v>
      </c>
      <c r="AI146" s="62">
        <v>2</v>
      </c>
      <c r="AJ146" s="62">
        <v>5</v>
      </c>
      <c r="AK146" s="45" t="s">
        <v>94</v>
      </c>
      <c r="AL146" s="36">
        <v>2000</v>
      </c>
      <c r="AM146" t="str">
        <f t="shared" si="12"/>
        <v>2000-3000</v>
      </c>
    </row>
    <row r="147" spans="1:39" x14ac:dyDescent="0.2">
      <c r="A147" s="44">
        <v>43771</v>
      </c>
      <c r="B147" s="60">
        <v>0.78194444444444444</v>
      </c>
      <c r="C147" s="60"/>
      <c r="D147" s="60" t="s">
        <v>96</v>
      </c>
      <c r="E147" s="13">
        <v>2</v>
      </c>
      <c r="F147" s="38" t="str">
        <f>VLOOKUP(E147,[1]Key!$A$17:$B$21,2,FALSE)</f>
        <v>Road Vehicle</v>
      </c>
      <c r="G147" s="61">
        <v>4</v>
      </c>
      <c r="H147" s="39" t="str">
        <f>VLOOKUP(G147,[1]Key!$A$2:$B$13,2,FALSE)</f>
        <v>Minibus</v>
      </c>
      <c r="I147" s="13" t="s">
        <v>108</v>
      </c>
      <c r="J147" s="13">
        <v>2</v>
      </c>
      <c r="K147" s="40" t="str">
        <f>VLOOKUP(J147,[1]Key!$A$24:$B$29,2,FALSE)</f>
        <v>30-39</v>
      </c>
      <c r="L147" s="13" t="s">
        <v>208</v>
      </c>
      <c r="M147" s="23" t="s">
        <v>150</v>
      </c>
      <c r="N147" s="13" t="s">
        <v>151</v>
      </c>
      <c r="O147" s="45">
        <v>4</v>
      </c>
      <c r="P147" s="30" t="str">
        <f>VLOOKUP(O147,[1]Key!$E$2:$F$9,2,FALSE)</f>
        <v>Commercial</v>
      </c>
      <c r="Q147" s="13" t="s">
        <v>216</v>
      </c>
      <c r="R147" s="23" t="s">
        <v>156</v>
      </c>
      <c r="S147" s="13" t="s">
        <v>151</v>
      </c>
      <c r="T147" s="23">
        <v>4</v>
      </c>
      <c r="U147" s="30" t="str">
        <f>VLOOKUP(T147,[1]Key!$E$2:$F$9,2,FALSE)</f>
        <v>Commercial</v>
      </c>
      <c r="V147" s="30" t="str">
        <f t="shared" si="9"/>
        <v>Commercial-Commercial</v>
      </c>
      <c r="W147" s="23">
        <v>30000</v>
      </c>
      <c r="X147" s="62">
        <v>20</v>
      </c>
      <c r="Y147" s="62" t="str">
        <f t="shared" si="10"/>
        <v>20-40</v>
      </c>
      <c r="Z147" s="62">
        <v>0.5</v>
      </c>
      <c r="AA147" s="62" t="str">
        <f t="shared" si="11"/>
        <v>0.5-1.0</v>
      </c>
      <c r="AB147" s="23">
        <v>5</v>
      </c>
      <c r="AC147" s="30" t="str">
        <f>VLOOKUP(AB147,[1]Key!$C$20:$D$29,2,FALSE)</f>
        <v>Professional</v>
      </c>
      <c r="AD147" s="23">
        <v>2</v>
      </c>
      <c r="AE147" s="30" t="str">
        <f>VLOOKUP(AD147,[1]Key!$E$20:$F$24,2,FALSE)</f>
        <v>300,000-500,000</v>
      </c>
      <c r="AF147" s="23">
        <v>5</v>
      </c>
      <c r="AG147" s="62">
        <v>1</v>
      </c>
      <c r="AH147" s="62">
        <v>1</v>
      </c>
      <c r="AI147" s="62">
        <v>2</v>
      </c>
      <c r="AJ147" s="62">
        <v>1</v>
      </c>
      <c r="AK147" s="45" t="s">
        <v>94</v>
      </c>
      <c r="AL147" s="36">
        <v>2000</v>
      </c>
      <c r="AM147" t="str">
        <f t="shared" si="12"/>
        <v>2000-3000</v>
      </c>
    </row>
    <row r="148" spans="1:39" x14ac:dyDescent="0.2">
      <c r="A148" s="44">
        <v>43771</v>
      </c>
      <c r="B148" s="60">
        <v>0.78819444444444453</v>
      </c>
      <c r="C148" s="60"/>
      <c r="D148" s="60" t="s">
        <v>96</v>
      </c>
      <c r="E148" s="13">
        <v>2</v>
      </c>
      <c r="F148" s="38" t="str">
        <f>VLOOKUP(E148,[1]Key!$A$17:$B$21,2,FALSE)</f>
        <v>Road Vehicle</v>
      </c>
      <c r="G148" s="61">
        <v>4</v>
      </c>
      <c r="H148" s="39" t="str">
        <f>VLOOKUP(G148,[1]Key!$A$2:$B$13,2,FALSE)</f>
        <v>Minibus</v>
      </c>
      <c r="I148" s="13" t="s">
        <v>108</v>
      </c>
      <c r="J148" s="13">
        <v>2</v>
      </c>
      <c r="K148" s="40" t="str">
        <f>VLOOKUP(J148,[1]Key!$A$24:$B$29,2,FALSE)</f>
        <v>30-39</v>
      </c>
      <c r="L148" s="13" t="s">
        <v>208</v>
      </c>
      <c r="M148" s="23" t="s">
        <v>150</v>
      </c>
      <c r="N148" s="13" t="s">
        <v>151</v>
      </c>
      <c r="O148" s="45">
        <v>4</v>
      </c>
      <c r="P148" s="30" t="str">
        <f>VLOOKUP(O148,[1]Key!$E$2:$F$9,2,FALSE)</f>
        <v>Commercial</v>
      </c>
      <c r="Q148" s="13" t="s">
        <v>303</v>
      </c>
      <c r="R148" s="23" t="s">
        <v>159</v>
      </c>
      <c r="S148" s="13" t="s">
        <v>151</v>
      </c>
      <c r="T148" s="23">
        <v>4</v>
      </c>
      <c r="U148" s="30" t="str">
        <f>VLOOKUP(T148,[1]Key!$E$2:$F$9,2,FALSE)</f>
        <v>Commercial</v>
      </c>
      <c r="V148" s="30" t="str">
        <f t="shared" si="9"/>
        <v>Commercial-Commercial</v>
      </c>
      <c r="W148" s="23">
        <v>40000</v>
      </c>
      <c r="X148" s="62">
        <v>37</v>
      </c>
      <c r="Y148" s="62" t="str">
        <f t="shared" si="10"/>
        <v>20-40</v>
      </c>
      <c r="Z148" s="62">
        <v>1</v>
      </c>
      <c r="AA148" s="62" t="str">
        <f t="shared" si="11"/>
        <v>1.0-2.0</v>
      </c>
      <c r="AB148" s="23">
        <v>5</v>
      </c>
      <c r="AC148" s="30" t="str">
        <f>VLOOKUP(AB148,[1]Key!$C$20:$D$29,2,FALSE)</f>
        <v>Professional</v>
      </c>
      <c r="AD148" s="23">
        <v>2</v>
      </c>
      <c r="AE148" s="30" t="str">
        <f>VLOOKUP(AD148,[1]Key!$E$20:$F$24,2,FALSE)</f>
        <v>300,000-500,000</v>
      </c>
      <c r="AF148" s="23">
        <v>5</v>
      </c>
      <c r="AG148" s="62">
        <v>5</v>
      </c>
      <c r="AH148" s="62">
        <v>3</v>
      </c>
      <c r="AI148" s="62">
        <v>5</v>
      </c>
      <c r="AJ148" s="62">
        <v>5</v>
      </c>
      <c r="AK148" s="45" t="s">
        <v>94</v>
      </c>
      <c r="AL148" s="36">
        <v>4000</v>
      </c>
      <c r="AM148" t="str">
        <f t="shared" si="12"/>
        <v>3000-5000</v>
      </c>
    </row>
    <row r="149" spans="1:39" x14ac:dyDescent="0.2">
      <c r="A149" s="44">
        <v>43771</v>
      </c>
      <c r="B149" s="60">
        <v>0.35694444444444445</v>
      </c>
      <c r="C149" s="60"/>
      <c r="D149" s="60" t="s">
        <v>165</v>
      </c>
      <c r="E149" s="13">
        <v>2</v>
      </c>
      <c r="F149" s="38" t="str">
        <f>VLOOKUP(E149,[1]Key!$A$17:$B$21,2,FALSE)</f>
        <v>Road Vehicle</v>
      </c>
      <c r="G149" s="61">
        <v>4</v>
      </c>
      <c r="H149" s="39" t="str">
        <f>VLOOKUP(G149,[1]Key!$A$2:$B$13,2,FALSE)</f>
        <v>Minibus</v>
      </c>
      <c r="I149" s="13" t="s">
        <v>108</v>
      </c>
      <c r="J149" s="13">
        <v>2</v>
      </c>
      <c r="K149" s="40" t="str">
        <f>VLOOKUP(J149,[1]Key!$A$24:$B$29,2,FALSE)</f>
        <v>30-39</v>
      </c>
      <c r="L149" s="63" t="s">
        <v>208</v>
      </c>
      <c r="M149" s="23" t="s">
        <v>150</v>
      </c>
      <c r="N149" s="13" t="s">
        <v>151</v>
      </c>
      <c r="O149" s="45">
        <v>4</v>
      </c>
      <c r="P149" s="30" t="str">
        <f>VLOOKUP(O149,[1]Key!$E$2:$F$9,2,FALSE)</f>
        <v>Commercial</v>
      </c>
      <c r="Q149" s="13" t="s">
        <v>217</v>
      </c>
      <c r="R149" s="23" t="s">
        <v>150</v>
      </c>
      <c r="S149" s="13" t="s">
        <v>151</v>
      </c>
      <c r="T149" s="23">
        <v>1</v>
      </c>
      <c r="U149" s="30" t="str">
        <f>VLOOKUP(T149,[1]Key!$E$2:$F$9,2,FALSE)</f>
        <v>Home</v>
      </c>
      <c r="V149" s="30" t="str">
        <f t="shared" si="9"/>
        <v>Commercial-Home</v>
      </c>
      <c r="W149" s="41">
        <v>3000</v>
      </c>
      <c r="X149" s="62">
        <v>20</v>
      </c>
      <c r="Y149" s="62" t="str">
        <f t="shared" si="10"/>
        <v>20-40</v>
      </c>
      <c r="Z149" s="62">
        <v>0.5</v>
      </c>
      <c r="AA149" s="62" t="str">
        <f t="shared" si="11"/>
        <v>0.5-1.0</v>
      </c>
      <c r="AB149" s="23">
        <v>6</v>
      </c>
      <c r="AC149" s="30" t="str">
        <f>VLOOKUP(AB149,[1]Key!$C$20:$D$29,2,FALSE)</f>
        <v>Businessman</v>
      </c>
      <c r="AD149" s="23">
        <v>2</v>
      </c>
      <c r="AE149" s="30" t="str">
        <f>VLOOKUP(AD149,[1]Key!$E$20:$F$24,2,FALSE)</f>
        <v>300,000-500,000</v>
      </c>
      <c r="AF149" s="23">
        <v>5</v>
      </c>
      <c r="AG149" s="62">
        <v>4</v>
      </c>
      <c r="AH149" s="62">
        <v>5</v>
      </c>
      <c r="AI149" s="62">
        <v>3</v>
      </c>
      <c r="AJ149" s="62">
        <v>5</v>
      </c>
      <c r="AK149" s="45" t="s">
        <v>94</v>
      </c>
      <c r="AL149" s="36">
        <v>1000</v>
      </c>
      <c r="AM149" t="str">
        <f t="shared" si="12"/>
        <v>1000-2000</v>
      </c>
    </row>
    <row r="150" spans="1:39" x14ac:dyDescent="0.2">
      <c r="A150" s="44">
        <v>43771</v>
      </c>
      <c r="B150" s="60">
        <v>0.36388888888888887</v>
      </c>
      <c r="C150" s="60"/>
      <c r="D150" s="60" t="s">
        <v>165</v>
      </c>
      <c r="E150" s="13">
        <v>2</v>
      </c>
      <c r="F150" s="38" t="str">
        <f>VLOOKUP(E150,[1]Key!$A$17:$B$21,2,FALSE)</f>
        <v>Road Vehicle</v>
      </c>
      <c r="G150" s="61">
        <v>4</v>
      </c>
      <c r="H150" s="39" t="str">
        <f>VLOOKUP(G150,[1]Key!$A$2:$B$13,2,FALSE)</f>
        <v>Minibus</v>
      </c>
      <c r="I150" s="13" t="s">
        <v>108</v>
      </c>
      <c r="J150" s="13">
        <v>2</v>
      </c>
      <c r="K150" s="40" t="str">
        <f>VLOOKUP(J150,[1]Key!$A$24:$B$29,2,FALSE)</f>
        <v>30-39</v>
      </c>
      <c r="L150" s="63" t="s">
        <v>208</v>
      </c>
      <c r="M150" s="23" t="s">
        <v>150</v>
      </c>
      <c r="N150" s="13" t="s">
        <v>151</v>
      </c>
      <c r="O150" s="45">
        <v>4</v>
      </c>
      <c r="P150" s="30" t="str">
        <f>VLOOKUP(O150,[1]Key!$E$2:$F$9,2,FALSE)</f>
        <v>Commercial</v>
      </c>
      <c r="Q150" s="13" t="s">
        <v>304</v>
      </c>
      <c r="R150" s="23" t="s">
        <v>304</v>
      </c>
      <c r="S150" s="13" t="s">
        <v>151</v>
      </c>
      <c r="T150" s="23">
        <v>1</v>
      </c>
      <c r="U150" s="30" t="str">
        <f>VLOOKUP(T150,[1]Key!$E$2:$F$9,2,FALSE)</f>
        <v>Home</v>
      </c>
      <c r="V150" s="30" t="str">
        <f t="shared" si="9"/>
        <v>Commercial-Home</v>
      </c>
      <c r="W150" s="41">
        <v>40000</v>
      </c>
      <c r="X150" s="62">
        <v>340</v>
      </c>
      <c r="Y150" s="62" t="str">
        <f t="shared" si="10"/>
        <v>Over 200</v>
      </c>
      <c r="Z150" s="62">
        <v>6</v>
      </c>
      <c r="AA150" s="62" t="str">
        <f t="shared" si="11"/>
        <v>Over 3.5</v>
      </c>
      <c r="AB150" s="23">
        <v>6</v>
      </c>
      <c r="AC150" s="30" t="str">
        <f>VLOOKUP(AB150,[1]Key!$C$20:$D$29,2,FALSE)</f>
        <v>Businessman</v>
      </c>
      <c r="AD150" s="23">
        <v>3</v>
      </c>
      <c r="AE150" s="30" t="str">
        <f>VLOOKUP(AD150,[1]Key!$E$20:$F$24,2,FALSE)</f>
        <v>500,000-750,000</v>
      </c>
      <c r="AF150" s="23">
        <v>5</v>
      </c>
      <c r="AG150" s="62">
        <v>4</v>
      </c>
      <c r="AH150" s="62">
        <v>2</v>
      </c>
      <c r="AI150" s="62">
        <v>1</v>
      </c>
      <c r="AJ150" s="62">
        <v>5</v>
      </c>
      <c r="AK150" s="45" t="s">
        <v>94</v>
      </c>
      <c r="AL150" s="36">
        <v>1000</v>
      </c>
      <c r="AM150" t="str">
        <f t="shared" si="12"/>
        <v>1000-2000</v>
      </c>
    </row>
    <row r="151" spans="1:39" x14ac:dyDescent="0.2">
      <c r="A151" s="44">
        <v>43771</v>
      </c>
      <c r="B151" s="60">
        <v>0.40902777777777777</v>
      </c>
      <c r="C151" s="60"/>
      <c r="D151" s="60" t="s">
        <v>165</v>
      </c>
      <c r="E151" s="13">
        <v>2</v>
      </c>
      <c r="F151" s="38" t="str">
        <f>VLOOKUP(E151,[1]Key!$A$17:$B$21,2,FALSE)</f>
        <v>Road Vehicle</v>
      </c>
      <c r="G151" s="61">
        <v>4</v>
      </c>
      <c r="H151" s="39" t="str">
        <f>VLOOKUP(G151,[1]Key!$A$2:$B$13,2,FALSE)</f>
        <v>Minibus</v>
      </c>
      <c r="I151" s="13" t="s">
        <v>108</v>
      </c>
      <c r="J151" s="13">
        <v>2</v>
      </c>
      <c r="K151" s="40" t="str">
        <f>VLOOKUP(J151,[1]Key!$A$24:$B$29,2,FALSE)</f>
        <v>30-39</v>
      </c>
      <c r="L151" s="63" t="s">
        <v>218</v>
      </c>
      <c r="M151" s="23" t="s">
        <v>150</v>
      </c>
      <c r="N151" s="13" t="s">
        <v>151</v>
      </c>
      <c r="O151" s="45">
        <v>4</v>
      </c>
      <c r="P151" s="30" t="str">
        <f>VLOOKUP(O151,[1]Key!$E$2:$F$9,2,FALSE)</f>
        <v>Commercial</v>
      </c>
      <c r="Q151" s="13" t="s">
        <v>291</v>
      </c>
      <c r="R151" s="23" t="s">
        <v>273</v>
      </c>
      <c r="S151" s="13" t="s">
        <v>151</v>
      </c>
      <c r="T151" s="23">
        <v>1</v>
      </c>
      <c r="U151" s="30" t="str">
        <f>VLOOKUP(T151,[1]Key!$E$2:$F$9,2,FALSE)</f>
        <v>Home</v>
      </c>
      <c r="V151" s="30" t="str">
        <f t="shared" si="9"/>
        <v>Commercial-Home</v>
      </c>
      <c r="W151" s="41">
        <v>20000</v>
      </c>
      <c r="X151" s="62">
        <v>300</v>
      </c>
      <c r="Y151" s="62" t="str">
        <f t="shared" si="10"/>
        <v>Over 200</v>
      </c>
      <c r="Z151" s="62">
        <v>4</v>
      </c>
      <c r="AA151" s="62" t="str">
        <f t="shared" si="11"/>
        <v>Over 3.5</v>
      </c>
      <c r="AB151" s="23">
        <v>2</v>
      </c>
      <c r="AC151" s="30" t="str">
        <f>VLOOKUP(AB151,[1]Key!$C$20:$D$29,2,FALSE)</f>
        <v>Manual Labour</v>
      </c>
      <c r="AD151" s="23">
        <v>1</v>
      </c>
      <c r="AE151" s="30" t="str">
        <f>VLOOKUP(AD151,[1]Key!$E$20:$F$24,2,FALSE)</f>
        <v>&lt;300,000</v>
      </c>
      <c r="AF151" s="23">
        <v>5</v>
      </c>
      <c r="AG151" s="62">
        <v>5</v>
      </c>
      <c r="AH151" s="62">
        <v>4</v>
      </c>
      <c r="AI151" s="62">
        <v>5</v>
      </c>
      <c r="AJ151" s="62">
        <v>3</v>
      </c>
      <c r="AK151" s="45" t="s">
        <v>94</v>
      </c>
      <c r="AL151" s="36">
        <v>500</v>
      </c>
      <c r="AM151" t="str">
        <f t="shared" si="12"/>
        <v>0-1000</v>
      </c>
    </row>
    <row r="152" spans="1:39" x14ac:dyDescent="0.2">
      <c r="A152" s="44">
        <v>43771</v>
      </c>
      <c r="B152" s="60">
        <v>0.56944444444444442</v>
      </c>
      <c r="C152" s="60"/>
      <c r="D152" s="60" t="s">
        <v>165</v>
      </c>
      <c r="E152" s="13">
        <v>2</v>
      </c>
      <c r="F152" s="38" t="str">
        <f>VLOOKUP(E152,[1]Key!$A$17:$B$21,2,FALSE)</f>
        <v>Road Vehicle</v>
      </c>
      <c r="G152" s="61">
        <v>4</v>
      </c>
      <c r="H152" s="39" t="str">
        <f>VLOOKUP(G152,[1]Key!$A$2:$B$13,2,FALSE)</f>
        <v>Minibus</v>
      </c>
      <c r="I152" s="13" t="s">
        <v>108</v>
      </c>
      <c r="J152" s="13">
        <v>2</v>
      </c>
      <c r="K152" s="40" t="str">
        <f>VLOOKUP(J152,[1]Key!$A$24:$B$29,2,FALSE)</f>
        <v>30-39</v>
      </c>
      <c r="L152" s="13" t="s">
        <v>208</v>
      </c>
      <c r="M152" s="23" t="s">
        <v>150</v>
      </c>
      <c r="N152" s="13" t="s">
        <v>151</v>
      </c>
      <c r="O152" s="45">
        <v>4</v>
      </c>
      <c r="P152" s="30" t="str">
        <f>VLOOKUP(O152,[1]Key!$E$2:$F$9,2,FALSE)</f>
        <v>Commercial</v>
      </c>
      <c r="Q152" s="13" t="s">
        <v>305</v>
      </c>
      <c r="R152" s="23" t="s">
        <v>156</v>
      </c>
      <c r="S152" s="13" t="s">
        <v>151</v>
      </c>
      <c r="T152" s="23">
        <v>1</v>
      </c>
      <c r="U152" s="30" t="str">
        <f>VLOOKUP(T152,[1]Key!$E$2:$F$9,2,FALSE)</f>
        <v>Home</v>
      </c>
      <c r="V152" s="30" t="str">
        <f t="shared" si="9"/>
        <v>Commercial-Home</v>
      </c>
      <c r="W152" s="41">
        <v>3000</v>
      </c>
      <c r="X152" s="62">
        <v>20</v>
      </c>
      <c r="Y152" s="62" t="str">
        <f t="shared" si="10"/>
        <v>20-40</v>
      </c>
      <c r="Z152" s="62">
        <v>0.5</v>
      </c>
      <c r="AA152" s="62" t="str">
        <f t="shared" si="11"/>
        <v>0.5-1.0</v>
      </c>
      <c r="AB152" s="23">
        <v>7</v>
      </c>
      <c r="AC152" s="30" t="str">
        <f>VLOOKUP(AB152,[1]Key!$C$20:$D$29,2,FALSE)</f>
        <v>Farmer</v>
      </c>
      <c r="AD152" s="23">
        <v>1</v>
      </c>
      <c r="AE152" s="30" t="str">
        <f>VLOOKUP(AD152,[1]Key!$E$20:$F$24,2,FALSE)</f>
        <v>&lt;300,000</v>
      </c>
      <c r="AF152" s="23">
        <v>1</v>
      </c>
      <c r="AG152" s="62">
        <v>1</v>
      </c>
      <c r="AH152" s="62">
        <v>2</v>
      </c>
      <c r="AI152" s="62">
        <v>3</v>
      </c>
      <c r="AJ152" s="62">
        <v>1</v>
      </c>
      <c r="AK152" s="45" t="s">
        <v>94</v>
      </c>
      <c r="AL152" s="36"/>
      <c r="AM152" t="str">
        <f t="shared" si="12"/>
        <v>0-1000</v>
      </c>
    </row>
    <row r="153" spans="1:39" x14ac:dyDescent="0.2">
      <c r="A153" s="44">
        <v>43771</v>
      </c>
      <c r="B153" s="60">
        <v>0.5756944444444444</v>
      </c>
      <c r="C153" s="60" t="s">
        <v>306</v>
      </c>
      <c r="D153" s="60" t="s">
        <v>96</v>
      </c>
      <c r="E153" s="13">
        <v>2</v>
      </c>
      <c r="F153" s="38" t="str">
        <f>VLOOKUP(E153,[1]Key!$A$17:$B$21,2,FALSE)</f>
        <v>Road Vehicle</v>
      </c>
      <c r="G153" s="61">
        <v>4</v>
      </c>
      <c r="H153" s="39" t="str">
        <f>VLOOKUP(G153,[1]Key!$A$2:$B$13,2,FALSE)</f>
        <v>Minibus</v>
      </c>
      <c r="I153" s="13" t="s">
        <v>108</v>
      </c>
      <c r="J153" s="13">
        <v>2</v>
      </c>
      <c r="K153" s="40" t="str">
        <f>VLOOKUP(J153,[1]Key!$A$24:$B$29,2,FALSE)</f>
        <v>30-39</v>
      </c>
      <c r="L153" s="13" t="s">
        <v>208</v>
      </c>
      <c r="M153" s="23" t="s">
        <v>150</v>
      </c>
      <c r="N153" s="13" t="s">
        <v>151</v>
      </c>
      <c r="O153" s="45">
        <v>4</v>
      </c>
      <c r="P153" s="30" t="str">
        <f>VLOOKUP(O153,[1]Key!$E$2:$F$9,2,FALSE)</f>
        <v>Commercial</v>
      </c>
      <c r="Q153" s="13" t="s">
        <v>187</v>
      </c>
      <c r="R153" s="23" t="s">
        <v>187</v>
      </c>
      <c r="S153" s="13" t="s">
        <v>151</v>
      </c>
      <c r="T153" s="23">
        <v>2</v>
      </c>
      <c r="U153" s="30" t="str">
        <f>VLOOKUP(T153,[1]Key!$E$2:$F$9,2,FALSE)</f>
        <v>Work</v>
      </c>
      <c r="V153" s="30" t="str">
        <f t="shared" si="9"/>
        <v>Commercial-Work</v>
      </c>
      <c r="W153" s="23">
        <v>70000</v>
      </c>
      <c r="X153" s="62">
        <v>240</v>
      </c>
      <c r="Y153" s="62" t="str">
        <f t="shared" si="10"/>
        <v>Over 200</v>
      </c>
      <c r="Z153" s="62">
        <v>3</v>
      </c>
      <c r="AA153" s="62" t="str">
        <f t="shared" si="11"/>
        <v>2.0-3.5</v>
      </c>
      <c r="AB153" s="23">
        <v>6</v>
      </c>
      <c r="AC153" s="30" t="str">
        <f>VLOOKUP(AB153,[1]Key!$C$20:$D$29,2,FALSE)</f>
        <v>Businessman</v>
      </c>
      <c r="AD153" s="23">
        <v>2</v>
      </c>
      <c r="AE153" s="30" t="str">
        <f>VLOOKUP(AD153,[1]Key!$E$20:$F$24,2,FALSE)</f>
        <v>300,000-500,000</v>
      </c>
      <c r="AF153" s="23">
        <v>5</v>
      </c>
      <c r="AG153" s="62">
        <v>5</v>
      </c>
      <c r="AH153" s="62">
        <v>4</v>
      </c>
      <c r="AI153" s="62">
        <v>3</v>
      </c>
      <c r="AJ153" s="62">
        <v>5</v>
      </c>
      <c r="AK153" s="45" t="s">
        <v>94</v>
      </c>
      <c r="AL153" s="36">
        <v>3000</v>
      </c>
      <c r="AM153" t="str">
        <f t="shared" si="12"/>
        <v>3000-5000</v>
      </c>
    </row>
    <row r="154" spans="1:39" x14ac:dyDescent="0.2">
      <c r="A154" s="44">
        <v>43771</v>
      </c>
      <c r="B154" s="60">
        <v>0.63888888888888895</v>
      </c>
      <c r="C154" s="60"/>
      <c r="D154" s="60" t="s">
        <v>165</v>
      </c>
      <c r="E154" s="13">
        <v>2</v>
      </c>
      <c r="F154" s="38" t="str">
        <f>VLOOKUP(E154,[1]Key!$A$17:$B$21,2,FALSE)</f>
        <v>Road Vehicle</v>
      </c>
      <c r="G154" s="61">
        <v>4</v>
      </c>
      <c r="H154" s="39" t="str">
        <f>VLOOKUP(G154,[1]Key!$A$2:$B$13,2,FALSE)</f>
        <v>Minibus</v>
      </c>
      <c r="I154" s="13" t="s">
        <v>108</v>
      </c>
      <c r="J154" s="13">
        <v>2</v>
      </c>
      <c r="K154" s="40" t="str">
        <f>VLOOKUP(J154,[1]Key!$A$24:$B$29,2,FALSE)</f>
        <v>30-39</v>
      </c>
      <c r="L154" s="13" t="s">
        <v>307</v>
      </c>
      <c r="M154" s="23" t="s">
        <v>150</v>
      </c>
      <c r="N154" s="13" t="s">
        <v>151</v>
      </c>
      <c r="O154" s="45">
        <v>1</v>
      </c>
      <c r="P154" s="30" t="str">
        <f>VLOOKUP(O154,[1]Key!$E$2:$F$9,2,FALSE)</f>
        <v>Home</v>
      </c>
      <c r="Q154" s="13" t="s">
        <v>257</v>
      </c>
      <c r="R154" s="23" t="s">
        <v>257</v>
      </c>
      <c r="S154" s="13" t="s">
        <v>151</v>
      </c>
      <c r="T154" s="23">
        <v>8</v>
      </c>
      <c r="U154" s="30" t="str">
        <f>VLOOKUP(T154,[1]Key!$E$2:$F$9,2,FALSE)</f>
        <v>Others</v>
      </c>
      <c r="V154" s="30" t="str">
        <f t="shared" si="9"/>
        <v>Home-Others</v>
      </c>
      <c r="W154" s="23">
        <v>18000</v>
      </c>
      <c r="X154" s="62">
        <v>110</v>
      </c>
      <c r="Y154" s="62" t="str">
        <f t="shared" si="10"/>
        <v>100-200</v>
      </c>
      <c r="Z154" s="62">
        <v>4.5</v>
      </c>
      <c r="AA154" s="62" t="str">
        <f t="shared" si="11"/>
        <v>Over 3.5</v>
      </c>
      <c r="AB154" s="23">
        <v>6</v>
      </c>
      <c r="AC154" s="30" t="str">
        <f>VLOOKUP(AB154,[1]Key!$C$20:$D$29,2,FALSE)</f>
        <v>Businessman</v>
      </c>
      <c r="AD154" s="23">
        <v>1</v>
      </c>
      <c r="AE154" s="30" t="str">
        <f>VLOOKUP(AD154,[1]Key!$E$20:$F$24,2,FALSE)</f>
        <v>&lt;300,000</v>
      </c>
      <c r="AF154" s="23">
        <v>5</v>
      </c>
      <c r="AG154" s="62">
        <v>4</v>
      </c>
      <c r="AH154" s="62">
        <v>1</v>
      </c>
      <c r="AI154" s="62">
        <v>2</v>
      </c>
      <c r="AJ154" s="62">
        <v>1</v>
      </c>
      <c r="AK154" s="45" t="s">
        <v>94</v>
      </c>
      <c r="AL154" s="36"/>
      <c r="AM154" t="str">
        <f t="shared" si="12"/>
        <v>0-1000</v>
      </c>
    </row>
    <row r="155" spans="1:39" x14ac:dyDescent="0.2">
      <c r="A155" s="44">
        <v>43771</v>
      </c>
      <c r="B155" s="60">
        <v>0.34861111111111115</v>
      </c>
      <c r="C155" s="60"/>
      <c r="D155" s="60" t="s">
        <v>165</v>
      </c>
      <c r="E155" s="13">
        <v>2</v>
      </c>
      <c r="F155" s="38" t="str">
        <f>VLOOKUP(E155,[1]Key!$A$17:$B$21,2,FALSE)</f>
        <v>Road Vehicle</v>
      </c>
      <c r="G155" s="61">
        <v>4</v>
      </c>
      <c r="H155" s="39" t="str">
        <f>VLOOKUP(G155,[1]Key!$A$2:$B$13,2,FALSE)</f>
        <v>Minibus</v>
      </c>
      <c r="I155" s="13" t="s">
        <v>108</v>
      </c>
      <c r="J155" s="13">
        <v>2</v>
      </c>
      <c r="K155" s="40" t="str">
        <f>VLOOKUP(J155,[1]Key!$A$24:$B$29,2,FALSE)</f>
        <v>30-39</v>
      </c>
      <c r="L155" s="13" t="s">
        <v>224</v>
      </c>
      <c r="M155" s="23" t="s">
        <v>156</v>
      </c>
      <c r="N155" s="13" t="s">
        <v>151</v>
      </c>
      <c r="O155" s="45">
        <v>1</v>
      </c>
      <c r="P155" s="30" t="str">
        <f>VLOOKUP(O155,[1]Key!$E$2:$F$9,2,FALSE)</f>
        <v>Home</v>
      </c>
      <c r="Q155" s="13" t="s">
        <v>229</v>
      </c>
      <c r="R155" s="23" t="s">
        <v>229</v>
      </c>
      <c r="S155" s="13" t="s">
        <v>151</v>
      </c>
      <c r="T155" s="23">
        <v>8</v>
      </c>
      <c r="U155" s="30" t="str">
        <f>VLOOKUP(T155,[1]Key!$E$2:$F$9,2,FALSE)</f>
        <v>Others</v>
      </c>
      <c r="V155" s="30" t="str">
        <f t="shared" si="9"/>
        <v>Home-Others</v>
      </c>
      <c r="W155" s="23">
        <v>12000</v>
      </c>
      <c r="X155" s="62">
        <v>120</v>
      </c>
      <c r="Y155" s="62" t="str">
        <f t="shared" si="10"/>
        <v>100-200</v>
      </c>
      <c r="Z155" s="62">
        <v>3.5</v>
      </c>
      <c r="AA155" s="62" t="str">
        <f t="shared" si="11"/>
        <v>Over 3.5</v>
      </c>
      <c r="AB155" s="23">
        <v>10</v>
      </c>
      <c r="AC155" s="30" t="str">
        <f>VLOOKUP(AB155,[1]Key!$C$20:$D$29,2,FALSE)</f>
        <v>Other</v>
      </c>
      <c r="AD155" s="23">
        <v>1</v>
      </c>
      <c r="AE155" s="30" t="str">
        <f>VLOOKUP(AD155,[1]Key!$E$20:$F$24,2,FALSE)</f>
        <v>&lt;300,000</v>
      </c>
      <c r="AF155" s="23">
        <v>5</v>
      </c>
      <c r="AG155" s="62">
        <v>4</v>
      </c>
      <c r="AH155" s="62">
        <v>2</v>
      </c>
      <c r="AI155" s="62">
        <v>2</v>
      </c>
      <c r="AJ155" s="62">
        <v>1</v>
      </c>
      <c r="AK155" s="45" t="s">
        <v>94</v>
      </c>
      <c r="AL155" s="36"/>
      <c r="AM155" t="str">
        <f t="shared" si="12"/>
        <v>0-1000</v>
      </c>
    </row>
    <row r="156" spans="1:39" x14ac:dyDescent="0.2">
      <c r="A156" s="44">
        <v>43771</v>
      </c>
      <c r="B156" s="60">
        <v>0.32013888888888892</v>
      </c>
      <c r="C156" s="60"/>
      <c r="D156" s="60" t="s">
        <v>165</v>
      </c>
      <c r="E156" s="13">
        <v>2</v>
      </c>
      <c r="F156" s="38" t="str">
        <f>VLOOKUP(E156,[1]Key!$A$17:$B$21,2,FALSE)</f>
        <v>Road Vehicle</v>
      </c>
      <c r="G156" s="61">
        <v>4</v>
      </c>
      <c r="H156" s="39" t="str">
        <f>VLOOKUP(G156,[1]Key!$A$2:$B$13,2,FALSE)</f>
        <v>Minibus</v>
      </c>
      <c r="I156" s="13" t="s">
        <v>108</v>
      </c>
      <c r="J156" s="13">
        <v>2</v>
      </c>
      <c r="K156" s="40" t="str">
        <f>VLOOKUP(J156,[1]Key!$A$24:$B$29,2,FALSE)</f>
        <v>30-39</v>
      </c>
      <c r="L156" s="13" t="s">
        <v>233</v>
      </c>
      <c r="M156" s="23" t="s">
        <v>150</v>
      </c>
      <c r="N156" s="13" t="s">
        <v>151</v>
      </c>
      <c r="O156" s="45">
        <v>2</v>
      </c>
      <c r="P156" s="30" t="str">
        <f>VLOOKUP(O156,[1]Key!$E$2:$F$9,2,FALSE)</f>
        <v>Work</v>
      </c>
      <c r="Q156" s="13" t="s">
        <v>221</v>
      </c>
      <c r="R156" s="23" t="s">
        <v>150</v>
      </c>
      <c r="S156" s="13" t="s">
        <v>151</v>
      </c>
      <c r="T156" s="23">
        <v>1</v>
      </c>
      <c r="U156" s="30" t="str">
        <f>VLOOKUP(T156,[1]Key!$E$2:$F$9,2,FALSE)</f>
        <v>Home</v>
      </c>
      <c r="V156" s="30" t="str">
        <f t="shared" si="9"/>
        <v>Work-Home</v>
      </c>
      <c r="W156" s="23">
        <v>2000</v>
      </c>
      <c r="X156" s="62">
        <v>18</v>
      </c>
      <c r="Y156" s="62" t="str">
        <f t="shared" si="10"/>
        <v>10-20</v>
      </c>
      <c r="Z156" s="62">
        <v>0.5</v>
      </c>
      <c r="AA156" s="62" t="str">
        <f t="shared" si="11"/>
        <v>0.5-1.0</v>
      </c>
      <c r="AB156" s="23">
        <v>6</v>
      </c>
      <c r="AC156" s="30" t="str">
        <f>VLOOKUP(AB156,[1]Key!$C$20:$D$29,2,FALSE)</f>
        <v>Businessman</v>
      </c>
      <c r="AD156" s="23">
        <v>4</v>
      </c>
      <c r="AE156" s="30" t="str">
        <f>VLOOKUP(AD156,[1]Key!$E$20:$F$24,2,FALSE)</f>
        <v>750,000-1,000,000</v>
      </c>
      <c r="AF156" s="23">
        <v>1</v>
      </c>
      <c r="AG156" s="62">
        <v>1</v>
      </c>
      <c r="AH156" s="62">
        <v>1</v>
      </c>
      <c r="AI156" s="62">
        <v>1</v>
      </c>
      <c r="AJ156" s="62">
        <v>1</v>
      </c>
      <c r="AK156" s="45" t="s">
        <v>94</v>
      </c>
      <c r="AL156" s="36">
        <v>1000</v>
      </c>
      <c r="AM156" t="str">
        <f t="shared" si="12"/>
        <v>1000-2000</v>
      </c>
    </row>
    <row r="157" spans="1:39" x14ac:dyDescent="0.2">
      <c r="A157" s="44">
        <v>43771</v>
      </c>
      <c r="B157" s="60">
        <v>0.32013888888888892</v>
      </c>
      <c r="C157" s="60"/>
      <c r="D157" s="60" t="s">
        <v>165</v>
      </c>
      <c r="E157" s="13">
        <v>2</v>
      </c>
      <c r="F157" s="38" t="str">
        <f>VLOOKUP(E157,[1]Key!$A$17:$B$21,2,FALSE)</f>
        <v>Road Vehicle</v>
      </c>
      <c r="G157" s="61">
        <v>4</v>
      </c>
      <c r="H157" s="39" t="str">
        <f>VLOOKUP(G157,[1]Key!$A$2:$B$13,2,FALSE)</f>
        <v>Minibus</v>
      </c>
      <c r="I157" s="13" t="s">
        <v>108</v>
      </c>
      <c r="J157" s="13">
        <v>2</v>
      </c>
      <c r="K157" s="40" t="str">
        <f>VLOOKUP(J157,[1]Key!$A$24:$B$29,2,FALSE)</f>
        <v>30-39</v>
      </c>
      <c r="L157" s="13" t="s">
        <v>233</v>
      </c>
      <c r="M157" s="23" t="s">
        <v>150</v>
      </c>
      <c r="N157" s="13" t="s">
        <v>151</v>
      </c>
      <c r="O157" s="45">
        <v>2</v>
      </c>
      <c r="P157" s="30" t="str">
        <f>VLOOKUP(O157,[1]Key!$E$2:$F$9,2,FALSE)</f>
        <v>Work</v>
      </c>
      <c r="Q157" s="13" t="s">
        <v>221</v>
      </c>
      <c r="R157" s="23" t="s">
        <v>150</v>
      </c>
      <c r="S157" s="13" t="s">
        <v>151</v>
      </c>
      <c r="T157" s="23">
        <v>1</v>
      </c>
      <c r="U157" s="30" t="str">
        <f>VLOOKUP(T157,[1]Key!$E$2:$F$9,2,FALSE)</f>
        <v>Home</v>
      </c>
      <c r="V157" s="30" t="str">
        <f t="shared" si="9"/>
        <v>Work-Home</v>
      </c>
      <c r="W157" s="23">
        <v>2000</v>
      </c>
      <c r="X157" s="62">
        <v>18</v>
      </c>
      <c r="Y157" s="62" t="str">
        <f t="shared" si="10"/>
        <v>10-20</v>
      </c>
      <c r="Z157" s="62">
        <v>0.5</v>
      </c>
      <c r="AA157" s="62" t="str">
        <f t="shared" si="11"/>
        <v>0.5-1.0</v>
      </c>
      <c r="AB157" s="23">
        <v>6</v>
      </c>
      <c r="AC157" s="30" t="str">
        <f>VLOOKUP(AB157,[1]Key!$C$20:$D$29,2,FALSE)</f>
        <v>Businessman</v>
      </c>
      <c r="AD157" s="23">
        <v>4</v>
      </c>
      <c r="AE157" s="30" t="str">
        <f>VLOOKUP(AD157,[1]Key!$E$20:$F$24,2,FALSE)</f>
        <v>750,000-1,000,000</v>
      </c>
      <c r="AF157" s="23">
        <v>1</v>
      </c>
      <c r="AG157" s="62">
        <v>1</v>
      </c>
      <c r="AH157" s="62">
        <v>1</v>
      </c>
      <c r="AI157" s="62">
        <v>1</v>
      </c>
      <c r="AJ157" s="62">
        <v>1</v>
      </c>
      <c r="AK157" s="45" t="s">
        <v>94</v>
      </c>
      <c r="AL157" s="36">
        <v>1000</v>
      </c>
      <c r="AM157" t="str">
        <f t="shared" si="12"/>
        <v>1000-2000</v>
      </c>
    </row>
    <row r="158" spans="1:39" x14ac:dyDescent="0.2">
      <c r="A158" s="44">
        <v>43771</v>
      </c>
      <c r="B158" s="60">
        <v>0.33888888888888885</v>
      </c>
      <c r="C158" s="60"/>
      <c r="D158" s="60" t="s">
        <v>165</v>
      </c>
      <c r="E158" s="13">
        <v>2</v>
      </c>
      <c r="F158" s="38" t="str">
        <f>VLOOKUP(E158,[1]Key!$A$17:$B$21,2,FALSE)</f>
        <v>Road Vehicle</v>
      </c>
      <c r="G158" s="61">
        <v>4</v>
      </c>
      <c r="H158" s="39" t="str">
        <f>VLOOKUP(G158,[1]Key!$A$2:$B$13,2,FALSE)</f>
        <v>Minibus</v>
      </c>
      <c r="I158" s="13" t="s">
        <v>108</v>
      </c>
      <c r="J158" s="13">
        <v>2</v>
      </c>
      <c r="K158" s="40" t="str">
        <f>VLOOKUP(J158,[1]Key!$A$24:$B$29,2,FALSE)</f>
        <v>30-39</v>
      </c>
      <c r="L158" s="13" t="s">
        <v>233</v>
      </c>
      <c r="M158" s="23" t="s">
        <v>150</v>
      </c>
      <c r="N158" s="13" t="s">
        <v>151</v>
      </c>
      <c r="O158" s="45">
        <v>2</v>
      </c>
      <c r="P158" s="30" t="str">
        <f>VLOOKUP(O158,[1]Key!$E$2:$F$9,2,FALSE)</f>
        <v>Work</v>
      </c>
      <c r="Q158" s="13" t="s">
        <v>308</v>
      </c>
      <c r="R158" s="23" t="s">
        <v>308</v>
      </c>
      <c r="S158" s="13" t="s">
        <v>151</v>
      </c>
      <c r="T158" s="23">
        <v>1</v>
      </c>
      <c r="U158" s="30" t="str">
        <f>VLOOKUP(T158,[1]Key!$E$2:$F$9,2,FALSE)</f>
        <v>Home</v>
      </c>
      <c r="V158" s="30" t="str">
        <f t="shared" si="9"/>
        <v>Work-Home</v>
      </c>
      <c r="W158" s="23">
        <v>16000</v>
      </c>
      <c r="X158" s="62">
        <v>500</v>
      </c>
      <c r="Y158" s="62" t="str">
        <f t="shared" si="10"/>
        <v>Over 200</v>
      </c>
      <c r="Z158" s="62">
        <v>5</v>
      </c>
      <c r="AA158" s="62" t="str">
        <f t="shared" si="11"/>
        <v>Over 3.5</v>
      </c>
      <c r="AB158" s="23">
        <v>6</v>
      </c>
      <c r="AC158" s="30" t="str">
        <f>VLOOKUP(AB158,[1]Key!$C$20:$D$29,2,FALSE)</f>
        <v>Businessman</v>
      </c>
      <c r="AD158" s="23">
        <v>3</v>
      </c>
      <c r="AE158" s="30" t="str">
        <f>VLOOKUP(AD158,[1]Key!$E$20:$F$24,2,FALSE)</f>
        <v>500,000-750,000</v>
      </c>
      <c r="AF158" s="23">
        <v>5</v>
      </c>
      <c r="AG158" s="62">
        <v>2</v>
      </c>
      <c r="AH158" s="62">
        <v>2</v>
      </c>
      <c r="AI158" s="62">
        <v>2</v>
      </c>
      <c r="AJ158" s="62">
        <v>2</v>
      </c>
      <c r="AK158" s="45" t="s">
        <v>94</v>
      </c>
      <c r="AL158" s="36">
        <v>1000</v>
      </c>
      <c r="AM158" t="str">
        <f t="shared" si="12"/>
        <v>1000-2000</v>
      </c>
    </row>
    <row r="159" spans="1:39" x14ac:dyDescent="0.2">
      <c r="A159" s="44">
        <v>43771</v>
      </c>
      <c r="B159" s="60">
        <v>0.34513888888888888</v>
      </c>
      <c r="C159" s="60"/>
      <c r="D159" s="60" t="s">
        <v>165</v>
      </c>
      <c r="E159" s="13">
        <v>2</v>
      </c>
      <c r="F159" s="38" t="str">
        <f>VLOOKUP(E159,[1]Key!$A$17:$B$21,2,FALSE)</f>
        <v>Road Vehicle</v>
      </c>
      <c r="G159" s="61">
        <v>4</v>
      </c>
      <c r="H159" s="39" t="str">
        <f>VLOOKUP(G159,[1]Key!$A$2:$B$13,2,FALSE)</f>
        <v>Minibus</v>
      </c>
      <c r="I159" s="13" t="s">
        <v>108</v>
      </c>
      <c r="J159" s="13">
        <v>2</v>
      </c>
      <c r="K159" s="40" t="str">
        <f>VLOOKUP(J159,[1]Key!$A$24:$B$29,2,FALSE)</f>
        <v>30-39</v>
      </c>
      <c r="L159" s="13" t="s">
        <v>233</v>
      </c>
      <c r="M159" s="23" t="s">
        <v>150</v>
      </c>
      <c r="N159" s="13" t="s">
        <v>151</v>
      </c>
      <c r="O159" s="45">
        <v>2</v>
      </c>
      <c r="P159" s="30" t="str">
        <f>VLOOKUP(O159,[1]Key!$E$2:$F$9,2,FALSE)</f>
        <v>Work</v>
      </c>
      <c r="Q159" s="13" t="s">
        <v>174</v>
      </c>
      <c r="R159" s="23" t="s">
        <v>174</v>
      </c>
      <c r="S159" s="13" t="s">
        <v>151</v>
      </c>
      <c r="T159" s="23">
        <v>1</v>
      </c>
      <c r="U159" s="30" t="str">
        <f>VLOOKUP(T159,[1]Key!$E$2:$F$9,2,FALSE)</f>
        <v>Home</v>
      </c>
      <c r="V159" s="30" t="str">
        <f t="shared" si="9"/>
        <v>Work-Home</v>
      </c>
      <c r="W159" s="23">
        <v>18000</v>
      </c>
      <c r="X159" s="62">
        <v>550</v>
      </c>
      <c r="Y159" s="62" t="str">
        <f t="shared" si="10"/>
        <v>Over 200</v>
      </c>
      <c r="Z159" s="62">
        <v>10</v>
      </c>
      <c r="AA159" s="62" t="str">
        <f t="shared" si="11"/>
        <v>Over 3.5</v>
      </c>
      <c r="AB159" s="23">
        <v>6</v>
      </c>
      <c r="AC159" s="30" t="str">
        <f>VLOOKUP(AB159,[1]Key!$C$20:$D$29,2,FALSE)</f>
        <v>Businessman</v>
      </c>
      <c r="AD159" s="23">
        <v>3</v>
      </c>
      <c r="AE159" s="30" t="str">
        <f>VLOOKUP(AD159,[1]Key!$E$20:$F$24,2,FALSE)</f>
        <v>500,000-750,000</v>
      </c>
      <c r="AF159" s="23">
        <v>5</v>
      </c>
      <c r="AG159" s="62">
        <v>2</v>
      </c>
      <c r="AH159" s="62">
        <v>1</v>
      </c>
      <c r="AI159" s="62">
        <v>1</v>
      </c>
      <c r="AJ159" s="62">
        <v>2</v>
      </c>
      <c r="AK159" s="45" t="s">
        <v>94</v>
      </c>
      <c r="AL159" s="36">
        <v>4000</v>
      </c>
      <c r="AM159" t="str">
        <f t="shared" si="12"/>
        <v>3000-5000</v>
      </c>
    </row>
    <row r="160" spans="1:39" x14ac:dyDescent="0.2">
      <c r="A160" s="44">
        <v>43771</v>
      </c>
      <c r="B160" s="60">
        <v>0.47361111111111115</v>
      </c>
      <c r="C160" s="60"/>
      <c r="D160" s="60" t="s">
        <v>165</v>
      </c>
      <c r="E160" s="13">
        <v>2</v>
      </c>
      <c r="F160" s="38" t="str">
        <f>VLOOKUP(E160,[1]Key!$A$17:$B$21,2,FALSE)</f>
        <v>Road Vehicle</v>
      </c>
      <c r="G160" s="61">
        <v>4</v>
      </c>
      <c r="H160" s="39" t="str">
        <f>VLOOKUP(G160,[1]Key!$A$2:$B$13,2,FALSE)</f>
        <v>Minibus</v>
      </c>
      <c r="I160" s="13" t="s">
        <v>108</v>
      </c>
      <c r="J160" s="13">
        <v>2</v>
      </c>
      <c r="K160" s="40" t="str">
        <f>VLOOKUP(J160,[1]Key!$A$24:$B$29,2,FALSE)</f>
        <v>30-39</v>
      </c>
      <c r="L160" s="13" t="s">
        <v>233</v>
      </c>
      <c r="M160" s="23" t="s">
        <v>150</v>
      </c>
      <c r="N160" s="13" t="s">
        <v>151</v>
      </c>
      <c r="O160" s="45">
        <v>2</v>
      </c>
      <c r="P160" s="30" t="str">
        <f>VLOOKUP(O160,[1]Key!$E$2:$F$9,2,FALSE)</f>
        <v>Work</v>
      </c>
      <c r="Q160" s="13" t="s">
        <v>192</v>
      </c>
      <c r="R160" s="23" t="s">
        <v>150</v>
      </c>
      <c r="S160" s="13" t="s">
        <v>151</v>
      </c>
      <c r="T160" s="23">
        <v>1</v>
      </c>
      <c r="U160" s="30" t="str">
        <f>VLOOKUP(T160,[1]Key!$E$2:$F$9,2,FALSE)</f>
        <v>Home</v>
      </c>
      <c r="V160" s="30" t="str">
        <f t="shared" si="9"/>
        <v>Work-Home</v>
      </c>
      <c r="W160" s="23">
        <v>1300</v>
      </c>
      <c r="X160" s="62">
        <v>3</v>
      </c>
      <c r="Y160" s="62" t="str">
        <f t="shared" si="10"/>
        <v>0-10</v>
      </c>
      <c r="Z160" s="62">
        <v>0.2</v>
      </c>
      <c r="AA160" s="62" t="str">
        <f t="shared" si="11"/>
        <v>0-0.5</v>
      </c>
      <c r="AB160" s="23">
        <v>6</v>
      </c>
      <c r="AC160" s="30" t="str">
        <f>VLOOKUP(AB160,[1]Key!$C$20:$D$29,2,FALSE)</f>
        <v>Businessman</v>
      </c>
      <c r="AD160" s="23">
        <v>2</v>
      </c>
      <c r="AE160" s="30" t="str">
        <f>VLOOKUP(AD160,[1]Key!$E$20:$F$24,2,FALSE)</f>
        <v>300,000-500,000</v>
      </c>
      <c r="AF160" s="23">
        <v>5</v>
      </c>
      <c r="AG160" s="62">
        <v>2</v>
      </c>
      <c r="AH160" s="62">
        <v>2</v>
      </c>
      <c r="AI160" s="62">
        <v>1</v>
      </c>
      <c r="AJ160" s="62">
        <v>1</v>
      </c>
      <c r="AK160" s="45" t="s">
        <v>94</v>
      </c>
      <c r="AL160" s="36">
        <v>1000</v>
      </c>
      <c r="AM160" t="str">
        <f t="shared" si="12"/>
        <v>1000-2000</v>
      </c>
    </row>
    <row r="161" spans="1:39" x14ac:dyDescent="0.2">
      <c r="A161" s="44">
        <v>43771</v>
      </c>
      <c r="B161" s="60">
        <v>0.62152777777777779</v>
      </c>
      <c r="C161" s="60"/>
      <c r="D161" s="60" t="s">
        <v>165</v>
      </c>
      <c r="E161" s="13">
        <v>2</v>
      </c>
      <c r="F161" s="38" t="str">
        <f>VLOOKUP(E161,[1]Key!$A$17:$B$21,2,FALSE)</f>
        <v>Road Vehicle</v>
      </c>
      <c r="G161" s="61">
        <v>4</v>
      </c>
      <c r="H161" s="39" t="str">
        <f>VLOOKUP(G161,[1]Key!$A$2:$B$13,2,FALSE)</f>
        <v>Minibus</v>
      </c>
      <c r="I161" s="13" t="s">
        <v>108</v>
      </c>
      <c r="J161" s="13">
        <v>2</v>
      </c>
      <c r="K161" s="40" t="str">
        <f>VLOOKUP(J161,[1]Key!$A$24:$B$29,2,FALSE)</f>
        <v>30-39</v>
      </c>
      <c r="L161" s="13" t="s">
        <v>233</v>
      </c>
      <c r="M161" s="23" t="s">
        <v>150</v>
      </c>
      <c r="N161" s="13" t="s">
        <v>151</v>
      </c>
      <c r="O161" s="45">
        <v>2</v>
      </c>
      <c r="P161" s="30" t="str">
        <f>VLOOKUP(O161,[1]Key!$E$2:$F$9,2,FALSE)</f>
        <v>Work</v>
      </c>
      <c r="Q161" s="13" t="s">
        <v>309</v>
      </c>
      <c r="R161" s="23" t="s">
        <v>150</v>
      </c>
      <c r="S161" s="13" t="s">
        <v>151</v>
      </c>
      <c r="T161" s="23">
        <v>1</v>
      </c>
      <c r="U161" s="30" t="str">
        <f>VLOOKUP(T161,[1]Key!$E$2:$F$9,2,FALSE)</f>
        <v>Home</v>
      </c>
      <c r="V161" s="30" t="str">
        <f t="shared" si="9"/>
        <v>Work-Home</v>
      </c>
      <c r="W161" s="23">
        <v>1000</v>
      </c>
      <c r="X161" s="62">
        <v>28</v>
      </c>
      <c r="Y161" s="62" t="str">
        <f t="shared" si="10"/>
        <v>20-40</v>
      </c>
      <c r="Z161" s="62">
        <v>0.5</v>
      </c>
      <c r="AA161" s="62" t="str">
        <f t="shared" si="11"/>
        <v>0.5-1.0</v>
      </c>
      <c r="AB161" s="23">
        <v>6</v>
      </c>
      <c r="AC161" s="30" t="str">
        <f>VLOOKUP(AB161,[1]Key!$C$20:$D$29,2,FALSE)</f>
        <v>Businessman</v>
      </c>
      <c r="AD161" s="23">
        <v>3</v>
      </c>
      <c r="AE161" s="30" t="str">
        <f>VLOOKUP(AD161,[1]Key!$E$20:$F$24,2,FALSE)</f>
        <v>500,000-750,000</v>
      </c>
      <c r="AF161" s="23">
        <v>5</v>
      </c>
      <c r="AG161" s="62">
        <v>2</v>
      </c>
      <c r="AH161" s="62">
        <v>1</v>
      </c>
      <c r="AI161" s="62">
        <v>2</v>
      </c>
      <c r="AJ161" s="62">
        <v>1</v>
      </c>
      <c r="AK161" s="45" t="s">
        <v>94</v>
      </c>
      <c r="AL161" s="36">
        <v>500</v>
      </c>
      <c r="AM161" t="str">
        <f t="shared" si="12"/>
        <v>0-1000</v>
      </c>
    </row>
    <row r="162" spans="1:39" x14ac:dyDescent="0.2">
      <c r="A162" s="44">
        <v>43771</v>
      </c>
      <c r="B162" s="60">
        <v>0.71527777777777779</v>
      </c>
      <c r="C162" s="60"/>
      <c r="D162" s="60" t="s">
        <v>165</v>
      </c>
      <c r="E162" s="13">
        <v>2</v>
      </c>
      <c r="F162" s="38" t="str">
        <f>VLOOKUP(E162,[1]Key!$A$17:$B$21,2,FALSE)</f>
        <v>Road Vehicle</v>
      </c>
      <c r="G162" s="61">
        <v>4</v>
      </c>
      <c r="H162" s="39" t="str">
        <f>VLOOKUP(G162,[1]Key!$A$2:$B$13,2,FALSE)</f>
        <v>Minibus</v>
      </c>
      <c r="I162" s="13" t="s">
        <v>108</v>
      </c>
      <c r="J162" s="13">
        <v>2</v>
      </c>
      <c r="K162" s="40" t="str">
        <f>VLOOKUP(J162,[1]Key!$A$24:$B$29,2,FALSE)</f>
        <v>30-39</v>
      </c>
      <c r="L162" s="13" t="s">
        <v>233</v>
      </c>
      <c r="M162" s="23" t="s">
        <v>150</v>
      </c>
      <c r="N162" s="13" t="s">
        <v>151</v>
      </c>
      <c r="O162" s="45">
        <v>2</v>
      </c>
      <c r="P162" s="30" t="str">
        <f>VLOOKUP(O162,[1]Key!$E$2:$F$9,2,FALSE)</f>
        <v>Work</v>
      </c>
      <c r="Q162" s="13" t="s">
        <v>310</v>
      </c>
      <c r="R162" s="23" t="s">
        <v>150</v>
      </c>
      <c r="S162" s="13" t="s">
        <v>151</v>
      </c>
      <c r="T162" s="23">
        <v>1</v>
      </c>
      <c r="U162" s="30" t="str">
        <f>VLOOKUP(T162,[1]Key!$E$2:$F$9,2,FALSE)</f>
        <v>Home</v>
      </c>
      <c r="V162" s="30" t="str">
        <f t="shared" si="9"/>
        <v>Work-Home</v>
      </c>
      <c r="W162" s="23">
        <v>1500</v>
      </c>
      <c r="X162" s="62">
        <v>18</v>
      </c>
      <c r="Y162" s="62" t="str">
        <f t="shared" si="10"/>
        <v>10-20</v>
      </c>
      <c r="Z162" s="62">
        <v>0.8</v>
      </c>
      <c r="AA162" s="62" t="str">
        <f t="shared" si="11"/>
        <v>0.5-1.0</v>
      </c>
      <c r="AB162" s="23">
        <v>6</v>
      </c>
      <c r="AC162" s="30" t="str">
        <f>VLOOKUP(AB162,[1]Key!$C$20:$D$29,2,FALSE)</f>
        <v>Businessman</v>
      </c>
      <c r="AD162" s="23">
        <v>4</v>
      </c>
      <c r="AE162" s="30" t="str">
        <f>VLOOKUP(AD162,[1]Key!$E$20:$F$24,2,FALSE)</f>
        <v>750,000-1,000,000</v>
      </c>
      <c r="AF162" s="23">
        <v>5</v>
      </c>
      <c r="AG162" s="62">
        <v>1</v>
      </c>
      <c r="AH162" s="62">
        <v>2</v>
      </c>
      <c r="AI162" s="62">
        <v>2</v>
      </c>
      <c r="AJ162" s="62">
        <v>1</v>
      </c>
      <c r="AK162" s="45" t="s">
        <v>94</v>
      </c>
      <c r="AL162" s="36">
        <v>1000</v>
      </c>
      <c r="AM162" t="str">
        <f t="shared" si="12"/>
        <v>1000-2000</v>
      </c>
    </row>
    <row r="163" spans="1:39" x14ac:dyDescent="0.2">
      <c r="A163" s="44">
        <v>43771</v>
      </c>
      <c r="B163" s="60">
        <v>0.7284722222222223</v>
      </c>
      <c r="C163" s="60"/>
      <c r="D163" s="60" t="s">
        <v>165</v>
      </c>
      <c r="E163" s="13">
        <v>2</v>
      </c>
      <c r="F163" s="38" t="str">
        <f>VLOOKUP(E163,[1]Key!$A$17:$B$21,2,FALSE)</f>
        <v>Road Vehicle</v>
      </c>
      <c r="G163" s="61">
        <v>4</v>
      </c>
      <c r="H163" s="39" t="str">
        <f>VLOOKUP(G163,[1]Key!$A$2:$B$13,2,FALSE)</f>
        <v>Minibus</v>
      </c>
      <c r="I163" s="13" t="s">
        <v>108</v>
      </c>
      <c r="J163" s="13">
        <v>2</v>
      </c>
      <c r="K163" s="40" t="str">
        <f>VLOOKUP(J163,[1]Key!$A$24:$B$29,2,FALSE)</f>
        <v>30-39</v>
      </c>
      <c r="L163" s="13" t="s">
        <v>233</v>
      </c>
      <c r="M163" s="23" t="s">
        <v>150</v>
      </c>
      <c r="N163" s="13" t="s">
        <v>151</v>
      </c>
      <c r="O163" s="45">
        <v>2</v>
      </c>
      <c r="P163" s="30" t="str">
        <f>VLOOKUP(O163,[1]Key!$E$2:$F$9,2,FALSE)</f>
        <v>Work</v>
      </c>
      <c r="Q163" s="13" t="s">
        <v>311</v>
      </c>
      <c r="R163" s="23" t="s">
        <v>150</v>
      </c>
      <c r="S163" s="13" t="s">
        <v>151</v>
      </c>
      <c r="T163" s="23">
        <v>1</v>
      </c>
      <c r="U163" s="30" t="str">
        <f>VLOOKUP(T163,[1]Key!$E$2:$F$9,2,FALSE)</f>
        <v>Home</v>
      </c>
      <c r="V163" s="30" t="str">
        <f t="shared" si="9"/>
        <v>Work-Home</v>
      </c>
      <c r="W163" s="23">
        <v>1500</v>
      </c>
      <c r="X163" s="62">
        <v>18</v>
      </c>
      <c r="Y163" s="62" t="str">
        <f t="shared" si="10"/>
        <v>10-20</v>
      </c>
      <c r="Z163" s="62">
        <v>0.6</v>
      </c>
      <c r="AA163" s="62" t="str">
        <f t="shared" si="11"/>
        <v>0.5-1.0</v>
      </c>
      <c r="AB163" s="23">
        <v>5</v>
      </c>
      <c r="AC163" s="30" t="str">
        <f>VLOOKUP(AB163,[1]Key!$C$20:$D$29,2,FALSE)</f>
        <v>Professional</v>
      </c>
      <c r="AD163" s="23">
        <v>3</v>
      </c>
      <c r="AE163" s="30" t="str">
        <f>VLOOKUP(AD163,[1]Key!$E$20:$F$24,2,FALSE)</f>
        <v>500,000-750,000</v>
      </c>
      <c r="AF163" s="23">
        <v>1</v>
      </c>
      <c r="AG163" s="62">
        <v>1</v>
      </c>
      <c r="AH163" s="62">
        <v>2</v>
      </c>
      <c r="AI163" s="62">
        <v>1</v>
      </c>
      <c r="AJ163" s="62">
        <v>2</v>
      </c>
      <c r="AK163" s="45" t="s">
        <v>94</v>
      </c>
      <c r="AL163" s="36">
        <v>800</v>
      </c>
      <c r="AM163" t="str">
        <f t="shared" si="12"/>
        <v>0-1000</v>
      </c>
    </row>
    <row r="164" spans="1:39" x14ac:dyDescent="0.2">
      <c r="A164" s="44">
        <v>43771</v>
      </c>
      <c r="B164" s="60">
        <v>0.7583333333333333</v>
      </c>
      <c r="C164" s="60"/>
      <c r="D164" s="60" t="s">
        <v>165</v>
      </c>
      <c r="E164" s="13">
        <v>2</v>
      </c>
      <c r="F164" s="38" t="str">
        <f>VLOOKUP(E164,[1]Key!$A$17:$B$21,2,FALSE)</f>
        <v>Road Vehicle</v>
      </c>
      <c r="G164" s="61">
        <v>4</v>
      </c>
      <c r="H164" s="39" t="str">
        <f>VLOOKUP(G164,[1]Key!$A$2:$B$13,2,FALSE)</f>
        <v>Minibus</v>
      </c>
      <c r="I164" s="13" t="s">
        <v>108</v>
      </c>
      <c r="J164" s="13">
        <v>2</v>
      </c>
      <c r="K164" s="40" t="str">
        <f>VLOOKUP(J164,[1]Key!$A$24:$B$29,2,FALSE)</f>
        <v>30-39</v>
      </c>
      <c r="L164" s="13" t="s">
        <v>233</v>
      </c>
      <c r="M164" s="23" t="s">
        <v>150</v>
      </c>
      <c r="N164" s="13" t="s">
        <v>151</v>
      </c>
      <c r="O164" s="45">
        <v>2</v>
      </c>
      <c r="P164" s="30" t="str">
        <f>VLOOKUP(O164,[1]Key!$E$2:$F$9,2,FALSE)</f>
        <v>Work</v>
      </c>
      <c r="Q164" s="13" t="s">
        <v>312</v>
      </c>
      <c r="R164" s="23" t="s">
        <v>150</v>
      </c>
      <c r="S164" s="13" t="s">
        <v>151</v>
      </c>
      <c r="T164" s="23">
        <v>1</v>
      </c>
      <c r="U164" s="30" t="str">
        <f>VLOOKUP(T164,[1]Key!$E$2:$F$9,2,FALSE)</f>
        <v>Home</v>
      </c>
      <c r="V164" s="30" t="str">
        <f t="shared" si="9"/>
        <v>Work-Home</v>
      </c>
      <c r="W164" s="23">
        <v>1000</v>
      </c>
      <c r="X164" s="62">
        <v>18</v>
      </c>
      <c r="Y164" s="62" t="str">
        <f t="shared" si="10"/>
        <v>10-20</v>
      </c>
      <c r="Z164" s="62">
        <v>0.5</v>
      </c>
      <c r="AA164" s="62" t="str">
        <f t="shared" si="11"/>
        <v>0.5-1.0</v>
      </c>
      <c r="AB164" s="23">
        <v>6</v>
      </c>
      <c r="AC164" s="30" t="str">
        <f>VLOOKUP(AB164,[1]Key!$C$20:$D$29,2,FALSE)</f>
        <v>Businessman</v>
      </c>
      <c r="AD164" s="23">
        <v>5</v>
      </c>
      <c r="AE164" s="30" t="str">
        <f>VLOOKUP(AD164,[1]Key!$E$20:$F$24,2,FALSE)</f>
        <v>&gt;1,000,000</v>
      </c>
      <c r="AF164" s="23">
        <v>2</v>
      </c>
      <c r="AG164" s="62">
        <v>1</v>
      </c>
      <c r="AH164" s="62">
        <v>2</v>
      </c>
      <c r="AI164" s="62">
        <v>1</v>
      </c>
      <c r="AJ164" s="62">
        <v>1</v>
      </c>
      <c r="AK164" s="45" t="s">
        <v>94</v>
      </c>
      <c r="AL164" s="36">
        <v>1000</v>
      </c>
      <c r="AM164" t="str">
        <f t="shared" si="12"/>
        <v>1000-2000</v>
      </c>
    </row>
    <row r="165" spans="1:39" x14ac:dyDescent="0.2">
      <c r="A165" s="44">
        <v>43771</v>
      </c>
      <c r="B165" s="60">
        <v>0.7631944444444444</v>
      </c>
      <c r="C165" s="60"/>
      <c r="D165" s="60" t="s">
        <v>165</v>
      </c>
      <c r="E165" s="13">
        <v>2</v>
      </c>
      <c r="F165" s="38" t="str">
        <f>VLOOKUP(E165,[1]Key!$A$17:$B$21,2,FALSE)</f>
        <v>Road Vehicle</v>
      </c>
      <c r="G165" s="61">
        <v>4</v>
      </c>
      <c r="H165" s="39" t="str">
        <f>VLOOKUP(G165,[1]Key!$A$2:$B$13,2,FALSE)</f>
        <v>Minibus</v>
      </c>
      <c r="I165" s="13" t="s">
        <v>108</v>
      </c>
      <c r="J165" s="13">
        <v>2</v>
      </c>
      <c r="K165" s="40" t="str">
        <f>VLOOKUP(J165,[1]Key!$A$24:$B$29,2,FALSE)</f>
        <v>30-39</v>
      </c>
      <c r="L165" s="13" t="s">
        <v>233</v>
      </c>
      <c r="M165" s="23" t="s">
        <v>150</v>
      </c>
      <c r="N165" s="13" t="s">
        <v>151</v>
      </c>
      <c r="O165" s="45">
        <v>2</v>
      </c>
      <c r="P165" s="30" t="str">
        <f>VLOOKUP(O165,[1]Key!$E$2:$F$9,2,FALSE)</f>
        <v>Work</v>
      </c>
      <c r="Q165" s="13" t="s">
        <v>237</v>
      </c>
      <c r="R165" s="23" t="s">
        <v>150</v>
      </c>
      <c r="S165" s="13" t="s">
        <v>151</v>
      </c>
      <c r="T165" s="23">
        <v>1</v>
      </c>
      <c r="U165" s="30" t="str">
        <f>VLOOKUP(T165,[1]Key!$E$2:$F$9,2,FALSE)</f>
        <v>Home</v>
      </c>
      <c r="V165" s="30" t="str">
        <f t="shared" si="9"/>
        <v>Work-Home</v>
      </c>
      <c r="W165" s="23">
        <v>1500</v>
      </c>
      <c r="X165" s="62">
        <v>28</v>
      </c>
      <c r="Y165" s="62" t="str">
        <f t="shared" si="10"/>
        <v>20-40</v>
      </c>
      <c r="Z165" s="62">
        <v>0.8</v>
      </c>
      <c r="AA165" s="62" t="str">
        <f t="shared" si="11"/>
        <v>0.5-1.0</v>
      </c>
      <c r="AB165" s="23">
        <v>4</v>
      </c>
      <c r="AC165" s="30" t="str">
        <f>VLOOKUP(AB165,[1]Key!$C$20:$D$29,2,FALSE)</f>
        <v>Office Worker</v>
      </c>
      <c r="AD165" s="23">
        <v>3</v>
      </c>
      <c r="AE165" s="30" t="str">
        <f>VLOOKUP(AD165,[1]Key!$E$20:$F$24,2,FALSE)</f>
        <v>500,000-750,000</v>
      </c>
      <c r="AF165" s="23">
        <v>5</v>
      </c>
      <c r="AG165" s="62">
        <v>1</v>
      </c>
      <c r="AH165" s="62">
        <v>1</v>
      </c>
      <c r="AI165" s="62">
        <v>2</v>
      </c>
      <c r="AJ165" s="62">
        <v>1</v>
      </c>
      <c r="AK165" s="45" t="s">
        <v>94</v>
      </c>
      <c r="AL165" s="36">
        <v>1000</v>
      </c>
      <c r="AM165" t="str">
        <f t="shared" si="12"/>
        <v>1000-2000</v>
      </c>
    </row>
    <row r="166" spans="1:39" x14ac:dyDescent="0.2">
      <c r="A166" s="44">
        <v>43771</v>
      </c>
      <c r="B166" s="60">
        <v>0.76666666666666661</v>
      </c>
      <c r="C166" s="60"/>
      <c r="D166" s="60" t="s">
        <v>165</v>
      </c>
      <c r="E166" s="13">
        <v>2</v>
      </c>
      <c r="F166" s="38" t="str">
        <f>VLOOKUP(E166,[1]Key!$A$17:$B$21,2,FALSE)</f>
        <v>Road Vehicle</v>
      </c>
      <c r="G166" s="61">
        <v>4</v>
      </c>
      <c r="H166" s="39" t="str">
        <f>VLOOKUP(G166,[1]Key!$A$2:$B$13,2,FALSE)</f>
        <v>Minibus</v>
      </c>
      <c r="I166" s="13" t="s">
        <v>108</v>
      </c>
      <c r="J166" s="13">
        <v>2</v>
      </c>
      <c r="K166" s="40" t="str">
        <f>VLOOKUP(J166,[1]Key!$A$24:$B$29,2,FALSE)</f>
        <v>30-39</v>
      </c>
      <c r="L166" s="13" t="s">
        <v>233</v>
      </c>
      <c r="M166" s="23" t="s">
        <v>150</v>
      </c>
      <c r="N166" s="13" t="s">
        <v>151</v>
      </c>
      <c r="O166" s="45">
        <v>2</v>
      </c>
      <c r="P166" s="30" t="str">
        <f>VLOOKUP(O166,[1]Key!$E$2:$F$9,2,FALSE)</f>
        <v>Work</v>
      </c>
      <c r="Q166" s="13" t="s">
        <v>313</v>
      </c>
      <c r="R166" s="23" t="s">
        <v>150</v>
      </c>
      <c r="S166" s="13" t="s">
        <v>151</v>
      </c>
      <c r="T166" s="23">
        <v>1</v>
      </c>
      <c r="U166" s="30" t="str">
        <f>VLOOKUP(T166,[1]Key!$E$2:$F$9,2,FALSE)</f>
        <v>Home</v>
      </c>
      <c r="V166" s="30" t="str">
        <f t="shared" si="9"/>
        <v>Work-Home</v>
      </c>
      <c r="W166" s="23">
        <v>1500</v>
      </c>
      <c r="X166" s="62">
        <v>19</v>
      </c>
      <c r="Y166" s="62" t="str">
        <f t="shared" si="10"/>
        <v>10-20</v>
      </c>
      <c r="Z166" s="62">
        <v>0.8</v>
      </c>
      <c r="AA166" s="62" t="str">
        <f t="shared" si="11"/>
        <v>0.5-1.0</v>
      </c>
      <c r="AB166" s="23">
        <v>6</v>
      </c>
      <c r="AC166" s="30" t="str">
        <f>VLOOKUP(AB166,[1]Key!$C$20:$D$29,2,FALSE)</f>
        <v>Businessman</v>
      </c>
      <c r="AD166" s="23">
        <v>3</v>
      </c>
      <c r="AE166" s="30" t="str">
        <f>VLOOKUP(AD166,[1]Key!$E$20:$F$24,2,FALSE)</f>
        <v>500,000-750,000</v>
      </c>
      <c r="AF166" s="23">
        <v>5</v>
      </c>
      <c r="AG166" s="62">
        <v>2</v>
      </c>
      <c r="AH166" s="62">
        <v>1</v>
      </c>
      <c r="AI166" s="62">
        <v>2</v>
      </c>
      <c r="AJ166" s="62">
        <v>1</v>
      </c>
      <c r="AK166" s="45" t="s">
        <v>94</v>
      </c>
      <c r="AL166" s="36"/>
      <c r="AM166" t="str">
        <f t="shared" si="12"/>
        <v>0-1000</v>
      </c>
    </row>
    <row r="167" spans="1:39" x14ac:dyDescent="0.2">
      <c r="A167" s="44">
        <v>43771</v>
      </c>
      <c r="B167" s="60">
        <v>0.75694444444444453</v>
      </c>
      <c r="C167" s="60"/>
      <c r="D167" s="60" t="s">
        <v>165</v>
      </c>
      <c r="E167" s="13">
        <v>2</v>
      </c>
      <c r="F167" s="38" t="str">
        <f>VLOOKUP(E167,[1]Key!$A$17:$B$21,2,FALSE)</f>
        <v>Road Vehicle</v>
      </c>
      <c r="G167" s="61">
        <v>4</v>
      </c>
      <c r="H167" s="39" t="str">
        <f>VLOOKUP(G167,[1]Key!$A$2:$B$13,2,FALSE)</f>
        <v>Minibus</v>
      </c>
      <c r="I167" s="13" t="s">
        <v>108</v>
      </c>
      <c r="J167" s="13">
        <v>2</v>
      </c>
      <c r="K167" s="40" t="str">
        <f>VLOOKUP(J167,[1]Key!$A$24:$B$29,2,FALSE)</f>
        <v>30-39</v>
      </c>
      <c r="L167" s="13" t="s">
        <v>251</v>
      </c>
      <c r="M167" s="23" t="s">
        <v>150</v>
      </c>
      <c r="N167" s="13" t="s">
        <v>151</v>
      </c>
      <c r="O167" s="45">
        <v>2</v>
      </c>
      <c r="P167" s="30" t="str">
        <f>VLOOKUP(O167,[1]Key!$E$2:$F$9,2,FALSE)</f>
        <v>Work</v>
      </c>
      <c r="Q167" s="13" t="s">
        <v>229</v>
      </c>
      <c r="R167" s="23" t="s">
        <v>229</v>
      </c>
      <c r="S167" s="13" t="s">
        <v>151</v>
      </c>
      <c r="T167" s="23">
        <v>1</v>
      </c>
      <c r="U167" s="30" t="str">
        <f>VLOOKUP(T167,[1]Key!$E$2:$F$9,2,FALSE)</f>
        <v>Home</v>
      </c>
      <c r="V167" s="30" t="str">
        <f t="shared" si="9"/>
        <v>Work-Home</v>
      </c>
      <c r="W167" s="23">
        <v>12000</v>
      </c>
      <c r="X167" s="62">
        <v>120</v>
      </c>
      <c r="Y167" s="62" t="str">
        <f t="shared" si="10"/>
        <v>100-200</v>
      </c>
      <c r="Z167" s="62">
        <v>3.5</v>
      </c>
      <c r="AA167" s="62" t="str">
        <f t="shared" si="11"/>
        <v>Over 3.5</v>
      </c>
      <c r="AB167" s="23">
        <v>6</v>
      </c>
      <c r="AC167" s="30" t="str">
        <f>VLOOKUP(AB167,[1]Key!$C$20:$D$29,2,FALSE)</f>
        <v>Businessman</v>
      </c>
      <c r="AD167" s="23">
        <v>1</v>
      </c>
      <c r="AE167" s="30" t="str">
        <f>VLOOKUP(AD167,[1]Key!$E$20:$F$24,2,FALSE)</f>
        <v>&lt;300,000</v>
      </c>
      <c r="AF167" s="23">
        <v>5</v>
      </c>
      <c r="AG167" s="62">
        <v>4</v>
      </c>
      <c r="AH167" s="62">
        <v>2</v>
      </c>
      <c r="AI167" s="62">
        <v>2</v>
      </c>
      <c r="AJ167" s="62">
        <v>1</v>
      </c>
      <c r="AK167" s="45" t="s">
        <v>94</v>
      </c>
      <c r="AL167" s="36"/>
      <c r="AM167" t="str">
        <f t="shared" si="12"/>
        <v>0-1000</v>
      </c>
    </row>
    <row r="168" spans="1:39" x14ac:dyDescent="0.2">
      <c r="A168" s="44">
        <v>43771</v>
      </c>
      <c r="B168" s="60">
        <v>0.75208333333333333</v>
      </c>
      <c r="C168" s="60"/>
      <c r="D168" s="60" t="s">
        <v>165</v>
      </c>
      <c r="E168" s="13">
        <v>2</v>
      </c>
      <c r="F168" s="38" t="str">
        <f>VLOOKUP(E168,[1]Key!$A$17:$B$21,2,FALSE)</f>
        <v>Road Vehicle</v>
      </c>
      <c r="G168" s="61">
        <v>4</v>
      </c>
      <c r="H168" s="39" t="str">
        <f>VLOOKUP(G168,[1]Key!$A$2:$B$13,2,FALSE)</f>
        <v>Minibus</v>
      </c>
      <c r="I168" s="13" t="s">
        <v>108</v>
      </c>
      <c r="J168" s="13">
        <v>2</v>
      </c>
      <c r="K168" s="40" t="str">
        <f>VLOOKUP(J168,[1]Key!$A$24:$B$29,2,FALSE)</f>
        <v>30-39</v>
      </c>
      <c r="L168" s="13" t="s">
        <v>159</v>
      </c>
      <c r="M168" s="23" t="s">
        <v>159</v>
      </c>
      <c r="N168" s="13" t="s">
        <v>151</v>
      </c>
      <c r="O168" s="45">
        <v>2</v>
      </c>
      <c r="P168" s="30" t="str">
        <f>VLOOKUP(O168,[1]Key!$E$2:$F$9,2,FALSE)</f>
        <v>Work</v>
      </c>
      <c r="Q168" s="13" t="s">
        <v>254</v>
      </c>
      <c r="R168" s="23" t="s">
        <v>150</v>
      </c>
      <c r="S168" s="13" t="s">
        <v>151</v>
      </c>
      <c r="T168" s="23">
        <v>1</v>
      </c>
      <c r="U168" s="30" t="str">
        <f>VLOOKUP(T168,[1]Key!$E$2:$F$9,2,FALSE)</f>
        <v>Home</v>
      </c>
      <c r="V168" s="30" t="str">
        <f t="shared" si="9"/>
        <v>Work-Home</v>
      </c>
      <c r="W168" s="23">
        <v>15000</v>
      </c>
      <c r="X168" s="62">
        <v>20</v>
      </c>
      <c r="Y168" s="62" t="str">
        <f t="shared" si="10"/>
        <v>20-40</v>
      </c>
      <c r="Z168" s="62">
        <v>0.8</v>
      </c>
      <c r="AA168" s="62" t="str">
        <f t="shared" si="11"/>
        <v>0.5-1.0</v>
      </c>
      <c r="AB168" s="23">
        <v>6</v>
      </c>
      <c r="AC168" s="30" t="str">
        <f>VLOOKUP(AB168,[1]Key!$C$20:$D$29,2,FALSE)</f>
        <v>Businessman</v>
      </c>
      <c r="AD168" s="23">
        <v>1</v>
      </c>
      <c r="AE168" s="30" t="str">
        <f>VLOOKUP(AD168,[1]Key!$E$20:$F$24,2,FALSE)</f>
        <v>&lt;300,000</v>
      </c>
      <c r="AF168" s="23">
        <v>2</v>
      </c>
      <c r="AG168" s="62">
        <v>1</v>
      </c>
      <c r="AH168" s="62">
        <v>2</v>
      </c>
      <c r="AI168" s="62">
        <v>1</v>
      </c>
      <c r="AJ168" s="62">
        <v>1</v>
      </c>
      <c r="AK168" s="45" t="s">
        <v>94</v>
      </c>
      <c r="AL168" s="36"/>
      <c r="AM168" t="str">
        <f t="shared" si="12"/>
        <v>0-1000</v>
      </c>
    </row>
    <row r="169" spans="1:39" x14ac:dyDescent="0.2">
      <c r="A169" s="44">
        <v>43771</v>
      </c>
      <c r="B169" s="60">
        <v>0.70347222222222217</v>
      </c>
      <c r="C169" s="60"/>
      <c r="D169" s="60" t="s">
        <v>165</v>
      </c>
      <c r="E169" s="13">
        <v>2</v>
      </c>
      <c r="F169" s="38" t="str">
        <f>VLOOKUP(E169,[1]Key!$A$17:$B$21,2,FALSE)</f>
        <v>Road Vehicle</v>
      </c>
      <c r="G169" s="61">
        <v>4</v>
      </c>
      <c r="H169" s="39" t="str">
        <f>VLOOKUP(G169,[1]Key!$A$2:$B$13,2,FALSE)</f>
        <v>Minibus</v>
      </c>
      <c r="I169" s="13" t="s">
        <v>108</v>
      </c>
      <c r="J169" s="13">
        <v>2</v>
      </c>
      <c r="K169" s="40" t="str">
        <f>VLOOKUP(J169,[1]Key!$A$24:$B$29,2,FALSE)</f>
        <v>30-39</v>
      </c>
      <c r="L169" s="13" t="s">
        <v>249</v>
      </c>
      <c r="M169" s="23" t="s">
        <v>150</v>
      </c>
      <c r="N169" s="13" t="s">
        <v>151</v>
      </c>
      <c r="O169" s="45">
        <v>2</v>
      </c>
      <c r="P169" s="30" t="str">
        <f>VLOOKUP(O169,[1]Key!$E$2:$F$9,2,FALSE)</f>
        <v>Work</v>
      </c>
      <c r="Q169" s="13" t="s">
        <v>231</v>
      </c>
      <c r="R169" s="23" t="s">
        <v>202</v>
      </c>
      <c r="S169" s="13" t="s">
        <v>151</v>
      </c>
      <c r="T169" s="23">
        <v>1</v>
      </c>
      <c r="U169" s="30" t="str">
        <f>VLOOKUP(T169,[1]Key!$E$2:$F$9,2,FALSE)</f>
        <v>Home</v>
      </c>
      <c r="V169" s="30" t="str">
        <f t="shared" si="9"/>
        <v>Work-Home</v>
      </c>
      <c r="W169" s="23">
        <v>8000</v>
      </c>
      <c r="X169" s="62">
        <v>85</v>
      </c>
      <c r="Y169" s="62" t="str">
        <f t="shared" si="10"/>
        <v>70-100</v>
      </c>
      <c r="Z169" s="62">
        <v>2.5</v>
      </c>
      <c r="AA169" s="62" t="str">
        <f t="shared" si="11"/>
        <v>2.0-3.5</v>
      </c>
      <c r="AB169" s="23">
        <v>6</v>
      </c>
      <c r="AC169" s="30" t="str">
        <f>VLOOKUP(AB169,[1]Key!$C$20:$D$29,2,FALSE)</f>
        <v>Businessman</v>
      </c>
      <c r="AD169" s="23">
        <v>1</v>
      </c>
      <c r="AE169" s="30" t="str">
        <f>VLOOKUP(AD169,[1]Key!$E$20:$F$24,2,FALSE)</f>
        <v>&lt;300,000</v>
      </c>
      <c r="AF169" s="23">
        <v>2</v>
      </c>
      <c r="AG169" s="62">
        <v>1</v>
      </c>
      <c r="AH169" s="62">
        <v>2</v>
      </c>
      <c r="AI169" s="62">
        <v>1</v>
      </c>
      <c r="AJ169" s="62">
        <v>1</v>
      </c>
      <c r="AK169" s="45" t="s">
        <v>94</v>
      </c>
      <c r="AL169" s="36"/>
      <c r="AM169" t="str">
        <f t="shared" si="12"/>
        <v>0-1000</v>
      </c>
    </row>
    <row r="170" spans="1:39" x14ac:dyDescent="0.2">
      <c r="A170" s="44">
        <v>43771</v>
      </c>
      <c r="B170" s="60">
        <v>0.66249999999999998</v>
      </c>
      <c r="C170" s="60"/>
      <c r="D170" s="60" t="s">
        <v>165</v>
      </c>
      <c r="E170" s="13">
        <v>2</v>
      </c>
      <c r="F170" s="38" t="str">
        <f>VLOOKUP(E170,[1]Key!$A$17:$B$21,2,FALSE)</f>
        <v>Road Vehicle</v>
      </c>
      <c r="G170" s="61">
        <v>4</v>
      </c>
      <c r="H170" s="39" t="str">
        <f>VLOOKUP(G170,[1]Key!$A$2:$B$13,2,FALSE)</f>
        <v>Minibus</v>
      </c>
      <c r="I170" s="13" t="s">
        <v>108</v>
      </c>
      <c r="J170" s="13">
        <v>2</v>
      </c>
      <c r="K170" s="40" t="str">
        <f>VLOOKUP(J170,[1]Key!$A$24:$B$29,2,FALSE)</f>
        <v>30-39</v>
      </c>
      <c r="L170" s="13" t="s">
        <v>236</v>
      </c>
      <c r="M170" s="23" t="s">
        <v>150</v>
      </c>
      <c r="N170" s="13" t="s">
        <v>151</v>
      </c>
      <c r="O170" s="45">
        <v>2</v>
      </c>
      <c r="P170" s="30" t="str">
        <f>VLOOKUP(O170,[1]Key!$E$2:$F$9,2,FALSE)</f>
        <v>Work</v>
      </c>
      <c r="Q170" s="13" t="s">
        <v>257</v>
      </c>
      <c r="R170" s="23" t="s">
        <v>257</v>
      </c>
      <c r="S170" s="13" t="s">
        <v>151</v>
      </c>
      <c r="T170" s="23">
        <v>1</v>
      </c>
      <c r="U170" s="30" t="str">
        <f>VLOOKUP(T170,[1]Key!$E$2:$F$9,2,FALSE)</f>
        <v>Home</v>
      </c>
      <c r="V170" s="30" t="str">
        <f t="shared" si="9"/>
        <v>Work-Home</v>
      </c>
      <c r="W170" s="23">
        <v>18000</v>
      </c>
      <c r="X170" s="62">
        <v>110</v>
      </c>
      <c r="Y170" s="62" t="str">
        <f t="shared" si="10"/>
        <v>100-200</v>
      </c>
      <c r="Z170" s="62">
        <v>4.5</v>
      </c>
      <c r="AA170" s="62" t="str">
        <f t="shared" si="11"/>
        <v>Over 3.5</v>
      </c>
      <c r="AB170" s="23">
        <v>6</v>
      </c>
      <c r="AC170" s="30" t="str">
        <f>VLOOKUP(AB170,[1]Key!$C$20:$D$29,2,FALSE)</f>
        <v>Businessman</v>
      </c>
      <c r="AD170" s="23">
        <v>1</v>
      </c>
      <c r="AE170" s="30" t="str">
        <f>VLOOKUP(AD170,[1]Key!$E$20:$F$24,2,FALSE)</f>
        <v>&lt;300,000</v>
      </c>
      <c r="AF170" s="23">
        <v>2</v>
      </c>
      <c r="AG170" s="62">
        <v>4</v>
      </c>
      <c r="AH170" s="62">
        <v>5</v>
      </c>
      <c r="AI170" s="62">
        <v>2</v>
      </c>
      <c r="AJ170" s="62">
        <v>1</v>
      </c>
      <c r="AK170" s="45" t="s">
        <v>94</v>
      </c>
      <c r="AL170" s="36"/>
      <c r="AM170" t="str">
        <f t="shared" si="12"/>
        <v>0-1000</v>
      </c>
    </row>
    <row r="171" spans="1:39" x14ac:dyDescent="0.2">
      <c r="A171" s="44">
        <v>43771</v>
      </c>
      <c r="B171" s="60">
        <v>0.57500000000000007</v>
      </c>
      <c r="C171" s="60"/>
      <c r="D171" s="60" t="s">
        <v>165</v>
      </c>
      <c r="E171" s="13">
        <v>2</v>
      </c>
      <c r="F171" s="38" t="str">
        <f>VLOOKUP(E171,[1]Key!$A$17:$B$21,2,FALSE)</f>
        <v>Road Vehicle</v>
      </c>
      <c r="G171" s="61">
        <v>4</v>
      </c>
      <c r="H171" s="39" t="str">
        <f>VLOOKUP(G171,[1]Key!$A$2:$B$13,2,FALSE)</f>
        <v>Minibus</v>
      </c>
      <c r="I171" s="13" t="s">
        <v>108</v>
      </c>
      <c r="J171" s="13">
        <v>2</v>
      </c>
      <c r="K171" s="40" t="str">
        <f>VLOOKUP(J171,[1]Key!$A$24:$B$29,2,FALSE)</f>
        <v>30-39</v>
      </c>
      <c r="L171" s="13" t="s">
        <v>233</v>
      </c>
      <c r="M171" s="23" t="s">
        <v>150</v>
      </c>
      <c r="N171" s="13" t="s">
        <v>151</v>
      </c>
      <c r="O171" s="45">
        <v>2</v>
      </c>
      <c r="P171" s="30" t="str">
        <f>VLOOKUP(O171,[1]Key!$E$2:$F$9,2,FALSE)</f>
        <v>Work</v>
      </c>
      <c r="Q171" s="13" t="s">
        <v>255</v>
      </c>
      <c r="R171" s="23" t="s">
        <v>255</v>
      </c>
      <c r="S171" s="13" t="s">
        <v>151</v>
      </c>
      <c r="T171" s="23">
        <v>1</v>
      </c>
      <c r="U171" s="30" t="str">
        <f>VLOOKUP(T171,[1]Key!$E$2:$F$9,2,FALSE)</f>
        <v>Home</v>
      </c>
      <c r="V171" s="30" t="str">
        <f t="shared" si="9"/>
        <v>Work-Home</v>
      </c>
      <c r="W171" s="23">
        <v>10000</v>
      </c>
      <c r="X171" s="62">
        <v>95</v>
      </c>
      <c r="Y171" s="62" t="str">
        <f t="shared" si="10"/>
        <v>70-100</v>
      </c>
      <c r="Z171" s="62">
        <v>3</v>
      </c>
      <c r="AA171" s="62" t="str">
        <f t="shared" si="11"/>
        <v>2.0-3.5</v>
      </c>
      <c r="AB171" s="23">
        <v>6</v>
      </c>
      <c r="AC171" s="30" t="str">
        <f>VLOOKUP(AB171,[1]Key!$C$20:$D$29,2,FALSE)</f>
        <v>Businessman</v>
      </c>
      <c r="AD171" s="23">
        <v>1</v>
      </c>
      <c r="AE171" s="30" t="str">
        <f>VLOOKUP(AD171,[1]Key!$E$20:$F$24,2,FALSE)</f>
        <v>&lt;300,000</v>
      </c>
      <c r="AF171" s="23">
        <v>2</v>
      </c>
      <c r="AG171" s="62">
        <v>1</v>
      </c>
      <c r="AH171" s="62">
        <v>5</v>
      </c>
      <c r="AI171" s="62">
        <v>2</v>
      </c>
      <c r="AJ171" s="62">
        <v>3</v>
      </c>
      <c r="AK171" s="45" t="s">
        <v>94</v>
      </c>
      <c r="AL171" s="36"/>
      <c r="AM171" t="str">
        <f t="shared" si="12"/>
        <v>0-1000</v>
      </c>
    </row>
    <row r="172" spans="1:39" ht="12" customHeight="1" x14ac:dyDescent="0.2">
      <c r="A172" s="44">
        <v>43771</v>
      </c>
      <c r="B172" s="60" t="s">
        <v>314</v>
      </c>
      <c r="C172" s="60"/>
      <c r="D172" s="60" t="s">
        <v>165</v>
      </c>
      <c r="E172" s="13">
        <v>2</v>
      </c>
      <c r="F172" s="38" t="str">
        <f>VLOOKUP(E172,[1]Key!$A$17:$B$21,2,FALSE)</f>
        <v>Road Vehicle</v>
      </c>
      <c r="G172" s="61">
        <v>4</v>
      </c>
      <c r="H172" s="39" t="str">
        <f>VLOOKUP(G172,[1]Key!$A$2:$B$13,2,FALSE)</f>
        <v>Minibus</v>
      </c>
      <c r="I172" s="13" t="s">
        <v>108</v>
      </c>
      <c r="J172" s="13">
        <v>2</v>
      </c>
      <c r="K172" s="40" t="str">
        <f>VLOOKUP(J172,[1]Key!$A$24:$B$29,2,FALSE)</f>
        <v>30-39</v>
      </c>
      <c r="L172" s="13" t="s">
        <v>226</v>
      </c>
      <c r="M172" s="23" t="s">
        <v>150</v>
      </c>
      <c r="N172" s="13" t="s">
        <v>151</v>
      </c>
      <c r="O172" s="45">
        <v>2</v>
      </c>
      <c r="P172" s="30" t="str">
        <f>VLOOKUP(O172,[1]Key!$E$2:$F$9,2,FALSE)</f>
        <v>Work</v>
      </c>
      <c r="Q172" s="13" t="s">
        <v>315</v>
      </c>
      <c r="R172" s="23" t="s">
        <v>229</v>
      </c>
      <c r="S172" s="13" t="s">
        <v>151</v>
      </c>
      <c r="T172" s="23">
        <v>1</v>
      </c>
      <c r="U172" s="30" t="str">
        <f>VLOOKUP(T172,[1]Key!$E$2:$F$9,2,FALSE)</f>
        <v>Home</v>
      </c>
      <c r="V172" s="30" t="str">
        <f t="shared" si="9"/>
        <v>Work-Home</v>
      </c>
      <c r="W172" s="23">
        <v>12000</v>
      </c>
      <c r="X172" s="62">
        <v>98</v>
      </c>
      <c r="Y172" s="62" t="str">
        <f t="shared" si="10"/>
        <v>70-100</v>
      </c>
      <c r="Z172" s="62">
        <v>3</v>
      </c>
      <c r="AA172" s="62" t="str">
        <f t="shared" si="11"/>
        <v>2.0-3.5</v>
      </c>
      <c r="AB172" s="23">
        <v>6</v>
      </c>
      <c r="AC172" s="30" t="str">
        <f>VLOOKUP(AB172,[1]Key!$C$20:$D$29,2,FALSE)</f>
        <v>Businessman</v>
      </c>
      <c r="AD172" s="23">
        <v>1</v>
      </c>
      <c r="AE172" s="30" t="str">
        <f>VLOOKUP(AD172,[1]Key!$E$20:$F$24,2,FALSE)</f>
        <v>&lt;300,000</v>
      </c>
      <c r="AF172" s="23">
        <v>5</v>
      </c>
      <c r="AG172" s="62">
        <v>4</v>
      </c>
      <c r="AH172" s="62">
        <v>2</v>
      </c>
      <c r="AI172" s="62">
        <v>2</v>
      </c>
      <c r="AJ172" s="62">
        <v>1</v>
      </c>
      <c r="AK172" s="45" t="s">
        <v>94</v>
      </c>
      <c r="AL172" s="36"/>
      <c r="AM172" t="str">
        <f t="shared" si="12"/>
        <v>0-1000</v>
      </c>
    </row>
    <row r="173" spans="1:39" x14ac:dyDescent="0.2">
      <c r="A173" s="44">
        <v>43771</v>
      </c>
      <c r="B173" s="60">
        <v>0.45069444444444445</v>
      </c>
      <c r="C173" s="60"/>
      <c r="D173" s="60" t="s">
        <v>165</v>
      </c>
      <c r="E173" s="13">
        <v>2</v>
      </c>
      <c r="F173" s="38" t="str">
        <f>VLOOKUP(E173,[1]Key!$A$17:$B$21,2,FALSE)</f>
        <v>Road Vehicle</v>
      </c>
      <c r="G173" s="61">
        <v>4</v>
      </c>
      <c r="H173" s="39" t="str">
        <f>VLOOKUP(G173,[1]Key!$A$2:$B$13,2,FALSE)</f>
        <v>Minibus</v>
      </c>
      <c r="I173" s="13" t="s">
        <v>108</v>
      </c>
      <c r="J173" s="13">
        <v>2</v>
      </c>
      <c r="K173" s="40" t="str">
        <f>VLOOKUP(J173,[1]Key!$A$24:$B$29,2,FALSE)</f>
        <v>30-39</v>
      </c>
      <c r="L173" s="13" t="s">
        <v>225</v>
      </c>
      <c r="M173" s="23" t="s">
        <v>156</v>
      </c>
      <c r="N173" s="13" t="s">
        <v>151</v>
      </c>
      <c r="O173" s="45">
        <v>2</v>
      </c>
      <c r="P173" s="30" t="str">
        <f>VLOOKUP(O173,[1]Key!$E$2:$F$9,2,FALSE)</f>
        <v>Work</v>
      </c>
      <c r="Q173" s="13" t="s">
        <v>316</v>
      </c>
      <c r="R173" s="23" t="s">
        <v>246</v>
      </c>
      <c r="S173" s="13" t="s">
        <v>151</v>
      </c>
      <c r="T173" s="23">
        <v>1</v>
      </c>
      <c r="U173" s="30" t="str">
        <f>VLOOKUP(T173,[1]Key!$E$2:$F$9,2,FALSE)</f>
        <v>Home</v>
      </c>
      <c r="V173" s="30" t="str">
        <f t="shared" si="9"/>
        <v>Work-Home</v>
      </c>
      <c r="W173" s="23">
        <v>16000</v>
      </c>
      <c r="X173" s="62">
        <v>130</v>
      </c>
      <c r="Y173" s="62" t="str">
        <f t="shared" si="10"/>
        <v>100-200</v>
      </c>
      <c r="Z173" s="62">
        <v>5</v>
      </c>
      <c r="AA173" s="62" t="str">
        <f t="shared" si="11"/>
        <v>Over 3.5</v>
      </c>
      <c r="AB173" s="23">
        <v>6</v>
      </c>
      <c r="AC173" s="30" t="str">
        <f>VLOOKUP(AB173,[1]Key!$C$20:$D$29,2,FALSE)</f>
        <v>Businessman</v>
      </c>
      <c r="AD173" s="23">
        <v>1</v>
      </c>
      <c r="AE173" s="30" t="str">
        <f>VLOOKUP(AD173,[1]Key!$E$20:$F$24,2,FALSE)</f>
        <v>&lt;300,000</v>
      </c>
      <c r="AF173" s="23">
        <v>2</v>
      </c>
      <c r="AG173" s="62">
        <v>4</v>
      </c>
      <c r="AH173" s="62">
        <v>1</v>
      </c>
      <c r="AI173" s="62">
        <v>2</v>
      </c>
      <c r="AJ173" s="62">
        <v>1</v>
      </c>
      <c r="AK173" s="45" t="s">
        <v>94</v>
      </c>
      <c r="AL173" s="36"/>
      <c r="AM173" t="str">
        <f t="shared" si="12"/>
        <v>0-1000</v>
      </c>
    </row>
    <row r="174" spans="1:39" x14ac:dyDescent="0.2">
      <c r="A174" s="44">
        <v>43771</v>
      </c>
      <c r="B174" s="60">
        <v>0.3923611111111111</v>
      </c>
      <c r="C174" s="60"/>
      <c r="D174" s="60" t="s">
        <v>165</v>
      </c>
      <c r="E174" s="13">
        <v>2</v>
      </c>
      <c r="F174" s="38" t="str">
        <f>VLOOKUP(E174,[1]Key!$A$17:$B$21,2,FALSE)</f>
        <v>Road Vehicle</v>
      </c>
      <c r="G174" s="61">
        <v>4</v>
      </c>
      <c r="H174" s="39" t="str">
        <f>VLOOKUP(G174,[1]Key!$A$2:$B$13,2,FALSE)</f>
        <v>Minibus</v>
      </c>
      <c r="I174" s="13" t="s">
        <v>108</v>
      </c>
      <c r="J174" s="13">
        <v>2</v>
      </c>
      <c r="K174" s="40" t="str">
        <f>VLOOKUP(J174,[1]Key!$A$24:$B$29,2,FALSE)</f>
        <v>30-39</v>
      </c>
      <c r="L174" s="13" t="s">
        <v>317</v>
      </c>
      <c r="M174" s="23" t="s">
        <v>150</v>
      </c>
      <c r="N174" s="13" t="s">
        <v>151</v>
      </c>
      <c r="O174" s="45">
        <v>2</v>
      </c>
      <c r="P174" s="30" t="str">
        <f>VLOOKUP(O174,[1]Key!$E$2:$F$9,2,FALSE)</f>
        <v>Work</v>
      </c>
      <c r="Q174" s="13" t="s">
        <v>231</v>
      </c>
      <c r="R174" s="23" t="s">
        <v>202</v>
      </c>
      <c r="S174" s="13" t="s">
        <v>151</v>
      </c>
      <c r="T174" s="23">
        <v>1</v>
      </c>
      <c r="U174" s="30" t="str">
        <f>VLOOKUP(T174,[1]Key!$E$2:$F$9,2,FALSE)</f>
        <v>Home</v>
      </c>
      <c r="V174" s="30" t="str">
        <f t="shared" si="9"/>
        <v>Work-Home</v>
      </c>
      <c r="W174" s="23">
        <v>8000</v>
      </c>
      <c r="X174" s="62">
        <v>85</v>
      </c>
      <c r="Y174" s="62" t="str">
        <f t="shared" si="10"/>
        <v>70-100</v>
      </c>
      <c r="Z174" s="62">
        <v>2.5</v>
      </c>
      <c r="AA174" s="62" t="str">
        <f t="shared" si="11"/>
        <v>2.0-3.5</v>
      </c>
      <c r="AB174" s="23">
        <v>6</v>
      </c>
      <c r="AC174" s="30" t="str">
        <f>VLOOKUP(AB174,[1]Key!$C$20:$D$29,2,FALSE)</f>
        <v>Businessman</v>
      </c>
      <c r="AD174" s="23">
        <v>1</v>
      </c>
      <c r="AE174" s="30" t="str">
        <f>VLOOKUP(AD174,[1]Key!$E$20:$F$24,2,FALSE)</f>
        <v>&lt;300,000</v>
      </c>
      <c r="AF174" s="23">
        <v>5</v>
      </c>
      <c r="AG174" s="62">
        <v>4</v>
      </c>
      <c r="AH174" s="62">
        <v>2</v>
      </c>
      <c r="AI174" s="62">
        <v>2</v>
      </c>
      <c r="AJ174" s="62">
        <v>1</v>
      </c>
      <c r="AK174" s="45" t="s">
        <v>94</v>
      </c>
      <c r="AL174" s="36"/>
      <c r="AM174" t="str">
        <f t="shared" si="12"/>
        <v>0-1000</v>
      </c>
    </row>
    <row r="175" spans="1:39" x14ac:dyDescent="0.2">
      <c r="A175" s="44">
        <v>43771</v>
      </c>
      <c r="B175" s="60">
        <v>0.30208333333333331</v>
      </c>
      <c r="C175" s="60"/>
      <c r="D175" s="60" t="s">
        <v>165</v>
      </c>
      <c r="E175" s="13">
        <v>2</v>
      </c>
      <c r="F175" s="38" t="str">
        <f>VLOOKUP(E175,[1]Key!$A$17:$B$21,2,FALSE)</f>
        <v>Road Vehicle</v>
      </c>
      <c r="G175" s="61">
        <v>4</v>
      </c>
      <c r="H175" s="39" t="str">
        <f>VLOOKUP(G175,[1]Key!$A$2:$B$13,2,FALSE)</f>
        <v>Minibus</v>
      </c>
      <c r="I175" s="13" t="s">
        <v>108</v>
      </c>
      <c r="J175" s="13">
        <v>2</v>
      </c>
      <c r="K175" s="40" t="str">
        <f>VLOOKUP(J175,[1]Key!$A$24:$B$29,2,FALSE)</f>
        <v>30-39</v>
      </c>
      <c r="L175" s="13" t="s">
        <v>240</v>
      </c>
      <c r="M175" s="23" t="s">
        <v>150</v>
      </c>
      <c r="N175" s="13" t="s">
        <v>151</v>
      </c>
      <c r="O175" s="45">
        <v>2</v>
      </c>
      <c r="P175" s="30" t="str">
        <f>VLOOKUP(O175,[1]Key!$E$2:$F$9,2,FALSE)</f>
        <v>Work</v>
      </c>
      <c r="Q175" s="13" t="s">
        <v>318</v>
      </c>
      <c r="R175" s="23" t="s">
        <v>229</v>
      </c>
      <c r="S175" s="13" t="s">
        <v>151</v>
      </c>
      <c r="T175" s="23">
        <v>1</v>
      </c>
      <c r="U175" s="30" t="str">
        <f>VLOOKUP(T175,[1]Key!$E$2:$F$9,2,FALSE)</f>
        <v>Home</v>
      </c>
      <c r="V175" s="30" t="str">
        <f t="shared" si="9"/>
        <v>Work-Home</v>
      </c>
      <c r="W175" s="23">
        <v>12000</v>
      </c>
      <c r="X175" s="62">
        <v>98</v>
      </c>
      <c r="Y175" s="62" t="str">
        <f t="shared" si="10"/>
        <v>70-100</v>
      </c>
      <c r="Z175" s="62">
        <v>3</v>
      </c>
      <c r="AA175" s="62" t="str">
        <f t="shared" si="11"/>
        <v>2.0-3.5</v>
      </c>
      <c r="AB175" s="23">
        <v>6</v>
      </c>
      <c r="AC175" s="30" t="str">
        <f>VLOOKUP(AB175,[1]Key!$C$20:$D$29,2,FALSE)</f>
        <v>Businessman</v>
      </c>
      <c r="AD175" s="23">
        <v>1</v>
      </c>
      <c r="AE175" s="30" t="str">
        <f>VLOOKUP(AD175,[1]Key!$E$20:$F$24,2,FALSE)</f>
        <v>&lt;300,000</v>
      </c>
      <c r="AF175" s="23">
        <v>2</v>
      </c>
      <c r="AG175" s="62">
        <v>4</v>
      </c>
      <c r="AH175" s="62">
        <v>1</v>
      </c>
      <c r="AI175" s="62">
        <v>2</v>
      </c>
      <c r="AJ175" s="62">
        <v>1</v>
      </c>
      <c r="AK175" s="45" t="s">
        <v>94</v>
      </c>
      <c r="AL175" s="36"/>
      <c r="AM175" t="str">
        <f t="shared" si="12"/>
        <v>0-1000</v>
      </c>
    </row>
    <row r="176" spans="1:39" x14ac:dyDescent="0.2">
      <c r="A176" s="44">
        <v>43771</v>
      </c>
      <c r="B176" s="60">
        <v>0.76527777777777783</v>
      </c>
      <c r="C176" s="60"/>
      <c r="D176" s="60" t="s">
        <v>96</v>
      </c>
      <c r="E176" s="13">
        <v>2</v>
      </c>
      <c r="F176" s="38" t="str">
        <f>VLOOKUP(E176,[1]Key!$A$17:$B$21,2,FALSE)</f>
        <v>Road Vehicle</v>
      </c>
      <c r="G176" s="61">
        <v>4</v>
      </c>
      <c r="H176" s="39" t="str">
        <f>VLOOKUP(G176,[1]Key!$A$2:$B$13,2,FALSE)</f>
        <v>Minibus</v>
      </c>
      <c r="I176" s="13" t="s">
        <v>108</v>
      </c>
      <c r="J176" s="13">
        <v>2</v>
      </c>
      <c r="K176" s="40" t="str">
        <f>VLOOKUP(J176,[1]Key!$A$24:$B$29,2,FALSE)</f>
        <v>30-39</v>
      </c>
      <c r="L176" s="13" t="s">
        <v>233</v>
      </c>
      <c r="M176" s="23" t="s">
        <v>150</v>
      </c>
      <c r="N176" s="13" t="s">
        <v>151</v>
      </c>
      <c r="O176" s="45">
        <v>2</v>
      </c>
      <c r="P176" s="30" t="str">
        <f>VLOOKUP(O176,[1]Key!$E$2:$F$9,2,FALSE)</f>
        <v>Work</v>
      </c>
      <c r="Q176" s="13" t="s">
        <v>227</v>
      </c>
      <c r="R176" s="23" t="s">
        <v>150</v>
      </c>
      <c r="S176" s="13" t="s">
        <v>151</v>
      </c>
      <c r="T176" s="23">
        <v>8</v>
      </c>
      <c r="U176" s="30" t="str">
        <f>VLOOKUP(T176,[1]Key!$E$2:$F$9,2,FALSE)</f>
        <v>Others</v>
      </c>
      <c r="V176" s="30" t="str">
        <f t="shared" si="9"/>
        <v>Work-Others</v>
      </c>
      <c r="W176" s="23">
        <v>40000</v>
      </c>
      <c r="X176" s="62">
        <v>15</v>
      </c>
      <c r="Y176" s="62" t="str">
        <f t="shared" si="10"/>
        <v>10-20</v>
      </c>
      <c r="Z176" s="62">
        <v>0.8</v>
      </c>
      <c r="AA176" s="62" t="str">
        <f t="shared" si="11"/>
        <v>0.5-1.0</v>
      </c>
      <c r="AB176" s="23">
        <v>10</v>
      </c>
      <c r="AC176" s="30" t="str">
        <f>VLOOKUP(AB176,[1]Key!$C$20:$D$29,2,FALSE)</f>
        <v>Other</v>
      </c>
      <c r="AD176" s="23">
        <v>1</v>
      </c>
      <c r="AE176" s="30" t="str">
        <f>VLOOKUP(AD176,[1]Key!$E$20:$F$24,2,FALSE)</f>
        <v>&lt;300,000</v>
      </c>
      <c r="AF176" s="23">
        <v>5</v>
      </c>
      <c r="AG176" s="62">
        <v>4</v>
      </c>
      <c r="AH176" s="62">
        <v>2</v>
      </c>
      <c r="AI176" s="62">
        <v>2</v>
      </c>
      <c r="AJ176" s="62">
        <v>1</v>
      </c>
      <c r="AK176" s="45" t="s">
        <v>94</v>
      </c>
      <c r="AL176" s="36"/>
      <c r="AM176" t="str">
        <f t="shared" si="12"/>
        <v>0-1000</v>
      </c>
    </row>
    <row r="177" spans="1:39" x14ac:dyDescent="0.2">
      <c r="A177" s="44">
        <v>43771</v>
      </c>
      <c r="B177" s="60">
        <v>0.74583333333333324</v>
      </c>
      <c r="C177" s="60"/>
      <c r="D177" s="60" t="s">
        <v>96</v>
      </c>
      <c r="E177" s="13">
        <v>2</v>
      </c>
      <c r="F177" s="38" t="str">
        <f>VLOOKUP(E177,[1]Key!$A$17:$B$21,2,FALSE)</f>
        <v>Road Vehicle</v>
      </c>
      <c r="G177" s="61">
        <v>4</v>
      </c>
      <c r="H177" s="39" t="str">
        <f>VLOOKUP(G177,[1]Key!$A$2:$B$13,2,FALSE)</f>
        <v>Minibus</v>
      </c>
      <c r="I177" s="13" t="s">
        <v>108</v>
      </c>
      <c r="J177" s="13">
        <v>2</v>
      </c>
      <c r="K177" s="40" t="str">
        <f>VLOOKUP(J177,[1]Key!$A$24:$B$29,2,FALSE)</f>
        <v>30-39</v>
      </c>
      <c r="L177" s="13" t="s">
        <v>233</v>
      </c>
      <c r="M177" s="23" t="s">
        <v>150</v>
      </c>
      <c r="N177" s="13" t="s">
        <v>151</v>
      </c>
      <c r="O177" s="45">
        <v>2</v>
      </c>
      <c r="P177" s="30" t="str">
        <f>VLOOKUP(O177,[1]Key!$E$2:$F$9,2,FALSE)</f>
        <v>Work</v>
      </c>
      <c r="Q177" s="13" t="s">
        <v>254</v>
      </c>
      <c r="R177" s="23" t="s">
        <v>150</v>
      </c>
      <c r="S177" s="13" t="s">
        <v>151</v>
      </c>
      <c r="T177" s="23">
        <v>8</v>
      </c>
      <c r="U177" s="30" t="str">
        <f>VLOOKUP(T177,[1]Key!$E$2:$F$9,2,FALSE)</f>
        <v>Others</v>
      </c>
      <c r="V177" s="30" t="str">
        <f t="shared" si="9"/>
        <v>Work-Others</v>
      </c>
      <c r="W177" s="23">
        <v>40000</v>
      </c>
      <c r="X177" s="62">
        <v>20</v>
      </c>
      <c r="Y177" s="62" t="str">
        <f t="shared" si="10"/>
        <v>20-40</v>
      </c>
      <c r="Z177" s="62">
        <v>0.8</v>
      </c>
      <c r="AA177" s="62" t="str">
        <f t="shared" si="11"/>
        <v>0.5-1.0</v>
      </c>
      <c r="AB177" s="23">
        <v>10</v>
      </c>
      <c r="AC177" s="30" t="str">
        <f>VLOOKUP(AB177,[1]Key!$C$20:$D$29,2,FALSE)</f>
        <v>Other</v>
      </c>
      <c r="AD177" s="23">
        <v>1</v>
      </c>
      <c r="AE177" s="30" t="str">
        <f>VLOOKUP(AD177,[1]Key!$E$20:$F$24,2,FALSE)</f>
        <v>&lt;300,000</v>
      </c>
      <c r="AF177" s="23">
        <v>5</v>
      </c>
      <c r="AG177" s="62">
        <v>4</v>
      </c>
      <c r="AH177" s="62">
        <v>2</v>
      </c>
      <c r="AI177" s="62">
        <v>2</v>
      </c>
      <c r="AJ177" s="62">
        <v>2</v>
      </c>
      <c r="AK177" s="45" t="s">
        <v>94</v>
      </c>
      <c r="AL177" s="36">
        <v>2000</v>
      </c>
      <c r="AM177" t="str">
        <f t="shared" si="12"/>
        <v>2000-3000</v>
      </c>
    </row>
    <row r="178" spans="1:39" x14ac:dyDescent="0.2">
      <c r="A178" s="44">
        <v>43771</v>
      </c>
      <c r="B178" s="60">
        <v>0.72152777777777777</v>
      </c>
      <c r="C178" s="60"/>
      <c r="D178" s="60" t="s">
        <v>165</v>
      </c>
      <c r="E178" s="13">
        <v>2</v>
      </c>
      <c r="F178" s="38" t="str">
        <f>VLOOKUP(E178,[1]Key!$A$17:$B$21,2,FALSE)</f>
        <v>Road Vehicle</v>
      </c>
      <c r="G178" s="61">
        <v>4</v>
      </c>
      <c r="H178" s="39" t="str">
        <f>VLOOKUP(G178,[1]Key!$A$2:$B$13,2,FALSE)</f>
        <v>Minibus</v>
      </c>
      <c r="I178" s="13" t="s">
        <v>108</v>
      </c>
      <c r="J178" s="13">
        <v>2</v>
      </c>
      <c r="K178" s="40" t="str">
        <f>VLOOKUP(J178,[1]Key!$A$24:$B$29,2,FALSE)</f>
        <v>30-39</v>
      </c>
      <c r="L178" s="13" t="s">
        <v>307</v>
      </c>
      <c r="M178" s="23" t="s">
        <v>150</v>
      </c>
      <c r="N178" s="13" t="s">
        <v>151</v>
      </c>
      <c r="O178" s="45">
        <v>2</v>
      </c>
      <c r="P178" s="30" t="str">
        <f>VLOOKUP(O178,[1]Key!$E$2:$F$9,2,FALSE)</f>
        <v>Work</v>
      </c>
      <c r="Q178" s="13" t="s">
        <v>231</v>
      </c>
      <c r="R178" s="23" t="s">
        <v>202</v>
      </c>
      <c r="S178" s="13" t="s">
        <v>151</v>
      </c>
      <c r="T178" s="23">
        <v>8</v>
      </c>
      <c r="U178" s="30" t="str">
        <f>VLOOKUP(T178,[1]Key!$E$2:$F$9,2,FALSE)</f>
        <v>Others</v>
      </c>
      <c r="V178" s="30" t="str">
        <f t="shared" si="9"/>
        <v>Work-Others</v>
      </c>
      <c r="W178" s="23">
        <v>8000</v>
      </c>
      <c r="X178" s="62">
        <v>85</v>
      </c>
      <c r="Y178" s="62" t="str">
        <f t="shared" si="10"/>
        <v>70-100</v>
      </c>
      <c r="Z178" s="62">
        <v>2.5</v>
      </c>
      <c r="AA178" s="62" t="str">
        <f t="shared" si="11"/>
        <v>2.0-3.5</v>
      </c>
      <c r="AB178" s="23">
        <v>10</v>
      </c>
      <c r="AC178" s="30" t="str">
        <f>VLOOKUP(AB178,[1]Key!$C$20:$D$29,2,FALSE)</f>
        <v>Other</v>
      </c>
      <c r="AD178" s="23">
        <v>1</v>
      </c>
      <c r="AE178" s="30" t="str">
        <f>VLOOKUP(AD178,[1]Key!$E$20:$F$24,2,FALSE)</f>
        <v>&lt;300,000</v>
      </c>
      <c r="AF178" s="23">
        <v>2</v>
      </c>
      <c r="AG178" s="62">
        <v>4</v>
      </c>
      <c r="AH178" s="62">
        <v>1</v>
      </c>
      <c r="AI178" s="62">
        <v>2</v>
      </c>
      <c r="AJ178" s="62">
        <v>1</v>
      </c>
      <c r="AK178" s="45" t="s">
        <v>94</v>
      </c>
      <c r="AL178" s="36"/>
      <c r="AM178" t="str">
        <f t="shared" si="12"/>
        <v>0-1000</v>
      </c>
    </row>
    <row r="179" spans="1:39" x14ac:dyDescent="0.2">
      <c r="A179" s="44">
        <v>43771</v>
      </c>
      <c r="B179" s="60">
        <v>0.51944444444444449</v>
      </c>
      <c r="C179" s="60" t="s">
        <v>319</v>
      </c>
      <c r="D179" s="60" t="s">
        <v>96</v>
      </c>
      <c r="E179" s="13">
        <v>2</v>
      </c>
      <c r="F179" s="38" t="str">
        <f>VLOOKUP(E179,[1]Key!$A$17:$B$21,2,FALSE)</f>
        <v>Road Vehicle</v>
      </c>
      <c r="G179" s="61">
        <v>4</v>
      </c>
      <c r="H179" s="39" t="str">
        <f>VLOOKUP(G179,[1]Key!$A$2:$B$13,2,FALSE)</f>
        <v>Minibus</v>
      </c>
      <c r="I179" s="13" t="s">
        <v>108</v>
      </c>
      <c r="J179" s="13">
        <v>2</v>
      </c>
      <c r="K179" s="40" t="str">
        <f>VLOOKUP(J179,[1]Key!$A$24:$B$29,2,FALSE)</f>
        <v>30-39</v>
      </c>
      <c r="L179" s="13" t="s">
        <v>233</v>
      </c>
      <c r="M179" s="23" t="s">
        <v>150</v>
      </c>
      <c r="N179" s="13" t="s">
        <v>151</v>
      </c>
      <c r="O179" s="45">
        <v>2</v>
      </c>
      <c r="P179" s="30" t="str">
        <f>VLOOKUP(O179,[1]Key!$E$2:$F$9,2,FALSE)</f>
        <v>Work</v>
      </c>
      <c r="Q179" s="13" t="s">
        <v>315</v>
      </c>
      <c r="R179" s="23" t="s">
        <v>229</v>
      </c>
      <c r="S179" s="13" t="s">
        <v>151</v>
      </c>
      <c r="T179" s="23">
        <v>8</v>
      </c>
      <c r="U179" s="30" t="str">
        <f>VLOOKUP(T179,[1]Key!$E$2:$F$9,2,FALSE)</f>
        <v>Others</v>
      </c>
      <c r="V179" s="30" t="str">
        <f t="shared" si="9"/>
        <v>Work-Others</v>
      </c>
      <c r="W179" s="23">
        <v>90000</v>
      </c>
      <c r="X179" s="62">
        <v>98</v>
      </c>
      <c r="Y179" s="62" t="str">
        <f t="shared" si="10"/>
        <v>70-100</v>
      </c>
      <c r="Z179" s="62">
        <v>3</v>
      </c>
      <c r="AA179" s="62" t="str">
        <f t="shared" si="11"/>
        <v>2.0-3.5</v>
      </c>
      <c r="AB179" s="23">
        <v>10</v>
      </c>
      <c r="AC179" s="30" t="str">
        <f>VLOOKUP(AB179,[1]Key!$C$20:$D$29,2,FALSE)</f>
        <v>Other</v>
      </c>
      <c r="AD179" s="23">
        <v>1</v>
      </c>
      <c r="AE179" s="30" t="str">
        <f>VLOOKUP(AD179,[1]Key!$E$20:$F$24,2,FALSE)</f>
        <v>&lt;300,000</v>
      </c>
      <c r="AF179" s="23">
        <v>5</v>
      </c>
      <c r="AG179" s="62">
        <v>4</v>
      </c>
      <c r="AH179" s="62">
        <v>5</v>
      </c>
      <c r="AI179" s="62">
        <v>5</v>
      </c>
      <c r="AJ179" s="62">
        <v>4</v>
      </c>
      <c r="AK179" s="45" t="s">
        <v>94</v>
      </c>
      <c r="AL179" s="36"/>
      <c r="AM179" t="str">
        <f t="shared" si="12"/>
        <v>0-1000</v>
      </c>
    </row>
    <row r="180" spans="1:39" x14ac:dyDescent="0.2">
      <c r="A180" s="44">
        <v>43771</v>
      </c>
      <c r="B180" s="60">
        <v>0.49791666666666662</v>
      </c>
      <c r="C180" s="60" t="s">
        <v>320</v>
      </c>
      <c r="D180" s="60" t="s">
        <v>96</v>
      </c>
      <c r="E180" s="13">
        <v>2</v>
      </c>
      <c r="F180" s="38" t="str">
        <f>VLOOKUP(E180,[1]Key!$A$17:$B$21,2,FALSE)</f>
        <v>Road Vehicle</v>
      </c>
      <c r="G180" s="61">
        <v>4</v>
      </c>
      <c r="H180" s="39" t="str">
        <f>VLOOKUP(G180,[1]Key!$A$2:$B$13,2,FALSE)</f>
        <v>Minibus</v>
      </c>
      <c r="I180" s="13" t="s">
        <v>108</v>
      </c>
      <c r="J180" s="13">
        <v>2</v>
      </c>
      <c r="K180" s="40" t="str">
        <f>VLOOKUP(J180,[1]Key!$A$24:$B$29,2,FALSE)</f>
        <v>30-39</v>
      </c>
      <c r="L180" s="13" t="s">
        <v>233</v>
      </c>
      <c r="M180" s="23" t="s">
        <v>150</v>
      </c>
      <c r="N180" s="13" t="s">
        <v>151</v>
      </c>
      <c r="O180" s="45">
        <v>2</v>
      </c>
      <c r="P180" s="30" t="str">
        <f>VLOOKUP(O180,[1]Key!$E$2:$F$9,2,FALSE)</f>
        <v>Work</v>
      </c>
      <c r="Q180" s="13" t="s">
        <v>268</v>
      </c>
      <c r="R180" s="23" t="s">
        <v>268</v>
      </c>
      <c r="S180" s="13" t="s">
        <v>151</v>
      </c>
      <c r="T180" s="23">
        <v>8</v>
      </c>
      <c r="U180" s="30" t="str">
        <f>VLOOKUP(T180,[1]Key!$E$2:$F$9,2,FALSE)</f>
        <v>Others</v>
      </c>
      <c r="V180" s="30" t="str">
        <f t="shared" si="9"/>
        <v>Work-Others</v>
      </c>
      <c r="W180" s="23">
        <v>100000</v>
      </c>
      <c r="X180" s="62">
        <v>90</v>
      </c>
      <c r="Y180" s="62" t="str">
        <f t="shared" si="10"/>
        <v>70-100</v>
      </c>
      <c r="Z180" s="62">
        <v>3.5</v>
      </c>
      <c r="AA180" s="62" t="str">
        <f t="shared" si="11"/>
        <v>Over 3.5</v>
      </c>
      <c r="AB180" s="23">
        <v>10</v>
      </c>
      <c r="AC180" s="30" t="str">
        <f>VLOOKUP(AB180,[1]Key!$C$20:$D$29,2,FALSE)</f>
        <v>Other</v>
      </c>
      <c r="AD180" s="23">
        <v>1</v>
      </c>
      <c r="AE180" s="30" t="str">
        <f>VLOOKUP(AD180,[1]Key!$E$20:$F$24,2,FALSE)</f>
        <v>&lt;300,000</v>
      </c>
      <c r="AF180" s="23">
        <v>2</v>
      </c>
      <c r="AG180" s="62">
        <v>2</v>
      </c>
      <c r="AH180" s="62">
        <v>1</v>
      </c>
      <c r="AI180" s="62">
        <v>5</v>
      </c>
      <c r="AJ180" s="62">
        <v>5</v>
      </c>
      <c r="AK180" s="45" t="s">
        <v>94</v>
      </c>
      <c r="AL180" s="36">
        <v>3000</v>
      </c>
      <c r="AM180" t="str">
        <f t="shared" si="12"/>
        <v>3000-5000</v>
      </c>
    </row>
    <row r="181" spans="1:39" x14ac:dyDescent="0.2">
      <c r="A181" s="44">
        <v>43771</v>
      </c>
      <c r="B181" s="60">
        <v>0.44236111111111115</v>
      </c>
      <c r="C181" s="60" t="s">
        <v>321</v>
      </c>
      <c r="D181" s="60" t="s">
        <v>96</v>
      </c>
      <c r="E181" s="13">
        <v>2</v>
      </c>
      <c r="F181" s="38" t="str">
        <f>VLOOKUP(E181,[1]Key!$A$17:$B$21,2,FALSE)</f>
        <v>Road Vehicle</v>
      </c>
      <c r="G181" s="61">
        <v>4</v>
      </c>
      <c r="H181" s="39" t="str">
        <f>VLOOKUP(G181,[1]Key!$A$2:$B$13,2,FALSE)</f>
        <v>Minibus</v>
      </c>
      <c r="I181" s="13" t="s">
        <v>108</v>
      </c>
      <c r="J181" s="13">
        <v>2</v>
      </c>
      <c r="K181" s="40" t="str">
        <f>VLOOKUP(J181,[1]Key!$A$24:$B$29,2,FALSE)</f>
        <v>30-39</v>
      </c>
      <c r="L181" s="13" t="s">
        <v>233</v>
      </c>
      <c r="M181" s="23" t="s">
        <v>150</v>
      </c>
      <c r="N181" s="13" t="s">
        <v>151</v>
      </c>
      <c r="O181" s="45">
        <v>2</v>
      </c>
      <c r="P181" s="30" t="str">
        <f>VLOOKUP(O181,[1]Key!$E$2:$F$9,2,FALSE)</f>
        <v>Work</v>
      </c>
      <c r="Q181" s="13" t="s">
        <v>316</v>
      </c>
      <c r="R181" s="23" t="s">
        <v>246</v>
      </c>
      <c r="S181" s="13" t="s">
        <v>151</v>
      </c>
      <c r="T181" s="23">
        <v>8</v>
      </c>
      <c r="U181" s="30" t="str">
        <f>VLOOKUP(T181,[1]Key!$E$2:$F$9,2,FALSE)</f>
        <v>Others</v>
      </c>
      <c r="V181" s="30" t="str">
        <f t="shared" si="9"/>
        <v>Work-Others</v>
      </c>
      <c r="W181" s="23">
        <v>100000</v>
      </c>
      <c r="X181" s="62">
        <v>130</v>
      </c>
      <c r="Y181" s="62" t="str">
        <f t="shared" si="10"/>
        <v>100-200</v>
      </c>
      <c r="Z181" s="62">
        <v>5</v>
      </c>
      <c r="AA181" s="62" t="str">
        <f t="shared" si="11"/>
        <v>Over 3.5</v>
      </c>
      <c r="AB181" s="23">
        <v>10</v>
      </c>
      <c r="AC181" s="30" t="str">
        <f>VLOOKUP(AB181,[1]Key!$C$20:$D$29,2,FALSE)</f>
        <v>Other</v>
      </c>
      <c r="AD181" s="23">
        <v>1</v>
      </c>
      <c r="AE181" s="30" t="str">
        <f>VLOOKUP(AD181,[1]Key!$E$20:$F$24,2,FALSE)</f>
        <v>&lt;300,000</v>
      </c>
      <c r="AF181" s="23">
        <v>5</v>
      </c>
      <c r="AG181" s="62">
        <v>4</v>
      </c>
      <c r="AH181" s="62">
        <v>1</v>
      </c>
      <c r="AI181" s="62">
        <v>2</v>
      </c>
      <c r="AJ181" s="62">
        <v>1</v>
      </c>
      <c r="AK181" s="45" t="s">
        <v>94</v>
      </c>
      <c r="AL181" s="36">
        <v>3000</v>
      </c>
      <c r="AM181" t="str">
        <f t="shared" si="12"/>
        <v>3000-5000</v>
      </c>
    </row>
    <row r="182" spans="1:39" x14ac:dyDescent="0.2">
      <c r="A182" s="44">
        <v>43771</v>
      </c>
      <c r="B182" s="60">
        <v>0.41319444444444442</v>
      </c>
      <c r="C182" s="60" t="s">
        <v>322</v>
      </c>
      <c r="D182" s="60" t="s">
        <v>96</v>
      </c>
      <c r="E182" s="13">
        <v>2</v>
      </c>
      <c r="F182" s="38" t="str">
        <f>VLOOKUP(E182,[1]Key!$A$17:$B$21,2,FALSE)</f>
        <v>Road Vehicle</v>
      </c>
      <c r="G182" s="61">
        <v>4</v>
      </c>
      <c r="H182" s="39" t="str">
        <f>VLOOKUP(G182,[1]Key!$A$2:$B$13,2,FALSE)</f>
        <v>Minibus</v>
      </c>
      <c r="I182" s="13" t="s">
        <v>108</v>
      </c>
      <c r="J182" s="13">
        <v>2</v>
      </c>
      <c r="K182" s="40" t="str">
        <f>VLOOKUP(J182,[1]Key!$A$24:$B$29,2,FALSE)</f>
        <v>30-39</v>
      </c>
      <c r="L182" s="13" t="s">
        <v>233</v>
      </c>
      <c r="M182" s="23" t="s">
        <v>150</v>
      </c>
      <c r="N182" s="13" t="s">
        <v>151</v>
      </c>
      <c r="O182" s="45">
        <v>2</v>
      </c>
      <c r="P182" s="30" t="str">
        <f>VLOOKUP(O182,[1]Key!$E$2:$F$9,2,FALSE)</f>
        <v>Work</v>
      </c>
      <c r="Q182" s="13" t="s">
        <v>246</v>
      </c>
      <c r="R182" s="23" t="s">
        <v>246</v>
      </c>
      <c r="S182" s="13" t="s">
        <v>151</v>
      </c>
      <c r="T182" s="23">
        <v>8</v>
      </c>
      <c r="U182" s="30" t="str">
        <f>VLOOKUP(T182,[1]Key!$E$2:$F$9,2,FALSE)</f>
        <v>Others</v>
      </c>
      <c r="V182" s="30" t="str">
        <f t="shared" si="9"/>
        <v>Work-Others</v>
      </c>
      <c r="W182" s="23">
        <v>100000</v>
      </c>
      <c r="X182" s="62">
        <v>130</v>
      </c>
      <c r="Y182" s="62" t="str">
        <f t="shared" si="10"/>
        <v>100-200</v>
      </c>
      <c r="Z182" s="62">
        <v>5</v>
      </c>
      <c r="AA182" s="62" t="str">
        <f t="shared" si="11"/>
        <v>Over 3.5</v>
      </c>
      <c r="AB182" s="23">
        <v>10</v>
      </c>
      <c r="AC182" s="30" t="str">
        <f>VLOOKUP(AB182,[1]Key!$C$20:$D$29,2,FALSE)</f>
        <v>Other</v>
      </c>
      <c r="AD182" s="23">
        <v>1</v>
      </c>
      <c r="AE182" s="30" t="str">
        <f>VLOOKUP(AD182,[1]Key!$E$20:$F$24,2,FALSE)</f>
        <v>&lt;300,000</v>
      </c>
      <c r="AF182" s="23">
        <v>5</v>
      </c>
      <c r="AG182" s="62">
        <v>4</v>
      </c>
      <c r="AH182" s="62">
        <v>5</v>
      </c>
      <c r="AI182" s="62">
        <v>3</v>
      </c>
      <c r="AJ182" s="62">
        <v>3</v>
      </c>
      <c r="AK182" s="45" t="s">
        <v>94</v>
      </c>
      <c r="AL182" s="36">
        <v>2000</v>
      </c>
      <c r="AM182" t="str">
        <f t="shared" si="12"/>
        <v>2000-3000</v>
      </c>
    </row>
    <row r="183" spans="1:39" x14ac:dyDescent="0.2">
      <c r="A183" s="44">
        <v>43771</v>
      </c>
      <c r="B183" s="60">
        <v>0.36527777777777781</v>
      </c>
      <c r="C183" s="60"/>
      <c r="D183" s="60" t="s">
        <v>96</v>
      </c>
      <c r="E183" s="13">
        <v>2</v>
      </c>
      <c r="F183" s="38" t="str">
        <f>VLOOKUP(E183,[1]Key!$A$17:$B$21,2,FALSE)</f>
        <v>Road Vehicle</v>
      </c>
      <c r="G183" s="61">
        <v>4</v>
      </c>
      <c r="H183" s="39" t="str">
        <f>VLOOKUP(G183,[1]Key!$A$2:$B$13,2,FALSE)</f>
        <v>Minibus</v>
      </c>
      <c r="I183" s="13" t="s">
        <v>108</v>
      </c>
      <c r="J183" s="13">
        <v>2</v>
      </c>
      <c r="K183" s="40" t="str">
        <f>VLOOKUP(J183,[1]Key!$A$24:$B$29,2,FALSE)</f>
        <v>30-39</v>
      </c>
      <c r="L183" s="13" t="s">
        <v>233</v>
      </c>
      <c r="M183" s="23" t="s">
        <v>150</v>
      </c>
      <c r="N183" s="13" t="s">
        <v>151</v>
      </c>
      <c r="O183" s="45">
        <v>2</v>
      </c>
      <c r="P183" s="30" t="str">
        <f>VLOOKUP(O183,[1]Key!$E$2:$F$9,2,FALSE)</f>
        <v>Work</v>
      </c>
      <c r="Q183" s="13" t="s">
        <v>250</v>
      </c>
      <c r="R183" s="23" t="s">
        <v>250</v>
      </c>
      <c r="S183" s="13" t="s">
        <v>151</v>
      </c>
      <c r="T183" s="23">
        <v>8</v>
      </c>
      <c r="U183" s="30" t="str">
        <f>VLOOKUP(T183,[1]Key!$E$2:$F$9,2,FALSE)</f>
        <v>Others</v>
      </c>
      <c r="V183" s="30" t="str">
        <f t="shared" si="9"/>
        <v>Work-Others</v>
      </c>
      <c r="W183" s="23">
        <v>80000</v>
      </c>
      <c r="X183" s="62">
        <v>100</v>
      </c>
      <c r="Y183" s="62" t="str">
        <f t="shared" si="10"/>
        <v>100-200</v>
      </c>
      <c r="Z183" s="62">
        <v>3.5</v>
      </c>
      <c r="AA183" s="62" t="str">
        <f t="shared" si="11"/>
        <v>Over 3.5</v>
      </c>
      <c r="AB183" s="23">
        <v>10</v>
      </c>
      <c r="AC183" s="30" t="str">
        <f>VLOOKUP(AB183,[1]Key!$C$20:$D$29,2,FALSE)</f>
        <v>Other</v>
      </c>
      <c r="AD183" s="23">
        <v>1</v>
      </c>
      <c r="AE183" s="30" t="str">
        <f>VLOOKUP(AD183,[1]Key!$E$20:$F$24,2,FALSE)</f>
        <v>&lt;300,000</v>
      </c>
      <c r="AF183" s="23">
        <v>5</v>
      </c>
      <c r="AG183" s="62">
        <v>4</v>
      </c>
      <c r="AH183" s="62">
        <v>2</v>
      </c>
      <c r="AI183" s="62">
        <v>2</v>
      </c>
      <c r="AJ183" s="62">
        <v>1</v>
      </c>
      <c r="AK183" s="45" t="s">
        <v>94</v>
      </c>
      <c r="AL183" s="36"/>
      <c r="AM183" t="str">
        <f t="shared" si="12"/>
        <v>0-1000</v>
      </c>
    </row>
    <row r="184" spans="1:39" x14ac:dyDescent="0.2">
      <c r="A184" s="44">
        <v>43771</v>
      </c>
      <c r="B184" s="60">
        <v>0.76666666666666661</v>
      </c>
      <c r="C184" s="60"/>
      <c r="D184" s="60" t="s">
        <v>165</v>
      </c>
      <c r="E184" s="13">
        <v>2</v>
      </c>
      <c r="F184" s="38" t="str">
        <f>VLOOKUP(E184,[1]Key!$A$17:$B$21,2,FALSE)</f>
        <v>Road Vehicle</v>
      </c>
      <c r="G184" s="61">
        <v>4</v>
      </c>
      <c r="H184" s="39" t="str">
        <f>VLOOKUP(G184,[1]Key!$A$2:$B$13,2,FALSE)</f>
        <v>Minibus</v>
      </c>
      <c r="I184" s="13" t="s">
        <v>108</v>
      </c>
      <c r="J184" s="13">
        <v>2</v>
      </c>
      <c r="K184" s="40" t="str">
        <f>VLOOKUP(J184,[1]Key!$A$24:$B$29,2,FALSE)</f>
        <v>30-39</v>
      </c>
      <c r="L184" s="13" t="s">
        <v>208</v>
      </c>
      <c r="M184" s="23" t="s">
        <v>150</v>
      </c>
      <c r="N184" s="13" t="s">
        <v>151</v>
      </c>
      <c r="O184" s="45">
        <v>2</v>
      </c>
      <c r="P184" s="30" t="str">
        <f>VLOOKUP(O184,[1]Key!$E$2:$F$9,2,FALSE)</f>
        <v>Work</v>
      </c>
      <c r="Q184" s="13" t="s">
        <v>323</v>
      </c>
      <c r="R184" s="23" t="s">
        <v>156</v>
      </c>
      <c r="S184" s="13" t="s">
        <v>151</v>
      </c>
      <c r="T184" s="23">
        <v>2</v>
      </c>
      <c r="U184" s="30" t="str">
        <f>VLOOKUP(T184,[1]Key!$E$2:$F$9,2,FALSE)</f>
        <v>Work</v>
      </c>
      <c r="V184" s="30" t="str">
        <f t="shared" si="9"/>
        <v>Work-Work</v>
      </c>
      <c r="W184" s="23">
        <v>3000</v>
      </c>
      <c r="X184" s="62">
        <v>20</v>
      </c>
      <c r="Y184" s="62" t="str">
        <f t="shared" si="10"/>
        <v>20-40</v>
      </c>
      <c r="Z184" s="62">
        <v>0.5</v>
      </c>
      <c r="AA184" s="62" t="str">
        <f t="shared" si="11"/>
        <v>0.5-1.0</v>
      </c>
      <c r="AB184" s="23">
        <v>6</v>
      </c>
      <c r="AC184" s="30" t="str">
        <f>VLOOKUP(AB184,[1]Key!$C$20:$D$29,2,FALSE)</f>
        <v>Businessman</v>
      </c>
      <c r="AD184" s="23">
        <v>2</v>
      </c>
      <c r="AE184" s="30" t="str">
        <f>VLOOKUP(AD184,[1]Key!$E$20:$F$24,2,FALSE)</f>
        <v>300,000-500,000</v>
      </c>
      <c r="AF184" s="23">
        <v>5</v>
      </c>
      <c r="AG184" s="62">
        <v>1</v>
      </c>
      <c r="AH184" s="62">
        <v>2</v>
      </c>
      <c r="AI184" s="62">
        <v>1</v>
      </c>
      <c r="AJ184" s="62">
        <v>5</v>
      </c>
      <c r="AK184" s="45" t="s">
        <v>94</v>
      </c>
      <c r="AL184" s="36">
        <v>1000</v>
      </c>
      <c r="AM184" t="str">
        <f t="shared" si="12"/>
        <v>1000-2000</v>
      </c>
    </row>
    <row r="185" spans="1:39" x14ac:dyDescent="0.2">
      <c r="A185" s="44">
        <v>43771</v>
      </c>
      <c r="B185" s="60">
        <v>0.2986111111111111</v>
      </c>
      <c r="C185" s="60"/>
      <c r="D185" s="60" t="s">
        <v>96</v>
      </c>
      <c r="E185" s="13">
        <v>2</v>
      </c>
      <c r="F185" s="38" t="str">
        <f>VLOOKUP(E185,[1]Key!$A$17:$B$21,2,FALSE)</f>
        <v>Road Vehicle</v>
      </c>
      <c r="G185" s="61">
        <v>4</v>
      </c>
      <c r="H185" s="39" t="str">
        <f>VLOOKUP(G185,[1]Key!$A$2:$B$13,2,FALSE)</f>
        <v>Minibus</v>
      </c>
      <c r="I185" s="13" t="s">
        <v>108</v>
      </c>
      <c r="J185" s="13">
        <v>2</v>
      </c>
      <c r="K185" s="40" t="str">
        <f>VLOOKUP(J185,[1]Key!$A$24:$B$29,2,FALSE)</f>
        <v>30-39</v>
      </c>
      <c r="L185" s="13" t="s">
        <v>233</v>
      </c>
      <c r="M185" s="23" t="s">
        <v>150</v>
      </c>
      <c r="N185" s="13" t="s">
        <v>151</v>
      </c>
      <c r="O185" s="45">
        <v>2</v>
      </c>
      <c r="P185" s="30" t="str">
        <f>VLOOKUP(O185,[1]Key!$E$2:$F$9,2,FALSE)</f>
        <v>Work</v>
      </c>
      <c r="Q185" s="13" t="s">
        <v>174</v>
      </c>
      <c r="R185" s="23" t="s">
        <v>174</v>
      </c>
      <c r="S185" s="13" t="s">
        <v>151</v>
      </c>
      <c r="T185" s="23">
        <v>2</v>
      </c>
      <c r="U185" s="30" t="str">
        <f>VLOOKUP(T185,[1]Key!$E$2:$F$9,2,FALSE)</f>
        <v>Work</v>
      </c>
      <c r="V185" s="30" t="str">
        <f t="shared" si="9"/>
        <v>Work-Work</v>
      </c>
      <c r="W185" s="23">
        <v>200000</v>
      </c>
      <c r="X185" s="62">
        <v>500</v>
      </c>
      <c r="Y185" s="62" t="str">
        <f t="shared" si="10"/>
        <v>Over 200</v>
      </c>
      <c r="Z185" s="62">
        <v>10</v>
      </c>
      <c r="AA185" s="62" t="str">
        <f t="shared" si="11"/>
        <v>Over 3.5</v>
      </c>
      <c r="AB185" s="23">
        <v>2</v>
      </c>
      <c r="AC185" s="30" t="str">
        <f>VLOOKUP(AB185,[1]Key!$C$20:$D$29,2,FALSE)</f>
        <v>Manual Labour</v>
      </c>
      <c r="AD185" s="23">
        <v>5</v>
      </c>
      <c r="AE185" s="30" t="str">
        <f>VLOOKUP(AD185,[1]Key!$E$20:$F$24,2,FALSE)</f>
        <v>&gt;1,000,000</v>
      </c>
      <c r="AF185" s="23">
        <v>2</v>
      </c>
      <c r="AG185" s="62">
        <v>1</v>
      </c>
      <c r="AH185" s="62">
        <v>2</v>
      </c>
      <c r="AI185" s="62">
        <v>1</v>
      </c>
      <c r="AJ185" s="62">
        <v>2</v>
      </c>
      <c r="AK185" s="45" t="s">
        <v>94</v>
      </c>
      <c r="AL185" s="36">
        <v>1000</v>
      </c>
      <c r="AM185" t="str">
        <f t="shared" si="12"/>
        <v>1000-2000</v>
      </c>
    </row>
    <row r="186" spans="1:39" x14ac:dyDescent="0.2">
      <c r="A186" s="44">
        <v>43771</v>
      </c>
      <c r="B186" s="60">
        <v>0.35416666666666669</v>
      </c>
      <c r="C186" s="60"/>
      <c r="D186" s="60" t="s">
        <v>96</v>
      </c>
      <c r="E186" s="13">
        <v>2</v>
      </c>
      <c r="F186" s="38" t="str">
        <f>VLOOKUP(E186,[1]Key!$A$17:$B$21,2,FALSE)</f>
        <v>Road Vehicle</v>
      </c>
      <c r="G186" s="61">
        <v>4</v>
      </c>
      <c r="H186" s="39" t="str">
        <f>VLOOKUP(G186,[1]Key!$A$2:$B$13,2,FALSE)</f>
        <v>Minibus</v>
      </c>
      <c r="I186" s="13" t="s">
        <v>108</v>
      </c>
      <c r="J186" s="13">
        <v>2</v>
      </c>
      <c r="K186" s="40" t="str">
        <f>VLOOKUP(J186,[1]Key!$A$24:$B$29,2,FALSE)</f>
        <v>30-39</v>
      </c>
      <c r="L186" s="13" t="s">
        <v>233</v>
      </c>
      <c r="M186" s="23" t="s">
        <v>150</v>
      </c>
      <c r="N186" s="13" t="s">
        <v>151</v>
      </c>
      <c r="O186" s="45">
        <v>2</v>
      </c>
      <c r="P186" s="30" t="str">
        <f>VLOOKUP(O186,[1]Key!$E$2:$F$9,2,FALSE)</f>
        <v>Work</v>
      </c>
      <c r="Q186" s="13" t="s">
        <v>282</v>
      </c>
      <c r="R186" s="23" t="s">
        <v>283</v>
      </c>
      <c r="S186" s="13" t="s">
        <v>151</v>
      </c>
      <c r="T186" s="23">
        <v>2</v>
      </c>
      <c r="U186" s="30" t="str">
        <f>VLOOKUP(T186,[1]Key!$E$2:$F$9,2,FALSE)</f>
        <v>Work</v>
      </c>
      <c r="V186" s="30" t="str">
        <f t="shared" si="9"/>
        <v>Work-Work</v>
      </c>
      <c r="W186" s="23">
        <v>50000</v>
      </c>
      <c r="X186" s="62">
        <v>25</v>
      </c>
      <c r="Y186" s="62" t="str">
        <f t="shared" si="10"/>
        <v>20-40</v>
      </c>
      <c r="Z186" s="62">
        <v>3</v>
      </c>
      <c r="AA186" s="62" t="str">
        <f t="shared" si="11"/>
        <v>2.0-3.5</v>
      </c>
      <c r="AB186" s="23">
        <v>2</v>
      </c>
      <c r="AC186" s="30" t="str">
        <f>VLOOKUP(AB186,[1]Key!$C$20:$D$29,2,FALSE)</f>
        <v>Manual Labour</v>
      </c>
      <c r="AD186" s="23">
        <v>3</v>
      </c>
      <c r="AE186" s="30" t="str">
        <f>VLOOKUP(AD186,[1]Key!$E$20:$F$24,2,FALSE)</f>
        <v>500,000-750,000</v>
      </c>
      <c r="AF186" s="23">
        <v>5</v>
      </c>
      <c r="AG186" s="62">
        <v>2</v>
      </c>
      <c r="AH186" s="62">
        <v>1</v>
      </c>
      <c r="AI186" s="62">
        <v>2</v>
      </c>
      <c r="AJ186" s="62">
        <v>1</v>
      </c>
      <c r="AK186" s="45" t="s">
        <v>94</v>
      </c>
      <c r="AL186" s="36"/>
      <c r="AM186" t="str">
        <f t="shared" si="12"/>
        <v>0-1000</v>
      </c>
    </row>
    <row r="187" spans="1:39" x14ac:dyDescent="0.2">
      <c r="A187" s="44">
        <v>43771</v>
      </c>
      <c r="B187" s="60">
        <v>0.36041666666666666</v>
      </c>
      <c r="C187" s="60"/>
      <c r="D187" s="60" t="s">
        <v>96</v>
      </c>
      <c r="E187" s="13">
        <v>2</v>
      </c>
      <c r="F187" s="38" t="str">
        <f>VLOOKUP(E187,[1]Key!$A$17:$B$21,2,FALSE)</f>
        <v>Road Vehicle</v>
      </c>
      <c r="G187" s="61">
        <v>4</v>
      </c>
      <c r="H187" s="39" t="str">
        <f>VLOOKUP(G187,[1]Key!$A$2:$B$13,2,FALSE)</f>
        <v>Minibus</v>
      </c>
      <c r="I187" s="13" t="s">
        <v>108</v>
      </c>
      <c r="J187" s="13">
        <v>2</v>
      </c>
      <c r="K187" s="40" t="str">
        <f>VLOOKUP(J187,[1]Key!$A$24:$B$29,2,FALSE)</f>
        <v>30-39</v>
      </c>
      <c r="L187" s="13" t="s">
        <v>233</v>
      </c>
      <c r="M187" s="23" t="s">
        <v>150</v>
      </c>
      <c r="N187" s="13" t="s">
        <v>151</v>
      </c>
      <c r="O187" s="45">
        <v>2</v>
      </c>
      <c r="P187" s="30" t="str">
        <f>VLOOKUP(O187,[1]Key!$E$2:$F$9,2,FALSE)</f>
        <v>Work</v>
      </c>
      <c r="Q187" s="13" t="s">
        <v>313</v>
      </c>
      <c r="R187" s="23" t="s">
        <v>150</v>
      </c>
      <c r="S187" s="13" t="s">
        <v>151</v>
      </c>
      <c r="T187" s="23">
        <v>2</v>
      </c>
      <c r="U187" s="30" t="str">
        <f>VLOOKUP(T187,[1]Key!$E$2:$F$9,2,FALSE)</f>
        <v>Work</v>
      </c>
      <c r="V187" s="30" t="str">
        <f t="shared" si="9"/>
        <v>Work-Work</v>
      </c>
      <c r="W187" s="23">
        <v>10000</v>
      </c>
      <c r="X187" s="62">
        <v>5</v>
      </c>
      <c r="Y187" s="62" t="str">
        <f t="shared" si="10"/>
        <v>0-10</v>
      </c>
      <c r="Z187" s="62">
        <v>0.6</v>
      </c>
      <c r="AA187" s="62" t="str">
        <f t="shared" si="11"/>
        <v>0.5-1.0</v>
      </c>
      <c r="AB187" s="23">
        <v>2</v>
      </c>
      <c r="AC187" s="30" t="str">
        <f>VLOOKUP(AB187,[1]Key!$C$20:$D$29,2,FALSE)</f>
        <v>Manual Labour</v>
      </c>
      <c r="AD187" s="23">
        <v>3</v>
      </c>
      <c r="AE187" s="30" t="str">
        <f>VLOOKUP(AD187,[1]Key!$E$20:$F$24,2,FALSE)</f>
        <v>500,000-750,000</v>
      </c>
      <c r="AF187" s="23">
        <v>5</v>
      </c>
      <c r="AG187" s="62">
        <v>2</v>
      </c>
      <c r="AH187" s="62">
        <v>2</v>
      </c>
      <c r="AI187" s="62">
        <v>2</v>
      </c>
      <c r="AJ187" s="62">
        <v>2</v>
      </c>
      <c r="AK187" s="45" t="s">
        <v>94</v>
      </c>
      <c r="AL187" s="36">
        <v>500</v>
      </c>
      <c r="AM187" t="str">
        <f t="shared" si="12"/>
        <v>0-1000</v>
      </c>
    </row>
    <row r="188" spans="1:39" x14ac:dyDescent="0.2">
      <c r="A188" s="44">
        <v>43771</v>
      </c>
      <c r="B188" s="60">
        <v>0.37291666666666662</v>
      </c>
      <c r="C188" s="60"/>
      <c r="D188" s="60" t="s">
        <v>96</v>
      </c>
      <c r="E188" s="13">
        <v>2</v>
      </c>
      <c r="F188" s="38" t="str">
        <f>VLOOKUP(E188,[1]Key!$A$17:$B$21,2,FALSE)</f>
        <v>Road Vehicle</v>
      </c>
      <c r="G188" s="61">
        <v>4</v>
      </c>
      <c r="H188" s="39" t="str">
        <f>VLOOKUP(G188,[1]Key!$A$2:$B$13,2,FALSE)</f>
        <v>Minibus</v>
      </c>
      <c r="I188" s="13" t="s">
        <v>108</v>
      </c>
      <c r="J188" s="13">
        <v>2</v>
      </c>
      <c r="K188" s="40" t="str">
        <f>VLOOKUP(J188,[1]Key!$A$24:$B$29,2,FALSE)</f>
        <v>30-39</v>
      </c>
      <c r="L188" s="13" t="s">
        <v>233</v>
      </c>
      <c r="M188" s="23" t="s">
        <v>150</v>
      </c>
      <c r="N188" s="13" t="s">
        <v>151</v>
      </c>
      <c r="O188" s="45">
        <v>2</v>
      </c>
      <c r="P188" s="30" t="str">
        <f>VLOOKUP(O188,[1]Key!$E$2:$F$9,2,FALSE)</f>
        <v>Work</v>
      </c>
      <c r="Q188" s="13" t="s">
        <v>159</v>
      </c>
      <c r="R188" s="23" t="s">
        <v>159</v>
      </c>
      <c r="S188" s="13" t="s">
        <v>151</v>
      </c>
      <c r="T188" s="23">
        <v>2</v>
      </c>
      <c r="U188" s="30" t="str">
        <f>VLOOKUP(T188,[1]Key!$E$2:$F$9,2,FALSE)</f>
        <v>Work</v>
      </c>
      <c r="V188" s="30" t="str">
        <f t="shared" si="9"/>
        <v>Work-Work</v>
      </c>
      <c r="W188" s="23">
        <v>45000</v>
      </c>
      <c r="X188" s="62">
        <v>24</v>
      </c>
      <c r="Y188" s="62" t="str">
        <f t="shared" si="10"/>
        <v>20-40</v>
      </c>
      <c r="Z188" s="62">
        <v>5</v>
      </c>
      <c r="AA188" s="62" t="str">
        <f t="shared" si="11"/>
        <v>Over 3.5</v>
      </c>
      <c r="AB188" s="23">
        <v>2</v>
      </c>
      <c r="AC188" s="30" t="str">
        <f>VLOOKUP(AB188,[1]Key!$C$20:$D$29,2,FALSE)</f>
        <v>Manual Labour</v>
      </c>
      <c r="AD188" s="23">
        <v>3</v>
      </c>
      <c r="AE188" s="30" t="str">
        <f>VLOOKUP(AD188,[1]Key!$E$20:$F$24,2,FALSE)</f>
        <v>500,000-750,000</v>
      </c>
      <c r="AF188" s="23">
        <v>5</v>
      </c>
      <c r="AG188" s="62">
        <v>2</v>
      </c>
      <c r="AH188" s="62">
        <v>1</v>
      </c>
      <c r="AI188" s="62">
        <v>2</v>
      </c>
      <c r="AJ188" s="62">
        <v>1</v>
      </c>
      <c r="AK188" s="45" t="s">
        <v>94</v>
      </c>
      <c r="AL188" s="36">
        <v>1000</v>
      </c>
      <c r="AM188" t="str">
        <f t="shared" si="12"/>
        <v>1000-2000</v>
      </c>
    </row>
    <row r="189" spans="1:39" x14ac:dyDescent="0.2">
      <c r="A189" s="44">
        <v>43771</v>
      </c>
      <c r="B189" s="60">
        <v>0.39027777777777778</v>
      </c>
      <c r="C189" s="60"/>
      <c r="D189" s="60" t="s">
        <v>96</v>
      </c>
      <c r="E189" s="13">
        <v>2</v>
      </c>
      <c r="F189" s="38" t="str">
        <f>VLOOKUP(E189,[1]Key!$A$17:$B$21,2,FALSE)</f>
        <v>Road Vehicle</v>
      </c>
      <c r="G189" s="61">
        <v>4</v>
      </c>
      <c r="H189" s="39" t="str">
        <f>VLOOKUP(G189,[1]Key!$A$2:$B$13,2,FALSE)</f>
        <v>Minibus</v>
      </c>
      <c r="I189" s="13" t="s">
        <v>108</v>
      </c>
      <c r="J189" s="13">
        <v>2</v>
      </c>
      <c r="K189" s="40" t="str">
        <f>VLOOKUP(J189,[1]Key!$A$24:$B$29,2,FALSE)</f>
        <v>30-39</v>
      </c>
      <c r="L189" s="13" t="s">
        <v>233</v>
      </c>
      <c r="M189" s="23" t="s">
        <v>150</v>
      </c>
      <c r="N189" s="13" t="s">
        <v>151</v>
      </c>
      <c r="O189" s="45">
        <v>2</v>
      </c>
      <c r="P189" s="30" t="str">
        <f>VLOOKUP(O189,[1]Key!$E$2:$F$9,2,FALSE)</f>
        <v>Work</v>
      </c>
      <c r="Q189" s="13" t="s">
        <v>231</v>
      </c>
      <c r="R189" s="23" t="s">
        <v>202</v>
      </c>
      <c r="S189" s="13" t="s">
        <v>151</v>
      </c>
      <c r="T189" s="23">
        <v>2</v>
      </c>
      <c r="U189" s="30" t="str">
        <f>VLOOKUP(T189,[1]Key!$E$2:$F$9,2,FALSE)</f>
        <v>Work</v>
      </c>
      <c r="V189" s="30" t="str">
        <f t="shared" si="9"/>
        <v>Work-Work</v>
      </c>
      <c r="W189" s="23">
        <v>80000</v>
      </c>
      <c r="X189" s="62">
        <v>250</v>
      </c>
      <c r="Y189" s="62" t="str">
        <f t="shared" si="10"/>
        <v>Over 200</v>
      </c>
      <c r="Z189" s="62">
        <v>4</v>
      </c>
      <c r="AA189" s="62" t="str">
        <f t="shared" si="11"/>
        <v>Over 3.5</v>
      </c>
      <c r="AB189" s="23">
        <v>2</v>
      </c>
      <c r="AC189" s="30" t="str">
        <f>VLOOKUP(AB189,[1]Key!$C$20:$D$29,2,FALSE)</f>
        <v>Manual Labour</v>
      </c>
      <c r="AD189" s="23">
        <v>4</v>
      </c>
      <c r="AE189" s="30" t="str">
        <f>VLOOKUP(AD189,[1]Key!$E$20:$F$24,2,FALSE)</f>
        <v>750,000-1,000,000</v>
      </c>
      <c r="AF189" s="23">
        <v>5</v>
      </c>
      <c r="AG189" s="62">
        <v>1</v>
      </c>
      <c r="AH189" s="62">
        <v>2</v>
      </c>
      <c r="AI189" s="62">
        <v>2</v>
      </c>
      <c r="AJ189" s="62">
        <v>1</v>
      </c>
      <c r="AK189" s="45" t="s">
        <v>94</v>
      </c>
      <c r="AL189" s="36"/>
      <c r="AM189" t="str">
        <f t="shared" si="12"/>
        <v>0-1000</v>
      </c>
    </row>
    <row r="190" spans="1:39" x14ac:dyDescent="0.2">
      <c r="A190" s="44">
        <v>43771</v>
      </c>
      <c r="B190" s="60">
        <v>0.40208333333333335</v>
      </c>
      <c r="C190" s="60"/>
      <c r="D190" s="60" t="s">
        <v>96</v>
      </c>
      <c r="E190" s="13">
        <v>2</v>
      </c>
      <c r="F190" s="38" t="str">
        <f>VLOOKUP(E190,[1]Key!$A$17:$B$21,2,FALSE)</f>
        <v>Road Vehicle</v>
      </c>
      <c r="G190" s="61">
        <v>4</v>
      </c>
      <c r="H190" s="39" t="str">
        <f>VLOOKUP(G190,[1]Key!$A$2:$B$13,2,FALSE)</f>
        <v>Minibus</v>
      </c>
      <c r="I190" s="13" t="s">
        <v>108</v>
      </c>
      <c r="J190" s="13">
        <v>2</v>
      </c>
      <c r="K190" s="40" t="str">
        <f>VLOOKUP(J190,[1]Key!$A$24:$B$29,2,FALSE)</f>
        <v>30-39</v>
      </c>
      <c r="L190" s="13" t="s">
        <v>233</v>
      </c>
      <c r="M190" s="23" t="s">
        <v>150</v>
      </c>
      <c r="N190" s="13" t="s">
        <v>151</v>
      </c>
      <c r="O190" s="45">
        <v>2</v>
      </c>
      <c r="P190" s="30" t="str">
        <f>VLOOKUP(O190,[1]Key!$E$2:$F$9,2,FALSE)</f>
        <v>Work</v>
      </c>
      <c r="Q190" s="13" t="s">
        <v>187</v>
      </c>
      <c r="R190" s="23" t="s">
        <v>187</v>
      </c>
      <c r="S190" s="13" t="s">
        <v>151</v>
      </c>
      <c r="T190" s="23">
        <v>2</v>
      </c>
      <c r="U190" s="30" t="str">
        <f>VLOOKUP(T190,[1]Key!$E$2:$F$9,2,FALSE)</f>
        <v>Work</v>
      </c>
      <c r="V190" s="30" t="str">
        <f t="shared" si="9"/>
        <v>Work-Work</v>
      </c>
      <c r="W190" s="23">
        <v>140000</v>
      </c>
      <c r="X190" s="62">
        <v>100</v>
      </c>
      <c r="Y190" s="62" t="str">
        <f t="shared" si="10"/>
        <v>100-200</v>
      </c>
      <c r="Z190" s="62">
        <v>5</v>
      </c>
      <c r="AA190" s="62" t="str">
        <f t="shared" si="11"/>
        <v>Over 3.5</v>
      </c>
      <c r="AB190" s="23">
        <v>2</v>
      </c>
      <c r="AC190" s="30" t="str">
        <f>VLOOKUP(AB190,[1]Key!$C$20:$D$29,2,FALSE)</f>
        <v>Manual Labour</v>
      </c>
      <c r="AD190" s="23">
        <v>3</v>
      </c>
      <c r="AE190" s="30" t="str">
        <f>VLOOKUP(AD190,[1]Key!$E$20:$F$24,2,FALSE)</f>
        <v>500,000-750,000</v>
      </c>
      <c r="AF190" s="23">
        <v>5</v>
      </c>
      <c r="AG190" s="62">
        <v>1</v>
      </c>
      <c r="AH190" s="62">
        <v>5</v>
      </c>
      <c r="AI190" s="62">
        <v>2</v>
      </c>
      <c r="AJ190" s="62">
        <v>2</v>
      </c>
      <c r="AK190" s="45" t="s">
        <v>94</v>
      </c>
      <c r="AL190" s="36"/>
      <c r="AM190" t="str">
        <f t="shared" si="12"/>
        <v>0-1000</v>
      </c>
    </row>
    <row r="191" spans="1:39" x14ac:dyDescent="0.2">
      <c r="A191" s="44">
        <v>43771</v>
      </c>
      <c r="B191" s="60">
        <v>0.4284722222222222</v>
      </c>
      <c r="C191" s="60"/>
      <c r="D191" s="60" t="s">
        <v>165</v>
      </c>
      <c r="E191" s="13">
        <v>2</v>
      </c>
      <c r="F191" s="38" t="str">
        <f>VLOOKUP(E191,[1]Key!$A$17:$B$21,2,FALSE)</f>
        <v>Road Vehicle</v>
      </c>
      <c r="G191" s="61">
        <v>4</v>
      </c>
      <c r="H191" s="39" t="str">
        <f>VLOOKUP(G191,[1]Key!$A$2:$B$13,2,FALSE)</f>
        <v>Minibus</v>
      </c>
      <c r="I191" s="13" t="s">
        <v>108</v>
      </c>
      <c r="J191" s="13">
        <v>2</v>
      </c>
      <c r="K191" s="40" t="str">
        <f>VLOOKUP(J191,[1]Key!$A$24:$B$29,2,FALSE)</f>
        <v>30-39</v>
      </c>
      <c r="L191" s="13" t="s">
        <v>233</v>
      </c>
      <c r="M191" s="23" t="s">
        <v>150</v>
      </c>
      <c r="N191" s="13" t="s">
        <v>151</v>
      </c>
      <c r="O191" s="45">
        <v>2</v>
      </c>
      <c r="P191" s="30" t="str">
        <f>VLOOKUP(O191,[1]Key!$E$2:$F$9,2,FALSE)</f>
        <v>Work</v>
      </c>
      <c r="Q191" s="13" t="s">
        <v>324</v>
      </c>
      <c r="R191" s="23" t="s">
        <v>325</v>
      </c>
      <c r="S191" s="13" t="s">
        <v>151</v>
      </c>
      <c r="T191" s="23">
        <v>2</v>
      </c>
      <c r="U191" s="30" t="str">
        <f>VLOOKUP(T191,[1]Key!$E$2:$F$9,2,FALSE)</f>
        <v>Work</v>
      </c>
      <c r="V191" s="30" t="str">
        <f t="shared" si="9"/>
        <v>Work-Work</v>
      </c>
      <c r="W191" s="23">
        <v>9000</v>
      </c>
      <c r="X191" s="62">
        <v>80</v>
      </c>
      <c r="Y191" s="62" t="str">
        <f t="shared" si="10"/>
        <v>70-100</v>
      </c>
      <c r="Z191" s="62">
        <v>4</v>
      </c>
      <c r="AA191" s="62" t="str">
        <f t="shared" si="11"/>
        <v>Over 3.5</v>
      </c>
      <c r="AB191" s="23">
        <v>6</v>
      </c>
      <c r="AC191" s="30" t="str">
        <f>VLOOKUP(AB191,[1]Key!$C$20:$D$29,2,FALSE)</f>
        <v>Businessman</v>
      </c>
      <c r="AD191" s="23">
        <v>4</v>
      </c>
      <c r="AE191" s="30" t="str">
        <f>VLOOKUP(AD191,[1]Key!$E$20:$F$24,2,FALSE)</f>
        <v>750,000-1,000,000</v>
      </c>
      <c r="AF191" s="23">
        <v>5</v>
      </c>
      <c r="AG191" s="62">
        <v>1</v>
      </c>
      <c r="AH191" s="62">
        <v>2</v>
      </c>
      <c r="AI191" s="62">
        <v>1</v>
      </c>
      <c r="AJ191" s="62">
        <v>2</v>
      </c>
      <c r="AK191" s="45" t="s">
        <v>94</v>
      </c>
      <c r="AL191" s="36">
        <v>1000</v>
      </c>
      <c r="AM191" t="str">
        <f t="shared" si="12"/>
        <v>1000-2000</v>
      </c>
    </row>
    <row r="192" spans="1:39" x14ac:dyDescent="0.2">
      <c r="A192" s="44">
        <v>43771</v>
      </c>
      <c r="B192" s="60">
        <v>0.45624999999999999</v>
      </c>
      <c r="C192" s="60"/>
      <c r="D192" s="60" t="s">
        <v>96</v>
      </c>
      <c r="E192" s="13">
        <v>2</v>
      </c>
      <c r="F192" s="38" t="str">
        <f>VLOOKUP(E192,[1]Key!$A$17:$B$21,2,FALSE)</f>
        <v>Road Vehicle</v>
      </c>
      <c r="G192" s="61">
        <v>4</v>
      </c>
      <c r="H192" s="39" t="str">
        <f>VLOOKUP(G192,[1]Key!$A$2:$B$13,2,FALSE)</f>
        <v>Minibus</v>
      </c>
      <c r="I192" s="13" t="s">
        <v>108</v>
      </c>
      <c r="J192" s="13">
        <v>2</v>
      </c>
      <c r="K192" s="40" t="str">
        <f>VLOOKUP(J192,[1]Key!$A$24:$B$29,2,FALSE)</f>
        <v>30-39</v>
      </c>
      <c r="L192" s="13" t="s">
        <v>233</v>
      </c>
      <c r="M192" s="23" t="s">
        <v>150</v>
      </c>
      <c r="N192" s="13" t="s">
        <v>151</v>
      </c>
      <c r="O192" s="45">
        <v>2</v>
      </c>
      <c r="P192" s="30" t="str">
        <f>VLOOKUP(O192,[1]Key!$E$2:$F$9,2,FALSE)</f>
        <v>Work</v>
      </c>
      <c r="Q192" s="13" t="s">
        <v>326</v>
      </c>
      <c r="R192" s="23" t="s">
        <v>159</v>
      </c>
      <c r="S192" s="13" t="s">
        <v>151</v>
      </c>
      <c r="T192" s="23">
        <v>2</v>
      </c>
      <c r="U192" s="30" t="str">
        <f>VLOOKUP(T192,[1]Key!$E$2:$F$9,2,FALSE)</f>
        <v>Work</v>
      </c>
      <c r="V192" s="30" t="str">
        <f t="shared" si="9"/>
        <v>Work-Work</v>
      </c>
      <c r="W192" s="23">
        <v>80000</v>
      </c>
      <c r="X192" s="62">
        <v>48.3</v>
      </c>
      <c r="Y192" s="62" t="str">
        <f t="shared" si="10"/>
        <v>40-70</v>
      </c>
      <c r="Z192" s="62">
        <v>3</v>
      </c>
      <c r="AA192" s="62" t="str">
        <f t="shared" si="11"/>
        <v>2.0-3.5</v>
      </c>
      <c r="AB192" s="23">
        <v>2</v>
      </c>
      <c r="AC192" s="30" t="str">
        <f>VLOOKUP(AB192,[1]Key!$C$20:$D$29,2,FALSE)</f>
        <v>Manual Labour</v>
      </c>
      <c r="AD192" s="23">
        <v>4</v>
      </c>
      <c r="AE192" s="30" t="str">
        <f>VLOOKUP(AD192,[1]Key!$E$20:$F$24,2,FALSE)</f>
        <v>750,000-1,000,000</v>
      </c>
      <c r="AF192" s="23">
        <v>5</v>
      </c>
      <c r="AG192" s="62">
        <v>1</v>
      </c>
      <c r="AH192" s="62">
        <v>2</v>
      </c>
      <c r="AI192" s="62">
        <v>2</v>
      </c>
      <c r="AJ192" s="62">
        <v>1</v>
      </c>
      <c r="AK192" s="45" t="s">
        <v>94</v>
      </c>
      <c r="AL192" s="36">
        <v>1000</v>
      </c>
      <c r="AM192" t="str">
        <f t="shared" si="12"/>
        <v>1000-2000</v>
      </c>
    </row>
    <row r="193" spans="1:46" x14ac:dyDescent="0.2">
      <c r="A193" s="44">
        <v>43771</v>
      </c>
      <c r="B193" s="60">
        <v>0.49722222222222223</v>
      </c>
      <c r="C193" s="60"/>
      <c r="D193" s="60" t="s">
        <v>165</v>
      </c>
      <c r="E193" s="13">
        <v>2</v>
      </c>
      <c r="F193" s="38" t="str">
        <f>VLOOKUP(E193,[1]Key!$A$17:$B$21,2,FALSE)</f>
        <v>Road Vehicle</v>
      </c>
      <c r="G193" s="61">
        <v>4</v>
      </c>
      <c r="H193" s="39" t="str">
        <f>VLOOKUP(G193,[1]Key!$A$2:$B$13,2,FALSE)</f>
        <v>Minibus</v>
      </c>
      <c r="I193" s="13" t="s">
        <v>108</v>
      </c>
      <c r="J193" s="13">
        <v>2</v>
      </c>
      <c r="K193" s="40" t="str">
        <f>VLOOKUP(J193,[1]Key!$A$24:$B$29,2,FALSE)</f>
        <v>30-39</v>
      </c>
      <c r="L193" s="13" t="s">
        <v>233</v>
      </c>
      <c r="M193" s="23" t="s">
        <v>150</v>
      </c>
      <c r="N193" s="13" t="s">
        <v>151</v>
      </c>
      <c r="O193" s="45">
        <v>2</v>
      </c>
      <c r="P193" s="30" t="str">
        <f>VLOOKUP(O193,[1]Key!$E$2:$F$9,2,FALSE)</f>
        <v>Work</v>
      </c>
      <c r="Q193" s="13" t="s">
        <v>313</v>
      </c>
      <c r="R193" s="23" t="s">
        <v>150</v>
      </c>
      <c r="S193" s="13" t="s">
        <v>151</v>
      </c>
      <c r="T193" s="23">
        <v>2</v>
      </c>
      <c r="U193" s="30" t="str">
        <f>VLOOKUP(T193,[1]Key!$E$2:$F$9,2,FALSE)</f>
        <v>Work</v>
      </c>
      <c r="V193" s="30" t="str">
        <f t="shared" si="9"/>
        <v>Work-Work</v>
      </c>
      <c r="W193" s="23">
        <v>1500</v>
      </c>
      <c r="X193" s="62">
        <v>70</v>
      </c>
      <c r="Y193" s="62" t="str">
        <f t="shared" si="10"/>
        <v>70-100</v>
      </c>
      <c r="Z193" s="62">
        <v>0.2</v>
      </c>
      <c r="AA193" s="62" t="str">
        <f t="shared" si="11"/>
        <v>0-0.5</v>
      </c>
      <c r="AB193" s="23">
        <v>6</v>
      </c>
      <c r="AC193" s="30" t="str">
        <f>VLOOKUP(AB193,[1]Key!$C$20:$D$29,2,FALSE)</f>
        <v>Businessman</v>
      </c>
      <c r="AD193" s="23">
        <v>2</v>
      </c>
      <c r="AE193" s="30" t="str">
        <f>VLOOKUP(AD193,[1]Key!$E$20:$F$24,2,FALSE)</f>
        <v>300,000-500,000</v>
      </c>
      <c r="AF193" s="23">
        <v>5</v>
      </c>
      <c r="AG193" s="62">
        <v>1</v>
      </c>
      <c r="AH193" s="62">
        <v>1</v>
      </c>
      <c r="AI193" s="62">
        <v>2</v>
      </c>
      <c r="AJ193" s="62">
        <v>1</v>
      </c>
      <c r="AK193" s="45" t="s">
        <v>94</v>
      </c>
      <c r="AL193" s="36">
        <v>1000</v>
      </c>
      <c r="AM193" t="str">
        <f t="shared" si="12"/>
        <v>1000-2000</v>
      </c>
    </row>
    <row r="194" spans="1:46" x14ac:dyDescent="0.2">
      <c r="A194" s="44">
        <v>43771</v>
      </c>
      <c r="B194" s="60">
        <v>0.51041666666666663</v>
      </c>
      <c r="C194" s="60"/>
      <c r="D194" s="60" t="s">
        <v>96</v>
      </c>
      <c r="E194" s="13">
        <v>2</v>
      </c>
      <c r="F194" s="38" t="str">
        <f>VLOOKUP(E194,[1]Key!$A$17:$B$21,2,FALSE)</f>
        <v>Road Vehicle</v>
      </c>
      <c r="G194" s="61">
        <v>4</v>
      </c>
      <c r="H194" s="39" t="str">
        <f>VLOOKUP(G194,[1]Key!$A$2:$B$13,2,FALSE)</f>
        <v>Minibus</v>
      </c>
      <c r="I194" s="13" t="s">
        <v>108</v>
      </c>
      <c r="J194" s="13">
        <v>2</v>
      </c>
      <c r="K194" s="40" t="str">
        <f>VLOOKUP(J194,[1]Key!$A$24:$B$29,2,FALSE)</f>
        <v>30-39</v>
      </c>
      <c r="L194" s="13" t="s">
        <v>233</v>
      </c>
      <c r="M194" s="23" t="s">
        <v>150</v>
      </c>
      <c r="N194" s="13" t="s">
        <v>151</v>
      </c>
      <c r="O194" s="45">
        <v>2</v>
      </c>
      <c r="P194" s="30" t="str">
        <f>VLOOKUP(O194,[1]Key!$E$2:$F$9,2,FALSE)</f>
        <v>Work</v>
      </c>
      <c r="Q194" s="13" t="s">
        <v>190</v>
      </c>
      <c r="R194" s="23" t="s">
        <v>190</v>
      </c>
      <c r="S194" s="13" t="s">
        <v>151</v>
      </c>
      <c r="T194" s="23">
        <v>2</v>
      </c>
      <c r="U194" s="30" t="str">
        <f>VLOOKUP(T194,[1]Key!$E$2:$F$9,2,FALSE)</f>
        <v>Work</v>
      </c>
      <c r="V194" s="30" t="str">
        <f t="shared" ref="V194:V257" si="13">P194&amp;"-"&amp;U194</f>
        <v>Work-Work</v>
      </c>
      <c r="W194" s="23">
        <v>120000</v>
      </c>
      <c r="X194" s="62">
        <v>72.400000000000006</v>
      </c>
      <c r="Y194" s="62" t="str">
        <f t="shared" si="10"/>
        <v>70-100</v>
      </c>
      <c r="Z194" s="62">
        <v>2</v>
      </c>
      <c r="AA194" s="62" t="str">
        <f t="shared" si="11"/>
        <v>2.0-3.5</v>
      </c>
      <c r="AB194" s="23">
        <v>2</v>
      </c>
      <c r="AC194" s="30" t="str">
        <f>VLOOKUP(AB194,[1]Key!$C$20:$D$29,2,FALSE)</f>
        <v>Manual Labour</v>
      </c>
      <c r="AD194" s="23">
        <v>4</v>
      </c>
      <c r="AE194" s="30" t="str">
        <f>VLOOKUP(AD194,[1]Key!$E$20:$F$24,2,FALSE)</f>
        <v>750,000-1,000,000</v>
      </c>
      <c r="AF194" s="23">
        <v>4</v>
      </c>
      <c r="AG194" s="62">
        <v>1</v>
      </c>
      <c r="AH194" s="62">
        <v>2</v>
      </c>
      <c r="AI194" s="62">
        <v>1</v>
      </c>
      <c r="AJ194" s="62">
        <v>2</v>
      </c>
      <c r="AK194" s="45" t="s">
        <v>94</v>
      </c>
      <c r="AL194" s="36">
        <v>1000</v>
      </c>
      <c r="AM194" t="str">
        <f t="shared" si="12"/>
        <v>1000-2000</v>
      </c>
    </row>
    <row r="195" spans="1:46" x14ac:dyDescent="0.2">
      <c r="A195" s="44">
        <v>43771</v>
      </c>
      <c r="B195" s="60">
        <v>0.53472222222222221</v>
      </c>
      <c r="C195" s="60"/>
      <c r="D195" s="60" t="s">
        <v>96</v>
      </c>
      <c r="E195" s="13">
        <v>2</v>
      </c>
      <c r="F195" s="38" t="str">
        <f>VLOOKUP(E195,[1]Key!$A$17:$B$21,2,FALSE)</f>
        <v>Road Vehicle</v>
      </c>
      <c r="G195" s="61">
        <v>4</v>
      </c>
      <c r="H195" s="39" t="str">
        <f>VLOOKUP(G195,[1]Key!$A$2:$B$13,2,FALSE)</f>
        <v>Minibus</v>
      </c>
      <c r="I195" s="13" t="s">
        <v>108</v>
      </c>
      <c r="J195" s="13">
        <v>2</v>
      </c>
      <c r="K195" s="40" t="str">
        <f>VLOOKUP(J195,[1]Key!$A$24:$B$29,2,FALSE)</f>
        <v>30-39</v>
      </c>
      <c r="L195" s="13" t="s">
        <v>233</v>
      </c>
      <c r="M195" s="23" t="s">
        <v>150</v>
      </c>
      <c r="N195" s="13" t="s">
        <v>151</v>
      </c>
      <c r="O195" s="45">
        <v>2</v>
      </c>
      <c r="P195" s="30" t="str">
        <f>VLOOKUP(O195,[1]Key!$E$2:$F$9,2,FALSE)</f>
        <v>Work</v>
      </c>
      <c r="Q195" s="13" t="s">
        <v>327</v>
      </c>
      <c r="R195" s="23" t="s">
        <v>308</v>
      </c>
      <c r="S195" s="13" t="s">
        <v>151</v>
      </c>
      <c r="T195" s="23">
        <v>2</v>
      </c>
      <c r="U195" s="30" t="str">
        <f>VLOOKUP(T195,[1]Key!$E$2:$F$9,2,FALSE)</f>
        <v>Work</v>
      </c>
      <c r="V195" s="30" t="str">
        <f t="shared" si="13"/>
        <v>Work-Work</v>
      </c>
      <c r="W195" s="23">
        <v>200000</v>
      </c>
      <c r="X195" s="62">
        <v>500</v>
      </c>
      <c r="Y195" s="62" t="str">
        <f t="shared" ref="Y195:Y258" si="14">IF(X195&lt;10,"0-10",IF(X195&lt;20,"10-20",IF(X195&lt;40,"20-40",IF(X195&lt;70,"40-70",IF(X195&lt;100,"70-100",IF(X195&lt;200,"100-200","Over 200"))))))</f>
        <v>Over 200</v>
      </c>
      <c r="Z195" s="62">
        <v>10</v>
      </c>
      <c r="AA195" s="62" t="str">
        <f t="shared" ref="AA195:AA258" si="15">IF(Z195&lt;0.5,"0-0.5",IF(Z195&lt;1,"0.5-1.0",IF(Z195&lt;2,"1.0-2.0",IF(Z195&lt;3.5,"2.0-3.5","Over 3.5"))))</f>
        <v>Over 3.5</v>
      </c>
      <c r="AB195" s="23">
        <v>2</v>
      </c>
      <c r="AC195" s="30" t="str">
        <f>VLOOKUP(AB195,[1]Key!$C$20:$D$29,2,FALSE)</f>
        <v>Manual Labour</v>
      </c>
      <c r="AD195" s="23">
        <v>5</v>
      </c>
      <c r="AE195" s="30" t="str">
        <f>VLOOKUP(AD195,[1]Key!$E$20:$F$24,2,FALSE)</f>
        <v>&gt;1,000,000</v>
      </c>
      <c r="AF195" s="23">
        <v>5</v>
      </c>
      <c r="AG195" s="62">
        <v>1</v>
      </c>
      <c r="AH195" s="62">
        <v>2</v>
      </c>
      <c r="AI195" s="62">
        <v>2</v>
      </c>
      <c r="AJ195" s="62">
        <v>1</v>
      </c>
      <c r="AK195" s="45" t="s">
        <v>94</v>
      </c>
      <c r="AL195" s="36">
        <v>2000</v>
      </c>
      <c r="AM195" t="str">
        <f t="shared" ref="AM195:AM258" si="16">IF(AL195&lt;1000,"0-1000",IF(AL195&lt;2000,"1000-2000",IF(AL195&lt;3000,"2000-3000",IF(AL195&lt;5000,"3000-5000",IF(AL195&lt;10000,"5000-10000","Over 10000")))))</f>
        <v>2000-3000</v>
      </c>
    </row>
    <row r="196" spans="1:46" x14ac:dyDescent="0.2">
      <c r="A196" s="44">
        <v>43771</v>
      </c>
      <c r="B196" s="60">
        <v>0.54861111111111105</v>
      </c>
      <c r="C196" s="60"/>
      <c r="D196" s="60" t="s">
        <v>96</v>
      </c>
      <c r="E196" s="13">
        <v>2</v>
      </c>
      <c r="F196" s="38" t="str">
        <f>VLOOKUP(E196,[1]Key!$A$17:$B$21,2,FALSE)</f>
        <v>Road Vehicle</v>
      </c>
      <c r="G196" s="61">
        <v>4</v>
      </c>
      <c r="H196" s="39" t="str">
        <f>VLOOKUP(G196,[1]Key!$A$2:$B$13,2,FALSE)</f>
        <v>Minibus</v>
      </c>
      <c r="I196" s="13" t="s">
        <v>108</v>
      </c>
      <c r="J196" s="13">
        <v>2</v>
      </c>
      <c r="K196" s="40" t="str">
        <f>VLOOKUP(J196,[1]Key!$A$24:$B$29,2,FALSE)</f>
        <v>30-39</v>
      </c>
      <c r="L196" s="13" t="s">
        <v>233</v>
      </c>
      <c r="M196" s="23" t="s">
        <v>150</v>
      </c>
      <c r="N196" s="13" t="s">
        <v>151</v>
      </c>
      <c r="O196" s="45">
        <v>2</v>
      </c>
      <c r="P196" s="30" t="str">
        <f>VLOOKUP(O196,[1]Key!$E$2:$F$9,2,FALSE)</f>
        <v>Work</v>
      </c>
      <c r="Q196" s="13" t="s">
        <v>328</v>
      </c>
      <c r="R196" s="23" t="s">
        <v>150</v>
      </c>
      <c r="S196" s="13" t="s">
        <v>151</v>
      </c>
      <c r="T196" s="23">
        <v>2</v>
      </c>
      <c r="U196" s="30" t="str">
        <f>VLOOKUP(T196,[1]Key!$E$2:$F$9,2,FALSE)</f>
        <v>Work</v>
      </c>
      <c r="V196" s="30" t="str">
        <f t="shared" si="13"/>
        <v>Work-Work</v>
      </c>
      <c r="W196" s="23">
        <v>12000</v>
      </c>
      <c r="X196" s="62">
        <v>5</v>
      </c>
      <c r="Y196" s="62" t="str">
        <f t="shared" si="14"/>
        <v>0-10</v>
      </c>
      <c r="Z196" s="62">
        <v>0.5</v>
      </c>
      <c r="AA196" s="62" t="str">
        <f t="shared" si="15"/>
        <v>0.5-1.0</v>
      </c>
      <c r="AB196" s="23">
        <v>2</v>
      </c>
      <c r="AC196" s="30" t="str">
        <f>VLOOKUP(AB196,[1]Key!$C$20:$D$29,2,FALSE)</f>
        <v>Manual Labour</v>
      </c>
      <c r="AD196" s="23">
        <v>4</v>
      </c>
      <c r="AE196" s="30" t="str">
        <f>VLOOKUP(AD196,[1]Key!$E$20:$F$24,2,FALSE)</f>
        <v>750,000-1,000,000</v>
      </c>
      <c r="AF196" s="23">
        <v>2</v>
      </c>
      <c r="AG196" s="62">
        <v>1</v>
      </c>
      <c r="AH196" s="62">
        <v>1</v>
      </c>
      <c r="AI196" s="62">
        <v>2</v>
      </c>
      <c r="AJ196" s="62">
        <v>1</v>
      </c>
      <c r="AK196" s="45" t="s">
        <v>94</v>
      </c>
      <c r="AL196" s="36">
        <v>1000</v>
      </c>
      <c r="AM196" t="str">
        <f t="shared" si="16"/>
        <v>1000-2000</v>
      </c>
    </row>
    <row r="197" spans="1:46" x14ac:dyDescent="0.2">
      <c r="A197" s="44">
        <v>43771</v>
      </c>
      <c r="B197" s="60">
        <v>0.68680555555555556</v>
      </c>
      <c r="C197" s="60"/>
      <c r="D197" s="60" t="s">
        <v>96</v>
      </c>
      <c r="E197" s="13">
        <v>2</v>
      </c>
      <c r="F197" s="38" t="str">
        <f>VLOOKUP(E197,[1]Key!$A$17:$B$21,2,FALSE)</f>
        <v>Road Vehicle</v>
      </c>
      <c r="G197" s="61">
        <v>4</v>
      </c>
      <c r="H197" s="39" t="str">
        <f>VLOOKUP(G197,[1]Key!$A$2:$B$13,2,FALSE)</f>
        <v>Minibus</v>
      </c>
      <c r="I197" s="13" t="s">
        <v>108</v>
      </c>
      <c r="J197" s="13">
        <v>2</v>
      </c>
      <c r="K197" s="40" t="str">
        <f>VLOOKUP(J197,[1]Key!$A$24:$B$29,2,FALSE)</f>
        <v>30-39</v>
      </c>
      <c r="L197" s="13" t="s">
        <v>233</v>
      </c>
      <c r="M197" s="23" t="s">
        <v>150</v>
      </c>
      <c r="N197" s="13" t="s">
        <v>151</v>
      </c>
      <c r="O197" s="45">
        <v>2</v>
      </c>
      <c r="P197" s="30" t="str">
        <f>VLOOKUP(O197,[1]Key!$E$2:$F$9,2,FALSE)</f>
        <v>Work</v>
      </c>
      <c r="Q197" s="13" t="s">
        <v>329</v>
      </c>
      <c r="R197" s="23" t="s">
        <v>159</v>
      </c>
      <c r="S197" s="13" t="s">
        <v>151</v>
      </c>
      <c r="T197" s="23">
        <v>2</v>
      </c>
      <c r="U197" s="30" t="str">
        <f>VLOOKUP(T197,[1]Key!$E$2:$F$9,2,FALSE)</f>
        <v>Work</v>
      </c>
      <c r="V197" s="30" t="str">
        <f t="shared" si="13"/>
        <v>Work-Work</v>
      </c>
      <c r="W197" s="23">
        <v>45000</v>
      </c>
      <c r="X197" s="62">
        <v>1000</v>
      </c>
      <c r="Y197" s="62" t="str">
        <f t="shared" si="14"/>
        <v>Over 200</v>
      </c>
      <c r="Z197" s="62">
        <v>4</v>
      </c>
      <c r="AA197" s="62" t="str">
        <f t="shared" si="15"/>
        <v>Over 3.5</v>
      </c>
      <c r="AB197" s="23">
        <v>2</v>
      </c>
      <c r="AC197" s="30" t="str">
        <f>VLOOKUP(AB197,[1]Key!$C$20:$D$29,2,FALSE)</f>
        <v>Manual Labour</v>
      </c>
      <c r="AD197" s="23">
        <v>4</v>
      </c>
      <c r="AE197" s="30" t="str">
        <f>VLOOKUP(AD197,[1]Key!$E$20:$F$24,2,FALSE)</f>
        <v>750,000-1,000,000</v>
      </c>
      <c r="AF197" s="23">
        <v>5</v>
      </c>
      <c r="AG197" s="62">
        <v>2</v>
      </c>
      <c r="AH197" s="62">
        <v>1</v>
      </c>
      <c r="AI197" s="62">
        <v>2</v>
      </c>
      <c r="AJ197" s="62">
        <v>1</v>
      </c>
      <c r="AK197" s="45" t="s">
        <v>94</v>
      </c>
      <c r="AL197" s="36">
        <v>1000</v>
      </c>
      <c r="AM197" t="str">
        <f t="shared" si="16"/>
        <v>1000-2000</v>
      </c>
    </row>
    <row r="198" spans="1:46" x14ac:dyDescent="0.2">
      <c r="A198" s="44">
        <v>43771</v>
      </c>
      <c r="B198" s="60">
        <v>0.69236111111111109</v>
      </c>
      <c r="C198" s="60"/>
      <c r="D198" s="60" t="s">
        <v>96</v>
      </c>
      <c r="E198" s="13">
        <v>2</v>
      </c>
      <c r="F198" s="38" t="str">
        <f>VLOOKUP(E198,[1]Key!$A$17:$B$21,2,FALSE)</f>
        <v>Road Vehicle</v>
      </c>
      <c r="G198" s="61">
        <v>4</v>
      </c>
      <c r="H198" s="39" t="str">
        <f>VLOOKUP(G198,[1]Key!$A$2:$B$13,2,FALSE)</f>
        <v>Minibus</v>
      </c>
      <c r="I198" s="13" t="s">
        <v>108</v>
      </c>
      <c r="J198" s="13">
        <v>2</v>
      </c>
      <c r="K198" s="40" t="str">
        <f>VLOOKUP(J198,[1]Key!$A$24:$B$29,2,FALSE)</f>
        <v>30-39</v>
      </c>
      <c r="L198" s="13" t="s">
        <v>233</v>
      </c>
      <c r="M198" s="23" t="s">
        <v>150</v>
      </c>
      <c r="N198" s="13" t="s">
        <v>151</v>
      </c>
      <c r="O198" s="45">
        <v>2</v>
      </c>
      <c r="P198" s="30" t="str">
        <f>VLOOKUP(O198,[1]Key!$E$2:$F$9,2,FALSE)</f>
        <v>Work</v>
      </c>
      <c r="Q198" s="13" t="s">
        <v>330</v>
      </c>
      <c r="R198" s="23" t="s">
        <v>150</v>
      </c>
      <c r="S198" s="13" t="s">
        <v>151</v>
      </c>
      <c r="T198" s="23">
        <v>2</v>
      </c>
      <c r="U198" s="30" t="str">
        <f>VLOOKUP(T198,[1]Key!$E$2:$F$9,2,FALSE)</f>
        <v>Work</v>
      </c>
      <c r="V198" s="30" t="str">
        <f t="shared" si="13"/>
        <v>Work-Work</v>
      </c>
      <c r="W198" s="23">
        <v>20000</v>
      </c>
      <c r="X198" s="62">
        <v>29</v>
      </c>
      <c r="Y198" s="62" t="str">
        <f t="shared" si="14"/>
        <v>20-40</v>
      </c>
      <c r="Z198" s="62">
        <v>0.8</v>
      </c>
      <c r="AA198" s="62" t="str">
        <f t="shared" si="15"/>
        <v>0.5-1.0</v>
      </c>
      <c r="AB198" s="23">
        <v>5</v>
      </c>
      <c r="AC198" s="30" t="str">
        <f>VLOOKUP(AB198,[1]Key!$C$20:$D$29,2,FALSE)</f>
        <v>Professional</v>
      </c>
      <c r="AD198" s="23">
        <v>4</v>
      </c>
      <c r="AE198" s="30" t="str">
        <f>VLOOKUP(AD198,[1]Key!$E$20:$F$24,2,FALSE)</f>
        <v>750,000-1,000,000</v>
      </c>
      <c r="AF198" s="23">
        <v>5</v>
      </c>
      <c r="AG198" s="62">
        <v>1</v>
      </c>
      <c r="AH198" s="62">
        <v>2</v>
      </c>
      <c r="AI198" s="62">
        <v>2</v>
      </c>
      <c r="AJ198" s="62">
        <v>1</v>
      </c>
      <c r="AK198" s="45" t="s">
        <v>94</v>
      </c>
      <c r="AL198" s="36">
        <v>1000</v>
      </c>
      <c r="AM198" t="str">
        <f t="shared" si="16"/>
        <v>1000-2000</v>
      </c>
    </row>
    <row r="199" spans="1:46" x14ac:dyDescent="0.2">
      <c r="A199" s="44">
        <v>43771</v>
      </c>
      <c r="B199" s="60">
        <v>0.7402777777777777</v>
      </c>
      <c r="C199" s="60"/>
      <c r="D199" s="60" t="s">
        <v>96</v>
      </c>
      <c r="E199" s="13">
        <v>2</v>
      </c>
      <c r="F199" s="38" t="str">
        <f>VLOOKUP(E199,[1]Key!$A$17:$B$21,2,FALSE)</f>
        <v>Road Vehicle</v>
      </c>
      <c r="G199" s="61">
        <v>4</v>
      </c>
      <c r="H199" s="39" t="str">
        <f>VLOOKUP(G199,[1]Key!$A$2:$B$13,2,FALSE)</f>
        <v>Minibus</v>
      </c>
      <c r="I199" s="13" t="s">
        <v>108</v>
      </c>
      <c r="J199" s="13">
        <v>2</v>
      </c>
      <c r="K199" s="40" t="str">
        <f>VLOOKUP(J199,[1]Key!$A$24:$B$29,2,FALSE)</f>
        <v>30-39</v>
      </c>
      <c r="L199" s="13" t="s">
        <v>233</v>
      </c>
      <c r="M199" s="23" t="s">
        <v>150</v>
      </c>
      <c r="N199" s="13" t="s">
        <v>151</v>
      </c>
      <c r="O199" s="45">
        <v>2</v>
      </c>
      <c r="P199" s="30" t="str">
        <f>VLOOKUP(O199,[1]Key!$E$2:$F$9,2,FALSE)</f>
        <v>Work</v>
      </c>
      <c r="Q199" s="13" t="s">
        <v>236</v>
      </c>
      <c r="R199" s="23" t="s">
        <v>150</v>
      </c>
      <c r="S199" s="13" t="s">
        <v>151</v>
      </c>
      <c r="T199" s="23">
        <v>2</v>
      </c>
      <c r="U199" s="30" t="str">
        <f>VLOOKUP(T199,[1]Key!$E$2:$F$9,2,FALSE)</f>
        <v>Work</v>
      </c>
      <c r="V199" s="30" t="str">
        <f t="shared" si="13"/>
        <v>Work-Work</v>
      </c>
      <c r="W199" s="23">
        <v>20000</v>
      </c>
      <c r="X199" s="62">
        <v>18</v>
      </c>
      <c r="Y199" s="62" t="str">
        <f t="shared" si="14"/>
        <v>10-20</v>
      </c>
      <c r="Z199" s="62">
        <v>0.5</v>
      </c>
      <c r="AA199" s="62" t="str">
        <f t="shared" si="15"/>
        <v>0.5-1.0</v>
      </c>
      <c r="AB199" s="23">
        <v>5</v>
      </c>
      <c r="AC199" s="30" t="str">
        <f>VLOOKUP(AB199,[1]Key!$C$20:$D$29,2,FALSE)</f>
        <v>Professional</v>
      </c>
      <c r="AD199" s="23">
        <v>4</v>
      </c>
      <c r="AE199" s="30" t="str">
        <f>VLOOKUP(AD199,[1]Key!$E$20:$F$24,2,FALSE)</f>
        <v>750,000-1,000,000</v>
      </c>
      <c r="AF199" s="23">
        <v>2</v>
      </c>
      <c r="AG199" s="62">
        <v>1</v>
      </c>
      <c r="AH199" s="62">
        <v>2</v>
      </c>
      <c r="AI199" s="62">
        <v>1</v>
      </c>
      <c r="AJ199" s="62">
        <v>2</v>
      </c>
      <c r="AK199" s="45" t="s">
        <v>94</v>
      </c>
      <c r="AL199" s="36">
        <v>500</v>
      </c>
      <c r="AM199" t="str">
        <f t="shared" si="16"/>
        <v>0-1000</v>
      </c>
    </row>
    <row r="200" spans="1:46" x14ac:dyDescent="0.2">
      <c r="A200" s="44">
        <v>43771</v>
      </c>
      <c r="B200" s="60">
        <v>0.29583333333333334</v>
      </c>
      <c r="C200" s="60" t="s">
        <v>331</v>
      </c>
      <c r="D200" s="60" t="s">
        <v>96</v>
      </c>
      <c r="E200" s="13">
        <v>2</v>
      </c>
      <c r="F200" s="38" t="str">
        <f>VLOOKUP(E200,[1]Key!$A$17:$B$21,2,FALSE)</f>
        <v>Road Vehicle</v>
      </c>
      <c r="G200" s="61">
        <v>4</v>
      </c>
      <c r="H200" s="39" t="str">
        <f>VLOOKUP(G200,[1]Key!$A$2:$B$13,2,FALSE)</f>
        <v>Minibus</v>
      </c>
      <c r="I200" s="13" t="s">
        <v>108</v>
      </c>
      <c r="J200" s="13">
        <v>3</v>
      </c>
      <c r="K200" s="40" t="str">
        <f>VLOOKUP(J200,[1]Key!$A$24:$B$29,2,FALSE)</f>
        <v>40-49</v>
      </c>
      <c r="L200" s="63" t="s">
        <v>208</v>
      </c>
      <c r="M200" s="23" t="s">
        <v>150</v>
      </c>
      <c r="N200" s="13" t="s">
        <v>151</v>
      </c>
      <c r="O200" s="45">
        <v>4</v>
      </c>
      <c r="P200" s="30" t="str">
        <f>VLOOKUP(O200,[1]Key!$E$2:$F$9,2,FALSE)</f>
        <v>Commercial</v>
      </c>
      <c r="Q200" s="13" t="s">
        <v>332</v>
      </c>
      <c r="R200" s="23" t="s">
        <v>273</v>
      </c>
      <c r="S200" s="13" t="s">
        <v>151</v>
      </c>
      <c r="T200" s="23">
        <v>4</v>
      </c>
      <c r="U200" s="30" t="str">
        <f>VLOOKUP(T200,[1]Key!$E$2:$F$9,2,FALSE)</f>
        <v>Commercial</v>
      </c>
      <c r="V200" s="30" t="str">
        <f t="shared" si="13"/>
        <v>Commercial-Commercial</v>
      </c>
      <c r="W200" s="41">
        <v>60000</v>
      </c>
      <c r="X200" s="62">
        <v>340</v>
      </c>
      <c r="Y200" s="62" t="str">
        <f t="shared" si="14"/>
        <v>Over 200</v>
      </c>
      <c r="Z200" s="62">
        <v>4</v>
      </c>
      <c r="AA200" s="62" t="str">
        <f t="shared" si="15"/>
        <v>Over 3.5</v>
      </c>
      <c r="AB200" s="23">
        <v>5</v>
      </c>
      <c r="AC200" s="30" t="str">
        <f>VLOOKUP(AB200,[1]Key!$C$20:$D$29,2,FALSE)</f>
        <v>Professional</v>
      </c>
      <c r="AD200" s="23">
        <v>2</v>
      </c>
      <c r="AE200" s="30" t="str">
        <f>VLOOKUP(AD200,[1]Key!$E$20:$F$24,2,FALSE)</f>
        <v>300,000-500,000</v>
      </c>
      <c r="AF200" s="23">
        <v>5</v>
      </c>
      <c r="AG200" s="62">
        <v>4</v>
      </c>
      <c r="AH200" s="62">
        <v>5</v>
      </c>
      <c r="AI200" s="62">
        <v>5</v>
      </c>
      <c r="AJ200" s="62">
        <v>1</v>
      </c>
      <c r="AK200" s="45" t="s">
        <v>94</v>
      </c>
      <c r="AL200" s="36"/>
      <c r="AM200" t="str">
        <f t="shared" si="16"/>
        <v>0-1000</v>
      </c>
      <c r="AN200" s="19"/>
      <c r="AO200" s="19"/>
      <c r="AP200" s="19"/>
      <c r="AQ200" s="19"/>
      <c r="AR200" s="19"/>
      <c r="AS200" s="19"/>
      <c r="AT200" s="19"/>
    </row>
    <row r="201" spans="1:46" x14ac:dyDescent="0.2">
      <c r="A201" s="44">
        <v>43771</v>
      </c>
      <c r="B201" s="60">
        <v>0.32500000000000001</v>
      </c>
      <c r="C201" s="60"/>
      <c r="D201" s="60" t="s">
        <v>165</v>
      </c>
      <c r="E201" s="13">
        <v>2</v>
      </c>
      <c r="F201" s="38" t="str">
        <f>VLOOKUP(E201,[1]Key!$A$17:$B$21,2,FALSE)</f>
        <v>Road Vehicle</v>
      </c>
      <c r="G201" s="61">
        <v>4</v>
      </c>
      <c r="H201" s="39" t="str">
        <f>VLOOKUP(G201,[1]Key!$A$2:$B$13,2,FALSE)</f>
        <v>Minibus</v>
      </c>
      <c r="I201" s="13" t="s">
        <v>108</v>
      </c>
      <c r="J201" s="13">
        <v>3</v>
      </c>
      <c r="K201" s="40" t="str">
        <f>VLOOKUP(J201,[1]Key!$A$24:$B$29,2,FALSE)</f>
        <v>40-49</v>
      </c>
      <c r="L201" s="63" t="s">
        <v>208</v>
      </c>
      <c r="M201" s="23" t="s">
        <v>150</v>
      </c>
      <c r="N201" s="13" t="s">
        <v>151</v>
      </c>
      <c r="O201" s="45">
        <v>4</v>
      </c>
      <c r="P201" s="30" t="str">
        <f>VLOOKUP(O201,[1]Key!$E$2:$F$9,2,FALSE)</f>
        <v>Commercial</v>
      </c>
      <c r="Q201" s="13" t="s">
        <v>333</v>
      </c>
      <c r="R201" s="23" t="s">
        <v>156</v>
      </c>
      <c r="S201" s="13" t="s">
        <v>151</v>
      </c>
      <c r="T201" s="23">
        <v>4</v>
      </c>
      <c r="U201" s="30" t="str">
        <f>VLOOKUP(T201,[1]Key!$E$2:$F$9,2,FALSE)</f>
        <v>Commercial</v>
      </c>
      <c r="V201" s="30" t="str">
        <f t="shared" si="13"/>
        <v>Commercial-Commercial</v>
      </c>
      <c r="W201" s="41">
        <v>20000</v>
      </c>
      <c r="X201" s="62">
        <v>130</v>
      </c>
      <c r="Y201" s="62" t="str">
        <f t="shared" si="14"/>
        <v>100-200</v>
      </c>
      <c r="Z201" s="62">
        <v>2</v>
      </c>
      <c r="AA201" s="62" t="str">
        <f t="shared" si="15"/>
        <v>2.0-3.5</v>
      </c>
      <c r="AB201" s="23">
        <v>6</v>
      </c>
      <c r="AC201" s="30" t="str">
        <f>VLOOKUP(AB201,[1]Key!$C$20:$D$29,2,FALSE)</f>
        <v>Businessman</v>
      </c>
      <c r="AD201" s="23">
        <v>2</v>
      </c>
      <c r="AE201" s="30" t="str">
        <f>VLOOKUP(AD201,[1]Key!$E$20:$F$24,2,FALSE)</f>
        <v>300,000-500,000</v>
      </c>
      <c r="AF201" s="23">
        <v>5</v>
      </c>
      <c r="AG201" s="62">
        <v>4</v>
      </c>
      <c r="AH201" s="62">
        <v>2</v>
      </c>
      <c r="AI201" s="62">
        <v>5</v>
      </c>
      <c r="AJ201" s="62">
        <v>5</v>
      </c>
      <c r="AK201" s="45" t="s">
        <v>94</v>
      </c>
      <c r="AL201" s="36"/>
      <c r="AM201" t="str">
        <f t="shared" si="16"/>
        <v>0-1000</v>
      </c>
    </row>
    <row r="202" spans="1:46" x14ac:dyDescent="0.2">
      <c r="A202" s="44">
        <v>43771</v>
      </c>
      <c r="B202" s="60">
        <v>0.4145833333333333</v>
      </c>
      <c r="C202" s="60" t="s">
        <v>334</v>
      </c>
      <c r="D202" s="60" t="s">
        <v>96</v>
      </c>
      <c r="E202" s="13">
        <v>2</v>
      </c>
      <c r="F202" s="38" t="str">
        <f>VLOOKUP(E202,[1]Key!$A$17:$B$21,2,FALSE)</f>
        <v>Road Vehicle</v>
      </c>
      <c r="G202" s="61">
        <v>4</v>
      </c>
      <c r="H202" s="39" t="str">
        <f>VLOOKUP(G202,[1]Key!$A$2:$B$13,2,FALSE)</f>
        <v>Minibus</v>
      </c>
      <c r="I202" s="13" t="s">
        <v>108</v>
      </c>
      <c r="J202" s="13">
        <v>3</v>
      </c>
      <c r="K202" s="40" t="str">
        <f>VLOOKUP(J202,[1]Key!$A$24:$B$29,2,FALSE)</f>
        <v>40-49</v>
      </c>
      <c r="L202" s="63" t="s">
        <v>208</v>
      </c>
      <c r="M202" s="23" t="s">
        <v>150</v>
      </c>
      <c r="N202" s="13" t="s">
        <v>151</v>
      </c>
      <c r="O202" s="45">
        <v>4</v>
      </c>
      <c r="P202" s="30" t="str">
        <f>VLOOKUP(O202,[1]Key!$E$2:$F$9,2,FALSE)</f>
        <v>Commercial</v>
      </c>
      <c r="Q202" s="13" t="s">
        <v>285</v>
      </c>
      <c r="R202" s="23" t="s">
        <v>156</v>
      </c>
      <c r="S202" s="13" t="s">
        <v>151</v>
      </c>
      <c r="T202" s="23">
        <v>4</v>
      </c>
      <c r="U202" s="30" t="str">
        <f>VLOOKUP(T202,[1]Key!$E$2:$F$9,2,FALSE)</f>
        <v>Commercial</v>
      </c>
      <c r="V202" s="30" t="str">
        <f t="shared" si="13"/>
        <v>Commercial-Commercial</v>
      </c>
      <c r="W202" s="41">
        <v>20000</v>
      </c>
      <c r="X202" s="62">
        <v>20</v>
      </c>
      <c r="Y202" s="62" t="str">
        <f t="shared" si="14"/>
        <v>20-40</v>
      </c>
      <c r="Z202" s="62">
        <v>0.5</v>
      </c>
      <c r="AA202" s="62" t="str">
        <f t="shared" si="15"/>
        <v>0.5-1.0</v>
      </c>
      <c r="AB202" s="23">
        <v>5</v>
      </c>
      <c r="AC202" s="30" t="str">
        <f>VLOOKUP(AB202,[1]Key!$C$20:$D$29,2,FALSE)</f>
        <v>Professional</v>
      </c>
      <c r="AD202" s="23">
        <v>1</v>
      </c>
      <c r="AE202" s="30" t="str">
        <f>VLOOKUP(AD202,[1]Key!$E$20:$F$24,2,FALSE)</f>
        <v>&lt;300,000</v>
      </c>
      <c r="AF202" s="23">
        <v>1</v>
      </c>
      <c r="AG202" s="62">
        <v>2</v>
      </c>
      <c r="AH202" s="62">
        <v>1</v>
      </c>
      <c r="AI202" s="62">
        <v>3</v>
      </c>
      <c r="AJ202" s="62">
        <v>5</v>
      </c>
      <c r="AK202" s="45" t="s">
        <v>94</v>
      </c>
      <c r="AL202" s="36">
        <v>500</v>
      </c>
      <c r="AM202" t="str">
        <f t="shared" si="16"/>
        <v>0-1000</v>
      </c>
    </row>
    <row r="203" spans="1:46" x14ac:dyDescent="0.2">
      <c r="A203" s="44">
        <v>43771</v>
      </c>
      <c r="B203" s="60">
        <v>0.6069444444444444</v>
      </c>
      <c r="C203" s="60" t="s">
        <v>335</v>
      </c>
      <c r="D203" s="60" t="s">
        <v>96</v>
      </c>
      <c r="E203" s="13">
        <v>2</v>
      </c>
      <c r="F203" s="38" t="str">
        <f>VLOOKUP(E203,[1]Key!$A$17:$B$21,2,FALSE)</f>
        <v>Road Vehicle</v>
      </c>
      <c r="G203" s="61">
        <v>4</v>
      </c>
      <c r="H203" s="39" t="str">
        <f>VLOOKUP(G203,[1]Key!$A$2:$B$13,2,FALSE)</f>
        <v>Minibus</v>
      </c>
      <c r="I203" s="13" t="s">
        <v>108</v>
      </c>
      <c r="J203" s="13">
        <v>3</v>
      </c>
      <c r="K203" s="40" t="str">
        <f>VLOOKUP(J203,[1]Key!$A$24:$B$29,2,FALSE)</f>
        <v>40-49</v>
      </c>
      <c r="L203" s="13" t="s">
        <v>208</v>
      </c>
      <c r="M203" s="23" t="s">
        <v>150</v>
      </c>
      <c r="N203" s="13" t="s">
        <v>151</v>
      </c>
      <c r="O203" s="45">
        <v>4</v>
      </c>
      <c r="P203" s="30" t="str">
        <f>VLOOKUP(O203,[1]Key!$E$2:$F$9,2,FALSE)</f>
        <v>Commercial</v>
      </c>
      <c r="Q203" s="13" t="s">
        <v>211</v>
      </c>
      <c r="R203" s="23" t="s">
        <v>156</v>
      </c>
      <c r="S203" s="13" t="s">
        <v>151</v>
      </c>
      <c r="T203" s="23">
        <v>4</v>
      </c>
      <c r="U203" s="30" t="str">
        <f>VLOOKUP(T203,[1]Key!$E$2:$F$9,2,FALSE)</f>
        <v>Commercial</v>
      </c>
      <c r="V203" s="30" t="str">
        <f t="shared" si="13"/>
        <v>Commercial-Commercial</v>
      </c>
      <c r="W203" s="23">
        <v>10000</v>
      </c>
      <c r="X203" s="62">
        <v>20</v>
      </c>
      <c r="Y203" s="62" t="str">
        <f t="shared" si="14"/>
        <v>20-40</v>
      </c>
      <c r="Z203" s="62">
        <v>0.6</v>
      </c>
      <c r="AA203" s="62" t="str">
        <f t="shared" si="15"/>
        <v>0.5-1.0</v>
      </c>
      <c r="AB203" s="23">
        <v>5</v>
      </c>
      <c r="AC203" s="30" t="str">
        <f>VLOOKUP(AB203,[1]Key!$C$20:$D$29,2,FALSE)</f>
        <v>Professional</v>
      </c>
      <c r="AD203" s="23">
        <v>2</v>
      </c>
      <c r="AE203" s="30" t="str">
        <f>VLOOKUP(AD203,[1]Key!$E$20:$F$24,2,FALSE)</f>
        <v>300,000-500,000</v>
      </c>
      <c r="AF203" s="23">
        <v>5</v>
      </c>
      <c r="AG203" s="62">
        <v>5</v>
      </c>
      <c r="AH203" s="62">
        <v>1</v>
      </c>
      <c r="AI203" s="62">
        <v>1</v>
      </c>
      <c r="AJ203" s="62">
        <v>5</v>
      </c>
      <c r="AK203" s="45" t="s">
        <v>94</v>
      </c>
      <c r="AL203" s="36"/>
      <c r="AM203" t="str">
        <f t="shared" si="16"/>
        <v>0-1000</v>
      </c>
    </row>
    <row r="204" spans="1:46" x14ac:dyDescent="0.2">
      <c r="A204" s="44">
        <v>43771</v>
      </c>
      <c r="B204" s="60">
        <v>0.5131944444444444</v>
      </c>
      <c r="C204" s="60"/>
      <c r="D204" s="60" t="s">
        <v>165</v>
      </c>
      <c r="E204" s="13">
        <v>2</v>
      </c>
      <c r="F204" s="38" t="str">
        <f>VLOOKUP(E204,[1]Key!$A$17:$B$21,2,FALSE)</f>
        <v>Road Vehicle</v>
      </c>
      <c r="G204" s="61">
        <v>4</v>
      </c>
      <c r="H204" s="39" t="str">
        <f>VLOOKUP(G204,[1]Key!$A$2:$B$13,2,FALSE)</f>
        <v>Minibus</v>
      </c>
      <c r="I204" s="13" t="s">
        <v>108</v>
      </c>
      <c r="J204" s="13">
        <v>3</v>
      </c>
      <c r="K204" s="40" t="str">
        <f>VLOOKUP(J204,[1]Key!$A$24:$B$29,2,FALSE)</f>
        <v>40-49</v>
      </c>
      <c r="L204" s="13" t="s">
        <v>208</v>
      </c>
      <c r="M204" s="23" t="s">
        <v>150</v>
      </c>
      <c r="N204" s="13" t="s">
        <v>151</v>
      </c>
      <c r="O204" s="45">
        <v>4</v>
      </c>
      <c r="P204" s="30" t="str">
        <f>VLOOKUP(O204,[1]Key!$E$2:$F$9,2,FALSE)</f>
        <v>Commercial</v>
      </c>
      <c r="Q204" s="13" t="s">
        <v>219</v>
      </c>
      <c r="R204" s="23" t="s">
        <v>150</v>
      </c>
      <c r="S204" s="13" t="s">
        <v>151</v>
      </c>
      <c r="T204" s="23">
        <v>1</v>
      </c>
      <c r="U204" s="30" t="str">
        <f>VLOOKUP(T204,[1]Key!$E$2:$F$9,2,FALSE)</f>
        <v>Home</v>
      </c>
      <c r="V204" s="30" t="str">
        <f t="shared" si="13"/>
        <v>Commercial-Home</v>
      </c>
      <c r="W204" s="41">
        <v>1500</v>
      </c>
      <c r="X204" s="62">
        <v>20</v>
      </c>
      <c r="Y204" s="62" t="str">
        <f t="shared" si="14"/>
        <v>20-40</v>
      </c>
      <c r="Z204" s="62">
        <v>0.5</v>
      </c>
      <c r="AA204" s="62" t="str">
        <f t="shared" si="15"/>
        <v>0.5-1.0</v>
      </c>
      <c r="AB204" s="23">
        <v>6</v>
      </c>
      <c r="AC204" s="30" t="str">
        <f>VLOOKUP(AB204,[1]Key!$C$20:$D$29,2,FALSE)</f>
        <v>Businessman</v>
      </c>
      <c r="AD204" s="23">
        <v>2</v>
      </c>
      <c r="AE204" s="30" t="str">
        <f>VLOOKUP(AD204,[1]Key!$E$20:$F$24,2,FALSE)</f>
        <v>300,000-500,000</v>
      </c>
      <c r="AF204" s="23">
        <v>2</v>
      </c>
      <c r="AG204" s="62">
        <v>1</v>
      </c>
      <c r="AH204" s="62">
        <v>2</v>
      </c>
      <c r="AI204" s="62">
        <v>1</v>
      </c>
      <c r="AJ204" s="62">
        <v>1</v>
      </c>
      <c r="AK204" s="45" t="s">
        <v>94</v>
      </c>
      <c r="AL204" s="36">
        <v>1000</v>
      </c>
      <c r="AM204" t="str">
        <f t="shared" si="16"/>
        <v>1000-2000</v>
      </c>
    </row>
    <row r="205" spans="1:46" x14ac:dyDescent="0.2">
      <c r="A205" s="44">
        <v>43771</v>
      </c>
      <c r="B205" s="60">
        <v>0.71875</v>
      </c>
      <c r="C205" s="60"/>
      <c r="D205" s="60" t="s">
        <v>165</v>
      </c>
      <c r="E205" s="13">
        <v>2</v>
      </c>
      <c r="F205" s="38" t="str">
        <f>VLOOKUP(E205,[1]Key!$A$17:$B$21,2,FALSE)</f>
        <v>Road Vehicle</v>
      </c>
      <c r="G205" s="61">
        <v>4</v>
      </c>
      <c r="H205" s="39" t="str">
        <f>VLOOKUP(G205,[1]Key!$A$2:$B$13,2,FALSE)</f>
        <v>Minibus</v>
      </c>
      <c r="I205" s="13" t="s">
        <v>108</v>
      </c>
      <c r="J205" s="13">
        <v>3</v>
      </c>
      <c r="K205" s="40" t="str">
        <f>VLOOKUP(J205,[1]Key!$A$24:$B$29,2,FALSE)</f>
        <v>40-49</v>
      </c>
      <c r="L205" s="13" t="s">
        <v>219</v>
      </c>
      <c r="M205" s="23" t="s">
        <v>150</v>
      </c>
      <c r="N205" s="13" t="s">
        <v>151</v>
      </c>
      <c r="O205" s="45">
        <v>1</v>
      </c>
      <c r="P205" s="30" t="str">
        <f>VLOOKUP(O205,[1]Key!$E$2:$F$9,2,FALSE)</f>
        <v>Home</v>
      </c>
      <c r="Q205" s="13" t="s">
        <v>336</v>
      </c>
      <c r="R205" s="23" t="s">
        <v>150</v>
      </c>
      <c r="S205" s="13" t="s">
        <v>151</v>
      </c>
      <c r="T205" s="23">
        <v>4</v>
      </c>
      <c r="U205" s="30" t="str">
        <f>VLOOKUP(T205,[1]Key!$E$2:$F$9,2,FALSE)</f>
        <v>Commercial</v>
      </c>
      <c r="V205" s="30" t="str">
        <f t="shared" si="13"/>
        <v>Home-Commercial</v>
      </c>
      <c r="W205" s="23">
        <v>2500</v>
      </c>
      <c r="X205" s="62">
        <v>2</v>
      </c>
      <c r="Y205" s="62" t="str">
        <f t="shared" si="14"/>
        <v>0-10</v>
      </c>
      <c r="Z205" s="62">
        <v>0.3</v>
      </c>
      <c r="AA205" s="62" t="str">
        <f t="shared" si="15"/>
        <v>0-0.5</v>
      </c>
      <c r="AB205" s="23">
        <v>6</v>
      </c>
      <c r="AC205" s="30" t="str">
        <f>VLOOKUP(AB205,[1]Key!$C$20:$D$29,2,FALSE)</f>
        <v>Businessman</v>
      </c>
      <c r="AD205" s="23">
        <v>2</v>
      </c>
      <c r="AE205" s="30" t="str">
        <f>VLOOKUP(AD205,[1]Key!$E$20:$F$24,2,FALSE)</f>
        <v>300,000-500,000</v>
      </c>
      <c r="AF205" s="23">
        <v>5</v>
      </c>
      <c r="AG205" s="62">
        <v>1</v>
      </c>
      <c r="AH205" s="62">
        <v>1</v>
      </c>
      <c r="AI205" s="62">
        <v>2</v>
      </c>
      <c r="AJ205" s="62">
        <v>1</v>
      </c>
      <c r="AK205" s="45" t="s">
        <v>94</v>
      </c>
      <c r="AL205" s="36">
        <v>2000</v>
      </c>
      <c r="AM205" t="str">
        <f t="shared" si="16"/>
        <v>2000-3000</v>
      </c>
    </row>
    <row r="206" spans="1:46" x14ac:dyDescent="0.2">
      <c r="A206" s="44">
        <v>43771</v>
      </c>
      <c r="B206" s="60">
        <v>0.30208333333333331</v>
      </c>
      <c r="C206" s="60"/>
      <c r="D206" s="60" t="s">
        <v>165</v>
      </c>
      <c r="E206" s="13">
        <v>2</v>
      </c>
      <c r="F206" s="38" t="str">
        <f>VLOOKUP(E206,[1]Key!$A$17:$B$21,2,FALSE)</f>
        <v>Road Vehicle</v>
      </c>
      <c r="G206" s="61">
        <v>4</v>
      </c>
      <c r="H206" s="39" t="str">
        <f>VLOOKUP(G206,[1]Key!$A$2:$B$13,2,FALSE)</f>
        <v>Minibus</v>
      </c>
      <c r="I206" s="13" t="s">
        <v>108</v>
      </c>
      <c r="J206" s="13">
        <v>3</v>
      </c>
      <c r="K206" s="40" t="str">
        <f>VLOOKUP(J206,[1]Key!$A$24:$B$29,2,FALSE)</f>
        <v>40-49</v>
      </c>
      <c r="L206" s="13" t="s">
        <v>233</v>
      </c>
      <c r="M206" s="23" t="s">
        <v>150</v>
      </c>
      <c r="N206" s="13" t="s">
        <v>151</v>
      </c>
      <c r="O206" s="45">
        <v>2</v>
      </c>
      <c r="P206" s="30" t="str">
        <f>VLOOKUP(O206,[1]Key!$E$2:$F$9,2,FALSE)</f>
        <v>Work</v>
      </c>
      <c r="Q206" s="13" t="s">
        <v>270</v>
      </c>
      <c r="R206" s="23" t="s">
        <v>150</v>
      </c>
      <c r="S206" s="13" t="s">
        <v>151</v>
      </c>
      <c r="T206" s="23">
        <v>1</v>
      </c>
      <c r="U206" s="30" t="str">
        <f>VLOOKUP(T206,[1]Key!$E$2:$F$9,2,FALSE)</f>
        <v>Home</v>
      </c>
      <c r="V206" s="30" t="str">
        <f t="shared" si="13"/>
        <v>Work-Home</v>
      </c>
      <c r="W206" s="23">
        <v>1500</v>
      </c>
      <c r="X206" s="62">
        <v>18</v>
      </c>
      <c r="Y206" s="62" t="str">
        <f t="shared" si="14"/>
        <v>10-20</v>
      </c>
      <c r="Z206" s="62">
        <v>0.5</v>
      </c>
      <c r="AA206" s="62" t="str">
        <f t="shared" si="15"/>
        <v>0.5-1.0</v>
      </c>
      <c r="AB206" s="23">
        <v>6</v>
      </c>
      <c r="AC206" s="30" t="str">
        <f>VLOOKUP(AB206,[1]Key!$C$20:$D$29,2,FALSE)</f>
        <v>Businessman</v>
      </c>
      <c r="AD206" s="23">
        <v>4</v>
      </c>
      <c r="AE206" s="30" t="str">
        <f>VLOOKUP(AD206,[1]Key!$E$20:$F$24,2,FALSE)</f>
        <v>750,000-1,000,000</v>
      </c>
      <c r="AF206" s="23">
        <v>2</v>
      </c>
      <c r="AG206" s="62">
        <v>1</v>
      </c>
      <c r="AH206" s="62">
        <v>2</v>
      </c>
      <c r="AI206" s="62">
        <v>1</v>
      </c>
      <c r="AJ206" s="62">
        <v>2</v>
      </c>
      <c r="AK206" s="45" t="s">
        <v>94</v>
      </c>
      <c r="AL206" s="36">
        <v>1000</v>
      </c>
      <c r="AM206" t="str">
        <f t="shared" si="16"/>
        <v>1000-2000</v>
      </c>
    </row>
    <row r="207" spans="1:46" x14ac:dyDescent="0.2">
      <c r="A207" s="44">
        <v>43771</v>
      </c>
      <c r="B207" s="60">
        <v>0.30902777777777779</v>
      </c>
      <c r="C207" s="60"/>
      <c r="D207" s="60" t="s">
        <v>96</v>
      </c>
      <c r="E207" s="13">
        <v>2</v>
      </c>
      <c r="F207" s="38" t="str">
        <f>VLOOKUP(E207,[1]Key!$A$17:$B$21,2,FALSE)</f>
        <v>Road Vehicle</v>
      </c>
      <c r="G207" s="61">
        <v>4</v>
      </c>
      <c r="H207" s="39" t="str">
        <f>VLOOKUP(G207,[1]Key!$A$2:$B$13,2,FALSE)</f>
        <v>Minibus</v>
      </c>
      <c r="I207" s="13" t="s">
        <v>108</v>
      </c>
      <c r="J207" s="13">
        <v>3</v>
      </c>
      <c r="K207" s="40" t="str">
        <f>VLOOKUP(J207,[1]Key!$A$24:$B$29,2,FALSE)</f>
        <v>40-49</v>
      </c>
      <c r="L207" s="13" t="s">
        <v>233</v>
      </c>
      <c r="M207" s="23" t="s">
        <v>150</v>
      </c>
      <c r="N207" s="13" t="s">
        <v>151</v>
      </c>
      <c r="O207" s="45">
        <v>2</v>
      </c>
      <c r="P207" s="30" t="str">
        <f>VLOOKUP(O207,[1]Key!$E$2:$F$9,2,FALSE)</f>
        <v>Work</v>
      </c>
      <c r="Q207" s="13" t="s">
        <v>226</v>
      </c>
      <c r="R207" s="23" t="s">
        <v>156</v>
      </c>
      <c r="S207" s="13" t="s">
        <v>151</v>
      </c>
      <c r="T207" s="23">
        <v>1</v>
      </c>
      <c r="U207" s="30" t="str">
        <f>VLOOKUP(T207,[1]Key!$E$2:$F$9,2,FALSE)</f>
        <v>Home</v>
      </c>
      <c r="V207" s="30" t="str">
        <f t="shared" si="13"/>
        <v>Work-Home</v>
      </c>
      <c r="W207" s="23">
        <v>20000</v>
      </c>
      <c r="X207" s="62">
        <v>26</v>
      </c>
      <c r="Y207" s="62" t="str">
        <f t="shared" si="14"/>
        <v>20-40</v>
      </c>
      <c r="Z207" s="62">
        <v>0.8</v>
      </c>
      <c r="AA207" s="62" t="str">
        <f t="shared" si="15"/>
        <v>0.5-1.0</v>
      </c>
      <c r="AB207" s="23">
        <v>2</v>
      </c>
      <c r="AC207" s="30" t="str">
        <f>VLOOKUP(AB207,[1]Key!$C$20:$D$29,2,FALSE)</f>
        <v>Manual Labour</v>
      </c>
      <c r="AD207" s="23">
        <v>4</v>
      </c>
      <c r="AE207" s="30" t="str">
        <f>VLOOKUP(AD207,[1]Key!$E$20:$F$24,2,FALSE)</f>
        <v>750,000-1,000,000</v>
      </c>
      <c r="AF207" s="23">
        <v>5</v>
      </c>
      <c r="AG207" s="62">
        <v>2</v>
      </c>
      <c r="AH207" s="62">
        <v>2</v>
      </c>
      <c r="AI207" s="62">
        <v>2</v>
      </c>
      <c r="AJ207" s="62">
        <v>1</v>
      </c>
      <c r="AK207" s="45" t="s">
        <v>94</v>
      </c>
      <c r="AL207" s="36">
        <v>1000</v>
      </c>
      <c r="AM207" t="str">
        <f t="shared" si="16"/>
        <v>1000-2000</v>
      </c>
    </row>
    <row r="208" spans="1:46" x14ac:dyDescent="0.2">
      <c r="A208" s="44">
        <v>43771</v>
      </c>
      <c r="B208" s="60">
        <v>0.40625</v>
      </c>
      <c r="C208" s="60"/>
      <c r="D208" s="60" t="s">
        <v>165</v>
      </c>
      <c r="E208" s="13">
        <v>2</v>
      </c>
      <c r="F208" s="38" t="str">
        <f>VLOOKUP(E208,[1]Key!$A$17:$B$21,2,FALSE)</f>
        <v>Road Vehicle</v>
      </c>
      <c r="G208" s="61">
        <v>4</v>
      </c>
      <c r="H208" s="39" t="str">
        <f>VLOOKUP(G208,[1]Key!$A$2:$B$13,2,FALSE)</f>
        <v>Minibus</v>
      </c>
      <c r="I208" s="13" t="s">
        <v>108</v>
      </c>
      <c r="J208" s="13">
        <v>3</v>
      </c>
      <c r="K208" s="40" t="str">
        <f>VLOOKUP(J208,[1]Key!$A$24:$B$29,2,FALSE)</f>
        <v>40-49</v>
      </c>
      <c r="L208" s="13" t="s">
        <v>233</v>
      </c>
      <c r="M208" s="23" t="s">
        <v>150</v>
      </c>
      <c r="N208" s="13" t="s">
        <v>151</v>
      </c>
      <c r="O208" s="45">
        <v>2</v>
      </c>
      <c r="P208" s="30" t="str">
        <f>VLOOKUP(O208,[1]Key!$E$2:$F$9,2,FALSE)</f>
        <v>Work</v>
      </c>
      <c r="Q208" s="13" t="s">
        <v>231</v>
      </c>
      <c r="R208" s="23" t="s">
        <v>202</v>
      </c>
      <c r="S208" s="13" t="s">
        <v>151</v>
      </c>
      <c r="T208" s="23">
        <v>1</v>
      </c>
      <c r="U208" s="30" t="str">
        <f>VLOOKUP(T208,[1]Key!$E$2:$F$9,2,FALSE)</f>
        <v>Home</v>
      </c>
      <c r="V208" s="30" t="str">
        <f t="shared" si="13"/>
        <v>Work-Home</v>
      </c>
      <c r="W208" s="23">
        <v>8000</v>
      </c>
      <c r="X208" s="62">
        <v>80</v>
      </c>
      <c r="Y208" s="62" t="str">
        <f t="shared" si="14"/>
        <v>70-100</v>
      </c>
      <c r="Z208" s="62">
        <v>2</v>
      </c>
      <c r="AA208" s="62" t="str">
        <f t="shared" si="15"/>
        <v>2.0-3.5</v>
      </c>
      <c r="AB208" s="23">
        <v>2</v>
      </c>
      <c r="AC208" s="30" t="str">
        <f>VLOOKUP(AB208,[1]Key!$C$20:$D$29,2,FALSE)</f>
        <v>Manual Labour</v>
      </c>
      <c r="AD208" s="23">
        <v>4</v>
      </c>
      <c r="AE208" s="30" t="str">
        <f>VLOOKUP(AD208,[1]Key!$E$20:$F$24,2,FALSE)</f>
        <v>750,000-1,000,000</v>
      </c>
      <c r="AF208" s="23">
        <v>5</v>
      </c>
      <c r="AG208" s="62">
        <v>1</v>
      </c>
      <c r="AH208" s="62">
        <v>2</v>
      </c>
      <c r="AI208" s="62">
        <v>1</v>
      </c>
      <c r="AJ208" s="62">
        <v>2</v>
      </c>
      <c r="AK208" s="45" t="s">
        <v>94</v>
      </c>
      <c r="AL208" s="36">
        <v>500</v>
      </c>
      <c r="AM208" t="str">
        <f t="shared" si="16"/>
        <v>0-1000</v>
      </c>
    </row>
    <row r="209" spans="1:39" x14ac:dyDescent="0.2">
      <c r="A209" s="44">
        <v>43771</v>
      </c>
      <c r="B209" s="60">
        <v>0.6430555555555556</v>
      </c>
      <c r="C209" s="60"/>
      <c r="D209" s="60" t="s">
        <v>165</v>
      </c>
      <c r="E209" s="13">
        <v>2</v>
      </c>
      <c r="F209" s="38" t="str">
        <f>VLOOKUP(E209,[1]Key!$A$17:$B$21,2,FALSE)</f>
        <v>Road Vehicle</v>
      </c>
      <c r="G209" s="61">
        <v>4</v>
      </c>
      <c r="H209" s="39" t="str">
        <f>VLOOKUP(G209,[1]Key!$A$2:$B$13,2,FALSE)</f>
        <v>Minibus</v>
      </c>
      <c r="I209" s="13" t="s">
        <v>108</v>
      </c>
      <c r="J209" s="13">
        <v>3</v>
      </c>
      <c r="K209" s="40" t="str">
        <f>VLOOKUP(J209,[1]Key!$A$24:$B$29,2,FALSE)</f>
        <v>40-49</v>
      </c>
      <c r="L209" s="13" t="s">
        <v>233</v>
      </c>
      <c r="M209" s="23" t="s">
        <v>150</v>
      </c>
      <c r="N209" s="13" t="s">
        <v>151</v>
      </c>
      <c r="O209" s="45">
        <v>2</v>
      </c>
      <c r="P209" s="30" t="str">
        <f>VLOOKUP(O209,[1]Key!$E$2:$F$9,2,FALSE)</f>
        <v>Work</v>
      </c>
      <c r="Q209" s="13" t="s">
        <v>249</v>
      </c>
      <c r="R209" s="23" t="s">
        <v>150</v>
      </c>
      <c r="S209" s="13" t="s">
        <v>151</v>
      </c>
      <c r="T209" s="23">
        <v>1</v>
      </c>
      <c r="U209" s="30" t="str">
        <f>VLOOKUP(T209,[1]Key!$E$2:$F$9,2,FALSE)</f>
        <v>Home</v>
      </c>
      <c r="V209" s="30" t="str">
        <f t="shared" si="13"/>
        <v>Work-Home</v>
      </c>
      <c r="W209" s="23">
        <v>2000</v>
      </c>
      <c r="X209" s="62">
        <v>19</v>
      </c>
      <c r="Y209" s="62" t="str">
        <f t="shared" si="14"/>
        <v>10-20</v>
      </c>
      <c r="Z209" s="62">
        <v>0.8</v>
      </c>
      <c r="AA209" s="62" t="str">
        <f t="shared" si="15"/>
        <v>0.5-1.0</v>
      </c>
      <c r="AB209" s="23">
        <v>6</v>
      </c>
      <c r="AC209" s="30" t="str">
        <f>VLOOKUP(AB209,[1]Key!$C$20:$D$29,2,FALSE)</f>
        <v>Businessman</v>
      </c>
      <c r="AD209" s="23">
        <v>4</v>
      </c>
      <c r="AE209" s="30" t="str">
        <f>VLOOKUP(AD209,[1]Key!$E$20:$F$24,2,FALSE)</f>
        <v>750,000-1,000,000</v>
      </c>
      <c r="AF209" s="23">
        <v>2</v>
      </c>
      <c r="AG209" s="62">
        <v>2</v>
      </c>
      <c r="AH209" s="62">
        <v>1</v>
      </c>
      <c r="AI209" s="62">
        <v>2</v>
      </c>
      <c r="AJ209" s="62">
        <v>1</v>
      </c>
      <c r="AK209" s="45" t="s">
        <v>94</v>
      </c>
      <c r="AL209" s="36">
        <v>500</v>
      </c>
      <c r="AM209" t="str">
        <f t="shared" si="16"/>
        <v>0-1000</v>
      </c>
    </row>
    <row r="210" spans="1:39" x14ac:dyDescent="0.2">
      <c r="A210" s="44">
        <v>43771</v>
      </c>
      <c r="B210" s="60">
        <v>0.77083333333333337</v>
      </c>
      <c r="C210" s="60"/>
      <c r="D210" s="60" t="s">
        <v>96</v>
      </c>
      <c r="E210" s="13">
        <v>2</v>
      </c>
      <c r="F210" s="38" t="str">
        <f>VLOOKUP(E210,[1]Key!$A$17:$B$21,2,FALSE)</f>
        <v>Road Vehicle</v>
      </c>
      <c r="G210" s="61">
        <v>4</v>
      </c>
      <c r="H210" s="39" t="str">
        <f>VLOOKUP(G210,[1]Key!$A$2:$B$13,2,FALSE)</f>
        <v>Minibus</v>
      </c>
      <c r="I210" s="13" t="s">
        <v>108</v>
      </c>
      <c r="J210" s="13">
        <v>3</v>
      </c>
      <c r="K210" s="40" t="str">
        <f>VLOOKUP(J210,[1]Key!$A$24:$B$29,2,FALSE)</f>
        <v>40-49</v>
      </c>
      <c r="L210" s="13" t="s">
        <v>233</v>
      </c>
      <c r="M210" s="23" t="s">
        <v>150</v>
      </c>
      <c r="N210" s="13" t="s">
        <v>151</v>
      </c>
      <c r="O210" s="45">
        <v>2</v>
      </c>
      <c r="P210" s="30" t="str">
        <f>VLOOKUP(O210,[1]Key!$E$2:$F$9,2,FALSE)</f>
        <v>Work</v>
      </c>
      <c r="Q210" s="13" t="s">
        <v>225</v>
      </c>
      <c r="R210" s="23" t="s">
        <v>156</v>
      </c>
      <c r="S210" s="13" t="s">
        <v>151</v>
      </c>
      <c r="T210" s="23">
        <v>8</v>
      </c>
      <c r="U210" s="30" t="str">
        <f>VLOOKUP(T210,[1]Key!$E$2:$F$9,2,FALSE)</f>
        <v>Others</v>
      </c>
      <c r="V210" s="30" t="str">
        <f t="shared" si="13"/>
        <v>Work-Others</v>
      </c>
      <c r="W210" s="23">
        <v>40000</v>
      </c>
      <c r="X210" s="62">
        <v>15</v>
      </c>
      <c r="Y210" s="62" t="str">
        <f t="shared" si="14"/>
        <v>10-20</v>
      </c>
      <c r="Z210" s="62">
        <v>0.8</v>
      </c>
      <c r="AA210" s="62" t="str">
        <f t="shared" si="15"/>
        <v>0.5-1.0</v>
      </c>
      <c r="AB210" s="23">
        <v>10</v>
      </c>
      <c r="AC210" s="30" t="str">
        <f>VLOOKUP(AB210,[1]Key!$C$20:$D$29,2,FALSE)</f>
        <v>Other</v>
      </c>
      <c r="AD210" s="23">
        <v>1</v>
      </c>
      <c r="AE210" s="30" t="str">
        <f>VLOOKUP(AD210,[1]Key!$E$20:$F$24,2,FALSE)</f>
        <v>&lt;300,000</v>
      </c>
      <c r="AF210" s="23">
        <v>5</v>
      </c>
      <c r="AG210" s="62">
        <v>1</v>
      </c>
      <c r="AH210" s="62">
        <v>2</v>
      </c>
      <c r="AI210" s="62">
        <v>2</v>
      </c>
      <c r="AJ210" s="62">
        <v>1</v>
      </c>
      <c r="AK210" s="45" t="s">
        <v>94</v>
      </c>
      <c r="AL210" s="36">
        <v>2000</v>
      </c>
      <c r="AM210" t="str">
        <f t="shared" si="16"/>
        <v>2000-3000</v>
      </c>
    </row>
    <row r="211" spans="1:39" x14ac:dyDescent="0.2">
      <c r="A211" s="44">
        <v>43771</v>
      </c>
      <c r="B211" s="60">
        <v>0.72986111111111107</v>
      </c>
      <c r="C211" s="60"/>
      <c r="D211" s="60" t="s">
        <v>96</v>
      </c>
      <c r="E211" s="13">
        <v>2</v>
      </c>
      <c r="F211" s="38" t="str">
        <f>VLOOKUP(E211,[1]Key!$A$17:$B$21,2,FALSE)</f>
        <v>Road Vehicle</v>
      </c>
      <c r="G211" s="61">
        <v>4</v>
      </c>
      <c r="H211" s="39" t="str">
        <f>VLOOKUP(G211,[1]Key!$A$2:$B$13,2,FALSE)</f>
        <v>Minibus</v>
      </c>
      <c r="I211" s="13" t="s">
        <v>108</v>
      </c>
      <c r="J211" s="13">
        <v>3</v>
      </c>
      <c r="K211" s="40" t="str">
        <f>VLOOKUP(J211,[1]Key!$A$24:$B$29,2,FALSE)</f>
        <v>40-49</v>
      </c>
      <c r="L211" s="13" t="s">
        <v>233</v>
      </c>
      <c r="M211" s="23" t="s">
        <v>150</v>
      </c>
      <c r="N211" s="13" t="s">
        <v>151</v>
      </c>
      <c r="O211" s="45">
        <v>2</v>
      </c>
      <c r="P211" s="30" t="str">
        <f>VLOOKUP(O211,[1]Key!$E$2:$F$9,2,FALSE)</f>
        <v>Work</v>
      </c>
      <c r="Q211" s="13" t="s">
        <v>190</v>
      </c>
      <c r="R211" s="23" t="s">
        <v>190</v>
      </c>
      <c r="S211" s="13" t="s">
        <v>151</v>
      </c>
      <c r="T211" s="23">
        <v>8</v>
      </c>
      <c r="U211" s="30" t="str">
        <f>VLOOKUP(T211,[1]Key!$E$2:$F$9,2,FALSE)</f>
        <v>Others</v>
      </c>
      <c r="V211" s="30" t="str">
        <f t="shared" si="13"/>
        <v>Work-Others</v>
      </c>
      <c r="W211" s="23">
        <v>50000</v>
      </c>
      <c r="X211" s="62">
        <v>65</v>
      </c>
      <c r="Y211" s="62" t="str">
        <f t="shared" si="14"/>
        <v>40-70</v>
      </c>
      <c r="Z211" s="62">
        <v>2</v>
      </c>
      <c r="AA211" s="62" t="str">
        <f t="shared" si="15"/>
        <v>2.0-3.5</v>
      </c>
      <c r="AB211" s="23">
        <v>10</v>
      </c>
      <c r="AC211" s="30" t="str">
        <f>VLOOKUP(AB211,[1]Key!$C$20:$D$29,2,FALSE)</f>
        <v>Other</v>
      </c>
      <c r="AD211" s="23">
        <v>1</v>
      </c>
      <c r="AE211" s="30" t="str">
        <f>VLOOKUP(AD211,[1]Key!$E$20:$F$24,2,FALSE)</f>
        <v>&lt;300,000</v>
      </c>
      <c r="AF211" s="23">
        <v>5</v>
      </c>
      <c r="AG211" s="62">
        <v>4</v>
      </c>
      <c r="AH211" s="62">
        <v>3</v>
      </c>
      <c r="AI211" s="62">
        <v>4</v>
      </c>
      <c r="AJ211" s="62">
        <v>2</v>
      </c>
      <c r="AK211" s="45" t="s">
        <v>94</v>
      </c>
      <c r="AL211" s="36">
        <v>3000</v>
      </c>
      <c r="AM211" t="str">
        <f t="shared" si="16"/>
        <v>3000-5000</v>
      </c>
    </row>
    <row r="212" spans="1:39" x14ac:dyDescent="0.2">
      <c r="A212" s="44">
        <v>43771</v>
      </c>
      <c r="B212" s="60">
        <v>0.67986111111111114</v>
      </c>
      <c r="C212" s="60"/>
      <c r="D212" s="60" t="s">
        <v>96</v>
      </c>
      <c r="E212" s="13">
        <v>2</v>
      </c>
      <c r="F212" s="38" t="str">
        <f>VLOOKUP(E212,[1]Key!$A$17:$B$21,2,FALSE)</f>
        <v>Road Vehicle</v>
      </c>
      <c r="G212" s="61">
        <v>4</v>
      </c>
      <c r="H212" s="39" t="str">
        <f>VLOOKUP(G212,[1]Key!$A$2:$B$13,2,FALSE)</f>
        <v>Minibus</v>
      </c>
      <c r="I212" s="13" t="s">
        <v>108</v>
      </c>
      <c r="J212" s="13">
        <v>3</v>
      </c>
      <c r="K212" s="40" t="str">
        <f>VLOOKUP(J212,[1]Key!$A$24:$B$29,2,FALSE)</f>
        <v>40-49</v>
      </c>
      <c r="L212" s="13" t="s">
        <v>233</v>
      </c>
      <c r="M212" s="23" t="s">
        <v>150</v>
      </c>
      <c r="N212" s="13" t="s">
        <v>151</v>
      </c>
      <c r="O212" s="45">
        <v>2</v>
      </c>
      <c r="P212" s="30" t="str">
        <f>VLOOKUP(O212,[1]Key!$E$2:$F$9,2,FALSE)</f>
        <v>Work</v>
      </c>
      <c r="Q212" s="13" t="s">
        <v>174</v>
      </c>
      <c r="R212" s="23" t="s">
        <v>174</v>
      </c>
      <c r="S212" s="13" t="s">
        <v>151</v>
      </c>
      <c r="T212" s="23">
        <v>8</v>
      </c>
      <c r="U212" s="30" t="str">
        <f>VLOOKUP(T212,[1]Key!$E$2:$F$9,2,FALSE)</f>
        <v>Others</v>
      </c>
      <c r="V212" s="30" t="str">
        <f t="shared" si="13"/>
        <v>Work-Others</v>
      </c>
      <c r="W212" s="23">
        <v>80000</v>
      </c>
      <c r="X212" s="62">
        <v>110</v>
      </c>
      <c r="Y212" s="62" t="str">
        <f t="shared" si="14"/>
        <v>100-200</v>
      </c>
      <c r="Z212" s="62">
        <v>4.5</v>
      </c>
      <c r="AA212" s="62" t="str">
        <f t="shared" si="15"/>
        <v>Over 3.5</v>
      </c>
      <c r="AB212" s="23">
        <v>10</v>
      </c>
      <c r="AC212" s="30" t="str">
        <f>VLOOKUP(AB212,[1]Key!$C$20:$D$29,2,FALSE)</f>
        <v>Other</v>
      </c>
      <c r="AD212" s="23">
        <v>1</v>
      </c>
      <c r="AE212" s="30" t="str">
        <f>VLOOKUP(AD212,[1]Key!$E$20:$F$24,2,FALSE)</f>
        <v>&lt;300,000</v>
      </c>
      <c r="AF212" s="23">
        <v>5</v>
      </c>
      <c r="AG212" s="62">
        <v>2</v>
      </c>
      <c r="AH212" s="62">
        <v>1</v>
      </c>
      <c r="AI212" s="62">
        <v>2</v>
      </c>
      <c r="AJ212" s="62">
        <v>1</v>
      </c>
      <c r="AK212" s="45" t="s">
        <v>94</v>
      </c>
      <c r="AL212" s="36">
        <v>1000</v>
      </c>
      <c r="AM212" t="str">
        <f t="shared" si="16"/>
        <v>1000-2000</v>
      </c>
    </row>
    <row r="213" spans="1:39" x14ac:dyDescent="0.2">
      <c r="A213" s="44">
        <v>43771</v>
      </c>
      <c r="B213" s="60">
        <v>0.65069444444444446</v>
      </c>
      <c r="C213" s="60"/>
      <c r="D213" s="60" t="s">
        <v>96</v>
      </c>
      <c r="E213" s="13">
        <v>2</v>
      </c>
      <c r="F213" s="38" t="str">
        <f>VLOOKUP(E213,[1]Key!$A$17:$B$21,2,FALSE)</f>
        <v>Road Vehicle</v>
      </c>
      <c r="G213" s="61">
        <v>4</v>
      </c>
      <c r="H213" s="39" t="str">
        <f>VLOOKUP(G213,[1]Key!$A$2:$B$13,2,FALSE)</f>
        <v>Minibus</v>
      </c>
      <c r="I213" s="13" t="s">
        <v>108</v>
      </c>
      <c r="J213" s="13">
        <v>3</v>
      </c>
      <c r="K213" s="40" t="str">
        <f>VLOOKUP(J213,[1]Key!$A$24:$B$29,2,FALSE)</f>
        <v>40-49</v>
      </c>
      <c r="L213" s="13" t="s">
        <v>233</v>
      </c>
      <c r="M213" s="23" t="s">
        <v>150</v>
      </c>
      <c r="N213" s="13" t="s">
        <v>151</v>
      </c>
      <c r="O213" s="45">
        <v>2</v>
      </c>
      <c r="P213" s="30" t="str">
        <f>VLOOKUP(O213,[1]Key!$E$2:$F$9,2,FALSE)</f>
        <v>Work</v>
      </c>
      <c r="Q213" s="13" t="s">
        <v>257</v>
      </c>
      <c r="R213" s="23" t="s">
        <v>257</v>
      </c>
      <c r="S213" s="13" t="s">
        <v>151</v>
      </c>
      <c r="T213" s="23">
        <v>8</v>
      </c>
      <c r="U213" s="30" t="str">
        <f>VLOOKUP(T213,[1]Key!$E$2:$F$9,2,FALSE)</f>
        <v>Others</v>
      </c>
      <c r="V213" s="30" t="str">
        <f t="shared" si="13"/>
        <v>Work-Others</v>
      </c>
      <c r="W213" s="23">
        <v>80000</v>
      </c>
      <c r="X213" s="62">
        <v>110</v>
      </c>
      <c r="Y213" s="62" t="str">
        <f t="shared" si="14"/>
        <v>100-200</v>
      </c>
      <c r="Z213" s="62">
        <v>4.5</v>
      </c>
      <c r="AA213" s="62" t="str">
        <f t="shared" si="15"/>
        <v>Over 3.5</v>
      </c>
      <c r="AB213" s="23">
        <v>10</v>
      </c>
      <c r="AC213" s="30" t="str">
        <f>VLOOKUP(AB213,[1]Key!$C$20:$D$29,2,FALSE)</f>
        <v>Other</v>
      </c>
      <c r="AD213" s="23">
        <v>1</v>
      </c>
      <c r="AE213" s="30" t="str">
        <f>VLOOKUP(AD213,[1]Key!$E$20:$F$24,2,FALSE)</f>
        <v>&lt;300,000</v>
      </c>
      <c r="AF213" s="23">
        <v>5</v>
      </c>
      <c r="AG213" s="62">
        <v>3</v>
      </c>
      <c r="AH213" s="62">
        <v>4</v>
      </c>
      <c r="AI213" s="62">
        <v>5</v>
      </c>
      <c r="AJ213" s="62">
        <v>2</v>
      </c>
      <c r="AK213" s="45" t="s">
        <v>94</v>
      </c>
      <c r="AL213" s="36">
        <v>2000</v>
      </c>
      <c r="AM213" t="str">
        <f t="shared" si="16"/>
        <v>2000-3000</v>
      </c>
    </row>
    <row r="214" spans="1:39" x14ac:dyDescent="0.2">
      <c r="A214" s="44">
        <v>43771</v>
      </c>
      <c r="B214" s="60">
        <v>0.61805555555555558</v>
      </c>
      <c r="C214" s="60"/>
      <c r="D214" s="60" t="s">
        <v>96</v>
      </c>
      <c r="E214" s="13">
        <v>2</v>
      </c>
      <c r="F214" s="38" t="str">
        <f>VLOOKUP(E214,[1]Key!$A$17:$B$21,2,FALSE)</f>
        <v>Road Vehicle</v>
      </c>
      <c r="G214" s="61">
        <v>4</v>
      </c>
      <c r="H214" s="39" t="str">
        <f>VLOOKUP(G214,[1]Key!$A$2:$B$13,2,FALSE)</f>
        <v>Minibus</v>
      </c>
      <c r="I214" s="13" t="s">
        <v>108</v>
      </c>
      <c r="J214" s="13">
        <v>3</v>
      </c>
      <c r="K214" s="40" t="str">
        <f>VLOOKUP(J214,[1]Key!$A$24:$B$29,2,FALSE)</f>
        <v>40-49</v>
      </c>
      <c r="L214" s="13" t="s">
        <v>233</v>
      </c>
      <c r="M214" s="23" t="s">
        <v>150</v>
      </c>
      <c r="N214" s="13" t="s">
        <v>151</v>
      </c>
      <c r="O214" s="45">
        <v>2</v>
      </c>
      <c r="P214" s="30" t="str">
        <f>VLOOKUP(O214,[1]Key!$E$2:$F$9,2,FALSE)</f>
        <v>Work</v>
      </c>
      <c r="Q214" s="13" t="s">
        <v>242</v>
      </c>
      <c r="R214" s="23" t="s">
        <v>172</v>
      </c>
      <c r="S214" s="13" t="s">
        <v>151</v>
      </c>
      <c r="T214" s="23">
        <v>8</v>
      </c>
      <c r="U214" s="30" t="str">
        <f>VLOOKUP(T214,[1]Key!$E$2:$F$9,2,FALSE)</f>
        <v>Others</v>
      </c>
      <c r="V214" s="30" t="str">
        <f t="shared" si="13"/>
        <v>Work-Others</v>
      </c>
      <c r="W214" s="23">
        <v>100000</v>
      </c>
      <c r="X214" s="62">
        <v>100</v>
      </c>
      <c r="Y214" s="62" t="str">
        <f t="shared" si="14"/>
        <v>100-200</v>
      </c>
      <c r="Z214" s="62">
        <v>4</v>
      </c>
      <c r="AA214" s="62" t="str">
        <f t="shared" si="15"/>
        <v>Over 3.5</v>
      </c>
      <c r="AB214" s="23">
        <v>10</v>
      </c>
      <c r="AC214" s="30" t="str">
        <f>VLOOKUP(AB214,[1]Key!$C$20:$D$29,2,FALSE)</f>
        <v>Other</v>
      </c>
      <c r="AD214" s="23">
        <v>1</v>
      </c>
      <c r="AE214" s="30" t="str">
        <f>VLOOKUP(AD214,[1]Key!$E$20:$F$24,2,FALSE)</f>
        <v>&lt;300,000</v>
      </c>
      <c r="AF214" s="23">
        <v>5</v>
      </c>
      <c r="AG214" s="62">
        <v>4</v>
      </c>
      <c r="AH214" s="62">
        <v>3</v>
      </c>
      <c r="AI214" s="62">
        <v>5</v>
      </c>
      <c r="AJ214" s="62">
        <v>2</v>
      </c>
      <c r="AK214" s="45" t="s">
        <v>94</v>
      </c>
      <c r="AL214" s="36">
        <v>2000</v>
      </c>
      <c r="AM214" t="str">
        <f t="shared" si="16"/>
        <v>2000-3000</v>
      </c>
    </row>
    <row r="215" spans="1:39" x14ac:dyDescent="0.2">
      <c r="A215" s="44">
        <v>43771</v>
      </c>
      <c r="B215" s="60">
        <v>0.54861111111111105</v>
      </c>
      <c r="C215" s="60" t="s">
        <v>337</v>
      </c>
      <c r="D215" s="60" t="s">
        <v>96</v>
      </c>
      <c r="E215" s="13">
        <v>2</v>
      </c>
      <c r="F215" s="38" t="str">
        <f>VLOOKUP(E215,[1]Key!$A$17:$B$21,2,FALSE)</f>
        <v>Road Vehicle</v>
      </c>
      <c r="G215" s="61">
        <v>4</v>
      </c>
      <c r="H215" s="39" t="str">
        <f>VLOOKUP(G215,[1]Key!$A$2:$B$13,2,FALSE)</f>
        <v>Minibus</v>
      </c>
      <c r="I215" s="13" t="s">
        <v>108</v>
      </c>
      <c r="J215" s="13">
        <v>3</v>
      </c>
      <c r="K215" s="40" t="str">
        <f>VLOOKUP(J215,[1]Key!$A$24:$B$29,2,FALSE)</f>
        <v>40-49</v>
      </c>
      <c r="L215" s="13" t="s">
        <v>233</v>
      </c>
      <c r="M215" s="23" t="s">
        <v>150</v>
      </c>
      <c r="N215" s="13" t="s">
        <v>151</v>
      </c>
      <c r="O215" s="45">
        <v>2</v>
      </c>
      <c r="P215" s="30" t="str">
        <f>VLOOKUP(O215,[1]Key!$E$2:$F$9,2,FALSE)</f>
        <v>Work</v>
      </c>
      <c r="Q215" s="13" t="s">
        <v>255</v>
      </c>
      <c r="R215" s="23" t="s">
        <v>255</v>
      </c>
      <c r="S215" s="13" t="s">
        <v>151</v>
      </c>
      <c r="T215" s="23">
        <v>8</v>
      </c>
      <c r="U215" s="30" t="str">
        <f>VLOOKUP(T215,[1]Key!$E$2:$F$9,2,FALSE)</f>
        <v>Others</v>
      </c>
      <c r="V215" s="30" t="str">
        <f t="shared" si="13"/>
        <v>Work-Others</v>
      </c>
      <c r="W215" s="23">
        <v>80000</v>
      </c>
      <c r="X215" s="62">
        <v>95</v>
      </c>
      <c r="Y215" s="62" t="str">
        <f t="shared" si="14"/>
        <v>70-100</v>
      </c>
      <c r="Z215" s="62">
        <v>3</v>
      </c>
      <c r="AA215" s="62" t="str">
        <f t="shared" si="15"/>
        <v>2.0-3.5</v>
      </c>
      <c r="AB215" s="23">
        <v>10</v>
      </c>
      <c r="AC215" s="30" t="str">
        <f>VLOOKUP(AB215,[1]Key!$C$20:$D$29,2,FALSE)</f>
        <v>Other</v>
      </c>
      <c r="AD215" s="23">
        <v>1</v>
      </c>
      <c r="AE215" s="30" t="str">
        <f>VLOOKUP(AD215,[1]Key!$E$20:$F$24,2,FALSE)</f>
        <v>&lt;300,000</v>
      </c>
      <c r="AF215" s="23">
        <v>5</v>
      </c>
      <c r="AG215" s="62">
        <v>4</v>
      </c>
      <c r="AH215" s="62">
        <v>3</v>
      </c>
      <c r="AI215" s="62">
        <v>5</v>
      </c>
      <c r="AJ215" s="62">
        <v>2</v>
      </c>
      <c r="AK215" s="45" t="s">
        <v>94</v>
      </c>
      <c r="AL215" s="36">
        <v>2000</v>
      </c>
      <c r="AM215" t="str">
        <f t="shared" si="16"/>
        <v>2000-3000</v>
      </c>
    </row>
    <row r="216" spans="1:39" x14ac:dyDescent="0.2">
      <c r="A216" s="44">
        <v>43771</v>
      </c>
      <c r="B216" s="60">
        <v>0.48402777777777778</v>
      </c>
      <c r="C216" s="60" t="s">
        <v>338</v>
      </c>
      <c r="D216" s="60" t="s">
        <v>96</v>
      </c>
      <c r="E216" s="13">
        <v>2</v>
      </c>
      <c r="F216" s="38" t="str">
        <f>VLOOKUP(E216,[1]Key!$A$17:$B$21,2,FALSE)</f>
        <v>Road Vehicle</v>
      </c>
      <c r="G216" s="61">
        <v>4</v>
      </c>
      <c r="H216" s="39" t="str">
        <f>VLOOKUP(G216,[1]Key!$A$2:$B$13,2,FALSE)</f>
        <v>Minibus</v>
      </c>
      <c r="I216" s="13" t="s">
        <v>108</v>
      </c>
      <c r="J216" s="13">
        <v>3</v>
      </c>
      <c r="K216" s="40" t="str">
        <f>VLOOKUP(J216,[1]Key!$A$24:$B$29,2,FALSE)</f>
        <v>40-49</v>
      </c>
      <c r="L216" s="13" t="s">
        <v>233</v>
      </c>
      <c r="M216" s="23" t="s">
        <v>150</v>
      </c>
      <c r="N216" s="13" t="s">
        <v>151</v>
      </c>
      <c r="O216" s="45">
        <v>2</v>
      </c>
      <c r="P216" s="30" t="str">
        <f>VLOOKUP(O216,[1]Key!$E$2:$F$9,2,FALSE)</f>
        <v>Work</v>
      </c>
      <c r="Q216" s="13" t="s">
        <v>244</v>
      </c>
      <c r="R216" s="23" t="s">
        <v>244</v>
      </c>
      <c r="S216" s="13" t="s">
        <v>151</v>
      </c>
      <c r="T216" s="23">
        <v>8</v>
      </c>
      <c r="U216" s="30" t="str">
        <f>VLOOKUP(T216,[1]Key!$E$2:$F$9,2,FALSE)</f>
        <v>Others</v>
      </c>
      <c r="V216" s="30" t="str">
        <f t="shared" si="13"/>
        <v>Work-Others</v>
      </c>
      <c r="W216" s="23">
        <v>90000</v>
      </c>
      <c r="X216" s="62">
        <v>80</v>
      </c>
      <c r="Y216" s="62" t="str">
        <f t="shared" si="14"/>
        <v>70-100</v>
      </c>
      <c r="Z216" s="62">
        <v>3</v>
      </c>
      <c r="AA216" s="62" t="str">
        <f t="shared" si="15"/>
        <v>2.0-3.5</v>
      </c>
      <c r="AB216" s="23">
        <v>10</v>
      </c>
      <c r="AC216" s="30" t="str">
        <f>VLOOKUP(AB216,[1]Key!$C$20:$D$29,2,FALSE)</f>
        <v>Other</v>
      </c>
      <c r="AD216" s="23">
        <v>1</v>
      </c>
      <c r="AE216" s="30" t="str">
        <f>VLOOKUP(AD216,[1]Key!$E$20:$F$24,2,FALSE)</f>
        <v>&lt;300,000</v>
      </c>
      <c r="AF216" s="23">
        <v>5</v>
      </c>
      <c r="AG216" s="62">
        <v>4</v>
      </c>
      <c r="AH216" s="62">
        <v>2</v>
      </c>
      <c r="AI216" s="62">
        <v>2</v>
      </c>
      <c r="AJ216" s="62">
        <v>1</v>
      </c>
      <c r="AK216" s="45" t="s">
        <v>94</v>
      </c>
      <c r="AL216" s="36">
        <v>3000</v>
      </c>
      <c r="AM216" t="str">
        <f t="shared" si="16"/>
        <v>3000-5000</v>
      </c>
    </row>
    <row r="217" spans="1:39" x14ac:dyDescent="0.2">
      <c r="A217" s="44">
        <v>43771</v>
      </c>
      <c r="B217" s="60">
        <v>0.40208333333333335</v>
      </c>
      <c r="C217" s="60" t="s">
        <v>339</v>
      </c>
      <c r="D217" s="60" t="s">
        <v>96</v>
      </c>
      <c r="E217" s="13">
        <v>2</v>
      </c>
      <c r="F217" s="38" t="str">
        <f>VLOOKUP(E217,[1]Key!$A$17:$B$21,2,FALSE)</f>
        <v>Road Vehicle</v>
      </c>
      <c r="G217" s="61">
        <v>4</v>
      </c>
      <c r="H217" s="39" t="str">
        <f>VLOOKUP(G217,[1]Key!$A$2:$B$13,2,FALSE)</f>
        <v>Minibus</v>
      </c>
      <c r="I217" s="13" t="s">
        <v>108</v>
      </c>
      <c r="J217" s="13">
        <v>3</v>
      </c>
      <c r="K217" s="40" t="str">
        <f>VLOOKUP(J217,[1]Key!$A$24:$B$29,2,FALSE)</f>
        <v>40-49</v>
      </c>
      <c r="L217" s="13" t="s">
        <v>233</v>
      </c>
      <c r="M217" s="23" t="s">
        <v>150</v>
      </c>
      <c r="N217" s="13" t="s">
        <v>151</v>
      </c>
      <c r="O217" s="45">
        <v>2</v>
      </c>
      <c r="P217" s="30" t="str">
        <f>VLOOKUP(O217,[1]Key!$E$2:$F$9,2,FALSE)</f>
        <v>Work</v>
      </c>
      <c r="Q217" s="13" t="s">
        <v>248</v>
      </c>
      <c r="R217" s="23" t="s">
        <v>210</v>
      </c>
      <c r="S217" s="13" t="s">
        <v>151</v>
      </c>
      <c r="T217" s="23">
        <v>8</v>
      </c>
      <c r="U217" s="30" t="str">
        <f>VLOOKUP(T217,[1]Key!$E$2:$F$9,2,FALSE)</f>
        <v>Others</v>
      </c>
      <c r="V217" s="30" t="str">
        <f t="shared" si="13"/>
        <v>Work-Others</v>
      </c>
      <c r="W217" s="23">
        <v>90000</v>
      </c>
      <c r="X217" s="62">
        <v>90</v>
      </c>
      <c r="Y217" s="62" t="str">
        <f t="shared" si="14"/>
        <v>70-100</v>
      </c>
      <c r="Z217" s="62">
        <v>3</v>
      </c>
      <c r="AA217" s="62" t="str">
        <f t="shared" si="15"/>
        <v>2.0-3.5</v>
      </c>
      <c r="AB217" s="23">
        <v>10</v>
      </c>
      <c r="AC217" s="30" t="str">
        <f>VLOOKUP(AB217,[1]Key!$C$20:$D$29,2,FALSE)</f>
        <v>Other</v>
      </c>
      <c r="AD217" s="23">
        <v>1</v>
      </c>
      <c r="AE217" s="30" t="str">
        <f>VLOOKUP(AD217,[1]Key!$E$20:$F$24,2,FALSE)</f>
        <v>&lt;300,000</v>
      </c>
      <c r="AF217" s="23">
        <v>5</v>
      </c>
      <c r="AG217" s="62">
        <v>4</v>
      </c>
      <c r="AH217" s="62">
        <v>2</v>
      </c>
      <c r="AI217" s="62">
        <v>2</v>
      </c>
      <c r="AJ217" s="62">
        <v>2</v>
      </c>
      <c r="AK217" s="45" t="s">
        <v>94</v>
      </c>
      <c r="AL217" s="36">
        <v>3000</v>
      </c>
      <c r="AM217" t="str">
        <f t="shared" si="16"/>
        <v>3000-5000</v>
      </c>
    </row>
    <row r="218" spans="1:39" x14ac:dyDescent="0.2">
      <c r="A218" s="44">
        <v>43771</v>
      </c>
      <c r="B218" s="60">
        <v>0.33263888888888887</v>
      </c>
      <c r="C218" s="60" t="s">
        <v>340</v>
      </c>
      <c r="D218" s="60" t="s">
        <v>96</v>
      </c>
      <c r="E218" s="13">
        <v>2</v>
      </c>
      <c r="F218" s="38" t="str">
        <f>VLOOKUP(E218,[1]Key!$A$17:$B$21,2,FALSE)</f>
        <v>Road Vehicle</v>
      </c>
      <c r="G218" s="61">
        <v>4</v>
      </c>
      <c r="H218" s="39" t="str">
        <f>VLOOKUP(G218,[1]Key!$A$2:$B$13,2,FALSE)</f>
        <v>Minibus</v>
      </c>
      <c r="I218" s="13" t="s">
        <v>108</v>
      </c>
      <c r="J218" s="13">
        <v>3</v>
      </c>
      <c r="K218" s="40" t="str">
        <f>VLOOKUP(J218,[1]Key!$A$24:$B$29,2,FALSE)</f>
        <v>40-49</v>
      </c>
      <c r="L218" s="13" t="s">
        <v>233</v>
      </c>
      <c r="M218" s="23" t="s">
        <v>150</v>
      </c>
      <c r="N218" s="13" t="s">
        <v>151</v>
      </c>
      <c r="O218" s="45">
        <v>2</v>
      </c>
      <c r="P218" s="30" t="str">
        <f>VLOOKUP(O218,[1]Key!$E$2:$F$9,2,FALSE)</f>
        <v>Work</v>
      </c>
      <c r="Q218" s="13" t="s">
        <v>252</v>
      </c>
      <c r="R218" s="23" t="s">
        <v>252</v>
      </c>
      <c r="S218" s="13" t="s">
        <v>151</v>
      </c>
      <c r="T218" s="23">
        <v>8</v>
      </c>
      <c r="U218" s="30" t="str">
        <f>VLOOKUP(T218,[1]Key!$E$2:$F$9,2,FALSE)</f>
        <v>Others</v>
      </c>
      <c r="V218" s="30" t="str">
        <f t="shared" si="13"/>
        <v>Work-Others</v>
      </c>
      <c r="W218" s="23">
        <v>80000</v>
      </c>
      <c r="X218" s="62">
        <v>85</v>
      </c>
      <c r="Y218" s="62" t="str">
        <f t="shared" si="14"/>
        <v>70-100</v>
      </c>
      <c r="Z218" s="62">
        <v>3</v>
      </c>
      <c r="AA218" s="62" t="str">
        <f t="shared" si="15"/>
        <v>2.0-3.5</v>
      </c>
      <c r="AB218" s="23">
        <v>10</v>
      </c>
      <c r="AC218" s="30" t="str">
        <f>VLOOKUP(AB218,[1]Key!$C$20:$D$29,2,FALSE)</f>
        <v>Other</v>
      </c>
      <c r="AD218" s="23">
        <v>1</v>
      </c>
      <c r="AE218" s="30" t="str">
        <f>VLOOKUP(AD218,[1]Key!$E$20:$F$24,2,FALSE)</f>
        <v>&lt;300,000</v>
      </c>
      <c r="AF218" s="23">
        <v>5</v>
      </c>
      <c r="AG218" s="62">
        <v>4</v>
      </c>
      <c r="AH218" s="62">
        <v>5</v>
      </c>
      <c r="AI218" s="62">
        <v>3</v>
      </c>
      <c r="AJ218" s="62">
        <v>2</v>
      </c>
      <c r="AK218" s="45" t="s">
        <v>94</v>
      </c>
      <c r="AL218" s="36"/>
      <c r="AM218" t="str">
        <f t="shared" si="16"/>
        <v>0-1000</v>
      </c>
    </row>
    <row r="219" spans="1:39" x14ac:dyDescent="0.2">
      <c r="A219" s="44">
        <v>43771</v>
      </c>
      <c r="B219" s="60">
        <v>0.29583333333333334</v>
      </c>
      <c r="C219" s="60" t="s">
        <v>341</v>
      </c>
      <c r="D219" s="60" t="s">
        <v>96</v>
      </c>
      <c r="E219" s="13">
        <v>2</v>
      </c>
      <c r="F219" s="38" t="str">
        <f>VLOOKUP(E219,[1]Key!$A$17:$B$21,2,FALSE)</f>
        <v>Road Vehicle</v>
      </c>
      <c r="G219" s="61">
        <v>4</v>
      </c>
      <c r="H219" s="39" t="str">
        <f>VLOOKUP(G219,[1]Key!$A$2:$B$13,2,FALSE)</f>
        <v>Minibus</v>
      </c>
      <c r="I219" s="13" t="s">
        <v>108</v>
      </c>
      <c r="J219" s="13">
        <v>3</v>
      </c>
      <c r="K219" s="40" t="str">
        <f>VLOOKUP(J219,[1]Key!$A$24:$B$29,2,FALSE)</f>
        <v>40-49</v>
      </c>
      <c r="L219" s="13" t="s">
        <v>233</v>
      </c>
      <c r="M219" s="23" t="s">
        <v>150</v>
      </c>
      <c r="N219" s="13" t="s">
        <v>151</v>
      </c>
      <c r="O219" s="45">
        <v>2</v>
      </c>
      <c r="P219" s="30" t="str">
        <f>VLOOKUP(O219,[1]Key!$E$2:$F$9,2,FALSE)</f>
        <v>Work</v>
      </c>
      <c r="Q219" s="13" t="s">
        <v>313</v>
      </c>
      <c r="R219" s="23" t="s">
        <v>229</v>
      </c>
      <c r="S219" s="13" t="s">
        <v>151</v>
      </c>
      <c r="T219" s="23">
        <v>8</v>
      </c>
      <c r="U219" s="30" t="str">
        <f>VLOOKUP(T219,[1]Key!$E$2:$F$9,2,FALSE)</f>
        <v>Others</v>
      </c>
      <c r="V219" s="30" t="str">
        <f t="shared" si="13"/>
        <v>Work-Others</v>
      </c>
      <c r="W219" s="23">
        <v>90000</v>
      </c>
      <c r="X219" s="62">
        <v>98</v>
      </c>
      <c r="Y219" s="62" t="str">
        <f t="shared" si="14"/>
        <v>70-100</v>
      </c>
      <c r="Z219" s="62">
        <v>3</v>
      </c>
      <c r="AA219" s="62" t="str">
        <f t="shared" si="15"/>
        <v>2.0-3.5</v>
      </c>
      <c r="AB219" s="23">
        <v>10</v>
      </c>
      <c r="AC219" s="30" t="str">
        <f>VLOOKUP(AB219,[1]Key!$C$20:$D$29,2,FALSE)</f>
        <v>Other</v>
      </c>
      <c r="AD219" s="23">
        <v>1</v>
      </c>
      <c r="AE219" s="30" t="str">
        <f>VLOOKUP(AD219,[1]Key!$E$20:$F$24,2,FALSE)</f>
        <v>&lt;300,000</v>
      </c>
      <c r="AF219" s="23">
        <v>5</v>
      </c>
      <c r="AG219" s="62">
        <v>4</v>
      </c>
      <c r="AH219" s="62">
        <v>2</v>
      </c>
      <c r="AI219" s="62">
        <v>2</v>
      </c>
      <c r="AJ219" s="62">
        <v>1</v>
      </c>
      <c r="AK219" s="45" t="s">
        <v>94</v>
      </c>
      <c r="AL219" s="36">
        <v>3000</v>
      </c>
      <c r="AM219" t="str">
        <f t="shared" si="16"/>
        <v>3000-5000</v>
      </c>
    </row>
    <row r="220" spans="1:39" x14ac:dyDescent="0.2">
      <c r="A220" s="44">
        <v>43771</v>
      </c>
      <c r="B220" s="60">
        <v>0.31527777777777777</v>
      </c>
      <c r="C220" s="60"/>
      <c r="D220" s="60" t="s">
        <v>165</v>
      </c>
      <c r="E220" s="13">
        <v>2</v>
      </c>
      <c r="F220" s="38" t="str">
        <f>VLOOKUP(E220,[1]Key!$A$17:$B$21,2,FALSE)</f>
        <v>Road Vehicle</v>
      </c>
      <c r="G220" s="61">
        <v>4</v>
      </c>
      <c r="H220" s="39" t="str">
        <f>VLOOKUP(G220,[1]Key!$A$2:$B$13,2,FALSE)</f>
        <v>Minibus</v>
      </c>
      <c r="I220" s="13" t="s">
        <v>108</v>
      </c>
      <c r="J220" s="13">
        <v>3</v>
      </c>
      <c r="K220" s="40" t="str">
        <f>VLOOKUP(J220,[1]Key!$A$24:$B$29,2,FALSE)</f>
        <v>40-49</v>
      </c>
      <c r="L220" s="13" t="s">
        <v>233</v>
      </c>
      <c r="M220" s="23" t="s">
        <v>150</v>
      </c>
      <c r="N220" s="13" t="s">
        <v>151</v>
      </c>
      <c r="O220" s="45">
        <v>2</v>
      </c>
      <c r="P220" s="30" t="str">
        <f>VLOOKUP(O220,[1]Key!$E$2:$F$9,2,FALSE)</f>
        <v>Work</v>
      </c>
      <c r="Q220" s="13" t="s">
        <v>342</v>
      </c>
      <c r="R220" s="23" t="s">
        <v>150</v>
      </c>
      <c r="S220" s="13" t="s">
        <v>151</v>
      </c>
      <c r="T220" s="23">
        <v>2</v>
      </c>
      <c r="U220" s="30" t="str">
        <f>VLOOKUP(T220,[1]Key!$E$2:$F$9,2,FALSE)</f>
        <v>Work</v>
      </c>
      <c r="V220" s="30" t="str">
        <f t="shared" si="13"/>
        <v>Work-Work</v>
      </c>
      <c r="W220" s="23">
        <v>1500</v>
      </c>
      <c r="X220" s="62">
        <v>18</v>
      </c>
      <c r="Y220" s="62" t="str">
        <f t="shared" si="14"/>
        <v>10-20</v>
      </c>
      <c r="Z220" s="62">
        <v>0.5</v>
      </c>
      <c r="AA220" s="62" t="str">
        <f t="shared" si="15"/>
        <v>0.5-1.0</v>
      </c>
      <c r="AB220" s="23">
        <v>6</v>
      </c>
      <c r="AC220" s="30" t="str">
        <f>VLOOKUP(AB220,[1]Key!$C$20:$D$29,2,FALSE)</f>
        <v>Businessman</v>
      </c>
      <c r="AD220" s="23">
        <v>5</v>
      </c>
      <c r="AE220" s="30" t="str">
        <f>VLOOKUP(AD220,[1]Key!$E$20:$F$24,2,FALSE)</f>
        <v>&gt;1,000,000</v>
      </c>
      <c r="AF220" s="23">
        <v>5</v>
      </c>
      <c r="AG220" s="62">
        <v>2</v>
      </c>
      <c r="AH220" s="62">
        <v>2</v>
      </c>
      <c r="AI220" s="62">
        <v>2</v>
      </c>
      <c r="AJ220" s="62">
        <v>1</v>
      </c>
      <c r="AK220" s="45" t="s">
        <v>94</v>
      </c>
      <c r="AL220" s="36">
        <v>1000</v>
      </c>
      <c r="AM220" t="str">
        <f t="shared" si="16"/>
        <v>1000-2000</v>
      </c>
    </row>
    <row r="221" spans="1:39" x14ac:dyDescent="0.2">
      <c r="A221" s="44">
        <v>43771</v>
      </c>
      <c r="B221" s="60">
        <v>0.31527777777777777</v>
      </c>
      <c r="C221" s="60"/>
      <c r="D221" s="60" t="s">
        <v>165</v>
      </c>
      <c r="E221" s="13">
        <v>2</v>
      </c>
      <c r="F221" s="38" t="str">
        <f>VLOOKUP(E221,[1]Key!$A$17:$B$21,2,FALSE)</f>
        <v>Road Vehicle</v>
      </c>
      <c r="G221" s="61">
        <v>4</v>
      </c>
      <c r="H221" s="39" t="str">
        <f>VLOOKUP(G221,[1]Key!$A$2:$B$13,2,FALSE)</f>
        <v>Minibus</v>
      </c>
      <c r="I221" s="13" t="s">
        <v>108</v>
      </c>
      <c r="J221" s="13">
        <v>3</v>
      </c>
      <c r="K221" s="40" t="str">
        <f>VLOOKUP(J221,[1]Key!$A$24:$B$29,2,FALSE)</f>
        <v>40-49</v>
      </c>
      <c r="L221" s="13" t="s">
        <v>233</v>
      </c>
      <c r="M221" s="23" t="s">
        <v>150</v>
      </c>
      <c r="N221" s="13" t="s">
        <v>151</v>
      </c>
      <c r="O221" s="45">
        <v>2</v>
      </c>
      <c r="P221" s="30" t="str">
        <f>VLOOKUP(O221,[1]Key!$E$2:$F$9,2,FALSE)</f>
        <v>Work</v>
      </c>
      <c r="Q221" s="13" t="s">
        <v>342</v>
      </c>
      <c r="R221" s="23" t="s">
        <v>150</v>
      </c>
      <c r="S221" s="13" t="s">
        <v>151</v>
      </c>
      <c r="T221" s="23">
        <v>2</v>
      </c>
      <c r="U221" s="30" t="str">
        <f>VLOOKUP(T221,[1]Key!$E$2:$F$9,2,FALSE)</f>
        <v>Work</v>
      </c>
      <c r="V221" s="30" t="str">
        <f t="shared" si="13"/>
        <v>Work-Work</v>
      </c>
      <c r="W221" s="23">
        <v>1500</v>
      </c>
      <c r="X221" s="62">
        <v>18</v>
      </c>
      <c r="Y221" s="62" t="str">
        <f t="shared" si="14"/>
        <v>10-20</v>
      </c>
      <c r="Z221" s="62">
        <v>0.5</v>
      </c>
      <c r="AA221" s="62" t="str">
        <f t="shared" si="15"/>
        <v>0.5-1.0</v>
      </c>
      <c r="AB221" s="23">
        <v>6</v>
      </c>
      <c r="AC221" s="30" t="str">
        <f>VLOOKUP(AB221,[1]Key!$C$20:$D$29,2,FALSE)</f>
        <v>Businessman</v>
      </c>
      <c r="AD221" s="23">
        <v>5</v>
      </c>
      <c r="AE221" s="30" t="str">
        <f>VLOOKUP(AD221,[1]Key!$E$20:$F$24,2,FALSE)</f>
        <v>&gt;1,000,000</v>
      </c>
      <c r="AF221" s="23">
        <v>5</v>
      </c>
      <c r="AG221" s="62">
        <v>2</v>
      </c>
      <c r="AH221" s="62">
        <v>2</v>
      </c>
      <c r="AI221" s="62">
        <v>2</v>
      </c>
      <c r="AJ221" s="62">
        <v>1</v>
      </c>
      <c r="AK221" s="45" t="s">
        <v>94</v>
      </c>
      <c r="AL221" s="36">
        <v>1000</v>
      </c>
      <c r="AM221" t="str">
        <f t="shared" si="16"/>
        <v>1000-2000</v>
      </c>
    </row>
    <row r="222" spans="1:39" x14ac:dyDescent="0.2">
      <c r="A222" s="44">
        <v>43771</v>
      </c>
      <c r="B222" s="60">
        <v>0.33124999999999999</v>
      </c>
      <c r="C222" s="60"/>
      <c r="D222" s="60" t="s">
        <v>96</v>
      </c>
      <c r="E222" s="13">
        <v>2</v>
      </c>
      <c r="F222" s="38" t="str">
        <f>VLOOKUP(E222,[1]Key!$A$17:$B$21,2,FALSE)</f>
        <v>Road Vehicle</v>
      </c>
      <c r="G222" s="61">
        <v>4</v>
      </c>
      <c r="H222" s="39" t="str">
        <f>VLOOKUP(G222,[1]Key!$A$2:$B$13,2,FALSE)</f>
        <v>Minibus</v>
      </c>
      <c r="I222" s="13" t="s">
        <v>108</v>
      </c>
      <c r="J222" s="13">
        <v>3</v>
      </c>
      <c r="K222" s="40" t="str">
        <f>VLOOKUP(J222,[1]Key!$A$24:$B$29,2,FALSE)</f>
        <v>40-49</v>
      </c>
      <c r="L222" s="13" t="s">
        <v>233</v>
      </c>
      <c r="M222" s="23" t="s">
        <v>150</v>
      </c>
      <c r="N222" s="13" t="s">
        <v>151</v>
      </c>
      <c r="O222" s="45">
        <v>2</v>
      </c>
      <c r="P222" s="30" t="str">
        <f>VLOOKUP(O222,[1]Key!$E$2:$F$9,2,FALSE)</f>
        <v>Work</v>
      </c>
      <c r="Q222" s="13" t="s">
        <v>343</v>
      </c>
      <c r="R222" s="23" t="s">
        <v>156</v>
      </c>
      <c r="S222" s="13" t="s">
        <v>151</v>
      </c>
      <c r="T222" s="23">
        <v>2</v>
      </c>
      <c r="U222" s="30" t="str">
        <f>VLOOKUP(T222,[1]Key!$E$2:$F$9,2,FALSE)</f>
        <v>Work</v>
      </c>
      <c r="V222" s="30" t="str">
        <f t="shared" si="13"/>
        <v>Work-Work</v>
      </c>
      <c r="W222" s="23">
        <v>20000</v>
      </c>
      <c r="X222" s="62">
        <v>18</v>
      </c>
      <c r="Y222" s="62" t="str">
        <f t="shared" si="14"/>
        <v>10-20</v>
      </c>
      <c r="Z222" s="62">
        <v>0.8</v>
      </c>
      <c r="AA222" s="62" t="str">
        <f t="shared" si="15"/>
        <v>0.5-1.0</v>
      </c>
      <c r="AB222" s="23">
        <v>2</v>
      </c>
      <c r="AC222" s="30" t="str">
        <f>VLOOKUP(AB222,[1]Key!$C$20:$D$29,2,FALSE)</f>
        <v>Manual Labour</v>
      </c>
      <c r="AD222" s="23">
        <v>5</v>
      </c>
      <c r="AE222" s="30" t="str">
        <f>VLOOKUP(AD222,[1]Key!$E$20:$F$24,2,FALSE)</f>
        <v>&gt;1,000,000</v>
      </c>
      <c r="AF222" s="23">
        <v>5</v>
      </c>
      <c r="AG222" s="62">
        <v>2</v>
      </c>
      <c r="AH222" s="62">
        <v>2</v>
      </c>
      <c r="AI222" s="62">
        <v>2</v>
      </c>
      <c r="AJ222" s="62">
        <v>2</v>
      </c>
      <c r="AK222" s="45" t="s">
        <v>94</v>
      </c>
      <c r="AL222" s="36">
        <v>1000</v>
      </c>
      <c r="AM222" t="str">
        <f t="shared" si="16"/>
        <v>1000-2000</v>
      </c>
    </row>
    <row r="223" spans="1:39" x14ac:dyDescent="0.2">
      <c r="A223" s="44">
        <v>43771</v>
      </c>
      <c r="B223" s="60">
        <v>0.34861111111111115</v>
      </c>
      <c r="C223" s="60"/>
      <c r="D223" s="60" t="s">
        <v>96</v>
      </c>
      <c r="E223" s="13">
        <v>2</v>
      </c>
      <c r="F223" s="38" t="str">
        <f>VLOOKUP(E223,[1]Key!$A$17:$B$21,2,FALSE)</f>
        <v>Road Vehicle</v>
      </c>
      <c r="G223" s="61">
        <v>4</v>
      </c>
      <c r="H223" s="39" t="str">
        <f>VLOOKUP(G223,[1]Key!$A$2:$B$13,2,FALSE)</f>
        <v>Minibus</v>
      </c>
      <c r="I223" s="13" t="s">
        <v>108</v>
      </c>
      <c r="J223" s="13">
        <v>3</v>
      </c>
      <c r="K223" s="40" t="str">
        <f>VLOOKUP(J223,[1]Key!$A$24:$B$29,2,FALSE)</f>
        <v>40-49</v>
      </c>
      <c r="L223" s="13" t="s">
        <v>233</v>
      </c>
      <c r="M223" s="23" t="s">
        <v>150</v>
      </c>
      <c r="N223" s="13" t="s">
        <v>151</v>
      </c>
      <c r="O223" s="45">
        <v>2</v>
      </c>
      <c r="P223" s="30" t="str">
        <f>VLOOKUP(O223,[1]Key!$E$2:$F$9,2,FALSE)</f>
        <v>Work</v>
      </c>
      <c r="Q223" s="13" t="s">
        <v>174</v>
      </c>
      <c r="R223" s="23" t="s">
        <v>174</v>
      </c>
      <c r="S223" s="13" t="s">
        <v>151</v>
      </c>
      <c r="T223" s="23">
        <v>2</v>
      </c>
      <c r="U223" s="30" t="str">
        <f>VLOOKUP(T223,[1]Key!$E$2:$F$9,2,FALSE)</f>
        <v>Work</v>
      </c>
      <c r="V223" s="30" t="str">
        <f t="shared" si="13"/>
        <v>Work-Work</v>
      </c>
      <c r="W223" s="23">
        <v>200000</v>
      </c>
      <c r="X223" s="62">
        <v>257.5</v>
      </c>
      <c r="Y223" s="62" t="str">
        <f t="shared" si="14"/>
        <v>Over 200</v>
      </c>
      <c r="Z223" s="62">
        <v>10</v>
      </c>
      <c r="AA223" s="62" t="str">
        <f t="shared" si="15"/>
        <v>Over 3.5</v>
      </c>
      <c r="AB223" s="23">
        <v>2</v>
      </c>
      <c r="AC223" s="30" t="str">
        <f>VLOOKUP(AB223,[1]Key!$C$20:$D$29,2,FALSE)</f>
        <v>Manual Labour</v>
      </c>
      <c r="AD223" s="23">
        <v>3</v>
      </c>
      <c r="AE223" s="30" t="str">
        <f>VLOOKUP(AD223,[1]Key!$E$20:$F$24,2,FALSE)</f>
        <v>500,000-750,000</v>
      </c>
      <c r="AF223" s="23">
        <v>5</v>
      </c>
      <c r="AG223" s="62">
        <v>2</v>
      </c>
      <c r="AH223" s="62">
        <v>1</v>
      </c>
      <c r="AI223" s="62">
        <v>2</v>
      </c>
      <c r="AJ223" s="62">
        <v>1</v>
      </c>
      <c r="AK223" s="45" t="s">
        <v>94</v>
      </c>
      <c r="AL223" s="36">
        <v>1000</v>
      </c>
      <c r="AM223" t="str">
        <f t="shared" si="16"/>
        <v>1000-2000</v>
      </c>
    </row>
    <row r="224" spans="1:39" x14ac:dyDescent="0.2">
      <c r="A224" s="44">
        <v>43771</v>
      </c>
      <c r="B224" s="60">
        <v>0.3666666666666667</v>
      </c>
      <c r="C224" s="60"/>
      <c r="D224" s="60" t="s">
        <v>96</v>
      </c>
      <c r="E224" s="13">
        <v>2</v>
      </c>
      <c r="F224" s="38" t="str">
        <f>VLOOKUP(E224,[1]Key!$A$17:$B$21,2,FALSE)</f>
        <v>Road Vehicle</v>
      </c>
      <c r="G224" s="61">
        <v>4</v>
      </c>
      <c r="H224" s="39" t="str">
        <f>VLOOKUP(G224,[1]Key!$A$2:$B$13,2,FALSE)</f>
        <v>Minibus</v>
      </c>
      <c r="I224" s="13" t="s">
        <v>108</v>
      </c>
      <c r="J224" s="13">
        <v>3</v>
      </c>
      <c r="K224" s="40" t="str">
        <f>VLOOKUP(J224,[1]Key!$A$24:$B$29,2,FALSE)</f>
        <v>40-49</v>
      </c>
      <c r="L224" s="13" t="s">
        <v>233</v>
      </c>
      <c r="M224" s="23" t="s">
        <v>150</v>
      </c>
      <c r="N224" s="13" t="s">
        <v>151</v>
      </c>
      <c r="O224" s="45">
        <v>2</v>
      </c>
      <c r="P224" s="30" t="str">
        <f>VLOOKUP(O224,[1]Key!$E$2:$F$9,2,FALSE)</f>
        <v>Work</v>
      </c>
      <c r="Q224" s="13" t="s">
        <v>344</v>
      </c>
      <c r="R224" s="23" t="s">
        <v>150</v>
      </c>
      <c r="S224" s="13" t="s">
        <v>151</v>
      </c>
      <c r="T224" s="23">
        <v>2</v>
      </c>
      <c r="U224" s="30" t="str">
        <f>VLOOKUP(T224,[1]Key!$E$2:$F$9,2,FALSE)</f>
        <v>Work</v>
      </c>
      <c r="V224" s="30" t="str">
        <f t="shared" si="13"/>
        <v>Work-Work</v>
      </c>
      <c r="W224" s="23">
        <v>7000</v>
      </c>
      <c r="X224" s="62">
        <v>4</v>
      </c>
      <c r="Y224" s="62" t="str">
        <f t="shared" si="14"/>
        <v>0-10</v>
      </c>
      <c r="Z224" s="62">
        <v>1</v>
      </c>
      <c r="AA224" s="62" t="str">
        <f t="shared" si="15"/>
        <v>1.0-2.0</v>
      </c>
      <c r="AB224" s="23">
        <v>2</v>
      </c>
      <c r="AC224" s="30" t="str">
        <f>VLOOKUP(AB224,[1]Key!$C$20:$D$29,2,FALSE)</f>
        <v>Manual Labour</v>
      </c>
      <c r="AD224" s="23">
        <v>3</v>
      </c>
      <c r="AE224" s="30" t="str">
        <f>VLOOKUP(AD224,[1]Key!$E$20:$F$24,2,FALSE)</f>
        <v>500,000-750,000</v>
      </c>
      <c r="AF224" s="23">
        <v>5</v>
      </c>
      <c r="AG224" s="62">
        <v>2</v>
      </c>
      <c r="AH224" s="62">
        <v>1</v>
      </c>
      <c r="AI224" s="62">
        <v>2</v>
      </c>
      <c r="AJ224" s="62">
        <v>2</v>
      </c>
      <c r="AK224" s="45" t="s">
        <v>94</v>
      </c>
      <c r="AL224" s="36">
        <v>500</v>
      </c>
      <c r="AM224" t="str">
        <f t="shared" si="16"/>
        <v>0-1000</v>
      </c>
    </row>
    <row r="225" spans="1:39" x14ac:dyDescent="0.2">
      <c r="A225" s="44">
        <v>43771</v>
      </c>
      <c r="B225" s="60">
        <v>0.38819444444444445</v>
      </c>
      <c r="C225" s="60"/>
      <c r="D225" s="60" t="s">
        <v>96</v>
      </c>
      <c r="E225" s="13">
        <v>2</v>
      </c>
      <c r="F225" s="38" t="str">
        <f>VLOOKUP(E225,[1]Key!$A$17:$B$21,2,FALSE)</f>
        <v>Road Vehicle</v>
      </c>
      <c r="G225" s="61">
        <v>4</v>
      </c>
      <c r="H225" s="39" t="str">
        <f>VLOOKUP(G225,[1]Key!$A$2:$B$13,2,FALSE)</f>
        <v>Minibus</v>
      </c>
      <c r="I225" s="13" t="s">
        <v>108</v>
      </c>
      <c r="J225" s="13">
        <v>3</v>
      </c>
      <c r="K225" s="40" t="str">
        <f>VLOOKUP(J225,[1]Key!$A$24:$B$29,2,FALSE)</f>
        <v>40-49</v>
      </c>
      <c r="L225" s="13" t="s">
        <v>233</v>
      </c>
      <c r="M225" s="23" t="s">
        <v>150</v>
      </c>
      <c r="N225" s="13" t="s">
        <v>151</v>
      </c>
      <c r="O225" s="45">
        <v>2</v>
      </c>
      <c r="P225" s="30" t="str">
        <f>VLOOKUP(O225,[1]Key!$E$2:$F$9,2,FALSE)</f>
        <v>Work</v>
      </c>
      <c r="Q225" s="13" t="s">
        <v>187</v>
      </c>
      <c r="R225" s="23" t="s">
        <v>187</v>
      </c>
      <c r="S225" s="13" t="s">
        <v>151</v>
      </c>
      <c r="T225" s="23">
        <v>2</v>
      </c>
      <c r="U225" s="30" t="str">
        <f>VLOOKUP(T225,[1]Key!$E$2:$F$9,2,FALSE)</f>
        <v>Work</v>
      </c>
      <c r="V225" s="30" t="str">
        <f t="shared" si="13"/>
        <v>Work-Work</v>
      </c>
      <c r="W225" s="23">
        <v>140000</v>
      </c>
      <c r="X225" s="62">
        <v>250</v>
      </c>
      <c r="Y225" s="62" t="str">
        <f t="shared" si="14"/>
        <v>Over 200</v>
      </c>
      <c r="Z225" s="62">
        <v>5</v>
      </c>
      <c r="AA225" s="62" t="str">
        <f t="shared" si="15"/>
        <v>Over 3.5</v>
      </c>
      <c r="AB225" s="23">
        <v>2</v>
      </c>
      <c r="AC225" s="30" t="str">
        <f>VLOOKUP(AB225,[1]Key!$C$20:$D$29,2,FALSE)</f>
        <v>Manual Labour</v>
      </c>
      <c r="AD225" s="23">
        <v>3</v>
      </c>
      <c r="AE225" s="30" t="str">
        <f>VLOOKUP(AD225,[1]Key!$E$20:$F$24,2,FALSE)</f>
        <v>500,000-750,000</v>
      </c>
      <c r="AF225" s="23">
        <v>5</v>
      </c>
      <c r="AG225" s="62">
        <v>1</v>
      </c>
      <c r="AH225" s="62">
        <v>2</v>
      </c>
      <c r="AI225" s="62">
        <v>2</v>
      </c>
      <c r="AJ225" s="62">
        <v>1</v>
      </c>
      <c r="AK225" s="45" t="s">
        <v>94</v>
      </c>
      <c r="AL225" s="36">
        <v>1000</v>
      </c>
      <c r="AM225" t="str">
        <f t="shared" si="16"/>
        <v>1000-2000</v>
      </c>
    </row>
    <row r="226" spans="1:39" x14ac:dyDescent="0.2">
      <c r="A226" s="44">
        <v>43771</v>
      </c>
      <c r="B226" s="60">
        <v>0.39652777777777781</v>
      </c>
      <c r="C226" s="60"/>
      <c r="D226" s="60" t="s">
        <v>96</v>
      </c>
      <c r="E226" s="13">
        <v>2</v>
      </c>
      <c r="F226" s="38" t="str">
        <f>VLOOKUP(E226,[1]Key!$A$17:$B$21,2,FALSE)</f>
        <v>Road Vehicle</v>
      </c>
      <c r="G226" s="61">
        <v>4</v>
      </c>
      <c r="H226" s="39" t="str">
        <f>VLOOKUP(G226,[1]Key!$A$2:$B$13,2,FALSE)</f>
        <v>Minibus</v>
      </c>
      <c r="I226" s="13" t="s">
        <v>108</v>
      </c>
      <c r="J226" s="13">
        <v>3</v>
      </c>
      <c r="K226" s="40" t="str">
        <f>VLOOKUP(J226,[1]Key!$A$24:$B$29,2,FALSE)</f>
        <v>40-49</v>
      </c>
      <c r="L226" s="13" t="s">
        <v>233</v>
      </c>
      <c r="M226" s="23" t="s">
        <v>150</v>
      </c>
      <c r="N226" s="13" t="s">
        <v>151</v>
      </c>
      <c r="O226" s="45">
        <v>2</v>
      </c>
      <c r="P226" s="30" t="str">
        <f>VLOOKUP(O226,[1]Key!$E$2:$F$9,2,FALSE)</f>
        <v>Work</v>
      </c>
      <c r="Q226" s="13" t="s">
        <v>345</v>
      </c>
      <c r="R226" s="23" t="s">
        <v>345</v>
      </c>
      <c r="S226" s="13" t="s">
        <v>151</v>
      </c>
      <c r="T226" s="23">
        <v>2</v>
      </c>
      <c r="U226" s="30" t="str">
        <f>VLOOKUP(T226,[1]Key!$E$2:$F$9,2,FALSE)</f>
        <v>Work</v>
      </c>
      <c r="V226" s="30" t="str">
        <f t="shared" si="13"/>
        <v>Work-Work</v>
      </c>
      <c r="W226" s="23">
        <v>15000</v>
      </c>
      <c r="X226" s="62">
        <v>160.9</v>
      </c>
      <c r="Y226" s="62" t="str">
        <f t="shared" si="14"/>
        <v>100-200</v>
      </c>
      <c r="Z226" s="62">
        <v>4</v>
      </c>
      <c r="AA226" s="62" t="str">
        <f t="shared" si="15"/>
        <v>Over 3.5</v>
      </c>
      <c r="AB226" s="23">
        <v>2</v>
      </c>
      <c r="AC226" s="30" t="str">
        <f>VLOOKUP(AB226,[1]Key!$C$20:$D$29,2,FALSE)</f>
        <v>Manual Labour</v>
      </c>
      <c r="AD226" s="23">
        <v>4</v>
      </c>
      <c r="AE226" s="30" t="str">
        <f>VLOOKUP(AD226,[1]Key!$E$20:$F$24,2,FALSE)</f>
        <v>750,000-1,000,000</v>
      </c>
      <c r="AF226" s="23">
        <v>5</v>
      </c>
      <c r="AG226" s="62">
        <v>1</v>
      </c>
      <c r="AH226" s="62">
        <v>2</v>
      </c>
      <c r="AI226" s="62">
        <v>1</v>
      </c>
      <c r="AJ226" s="62">
        <v>2</v>
      </c>
      <c r="AK226" s="45" t="s">
        <v>94</v>
      </c>
      <c r="AL226" s="36">
        <v>1000</v>
      </c>
      <c r="AM226" t="str">
        <f t="shared" si="16"/>
        <v>1000-2000</v>
      </c>
    </row>
    <row r="227" spans="1:39" x14ac:dyDescent="0.2">
      <c r="A227" s="44">
        <v>43771</v>
      </c>
      <c r="B227" s="60">
        <v>0.45</v>
      </c>
      <c r="C227" s="60"/>
      <c r="D227" s="60" t="s">
        <v>96</v>
      </c>
      <c r="E227" s="13">
        <v>2</v>
      </c>
      <c r="F227" s="38" t="str">
        <f>VLOOKUP(E227,[1]Key!$A$17:$B$21,2,FALSE)</f>
        <v>Road Vehicle</v>
      </c>
      <c r="G227" s="61">
        <v>4</v>
      </c>
      <c r="H227" s="39" t="str">
        <f>VLOOKUP(G227,[1]Key!$A$2:$B$13,2,FALSE)</f>
        <v>Minibus</v>
      </c>
      <c r="I227" s="13" t="s">
        <v>108</v>
      </c>
      <c r="J227" s="13">
        <v>3</v>
      </c>
      <c r="K227" s="40" t="str">
        <f>VLOOKUP(J227,[1]Key!$A$24:$B$29,2,FALSE)</f>
        <v>40-49</v>
      </c>
      <c r="L227" s="13" t="s">
        <v>233</v>
      </c>
      <c r="M227" s="23" t="s">
        <v>150</v>
      </c>
      <c r="N227" s="13" t="s">
        <v>151</v>
      </c>
      <c r="O227" s="45">
        <v>2</v>
      </c>
      <c r="P227" s="30" t="str">
        <f>VLOOKUP(O227,[1]Key!$E$2:$F$9,2,FALSE)</f>
        <v>Work</v>
      </c>
      <c r="Q227" s="13" t="s">
        <v>346</v>
      </c>
      <c r="R227" s="23" t="s">
        <v>325</v>
      </c>
      <c r="S227" s="13" t="s">
        <v>151</v>
      </c>
      <c r="T227" s="23">
        <v>2</v>
      </c>
      <c r="U227" s="30" t="str">
        <f>VLOOKUP(T227,[1]Key!$E$2:$F$9,2,FALSE)</f>
        <v>Work</v>
      </c>
      <c r="V227" s="30" t="str">
        <f t="shared" si="13"/>
        <v>Work-Work</v>
      </c>
      <c r="W227" s="23">
        <v>70000</v>
      </c>
      <c r="X227" s="62">
        <v>31</v>
      </c>
      <c r="Y227" s="62" t="str">
        <f t="shared" si="14"/>
        <v>20-40</v>
      </c>
      <c r="Z227" s="62">
        <v>2</v>
      </c>
      <c r="AA227" s="62" t="str">
        <f t="shared" si="15"/>
        <v>2.0-3.5</v>
      </c>
      <c r="AB227" s="23">
        <v>2</v>
      </c>
      <c r="AC227" s="30" t="str">
        <f>VLOOKUP(AB227,[1]Key!$C$20:$D$29,2,FALSE)</f>
        <v>Manual Labour</v>
      </c>
      <c r="AD227" s="23">
        <v>4</v>
      </c>
      <c r="AE227" s="30" t="str">
        <f>VLOOKUP(AD227,[1]Key!$E$20:$F$24,2,FALSE)</f>
        <v>750,000-1,000,000</v>
      </c>
      <c r="AF227" s="23">
        <v>5</v>
      </c>
      <c r="AG227" s="62">
        <v>2</v>
      </c>
      <c r="AH227" s="62">
        <v>1</v>
      </c>
      <c r="AI227" s="62">
        <v>1</v>
      </c>
      <c r="AJ227" s="62">
        <v>2</v>
      </c>
      <c r="AK227" s="45" t="s">
        <v>94</v>
      </c>
      <c r="AL227" s="36">
        <v>500</v>
      </c>
      <c r="AM227" t="str">
        <f t="shared" si="16"/>
        <v>0-1000</v>
      </c>
    </row>
    <row r="228" spans="1:39" x14ac:dyDescent="0.2">
      <c r="A228" s="44">
        <v>43771</v>
      </c>
      <c r="B228" s="60">
        <v>0.46527777777777773</v>
      </c>
      <c r="C228" s="60"/>
      <c r="D228" s="60" t="s">
        <v>96</v>
      </c>
      <c r="E228" s="13">
        <v>2</v>
      </c>
      <c r="F228" s="38" t="str">
        <f>VLOOKUP(E228,[1]Key!$A$17:$B$21,2,FALSE)</f>
        <v>Road Vehicle</v>
      </c>
      <c r="G228" s="61">
        <v>4</v>
      </c>
      <c r="H228" s="39" t="str">
        <f>VLOOKUP(G228,[1]Key!$A$2:$B$13,2,FALSE)</f>
        <v>Minibus</v>
      </c>
      <c r="I228" s="13" t="s">
        <v>108</v>
      </c>
      <c r="J228" s="13">
        <v>3</v>
      </c>
      <c r="K228" s="40" t="str">
        <f>VLOOKUP(J228,[1]Key!$A$24:$B$29,2,FALSE)</f>
        <v>40-49</v>
      </c>
      <c r="L228" s="13" t="s">
        <v>233</v>
      </c>
      <c r="M228" s="23" t="s">
        <v>150</v>
      </c>
      <c r="N228" s="13" t="s">
        <v>151</v>
      </c>
      <c r="O228" s="45">
        <v>2</v>
      </c>
      <c r="P228" s="30" t="str">
        <f>VLOOKUP(O228,[1]Key!$E$2:$F$9,2,FALSE)</f>
        <v>Work</v>
      </c>
      <c r="Q228" s="13" t="s">
        <v>231</v>
      </c>
      <c r="R228" s="23" t="s">
        <v>202</v>
      </c>
      <c r="S228" s="13" t="s">
        <v>151</v>
      </c>
      <c r="T228" s="23">
        <v>2</v>
      </c>
      <c r="U228" s="30" t="str">
        <f>VLOOKUP(T228,[1]Key!$E$2:$F$9,2,FALSE)</f>
        <v>Work</v>
      </c>
      <c r="V228" s="30" t="str">
        <f t="shared" si="13"/>
        <v>Work-Work</v>
      </c>
      <c r="W228" s="23">
        <v>170000</v>
      </c>
      <c r="X228" s="62">
        <v>80</v>
      </c>
      <c r="Y228" s="62" t="str">
        <f t="shared" si="14"/>
        <v>70-100</v>
      </c>
      <c r="Z228" s="62">
        <v>3.5</v>
      </c>
      <c r="AA228" s="62" t="str">
        <f t="shared" si="15"/>
        <v>Over 3.5</v>
      </c>
      <c r="AB228" s="23">
        <v>2</v>
      </c>
      <c r="AC228" s="30" t="str">
        <f>VLOOKUP(AB228,[1]Key!$C$20:$D$29,2,FALSE)</f>
        <v>Manual Labour</v>
      </c>
      <c r="AD228" s="23">
        <v>3</v>
      </c>
      <c r="AE228" s="30" t="str">
        <f>VLOOKUP(AD228,[1]Key!$E$20:$F$24,2,FALSE)</f>
        <v>500,000-750,000</v>
      </c>
      <c r="AF228" s="23">
        <v>5</v>
      </c>
      <c r="AG228" s="62">
        <v>1</v>
      </c>
      <c r="AH228" s="62">
        <v>2</v>
      </c>
      <c r="AI228" s="62">
        <v>2</v>
      </c>
      <c r="AJ228" s="62">
        <v>2</v>
      </c>
      <c r="AK228" s="45" t="s">
        <v>94</v>
      </c>
      <c r="AL228" s="36">
        <v>1000</v>
      </c>
      <c r="AM228" t="str">
        <f t="shared" si="16"/>
        <v>1000-2000</v>
      </c>
    </row>
    <row r="229" spans="1:39" x14ac:dyDescent="0.2">
      <c r="A229" s="44">
        <v>43771</v>
      </c>
      <c r="B229" s="60">
        <v>0.48194444444444445</v>
      </c>
      <c r="C229" s="60"/>
      <c r="D229" s="60" t="s">
        <v>96</v>
      </c>
      <c r="E229" s="13">
        <v>2</v>
      </c>
      <c r="F229" s="38" t="str">
        <f>VLOOKUP(E229,[1]Key!$A$17:$B$21,2,FALSE)</f>
        <v>Road Vehicle</v>
      </c>
      <c r="G229" s="61">
        <v>4</v>
      </c>
      <c r="H229" s="39" t="str">
        <f>VLOOKUP(G229,[1]Key!$A$2:$B$13,2,FALSE)</f>
        <v>Minibus</v>
      </c>
      <c r="I229" s="13" t="s">
        <v>108</v>
      </c>
      <c r="J229" s="13">
        <v>3</v>
      </c>
      <c r="K229" s="40" t="str">
        <f>VLOOKUP(J229,[1]Key!$A$24:$B$29,2,FALSE)</f>
        <v>40-49</v>
      </c>
      <c r="L229" s="13" t="s">
        <v>233</v>
      </c>
      <c r="M229" s="23" t="s">
        <v>150</v>
      </c>
      <c r="N229" s="13" t="s">
        <v>151</v>
      </c>
      <c r="O229" s="45">
        <v>2</v>
      </c>
      <c r="P229" s="30" t="str">
        <f>VLOOKUP(O229,[1]Key!$E$2:$F$9,2,FALSE)</f>
        <v>Work</v>
      </c>
      <c r="Q229" s="13" t="s">
        <v>236</v>
      </c>
      <c r="R229" s="23" t="s">
        <v>150</v>
      </c>
      <c r="S229" s="13" t="s">
        <v>151</v>
      </c>
      <c r="T229" s="23">
        <v>2</v>
      </c>
      <c r="U229" s="30" t="str">
        <f>VLOOKUP(T229,[1]Key!$E$2:$F$9,2,FALSE)</f>
        <v>Work</v>
      </c>
      <c r="V229" s="30" t="str">
        <f t="shared" si="13"/>
        <v>Work-Work</v>
      </c>
      <c r="W229" s="23">
        <v>8000</v>
      </c>
      <c r="X229" s="62">
        <v>8</v>
      </c>
      <c r="Y229" s="62" t="str">
        <f t="shared" si="14"/>
        <v>0-10</v>
      </c>
      <c r="Z229" s="62">
        <v>0.6</v>
      </c>
      <c r="AA229" s="62" t="str">
        <f t="shared" si="15"/>
        <v>0.5-1.0</v>
      </c>
      <c r="AB229" s="23">
        <v>2</v>
      </c>
      <c r="AC229" s="30" t="str">
        <f>VLOOKUP(AB229,[1]Key!$C$20:$D$29,2,FALSE)</f>
        <v>Manual Labour</v>
      </c>
      <c r="AD229" s="23">
        <v>3</v>
      </c>
      <c r="AE229" s="30" t="str">
        <f>VLOOKUP(AD229,[1]Key!$E$20:$F$24,2,FALSE)</f>
        <v>500,000-750,000</v>
      </c>
      <c r="AF229" s="23">
        <v>1</v>
      </c>
      <c r="AG229" s="62">
        <v>2</v>
      </c>
      <c r="AH229" s="62">
        <v>1</v>
      </c>
      <c r="AI229" s="62">
        <v>2</v>
      </c>
      <c r="AJ229" s="62">
        <v>1</v>
      </c>
      <c r="AK229" s="45" t="s">
        <v>94</v>
      </c>
      <c r="AL229" s="36">
        <v>500</v>
      </c>
      <c r="AM229" t="str">
        <f t="shared" si="16"/>
        <v>0-1000</v>
      </c>
    </row>
    <row r="230" spans="1:39" x14ac:dyDescent="0.2">
      <c r="A230" s="44">
        <v>43771</v>
      </c>
      <c r="B230" s="60">
        <v>0.4909722222222222</v>
      </c>
      <c r="C230" s="60"/>
      <c r="D230" s="60" t="s">
        <v>96</v>
      </c>
      <c r="E230" s="13">
        <v>2</v>
      </c>
      <c r="F230" s="38" t="str">
        <f>VLOOKUP(E230,[1]Key!$A$17:$B$21,2,FALSE)</f>
        <v>Road Vehicle</v>
      </c>
      <c r="G230" s="61">
        <v>4</v>
      </c>
      <c r="H230" s="39" t="str">
        <f>VLOOKUP(G230,[1]Key!$A$2:$B$13,2,FALSE)</f>
        <v>Minibus</v>
      </c>
      <c r="I230" s="13" t="s">
        <v>108</v>
      </c>
      <c r="J230" s="13">
        <v>3</v>
      </c>
      <c r="K230" s="40" t="str">
        <f>VLOOKUP(J230,[1]Key!$A$24:$B$29,2,FALSE)</f>
        <v>40-49</v>
      </c>
      <c r="L230" s="13" t="s">
        <v>233</v>
      </c>
      <c r="M230" s="23" t="s">
        <v>150</v>
      </c>
      <c r="N230" s="13" t="s">
        <v>151</v>
      </c>
      <c r="O230" s="45">
        <v>2</v>
      </c>
      <c r="P230" s="30" t="str">
        <f>VLOOKUP(O230,[1]Key!$E$2:$F$9,2,FALSE)</f>
        <v>Work</v>
      </c>
      <c r="Q230" s="13" t="s">
        <v>213</v>
      </c>
      <c r="R230" s="23" t="s">
        <v>150</v>
      </c>
      <c r="S230" s="13" t="s">
        <v>151</v>
      </c>
      <c r="T230" s="23">
        <v>2</v>
      </c>
      <c r="U230" s="30" t="str">
        <f>VLOOKUP(T230,[1]Key!$E$2:$F$9,2,FALSE)</f>
        <v>Work</v>
      </c>
      <c r="V230" s="30" t="str">
        <f t="shared" si="13"/>
        <v>Work-Work</v>
      </c>
      <c r="W230" s="23">
        <v>1500</v>
      </c>
      <c r="X230" s="62">
        <v>4</v>
      </c>
      <c r="Y230" s="62" t="str">
        <f t="shared" si="14"/>
        <v>0-10</v>
      </c>
      <c r="Z230" s="62">
        <v>0.8</v>
      </c>
      <c r="AA230" s="62" t="str">
        <f t="shared" si="15"/>
        <v>0.5-1.0</v>
      </c>
      <c r="AB230" s="23">
        <v>2</v>
      </c>
      <c r="AC230" s="30" t="str">
        <f>VLOOKUP(AB230,[1]Key!$C$20:$D$29,2,FALSE)</f>
        <v>Manual Labour</v>
      </c>
      <c r="AD230" s="23">
        <v>4</v>
      </c>
      <c r="AE230" s="30" t="str">
        <f>VLOOKUP(AD230,[1]Key!$E$20:$F$24,2,FALSE)</f>
        <v>750,000-1,000,000</v>
      </c>
      <c r="AF230" s="23">
        <v>2</v>
      </c>
      <c r="AG230" s="62">
        <v>1</v>
      </c>
      <c r="AH230" s="62">
        <v>3</v>
      </c>
      <c r="AI230" s="62">
        <v>1</v>
      </c>
      <c r="AJ230" s="62">
        <v>1</v>
      </c>
      <c r="AK230" s="45" t="s">
        <v>94</v>
      </c>
      <c r="AL230" s="36">
        <v>1000</v>
      </c>
      <c r="AM230" t="str">
        <f t="shared" si="16"/>
        <v>1000-2000</v>
      </c>
    </row>
    <row r="231" spans="1:39" x14ac:dyDescent="0.2">
      <c r="A231" s="44">
        <v>43771</v>
      </c>
      <c r="B231" s="60">
        <v>0.50416666666666665</v>
      </c>
      <c r="C231" s="60"/>
      <c r="D231" s="60" t="s">
        <v>96</v>
      </c>
      <c r="E231" s="13">
        <v>2</v>
      </c>
      <c r="F231" s="38" t="str">
        <f>VLOOKUP(E231,[1]Key!$A$17:$B$21,2,FALSE)</f>
        <v>Road Vehicle</v>
      </c>
      <c r="G231" s="61">
        <v>4</v>
      </c>
      <c r="H231" s="39" t="str">
        <f>VLOOKUP(G231,[1]Key!$A$2:$B$13,2,FALSE)</f>
        <v>Minibus</v>
      </c>
      <c r="I231" s="13" t="s">
        <v>108</v>
      </c>
      <c r="J231" s="13">
        <v>3</v>
      </c>
      <c r="K231" s="40" t="str">
        <f>VLOOKUP(J231,[1]Key!$A$24:$B$29,2,FALSE)</f>
        <v>40-49</v>
      </c>
      <c r="L231" s="13" t="s">
        <v>233</v>
      </c>
      <c r="M231" s="23" t="s">
        <v>150</v>
      </c>
      <c r="N231" s="13" t="s">
        <v>151</v>
      </c>
      <c r="O231" s="45">
        <v>2</v>
      </c>
      <c r="P231" s="30" t="str">
        <f>VLOOKUP(O231,[1]Key!$E$2:$F$9,2,FALSE)</f>
        <v>Work</v>
      </c>
      <c r="Q231" s="13" t="s">
        <v>347</v>
      </c>
      <c r="R231" s="23" t="s">
        <v>190</v>
      </c>
      <c r="S231" s="13" t="s">
        <v>151</v>
      </c>
      <c r="T231" s="23">
        <v>2</v>
      </c>
      <c r="U231" s="30" t="str">
        <f>VLOOKUP(T231,[1]Key!$E$2:$F$9,2,FALSE)</f>
        <v>Work</v>
      </c>
      <c r="V231" s="30" t="str">
        <f t="shared" si="13"/>
        <v>Work-Work</v>
      </c>
      <c r="W231" s="23">
        <v>190000</v>
      </c>
      <c r="X231" s="62">
        <v>128.69999999999999</v>
      </c>
      <c r="Y231" s="62" t="str">
        <f t="shared" si="14"/>
        <v>100-200</v>
      </c>
      <c r="Z231" s="62">
        <v>4</v>
      </c>
      <c r="AA231" s="62" t="str">
        <f t="shared" si="15"/>
        <v>Over 3.5</v>
      </c>
      <c r="AB231" s="23">
        <v>2</v>
      </c>
      <c r="AC231" s="30" t="str">
        <f>VLOOKUP(AB231,[1]Key!$C$20:$D$29,2,FALSE)</f>
        <v>Manual Labour</v>
      </c>
      <c r="AD231" s="23">
        <v>4</v>
      </c>
      <c r="AE231" s="30" t="str">
        <f>VLOOKUP(AD231,[1]Key!$E$20:$F$24,2,FALSE)</f>
        <v>750,000-1,000,000</v>
      </c>
      <c r="AF231" s="23">
        <v>5</v>
      </c>
      <c r="AG231" s="62">
        <v>2</v>
      </c>
      <c r="AH231" s="62">
        <v>1</v>
      </c>
      <c r="AI231" s="62">
        <v>2</v>
      </c>
      <c r="AJ231" s="62">
        <v>1</v>
      </c>
      <c r="AK231" s="45" t="s">
        <v>94</v>
      </c>
      <c r="AL231" s="36">
        <v>1000</v>
      </c>
      <c r="AM231" t="str">
        <f t="shared" si="16"/>
        <v>1000-2000</v>
      </c>
    </row>
    <row r="232" spans="1:39" x14ac:dyDescent="0.2">
      <c r="A232" s="44">
        <v>43771</v>
      </c>
      <c r="B232" s="60">
        <v>0.51944444444444449</v>
      </c>
      <c r="C232" s="60"/>
      <c r="D232" s="60" t="s">
        <v>165</v>
      </c>
      <c r="E232" s="13">
        <v>2</v>
      </c>
      <c r="F232" s="38" t="str">
        <f>VLOOKUP(E232,[1]Key!$A$17:$B$21,2,FALSE)</f>
        <v>Road Vehicle</v>
      </c>
      <c r="G232" s="61">
        <v>4</v>
      </c>
      <c r="H232" s="39" t="str">
        <f>VLOOKUP(G232,[1]Key!$A$2:$B$13,2,FALSE)</f>
        <v>Minibus</v>
      </c>
      <c r="I232" s="13" t="s">
        <v>108</v>
      </c>
      <c r="J232" s="13">
        <v>3</v>
      </c>
      <c r="K232" s="40" t="str">
        <f>VLOOKUP(J232,[1]Key!$A$24:$B$29,2,FALSE)</f>
        <v>40-49</v>
      </c>
      <c r="L232" s="13" t="s">
        <v>233</v>
      </c>
      <c r="M232" s="23" t="s">
        <v>150</v>
      </c>
      <c r="N232" s="13" t="s">
        <v>151</v>
      </c>
      <c r="O232" s="45">
        <v>2</v>
      </c>
      <c r="P232" s="30" t="str">
        <f>VLOOKUP(O232,[1]Key!$E$2:$F$9,2,FALSE)</f>
        <v>Work</v>
      </c>
      <c r="Q232" s="13" t="s">
        <v>347</v>
      </c>
      <c r="R232" s="23" t="s">
        <v>190</v>
      </c>
      <c r="S232" s="13" t="s">
        <v>151</v>
      </c>
      <c r="T232" s="23">
        <v>2</v>
      </c>
      <c r="U232" s="30" t="str">
        <f>VLOOKUP(T232,[1]Key!$E$2:$F$9,2,FALSE)</f>
        <v>Work</v>
      </c>
      <c r="V232" s="30" t="str">
        <f t="shared" si="13"/>
        <v>Work-Work</v>
      </c>
      <c r="W232" s="23">
        <v>10000</v>
      </c>
      <c r="X232" s="62">
        <v>128.69999999999999</v>
      </c>
      <c r="Y232" s="62" t="str">
        <f t="shared" si="14"/>
        <v>100-200</v>
      </c>
      <c r="Z232" s="62">
        <v>4</v>
      </c>
      <c r="AA232" s="62" t="str">
        <f t="shared" si="15"/>
        <v>Over 3.5</v>
      </c>
      <c r="AB232" s="23">
        <v>6</v>
      </c>
      <c r="AC232" s="30" t="str">
        <f>VLOOKUP(AB232,[1]Key!$C$20:$D$29,2,FALSE)</f>
        <v>Businessman</v>
      </c>
      <c r="AD232" s="23">
        <v>3</v>
      </c>
      <c r="AE232" s="30" t="str">
        <f>VLOOKUP(AD232,[1]Key!$E$20:$F$24,2,FALSE)</f>
        <v>500,000-750,000</v>
      </c>
      <c r="AF232" s="23">
        <v>4</v>
      </c>
      <c r="AG232" s="62">
        <v>2</v>
      </c>
      <c r="AH232" s="62">
        <v>2</v>
      </c>
      <c r="AI232" s="62">
        <v>2</v>
      </c>
      <c r="AJ232" s="62">
        <v>2</v>
      </c>
      <c r="AK232" s="45" t="s">
        <v>94</v>
      </c>
      <c r="AL232" s="36">
        <v>1000</v>
      </c>
      <c r="AM232" t="str">
        <f t="shared" si="16"/>
        <v>1000-2000</v>
      </c>
    </row>
    <row r="233" spans="1:39" x14ac:dyDescent="0.2">
      <c r="A233" s="44">
        <v>43771</v>
      </c>
      <c r="B233" s="60">
        <v>0.56041666666666667</v>
      </c>
      <c r="C233" s="60"/>
      <c r="D233" s="60" t="s">
        <v>96</v>
      </c>
      <c r="E233" s="13">
        <v>2</v>
      </c>
      <c r="F233" s="38" t="str">
        <f>VLOOKUP(E233,[1]Key!$A$17:$B$21,2,FALSE)</f>
        <v>Road Vehicle</v>
      </c>
      <c r="G233" s="61">
        <v>4</v>
      </c>
      <c r="H233" s="39" t="str">
        <f>VLOOKUP(G233,[1]Key!$A$2:$B$13,2,FALSE)</f>
        <v>Minibus</v>
      </c>
      <c r="I233" s="13" t="s">
        <v>108</v>
      </c>
      <c r="J233" s="13">
        <v>3</v>
      </c>
      <c r="K233" s="40" t="str">
        <f>VLOOKUP(J233,[1]Key!$A$24:$B$29,2,FALSE)</f>
        <v>40-49</v>
      </c>
      <c r="L233" s="13" t="s">
        <v>233</v>
      </c>
      <c r="M233" s="23" t="s">
        <v>150</v>
      </c>
      <c r="N233" s="13" t="s">
        <v>151</v>
      </c>
      <c r="O233" s="45">
        <v>2</v>
      </c>
      <c r="P233" s="30" t="str">
        <f>VLOOKUP(O233,[1]Key!$E$2:$F$9,2,FALSE)</f>
        <v>Work</v>
      </c>
      <c r="Q233" s="13" t="s">
        <v>348</v>
      </c>
      <c r="R233" s="23" t="s">
        <v>150</v>
      </c>
      <c r="S233" s="13" t="s">
        <v>151</v>
      </c>
      <c r="T233" s="23">
        <v>2</v>
      </c>
      <c r="U233" s="30" t="str">
        <f>VLOOKUP(T233,[1]Key!$E$2:$F$9,2,FALSE)</f>
        <v>Work</v>
      </c>
      <c r="V233" s="30" t="str">
        <f t="shared" si="13"/>
        <v>Work-Work</v>
      </c>
      <c r="W233" s="23">
        <v>12000</v>
      </c>
      <c r="X233" s="62">
        <v>9.1999999999999993</v>
      </c>
      <c r="Y233" s="62" t="str">
        <f t="shared" si="14"/>
        <v>0-10</v>
      </c>
      <c r="Z233" s="62">
        <v>1</v>
      </c>
      <c r="AA233" s="62" t="str">
        <f t="shared" si="15"/>
        <v>1.0-2.0</v>
      </c>
      <c r="AB233" s="23">
        <v>2</v>
      </c>
      <c r="AC233" s="30" t="str">
        <f>VLOOKUP(AB233,[1]Key!$C$20:$D$29,2,FALSE)</f>
        <v>Manual Labour</v>
      </c>
      <c r="AD233" s="23">
        <v>5</v>
      </c>
      <c r="AE233" s="30" t="str">
        <f>VLOOKUP(AD233,[1]Key!$E$20:$F$24,2,FALSE)</f>
        <v>&gt;1,000,000</v>
      </c>
      <c r="AF233" s="23">
        <v>5</v>
      </c>
      <c r="AG233" s="62">
        <v>1</v>
      </c>
      <c r="AH233" s="62">
        <v>2</v>
      </c>
      <c r="AI233" s="62">
        <v>2</v>
      </c>
      <c r="AJ233" s="62">
        <v>1</v>
      </c>
      <c r="AK233" s="45" t="s">
        <v>94</v>
      </c>
      <c r="AL233" s="36">
        <v>1000</v>
      </c>
      <c r="AM233" t="str">
        <f t="shared" si="16"/>
        <v>1000-2000</v>
      </c>
    </row>
    <row r="234" spans="1:39" x14ac:dyDescent="0.2">
      <c r="A234" s="44">
        <v>43771</v>
      </c>
      <c r="B234" s="60">
        <v>0.63194444444444442</v>
      </c>
      <c r="C234" s="60"/>
      <c r="D234" s="60" t="s">
        <v>96</v>
      </c>
      <c r="E234" s="13">
        <v>2</v>
      </c>
      <c r="F234" s="38" t="str">
        <f>VLOOKUP(E234,[1]Key!$A$17:$B$21,2,FALSE)</f>
        <v>Road Vehicle</v>
      </c>
      <c r="G234" s="61">
        <v>4</v>
      </c>
      <c r="H234" s="39" t="str">
        <f>VLOOKUP(G234,[1]Key!$A$2:$B$13,2,FALSE)</f>
        <v>Minibus</v>
      </c>
      <c r="I234" s="13" t="s">
        <v>108</v>
      </c>
      <c r="J234" s="13">
        <v>3</v>
      </c>
      <c r="K234" s="40" t="str">
        <f>VLOOKUP(J234,[1]Key!$A$24:$B$29,2,FALSE)</f>
        <v>40-49</v>
      </c>
      <c r="L234" s="13" t="s">
        <v>233</v>
      </c>
      <c r="M234" s="23" t="s">
        <v>150</v>
      </c>
      <c r="N234" s="13" t="s">
        <v>151</v>
      </c>
      <c r="O234" s="45">
        <v>2</v>
      </c>
      <c r="P234" s="30" t="str">
        <f>VLOOKUP(O234,[1]Key!$E$2:$F$9,2,FALSE)</f>
        <v>Work</v>
      </c>
      <c r="Q234" s="13" t="s">
        <v>349</v>
      </c>
      <c r="R234" s="23" t="s">
        <v>150</v>
      </c>
      <c r="S234" s="13" t="s">
        <v>151</v>
      </c>
      <c r="T234" s="23">
        <v>2</v>
      </c>
      <c r="U234" s="30" t="str">
        <f>VLOOKUP(T234,[1]Key!$E$2:$F$9,2,FALSE)</f>
        <v>Work</v>
      </c>
      <c r="V234" s="30" t="str">
        <f t="shared" si="13"/>
        <v>Work-Work</v>
      </c>
      <c r="W234" s="23">
        <v>12000</v>
      </c>
      <c r="X234" s="62">
        <v>8</v>
      </c>
      <c r="Y234" s="62" t="str">
        <f t="shared" si="14"/>
        <v>0-10</v>
      </c>
      <c r="Z234" s="62">
        <v>0.8</v>
      </c>
      <c r="AA234" s="62" t="str">
        <f t="shared" si="15"/>
        <v>0.5-1.0</v>
      </c>
      <c r="AB234" s="23">
        <v>2</v>
      </c>
      <c r="AC234" s="30" t="str">
        <f>VLOOKUP(AB234,[1]Key!$C$20:$D$29,2,FALSE)</f>
        <v>Manual Labour</v>
      </c>
      <c r="AD234" s="23">
        <v>2</v>
      </c>
      <c r="AE234" s="30" t="str">
        <f>VLOOKUP(AD234,[1]Key!$E$20:$F$24,2,FALSE)</f>
        <v>300,000-500,000</v>
      </c>
      <c r="AF234" s="23">
        <v>5</v>
      </c>
      <c r="AG234" s="62">
        <v>2</v>
      </c>
      <c r="AH234" s="62">
        <v>1</v>
      </c>
      <c r="AI234" s="62">
        <v>1</v>
      </c>
      <c r="AJ234" s="62">
        <v>2</v>
      </c>
      <c r="AK234" s="45" t="s">
        <v>94</v>
      </c>
      <c r="AL234" s="36"/>
      <c r="AM234" t="str">
        <f t="shared" si="16"/>
        <v>0-1000</v>
      </c>
    </row>
    <row r="235" spans="1:39" x14ac:dyDescent="0.2">
      <c r="A235" s="44">
        <v>43771</v>
      </c>
      <c r="B235" s="60">
        <v>0.67152777777777783</v>
      </c>
      <c r="C235" s="60"/>
      <c r="D235" s="60" t="s">
        <v>96</v>
      </c>
      <c r="E235" s="13">
        <v>2</v>
      </c>
      <c r="F235" s="38" t="str">
        <f>VLOOKUP(E235,[1]Key!$A$17:$B$21,2,FALSE)</f>
        <v>Road Vehicle</v>
      </c>
      <c r="G235" s="61">
        <v>4</v>
      </c>
      <c r="H235" s="39" t="str">
        <f>VLOOKUP(G235,[1]Key!$A$2:$B$13,2,FALSE)</f>
        <v>Minibus</v>
      </c>
      <c r="I235" s="13" t="s">
        <v>108</v>
      </c>
      <c r="J235" s="13">
        <v>3</v>
      </c>
      <c r="K235" s="40" t="str">
        <f>VLOOKUP(J235,[1]Key!$A$24:$B$29,2,FALSE)</f>
        <v>40-49</v>
      </c>
      <c r="L235" s="13" t="s">
        <v>233</v>
      </c>
      <c r="M235" s="23" t="s">
        <v>150</v>
      </c>
      <c r="N235" s="13" t="s">
        <v>151</v>
      </c>
      <c r="O235" s="45">
        <v>2</v>
      </c>
      <c r="P235" s="30" t="str">
        <f>VLOOKUP(O235,[1]Key!$E$2:$F$9,2,FALSE)</f>
        <v>Work</v>
      </c>
      <c r="Q235" s="13" t="s">
        <v>237</v>
      </c>
      <c r="R235" s="23" t="s">
        <v>150</v>
      </c>
      <c r="S235" s="13" t="s">
        <v>151</v>
      </c>
      <c r="T235" s="23">
        <v>2</v>
      </c>
      <c r="U235" s="30" t="str">
        <f>VLOOKUP(T235,[1]Key!$E$2:$F$9,2,FALSE)</f>
        <v>Work</v>
      </c>
      <c r="V235" s="30" t="str">
        <f t="shared" si="13"/>
        <v>Work-Work</v>
      </c>
      <c r="W235" s="23">
        <v>20000</v>
      </c>
      <c r="X235" s="62">
        <v>5</v>
      </c>
      <c r="Y235" s="62" t="str">
        <f t="shared" si="14"/>
        <v>0-10</v>
      </c>
      <c r="Z235" s="62">
        <v>0.5</v>
      </c>
      <c r="AA235" s="62" t="str">
        <f t="shared" si="15"/>
        <v>0.5-1.0</v>
      </c>
      <c r="AB235" s="23">
        <v>2</v>
      </c>
      <c r="AC235" s="30" t="str">
        <f>VLOOKUP(AB235,[1]Key!$C$20:$D$29,2,FALSE)</f>
        <v>Manual Labour</v>
      </c>
      <c r="AD235" s="23">
        <v>4</v>
      </c>
      <c r="AE235" s="30" t="str">
        <f>VLOOKUP(AD235,[1]Key!$E$20:$F$24,2,FALSE)</f>
        <v>750,000-1,000,000</v>
      </c>
      <c r="AF235" s="23">
        <v>5</v>
      </c>
      <c r="AG235" s="62">
        <v>2</v>
      </c>
      <c r="AH235" s="62">
        <v>1</v>
      </c>
      <c r="AI235" s="62">
        <v>1</v>
      </c>
      <c r="AJ235" s="62">
        <v>2</v>
      </c>
      <c r="AK235" s="45" t="s">
        <v>94</v>
      </c>
      <c r="AL235" s="36">
        <v>1000</v>
      </c>
      <c r="AM235" t="str">
        <f t="shared" si="16"/>
        <v>1000-2000</v>
      </c>
    </row>
    <row r="236" spans="1:39" x14ac:dyDescent="0.2">
      <c r="A236" s="44">
        <v>43771</v>
      </c>
      <c r="B236" s="60">
        <v>0.71875</v>
      </c>
      <c r="C236" s="60"/>
      <c r="D236" s="60" t="s">
        <v>96</v>
      </c>
      <c r="E236" s="13">
        <v>2</v>
      </c>
      <c r="F236" s="38" t="str">
        <f>VLOOKUP(E236,[1]Key!$A$17:$B$21,2,FALSE)</f>
        <v>Road Vehicle</v>
      </c>
      <c r="G236" s="61">
        <v>4</v>
      </c>
      <c r="H236" s="39" t="str">
        <f>VLOOKUP(G236,[1]Key!$A$2:$B$13,2,FALSE)</f>
        <v>Minibus</v>
      </c>
      <c r="I236" s="13" t="s">
        <v>108</v>
      </c>
      <c r="J236" s="13">
        <v>3</v>
      </c>
      <c r="K236" s="40" t="str">
        <f>VLOOKUP(J236,[1]Key!$A$24:$B$29,2,FALSE)</f>
        <v>40-49</v>
      </c>
      <c r="L236" s="13" t="s">
        <v>233</v>
      </c>
      <c r="M236" s="23" t="s">
        <v>150</v>
      </c>
      <c r="N236" s="13" t="s">
        <v>151</v>
      </c>
      <c r="O236" s="45">
        <v>2</v>
      </c>
      <c r="P236" s="30" t="str">
        <f>VLOOKUP(O236,[1]Key!$E$2:$F$9,2,FALSE)</f>
        <v>Work</v>
      </c>
      <c r="Q236" s="13" t="s">
        <v>350</v>
      </c>
      <c r="R236" s="23" t="s">
        <v>150</v>
      </c>
      <c r="S236" s="13" t="s">
        <v>151</v>
      </c>
      <c r="T236" s="23">
        <v>2</v>
      </c>
      <c r="U236" s="30" t="str">
        <f>VLOOKUP(T236,[1]Key!$E$2:$F$9,2,FALSE)</f>
        <v>Work</v>
      </c>
      <c r="V236" s="30" t="str">
        <f t="shared" si="13"/>
        <v>Work-Work</v>
      </c>
      <c r="W236" s="23">
        <v>20000</v>
      </c>
      <c r="X236" s="62">
        <v>30</v>
      </c>
      <c r="Y236" s="62" t="str">
        <f t="shared" si="14"/>
        <v>20-40</v>
      </c>
      <c r="Z236" s="62">
        <v>0.5</v>
      </c>
      <c r="AA236" s="62" t="str">
        <f t="shared" si="15"/>
        <v>0.5-1.0</v>
      </c>
      <c r="AB236" s="23">
        <v>5</v>
      </c>
      <c r="AC236" s="30" t="str">
        <f>VLOOKUP(AB236,[1]Key!$C$20:$D$29,2,FALSE)</f>
        <v>Professional</v>
      </c>
      <c r="AD236" s="23">
        <v>4</v>
      </c>
      <c r="AE236" s="30" t="str">
        <f>VLOOKUP(AD236,[1]Key!$E$20:$F$24,2,FALSE)</f>
        <v>750,000-1,000,000</v>
      </c>
      <c r="AF236" s="23">
        <v>5</v>
      </c>
      <c r="AG236" s="62">
        <v>2</v>
      </c>
      <c r="AH236" s="62">
        <v>1</v>
      </c>
      <c r="AI236" s="62">
        <v>2</v>
      </c>
      <c r="AJ236" s="62">
        <v>1</v>
      </c>
      <c r="AK236" s="45" t="s">
        <v>94</v>
      </c>
      <c r="AL236" s="36">
        <v>1000</v>
      </c>
      <c r="AM236" t="str">
        <f t="shared" si="16"/>
        <v>1000-2000</v>
      </c>
    </row>
    <row r="237" spans="1:39" x14ac:dyDescent="0.2">
      <c r="A237" s="44">
        <v>43771</v>
      </c>
      <c r="B237" s="60">
        <v>0.72152777777777777</v>
      </c>
      <c r="C237" s="60"/>
      <c r="D237" s="60" t="s">
        <v>96</v>
      </c>
      <c r="E237" s="13">
        <v>2</v>
      </c>
      <c r="F237" s="38" t="str">
        <f>VLOOKUP(E237,[1]Key!$A$17:$B$21,2,FALSE)</f>
        <v>Road Vehicle</v>
      </c>
      <c r="G237" s="61">
        <v>4</v>
      </c>
      <c r="H237" s="39" t="str">
        <f>VLOOKUP(G237,[1]Key!$A$2:$B$13,2,FALSE)</f>
        <v>Minibus</v>
      </c>
      <c r="I237" s="13" t="s">
        <v>108</v>
      </c>
      <c r="J237" s="13">
        <v>3</v>
      </c>
      <c r="K237" s="40" t="str">
        <f>VLOOKUP(J237,[1]Key!$A$24:$B$29,2,FALSE)</f>
        <v>40-49</v>
      </c>
      <c r="L237" s="13" t="s">
        <v>233</v>
      </c>
      <c r="M237" s="23" t="s">
        <v>150</v>
      </c>
      <c r="N237" s="13" t="s">
        <v>151</v>
      </c>
      <c r="O237" s="45">
        <v>2</v>
      </c>
      <c r="P237" s="30" t="str">
        <f>VLOOKUP(O237,[1]Key!$E$2:$F$9,2,FALSE)</f>
        <v>Work</v>
      </c>
      <c r="Q237" s="13" t="s">
        <v>231</v>
      </c>
      <c r="R237" s="23" t="s">
        <v>202</v>
      </c>
      <c r="S237" s="13" t="s">
        <v>151</v>
      </c>
      <c r="T237" s="23">
        <v>2</v>
      </c>
      <c r="U237" s="30" t="str">
        <f>VLOOKUP(T237,[1]Key!$E$2:$F$9,2,FALSE)</f>
        <v>Work</v>
      </c>
      <c r="V237" s="30" t="str">
        <f t="shared" si="13"/>
        <v>Work-Work</v>
      </c>
      <c r="W237" s="23">
        <v>17000</v>
      </c>
      <c r="X237" s="62">
        <v>200</v>
      </c>
      <c r="Y237" s="62" t="str">
        <f t="shared" si="14"/>
        <v>Over 200</v>
      </c>
      <c r="Z237" s="62">
        <v>8</v>
      </c>
      <c r="AA237" s="62" t="str">
        <f t="shared" si="15"/>
        <v>Over 3.5</v>
      </c>
      <c r="AB237" s="23">
        <v>5</v>
      </c>
      <c r="AC237" s="30" t="str">
        <f>VLOOKUP(AB237,[1]Key!$C$20:$D$29,2,FALSE)</f>
        <v>Professional</v>
      </c>
      <c r="AD237" s="23">
        <v>4</v>
      </c>
      <c r="AE237" s="30" t="str">
        <f>VLOOKUP(AD237,[1]Key!$E$20:$F$24,2,FALSE)</f>
        <v>750,000-1,000,000</v>
      </c>
      <c r="AF237" s="23">
        <v>5</v>
      </c>
      <c r="AG237" s="62">
        <v>2</v>
      </c>
      <c r="AH237" s="62">
        <v>1</v>
      </c>
      <c r="AI237" s="62">
        <v>2</v>
      </c>
      <c r="AJ237" s="62">
        <v>1</v>
      </c>
      <c r="AK237" s="45" t="s">
        <v>94</v>
      </c>
      <c r="AL237" s="36">
        <v>1000</v>
      </c>
      <c r="AM237" t="str">
        <f t="shared" si="16"/>
        <v>1000-2000</v>
      </c>
    </row>
    <row r="238" spans="1:39" x14ac:dyDescent="0.2">
      <c r="A238" s="44">
        <v>43771</v>
      </c>
      <c r="B238" s="60">
        <v>0.74861111111111101</v>
      </c>
      <c r="C238" s="60"/>
      <c r="D238" s="60" t="s">
        <v>96</v>
      </c>
      <c r="E238" s="13">
        <v>2</v>
      </c>
      <c r="F238" s="38" t="str">
        <f>VLOOKUP(E238,[1]Key!$A$17:$B$21,2,FALSE)</f>
        <v>Road Vehicle</v>
      </c>
      <c r="G238" s="61">
        <v>4</v>
      </c>
      <c r="H238" s="39" t="str">
        <f>VLOOKUP(G238,[1]Key!$A$2:$B$13,2,FALSE)</f>
        <v>Minibus</v>
      </c>
      <c r="I238" s="13" t="s">
        <v>108</v>
      </c>
      <c r="J238" s="13">
        <v>3</v>
      </c>
      <c r="K238" s="40" t="str">
        <f>VLOOKUP(J238,[1]Key!$A$24:$B$29,2,FALSE)</f>
        <v>40-49</v>
      </c>
      <c r="L238" s="13" t="s">
        <v>233</v>
      </c>
      <c r="M238" s="23" t="s">
        <v>150</v>
      </c>
      <c r="N238" s="13" t="s">
        <v>151</v>
      </c>
      <c r="O238" s="45">
        <v>2</v>
      </c>
      <c r="P238" s="30" t="str">
        <f>VLOOKUP(O238,[1]Key!$E$2:$F$9,2,FALSE)</f>
        <v>Work</v>
      </c>
      <c r="Q238" s="13" t="s">
        <v>249</v>
      </c>
      <c r="R238" s="23" t="s">
        <v>150</v>
      </c>
      <c r="S238" s="13" t="s">
        <v>151</v>
      </c>
      <c r="T238" s="23">
        <v>2</v>
      </c>
      <c r="U238" s="30" t="str">
        <f>VLOOKUP(T238,[1]Key!$E$2:$F$9,2,FALSE)</f>
        <v>Work</v>
      </c>
      <c r="V238" s="30" t="str">
        <f t="shared" si="13"/>
        <v>Work-Work</v>
      </c>
      <c r="W238" s="23">
        <v>25000</v>
      </c>
      <c r="X238" s="62">
        <v>29</v>
      </c>
      <c r="Y238" s="62" t="str">
        <f t="shared" si="14"/>
        <v>20-40</v>
      </c>
      <c r="Z238" s="62">
        <v>0.5</v>
      </c>
      <c r="AA238" s="62" t="str">
        <f t="shared" si="15"/>
        <v>0.5-1.0</v>
      </c>
      <c r="AB238" s="23">
        <v>5</v>
      </c>
      <c r="AC238" s="30" t="str">
        <f>VLOOKUP(AB238,[1]Key!$C$20:$D$29,2,FALSE)</f>
        <v>Professional</v>
      </c>
      <c r="AD238" s="23">
        <v>2</v>
      </c>
      <c r="AE238" s="30" t="str">
        <f>VLOOKUP(AD238,[1]Key!$E$20:$F$24,2,FALSE)</f>
        <v>300,000-500,000</v>
      </c>
      <c r="AF238" s="23">
        <v>5</v>
      </c>
      <c r="AG238" s="62">
        <v>2</v>
      </c>
      <c r="AH238" s="62">
        <v>1</v>
      </c>
      <c r="AI238" s="62">
        <v>2</v>
      </c>
      <c r="AJ238" s="62">
        <v>1</v>
      </c>
      <c r="AK238" s="45" t="s">
        <v>94</v>
      </c>
      <c r="AL238" s="36">
        <v>500</v>
      </c>
      <c r="AM238" t="str">
        <f t="shared" si="16"/>
        <v>0-1000</v>
      </c>
    </row>
    <row r="239" spans="1:39" x14ac:dyDescent="0.2">
      <c r="A239" s="44">
        <v>43771</v>
      </c>
      <c r="B239" s="60">
        <v>0.75</v>
      </c>
      <c r="C239" s="60"/>
      <c r="D239" s="60" t="s">
        <v>165</v>
      </c>
      <c r="E239" s="13">
        <v>2</v>
      </c>
      <c r="F239" s="38" t="str">
        <f>VLOOKUP(E239,[1]Key!$A$17:$B$21,2,FALSE)</f>
        <v>Road Vehicle</v>
      </c>
      <c r="G239" s="61">
        <v>4</v>
      </c>
      <c r="H239" s="39" t="str">
        <f>VLOOKUP(G239,[1]Key!$A$2:$B$13,2,FALSE)</f>
        <v>Minibus</v>
      </c>
      <c r="I239" s="13" t="s">
        <v>108</v>
      </c>
      <c r="J239" s="13">
        <v>3</v>
      </c>
      <c r="K239" s="40" t="str">
        <f>VLOOKUP(J239,[1]Key!$A$24:$B$29,2,FALSE)</f>
        <v>40-49</v>
      </c>
      <c r="L239" s="13" t="s">
        <v>233</v>
      </c>
      <c r="M239" s="23" t="s">
        <v>150</v>
      </c>
      <c r="N239" s="13" t="s">
        <v>151</v>
      </c>
      <c r="O239" s="45">
        <v>2</v>
      </c>
      <c r="P239" s="30" t="str">
        <f>VLOOKUP(O239,[1]Key!$E$2:$F$9,2,FALSE)</f>
        <v>Work</v>
      </c>
      <c r="Q239" s="13" t="s">
        <v>221</v>
      </c>
      <c r="R239" s="23" t="s">
        <v>150</v>
      </c>
      <c r="S239" s="13" t="s">
        <v>151</v>
      </c>
      <c r="T239" s="23">
        <v>2</v>
      </c>
      <c r="U239" s="30" t="str">
        <f>VLOOKUP(T239,[1]Key!$E$2:$F$9,2,FALSE)</f>
        <v>Work</v>
      </c>
      <c r="V239" s="30" t="str">
        <f t="shared" si="13"/>
        <v>Work-Work</v>
      </c>
      <c r="W239" s="23">
        <v>2000</v>
      </c>
      <c r="X239" s="62">
        <v>30</v>
      </c>
      <c r="Y239" s="62" t="str">
        <f t="shared" si="14"/>
        <v>20-40</v>
      </c>
      <c r="Z239" s="62">
        <v>0.8</v>
      </c>
      <c r="AA239" s="62" t="str">
        <f t="shared" si="15"/>
        <v>0.5-1.0</v>
      </c>
      <c r="AB239" s="23">
        <v>4</v>
      </c>
      <c r="AC239" s="30" t="str">
        <f>VLOOKUP(AB239,[1]Key!$C$20:$D$29,2,FALSE)</f>
        <v>Office Worker</v>
      </c>
      <c r="AD239" s="23">
        <v>5</v>
      </c>
      <c r="AE239" s="30" t="str">
        <f>VLOOKUP(AD239,[1]Key!$E$20:$F$24,2,FALSE)</f>
        <v>&gt;1,000,000</v>
      </c>
      <c r="AF239" s="23">
        <v>1</v>
      </c>
      <c r="AG239" s="62">
        <v>2</v>
      </c>
      <c r="AH239" s="62">
        <v>1</v>
      </c>
      <c r="AI239" s="62">
        <v>2</v>
      </c>
      <c r="AJ239" s="62">
        <v>1</v>
      </c>
      <c r="AK239" s="45" t="s">
        <v>94</v>
      </c>
      <c r="AL239" s="36">
        <v>2000</v>
      </c>
      <c r="AM239" t="str">
        <f t="shared" si="16"/>
        <v>2000-3000</v>
      </c>
    </row>
    <row r="240" spans="1:39" x14ac:dyDescent="0.2">
      <c r="A240" s="44">
        <v>43771</v>
      </c>
      <c r="B240" s="60">
        <v>0.46319444444444446</v>
      </c>
      <c r="C240" s="60" t="s">
        <v>351</v>
      </c>
      <c r="D240" s="60" t="s">
        <v>96</v>
      </c>
      <c r="E240" s="13">
        <v>2</v>
      </c>
      <c r="F240" s="38" t="str">
        <f>VLOOKUP(E240,[1]Key!$A$17:$B$21,2,FALSE)</f>
        <v>Road Vehicle</v>
      </c>
      <c r="G240" s="61">
        <v>4</v>
      </c>
      <c r="H240" s="39" t="str">
        <f>VLOOKUP(G240,[1]Key!$A$2:$B$13,2,FALSE)</f>
        <v>Minibus</v>
      </c>
      <c r="I240" s="13" t="s">
        <v>108</v>
      </c>
      <c r="J240" s="13">
        <v>3</v>
      </c>
      <c r="K240" s="40" t="str">
        <f>VLOOKUP(J240,[1]Key!$A$24:$B$29,2,FALSE)</f>
        <v>40-49</v>
      </c>
      <c r="L240" s="13" t="s">
        <v>233</v>
      </c>
      <c r="M240" s="23" t="s">
        <v>150</v>
      </c>
      <c r="N240" s="13" t="s">
        <v>151</v>
      </c>
      <c r="O240" s="45">
        <v>2</v>
      </c>
      <c r="P240" s="30" t="str">
        <f>VLOOKUP(O240,[1]Key!$E$2:$F$9,2,FALSE)</f>
        <v>Work</v>
      </c>
      <c r="Q240" s="13" t="s">
        <v>259</v>
      </c>
      <c r="R240" s="23" t="s">
        <v>259</v>
      </c>
      <c r="S240" s="13" t="s">
        <v>151</v>
      </c>
      <c r="T240" s="23">
        <v>2</v>
      </c>
      <c r="U240" s="30" t="str">
        <f>VLOOKUP(T240,[1]Key!$E$2:$F$9,2,FALSE)</f>
        <v>Work</v>
      </c>
      <c r="V240" s="30" t="str">
        <f t="shared" si="13"/>
        <v>Work-Work</v>
      </c>
      <c r="W240" s="23">
        <v>80000</v>
      </c>
      <c r="X240" s="62">
        <v>78</v>
      </c>
      <c r="Y240" s="62" t="str">
        <f t="shared" si="14"/>
        <v>70-100</v>
      </c>
      <c r="Z240" s="62">
        <v>3</v>
      </c>
      <c r="AA240" s="62" t="str">
        <f t="shared" si="15"/>
        <v>2.0-3.5</v>
      </c>
      <c r="AB240" s="23">
        <v>10</v>
      </c>
      <c r="AC240" s="30" t="str">
        <f>VLOOKUP(AB240,[1]Key!$C$20:$D$29,2,FALSE)</f>
        <v>Other</v>
      </c>
      <c r="AD240" s="23">
        <v>1</v>
      </c>
      <c r="AE240" s="30" t="str">
        <f>VLOOKUP(AD240,[1]Key!$E$20:$F$24,2,FALSE)</f>
        <v>&lt;300,000</v>
      </c>
      <c r="AF240" s="23">
        <v>5</v>
      </c>
      <c r="AG240" s="62">
        <v>4</v>
      </c>
      <c r="AH240" s="62">
        <v>2</v>
      </c>
      <c r="AI240" s="62">
        <v>1</v>
      </c>
      <c r="AJ240" s="62">
        <v>2</v>
      </c>
      <c r="AK240" s="45" t="s">
        <v>94</v>
      </c>
      <c r="AL240" s="36"/>
      <c r="AM240" t="str">
        <f t="shared" si="16"/>
        <v>0-1000</v>
      </c>
    </row>
    <row r="241" spans="1:46" x14ac:dyDescent="0.2">
      <c r="A241" s="44">
        <v>43771</v>
      </c>
      <c r="B241" s="60">
        <v>0.30208333333333331</v>
      </c>
      <c r="C241" s="60" t="s">
        <v>352</v>
      </c>
      <c r="D241" s="60" t="s">
        <v>96</v>
      </c>
      <c r="E241" s="13">
        <v>2</v>
      </c>
      <c r="F241" s="38" t="str">
        <f>VLOOKUP(E241,[1]Key!$A$17:$B$21,2,FALSE)</f>
        <v>Road Vehicle</v>
      </c>
      <c r="G241" s="61">
        <v>4</v>
      </c>
      <c r="H241" s="39" t="str">
        <f>VLOOKUP(G241,[1]Key!$A$2:$B$13,2,FALSE)</f>
        <v>Minibus</v>
      </c>
      <c r="I241" s="13" t="s">
        <v>108</v>
      </c>
      <c r="J241" s="13">
        <v>4</v>
      </c>
      <c r="K241" s="40" t="str">
        <f>VLOOKUP(J241,[1]Key!$A$24:$B$29,2,FALSE)</f>
        <v>50-59</v>
      </c>
      <c r="L241" s="63" t="s">
        <v>208</v>
      </c>
      <c r="M241" s="23" t="s">
        <v>150</v>
      </c>
      <c r="N241" s="13" t="s">
        <v>151</v>
      </c>
      <c r="O241" s="45">
        <v>4</v>
      </c>
      <c r="P241" s="30" t="str">
        <f>VLOOKUP(O241,[1]Key!$E$2:$F$9,2,FALSE)</f>
        <v>Commercial</v>
      </c>
      <c r="Q241" s="13" t="s">
        <v>333</v>
      </c>
      <c r="R241" s="23" t="s">
        <v>156</v>
      </c>
      <c r="S241" s="13" t="s">
        <v>151</v>
      </c>
      <c r="T241" s="23">
        <v>4</v>
      </c>
      <c r="U241" s="30" t="str">
        <f>VLOOKUP(T241,[1]Key!$E$2:$F$9,2,FALSE)</f>
        <v>Commercial</v>
      </c>
      <c r="V241" s="30" t="str">
        <f t="shared" si="13"/>
        <v>Commercial-Commercial</v>
      </c>
      <c r="W241" s="41">
        <v>40000</v>
      </c>
      <c r="X241" s="62">
        <v>210</v>
      </c>
      <c r="Y241" s="62" t="str">
        <f t="shared" si="14"/>
        <v>Over 200</v>
      </c>
      <c r="Z241" s="62">
        <v>3</v>
      </c>
      <c r="AA241" s="62" t="str">
        <f t="shared" si="15"/>
        <v>2.0-3.5</v>
      </c>
      <c r="AB241" s="23">
        <v>5</v>
      </c>
      <c r="AC241" s="30" t="str">
        <f>VLOOKUP(AB241,[1]Key!$C$20:$D$29,2,FALSE)</f>
        <v>Professional</v>
      </c>
      <c r="AD241" s="23">
        <v>3</v>
      </c>
      <c r="AE241" s="30" t="str">
        <f>VLOOKUP(AD241,[1]Key!$E$20:$F$24,2,FALSE)</f>
        <v>500,000-750,000</v>
      </c>
      <c r="AF241" s="23">
        <v>3</v>
      </c>
      <c r="AG241" s="62">
        <v>4</v>
      </c>
      <c r="AH241" s="62">
        <v>5</v>
      </c>
      <c r="AI241" s="62">
        <v>5</v>
      </c>
      <c r="AJ241" s="62">
        <v>4</v>
      </c>
      <c r="AK241" s="45" t="s">
        <v>94</v>
      </c>
      <c r="AL241" s="36">
        <v>1000</v>
      </c>
      <c r="AM241" t="str">
        <f t="shared" si="16"/>
        <v>1000-2000</v>
      </c>
    </row>
    <row r="242" spans="1:46" x14ac:dyDescent="0.2">
      <c r="A242" s="44">
        <v>43771</v>
      </c>
      <c r="B242" s="60">
        <v>0.53611111111111109</v>
      </c>
      <c r="C242" s="60" t="s">
        <v>353</v>
      </c>
      <c r="D242" s="60" t="s">
        <v>96</v>
      </c>
      <c r="E242" s="13">
        <v>2</v>
      </c>
      <c r="F242" s="38" t="str">
        <f>VLOOKUP(E242,[1]Key!$A$17:$B$21,2,FALSE)</f>
        <v>Road Vehicle</v>
      </c>
      <c r="G242" s="61">
        <v>4</v>
      </c>
      <c r="H242" s="39" t="str">
        <f>VLOOKUP(G242,[1]Key!$A$2:$B$13,2,FALSE)</f>
        <v>Minibus</v>
      </c>
      <c r="I242" s="13" t="s">
        <v>108</v>
      </c>
      <c r="J242" s="13">
        <v>4</v>
      </c>
      <c r="K242" s="40" t="str">
        <f>VLOOKUP(J242,[1]Key!$A$24:$B$29,2,FALSE)</f>
        <v>50-59</v>
      </c>
      <c r="L242" s="13" t="s">
        <v>208</v>
      </c>
      <c r="M242" s="23" t="s">
        <v>150</v>
      </c>
      <c r="N242" s="13" t="s">
        <v>151</v>
      </c>
      <c r="O242" s="45">
        <v>4</v>
      </c>
      <c r="P242" s="30" t="str">
        <f>VLOOKUP(O242,[1]Key!$E$2:$F$9,2,FALSE)</f>
        <v>Commercial</v>
      </c>
      <c r="Q242" s="13" t="s">
        <v>305</v>
      </c>
      <c r="R242" s="23" t="s">
        <v>150</v>
      </c>
      <c r="S242" s="13" t="s">
        <v>151</v>
      </c>
      <c r="T242" s="23">
        <v>4</v>
      </c>
      <c r="U242" s="30" t="str">
        <f>VLOOKUP(T242,[1]Key!$E$2:$F$9,2,FALSE)</f>
        <v>Commercial</v>
      </c>
      <c r="V242" s="30" t="str">
        <f t="shared" si="13"/>
        <v>Commercial-Commercial</v>
      </c>
      <c r="W242" s="41">
        <v>20000</v>
      </c>
      <c r="X242" s="62">
        <v>30</v>
      </c>
      <c r="Y242" s="62" t="str">
        <f t="shared" si="14"/>
        <v>20-40</v>
      </c>
      <c r="Z242" s="62">
        <v>0.8</v>
      </c>
      <c r="AA242" s="62" t="str">
        <f t="shared" si="15"/>
        <v>0.5-1.0</v>
      </c>
      <c r="AB242" s="23">
        <v>5</v>
      </c>
      <c r="AC242" s="30" t="str">
        <f>VLOOKUP(AB242,[1]Key!$C$20:$D$29,2,FALSE)</f>
        <v>Professional</v>
      </c>
      <c r="AD242" s="23">
        <v>3</v>
      </c>
      <c r="AE242" s="30" t="str">
        <f>VLOOKUP(AD242,[1]Key!$E$20:$F$24,2,FALSE)</f>
        <v>500,000-750,000</v>
      </c>
      <c r="AF242" s="23">
        <v>5</v>
      </c>
      <c r="AG242" s="62">
        <v>4</v>
      </c>
      <c r="AH242" s="62">
        <v>1</v>
      </c>
      <c r="AI242" s="62">
        <v>3</v>
      </c>
      <c r="AJ242" s="62">
        <v>1</v>
      </c>
      <c r="AK242" s="45" t="s">
        <v>94</v>
      </c>
      <c r="AL242" s="36"/>
      <c r="AM242" t="str">
        <f t="shared" si="16"/>
        <v>0-1000</v>
      </c>
    </row>
    <row r="243" spans="1:46" x14ac:dyDescent="0.2">
      <c r="A243" s="44">
        <v>43771</v>
      </c>
      <c r="B243" s="60">
        <v>0.56319444444444444</v>
      </c>
      <c r="C243" s="60" t="s">
        <v>354</v>
      </c>
      <c r="D243" s="60" t="s">
        <v>96</v>
      </c>
      <c r="E243" s="13">
        <v>2</v>
      </c>
      <c r="F243" s="38" t="str">
        <f>VLOOKUP(E243,[1]Key!$A$17:$B$21,2,FALSE)</f>
        <v>Road Vehicle</v>
      </c>
      <c r="G243" s="61">
        <v>4</v>
      </c>
      <c r="H243" s="39" t="str">
        <f>VLOOKUP(G243,[1]Key!$A$2:$B$13,2,FALSE)</f>
        <v>Minibus</v>
      </c>
      <c r="I243" s="13" t="s">
        <v>108</v>
      </c>
      <c r="J243" s="13">
        <v>4</v>
      </c>
      <c r="K243" s="40" t="str">
        <f>VLOOKUP(J243,[1]Key!$A$24:$B$29,2,FALSE)</f>
        <v>50-59</v>
      </c>
      <c r="L243" s="13" t="s">
        <v>208</v>
      </c>
      <c r="M243" s="23" t="s">
        <v>150</v>
      </c>
      <c r="N243" s="13" t="s">
        <v>151</v>
      </c>
      <c r="O243" s="45">
        <v>4</v>
      </c>
      <c r="P243" s="30" t="str">
        <f>VLOOKUP(O243,[1]Key!$E$2:$F$9,2,FALSE)</f>
        <v>Commercial</v>
      </c>
      <c r="Q243" s="13" t="s">
        <v>219</v>
      </c>
      <c r="R243" s="23" t="s">
        <v>150</v>
      </c>
      <c r="S243" s="13" t="s">
        <v>151</v>
      </c>
      <c r="T243" s="23">
        <v>4</v>
      </c>
      <c r="U243" s="30" t="str">
        <f>VLOOKUP(T243,[1]Key!$E$2:$F$9,2,FALSE)</f>
        <v>Commercial</v>
      </c>
      <c r="V243" s="30" t="str">
        <f t="shared" si="13"/>
        <v>Commercial-Commercial</v>
      </c>
      <c r="W243" s="41">
        <v>5000</v>
      </c>
      <c r="X243" s="62">
        <v>10</v>
      </c>
      <c r="Y243" s="62" t="str">
        <f t="shared" si="14"/>
        <v>10-20</v>
      </c>
      <c r="Z243" s="62">
        <v>0.3</v>
      </c>
      <c r="AA243" s="62" t="str">
        <f t="shared" si="15"/>
        <v>0-0.5</v>
      </c>
      <c r="AB243" s="23">
        <v>5</v>
      </c>
      <c r="AC243" s="30" t="str">
        <f>VLOOKUP(AB243,[1]Key!$C$20:$D$29,2,FALSE)</f>
        <v>Professional</v>
      </c>
      <c r="AD243" s="23">
        <v>2</v>
      </c>
      <c r="AE243" s="30" t="str">
        <f>VLOOKUP(AD243,[1]Key!$E$20:$F$24,2,FALSE)</f>
        <v>300,000-500,000</v>
      </c>
      <c r="AF243" s="23">
        <v>1</v>
      </c>
      <c r="AG243" s="62">
        <v>2</v>
      </c>
      <c r="AH243" s="62">
        <v>1</v>
      </c>
      <c r="AI243" s="62">
        <v>1</v>
      </c>
      <c r="AJ243" s="62">
        <v>2</v>
      </c>
      <c r="AK243" s="45" t="s">
        <v>94</v>
      </c>
      <c r="AL243" s="36">
        <v>1000</v>
      </c>
      <c r="AM243" t="str">
        <f t="shared" si="16"/>
        <v>1000-2000</v>
      </c>
    </row>
    <row r="244" spans="1:46" x14ac:dyDescent="0.2">
      <c r="A244" s="44">
        <v>43771</v>
      </c>
      <c r="B244" s="60">
        <v>0.76388888888888884</v>
      </c>
      <c r="C244" s="60"/>
      <c r="D244" s="60" t="s">
        <v>96</v>
      </c>
      <c r="E244" s="13">
        <v>2</v>
      </c>
      <c r="F244" s="38" t="str">
        <f>VLOOKUP(E244,[1]Key!$A$17:$B$21,2,FALSE)</f>
        <v>Road Vehicle</v>
      </c>
      <c r="G244" s="61">
        <v>4</v>
      </c>
      <c r="H244" s="39" t="str">
        <f>VLOOKUP(G244,[1]Key!$A$2:$B$13,2,FALSE)</f>
        <v>Minibus</v>
      </c>
      <c r="I244" s="13" t="s">
        <v>108</v>
      </c>
      <c r="J244" s="13">
        <v>4</v>
      </c>
      <c r="K244" s="40" t="str">
        <f>VLOOKUP(J244,[1]Key!$A$24:$B$29,2,FALSE)</f>
        <v>50-59</v>
      </c>
      <c r="L244" s="13" t="s">
        <v>208</v>
      </c>
      <c r="M244" s="23" t="s">
        <v>150</v>
      </c>
      <c r="N244" s="13" t="s">
        <v>151</v>
      </c>
      <c r="O244" s="45">
        <v>4</v>
      </c>
      <c r="P244" s="30" t="str">
        <f>VLOOKUP(O244,[1]Key!$E$2:$F$9,2,FALSE)</f>
        <v>Commercial</v>
      </c>
      <c r="Q244" s="13" t="s">
        <v>231</v>
      </c>
      <c r="R244" s="23" t="s">
        <v>202</v>
      </c>
      <c r="S244" s="13" t="s">
        <v>151</v>
      </c>
      <c r="T244" s="23">
        <v>4</v>
      </c>
      <c r="U244" s="30" t="str">
        <f>VLOOKUP(T244,[1]Key!$E$2:$F$9,2,FALSE)</f>
        <v>Commercial</v>
      </c>
      <c r="V244" s="30" t="str">
        <f t="shared" si="13"/>
        <v>Commercial-Commercial</v>
      </c>
      <c r="W244" s="23">
        <v>50000</v>
      </c>
      <c r="X244" s="62">
        <v>137</v>
      </c>
      <c r="Y244" s="62" t="str">
        <f t="shared" si="14"/>
        <v>100-200</v>
      </c>
      <c r="Z244" s="62">
        <v>1.5</v>
      </c>
      <c r="AA244" s="62" t="str">
        <f t="shared" si="15"/>
        <v>1.0-2.0</v>
      </c>
      <c r="AB244" s="23">
        <v>5</v>
      </c>
      <c r="AC244" s="30" t="str">
        <f>VLOOKUP(AB244,[1]Key!$C$20:$D$29,2,FALSE)</f>
        <v>Professional</v>
      </c>
      <c r="AD244" s="23">
        <v>2</v>
      </c>
      <c r="AE244" s="30" t="str">
        <f>VLOOKUP(AD244,[1]Key!$E$20:$F$24,2,FALSE)</f>
        <v>300,000-500,000</v>
      </c>
      <c r="AF244" s="23">
        <v>1</v>
      </c>
      <c r="AG244" s="62">
        <v>2</v>
      </c>
      <c r="AH244" s="62">
        <v>1</v>
      </c>
      <c r="AI244" s="62">
        <v>1</v>
      </c>
      <c r="AJ244" s="62">
        <v>2</v>
      </c>
      <c r="AK244" s="45" t="s">
        <v>94</v>
      </c>
      <c r="AL244" s="36">
        <v>2000</v>
      </c>
      <c r="AM244" t="str">
        <f t="shared" si="16"/>
        <v>2000-3000</v>
      </c>
    </row>
    <row r="245" spans="1:46" x14ac:dyDescent="0.2">
      <c r="A245" s="44">
        <v>43771</v>
      </c>
      <c r="B245" s="60">
        <v>0.59652777777777777</v>
      </c>
      <c r="C245" s="60"/>
      <c r="D245" s="60" t="s">
        <v>165</v>
      </c>
      <c r="E245" s="13">
        <v>2</v>
      </c>
      <c r="F245" s="38" t="str">
        <f>VLOOKUP(E245,[1]Key!$A$17:$B$21,2,FALSE)</f>
        <v>Road Vehicle</v>
      </c>
      <c r="G245" s="61">
        <v>4</v>
      </c>
      <c r="H245" s="39" t="str">
        <f>VLOOKUP(G245,[1]Key!$A$2:$B$13,2,FALSE)</f>
        <v>Minibus</v>
      </c>
      <c r="I245" s="13" t="s">
        <v>108</v>
      </c>
      <c r="J245" s="13">
        <v>4</v>
      </c>
      <c r="K245" s="40" t="str">
        <f>VLOOKUP(J245,[1]Key!$A$24:$B$29,2,FALSE)</f>
        <v>50-59</v>
      </c>
      <c r="L245" s="13" t="s">
        <v>208</v>
      </c>
      <c r="M245" s="23" t="s">
        <v>150</v>
      </c>
      <c r="N245" s="13" t="s">
        <v>151</v>
      </c>
      <c r="O245" s="45">
        <v>4</v>
      </c>
      <c r="P245" s="30" t="str">
        <f>VLOOKUP(O245,[1]Key!$E$2:$F$9,2,FALSE)</f>
        <v>Commercial</v>
      </c>
      <c r="Q245" s="13" t="s">
        <v>236</v>
      </c>
      <c r="R245" s="23" t="s">
        <v>150</v>
      </c>
      <c r="S245" s="13" t="s">
        <v>151</v>
      </c>
      <c r="T245" s="23">
        <v>2</v>
      </c>
      <c r="U245" s="30" t="str">
        <f>VLOOKUP(T245,[1]Key!$E$2:$F$9,2,FALSE)</f>
        <v>Work</v>
      </c>
      <c r="V245" s="30" t="str">
        <f t="shared" si="13"/>
        <v>Commercial-Work</v>
      </c>
      <c r="W245" s="23">
        <v>1000</v>
      </c>
      <c r="X245" s="62">
        <v>3</v>
      </c>
      <c r="Y245" s="62" t="str">
        <f t="shared" si="14"/>
        <v>0-10</v>
      </c>
      <c r="Z245" s="62">
        <v>0.3</v>
      </c>
      <c r="AA245" s="62" t="str">
        <f t="shared" si="15"/>
        <v>0-0.5</v>
      </c>
      <c r="AB245" s="23">
        <v>6</v>
      </c>
      <c r="AC245" s="30" t="str">
        <f>VLOOKUP(AB245,[1]Key!$C$20:$D$29,2,FALSE)</f>
        <v>Businessman</v>
      </c>
      <c r="AD245" s="23">
        <v>2</v>
      </c>
      <c r="AE245" s="30" t="str">
        <f>VLOOKUP(AD245,[1]Key!$E$20:$F$24,2,FALSE)</f>
        <v>300,000-500,000</v>
      </c>
      <c r="AF245" s="23">
        <v>1</v>
      </c>
      <c r="AG245" s="62">
        <v>2</v>
      </c>
      <c r="AH245" s="62">
        <v>1</v>
      </c>
      <c r="AI245" s="62">
        <v>1</v>
      </c>
      <c r="AJ245" s="62">
        <v>2</v>
      </c>
      <c r="AK245" s="45" t="s">
        <v>94</v>
      </c>
      <c r="AL245" s="36">
        <v>2000</v>
      </c>
      <c r="AM245" t="str">
        <f t="shared" si="16"/>
        <v>2000-3000</v>
      </c>
    </row>
    <row r="246" spans="1:46" x14ac:dyDescent="0.2">
      <c r="A246" s="44">
        <v>43771</v>
      </c>
      <c r="B246" s="60">
        <v>0.7055555555555556</v>
      </c>
      <c r="C246" s="60"/>
      <c r="D246" s="60" t="s">
        <v>165</v>
      </c>
      <c r="E246" s="13">
        <v>2</v>
      </c>
      <c r="F246" s="38" t="str">
        <f>VLOOKUP(E246,[1]Key!$A$17:$B$21,2,FALSE)</f>
        <v>Road Vehicle</v>
      </c>
      <c r="G246" s="61">
        <v>4</v>
      </c>
      <c r="H246" s="39" t="str">
        <f>VLOOKUP(G246,[1]Key!$A$2:$B$13,2,FALSE)</f>
        <v>Minibus</v>
      </c>
      <c r="I246" s="13" t="s">
        <v>108</v>
      </c>
      <c r="J246" s="13">
        <v>4</v>
      </c>
      <c r="K246" s="40" t="str">
        <f>VLOOKUP(J246,[1]Key!$A$24:$B$29,2,FALSE)</f>
        <v>50-59</v>
      </c>
      <c r="L246" s="13" t="s">
        <v>233</v>
      </c>
      <c r="M246" s="23" t="s">
        <v>150</v>
      </c>
      <c r="N246" s="13" t="s">
        <v>151</v>
      </c>
      <c r="O246" s="45">
        <v>2</v>
      </c>
      <c r="P246" s="30" t="str">
        <f>VLOOKUP(O246,[1]Key!$E$2:$F$9,2,FALSE)</f>
        <v>Work</v>
      </c>
      <c r="Q246" s="13" t="s">
        <v>344</v>
      </c>
      <c r="R246" s="23" t="s">
        <v>150</v>
      </c>
      <c r="S246" s="13" t="s">
        <v>151</v>
      </c>
      <c r="T246" s="23">
        <v>1</v>
      </c>
      <c r="U246" s="30" t="str">
        <f>VLOOKUP(T246,[1]Key!$E$2:$F$9,2,FALSE)</f>
        <v>Home</v>
      </c>
      <c r="V246" s="30" t="str">
        <f t="shared" si="13"/>
        <v>Work-Home</v>
      </c>
      <c r="W246" s="23">
        <v>1000</v>
      </c>
      <c r="X246" s="62">
        <v>18</v>
      </c>
      <c r="Y246" s="62" t="str">
        <f t="shared" si="14"/>
        <v>10-20</v>
      </c>
      <c r="Z246" s="62">
        <v>0.5</v>
      </c>
      <c r="AA246" s="62" t="str">
        <f t="shared" si="15"/>
        <v>0.5-1.0</v>
      </c>
      <c r="AB246" s="23">
        <v>4</v>
      </c>
      <c r="AC246" s="30" t="str">
        <f>VLOOKUP(AB246,[1]Key!$C$20:$D$29,2,FALSE)</f>
        <v>Office Worker</v>
      </c>
      <c r="AD246" s="23">
        <v>5</v>
      </c>
      <c r="AE246" s="30" t="str">
        <f>VLOOKUP(AD246,[1]Key!$E$20:$F$24,2,FALSE)</f>
        <v>&gt;1,000,000</v>
      </c>
      <c r="AF246" s="23">
        <v>5</v>
      </c>
      <c r="AG246" s="62">
        <v>1</v>
      </c>
      <c r="AH246" s="62">
        <v>2</v>
      </c>
      <c r="AI246" s="62">
        <v>2</v>
      </c>
      <c r="AJ246" s="62">
        <v>1</v>
      </c>
      <c r="AK246" s="45" t="s">
        <v>94</v>
      </c>
      <c r="AL246" s="36">
        <v>1000</v>
      </c>
      <c r="AM246" t="str">
        <f t="shared" si="16"/>
        <v>1000-2000</v>
      </c>
    </row>
    <row r="247" spans="1:46" x14ac:dyDescent="0.2">
      <c r="A247" s="44">
        <v>43771</v>
      </c>
      <c r="B247" s="60">
        <v>0.375</v>
      </c>
      <c r="C247" s="60"/>
      <c r="D247" s="60" t="s">
        <v>96</v>
      </c>
      <c r="E247" s="13">
        <v>2</v>
      </c>
      <c r="F247" s="38" t="str">
        <f>VLOOKUP(E247,[1]Key!$A$17:$B$21,2,FALSE)</f>
        <v>Road Vehicle</v>
      </c>
      <c r="G247" s="61">
        <v>4</v>
      </c>
      <c r="H247" s="39" t="str">
        <f>VLOOKUP(G247,[1]Key!$A$2:$B$13,2,FALSE)</f>
        <v>Minibus</v>
      </c>
      <c r="I247" s="13" t="s">
        <v>108</v>
      </c>
      <c r="J247" s="13">
        <v>4</v>
      </c>
      <c r="K247" s="40" t="str">
        <f>VLOOKUP(J247,[1]Key!$A$24:$B$29,2,FALSE)</f>
        <v>50-59</v>
      </c>
      <c r="L247" s="13" t="s">
        <v>233</v>
      </c>
      <c r="M247" s="23" t="s">
        <v>150</v>
      </c>
      <c r="N247" s="13" t="s">
        <v>151</v>
      </c>
      <c r="O247" s="45">
        <v>2</v>
      </c>
      <c r="P247" s="30" t="str">
        <f>VLOOKUP(O247,[1]Key!$E$2:$F$9,2,FALSE)</f>
        <v>Work</v>
      </c>
      <c r="Q247" s="13" t="s">
        <v>264</v>
      </c>
      <c r="R247" s="23" t="s">
        <v>150</v>
      </c>
      <c r="S247" s="13" t="s">
        <v>151</v>
      </c>
      <c r="T247" s="23">
        <v>2</v>
      </c>
      <c r="U247" s="30" t="str">
        <f>VLOOKUP(T247,[1]Key!$E$2:$F$9,2,FALSE)</f>
        <v>Work</v>
      </c>
      <c r="V247" s="30" t="str">
        <f t="shared" si="13"/>
        <v>Work-Work</v>
      </c>
      <c r="W247" s="23">
        <v>7000</v>
      </c>
      <c r="X247" s="62">
        <v>4.8</v>
      </c>
      <c r="Y247" s="62" t="str">
        <f t="shared" si="14"/>
        <v>0-10</v>
      </c>
      <c r="Z247" s="62">
        <v>0.8</v>
      </c>
      <c r="AA247" s="62" t="str">
        <f t="shared" si="15"/>
        <v>0.5-1.0</v>
      </c>
      <c r="AB247" s="23">
        <v>2</v>
      </c>
      <c r="AC247" s="30" t="str">
        <f>VLOOKUP(AB247,[1]Key!$C$20:$D$29,2,FALSE)</f>
        <v>Manual Labour</v>
      </c>
      <c r="AD247" s="23">
        <v>3</v>
      </c>
      <c r="AE247" s="30" t="str">
        <f>VLOOKUP(AD247,[1]Key!$E$20:$F$24,2,FALSE)</f>
        <v>500,000-750,000</v>
      </c>
      <c r="AF247" s="23">
        <v>5</v>
      </c>
      <c r="AG247" s="62">
        <v>2</v>
      </c>
      <c r="AH247" s="62">
        <v>1</v>
      </c>
      <c r="AI247" s="62">
        <v>2</v>
      </c>
      <c r="AJ247" s="62">
        <v>1</v>
      </c>
      <c r="AK247" s="45" t="s">
        <v>94</v>
      </c>
      <c r="AL247" s="36">
        <v>500</v>
      </c>
      <c r="AM247" t="str">
        <f t="shared" si="16"/>
        <v>0-1000</v>
      </c>
    </row>
    <row r="248" spans="1:46" x14ac:dyDescent="0.2">
      <c r="A248" s="44">
        <v>43771</v>
      </c>
      <c r="B248" s="60">
        <v>0.41597222222222219</v>
      </c>
      <c r="C248" s="60"/>
      <c r="D248" s="60" t="s">
        <v>165</v>
      </c>
      <c r="E248" s="13">
        <v>2</v>
      </c>
      <c r="F248" s="38" t="str">
        <f>VLOOKUP(E248,[1]Key!$A$17:$B$21,2,FALSE)</f>
        <v>Road Vehicle</v>
      </c>
      <c r="G248" s="61">
        <v>4</v>
      </c>
      <c r="H248" s="39" t="str">
        <f>VLOOKUP(G248,[1]Key!$A$2:$B$13,2,FALSE)</f>
        <v>Minibus</v>
      </c>
      <c r="I248" s="13" t="s">
        <v>108</v>
      </c>
      <c r="J248" s="13">
        <v>4</v>
      </c>
      <c r="K248" s="40" t="str">
        <f>VLOOKUP(J248,[1]Key!$A$24:$B$29,2,FALSE)</f>
        <v>50-59</v>
      </c>
      <c r="L248" s="13" t="s">
        <v>233</v>
      </c>
      <c r="M248" s="23" t="s">
        <v>150</v>
      </c>
      <c r="N248" s="13" t="s">
        <v>151</v>
      </c>
      <c r="O248" s="45">
        <v>2</v>
      </c>
      <c r="P248" s="30" t="str">
        <f>VLOOKUP(O248,[1]Key!$E$2:$F$9,2,FALSE)</f>
        <v>Work</v>
      </c>
      <c r="Q248" s="13" t="s">
        <v>242</v>
      </c>
      <c r="R248" s="23" t="s">
        <v>172</v>
      </c>
      <c r="S248" s="13" t="s">
        <v>151</v>
      </c>
      <c r="T248" s="23">
        <v>2</v>
      </c>
      <c r="U248" s="30" t="str">
        <f>VLOOKUP(T248,[1]Key!$E$2:$F$9,2,FALSE)</f>
        <v>Work</v>
      </c>
      <c r="V248" s="30" t="str">
        <f t="shared" si="13"/>
        <v>Work-Work</v>
      </c>
      <c r="W248" s="23">
        <v>17000</v>
      </c>
      <c r="X248" s="62">
        <v>160</v>
      </c>
      <c r="Y248" s="62" t="str">
        <f t="shared" si="14"/>
        <v>100-200</v>
      </c>
      <c r="Z248" s="62">
        <v>4.5</v>
      </c>
      <c r="AA248" s="62" t="str">
        <f t="shared" si="15"/>
        <v>Over 3.5</v>
      </c>
      <c r="AB248" s="23">
        <v>6</v>
      </c>
      <c r="AC248" s="30" t="str">
        <f>VLOOKUP(AB248,[1]Key!$C$20:$D$29,2,FALSE)</f>
        <v>Businessman</v>
      </c>
      <c r="AD248" s="23">
        <v>4</v>
      </c>
      <c r="AE248" s="30" t="str">
        <f>VLOOKUP(AD248,[1]Key!$E$20:$F$24,2,FALSE)</f>
        <v>750,000-1,000,000</v>
      </c>
      <c r="AF248" s="23">
        <v>5</v>
      </c>
      <c r="AG248" s="62">
        <v>2</v>
      </c>
      <c r="AH248" s="62">
        <v>1</v>
      </c>
      <c r="AI248" s="62">
        <v>2</v>
      </c>
      <c r="AJ248" s="62">
        <v>1</v>
      </c>
      <c r="AK248" s="45" t="s">
        <v>94</v>
      </c>
      <c r="AL248" s="36">
        <v>2000</v>
      </c>
      <c r="AM248" t="str">
        <f t="shared" si="16"/>
        <v>2000-3000</v>
      </c>
    </row>
    <row r="249" spans="1:46" x14ac:dyDescent="0.2">
      <c r="A249" s="44">
        <v>43771</v>
      </c>
      <c r="B249" s="60">
        <v>0.52430555555555558</v>
      </c>
      <c r="C249" s="60"/>
      <c r="D249" s="60" t="s">
        <v>96</v>
      </c>
      <c r="E249" s="13">
        <v>2</v>
      </c>
      <c r="F249" s="38" t="str">
        <f>VLOOKUP(E249,[1]Key!$A$17:$B$21,2,FALSE)</f>
        <v>Road Vehicle</v>
      </c>
      <c r="G249" s="61">
        <v>4</v>
      </c>
      <c r="H249" s="39" t="str">
        <f>VLOOKUP(G249,[1]Key!$A$2:$B$13,2,FALSE)</f>
        <v>Minibus</v>
      </c>
      <c r="I249" s="13" t="s">
        <v>108</v>
      </c>
      <c r="J249" s="13">
        <v>4</v>
      </c>
      <c r="K249" s="40" t="str">
        <f>VLOOKUP(J249,[1]Key!$A$24:$B$29,2,FALSE)</f>
        <v>50-59</v>
      </c>
      <c r="L249" s="13" t="s">
        <v>233</v>
      </c>
      <c r="M249" s="23" t="s">
        <v>150</v>
      </c>
      <c r="N249" s="13" t="s">
        <v>151</v>
      </c>
      <c r="O249" s="45">
        <v>2</v>
      </c>
      <c r="P249" s="30" t="str">
        <f>VLOOKUP(O249,[1]Key!$E$2:$F$9,2,FALSE)</f>
        <v>Work</v>
      </c>
      <c r="Q249" s="13" t="s">
        <v>276</v>
      </c>
      <c r="R249" s="23" t="s">
        <v>159</v>
      </c>
      <c r="S249" s="13" t="s">
        <v>151</v>
      </c>
      <c r="T249" s="23">
        <v>2</v>
      </c>
      <c r="U249" s="30" t="str">
        <f>VLOOKUP(T249,[1]Key!$E$2:$F$9,2,FALSE)</f>
        <v>Work</v>
      </c>
      <c r="V249" s="30" t="str">
        <f t="shared" si="13"/>
        <v>Work-Work</v>
      </c>
      <c r="W249" s="23">
        <v>40000</v>
      </c>
      <c r="X249" s="62">
        <v>30</v>
      </c>
      <c r="Y249" s="62" t="str">
        <f t="shared" si="14"/>
        <v>20-40</v>
      </c>
      <c r="Z249" s="62">
        <v>1</v>
      </c>
      <c r="AA249" s="62" t="str">
        <f t="shared" si="15"/>
        <v>1.0-2.0</v>
      </c>
      <c r="AB249" s="23">
        <v>2</v>
      </c>
      <c r="AC249" s="30" t="str">
        <f>VLOOKUP(AB249,[1]Key!$C$20:$D$29,2,FALSE)</f>
        <v>Manual Labour</v>
      </c>
      <c r="AD249" s="23">
        <v>4</v>
      </c>
      <c r="AE249" s="30" t="str">
        <f>VLOOKUP(AD249,[1]Key!$E$20:$F$24,2,FALSE)</f>
        <v>750,000-1,000,000</v>
      </c>
      <c r="AF249" s="23">
        <v>4</v>
      </c>
      <c r="AG249" s="62">
        <v>2</v>
      </c>
      <c r="AH249" s="62">
        <v>1</v>
      </c>
      <c r="AI249" s="62">
        <v>2</v>
      </c>
      <c r="AJ249" s="62">
        <v>1</v>
      </c>
      <c r="AK249" s="45" t="s">
        <v>94</v>
      </c>
      <c r="AL249" s="36">
        <v>1000</v>
      </c>
      <c r="AM249" t="str">
        <f t="shared" si="16"/>
        <v>1000-2000</v>
      </c>
    </row>
    <row r="250" spans="1:46" x14ac:dyDescent="0.2">
      <c r="A250" s="44">
        <v>43771</v>
      </c>
      <c r="B250" s="60">
        <v>0.64097222222222217</v>
      </c>
      <c r="C250" s="60"/>
      <c r="D250" s="60" t="s">
        <v>96</v>
      </c>
      <c r="E250" s="13">
        <v>2</v>
      </c>
      <c r="F250" s="38" t="str">
        <f>VLOOKUP(E250,[1]Key!$A$17:$B$21,2,FALSE)</f>
        <v>Road Vehicle</v>
      </c>
      <c r="G250" s="61">
        <v>4</v>
      </c>
      <c r="H250" s="39" t="str">
        <f>VLOOKUP(G250,[1]Key!$A$2:$B$13,2,FALSE)</f>
        <v>Minibus</v>
      </c>
      <c r="I250" s="13" t="s">
        <v>108</v>
      </c>
      <c r="J250" s="13">
        <v>5</v>
      </c>
      <c r="K250" s="40" t="str">
        <f>VLOOKUP(J250,[1]Key!$A$24:$B$29,2,FALSE)</f>
        <v>60-69</v>
      </c>
      <c r="L250" s="13" t="s">
        <v>208</v>
      </c>
      <c r="M250" s="23" t="s">
        <v>150</v>
      </c>
      <c r="N250" s="13" t="s">
        <v>151</v>
      </c>
      <c r="O250" s="45">
        <v>4</v>
      </c>
      <c r="P250" s="30" t="str">
        <f>VLOOKUP(O250,[1]Key!$E$2:$F$9,2,FALSE)</f>
        <v>Commercial</v>
      </c>
      <c r="Q250" s="13" t="s">
        <v>303</v>
      </c>
      <c r="R250" s="23" t="s">
        <v>159</v>
      </c>
      <c r="S250" s="13" t="s">
        <v>151</v>
      </c>
      <c r="T250" s="23">
        <v>4</v>
      </c>
      <c r="U250" s="30" t="str">
        <f>VLOOKUP(T250,[1]Key!$E$2:$F$9,2,FALSE)</f>
        <v>Commercial</v>
      </c>
      <c r="V250" s="30" t="str">
        <f t="shared" si="13"/>
        <v>Commercial-Commercial</v>
      </c>
      <c r="W250" s="23">
        <v>70000</v>
      </c>
      <c r="X250" s="62">
        <v>140</v>
      </c>
      <c r="Y250" s="62" t="str">
        <f t="shared" si="14"/>
        <v>100-200</v>
      </c>
      <c r="Z250" s="62">
        <v>1.5</v>
      </c>
      <c r="AA250" s="62" t="str">
        <f t="shared" si="15"/>
        <v>1.0-2.0</v>
      </c>
      <c r="AB250" s="23">
        <v>5</v>
      </c>
      <c r="AC250" s="30" t="str">
        <f>VLOOKUP(AB250,[1]Key!$C$20:$D$29,2,FALSE)</f>
        <v>Professional</v>
      </c>
      <c r="AD250" s="23">
        <v>2</v>
      </c>
      <c r="AE250" s="30" t="str">
        <f>VLOOKUP(AD250,[1]Key!$E$20:$F$24,2,FALSE)</f>
        <v>300,000-500,000</v>
      </c>
      <c r="AF250" s="23">
        <v>5</v>
      </c>
      <c r="AG250" s="62">
        <v>2</v>
      </c>
      <c r="AH250" s="62">
        <v>4</v>
      </c>
      <c r="AI250" s="62">
        <v>5</v>
      </c>
      <c r="AJ250" s="62">
        <v>4</v>
      </c>
      <c r="AK250" s="45" t="s">
        <v>94</v>
      </c>
      <c r="AL250" s="36">
        <v>1000</v>
      </c>
      <c r="AM250" t="str">
        <f t="shared" si="16"/>
        <v>1000-2000</v>
      </c>
    </row>
    <row r="251" spans="1:46" x14ac:dyDescent="0.2">
      <c r="A251" s="44">
        <v>43771</v>
      </c>
      <c r="B251" s="60">
        <v>0.58194444444444449</v>
      </c>
      <c r="C251" s="60"/>
      <c r="D251" s="60" t="s">
        <v>165</v>
      </c>
      <c r="E251" s="13">
        <v>2</v>
      </c>
      <c r="F251" s="38" t="str">
        <f>VLOOKUP(E251,[1]Key!$A$17:$B$21,2,FALSE)</f>
        <v>Road Vehicle</v>
      </c>
      <c r="G251" s="61">
        <v>4</v>
      </c>
      <c r="H251" s="39" t="str">
        <f>VLOOKUP(G251,[1]Key!$A$2:$B$13,2,FALSE)</f>
        <v>Minibus</v>
      </c>
      <c r="I251" s="13" t="s">
        <v>108</v>
      </c>
      <c r="J251" s="13">
        <v>5</v>
      </c>
      <c r="K251" s="40" t="str">
        <f>VLOOKUP(J251,[1]Key!$A$24:$B$29,2,FALSE)</f>
        <v>60-69</v>
      </c>
      <c r="L251" s="13" t="s">
        <v>208</v>
      </c>
      <c r="M251" s="23" t="s">
        <v>150</v>
      </c>
      <c r="N251" s="13" t="s">
        <v>151</v>
      </c>
      <c r="O251" s="45">
        <v>1</v>
      </c>
      <c r="P251" s="30" t="str">
        <f>VLOOKUP(O251,[1]Key!$E$2:$F$9,2,FALSE)</f>
        <v>Home</v>
      </c>
      <c r="Q251" s="13" t="s">
        <v>219</v>
      </c>
      <c r="R251" s="23" t="s">
        <v>150</v>
      </c>
      <c r="S251" s="13" t="s">
        <v>151</v>
      </c>
      <c r="T251" s="23">
        <v>1</v>
      </c>
      <c r="U251" s="30" t="str">
        <f>VLOOKUP(T251,[1]Key!$E$2:$F$9,2,FALSE)</f>
        <v>Home</v>
      </c>
      <c r="V251" s="30" t="str">
        <f t="shared" si="13"/>
        <v>Home-Home</v>
      </c>
      <c r="W251" s="23">
        <v>1000</v>
      </c>
      <c r="X251" s="62">
        <v>2</v>
      </c>
      <c r="Y251" s="62" t="str">
        <f t="shared" si="14"/>
        <v>0-10</v>
      </c>
      <c r="Z251" s="62">
        <v>0.2</v>
      </c>
      <c r="AA251" s="62" t="str">
        <f t="shared" si="15"/>
        <v>0-0.5</v>
      </c>
      <c r="AB251" s="23">
        <v>6</v>
      </c>
      <c r="AC251" s="30" t="str">
        <f>VLOOKUP(AB251,[1]Key!$C$20:$D$29,2,FALSE)</f>
        <v>Businessman</v>
      </c>
      <c r="AD251" s="23">
        <v>2</v>
      </c>
      <c r="AE251" s="30" t="str">
        <f>VLOOKUP(AD251,[1]Key!$E$20:$F$24,2,FALSE)</f>
        <v>300,000-500,000</v>
      </c>
      <c r="AF251" s="23">
        <v>5</v>
      </c>
      <c r="AG251" s="62">
        <v>1</v>
      </c>
      <c r="AH251" s="62">
        <v>3</v>
      </c>
      <c r="AI251" s="62">
        <v>5</v>
      </c>
      <c r="AJ251" s="62">
        <v>1</v>
      </c>
      <c r="AK251" s="45" t="s">
        <v>94</v>
      </c>
      <c r="AL251" s="36"/>
      <c r="AM251" t="str">
        <f t="shared" si="16"/>
        <v>0-1000</v>
      </c>
    </row>
    <row r="252" spans="1:46" s="19" customFormat="1" x14ac:dyDescent="0.2">
      <c r="A252" s="44" t="s">
        <v>355</v>
      </c>
      <c r="B252" s="60">
        <v>0.30416666666666664</v>
      </c>
      <c r="C252" s="60"/>
      <c r="D252" s="60" t="s">
        <v>96</v>
      </c>
      <c r="E252" s="13">
        <v>2</v>
      </c>
      <c r="F252" s="38" t="str">
        <f>VLOOKUP(E252,[2]Key!$A$17:$B$21,2,FALSE)</f>
        <v>Road Vehicle</v>
      </c>
      <c r="G252" s="61">
        <v>7</v>
      </c>
      <c r="H252" s="39" t="str">
        <f>VLOOKUP(G252,[2]Key!$A$2:$B$13,2,FALSE)</f>
        <v xml:space="preserve">Light Truck </v>
      </c>
      <c r="I252" s="13" t="s">
        <v>108</v>
      </c>
      <c r="J252" s="13">
        <v>4</v>
      </c>
      <c r="K252" s="40" t="str">
        <f>VLOOKUP(J252,[2]Key!$A$24:$B$29,2,FALSE)</f>
        <v>50-59</v>
      </c>
      <c r="L252" s="13" t="s">
        <v>356</v>
      </c>
      <c r="M252" s="23" t="s">
        <v>150</v>
      </c>
      <c r="N252" s="13" t="s">
        <v>357</v>
      </c>
      <c r="O252" s="45">
        <v>4</v>
      </c>
      <c r="P252" s="30" t="str">
        <f>VLOOKUP(O252,[2]Key!$E$2:$F$9,2,FALSE)</f>
        <v>Commercial</v>
      </c>
      <c r="Q252" s="13" t="s">
        <v>358</v>
      </c>
      <c r="R252" s="23" t="s">
        <v>359</v>
      </c>
      <c r="S252" s="13" t="s">
        <v>357</v>
      </c>
      <c r="T252" s="23">
        <v>4</v>
      </c>
      <c r="U252" s="30" t="str">
        <f>VLOOKUP(T252,[2]Key!$E$2:$F$9,2,FALSE)</f>
        <v>Commercial</v>
      </c>
      <c r="V252" s="30" t="str">
        <f t="shared" si="13"/>
        <v>Commercial-Commercial</v>
      </c>
      <c r="W252" s="23">
        <v>340000</v>
      </c>
      <c r="X252" s="62">
        <v>370</v>
      </c>
      <c r="Y252" s="62" t="str">
        <f t="shared" si="14"/>
        <v>Over 200</v>
      </c>
      <c r="Z252" s="62">
        <v>6</v>
      </c>
      <c r="AA252" s="62" t="str">
        <f t="shared" si="15"/>
        <v>Over 3.5</v>
      </c>
      <c r="AB252" s="23">
        <v>5</v>
      </c>
      <c r="AC252" s="30" t="str">
        <f>VLOOKUP(AB252,[2]Key!$C$20:$D$29,2,FALSE)</f>
        <v>Professional</v>
      </c>
      <c r="AD252" s="23">
        <v>2</v>
      </c>
      <c r="AE252" s="30" t="str">
        <f>VLOOKUP(AD252,[2]Key!$E$20:$F$24,2,FALSE)</f>
        <v>300,000-500,000</v>
      </c>
      <c r="AF252" s="23">
        <v>1</v>
      </c>
      <c r="AG252" s="62">
        <v>2</v>
      </c>
      <c r="AH252" s="62">
        <v>1</v>
      </c>
      <c r="AI252" s="62">
        <v>1</v>
      </c>
      <c r="AJ252" s="62">
        <v>2</v>
      </c>
      <c r="AK252" s="45" t="s">
        <v>94</v>
      </c>
      <c r="AL252" s="36">
        <v>500</v>
      </c>
      <c r="AM252" t="str">
        <f t="shared" si="16"/>
        <v>0-1000</v>
      </c>
      <c r="AN252"/>
      <c r="AO252"/>
      <c r="AP252"/>
      <c r="AQ252"/>
      <c r="AR252"/>
      <c r="AS252"/>
      <c r="AT252"/>
    </row>
    <row r="253" spans="1:46" x14ac:dyDescent="0.2">
      <c r="A253" s="44" t="s">
        <v>355</v>
      </c>
      <c r="B253" s="60">
        <v>0.35625000000000001</v>
      </c>
      <c r="C253" s="60"/>
      <c r="D253" s="60" t="s">
        <v>165</v>
      </c>
      <c r="E253" s="13">
        <v>2</v>
      </c>
      <c r="F253" s="38" t="str">
        <f>VLOOKUP(E253,[2]Key!$A$17:$B$21,2,FALSE)</f>
        <v>Road Vehicle</v>
      </c>
      <c r="G253" s="61">
        <v>4</v>
      </c>
      <c r="H253" s="39" t="str">
        <f>VLOOKUP(G253,[2]Key!$A$2:$B$13,2,FALSE)</f>
        <v>Minibus</v>
      </c>
      <c r="I253" s="13" t="s">
        <v>178</v>
      </c>
      <c r="J253" s="13">
        <v>1</v>
      </c>
      <c r="K253" s="40" t="str">
        <f>VLOOKUP(J253,[2]Key!$A$24:$B$29,2,FALSE)</f>
        <v>20-29</v>
      </c>
      <c r="L253" s="13" t="s">
        <v>356</v>
      </c>
      <c r="M253" s="23" t="s">
        <v>150</v>
      </c>
      <c r="N253" s="13" t="s">
        <v>357</v>
      </c>
      <c r="O253" s="45">
        <v>6</v>
      </c>
      <c r="P253" s="30" t="str">
        <f>VLOOKUP(O253,[2]Key!$E$2:$F$9,2,FALSE)</f>
        <v>Leisure/Social</v>
      </c>
      <c r="Q253" s="13" t="s">
        <v>212</v>
      </c>
      <c r="R253" s="23" t="s">
        <v>150</v>
      </c>
      <c r="S253" s="13" t="s">
        <v>357</v>
      </c>
      <c r="T253" s="23">
        <v>3</v>
      </c>
      <c r="U253" s="30" t="str">
        <f>VLOOKUP(T253,[2]Key!$E$2:$F$9,2,FALSE)</f>
        <v>Study</v>
      </c>
      <c r="V253" s="30" t="str">
        <f t="shared" si="13"/>
        <v>Leisure/Social-Study</v>
      </c>
      <c r="W253" s="23">
        <v>2000</v>
      </c>
      <c r="X253" s="62">
        <v>10</v>
      </c>
      <c r="Y253" s="62" t="str">
        <f t="shared" si="14"/>
        <v>10-20</v>
      </c>
      <c r="Z253" s="62">
        <v>0.3</v>
      </c>
      <c r="AA253" s="62" t="str">
        <f t="shared" si="15"/>
        <v>0-0.5</v>
      </c>
      <c r="AB253" s="23">
        <v>1</v>
      </c>
      <c r="AC253" s="30" t="str">
        <f>VLOOKUP(AB253,[2]Key!$C$20:$D$29,2,FALSE)</f>
        <v>Unemployed</v>
      </c>
      <c r="AD253" s="23">
        <v>1</v>
      </c>
      <c r="AE253" s="30" t="str">
        <f>VLOOKUP(AD253,[2]Key!$E$20:$F$24,2,FALSE)</f>
        <v>&lt;300,000</v>
      </c>
      <c r="AF253" s="23">
        <v>5</v>
      </c>
      <c r="AG253" s="62">
        <v>3</v>
      </c>
      <c r="AH253" s="62">
        <v>3</v>
      </c>
      <c r="AI253" s="62">
        <v>4</v>
      </c>
      <c r="AJ253" s="62">
        <v>3</v>
      </c>
      <c r="AK253" s="45" t="s">
        <v>94</v>
      </c>
      <c r="AL253" s="36"/>
      <c r="AM253" t="str">
        <f t="shared" si="16"/>
        <v>0-1000</v>
      </c>
    </row>
    <row r="254" spans="1:46" x14ac:dyDescent="0.2">
      <c r="A254" s="44" t="s">
        <v>355</v>
      </c>
      <c r="B254" s="60">
        <v>0.375</v>
      </c>
      <c r="C254" s="60"/>
      <c r="D254" s="60" t="s">
        <v>165</v>
      </c>
      <c r="E254" s="13">
        <v>2</v>
      </c>
      <c r="F254" s="38" t="str">
        <f>VLOOKUP(E254,[2]Key!$A$17:$B$21,2,FALSE)</f>
        <v>Road Vehicle</v>
      </c>
      <c r="G254" s="61">
        <v>4</v>
      </c>
      <c r="H254" s="39" t="str">
        <f>VLOOKUP(G254,[2]Key!$A$2:$B$13,2,FALSE)</f>
        <v>Minibus</v>
      </c>
      <c r="I254" s="13" t="s">
        <v>178</v>
      </c>
      <c r="J254" s="13">
        <v>1</v>
      </c>
      <c r="K254" s="40" t="str">
        <f>VLOOKUP(J254,[2]Key!$A$24:$B$29,2,FALSE)</f>
        <v>20-29</v>
      </c>
      <c r="L254" s="13" t="s">
        <v>356</v>
      </c>
      <c r="M254" s="23" t="s">
        <v>150</v>
      </c>
      <c r="N254" s="13" t="s">
        <v>357</v>
      </c>
      <c r="O254" s="45">
        <v>6</v>
      </c>
      <c r="P254" s="30" t="str">
        <f>VLOOKUP(O254,[2]Key!$E$2:$F$9,2,FALSE)</f>
        <v>Leisure/Social</v>
      </c>
      <c r="Q254" s="13" t="s">
        <v>212</v>
      </c>
      <c r="R254" s="23" t="s">
        <v>150</v>
      </c>
      <c r="S254" s="13" t="s">
        <v>357</v>
      </c>
      <c r="T254" s="23">
        <v>2</v>
      </c>
      <c r="U254" s="30" t="str">
        <f>VLOOKUP(T254,[2]Key!$E$2:$F$9,2,FALSE)</f>
        <v>Work</v>
      </c>
      <c r="V254" s="30" t="str">
        <f t="shared" si="13"/>
        <v>Leisure/Social-Work</v>
      </c>
      <c r="W254" s="23">
        <v>1000</v>
      </c>
      <c r="X254" s="62">
        <v>12</v>
      </c>
      <c r="Y254" s="62" t="str">
        <f t="shared" si="14"/>
        <v>10-20</v>
      </c>
      <c r="Z254" s="62">
        <v>0.3</v>
      </c>
      <c r="AA254" s="62" t="str">
        <f t="shared" si="15"/>
        <v>0-0.5</v>
      </c>
      <c r="AB254" s="23">
        <v>3</v>
      </c>
      <c r="AC254" s="30" t="str">
        <f>VLOOKUP(AB254,[2]Key!$C$20:$D$29,2,FALSE)</f>
        <v>Artisan/Domestic</v>
      </c>
      <c r="AD254" s="23">
        <v>2</v>
      </c>
      <c r="AE254" s="30" t="str">
        <f>VLOOKUP(AD254,[2]Key!$E$20:$F$24,2,FALSE)</f>
        <v>300,000-500,000</v>
      </c>
      <c r="AF254" s="23">
        <v>5</v>
      </c>
      <c r="AG254" s="62">
        <v>5</v>
      </c>
      <c r="AH254" s="62">
        <v>1</v>
      </c>
      <c r="AI254" s="62">
        <v>1</v>
      </c>
      <c r="AJ254" s="62">
        <v>1</v>
      </c>
      <c r="AK254" s="45" t="s">
        <v>94</v>
      </c>
      <c r="AL254" s="36"/>
      <c r="AM254" t="str">
        <f t="shared" si="16"/>
        <v>0-1000</v>
      </c>
    </row>
    <row r="255" spans="1:46" x14ac:dyDescent="0.2">
      <c r="A255" s="44" t="s">
        <v>355</v>
      </c>
      <c r="B255" s="60">
        <v>0.40069444444444446</v>
      </c>
      <c r="C255" s="60"/>
      <c r="D255" s="60" t="s">
        <v>165</v>
      </c>
      <c r="E255" s="13">
        <v>2</v>
      </c>
      <c r="F255" s="38" t="str">
        <f>VLOOKUP(E255,[2]Key!$A$17:$B$21,2,FALSE)</f>
        <v>Road Vehicle</v>
      </c>
      <c r="G255" s="61">
        <v>4</v>
      </c>
      <c r="H255" s="39" t="str">
        <f>VLOOKUP(G255,[2]Key!$A$2:$B$13,2,FALSE)</f>
        <v>Minibus</v>
      </c>
      <c r="I255" s="13" t="s">
        <v>178</v>
      </c>
      <c r="J255" s="13">
        <v>1</v>
      </c>
      <c r="K255" s="40" t="str">
        <f>VLOOKUP(J255,[2]Key!$A$24:$B$29,2,FALSE)</f>
        <v>20-29</v>
      </c>
      <c r="L255" s="13" t="s">
        <v>356</v>
      </c>
      <c r="M255" s="23" t="s">
        <v>150</v>
      </c>
      <c r="N255" s="13" t="s">
        <v>357</v>
      </c>
      <c r="O255" s="45">
        <v>1</v>
      </c>
      <c r="P255" s="30" t="str">
        <f>VLOOKUP(O255,[2]Key!$E$2:$F$9,2,FALSE)</f>
        <v>Home</v>
      </c>
      <c r="Q255" s="13" t="s">
        <v>323</v>
      </c>
      <c r="R255" s="23" t="s">
        <v>150</v>
      </c>
      <c r="S255" s="13" t="s">
        <v>357</v>
      </c>
      <c r="T255" s="23">
        <v>1</v>
      </c>
      <c r="U255" s="30" t="str">
        <f>VLOOKUP(T255,[2]Key!$E$2:$F$9,2,FALSE)</f>
        <v>Home</v>
      </c>
      <c r="V255" s="30" t="str">
        <f t="shared" si="13"/>
        <v>Home-Home</v>
      </c>
      <c r="W255" s="23">
        <v>3000</v>
      </c>
      <c r="X255" s="62">
        <v>20</v>
      </c>
      <c r="Y255" s="62" t="str">
        <f t="shared" si="14"/>
        <v>20-40</v>
      </c>
      <c r="Z255" s="62">
        <v>0.3</v>
      </c>
      <c r="AA255" s="62" t="str">
        <f t="shared" si="15"/>
        <v>0-0.5</v>
      </c>
      <c r="AB255" s="23">
        <v>1</v>
      </c>
      <c r="AC255" s="30" t="str">
        <f>VLOOKUP(AB255,[2]Key!$C$20:$D$29,2,FALSE)</f>
        <v>Unemployed</v>
      </c>
      <c r="AD255" s="23">
        <v>1</v>
      </c>
      <c r="AE255" s="30" t="str">
        <f>VLOOKUP(AD255,[2]Key!$E$20:$F$24,2,FALSE)</f>
        <v>&lt;300,000</v>
      </c>
      <c r="AF255" s="23">
        <v>1</v>
      </c>
      <c r="AG255" s="62">
        <v>2</v>
      </c>
      <c r="AH255" s="62">
        <v>1</v>
      </c>
      <c r="AI255" s="62">
        <v>1</v>
      </c>
      <c r="AJ255" s="62">
        <v>2</v>
      </c>
      <c r="AK255" s="45" t="s">
        <v>94</v>
      </c>
      <c r="AL255" s="36">
        <v>200</v>
      </c>
      <c r="AM255" t="str">
        <f t="shared" si="16"/>
        <v>0-1000</v>
      </c>
    </row>
    <row r="256" spans="1:46" x14ac:dyDescent="0.2">
      <c r="A256" s="44" t="s">
        <v>355</v>
      </c>
      <c r="B256" s="60">
        <v>0.68541666666666667</v>
      </c>
      <c r="C256" s="60"/>
      <c r="D256" s="60" t="s">
        <v>165</v>
      </c>
      <c r="E256" s="13">
        <v>2</v>
      </c>
      <c r="F256" s="38" t="str">
        <f>VLOOKUP(E256,[2]Key!$A$17:$B$21,2,FALSE)</f>
        <v>Road Vehicle</v>
      </c>
      <c r="G256" s="61">
        <v>4</v>
      </c>
      <c r="H256" s="39" t="str">
        <f>VLOOKUP(G256,[2]Key!$A$2:$B$13,2,FALSE)</f>
        <v>Minibus</v>
      </c>
      <c r="I256" s="13" t="s">
        <v>178</v>
      </c>
      <c r="J256" s="13">
        <v>1</v>
      </c>
      <c r="K256" s="40" t="str">
        <f>VLOOKUP(J256,[2]Key!$A$24:$B$29,2,FALSE)</f>
        <v>20-29</v>
      </c>
      <c r="L256" s="13" t="s">
        <v>240</v>
      </c>
      <c r="M256" s="23" t="s">
        <v>150</v>
      </c>
      <c r="N256" s="13" t="s">
        <v>357</v>
      </c>
      <c r="O256" s="45">
        <v>1</v>
      </c>
      <c r="P256" s="30" t="str">
        <f>VLOOKUP(O256,[2]Key!$E$2:$F$9,2,FALSE)</f>
        <v>Home</v>
      </c>
      <c r="Q256" s="13" t="s">
        <v>360</v>
      </c>
      <c r="R256" s="23" t="s">
        <v>150</v>
      </c>
      <c r="S256" s="13" t="s">
        <v>357</v>
      </c>
      <c r="T256" s="23">
        <v>3</v>
      </c>
      <c r="U256" s="30" t="str">
        <f>VLOOKUP(T256,[2]Key!$E$2:$F$9,2,FALSE)</f>
        <v>Study</v>
      </c>
      <c r="V256" s="30" t="str">
        <f t="shared" si="13"/>
        <v>Home-Study</v>
      </c>
      <c r="W256" s="23">
        <v>2000</v>
      </c>
      <c r="X256" s="62">
        <v>13</v>
      </c>
      <c r="Y256" s="62" t="str">
        <f t="shared" si="14"/>
        <v>10-20</v>
      </c>
      <c r="Z256" s="62">
        <v>0.3</v>
      </c>
      <c r="AA256" s="62" t="str">
        <f t="shared" si="15"/>
        <v>0-0.5</v>
      </c>
      <c r="AB256" s="23">
        <v>8</v>
      </c>
      <c r="AC256" s="30" t="str">
        <f>VLOOKUP(AB256,[2]Key!$C$20:$D$29,2,FALSE)</f>
        <v>Student</v>
      </c>
      <c r="AD256" s="23">
        <v>1</v>
      </c>
      <c r="AE256" s="30" t="str">
        <f>VLOOKUP(AD256,[2]Key!$E$20:$F$24,2,FALSE)</f>
        <v>&lt;300,000</v>
      </c>
      <c r="AF256" s="23">
        <v>1</v>
      </c>
      <c r="AG256" s="62">
        <v>2</v>
      </c>
      <c r="AH256" s="62">
        <v>1</v>
      </c>
      <c r="AI256" s="62">
        <v>1</v>
      </c>
      <c r="AJ256" s="62">
        <v>2</v>
      </c>
      <c r="AK256" s="45" t="s">
        <v>94</v>
      </c>
      <c r="AL256" s="36"/>
      <c r="AM256" t="str">
        <f t="shared" si="16"/>
        <v>0-1000</v>
      </c>
    </row>
    <row r="257" spans="1:46" x14ac:dyDescent="0.2">
      <c r="A257" s="44" t="s">
        <v>355</v>
      </c>
      <c r="B257" s="60">
        <v>0.70000000000000007</v>
      </c>
      <c r="C257" s="60"/>
      <c r="D257" s="60" t="s">
        <v>165</v>
      </c>
      <c r="E257" s="13">
        <v>2</v>
      </c>
      <c r="F257" s="38" t="str">
        <f>VLOOKUP(E257,[2]Key!$A$17:$B$21,2,FALSE)</f>
        <v>Road Vehicle</v>
      </c>
      <c r="G257" s="61">
        <v>4</v>
      </c>
      <c r="H257" s="39" t="str">
        <f>VLOOKUP(G257,[2]Key!$A$2:$B$13,2,FALSE)</f>
        <v>Minibus</v>
      </c>
      <c r="I257" s="13" t="s">
        <v>178</v>
      </c>
      <c r="J257" s="13">
        <v>1</v>
      </c>
      <c r="K257" s="40" t="str">
        <f>VLOOKUP(J257,[2]Key!$A$24:$B$29,2,FALSE)</f>
        <v>20-29</v>
      </c>
      <c r="L257" s="13" t="s">
        <v>356</v>
      </c>
      <c r="M257" s="23" t="s">
        <v>150</v>
      </c>
      <c r="N257" s="13" t="s">
        <v>357</v>
      </c>
      <c r="O257" s="45">
        <v>4</v>
      </c>
      <c r="P257" s="30" t="str">
        <f>VLOOKUP(O257,[2]Key!$E$2:$F$9,2,FALSE)</f>
        <v>Commercial</v>
      </c>
      <c r="Q257" s="13" t="s">
        <v>236</v>
      </c>
      <c r="R257" s="23" t="s">
        <v>150</v>
      </c>
      <c r="S257" s="13" t="s">
        <v>357</v>
      </c>
      <c r="T257" s="23">
        <v>6</v>
      </c>
      <c r="U257" s="30" t="str">
        <f>VLOOKUP(T257,[2]Key!$E$2:$F$9,2,FALSE)</f>
        <v>Leisure/Social</v>
      </c>
      <c r="V257" s="30" t="str">
        <f t="shared" si="13"/>
        <v>Commercial-Leisure/Social</v>
      </c>
      <c r="W257" s="23">
        <v>1000</v>
      </c>
      <c r="X257" s="62">
        <v>30</v>
      </c>
      <c r="Y257" s="62" t="str">
        <f t="shared" si="14"/>
        <v>20-40</v>
      </c>
      <c r="Z257" s="62">
        <v>0.5</v>
      </c>
      <c r="AA257" s="62" t="str">
        <f t="shared" si="15"/>
        <v>0.5-1.0</v>
      </c>
      <c r="AB257" s="23">
        <v>1</v>
      </c>
      <c r="AC257" s="30" t="str">
        <f>VLOOKUP(AB257,[2]Key!$C$20:$D$29,2,FALSE)</f>
        <v>Unemployed</v>
      </c>
      <c r="AD257" s="23">
        <v>1</v>
      </c>
      <c r="AE257" s="30" t="str">
        <f>VLOOKUP(AD257,[2]Key!$E$20:$F$24,2,FALSE)</f>
        <v>&lt;300,000</v>
      </c>
      <c r="AF257" s="23">
        <v>1</v>
      </c>
      <c r="AG257" s="62">
        <v>2</v>
      </c>
      <c r="AH257" s="62">
        <v>1</v>
      </c>
      <c r="AI257" s="62">
        <v>1</v>
      </c>
      <c r="AJ257" s="62">
        <v>2</v>
      </c>
      <c r="AK257" s="45" t="s">
        <v>94</v>
      </c>
      <c r="AL257" s="36"/>
      <c r="AM257" t="str">
        <f t="shared" si="16"/>
        <v>0-1000</v>
      </c>
    </row>
    <row r="258" spans="1:46" x14ac:dyDescent="0.2">
      <c r="A258" s="44" t="s">
        <v>355</v>
      </c>
      <c r="B258" s="60">
        <v>0.73333333333333339</v>
      </c>
      <c r="C258" s="60"/>
      <c r="D258" s="60" t="s">
        <v>165</v>
      </c>
      <c r="E258" s="13">
        <v>2</v>
      </c>
      <c r="F258" s="38" t="str">
        <f>VLOOKUP(E258,[2]Key!$A$17:$B$21,2,FALSE)</f>
        <v>Road Vehicle</v>
      </c>
      <c r="G258" s="61">
        <v>4</v>
      </c>
      <c r="H258" s="39" t="str">
        <f>VLOOKUP(G258,[2]Key!$A$2:$B$13,2,FALSE)</f>
        <v>Minibus</v>
      </c>
      <c r="I258" s="13" t="s">
        <v>178</v>
      </c>
      <c r="J258" s="13">
        <v>1</v>
      </c>
      <c r="K258" s="40" t="str">
        <f>VLOOKUP(J258,[2]Key!$A$24:$B$29,2,FALSE)</f>
        <v>20-29</v>
      </c>
      <c r="L258" s="13" t="s">
        <v>356</v>
      </c>
      <c r="M258" s="23" t="s">
        <v>150</v>
      </c>
      <c r="N258" s="13" t="s">
        <v>357</v>
      </c>
      <c r="O258" s="45">
        <v>1</v>
      </c>
      <c r="P258" s="30" t="str">
        <f>VLOOKUP(O258,[2]Key!$E$2:$F$9,2,FALSE)</f>
        <v>Home</v>
      </c>
      <c r="Q258" s="13" t="s">
        <v>361</v>
      </c>
      <c r="R258" s="23" t="s">
        <v>156</v>
      </c>
      <c r="S258" s="13" t="s">
        <v>357</v>
      </c>
      <c r="T258" s="23">
        <v>3</v>
      </c>
      <c r="U258" s="30" t="str">
        <f>VLOOKUP(T258,[2]Key!$E$2:$F$9,2,FALSE)</f>
        <v>Study</v>
      </c>
      <c r="V258" s="30" t="str">
        <f t="shared" ref="V258:V321" si="17">P258&amp;"-"&amp;U258</f>
        <v>Home-Study</v>
      </c>
      <c r="W258" s="23">
        <v>2000</v>
      </c>
      <c r="X258" s="62">
        <v>17</v>
      </c>
      <c r="Y258" s="62" t="str">
        <f t="shared" si="14"/>
        <v>10-20</v>
      </c>
      <c r="Z258" s="62">
        <v>0.5</v>
      </c>
      <c r="AA258" s="62" t="str">
        <f t="shared" si="15"/>
        <v>0.5-1.0</v>
      </c>
      <c r="AB258" s="23">
        <v>8</v>
      </c>
      <c r="AC258" s="30" t="str">
        <f>VLOOKUP(AB258,[2]Key!$C$20:$D$29,2,FALSE)</f>
        <v>Student</v>
      </c>
      <c r="AD258" s="23">
        <v>1</v>
      </c>
      <c r="AE258" s="30" t="str">
        <f>VLOOKUP(AD258,[2]Key!$E$20:$F$24,2,FALSE)</f>
        <v>&lt;300,000</v>
      </c>
      <c r="AF258" s="23">
        <v>5</v>
      </c>
      <c r="AG258" s="62">
        <v>5</v>
      </c>
      <c r="AH258" s="62">
        <v>4</v>
      </c>
      <c r="AI258" s="62">
        <v>3</v>
      </c>
      <c r="AJ258" s="62">
        <v>5</v>
      </c>
      <c r="AK258" s="45" t="s">
        <v>94</v>
      </c>
      <c r="AL258" s="36"/>
      <c r="AM258" t="str">
        <f t="shared" si="16"/>
        <v>0-1000</v>
      </c>
    </row>
    <row r="259" spans="1:46" x14ac:dyDescent="0.2">
      <c r="A259" s="44" t="s">
        <v>355</v>
      </c>
      <c r="B259" s="60">
        <v>0.40416666666666662</v>
      </c>
      <c r="C259" s="60"/>
      <c r="D259" s="60" t="s">
        <v>165</v>
      </c>
      <c r="E259" s="13">
        <v>2</v>
      </c>
      <c r="F259" s="38" t="str">
        <f>VLOOKUP(E259,[2]Key!$A$17:$B$21,2,FALSE)</f>
        <v>Road Vehicle</v>
      </c>
      <c r="G259" s="61">
        <v>4</v>
      </c>
      <c r="H259" s="39" t="str">
        <f>VLOOKUP(G259,[2]Key!$A$2:$B$13,2,FALSE)</f>
        <v>Minibus</v>
      </c>
      <c r="I259" s="13" t="s">
        <v>178</v>
      </c>
      <c r="J259" s="13">
        <v>1</v>
      </c>
      <c r="K259" s="40" t="str">
        <f>VLOOKUP(J259,[2]Key!$A$24:$B$29,2,FALSE)</f>
        <v>20-29</v>
      </c>
      <c r="L259" s="13" t="s">
        <v>356</v>
      </c>
      <c r="M259" s="23" t="s">
        <v>150</v>
      </c>
      <c r="N259" s="13" t="s">
        <v>357</v>
      </c>
      <c r="O259" s="45">
        <v>1</v>
      </c>
      <c r="P259" s="30" t="str">
        <f>VLOOKUP(O259,[2]Key!$E$2:$F$9,2,FALSE)</f>
        <v>Home</v>
      </c>
      <c r="Q259" s="13" t="s">
        <v>212</v>
      </c>
      <c r="R259" s="23" t="s">
        <v>150</v>
      </c>
      <c r="S259" s="13" t="s">
        <v>357</v>
      </c>
      <c r="T259" s="23">
        <v>3</v>
      </c>
      <c r="U259" s="30" t="str">
        <f>VLOOKUP(T259,[2]Key!$E$2:$F$9,2,FALSE)</f>
        <v>Study</v>
      </c>
      <c r="V259" s="30" t="str">
        <f t="shared" si="17"/>
        <v>Home-Study</v>
      </c>
      <c r="W259" s="23"/>
      <c r="X259" s="62"/>
      <c r="Y259" s="62" t="str">
        <f t="shared" ref="Y259:Y322" si="18">IF(X259&lt;10,"0-10",IF(X259&lt;20,"10-20",IF(X259&lt;40,"20-40",IF(X259&lt;70,"40-70",IF(X259&lt;100,"70-100",IF(X259&lt;200,"100-200","Over 200"))))))</f>
        <v>0-10</v>
      </c>
      <c r="Z259" s="62"/>
      <c r="AA259" s="62" t="str">
        <f t="shared" ref="AA259:AA322" si="19">IF(Z259&lt;0.5,"0-0.5",IF(Z259&lt;1,"0.5-1.0",IF(Z259&lt;2,"1.0-2.0",IF(Z259&lt;3.5,"2.0-3.5","Over 3.5"))))</f>
        <v>0-0.5</v>
      </c>
      <c r="AB259" s="23">
        <v>8</v>
      </c>
      <c r="AC259" s="30" t="str">
        <f>VLOOKUP(AB259,[2]Key!$C$20:$D$29,2,FALSE)</f>
        <v>Student</v>
      </c>
      <c r="AD259" s="23">
        <v>1</v>
      </c>
      <c r="AE259" s="30" t="str">
        <f>VLOOKUP(AD259,[2]Key!$E$20:$F$24,2,FALSE)</f>
        <v>&lt;300,000</v>
      </c>
      <c r="AF259" s="23">
        <v>1</v>
      </c>
      <c r="AG259" s="62">
        <v>3</v>
      </c>
      <c r="AH259" s="62">
        <v>3</v>
      </c>
      <c r="AI259" s="62">
        <v>5</v>
      </c>
      <c r="AJ259" s="62">
        <v>3</v>
      </c>
      <c r="AK259" s="45" t="s">
        <v>94</v>
      </c>
      <c r="AL259" s="36"/>
      <c r="AM259" t="str">
        <f t="shared" ref="AM259:AM322" si="20">IF(AL259&lt;1000,"0-1000",IF(AL259&lt;2000,"1000-2000",IF(AL259&lt;3000,"2000-3000",IF(AL259&lt;5000,"3000-5000",IF(AL259&lt;10000,"5000-10000","Over 10000")))))</f>
        <v>0-1000</v>
      </c>
    </row>
    <row r="260" spans="1:46" x14ac:dyDescent="0.2">
      <c r="A260" s="44" t="s">
        <v>355</v>
      </c>
      <c r="B260" s="60">
        <v>0.37152777777777773</v>
      </c>
      <c r="C260" s="60"/>
      <c r="D260" s="60" t="s">
        <v>165</v>
      </c>
      <c r="E260" s="13">
        <v>2</v>
      </c>
      <c r="F260" s="38" t="str">
        <f>VLOOKUP(E260,[2]Key!$A$17:$B$21,2,FALSE)</f>
        <v>Road Vehicle</v>
      </c>
      <c r="G260" s="61">
        <v>4</v>
      </c>
      <c r="H260" s="39" t="str">
        <f>VLOOKUP(G260,[2]Key!$A$2:$B$13,2,FALSE)</f>
        <v>Minibus</v>
      </c>
      <c r="I260" s="13" t="s">
        <v>178</v>
      </c>
      <c r="J260" s="13">
        <v>2</v>
      </c>
      <c r="K260" s="40" t="str">
        <f>VLOOKUP(J260,[2]Key!$A$24:$B$29,2,FALSE)</f>
        <v>30-39</v>
      </c>
      <c r="L260" s="13" t="s">
        <v>356</v>
      </c>
      <c r="M260" s="23" t="s">
        <v>150</v>
      </c>
      <c r="N260" s="13" t="s">
        <v>357</v>
      </c>
      <c r="O260" s="45">
        <v>4</v>
      </c>
      <c r="P260" s="30" t="str">
        <f>VLOOKUP(O260,[2]Key!$E$2:$F$9,2,FALSE)</f>
        <v>Commercial</v>
      </c>
      <c r="Q260" s="13" t="s">
        <v>220</v>
      </c>
      <c r="R260" s="23" t="s">
        <v>150</v>
      </c>
      <c r="S260" s="13" t="s">
        <v>357</v>
      </c>
      <c r="T260" s="23">
        <v>1</v>
      </c>
      <c r="U260" s="30" t="str">
        <f>VLOOKUP(T260,[2]Key!$E$2:$F$9,2,FALSE)</f>
        <v>Home</v>
      </c>
      <c r="V260" s="30" t="str">
        <f t="shared" si="17"/>
        <v>Commercial-Home</v>
      </c>
      <c r="W260" s="23">
        <v>1000</v>
      </c>
      <c r="X260" s="62">
        <v>12</v>
      </c>
      <c r="Y260" s="62" t="str">
        <f t="shared" si="18"/>
        <v>10-20</v>
      </c>
      <c r="Z260" s="62">
        <v>0.2</v>
      </c>
      <c r="AA260" s="62" t="str">
        <f t="shared" si="19"/>
        <v>0-0.5</v>
      </c>
      <c r="AB260" s="23">
        <v>6</v>
      </c>
      <c r="AC260" s="30" t="str">
        <f>VLOOKUP(AB260,[2]Key!$C$20:$D$29,2,FALSE)</f>
        <v>Businessman</v>
      </c>
      <c r="AD260" s="23">
        <v>1</v>
      </c>
      <c r="AE260" s="30" t="str">
        <f>VLOOKUP(AD260,[2]Key!$E$20:$F$24,2,FALSE)</f>
        <v>&lt;300,000</v>
      </c>
      <c r="AF260" s="23">
        <v>1</v>
      </c>
      <c r="AG260" s="62">
        <v>2</v>
      </c>
      <c r="AH260" s="62">
        <v>2</v>
      </c>
      <c r="AI260" s="62">
        <v>1</v>
      </c>
      <c r="AJ260" s="62">
        <v>2</v>
      </c>
      <c r="AK260" s="45" t="s">
        <v>94</v>
      </c>
      <c r="AL260" s="36">
        <v>1000</v>
      </c>
      <c r="AM260" t="str">
        <f t="shared" si="20"/>
        <v>1000-2000</v>
      </c>
    </row>
    <row r="261" spans="1:46" x14ac:dyDescent="0.2">
      <c r="A261" s="44" t="s">
        <v>355</v>
      </c>
      <c r="B261" s="60">
        <v>0.29652777777777778</v>
      </c>
      <c r="C261" s="60"/>
      <c r="D261" s="60" t="s">
        <v>165</v>
      </c>
      <c r="E261" s="13">
        <v>2</v>
      </c>
      <c r="F261" s="38" t="str">
        <f>VLOOKUP(E261,[2]Key!$A$17:$B$21,2,FALSE)</f>
        <v>Road Vehicle</v>
      </c>
      <c r="G261" s="61">
        <v>4</v>
      </c>
      <c r="H261" s="39" t="str">
        <f>VLOOKUP(G261,[2]Key!$A$2:$B$13,2,FALSE)</f>
        <v>Minibus</v>
      </c>
      <c r="I261" s="13" t="s">
        <v>178</v>
      </c>
      <c r="J261" s="13">
        <v>2</v>
      </c>
      <c r="K261" s="40" t="str">
        <f>VLOOKUP(J261,[2]Key!$A$24:$B$29,2,FALSE)</f>
        <v>30-39</v>
      </c>
      <c r="L261" s="13" t="s">
        <v>356</v>
      </c>
      <c r="M261" s="23" t="s">
        <v>150</v>
      </c>
      <c r="N261" s="13" t="s">
        <v>357</v>
      </c>
      <c r="O261" s="45">
        <v>1</v>
      </c>
      <c r="P261" s="30" t="str">
        <f>VLOOKUP(O261,[2]Key!$E$2:$F$9,2,FALSE)</f>
        <v>Home</v>
      </c>
      <c r="Q261" s="13" t="s">
        <v>218</v>
      </c>
      <c r="R261" s="23" t="s">
        <v>150</v>
      </c>
      <c r="S261" s="13" t="s">
        <v>357</v>
      </c>
      <c r="T261" s="23">
        <v>3</v>
      </c>
      <c r="U261" s="30" t="str">
        <f>VLOOKUP(T261,[2]Key!$E$2:$F$9,2,FALSE)</f>
        <v>Study</v>
      </c>
      <c r="V261" s="30" t="str">
        <f t="shared" si="17"/>
        <v>Home-Study</v>
      </c>
      <c r="W261" s="41">
        <v>1000</v>
      </c>
      <c r="X261" s="62">
        <v>4</v>
      </c>
      <c r="Y261" s="62" t="str">
        <f t="shared" si="18"/>
        <v>0-10</v>
      </c>
      <c r="Z261" s="62">
        <v>0.3</v>
      </c>
      <c r="AA261" s="62" t="str">
        <f t="shared" si="19"/>
        <v>0-0.5</v>
      </c>
      <c r="AB261" s="23">
        <v>8</v>
      </c>
      <c r="AC261" s="30" t="str">
        <f>VLOOKUP(AB261,[2]Key!$C$20:$D$29,2,FALSE)</f>
        <v>Student</v>
      </c>
      <c r="AD261" s="23">
        <v>2</v>
      </c>
      <c r="AE261" s="30" t="str">
        <f>VLOOKUP(AD261,[2]Key!$E$20:$F$24,2,FALSE)</f>
        <v>300,000-500,000</v>
      </c>
      <c r="AF261" s="23">
        <v>1</v>
      </c>
      <c r="AG261" s="62">
        <v>1</v>
      </c>
      <c r="AH261" s="62">
        <v>1</v>
      </c>
      <c r="AI261" s="62">
        <v>1</v>
      </c>
      <c r="AJ261" s="62">
        <v>1</v>
      </c>
      <c r="AK261" s="45" t="s">
        <v>94</v>
      </c>
      <c r="AL261" s="36">
        <v>500</v>
      </c>
      <c r="AM261" t="str">
        <f t="shared" si="20"/>
        <v>0-1000</v>
      </c>
      <c r="AN261" s="19"/>
      <c r="AO261" s="19"/>
      <c r="AP261" s="19"/>
      <c r="AQ261" s="19"/>
      <c r="AR261" s="19"/>
      <c r="AS261" s="19"/>
      <c r="AT261" s="19"/>
    </row>
    <row r="262" spans="1:46" x14ac:dyDescent="0.2">
      <c r="A262" s="44" t="s">
        <v>355</v>
      </c>
      <c r="B262" s="60">
        <v>0.7631944444444444</v>
      </c>
      <c r="C262" s="60"/>
      <c r="D262" s="60" t="s">
        <v>165</v>
      </c>
      <c r="E262" s="13">
        <v>2</v>
      </c>
      <c r="F262" s="38" t="str">
        <f>VLOOKUP(E262,[2]Key!$A$17:$B$21,2,FALSE)</f>
        <v>Road Vehicle</v>
      </c>
      <c r="G262" s="61">
        <v>4</v>
      </c>
      <c r="H262" s="39" t="str">
        <f>VLOOKUP(G262,[2]Key!$A$2:$B$13,2,FALSE)</f>
        <v>Minibus</v>
      </c>
      <c r="I262" s="13" t="s">
        <v>178</v>
      </c>
      <c r="J262" s="13">
        <v>2</v>
      </c>
      <c r="K262" s="40" t="str">
        <f>VLOOKUP(J262,[2]Key!$A$24:$B$29,2,FALSE)</f>
        <v>30-39</v>
      </c>
      <c r="L262" s="13" t="s">
        <v>356</v>
      </c>
      <c r="M262" s="23" t="s">
        <v>150</v>
      </c>
      <c r="N262" s="13" t="s">
        <v>357</v>
      </c>
      <c r="O262" s="45">
        <v>2</v>
      </c>
      <c r="P262" s="30" t="str">
        <f>VLOOKUP(O262,[2]Key!$E$2:$F$9,2,FALSE)</f>
        <v>Work</v>
      </c>
      <c r="Q262" s="13" t="s">
        <v>362</v>
      </c>
      <c r="R262" s="23" t="s">
        <v>150</v>
      </c>
      <c r="S262" s="13" t="s">
        <v>357</v>
      </c>
      <c r="T262" s="23">
        <v>1</v>
      </c>
      <c r="U262" s="30" t="str">
        <f>VLOOKUP(T262,[2]Key!$E$2:$F$9,2,FALSE)</f>
        <v>Home</v>
      </c>
      <c r="V262" s="30" t="str">
        <f t="shared" si="17"/>
        <v>Work-Home</v>
      </c>
      <c r="W262" s="23">
        <v>1000</v>
      </c>
      <c r="X262" s="62">
        <v>3</v>
      </c>
      <c r="Y262" s="62" t="str">
        <f t="shared" si="18"/>
        <v>0-10</v>
      </c>
      <c r="Z262" s="62">
        <v>0.3</v>
      </c>
      <c r="AA262" s="62" t="str">
        <f t="shared" si="19"/>
        <v>0-0.5</v>
      </c>
      <c r="AB262" s="23">
        <v>6</v>
      </c>
      <c r="AC262" s="30" t="str">
        <f>VLOOKUP(AB262,[2]Key!$C$20:$D$29,2,FALSE)</f>
        <v>Businessman</v>
      </c>
      <c r="AD262" s="23">
        <v>4</v>
      </c>
      <c r="AE262" s="30" t="str">
        <f>VLOOKUP(AD262,[2]Key!$E$20:$F$24,2,FALSE)</f>
        <v>750,000-1,000,000</v>
      </c>
      <c r="AF262" s="23">
        <v>1</v>
      </c>
      <c r="AG262" s="62">
        <v>2</v>
      </c>
      <c r="AH262" s="62">
        <v>1</v>
      </c>
      <c r="AI262" s="62">
        <v>2</v>
      </c>
      <c r="AJ262" s="62">
        <v>1</v>
      </c>
      <c r="AK262" s="45" t="s">
        <v>94</v>
      </c>
      <c r="AL262" s="36">
        <v>500</v>
      </c>
      <c r="AM262" t="str">
        <f t="shared" si="20"/>
        <v>0-1000</v>
      </c>
    </row>
    <row r="263" spans="1:46" x14ac:dyDescent="0.2">
      <c r="A263" s="44" t="s">
        <v>355</v>
      </c>
      <c r="B263" s="60">
        <v>0.31805555555555554</v>
      </c>
      <c r="C263" s="60"/>
      <c r="D263" s="60" t="s">
        <v>165</v>
      </c>
      <c r="E263" s="13">
        <v>2</v>
      </c>
      <c r="F263" s="38" t="str">
        <f>VLOOKUP(E263,[2]Key!$A$17:$B$21,2,FALSE)</f>
        <v>Road Vehicle</v>
      </c>
      <c r="G263" s="61">
        <v>4</v>
      </c>
      <c r="H263" s="39" t="str">
        <f>VLOOKUP(G263,[2]Key!$A$2:$B$13,2,FALSE)</f>
        <v>Minibus</v>
      </c>
      <c r="I263" s="13" t="s">
        <v>178</v>
      </c>
      <c r="J263" s="13">
        <v>2</v>
      </c>
      <c r="K263" s="40" t="str">
        <f>VLOOKUP(J263,[2]Key!$A$24:$B$29,2,FALSE)</f>
        <v>30-39</v>
      </c>
      <c r="L263" s="13" t="s">
        <v>236</v>
      </c>
      <c r="M263" s="23" t="s">
        <v>150</v>
      </c>
      <c r="N263" s="13" t="s">
        <v>357</v>
      </c>
      <c r="O263" s="45">
        <v>1</v>
      </c>
      <c r="P263" s="30" t="str">
        <f>VLOOKUP(O263,[2]Key!$E$2:$F$9,2,FALSE)</f>
        <v>Home</v>
      </c>
      <c r="Q263" s="13" t="s">
        <v>363</v>
      </c>
      <c r="R263" s="23" t="s">
        <v>150</v>
      </c>
      <c r="S263" s="13" t="s">
        <v>357</v>
      </c>
      <c r="T263" s="23">
        <v>6</v>
      </c>
      <c r="U263" s="30" t="str">
        <f>VLOOKUP(T263,[2]Key!$E$2:$F$9,2,FALSE)</f>
        <v>Leisure/Social</v>
      </c>
      <c r="V263" s="30" t="str">
        <f t="shared" si="17"/>
        <v>Home-Leisure/Social</v>
      </c>
      <c r="W263" s="23">
        <v>1000</v>
      </c>
      <c r="X263" s="62">
        <v>10</v>
      </c>
      <c r="Y263" s="62" t="str">
        <f t="shared" si="18"/>
        <v>10-20</v>
      </c>
      <c r="Z263" s="62">
        <v>0.3</v>
      </c>
      <c r="AA263" s="62" t="str">
        <f t="shared" si="19"/>
        <v>0-0.5</v>
      </c>
      <c r="AB263" s="23">
        <v>1</v>
      </c>
      <c r="AC263" s="30" t="str">
        <f>VLOOKUP(AB263,[2]Key!$C$20:$D$29,2,FALSE)</f>
        <v>Unemployed</v>
      </c>
      <c r="AD263" s="23">
        <v>1</v>
      </c>
      <c r="AE263" s="30" t="str">
        <f>VLOOKUP(AD263,[2]Key!$E$20:$F$24,2,FALSE)</f>
        <v>&lt;300,000</v>
      </c>
      <c r="AF263" s="23">
        <v>2</v>
      </c>
      <c r="AG263" s="62">
        <v>1</v>
      </c>
      <c r="AH263" s="62">
        <v>1</v>
      </c>
      <c r="AI263" s="62">
        <v>2</v>
      </c>
      <c r="AJ263" s="62">
        <v>1</v>
      </c>
      <c r="AK263" s="45" t="s">
        <v>94</v>
      </c>
      <c r="AL263" s="36"/>
      <c r="AM263" t="str">
        <f t="shared" si="20"/>
        <v>0-1000</v>
      </c>
    </row>
    <row r="264" spans="1:46" x14ac:dyDescent="0.2">
      <c r="A264" s="44" t="s">
        <v>355</v>
      </c>
      <c r="B264" s="60">
        <v>0.49652777777777773</v>
      </c>
      <c r="C264" s="60"/>
      <c r="D264" s="60" t="s">
        <v>165</v>
      </c>
      <c r="E264" s="13">
        <v>2</v>
      </c>
      <c r="F264" s="38" t="str">
        <f>VLOOKUP(E264,[2]Key!$A$17:$B$21,2,FALSE)</f>
        <v>Road Vehicle</v>
      </c>
      <c r="G264" s="61">
        <v>4</v>
      </c>
      <c r="H264" s="39" t="str">
        <f>VLOOKUP(G264,[2]Key!$A$2:$B$13,2,FALSE)</f>
        <v>Minibus</v>
      </c>
      <c r="I264" s="13" t="s">
        <v>178</v>
      </c>
      <c r="J264" s="13">
        <v>2</v>
      </c>
      <c r="K264" s="40" t="str">
        <f>VLOOKUP(J264,[2]Key!$A$24:$B$29,2,FALSE)</f>
        <v>30-39</v>
      </c>
      <c r="L264" s="13" t="s">
        <v>356</v>
      </c>
      <c r="M264" s="23" t="s">
        <v>150</v>
      </c>
      <c r="N264" s="13" t="s">
        <v>357</v>
      </c>
      <c r="O264" s="45">
        <v>2</v>
      </c>
      <c r="P264" s="30" t="str">
        <f>VLOOKUP(O264,[2]Key!$E$2:$F$9,2,FALSE)</f>
        <v>Work</v>
      </c>
      <c r="Q264" s="13" t="s">
        <v>364</v>
      </c>
      <c r="R264" s="23" t="s">
        <v>156</v>
      </c>
      <c r="S264" s="13" t="s">
        <v>357</v>
      </c>
      <c r="T264" s="23">
        <v>1</v>
      </c>
      <c r="U264" s="30" t="str">
        <f>VLOOKUP(T264,[2]Key!$E$2:$F$9,2,FALSE)</f>
        <v>Home</v>
      </c>
      <c r="V264" s="30" t="str">
        <f t="shared" si="17"/>
        <v>Work-Home</v>
      </c>
      <c r="W264" s="41">
        <v>2000</v>
      </c>
      <c r="X264" s="62">
        <v>7</v>
      </c>
      <c r="Y264" s="62" t="str">
        <f t="shared" si="18"/>
        <v>0-10</v>
      </c>
      <c r="Z264" s="62">
        <v>0.7</v>
      </c>
      <c r="AA264" s="62" t="str">
        <f t="shared" si="19"/>
        <v>0.5-1.0</v>
      </c>
      <c r="AB264" s="23">
        <v>6</v>
      </c>
      <c r="AC264" s="30" t="str">
        <f>VLOOKUP(AB264,[2]Key!$C$20:$D$29,2,FALSE)</f>
        <v>Businessman</v>
      </c>
      <c r="AD264" s="23">
        <v>3</v>
      </c>
      <c r="AE264" s="30" t="str">
        <f>VLOOKUP(AD264,[2]Key!$E$20:$F$24,2,FALSE)</f>
        <v>500,000-750,000</v>
      </c>
      <c r="AF264" s="23">
        <v>5</v>
      </c>
      <c r="AG264" s="62">
        <v>2</v>
      </c>
      <c r="AH264" s="62">
        <v>1</v>
      </c>
      <c r="AI264" s="62">
        <v>1</v>
      </c>
      <c r="AJ264" s="62">
        <v>2</v>
      </c>
      <c r="AK264" s="45" t="s">
        <v>94</v>
      </c>
      <c r="AL264" s="36">
        <v>1000</v>
      </c>
      <c r="AM264" t="str">
        <f t="shared" si="20"/>
        <v>1000-2000</v>
      </c>
    </row>
    <row r="265" spans="1:46" x14ac:dyDescent="0.2">
      <c r="A265" s="44" t="s">
        <v>355</v>
      </c>
      <c r="B265" s="60">
        <v>0.54652777777777783</v>
      </c>
      <c r="C265" s="60"/>
      <c r="D265" s="60" t="s">
        <v>165</v>
      </c>
      <c r="E265" s="13">
        <v>2</v>
      </c>
      <c r="F265" s="38" t="str">
        <f>VLOOKUP(E265,[2]Key!$A$17:$B$21,2,FALSE)</f>
        <v>Road Vehicle</v>
      </c>
      <c r="G265" s="61">
        <v>4</v>
      </c>
      <c r="H265" s="39" t="str">
        <f>VLOOKUP(G265,[2]Key!$A$2:$B$13,2,FALSE)</f>
        <v>Minibus</v>
      </c>
      <c r="I265" s="13" t="s">
        <v>178</v>
      </c>
      <c r="J265" s="13">
        <v>2</v>
      </c>
      <c r="K265" s="40" t="str">
        <f>VLOOKUP(J265,[2]Key!$A$24:$B$29,2,FALSE)</f>
        <v>30-39</v>
      </c>
      <c r="L265" s="13" t="s">
        <v>356</v>
      </c>
      <c r="M265" s="23" t="s">
        <v>150</v>
      </c>
      <c r="N265" s="13" t="s">
        <v>357</v>
      </c>
      <c r="O265" s="45">
        <v>4</v>
      </c>
      <c r="P265" s="30" t="s">
        <v>67</v>
      </c>
      <c r="Q265" s="13" t="s">
        <v>365</v>
      </c>
      <c r="R265" s="23" t="s">
        <v>156</v>
      </c>
      <c r="S265" s="13" t="s">
        <v>357</v>
      </c>
      <c r="T265" s="23">
        <v>2</v>
      </c>
      <c r="U265" s="30" t="str">
        <f>VLOOKUP(T265,[2]Key!$E$2:$F$9,2,FALSE)</f>
        <v>Work</v>
      </c>
      <c r="V265" s="30" t="str">
        <f t="shared" si="17"/>
        <v>Commercial-Work</v>
      </c>
      <c r="W265" s="23">
        <v>400</v>
      </c>
      <c r="X265" s="62">
        <v>38</v>
      </c>
      <c r="Y265" s="62" t="str">
        <f t="shared" si="18"/>
        <v>20-40</v>
      </c>
      <c r="Z265" s="62">
        <v>0.7</v>
      </c>
      <c r="AA265" s="62" t="str">
        <f t="shared" si="19"/>
        <v>0.5-1.0</v>
      </c>
      <c r="AB265" s="23">
        <v>6</v>
      </c>
      <c r="AC265" s="30" t="str">
        <f>VLOOKUP(AB265,[2]Key!$C$20:$D$29,2,FALSE)</f>
        <v>Businessman</v>
      </c>
      <c r="AD265" s="23">
        <v>2</v>
      </c>
      <c r="AE265" s="30" t="str">
        <f>VLOOKUP(AD265,[2]Key!$E$20:$F$24,2,FALSE)</f>
        <v>300,000-500,000</v>
      </c>
      <c r="AF265" s="23">
        <v>5</v>
      </c>
      <c r="AG265" s="62">
        <v>5</v>
      </c>
      <c r="AH265" s="62">
        <v>1</v>
      </c>
      <c r="AI265" s="62">
        <v>2</v>
      </c>
      <c r="AJ265" s="62">
        <v>1</v>
      </c>
      <c r="AK265" s="45" t="s">
        <v>94</v>
      </c>
      <c r="AL265" s="36"/>
      <c r="AM265" t="str">
        <f t="shared" si="20"/>
        <v>0-1000</v>
      </c>
    </row>
    <row r="266" spans="1:46" x14ac:dyDescent="0.2">
      <c r="A266" s="44" t="s">
        <v>355</v>
      </c>
      <c r="B266" s="60">
        <v>0.74513888888888891</v>
      </c>
      <c r="C266" s="60"/>
      <c r="D266" s="60" t="s">
        <v>165</v>
      </c>
      <c r="E266" s="13">
        <v>2</v>
      </c>
      <c r="F266" s="38" t="str">
        <f>VLOOKUP(E266,[2]Key!$A$17:$B$21,2,FALSE)</f>
        <v>Road Vehicle</v>
      </c>
      <c r="G266" s="61">
        <v>4</v>
      </c>
      <c r="H266" s="39" t="str">
        <f>VLOOKUP(G266,[2]Key!$A$2:$B$13,2,FALSE)</f>
        <v>Minibus</v>
      </c>
      <c r="I266" s="13" t="s">
        <v>178</v>
      </c>
      <c r="J266" s="13">
        <v>2</v>
      </c>
      <c r="K266" s="40" t="str">
        <f>VLOOKUP(J266,[2]Key!$A$24:$B$29,2,FALSE)</f>
        <v>30-39</v>
      </c>
      <c r="L266" s="13" t="s">
        <v>356</v>
      </c>
      <c r="M266" s="23" t="s">
        <v>150</v>
      </c>
      <c r="N266" s="13" t="s">
        <v>357</v>
      </c>
      <c r="O266" s="45">
        <v>6</v>
      </c>
      <c r="P266" s="30" t="str">
        <f>VLOOKUP(O266,[2]Key!$E$2:$F$9,2,FALSE)</f>
        <v>Leisure/Social</v>
      </c>
      <c r="Q266" s="13" t="s">
        <v>253</v>
      </c>
      <c r="R266" s="23" t="s">
        <v>156</v>
      </c>
      <c r="S266" s="13" t="s">
        <v>357</v>
      </c>
      <c r="T266" s="23">
        <v>4</v>
      </c>
      <c r="U266" s="30" t="str">
        <f>VLOOKUP(T266,[2]Key!$E$2:$F$9,2,FALSE)</f>
        <v>Commercial</v>
      </c>
      <c r="V266" s="30" t="str">
        <f t="shared" si="17"/>
        <v>Leisure/Social-Commercial</v>
      </c>
      <c r="W266" s="23">
        <v>2000</v>
      </c>
      <c r="X266" s="62">
        <v>35</v>
      </c>
      <c r="Y266" s="62" t="str">
        <f t="shared" si="18"/>
        <v>20-40</v>
      </c>
      <c r="Z266" s="62">
        <v>0.7</v>
      </c>
      <c r="AA266" s="62" t="str">
        <f t="shared" si="19"/>
        <v>0.5-1.0</v>
      </c>
      <c r="AB266" s="23">
        <v>7</v>
      </c>
      <c r="AC266" s="30" t="str">
        <f>VLOOKUP(AB266,[2]Key!$C$20:$D$29,2,FALSE)</f>
        <v>Farmer</v>
      </c>
      <c r="AD266" s="23">
        <v>1</v>
      </c>
      <c r="AE266" s="30" t="str">
        <f>VLOOKUP(AD266,[2]Key!$E$20:$F$24,2,FALSE)</f>
        <v>&lt;300,000</v>
      </c>
      <c r="AF266" s="23">
        <v>5</v>
      </c>
      <c r="AG266" s="62">
        <v>5</v>
      </c>
      <c r="AH266" s="62">
        <v>1</v>
      </c>
      <c r="AI266" s="62">
        <v>1</v>
      </c>
      <c r="AJ266" s="62">
        <v>5</v>
      </c>
      <c r="AK266" s="45" t="s">
        <v>94</v>
      </c>
      <c r="AL266" s="36"/>
      <c r="AM266" t="str">
        <f t="shared" si="20"/>
        <v>0-1000</v>
      </c>
    </row>
    <row r="267" spans="1:46" x14ac:dyDescent="0.2">
      <c r="A267" s="44" t="s">
        <v>355</v>
      </c>
      <c r="B267" s="60">
        <v>0.61458333333333337</v>
      </c>
      <c r="C267" s="60"/>
      <c r="D267" s="60" t="s">
        <v>165</v>
      </c>
      <c r="E267" s="13">
        <v>2</v>
      </c>
      <c r="F267" s="38" t="str">
        <f>VLOOKUP(E267,[2]Key!$A$17:$B$21,2,FALSE)</f>
        <v>Road Vehicle</v>
      </c>
      <c r="G267" s="61">
        <v>4</v>
      </c>
      <c r="H267" s="39" t="str">
        <f>VLOOKUP(G267,[2]Key!$A$2:$B$13,2,FALSE)</f>
        <v>Minibus</v>
      </c>
      <c r="I267" s="13" t="s">
        <v>178</v>
      </c>
      <c r="J267" s="13">
        <v>2</v>
      </c>
      <c r="K267" s="40" t="str">
        <f>VLOOKUP(J267,[2]Key!$A$24:$B$29,2,FALSE)</f>
        <v>30-39</v>
      </c>
      <c r="L267" s="13" t="s">
        <v>356</v>
      </c>
      <c r="M267" s="23" t="s">
        <v>150</v>
      </c>
      <c r="N267" s="13" t="s">
        <v>357</v>
      </c>
      <c r="O267" s="45">
        <v>1</v>
      </c>
      <c r="P267" s="30" t="str">
        <f>VLOOKUP(O267,[2]Key!$E$2:$F$9,2,FALSE)</f>
        <v>Home</v>
      </c>
      <c r="Q267" s="13" t="s">
        <v>366</v>
      </c>
      <c r="R267" s="23" t="s">
        <v>156</v>
      </c>
      <c r="S267" s="13" t="s">
        <v>357</v>
      </c>
      <c r="T267" s="23">
        <v>2</v>
      </c>
      <c r="U267" s="30" t="str">
        <f>VLOOKUP(T267,[2]Key!$E$2:$F$9,2,FALSE)</f>
        <v>Work</v>
      </c>
      <c r="V267" s="30" t="str">
        <f t="shared" si="17"/>
        <v>Home-Work</v>
      </c>
      <c r="W267" s="23">
        <v>2000</v>
      </c>
      <c r="X267" s="62">
        <v>36</v>
      </c>
      <c r="Y267" s="62" t="str">
        <f t="shared" si="18"/>
        <v>20-40</v>
      </c>
      <c r="Z267" s="62">
        <v>1</v>
      </c>
      <c r="AA267" s="62" t="str">
        <f t="shared" si="19"/>
        <v>1.0-2.0</v>
      </c>
      <c r="AB267" s="23">
        <v>6</v>
      </c>
      <c r="AC267" s="30" t="str">
        <f>VLOOKUP(AB267,[2]Key!$C$20:$D$29,2,FALSE)</f>
        <v>Businessman</v>
      </c>
      <c r="AD267" s="23">
        <v>3</v>
      </c>
      <c r="AE267" s="30" t="str">
        <f>VLOOKUP(AD267,[2]Key!$E$20:$F$24,2,FALSE)</f>
        <v>500,000-750,000</v>
      </c>
      <c r="AF267" s="23">
        <v>1</v>
      </c>
      <c r="AG267" s="62">
        <v>2</v>
      </c>
      <c r="AH267" s="62">
        <v>1</v>
      </c>
      <c r="AI267" s="62">
        <v>2</v>
      </c>
      <c r="AJ267" s="62">
        <v>1</v>
      </c>
      <c r="AK267" s="45" t="s">
        <v>94</v>
      </c>
      <c r="AL267" s="36">
        <v>1000</v>
      </c>
      <c r="AM267" t="str">
        <f t="shared" si="20"/>
        <v>1000-2000</v>
      </c>
    </row>
    <row r="268" spans="1:46" x14ac:dyDescent="0.2">
      <c r="A268" s="44" t="s">
        <v>355</v>
      </c>
      <c r="B268" s="60">
        <v>0.63402777777777775</v>
      </c>
      <c r="C268" s="60"/>
      <c r="D268" s="60" t="s">
        <v>165</v>
      </c>
      <c r="E268" s="13">
        <v>2</v>
      </c>
      <c r="F268" s="38" t="str">
        <f>VLOOKUP(E268,[2]Key!$A$17:$B$21,2,FALSE)</f>
        <v>Road Vehicle</v>
      </c>
      <c r="G268" s="61">
        <v>4</v>
      </c>
      <c r="H268" s="39" t="str">
        <f>VLOOKUP(G268,[2]Key!$A$2:$B$13,2,FALSE)</f>
        <v>Minibus</v>
      </c>
      <c r="I268" s="13" t="s">
        <v>178</v>
      </c>
      <c r="J268" s="13">
        <v>2</v>
      </c>
      <c r="K268" s="40" t="str">
        <f>VLOOKUP(J268,[2]Key!$A$24:$B$29,2,FALSE)</f>
        <v>30-39</v>
      </c>
      <c r="L268" s="13" t="s">
        <v>236</v>
      </c>
      <c r="M268" s="23" t="s">
        <v>150</v>
      </c>
      <c r="N268" s="13" t="s">
        <v>357</v>
      </c>
      <c r="O268" s="45">
        <v>1</v>
      </c>
      <c r="P268" s="30" t="str">
        <f>VLOOKUP(O268,[2]Key!$E$2:$F$9,2,FALSE)</f>
        <v>Home</v>
      </c>
      <c r="Q268" s="13" t="s">
        <v>367</v>
      </c>
      <c r="R268" s="23" t="s">
        <v>159</v>
      </c>
      <c r="S268" s="13" t="s">
        <v>357</v>
      </c>
      <c r="T268" s="23">
        <v>2</v>
      </c>
      <c r="U268" s="30" t="str">
        <f>VLOOKUP(T268,[2]Key!$E$2:$F$9,2,FALSE)</f>
        <v>Work</v>
      </c>
      <c r="V268" s="30" t="str">
        <f t="shared" si="17"/>
        <v>Home-Work</v>
      </c>
      <c r="W268" s="23">
        <v>3000</v>
      </c>
      <c r="X268" s="62">
        <v>28</v>
      </c>
      <c r="Y268" s="62" t="str">
        <f t="shared" si="18"/>
        <v>20-40</v>
      </c>
      <c r="Z268" s="62">
        <v>1</v>
      </c>
      <c r="AA268" s="62" t="str">
        <f t="shared" si="19"/>
        <v>1.0-2.0</v>
      </c>
      <c r="AB268" s="23">
        <v>6</v>
      </c>
      <c r="AC268" s="30" t="str">
        <f>VLOOKUP(AB268,[2]Key!$C$20:$D$29,2,FALSE)</f>
        <v>Businessman</v>
      </c>
      <c r="AD268" s="23">
        <v>1</v>
      </c>
      <c r="AE268" s="30" t="str">
        <f>VLOOKUP(AD268,[2]Key!$E$20:$F$24,2,FALSE)</f>
        <v>&lt;300,000</v>
      </c>
      <c r="AF268" s="23">
        <v>2</v>
      </c>
      <c r="AG268" s="62">
        <v>1</v>
      </c>
      <c r="AH268" s="62">
        <v>2</v>
      </c>
      <c r="AI268" s="62">
        <v>1</v>
      </c>
      <c r="AJ268" s="62">
        <v>3</v>
      </c>
      <c r="AK268" s="45" t="s">
        <v>94</v>
      </c>
      <c r="AL268" s="36"/>
      <c r="AM268" t="str">
        <f t="shared" si="20"/>
        <v>0-1000</v>
      </c>
    </row>
    <row r="269" spans="1:46" x14ac:dyDescent="0.2">
      <c r="A269" s="44" t="s">
        <v>355</v>
      </c>
      <c r="B269" s="60">
        <v>0.70000000000000007</v>
      </c>
      <c r="C269" s="60"/>
      <c r="D269" s="60" t="s">
        <v>165</v>
      </c>
      <c r="E269" s="13">
        <v>2</v>
      </c>
      <c r="F269" s="38" t="str">
        <f>VLOOKUP(E269,[2]Key!$A$17:$B$21,2,FALSE)</f>
        <v>Road Vehicle</v>
      </c>
      <c r="G269" s="61">
        <v>4</v>
      </c>
      <c r="H269" s="39" t="str">
        <f>VLOOKUP(G269,[2]Key!$A$2:$B$13,2,FALSE)</f>
        <v>Minibus</v>
      </c>
      <c r="I269" s="13" t="s">
        <v>178</v>
      </c>
      <c r="J269" s="13">
        <v>2</v>
      </c>
      <c r="K269" s="40" t="str">
        <f>VLOOKUP(J269,[2]Key!$A$24:$B$29,2,FALSE)</f>
        <v>30-39</v>
      </c>
      <c r="L269" s="13" t="s">
        <v>225</v>
      </c>
      <c r="M269" s="23" t="s">
        <v>150</v>
      </c>
      <c r="N269" s="13" t="s">
        <v>357</v>
      </c>
      <c r="O269" s="45">
        <v>1</v>
      </c>
      <c r="P269" s="30" t="str">
        <f>VLOOKUP(O269,[2]Key!$E$2:$F$9,2,FALSE)</f>
        <v>Home</v>
      </c>
      <c r="Q269" s="13" t="s">
        <v>368</v>
      </c>
      <c r="R269" s="23" t="s">
        <v>156</v>
      </c>
      <c r="S269" s="13" t="s">
        <v>357</v>
      </c>
      <c r="T269" s="23">
        <v>2</v>
      </c>
      <c r="U269" s="30" t="str">
        <f>VLOOKUP(T269,[2]Key!$E$2:$F$9,2,FALSE)</f>
        <v>Work</v>
      </c>
      <c r="V269" s="30" t="str">
        <f t="shared" si="17"/>
        <v>Home-Work</v>
      </c>
      <c r="W269" s="23">
        <v>3500</v>
      </c>
      <c r="X269" s="62">
        <v>30</v>
      </c>
      <c r="Y269" s="62" t="str">
        <f t="shared" si="18"/>
        <v>20-40</v>
      </c>
      <c r="Z269" s="62">
        <v>1</v>
      </c>
      <c r="AA269" s="62" t="str">
        <f t="shared" si="19"/>
        <v>1.0-2.0</v>
      </c>
      <c r="AB269" s="23">
        <v>6</v>
      </c>
      <c r="AC269" s="30" t="str">
        <f>VLOOKUP(AB269,[2]Key!$C$20:$D$29,2,FALSE)</f>
        <v>Businessman</v>
      </c>
      <c r="AD269" s="23">
        <v>1</v>
      </c>
      <c r="AE269" s="30" t="str">
        <f>VLOOKUP(AD269,[2]Key!$E$20:$F$24,2,FALSE)</f>
        <v>&lt;300,000</v>
      </c>
      <c r="AF269" s="23">
        <v>2</v>
      </c>
      <c r="AG269" s="62">
        <v>4</v>
      </c>
      <c r="AH269" s="62">
        <v>1</v>
      </c>
      <c r="AI269" s="62">
        <v>2</v>
      </c>
      <c r="AJ269" s="62">
        <v>2</v>
      </c>
      <c r="AK269" s="45" t="s">
        <v>94</v>
      </c>
      <c r="AL269" s="36"/>
      <c r="AM269" t="str">
        <f t="shared" si="20"/>
        <v>0-1000</v>
      </c>
    </row>
    <row r="270" spans="1:46" x14ac:dyDescent="0.2">
      <c r="A270" s="44" t="s">
        <v>355</v>
      </c>
      <c r="B270" s="60">
        <v>0.3215277777777778</v>
      </c>
      <c r="C270" s="60"/>
      <c r="D270" s="60" t="s">
        <v>165</v>
      </c>
      <c r="E270" s="13">
        <v>2</v>
      </c>
      <c r="F270" s="38" t="str">
        <f>VLOOKUP(E270,[2]Key!$A$17:$B$21,2,FALSE)</f>
        <v>Road Vehicle</v>
      </c>
      <c r="G270" s="61">
        <v>4</v>
      </c>
      <c r="H270" s="39" t="str">
        <f>VLOOKUP(G270,[2]Key!$A$2:$B$13,2,FALSE)</f>
        <v>Minibus</v>
      </c>
      <c r="I270" s="13" t="s">
        <v>178</v>
      </c>
      <c r="J270" s="13">
        <v>2</v>
      </c>
      <c r="K270" s="40" t="str">
        <f>VLOOKUP(J270,[2]Key!$A$24:$B$29,2,FALSE)</f>
        <v>30-39</v>
      </c>
      <c r="L270" s="13" t="s">
        <v>240</v>
      </c>
      <c r="M270" s="23" t="s">
        <v>150</v>
      </c>
      <c r="N270" s="13" t="s">
        <v>357</v>
      </c>
      <c r="O270" s="45">
        <v>2</v>
      </c>
      <c r="P270" s="30" t="str">
        <f>VLOOKUP(O270,[2]Key!$E$2:$F$9,2,FALSE)</f>
        <v>Work</v>
      </c>
      <c r="Q270" s="13" t="s">
        <v>369</v>
      </c>
      <c r="R270" s="23" t="s">
        <v>150</v>
      </c>
      <c r="S270" s="13" t="s">
        <v>357</v>
      </c>
      <c r="T270" s="23">
        <v>1</v>
      </c>
      <c r="U270" s="30" t="str">
        <f>VLOOKUP(T270,[2]Key!$E$2:$F$9,2,FALSE)</f>
        <v>Home</v>
      </c>
      <c r="V270" s="30" t="str">
        <f t="shared" si="17"/>
        <v>Work-Home</v>
      </c>
      <c r="W270" s="23">
        <v>2000</v>
      </c>
      <c r="X270" s="62">
        <v>25</v>
      </c>
      <c r="Y270" s="62" t="str">
        <f t="shared" si="18"/>
        <v>20-40</v>
      </c>
      <c r="Z270" s="62">
        <v>1</v>
      </c>
      <c r="AA270" s="62" t="str">
        <f t="shared" si="19"/>
        <v>1.0-2.0</v>
      </c>
      <c r="AB270" s="23">
        <v>6</v>
      </c>
      <c r="AC270" s="30" t="str">
        <f>VLOOKUP(AB270,[2]Key!$C$20:$D$29,2,FALSE)</f>
        <v>Businessman</v>
      </c>
      <c r="AD270" s="23">
        <v>1</v>
      </c>
      <c r="AE270" s="30" t="str">
        <f>VLOOKUP(AD270,[2]Key!$E$20:$F$24,2,FALSE)</f>
        <v>&lt;300,000</v>
      </c>
      <c r="AF270" s="23">
        <v>2</v>
      </c>
      <c r="AG270" s="62">
        <v>1</v>
      </c>
      <c r="AH270" s="62">
        <v>2</v>
      </c>
      <c r="AI270" s="62">
        <v>2</v>
      </c>
      <c r="AJ270" s="62">
        <v>1</v>
      </c>
      <c r="AK270" s="45" t="s">
        <v>94</v>
      </c>
      <c r="AL270" s="36"/>
      <c r="AM270" t="str">
        <f t="shared" si="20"/>
        <v>0-1000</v>
      </c>
    </row>
    <row r="271" spans="1:46" x14ac:dyDescent="0.2">
      <c r="A271" s="44" t="s">
        <v>355</v>
      </c>
      <c r="B271" s="60">
        <v>0.66319444444444442</v>
      </c>
      <c r="C271" s="60"/>
      <c r="D271" s="60" t="s">
        <v>165</v>
      </c>
      <c r="E271" s="13">
        <v>2</v>
      </c>
      <c r="F271" s="38" t="str">
        <f>VLOOKUP(E271,[2]Key!$A$17:$B$21,2,FALSE)</f>
        <v>Road Vehicle</v>
      </c>
      <c r="G271" s="61">
        <v>4</v>
      </c>
      <c r="H271" s="39" t="str">
        <f>VLOOKUP(G271,[2]Key!$A$2:$B$13,2,FALSE)</f>
        <v>Minibus</v>
      </c>
      <c r="I271" s="13" t="s">
        <v>178</v>
      </c>
      <c r="J271" s="13">
        <v>2</v>
      </c>
      <c r="K271" s="40" t="str">
        <f>VLOOKUP(J271,[2]Key!$A$24:$B$29,2,FALSE)</f>
        <v>30-39</v>
      </c>
      <c r="L271" s="13" t="s">
        <v>224</v>
      </c>
      <c r="M271" s="23" t="s">
        <v>150</v>
      </c>
      <c r="N271" s="13" t="s">
        <v>357</v>
      </c>
      <c r="O271" s="45">
        <v>2</v>
      </c>
      <c r="P271" s="30" t="str">
        <f>VLOOKUP(O271,[2]Key!$E$2:$F$9,2,FALSE)</f>
        <v>Work</v>
      </c>
      <c r="Q271" s="13" t="s">
        <v>370</v>
      </c>
      <c r="R271" s="23" t="s">
        <v>156</v>
      </c>
      <c r="S271" s="13" t="s">
        <v>357</v>
      </c>
      <c r="T271" s="23">
        <v>1</v>
      </c>
      <c r="U271" s="30" t="str">
        <f>VLOOKUP(T271,[2]Key!$E$2:$F$9,2,FALSE)</f>
        <v>Home</v>
      </c>
      <c r="V271" s="30" t="str">
        <f t="shared" si="17"/>
        <v>Work-Home</v>
      </c>
      <c r="W271" s="23">
        <v>3000</v>
      </c>
      <c r="X271" s="62">
        <v>28</v>
      </c>
      <c r="Y271" s="62" t="str">
        <f t="shared" si="18"/>
        <v>20-40</v>
      </c>
      <c r="Z271" s="62">
        <v>1</v>
      </c>
      <c r="AA271" s="62" t="str">
        <f t="shared" si="19"/>
        <v>1.0-2.0</v>
      </c>
      <c r="AB271" s="23">
        <v>6</v>
      </c>
      <c r="AC271" s="30" t="str">
        <f>VLOOKUP(AB271,[2]Key!$C$20:$D$29,2,FALSE)</f>
        <v>Businessman</v>
      </c>
      <c r="AD271" s="23">
        <v>1</v>
      </c>
      <c r="AE271" s="30" t="str">
        <f>VLOOKUP(AD271,[2]Key!$E$20:$F$24,2,FALSE)</f>
        <v>&lt;300,000</v>
      </c>
      <c r="AF271" s="23">
        <v>2</v>
      </c>
      <c r="AG271" s="62">
        <v>1</v>
      </c>
      <c r="AH271" s="62">
        <v>2</v>
      </c>
      <c r="AI271" s="62">
        <v>5</v>
      </c>
      <c r="AJ271" s="62">
        <v>5</v>
      </c>
      <c r="AK271" s="45" t="s">
        <v>94</v>
      </c>
      <c r="AL271" s="36"/>
      <c r="AM271" t="str">
        <f t="shared" si="20"/>
        <v>0-1000</v>
      </c>
    </row>
    <row r="272" spans="1:46" x14ac:dyDescent="0.2">
      <c r="A272" s="44" t="s">
        <v>355</v>
      </c>
      <c r="B272" s="60">
        <v>0.61944444444444446</v>
      </c>
      <c r="C272" s="60"/>
      <c r="D272" s="60" t="s">
        <v>165</v>
      </c>
      <c r="E272" s="13">
        <v>2</v>
      </c>
      <c r="F272" s="38" t="str">
        <f>VLOOKUP(E272,[2]Key!$A$17:$B$21,2,FALSE)</f>
        <v>Road Vehicle</v>
      </c>
      <c r="G272" s="61">
        <v>4</v>
      </c>
      <c r="H272" s="39" t="str">
        <f>VLOOKUP(G272,[2]Key!$A$2:$B$13,2,FALSE)</f>
        <v>Minibus</v>
      </c>
      <c r="I272" s="13" t="s">
        <v>178</v>
      </c>
      <c r="J272" s="13">
        <v>2</v>
      </c>
      <c r="K272" s="40" t="str">
        <f>VLOOKUP(J272,[2]Key!$A$24:$B$29,2,FALSE)</f>
        <v>30-39</v>
      </c>
      <c r="L272" s="13" t="s">
        <v>254</v>
      </c>
      <c r="M272" s="23" t="s">
        <v>150</v>
      </c>
      <c r="N272" s="13" t="s">
        <v>357</v>
      </c>
      <c r="O272" s="45">
        <v>2</v>
      </c>
      <c r="P272" s="30" t="str">
        <f>VLOOKUP(O272,[2]Key!$E$2:$F$9,2,FALSE)</f>
        <v>Work</v>
      </c>
      <c r="Q272" s="13" t="s">
        <v>371</v>
      </c>
      <c r="R272" s="23" t="s">
        <v>156</v>
      </c>
      <c r="S272" s="13" t="s">
        <v>357</v>
      </c>
      <c r="T272" s="23">
        <v>1</v>
      </c>
      <c r="U272" s="30" t="str">
        <f>VLOOKUP(T272,[2]Key!$E$2:$F$9,2,FALSE)</f>
        <v>Home</v>
      </c>
      <c r="V272" s="30" t="str">
        <f t="shared" si="17"/>
        <v>Work-Home</v>
      </c>
      <c r="W272" s="23">
        <v>3000</v>
      </c>
      <c r="X272" s="62">
        <v>28</v>
      </c>
      <c r="Y272" s="62" t="str">
        <f t="shared" si="18"/>
        <v>20-40</v>
      </c>
      <c r="Z272" s="62">
        <v>1</v>
      </c>
      <c r="AA272" s="62" t="str">
        <f t="shared" si="19"/>
        <v>1.0-2.0</v>
      </c>
      <c r="AB272" s="23">
        <v>6</v>
      </c>
      <c r="AC272" s="30" t="str">
        <f>VLOOKUP(AB272,[2]Key!$C$20:$D$29,2,FALSE)</f>
        <v>Businessman</v>
      </c>
      <c r="AD272" s="23">
        <v>1</v>
      </c>
      <c r="AE272" s="30" t="str">
        <f>VLOOKUP(AD272,[2]Key!$E$20:$F$24,2,FALSE)</f>
        <v>&lt;300,000</v>
      </c>
      <c r="AF272" s="23">
        <v>2</v>
      </c>
      <c r="AG272" s="62">
        <v>4</v>
      </c>
      <c r="AH272" s="62">
        <v>1</v>
      </c>
      <c r="AI272" s="62">
        <v>2</v>
      </c>
      <c r="AJ272" s="62">
        <v>3</v>
      </c>
      <c r="AK272" s="45" t="s">
        <v>94</v>
      </c>
      <c r="AL272" s="36"/>
      <c r="AM272" t="str">
        <f t="shared" si="20"/>
        <v>0-1000</v>
      </c>
    </row>
    <row r="273" spans="1:39" x14ac:dyDescent="0.2">
      <c r="A273" s="44" t="s">
        <v>355</v>
      </c>
      <c r="B273" s="60">
        <v>0.51250000000000007</v>
      </c>
      <c r="C273" s="60"/>
      <c r="D273" s="60" t="s">
        <v>165</v>
      </c>
      <c r="E273" s="13">
        <v>2</v>
      </c>
      <c r="F273" s="38" t="str">
        <f>VLOOKUP(E273,[2]Key!$A$17:$B$21,2,FALSE)</f>
        <v>Road Vehicle</v>
      </c>
      <c r="G273" s="61">
        <v>4</v>
      </c>
      <c r="H273" s="39" t="str">
        <f>VLOOKUP(G273,[2]Key!$A$2:$B$13,2,FALSE)</f>
        <v>Minibus</v>
      </c>
      <c r="I273" s="13" t="s">
        <v>178</v>
      </c>
      <c r="J273" s="13">
        <v>2</v>
      </c>
      <c r="K273" s="40" t="str">
        <f>VLOOKUP(J273,[2]Key!$A$24:$B$29,2,FALSE)</f>
        <v>30-39</v>
      </c>
      <c r="L273" s="13" t="s">
        <v>219</v>
      </c>
      <c r="M273" s="23" t="s">
        <v>150</v>
      </c>
      <c r="N273" s="13" t="s">
        <v>357</v>
      </c>
      <c r="O273" s="45">
        <v>2</v>
      </c>
      <c r="P273" s="30" t="str">
        <f>VLOOKUP(O273,[2]Key!$E$2:$F$9,2,FALSE)</f>
        <v>Work</v>
      </c>
      <c r="Q273" s="13" t="s">
        <v>372</v>
      </c>
      <c r="R273" s="23" t="s">
        <v>188</v>
      </c>
      <c r="S273" s="13" t="s">
        <v>357</v>
      </c>
      <c r="T273" s="23">
        <v>1</v>
      </c>
      <c r="U273" s="30" t="str">
        <f>VLOOKUP(T273,[2]Key!$E$2:$F$9,2,FALSE)</f>
        <v>Home</v>
      </c>
      <c r="V273" s="30" t="str">
        <f t="shared" si="17"/>
        <v>Work-Home</v>
      </c>
      <c r="W273" s="23">
        <v>6000</v>
      </c>
      <c r="X273" s="62">
        <v>55</v>
      </c>
      <c r="Y273" s="62" t="str">
        <f t="shared" si="18"/>
        <v>40-70</v>
      </c>
      <c r="Z273" s="62">
        <v>1.5</v>
      </c>
      <c r="AA273" s="62" t="str">
        <f t="shared" si="19"/>
        <v>1.0-2.0</v>
      </c>
      <c r="AB273" s="23">
        <v>6</v>
      </c>
      <c r="AC273" s="30" t="str">
        <f>VLOOKUP(AB273,[2]Key!$C$20:$D$29,2,FALSE)</f>
        <v>Businessman</v>
      </c>
      <c r="AD273" s="23">
        <v>1</v>
      </c>
      <c r="AE273" s="30" t="str">
        <f>VLOOKUP(AD273,[2]Key!$E$20:$F$24,2,FALSE)</f>
        <v>&lt;300,000</v>
      </c>
      <c r="AF273" s="23">
        <v>2</v>
      </c>
      <c r="AG273" s="62">
        <v>4</v>
      </c>
      <c r="AH273" s="62">
        <v>1</v>
      </c>
      <c r="AI273" s="62">
        <v>1</v>
      </c>
      <c r="AJ273" s="62">
        <v>4</v>
      </c>
      <c r="AK273" s="45" t="s">
        <v>94</v>
      </c>
      <c r="AL273" s="36"/>
      <c r="AM273" t="str">
        <f t="shared" si="20"/>
        <v>0-1000</v>
      </c>
    </row>
    <row r="274" spans="1:39" x14ac:dyDescent="0.2">
      <c r="A274" s="44" t="s">
        <v>355</v>
      </c>
      <c r="B274" s="60">
        <v>0.74305555555555547</v>
      </c>
      <c r="C274" s="60"/>
      <c r="D274" s="60" t="s">
        <v>165</v>
      </c>
      <c r="E274" s="13">
        <v>2</v>
      </c>
      <c r="F274" s="38" t="str">
        <f>VLOOKUP(E274,[2]Key!$A$17:$B$21,2,FALSE)</f>
        <v>Road Vehicle</v>
      </c>
      <c r="G274" s="61">
        <v>4</v>
      </c>
      <c r="H274" s="39" t="str">
        <f>VLOOKUP(G274,[2]Key!$A$2:$B$13,2,FALSE)</f>
        <v>Minibus</v>
      </c>
      <c r="I274" s="13" t="s">
        <v>178</v>
      </c>
      <c r="J274" s="13">
        <v>2</v>
      </c>
      <c r="K274" s="40" t="str">
        <f>VLOOKUP(J274,[2]Key!$A$24:$B$29,2,FALSE)</f>
        <v>30-39</v>
      </c>
      <c r="L274" s="13" t="s">
        <v>373</v>
      </c>
      <c r="M274" s="23" t="s">
        <v>150</v>
      </c>
      <c r="N274" s="13" t="s">
        <v>357</v>
      </c>
      <c r="O274" s="45">
        <v>1</v>
      </c>
      <c r="P274" s="30" t="str">
        <f>VLOOKUP(O274,[2]Key!$E$2:$F$9,2,FALSE)</f>
        <v>Home</v>
      </c>
      <c r="Q274" s="13" t="s">
        <v>374</v>
      </c>
      <c r="R274" s="23" t="s">
        <v>188</v>
      </c>
      <c r="S274" s="13" t="s">
        <v>357</v>
      </c>
      <c r="T274" s="23">
        <v>8</v>
      </c>
      <c r="U274" s="30" t="str">
        <f>VLOOKUP(T274,[2]Key!$E$2:$F$9,2,FALSE)</f>
        <v>Others</v>
      </c>
      <c r="V274" s="30" t="str">
        <f t="shared" si="17"/>
        <v>Home-Others</v>
      </c>
      <c r="W274" s="23">
        <v>6000</v>
      </c>
      <c r="X274" s="62">
        <v>53</v>
      </c>
      <c r="Y274" s="62" t="str">
        <f t="shared" si="18"/>
        <v>40-70</v>
      </c>
      <c r="Z274" s="62">
        <v>1.5</v>
      </c>
      <c r="AA274" s="62" t="str">
        <f t="shared" si="19"/>
        <v>1.0-2.0</v>
      </c>
      <c r="AB274" s="23">
        <v>10</v>
      </c>
      <c r="AC274" s="30" t="str">
        <f>VLOOKUP(AB274,[2]Key!$C$20:$D$29,2,FALSE)</f>
        <v>Other</v>
      </c>
      <c r="AD274" s="23">
        <v>1</v>
      </c>
      <c r="AE274" s="30" t="str">
        <f>VLOOKUP(AD274,[2]Key!$E$20:$F$24,2,FALSE)</f>
        <v>&lt;300,000</v>
      </c>
      <c r="AF274" s="23">
        <v>2</v>
      </c>
      <c r="AG274" s="62">
        <v>4</v>
      </c>
      <c r="AH274" s="62">
        <v>1</v>
      </c>
      <c r="AI274" s="62">
        <v>2</v>
      </c>
      <c r="AJ274" s="62">
        <v>2</v>
      </c>
      <c r="AK274" s="45" t="s">
        <v>94</v>
      </c>
      <c r="AL274" s="36"/>
      <c r="AM274" t="str">
        <f t="shared" si="20"/>
        <v>0-1000</v>
      </c>
    </row>
    <row r="275" spans="1:39" x14ac:dyDescent="0.2">
      <c r="A275" s="44" t="s">
        <v>355</v>
      </c>
      <c r="B275" s="60">
        <v>0.72777777777777775</v>
      </c>
      <c r="C275" s="60"/>
      <c r="D275" s="60" t="s">
        <v>165</v>
      </c>
      <c r="E275" s="13">
        <v>2</v>
      </c>
      <c r="F275" s="38" t="str">
        <f>VLOOKUP(E275,[2]Key!$A$17:$B$21,2,FALSE)</f>
        <v>Road Vehicle</v>
      </c>
      <c r="G275" s="61">
        <v>4</v>
      </c>
      <c r="H275" s="39" t="str">
        <f>VLOOKUP(G275,[2]Key!$A$2:$B$13,2,FALSE)</f>
        <v>Minibus</v>
      </c>
      <c r="I275" s="13" t="s">
        <v>178</v>
      </c>
      <c r="J275" s="13">
        <v>2</v>
      </c>
      <c r="K275" s="40" t="str">
        <f>VLOOKUP(J275,[2]Key!$A$24:$B$29,2,FALSE)</f>
        <v>30-39</v>
      </c>
      <c r="L275" s="13" t="s">
        <v>375</v>
      </c>
      <c r="M275" s="23" t="s">
        <v>150</v>
      </c>
      <c r="N275" s="13" t="s">
        <v>357</v>
      </c>
      <c r="O275" s="45">
        <v>2</v>
      </c>
      <c r="P275" s="30" t="str">
        <f>VLOOKUP(O275,[2]Key!$E$2:$F$9,2,FALSE)</f>
        <v>Work</v>
      </c>
      <c r="Q275" s="13" t="s">
        <v>376</v>
      </c>
      <c r="R275" s="23" t="s">
        <v>188</v>
      </c>
      <c r="S275" s="13" t="s">
        <v>357</v>
      </c>
      <c r="T275" s="23">
        <v>1</v>
      </c>
      <c r="U275" s="30" t="str">
        <f>VLOOKUP(T275,[2]Key!$E$2:$F$9,2,FALSE)</f>
        <v>Home</v>
      </c>
      <c r="V275" s="30" t="str">
        <f t="shared" si="17"/>
        <v>Work-Home</v>
      </c>
      <c r="W275" s="23">
        <v>6000</v>
      </c>
      <c r="X275" s="62">
        <v>58</v>
      </c>
      <c r="Y275" s="62" t="str">
        <f t="shared" si="18"/>
        <v>40-70</v>
      </c>
      <c r="Z275" s="62">
        <v>1.5</v>
      </c>
      <c r="AA275" s="62" t="str">
        <f t="shared" si="19"/>
        <v>1.0-2.0</v>
      </c>
      <c r="AB275" s="23">
        <v>6</v>
      </c>
      <c r="AC275" s="30" t="str">
        <f>VLOOKUP(AB275,[2]Key!$C$20:$D$29,2,FALSE)</f>
        <v>Businessman</v>
      </c>
      <c r="AD275" s="23">
        <v>1</v>
      </c>
      <c r="AE275" s="30" t="str">
        <f>VLOOKUP(AD275,[2]Key!$E$20:$F$24,2,FALSE)</f>
        <v>&lt;300,000</v>
      </c>
      <c r="AF275" s="23">
        <v>5</v>
      </c>
      <c r="AG275" s="62">
        <v>4</v>
      </c>
      <c r="AH275" s="62">
        <v>2</v>
      </c>
      <c r="AI275" s="62">
        <v>2</v>
      </c>
      <c r="AJ275" s="62">
        <v>2</v>
      </c>
      <c r="AK275" s="45" t="s">
        <v>94</v>
      </c>
      <c r="AL275" s="36"/>
      <c r="AM275" t="str">
        <f t="shared" si="20"/>
        <v>0-1000</v>
      </c>
    </row>
    <row r="276" spans="1:39" x14ac:dyDescent="0.2">
      <c r="A276" s="44" t="s">
        <v>355</v>
      </c>
      <c r="B276" s="60">
        <v>0.75555555555555554</v>
      </c>
      <c r="C276" s="60"/>
      <c r="D276" s="60" t="s">
        <v>165</v>
      </c>
      <c r="E276" s="13">
        <v>2</v>
      </c>
      <c r="F276" s="38" t="str">
        <f>VLOOKUP(E276,[2]Key!$A$17:$B$21,2,FALSE)</f>
        <v>Road Vehicle</v>
      </c>
      <c r="G276" s="61">
        <v>4</v>
      </c>
      <c r="H276" s="39" t="s">
        <v>106</v>
      </c>
      <c r="I276" s="13" t="s">
        <v>178</v>
      </c>
      <c r="J276" s="13">
        <v>2</v>
      </c>
      <c r="K276" s="40" t="str">
        <f>VLOOKUP(J276,[2]Key!$A$24:$B$29,2,FALSE)</f>
        <v>30-39</v>
      </c>
      <c r="L276" s="13" t="s">
        <v>238</v>
      </c>
      <c r="M276" s="23" t="s">
        <v>150</v>
      </c>
      <c r="N276" s="13" t="s">
        <v>357</v>
      </c>
      <c r="O276" s="45">
        <v>1</v>
      </c>
      <c r="P276" s="30" t="str">
        <f>VLOOKUP(O276,[2]Key!$E$2:$F$9,2,FALSE)</f>
        <v>Home</v>
      </c>
      <c r="Q276" s="13" t="s">
        <v>377</v>
      </c>
      <c r="R276" s="23" t="s">
        <v>188</v>
      </c>
      <c r="S276" s="13" t="s">
        <v>357</v>
      </c>
      <c r="T276" s="23">
        <v>2</v>
      </c>
      <c r="U276" s="30" t="str">
        <f>VLOOKUP(T276,[2]Key!$E$2:$F$9,2,FALSE)</f>
        <v>Work</v>
      </c>
      <c r="V276" s="30" t="str">
        <f t="shared" si="17"/>
        <v>Home-Work</v>
      </c>
      <c r="W276" s="23">
        <v>6000</v>
      </c>
      <c r="X276" s="62">
        <v>60</v>
      </c>
      <c r="Y276" s="62" t="str">
        <f t="shared" si="18"/>
        <v>40-70</v>
      </c>
      <c r="Z276" s="62">
        <v>1.5</v>
      </c>
      <c r="AA276" s="62" t="str">
        <f t="shared" si="19"/>
        <v>1.0-2.0</v>
      </c>
      <c r="AB276" s="23">
        <v>6</v>
      </c>
      <c r="AC276" s="30" t="str">
        <f>VLOOKUP(AB276,[2]Key!$C$20:$D$29,2,FALSE)</f>
        <v>Businessman</v>
      </c>
      <c r="AD276" s="23">
        <v>1</v>
      </c>
      <c r="AE276" s="30" t="str">
        <f>VLOOKUP(AD276,[2]Key!$E$20:$F$24,2,FALSE)</f>
        <v>&lt;300,000</v>
      </c>
      <c r="AF276" s="23">
        <v>2</v>
      </c>
      <c r="AG276" s="62">
        <v>4</v>
      </c>
      <c r="AH276" s="62">
        <v>1</v>
      </c>
      <c r="AI276" s="62">
        <v>5</v>
      </c>
      <c r="AJ276" s="62">
        <v>4</v>
      </c>
      <c r="AK276" s="45" t="s">
        <v>94</v>
      </c>
      <c r="AL276" s="36"/>
      <c r="AM276" t="str">
        <f t="shared" si="20"/>
        <v>0-1000</v>
      </c>
    </row>
    <row r="277" spans="1:39" x14ac:dyDescent="0.2">
      <c r="A277" s="44" t="s">
        <v>355</v>
      </c>
      <c r="B277" s="60">
        <v>0.33749999999999997</v>
      </c>
      <c r="C277" s="60"/>
      <c r="D277" s="60" t="s">
        <v>165</v>
      </c>
      <c r="E277" s="13">
        <v>2</v>
      </c>
      <c r="F277" s="38" t="str">
        <f>VLOOKUP(E277,[2]Key!$A$17:$B$21,2,FALSE)</f>
        <v>Road Vehicle</v>
      </c>
      <c r="G277" s="61">
        <v>4</v>
      </c>
      <c r="H277" s="39" t="str">
        <f>VLOOKUP(G277,[2]Key!$A$2:$B$13,2,FALSE)</f>
        <v>Minibus</v>
      </c>
      <c r="I277" s="13" t="s">
        <v>178</v>
      </c>
      <c r="J277" s="13">
        <v>2</v>
      </c>
      <c r="K277" s="40" t="str">
        <f>VLOOKUP(J277,[2]Key!$A$24:$B$29,2,FALSE)</f>
        <v>30-39</v>
      </c>
      <c r="L277" s="13" t="s">
        <v>253</v>
      </c>
      <c r="M277" s="23" t="s">
        <v>156</v>
      </c>
      <c r="N277" s="13" t="s">
        <v>357</v>
      </c>
      <c r="O277" s="45">
        <v>2</v>
      </c>
      <c r="P277" s="30" t="str">
        <f>VLOOKUP(O277,[2]Key!$E$2:$F$9,2,FALSE)</f>
        <v>Work</v>
      </c>
      <c r="Q277" s="13" t="s">
        <v>365</v>
      </c>
      <c r="R277" s="23" t="s">
        <v>156</v>
      </c>
      <c r="S277" s="13" t="s">
        <v>357</v>
      </c>
      <c r="T277" s="23">
        <v>1</v>
      </c>
      <c r="U277" s="30" t="str">
        <f>VLOOKUP(T277,[2]Key!$E$2:$F$9,2,FALSE)</f>
        <v>Home</v>
      </c>
      <c r="V277" s="30" t="str">
        <f t="shared" si="17"/>
        <v>Work-Home</v>
      </c>
      <c r="W277" s="23">
        <v>4000</v>
      </c>
      <c r="X277" s="62">
        <v>30</v>
      </c>
      <c r="Y277" s="62" t="str">
        <f t="shared" si="18"/>
        <v>20-40</v>
      </c>
      <c r="Z277" s="62">
        <v>1.5</v>
      </c>
      <c r="AA277" s="62" t="str">
        <f t="shared" si="19"/>
        <v>1.0-2.0</v>
      </c>
      <c r="AB277" s="23">
        <v>6</v>
      </c>
      <c r="AC277" s="30" t="str">
        <f>VLOOKUP(AB277,[2]Key!$C$20:$D$29,2,FALSE)</f>
        <v>Businessman</v>
      </c>
      <c r="AD277" s="23">
        <v>1</v>
      </c>
      <c r="AE277" s="30" t="str">
        <f>VLOOKUP(AD277,[2]Key!$E$20:$F$24,2,FALSE)</f>
        <v>&lt;300,000</v>
      </c>
      <c r="AF277" s="23">
        <v>2</v>
      </c>
      <c r="AG277" s="62">
        <v>4</v>
      </c>
      <c r="AH277" s="62">
        <v>1</v>
      </c>
      <c r="AI277" s="62">
        <v>2</v>
      </c>
      <c r="AJ277" s="62">
        <v>1</v>
      </c>
      <c r="AK277" s="45" t="s">
        <v>94</v>
      </c>
      <c r="AL277" s="36"/>
      <c r="AM277" t="str">
        <f t="shared" si="20"/>
        <v>0-1000</v>
      </c>
    </row>
    <row r="278" spans="1:39" x14ac:dyDescent="0.2">
      <c r="A278" s="44" t="s">
        <v>355</v>
      </c>
      <c r="B278" s="60">
        <v>0.67361111111111116</v>
      </c>
      <c r="C278" s="60"/>
      <c r="D278" s="60" t="s">
        <v>165</v>
      </c>
      <c r="E278" s="13">
        <v>2</v>
      </c>
      <c r="F278" s="38" t="str">
        <f>VLOOKUP(E278,[2]Key!$A$17:$B$21,2,FALSE)</f>
        <v>Road Vehicle</v>
      </c>
      <c r="G278" s="61">
        <v>4</v>
      </c>
      <c r="H278" s="39" t="str">
        <f>VLOOKUP(G278,[2]Key!$A$2:$B$13,2,FALSE)</f>
        <v>Minibus</v>
      </c>
      <c r="I278" s="13" t="s">
        <v>178</v>
      </c>
      <c r="J278" s="13">
        <v>2</v>
      </c>
      <c r="K278" s="40" t="str">
        <f>VLOOKUP(J278,[2]Key!$A$24:$B$29,2,FALSE)</f>
        <v>30-39</v>
      </c>
      <c r="L278" s="13" t="s">
        <v>356</v>
      </c>
      <c r="M278" s="23" t="s">
        <v>150</v>
      </c>
      <c r="N278" s="13" t="s">
        <v>357</v>
      </c>
      <c r="O278" s="45">
        <v>2</v>
      </c>
      <c r="P278" s="30" t="str">
        <f>VLOOKUP(O278,[2]Key!$E$2:$F$9,2,FALSE)</f>
        <v>Work</v>
      </c>
      <c r="Q278" s="13" t="s">
        <v>378</v>
      </c>
      <c r="R278" s="23" t="s">
        <v>198</v>
      </c>
      <c r="S278" s="13" t="s">
        <v>357</v>
      </c>
      <c r="T278" s="23">
        <v>2</v>
      </c>
      <c r="U278" s="30" t="str">
        <f>VLOOKUP(T278,[2]Key!$E$2:$F$9,2,FALSE)</f>
        <v>Work</v>
      </c>
      <c r="V278" s="30" t="str">
        <f t="shared" si="17"/>
        <v>Work-Work</v>
      </c>
      <c r="W278" s="23">
        <v>6000</v>
      </c>
      <c r="X278" s="62">
        <v>40</v>
      </c>
      <c r="Y278" s="62" t="str">
        <f t="shared" si="18"/>
        <v>40-70</v>
      </c>
      <c r="Z278" s="62">
        <v>2</v>
      </c>
      <c r="AA278" s="62" t="str">
        <f t="shared" si="19"/>
        <v>2.0-3.5</v>
      </c>
      <c r="AB278" s="23">
        <v>6</v>
      </c>
      <c r="AC278" s="30" t="str">
        <f>VLOOKUP(AB278,[2]Key!$C$20:$D$29,2,FALSE)</f>
        <v>Businessman</v>
      </c>
      <c r="AD278" s="23">
        <v>2</v>
      </c>
      <c r="AE278" s="30" t="str">
        <f>VLOOKUP(AD278,[2]Key!$E$20:$F$24,2,FALSE)</f>
        <v>300,000-500,000</v>
      </c>
      <c r="AF278" s="23">
        <v>5</v>
      </c>
      <c r="AG278" s="62">
        <v>1</v>
      </c>
      <c r="AH278" s="62">
        <v>1</v>
      </c>
      <c r="AI278" s="62">
        <v>1</v>
      </c>
      <c r="AJ278" s="62">
        <v>2</v>
      </c>
      <c r="AK278" s="45" t="s">
        <v>94</v>
      </c>
      <c r="AL278" s="36">
        <v>500</v>
      </c>
      <c r="AM278" t="str">
        <f t="shared" si="20"/>
        <v>0-1000</v>
      </c>
    </row>
    <row r="279" spans="1:39" x14ac:dyDescent="0.2">
      <c r="A279" s="44" t="s">
        <v>355</v>
      </c>
      <c r="B279" s="60">
        <v>0.47430555555555554</v>
      </c>
      <c r="C279" s="60"/>
      <c r="D279" s="60" t="s">
        <v>165</v>
      </c>
      <c r="E279" s="13">
        <v>2</v>
      </c>
      <c r="F279" s="38" t="str">
        <f>VLOOKUP(E279,[2]Key!$A$17:$B$21,2,FALSE)</f>
        <v>Road Vehicle</v>
      </c>
      <c r="G279" s="61">
        <v>4</v>
      </c>
      <c r="H279" s="39" t="str">
        <f>VLOOKUP(G279,[2]Key!$A$2:$B$13,2,FALSE)</f>
        <v>Minibus</v>
      </c>
      <c r="I279" s="13" t="s">
        <v>178</v>
      </c>
      <c r="J279" s="13">
        <v>2</v>
      </c>
      <c r="K279" s="40" t="str">
        <f>VLOOKUP(J279,[2]Key!$A$24:$B$29,2,FALSE)</f>
        <v>30-39</v>
      </c>
      <c r="L279" s="13" t="s">
        <v>256</v>
      </c>
      <c r="M279" s="23" t="s">
        <v>150</v>
      </c>
      <c r="N279" s="13" t="s">
        <v>357</v>
      </c>
      <c r="O279" s="45">
        <v>1</v>
      </c>
      <c r="P279" s="30" t="str">
        <f>VLOOKUP(O279,[2]Key!$E$2:$F$9,2,FALSE)</f>
        <v>Home</v>
      </c>
      <c r="Q279" s="13" t="s">
        <v>379</v>
      </c>
      <c r="R279" s="23" t="s">
        <v>380</v>
      </c>
      <c r="S279" s="13" t="s">
        <v>357</v>
      </c>
      <c r="T279" s="23">
        <v>6</v>
      </c>
      <c r="U279" s="30" t="str">
        <f>VLOOKUP(T279,[2]Key!$E$2:$F$9,2,FALSE)</f>
        <v>Leisure/Social</v>
      </c>
      <c r="V279" s="30" t="str">
        <f t="shared" si="17"/>
        <v>Home-Leisure/Social</v>
      </c>
      <c r="W279" s="23">
        <v>18000</v>
      </c>
      <c r="X279" s="62">
        <v>75</v>
      </c>
      <c r="Y279" s="62" t="str">
        <f t="shared" si="18"/>
        <v>70-100</v>
      </c>
      <c r="Z279" s="62">
        <v>2</v>
      </c>
      <c r="AA279" s="62" t="str">
        <f t="shared" si="19"/>
        <v>2.0-3.5</v>
      </c>
      <c r="AB279" s="23">
        <v>6</v>
      </c>
      <c r="AC279" s="30" t="str">
        <f>VLOOKUP(AB279,[2]Key!$C$20:$D$29,2,FALSE)</f>
        <v>Businessman</v>
      </c>
      <c r="AD279" s="23">
        <v>1</v>
      </c>
      <c r="AE279" s="30" t="str">
        <f>VLOOKUP(AD279,[2]Key!$E$20:$F$24,2,FALSE)</f>
        <v>&lt;300,000</v>
      </c>
      <c r="AF279" s="23">
        <v>5</v>
      </c>
      <c r="AG279" s="62">
        <v>5</v>
      </c>
      <c r="AH279" s="62">
        <v>2</v>
      </c>
      <c r="AI279" s="62">
        <v>2</v>
      </c>
      <c r="AJ279" s="62">
        <v>1</v>
      </c>
      <c r="AK279" s="45" t="s">
        <v>94</v>
      </c>
      <c r="AL279" s="36"/>
      <c r="AM279" t="str">
        <f t="shared" si="20"/>
        <v>0-1000</v>
      </c>
    </row>
    <row r="280" spans="1:39" x14ac:dyDescent="0.2">
      <c r="A280" s="44" t="s">
        <v>355</v>
      </c>
      <c r="B280" s="60">
        <v>0.45833333333333331</v>
      </c>
      <c r="C280" s="60"/>
      <c r="D280" s="60" t="s">
        <v>165</v>
      </c>
      <c r="E280" s="13">
        <v>2</v>
      </c>
      <c r="F280" s="38" t="str">
        <f>VLOOKUP(E280,[2]Key!$A$17:$B$21,2,FALSE)</f>
        <v>Road Vehicle</v>
      </c>
      <c r="G280" s="61">
        <v>4</v>
      </c>
      <c r="H280" s="39" t="str">
        <f>VLOOKUP(G280,[2]Key!$A$2:$B$13,2,FALSE)</f>
        <v>Minibus</v>
      </c>
      <c r="I280" s="13" t="s">
        <v>178</v>
      </c>
      <c r="J280" s="13">
        <v>2</v>
      </c>
      <c r="K280" s="40" t="str">
        <f>VLOOKUP(J280,[2]Key!$A$24:$B$29,2,FALSE)</f>
        <v>30-39</v>
      </c>
      <c r="L280" s="13" t="s">
        <v>307</v>
      </c>
      <c r="M280" s="23" t="s">
        <v>150</v>
      </c>
      <c r="N280" s="13" t="s">
        <v>357</v>
      </c>
      <c r="O280" s="45">
        <v>1</v>
      </c>
      <c r="P280" s="30" t="str">
        <f>VLOOKUP(O280,[2]Key!$E$2:$F$9,2,FALSE)</f>
        <v>Home</v>
      </c>
      <c r="Q280" s="13" t="s">
        <v>381</v>
      </c>
      <c r="R280" s="23" t="s">
        <v>380</v>
      </c>
      <c r="S280" s="13" t="s">
        <v>357</v>
      </c>
      <c r="T280" s="23">
        <v>8</v>
      </c>
      <c r="U280" s="30" t="str">
        <f>VLOOKUP(T280,[2]Key!$E$2:$F$9,2,FALSE)</f>
        <v>Others</v>
      </c>
      <c r="V280" s="30" t="str">
        <f t="shared" si="17"/>
        <v>Home-Others</v>
      </c>
      <c r="W280" s="23">
        <v>13000</v>
      </c>
      <c r="X280" s="62">
        <v>75</v>
      </c>
      <c r="Y280" s="62" t="str">
        <f t="shared" si="18"/>
        <v>70-100</v>
      </c>
      <c r="Z280" s="62">
        <v>2</v>
      </c>
      <c r="AA280" s="62" t="str">
        <f t="shared" si="19"/>
        <v>2.0-3.5</v>
      </c>
      <c r="AB280" s="23">
        <v>6</v>
      </c>
      <c r="AC280" s="30" t="str">
        <f>VLOOKUP(AB280,[2]Key!$C$20:$D$29,2,FALSE)</f>
        <v>Businessman</v>
      </c>
      <c r="AD280" s="23">
        <v>1</v>
      </c>
      <c r="AE280" s="30" t="str">
        <f>VLOOKUP(AD280,[2]Key!$E$20:$F$24,2,FALSE)</f>
        <v>&lt;300,000</v>
      </c>
      <c r="AF280" s="23">
        <v>2</v>
      </c>
      <c r="AG280" s="62">
        <v>1</v>
      </c>
      <c r="AH280" s="62">
        <v>2</v>
      </c>
      <c r="AI280" s="62">
        <v>5</v>
      </c>
      <c r="AJ280" s="62">
        <v>5</v>
      </c>
      <c r="AK280" s="45" t="s">
        <v>94</v>
      </c>
      <c r="AL280" s="36"/>
      <c r="AM280" t="str">
        <f t="shared" si="20"/>
        <v>0-1000</v>
      </c>
    </row>
    <row r="281" spans="1:39" x14ac:dyDescent="0.2">
      <c r="A281" s="44" t="s">
        <v>355</v>
      </c>
      <c r="B281" s="60">
        <v>0.4465277777777778</v>
      </c>
      <c r="C281" s="60"/>
      <c r="D281" s="60" t="s">
        <v>165</v>
      </c>
      <c r="E281" s="13">
        <v>2</v>
      </c>
      <c r="F281" s="38" t="str">
        <f>VLOOKUP(E281,[2]Key!$A$17:$B$21,2,FALSE)</f>
        <v>Road Vehicle</v>
      </c>
      <c r="G281" s="61">
        <v>4</v>
      </c>
      <c r="H281" s="39" t="str">
        <f>VLOOKUP(G281,[2]Key!$A$2:$B$13,2,FALSE)</f>
        <v>Minibus</v>
      </c>
      <c r="I281" s="13" t="s">
        <v>178</v>
      </c>
      <c r="J281" s="13">
        <v>2</v>
      </c>
      <c r="K281" s="40" t="str">
        <f>VLOOKUP(J281,[2]Key!$A$24:$B$29,2,FALSE)</f>
        <v>30-39</v>
      </c>
      <c r="L281" s="13" t="s">
        <v>382</v>
      </c>
      <c r="M281" s="23" t="s">
        <v>150</v>
      </c>
      <c r="N281" s="13" t="s">
        <v>357</v>
      </c>
      <c r="O281" s="45">
        <v>1</v>
      </c>
      <c r="P281" s="30" t="str">
        <f>VLOOKUP(O281,[2]Key!$E$2:$F$9,2,FALSE)</f>
        <v>Home</v>
      </c>
      <c r="Q281" s="13" t="s">
        <v>383</v>
      </c>
      <c r="R281" s="23" t="s">
        <v>380</v>
      </c>
      <c r="S281" s="13" t="s">
        <v>357</v>
      </c>
      <c r="T281" s="23">
        <v>6</v>
      </c>
      <c r="U281" s="30" t="str">
        <f>VLOOKUP(T281,[2]Key!$E$2:$F$9,2,FALSE)</f>
        <v>Leisure/Social</v>
      </c>
      <c r="V281" s="30" t="str">
        <f t="shared" si="17"/>
        <v>Home-Leisure/Social</v>
      </c>
      <c r="W281" s="23">
        <v>16000</v>
      </c>
      <c r="X281" s="62">
        <v>75</v>
      </c>
      <c r="Y281" s="62" t="str">
        <f t="shared" si="18"/>
        <v>70-100</v>
      </c>
      <c r="Z281" s="62">
        <v>2</v>
      </c>
      <c r="AA281" s="62" t="str">
        <f t="shared" si="19"/>
        <v>2.0-3.5</v>
      </c>
      <c r="AB281" s="23">
        <v>6</v>
      </c>
      <c r="AC281" s="30" t="str">
        <f>VLOOKUP(AB281,[2]Key!$C$20:$D$29,2,FALSE)</f>
        <v>Businessman</v>
      </c>
      <c r="AD281" s="23">
        <v>1</v>
      </c>
      <c r="AE281" s="30" t="str">
        <f>VLOOKUP(AD281,[2]Key!$E$20:$F$24,2,FALSE)</f>
        <v>&lt;300,000</v>
      </c>
      <c r="AF281" s="23">
        <v>2</v>
      </c>
      <c r="AG281" s="62">
        <v>4</v>
      </c>
      <c r="AH281" s="62">
        <v>5</v>
      </c>
      <c r="AI281" s="62">
        <v>5</v>
      </c>
      <c r="AJ281" s="62">
        <v>3</v>
      </c>
      <c r="AK281" s="45" t="s">
        <v>94</v>
      </c>
      <c r="AL281" s="36"/>
      <c r="AM281" t="str">
        <f t="shared" si="20"/>
        <v>0-1000</v>
      </c>
    </row>
    <row r="282" spans="1:39" x14ac:dyDescent="0.2">
      <c r="A282" s="44" t="s">
        <v>355</v>
      </c>
      <c r="B282" s="60">
        <v>0.40833333333333338</v>
      </c>
      <c r="C282" s="60"/>
      <c r="D282" s="60" t="s">
        <v>165</v>
      </c>
      <c r="E282" s="13">
        <v>2</v>
      </c>
      <c r="F282" s="38" t="str">
        <f>VLOOKUP(E282,[2]Key!$A$17:$B$21,2,FALSE)</f>
        <v>Road Vehicle</v>
      </c>
      <c r="G282" s="61">
        <v>4</v>
      </c>
      <c r="H282" s="39" t="str">
        <f>VLOOKUP(G282,[2]Key!$A$2:$B$13,2,FALSE)</f>
        <v>Minibus</v>
      </c>
      <c r="I282" s="13" t="s">
        <v>178</v>
      </c>
      <c r="J282" s="13">
        <v>2</v>
      </c>
      <c r="K282" s="40" t="str">
        <f>VLOOKUP(J282,[2]Key!$A$24:$B$29,2,FALSE)</f>
        <v>30-39</v>
      </c>
      <c r="L282" s="13" t="s">
        <v>254</v>
      </c>
      <c r="M282" s="23" t="s">
        <v>150</v>
      </c>
      <c r="N282" s="13" t="s">
        <v>357</v>
      </c>
      <c r="O282" s="45">
        <v>1</v>
      </c>
      <c r="P282" s="30" t="str">
        <f>VLOOKUP(O282,[2]Key!$E$2:$F$9,2,FALSE)</f>
        <v>Home</v>
      </c>
      <c r="Q282" s="13" t="s">
        <v>384</v>
      </c>
      <c r="R282" s="23" t="s">
        <v>380</v>
      </c>
      <c r="S282" s="13" t="s">
        <v>357</v>
      </c>
      <c r="T282" s="23">
        <v>8</v>
      </c>
      <c r="U282" s="30" t="str">
        <f>VLOOKUP(T282,[2]Key!$E$2:$F$9,2,FALSE)</f>
        <v>Others</v>
      </c>
      <c r="V282" s="30" t="str">
        <f t="shared" si="17"/>
        <v>Home-Others</v>
      </c>
      <c r="W282" s="23">
        <v>10000</v>
      </c>
      <c r="X282" s="62">
        <v>75</v>
      </c>
      <c r="Y282" s="62" t="str">
        <f t="shared" si="18"/>
        <v>70-100</v>
      </c>
      <c r="Z282" s="62">
        <v>2</v>
      </c>
      <c r="AA282" s="62" t="str">
        <f t="shared" si="19"/>
        <v>2.0-3.5</v>
      </c>
      <c r="AB282" s="23">
        <v>6</v>
      </c>
      <c r="AC282" s="30" t="str">
        <f>VLOOKUP(AB282,[2]Key!$C$20:$D$29,2,FALSE)</f>
        <v>Businessman</v>
      </c>
      <c r="AD282" s="23">
        <v>1</v>
      </c>
      <c r="AE282" s="30" t="str">
        <f>VLOOKUP(AD282,[2]Key!$E$20:$F$24,2,FALSE)</f>
        <v>&lt;300,000</v>
      </c>
      <c r="AF282" s="23">
        <v>2</v>
      </c>
      <c r="AG282" s="62">
        <v>4</v>
      </c>
      <c r="AH282" s="62">
        <v>1</v>
      </c>
      <c r="AI282" s="62">
        <v>5</v>
      </c>
      <c r="AJ282" s="62">
        <v>2</v>
      </c>
      <c r="AK282" s="45" t="s">
        <v>94</v>
      </c>
      <c r="AL282" s="36"/>
      <c r="AM282" t="str">
        <f t="shared" si="20"/>
        <v>0-1000</v>
      </c>
    </row>
    <row r="283" spans="1:39" x14ac:dyDescent="0.2">
      <c r="A283" s="44" t="s">
        <v>355</v>
      </c>
      <c r="B283" s="60">
        <v>0.36805555555555558</v>
      </c>
      <c r="C283" s="60"/>
      <c r="D283" s="60" t="s">
        <v>165</v>
      </c>
      <c r="E283" s="13">
        <v>2</v>
      </c>
      <c r="F283" s="38" t="str">
        <f>VLOOKUP(E283,[2]Key!$A$17:$B$21,2,FALSE)</f>
        <v>Road Vehicle</v>
      </c>
      <c r="G283" s="61">
        <v>4</v>
      </c>
      <c r="H283" s="39" t="str">
        <f>VLOOKUP(G283,[2]Key!$A$2:$B$13,2,FALSE)</f>
        <v>Minibus</v>
      </c>
      <c r="I283" s="13" t="s">
        <v>178</v>
      </c>
      <c r="J283" s="13">
        <v>2</v>
      </c>
      <c r="K283" s="40" t="str">
        <f>VLOOKUP(J283,[2]Key!$A$24:$B$29,2,FALSE)</f>
        <v>30-39</v>
      </c>
      <c r="L283" s="13" t="s">
        <v>366</v>
      </c>
      <c r="M283" s="23" t="s">
        <v>156</v>
      </c>
      <c r="N283" s="13" t="s">
        <v>357</v>
      </c>
      <c r="O283" s="45">
        <v>2</v>
      </c>
      <c r="P283" s="30" t="str">
        <f>VLOOKUP(O283,[2]Key!$E$2:$F$9,2,FALSE)</f>
        <v>Work</v>
      </c>
      <c r="Q283" s="13" t="s">
        <v>385</v>
      </c>
      <c r="R283" s="23" t="s">
        <v>380</v>
      </c>
      <c r="S283" s="13" t="s">
        <v>357</v>
      </c>
      <c r="T283" s="23">
        <v>1</v>
      </c>
      <c r="U283" s="30" t="str">
        <f>VLOOKUP(T283,[2]Key!$E$2:$F$9,2,FALSE)</f>
        <v>Home</v>
      </c>
      <c r="V283" s="30" t="str">
        <f t="shared" si="17"/>
        <v>Work-Home</v>
      </c>
      <c r="W283" s="23">
        <v>11000</v>
      </c>
      <c r="X283" s="62">
        <v>75</v>
      </c>
      <c r="Y283" s="62" t="str">
        <f t="shared" si="18"/>
        <v>70-100</v>
      </c>
      <c r="Z283" s="62">
        <v>2</v>
      </c>
      <c r="AA283" s="62" t="str">
        <f t="shared" si="19"/>
        <v>2.0-3.5</v>
      </c>
      <c r="AB283" s="23">
        <v>6</v>
      </c>
      <c r="AC283" s="30" t="str">
        <f>VLOOKUP(AB283,[2]Key!$C$20:$D$29,2,FALSE)</f>
        <v>Businessman</v>
      </c>
      <c r="AD283" s="23">
        <v>1</v>
      </c>
      <c r="AE283" s="30" t="str">
        <f>VLOOKUP(AD283,[2]Key!$E$20:$F$24,2,FALSE)</f>
        <v>&lt;300,000</v>
      </c>
      <c r="AF283" s="23">
        <v>2</v>
      </c>
      <c r="AG283" s="62">
        <v>4</v>
      </c>
      <c r="AH283" s="62">
        <v>1</v>
      </c>
      <c r="AI283" s="62">
        <v>5</v>
      </c>
      <c r="AJ283" s="62">
        <v>1</v>
      </c>
      <c r="AK283" s="45" t="s">
        <v>94</v>
      </c>
      <c r="AL283" s="36"/>
      <c r="AM283" t="str">
        <f t="shared" si="20"/>
        <v>0-1000</v>
      </c>
    </row>
    <row r="284" spans="1:39" x14ac:dyDescent="0.2">
      <c r="A284" s="44" t="s">
        <v>355</v>
      </c>
      <c r="B284" s="60">
        <v>0.33055555555555555</v>
      </c>
      <c r="C284" s="60"/>
      <c r="D284" s="60" t="s">
        <v>165</v>
      </c>
      <c r="E284" s="13">
        <v>2</v>
      </c>
      <c r="F284" s="38" t="str">
        <f>VLOOKUP(E284,[2]Key!$A$17:$B$21,2,FALSE)</f>
        <v>Road Vehicle</v>
      </c>
      <c r="G284" s="61">
        <v>4</v>
      </c>
      <c r="H284" s="39" t="str">
        <f>VLOOKUP(G284,[2]Key!$A$2:$B$13,2,FALSE)</f>
        <v>Minibus</v>
      </c>
      <c r="I284" s="13" t="s">
        <v>178</v>
      </c>
      <c r="J284" s="13">
        <v>2</v>
      </c>
      <c r="K284" s="40" t="str">
        <f>VLOOKUP(J284,[2]Key!$A$24:$B$29,2,FALSE)</f>
        <v>30-39</v>
      </c>
      <c r="L284" s="13" t="s">
        <v>356</v>
      </c>
      <c r="M284" s="23" t="s">
        <v>150</v>
      </c>
      <c r="N284" s="13" t="s">
        <v>357</v>
      </c>
      <c r="O284" s="45">
        <v>2</v>
      </c>
      <c r="P284" s="30" t="str">
        <f>VLOOKUP(O284,[2]Key!$E$2:$F$9,2,FALSE)</f>
        <v>Work</v>
      </c>
      <c r="Q284" s="13" t="s">
        <v>199</v>
      </c>
      <c r="R284" s="23" t="s">
        <v>156</v>
      </c>
      <c r="S284" s="13" t="s">
        <v>357</v>
      </c>
      <c r="T284" s="23">
        <v>1</v>
      </c>
      <c r="U284" s="30" t="str">
        <f>VLOOKUP(T284,[2]Key!$E$2:$F$9,2,FALSE)</f>
        <v>Home</v>
      </c>
      <c r="V284" s="30" t="str">
        <f t="shared" si="17"/>
        <v>Work-Home</v>
      </c>
      <c r="W284" s="41">
        <v>10000</v>
      </c>
      <c r="X284" s="62">
        <v>105</v>
      </c>
      <c r="Y284" s="62" t="str">
        <f t="shared" si="18"/>
        <v>100-200</v>
      </c>
      <c r="Z284" s="62">
        <v>3</v>
      </c>
      <c r="AA284" s="62" t="str">
        <f t="shared" si="19"/>
        <v>2.0-3.5</v>
      </c>
      <c r="AB284" s="23">
        <v>6</v>
      </c>
      <c r="AC284" s="30" t="str">
        <f>VLOOKUP(AB284,[2]Key!$C$20:$D$29,2,FALSE)</f>
        <v>Businessman</v>
      </c>
      <c r="AD284" s="23">
        <v>4</v>
      </c>
      <c r="AE284" s="30" t="str">
        <f>VLOOKUP(AD284,[2]Key!$E$20:$F$24,2,FALSE)</f>
        <v>750,000-1,000,000</v>
      </c>
      <c r="AF284" s="23">
        <v>1</v>
      </c>
      <c r="AG284" s="62">
        <v>2</v>
      </c>
      <c r="AH284" s="62">
        <v>1</v>
      </c>
      <c r="AI284" s="62">
        <v>2</v>
      </c>
      <c r="AJ284" s="62">
        <v>1</v>
      </c>
      <c r="AK284" s="45" t="s">
        <v>94</v>
      </c>
      <c r="AL284" s="36">
        <v>1000</v>
      </c>
      <c r="AM284" t="str">
        <f t="shared" si="20"/>
        <v>1000-2000</v>
      </c>
    </row>
    <row r="285" spans="1:39" x14ac:dyDescent="0.2">
      <c r="A285" s="44" t="s">
        <v>355</v>
      </c>
      <c r="B285" s="60">
        <v>0.77638888888888891</v>
      </c>
      <c r="C285" s="60"/>
      <c r="D285" s="60" t="s">
        <v>165</v>
      </c>
      <c r="E285" s="13">
        <v>2</v>
      </c>
      <c r="F285" s="38" t="str">
        <f>VLOOKUP(E285,[2]Key!$A$17:$B$21,2,FALSE)</f>
        <v>Road Vehicle</v>
      </c>
      <c r="G285" s="61">
        <v>4</v>
      </c>
      <c r="H285" s="39" t="str">
        <f>VLOOKUP(G285,[2]Key!$A$2:$B$13,2,FALSE)</f>
        <v>Minibus</v>
      </c>
      <c r="I285" s="13" t="s">
        <v>178</v>
      </c>
      <c r="J285" s="13">
        <v>2</v>
      </c>
      <c r="K285" s="40" t="str">
        <f>VLOOKUP(J285,[2]Key!$A$24:$B$29,2,FALSE)</f>
        <v>30-39</v>
      </c>
      <c r="L285" s="13" t="s">
        <v>360</v>
      </c>
      <c r="M285" s="23" t="s">
        <v>150</v>
      </c>
      <c r="N285" s="13" t="s">
        <v>357</v>
      </c>
      <c r="O285" s="45">
        <v>2</v>
      </c>
      <c r="P285" s="30" t="str">
        <f>VLOOKUP(O285,[2]Key!$E$2:$F$9,2,FALSE)</f>
        <v>Work</v>
      </c>
      <c r="Q285" s="13" t="s">
        <v>386</v>
      </c>
      <c r="R285" s="23" t="s">
        <v>157</v>
      </c>
      <c r="S285" s="13" t="s">
        <v>357</v>
      </c>
      <c r="T285" s="23">
        <v>1</v>
      </c>
      <c r="U285" s="30" t="str">
        <f>VLOOKUP(T285,[2]Key!$E$2:$F$9,2,FALSE)</f>
        <v>Home</v>
      </c>
      <c r="V285" s="30" t="str">
        <f t="shared" si="17"/>
        <v>Work-Home</v>
      </c>
      <c r="W285" s="23">
        <v>10000</v>
      </c>
      <c r="X285" s="62">
        <v>70</v>
      </c>
      <c r="Y285" s="62" t="str">
        <f t="shared" si="18"/>
        <v>70-100</v>
      </c>
      <c r="Z285" s="62">
        <v>3</v>
      </c>
      <c r="AA285" s="62" t="str">
        <f t="shared" si="19"/>
        <v>2.0-3.5</v>
      </c>
      <c r="AB285" s="23">
        <v>6</v>
      </c>
      <c r="AC285" s="30" t="str">
        <f>VLOOKUP(AB285,[2]Key!$C$20:$D$29,2,FALSE)</f>
        <v>Businessman</v>
      </c>
      <c r="AD285" s="23">
        <v>1</v>
      </c>
      <c r="AE285" s="30" t="str">
        <f>VLOOKUP(AD285,[2]Key!$E$20:$F$24,2,FALSE)</f>
        <v>&lt;300,000</v>
      </c>
      <c r="AF285" s="23">
        <v>2</v>
      </c>
      <c r="AG285" s="62">
        <v>1</v>
      </c>
      <c r="AH285" s="62">
        <v>3</v>
      </c>
      <c r="AI285" s="62">
        <v>2</v>
      </c>
      <c r="AJ285" s="62">
        <v>2</v>
      </c>
      <c r="AK285" s="45" t="s">
        <v>94</v>
      </c>
      <c r="AL285" s="36"/>
      <c r="AM285" t="str">
        <f t="shared" si="20"/>
        <v>0-1000</v>
      </c>
    </row>
    <row r="286" spans="1:39" x14ac:dyDescent="0.2">
      <c r="A286" s="44" t="s">
        <v>355</v>
      </c>
      <c r="B286" s="60">
        <v>0.59236111111111112</v>
      </c>
      <c r="C286" s="60"/>
      <c r="D286" s="60" t="s">
        <v>165</v>
      </c>
      <c r="E286" s="13">
        <v>2</v>
      </c>
      <c r="F286" s="38" t="str">
        <f>VLOOKUP(E286,[2]Key!$A$17:$B$21,2,FALSE)</f>
        <v>Road Vehicle</v>
      </c>
      <c r="G286" s="61">
        <v>4</v>
      </c>
      <c r="H286" s="39" t="str">
        <f>VLOOKUP(G286,[2]Key!$A$2:$B$13,2,FALSE)</f>
        <v>Minibus</v>
      </c>
      <c r="I286" s="13" t="s">
        <v>178</v>
      </c>
      <c r="J286" s="13">
        <v>2</v>
      </c>
      <c r="K286" s="40" t="str">
        <f>VLOOKUP(J286,[2]Key!$A$24:$B$29,2,FALSE)</f>
        <v>30-39</v>
      </c>
      <c r="L286" s="13" t="s">
        <v>251</v>
      </c>
      <c r="M286" s="23" t="s">
        <v>150</v>
      </c>
      <c r="N286" s="13" t="s">
        <v>357</v>
      </c>
      <c r="O286" s="45">
        <v>2</v>
      </c>
      <c r="P286" s="30" t="str">
        <f>VLOOKUP(O286,[2]Key!$E$2:$F$9,2,FALSE)</f>
        <v>Work</v>
      </c>
      <c r="Q286" s="13" t="s">
        <v>387</v>
      </c>
      <c r="R286" s="23" t="s">
        <v>388</v>
      </c>
      <c r="S286" s="13" t="s">
        <v>357</v>
      </c>
      <c r="T286" s="23">
        <v>1</v>
      </c>
      <c r="U286" s="30" t="str">
        <f>VLOOKUP(T286,[2]Key!$E$2:$F$9,2,FALSE)</f>
        <v>Home</v>
      </c>
      <c r="V286" s="30" t="str">
        <f t="shared" si="17"/>
        <v>Work-Home</v>
      </c>
      <c r="W286" s="23">
        <v>15000</v>
      </c>
      <c r="X286" s="62">
        <v>40</v>
      </c>
      <c r="Y286" s="62" t="str">
        <f t="shared" si="18"/>
        <v>40-70</v>
      </c>
      <c r="Z286" s="62">
        <v>3.5</v>
      </c>
      <c r="AA286" s="62" t="str">
        <f t="shared" si="19"/>
        <v>Over 3.5</v>
      </c>
      <c r="AB286" s="23">
        <v>6</v>
      </c>
      <c r="AC286" s="30" t="str">
        <f>VLOOKUP(AB286,[2]Key!$C$20:$D$29,2,FALSE)</f>
        <v>Businessman</v>
      </c>
      <c r="AD286" s="23">
        <v>1</v>
      </c>
      <c r="AE286" s="30" t="str">
        <f>VLOOKUP(AD286,[2]Key!$E$20:$F$24,2,FALSE)</f>
        <v>&lt;300,000</v>
      </c>
      <c r="AF286" s="23">
        <v>2</v>
      </c>
      <c r="AG286" s="62">
        <v>4</v>
      </c>
      <c r="AH286" s="62">
        <v>1</v>
      </c>
      <c r="AI286" s="62">
        <v>2</v>
      </c>
      <c r="AJ286" s="62">
        <v>1</v>
      </c>
      <c r="AK286" s="45" t="s">
        <v>94</v>
      </c>
      <c r="AL286" s="36"/>
      <c r="AM286" t="str">
        <f t="shared" si="20"/>
        <v>0-1000</v>
      </c>
    </row>
    <row r="287" spans="1:39" x14ac:dyDescent="0.2">
      <c r="A287" s="44" t="s">
        <v>355</v>
      </c>
      <c r="B287" s="60">
        <v>0.35416666666666669</v>
      </c>
      <c r="C287" s="60"/>
      <c r="D287" s="60" t="s">
        <v>165</v>
      </c>
      <c r="E287" s="13">
        <v>2</v>
      </c>
      <c r="F287" s="38" t="str">
        <f>VLOOKUP(E287,[2]Key!$A$17:$B$21,2,FALSE)</f>
        <v>Road Vehicle</v>
      </c>
      <c r="G287" s="61">
        <v>4</v>
      </c>
      <c r="H287" s="39" t="str">
        <f>VLOOKUP(G287,[2]Key!$A$2:$B$13,2,FALSE)</f>
        <v>Minibus</v>
      </c>
      <c r="I287" s="13" t="s">
        <v>178</v>
      </c>
      <c r="J287" s="13">
        <v>2</v>
      </c>
      <c r="K287" s="40" t="str">
        <f>VLOOKUP(J287,[2]Key!$A$24:$B$29,2,FALSE)</f>
        <v>30-39</v>
      </c>
      <c r="L287" s="13" t="s">
        <v>226</v>
      </c>
      <c r="M287" s="23" t="s">
        <v>150</v>
      </c>
      <c r="N287" s="13" t="s">
        <v>357</v>
      </c>
      <c r="O287" s="45">
        <v>2</v>
      </c>
      <c r="P287" s="30" t="str">
        <f>VLOOKUP(O287,[2]Key!$E$2:$F$9,2,FALSE)</f>
        <v>Work</v>
      </c>
      <c r="Q287" s="13" t="s">
        <v>389</v>
      </c>
      <c r="R287" s="23" t="s">
        <v>157</v>
      </c>
      <c r="S287" s="13" t="s">
        <v>357</v>
      </c>
      <c r="T287" s="23">
        <v>1</v>
      </c>
      <c r="U287" s="30" t="str">
        <f>VLOOKUP(T287,[2]Key!$E$2:$F$9,2,FALSE)</f>
        <v>Home</v>
      </c>
      <c r="V287" s="30" t="str">
        <f t="shared" si="17"/>
        <v>Work-Home</v>
      </c>
      <c r="W287" s="23">
        <v>15000</v>
      </c>
      <c r="X287" s="62">
        <v>80</v>
      </c>
      <c r="Y287" s="62" t="str">
        <f t="shared" si="18"/>
        <v>70-100</v>
      </c>
      <c r="Z287" s="62">
        <v>3.5</v>
      </c>
      <c r="AA287" s="62" t="str">
        <f t="shared" si="19"/>
        <v>Over 3.5</v>
      </c>
      <c r="AB287" s="23">
        <v>6</v>
      </c>
      <c r="AC287" s="30" t="str">
        <f>VLOOKUP(AB287,[2]Key!$C$20:$D$29,2,FALSE)</f>
        <v>Businessman</v>
      </c>
      <c r="AD287" s="23">
        <v>1</v>
      </c>
      <c r="AE287" s="30" t="str">
        <f>VLOOKUP(AD287,[2]Key!$E$20:$F$24,2,FALSE)</f>
        <v>&lt;300,000</v>
      </c>
      <c r="AF287" s="23">
        <v>5</v>
      </c>
      <c r="AG287" s="62">
        <v>4</v>
      </c>
      <c r="AH287" s="62">
        <v>5</v>
      </c>
      <c r="AI287" s="62">
        <v>2</v>
      </c>
      <c r="AJ287" s="62">
        <v>2</v>
      </c>
      <c r="AK287" s="45" t="s">
        <v>94</v>
      </c>
      <c r="AL287" s="36"/>
      <c r="AM287" t="str">
        <f t="shared" si="20"/>
        <v>0-1000</v>
      </c>
    </row>
    <row r="288" spans="1:39" x14ac:dyDescent="0.2">
      <c r="A288" s="44" t="s">
        <v>355</v>
      </c>
      <c r="B288" s="60">
        <v>0.5625</v>
      </c>
      <c r="C288" s="60"/>
      <c r="D288" s="60" t="s">
        <v>165</v>
      </c>
      <c r="E288" s="13">
        <v>2</v>
      </c>
      <c r="F288" s="38" t="str">
        <f>VLOOKUP(E288,[2]Key!$A$17:$B$21,2,FALSE)</f>
        <v>Road Vehicle</v>
      </c>
      <c r="G288" s="61">
        <v>4</v>
      </c>
      <c r="H288" s="39" t="str">
        <f>VLOOKUP(G288,[2]Key!$A$2:$B$13,2,FALSE)</f>
        <v>Minibus</v>
      </c>
      <c r="I288" s="13" t="s">
        <v>178</v>
      </c>
      <c r="J288" s="13">
        <v>2</v>
      </c>
      <c r="K288" s="40" t="str">
        <f>VLOOKUP(J288,[2]Key!$A$24:$B$29,2,FALSE)</f>
        <v>30-39</v>
      </c>
      <c r="L288" s="13" t="s">
        <v>375</v>
      </c>
      <c r="M288" s="23" t="s">
        <v>150</v>
      </c>
      <c r="N288" s="13" t="s">
        <v>357</v>
      </c>
      <c r="O288" s="45">
        <v>2</v>
      </c>
      <c r="P288" s="30" t="str">
        <f>VLOOKUP(O288,[2]Key!$E$2:$F$9,2,FALSE)</f>
        <v>Work</v>
      </c>
      <c r="Q288" s="13" t="s">
        <v>389</v>
      </c>
      <c r="R288" s="23" t="s">
        <v>157</v>
      </c>
      <c r="S288" s="13" t="s">
        <v>357</v>
      </c>
      <c r="T288" s="23">
        <v>1</v>
      </c>
      <c r="U288" s="30" t="str">
        <f>VLOOKUP(T288,[2]Key!$E$2:$F$9,2,FALSE)</f>
        <v>Home</v>
      </c>
      <c r="V288" s="30" t="str">
        <f t="shared" si="17"/>
        <v>Work-Home</v>
      </c>
      <c r="W288" s="23">
        <v>15000</v>
      </c>
      <c r="X288" s="62">
        <v>80</v>
      </c>
      <c r="Y288" s="62" t="str">
        <f t="shared" si="18"/>
        <v>70-100</v>
      </c>
      <c r="Z288" s="62">
        <v>3.5</v>
      </c>
      <c r="AA288" s="62" t="str">
        <f t="shared" si="19"/>
        <v>Over 3.5</v>
      </c>
      <c r="AB288" s="23">
        <v>6</v>
      </c>
      <c r="AC288" s="30" t="str">
        <f>VLOOKUP(AB288,[2]Key!$C$20:$D$29,2,FALSE)</f>
        <v>Businessman</v>
      </c>
      <c r="AD288" s="23">
        <v>1</v>
      </c>
      <c r="AE288" s="30" t="str">
        <f>VLOOKUP(AD288,[2]Key!$E$20:$F$24,2,FALSE)</f>
        <v>&lt;300,000</v>
      </c>
      <c r="AF288" s="23">
        <v>5</v>
      </c>
      <c r="AG288" s="62">
        <v>4</v>
      </c>
      <c r="AH288" s="62">
        <v>5</v>
      </c>
      <c r="AI288" s="62">
        <v>2</v>
      </c>
      <c r="AJ288" s="62">
        <v>3</v>
      </c>
      <c r="AK288" s="45" t="s">
        <v>94</v>
      </c>
      <c r="AL288" s="36"/>
      <c r="AM288" t="str">
        <f t="shared" si="20"/>
        <v>0-1000</v>
      </c>
    </row>
    <row r="289" spans="1:39" x14ac:dyDescent="0.2">
      <c r="A289" s="44" t="s">
        <v>355</v>
      </c>
      <c r="B289" s="60">
        <v>0.52916666666666667</v>
      </c>
      <c r="C289" s="60"/>
      <c r="D289" s="60" t="s">
        <v>165</v>
      </c>
      <c r="E289" s="13">
        <v>2</v>
      </c>
      <c r="F289" s="38" t="str">
        <f>VLOOKUP(E289,[2]Key!$A$17:$B$21,2,FALSE)</f>
        <v>Road Vehicle</v>
      </c>
      <c r="G289" s="61">
        <v>4</v>
      </c>
      <c r="H289" s="39" t="str">
        <f>VLOOKUP(G289,[2]Key!$A$2:$B$13,2,FALSE)</f>
        <v>Minibus</v>
      </c>
      <c r="I289" s="13" t="s">
        <v>178</v>
      </c>
      <c r="J289" s="13">
        <v>2</v>
      </c>
      <c r="K289" s="40" t="str">
        <f>VLOOKUP(J289,[2]Key!$A$24:$B$29,2,FALSE)</f>
        <v>30-39</v>
      </c>
      <c r="L289" s="13" t="s">
        <v>175</v>
      </c>
      <c r="M289" s="23" t="s">
        <v>156</v>
      </c>
      <c r="N289" s="13" t="s">
        <v>357</v>
      </c>
      <c r="O289" s="45">
        <v>2</v>
      </c>
      <c r="P289" s="30" t="str">
        <f>VLOOKUP(O289,[2]Key!$E$2:$F$9,2,FALSE)</f>
        <v>Work</v>
      </c>
      <c r="Q289" s="13" t="s">
        <v>390</v>
      </c>
      <c r="R289" s="23" t="s">
        <v>391</v>
      </c>
      <c r="S289" s="13" t="s">
        <v>357</v>
      </c>
      <c r="T289" s="23">
        <v>1</v>
      </c>
      <c r="U289" s="30" t="str">
        <f>VLOOKUP(T289,[2]Key!$E$2:$F$9,2,FALSE)</f>
        <v>Home</v>
      </c>
      <c r="V289" s="30" t="str">
        <f t="shared" si="17"/>
        <v>Work-Home</v>
      </c>
      <c r="W289" s="23">
        <v>30000</v>
      </c>
      <c r="X289" s="62">
        <v>400</v>
      </c>
      <c r="Y289" s="62" t="str">
        <f t="shared" si="18"/>
        <v>Over 200</v>
      </c>
      <c r="Z289" s="62">
        <v>4</v>
      </c>
      <c r="AA289" s="62" t="str">
        <f t="shared" si="19"/>
        <v>Over 3.5</v>
      </c>
      <c r="AB289" s="23">
        <v>10</v>
      </c>
      <c r="AC289" s="30" t="str">
        <f>VLOOKUP(AB289,[2]Key!$C$20:$D$29,2,FALSE)</f>
        <v>Other</v>
      </c>
      <c r="AD289" s="23">
        <v>1</v>
      </c>
      <c r="AE289" s="30" t="str">
        <f>VLOOKUP(AD289,[2]Key!$E$20:$F$24,2,FALSE)</f>
        <v>&lt;300,000</v>
      </c>
      <c r="AF289" s="23">
        <v>5</v>
      </c>
      <c r="AG289" s="62">
        <v>4</v>
      </c>
      <c r="AH289" s="62">
        <v>2</v>
      </c>
      <c r="AI289" s="62">
        <v>2</v>
      </c>
      <c r="AJ289" s="62">
        <v>1</v>
      </c>
      <c r="AK289" s="45" t="s">
        <v>94</v>
      </c>
      <c r="AL289" s="36"/>
      <c r="AM289" t="str">
        <f t="shared" si="20"/>
        <v>0-1000</v>
      </c>
    </row>
    <row r="290" spans="1:39" x14ac:dyDescent="0.2">
      <c r="A290" s="44" t="s">
        <v>355</v>
      </c>
      <c r="B290" s="60">
        <v>0.30486111111111108</v>
      </c>
      <c r="C290" s="60"/>
      <c r="D290" s="60" t="s">
        <v>165</v>
      </c>
      <c r="E290" s="13">
        <v>2</v>
      </c>
      <c r="F290" s="38" t="str">
        <f>VLOOKUP(E290,[2]Key!$A$17:$B$21,2,FALSE)</f>
        <v>Road Vehicle</v>
      </c>
      <c r="G290" s="61">
        <v>4</v>
      </c>
      <c r="H290" s="39" t="str">
        <f>VLOOKUP(G290,[2]Key!$A$2:$B$13,2,FALSE)</f>
        <v>Minibus</v>
      </c>
      <c r="I290" s="13" t="s">
        <v>178</v>
      </c>
      <c r="J290" s="13">
        <v>2</v>
      </c>
      <c r="K290" s="40" t="str">
        <f>VLOOKUP(J290,[2]Key!$A$24:$B$29,2,FALSE)</f>
        <v>30-39</v>
      </c>
      <c r="L290" s="13" t="s">
        <v>175</v>
      </c>
      <c r="M290" s="23" t="s">
        <v>156</v>
      </c>
      <c r="N290" s="13" t="s">
        <v>357</v>
      </c>
      <c r="O290" s="45">
        <v>2</v>
      </c>
      <c r="P290" s="30" t="str">
        <f>VLOOKUP(O290,[2]Key!$E$2:$F$9,2,FALSE)</f>
        <v>Work</v>
      </c>
      <c r="Q290" s="13" t="s">
        <v>358</v>
      </c>
      <c r="R290" s="23" t="s">
        <v>359</v>
      </c>
      <c r="S290" s="13" t="s">
        <v>357</v>
      </c>
      <c r="T290" s="23">
        <v>8</v>
      </c>
      <c r="U290" s="30" t="str">
        <f>VLOOKUP(T290,[2]Key!$E$2:$F$9,2,FALSE)</f>
        <v>Others</v>
      </c>
      <c r="V290" s="30" t="str">
        <f t="shared" si="17"/>
        <v>Work-Others</v>
      </c>
      <c r="W290" s="23">
        <v>30000</v>
      </c>
      <c r="X290" s="62">
        <v>600</v>
      </c>
      <c r="Y290" s="62" t="str">
        <f t="shared" si="18"/>
        <v>Over 200</v>
      </c>
      <c r="Z290" s="62">
        <v>6</v>
      </c>
      <c r="AA290" s="62" t="str">
        <f t="shared" si="19"/>
        <v>Over 3.5</v>
      </c>
      <c r="AB290" s="23">
        <v>6</v>
      </c>
      <c r="AC290" s="30" t="str">
        <f>VLOOKUP(AB290,[2]Key!$C$20:$D$29,2,FALSE)</f>
        <v>Businessman</v>
      </c>
      <c r="AD290" s="23">
        <v>2</v>
      </c>
      <c r="AE290" s="30" t="str">
        <f>VLOOKUP(AD290,[2]Key!$E$20:$F$24,2,FALSE)</f>
        <v>300,000-500,000</v>
      </c>
      <c r="AF290" s="23">
        <v>2</v>
      </c>
      <c r="AG290" s="62">
        <v>4</v>
      </c>
      <c r="AH290" s="62">
        <v>5</v>
      </c>
      <c r="AI290" s="62">
        <v>5</v>
      </c>
      <c r="AJ290" s="62">
        <v>3</v>
      </c>
      <c r="AK290" s="45" t="s">
        <v>94</v>
      </c>
      <c r="AL290" s="36"/>
      <c r="AM290" t="str">
        <f t="shared" si="20"/>
        <v>0-1000</v>
      </c>
    </row>
    <row r="291" spans="1:39" x14ac:dyDescent="0.2">
      <c r="A291" s="44" t="s">
        <v>355</v>
      </c>
      <c r="B291" s="60">
        <v>0.61041666666666672</v>
      </c>
      <c r="C291" s="60"/>
      <c r="D291" s="60" t="s">
        <v>165</v>
      </c>
      <c r="E291" s="13">
        <v>2</v>
      </c>
      <c r="F291" s="38" t="str">
        <f>VLOOKUP(E291,[2]Key!$A$17:$B$21,2,FALSE)</f>
        <v>Road Vehicle</v>
      </c>
      <c r="G291" s="61">
        <v>4</v>
      </c>
      <c r="H291" s="39" t="str">
        <f>VLOOKUP(G291,[2]Key!$A$2:$B$13,2,FALSE)</f>
        <v>Minibus</v>
      </c>
      <c r="I291" s="13" t="s">
        <v>178</v>
      </c>
      <c r="J291" s="13">
        <v>3</v>
      </c>
      <c r="K291" s="40" t="str">
        <f>VLOOKUP(J291,[2]Key!$A$24:$B$29,2,FALSE)</f>
        <v>40-49</v>
      </c>
      <c r="L291" s="13" t="s">
        <v>363</v>
      </c>
      <c r="M291" s="23" t="s">
        <v>150</v>
      </c>
      <c r="N291" s="13" t="s">
        <v>357</v>
      </c>
      <c r="O291" s="45">
        <v>4</v>
      </c>
      <c r="P291" s="30" t="str">
        <f>VLOOKUP(O291,[2]Key!$E$2:$F$9,2,FALSE)</f>
        <v>Commercial</v>
      </c>
      <c r="Q291" s="13" t="s">
        <v>236</v>
      </c>
      <c r="R291" s="23" t="s">
        <v>150</v>
      </c>
      <c r="S291" s="13" t="s">
        <v>357</v>
      </c>
      <c r="T291" s="23">
        <v>1</v>
      </c>
      <c r="U291" s="30" t="str">
        <f>VLOOKUP(T291,[2]Key!$E$2:$F$9,2,FALSE)</f>
        <v>Home</v>
      </c>
      <c r="V291" s="30" t="str">
        <f t="shared" si="17"/>
        <v>Commercial-Home</v>
      </c>
      <c r="W291" s="23">
        <v>1000</v>
      </c>
      <c r="X291" s="62">
        <v>7</v>
      </c>
      <c r="Y291" s="62" t="str">
        <f t="shared" si="18"/>
        <v>0-10</v>
      </c>
      <c r="Z291" s="62">
        <v>0.1</v>
      </c>
      <c r="AA291" s="62" t="str">
        <f t="shared" si="19"/>
        <v>0-0.5</v>
      </c>
      <c r="AB291" s="23">
        <v>6</v>
      </c>
      <c r="AC291" s="30" t="str">
        <f>VLOOKUP(AB291,[2]Key!$C$20:$D$29,2,FALSE)</f>
        <v>Businessman</v>
      </c>
      <c r="AD291" s="23">
        <v>1</v>
      </c>
      <c r="AE291" s="30" t="str">
        <f>VLOOKUP(AD291,[2]Key!$E$20:$F$24,2,FALSE)</f>
        <v>&lt;300,000</v>
      </c>
      <c r="AF291" s="23">
        <v>2</v>
      </c>
      <c r="AG291" s="62">
        <v>1</v>
      </c>
      <c r="AH291" s="62">
        <v>1</v>
      </c>
      <c r="AI291" s="62">
        <v>2</v>
      </c>
      <c r="AJ291" s="62">
        <v>1</v>
      </c>
      <c r="AK291" s="45" t="s">
        <v>94</v>
      </c>
      <c r="AL291" s="36">
        <v>500</v>
      </c>
      <c r="AM291" t="str">
        <f t="shared" si="20"/>
        <v>0-1000</v>
      </c>
    </row>
    <row r="292" spans="1:39" x14ac:dyDescent="0.2">
      <c r="A292" s="44" t="s">
        <v>355</v>
      </c>
      <c r="B292" s="60">
        <v>0.73055555555555562</v>
      </c>
      <c r="C292" s="60"/>
      <c r="D292" s="60" t="s">
        <v>165</v>
      </c>
      <c r="E292" s="13">
        <v>2</v>
      </c>
      <c r="F292" s="38" t="str">
        <f>VLOOKUP(E292,[2]Key!$A$17:$B$21,2,FALSE)</f>
        <v>Road Vehicle</v>
      </c>
      <c r="G292" s="61">
        <v>4</v>
      </c>
      <c r="H292" s="39" t="str">
        <f>VLOOKUP(G292,[2]Key!$A$2:$B$13,2,FALSE)</f>
        <v>Minibus</v>
      </c>
      <c r="I292" s="13" t="s">
        <v>178</v>
      </c>
      <c r="J292" s="13">
        <v>3</v>
      </c>
      <c r="K292" s="40" t="str">
        <f>VLOOKUP(J292,[2]Key!$A$24:$B$29,2,FALSE)</f>
        <v>40-49</v>
      </c>
      <c r="L292" s="13" t="s">
        <v>356</v>
      </c>
      <c r="M292" s="23" t="s">
        <v>150</v>
      </c>
      <c r="N292" s="13" t="s">
        <v>357</v>
      </c>
      <c r="O292" s="45">
        <v>2</v>
      </c>
      <c r="P292" s="30" t="str">
        <f>VLOOKUP(O292,[2]Key!$E$2:$F$9,2,FALSE)</f>
        <v>Work</v>
      </c>
      <c r="Q292" s="13" t="s">
        <v>392</v>
      </c>
      <c r="R292" s="23" t="s">
        <v>150</v>
      </c>
      <c r="S292" s="13" t="s">
        <v>357</v>
      </c>
      <c r="T292" s="23">
        <v>1</v>
      </c>
      <c r="U292" s="30" t="str">
        <f>VLOOKUP(T292,[2]Key!$E$2:$F$9,2,FALSE)</f>
        <v>Home</v>
      </c>
      <c r="V292" s="30" t="str">
        <f t="shared" si="17"/>
        <v>Work-Home</v>
      </c>
      <c r="W292" s="23">
        <v>1000</v>
      </c>
      <c r="X292" s="62">
        <v>5</v>
      </c>
      <c r="Y292" s="62" t="str">
        <f t="shared" si="18"/>
        <v>0-10</v>
      </c>
      <c r="Z292" s="62">
        <v>0.3</v>
      </c>
      <c r="AA292" s="62" t="str">
        <f t="shared" si="19"/>
        <v>0-0.5</v>
      </c>
      <c r="AB292" s="23">
        <v>6</v>
      </c>
      <c r="AC292" s="30" t="str">
        <f>VLOOKUP(AB292,[2]Key!$C$20:$D$29,2,FALSE)</f>
        <v>Businessman</v>
      </c>
      <c r="AD292" s="23">
        <v>3</v>
      </c>
      <c r="AE292" s="30" t="str">
        <f>VLOOKUP(AD292,[2]Key!$E$20:$F$24,2,FALSE)</f>
        <v>500,000-750,000</v>
      </c>
      <c r="AF292" s="23">
        <v>2</v>
      </c>
      <c r="AG292" s="62">
        <v>1</v>
      </c>
      <c r="AH292" s="62">
        <v>2</v>
      </c>
      <c r="AI292" s="62">
        <v>1</v>
      </c>
      <c r="AJ292" s="62">
        <v>1</v>
      </c>
      <c r="AK292" s="45" t="s">
        <v>94</v>
      </c>
      <c r="AL292" s="36">
        <v>500</v>
      </c>
      <c r="AM292" t="str">
        <f t="shared" si="20"/>
        <v>0-1000</v>
      </c>
    </row>
    <row r="293" spans="1:39" x14ac:dyDescent="0.2">
      <c r="A293" s="44" t="s">
        <v>355</v>
      </c>
      <c r="B293" s="60">
        <v>0.69374999999999998</v>
      </c>
      <c r="C293" s="60"/>
      <c r="D293" s="60" t="s">
        <v>165</v>
      </c>
      <c r="E293" s="13">
        <v>2</v>
      </c>
      <c r="F293" s="38" t="str">
        <f>VLOOKUP(E293,[2]Key!$A$17:$B$21,2,FALSE)</f>
        <v>Road Vehicle</v>
      </c>
      <c r="G293" s="61">
        <v>4</v>
      </c>
      <c r="H293" s="39" t="str">
        <f>VLOOKUP(G293,[2]Key!$A$2:$B$13,2,FALSE)</f>
        <v>Minibus</v>
      </c>
      <c r="I293" s="13" t="s">
        <v>178</v>
      </c>
      <c r="J293" s="13">
        <v>3</v>
      </c>
      <c r="K293" s="40" t="str">
        <f>VLOOKUP(J293,[2]Key!$A$24:$B$29,2,FALSE)</f>
        <v>40-49</v>
      </c>
      <c r="L293" s="13" t="s">
        <v>363</v>
      </c>
      <c r="M293" s="23" t="s">
        <v>150</v>
      </c>
      <c r="N293" s="13" t="s">
        <v>357</v>
      </c>
      <c r="O293" s="45">
        <v>4</v>
      </c>
      <c r="P293" s="30" t="str">
        <f>VLOOKUP(O293,[2]Key!$E$2:$F$9,2,FALSE)</f>
        <v>Commercial</v>
      </c>
      <c r="Q293" s="13" t="s">
        <v>236</v>
      </c>
      <c r="R293" s="23" t="s">
        <v>150</v>
      </c>
      <c r="S293" s="13" t="s">
        <v>357</v>
      </c>
      <c r="T293" s="23">
        <v>4</v>
      </c>
      <c r="U293" s="30" t="str">
        <f>VLOOKUP(T293,[2]Key!$E$2:$F$9,2,FALSE)</f>
        <v>Commercial</v>
      </c>
      <c r="V293" s="30" t="str">
        <f t="shared" si="17"/>
        <v>Commercial-Commercial</v>
      </c>
      <c r="W293" s="23">
        <v>1000</v>
      </c>
      <c r="X293" s="62">
        <v>17</v>
      </c>
      <c r="Y293" s="62" t="str">
        <f t="shared" si="18"/>
        <v>10-20</v>
      </c>
      <c r="Z293" s="62">
        <v>0.3</v>
      </c>
      <c r="AA293" s="62" t="str">
        <f t="shared" si="19"/>
        <v>0-0.5</v>
      </c>
      <c r="AB293" s="23">
        <v>6</v>
      </c>
      <c r="AC293" s="30" t="str">
        <f>VLOOKUP(AB293,[2]Key!$C$20:$D$29,2,FALSE)</f>
        <v>Businessman</v>
      </c>
      <c r="AD293" s="23">
        <v>2</v>
      </c>
      <c r="AE293" s="30" t="str">
        <f>VLOOKUP(AD293,[2]Key!$E$20:$F$24,2,FALSE)</f>
        <v>300,000-500,000</v>
      </c>
      <c r="AF293" s="23">
        <v>1</v>
      </c>
      <c r="AG293" s="62">
        <v>1</v>
      </c>
      <c r="AH293" s="62">
        <v>4</v>
      </c>
      <c r="AI293" s="62">
        <v>5</v>
      </c>
      <c r="AJ293" s="62">
        <v>3</v>
      </c>
      <c r="AK293" s="45" t="s">
        <v>94</v>
      </c>
      <c r="AL293" s="36"/>
      <c r="AM293" t="str">
        <f t="shared" si="20"/>
        <v>0-1000</v>
      </c>
    </row>
    <row r="294" spans="1:39" x14ac:dyDescent="0.2">
      <c r="A294" s="44" t="s">
        <v>355</v>
      </c>
      <c r="B294" s="60">
        <v>0.78055555555555556</v>
      </c>
      <c r="C294" s="60"/>
      <c r="D294" s="60" t="s">
        <v>165</v>
      </c>
      <c r="E294" s="13">
        <v>2</v>
      </c>
      <c r="F294" s="38" t="str">
        <f>VLOOKUP(E294,[2]Key!$A$17:$B$21,2,FALSE)</f>
        <v>Road Vehicle</v>
      </c>
      <c r="G294" s="61">
        <v>4</v>
      </c>
      <c r="H294" s="39" t="str">
        <f>VLOOKUP(G294,[2]Key!$A$2:$B$13,2,FALSE)</f>
        <v>Minibus</v>
      </c>
      <c r="I294" s="13" t="s">
        <v>178</v>
      </c>
      <c r="J294" s="13">
        <v>3</v>
      </c>
      <c r="K294" s="40" t="str">
        <f>VLOOKUP(J294,[2]Key!$A$24:$B$29,2,FALSE)</f>
        <v>40-49</v>
      </c>
      <c r="L294" s="13" t="s">
        <v>356</v>
      </c>
      <c r="M294" s="23" t="s">
        <v>150</v>
      </c>
      <c r="N294" s="13" t="s">
        <v>357</v>
      </c>
      <c r="O294" s="45">
        <v>2</v>
      </c>
      <c r="P294" s="30" t="str">
        <f>VLOOKUP(O294,[2]Key!$E$2:$F$9,2,FALSE)</f>
        <v>Work</v>
      </c>
      <c r="Q294" s="13" t="s">
        <v>393</v>
      </c>
      <c r="R294" s="23" t="s">
        <v>150</v>
      </c>
      <c r="S294" s="13" t="s">
        <v>357</v>
      </c>
      <c r="T294" s="23">
        <v>1</v>
      </c>
      <c r="U294" s="30" t="str">
        <f>VLOOKUP(T294,[2]Key!$E$2:$F$9,2,FALSE)</f>
        <v>Home</v>
      </c>
      <c r="V294" s="30" t="str">
        <f t="shared" si="17"/>
        <v>Work-Home</v>
      </c>
      <c r="W294" s="23">
        <v>1500</v>
      </c>
      <c r="X294" s="62">
        <v>8</v>
      </c>
      <c r="Y294" s="62" t="str">
        <f t="shared" si="18"/>
        <v>0-10</v>
      </c>
      <c r="Z294" s="62">
        <v>0.5</v>
      </c>
      <c r="AA294" s="62" t="str">
        <f t="shared" si="19"/>
        <v>0.5-1.0</v>
      </c>
      <c r="AB294" s="23">
        <v>4</v>
      </c>
      <c r="AC294" s="30" t="str">
        <f>VLOOKUP(AB294,[2]Key!$C$20:$D$29,2,FALSE)</f>
        <v>Office Worker</v>
      </c>
      <c r="AD294" s="23">
        <v>3</v>
      </c>
      <c r="AE294" s="30" t="str">
        <f>VLOOKUP(AD294,[2]Key!$E$20:$F$24,2,FALSE)</f>
        <v>500,000-750,000</v>
      </c>
      <c r="AF294" s="23">
        <v>1</v>
      </c>
      <c r="AG294" s="62">
        <v>2</v>
      </c>
      <c r="AH294" s="62">
        <v>1</v>
      </c>
      <c r="AI294" s="62">
        <v>2</v>
      </c>
      <c r="AJ294" s="62">
        <v>1</v>
      </c>
      <c r="AK294" s="45" t="s">
        <v>94</v>
      </c>
      <c r="AL294" s="36">
        <v>5000</v>
      </c>
      <c r="AM294" t="str">
        <f t="shared" si="20"/>
        <v>5000-10000</v>
      </c>
    </row>
    <row r="295" spans="1:39" x14ac:dyDescent="0.2">
      <c r="A295" s="44" t="s">
        <v>355</v>
      </c>
      <c r="B295" s="60">
        <v>0.31666666666666665</v>
      </c>
      <c r="C295" s="60"/>
      <c r="D295" s="60" t="s">
        <v>165</v>
      </c>
      <c r="E295" s="13">
        <v>2</v>
      </c>
      <c r="F295" s="38" t="str">
        <f>VLOOKUP(E295,[2]Key!$A$17:$B$21,2,FALSE)</f>
        <v>Road Vehicle</v>
      </c>
      <c r="G295" s="61">
        <v>4</v>
      </c>
      <c r="H295" s="39" t="str">
        <f>VLOOKUP(G295,[2]Key!$A$2:$B$13,2,FALSE)</f>
        <v>Minibus</v>
      </c>
      <c r="I295" s="13" t="s">
        <v>178</v>
      </c>
      <c r="J295" s="13">
        <v>3</v>
      </c>
      <c r="K295" s="40" t="str">
        <f>VLOOKUP(J295,[2]Key!$A$24:$B$29,2,FALSE)</f>
        <v>40-49</v>
      </c>
      <c r="L295" s="13" t="s">
        <v>356</v>
      </c>
      <c r="M295" s="23" t="s">
        <v>150</v>
      </c>
      <c r="N295" s="13" t="s">
        <v>357</v>
      </c>
      <c r="O295" s="45">
        <v>2</v>
      </c>
      <c r="P295" s="30" t="str">
        <f>VLOOKUP(O295,[2]Key!$E$2:$F$9,2,FALSE)</f>
        <v>Work</v>
      </c>
      <c r="Q295" s="13" t="s">
        <v>394</v>
      </c>
      <c r="R295" s="23" t="s">
        <v>156</v>
      </c>
      <c r="S295" s="13" t="s">
        <v>357</v>
      </c>
      <c r="T295" s="23">
        <v>1</v>
      </c>
      <c r="U295" s="30" t="str">
        <f>VLOOKUP(T295,[2]Key!$E$2:$F$9,2,FALSE)</f>
        <v>Home</v>
      </c>
      <c r="V295" s="30" t="str">
        <f t="shared" si="17"/>
        <v>Work-Home</v>
      </c>
      <c r="W295" s="41">
        <v>2000</v>
      </c>
      <c r="X295" s="62">
        <v>36</v>
      </c>
      <c r="Y295" s="62" t="str">
        <f t="shared" si="18"/>
        <v>20-40</v>
      </c>
      <c r="Z295" s="62">
        <v>0.7</v>
      </c>
      <c r="AA295" s="62" t="str">
        <f t="shared" si="19"/>
        <v>0.5-1.0</v>
      </c>
      <c r="AB295" s="23">
        <v>6</v>
      </c>
      <c r="AC295" s="30" t="str">
        <f>VLOOKUP(AB295,[2]Key!$C$20:$D$29,2,FALSE)</f>
        <v>Businessman</v>
      </c>
      <c r="AD295" s="23">
        <v>1</v>
      </c>
      <c r="AE295" s="30" t="str">
        <f>VLOOKUP(AD295,[2]Key!$E$20:$F$24,2,FALSE)</f>
        <v>&lt;300,000</v>
      </c>
      <c r="AF295" s="23">
        <v>1</v>
      </c>
      <c r="AG295" s="62">
        <v>2</v>
      </c>
      <c r="AH295" s="62">
        <v>1</v>
      </c>
      <c r="AI295" s="62">
        <v>2</v>
      </c>
      <c r="AJ295" s="62">
        <v>1</v>
      </c>
      <c r="AK295" s="45" t="s">
        <v>94</v>
      </c>
      <c r="AL295" s="36">
        <v>1000</v>
      </c>
      <c r="AM295" t="str">
        <f t="shared" si="20"/>
        <v>1000-2000</v>
      </c>
    </row>
    <row r="296" spans="1:39" x14ac:dyDescent="0.2">
      <c r="A296" s="44" t="s">
        <v>355</v>
      </c>
      <c r="B296" s="60">
        <v>0.38194444444444442</v>
      </c>
      <c r="C296" s="60"/>
      <c r="D296" s="60" t="s">
        <v>165</v>
      </c>
      <c r="E296" s="13">
        <v>2</v>
      </c>
      <c r="F296" s="38" t="str">
        <f>VLOOKUP(E296,[2]Key!$A$17:$B$21,2,FALSE)</f>
        <v>Road Vehicle</v>
      </c>
      <c r="G296" s="61">
        <v>4</v>
      </c>
      <c r="H296" s="39" t="str">
        <f>VLOOKUP(G296,[2]Key!$A$2:$B$13,2,FALSE)</f>
        <v>Minibus</v>
      </c>
      <c r="I296" s="13" t="s">
        <v>178</v>
      </c>
      <c r="J296" s="13">
        <v>3</v>
      </c>
      <c r="K296" s="40" t="str">
        <f>VLOOKUP(J296,[2]Key!$A$24:$B$29,2,FALSE)</f>
        <v>40-49</v>
      </c>
      <c r="L296" s="13" t="s">
        <v>240</v>
      </c>
      <c r="M296" s="23" t="s">
        <v>150</v>
      </c>
      <c r="N296" s="13" t="s">
        <v>357</v>
      </c>
      <c r="O296" s="45">
        <v>1</v>
      </c>
      <c r="P296" s="30" t="str">
        <f>VLOOKUP(O296,[2]Key!$E$2:$F$9,2,FALSE)</f>
        <v>Home</v>
      </c>
      <c r="Q296" s="13" t="s">
        <v>264</v>
      </c>
      <c r="R296" s="23" t="s">
        <v>150</v>
      </c>
      <c r="S296" s="13" t="s">
        <v>357</v>
      </c>
      <c r="T296" s="23">
        <v>7</v>
      </c>
      <c r="U296" s="30" t="str">
        <f>VLOOKUP(T296,[2]Key!$E$2:$F$9,2,FALSE)</f>
        <v>Hospital</v>
      </c>
      <c r="V296" s="30" t="str">
        <f t="shared" si="17"/>
        <v>Home-Hospital</v>
      </c>
      <c r="W296" s="23">
        <v>4000</v>
      </c>
      <c r="X296" s="62">
        <v>30</v>
      </c>
      <c r="Y296" s="62" t="str">
        <f t="shared" si="18"/>
        <v>20-40</v>
      </c>
      <c r="Z296" s="62">
        <v>0.7</v>
      </c>
      <c r="AA296" s="62" t="str">
        <f t="shared" si="19"/>
        <v>0.5-1.0</v>
      </c>
      <c r="AB296" s="23">
        <v>6</v>
      </c>
      <c r="AC296" s="30" t="str">
        <f>VLOOKUP(AB296,[2]Key!$C$20:$D$29,2,FALSE)</f>
        <v>Businessman</v>
      </c>
      <c r="AD296" s="23">
        <v>2</v>
      </c>
      <c r="AE296" s="30" t="str">
        <f>VLOOKUP(AD296,[2]Key!$E$20:$F$24,2,FALSE)</f>
        <v>300,000-500,000</v>
      </c>
      <c r="AF296" s="23">
        <v>4</v>
      </c>
      <c r="AG296" s="62">
        <v>1</v>
      </c>
      <c r="AH296" s="62">
        <v>2</v>
      </c>
      <c r="AI296" s="62">
        <v>1</v>
      </c>
      <c r="AJ296" s="62">
        <v>1</v>
      </c>
      <c r="AK296" s="45" t="s">
        <v>94</v>
      </c>
      <c r="AL296" s="36">
        <v>1000</v>
      </c>
      <c r="AM296" t="str">
        <f t="shared" si="20"/>
        <v>1000-2000</v>
      </c>
    </row>
    <row r="297" spans="1:39" x14ac:dyDescent="0.2">
      <c r="A297" s="44" t="s">
        <v>355</v>
      </c>
      <c r="B297" s="60">
        <v>0.53888888888888886</v>
      </c>
      <c r="C297" s="60"/>
      <c r="D297" s="60" t="s">
        <v>165</v>
      </c>
      <c r="E297" s="13">
        <v>2</v>
      </c>
      <c r="F297" s="38" t="str">
        <f>VLOOKUP(E297,[2]Key!$A$17:$B$21,2,FALSE)</f>
        <v>Road Vehicle</v>
      </c>
      <c r="G297" s="61">
        <v>4</v>
      </c>
      <c r="H297" s="39" t="str">
        <f>VLOOKUP(G297,[2]Key!$A$2:$B$13,2,FALSE)</f>
        <v>Minibus</v>
      </c>
      <c r="I297" s="13" t="s">
        <v>178</v>
      </c>
      <c r="J297" s="13">
        <v>3</v>
      </c>
      <c r="K297" s="40" t="str">
        <f>VLOOKUP(J297,[2]Key!$A$24:$B$29,2,FALSE)</f>
        <v>40-49</v>
      </c>
      <c r="L297" s="13" t="s">
        <v>356</v>
      </c>
      <c r="M297" s="23" t="s">
        <v>150</v>
      </c>
      <c r="N297" s="13" t="s">
        <v>357</v>
      </c>
      <c r="O297" s="45">
        <v>2</v>
      </c>
      <c r="P297" s="30" t="str">
        <f>VLOOKUP(O297,[2]Key!$E$2:$F$9,2,FALSE)</f>
        <v>Work</v>
      </c>
      <c r="Q297" s="13" t="s">
        <v>366</v>
      </c>
      <c r="R297" s="23" t="s">
        <v>156</v>
      </c>
      <c r="S297" s="13" t="s">
        <v>357</v>
      </c>
      <c r="T297" s="23">
        <v>1</v>
      </c>
      <c r="U297" s="30" t="str">
        <f>VLOOKUP(T297,[2]Key!$E$2:$F$9,2,FALSE)</f>
        <v>Home</v>
      </c>
      <c r="V297" s="30" t="str">
        <f t="shared" si="17"/>
        <v>Work-Home</v>
      </c>
      <c r="W297" s="23">
        <v>2000</v>
      </c>
      <c r="X297" s="62">
        <v>30</v>
      </c>
      <c r="Y297" s="62" t="str">
        <f t="shared" si="18"/>
        <v>20-40</v>
      </c>
      <c r="Z297" s="62">
        <v>1</v>
      </c>
      <c r="AA297" s="62" t="str">
        <f t="shared" si="19"/>
        <v>1.0-2.0</v>
      </c>
      <c r="AB297" s="23">
        <v>4</v>
      </c>
      <c r="AC297" s="30" t="str">
        <f>VLOOKUP(AB297,[2]Key!$C$20:$D$29,2,FALSE)</f>
        <v>Office Worker</v>
      </c>
      <c r="AD297" s="23">
        <v>3</v>
      </c>
      <c r="AE297" s="30" t="str">
        <f>VLOOKUP(AD297,[2]Key!$E$20:$F$24,2,FALSE)</f>
        <v>500,000-750,000</v>
      </c>
      <c r="AF297" s="23">
        <v>1</v>
      </c>
      <c r="AG297" s="62">
        <v>2</v>
      </c>
      <c r="AH297" s="62">
        <v>1</v>
      </c>
      <c r="AI297" s="62">
        <v>2</v>
      </c>
      <c r="AJ297" s="62">
        <v>1</v>
      </c>
      <c r="AK297" s="45" t="s">
        <v>94</v>
      </c>
      <c r="AL297" s="36">
        <v>1000</v>
      </c>
      <c r="AM297" t="str">
        <f t="shared" si="20"/>
        <v>1000-2000</v>
      </c>
    </row>
    <row r="298" spans="1:39" x14ac:dyDescent="0.2">
      <c r="A298" s="44" t="s">
        <v>355</v>
      </c>
      <c r="B298" s="60">
        <v>0.37361111111111112</v>
      </c>
      <c r="C298" s="60"/>
      <c r="D298" s="60" t="s">
        <v>165</v>
      </c>
      <c r="E298" s="13">
        <v>2</v>
      </c>
      <c r="F298" s="38" t="str">
        <f>VLOOKUP(E298,[2]Key!$A$17:$B$21,2,FALSE)</f>
        <v>Road Vehicle</v>
      </c>
      <c r="G298" s="61">
        <v>4</v>
      </c>
      <c r="H298" s="39" t="str">
        <f>VLOOKUP(G298,[2]Key!$A$2:$B$13,2,FALSE)</f>
        <v>Minibus</v>
      </c>
      <c r="I298" s="13" t="s">
        <v>178</v>
      </c>
      <c r="J298" s="13">
        <v>3</v>
      </c>
      <c r="K298" s="40" t="str">
        <f>VLOOKUP(J298,[2]Key!$A$24:$B$29,2,FALSE)</f>
        <v>40-49</v>
      </c>
      <c r="L298" s="13" t="s">
        <v>356</v>
      </c>
      <c r="M298" s="23" t="s">
        <v>150</v>
      </c>
      <c r="N298" s="13" t="s">
        <v>357</v>
      </c>
      <c r="O298" s="45">
        <v>2</v>
      </c>
      <c r="P298" s="30" t="str">
        <f>VLOOKUP(O298,[2]Key!$E$2:$F$9,2,FALSE)</f>
        <v>Work</v>
      </c>
      <c r="Q298" s="13" t="s">
        <v>381</v>
      </c>
      <c r="R298" s="23" t="s">
        <v>380</v>
      </c>
      <c r="S298" s="13" t="s">
        <v>357</v>
      </c>
      <c r="T298" s="23">
        <v>1</v>
      </c>
      <c r="U298" s="30" t="str">
        <f>VLOOKUP(T298,[2]Key!$E$2:$F$9,2,FALSE)</f>
        <v>Home</v>
      </c>
      <c r="V298" s="30" t="str">
        <f t="shared" si="17"/>
        <v>Work-Home</v>
      </c>
      <c r="W298" s="41">
        <v>13000</v>
      </c>
      <c r="X298" s="62">
        <v>120.7</v>
      </c>
      <c r="Y298" s="62" t="str">
        <f t="shared" si="18"/>
        <v>100-200</v>
      </c>
      <c r="Z298" s="62">
        <v>2</v>
      </c>
      <c r="AA298" s="62" t="str">
        <f t="shared" si="19"/>
        <v>2.0-3.5</v>
      </c>
      <c r="AB298" s="23">
        <v>5</v>
      </c>
      <c r="AC298" s="30" t="str">
        <f>VLOOKUP(AB298,[2]Key!$C$20:$D$29,2,FALSE)</f>
        <v>Professional</v>
      </c>
      <c r="AD298" s="23">
        <v>2</v>
      </c>
      <c r="AE298" s="30" t="str">
        <f>VLOOKUP(AD298,[2]Key!$E$20:$F$24,2,FALSE)</f>
        <v>300,000-500,000</v>
      </c>
      <c r="AF298" s="23">
        <v>1</v>
      </c>
      <c r="AG298" s="62">
        <v>1</v>
      </c>
      <c r="AH298" s="62">
        <v>1</v>
      </c>
      <c r="AI298" s="62">
        <v>1</v>
      </c>
      <c r="AJ298" s="62">
        <v>1</v>
      </c>
      <c r="AK298" s="45" t="s">
        <v>94</v>
      </c>
      <c r="AL298" s="36">
        <v>500</v>
      </c>
      <c r="AM298" t="str">
        <f t="shared" si="20"/>
        <v>0-1000</v>
      </c>
    </row>
    <row r="299" spans="1:39" x14ac:dyDescent="0.2">
      <c r="A299" s="44" t="s">
        <v>355</v>
      </c>
      <c r="B299" s="60">
        <v>0.52500000000000002</v>
      </c>
      <c r="C299" s="60"/>
      <c r="D299" s="60" t="s">
        <v>165</v>
      </c>
      <c r="E299" s="13">
        <v>2</v>
      </c>
      <c r="F299" s="38" t="str">
        <f>VLOOKUP(E299,[2]Key!$A$17:$B$21,2,FALSE)</f>
        <v>Road Vehicle</v>
      </c>
      <c r="G299" s="61">
        <v>4</v>
      </c>
      <c r="H299" s="39" t="str">
        <f>VLOOKUP(G299,[2]Key!$A$2:$B$13,2,FALSE)</f>
        <v>Minibus</v>
      </c>
      <c r="I299" s="13" t="s">
        <v>178</v>
      </c>
      <c r="J299" s="13">
        <v>3</v>
      </c>
      <c r="K299" s="40" t="str">
        <f>VLOOKUP(J299,[2]Key!$A$24:$B$29,2,FALSE)</f>
        <v>40-49</v>
      </c>
      <c r="L299" s="13" t="s">
        <v>356</v>
      </c>
      <c r="M299" s="23" t="s">
        <v>150</v>
      </c>
      <c r="N299" s="13" t="s">
        <v>357</v>
      </c>
      <c r="O299" s="45">
        <v>2</v>
      </c>
      <c r="P299" s="30" t="str">
        <f>VLOOKUP(O299,[2]Key!$E$2:$F$9,2,FALSE)</f>
        <v>Work</v>
      </c>
      <c r="Q299" s="13" t="s">
        <v>395</v>
      </c>
      <c r="R299" s="23" t="s">
        <v>380</v>
      </c>
      <c r="S299" s="13" t="s">
        <v>357</v>
      </c>
      <c r="T299" s="23">
        <v>2</v>
      </c>
      <c r="U299" s="30" t="str">
        <f>VLOOKUP(T299,[2]Key!$E$2:$F$9,2,FALSE)</f>
        <v>Work</v>
      </c>
      <c r="V299" s="30" t="str">
        <f t="shared" si="17"/>
        <v>Work-Work</v>
      </c>
      <c r="W299" s="23">
        <v>10000</v>
      </c>
      <c r="X299" s="62">
        <v>112.65</v>
      </c>
      <c r="Y299" s="62" t="str">
        <f t="shared" si="18"/>
        <v>100-200</v>
      </c>
      <c r="Z299" s="62">
        <v>2.5</v>
      </c>
      <c r="AA299" s="62" t="str">
        <f t="shared" si="19"/>
        <v>2.0-3.5</v>
      </c>
      <c r="AB299" s="23">
        <v>6</v>
      </c>
      <c r="AC299" s="30" t="str">
        <f>VLOOKUP(AB299,[2]Key!$C$20:$D$29,2,FALSE)</f>
        <v>Businessman</v>
      </c>
      <c r="AD299" s="23">
        <v>4</v>
      </c>
      <c r="AE299" s="30" t="str">
        <f>VLOOKUP(AD299,[2]Key!$E$20:$F$24,2,FALSE)</f>
        <v>750,000-1,000,000</v>
      </c>
      <c r="AF299" s="23">
        <v>5</v>
      </c>
      <c r="AG299" s="62">
        <v>1</v>
      </c>
      <c r="AH299" s="62">
        <v>2</v>
      </c>
      <c r="AI299" s="62">
        <v>1</v>
      </c>
      <c r="AJ299" s="62">
        <v>2</v>
      </c>
      <c r="AK299" s="45" t="s">
        <v>94</v>
      </c>
      <c r="AL299" s="36">
        <v>1000</v>
      </c>
      <c r="AM299" t="str">
        <f t="shared" si="20"/>
        <v>1000-2000</v>
      </c>
    </row>
    <row r="300" spans="1:39" x14ac:dyDescent="0.2">
      <c r="A300" s="44" t="s">
        <v>355</v>
      </c>
      <c r="B300" s="60">
        <v>0.60138888888888886</v>
      </c>
      <c r="C300" s="60"/>
      <c r="D300" s="60" t="s">
        <v>96</v>
      </c>
      <c r="E300" s="13">
        <v>2</v>
      </c>
      <c r="F300" s="38" t="str">
        <f>VLOOKUP(E300,[2]Key!$A$17:$B$21,2,FALSE)</f>
        <v>Road Vehicle</v>
      </c>
      <c r="G300" s="61">
        <v>4</v>
      </c>
      <c r="H300" s="39" t="str">
        <f>VLOOKUP(G300,[2]Key!$A$2:$B$13,2,FALSE)</f>
        <v>Minibus</v>
      </c>
      <c r="I300" s="13" t="s">
        <v>178</v>
      </c>
      <c r="J300" s="13">
        <v>3</v>
      </c>
      <c r="K300" s="40" t="str">
        <f>VLOOKUP(J300,[2]Key!$A$24:$B$29,2,FALSE)</f>
        <v>40-49</v>
      </c>
      <c r="L300" s="13" t="s">
        <v>356</v>
      </c>
      <c r="M300" s="23" t="s">
        <v>150</v>
      </c>
      <c r="N300" s="13" t="s">
        <v>357</v>
      </c>
      <c r="O300" s="45">
        <v>4</v>
      </c>
      <c r="P300" s="30" t="str">
        <f>VLOOKUP(O300,[2]Key!$E$2:$F$9,2,FALSE)</f>
        <v>Commercial</v>
      </c>
      <c r="Q300" s="13" t="s">
        <v>396</v>
      </c>
      <c r="R300" s="23" t="s">
        <v>391</v>
      </c>
      <c r="S300" s="13" t="s">
        <v>357</v>
      </c>
      <c r="T300" s="23">
        <v>4</v>
      </c>
      <c r="U300" s="30" t="str">
        <f>VLOOKUP(T300,[2]Key!$E$2:$F$9,2,FALSE)</f>
        <v>Commercial</v>
      </c>
      <c r="V300" s="30" t="str">
        <f t="shared" si="17"/>
        <v>Commercial-Commercial</v>
      </c>
      <c r="W300" s="23">
        <v>300000</v>
      </c>
      <c r="X300" s="62">
        <v>340</v>
      </c>
      <c r="Y300" s="62" t="str">
        <f t="shared" si="18"/>
        <v>Over 200</v>
      </c>
      <c r="Z300" s="62">
        <v>4</v>
      </c>
      <c r="AA300" s="62" t="str">
        <f t="shared" si="19"/>
        <v>Over 3.5</v>
      </c>
      <c r="AB300" s="23">
        <v>5</v>
      </c>
      <c r="AC300" s="30" t="str">
        <f>VLOOKUP(AB300,[2]Key!$C$20:$D$29,2,FALSE)</f>
        <v>Professional</v>
      </c>
      <c r="AD300" s="23">
        <v>2</v>
      </c>
      <c r="AE300" s="30" t="str">
        <f>VLOOKUP(AD300,[2]Key!$E$20:$F$24,2,FALSE)</f>
        <v>300,000-500,000</v>
      </c>
      <c r="AF300" s="23">
        <v>5</v>
      </c>
      <c r="AG300" s="62">
        <v>4</v>
      </c>
      <c r="AH300" s="62">
        <v>5</v>
      </c>
      <c r="AI300" s="62">
        <v>5</v>
      </c>
      <c r="AJ300" s="62">
        <v>5</v>
      </c>
      <c r="AK300" s="45" t="s">
        <v>94</v>
      </c>
      <c r="AL300" s="36">
        <v>1000</v>
      </c>
      <c r="AM300" t="str">
        <f t="shared" si="20"/>
        <v>1000-2000</v>
      </c>
    </row>
    <row r="301" spans="1:39" x14ac:dyDescent="0.2">
      <c r="A301" s="44" t="s">
        <v>355</v>
      </c>
      <c r="B301" s="60">
        <v>0.60347222222222219</v>
      </c>
      <c r="C301" s="60"/>
      <c r="D301" s="60" t="s">
        <v>165</v>
      </c>
      <c r="E301" s="13">
        <v>2</v>
      </c>
      <c r="F301" s="38" t="str">
        <f>VLOOKUP(E301,[2]Key!$A$17:$B$21,2,FALSE)</f>
        <v>Road Vehicle</v>
      </c>
      <c r="G301" s="61">
        <v>4</v>
      </c>
      <c r="H301" s="39" t="str">
        <f>VLOOKUP(G301,[2]Key!$A$2:$B$13,2,FALSE)</f>
        <v>Minibus</v>
      </c>
      <c r="I301" s="13" t="s">
        <v>178</v>
      </c>
      <c r="J301" s="13">
        <v>4</v>
      </c>
      <c r="K301" s="40" t="str">
        <f>VLOOKUP(J301,[2]Key!$A$24:$B$29,2,FALSE)</f>
        <v>50-59</v>
      </c>
      <c r="L301" s="13" t="s">
        <v>356</v>
      </c>
      <c r="M301" s="23" t="s">
        <v>150</v>
      </c>
      <c r="N301" s="13" t="s">
        <v>357</v>
      </c>
      <c r="O301" s="45">
        <v>2</v>
      </c>
      <c r="P301" s="30" t="str">
        <f>VLOOKUP(O301,[2]Key!$E$2:$F$9,2,FALSE)</f>
        <v>Work</v>
      </c>
      <c r="Q301" s="13" t="s">
        <v>397</v>
      </c>
      <c r="R301" s="23" t="s">
        <v>156</v>
      </c>
      <c r="S301" s="13" t="s">
        <v>357</v>
      </c>
      <c r="T301" s="23">
        <v>1</v>
      </c>
      <c r="U301" s="30" t="str">
        <f>VLOOKUP(T301,[2]Key!$E$2:$F$9,2,FALSE)</f>
        <v>Home</v>
      </c>
      <c r="V301" s="30" t="str">
        <f t="shared" si="17"/>
        <v>Work-Home</v>
      </c>
      <c r="W301" s="23">
        <v>2000</v>
      </c>
      <c r="X301" s="62">
        <v>19</v>
      </c>
      <c r="Y301" s="62" t="str">
        <f t="shared" si="18"/>
        <v>10-20</v>
      </c>
      <c r="Z301" s="62">
        <v>0.3</v>
      </c>
      <c r="AA301" s="62" t="str">
        <f t="shared" si="19"/>
        <v>0-0.5</v>
      </c>
      <c r="AB301" s="23">
        <v>6</v>
      </c>
      <c r="AC301" s="30" t="str">
        <f>VLOOKUP(AB301,[2]Key!$C$20:$D$29,2,FALSE)</f>
        <v>Businessman</v>
      </c>
      <c r="AD301" s="23">
        <v>1</v>
      </c>
      <c r="AE301" s="30" t="str">
        <f>VLOOKUP(AD301,[2]Key!$E$20:$F$24,2,FALSE)</f>
        <v>&lt;300,000</v>
      </c>
      <c r="AF301" s="23">
        <v>1</v>
      </c>
      <c r="AG301" s="62">
        <v>1</v>
      </c>
      <c r="AH301" s="62">
        <v>5</v>
      </c>
      <c r="AI301" s="62">
        <v>5</v>
      </c>
      <c r="AJ301" s="62">
        <v>1</v>
      </c>
      <c r="AK301" s="45" t="s">
        <v>94</v>
      </c>
      <c r="AL301" s="36">
        <v>1000</v>
      </c>
      <c r="AM301" t="str">
        <f t="shared" si="20"/>
        <v>1000-2000</v>
      </c>
    </row>
    <row r="302" spans="1:39" x14ac:dyDescent="0.2">
      <c r="A302" s="44" t="s">
        <v>355</v>
      </c>
      <c r="B302" s="60">
        <v>0.49305555555555558</v>
      </c>
      <c r="C302" s="60"/>
      <c r="D302" s="60" t="s">
        <v>165</v>
      </c>
      <c r="E302" s="13">
        <v>2</v>
      </c>
      <c r="F302" s="38" t="str">
        <f>VLOOKUP(E302,[2]Key!$A$17:$B$21,2,FALSE)</f>
        <v>Road Vehicle</v>
      </c>
      <c r="G302" s="61">
        <v>4</v>
      </c>
      <c r="H302" s="39" t="str">
        <f>VLOOKUP(G302,[2]Key!$A$2:$B$13,2,FALSE)</f>
        <v>Minibus</v>
      </c>
      <c r="I302" s="13" t="s">
        <v>178</v>
      </c>
      <c r="J302" s="13">
        <v>4</v>
      </c>
      <c r="K302" s="40" t="str">
        <f>VLOOKUP(J302,[2]Key!$A$24:$B$29,2,FALSE)</f>
        <v>50-59</v>
      </c>
      <c r="L302" s="13" t="s">
        <v>356</v>
      </c>
      <c r="M302" s="23" t="s">
        <v>150</v>
      </c>
      <c r="N302" s="13" t="s">
        <v>357</v>
      </c>
      <c r="O302" s="45">
        <v>2</v>
      </c>
      <c r="P302" s="30" t="str">
        <f>VLOOKUP(O302,[2]Key!$E$2:$F$9,2,FALSE)</f>
        <v>Work</v>
      </c>
      <c r="Q302" s="13" t="s">
        <v>398</v>
      </c>
      <c r="R302" s="23" t="s">
        <v>156</v>
      </c>
      <c r="S302" s="13" t="s">
        <v>357</v>
      </c>
      <c r="T302" s="23">
        <v>2</v>
      </c>
      <c r="U302" s="30" t="str">
        <f>VLOOKUP(T302,[2]Key!$E$2:$F$9,2,FALSE)</f>
        <v>Work</v>
      </c>
      <c r="V302" s="30" t="str">
        <f t="shared" si="17"/>
        <v>Work-Work</v>
      </c>
      <c r="W302" s="41">
        <v>3000</v>
      </c>
      <c r="X302" s="62">
        <v>39</v>
      </c>
      <c r="Y302" s="62" t="str">
        <f t="shared" si="18"/>
        <v>20-40</v>
      </c>
      <c r="Z302" s="62">
        <v>1</v>
      </c>
      <c r="AA302" s="62" t="str">
        <f t="shared" si="19"/>
        <v>1.0-2.0</v>
      </c>
      <c r="AB302" s="23">
        <v>6</v>
      </c>
      <c r="AC302" s="30" t="str">
        <f>VLOOKUP(AB302,[2]Key!$C$20:$D$29,2,FALSE)</f>
        <v>Businessman</v>
      </c>
      <c r="AD302" s="23">
        <v>3</v>
      </c>
      <c r="AE302" s="30" t="str">
        <f>VLOOKUP(AD302,[2]Key!$E$20:$F$24,2,FALSE)</f>
        <v>500,000-750,000</v>
      </c>
      <c r="AF302" s="23">
        <v>1</v>
      </c>
      <c r="AG302" s="62">
        <v>1</v>
      </c>
      <c r="AH302" s="62">
        <v>2</v>
      </c>
      <c r="AI302" s="62">
        <v>2</v>
      </c>
      <c r="AJ302" s="62">
        <v>1</v>
      </c>
      <c r="AK302" s="45" t="s">
        <v>94</v>
      </c>
      <c r="AL302" s="36">
        <v>5000</v>
      </c>
      <c r="AM302" t="str">
        <f t="shared" si="20"/>
        <v>5000-10000</v>
      </c>
    </row>
    <row r="303" spans="1:39" x14ac:dyDescent="0.2">
      <c r="A303" s="44" t="s">
        <v>355</v>
      </c>
      <c r="B303" s="60">
        <v>0.35138888888888892</v>
      </c>
      <c r="C303" s="60"/>
      <c r="D303" s="60" t="s">
        <v>165</v>
      </c>
      <c r="E303" s="13">
        <v>2</v>
      </c>
      <c r="F303" s="38" t="str">
        <f>VLOOKUP(E303,[2]Key!$A$17:$B$21,2,FALSE)</f>
        <v>Road Vehicle</v>
      </c>
      <c r="G303" s="61">
        <v>4</v>
      </c>
      <c r="H303" s="39" t="str">
        <f>VLOOKUP(G303,[2]Key!$A$2:$B$13,2,FALSE)</f>
        <v>Minibus</v>
      </c>
      <c r="I303" s="13" t="s">
        <v>178</v>
      </c>
      <c r="J303" s="13">
        <v>4</v>
      </c>
      <c r="K303" s="40" t="str">
        <f>VLOOKUP(J303,[2]Key!$A$24:$B$29,2,FALSE)</f>
        <v>50-59</v>
      </c>
      <c r="L303" s="13" t="s">
        <v>356</v>
      </c>
      <c r="M303" s="23" t="s">
        <v>150</v>
      </c>
      <c r="N303" s="13" t="s">
        <v>357</v>
      </c>
      <c r="O303" s="45">
        <v>2</v>
      </c>
      <c r="P303" s="30" t="str">
        <f>VLOOKUP(O303,[2]Key!$E$2:$F$9,2,FALSE)</f>
        <v>Work</v>
      </c>
      <c r="Q303" s="13" t="s">
        <v>383</v>
      </c>
      <c r="R303" s="23" t="s">
        <v>380</v>
      </c>
      <c r="S303" s="13" t="s">
        <v>357</v>
      </c>
      <c r="T303" s="23">
        <v>1</v>
      </c>
      <c r="U303" s="30" t="str">
        <f>VLOOKUP(T303,[2]Key!$E$2:$F$9,2,FALSE)</f>
        <v>Home</v>
      </c>
      <c r="V303" s="30" t="str">
        <f t="shared" si="17"/>
        <v>Work-Home</v>
      </c>
      <c r="W303" s="41">
        <v>16000</v>
      </c>
      <c r="X303" s="62">
        <v>106.2</v>
      </c>
      <c r="Y303" s="62" t="str">
        <f t="shared" si="18"/>
        <v>100-200</v>
      </c>
      <c r="Z303" s="62">
        <v>2.5</v>
      </c>
      <c r="AA303" s="62" t="str">
        <f t="shared" si="19"/>
        <v>2.0-3.5</v>
      </c>
      <c r="AB303" s="23">
        <v>6</v>
      </c>
      <c r="AC303" s="30" t="str">
        <f>VLOOKUP(AB303,[2]Key!$C$20:$D$29,2,FALSE)</f>
        <v>Businessman</v>
      </c>
      <c r="AD303" s="23">
        <v>1</v>
      </c>
      <c r="AE303" s="30" t="str">
        <f>VLOOKUP(AD303,[2]Key!$E$20:$F$24,2,FALSE)</f>
        <v>&lt;300,000</v>
      </c>
      <c r="AF303" s="23">
        <v>5</v>
      </c>
      <c r="AG303" s="62">
        <v>1</v>
      </c>
      <c r="AH303" s="62">
        <v>2</v>
      </c>
      <c r="AI303" s="62">
        <v>1</v>
      </c>
      <c r="AJ303" s="62">
        <v>2</v>
      </c>
      <c r="AK303" s="45" t="s">
        <v>94</v>
      </c>
      <c r="AL303" s="36">
        <v>500</v>
      </c>
      <c r="AM303" t="str">
        <f t="shared" si="20"/>
        <v>0-1000</v>
      </c>
    </row>
    <row r="304" spans="1:39" x14ac:dyDescent="0.2">
      <c r="A304" s="44" t="s">
        <v>355</v>
      </c>
      <c r="B304" s="60">
        <v>0.44166666666666665</v>
      </c>
      <c r="C304" s="60"/>
      <c r="D304" s="60" t="s">
        <v>165</v>
      </c>
      <c r="E304" s="13">
        <v>2</v>
      </c>
      <c r="F304" s="38" t="str">
        <f>VLOOKUP(E304,[2]Key!$A$17:$B$21,2,FALSE)</f>
        <v>Road Vehicle</v>
      </c>
      <c r="G304" s="61">
        <v>4</v>
      </c>
      <c r="H304" s="39" t="str">
        <f>VLOOKUP(G304,[2]Key!$A$2:$B$13,2,FALSE)</f>
        <v>Minibus</v>
      </c>
      <c r="I304" s="13" t="s">
        <v>178</v>
      </c>
      <c r="J304" s="13">
        <v>4</v>
      </c>
      <c r="K304" s="40" t="str">
        <f>VLOOKUP(J304,[2]Key!$A$24:$B$29,2,FALSE)</f>
        <v>50-59</v>
      </c>
      <c r="L304" s="13" t="s">
        <v>356</v>
      </c>
      <c r="M304" s="23" t="s">
        <v>150</v>
      </c>
      <c r="N304" s="13" t="s">
        <v>357</v>
      </c>
      <c r="O304" s="45">
        <v>4</v>
      </c>
      <c r="P304" s="30" t="str">
        <f>VLOOKUP(O304,[2]Key!$E$2:$F$9,2,FALSE)</f>
        <v>Commercial</v>
      </c>
      <c r="Q304" s="13" t="s">
        <v>390</v>
      </c>
      <c r="R304" s="23" t="s">
        <v>391</v>
      </c>
      <c r="S304" s="13" t="s">
        <v>357</v>
      </c>
      <c r="T304" s="23">
        <v>1</v>
      </c>
      <c r="U304" s="30" t="str">
        <f>VLOOKUP(T304,[2]Key!$E$2:$F$9,2,FALSE)</f>
        <v>Home</v>
      </c>
      <c r="V304" s="30" t="str">
        <f t="shared" si="17"/>
        <v>Commercial-Home</v>
      </c>
      <c r="W304" s="23">
        <v>300000</v>
      </c>
      <c r="X304" s="62">
        <v>210</v>
      </c>
      <c r="Y304" s="62" t="str">
        <f t="shared" si="18"/>
        <v>Over 200</v>
      </c>
      <c r="Z304" s="62">
        <v>4</v>
      </c>
      <c r="AA304" s="62" t="str">
        <f t="shared" si="19"/>
        <v>Over 3.5</v>
      </c>
      <c r="AB304" s="23">
        <v>6</v>
      </c>
      <c r="AC304" s="30" t="str">
        <f>VLOOKUP(AB304,[2]Key!$C$20:$D$29,2,FALSE)</f>
        <v>Businessman</v>
      </c>
      <c r="AD304" s="23">
        <v>1</v>
      </c>
      <c r="AE304" s="30" t="str">
        <f>VLOOKUP(AD304,[2]Key!$E$20:$F$24,2,FALSE)</f>
        <v>&lt;300,000</v>
      </c>
      <c r="AF304" s="23">
        <v>5</v>
      </c>
      <c r="AG304" s="62">
        <v>1</v>
      </c>
      <c r="AH304" s="62">
        <v>5</v>
      </c>
      <c r="AI304" s="62">
        <v>5</v>
      </c>
      <c r="AJ304" s="62">
        <v>1</v>
      </c>
      <c r="AK304" s="45" t="s">
        <v>94</v>
      </c>
      <c r="AL304" s="36">
        <v>1000</v>
      </c>
      <c r="AM304" t="str">
        <f t="shared" si="20"/>
        <v>1000-2000</v>
      </c>
    </row>
    <row r="305" spans="1:39" x14ac:dyDescent="0.2">
      <c r="A305" s="44" t="s">
        <v>355</v>
      </c>
      <c r="B305" s="60">
        <v>0.67847222222222225</v>
      </c>
      <c r="C305" s="60"/>
      <c r="D305" s="60" t="s">
        <v>165</v>
      </c>
      <c r="E305" s="13">
        <v>2</v>
      </c>
      <c r="F305" s="38" t="str">
        <f>VLOOKUP(E305,[2]Key!$A$17:$B$21,2,FALSE)</f>
        <v>Road Vehicle</v>
      </c>
      <c r="G305" s="61">
        <v>4</v>
      </c>
      <c r="H305" s="39" t="str">
        <f>VLOOKUP(G305,[2]Key!$A$2:$B$13,2,FALSE)</f>
        <v>Minibus</v>
      </c>
      <c r="I305" s="13" t="s">
        <v>178</v>
      </c>
      <c r="J305" s="13">
        <v>5</v>
      </c>
      <c r="K305" s="40" t="str">
        <f>VLOOKUP(J305,[2]Key!$A$24:$B$29,2,FALSE)</f>
        <v>60-69</v>
      </c>
      <c r="L305" s="13" t="s">
        <v>356</v>
      </c>
      <c r="M305" s="23" t="s">
        <v>150</v>
      </c>
      <c r="N305" s="13" t="s">
        <v>357</v>
      </c>
      <c r="O305" s="45">
        <v>2</v>
      </c>
      <c r="P305" s="30" t="str">
        <f>VLOOKUP(O305,[2]Key!$E$2:$F$9,2,FALSE)</f>
        <v>Work</v>
      </c>
      <c r="Q305" s="13" t="s">
        <v>399</v>
      </c>
      <c r="R305" s="23" t="s">
        <v>150</v>
      </c>
      <c r="S305" s="13" t="s">
        <v>357</v>
      </c>
      <c r="T305" s="23">
        <v>1</v>
      </c>
      <c r="U305" s="30" t="s">
        <v>65</v>
      </c>
      <c r="V305" s="30" t="str">
        <f t="shared" si="17"/>
        <v>Work-Work</v>
      </c>
      <c r="W305" s="23">
        <v>3000</v>
      </c>
      <c r="X305" s="62">
        <v>17</v>
      </c>
      <c r="Y305" s="62" t="str">
        <f t="shared" si="18"/>
        <v>10-20</v>
      </c>
      <c r="Z305" s="62">
        <v>0.3</v>
      </c>
      <c r="AA305" s="62" t="str">
        <f t="shared" si="19"/>
        <v>0-0.5</v>
      </c>
      <c r="AB305" s="23">
        <v>4</v>
      </c>
      <c r="AC305" s="30" t="str">
        <f>VLOOKUP(AB305,[2]Key!$C$20:$D$29,2,FALSE)</f>
        <v>Office Worker</v>
      </c>
      <c r="AD305" s="23">
        <v>1</v>
      </c>
      <c r="AE305" s="30" t="str">
        <f>VLOOKUP(AD305,[2]Key!$E$20:$F$24,2,FALSE)</f>
        <v>&lt;300,000</v>
      </c>
      <c r="AF305" s="23">
        <v>1</v>
      </c>
      <c r="AG305" s="62">
        <v>1</v>
      </c>
      <c r="AH305" s="62">
        <v>1</v>
      </c>
      <c r="AI305" s="62">
        <v>1</v>
      </c>
      <c r="AJ305" s="62">
        <v>1</v>
      </c>
      <c r="AK305" s="45" t="s">
        <v>94</v>
      </c>
      <c r="AL305" s="36">
        <v>500</v>
      </c>
      <c r="AM305" t="str">
        <f t="shared" si="20"/>
        <v>0-1000</v>
      </c>
    </row>
    <row r="306" spans="1:39" x14ac:dyDescent="0.2">
      <c r="A306" s="44" t="s">
        <v>355</v>
      </c>
      <c r="B306" s="60">
        <v>0.76041666666666663</v>
      </c>
      <c r="C306" s="60"/>
      <c r="D306" s="60" t="s">
        <v>165</v>
      </c>
      <c r="E306" s="13">
        <v>2</v>
      </c>
      <c r="F306" s="38" t="str">
        <f>VLOOKUP(E306,[2]Key!$A$17:$B$21,2,FALSE)</f>
        <v>Road Vehicle</v>
      </c>
      <c r="G306" s="61">
        <v>4</v>
      </c>
      <c r="H306" s="39" t="str">
        <f>VLOOKUP(G306,[2]Key!$A$2:$B$13,2,FALSE)</f>
        <v>Minibus</v>
      </c>
      <c r="I306" s="13" t="s">
        <v>178</v>
      </c>
      <c r="J306" s="13">
        <v>5</v>
      </c>
      <c r="K306" s="40" t="str">
        <f>VLOOKUP(J306,[2]Key!$A$24:$B$29,2,FALSE)</f>
        <v>60-69</v>
      </c>
      <c r="L306" s="13" t="s">
        <v>356</v>
      </c>
      <c r="M306" s="23" t="s">
        <v>150</v>
      </c>
      <c r="N306" s="13" t="s">
        <v>357</v>
      </c>
      <c r="O306" s="45">
        <v>2</v>
      </c>
      <c r="P306" s="30" t="str">
        <f>VLOOKUP(O306,[2]Key!$E$2:$F$9,2,FALSE)</f>
        <v>Work</v>
      </c>
      <c r="Q306" s="13" t="s">
        <v>400</v>
      </c>
      <c r="R306" s="23" t="s">
        <v>156</v>
      </c>
      <c r="S306" s="13" t="s">
        <v>357</v>
      </c>
      <c r="T306" s="23">
        <v>1</v>
      </c>
      <c r="U306" s="30" t="str">
        <f>VLOOKUP(T306,[2]Key!$E$2:$F$9,2,FALSE)</f>
        <v>Home</v>
      </c>
      <c r="V306" s="30" t="str">
        <f t="shared" si="17"/>
        <v>Work-Home</v>
      </c>
      <c r="W306" s="23">
        <v>2000</v>
      </c>
      <c r="X306" s="62">
        <v>20</v>
      </c>
      <c r="Y306" s="62" t="str">
        <f t="shared" si="18"/>
        <v>20-40</v>
      </c>
      <c r="Z306" s="62">
        <v>0.8</v>
      </c>
      <c r="AA306" s="62" t="str">
        <f t="shared" si="19"/>
        <v>0.5-1.0</v>
      </c>
      <c r="AB306" s="23">
        <v>4</v>
      </c>
      <c r="AC306" s="30" t="str">
        <f>VLOOKUP(AB306,[2]Key!$C$20:$D$29,2,FALSE)</f>
        <v>Office Worker</v>
      </c>
      <c r="AD306" s="23">
        <v>4</v>
      </c>
      <c r="AE306" s="30" t="str">
        <f>VLOOKUP(AD306,[2]Key!$E$20:$F$24,2,FALSE)</f>
        <v>750,000-1,000,000</v>
      </c>
      <c r="AF306" s="23">
        <v>1</v>
      </c>
      <c r="AG306" s="62">
        <v>2</v>
      </c>
      <c r="AH306" s="62">
        <v>1</v>
      </c>
      <c r="AI306" s="62">
        <v>2</v>
      </c>
      <c r="AJ306" s="62">
        <v>1</v>
      </c>
      <c r="AK306" s="45" t="s">
        <v>94</v>
      </c>
      <c r="AL306" s="36">
        <v>5000</v>
      </c>
      <c r="AM306" t="str">
        <f t="shared" si="20"/>
        <v>5000-10000</v>
      </c>
    </row>
    <row r="307" spans="1:39" x14ac:dyDescent="0.2">
      <c r="A307" s="44" t="s">
        <v>355</v>
      </c>
      <c r="B307" s="60">
        <v>0.78680555555555554</v>
      </c>
      <c r="C307" s="60"/>
      <c r="D307" s="60" t="s">
        <v>165</v>
      </c>
      <c r="E307" s="13">
        <v>2</v>
      </c>
      <c r="F307" s="38" t="str">
        <f>VLOOKUP(E307,[2]Key!$A$17:$B$21,2,FALSE)</f>
        <v>Road Vehicle</v>
      </c>
      <c r="G307" s="61">
        <v>4</v>
      </c>
      <c r="H307" s="39" t="str">
        <f>VLOOKUP(G307,[2]Key!$A$2:$B$13,2,FALSE)</f>
        <v>Minibus</v>
      </c>
      <c r="I307" s="13" t="s">
        <v>178</v>
      </c>
      <c r="J307" s="13">
        <v>5</v>
      </c>
      <c r="K307" s="40" t="s">
        <v>115</v>
      </c>
      <c r="L307" s="13" t="s">
        <v>356</v>
      </c>
      <c r="M307" s="23" t="s">
        <v>150</v>
      </c>
      <c r="N307" s="13" t="s">
        <v>357</v>
      </c>
      <c r="O307" s="45">
        <v>2</v>
      </c>
      <c r="P307" s="30" t="str">
        <f>VLOOKUP(O307,[2]Key!$E$2:$F$9,2,FALSE)</f>
        <v>Work</v>
      </c>
      <c r="Q307" s="13" t="s">
        <v>397</v>
      </c>
      <c r="R307" s="23" t="s">
        <v>156</v>
      </c>
      <c r="S307" s="13" t="s">
        <v>357</v>
      </c>
      <c r="T307" s="23">
        <v>1</v>
      </c>
      <c r="U307" s="30" t="str">
        <f>VLOOKUP(T307,[2]Key!$E$2:$F$9,2,FALSE)</f>
        <v>Home</v>
      </c>
      <c r="V307" s="30" t="str">
        <f t="shared" si="17"/>
        <v>Work-Home</v>
      </c>
      <c r="W307" s="23">
        <v>2500</v>
      </c>
      <c r="X307" s="62">
        <v>10</v>
      </c>
      <c r="Y307" s="62" t="str">
        <f t="shared" si="18"/>
        <v>10-20</v>
      </c>
      <c r="Z307" s="62">
        <v>0.8</v>
      </c>
      <c r="AA307" s="62" t="str">
        <f t="shared" si="19"/>
        <v>0.5-1.0</v>
      </c>
      <c r="AB307" s="23">
        <v>6</v>
      </c>
      <c r="AC307" s="30" t="str">
        <f>VLOOKUP(AB307,[2]Key!$C$20:$D$29,2,FALSE)</f>
        <v>Businessman</v>
      </c>
      <c r="AD307" s="23">
        <v>3</v>
      </c>
      <c r="AE307" s="30" t="str">
        <f>VLOOKUP(AD307,[2]Key!$E$20:$F$24,2,FALSE)</f>
        <v>500,000-750,000</v>
      </c>
      <c r="AF307" s="23">
        <v>1</v>
      </c>
      <c r="AG307" s="62">
        <v>1</v>
      </c>
      <c r="AH307" s="62">
        <v>1</v>
      </c>
      <c r="AI307" s="62">
        <v>1</v>
      </c>
      <c r="AJ307" s="62">
        <v>2</v>
      </c>
      <c r="AK307" s="45" t="s">
        <v>94</v>
      </c>
      <c r="AL307" s="36">
        <v>1000</v>
      </c>
      <c r="AM307" t="str">
        <f t="shared" si="20"/>
        <v>1000-2000</v>
      </c>
    </row>
    <row r="308" spans="1:39" x14ac:dyDescent="0.2">
      <c r="A308" s="44" t="s">
        <v>355</v>
      </c>
      <c r="B308" s="60">
        <v>0.7402777777777777</v>
      </c>
      <c r="C308" s="60"/>
      <c r="D308" s="60" t="s">
        <v>165</v>
      </c>
      <c r="E308" s="13">
        <v>2</v>
      </c>
      <c r="F308" s="38" t="str">
        <f>VLOOKUP(E308,[2]Key!$A$17:$B$21,2,FALSE)</f>
        <v>Road Vehicle</v>
      </c>
      <c r="G308" s="61">
        <v>4</v>
      </c>
      <c r="H308" s="39" t="str">
        <f>VLOOKUP(G308,[2]Key!$A$2:$B$13,2,FALSE)</f>
        <v>Minibus</v>
      </c>
      <c r="I308" s="13" t="s">
        <v>178</v>
      </c>
      <c r="J308" s="13">
        <v>5</v>
      </c>
      <c r="K308" s="40" t="str">
        <f>VLOOKUP(J308,[2]Key!$A$24:$B$29,2,FALSE)</f>
        <v>60-69</v>
      </c>
      <c r="L308" s="13" t="s">
        <v>356</v>
      </c>
      <c r="M308" s="23" t="s">
        <v>150</v>
      </c>
      <c r="N308" s="13" t="s">
        <v>357</v>
      </c>
      <c r="O308" s="45">
        <v>2</v>
      </c>
      <c r="P308" s="30" t="s">
        <v>65</v>
      </c>
      <c r="Q308" s="13" t="s">
        <v>401</v>
      </c>
      <c r="R308" s="23" t="s">
        <v>156</v>
      </c>
      <c r="S308" s="13" t="s">
        <v>357</v>
      </c>
      <c r="T308" s="23">
        <v>1</v>
      </c>
      <c r="U308" s="30" t="str">
        <f>VLOOKUP(T308,[2]Key!$E$2:$F$9,2,FALSE)</f>
        <v>Home</v>
      </c>
      <c r="V308" s="30" t="str">
        <f t="shared" si="17"/>
        <v>Work-Home</v>
      </c>
      <c r="W308" s="23">
        <v>2000</v>
      </c>
      <c r="X308" s="62">
        <v>25</v>
      </c>
      <c r="Y308" s="62" t="str">
        <f t="shared" si="18"/>
        <v>20-40</v>
      </c>
      <c r="Z308" s="62">
        <v>1</v>
      </c>
      <c r="AA308" s="62" t="str">
        <f t="shared" si="19"/>
        <v>1.0-2.0</v>
      </c>
      <c r="AB308" s="23">
        <v>6</v>
      </c>
      <c r="AC308" s="30" t="str">
        <f>VLOOKUP(AB308,[2]Key!$C$20:$D$29,2,FALSE)</f>
        <v>Businessman</v>
      </c>
      <c r="AD308" s="23">
        <v>2</v>
      </c>
      <c r="AE308" s="30" t="str">
        <f>VLOOKUP(AD308,[2]Key!$E$20:$F$24,2,FALSE)</f>
        <v>300,000-500,000</v>
      </c>
      <c r="AF308" s="23">
        <v>1</v>
      </c>
      <c r="AG308" s="62">
        <v>1</v>
      </c>
      <c r="AH308" s="62">
        <v>1</v>
      </c>
      <c r="AI308" s="62">
        <v>1</v>
      </c>
      <c r="AJ308" s="62">
        <v>1</v>
      </c>
      <c r="AK308" s="45" t="s">
        <v>94</v>
      </c>
      <c r="AL308" s="36">
        <v>1000</v>
      </c>
      <c r="AM308" t="str">
        <f t="shared" si="20"/>
        <v>1000-2000</v>
      </c>
    </row>
    <row r="309" spans="1:39" x14ac:dyDescent="0.2">
      <c r="A309" s="44" t="s">
        <v>355</v>
      </c>
      <c r="B309" s="60">
        <v>0.65763888888888888</v>
      </c>
      <c r="C309" s="60"/>
      <c r="D309" s="60" t="s">
        <v>165</v>
      </c>
      <c r="E309" s="13">
        <v>2</v>
      </c>
      <c r="F309" s="38" t="str">
        <f>VLOOKUP(E309,[2]Key!$A$17:$B$21,2,FALSE)</f>
        <v>Road Vehicle</v>
      </c>
      <c r="G309" s="61">
        <v>4</v>
      </c>
      <c r="H309" s="39" t="str">
        <f>VLOOKUP(G309,[2]Key!$A$2:$B$13,2,FALSE)</f>
        <v>Minibus</v>
      </c>
      <c r="I309" s="13" t="s">
        <v>108</v>
      </c>
      <c r="J309" s="13">
        <v>1</v>
      </c>
      <c r="K309" s="40" t="str">
        <f>VLOOKUP(J309,[2]Key!$A$24:$B$29,2,FALSE)</f>
        <v>20-29</v>
      </c>
      <c r="L309" s="13" t="s">
        <v>218</v>
      </c>
      <c r="M309" s="23" t="s">
        <v>150</v>
      </c>
      <c r="N309" s="13" t="s">
        <v>357</v>
      </c>
      <c r="O309" s="45">
        <v>4</v>
      </c>
      <c r="P309" s="30" t="str">
        <f>VLOOKUP(O309,[2]Key!$E$2:$F$9,2,FALSE)</f>
        <v>Commercial</v>
      </c>
      <c r="Q309" s="13" t="s">
        <v>236</v>
      </c>
      <c r="R309" s="23" t="s">
        <v>150</v>
      </c>
      <c r="S309" s="13" t="s">
        <v>357</v>
      </c>
      <c r="T309" s="23">
        <v>4</v>
      </c>
      <c r="U309" s="30" t="str">
        <f>VLOOKUP(T309,[2]Key!$E$2:$F$9,2,FALSE)</f>
        <v>Commercial</v>
      </c>
      <c r="V309" s="30" t="str">
        <f t="shared" si="17"/>
        <v>Commercial-Commercial</v>
      </c>
      <c r="W309" s="23">
        <v>1500</v>
      </c>
      <c r="X309" s="62">
        <v>12</v>
      </c>
      <c r="Y309" s="62" t="str">
        <f t="shared" si="18"/>
        <v>10-20</v>
      </c>
      <c r="Z309" s="62">
        <v>0.3</v>
      </c>
      <c r="AA309" s="62" t="str">
        <f t="shared" si="19"/>
        <v>0-0.5</v>
      </c>
      <c r="AB309" s="23">
        <v>8</v>
      </c>
      <c r="AC309" s="30" t="str">
        <f>VLOOKUP(AB309,[2]Key!$C$20:$D$29,2,FALSE)</f>
        <v>Student</v>
      </c>
      <c r="AD309" s="23">
        <v>1</v>
      </c>
      <c r="AE309" s="30" t="str">
        <f>VLOOKUP(AD309,[2]Key!$E$20:$F$24,2,FALSE)</f>
        <v>&lt;300,000</v>
      </c>
      <c r="AF309" s="23">
        <v>1</v>
      </c>
      <c r="AG309" s="62">
        <v>2</v>
      </c>
      <c r="AH309" s="62">
        <v>1</v>
      </c>
      <c r="AI309" s="62">
        <v>1</v>
      </c>
      <c r="AJ309" s="62">
        <v>2</v>
      </c>
      <c r="AK309" s="45" t="s">
        <v>94</v>
      </c>
      <c r="AL309" s="36"/>
      <c r="AM309" t="str">
        <f t="shared" si="20"/>
        <v>0-1000</v>
      </c>
    </row>
    <row r="310" spans="1:39" x14ac:dyDescent="0.2">
      <c r="A310" s="44" t="s">
        <v>355</v>
      </c>
      <c r="B310" s="60">
        <v>0.41250000000000003</v>
      </c>
      <c r="C310" s="60"/>
      <c r="D310" s="60" t="s">
        <v>165</v>
      </c>
      <c r="E310" s="13">
        <v>2</v>
      </c>
      <c r="F310" s="38" t="str">
        <f>VLOOKUP(E310,[2]Key!$A$17:$B$21,2,FALSE)</f>
        <v>Road Vehicle</v>
      </c>
      <c r="G310" s="61">
        <v>4</v>
      </c>
      <c r="H310" s="39" t="str">
        <f>VLOOKUP(G310,[2]Key!$A$2:$B$13,2,FALSE)</f>
        <v>Minibus</v>
      </c>
      <c r="I310" s="13" t="s">
        <v>108</v>
      </c>
      <c r="J310" s="13">
        <v>1</v>
      </c>
      <c r="K310" s="40" t="str">
        <f>VLOOKUP(J310,[2]Key!$A$24:$B$29,2,FALSE)</f>
        <v>20-29</v>
      </c>
      <c r="L310" s="13"/>
      <c r="M310" s="23"/>
      <c r="N310" s="13" t="s">
        <v>357</v>
      </c>
      <c r="O310" s="45">
        <v>4</v>
      </c>
      <c r="P310" s="30" t="str">
        <f>VLOOKUP(O310,[2]Key!$E$2:$F$9,2,FALSE)</f>
        <v>Commercial</v>
      </c>
      <c r="Q310" s="13"/>
      <c r="R310" s="23"/>
      <c r="S310" s="13" t="s">
        <v>357</v>
      </c>
      <c r="T310" s="23">
        <v>1</v>
      </c>
      <c r="U310" s="30" t="str">
        <f>VLOOKUP(T310,[2]Key!$E$2:$F$9,2,FALSE)</f>
        <v>Home</v>
      </c>
      <c r="V310" s="30" t="str">
        <f t="shared" si="17"/>
        <v>Commercial-Home</v>
      </c>
      <c r="W310" s="23"/>
      <c r="X310" s="62"/>
      <c r="Y310" s="62" t="str">
        <f t="shared" si="18"/>
        <v>0-10</v>
      </c>
      <c r="Z310" s="62"/>
      <c r="AA310" s="62" t="str">
        <f t="shared" si="19"/>
        <v>0-0.5</v>
      </c>
      <c r="AB310" s="23">
        <v>1</v>
      </c>
      <c r="AC310" s="30" t="str">
        <f>VLOOKUP(AB310,[2]Key!$C$20:$D$29,2,FALSE)</f>
        <v>Unemployed</v>
      </c>
      <c r="AD310" s="23">
        <v>1</v>
      </c>
      <c r="AE310" s="30" t="str">
        <f>VLOOKUP(AD310,[2]Key!$E$20:$F$24,2,FALSE)</f>
        <v>&lt;300,000</v>
      </c>
      <c r="AF310" s="23">
        <v>1</v>
      </c>
      <c r="AG310" s="62">
        <v>1</v>
      </c>
      <c r="AH310" s="62">
        <v>2</v>
      </c>
      <c r="AI310" s="62">
        <v>2</v>
      </c>
      <c r="AJ310" s="62">
        <v>1</v>
      </c>
      <c r="AK310" s="45" t="s">
        <v>94</v>
      </c>
      <c r="AL310" s="36">
        <v>500</v>
      </c>
      <c r="AM310" t="str">
        <f t="shared" si="20"/>
        <v>0-1000</v>
      </c>
    </row>
    <row r="311" spans="1:39" x14ac:dyDescent="0.2">
      <c r="A311" s="44" t="s">
        <v>355</v>
      </c>
      <c r="B311" s="60">
        <v>0.76527777777777783</v>
      </c>
      <c r="C311" s="60"/>
      <c r="D311" s="60" t="s">
        <v>165</v>
      </c>
      <c r="E311" s="13">
        <v>2</v>
      </c>
      <c r="F311" s="38" t="str">
        <f>VLOOKUP(E311,[2]Key!$A$17:$B$21,2,FALSE)</f>
        <v>Road Vehicle</v>
      </c>
      <c r="G311" s="61">
        <v>4</v>
      </c>
      <c r="H311" s="39" t="str">
        <f>VLOOKUP(G311,[2]Key!$A$2:$B$13,2,FALSE)</f>
        <v>Minibus</v>
      </c>
      <c r="I311" s="13" t="s">
        <v>108</v>
      </c>
      <c r="J311" s="13">
        <v>2</v>
      </c>
      <c r="K311" s="40" t="str">
        <f>VLOOKUP(J311,[2]Key!$A$24:$B$29,2,FALSE)</f>
        <v>30-39</v>
      </c>
      <c r="L311" s="13" t="s">
        <v>356</v>
      </c>
      <c r="M311" s="23" t="s">
        <v>150</v>
      </c>
      <c r="N311" s="13" t="s">
        <v>357</v>
      </c>
      <c r="O311" s="45">
        <v>2</v>
      </c>
      <c r="P311" s="30" t="str">
        <f>VLOOKUP(O311,[2]Key!$E$2:$F$9,2,FALSE)</f>
        <v>Work</v>
      </c>
      <c r="Q311" s="13" t="s">
        <v>307</v>
      </c>
      <c r="R311" s="23" t="s">
        <v>150</v>
      </c>
      <c r="S311" s="13" t="s">
        <v>357</v>
      </c>
      <c r="T311" s="23">
        <v>2</v>
      </c>
      <c r="U311" s="30" t="str">
        <f>VLOOKUP(T311,[2]Key!$E$2:$F$9,2,FALSE)</f>
        <v>Work</v>
      </c>
      <c r="V311" s="30" t="str">
        <f t="shared" si="17"/>
        <v>Work-Work</v>
      </c>
      <c r="W311" s="23">
        <v>1000</v>
      </c>
      <c r="X311" s="62">
        <v>2</v>
      </c>
      <c r="Y311" s="62" t="str">
        <f t="shared" si="18"/>
        <v>0-10</v>
      </c>
      <c r="Z311" s="62">
        <v>0.2</v>
      </c>
      <c r="AA311" s="62" t="str">
        <f t="shared" si="19"/>
        <v>0-0.5</v>
      </c>
      <c r="AB311" s="23">
        <v>4</v>
      </c>
      <c r="AC311" s="30" t="str">
        <f>VLOOKUP(AB311,[2]Key!$C$20:$D$29,2,FALSE)</f>
        <v>Office Worker</v>
      </c>
      <c r="AD311" s="23">
        <v>3</v>
      </c>
      <c r="AE311" s="30" t="str">
        <f>VLOOKUP(AD311,[2]Key!$E$20:$F$24,2,FALSE)</f>
        <v>500,000-750,000</v>
      </c>
      <c r="AF311" s="23">
        <v>5</v>
      </c>
      <c r="AG311" s="62">
        <v>2</v>
      </c>
      <c r="AH311" s="62">
        <v>1</v>
      </c>
      <c r="AI311" s="62">
        <v>2</v>
      </c>
      <c r="AJ311" s="62">
        <v>1</v>
      </c>
      <c r="AK311" s="45" t="s">
        <v>94</v>
      </c>
      <c r="AL311" s="36">
        <v>1000</v>
      </c>
      <c r="AM311" t="str">
        <f t="shared" si="20"/>
        <v>1000-2000</v>
      </c>
    </row>
    <row r="312" spans="1:39" x14ac:dyDescent="0.2">
      <c r="A312" s="44" t="s">
        <v>355</v>
      </c>
      <c r="B312" s="60">
        <v>0.70694444444444438</v>
      </c>
      <c r="C312" s="60"/>
      <c r="D312" s="60" t="s">
        <v>165</v>
      </c>
      <c r="E312" s="13">
        <v>2</v>
      </c>
      <c r="F312" s="38" t="str">
        <f>VLOOKUP(E312,[2]Key!$A$17:$B$21,2,FALSE)</f>
        <v>Road Vehicle</v>
      </c>
      <c r="G312" s="61">
        <v>4</v>
      </c>
      <c r="H312" s="39" t="str">
        <f>VLOOKUP(G312,[2]Key!$A$2:$B$13,2,FALSE)</f>
        <v>Minibus</v>
      </c>
      <c r="I312" s="13" t="s">
        <v>108</v>
      </c>
      <c r="J312" s="13">
        <v>2</v>
      </c>
      <c r="K312" s="40" t="str">
        <f>VLOOKUP(J312,[2]Key!$A$24:$B$29,2,FALSE)</f>
        <v>30-39</v>
      </c>
      <c r="L312" s="13" t="s">
        <v>356</v>
      </c>
      <c r="M312" s="23" t="s">
        <v>150</v>
      </c>
      <c r="N312" s="13" t="s">
        <v>357</v>
      </c>
      <c r="O312" s="45">
        <v>2</v>
      </c>
      <c r="P312" s="30" t="str">
        <f>VLOOKUP(O312,[2]Key!$E$2:$F$9,2,FALSE)</f>
        <v>Work</v>
      </c>
      <c r="Q312" s="13" t="s">
        <v>213</v>
      </c>
      <c r="R312" s="23" t="s">
        <v>150</v>
      </c>
      <c r="S312" s="13" t="s">
        <v>357</v>
      </c>
      <c r="T312" s="23">
        <v>2</v>
      </c>
      <c r="U312" s="30" t="str">
        <f>VLOOKUP(T312,[2]Key!$E$2:$F$9,2,FALSE)</f>
        <v>Work</v>
      </c>
      <c r="V312" s="30" t="str">
        <f t="shared" si="17"/>
        <v>Work-Work</v>
      </c>
      <c r="W312" s="23">
        <v>1500</v>
      </c>
      <c r="X312" s="62">
        <v>5</v>
      </c>
      <c r="Y312" s="62" t="str">
        <f t="shared" si="18"/>
        <v>0-10</v>
      </c>
      <c r="Z312" s="62">
        <v>0.3</v>
      </c>
      <c r="AA312" s="62" t="str">
        <f t="shared" si="19"/>
        <v>0-0.5</v>
      </c>
      <c r="AB312" s="23">
        <v>6</v>
      </c>
      <c r="AC312" s="30" t="str">
        <f>VLOOKUP(AB312,[2]Key!$C$20:$D$29,2,FALSE)</f>
        <v>Businessman</v>
      </c>
      <c r="AD312" s="23">
        <v>4</v>
      </c>
      <c r="AE312" s="30" t="str">
        <f>VLOOKUP(AD312,[2]Key!$E$20:$F$24,2,FALSE)</f>
        <v>750,000-1,000,000</v>
      </c>
      <c r="AF312" s="23">
        <v>1</v>
      </c>
      <c r="AG312" s="62">
        <v>2</v>
      </c>
      <c r="AH312" s="62">
        <v>1</v>
      </c>
      <c r="AI312" s="62">
        <v>2</v>
      </c>
      <c r="AJ312" s="62">
        <v>1</v>
      </c>
      <c r="AK312" s="45" t="s">
        <v>94</v>
      </c>
      <c r="AL312" s="36">
        <v>1000</v>
      </c>
      <c r="AM312" t="str">
        <f t="shared" si="20"/>
        <v>1000-2000</v>
      </c>
    </row>
    <row r="313" spans="1:39" x14ac:dyDescent="0.2">
      <c r="A313" s="44" t="s">
        <v>355</v>
      </c>
      <c r="B313" s="60">
        <v>0.36180555555555555</v>
      </c>
      <c r="C313" s="60"/>
      <c r="D313" s="60" t="s">
        <v>165</v>
      </c>
      <c r="E313" s="13">
        <v>2</v>
      </c>
      <c r="F313" s="38" t="str">
        <f>VLOOKUP(E313,[2]Key!$A$17:$B$21,2,FALSE)</f>
        <v>Road Vehicle</v>
      </c>
      <c r="G313" s="61">
        <v>4</v>
      </c>
      <c r="H313" s="39" t="str">
        <f>VLOOKUP(G313,[2]Key!$A$2:$B$13,2,FALSE)</f>
        <v>Minibus</v>
      </c>
      <c r="I313" s="13" t="s">
        <v>108</v>
      </c>
      <c r="J313" s="13">
        <v>2</v>
      </c>
      <c r="K313" s="40" t="str">
        <f>VLOOKUP(J313,[2]Key!$A$24:$B$29,2,FALSE)</f>
        <v>30-39</v>
      </c>
      <c r="L313" s="13" t="s">
        <v>356</v>
      </c>
      <c r="M313" s="23" t="s">
        <v>150</v>
      </c>
      <c r="N313" s="13" t="s">
        <v>357</v>
      </c>
      <c r="O313" s="45">
        <v>1</v>
      </c>
      <c r="P313" s="30" t="str">
        <f>VLOOKUP(O313,[2]Key!$E$2:$F$9,2,FALSE)</f>
        <v>Home</v>
      </c>
      <c r="Q313" s="13" t="s">
        <v>240</v>
      </c>
      <c r="R313" s="23" t="s">
        <v>150</v>
      </c>
      <c r="S313" s="13" t="s">
        <v>357</v>
      </c>
      <c r="T313" s="23">
        <v>2</v>
      </c>
      <c r="U313" s="30" t="str">
        <f>VLOOKUP(T313,[2]Key!$E$2:$F$9,2,FALSE)</f>
        <v>Work</v>
      </c>
      <c r="V313" s="30" t="str">
        <f t="shared" si="17"/>
        <v>Home-Work</v>
      </c>
      <c r="W313" s="23">
        <v>1500</v>
      </c>
      <c r="X313" s="62">
        <v>21</v>
      </c>
      <c r="Y313" s="62" t="str">
        <f t="shared" si="18"/>
        <v>20-40</v>
      </c>
      <c r="Z313" s="62">
        <v>0.3</v>
      </c>
      <c r="AA313" s="62" t="str">
        <f t="shared" si="19"/>
        <v>0-0.5</v>
      </c>
      <c r="AB313" s="23">
        <v>4</v>
      </c>
      <c r="AC313" s="30" t="str">
        <f>VLOOKUP(AB313,[2]Key!$C$20:$D$29,2,FALSE)</f>
        <v>Office Worker</v>
      </c>
      <c r="AD313" s="23">
        <v>1</v>
      </c>
      <c r="AE313" s="30" t="str">
        <f>VLOOKUP(AD313,[2]Key!$E$20:$F$24,2,FALSE)</f>
        <v>&lt;300,000</v>
      </c>
      <c r="AF313" s="23">
        <v>5</v>
      </c>
      <c r="AG313" s="62">
        <v>5</v>
      </c>
      <c r="AH313" s="62">
        <v>5</v>
      </c>
      <c r="AI313" s="62">
        <v>1</v>
      </c>
      <c r="AJ313" s="62">
        <v>5</v>
      </c>
      <c r="AK313" s="45" t="s">
        <v>94</v>
      </c>
      <c r="AL313" s="36">
        <v>1000</v>
      </c>
      <c r="AM313" t="str">
        <f t="shared" si="20"/>
        <v>1000-2000</v>
      </c>
    </row>
    <row r="314" spans="1:39" x14ac:dyDescent="0.2">
      <c r="A314" s="44" t="s">
        <v>355</v>
      </c>
      <c r="B314" s="60" t="s">
        <v>402</v>
      </c>
      <c r="C314" s="60"/>
      <c r="D314" s="60" t="s">
        <v>165</v>
      </c>
      <c r="E314" s="13">
        <v>2</v>
      </c>
      <c r="F314" s="38" t="str">
        <f>VLOOKUP(E314,[2]Key!$A$17:$B$21,2,FALSE)</f>
        <v>Road Vehicle</v>
      </c>
      <c r="G314" s="61">
        <v>4</v>
      </c>
      <c r="H314" s="39" t="str">
        <f>VLOOKUP(G314,[2]Key!$A$2:$B$13,2,FALSE)</f>
        <v>Minibus</v>
      </c>
      <c r="I314" s="13" t="s">
        <v>108</v>
      </c>
      <c r="J314" s="13">
        <v>2</v>
      </c>
      <c r="K314" s="40" t="str">
        <f>VLOOKUP(J314,[2]Key!$A$24:$B$29,2,FALSE)</f>
        <v>30-39</v>
      </c>
      <c r="L314" s="13" t="s">
        <v>236</v>
      </c>
      <c r="M314" s="23" t="s">
        <v>150</v>
      </c>
      <c r="N314" s="13" t="s">
        <v>357</v>
      </c>
      <c r="O314" s="45">
        <v>1</v>
      </c>
      <c r="P314" s="30" t="str">
        <f>VLOOKUP(O314,[2]Key!$E$2:$F$9,2,FALSE)</f>
        <v>Home</v>
      </c>
      <c r="Q314" s="13" t="s">
        <v>363</v>
      </c>
      <c r="R314" s="23" t="s">
        <v>150</v>
      </c>
      <c r="S314" s="13" t="s">
        <v>357</v>
      </c>
      <c r="T314" s="23">
        <v>4</v>
      </c>
      <c r="U314" s="30" t="str">
        <f>VLOOKUP(T314,[2]Key!$E$2:$F$9,2,FALSE)</f>
        <v>Commercial</v>
      </c>
      <c r="V314" s="30" t="str">
        <f t="shared" si="17"/>
        <v>Home-Commercial</v>
      </c>
      <c r="W314" s="23">
        <v>1000</v>
      </c>
      <c r="X314" s="62">
        <v>15</v>
      </c>
      <c r="Y314" s="62" t="str">
        <f t="shared" si="18"/>
        <v>10-20</v>
      </c>
      <c r="Z314" s="62">
        <v>0.3</v>
      </c>
      <c r="AA314" s="62" t="str">
        <f t="shared" si="19"/>
        <v>0-0.5</v>
      </c>
      <c r="AB314" s="23">
        <v>6</v>
      </c>
      <c r="AC314" s="30" t="str">
        <f>VLOOKUP(AB314,[2]Key!$C$20:$D$29,2,FALSE)</f>
        <v>Businessman</v>
      </c>
      <c r="AD314" s="23">
        <v>1</v>
      </c>
      <c r="AE314" s="30" t="str">
        <f>VLOOKUP(AD314,[2]Key!$E$20:$F$24,2,FALSE)</f>
        <v>&lt;300,000</v>
      </c>
      <c r="AF314" s="23">
        <v>4</v>
      </c>
      <c r="AG314" s="62">
        <v>2</v>
      </c>
      <c r="AH314" s="62">
        <v>1</v>
      </c>
      <c r="AI314" s="62">
        <v>1</v>
      </c>
      <c r="AJ314" s="62">
        <v>3</v>
      </c>
      <c r="AK314" s="45" t="s">
        <v>94</v>
      </c>
      <c r="AL314" s="36">
        <v>1000</v>
      </c>
      <c r="AM314" t="str">
        <f t="shared" si="20"/>
        <v>1000-2000</v>
      </c>
    </row>
    <row r="315" spans="1:39" x14ac:dyDescent="0.2">
      <c r="A315" s="44" t="s">
        <v>355</v>
      </c>
      <c r="B315" s="60">
        <v>0.59513888888888888</v>
      </c>
      <c r="C315" s="60"/>
      <c r="D315" s="60" t="s">
        <v>165</v>
      </c>
      <c r="E315" s="13">
        <v>2</v>
      </c>
      <c r="F315" s="38" t="str">
        <f>VLOOKUP(E315,[2]Key!$A$17:$B$21,2,FALSE)</f>
        <v>Road Vehicle</v>
      </c>
      <c r="G315" s="61">
        <v>4</v>
      </c>
      <c r="H315" s="39" t="str">
        <f>VLOOKUP(G315,[2]Key!$A$2:$B$13,2,FALSE)</f>
        <v>Minibus</v>
      </c>
      <c r="I315" s="13" t="s">
        <v>108</v>
      </c>
      <c r="J315" s="13">
        <v>2</v>
      </c>
      <c r="K315" s="40" t="str">
        <f>VLOOKUP(J315,[2]Key!$A$24:$B$29,2,FALSE)</f>
        <v>30-39</v>
      </c>
      <c r="L315" s="13" t="s">
        <v>363</v>
      </c>
      <c r="M315" s="23" t="s">
        <v>150</v>
      </c>
      <c r="N315" s="13" t="s">
        <v>357</v>
      </c>
      <c r="O315" s="45">
        <v>6</v>
      </c>
      <c r="P315" s="30" t="str">
        <f>VLOOKUP(O315,[2]Key!$E$2:$F$9,2,FALSE)</f>
        <v>Leisure/Social</v>
      </c>
      <c r="Q315" s="13" t="s">
        <v>191</v>
      </c>
      <c r="R315" s="23" t="s">
        <v>150</v>
      </c>
      <c r="S315" s="13" t="s">
        <v>357</v>
      </c>
      <c r="T315" s="23">
        <v>6</v>
      </c>
      <c r="U315" s="30" t="str">
        <f>VLOOKUP(T315,[2]Key!$E$2:$F$9,2,FALSE)</f>
        <v>Leisure/Social</v>
      </c>
      <c r="V315" s="30" t="str">
        <f t="shared" si="17"/>
        <v>Leisure/Social-Leisure/Social</v>
      </c>
      <c r="W315" s="23">
        <v>2000</v>
      </c>
      <c r="X315" s="62">
        <v>26</v>
      </c>
      <c r="Y315" s="62" t="str">
        <f t="shared" si="18"/>
        <v>20-40</v>
      </c>
      <c r="Z315" s="62">
        <v>0.3</v>
      </c>
      <c r="AA315" s="62" t="str">
        <f t="shared" si="19"/>
        <v>0-0.5</v>
      </c>
      <c r="AB315" s="23">
        <v>1</v>
      </c>
      <c r="AC315" s="30" t="str">
        <f>VLOOKUP(AB315,[2]Key!$C$20:$D$29,2,FALSE)</f>
        <v>Unemployed</v>
      </c>
      <c r="AD315" s="23">
        <v>1</v>
      </c>
      <c r="AE315" s="30" t="str">
        <f>VLOOKUP(AD315,[2]Key!$E$20:$F$24,2,FALSE)</f>
        <v>&lt;300,000</v>
      </c>
      <c r="AF315" s="23">
        <v>1</v>
      </c>
      <c r="AG315" s="62">
        <v>1</v>
      </c>
      <c r="AH315" s="62">
        <v>2</v>
      </c>
      <c r="AI315" s="62">
        <v>1</v>
      </c>
      <c r="AJ315" s="62">
        <v>2</v>
      </c>
      <c r="AK315" s="45" t="s">
        <v>94</v>
      </c>
      <c r="AL315" s="36"/>
      <c r="AM315" t="str">
        <f t="shared" si="20"/>
        <v>0-1000</v>
      </c>
    </row>
    <row r="316" spans="1:39" x14ac:dyDescent="0.2">
      <c r="A316" s="44" t="s">
        <v>355</v>
      </c>
      <c r="B316" s="60">
        <v>0.5131944444444444</v>
      </c>
      <c r="C316" s="60"/>
      <c r="D316" s="60" t="s">
        <v>165</v>
      </c>
      <c r="E316" s="13">
        <v>2</v>
      </c>
      <c r="F316" s="38" t="str">
        <f>VLOOKUP(E316,[2]Key!$A$17:$B$21,2,FALSE)</f>
        <v>Road Vehicle</v>
      </c>
      <c r="G316" s="61">
        <v>4</v>
      </c>
      <c r="H316" s="39" t="str">
        <f>VLOOKUP(G316,[2]Key!$A$2:$B$13,2,FALSE)</f>
        <v>Minibus</v>
      </c>
      <c r="I316" s="13" t="s">
        <v>108</v>
      </c>
      <c r="J316" s="13">
        <v>2</v>
      </c>
      <c r="K316" s="40" t="str">
        <f>VLOOKUP(J316,[2]Key!$A$24:$B$29,2,FALSE)</f>
        <v>30-39</v>
      </c>
      <c r="L316" s="13" t="s">
        <v>356</v>
      </c>
      <c r="M316" s="23" t="s">
        <v>150</v>
      </c>
      <c r="N316" s="13" t="s">
        <v>357</v>
      </c>
      <c r="O316" s="45">
        <v>2</v>
      </c>
      <c r="P316" s="30" t="str">
        <f>VLOOKUP(O316,[2]Key!$E$2:$F$9,2,FALSE)</f>
        <v>Work</v>
      </c>
      <c r="Q316" s="13" t="s">
        <v>228</v>
      </c>
      <c r="R316" s="23" t="s">
        <v>150</v>
      </c>
      <c r="S316" s="13" t="s">
        <v>357</v>
      </c>
      <c r="T316" s="23">
        <v>1</v>
      </c>
      <c r="U316" s="30" t="str">
        <f>VLOOKUP(T316,[2]Key!$E$2:$F$9,2,FALSE)</f>
        <v>Home</v>
      </c>
      <c r="V316" s="30" t="str">
        <f t="shared" si="17"/>
        <v>Work-Home</v>
      </c>
      <c r="W316" s="23">
        <v>1000</v>
      </c>
      <c r="X316" s="62">
        <v>5</v>
      </c>
      <c r="Y316" s="62" t="str">
        <f t="shared" si="18"/>
        <v>0-10</v>
      </c>
      <c r="Z316" s="62">
        <v>0.4</v>
      </c>
      <c r="AA316" s="62" t="str">
        <f t="shared" si="19"/>
        <v>0-0.5</v>
      </c>
      <c r="AB316" s="23">
        <v>6</v>
      </c>
      <c r="AC316" s="30" t="s">
        <v>128</v>
      </c>
      <c r="AD316" s="23">
        <v>3</v>
      </c>
      <c r="AE316" s="30" t="str">
        <f>VLOOKUP(AD316,[2]Key!$E$20:$F$24,2,FALSE)</f>
        <v>500,000-750,000</v>
      </c>
      <c r="AF316" s="23">
        <v>1</v>
      </c>
      <c r="AG316" s="62">
        <v>1</v>
      </c>
      <c r="AH316" s="62">
        <v>2</v>
      </c>
      <c r="AI316" s="62">
        <v>1</v>
      </c>
      <c r="AJ316" s="62">
        <v>2</v>
      </c>
      <c r="AK316" s="45" t="s">
        <v>94</v>
      </c>
      <c r="AL316" s="36">
        <v>500</v>
      </c>
      <c r="AM316" t="str">
        <f t="shared" si="20"/>
        <v>0-1000</v>
      </c>
    </row>
    <row r="317" spans="1:39" x14ac:dyDescent="0.2">
      <c r="A317" s="44" t="s">
        <v>355</v>
      </c>
      <c r="B317" s="60">
        <v>0.62152777777777779</v>
      </c>
      <c r="C317" s="60"/>
      <c r="D317" s="60" t="s">
        <v>96</v>
      </c>
      <c r="E317" s="13">
        <v>2</v>
      </c>
      <c r="F317" s="38" t="str">
        <f>VLOOKUP(E317,[2]Key!$A$17:$B$21,2,FALSE)</f>
        <v>Road Vehicle</v>
      </c>
      <c r="G317" s="61">
        <v>4</v>
      </c>
      <c r="H317" s="39" t="str">
        <f>VLOOKUP(G317,[2]Key!$A$2:$B$13,2,FALSE)</f>
        <v>Minibus</v>
      </c>
      <c r="I317" s="13" t="s">
        <v>108</v>
      </c>
      <c r="J317" s="13">
        <v>2</v>
      </c>
      <c r="K317" s="40" t="str">
        <f>VLOOKUP(J317,[2]Key!$A$24:$B$29,2,FALSE)</f>
        <v>30-39</v>
      </c>
      <c r="L317" s="13" t="s">
        <v>356</v>
      </c>
      <c r="M317" s="23" t="s">
        <v>150</v>
      </c>
      <c r="N317" s="13" t="s">
        <v>357</v>
      </c>
      <c r="O317" s="45">
        <v>2</v>
      </c>
      <c r="P317" s="30" t="str">
        <f>VLOOKUP(O317,[2]Key!$E$2:$F$9,2,FALSE)</f>
        <v>Work</v>
      </c>
      <c r="Q317" s="13" t="s">
        <v>403</v>
      </c>
      <c r="R317" s="23" t="s">
        <v>156</v>
      </c>
      <c r="S317" s="13" t="s">
        <v>357</v>
      </c>
      <c r="T317" s="23">
        <v>2</v>
      </c>
      <c r="U317" s="30" t="str">
        <f>VLOOKUP(T317,[2]Key!$E$2:$F$9,2,FALSE)</f>
        <v>Work</v>
      </c>
      <c r="V317" s="30" t="str">
        <f t="shared" si="17"/>
        <v>Work-Work</v>
      </c>
      <c r="W317" s="23">
        <v>20000</v>
      </c>
      <c r="X317" s="62">
        <v>18</v>
      </c>
      <c r="Y317" s="62" t="str">
        <f t="shared" si="18"/>
        <v>10-20</v>
      </c>
      <c r="Z317" s="62">
        <v>0.5</v>
      </c>
      <c r="AA317" s="62" t="str">
        <f t="shared" si="19"/>
        <v>0.5-1.0</v>
      </c>
      <c r="AB317" s="23">
        <v>5</v>
      </c>
      <c r="AC317" s="30" t="str">
        <f>VLOOKUP(AB317,[2]Key!$C$20:$D$29,2,FALSE)</f>
        <v>Professional</v>
      </c>
      <c r="AD317" s="23">
        <v>4</v>
      </c>
      <c r="AE317" s="30" t="str">
        <f>VLOOKUP(AD317,[2]Key!$E$20:$F$24,2,FALSE)</f>
        <v>750,000-1,000,000</v>
      </c>
      <c r="AF317" s="23">
        <v>5</v>
      </c>
      <c r="AG317" s="62">
        <v>1</v>
      </c>
      <c r="AH317" s="62">
        <v>2</v>
      </c>
      <c r="AI317" s="62">
        <v>1</v>
      </c>
      <c r="AJ317" s="62">
        <v>2</v>
      </c>
      <c r="AK317" s="45" t="s">
        <v>94</v>
      </c>
      <c r="AL317" s="36">
        <v>1000</v>
      </c>
      <c r="AM317" t="str">
        <f t="shared" si="20"/>
        <v>1000-2000</v>
      </c>
    </row>
    <row r="318" spans="1:39" x14ac:dyDescent="0.2">
      <c r="A318" s="44" t="s">
        <v>355</v>
      </c>
      <c r="B318" s="60">
        <v>0.7729166666666667</v>
      </c>
      <c r="C318" s="60"/>
      <c r="D318" s="60" t="s">
        <v>165</v>
      </c>
      <c r="E318" s="13">
        <v>2</v>
      </c>
      <c r="F318" s="38" t="str">
        <f>VLOOKUP(E318,[2]Key!$A$17:$B$21,2,FALSE)</f>
        <v>Road Vehicle</v>
      </c>
      <c r="G318" s="61">
        <v>4</v>
      </c>
      <c r="H318" s="39" t="str">
        <f>VLOOKUP(G318,[2]Key!$A$2:$B$13,2,FALSE)</f>
        <v>Minibus</v>
      </c>
      <c r="I318" s="13" t="s">
        <v>108</v>
      </c>
      <c r="J318" s="13">
        <v>2</v>
      </c>
      <c r="K318" s="40" t="str">
        <f>VLOOKUP(J318,[2]Key!$A$24:$B$29,2,FALSE)</f>
        <v>30-39</v>
      </c>
      <c r="L318" s="13" t="s">
        <v>356</v>
      </c>
      <c r="M318" s="23" t="s">
        <v>150</v>
      </c>
      <c r="N318" s="13" t="s">
        <v>357</v>
      </c>
      <c r="O318" s="45">
        <v>2</v>
      </c>
      <c r="P318" s="30" t="str">
        <f>VLOOKUP(O318,[2]Key!$E$2:$F$9,2,FALSE)</f>
        <v>Work</v>
      </c>
      <c r="Q318" s="13"/>
      <c r="R318" s="23"/>
      <c r="S318" s="13" t="s">
        <v>357</v>
      </c>
      <c r="T318" s="23">
        <v>1</v>
      </c>
      <c r="U318" s="30" t="str">
        <f>VLOOKUP(T318,[2]Key!$E$2:$F$9,2,FALSE)</f>
        <v>Home</v>
      </c>
      <c r="V318" s="30" t="str">
        <f t="shared" si="17"/>
        <v>Work-Home</v>
      </c>
      <c r="W318" s="23">
        <v>1500</v>
      </c>
      <c r="X318" s="62">
        <v>4</v>
      </c>
      <c r="Y318" s="62" t="str">
        <f t="shared" si="18"/>
        <v>0-10</v>
      </c>
      <c r="Z318" s="62">
        <v>0.5</v>
      </c>
      <c r="AA318" s="62" t="str">
        <f t="shared" si="19"/>
        <v>0.5-1.0</v>
      </c>
      <c r="AB318" s="23">
        <v>4</v>
      </c>
      <c r="AC318" s="30" t="str">
        <f>VLOOKUP(AB318,[2]Key!$C$20:$D$29,2,FALSE)</f>
        <v>Office Worker</v>
      </c>
      <c r="AD318" s="23">
        <v>2</v>
      </c>
      <c r="AE318" s="30" t="str">
        <f>VLOOKUP(AD318,[2]Key!$E$20:$F$24,2,FALSE)</f>
        <v>300,000-500,000</v>
      </c>
      <c r="AF318" s="23">
        <v>2</v>
      </c>
      <c r="AG318" s="62">
        <v>1</v>
      </c>
      <c r="AH318" s="62">
        <v>1</v>
      </c>
      <c r="AI318" s="62">
        <v>2</v>
      </c>
      <c r="AJ318" s="62">
        <v>1</v>
      </c>
      <c r="AK318" s="45" t="s">
        <v>94</v>
      </c>
      <c r="AL318" s="36">
        <v>1000</v>
      </c>
      <c r="AM318" t="str">
        <f t="shared" si="20"/>
        <v>1000-2000</v>
      </c>
    </row>
    <row r="319" spans="1:39" x14ac:dyDescent="0.2">
      <c r="A319" s="44" t="s">
        <v>355</v>
      </c>
      <c r="B319" s="60">
        <v>0.34513888888888888</v>
      </c>
      <c r="C319" s="60"/>
      <c r="D319" s="60" t="s">
        <v>165</v>
      </c>
      <c r="E319" s="13">
        <v>2</v>
      </c>
      <c r="F319" s="38" t="str">
        <f>VLOOKUP(E319,[2]Key!$A$17:$B$21,2,FALSE)</f>
        <v>Road Vehicle</v>
      </c>
      <c r="G319" s="61">
        <v>4</v>
      </c>
      <c r="H319" s="39" t="str">
        <f>VLOOKUP(G319,[2]Key!$A$2:$B$13,2,FALSE)</f>
        <v>Minibus</v>
      </c>
      <c r="I319" s="13" t="s">
        <v>108</v>
      </c>
      <c r="J319" s="13">
        <v>2</v>
      </c>
      <c r="K319" s="40" t="str">
        <f>VLOOKUP(J319,[2]Key!$A$24:$B$29,2,FALSE)</f>
        <v>30-39</v>
      </c>
      <c r="L319" s="13" t="s">
        <v>218</v>
      </c>
      <c r="M319" s="23" t="s">
        <v>150</v>
      </c>
      <c r="N319" s="13" t="s">
        <v>357</v>
      </c>
      <c r="O319" s="45">
        <v>4</v>
      </c>
      <c r="P319" s="30" t="str">
        <f>VLOOKUP(O319,[2]Key!$E$2:$F$9,2,FALSE)</f>
        <v>Commercial</v>
      </c>
      <c r="Q319" s="13" t="s">
        <v>404</v>
      </c>
      <c r="R319" s="23" t="s">
        <v>240</v>
      </c>
      <c r="S319" s="13" t="s">
        <v>357</v>
      </c>
      <c r="T319" s="23">
        <v>6</v>
      </c>
      <c r="U319" s="30" t="str">
        <f>VLOOKUP(T319,[2]Key!$E$2:$F$9,2,FALSE)</f>
        <v>Leisure/Social</v>
      </c>
      <c r="V319" s="30" t="str">
        <f t="shared" si="17"/>
        <v>Commercial-Leisure/Social</v>
      </c>
      <c r="W319" s="23">
        <v>4000</v>
      </c>
      <c r="X319" s="62">
        <v>22</v>
      </c>
      <c r="Y319" s="62" t="str">
        <f t="shared" si="18"/>
        <v>20-40</v>
      </c>
      <c r="Z319" s="62">
        <v>0.5</v>
      </c>
      <c r="AA319" s="62" t="str">
        <f t="shared" si="19"/>
        <v>0.5-1.0</v>
      </c>
      <c r="AB319" s="23">
        <v>1</v>
      </c>
      <c r="AC319" s="30" t="str">
        <f>VLOOKUP(AB319,[2]Key!$C$20:$D$29,2,FALSE)</f>
        <v>Unemployed</v>
      </c>
      <c r="AD319" s="23">
        <v>1</v>
      </c>
      <c r="AE319" s="30" t="str">
        <f>VLOOKUP(AD319,[2]Key!$E$20:$F$24,2,FALSE)</f>
        <v>&lt;300,000</v>
      </c>
      <c r="AF319" s="23">
        <v>1</v>
      </c>
      <c r="AG319" s="62">
        <v>2</v>
      </c>
      <c r="AH319" s="62">
        <v>1</v>
      </c>
      <c r="AI319" s="62">
        <v>4</v>
      </c>
      <c r="AJ319" s="62">
        <v>1</v>
      </c>
      <c r="AK319" s="45" t="s">
        <v>94</v>
      </c>
      <c r="AL319" s="36"/>
      <c r="AM319" t="str">
        <f t="shared" si="20"/>
        <v>0-1000</v>
      </c>
    </row>
    <row r="320" spans="1:39" x14ac:dyDescent="0.2">
      <c r="A320" s="44" t="s">
        <v>355</v>
      </c>
      <c r="B320" s="60">
        <v>0.34513888888888888</v>
      </c>
      <c r="C320" s="60"/>
      <c r="D320" s="60" t="s">
        <v>96</v>
      </c>
      <c r="E320" s="13">
        <v>2</v>
      </c>
      <c r="F320" s="38" t="str">
        <f>VLOOKUP(E320,[2]Key!$A$17:$B$21,2,FALSE)</f>
        <v>Road Vehicle</v>
      </c>
      <c r="G320" s="61">
        <v>4</v>
      </c>
      <c r="H320" s="39" t="str">
        <f>VLOOKUP(G320,[2]Key!$A$2:$B$13,2,FALSE)</f>
        <v>Minibus</v>
      </c>
      <c r="I320" s="13" t="s">
        <v>108</v>
      </c>
      <c r="J320" s="13">
        <v>2</v>
      </c>
      <c r="K320" s="40" t="str">
        <f>VLOOKUP(J320,[2]Key!$A$24:$B$29,2,FALSE)</f>
        <v>30-39</v>
      </c>
      <c r="L320" s="13" t="s">
        <v>356</v>
      </c>
      <c r="M320" s="23" t="s">
        <v>150</v>
      </c>
      <c r="N320" s="13" t="s">
        <v>357</v>
      </c>
      <c r="O320" s="45">
        <v>2</v>
      </c>
      <c r="P320" s="30" t="str">
        <f>VLOOKUP(O320,[2]Key!$E$2:$F$9,2,FALSE)</f>
        <v>Work</v>
      </c>
      <c r="Q320" s="13" t="s">
        <v>305</v>
      </c>
      <c r="R320" s="23" t="s">
        <v>150</v>
      </c>
      <c r="S320" s="13" t="s">
        <v>357</v>
      </c>
      <c r="T320" s="23">
        <v>2</v>
      </c>
      <c r="U320" s="30" t="str">
        <f>VLOOKUP(T320,[2]Key!$E$2:$F$9,2,FALSE)</f>
        <v>Work</v>
      </c>
      <c r="V320" s="30" t="str">
        <f t="shared" si="17"/>
        <v>Work-Work</v>
      </c>
      <c r="W320" s="41">
        <v>20000</v>
      </c>
      <c r="X320" s="62">
        <v>28</v>
      </c>
      <c r="Y320" s="62" t="str">
        <f t="shared" si="18"/>
        <v>20-40</v>
      </c>
      <c r="Z320" s="62">
        <v>0.7</v>
      </c>
      <c r="AA320" s="62" t="str">
        <f t="shared" si="19"/>
        <v>0.5-1.0</v>
      </c>
      <c r="AB320" s="23">
        <v>5</v>
      </c>
      <c r="AC320" s="30" t="str">
        <f>VLOOKUP(AB320,[2]Key!$C$20:$D$29,2,FALSE)</f>
        <v>Professional</v>
      </c>
      <c r="AD320" s="23">
        <v>4</v>
      </c>
      <c r="AE320" s="30" t="str">
        <f>VLOOKUP(AD320,[2]Key!$E$20:$F$24,2,FALSE)</f>
        <v>750,000-1,000,000</v>
      </c>
      <c r="AF320" s="23">
        <v>5</v>
      </c>
      <c r="AG320" s="62">
        <v>1</v>
      </c>
      <c r="AH320" s="62">
        <v>2</v>
      </c>
      <c r="AI320" s="62">
        <v>1</v>
      </c>
      <c r="AJ320" s="62">
        <v>2</v>
      </c>
      <c r="AK320" s="45" t="s">
        <v>94</v>
      </c>
      <c r="AL320" s="36">
        <v>1000</v>
      </c>
      <c r="AM320" t="str">
        <f t="shared" si="20"/>
        <v>1000-2000</v>
      </c>
    </row>
    <row r="321" spans="1:39" x14ac:dyDescent="0.2">
      <c r="A321" s="44" t="s">
        <v>355</v>
      </c>
      <c r="B321" s="60">
        <v>0.77708333333333324</v>
      </c>
      <c r="C321" s="60"/>
      <c r="D321" s="60" t="s">
        <v>96</v>
      </c>
      <c r="E321" s="13">
        <v>2</v>
      </c>
      <c r="F321" s="38" t="str">
        <f>VLOOKUP(E321,[2]Key!$A$17:$B$21,2,FALSE)</f>
        <v>Road Vehicle</v>
      </c>
      <c r="G321" s="61">
        <v>4</v>
      </c>
      <c r="H321" s="39" t="str">
        <f>VLOOKUP(G321,[2]Key!$A$2:$B$13,2,FALSE)</f>
        <v>Minibus</v>
      </c>
      <c r="I321" s="13" t="s">
        <v>108</v>
      </c>
      <c r="J321" s="13">
        <v>2</v>
      </c>
      <c r="K321" s="40" t="str">
        <f>VLOOKUP(J321,[2]Key!$A$24:$B$29,2,FALSE)</f>
        <v>30-39</v>
      </c>
      <c r="L321" s="13" t="s">
        <v>356</v>
      </c>
      <c r="M321" s="23" t="s">
        <v>150</v>
      </c>
      <c r="N321" s="13" t="s">
        <v>357</v>
      </c>
      <c r="O321" s="45">
        <v>2</v>
      </c>
      <c r="P321" s="30" t="str">
        <f>VLOOKUP(O321,[2]Key!$E$2:$F$9,2,FALSE)</f>
        <v>Work</v>
      </c>
      <c r="Q321" s="13" t="s">
        <v>249</v>
      </c>
      <c r="R321" s="23" t="s">
        <v>150</v>
      </c>
      <c r="S321" s="13" t="s">
        <v>357</v>
      </c>
      <c r="T321" s="23">
        <v>2</v>
      </c>
      <c r="U321" s="30" t="str">
        <f>VLOOKUP(T321,[2]Key!$E$2:$F$9,2,FALSE)</f>
        <v>Work</v>
      </c>
      <c r="V321" s="30" t="str">
        <f t="shared" si="17"/>
        <v>Work-Work</v>
      </c>
      <c r="W321" s="23">
        <v>25000</v>
      </c>
      <c r="X321" s="62">
        <v>5</v>
      </c>
      <c r="Y321" s="62" t="str">
        <f t="shared" si="18"/>
        <v>0-10</v>
      </c>
      <c r="Z321" s="62">
        <v>0.7</v>
      </c>
      <c r="AA321" s="62" t="str">
        <f t="shared" si="19"/>
        <v>0.5-1.0</v>
      </c>
      <c r="AB321" s="23">
        <v>5</v>
      </c>
      <c r="AC321" s="30" t="str">
        <f>VLOOKUP(AB321,[2]Key!$C$20:$D$29,2,FALSE)</f>
        <v>Professional</v>
      </c>
      <c r="AD321" s="23">
        <v>4</v>
      </c>
      <c r="AE321" s="30" t="str">
        <f>VLOOKUP(AD321,[2]Key!$E$20:$F$24,2,FALSE)</f>
        <v>750,000-1,000,000</v>
      </c>
      <c r="AF321" s="23">
        <v>5</v>
      </c>
      <c r="AG321" s="62">
        <v>2</v>
      </c>
      <c r="AH321" s="62">
        <v>1</v>
      </c>
      <c r="AI321" s="62">
        <v>2</v>
      </c>
      <c r="AJ321" s="62">
        <v>1</v>
      </c>
      <c r="AK321" s="45" t="s">
        <v>94</v>
      </c>
      <c r="AL321" s="36">
        <v>1000</v>
      </c>
      <c r="AM321" t="str">
        <f t="shared" si="20"/>
        <v>1000-2000</v>
      </c>
    </row>
    <row r="322" spans="1:39" x14ac:dyDescent="0.2">
      <c r="A322" s="44" t="s">
        <v>355</v>
      </c>
      <c r="B322" s="60">
        <v>0.74930555555555556</v>
      </c>
      <c r="C322" s="60"/>
      <c r="D322" s="60" t="s">
        <v>165</v>
      </c>
      <c r="E322" s="13">
        <v>2</v>
      </c>
      <c r="F322" s="38" t="str">
        <f>VLOOKUP(E322,[2]Key!$A$17:$B$21,2,FALSE)</f>
        <v>Road Vehicle</v>
      </c>
      <c r="G322" s="61">
        <v>4</v>
      </c>
      <c r="H322" s="39" t="str">
        <f>VLOOKUP(G322,[2]Key!$A$2:$B$13,2,FALSE)</f>
        <v>Minibus</v>
      </c>
      <c r="I322" s="13" t="s">
        <v>108</v>
      </c>
      <c r="J322" s="13">
        <v>2</v>
      </c>
      <c r="K322" s="40" t="str">
        <f>VLOOKUP(J322,[2]Key!$A$24:$B$29,2,FALSE)</f>
        <v>30-39</v>
      </c>
      <c r="L322" s="13" t="s">
        <v>356</v>
      </c>
      <c r="M322" s="23" t="s">
        <v>150</v>
      </c>
      <c r="N322" s="13" t="s">
        <v>357</v>
      </c>
      <c r="O322" s="45">
        <v>2</v>
      </c>
      <c r="P322" s="30" t="str">
        <f>VLOOKUP(O322,[2]Key!$E$2:$F$9,2,FALSE)</f>
        <v>Work</v>
      </c>
      <c r="Q322" s="13" t="s">
        <v>405</v>
      </c>
      <c r="R322" s="23" t="s">
        <v>150</v>
      </c>
      <c r="S322" s="13" t="s">
        <v>357</v>
      </c>
      <c r="T322" s="23">
        <v>2</v>
      </c>
      <c r="U322" s="30" t="str">
        <f>VLOOKUP(T322,[2]Key!$E$2:$F$9,2,FALSE)</f>
        <v>Work</v>
      </c>
      <c r="V322" s="30" t="str">
        <f t="shared" ref="V322:V385" si="21">P322&amp;"-"&amp;U322</f>
        <v>Work-Work</v>
      </c>
      <c r="W322" s="23">
        <v>2000</v>
      </c>
      <c r="X322" s="62">
        <v>4</v>
      </c>
      <c r="Y322" s="62" t="str">
        <f t="shared" si="18"/>
        <v>0-10</v>
      </c>
      <c r="Z322" s="62">
        <v>0.7</v>
      </c>
      <c r="AA322" s="62" t="str">
        <f t="shared" si="19"/>
        <v>0.5-1.0</v>
      </c>
      <c r="AB322" s="23">
        <v>6</v>
      </c>
      <c r="AC322" s="30" t="str">
        <f>VLOOKUP(AB322,[2]Key!$C$20:$D$29,2,FALSE)</f>
        <v>Businessman</v>
      </c>
      <c r="AD322" s="23">
        <v>5</v>
      </c>
      <c r="AE322" s="30" t="str">
        <f>VLOOKUP(AD322,[2]Key!$E$20:$F$24,2,FALSE)</f>
        <v>&gt;1,000,000</v>
      </c>
      <c r="AF322" s="23">
        <v>1</v>
      </c>
      <c r="AG322" s="62">
        <v>2</v>
      </c>
      <c r="AH322" s="62">
        <v>1</v>
      </c>
      <c r="AI322" s="62">
        <v>2</v>
      </c>
      <c r="AJ322" s="62">
        <v>1</v>
      </c>
      <c r="AK322" s="45" t="s">
        <v>94</v>
      </c>
      <c r="AL322" s="36">
        <v>5000</v>
      </c>
      <c r="AM322" t="str">
        <f t="shared" si="20"/>
        <v>5000-10000</v>
      </c>
    </row>
    <row r="323" spans="1:39" x14ac:dyDescent="0.2">
      <c r="A323" s="44" t="s">
        <v>355</v>
      </c>
      <c r="B323" s="60">
        <v>0.32847222222222222</v>
      </c>
      <c r="C323" s="60"/>
      <c r="D323" s="60" t="s">
        <v>165</v>
      </c>
      <c r="E323" s="13">
        <v>2</v>
      </c>
      <c r="F323" s="38" t="str">
        <f>VLOOKUP(E323,[2]Key!$A$17:$B$21,2,FALSE)</f>
        <v>Road Vehicle</v>
      </c>
      <c r="G323" s="61">
        <v>4</v>
      </c>
      <c r="H323" s="39" t="str">
        <f>VLOOKUP(G323,[2]Key!$A$2:$B$13,2,FALSE)</f>
        <v>Minibus</v>
      </c>
      <c r="I323" s="13" t="s">
        <v>108</v>
      </c>
      <c r="J323" s="13">
        <v>2</v>
      </c>
      <c r="K323" s="40" t="str">
        <f>VLOOKUP(J323,[2]Key!$A$24:$B$29,2,FALSE)</f>
        <v>30-39</v>
      </c>
      <c r="L323" s="13" t="s">
        <v>356</v>
      </c>
      <c r="M323" s="23" t="s">
        <v>150</v>
      </c>
      <c r="N323" s="13" t="s">
        <v>357</v>
      </c>
      <c r="O323" s="45">
        <v>2</v>
      </c>
      <c r="P323" s="30" t="str">
        <f>VLOOKUP(O323,[2]Key!$E$2:$F$9,2,FALSE)</f>
        <v>Work</v>
      </c>
      <c r="Q323" s="13" t="s">
        <v>406</v>
      </c>
      <c r="R323" s="23" t="s">
        <v>156</v>
      </c>
      <c r="S323" s="13" t="s">
        <v>357</v>
      </c>
      <c r="T323" s="23">
        <v>2</v>
      </c>
      <c r="U323" s="30" t="str">
        <f>VLOOKUP(T323,[2]Key!$E$2:$F$9,2,FALSE)</f>
        <v>Work</v>
      </c>
      <c r="V323" s="30" t="str">
        <f t="shared" si="21"/>
        <v>Work-Work</v>
      </c>
      <c r="W323" s="23">
        <v>5000</v>
      </c>
      <c r="X323" s="62">
        <v>37</v>
      </c>
      <c r="Y323" s="62" t="str">
        <f t="shared" ref="Y323:Y386" si="22">IF(X323&lt;10,"0-10",IF(X323&lt;20,"10-20",IF(X323&lt;40,"20-40",IF(X323&lt;70,"40-70",IF(X323&lt;100,"70-100",IF(X323&lt;200,"100-200","Over 200"))))))</f>
        <v>20-40</v>
      </c>
      <c r="Z323" s="62">
        <v>0.7</v>
      </c>
      <c r="AA323" s="62" t="str">
        <f t="shared" ref="AA323:AA386" si="23">IF(Z323&lt;0.5,"0-0.5",IF(Z323&lt;1,"0.5-1.0",IF(Z323&lt;2,"1.0-2.0",IF(Z323&lt;3.5,"2.0-3.5","Over 3.5"))))</f>
        <v>0.5-1.0</v>
      </c>
      <c r="AB323" s="23">
        <v>1</v>
      </c>
      <c r="AC323" s="30" t="str">
        <f>VLOOKUP(AB323,[2]Key!$C$20:$D$29,2,FALSE)</f>
        <v>Unemployed</v>
      </c>
      <c r="AD323" s="23">
        <v>1</v>
      </c>
      <c r="AE323" s="30" t="str">
        <f>VLOOKUP(AD323,[2]Key!$E$20:$F$24,2,FALSE)</f>
        <v>&lt;300,000</v>
      </c>
      <c r="AF323" s="23">
        <v>5</v>
      </c>
      <c r="AG323" s="62">
        <v>4</v>
      </c>
      <c r="AH323" s="62">
        <v>5</v>
      </c>
      <c r="AI323" s="62">
        <v>5</v>
      </c>
      <c r="AJ323" s="62">
        <v>4</v>
      </c>
      <c r="AK323" s="45" t="s">
        <v>94</v>
      </c>
      <c r="AL323" s="36"/>
      <c r="AM323" t="str">
        <f t="shared" ref="AM323:AM386" si="24">IF(AL323&lt;1000,"0-1000",IF(AL323&lt;2000,"1000-2000",IF(AL323&lt;3000,"2000-3000",IF(AL323&lt;5000,"3000-5000",IF(AL323&lt;10000,"5000-10000","Over 10000")))))</f>
        <v>0-1000</v>
      </c>
    </row>
    <row r="324" spans="1:39" x14ac:dyDescent="0.2">
      <c r="A324" s="44" t="s">
        <v>355</v>
      </c>
      <c r="B324" s="60">
        <v>0.76597222222222217</v>
      </c>
      <c r="C324" s="60"/>
      <c r="D324" s="60" t="s">
        <v>96</v>
      </c>
      <c r="E324" s="13">
        <v>2</v>
      </c>
      <c r="F324" s="38" t="str">
        <f>VLOOKUP(E324,[2]Key!$A$17:$B$21,2,FALSE)</f>
        <v>Road Vehicle</v>
      </c>
      <c r="G324" s="61">
        <v>4</v>
      </c>
      <c r="H324" s="39" t="str">
        <f>VLOOKUP(G324,[2]Key!$A$2:$B$13,2,FALSE)</f>
        <v>Minibus</v>
      </c>
      <c r="I324" s="13" t="s">
        <v>108</v>
      </c>
      <c r="J324" s="13">
        <v>2</v>
      </c>
      <c r="K324" s="40" t="str">
        <f>VLOOKUP(J324,[2]Key!$A$24:$B$29,2,FALSE)</f>
        <v>30-39</v>
      </c>
      <c r="L324" s="13" t="s">
        <v>356</v>
      </c>
      <c r="M324" s="23" t="s">
        <v>150</v>
      </c>
      <c r="N324" s="13" t="s">
        <v>357</v>
      </c>
      <c r="O324" s="45">
        <v>2</v>
      </c>
      <c r="P324" s="30" t="str">
        <f>VLOOKUP(O324,[2]Key!$E$2:$F$9,2,FALSE)</f>
        <v>Work</v>
      </c>
      <c r="Q324" s="13" t="s">
        <v>192</v>
      </c>
      <c r="R324" s="23" t="s">
        <v>150</v>
      </c>
      <c r="S324" s="13" t="s">
        <v>357</v>
      </c>
      <c r="T324" s="23">
        <v>2</v>
      </c>
      <c r="U324" s="30" t="str">
        <f>VLOOKUP(T324,[2]Key!$E$2:$F$9,2,FALSE)</f>
        <v>Work</v>
      </c>
      <c r="V324" s="30" t="str">
        <f t="shared" si="21"/>
        <v>Work-Work</v>
      </c>
      <c r="W324" s="23">
        <v>150000</v>
      </c>
      <c r="X324" s="62">
        <v>10</v>
      </c>
      <c r="Y324" s="62" t="str">
        <f t="shared" si="22"/>
        <v>10-20</v>
      </c>
      <c r="Z324" s="62">
        <v>0.8</v>
      </c>
      <c r="AA324" s="62" t="str">
        <f t="shared" si="23"/>
        <v>0.5-1.0</v>
      </c>
      <c r="AB324" s="23">
        <v>5</v>
      </c>
      <c r="AC324" s="30" t="str">
        <f>VLOOKUP(AB324,[2]Key!$C$20:$D$29,2,FALSE)</f>
        <v>Professional</v>
      </c>
      <c r="AD324" s="23">
        <v>3</v>
      </c>
      <c r="AE324" s="30" t="str">
        <f>VLOOKUP(AD324,[2]Key!$E$20:$F$24,2,FALSE)</f>
        <v>500,000-750,000</v>
      </c>
      <c r="AF324" s="23">
        <v>5</v>
      </c>
      <c r="AG324" s="62">
        <v>2</v>
      </c>
      <c r="AH324" s="62">
        <v>1</v>
      </c>
      <c r="AI324" s="62">
        <v>2</v>
      </c>
      <c r="AJ324" s="62">
        <v>1</v>
      </c>
      <c r="AK324" s="45" t="s">
        <v>94</v>
      </c>
      <c r="AL324" s="36">
        <v>1000</v>
      </c>
      <c r="AM324" t="str">
        <f t="shared" si="24"/>
        <v>1000-2000</v>
      </c>
    </row>
    <row r="325" spans="1:39" x14ac:dyDescent="0.2">
      <c r="A325" s="44" t="s">
        <v>355</v>
      </c>
      <c r="B325" s="60">
        <v>0.5131944444444444</v>
      </c>
      <c r="C325" s="60"/>
      <c r="D325" s="60" t="s">
        <v>96</v>
      </c>
      <c r="E325" s="13">
        <v>2</v>
      </c>
      <c r="F325" s="38" t="str">
        <f>VLOOKUP(E325,[2]Key!$A$17:$B$21,2,FALSE)</f>
        <v>Road Vehicle</v>
      </c>
      <c r="G325" s="61">
        <v>4</v>
      </c>
      <c r="H325" s="39" t="str">
        <f>VLOOKUP(G325,[2]Key!$A$2:$B$13,2,FALSE)</f>
        <v>Minibus</v>
      </c>
      <c r="I325" s="13" t="s">
        <v>108</v>
      </c>
      <c r="J325" s="13">
        <v>2</v>
      </c>
      <c r="K325" s="40" t="str">
        <f>VLOOKUP(J325,[2]Key!$A$24:$B$29,2,FALSE)</f>
        <v>30-39</v>
      </c>
      <c r="L325" s="13" t="s">
        <v>356</v>
      </c>
      <c r="M325" s="23" t="s">
        <v>150</v>
      </c>
      <c r="N325" s="13" t="s">
        <v>357</v>
      </c>
      <c r="O325" s="45">
        <v>4</v>
      </c>
      <c r="P325" s="30" t="str">
        <f>VLOOKUP(O325,[2]Key!$E$2:$F$9,2,FALSE)</f>
        <v>Commercial</v>
      </c>
      <c r="Q325" s="13" t="s">
        <v>407</v>
      </c>
      <c r="R325" s="23" t="s">
        <v>150</v>
      </c>
      <c r="S325" s="13" t="s">
        <v>357</v>
      </c>
      <c r="T325" s="23">
        <v>4</v>
      </c>
      <c r="U325" s="30" t="str">
        <f>VLOOKUP(T325,[2]Key!$E$2:$F$9,2,FALSE)</f>
        <v>Commercial</v>
      </c>
      <c r="V325" s="30" t="str">
        <f t="shared" si="21"/>
        <v>Commercial-Commercial</v>
      </c>
      <c r="W325" s="23">
        <v>10000</v>
      </c>
      <c r="X325" s="62">
        <v>30</v>
      </c>
      <c r="Y325" s="62" t="str">
        <f t="shared" si="22"/>
        <v>20-40</v>
      </c>
      <c r="Z325" s="62">
        <v>0.8</v>
      </c>
      <c r="AA325" s="62" t="str">
        <f t="shared" si="23"/>
        <v>0.5-1.0</v>
      </c>
      <c r="AB325" s="23">
        <v>5</v>
      </c>
      <c r="AC325" s="30" t="str">
        <f>VLOOKUP(AB325,[2]Key!$C$20:$D$29,2,FALSE)</f>
        <v>Professional</v>
      </c>
      <c r="AD325" s="23">
        <v>1</v>
      </c>
      <c r="AE325" s="30" t="str">
        <f>VLOOKUP(AD325,[2]Key!$E$20:$F$24,2,FALSE)</f>
        <v>&lt;300,000</v>
      </c>
      <c r="AF325" s="23">
        <v>5</v>
      </c>
      <c r="AG325" s="62">
        <v>5</v>
      </c>
      <c r="AH325" s="62">
        <v>1</v>
      </c>
      <c r="AI325" s="62">
        <v>1</v>
      </c>
      <c r="AJ325" s="62">
        <v>5</v>
      </c>
      <c r="AK325" s="45" t="s">
        <v>94</v>
      </c>
      <c r="AL325" s="36">
        <v>1000</v>
      </c>
      <c r="AM325" t="str">
        <f t="shared" si="24"/>
        <v>1000-2000</v>
      </c>
    </row>
    <row r="326" spans="1:39" x14ac:dyDescent="0.2">
      <c r="A326" s="44" t="s">
        <v>355</v>
      </c>
      <c r="B326" s="60">
        <v>0.38680555555555557</v>
      </c>
      <c r="C326" s="60"/>
      <c r="D326" s="60" t="s">
        <v>96</v>
      </c>
      <c r="E326" s="13">
        <v>2</v>
      </c>
      <c r="F326" s="38" t="str">
        <f>VLOOKUP(E326,[2]Key!$A$17:$B$21,2,FALSE)</f>
        <v>Road Vehicle</v>
      </c>
      <c r="G326" s="61">
        <v>4</v>
      </c>
      <c r="H326" s="39" t="str">
        <f>VLOOKUP(G326,[2]Key!$A$2:$B$13,2,FALSE)</f>
        <v>Minibus</v>
      </c>
      <c r="I326" s="13" t="s">
        <v>108</v>
      </c>
      <c r="J326" s="13">
        <v>2</v>
      </c>
      <c r="K326" s="40" t="str">
        <f>VLOOKUP(J326,[2]Key!$A$24:$B$29,2,FALSE)</f>
        <v>30-39</v>
      </c>
      <c r="L326" s="13" t="s">
        <v>356</v>
      </c>
      <c r="M326" s="23" t="s">
        <v>150</v>
      </c>
      <c r="N326" s="13" t="s">
        <v>357</v>
      </c>
      <c r="O326" s="45">
        <v>2</v>
      </c>
      <c r="P326" s="30" t="str">
        <f>VLOOKUP(O326,[2]Key!$E$2:$F$9,2,FALSE)</f>
        <v>Work</v>
      </c>
      <c r="Q326" s="13" t="s">
        <v>377</v>
      </c>
      <c r="R326" s="23" t="s">
        <v>188</v>
      </c>
      <c r="S326" s="13" t="s">
        <v>357</v>
      </c>
      <c r="T326" s="23">
        <v>2</v>
      </c>
      <c r="U326" s="30" t="str">
        <f>VLOOKUP(T326,[2]Key!$E$2:$F$9,2,FALSE)</f>
        <v>Work</v>
      </c>
      <c r="V326" s="30" t="str">
        <f t="shared" si="21"/>
        <v>Work-Work</v>
      </c>
      <c r="W326" s="41">
        <v>70000</v>
      </c>
      <c r="X326" s="62">
        <v>7204</v>
      </c>
      <c r="Y326" s="62" t="str">
        <f t="shared" si="22"/>
        <v>Over 200</v>
      </c>
      <c r="Z326" s="62">
        <v>1</v>
      </c>
      <c r="AA326" s="62" t="str">
        <f t="shared" si="23"/>
        <v>1.0-2.0</v>
      </c>
      <c r="AB326" s="23">
        <v>5</v>
      </c>
      <c r="AC326" s="30" t="str">
        <f>VLOOKUP(AB326,[2]Key!$C$20:$D$29,2,FALSE)</f>
        <v>Professional</v>
      </c>
      <c r="AD326" s="23">
        <v>4</v>
      </c>
      <c r="AE326" s="30" t="str">
        <f>VLOOKUP(AD326,[2]Key!$E$20:$F$24,2,FALSE)</f>
        <v>750,000-1,000,000</v>
      </c>
      <c r="AF326" s="23">
        <v>1</v>
      </c>
      <c r="AG326" s="62">
        <v>2</v>
      </c>
      <c r="AH326" s="62">
        <v>1</v>
      </c>
      <c r="AI326" s="62">
        <v>2</v>
      </c>
      <c r="AJ326" s="62">
        <v>1</v>
      </c>
      <c r="AK326" s="45" t="s">
        <v>94</v>
      </c>
      <c r="AL326" s="36">
        <v>1000</v>
      </c>
      <c r="AM326" t="str">
        <f t="shared" si="24"/>
        <v>1000-2000</v>
      </c>
    </row>
    <row r="327" spans="1:39" x14ac:dyDescent="0.2">
      <c r="A327" s="44" t="s">
        <v>355</v>
      </c>
      <c r="B327" s="60">
        <v>0.68958333333333333</v>
      </c>
      <c r="C327" s="60"/>
      <c r="D327" s="60" t="s">
        <v>96</v>
      </c>
      <c r="E327" s="13">
        <v>2</v>
      </c>
      <c r="F327" s="38" t="str">
        <f>VLOOKUP(E327,[2]Key!$A$17:$B$21,2,FALSE)</f>
        <v>Road Vehicle</v>
      </c>
      <c r="G327" s="61">
        <v>4</v>
      </c>
      <c r="H327" s="39" t="str">
        <f>VLOOKUP(G327,[2]Key!$A$2:$B$13,2,FALSE)</f>
        <v>Minibus</v>
      </c>
      <c r="I327" s="13" t="s">
        <v>108</v>
      </c>
      <c r="J327" s="13">
        <v>2</v>
      </c>
      <c r="K327" s="40" t="str">
        <f>VLOOKUP(J327,[2]Key!$A$24:$B$29,2,FALSE)</f>
        <v>30-39</v>
      </c>
      <c r="L327" s="13" t="s">
        <v>356</v>
      </c>
      <c r="M327" s="23" t="s">
        <v>150</v>
      </c>
      <c r="N327" s="13" t="s">
        <v>357</v>
      </c>
      <c r="O327" s="45">
        <v>2</v>
      </c>
      <c r="P327" s="30" t="str">
        <f>VLOOKUP(O327,[2]Key!$E$2:$F$9,2,FALSE)</f>
        <v>Work</v>
      </c>
      <c r="Q327" s="13" t="s">
        <v>368</v>
      </c>
      <c r="R327" s="23" t="s">
        <v>156</v>
      </c>
      <c r="S327" s="13" t="s">
        <v>357</v>
      </c>
      <c r="T327" s="23">
        <v>8</v>
      </c>
      <c r="U327" s="30" t="str">
        <f>VLOOKUP(T327,[2]Key!$E$2:$F$9,2,FALSE)</f>
        <v>Others</v>
      </c>
      <c r="V327" s="30" t="str">
        <f t="shared" si="21"/>
        <v>Work-Others</v>
      </c>
      <c r="W327" s="23">
        <v>70000</v>
      </c>
      <c r="X327" s="62">
        <v>30</v>
      </c>
      <c r="Y327" s="62" t="str">
        <f t="shared" si="22"/>
        <v>20-40</v>
      </c>
      <c r="Z327" s="62">
        <v>1</v>
      </c>
      <c r="AA327" s="62" t="str">
        <f t="shared" si="23"/>
        <v>1.0-2.0</v>
      </c>
      <c r="AB327" s="23">
        <v>10</v>
      </c>
      <c r="AC327" s="30" t="str">
        <f>VLOOKUP(AB327,[2]Key!$C$20:$D$29,2,FALSE)</f>
        <v>Other</v>
      </c>
      <c r="AD327" s="23">
        <v>1</v>
      </c>
      <c r="AE327" s="30" t="str">
        <f>VLOOKUP(AD327,[2]Key!$E$20:$F$24,2,FALSE)</f>
        <v>&lt;300,000</v>
      </c>
      <c r="AF327" s="23">
        <v>5</v>
      </c>
      <c r="AG327" s="62">
        <v>4</v>
      </c>
      <c r="AH327" s="62">
        <v>5</v>
      </c>
      <c r="AI327" s="62">
        <v>3</v>
      </c>
      <c r="AJ327" s="62">
        <v>2</v>
      </c>
      <c r="AK327" s="45" t="s">
        <v>94</v>
      </c>
      <c r="AL327" s="36">
        <v>2000</v>
      </c>
      <c r="AM327" t="str">
        <f t="shared" si="24"/>
        <v>2000-3000</v>
      </c>
    </row>
    <row r="328" spans="1:39" x14ac:dyDescent="0.2">
      <c r="A328" s="44" t="s">
        <v>355</v>
      </c>
      <c r="B328" s="60">
        <v>0.3125</v>
      </c>
      <c r="C328" s="60" t="s">
        <v>408</v>
      </c>
      <c r="D328" s="60" t="s">
        <v>96</v>
      </c>
      <c r="E328" s="13">
        <v>2</v>
      </c>
      <c r="F328" s="38" t="str">
        <f>VLOOKUP(E328,[2]Key!$A$17:$B$21,2,FALSE)</f>
        <v>Road Vehicle</v>
      </c>
      <c r="G328" s="61">
        <v>4</v>
      </c>
      <c r="H328" s="39" t="str">
        <f>VLOOKUP(G328,[2]Key!$A$2:$B$13,2,FALSE)</f>
        <v>Minibus</v>
      </c>
      <c r="I328" s="13" t="s">
        <v>108</v>
      </c>
      <c r="J328" s="13">
        <v>2</v>
      </c>
      <c r="K328" s="40" t="str">
        <f>VLOOKUP(J328,[2]Key!$A$24:$B$29,2,FALSE)</f>
        <v>30-39</v>
      </c>
      <c r="L328" s="13" t="s">
        <v>356</v>
      </c>
      <c r="M328" s="23" t="s">
        <v>150</v>
      </c>
      <c r="N328" s="13" t="s">
        <v>357</v>
      </c>
      <c r="O328" s="45">
        <v>2</v>
      </c>
      <c r="P328" s="30" t="str">
        <f>VLOOKUP(O328,[2]Key!$E$2:$F$9,2,FALSE)</f>
        <v>Work</v>
      </c>
      <c r="Q328" s="13" t="s">
        <v>369</v>
      </c>
      <c r="R328" s="23" t="s">
        <v>150</v>
      </c>
      <c r="S328" s="13" t="s">
        <v>357</v>
      </c>
      <c r="T328" s="23">
        <v>8</v>
      </c>
      <c r="U328" s="30" t="str">
        <f>VLOOKUP(T328,[2]Key!$E$2:$F$9,2,FALSE)</f>
        <v>Others</v>
      </c>
      <c r="V328" s="30" t="str">
        <f t="shared" si="21"/>
        <v>Work-Others</v>
      </c>
      <c r="W328" s="23">
        <v>60000</v>
      </c>
      <c r="X328" s="62">
        <v>25</v>
      </c>
      <c r="Y328" s="62" t="str">
        <f t="shared" si="22"/>
        <v>20-40</v>
      </c>
      <c r="Z328" s="62">
        <v>1</v>
      </c>
      <c r="AA328" s="62" t="str">
        <f t="shared" si="23"/>
        <v>1.0-2.0</v>
      </c>
      <c r="AB328" s="23">
        <v>10</v>
      </c>
      <c r="AC328" s="30" t="str">
        <f>VLOOKUP(AB328,[2]Key!$C$20:$D$29,2,FALSE)</f>
        <v>Other</v>
      </c>
      <c r="AD328" s="23">
        <v>1</v>
      </c>
      <c r="AE328" s="30" t="str">
        <f>VLOOKUP(AD328,[2]Key!$E$20:$F$24,2,FALSE)</f>
        <v>&lt;300,000</v>
      </c>
      <c r="AF328" s="23">
        <v>2</v>
      </c>
      <c r="AG328" s="62">
        <v>1</v>
      </c>
      <c r="AH328" s="62">
        <v>2</v>
      </c>
      <c r="AI328" s="62">
        <v>3</v>
      </c>
      <c r="AJ328" s="62">
        <v>1</v>
      </c>
      <c r="AK328" s="45" t="s">
        <v>94</v>
      </c>
      <c r="AL328" s="36"/>
      <c r="AM328" t="str">
        <f t="shared" si="24"/>
        <v>0-1000</v>
      </c>
    </row>
    <row r="329" spans="1:39" x14ac:dyDescent="0.2">
      <c r="A329" s="44" t="s">
        <v>355</v>
      </c>
      <c r="B329" s="60">
        <v>0.64444444444444449</v>
      </c>
      <c r="C329" s="60" t="s">
        <v>409</v>
      </c>
      <c r="D329" s="60" t="s">
        <v>96</v>
      </c>
      <c r="E329" s="13">
        <v>2</v>
      </c>
      <c r="F329" s="38" t="str">
        <f>VLOOKUP(E329,[2]Key!$A$17:$B$21,2,FALSE)</f>
        <v>Road Vehicle</v>
      </c>
      <c r="G329" s="61">
        <v>4</v>
      </c>
      <c r="H329" s="39" t="str">
        <f>VLOOKUP(G329,[2]Key!$A$2:$B$13,2,FALSE)</f>
        <v>Minibus</v>
      </c>
      <c r="I329" s="13" t="s">
        <v>108</v>
      </c>
      <c r="J329" s="13">
        <v>2</v>
      </c>
      <c r="K329" s="40" t="str">
        <f>VLOOKUP(J329,[2]Key!$A$24:$B$29,2,FALSE)</f>
        <v>30-39</v>
      </c>
      <c r="L329" s="13" t="s">
        <v>356</v>
      </c>
      <c r="M329" s="23" t="s">
        <v>150</v>
      </c>
      <c r="N329" s="13" t="s">
        <v>357</v>
      </c>
      <c r="O329" s="45">
        <v>2</v>
      </c>
      <c r="P329" s="30" t="str">
        <f>VLOOKUP(O329,[2]Key!$E$2:$F$9,2,FALSE)</f>
        <v>Work</v>
      </c>
      <c r="Q329" s="13" t="s">
        <v>232</v>
      </c>
      <c r="R329" s="23" t="s">
        <v>159</v>
      </c>
      <c r="S329" s="13" t="s">
        <v>357</v>
      </c>
      <c r="T329" s="23">
        <v>8</v>
      </c>
      <c r="U329" s="30" t="str">
        <f>VLOOKUP(T329,[2]Key!$E$2:$F$9,2,FALSE)</f>
        <v>Others</v>
      </c>
      <c r="V329" s="30" t="str">
        <f t="shared" si="21"/>
        <v>Work-Others</v>
      </c>
      <c r="W329" s="23">
        <v>60000</v>
      </c>
      <c r="X329" s="62">
        <v>28</v>
      </c>
      <c r="Y329" s="62" t="str">
        <f t="shared" si="22"/>
        <v>20-40</v>
      </c>
      <c r="Z329" s="62">
        <v>1</v>
      </c>
      <c r="AA329" s="62" t="str">
        <f t="shared" si="23"/>
        <v>1.0-2.0</v>
      </c>
      <c r="AB329" s="23">
        <v>10</v>
      </c>
      <c r="AC329" s="30" t="str">
        <f>VLOOKUP(AB329,[2]Key!$C$20:$D$29,2,FALSE)</f>
        <v>Other</v>
      </c>
      <c r="AD329" s="23">
        <v>1</v>
      </c>
      <c r="AE329" s="30" t="str">
        <f>VLOOKUP(AD329,[2]Key!$E$20:$F$24,2,FALSE)</f>
        <v>&lt;300,000</v>
      </c>
      <c r="AF329" s="23">
        <v>5</v>
      </c>
      <c r="AG329" s="62">
        <v>4</v>
      </c>
      <c r="AH329" s="62">
        <v>5</v>
      </c>
      <c r="AI329" s="62">
        <v>2</v>
      </c>
      <c r="AJ329" s="62">
        <v>1</v>
      </c>
      <c r="AK329" s="45" t="s">
        <v>94</v>
      </c>
      <c r="AL329" s="36">
        <v>2000</v>
      </c>
      <c r="AM329" t="str">
        <f t="shared" si="24"/>
        <v>2000-3000</v>
      </c>
    </row>
    <row r="330" spans="1:39" x14ac:dyDescent="0.2">
      <c r="A330" s="44" t="s">
        <v>355</v>
      </c>
      <c r="B330" s="60">
        <v>0.6069444444444444</v>
      </c>
      <c r="C330" s="60" t="s">
        <v>410</v>
      </c>
      <c r="D330" s="60" t="s">
        <v>96</v>
      </c>
      <c r="E330" s="13">
        <v>2</v>
      </c>
      <c r="F330" s="38" t="str">
        <f>VLOOKUP(E330,[2]Key!$A$17:$B$21,2,FALSE)</f>
        <v>Road Vehicle</v>
      </c>
      <c r="G330" s="61">
        <v>4</v>
      </c>
      <c r="H330" s="39" t="str">
        <f>VLOOKUP(G330,[2]Key!$A$2:$B$13,2,FALSE)</f>
        <v>Minibus</v>
      </c>
      <c r="I330" s="13" t="s">
        <v>108</v>
      </c>
      <c r="J330" s="13">
        <v>2</v>
      </c>
      <c r="K330" s="40" t="str">
        <f>VLOOKUP(J330,[2]Key!$A$24:$B$29,2,FALSE)</f>
        <v>30-39</v>
      </c>
      <c r="L330" s="13" t="s">
        <v>356</v>
      </c>
      <c r="M330" s="23" t="s">
        <v>150</v>
      </c>
      <c r="N330" s="13" t="s">
        <v>357</v>
      </c>
      <c r="O330" s="45">
        <v>2</v>
      </c>
      <c r="P330" s="30" t="str">
        <f>VLOOKUP(O330,[2]Key!$E$2:$F$9,2,FALSE)</f>
        <v>Work</v>
      </c>
      <c r="Q330" s="13" t="s">
        <v>371</v>
      </c>
      <c r="R330" s="23" t="s">
        <v>156</v>
      </c>
      <c r="S330" s="13" t="s">
        <v>357</v>
      </c>
      <c r="T330" s="23">
        <v>8</v>
      </c>
      <c r="U330" s="30" t="str">
        <f>VLOOKUP(T330,[2]Key!$E$2:$F$9,2,FALSE)</f>
        <v>Others</v>
      </c>
      <c r="V330" s="30" t="str">
        <f t="shared" si="21"/>
        <v>Work-Others</v>
      </c>
      <c r="W330" s="23">
        <v>60000</v>
      </c>
      <c r="X330" s="62">
        <v>28</v>
      </c>
      <c r="Y330" s="62" t="str">
        <f t="shared" si="22"/>
        <v>20-40</v>
      </c>
      <c r="Z330" s="62">
        <v>1</v>
      </c>
      <c r="AA330" s="62" t="str">
        <f t="shared" si="23"/>
        <v>1.0-2.0</v>
      </c>
      <c r="AB330" s="23">
        <v>10</v>
      </c>
      <c r="AC330" s="30" t="str">
        <f>VLOOKUP(AB330,[2]Key!$C$20:$D$29,2,FALSE)</f>
        <v>Other</v>
      </c>
      <c r="AD330" s="23">
        <v>1</v>
      </c>
      <c r="AE330" s="30" t="str">
        <f>VLOOKUP(AD330,[2]Key!$E$20:$F$24,2,FALSE)</f>
        <v>&lt;300,000</v>
      </c>
      <c r="AF330" s="23">
        <v>2</v>
      </c>
      <c r="AG330" s="62">
        <v>4</v>
      </c>
      <c r="AH330" s="62">
        <v>5</v>
      </c>
      <c r="AI330" s="62">
        <v>5</v>
      </c>
      <c r="AJ330" s="62">
        <v>3</v>
      </c>
      <c r="AK330" s="45" t="s">
        <v>94</v>
      </c>
      <c r="AL330" s="36"/>
      <c r="AM330" t="str">
        <f t="shared" si="24"/>
        <v>0-1000</v>
      </c>
    </row>
    <row r="331" spans="1:39" x14ac:dyDescent="0.2">
      <c r="A331" s="44" t="s">
        <v>355</v>
      </c>
      <c r="B331" s="60">
        <v>0.46527777777777773</v>
      </c>
      <c r="C331" s="60"/>
      <c r="D331" s="60" t="s">
        <v>165</v>
      </c>
      <c r="E331" s="13">
        <v>2</v>
      </c>
      <c r="F331" s="38" t="str">
        <f>VLOOKUP(E331,[2]Key!$A$17:$B$21,2,FALSE)</f>
        <v>Road Vehicle</v>
      </c>
      <c r="G331" s="61">
        <v>4</v>
      </c>
      <c r="H331" s="39" t="str">
        <f>VLOOKUP(G331,[2]Key!$A$2:$B$13,2,FALSE)</f>
        <v>Minibus</v>
      </c>
      <c r="I331" s="13" t="s">
        <v>108</v>
      </c>
      <c r="J331" s="13">
        <v>2</v>
      </c>
      <c r="K331" s="40" t="str">
        <f>VLOOKUP(J331,[2]Key!$A$24:$B$29,2,FALSE)</f>
        <v>30-39</v>
      </c>
      <c r="L331" s="13" t="s">
        <v>356</v>
      </c>
      <c r="M331" s="23" t="s">
        <v>150</v>
      </c>
      <c r="N331" s="13" t="s">
        <v>357</v>
      </c>
      <c r="O331" s="45">
        <v>2</v>
      </c>
      <c r="P331" s="30" t="str">
        <f>VLOOKUP(O331,[2]Key!$E$2:$F$9,2,FALSE)</f>
        <v>Work</v>
      </c>
      <c r="Q331" s="13" t="s">
        <v>284</v>
      </c>
      <c r="R331" s="23" t="s">
        <v>156</v>
      </c>
      <c r="S331" s="13" t="s">
        <v>357</v>
      </c>
      <c r="T331" s="23">
        <v>1</v>
      </c>
      <c r="U331" s="30" t="str">
        <f>VLOOKUP(T331,[2]Key!$E$2:$F$9,2,FALSE)</f>
        <v>Home</v>
      </c>
      <c r="V331" s="30" t="str">
        <f t="shared" si="21"/>
        <v>Work-Home</v>
      </c>
      <c r="W331" s="41">
        <v>3000</v>
      </c>
      <c r="X331" s="62">
        <v>39</v>
      </c>
      <c r="Y331" s="62" t="str">
        <f t="shared" si="22"/>
        <v>20-40</v>
      </c>
      <c r="Z331" s="62">
        <v>1</v>
      </c>
      <c r="AA331" s="62" t="str">
        <f t="shared" si="23"/>
        <v>1.0-2.0</v>
      </c>
      <c r="AB331" s="23">
        <v>4</v>
      </c>
      <c r="AC331" s="30" t="str">
        <f>VLOOKUP(AB331,[2]Key!$C$20:$D$29,2,FALSE)</f>
        <v>Office Worker</v>
      </c>
      <c r="AD331" s="23">
        <v>3</v>
      </c>
      <c r="AE331" s="30" t="str">
        <f>VLOOKUP(AD331,[2]Key!$E$20:$F$24,2,FALSE)</f>
        <v>500,000-750,000</v>
      </c>
      <c r="AF331" s="23">
        <v>5</v>
      </c>
      <c r="AG331" s="62">
        <v>2</v>
      </c>
      <c r="AH331" s="62">
        <v>2</v>
      </c>
      <c r="AI331" s="62">
        <v>1</v>
      </c>
      <c r="AJ331" s="62">
        <v>1</v>
      </c>
      <c r="AK331" s="45" t="s">
        <v>94</v>
      </c>
      <c r="AL331" s="36">
        <v>1000</v>
      </c>
      <c r="AM331" t="str">
        <f t="shared" si="24"/>
        <v>1000-2000</v>
      </c>
    </row>
    <row r="332" spans="1:39" x14ac:dyDescent="0.2">
      <c r="A332" s="44" t="s">
        <v>355</v>
      </c>
      <c r="B332" s="60">
        <v>0.65277777777777779</v>
      </c>
      <c r="C332" s="60"/>
      <c r="D332" s="60" t="s">
        <v>165</v>
      </c>
      <c r="E332" s="13">
        <v>2</v>
      </c>
      <c r="F332" s="38" t="s">
        <v>101</v>
      </c>
      <c r="G332" s="61">
        <v>4</v>
      </c>
      <c r="H332" s="39" t="str">
        <f>VLOOKUP(G332,[2]Key!$A$2:$B$13,2,FALSE)</f>
        <v>Minibus</v>
      </c>
      <c r="I332" s="13" t="s">
        <v>108</v>
      </c>
      <c r="J332" s="13">
        <v>2</v>
      </c>
      <c r="K332" s="40" t="str">
        <f>VLOOKUP(J332,[2]Key!$A$24:$B$29,2,FALSE)</f>
        <v>30-39</v>
      </c>
      <c r="L332" s="13" t="s">
        <v>238</v>
      </c>
      <c r="M332" s="23" t="s">
        <v>150</v>
      </c>
      <c r="N332" s="13" t="s">
        <v>357</v>
      </c>
      <c r="O332" s="45">
        <v>2</v>
      </c>
      <c r="P332" s="30" t="str">
        <f>VLOOKUP(O332,[2]Key!$E$2:$F$9,2,FALSE)</f>
        <v>Work</v>
      </c>
      <c r="Q332" s="13" t="s">
        <v>232</v>
      </c>
      <c r="R332" s="23" t="s">
        <v>159</v>
      </c>
      <c r="S332" s="13" t="s">
        <v>357</v>
      </c>
      <c r="T332" s="23">
        <v>6</v>
      </c>
      <c r="U332" s="30" t="str">
        <f>VLOOKUP(T332,[2]Key!$E$2:$F$9,2,FALSE)</f>
        <v>Leisure/Social</v>
      </c>
      <c r="V332" s="30" t="str">
        <f t="shared" si="21"/>
        <v>Work-Leisure/Social</v>
      </c>
      <c r="W332" s="23">
        <v>3000</v>
      </c>
      <c r="X332" s="62">
        <v>28</v>
      </c>
      <c r="Y332" s="62" t="str">
        <f t="shared" si="22"/>
        <v>20-40</v>
      </c>
      <c r="Z332" s="62">
        <v>1</v>
      </c>
      <c r="AA332" s="62" t="str">
        <f t="shared" si="23"/>
        <v>1.0-2.0</v>
      </c>
      <c r="AB332" s="23">
        <v>6</v>
      </c>
      <c r="AC332" s="30" t="str">
        <f>VLOOKUP(AB332,[2]Key!$C$20:$D$29,2,FALSE)</f>
        <v>Businessman</v>
      </c>
      <c r="AD332" s="23">
        <v>1</v>
      </c>
      <c r="AE332" s="30" t="str">
        <f>VLOOKUP(AD332,[2]Key!$E$20:$F$24,2,FALSE)</f>
        <v>&lt;300,000</v>
      </c>
      <c r="AF332" s="23">
        <v>2</v>
      </c>
      <c r="AG332" s="62">
        <v>1</v>
      </c>
      <c r="AH332" s="62">
        <v>3</v>
      </c>
      <c r="AI332" s="62">
        <v>5</v>
      </c>
      <c r="AJ332" s="62">
        <v>1</v>
      </c>
      <c r="AK332" s="45" t="s">
        <v>94</v>
      </c>
      <c r="AL332" s="36"/>
      <c r="AM332" t="str">
        <f t="shared" si="24"/>
        <v>0-1000</v>
      </c>
    </row>
    <row r="333" spans="1:39" x14ac:dyDescent="0.2">
      <c r="A333" s="44" t="s">
        <v>355</v>
      </c>
      <c r="B333" s="60">
        <v>0.35694444444444445</v>
      </c>
      <c r="C333" s="60"/>
      <c r="D333" s="60" t="s">
        <v>96</v>
      </c>
      <c r="E333" s="13">
        <v>2</v>
      </c>
      <c r="F333" s="38" t="str">
        <f>VLOOKUP(E333,[2]Key!$A$17:$B$21,2,FALSE)</f>
        <v>Road Vehicle</v>
      </c>
      <c r="G333" s="61">
        <v>4</v>
      </c>
      <c r="H333" s="39" t="str">
        <f>VLOOKUP(G333,[2]Key!$A$2:$B$13,2,FALSE)</f>
        <v>Minibus</v>
      </c>
      <c r="I333" s="13" t="s">
        <v>108</v>
      </c>
      <c r="J333" s="13">
        <v>2</v>
      </c>
      <c r="K333" s="40" t="str">
        <f>VLOOKUP(J333,[2]Key!$A$24:$B$29,2,FALSE)</f>
        <v>30-39</v>
      </c>
      <c r="L333" s="13" t="s">
        <v>356</v>
      </c>
      <c r="M333" s="23" t="s">
        <v>150</v>
      </c>
      <c r="N333" s="13" t="s">
        <v>357</v>
      </c>
      <c r="O333" s="45">
        <v>2</v>
      </c>
      <c r="P333" s="30" t="str">
        <f>VLOOKUP(O333,[2]Key!$E$2:$F$9,2,FALSE)</f>
        <v>Work</v>
      </c>
      <c r="Q333" s="13" t="s">
        <v>175</v>
      </c>
      <c r="R333" s="23" t="s">
        <v>156</v>
      </c>
      <c r="S333" s="13" t="s">
        <v>357</v>
      </c>
      <c r="T333" s="23">
        <v>2</v>
      </c>
      <c r="U333" s="30" t="str">
        <f>VLOOKUP(T333,[2]Key!$E$2:$F$9,2,FALSE)</f>
        <v>Work</v>
      </c>
      <c r="V333" s="30" t="str">
        <f t="shared" si="21"/>
        <v>Work-Work</v>
      </c>
      <c r="W333" s="41">
        <v>35000</v>
      </c>
      <c r="X333" s="62">
        <v>39</v>
      </c>
      <c r="Y333" s="62" t="str">
        <f t="shared" si="22"/>
        <v>20-40</v>
      </c>
      <c r="Z333" s="62">
        <v>1.5</v>
      </c>
      <c r="AA333" s="62" t="str">
        <f t="shared" si="23"/>
        <v>1.0-2.0</v>
      </c>
      <c r="AB333" s="23">
        <v>5</v>
      </c>
      <c r="AC333" s="30" t="str">
        <f>VLOOKUP(AB333,[2]Key!$C$20:$D$29,2,FALSE)</f>
        <v>Professional</v>
      </c>
      <c r="AD333" s="23">
        <v>3</v>
      </c>
      <c r="AE333" s="30" t="str">
        <f>VLOOKUP(AD333,[2]Key!$E$20:$F$24,2,FALSE)</f>
        <v>500,000-750,000</v>
      </c>
      <c r="AF333" s="23">
        <v>1</v>
      </c>
      <c r="AG333" s="62">
        <v>2</v>
      </c>
      <c r="AH333" s="62">
        <v>2</v>
      </c>
      <c r="AI333" s="62">
        <v>1</v>
      </c>
      <c r="AJ333" s="62">
        <v>1</v>
      </c>
      <c r="AK333" s="45" t="s">
        <v>94</v>
      </c>
      <c r="AL333" s="36">
        <v>5000</v>
      </c>
      <c r="AM333" t="str">
        <f t="shared" si="24"/>
        <v>5000-10000</v>
      </c>
    </row>
    <row r="334" spans="1:39" x14ac:dyDescent="0.2">
      <c r="A334" s="44" t="s">
        <v>355</v>
      </c>
      <c r="B334" s="60">
        <v>0.71944444444444444</v>
      </c>
      <c r="C334" s="60"/>
      <c r="D334" s="60" t="s">
        <v>96</v>
      </c>
      <c r="E334" s="13">
        <v>2</v>
      </c>
      <c r="F334" s="38" t="str">
        <f>VLOOKUP(E334,[2]Key!$A$17:$B$21,2,FALSE)</f>
        <v>Road Vehicle</v>
      </c>
      <c r="G334" s="61">
        <v>4</v>
      </c>
      <c r="H334" s="39" t="str">
        <f>VLOOKUP(G334,[2]Key!$A$2:$B$13,2,FALSE)</f>
        <v>Minibus</v>
      </c>
      <c r="I334" s="13" t="s">
        <v>108</v>
      </c>
      <c r="J334" s="13">
        <v>2</v>
      </c>
      <c r="K334" s="40" t="str">
        <f>VLOOKUP(J334,[2]Key!$A$24:$B$29,2,FALSE)</f>
        <v>30-39</v>
      </c>
      <c r="L334" s="13" t="s">
        <v>356</v>
      </c>
      <c r="M334" s="23" t="s">
        <v>150</v>
      </c>
      <c r="N334" s="13" t="s">
        <v>357</v>
      </c>
      <c r="O334" s="45">
        <v>2</v>
      </c>
      <c r="P334" s="30" t="str">
        <f>VLOOKUP(O334,[2]Key!$E$2:$F$9,2,FALSE)</f>
        <v>Work</v>
      </c>
      <c r="Q334" s="13" t="s">
        <v>411</v>
      </c>
      <c r="R334" s="23" t="s">
        <v>156</v>
      </c>
      <c r="S334" s="13" t="s">
        <v>357</v>
      </c>
      <c r="T334" s="23">
        <v>2</v>
      </c>
      <c r="U334" s="30" t="str">
        <f>VLOOKUP(T334,[2]Key!$E$2:$F$9,2,FALSE)</f>
        <v>Work</v>
      </c>
      <c r="V334" s="30" t="str">
        <f t="shared" si="21"/>
        <v>Work-Work</v>
      </c>
      <c r="W334" s="23">
        <v>40000</v>
      </c>
      <c r="X334" s="62">
        <v>39</v>
      </c>
      <c r="Y334" s="62" t="str">
        <f t="shared" si="22"/>
        <v>20-40</v>
      </c>
      <c r="Z334" s="62">
        <v>1.5</v>
      </c>
      <c r="AA334" s="62" t="str">
        <f t="shared" si="23"/>
        <v>1.0-2.0</v>
      </c>
      <c r="AB334" s="23">
        <v>5</v>
      </c>
      <c r="AC334" s="30" t="str">
        <f>VLOOKUP(AB334,[2]Key!$C$20:$D$29,2,FALSE)</f>
        <v>Professional</v>
      </c>
      <c r="AD334" s="23">
        <v>3</v>
      </c>
      <c r="AE334" s="30" t="str">
        <f>VLOOKUP(AD334,[2]Key!$E$20:$F$24,2,FALSE)</f>
        <v>500,000-750,000</v>
      </c>
      <c r="AF334" s="23">
        <v>2</v>
      </c>
      <c r="AG334" s="62">
        <v>1</v>
      </c>
      <c r="AH334" s="62">
        <v>1</v>
      </c>
      <c r="AI334" s="62">
        <v>2</v>
      </c>
      <c r="AJ334" s="62">
        <v>1</v>
      </c>
      <c r="AK334" s="45" t="s">
        <v>94</v>
      </c>
      <c r="AL334" s="36">
        <v>1000</v>
      </c>
      <c r="AM334" t="str">
        <f t="shared" si="24"/>
        <v>1000-2000</v>
      </c>
    </row>
    <row r="335" spans="1:39" x14ac:dyDescent="0.2">
      <c r="A335" s="44" t="s">
        <v>355</v>
      </c>
      <c r="B335" s="60">
        <v>0.74236111111111114</v>
      </c>
      <c r="C335" s="60"/>
      <c r="D335" s="60" t="s">
        <v>96</v>
      </c>
      <c r="E335" s="13">
        <v>2</v>
      </c>
      <c r="F335" s="38" t="str">
        <f>VLOOKUP(E335,[2]Key!$A$17:$B$21,2,FALSE)</f>
        <v>Road Vehicle</v>
      </c>
      <c r="G335" s="61">
        <v>4</v>
      </c>
      <c r="H335" s="39" t="str">
        <f>VLOOKUP(G335,[2]Key!$A$2:$B$13,2,FALSE)</f>
        <v>Minibus</v>
      </c>
      <c r="I335" s="13" t="s">
        <v>108</v>
      </c>
      <c r="J335" s="13">
        <v>2</v>
      </c>
      <c r="K335" s="40" t="str">
        <f>VLOOKUP(J335,[2]Key!$A$24:$B$29,2,FALSE)</f>
        <v>30-39</v>
      </c>
      <c r="L335" s="13" t="s">
        <v>356</v>
      </c>
      <c r="M335" s="23" t="s">
        <v>150</v>
      </c>
      <c r="N335" s="13" t="s">
        <v>357</v>
      </c>
      <c r="O335" s="45">
        <v>2</v>
      </c>
      <c r="P335" s="30" t="str">
        <f>VLOOKUP(O335,[2]Key!$E$2:$F$9,2,FALSE)</f>
        <v>Work</v>
      </c>
      <c r="Q335" s="13" t="s">
        <v>412</v>
      </c>
      <c r="R335" s="23" t="s">
        <v>156</v>
      </c>
      <c r="S335" s="13" t="s">
        <v>357</v>
      </c>
      <c r="T335" s="23">
        <v>2</v>
      </c>
      <c r="U335" s="30" t="str">
        <f>VLOOKUP(T335,[2]Key!$E$2:$F$9,2,FALSE)</f>
        <v>Work</v>
      </c>
      <c r="V335" s="30" t="str">
        <f t="shared" si="21"/>
        <v>Work-Work</v>
      </c>
      <c r="W335" s="23">
        <v>35000</v>
      </c>
      <c r="X335" s="62">
        <v>30</v>
      </c>
      <c r="Y335" s="62" t="str">
        <f t="shared" si="22"/>
        <v>20-40</v>
      </c>
      <c r="Z335" s="62">
        <v>1.5</v>
      </c>
      <c r="AA335" s="62" t="str">
        <f t="shared" si="23"/>
        <v>1.0-2.0</v>
      </c>
      <c r="AB335" s="23">
        <v>5</v>
      </c>
      <c r="AC335" s="30" t="str">
        <f>VLOOKUP(AB335,[2]Key!$C$20:$D$29,2,FALSE)</f>
        <v>Professional</v>
      </c>
      <c r="AD335" s="23">
        <v>3</v>
      </c>
      <c r="AE335" s="30" t="str">
        <f>VLOOKUP(AD335,[2]Key!$E$20:$F$24,2,FALSE)</f>
        <v>500,000-750,000</v>
      </c>
      <c r="AF335" s="23">
        <v>1</v>
      </c>
      <c r="AG335" s="62">
        <v>1</v>
      </c>
      <c r="AH335" s="62">
        <v>1</v>
      </c>
      <c r="AI335" s="62">
        <v>2</v>
      </c>
      <c r="AJ335" s="62">
        <v>1</v>
      </c>
      <c r="AK335" s="45" t="s">
        <v>94</v>
      </c>
      <c r="AL335" s="36">
        <v>1000</v>
      </c>
      <c r="AM335" t="str">
        <f t="shared" si="24"/>
        <v>1000-2000</v>
      </c>
    </row>
    <row r="336" spans="1:39" x14ac:dyDescent="0.2">
      <c r="A336" s="44" t="s">
        <v>355</v>
      </c>
      <c r="B336" s="60">
        <v>0.54583333333333328</v>
      </c>
      <c r="C336" s="60" t="s">
        <v>413</v>
      </c>
      <c r="D336" s="60" t="s">
        <v>96</v>
      </c>
      <c r="E336" s="13">
        <v>2</v>
      </c>
      <c r="F336" s="38" t="str">
        <f>VLOOKUP(E336,[2]Key!$A$17:$B$21,2,FALSE)</f>
        <v>Road Vehicle</v>
      </c>
      <c r="G336" s="61">
        <v>4</v>
      </c>
      <c r="H336" s="39" t="str">
        <f>VLOOKUP(G336,[2]Key!$A$2:$B$13,2,FALSE)</f>
        <v>Minibus</v>
      </c>
      <c r="I336" s="13" t="s">
        <v>108</v>
      </c>
      <c r="J336" s="13">
        <v>2</v>
      </c>
      <c r="K336" s="40" t="str">
        <f>VLOOKUP(J336,[2]Key!$A$24:$B$29,2,FALSE)</f>
        <v>30-39</v>
      </c>
      <c r="L336" s="13" t="s">
        <v>356</v>
      </c>
      <c r="M336" s="23" t="s">
        <v>150</v>
      </c>
      <c r="N336" s="13" t="s">
        <v>357</v>
      </c>
      <c r="O336" s="45">
        <v>2</v>
      </c>
      <c r="P336" s="30" t="str">
        <f>VLOOKUP(O336,[2]Key!$E$2:$F$9,2,FALSE)</f>
        <v>Work</v>
      </c>
      <c r="Q336" s="13" t="s">
        <v>414</v>
      </c>
      <c r="R336" s="23" t="s">
        <v>156</v>
      </c>
      <c r="S336" s="13" t="s">
        <v>357</v>
      </c>
      <c r="T336" s="23">
        <v>8</v>
      </c>
      <c r="U336" s="30" t="str">
        <f>VLOOKUP(T336,[2]Key!$E$2:$F$9,2,FALSE)</f>
        <v>Others</v>
      </c>
      <c r="V336" s="30" t="str">
        <f t="shared" si="21"/>
        <v>Work-Others</v>
      </c>
      <c r="W336" s="23">
        <v>80000</v>
      </c>
      <c r="X336" s="62">
        <v>50</v>
      </c>
      <c r="Y336" s="62" t="str">
        <f t="shared" si="22"/>
        <v>40-70</v>
      </c>
      <c r="Z336" s="62">
        <v>1.5</v>
      </c>
      <c r="AA336" s="62" t="str">
        <f t="shared" si="23"/>
        <v>1.0-2.0</v>
      </c>
      <c r="AB336" s="23">
        <v>10</v>
      </c>
      <c r="AC336" s="30" t="str">
        <f>VLOOKUP(AB336,[2]Key!$C$20:$D$29,2,FALSE)</f>
        <v>Other</v>
      </c>
      <c r="AD336" s="23">
        <v>1</v>
      </c>
      <c r="AE336" s="30" t="s">
        <v>136</v>
      </c>
      <c r="AF336" s="23">
        <v>5</v>
      </c>
      <c r="AG336" s="62">
        <v>4</v>
      </c>
      <c r="AH336" s="62">
        <v>1</v>
      </c>
      <c r="AI336" s="62">
        <v>2</v>
      </c>
      <c r="AJ336" s="62">
        <v>2</v>
      </c>
      <c r="AK336" s="45" t="s">
        <v>94</v>
      </c>
      <c r="AL336" s="36"/>
      <c r="AM336" t="str">
        <f t="shared" si="24"/>
        <v>0-1000</v>
      </c>
    </row>
    <row r="337" spans="1:39" x14ac:dyDescent="0.2">
      <c r="A337" s="44" t="s">
        <v>355</v>
      </c>
      <c r="B337" s="60">
        <v>0.75</v>
      </c>
      <c r="C337" s="60" t="s">
        <v>415</v>
      </c>
      <c r="D337" s="60" t="s">
        <v>96</v>
      </c>
      <c r="E337" s="13">
        <v>2</v>
      </c>
      <c r="F337" s="38" t="str">
        <f>VLOOKUP(E337,[2]Key!$A$17:$B$21,2,FALSE)</f>
        <v>Road Vehicle</v>
      </c>
      <c r="G337" s="61">
        <v>4</v>
      </c>
      <c r="H337" s="39" t="str">
        <f>VLOOKUP(G337,[2]Key!$A$2:$B$13,2,FALSE)</f>
        <v>Minibus</v>
      </c>
      <c r="I337" s="13" t="s">
        <v>108</v>
      </c>
      <c r="J337" s="13">
        <v>2</v>
      </c>
      <c r="K337" s="40" t="str">
        <f>VLOOKUP(J337,[2]Key!$A$24:$B$29,2,FALSE)</f>
        <v>30-39</v>
      </c>
      <c r="L337" s="13" t="s">
        <v>356</v>
      </c>
      <c r="M337" s="23" t="s">
        <v>150</v>
      </c>
      <c r="N337" s="13" t="s">
        <v>357</v>
      </c>
      <c r="O337" s="45">
        <v>2</v>
      </c>
      <c r="P337" s="30" t="str">
        <f>VLOOKUP(O337,[2]Key!$E$2:$F$9,2,FALSE)</f>
        <v>Work</v>
      </c>
      <c r="Q337" s="13" t="s">
        <v>377</v>
      </c>
      <c r="R337" s="23" t="s">
        <v>416</v>
      </c>
      <c r="S337" s="13" t="s">
        <v>357</v>
      </c>
      <c r="T337" s="23">
        <v>8</v>
      </c>
      <c r="U337" s="30" t="s">
        <v>70</v>
      </c>
      <c r="V337" s="30" t="str">
        <f t="shared" si="21"/>
        <v>Work-Others</v>
      </c>
      <c r="W337" s="23">
        <v>80000</v>
      </c>
      <c r="X337" s="62">
        <v>60</v>
      </c>
      <c r="Y337" s="62" t="str">
        <f t="shared" si="22"/>
        <v>40-70</v>
      </c>
      <c r="Z337" s="62">
        <v>1.5</v>
      </c>
      <c r="AA337" s="62" t="str">
        <f t="shared" si="23"/>
        <v>1.0-2.0</v>
      </c>
      <c r="AB337" s="23">
        <v>10</v>
      </c>
      <c r="AC337" s="30" t="str">
        <f>VLOOKUP(AB337,[2]Key!$C$20:$D$29,2,FALSE)</f>
        <v>Other</v>
      </c>
      <c r="AD337" s="23">
        <v>1</v>
      </c>
      <c r="AE337" s="30" t="str">
        <f>VLOOKUP(AD337,[2]Key!$E$20:$F$24,2,FALSE)</f>
        <v>&lt;300,000</v>
      </c>
      <c r="AF337" s="23">
        <v>5</v>
      </c>
      <c r="AG337" s="62">
        <v>4</v>
      </c>
      <c r="AH337" s="62">
        <v>5</v>
      </c>
      <c r="AI337" s="62">
        <v>3</v>
      </c>
      <c r="AJ337" s="62">
        <v>2</v>
      </c>
      <c r="AK337" s="45" t="s">
        <v>94</v>
      </c>
      <c r="AL337" s="36">
        <v>1000</v>
      </c>
      <c r="AM337" t="str">
        <f t="shared" si="24"/>
        <v>1000-2000</v>
      </c>
    </row>
    <row r="338" spans="1:39" x14ac:dyDescent="0.2">
      <c r="A338" s="44" t="s">
        <v>355</v>
      </c>
      <c r="B338" s="60">
        <v>0.68680555555555556</v>
      </c>
      <c r="C338" s="60"/>
      <c r="D338" s="60" t="s">
        <v>96</v>
      </c>
      <c r="E338" s="13">
        <v>2</v>
      </c>
      <c r="F338" s="38" t="str">
        <f>VLOOKUP(E338,[2]Key!$A$17:$B$21,2,FALSE)</f>
        <v>Road Vehicle</v>
      </c>
      <c r="G338" s="61">
        <v>4</v>
      </c>
      <c r="H338" s="39" t="str">
        <f>VLOOKUP(G338,[2]Key!$A$2:$B$13,2,FALSE)</f>
        <v>Minibus</v>
      </c>
      <c r="I338" s="13" t="s">
        <v>108</v>
      </c>
      <c r="J338" s="13">
        <v>2</v>
      </c>
      <c r="K338" s="40" t="str">
        <f>VLOOKUP(J338,[2]Key!$A$24:$B$29,2,FALSE)</f>
        <v>30-39</v>
      </c>
      <c r="L338" s="13" t="s">
        <v>356</v>
      </c>
      <c r="M338" s="23" t="s">
        <v>150</v>
      </c>
      <c r="N338" s="13" t="s">
        <v>357</v>
      </c>
      <c r="O338" s="45">
        <v>2</v>
      </c>
      <c r="P338" s="30" t="str">
        <f>VLOOKUP(O338,[2]Key!$E$2:$F$9,2,FALSE)</f>
        <v>Work</v>
      </c>
      <c r="Q338" s="13" t="s">
        <v>417</v>
      </c>
      <c r="R338" s="23" t="s">
        <v>156</v>
      </c>
      <c r="S338" s="13" t="s">
        <v>357</v>
      </c>
      <c r="T338" s="23">
        <v>2</v>
      </c>
      <c r="U338" s="30" t="str">
        <f>VLOOKUP(T338,[2]Key!$E$2:$F$9,2,FALSE)</f>
        <v>Work</v>
      </c>
      <c r="V338" s="30" t="str">
        <f t="shared" si="21"/>
        <v>Work-Work</v>
      </c>
      <c r="W338" s="23">
        <v>40000</v>
      </c>
      <c r="X338" s="62">
        <v>43</v>
      </c>
      <c r="Y338" s="62" t="str">
        <f t="shared" si="22"/>
        <v>40-70</v>
      </c>
      <c r="Z338" s="62">
        <v>2</v>
      </c>
      <c r="AA338" s="62" t="str">
        <f t="shared" si="23"/>
        <v>2.0-3.5</v>
      </c>
      <c r="AB338" s="23">
        <v>5</v>
      </c>
      <c r="AC338" s="30" t="str">
        <f>VLOOKUP(AB338,[2]Key!$C$20:$D$29,2,FALSE)</f>
        <v>Professional</v>
      </c>
      <c r="AD338" s="23">
        <v>4</v>
      </c>
      <c r="AE338" s="30" t="str">
        <f>VLOOKUP(AD338,[2]Key!$E$20:$F$24,2,FALSE)</f>
        <v>750,000-1,000,000</v>
      </c>
      <c r="AF338" s="23">
        <v>1</v>
      </c>
      <c r="AG338" s="62">
        <v>1</v>
      </c>
      <c r="AH338" s="62">
        <v>1</v>
      </c>
      <c r="AI338" s="62">
        <v>1</v>
      </c>
      <c r="AJ338" s="62">
        <v>1</v>
      </c>
      <c r="AK338" s="45" t="s">
        <v>94</v>
      </c>
      <c r="AL338" s="36">
        <v>1000</v>
      </c>
      <c r="AM338" t="str">
        <f t="shared" si="24"/>
        <v>1000-2000</v>
      </c>
    </row>
    <row r="339" spans="1:39" x14ac:dyDescent="0.2">
      <c r="A339" s="44" t="s">
        <v>355</v>
      </c>
      <c r="B339" s="60">
        <v>0.71319444444444446</v>
      </c>
      <c r="C339" s="60"/>
      <c r="D339" s="60" t="s">
        <v>96</v>
      </c>
      <c r="E339" s="13">
        <v>2</v>
      </c>
      <c r="F339" s="38" t="str">
        <f>VLOOKUP(E339,[2]Key!$A$17:$B$21,2,FALSE)</f>
        <v>Road Vehicle</v>
      </c>
      <c r="G339" s="61">
        <v>4</v>
      </c>
      <c r="H339" s="39" t="str">
        <f>VLOOKUP(G339,[2]Key!$A$2:$B$13,2,FALSE)</f>
        <v>Minibus</v>
      </c>
      <c r="I339" s="13" t="s">
        <v>108</v>
      </c>
      <c r="J339" s="13">
        <v>2</v>
      </c>
      <c r="K339" s="40" t="str">
        <f>VLOOKUP(J339,[2]Key!$A$24:$B$29,2,FALSE)</f>
        <v>30-39</v>
      </c>
      <c r="L339" s="13" t="s">
        <v>356</v>
      </c>
      <c r="M339" s="23" t="s">
        <v>150</v>
      </c>
      <c r="N339" s="13" t="s">
        <v>357</v>
      </c>
      <c r="O339" s="45">
        <v>2</v>
      </c>
      <c r="P339" s="30" t="str">
        <f>VLOOKUP(O339,[2]Key!$E$2:$F$9,2,FALSE)</f>
        <v>Work</v>
      </c>
      <c r="Q339" s="13" t="s">
        <v>418</v>
      </c>
      <c r="R339" s="23" t="s">
        <v>156</v>
      </c>
      <c r="S339" s="13" t="s">
        <v>357</v>
      </c>
      <c r="T339" s="23">
        <v>2</v>
      </c>
      <c r="U339" s="30" t="str">
        <f>VLOOKUP(T339,[2]Key!$E$2:$F$9,2,FALSE)</f>
        <v>Work</v>
      </c>
      <c r="V339" s="30" t="str">
        <f t="shared" si="21"/>
        <v>Work-Work</v>
      </c>
      <c r="W339" s="23">
        <v>45000</v>
      </c>
      <c r="X339" s="62">
        <v>59</v>
      </c>
      <c r="Y339" s="62" t="str">
        <f t="shared" si="22"/>
        <v>40-70</v>
      </c>
      <c r="Z339" s="62">
        <v>2</v>
      </c>
      <c r="AA339" s="62" t="str">
        <f t="shared" si="23"/>
        <v>2.0-3.5</v>
      </c>
      <c r="AB339" s="23">
        <v>5</v>
      </c>
      <c r="AC339" s="30" t="str">
        <f>VLOOKUP(AB339,[2]Key!$C$20:$D$29,2,FALSE)</f>
        <v>Professional</v>
      </c>
      <c r="AD339" s="23">
        <v>5</v>
      </c>
      <c r="AE339" s="30" t="str">
        <f>VLOOKUP(AD339,[2]Key!$E$20:$F$24,2,FALSE)</f>
        <v>&gt;1,000,000</v>
      </c>
      <c r="AF339" s="23">
        <v>5</v>
      </c>
      <c r="AG339" s="62">
        <v>1</v>
      </c>
      <c r="AH339" s="62">
        <v>2</v>
      </c>
      <c r="AI339" s="62">
        <v>2</v>
      </c>
      <c r="AJ339" s="62">
        <v>1</v>
      </c>
      <c r="AK339" s="45" t="s">
        <v>94</v>
      </c>
      <c r="AL339" s="36">
        <v>2000</v>
      </c>
      <c r="AM339" t="str">
        <f t="shared" si="24"/>
        <v>2000-3000</v>
      </c>
    </row>
    <row r="340" spans="1:39" x14ac:dyDescent="0.2">
      <c r="A340" s="44" t="s">
        <v>355</v>
      </c>
      <c r="B340" s="60">
        <v>0.78402777777777777</v>
      </c>
      <c r="C340" s="60"/>
      <c r="D340" s="60" t="s">
        <v>96</v>
      </c>
      <c r="E340" s="13">
        <v>2</v>
      </c>
      <c r="F340" s="38" t="str">
        <f>VLOOKUP(E340,[2]Key!$A$17:$B$21,2,FALSE)</f>
        <v>Road Vehicle</v>
      </c>
      <c r="G340" s="61">
        <v>4</v>
      </c>
      <c r="H340" s="39" t="str">
        <f>VLOOKUP(G340,[2]Key!$A$2:$B$13,2,FALSE)</f>
        <v>Minibus</v>
      </c>
      <c r="I340" s="13" t="s">
        <v>108</v>
      </c>
      <c r="J340" s="13">
        <v>2</v>
      </c>
      <c r="K340" s="40" t="str">
        <f>VLOOKUP(J340,[2]Key!$A$24:$B$29,2,FALSE)</f>
        <v>30-39</v>
      </c>
      <c r="L340" s="13" t="s">
        <v>356</v>
      </c>
      <c r="M340" s="23" t="s">
        <v>150</v>
      </c>
      <c r="N340" s="13" t="s">
        <v>357</v>
      </c>
      <c r="O340" s="45">
        <v>2</v>
      </c>
      <c r="P340" s="30" t="str">
        <f>VLOOKUP(O340,[2]Key!$E$2:$F$9,2,FALSE)</f>
        <v>Work</v>
      </c>
      <c r="Q340" s="13" t="s">
        <v>367</v>
      </c>
      <c r="R340" s="23" t="s">
        <v>159</v>
      </c>
      <c r="S340" s="13" t="s">
        <v>357</v>
      </c>
      <c r="T340" s="23">
        <v>2</v>
      </c>
      <c r="U340" s="30" t="str">
        <f>VLOOKUP(T340,[2]Key!$E$2:$F$9,2,FALSE)</f>
        <v>Work</v>
      </c>
      <c r="V340" s="30" t="str">
        <f t="shared" si="21"/>
        <v>Work-Work</v>
      </c>
      <c r="W340" s="23">
        <v>40000</v>
      </c>
      <c r="X340" s="62">
        <v>100</v>
      </c>
      <c r="Y340" s="62" t="str">
        <f t="shared" si="22"/>
        <v>100-200</v>
      </c>
      <c r="Z340" s="62">
        <v>2</v>
      </c>
      <c r="AA340" s="62" t="str">
        <f t="shared" si="23"/>
        <v>2.0-3.5</v>
      </c>
      <c r="AB340" s="23">
        <v>5</v>
      </c>
      <c r="AC340" s="30" t="str">
        <f>VLOOKUP(AB340,[2]Key!$C$20:$D$29,2,FALSE)</f>
        <v>Professional</v>
      </c>
      <c r="AD340" s="23">
        <v>5</v>
      </c>
      <c r="AE340" s="30" t="str">
        <f>VLOOKUP(AD340,[2]Key!$E$20:$F$24,2,FALSE)</f>
        <v>&gt;1,000,000</v>
      </c>
      <c r="AF340" s="23">
        <v>5</v>
      </c>
      <c r="AG340" s="62">
        <v>1</v>
      </c>
      <c r="AH340" s="62">
        <v>1</v>
      </c>
      <c r="AI340" s="62">
        <v>1</v>
      </c>
      <c r="AJ340" s="62">
        <v>2</v>
      </c>
      <c r="AK340" s="45" t="s">
        <v>94</v>
      </c>
      <c r="AL340" s="36">
        <v>500</v>
      </c>
      <c r="AM340" t="str">
        <f t="shared" si="24"/>
        <v>0-1000</v>
      </c>
    </row>
    <row r="341" spans="1:39" x14ac:dyDescent="0.2">
      <c r="A341" s="44" t="s">
        <v>355</v>
      </c>
      <c r="B341" s="60">
        <v>0.48472222222222222</v>
      </c>
      <c r="C341" s="60"/>
      <c r="D341" s="60" t="s">
        <v>96</v>
      </c>
      <c r="E341" s="13">
        <v>2</v>
      </c>
      <c r="F341" s="38" t="str">
        <f>VLOOKUP(E341,[2]Key!$A$17:$B$21,2,FALSE)</f>
        <v>Road Vehicle</v>
      </c>
      <c r="G341" s="61">
        <v>4</v>
      </c>
      <c r="H341" s="39" t="str">
        <f>VLOOKUP(G341,[2]Key!$A$2:$B$13,2,FALSE)</f>
        <v>Minibus</v>
      </c>
      <c r="I341" s="13" t="s">
        <v>108</v>
      </c>
      <c r="J341" s="13">
        <v>2</v>
      </c>
      <c r="K341" s="40" t="str">
        <f>VLOOKUP(J341,[2]Key!$A$24:$B$29,2,FALSE)</f>
        <v>30-39</v>
      </c>
      <c r="L341" s="13" t="s">
        <v>356</v>
      </c>
      <c r="M341" s="23" t="s">
        <v>150</v>
      </c>
      <c r="N341" s="13" t="s">
        <v>357</v>
      </c>
      <c r="O341" s="45">
        <v>4</v>
      </c>
      <c r="P341" s="30" t="str">
        <f>VLOOKUP(O341,[2]Key!$E$2:$F$9,2,FALSE)</f>
        <v>Commercial</v>
      </c>
      <c r="Q341" s="13" t="s">
        <v>381</v>
      </c>
      <c r="R341" s="23" t="s">
        <v>419</v>
      </c>
      <c r="S341" s="13" t="s">
        <v>357</v>
      </c>
      <c r="T341" s="23">
        <v>4</v>
      </c>
      <c r="U341" s="30" t="str">
        <f>VLOOKUP(T341,[2]Key!$E$2:$F$9,2,FALSE)</f>
        <v>Commercial</v>
      </c>
      <c r="V341" s="30" t="str">
        <f t="shared" si="21"/>
        <v>Commercial-Commercial</v>
      </c>
      <c r="W341" s="23">
        <v>100000</v>
      </c>
      <c r="X341" s="62">
        <v>120.7</v>
      </c>
      <c r="Y341" s="62" t="str">
        <f t="shared" si="22"/>
        <v>100-200</v>
      </c>
      <c r="Z341" s="62">
        <v>2</v>
      </c>
      <c r="AA341" s="62" t="str">
        <f t="shared" si="23"/>
        <v>2.0-3.5</v>
      </c>
      <c r="AB341" s="23">
        <v>6</v>
      </c>
      <c r="AC341" s="30" t="str">
        <f>VLOOKUP(AB341,[2]Key!$C$20:$D$29,2,FALSE)</f>
        <v>Businessman</v>
      </c>
      <c r="AD341" s="23">
        <v>1</v>
      </c>
      <c r="AE341" s="30" t="str">
        <f>VLOOKUP(AD341,[2]Key!$E$20:$F$24,2,FALSE)</f>
        <v>&lt;300,000</v>
      </c>
      <c r="AF341" s="23">
        <v>1</v>
      </c>
      <c r="AG341" s="62">
        <v>2</v>
      </c>
      <c r="AH341" s="62">
        <v>1</v>
      </c>
      <c r="AI341" s="62">
        <v>1</v>
      </c>
      <c r="AJ341" s="62">
        <v>1</v>
      </c>
      <c r="AK341" s="45" t="s">
        <v>94</v>
      </c>
      <c r="AL341" s="36">
        <v>1000</v>
      </c>
      <c r="AM341" t="str">
        <f t="shared" si="24"/>
        <v>1000-2000</v>
      </c>
    </row>
    <row r="342" spans="1:39" x14ac:dyDescent="0.2">
      <c r="A342" s="44" t="s">
        <v>355</v>
      </c>
      <c r="B342" s="60">
        <v>0.4993055555555555</v>
      </c>
      <c r="C342" s="60"/>
      <c r="D342" s="60" t="s">
        <v>96</v>
      </c>
      <c r="E342" s="13">
        <v>2</v>
      </c>
      <c r="F342" s="38" t="str">
        <f>VLOOKUP(E342,[2]Key!$A$17:$B$21,2,FALSE)</f>
        <v>Road Vehicle</v>
      </c>
      <c r="G342" s="61">
        <v>4</v>
      </c>
      <c r="H342" s="39" t="str">
        <f>VLOOKUP(G342,[2]Key!$A$2:$B$13,2,FALSE)</f>
        <v>Minibus</v>
      </c>
      <c r="I342" s="13" t="s">
        <v>108</v>
      </c>
      <c r="J342" s="13">
        <v>2</v>
      </c>
      <c r="K342" s="40" t="str">
        <f>VLOOKUP(J342,[2]Key!$A$24:$B$29,2,FALSE)</f>
        <v>30-39</v>
      </c>
      <c r="L342" s="13" t="s">
        <v>356</v>
      </c>
      <c r="M342" s="23" t="s">
        <v>150</v>
      </c>
      <c r="N342" s="13" t="s">
        <v>357</v>
      </c>
      <c r="O342" s="45">
        <v>4</v>
      </c>
      <c r="P342" s="30" t="str">
        <f>VLOOKUP(O342,[2]Key!$E$2:$F$9,2,FALSE)</f>
        <v>Commercial</v>
      </c>
      <c r="Q342" s="13" t="s">
        <v>420</v>
      </c>
      <c r="R342" s="23" t="s">
        <v>421</v>
      </c>
      <c r="S342" s="13" t="s">
        <v>357</v>
      </c>
      <c r="T342" s="23">
        <v>4</v>
      </c>
      <c r="U342" s="30" t="str">
        <f>VLOOKUP(T342,[2]Key!$E$2:$F$9,2,FALSE)</f>
        <v>Commercial</v>
      </c>
      <c r="V342" s="30" t="str">
        <f t="shared" si="21"/>
        <v>Commercial-Commercial</v>
      </c>
      <c r="W342" s="23">
        <v>100000</v>
      </c>
      <c r="X342" s="62">
        <v>120.7</v>
      </c>
      <c r="Y342" s="62" t="str">
        <f t="shared" si="22"/>
        <v>100-200</v>
      </c>
      <c r="Z342" s="62">
        <v>2</v>
      </c>
      <c r="AA342" s="62" t="str">
        <f t="shared" si="23"/>
        <v>2.0-3.5</v>
      </c>
      <c r="AB342" s="23">
        <v>5</v>
      </c>
      <c r="AC342" s="30" t="str">
        <f>VLOOKUP(AB342,[2]Key!$C$20:$D$29,2,FALSE)</f>
        <v>Professional</v>
      </c>
      <c r="AD342" s="23">
        <v>2</v>
      </c>
      <c r="AE342" s="30" t="str">
        <f>VLOOKUP(AD342,[2]Key!$E$20:$F$24,2,FALSE)</f>
        <v>300,000-500,000</v>
      </c>
      <c r="AF342" s="23">
        <v>5</v>
      </c>
      <c r="AG342" s="62">
        <v>4</v>
      </c>
      <c r="AH342" s="62">
        <v>1</v>
      </c>
      <c r="AI342" s="62">
        <v>1</v>
      </c>
      <c r="AJ342" s="62">
        <v>5</v>
      </c>
      <c r="AK342" s="45" t="s">
        <v>94</v>
      </c>
      <c r="AL342" s="36">
        <v>1000</v>
      </c>
      <c r="AM342" t="str">
        <f t="shared" si="24"/>
        <v>1000-2000</v>
      </c>
    </row>
    <row r="343" spans="1:39" x14ac:dyDescent="0.2">
      <c r="A343" s="44" t="s">
        <v>355</v>
      </c>
      <c r="B343" s="60">
        <v>0.46527777777777773</v>
      </c>
      <c r="C343" s="60" t="s">
        <v>422</v>
      </c>
      <c r="D343" s="60" t="s">
        <v>96</v>
      </c>
      <c r="E343" s="13">
        <v>2</v>
      </c>
      <c r="F343" s="38" t="str">
        <f>VLOOKUP(E343,[2]Key!$A$17:$B$21,2,FALSE)</f>
        <v>Road Vehicle</v>
      </c>
      <c r="G343" s="61">
        <v>4</v>
      </c>
      <c r="H343" s="39" t="str">
        <f>VLOOKUP(G343,[2]Key!$A$2:$B$13,2,FALSE)</f>
        <v>Minibus</v>
      </c>
      <c r="I343" s="13" t="s">
        <v>108</v>
      </c>
      <c r="J343" s="13">
        <v>2</v>
      </c>
      <c r="K343" s="40" t="str">
        <f>VLOOKUP(J343,[2]Key!$A$24:$B$29,2,FALSE)</f>
        <v>30-39</v>
      </c>
      <c r="L343" s="13" t="s">
        <v>356</v>
      </c>
      <c r="M343" s="23" t="s">
        <v>150</v>
      </c>
      <c r="N343" s="13" t="s">
        <v>357</v>
      </c>
      <c r="O343" s="45">
        <v>2</v>
      </c>
      <c r="P343" s="30" t="str">
        <f>VLOOKUP(O343,[2]Key!$E$2:$F$9,2,FALSE)</f>
        <v>Work</v>
      </c>
      <c r="Q343" s="13" t="s">
        <v>379</v>
      </c>
      <c r="R343" s="23" t="s">
        <v>380</v>
      </c>
      <c r="S343" s="13" t="s">
        <v>357</v>
      </c>
      <c r="T343" s="23">
        <v>8</v>
      </c>
      <c r="U343" s="30" t="str">
        <f>VLOOKUP(T343,[2]Key!$E$2:$F$9,2,FALSE)</f>
        <v>Others</v>
      </c>
      <c r="V343" s="30" t="str">
        <f t="shared" si="21"/>
        <v>Work-Others</v>
      </c>
      <c r="W343" s="23">
        <v>100000</v>
      </c>
      <c r="X343" s="62">
        <v>75</v>
      </c>
      <c r="Y343" s="62" t="str">
        <f t="shared" si="22"/>
        <v>70-100</v>
      </c>
      <c r="Z343" s="62">
        <v>2</v>
      </c>
      <c r="AA343" s="62" t="str">
        <f t="shared" si="23"/>
        <v>2.0-3.5</v>
      </c>
      <c r="AB343" s="23">
        <v>10</v>
      </c>
      <c r="AC343" s="30" t="str">
        <f>VLOOKUP(AB343,[2]Key!$C$20:$D$29,2,FALSE)</f>
        <v>Other</v>
      </c>
      <c r="AD343" s="23">
        <v>2</v>
      </c>
      <c r="AE343" s="30" t="str">
        <f>VLOOKUP(AD343,[2]Key!$E$20:$F$24,2,FALSE)</f>
        <v>300,000-500,000</v>
      </c>
      <c r="AF343" s="23">
        <v>2</v>
      </c>
      <c r="AG343" s="62">
        <v>4</v>
      </c>
      <c r="AH343" s="62">
        <v>1</v>
      </c>
      <c r="AI343" s="62">
        <v>5</v>
      </c>
      <c r="AJ343" s="62">
        <v>1</v>
      </c>
      <c r="AK343" s="45" t="s">
        <v>94</v>
      </c>
      <c r="AL343" s="36">
        <v>2000</v>
      </c>
      <c r="AM343" t="str">
        <f t="shared" si="24"/>
        <v>2000-3000</v>
      </c>
    </row>
    <row r="344" spans="1:39" x14ac:dyDescent="0.2">
      <c r="A344" s="44" t="s">
        <v>355</v>
      </c>
      <c r="B344" s="60">
        <v>0.36388888888888887</v>
      </c>
      <c r="C344" s="60"/>
      <c r="D344" s="60" t="s">
        <v>165</v>
      </c>
      <c r="E344" s="13">
        <v>2</v>
      </c>
      <c r="F344" s="38" t="str">
        <f>VLOOKUP(E344,[2]Key!$A$17:$B$21,2,FALSE)</f>
        <v>Road Vehicle</v>
      </c>
      <c r="G344" s="61">
        <v>4</v>
      </c>
      <c r="H344" s="39" t="str">
        <f>VLOOKUP(G344,[2]Key!$A$2:$B$13,2,FALSE)</f>
        <v>Minibus</v>
      </c>
      <c r="I344" s="13" t="s">
        <v>108</v>
      </c>
      <c r="J344" s="13">
        <v>2</v>
      </c>
      <c r="K344" s="40" t="str">
        <f>VLOOKUP(J344,[2]Key!$A$24:$B$29,2,FALSE)</f>
        <v>30-39</v>
      </c>
      <c r="L344" s="13" t="s">
        <v>356</v>
      </c>
      <c r="M344" s="23" t="s">
        <v>150</v>
      </c>
      <c r="N344" s="13" t="s">
        <v>357</v>
      </c>
      <c r="O344" s="45">
        <v>2</v>
      </c>
      <c r="P344" s="30" t="str">
        <f>VLOOKUP(O344,[2]Key!$E$2:$F$9,2,FALSE)</f>
        <v>Work</v>
      </c>
      <c r="Q344" s="13" t="s">
        <v>384</v>
      </c>
      <c r="R344" s="23" t="s">
        <v>380</v>
      </c>
      <c r="S344" s="13" t="s">
        <v>357</v>
      </c>
      <c r="T344" s="23">
        <v>2</v>
      </c>
      <c r="U344" s="30" t="str">
        <f>VLOOKUP(T344,[2]Key!$E$2:$F$9,2,FALSE)</f>
        <v>Work</v>
      </c>
      <c r="V344" s="30" t="str">
        <f t="shared" si="21"/>
        <v>Work-Work</v>
      </c>
      <c r="W344" s="41">
        <v>10000</v>
      </c>
      <c r="X344" s="62">
        <v>112.7</v>
      </c>
      <c r="Y344" s="62" t="str">
        <f t="shared" si="22"/>
        <v>100-200</v>
      </c>
      <c r="Z344" s="62">
        <v>2</v>
      </c>
      <c r="AA344" s="62" t="str">
        <f t="shared" si="23"/>
        <v>2.0-3.5</v>
      </c>
      <c r="AB344" s="23">
        <v>6</v>
      </c>
      <c r="AC344" s="30" t="str">
        <f>VLOOKUP(AB344,[2]Key!$C$20:$D$29,2,FALSE)</f>
        <v>Businessman</v>
      </c>
      <c r="AD344" s="23">
        <v>2</v>
      </c>
      <c r="AE344" s="30" t="str">
        <f>VLOOKUP(AD344,[2]Key!$E$20:$F$24,2,FALSE)</f>
        <v>300,000-500,000</v>
      </c>
      <c r="AF344" s="23">
        <v>5</v>
      </c>
      <c r="AG344" s="62">
        <v>1</v>
      </c>
      <c r="AH344" s="62">
        <v>2</v>
      </c>
      <c r="AI344" s="62">
        <v>1</v>
      </c>
      <c r="AJ344" s="62">
        <v>2</v>
      </c>
      <c r="AK344" s="45" t="s">
        <v>94</v>
      </c>
      <c r="AL344" s="36">
        <v>1000</v>
      </c>
      <c r="AM344" t="str">
        <f t="shared" si="24"/>
        <v>1000-2000</v>
      </c>
    </row>
    <row r="345" spans="1:39" x14ac:dyDescent="0.2">
      <c r="A345" s="44" t="s">
        <v>355</v>
      </c>
      <c r="B345" s="60">
        <v>0.45833333333333331</v>
      </c>
      <c r="C345" s="60"/>
      <c r="D345" s="60" t="s">
        <v>165</v>
      </c>
      <c r="E345" s="13">
        <v>2</v>
      </c>
      <c r="F345" s="38" t="str">
        <f>VLOOKUP(E345,[2]Key!$A$17:$B$21,2,FALSE)</f>
        <v>Road Vehicle</v>
      </c>
      <c r="G345" s="61">
        <v>4</v>
      </c>
      <c r="H345" s="39" t="str">
        <f>VLOOKUP(G345,[2]Key!$A$2:$B$13,2,FALSE)</f>
        <v>Minibus</v>
      </c>
      <c r="I345" s="13" t="s">
        <v>108</v>
      </c>
      <c r="J345" s="13">
        <v>2</v>
      </c>
      <c r="K345" s="40" t="str">
        <f>VLOOKUP(J345,[2]Key!$A$24:$B$29,2,FALSE)</f>
        <v>30-39</v>
      </c>
      <c r="L345" s="13" t="s">
        <v>356</v>
      </c>
      <c r="M345" s="23" t="s">
        <v>150</v>
      </c>
      <c r="N345" s="13" t="s">
        <v>357</v>
      </c>
      <c r="O345" s="45">
        <v>2</v>
      </c>
      <c r="P345" s="30" t="str">
        <f>VLOOKUP(O345,[2]Key!$E$2:$F$9,2,FALSE)</f>
        <v>Work</v>
      </c>
      <c r="Q345" s="13" t="s">
        <v>423</v>
      </c>
      <c r="R345" s="23" t="s">
        <v>156</v>
      </c>
      <c r="S345" s="13" t="s">
        <v>357</v>
      </c>
      <c r="T345" s="23">
        <v>1</v>
      </c>
      <c r="U345" s="30" t="str">
        <f>VLOOKUP(T345,[2]Key!$E$2:$F$9,2,FALSE)</f>
        <v>Home</v>
      </c>
      <c r="V345" s="30" t="str">
        <f t="shared" si="21"/>
        <v>Work-Home</v>
      </c>
      <c r="W345" s="41">
        <v>3500</v>
      </c>
      <c r="X345" s="62">
        <v>95</v>
      </c>
      <c r="Y345" s="62" t="str">
        <f t="shared" si="22"/>
        <v>70-100</v>
      </c>
      <c r="Z345" s="62">
        <v>2</v>
      </c>
      <c r="AA345" s="62" t="str">
        <f t="shared" si="23"/>
        <v>2.0-3.5</v>
      </c>
      <c r="AB345" s="23">
        <v>6</v>
      </c>
      <c r="AC345" s="30" t="str">
        <f>VLOOKUP(AB345,[2]Key!$C$20:$D$29,2,FALSE)</f>
        <v>Businessman</v>
      </c>
      <c r="AD345" s="23">
        <v>3</v>
      </c>
      <c r="AE345" s="30" t="str">
        <f>VLOOKUP(AD345,[2]Key!$E$20:$F$24,2,FALSE)</f>
        <v>500,000-750,000</v>
      </c>
      <c r="AF345" s="23">
        <v>1</v>
      </c>
      <c r="AG345" s="62">
        <v>1</v>
      </c>
      <c r="AH345" s="62">
        <v>2</v>
      </c>
      <c r="AI345" s="62">
        <v>1</v>
      </c>
      <c r="AJ345" s="62">
        <v>2</v>
      </c>
      <c r="AK345" s="45" t="s">
        <v>94</v>
      </c>
      <c r="AL345" s="36">
        <v>1000</v>
      </c>
      <c r="AM345" t="str">
        <f t="shared" si="24"/>
        <v>1000-2000</v>
      </c>
    </row>
    <row r="346" spans="1:39" x14ac:dyDescent="0.2">
      <c r="A346" s="44" t="s">
        <v>355</v>
      </c>
      <c r="B346" s="60">
        <v>0.48541666666666666</v>
      </c>
      <c r="C346" s="60"/>
      <c r="D346" s="60" t="s">
        <v>165</v>
      </c>
      <c r="E346" s="13">
        <v>2</v>
      </c>
      <c r="F346" s="38" t="str">
        <f>VLOOKUP(E346,[2]Key!$A$17:$B$21,2,FALSE)</f>
        <v>Road Vehicle</v>
      </c>
      <c r="G346" s="61">
        <v>4</v>
      </c>
      <c r="H346" s="39" t="str">
        <f>VLOOKUP(G346,[2]Key!$A$2:$B$13,2,FALSE)</f>
        <v>Minibus</v>
      </c>
      <c r="I346" s="13" t="s">
        <v>108</v>
      </c>
      <c r="J346" s="13">
        <v>2</v>
      </c>
      <c r="K346" s="40" t="str">
        <f>VLOOKUP(J346,[2]Key!$A$24:$B$29,2,FALSE)</f>
        <v>30-39</v>
      </c>
      <c r="L346" s="13" t="s">
        <v>356</v>
      </c>
      <c r="M346" s="23" t="s">
        <v>150</v>
      </c>
      <c r="N346" s="13" t="s">
        <v>357</v>
      </c>
      <c r="O346" s="45">
        <v>2</v>
      </c>
      <c r="P346" s="30" t="str">
        <f>VLOOKUP(O346,[2]Key!$E$2:$F$9,2,FALSE)</f>
        <v>Work</v>
      </c>
      <c r="Q346" s="13" t="s">
        <v>374</v>
      </c>
      <c r="R346" s="23" t="s">
        <v>188</v>
      </c>
      <c r="S346" s="13" t="s">
        <v>357</v>
      </c>
      <c r="T346" s="23">
        <v>2</v>
      </c>
      <c r="U346" s="30" t="str">
        <f>VLOOKUP(T346,[2]Key!$E$2:$F$9,2,FALSE)</f>
        <v>Work</v>
      </c>
      <c r="V346" s="30" t="str">
        <f t="shared" si="21"/>
        <v>Work-Work</v>
      </c>
      <c r="W346" s="41">
        <v>6000</v>
      </c>
      <c r="X346" s="62">
        <v>56</v>
      </c>
      <c r="Y346" s="62" t="str">
        <f t="shared" si="22"/>
        <v>40-70</v>
      </c>
      <c r="Z346" s="62">
        <v>2</v>
      </c>
      <c r="AA346" s="62" t="str">
        <f t="shared" si="23"/>
        <v>2.0-3.5</v>
      </c>
      <c r="AB346" s="23">
        <v>6</v>
      </c>
      <c r="AC346" s="30" t="str">
        <f>VLOOKUP(AB346,[2]Key!$C$20:$D$29,2,FALSE)</f>
        <v>Businessman</v>
      </c>
      <c r="AD346" s="23">
        <v>4</v>
      </c>
      <c r="AE346" s="30" t="str">
        <f>VLOOKUP(AD346,[2]Key!$E$20:$F$24,2,FALSE)</f>
        <v>750,000-1,000,000</v>
      </c>
      <c r="AF346" s="23">
        <v>5</v>
      </c>
      <c r="AG346" s="62">
        <v>1</v>
      </c>
      <c r="AH346" s="62">
        <v>2</v>
      </c>
      <c r="AI346" s="62">
        <v>1</v>
      </c>
      <c r="AJ346" s="62">
        <v>2</v>
      </c>
      <c r="AK346" s="45" t="s">
        <v>94</v>
      </c>
      <c r="AL346" s="36">
        <v>1000</v>
      </c>
      <c r="AM346" t="str">
        <f t="shared" si="24"/>
        <v>1000-2000</v>
      </c>
    </row>
    <row r="347" spans="1:39" x14ac:dyDescent="0.2">
      <c r="A347" s="44" t="s">
        <v>355</v>
      </c>
      <c r="B347" s="60">
        <v>0.42569444444444443</v>
      </c>
      <c r="C347" s="60"/>
      <c r="D347" s="60" t="s">
        <v>165</v>
      </c>
      <c r="E347" s="13">
        <v>2</v>
      </c>
      <c r="F347" s="38" t="str">
        <f>VLOOKUP(E347,[2]Key!$A$17:$B$21,2,FALSE)</f>
        <v>Road Vehicle</v>
      </c>
      <c r="G347" s="61">
        <v>4</v>
      </c>
      <c r="H347" s="39" t="str">
        <f>VLOOKUP(G347,[2]Key!$A$2:$B$13,2,FALSE)</f>
        <v>Minibus</v>
      </c>
      <c r="I347" s="13" t="s">
        <v>108</v>
      </c>
      <c r="J347" s="13">
        <v>2</v>
      </c>
      <c r="K347" s="40" t="str">
        <f>VLOOKUP(J347,[2]Key!$A$24:$B$29,2,FALSE)</f>
        <v>30-39</v>
      </c>
      <c r="L347" s="13" t="s">
        <v>375</v>
      </c>
      <c r="M347" s="23" t="s">
        <v>150</v>
      </c>
      <c r="N347" s="13" t="s">
        <v>357</v>
      </c>
      <c r="O347" s="45">
        <v>1</v>
      </c>
      <c r="P347" s="30" t="str">
        <f>VLOOKUP(O347,[2]Key!$E$2:$F$9,2,FALSE)</f>
        <v>Home</v>
      </c>
      <c r="Q347" s="13" t="s">
        <v>395</v>
      </c>
      <c r="R347" s="23" t="s">
        <v>380</v>
      </c>
      <c r="S347" s="13" t="s">
        <v>357</v>
      </c>
      <c r="T347" s="23">
        <v>6</v>
      </c>
      <c r="U347" s="30" t="str">
        <f>VLOOKUP(T347,[2]Key!$E$2:$F$9,2,FALSE)</f>
        <v>Leisure/Social</v>
      </c>
      <c r="V347" s="30" t="str">
        <f t="shared" si="21"/>
        <v>Home-Leisure/Social</v>
      </c>
      <c r="W347" s="23">
        <v>10000</v>
      </c>
      <c r="X347" s="62">
        <v>75</v>
      </c>
      <c r="Y347" s="62" t="str">
        <f t="shared" si="22"/>
        <v>70-100</v>
      </c>
      <c r="Z347" s="62">
        <v>2</v>
      </c>
      <c r="AA347" s="62" t="str">
        <f t="shared" si="23"/>
        <v>2.0-3.5</v>
      </c>
      <c r="AB347" s="23">
        <v>6</v>
      </c>
      <c r="AC347" s="30" t="str">
        <f>VLOOKUP(AB347,[2]Key!$C$20:$D$29,2,FALSE)</f>
        <v>Businessman</v>
      </c>
      <c r="AD347" s="23">
        <v>1</v>
      </c>
      <c r="AE347" s="30" t="str">
        <f>VLOOKUP(AD347,[2]Key!$E$20:$F$24,2,FALSE)</f>
        <v>&lt;300,000</v>
      </c>
      <c r="AF347" s="23">
        <v>2</v>
      </c>
      <c r="AG347" s="62">
        <v>4</v>
      </c>
      <c r="AH347" s="62">
        <v>1</v>
      </c>
      <c r="AI347" s="62">
        <v>2</v>
      </c>
      <c r="AJ347" s="62">
        <v>2</v>
      </c>
      <c r="AK347" s="45" t="s">
        <v>94</v>
      </c>
      <c r="AL347" s="36"/>
      <c r="AM347" t="str">
        <f t="shared" si="24"/>
        <v>0-1000</v>
      </c>
    </row>
    <row r="348" spans="1:39" ht="12" customHeight="1" x14ac:dyDescent="0.2">
      <c r="A348" s="44" t="s">
        <v>355</v>
      </c>
      <c r="B348" s="60">
        <v>0.45347222222222222</v>
      </c>
      <c r="C348" s="60"/>
      <c r="D348" s="60" t="s">
        <v>96</v>
      </c>
      <c r="E348" s="13">
        <v>2</v>
      </c>
      <c r="F348" s="38" t="str">
        <f>VLOOKUP(E348,[2]Key!$A$17:$B$21,2,FALSE)</f>
        <v>Road Vehicle</v>
      </c>
      <c r="G348" s="61">
        <v>4</v>
      </c>
      <c r="H348" s="39" t="str">
        <f>VLOOKUP(G348,[2]Key!$A$2:$B$13,2,FALSE)</f>
        <v>Minibus</v>
      </c>
      <c r="I348" s="13" t="s">
        <v>108</v>
      </c>
      <c r="J348" s="13">
        <v>2</v>
      </c>
      <c r="K348" s="40" t="str">
        <f>VLOOKUP(J348,[2]Key!$A$24:$B$29,2,FALSE)</f>
        <v>30-39</v>
      </c>
      <c r="L348" s="13" t="s">
        <v>356</v>
      </c>
      <c r="M348" s="23" t="s">
        <v>150</v>
      </c>
      <c r="N348" s="13" t="s">
        <v>357</v>
      </c>
      <c r="O348" s="45">
        <v>2</v>
      </c>
      <c r="P348" s="30" t="str">
        <f>VLOOKUP(O348,[2]Key!$E$2:$F$9,2,FALSE)</f>
        <v>Work</v>
      </c>
      <c r="Q348" s="13" t="s">
        <v>381</v>
      </c>
      <c r="R348" s="23" t="s">
        <v>380</v>
      </c>
      <c r="S348" s="13" t="s">
        <v>357</v>
      </c>
      <c r="T348" s="23">
        <v>2</v>
      </c>
      <c r="U348" s="30" t="str">
        <f>VLOOKUP(T348,[2]Key!$E$2:$F$9,2,FALSE)</f>
        <v>Work</v>
      </c>
      <c r="V348" s="30" t="str">
        <f t="shared" si="21"/>
        <v>Work-Work</v>
      </c>
      <c r="W348" s="41">
        <v>130000</v>
      </c>
      <c r="X348" s="62">
        <v>120.7</v>
      </c>
      <c r="Y348" s="62" t="str">
        <f t="shared" si="22"/>
        <v>100-200</v>
      </c>
      <c r="Z348" s="62">
        <v>3</v>
      </c>
      <c r="AA348" s="62" t="str">
        <f t="shared" si="23"/>
        <v>2.0-3.5</v>
      </c>
      <c r="AB348" s="23">
        <v>5</v>
      </c>
      <c r="AC348" s="30" t="str">
        <f>VLOOKUP(AB348,[2]Key!$C$20:$D$29,2,FALSE)</f>
        <v>Professional</v>
      </c>
      <c r="AD348" s="23">
        <v>4</v>
      </c>
      <c r="AE348" s="30" t="str">
        <f>VLOOKUP(AD348,[2]Key!$E$20:$F$24,2,FALSE)</f>
        <v>750,000-1,000,000</v>
      </c>
      <c r="AF348" s="23">
        <v>5</v>
      </c>
      <c r="AG348" s="62">
        <v>1</v>
      </c>
      <c r="AH348" s="62">
        <v>1</v>
      </c>
      <c r="AI348" s="62">
        <v>1</v>
      </c>
      <c r="AJ348" s="62">
        <v>1</v>
      </c>
      <c r="AK348" s="45" t="s">
        <v>94</v>
      </c>
      <c r="AL348" s="36">
        <v>1000</v>
      </c>
      <c r="AM348" t="str">
        <f t="shared" si="24"/>
        <v>1000-2000</v>
      </c>
    </row>
    <row r="349" spans="1:39" x14ac:dyDescent="0.2">
      <c r="A349" s="44" t="s">
        <v>355</v>
      </c>
      <c r="B349" s="60">
        <v>0.34652777777777777</v>
      </c>
      <c r="C349" s="60"/>
      <c r="D349" s="60" t="s">
        <v>165</v>
      </c>
      <c r="E349" s="13">
        <v>2</v>
      </c>
      <c r="F349" s="38" t="str">
        <f>VLOOKUP(E349,[2]Key!$A$17:$B$21,2,FALSE)</f>
        <v>Road Vehicle</v>
      </c>
      <c r="G349" s="61">
        <v>4</v>
      </c>
      <c r="H349" s="39" t="str">
        <f>VLOOKUP(G349,[2]Key!$A$2:$B$13,2,FALSE)</f>
        <v>Minibus</v>
      </c>
      <c r="I349" s="13" t="s">
        <v>108</v>
      </c>
      <c r="J349" s="13">
        <v>2</v>
      </c>
      <c r="K349" s="40" t="str">
        <f>VLOOKUP(J349,[2]Key!$A$24:$B$29,2,FALSE)</f>
        <v>30-39</v>
      </c>
      <c r="L349" s="13" t="s">
        <v>367</v>
      </c>
      <c r="M349" s="23" t="s">
        <v>159</v>
      </c>
      <c r="N349" s="13" t="s">
        <v>357</v>
      </c>
      <c r="O349" s="45">
        <v>2</v>
      </c>
      <c r="P349" s="30" t="str">
        <f>VLOOKUP(O349,[2]Key!$E$2:$F$9,2,FALSE)</f>
        <v>Work</v>
      </c>
      <c r="Q349" s="13" t="s">
        <v>386</v>
      </c>
      <c r="R349" s="23" t="s">
        <v>157</v>
      </c>
      <c r="S349" s="13" t="s">
        <v>357</v>
      </c>
      <c r="T349" s="23">
        <v>8</v>
      </c>
      <c r="U349" s="30" t="str">
        <f>VLOOKUP(T349,[2]Key!$E$2:$F$9,2,FALSE)</f>
        <v>Others</v>
      </c>
      <c r="V349" s="30" t="str">
        <f t="shared" si="21"/>
        <v>Work-Others</v>
      </c>
      <c r="W349" s="23">
        <v>10000</v>
      </c>
      <c r="X349" s="62">
        <v>80</v>
      </c>
      <c r="Y349" s="62" t="str">
        <f t="shared" si="22"/>
        <v>70-100</v>
      </c>
      <c r="Z349" s="62">
        <v>3</v>
      </c>
      <c r="AA349" s="62" t="str">
        <f t="shared" si="23"/>
        <v>2.0-3.5</v>
      </c>
      <c r="AB349" s="23">
        <v>7</v>
      </c>
      <c r="AC349" s="30" t="str">
        <f>VLOOKUP(AB349,[2]Key!$C$20:$D$29,2,FALSE)</f>
        <v>Farmer</v>
      </c>
      <c r="AD349" s="23">
        <v>1</v>
      </c>
      <c r="AE349" s="30" t="str">
        <f>VLOOKUP(AD349,[2]Key!$E$20:$F$24,2,FALSE)</f>
        <v>&lt;300,000</v>
      </c>
      <c r="AF349" s="23">
        <v>2</v>
      </c>
      <c r="AG349" s="62">
        <v>4</v>
      </c>
      <c r="AH349" s="62">
        <v>2</v>
      </c>
      <c r="AI349" s="62">
        <v>3</v>
      </c>
      <c r="AJ349" s="62">
        <v>1</v>
      </c>
      <c r="AK349" s="45" t="s">
        <v>94</v>
      </c>
      <c r="AL349" s="36"/>
      <c r="AM349" t="str">
        <f t="shared" si="24"/>
        <v>0-1000</v>
      </c>
    </row>
    <row r="350" spans="1:39" x14ac:dyDescent="0.2">
      <c r="A350" s="44" t="s">
        <v>355</v>
      </c>
      <c r="B350" s="60">
        <v>0.4069444444444445</v>
      </c>
      <c r="C350" s="60"/>
      <c r="D350" s="60" t="s">
        <v>96</v>
      </c>
      <c r="E350" s="13">
        <v>2</v>
      </c>
      <c r="F350" s="38" t="str">
        <f>VLOOKUP(E350,[2]Key!$A$17:$B$21,2,FALSE)</f>
        <v>Road Vehicle</v>
      </c>
      <c r="G350" s="61">
        <v>4</v>
      </c>
      <c r="H350" s="39" t="str">
        <f>VLOOKUP(G350,[2]Key!$A$2:$B$13,2,FALSE)</f>
        <v>Minibus</v>
      </c>
      <c r="I350" s="13" t="s">
        <v>108</v>
      </c>
      <c r="J350" s="13">
        <v>2</v>
      </c>
      <c r="K350" s="40" t="str">
        <f>VLOOKUP(J350,[2]Key!$A$24:$B$29,2,FALSE)</f>
        <v>30-39</v>
      </c>
      <c r="L350" s="13" t="s">
        <v>356</v>
      </c>
      <c r="M350" s="23" t="s">
        <v>150</v>
      </c>
      <c r="N350" s="13" t="s">
        <v>357</v>
      </c>
      <c r="O350" s="45">
        <v>2</v>
      </c>
      <c r="P350" s="30" t="str">
        <f>VLOOKUP(O350,[2]Key!$E$2:$F$9,2,FALSE)</f>
        <v>Work</v>
      </c>
      <c r="Q350" s="13" t="s">
        <v>424</v>
      </c>
      <c r="R350" s="23" t="s">
        <v>153</v>
      </c>
      <c r="S350" s="13" t="s">
        <v>357</v>
      </c>
      <c r="T350" s="23">
        <v>2</v>
      </c>
      <c r="U350" s="30" t="str">
        <f>VLOOKUP(T350,[2]Key!$E$2:$F$9,2,FALSE)</f>
        <v>Work</v>
      </c>
      <c r="V350" s="30" t="str">
        <f t="shared" si="21"/>
        <v>Work-Work</v>
      </c>
      <c r="W350" s="41">
        <v>150000</v>
      </c>
      <c r="X350" s="62">
        <v>210</v>
      </c>
      <c r="Y350" s="62" t="str">
        <f t="shared" si="22"/>
        <v>Over 200</v>
      </c>
      <c r="Z350" s="62">
        <v>4</v>
      </c>
      <c r="AA350" s="62" t="str">
        <f t="shared" si="23"/>
        <v>Over 3.5</v>
      </c>
      <c r="AB350" s="23">
        <v>5</v>
      </c>
      <c r="AC350" s="30" t="str">
        <f>VLOOKUP(AB350,[2]Key!$C$20:$D$29,2,FALSE)</f>
        <v>Professional</v>
      </c>
      <c r="AD350" s="23">
        <v>4</v>
      </c>
      <c r="AE350" s="30" t="str">
        <f>VLOOKUP(AD350,[2]Key!$E$20:$F$24,2,FALSE)</f>
        <v>750,000-1,000,000</v>
      </c>
      <c r="AF350" s="23">
        <v>5</v>
      </c>
      <c r="AG350" s="62">
        <v>2</v>
      </c>
      <c r="AH350" s="62">
        <v>1</v>
      </c>
      <c r="AI350" s="62">
        <v>2</v>
      </c>
      <c r="AJ350" s="62">
        <v>1</v>
      </c>
      <c r="AK350" s="45" t="s">
        <v>94</v>
      </c>
      <c r="AL350" s="36">
        <v>1000</v>
      </c>
      <c r="AM350" t="str">
        <f t="shared" si="24"/>
        <v>1000-2000</v>
      </c>
    </row>
    <row r="351" spans="1:39" x14ac:dyDescent="0.2">
      <c r="A351" s="44" t="s">
        <v>355</v>
      </c>
      <c r="B351" s="60">
        <v>0.48749999999999999</v>
      </c>
      <c r="C351" s="60"/>
      <c r="D351" s="60" t="s">
        <v>96</v>
      </c>
      <c r="E351" s="13">
        <v>2</v>
      </c>
      <c r="F351" s="38" t="str">
        <f>VLOOKUP(E351,[2]Key!$A$17:$B$21,2,FALSE)</f>
        <v>Road Vehicle</v>
      </c>
      <c r="G351" s="61">
        <v>4</v>
      </c>
      <c r="H351" s="39" t="str">
        <f>VLOOKUP(G351,[2]Key!$A$2:$B$13,2,FALSE)</f>
        <v>Minibus</v>
      </c>
      <c r="I351" s="13" t="s">
        <v>108</v>
      </c>
      <c r="J351" s="13">
        <v>2</v>
      </c>
      <c r="K351" s="40" t="str">
        <f>VLOOKUP(J351,[2]Key!$A$24:$B$29,2,FALSE)</f>
        <v>30-39</v>
      </c>
      <c r="L351" s="13" t="s">
        <v>356</v>
      </c>
      <c r="M351" s="23" t="s">
        <v>150</v>
      </c>
      <c r="N351" s="13" t="s">
        <v>357</v>
      </c>
      <c r="O351" s="45">
        <v>2</v>
      </c>
      <c r="P351" s="30" t="str">
        <f>VLOOKUP(O351,[2]Key!$E$2:$F$9,2,FALSE)</f>
        <v>Work</v>
      </c>
      <c r="Q351" s="13" t="s">
        <v>231</v>
      </c>
      <c r="R351" s="23" t="s">
        <v>202</v>
      </c>
      <c r="S351" s="13" t="s">
        <v>357</v>
      </c>
      <c r="T351" s="23">
        <v>2</v>
      </c>
      <c r="U351" s="30" t="str">
        <f>VLOOKUP(T351,[2]Key!$E$2:$F$9,2,FALSE)</f>
        <v>Work</v>
      </c>
      <c r="V351" s="30" t="str">
        <f t="shared" si="21"/>
        <v>Work-Work</v>
      </c>
      <c r="W351" s="41">
        <v>200000</v>
      </c>
      <c r="X351" s="62">
        <v>300</v>
      </c>
      <c r="Y351" s="62" t="str">
        <f t="shared" si="22"/>
        <v>Over 200</v>
      </c>
      <c r="Z351" s="62">
        <v>4</v>
      </c>
      <c r="AA351" s="62" t="str">
        <f t="shared" si="23"/>
        <v>Over 3.5</v>
      </c>
      <c r="AB351" s="23">
        <v>5</v>
      </c>
      <c r="AC351" s="30" t="str">
        <f>VLOOKUP(AB351,[2]Key!$C$20:$D$29,2,FALSE)</f>
        <v>Professional</v>
      </c>
      <c r="AD351" s="23">
        <v>3</v>
      </c>
      <c r="AE351" s="30" t="str">
        <f>VLOOKUP(AD351,[2]Key!$E$20:$F$24,2,FALSE)</f>
        <v>500,000-750,000</v>
      </c>
      <c r="AF351" s="23">
        <v>5</v>
      </c>
      <c r="AG351" s="62">
        <v>1</v>
      </c>
      <c r="AH351" s="62">
        <v>2</v>
      </c>
      <c r="AI351" s="62">
        <v>1</v>
      </c>
      <c r="AJ351" s="62">
        <v>2</v>
      </c>
      <c r="AK351" s="45" t="s">
        <v>94</v>
      </c>
      <c r="AL351" s="36">
        <v>1000</v>
      </c>
      <c r="AM351" t="str">
        <f t="shared" si="24"/>
        <v>1000-2000</v>
      </c>
    </row>
    <row r="352" spans="1:39" x14ac:dyDescent="0.2">
      <c r="A352" s="44" t="s">
        <v>355</v>
      </c>
      <c r="B352" s="60">
        <v>0.53055555555555556</v>
      </c>
      <c r="C352" s="60"/>
      <c r="D352" s="60" t="s">
        <v>96</v>
      </c>
      <c r="E352" s="13">
        <v>2</v>
      </c>
      <c r="F352" s="38" t="str">
        <f>VLOOKUP(E352,[2]Key!$A$17:$B$21,2,FALSE)</f>
        <v>Road Vehicle</v>
      </c>
      <c r="G352" s="61">
        <v>4</v>
      </c>
      <c r="H352" s="39" t="str">
        <f>VLOOKUP(G352,[2]Key!$A$2:$B$13,2,FALSE)</f>
        <v>Minibus</v>
      </c>
      <c r="I352" s="13" t="s">
        <v>108</v>
      </c>
      <c r="J352" s="13">
        <v>2</v>
      </c>
      <c r="K352" s="40" t="str">
        <f>VLOOKUP(J352,[2]Key!$A$24:$B$29,2,FALSE)</f>
        <v>30-39</v>
      </c>
      <c r="L352" s="13" t="s">
        <v>356</v>
      </c>
      <c r="M352" s="23" t="s">
        <v>150</v>
      </c>
      <c r="N352" s="13" t="s">
        <v>357</v>
      </c>
      <c r="O352" s="45">
        <v>2</v>
      </c>
      <c r="P352" s="30" t="str">
        <f>VLOOKUP(O352,[2]Key!$E$2:$F$9,2,FALSE)</f>
        <v>Work</v>
      </c>
      <c r="Q352" s="13" t="s">
        <v>425</v>
      </c>
      <c r="R352" s="23" t="s">
        <v>200</v>
      </c>
      <c r="S352" s="13" t="s">
        <v>357</v>
      </c>
      <c r="T352" s="23">
        <v>2</v>
      </c>
      <c r="U352" s="30" t="str">
        <f>VLOOKUP(T352,[2]Key!$E$2:$F$9,2,FALSE)</f>
        <v>Work</v>
      </c>
      <c r="V352" s="30" t="str">
        <f t="shared" si="21"/>
        <v>Work-Work</v>
      </c>
      <c r="W352" s="23">
        <v>250000</v>
      </c>
      <c r="X352" s="62">
        <v>450</v>
      </c>
      <c r="Y352" s="62" t="str">
        <f t="shared" si="22"/>
        <v>Over 200</v>
      </c>
      <c r="Z352" s="62">
        <v>4</v>
      </c>
      <c r="AA352" s="62" t="str">
        <f t="shared" si="23"/>
        <v>Over 3.5</v>
      </c>
      <c r="AB352" s="23">
        <v>5</v>
      </c>
      <c r="AC352" s="30" t="str">
        <f>VLOOKUP(AB352,[2]Key!$C$20:$D$29,2,FALSE)</f>
        <v>Professional</v>
      </c>
      <c r="AD352" s="23">
        <v>4</v>
      </c>
      <c r="AE352" s="30" t="str">
        <f>VLOOKUP(AD352,[2]Key!$E$20:$F$24,2,FALSE)</f>
        <v>750,000-1,000,000</v>
      </c>
      <c r="AF352" s="23">
        <v>2</v>
      </c>
      <c r="AG352" s="62">
        <v>1</v>
      </c>
      <c r="AH352" s="62">
        <v>1</v>
      </c>
      <c r="AI352" s="62">
        <v>2</v>
      </c>
      <c r="AJ352" s="62">
        <v>1</v>
      </c>
      <c r="AK352" s="45" t="s">
        <v>94</v>
      </c>
      <c r="AL352" s="36">
        <v>1000</v>
      </c>
      <c r="AM352" t="str">
        <f t="shared" si="24"/>
        <v>1000-2000</v>
      </c>
    </row>
    <row r="353" spans="1:39" x14ac:dyDescent="0.2">
      <c r="A353" s="44" t="s">
        <v>355</v>
      </c>
      <c r="B353" s="60">
        <v>0.32361111111111113</v>
      </c>
      <c r="C353" s="60"/>
      <c r="D353" s="60" t="s">
        <v>96</v>
      </c>
      <c r="E353" s="13">
        <v>2</v>
      </c>
      <c r="F353" s="38" t="s">
        <v>101</v>
      </c>
      <c r="G353" s="61">
        <v>4</v>
      </c>
      <c r="H353" s="39" t="str">
        <f>VLOOKUP(G353,[2]Key!$A$2:$B$13,2,FALSE)</f>
        <v>Minibus</v>
      </c>
      <c r="I353" s="13" t="s">
        <v>108</v>
      </c>
      <c r="J353" s="13">
        <v>2</v>
      </c>
      <c r="K353" s="40" t="str">
        <f>VLOOKUP(J353,[2]Key!$A$24:$B$29,2,FALSE)</f>
        <v>30-39</v>
      </c>
      <c r="L353" s="13" t="s">
        <v>356</v>
      </c>
      <c r="M353" s="23" t="s">
        <v>150</v>
      </c>
      <c r="N353" s="13" t="s">
        <v>357</v>
      </c>
      <c r="O353" s="45">
        <v>4</v>
      </c>
      <c r="P353" s="30" t="str">
        <f>VLOOKUP(O353,[2]Key!$E$2:$F$9,2,FALSE)</f>
        <v>Commercial</v>
      </c>
      <c r="Q353" s="13" t="s">
        <v>426</v>
      </c>
      <c r="R353" s="23" t="s">
        <v>427</v>
      </c>
      <c r="S353" s="13" t="s">
        <v>357</v>
      </c>
      <c r="T353" s="23">
        <v>4</v>
      </c>
      <c r="U353" s="30" t="str">
        <f>VLOOKUP(T353,[2]Key!$E$2:$F$9,2,FALSE)</f>
        <v>Commercial</v>
      </c>
      <c r="V353" s="30" t="str">
        <f t="shared" si="21"/>
        <v>Commercial-Commercial</v>
      </c>
      <c r="W353" s="23">
        <v>300000</v>
      </c>
      <c r="X353" s="62">
        <v>360</v>
      </c>
      <c r="Y353" s="62" t="str">
        <f t="shared" si="22"/>
        <v>Over 200</v>
      </c>
      <c r="Z353" s="62">
        <v>4</v>
      </c>
      <c r="AA353" s="62" t="str">
        <f t="shared" si="23"/>
        <v>Over 3.5</v>
      </c>
      <c r="AB353" s="23">
        <v>5</v>
      </c>
      <c r="AC353" s="30" t="str">
        <f>VLOOKUP(AB353,[2]Key!$C$20:$D$29,2,FALSE)</f>
        <v>Professional</v>
      </c>
      <c r="AD353" s="23">
        <v>1</v>
      </c>
      <c r="AE353" s="30" t="str">
        <f>VLOOKUP(AD353,[2]Key!$E$20:$F$24,2,FALSE)</f>
        <v>&lt;300,000</v>
      </c>
      <c r="AF353" s="23">
        <v>5</v>
      </c>
      <c r="AG353" s="62">
        <v>5</v>
      </c>
      <c r="AH353" s="62">
        <v>1</v>
      </c>
      <c r="AI353" s="62">
        <v>1</v>
      </c>
      <c r="AJ353" s="62">
        <v>5</v>
      </c>
      <c r="AK353" s="45" t="s">
        <v>94</v>
      </c>
      <c r="AL353" s="36"/>
      <c r="AM353" t="str">
        <f t="shared" si="24"/>
        <v>0-1000</v>
      </c>
    </row>
    <row r="354" spans="1:39" x14ac:dyDescent="0.2">
      <c r="A354" s="44" t="s">
        <v>355</v>
      </c>
      <c r="B354" s="60">
        <v>0.7680555555555556</v>
      </c>
      <c r="C354" s="60"/>
      <c r="D354" s="60" t="s">
        <v>96</v>
      </c>
      <c r="E354" s="13">
        <v>2</v>
      </c>
      <c r="F354" s="38" t="str">
        <f>VLOOKUP(E354,[2]Key!$A$17:$B$21,2,FALSE)</f>
        <v>Road Vehicle</v>
      </c>
      <c r="G354" s="61">
        <v>4</v>
      </c>
      <c r="H354" s="39" t="str">
        <f>VLOOKUP(G354,[2]Key!$A$2:$B$13,2,FALSE)</f>
        <v>Minibus</v>
      </c>
      <c r="I354" s="13" t="s">
        <v>108</v>
      </c>
      <c r="J354" s="13">
        <v>2</v>
      </c>
      <c r="K354" s="40" t="str">
        <f>VLOOKUP(J354,[2]Key!$A$24:$B$29,2,FALSE)</f>
        <v>30-39</v>
      </c>
      <c r="L354" s="13" t="s">
        <v>356</v>
      </c>
      <c r="M354" s="23" t="s">
        <v>150</v>
      </c>
      <c r="N354" s="13" t="s">
        <v>357</v>
      </c>
      <c r="O354" s="45">
        <v>4</v>
      </c>
      <c r="P354" s="30" t="str">
        <f>VLOOKUP(O354,[2]Key!$E$2:$F$9,2,FALSE)</f>
        <v>Commercial</v>
      </c>
      <c r="Q354" s="13" t="s">
        <v>428</v>
      </c>
      <c r="R354" s="23" t="s">
        <v>429</v>
      </c>
      <c r="S354" s="13" t="s">
        <v>357</v>
      </c>
      <c r="T354" s="23">
        <v>4</v>
      </c>
      <c r="U354" s="30" t="str">
        <f>VLOOKUP(T354,[2]Key!$E$2:$F$9,2,FALSE)</f>
        <v>Commercial</v>
      </c>
      <c r="V354" s="30" t="str">
        <f t="shared" si="21"/>
        <v>Commercial-Commercial</v>
      </c>
      <c r="W354" s="23">
        <v>340000</v>
      </c>
      <c r="X354" s="62">
        <v>314</v>
      </c>
      <c r="Y354" s="62" t="str">
        <f t="shared" si="22"/>
        <v>Over 200</v>
      </c>
      <c r="Z354" s="62">
        <v>4</v>
      </c>
      <c r="AA354" s="62" t="str">
        <f t="shared" si="23"/>
        <v>Over 3.5</v>
      </c>
      <c r="AB354" s="23">
        <v>5</v>
      </c>
      <c r="AC354" s="30" t="str">
        <f>VLOOKUP(AB354,[2]Key!$C$20:$D$29,2,FALSE)</f>
        <v>Professional</v>
      </c>
      <c r="AD354" s="23">
        <v>1</v>
      </c>
      <c r="AE354" s="30" t="str">
        <f>VLOOKUP(AD354,[2]Key!$E$20:$F$24,2,FALSE)</f>
        <v>&lt;300,000</v>
      </c>
      <c r="AF354" s="23">
        <v>5</v>
      </c>
      <c r="AG354" s="62">
        <v>5</v>
      </c>
      <c r="AH354" s="62">
        <v>1</v>
      </c>
      <c r="AI354" s="62">
        <v>1</v>
      </c>
      <c r="AJ354" s="62">
        <v>4</v>
      </c>
      <c r="AK354" s="45" t="s">
        <v>94</v>
      </c>
      <c r="AL354" s="36">
        <v>1000</v>
      </c>
      <c r="AM354" t="str">
        <f t="shared" si="24"/>
        <v>1000-2000</v>
      </c>
    </row>
    <row r="355" spans="1:39" x14ac:dyDescent="0.2">
      <c r="A355" s="44" t="s">
        <v>355</v>
      </c>
      <c r="B355" s="60">
        <v>0.375</v>
      </c>
      <c r="C355" s="60" t="s">
        <v>430</v>
      </c>
      <c r="D355" s="60" t="s">
        <v>96</v>
      </c>
      <c r="E355" s="13">
        <v>2</v>
      </c>
      <c r="F355" s="38" t="str">
        <f>VLOOKUP(E355,[2]Key!$A$17:$B$21,2,FALSE)</f>
        <v>Road Vehicle</v>
      </c>
      <c r="G355" s="61">
        <v>4</v>
      </c>
      <c r="H355" s="39" t="str">
        <f>VLOOKUP(G355,[2]Key!$A$2:$B$13,2,FALSE)</f>
        <v>Minibus</v>
      </c>
      <c r="I355" s="13" t="s">
        <v>108</v>
      </c>
      <c r="J355" s="13">
        <v>2</v>
      </c>
      <c r="K355" s="40" t="str">
        <f>VLOOKUP(J355,[2]Key!$A$24:$B$29,2,FALSE)</f>
        <v>30-39</v>
      </c>
      <c r="L355" s="13" t="s">
        <v>356</v>
      </c>
      <c r="M355" s="23" t="s">
        <v>150</v>
      </c>
      <c r="N355" s="13" t="s">
        <v>357</v>
      </c>
      <c r="O355" s="45">
        <v>2</v>
      </c>
      <c r="P355" s="30" t="str">
        <f>VLOOKUP(O355,[2]Key!$E$2:$F$9,2,FALSE)</f>
        <v>Work</v>
      </c>
      <c r="Q355" s="13" t="s">
        <v>431</v>
      </c>
      <c r="R355" s="23" t="s">
        <v>432</v>
      </c>
      <c r="S355" s="13" t="s">
        <v>357</v>
      </c>
      <c r="T355" s="23">
        <v>8</v>
      </c>
      <c r="U355" s="30" t="str">
        <f>VLOOKUP(T355,[2]Key!$E$2:$F$9,2,FALSE)</f>
        <v>Others</v>
      </c>
      <c r="V355" s="30" t="str">
        <f t="shared" si="21"/>
        <v>Work-Others</v>
      </c>
      <c r="W355" s="23">
        <v>254000</v>
      </c>
      <c r="X355" s="62">
        <v>300</v>
      </c>
      <c r="Y355" s="62" t="str">
        <f t="shared" si="22"/>
        <v>Over 200</v>
      </c>
      <c r="Z355" s="62">
        <v>4</v>
      </c>
      <c r="AA355" s="62" t="str">
        <f t="shared" si="23"/>
        <v>Over 3.5</v>
      </c>
      <c r="AB355" s="23">
        <v>10</v>
      </c>
      <c r="AC355" s="30" t="str">
        <f>VLOOKUP(AB355,[2]Key!$C$20:$D$29,2,FALSE)</f>
        <v>Other</v>
      </c>
      <c r="AD355" s="23">
        <v>2</v>
      </c>
      <c r="AE355" s="30" t="str">
        <f>VLOOKUP(AD355,[2]Key!$E$20:$F$24,2,FALSE)</f>
        <v>300,000-500,000</v>
      </c>
      <c r="AF355" s="23">
        <v>5</v>
      </c>
      <c r="AG355" s="62">
        <v>4</v>
      </c>
      <c r="AH355" s="62">
        <v>4</v>
      </c>
      <c r="AI355" s="62">
        <v>3</v>
      </c>
      <c r="AJ355" s="62">
        <v>2</v>
      </c>
      <c r="AK355" s="45" t="s">
        <v>94</v>
      </c>
      <c r="AL355" s="36">
        <v>3000</v>
      </c>
      <c r="AM355" t="str">
        <f t="shared" si="24"/>
        <v>3000-5000</v>
      </c>
    </row>
    <row r="356" spans="1:39" x14ac:dyDescent="0.2">
      <c r="A356" s="44" t="s">
        <v>355</v>
      </c>
      <c r="B356" s="60">
        <v>0.7416666666666667</v>
      </c>
      <c r="C356" s="60"/>
      <c r="D356" s="60" t="s">
        <v>165</v>
      </c>
      <c r="E356" s="13">
        <v>2</v>
      </c>
      <c r="F356" s="38" t="str">
        <f>VLOOKUP(E356,[2]Key!$A$17:$B$21,2,FALSE)</f>
        <v>Road Vehicle</v>
      </c>
      <c r="G356" s="61">
        <v>4</v>
      </c>
      <c r="H356" s="39" t="str">
        <f>VLOOKUP(G356,[2]Key!$A$2:$B$13,2,FALSE)</f>
        <v>Minibus</v>
      </c>
      <c r="I356" s="13" t="s">
        <v>108</v>
      </c>
      <c r="J356" s="13">
        <v>2</v>
      </c>
      <c r="K356" s="40" t="str">
        <f>VLOOKUP(J356,[2]Key!$A$24:$B$29,2,FALSE)</f>
        <v>30-39</v>
      </c>
      <c r="L356" s="13" t="s">
        <v>356</v>
      </c>
      <c r="M356" s="23" t="s">
        <v>150</v>
      </c>
      <c r="N356" s="13" t="s">
        <v>357</v>
      </c>
      <c r="O356" s="45">
        <v>4</v>
      </c>
      <c r="P356" s="30" t="str">
        <f>VLOOKUP(O356,[2]Key!$E$2:$F$9,2,FALSE)</f>
        <v>Commercial</v>
      </c>
      <c r="Q356" s="13" t="s">
        <v>389</v>
      </c>
      <c r="R356" s="23" t="s">
        <v>433</v>
      </c>
      <c r="S356" s="13" t="s">
        <v>357</v>
      </c>
      <c r="T356" s="23">
        <v>2</v>
      </c>
      <c r="U356" s="30" t="str">
        <f>VLOOKUP(T356,[2]Key!$E$2:$F$9,2,FALSE)</f>
        <v>Work</v>
      </c>
      <c r="V356" s="30" t="str">
        <f t="shared" si="21"/>
        <v>Commercial-Work</v>
      </c>
      <c r="W356" s="23">
        <v>45000</v>
      </c>
      <c r="X356" s="62">
        <v>310</v>
      </c>
      <c r="Y356" s="62" t="str">
        <f t="shared" si="22"/>
        <v>Over 200</v>
      </c>
      <c r="Z356" s="62">
        <v>4</v>
      </c>
      <c r="AA356" s="62" t="str">
        <f t="shared" si="23"/>
        <v>Over 3.5</v>
      </c>
      <c r="AB356" s="23">
        <v>6</v>
      </c>
      <c r="AC356" s="30" t="str">
        <f>VLOOKUP(AB356,[2]Key!$C$20:$D$29,2,FALSE)</f>
        <v>Businessman</v>
      </c>
      <c r="AD356" s="23">
        <v>2</v>
      </c>
      <c r="AE356" s="30" t="str">
        <f>VLOOKUP(AD356,[2]Key!$E$20:$F$24,2,FALSE)</f>
        <v>300,000-500,000</v>
      </c>
      <c r="AF356" s="23">
        <v>5</v>
      </c>
      <c r="AG356" s="62">
        <v>5</v>
      </c>
      <c r="AH356" s="62">
        <v>5</v>
      </c>
      <c r="AI356" s="62">
        <v>5</v>
      </c>
      <c r="AJ356" s="62">
        <v>5</v>
      </c>
      <c r="AK356" s="45" t="s">
        <v>94</v>
      </c>
      <c r="AL356" s="36"/>
      <c r="AM356" t="str">
        <f t="shared" si="24"/>
        <v>0-1000</v>
      </c>
    </row>
    <row r="357" spans="1:39" x14ac:dyDescent="0.2">
      <c r="A357" s="44" t="s">
        <v>355</v>
      </c>
      <c r="B357" s="60">
        <v>0.43888888888888888</v>
      </c>
      <c r="C357" s="60"/>
      <c r="D357" s="60" t="s">
        <v>96</v>
      </c>
      <c r="E357" s="13">
        <v>2</v>
      </c>
      <c r="F357" s="38" t="str">
        <f>VLOOKUP(E357,[2]Key!$A$17:$B$21,2,FALSE)</f>
        <v>Road Vehicle</v>
      </c>
      <c r="G357" s="61">
        <v>4</v>
      </c>
      <c r="H357" s="39" t="str">
        <f>VLOOKUP(G357,[2]Key!$A$2:$B$13,2,FALSE)</f>
        <v>Minibus</v>
      </c>
      <c r="I357" s="13" t="s">
        <v>108</v>
      </c>
      <c r="J357" s="13">
        <v>2</v>
      </c>
      <c r="K357" s="40" t="s">
        <v>112</v>
      </c>
      <c r="L357" s="13" t="s">
        <v>356</v>
      </c>
      <c r="M357" s="23" t="s">
        <v>150</v>
      </c>
      <c r="N357" s="13" t="s">
        <v>357</v>
      </c>
      <c r="O357" s="45">
        <v>2</v>
      </c>
      <c r="P357" s="30" t="s">
        <v>65</v>
      </c>
      <c r="Q357" s="13" t="s">
        <v>434</v>
      </c>
      <c r="R357" s="23" t="s">
        <v>304</v>
      </c>
      <c r="S357" s="13" t="s">
        <v>357</v>
      </c>
      <c r="T357" s="23">
        <v>2</v>
      </c>
      <c r="U357" s="30" t="str">
        <f>VLOOKUP(T357,[2]Key!$E$2:$F$9,2,FALSE)</f>
        <v>Work</v>
      </c>
      <c r="V357" s="30" t="str">
        <f t="shared" si="21"/>
        <v>Work-Work</v>
      </c>
      <c r="W357" s="41">
        <v>250000</v>
      </c>
      <c r="X357" s="62">
        <v>550</v>
      </c>
      <c r="Y357" s="62" t="str">
        <f t="shared" si="22"/>
        <v>Over 200</v>
      </c>
      <c r="Z357" s="62">
        <v>4.5</v>
      </c>
      <c r="AA357" s="62" t="str">
        <f t="shared" si="23"/>
        <v>Over 3.5</v>
      </c>
      <c r="AB357" s="23">
        <v>5</v>
      </c>
      <c r="AC357" s="30" t="str">
        <f>VLOOKUP(AB357,[2]Key!$C$20:$D$29,2,FALSE)</f>
        <v>Professional</v>
      </c>
      <c r="AD357" s="23">
        <v>4</v>
      </c>
      <c r="AE357" s="30" t="str">
        <f>VLOOKUP(AD357,[2]Key!$E$20:$F$24,2,FALSE)</f>
        <v>750,000-1,000,000</v>
      </c>
      <c r="AF357" s="23">
        <v>2</v>
      </c>
      <c r="AG357" s="62">
        <v>1</v>
      </c>
      <c r="AH357" s="62">
        <v>1</v>
      </c>
      <c r="AI357" s="62">
        <v>2</v>
      </c>
      <c r="AJ357" s="62">
        <v>1</v>
      </c>
      <c r="AK357" s="45" t="s">
        <v>94</v>
      </c>
      <c r="AL357" s="36">
        <v>1000</v>
      </c>
      <c r="AM357" t="str">
        <f t="shared" si="24"/>
        <v>1000-2000</v>
      </c>
    </row>
    <row r="358" spans="1:39" x14ac:dyDescent="0.2">
      <c r="A358" s="44" t="s">
        <v>355</v>
      </c>
      <c r="B358" s="60">
        <v>0.38194444444444442</v>
      </c>
      <c r="C358" s="60"/>
      <c r="D358" s="60" t="s">
        <v>165</v>
      </c>
      <c r="E358" s="13">
        <v>2</v>
      </c>
      <c r="F358" s="38" t="str">
        <f>VLOOKUP(E358,[2]Key!$A$17:$B$21,2,FALSE)</f>
        <v>Road Vehicle</v>
      </c>
      <c r="G358" s="61">
        <v>4</v>
      </c>
      <c r="H358" s="39" t="str">
        <f>VLOOKUP(G358,[2]Key!$A$2:$B$13,2,FALSE)</f>
        <v>Minibus</v>
      </c>
      <c r="I358" s="13" t="s">
        <v>108</v>
      </c>
      <c r="J358" s="13">
        <v>2</v>
      </c>
      <c r="K358" s="40" t="str">
        <f>VLOOKUP(J358,[2]Key!$A$24:$B$29,2,FALSE)</f>
        <v>30-39</v>
      </c>
      <c r="L358" s="13" t="s">
        <v>241</v>
      </c>
      <c r="M358" s="23" t="s">
        <v>150</v>
      </c>
      <c r="N358" s="13" t="s">
        <v>357</v>
      </c>
      <c r="O358" s="45">
        <v>1</v>
      </c>
      <c r="P358" s="30" t="str">
        <f>VLOOKUP(O358,[2]Key!$E$2:$F$9,2,FALSE)</f>
        <v>Home</v>
      </c>
      <c r="Q358" s="13" t="s">
        <v>431</v>
      </c>
      <c r="R358" s="23" t="s">
        <v>432</v>
      </c>
      <c r="S358" s="13" t="s">
        <v>357</v>
      </c>
      <c r="T358" s="23">
        <v>4</v>
      </c>
      <c r="U358" s="30" t="str">
        <f>VLOOKUP(T358,[2]Key!$E$2:$F$9,2,FALSE)</f>
        <v>Commercial</v>
      </c>
      <c r="V358" s="30" t="str">
        <f t="shared" si="21"/>
        <v>Home-Commercial</v>
      </c>
      <c r="W358" s="23">
        <v>20000</v>
      </c>
      <c r="X358" s="62">
        <v>300</v>
      </c>
      <c r="Y358" s="62" t="str">
        <f t="shared" si="22"/>
        <v>Over 200</v>
      </c>
      <c r="Z358" s="62">
        <v>4.5</v>
      </c>
      <c r="AA358" s="62" t="str">
        <f t="shared" si="23"/>
        <v>Over 3.5</v>
      </c>
      <c r="AB358" s="23">
        <v>7</v>
      </c>
      <c r="AC358" s="30" t="str">
        <f>VLOOKUP(AB358,[2]Key!$C$20:$D$29,2,FALSE)</f>
        <v>Farmer</v>
      </c>
      <c r="AD358" s="23">
        <v>1</v>
      </c>
      <c r="AE358" s="30" t="str">
        <f>VLOOKUP(AD358,[2]Key!$E$20:$F$24,2,FALSE)</f>
        <v>&lt;300,000</v>
      </c>
      <c r="AF358" s="23">
        <v>2</v>
      </c>
      <c r="AG358" s="62">
        <v>1</v>
      </c>
      <c r="AH358" s="62">
        <v>2</v>
      </c>
      <c r="AI358" s="62">
        <v>5</v>
      </c>
      <c r="AJ358" s="62">
        <v>5</v>
      </c>
      <c r="AK358" s="45" t="s">
        <v>94</v>
      </c>
      <c r="AL358" s="36"/>
      <c r="AM358" t="str">
        <f t="shared" si="24"/>
        <v>0-1000</v>
      </c>
    </row>
    <row r="359" spans="1:39" x14ac:dyDescent="0.2">
      <c r="A359" s="44" t="s">
        <v>355</v>
      </c>
      <c r="B359" s="60">
        <v>0.65277777777777779</v>
      </c>
      <c r="C359" s="60"/>
      <c r="D359" s="60" t="s">
        <v>96</v>
      </c>
      <c r="E359" s="13">
        <v>2</v>
      </c>
      <c r="F359" s="38" t="str">
        <f>VLOOKUP(E359,[2]Key!$A$17:$B$21,2,FALSE)</f>
        <v>Road Vehicle</v>
      </c>
      <c r="G359" s="61">
        <v>4</v>
      </c>
      <c r="H359" s="39" t="str">
        <f>VLOOKUP(G359,[2]Key!$A$2:$B$13,2,FALSE)</f>
        <v>Minibus</v>
      </c>
      <c r="I359" s="13" t="s">
        <v>108</v>
      </c>
      <c r="J359" s="13">
        <v>2</v>
      </c>
      <c r="K359" s="40" t="str">
        <f>VLOOKUP(J359,[2]Key!$A$24:$B$29,2,FALSE)</f>
        <v>30-39</v>
      </c>
      <c r="L359" s="13" t="s">
        <v>356</v>
      </c>
      <c r="M359" s="23" t="s">
        <v>150</v>
      </c>
      <c r="N359" s="13" t="s">
        <v>357</v>
      </c>
      <c r="O359" s="45">
        <v>2</v>
      </c>
      <c r="P359" s="30" t="str">
        <f>VLOOKUP(O359,[2]Key!$E$2:$F$9,2,FALSE)</f>
        <v>Work</v>
      </c>
      <c r="Q359" s="13" t="s">
        <v>435</v>
      </c>
      <c r="R359" s="23" t="s">
        <v>436</v>
      </c>
      <c r="S359" s="13" t="s">
        <v>357</v>
      </c>
      <c r="T359" s="23">
        <v>2</v>
      </c>
      <c r="U359" s="30" t="str">
        <f>VLOOKUP(T359,[2]Key!$E$2:$F$9,2,FALSE)</f>
        <v>Work</v>
      </c>
      <c r="V359" s="30" t="str">
        <f t="shared" si="21"/>
        <v>Work-Work</v>
      </c>
      <c r="W359" s="23">
        <v>35000</v>
      </c>
      <c r="X359" s="62">
        <v>580</v>
      </c>
      <c r="Y359" s="62" t="str">
        <f t="shared" si="22"/>
        <v>Over 200</v>
      </c>
      <c r="Z359" s="62">
        <v>6</v>
      </c>
      <c r="AA359" s="62" t="str">
        <f t="shared" si="23"/>
        <v>Over 3.5</v>
      </c>
      <c r="AB359" s="23">
        <v>5</v>
      </c>
      <c r="AC359" s="30" t="str">
        <f>VLOOKUP(AB359,[2]Key!$C$20:$D$29,2,FALSE)</f>
        <v>Professional</v>
      </c>
      <c r="AD359" s="23">
        <v>5</v>
      </c>
      <c r="AE359" s="30" t="str">
        <f>VLOOKUP(AD359,[2]Key!$E$20:$F$24,2,FALSE)</f>
        <v>&gt;1,000,000</v>
      </c>
      <c r="AF359" s="23">
        <v>5</v>
      </c>
      <c r="AG359" s="62">
        <v>2</v>
      </c>
      <c r="AH359" s="62">
        <v>1</v>
      </c>
      <c r="AI359" s="62">
        <v>2</v>
      </c>
      <c r="AJ359" s="62">
        <v>1</v>
      </c>
      <c r="AK359" s="45" t="s">
        <v>94</v>
      </c>
      <c r="AL359" s="36">
        <v>1000</v>
      </c>
      <c r="AM359" t="str">
        <f t="shared" si="24"/>
        <v>1000-2000</v>
      </c>
    </row>
    <row r="360" spans="1:39" x14ac:dyDescent="0.2">
      <c r="A360" s="44" t="s">
        <v>355</v>
      </c>
      <c r="B360" s="60">
        <v>0.39305555555555555</v>
      </c>
      <c r="C360" s="60"/>
      <c r="D360" s="60" t="s">
        <v>165</v>
      </c>
      <c r="E360" s="13">
        <v>2</v>
      </c>
      <c r="F360" s="38" t="str">
        <f>VLOOKUP(E360,[2]Key!$A$17:$B$21,2,FALSE)</f>
        <v>Road Vehicle</v>
      </c>
      <c r="G360" s="61">
        <v>4</v>
      </c>
      <c r="H360" s="39" t="str">
        <f>VLOOKUP(G360,[2]Key!$A$2:$B$13,2,FALSE)</f>
        <v>Minibus</v>
      </c>
      <c r="I360" s="13" t="s">
        <v>108</v>
      </c>
      <c r="J360" s="13">
        <v>2</v>
      </c>
      <c r="K360" s="40" t="str">
        <f>VLOOKUP(J360,[2]Key!$A$24:$B$29,2,FALSE)</f>
        <v>30-39</v>
      </c>
      <c r="L360" s="13" t="s">
        <v>356</v>
      </c>
      <c r="M360" s="23" t="s">
        <v>150</v>
      </c>
      <c r="N360" s="13" t="s">
        <v>357</v>
      </c>
      <c r="O360" s="45">
        <v>2</v>
      </c>
      <c r="P360" s="30" t="str">
        <f>VLOOKUP(O360,[2]Key!$E$2:$F$9,2,FALSE)</f>
        <v>Work</v>
      </c>
      <c r="Q360" s="13" t="s">
        <v>171</v>
      </c>
      <c r="R360" s="23" t="s">
        <v>157</v>
      </c>
      <c r="S360" s="13" t="s">
        <v>357</v>
      </c>
      <c r="T360" s="23">
        <v>2</v>
      </c>
      <c r="U360" s="30" t="str">
        <f>VLOOKUP(T360,[2]Key!$E$2:$F$9,2,FALSE)</f>
        <v>Work</v>
      </c>
      <c r="V360" s="30" t="str">
        <f t="shared" si="21"/>
        <v>Work-Work</v>
      </c>
      <c r="W360" s="41">
        <v>13000</v>
      </c>
      <c r="X360" s="62">
        <v>152.88</v>
      </c>
      <c r="Y360" s="62" t="str">
        <f t="shared" si="22"/>
        <v>100-200</v>
      </c>
      <c r="Z360" s="62">
        <v>6</v>
      </c>
      <c r="AA360" s="62" t="str">
        <f t="shared" si="23"/>
        <v>Over 3.5</v>
      </c>
      <c r="AB360" s="23">
        <v>3</v>
      </c>
      <c r="AC360" s="30" t="str">
        <f>VLOOKUP(AB360,[2]Key!$C$20:$D$29,2,FALSE)</f>
        <v>Artisan/Domestic</v>
      </c>
      <c r="AD360" s="23">
        <v>3</v>
      </c>
      <c r="AE360" s="30" t="s">
        <v>437</v>
      </c>
      <c r="AF360" s="23">
        <v>1</v>
      </c>
      <c r="AG360" s="62">
        <v>1</v>
      </c>
      <c r="AH360" s="62">
        <v>2</v>
      </c>
      <c r="AI360" s="62">
        <v>2</v>
      </c>
      <c r="AJ360" s="62">
        <v>1</v>
      </c>
      <c r="AK360" s="45" t="s">
        <v>94</v>
      </c>
      <c r="AL360" s="36">
        <v>1000</v>
      </c>
      <c r="AM360" t="str">
        <f t="shared" si="24"/>
        <v>1000-2000</v>
      </c>
    </row>
    <row r="361" spans="1:39" x14ac:dyDescent="0.2">
      <c r="A361" s="44" t="s">
        <v>355</v>
      </c>
      <c r="B361" s="60">
        <v>0.68263888888888891</v>
      </c>
      <c r="C361" s="60"/>
      <c r="D361" s="60" t="s">
        <v>165</v>
      </c>
      <c r="E361" s="13">
        <v>2</v>
      </c>
      <c r="F361" s="38" t="str">
        <f>VLOOKUP(E361,[2]Key!$A$17:$B$21,2,FALSE)</f>
        <v>Road Vehicle</v>
      </c>
      <c r="G361" s="61">
        <v>4</v>
      </c>
      <c r="H361" s="39" t="str">
        <f>VLOOKUP(G361,[2]Key!$A$2:$B$13,2,FALSE)</f>
        <v>Minibus</v>
      </c>
      <c r="I361" s="13" t="s">
        <v>108</v>
      </c>
      <c r="J361" s="13">
        <v>2</v>
      </c>
      <c r="K361" s="40" t="str">
        <f>VLOOKUP(J361,[2]Key!$A$24:$B$29,2,FALSE)</f>
        <v>30-39</v>
      </c>
      <c r="L361" s="13" t="s">
        <v>405</v>
      </c>
      <c r="M361" s="23" t="s">
        <v>150</v>
      </c>
      <c r="N361" s="13" t="s">
        <v>357</v>
      </c>
      <c r="O361" s="45">
        <v>2</v>
      </c>
      <c r="P361" s="30" t="str">
        <f>VLOOKUP(O361,[2]Key!$E$2:$F$9,2,FALSE)</f>
        <v>Work</v>
      </c>
      <c r="Q361" s="13" t="s">
        <v>438</v>
      </c>
      <c r="R361" s="23" t="s">
        <v>183</v>
      </c>
      <c r="S361" s="13" t="s">
        <v>357</v>
      </c>
      <c r="T361" s="23">
        <v>1</v>
      </c>
      <c r="U361" s="30" t="str">
        <f>VLOOKUP(T361,[2]Key!$E$2:$F$9,2,FALSE)</f>
        <v>Home</v>
      </c>
      <c r="V361" s="30" t="str">
        <f t="shared" si="21"/>
        <v>Work-Home</v>
      </c>
      <c r="W361" s="23">
        <v>35000</v>
      </c>
      <c r="X361" s="62">
        <v>500</v>
      </c>
      <c r="Y361" s="62" t="str">
        <f t="shared" si="22"/>
        <v>Over 200</v>
      </c>
      <c r="Z361" s="62">
        <v>6</v>
      </c>
      <c r="AA361" s="62" t="str">
        <f t="shared" si="23"/>
        <v>Over 3.5</v>
      </c>
      <c r="AB361" s="23">
        <v>6</v>
      </c>
      <c r="AC361" s="30" t="str">
        <f>VLOOKUP(AB361,[2]Key!$C$20:$D$29,2,FALSE)</f>
        <v>Businessman</v>
      </c>
      <c r="AD361" s="23">
        <v>1</v>
      </c>
      <c r="AE361" s="30" t="str">
        <f>VLOOKUP(AD361,[2]Key!$E$20:$F$24,2,FALSE)</f>
        <v>&lt;300,000</v>
      </c>
      <c r="AF361" s="23">
        <v>2</v>
      </c>
      <c r="AG361" s="62">
        <v>4</v>
      </c>
      <c r="AH361" s="62">
        <v>1</v>
      </c>
      <c r="AI361" s="62">
        <v>5</v>
      </c>
      <c r="AJ361" s="62">
        <v>1</v>
      </c>
      <c r="AK361" s="45" t="s">
        <v>94</v>
      </c>
      <c r="AL361" s="36"/>
      <c r="AM361" t="str">
        <f t="shared" si="24"/>
        <v>0-1000</v>
      </c>
    </row>
    <row r="362" spans="1:39" x14ac:dyDescent="0.2">
      <c r="A362" s="44" t="s">
        <v>355</v>
      </c>
      <c r="B362" s="60">
        <v>0.33749999999999997</v>
      </c>
      <c r="C362" s="60"/>
      <c r="D362" s="60" t="s">
        <v>96</v>
      </c>
      <c r="E362" s="13">
        <v>2</v>
      </c>
      <c r="F362" s="38" t="str">
        <f>VLOOKUP(E362,[2]Key!$A$17:$B$21,2,FALSE)</f>
        <v>Road Vehicle</v>
      </c>
      <c r="G362" s="61">
        <v>4</v>
      </c>
      <c r="H362" s="39" t="str">
        <f>VLOOKUP(G362,[2]Key!$A$2:$B$13,2,FALSE)</f>
        <v>Minibus</v>
      </c>
      <c r="I362" s="13" t="s">
        <v>108</v>
      </c>
      <c r="J362" s="13">
        <v>3</v>
      </c>
      <c r="K362" s="40" t="str">
        <f>VLOOKUP(J362,[2]Key!$A$24:$B$29,2,FALSE)</f>
        <v>40-49</v>
      </c>
      <c r="L362" s="13" t="s">
        <v>356</v>
      </c>
      <c r="M362" s="23" t="s">
        <v>150</v>
      </c>
      <c r="N362" s="13" t="s">
        <v>357</v>
      </c>
      <c r="O362" s="45">
        <v>4</v>
      </c>
      <c r="P362" s="30" t="str">
        <f>VLOOKUP(O362,[2]Key!$E$2:$F$9,2,FALSE)</f>
        <v>Commercial</v>
      </c>
      <c r="Q362" s="13" t="s">
        <v>407</v>
      </c>
      <c r="R362" s="23" t="s">
        <v>156</v>
      </c>
      <c r="S362" s="13" t="s">
        <v>357</v>
      </c>
      <c r="T362" s="23">
        <v>4</v>
      </c>
      <c r="U362" s="30" t="str">
        <f>VLOOKUP(T362,[2]Key!$E$2:$F$9,2,FALSE)</f>
        <v>Commercial</v>
      </c>
      <c r="V362" s="30" t="str">
        <f t="shared" si="21"/>
        <v>Commercial-Commercial</v>
      </c>
      <c r="W362" s="23">
        <v>20000</v>
      </c>
      <c r="X362" s="62">
        <v>17</v>
      </c>
      <c r="Y362" s="62" t="str">
        <f t="shared" si="22"/>
        <v>10-20</v>
      </c>
      <c r="Z362" s="62">
        <v>0.2</v>
      </c>
      <c r="AA362" s="62" t="str">
        <f t="shared" si="23"/>
        <v>0-0.5</v>
      </c>
      <c r="AB362" s="23">
        <v>5</v>
      </c>
      <c r="AC362" s="30" t="str">
        <f>VLOOKUP(AB362,[2]Key!$C$20:$D$29,2,FALSE)</f>
        <v>Professional</v>
      </c>
      <c r="AD362" s="23">
        <v>2</v>
      </c>
      <c r="AE362" s="30" t="str">
        <f>VLOOKUP(AD362,[2]Key!$E$20:$F$24,2,FALSE)</f>
        <v>300,000-500,000</v>
      </c>
      <c r="AF362" s="23">
        <v>5</v>
      </c>
      <c r="AG362" s="62">
        <v>5</v>
      </c>
      <c r="AH362" s="62">
        <v>1</v>
      </c>
      <c r="AI362" s="62">
        <v>1</v>
      </c>
      <c r="AJ362" s="62">
        <v>5</v>
      </c>
      <c r="AK362" s="45" t="s">
        <v>94</v>
      </c>
      <c r="AL362" s="36">
        <v>5000</v>
      </c>
      <c r="AM362" t="str">
        <f t="shared" si="24"/>
        <v>5000-10000</v>
      </c>
    </row>
    <row r="363" spans="1:39" x14ac:dyDescent="0.2">
      <c r="A363" s="44" t="s">
        <v>355</v>
      </c>
      <c r="B363" s="60">
        <v>0.74722222222222223</v>
      </c>
      <c r="C363" s="60"/>
      <c r="D363" s="60" t="s">
        <v>96</v>
      </c>
      <c r="E363" s="13">
        <v>2</v>
      </c>
      <c r="F363" s="38" t="str">
        <f>VLOOKUP(E363,[2]Key!$A$17:$B$21,2,FALSE)</f>
        <v>Road Vehicle</v>
      </c>
      <c r="G363" s="61">
        <v>4</v>
      </c>
      <c r="H363" s="39" t="str">
        <f>VLOOKUP(G363,[2]Key!$A$2:$B$13,2,FALSE)</f>
        <v>Minibus</v>
      </c>
      <c r="I363" s="13" t="s">
        <v>108</v>
      </c>
      <c r="J363" s="13">
        <v>3</v>
      </c>
      <c r="K363" s="40" t="str">
        <f>VLOOKUP(J363,[2]Key!$A$24:$B$29,2,FALSE)</f>
        <v>40-49</v>
      </c>
      <c r="L363" s="13" t="s">
        <v>356</v>
      </c>
      <c r="M363" s="23" t="s">
        <v>150</v>
      </c>
      <c r="N363" s="13" t="s">
        <v>357</v>
      </c>
      <c r="O363" s="45">
        <v>2</v>
      </c>
      <c r="P363" s="30" t="str">
        <f>VLOOKUP(O363,[2]Key!$E$2:$F$9,2,FALSE)</f>
        <v>Work</v>
      </c>
      <c r="Q363" s="13" t="s">
        <v>439</v>
      </c>
      <c r="R363" s="23" t="s">
        <v>150</v>
      </c>
      <c r="S363" s="13" t="s">
        <v>357</v>
      </c>
      <c r="T363" s="23">
        <v>2</v>
      </c>
      <c r="U363" s="30" t="str">
        <f>VLOOKUP(T363,[2]Key!$E$2:$F$9,2,FALSE)</f>
        <v>Work</v>
      </c>
      <c r="V363" s="30" t="str">
        <f t="shared" si="21"/>
        <v>Work-Work</v>
      </c>
      <c r="W363" s="23">
        <v>10000</v>
      </c>
      <c r="X363" s="62">
        <v>4</v>
      </c>
      <c r="Y363" s="62" t="str">
        <f t="shared" si="22"/>
        <v>0-10</v>
      </c>
      <c r="Z363" s="62">
        <v>0.3</v>
      </c>
      <c r="AA363" s="62" t="str">
        <f t="shared" si="23"/>
        <v>0-0.5</v>
      </c>
      <c r="AB363" s="23">
        <v>5</v>
      </c>
      <c r="AC363" s="30" t="str">
        <f>VLOOKUP(AB363,[2]Key!$C$20:$D$29,2,FALSE)</f>
        <v>Professional</v>
      </c>
      <c r="AD363" s="23">
        <v>4</v>
      </c>
      <c r="AE363" s="30" t="str">
        <f>VLOOKUP(AD363,[2]Key!$E$20:$F$24,2,FALSE)</f>
        <v>750,000-1,000,000</v>
      </c>
      <c r="AF363" s="23">
        <v>5</v>
      </c>
      <c r="AG363" s="62">
        <v>1</v>
      </c>
      <c r="AH363" s="62">
        <v>1</v>
      </c>
      <c r="AI363" s="62">
        <v>2</v>
      </c>
      <c r="AJ363" s="62">
        <v>1</v>
      </c>
      <c r="AK363" s="45" t="s">
        <v>94</v>
      </c>
      <c r="AL363" s="36">
        <v>1000</v>
      </c>
      <c r="AM363" t="str">
        <f t="shared" si="24"/>
        <v>1000-2000</v>
      </c>
    </row>
    <row r="364" spans="1:39" x14ac:dyDescent="0.2">
      <c r="A364" s="44" t="s">
        <v>355</v>
      </c>
      <c r="B364" s="60">
        <v>0.75</v>
      </c>
      <c r="C364" s="60"/>
      <c r="D364" s="60" t="s">
        <v>96</v>
      </c>
      <c r="E364" s="13">
        <v>2</v>
      </c>
      <c r="F364" s="38" t="str">
        <f>VLOOKUP(E364,[2]Key!$A$17:$B$21,2,FALSE)</f>
        <v>Road Vehicle</v>
      </c>
      <c r="G364" s="61">
        <v>4</v>
      </c>
      <c r="H364" s="39" t="str">
        <f>VLOOKUP(G364,[2]Key!$A$2:$B$13,2,FALSE)</f>
        <v>Minibus</v>
      </c>
      <c r="I364" s="13" t="s">
        <v>108</v>
      </c>
      <c r="J364" s="13">
        <v>3</v>
      </c>
      <c r="K364" s="40" t="str">
        <f>VLOOKUP(J364,[2]Key!$A$24:$B$29,2,FALSE)</f>
        <v>40-49</v>
      </c>
      <c r="L364" s="13" t="s">
        <v>356</v>
      </c>
      <c r="M364" s="23" t="s">
        <v>150</v>
      </c>
      <c r="N364" s="13" t="s">
        <v>357</v>
      </c>
      <c r="O364" s="45">
        <v>2</v>
      </c>
      <c r="P364" s="30" t="str">
        <f>VLOOKUP(O364,[2]Key!$E$2:$F$9,2,FALSE)</f>
        <v>Work</v>
      </c>
      <c r="Q364" s="13" t="s">
        <v>440</v>
      </c>
      <c r="R364" s="23" t="s">
        <v>156</v>
      </c>
      <c r="S364" s="13" t="s">
        <v>357</v>
      </c>
      <c r="T364" s="23">
        <v>2</v>
      </c>
      <c r="U364" s="30" t="str">
        <f>VLOOKUP(T364,[2]Key!$E$2:$F$9,2,FALSE)</f>
        <v>Work</v>
      </c>
      <c r="V364" s="30" t="str">
        <f t="shared" si="21"/>
        <v>Work-Work</v>
      </c>
      <c r="W364" s="23">
        <v>10000</v>
      </c>
      <c r="X364" s="62">
        <v>2</v>
      </c>
      <c r="Y364" s="62" t="str">
        <f t="shared" si="22"/>
        <v>0-10</v>
      </c>
      <c r="Z364" s="62">
        <v>0.3</v>
      </c>
      <c r="AA364" s="62" t="str">
        <f t="shared" si="23"/>
        <v>0-0.5</v>
      </c>
      <c r="AB364" s="23">
        <v>5</v>
      </c>
      <c r="AC364" s="30" t="str">
        <f>VLOOKUP(AB364,[2]Key!$C$20:$D$29,2,FALSE)</f>
        <v>Professional</v>
      </c>
      <c r="AD364" s="23">
        <v>4</v>
      </c>
      <c r="AE364" s="30" t="str">
        <f>VLOOKUP(AD364,[2]Key!$E$20:$F$24,2,FALSE)</f>
        <v>750,000-1,000,000</v>
      </c>
      <c r="AF364" s="23">
        <v>2</v>
      </c>
      <c r="AG364" s="62">
        <v>1</v>
      </c>
      <c r="AH364" s="62">
        <v>2</v>
      </c>
      <c r="AI364" s="62">
        <v>1</v>
      </c>
      <c r="AJ364" s="62">
        <v>1</v>
      </c>
      <c r="AK364" s="45" t="s">
        <v>94</v>
      </c>
      <c r="AL364" s="36">
        <v>1000</v>
      </c>
      <c r="AM364" t="str">
        <f t="shared" si="24"/>
        <v>1000-2000</v>
      </c>
    </row>
    <row r="365" spans="1:39" x14ac:dyDescent="0.2">
      <c r="A365" s="44" t="s">
        <v>355</v>
      </c>
      <c r="B365" s="60">
        <v>0.75694444444444453</v>
      </c>
      <c r="C365" s="60"/>
      <c r="D365" s="60" t="s">
        <v>96</v>
      </c>
      <c r="E365" s="13">
        <v>2</v>
      </c>
      <c r="F365" s="38" t="str">
        <f>VLOOKUP(E365,[2]Key!$A$17:$B$21,2,FALSE)</f>
        <v>Road Vehicle</v>
      </c>
      <c r="G365" s="61">
        <v>4</v>
      </c>
      <c r="H365" s="39" t="str">
        <f>VLOOKUP(G365,[2]Key!$A$2:$B$13,2,FALSE)</f>
        <v>Minibus</v>
      </c>
      <c r="I365" s="13" t="s">
        <v>108</v>
      </c>
      <c r="J365" s="13">
        <v>3</v>
      </c>
      <c r="K365" s="40" t="str">
        <f>VLOOKUP(J365,[2]Key!$A$24:$B$29,2,FALSE)</f>
        <v>40-49</v>
      </c>
      <c r="L365" s="13" t="s">
        <v>356</v>
      </c>
      <c r="M365" s="23" t="s">
        <v>150</v>
      </c>
      <c r="N365" s="13" t="s">
        <v>357</v>
      </c>
      <c r="O365" s="45">
        <v>2</v>
      </c>
      <c r="P365" s="30" t="str">
        <f>VLOOKUP(O365,[2]Key!$E$2:$F$9,2,FALSE)</f>
        <v>Work</v>
      </c>
      <c r="Q365" s="13" t="s">
        <v>240</v>
      </c>
      <c r="R365" s="23" t="s">
        <v>150</v>
      </c>
      <c r="S365" s="13" t="s">
        <v>357</v>
      </c>
      <c r="T365" s="23">
        <v>2</v>
      </c>
      <c r="U365" s="30" t="str">
        <f>VLOOKUP(T365,[2]Key!$E$2:$F$9,2,FALSE)</f>
        <v>Work</v>
      </c>
      <c r="V365" s="30" t="str">
        <f t="shared" si="21"/>
        <v>Work-Work</v>
      </c>
      <c r="W365" s="23">
        <v>20000</v>
      </c>
      <c r="X365" s="62">
        <v>3</v>
      </c>
      <c r="Y365" s="62" t="str">
        <f t="shared" si="22"/>
        <v>0-10</v>
      </c>
      <c r="Z365" s="62">
        <v>0.3</v>
      </c>
      <c r="AA365" s="62" t="str">
        <f t="shared" si="23"/>
        <v>0-0.5</v>
      </c>
      <c r="AB365" s="23">
        <v>5</v>
      </c>
      <c r="AC365" s="30" t="str">
        <f>VLOOKUP(AB365,[2]Key!$C$20:$D$29,2,FALSE)</f>
        <v>Professional</v>
      </c>
      <c r="AD365" s="23">
        <v>4</v>
      </c>
      <c r="AE365" s="30" t="str">
        <f>VLOOKUP(AD365,[2]Key!$E$20:$F$24,2,FALSE)</f>
        <v>750,000-1,000,000</v>
      </c>
      <c r="AF365" s="23">
        <v>5</v>
      </c>
      <c r="AG365" s="62">
        <v>2</v>
      </c>
      <c r="AH365" s="62">
        <v>1</v>
      </c>
      <c r="AI365" s="62">
        <v>1</v>
      </c>
      <c r="AJ365" s="62">
        <v>2</v>
      </c>
      <c r="AK365" s="45" t="s">
        <v>94</v>
      </c>
      <c r="AL365" s="36">
        <v>1000</v>
      </c>
      <c r="AM365" t="str">
        <f t="shared" si="24"/>
        <v>1000-2000</v>
      </c>
    </row>
    <row r="366" spans="1:39" x14ac:dyDescent="0.2">
      <c r="A366" s="44" t="s">
        <v>355</v>
      </c>
      <c r="B366" s="60">
        <v>0.34930555555555554</v>
      </c>
      <c r="C366" s="60"/>
      <c r="D366" s="60" t="s">
        <v>96</v>
      </c>
      <c r="E366" s="13">
        <v>2</v>
      </c>
      <c r="F366" s="38" t="str">
        <f>VLOOKUP(E366,[2]Key!$A$17:$B$21,2,FALSE)</f>
        <v>Road Vehicle</v>
      </c>
      <c r="G366" s="61">
        <v>4</v>
      </c>
      <c r="H366" s="39" t="str">
        <f>VLOOKUP(G366,[2]Key!$A$2:$B$13,2,FALSE)</f>
        <v>Minibus</v>
      </c>
      <c r="I366" s="13" t="s">
        <v>108</v>
      </c>
      <c r="J366" s="13">
        <v>3</v>
      </c>
      <c r="K366" s="40" t="str">
        <f>VLOOKUP(J366,[2]Key!$A$24:$B$29,2,FALSE)</f>
        <v>40-49</v>
      </c>
      <c r="L366" s="13" t="s">
        <v>356</v>
      </c>
      <c r="M366" s="23" t="s">
        <v>150</v>
      </c>
      <c r="N366" s="13" t="s">
        <v>357</v>
      </c>
      <c r="O366" s="45">
        <v>4</v>
      </c>
      <c r="P366" s="30" t="str">
        <f>VLOOKUP(O366,[2]Key!$E$2:$F$9,2,FALSE)</f>
        <v>Commercial</v>
      </c>
      <c r="Q366" s="13" t="s">
        <v>240</v>
      </c>
      <c r="R366" s="23" t="s">
        <v>150</v>
      </c>
      <c r="S366" s="13" t="s">
        <v>357</v>
      </c>
      <c r="T366" s="23">
        <v>4</v>
      </c>
      <c r="U366" s="30" t="str">
        <f>VLOOKUP(T366,[2]Key!$E$2:$F$9,2,FALSE)</f>
        <v>Commercial</v>
      </c>
      <c r="V366" s="30" t="str">
        <f t="shared" si="21"/>
        <v>Commercial-Commercial</v>
      </c>
      <c r="W366" s="23">
        <v>7000</v>
      </c>
      <c r="X366" s="62">
        <v>23</v>
      </c>
      <c r="Y366" s="62" t="str">
        <f t="shared" si="22"/>
        <v>20-40</v>
      </c>
      <c r="Z366" s="62">
        <v>0.3</v>
      </c>
      <c r="AA366" s="62" t="str">
        <f t="shared" si="23"/>
        <v>0-0.5</v>
      </c>
      <c r="AB366" s="23">
        <v>5</v>
      </c>
      <c r="AC366" s="30" t="str">
        <f>VLOOKUP(AB366,[2]Key!$C$20:$D$29,2,FALSE)</f>
        <v>Professional</v>
      </c>
      <c r="AD366" s="23">
        <v>1</v>
      </c>
      <c r="AE366" s="30" t="str">
        <f>VLOOKUP(AD366,[2]Key!$E$20:$F$24,2,FALSE)</f>
        <v>&lt;300,000</v>
      </c>
      <c r="AF366" s="23">
        <v>3</v>
      </c>
      <c r="AG366" s="62">
        <v>4</v>
      </c>
      <c r="AH366" s="62">
        <v>1</v>
      </c>
      <c r="AI366" s="62">
        <v>5</v>
      </c>
      <c r="AJ366" s="62">
        <v>5</v>
      </c>
      <c r="AK366" s="45" t="s">
        <v>94</v>
      </c>
      <c r="AL366" s="36"/>
      <c r="AM366" t="str">
        <f t="shared" si="24"/>
        <v>0-1000</v>
      </c>
    </row>
    <row r="367" spans="1:39" x14ac:dyDescent="0.2">
      <c r="A367" s="44" t="s">
        <v>355</v>
      </c>
      <c r="B367" s="60">
        <v>0.41666666666666669</v>
      </c>
      <c r="C367" s="60"/>
      <c r="D367" s="60" t="s">
        <v>96</v>
      </c>
      <c r="E367" s="13">
        <v>2</v>
      </c>
      <c r="F367" s="38" t="str">
        <f>VLOOKUP(E367,[2]Key!$A$17:$B$21,2,FALSE)</f>
        <v>Road Vehicle</v>
      </c>
      <c r="G367" s="61">
        <v>4</v>
      </c>
      <c r="H367" s="39" t="str">
        <f>VLOOKUP(G367,[2]Key!$A$2:$B$13,2,FALSE)</f>
        <v>Minibus</v>
      </c>
      <c r="I367" s="13" t="s">
        <v>108</v>
      </c>
      <c r="J367" s="13">
        <v>3</v>
      </c>
      <c r="K367" s="40" t="str">
        <f>VLOOKUP(J367,[2]Key!$A$24:$B$29,2,FALSE)</f>
        <v>40-49</v>
      </c>
      <c r="L367" s="13" t="s">
        <v>356</v>
      </c>
      <c r="M367" s="23" t="s">
        <v>150</v>
      </c>
      <c r="N367" s="13" t="s">
        <v>357</v>
      </c>
      <c r="O367" s="45">
        <v>4</v>
      </c>
      <c r="P367" s="30" t="str">
        <f>VLOOKUP(O367,[2]Key!$E$2:$F$9,2,FALSE)</f>
        <v>Commercial</v>
      </c>
      <c r="Q367" s="13" t="s">
        <v>441</v>
      </c>
      <c r="R367" s="23" t="s">
        <v>156</v>
      </c>
      <c r="S367" s="13" t="s">
        <v>357</v>
      </c>
      <c r="T367" s="23">
        <v>4</v>
      </c>
      <c r="U367" s="30" t="str">
        <f>VLOOKUP(T367,[2]Key!$E$2:$F$9,2,FALSE)</f>
        <v>Commercial</v>
      </c>
      <c r="V367" s="30" t="str">
        <f t="shared" si="21"/>
        <v>Commercial-Commercial</v>
      </c>
      <c r="W367" s="23">
        <v>10000</v>
      </c>
      <c r="X367" s="62">
        <v>15</v>
      </c>
      <c r="Y367" s="62" t="str">
        <f t="shared" si="22"/>
        <v>10-20</v>
      </c>
      <c r="Z367" s="62">
        <v>0.3</v>
      </c>
      <c r="AA367" s="62" t="str">
        <f t="shared" si="23"/>
        <v>0-0.5</v>
      </c>
      <c r="AB367" s="23">
        <v>5</v>
      </c>
      <c r="AC367" s="30" t="str">
        <f>VLOOKUP(AB367,[2]Key!$C$20:$D$29,2,FALSE)</f>
        <v>Professional</v>
      </c>
      <c r="AD367" s="23">
        <v>2</v>
      </c>
      <c r="AE367" s="30" t="str">
        <f>VLOOKUP(AD367,[2]Key!$E$20:$F$24,2,FALSE)</f>
        <v>300,000-500,000</v>
      </c>
      <c r="AF367" s="23">
        <v>5</v>
      </c>
      <c r="AG367" s="62">
        <v>1</v>
      </c>
      <c r="AH367" s="62">
        <v>1</v>
      </c>
      <c r="AI367" s="62">
        <v>5</v>
      </c>
      <c r="AJ367" s="62">
        <v>1</v>
      </c>
      <c r="AK367" s="45" t="s">
        <v>94</v>
      </c>
      <c r="AL367" s="36">
        <v>1000</v>
      </c>
      <c r="AM367" t="str">
        <f t="shared" si="24"/>
        <v>1000-2000</v>
      </c>
    </row>
    <row r="368" spans="1:39" x14ac:dyDescent="0.2">
      <c r="A368" s="44" t="s">
        <v>355</v>
      </c>
      <c r="B368" s="60">
        <v>0.61597222222222225</v>
      </c>
      <c r="C368" s="60"/>
      <c r="D368" s="60" t="s">
        <v>96</v>
      </c>
      <c r="E368" s="13">
        <v>2</v>
      </c>
      <c r="F368" s="38" t="str">
        <f>VLOOKUP(E368,[2]Key!$A$17:$B$21,2,FALSE)</f>
        <v>Road Vehicle</v>
      </c>
      <c r="G368" s="61">
        <v>4</v>
      </c>
      <c r="H368" s="39" t="str">
        <f>VLOOKUP(G368,[2]Key!$A$2:$B$13,2,FALSE)</f>
        <v>Minibus</v>
      </c>
      <c r="I368" s="13" t="s">
        <v>108</v>
      </c>
      <c r="J368" s="13">
        <v>3</v>
      </c>
      <c r="K368" s="40" t="str">
        <f>VLOOKUP(J368,[2]Key!$A$24:$B$29,2,FALSE)</f>
        <v>40-49</v>
      </c>
      <c r="L368" s="13" t="s">
        <v>356</v>
      </c>
      <c r="M368" s="23" t="s">
        <v>150</v>
      </c>
      <c r="N368" s="13" t="s">
        <v>357</v>
      </c>
      <c r="O368" s="45">
        <v>4</v>
      </c>
      <c r="P368" s="30" t="str">
        <f>VLOOKUP(O368,[2]Key!$E$2:$F$9,2,FALSE)</f>
        <v>Commercial</v>
      </c>
      <c r="Q368" s="13" t="s">
        <v>442</v>
      </c>
      <c r="R368" s="23" t="s">
        <v>150</v>
      </c>
      <c r="S368" s="13" t="s">
        <v>357</v>
      </c>
      <c r="T368" s="23">
        <v>4</v>
      </c>
      <c r="U368" s="30" t="str">
        <f>VLOOKUP(T368,[2]Key!$E$2:$F$9,2,FALSE)</f>
        <v>Commercial</v>
      </c>
      <c r="V368" s="30" t="str">
        <f t="shared" si="21"/>
        <v>Commercial-Commercial</v>
      </c>
      <c r="W368" s="23">
        <v>7000</v>
      </c>
      <c r="X368" s="62">
        <v>20</v>
      </c>
      <c r="Y368" s="62" t="str">
        <f t="shared" si="22"/>
        <v>20-40</v>
      </c>
      <c r="Z368" s="62">
        <v>0.3</v>
      </c>
      <c r="AA368" s="62" t="str">
        <f t="shared" si="23"/>
        <v>0-0.5</v>
      </c>
      <c r="AB368" s="23">
        <v>5</v>
      </c>
      <c r="AC368" s="30" t="str">
        <f>VLOOKUP(AB368,[2]Key!$C$20:$D$29,2,FALSE)</f>
        <v>Professional</v>
      </c>
      <c r="AD368" s="23">
        <v>3</v>
      </c>
      <c r="AE368" s="30" t="str">
        <f>VLOOKUP(AD368,[2]Key!$E$20:$F$24,2,FALSE)</f>
        <v>500,000-750,000</v>
      </c>
      <c r="AF368" s="23">
        <v>1</v>
      </c>
      <c r="AG368" s="62">
        <v>2</v>
      </c>
      <c r="AH368" s="62">
        <v>1</v>
      </c>
      <c r="AI368" s="62">
        <v>1</v>
      </c>
      <c r="AJ368" s="62">
        <v>2</v>
      </c>
      <c r="AK368" s="45" t="s">
        <v>94</v>
      </c>
      <c r="AL368" s="36"/>
      <c r="AM368" t="str">
        <f t="shared" si="24"/>
        <v>0-1000</v>
      </c>
    </row>
    <row r="369" spans="1:39" x14ac:dyDescent="0.2">
      <c r="A369" s="44" t="s">
        <v>355</v>
      </c>
      <c r="B369" s="60">
        <v>0.6430555555555556</v>
      </c>
      <c r="C369" s="60"/>
      <c r="D369" s="60" t="s">
        <v>96</v>
      </c>
      <c r="E369" s="13">
        <v>2</v>
      </c>
      <c r="F369" s="38" t="str">
        <f>VLOOKUP(E369,[2]Key!$A$17:$B$21,2,FALSE)</f>
        <v>Road Vehicle</v>
      </c>
      <c r="G369" s="61">
        <v>4</v>
      </c>
      <c r="H369" s="39" t="str">
        <f>VLOOKUP(G369,[2]Key!$A$2:$B$13,2,FALSE)</f>
        <v>Minibus</v>
      </c>
      <c r="I369" s="13" t="s">
        <v>108</v>
      </c>
      <c r="J369" s="13">
        <v>3</v>
      </c>
      <c r="K369" s="40" t="str">
        <f>VLOOKUP(J369,[2]Key!$A$24:$B$29,2,FALSE)</f>
        <v>40-49</v>
      </c>
      <c r="L369" s="13" t="s">
        <v>356</v>
      </c>
      <c r="M369" s="23" t="s">
        <v>150</v>
      </c>
      <c r="N369" s="13" t="s">
        <v>357</v>
      </c>
      <c r="O369" s="45">
        <v>4</v>
      </c>
      <c r="P369" s="30" t="str">
        <f>VLOOKUP(O369,[2]Key!$E$2:$F$9,2,FALSE)</f>
        <v>Commercial</v>
      </c>
      <c r="Q369" s="13" t="s">
        <v>241</v>
      </c>
      <c r="R369" s="23" t="s">
        <v>150</v>
      </c>
      <c r="S369" s="13" t="s">
        <v>357</v>
      </c>
      <c r="T369" s="23">
        <v>4</v>
      </c>
      <c r="U369" s="30" t="str">
        <f>VLOOKUP(T369,[2]Key!$E$2:$F$9,2,FALSE)</f>
        <v>Commercial</v>
      </c>
      <c r="V369" s="30" t="str">
        <f t="shared" si="21"/>
        <v>Commercial-Commercial</v>
      </c>
      <c r="W369" s="23">
        <v>5000</v>
      </c>
      <c r="X369" s="62">
        <v>20</v>
      </c>
      <c r="Y369" s="62" t="str">
        <f t="shared" si="22"/>
        <v>20-40</v>
      </c>
      <c r="Z369" s="62">
        <v>0.3</v>
      </c>
      <c r="AA369" s="62" t="str">
        <f t="shared" si="23"/>
        <v>0-0.5</v>
      </c>
      <c r="AB369" s="23">
        <v>5</v>
      </c>
      <c r="AC369" s="30" t="str">
        <f>VLOOKUP(AB369,[2]Key!$C$20:$D$29,2,FALSE)</f>
        <v>Professional</v>
      </c>
      <c r="AD369" s="23">
        <v>2</v>
      </c>
      <c r="AE369" s="30" t="str">
        <f>VLOOKUP(AD369,[2]Key!$E$20:$F$24,2,FALSE)</f>
        <v>300,000-500,000</v>
      </c>
      <c r="AF369" s="23">
        <v>1</v>
      </c>
      <c r="AG369" s="62">
        <v>1</v>
      </c>
      <c r="AH369" s="62">
        <v>5</v>
      </c>
      <c r="AI369" s="62">
        <v>4</v>
      </c>
      <c r="AJ369" s="62">
        <v>5</v>
      </c>
      <c r="AK369" s="45" t="s">
        <v>94</v>
      </c>
      <c r="AL369" s="36">
        <v>1000</v>
      </c>
      <c r="AM369" t="str">
        <f t="shared" si="24"/>
        <v>1000-2000</v>
      </c>
    </row>
    <row r="370" spans="1:39" x14ac:dyDescent="0.2">
      <c r="A370" s="44" t="s">
        <v>355</v>
      </c>
      <c r="B370" s="60">
        <v>0.38750000000000001</v>
      </c>
      <c r="C370" s="60"/>
      <c r="D370" s="60" t="s">
        <v>165</v>
      </c>
      <c r="E370" s="13">
        <v>2</v>
      </c>
      <c r="F370" s="38" t="str">
        <f>VLOOKUP(E370,[2]Key!$A$17:$B$21,2,FALSE)</f>
        <v>Road Vehicle</v>
      </c>
      <c r="G370" s="61">
        <v>4</v>
      </c>
      <c r="H370" s="39" t="str">
        <f>VLOOKUP(G370,[2]Key!$A$2:$B$13,2,FALSE)</f>
        <v>Minibus</v>
      </c>
      <c r="I370" s="13" t="s">
        <v>108</v>
      </c>
      <c r="J370" s="13">
        <v>3</v>
      </c>
      <c r="K370" s="40" t="str">
        <f>VLOOKUP(J370,[2]Key!$A$24:$B$29,2,FALSE)</f>
        <v>40-49</v>
      </c>
      <c r="L370" s="13" t="s">
        <v>356</v>
      </c>
      <c r="M370" s="23" t="s">
        <v>150</v>
      </c>
      <c r="N370" s="13" t="s">
        <v>357</v>
      </c>
      <c r="O370" s="45">
        <v>6</v>
      </c>
      <c r="P370" s="30" t="str">
        <f>VLOOKUP(O370,[2]Key!$E$2:$F$9,2,FALSE)</f>
        <v>Leisure/Social</v>
      </c>
      <c r="Q370" s="13" t="s">
        <v>443</v>
      </c>
      <c r="R370" s="23" t="s">
        <v>150</v>
      </c>
      <c r="S370" s="13" t="s">
        <v>357</v>
      </c>
      <c r="T370" s="23">
        <v>1</v>
      </c>
      <c r="U370" s="30" t="str">
        <f>VLOOKUP(T370,[2]Key!$E$2:$F$9,2,FALSE)</f>
        <v>Home</v>
      </c>
      <c r="V370" s="30" t="str">
        <f t="shared" si="21"/>
        <v>Leisure/Social-Home</v>
      </c>
      <c r="W370" s="23">
        <v>1000</v>
      </c>
      <c r="X370" s="62">
        <v>10</v>
      </c>
      <c r="Y370" s="62" t="str">
        <f t="shared" si="22"/>
        <v>10-20</v>
      </c>
      <c r="Z370" s="62">
        <v>0.3</v>
      </c>
      <c r="AA370" s="62" t="str">
        <f t="shared" si="23"/>
        <v>0-0.5</v>
      </c>
      <c r="AB370" s="23">
        <v>2</v>
      </c>
      <c r="AC370" s="30" t="str">
        <f>VLOOKUP(AB370,[2]Key!$C$20:$D$29,2,FALSE)</f>
        <v>Manual Labour</v>
      </c>
      <c r="AD370" s="23">
        <v>1</v>
      </c>
      <c r="AE370" s="30" t="str">
        <f>VLOOKUP(AD370,[2]Key!$E$20:$F$24,2,FALSE)</f>
        <v>&lt;300,000</v>
      </c>
      <c r="AF370" s="23">
        <v>1</v>
      </c>
      <c r="AG370" s="62">
        <v>2</v>
      </c>
      <c r="AH370" s="62">
        <v>5</v>
      </c>
      <c r="AI370" s="62">
        <v>5</v>
      </c>
      <c r="AJ370" s="62">
        <v>2</v>
      </c>
      <c r="AK370" s="45" t="s">
        <v>94</v>
      </c>
      <c r="AL370" s="36"/>
      <c r="AM370" t="str">
        <f t="shared" si="24"/>
        <v>0-1000</v>
      </c>
    </row>
    <row r="371" spans="1:39" x14ac:dyDescent="0.2">
      <c r="A371" s="44" t="s">
        <v>355</v>
      </c>
      <c r="B371" s="60">
        <v>0.62152777777777779</v>
      </c>
      <c r="C371" s="60"/>
      <c r="D371" s="60" t="s">
        <v>165</v>
      </c>
      <c r="E371" s="13">
        <v>2</v>
      </c>
      <c r="F371" s="38" t="str">
        <f>VLOOKUP(E371,[2]Key!$A$17:$B$21,2,FALSE)</f>
        <v>Road Vehicle</v>
      </c>
      <c r="G371" s="61">
        <v>4</v>
      </c>
      <c r="H371" s="39" t="str">
        <f>VLOOKUP(G371,[2]Key!$A$2:$B$13,2,FALSE)</f>
        <v>Minibus</v>
      </c>
      <c r="I371" s="13" t="s">
        <v>108</v>
      </c>
      <c r="J371" s="13">
        <v>3</v>
      </c>
      <c r="K371" s="40" t="str">
        <f>VLOOKUP(J371,[2]Key!$A$24:$B$29,2,FALSE)</f>
        <v>40-49</v>
      </c>
      <c r="L371" s="13" t="s">
        <v>236</v>
      </c>
      <c r="M371" s="23" t="s">
        <v>150</v>
      </c>
      <c r="N371" s="13" t="s">
        <v>357</v>
      </c>
      <c r="O371" s="45">
        <v>3</v>
      </c>
      <c r="P371" s="30" t="str">
        <f>VLOOKUP(O371,[2]Key!$E$2:$F$9,2,FALSE)</f>
        <v>Study</v>
      </c>
      <c r="Q371" s="13" t="s">
        <v>219</v>
      </c>
      <c r="R371" s="23" t="s">
        <v>150</v>
      </c>
      <c r="S371" s="13" t="s">
        <v>357</v>
      </c>
      <c r="T371" s="23">
        <v>1</v>
      </c>
      <c r="U371" s="30" t="str">
        <f>VLOOKUP(T371,[2]Key!$E$2:$F$9,2,FALSE)</f>
        <v>Home</v>
      </c>
      <c r="V371" s="30" t="str">
        <f t="shared" si="21"/>
        <v>Study-Home</v>
      </c>
      <c r="W371" s="23">
        <v>2500</v>
      </c>
      <c r="X371" s="62">
        <v>20</v>
      </c>
      <c r="Y371" s="62" t="str">
        <f t="shared" si="22"/>
        <v>20-40</v>
      </c>
      <c r="Z371" s="62">
        <v>0.3</v>
      </c>
      <c r="AA371" s="62" t="str">
        <f t="shared" si="23"/>
        <v>0-0.5</v>
      </c>
      <c r="AB371" s="23">
        <v>8</v>
      </c>
      <c r="AC371" s="30" t="str">
        <f>VLOOKUP(AB371,[2]Key!$C$20:$D$29,2,FALSE)</f>
        <v>Student</v>
      </c>
      <c r="AD371" s="23">
        <v>1</v>
      </c>
      <c r="AE371" s="30" t="str">
        <f>VLOOKUP(AD371,[2]Key!$E$20:$F$24,2,FALSE)</f>
        <v>&lt;300,000</v>
      </c>
      <c r="AF371" s="23">
        <v>1</v>
      </c>
      <c r="AG371" s="62">
        <v>5</v>
      </c>
      <c r="AH371" s="62">
        <v>1</v>
      </c>
      <c r="AI371" s="62">
        <v>4</v>
      </c>
      <c r="AJ371" s="62">
        <v>5</v>
      </c>
      <c r="AK371" s="45" t="s">
        <v>94</v>
      </c>
      <c r="AL371" s="36"/>
      <c r="AM371" t="str">
        <f t="shared" si="24"/>
        <v>0-1000</v>
      </c>
    </row>
    <row r="372" spans="1:39" x14ac:dyDescent="0.2">
      <c r="A372" s="44" t="s">
        <v>355</v>
      </c>
      <c r="B372" s="60">
        <v>0.70347222222222217</v>
      </c>
      <c r="C372" s="60"/>
      <c r="D372" s="60" t="s">
        <v>165</v>
      </c>
      <c r="E372" s="13">
        <v>2</v>
      </c>
      <c r="F372" s="38" t="str">
        <f>VLOOKUP(E372,[2]Key!$A$17:$B$21,2,FALSE)</f>
        <v>Road Vehicle</v>
      </c>
      <c r="G372" s="61">
        <v>4</v>
      </c>
      <c r="H372" s="39" t="str">
        <f>VLOOKUP(G372,[2]Key!$A$2:$B$13,2,FALSE)</f>
        <v>Minibus</v>
      </c>
      <c r="I372" s="13" t="s">
        <v>108</v>
      </c>
      <c r="J372" s="13">
        <v>3</v>
      </c>
      <c r="K372" s="40" t="str">
        <f>VLOOKUP(J372,[2]Key!$A$24:$B$29,2,FALSE)</f>
        <v>40-49</v>
      </c>
      <c r="L372" s="13" t="s">
        <v>218</v>
      </c>
      <c r="M372" s="23" t="s">
        <v>150</v>
      </c>
      <c r="N372" s="13" t="s">
        <v>357</v>
      </c>
      <c r="O372" s="45">
        <v>1</v>
      </c>
      <c r="P372" s="30" t="str">
        <f>VLOOKUP(O372,[2]Key!$E$2:$F$9,2,FALSE)</f>
        <v>Home</v>
      </c>
      <c r="Q372" s="13" t="s">
        <v>363</v>
      </c>
      <c r="R372" s="23" t="s">
        <v>150</v>
      </c>
      <c r="S372" s="13" t="s">
        <v>357</v>
      </c>
      <c r="T372" s="23">
        <v>4</v>
      </c>
      <c r="U372" s="30" t="str">
        <f>VLOOKUP(T372,[2]Key!$E$2:$F$9,2,FALSE)</f>
        <v>Commercial</v>
      </c>
      <c r="V372" s="30" t="str">
        <f t="shared" si="21"/>
        <v>Home-Commercial</v>
      </c>
      <c r="W372" s="23">
        <v>3000</v>
      </c>
      <c r="X372" s="62">
        <v>27</v>
      </c>
      <c r="Y372" s="62" t="str">
        <f t="shared" si="22"/>
        <v>20-40</v>
      </c>
      <c r="Z372" s="62">
        <v>0.3</v>
      </c>
      <c r="AA372" s="62" t="str">
        <f t="shared" si="23"/>
        <v>0-0.5</v>
      </c>
      <c r="AB372" s="23">
        <v>5</v>
      </c>
      <c r="AC372" s="30" t="str">
        <f>VLOOKUP(AB372,[2]Key!$C$20:$D$29,2,FALSE)</f>
        <v>Professional</v>
      </c>
      <c r="AD372" s="23">
        <v>1</v>
      </c>
      <c r="AE372" s="30" t="str">
        <f>VLOOKUP(AD372,[2]Key!$E$20:$F$24,2,FALSE)</f>
        <v>&lt;300,000</v>
      </c>
      <c r="AF372" s="23">
        <v>5</v>
      </c>
      <c r="AG372" s="62">
        <v>4</v>
      </c>
      <c r="AH372" s="62">
        <v>5</v>
      </c>
      <c r="AI372" s="62">
        <v>1</v>
      </c>
      <c r="AJ372" s="62">
        <v>5</v>
      </c>
      <c r="AK372" s="45" t="s">
        <v>94</v>
      </c>
      <c r="AL372" s="36">
        <v>500</v>
      </c>
      <c r="AM372" t="str">
        <f t="shared" si="24"/>
        <v>0-1000</v>
      </c>
    </row>
    <row r="373" spans="1:39" x14ac:dyDescent="0.2">
      <c r="A373" s="44" t="s">
        <v>355</v>
      </c>
      <c r="B373" s="60">
        <v>0.30694444444444441</v>
      </c>
      <c r="C373" s="60"/>
      <c r="D373" s="60" t="s">
        <v>96</v>
      </c>
      <c r="E373" s="13">
        <v>2</v>
      </c>
      <c r="F373" s="38" t="str">
        <f>VLOOKUP(E373,[2]Key!$A$17:$B$21,2,FALSE)</f>
        <v>Road Vehicle</v>
      </c>
      <c r="G373" s="61">
        <v>4</v>
      </c>
      <c r="H373" s="39" t="str">
        <f>VLOOKUP(G373,[2]Key!$A$2:$B$13,2,FALSE)</f>
        <v>Minibus</v>
      </c>
      <c r="I373" s="13" t="s">
        <v>108</v>
      </c>
      <c r="J373" s="13">
        <v>3</v>
      </c>
      <c r="K373" s="40" t="str">
        <f>VLOOKUP(J373,[2]Key!$A$24:$B$29,2,FALSE)</f>
        <v>40-49</v>
      </c>
      <c r="L373" s="13" t="s">
        <v>356</v>
      </c>
      <c r="M373" s="23" t="s">
        <v>150</v>
      </c>
      <c r="N373" s="13" t="s">
        <v>357</v>
      </c>
      <c r="O373" s="45">
        <v>2</v>
      </c>
      <c r="P373" s="30" t="str">
        <f>VLOOKUP(O373,[2]Key!$E$2:$F$9,2,FALSE)</f>
        <v>Work</v>
      </c>
      <c r="Q373" s="13" t="s">
        <v>236</v>
      </c>
      <c r="R373" s="23" t="s">
        <v>150</v>
      </c>
      <c r="S373" s="13" t="s">
        <v>357</v>
      </c>
      <c r="T373" s="23">
        <v>2</v>
      </c>
      <c r="U373" s="30" t="str">
        <f>VLOOKUP(T373,[2]Key!$E$2:$F$9,2,FALSE)</f>
        <v>Work</v>
      </c>
      <c r="V373" s="30" t="str">
        <f t="shared" si="21"/>
        <v>Work-Work</v>
      </c>
      <c r="W373" s="41">
        <v>15000</v>
      </c>
      <c r="X373" s="62">
        <v>5</v>
      </c>
      <c r="Y373" s="62" t="str">
        <f t="shared" si="22"/>
        <v>0-10</v>
      </c>
      <c r="Z373" s="62">
        <v>0.4</v>
      </c>
      <c r="AA373" s="62" t="str">
        <f t="shared" si="23"/>
        <v>0-0.5</v>
      </c>
      <c r="AB373" s="23">
        <v>5</v>
      </c>
      <c r="AC373" s="30" t="str">
        <f>VLOOKUP(AB373,[2]Key!$C$20:$D$29,2,FALSE)</f>
        <v>Professional</v>
      </c>
      <c r="AD373" s="23">
        <v>3</v>
      </c>
      <c r="AE373" s="30" t="str">
        <f>VLOOKUP(AD373,[2]Key!$E$20:$F$24,2,FALSE)</f>
        <v>500,000-750,000</v>
      </c>
      <c r="AF373" s="23">
        <v>2</v>
      </c>
      <c r="AG373" s="62">
        <v>1</v>
      </c>
      <c r="AH373" s="62">
        <v>1</v>
      </c>
      <c r="AI373" s="62">
        <v>2</v>
      </c>
      <c r="AJ373" s="62">
        <v>2</v>
      </c>
      <c r="AK373" s="45" t="s">
        <v>94</v>
      </c>
      <c r="AL373" s="36">
        <v>500</v>
      </c>
      <c r="AM373" t="str">
        <f t="shared" si="24"/>
        <v>0-1000</v>
      </c>
    </row>
    <row r="374" spans="1:39" x14ac:dyDescent="0.2">
      <c r="A374" s="44" t="s">
        <v>355</v>
      </c>
      <c r="B374" s="60">
        <v>0.75902777777777775</v>
      </c>
      <c r="C374" s="60"/>
      <c r="D374" s="60" t="s">
        <v>165</v>
      </c>
      <c r="E374" s="13">
        <v>2</v>
      </c>
      <c r="F374" s="38" t="str">
        <f>VLOOKUP(E374,[2]Key!$A$17:$B$21,2,FALSE)</f>
        <v>Road Vehicle</v>
      </c>
      <c r="G374" s="61">
        <v>4</v>
      </c>
      <c r="H374" s="39" t="str">
        <f>VLOOKUP(G374,[2]Key!$A$2:$B$13,2,FALSE)</f>
        <v>Minibus</v>
      </c>
      <c r="I374" s="13" t="s">
        <v>108</v>
      </c>
      <c r="J374" s="13">
        <v>3</v>
      </c>
      <c r="K374" s="40" t="str">
        <f>VLOOKUP(J374,[2]Key!$A$24:$B$29,2,FALSE)</f>
        <v>40-49</v>
      </c>
      <c r="L374" s="13" t="s">
        <v>363</v>
      </c>
      <c r="M374" s="23" t="s">
        <v>150</v>
      </c>
      <c r="N374" s="13" t="s">
        <v>357</v>
      </c>
      <c r="O374" s="45">
        <v>4</v>
      </c>
      <c r="P374" s="30" t="str">
        <f>VLOOKUP(O374,[2]Key!$E$2:$F$9,2,FALSE)</f>
        <v>Commercial</v>
      </c>
      <c r="Q374" s="13" t="s">
        <v>362</v>
      </c>
      <c r="R374" s="23" t="s">
        <v>150</v>
      </c>
      <c r="S374" s="13" t="s">
        <v>357</v>
      </c>
      <c r="T374" s="23">
        <v>1</v>
      </c>
      <c r="U374" s="30" t="str">
        <f>VLOOKUP(T374,[2]Key!$E$2:$F$9,2,FALSE)</f>
        <v>Home</v>
      </c>
      <c r="V374" s="30" t="str">
        <f t="shared" si="21"/>
        <v>Commercial-Home</v>
      </c>
      <c r="W374" s="23">
        <v>3500</v>
      </c>
      <c r="X374" s="62">
        <v>27</v>
      </c>
      <c r="Y374" s="62" t="str">
        <f t="shared" si="22"/>
        <v>20-40</v>
      </c>
      <c r="Z374" s="62">
        <v>0.4</v>
      </c>
      <c r="AA374" s="62" t="str">
        <f t="shared" si="23"/>
        <v>0-0.5</v>
      </c>
      <c r="AB374" s="23">
        <v>6</v>
      </c>
      <c r="AC374" s="30" t="str">
        <f>VLOOKUP(AB374,[2]Key!$C$20:$D$29,2,FALSE)</f>
        <v>Businessman</v>
      </c>
      <c r="AD374" s="23">
        <v>3</v>
      </c>
      <c r="AE374" s="30" t="str">
        <f>VLOOKUP(AD374,[2]Key!$E$20:$F$24,2,FALSE)</f>
        <v>500,000-750,000</v>
      </c>
      <c r="AF374" s="23">
        <v>5</v>
      </c>
      <c r="AG374" s="62">
        <v>5</v>
      </c>
      <c r="AH374" s="62">
        <v>1</v>
      </c>
      <c r="AI374" s="62">
        <v>5</v>
      </c>
      <c r="AJ374" s="62">
        <v>5</v>
      </c>
      <c r="AK374" s="45" t="s">
        <v>94</v>
      </c>
      <c r="AL374" s="36">
        <v>5000</v>
      </c>
      <c r="AM374" t="str">
        <f t="shared" si="24"/>
        <v>5000-10000</v>
      </c>
    </row>
    <row r="375" spans="1:39" x14ac:dyDescent="0.2">
      <c r="A375" s="44" t="s">
        <v>355</v>
      </c>
      <c r="B375" s="60">
        <v>0.3034722222222222</v>
      </c>
      <c r="C375" s="60"/>
      <c r="D375" s="60" t="s">
        <v>96</v>
      </c>
      <c r="E375" s="13">
        <v>2</v>
      </c>
      <c r="F375" s="38" t="str">
        <f>VLOOKUP(E375,[2]Key!$A$17:$B$21,2,FALSE)</f>
        <v>Road Vehicle</v>
      </c>
      <c r="G375" s="61">
        <v>4</v>
      </c>
      <c r="H375" s="39" t="s">
        <v>106</v>
      </c>
      <c r="I375" s="13" t="s">
        <v>108</v>
      </c>
      <c r="J375" s="13">
        <v>3</v>
      </c>
      <c r="K375" s="40" t="s">
        <v>113</v>
      </c>
      <c r="L375" s="13" t="s">
        <v>356</v>
      </c>
      <c r="M375" s="23" t="s">
        <v>150</v>
      </c>
      <c r="N375" s="13" t="s">
        <v>357</v>
      </c>
      <c r="O375" s="45">
        <v>2</v>
      </c>
      <c r="P375" s="30" t="str">
        <f>VLOOKUP(O375,[2]Key!$E$2:$F$9,2,FALSE)</f>
        <v>Work</v>
      </c>
      <c r="Q375" s="13" t="s">
        <v>253</v>
      </c>
      <c r="R375" s="23" t="s">
        <v>156</v>
      </c>
      <c r="S375" s="13" t="s">
        <v>357</v>
      </c>
      <c r="T375" s="23">
        <v>2</v>
      </c>
      <c r="U375" s="30" t="str">
        <f>VLOOKUP(T375,[2]Key!$E$2:$F$9,2,FALSE)</f>
        <v>Work</v>
      </c>
      <c r="V375" s="30" t="str">
        <f t="shared" si="21"/>
        <v>Work-Work</v>
      </c>
      <c r="W375" s="41">
        <v>2000</v>
      </c>
      <c r="X375" s="62">
        <v>5</v>
      </c>
      <c r="Y375" s="62" t="str">
        <f t="shared" si="22"/>
        <v>0-10</v>
      </c>
      <c r="Z375" s="62">
        <v>0.5</v>
      </c>
      <c r="AA375" s="62" t="str">
        <f t="shared" si="23"/>
        <v>0.5-1.0</v>
      </c>
      <c r="AB375" s="23">
        <v>5</v>
      </c>
      <c r="AC375" s="30" t="str">
        <f>VLOOKUP(AB375,[2]Key!$C$20:$D$29,2,FALSE)</f>
        <v>Professional</v>
      </c>
      <c r="AD375" s="23">
        <v>4</v>
      </c>
      <c r="AE375" s="30" t="str">
        <f>VLOOKUP(AD375,[2]Key!$E$20:$F$24,2,FALSE)</f>
        <v>750,000-1,000,000</v>
      </c>
      <c r="AF375" s="23">
        <v>1</v>
      </c>
      <c r="AG375" s="62">
        <v>2</v>
      </c>
      <c r="AH375" s="62">
        <v>1</v>
      </c>
      <c r="AI375" s="62">
        <v>2</v>
      </c>
      <c r="AJ375" s="62">
        <v>1</v>
      </c>
      <c r="AK375" s="45" t="s">
        <v>94</v>
      </c>
      <c r="AL375" s="36">
        <v>500</v>
      </c>
      <c r="AM375" t="str">
        <f t="shared" si="24"/>
        <v>0-1000</v>
      </c>
    </row>
    <row r="376" spans="1:39" x14ac:dyDescent="0.2">
      <c r="A376" s="44" t="s">
        <v>355</v>
      </c>
      <c r="B376" s="60">
        <v>0.75624999999999998</v>
      </c>
      <c r="C376" s="60"/>
      <c r="D376" s="60" t="s">
        <v>96</v>
      </c>
      <c r="E376" s="13">
        <v>2</v>
      </c>
      <c r="F376" s="38" t="str">
        <f>VLOOKUP(E376,[2]Key!$A$17:$B$21,2,FALSE)</f>
        <v>Road Vehicle</v>
      </c>
      <c r="G376" s="61">
        <v>4</v>
      </c>
      <c r="H376" s="39" t="str">
        <f>VLOOKUP(G376,[2]Key!$A$2:$B$13,2,FALSE)</f>
        <v>Minibus</v>
      </c>
      <c r="I376" s="13" t="s">
        <v>108</v>
      </c>
      <c r="J376" s="13">
        <v>3</v>
      </c>
      <c r="K376" s="40" t="str">
        <f>VLOOKUP(J376,[2]Key!$A$24:$B$29,2,FALSE)</f>
        <v>40-49</v>
      </c>
      <c r="L376" s="13" t="s">
        <v>363</v>
      </c>
      <c r="M376" s="23" t="s">
        <v>150</v>
      </c>
      <c r="N376" s="13" t="s">
        <v>357</v>
      </c>
      <c r="O376" s="45">
        <v>4</v>
      </c>
      <c r="P376" s="30" t="str">
        <f>VLOOKUP(O376,[2]Key!$E$2:$F$9,2,FALSE)</f>
        <v>Commercial</v>
      </c>
      <c r="Q376" s="13" t="s">
        <v>444</v>
      </c>
      <c r="R376" s="23" t="s">
        <v>156</v>
      </c>
      <c r="S376" s="13" t="s">
        <v>357</v>
      </c>
      <c r="T376" s="23">
        <v>4</v>
      </c>
      <c r="U376" s="30" t="str">
        <f>VLOOKUP(T376,[2]Key!$E$2:$F$9,2,FALSE)</f>
        <v>Commercial</v>
      </c>
      <c r="V376" s="30" t="str">
        <f t="shared" si="21"/>
        <v>Commercial-Commercial</v>
      </c>
      <c r="W376" s="23">
        <v>40000</v>
      </c>
      <c r="X376" s="62">
        <v>27</v>
      </c>
      <c r="Y376" s="62" t="str">
        <f t="shared" si="22"/>
        <v>20-40</v>
      </c>
      <c r="Z376" s="62">
        <v>0.5</v>
      </c>
      <c r="AA376" s="62" t="str">
        <f t="shared" si="23"/>
        <v>0.5-1.0</v>
      </c>
      <c r="AB376" s="23">
        <v>5</v>
      </c>
      <c r="AC376" s="30" t="str">
        <f>VLOOKUP(AB376,[2]Key!$C$20:$D$29,2,FALSE)</f>
        <v>Professional</v>
      </c>
      <c r="AD376" s="23">
        <v>2</v>
      </c>
      <c r="AE376" s="30" t="str">
        <f>VLOOKUP(AD376,[2]Key!$E$20:$F$24,2,FALSE)</f>
        <v>300,000-500,000</v>
      </c>
      <c r="AF376" s="23">
        <v>5</v>
      </c>
      <c r="AG376" s="62">
        <v>4</v>
      </c>
      <c r="AH376" s="62">
        <v>3</v>
      </c>
      <c r="AI376" s="62">
        <v>5</v>
      </c>
      <c r="AJ376" s="62">
        <v>5</v>
      </c>
      <c r="AK376" s="45" t="s">
        <v>94</v>
      </c>
      <c r="AL376" s="36">
        <v>3000</v>
      </c>
      <c r="AM376" t="str">
        <f t="shared" si="24"/>
        <v>3000-5000</v>
      </c>
    </row>
    <row r="377" spans="1:39" x14ac:dyDescent="0.2">
      <c r="A377" s="44" t="s">
        <v>355</v>
      </c>
      <c r="B377" s="60">
        <v>0.51944444444444449</v>
      </c>
      <c r="C377" s="60"/>
      <c r="D377" s="60" t="s">
        <v>96</v>
      </c>
      <c r="E377" s="13">
        <v>2</v>
      </c>
      <c r="F377" s="38" t="str">
        <f>VLOOKUP(E377,[2]Key!$A$17:$B$21,2,FALSE)</f>
        <v>Road Vehicle</v>
      </c>
      <c r="G377" s="61">
        <v>4</v>
      </c>
      <c r="H377" s="39" t="str">
        <f>VLOOKUP(G377,[2]Key!$A$2:$B$13,2,FALSE)</f>
        <v>Minibus</v>
      </c>
      <c r="I377" s="13" t="s">
        <v>108</v>
      </c>
      <c r="J377" s="13">
        <v>3</v>
      </c>
      <c r="K377" s="40" t="str">
        <f>VLOOKUP(J377,[2]Key!$A$24:$B$29,2,FALSE)</f>
        <v>40-49</v>
      </c>
      <c r="L377" s="13" t="s">
        <v>356</v>
      </c>
      <c r="M377" s="23" t="s">
        <v>150</v>
      </c>
      <c r="N377" s="13" t="s">
        <v>357</v>
      </c>
      <c r="O377" s="45">
        <v>2</v>
      </c>
      <c r="P377" s="30" t="str">
        <f>VLOOKUP(O377,[2]Key!$E$2:$F$9,2,FALSE)</f>
        <v>Work</v>
      </c>
      <c r="Q377" s="13" t="s">
        <v>342</v>
      </c>
      <c r="R377" s="23" t="s">
        <v>150</v>
      </c>
      <c r="S377" s="13" t="s">
        <v>357</v>
      </c>
      <c r="T377" s="23">
        <v>2</v>
      </c>
      <c r="U377" s="30" t="str">
        <f>VLOOKUP(T377,[2]Key!$E$2:$F$9,2,FALSE)</f>
        <v>Work</v>
      </c>
      <c r="V377" s="30" t="str">
        <f t="shared" si="21"/>
        <v>Work-Work</v>
      </c>
      <c r="W377" s="23">
        <v>20000</v>
      </c>
      <c r="X377" s="62">
        <v>7</v>
      </c>
      <c r="Y377" s="62" t="str">
        <f t="shared" si="22"/>
        <v>0-10</v>
      </c>
      <c r="Z377" s="62">
        <v>0.6</v>
      </c>
      <c r="AA377" s="62" t="str">
        <f t="shared" si="23"/>
        <v>0.5-1.0</v>
      </c>
      <c r="AB377" s="23">
        <v>5</v>
      </c>
      <c r="AC377" s="30" t="str">
        <f>VLOOKUP(AB377,[2]Key!$C$20:$D$29,2,FALSE)</f>
        <v>Professional</v>
      </c>
      <c r="AD377" s="23">
        <v>3</v>
      </c>
      <c r="AE377" s="30" t="str">
        <f>VLOOKUP(AD377,[2]Key!$E$20:$F$24,2,FALSE)</f>
        <v>500,000-750,000</v>
      </c>
      <c r="AF377" s="23">
        <v>1</v>
      </c>
      <c r="AG377" s="62">
        <v>1</v>
      </c>
      <c r="AH377" s="62">
        <v>2</v>
      </c>
      <c r="AI377" s="62">
        <v>1</v>
      </c>
      <c r="AJ377" s="62">
        <v>2</v>
      </c>
      <c r="AK377" s="45" t="s">
        <v>94</v>
      </c>
      <c r="AL377" s="36">
        <v>1000</v>
      </c>
      <c r="AM377" t="str">
        <f t="shared" si="24"/>
        <v>1000-2000</v>
      </c>
    </row>
    <row r="378" spans="1:39" x14ac:dyDescent="0.2">
      <c r="A378" s="44" t="s">
        <v>355</v>
      </c>
      <c r="B378" s="60">
        <v>0.72361111111111109</v>
      </c>
      <c r="C378" s="60"/>
      <c r="D378" s="60" t="s">
        <v>96</v>
      </c>
      <c r="E378" s="13">
        <v>2</v>
      </c>
      <c r="F378" s="38" t="str">
        <f>VLOOKUP(E378,[2]Key!$A$17:$B$21,2,FALSE)</f>
        <v>Road Vehicle</v>
      </c>
      <c r="G378" s="61">
        <v>4</v>
      </c>
      <c r="H378" s="39" t="str">
        <f>VLOOKUP(G378,[2]Key!$A$2:$B$13,2,FALSE)</f>
        <v>Minibus</v>
      </c>
      <c r="I378" s="13" t="s">
        <v>108</v>
      </c>
      <c r="J378" s="13">
        <v>3</v>
      </c>
      <c r="K378" s="40" t="str">
        <f>VLOOKUP(J378,[2]Key!$A$24:$B$29,2,FALSE)</f>
        <v>40-49</v>
      </c>
      <c r="L378" s="13" t="s">
        <v>356</v>
      </c>
      <c r="M378" s="23" t="s">
        <v>150</v>
      </c>
      <c r="N378" s="13" t="s">
        <v>357</v>
      </c>
      <c r="O378" s="45">
        <v>2</v>
      </c>
      <c r="P378" s="30" t="str">
        <f>VLOOKUP(O378,[2]Key!$E$2:$F$9,2,FALSE)</f>
        <v>Work</v>
      </c>
      <c r="Q378" s="13" t="s">
        <v>256</v>
      </c>
      <c r="R378" s="23" t="s">
        <v>150</v>
      </c>
      <c r="S378" s="13" t="s">
        <v>357</v>
      </c>
      <c r="T378" s="23">
        <v>2</v>
      </c>
      <c r="U378" s="30" t="str">
        <f>VLOOKUP(T378,[2]Key!$E$2:$F$9,2,FALSE)</f>
        <v>Work</v>
      </c>
      <c r="V378" s="30" t="str">
        <f t="shared" si="21"/>
        <v>Work-Work</v>
      </c>
      <c r="W378" s="23">
        <v>20000</v>
      </c>
      <c r="X378" s="62">
        <v>20</v>
      </c>
      <c r="Y378" s="62" t="str">
        <f t="shared" si="22"/>
        <v>20-40</v>
      </c>
      <c r="Z378" s="62">
        <v>0.6</v>
      </c>
      <c r="AA378" s="62" t="str">
        <f t="shared" si="23"/>
        <v>0.5-1.0</v>
      </c>
      <c r="AB378" s="23">
        <v>5</v>
      </c>
      <c r="AC378" s="30" t="str">
        <f>VLOOKUP(AB378,[2]Key!$C$20:$D$29,2,FALSE)</f>
        <v>Professional</v>
      </c>
      <c r="AD378" s="23">
        <v>4</v>
      </c>
      <c r="AE378" s="30" t="str">
        <f>VLOOKUP(AD378,[2]Key!$E$20:$F$24,2,FALSE)</f>
        <v>750,000-1,000,000</v>
      </c>
      <c r="AF378" s="23">
        <v>2</v>
      </c>
      <c r="AG378" s="62">
        <v>1</v>
      </c>
      <c r="AH378" s="62">
        <v>2</v>
      </c>
      <c r="AI378" s="62">
        <v>1</v>
      </c>
      <c r="AJ378" s="62">
        <v>2</v>
      </c>
      <c r="AK378" s="45" t="s">
        <v>94</v>
      </c>
      <c r="AL378" s="36">
        <v>500</v>
      </c>
      <c r="AM378" t="str">
        <f t="shared" si="24"/>
        <v>0-1000</v>
      </c>
    </row>
    <row r="379" spans="1:39" x14ac:dyDescent="0.2">
      <c r="A379" s="44" t="s">
        <v>355</v>
      </c>
      <c r="B379" s="60">
        <v>0.76041666666666663</v>
      </c>
      <c r="C379" s="60"/>
      <c r="D379" s="60" t="s">
        <v>96</v>
      </c>
      <c r="E379" s="13">
        <v>2</v>
      </c>
      <c r="F379" s="38" t="str">
        <f>VLOOKUP(E379,[2]Key!$A$17:$B$21,2,FALSE)</f>
        <v>Road Vehicle</v>
      </c>
      <c r="G379" s="61">
        <v>4</v>
      </c>
      <c r="H379" s="39" t="str">
        <f>VLOOKUP(G379,[2]Key!$A$2:$B$13,2,FALSE)</f>
        <v>Minibus</v>
      </c>
      <c r="I379" s="13" t="s">
        <v>108</v>
      </c>
      <c r="J379" s="13">
        <v>3</v>
      </c>
      <c r="K379" s="40" t="str">
        <f>VLOOKUP(J379,[2]Key!$A$24:$B$29,2,FALSE)</f>
        <v>40-49</v>
      </c>
      <c r="L379" s="13" t="s">
        <v>356</v>
      </c>
      <c r="M379" s="23" t="s">
        <v>150</v>
      </c>
      <c r="N379" s="13" t="s">
        <v>357</v>
      </c>
      <c r="O379" s="45">
        <v>4</v>
      </c>
      <c r="P379" s="30" t="str">
        <f>VLOOKUP(O379,[2]Key!$E$2:$F$9,2,FALSE)</f>
        <v>Commercial</v>
      </c>
      <c r="Q379" s="13" t="s">
        <v>275</v>
      </c>
      <c r="R379" s="23" t="s">
        <v>150</v>
      </c>
      <c r="S379" s="13" t="s">
        <v>357</v>
      </c>
      <c r="T379" s="23">
        <v>4</v>
      </c>
      <c r="U379" s="30" t="str">
        <f>VLOOKUP(T379,[2]Key!$E$2:$F$9,2,FALSE)</f>
        <v>Commercial</v>
      </c>
      <c r="V379" s="30" t="str">
        <f t="shared" si="21"/>
        <v>Commercial-Commercial</v>
      </c>
      <c r="W379" s="23">
        <v>20000</v>
      </c>
      <c r="X379" s="62">
        <v>26</v>
      </c>
      <c r="Y379" s="62" t="str">
        <f t="shared" si="22"/>
        <v>20-40</v>
      </c>
      <c r="Z379" s="62">
        <v>0.7</v>
      </c>
      <c r="AA379" s="62" t="str">
        <f t="shared" si="23"/>
        <v>0.5-1.0</v>
      </c>
      <c r="AB379" s="23">
        <v>5</v>
      </c>
      <c r="AC379" s="30" t="str">
        <f>VLOOKUP(AB379,[2]Key!$C$20:$D$29,2,FALSE)</f>
        <v>Professional</v>
      </c>
      <c r="AD379" s="23">
        <v>2</v>
      </c>
      <c r="AE379" s="30" t="str">
        <f>VLOOKUP(AD379,[2]Key!$E$20:$F$24,2,FALSE)</f>
        <v>300,000-500,000</v>
      </c>
      <c r="AF379" s="23">
        <v>1</v>
      </c>
      <c r="AG379" s="62">
        <v>1</v>
      </c>
      <c r="AH379" s="62">
        <v>4</v>
      </c>
      <c r="AI379" s="62">
        <v>5</v>
      </c>
      <c r="AJ379" s="62">
        <v>5</v>
      </c>
      <c r="AK379" s="45" t="s">
        <v>94</v>
      </c>
      <c r="AL379" s="36">
        <v>1000</v>
      </c>
      <c r="AM379" t="str">
        <f t="shared" si="24"/>
        <v>1000-2000</v>
      </c>
    </row>
    <row r="380" spans="1:39" x14ac:dyDescent="0.2">
      <c r="A380" s="44" t="s">
        <v>355</v>
      </c>
      <c r="B380" s="60">
        <v>0.73541666666666661</v>
      </c>
      <c r="C380" s="60"/>
      <c r="D380" s="60" t="s">
        <v>96</v>
      </c>
      <c r="E380" s="13">
        <v>2</v>
      </c>
      <c r="F380" s="38" t="str">
        <f>VLOOKUP(E380,[2]Key!$A$17:$B$21,2,FALSE)</f>
        <v>Road Vehicle</v>
      </c>
      <c r="G380" s="61">
        <v>4</v>
      </c>
      <c r="H380" s="39" t="str">
        <f>VLOOKUP(G380,[2]Key!$A$2:$B$13,2,FALSE)</f>
        <v>Minibus</v>
      </c>
      <c r="I380" s="13" t="s">
        <v>108</v>
      </c>
      <c r="J380" s="13">
        <v>3</v>
      </c>
      <c r="K380" s="40" t="str">
        <f>VLOOKUP(J380,[2]Key!$A$24:$B$29,2,FALSE)</f>
        <v>40-49</v>
      </c>
      <c r="L380" s="13" t="s">
        <v>356</v>
      </c>
      <c r="M380" s="23" t="s">
        <v>150</v>
      </c>
      <c r="N380" s="13" t="s">
        <v>357</v>
      </c>
      <c r="O380" s="45">
        <v>2</v>
      </c>
      <c r="P380" s="30" t="str">
        <f>VLOOKUP(O380,[2]Key!$E$2:$F$9,2,FALSE)</f>
        <v>Work</v>
      </c>
      <c r="Q380" s="13" t="s">
        <v>224</v>
      </c>
      <c r="R380" s="23" t="s">
        <v>156</v>
      </c>
      <c r="S380" s="13" t="s">
        <v>357</v>
      </c>
      <c r="T380" s="23">
        <v>2</v>
      </c>
      <c r="U380" s="30" t="str">
        <f>VLOOKUP(T380,[2]Key!$E$2:$F$9,2,FALSE)</f>
        <v>Work</v>
      </c>
      <c r="V380" s="30" t="str">
        <f t="shared" si="21"/>
        <v>Work-Work</v>
      </c>
      <c r="W380" s="23">
        <v>25000</v>
      </c>
      <c r="X380" s="62">
        <v>18</v>
      </c>
      <c r="Y380" s="62" t="str">
        <f t="shared" si="22"/>
        <v>10-20</v>
      </c>
      <c r="Z380" s="62">
        <v>0.8</v>
      </c>
      <c r="AA380" s="62" t="str">
        <f t="shared" si="23"/>
        <v>0.5-1.0</v>
      </c>
      <c r="AB380" s="23">
        <v>5</v>
      </c>
      <c r="AC380" s="30" t="str">
        <f>VLOOKUP(AB380,[2]Key!$C$20:$D$29,2,FALSE)</f>
        <v>Professional</v>
      </c>
      <c r="AD380" s="23">
        <v>4</v>
      </c>
      <c r="AE380" s="30" t="str">
        <f>VLOOKUP(AD380,[2]Key!$E$20:$F$24,2,FALSE)</f>
        <v>750,000-1,000,000</v>
      </c>
      <c r="AF380" s="23">
        <v>1</v>
      </c>
      <c r="AG380" s="62">
        <v>2</v>
      </c>
      <c r="AH380" s="62">
        <v>1</v>
      </c>
      <c r="AI380" s="62">
        <v>2</v>
      </c>
      <c r="AJ380" s="62">
        <v>1</v>
      </c>
      <c r="AK380" s="45" t="s">
        <v>94</v>
      </c>
      <c r="AL380" s="36"/>
      <c r="AM380" t="str">
        <f t="shared" si="24"/>
        <v>0-1000</v>
      </c>
    </row>
    <row r="381" spans="1:39" x14ac:dyDescent="0.2">
      <c r="A381" s="44" t="s">
        <v>355</v>
      </c>
      <c r="B381" s="60">
        <v>0.58819444444444446</v>
      </c>
      <c r="C381" s="60"/>
      <c r="D381" s="60" t="s">
        <v>96</v>
      </c>
      <c r="E381" s="13">
        <v>2</v>
      </c>
      <c r="F381" s="38" t="str">
        <f>VLOOKUP(E381,[2]Key!$A$17:$B$21,2,FALSE)</f>
        <v>Road Vehicle</v>
      </c>
      <c r="G381" s="61">
        <v>4</v>
      </c>
      <c r="H381" s="39" t="str">
        <f>VLOOKUP(G381,[2]Key!$A$2:$B$13,2,FALSE)</f>
        <v>Minibus</v>
      </c>
      <c r="I381" s="13" t="s">
        <v>108</v>
      </c>
      <c r="J381" s="13">
        <v>3</v>
      </c>
      <c r="K381" s="40" t="str">
        <f>VLOOKUP(J381,[2]Key!$A$24:$B$29,2,FALSE)</f>
        <v>40-49</v>
      </c>
      <c r="L381" s="13" t="s">
        <v>356</v>
      </c>
      <c r="M381" s="23" t="s">
        <v>150</v>
      </c>
      <c r="N381" s="13" t="s">
        <v>357</v>
      </c>
      <c r="O381" s="45">
        <v>4</v>
      </c>
      <c r="P381" s="30" t="str">
        <f>VLOOKUP(O381,[2]Key!$E$2:$F$9,2,FALSE)</f>
        <v>Commercial</v>
      </c>
      <c r="Q381" s="13" t="s">
        <v>249</v>
      </c>
      <c r="R381" s="23" t="s">
        <v>150</v>
      </c>
      <c r="S381" s="13" t="s">
        <v>357</v>
      </c>
      <c r="T381" s="23">
        <v>4</v>
      </c>
      <c r="U381" s="30" t="str">
        <f>VLOOKUP(T381,[2]Key!$E$2:$F$9,2,FALSE)</f>
        <v>Commercial</v>
      </c>
      <c r="V381" s="30" t="str">
        <f t="shared" si="21"/>
        <v>Commercial-Commercial</v>
      </c>
      <c r="W381" s="23">
        <v>15000</v>
      </c>
      <c r="X381" s="62">
        <v>20</v>
      </c>
      <c r="Y381" s="62" t="str">
        <f t="shared" si="22"/>
        <v>20-40</v>
      </c>
      <c r="Z381" s="62">
        <v>0.8</v>
      </c>
      <c r="AA381" s="62" t="str">
        <f t="shared" si="23"/>
        <v>0.5-1.0</v>
      </c>
      <c r="AB381" s="23">
        <v>5</v>
      </c>
      <c r="AC381" s="30" t="str">
        <f>VLOOKUP(AB381,[2]Key!$C$20:$D$29,2,FALSE)</f>
        <v>Professional</v>
      </c>
      <c r="AD381" s="23">
        <v>2</v>
      </c>
      <c r="AE381" s="30" t="str">
        <f>VLOOKUP(AD381,[2]Key!$E$20:$F$24,2,FALSE)</f>
        <v>300,000-500,000</v>
      </c>
      <c r="AF381" s="23">
        <v>5</v>
      </c>
      <c r="AG381" s="62">
        <v>5</v>
      </c>
      <c r="AH381" s="62">
        <v>4</v>
      </c>
      <c r="AI381" s="62">
        <v>5</v>
      </c>
      <c r="AJ381" s="62">
        <v>3</v>
      </c>
      <c r="AK381" s="45" t="s">
        <v>94</v>
      </c>
      <c r="AL381" s="36"/>
      <c r="AM381" t="str">
        <f t="shared" si="24"/>
        <v>0-1000</v>
      </c>
    </row>
    <row r="382" spans="1:39" x14ac:dyDescent="0.2">
      <c r="A382" s="44" t="s">
        <v>355</v>
      </c>
      <c r="B382" s="60">
        <v>0.50694444444444442</v>
      </c>
      <c r="C382" s="60"/>
      <c r="D382" s="60" t="s">
        <v>96</v>
      </c>
      <c r="E382" s="13">
        <v>2</v>
      </c>
      <c r="F382" s="38" t="str">
        <f>VLOOKUP(E382,[2]Key!$A$17:$B$21,2,FALSE)</f>
        <v>Road Vehicle</v>
      </c>
      <c r="G382" s="61">
        <v>4</v>
      </c>
      <c r="H382" s="39" t="str">
        <f>VLOOKUP(G382,[2]Key!$A$2:$B$13,2,FALSE)</f>
        <v>Minibus</v>
      </c>
      <c r="I382" s="13" t="s">
        <v>108</v>
      </c>
      <c r="J382" s="13">
        <v>3</v>
      </c>
      <c r="K382" s="40" t="str">
        <f>VLOOKUP(J382,[2]Key!$A$24:$B$29,2,FALSE)</f>
        <v>40-49</v>
      </c>
      <c r="L382" s="13" t="s">
        <v>356</v>
      </c>
      <c r="M382" s="23" t="s">
        <v>150</v>
      </c>
      <c r="N382" s="13" t="s">
        <v>357</v>
      </c>
      <c r="O382" s="45">
        <v>2</v>
      </c>
      <c r="P382" s="30" t="str">
        <f>VLOOKUP(O382,[2]Key!$E$2:$F$9,2,FALSE)</f>
        <v>Work</v>
      </c>
      <c r="Q382" s="13" t="s">
        <v>444</v>
      </c>
      <c r="R382" s="23" t="s">
        <v>156</v>
      </c>
      <c r="S382" s="13" t="s">
        <v>357</v>
      </c>
      <c r="T382" s="23">
        <v>2</v>
      </c>
      <c r="U382" s="30" t="str">
        <f>VLOOKUP(T382,[2]Key!$E$2:$F$9,2,FALSE)</f>
        <v>Work</v>
      </c>
      <c r="V382" s="30" t="str">
        <f t="shared" si="21"/>
        <v>Work-Work</v>
      </c>
      <c r="W382" s="41">
        <v>150000</v>
      </c>
      <c r="X382" s="62">
        <v>10</v>
      </c>
      <c r="Y382" s="62" t="str">
        <f t="shared" si="22"/>
        <v>10-20</v>
      </c>
      <c r="Z382" s="62">
        <v>1</v>
      </c>
      <c r="AA382" s="62" t="str">
        <f t="shared" si="23"/>
        <v>1.0-2.0</v>
      </c>
      <c r="AB382" s="23">
        <v>5</v>
      </c>
      <c r="AC382" s="30" t="str">
        <f>VLOOKUP(AB382,[2]Key!$C$20:$D$29,2,FALSE)</f>
        <v>Professional</v>
      </c>
      <c r="AD382" s="23">
        <v>4</v>
      </c>
      <c r="AE382" s="30" t="str">
        <f>VLOOKUP(AD382,[2]Key!$E$20:$F$24,2,FALSE)</f>
        <v>750,000-1,000,000</v>
      </c>
      <c r="AF382" s="23">
        <v>1</v>
      </c>
      <c r="AG382" s="62">
        <v>2</v>
      </c>
      <c r="AH382" s="62">
        <v>1</v>
      </c>
      <c r="AI382" s="62">
        <v>2</v>
      </c>
      <c r="AJ382" s="62">
        <v>1</v>
      </c>
      <c r="AK382" s="45" t="s">
        <v>94</v>
      </c>
      <c r="AL382" s="36">
        <v>500</v>
      </c>
      <c r="AM382" t="str">
        <f t="shared" si="24"/>
        <v>0-1000</v>
      </c>
    </row>
    <row r="383" spans="1:39" x14ac:dyDescent="0.2">
      <c r="A383" s="44" t="s">
        <v>355</v>
      </c>
      <c r="B383" s="60">
        <v>0.625</v>
      </c>
      <c r="C383" s="60"/>
      <c r="D383" s="60" t="s">
        <v>96</v>
      </c>
      <c r="E383" s="13">
        <v>2</v>
      </c>
      <c r="F383" s="38" t="str">
        <f>VLOOKUP(E383,[2]Key!$A$17:$B$21,2,FALSE)</f>
        <v>Road Vehicle</v>
      </c>
      <c r="G383" s="61">
        <v>4</v>
      </c>
      <c r="H383" s="39" t="str">
        <f>VLOOKUP(G383,[2]Key!$A$2:$B$13,2,FALSE)</f>
        <v>Minibus</v>
      </c>
      <c r="I383" s="13" t="s">
        <v>108</v>
      </c>
      <c r="J383" s="13">
        <v>3</v>
      </c>
      <c r="K383" s="40" t="str">
        <f>VLOOKUP(J383,[2]Key!$A$24:$B$29,2,FALSE)</f>
        <v>40-49</v>
      </c>
      <c r="L383" s="13" t="s">
        <v>356</v>
      </c>
      <c r="M383" s="23" t="s">
        <v>150</v>
      </c>
      <c r="N383" s="13" t="s">
        <v>357</v>
      </c>
      <c r="O383" s="45">
        <v>2</v>
      </c>
      <c r="P383" s="30" t="str">
        <f>VLOOKUP(O383,[2]Key!$E$2:$F$9,2,FALSE)</f>
        <v>Work</v>
      </c>
      <c r="Q383" s="13" t="s">
        <v>367</v>
      </c>
      <c r="R383" s="23" t="s">
        <v>159</v>
      </c>
      <c r="S383" s="13" t="s">
        <v>357</v>
      </c>
      <c r="T383" s="23">
        <v>8</v>
      </c>
      <c r="U383" s="30" t="str">
        <f>VLOOKUP(T383,[2]Key!$E$2:$F$9,2,FALSE)</f>
        <v>Others</v>
      </c>
      <c r="V383" s="30" t="str">
        <f t="shared" si="21"/>
        <v>Work-Others</v>
      </c>
      <c r="W383" s="23">
        <v>60000</v>
      </c>
      <c r="X383" s="62">
        <v>28</v>
      </c>
      <c r="Y383" s="62" t="str">
        <f t="shared" si="22"/>
        <v>20-40</v>
      </c>
      <c r="Z383" s="62">
        <v>1</v>
      </c>
      <c r="AA383" s="62" t="str">
        <f t="shared" si="23"/>
        <v>1.0-2.0</v>
      </c>
      <c r="AB383" s="23">
        <v>10</v>
      </c>
      <c r="AC383" s="30" t="str">
        <f>VLOOKUP(AB383,[2]Key!$C$20:$D$29,2,FALSE)</f>
        <v>Other</v>
      </c>
      <c r="AD383" s="23">
        <v>1</v>
      </c>
      <c r="AE383" s="30" t="str">
        <f>VLOOKUP(AD383,[2]Key!$E$20:$F$24,2,FALSE)</f>
        <v>&lt;300,000</v>
      </c>
      <c r="AF383" s="23">
        <v>5</v>
      </c>
      <c r="AG383" s="62">
        <v>4</v>
      </c>
      <c r="AH383" s="62">
        <v>1</v>
      </c>
      <c r="AI383" s="62">
        <v>2</v>
      </c>
      <c r="AJ383" s="62">
        <v>2</v>
      </c>
      <c r="AK383" s="45" t="s">
        <v>94</v>
      </c>
      <c r="AL383" s="36">
        <v>2000</v>
      </c>
      <c r="AM383" t="str">
        <f t="shared" si="24"/>
        <v>2000-3000</v>
      </c>
    </row>
    <row r="384" spans="1:39" x14ac:dyDescent="0.2">
      <c r="A384" s="44" t="s">
        <v>355</v>
      </c>
      <c r="B384" s="60">
        <v>0.65972222222222221</v>
      </c>
      <c r="C384" s="60" t="s">
        <v>445</v>
      </c>
      <c r="D384" s="60" t="s">
        <v>96</v>
      </c>
      <c r="E384" s="13">
        <v>2</v>
      </c>
      <c r="F384" s="38" t="str">
        <f>VLOOKUP(E384,[2]Key!$A$17:$B$21,2,FALSE)</f>
        <v>Road Vehicle</v>
      </c>
      <c r="G384" s="61">
        <v>4</v>
      </c>
      <c r="H384" s="39" t="str">
        <f>VLOOKUP(G384,[2]Key!$A$2:$B$13,2,FALSE)</f>
        <v>Minibus</v>
      </c>
      <c r="I384" s="13" t="s">
        <v>108</v>
      </c>
      <c r="J384" s="13">
        <v>3</v>
      </c>
      <c r="K384" s="40" t="str">
        <f>VLOOKUP(J384,[2]Key!$A$24:$B$29,2,FALSE)</f>
        <v>40-49</v>
      </c>
      <c r="L384" s="13" t="s">
        <v>356</v>
      </c>
      <c r="M384" s="23" t="s">
        <v>150</v>
      </c>
      <c r="N384" s="13" t="s">
        <v>357</v>
      </c>
      <c r="O384" s="45">
        <v>2</v>
      </c>
      <c r="P384" s="30" t="str">
        <f>VLOOKUP(O384,[2]Key!$E$2:$F$9,2,FALSE)</f>
        <v>Work</v>
      </c>
      <c r="Q384" s="13" t="s">
        <v>370</v>
      </c>
      <c r="R384" s="23" t="s">
        <v>156</v>
      </c>
      <c r="S384" s="13" t="s">
        <v>357</v>
      </c>
      <c r="T384" s="23">
        <v>8</v>
      </c>
      <c r="U384" s="30" t="str">
        <f>VLOOKUP(T384,[2]Key!$E$2:$F$9,2,FALSE)</f>
        <v>Others</v>
      </c>
      <c r="V384" s="30" t="str">
        <f t="shared" si="21"/>
        <v>Work-Others</v>
      </c>
      <c r="W384" s="23">
        <v>60000</v>
      </c>
      <c r="X384" s="62">
        <v>28</v>
      </c>
      <c r="Y384" s="62" t="str">
        <f t="shared" si="22"/>
        <v>20-40</v>
      </c>
      <c r="Z384" s="62">
        <v>1</v>
      </c>
      <c r="AA384" s="62" t="str">
        <f t="shared" si="23"/>
        <v>1.0-2.0</v>
      </c>
      <c r="AB384" s="23">
        <v>10</v>
      </c>
      <c r="AC384" s="30" t="str">
        <f>VLOOKUP(AB384,[2]Key!$C$20:$D$29,2,FALSE)</f>
        <v>Other</v>
      </c>
      <c r="AD384" s="23">
        <v>1</v>
      </c>
      <c r="AE384" s="30" t="str">
        <f>VLOOKUP(AD384,[2]Key!$E$20:$F$24,2,FALSE)</f>
        <v>&lt;300,000</v>
      </c>
      <c r="AF384" s="23">
        <v>5</v>
      </c>
      <c r="AG384" s="62">
        <v>4</v>
      </c>
      <c r="AH384" s="62">
        <v>5</v>
      </c>
      <c r="AI384" s="62">
        <v>3</v>
      </c>
      <c r="AJ384" s="62">
        <v>2</v>
      </c>
      <c r="AK384" s="45" t="s">
        <v>94</v>
      </c>
      <c r="AL384" s="36"/>
      <c r="AM384" t="str">
        <f t="shared" si="24"/>
        <v>0-1000</v>
      </c>
    </row>
    <row r="385" spans="1:39" x14ac:dyDescent="0.2">
      <c r="A385" s="44" t="s">
        <v>355</v>
      </c>
      <c r="B385" s="60">
        <v>0.54583333333333328</v>
      </c>
      <c r="C385" s="60"/>
      <c r="D385" s="60" t="s">
        <v>165</v>
      </c>
      <c r="E385" s="13">
        <v>2</v>
      </c>
      <c r="F385" s="38" t="str">
        <f>VLOOKUP(E385,[2]Key!$A$17:$B$21,2,FALSE)</f>
        <v>Road Vehicle</v>
      </c>
      <c r="G385" s="61">
        <v>4</v>
      </c>
      <c r="H385" s="39" t="str">
        <f>VLOOKUP(G385,[2]Key!$A$2:$B$13,2,FALSE)</f>
        <v>Minibus</v>
      </c>
      <c r="I385" s="13" t="s">
        <v>108</v>
      </c>
      <c r="J385" s="13">
        <v>3</v>
      </c>
      <c r="K385" s="40" t="str">
        <f>VLOOKUP(J385,[2]Key!$A$24:$B$29,2,FALSE)</f>
        <v>40-49</v>
      </c>
      <c r="L385" s="13" t="s">
        <v>356</v>
      </c>
      <c r="M385" s="23" t="s">
        <v>150</v>
      </c>
      <c r="N385" s="13" t="s">
        <v>357</v>
      </c>
      <c r="O385" s="45">
        <v>1</v>
      </c>
      <c r="P385" s="30" t="str">
        <f>VLOOKUP(O385,[2]Key!$E$2:$F$9,2,FALSE)</f>
        <v>Home</v>
      </c>
      <c r="Q385" s="13" t="s">
        <v>446</v>
      </c>
      <c r="R385" s="23" t="s">
        <v>156</v>
      </c>
      <c r="S385" s="13" t="s">
        <v>357</v>
      </c>
      <c r="T385" s="23">
        <v>2</v>
      </c>
      <c r="U385" s="30" t="str">
        <f>VLOOKUP(T385,[2]Key!$E$2:$F$9,2,FALSE)</f>
        <v>Work</v>
      </c>
      <c r="V385" s="30" t="str">
        <f t="shared" si="21"/>
        <v>Home-Work</v>
      </c>
      <c r="W385" s="23">
        <v>2000</v>
      </c>
      <c r="X385" s="62">
        <v>35</v>
      </c>
      <c r="Y385" s="62" t="str">
        <f t="shared" si="22"/>
        <v>20-40</v>
      </c>
      <c r="Z385" s="62">
        <v>1</v>
      </c>
      <c r="AA385" s="62" t="str">
        <f t="shared" si="23"/>
        <v>1.0-2.0</v>
      </c>
      <c r="AB385" s="23">
        <v>6</v>
      </c>
      <c r="AC385" s="30" t="s">
        <v>128</v>
      </c>
      <c r="AD385" s="23">
        <v>3</v>
      </c>
      <c r="AE385" s="30" t="str">
        <f>VLOOKUP(AD385,[2]Key!$E$20:$F$24,2,FALSE)</f>
        <v>500,000-750,000</v>
      </c>
      <c r="AF385" s="23">
        <v>1</v>
      </c>
      <c r="AG385" s="62">
        <v>1</v>
      </c>
      <c r="AH385" s="62">
        <v>2</v>
      </c>
      <c r="AI385" s="62">
        <v>2</v>
      </c>
      <c r="AJ385" s="62">
        <v>1</v>
      </c>
      <c r="AK385" s="45" t="s">
        <v>94</v>
      </c>
      <c r="AL385" s="36">
        <v>1000</v>
      </c>
      <c r="AM385" t="str">
        <f t="shared" si="24"/>
        <v>1000-2000</v>
      </c>
    </row>
    <row r="386" spans="1:39" x14ac:dyDescent="0.2">
      <c r="A386" s="44" t="s">
        <v>355</v>
      </c>
      <c r="B386" s="60">
        <v>0.4694444444444445</v>
      </c>
      <c r="C386" s="60"/>
      <c r="D386" s="60" t="s">
        <v>96</v>
      </c>
      <c r="E386" s="13">
        <v>2</v>
      </c>
      <c r="F386" s="38" t="str">
        <f>VLOOKUP(E386,[2]Key!$A$17:$B$21,2,FALSE)</f>
        <v>Road Vehicle</v>
      </c>
      <c r="G386" s="61">
        <v>4</v>
      </c>
      <c r="H386" s="39" t="str">
        <f>VLOOKUP(G386,[2]Key!$A$2:$B$13,2,FALSE)</f>
        <v>Minibus</v>
      </c>
      <c r="I386" s="13" t="s">
        <v>108</v>
      </c>
      <c r="J386" s="13">
        <v>3</v>
      </c>
      <c r="K386" s="40" t="str">
        <f>VLOOKUP(J386,[2]Key!$A$24:$B$29,2,FALSE)</f>
        <v>40-49</v>
      </c>
      <c r="L386" s="13" t="s">
        <v>356</v>
      </c>
      <c r="M386" s="23" t="s">
        <v>150</v>
      </c>
      <c r="N386" s="13" t="s">
        <v>357</v>
      </c>
      <c r="O386" s="45">
        <v>2</v>
      </c>
      <c r="P386" s="30" t="str">
        <f>VLOOKUP(O386,[2]Key!$E$2:$F$9,2,FALSE)</f>
        <v>Work</v>
      </c>
      <c r="Q386" s="13" t="s">
        <v>447</v>
      </c>
      <c r="R386" s="23" t="s">
        <v>156</v>
      </c>
      <c r="S386" s="13" t="s">
        <v>357</v>
      </c>
      <c r="T386" s="23">
        <v>2</v>
      </c>
      <c r="U386" s="30" t="str">
        <f>VLOOKUP(T386,[2]Key!$E$2:$F$9,2,FALSE)</f>
        <v>Work</v>
      </c>
      <c r="V386" s="30" t="str">
        <f t="shared" ref="V386:V433" si="25">P386&amp;"-"&amp;U386</f>
        <v>Work-Work</v>
      </c>
      <c r="W386" s="41">
        <v>35000</v>
      </c>
      <c r="X386" s="62">
        <v>40</v>
      </c>
      <c r="Y386" s="62" t="str">
        <f t="shared" si="22"/>
        <v>40-70</v>
      </c>
      <c r="Z386" s="62">
        <v>1.5</v>
      </c>
      <c r="AA386" s="62" t="str">
        <f t="shared" si="23"/>
        <v>1.0-2.0</v>
      </c>
      <c r="AB386" s="23">
        <v>5</v>
      </c>
      <c r="AC386" s="30" t="str">
        <f>VLOOKUP(AB386,[2]Key!$C$20:$D$29,2,FALSE)</f>
        <v>Professional</v>
      </c>
      <c r="AD386" s="23">
        <v>4</v>
      </c>
      <c r="AE386" s="30" t="str">
        <f>VLOOKUP(AD386,[2]Key!$E$20:$F$24,2,FALSE)</f>
        <v>750,000-1,000,000</v>
      </c>
      <c r="AF386" s="23">
        <v>2</v>
      </c>
      <c r="AG386" s="62">
        <v>1</v>
      </c>
      <c r="AH386" s="62">
        <v>1</v>
      </c>
      <c r="AI386" s="62">
        <v>2</v>
      </c>
      <c r="AJ386" s="62">
        <v>2</v>
      </c>
      <c r="AK386" s="45" t="s">
        <v>94</v>
      </c>
      <c r="AL386" s="36">
        <v>1000</v>
      </c>
      <c r="AM386" t="str">
        <f t="shared" si="24"/>
        <v>1000-2000</v>
      </c>
    </row>
    <row r="387" spans="1:39" x14ac:dyDescent="0.2">
      <c r="A387" s="44" t="s">
        <v>355</v>
      </c>
      <c r="B387" s="60">
        <v>0.47847222222222219</v>
      </c>
      <c r="C387" s="60"/>
      <c r="D387" s="60" t="s">
        <v>96</v>
      </c>
      <c r="E387" s="13">
        <v>2</v>
      </c>
      <c r="F387" s="38" t="str">
        <f>VLOOKUP(E387,[2]Key!$A$17:$B$21,2,FALSE)</f>
        <v>Road Vehicle</v>
      </c>
      <c r="G387" s="61">
        <v>4</v>
      </c>
      <c r="H387" s="39" t="str">
        <f>VLOOKUP(G387,[2]Key!$A$2:$B$13,2,FALSE)</f>
        <v>Minibus</v>
      </c>
      <c r="I387" s="13" t="s">
        <v>108</v>
      </c>
      <c r="J387" s="13">
        <v>3</v>
      </c>
      <c r="K387" s="40" t="str">
        <f>VLOOKUP(J387,[2]Key!$A$24:$B$29,2,FALSE)</f>
        <v>40-49</v>
      </c>
      <c r="L387" s="13" t="s">
        <v>356</v>
      </c>
      <c r="M387" s="23" t="s">
        <v>150</v>
      </c>
      <c r="N387" s="13" t="s">
        <v>357</v>
      </c>
      <c r="O387" s="45">
        <v>2</v>
      </c>
      <c r="P387" s="30" t="str">
        <f>VLOOKUP(O387,[2]Key!$E$2:$F$9,2,FALSE)</f>
        <v>Work</v>
      </c>
      <c r="Q387" s="13"/>
      <c r="R387" s="23"/>
      <c r="S387" s="13" t="s">
        <v>357</v>
      </c>
      <c r="T387" s="23">
        <v>2</v>
      </c>
      <c r="U387" s="30" t="str">
        <f>VLOOKUP(T387,[2]Key!$E$2:$F$9,2,FALSE)</f>
        <v>Work</v>
      </c>
      <c r="V387" s="30" t="str">
        <f t="shared" si="25"/>
        <v>Work-Work</v>
      </c>
      <c r="W387" s="41">
        <v>35000</v>
      </c>
      <c r="X387" s="62">
        <v>39</v>
      </c>
      <c r="Y387" s="62" t="str">
        <f t="shared" ref="Y387:Y433" si="26">IF(X387&lt;10,"0-10",IF(X387&lt;20,"10-20",IF(X387&lt;40,"20-40",IF(X387&lt;70,"40-70",IF(X387&lt;100,"70-100",IF(X387&lt;200,"100-200","Over 200"))))))</f>
        <v>20-40</v>
      </c>
      <c r="Z387" s="62">
        <v>1.5</v>
      </c>
      <c r="AA387" s="62" t="str">
        <f t="shared" ref="AA387:AA433" si="27">IF(Z387&lt;0.5,"0-0.5",IF(Z387&lt;1,"0.5-1.0",IF(Z387&lt;2,"1.0-2.0",IF(Z387&lt;3.5,"2.0-3.5","Over 3.5"))))</f>
        <v>1.0-2.0</v>
      </c>
      <c r="AB387" s="23">
        <v>5</v>
      </c>
      <c r="AC387" s="30" t="str">
        <f>VLOOKUP(AB387,[2]Key!$C$20:$D$29,2,FALSE)</f>
        <v>Professional</v>
      </c>
      <c r="AD387" s="23">
        <v>4</v>
      </c>
      <c r="AE387" s="30" t="str">
        <f>VLOOKUP(AD387,[2]Key!$E$20:$F$24,2,FALSE)</f>
        <v>750,000-1,000,000</v>
      </c>
      <c r="AF387" s="23">
        <v>1</v>
      </c>
      <c r="AG387" s="62">
        <v>1</v>
      </c>
      <c r="AH387" s="62">
        <v>2</v>
      </c>
      <c r="AI387" s="62">
        <v>1</v>
      </c>
      <c r="AJ387" s="62">
        <v>2</v>
      </c>
      <c r="AK387" s="45" t="s">
        <v>94</v>
      </c>
      <c r="AL387" s="36">
        <v>500</v>
      </c>
      <c r="AM387" t="str">
        <f t="shared" ref="AM387:AM433" si="28">IF(AL387&lt;1000,"0-1000",IF(AL387&lt;2000,"1000-2000",IF(AL387&lt;3000,"2000-3000",IF(AL387&lt;5000,"3000-5000",IF(AL387&lt;10000,"5000-10000","Over 10000")))))</f>
        <v>0-1000</v>
      </c>
    </row>
    <row r="388" spans="1:39" x14ac:dyDescent="0.2">
      <c r="A388" s="44" t="s">
        <v>355</v>
      </c>
      <c r="B388" s="60">
        <v>0.63194444444444442</v>
      </c>
      <c r="C388" s="60"/>
      <c r="D388" s="60" t="s">
        <v>96</v>
      </c>
      <c r="E388" s="13">
        <v>2</v>
      </c>
      <c r="F388" s="38" t="str">
        <f>VLOOKUP(E388,[2]Key!$A$17:$B$21,2,FALSE)</f>
        <v>Road Vehicle</v>
      </c>
      <c r="G388" s="61">
        <v>4</v>
      </c>
      <c r="H388" s="39" t="str">
        <f>VLOOKUP(G388,[2]Key!$A$2:$B$13,2,FALSE)</f>
        <v>Minibus</v>
      </c>
      <c r="I388" s="13" t="s">
        <v>108</v>
      </c>
      <c r="J388" s="13">
        <v>3</v>
      </c>
      <c r="K388" s="40" t="str">
        <f>VLOOKUP(J388,[2]Key!$A$24:$B$29,2,FALSE)</f>
        <v>40-49</v>
      </c>
      <c r="L388" s="13" t="s">
        <v>356</v>
      </c>
      <c r="M388" s="23" t="s">
        <v>150</v>
      </c>
      <c r="N388" s="13" t="s">
        <v>357</v>
      </c>
      <c r="O388" s="45">
        <v>2</v>
      </c>
      <c r="P388" s="30" t="str">
        <f>VLOOKUP(O388,[2]Key!$E$2:$F$9,2,FALSE)</f>
        <v>Work</v>
      </c>
      <c r="Q388" s="13" t="s">
        <v>241</v>
      </c>
      <c r="R388" s="23" t="s">
        <v>156</v>
      </c>
      <c r="S388" s="13" t="s">
        <v>357</v>
      </c>
      <c r="T388" s="23">
        <v>2</v>
      </c>
      <c r="U388" s="30" t="str">
        <f>VLOOKUP(T388,[2]Key!$E$2:$F$9,2,FALSE)</f>
        <v>Work</v>
      </c>
      <c r="V388" s="30" t="str">
        <f t="shared" si="25"/>
        <v>Work-Work</v>
      </c>
      <c r="W388" s="23">
        <v>35000</v>
      </c>
      <c r="X388" s="62">
        <v>40</v>
      </c>
      <c r="Y388" s="62" t="str">
        <f t="shared" si="26"/>
        <v>40-70</v>
      </c>
      <c r="Z388" s="62">
        <v>1.5</v>
      </c>
      <c r="AA388" s="62" t="str">
        <f t="shared" si="27"/>
        <v>1.0-2.0</v>
      </c>
      <c r="AB388" s="23">
        <v>5</v>
      </c>
      <c r="AC388" s="30" t="str">
        <f>VLOOKUP(AB388,[2]Key!$C$20:$D$29,2,FALSE)</f>
        <v>Professional</v>
      </c>
      <c r="AD388" s="23">
        <v>4</v>
      </c>
      <c r="AE388" s="30" t="str">
        <f>VLOOKUP(AD388,[2]Key!$E$20:$F$24,2,FALSE)</f>
        <v>750,000-1,000,000</v>
      </c>
      <c r="AF388" s="23">
        <v>5</v>
      </c>
      <c r="AG388" s="62">
        <v>1</v>
      </c>
      <c r="AH388" s="62">
        <v>2</v>
      </c>
      <c r="AI388" s="62">
        <v>1</v>
      </c>
      <c r="AJ388" s="62">
        <v>2</v>
      </c>
      <c r="AK388" s="45" t="s">
        <v>94</v>
      </c>
      <c r="AL388" s="36">
        <v>500</v>
      </c>
      <c r="AM388" t="str">
        <f t="shared" si="28"/>
        <v>0-1000</v>
      </c>
    </row>
    <row r="389" spans="1:39" x14ac:dyDescent="0.2">
      <c r="A389" s="44" t="s">
        <v>355</v>
      </c>
      <c r="B389" s="60">
        <v>0.6479166666666667</v>
      </c>
      <c r="C389" s="60"/>
      <c r="D389" s="60" t="s">
        <v>96</v>
      </c>
      <c r="E389" s="13">
        <v>2</v>
      </c>
      <c r="F389" s="38" t="str">
        <f>VLOOKUP(E389,[2]Key!$A$17:$B$21,2,FALSE)</f>
        <v>Road Vehicle</v>
      </c>
      <c r="G389" s="61">
        <v>4</v>
      </c>
      <c r="H389" s="39" t="str">
        <f>VLOOKUP(G389,[2]Key!$A$2:$B$13,2,FALSE)</f>
        <v>Minibus</v>
      </c>
      <c r="I389" s="13" t="s">
        <v>108</v>
      </c>
      <c r="J389" s="13">
        <v>3</v>
      </c>
      <c r="K389" s="40" t="str">
        <f>VLOOKUP(J389,[2]Key!$A$24:$B$29,2,FALSE)</f>
        <v>40-49</v>
      </c>
      <c r="L389" s="13" t="s">
        <v>356</v>
      </c>
      <c r="M389" s="23" t="s">
        <v>150</v>
      </c>
      <c r="N389" s="13" t="s">
        <v>357</v>
      </c>
      <c r="O389" s="45">
        <v>4</v>
      </c>
      <c r="P389" s="30" t="str">
        <f>VLOOKUP(O389,[2]Key!$E$2:$F$9,2,FALSE)</f>
        <v>Commercial</v>
      </c>
      <c r="Q389" s="13" t="s">
        <v>377</v>
      </c>
      <c r="R389" s="23" t="s">
        <v>188</v>
      </c>
      <c r="S389" s="13" t="s">
        <v>357</v>
      </c>
      <c r="T389" s="23">
        <v>4</v>
      </c>
      <c r="U389" s="30" t="str">
        <f>VLOOKUP(T389,[2]Key!$E$2:$F$9,2,FALSE)</f>
        <v>Commercial</v>
      </c>
      <c r="V389" s="30" t="str">
        <f t="shared" si="25"/>
        <v>Commercial-Commercial</v>
      </c>
      <c r="W389" s="23">
        <v>150000</v>
      </c>
      <c r="X389" s="62">
        <v>137</v>
      </c>
      <c r="Y389" s="62" t="str">
        <f t="shared" si="26"/>
        <v>100-200</v>
      </c>
      <c r="Z389" s="62">
        <v>1.5</v>
      </c>
      <c r="AA389" s="62" t="str">
        <f t="shared" si="27"/>
        <v>1.0-2.0</v>
      </c>
      <c r="AB389" s="23">
        <v>5</v>
      </c>
      <c r="AC389" s="30" t="str">
        <f>VLOOKUP(AB389,[2]Key!$C$20:$D$29,2,FALSE)</f>
        <v>Professional</v>
      </c>
      <c r="AD389" s="23">
        <v>1</v>
      </c>
      <c r="AE389" s="30" t="str">
        <f>VLOOKUP(AD389,[2]Key!$E$20:$F$24,2,FALSE)</f>
        <v>&lt;300,000</v>
      </c>
      <c r="AF389" s="23">
        <v>2</v>
      </c>
      <c r="AG389" s="62">
        <v>1</v>
      </c>
      <c r="AH389" s="62">
        <v>1</v>
      </c>
      <c r="AI389" s="62">
        <v>2</v>
      </c>
      <c r="AJ389" s="62">
        <v>1</v>
      </c>
      <c r="AK389" s="45" t="s">
        <v>94</v>
      </c>
      <c r="AL389" s="36">
        <v>1000</v>
      </c>
      <c r="AM389" t="str">
        <f t="shared" si="28"/>
        <v>1000-2000</v>
      </c>
    </row>
    <row r="390" spans="1:39" x14ac:dyDescent="0.2">
      <c r="A390" s="44" t="s">
        <v>355</v>
      </c>
      <c r="B390" s="60">
        <v>0.50555555555555554</v>
      </c>
      <c r="C390" s="60" t="s">
        <v>448</v>
      </c>
      <c r="D390" s="60" t="s">
        <v>96</v>
      </c>
      <c r="E390" s="13">
        <v>2</v>
      </c>
      <c r="F390" s="38" t="str">
        <f>VLOOKUP(E390,[2]Key!$A$17:$B$21,2,FALSE)</f>
        <v>Road Vehicle</v>
      </c>
      <c r="G390" s="61">
        <v>4</v>
      </c>
      <c r="H390" s="39" t="str">
        <f>VLOOKUP(G390,[2]Key!$A$2:$B$13,2,FALSE)</f>
        <v>Minibus</v>
      </c>
      <c r="I390" s="13" t="s">
        <v>108</v>
      </c>
      <c r="J390" s="13">
        <v>3</v>
      </c>
      <c r="K390" s="40" t="str">
        <f>VLOOKUP(J390,[2]Key!$A$24:$B$29,2,FALSE)</f>
        <v>40-49</v>
      </c>
      <c r="L390" s="13" t="s">
        <v>356</v>
      </c>
      <c r="M390" s="23" t="s">
        <v>150</v>
      </c>
      <c r="N390" s="13" t="s">
        <v>357</v>
      </c>
      <c r="O390" s="45">
        <v>2</v>
      </c>
      <c r="P390" s="30" t="str">
        <f>VLOOKUP(O390,[2]Key!$E$2:$F$9,2,FALSE)</f>
        <v>Work</v>
      </c>
      <c r="Q390" s="13" t="s">
        <v>449</v>
      </c>
      <c r="R390" s="23" t="s">
        <v>188</v>
      </c>
      <c r="S390" s="13" t="s">
        <v>357</v>
      </c>
      <c r="T390" s="23">
        <v>8</v>
      </c>
      <c r="U390" s="30" t="str">
        <f>VLOOKUP(T390,[2]Key!$E$2:$F$9,2,FALSE)</f>
        <v>Others</v>
      </c>
      <c r="V390" s="30" t="str">
        <f t="shared" si="25"/>
        <v>Work-Others</v>
      </c>
      <c r="W390" s="23">
        <v>80000</v>
      </c>
      <c r="X390" s="62">
        <v>55</v>
      </c>
      <c r="Y390" s="62" t="str">
        <f t="shared" si="26"/>
        <v>40-70</v>
      </c>
      <c r="Z390" s="62">
        <v>1.5</v>
      </c>
      <c r="AA390" s="62" t="str">
        <f t="shared" si="27"/>
        <v>1.0-2.0</v>
      </c>
      <c r="AB390" s="23">
        <v>10</v>
      </c>
      <c r="AC390" s="30" t="str">
        <f>VLOOKUP(AB390,[2]Key!$C$20:$D$29,2,FALSE)</f>
        <v>Other</v>
      </c>
      <c r="AD390" s="23">
        <v>1</v>
      </c>
      <c r="AE390" s="30" t="str">
        <f>VLOOKUP(AD390,[2]Key!$E$20:$F$24,2,FALSE)</f>
        <v>&lt;300,000</v>
      </c>
      <c r="AF390" s="23">
        <v>5</v>
      </c>
      <c r="AG390" s="62">
        <v>2</v>
      </c>
      <c r="AH390" s="62">
        <v>4</v>
      </c>
      <c r="AI390" s="62">
        <v>2</v>
      </c>
      <c r="AJ390" s="62">
        <v>1</v>
      </c>
      <c r="AK390" s="45" t="s">
        <v>94</v>
      </c>
      <c r="AL390" s="36"/>
      <c r="AM390" t="str">
        <f t="shared" si="28"/>
        <v>0-1000</v>
      </c>
    </row>
    <row r="391" spans="1:39" x14ac:dyDescent="0.2">
      <c r="A391" s="44" t="s">
        <v>355</v>
      </c>
      <c r="B391" s="60">
        <v>0.73819444444444438</v>
      </c>
      <c r="C391" s="60" t="s">
        <v>450</v>
      </c>
      <c r="D391" s="60" t="s">
        <v>96</v>
      </c>
      <c r="E391" s="13">
        <v>2</v>
      </c>
      <c r="F391" s="38" t="str">
        <f>VLOOKUP(E391,[2]Key!$A$17:$B$21,2,FALSE)</f>
        <v>Road Vehicle</v>
      </c>
      <c r="G391" s="61">
        <v>4</v>
      </c>
      <c r="H391" s="39" t="str">
        <f>VLOOKUP(G391,[2]Key!$A$2:$B$13,2,FALSE)</f>
        <v>Minibus</v>
      </c>
      <c r="I391" s="13" t="s">
        <v>108</v>
      </c>
      <c r="J391" s="13">
        <v>3</v>
      </c>
      <c r="K391" s="40" t="str">
        <f>VLOOKUP(J391,[2]Key!$A$24:$B$29,2,FALSE)</f>
        <v>40-49</v>
      </c>
      <c r="L391" s="13" t="s">
        <v>356</v>
      </c>
      <c r="M391" s="23" t="s">
        <v>150</v>
      </c>
      <c r="N391" s="13" t="s">
        <v>357</v>
      </c>
      <c r="O391" s="45">
        <v>2</v>
      </c>
      <c r="P391" s="30" t="str">
        <f>VLOOKUP(O391,[2]Key!$E$2:$F$9,2,FALSE)</f>
        <v>Work</v>
      </c>
      <c r="Q391" s="13" t="s">
        <v>374</v>
      </c>
      <c r="R391" s="23" t="s">
        <v>188</v>
      </c>
      <c r="S391" s="13" t="s">
        <v>357</v>
      </c>
      <c r="T391" s="23">
        <v>8</v>
      </c>
      <c r="U391" s="30" t="str">
        <f>VLOOKUP(T391,[2]Key!$E$2:$F$9,2,FALSE)</f>
        <v>Others</v>
      </c>
      <c r="V391" s="30" t="str">
        <f t="shared" si="25"/>
        <v>Work-Others</v>
      </c>
      <c r="W391" s="23">
        <v>80000</v>
      </c>
      <c r="X391" s="62">
        <v>50</v>
      </c>
      <c r="Y391" s="62" t="str">
        <f t="shared" si="26"/>
        <v>40-70</v>
      </c>
      <c r="Z391" s="62">
        <v>1.5</v>
      </c>
      <c r="AA391" s="62" t="str">
        <f t="shared" si="27"/>
        <v>1.0-2.0</v>
      </c>
      <c r="AB391" s="23">
        <v>10</v>
      </c>
      <c r="AC391" s="30" t="str">
        <f>VLOOKUP(AB391,[2]Key!$C$20:$D$29,2,FALSE)</f>
        <v>Other</v>
      </c>
      <c r="AD391" s="23">
        <v>1</v>
      </c>
      <c r="AE391" s="30" t="str">
        <f>VLOOKUP(AD391,[2]Key!$E$20:$F$24,2,FALSE)</f>
        <v>&lt;300,000</v>
      </c>
      <c r="AF391" s="23">
        <v>2</v>
      </c>
      <c r="AG391" s="62">
        <v>1</v>
      </c>
      <c r="AH391" s="62">
        <v>5</v>
      </c>
      <c r="AI391" s="62">
        <v>5</v>
      </c>
      <c r="AJ391" s="62">
        <v>2</v>
      </c>
      <c r="AK391" s="45" t="s">
        <v>94</v>
      </c>
      <c r="AL391" s="36"/>
      <c r="AM391" t="str">
        <f t="shared" si="28"/>
        <v>0-1000</v>
      </c>
    </row>
    <row r="392" spans="1:39" x14ac:dyDescent="0.2">
      <c r="A392" s="44" t="s">
        <v>355</v>
      </c>
      <c r="B392" s="60">
        <v>0.71388888888888891</v>
      </c>
      <c r="C392" s="60" t="s">
        <v>451</v>
      </c>
      <c r="D392" s="60" t="s">
        <v>96</v>
      </c>
      <c r="E392" s="13">
        <v>2</v>
      </c>
      <c r="F392" s="38" t="str">
        <f>VLOOKUP(E392,[2]Key!$A$17:$B$21,2,FALSE)</f>
        <v>Road Vehicle</v>
      </c>
      <c r="G392" s="61">
        <v>4</v>
      </c>
      <c r="H392" s="39" t="str">
        <f>VLOOKUP(G392,[2]Key!$A$2:$B$13,2,FALSE)</f>
        <v>Minibus</v>
      </c>
      <c r="I392" s="13" t="s">
        <v>108</v>
      </c>
      <c r="J392" s="13">
        <v>3</v>
      </c>
      <c r="K392" s="40" t="s">
        <v>113</v>
      </c>
      <c r="L392" s="13" t="s">
        <v>356</v>
      </c>
      <c r="M392" s="23" t="s">
        <v>150</v>
      </c>
      <c r="N392" s="13" t="s">
        <v>357</v>
      </c>
      <c r="O392" s="45">
        <v>2</v>
      </c>
      <c r="P392" s="30" t="str">
        <f>VLOOKUP(O392,[2]Key!$E$2:$F$9,2,FALSE)</f>
        <v>Work</v>
      </c>
      <c r="Q392" s="13" t="s">
        <v>376</v>
      </c>
      <c r="R392" s="23" t="s">
        <v>188</v>
      </c>
      <c r="S392" s="13" t="s">
        <v>357</v>
      </c>
      <c r="T392" s="23">
        <v>8</v>
      </c>
      <c r="U392" s="30" t="str">
        <f>VLOOKUP(T392,[2]Key!$E$2:$F$9,2,FALSE)</f>
        <v>Others</v>
      </c>
      <c r="V392" s="30" t="str">
        <f t="shared" si="25"/>
        <v>Work-Others</v>
      </c>
      <c r="W392" s="23">
        <v>80000</v>
      </c>
      <c r="X392" s="62">
        <v>58</v>
      </c>
      <c r="Y392" s="62" t="str">
        <f t="shared" si="26"/>
        <v>40-70</v>
      </c>
      <c r="Z392" s="62">
        <v>1.5</v>
      </c>
      <c r="AA392" s="62" t="str">
        <f t="shared" si="27"/>
        <v>1.0-2.0</v>
      </c>
      <c r="AB392" s="23">
        <v>10</v>
      </c>
      <c r="AC392" s="30" t="str">
        <f>VLOOKUP(AB392,[2]Key!$C$20:$D$29,2,FALSE)</f>
        <v>Other</v>
      </c>
      <c r="AD392" s="23">
        <v>1</v>
      </c>
      <c r="AE392" s="30" t="str">
        <f>VLOOKUP(AD392,[2]Key!$E$20:$F$24,2,FALSE)</f>
        <v>&lt;300,000</v>
      </c>
      <c r="AF392" s="23">
        <v>2</v>
      </c>
      <c r="AG392" s="62">
        <v>4</v>
      </c>
      <c r="AH392" s="62">
        <v>1</v>
      </c>
      <c r="AI392" s="62">
        <v>2</v>
      </c>
      <c r="AJ392" s="62">
        <v>1</v>
      </c>
      <c r="AK392" s="45" t="s">
        <v>94</v>
      </c>
      <c r="AL392" s="36">
        <v>2000</v>
      </c>
      <c r="AM392" t="str">
        <f t="shared" si="28"/>
        <v>2000-3000</v>
      </c>
    </row>
    <row r="393" spans="1:39" x14ac:dyDescent="0.2">
      <c r="A393" s="44" t="s">
        <v>355</v>
      </c>
      <c r="B393" s="60">
        <v>0.3298611111111111</v>
      </c>
      <c r="C393" s="60" t="s">
        <v>452</v>
      </c>
      <c r="D393" s="60" t="s">
        <v>96</v>
      </c>
      <c r="E393" s="13">
        <v>2</v>
      </c>
      <c r="F393" s="38" t="str">
        <f>VLOOKUP(E393,[2]Key!$A$17:$B$21,2,FALSE)</f>
        <v>Road Vehicle</v>
      </c>
      <c r="G393" s="61">
        <v>4</v>
      </c>
      <c r="H393" s="39" t="str">
        <f>VLOOKUP(G393,[2]Key!$A$2:$B$13,2,FALSE)</f>
        <v>Minibus</v>
      </c>
      <c r="I393" s="13" t="s">
        <v>108</v>
      </c>
      <c r="J393" s="13">
        <v>3</v>
      </c>
      <c r="K393" s="40" t="str">
        <f>VLOOKUP(J393,[2]Key!$A$24:$B$29,2,FALSE)</f>
        <v>40-49</v>
      </c>
      <c r="L393" s="13" t="s">
        <v>356</v>
      </c>
      <c r="M393" s="23" t="s">
        <v>150</v>
      </c>
      <c r="N393" s="13" t="s">
        <v>357</v>
      </c>
      <c r="O393" s="45">
        <v>2</v>
      </c>
      <c r="P393" s="30" t="str">
        <f>VLOOKUP(O393,[2]Key!$E$2:$F$9,2,FALSE)</f>
        <v>Work</v>
      </c>
      <c r="Q393" s="13" t="s">
        <v>365</v>
      </c>
      <c r="R393" s="23" t="s">
        <v>156</v>
      </c>
      <c r="S393" s="13" t="s">
        <v>357</v>
      </c>
      <c r="T393" s="23">
        <v>8</v>
      </c>
      <c r="U393" s="30" t="str">
        <f>VLOOKUP(T393,[2]Key!$E$2:$F$9,2,FALSE)</f>
        <v>Others</v>
      </c>
      <c r="V393" s="30" t="str">
        <f t="shared" si="25"/>
        <v>Work-Others</v>
      </c>
      <c r="W393" s="23">
        <v>70000</v>
      </c>
      <c r="X393" s="62">
        <v>30</v>
      </c>
      <c r="Y393" s="62" t="str">
        <f t="shared" si="26"/>
        <v>20-40</v>
      </c>
      <c r="Z393" s="62">
        <v>1.5</v>
      </c>
      <c r="AA393" s="62" t="str">
        <f t="shared" si="27"/>
        <v>1.0-2.0</v>
      </c>
      <c r="AB393" s="23">
        <v>10</v>
      </c>
      <c r="AC393" s="30" t="str">
        <f>VLOOKUP(AB393,[2]Key!$C$20:$D$29,2,FALSE)</f>
        <v>Other</v>
      </c>
      <c r="AD393" s="23">
        <v>1</v>
      </c>
      <c r="AE393" s="30" t="str">
        <f>VLOOKUP(AD393,[2]Key!$E$20:$F$24,2,FALSE)</f>
        <v>&lt;300,000</v>
      </c>
      <c r="AF393" s="23">
        <v>2</v>
      </c>
      <c r="AG393" s="62">
        <v>1</v>
      </c>
      <c r="AH393" s="62">
        <v>5</v>
      </c>
      <c r="AI393" s="62">
        <v>5</v>
      </c>
      <c r="AJ393" s="62">
        <v>4</v>
      </c>
      <c r="AK393" s="45" t="s">
        <v>94</v>
      </c>
      <c r="AL393" s="36"/>
      <c r="AM393" t="str">
        <f t="shared" si="28"/>
        <v>0-1000</v>
      </c>
    </row>
    <row r="394" spans="1:39" x14ac:dyDescent="0.2">
      <c r="A394" s="44" t="s">
        <v>355</v>
      </c>
      <c r="B394" s="60">
        <v>0.53680555555555554</v>
      </c>
      <c r="C394" s="60"/>
      <c r="D394" s="60" t="s">
        <v>165</v>
      </c>
      <c r="E394" s="13">
        <v>2</v>
      </c>
      <c r="F394" s="38" t="str">
        <f>VLOOKUP(E394,[2]Key!$A$17:$B$21,2,FALSE)</f>
        <v>Road Vehicle</v>
      </c>
      <c r="G394" s="61">
        <v>4</v>
      </c>
      <c r="H394" s="39" t="str">
        <f>VLOOKUP(G394,[2]Key!$A$2:$B$13,2,FALSE)</f>
        <v>Minibus</v>
      </c>
      <c r="I394" s="13" t="s">
        <v>108</v>
      </c>
      <c r="J394" s="13">
        <v>3</v>
      </c>
      <c r="K394" s="40" t="str">
        <f>VLOOKUP(J394,[2]Key!$A$24:$B$29,2,FALSE)</f>
        <v>40-49</v>
      </c>
      <c r="L394" s="13" t="s">
        <v>225</v>
      </c>
      <c r="M394" s="23" t="s">
        <v>150</v>
      </c>
      <c r="N394" s="13" t="s">
        <v>357</v>
      </c>
      <c r="O394" s="45">
        <v>2</v>
      </c>
      <c r="P394" s="30" t="str">
        <f>VLOOKUP(O394,[2]Key!$E$2:$F$9,2,FALSE)</f>
        <v>Work</v>
      </c>
      <c r="Q394" s="13" t="s">
        <v>414</v>
      </c>
      <c r="R394" s="23" t="s">
        <v>156</v>
      </c>
      <c r="S394" s="13" t="s">
        <v>357</v>
      </c>
      <c r="T394" s="23">
        <v>1</v>
      </c>
      <c r="U394" s="30" t="str">
        <f>VLOOKUP(T394,[2]Key!$E$2:$F$9,2,FALSE)</f>
        <v>Home</v>
      </c>
      <c r="V394" s="30" t="str">
        <f t="shared" si="25"/>
        <v>Work-Home</v>
      </c>
      <c r="W394" s="23">
        <v>5000</v>
      </c>
      <c r="X394" s="62">
        <v>50</v>
      </c>
      <c r="Y394" s="62" t="str">
        <f t="shared" si="26"/>
        <v>40-70</v>
      </c>
      <c r="Z394" s="62">
        <v>1.5</v>
      </c>
      <c r="AA394" s="62" t="str">
        <f t="shared" si="27"/>
        <v>1.0-2.0</v>
      </c>
      <c r="AB394" s="23">
        <v>6</v>
      </c>
      <c r="AC394" s="30" t="str">
        <f>VLOOKUP(AB394,[2]Key!$C$20:$D$29,2,FALSE)</f>
        <v>Businessman</v>
      </c>
      <c r="AD394" s="23">
        <v>1</v>
      </c>
      <c r="AE394" s="30" t="str">
        <f>VLOOKUP(AD394,[2]Key!$E$20:$F$24,2,FALSE)</f>
        <v>&lt;300,000</v>
      </c>
      <c r="AF394" s="23">
        <v>2</v>
      </c>
      <c r="AG394" s="62">
        <v>4</v>
      </c>
      <c r="AH394" s="62">
        <v>1</v>
      </c>
      <c r="AI394" s="62">
        <v>1</v>
      </c>
      <c r="AJ394" s="62">
        <v>2</v>
      </c>
      <c r="AK394" s="45" t="s">
        <v>94</v>
      </c>
      <c r="AL394" s="36"/>
      <c r="AM394" t="str">
        <f t="shared" si="28"/>
        <v>0-1000</v>
      </c>
    </row>
    <row r="395" spans="1:39" x14ac:dyDescent="0.2">
      <c r="A395" s="44" t="s">
        <v>355</v>
      </c>
      <c r="B395" s="60">
        <v>0.45347222222222222</v>
      </c>
      <c r="C395" s="60" t="s">
        <v>453</v>
      </c>
      <c r="D395" s="60" t="s">
        <v>96</v>
      </c>
      <c r="E395" s="13">
        <v>2</v>
      </c>
      <c r="F395" s="38" t="str">
        <f>VLOOKUP(E395,[2]Key!$A$17:$B$21,2,FALSE)</f>
        <v>Road Vehicle</v>
      </c>
      <c r="G395" s="61">
        <v>4</v>
      </c>
      <c r="H395" s="39" t="str">
        <f>VLOOKUP(G395,[2]Key!$A$2:$B$13,2,FALSE)</f>
        <v>Minibus</v>
      </c>
      <c r="I395" s="13" t="s">
        <v>108</v>
      </c>
      <c r="J395" s="13">
        <v>3</v>
      </c>
      <c r="K395" s="40" t="str">
        <f>VLOOKUP(J395,[2]Key!$A$24:$B$29,2,FALSE)</f>
        <v>40-49</v>
      </c>
      <c r="L395" s="13" t="s">
        <v>356</v>
      </c>
      <c r="M395" s="23" t="s">
        <v>150</v>
      </c>
      <c r="N395" s="13" t="s">
        <v>357</v>
      </c>
      <c r="O395" s="45">
        <v>2</v>
      </c>
      <c r="P395" s="30" t="str">
        <f>VLOOKUP(O395,[2]Key!$E$2:$F$9,2,FALSE)</f>
        <v>Work</v>
      </c>
      <c r="Q395" s="13" t="s">
        <v>381</v>
      </c>
      <c r="R395" s="23" t="s">
        <v>380</v>
      </c>
      <c r="S395" s="13" t="s">
        <v>357</v>
      </c>
      <c r="T395" s="23">
        <v>8</v>
      </c>
      <c r="U395" s="30" t="str">
        <f>VLOOKUP(T395,[2]Key!$E$2:$F$9,2,FALSE)</f>
        <v>Others</v>
      </c>
      <c r="V395" s="30" t="str">
        <f t="shared" si="25"/>
        <v>Work-Others</v>
      </c>
      <c r="W395" s="23">
        <v>100000</v>
      </c>
      <c r="X395" s="62">
        <v>75</v>
      </c>
      <c r="Y395" s="62" t="str">
        <f t="shared" si="26"/>
        <v>70-100</v>
      </c>
      <c r="Z395" s="62">
        <v>2</v>
      </c>
      <c r="AA395" s="62" t="str">
        <f t="shared" si="27"/>
        <v>2.0-3.5</v>
      </c>
      <c r="AB395" s="23">
        <v>10</v>
      </c>
      <c r="AC395" s="30" t="str">
        <f>VLOOKUP(AB395,[2]Key!$C$20:$D$29,2,FALSE)</f>
        <v>Other</v>
      </c>
      <c r="AD395" s="23">
        <v>1</v>
      </c>
      <c r="AE395" s="30" t="str">
        <f>VLOOKUP(AD395,[2]Key!$E$20:$F$24,2,FALSE)</f>
        <v>&lt;300,000</v>
      </c>
      <c r="AF395" s="23">
        <v>5</v>
      </c>
      <c r="AG395" s="62">
        <v>4</v>
      </c>
      <c r="AH395" s="62">
        <v>2</v>
      </c>
      <c r="AI395" s="62">
        <v>2</v>
      </c>
      <c r="AJ395" s="62">
        <v>1</v>
      </c>
      <c r="AK395" s="45" t="s">
        <v>94</v>
      </c>
      <c r="AL395" s="36"/>
      <c r="AM395" t="str">
        <f t="shared" si="28"/>
        <v>0-1000</v>
      </c>
    </row>
    <row r="396" spans="1:39" x14ac:dyDescent="0.2">
      <c r="A396" s="44" t="s">
        <v>355</v>
      </c>
      <c r="B396" s="60">
        <v>0.4375</v>
      </c>
      <c r="C396" s="60" t="s">
        <v>454</v>
      </c>
      <c r="D396" s="60" t="s">
        <v>96</v>
      </c>
      <c r="E396" s="13">
        <v>2</v>
      </c>
      <c r="F396" s="38" t="str">
        <f>VLOOKUP(E396,[2]Key!$A$17:$B$21,2,FALSE)</f>
        <v>Road Vehicle</v>
      </c>
      <c r="G396" s="61">
        <v>4</v>
      </c>
      <c r="H396" s="39" t="str">
        <f>VLOOKUP(G396,[2]Key!$A$2:$B$13,2,FALSE)</f>
        <v>Minibus</v>
      </c>
      <c r="I396" s="13" t="s">
        <v>108</v>
      </c>
      <c r="J396" s="13">
        <v>3</v>
      </c>
      <c r="K396" s="40" t="str">
        <f>VLOOKUP(J396,[2]Key!$A$24:$B$29,2,FALSE)</f>
        <v>40-49</v>
      </c>
      <c r="L396" s="13" t="s">
        <v>356</v>
      </c>
      <c r="M396" s="23" t="s">
        <v>150</v>
      </c>
      <c r="N396" s="13" t="s">
        <v>357</v>
      </c>
      <c r="O396" s="45">
        <v>2</v>
      </c>
      <c r="P396" s="30" t="str">
        <f>VLOOKUP(O396,[2]Key!$E$2:$F$9,2,FALSE)</f>
        <v>Work</v>
      </c>
      <c r="Q396" s="13" t="s">
        <v>383</v>
      </c>
      <c r="R396" s="23" t="s">
        <v>380</v>
      </c>
      <c r="S396" s="13" t="s">
        <v>357</v>
      </c>
      <c r="T396" s="23">
        <v>8</v>
      </c>
      <c r="U396" s="30" t="str">
        <f>VLOOKUP(T396,[2]Key!$E$2:$F$9,2,FALSE)</f>
        <v>Others</v>
      </c>
      <c r="V396" s="30" t="str">
        <f t="shared" si="25"/>
        <v>Work-Others</v>
      </c>
      <c r="W396" s="23">
        <v>100000</v>
      </c>
      <c r="X396" s="62">
        <v>75</v>
      </c>
      <c r="Y396" s="62" t="str">
        <f t="shared" si="26"/>
        <v>70-100</v>
      </c>
      <c r="Z396" s="62">
        <v>2</v>
      </c>
      <c r="AA396" s="62" t="str">
        <f t="shared" si="27"/>
        <v>2.0-3.5</v>
      </c>
      <c r="AB396" s="23">
        <v>10</v>
      </c>
      <c r="AC396" s="30" t="str">
        <f>VLOOKUP(AB396,[2]Key!$C$20:$D$29,2,FALSE)</f>
        <v>Other</v>
      </c>
      <c r="AD396" s="23">
        <v>1</v>
      </c>
      <c r="AE396" s="30" t="str">
        <f>VLOOKUP(AD396,[2]Key!$E$20:$F$24,2,FALSE)</f>
        <v>&lt;300,000</v>
      </c>
      <c r="AF396" s="23">
        <v>5</v>
      </c>
      <c r="AG396" s="62">
        <v>4</v>
      </c>
      <c r="AH396" s="62">
        <v>5</v>
      </c>
      <c r="AI396" s="62">
        <v>3</v>
      </c>
      <c r="AJ396" s="62">
        <v>2</v>
      </c>
      <c r="AK396" s="45" t="s">
        <v>94</v>
      </c>
      <c r="AL396" s="36">
        <v>2000</v>
      </c>
      <c r="AM396" t="str">
        <f t="shared" si="28"/>
        <v>2000-3000</v>
      </c>
    </row>
    <row r="397" spans="1:39" x14ac:dyDescent="0.2">
      <c r="A397" s="44" t="s">
        <v>355</v>
      </c>
      <c r="B397" s="60">
        <v>0.41666666666666669</v>
      </c>
      <c r="C397" s="60" t="s">
        <v>455</v>
      </c>
      <c r="D397" s="60" t="s">
        <v>96</v>
      </c>
      <c r="E397" s="13">
        <v>2</v>
      </c>
      <c r="F397" s="38" t="str">
        <f>VLOOKUP(E397,[2]Key!$A$17:$B$21,2,FALSE)</f>
        <v>Road Vehicle</v>
      </c>
      <c r="G397" s="61">
        <v>4</v>
      </c>
      <c r="H397" s="39" t="str">
        <f>VLOOKUP(G397,[2]Key!$A$2:$B$13,2,FALSE)</f>
        <v>Minibus</v>
      </c>
      <c r="I397" s="13" t="s">
        <v>108</v>
      </c>
      <c r="J397" s="13">
        <v>3</v>
      </c>
      <c r="K397" s="40" t="str">
        <f>VLOOKUP(J397,[2]Key!$A$24:$B$29,2,FALSE)</f>
        <v>40-49</v>
      </c>
      <c r="L397" s="13" t="s">
        <v>356</v>
      </c>
      <c r="M397" s="23" t="s">
        <v>150</v>
      </c>
      <c r="N397" s="13" t="s">
        <v>357</v>
      </c>
      <c r="O397" s="45">
        <v>2</v>
      </c>
      <c r="P397" s="30" t="str">
        <f>VLOOKUP(O397,[2]Key!$E$2:$F$9,2,FALSE)</f>
        <v>Work</v>
      </c>
      <c r="Q397" s="13" t="s">
        <v>395</v>
      </c>
      <c r="R397" s="23" t="s">
        <v>380</v>
      </c>
      <c r="S397" s="13" t="s">
        <v>357</v>
      </c>
      <c r="T397" s="23">
        <v>8</v>
      </c>
      <c r="U397" s="30" t="str">
        <f>VLOOKUP(T397,[2]Key!$E$2:$F$9,2,FALSE)</f>
        <v>Others</v>
      </c>
      <c r="V397" s="30" t="str">
        <f t="shared" si="25"/>
        <v>Work-Others</v>
      </c>
      <c r="W397" s="23">
        <v>100000</v>
      </c>
      <c r="X397" s="62">
        <v>75</v>
      </c>
      <c r="Y397" s="62" t="str">
        <f t="shared" si="26"/>
        <v>70-100</v>
      </c>
      <c r="Z397" s="62">
        <v>2</v>
      </c>
      <c r="AA397" s="62" t="str">
        <f t="shared" si="27"/>
        <v>2.0-3.5</v>
      </c>
      <c r="AB397" s="23">
        <v>10</v>
      </c>
      <c r="AC397" s="30" t="str">
        <f>VLOOKUP(AB397,[2]Key!$C$20:$D$29,2,FALSE)</f>
        <v>Other</v>
      </c>
      <c r="AD397" s="23">
        <v>1</v>
      </c>
      <c r="AE397" s="30" t="str">
        <f>VLOOKUP(AD397,[2]Key!$E$20:$F$24,2,FALSE)</f>
        <v>&lt;300,000</v>
      </c>
      <c r="AF397" s="23">
        <v>5</v>
      </c>
      <c r="AG397" s="62">
        <v>4</v>
      </c>
      <c r="AH397" s="62">
        <v>1</v>
      </c>
      <c r="AI397" s="62">
        <v>5</v>
      </c>
      <c r="AJ397" s="62">
        <v>2</v>
      </c>
      <c r="AK397" s="45" t="s">
        <v>94</v>
      </c>
      <c r="AL397" s="36">
        <v>2000</v>
      </c>
      <c r="AM397" t="str">
        <f t="shared" si="28"/>
        <v>2000-3000</v>
      </c>
    </row>
    <row r="398" spans="1:39" x14ac:dyDescent="0.2">
      <c r="A398" s="44" t="s">
        <v>355</v>
      </c>
      <c r="B398" s="60" t="s">
        <v>456</v>
      </c>
      <c r="C398" s="60" t="s">
        <v>457</v>
      </c>
      <c r="D398" s="60" t="s">
        <v>96</v>
      </c>
      <c r="E398" s="13">
        <v>2</v>
      </c>
      <c r="F398" s="38" t="str">
        <f>VLOOKUP(E398,[2]Key!$A$17:$B$21,2,FALSE)</f>
        <v>Road Vehicle</v>
      </c>
      <c r="G398" s="61">
        <v>4</v>
      </c>
      <c r="H398" s="39" t="str">
        <f>VLOOKUP(G398,[2]Key!$A$2:$B$13,2,FALSE)</f>
        <v>Minibus</v>
      </c>
      <c r="I398" s="13" t="s">
        <v>108</v>
      </c>
      <c r="J398" s="13">
        <v>3</v>
      </c>
      <c r="K398" s="40" t="str">
        <f>VLOOKUP(J398,[2]Key!$A$24:$B$29,2,FALSE)</f>
        <v>40-49</v>
      </c>
      <c r="L398" s="13" t="s">
        <v>356</v>
      </c>
      <c r="M398" s="23" t="s">
        <v>150</v>
      </c>
      <c r="N398" s="13" t="s">
        <v>357</v>
      </c>
      <c r="O398" s="45">
        <v>2</v>
      </c>
      <c r="P398" s="30" t="str">
        <f>VLOOKUP(O398,[2]Key!$E$2:$F$9,2,FALSE)</f>
        <v>Work</v>
      </c>
      <c r="Q398" s="13" t="s">
        <v>384</v>
      </c>
      <c r="R398" s="23" t="s">
        <v>380</v>
      </c>
      <c r="S398" s="13" t="s">
        <v>357</v>
      </c>
      <c r="T398" s="23">
        <v>8</v>
      </c>
      <c r="U398" s="30" t="str">
        <f>VLOOKUP(T398,[2]Key!$E$2:$F$9,2,FALSE)</f>
        <v>Others</v>
      </c>
      <c r="V398" s="30" t="str">
        <f t="shared" si="25"/>
        <v>Work-Others</v>
      </c>
      <c r="W398" s="23">
        <v>100000</v>
      </c>
      <c r="X398" s="62">
        <v>75</v>
      </c>
      <c r="Y398" s="62" t="str">
        <f t="shared" si="26"/>
        <v>70-100</v>
      </c>
      <c r="Z398" s="62">
        <v>2</v>
      </c>
      <c r="AA398" s="62" t="str">
        <f t="shared" si="27"/>
        <v>2.0-3.5</v>
      </c>
      <c r="AB398" s="23">
        <v>10</v>
      </c>
      <c r="AC398" s="30" t="str">
        <f>VLOOKUP(AB398,[2]Key!$C$20:$D$29,2,FALSE)</f>
        <v>Other</v>
      </c>
      <c r="AD398" s="23">
        <v>2</v>
      </c>
      <c r="AE398" s="30" t="str">
        <f>VLOOKUP(AD398,[2]Key!$E$20:$F$24,2,FALSE)</f>
        <v>300,000-500,000</v>
      </c>
      <c r="AF398" s="23">
        <v>5</v>
      </c>
      <c r="AG398" s="62">
        <v>4</v>
      </c>
      <c r="AH398" s="62">
        <v>5</v>
      </c>
      <c r="AI398" s="62">
        <v>2</v>
      </c>
      <c r="AJ398" s="62">
        <v>2</v>
      </c>
      <c r="AK398" s="45" t="s">
        <v>94</v>
      </c>
      <c r="AL398" s="36">
        <v>2000</v>
      </c>
      <c r="AM398" t="str">
        <f t="shared" si="28"/>
        <v>2000-3000</v>
      </c>
    </row>
    <row r="399" spans="1:39" x14ac:dyDescent="0.2">
      <c r="A399" s="44" t="s">
        <v>355</v>
      </c>
      <c r="B399" s="60">
        <v>0.3611111111111111</v>
      </c>
      <c r="C399" s="60" t="s">
        <v>458</v>
      </c>
      <c r="D399" s="60" t="s">
        <v>96</v>
      </c>
      <c r="E399" s="13">
        <v>2</v>
      </c>
      <c r="F399" s="38" t="str">
        <f>VLOOKUP(E399,[2]Key!$A$17:$B$21,2,FALSE)</f>
        <v>Road Vehicle</v>
      </c>
      <c r="G399" s="61">
        <v>4</v>
      </c>
      <c r="H399" s="39" t="str">
        <f>VLOOKUP(G399,[2]Key!$A$2:$B$13,2,FALSE)</f>
        <v>Minibus</v>
      </c>
      <c r="I399" s="13" t="s">
        <v>108</v>
      </c>
      <c r="J399" s="13">
        <v>3</v>
      </c>
      <c r="K399" s="40" t="str">
        <f>VLOOKUP(J399,[2]Key!$A$24:$B$29,2,FALSE)</f>
        <v>40-49</v>
      </c>
      <c r="L399" s="13" t="s">
        <v>356</v>
      </c>
      <c r="M399" s="23" t="s">
        <v>150</v>
      </c>
      <c r="N399" s="13" t="s">
        <v>357</v>
      </c>
      <c r="O399" s="45">
        <v>2</v>
      </c>
      <c r="P399" s="30" t="str">
        <f>VLOOKUP(O399,[2]Key!$E$2:$F$9,2,FALSE)</f>
        <v>Work</v>
      </c>
      <c r="Q399" s="13" t="s">
        <v>363</v>
      </c>
      <c r="R399" s="23" t="s">
        <v>380</v>
      </c>
      <c r="S399" s="13" t="s">
        <v>357</v>
      </c>
      <c r="T399" s="23">
        <v>8</v>
      </c>
      <c r="U399" s="30" t="str">
        <f>VLOOKUP(T399,[2]Key!$E$2:$F$9,2,FALSE)</f>
        <v>Others</v>
      </c>
      <c r="V399" s="30" t="str">
        <f t="shared" si="25"/>
        <v>Work-Others</v>
      </c>
      <c r="W399" s="23">
        <v>100000</v>
      </c>
      <c r="X399" s="62">
        <v>75</v>
      </c>
      <c r="Y399" s="62" t="str">
        <f t="shared" si="26"/>
        <v>70-100</v>
      </c>
      <c r="Z399" s="62">
        <v>2</v>
      </c>
      <c r="AA399" s="62" t="str">
        <f t="shared" si="27"/>
        <v>2.0-3.5</v>
      </c>
      <c r="AB399" s="23">
        <v>10</v>
      </c>
      <c r="AC399" s="30" t="str">
        <f>VLOOKUP(AB399,[2]Key!$C$20:$D$29,2,FALSE)</f>
        <v>Other</v>
      </c>
      <c r="AD399" s="23">
        <v>1</v>
      </c>
      <c r="AE399" s="30" t="str">
        <f>VLOOKUP(AD399,[2]Key!$E$20:$F$24,2,FALSE)</f>
        <v>&lt;300,000</v>
      </c>
      <c r="AF399" s="23">
        <v>5</v>
      </c>
      <c r="AG399" s="62">
        <v>4</v>
      </c>
      <c r="AH399" s="62">
        <v>5</v>
      </c>
      <c r="AI399" s="62">
        <v>4</v>
      </c>
      <c r="AJ399" s="62">
        <v>3</v>
      </c>
      <c r="AK399" s="45" t="s">
        <v>94</v>
      </c>
      <c r="AL399" s="36">
        <v>3000</v>
      </c>
      <c r="AM399" t="str">
        <f t="shared" si="28"/>
        <v>3000-5000</v>
      </c>
    </row>
    <row r="400" spans="1:39" x14ac:dyDescent="0.2">
      <c r="A400" s="44" t="s">
        <v>355</v>
      </c>
      <c r="B400" s="60">
        <v>0.63958333333333328</v>
      </c>
      <c r="C400" s="60"/>
      <c r="D400" s="60" t="s">
        <v>165</v>
      </c>
      <c r="E400" s="13">
        <v>2</v>
      </c>
      <c r="F400" s="38" t="str">
        <f>VLOOKUP(E400,[2]Key!$A$17:$B$21,2,FALSE)</f>
        <v>Road Vehicle</v>
      </c>
      <c r="G400" s="61">
        <v>4</v>
      </c>
      <c r="H400" s="39" t="str">
        <f>VLOOKUP(G400,[2]Key!$A$2:$B$13,2,FALSE)</f>
        <v>Minibus</v>
      </c>
      <c r="I400" s="13" t="s">
        <v>108</v>
      </c>
      <c r="J400" s="13">
        <v>3</v>
      </c>
      <c r="K400" s="40" t="str">
        <f>VLOOKUP(J400,[2]Key!$A$24:$B$29,2,FALSE)</f>
        <v>40-49</v>
      </c>
      <c r="L400" s="13" t="s">
        <v>356</v>
      </c>
      <c r="M400" s="23" t="s">
        <v>150</v>
      </c>
      <c r="N400" s="13" t="s">
        <v>357</v>
      </c>
      <c r="O400" s="45">
        <v>2</v>
      </c>
      <c r="P400" s="30" t="str">
        <f>VLOOKUP(O400,[2]Key!$E$2:$F$9,2,FALSE)</f>
        <v>Work</v>
      </c>
      <c r="Q400" s="13" t="s">
        <v>459</v>
      </c>
      <c r="R400" s="23" t="s">
        <v>156</v>
      </c>
      <c r="S400" s="13" t="s">
        <v>357</v>
      </c>
      <c r="T400" s="23">
        <v>1</v>
      </c>
      <c r="U400" s="30" t="str">
        <f>VLOOKUP(T400,[2]Key!$E$2:$F$9,2,FALSE)</f>
        <v>Home</v>
      </c>
      <c r="V400" s="30" t="str">
        <f t="shared" si="25"/>
        <v>Work-Home</v>
      </c>
      <c r="W400" s="23">
        <v>2500</v>
      </c>
      <c r="X400" s="62">
        <v>55</v>
      </c>
      <c r="Y400" s="62" t="str">
        <f t="shared" si="26"/>
        <v>40-70</v>
      </c>
      <c r="Z400" s="62">
        <v>2</v>
      </c>
      <c r="AA400" s="62" t="str">
        <f t="shared" si="27"/>
        <v>2.0-3.5</v>
      </c>
      <c r="AB400" s="23">
        <v>6</v>
      </c>
      <c r="AC400" s="30" t="str">
        <f>VLOOKUP(AB400,[2]Key!$C$20:$D$29,2,FALSE)</f>
        <v>Businessman</v>
      </c>
      <c r="AD400" s="23">
        <v>4</v>
      </c>
      <c r="AE400" s="30" t="str">
        <f>VLOOKUP(AD400,[2]Key!$E$20:$F$24,2,FALSE)</f>
        <v>750,000-1,000,000</v>
      </c>
      <c r="AF400" s="23">
        <v>1</v>
      </c>
      <c r="AG400" s="62">
        <v>1</v>
      </c>
      <c r="AH400" s="62">
        <v>2</v>
      </c>
      <c r="AI400" s="62">
        <v>2</v>
      </c>
      <c r="AJ400" s="62">
        <v>1</v>
      </c>
      <c r="AK400" s="45" t="s">
        <v>94</v>
      </c>
      <c r="AL400" s="36">
        <v>1000</v>
      </c>
      <c r="AM400" t="str">
        <f t="shared" si="28"/>
        <v>1000-2000</v>
      </c>
    </row>
    <row r="401" spans="1:39" x14ac:dyDescent="0.2">
      <c r="A401" s="44" t="s">
        <v>355</v>
      </c>
      <c r="B401" s="60">
        <v>0.72777777777777775</v>
      </c>
      <c r="C401" s="60"/>
      <c r="D401" s="60" t="s">
        <v>96</v>
      </c>
      <c r="E401" s="13">
        <v>2</v>
      </c>
      <c r="F401" s="38" t="str">
        <f>VLOOKUP(E401,[2]Key!$A$17:$B$21,2,FALSE)</f>
        <v>Road Vehicle</v>
      </c>
      <c r="G401" s="61">
        <v>4</v>
      </c>
      <c r="H401" s="39" t="str">
        <f>VLOOKUP(G401,[2]Key!$A$2:$B$13,2,FALSE)</f>
        <v>Minibus</v>
      </c>
      <c r="I401" s="13" t="s">
        <v>108</v>
      </c>
      <c r="J401" s="13">
        <v>3</v>
      </c>
      <c r="K401" s="40" t="str">
        <f>VLOOKUP(J401,[2]Key!$A$24:$B$29,2,FALSE)</f>
        <v>40-49</v>
      </c>
      <c r="L401" s="13" t="s">
        <v>356</v>
      </c>
      <c r="M401" s="23" t="s">
        <v>150</v>
      </c>
      <c r="N401" s="13" t="s">
        <v>357</v>
      </c>
      <c r="O401" s="45">
        <v>2</v>
      </c>
      <c r="P401" s="30" t="s">
        <v>65</v>
      </c>
      <c r="Q401" s="13" t="s">
        <v>262</v>
      </c>
      <c r="R401" s="23" t="s">
        <v>156</v>
      </c>
      <c r="S401" s="13" t="s">
        <v>357</v>
      </c>
      <c r="T401" s="23">
        <v>2</v>
      </c>
      <c r="U401" s="30" t="str">
        <f>VLOOKUP(T401,[2]Key!$E$2:$F$9,2,FALSE)</f>
        <v>Work</v>
      </c>
      <c r="V401" s="30" t="str">
        <f t="shared" si="25"/>
        <v>Work-Work</v>
      </c>
      <c r="W401" s="23">
        <v>30000</v>
      </c>
      <c r="X401" s="62">
        <v>45</v>
      </c>
      <c r="Y401" s="62" t="str">
        <f t="shared" si="26"/>
        <v>40-70</v>
      </c>
      <c r="Z401" s="62">
        <v>2.5</v>
      </c>
      <c r="AA401" s="62" t="str">
        <f t="shared" si="27"/>
        <v>2.0-3.5</v>
      </c>
      <c r="AB401" s="23">
        <v>5</v>
      </c>
      <c r="AC401" s="30" t="str">
        <f>VLOOKUP(AB401,[2]Key!$C$20:$D$29,2,FALSE)</f>
        <v>Professional</v>
      </c>
      <c r="AD401" s="23">
        <v>4</v>
      </c>
      <c r="AE401" s="30" t="str">
        <f>VLOOKUP(AD401,[2]Key!$E$20:$F$24,2,FALSE)</f>
        <v>750,000-1,000,000</v>
      </c>
      <c r="AF401" s="23">
        <v>1</v>
      </c>
      <c r="AG401" s="62">
        <v>2</v>
      </c>
      <c r="AH401" s="62">
        <v>1</v>
      </c>
      <c r="AI401" s="62">
        <v>1</v>
      </c>
      <c r="AJ401" s="62">
        <v>1</v>
      </c>
      <c r="AK401" s="45" t="s">
        <v>94</v>
      </c>
      <c r="AL401" s="36">
        <v>1000</v>
      </c>
      <c r="AM401" t="str">
        <f t="shared" si="28"/>
        <v>1000-2000</v>
      </c>
    </row>
    <row r="402" spans="1:39" x14ac:dyDescent="0.2">
      <c r="A402" s="44" t="s">
        <v>355</v>
      </c>
      <c r="B402" s="60">
        <v>0.30902777777777779</v>
      </c>
      <c r="C402" s="60"/>
      <c r="D402" s="60" t="s">
        <v>96</v>
      </c>
      <c r="E402" s="13">
        <v>2</v>
      </c>
      <c r="F402" s="38" t="str">
        <f>VLOOKUP(E402,[2]Key!$A$17:$B$21,2,FALSE)</f>
        <v>Road Vehicle</v>
      </c>
      <c r="G402" s="61">
        <v>4</v>
      </c>
      <c r="H402" s="39" t="str">
        <f>VLOOKUP(G402,[2]Key!$A$2:$B$13,2,FALSE)</f>
        <v>Minibus</v>
      </c>
      <c r="I402" s="13" t="s">
        <v>108</v>
      </c>
      <c r="J402" s="13">
        <v>3</v>
      </c>
      <c r="K402" s="40" t="str">
        <f>VLOOKUP(J402,[2]Key!$A$24:$B$29,2,FALSE)</f>
        <v>40-49</v>
      </c>
      <c r="L402" s="13" t="s">
        <v>356</v>
      </c>
      <c r="M402" s="23" t="s">
        <v>150</v>
      </c>
      <c r="N402" s="13" t="s">
        <v>357</v>
      </c>
      <c r="O402" s="45">
        <v>4</v>
      </c>
      <c r="P402" s="30" t="str">
        <f>VLOOKUP(O402,[2]Key!$E$2:$F$9,2,FALSE)</f>
        <v>Commercial</v>
      </c>
      <c r="Q402" s="13" t="s">
        <v>460</v>
      </c>
      <c r="R402" s="23" t="s">
        <v>188</v>
      </c>
      <c r="S402" s="13" t="s">
        <v>357</v>
      </c>
      <c r="T402" s="23">
        <v>4</v>
      </c>
      <c r="U402" s="30" t="str">
        <f>VLOOKUP(T402,[2]Key!$E$2:$F$9,2,FALSE)</f>
        <v>Commercial</v>
      </c>
      <c r="V402" s="30" t="str">
        <f t="shared" si="25"/>
        <v>Commercial-Commercial</v>
      </c>
      <c r="W402" s="23">
        <v>40000</v>
      </c>
      <c r="X402" s="62">
        <v>130</v>
      </c>
      <c r="Y402" s="62" t="str">
        <f t="shared" si="26"/>
        <v>100-200</v>
      </c>
      <c r="Z402" s="62">
        <v>2.5</v>
      </c>
      <c r="AA402" s="62" t="str">
        <f t="shared" si="27"/>
        <v>2.0-3.5</v>
      </c>
      <c r="AB402" s="23">
        <v>5</v>
      </c>
      <c r="AC402" s="30" t="str">
        <f>VLOOKUP(AB402,[2]Key!$C$20:$D$29,2,FALSE)</f>
        <v>Professional</v>
      </c>
      <c r="AD402" s="23">
        <v>1</v>
      </c>
      <c r="AE402" s="30" t="str">
        <f>VLOOKUP(AD402,[2]Key!$E$20:$F$24,2,FALSE)</f>
        <v>&lt;300,000</v>
      </c>
      <c r="AF402" s="23">
        <v>5</v>
      </c>
      <c r="AG402" s="62">
        <v>1</v>
      </c>
      <c r="AH402" s="62">
        <v>1</v>
      </c>
      <c r="AI402" s="62">
        <v>2</v>
      </c>
      <c r="AJ402" s="62">
        <v>1</v>
      </c>
      <c r="AK402" s="45" t="s">
        <v>94</v>
      </c>
      <c r="AL402" s="36">
        <v>1000</v>
      </c>
      <c r="AM402" t="str">
        <f t="shared" si="28"/>
        <v>1000-2000</v>
      </c>
    </row>
    <row r="403" spans="1:39" x14ac:dyDescent="0.2">
      <c r="A403" s="44" t="s">
        <v>355</v>
      </c>
      <c r="B403" s="60">
        <v>0.70138888888888884</v>
      </c>
      <c r="C403" s="60"/>
      <c r="D403" s="60" t="s">
        <v>165</v>
      </c>
      <c r="E403" s="13">
        <v>2</v>
      </c>
      <c r="F403" s="38" t="str">
        <f>VLOOKUP(E403,[2]Key!$A$17:$B$21,2,FALSE)</f>
        <v>Road Vehicle</v>
      </c>
      <c r="G403" s="61">
        <v>4</v>
      </c>
      <c r="H403" s="39" t="str">
        <f>VLOOKUP(G403,[2]Key!$A$2:$B$13,2,FALSE)</f>
        <v>Minibus</v>
      </c>
      <c r="I403" s="13" t="s">
        <v>108</v>
      </c>
      <c r="J403" s="13">
        <v>3</v>
      </c>
      <c r="K403" s="40" t="str">
        <f>VLOOKUP(J403,[2]Key!$A$24:$B$29,2,FALSE)</f>
        <v>40-49</v>
      </c>
      <c r="L403" s="13" t="s">
        <v>356</v>
      </c>
      <c r="M403" s="23" t="s">
        <v>150</v>
      </c>
      <c r="N403" s="13" t="s">
        <v>357</v>
      </c>
      <c r="O403" s="45">
        <v>2</v>
      </c>
      <c r="P403" s="30" t="str">
        <f>VLOOKUP(O403,[2]Key!$E$2:$F$9,2,FALSE)</f>
        <v>Work</v>
      </c>
      <c r="Q403" s="13" t="s">
        <v>447</v>
      </c>
      <c r="R403" s="23" t="s">
        <v>156</v>
      </c>
      <c r="S403" s="13" t="s">
        <v>357</v>
      </c>
      <c r="T403" s="23">
        <v>2</v>
      </c>
      <c r="U403" s="30" t="str">
        <f>VLOOKUP(T403,[2]Key!$E$2:$F$9,2,FALSE)</f>
        <v>Work</v>
      </c>
      <c r="V403" s="30" t="str">
        <f t="shared" si="25"/>
        <v>Work-Work</v>
      </c>
      <c r="W403" s="23">
        <v>3500</v>
      </c>
      <c r="X403" s="62">
        <v>50</v>
      </c>
      <c r="Y403" s="62" t="str">
        <f t="shared" si="26"/>
        <v>40-70</v>
      </c>
      <c r="Z403" s="62">
        <v>2.5</v>
      </c>
      <c r="AA403" s="62" t="str">
        <f t="shared" si="27"/>
        <v>2.0-3.5</v>
      </c>
      <c r="AB403" s="23">
        <v>5</v>
      </c>
      <c r="AC403" s="30" t="str">
        <f>VLOOKUP(AB403,[2]Key!$C$20:$D$29,2,FALSE)</f>
        <v>Professional</v>
      </c>
      <c r="AD403" s="23">
        <v>3</v>
      </c>
      <c r="AE403" s="30" t="str">
        <f>VLOOKUP(AD403,[2]Key!$E$20:$F$24,2,FALSE)</f>
        <v>500,000-750,000</v>
      </c>
      <c r="AF403" s="23">
        <v>2</v>
      </c>
      <c r="AG403" s="62">
        <v>1</v>
      </c>
      <c r="AH403" s="62">
        <v>2</v>
      </c>
      <c r="AI403" s="62">
        <v>1</v>
      </c>
      <c r="AJ403" s="62">
        <v>2</v>
      </c>
      <c r="AK403" s="45" t="s">
        <v>94</v>
      </c>
      <c r="AL403" s="36">
        <v>500</v>
      </c>
      <c r="AM403" t="str">
        <f t="shared" si="28"/>
        <v>0-1000</v>
      </c>
    </row>
    <row r="404" spans="1:39" x14ac:dyDescent="0.2">
      <c r="A404" s="44" t="s">
        <v>355</v>
      </c>
      <c r="B404" s="60">
        <v>0.41319444444444442</v>
      </c>
      <c r="C404" s="60"/>
      <c r="D404" s="60" t="s">
        <v>96</v>
      </c>
      <c r="E404" s="13">
        <v>2</v>
      </c>
      <c r="F404" s="38" t="str">
        <f>VLOOKUP(E404,[2]Key!$A$17:$B$21,2,FALSE)</f>
        <v>Road Vehicle</v>
      </c>
      <c r="G404" s="61">
        <v>4</v>
      </c>
      <c r="H404" s="39" t="str">
        <f>VLOOKUP(G404,[2]Key!$A$2:$B$13,2,FALSE)</f>
        <v>Minibus</v>
      </c>
      <c r="I404" s="13" t="s">
        <v>108</v>
      </c>
      <c r="J404" s="13">
        <v>3</v>
      </c>
      <c r="K404" s="40" t="str">
        <f>VLOOKUP(J404,[2]Key!$A$24:$B$29,2,FALSE)</f>
        <v>40-49</v>
      </c>
      <c r="L404" s="13" t="s">
        <v>356</v>
      </c>
      <c r="M404" s="23" t="s">
        <v>150</v>
      </c>
      <c r="N404" s="13" t="s">
        <v>357</v>
      </c>
      <c r="O404" s="45">
        <v>2</v>
      </c>
      <c r="P404" s="30" t="str">
        <f>VLOOKUP(O404,[2]Key!$E$2:$F$9,2,FALSE)</f>
        <v>Work</v>
      </c>
      <c r="Q404" s="13" t="s">
        <v>386</v>
      </c>
      <c r="R404" s="23" t="s">
        <v>157</v>
      </c>
      <c r="S404" s="13" t="s">
        <v>357</v>
      </c>
      <c r="T404" s="23">
        <v>2</v>
      </c>
      <c r="U404" s="30" t="str">
        <f>VLOOKUP(T404,[2]Key!$E$2:$F$9,2,FALSE)</f>
        <v>Work</v>
      </c>
      <c r="V404" s="30" t="str">
        <f t="shared" si="25"/>
        <v>Work-Work</v>
      </c>
      <c r="W404" s="41">
        <v>150000</v>
      </c>
      <c r="X404" s="62">
        <v>80</v>
      </c>
      <c r="Y404" s="62" t="str">
        <f t="shared" si="26"/>
        <v>70-100</v>
      </c>
      <c r="Z404" s="62">
        <v>3</v>
      </c>
      <c r="AA404" s="62" t="str">
        <f t="shared" si="27"/>
        <v>2.0-3.5</v>
      </c>
      <c r="AB404" s="23">
        <v>5</v>
      </c>
      <c r="AC404" s="30" t="str">
        <f>VLOOKUP(AB404,[2]Key!$C$20:$D$29,2,FALSE)</f>
        <v>Professional</v>
      </c>
      <c r="AD404" s="23">
        <v>4</v>
      </c>
      <c r="AE404" s="30" t="str">
        <f>VLOOKUP(AD404,[2]Key!$E$20:$F$24,2,FALSE)</f>
        <v>750,000-1,000,000</v>
      </c>
      <c r="AF404" s="23">
        <v>1</v>
      </c>
      <c r="AG404" s="62">
        <v>1</v>
      </c>
      <c r="AH404" s="62">
        <v>1</v>
      </c>
      <c r="AI404" s="62">
        <v>2</v>
      </c>
      <c r="AJ404" s="62">
        <v>1</v>
      </c>
      <c r="AK404" s="45" t="s">
        <v>94</v>
      </c>
      <c r="AL404" s="36">
        <v>500</v>
      </c>
      <c r="AM404" t="str">
        <f t="shared" si="28"/>
        <v>0-1000</v>
      </c>
    </row>
    <row r="405" spans="1:39" x14ac:dyDescent="0.2">
      <c r="A405" s="44" t="s">
        <v>355</v>
      </c>
      <c r="B405" s="60">
        <v>0.43055555555555558</v>
      </c>
      <c r="C405" s="60"/>
      <c r="D405" s="60" t="s">
        <v>96</v>
      </c>
      <c r="E405" s="13">
        <v>2</v>
      </c>
      <c r="F405" s="38" t="str">
        <f>VLOOKUP(E405,[2]Key!$A$17:$B$21,2,FALSE)</f>
        <v>Road Vehicle</v>
      </c>
      <c r="G405" s="61">
        <v>4</v>
      </c>
      <c r="H405" s="39" t="str">
        <f>VLOOKUP(G405,[2]Key!$A$2:$B$13,2,FALSE)</f>
        <v>Minibus</v>
      </c>
      <c r="I405" s="13" t="s">
        <v>108</v>
      </c>
      <c r="J405" s="13">
        <v>3</v>
      </c>
      <c r="K405" s="40" t="str">
        <f>VLOOKUP(J405,[2]Key!$A$24:$B$29,2,FALSE)</f>
        <v>40-49</v>
      </c>
      <c r="L405" s="13" t="s">
        <v>356</v>
      </c>
      <c r="M405" s="23" t="s">
        <v>150</v>
      </c>
      <c r="N405" s="13" t="s">
        <v>357</v>
      </c>
      <c r="O405" s="45">
        <v>2</v>
      </c>
      <c r="P405" s="30" t="str">
        <f>VLOOKUP(O405,[2]Key!$E$2:$F$9,2,FALSE)</f>
        <v>Work</v>
      </c>
      <c r="Q405" s="13" t="s">
        <v>420</v>
      </c>
      <c r="R405" s="23" t="s">
        <v>156</v>
      </c>
      <c r="S405" s="13" t="s">
        <v>357</v>
      </c>
      <c r="T405" s="23">
        <v>2</v>
      </c>
      <c r="U405" s="30" t="str">
        <f>VLOOKUP(T405,[2]Key!$E$2:$F$9,2,FALSE)</f>
        <v>Work</v>
      </c>
      <c r="V405" s="30" t="str">
        <f t="shared" si="25"/>
        <v>Work-Work</v>
      </c>
      <c r="W405" s="41">
        <v>30000</v>
      </c>
      <c r="X405" s="62">
        <v>49</v>
      </c>
      <c r="Y405" s="62" t="str">
        <f t="shared" si="26"/>
        <v>40-70</v>
      </c>
      <c r="Z405" s="62">
        <v>3</v>
      </c>
      <c r="AA405" s="62" t="str">
        <f t="shared" si="27"/>
        <v>2.0-3.5</v>
      </c>
      <c r="AB405" s="23">
        <v>5</v>
      </c>
      <c r="AC405" s="30" t="str">
        <f>VLOOKUP(AB405,[2]Key!$C$20:$D$29,2,FALSE)</f>
        <v>Professional</v>
      </c>
      <c r="AD405" s="23">
        <v>5</v>
      </c>
      <c r="AE405" s="30" t="str">
        <f>VLOOKUP(AD405,[2]Key!$E$20:$F$24,2,FALSE)</f>
        <v>&gt;1,000,000</v>
      </c>
      <c r="AF405" s="23">
        <v>5</v>
      </c>
      <c r="AG405" s="62">
        <v>1</v>
      </c>
      <c r="AH405" s="62">
        <v>2</v>
      </c>
      <c r="AI405" s="62">
        <v>1</v>
      </c>
      <c r="AJ405" s="62">
        <v>2</v>
      </c>
      <c r="AK405" s="45" t="s">
        <v>94</v>
      </c>
      <c r="AL405" s="36">
        <v>1000</v>
      </c>
      <c r="AM405" t="str">
        <f t="shared" si="28"/>
        <v>1000-2000</v>
      </c>
    </row>
    <row r="406" spans="1:39" x14ac:dyDescent="0.2">
      <c r="A406" s="44" t="s">
        <v>355</v>
      </c>
      <c r="B406" s="60">
        <v>0.52361111111111114</v>
      </c>
      <c r="C406" s="60"/>
      <c r="D406" s="60" t="s">
        <v>96</v>
      </c>
      <c r="E406" s="13">
        <v>2</v>
      </c>
      <c r="F406" s="38" t="str">
        <f>VLOOKUP(E406,[2]Key!$A$17:$B$21,2,FALSE)</f>
        <v>Road Vehicle</v>
      </c>
      <c r="G406" s="61">
        <v>4</v>
      </c>
      <c r="H406" s="39" t="str">
        <f>VLOOKUP(G406,[2]Key!$A$2:$B$13,2,FALSE)</f>
        <v>Minibus</v>
      </c>
      <c r="I406" s="13" t="s">
        <v>108</v>
      </c>
      <c r="J406" s="13">
        <v>3</v>
      </c>
      <c r="K406" s="40" t="str">
        <f>VLOOKUP(J406,[2]Key!$A$24:$B$29,2,FALSE)</f>
        <v>40-49</v>
      </c>
      <c r="L406" s="13" t="s">
        <v>356</v>
      </c>
      <c r="M406" s="23" t="s">
        <v>150</v>
      </c>
      <c r="N406" s="13" t="s">
        <v>357</v>
      </c>
      <c r="O406" s="45">
        <v>4</v>
      </c>
      <c r="P406" s="30" t="str">
        <f>VLOOKUP(O406,[2]Key!$E$2:$F$9,2,FALSE)</f>
        <v>Commercial</v>
      </c>
      <c r="Q406" s="13" t="s">
        <v>428</v>
      </c>
      <c r="R406" s="23" t="s">
        <v>429</v>
      </c>
      <c r="S406" s="13" t="s">
        <v>357</v>
      </c>
      <c r="T406" s="23">
        <v>4</v>
      </c>
      <c r="U406" s="30" t="str">
        <f>VLOOKUP(T406,[2]Key!$E$2:$F$9,2,FALSE)</f>
        <v>Commercial</v>
      </c>
      <c r="V406" s="30" t="str">
        <f t="shared" si="25"/>
        <v>Commercial-Commercial</v>
      </c>
      <c r="W406" s="23">
        <v>20000</v>
      </c>
      <c r="X406" s="62">
        <v>230</v>
      </c>
      <c r="Y406" s="62" t="str">
        <f t="shared" si="26"/>
        <v>Over 200</v>
      </c>
      <c r="Z406" s="62">
        <v>3</v>
      </c>
      <c r="AA406" s="62" t="str">
        <f t="shared" si="27"/>
        <v>2.0-3.5</v>
      </c>
      <c r="AB406" s="23">
        <v>5</v>
      </c>
      <c r="AC406" s="30" t="str">
        <f>VLOOKUP(AB406,[2]Key!$C$20:$D$29,2,FALSE)</f>
        <v>Professional</v>
      </c>
      <c r="AD406" s="23">
        <v>2</v>
      </c>
      <c r="AE406" s="30" t="str">
        <f>VLOOKUP(AD406,[2]Key!$E$20:$F$24,2,FALSE)</f>
        <v>300,000-500,000</v>
      </c>
      <c r="AF406" s="23">
        <v>5</v>
      </c>
      <c r="AG406" s="62">
        <v>5</v>
      </c>
      <c r="AH406" s="62">
        <v>1</v>
      </c>
      <c r="AI406" s="62">
        <v>5</v>
      </c>
      <c r="AJ406" s="62">
        <v>5</v>
      </c>
      <c r="AK406" s="45" t="s">
        <v>94</v>
      </c>
      <c r="AL406" s="36">
        <v>2000</v>
      </c>
      <c r="AM406" t="str">
        <f t="shared" si="28"/>
        <v>2000-3000</v>
      </c>
    </row>
    <row r="407" spans="1:39" x14ac:dyDescent="0.2">
      <c r="A407" s="44" t="s">
        <v>355</v>
      </c>
      <c r="B407" s="60">
        <v>0.58333333333333337</v>
      </c>
      <c r="C407" s="60"/>
      <c r="D407" s="60" t="s">
        <v>96</v>
      </c>
      <c r="E407" s="13">
        <v>2</v>
      </c>
      <c r="F407" s="38" t="str">
        <f>VLOOKUP(E407,[2]Key!$A$17:$B$21,2,FALSE)</f>
        <v>Road Vehicle</v>
      </c>
      <c r="G407" s="61">
        <v>4</v>
      </c>
      <c r="H407" s="39" t="str">
        <f>VLOOKUP(G407,[2]Key!$A$2:$B$13,2,FALSE)</f>
        <v>Minibus</v>
      </c>
      <c r="I407" s="13" t="s">
        <v>108</v>
      </c>
      <c r="J407" s="13">
        <v>3</v>
      </c>
      <c r="K407" s="40" t="str">
        <f>VLOOKUP(J407,[2]Key!$A$24:$B$29,2,FALSE)</f>
        <v>40-49</v>
      </c>
      <c r="L407" s="13" t="s">
        <v>356</v>
      </c>
      <c r="M407" s="23" t="s">
        <v>150</v>
      </c>
      <c r="N407" s="13" t="s">
        <v>357</v>
      </c>
      <c r="O407" s="45">
        <v>2</v>
      </c>
      <c r="P407" s="30" t="str">
        <f>VLOOKUP(O407,[2]Key!$E$2:$F$9,2,FALSE)</f>
        <v>Work</v>
      </c>
      <c r="Q407" s="13" t="s">
        <v>387</v>
      </c>
      <c r="R407" s="23" t="s">
        <v>388</v>
      </c>
      <c r="S407" s="13" t="s">
        <v>357</v>
      </c>
      <c r="T407" s="23">
        <v>8</v>
      </c>
      <c r="U407" s="30" t="str">
        <f>VLOOKUP(T407,[2]Key!$E$2:$F$9,2,FALSE)</f>
        <v>Others</v>
      </c>
      <c r="V407" s="30" t="str">
        <f t="shared" si="25"/>
        <v>Work-Others</v>
      </c>
      <c r="W407" s="23">
        <v>24000</v>
      </c>
      <c r="X407" s="62">
        <v>40</v>
      </c>
      <c r="Y407" s="62" t="str">
        <f t="shared" si="26"/>
        <v>40-70</v>
      </c>
      <c r="Z407" s="62">
        <v>3.5</v>
      </c>
      <c r="AA407" s="62" t="str">
        <f t="shared" si="27"/>
        <v>Over 3.5</v>
      </c>
      <c r="AB407" s="23">
        <v>10</v>
      </c>
      <c r="AC407" s="30" t="str">
        <f>VLOOKUP(AB407,[2]Key!$C$20:$D$29,2,FALSE)</f>
        <v>Other</v>
      </c>
      <c r="AD407" s="23">
        <v>2</v>
      </c>
      <c r="AE407" s="30" t="str">
        <f>VLOOKUP(AD407,[2]Key!$E$20:$F$24,2,FALSE)</f>
        <v>300,000-500,000</v>
      </c>
      <c r="AF407" s="23">
        <v>5</v>
      </c>
      <c r="AG407" s="62">
        <v>4</v>
      </c>
      <c r="AH407" s="62">
        <v>5</v>
      </c>
      <c r="AI407" s="62">
        <v>2</v>
      </c>
      <c r="AJ407" s="62">
        <v>2</v>
      </c>
      <c r="AK407" s="45" t="s">
        <v>94</v>
      </c>
      <c r="AL407" s="36"/>
      <c r="AM407" t="str">
        <f t="shared" si="28"/>
        <v>0-1000</v>
      </c>
    </row>
    <row r="408" spans="1:39" x14ac:dyDescent="0.2">
      <c r="A408" s="44" t="s">
        <v>355</v>
      </c>
      <c r="B408" s="60">
        <v>0.55555555555555558</v>
      </c>
      <c r="C408" s="60" t="s">
        <v>461</v>
      </c>
      <c r="D408" s="60" t="s">
        <v>96</v>
      </c>
      <c r="E408" s="13">
        <v>2</v>
      </c>
      <c r="F408" s="38" t="str">
        <f>VLOOKUP(E408,[2]Key!$A$17:$B$21,2,FALSE)</f>
        <v>Road Vehicle</v>
      </c>
      <c r="G408" s="61">
        <v>4</v>
      </c>
      <c r="H408" s="39" t="str">
        <f>VLOOKUP(G408,[2]Key!$A$2:$B$13,2,FALSE)</f>
        <v>Minibus</v>
      </c>
      <c r="I408" s="13" t="s">
        <v>108</v>
      </c>
      <c r="J408" s="13">
        <v>3</v>
      </c>
      <c r="K408" s="40" t="str">
        <f>VLOOKUP(J408,[2]Key!$A$24:$B$29,2,FALSE)</f>
        <v>40-49</v>
      </c>
      <c r="L408" s="13" t="s">
        <v>356</v>
      </c>
      <c r="M408" s="23" t="s">
        <v>150</v>
      </c>
      <c r="N408" s="13" t="s">
        <v>357</v>
      </c>
      <c r="O408" s="45">
        <v>2</v>
      </c>
      <c r="P408" s="30" t="str">
        <f>VLOOKUP(O408,[2]Key!$E$2:$F$9,2,FALSE)</f>
        <v>Work</v>
      </c>
      <c r="Q408" s="13" t="s">
        <v>389</v>
      </c>
      <c r="R408" s="23" t="s">
        <v>157</v>
      </c>
      <c r="S408" s="13" t="s">
        <v>357</v>
      </c>
      <c r="T408" s="23">
        <v>8</v>
      </c>
      <c r="U408" s="30" t="str">
        <f>VLOOKUP(T408,[2]Key!$E$2:$F$9,2,FALSE)</f>
        <v>Others</v>
      </c>
      <c r="V408" s="30" t="str">
        <f t="shared" si="25"/>
        <v>Work-Others</v>
      </c>
      <c r="W408" s="23">
        <v>150000</v>
      </c>
      <c r="X408" s="62">
        <v>80</v>
      </c>
      <c r="Y408" s="62" t="str">
        <f t="shared" si="26"/>
        <v>70-100</v>
      </c>
      <c r="Z408" s="62">
        <v>3.5</v>
      </c>
      <c r="AA408" s="62" t="str">
        <f t="shared" si="27"/>
        <v>Over 3.5</v>
      </c>
      <c r="AB408" s="23">
        <v>10</v>
      </c>
      <c r="AC408" s="30" t="str">
        <f>VLOOKUP(AB408,[2]Key!$C$20:$D$29,2,FALSE)</f>
        <v>Other</v>
      </c>
      <c r="AD408" s="23">
        <v>1</v>
      </c>
      <c r="AE408" s="30" t="str">
        <f>VLOOKUP(AD408,[2]Key!$E$20:$F$24,2,FALSE)</f>
        <v>&lt;300,000</v>
      </c>
      <c r="AF408" s="23">
        <v>5</v>
      </c>
      <c r="AG408" s="62">
        <v>4</v>
      </c>
      <c r="AH408" s="62">
        <v>2</v>
      </c>
      <c r="AI408" s="62">
        <v>2</v>
      </c>
      <c r="AJ408" s="62">
        <v>2</v>
      </c>
      <c r="AK408" s="45" t="s">
        <v>94</v>
      </c>
      <c r="AL408" s="36">
        <v>2000</v>
      </c>
      <c r="AM408" t="str">
        <f t="shared" si="28"/>
        <v>2000-3000</v>
      </c>
    </row>
    <row r="409" spans="1:39" x14ac:dyDescent="0.2">
      <c r="A409" s="44" t="s">
        <v>355</v>
      </c>
      <c r="B409" s="60">
        <v>0.7729166666666667</v>
      </c>
      <c r="C409" s="60" t="s">
        <v>462</v>
      </c>
      <c r="D409" s="60" t="s">
        <v>96</v>
      </c>
      <c r="E409" s="13">
        <v>2</v>
      </c>
      <c r="F409" s="38" t="str">
        <f>VLOOKUP(E409,[2]Key!$A$17:$B$21,2,FALSE)</f>
        <v>Road Vehicle</v>
      </c>
      <c r="G409" s="61">
        <v>4</v>
      </c>
      <c r="H409" s="39" t="str">
        <f>VLOOKUP(G409,[2]Key!$A$2:$B$13,2,FALSE)</f>
        <v>Minibus</v>
      </c>
      <c r="I409" s="13" t="s">
        <v>108</v>
      </c>
      <c r="J409" s="13">
        <v>3</v>
      </c>
      <c r="K409" s="40" t="str">
        <f>VLOOKUP(J409,[2]Key!$A$24:$B$29,2,FALSE)</f>
        <v>40-49</v>
      </c>
      <c r="L409" s="13" t="s">
        <v>356</v>
      </c>
      <c r="M409" s="23" t="s">
        <v>150</v>
      </c>
      <c r="N409" s="13" t="s">
        <v>357</v>
      </c>
      <c r="O409" s="45">
        <v>2</v>
      </c>
      <c r="P409" s="30" t="str">
        <f>VLOOKUP(O409,[2]Key!$E$2:$F$9,2,FALSE)</f>
        <v>Work</v>
      </c>
      <c r="Q409" s="13" t="s">
        <v>386</v>
      </c>
      <c r="R409" s="23" t="s">
        <v>157</v>
      </c>
      <c r="S409" s="13" t="s">
        <v>357</v>
      </c>
      <c r="T409" s="23">
        <v>8</v>
      </c>
      <c r="U409" s="30" t="str">
        <f>VLOOKUP(T409,[2]Key!$E$2:$F$9,2,FALSE)</f>
        <v>Others</v>
      </c>
      <c r="V409" s="30" t="str">
        <f t="shared" si="25"/>
        <v>Work-Others</v>
      </c>
      <c r="W409" s="23">
        <v>150000</v>
      </c>
      <c r="X409" s="62">
        <v>80</v>
      </c>
      <c r="Y409" s="62" t="str">
        <f t="shared" si="26"/>
        <v>70-100</v>
      </c>
      <c r="Z409" s="62">
        <v>3.5</v>
      </c>
      <c r="AA409" s="62" t="str">
        <f t="shared" si="27"/>
        <v>Over 3.5</v>
      </c>
      <c r="AB409" s="23">
        <v>10</v>
      </c>
      <c r="AC409" s="30" t="str">
        <f>VLOOKUP(AB409,[2]Key!$C$20:$D$29,2,FALSE)</f>
        <v>Other</v>
      </c>
      <c r="AD409" s="23">
        <v>2</v>
      </c>
      <c r="AE409" s="30" t="str">
        <f>VLOOKUP(AD409,[2]Key!$E$20:$F$24,2,FALSE)</f>
        <v>300,000-500,000</v>
      </c>
      <c r="AF409" s="23">
        <v>5</v>
      </c>
      <c r="AG409" s="62">
        <v>4</v>
      </c>
      <c r="AH409" s="62">
        <v>5</v>
      </c>
      <c r="AI409" s="62">
        <v>2</v>
      </c>
      <c r="AJ409" s="62">
        <v>1</v>
      </c>
      <c r="AK409" s="45" t="s">
        <v>94</v>
      </c>
      <c r="AL409" s="36">
        <v>2000</v>
      </c>
      <c r="AM409" t="str">
        <f t="shared" si="28"/>
        <v>2000-3000</v>
      </c>
    </row>
    <row r="410" spans="1:39" x14ac:dyDescent="0.2">
      <c r="A410" s="44" t="s">
        <v>355</v>
      </c>
      <c r="B410" s="60">
        <v>0.32083333333333336</v>
      </c>
      <c r="C410" s="60"/>
      <c r="D410" s="60" t="s">
        <v>96</v>
      </c>
      <c r="E410" s="13">
        <v>2</v>
      </c>
      <c r="F410" s="38" t="str">
        <f>VLOOKUP(E410,[2]Key!$A$17:$B$21,2,FALSE)</f>
        <v>Road Vehicle</v>
      </c>
      <c r="G410" s="61">
        <v>4</v>
      </c>
      <c r="H410" s="39" t="str">
        <f>VLOOKUP(G410,[2]Key!$A$2:$B$13,2,FALSE)</f>
        <v>Minibus</v>
      </c>
      <c r="I410" s="13" t="s">
        <v>108</v>
      </c>
      <c r="J410" s="13">
        <v>3</v>
      </c>
      <c r="K410" s="40" t="str">
        <f>VLOOKUP(J410,[2]Key!$A$24:$B$29,2,FALSE)</f>
        <v>40-49</v>
      </c>
      <c r="L410" s="13" t="s">
        <v>356</v>
      </c>
      <c r="M410" s="23" t="s">
        <v>150</v>
      </c>
      <c r="N410" s="13" t="s">
        <v>357</v>
      </c>
      <c r="O410" s="45">
        <v>2</v>
      </c>
      <c r="P410" s="30" t="str">
        <f>VLOOKUP(O410,[2]Key!$E$2:$F$9,2,FALSE)</f>
        <v>Work</v>
      </c>
      <c r="Q410" s="13" t="s">
        <v>463</v>
      </c>
      <c r="R410" s="23" t="s">
        <v>195</v>
      </c>
      <c r="S410" s="13" t="s">
        <v>357</v>
      </c>
      <c r="T410" s="23">
        <v>2</v>
      </c>
      <c r="U410" s="30" t="str">
        <f>VLOOKUP(T410,[2]Key!$E$2:$F$9,2,FALSE)</f>
        <v>Work</v>
      </c>
      <c r="V410" s="30" t="str">
        <f t="shared" si="25"/>
        <v>Work-Work</v>
      </c>
      <c r="W410" s="41">
        <v>250000</v>
      </c>
      <c r="X410" s="62">
        <v>500</v>
      </c>
      <c r="Y410" s="62" t="str">
        <f t="shared" si="26"/>
        <v>Over 200</v>
      </c>
      <c r="Z410" s="62">
        <v>4</v>
      </c>
      <c r="AA410" s="62" t="str">
        <f t="shared" si="27"/>
        <v>Over 3.5</v>
      </c>
      <c r="AB410" s="23">
        <v>5</v>
      </c>
      <c r="AC410" s="30" t="str">
        <f>VLOOKUP(AB410,[2]Key!$C$20:$D$29,2,FALSE)</f>
        <v>Professional</v>
      </c>
      <c r="AD410" s="23">
        <v>4</v>
      </c>
      <c r="AE410" s="30" t="str">
        <f>VLOOKUP(AD410,[2]Key!$E$20:$F$24,2,FALSE)</f>
        <v>750,000-1,000,000</v>
      </c>
      <c r="AF410" s="23">
        <v>1</v>
      </c>
      <c r="AG410" s="62">
        <v>2</v>
      </c>
      <c r="AH410" s="62">
        <v>1</v>
      </c>
      <c r="AI410" s="62">
        <v>2</v>
      </c>
      <c r="AJ410" s="62">
        <v>1</v>
      </c>
      <c r="AK410" s="45" t="s">
        <v>94</v>
      </c>
      <c r="AL410" s="36">
        <v>1000</v>
      </c>
      <c r="AM410" t="str">
        <f t="shared" si="28"/>
        <v>1000-2000</v>
      </c>
    </row>
    <row r="411" spans="1:39" x14ac:dyDescent="0.2">
      <c r="A411" s="44" t="s">
        <v>355</v>
      </c>
      <c r="B411" s="60">
        <v>0.4284722222222222</v>
      </c>
      <c r="C411" s="60"/>
      <c r="D411" s="60" t="s">
        <v>96</v>
      </c>
      <c r="E411" s="13">
        <v>2</v>
      </c>
      <c r="F411" s="38" t="str">
        <f>VLOOKUP(E411,[2]Key!$A$17:$B$21,2,FALSE)</f>
        <v>Road Vehicle</v>
      </c>
      <c r="G411" s="61">
        <v>4</v>
      </c>
      <c r="H411" s="39" t="str">
        <f>VLOOKUP(G411,[2]Key!$A$2:$B$13,2,FALSE)</f>
        <v>Minibus</v>
      </c>
      <c r="I411" s="13" t="s">
        <v>108</v>
      </c>
      <c r="J411" s="13">
        <v>3</v>
      </c>
      <c r="K411" s="40" t="str">
        <f>VLOOKUP(J411,[2]Key!$A$24:$B$29,2,FALSE)</f>
        <v>40-49</v>
      </c>
      <c r="L411" s="13" t="s">
        <v>356</v>
      </c>
      <c r="M411" s="23" t="s">
        <v>150</v>
      </c>
      <c r="N411" s="13" t="s">
        <v>357</v>
      </c>
      <c r="O411" s="45">
        <v>4</v>
      </c>
      <c r="P411" s="30" t="str">
        <f>VLOOKUP(O411,[2]Key!$E$2:$F$9,2,FALSE)</f>
        <v>Commercial</v>
      </c>
      <c r="Q411" s="13" t="s">
        <v>388</v>
      </c>
      <c r="R411" s="23" t="s">
        <v>156</v>
      </c>
      <c r="S411" s="13" t="s">
        <v>357</v>
      </c>
      <c r="T411" s="23">
        <v>4</v>
      </c>
      <c r="U411" s="30" t="str">
        <f>VLOOKUP(T411,[2]Key!$E$2:$F$9,2,FALSE)</f>
        <v>Commercial</v>
      </c>
      <c r="V411" s="30" t="str">
        <f t="shared" si="25"/>
        <v>Commercial-Commercial</v>
      </c>
      <c r="W411" s="23">
        <v>35000</v>
      </c>
      <c r="X411" s="62">
        <v>210</v>
      </c>
      <c r="Y411" s="62" t="str">
        <f t="shared" si="26"/>
        <v>Over 200</v>
      </c>
      <c r="Z411" s="62">
        <v>4</v>
      </c>
      <c r="AA411" s="62" t="str">
        <f t="shared" si="27"/>
        <v>Over 3.5</v>
      </c>
      <c r="AB411" s="23">
        <v>5</v>
      </c>
      <c r="AC411" s="30" t="str">
        <f>VLOOKUP(AB411,[2]Key!$C$20:$D$29,2,FALSE)</f>
        <v>Professional</v>
      </c>
      <c r="AD411" s="23">
        <v>2</v>
      </c>
      <c r="AE411" s="30" t="str">
        <f>VLOOKUP(AD411,[2]Key!$E$20:$F$24,2,FALSE)</f>
        <v>300,000-500,000</v>
      </c>
      <c r="AF411" s="23">
        <v>5</v>
      </c>
      <c r="AG411" s="62">
        <v>1</v>
      </c>
      <c r="AH411" s="62">
        <v>5</v>
      </c>
      <c r="AI411" s="62">
        <v>5</v>
      </c>
      <c r="AJ411" s="62">
        <v>2</v>
      </c>
      <c r="AK411" s="45" t="s">
        <v>94</v>
      </c>
      <c r="AL411" s="36">
        <v>2000</v>
      </c>
      <c r="AM411" t="str">
        <f t="shared" si="28"/>
        <v>2000-3000</v>
      </c>
    </row>
    <row r="412" spans="1:39" x14ac:dyDescent="0.2">
      <c r="A412" s="44" t="s">
        <v>355</v>
      </c>
      <c r="B412" s="60">
        <v>0.44722222222222219</v>
      </c>
      <c r="C412" s="60"/>
      <c r="D412" s="60" t="s">
        <v>96</v>
      </c>
      <c r="E412" s="13">
        <v>2</v>
      </c>
      <c r="F412" s="38" t="str">
        <f>VLOOKUP(E412,[2]Key!$A$17:$B$21,2,FALSE)</f>
        <v>Road Vehicle</v>
      </c>
      <c r="G412" s="61">
        <v>4</v>
      </c>
      <c r="H412" s="39" t="str">
        <f>VLOOKUP(G412,[2]Key!$A$2:$B$13,2,FALSE)</f>
        <v>Minibus</v>
      </c>
      <c r="I412" s="13" t="s">
        <v>108</v>
      </c>
      <c r="J412" s="13">
        <v>3</v>
      </c>
      <c r="K412" s="40" t="str">
        <f>VLOOKUP(J412,[2]Key!$A$24:$B$29,2,FALSE)</f>
        <v>40-49</v>
      </c>
      <c r="L412" s="13" t="s">
        <v>356</v>
      </c>
      <c r="M412" s="23" t="s">
        <v>150</v>
      </c>
      <c r="N412" s="13" t="s">
        <v>357</v>
      </c>
      <c r="O412" s="45">
        <v>4</v>
      </c>
      <c r="P412" s="30" t="str">
        <f>VLOOKUP(O412,[2]Key!$E$2:$F$9,2,FALSE)</f>
        <v>Commercial</v>
      </c>
      <c r="Q412" s="13" t="s">
        <v>389</v>
      </c>
      <c r="R412" s="23" t="s">
        <v>433</v>
      </c>
      <c r="S412" s="13" t="s">
        <v>357</v>
      </c>
      <c r="T412" s="23">
        <v>4</v>
      </c>
      <c r="U412" s="30" t="str">
        <f>VLOOKUP(T412,[2]Key!$E$2:$F$9,2,FALSE)</f>
        <v>Commercial</v>
      </c>
      <c r="V412" s="30" t="str">
        <f t="shared" si="25"/>
        <v>Commercial-Commercial</v>
      </c>
      <c r="W412" s="23">
        <v>200000</v>
      </c>
      <c r="X412" s="62">
        <v>360</v>
      </c>
      <c r="Y412" s="62" t="str">
        <f t="shared" si="26"/>
        <v>Over 200</v>
      </c>
      <c r="Z412" s="62">
        <v>4</v>
      </c>
      <c r="AA412" s="62" t="str">
        <f t="shared" si="27"/>
        <v>Over 3.5</v>
      </c>
      <c r="AB412" s="23">
        <v>5</v>
      </c>
      <c r="AC412" s="30" t="str">
        <f>VLOOKUP(AB412,[2]Key!$C$20:$D$29,2,FALSE)</f>
        <v>Professional</v>
      </c>
      <c r="AD412" s="23">
        <v>2</v>
      </c>
      <c r="AE412" s="30" t="str">
        <f>VLOOKUP(AD412,[2]Key!$E$20:$F$24,2,FALSE)</f>
        <v>300,000-500,000</v>
      </c>
      <c r="AF412" s="23">
        <v>5</v>
      </c>
      <c r="AG412" s="62">
        <v>5</v>
      </c>
      <c r="AH412" s="62">
        <v>1</v>
      </c>
      <c r="AI412" s="62">
        <v>1</v>
      </c>
      <c r="AJ412" s="62">
        <v>5</v>
      </c>
      <c r="AK412" s="45" t="s">
        <v>94</v>
      </c>
      <c r="AL412" s="36">
        <v>1000</v>
      </c>
      <c r="AM412" t="str">
        <f t="shared" si="28"/>
        <v>1000-2000</v>
      </c>
    </row>
    <row r="413" spans="1:39" x14ac:dyDescent="0.2">
      <c r="A413" s="44" t="s">
        <v>355</v>
      </c>
      <c r="B413" s="60">
        <v>0.47638888888888892</v>
      </c>
      <c r="C413" s="60"/>
      <c r="D413" s="60" t="s">
        <v>96</v>
      </c>
      <c r="E413" s="13">
        <v>2</v>
      </c>
      <c r="F413" s="38" t="str">
        <f>VLOOKUP(E413,[2]Key!$A$17:$B$21,2,FALSE)</f>
        <v>Road Vehicle</v>
      </c>
      <c r="G413" s="61">
        <v>4</v>
      </c>
      <c r="H413" s="39" t="str">
        <f>VLOOKUP(G413,[2]Key!$A$2:$B$13,2,FALSE)</f>
        <v>Minibus</v>
      </c>
      <c r="I413" s="13" t="s">
        <v>108</v>
      </c>
      <c r="J413" s="13">
        <v>3</v>
      </c>
      <c r="K413" s="40" t="str">
        <f>VLOOKUP(J413,[2]Key!$A$24:$B$29,2,FALSE)</f>
        <v>40-49</v>
      </c>
      <c r="L413" s="13" t="s">
        <v>379</v>
      </c>
      <c r="M413" s="23" t="s">
        <v>421</v>
      </c>
      <c r="N413" s="13" t="s">
        <v>357</v>
      </c>
      <c r="O413" s="45">
        <v>4</v>
      </c>
      <c r="P413" s="30" t="str">
        <f>VLOOKUP(O413,[2]Key!$E$2:$F$9,2,FALSE)</f>
        <v>Commercial</v>
      </c>
      <c r="Q413" s="13" t="s">
        <v>356</v>
      </c>
      <c r="R413" s="23" t="s">
        <v>150</v>
      </c>
      <c r="S413" s="13" t="s">
        <v>357</v>
      </c>
      <c r="T413" s="23">
        <v>4</v>
      </c>
      <c r="U413" s="30" t="str">
        <f>VLOOKUP(T413,[2]Key!$E$2:$F$9,2,FALSE)</f>
        <v>Commercial</v>
      </c>
      <c r="V413" s="30" t="str">
        <f t="shared" si="25"/>
        <v>Commercial-Commercial</v>
      </c>
      <c r="W413" s="23">
        <v>300000</v>
      </c>
      <c r="X413" s="62">
        <v>270</v>
      </c>
      <c r="Y413" s="62" t="str">
        <f t="shared" si="26"/>
        <v>Over 200</v>
      </c>
      <c r="Z413" s="62">
        <v>4</v>
      </c>
      <c r="AA413" s="62" t="str">
        <f t="shared" si="27"/>
        <v>Over 3.5</v>
      </c>
      <c r="AB413" s="23">
        <v>5</v>
      </c>
      <c r="AC413" s="30" t="str">
        <f>VLOOKUP(AB413,[2]Key!$C$20:$D$29,2,FALSE)</f>
        <v>Professional</v>
      </c>
      <c r="AD413" s="23">
        <v>2</v>
      </c>
      <c r="AE413" s="30" t="str">
        <f>VLOOKUP(AD413,[2]Key!$E$20:$F$24,2,FALSE)</f>
        <v>300,000-500,000</v>
      </c>
      <c r="AF413" s="23">
        <v>5</v>
      </c>
      <c r="AG413" s="62">
        <v>5</v>
      </c>
      <c r="AH413" s="62">
        <v>2</v>
      </c>
      <c r="AI413" s="62">
        <v>1</v>
      </c>
      <c r="AJ413" s="62">
        <v>5</v>
      </c>
      <c r="AK413" s="45" t="s">
        <v>94</v>
      </c>
      <c r="AL413" s="36">
        <v>3000</v>
      </c>
      <c r="AM413" t="str">
        <f t="shared" si="28"/>
        <v>3000-5000</v>
      </c>
    </row>
    <row r="414" spans="1:39" x14ac:dyDescent="0.2">
      <c r="A414" s="44" t="s">
        <v>355</v>
      </c>
      <c r="B414" s="60">
        <v>0.51944444444444449</v>
      </c>
      <c r="C414" s="60"/>
      <c r="D414" s="60" t="s">
        <v>96</v>
      </c>
      <c r="E414" s="13">
        <v>2</v>
      </c>
      <c r="F414" s="38" t="str">
        <f>VLOOKUP(E414,[2]Key!$A$17:$B$21,2,FALSE)</f>
        <v>Road Vehicle</v>
      </c>
      <c r="G414" s="61">
        <v>4</v>
      </c>
      <c r="H414" s="39" t="str">
        <f>VLOOKUP(G414,[2]Key!$A$2:$B$13,2,FALSE)</f>
        <v>Minibus</v>
      </c>
      <c r="I414" s="13" t="s">
        <v>108</v>
      </c>
      <c r="J414" s="13">
        <v>3</v>
      </c>
      <c r="K414" s="40" t="str">
        <f>VLOOKUP(J414,[2]Key!$A$24:$B$29,2,FALSE)</f>
        <v>40-49</v>
      </c>
      <c r="L414" s="13" t="s">
        <v>356</v>
      </c>
      <c r="M414" s="23" t="s">
        <v>150</v>
      </c>
      <c r="N414" s="13" t="s">
        <v>357</v>
      </c>
      <c r="O414" s="45">
        <v>2</v>
      </c>
      <c r="P414" s="30" t="str">
        <f>VLOOKUP(O414,[2]Key!$E$2:$F$9,2,FALSE)</f>
        <v>Work</v>
      </c>
      <c r="Q414" s="13" t="s">
        <v>390</v>
      </c>
      <c r="R414" s="23" t="s">
        <v>391</v>
      </c>
      <c r="S414" s="13" t="s">
        <v>357</v>
      </c>
      <c r="T414" s="23">
        <v>8</v>
      </c>
      <c r="U414" s="30" t="str">
        <f>VLOOKUP(T414,[2]Key!$E$2:$F$9,2,FALSE)</f>
        <v>Others</v>
      </c>
      <c r="V414" s="30" t="str">
        <f t="shared" si="25"/>
        <v>Work-Others</v>
      </c>
      <c r="W414" s="23">
        <v>300000</v>
      </c>
      <c r="X414" s="62">
        <v>400</v>
      </c>
      <c r="Y414" s="62" t="str">
        <f t="shared" si="26"/>
        <v>Over 200</v>
      </c>
      <c r="Z414" s="62">
        <v>4</v>
      </c>
      <c r="AA414" s="62" t="str">
        <f t="shared" si="27"/>
        <v>Over 3.5</v>
      </c>
      <c r="AB414" s="23">
        <v>10</v>
      </c>
      <c r="AC414" s="30" t="str">
        <f>VLOOKUP(AB414,[2]Key!$C$20:$D$29,2,FALSE)</f>
        <v>Other</v>
      </c>
      <c r="AD414" s="23">
        <v>1</v>
      </c>
      <c r="AE414" s="30" t="str">
        <f>VLOOKUP(AD414,[2]Key!$E$20:$F$24,2,FALSE)</f>
        <v>&lt;300,000</v>
      </c>
      <c r="AF414" s="23">
        <v>2</v>
      </c>
      <c r="AG414" s="62">
        <v>4</v>
      </c>
      <c r="AH414" s="62">
        <v>5</v>
      </c>
      <c r="AI414" s="62">
        <v>8</v>
      </c>
      <c r="AJ414" s="62">
        <v>9</v>
      </c>
      <c r="AK414" s="45" t="s">
        <v>94</v>
      </c>
      <c r="AL414" s="36">
        <v>2000</v>
      </c>
      <c r="AM414" t="str">
        <f t="shared" si="28"/>
        <v>2000-3000</v>
      </c>
    </row>
    <row r="415" spans="1:39" x14ac:dyDescent="0.2">
      <c r="A415" s="44" t="s">
        <v>355</v>
      </c>
      <c r="B415" s="60">
        <v>0.64861111111111114</v>
      </c>
      <c r="C415" s="60"/>
      <c r="D415" s="60" t="s">
        <v>165</v>
      </c>
      <c r="E415" s="13">
        <v>2</v>
      </c>
      <c r="F415" s="38" t="str">
        <f>VLOOKUP(E415,[2]Key!$A$17:$B$21,2,FALSE)</f>
        <v>Road Vehicle</v>
      </c>
      <c r="G415" s="61">
        <v>4</v>
      </c>
      <c r="H415" s="39" t="str">
        <f>VLOOKUP(G415,[2]Key!$A$2:$B$13,2,FALSE)</f>
        <v>Minibus</v>
      </c>
      <c r="I415" s="13" t="s">
        <v>108</v>
      </c>
      <c r="J415" s="13">
        <v>3</v>
      </c>
      <c r="K415" s="40" t="str">
        <f>VLOOKUP(J415,[2]Key!$A$24:$B$29,2,FALSE)</f>
        <v>40-49</v>
      </c>
      <c r="L415" s="13" t="s">
        <v>356</v>
      </c>
      <c r="M415" s="23" t="s">
        <v>150</v>
      </c>
      <c r="N415" s="13" t="s">
        <v>357</v>
      </c>
      <c r="O415" s="45">
        <v>2</v>
      </c>
      <c r="P415" s="30" t="str">
        <f>VLOOKUP(O415,[2]Key!$E$2:$F$9,2,FALSE)</f>
        <v>Work</v>
      </c>
      <c r="Q415" s="13" t="s">
        <v>434</v>
      </c>
      <c r="R415" s="23" t="s">
        <v>200</v>
      </c>
      <c r="S415" s="13" t="s">
        <v>357</v>
      </c>
      <c r="T415" s="23">
        <v>2</v>
      </c>
      <c r="U415" s="30" t="str">
        <f>VLOOKUP(T415,[2]Key!$E$2:$F$9,2,FALSE)</f>
        <v>Work</v>
      </c>
      <c r="V415" s="30" t="str">
        <f t="shared" si="25"/>
        <v>Work-Work</v>
      </c>
      <c r="W415" s="23">
        <v>20000</v>
      </c>
      <c r="X415" s="62">
        <v>180</v>
      </c>
      <c r="Y415" s="62" t="str">
        <f t="shared" si="26"/>
        <v>100-200</v>
      </c>
      <c r="Z415" s="62">
        <v>4</v>
      </c>
      <c r="AA415" s="62" t="str">
        <f t="shared" si="27"/>
        <v>Over 3.5</v>
      </c>
      <c r="AB415" s="23">
        <v>6</v>
      </c>
      <c r="AC415" s="30" t="str">
        <f>VLOOKUP(AB415,[2]Key!$C$20:$D$29,2,FALSE)</f>
        <v>Businessman</v>
      </c>
      <c r="AD415" s="23">
        <v>2</v>
      </c>
      <c r="AE415" s="30" t="str">
        <f>VLOOKUP(AD415,[2]Key!$E$20:$F$24,2,FALSE)</f>
        <v>300,000-500,000</v>
      </c>
      <c r="AF415" s="23">
        <v>1</v>
      </c>
      <c r="AG415" s="62">
        <v>2</v>
      </c>
      <c r="AH415" s="62">
        <v>1</v>
      </c>
      <c r="AI415" s="62">
        <v>1</v>
      </c>
      <c r="AJ415" s="62">
        <v>2</v>
      </c>
      <c r="AK415" s="45" t="s">
        <v>94</v>
      </c>
      <c r="AL415" s="36">
        <v>1000</v>
      </c>
      <c r="AM415" t="str">
        <f t="shared" si="28"/>
        <v>1000-2000</v>
      </c>
    </row>
    <row r="416" spans="1:39" x14ac:dyDescent="0.2">
      <c r="A416" s="44" t="s">
        <v>355</v>
      </c>
      <c r="B416" s="60">
        <v>0.40069444444444446</v>
      </c>
      <c r="C416" s="60"/>
      <c r="D416" s="60" t="s">
        <v>96</v>
      </c>
      <c r="E416" s="13">
        <v>2</v>
      </c>
      <c r="F416" s="38" t="str">
        <f>VLOOKUP(E416,[2]Key!$A$17:$B$21,2,FALSE)</f>
        <v>Road Vehicle</v>
      </c>
      <c r="G416" s="61">
        <v>4</v>
      </c>
      <c r="H416" s="39" t="str">
        <f>VLOOKUP(G416,[2]Key!$A$2:$B$13,2,FALSE)</f>
        <v>Minibus</v>
      </c>
      <c r="I416" s="13" t="s">
        <v>108</v>
      </c>
      <c r="J416" s="13">
        <v>3</v>
      </c>
      <c r="K416" s="40" t="str">
        <f>VLOOKUP(J416,[2]Key!$A$24:$B$29,2,FALSE)</f>
        <v>40-49</v>
      </c>
      <c r="L416" s="13" t="s">
        <v>356</v>
      </c>
      <c r="M416" s="23" t="s">
        <v>150</v>
      </c>
      <c r="N416" s="13" t="s">
        <v>357</v>
      </c>
      <c r="O416" s="45">
        <v>2</v>
      </c>
      <c r="P416" s="30" t="str">
        <f>VLOOKUP(O416,[2]Key!$E$2:$F$9,2,FALSE)</f>
        <v>Work</v>
      </c>
      <c r="Q416" s="13" t="s">
        <v>434</v>
      </c>
      <c r="R416" s="23" t="s">
        <v>304</v>
      </c>
      <c r="S416" s="13" t="s">
        <v>357</v>
      </c>
      <c r="T416" s="23">
        <v>2</v>
      </c>
      <c r="U416" s="30" t="str">
        <f>VLOOKUP(T416,[2]Key!$E$2:$F$9,2,FALSE)</f>
        <v>Work</v>
      </c>
      <c r="V416" s="30" t="str">
        <f t="shared" si="25"/>
        <v>Work-Work</v>
      </c>
      <c r="W416" s="41">
        <v>250000</v>
      </c>
      <c r="X416" s="62">
        <v>100</v>
      </c>
      <c r="Y416" s="62" t="str">
        <f t="shared" si="26"/>
        <v>100-200</v>
      </c>
      <c r="Z416" s="62">
        <v>4.5</v>
      </c>
      <c r="AA416" s="62" t="str">
        <f t="shared" si="27"/>
        <v>Over 3.5</v>
      </c>
      <c r="AB416" s="23">
        <v>5</v>
      </c>
      <c r="AC416" s="30" t="str">
        <f>VLOOKUP(AB416,[2]Key!$C$20:$D$29,2,FALSE)</f>
        <v>Professional</v>
      </c>
      <c r="AD416" s="23">
        <v>4</v>
      </c>
      <c r="AE416" s="30" t="str">
        <f>VLOOKUP(AD416,[2]Key!$E$20:$F$24,2,FALSE)</f>
        <v>750,000-1,000,000</v>
      </c>
      <c r="AF416" s="23">
        <v>1</v>
      </c>
      <c r="AG416" s="62">
        <v>2</v>
      </c>
      <c r="AH416" s="62">
        <v>1</v>
      </c>
      <c r="AI416" s="62">
        <v>2</v>
      </c>
      <c r="AJ416" s="62">
        <v>1</v>
      </c>
      <c r="AK416" s="45" t="s">
        <v>94</v>
      </c>
      <c r="AL416" s="36">
        <v>2000</v>
      </c>
      <c r="AM416" t="str">
        <f t="shared" si="28"/>
        <v>2000-3000</v>
      </c>
    </row>
    <row r="417" spans="1:39" x14ac:dyDescent="0.2">
      <c r="A417" s="44" t="s">
        <v>355</v>
      </c>
      <c r="B417" s="60">
        <v>0.55902777777777779</v>
      </c>
      <c r="C417" s="60"/>
      <c r="D417" s="60" t="s">
        <v>96</v>
      </c>
      <c r="E417" s="13">
        <v>2</v>
      </c>
      <c r="F417" s="38" t="str">
        <f>VLOOKUP(E417,[2]Key!$A$17:$B$21,2,FALSE)</f>
        <v>Road Vehicle</v>
      </c>
      <c r="G417" s="61">
        <v>4</v>
      </c>
      <c r="H417" s="39" t="str">
        <f>VLOOKUP(G417,[2]Key!$A$2:$B$13,2,FALSE)</f>
        <v>Minibus</v>
      </c>
      <c r="I417" s="13" t="s">
        <v>108</v>
      </c>
      <c r="J417" s="13">
        <v>3</v>
      </c>
      <c r="K417" s="40" t="str">
        <f>VLOOKUP(J417,[2]Key!$A$24:$B$29,2,FALSE)</f>
        <v>40-49</v>
      </c>
      <c r="L417" s="13" t="s">
        <v>356</v>
      </c>
      <c r="M417" s="23" t="s">
        <v>150</v>
      </c>
      <c r="N417" s="13" t="s">
        <v>357</v>
      </c>
      <c r="O417" s="45">
        <v>2</v>
      </c>
      <c r="P417" s="30" t="str">
        <f>VLOOKUP(O417,[2]Key!$E$2:$F$9,2,FALSE)</f>
        <v>Work</v>
      </c>
      <c r="Q417" s="13" t="s">
        <v>464</v>
      </c>
      <c r="R417" s="23" t="s">
        <v>162</v>
      </c>
      <c r="S417" s="13" t="s">
        <v>357</v>
      </c>
      <c r="T417" s="23">
        <v>2</v>
      </c>
      <c r="U417" s="30" t="str">
        <f>VLOOKUP(T417,[2]Key!$E$2:$F$9,2,FALSE)</f>
        <v>Work</v>
      </c>
      <c r="V417" s="30" t="str">
        <f t="shared" si="25"/>
        <v>Work-Work</v>
      </c>
      <c r="W417" s="23">
        <v>300000</v>
      </c>
      <c r="X417" s="62">
        <v>500</v>
      </c>
      <c r="Y417" s="62" t="str">
        <f t="shared" si="26"/>
        <v>Over 200</v>
      </c>
      <c r="Z417" s="62">
        <v>5</v>
      </c>
      <c r="AA417" s="62" t="str">
        <f t="shared" si="27"/>
        <v>Over 3.5</v>
      </c>
      <c r="AB417" s="23">
        <v>5</v>
      </c>
      <c r="AC417" s="30" t="str">
        <f>VLOOKUP(AB417,[2]Key!$C$20:$D$29,2,FALSE)</f>
        <v>Professional</v>
      </c>
      <c r="AD417" s="23">
        <v>3</v>
      </c>
      <c r="AE417" s="30" t="str">
        <f>VLOOKUP(AD417,[2]Key!$E$20:$F$24,2,FALSE)</f>
        <v>500,000-750,000</v>
      </c>
      <c r="AF417" s="23">
        <v>5</v>
      </c>
      <c r="AG417" s="62">
        <v>1</v>
      </c>
      <c r="AH417" s="62">
        <v>2</v>
      </c>
      <c r="AI417" s="62">
        <v>1</v>
      </c>
      <c r="AJ417" s="62">
        <v>1</v>
      </c>
      <c r="AK417" s="45" t="s">
        <v>94</v>
      </c>
      <c r="AL417" s="36">
        <v>1000</v>
      </c>
      <c r="AM417" t="str">
        <f t="shared" si="28"/>
        <v>1000-2000</v>
      </c>
    </row>
    <row r="418" spans="1:39" x14ac:dyDescent="0.2">
      <c r="A418" s="44" t="s">
        <v>355</v>
      </c>
      <c r="B418" s="60">
        <v>0.42430555555555555</v>
      </c>
      <c r="C418" s="60"/>
      <c r="D418" s="60" t="s">
        <v>96</v>
      </c>
      <c r="E418" s="13">
        <v>2</v>
      </c>
      <c r="F418" s="38" t="str">
        <f>VLOOKUP(E418,[2]Key!$A$17:$B$21,2,FALSE)</f>
        <v>Road Vehicle</v>
      </c>
      <c r="G418" s="61">
        <v>4</v>
      </c>
      <c r="H418" s="39" t="str">
        <f>VLOOKUP(G418,[2]Key!$A$2:$B$13,2,FALSE)</f>
        <v>Minibus</v>
      </c>
      <c r="I418" s="13" t="s">
        <v>108</v>
      </c>
      <c r="J418" s="13">
        <v>3</v>
      </c>
      <c r="K418" s="40" t="str">
        <f>VLOOKUP(J418,[2]Key!$A$24:$B$29,2,FALSE)</f>
        <v>40-49</v>
      </c>
      <c r="L418" s="13" t="s">
        <v>356</v>
      </c>
      <c r="M418" s="23" t="s">
        <v>150</v>
      </c>
      <c r="N418" s="13" t="s">
        <v>357</v>
      </c>
      <c r="O418" s="45">
        <v>2</v>
      </c>
      <c r="P418" s="30" t="str">
        <f>VLOOKUP(O418,[2]Key!$E$2:$F$9,2,FALSE)</f>
        <v>Work</v>
      </c>
      <c r="Q418" s="13" t="s">
        <v>358</v>
      </c>
      <c r="R418" s="23" t="s">
        <v>359</v>
      </c>
      <c r="S418" s="13" t="s">
        <v>357</v>
      </c>
      <c r="T418" s="23">
        <v>2</v>
      </c>
      <c r="U418" s="30" t="str">
        <f>VLOOKUP(T418,[2]Key!$E$2:$F$9,2,FALSE)</f>
        <v>Work</v>
      </c>
      <c r="V418" s="30" t="str">
        <f t="shared" si="25"/>
        <v>Work-Work</v>
      </c>
      <c r="W418" s="41">
        <v>3400000</v>
      </c>
      <c r="X418" s="62">
        <v>500</v>
      </c>
      <c r="Y418" s="62" t="str">
        <f t="shared" si="26"/>
        <v>Over 200</v>
      </c>
      <c r="Z418" s="62">
        <v>6</v>
      </c>
      <c r="AA418" s="62" t="str">
        <f t="shared" si="27"/>
        <v>Over 3.5</v>
      </c>
      <c r="AB418" s="23">
        <v>5</v>
      </c>
      <c r="AC418" s="30" t="str">
        <f>VLOOKUP(AB418,[2]Key!$C$20:$D$29,2,FALSE)</f>
        <v>Professional</v>
      </c>
      <c r="AD418" s="23">
        <v>4</v>
      </c>
      <c r="AE418" s="30" t="str">
        <f>VLOOKUP(AD418,[2]Key!$E$20:$F$24,2,FALSE)</f>
        <v>750,000-1,000,000</v>
      </c>
      <c r="AF418" s="23">
        <v>2</v>
      </c>
      <c r="AG418" s="62">
        <v>1</v>
      </c>
      <c r="AH418" s="62">
        <v>2</v>
      </c>
      <c r="AI418" s="62">
        <v>2</v>
      </c>
      <c r="AJ418" s="62">
        <v>1</v>
      </c>
      <c r="AK418" s="45" t="s">
        <v>94</v>
      </c>
      <c r="AL418" s="36">
        <v>1000</v>
      </c>
      <c r="AM418" t="str">
        <f t="shared" si="28"/>
        <v>1000-2000</v>
      </c>
    </row>
    <row r="419" spans="1:39" x14ac:dyDescent="0.2">
      <c r="A419" s="44" t="s">
        <v>355</v>
      </c>
      <c r="B419" s="60">
        <v>0.66666666666666663</v>
      </c>
      <c r="C419" s="60"/>
      <c r="D419" s="60" t="s">
        <v>96</v>
      </c>
      <c r="E419" s="13">
        <v>2</v>
      </c>
      <c r="F419" s="38" t="str">
        <f>VLOOKUP(E419,[2]Key!$A$17:$B$21,2,FALSE)</f>
        <v>Road Vehicle</v>
      </c>
      <c r="G419" s="61">
        <v>4</v>
      </c>
      <c r="H419" s="39" t="str">
        <f>VLOOKUP(G419,[2]Key!$A$2:$B$13,2,FALSE)</f>
        <v>Minibus</v>
      </c>
      <c r="I419" s="13" t="s">
        <v>108</v>
      </c>
      <c r="J419" s="13">
        <v>3</v>
      </c>
      <c r="K419" s="40" t="str">
        <f>VLOOKUP(J419,[2]Key!$A$24:$B$29,2,FALSE)</f>
        <v>40-49</v>
      </c>
      <c r="L419" s="13" t="s">
        <v>356</v>
      </c>
      <c r="M419" s="23" t="s">
        <v>150</v>
      </c>
      <c r="N419" s="13" t="s">
        <v>357</v>
      </c>
      <c r="O419" s="45">
        <v>2</v>
      </c>
      <c r="P419" s="30" t="str">
        <f>VLOOKUP(O419,[2]Key!$E$2:$F$9,2,FALSE)</f>
        <v>Work</v>
      </c>
      <c r="Q419" s="13" t="s">
        <v>438</v>
      </c>
      <c r="R419" s="23" t="s">
        <v>183</v>
      </c>
      <c r="S419" s="13" t="s">
        <v>357</v>
      </c>
      <c r="T419" s="23">
        <v>8</v>
      </c>
      <c r="U419" s="30" t="str">
        <f>VLOOKUP(T419,[2]Key!$E$2:$F$9,2,FALSE)</f>
        <v>Others</v>
      </c>
      <c r="V419" s="30" t="str">
        <f t="shared" si="25"/>
        <v>Work-Others</v>
      </c>
      <c r="W419" s="23">
        <v>300000</v>
      </c>
      <c r="X419" s="62">
        <v>500</v>
      </c>
      <c r="Y419" s="62" t="str">
        <f t="shared" si="26"/>
        <v>Over 200</v>
      </c>
      <c r="Z419" s="62">
        <v>6</v>
      </c>
      <c r="AA419" s="62" t="str">
        <f t="shared" si="27"/>
        <v>Over 3.5</v>
      </c>
      <c r="AB419" s="23">
        <v>10</v>
      </c>
      <c r="AC419" s="30" t="str">
        <f>VLOOKUP(AB419,[2]Key!$C$20:$D$29,2,FALSE)</f>
        <v>Other</v>
      </c>
      <c r="AD419" s="23">
        <v>2</v>
      </c>
      <c r="AE419" s="30" t="str">
        <f>VLOOKUP(AD419,[2]Key!$E$20:$F$24,2,FALSE)</f>
        <v>300,000-500,000</v>
      </c>
      <c r="AF419" s="23">
        <v>5</v>
      </c>
      <c r="AG419" s="62">
        <v>5</v>
      </c>
      <c r="AH419" s="62">
        <v>1</v>
      </c>
      <c r="AI419" s="62">
        <v>2</v>
      </c>
      <c r="AJ419" s="62">
        <v>1</v>
      </c>
      <c r="AK419" s="45" t="s">
        <v>94</v>
      </c>
      <c r="AL419" s="36">
        <v>2000</v>
      </c>
      <c r="AM419" t="str">
        <f t="shared" si="28"/>
        <v>2000-3000</v>
      </c>
    </row>
    <row r="420" spans="1:39" x14ac:dyDescent="0.2">
      <c r="A420" s="44" t="s">
        <v>355</v>
      </c>
      <c r="B420" s="60">
        <v>0.29791666666666666</v>
      </c>
      <c r="C420" s="60"/>
      <c r="D420" s="60" t="s">
        <v>96</v>
      </c>
      <c r="E420" s="13">
        <v>2</v>
      </c>
      <c r="F420" s="38" t="str">
        <f>VLOOKUP(E420,[2]Key!$A$17:$B$21,2,FALSE)</f>
        <v>Road Vehicle</v>
      </c>
      <c r="G420" s="61">
        <v>4</v>
      </c>
      <c r="H420" s="39" t="str">
        <f>VLOOKUP(G420,[2]Key!$A$2:$B$13,2,FALSE)</f>
        <v>Minibus</v>
      </c>
      <c r="I420" s="13" t="s">
        <v>108</v>
      </c>
      <c r="J420" s="13">
        <v>3</v>
      </c>
      <c r="K420" s="40" t="str">
        <f>VLOOKUP(J420,[2]Key!$A$24:$B$29,2,FALSE)</f>
        <v>40-49</v>
      </c>
      <c r="L420" s="13" t="s">
        <v>356</v>
      </c>
      <c r="M420" s="23" t="s">
        <v>150</v>
      </c>
      <c r="N420" s="13" t="s">
        <v>357</v>
      </c>
      <c r="O420" s="45">
        <v>2</v>
      </c>
      <c r="P420" s="30" t="str">
        <f>VLOOKUP(O420,[2]Key!$E$2:$F$9,2,FALSE)</f>
        <v>Work</v>
      </c>
      <c r="Q420" s="13" t="s">
        <v>358</v>
      </c>
      <c r="R420" s="23" t="s">
        <v>359</v>
      </c>
      <c r="S420" s="13" t="s">
        <v>357</v>
      </c>
      <c r="T420" s="23">
        <v>8</v>
      </c>
      <c r="U420" s="30" t="str">
        <f>VLOOKUP(T420,[2]Key!$E$2:$F$9,2,FALSE)</f>
        <v>Others</v>
      </c>
      <c r="V420" s="30" t="str">
        <f t="shared" si="25"/>
        <v>Work-Others</v>
      </c>
      <c r="W420" s="23">
        <v>340000</v>
      </c>
      <c r="X420" s="62">
        <v>600</v>
      </c>
      <c r="Y420" s="62" t="str">
        <f t="shared" si="26"/>
        <v>Over 200</v>
      </c>
      <c r="Z420" s="62">
        <v>6</v>
      </c>
      <c r="AA420" s="62" t="str">
        <f t="shared" si="27"/>
        <v>Over 3.5</v>
      </c>
      <c r="AB420" s="23">
        <v>10</v>
      </c>
      <c r="AC420" s="30" t="s">
        <v>132</v>
      </c>
      <c r="AD420" s="23">
        <v>1</v>
      </c>
      <c r="AE420" s="30" t="str">
        <f>VLOOKUP(AD420,[2]Key!$E$20:$F$24,2,FALSE)</f>
        <v>&lt;300,000</v>
      </c>
      <c r="AF420" s="23">
        <v>2</v>
      </c>
      <c r="AG420" s="62">
        <v>1</v>
      </c>
      <c r="AH420" s="62">
        <v>2</v>
      </c>
      <c r="AI420" s="62">
        <v>5</v>
      </c>
      <c r="AJ420" s="62">
        <v>5</v>
      </c>
      <c r="AK420" s="45" t="s">
        <v>94</v>
      </c>
      <c r="AL420" s="36"/>
      <c r="AM420" t="str">
        <f t="shared" si="28"/>
        <v>0-1000</v>
      </c>
    </row>
    <row r="421" spans="1:39" x14ac:dyDescent="0.2">
      <c r="A421" s="44" t="s">
        <v>355</v>
      </c>
      <c r="B421" s="60">
        <v>0.66666666666666663</v>
      </c>
      <c r="C421" s="60"/>
      <c r="D421" s="60" t="s">
        <v>165</v>
      </c>
      <c r="E421" s="13">
        <v>2</v>
      </c>
      <c r="F421" s="38" t="str">
        <f>VLOOKUP(E421,[2]Key!$A$17:$B$21,2,FALSE)</f>
        <v>Road Vehicle</v>
      </c>
      <c r="G421" s="61">
        <v>4</v>
      </c>
      <c r="H421" s="39" t="str">
        <f>VLOOKUP(G421,[2]Key!$A$2:$B$13,2,FALSE)</f>
        <v>Minibus</v>
      </c>
      <c r="I421" s="13" t="s">
        <v>108</v>
      </c>
      <c r="J421" s="13">
        <v>4</v>
      </c>
      <c r="K421" s="40" t="str">
        <f>VLOOKUP(J421,[2]Key!$A$24:$B$29,2,FALSE)</f>
        <v>50-59</v>
      </c>
      <c r="L421" s="13" t="s">
        <v>363</v>
      </c>
      <c r="M421" s="23" t="s">
        <v>150</v>
      </c>
      <c r="N421" s="13" t="s">
        <v>357</v>
      </c>
      <c r="O421" s="45">
        <v>4</v>
      </c>
      <c r="P421" s="30" t="str">
        <f>VLOOKUP(O421,[2]Key!$E$2:$F$9,2,FALSE)</f>
        <v>Commercial</v>
      </c>
      <c r="Q421" s="13" t="s">
        <v>191</v>
      </c>
      <c r="R421" s="23" t="s">
        <v>150</v>
      </c>
      <c r="S421" s="13" t="s">
        <v>357</v>
      </c>
      <c r="T421" s="23">
        <v>1</v>
      </c>
      <c r="U421" s="30" t="str">
        <f>VLOOKUP(T421,[2]Key!$E$2:$F$9,2,FALSE)</f>
        <v>Home</v>
      </c>
      <c r="V421" s="30" t="str">
        <f t="shared" si="25"/>
        <v>Commercial-Home</v>
      </c>
      <c r="W421" s="23">
        <v>1000</v>
      </c>
      <c r="X421" s="62">
        <v>7</v>
      </c>
      <c r="Y421" s="62" t="str">
        <f t="shared" si="26"/>
        <v>0-10</v>
      </c>
      <c r="Z421" s="62">
        <v>0.2</v>
      </c>
      <c r="AA421" s="62" t="str">
        <f t="shared" si="27"/>
        <v>0-0.5</v>
      </c>
      <c r="AB421" s="23">
        <v>6</v>
      </c>
      <c r="AC421" s="30" t="str">
        <f>VLOOKUP(AB421,[2]Key!$C$20:$D$29,2,FALSE)</f>
        <v>Businessman</v>
      </c>
      <c r="AD421" s="23">
        <v>2</v>
      </c>
      <c r="AE421" s="30" t="str">
        <f>VLOOKUP(AD421,[2]Key!$E$20:$F$24,2,FALSE)</f>
        <v>300,000-500,000</v>
      </c>
      <c r="AF421" s="23">
        <v>5</v>
      </c>
      <c r="AG421" s="62">
        <v>1</v>
      </c>
      <c r="AH421" s="62">
        <v>1</v>
      </c>
      <c r="AI421" s="62">
        <v>3</v>
      </c>
      <c r="AJ421" s="62">
        <v>4</v>
      </c>
      <c r="AK421" s="45" t="s">
        <v>94</v>
      </c>
      <c r="AL421" s="36"/>
      <c r="AM421" t="str">
        <f t="shared" si="28"/>
        <v>0-1000</v>
      </c>
    </row>
    <row r="422" spans="1:39" x14ac:dyDescent="0.2">
      <c r="A422" s="44" t="s">
        <v>355</v>
      </c>
      <c r="B422" s="60">
        <v>0.69305555555555554</v>
      </c>
      <c r="C422" s="60"/>
      <c r="D422" s="60" t="s">
        <v>96</v>
      </c>
      <c r="E422" s="13">
        <v>2</v>
      </c>
      <c r="F422" s="38" t="str">
        <f>VLOOKUP(E422,[2]Key!$A$17:$B$21,2,FALSE)</f>
        <v>Road Vehicle</v>
      </c>
      <c r="G422" s="61">
        <v>4</v>
      </c>
      <c r="H422" s="39" t="str">
        <f>VLOOKUP(G422,[2]Key!$A$2:$B$13,2,FALSE)</f>
        <v>Minibus</v>
      </c>
      <c r="I422" s="13" t="s">
        <v>108</v>
      </c>
      <c r="J422" s="13">
        <v>4</v>
      </c>
      <c r="K422" s="40" t="str">
        <f>VLOOKUP(J422,[2]Key!$A$24:$B$29,2,FALSE)</f>
        <v>50-59</v>
      </c>
      <c r="L422" s="13" t="s">
        <v>356</v>
      </c>
      <c r="M422" s="23" t="s">
        <v>150</v>
      </c>
      <c r="N422" s="13" t="s">
        <v>357</v>
      </c>
      <c r="O422" s="45">
        <v>2</v>
      </c>
      <c r="P422" s="30" t="str">
        <f>VLOOKUP(O422,[2]Key!$E$2:$F$9,2,FALSE)</f>
        <v>Work</v>
      </c>
      <c r="Q422" s="13" t="s">
        <v>237</v>
      </c>
      <c r="R422" s="23" t="s">
        <v>150</v>
      </c>
      <c r="S422" s="13" t="s">
        <v>357</v>
      </c>
      <c r="T422" s="23">
        <v>2</v>
      </c>
      <c r="U422" s="30" t="str">
        <f>VLOOKUP(T422,[2]Key!$E$2:$F$9,2,FALSE)</f>
        <v>Work</v>
      </c>
      <c r="V422" s="30" t="str">
        <f t="shared" si="25"/>
        <v>Work-Work</v>
      </c>
      <c r="W422" s="23">
        <v>1000</v>
      </c>
      <c r="X422" s="62">
        <v>3</v>
      </c>
      <c r="Y422" s="62" t="str">
        <f t="shared" si="26"/>
        <v>0-10</v>
      </c>
      <c r="Z422" s="62">
        <v>0.3</v>
      </c>
      <c r="AA422" s="62" t="str">
        <f t="shared" si="27"/>
        <v>0-0.5</v>
      </c>
      <c r="AB422" s="23">
        <v>5</v>
      </c>
      <c r="AC422" s="30" t="str">
        <f>VLOOKUP(AB422,[2]Key!$C$20:$D$29,2,FALSE)</f>
        <v>Professional</v>
      </c>
      <c r="AD422" s="23">
        <v>4</v>
      </c>
      <c r="AE422" s="30" t="str">
        <f>VLOOKUP(AD422,[2]Key!$E$20:$F$24,2,FALSE)</f>
        <v>750,000-1,000,000</v>
      </c>
      <c r="AF422" s="23">
        <v>1</v>
      </c>
      <c r="AG422" s="62">
        <v>1</v>
      </c>
      <c r="AH422" s="62">
        <v>2</v>
      </c>
      <c r="AI422" s="62">
        <v>1</v>
      </c>
      <c r="AJ422" s="62">
        <v>2</v>
      </c>
      <c r="AK422" s="45" t="s">
        <v>94</v>
      </c>
      <c r="AL422" s="36">
        <v>1000</v>
      </c>
      <c r="AM422" t="str">
        <f t="shared" si="28"/>
        <v>1000-2000</v>
      </c>
    </row>
    <row r="423" spans="1:39" x14ac:dyDescent="0.2">
      <c r="A423" s="44" t="s">
        <v>355</v>
      </c>
      <c r="B423" s="60">
        <v>0.46875</v>
      </c>
      <c r="C423" s="60"/>
      <c r="D423" s="60" t="s">
        <v>96</v>
      </c>
      <c r="E423" s="13">
        <v>2</v>
      </c>
      <c r="F423" s="38" t="str">
        <f>VLOOKUP(E423,[2]Key!$A$17:$B$21,2,FALSE)</f>
        <v>Road Vehicle</v>
      </c>
      <c r="G423" s="61">
        <v>4</v>
      </c>
      <c r="H423" s="39" t="str">
        <f>VLOOKUP(G423,[2]Key!$A$2:$B$13,2,FALSE)</f>
        <v>Minibus</v>
      </c>
      <c r="I423" s="13" t="s">
        <v>108</v>
      </c>
      <c r="J423" s="13">
        <v>4</v>
      </c>
      <c r="K423" s="40" t="str">
        <f>VLOOKUP(J423,[2]Key!$A$24:$B$29,2,FALSE)</f>
        <v>50-59</v>
      </c>
      <c r="L423" s="13" t="s">
        <v>356</v>
      </c>
      <c r="M423" s="23" t="s">
        <v>150</v>
      </c>
      <c r="N423" s="13" t="s">
        <v>357</v>
      </c>
      <c r="O423" s="45">
        <v>4</v>
      </c>
      <c r="P423" s="30" t="str">
        <f>VLOOKUP(O423,[2]Key!$E$2:$F$9,2,FALSE)</f>
        <v>Commercial</v>
      </c>
      <c r="Q423" s="13" t="s">
        <v>218</v>
      </c>
      <c r="R423" s="23" t="s">
        <v>150</v>
      </c>
      <c r="S423" s="13" t="s">
        <v>357</v>
      </c>
      <c r="T423" s="23">
        <v>4</v>
      </c>
      <c r="U423" s="30" t="str">
        <f>VLOOKUP(T423,[2]Key!$E$2:$F$9,2,FALSE)</f>
        <v>Commercial</v>
      </c>
      <c r="V423" s="30" t="str">
        <f t="shared" si="25"/>
        <v>Commercial-Commercial</v>
      </c>
      <c r="W423" s="23">
        <v>5000</v>
      </c>
      <c r="X423" s="62">
        <v>20</v>
      </c>
      <c r="Y423" s="62" t="str">
        <f t="shared" si="26"/>
        <v>20-40</v>
      </c>
      <c r="Z423" s="62">
        <v>0.3</v>
      </c>
      <c r="AA423" s="62" t="str">
        <f t="shared" si="27"/>
        <v>0-0.5</v>
      </c>
      <c r="AB423" s="23">
        <v>6</v>
      </c>
      <c r="AC423" s="30" t="str">
        <f>VLOOKUP(AB423,[2]Key!$C$20:$D$29,2,FALSE)</f>
        <v>Businessman</v>
      </c>
      <c r="AD423" s="23">
        <v>2</v>
      </c>
      <c r="AE423" s="30" t="str">
        <f>VLOOKUP(AD423,[2]Key!$E$20:$F$24,2,FALSE)</f>
        <v>300,000-500,000</v>
      </c>
      <c r="AF423" s="23">
        <v>1</v>
      </c>
      <c r="AG423" s="62">
        <v>2</v>
      </c>
      <c r="AH423" s="62">
        <v>1</v>
      </c>
      <c r="AI423" s="62">
        <v>1</v>
      </c>
      <c r="AJ423" s="62">
        <v>1</v>
      </c>
      <c r="AK423" s="45" t="s">
        <v>94</v>
      </c>
      <c r="AL423" s="36">
        <v>3000</v>
      </c>
      <c r="AM423" t="str">
        <f t="shared" si="28"/>
        <v>3000-5000</v>
      </c>
    </row>
    <row r="424" spans="1:39" x14ac:dyDescent="0.2">
      <c r="A424" s="44" t="s">
        <v>355</v>
      </c>
      <c r="B424" s="60">
        <v>0.45763888888888887</v>
      </c>
      <c r="C424" s="60"/>
      <c r="D424" s="60" t="s">
        <v>96</v>
      </c>
      <c r="E424" s="13">
        <v>2</v>
      </c>
      <c r="F424" s="38" t="str">
        <f>VLOOKUP(E424,[2]Key!$A$17:$B$21,2,FALSE)</f>
        <v>Road Vehicle</v>
      </c>
      <c r="G424" s="61">
        <v>4</v>
      </c>
      <c r="H424" s="39" t="str">
        <f>VLOOKUP(G424,[2]Key!$A$2:$B$13,2,FALSE)</f>
        <v>Minibus</v>
      </c>
      <c r="I424" s="13" t="s">
        <v>108</v>
      </c>
      <c r="J424" s="13">
        <v>4</v>
      </c>
      <c r="K424" s="40" t="str">
        <f>VLOOKUP(J424,[2]Key!$A$24:$B$29,2,FALSE)</f>
        <v>50-59</v>
      </c>
      <c r="L424" s="13" t="s">
        <v>356</v>
      </c>
      <c r="M424" s="23" t="s">
        <v>150</v>
      </c>
      <c r="N424" s="13" t="s">
        <v>357</v>
      </c>
      <c r="O424" s="45">
        <v>4</v>
      </c>
      <c r="P424" s="30" t="str">
        <f>VLOOKUP(O424,[2]Key!$E$2:$F$9,2,FALSE)</f>
        <v>Commercial</v>
      </c>
      <c r="Q424" s="13" t="s">
        <v>368</v>
      </c>
      <c r="R424" s="23" t="s">
        <v>156</v>
      </c>
      <c r="S424" s="13" t="s">
        <v>357</v>
      </c>
      <c r="T424" s="23">
        <v>4</v>
      </c>
      <c r="U424" s="30" t="str">
        <f>VLOOKUP(T424,[2]Key!$E$2:$F$9,2,FALSE)</f>
        <v>Commercial</v>
      </c>
      <c r="V424" s="30" t="str">
        <f t="shared" si="25"/>
        <v>Commercial-Commercial</v>
      </c>
      <c r="W424" s="23">
        <v>10000</v>
      </c>
      <c r="X424" s="62">
        <v>40</v>
      </c>
      <c r="Y424" s="62" t="str">
        <f t="shared" si="26"/>
        <v>40-70</v>
      </c>
      <c r="Z424" s="62">
        <v>0.4</v>
      </c>
      <c r="AA424" s="62" t="str">
        <f t="shared" si="27"/>
        <v>0-0.5</v>
      </c>
      <c r="AB424" s="23">
        <v>5</v>
      </c>
      <c r="AC424" s="30" t="str">
        <f>VLOOKUP(AB424,[2]Key!$C$20:$D$29,2,FALSE)</f>
        <v>Professional</v>
      </c>
      <c r="AD424" s="23">
        <v>2</v>
      </c>
      <c r="AE424" s="30" t="str">
        <f>VLOOKUP(AD424,[2]Key!$E$20:$F$24,2,FALSE)</f>
        <v>300,000-500,000</v>
      </c>
      <c r="AF424" s="23">
        <v>5</v>
      </c>
      <c r="AG424" s="62">
        <v>1</v>
      </c>
      <c r="AH424" s="62">
        <v>1</v>
      </c>
      <c r="AI424" s="62">
        <v>5</v>
      </c>
      <c r="AJ424" s="62">
        <v>3</v>
      </c>
      <c r="AK424" s="45" t="s">
        <v>94</v>
      </c>
      <c r="AL424" s="36">
        <v>5000</v>
      </c>
      <c r="AM424" t="str">
        <f t="shared" si="28"/>
        <v>5000-10000</v>
      </c>
    </row>
    <row r="425" spans="1:39" x14ac:dyDescent="0.2">
      <c r="A425" s="44" t="s">
        <v>355</v>
      </c>
      <c r="B425" s="60">
        <v>0.53333333333333333</v>
      </c>
      <c r="C425" s="60"/>
      <c r="D425" s="60" t="s">
        <v>165</v>
      </c>
      <c r="E425" s="13">
        <v>2</v>
      </c>
      <c r="F425" s="38" t="str">
        <f>VLOOKUP(E425,[2]Key!$A$17:$B$21,2,FALSE)</f>
        <v>Road Vehicle</v>
      </c>
      <c r="G425" s="61">
        <v>4</v>
      </c>
      <c r="H425" s="39" t="str">
        <f>VLOOKUP(G425,[2]Key!$A$2:$B$13,2,FALSE)</f>
        <v>Minibus</v>
      </c>
      <c r="I425" s="13" t="s">
        <v>108</v>
      </c>
      <c r="J425" s="13">
        <v>4</v>
      </c>
      <c r="K425" s="40" t="str">
        <f>VLOOKUP(J425,[2]Key!$A$24:$B$29,2,FALSE)</f>
        <v>50-59</v>
      </c>
      <c r="L425" s="13" t="s">
        <v>356</v>
      </c>
      <c r="M425" s="23" t="s">
        <v>150</v>
      </c>
      <c r="N425" s="13" t="s">
        <v>357</v>
      </c>
      <c r="O425" s="45">
        <v>4</v>
      </c>
      <c r="P425" s="30" t="str">
        <f>VLOOKUP(O425,[2]Key!$E$2:$F$9,2,FALSE)</f>
        <v>Commercial</v>
      </c>
      <c r="Q425" s="13" t="s">
        <v>368</v>
      </c>
      <c r="R425" s="23" t="s">
        <v>156</v>
      </c>
      <c r="S425" s="13" t="s">
        <v>357</v>
      </c>
      <c r="T425" s="23">
        <v>4</v>
      </c>
      <c r="U425" s="30" t="str">
        <f>VLOOKUP(T425,[2]Key!$E$2:$F$9,2,FALSE)</f>
        <v>Commercial</v>
      </c>
      <c r="V425" s="30" t="str">
        <f t="shared" si="25"/>
        <v>Commercial-Commercial</v>
      </c>
      <c r="W425" s="23">
        <v>3500</v>
      </c>
      <c r="X425" s="62">
        <v>30</v>
      </c>
      <c r="Y425" s="62" t="str">
        <f t="shared" si="26"/>
        <v>20-40</v>
      </c>
      <c r="Z425" s="62">
        <v>0.7</v>
      </c>
      <c r="AA425" s="62" t="str">
        <f t="shared" si="27"/>
        <v>0.5-1.0</v>
      </c>
      <c r="AB425" s="23">
        <v>6</v>
      </c>
      <c r="AC425" s="30" t="str">
        <f>VLOOKUP(AB425,[2]Key!$C$20:$D$29,2,FALSE)</f>
        <v>Businessman</v>
      </c>
      <c r="AD425" s="23">
        <v>1</v>
      </c>
      <c r="AE425" s="30" t="str">
        <f>VLOOKUP(AD425,[2]Key!$E$20:$F$24,2,FALSE)</f>
        <v>&lt;300,000</v>
      </c>
      <c r="AF425" s="23">
        <v>5</v>
      </c>
      <c r="AG425" s="62">
        <v>4</v>
      </c>
      <c r="AH425" s="62">
        <v>5</v>
      </c>
      <c r="AI425" s="62">
        <v>5</v>
      </c>
      <c r="AJ425" s="62">
        <v>33</v>
      </c>
      <c r="AK425" s="45" t="s">
        <v>94</v>
      </c>
      <c r="AL425" s="36">
        <v>1000</v>
      </c>
      <c r="AM425" t="str">
        <f t="shared" si="28"/>
        <v>1000-2000</v>
      </c>
    </row>
    <row r="426" spans="1:39" x14ac:dyDescent="0.2">
      <c r="A426" s="44" t="s">
        <v>355</v>
      </c>
      <c r="B426" s="60" t="s">
        <v>465</v>
      </c>
      <c r="C426" s="60"/>
      <c r="D426" s="60" t="s">
        <v>96</v>
      </c>
      <c r="E426" s="13">
        <v>2</v>
      </c>
      <c r="F426" s="38" t="str">
        <f>VLOOKUP(E426,[2]Key!$A$17:$B$21,2,FALSE)</f>
        <v>Road Vehicle</v>
      </c>
      <c r="G426" s="61">
        <v>4</v>
      </c>
      <c r="H426" s="39" t="str">
        <f>VLOOKUP(G426,[2]Key!$A$2:$B$13,2,FALSE)</f>
        <v>Minibus</v>
      </c>
      <c r="I426" s="13" t="s">
        <v>108</v>
      </c>
      <c r="J426" s="13">
        <v>4</v>
      </c>
      <c r="K426" s="40" t="str">
        <f>VLOOKUP(J426,[2]Key!$A$24:$B$29,2,FALSE)</f>
        <v>50-59</v>
      </c>
      <c r="L426" s="13" t="s">
        <v>356</v>
      </c>
      <c r="M426" s="23" t="s">
        <v>150</v>
      </c>
      <c r="N426" s="13" t="s">
        <v>357</v>
      </c>
      <c r="O426" s="45">
        <v>4</v>
      </c>
      <c r="P426" s="30" t="str">
        <f>VLOOKUP(O426,[2]Key!$E$2:$F$9,2,FALSE)</f>
        <v>Commercial</v>
      </c>
      <c r="Q426" s="13" t="s">
        <v>466</v>
      </c>
      <c r="R426" s="23" t="s">
        <v>421</v>
      </c>
      <c r="S426" s="13" t="s">
        <v>357</v>
      </c>
      <c r="T426" s="23">
        <v>4</v>
      </c>
      <c r="U426" s="30" t="str">
        <f>VLOOKUP(T426,[2]Key!$E$2:$F$9,2,FALSE)</f>
        <v>Commercial</v>
      </c>
      <c r="V426" s="30" t="str">
        <f t="shared" si="25"/>
        <v>Commercial-Commercial</v>
      </c>
      <c r="W426" s="23">
        <v>100000</v>
      </c>
      <c r="X426" s="62">
        <v>120.7</v>
      </c>
      <c r="Y426" s="62" t="str">
        <f t="shared" si="26"/>
        <v>100-200</v>
      </c>
      <c r="Z426" s="62">
        <v>2</v>
      </c>
      <c r="AA426" s="62" t="str">
        <f t="shared" si="27"/>
        <v>2.0-3.5</v>
      </c>
      <c r="AB426" s="23">
        <v>5</v>
      </c>
      <c r="AC426" s="30" t="str">
        <f>VLOOKUP(AB426,[2]Key!$C$20:$D$29,2,FALSE)</f>
        <v>Professional</v>
      </c>
      <c r="AD426" s="23">
        <v>2</v>
      </c>
      <c r="AE426" s="30" t="str">
        <f>VLOOKUP(AD426,[2]Key!$E$20:$F$24,2,FALSE)</f>
        <v>300,000-500,000</v>
      </c>
      <c r="AF426" s="23">
        <v>5</v>
      </c>
      <c r="AG426" s="62">
        <v>1</v>
      </c>
      <c r="AH426" s="62">
        <v>3</v>
      </c>
      <c r="AI426" s="62">
        <v>4</v>
      </c>
      <c r="AJ426" s="62">
        <v>5</v>
      </c>
      <c r="AK426" s="45" t="s">
        <v>94</v>
      </c>
      <c r="AL426" s="36">
        <v>1000</v>
      </c>
      <c r="AM426" t="str">
        <f t="shared" si="28"/>
        <v>1000-2000</v>
      </c>
    </row>
    <row r="427" spans="1:39" x14ac:dyDescent="0.2">
      <c r="A427" s="44" t="s">
        <v>355</v>
      </c>
      <c r="B427" s="60">
        <v>0.71527777777777779</v>
      </c>
      <c r="C427" s="60"/>
      <c r="D427" s="60" t="s">
        <v>96</v>
      </c>
      <c r="E427" s="13">
        <v>2</v>
      </c>
      <c r="F427" s="38" t="str">
        <f>VLOOKUP(E427,[2]Key!$A$17:$B$21,2,FALSE)</f>
        <v>Road Vehicle</v>
      </c>
      <c r="G427" s="61">
        <v>4</v>
      </c>
      <c r="H427" s="39" t="str">
        <f>VLOOKUP(G427,[2]Key!$A$2:$B$13,2,FALSE)</f>
        <v>Minibus</v>
      </c>
      <c r="I427" s="13" t="s">
        <v>108</v>
      </c>
      <c r="J427" s="13">
        <v>4</v>
      </c>
      <c r="K427" s="40" t="str">
        <f>VLOOKUP(J427,[2]Key!$A$24:$B$29,2,FALSE)</f>
        <v>50-59</v>
      </c>
      <c r="L427" s="13" t="s">
        <v>356</v>
      </c>
      <c r="M427" s="23" t="s">
        <v>150</v>
      </c>
      <c r="N427" s="13" t="s">
        <v>357</v>
      </c>
      <c r="O427" s="45">
        <v>4</v>
      </c>
      <c r="P427" s="30" t="str">
        <f>VLOOKUP(O427,[2]Key!$E$2:$F$9,2,FALSE)</f>
        <v>Commercial</v>
      </c>
      <c r="Q427" s="13" t="s">
        <v>467</v>
      </c>
      <c r="R427" s="23" t="s">
        <v>468</v>
      </c>
      <c r="S427" s="13" t="s">
        <v>357</v>
      </c>
      <c r="T427" s="23">
        <v>4</v>
      </c>
      <c r="U427" s="30" t="str">
        <f>VLOOKUP(T427,[2]Key!$E$2:$F$9,2,FALSE)</f>
        <v>Commercial</v>
      </c>
      <c r="V427" s="30" t="str">
        <f t="shared" si="25"/>
        <v>Commercial-Commercial</v>
      </c>
      <c r="W427" s="23">
        <v>100000</v>
      </c>
      <c r="X427" s="62">
        <v>120.7</v>
      </c>
      <c r="Y427" s="62" t="str">
        <f t="shared" si="26"/>
        <v>100-200</v>
      </c>
      <c r="Z427" s="62">
        <v>2</v>
      </c>
      <c r="AA427" s="62" t="str">
        <f t="shared" si="27"/>
        <v>2.0-3.5</v>
      </c>
      <c r="AB427" s="23">
        <v>5</v>
      </c>
      <c r="AC427" s="30" t="str">
        <f>VLOOKUP(AB427,[2]Key!$C$20:$D$29,2,FALSE)</f>
        <v>Professional</v>
      </c>
      <c r="AD427" s="23">
        <v>2</v>
      </c>
      <c r="AE427" s="30" t="str">
        <f>VLOOKUP(AD427,[2]Key!$E$20:$F$24,2,FALSE)</f>
        <v>300,000-500,000</v>
      </c>
      <c r="AF427" s="23">
        <v>5</v>
      </c>
      <c r="AG427" s="62">
        <v>4</v>
      </c>
      <c r="AH427" s="62">
        <v>3</v>
      </c>
      <c r="AI427" s="62">
        <v>5</v>
      </c>
      <c r="AJ427" s="62">
        <v>5</v>
      </c>
      <c r="AK427" s="45" t="s">
        <v>94</v>
      </c>
      <c r="AL427" s="36">
        <v>1000</v>
      </c>
      <c r="AM427" t="str">
        <f t="shared" si="28"/>
        <v>1000-2000</v>
      </c>
    </row>
    <row r="428" spans="1:39" x14ac:dyDescent="0.2">
      <c r="A428" s="44" t="s">
        <v>355</v>
      </c>
      <c r="B428" s="60">
        <v>0.34027777777777773</v>
      </c>
      <c r="C428" s="60"/>
      <c r="D428" s="60" t="s">
        <v>165</v>
      </c>
      <c r="E428" s="13">
        <v>2</v>
      </c>
      <c r="F428" s="38" t="str">
        <f>VLOOKUP(E428,[2]Key!$A$17:$B$21,2,FALSE)</f>
        <v>Road Vehicle</v>
      </c>
      <c r="G428" s="61">
        <v>4</v>
      </c>
      <c r="H428" s="39" t="str">
        <f>VLOOKUP(G428,[2]Key!$A$2:$B$13,2,FALSE)</f>
        <v>Minibus</v>
      </c>
      <c r="I428" s="13" t="s">
        <v>108</v>
      </c>
      <c r="J428" s="13">
        <v>4</v>
      </c>
      <c r="K428" s="40" t="str">
        <f>VLOOKUP(J428,[2]Key!$A$24:$B$29,2,FALSE)</f>
        <v>50-59</v>
      </c>
      <c r="L428" s="13" t="s">
        <v>356</v>
      </c>
      <c r="M428" s="23" t="s">
        <v>150</v>
      </c>
      <c r="N428" s="13" t="s">
        <v>357</v>
      </c>
      <c r="O428" s="45">
        <v>2</v>
      </c>
      <c r="P428" s="30" t="str">
        <f>VLOOKUP(O428,[2]Key!$E$2:$F$9,2,FALSE)</f>
        <v>Work</v>
      </c>
      <c r="Q428" s="13" t="s">
        <v>469</v>
      </c>
      <c r="R428" s="23" t="s">
        <v>195</v>
      </c>
      <c r="S428" s="13" t="s">
        <v>357</v>
      </c>
      <c r="T428" s="23">
        <v>1</v>
      </c>
      <c r="U428" s="30" t="str">
        <f>VLOOKUP(T428,[2]Key!$E$2:$F$9,2,FALSE)</f>
        <v>Home</v>
      </c>
      <c r="V428" s="30" t="str">
        <f t="shared" si="25"/>
        <v>Work-Home</v>
      </c>
      <c r="W428" s="41">
        <v>14000</v>
      </c>
      <c r="X428" s="62">
        <v>450</v>
      </c>
      <c r="Y428" s="62" t="str">
        <f t="shared" si="26"/>
        <v>Over 200</v>
      </c>
      <c r="Z428" s="62">
        <v>3.5</v>
      </c>
      <c r="AA428" s="62" t="str">
        <f t="shared" si="27"/>
        <v>Over 3.5</v>
      </c>
      <c r="AB428" s="23">
        <v>4</v>
      </c>
      <c r="AC428" s="30" t="str">
        <f>VLOOKUP(AB428,[2]Key!$C$20:$D$29,2,FALSE)</f>
        <v>Office Worker</v>
      </c>
      <c r="AD428" s="23">
        <v>3</v>
      </c>
      <c r="AE428" s="30" t="str">
        <f>VLOOKUP(AD428,[2]Key!$E$20:$F$24,2,FALSE)</f>
        <v>500,000-750,000</v>
      </c>
      <c r="AF428" s="23">
        <v>5</v>
      </c>
      <c r="AG428" s="62">
        <v>1</v>
      </c>
      <c r="AH428" s="62">
        <v>2</v>
      </c>
      <c r="AI428" s="62">
        <v>1</v>
      </c>
      <c r="AJ428" s="62">
        <v>2</v>
      </c>
      <c r="AK428" s="45" t="s">
        <v>94</v>
      </c>
      <c r="AL428" s="36">
        <v>1000</v>
      </c>
      <c r="AM428" t="str">
        <f t="shared" si="28"/>
        <v>1000-2000</v>
      </c>
    </row>
    <row r="429" spans="1:39" x14ac:dyDescent="0.2">
      <c r="A429" s="44" t="s">
        <v>355</v>
      </c>
      <c r="B429" s="60">
        <v>0.45</v>
      </c>
      <c r="C429" s="60"/>
      <c r="D429" s="60" t="s">
        <v>165</v>
      </c>
      <c r="E429" s="13">
        <v>2</v>
      </c>
      <c r="F429" s="38" t="str">
        <f>VLOOKUP(E429,[2]Key!$A$17:$B$21,2,FALSE)</f>
        <v>Road Vehicle</v>
      </c>
      <c r="G429" s="61">
        <v>4</v>
      </c>
      <c r="H429" s="39" t="str">
        <f>VLOOKUP(G429,[2]Key!$A$2:$B$13,2,FALSE)</f>
        <v>Minibus</v>
      </c>
      <c r="I429" s="13" t="s">
        <v>108</v>
      </c>
      <c r="J429" s="13">
        <v>4</v>
      </c>
      <c r="K429" s="40" t="str">
        <f>VLOOKUP(J429,[2]Key!$A$24:$B$29,2,FALSE)</f>
        <v>50-59</v>
      </c>
      <c r="L429" s="13" t="s">
        <v>356</v>
      </c>
      <c r="M429" s="23" t="s">
        <v>150</v>
      </c>
      <c r="N429" s="13" t="s">
        <v>357</v>
      </c>
      <c r="O429" s="45">
        <v>2</v>
      </c>
      <c r="P429" s="30" t="str">
        <f>VLOOKUP(O429,[2]Key!$E$2:$F$9,2,FALSE)</f>
        <v>Work</v>
      </c>
      <c r="Q429" s="13" t="s">
        <v>431</v>
      </c>
      <c r="R429" s="23" t="s">
        <v>432</v>
      </c>
      <c r="S429" s="13" t="s">
        <v>357</v>
      </c>
      <c r="T429" s="23">
        <v>1</v>
      </c>
      <c r="U429" s="30" t="str">
        <f>VLOOKUP(T429,[2]Key!$E$2:$F$9,2,FALSE)</f>
        <v>Home</v>
      </c>
      <c r="V429" s="30" t="str">
        <f t="shared" si="25"/>
        <v>Work-Home</v>
      </c>
      <c r="W429" s="41">
        <v>20000</v>
      </c>
      <c r="X429" s="62">
        <v>500</v>
      </c>
      <c r="Y429" s="62" t="str">
        <f t="shared" si="26"/>
        <v>Over 200</v>
      </c>
      <c r="Z429" s="62">
        <v>4</v>
      </c>
      <c r="AA429" s="62" t="str">
        <f t="shared" si="27"/>
        <v>Over 3.5</v>
      </c>
      <c r="AB429" s="23">
        <v>4</v>
      </c>
      <c r="AC429" s="30" t="str">
        <f>VLOOKUP(AB429,[2]Key!$C$20:$D$29,2,FALSE)</f>
        <v>Office Worker</v>
      </c>
      <c r="AD429" s="23">
        <v>3</v>
      </c>
      <c r="AE429" s="30" t="str">
        <f>VLOOKUP(AD429,[2]Key!$E$20:$F$24,2,FALSE)</f>
        <v>500,000-750,000</v>
      </c>
      <c r="AF429" s="23">
        <v>1</v>
      </c>
      <c r="AG429" s="62">
        <v>2</v>
      </c>
      <c r="AH429" s="62">
        <v>1</v>
      </c>
      <c r="AI429" s="62">
        <v>2</v>
      </c>
      <c r="AJ429" s="62">
        <v>1</v>
      </c>
      <c r="AK429" s="45" t="s">
        <v>94</v>
      </c>
      <c r="AL429" s="36">
        <v>1000</v>
      </c>
      <c r="AM429" t="str">
        <f t="shared" si="28"/>
        <v>1000-2000</v>
      </c>
    </row>
    <row r="430" spans="1:39" x14ac:dyDescent="0.2">
      <c r="A430" s="44" t="s">
        <v>355</v>
      </c>
      <c r="B430" s="60">
        <v>0.7270833333333333</v>
      </c>
      <c r="C430" s="60"/>
      <c r="D430" s="60" t="s">
        <v>165</v>
      </c>
      <c r="E430" s="13">
        <v>2</v>
      </c>
      <c r="F430" s="38" t="str">
        <f>VLOOKUP(E430,[2]Key!$A$17:$B$21,2,FALSE)</f>
        <v>Road Vehicle</v>
      </c>
      <c r="G430" s="61">
        <v>4</v>
      </c>
      <c r="H430" s="39" t="str">
        <f>VLOOKUP(G430,[2]Key!$A$2:$B$13,2,FALSE)</f>
        <v>Minibus</v>
      </c>
      <c r="I430" s="13" t="s">
        <v>108</v>
      </c>
      <c r="J430" s="13">
        <v>4</v>
      </c>
      <c r="K430" s="40" t="str">
        <f>VLOOKUP(J430,[2]Key!$A$24:$B$29,2,FALSE)</f>
        <v>50-59</v>
      </c>
      <c r="L430" s="13" t="s">
        <v>356</v>
      </c>
      <c r="M430" s="23" t="s">
        <v>150</v>
      </c>
      <c r="N430" s="13" t="s">
        <v>357</v>
      </c>
      <c r="O430" s="45">
        <v>4</v>
      </c>
      <c r="P430" s="30" t="str">
        <f>VLOOKUP(O430,[2]Key!$E$2:$F$9,2,FALSE)</f>
        <v>Commercial</v>
      </c>
      <c r="Q430" s="13" t="s">
        <v>431</v>
      </c>
      <c r="R430" s="23" t="s">
        <v>432</v>
      </c>
      <c r="S430" s="13" t="s">
        <v>357</v>
      </c>
      <c r="T430" s="23">
        <v>2</v>
      </c>
      <c r="U430" s="30" t="str">
        <f>VLOOKUP(T430,[2]Key!$E$2:$F$9,2,FALSE)</f>
        <v>Work</v>
      </c>
      <c r="V430" s="30" t="str">
        <f t="shared" si="25"/>
        <v>Commercial-Work</v>
      </c>
      <c r="W430" s="23">
        <v>20000</v>
      </c>
      <c r="X430" s="62">
        <v>220</v>
      </c>
      <c r="Y430" s="62" t="str">
        <f t="shared" si="26"/>
        <v>Over 200</v>
      </c>
      <c r="Z430" s="62">
        <v>4</v>
      </c>
      <c r="AA430" s="62" t="str">
        <f t="shared" si="27"/>
        <v>Over 3.5</v>
      </c>
      <c r="AB430" s="23">
        <v>6</v>
      </c>
      <c r="AC430" s="30" t="str">
        <f>VLOOKUP(AB430,[2]Key!$C$20:$D$29,2,FALSE)</f>
        <v>Businessman</v>
      </c>
      <c r="AD430" s="23">
        <v>1</v>
      </c>
      <c r="AE430" s="30" t="str">
        <f>VLOOKUP(AD430,[2]Key!$E$20:$F$24,2,FALSE)</f>
        <v>&lt;300,000</v>
      </c>
      <c r="AF430" s="23">
        <v>5</v>
      </c>
      <c r="AG430" s="62">
        <v>4</v>
      </c>
      <c r="AH430" s="62">
        <v>1</v>
      </c>
      <c r="AI430" s="62">
        <v>5</v>
      </c>
      <c r="AJ430" s="62">
        <v>5</v>
      </c>
      <c r="AK430" s="45" t="s">
        <v>94</v>
      </c>
      <c r="AL430" s="36">
        <v>1000</v>
      </c>
      <c r="AM430" t="str">
        <f t="shared" si="28"/>
        <v>1000-2000</v>
      </c>
    </row>
    <row r="431" spans="1:39" x14ac:dyDescent="0.2">
      <c r="A431" s="44" t="s">
        <v>355</v>
      </c>
      <c r="B431" s="60">
        <v>0.48888888888888887</v>
      </c>
      <c r="C431" s="60"/>
      <c r="D431" s="60" t="s">
        <v>96</v>
      </c>
      <c r="E431" s="13">
        <v>2</v>
      </c>
      <c r="F431" s="38" t="str">
        <f>VLOOKUP(E431,[2]Key!$A$17:$B$21,2,FALSE)</f>
        <v>Road Vehicle</v>
      </c>
      <c r="G431" s="61">
        <v>4</v>
      </c>
      <c r="H431" s="39" t="str">
        <f>VLOOKUP(G431,[2]Key!$A$2:$B$13,2,FALSE)</f>
        <v>Minibus</v>
      </c>
      <c r="I431" s="13" t="s">
        <v>108</v>
      </c>
      <c r="J431" s="13">
        <v>4</v>
      </c>
      <c r="K431" s="40" t="str">
        <f>VLOOKUP(J431,[2]Key!$A$24:$B$29,2,FALSE)</f>
        <v>50-59</v>
      </c>
      <c r="L431" s="13" t="s">
        <v>356</v>
      </c>
      <c r="M431" s="23" t="s">
        <v>150</v>
      </c>
      <c r="N431" s="13" t="s">
        <v>357</v>
      </c>
      <c r="O431" s="45">
        <v>4</v>
      </c>
      <c r="P431" s="30" t="str">
        <f>VLOOKUP(O431,[2]Key!$E$2:$F$9,2,FALSE)</f>
        <v>Commercial</v>
      </c>
      <c r="Q431" s="13" t="s">
        <v>358</v>
      </c>
      <c r="R431" s="23" t="s">
        <v>359</v>
      </c>
      <c r="S431" s="13" t="s">
        <v>357</v>
      </c>
      <c r="T431" s="23">
        <v>4</v>
      </c>
      <c r="U431" s="30" t="str">
        <f>VLOOKUP(T431,[2]Key!$E$2:$F$9,2,FALSE)</f>
        <v>Commercial</v>
      </c>
      <c r="V431" s="30" t="str">
        <f t="shared" si="25"/>
        <v>Commercial-Commercial</v>
      </c>
      <c r="W431" s="23">
        <v>300000</v>
      </c>
      <c r="X431" s="62">
        <v>370</v>
      </c>
      <c r="Y431" s="62" t="str">
        <f t="shared" si="26"/>
        <v>Over 200</v>
      </c>
      <c r="Z431" s="62">
        <v>6</v>
      </c>
      <c r="AA431" s="62" t="str">
        <f t="shared" si="27"/>
        <v>Over 3.5</v>
      </c>
      <c r="AB431" s="23">
        <v>5</v>
      </c>
      <c r="AC431" s="30" t="str">
        <f>VLOOKUP(AB431,[2]Key!$C$20:$D$29,2,FALSE)</f>
        <v>Professional</v>
      </c>
      <c r="AD431" s="23">
        <v>2</v>
      </c>
      <c r="AE431" s="30" t="str">
        <f>VLOOKUP(AD431,[2]Key!$E$20:$F$24,2,FALSE)</f>
        <v>300,000-500,000</v>
      </c>
      <c r="AF431" s="23">
        <v>5</v>
      </c>
      <c r="AG431" s="62">
        <v>5</v>
      </c>
      <c r="AH431" s="62">
        <v>2</v>
      </c>
      <c r="AI431" s="62">
        <v>4</v>
      </c>
      <c r="AJ431" s="62">
        <v>5</v>
      </c>
      <c r="AK431" s="45" t="s">
        <v>94</v>
      </c>
      <c r="AL431" s="36">
        <v>1000</v>
      </c>
      <c r="AM431" t="str">
        <f t="shared" si="28"/>
        <v>1000-2000</v>
      </c>
    </row>
    <row r="432" spans="1:39" x14ac:dyDescent="0.2">
      <c r="A432" s="44" t="s">
        <v>355</v>
      </c>
      <c r="B432" s="60">
        <v>0.5541666666666667</v>
      </c>
      <c r="C432" s="60"/>
      <c r="D432" s="60" t="s">
        <v>165</v>
      </c>
      <c r="E432" s="13">
        <v>2</v>
      </c>
      <c r="F432" s="38" t="str">
        <f>VLOOKUP(E432,[2]Key!$A$17:$B$21,2,FALSE)</f>
        <v>Road Vehicle</v>
      </c>
      <c r="G432" s="61">
        <v>4</v>
      </c>
      <c r="H432" s="39" t="str">
        <f>VLOOKUP(G432,[2]Key!$A$2:$B$13,2,FALSE)</f>
        <v>Minibus</v>
      </c>
      <c r="I432" s="13" t="s">
        <v>108</v>
      </c>
      <c r="J432" s="13">
        <v>4</v>
      </c>
      <c r="K432" s="40" t="str">
        <f>VLOOKUP(J432,[2]Key!$A$24:$B$29,2,FALSE)</f>
        <v>50-59</v>
      </c>
      <c r="L432" s="13" t="s">
        <v>356</v>
      </c>
      <c r="M432" s="23" t="s">
        <v>150</v>
      </c>
      <c r="N432" s="13" t="s">
        <v>357</v>
      </c>
      <c r="O432" s="45">
        <v>2</v>
      </c>
      <c r="P432" s="30" t="str">
        <f>VLOOKUP(O432,[2]Key!$E$2:$F$9,2,FALSE)</f>
        <v>Work</v>
      </c>
      <c r="Q432" s="13" t="s">
        <v>470</v>
      </c>
      <c r="R432" s="23" t="s">
        <v>164</v>
      </c>
      <c r="S432" s="13" t="s">
        <v>357</v>
      </c>
      <c r="T432" s="23">
        <v>1</v>
      </c>
      <c r="U432" s="30" t="str">
        <f>VLOOKUP(T432,[2]Key!$E$2:$F$9,2,FALSE)</f>
        <v>Home</v>
      </c>
      <c r="V432" s="30" t="str">
        <f t="shared" si="25"/>
        <v>Work-Home</v>
      </c>
      <c r="W432" s="23">
        <v>30000</v>
      </c>
      <c r="X432" s="62">
        <v>457</v>
      </c>
      <c r="Y432" s="62" t="str">
        <f t="shared" si="26"/>
        <v>Over 200</v>
      </c>
      <c r="Z432" s="62">
        <v>6</v>
      </c>
      <c r="AA432" s="62" t="str">
        <f t="shared" si="27"/>
        <v>Over 3.5</v>
      </c>
      <c r="AB432" s="23">
        <v>5</v>
      </c>
      <c r="AC432" s="30" t="str">
        <f>VLOOKUP(AB432,[2]Key!$C$20:$D$29,2,FALSE)</f>
        <v>Professional</v>
      </c>
      <c r="AD432" s="23">
        <v>2</v>
      </c>
      <c r="AE432" s="30" t="str">
        <f>VLOOKUP(AD432,[2]Key!$E$20:$F$24,2,FALSE)</f>
        <v>300,000-500,000</v>
      </c>
      <c r="AF432" s="23">
        <v>1</v>
      </c>
      <c r="AG432" s="62">
        <v>2</v>
      </c>
      <c r="AH432" s="62">
        <v>1</v>
      </c>
      <c r="AI432" s="62">
        <v>2</v>
      </c>
      <c r="AJ432" s="62">
        <v>2</v>
      </c>
      <c r="AK432" s="45" t="s">
        <v>94</v>
      </c>
      <c r="AL432" s="36">
        <v>1000</v>
      </c>
      <c r="AM432" t="str">
        <f t="shared" si="28"/>
        <v>1000-2000</v>
      </c>
    </row>
    <row r="433" spans="1:39" x14ac:dyDescent="0.2">
      <c r="A433" s="44" t="s">
        <v>355</v>
      </c>
      <c r="B433" s="60">
        <v>0.43263888888888885</v>
      </c>
      <c r="C433" s="60"/>
      <c r="D433" s="60" t="s">
        <v>96</v>
      </c>
      <c r="E433" s="13">
        <v>2</v>
      </c>
      <c r="F433" s="38" t="str">
        <f>VLOOKUP(E433,[2]Key!$A$17:$B$21,2,FALSE)</f>
        <v>Road Vehicle</v>
      </c>
      <c r="G433" s="61">
        <v>4</v>
      </c>
      <c r="H433" s="39" t="str">
        <f>VLOOKUP(G433,[2]Key!$A$2:$B$13,2,FALSE)</f>
        <v>Minibus</v>
      </c>
      <c r="I433" s="13" t="s">
        <v>108</v>
      </c>
      <c r="J433" s="13">
        <v>5</v>
      </c>
      <c r="K433" s="40" t="str">
        <f>VLOOKUP(J433,[2]Key!$A$24:$B$29,2,FALSE)</f>
        <v>60-69</v>
      </c>
      <c r="L433" s="13" t="s">
        <v>356</v>
      </c>
      <c r="M433" s="23" t="s">
        <v>150</v>
      </c>
      <c r="N433" s="13" t="s">
        <v>357</v>
      </c>
      <c r="O433" s="45">
        <v>4</v>
      </c>
      <c r="P433" s="30" t="str">
        <f>VLOOKUP(O433,[2]Key!$E$2:$F$9,2,FALSE)</f>
        <v>Commercial</v>
      </c>
      <c r="Q433" s="13" t="s">
        <v>431</v>
      </c>
      <c r="R433" s="23" t="s">
        <v>432</v>
      </c>
      <c r="S433" s="13" t="s">
        <v>357</v>
      </c>
      <c r="T433" s="23">
        <v>4</v>
      </c>
      <c r="U433" s="30" t="str">
        <f>VLOOKUP(T433,[2]Key!$E$2:$F$9,2,FALSE)</f>
        <v>Commercial</v>
      </c>
      <c r="V433" s="30" t="str">
        <f t="shared" si="25"/>
        <v>Commercial-Commercial</v>
      </c>
      <c r="W433" s="23">
        <v>250000</v>
      </c>
      <c r="X433" s="62">
        <v>410</v>
      </c>
      <c r="Y433" s="62" t="str">
        <f t="shared" si="26"/>
        <v>Over 200</v>
      </c>
      <c r="Z433" s="62">
        <v>4</v>
      </c>
      <c r="AA433" s="62" t="str">
        <f t="shared" si="27"/>
        <v>Over 3.5</v>
      </c>
      <c r="AB433" s="23">
        <v>5</v>
      </c>
      <c r="AC433" s="30" t="str">
        <f>VLOOKUP(AB433,[2]Key!$C$20:$D$29,2,FALSE)</f>
        <v>Professional</v>
      </c>
      <c r="AD433" s="23">
        <v>1</v>
      </c>
      <c r="AE433" s="30" t="str">
        <f>VLOOKUP(AD433,[2]Key!$E$20:$F$24,2,FALSE)</f>
        <v>&lt;300,000</v>
      </c>
      <c r="AF433" s="23">
        <v>5</v>
      </c>
      <c r="AG433" s="62">
        <v>4</v>
      </c>
      <c r="AH433" s="62">
        <v>3</v>
      </c>
      <c r="AI433" s="62">
        <v>5</v>
      </c>
      <c r="AJ433" s="62">
        <v>3</v>
      </c>
      <c r="AK433" s="45" t="s">
        <v>94</v>
      </c>
      <c r="AL433" s="36">
        <v>2000</v>
      </c>
      <c r="AM433" t="str">
        <f t="shared" si="28"/>
        <v>2000-3000</v>
      </c>
    </row>
  </sheetData>
  <sortState xmlns:xlrd2="http://schemas.microsoft.com/office/spreadsheetml/2017/richdata2" ref="A2:AT75">
    <sortCondition ref="H2:H75"/>
    <sortCondition ref="I2:I75"/>
    <sortCondition ref="K2:K75"/>
  </sortState>
  <pageMargins left="0.2" right="0.2" top="0.15" bottom="0.15" header="0.05" footer="0.3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56" t="s">
        <v>0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56" t="s">
        <v>1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51" t="s">
        <v>8</v>
      </c>
      <c r="C7" s="49" t="s">
        <v>9</v>
      </c>
      <c r="D7" s="49" t="s">
        <v>10</v>
      </c>
      <c r="E7" s="49" t="s">
        <v>11</v>
      </c>
      <c r="F7" s="49" t="s">
        <v>12</v>
      </c>
      <c r="G7" s="49"/>
      <c r="H7" s="49" t="s">
        <v>15</v>
      </c>
      <c r="I7" s="49" t="s">
        <v>16</v>
      </c>
      <c r="J7" s="49" t="s">
        <v>17</v>
      </c>
      <c r="K7" s="49"/>
      <c r="L7" s="49" t="s">
        <v>18</v>
      </c>
      <c r="M7" s="49" t="s">
        <v>19</v>
      </c>
      <c r="N7" s="49" t="s">
        <v>20</v>
      </c>
      <c r="O7" s="50" t="s">
        <v>21</v>
      </c>
      <c r="P7" s="52" t="s">
        <v>27</v>
      </c>
      <c r="Q7" s="53"/>
    </row>
    <row r="8" spans="2:25" ht="24.75" customHeight="1" thickBot="1" x14ac:dyDescent="0.25">
      <c r="B8" s="57"/>
      <c r="C8" s="58"/>
      <c r="D8" s="58"/>
      <c r="E8" s="58"/>
      <c r="F8" s="18" t="s">
        <v>13</v>
      </c>
      <c r="G8" s="18" t="s">
        <v>14</v>
      </c>
      <c r="H8" s="58"/>
      <c r="I8" s="58"/>
      <c r="J8" s="18" t="s">
        <v>13</v>
      </c>
      <c r="K8" s="18" t="s">
        <v>14</v>
      </c>
      <c r="L8" s="58"/>
      <c r="M8" s="58"/>
      <c r="N8" s="58"/>
      <c r="O8" s="59"/>
      <c r="P8" s="54"/>
      <c r="Q8" s="55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workbookViewId="0">
      <selection activeCell="B2" sqref="B2:B13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27"/>
      <c r="B1" s="25" t="s">
        <v>33</v>
      </c>
      <c r="C1" s="25"/>
      <c r="D1" s="25" t="s">
        <v>46</v>
      </c>
      <c r="E1" s="25"/>
      <c r="F1" s="26" t="s">
        <v>63</v>
      </c>
      <c r="G1" s="27"/>
      <c r="H1" s="27" t="s">
        <v>71</v>
      </c>
      <c r="I1" s="27"/>
      <c r="J1" s="27" t="s">
        <v>78</v>
      </c>
      <c r="K1" s="27"/>
      <c r="L1" s="27"/>
      <c r="M1" s="27"/>
      <c r="N1" s="27"/>
      <c r="O1" s="27"/>
    </row>
    <row r="2" spans="1:15" x14ac:dyDescent="0.2">
      <c r="A2">
        <v>1</v>
      </c>
      <c r="B2" s="24" t="s">
        <v>35</v>
      </c>
      <c r="C2" s="10">
        <v>1</v>
      </c>
      <c r="D2" s="24" t="s">
        <v>47</v>
      </c>
      <c r="E2" s="10">
        <v>1</v>
      </c>
      <c r="F2" t="s">
        <v>64</v>
      </c>
      <c r="G2">
        <v>1</v>
      </c>
      <c r="H2" s="19" t="s">
        <v>72</v>
      </c>
      <c r="I2">
        <v>1</v>
      </c>
      <c r="J2" s="19" t="s">
        <v>79</v>
      </c>
    </row>
    <row r="3" spans="1:15" x14ac:dyDescent="0.2">
      <c r="A3">
        <v>2</v>
      </c>
      <c r="B3" s="24" t="s">
        <v>36</v>
      </c>
      <c r="C3" s="10">
        <v>2</v>
      </c>
      <c r="D3" s="24" t="s">
        <v>48</v>
      </c>
      <c r="E3" s="10">
        <v>2</v>
      </c>
      <c r="F3" t="s">
        <v>65</v>
      </c>
      <c r="G3">
        <v>2</v>
      </c>
      <c r="H3" s="19" t="s">
        <v>73</v>
      </c>
      <c r="I3">
        <v>2</v>
      </c>
      <c r="J3" s="19" t="s">
        <v>80</v>
      </c>
    </row>
    <row r="4" spans="1:15" x14ac:dyDescent="0.2">
      <c r="A4">
        <v>3</v>
      </c>
      <c r="B4" s="24" t="s">
        <v>37</v>
      </c>
      <c r="C4" s="10">
        <v>3</v>
      </c>
      <c r="D4" s="24" t="s">
        <v>49</v>
      </c>
      <c r="E4" s="10">
        <v>3</v>
      </c>
      <c r="F4" t="s">
        <v>66</v>
      </c>
      <c r="G4">
        <v>3</v>
      </c>
      <c r="H4" s="19" t="s">
        <v>74</v>
      </c>
      <c r="I4">
        <v>3</v>
      </c>
      <c r="J4" s="19" t="s">
        <v>81</v>
      </c>
    </row>
    <row r="5" spans="1:15" x14ac:dyDescent="0.2">
      <c r="A5">
        <v>4</v>
      </c>
      <c r="B5" s="24" t="s">
        <v>106</v>
      </c>
      <c r="C5" s="10">
        <v>4</v>
      </c>
      <c r="D5" s="24" t="s">
        <v>50</v>
      </c>
      <c r="E5" s="10">
        <v>4</v>
      </c>
      <c r="F5" t="s">
        <v>67</v>
      </c>
      <c r="G5">
        <v>4</v>
      </c>
      <c r="H5" s="19" t="s">
        <v>75</v>
      </c>
      <c r="I5">
        <v>4</v>
      </c>
      <c r="J5" s="28" t="s">
        <v>82</v>
      </c>
    </row>
    <row r="6" spans="1:15" x14ac:dyDescent="0.2">
      <c r="A6">
        <v>5</v>
      </c>
      <c r="B6" s="24" t="s">
        <v>38</v>
      </c>
      <c r="C6" s="10">
        <v>5</v>
      </c>
      <c r="D6" s="24" t="s">
        <v>51</v>
      </c>
      <c r="E6" s="10">
        <v>5</v>
      </c>
      <c r="F6" t="s">
        <v>68</v>
      </c>
      <c r="G6">
        <v>5</v>
      </c>
      <c r="H6" s="19" t="s">
        <v>76</v>
      </c>
      <c r="I6">
        <v>5</v>
      </c>
      <c r="J6" s="19" t="s">
        <v>83</v>
      </c>
    </row>
    <row r="7" spans="1:15" x14ac:dyDescent="0.2">
      <c r="A7">
        <v>6</v>
      </c>
      <c r="B7" s="24" t="s">
        <v>39</v>
      </c>
      <c r="C7" s="10">
        <v>6</v>
      </c>
      <c r="D7" s="24" t="s">
        <v>52</v>
      </c>
      <c r="E7" s="10">
        <v>6</v>
      </c>
      <c r="F7" t="s">
        <v>69</v>
      </c>
      <c r="G7">
        <v>6</v>
      </c>
      <c r="H7" s="19" t="s">
        <v>77</v>
      </c>
      <c r="I7">
        <v>6</v>
      </c>
      <c r="J7" s="19" t="s">
        <v>84</v>
      </c>
    </row>
    <row r="8" spans="1:15" x14ac:dyDescent="0.2">
      <c r="A8">
        <v>7</v>
      </c>
      <c r="B8" s="24" t="s">
        <v>40</v>
      </c>
      <c r="C8" s="10">
        <v>7</v>
      </c>
      <c r="D8" s="24" t="s">
        <v>53</v>
      </c>
      <c r="E8" s="10">
        <v>7</v>
      </c>
      <c r="F8" t="s">
        <v>51</v>
      </c>
      <c r="I8">
        <v>7</v>
      </c>
      <c r="J8" s="19" t="s">
        <v>85</v>
      </c>
    </row>
    <row r="9" spans="1:15" x14ac:dyDescent="0.2">
      <c r="A9">
        <v>8</v>
      </c>
      <c r="B9" s="24" t="s">
        <v>41</v>
      </c>
      <c r="C9" s="10">
        <v>8</v>
      </c>
      <c r="D9" s="24" t="s">
        <v>54</v>
      </c>
      <c r="E9" s="10">
        <v>8</v>
      </c>
      <c r="F9" t="s">
        <v>70</v>
      </c>
      <c r="I9">
        <v>8</v>
      </c>
      <c r="J9" s="19" t="s">
        <v>86</v>
      </c>
    </row>
    <row r="10" spans="1:15" x14ac:dyDescent="0.2">
      <c r="A10">
        <v>9</v>
      </c>
      <c r="B10" s="24" t="s">
        <v>42</v>
      </c>
      <c r="C10" s="10">
        <v>9</v>
      </c>
      <c r="D10" s="24" t="s">
        <v>55</v>
      </c>
      <c r="E10" s="10"/>
      <c r="I10">
        <v>9</v>
      </c>
      <c r="J10" s="19" t="s">
        <v>87</v>
      </c>
    </row>
    <row r="11" spans="1:15" x14ac:dyDescent="0.2">
      <c r="A11">
        <v>10</v>
      </c>
      <c r="B11" s="24" t="s">
        <v>43</v>
      </c>
      <c r="C11" s="10">
        <v>10</v>
      </c>
      <c r="D11" s="24" t="s">
        <v>56</v>
      </c>
      <c r="E11" s="10"/>
      <c r="I11">
        <v>10</v>
      </c>
      <c r="J11" s="28" t="s">
        <v>88</v>
      </c>
    </row>
    <row r="12" spans="1:15" x14ac:dyDescent="0.2">
      <c r="A12">
        <v>11</v>
      </c>
      <c r="B12" s="24" t="s">
        <v>45</v>
      </c>
      <c r="C12" s="10">
        <v>11</v>
      </c>
      <c r="D12" s="24" t="s">
        <v>57</v>
      </c>
      <c r="E12" s="10"/>
      <c r="I12">
        <v>11</v>
      </c>
      <c r="J12" s="19" t="s">
        <v>89</v>
      </c>
    </row>
    <row r="13" spans="1:15" x14ac:dyDescent="0.2">
      <c r="A13">
        <v>12</v>
      </c>
      <c r="B13" s="24" t="s">
        <v>44</v>
      </c>
      <c r="C13" s="10">
        <v>12</v>
      </c>
      <c r="D13" s="24" t="s">
        <v>58</v>
      </c>
      <c r="E13" s="10"/>
      <c r="I13">
        <v>12</v>
      </c>
      <c r="J13" s="19" t="s">
        <v>90</v>
      </c>
    </row>
    <row r="14" spans="1:15" x14ac:dyDescent="0.2">
      <c r="C14" s="10">
        <v>13</v>
      </c>
      <c r="D14" s="19" t="s">
        <v>59</v>
      </c>
    </row>
    <row r="15" spans="1:15" x14ac:dyDescent="0.2">
      <c r="B15" s="1"/>
      <c r="C15" s="10">
        <v>14</v>
      </c>
      <c r="D15" s="19" t="s">
        <v>60</v>
      </c>
    </row>
    <row r="16" spans="1:15" x14ac:dyDescent="0.2">
      <c r="A16" s="27"/>
      <c r="B16" s="25" t="s">
        <v>99</v>
      </c>
      <c r="C16" s="10">
        <v>15</v>
      </c>
      <c r="D16" s="19" t="s">
        <v>61</v>
      </c>
    </row>
    <row r="17" spans="1:6" x14ac:dyDescent="0.2">
      <c r="A17">
        <v>1</v>
      </c>
      <c r="B17" s="24" t="s">
        <v>100</v>
      </c>
      <c r="C17" s="10">
        <v>16</v>
      </c>
      <c r="D17" s="19" t="s">
        <v>62</v>
      </c>
    </row>
    <row r="18" spans="1:6" x14ac:dyDescent="0.2">
      <c r="A18">
        <v>2</v>
      </c>
      <c r="B18" s="24" t="s">
        <v>101</v>
      </c>
    </row>
    <row r="19" spans="1:6" x14ac:dyDescent="0.2">
      <c r="A19">
        <v>3</v>
      </c>
      <c r="B19" s="24" t="s">
        <v>102</v>
      </c>
      <c r="D19" s="1" t="s">
        <v>122</v>
      </c>
      <c r="F19" s="1" t="s">
        <v>135</v>
      </c>
    </row>
    <row r="20" spans="1:6" x14ac:dyDescent="0.2">
      <c r="A20">
        <v>4</v>
      </c>
      <c r="B20" s="24" t="s">
        <v>103</v>
      </c>
      <c r="C20">
        <v>1</v>
      </c>
      <c r="D20" s="19" t="s">
        <v>123</v>
      </c>
      <c r="E20">
        <v>1</v>
      </c>
      <c r="F20" s="19" t="s">
        <v>136</v>
      </c>
    </row>
    <row r="21" spans="1:6" x14ac:dyDescent="0.2">
      <c r="A21">
        <v>5</v>
      </c>
      <c r="B21" s="24" t="s">
        <v>104</v>
      </c>
      <c r="C21">
        <v>2</v>
      </c>
      <c r="D21" s="19" t="s">
        <v>124</v>
      </c>
      <c r="E21">
        <v>2</v>
      </c>
      <c r="F21" s="19" t="s">
        <v>137</v>
      </c>
    </row>
    <row r="22" spans="1:6" x14ac:dyDescent="0.2">
      <c r="C22">
        <v>3</v>
      </c>
      <c r="D22" s="19" t="s">
        <v>125</v>
      </c>
      <c r="E22">
        <v>3</v>
      </c>
      <c r="F22" s="19" t="s">
        <v>138</v>
      </c>
    </row>
    <row r="23" spans="1:6" x14ac:dyDescent="0.2">
      <c r="B23" s="25" t="s">
        <v>109</v>
      </c>
      <c r="C23">
        <v>4</v>
      </c>
      <c r="D23" s="19" t="s">
        <v>126</v>
      </c>
      <c r="E23">
        <v>4</v>
      </c>
      <c r="F23" s="19" t="s">
        <v>139</v>
      </c>
    </row>
    <row r="24" spans="1:6" x14ac:dyDescent="0.2">
      <c r="A24">
        <v>1</v>
      </c>
      <c r="B24" s="19" t="s">
        <v>111</v>
      </c>
      <c r="C24">
        <v>5</v>
      </c>
      <c r="D24" s="19" t="s">
        <v>127</v>
      </c>
      <c r="E24">
        <v>5</v>
      </c>
      <c r="F24" s="19" t="s">
        <v>140</v>
      </c>
    </row>
    <row r="25" spans="1:6" x14ac:dyDescent="0.2">
      <c r="A25">
        <v>2</v>
      </c>
      <c r="B25" s="19" t="s">
        <v>112</v>
      </c>
      <c r="C25">
        <v>6</v>
      </c>
      <c r="D25" s="19" t="s">
        <v>128</v>
      </c>
    </row>
    <row r="26" spans="1:6" x14ac:dyDescent="0.2">
      <c r="A26">
        <v>3</v>
      </c>
      <c r="B26" s="19" t="s">
        <v>113</v>
      </c>
      <c r="C26">
        <v>7</v>
      </c>
      <c r="D26" s="19" t="s">
        <v>129</v>
      </c>
    </row>
    <row r="27" spans="1:6" x14ac:dyDescent="0.2">
      <c r="A27">
        <v>4</v>
      </c>
      <c r="B27" s="19" t="s">
        <v>114</v>
      </c>
      <c r="C27">
        <v>8</v>
      </c>
      <c r="D27" s="19" t="s">
        <v>130</v>
      </c>
    </row>
    <row r="28" spans="1:6" x14ac:dyDescent="0.2">
      <c r="A28">
        <v>5</v>
      </c>
      <c r="B28" s="19" t="s">
        <v>115</v>
      </c>
      <c r="C28">
        <v>9</v>
      </c>
      <c r="D28" s="19" t="s">
        <v>131</v>
      </c>
    </row>
    <row r="29" spans="1:6" x14ac:dyDescent="0.2">
      <c r="A29">
        <v>6</v>
      </c>
      <c r="B29" s="19" t="s">
        <v>116</v>
      </c>
      <c r="C29">
        <v>10</v>
      </c>
      <c r="D29" s="19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Age</vt:lpstr>
      <vt:lpstr>Journey P</vt:lpstr>
      <vt:lpstr>Dist-Time</vt:lpstr>
      <vt:lpstr>Dist-Time Toll</vt:lpstr>
      <vt:lpstr>Income-Toll</vt:lpstr>
      <vt:lpstr>Veh-Toll</vt:lpstr>
      <vt:lpstr>KampalaSP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2019-07-30T09:53:06Z</cp:lastPrinted>
  <dcterms:created xsi:type="dcterms:W3CDTF">2010-10-20T14:55:17Z</dcterms:created>
  <dcterms:modified xsi:type="dcterms:W3CDTF">2020-03-17T10:55:05Z</dcterms:modified>
</cp:coreProperties>
</file>