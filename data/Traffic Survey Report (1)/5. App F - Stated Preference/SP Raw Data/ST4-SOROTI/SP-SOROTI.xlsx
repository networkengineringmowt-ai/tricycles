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SP-DATA\SP_ Data Analysis and Report\SP-DATA\ST4-SOROTI\"/>
    </mc:Choice>
  </mc:AlternateContent>
  <xr:revisionPtr revIDLastSave="0" documentId="13_ncr:1_{6A9750B4-F411-49B0-8477-73CD5F86D0F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oroti" sheetId="3" r:id="rId1"/>
    <sheet name="RSI FORM" sheetId="4" state="hidden" r:id="rId2"/>
    <sheet name="Key" sheetId="5" r:id="rId3"/>
  </sheets>
  <definedNames>
    <definedName name="_xlnm._FilterDatabase" localSheetId="0" hidden="1">Soroti!$C$8:$AM$104</definedName>
    <definedName name="Veh_Type">Soroti!$H$8:$H$153</definedName>
    <definedName name="zones">#REF!</definedName>
    <definedName name="Zones_Ndeke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6" i="3" l="1"/>
  <c r="P180" i="3"/>
  <c r="O180" i="3"/>
  <c r="N180" i="3"/>
  <c r="J186" i="3"/>
  <c r="O186" i="3" s="1"/>
  <c r="I186" i="3"/>
  <c r="N186" i="3" s="1"/>
  <c r="K185" i="3"/>
  <c r="K184" i="3"/>
  <c r="K183" i="3"/>
  <c r="K182" i="3"/>
  <c r="K181" i="3"/>
  <c r="K180" i="3"/>
  <c r="O182" i="3" l="1"/>
  <c r="O184" i="3"/>
  <c r="O183" i="3"/>
  <c r="O185" i="3"/>
  <c r="N185" i="3"/>
  <c r="N184" i="3"/>
  <c r="N183" i="3"/>
  <c r="N181" i="3"/>
  <c r="O181" i="3"/>
  <c r="N182" i="3"/>
  <c r="K186" i="3"/>
  <c r="P181" i="3" s="1"/>
  <c r="L169" i="3"/>
  <c r="M169" i="3"/>
  <c r="M172" i="3"/>
  <c r="K176" i="3"/>
  <c r="K175" i="3"/>
  <c r="K174" i="3"/>
  <c r="K173" i="3"/>
  <c r="K172" i="3"/>
  <c r="L172" i="3" s="1"/>
  <c r="K171" i="3"/>
  <c r="L171" i="3" s="1"/>
  <c r="K170" i="3"/>
  <c r="L170" i="3" s="1"/>
  <c r="K169" i="3"/>
  <c r="K168" i="3"/>
  <c r="K167" i="3"/>
  <c r="M167" i="3" s="1"/>
  <c r="K166" i="3"/>
  <c r="K165" i="3"/>
  <c r="K164" i="3"/>
  <c r="L164" i="3" s="1"/>
  <c r="P183" i="3" l="1"/>
  <c r="P182" i="3"/>
  <c r="P185" i="3"/>
  <c r="P184" i="3"/>
  <c r="M170" i="3"/>
  <c r="M171" i="3"/>
  <c r="M164" i="3"/>
  <c r="L167" i="3"/>
  <c r="J159" i="3"/>
  <c r="J158" i="3"/>
  <c r="J157" i="3"/>
  <c r="I159" i="3"/>
  <c r="Q15" i="3" l="1"/>
  <c r="AB66" i="3" l="1"/>
  <c r="AB65" i="3"/>
  <c r="AB56" i="3"/>
  <c r="AB60" i="3" l="1"/>
  <c r="AD60" i="3"/>
  <c r="AB61" i="3"/>
  <c r="AD61" i="3"/>
  <c r="AB62" i="3"/>
  <c r="AD62" i="3"/>
  <c r="AB41" i="3"/>
  <c r="AD41" i="3"/>
  <c r="AB32" i="3"/>
  <c r="AD32" i="3"/>
  <c r="AB38" i="3"/>
  <c r="AD38" i="3"/>
  <c r="AB63" i="3"/>
  <c r="AD63" i="3"/>
  <c r="AB64" i="3"/>
  <c r="AD64" i="3"/>
  <c r="AB39" i="3"/>
  <c r="AD39" i="3"/>
  <c r="AB42" i="3"/>
  <c r="AD42" i="3"/>
  <c r="AB76" i="3"/>
  <c r="AD76" i="3"/>
  <c r="AB43" i="3"/>
  <c r="AD43" i="3"/>
  <c r="AD65" i="3"/>
  <c r="AD66" i="3"/>
  <c r="AB67" i="3"/>
  <c r="AD67" i="3"/>
  <c r="AB44" i="3"/>
  <c r="AD44" i="3"/>
  <c r="AB77" i="3"/>
  <c r="AD77" i="3"/>
  <c r="AB50" i="3"/>
  <c r="AD50" i="3"/>
  <c r="AB119" i="3"/>
  <c r="AD119" i="3"/>
  <c r="AB103" i="3"/>
  <c r="AD103" i="3"/>
  <c r="AB26" i="3"/>
  <c r="AD26" i="3"/>
  <c r="AB19" i="3"/>
  <c r="AD19" i="3"/>
  <c r="AB120" i="3"/>
  <c r="AD120" i="3"/>
  <c r="AB27" i="3"/>
  <c r="AD27" i="3"/>
  <c r="AB28" i="3"/>
  <c r="AD28" i="3"/>
  <c r="AB29" i="3"/>
  <c r="AD29" i="3"/>
  <c r="AB140" i="3"/>
  <c r="AD140" i="3"/>
  <c r="AB84" i="3"/>
  <c r="AD84" i="3"/>
  <c r="AB85" i="3"/>
  <c r="AD85" i="3"/>
  <c r="AB83" i="3"/>
  <c r="AD83" i="3"/>
  <c r="AB78" i="3"/>
  <c r="AD78" i="3"/>
  <c r="AB82" i="3"/>
  <c r="AD82" i="3"/>
  <c r="AB104" i="3"/>
  <c r="AD104" i="3"/>
  <c r="AB121" i="3"/>
  <c r="AD121" i="3"/>
  <c r="AB122" i="3"/>
  <c r="AD122" i="3"/>
  <c r="AB123" i="3"/>
  <c r="AD123" i="3"/>
  <c r="AB79" i="3"/>
  <c r="AD79" i="3"/>
  <c r="AB30" i="3"/>
  <c r="AD30" i="3"/>
  <c r="AB45" i="3"/>
  <c r="AD45" i="3"/>
  <c r="AB33" i="3"/>
  <c r="AD33" i="3"/>
  <c r="AB46" i="3"/>
  <c r="AD46" i="3"/>
  <c r="AB68" i="3"/>
  <c r="AD68" i="3"/>
  <c r="AB40" i="3"/>
  <c r="AD40" i="3"/>
  <c r="AB69" i="3"/>
  <c r="AD69" i="3"/>
  <c r="AB51" i="3"/>
  <c r="AD51" i="3"/>
  <c r="AB70" i="3"/>
  <c r="AD70" i="3"/>
  <c r="AB34" i="3"/>
  <c r="AD34" i="3"/>
  <c r="AB35" i="3"/>
  <c r="AD35" i="3"/>
  <c r="AB71" i="3"/>
  <c r="AD71" i="3"/>
  <c r="AB52" i="3"/>
  <c r="AD52" i="3"/>
  <c r="AB72" i="3"/>
  <c r="AD72" i="3"/>
  <c r="AB53" i="3"/>
  <c r="AD53" i="3"/>
  <c r="AB36" i="3"/>
  <c r="AD36" i="3"/>
  <c r="AB55" i="3"/>
  <c r="AD55" i="3"/>
  <c r="AB105" i="3"/>
  <c r="AD105" i="3"/>
  <c r="AB124" i="3"/>
  <c r="AD124" i="3"/>
  <c r="AB86" i="3"/>
  <c r="AD86" i="3"/>
  <c r="AB125" i="3"/>
  <c r="AD125" i="3"/>
  <c r="AB141" i="3"/>
  <c r="AD141" i="3"/>
  <c r="AB87" i="3"/>
  <c r="AD87" i="3"/>
  <c r="AB47" i="3"/>
  <c r="AD47" i="3"/>
  <c r="AB73" i="3"/>
  <c r="AD73" i="3"/>
  <c r="AB80" i="3"/>
  <c r="AD80" i="3"/>
  <c r="AB81" i="3"/>
  <c r="AD81" i="3"/>
  <c r="AB106" i="3"/>
  <c r="AD106" i="3"/>
  <c r="AB14" i="3"/>
  <c r="AD14" i="3"/>
  <c r="AB107" i="3"/>
  <c r="AD107" i="3"/>
  <c r="AB108" i="3"/>
  <c r="AD108" i="3"/>
  <c r="AB126" i="3"/>
  <c r="AD126" i="3"/>
  <c r="AB20" i="3"/>
  <c r="AD20" i="3"/>
  <c r="AB109" i="3"/>
  <c r="AD109" i="3"/>
  <c r="AB21" i="3"/>
  <c r="AD21" i="3"/>
  <c r="AB110" i="3"/>
  <c r="AD110" i="3"/>
  <c r="AB127" i="3"/>
  <c r="AD127" i="3"/>
  <c r="AB111" i="3"/>
  <c r="AD111" i="3"/>
  <c r="AB128" i="3"/>
  <c r="AD128" i="3"/>
  <c r="AB129" i="3"/>
  <c r="AD129" i="3"/>
  <c r="AB112" i="3"/>
  <c r="AD112" i="3"/>
  <c r="AB22" i="3"/>
  <c r="AD22" i="3"/>
  <c r="AB113" i="3"/>
  <c r="AD113" i="3"/>
  <c r="AB130" i="3"/>
  <c r="AD130" i="3"/>
  <c r="AB131" i="3"/>
  <c r="AD131" i="3"/>
  <c r="AB142" i="3"/>
  <c r="AD142" i="3"/>
  <c r="AB88" i="3"/>
  <c r="AD88" i="3"/>
  <c r="AB143" i="3"/>
  <c r="AD143" i="3"/>
  <c r="AB114" i="3"/>
  <c r="AD114" i="3"/>
  <c r="AB144" i="3"/>
  <c r="AD144" i="3"/>
  <c r="AB89" i="3"/>
  <c r="AD89" i="3"/>
  <c r="AB145" i="3"/>
  <c r="AD145" i="3"/>
  <c r="AB95" i="3"/>
  <c r="AD95" i="3"/>
  <c r="AB146" i="3"/>
  <c r="AD146" i="3"/>
  <c r="AB115" i="3"/>
  <c r="AD115" i="3"/>
  <c r="AB147" i="3"/>
  <c r="AD147" i="3"/>
  <c r="AB96" i="3"/>
  <c r="AD96" i="3"/>
  <c r="AB148" i="3"/>
  <c r="AD148" i="3"/>
  <c r="AB116" i="3"/>
  <c r="AD116" i="3"/>
  <c r="AB149" i="3"/>
  <c r="AD149" i="3"/>
  <c r="AB90" i="3"/>
  <c r="AD90" i="3"/>
  <c r="AB150" i="3"/>
  <c r="AD150" i="3"/>
  <c r="AB91" i="3"/>
  <c r="AD91" i="3"/>
  <c r="AB74" i="3"/>
  <c r="AD74" i="3"/>
  <c r="AB48" i="3"/>
  <c r="AD48" i="3"/>
  <c r="AB132" i="3"/>
  <c r="AD132" i="3"/>
  <c r="AB97" i="3"/>
  <c r="AD97" i="3"/>
  <c r="AB151" i="3"/>
  <c r="AD151" i="3"/>
  <c r="AB133" i="3"/>
  <c r="AD133" i="3"/>
  <c r="AB134" i="3"/>
  <c r="AD134" i="3"/>
  <c r="AB137" i="3"/>
  <c r="AD137" i="3"/>
  <c r="AB152" i="3"/>
  <c r="AD152" i="3"/>
  <c r="AB98" i="3"/>
  <c r="AD98" i="3"/>
  <c r="AB153" i="3"/>
  <c r="AD153" i="3"/>
  <c r="AB99" i="3"/>
  <c r="AD99" i="3"/>
  <c r="AB135" i="3"/>
  <c r="AD135" i="3"/>
  <c r="AB117" i="3"/>
  <c r="AD117" i="3"/>
  <c r="AB75" i="3"/>
  <c r="AD75" i="3"/>
  <c r="AB54" i="3"/>
  <c r="AD54" i="3"/>
  <c r="V60" i="3"/>
  <c r="V61" i="3"/>
  <c r="V62" i="3"/>
  <c r="V41" i="3"/>
  <c r="V32" i="3"/>
  <c r="V38" i="3"/>
  <c r="V63" i="3"/>
  <c r="V64" i="3"/>
  <c r="V39" i="3"/>
  <c r="V42" i="3"/>
  <c r="V76" i="3"/>
  <c r="V43" i="3"/>
  <c r="V65" i="3"/>
  <c r="V66" i="3"/>
  <c r="V67" i="3"/>
  <c r="V44" i="3"/>
  <c r="V77" i="3"/>
  <c r="V50" i="3"/>
  <c r="V119" i="3"/>
  <c r="V103" i="3"/>
  <c r="V26" i="3"/>
  <c r="V19" i="3"/>
  <c r="V120" i="3"/>
  <c r="V27" i="3"/>
  <c r="V28" i="3"/>
  <c r="V29" i="3"/>
  <c r="V140" i="3"/>
  <c r="V84" i="3"/>
  <c r="V85" i="3"/>
  <c r="V83" i="3"/>
  <c r="V78" i="3"/>
  <c r="V82" i="3"/>
  <c r="V104" i="3"/>
  <c r="V121" i="3"/>
  <c r="V122" i="3"/>
  <c r="V123" i="3"/>
  <c r="V79" i="3"/>
  <c r="V30" i="3"/>
  <c r="V45" i="3"/>
  <c r="V33" i="3"/>
  <c r="V46" i="3"/>
  <c r="V68" i="3"/>
  <c r="V40" i="3"/>
  <c r="V69" i="3"/>
  <c r="V51" i="3"/>
  <c r="V70" i="3"/>
  <c r="V34" i="3"/>
  <c r="V35" i="3"/>
  <c r="V71" i="3"/>
  <c r="V52" i="3"/>
  <c r="V72" i="3"/>
  <c r="V53" i="3"/>
  <c r="V36" i="3"/>
  <c r="V55" i="3"/>
  <c r="V105" i="3"/>
  <c r="V124" i="3"/>
  <c r="V86" i="3"/>
  <c r="V125" i="3"/>
  <c r="V141" i="3"/>
  <c r="V87" i="3"/>
  <c r="V47" i="3"/>
  <c r="V73" i="3"/>
  <c r="V80" i="3"/>
  <c r="V81" i="3"/>
  <c r="V106" i="3"/>
  <c r="V14" i="3"/>
  <c r="V107" i="3"/>
  <c r="V108" i="3"/>
  <c r="V126" i="3"/>
  <c r="V20" i="3"/>
  <c r="V109" i="3"/>
  <c r="V21" i="3"/>
  <c r="V110" i="3"/>
  <c r="V127" i="3"/>
  <c r="V111" i="3"/>
  <c r="V128" i="3"/>
  <c r="V129" i="3"/>
  <c r="V112" i="3"/>
  <c r="V22" i="3"/>
  <c r="V113" i="3"/>
  <c r="V130" i="3"/>
  <c r="V131" i="3"/>
  <c r="V142" i="3"/>
  <c r="V88" i="3"/>
  <c r="V143" i="3"/>
  <c r="V114" i="3"/>
  <c r="V144" i="3"/>
  <c r="V89" i="3"/>
  <c r="V145" i="3"/>
  <c r="V95" i="3"/>
  <c r="V146" i="3"/>
  <c r="V115" i="3"/>
  <c r="V147" i="3"/>
  <c r="V96" i="3"/>
  <c r="V148" i="3"/>
  <c r="V116" i="3"/>
  <c r="V149" i="3"/>
  <c r="V90" i="3"/>
  <c r="V150" i="3"/>
  <c r="V91" i="3"/>
  <c r="V74" i="3"/>
  <c r="V48" i="3"/>
  <c r="V132" i="3"/>
  <c r="V97" i="3"/>
  <c r="V151" i="3"/>
  <c r="V133" i="3"/>
  <c r="V134" i="3"/>
  <c r="V137" i="3"/>
  <c r="V152" i="3"/>
  <c r="V98" i="3"/>
  <c r="V153" i="3"/>
  <c r="V99" i="3"/>
  <c r="V135" i="3"/>
  <c r="V117" i="3"/>
  <c r="V75" i="3"/>
  <c r="V54" i="3"/>
  <c r="Q60" i="3"/>
  <c r="Q61" i="3"/>
  <c r="Q62" i="3"/>
  <c r="Q41" i="3"/>
  <c r="Q32" i="3"/>
  <c r="Q38" i="3"/>
  <c r="Q63" i="3"/>
  <c r="Q64" i="3"/>
  <c r="Q39" i="3"/>
  <c r="Q42" i="3"/>
  <c r="Q76" i="3"/>
  <c r="Q43" i="3"/>
  <c r="Q65" i="3"/>
  <c r="Q66" i="3"/>
  <c r="Q67" i="3"/>
  <c r="Q44" i="3"/>
  <c r="Q77" i="3"/>
  <c r="Q50" i="3"/>
  <c r="Q119" i="3"/>
  <c r="Q103" i="3"/>
  <c r="Q26" i="3"/>
  <c r="Q19" i="3"/>
  <c r="Q120" i="3"/>
  <c r="Q27" i="3"/>
  <c r="Q28" i="3"/>
  <c r="Q29" i="3"/>
  <c r="Q140" i="3"/>
  <c r="Q84" i="3"/>
  <c r="Q85" i="3"/>
  <c r="Q83" i="3"/>
  <c r="Q78" i="3"/>
  <c r="Q82" i="3"/>
  <c r="Q104" i="3"/>
  <c r="Q121" i="3"/>
  <c r="Q122" i="3"/>
  <c r="Q123" i="3"/>
  <c r="Q79" i="3"/>
  <c r="Q30" i="3"/>
  <c r="Q45" i="3"/>
  <c r="Q33" i="3"/>
  <c r="Q46" i="3"/>
  <c r="Q68" i="3"/>
  <c r="Q40" i="3"/>
  <c r="Q69" i="3"/>
  <c r="Q51" i="3"/>
  <c r="Q70" i="3"/>
  <c r="Q34" i="3"/>
  <c r="Q35" i="3"/>
  <c r="Q71" i="3"/>
  <c r="Q52" i="3"/>
  <c r="Q72" i="3"/>
  <c r="Q53" i="3"/>
  <c r="Q36" i="3"/>
  <c r="Q55" i="3"/>
  <c r="Q105" i="3"/>
  <c r="Q124" i="3"/>
  <c r="Q86" i="3"/>
  <c r="Q125" i="3"/>
  <c r="Q141" i="3"/>
  <c r="Q87" i="3"/>
  <c r="Q47" i="3"/>
  <c r="Q73" i="3"/>
  <c r="Q80" i="3"/>
  <c r="Q81" i="3"/>
  <c r="Q106" i="3"/>
  <c r="Q14" i="3"/>
  <c r="Q107" i="3"/>
  <c r="Q108" i="3"/>
  <c r="Q126" i="3"/>
  <c r="Q20" i="3"/>
  <c r="Q109" i="3"/>
  <c r="Q21" i="3"/>
  <c r="Q110" i="3"/>
  <c r="Q127" i="3"/>
  <c r="Q111" i="3"/>
  <c r="Q128" i="3"/>
  <c r="Q129" i="3"/>
  <c r="Q112" i="3"/>
  <c r="Q22" i="3"/>
  <c r="Q113" i="3"/>
  <c r="Q130" i="3"/>
  <c r="Q131" i="3"/>
  <c r="Q142" i="3"/>
  <c r="Q88" i="3"/>
  <c r="Q143" i="3"/>
  <c r="Q114" i="3"/>
  <c r="Q144" i="3"/>
  <c r="Q89" i="3"/>
  <c r="Q145" i="3"/>
  <c r="Q95" i="3"/>
  <c r="Q146" i="3"/>
  <c r="Q115" i="3"/>
  <c r="Q147" i="3"/>
  <c r="Q96" i="3"/>
  <c r="Q148" i="3"/>
  <c r="Q116" i="3"/>
  <c r="Q149" i="3"/>
  <c r="Q90" i="3"/>
  <c r="Q150" i="3"/>
  <c r="Q91" i="3"/>
  <c r="Q74" i="3"/>
  <c r="Q48" i="3"/>
  <c r="Q132" i="3"/>
  <c r="Q97" i="3"/>
  <c r="Q151" i="3"/>
  <c r="Q133" i="3"/>
  <c r="Q134" i="3"/>
  <c r="Q137" i="3"/>
  <c r="Q152" i="3"/>
  <c r="Q98" i="3"/>
  <c r="Q153" i="3"/>
  <c r="Q99" i="3"/>
  <c r="Q135" i="3"/>
  <c r="Q117" i="3"/>
  <c r="Q75" i="3"/>
  <c r="Q54" i="3"/>
  <c r="L60" i="3"/>
  <c r="L61" i="3"/>
  <c r="L62" i="3"/>
  <c r="L41" i="3"/>
  <c r="L32" i="3"/>
  <c r="L38" i="3"/>
  <c r="L63" i="3"/>
  <c r="L64" i="3"/>
  <c r="L39" i="3"/>
  <c r="L42" i="3"/>
  <c r="L76" i="3"/>
  <c r="L43" i="3"/>
  <c r="L65" i="3"/>
  <c r="L66" i="3"/>
  <c r="L67" i="3"/>
  <c r="L44" i="3"/>
  <c r="L77" i="3"/>
  <c r="L50" i="3"/>
  <c r="L119" i="3"/>
  <c r="L103" i="3"/>
  <c r="L26" i="3"/>
  <c r="L19" i="3"/>
  <c r="L120" i="3"/>
  <c r="L27" i="3"/>
  <c r="L28" i="3"/>
  <c r="L29" i="3"/>
  <c r="L140" i="3"/>
  <c r="L84" i="3"/>
  <c r="L85" i="3"/>
  <c r="L83" i="3"/>
  <c r="L78" i="3"/>
  <c r="L82" i="3"/>
  <c r="L104" i="3"/>
  <c r="L121" i="3"/>
  <c r="L122" i="3"/>
  <c r="L123" i="3"/>
  <c r="L79" i="3"/>
  <c r="L30" i="3"/>
  <c r="L45" i="3"/>
  <c r="L33" i="3"/>
  <c r="L46" i="3"/>
  <c r="L68" i="3"/>
  <c r="L40" i="3"/>
  <c r="L69" i="3"/>
  <c r="L51" i="3"/>
  <c r="L70" i="3"/>
  <c r="L34" i="3"/>
  <c r="L35" i="3"/>
  <c r="L71" i="3"/>
  <c r="L52" i="3"/>
  <c r="L72" i="3"/>
  <c r="L53" i="3"/>
  <c r="L36" i="3"/>
  <c r="L55" i="3"/>
  <c r="L105" i="3"/>
  <c r="L124" i="3"/>
  <c r="L86" i="3"/>
  <c r="L125" i="3"/>
  <c r="L141" i="3"/>
  <c r="L87" i="3"/>
  <c r="L47" i="3"/>
  <c r="L73" i="3"/>
  <c r="L80" i="3"/>
  <c r="L81" i="3"/>
  <c r="L106" i="3"/>
  <c r="L14" i="3"/>
  <c r="L107" i="3"/>
  <c r="L108" i="3"/>
  <c r="L126" i="3"/>
  <c r="L20" i="3"/>
  <c r="L109" i="3"/>
  <c r="L21" i="3"/>
  <c r="L110" i="3"/>
  <c r="L127" i="3"/>
  <c r="L111" i="3"/>
  <c r="L128" i="3"/>
  <c r="L129" i="3"/>
  <c r="L112" i="3"/>
  <c r="L22" i="3"/>
  <c r="L113" i="3"/>
  <c r="L130" i="3"/>
  <c r="L131" i="3"/>
  <c r="L142" i="3"/>
  <c r="L88" i="3"/>
  <c r="L143" i="3"/>
  <c r="L114" i="3"/>
  <c r="L144" i="3"/>
  <c r="L89" i="3"/>
  <c r="L145" i="3"/>
  <c r="L95" i="3"/>
  <c r="L146" i="3"/>
  <c r="L115" i="3"/>
  <c r="L147" i="3"/>
  <c r="L96" i="3"/>
  <c r="L148" i="3"/>
  <c r="L116" i="3"/>
  <c r="L149" i="3"/>
  <c r="L90" i="3"/>
  <c r="L150" i="3"/>
  <c r="L91" i="3"/>
  <c r="L74" i="3"/>
  <c r="L48" i="3"/>
  <c r="L132" i="3"/>
  <c r="L97" i="3"/>
  <c r="L151" i="3"/>
  <c r="L133" i="3"/>
  <c r="L134" i="3"/>
  <c r="L137" i="3"/>
  <c r="L152" i="3"/>
  <c r="L98" i="3"/>
  <c r="L153" i="3"/>
  <c r="L99" i="3"/>
  <c r="L135" i="3"/>
  <c r="L117" i="3"/>
  <c r="L75" i="3"/>
  <c r="L54" i="3"/>
  <c r="I60" i="3"/>
  <c r="I61" i="3"/>
  <c r="I62" i="3"/>
  <c r="I41" i="3"/>
  <c r="I32" i="3"/>
  <c r="I38" i="3"/>
  <c r="I63" i="3"/>
  <c r="I64" i="3"/>
  <c r="I39" i="3"/>
  <c r="I42" i="3"/>
  <c r="I76" i="3"/>
  <c r="I43" i="3"/>
  <c r="I65" i="3"/>
  <c r="I66" i="3"/>
  <c r="I67" i="3"/>
  <c r="I44" i="3"/>
  <c r="I77" i="3"/>
  <c r="I50" i="3"/>
  <c r="I119" i="3"/>
  <c r="I103" i="3"/>
  <c r="I26" i="3"/>
  <c r="I19" i="3"/>
  <c r="I120" i="3"/>
  <c r="I27" i="3"/>
  <c r="I28" i="3"/>
  <c r="I29" i="3"/>
  <c r="I140" i="3"/>
  <c r="I84" i="3"/>
  <c r="I85" i="3"/>
  <c r="I83" i="3"/>
  <c r="I78" i="3"/>
  <c r="I82" i="3"/>
  <c r="I104" i="3"/>
  <c r="I121" i="3"/>
  <c r="I122" i="3"/>
  <c r="I123" i="3"/>
  <c r="I79" i="3"/>
  <c r="I30" i="3"/>
  <c r="I45" i="3"/>
  <c r="I33" i="3"/>
  <c r="I46" i="3"/>
  <c r="I68" i="3"/>
  <c r="I40" i="3"/>
  <c r="I69" i="3"/>
  <c r="I51" i="3"/>
  <c r="I70" i="3"/>
  <c r="I34" i="3"/>
  <c r="I35" i="3"/>
  <c r="I71" i="3"/>
  <c r="I52" i="3"/>
  <c r="I72" i="3"/>
  <c r="I53" i="3"/>
  <c r="I36" i="3"/>
  <c r="I55" i="3"/>
  <c r="I105" i="3"/>
  <c r="I124" i="3"/>
  <c r="I86" i="3"/>
  <c r="I125" i="3"/>
  <c r="I141" i="3"/>
  <c r="I87" i="3"/>
  <c r="I47" i="3"/>
  <c r="I73" i="3"/>
  <c r="I80" i="3"/>
  <c r="I81" i="3"/>
  <c r="I106" i="3"/>
  <c r="I14" i="3"/>
  <c r="I107" i="3"/>
  <c r="I108" i="3"/>
  <c r="I126" i="3"/>
  <c r="I20" i="3"/>
  <c r="I109" i="3"/>
  <c r="I21" i="3"/>
  <c r="I110" i="3"/>
  <c r="I127" i="3"/>
  <c r="I111" i="3"/>
  <c r="I128" i="3"/>
  <c r="I129" i="3"/>
  <c r="I112" i="3"/>
  <c r="I22" i="3"/>
  <c r="I113" i="3"/>
  <c r="I130" i="3"/>
  <c r="I131" i="3"/>
  <c r="I142" i="3"/>
  <c r="I88" i="3"/>
  <c r="I143" i="3"/>
  <c r="I114" i="3"/>
  <c r="I144" i="3"/>
  <c r="I89" i="3"/>
  <c r="I145" i="3"/>
  <c r="I95" i="3"/>
  <c r="I146" i="3"/>
  <c r="I115" i="3"/>
  <c r="I147" i="3"/>
  <c r="I96" i="3"/>
  <c r="I148" i="3"/>
  <c r="I116" i="3"/>
  <c r="I149" i="3"/>
  <c r="I90" i="3"/>
  <c r="I150" i="3"/>
  <c r="I91" i="3"/>
  <c r="I74" i="3"/>
  <c r="I48" i="3"/>
  <c r="I132" i="3"/>
  <c r="I97" i="3"/>
  <c r="I151" i="3"/>
  <c r="I133" i="3"/>
  <c r="I134" i="3"/>
  <c r="I137" i="3"/>
  <c r="I152" i="3"/>
  <c r="I98" i="3"/>
  <c r="I153" i="3"/>
  <c r="I99" i="3"/>
  <c r="I135" i="3"/>
  <c r="I117" i="3"/>
  <c r="I75" i="3"/>
  <c r="I54" i="3"/>
  <c r="G60" i="3"/>
  <c r="G61" i="3"/>
  <c r="G62" i="3"/>
  <c r="G41" i="3"/>
  <c r="G32" i="3"/>
  <c r="G38" i="3"/>
  <c r="G63" i="3"/>
  <c r="G64" i="3"/>
  <c r="G39" i="3"/>
  <c r="G42" i="3"/>
  <c r="G76" i="3"/>
  <c r="G43" i="3"/>
  <c r="G65" i="3"/>
  <c r="G66" i="3"/>
  <c r="G67" i="3"/>
  <c r="G44" i="3"/>
  <c r="G77" i="3"/>
  <c r="G50" i="3"/>
  <c r="G119" i="3"/>
  <c r="G103" i="3"/>
  <c r="G26" i="3"/>
  <c r="G19" i="3"/>
  <c r="G120" i="3"/>
  <c r="G27" i="3"/>
  <c r="G28" i="3"/>
  <c r="G29" i="3"/>
  <c r="G140" i="3"/>
  <c r="G84" i="3"/>
  <c r="G85" i="3"/>
  <c r="G83" i="3"/>
  <c r="G78" i="3"/>
  <c r="G82" i="3"/>
  <c r="G104" i="3"/>
  <c r="G121" i="3"/>
  <c r="G122" i="3"/>
  <c r="G123" i="3"/>
  <c r="G79" i="3"/>
  <c r="G30" i="3"/>
  <c r="G45" i="3"/>
  <c r="G33" i="3"/>
  <c r="G46" i="3"/>
  <c r="G68" i="3"/>
  <c r="G40" i="3"/>
  <c r="G69" i="3"/>
  <c r="G51" i="3"/>
  <c r="G70" i="3"/>
  <c r="G34" i="3"/>
  <c r="G35" i="3"/>
  <c r="G71" i="3"/>
  <c r="G52" i="3"/>
  <c r="G72" i="3"/>
  <c r="G53" i="3"/>
  <c r="G36" i="3"/>
  <c r="G55" i="3"/>
  <c r="G105" i="3"/>
  <c r="G124" i="3"/>
  <c r="G86" i="3"/>
  <c r="G125" i="3"/>
  <c r="G141" i="3"/>
  <c r="G87" i="3"/>
  <c r="G47" i="3"/>
  <c r="G73" i="3"/>
  <c r="G80" i="3"/>
  <c r="G81" i="3"/>
  <c r="G106" i="3"/>
  <c r="G14" i="3"/>
  <c r="G107" i="3"/>
  <c r="G108" i="3"/>
  <c r="G126" i="3"/>
  <c r="G20" i="3"/>
  <c r="G109" i="3"/>
  <c r="G21" i="3"/>
  <c r="G110" i="3"/>
  <c r="G127" i="3"/>
  <c r="G111" i="3"/>
  <c r="G128" i="3"/>
  <c r="G129" i="3"/>
  <c r="G112" i="3"/>
  <c r="G22" i="3"/>
  <c r="G113" i="3"/>
  <c r="G130" i="3"/>
  <c r="G131" i="3"/>
  <c r="G142" i="3"/>
  <c r="G88" i="3"/>
  <c r="G143" i="3"/>
  <c r="G114" i="3"/>
  <c r="G144" i="3"/>
  <c r="G89" i="3"/>
  <c r="G145" i="3"/>
  <c r="G95" i="3"/>
  <c r="G146" i="3"/>
  <c r="G115" i="3"/>
  <c r="G147" i="3"/>
  <c r="G96" i="3"/>
  <c r="G148" i="3"/>
  <c r="G116" i="3"/>
  <c r="G149" i="3"/>
  <c r="G90" i="3"/>
  <c r="G150" i="3"/>
  <c r="G91" i="3"/>
  <c r="G74" i="3"/>
  <c r="G48" i="3"/>
  <c r="G132" i="3"/>
  <c r="G97" i="3"/>
  <c r="G151" i="3"/>
  <c r="G133" i="3"/>
  <c r="G134" i="3"/>
  <c r="G137" i="3"/>
  <c r="G152" i="3"/>
  <c r="G98" i="3"/>
  <c r="G153" i="3"/>
  <c r="G99" i="3"/>
  <c r="G135" i="3"/>
  <c r="G117" i="3"/>
  <c r="G75" i="3"/>
  <c r="G54" i="3"/>
  <c r="AD18" i="3"/>
  <c r="AD102" i="3"/>
  <c r="AD25" i="3"/>
  <c r="AD118" i="3"/>
  <c r="AD17" i="3"/>
  <c r="AD101" i="3"/>
  <c r="AD100" i="3"/>
  <c r="AD139" i="3"/>
  <c r="AD59" i="3"/>
  <c r="AD58" i="3"/>
  <c r="AD57" i="3"/>
  <c r="AD31" i="3"/>
  <c r="AD49" i="3"/>
  <c r="AD56" i="3"/>
  <c r="AD94" i="3"/>
  <c r="AD138" i="3"/>
  <c r="AD16" i="3"/>
  <c r="AD24" i="3"/>
  <c r="AD93" i="3"/>
  <c r="AD136" i="3"/>
  <c r="AD9" i="3"/>
  <c r="AD13" i="3"/>
  <c r="AD37" i="3"/>
  <c r="AD12" i="3"/>
  <c r="AD11" i="3"/>
  <c r="AD15" i="3"/>
  <c r="AD10" i="3"/>
  <c r="AD92" i="3"/>
  <c r="AD8" i="3"/>
  <c r="AD23" i="3"/>
  <c r="AB18" i="3"/>
  <c r="AB102" i="3"/>
  <c r="AB25" i="3"/>
  <c r="AB118" i="3"/>
  <c r="AB17" i="3"/>
  <c r="AB101" i="3"/>
  <c r="AB100" i="3"/>
  <c r="AB139" i="3"/>
  <c r="AB59" i="3"/>
  <c r="AB58" i="3"/>
  <c r="AB57" i="3"/>
  <c r="AB31" i="3"/>
  <c r="AB49" i="3"/>
  <c r="AB94" i="3"/>
  <c r="AB138" i="3"/>
  <c r="AB16" i="3"/>
  <c r="AB24" i="3"/>
  <c r="AB93" i="3"/>
  <c r="AB136" i="3"/>
  <c r="AB9" i="3"/>
  <c r="AB13" i="3"/>
  <c r="AB37" i="3"/>
  <c r="AB12" i="3"/>
  <c r="AB11" i="3"/>
  <c r="AB15" i="3"/>
  <c r="AB10" i="3"/>
  <c r="AB92" i="3"/>
  <c r="AB8" i="3"/>
  <c r="AB23" i="3"/>
  <c r="L8" i="3"/>
  <c r="L92" i="3"/>
  <c r="L10" i="3"/>
  <c r="L15" i="3"/>
  <c r="L11" i="3"/>
  <c r="L12" i="3"/>
  <c r="L37" i="3"/>
  <c r="L13" i="3"/>
  <c r="L9" i="3"/>
  <c r="L136" i="3"/>
  <c r="L93" i="3"/>
  <c r="L24" i="3"/>
  <c r="L16" i="3"/>
  <c r="L138" i="3"/>
  <c r="L94" i="3"/>
  <c r="L56" i="3"/>
  <c r="L49" i="3"/>
  <c r="L31" i="3"/>
  <c r="L57" i="3"/>
  <c r="L58" i="3"/>
  <c r="L59" i="3"/>
  <c r="L139" i="3"/>
  <c r="L100" i="3"/>
  <c r="L101" i="3"/>
  <c r="L17" i="3"/>
  <c r="L118" i="3"/>
  <c r="L25" i="3"/>
  <c r="L102" i="3"/>
  <c r="L18" i="3"/>
  <c r="I8" i="3"/>
  <c r="I92" i="3"/>
  <c r="I10" i="3"/>
  <c r="I15" i="3"/>
  <c r="I11" i="3"/>
  <c r="I12" i="3"/>
  <c r="I37" i="3"/>
  <c r="I13" i="3"/>
  <c r="I9" i="3"/>
  <c r="I136" i="3"/>
  <c r="I93" i="3"/>
  <c r="I24" i="3"/>
  <c r="I16" i="3"/>
  <c r="I138" i="3"/>
  <c r="I94" i="3"/>
  <c r="I56" i="3"/>
  <c r="I49" i="3"/>
  <c r="I31" i="3"/>
  <c r="I57" i="3"/>
  <c r="I58" i="3"/>
  <c r="I59" i="3"/>
  <c r="I139" i="3"/>
  <c r="I100" i="3"/>
  <c r="I101" i="3"/>
  <c r="I17" i="3"/>
  <c r="I118" i="3"/>
  <c r="I25" i="3"/>
  <c r="I102" i="3"/>
  <c r="I18" i="3"/>
  <c r="G8" i="3"/>
  <c r="G92" i="3"/>
  <c r="G10" i="3"/>
  <c r="G15" i="3"/>
  <c r="G11" i="3"/>
  <c r="G12" i="3"/>
  <c r="G37" i="3"/>
  <c r="G13" i="3"/>
  <c r="G9" i="3"/>
  <c r="G136" i="3"/>
  <c r="G93" i="3"/>
  <c r="G24" i="3"/>
  <c r="G16" i="3"/>
  <c r="G138" i="3"/>
  <c r="G94" i="3"/>
  <c r="G56" i="3"/>
  <c r="G49" i="3"/>
  <c r="G31" i="3"/>
  <c r="G57" i="3"/>
  <c r="G58" i="3"/>
  <c r="G59" i="3"/>
  <c r="G139" i="3"/>
  <c r="G100" i="3"/>
  <c r="G101" i="3"/>
  <c r="G17" i="3"/>
  <c r="G118" i="3"/>
  <c r="G25" i="3"/>
  <c r="G102" i="3"/>
  <c r="G18" i="3"/>
  <c r="L23" i="3"/>
  <c r="I23" i="3"/>
  <c r="G23" i="3"/>
  <c r="W97" i="3" l="1"/>
  <c r="W108" i="3"/>
  <c r="W87" i="3"/>
  <c r="W123" i="3"/>
  <c r="W84" i="3"/>
  <c r="W43" i="3"/>
  <c r="W117" i="3"/>
  <c r="W98" i="3"/>
  <c r="W133" i="3"/>
  <c r="W48" i="3"/>
  <c r="W90" i="3"/>
  <c r="W96" i="3"/>
  <c r="W95" i="3"/>
  <c r="W114" i="3"/>
  <c r="W131" i="3"/>
  <c r="W112" i="3"/>
  <c r="W127" i="3"/>
  <c r="W20" i="3"/>
  <c r="W107" i="3"/>
  <c r="W80" i="3"/>
  <c r="W121" i="3"/>
  <c r="W83" i="3"/>
  <c r="W29" i="3"/>
  <c r="W19" i="3"/>
  <c r="W50" i="3"/>
  <c r="W66" i="3"/>
  <c r="W76" i="3"/>
  <c r="W63" i="3"/>
  <c r="W62" i="3"/>
  <c r="W135" i="3"/>
  <c r="W152" i="3"/>
  <c r="W151" i="3"/>
  <c r="W124" i="3"/>
  <c r="W53" i="3"/>
  <c r="W35" i="3"/>
  <c r="W69" i="3"/>
  <c r="W33" i="3"/>
  <c r="W104" i="3"/>
  <c r="W85" i="3"/>
  <c r="W54" i="3"/>
  <c r="W99" i="3"/>
  <c r="W137" i="3"/>
  <c r="W74" i="3"/>
  <c r="W149" i="3"/>
  <c r="W147" i="3"/>
  <c r="W145" i="3"/>
  <c r="W143" i="3"/>
  <c r="W130" i="3"/>
  <c r="W129" i="3"/>
  <c r="W110" i="3"/>
  <c r="W126" i="3"/>
  <c r="W14" i="3"/>
  <c r="W73" i="3"/>
  <c r="W141" i="3"/>
  <c r="W105" i="3"/>
  <c r="W72" i="3"/>
  <c r="W34" i="3"/>
  <c r="W40" i="3"/>
  <c r="W45" i="3"/>
  <c r="W82" i="3"/>
  <c r="W28" i="3"/>
  <c r="W26" i="3"/>
  <c r="W77" i="3"/>
  <c r="W65" i="3"/>
  <c r="W42" i="3"/>
  <c r="W38" i="3"/>
  <c r="W61" i="3"/>
  <c r="W75" i="3"/>
  <c r="W153" i="3"/>
  <c r="W134" i="3"/>
  <c r="W91" i="3"/>
  <c r="W116" i="3"/>
  <c r="W115" i="3"/>
  <c r="W89" i="3"/>
  <c r="W88" i="3"/>
  <c r="W113" i="3"/>
  <c r="W128" i="3"/>
  <c r="W21" i="3"/>
  <c r="W106" i="3"/>
  <c r="W47" i="3"/>
  <c r="W125" i="3"/>
  <c r="W55" i="3"/>
  <c r="W52" i="3"/>
  <c r="W70" i="3"/>
  <c r="W68" i="3"/>
  <c r="W30" i="3"/>
  <c r="W122" i="3"/>
  <c r="W78" i="3"/>
  <c r="W27" i="3"/>
  <c r="W103" i="3"/>
  <c r="W44" i="3"/>
  <c r="W39" i="3"/>
  <c r="W32" i="3"/>
  <c r="W60" i="3"/>
  <c r="W132" i="3"/>
  <c r="W150" i="3"/>
  <c r="W148" i="3"/>
  <c r="W146" i="3"/>
  <c r="W144" i="3"/>
  <c r="W142" i="3"/>
  <c r="W22" i="3"/>
  <c r="W111" i="3"/>
  <c r="W109" i="3"/>
  <c r="W81" i="3"/>
  <c r="W86" i="3"/>
  <c r="W36" i="3"/>
  <c r="W71" i="3"/>
  <c r="W51" i="3"/>
  <c r="W46" i="3"/>
  <c r="W79" i="3"/>
  <c r="W140" i="3"/>
  <c r="W120" i="3"/>
  <c r="W119" i="3"/>
  <c r="W67" i="3"/>
  <c r="W64" i="3"/>
  <c r="W41" i="3"/>
  <c r="Q18" i="3" l="1"/>
  <c r="V18" i="3"/>
  <c r="W18" i="3" l="1"/>
  <c r="V8" i="3"/>
  <c r="V10" i="3"/>
  <c r="V15" i="3"/>
  <c r="V11" i="3"/>
  <c r="V12" i="3"/>
  <c r="V37" i="3"/>
  <c r="V13" i="3"/>
  <c r="V9" i="3"/>
  <c r="V136" i="3"/>
  <c r="V93" i="3"/>
  <c r="V24" i="3"/>
  <c r="V16" i="3"/>
  <c r="V138" i="3"/>
  <c r="V94" i="3"/>
  <c r="V56" i="3"/>
  <c r="V49" i="3"/>
  <c r="V31" i="3"/>
  <c r="V57" i="3"/>
  <c r="V58" i="3"/>
  <c r="V59" i="3"/>
  <c r="V139" i="3"/>
  <c r="V100" i="3"/>
  <c r="V101" i="3"/>
  <c r="V17" i="3"/>
  <c r="V118" i="3"/>
  <c r="V25" i="3"/>
  <c r="V102" i="3"/>
  <c r="V23" i="3"/>
  <c r="Q92" i="3"/>
  <c r="Q10" i="3"/>
  <c r="Q11" i="3"/>
  <c r="Q12" i="3"/>
  <c r="Q37" i="3"/>
  <c r="Q13" i="3"/>
  <c r="Q9" i="3"/>
  <c r="Q136" i="3"/>
  <c r="Q93" i="3"/>
  <c r="Q24" i="3"/>
  <c r="Q16" i="3"/>
  <c r="Q138" i="3"/>
  <c r="Q94" i="3"/>
  <c r="Q56" i="3"/>
  <c r="Q49" i="3"/>
  <c r="Q31" i="3"/>
  <c r="Q57" i="3"/>
  <c r="Q58" i="3"/>
  <c r="Q59" i="3"/>
  <c r="Q139" i="3"/>
  <c r="Q100" i="3"/>
  <c r="Q101" i="3"/>
  <c r="Q17" i="3"/>
  <c r="Q118" i="3"/>
  <c r="Q25" i="3"/>
  <c r="Q102" i="3"/>
  <c r="Q23" i="3"/>
  <c r="Q8" i="3"/>
  <c r="V92" i="3"/>
  <c r="W101" i="3" l="1"/>
  <c r="W56" i="3"/>
  <c r="W102" i="3"/>
  <c r="W118" i="3"/>
  <c r="W139" i="3"/>
  <c r="W58" i="3"/>
  <c r="W31" i="3"/>
  <c r="W138" i="3"/>
  <c r="W136" i="3"/>
  <c r="W13" i="3"/>
  <c r="W12" i="3"/>
  <c r="W15" i="3"/>
  <c r="W92" i="3"/>
  <c r="W24" i="3"/>
  <c r="W17" i="3"/>
  <c r="W59" i="3"/>
  <c r="W49" i="3"/>
  <c r="W16" i="3"/>
  <c r="W9" i="3"/>
  <c r="W11" i="3"/>
  <c r="W8" i="3"/>
  <c r="W25" i="3"/>
  <c r="W100" i="3"/>
  <c r="W57" i="3"/>
  <c r="W94" i="3"/>
  <c r="W93" i="3"/>
  <c r="W37" i="3"/>
  <c r="W10" i="3"/>
  <c r="W23" i="3"/>
</calcChain>
</file>

<file path=xl/sharedStrings.xml><?xml version="1.0" encoding="utf-8"?>
<sst xmlns="http://schemas.openxmlformats.org/spreadsheetml/2006/main" count="1669" uniqueCount="284">
  <si>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</si>
  <si>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</si>
  <si>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</si>
  <si>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</si>
  <si>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</si>
  <si>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</si>
  <si>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</si>
  <si>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</si>
  <si>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</si>
  <si>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</si>
  <si>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</si>
  <si>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</si>
  <si>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</si>
  <si>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</si>
  <si>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</si>
  <si>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</si>
  <si>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</si>
  <si>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</si>
  <si>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</si>
  <si>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</si>
  <si>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</si>
  <si>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</si>
  <si>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</si>
  <si>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</si>
  <si>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</si>
  <si>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</si>
  <si>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</si>
  <si>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</si>
  <si>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</si>
  <si>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</si>
  <si>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</si>
  <si>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</si>
  <si>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</si>
  <si>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</si>
  <si>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Veh_Reg_No.</t>
  </si>
  <si>
    <t>District</t>
  </si>
  <si>
    <t>Country</t>
  </si>
  <si>
    <t>Supervisor:</t>
  </si>
  <si>
    <t>Village or Town</t>
  </si>
  <si>
    <t>Car</t>
  </si>
  <si>
    <t>Station Wagon</t>
  </si>
  <si>
    <t>Pickups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</si>
  <si>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</si>
  <si>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</si>
  <si>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</si>
  <si>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</si>
  <si>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</si>
  <si>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</si>
  <si>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</si>
  <si>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</si>
  <si>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</si>
  <si>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</si>
  <si>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</si>
  <si>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</si>
  <si>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</si>
  <si>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</si>
  <si>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</si>
  <si>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</si>
  <si>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</si>
  <si>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</si>
  <si>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</si>
  <si>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</si>
  <si>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</si>
  <si>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</si>
  <si>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</si>
  <si>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</si>
  <si>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</si>
  <si>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</si>
  <si>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</si>
  <si>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</si>
  <si>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</si>
  <si>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</si>
  <si>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</si>
  <si>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</si>
  <si>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</si>
  <si>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</si>
  <si>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</si>
  <si>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</si>
  <si>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</si>
  <si>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</si>
  <si>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</si>
  <si>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</si>
  <si>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</si>
  <si>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</si>
  <si>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</si>
  <si>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</si>
  <si>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</si>
  <si>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</si>
  <si>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</si>
  <si>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</si>
  <si>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</si>
  <si>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</si>
  <si>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</si>
  <si>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</si>
  <si>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</si>
  <si>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</si>
  <si>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</si>
  <si>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</si>
  <si>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</si>
  <si>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Pay How Much? (UGX)</t>
  </si>
  <si>
    <t>Y</t>
  </si>
  <si>
    <t>Date</t>
  </si>
  <si>
    <t>Town</t>
  </si>
  <si>
    <t>Deo B. M</t>
  </si>
  <si>
    <t>Stated Preferance Survey</t>
  </si>
  <si>
    <t>D</t>
  </si>
  <si>
    <t>Mode No.</t>
  </si>
  <si>
    <t>Mode Description</t>
  </si>
  <si>
    <t>Mode Number</t>
  </si>
  <si>
    <t>Walking/Cycling</t>
  </si>
  <si>
    <t>Road Vehicle</t>
  </si>
  <si>
    <t>Rail</t>
  </si>
  <si>
    <t>Water/Ferry</t>
  </si>
  <si>
    <t>Air</t>
  </si>
  <si>
    <t>Veh_Type Desc</t>
  </si>
  <si>
    <t>Minibus</t>
  </si>
  <si>
    <t>Gender (M/F)</t>
  </si>
  <si>
    <t>M</t>
  </si>
  <si>
    <t>Age Bracket No.</t>
  </si>
  <si>
    <t>Age Bracket Desc.</t>
  </si>
  <si>
    <t>20-29</t>
  </si>
  <si>
    <t>30-39</t>
  </si>
  <si>
    <t>40-49</t>
  </si>
  <si>
    <t>50-59</t>
  </si>
  <si>
    <t>60-69</t>
  </si>
  <si>
    <t>70-</t>
  </si>
  <si>
    <t>Cost of Trip (UGX)</t>
  </si>
  <si>
    <t>Journey Dist (Km)</t>
  </si>
  <si>
    <t>Journey Time (Hrs)</t>
  </si>
  <si>
    <t>Profession No.</t>
  </si>
  <si>
    <t>Profession Desc.</t>
  </si>
  <si>
    <t>Profession</t>
  </si>
  <si>
    <t>Unemployed</t>
  </si>
  <si>
    <t>Manual Labour</t>
  </si>
  <si>
    <t>Artisan/Domestic</t>
  </si>
  <si>
    <t>Office Worker</t>
  </si>
  <si>
    <t>Professional</t>
  </si>
  <si>
    <t>Businessman</t>
  </si>
  <si>
    <t>Farmer</t>
  </si>
  <si>
    <t>Student</t>
  </si>
  <si>
    <t>Retired</t>
  </si>
  <si>
    <t>Other</t>
  </si>
  <si>
    <t>Monthly Income No.</t>
  </si>
  <si>
    <t xml:space="preserve">Monthly Income </t>
  </si>
  <si>
    <t>Monthly Income</t>
  </si>
  <si>
    <t>&lt;300,000</t>
  </si>
  <si>
    <t>300,000-500,000</t>
  </si>
  <si>
    <t>500,000-750,000</t>
  </si>
  <si>
    <t>750,000-1,000,000</t>
  </si>
  <si>
    <t>&gt;1,000,000</t>
  </si>
  <si>
    <t>Rank of Issues NOT OK with Journey</t>
  </si>
  <si>
    <t>Journey Time</t>
  </si>
  <si>
    <t>Cost of Journey</t>
  </si>
  <si>
    <t>Comfort</t>
  </si>
  <si>
    <t>Safety</t>
  </si>
  <si>
    <t>Reliability</t>
  </si>
  <si>
    <t>Would You Use Xpressways? Y/N</t>
  </si>
  <si>
    <t>Driver or Passenger? D/P</t>
  </si>
  <si>
    <t>Time (24-h format)</t>
  </si>
  <si>
    <t>P</t>
  </si>
  <si>
    <t>SOROTI</t>
  </si>
  <si>
    <t>UGA</t>
  </si>
  <si>
    <t>MOROTO</t>
  </si>
  <si>
    <t>F</t>
  </si>
  <si>
    <t>KOBIL</t>
  </si>
  <si>
    <t>AMURA</t>
  </si>
  <si>
    <t>ROBINAH</t>
  </si>
  <si>
    <t>DENIS</t>
  </si>
  <si>
    <t>RUTH</t>
  </si>
  <si>
    <t>LIRA</t>
  </si>
  <si>
    <t>MBALE</t>
  </si>
  <si>
    <t>KOTIDO</t>
  </si>
  <si>
    <t>KATAKWI</t>
  </si>
  <si>
    <t>KAPELEBYONG</t>
  </si>
  <si>
    <t>KAPRLEBYONG</t>
  </si>
  <si>
    <t>UAW 979W</t>
  </si>
  <si>
    <t>UBB 721D</t>
  </si>
  <si>
    <t>ATIRIRI</t>
  </si>
  <si>
    <t>UAV615S</t>
  </si>
  <si>
    <t>UBB 259N</t>
  </si>
  <si>
    <t>ABIM</t>
  </si>
  <si>
    <t>UAL 350F</t>
  </si>
  <si>
    <t>KAMPALA</t>
  </si>
  <si>
    <t>UAV 724C</t>
  </si>
  <si>
    <t>UBA 700G</t>
  </si>
  <si>
    <t>UAX 042A</t>
  </si>
  <si>
    <t>UAZ 533L</t>
  </si>
  <si>
    <t>UAX 715F</t>
  </si>
  <si>
    <t>UAT272T</t>
  </si>
  <si>
    <t>UAU 095V</t>
  </si>
  <si>
    <t>AMURIA</t>
  </si>
  <si>
    <t>UAZ 618T</t>
  </si>
  <si>
    <t>UAH 848F</t>
  </si>
  <si>
    <t>BUSIA</t>
  </si>
  <si>
    <t>UBB 935S</t>
  </si>
  <si>
    <t>KABONG</t>
  </si>
  <si>
    <t>UBF 838F</t>
  </si>
  <si>
    <t>KITGUM</t>
  </si>
  <si>
    <t>GULU</t>
  </si>
  <si>
    <t>UAK 695T</t>
  </si>
  <si>
    <t>UAH 734W</t>
  </si>
  <si>
    <t>UAT 262W</t>
  </si>
  <si>
    <t>UAY 529T</t>
  </si>
  <si>
    <t>UAD 226U</t>
  </si>
  <si>
    <t>UAS 159P</t>
  </si>
  <si>
    <t>UAZ 220M</t>
  </si>
  <si>
    <t>UBB 483P</t>
  </si>
  <si>
    <t>UAV 899G</t>
  </si>
  <si>
    <t>OLILILM</t>
  </si>
  <si>
    <t>UAV 889G</t>
  </si>
  <si>
    <t>UBA 376V</t>
  </si>
  <si>
    <t>OLILIM</t>
  </si>
  <si>
    <t>UAU 680B</t>
  </si>
  <si>
    <t>OCAPA</t>
  </si>
  <si>
    <t>SERERE</t>
  </si>
  <si>
    <t>UBB 328E</t>
  </si>
  <si>
    <t>UAX 363N</t>
  </si>
  <si>
    <t>UAV 814S</t>
  </si>
  <si>
    <t>UBE 249A</t>
  </si>
  <si>
    <t>OBALANGA</t>
  </si>
  <si>
    <t>UBA 309C</t>
  </si>
  <si>
    <t>UAZ 051D</t>
  </si>
  <si>
    <t>UAK 966R</t>
  </si>
  <si>
    <t>UAP 273F</t>
  </si>
  <si>
    <t>UBE 368C</t>
  </si>
  <si>
    <t>UAX 210H</t>
  </si>
  <si>
    <t>UBE 301G</t>
  </si>
  <si>
    <t>IGANGA</t>
  </si>
  <si>
    <t>UAH 743Y</t>
  </si>
  <si>
    <t>TORORO</t>
  </si>
  <si>
    <t>UAM 899C</t>
  </si>
  <si>
    <t>UAZ 221W</t>
  </si>
  <si>
    <t>NAMUTUMBA</t>
  </si>
  <si>
    <t>UBF 802F</t>
  </si>
  <si>
    <t>UAY 535Y</t>
  </si>
  <si>
    <t>UAU 006Z</t>
  </si>
  <si>
    <t>AGWARA</t>
  </si>
  <si>
    <t>UBA 856U</t>
  </si>
  <si>
    <t>UAM 787Q</t>
  </si>
  <si>
    <t>UAW 787Q</t>
  </si>
  <si>
    <t>JINJA</t>
  </si>
  <si>
    <t>UBB 802C</t>
  </si>
  <si>
    <t>ABARILELA</t>
  </si>
  <si>
    <t>UBA 169</t>
  </si>
  <si>
    <t>ORUNGO</t>
  </si>
  <si>
    <t>OCHOWA</t>
  </si>
  <si>
    <t>KUMI</t>
  </si>
  <si>
    <t>MAGRORO</t>
  </si>
  <si>
    <t>BALONGU</t>
  </si>
  <si>
    <t>N</t>
  </si>
  <si>
    <t>UBALONGU</t>
  </si>
  <si>
    <t>ORUMGO</t>
  </si>
  <si>
    <t>CHOWA</t>
  </si>
  <si>
    <t>APENDUM</t>
  </si>
  <si>
    <t>UAZ 622H</t>
  </si>
  <si>
    <t>USUK</t>
  </si>
  <si>
    <t>UAM 209N</t>
  </si>
  <si>
    <t>UAU 677B</t>
  </si>
  <si>
    <t>APETULIM</t>
  </si>
  <si>
    <t>UAY 862N</t>
  </si>
  <si>
    <t>ACOWA</t>
  </si>
  <si>
    <t>UAY 711S</t>
  </si>
  <si>
    <t>UAV 813S</t>
  </si>
  <si>
    <t>UBB 455D</t>
  </si>
  <si>
    <t>UBC 425C</t>
  </si>
  <si>
    <t>UAU 245G</t>
  </si>
  <si>
    <t>UBE 683J</t>
  </si>
  <si>
    <t xml:space="preserve"> </t>
  </si>
  <si>
    <t>UBC 425A</t>
  </si>
  <si>
    <t>UAZ 275N</t>
  </si>
  <si>
    <t>MAGORU</t>
  </si>
  <si>
    <t>MAGORO</t>
  </si>
  <si>
    <t>UAV 062N</t>
  </si>
  <si>
    <t>UAX 842T</t>
  </si>
  <si>
    <t>Row Label</t>
  </si>
  <si>
    <t>Count of Gender</t>
  </si>
  <si>
    <t>Percentage</t>
  </si>
  <si>
    <t>Female</t>
  </si>
  <si>
    <t>Male</t>
  </si>
  <si>
    <t>Grand Total</t>
  </si>
  <si>
    <t>Modes</t>
  </si>
  <si>
    <t>Total</t>
  </si>
  <si>
    <t>Bicycle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</si>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</sst>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yyyy\-mm\-dd;@"/>
  </numFmts>
  <fonts count="12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41" fontId="11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5" fillId="0" borderId="2" xfId="0" applyFont="1" applyFill="1" applyBorder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/>
    <xf numFmtId="165" fontId="5" fillId="0" borderId="2" xfId="0" applyNumberFormat="1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 wrapText="1"/>
    </xf>
    <xf numFmtId="1" fontId="5" fillId="0" borderId="2" xfId="0" applyNumberFormat="1" applyFont="1" applyFill="1" applyBorder="1" applyAlignment="1">
      <alignment horizontal="center"/>
    </xf>
    <xf numFmtId="166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67" fontId="5" fillId="0" borderId="2" xfId="1" applyNumberFormat="1" applyFont="1" applyFill="1" applyBorder="1"/>
    <xf numFmtId="0" fontId="0" fillId="0" borderId="0" xfId="0" applyAlignment="1">
      <alignment horizontal="center"/>
    </xf>
    <xf numFmtId="165" fontId="5" fillId="2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left" wrapText="1"/>
    </xf>
    <xf numFmtId="1" fontId="5" fillId="0" borderId="2" xfId="0" applyNumberFormat="1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1" fontId="5" fillId="0" borderId="2" xfId="4" applyFont="1" applyFill="1" applyBorder="1"/>
    <xf numFmtId="0" fontId="4" fillId="3" borderId="0" xfId="0" applyFont="1" applyFill="1" applyBorder="1" applyAlignment="1">
      <alignment horizontal="left" vertical="center"/>
    </xf>
    <xf numFmtId="1" fontId="1" fillId="0" borderId="2" xfId="0" applyNumberFormat="1" applyFont="1" applyBorder="1" applyAlignment="1">
      <alignment vertical="center" wrapText="1"/>
    </xf>
    <xf numFmtId="0" fontId="0" fillId="0" borderId="0" xfId="0" applyFill="1"/>
    <xf numFmtId="168" fontId="5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9" fontId="0" fillId="0" borderId="2" xfId="2" applyFont="1" applyBorder="1"/>
    <xf numFmtId="9" fontId="0" fillId="0" borderId="2" xfId="0" applyNumberFormat="1" applyBorder="1"/>
    <xf numFmtId="0" fontId="1" fillId="0" borderId="2" xfId="0" applyFont="1" applyBorder="1" applyAlignment="1">
      <alignment horizontal="center" wrapText="1"/>
    </xf>
    <xf numFmtId="0" fontId="4" fillId="3" borderId="21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" fontId="1" fillId="0" borderId="25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</cellXfs>
  <cellStyles count="5">
    <cellStyle name="Comma" xfId="1" builtinId="3"/>
    <cellStyle name="Comma [0]" xfId="4" builtinId="6"/>
    <cellStyle name="Normal" xfId="0" builtinId="0"/>
    <cellStyle name="Normal 2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6"/>
  <sheetViews>
    <sheetView tabSelected="1" topLeftCell="I4" zoomScale="75" zoomScaleNormal="75" zoomScaleSheetLayoutView="80" workbookViewId="0">
      <pane xSplit="1" topLeftCell="J1" activePane="topRight" state="frozen"/>
      <selection activeCell="I57" sqref="I57"/>
      <selection pane="topRight" activeCell="K12" sqref="K12"/>
    </sheetView>
  </sheetViews>
  <sheetFormatPr defaultRowHeight="12.75" x14ac:dyDescent="0.2"/>
  <cols>
    <col min="1" max="1" width="2.7109375" customWidth="1"/>
    <col min="2" max="2" width="12.140625" customWidth="1"/>
    <col min="3" max="3" width="7.28515625" customWidth="1"/>
    <col min="4" max="4" width="11.5703125" customWidth="1"/>
    <col min="5" max="6" width="10.28515625" customWidth="1"/>
    <col min="7" max="7" width="13.140625" customWidth="1"/>
    <col min="8" max="8" width="14.85546875" customWidth="1"/>
    <col min="9" max="9" width="13.7109375" customWidth="1"/>
    <col min="10" max="10" width="11.5703125" customWidth="1"/>
    <col min="11" max="11" width="8.85546875" customWidth="1"/>
    <col min="12" max="12" width="9.7109375" customWidth="1"/>
    <col min="13" max="13" width="15.28515625" customWidth="1"/>
    <col min="14" max="14" width="12.85546875" customWidth="1"/>
    <col min="15" max="15" width="9.42578125" customWidth="1"/>
    <col min="16" max="16" width="8.42578125" style="42" customWidth="1"/>
    <col min="17" max="17" width="11.85546875" customWidth="1"/>
    <col min="18" max="18" width="15.7109375" customWidth="1"/>
    <col min="19" max="19" width="12.28515625" customWidth="1"/>
    <col min="20" max="20" width="12.140625" customWidth="1"/>
    <col min="21" max="21" width="9.28515625" customWidth="1"/>
    <col min="22" max="22" width="12.7109375" customWidth="1"/>
    <col min="23" max="23" width="15.7109375" customWidth="1"/>
    <col min="24" max="24" width="11.5703125" style="51" customWidth="1"/>
    <col min="25" max="25" width="9.28515625" customWidth="1"/>
    <col min="26" max="26" width="9.42578125" customWidth="1"/>
    <col min="27" max="27" width="9.28515625" customWidth="1"/>
    <col min="28" max="28" width="12.85546875" customWidth="1"/>
    <col min="29" max="29" width="9.42578125" customWidth="1"/>
    <col min="30" max="30" width="17.42578125" customWidth="1"/>
    <col min="31" max="31" width="11.140625" customWidth="1"/>
    <col min="32" max="32" width="11" customWidth="1"/>
    <col min="33" max="34" width="10.7109375" customWidth="1"/>
    <col min="35" max="35" width="12.28515625" customWidth="1"/>
    <col min="36" max="36" width="10.5703125" customWidth="1"/>
    <col min="37" max="37" width="10.7109375" customWidth="1"/>
    <col min="38" max="38" width="8.42578125" customWidth="1"/>
    <col min="39" max="39" width="8" customWidth="1"/>
  </cols>
  <sheetData>
    <row r="1" spans="1:46" s="1" customFormat="1" ht="15.75" x14ac:dyDescent="0.2">
      <c r="C1" s="82" t="s">
        <v>95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6"/>
      <c r="AO1" s="6"/>
      <c r="AP1" s="6"/>
      <c r="AQ1" s="6"/>
      <c r="AR1" s="6"/>
      <c r="AS1" s="6"/>
      <c r="AT1" s="6"/>
    </row>
    <row r="2" spans="1:46" ht="15.75" x14ac:dyDescent="0.2">
      <c r="C2" s="82" t="s">
        <v>104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7"/>
      <c r="AO2" s="7"/>
      <c r="AP2" s="7"/>
      <c r="AQ2" s="7"/>
      <c r="AR2" s="7"/>
      <c r="AS2" s="7"/>
      <c r="AT2" s="7"/>
    </row>
    <row r="3" spans="1:46" ht="15" x14ac:dyDescent="0.2">
      <c r="C3" s="2"/>
      <c r="D3" s="2"/>
      <c r="E3" s="34"/>
      <c r="F3" s="34"/>
      <c r="G3" s="34"/>
      <c r="H3" s="2"/>
      <c r="I3" s="34"/>
      <c r="J3" s="2"/>
      <c r="K3" s="34"/>
      <c r="L3" s="3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4"/>
      <c r="Y3" s="2"/>
      <c r="Z3" s="2"/>
      <c r="AA3" s="2"/>
      <c r="AB3" s="34"/>
      <c r="AC3" s="34"/>
      <c r="AD3" s="34"/>
      <c r="AE3" s="2"/>
      <c r="AF3" s="2"/>
      <c r="AG3" s="2"/>
      <c r="AH3" s="34"/>
      <c r="AI3" s="34"/>
      <c r="AJ3" s="2"/>
      <c r="AK3" s="2"/>
      <c r="AL3" s="2"/>
      <c r="AM3" s="2"/>
    </row>
    <row r="4" spans="1:46" ht="15" customHeight="1" x14ac:dyDescent="0.2">
      <c r="C4" s="34"/>
      <c r="D4" s="1" t="s">
        <v>102</v>
      </c>
      <c r="E4" s="85" t="s">
        <v>160</v>
      </c>
      <c r="F4" s="86"/>
      <c r="G4" s="87"/>
      <c r="I4" s="47" t="s">
        <v>3</v>
      </c>
      <c r="J4" s="70" t="s">
        <v>166</v>
      </c>
      <c r="K4" s="71"/>
      <c r="L4" s="72"/>
      <c r="N4" s="1" t="s">
        <v>37</v>
      </c>
      <c r="O4" s="70" t="s">
        <v>167</v>
      </c>
      <c r="P4" s="72"/>
      <c r="R4" s="26" t="s">
        <v>6</v>
      </c>
      <c r="S4" s="64" t="s">
        <v>168</v>
      </c>
      <c r="T4" s="65"/>
      <c r="W4" s="27" t="s">
        <v>7</v>
      </c>
      <c r="X4" s="64" t="s">
        <v>103</v>
      </c>
      <c r="Y4" s="65"/>
      <c r="AH4" s="49"/>
      <c r="AI4" s="49"/>
      <c r="AP4" s="10"/>
      <c r="AQ4" s="5"/>
    </row>
    <row r="5" spans="1:46" ht="15" customHeight="1" thickBot="1" x14ac:dyDescent="0.25">
      <c r="C5" s="2"/>
      <c r="D5" s="2"/>
      <c r="E5" s="34"/>
      <c r="F5" s="34"/>
      <c r="G5" s="34"/>
      <c r="H5" s="2"/>
      <c r="I5" s="34"/>
      <c r="J5" s="22"/>
      <c r="K5" s="22"/>
      <c r="L5" s="22"/>
      <c r="M5" s="2"/>
      <c r="N5" s="2"/>
      <c r="P5" s="2"/>
      <c r="Q5" s="2"/>
      <c r="R5" s="5"/>
      <c r="S5" s="2"/>
      <c r="T5" s="2"/>
      <c r="U5" s="2"/>
      <c r="V5" s="2"/>
      <c r="W5" s="2"/>
      <c r="X5" s="34"/>
      <c r="Y5" s="2"/>
      <c r="Z5" s="2"/>
      <c r="AA5" s="2"/>
      <c r="AB5" s="34"/>
      <c r="AC5" s="34"/>
      <c r="AD5" s="34"/>
      <c r="AE5" s="2"/>
      <c r="AF5" s="2"/>
      <c r="AG5" s="2"/>
      <c r="AH5" s="34"/>
      <c r="AI5" s="34"/>
      <c r="AJ5" s="2"/>
      <c r="AK5" s="2"/>
      <c r="AL5" s="2"/>
      <c r="AM5" s="2"/>
    </row>
    <row r="6" spans="1:46" ht="30.75" customHeight="1" x14ac:dyDescent="0.2">
      <c r="B6" s="75" t="s">
        <v>101</v>
      </c>
      <c r="C6" s="77" t="s">
        <v>158</v>
      </c>
      <c r="D6" s="68" t="s">
        <v>34</v>
      </c>
      <c r="E6" s="66" t="s">
        <v>157</v>
      </c>
      <c r="F6" s="66" t="s">
        <v>106</v>
      </c>
      <c r="G6" s="66" t="s">
        <v>107</v>
      </c>
      <c r="H6" s="66" t="s">
        <v>9</v>
      </c>
      <c r="I6" s="66" t="s">
        <v>114</v>
      </c>
      <c r="J6" s="68" t="s">
        <v>116</v>
      </c>
      <c r="K6" s="68" t="s">
        <v>118</v>
      </c>
      <c r="L6" s="68" t="s">
        <v>119</v>
      </c>
      <c r="M6" s="79" t="s">
        <v>12</v>
      </c>
      <c r="N6" s="80"/>
      <c r="O6" s="81"/>
      <c r="P6" s="68" t="s">
        <v>15</v>
      </c>
      <c r="Q6" s="68" t="s">
        <v>96</v>
      </c>
      <c r="R6" s="79" t="s">
        <v>17</v>
      </c>
      <c r="S6" s="80"/>
      <c r="T6" s="81"/>
      <c r="U6" s="68" t="s">
        <v>18</v>
      </c>
      <c r="V6" s="68" t="s">
        <v>97</v>
      </c>
      <c r="W6" s="68" t="s">
        <v>98</v>
      </c>
      <c r="X6" s="68" t="s">
        <v>126</v>
      </c>
      <c r="Y6" s="68" t="s">
        <v>127</v>
      </c>
      <c r="Z6" s="68" t="s">
        <v>128</v>
      </c>
      <c r="AA6" s="68" t="s">
        <v>129</v>
      </c>
      <c r="AB6" s="68" t="s">
        <v>130</v>
      </c>
      <c r="AC6" s="68" t="s">
        <v>142</v>
      </c>
      <c r="AD6" s="68" t="s">
        <v>143</v>
      </c>
      <c r="AE6" s="74" t="s">
        <v>150</v>
      </c>
      <c r="AF6" s="74"/>
      <c r="AG6" s="74"/>
      <c r="AH6" s="74"/>
      <c r="AI6" s="74"/>
      <c r="AJ6" s="68" t="s">
        <v>156</v>
      </c>
      <c r="AK6" s="68" t="s">
        <v>99</v>
      </c>
      <c r="AL6" s="66" t="s">
        <v>20</v>
      </c>
      <c r="AM6" s="83" t="s">
        <v>21</v>
      </c>
      <c r="AO6" s="19"/>
    </row>
    <row r="7" spans="1:46" ht="38.25" customHeight="1" x14ac:dyDescent="0.2">
      <c r="B7" s="76"/>
      <c r="C7" s="78"/>
      <c r="D7" s="73"/>
      <c r="E7" s="67"/>
      <c r="F7" s="67"/>
      <c r="G7" s="67"/>
      <c r="H7" s="67"/>
      <c r="I7" s="67"/>
      <c r="J7" s="69"/>
      <c r="K7" s="69"/>
      <c r="L7" s="69"/>
      <c r="M7" s="23" t="s">
        <v>38</v>
      </c>
      <c r="N7" s="23" t="s">
        <v>35</v>
      </c>
      <c r="O7" s="24" t="s">
        <v>36</v>
      </c>
      <c r="P7" s="73"/>
      <c r="Q7" s="73"/>
      <c r="R7" s="23" t="s">
        <v>38</v>
      </c>
      <c r="S7" s="23" t="s">
        <v>35</v>
      </c>
      <c r="T7" s="23" t="s">
        <v>36</v>
      </c>
      <c r="U7" s="73"/>
      <c r="V7" s="73"/>
      <c r="W7" s="73"/>
      <c r="X7" s="73"/>
      <c r="Y7" s="73"/>
      <c r="Z7" s="73"/>
      <c r="AA7" s="73"/>
      <c r="AB7" s="73"/>
      <c r="AC7" s="73"/>
      <c r="AD7" s="73"/>
      <c r="AE7" s="50" t="s">
        <v>151</v>
      </c>
      <c r="AF7" s="50" t="s">
        <v>152</v>
      </c>
      <c r="AG7" s="50" t="s">
        <v>153</v>
      </c>
      <c r="AH7" s="50" t="s">
        <v>154</v>
      </c>
      <c r="AI7" s="50" t="s">
        <v>155</v>
      </c>
      <c r="AJ7" s="73"/>
      <c r="AK7" s="73"/>
      <c r="AL7" s="67"/>
      <c r="AM7" s="84"/>
    </row>
    <row r="8" spans="1:46" s="19" customFormat="1" x14ac:dyDescent="0.2">
      <c r="A8"/>
      <c r="B8" s="52">
        <v>43696</v>
      </c>
      <c r="C8" s="36">
        <v>0.375</v>
      </c>
      <c r="D8" s="36"/>
      <c r="E8" s="36" t="s">
        <v>105</v>
      </c>
      <c r="F8" s="38">
        <v>2</v>
      </c>
      <c r="G8" s="43" t="str">
        <f>VLOOKUP(F8,Key!$A$17:$B$21,2,FALSE)</f>
        <v>Road Vehicle</v>
      </c>
      <c r="H8" s="37">
        <v>1</v>
      </c>
      <c r="I8" s="44" t="str">
        <f>VLOOKUP(H8,Key!$A$2:$B$13,2,FALSE)</f>
        <v>Car</v>
      </c>
      <c r="J8" s="38" t="s">
        <v>163</v>
      </c>
      <c r="K8" s="38">
        <v>1</v>
      </c>
      <c r="L8" s="46" t="str">
        <f>VLOOKUP(K8,Key!$A$24:$B$29,2,FALSE)</f>
        <v>20-29</v>
      </c>
      <c r="M8" s="45" t="s">
        <v>164</v>
      </c>
      <c r="N8" s="33" t="s">
        <v>164</v>
      </c>
      <c r="O8" s="19" t="s">
        <v>161</v>
      </c>
      <c r="P8" s="40">
        <v>1</v>
      </c>
      <c r="Q8" s="35" t="str">
        <f>VLOOKUP(P8,Key!$E$2:$F$9,2,FALSE)</f>
        <v>Home</v>
      </c>
      <c r="R8" s="38" t="s">
        <v>160</v>
      </c>
      <c r="S8" s="33" t="s">
        <v>160</v>
      </c>
      <c r="T8" s="38" t="s">
        <v>161</v>
      </c>
      <c r="U8" s="33">
        <v>2</v>
      </c>
      <c r="V8" s="35" t="str">
        <f>VLOOKUP(U8,Key!$E$2:$F$9,2,FALSE)</f>
        <v>Work</v>
      </c>
      <c r="W8" s="35" t="str">
        <f>Q8&amp;"-"&amp;V8</f>
        <v>Home-Work</v>
      </c>
      <c r="X8" s="48">
        <v>40000</v>
      </c>
      <c r="Y8" s="39">
        <v>10</v>
      </c>
      <c r="Z8" s="39">
        <v>0.5</v>
      </c>
      <c r="AA8" s="33">
        <v>4</v>
      </c>
      <c r="AB8" s="35" t="str">
        <f>VLOOKUP(AA8,Key!$C$20:$D$29,2,FALSE)</f>
        <v>Office Worker</v>
      </c>
      <c r="AC8" s="33">
        <v>4</v>
      </c>
      <c r="AD8" s="35" t="str">
        <f>VLOOKUP(AC8,Key!$E$20:$F$24,2,FALSE)</f>
        <v>750,000-1,000,000</v>
      </c>
      <c r="AE8" s="33">
        <v>3</v>
      </c>
      <c r="AF8" s="39">
        <v>1</v>
      </c>
      <c r="AG8" s="39">
        <v>2</v>
      </c>
      <c r="AH8" s="39">
        <v>4</v>
      </c>
      <c r="AI8" s="39">
        <v>5</v>
      </c>
      <c r="AJ8" s="40" t="s">
        <v>100</v>
      </c>
      <c r="AK8" s="41">
        <v>4000</v>
      </c>
      <c r="AL8" s="25"/>
      <c r="AM8" s="25"/>
      <c r="AN8"/>
      <c r="AO8"/>
      <c r="AP8"/>
      <c r="AQ8"/>
      <c r="AR8"/>
      <c r="AS8"/>
      <c r="AT8"/>
    </row>
    <row r="9" spans="1:46" x14ac:dyDescent="0.2">
      <c r="B9" s="52">
        <v>43695</v>
      </c>
      <c r="C9" s="36">
        <v>0.38750000000000001</v>
      </c>
      <c r="D9" s="36"/>
      <c r="E9" s="36" t="s">
        <v>159</v>
      </c>
      <c r="F9" s="38">
        <v>2</v>
      </c>
      <c r="G9" s="43" t="str">
        <f>VLOOKUP(F9,Key!$A$17:$B$21,2,FALSE)</f>
        <v>Road Vehicle</v>
      </c>
      <c r="H9" s="37">
        <v>1</v>
      </c>
      <c r="I9" s="44" t="str">
        <f>VLOOKUP(H9,Key!$A$2:$B$13,2,FALSE)</f>
        <v>Car</v>
      </c>
      <c r="J9" s="38" t="s">
        <v>163</v>
      </c>
      <c r="K9" s="38">
        <v>1</v>
      </c>
      <c r="L9" s="46" t="str">
        <f>VLOOKUP(K9,Key!$A$24:$B$29,2,FALSE)</f>
        <v>20-29</v>
      </c>
      <c r="M9" s="45" t="s">
        <v>160</v>
      </c>
      <c r="N9" s="33" t="s">
        <v>160</v>
      </c>
      <c r="O9" s="19" t="s">
        <v>161</v>
      </c>
      <c r="P9" s="40">
        <v>1</v>
      </c>
      <c r="Q9" s="35" t="str">
        <f>VLOOKUP(P9,Key!$E$2:$F$9,2,FALSE)</f>
        <v>Home</v>
      </c>
      <c r="R9" s="38" t="s">
        <v>172</v>
      </c>
      <c r="S9" s="33" t="s">
        <v>172</v>
      </c>
      <c r="T9" s="38" t="s">
        <v>161</v>
      </c>
      <c r="U9" s="33">
        <v>2</v>
      </c>
      <c r="V9" s="35" t="str">
        <f>VLOOKUP(U9,Key!$E$2:$F$9,2,FALSE)</f>
        <v>Work</v>
      </c>
      <c r="W9" s="35" t="str">
        <f>Q9&amp;"-"&amp;V9</f>
        <v>Home-Work</v>
      </c>
      <c r="X9" s="48">
        <v>10000</v>
      </c>
      <c r="Y9" s="39">
        <v>70</v>
      </c>
      <c r="Z9" s="39">
        <v>2</v>
      </c>
      <c r="AA9" s="33">
        <v>6</v>
      </c>
      <c r="AB9" s="35" t="str">
        <f>VLOOKUP(AA9,Key!$C$20:$D$29,2,FALSE)</f>
        <v>Businessman</v>
      </c>
      <c r="AC9" s="33">
        <v>2</v>
      </c>
      <c r="AD9" s="35" t="str">
        <f>VLOOKUP(AC9,Key!$E$20:$F$24,2,FALSE)</f>
        <v>300,000-500,000</v>
      </c>
      <c r="AE9" s="33">
        <v>3</v>
      </c>
      <c r="AF9" s="39">
        <v>1</v>
      </c>
      <c r="AG9" s="39">
        <v>4</v>
      </c>
      <c r="AH9" s="39">
        <v>2</v>
      </c>
      <c r="AI9" s="39">
        <v>5</v>
      </c>
      <c r="AJ9" s="40" t="s">
        <v>100</v>
      </c>
      <c r="AK9" s="41"/>
      <c r="AL9" s="25"/>
      <c r="AM9" s="25"/>
    </row>
    <row r="10" spans="1:46" x14ac:dyDescent="0.2">
      <c r="B10" s="52">
        <v>43695</v>
      </c>
      <c r="C10" s="36">
        <v>0.54166666666666663</v>
      </c>
      <c r="D10" s="36"/>
      <c r="E10" s="36" t="s">
        <v>105</v>
      </c>
      <c r="F10" s="38">
        <v>2</v>
      </c>
      <c r="G10" s="43" t="str">
        <f>VLOOKUP(F10,Key!$A$17:$B$21,2,FALSE)</f>
        <v>Road Vehicle</v>
      </c>
      <c r="H10" s="37">
        <v>1</v>
      </c>
      <c r="I10" s="44" t="str">
        <f>VLOOKUP(H10,Key!$A$2:$B$13,2,FALSE)</f>
        <v>Car</v>
      </c>
      <c r="J10" s="38" t="s">
        <v>117</v>
      </c>
      <c r="K10" s="38">
        <v>1</v>
      </c>
      <c r="L10" s="46" t="str">
        <f>VLOOKUP(K10,Key!$A$24:$B$29,2,FALSE)</f>
        <v>20-29</v>
      </c>
      <c r="M10" s="45" t="s">
        <v>160</v>
      </c>
      <c r="N10" s="33" t="s">
        <v>160</v>
      </c>
      <c r="O10" s="19" t="s">
        <v>161</v>
      </c>
      <c r="P10" s="40">
        <v>2</v>
      </c>
      <c r="Q10" s="35" t="str">
        <f>VLOOKUP(P10,Key!$E$2:$F$9,2,FALSE)</f>
        <v>Work</v>
      </c>
      <c r="R10" s="38" t="s">
        <v>165</v>
      </c>
      <c r="S10" s="33" t="s">
        <v>165</v>
      </c>
      <c r="T10" s="38" t="s">
        <v>161</v>
      </c>
      <c r="U10" s="33">
        <v>4</v>
      </c>
      <c r="V10" s="35" t="str">
        <f>VLOOKUP(U10,Key!$E$2:$F$9,2,FALSE)</f>
        <v>Commercial</v>
      </c>
      <c r="W10" s="35" t="str">
        <f>Q10&amp;"-"&amp;V10</f>
        <v>Work-Commercial</v>
      </c>
      <c r="X10" s="48">
        <v>75000</v>
      </c>
      <c r="Y10" s="39">
        <v>10</v>
      </c>
      <c r="Z10" s="39">
        <v>0.8</v>
      </c>
      <c r="AA10" s="33">
        <v>10</v>
      </c>
      <c r="AB10" s="35" t="str">
        <f>VLOOKUP(AA10,Key!$C$20:$D$29,2,FALSE)</f>
        <v>Other</v>
      </c>
      <c r="AC10" s="33">
        <v>2</v>
      </c>
      <c r="AD10" s="35" t="str">
        <f>VLOOKUP(AC10,Key!$E$20:$F$24,2,FALSE)</f>
        <v>300,000-500,000</v>
      </c>
      <c r="AE10" s="33">
        <v>1</v>
      </c>
      <c r="AF10" s="39">
        <v>2</v>
      </c>
      <c r="AG10" s="39">
        <v>3</v>
      </c>
      <c r="AH10" s="39">
        <v>5</v>
      </c>
      <c r="AI10" s="39">
        <v>4</v>
      </c>
      <c r="AJ10" s="40" t="s">
        <v>100</v>
      </c>
      <c r="AK10" s="41"/>
      <c r="AL10" s="25"/>
      <c r="AM10" s="25"/>
    </row>
    <row r="11" spans="1:46" x14ac:dyDescent="0.2">
      <c r="B11" s="52">
        <v>43695</v>
      </c>
      <c r="C11" s="36">
        <v>0.625</v>
      </c>
      <c r="D11" s="36"/>
      <c r="E11" s="36" t="s">
        <v>105</v>
      </c>
      <c r="F11" s="38">
        <v>2</v>
      </c>
      <c r="G11" s="43" t="str">
        <f>VLOOKUP(F11,Key!$A$17:$B$21,2,FALSE)</f>
        <v>Road Vehicle</v>
      </c>
      <c r="H11" s="37">
        <v>1</v>
      </c>
      <c r="I11" s="44" t="str">
        <f>VLOOKUP(H11,Key!$A$2:$B$13,2,FALSE)</f>
        <v>Car</v>
      </c>
      <c r="J11" s="38" t="s">
        <v>117</v>
      </c>
      <c r="K11" s="38">
        <v>1</v>
      </c>
      <c r="L11" s="46" t="str">
        <f>VLOOKUP(K11,Key!$A$24:$B$29,2,FALSE)</f>
        <v>20-29</v>
      </c>
      <c r="M11" s="45" t="s">
        <v>160</v>
      </c>
      <c r="N11" s="33" t="s">
        <v>160</v>
      </c>
      <c r="O11" s="19" t="s">
        <v>161</v>
      </c>
      <c r="P11" s="40">
        <v>1</v>
      </c>
      <c r="Q11" s="35" t="str">
        <f>VLOOKUP(P11,Key!$E$2:$F$9,2,FALSE)</f>
        <v>Home</v>
      </c>
      <c r="R11" s="38" t="s">
        <v>170</v>
      </c>
      <c r="S11" s="33" t="s">
        <v>170</v>
      </c>
      <c r="T11" s="38" t="s">
        <v>161</v>
      </c>
      <c r="U11" s="33">
        <v>2</v>
      </c>
      <c r="V11" s="35" t="str">
        <f>VLOOKUP(U11,Key!$E$2:$F$9,2,FALSE)</f>
        <v>Work</v>
      </c>
      <c r="W11" s="35" t="str">
        <f>Q11&amp;"-"&amp;V11</f>
        <v>Home-Work</v>
      </c>
      <c r="X11" s="48">
        <v>70000</v>
      </c>
      <c r="Y11" s="39"/>
      <c r="Z11" s="39">
        <v>3</v>
      </c>
      <c r="AA11" s="33">
        <v>10</v>
      </c>
      <c r="AB11" s="35" t="str">
        <f>VLOOKUP(AA11,Key!$C$20:$D$29,2,FALSE)</f>
        <v>Other</v>
      </c>
      <c r="AC11" s="33">
        <v>2</v>
      </c>
      <c r="AD11" s="35" t="str">
        <f>VLOOKUP(AC11,Key!$E$20:$F$24,2,FALSE)</f>
        <v>300,000-500,000</v>
      </c>
      <c r="AE11" s="33">
        <v>1</v>
      </c>
      <c r="AF11" s="39">
        <v>2</v>
      </c>
      <c r="AG11" s="39">
        <v>4</v>
      </c>
      <c r="AH11" s="39">
        <v>3</v>
      </c>
      <c r="AI11" s="39">
        <v>5</v>
      </c>
      <c r="AJ11" s="40" t="s">
        <v>100</v>
      </c>
      <c r="AK11" s="41"/>
      <c r="AL11" s="25"/>
      <c r="AM11" s="25"/>
    </row>
    <row r="12" spans="1:46" x14ac:dyDescent="0.2">
      <c r="B12" s="52">
        <v>43695</v>
      </c>
      <c r="C12" s="36">
        <v>0.76458333333333339</v>
      </c>
      <c r="D12" s="36"/>
      <c r="E12" s="36" t="s">
        <v>105</v>
      </c>
      <c r="F12" s="38">
        <v>2</v>
      </c>
      <c r="G12" s="43" t="str">
        <f>VLOOKUP(F12,Key!$A$17:$B$21,2,FALSE)</f>
        <v>Road Vehicle</v>
      </c>
      <c r="H12" s="37">
        <v>1</v>
      </c>
      <c r="I12" s="44" t="str">
        <f>VLOOKUP(H12,Key!$A$2:$B$13,2,FALSE)</f>
        <v>Car</v>
      </c>
      <c r="J12" s="38" t="s">
        <v>117</v>
      </c>
      <c r="K12" s="38">
        <v>1</v>
      </c>
      <c r="L12" s="46" t="str">
        <f>VLOOKUP(K12,Key!$A$24:$B$29,2,FALSE)</f>
        <v>20-29</v>
      </c>
      <c r="M12" s="45" t="s">
        <v>169</v>
      </c>
      <c r="N12" s="33" t="s">
        <v>169</v>
      </c>
      <c r="O12" s="19" t="s">
        <v>161</v>
      </c>
      <c r="P12" s="40">
        <v>2</v>
      </c>
      <c r="Q12" s="35" t="str">
        <f>VLOOKUP(P12,Key!$E$2:$F$9,2,FALSE)</f>
        <v>Work</v>
      </c>
      <c r="R12" s="38" t="s">
        <v>160</v>
      </c>
      <c r="S12" s="33" t="s">
        <v>160</v>
      </c>
      <c r="T12" s="38" t="s">
        <v>161</v>
      </c>
      <c r="U12" s="33">
        <v>4</v>
      </c>
      <c r="V12" s="35" t="str">
        <f>VLOOKUP(U12,Key!$E$2:$F$9,2,FALSE)</f>
        <v>Commercial</v>
      </c>
      <c r="W12" s="35" t="str">
        <f>Q12&amp;"-"&amp;V12</f>
        <v>Work-Commercial</v>
      </c>
      <c r="X12" s="48">
        <v>120000</v>
      </c>
      <c r="Y12" s="39">
        <v>110</v>
      </c>
      <c r="Z12" s="39">
        <v>1.5</v>
      </c>
      <c r="AA12" s="33">
        <v>6</v>
      </c>
      <c r="AB12" s="35" t="str">
        <f>VLOOKUP(AA12,Key!$C$20:$D$29,2,FALSE)</f>
        <v>Businessman</v>
      </c>
      <c r="AC12" s="33">
        <v>2</v>
      </c>
      <c r="AD12" s="35" t="str">
        <f>VLOOKUP(AC12,Key!$E$20:$F$24,2,FALSE)</f>
        <v>300,000-500,000</v>
      </c>
      <c r="AE12" s="33">
        <v>2</v>
      </c>
      <c r="AF12" s="39">
        <v>1</v>
      </c>
      <c r="AG12" s="39">
        <v>4</v>
      </c>
      <c r="AH12" s="39">
        <v>3</v>
      </c>
      <c r="AI12" s="39">
        <v>5</v>
      </c>
      <c r="AJ12" s="40" t="s">
        <v>100</v>
      </c>
      <c r="AK12" s="41">
        <v>500</v>
      </c>
      <c r="AL12" s="25"/>
      <c r="AM12" s="25"/>
    </row>
    <row r="13" spans="1:46" x14ac:dyDescent="0.2">
      <c r="B13" s="52">
        <v>43695</v>
      </c>
      <c r="C13" s="36">
        <v>0.76458333333333339</v>
      </c>
      <c r="D13" s="36"/>
      <c r="E13" s="36" t="s">
        <v>105</v>
      </c>
      <c r="F13" s="38">
        <v>2</v>
      </c>
      <c r="G13" s="43" t="str">
        <f>VLOOKUP(F13,Key!$A$17:$B$21,2,FALSE)</f>
        <v>Road Vehicle</v>
      </c>
      <c r="H13" s="37">
        <v>1</v>
      </c>
      <c r="I13" s="44" t="str">
        <f>VLOOKUP(H13,Key!$A$2:$B$13,2,FALSE)</f>
        <v>Car</v>
      </c>
      <c r="J13" s="38" t="s">
        <v>117</v>
      </c>
      <c r="K13" s="38">
        <v>1</v>
      </c>
      <c r="L13" s="46" t="str">
        <f>VLOOKUP(K13,Key!$A$24:$B$29,2,FALSE)</f>
        <v>20-29</v>
      </c>
      <c r="M13" s="45" t="s">
        <v>165</v>
      </c>
      <c r="N13" s="33" t="s">
        <v>165</v>
      </c>
      <c r="O13" s="19" t="s">
        <v>161</v>
      </c>
      <c r="P13" s="40">
        <v>1</v>
      </c>
      <c r="Q13" s="35" t="str">
        <f>VLOOKUP(P13,Key!$E$2:$F$9,2,FALSE)</f>
        <v>Home</v>
      </c>
      <c r="R13" s="38" t="s">
        <v>160</v>
      </c>
      <c r="S13" s="33" t="s">
        <v>160</v>
      </c>
      <c r="T13" s="38" t="s">
        <v>161</v>
      </c>
      <c r="U13" s="33">
        <v>2</v>
      </c>
      <c r="V13" s="35" t="str">
        <f>VLOOKUP(U13,Key!$E$2:$F$9,2,FALSE)</f>
        <v>Work</v>
      </c>
      <c r="W13" s="35" t="str">
        <f>Q13&amp;"-"&amp;V13</f>
        <v>Home-Work</v>
      </c>
      <c r="X13" s="48">
        <v>20000</v>
      </c>
      <c r="Y13" s="39"/>
      <c r="Z13" s="39">
        <v>0.7</v>
      </c>
      <c r="AA13" s="33">
        <v>3</v>
      </c>
      <c r="AB13" s="35" t="str">
        <f>VLOOKUP(AA13,Key!$C$20:$D$29,2,FALSE)</f>
        <v>Artisan/Domestic</v>
      </c>
      <c r="AC13" s="33">
        <v>1</v>
      </c>
      <c r="AD13" s="35" t="str">
        <f>VLOOKUP(AC13,Key!$E$20:$F$24,2,FALSE)</f>
        <v>&lt;300,000</v>
      </c>
      <c r="AE13" s="33">
        <v>7</v>
      </c>
      <c r="AF13" s="39">
        <v>2</v>
      </c>
      <c r="AG13" s="39">
        <v>3</v>
      </c>
      <c r="AH13" s="39">
        <v>4</v>
      </c>
      <c r="AI13" s="39">
        <v>5</v>
      </c>
      <c r="AJ13" s="40" t="s">
        <v>100</v>
      </c>
      <c r="AK13" s="41"/>
      <c r="AL13" s="25"/>
      <c r="AM13" s="25"/>
    </row>
    <row r="14" spans="1:46" x14ac:dyDescent="0.2">
      <c r="B14" s="52">
        <v>43697</v>
      </c>
      <c r="C14" s="36">
        <v>0.58333333333333337</v>
      </c>
      <c r="D14" s="36"/>
      <c r="E14" s="36" t="s">
        <v>159</v>
      </c>
      <c r="F14" s="38">
        <v>2</v>
      </c>
      <c r="G14" s="43" t="str">
        <f>VLOOKUP(F14,Key!$A$17:$B$21,2,FALSE)</f>
        <v>Road Vehicle</v>
      </c>
      <c r="H14" s="37">
        <v>1</v>
      </c>
      <c r="I14" s="44" t="str">
        <f>VLOOKUP(H14,Key!$A$2:$B$13,2,FALSE)</f>
        <v>Car</v>
      </c>
      <c r="J14" s="38" t="s">
        <v>163</v>
      </c>
      <c r="K14" s="38">
        <v>2</v>
      </c>
      <c r="L14" s="46" t="str">
        <f>VLOOKUP(K14,Key!$A$24:$B$29,2,FALSE)</f>
        <v>30-39</v>
      </c>
      <c r="M14" s="38" t="s">
        <v>160</v>
      </c>
      <c r="N14" s="33" t="s">
        <v>160</v>
      </c>
      <c r="O14" s="19" t="s">
        <v>161</v>
      </c>
      <c r="P14" s="40">
        <v>1</v>
      </c>
      <c r="Q14" s="35" t="str">
        <f>VLOOKUP(P14,Key!$E$2:$F$9,2,FALSE)</f>
        <v>Home</v>
      </c>
      <c r="R14" s="38" t="s">
        <v>229</v>
      </c>
      <c r="S14" s="33" t="s">
        <v>229</v>
      </c>
      <c r="T14" s="38" t="s">
        <v>161</v>
      </c>
      <c r="U14" s="33">
        <v>4</v>
      </c>
      <c r="V14" s="35" t="str">
        <f>VLOOKUP(U14,Key!$E$2:$F$9,2,FALSE)</f>
        <v>Commercial</v>
      </c>
      <c r="W14" s="35" t="str">
        <f>Q14&amp;"-"&amp;V14</f>
        <v>Home-Commercial</v>
      </c>
      <c r="X14" s="33">
        <v>100000</v>
      </c>
      <c r="Y14" s="39">
        <v>40</v>
      </c>
      <c r="Z14" s="39">
        <v>2</v>
      </c>
      <c r="AA14" s="33">
        <v>6</v>
      </c>
      <c r="AB14" s="35" t="str">
        <f>VLOOKUP(AA14,Key!$C$20:$D$29,2,FALSE)</f>
        <v>Businessman</v>
      </c>
      <c r="AC14" s="33">
        <v>1</v>
      </c>
      <c r="AD14" s="35" t="str">
        <f>VLOOKUP(AC14,Key!$E$20:$F$24,2,FALSE)</f>
        <v>&lt;300,000</v>
      </c>
      <c r="AE14" s="33">
        <v>5</v>
      </c>
      <c r="AF14" s="39">
        <v>1</v>
      </c>
      <c r="AG14" s="39">
        <v>2</v>
      </c>
      <c r="AH14" s="39">
        <v>5</v>
      </c>
      <c r="AI14" s="39">
        <v>1</v>
      </c>
      <c r="AJ14" s="40" t="s">
        <v>100</v>
      </c>
      <c r="AK14" s="41">
        <v>5000</v>
      </c>
      <c r="AL14" s="25"/>
      <c r="AM14" s="25"/>
    </row>
    <row r="15" spans="1:46" x14ac:dyDescent="0.2">
      <c r="B15" s="52">
        <v>43695</v>
      </c>
      <c r="C15" s="36">
        <v>0.59166666666666667</v>
      </c>
      <c r="D15" s="36"/>
      <c r="E15" s="36" t="s">
        <v>105</v>
      </c>
      <c r="F15" s="38">
        <v>2</v>
      </c>
      <c r="G15" s="43" t="str">
        <f>VLOOKUP(F15,Key!$A$17:$B$21,2,FALSE)</f>
        <v>Road Vehicle</v>
      </c>
      <c r="H15" s="37">
        <v>1</v>
      </c>
      <c r="I15" s="44" t="str">
        <f>VLOOKUP(H15,Key!$A$2:$B$13,2,FALSE)</f>
        <v>Car</v>
      </c>
      <c r="J15" s="38" t="s">
        <v>117</v>
      </c>
      <c r="K15" s="38">
        <v>2</v>
      </c>
      <c r="L15" s="46" t="str">
        <f>VLOOKUP(K15,Key!$A$24:$B$29,2,FALSE)</f>
        <v>30-39</v>
      </c>
      <c r="M15" s="45" t="s">
        <v>160</v>
      </c>
      <c r="N15" s="33" t="s">
        <v>160</v>
      </c>
      <c r="O15" s="19" t="s">
        <v>161</v>
      </c>
      <c r="P15" s="40">
        <v>2</v>
      </c>
      <c r="Q15" s="35" t="str">
        <f>VLOOKUP(P15,Key!$E$2:$F$9,2,FALSE)</f>
        <v>Work</v>
      </c>
      <c r="R15" s="38" t="s">
        <v>169</v>
      </c>
      <c r="S15" s="33" t="s">
        <v>169</v>
      </c>
      <c r="T15" s="38" t="s">
        <v>161</v>
      </c>
      <c r="U15" s="33">
        <v>1</v>
      </c>
      <c r="V15" s="35" t="str">
        <f>VLOOKUP(U15,Key!$E$2:$F$9,2,FALSE)</f>
        <v>Home</v>
      </c>
      <c r="W15" s="35" t="str">
        <f>Q15&amp;"-"&amp;V15</f>
        <v>Work-Home</v>
      </c>
      <c r="X15" s="48">
        <v>50000</v>
      </c>
      <c r="Y15" s="39"/>
      <c r="Z15" s="39">
        <v>1</v>
      </c>
      <c r="AA15" s="33">
        <v>10</v>
      </c>
      <c r="AB15" s="35" t="str">
        <f>VLOOKUP(AA15,Key!$C$20:$D$29,2,FALSE)</f>
        <v>Other</v>
      </c>
      <c r="AC15" s="33">
        <v>1</v>
      </c>
      <c r="AD15" s="35" t="str">
        <f>VLOOKUP(AC15,Key!$E$20:$F$24,2,FALSE)</f>
        <v>&lt;300,000</v>
      </c>
      <c r="AE15" s="33">
        <v>2</v>
      </c>
      <c r="AF15" s="39">
        <v>1</v>
      </c>
      <c r="AG15" s="39">
        <v>3</v>
      </c>
      <c r="AH15" s="39">
        <v>5</v>
      </c>
      <c r="AI15" s="39">
        <v>4</v>
      </c>
      <c r="AJ15" s="40" t="s">
        <v>100</v>
      </c>
      <c r="AK15" s="41">
        <v>1000</v>
      </c>
      <c r="AL15" s="25"/>
      <c r="AM15" s="25"/>
    </row>
    <row r="16" spans="1:46" x14ac:dyDescent="0.2">
      <c r="B16" s="52">
        <v>43695</v>
      </c>
      <c r="C16" s="36">
        <v>0.68402777777777779</v>
      </c>
      <c r="D16" s="36" t="s">
        <v>176</v>
      </c>
      <c r="E16" s="36" t="s">
        <v>105</v>
      </c>
      <c r="F16" s="38">
        <v>2</v>
      </c>
      <c r="G16" s="43" t="str">
        <f>VLOOKUP(F16,Key!$A$17:$B$21,2,FALSE)</f>
        <v>Road Vehicle</v>
      </c>
      <c r="H16" s="37">
        <v>1</v>
      </c>
      <c r="I16" s="44" t="str">
        <f>VLOOKUP(H16,Key!$A$2:$B$13,2,FALSE)</f>
        <v>Car</v>
      </c>
      <c r="J16" s="38" t="s">
        <v>117</v>
      </c>
      <c r="K16" s="38">
        <v>2</v>
      </c>
      <c r="L16" s="46" t="str">
        <f>VLOOKUP(K16,Key!$A$24:$B$29,2,FALSE)</f>
        <v>30-39</v>
      </c>
      <c r="M16" s="45" t="s">
        <v>160</v>
      </c>
      <c r="N16" s="33" t="s">
        <v>160</v>
      </c>
      <c r="O16" s="19" t="s">
        <v>161</v>
      </c>
      <c r="P16" s="40">
        <v>2</v>
      </c>
      <c r="Q16" s="35" t="str">
        <f>VLOOKUP(P16,Key!$E$2:$F$9,2,FALSE)</f>
        <v>Work</v>
      </c>
      <c r="R16" s="38" t="s">
        <v>177</v>
      </c>
      <c r="S16" s="33" t="s">
        <v>160</v>
      </c>
      <c r="T16" s="38" t="s">
        <v>161</v>
      </c>
      <c r="U16" s="33">
        <v>1</v>
      </c>
      <c r="V16" s="35" t="str">
        <f>VLOOKUP(U16,Key!$E$2:$F$9,2,FALSE)</f>
        <v>Home</v>
      </c>
      <c r="W16" s="35" t="str">
        <f>Q16&amp;"-"&amp;V16</f>
        <v>Work-Home</v>
      </c>
      <c r="X16" s="48">
        <v>50000</v>
      </c>
      <c r="Y16" s="39">
        <v>5</v>
      </c>
      <c r="Z16" s="39">
        <v>0.7</v>
      </c>
      <c r="AA16" s="33">
        <v>10</v>
      </c>
      <c r="AB16" s="35" t="str">
        <f>VLOOKUP(AA16,Key!$C$20:$D$29,2,FALSE)</f>
        <v>Other</v>
      </c>
      <c r="AC16" s="33">
        <v>1</v>
      </c>
      <c r="AD16" s="35" t="str">
        <f>VLOOKUP(AC16,Key!$E$20:$F$24,2,FALSE)</f>
        <v>&lt;300,000</v>
      </c>
      <c r="AE16" s="33">
        <v>2</v>
      </c>
      <c r="AF16" s="39">
        <v>4</v>
      </c>
      <c r="AG16" s="39">
        <v>4</v>
      </c>
      <c r="AH16" s="39">
        <v>4</v>
      </c>
      <c r="AI16" s="39">
        <v>2</v>
      </c>
      <c r="AJ16" s="40" t="s">
        <v>100</v>
      </c>
      <c r="AK16" s="41">
        <v>1000</v>
      </c>
      <c r="AL16" s="25"/>
      <c r="AM16" s="25"/>
    </row>
    <row r="17" spans="1:46" x14ac:dyDescent="0.2">
      <c r="B17" s="52">
        <v>43695</v>
      </c>
      <c r="C17" s="36">
        <v>0.6479166666666667</v>
      </c>
      <c r="D17" s="36" t="s">
        <v>188</v>
      </c>
      <c r="E17" s="36" t="s">
        <v>105</v>
      </c>
      <c r="F17" s="38">
        <v>2</v>
      </c>
      <c r="G17" s="43" t="str">
        <f>VLOOKUP(F17,Key!$A$17:$B$21,2,FALSE)</f>
        <v>Road Vehicle</v>
      </c>
      <c r="H17" s="37">
        <v>1</v>
      </c>
      <c r="I17" s="44" t="str">
        <f>VLOOKUP(H17,Key!$A$2:$B$13,2,FALSE)</f>
        <v>Car</v>
      </c>
      <c r="J17" s="38" t="s">
        <v>117</v>
      </c>
      <c r="K17" s="38">
        <v>2</v>
      </c>
      <c r="L17" s="46" t="str">
        <f>VLOOKUP(K17,Key!$A$24:$B$29,2,FALSE)</f>
        <v>30-39</v>
      </c>
      <c r="M17" s="38" t="s">
        <v>160</v>
      </c>
      <c r="N17" s="33" t="s">
        <v>160</v>
      </c>
      <c r="O17" s="19" t="s">
        <v>161</v>
      </c>
      <c r="P17" s="40">
        <v>2</v>
      </c>
      <c r="Q17" s="35" t="str">
        <f>VLOOKUP(P17,Key!$E$2:$F$9,2,FALSE)</f>
        <v>Work</v>
      </c>
      <c r="R17" s="38" t="s">
        <v>173</v>
      </c>
      <c r="S17" s="33" t="s">
        <v>174</v>
      </c>
      <c r="T17" s="38" t="s">
        <v>161</v>
      </c>
      <c r="U17" s="33">
        <v>8</v>
      </c>
      <c r="V17" s="35" t="str">
        <f>VLOOKUP(U17,Key!$E$2:$F$9,2,FALSE)</f>
        <v>Others</v>
      </c>
      <c r="W17" s="35" t="str">
        <f>Q17&amp;"-"&amp;V17</f>
        <v>Work-Others</v>
      </c>
      <c r="X17" s="48">
        <v>70000</v>
      </c>
      <c r="Y17" s="39">
        <v>50</v>
      </c>
      <c r="Z17" s="39">
        <v>2</v>
      </c>
      <c r="AA17" s="33">
        <v>10</v>
      </c>
      <c r="AB17" s="35" t="str">
        <f>VLOOKUP(AA17,Key!$C$20:$D$29,2,FALSE)</f>
        <v>Other</v>
      </c>
      <c r="AC17" s="33">
        <v>1</v>
      </c>
      <c r="AD17" s="35" t="str">
        <f>VLOOKUP(AC17,Key!$E$20:$F$24,2,FALSE)</f>
        <v>&lt;300,000</v>
      </c>
      <c r="AE17" s="33">
        <v>5</v>
      </c>
      <c r="AF17" s="39">
        <v>2</v>
      </c>
      <c r="AG17" s="39">
        <v>2</v>
      </c>
      <c r="AH17" s="39">
        <v>5</v>
      </c>
      <c r="AI17" s="39">
        <v>2</v>
      </c>
      <c r="AJ17" s="40" t="s">
        <v>100</v>
      </c>
      <c r="AK17" s="41"/>
      <c r="AL17" s="25"/>
      <c r="AM17" s="25"/>
    </row>
    <row r="18" spans="1:46" x14ac:dyDescent="0.2">
      <c r="B18" s="52">
        <v>43695</v>
      </c>
      <c r="C18" s="36">
        <v>0.60069444444444442</v>
      </c>
      <c r="D18" s="36" t="s">
        <v>191</v>
      </c>
      <c r="E18" s="36" t="s">
        <v>105</v>
      </c>
      <c r="F18" s="38">
        <v>2</v>
      </c>
      <c r="G18" s="43" t="str">
        <f>VLOOKUP(F18,Key!$A$17:$B$21,2,FALSE)</f>
        <v>Road Vehicle</v>
      </c>
      <c r="H18" s="37">
        <v>1</v>
      </c>
      <c r="I18" s="44" t="str">
        <f>VLOOKUP(H18,Key!$A$2:$B$13,2,FALSE)</f>
        <v>Car</v>
      </c>
      <c r="J18" s="38" t="s">
        <v>117</v>
      </c>
      <c r="K18" s="38">
        <v>2</v>
      </c>
      <c r="L18" s="46" t="str">
        <f>VLOOKUP(K18,Key!$A$24:$B$29,2,FALSE)</f>
        <v>30-39</v>
      </c>
      <c r="M18" s="38" t="s">
        <v>180</v>
      </c>
      <c r="N18" s="33" t="s">
        <v>180</v>
      </c>
      <c r="O18" s="19" t="s">
        <v>161</v>
      </c>
      <c r="P18" s="40">
        <v>2</v>
      </c>
      <c r="Q18" s="35" t="str">
        <f>VLOOKUP(P18,Key!$E$2:$F$9,2,FALSE)</f>
        <v>Work</v>
      </c>
      <c r="R18" s="38" t="s">
        <v>160</v>
      </c>
      <c r="S18" s="33" t="s">
        <v>160</v>
      </c>
      <c r="T18" s="38" t="s">
        <v>161</v>
      </c>
      <c r="U18" s="33">
        <v>2</v>
      </c>
      <c r="V18" s="35" t="str">
        <f>VLOOKUP(U18,Key!$E$2:$F$9,2,FALSE)</f>
        <v>Work</v>
      </c>
      <c r="W18" s="35" t="str">
        <f>Q18&amp;"-"&amp;V18</f>
        <v>Work-Work</v>
      </c>
      <c r="X18" s="48">
        <v>80000</v>
      </c>
      <c r="Y18" s="39">
        <v>53</v>
      </c>
      <c r="Z18" s="39">
        <v>2</v>
      </c>
      <c r="AA18" s="33">
        <v>10</v>
      </c>
      <c r="AB18" s="35" t="str">
        <f>VLOOKUP(AA18,Key!$C$20:$D$29,2,FALSE)</f>
        <v>Other</v>
      </c>
      <c r="AC18" s="33">
        <v>2</v>
      </c>
      <c r="AD18" s="35" t="str">
        <f>VLOOKUP(AC18,Key!$E$20:$F$24,2,FALSE)</f>
        <v>300,000-500,000</v>
      </c>
      <c r="AE18" s="33">
        <v>5</v>
      </c>
      <c r="AF18" s="39">
        <v>2</v>
      </c>
      <c r="AG18" s="39">
        <v>3</v>
      </c>
      <c r="AH18" s="39">
        <v>5</v>
      </c>
      <c r="AI18" s="39">
        <v>3</v>
      </c>
      <c r="AJ18" s="40" t="s">
        <v>100</v>
      </c>
      <c r="AK18" s="41">
        <v>2000</v>
      </c>
      <c r="AL18" s="25"/>
      <c r="AM18" s="25"/>
    </row>
    <row r="19" spans="1:46" x14ac:dyDescent="0.2">
      <c r="B19" s="52">
        <v>43696</v>
      </c>
      <c r="C19" s="36">
        <v>0.74930555555555556</v>
      </c>
      <c r="D19" s="36" t="s">
        <v>212</v>
      </c>
      <c r="E19" s="36" t="s">
        <v>105</v>
      </c>
      <c r="F19" s="38">
        <v>2</v>
      </c>
      <c r="G19" s="43" t="str">
        <f>VLOOKUP(F19,Key!$A$17:$B$21,2,FALSE)</f>
        <v>Road Vehicle</v>
      </c>
      <c r="H19" s="37">
        <v>1</v>
      </c>
      <c r="I19" s="44" t="str">
        <f>VLOOKUP(H19,Key!$A$2:$B$13,2,FALSE)</f>
        <v>Car</v>
      </c>
      <c r="J19" s="38" t="s">
        <v>117</v>
      </c>
      <c r="K19" s="38">
        <v>2</v>
      </c>
      <c r="L19" s="46" t="str">
        <f>VLOOKUP(K19,Key!$A$24:$B$29,2,FALSE)</f>
        <v>30-39</v>
      </c>
      <c r="M19" s="38" t="s">
        <v>160</v>
      </c>
      <c r="N19" s="33" t="s">
        <v>160</v>
      </c>
      <c r="O19" s="19" t="s">
        <v>161</v>
      </c>
      <c r="P19" s="40">
        <v>2</v>
      </c>
      <c r="Q19" s="35" t="str">
        <f>VLOOKUP(P19,Key!$E$2:$F$9,2,FALSE)</f>
        <v>Work</v>
      </c>
      <c r="R19" s="38" t="s">
        <v>213</v>
      </c>
      <c r="S19" s="33" t="s">
        <v>214</v>
      </c>
      <c r="T19" s="38" t="s">
        <v>161</v>
      </c>
      <c r="U19" s="33">
        <v>2</v>
      </c>
      <c r="V19" s="35" t="str">
        <f>VLOOKUP(U19,Key!$E$2:$F$9,2,FALSE)</f>
        <v>Work</v>
      </c>
      <c r="W19" s="35" t="str">
        <f>Q19&amp;"-"&amp;V19</f>
        <v>Work-Work</v>
      </c>
      <c r="X19" s="33">
        <v>60000</v>
      </c>
      <c r="Y19" s="39">
        <v>20</v>
      </c>
      <c r="Z19" s="39">
        <v>0.8</v>
      </c>
      <c r="AA19" s="33">
        <v>10</v>
      </c>
      <c r="AB19" s="35" t="str">
        <f>VLOOKUP(AA19,Key!$C$20:$D$29,2,FALSE)</f>
        <v>Other</v>
      </c>
      <c r="AC19" s="33">
        <v>1</v>
      </c>
      <c r="AD19" s="35" t="str">
        <f>VLOOKUP(AC19,Key!$E$20:$F$24,2,FALSE)</f>
        <v>&lt;300,000</v>
      </c>
      <c r="AE19" s="33">
        <v>5</v>
      </c>
      <c r="AF19" s="39">
        <v>2</v>
      </c>
      <c r="AG19" s="39">
        <v>3</v>
      </c>
      <c r="AH19" s="39">
        <v>5</v>
      </c>
      <c r="AI19" s="39">
        <v>2</v>
      </c>
      <c r="AJ19" s="40" t="s">
        <v>100</v>
      </c>
      <c r="AK19" s="41">
        <v>1000</v>
      </c>
      <c r="AL19" s="25"/>
      <c r="AM19" s="25"/>
    </row>
    <row r="20" spans="1:46" x14ac:dyDescent="0.2">
      <c r="B20" s="52">
        <v>43697</v>
      </c>
      <c r="C20" s="36">
        <v>0.59930555555555554</v>
      </c>
      <c r="D20" s="36"/>
      <c r="E20" s="36" t="s">
        <v>105</v>
      </c>
      <c r="F20" s="38">
        <v>2</v>
      </c>
      <c r="G20" s="43" t="str">
        <f>VLOOKUP(F20,Key!$A$17:$B$21,2,FALSE)</f>
        <v>Road Vehicle</v>
      </c>
      <c r="H20" s="37">
        <v>1</v>
      </c>
      <c r="I20" s="44" t="str">
        <f>VLOOKUP(H20,Key!$A$2:$B$13,2,FALSE)</f>
        <v>Car</v>
      </c>
      <c r="J20" s="38" t="s">
        <v>117</v>
      </c>
      <c r="K20" s="38">
        <v>2</v>
      </c>
      <c r="L20" s="46" t="str">
        <f>VLOOKUP(K20,Key!$A$24:$B$29,2,FALSE)</f>
        <v>30-39</v>
      </c>
      <c r="M20" s="38" t="s">
        <v>160</v>
      </c>
      <c r="N20" s="33" t="s">
        <v>160</v>
      </c>
      <c r="O20" s="19" t="s">
        <v>161</v>
      </c>
      <c r="P20" s="40">
        <v>2</v>
      </c>
      <c r="Q20" s="35" t="str">
        <f>VLOOKUP(P20,Key!$E$2:$F$9,2,FALSE)</f>
        <v>Work</v>
      </c>
      <c r="R20" s="38" t="s">
        <v>246</v>
      </c>
      <c r="S20" s="33" t="s">
        <v>246</v>
      </c>
      <c r="T20" s="38" t="s">
        <v>161</v>
      </c>
      <c r="U20" s="33">
        <v>1</v>
      </c>
      <c r="V20" s="35" t="str">
        <f>VLOOKUP(U20,Key!$E$2:$F$9,2,FALSE)</f>
        <v>Home</v>
      </c>
      <c r="W20" s="35" t="str">
        <f>Q20&amp;"-"&amp;V20</f>
        <v>Work-Home</v>
      </c>
      <c r="X20" s="33">
        <v>20000</v>
      </c>
      <c r="Y20" s="39">
        <v>30</v>
      </c>
      <c r="Z20" s="39">
        <v>0.8</v>
      </c>
      <c r="AA20" s="33">
        <v>6</v>
      </c>
      <c r="AB20" s="35" t="str">
        <f>VLOOKUP(AA20,Key!$C$20:$D$29,2,FALSE)</f>
        <v>Businessman</v>
      </c>
      <c r="AC20" s="33">
        <v>2</v>
      </c>
      <c r="AD20" s="35" t="str">
        <f>VLOOKUP(AC20,Key!$E$20:$F$24,2,FALSE)</f>
        <v>300,000-500,000</v>
      </c>
      <c r="AE20" s="33">
        <v>1</v>
      </c>
      <c r="AF20" s="39">
        <v>1</v>
      </c>
      <c r="AG20" s="39">
        <v>5</v>
      </c>
      <c r="AH20" s="39">
        <v>5</v>
      </c>
      <c r="AI20" s="39">
        <v>5</v>
      </c>
      <c r="AJ20" s="40" t="s">
        <v>100</v>
      </c>
      <c r="AK20" s="41">
        <v>1000</v>
      </c>
      <c r="AL20" s="25"/>
      <c r="AM20" s="25"/>
    </row>
    <row r="21" spans="1:46" x14ac:dyDescent="0.2">
      <c r="B21" s="52">
        <v>43697</v>
      </c>
      <c r="C21" s="36">
        <v>0.59513888888888888</v>
      </c>
      <c r="D21" s="36"/>
      <c r="E21" s="36" t="s">
        <v>105</v>
      </c>
      <c r="F21" s="38">
        <v>2</v>
      </c>
      <c r="G21" s="43" t="str">
        <f>VLOOKUP(F21,Key!$A$17:$B$21,2,FALSE)</f>
        <v>Road Vehicle</v>
      </c>
      <c r="H21" s="37">
        <v>1</v>
      </c>
      <c r="I21" s="44" t="str">
        <f>VLOOKUP(H21,Key!$A$2:$B$13,2,FALSE)</f>
        <v>Car</v>
      </c>
      <c r="J21" s="38" t="s">
        <v>117</v>
      </c>
      <c r="K21" s="38">
        <v>2</v>
      </c>
      <c r="L21" s="46" t="str">
        <f>VLOOKUP(K21,Key!$A$24:$B$29,2,FALSE)</f>
        <v>30-39</v>
      </c>
      <c r="M21" s="38" t="s">
        <v>160</v>
      </c>
      <c r="N21" s="33" t="s">
        <v>160</v>
      </c>
      <c r="O21" s="19" t="s">
        <v>161</v>
      </c>
      <c r="P21" s="40">
        <v>2</v>
      </c>
      <c r="Q21" s="35" t="str">
        <f>VLOOKUP(P21,Key!$E$2:$F$9,2,FALSE)</f>
        <v>Work</v>
      </c>
      <c r="R21" s="38" t="s">
        <v>247</v>
      </c>
      <c r="S21" s="33" t="s">
        <v>247</v>
      </c>
      <c r="T21" s="38" t="s">
        <v>161</v>
      </c>
      <c r="U21" s="33">
        <v>1</v>
      </c>
      <c r="V21" s="35" t="str">
        <f>VLOOKUP(U21,Key!$E$2:$F$9,2,FALSE)</f>
        <v>Home</v>
      </c>
      <c r="W21" s="35" t="str">
        <f>Q21&amp;"-"&amp;V21</f>
        <v>Work-Home</v>
      </c>
      <c r="X21" s="33">
        <v>30000</v>
      </c>
      <c r="Y21" s="39">
        <v>32</v>
      </c>
      <c r="Z21" s="39">
        <v>2</v>
      </c>
      <c r="AA21" s="33">
        <v>6</v>
      </c>
      <c r="AB21" s="35" t="str">
        <f>VLOOKUP(AA21,Key!$C$20:$D$29,2,FALSE)</f>
        <v>Businessman</v>
      </c>
      <c r="AC21" s="33">
        <v>2</v>
      </c>
      <c r="AD21" s="35" t="str">
        <f>VLOOKUP(AC21,Key!$E$20:$F$24,2,FALSE)</f>
        <v>300,000-500,000</v>
      </c>
      <c r="AE21" s="33">
        <v>5</v>
      </c>
      <c r="AF21" s="39">
        <v>1</v>
      </c>
      <c r="AG21" s="39">
        <v>5</v>
      </c>
      <c r="AH21" s="39">
        <v>5</v>
      </c>
      <c r="AI21" s="39">
        <v>1</v>
      </c>
      <c r="AJ21" s="40" t="s">
        <v>100</v>
      </c>
      <c r="AK21" s="41">
        <v>2000</v>
      </c>
      <c r="AL21" s="25"/>
      <c r="AM21" s="25"/>
    </row>
    <row r="22" spans="1:46" x14ac:dyDescent="0.2">
      <c r="B22" s="52">
        <v>43697</v>
      </c>
      <c r="C22" s="36">
        <v>0.62986111111111109</v>
      </c>
      <c r="D22" s="36"/>
      <c r="E22" s="36" t="s">
        <v>105</v>
      </c>
      <c r="F22" s="38">
        <v>2</v>
      </c>
      <c r="G22" s="43" t="str">
        <f>VLOOKUP(F22,Key!$A$17:$B$21,2,FALSE)</f>
        <v>Road Vehicle</v>
      </c>
      <c r="H22" s="37">
        <v>1</v>
      </c>
      <c r="I22" s="44" t="str">
        <f>VLOOKUP(H22,Key!$A$2:$B$13,2,FALSE)</f>
        <v>Car</v>
      </c>
      <c r="J22" s="38" t="s">
        <v>117</v>
      </c>
      <c r="K22" s="38">
        <v>2</v>
      </c>
      <c r="L22" s="46" t="str">
        <f>VLOOKUP(K22,Key!$A$24:$B$29,2,FALSE)</f>
        <v>30-39</v>
      </c>
      <c r="M22" s="38" t="s">
        <v>160</v>
      </c>
      <c r="N22" s="33" t="s">
        <v>160</v>
      </c>
      <c r="O22" s="19" t="s">
        <v>161</v>
      </c>
      <c r="P22" s="40">
        <v>1</v>
      </c>
      <c r="Q22" s="35" t="str">
        <f>VLOOKUP(P22,Key!$E$2:$F$9,2,FALSE)</f>
        <v>Home</v>
      </c>
      <c r="R22" s="38" t="s">
        <v>251</v>
      </c>
      <c r="S22" s="33" t="s">
        <v>190</v>
      </c>
      <c r="T22" s="38" t="s">
        <v>161</v>
      </c>
      <c r="U22" s="33">
        <v>4</v>
      </c>
      <c r="V22" s="35" t="str">
        <f>VLOOKUP(U22,Key!$E$2:$F$9,2,FALSE)</f>
        <v>Commercial</v>
      </c>
      <c r="W22" s="35" t="str">
        <f>Q22&amp;"-"&amp;V22</f>
        <v>Home-Commercial</v>
      </c>
      <c r="X22" s="33">
        <v>20000</v>
      </c>
      <c r="Y22" s="39">
        <v>32</v>
      </c>
      <c r="Z22" s="39">
        <v>2</v>
      </c>
      <c r="AA22" s="33">
        <v>10</v>
      </c>
      <c r="AB22" s="35" t="str">
        <f>VLOOKUP(AA22,Key!$C$20:$D$29,2,FALSE)</f>
        <v>Other</v>
      </c>
      <c r="AC22" s="33">
        <v>2</v>
      </c>
      <c r="AD22" s="35" t="str">
        <f>VLOOKUP(AC22,Key!$E$20:$F$24,2,FALSE)</f>
        <v>300,000-500,000</v>
      </c>
      <c r="AE22" s="33">
        <v>5</v>
      </c>
      <c r="AF22" s="39">
        <v>1</v>
      </c>
      <c r="AG22" s="39">
        <v>5</v>
      </c>
      <c r="AH22" s="39">
        <v>3</v>
      </c>
      <c r="AI22" s="39">
        <v>5</v>
      </c>
      <c r="AJ22" s="40" t="s">
        <v>100</v>
      </c>
      <c r="AK22" s="41"/>
      <c r="AL22" s="25"/>
      <c r="AM22" s="25"/>
    </row>
    <row r="23" spans="1:46" x14ac:dyDescent="0.2">
      <c r="A23" s="19"/>
      <c r="B23" s="52">
        <v>43696</v>
      </c>
      <c r="C23" s="36">
        <v>0.43055555555555558</v>
      </c>
      <c r="D23" s="36"/>
      <c r="E23" s="36" t="s">
        <v>159</v>
      </c>
      <c r="F23" s="38">
        <v>2</v>
      </c>
      <c r="G23" s="43" t="str">
        <f>VLOOKUP(F23,Key!$A$17:$B$21,2,FALSE)</f>
        <v>Road Vehicle</v>
      </c>
      <c r="H23" s="37">
        <v>1</v>
      </c>
      <c r="I23" s="44" t="str">
        <f>VLOOKUP(H23,Key!$A$2:$B$13,2,FALSE)</f>
        <v>Car</v>
      </c>
      <c r="J23" s="38" t="s">
        <v>117</v>
      </c>
      <c r="K23" s="38">
        <v>3</v>
      </c>
      <c r="L23" s="46" t="str">
        <f>VLOOKUP(K23,Key!$A$24:$B$29,2,FALSE)</f>
        <v>40-49</v>
      </c>
      <c r="M23" s="45" t="s">
        <v>160</v>
      </c>
      <c r="N23" s="33" t="s">
        <v>160</v>
      </c>
      <c r="O23" s="19" t="s">
        <v>161</v>
      </c>
      <c r="P23" s="40">
        <v>2</v>
      </c>
      <c r="Q23" s="35" t="str">
        <f>VLOOKUP(P23,Key!$E$2:$F$9,2,FALSE)</f>
        <v>Work</v>
      </c>
      <c r="R23" s="38" t="s">
        <v>162</v>
      </c>
      <c r="S23" s="33" t="s">
        <v>162</v>
      </c>
      <c r="T23" s="38" t="s">
        <v>161</v>
      </c>
      <c r="U23" s="33">
        <v>2</v>
      </c>
      <c r="V23" s="35" t="str">
        <f>VLOOKUP(U23,Key!$E$2:$F$9,2,FALSE)</f>
        <v>Work</v>
      </c>
      <c r="W23" s="35" t="str">
        <f>Q23&amp;"-"&amp;V23</f>
        <v>Work-Work</v>
      </c>
      <c r="X23" s="48">
        <v>20000</v>
      </c>
      <c r="Y23" s="39"/>
      <c r="Z23" s="39">
        <v>2</v>
      </c>
      <c r="AA23" s="33">
        <v>6</v>
      </c>
      <c r="AB23" s="35" t="str">
        <f>VLOOKUP(AA23,Key!$C$20:$D$29,2,FALSE)</f>
        <v>Businessman</v>
      </c>
      <c r="AC23" s="33">
        <v>2</v>
      </c>
      <c r="AD23" s="35" t="str">
        <f>VLOOKUP(AC23,Key!$E$20:$F$24,2,FALSE)</f>
        <v>300,000-500,000</v>
      </c>
      <c r="AE23" s="33">
        <v>2</v>
      </c>
      <c r="AF23" s="39">
        <v>1</v>
      </c>
      <c r="AG23" s="39">
        <v>4</v>
      </c>
      <c r="AH23" s="39">
        <v>3</v>
      </c>
      <c r="AI23" s="39">
        <v>5</v>
      </c>
      <c r="AJ23" s="40" t="s">
        <v>100</v>
      </c>
      <c r="AK23" s="41"/>
      <c r="AL23" s="25"/>
      <c r="AM23" s="25"/>
      <c r="AN23" s="19"/>
      <c r="AO23" s="19"/>
      <c r="AP23" s="19"/>
      <c r="AQ23" s="19"/>
      <c r="AR23" s="19"/>
      <c r="AS23" s="19"/>
      <c r="AT23" s="19"/>
    </row>
    <row r="24" spans="1:46" x14ac:dyDescent="0.2">
      <c r="B24" s="52">
        <v>43695</v>
      </c>
      <c r="C24" s="36">
        <v>0.67291666666666661</v>
      </c>
      <c r="D24" s="36" t="s">
        <v>175</v>
      </c>
      <c r="E24" s="36" t="s">
        <v>105</v>
      </c>
      <c r="F24" s="38">
        <v>2</v>
      </c>
      <c r="G24" s="43" t="str">
        <f>VLOOKUP(F24,Key!$A$17:$B$21,2,FALSE)</f>
        <v>Road Vehicle</v>
      </c>
      <c r="H24" s="37">
        <v>1</v>
      </c>
      <c r="I24" s="44" t="str">
        <f>VLOOKUP(H24,Key!$A$2:$B$13,2,FALSE)</f>
        <v>Car</v>
      </c>
      <c r="J24" s="38" t="s">
        <v>117</v>
      </c>
      <c r="K24" s="38">
        <v>3</v>
      </c>
      <c r="L24" s="46" t="str">
        <f>VLOOKUP(K24,Key!$A$24:$B$29,2,FALSE)</f>
        <v>40-49</v>
      </c>
      <c r="M24" s="45" t="s">
        <v>173</v>
      </c>
      <c r="N24" s="33" t="s">
        <v>173</v>
      </c>
      <c r="O24" s="19" t="s">
        <v>161</v>
      </c>
      <c r="P24" s="40">
        <v>1</v>
      </c>
      <c r="Q24" s="35" t="str">
        <f>VLOOKUP(P24,Key!$E$2:$F$9,2,FALSE)</f>
        <v>Home</v>
      </c>
      <c r="R24" s="38" t="s">
        <v>160</v>
      </c>
      <c r="S24" s="33" t="s">
        <v>160</v>
      </c>
      <c r="T24" s="38" t="s">
        <v>161</v>
      </c>
      <c r="U24" s="33">
        <v>6</v>
      </c>
      <c r="V24" s="35" t="str">
        <f>VLOOKUP(U24,Key!$E$2:$F$9,2,FALSE)</f>
        <v>Leisure/Social</v>
      </c>
      <c r="W24" s="35" t="str">
        <f>Q24&amp;"-"&amp;V24</f>
        <v>Home-Leisure/Social</v>
      </c>
      <c r="X24" s="48">
        <v>60000</v>
      </c>
      <c r="Y24" s="39">
        <v>40</v>
      </c>
      <c r="Z24" s="39">
        <v>2</v>
      </c>
      <c r="AA24" s="33">
        <v>10</v>
      </c>
      <c r="AB24" s="35" t="str">
        <f>VLOOKUP(AA24,Key!$C$20:$D$29,2,FALSE)</f>
        <v>Other</v>
      </c>
      <c r="AC24" s="33">
        <v>1</v>
      </c>
      <c r="AD24" s="35" t="str">
        <f>VLOOKUP(AC24,Key!$E$20:$F$24,2,FALSE)</f>
        <v>&lt;300,000</v>
      </c>
      <c r="AE24" s="33">
        <v>2</v>
      </c>
      <c r="AF24" s="39">
        <v>2</v>
      </c>
      <c r="AG24" s="39">
        <v>4</v>
      </c>
      <c r="AH24" s="39">
        <v>4</v>
      </c>
      <c r="AI24" s="39">
        <v>2</v>
      </c>
      <c r="AJ24" s="40" t="s">
        <v>100</v>
      </c>
      <c r="AK24" s="41">
        <v>1000</v>
      </c>
      <c r="AL24" s="25"/>
      <c r="AM24" s="25"/>
    </row>
    <row r="25" spans="1:46" x14ac:dyDescent="0.2">
      <c r="B25" s="52">
        <v>43695</v>
      </c>
      <c r="C25" s="36">
        <v>0.61458333333333337</v>
      </c>
      <c r="D25" s="36" t="s">
        <v>189</v>
      </c>
      <c r="E25" s="36" t="s">
        <v>105</v>
      </c>
      <c r="F25" s="38">
        <v>2</v>
      </c>
      <c r="G25" s="43" t="str">
        <f>VLOOKUP(F25,Key!$A$17:$B$21,2,FALSE)</f>
        <v>Road Vehicle</v>
      </c>
      <c r="H25" s="37">
        <v>1</v>
      </c>
      <c r="I25" s="44" t="str">
        <f>VLOOKUP(H25,Key!$A$2:$B$13,2,FALSE)</f>
        <v>Car</v>
      </c>
      <c r="J25" s="38" t="s">
        <v>117</v>
      </c>
      <c r="K25" s="38">
        <v>3</v>
      </c>
      <c r="L25" s="46" t="str">
        <f>VLOOKUP(K25,Key!$A$24:$B$29,2,FALSE)</f>
        <v>40-49</v>
      </c>
      <c r="M25" s="38" t="s">
        <v>190</v>
      </c>
      <c r="N25" s="33" t="s">
        <v>190</v>
      </c>
      <c r="O25" s="19" t="s">
        <v>161</v>
      </c>
      <c r="P25" s="40">
        <v>2</v>
      </c>
      <c r="Q25" s="35" t="str">
        <f>VLOOKUP(P25,Key!$E$2:$F$9,2,FALSE)</f>
        <v>Work</v>
      </c>
      <c r="R25" s="38" t="s">
        <v>160</v>
      </c>
      <c r="S25" s="33" t="s">
        <v>160</v>
      </c>
      <c r="T25" s="38" t="s">
        <v>161</v>
      </c>
      <c r="U25" s="33">
        <v>2</v>
      </c>
      <c r="V25" s="35" t="str">
        <f>VLOOKUP(U25,Key!$E$2:$F$9,2,FALSE)</f>
        <v>Work</v>
      </c>
      <c r="W25" s="35" t="str">
        <f>Q25&amp;"-"&amp;V25</f>
        <v>Work-Work</v>
      </c>
      <c r="X25" s="48">
        <v>70000</v>
      </c>
      <c r="Y25" s="39">
        <v>35</v>
      </c>
      <c r="Z25" s="39">
        <v>1</v>
      </c>
      <c r="AA25" s="33">
        <v>10</v>
      </c>
      <c r="AB25" s="35" t="str">
        <f>VLOOKUP(AA25,Key!$C$20:$D$29,2,FALSE)</f>
        <v>Other</v>
      </c>
      <c r="AC25" s="33">
        <v>1</v>
      </c>
      <c r="AD25" s="35" t="str">
        <f>VLOOKUP(AC25,Key!$E$20:$F$24,2,FALSE)</f>
        <v>&lt;300,000</v>
      </c>
      <c r="AE25" s="33">
        <v>2</v>
      </c>
      <c r="AF25" s="39">
        <v>2</v>
      </c>
      <c r="AG25" s="39">
        <v>3</v>
      </c>
      <c r="AH25" s="39">
        <v>3</v>
      </c>
      <c r="AI25" s="39">
        <v>2</v>
      </c>
      <c r="AJ25" s="40" t="s">
        <v>100</v>
      </c>
      <c r="AK25" s="41">
        <v>1000</v>
      </c>
      <c r="AL25" s="25"/>
      <c r="AM25" s="25"/>
    </row>
    <row r="26" spans="1:46" x14ac:dyDescent="0.2">
      <c r="B26" s="52">
        <v>43696</v>
      </c>
      <c r="C26" s="36">
        <v>0.73611111111111116</v>
      </c>
      <c r="D26" s="36" t="s">
        <v>210</v>
      </c>
      <c r="E26" s="36" t="s">
        <v>105</v>
      </c>
      <c r="F26" s="38">
        <v>2</v>
      </c>
      <c r="G26" s="43" t="str">
        <f>VLOOKUP(F26,Key!$A$17:$B$21,2,FALSE)</f>
        <v>Road Vehicle</v>
      </c>
      <c r="H26" s="37">
        <v>1</v>
      </c>
      <c r="I26" s="44" t="str">
        <f>VLOOKUP(H26,Key!$A$2:$B$13,2,FALSE)</f>
        <v>Car</v>
      </c>
      <c r="J26" s="38" t="s">
        <v>117</v>
      </c>
      <c r="K26" s="38">
        <v>3</v>
      </c>
      <c r="L26" s="46" t="str">
        <f>VLOOKUP(K26,Key!$A$24:$B$29,2,FALSE)</f>
        <v>40-49</v>
      </c>
      <c r="M26" s="38" t="s">
        <v>211</v>
      </c>
      <c r="N26" s="33" t="s">
        <v>172</v>
      </c>
      <c r="O26" s="19" t="s">
        <v>161</v>
      </c>
      <c r="P26" s="40">
        <v>2</v>
      </c>
      <c r="Q26" s="35" t="str">
        <f>VLOOKUP(P26,Key!$E$2:$F$9,2,FALSE)</f>
        <v>Work</v>
      </c>
      <c r="R26" s="38" t="s">
        <v>160</v>
      </c>
      <c r="S26" s="33" t="s">
        <v>160</v>
      </c>
      <c r="T26" s="38" t="s">
        <v>161</v>
      </c>
      <c r="U26" s="33">
        <v>1</v>
      </c>
      <c r="V26" s="35" t="str">
        <f>VLOOKUP(U26,Key!$E$2:$F$9,2,FALSE)</f>
        <v>Home</v>
      </c>
      <c r="W26" s="35" t="str">
        <f>Q26&amp;"-"&amp;V26</f>
        <v>Work-Home</v>
      </c>
      <c r="X26" s="33">
        <v>60000</v>
      </c>
      <c r="Y26" s="39">
        <v>85</v>
      </c>
      <c r="Z26" s="39">
        <v>2</v>
      </c>
      <c r="AA26" s="33">
        <v>10</v>
      </c>
      <c r="AB26" s="35" t="str">
        <f>VLOOKUP(AA26,Key!$C$20:$D$29,2,FALSE)</f>
        <v>Other</v>
      </c>
      <c r="AC26" s="33">
        <v>1</v>
      </c>
      <c r="AD26" s="35" t="str">
        <f>VLOOKUP(AC26,Key!$E$20:$F$24,2,FALSE)</f>
        <v>&lt;300,000</v>
      </c>
      <c r="AE26" s="33">
        <v>5</v>
      </c>
      <c r="AF26" s="39">
        <v>5</v>
      </c>
      <c r="AG26" s="39">
        <v>5</v>
      </c>
      <c r="AH26" s="39">
        <v>5</v>
      </c>
      <c r="AI26" s="39">
        <v>5</v>
      </c>
      <c r="AJ26" s="40" t="s">
        <v>100</v>
      </c>
      <c r="AK26" s="41"/>
      <c r="AL26" s="25"/>
      <c r="AM26" s="25"/>
    </row>
    <row r="27" spans="1:46" x14ac:dyDescent="0.2">
      <c r="B27" s="52">
        <v>43696</v>
      </c>
      <c r="C27" s="36">
        <v>0.76041666666666663</v>
      </c>
      <c r="D27" s="36" t="s">
        <v>216</v>
      </c>
      <c r="E27" s="36" t="s">
        <v>105</v>
      </c>
      <c r="F27" s="38">
        <v>2</v>
      </c>
      <c r="G27" s="43" t="str">
        <f>VLOOKUP(F27,Key!$A$17:$B$21,2,FALSE)</f>
        <v>Road Vehicle</v>
      </c>
      <c r="H27" s="37">
        <v>1</v>
      </c>
      <c r="I27" s="44" t="str">
        <f>VLOOKUP(H27,Key!$A$2:$B$13,2,FALSE)</f>
        <v>Car</v>
      </c>
      <c r="J27" s="38" t="s">
        <v>117</v>
      </c>
      <c r="K27" s="38">
        <v>3</v>
      </c>
      <c r="L27" s="46" t="str">
        <f>VLOOKUP(K27,Key!$A$24:$B$29,2,FALSE)</f>
        <v>40-49</v>
      </c>
      <c r="M27" s="38" t="s">
        <v>214</v>
      </c>
      <c r="N27" s="33" t="s">
        <v>214</v>
      </c>
      <c r="O27" s="19" t="s">
        <v>161</v>
      </c>
      <c r="P27" s="40">
        <v>2</v>
      </c>
      <c r="Q27" s="35" t="str">
        <f>VLOOKUP(P27,Key!$E$2:$F$9,2,FALSE)</f>
        <v>Work</v>
      </c>
      <c r="R27" s="38" t="s">
        <v>160</v>
      </c>
      <c r="S27" s="33" t="s">
        <v>160</v>
      </c>
      <c r="T27" s="38" t="s">
        <v>161</v>
      </c>
      <c r="U27" s="33">
        <v>1</v>
      </c>
      <c r="V27" s="35" t="str">
        <f>VLOOKUP(U27,Key!$E$2:$F$9,2,FALSE)</f>
        <v>Home</v>
      </c>
      <c r="W27" s="35" t="str">
        <f>Q27&amp;"-"&amp;V27</f>
        <v>Work-Home</v>
      </c>
      <c r="X27" s="33">
        <v>80000</v>
      </c>
      <c r="Y27" s="39">
        <v>45</v>
      </c>
      <c r="Z27" s="39">
        <v>2</v>
      </c>
      <c r="AA27" s="33">
        <v>10</v>
      </c>
      <c r="AB27" s="35" t="str">
        <f>VLOOKUP(AA27,Key!$C$20:$D$29,2,FALSE)</f>
        <v>Other</v>
      </c>
      <c r="AC27" s="33">
        <v>1</v>
      </c>
      <c r="AD27" s="35" t="str">
        <f>VLOOKUP(AC27,Key!$E$20:$F$24,2,FALSE)</f>
        <v>&lt;300,000</v>
      </c>
      <c r="AE27" s="33">
        <v>5</v>
      </c>
      <c r="AF27" s="39">
        <v>2</v>
      </c>
      <c r="AG27" s="39">
        <v>3</v>
      </c>
      <c r="AH27" s="39">
        <v>5</v>
      </c>
      <c r="AI27" s="39">
        <v>2</v>
      </c>
      <c r="AJ27" s="40" t="s">
        <v>100</v>
      </c>
      <c r="AK27" s="41"/>
      <c r="AL27" s="25"/>
      <c r="AM27" s="25"/>
    </row>
    <row r="28" spans="1:46" x14ac:dyDescent="0.2">
      <c r="B28" s="52">
        <v>43696</v>
      </c>
      <c r="C28" s="36">
        <v>0.74097222222222225</v>
      </c>
      <c r="D28" s="36"/>
      <c r="E28" s="36" t="s">
        <v>105</v>
      </c>
      <c r="F28" s="38">
        <v>2</v>
      </c>
      <c r="G28" s="43" t="str">
        <f>VLOOKUP(F28,Key!$A$17:$B$21,2,FALSE)</f>
        <v>Road Vehicle</v>
      </c>
      <c r="H28" s="37">
        <v>1</v>
      </c>
      <c r="I28" s="44" t="str">
        <f>VLOOKUP(H28,Key!$A$2:$B$13,2,FALSE)</f>
        <v>Car</v>
      </c>
      <c r="J28" s="38" t="s">
        <v>117</v>
      </c>
      <c r="K28" s="38">
        <v>3</v>
      </c>
      <c r="L28" s="46" t="str">
        <f>VLOOKUP(K28,Key!$A$24:$B$29,2,FALSE)</f>
        <v>40-49</v>
      </c>
      <c r="M28" s="38" t="s">
        <v>160</v>
      </c>
      <c r="N28" s="33" t="s">
        <v>160</v>
      </c>
      <c r="O28" s="19" t="s">
        <v>161</v>
      </c>
      <c r="P28" s="40">
        <v>2</v>
      </c>
      <c r="Q28" s="35" t="str">
        <f>VLOOKUP(P28,Key!$E$2:$F$9,2,FALSE)</f>
        <v>Work</v>
      </c>
      <c r="R28" s="38" t="s">
        <v>160</v>
      </c>
      <c r="S28" s="33" t="s">
        <v>160</v>
      </c>
      <c r="T28" s="38" t="s">
        <v>161</v>
      </c>
      <c r="U28" s="33">
        <v>2</v>
      </c>
      <c r="V28" s="35" t="str">
        <f>VLOOKUP(U28,Key!$E$2:$F$9,2,FALSE)</f>
        <v>Work</v>
      </c>
      <c r="W28" s="35" t="str">
        <f>Q28&amp;"-"&amp;V28</f>
        <v>Work-Work</v>
      </c>
      <c r="X28" s="33">
        <v>70000</v>
      </c>
      <c r="Y28" s="39">
        <v>30</v>
      </c>
      <c r="Z28" s="39">
        <v>0.7</v>
      </c>
      <c r="AA28" s="33">
        <v>10</v>
      </c>
      <c r="AB28" s="35" t="str">
        <f>VLOOKUP(AA28,Key!$C$20:$D$29,2,FALSE)</f>
        <v>Other</v>
      </c>
      <c r="AC28" s="33">
        <v>1</v>
      </c>
      <c r="AD28" s="35" t="str">
        <f>VLOOKUP(AC28,Key!$E$20:$F$24,2,FALSE)</f>
        <v>&lt;300,000</v>
      </c>
      <c r="AE28" s="33">
        <v>5</v>
      </c>
      <c r="AF28" s="39">
        <v>5</v>
      </c>
      <c r="AG28" s="39">
        <v>5</v>
      </c>
      <c r="AH28" s="39">
        <v>5</v>
      </c>
      <c r="AI28" s="39">
        <v>5</v>
      </c>
      <c r="AJ28" s="40" t="s">
        <v>100</v>
      </c>
      <c r="AK28" s="41"/>
      <c r="AL28" s="25"/>
      <c r="AM28" s="25"/>
    </row>
    <row r="29" spans="1:46" x14ac:dyDescent="0.2">
      <c r="B29" s="52">
        <v>43696</v>
      </c>
      <c r="C29" s="36">
        <v>0.72430555555555554</v>
      </c>
      <c r="D29" s="36" t="s">
        <v>217</v>
      </c>
      <c r="E29" s="36" t="s">
        <v>105</v>
      </c>
      <c r="F29" s="38">
        <v>2</v>
      </c>
      <c r="G29" s="43" t="str">
        <f>VLOOKUP(F29,Key!$A$17:$B$21,2,FALSE)</f>
        <v>Road Vehicle</v>
      </c>
      <c r="H29" s="37">
        <v>1</v>
      </c>
      <c r="I29" s="44" t="str">
        <f>VLOOKUP(H29,Key!$A$2:$B$13,2,FALSE)</f>
        <v>Car</v>
      </c>
      <c r="J29" s="38" t="s">
        <v>117</v>
      </c>
      <c r="K29" s="38">
        <v>3</v>
      </c>
      <c r="L29" s="46" t="str">
        <f>VLOOKUP(K29,Key!$A$24:$B$29,2,FALSE)</f>
        <v>40-49</v>
      </c>
      <c r="M29" s="38" t="s">
        <v>160</v>
      </c>
      <c r="N29" s="33" t="s">
        <v>160</v>
      </c>
      <c r="O29" s="19" t="s">
        <v>161</v>
      </c>
      <c r="P29" s="40">
        <v>2</v>
      </c>
      <c r="Q29" s="35" t="str">
        <f>VLOOKUP(P29,Key!$E$2:$F$9,2,FALSE)</f>
        <v>Work</v>
      </c>
      <c r="R29" s="38" t="s">
        <v>211</v>
      </c>
      <c r="S29" s="33" t="s">
        <v>172</v>
      </c>
      <c r="T29" s="38" t="s">
        <v>161</v>
      </c>
      <c r="U29" s="33">
        <v>2</v>
      </c>
      <c r="V29" s="35" t="str">
        <f>VLOOKUP(U29,Key!$E$2:$F$9,2,FALSE)</f>
        <v>Work</v>
      </c>
      <c r="W29" s="35" t="str">
        <f>Q29&amp;"-"&amp;V29</f>
        <v>Work-Work</v>
      </c>
      <c r="X29" s="33">
        <v>70000</v>
      </c>
      <c r="Y29" s="39">
        <v>85</v>
      </c>
      <c r="Z29" s="39">
        <v>2</v>
      </c>
      <c r="AA29" s="33">
        <v>10</v>
      </c>
      <c r="AB29" s="35" t="str">
        <f>VLOOKUP(AA29,Key!$C$20:$D$29,2,FALSE)</f>
        <v>Other</v>
      </c>
      <c r="AC29" s="33">
        <v>2</v>
      </c>
      <c r="AD29" s="35" t="str">
        <f>VLOOKUP(AC29,Key!$E$20:$F$24,2,FALSE)</f>
        <v>300,000-500,000</v>
      </c>
      <c r="AE29" s="33">
        <v>5</v>
      </c>
      <c r="AF29" s="39">
        <v>5</v>
      </c>
      <c r="AG29" s="39">
        <v>5</v>
      </c>
      <c r="AH29" s="39">
        <v>5</v>
      </c>
      <c r="AI29" s="39">
        <v>5</v>
      </c>
      <c r="AJ29" s="40" t="s">
        <v>100</v>
      </c>
      <c r="AK29" s="41"/>
      <c r="AL29" s="25"/>
      <c r="AM29" s="25"/>
    </row>
    <row r="30" spans="1:46" x14ac:dyDescent="0.2">
      <c r="B30" s="52">
        <v>43696</v>
      </c>
      <c r="C30" s="36">
        <v>0.69305555555555554</v>
      </c>
      <c r="D30" s="36" t="s">
        <v>226</v>
      </c>
      <c r="E30" s="36" t="s">
        <v>105</v>
      </c>
      <c r="F30" s="38">
        <v>2</v>
      </c>
      <c r="G30" s="43" t="str">
        <f>VLOOKUP(F30,Key!$A$17:$B$21,2,FALSE)</f>
        <v>Road Vehicle</v>
      </c>
      <c r="H30" s="37">
        <v>9</v>
      </c>
      <c r="I30" s="44" t="str">
        <f>VLOOKUP(H30,Key!$A$2:$B$13,2,FALSE)</f>
        <v xml:space="preserve">Heavy truck </v>
      </c>
      <c r="J30" s="38" t="s">
        <v>117</v>
      </c>
      <c r="K30" s="38">
        <v>2</v>
      </c>
      <c r="L30" s="46" t="str">
        <f>VLOOKUP(K30,Key!$A$24:$B$29,2,FALSE)</f>
        <v>30-39</v>
      </c>
      <c r="M30" s="38" t="s">
        <v>160</v>
      </c>
      <c r="N30" s="33" t="s">
        <v>160</v>
      </c>
      <c r="O30" s="19" t="s">
        <v>161</v>
      </c>
      <c r="P30" s="40">
        <v>2</v>
      </c>
      <c r="Q30" s="35" t="str">
        <f>VLOOKUP(P30,Key!$E$2:$F$9,2,FALSE)</f>
        <v>Work</v>
      </c>
      <c r="R30" s="38" t="s">
        <v>180</v>
      </c>
      <c r="S30" s="33" t="s">
        <v>180</v>
      </c>
      <c r="T30" s="38" t="s">
        <v>161</v>
      </c>
      <c r="U30" s="33">
        <v>2</v>
      </c>
      <c r="V30" s="35" t="str">
        <f>VLOOKUP(U30,Key!$E$2:$F$9,2,FALSE)</f>
        <v>Work</v>
      </c>
      <c r="W30" s="35" t="str">
        <f>Q30&amp;"-"&amp;V30</f>
        <v>Work-Work</v>
      </c>
      <c r="X30" s="33">
        <v>70000</v>
      </c>
      <c r="Y30" s="39">
        <v>50</v>
      </c>
      <c r="Z30" s="39">
        <v>1.5</v>
      </c>
      <c r="AA30" s="33">
        <v>10</v>
      </c>
      <c r="AB30" s="35" t="str">
        <f>VLOOKUP(AA30,Key!$C$20:$D$29,2,FALSE)</f>
        <v>Other</v>
      </c>
      <c r="AC30" s="33">
        <v>2</v>
      </c>
      <c r="AD30" s="35" t="str">
        <f>VLOOKUP(AC30,Key!$E$20:$F$24,2,FALSE)</f>
        <v>300,000-500,000</v>
      </c>
      <c r="AE30" s="33">
        <v>5</v>
      </c>
      <c r="AF30" s="39">
        <v>5</v>
      </c>
      <c r="AG30" s="39">
        <v>5</v>
      </c>
      <c r="AH30" s="39">
        <v>5</v>
      </c>
      <c r="AI30" s="39">
        <v>5</v>
      </c>
      <c r="AJ30" s="40" t="s">
        <v>100</v>
      </c>
      <c r="AK30" s="41">
        <v>1000</v>
      </c>
      <c r="AL30" s="25"/>
      <c r="AM30" s="25"/>
    </row>
    <row r="31" spans="1:46" x14ac:dyDescent="0.2">
      <c r="B31" s="52">
        <v>43695</v>
      </c>
      <c r="C31" s="36">
        <v>0.4826388888888889</v>
      </c>
      <c r="D31" s="36" t="s">
        <v>184</v>
      </c>
      <c r="E31" s="36" t="s">
        <v>105</v>
      </c>
      <c r="F31" s="38">
        <v>2</v>
      </c>
      <c r="G31" s="43" t="str">
        <f>VLOOKUP(F31,Key!$A$17:$B$21,2,FALSE)</f>
        <v>Road Vehicle</v>
      </c>
      <c r="H31" s="37">
        <v>9</v>
      </c>
      <c r="I31" s="44" t="str">
        <f>VLOOKUP(H31,Key!$A$2:$B$13,2,FALSE)</f>
        <v xml:space="preserve">Heavy truck </v>
      </c>
      <c r="J31" s="38" t="s">
        <v>117</v>
      </c>
      <c r="K31" s="38">
        <v>3</v>
      </c>
      <c r="L31" s="46" t="str">
        <f>VLOOKUP(K31,Key!$A$24:$B$29,2,FALSE)</f>
        <v>40-49</v>
      </c>
      <c r="M31" s="45" t="s">
        <v>160</v>
      </c>
      <c r="N31" s="33" t="s">
        <v>160</v>
      </c>
      <c r="O31" s="19" t="s">
        <v>161</v>
      </c>
      <c r="P31" s="40">
        <v>2</v>
      </c>
      <c r="Q31" s="35" t="str">
        <f>VLOOKUP(P31,Key!$E$2:$F$9,2,FALSE)</f>
        <v>Work</v>
      </c>
      <c r="R31" s="38" t="s">
        <v>182</v>
      </c>
      <c r="S31" s="33" t="s">
        <v>182</v>
      </c>
      <c r="T31" s="38" t="s">
        <v>161</v>
      </c>
      <c r="U31" s="33">
        <v>2</v>
      </c>
      <c r="V31" s="35" t="str">
        <f>VLOOKUP(U31,Key!$E$2:$F$9,2,FALSE)</f>
        <v>Work</v>
      </c>
      <c r="W31" s="35" t="str">
        <f>Q31&amp;"-"&amp;V31</f>
        <v>Work-Work</v>
      </c>
      <c r="X31" s="48">
        <v>100000</v>
      </c>
      <c r="Y31" s="39">
        <v>380</v>
      </c>
      <c r="Z31" s="39">
        <v>6.5</v>
      </c>
      <c r="AA31" s="33">
        <v>10</v>
      </c>
      <c r="AB31" s="35" t="str">
        <f>VLOOKUP(AA31,Key!$C$20:$D$29,2,FALSE)</f>
        <v>Other</v>
      </c>
      <c r="AC31" s="33">
        <v>2</v>
      </c>
      <c r="AD31" s="35" t="str">
        <f>VLOOKUP(AC31,Key!$E$20:$F$24,2,FALSE)</f>
        <v>300,000-500,000</v>
      </c>
      <c r="AE31" s="33">
        <v>5</v>
      </c>
      <c r="AF31" s="39">
        <v>5</v>
      </c>
      <c r="AG31" s="39">
        <v>5</v>
      </c>
      <c r="AH31" s="39">
        <v>5</v>
      </c>
      <c r="AI31" s="39">
        <v>5</v>
      </c>
      <c r="AJ31" s="40" t="s">
        <v>100</v>
      </c>
      <c r="AK31" s="41">
        <v>1000</v>
      </c>
      <c r="AL31" s="25"/>
      <c r="AM31" s="25"/>
    </row>
    <row r="32" spans="1:46" x14ac:dyDescent="0.2">
      <c r="B32" s="52">
        <v>43695</v>
      </c>
      <c r="C32" s="36">
        <v>0.39513888888888887</v>
      </c>
      <c r="D32" s="36"/>
      <c r="E32" s="36" t="s">
        <v>159</v>
      </c>
      <c r="F32" s="38">
        <v>2</v>
      </c>
      <c r="G32" s="43" t="str">
        <f>VLOOKUP(F32,Key!$A$17:$B$21,2,FALSE)</f>
        <v>Road Vehicle</v>
      </c>
      <c r="H32" s="37">
        <v>6</v>
      </c>
      <c r="I32" s="44" t="str">
        <f>VLOOKUP(H32,Key!$A$2:$B$13,2,FALSE)</f>
        <v>Large Bus</v>
      </c>
      <c r="J32" s="38" t="s">
        <v>163</v>
      </c>
      <c r="K32" s="38">
        <v>1</v>
      </c>
      <c r="L32" s="46" t="str">
        <f>VLOOKUP(K32,Key!$A$24:$B$29,2,FALSE)</f>
        <v>20-29</v>
      </c>
      <c r="M32" s="38" t="s">
        <v>160</v>
      </c>
      <c r="N32" s="33" t="s">
        <v>160</v>
      </c>
      <c r="O32" s="19" t="s">
        <v>161</v>
      </c>
      <c r="P32" s="40">
        <v>1</v>
      </c>
      <c r="Q32" s="35" t="str">
        <f>VLOOKUP(P32,Key!$E$2:$F$9,2,FALSE)</f>
        <v>Home</v>
      </c>
      <c r="R32" s="38" t="s">
        <v>193</v>
      </c>
      <c r="S32" s="33" t="s">
        <v>193</v>
      </c>
      <c r="T32" s="38" t="s">
        <v>161</v>
      </c>
      <c r="U32" s="33">
        <v>2</v>
      </c>
      <c r="V32" s="35" t="str">
        <f>VLOOKUP(U32,Key!$E$2:$F$9,2,FALSE)</f>
        <v>Work</v>
      </c>
      <c r="W32" s="35" t="str">
        <f>Q32&amp;"-"&amp;V32</f>
        <v>Home-Work</v>
      </c>
      <c r="X32" s="33">
        <v>17000</v>
      </c>
      <c r="Y32" s="39">
        <v>140</v>
      </c>
      <c r="Z32" s="39">
        <v>4</v>
      </c>
      <c r="AA32" s="33">
        <v>6</v>
      </c>
      <c r="AB32" s="35" t="str">
        <f>VLOOKUP(AA32,Key!$C$20:$D$29,2,FALSE)</f>
        <v>Businessman</v>
      </c>
      <c r="AC32" s="33">
        <v>1</v>
      </c>
      <c r="AD32" s="35" t="str">
        <f>VLOOKUP(AC32,Key!$E$20:$F$24,2,FALSE)</f>
        <v>&lt;300,000</v>
      </c>
      <c r="AE32" s="33">
        <v>5</v>
      </c>
      <c r="AF32" s="39">
        <v>1</v>
      </c>
      <c r="AG32" s="39">
        <v>2</v>
      </c>
      <c r="AH32" s="39">
        <v>5</v>
      </c>
      <c r="AI32" s="39">
        <v>2</v>
      </c>
      <c r="AJ32" s="40" t="s">
        <v>100</v>
      </c>
      <c r="AK32" s="41"/>
      <c r="AL32" s="25"/>
      <c r="AM32" s="25"/>
    </row>
    <row r="33" spans="2:39" x14ac:dyDescent="0.2">
      <c r="B33" s="52">
        <v>43696</v>
      </c>
      <c r="C33" s="36">
        <v>0.4375</v>
      </c>
      <c r="D33" s="36"/>
      <c r="E33" s="36" t="s">
        <v>159</v>
      </c>
      <c r="F33" s="38">
        <v>2</v>
      </c>
      <c r="G33" s="43" t="str">
        <f>VLOOKUP(F33,Key!$A$17:$B$21,2,FALSE)</f>
        <v>Road Vehicle</v>
      </c>
      <c r="H33" s="37">
        <v>6</v>
      </c>
      <c r="I33" s="44" t="str">
        <f>VLOOKUP(H33,Key!$A$2:$B$13,2,FALSE)</f>
        <v>Large Bus</v>
      </c>
      <c r="J33" s="38" t="s">
        <v>163</v>
      </c>
      <c r="K33" s="38">
        <v>1</v>
      </c>
      <c r="L33" s="46" t="str">
        <f>VLOOKUP(K33,Key!$A$24:$B$29,2,FALSE)</f>
        <v>20-29</v>
      </c>
      <c r="M33" s="38" t="s">
        <v>160</v>
      </c>
      <c r="N33" s="33" t="s">
        <v>160</v>
      </c>
      <c r="O33" s="19" t="s">
        <v>161</v>
      </c>
      <c r="P33" s="40">
        <v>1</v>
      </c>
      <c r="Q33" s="35" t="str">
        <f>VLOOKUP(P33,Key!$E$2:$F$9,2,FALSE)</f>
        <v>Home</v>
      </c>
      <c r="R33" s="38" t="s">
        <v>195</v>
      </c>
      <c r="S33" s="33" t="s">
        <v>195</v>
      </c>
      <c r="T33" s="38" t="s">
        <v>161</v>
      </c>
      <c r="U33" s="33">
        <v>8</v>
      </c>
      <c r="V33" s="35" t="str">
        <f>VLOOKUP(U33,Key!$E$2:$F$9,2,FALSE)</f>
        <v>Others</v>
      </c>
      <c r="W33" s="35" t="str">
        <f>Q33&amp;"-"&amp;V33</f>
        <v>Home-Others</v>
      </c>
      <c r="X33" s="33">
        <v>30000</v>
      </c>
      <c r="Y33" s="39">
        <v>230</v>
      </c>
      <c r="Z33" s="39">
        <v>8.1999999999999993</v>
      </c>
      <c r="AA33" s="33">
        <v>6</v>
      </c>
      <c r="AB33" s="35" t="str">
        <f>VLOOKUP(AA33,Key!$C$20:$D$29,2,FALSE)</f>
        <v>Businessman</v>
      </c>
      <c r="AC33" s="33">
        <v>1</v>
      </c>
      <c r="AD33" s="35" t="str">
        <f>VLOOKUP(AC33,Key!$E$20:$F$24,2,FALSE)</f>
        <v>&lt;300,000</v>
      </c>
      <c r="AE33" s="33">
        <v>5</v>
      </c>
      <c r="AF33" s="39">
        <v>4</v>
      </c>
      <c r="AG33" s="39">
        <v>3</v>
      </c>
      <c r="AH33" s="39">
        <v>5</v>
      </c>
      <c r="AI33" s="39">
        <v>2</v>
      </c>
      <c r="AJ33" s="40" t="s">
        <v>100</v>
      </c>
      <c r="AK33" s="41"/>
      <c r="AL33" s="25"/>
      <c r="AM33" s="25"/>
    </row>
    <row r="34" spans="2:39" x14ac:dyDescent="0.2">
      <c r="B34" s="52">
        <v>43696</v>
      </c>
      <c r="C34" s="36">
        <v>0.38541666666666669</v>
      </c>
      <c r="D34" s="36"/>
      <c r="E34" s="36" t="s">
        <v>159</v>
      </c>
      <c r="F34" s="38">
        <v>2</v>
      </c>
      <c r="G34" s="43" t="str">
        <f>VLOOKUP(F34,Key!$A$17:$B$21,2,FALSE)</f>
        <v>Road Vehicle</v>
      </c>
      <c r="H34" s="37">
        <v>6</v>
      </c>
      <c r="I34" s="44" t="str">
        <f>VLOOKUP(H34,Key!$A$2:$B$13,2,FALSE)</f>
        <v>Large Bus</v>
      </c>
      <c r="J34" s="38" t="s">
        <v>163</v>
      </c>
      <c r="K34" s="38">
        <v>1</v>
      </c>
      <c r="L34" s="46" t="str">
        <f>VLOOKUP(K34,Key!$A$24:$B$29,2,FALSE)</f>
        <v>20-29</v>
      </c>
      <c r="M34" s="38" t="s">
        <v>193</v>
      </c>
      <c r="N34" s="33" t="s">
        <v>193</v>
      </c>
      <c r="O34" s="19" t="s">
        <v>161</v>
      </c>
      <c r="P34" s="40">
        <v>1</v>
      </c>
      <c r="Q34" s="35" t="str">
        <f>VLOOKUP(P34,Key!$E$2:$F$9,2,FALSE)</f>
        <v>Home</v>
      </c>
      <c r="R34" s="38" t="s">
        <v>198</v>
      </c>
      <c r="S34" s="33" t="s">
        <v>198</v>
      </c>
      <c r="T34" s="38" t="s">
        <v>161</v>
      </c>
      <c r="U34" s="33">
        <v>2</v>
      </c>
      <c r="V34" s="35" t="str">
        <f>VLOOKUP(U34,Key!$E$2:$F$9,2,FALSE)</f>
        <v>Work</v>
      </c>
      <c r="W34" s="35" t="str">
        <f>Q34&amp;"-"&amp;V34</f>
        <v>Home-Work</v>
      </c>
      <c r="X34" s="33">
        <v>30000</v>
      </c>
      <c r="Y34" s="39">
        <v>300</v>
      </c>
      <c r="Z34" s="39">
        <v>4</v>
      </c>
      <c r="AA34" s="33">
        <v>6</v>
      </c>
      <c r="AB34" s="35" t="str">
        <f>VLOOKUP(AA34,Key!$C$20:$D$29,2,FALSE)</f>
        <v>Businessman</v>
      </c>
      <c r="AC34" s="33">
        <v>1</v>
      </c>
      <c r="AD34" s="35" t="str">
        <f>VLOOKUP(AC34,Key!$E$20:$F$24,2,FALSE)</f>
        <v>&lt;300,000</v>
      </c>
      <c r="AE34" s="33">
        <v>5</v>
      </c>
      <c r="AF34" s="39">
        <v>2</v>
      </c>
      <c r="AG34" s="39">
        <v>4</v>
      </c>
      <c r="AH34" s="39">
        <v>5</v>
      </c>
      <c r="AI34" s="39">
        <v>3</v>
      </c>
      <c r="AJ34" s="40" t="s">
        <v>100</v>
      </c>
      <c r="AK34" s="41"/>
      <c r="AL34" s="25"/>
      <c r="AM34" s="25"/>
    </row>
    <row r="35" spans="2:39" x14ac:dyDescent="0.2">
      <c r="B35" s="52">
        <v>43696</v>
      </c>
      <c r="C35" s="36">
        <v>0.38055555555555554</v>
      </c>
      <c r="D35" s="36"/>
      <c r="E35" s="36" t="s">
        <v>159</v>
      </c>
      <c r="F35" s="38">
        <v>2</v>
      </c>
      <c r="G35" s="43" t="str">
        <f>VLOOKUP(F35,Key!$A$17:$B$21,2,FALSE)</f>
        <v>Road Vehicle</v>
      </c>
      <c r="H35" s="37">
        <v>6</v>
      </c>
      <c r="I35" s="44" t="str">
        <f>VLOOKUP(H35,Key!$A$2:$B$13,2,FALSE)</f>
        <v>Large Bus</v>
      </c>
      <c r="J35" s="38" t="s">
        <v>163</v>
      </c>
      <c r="K35" s="38">
        <v>1</v>
      </c>
      <c r="L35" s="46" t="str">
        <f>VLOOKUP(K35,Key!$A$24:$B$29,2,FALSE)</f>
        <v>20-29</v>
      </c>
      <c r="M35" s="38" t="s">
        <v>160</v>
      </c>
      <c r="N35" s="33" t="s">
        <v>160</v>
      </c>
      <c r="O35" s="19" t="s">
        <v>161</v>
      </c>
      <c r="P35" s="40">
        <v>1</v>
      </c>
      <c r="Q35" s="35" t="str">
        <f>VLOOKUP(P35,Key!$E$2:$F$9,2,FALSE)</f>
        <v>Home</v>
      </c>
      <c r="R35" s="38" t="s">
        <v>169</v>
      </c>
      <c r="S35" s="33" t="s">
        <v>169</v>
      </c>
      <c r="T35" s="38" t="s">
        <v>161</v>
      </c>
      <c r="U35" s="33">
        <v>2</v>
      </c>
      <c r="V35" s="35" t="str">
        <f>VLOOKUP(U35,Key!$E$2:$F$9,2,FALSE)</f>
        <v>Work</v>
      </c>
      <c r="W35" s="35" t="str">
        <f>Q35&amp;"-"&amp;V35</f>
        <v>Home-Work</v>
      </c>
      <c r="X35" s="33">
        <v>12000</v>
      </c>
      <c r="Y35" s="39">
        <v>130</v>
      </c>
      <c r="Z35" s="39">
        <v>3.5</v>
      </c>
      <c r="AA35" s="33">
        <v>6</v>
      </c>
      <c r="AB35" s="35" t="str">
        <f>VLOOKUP(AA35,Key!$C$20:$D$29,2,FALSE)</f>
        <v>Businessman</v>
      </c>
      <c r="AC35" s="33">
        <v>1</v>
      </c>
      <c r="AD35" s="35" t="str">
        <f>VLOOKUP(AC35,Key!$E$20:$F$24,2,FALSE)</f>
        <v>&lt;300,000</v>
      </c>
      <c r="AE35" s="33">
        <v>2</v>
      </c>
      <c r="AF35" s="39">
        <v>4</v>
      </c>
      <c r="AG35" s="39">
        <v>3</v>
      </c>
      <c r="AH35" s="39">
        <v>3</v>
      </c>
      <c r="AI35" s="39">
        <v>2</v>
      </c>
      <c r="AJ35" s="40" t="s">
        <v>100</v>
      </c>
      <c r="AK35" s="41"/>
      <c r="AL35" s="25"/>
      <c r="AM35" s="25"/>
    </row>
    <row r="36" spans="2:39" x14ac:dyDescent="0.2">
      <c r="B36" s="52">
        <v>43696</v>
      </c>
      <c r="C36" s="36">
        <v>0.33888888888888885</v>
      </c>
      <c r="D36" s="36"/>
      <c r="E36" s="36" t="s">
        <v>159</v>
      </c>
      <c r="F36" s="38">
        <v>2</v>
      </c>
      <c r="G36" s="43" t="str">
        <f>VLOOKUP(F36,Key!$A$17:$B$21,2,FALSE)</f>
        <v>Road Vehicle</v>
      </c>
      <c r="H36" s="37">
        <v>6</v>
      </c>
      <c r="I36" s="44" t="str">
        <f>VLOOKUP(H36,Key!$A$2:$B$13,2,FALSE)</f>
        <v>Large Bus</v>
      </c>
      <c r="J36" s="38" t="s">
        <v>163</v>
      </c>
      <c r="K36" s="38">
        <v>1</v>
      </c>
      <c r="L36" s="46" t="str">
        <f>VLOOKUP(K36,Key!$A$24:$B$29,2,FALSE)</f>
        <v>20-29</v>
      </c>
      <c r="M36" s="38" t="s">
        <v>160</v>
      </c>
      <c r="N36" s="33" t="s">
        <v>160</v>
      </c>
      <c r="O36" s="19" t="s">
        <v>161</v>
      </c>
      <c r="P36" s="40">
        <v>1</v>
      </c>
      <c r="Q36" s="35" t="str">
        <f>VLOOKUP(P36,Key!$E$2:$F$9,2,FALSE)</f>
        <v>Home</v>
      </c>
      <c r="R36" s="38" t="s">
        <v>232</v>
      </c>
      <c r="S36" s="33" t="s">
        <v>227</v>
      </c>
      <c r="T36" s="38" t="s">
        <v>161</v>
      </c>
      <c r="U36" s="33">
        <v>2</v>
      </c>
      <c r="V36" s="35" t="str">
        <f>VLOOKUP(U36,Key!$E$2:$F$9,2,FALSE)</f>
        <v>Work</v>
      </c>
      <c r="W36" s="35" t="str">
        <f>Q36&amp;"-"&amp;V36</f>
        <v>Home-Work</v>
      </c>
      <c r="X36" s="33">
        <v>18000</v>
      </c>
      <c r="Y36" s="39">
        <v>200</v>
      </c>
      <c r="Z36" s="39">
        <v>5</v>
      </c>
      <c r="AA36" s="33">
        <v>6</v>
      </c>
      <c r="AB36" s="35" t="str">
        <f>VLOOKUP(AA36,Key!$C$20:$D$29,2,FALSE)</f>
        <v>Businessman</v>
      </c>
      <c r="AC36" s="33">
        <v>1</v>
      </c>
      <c r="AD36" s="35" t="str">
        <f>VLOOKUP(AC36,Key!$E$20:$F$24,2,FALSE)</f>
        <v>&lt;300,000</v>
      </c>
      <c r="AE36" s="33">
        <v>2</v>
      </c>
      <c r="AF36" s="39">
        <v>4</v>
      </c>
      <c r="AG36" s="39">
        <v>3</v>
      </c>
      <c r="AH36" s="39">
        <v>5</v>
      </c>
      <c r="AI36" s="39">
        <v>2</v>
      </c>
      <c r="AJ36" s="40" t="s">
        <v>100</v>
      </c>
      <c r="AK36" s="41"/>
      <c r="AL36" s="25"/>
      <c r="AM36" s="25"/>
    </row>
    <row r="37" spans="2:39" x14ac:dyDescent="0.2">
      <c r="B37" s="52">
        <v>43695</v>
      </c>
      <c r="C37" s="36">
        <v>0.45833333333333331</v>
      </c>
      <c r="D37" s="36"/>
      <c r="E37" s="36" t="s">
        <v>159</v>
      </c>
      <c r="F37" s="38">
        <v>2</v>
      </c>
      <c r="G37" s="43" t="str">
        <f>VLOOKUP(F37,Key!$A$17:$B$21,2,FALSE)</f>
        <v>Road Vehicle</v>
      </c>
      <c r="H37" s="37">
        <v>6</v>
      </c>
      <c r="I37" s="44" t="str">
        <f>VLOOKUP(H37,Key!$A$2:$B$13,2,FALSE)</f>
        <v>Large Bus</v>
      </c>
      <c r="J37" s="38" t="s">
        <v>117</v>
      </c>
      <c r="K37" s="38">
        <v>1</v>
      </c>
      <c r="L37" s="46" t="str">
        <f>VLOOKUP(K37,Key!$A$24:$B$29,2,FALSE)</f>
        <v>20-29</v>
      </c>
      <c r="M37" s="45" t="s">
        <v>160</v>
      </c>
      <c r="N37" s="33" t="s">
        <v>160</v>
      </c>
      <c r="O37" s="19" t="s">
        <v>161</v>
      </c>
      <c r="P37" s="40">
        <v>2</v>
      </c>
      <c r="Q37" s="35" t="str">
        <f>VLOOKUP(P37,Key!$E$2:$F$9,2,FALSE)</f>
        <v>Work</v>
      </c>
      <c r="R37" s="38" t="s">
        <v>171</v>
      </c>
      <c r="S37" s="33" t="s">
        <v>171</v>
      </c>
      <c r="T37" s="38" t="s">
        <v>161</v>
      </c>
      <c r="U37" s="33">
        <v>4</v>
      </c>
      <c r="V37" s="35" t="str">
        <f>VLOOKUP(U37,Key!$E$2:$F$9,2,FALSE)</f>
        <v>Commercial</v>
      </c>
      <c r="W37" s="35" t="str">
        <f>Q37&amp;"-"&amp;V37</f>
        <v>Work-Commercial</v>
      </c>
      <c r="X37" s="48">
        <v>25000</v>
      </c>
      <c r="Y37" s="39"/>
      <c r="Z37" s="39">
        <v>2.5</v>
      </c>
      <c r="AA37" s="33">
        <v>6</v>
      </c>
      <c r="AB37" s="35" t="str">
        <f>VLOOKUP(AA37,Key!$C$20:$D$29,2,FALSE)</f>
        <v>Businessman</v>
      </c>
      <c r="AC37" s="33">
        <v>3</v>
      </c>
      <c r="AD37" s="35" t="str">
        <f>VLOOKUP(AC37,Key!$E$20:$F$24,2,FALSE)</f>
        <v>500,000-750,000</v>
      </c>
      <c r="AE37" s="33"/>
      <c r="AF37" s="39"/>
      <c r="AG37" s="39"/>
      <c r="AH37" s="39"/>
      <c r="AI37" s="39"/>
      <c r="AJ37" s="40" t="s">
        <v>100</v>
      </c>
      <c r="AK37" s="41">
        <v>1000</v>
      </c>
      <c r="AL37" s="25"/>
      <c r="AM37" s="25"/>
    </row>
    <row r="38" spans="2:39" x14ac:dyDescent="0.2">
      <c r="B38" s="52">
        <v>43695</v>
      </c>
      <c r="C38" s="36">
        <v>0.38750000000000001</v>
      </c>
      <c r="D38" s="36"/>
      <c r="E38" s="36" t="s">
        <v>159</v>
      </c>
      <c r="F38" s="38">
        <v>2</v>
      </c>
      <c r="G38" s="43" t="str">
        <f>VLOOKUP(F38,Key!$A$17:$B$21,2,FALSE)</f>
        <v>Road Vehicle</v>
      </c>
      <c r="H38" s="37">
        <v>6</v>
      </c>
      <c r="I38" s="44" t="str">
        <f>VLOOKUP(H38,Key!$A$2:$B$13,2,FALSE)</f>
        <v>Large Bus</v>
      </c>
      <c r="J38" s="38" t="s">
        <v>117</v>
      </c>
      <c r="K38" s="38">
        <v>1</v>
      </c>
      <c r="L38" s="46" t="str">
        <f>VLOOKUP(K38,Key!$A$24:$B$29,2,FALSE)</f>
        <v>20-29</v>
      </c>
      <c r="M38" s="38" t="s">
        <v>197</v>
      </c>
      <c r="N38" s="33" t="s">
        <v>197</v>
      </c>
      <c r="O38" s="19" t="s">
        <v>161</v>
      </c>
      <c r="P38" s="40">
        <v>1</v>
      </c>
      <c r="Q38" s="35" t="str">
        <f>VLOOKUP(P38,Key!$E$2:$F$9,2,FALSE)</f>
        <v>Home</v>
      </c>
      <c r="R38" s="38" t="s">
        <v>198</v>
      </c>
      <c r="S38" s="33" t="s">
        <v>198</v>
      </c>
      <c r="T38" s="38" t="s">
        <v>161</v>
      </c>
      <c r="U38" s="33">
        <v>2</v>
      </c>
      <c r="V38" s="35" t="str">
        <f>VLOOKUP(U38,Key!$E$2:$F$9,2,FALSE)</f>
        <v>Work</v>
      </c>
      <c r="W38" s="35" t="str">
        <f>Q38&amp;"-"&amp;V38</f>
        <v>Home-Work</v>
      </c>
      <c r="X38" s="33"/>
      <c r="Y38" s="39"/>
      <c r="Z38" s="39"/>
      <c r="AA38" s="33">
        <v>6</v>
      </c>
      <c r="AB38" s="35" t="str">
        <f>VLOOKUP(AA38,Key!$C$20:$D$29,2,FALSE)</f>
        <v>Businessman</v>
      </c>
      <c r="AC38" s="33">
        <v>1</v>
      </c>
      <c r="AD38" s="35" t="str">
        <f>VLOOKUP(AC38,Key!$E$20:$F$24,2,FALSE)</f>
        <v>&lt;300,000</v>
      </c>
      <c r="AE38" s="33">
        <v>5</v>
      </c>
      <c r="AF38" s="39">
        <v>5</v>
      </c>
      <c r="AG38" s="39">
        <v>5</v>
      </c>
      <c r="AH38" s="39">
        <v>5</v>
      </c>
      <c r="AI38" s="39">
        <v>5</v>
      </c>
      <c r="AJ38" s="40" t="s">
        <v>100</v>
      </c>
      <c r="AK38" s="41"/>
      <c r="AL38" s="25"/>
      <c r="AM38" s="25"/>
    </row>
    <row r="39" spans="2:39" x14ac:dyDescent="0.2">
      <c r="B39" s="52">
        <v>43695</v>
      </c>
      <c r="C39" s="36">
        <v>0.37152777777777773</v>
      </c>
      <c r="D39" s="36"/>
      <c r="E39" s="36" t="s">
        <v>159</v>
      </c>
      <c r="F39" s="38">
        <v>2</v>
      </c>
      <c r="G39" s="43" t="str">
        <f>VLOOKUP(F39,Key!$A$17:$B$21,2,FALSE)</f>
        <v>Road Vehicle</v>
      </c>
      <c r="H39" s="37">
        <v>6</v>
      </c>
      <c r="I39" s="44" t="str">
        <f>VLOOKUP(H39,Key!$A$2:$B$13,2,FALSE)</f>
        <v>Large Bus</v>
      </c>
      <c r="J39" s="38" t="s">
        <v>117</v>
      </c>
      <c r="K39" s="38">
        <v>1</v>
      </c>
      <c r="L39" s="46" t="str">
        <f>VLOOKUP(K39,Key!$A$24:$B$29,2,FALSE)</f>
        <v>20-29</v>
      </c>
      <c r="M39" s="38" t="s">
        <v>182</v>
      </c>
      <c r="N39" s="33" t="s">
        <v>182</v>
      </c>
      <c r="O39" s="19" t="s">
        <v>161</v>
      </c>
      <c r="P39" s="40">
        <v>1</v>
      </c>
      <c r="Q39" s="35" t="str">
        <f>VLOOKUP(P39,Key!$E$2:$F$9,2,FALSE)</f>
        <v>Home</v>
      </c>
      <c r="R39" s="38" t="s">
        <v>195</v>
      </c>
      <c r="S39" s="33" t="s">
        <v>195</v>
      </c>
      <c r="T39" s="38" t="s">
        <v>161</v>
      </c>
      <c r="U39" s="33">
        <v>2</v>
      </c>
      <c r="V39" s="35" t="str">
        <f>VLOOKUP(U39,Key!$E$2:$F$9,2,FALSE)</f>
        <v>Work</v>
      </c>
      <c r="W39" s="35" t="str">
        <f>Q39&amp;"-"&amp;V39</f>
        <v>Home-Work</v>
      </c>
      <c r="X39" s="33">
        <v>60000</v>
      </c>
      <c r="Y39" s="39">
        <v>600</v>
      </c>
      <c r="Z39" s="39">
        <v>12</v>
      </c>
      <c r="AA39" s="33">
        <v>6</v>
      </c>
      <c r="AB39" s="35" t="str">
        <f>VLOOKUP(AA39,Key!$C$20:$D$29,2,FALSE)</f>
        <v>Businessman</v>
      </c>
      <c r="AC39" s="33">
        <v>1</v>
      </c>
      <c r="AD39" s="35" t="str">
        <f>VLOOKUP(AC39,Key!$E$20:$F$24,2,FALSE)</f>
        <v>&lt;300,000</v>
      </c>
      <c r="AE39" s="33">
        <v>5</v>
      </c>
      <c r="AF39" s="39">
        <v>5</v>
      </c>
      <c r="AG39" s="39">
        <v>5</v>
      </c>
      <c r="AH39" s="39">
        <v>5</v>
      </c>
      <c r="AI39" s="39">
        <v>5</v>
      </c>
      <c r="AJ39" s="40" t="s">
        <v>100</v>
      </c>
      <c r="AK39" s="41"/>
      <c r="AL39" s="25"/>
      <c r="AM39" s="25"/>
    </row>
    <row r="40" spans="2:39" x14ac:dyDescent="0.2">
      <c r="B40" s="52">
        <v>43696</v>
      </c>
      <c r="C40" s="36">
        <v>0.36805555555555558</v>
      </c>
      <c r="D40" s="36"/>
      <c r="E40" s="36" t="s">
        <v>159</v>
      </c>
      <c r="F40" s="38">
        <v>2</v>
      </c>
      <c r="G40" s="43" t="str">
        <f>VLOOKUP(F40,Key!$A$17:$B$21,2,FALSE)</f>
        <v>Road Vehicle</v>
      </c>
      <c r="H40" s="37">
        <v>6</v>
      </c>
      <c r="I40" s="44" t="str">
        <f>VLOOKUP(H40,Key!$A$2:$B$13,2,FALSE)</f>
        <v>Large Bus</v>
      </c>
      <c r="J40" s="38" t="s">
        <v>117</v>
      </c>
      <c r="K40" s="38">
        <v>1</v>
      </c>
      <c r="L40" s="46" t="str">
        <f>VLOOKUP(K40,Key!$A$24:$B$29,2,FALSE)</f>
        <v>20-29</v>
      </c>
      <c r="M40" s="38" t="s">
        <v>160</v>
      </c>
      <c r="N40" s="33" t="s">
        <v>160</v>
      </c>
      <c r="O40" s="19" t="s">
        <v>161</v>
      </c>
      <c r="P40" s="40">
        <v>1</v>
      </c>
      <c r="Q40" s="35" t="str">
        <f>VLOOKUP(P40,Key!$E$2:$F$9,2,FALSE)</f>
        <v>Home</v>
      </c>
      <c r="R40" s="38" t="s">
        <v>182</v>
      </c>
      <c r="S40" s="33" t="s">
        <v>182</v>
      </c>
      <c r="T40" s="38" t="s">
        <v>161</v>
      </c>
      <c r="U40" s="33">
        <v>2</v>
      </c>
      <c r="V40" s="35" t="str">
        <f>VLOOKUP(U40,Key!$E$2:$F$9,2,FALSE)</f>
        <v>Work</v>
      </c>
      <c r="W40" s="35" t="str">
        <f>Q40&amp;"-"&amp;V40</f>
        <v>Home-Work</v>
      </c>
      <c r="X40" s="33">
        <v>30000</v>
      </c>
      <c r="Y40" s="39">
        <v>385</v>
      </c>
      <c r="Z40" s="39">
        <v>6.5</v>
      </c>
      <c r="AA40" s="33">
        <v>10</v>
      </c>
      <c r="AB40" s="35" t="str">
        <f>VLOOKUP(AA40,Key!$C$20:$D$29,2,FALSE)</f>
        <v>Other</v>
      </c>
      <c r="AC40" s="33">
        <v>2</v>
      </c>
      <c r="AD40" s="35" t="str">
        <f>VLOOKUP(AC40,Key!$E$20:$F$24,2,FALSE)</f>
        <v>300,000-500,000</v>
      </c>
      <c r="AE40" s="33">
        <v>5</v>
      </c>
      <c r="AF40" s="39">
        <v>2</v>
      </c>
      <c r="AG40" s="39">
        <v>2</v>
      </c>
      <c r="AH40" s="39">
        <v>4</v>
      </c>
      <c r="AI40" s="39">
        <v>2</v>
      </c>
      <c r="AJ40" s="40" t="s">
        <v>100</v>
      </c>
      <c r="AK40" s="41"/>
      <c r="AL40" s="25"/>
      <c r="AM40" s="25"/>
    </row>
    <row r="41" spans="2:39" x14ac:dyDescent="0.2">
      <c r="B41" s="52">
        <v>43695</v>
      </c>
      <c r="C41" s="36">
        <v>0.38194444444444442</v>
      </c>
      <c r="D41" s="36"/>
      <c r="E41" s="36" t="s">
        <v>159</v>
      </c>
      <c r="F41" s="38">
        <v>2</v>
      </c>
      <c r="G41" s="43" t="str">
        <f>VLOOKUP(F41,Key!$A$17:$B$21,2,FALSE)</f>
        <v>Road Vehicle</v>
      </c>
      <c r="H41" s="37">
        <v>6</v>
      </c>
      <c r="I41" s="44" t="str">
        <f>VLOOKUP(H41,Key!$A$2:$B$13,2,FALSE)</f>
        <v>Large Bus</v>
      </c>
      <c r="J41" s="38" t="s">
        <v>163</v>
      </c>
      <c r="K41" s="38">
        <v>2</v>
      </c>
      <c r="L41" s="46" t="str">
        <f>VLOOKUP(K41,Key!$A$24:$B$29,2,FALSE)</f>
        <v>30-39</v>
      </c>
      <c r="M41" s="38" t="s">
        <v>160</v>
      </c>
      <c r="N41" s="33" t="s">
        <v>160</v>
      </c>
      <c r="O41" s="19" t="s">
        <v>161</v>
      </c>
      <c r="P41" s="40">
        <v>1</v>
      </c>
      <c r="Q41" s="35" t="str">
        <f>VLOOKUP(P41,Key!$E$2:$F$9,2,FALSE)</f>
        <v>Home</v>
      </c>
      <c r="R41" s="38" t="s">
        <v>195</v>
      </c>
      <c r="S41" s="33" t="s">
        <v>195</v>
      </c>
      <c r="T41" s="38" t="s">
        <v>161</v>
      </c>
      <c r="U41" s="33">
        <v>2</v>
      </c>
      <c r="V41" s="35" t="str">
        <f>VLOOKUP(U41,Key!$E$2:$F$9,2,FALSE)</f>
        <v>Work</v>
      </c>
      <c r="W41" s="35" t="str">
        <f>Q41&amp;"-"&amp;V41</f>
        <v>Home-Work</v>
      </c>
      <c r="X41" s="33">
        <v>30000</v>
      </c>
      <c r="Y41" s="39">
        <v>205</v>
      </c>
      <c r="Z41" s="39">
        <v>8</v>
      </c>
      <c r="AA41" s="33">
        <v>6</v>
      </c>
      <c r="AB41" s="35" t="str">
        <f>VLOOKUP(AA41,Key!$C$20:$D$29,2,FALSE)</f>
        <v>Businessman</v>
      </c>
      <c r="AC41" s="33">
        <v>1</v>
      </c>
      <c r="AD41" s="35" t="str">
        <f>VLOOKUP(AC41,Key!$E$20:$F$24,2,FALSE)</f>
        <v>&lt;300,000</v>
      </c>
      <c r="AE41" s="33">
        <v>2</v>
      </c>
      <c r="AF41" s="39">
        <v>2</v>
      </c>
      <c r="AG41" s="39">
        <v>2</v>
      </c>
      <c r="AH41" s="39">
        <v>3</v>
      </c>
      <c r="AI41" s="39">
        <v>2</v>
      </c>
      <c r="AJ41" s="40" t="s">
        <v>100</v>
      </c>
      <c r="AK41" s="41"/>
      <c r="AL41" s="25"/>
      <c r="AM41" s="25"/>
    </row>
    <row r="42" spans="2:39" x14ac:dyDescent="0.2">
      <c r="B42" s="52">
        <v>43695</v>
      </c>
      <c r="C42" s="36">
        <v>0.3611111111111111</v>
      </c>
      <c r="D42" s="36"/>
      <c r="E42" s="36" t="s">
        <v>159</v>
      </c>
      <c r="F42" s="38">
        <v>2</v>
      </c>
      <c r="G42" s="43" t="str">
        <f>VLOOKUP(F42,Key!$A$17:$B$21,2,FALSE)</f>
        <v>Road Vehicle</v>
      </c>
      <c r="H42" s="37">
        <v>6</v>
      </c>
      <c r="I42" s="44" t="str">
        <f>VLOOKUP(H42,Key!$A$2:$B$13,2,FALSE)</f>
        <v>Large Bus</v>
      </c>
      <c r="J42" s="38" t="s">
        <v>163</v>
      </c>
      <c r="K42" s="38">
        <v>2</v>
      </c>
      <c r="L42" s="46" t="str">
        <f>VLOOKUP(K42,Key!$A$24:$B$29,2,FALSE)</f>
        <v>30-39</v>
      </c>
      <c r="M42" s="38" t="s">
        <v>182</v>
      </c>
      <c r="N42" s="33" t="s">
        <v>182</v>
      </c>
      <c r="O42" s="19" t="s">
        <v>161</v>
      </c>
      <c r="P42" s="40">
        <v>1</v>
      </c>
      <c r="Q42" s="35" t="str">
        <f>VLOOKUP(P42,Key!$E$2:$F$9,2,FALSE)</f>
        <v>Home</v>
      </c>
      <c r="R42" s="38" t="s">
        <v>162</v>
      </c>
      <c r="S42" s="33" t="s">
        <v>162</v>
      </c>
      <c r="T42" s="38" t="s">
        <v>161</v>
      </c>
      <c r="U42" s="33">
        <v>6</v>
      </c>
      <c r="V42" s="35" t="str">
        <f>VLOOKUP(U42,Key!$E$2:$F$9,2,FALSE)</f>
        <v>Leisure/Social</v>
      </c>
      <c r="W42" s="35" t="str">
        <f>Q42&amp;"-"&amp;V42</f>
        <v>Home-Leisure/Social</v>
      </c>
      <c r="X42" s="33">
        <v>45000</v>
      </c>
      <c r="Y42" s="39">
        <v>400</v>
      </c>
      <c r="Z42" s="39">
        <v>7</v>
      </c>
      <c r="AA42" s="33">
        <v>6</v>
      </c>
      <c r="AB42" s="35" t="str">
        <f>VLOOKUP(AA42,Key!$C$20:$D$29,2,FALSE)</f>
        <v>Businessman</v>
      </c>
      <c r="AC42" s="33">
        <v>1</v>
      </c>
      <c r="AD42" s="35" t="str">
        <f>VLOOKUP(AC42,Key!$E$20:$F$24,2,FALSE)</f>
        <v>&lt;300,000</v>
      </c>
      <c r="AE42" s="33">
        <v>5</v>
      </c>
      <c r="AF42" s="39">
        <v>1</v>
      </c>
      <c r="AG42" s="39">
        <v>2</v>
      </c>
      <c r="AH42" s="39">
        <v>5</v>
      </c>
      <c r="AI42" s="39">
        <v>2</v>
      </c>
      <c r="AJ42" s="40" t="s">
        <v>100</v>
      </c>
      <c r="AK42" s="41"/>
      <c r="AL42" s="25"/>
      <c r="AM42" s="25"/>
    </row>
    <row r="43" spans="2:39" x14ac:dyDescent="0.2">
      <c r="B43" s="52">
        <v>43695</v>
      </c>
      <c r="C43" s="36">
        <v>0.41666666666666669</v>
      </c>
      <c r="D43" s="36"/>
      <c r="E43" s="36" t="s">
        <v>159</v>
      </c>
      <c r="F43" s="38">
        <v>2</v>
      </c>
      <c r="G43" s="43" t="str">
        <f>VLOOKUP(F43,Key!$A$17:$B$21,2,FALSE)</f>
        <v>Road Vehicle</v>
      </c>
      <c r="H43" s="37">
        <v>6</v>
      </c>
      <c r="I43" s="44" t="str">
        <f>VLOOKUP(H43,Key!$A$2:$B$13,2,FALSE)</f>
        <v>Large Bus</v>
      </c>
      <c r="J43" s="38" t="s">
        <v>163</v>
      </c>
      <c r="K43" s="38">
        <v>2</v>
      </c>
      <c r="L43" s="46" t="str">
        <f>VLOOKUP(K43,Key!$A$24:$B$29,2,FALSE)</f>
        <v>30-39</v>
      </c>
      <c r="M43" s="38" t="s">
        <v>193</v>
      </c>
      <c r="N43" s="33" t="s">
        <v>193</v>
      </c>
      <c r="O43" s="19" t="s">
        <v>161</v>
      </c>
      <c r="P43" s="40">
        <v>1</v>
      </c>
      <c r="Q43" s="35" t="str">
        <f>VLOOKUP(P43,Key!$E$2:$F$9,2,FALSE)</f>
        <v>Home</v>
      </c>
      <c r="R43" s="38" t="s">
        <v>198</v>
      </c>
      <c r="S43" s="33" t="s">
        <v>198</v>
      </c>
      <c r="T43" s="38" t="s">
        <v>161</v>
      </c>
      <c r="U43" s="33">
        <v>2</v>
      </c>
      <c r="V43" s="35" t="str">
        <f>VLOOKUP(U43,Key!$E$2:$F$9,2,FALSE)</f>
        <v>Work</v>
      </c>
      <c r="W43" s="35" t="str">
        <f>Q43&amp;"-"&amp;V43</f>
        <v>Home-Work</v>
      </c>
      <c r="X43" s="33">
        <v>30000</v>
      </c>
      <c r="Y43" s="39">
        <v>300</v>
      </c>
      <c r="Z43" s="39">
        <v>4.5</v>
      </c>
      <c r="AA43" s="33">
        <v>6</v>
      </c>
      <c r="AB43" s="35" t="str">
        <f>VLOOKUP(AA43,Key!$C$20:$D$29,2,FALSE)</f>
        <v>Businessman</v>
      </c>
      <c r="AC43" s="33">
        <v>1</v>
      </c>
      <c r="AD43" s="35" t="str">
        <f>VLOOKUP(AC43,Key!$E$20:$F$24,2,FALSE)</f>
        <v>&lt;300,000</v>
      </c>
      <c r="AE43" s="33">
        <v>1</v>
      </c>
      <c r="AF43" s="39">
        <v>2</v>
      </c>
      <c r="AG43" s="39">
        <v>2</v>
      </c>
      <c r="AH43" s="39">
        <v>3</v>
      </c>
      <c r="AI43" s="39">
        <v>2</v>
      </c>
      <c r="AJ43" s="40" t="s">
        <v>100</v>
      </c>
      <c r="AK43" s="41"/>
      <c r="AL43" s="25"/>
      <c r="AM43" s="25"/>
    </row>
    <row r="44" spans="2:39" x14ac:dyDescent="0.2">
      <c r="B44" s="52">
        <v>43695</v>
      </c>
      <c r="C44" s="36">
        <v>0.30555555555555552</v>
      </c>
      <c r="D44" s="36" t="s">
        <v>204</v>
      </c>
      <c r="E44" s="36" t="s">
        <v>159</v>
      </c>
      <c r="F44" s="38">
        <v>2</v>
      </c>
      <c r="G44" s="43" t="str">
        <f>VLOOKUP(F44,Key!$A$17:$B$21,2,FALSE)</f>
        <v>Road Vehicle</v>
      </c>
      <c r="H44" s="37">
        <v>6</v>
      </c>
      <c r="I44" s="44" t="str">
        <f>VLOOKUP(H44,Key!$A$2:$B$13,2,FALSE)</f>
        <v>Large Bus</v>
      </c>
      <c r="J44" s="38" t="s">
        <v>163</v>
      </c>
      <c r="K44" s="38">
        <v>2</v>
      </c>
      <c r="L44" s="46" t="str">
        <f>VLOOKUP(K44,Key!$A$24:$B$29,2,FALSE)</f>
        <v>30-39</v>
      </c>
      <c r="M44" s="38" t="s">
        <v>182</v>
      </c>
      <c r="N44" s="33" t="s">
        <v>182</v>
      </c>
      <c r="O44" s="19" t="s">
        <v>161</v>
      </c>
      <c r="P44" s="40">
        <v>1</v>
      </c>
      <c r="Q44" s="35" t="str">
        <f>VLOOKUP(P44,Key!$E$2:$F$9,2,FALSE)</f>
        <v>Home</v>
      </c>
      <c r="R44" s="38" t="s">
        <v>171</v>
      </c>
      <c r="S44" s="33" t="s">
        <v>171</v>
      </c>
      <c r="T44" s="38" t="s">
        <v>161</v>
      </c>
      <c r="U44" s="33">
        <v>2</v>
      </c>
      <c r="V44" s="35" t="str">
        <f>VLOOKUP(U44,Key!$E$2:$F$9,2,FALSE)</f>
        <v>Work</v>
      </c>
      <c r="W44" s="35" t="str">
        <f>Q44&amp;"-"&amp;V44</f>
        <v>Home-Work</v>
      </c>
      <c r="X44" s="33">
        <v>60000</v>
      </c>
      <c r="Y44" s="39">
        <v>550</v>
      </c>
      <c r="Z44" s="39">
        <v>12</v>
      </c>
      <c r="AA44" s="33">
        <v>6</v>
      </c>
      <c r="AB44" s="35" t="str">
        <f>VLOOKUP(AA44,Key!$C$20:$D$29,2,FALSE)</f>
        <v>Businessman</v>
      </c>
      <c r="AC44" s="33">
        <v>1</v>
      </c>
      <c r="AD44" s="35" t="str">
        <f>VLOOKUP(AC44,Key!$E$20:$F$24,2,FALSE)</f>
        <v>&lt;300,000</v>
      </c>
      <c r="AE44" s="33">
        <v>2</v>
      </c>
      <c r="AF44" s="39">
        <v>1</v>
      </c>
      <c r="AG44" s="39">
        <v>1</v>
      </c>
      <c r="AH44" s="39">
        <v>3</v>
      </c>
      <c r="AI44" s="39">
        <v>2</v>
      </c>
      <c r="AJ44" s="40" t="s">
        <v>100</v>
      </c>
      <c r="AK44" s="41"/>
      <c r="AL44" s="25"/>
      <c r="AM44" s="25"/>
    </row>
    <row r="45" spans="2:39" x14ac:dyDescent="0.2">
      <c r="B45" s="52">
        <v>43696</v>
      </c>
      <c r="C45" s="36">
        <v>0.43055555555555558</v>
      </c>
      <c r="D45" s="36"/>
      <c r="E45" s="36" t="s">
        <v>159</v>
      </c>
      <c r="F45" s="38">
        <v>2</v>
      </c>
      <c r="G45" s="43" t="str">
        <f>VLOOKUP(F45,Key!$A$17:$B$21,2,FALSE)</f>
        <v>Road Vehicle</v>
      </c>
      <c r="H45" s="37">
        <v>6</v>
      </c>
      <c r="I45" s="44" t="str">
        <f>VLOOKUP(H45,Key!$A$2:$B$13,2,FALSE)</f>
        <v>Large Bus</v>
      </c>
      <c r="J45" s="38" t="s">
        <v>163</v>
      </c>
      <c r="K45" s="38">
        <v>2</v>
      </c>
      <c r="L45" s="46" t="str">
        <f>VLOOKUP(K45,Key!$A$24:$B$29,2,FALSE)</f>
        <v>30-39</v>
      </c>
      <c r="M45" s="38" t="s">
        <v>160</v>
      </c>
      <c r="N45" s="33" t="s">
        <v>160</v>
      </c>
      <c r="O45" s="19" t="s">
        <v>161</v>
      </c>
      <c r="P45" s="40">
        <v>1</v>
      </c>
      <c r="Q45" s="35" t="str">
        <f>VLOOKUP(P45,Key!$E$2:$F$9,2,FALSE)</f>
        <v>Home</v>
      </c>
      <c r="R45" s="38" t="s">
        <v>227</v>
      </c>
      <c r="S45" s="33" t="s">
        <v>227</v>
      </c>
      <c r="T45" s="38" t="s">
        <v>161</v>
      </c>
      <c r="U45" s="33">
        <v>2</v>
      </c>
      <c r="V45" s="35" t="str">
        <f>VLOOKUP(U45,Key!$E$2:$F$9,2,FALSE)</f>
        <v>Work</v>
      </c>
      <c r="W45" s="35" t="str">
        <f>Q45&amp;"-"&amp;V45</f>
        <v>Home-Work</v>
      </c>
      <c r="X45" s="33">
        <v>17000</v>
      </c>
      <c r="Y45" s="39">
        <v>200</v>
      </c>
      <c r="Z45" s="39">
        <v>4</v>
      </c>
      <c r="AA45" s="33">
        <v>6</v>
      </c>
      <c r="AB45" s="35" t="str">
        <f>VLOOKUP(AA45,Key!$C$20:$D$29,2,FALSE)</f>
        <v>Businessman</v>
      </c>
      <c r="AC45" s="33">
        <v>1</v>
      </c>
      <c r="AD45" s="35" t="str">
        <f>VLOOKUP(AC45,Key!$E$20:$F$24,2,FALSE)</f>
        <v>&lt;300,000</v>
      </c>
      <c r="AE45" s="33">
        <v>3</v>
      </c>
      <c r="AF45" s="39">
        <v>4</v>
      </c>
      <c r="AG45" s="39">
        <v>2</v>
      </c>
      <c r="AH45" s="39">
        <v>3</v>
      </c>
      <c r="AI45" s="39">
        <v>2</v>
      </c>
      <c r="AJ45" s="40" t="s">
        <v>100</v>
      </c>
      <c r="AK45" s="41"/>
      <c r="AL45" s="25"/>
      <c r="AM45" s="25"/>
    </row>
    <row r="46" spans="2:39" x14ac:dyDescent="0.2">
      <c r="B46" s="52">
        <v>43696</v>
      </c>
      <c r="C46" s="36">
        <v>0.41666666666666669</v>
      </c>
      <c r="D46" s="36"/>
      <c r="E46" s="36" t="s">
        <v>159</v>
      </c>
      <c r="F46" s="38">
        <v>2</v>
      </c>
      <c r="G46" s="43" t="str">
        <f>VLOOKUP(F46,Key!$A$17:$B$21,2,FALSE)</f>
        <v>Road Vehicle</v>
      </c>
      <c r="H46" s="37">
        <v>6</v>
      </c>
      <c r="I46" s="44" t="str">
        <f>VLOOKUP(H46,Key!$A$2:$B$13,2,FALSE)</f>
        <v>Large Bus</v>
      </c>
      <c r="J46" s="38" t="s">
        <v>163</v>
      </c>
      <c r="K46" s="38">
        <v>2</v>
      </c>
      <c r="L46" s="46" t="str">
        <f>VLOOKUP(K46,Key!$A$24:$B$29,2,FALSE)</f>
        <v>30-39</v>
      </c>
      <c r="M46" s="38" t="s">
        <v>193</v>
      </c>
      <c r="N46" s="33" t="s">
        <v>193</v>
      </c>
      <c r="O46" s="19" t="s">
        <v>161</v>
      </c>
      <c r="P46" s="40">
        <v>1</v>
      </c>
      <c r="Q46" s="35" t="str">
        <f>VLOOKUP(P46,Key!$E$2:$F$9,2,FALSE)</f>
        <v>Home</v>
      </c>
      <c r="R46" s="38" t="s">
        <v>160</v>
      </c>
      <c r="S46" s="33" t="s">
        <v>160</v>
      </c>
      <c r="T46" s="38" t="s">
        <v>161</v>
      </c>
      <c r="U46" s="33">
        <v>2</v>
      </c>
      <c r="V46" s="35" t="str">
        <f>VLOOKUP(U46,Key!$E$2:$F$9,2,FALSE)</f>
        <v>Work</v>
      </c>
      <c r="W46" s="35" t="str">
        <f>Q46&amp;"-"&amp;V46</f>
        <v>Home-Work</v>
      </c>
      <c r="X46" s="33">
        <v>17000</v>
      </c>
      <c r="Y46" s="39">
        <v>145</v>
      </c>
      <c r="Z46" s="39">
        <v>4</v>
      </c>
      <c r="AA46" s="33">
        <v>6</v>
      </c>
      <c r="AB46" s="35" t="str">
        <f>VLOOKUP(AA46,Key!$C$20:$D$29,2,FALSE)</f>
        <v>Businessman</v>
      </c>
      <c r="AC46" s="33">
        <v>1</v>
      </c>
      <c r="AD46" s="35" t="str">
        <f>VLOOKUP(AC46,Key!$E$20:$F$24,2,FALSE)</f>
        <v>&lt;300,000</v>
      </c>
      <c r="AE46" s="33">
        <v>3</v>
      </c>
      <c r="AF46" s="39">
        <v>3</v>
      </c>
      <c r="AG46" s="39">
        <v>2</v>
      </c>
      <c r="AH46" s="39">
        <v>3</v>
      </c>
      <c r="AI46" s="39">
        <v>2</v>
      </c>
      <c r="AJ46" s="40" t="s">
        <v>100</v>
      </c>
      <c r="AK46" s="41"/>
      <c r="AL46" s="25"/>
      <c r="AM46" s="25"/>
    </row>
    <row r="47" spans="2:39" x14ac:dyDescent="0.2">
      <c r="B47" s="52">
        <v>43696</v>
      </c>
      <c r="C47" s="36">
        <v>0.5</v>
      </c>
      <c r="D47" s="36" t="s">
        <v>204</v>
      </c>
      <c r="E47" s="36" t="s">
        <v>159</v>
      </c>
      <c r="F47" s="38">
        <v>2</v>
      </c>
      <c r="G47" s="43" t="str">
        <f>VLOOKUP(F47,Key!$A$17:$B$21,2,FALSE)</f>
        <v>Road Vehicle</v>
      </c>
      <c r="H47" s="37">
        <v>6</v>
      </c>
      <c r="I47" s="44" t="str">
        <f>VLOOKUP(H47,Key!$A$2:$B$13,2,FALSE)</f>
        <v>Large Bus</v>
      </c>
      <c r="J47" s="38" t="s">
        <v>163</v>
      </c>
      <c r="K47" s="38">
        <v>2</v>
      </c>
      <c r="L47" s="46" t="str">
        <f>VLOOKUP(K47,Key!$A$24:$B$29,2,FALSE)</f>
        <v>30-39</v>
      </c>
      <c r="M47" s="38" t="s">
        <v>160</v>
      </c>
      <c r="N47" s="33" t="s">
        <v>160</v>
      </c>
      <c r="O47" s="19" t="s">
        <v>161</v>
      </c>
      <c r="P47" s="40">
        <v>1</v>
      </c>
      <c r="Q47" s="35" t="str">
        <f>VLOOKUP(P47,Key!$E$2:$F$9,2,FALSE)</f>
        <v>Home</v>
      </c>
      <c r="R47" s="38" t="s">
        <v>240</v>
      </c>
      <c r="S47" s="33" t="s">
        <v>240</v>
      </c>
      <c r="T47" s="38" t="s">
        <v>161</v>
      </c>
      <c r="U47" s="33">
        <v>2</v>
      </c>
      <c r="V47" s="35" t="str">
        <f>VLOOKUP(U47,Key!$E$2:$F$9,2,FALSE)</f>
        <v>Work</v>
      </c>
      <c r="W47" s="35" t="str">
        <f>Q47&amp;"-"&amp;V47</f>
        <v>Home-Work</v>
      </c>
      <c r="X47" s="33">
        <v>20000</v>
      </c>
      <c r="Y47" s="39">
        <v>300</v>
      </c>
      <c r="Z47" s="39">
        <v>4</v>
      </c>
      <c r="AA47" s="33">
        <v>6</v>
      </c>
      <c r="AB47" s="35" t="str">
        <f>VLOOKUP(AA47,Key!$C$20:$D$29,2,FALSE)</f>
        <v>Businessman</v>
      </c>
      <c r="AC47" s="33">
        <v>1</v>
      </c>
      <c r="AD47" s="35" t="str">
        <f>VLOOKUP(AC47,Key!$E$20:$F$24,2,FALSE)</f>
        <v>&lt;300,000</v>
      </c>
      <c r="AE47" s="33">
        <v>2</v>
      </c>
      <c r="AF47" s="39">
        <v>3</v>
      </c>
      <c r="AG47" s="39">
        <v>2</v>
      </c>
      <c r="AH47" s="39">
        <v>3</v>
      </c>
      <c r="AI47" s="39">
        <v>1</v>
      </c>
      <c r="AJ47" s="40" t="s">
        <v>100</v>
      </c>
      <c r="AK47" s="41"/>
      <c r="AL47" s="25"/>
      <c r="AM47" s="25"/>
    </row>
    <row r="48" spans="2:39" x14ac:dyDescent="0.2">
      <c r="B48" s="52">
        <v>43697</v>
      </c>
      <c r="C48" s="36">
        <v>0.47916666666666669</v>
      </c>
      <c r="D48" s="36"/>
      <c r="E48" s="36" t="s">
        <v>159</v>
      </c>
      <c r="F48" s="38">
        <v>2</v>
      </c>
      <c r="G48" s="43" t="str">
        <f>VLOOKUP(F48,Key!$A$17:$B$21,2,FALSE)</f>
        <v>Road Vehicle</v>
      </c>
      <c r="H48" s="37">
        <v>6</v>
      </c>
      <c r="I48" s="44" t="str">
        <f>VLOOKUP(H48,Key!$A$2:$B$13,2,FALSE)</f>
        <v>Large Bus</v>
      </c>
      <c r="J48" s="38" t="s">
        <v>163</v>
      </c>
      <c r="K48" s="38">
        <v>2</v>
      </c>
      <c r="L48" s="46" t="str">
        <f>VLOOKUP(K48,Key!$A$24:$B$29,2,FALSE)</f>
        <v>30-39</v>
      </c>
      <c r="M48" s="38" t="s">
        <v>160</v>
      </c>
      <c r="N48" s="33" t="s">
        <v>160</v>
      </c>
      <c r="O48" s="19" t="s">
        <v>161</v>
      </c>
      <c r="P48" s="40">
        <v>1</v>
      </c>
      <c r="Q48" s="35" t="str">
        <f>VLOOKUP(P48,Key!$E$2:$F$9,2,FALSE)</f>
        <v>Home</v>
      </c>
      <c r="R48" s="38" t="s">
        <v>182</v>
      </c>
      <c r="S48" s="33" t="s">
        <v>182</v>
      </c>
      <c r="T48" s="38" t="s">
        <v>161</v>
      </c>
      <c r="U48" s="33">
        <v>2</v>
      </c>
      <c r="V48" s="35" t="str">
        <f>VLOOKUP(U48,Key!$E$2:$F$9,2,FALSE)</f>
        <v>Work</v>
      </c>
      <c r="W48" s="35" t="str">
        <f>Q48&amp;"-"&amp;V48</f>
        <v>Home-Work</v>
      </c>
      <c r="X48" s="33">
        <v>25000</v>
      </c>
      <c r="Y48" s="39">
        <v>360</v>
      </c>
      <c r="Z48" s="39">
        <v>6</v>
      </c>
      <c r="AA48" s="33">
        <v>6</v>
      </c>
      <c r="AB48" s="35" t="str">
        <f>VLOOKUP(AA48,Key!$C$20:$D$29,2,FALSE)</f>
        <v>Businessman</v>
      </c>
      <c r="AC48" s="33">
        <v>1</v>
      </c>
      <c r="AD48" s="35" t="str">
        <f>VLOOKUP(AC48,Key!$E$20:$F$24,2,FALSE)</f>
        <v>&lt;300,000</v>
      </c>
      <c r="AE48" s="33">
        <v>5</v>
      </c>
      <c r="AF48" s="39">
        <v>1</v>
      </c>
      <c r="AG48" s="39">
        <v>2</v>
      </c>
      <c r="AH48" s="39">
        <v>2</v>
      </c>
      <c r="AI48" s="39">
        <v>1</v>
      </c>
      <c r="AJ48" s="40" t="s">
        <v>100</v>
      </c>
      <c r="AK48" s="41" t="s">
        <v>267</v>
      </c>
      <c r="AL48" s="25"/>
      <c r="AM48" s="25"/>
    </row>
    <row r="49" spans="2:39" x14ac:dyDescent="0.2">
      <c r="B49" s="52">
        <v>43695</v>
      </c>
      <c r="C49" s="36">
        <v>0.29722222222222222</v>
      </c>
      <c r="D49" s="36" t="s">
        <v>183</v>
      </c>
      <c r="E49" s="36" t="s">
        <v>105</v>
      </c>
      <c r="F49" s="38">
        <v>2</v>
      </c>
      <c r="G49" s="43" t="str">
        <f>VLOOKUP(F49,Key!$A$17:$B$21,2,FALSE)</f>
        <v>Road Vehicle</v>
      </c>
      <c r="H49" s="37">
        <v>6</v>
      </c>
      <c r="I49" s="44" t="str">
        <f>VLOOKUP(H49,Key!$A$2:$B$13,2,FALSE)</f>
        <v>Large Bus</v>
      </c>
      <c r="J49" s="38" t="s">
        <v>117</v>
      </c>
      <c r="K49" s="38">
        <v>2</v>
      </c>
      <c r="L49" s="46" t="str">
        <f>VLOOKUP(K49,Key!$A$24:$B$29,2,FALSE)</f>
        <v>30-39</v>
      </c>
      <c r="M49" s="45" t="s">
        <v>160</v>
      </c>
      <c r="N49" s="33" t="s">
        <v>160</v>
      </c>
      <c r="O49" s="19" t="s">
        <v>161</v>
      </c>
      <c r="P49" s="40">
        <v>2</v>
      </c>
      <c r="Q49" s="35" t="str">
        <f>VLOOKUP(P49,Key!$E$2:$F$9,2,FALSE)</f>
        <v>Work</v>
      </c>
      <c r="R49" s="38" t="s">
        <v>182</v>
      </c>
      <c r="S49" s="33" t="s">
        <v>182</v>
      </c>
      <c r="T49" s="38" t="s">
        <v>161</v>
      </c>
      <c r="U49" s="33">
        <v>2</v>
      </c>
      <c r="V49" s="35" t="str">
        <f>VLOOKUP(U49,Key!$E$2:$F$9,2,FALSE)</f>
        <v>Work</v>
      </c>
      <c r="W49" s="35" t="str">
        <f>Q49&amp;"-"&amp;V49</f>
        <v>Work-Work</v>
      </c>
      <c r="X49" s="48">
        <v>200000</v>
      </c>
      <c r="Y49" s="39">
        <v>400</v>
      </c>
      <c r="Z49" s="39">
        <v>6.5</v>
      </c>
      <c r="AA49" s="33">
        <v>5</v>
      </c>
      <c r="AB49" s="35" t="str">
        <f>VLOOKUP(AA49,Key!$C$20:$D$29,2,FALSE)</f>
        <v>Professional</v>
      </c>
      <c r="AC49" s="33">
        <v>2</v>
      </c>
      <c r="AD49" s="35" t="str">
        <f>VLOOKUP(AC49,Key!$E$20:$F$24,2,FALSE)</f>
        <v>300,000-500,000</v>
      </c>
      <c r="AE49" s="33">
        <v>5</v>
      </c>
      <c r="AF49" s="39">
        <v>5</v>
      </c>
      <c r="AG49" s="39">
        <v>5</v>
      </c>
      <c r="AH49" s="39">
        <v>5</v>
      </c>
      <c r="AI49" s="39">
        <v>5</v>
      </c>
      <c r="AJ49" s="40" t="s">
        <v>100</v>
      </c>
      <c r="AK49" s="41">
        <v>1000</v>
      </c>
      <c r="AL49" s="25"/>
      <c r="AM49" s="25"/>
    </row>
    <row r="50" spans="2:39" x14ac:dyDescent="0.2">
      <c r="B50" s="52">
        <v>43695</v>
      </c>
      <c r="C50" s="36">
        <v>0.41319444444444442</v>
      </c>
      <c r="D50" s="36" t="s">
        <v>206</v>
      </c>
      <c r="E50" s="36" t="s">
        <v>105</v>
      </c>
      <c r="F50" s="38">
        <v>2</v>
      </c>
      <c r="G50" s="43" t="str">
        <f>VLOOKUP(F50,Key!$A$17:$B$21,2,FALSE)</f>
        <v>Road Vehicle</v>
      </c>
      <c r="H50" s="37">
        <v>6</v>
      </c>
      <c r="I50" s="44" t="str">
        <f>VLOOKUP(H50,Key!$A$2:$B$13,2,FALSE)</f>
        <v>Large Bus</v>
      </c>
      <c r="J50" s="38" t="s">
        <v>117</v>
      </c>
      <c r="K50" s="38">
        <v>2</v>
      </c>
      <c r="L50" s="46" t="str">
        <f>VLOOKUP(K50,Key!$A$24:$B$29,2,FALSE)</f>
        <v>30-39</v>
      </c>
      <c r="M50" s="38" t="s">
        <v>182</v>
      </c>
      <c r="N50" s="33" t="s">
        <v>182</v>
      </c>
      <c r="O50" s="19" t="s">
        <v>161</v>
      </c>
      <c r="P50" s="40">
        <v>2</v>
      </c>
      <c r="Q50" s="35" t="str">
        <f>VLOOKUP(P50,Key!$E$2:$F$9,2,FALSE)</f>
        <v>Work</v>
      </c>
      <c r="R50" s="38" t="s">
        <v>171</v>
      </c>
      <c r="S50" s="33" t="s">
        <v>171</v>
      </c>
      <c r="T50" s="38" t="s">
        <v>161</v>
      </c>
      <c r="U50" s="33">
        <v>2</v>
      </c>
      <c r="V50" s="35" t="str">
        <f>VLOOKUP(U50,Key!$E$2:$F$9,2,FALSE)</f>
        <v>Work</v>
      </c>
      <c r="W50" s="35" t="str">
        <f>Q50&amp;"-"&amp;V50</f>
        <v>Work-Work</v>
      </c>
      <c r="X50" s="33">
        <v>300000</v>
      </c>
      <c r="Y50" s="39">
        <v>600</v>
      </c>
      <c r="Z50" s="39">
        <v>12.5</v>
      </c>
      <c r="AA50" s="33">
        <v>5</v>
      </c>
      <c r="AB50" s="35" t="str">
        <f>VLOOKUP(AA50,Key!$C$20:$D$29,2,FALSE)</f>
        <v>Professional</v>
      </c>
      <c r="AC50" s="33">
        <v>2</v>
      </c>
      <c r="AD50" s="35" t="str">
        <f>VLOOKUP(AC50,Key!$E$20:$F$24,2,FALSE)</f>
        <v>300,000-500,000</v>
      </c>
      <c r="AE50" s="33">
        <v>5</v>
      </c>
      <c r="AF50" s="39">
        <v>5</v>
      </c>
      <c r="AG50" s="39">
        <v>5</v>
      </c>
      <c r="AH50" s="39">
        <v>5</v>
      </c>
      <c r="AI50" s="39">
        <v>5</v>
      </c>
      <c r="AJ50" s="40" t="s">
        <v>100</v>
      </c>
      <c r="AK50" s="41"/>
      <c r="AL50" s="25"/>
      <c r="AM50" s="25"/>
    </row>
    <row r="51" spans="2:39" x14ac:dyDescent="0.2">
      <c r="B51" s="52">
        <v>43696</v>
      </c>
      <c r="C51" s="36">
        <v>0.34722222222222227</v>
      </c>
      <c r="D51" s="36"/>
      <c r="E51" s="36" t="s">
        <v>159</v>
      </c>
      <c r="F51" s="38">
        <v>2</v>
      </c>
      <c r="G51" s="43" t="str">
        <f>VLOOKUP(F51,Key!$A$17:$B$21,2,FALSE)</f>
        <v>Road Vehicle</v>
      </c>
      <c r="H51" s="37">
        <v>6</v>
      </c>
      <c r="I51" s="44" t="str">
        <f>VLOOKUP(H51,Key!$A$2:$B$13,2,FALSE)</f>
        <v>Large Bus</v>
      </c>
      <c r="J51" s="38" t="s">
        <v>117</v>
      </c>
      <c r="K51" s="38">
        <v>2</v>
      </c>
      <c r="L51" s="46" t="str">
        <f>VLOOKUP(K51,Key!$A$24:$B$29,2,FALSE)</f>
        <v>30-39</v>
      </c>
      <c r="M51" s="38" t="s">
        <v>160</v>
      </c>
      <c r="N51" s="33" t="s">
        <v>160</v>
      </c>
      <c r="O51" s="19" t="s">
        <v>161</v>
      </c>
      <c r="P51" s="40">
        <v>1</v>
      </c>
      <c r="Q51" s="35" t="str">
        <f>VLOOKUP(P51,Key!$E$2:$F$9,2,FALSE)</f>
        <v>Home</v>
      </c>
      <c r="R51" s="38" t="s">
        <v>182</v>
      </c>
      <c r="S51" s="33" t="s">
        <v>182</v>
      </c>
      <c r="T51" s="38" t="s">
        <v>161</v>
      </c>
      <c r="U51" s="33">
        <v>2</v>
      </c>
      <c r="V51" s="35" t="str">
        <f>VLOOKUP(U51,Key!$E$2:$F$9,2,FALSE)</f>
        <v>Work</v>
      </c>
      <c r="W51" s="35" t="str">
        <f>Q51&amp;"-"&amp;V51</f>
        <v>Home-Work</v>
      </c>
      <c r="X51" s="33">
        <v>250000</v>
      </c>
      <c r="Y51" s="39">
        <v>380</v>
      </c>
      <c r="Z51" s="39">
        <v>6</v>
      </c>
      <c r="AA51" s="33">
        <v>10</v>
      </c>
      <c r="AB51" s="35" t="str">
        <f>VLOOKUP(AA51,Key!$C$20:$D$29,2,FALSE)</f>
        <v>Other</v>
      </c>
      <c r="AC51" s="33">
        <v>1</v>
      </c>
      <c r="AD51" s="35" t="str">
        <f>VLOOKUP(AC51,Key!$E$20:$F$24,2,FALSE)</f>
        <v>&lt;300,000</v>
      </c>
      <c r="AE51" s="33">
        <v>5</v>
      </c>
      <c r="AF51" s="39">
        <v>3</v>
      </c>
      <c r="AG51" s="39">
        <v>4</v>
      </c>
      <c r="AH51" s="39">
        <v>5</v>
      </c>
      <c r="AI51" s="39">
        <v>3</v>
      </c>
      <c r="AJ51" s="40" t="s">
        <v>100</v>
      </c>
      <c r="AK51" s="41"/>
      <c r="AL51" s="25"/>
      <c r="AM51" s="25"/>
    </row>
    <row r="52" spans="2:39" x14ac:dyDescent="0.2">
      <c r="B52" s="52">
        <v>43696</v>
      </c>
      <c r="C52" s="36">
        <v>0.39999999999999997</v>
      </c>
      <c r="D52" s="36" t="s">
        <v>187</v>
      </c>
      <c r="E52" s="36" t="s">
        <v>105</v>
      </c>
      <c r="F52" s="38">
        <v>2</v>
      </c>
      <c r="G52" s="43" t="str">
        <f>VLOOKUP(F52,Key!$A$17:$B$21,2,FALSE)</f>
        <v>Road Vehicle</v>
      </c>
      <c r="H52" s="37">
        <v>6</v>
      </c>
      <c r="I52" s="44" t="str">
        <f>VLOOKUP(H52,Key!$A$2:$B$13,2,FALSE)</f>
        <v>Large Bus</v>
      </c>
      <c r="J52" s="38" t="s">
        <v>117</v>
      </c>
      <c r="K52" s="38">
        <v>2</v>
      </c>
      <c r="L52" s="46" t="str">
        <f>VLOOKUP(K52,Key!$A$24:$B$29,2,FALSE)</f>
        <v>30-39</v>
      </c>
      <c r="M52" s="38" t="s">
        <v>160</v>
      </c>
      <c r="N52" s="33" t="s">
        <v>160</v>
      </c>
      <c r="O52" s="19" t="s">
        <v>161</v>
      </c>
      <c r="P52" s="40">
        <v>2</v>
      </c>
      <c r="Q52" s="35" t="str">
        <f>VLOOKUP(P52,Key!$E$2:$F$9,2,FALSE)</f>
        <v>Work</v>
      </c>
      <c r="R52" s="38" t="s">
        <v>227</v>
      </c>
      <c r="S52" s="33" t="s">
        <v>227</v>
      </c>
      <c r="T52" s="38" t="s">
        <v>161</v>
      </c>
      <c r="U52" s="33">
        <v>2</v>
      </c>
      <c r="V52" s="35" t="str">
        <f>VLOOKUP(U52,Key!$E$2:$F$9,2,FALSE)</f>
        <v>Work</v>
      </c>
      <c r="W52" s="35" t="str">
        <f>Q52&amp;"-"&amp;V52</f>
        <v>Work-Work</v>
      </c>
      <c r="X52" s="33">
        <v>100000</v>
      </c>
      <c r="Y52" s="39">
        <v>200</v>
      </c>
      <c r="Z52" s="39">
        <v>5</v>
      </c>
      <c r="AA52" s="33">
        <v>10</v>
      </c>
      <c r="AB52" s="35" t="str">
        <f>VLOOKUP(AA52,Key!$C$20:$D$29,2,FALSE)</f>
        <v>Other</v>
      </c>
      <c r="AC52" s="33">
        <v>2</v>
      </c>
      <c r="AD52" s="35" t="str">
        <f>VLOOKUP(AC52,Key!$E$20:$F$24,2,FALSE)</f>
        <v>300,000-500,000</v>
      </c>
      <c r="AE52" s="33">
        <v>5</v>
      </c>
      <c r="AF52" s="39">
        <v>5</v>
      </c>
      <c r="AG52" s="39">
        <v>5</v>
      </c>
      <c r="AH52" s="39">
        <v>5</v>
      </c>
      <c r="AI52" s="39">
        <v>5</v>
      </c>
      <c r="AJ52" s="40" t="s">
        <v>100</v>
      </c>
      <c r="AK52" s="41">
        <v>1000</v>
      </c>
      <c r="AL52" s="25"/>
      <c r="AM52" s="25"/>
    </row>
    <row r="53" spans="2:39" x14ac:dyDescent="0.2">
      <c r="B53" s="52">
        <v>43696</v>
      </c>
      <c r="C53" s="36">
        <v>0.3888888888888889</v>
      </c>
      <c r="D53" s="36" t="s">
        <v>234</v>
      </c>
      <c r="E53" s="36" t="s">
        <v>105</v>
      </c>
      <c r="F53" s="38">
        <v>2</v>
      </c>
      <c r="G53" s="43" t="str">
        <f>VLOOKUP(F53,Key!$A$17:$B$21,2,FALSE)</f>
        <v>Road Vehicle</v>
      </c>
      <c r="H53" s="37">
        <v>6</v>
      </c>
      <c r="I53" s="44" t="str">
        <f>VLOOKUP(H53,Key!$A$2:$B$13,2,FALSE)</f>
        <v>Large Bus</v>
      </c>
      <c r="J53" s="38" t="s">
        <v>117</v>
      </c>
      <c r="K53" s="38">
        <v>2</v>
      </c>
      <c r="L53" s="46" t="str">
        <f>VLOOKUP(K53,Key!$A$24:$B$29,2,FALSE)</f>
        <v>30-39</v>
      </c>
      <c r="M53" s="38" t="s">
        <v>160</v>
      </c>
      <c r="N53" s="33" t="s">
        <v>160</v>
      </c>
      <c r="O53" s="19" t="s">
        <v>161</v>
      </c>
      <c r="P53" s="40">
        <v>2</v>
      </c>
      <c r="Q53" s="35" t="str">
        <f>VLOOKUP(P53,Key!$E$2:$F$9,2,FALSE)</f>
        <v>Work</v>
      </c>
      <c r="R53" s="38" t="s">
        <v>169</v>
      </c>
      <c r="S53" s="33" t="s">
        <v>169</v>
      </c>
      <c r="T53" s="38" t="s">
        <v>161</v>
      </c>
      <c r="U53" s="33">
        <v>2</v>
      </c>
      <c r="V53" s="35" t="str">
        <f>VLOOKUP(U53,Key!$E$2:$F$9,2,FALSE)</f>
        <v>Work</v>
      </c>
      <c r="W53" s="35" t="str">
        <f>Q53&amp;"-"&amp;V53</f>
        <v>Work-Work</v>
      </c>
      <c r="X53" s="33">
        <v>100000</v>
      </c>
      <c r="Y53" s="39">
        <v>120</v>
      </c>
      <c r="Z53" s="39">
        <v>3.5</v>
      </c>
      <c r="AA53" s="33">
        <v>10</v>
      </c>
      <c r="AB53" s="35" t="str">
        <f>VLOOKUP(AA53,Key!$C$20:$D$29,2,FALSE)</f>
        <v>Other</v>
      </c>
      <c r="AC53" s="33">
        <v>2</v>
      </c>
      <c r="AD53" s="35" t="str">
        <f>VLOOKUP(AC53,Key!$E$20:$F$24,2,FALSE)</f>
        <v>300,000-500,000</v>
      </c>
      <c r="AE53" s="33">
        <v>5</v>
      </c>
      <c r="AF53" s="39">
        <v>5</v>
      </c>
      <c r="AG53" s="39">
        <v>5</v>
      </c>
      <c r="AH53" s="39">
        <v>5</v>
      </c>
      <c r="AI53" s="39">
        <v>5</v>
      </c>
      <c r="AJ53" s="40" t="s">
        <v>100</v>
      </c>
      <c r="AK53" s="41"/>
      <c r="AL53" s="25"/>
      <c r="AM53" s="25"/>
    </row>
    <row r="54" spans="2:39" x14ac:dyDescent="0.2">
      <c r="B54" s="52">
        <v>43697</v>
      </c>
      <c r="C54" s="36">
        <v>0.4861111111111111</v>
      </c>
      <c r="D54" s="36"/>
      <c r="E54" s="36" t="s">
        <v>159</v>
      </c>
      <c r="F54" s="38">
        <v>2</v>
      </c>
      <c r="G54" s="43" t="str">
        <f>VLOOKUP(F54,Key!$A$17:$B$21,2,FALSE)</f>
        <v>Road Vehicle</v>
      </c>
      <c r="H54" s="37">
        <v>6</v>
      </c>
      <c r="I54" s="44" t="str">
        <f>VLOOKUP(H54,Key!$A$2:$B$13,2,FALSE)</f>
        <v>Large Bus</v>
      </c>
      <c r="J54" s="38" t="s">
        <v>117</v>
      </c>
      <c r="K54" s="38">
        <v>2</v>
      </c>
      <c r="L54" s="46" t="str">
        <f>VLOOKUP(K54,Key!$A$24:$B$29,2,FALSE)</f>
        <v>30-39</v>
      </c>
      <c r="M54" s="38" t="s">
        <v>160</v>
      </c>
      <c r="N54" s="33" t="s">
        <v>160</v>
      </c>
      <c r="O54" s="19" t="s">
        <v>161</v>
      </c>
      <c r="P54" s="40">
        <v>1</v>
      </c>
      <c r="Q54" s="35" t="str">
        <f>VLOOKUP(P54,Key!$E$2:$F$9,2,FALSE)</f>
        <v>Home</v>
      </c>
      <c r="R54" s="38" t="s">
        <v>193</v>
      </c>
      <c r="S54" s="33" t="s">
        <v>193</v>
      </c>
      <c r="T54" s="38" t="s">
        <v>161</v>
      </c>
      <c r="U54" s="33">
        <v>2</v>
      </c>
      <c r="V54" s="35" t="str">
        <f>VLOOKUP(U54,Key!$E$2:$F$9,2,FALSE)</f>
        <v>Work</v>
      </c>
      <c r="W54" s="35" t="str">
        <f>Q54&amp;"-"&amp;V54</f>
        <v>Home-Work</v>
      </c>
      <c r="X54" s="33">
        <v>20000</v>
      </c>
      <c r="Y54" s="39">
        <v>172</v>
      </c>
      <c r="Z54" s="39">
        <v>4.5</v>
      </c>
      <c r="AA54" s="33">
        <v>6</v>
      </c>
      <c r="AB54" s="35" t="str">
        <f>VLOOKUP(AA54,Key!$C$20:$D$29,2,FALSE)</f>
        <v>Businessman</v>
      </c>
      <c r="AC54" s="33">
        <v>1</v>
      </c>
      <c r="AD54" s="35" t="str">
        <f>VLOOKUP(AC54,Key!$E$20:$F$24,2,FALSE)</f>
        <v>&lt;300,000</v>
      </c>
      <c r="AE54" s="33">
        <v>5</v>
      </c>
      <c r="AF54" s="39">
        <v>1</v>
      </c>
      <c r="AG54" s="39">
        <v>2</v>
      </c>
      <c r="AH54" s="39">
        <v>3</v>
      </c>
      <c r="AI54" s="39">
        <v>1</v>
      </c>
      <c r="AJ54" s="40" t="s">
        <v>100</v>
      </c>
      <c r="AK54" s="41"/>
      <c r="AL54" s="25"/>
      <c r="AM54" s="25"/>
    </row>
    <row r="55" spans="2:39" x14ac:dyDescent="0.2">
      <c r="B55" s="52">
        <v>43696</v>
      </c>
      <c r="C55" s="36">
        <v>0.33333333333333331</v>
      </c>
      <c r="D55" s="36" t="s">
        <v>192</v>
      </c>
      <c r="E55" s="36" t="s">
        <v>105</v>
      </c>
      <c r="F55" s="38">
        <v>2</v>
      </c>
      <c r="G55" s="43" t="str">
        <f>VLOOKUP(F55,Key!$A$17:$B$21,2,FALSE)</f>
        <v>Road Vehicle</v>
      </c>
      <c r="H55" s="37">
        <v>6</v>
      </c>
      <c r="I55" s="44" t="str">
        <f>VLOOKUP(H55,Key!$A$2:$B$13,2,FALSE)</f>
        <v>Large Bus</v>
      </c>
      <c r="J55" s="38" t="s">
        <v>163</v>
      </c>
      <c r="K55" s="38">
        <v>3</v>
      </c>
      <c r="L55" s="46" t="str">
        <f>VLOOKUP(K55,Key!$A$24:$B$29,2,FALSE)</f>
        <v>40-49</v>
      </c>
      <c r="M55" s="38" t="s">
        <v>160</v>
      </c>
      <c r="N55" s="33" t="s">
        <v>160</v>
      </c>
      <c r="O55" s="19" t="s">
        <v>161</v>
      </c>
      <c r="P55" s="40">
        <v>2</v>
      </c>
      <c r="Q55" s="35" t="str">
        <f>VLOOKUP(P55,Key!$E$2:$F$9,2,FALSE)</f>
        <v>Work</v>
      </c>
      <c r="R55" s="38" t="s">
        <v>182</v>
      </c>
      <c r="S55" s="33" t="s">
        <v>182</v>
      </c>
      <c r="T55" s="38" t="s">
        <v>161</v>
      </c>
      <c r="U55" s="33">
        <v>2</v>
      </c>
      <c r="V55" s="35" t="str">
        <f>VLOOKUP(U55,Key!$E$2:$F$9,2,FALSE)</f>
        <v>Work</v>
      </c>
      <c r="W55" s="35" t="str">
        <f>Q55&amp;"-"&amp;V55</f>
        <v>Work-Work</v>
      </c>
      <c r="X55" s="33">
        <v>200000</v>
      </c>
      <c r="Y55" s="39">
        <v>390</v>
      </c>
      <c r="Z55" s="39">
        <v>6.5</v>
      </c>
      <c r="AA55" s="33">
        <v>10</v>
      </c>
      <c r="AB55" s="35" t="str">
        <f>VLOOKUP(AA55,Key!$C$20:$D$29,2,FALSE)</f>
        <v>Other</v>
      </c>
      <c r="AC55" s="33">
        <v>2</v>
      </c>
      <c r="AD55" s="35" t="str">
        <f>VLOOKUP(AC55,Key!$E$20:$F$24,2,FALSE)</f>
        <v>300,000-500,000</v>
      </c>
      <c r="AE55" s="33">
        <v>5</v>
      </c>
      <c r="AF55" s="39">
        <v>5</v>
      </c>
      <c r="AG55" s="39">
        <v>5</v>
      </c>
      <c r="AH55" s="39">
        <v>5</v>
      </c>
      <c r="AI55" s="39">
        <v>5</v>
      </c>
      <c r="AJ55" s="40" t="s">
        <v>100</v>
      </c>
      <c r="AK55" s="41">
        <v>1000</v>
      </c>
      <c r="AL55" s="25"/>
      <c r="AM55" s="25"/>
    </row>
    <row r="56" spans="2:39" x14ac:dyDescent="0.2">
      <c r="B56" s="52">
        <v>43695</v>
      </c>
      <c r="C56" s="36">
        <v>0.29166666666666669</v>
      </c>
      <c r="D56" s="36" t="s">
        <v>181</v>
      </c>
      <c r="E56" s="36" t="s">
        <v>105</v>
      </c>
      <c r="F56" s="38">
        <v>2</v>
      </c>
      <c r="G56" s="43" t="str">
        <f>VLOOKUP(F56,Key!$A$17:$B$21,2,FALSE)</f>
        <v>Road Vehicle</v>
      </c>
      <c r="H56" s="37">
        <v>6</v>
      </c>
      <c r="I56" s="44" t="str">
        <f>VLOOKUP(H56,Key!$A$2:$B$13,2,FALSE)</f>
        <v>Large Bus</v>
      </c>
      <c r="J56" s="38" t="s">
        <v>117</v>
      </c>
      <c r="K56" s="38">
        <v>3</v>
      </c>
      <c r="L56" s="46" t="str">
        <f>VLOOKUP(K56,Key!$A$24:$B$29,2,FALSE)</f>
        <v>40-49</v>
      </c>
      <c r="M56" s="45" t="s">
        <v>160</v>
      </c>
      <c r="N56" s="33" t="s">
        <v>160</v>
      </c>
      <c r="O56" s="19" t="s">
        <v>161</v>
      </c>
      <c r="P56" s="40">
        <v>2</v>
      </c>
      <c r="Q56" s="35" t="str">
        <f>VLOOKUP(P56,Key!$E$2:$F$9,2,FALSE)</f>
        <v>Work</v>
      </c>
      <c r="R56" s="38" t="s">
        <v>182</v>
      </c>
      <c r="S56" s="33" t="s">
        <v>182</v>
      </c>
      <c r="T56" s="38" t="s">
        <v>161</v>
      </c>
      <c r="U56" s="33">
        <v>2</v>
      </c>
      <c r="V56" s="35" t="str">
        <f>VLOOKUP(U56,Key!$E$2:$F$9,2,FALSE)</f>
        <v>Work</v>
      </c>
      <c r="W56" s="35" t="str">
        <f>Q56&amp;"-"&amp;V56</f>
        <v>Work-Work</v>
      </c>
      <c r="X56" s="48">
        <v>150000</v>
      </c>
      <c r="Y56" s="39">
        <v>370</v>
      </c>
      <c r="Z56" s="39">
        <v>6</v>
      </c>
      <c r="AA56" s="33">
        <v>5</v>
      </c>
      <c r="AB56" s="35" t="str">
        <f>VLOOKUP(AA56,Key!$C$20:$D$29,2,FALSE)</f>
        <v>Professional</v>
      </c>
      <c r="AC56" s="33">
        <v>2</v>
      </c>
      <c r="AD56" s="35" t="str">
        <f>VLOOKUP(AC56,Key!$E$20:$F$24,2,FALSE)</f>
        <v>300,000-500,000</v>
      </c>
      <c r="AE56" s="33">
        <v>5</v>
      </c>
      <c r="AF56" s="39">
        <v>2</v>
      </c>
      <c r="AG56" s="39">
        <v>2</v>
      </c>
      <c r="AH56" s="39">
        <v>5</v>
      </c>
      <c r="AI56" s="39">
        <v>2</v>
      </c>
      <c r="AJ56" s="40" t="s">
        <v>100</v>
      </c>
      <c r="AK56" s="41">
        <v>1000</v>
      </c>
      <c r="AL56" s="25"/>
      <c r="AM56" s="25"/>
    </row>
    <row r="57" spans="2:39" x14ac:dyDescent="0.2">
      <c r="B57" s="52">
        <v>43695</v>
      </c>
      <c r="C57" s="36">
        <v>0.47569444444444442</v>
      </c>
      <c r="D57" s="36" t="s">
        <v>185</v>
      </c>
      <c r="E57" s="36" t="s">
        <v>105</v>
      </c>
      <c r="F57" s="38">
        <v>2</v>
      </c>
      <c r="G57" s="43" t="str">
        <f>VLOOKUP(F57,Key!$A$17:$B$21,2,FALSE)</f>
        <v>Road Vehicle</v>
      </c>
      <c r="H57" s="37">
        <v>6</v>
      </c>
      <c r="I57" s="44" t="str">
        <f>VLOOKUP(H57,Key!$A$2:$B$13,2,FALSE)</f>
        <v>Large Bus</v>
      </c>
      <c r="J57" s="38" t="s">
        <v>117</v>
      </c>
      <c r="K57" s="38">
        <v>3</v>
      </c>
      <c r="L57" s="46" t="str">
        <f>VLOOKUP(K57,Key!$A$24:$B$29,2,FALSE)</f>
        <v>40-49</v>
      </c>
      <c r="M57" s="45" t="s">
        <v>160</v>
      </c>
      <c r="N57" s="33" t="s">
        <v>160</v>
      </c>
      <c r="O57" s="19" t="s">
        <v>161</v>
      </c>
      <c r="P57" s="40">
        <v>2</v>
      </c>
      <c r="Q57" s="35" t="str">
        <f>VLOOKUP(P57,Key!$E$2:$F$9,2,FALSE)</f>
        <v>Work</v>
      </c>
      <c r="R57" s="38" t="s">
        <v>162</v>
      </c>
      <c r="S57" s="33" t="s">
        <v>162</v>
      </c>
      <c r="T57" s="38" t="s">
        <v>161</v>
      </c>
      <c r="U57" s="33">
        <v>2</v>
      </c>
      <c r="V57" s="35" t="str">
        <f>VLOOKUP(U57,Key!$E$2:$F$9,2,FALSE)</f>
        <v>Work</v>
      </c>
      <c r="W57" s="35" t="str">
        <f>Q57&amp;"-"&amp;V57</f>
        <v>Work-Work</v>
      </c>
      <c r="X57" s="48">
        <v>150000</v>
      </c>
      <c r="Y57" s="39">
        <v>110</v>
      </c>
      <c r="Z57" s="39">
        <v>3.5</v>
      </c>
      <c r="AA57" s="33">
        <v>10</v>
      </c>
      <c r="AB57" s="35" t="str">
        <f>VLOOKUP(AA57,Key!$C$20:$D$29,2,FALSE)</f>
        <v>Other</v>
      </c>
      <c r="AC57" s="33">
        <v>2</v>
      </c>
      <c r="AD57" s="35" t="str">
        <f>VLOOKUP(AC57,Key!$E$20:$F$24,2,FALSE)</f>
        <v>300,000-500,000</v>
      </c>
      <c r="AE57" s="33">
        <v>5</v>
      </c>
      <c r="AF57" s="39">
        <v>5</v>
      </c>
      <c r="AG57" s="39">
        <v>5</v>
      </c>
      <c r="AH57" s="39">
        <v>5</v>
      </c>
      <c r="AI57" s="39">
        <v>5</v>
      </c>
      <c r="AJ57" s="40" t="s">
        <v>100</v>
      </c>
      <c r="AK57" s="41">
        <v>1000</v>
      </c>
      <c r="AL57" s="25"/>
      <c r="AM57" s="25"/>
    </row>
    <row r="58" spans="2:39" x14ac:dyDescent="0.2">
      <c r="B58" s="52">
        <v>43695</v>
      </c>
      <c r="C58" s="36">
        <v>0.48958333333333331</v>
      </c>
      <c r="D58" s="36" t="s">
        <v>186</v>
      </c>
      <c r="E58" s="36" t="s">
        <v>105</v>
      </c>
      <c r="F58" s="38">
        <v>2</v>
      </c>
      <c r="G58" s="43" t="str">
        <f>VLOOKUP(F58,Key!$A$17:$B$21,2,FALSE)</f>
        <v>Road Vehicle</v>
      </c>
      <c r="H58" s="37">
        <v>6</v>
      </c>
      <c r="I58" s="44" t="str">
        <f>VLOOKUP(H58,Key!$A$2:$B$13,2,FALSE)</f>
        <v>Large Bus</v>
      </c>
      <c r="J58" s="38" t="s">
        <v>117</v>
      </c>
      <c r="K58" s="38">
        <v>3</v>
      </c>
      <c r="L58" s="46" t="str">
        <f>VLOOKUP(K58,Key!$A$24:$B$29,2,FALSE)</f>
        <v>40-49</v>
      </c>
      <c r="M58" s="45" t="s">
        <v>160</v>
      </c>
      <c r="N58" s="33" t="s">
        <v>160</v>
      </c>
      <c r="O58" s="19" t="s">
        <v>161</v>
      </c>
      <c r="P58" s="40">
        <v>2</v>
      </c>
      <c r="Q58" s="35" t="str">
        <f>VLOOKUP(P58,Key!$E$2:$F$9,2,FALSE)</f>
        <v>Work</v>
      </c>
      <c r="R58" s="38" t="s">
        <v>162</v>
      </c>
      <c r="S58" s="33" t="s">
        <v>162</v>
      </c>
      <c r="T58" s="38" t="s">
        <v>161</v>
      </c>
      <c r="U58" s="33">
        <v>2</v>
      </c>
      <c r="V58" s="35" t="str">
        <f>VLOOKUP(U58,Key!$E$2:$F$9,2,FALSE)</f>
        <v>Work</v>
      </c>
      <c r="W58" s="35" t="str">
        <f>Q58&amp;"-"&amp;V58</f>
        <v>Work-Work</v>
      </c>
      <c r="X58" s="48">
        <v>100000</v>
      </c>
      <c r="Y58" s="39">
        <v>105</v>
      </c>
      <c r="Z58" s="39">
        <v>3</v>
      </c>
      <c r="AA58" s="33">
        <v>10</v>
      </c>
      <c r="AB58" s="35" t="str">
        <f>VLOOKUP(AA58,Key!$C$20:$D$29,2,FALSE)</f>
        <v>Other</v>
      </c>
      <c r="AC58" s="33">
        <v>2</v>
      </c>
      <c r="AD58" s="35" t="str">
        <f>VLOOKUP(AC58,Key!$E$20:$F$24,2,FALSE)</f>
        <v>300,000-500,000</v>
      </c>
      <c r="AE58" s="33">
        <v>5</v>
      </c>
      <c r="AF58" s="39">
        <v>5</v>
      </c>
      <c r="AG58" s="39">
        <v>5</v>
      </c>
      <c r="AH58" s="39">
        <v>5</v>
      </c>
      <c r="AI58" s="39">
        <v>5</v>
      </c>
      <c r="AJ58" s="40" t="s">
        <v>100</v>
      </c>
      <c r="AK58" s="41">
        <v>1000</v>
      </c>
      <c r="AL58" s="25"/>
      <c r="AM58" s="25"/>
    </row>
    <row r="59" spans="2:39" x14ac:dyDescent="0.2">
      <c r="B59" s="52">
        <v>43695</v>
      </c>
      <c r="C59" s="36">
        <v>0.30208333333333331</v>
      </c>
      <c r="D59" s="36" t="s">
        <v>187</v>
      </c>
      <c r="E59" s="36" t="s">
        <v>105</v>
      </c>
      <c r="F59" s="38">
        <v>2</v>
      </c>
      <c r="G59" s="43" t="str">
        <f>VLOOKUP(F59,Key!$A$17:$B$21,2,FALSE)</f>
        <v>Road Vehicle</v>
      </c>
      <c r="H59" s="37">
        <v>6</v>
      </c>
      <c r="I59" s="44" t="str">
        <f>VLOOKUP(H59,Key!$A$2:$B$13,2,FALSE)</f>
        <v>Large Bus</v>
      </c>
      <c r="J59" s="38" t="s">
        <v>117</v>
      </c>
      <c r="K59" s="38">
        <v>3</v>
      </c>
      <c r="L59" s="46" t="str">
        <f>VLOOKUP(K59,Key!$A$24:$B$29,2,FALSE)</f>
        <v>40-49</v>
      </c>
      <c r="M59" s="45" t="s">
        <v>160</v>
      </c>
      <c r="N59" s="33" t="s">
        <v>160</v>
      </c>
      <c r="O59" s="19" t="s">
        <v>161</v>
      </c>
      <c r="P59" s="40">
        <v>2</v>
      </c>
      <c r="Q59" s="35" t="str">
        <f>VLOOKUP(P59,Key!$E$2:$F$9,2,FALSE)</f>
        <v>Work</v>
      </c>
      <c r="R59" s="38" t="s">
        <v>182</v>
      </c>
      <c r="S59" s="33" t="s">
        <v>182</v>
      </c>
      <c r="T59" s="38" t="s">
        <v>161</v>
      </c>
      <c r="U59" s="33">
        <v>2</v>
      </c>
      <c r="V59" s="35" t="str">
        <f>VLOOKUP(U59,Key!$E$2:$F$9,2,FALSE)</f>
        <v>Work</v>
      </c>
      <c r="W59" s="35" t="str">
        <f>Q59&amp;"-"&amp;V59</f>
        <v>Work-Work</v>
      </c>
      <c r="X59" s="48">
        <v>200000</v>
      </c>
      <c r="Y59" s="39">
        <v>380</v>
      </c>
      <c r="Z59" s="39">
        <v>6</v>
      </c>
      <c r="AA59" s="33">
        <v>10</v>
      </c>
      <c r="AB59" s="35" t="str">
        <f>VLOOKUP(AA59,Key!$C$20:$D$29,2,FALSE)</f>
        <v>Other</v>
      </c>
      <c r="AC59" s="33">
        <v>2</v>
      </c>
      <c r="AD59" s="35" t="str">
        <f>VLOOKUP(AC59,Key!$E$20:$F$24,2,FALSE)</f>
        <v>300,000-500,000</v>
      </c>
      <c r="AE59" s="33">
        <v>5</v>
      </c>
      <c r="AF59" s="39">
        <v>5</v>
      </c>
      <c r="AG59" s="39">
        <v>5</v>
      </c>
      <c r="AH59" s="39">
        <v>5</v>
      </c>
      <c r="AI59" s="39">
        <v>5</v>
      </c>
      <c r="AJ59" s="40" t="s">
        <v>100</v>
      </c>
      <c r="AK59" s="41">
        <v>1000</v>
      </c>
      <c r="AL59" s="25"/>
      <c r="AM59" s="25"/>
    </row>
    <row r="60" spans="2:39" x14ac:dyDescent="0.2">
      <c r="B60" s="52">
        <v>43695</v>
      </c>
      <c r="C60" s="36">
        <v>0.46527777777777773</v>
      </c>
      <c r="D60" s="36" t="s">
        <v>192</v>
      </c>
      <c r="E60" s="36" t="s">
        <v>105</v>
      </c>
      <c r="F60" s="38">
        <v>2</v>
      </c>
      <c r="G60" s="43" t="str">
        <f>VLOOKUP(F60,Key!$A$17:$B$21,2,FALSE)</f>
        <v>Road Vehicle</v>
      </c>
      <c r="H60" s="37">
        <v>6</v>
      </c>
      <c r="I60" s="44" t="str">
        <f>VLOOKUP(H60,Key!$A$2:$B$13,2,FALSE)</f>
        <v>Large Bus</v>
      </c>
      <c r="J60" s="38" t="s">
        <v>117</v>
      </c>
      <c r="K60" s="38">
        <v>3</v>
      </c>
      <c r="L60" s="46" t="str">
        <f>VLOOKUP(K60,Key!$A$24:$B$29,2,FALSE)</f>
        <v>40-49</v>
      </c>
      <c r="M60" s="38" t="s">
        <v>160</v>
      </c>
      <c r="N60" s="33" t="s">
        <v>160</v>
      </c>
      <c r="O60" s="19" t="s">
        <v>161</v>
      </c>
      <c r="P60" s="40">
        <v>2</v>
      </c>
      <c r="Q60" s="35" t="str">
        <f>VLOOKUP(P60,Key!$E$2:$F$9,2,FALSE)</f>
        <v>Work</v>
      </c>
      <c r="R60" s="38" t="s">
        <v>193</v>
      </c>
      <c r="S60" s="33" t="s">
        <v>193</v>
      </c>
      <c r="T60" s="38" t="s">
        <v>161</v>
      </c>
      <c r="U60" s="33">
        <v>2</v>
      </c>
      <c r="V60" s="35" t="str">
        <f>VLOOKUP(U60,Key!$E$2:$F$9,2,FALSE)</f>
        <v>Work</v>
      </c>
      <c r="W60" s="35" t="str">
        <f>Q60&amp;"-"&amp;V60</f>
        <v>Work-Work</v>
      </c>
      <c r="X60" s="48">
        <v>150000</v>
      </c>
      <c r="Y60" s="39">
        <v>150</v>
      </c>
      <c r="Z60" s="39">
        <v>4</v>
      </c>
      <c r="AA60" s="33">
        <v>5</v>
      </c>
      <c r="AB60" s="35" t="str">
        <f>VLOOKUP(AA60,Key!$C$20:$D$29,2,FALSE)</f>
        <v>Professional</v>
      </c>
      <c r="AC60" s="33">
        <v>2</v>
      </c>
      <c r="AD60" s="35" t="str">
        <f>VLOOKUP(AC60,Key!$E$20:$F$24,2,FALSE)</f>
        <v>300,000-500,000</v>
      </c>
      <c r="AE60" s="33">
        <v>5</v>
      </c>
      <c r="AF60" s="39">
        <v>5</v>
      </c>
      <c r="AG60" s="39">
        <v>5</v>
      </c>
      <c r="AH60" s="39">
        <v>5</v>
      </c>
      <c r="AI60" s="39">
        <v>5</v>
      </c>
      <c r="AJ60" s="40" t="s">
        <v>100</v>
      </c>
      <c r="AK60" s="41">
        <v>1000</v>
      </c>
      <c r="AL60" s="25"/>
      <c r="AM60" s="25"/>
    </row>
    <row r="61" spans="2:39" x14ac:dyDescent="0.2">
      <c r="B61" s="52">
        <v>43695</v>
      </c>
      <c r="C61" s="36">
        <v>0.45833333333333331</v>
      </c>
      <c r="D61" s="36" t="s">
        <v>194</v>
      </c>
      <c r="E61" s="36" t="s">
        <v>105</v>
      </c>
      <c r="F61" s="38">
        <v>2</v>
      </c>
      <c r="G61" s="43" t="str">
        <f>VLOOKUP(F61,Key!$A$17:$B$21,2,FALSE)</f>
        <v>Road Vehicle</v>
      </c>
      <c r="H61" s="37">
        <v>6</v>
      </c>
      <c r="I61" s="44" t="str">
        <f>VLOOKUP(H61,Key!$A$2:$B$13,2,FALSE)</f>
        <v>Large Bus</v>
      </c>
      <c r="J61" s="38" t="s">
        <v>117</v>
      </c>
      <c r="K61" s="38">
        <v>3</v>
      </c>
      <c r="L61" s="46" t="str">
        <f>VLOOKUP(K61,Key!$A$24:$B$29,2,FALSE)</f>
        <v>40-49</v>
      </c>
      <c r="M61" s="38" t="s">
        <v>160</v>
      </c>
      <c r="N61" s="33" t="s">
        <v>160</v>
      </c>
      <c r="O61" s="19" t="s">
        <v>161</v>
      </c>
      <c r="P61" s="40">
        <v>2</v>
      </c>
      <c r="Q61" s="35" t="str">
        <f>VLOOKUP(P61,Key!$E$2:$F$9,2,FALSE)</f>
        <v>Work</v>
      </c>
      <c r="R61" s="38" t="s">
        <v>195</v>
      </c>
      <c r="S61" s="33" t="s">
        <v>195</v>
      </c>
      <c r="T61" s="38" t="s">
        <v>161</v>
      </c>
      <c r="U61" s="33">
        <v>2</v>
      </c>
      <c r="V61" s="35" t="str">
        <f>VLOOKUP(U61,Key!$E$2:$F$9,2,FALSE)</f>
        <v>Work</v>
      </c>
      <c r="W61" s="35" t="str">
        <f>Q61&amp;"-"&amp;V61</f>
        <v>Work-Work</v>
      </c>
      <c r="X61" s="33">
        <v>200000</v>
      </c>
      <c r="Y61" s="39">
        <v>300</v>
      </c>
      <c r="Z61" s="39">
        <v>8</v>
      </c>
      <c r="AA61" s="33">
        <v>5</v>
      </c>
      <c r="AB61" s="35" t="str">
        <f>VLOOKUP(AA61,Key!$C$20:$D$29,2,FALSE)</f>
        <v>Professional</v>
      </c>
      <c r="AC61" s="33">
        <v>2</v>
      </c>
      <c r="AD61" s="35" t="str">
        <f>VLOOKUP(AC61,Key!$E$20:$F$24,2,FALSE)</f>
        <v>300,000-500,000</v>
      </c>
      <c r="AE61" s="33">
        <v>5</v>
      </c>
      <c r="AF61" s="39">
        <v>5</v>
      </c>
      <c r="AG61" s="39">
        <v>5</v>
      </c>
      <c r="AH61" s="39">
        <v>5</v>
      </c>
      <c r="AI61" s="39">
        <v>5</v>
      </c>
      <c r="AJ61" s="40" t="s">
        <v>100</v>
      </c>
      <c r="AK61" s="41">
        <v>1000</v>
      </c>
      <c r="AL61" s="25"/>
      <c r="AM61" s="25"/>
    </row>
    <row r="62" spans="2:39" x14ac:dyDescent="0.2">
      <c r="B62" s="52">
        <v>43695</v>
      </c>
      <c r="C62" s="36">
        <v>0.47222222222222227</v>
      </c>
      <c r="D62" s="36" t="s">
        <v>196</v>
      </c>
      <c r="E62" s="36" t="s">
        <v>105</v>
      </c>
      <c r="F62" s="38">
        <v>2</v>
      </c>
      <c r="G62" s="43" t="str">
        <f>VLOOKUP(F62,Key!$A$17:$B$21,2,FALSE)</f>
        <v>Road Vehicle</v>
      </c>
      <c r="H62" s="37">
        <v>6</v>
      </c>
      <c r="I62" s="44" t="str">
        <f>VLOOKUP(H62,Key!$A$2:$B$13,2,FALSE)</f>
        <v>Large Bus</v>
      </c>
      <c r="J62" s="38" t="s">
        <v>117</v>
      </c>
      <c r="K62" s="38">
        <v>3</v>
      </c>
      <c r="L62" s="46" t="str">
        <f>VLOOKUP(K62,Key!$A$24:$B$29,2,FALSE)</f>
        <v>40-49</v>
      </c>
      <c r="M62" s="38" t="s">
        <v>197</v>
      </c>
      <c r="N62" s="33" t="s">
        <v>197</v>
      </c>
      <c r="O62" s="19" t="s">
        <v>161</v>
      </c>
      <c r="P62" s="40">
        <v>2</v>
      </c>
      <c r="Q62" s="35" t="str">
        <f>VLOOKUP(P62,Key!$E$2:$F$9,2,FALSE)</f>
        <v>Work</v>
      </c>
      <c r="R62" s="38" t="s">
        <v>198</v>
      </c>
      <c r="S62" s="33" t="s">
        <v>198</v>
      </c>
      <c r="T62" s="38" t="s">
        <v>161</v>
      </c>
      <c r="U62" s="33">
        <v>2</v>
      </c>
      <c r="V62" s="35" t="str">
        <f>VLOOKUP(U62,Key!$E$2:$F$9,2,FALSE)</f>
        <v>Work</v>
      </c>
      <c r="W62" s="35" t="str">
        <f>Q62&amp;"-"&amp;V62</f>
        <v>Work-Work</v>
      </c>
      <c r="X62" s="33"/>
      <c r="Y62" s="39"/>
      <c r="Z62" s="39"/>
      <c r="AA62" s="33">
        <v>10</v>
      </c>
      <c r="AB62" s="35" t="str">
        <f>VLOOKUP(AA62,Key!$C$20:$D$29,2,FALSE)</f>
        <v>Other</v>
      </c>
      <c r="AC62" s="33">
        <v>2</v>
      </c>
      <c r="AD62" s="35" t="str">
        <f>VLOOKUP(AC62,Key!$E$20:$F$24,2,FALSE)</f>
        <v>300,000-500,000</v>
      </c>
      <c r="AE62" s="33">
        <v>5</v>
      </c>
      <c r="AF62" s="39">
        <v>5</v>
      </c>
      <c r="AG62" s="39">
        <v>5</v>
      </c>
      <c r="AH62" s="39">
        <v>5</v>
      </c>
      <c r="AI62" s="39">
        <v>5</v>
      </c>
      <c r="AJ62" s="40" t="s">
        <v>100</v>
      </c>
      <c r="AK62" s="41"/>
      <c r="AL62" s="25"/>
      <c r="AM62" s="25"/>
    </row>
    <row r="63" spans="2:39" x14ac:dyDescent="0.2">
      <c r="B63" s="52">
        <v>43695</v>
      </c>
      <c r="C63" s="36">
        <v>0.44791666666666669</v>
      </c>
      <c r="D63" s="36" t="s">
        <v>199</v>
      </c>
      <c r="E63" s="36" t="s">
        <v>105</v>
      </c>
      <c r="F63" s="38">
        <v>2</v>
      </c>
      <c r="G63" s="43" t="str">
        <f>VLOOKUP(F63,Key!$A$17:$B$21,2,FALSE)</f>
        <v>Road Vehicle</v>
      </c>
      <c r="H63" s="37">
        <v>6</v>
      </c>
      <c r="I63" s="44" t="str">
        <f>VLOOKUP(H63,Key!$A$2:$B$13,2,FALSE)</f>
        <v>Large Bus</v>
      </c>
      <c r="J63" s="38" t="s">
        <v>117</v>
      </c>
      <c r="K63" s="38">
        <v>3</v>
      </c>
      <c r="L63" s="46" t="str">
        <f>VLOOKUP(K63,Key!$A$24:$B$29,2,FALSE)</f>
        <v>40-49</v>
      </c>
      <c r="M63" s="38" t="s">
        <v>182</v>
      </c>
      <c r="N63" s="33" t="s">
        <v>182</v>
      </c>
      <c r="O63" s="19" t="s">
        <v>161</v>
      </c>
      <c r="P63" s="40">
        <v>2</v>
      </c>
      <c r="Q63" s="35" t="str">
        <f>VLOOKUP(P63,Key!$E$2:$F$9,2,FALSE)</f>
        <v>Work</v>
      </c>
      <c r="R63" s="38" t="s">
        <v>195</v>
      </c>
      <c r="S63" s="33" t="s">
        <v>195</v>
      </c>
      <c r="T63" s="38" t="s">
        <v>161</v>
      </c>
      <c r="U63" s="33">
        <v>2</v>
      </c>
      <c r="V63" s="35" t="str">
        <f>VLOOKUP(U63,Key!$E$2:$F$9,2,FALSE)</f>
        <v>Work</v>
      </c>
      <c r="W63" s="35" t="str">
        <f>Q63&amp;"-"&amp;V63</f>
        <v>Work-Work</v>
      </c>
      <c r="X63" s="33">
        <v>250000</v>
      </c>
      <c r="Y63" s="39">
        <v>650</v>
      </c>
      <c r="Z63" s="39">
        <v>12.5</v>
      </c>
      <c r="AA63" s="33">
        <v>5</v>
      </c>
      <c r="AB63" s="35" t="str">
        <f>VLOOKUP(AA63,Key!$C$20:$D$29,2,FALSE)</f>
        <v>Professional</v>
      </c>
      <c r="AC63" s="33">
        <v>3</v>
      </c>
      <c r="AD63" s="35" t="str">
        <f>VLOOKUP(AC63,Key!$E$20:$F$24,2,FALSE)</f>
        <v>500,000-750,000</v>
      </c>
      <c r="AE63" s="33">
        <v>5</v>
      </c>
      <c r="AF63" s="39">
        <v>5</v>
      </c>
      <c r="AG63" s="39">
        <v>5</v>
      </c>
      <c r="AH63" s="39">
        <v>5</v>
      </c>
      <c r="AI63" s="39">
        <v>5</v>
      </c>
      <c r="AJ63" s="40" t="s">
        <v>100</v>
      </c>
      <c r="AK63" s="41">
        <v>1000</v>
      </c>
      <c r="AL63" s="25"/>
      <c r="AM63" s="25"/>
    </row>
    <row r="64" spans="2:39" x14ac:dyDescent="0.2">
      <c r="B64" s="52">
        <v>43695</v>
      </c>
      <c r="C64" s="36">
        <v>0.4548611111111111</v>
      </c>
      <c r="D64" s="36" t="s">
        <v>200</v>
      </c>
      <c r="E64" s="36" t="s">
        <v>105</v>
      </c>
      <c r="F64" s="38">
        <v>2</v>
      </c>
      <c r="G64" s="43" t="str">
        <f>VLOOKUP(F64,Key!$A$17:$B$21,2,FALSE)</f>
        <v>Road Vehicle</v>
      </c>
      <c r="H64" s="37">
        <v>6</v>
      </c>
      <c r="I64" s="44" t="str">
        <f>VLOOKUP(H64,Key!$A$2:$B$13,2,FALSE)</f>
        <v>Large Bus</v>
      </c>
      <c r="J64" s="38" t="s">
        <v>117</v>
      </c>
      <c r="K64" s="38">
        <v>3</v>
      </c>
      <c r="L64" s="46" t="str">
        <f>VLOOKUP(K64,Key!$A$24:$B$29,2,FALSE)</f>
        <v>40-49</v>
      </c>
      <c r="M64" s="38" t="s">
        <v>182</v>
      </c>
      <c r="N64" s="33" t="s">
        <v>182</v>
      </c>
      <c r="O64" s="19" t="s">
        <v>161</v>
      </c>
      <c r="P64" s="40">
        <v>2</v>
      </c>
      <c r="Q64" s="35" t="str">
        <f>VLOOKUP(P64,Key!$E$2:$F$9,2,FALSE)</f>
        <v>Work</v>
      </c>
      <c r="R64" s="38" t="s">
        <v>162</v>
      </c>
      <c r="S64" s="33" t="s">
        <v>162</v>
      </c>
      <c r="T64" s="38" t="s">
        <v>161</v>
      </c>
      <c r="U64" s="33">
        <v>2</v>
      </c>
      <c r="V64" s="35" t="str">
        <f>VLOOKUP(U64,Key!$E$2:$F$9,2,FALSE)</f>
        <v>Work</v>
      </c>
      <c r="W64" s="35" t="str">
        <f>Q64&amp;"-"&amp;V64</f>
        <v>Work-Work</v>
      </c>
      <c r="X64" s="33">
        <v>200000</v>
      </c>
      <c r="Y64" s="39">
        <v>420</v>
      </c>
      <c r="Z64" s="39">
        <v>7</v>
      </c>
      <c r="AA64" s="33">
        <v>10</v>
      </c>
      <c r="AB64" s="35" t="str">
        <f>VLOOKUP(AA64,Key!$C$20:$D$29,2,FALSE)</f>
        <v>Other</v>
      </c>
      <c r="AC64" s="33">
        <v>2</v>
      </c>
      <c r="AD64" s="35" t="str">
        <f>VLOOKUP(AC64,Key!$E$20:$F$24,2,FALSE)</f>
        <v>300,000-500,000</v>
      </c>
      <c r="AE64" s="33">
        <v>5</v>
      </c>
      <c r="AF64" s="39">
        <v>5</v>
      </c>
      <c r="AG64" s="39">
        <v>5</v>
      </c>
      <c r="AH64" s="39">
        <v>5</v>
      </c>
      <c r="AI64" s="39">
        <v>5</v>
      </c>
      <c r="AJ64" s="40" t="s">
        <v>100</v>
      </c>
      <c r="AK64" s="41"/>
      <c r="AL64" s="25"/>
      <c r="AM64" s="25"/>
    </row>
    <row r="65" spans="2:39" x14ac:dyDescent="0.2">
      <c r="B65" s="52">
        <v>43695</v>
      </c>
      <c r="C65" s="36">
        <v>0.42222222222222222</v>
      </c>
      <c r="D65" s="36" t="s">
        <v>202</v>
      </c>
      <c r="E65" s="36" t="s">
        <v>105</v>
      </c>
      <c r="F65" s="38">
        <v>2</v>
      </c>
      <c r="G65" s="43" t="str">
        <f>VLOOKUP(F65,Key!$A$17:$B$21,2,FALSE)</f>
        <v>Road Vehicle</v>
      </c>
      <c r="H65" s="37">
        <v>6</v>
      </c>
      <c r="I65" s="44" t="str">
        <f>VLOOKUP(H65,Key!$A$2:$B$13,2,FALSE)</f>
        <v>Large Bus</v>
      </c>
      <c r="J65" s="38" t="s">
        <v>117</v>
      </c>
      <c r="K65" s="38">
        <v>3</v>
      </c>
      <c r="L65" s="46" t="str">
        <f>VLOOKUP(K65,Key!$A$24:$B$29,2,FALSE)</f>
        <v>40-49</v>
      </c>
      <c r="M65" s="38" t="s">
        <v>193</v>
      </c>
      <c r="N65" s="33" t="s">
        <v>193</v>
      </c>
      <c r="O65" s="19" t="s">
        <v>161</v>
      </c>
      <c r="P65" s="40">
        <v>2</v>
      </c>
      <c r="Q65" s="35" t="str">
        <f>VLOOKUP(P65,Key!$E$2:$F$9,2,FALSE)</f>
        <v>Work</v>
      </c>
      <c r="R65" s="38" t="s">
        <v>198</v>
      </c>
      <c r="S65" s="33" t="s">
        <v>198</v>
      </c>
      <c r="T65" s="38" t="s">
        <v>161</v>
      </c>
      <c r="U65" s="33">
        <v>2</v>
      </c>
      <c r="V65" s="35" t="str">
        <f>VLOOKUP(U65,Key!$E$2:$F$9,2,FALSE)</f>
        <v>Work</v>
      </c>
      <c r="W65" s="35" t="str">
        <f>Q65&amp;"-"&amp;V65</f>
        <v>Work-Work</v>
      </c>
      <c r="X65" s="33">
        <v>200000</v>
      </c>
      <c r="Y65" s="39">
        <v>320</v>
      </c>
      <c r="Z65" s="39">
        <v>4.5</v>
      </c>
      <c r="AA65" s="33">
        <v>10</v>
      </c>
      <c r="AB65" s="35" t="str">
        <f>VLOOKUP(AA65,Key!$C$20:$D$29,2,FALSE)</f>
        <v>Other</v>
      </c>
      <c r="AC65" s="33">
        <v>2</v>
      </c>
      <c r="AD65" s="35" t="str">
        <f>VLOOKUP(AC65,Key!$E$20:$F$24,2,FALSE)</f>
        <v>300,000-500,000</v>
      </c>
      <c r="AE65" s="33">
        <v>5</v>
      </c>
      <c r="AF65" s="39">
        <v>5</v>
      </c>
      <c r="AG65" s="39">
        <v>5</v>
      </c>
      <c r="AH65" s="39">
        <v>5</v>
      </c>
      <c r="AI65" s="39">
        <v>5</v>
      </c>
      <c r="AJ65" s="40" t="s">
        <v>100</v>
      </c>
      <c r="AK65" s="41">
        <v>1000</v>
      </c>
      <c r="AL65" s="25"/>
      <c r="AM65" s="25"/>
    </row>
    <row r="66" spans="2:39" x14ac:dyDescent="0.2">
      <c r="B66" s="52">
        <v>43695</v>
      </c>
      <c r="C66" s="36">
        <v>0.4375</v>
      </c>
      <c r="D66" s="36" t="s">
        <v>203</v>
      </c>
      <c r="E66" s="36" t="s">
        <v>105</v>
      </c>
      <c r="F66" s="38">
        <v>2</v>
      </c>
      <c r="G66" s="43" t="str">
        <f>VLOOKUP(F66,Key!$A$17:$B$21,2,FALSE)</f>
        <v>Road Vehicle</v>
      </c>
      <c r="H66" s="37">
        <v>6</v>
      </c>
      <c r="I66" s="44" t="str">
        <f>VLOOKUP(H66,Key!$A$2:$B$13,2,FALSE)</f>
        <v>Large Bus</v>
      </c>
      <c r="J66" s="38" t="s">
        <v>117</v>
      </c>
      <c r="K66" s="38">
        <v>3</v>
      </c>
      <c r="L66" s="46" t="str">
        <f>VLOOKUP(K66,Key!$A$24:$B$29,2,FALSE)</f>
        <v>40-49</v>
      </c>
      <c r="M66" s="38" t="s">
        <v>182</v>
      </c>
      <c r="N66" s="33" t="s">
        <v>182</v>
      </c>
      <c r="O66" s="19" t="s">
        <v>161</v>
      </c>
      <c r="P66" s="40">
        <v>2</v>
      </c>
      <c r="Q66" s="35" t="str">
        <f>VLOOKUP(P66,Key!$E$2:$F$9,2,FALSE)</f>
        <v>Work</v>
      </c>
      <c r="R66" s="38" t="s">
        <v>162</v>
      </c>
      <c r="S66" s="33" t="s">
        <v>162</v>
      </c>
      <c r="T66" s="38" t="s">
        <v>161</v>
      </c>
      <c r="U66" s="33">
        <v>2</v>
      </c>
      <c r="V66" s="35" t="str">
        <f>VLOOKUP(U66,Key!$E$2:$F$9,2,FALSE)</f>
        <v>Work</v>
      </c>
      <c r="W66" s="35" t="str">
        <f>Q66&amp;"-"&amp;V66</f>
        <v>Work-Work</v>
      </c>
      <c r="X66" s="33">
        <v>250000</v>
      </c>
      <c r="Y66" s="39">
        <v>410</v>
      </c>
      <c r="Z66" s="39">
        <v>7</v>
      </c>
      <c r="AA66" s="33">
        <v>10</v>
      </c>
      <c r="AB66" s="35" t="str">
        <f>VLOOKUP(AA66,Key!$C$20:$D$29,2,FALSE)</f>
        <v>Other</v>
      </c>
      <c r="AC66" s="33">
        <v>2</v>
      </c>
      <c r="AD66" s="35" t="str">
        <f>VLOOKUP(AC66,Key!$E$20:$F$24,2,FALSE)</f>
        <v>300,000-500,000</v>
      </c>
      <c r="AE66" s="33">
        <v>5</v>
      </c>
      <c r="AF66" s="39">
        <v>5</v>
      </c>
      <c r="AG66" s="39">
        <v>5</v>
      </c>
      <c r="AH66" s="39">
        <v>5</v>
      </c>
      <c r="AI66" s="39">
        <v>5</v>
      </c>
      <c r="AJ66" s="40" t="s">
        <v>100</v>
      </c>
      <c r="AK66" s="41"/>
      <c r="AL66" s="25"/>
      <c r="AM66" s="25"/>
    </row>
    <row r="67" spans="2:39" x14ac:dyDescent="0.2">
      <c r="B67" s="52">
        <v>43695</v>
      </c>
      <c r="C67" s="36">
        <v>0.34027777777777773</v>
      </c>
      <c r="D67" s="36"/>
      <c r="E67" s="36" t="s">
        <v>159</v>
      </c>
      <c r="F67" s="38">
        <v>2</v>
      </c>
      <c r="G67" s="43" t="str">
        <f>VLOOKUP(F67,Key!$A$17:$B$21,2,FALSE)</f>
        <v>Road Vehicle</v>
      </c>
      <c r="H67" s="37">
        <v>6</v>
      </c>
      <c r="I67" s="44" t="str">
        <f>VLOOKUP(H67,Key!$A$2:$B$13,2,FALSE)</f>
        <v>Large Bus</v>
      </c>
      <c r="J67" s="38" t="s">
        <v>117</v>
      </c>
      <c r="K67" s="38">
        <v>3</v>
      </c>
      <c r="L67" s="46" t="str">
        <f>VLOOKUP(K67,Key!$A$24:$B$29,2,FALSE)</f>
        <v>40-49</v>
      </c>
      <c r="M67" s="38" t="s">
        <v>193</v>
      </c>
      <c r="N67" s="33" t="s">
        <v>193</v>
      </c>
      <c r="O67" s="19" t="s">
        <v>161</v>
      </c>
      <c r="P67" s="40">
        <v>1</v>
      </c>
      <c r="Q67" s="35" t="str">
        <f>VLOOKUP(P67,Key!$E$2:$F$9,2,FALSE)</f>
        <v>Home</v>
      </c>
      <c r="R67" s="38" t="s">
        <v>193</v>
      </c>
      <c r="S67" s="33" t="s">
        <v>193</v>
      </c>
      <c r="T67" s="38" t="s">
        <v>161</v>
      </c>
      <c r="U67" s="33">
        <v>2</v>
      </c>
      <c r="V67" s="35" t="str">
        <f>VLOOKUP(U67,Key!$E$2:$F$9,2,FALSE)</f>
        <v>Work</v>
      </c>
      <c r="W67" s="35" t="str">
        <f>Q67&amp;"-"&amp;V67</f>
        <v>Home-Work</v>
      </c>
      <c r="X67" s="33">
        <v>30000</v>
      </c>
      <c r="Y67" s="39">
        <v>300</v>
      </c>
      <c r="Z67" s="39">
        <v>6</v>
      </c>
      <c r="AA67" s="33">
        <v>6</v>
      </c>
      <c r="AB67" s="35" t="str">
        <f>VLOOKUP(AA67,Key!$C$20:$D$29,2,FALSE)</f>
        <v>Businessman</v>
      </c>
      <c r="AC67" s="33">
        <v>1</v>
      </c>
      <c r="AD67" s="35" t="str">
        <f>VLOOKUP(AC67,Key!$E$20:$F$24,2,FALSE)</f>
        <v>&lt;300,000</v>
      </c>
      <c r="AE67" s="33">
        <v>5</v>
      </c>
      <c r="AF67" s="39">
        <v>1</v>
      </c>
      <c r="AG67" s="39">
        <v>2</v>
      </c>
      <c r="AH67" s="39">
        <v>3</v>
      </c>
      <c r="AI67" s="39">
        <v>2</v>
      </c>
      <c r="AJ67" s="40" t="s">
        <v>100</v>
      </c>
      <c r="AK67" s="41"/>
      <c r="AL67" s="25"/>
      <c r="AM67" s="25"/>
    </row>
    <row r="68" spans="2:39" x14ac:dyDescent="0.2">
      <c r="B68" s="52">
        <v>43696</v>
      </c>
      <c r="C68" s="36">
        <v>0.4236111111111111</v>
      </c>
      <c r="D68" s="36" t="s">
        <v>228</v>
      </c>
      <c r="E68" s="36" t="s">
        <v>105</v>
      </c>
      <c r="F68" s="38">
        <v>2</v>
      </c>
      <c r="G68" s="43" t="str">
        <f>VLOOKUP(F68,Key!$A$17:$B$21,2,FALSE)</f>
        <v>Road Vehicle</v>
      </c>
      <c r="H68" s="37">
        <v>6</v>
      </c>
      <c r="I68" s="44" t="str">
        <f>VLOOKUP(H68,Key!$A$2:$B$13,2,FALSE)</f>
        <v>Large Bus</v>
      </c>
      <c r="J68" s="38" t="s">
        <v>117</v>
      </c>
      <c r="K68" s="38">
        <v>3</v>
      </c>
      <c r="L68" s="46" t="str">
        <f>VLOOKUP(K68,Key!$A$24:$B$29,2,FALSE)</f>
        <v>40-49</v>
      </c>
      <c r="M68" s="38" t="s">
        <v>229</v>
      </c>
      <c r="N68" s="33" t="s">
        <v>229</v>
      </c>
      <c r="O68" s="19" t="s">
        <v>161</v>
      </c>
      <c r="P68" s="40">
        <v>2</v>
      </c>
      <c r="Q68" s="35" t="str">
        <f>VLOOKUP(P68,Key!$E$2:$F$9,2,FALSE)</f>
        <v>Work</v>
      </c>
      <c r="R68" s="38" t="s">
        <v>170</v>
      </c>
      <c r="S68" s="33" t="s">
        <v>170</v>
      </c>
      <c r="T68" s="38" t="s">
        <v>161</v>
      </c>
      <c r="U68" s="33">
        <v>2</v>
      </c>
      <c r="V68" s="35" t="str">
        <f>VLOOKUP(U68,Key!$E$2:$F$9,2,FALSE)</f>
        <v>Work</v>
      </c>
      <c r="W68" s="35" t="str">
        <f>Q68&amp;"-"&amp;V68</f>
        <v>Work-Work</v>
      </c>
      <c r="X68" s="33">
        <v>100000</v>
      </c>
      <c r="Y68" s="39">
        <v>130</v>
      </c>
      <c r="Z68" s="39">
        <v>4</v>
      </c>
      <c r="AA68" s="33">
        <v>10</v>
      </c>
      <c r="AB68" s="35" t="str">
        <f>VLOOKUP(AA68,Key!$C$20:$D$29,2,FALSE)</f>
        <v>Other</v>
      </c>
      <c r="AC68" s="33">
        <v>2</v>
      </c>
      <c r="AD68" s="35" t="str">
        <f>VLOOKUP(AC68,Key!$E$20:$F$24,2,FALSE)</f>
        <v>300,000-500,000</v>
      </c>
      <c r="AE68" s="33">
        <v>5</v>
      </c>
      <c r="AF68" s="39">
        <v>5</v>
      </c>
      <c r="AG68" s="39">
        <v>5</v>
      </c>
      <c r="AH68" s="39">
        <v>5</v>
      </c>
      <c r="AI68" s="39">
        <v>5</v>
      </c>
      <c r="AJ68" s="40" t="s">
        <v>100</v>
      </c>
      <c r="AK68" s="41">
        <v>1000</v>
      </c>
      <c r="AL68" s="25"/>
      <c r="AM68" s="25"/>
    </row>
    <row r="69" spans="2:39" x14ac:dyDescent="0.2">
      <c r="B69" s="52">
        <v>43696</v>
      </c>
      <c r="C69" s="36">
        <v>0.3611111111111111</v>
      </c>
      <c r="D69" s="36" t="s">
        <v>230</v>
      </c>
      <c r="E69" s="36" t="s">
        <v>105</v>
      </c>
      <c r="F69" s="38">
        <v>2</v>
      </c>
      <c r="G69" s="43" t="str">
        <f>VLOOKUP(F69,Key!$A$17:$B$21,2,FALSE)</f>
        <v>Road Vehicle</v>
      </c>
      <c r="H69" s="37">
        <v>6</v>
      </c>
      <c r="I69" s="44" t="str">
        <f>VLOOKUP(H69,Key!$A$2:$B$13,2,FALSE)</f>
        <v>Large Bus</v>
      </c>
      <c r="J69" s="38" t="s">
        <v>117</v>
      </c>
      <c r="K69" s="38">
        <v>3</v>
      </c>
      <c r="L69" s="46" t="str">
        <f>VLOOKUP(K69,Key!$A$24:$B$29,2,FALSE)</f>
        <v>40-49</v>
      </c>
      <c r="M69" s="38" t="s">
        <v>160</v>
      </c>
      <c r="N69" s="33" t="s">
        <v>160</v>
      </c>
      <c r="O69" s="19" t="s">
        <v>161</v>
      </c>
      <c r="P69" s="40">
        <v>2</v>
      </c>
      <c r="Q69" s="35" t="str">
        <f>VLOOKUP(P69,Key!$E$2:$F$9,2,FALSE)</f>
        <v>Work</v>
      </c>
      <c r="R69" s="38" t="s">
        <v>182</v>
      </c>
      <c r="S69" s="33" t="s">
        <v>182</v>
      </c>
      <c r="T69" s="38" t="s">
        <v>161</v>
      </c>
      <c r="U69" s="33">
        <v>2</v>
      </c>
      <c r="V69" s="35" t="str">
        <f>VLOOKUP(U69,Key!$E$2:$F$9,2,FALSE)</f>
        <v>Work</v>
      </c>
      <c r="W69" s="35" t="str">
        <f>Q69&amp;"-"&amp;V69</f>
        <v>Work-Work</v>
      </c>
      <c r="X69" s="33">
        <v>150000</v>
      </c>
      <c r="Y69" s="39">
        <v>378</v>
      </c>
      <c r="Z69" s="39">
        <v>6</v>
      </c>
      <c r="AA69" s="33">
        <v>10</v>
      </c>
      <c r="AB69" s="35" t="str">
        <f>VLOOKUP(AA69,Key!$C$20:$D$29,2,FALSE)</f>
        <v>Other</v>
      </c>
      <c r="AC69" s="33">
        <v>2</v>
      </c>
      <c r="AD69" s="35" t="str">
        <f>VLOOKUP(AC69,Key!$E$20:$F$24,2,FALSE)</f>
        <v>300,000-500,000</v>
      </c>
      <c r="AE69" s="33">
        <v>5</v>
      </c>
      <c r="AF69" s="39">
        <v>5</v>
      </c>
      <c r="AG69" s="39">
        <v>5</v>
      </c>
      <c r="AH69" s="39">
        <v>5</v>
      </c>
      <c r="AI69" s="39">
        <v>5</v>
      </c>
      <c r="AJ69" s="40" t="s">
        <v>100</v>
      </c>
      <c r="AK69" s="41">
        <v>1000</v>
      </c>
      <c r="AL69" s="25"/>
      <c r="AM69" s="25"/>
    </row>
    <row r="70" spans="2:39" x14ac:dyDescent="0.2">
      <c r="B70" s="52">
        <v>43696</v>
      </c>
      <c r="C70" s="36">
        <v>0.34652777777777777</v>
      </c>
      <c r="D70" s="36" t="s">
        <v>181</v>
      </c>
      <c r="E70" s="36" t="s">
        <v>105</v>
      </c>
      <c r="F70" s="38">
        <v>2</v>
      </c>
      <c r="G70" s="43" t="str">
        <f>VLOOKUP(F70,Key!$A$17:$B$21,2,FALSE)</f>
        <v>Road Vehicle</v>
      </c>
      <c r="H70" s="37">
        <v>6</v>
      </c>
      <c r="I70" s="44" t="str">
        <f>VLOOKUP(H70,Key!$A$2:$B$13,2,FALSE)</f>
        <v>Large Bus</v>
      </c>
      <c r="J70" s="38" t="s">
        <v>117</v>
      </c>
      <c r="K70" s="38">
        <v>3</v>
      </c>
      <c r="L70" s="46" t="str">
        <f>VLOOKUP(K70,Key!$A$24:$B$29,2,FALSE)</f>
        <v>40-49</v>
      </c>
      <c r="M70" s="38" t="s">
        <v>160</v>
      </c>
      <c r="N70" s="33" t="s">
        <v>160</v>
      </c>
      <c r="O70" s="19" t="s">
        <v>161</v>
      </c>
      <c r="P70" s="40">
        <v>2</v>
      </c>
      <c r="Q70" s="35" t="str">
        <f>VLOOKUP(P70,Key!$E$2:$F$9,2,FALSE)</f>
        <v>Work</v>
      </c>
      <c r="R70" s="38" t="s">
        <v>182</v>
      </c>
      <c r="S70" s="33" t="s">
        <v>182</v>
      </c>
      <c r="T70" s="38" t="s">
        <v>161</v>
      </c>
      <c r="U70" s="33">
        <v>2</v>
      </c>
      <c r="V70" s="35" t="str">
        <f>VLOOKUP(U70,Key!$E$2:$F$9,2,FALSE)</f>
        <v>Work</v>
      </c>
      <c r="W70" s="35" t="str">
        <f>Q70&amp;"-"&amp;V70</f>
        <v>Work-Work</v>
      </c>
      <c r="X70" s="33">
        <v>150000</v>
      </c>
      <c r="Y70" s="39">
        <v>385</v>
      </c>
      <c r="Z70" s="39">
        <v>6</v>
      </c>
      <c r="AA70" s="33">
        <v>10</v>
      </c>
      <c r="AB70" s="35" t="str">
        <f>VLOOKUP(AA70,Key!$C$20:$D$29,2,FALSE)</f>
        <v>Other</v>
      </c>
      <c r="AC70" s="33">
        <v>2</v>
      </c>
      <c r="AD70" s="35" t="str">
        <f>VLOOKUP(AC70,Key!$E$20:$F$24,2,FALSE)</f>
        <v>300,000-500,000</v>
      </c>
      <c r="AE70" s="33">
        <v>5</v>
      </c>
      <c r="AF70" s="39">
        <v>5</v>
      </c>
      <c r="AG70" s="39">
        <v>5</v>
      </c>
      <c r="AH70" s="39">
        <v>5</v>
      </c>
      <c r="AI70" s="39">
        <v>5</v>
      </c>
      <c r="AJ70" s="40" t="s">
        <v>100</v>
      </c>
      <c r="AK70" s="41">
        <v>1000</v>
      </c>
      <c r="AL70" s="25"/>
      <c r="AM70" s="25"/>
    </row>
    <row r="71" spans="2:39" x14ac:dyDescent="0.2">
      <c r="B71" s="52">
        <v>43696</v>
      </c>
      <c r="C71" s="36">
        <v>0.35416666666666669</v>
      </c>
      <c r="D71" s="36" t="s">
        <v>231</v>
      </c>
      <c r="E71" s="36" t="s">
        <v>105</v>
      </c>
      <c r="F71" s="38">
        <v>2</v>
      </c>
      <c r="G71" s="43" t="str">
        <f>VLOOKUP(F71,Key!$A$17:$B$21,2,FALSE)</f>
        <v>Road Vehicle</v>
      </c>
      <c r="H71" s="37">
        <v>6</v>
      </c>
      <c r="I71" s="44" t="str">
        <f>VLOOKUP(H71,Key!$A$2:$B$13,2,FALSE)</f>
        <v>Large Bus</v>
      </c>
      <c r="J71" s="38" t="s">
        <v>117</v>
      </c>
      <c r="K71" s="38">
        <v>3</v>
      </c>
      <c r="L71" s="46" t="str">
        <f>VLOOKUP(K71,Key!$A$24:$B$29,2,FALSE)</f>
        <v>40-49</v>
      </c>
      <c r="M71" s="38" t="s">
        <v>160</v>
      </c>
      <c r="N71" s="33" t="s">
        <v>160</v>
      </c>
      <c r="O71" s="19" t="s">
        <v>161</v>
      </c>
      <c r="P71" s="40">
        <v>2</v>
      </c>
      <c r="Q71" s="35" t="str">
        <f>VLOOKUP(P71,Key!$E$2:$F$9,2,FALSE)</f>
        <v>Work</v>
      </c>
      <c r="R71" s="38" t="s">
        <v>232</v>
      </c>
      <c r="S71" s="33" t="s">
        <v>227</v>
      </c>
      <c r="T71" s="38" t="s">
        <v>161</v>
      </c>
      <c r="U71" s="33">
        <v>2</v>
      </c>
      <c r="V71" s="35" t="str">
        <f>VLOOKUP(U71,Key!$E$2:$F$9,2,FALSE)</f>
        <v>Work</v>
      </c>
      <c r="W71" s="35" t="str">
        <f>Q71&amp;"-"&amp;V71</f>
        <v>Work-Work</v>
      </c>
      <c r="X71" s="33">
        <v>150000</v>
      </c>
      <c r="Y71" s="39">
        <v>200</v>
      </c>
      <c r="Z71" s="39">
        <v>5</v>
      </c>
      <c r="AA71" s="33">
        <v>10</v>
      </c>
      <c r="AB71" s="35" t="str">
        <f>VLOOKUP(AA71,Key!$C$20:$D$29,2,FALSE)</f>
        <v>Other</v>
      </c>
      <c r="AC71" s="33">
        <v>2</v>
      </c>
      <c r="AD71" s="35" t="str">
        <f>VLOOKUP(AC71,Key!$E$20:$F$24,2,FALSE)</f>
        <v>300,000-500,000</v>
      </c>
      <c r="AE71" s="33">
        <v>5</v>
      </c>
      <c r="AF71" s="39">
        <v>5</v>
      </c>
      <c r="AG71" s="39">
        <v>5</v>
      </c>
      <c r="AH71" s="39">
        <v>5</v>
      </c>
      <c r="AI71" s="39">
        <v>5</v>
      </c>
      <c r="AJ71" s="40" t="s">
        <v>100</v>
      </c>
      <c r="AK71" s="41">
        <v>1000</v>
      </c>
      <c r="AL71" s="25"/>
      <c r="AM71" s="25"/>
    </row>
    <row r="72" spans="2:39" x14ac:dyDescent="0.2">
      <c r="B72" s="52">
        <v>43696</v>
      </c>
      <c r="C72" s="36">
        <v>0.375</v>
      </c>
      <c r="D72" s="36" t="s">
        <v>233</v>
      </c>
      <c r="E72" s="36" t="s">
        <v>105</v>
      </c>
      <c r="F72" s="38">
        <v>2</v>
      </c>
      <c r="G72" s="43" t="str">
        <f>VLOOKUP(F72,Key!$A$17:$B$21,2,FALSE)</f>
        <v>Road Vehicle</v>
      </c>
      <c r="H72" s="37">
        <v>6</v>
      </c>
      <c r="I72" s="44" t="str">
        <f>VLOOKUP(H72,Key!$A$2:$B$13,2,FALSE)</f>
        <v>Large Bus</v>
      </c>
      <c r="J72" s="38" t="s">
        <v>117</v>
      </c>
      <c r="K72" s="38">
        <v>3</v>
      </c>
      <c r="L72" s="46" t="str">
        <f>VLOOKUP(K72,Key!$A$24:$B$29,2,FALSE)</f>
        <v>40-49</v>
      </c>
      <c r="M72" s="38" t="s">
        <v>193</v>
      </c>
      <c r="N72" s="33" t="s">
        <v>193</v>
      </c>
      <c r="O72" s="19" t="s">
        <v>161</v>
      </c>
      <c r="P72" s="40">
        <v>2</v>
      </c>
      <c r="Q72" s="35" t="str">
        <f>VLOOKUP(P72,Key!$E$2:$F$9,2,FALSE)</f>
        <v>Work</v>
      </c>
      <c r="R72" s="38" t="s">
        <v>198</v>
      </c>
      <c r="S72" s="33" t="s">
        <v>198</v>
      </c>
      <c r="T72" s="38" t="s">
        <v>161</v>
      </c>
      <c r="U72" s="33">
        <v>2</v>
      </c>
      <c r="V72" s="35" t="str">
        <f>VLOOKUP(U72,Key!$E$2:$F$9,2,FALSE)</f>
        <v>Work</v>
      </c>
      <c r="W72" s="35" t="str">
        <f>Q72&amp;"-"&amp;V72</f>
        <v>Work-Work</v>
      </c>
      <c r="X72" s="33">
        <v>150000</v>
      </c>
      <c r="Y72" s="39">
        <v>320</v>
      </c>
      <c r="Z72" s="39">
        <v>4.5</v>
      </c>
      <c r="AA72" s="33">
        <v>10</v>
      </c>
      <c r="AB72" s="35" t="str">
        <f>VLOOKUP(AA72,Key!$C$20:$D$29,2,FALSE)</f>
        <v>Other</v>
      </c>
      <c r="AC72" s="33">
        <v>2</v>
      </c>
      <c r="AD72" s="35" t="str">
        <f>VLOOKUP(AC72,Key!$E$20:$F$24,2,FALSE)</f>
        <v>300,000-500,000</v>
      </c>
      <c r="AE72" s="33">
        <v>5</v>
      </c>
      <c r="AF72" s="39">
        <v>2</v>
      </c>
      <c r="AG72" s="39">
        <v>4</v>
      </c>
      <c r="AH72" s="39">
        <v>5</v>
      </c>
      <c r="AI72" s="39">
        <v>3</v>
      </c>
      <c r="AJ72" s="40" t="s">
        <v>100</v>
      </c>
      <c r="AK72" s="41">
        <v>1000</v>
      </c>
      <c r="AL72" s="25"/>
      <c r="AM72" s="25"/>
    </row>
    <row r="73" spans="2:39" x14ac:dyDescent="0.2">
      <c r="B73" s="52">
        <v>43696</v>
      </c>
      <c r="C73" s="36">
        <v>0.50694444444444442</v>
      </c>
      <c r="D73" s="36" t="s">
        <v>204</v>
      </c>
      <c r="E73" s="36" t="s">
        <v>105</v>
      </c>
      <c r="F73" s="38">
        <v>2</v>
      </c>
      <c r="G73" s="43" t="str">
        <f>VLOOKUP(F73,Key!$A$17:$B$21,2,FALSE)</f>
        <v>Road Vehicle</v>
      </c>
      <c r="H73" s="37">
        <v>6</v>
      </c>
      <c r="I73" s="44" t="str">
        <f>VLOOKUP(H73,Key!$A$2:$B$13,2,FALSE)</f>
        <v>Large Bus</v>
      </c>
      <c r="J73" s="38" t="s">
        <v>117</v>
      </c>
      <c r="K73" s="38">
        <v>3</v>
      </c>
      <c r="L73" s="46" t="str">
        <f>VLOOKUP(K73,Key!$A$24:$B$29,2,FALSE)</f>
        <v>40-49</v>
      </c>
      <c r="M73" s="38" t="s">
        <v>160</v>
      </c>
      <c r="N73" s="33" t="s">
        <v>160</v>
      </c>
      <c r="O73" s="19" t="s">
        <v>161</v>
      </c>
      <c r="P73" s="40">
        <v>2</v>
      </c>
      <c r="Q73" s="35" t="str">
        <f>VLOOKUP(P73,Key!$E$2:$F$9,2,FALSE)</f>
        <v>Work</v>
      </c>
      <c r="R73" s="38" t="s">
        <v>240</v>
      </c>
      <c r="S73" s="33" t="s">
        <v>240</v>
      </c>
      <c r="T73" s="38" t="s">
        <v>161</v>
      </c>
      <c r="U73" s="33">
        <v>2</v>
      </c>
      <c r="V73" s="35" t="str">
        <f>VLOOKUP(U73,Key!$E$2:$F$9,2,FALSE)</f>
        <v>Work</v>
      </c>
      <c r="W73" s="35" t="str">
        <f>Q73&amp;"-"&amp;V73</f>
        <v>Work-Work</v>
      </c>
      <c r="X73" s="33">
        <v>100000</v>
      </c>
      <c r="Y73" s="39">
        <v>310</v>
      </c>
      <c r="Z73" s="39">
        <v>4</v>
      </c>
      <c r="AA73" s="33">
        <v>10</v>
      </c>
      <c r="AB73" s="35" t="str">
        <f>VLOOKUP(AA73,Key!$C$20:$D$29,2,FALSE)</f>
        <v>Other</v>
      </c>
      <c r="AC73" s="33">
        <v>2</v>
      </c>
      <c r="AD73" s="35" t="str">
        <f>VLOOKUP(AC73,Key!$E$20:$F$24,2,FALSE)</f>
        <v>300,000-500,000</v>
      </c>
      <c r="AE73" s="33">
        <v>5</v>
      </c>
      <c r="AF73" s="39">
        <v>4</v>
      </c>
      <c r="AG73" s="39">
        <v>3</v>
      </c>
      <c r="AH73" s="39">
        <v>3</v>
      </c>
      <c r="AI73" s="39">
        <v>2</v>
      </c>
      <c r="AJ73" s="40" t="s">
        <v>100</v>
      </c>
      <c r="AK73" s="41">
        <v>1000</v>
      </c>
      <c r="AL73" s="25"/>
      <c r="AM73" s="25"/>
    </row>
    <row r="74" spans="2:39" x14ac:dyDescent="0.2">
      <c r="B74" s="52">
        <v>43697</v>
      </c>
      <c r="C74" s="36">
        <v>0.48541666666666666</v>
      </c>
      <c r="D74" s="36" t="s">
        <v>266</v>
      </c>
      <c r="E74" s="36" t="s">
        <v>105</v>
      </c>
      <c r="F74" s="38">
        <v>2</v>
      </c>
      <c r="G74" s="43" t="str">
        <f>VLOOKUP(F74,Key!$A$17:$B$21,2,FALSE)</f>
        <v>Road Vehicle</v>
      </c>
      <c r="H74" s="37">
        <v>6</v>
      </c>
      <c r="I74" s="44" t="str">
        <f>VLOOKUP(H74,Key!$A$2:$B$13,2,FALSE)</f>
        <v>Large Bus</v>
      </c>
      <c r="J74" s="38" t="s">
        <v>117</v>
      </c>
      <c r="K74" s="38">
        <v>3</v>
      </c>
      <c r="L74" s="46" t="str">
        <f>VLOOKUP(K74,Key!$A$24:$B$29,2,FALSE)</f>
        <v>40-49</v>
      </c>
      <c r="M74" s="38" t="s">
        <v>160</v>
      </c>
      <c r="N74" s="33" t="s">
        <v>160</v>
      </c>
      <c r="O74" s="19" t="s">
        <v>161</v>
      </c>
      <c r="P74" s="40">
        <v>2</v>
      </c>
      <c r="Q74" s="35" t="str">
        <f>VLOOKUP(P74,Key!$E$2:$F$9,2,FALSE)</f>
        <v>Work</v>
      </c>
      <c r="R74" s="38" t="s">
        <v>182</v>
      </c>
      <c r="S74" s="33" t="s">
        <v>182</v>
      </c>
      <c r="T74" s="38" t="s">
        <v>161</v>
      </c>
      <c r="U74" s="33">
        <v>2</v>
      </c>
      <c r="V74" s="35" t="str">
        <f>VLOOKUP(U74,Key!$E$2:$F$9,2,FALSE)</f>
        <v>Work</v>
      </c>
      <c r="W74" s="35" t="str">
        <f>Q74&amp;"-"&amp;V74</f>
        <v>Work-Work</v>
      </c>
      <c r="X74" s="33">
        <v>150000</v>
      </c>
      <c r="Y74" s="39">
        <v>360</v>
      </c>
      <c r="Z74" s="39">
        <v>6</v>
      </c>
      <c r="AA74" s="33">
        <v>10</v>
      </c>
      <c r="AB74" s="35" t="str">
        <f>VLOOKUP(AA74,Key!$C$20:$D$29,2,FALSE)</f>
        <v>Other</v>
      </c>
      <c r="AC74" s="33">
        <v>2</v>
      </c>
      <c r="AD74" s="35" t="str">
        <f>VLOOKUP(AC74,Key!$E$20:$F$24,2,FALSE)</f>
        <v>300,000-500,000</v>
      </c>
      <c r="AE74" s="33">
        <v>5</v>
      </c>
      <c r="AF74" s="39">
        <v>5</v>
      </c>
      <c r="AG74" s="39">
        <v>5</v>
      </c>
      <c r="AH74" s="39">
        <v>5</v>
      </c>
      <c r="AI74" s="39">
        <v>5</v>
      </c>
      <c r="AJ74" s="40" t="s">
        <v>100</v>
      </c>
      <c r="AK74" s="41">
        <v>1000</v>
      </c>
      <c r="AL74" s="25"/>
      <c r="AM74" s="25"/>
    </row>
    <row r="75" spans="2:39" x14ac:dyDescent="0.2">
      <c r="B75" s="52">
        <v>43697</v>
      </c>
      <c r="C75" s="36">
        <v>0.48125000000000001</v>
      </c>
      <c r="D75" s="36" t="s">
        <v>273</v>
      </c>
      <c r="E75" s="36" t="s">
        <v>105</v>
      </c>
      <c r="F75" s="38">
        <v>2</v>
      </c>
      <c r="G75" s="43" t="str">
        <f>VLOOKUP(F75,Key!$A$17:$B$21,2,FALSE)</f>
        <v>Road Vehicle</v>
      </c>
      <c r="H75" s="37">
        <v>6</v>
      </c>
      <c r="I75" s="44" t="str">
        <f>VLOOKUP(H75,Key!$A$2:$B$13,2,FALSE)</f>
        <v>Large Bus</v>
      </c>
      <c r="J75" s="38" t="s">
        <v>117</v>
      </c>
      <c r="K75" s="38">
        <v>3</v>
      </c>
      <c r="L75" s="46" t="str">
        <f>VLOOKUP(K75,Key!$A$24:$B$29,2,FALSE)</f>
        <v>40-49</v>
      </c>
      <c r="M75" s="38" t="s">
        <v>160</v>
      </c>
      <c r="N75" s="33" t="s">
        <v>160</v>
      </c>
      <c r="O75" s="19" t="s">
        <v>161</v>
      </c>
      <c r="P75" s="40">
        <v>2</v>
      </c>
      <c r="Q75" s="35" t="str">
        <f>VLOOKUP(P75,Key!$E$2:$F$9,2,FALSE)</f>
        <v>Work</v>
      </c>
      <c r="R75" s="38" t="s">
        <v>193</v>
      </c>
      <c r="S75" s="33" t="s">
        <v>193</v>
      </c>
      <c r="T75" s="38" t="s">
        <v>161</v>
      </c>
      <c r="U75" s="33">
        <v>2</v>
      </c>
      <c r="V75" s="35" t="str">
        <f>VLOOKUP(U75,Key!$E$2:$F$9,2,FALSE)</f>
        <v>Work</v>
      </c>
      <c r="W75" s="35" t="str">
        <f>Q75&amp;"-"&amp;V75</f>
        <v>Work-Work</v>
      </c>
      <c r="X75" s="33">
        <v>150000</v>
      </c>
      <c r="Y75" s="39">
        <v>172</v>
      </c>
      <c r="Z75" s="39">
        <v>4.5</v>
      </c>
      <c r="AA75" s="33">
        <v>10</v>
      </c>
      <c r="AB75" s="35" t="str">
        <f>VLOOKUP(AA75,Key!$C$20:$D$29,2,FALSE)</f>
        <v>Other</v>
      </c>
      <c r="AC75" s="33">
        <v>2</v>
      </c>
      <c r="AD75" s="35" t="str">
        <f>VLOOKUP(AC75,Key!$E$20:$F$24,2,FALSE)</f>
        <v>300,000-500,000</v>
      </c>
      <c r="AE75" s="33">
        <v>5</v>
      </c>
      <c r="AF75" s="39">
        <v>5</v>
      </c>
      <c r="AG75" s="39">
        <v>5</v>
      </c>
      <c r="AH75" s="39">
        <v>5</v>
      </c>
      <c r="AI75" s="39">
        <v>5</v>
      </c>
      <c r="AJ75" s="40" t="s">
        <v>100</v>
      </c>
      <c r="AK75" s="41">
        <v>1000</v>
      </c>
      <c r="AL75" s="25"/>
      <c r="AM75" s="25"/>
    </row>
    <row r="76" spans="2:39" x14ac:dyDescent="0.2">
      <c r="B76" s="52">
        <v>43695</v>
      </c>
      <c r="C76" s="36">
        <v>0.375</v>
      </c>
      <c r="D76" s="36" t="s">
        <v>201</v>
      </c>
      <c r="E76" s="36" t="s">
        <v>105</v>
      </c>
      <c r="F76" s="38">
        <v>2</v>
      </c>
      <c r="G76" s="43" t="str">
        <f>VLOOKUP(F76,Key!$A$17:$B$21,2,FALSE)</f>
        <v>Road Vehicle</v>
      </c>
      <c r="H76" s="37">
        <v>6</v>
      </c>
      <c r="I76" s="44" t="str">
        <f>VLOOKUP(H76,Key!$A$2:$B$13,2,FALSE)</f>
        <v>Large Bus</v>
      </c>
      <c r="J76" s="38" t="s">
        <v>117</v>
      </c>
      <c r="K76" s="38">
        <v>4</v>
      </c>
      <c r="L76" s="46" t="str">
        <f>VLOOKUP(K76,Key!$A$24:$B$29,2,FALSE)</f>
        <v>50-59</v>
      </c>
      <c r="M76" s="38" t="s">
        <v>160</v>
      </c>
      <c r="N76" s="33" t="s">
        <v>160</v>
      </c>
      <c r="O76" s="19" t="s">
        <v>161</v>
      </c>
      <c r="P76" s="40">
        <v>2</v>
      </c>
      <c r="Q76" s="35" t="str">
        <f>VLOOKUP(P76,Key!$E$2:$F$9,2,FALSE)</f>
        <v>Work</v>
      </c>
      <c r="R76" s="38" t="s">
        <v>195</v>
      </c>
      <c r="S76" s="33" t="s">
        <v>195</v>
      </c>
      <c r="T76" s="38" t="s">
        <v>161</v>
      </c>
      <c r="U76" s="33">
        <v>2</v>
      </c>
      <c r="V76" s="35" t="str">
        <f>VLOOKUP(U76,Key!$E$2:$F$9,2,FALSE)</f>
        <v>Work</v>
      </c>
      <c r="W76" s="35" t="str">
        <f>Q76&amp;"-"&amp;V76</f>
        <v>Work-Work</v>
      </c>
      <c r="X76" s="33">
        <v>200000</v>
      </c>
      <c r="Y76" s="39">
        <v>200</v>
      </c>
      <c r="Z76" s="39">
        <v>8</v>
      </c>
      <c r="AA76" s="33">
        <v>5</v>
      </c>
      <c r="AB76" s="35" t="str">
        <f>VLOOKUP(AA76,Key!$C$20:$D$29,2,FALSE)</f>
        <v>Professional</v>
      </c>
      <c r="AC76" s="33">
        <v>2</v>
      </c>
      <c r="AD76" s="35" t="str">
        <f>VLOOKUP(AC76,Key!$E$20:$F$24,2,FALSE)</f>
        <v>300,000-500,000</v>
      </c>
      <c r="AE76" s="33">
        <v>5</v>
      </c>
      <c r="AF76" s="39">
        <v>5</v>
      </c>
      <c r="AG76" s="39">
        <v>5</v>
      </c>
      <c r="AH76" s="39">
        <v>5</v>
      </c>
      <c r="AI76" s="39">
        <v>5</v>
      </c>
      <c r="AJ76" s="40" t="s">
        <v>100</v>
      </c>
      <c r="AK76" s="41">
        <v>1000</v>
      </c>
      <c r="AL76" s="25"/>
      <c r="AM76" s="25"/>
    </row>
    <row r="77" spans="2:39" x14ac:dyDescent="0.2">
      <c r="B77" s="52">
        <v>43695</v>
      </c>
      <c r="C77" s="36">
        <v>0.40625</v>
      </c>
      <c r="D77" s="36" t="s">
        <v>205</v>
      </c>
      <c r="E77" s="36" t="s">
        <v>105</v>
      </c>
      <c r="F77" s="38">
        <v>2</v>
      </c>
      <c r="G77" s="43" t="str">
        <f>VLOOKUP(F77,Key!$A$17:$B$21,2,FALSE)</f>
        <v>Road Vehicle</v>
      </c>
      <c r="H77" s="37">
        <v>6</v>
      </c>
      <c r="I77" s="44" t="str">
        <f>VLOOKUP(H77,Key!$A$2:$B$13,2,FALSE)</f>
        <v>Large Bus</v>
      </c>
      <c r="J77" s="38" t="s">
        <v>117</v>
      </c>
      <c r="K77" s="38">
        <v>4</v>
      </c>
      <c r="L77" s="46" t="str">
        <f>VLOOKUP(K77,Key!$A$24:$B$29,2,FALSE)</f>
        <v>50-59</v>
      </c>
      <c r="M77" s="38" t="s">
        <v>193</v>
      </c>
      <c r="N77" s="33" t="s">
        <v>193</v>
      </c>
      <c r="O77" s="19" t="s">
        <v>161</v>
      </c>
      <c r="P77" s="40">
        <v>2</v>
      </c>
      <c r="Q77" s="35" t="str">
        <f>VLOOKUP(P77,Key!$E$2:$F$9,2,FALSE)</f>
        <v>Work</v>
      </c>
      <c r="R77" s="38" t="s">
        <v>162</v>
      </c>
      <c r="S77" s="33" t="s">
        <v>162</v>
      </c>
      <c r="T77" s="38" t="s">
        <v>161</v>
      </c>
      <c r="U77" s="33">
        <v>2</v>
      </c>
      <c r="V77" s="35" t="str">
        <f>VLOOKUP(U77,Key!$E$2:$F$9,2,FALSE)</f>
        <v>Work</v>
      </c>
      <c r="W77" s="35" t="str">
        <f>Q77&amp;"-"&amp;V77</f>
        <v>Work-Work</v>
      </c>
      <c r="X77" s="33">
        <v>200000</v>
      </c>
      <c r="Y77" s="39">
        <v>310</v>
      </c>
      <c r="Z77" s="39">
        <v>6</v>
      </c>
      <c r="AA77" s="33">
        <v>5</v>
      </c>
      <c r="AB77" s="35" t="str">
        <f>VLOOKUP(AA77,Key!$C$20:$D$29,2,FALSE)</f>
        <v>Professional</v>
      </c>
      <c r="AC77" s="33">
        <v>2</v>
      </c>
      <c r="AD77" s="35" t="str">
        <f>VLOOKUP(AC77,Key!$E$20:$F$24,2,FALSE)</f>
        <v>300,000-500,000</v>
      </c>
      <c r="AE77" s="33">
        <v>5</v>
      </c>
      <c r="AF77" s="39">
        <v>5</v>
      </c>
      <c r="AG77" s="39">
        <v>5</v>
      </c>
      <c r="AH77" s="39">
        <v>5</v>
      </c>
      <c r="AI77" s="39">
        <v>5</v>
      </c>
      <c r="AJ77" s="40" t="s">
        <v>100</v>
      </c>
      <c r="AK77" s="41">
        <v>1000</v>
      </c>
      <c r="AL77" s="25"/>
      <c r="AM77" s="25"/>
    </row>
    <row r="78" spans="2:39" x14ac:dyDescent="0.2">
      <c r="B78" s="52">
        <v>43696</v>
      </c>
      <c r="C78" s="36">
        <v>0.29722222222222222</v>
      </c>
      <c r="D78" s="36" t="s">
        <v>221</v>
      </c>
      <c r="E78" s="36" t="s">
        <v>105</v>
      </c>
      <c r="F78" s="38">
        <v>2</v>
      </c>
      <c r="G78" s="43" t="str">
        <f>VLOOKUP(F78,Key!$A$17:$B$21,2,FALSE)</f>
        <v>Road Vehicle</v>
      </c>
      <c r="H78" s="37">
        <v>7</v>
      </c>
      <c r="I78" s="44" t="str">
        <f>VLOOKUP(H78,Key!$A$2:$B$13,2,FALSE)</f>
        <v xml:space="preserve">Light Truck </v>
      </c>
      <c r="J78" s="38" t="s">
        <v>117</v>
      </c>
      <c r="K78" s="38">
        <v>2</v>
      </c>
      <c r="L78" s="46" t="str">
        <f>VLOOKUP(K78,Key!$A$24:$B$29,2,FALSE)</f>
        <v>30-39</v>
      </c>
      <c r="M78" s="38" t="s">
        <v>180</v>
      </c>
      <c r="N78" s="33" t="s">
        <v>180</v>
      </c>
      <c r="O78" s="19" t="s">
        <v>161</v>
      </c>
      <c r="P78" s="40">
        <v>2</v>
      </c>
      <c r="Q78" s="35" t="str">
        <f>VLOOKUP(P78,Key!$E$2:$F$9,2,FALSE)</f>
        <v>Work</v>
      </c>
      <c r="R78" s="38" t="s">
        <v>160</v>
      </c>
      <c r="S78" s="33" t="s">
        <v>160</v>
      </c>
      <c r="T78" s="38" t="s">
        <v>161</v>
      </c>
      <c r="U78" s="33">
        <v>2</v>
      </c>
      <c r="V78" s="35" t="str">
        <f>VLOOKUP(U78,Key!$E$2:$F$9,2,FALSE)</f>
        <v>Work</v>
      </c>
      <c r="W78" s="35" t="str">
        <f>Q78&amp;"-"&amp;V78</f>
        <v>Work-Work</v>
      </c>
      <c r="X78" s="33">
        <v>60000</v>
      </c>
      <c r="Y78" s="39">
        <v>55</v>
      </c>
      <c r="Z78" s="39">
        <v>1.5</v>
      </c>
      <c r="AA78" s="33">
        <v>10</v>
      </c>
      <c r="AB78" s="35" t="str">
        <f>VLOOKUP(AA78,Key!$C$20:$D$29,2,FALSE)</f>
        <v>Other</v>
      </c>
      <c r="AC78" s="33">
        <v>2</v>
      </c>
      <c r="AD78" s="35" t="str">
        <f>VLOOKUP(AC78,Key!$E$20:$F$24,2,FALSE)</f>
        <v>300,000-500,000</v>
      </c>
      <c r="AE78" s="33">
        <v>5</v>
      </c>
      <c r="AF78" s="39">
        <v>2</v>
      </c>
      <c r="AG78" s="39">
        <v>3</v>
      </c>
      <c r="AH78" s="39">
        <v>5</v>
      </c>
      <c r="AI78" s="39">
        <v>2</v>
      </c>
      <c r="AJ78" s="40" t="s">
        <v>100</v>
      </c>
      <c r="AK78" s="41">
        <v>1000</v>
      </c>
      <c r="AL78" s="25"/>
      <c r="AM78" s="25"/>
    </row>
    <row r="79" spans="2:39" x14ac:dyDescent="0.2">
      <c r="B79" s="52">
        <v>43696</v>
      </c>
      <c r="C79" s="36">
        <v>0.83333333333333337</v>
      </c>
      <c r="D79" s="36" t="s">
        <v>225</v>
      </c>
      <c r="E79" s="36" t="s">
        <v>105</v>
      </c>
      <c r="F79" s="38">
        <v>2</v>
      </c>
      <c r="G79" s="43" t="str">
        <f>VLOOKUP(F79,Key!$A$17:$B$21,2,FALSE)</f>
        <v>Road Vehicle</v>
      </c>
      <c r="H79" s="37">
        <v>8</v>
      </c>
      <c r="I79" s="44" t="str">
        <f>VLOOKUP(H79,Key!$A$2:$B$13,2,FALSE)</f>
        <v xml:space="preserve">Medium Truck </v>
      </c>
      <c r="J79" s="38" t="s">
        <v>117</v>
      </c>
      <c r="K79" s="38">
        <v>2</v>
      </c>
      <c r="L79" s="46" t="str">
        <f>VLOOKUP(K79,Key!$A$24:$B$29,2,FALSE)</f>
        <v>30-39</v>
      </c>
      <c r="M79" s="38" t="s">
        <v>160</v>
      </c>
      <c r="N79" s="33" t="s">
        <v>160</v>
      </c>
      <c r="O79" s="19" t="s">
        <v>161</v>
      </c>
      <c r="P79" s="40">
        <v>2</v>
      </c>
      <c r="Q79" s="35" t="str">
        <f>VLOOKUP(P79,Key!$E$2:$F$9,2,FALSE)</f>
        <v>Work</v>
      </c>
      <c r="R79" s="38" t="s">
        <v>177</v>
      </c>
      <c r="S79" s="33" t="s">
        <v>172</v>
      </c>
      <c r="T79" s="38" t="s">
        <v>161</v>
      </c>
      <c r="U79" s="33">
        <v>2</v>
      </c>
      <c r="V79" s="35" t="str">
        <f>VLOOKUP(U79,Key!$E$2:$F$9,2,FALSE)</f>
        <v>Work</v>
      </c>
      <c r="W79" s="35" t="str">
        <f>Q79&amp;"-"&amp;V79</f>
        <v>Work-Work</v>
      </c>
      <c r="X79" s="33">
        <v>50000</v>
      </c>
      <c r="Y79" s="39">
        <v>5</v>
      </c>
      <c r="Z79" s="39">
        <v>0.7</v>
      </c>
      <c r="AA79" s="33">
        <v>10</v>
      </c>
      <c r="AB79" s="35" t="str">
        <f>VLOOKUP(AA79,Key!$C$20:$D$29,2,FALSE)</f>
        <v>Other</v>
      </c>
      <c r="AC79" s="33">
        <v>2</v>
      </c>
      <c r="AD79" s="35" t="str">
        <f>VLOOKUP(AC79,Key!$E$20:$F$24,2,FALSE)</f>
        <v>300,000-500,000</v>
      </c>
      <c r="AE79" s="33">
        <v>5</v>
      </c>
      <c r="AF79" s="39">
        <v>5</v>
      </c>
      <c r="AG79" s="39">
        <v>5</v>
      </c>
      <c r="AH79" s="39">
        <v>5</v>
      </c>
      <c r="AI79" s="39">
        <v>5</v>
      </c>
      <c r="AJ79" s="40" t="s">
        <v>100</v>
      </c>
      <c r="AK79" s="41">
        <v>1000</v>
      </c>
      <c r="AL79" s="25"/>
      <c r="AM79" s="25"/>
    </row>
    <row r="80" spans="2:39" x14ac:dyDescent="0.2">
      <c r="B80" s="52">
        <v>43696</v>
      </c>
      <c r="C80" s="36">
        <v>0.67222222222222217</v>
      </c>
      <c r="D80" s="36" t="s">
        <v>241</v>
      </c>
      <c r="E80" s="36" t="s">
        <v>105</v>
      </c>
      <c r="F80" s="38">
        <v>2</v>
      </c>
      <c r="G80" s="43" t="str">
        <f>VLOOKUP(F80,Key!$A$17:$B$21,2,FALSE)</f>
        <v>Road Vehicle</v>
      </c>
      <c r="H80" s="37">
        <v>8</v>
      </c>
      <c r="I80" s="44" t="str">
        <f>VLOOKUP(H80,Key!$A$2:$B$13,2,FALSE)</f>
        <v xml:space="preserve">Medium Truck </v>
      </c>
      <c r="J80" s="38" t="s">
        <v>117</v>
      </c>
      <c r="K80" s="38">
        <v>2</v>
      </c>
      <c r="L80" s="46" t="str">
        <f>VLOOKUP(K80,Key!$A$24:$B$29,2,FALSE)</f>
        <v>30-39</v>
      </c>
      <c r="M80" s="38" t="s">
        <v>160</v>
      </c>
      <c r="N80" s="33" t="s">
        <v>160</v>
      </c>
      <c r="O80" s="19" t="s">
        <v>161</v>
      </c>
      <c r="P80" s="40">
        <v>2</v>
      </c>
      <c r="Q80" s="35" t="str">
        <f>VLOOKUP(P80,Key!$E$2:$F$9,2,FALSE)</f>
        <v>Work</v>
      </c>
      <c r="R80" s="38" t="s">
        <v>242</v>
      </c>
      <c r="S80" s="33" t="s">
        <v>190</v>
      </c>
      <c r="T80" s="38" t="s">
        <v>161</v>
      </c>
      <c r="U80" s="33">
        <v>2</v>
      </c>
      <c r="V80" s="35" t="str">
        <f>VLOOKUP(U80,Key!$E$2:$F$9,2,FALSE)</f>
        <v>Work</v>
      </c>
      <c r="W80" s="35" t="str">
        <f>Q80&amp;"-"&amp;V80</f>
        <v>Work-Work</v>
      </c>
      <c r="X80" s="33">
        <v>60000</v>
      </c>
      <c r="Y80" s="39">
        <v>27</v>
      </c>
      <c r="Z80" s="39">
        <v>1</v>
      </c>
      <c r="AA80" s="33">
        <v>10</v>
      </c>
      <c r="AB80" s="35" t="str">
        <f>VLOOKUP(AA80,Key!$C$20:$D$29,2,FALSE)</f>
        <v>Other</v>
      </c>
      <c r="AC80" s="33">
        <v>2</v>
      </c>
      <c r="AD80" s="35" t="str">
        <f>VLOOKUP(AC80,Key!$E$20:$F$24,2,FALSE)</f>
        <v>300,000-500,000</v>
      </c>
      <c r="AE80" s="33">
        <v>5</v>
      </c>
      <c r="AF80" s="39">
        <v>5</v>
      </c>
      <c r="AG80" s="39">
        <v>5</v>
      </c>
      <c r="AH80" s="39">
        <v>5</v>
      </c>
      <c r="AI80" s="39">
        <v>5</v>
      </c>
      <c r="AJ80" s="40" t="s">
        <v>100</v>
      </c>
      <c r="AK80" s="41">
        <v>1000</v>
      </c>
      <c r="AL80" s="25"/>
      <c r="AM80" s="25"/>
    </row>
    <row r="81" spans="2:39" x14ac:dyDescent="0.2">
      <c r="B81" s="52">
        <v>43696</v>
      </c>
      <c r="C81" s="36">
        <v>0.69166666666666676</v>
      </c>
      <c r="D81" s="36" t="s">
        <v>243</v>
      </c>
      <c r="E81" s="36" t="s">
        <v>105</v>
      </c>
      <c r="F81" s="38">
        <v>2</v>
      </c>
      <c r="G81" s="43" t="str">
        <f>VLOOKUP(F81,Key!$A$17:$B$21,2,FALSE)</f>
        <v>Road Vehicle</v>
      </c>
      <c r="H81" s="37">
        <v>8</v>
      </c>
      <c r="I81" s="44" t="str">
        <f>VLOOKUP(H81,Key!$A$2:$B$13,2,FALSE)</f>
        <v xml:space="preserve">Medium Truck </v>
      </c>
      <c r="J81" s="38" t="s">
        <v>117</v>
      </c>
      <c r="K81" s="38">
        <v>2</v>
      </c>
      <c r="L81" s="46" t="str">
        <f>VLOOKUP(K81,Key!$A$24:$B$29,2,FALSE)</f>
        <v>30-39</v>
      </c>
      <c r="M81" s="38" t="s">
        <v>160</v>
      </c>
      <c r="N81" s="33" t="s">
        <v>160</v>
      </c>
      <c r="O81" s="19" t="s">
        <v>161</v>
      </c>
      <c r="P81" s="40">
        <v>2</v>
      </c>
      <c r="Q81" s="35" t="str">
        <f>VLOOKUP(P81,Key!$E$2:$F$9,2,FALSE)</f>
        <v>Work</v>
      </c>
      <c r="R81" s="38" t="s">
        <v>244</v>
      </c>
      <c r="S81" s="33" t="s">
        <v>190</v>
      </c>
      <c r="T81" s="38" t="s">
        <v>161</v>
      </c>
      <c r="U81" s="33">
        <v>2</v>
      </c>
      <c r="V81" s="35" t="str">
        <f>VLOOKUP(U81,Key!$E$2:$F$9,2,FALSE)</f>
        <v>Work</v>
      </c>
      <c r="W81" s="35" t="str">
        <f>Q81&amp;"-"&amp;V81</f>
        <v>Work-Work</v>
      </c>
      <c r="X81" s="33">
        <v>70000</v>
      </c>
      <c r="Y81" s="39">
        <v>11</v>
      </c>
      <c r="Z81" s="39">
        <v>0.8</v>
      </c>
      <c r="AA81" s="33">
        <v>10</v>
      </c>
      <c r="AB81" s="35" t="str">
        <f>VLOOKUP(AA81,Key!$C$20:$D$29,2,FALSE)</f>
        <v>Other</v>
      </c>
      <c r="AC81" s="33">
        <v>2</v>
      </c>
      <c r="AD81" s="35" t="str">
        <f>VLOOKUP(AC81,Key!$E$20:$F$24,2,FALSE)</f>
        <v>300,000-500,000</v>
      </c>
      <c r="AE81" s="33">
        <v>5</v>
      </c>
      <c r="AF81" s="39">
        <v>2</v>
      </c>
      <c r="AG81" s="39">
        <v>2</v>
      </c>
      <c r="AH81" s="39">
        <v>3</v>
      </c>
      <c r="AI81" s="39">
        <v>2</v>
      </c>
      <c r="AJ81" s="40" t="s">
        <v>100</v>
      </c>
      <c r="AK81" s="41">
        <v>1000</v>
      </c>
      <c r="AL81" s="25"/>
      <c r="AM81" s="25"/>
    </row>
    <row r="82" spans="2:39" x14ac:dyDescent="0.2">
      <c r="B82" s="52">
        <v>43696</v>
      </c>
      <c r="C82" s="36">
        <v>0.29166666666666669</v>
      </c>
      <c r="D82" s="36" t="s">
        <v>222</v>
      </c>
      <c r="E82" s="36" t="s">
        <v>105</v>
      </c>
      <c r="F82" s="38">
        <v>2</v>
      </c>
      <c r="G82" s="43" t="str">
        <f>VLOOKUP(F82,Key!$A$17:$B$21,2,FALSE)</f>
        <v>Road Vehicle</v>
      </c>
      <c r="H82" s="37">
        <v>8</v>
      </c>
      <c r="I82" s="44" t="str">
        <f>VLOOKUP(H82,Key!$A$2:$B$13,2,FALSE)</f>
        <v xml:space="preserve">Medium Truck </v>
      </c>
      <c r="J82" s="38" t="s">
        <v>117</v>
      </c>
      <c r="K82" s="38">
        <v>3</v>
      </c>
      <c r="L82" s="46" t="str">
        <f>VLOOKUP(K82,Key!$A$24:$B$29,2,FALSE)</f>
        <v>40-49</v>
      </c>
      <c r="M82" s="38" t="s">
        <v>173</v>
      </c>
      <c r="N82" s="33" t="s">
        <v>173</v>
      </c>
      <c r="O82" s="19" t="s">
        <v>161</v>
      </c>
      <c r="P82" s="40">
        <v>2</v>
      </c>
      <c r="Q82" s="35" t="str">
        <f>VLOOKUP(P82,Key!$E$2:$F$9,2,FALSE)</f>
        <v>Work</v>
      </c>
      <c r="R82" s="38" t="s">
        <v>160</v>
      </c>
      <c r="S82" s="33" t="s">
        <v>160</v>
      </c>
      <c r="T82" s="38" t="s">
        <v>161</v>
      </c>
      <c r="U82" s="33">
        <v>2</v>
      </c>
      <c r="V82" s="35" t="str">
        <f>VLOOKUP(U82,Key!$E$2:$F$9,2,FALSE)</f>
        <v>Work</v>
      </c>
      <c r="W82" s="35" t="str">
        <f>Q82&amp;"-"&amp;V82</f>
        <v>Work-Work</v>
      </c>
      <c r="X82" s="33">
        <v>70000</v>
      </c>
      <c r="Y82" s="39">
        <v>58</v>
      </c>
      <c r="Z82" s="39">
        <v>2.5</v>
      </c>
      <c r="AA82" s="33">
        <v>10</v>
      </c>
      <c r="AB82" s="35" t="str">
        <f>VLOOKUP(AA82,Key!$C$20:$D$29,2,FALSE)</f>
        <v>Other</v>
      </c>
      <c r="AC82" s="33">
        <v>2</v>
      </c>
      <c r="AD82" s="35" t="str">
        <f>VLOOKUP(AC82,Key!$E$20:$F$24,2,FALSE)</f>
        <v>300,000-500,000</v>
      </c>
      <c r="AE82" s="33">
        <v>5</v>
      </c>
      <c r="AF82" s="39">
        <v>5</v>
      </c>
      <c r="AG82" s="39">
        <v>5</v>
      </c>
      <c r="AH82" s="39">
        <v>5</v>
      </c>
      <c r="AI82" s="39">
        <v>5</v>
      </c>
      <c r="AJ82" s="40" t="s">
        <v>100</v>
      </c>
      <c r="AK82" s="41">
        <v>1000</v>
      </c>
      <c r="AL82" s="25"/>
      <c r="AM82" s="25"/>
    </row>
    <row r="83" spans="2:39" x14ac:dyDescent="0.2">
      <c r="B83" s="52">
        <v>43696</v>
      </c>
      <c r="C83" s="36">
        <v>0.30486111111111108</v>
      </c>
      <c r="D83" s="36" t="s">
        <v>220</v>
      </c>
      <c r="E83" s="36" t="s">
        <v>105</v>
      </c>
      <c r="F83" s="38">
        <v>2</v>
      </c>
      <c r="G83" s="43" t="str">
        <f>VLOOKUP(F83,Key!$A$17:$B$21,2,FALSE)</f>
        <v>Road Vehicle</v>
      </c>
      <c r="H83" s="37">
        <v>8</v>
      </c>
      <c r="I83" s="44" t="str">
        <f>VLOOKUP(H83,Key!$A$2:$B$13,2,FALSE)</f>
        <v xml:space="preserve">Medium Truck </v>
      </c>
      <c r="J83" s="38" t="s">
        <v>117</v>
      </c>
      <c r="K83" s="38">
        <v>4</v>
      </c>
      <c r="L83" s="46" t="str">
        <f>VLOOKUP(K83,Key!$A$24:$B$29,2,FALSE)</f>
        <v>50-59</v>
      </c>
      <c r="M83" s="38" t="s">
        <v>170</v>
      </c>
      <c r="N83" s="33" t="s">
        <v>170</v>
      </c>
      <c r="O83" s="19" t="s">
        <v>161</v>
      </c>
      <c r="P83" s="40">
        <v>2</v>
      </c>
      <c r="Q83" s="35" t="str">
        <f>VLOOKUP(P83,Key!$E$2:$F$9,2,FALSE)</f>
        <v>Work</v>
      </c>
      <c r="R83" s="38" t="s">
        <v>160</v>
      </c>
      <c r="S83" s="33" t="s">
        <v>160</v>
      </c>
      <c r="T83" s="38" t="s">
        <v>161</v>
      </c>
      <c r="U83" s="33">
        <v>2</v>
      </c>
      <c r="V83" s="35" t="str">
        <f>VLOOKUP(U83,Key!$E$2:$F$9,2,FALSE)</f>
        <v>Work</v>
      </c>
      <c r="W83" s="35" t="str">
        <f>Q83&amp;"-"&amp;V83</f>
        <v>Work-Work</v>
      </c>
      <c r="X83" s="33">
        <v>100000</v>
      </c>
      <c r="Y83" s="39">
        <v>65</v>
      </c>
      <c r="Z83" s="39">
        <v>2</v>
      </c>
      <c r="AA83" s="33">
        <v>10</v>
      </c>
      <c r="AB83" s="35" t="str">
        <f>VLOOKUP(AA83,Key!$C$20:$D$29,2,FALSE)</f>
        <v>Other</v>
      </c>
      <c r="AC83" s="33">
        <v>1</v>
      </c>
      <c r="AD83" s="35" t="str">
        <f>VLOOKUP(AC83,Key!$E$20:$F$24,2,FALSE)</f>
        <v>&lt;300,000</v>
      </c>
      <c r="AE83" s="33">
        <v>5</v>
      </c>
      <c r="AF83" s="39">
        <v>5</v>
      </c>
      <c r="AG83" s="39">
        <v>5</v>
      </c>
      <c r="AH83" s="39">
        <v>5</v>
      </c>
      <c r="AI83" s="39">
        <v>5</v>
      </c>
      <c r="AJ83" s="40" t="s">
        <v>100</v>
      </c>
      <c r="AK83" s="41">
        <v>1000</v>
      </c>
      <c r="AL83" s="25"/>
      <c r="AM83" s="25"/>
    </row>
    <row r="84" spans="2:39" x14ac:dyDescent="0.2">
      <c r="B84" s="52">
        <v>43696</v>
      </c>
      <c r="C84" s="36">
        <v>0.625</v>
      </c>
      <c r="D84" s="36" t="s">
        <v>218</v>
      </c>
      <c r="E84" s="36" t="s">
        <v>159</v>
      </c>
      <c r="F84" s="38">
        <v>2</v>
      </c>
      <c r="G84" s="43" t="str">
        <f>VLOOKUP(F84,Key!$A$17:$B$21,2,FALSE)</f>
        <v>Road Vehicle</v>
      </c>
      <c r="H84" s="37">
        <v>4</v>
      </c>
      <c r="I84" s="44" t="str">
        <f>VLOOKUP(H84,Key!$A$2:$B$13,2,FALSE)</f>
        <v>Minibus</v>
      </c>
      <c r="J84" s="38" t="s">
        <v>163</v>
      </c>
      <c r="K84" s="38">
        <v>1</v>
      </c>
      <c r="L84" s="46" t="str">
        <f>VLOOKUP(K84,Key!$A$24:$B$29,2,FALSE)</f>
        <v>20-29</v>
      </c>
      <c r="M84" s="38" t="s">
        <v>160</v>
      </c>
      <c r="N84" s="33" t="s">
        <v>160</v>
      </c>
      <c r="O84" s="19" t="s">
        <v>161</v>
      </c>
      <c r="P84" s="40">
        <v>1</v>
      </c>
      <c r="Q84" s="35" t="str">
        <f>VLOOKUP(P84,Key!$E$2:$F$9,2,FALSE)</f>
        <v>Home</v>
      </c>
      <c r="R84" s="38" t="s">
        <v>172</v>
      </c>
      <c r="S84" s="33" t="s">
        <v>172</v>
      </c>
      <c r="T84" s="38" t="s">
        <v>161</v>
      </c>
      <c r="U84" s="33">
        <v>2</v>
      </c>
      <c r="V84" s="35" t="str">
        <f>VLOOKUP(U84,Key!$E$2:$F$9,2,FALSE)</f>
        <v>Work</v>
      </c>
      <c r="W84" s="35" t="str">
        <f>Q84&amp;"-"&amp;V84</f>
        <v>Home-Work</v>
      </c>
      <c r="X84" s="33">
        <v>10000</v>
      </c>
      <c r="Y84" s="39">
        <v>32</v>
      </c>
      <c r="Z84" s="39">
        <v>0.7</v>
      </c>
      <c r="AA84" s="33">
        <v>6</v>
      </c>
      <c r="AB84" s="35" t="str">
        <f>VLOOKUP(AA84,Key!$C$20:$D$29,2,FALSE)</f>
        <v>Businessman</v>
      </c>
      <c r="AC84" s="33">
        <v>1</v>
      </c>
      <c r="AD84" s="35" t="str">
        <f>VLOOKUP(AC84,Key!$E$20:$F$24,2,FALSE)</f>
        <v>&lt;300,000</v>
      </c>
      <c r="AE84" s="33">
        <v>2</v>
      </c>
      <c r="AF84" s="39">
        <v>2</v>
      </c>
      <c r="AG84" s="39">
        <v>3</v>
      </c>
      <c r="AH84" s="39">
        <v>3</v>
      </c>
      <c r="AI84" s="39">
        <v>2</v>
      </c>
      <c r="AJ84" s="40" t="s">
        <v>100</v>
      </c>
      <c r="AK84" s="41"/>
      <c r="AL84" s="25"/>
      <c r="AM84" s="25"/>
    </row>
    <row r="85" spans="2:39" x14ac:dyDescent="0.2">
      <c r="B85" s="52">
        <v>43696</v>
      </c>
      <c r="C85" s="36">
        <v>0.31111111111111112</v>
      </c>
      <c r="D85" s="36"/>
      <c r="E85" s="36" t="s">
        <v>159</v>
      </c>
      <c r="F85" s="38">
        <v>2</v>
      </c>
      <c r="G85" s="43" t="str">
        <f>VLOOKUP(F85,Key!$A$17:$B$21,2,FALSE)</f>
        <v>Road Vehicle</v>
      </c>
      <c r="H85" s="37">
        <v>4</v>
      </c>
      <c r="I85" s="44" t="str">
        <f>VLOOKUP(H85,Key!$A$2:$B$13,2,FALSE)</f>
        <v>Minibus</v>
      </c>
      <c r="J85" s="38" t="s">
        <v>163</v>
      </c>
      <c r="K85" s="38">
        <v>1</v>
      </c>
      <c r="L85" s="46" t="str">
        <f>VLOOKUP(K85,Key!$A$24:$B$29,2,FALSE)</f>
        <v>20-29</v>
      </c>
      <c r="M85" s="38" t="s">
        <v>160</v>
      </c>
      <c r="N85" s="33" t="s">
        <v>160</v>
      </c>
      <c r="O85" s="19" t="s">
        <v>161</v>
      </c>
      <c r="P85" s="40">
        <v>1</v>
      </c>
      <c r="Q85" s="35" t="str">
        <f>VLOOKUP(P85,Key!$E$2:$F$9,2,FALSE)</f>
        <v>Home</v>
      </c>
      <c r="R85" s="38" t="s">
        <v>219</v>
      </c>
      <c r="S85" s="33" t="s">
        <v>219</v>
      </c>
      <c r="T85" s="38" t="s">
        <v>161</v>
      </c>
      <c r="U85" s="33">
        <v>2</v>
      </c>
      <c r="V85" s="35" t="str">
        <f>VLOOKUP(U85,Key!$E$2:$F$9,2,FALSE)</f>
        <v>Work</v>
      </c>
      <c r="W85" s="35" t="str">
        <f>Q85&amp;"-"&amp;V85</f>
        <v>Home-Work</v>
      </c>
      <c r="X85" s="33">
        <v>7000</v>
      </c>
      <c r="Y85" s="39">
        <v>40</v>
      </c>
      <c r="Z85" s="39">
        <v>1.5</v>
      </c>
      <c r="AA85" s="33">
        <v>6</v>
      </c>
      <c r="AB85" s="35" t="str">
        <f>VLOOKUP(AA85,Key!$C$20:$D$29,2,FALSE)</f>
        <v>Businessman</v>
      </c>
      <c r="AC85" s="33">
        <v>1</v>
      </c>
      <c r="AD85" s="35" t="str">
        <f>VLOOKUP(AC85,Key!$E$20:$F$24,2,FALSE)</f>
        <v>&lt;300,000</v>
      </c>
      <c r="AE85" s="33">
        <v>2</v>
      </c>
      <c r="AF85" s="39">
        <v>1</v>
      </c>
      <c r="AG85" s="39">
        <v>2</v>
      </c>
      <c r="AH85" s="39">
        <v>3</v>
      </c>
      <c r="AI85" s="39">
        <v>2</v>
      </c>
      <c r="AJ85" s="40" t="s">
        <v>100</v>
      </c>
      <c r="AK85" s="41"/>
      <c r="AL85" s="25"/>
      <c r="AM85" s="25"/>
    </row>
    <row r="86" spans="2:39" x14ac:dyDescent="0.2">
      <c r="B86" s="52">
        <v>43696</v>
      </c>
      <c r="C86" s="36">
        <v>0.46388888888888885</v>
      </c>
      <c r="D86" s="36" t="s">
        <v>237</v>
      </c>
      <c r="E86" s="36" t="s">
        <v>159</v>
      </c>
      <c r="F86" s="38">
        <v>2</v>
      </c>
      <c r="G86" s="43" t="str">
        <f>VLOOKUP(F86,Key!$A$17:$B$21,2,FALSE)</f>
        <v>Road Vehicle</v>
      </c>
      <c r="H86" s="37">
        <v>4</v>
      </c>
      <c r="I86" s="44" t="str">
        <f>VLOOKUP(H86,Key!$A$2:$B$13,2,FALSE)</f>
        <v>Minibus</v>
      </c>
      <c r="J86" s="38" t="s">
        <v>163</v>
      </c>
      <c r="K86" s="38">
        <v>1</v>
      </c>
      <c r="L86" s="46" t="str">
        <f>VLOOKUP(K86,Key!$A$24:$B$29,2,FALSE)</f>
        <v>20-29</v>
      </c>
      <c r="M86" s="38" t="s">
        <v>160</v>
      </c>
      <c r="N86" s="33" t="s">
        <v>160</v>
      </c>
      <c r="O86" s="19" t="s">
        <v>161</v>
      </c>
      <c r="P86" s="40">
        <v>1</v>
      </c>
      <c r="Q86" s="35" t="str">
        <f>VLOOKUP(P86,Key!$E$2:$F$9,2,FALSE)</f>
        <v>Home</v>
      </c>
      <c r="R86" s="38" t="s">
        <v>214</v>
      </c>
      <c r="S86" s="33" t="s">
        <v>214</v>
      </c>
      <c r="T86" s="38" t="s">
        <v>161</v>
      </c>
      <c r="U86" s="33">
        <v>2</v>
      </c>
      <c r="V86" s="35" t="str">
        <f>VLOOKUP(U86,Key!$E$2:$F$9,2,FALSE)</f>
        <v>Work</v>
      </c>
      <c r="W86" s="35" t="str">
        <f>Q86&amp;"-"&amp;V86</f>
        <v>Home-Work</v>
      </c>
      <c r="X86" s="33">
        <v>7000</v>
      </c>
      <c r="Y86" s="39">
        <v>40</v>
      </c>
      <c r="Z86" s="39">
        <v>2</v>
      </c>
      <c r="AA86" s="33">
        <v>6</v>
      </c>
      <c r="AB86" s="35" t="str">
        <f>VLOOKUP(AA86,Key!$C$20:$D$29,2,FALSE)</f>
        <v>Businessman</v>
      </c>
      <c r="AC86" s="33">
        <v>1</v>
      </c>
      <c r="AD86" s="35" t="str">
        <f>VLOOKUP(AC86,Key!$E$20:$F$24,2,FALSE)</f>
        <v>&lt;300,000</v>
      </c>
      <c r="AE86" s="33">
        <v>5</v>
      </c>
      <c r="AF86" s="39">
        <v>2</v>
      </c>
      <c r="AG86" s="39">
        <v>3</v>
      </c>
      <c r="AH86" s="39">
        <v>3</v>
      </c>
      <c r="AI86" s="39">
        <v>2</v>
      </c>
      <c r="AJ86" s="40" t="s">
        <v>100</v>
      </c>
      <c r="AK86" s="41"/>
      <c r="AL86" s="25"/>
      <c r="AM86" s="25"/>
    </row>
    <row r="87" spans="2:39" x14ac:dyDescent="0.2">
      <c r="B87" s="52">
        <v>43696</v>
      </c>
      <c r="C87" s="36">
        <v>0.52638888888888891</v>
      </c>
      <c r="D87" s="36" t="s">
        <v>239</v>
      </c>
      <c r="E87" s="36" t="s">
        <v>159</v>
      </c>
      <c r="F87" s="38">
        <v>2</v>
      </c>
      <c r="G87" s="43" t="str">
        <f>VLOOKUP(F87,Key!$A$17:$B$21,2,FALSE)</f>
        <v>Road Vehicle</v>
      </c>
      <c r="H87" s="37">
        <v>4</v>
      </c>
      <c r="I87" s="44" t="str">
        <f>VLOOKUP(H87,Key!$A$2:$B$13,2,FALSE)</f>
        <v>Minibus</v>
      </c>
      <c r="J87" s="38" t="s">
        <v>163</v>
      </c>
      <c r="K87" s="38">
        <v>1</v>
      </c>
      <c r="L87" s="46" t="str">
        <f>VLOOKUP(K87,Key!$A$24:$B$29,2,FALSE)</f>
        <v>20-29</v>
      </c>
      <c r="M87" s="38" t="s">
        <v>160</v>
      </c>
      <c r="N87" s="33" t="s">
        <v>160</v>
      </c>
      <c r="O87" s="19" t="s">
        <v>161</v>
      </c>
      <c r="P87" s="40">
        <v>2</v>
      </c>
      <c r="Q87" s="35" t="str">
        <f>VLOOKUP(P87,Key!$E$2:$F$9,2,FALSE)</f>
        <v>Work</v>
      </c>
      <c r="R87" s="38" t="s">
        <v>213</v>
      </c>
      <c r="S87" s="33" t="s">
        <v>214</v>
      </c>
      <c r="T87" s="38" t="s">
        <v>161</v>
      </c>
      <c r="U87" s="33">
        <v>2</v>
      </c>
      <c r="V87" s="35" t="str">
        <f>VLOOKUP(U87,Key!$E$2:$F$9,2,FALSE)</f>
        <v>Work</v>
      </c>
      <c r="W87" s="35" t="str">
        <f>Q87&amp;"-"&amp;V87</f>
        <v>Work-Work</v>
      </c>
      <c r="X87" s="33">
        <v>5000</v>
      </c>
      <c r="Y87" s="39">
        <v>20</v>
      </c>
      <c r="Z87" s="39">
        <v>0.8</v>
      </c>
      <c r="AA87" s="33">
        <v>6</v>
      </c>
      <c r="AB87" s="35" t="str">
        <f>VLOOKUP(AA87,Key!$C$20:$D$29,2,FALSE)</f>
        <v>Businessman</v>
      </c>
      <c r="AC87" s="33">
        <v>1</v>
      </c>
      <c r="AD87" s="35" t="str">
        <f>VLOOKUP(AC87,Key!$E$20:$F$24,2,FALSE)</f>
        <v>&lt;300,000</v>
      </c>
      <c r="AE87" s="33">
        <v>2</v>
      </c>
      <c r="AF87" s="39">
        <v>3</v>
      </c>
      <c r="AG87" s="39">
        <v>3</v>
      </c>
      <c r="AH87" s="39">
        <v>3</v>
      </c>
      <c r="AI87" s="39">
        <v>2</v>
      </c>
      <c r="AJ87" s="40" t="s">
        <v>100</v>
      </c>
      <c r="AK87" s="41"/>
      <c r="AL87" s="25"/>
      <c r="AM87" s="25"/>
    </row>
    <row r="88" spans="2:39" x14ac:dyDescent="0.2">
      <c r="B88" s="52">
        <v>43697</v>
      </c>
      <c r="C88" s="36">
        <v>0.41319444444444442</v>
      </c>
      <c r="D88" s="36"/>
      <c r="E88" s="36" t="s">
        <v>159</v>
      </c>
      <c r="F88" s="38">
        <v>2</v>
      </c>
      <c r="G88" s="43" t="str">
        <f>VLOOKUP(F88,Key!$A$17:$B$21,2,FALSE)</f>
        <v>Road Vehicle</v>
      </c>
      <c r="H88" s="37">
        <v>4</v>
      </c>
      <c r="I88" s="44" t="str">
        <f>VLOOKUP(H88,Key!$A$2:$B$13,2,FALSE)</f>
        <v>Minibus</v>
      </c>
      <c r="J88" s="38" t="s">
        <v>163</v>
      </c>
      <c r="K88" s="38">
        <v>1</v>
      </c>
      <c r="L88" s="46" t="str">
        <f>VLOOKUP(K88,Key!$A$24:$B$29,2,FALSE)</f>
        <v>20-29</v>
      </c>
      <c r="M88" s="38" t="s">
        <v>160</v>
      </c>
      <c r="N88" s="33" t="s">
        <v>160</v>
      </c>
      <c r="O88" s="19" t="s">
        <v>161</v>
      </c>
      <c r="P88" s="40">
        <v>1</v>
      </c>
      <c r="Q88" s="35" t="str">
        <f>VLOOKUP(P88,Key!$E$2:$F$9,2,FALSE)</f>
        <v>Home</v>
      </c>
      <c r="R88" s="38" t="s">
        <v>255</v>
      </c>
      <c r="S88" s="33" t="s">
        <v>172</v>
      </c>
      <c r="T88" s="38" t="s">
        <v>161</v>
      </c>
      <c r="U88" s="33">
        <v>2</v>
      </c>
      <c r="V88" s="35" t="str">
        <f>VLOOKUP(U88,Key!$E$2:$F$9,2,FALSE)</f>
        <v>Work</v>
      </c>
      <c r="W88" s="35" t="str">
        <f>Q88&amp;"-"&amp;V88</f>
        <v>Home-Work</v>
      </c>
      <c r="X88" s="33">
        <v>10000</v>
      </c>
      <c r="Y88" s="39">
        <v>70</v>
      </c>
      <c r="Z88" s="39">
        <v>1.5</v>
      </c>
      <c r="AA88" s="33">
        <v>6</v>
      </c>
      <c r="AB88" s="35" t="str">
        <f>VLOOKUP(AA88,Key!$C$20:$D$29,2,FALSE)</f>
        <v>Businessman</v>
      </c>
      <c r="AC88" s="33">
        <v>1</v>
      </c>
      <c r="AD88" s="35" t="str">
        <f>VLOOKUP(AC88,Key!$E$20:$F$24,2,FALSE)</f>
        <v>&lt;300,000</v>
      </c>
      <c r="AE88" s="33">
        <v>2</v>
      </c>
      <c r="AF88" s="39">
        <v>4</v>
      </c>
      <c r="AG88" s="39">
        <v>1</v>
      </c>
      <c r="AH88" s="39">
        <v>2</v>
      </c>
      <c r="AI88" s="39">
        <v>1</v>
      </c>
      <c r="AJ88" s="40" t="s">
        <v>100</v>
      </c>
      <c r="AK88" s="41"/>
      <c r="AL88" s="25"/>
      <c r="AM88" s="25"/>
    </row>
    <row r="89" spans="2:39" x14ac:dyDescent="0.2">
      <c r="B89" s="52">
        <v>43697</v>
      </c>
      <c r="C89" s="36">
        <v>0.33888888888888885</v>
      </c>
      <c r="D89" s="36"/>
      <c r="E89" s="36" t="s">
        <v>159</v>
      </c>
      <c r="F89" s="38">
        <v>2</v>
      </c>
      <c r="G89" s="43" t="str">
        <f>VLOOKUP(F89,Key!$A$17:$B$21,2,FALSE)</f>
        <v>Road Vehicle</v>
      </c>
      <c r="H89" s="37">
        <v>4</v>
      </c>
      <c r="I89" s="44" t="str">
        <f>VLOOKUP(H89,Key!$A$2:$B$13,2,FALSE)</f>
        <v>Minibus</v>
      </c>
      <c r="J89" s="38" t="s">
        <v>163</v>
      </c>
      <c r="K89" s="38">
        <v>1</v>
      </c>
      <c r="L89" s="46" t="str">
        <f>VLOOKUP(K89,Key!$A$24:$B$29,2,FALSE)</f>
        <v>20-29</v>
      </c>
      <c r="M89" s="38" t="s">
        <v>258</v>
      </c>
      <c r="N89" s="33" t="s">
        <v>173</v>
      </c>
      <c r="O89" s="19" t="s">
        <v>161</v>
      </c>
      <c r="P89" s="40">
        <v>1</v>
      </c>
      <c r="Q89" s="35" t="str">
        <f>VLOOKUP(P89,Key!$E$2:$F$9,2,FALSE)</f>
        <v>Home</v>
      </c>
      <c r="R89" s="38" t="s">
        <v>160</v>
      </c>
      <c r="S89" s="33" t="s">
        <v>160</v>
      </c>
      <c r="T89" s="38" t="s">
        <v>161</v>
      </c>
      <c r="U89" s="33">
        <v>2</v>
      </c>
      <c r="V89" s="35" t="str">
        <f>VLOOKUP(U89,Key!$E$2:$F$9,2,FALSE)</f>
        <v>Work</v>
      </c>
      <c r="W89" s="35" t="str">
        <f>Q89&amp;"-"&amp;V89</f>
        <v>Home-Work</v>
      </c>
      <c r="X89" s="33">
        <v>10000</v>
      </c>
      <c r="Y89" s="39">
        <v>80</v>
      </c>
      <c r="Z89" s="39">
        <v>2</v>
      </c>
      <c r="AA89" s="33">
        <v>6</v>
      </c>
      <c r="AB89" s="35" t="str">
        <f>VLOOKUP(AA89,Key!$C$20:$D$29,2,FALSE)</f>
        <v>Businessman</v>
      </c>
      <c r="AC89" s="33">
        <v>2</v>
      </c>
      <c r="AD89" s="35" t="str">
        <f>VLOOKUP(AC89,Key!$E$20:$F$24,2,FALSE)</f>
        <v>300,000-500,000</v>
      </c>
      <c r="AE89" s="33">
        <v>5</v>
      </c>
      <c r="AF89" s="39">
        <v>2</v>
      </c>
      <c r="AG89" s="39">
        <v>3</v>
      </c>
      <c r="AH89" s="39">
        <v>5</v>
      </c>
      <c r="AI89" s="39">
        <v>2</v>
      </c>
      <c r="AJ89" s="40" t="s">
        <v>100</v>
      </c>
      <c r="AK89" s="41"/>
      <c r="AL89" s="25"/>
      <c r="AM89" s="25"/>
    </row>
    <row r="90" spans="2:39" x14ac:dyDescent="0.2">
      <c r="B90" s="52">
        <v>43697</v>
      </c>
      <c r="C90" s="36">
        <v>0.4465277777777778</v>
      </c>
      <c r="D90" s="36"/>
      <c r="E90" s="36" t="s">
        <v>159</v>
      </c>
      <c r="F90" s="38">
        <v>2</v>
      </c>
      <c r="G90" s="43" t="str">
        <f>VLOOKUP(F90,Key!$A$17:$B$21,2,FALSE)</f>
        <v>Road Vehicle</v>
      </c>
      <c r="H90" s="37">
        <v>4</v>
      </c>
      <c r="I90" s="44" t="str">
        <f>VLOOKUP(H90,Key!$A$2:$B$13,2,FALSE)</f>
        <v>Minibus</v>
      </c>
      <c r="J90" s="38" t="s">
        <v>163</v>
      </c>
      <c r="K90" s="38">
        <v>1</v>
      </c>
      <c r="L90" s="46" t="str">
        <f>VLOOKUP(K90,Key!$A$24:$B$29,2,FALSE)</f>
        <v>20-29</v>
      </c>
      <c r="M90" s="38" t="s">
        <v>160</v>
      </c>
      <c r="N90" s="33" t="s">
        <v>160</v>
      </c>
      <c r="O90" s="19" t="s">
        <v>161</v>
      </c>
      <c r="P90" s="40">
        <v>1</v>
      </c>
      <c r="Q90" s="35" t="str">
        <f>VLOOKUP(P90,Key!$E$2:$F$9,2,FALSE)</f>
        <v>Home</v>
      </c>
      <c r="R90" s="38" t="s">
        <v>219</v>
      </c>
      <c r="S90" s="33" t="s">
        <v>190</v>
      </c>
      <c r="T90" s="38" t="s">
        <v>161</v>
      </c>
      <c r="U90" s="33">
        <v>2</v>
      </c>
      <c r="V90" s="35" t="str">
        <f>VLOOKUP(U90,Key!$E$2:$F$9,2,FALSE)</f>
        <v>Work</v>
      </c>
      <c r="W90" s="35" t="str">
        <f>Q90&amp;"-"&amp;V90</f>
        <v>Home-Work</v>
      </c>
      <c r="X90" s="33">
        <v>7000</v>
      </c>
      <c r="Y90" s="39">
        <v>68</v>
      </c>
      <c r="Z90" s="39">
        <v>1</v>
      </c>
      <c r="AA90" s="33">
        <v>6</v>
      </c>
      <c r="AB90" s="35" t="str">
        <f>VLOOKUP(AA90,Key!$C$20:$D$29,2,FALSE)</f>
        <v>Businessman</v>
      </c>
      <c r="AC90" s="33">
        <v>1</v>
      </c>
      <c r="AD90" s="35" t="str">
        <f>VLOOKUP(AC90,Key!$E$20:$F$24,2,FALSE)</f>
        <v>&lt;300,000</v>
      </c>
      <c r="AE90" s="33">
        <v>2</v>
      </c>
      <c r="AF90" s="39">
        <v>1</v>
      </c>
      <c r="AG90" s="39">
        <v>1</v>
      </c>
      <c r="AH90" s="39">
        <v>2</v>
      </c>
      <c r="AI90" s="39">
        <v>2</v>
      </c>
      <c r="AJ90" s="40" t="s">
        <v>100</v>
      </c>
      <c r="AK90" s="41"/>
      <c r="AL90" s="25"/>
      <c r="AM90" s="25"/>
    </row>
    <row r="91" spans="2:39" x14ac:dyDescent="0.2">
      <c r="B91" s="52">
        <v>43697</v>
      </c>
      <c r="C91" s="36">
        <v>0.39583333333333331</v>
      </c>
      <c r="D91" s="36"/>
      <c r="E91" s="36" t="s">
        <v>159</v>
      </c>
      <c r="F91" s="38">
        <v>2</v>
      </c>
      <c r="G91" s="43" t="str">
        <f>VLOOKUP(F91,Key!$A$17:$B$21,2,FALSE)</f>
        <v>Road Vehicle</v>
      </c>
      <c r="H91" s="37">
        <v>4</v>
      </c>
      <c r="I91" s="44" t="str">
        <f>VLOOKUP(H91,Key!$A$2:$B$13,2,FALSE)</f>
        <v>Minibus</v>
      </c>
      <c r="J91" s="38" t="s">
        <v>163</v>
      </c>
      <c r="K91" s="38">
        <v>1</v>
      </c>
      <c r="L91" s="46" t="str">
        <f>VLOOKUP(K91,Key!$A$24:$B$29,2,FALSE)</f>
        <v>20-29</v>
      </c>
      <c r="M91" s="38" t="s">
        <v>160</v>
      </c>
      <c r="N91" s="33" t="s">
        <v>160</v>
      </c>
      <c r="O91" s="19" t="s">
        <v>161</v>
      </c>
      <c r="P91" s="40">
        <v>1</v>
      </c>
      <c r="Q91" s="35" t="str">
        <f>VLOOKUP(P91,Key!$E$2:$F$9,2,FALSE)</f>
        <v>Home</v>
      </c>
      <c r="R91" s="38" t="s">
        <v>190</v>
      </c>
      <c r="S91" s="33" t="s">
        <v>190</v>
      </c>
      <c r="T91" s="38" t="s">
        <v>161</v>
      </c>
      <c r="U91" s="33">
        <v>2</v>
      </c>
      <c r="V91" s="35" t="str">
        <f>VLOOKUP(U91,Key!$E$2:$F$9,2,FALSE)</f>
        <v>Work</v>
      </c>
      <c r="W91" s="35" t="str">
        <f>Q91&amp;"-"&amp;V91</f>
        <v>Home-Work</v>
      </c>
      <c r="X91" s="33">
        <v>70000</v>
      </c>
      <c r="Y91" s="39">
        <v>35</v>
      </c>
      <c r="Z91" s="39">
        <v>1</v>
      </c>
      <c r="AA91" s="33">
        <v>8</v>
      </c>
      <c r="AB91" s="35" t="str">
        <f>VLOOKUP(AA91,Key!$C$20:$D$29,2,FALSE)</f>
        <v>Student</v>
      </c>
      <c r="AC91" s="33">
        <v>1</v>
      </c>
      <c r="AD91" s="35" t="str">
        <f>VLOOKUP(AC91,Key!$E$20:$F$24,2,FALSE)</f>
        <v>&lt;300,000</v>
      </c>
      <c r="AE91" s="33">
        <v>2</v>
      </c>
      <c r="AF91" s="39">
        <v>4</v>
      </c>
      <c r="AG91" s="39">
        <v>1</v>
      </c>
      <c r="AH91" s="39">
        <v>2</v>
      </c>
      <c r="AI91" s="39">
        <v>1</v>
      </c>
      <c r="AJ91" s="40" t="s">
        <v>100</v>
      </c>
      <c r="AK91" s="41"/>
      <c r="AL91" s="25"/>
      <c r="AM91" s="25"/>
    </row>
    <row r="92" spans="2:39" x14ac:dyDescent="0.2">
      <c r="B92" s="52">
        <v>43695</v>
      </c>
      <c r="C92" s="36">
        <v>5.5555555555555552E-2</v>
      </c>
      <c r="D92" s="36"/>
      <c r="E92" s="36" t="s">
        <v>159</v>
      </c>
      <c r="F92" s="38">
        <v>2</v>
      </c>
      <c r="G92" s="43" t="str">
        <f>VLOOKUP(F92,Key!$A$17:$B$21,2,FALSE)</f>
        <v>Road Vehicle</v>
      </c>
      <c r="H92" s="37">
        <v>4</v>
      </c>
      <c r="I92" s="44" t="str">
        <f>VLOOKUP(H92,Key!$A$2:$B$13,2,FALSE)</f>
        <v>Minibus</v>
      </c>
      <c r="J92" s="38" t="s">
        <v>117</v>
      </c>
      <c r="K92" s="38">
        <v>1</v>
      </c>
      <c r="L92" s="46" t="str">
        <f>VLOOKUP(K92,Key!$A$24:$B$29,2,FALSE)</f>
        <v>20-29</v>
      </c>
      <c r="M92" s="45" t="s">
        <v>160</v>
      </c>
      <c r="N92" s="33" t="s">
        <v>160</v>
      </c>
      <c r="O92" s="19" t="s">
        <v>161</v>
      </c>
      <c r="P92" s="40">
        <v>2</v>
      </c>
      <c r="Q92" s="35" t="str">
        <f>VLOOKUP(P92,Key!$E$2:$F$9,2,FALSE)</f>
        <v>Work</v>
      </c>
      <c r="R92" s="38" t="s">
        <v>165</v>
      </c>
      <c r="S92" s="33" t="s">
        <v>165</v>
      </c>
      <c r="T92" s="38" t="s">
        <v>161</v>
      </c>
      <c r="U92" s="33">
        <v>1</v>
      </c>
      <c r="V92" s="35" t="str">
        <f>VLOOKUP(U92,Key!$E$2:$F$9,2,FALSE)</f>
        <v>Home</v>
      </c>
      <c r="W92" s="35" t="str">
        <f>Q92&amp;"-"&amp;V92</f>
        <v>Work-Home</v>
      </c>
      <c r="X92" s="48">
        <v>7000</v>
      </c>
      <c r="Y92" s="39"/>
      <c r="Z92" s="39">
        <v>0.8</v>
      </c>
      <c r="AA92" s="33">
        <v>6</v>
      </c>
      <c r="AB92" s="35" t="str">
        <f>VLOOKUP(AA92,Key!$C$20:$D$29,2,FALSE)</f>
        <v>Businessman</v>
      </c>
      <c r="AC92" s="33">
        <v>1</v>
      </c>
      <c r="AD92" s="35" t="str">
        <f>VLOOKUP(AC92,Key!$E$20:$F$24,2,FALSE)</f>
        <v>&lt;300,000</v>
      </c>
      <c r="AE92" s="33">
        <v>1</v>
      </c>
      <c r="AF92" s="39">
        <v>4</v>
      </c>
      <c r="AG92" s="39">
        <v>3</v>
      </c>
      <c r="AH92" s="39">
        <v>2</v>
      </c>
      <c r="AI92" s="39">
        <v>5</v>
      </c>
      <c r="AJ92" s="40" t="s">
        <v>100</v>
      </c>
      <c r="AK92" s="41">
        <v>500</v>
      </c>
      <c r="AL92" s="25"/>
      <c r="AM92" s="25"/>
    </row>
    <row r="93" spans="2:39" x14ac:dyDescent="0.2">
      <c r="B93" s="52">
        <v>43695</v>
      </c>
      <c r="C93" s="36">
        <v>0.54166666666666663</v>
      </c>
      <c r="D93" s="36"/>
      <c r="E93" s="36" t="s">
        <v>159</v>
      </c>
      <c r="F93" s="38">
        <v>2</v>
      </c>
      <c r="G93" s="43" t="str">
        <f>VLOOKUP(F93,Key!$A$17:$B$21,2,FALSE)</f>
        <v>Road Vehicle</v>
      </c>
      <c r="H93" s="37">
        <v>4</v>
      </c>
      <c r="I93" s="44" t="str">
        <f>VLOOKUP(H93,Key!$A$2:$B$13,2,FALSE)</f>
        <v>Minibus</v>
      </c>
      <c r="J93" s="38" t="s">
        <v>117</v>
      </c>
      <c r="K93" s="38">
        <v>1</v>
      </c>
      <c r="L93" s="46" t="str">
        <f>VLOOKUP(K93,Key!$A$24:$B$29,2,FALSE)</f>
        <v>20-29</v>
      </c>
      <c r="M93" s="45" t="s">
        <v>160</v>
      </c>
      <c r="N93" s="33" t="s">
        <v>160</v>
      </c>
      <c r="O93" s="19" t="s">
        <v>161</v>
      </c>
      <c r="P93" s="40">
        <v>1</v>
      </c>
      <c r="Q93" s="35" t="str">
        <f>VLOOKUP(P93,Key!$E$2:$F$9,2,FALSE)</f>
        <v>Home</v>
      </c>
      <c r="R93" s="38" t="s">
        <v>173</v>
      </c>
      <c r="S93" s="33" t="s">
        <v>174</v>
      </c>
      <c r="T93" s="38" t="s">
        <v>161</v>
      </c>
      <c r="U93" s="33">
        <v>8</v>
      </c>
      <c r="V93" s="35" t="str">
        <f>VLOOKUP(U93,Key!$E$2:$F$9,2,FALSE)</f>
        <v>Others</v>
      </c>
      <c r="W93" s="35" t="str">
        <f>Q93&amp;"-"&amp;V93</f>
        <v>Home-Others</v>
      </c>
      <c r="X93" s="48">
        <v>10000</v>
      </c>
      <c r="Y93" s="39">
        <v>40</v>
      </c>
      <c r="Z93" s="39">
        <v>2</v>
      </c>
      <c r="AA93" s="33">
        <v>8</v>
      </c>
      <c r="AB93" s="35" t="str">
        <f>VLOOKUP(AA93,Key!$C$20:$D$29,2,FALSE)</f>
        <v>Student</v>
      </c>
      <c r="AC93" s="33">
        <v>1</v>
      </c>
      <c r="AD93" s="35" t="str">
        <f>VLOOKUP(AC93,Key!$E$20:$F$24,2,FALSE)</f>
        <v>&lt;300,000</v>
      </c>
      <c r="AE93" s="33">
        <v>2</v>
      </c>
      <c r="AF93" s="39">
        <v>1</v>
      </c>
      <c r="AG93" s="39">
        <v>2</v>
      </c>
      <c r="AH93" s="39">
        <v>3</v>
      </c>
      <c r="AI93" s="39">
        <v>1</v>
      </c>
      <c r="AJ93" s="40" t="s">
        <v>100</v>
      </c>
      <c r="AK93" s="41"/>
      <c r="AL93" s="25"/>
      <c r="AM93" s="25"/>
    </row>
    <row r="94" spans="2:39" x14ac:dyDescent="0.2">
      <c r="B94" s="52">
        <v>43695</v>
      </c>
      <c r="C94" s="36">
        <v>0.5541666666666667</v>
      </c>
      <c r="D94" s="36" t="s">
        <v>179</v>
      </c>
      <c r="E94" s="36" t="s">
        <v>159</v>
      </c>
      <c r="F94" s="38">
        <v>2</v>
      </c>
      <c r="G94" s="43" t="str">
        <f>VLOOKUP(F94,Key!$A$17:$B$21,2,FALSE)</f>
        <v>Road Vehicle</v>
      </c>
      <c r="H94" s="37">
        <v>4</v>
      </c>
      <c r="I94" s="44" t="str">
        <f>VLOOKUP(H94,Key!$A$2:$B$13,2,FALSE)</f>
        <v>Minibus</v>
      </c>
      <c r="J94" s="38" t="s">
        <v>117</v>
      </c>
      <c r="K94" s="38">
        <v>1</v>
      </c>
      <c r="L94" s="46" t="str">
        <f>VLOOKUP(K94,Key!$A$24:$B$29,2,FALSE)</f>
        <v>20-29</v>
      </c>
      <c r="M94" s="45" t="s">
        <v>160</v>
      </c>
      <c r="N94" s="33" t="s">
        <v>160</v>
      </c>
      <c r="O94" s="19" t="s">
        <v>161</v>
      </c>
      <c r="P94" s="40">
        <v>1</v>
      </c>
      <c r="Q94" s="35" t="str">
        <f>VLOOKUP(P94,Key!$E$2:$F$9,2,FALSE)</f>
        <v>Home</v>
      </c>
      <c r="R94" s="38" t="s">
        <v>180</v>
      </c>
      <c r="S94" s="33" t="s">
        <v>180</v>
      </c>
      <c r="T94" s="38" t="s">
        <v>161</v>
      </c>
      <c r="U94" s="33">
        <v>7</v>
      </c>
      <c r="V94" s="35" t="str">
        <f>VLOOKUP(U94,Key!$E$2:$F$9,2,FALSE)</f>
        <v>Hospital</v>
      </c>
      <c r="W94" s="35" t="str">
        <f>Q94&amp;"-"&amp;V94</f>
        <v>Home-Hospital</v>
      </c>
      <c r="X94" s="48">
        <v>15000</v>
      </c>
      <c r="Y94" s="39">
        <v>55</v>
      </c>
      <c r="Z94" s="39">
        <v>1.5</v>
      </c>
      <c r="AA94" s="33">
        <v>6</v>
      </c>
      <c r="AB94" s="35" t="str">
        <f>VLOOKUP(AA94,Key!$C$20:$D$29,2,FALSE)</f>
        <v>Businessman</v>
      </c>
      <c r="AC94" s="33">
        <v>1</v>
      </c>
      <c r="AD94" s="35" t="str">
        <f>VLOOKUP(AC94,Key!$E$20:$F$24,2,FALSE)</f>
        <v>&lt;300,000</v>
      </c>
      <c r="AE94" s="33">
        <v>5</v>
      </c>
      <c r="AF94" s="39">
        <v>2</v>
      </c>
      <c r="AG94" s="39">
        <v>3</v>
      </c>
      <c r="AH94" s="39">
        <v>5</v>
      </c>
      <c r="AI94" s="39">
        <v>2</v>
      </c>
      <c r="AJ94" s="40" t="s">
        <v>100</v>
      </c>
      <c r="AK94" s="41"/>
      <c r="AL94" s="25"/>
      <c r="AM94" s="25"/>
    </row>
    <row r="95" spans="2:39" x14ac:dyDescent="0.2">
      <c r="B95" s="52">
        <v>43697</v>
      </c>
      <c r="C95" s="36">
        <v>0.35416666666666669</v>
      </c>
      <c r="D95" s="36"/>
      <c r="E95" s="36" t="s">
        <v>159</v>
      </c>
      <c r="F95" s="38">
        <v>2</v>
      </c>
      <c r="G95" s="43" t="str">
        <f>VLOOKUP(F95,Key!$A$17:$B$21,2,FALSE)</f>
        <v>Road Vehicle</v>
      </c>
      <c r="H95" s="37">
        <v>4</v>
      </c>
      <c r="I95" s="44" t="str">
        <f>VLOOKUP(H95,Key!$A$2:$B$13,2,FALSE)</f>
        <v>Minibus</v>
      </c>
      <c r="J95" s="38" t="s">
        <v>117</v>
      </c>
      <c r="K95" s="38">
        <v>1</v>
      </c>
      <c r="L95" s="46" t="str">
        <f>VLOOKUP(K95,Key!$A$24:$B$29,2,FALSE)</f>
        <v>20-29</v>
      </c>
      <c r="M95" s="38" t="s">
        <v>160</v>
      </c>
      <c r="N95" s="33" t="s">
        <v>160</v>
      </c>
      <c r="O95" s="19" t="s">
        <v>161</v>
      </c>
      <c r="P95" s="40">
        <v>1</v>
      </c>
      <c r="Q95" s="35" t="str">
        <f>VLOOKUP(P95,Key!$E$2:$F$9,2,FALSE)</f>
        <v>Home</v>
      </c>
      <c r="R95" s="38" t="s">
        <v>260</v>
      </c>
      <c r="S95" s="33" t="s">
        <v>174</v>
      </c>
      <c r="T95" s="38" t="s">
        <v>161</v>
      </c>
      <c r="U95" s="33">
        <v>2</v>
      </c>
      <c r="V95" s="35" t="str">
        <f>VLOOKUP(U95,Key!$E$2:$F$9,2,FALSE)</f>
        <v>Work</v>
      </c>
      <c r="W95" s="35" t="str">
        <f>Q95&amp;"-"&amp;V95</f>
        <v>Home-Work</v>
      </c>
      <c r="X95" s="33">
        <v>10000</v>
      </c>
      <c r="Y95" s="39">
        <v>65</v>
      </c>
      <c r="Z95" s="39">
        <v>1</v>
      </c>
      <c r="AA95" s="33">
        <v>6</v>
      </c>
      <c r="AB95" s="35" t="str">
        <f>VLOOKUP(AA95,Key!$C$20:$D$29,2,FALSE)</f>
        <v>Businessman</v>
      </c>
      <c r="AC95" s="33">
        <v>1</v>
      </c>
      <c r="AD95" s="35" t="str">
        <f>VLOOKUP(AC95,Key!$E$20:$F$24,2,FALSE)</f>
        <v>&lt;300,000</v>
      </c>
      <c r="AE95" s="33">
        <v>5</v>
      </c>
      <c r="AF95" s="39">
        <v>3</v>
      </c>
      <c r="AG95" s="39">
        <v>2</v>
      </c>
      <c r="AH95" s="39">
        <v>5</v>
      </c>
      <c r="AI95" s="39">
        <v>2</v>
      </c>
      <c r="AJ95" s="40" t="s">
        <v>100</v>
      </c>
      <c r="AK95" s="41"/>
      <c r="AL95" s="25"/>
      <c r="AM95" s="25"/>
    </row>
    <row r="96" spans="2:39" x14ac:dyDescent="0.2">
      <c r="B96" s="52">
        <v>43697</v>
      </c>
      <c r="C96" s="36">
        <v>0.43402777777777773</v>
      </c>
      <c r="D96" s="36"/>
      <c r="E96" s="36" t="s">
        <v>159</v>
      </c>
      <c r="F96" s="38">
        <v>2</v>
      </c>
      <c r="G96" s="43" t="str">
        <f>VLOOKUP(F96,Key!$A$17:$B$21,2,FALSE)</f>
        <v>Road Vehicle</v>
      </c>
      <c r="H96" s="37">
        <v>4</v>
      </c>
      <c r="I96" s="44" t="str">
        <f>VLOOKUP(H96,Key!$A$2:$B$13,2,FALSE)</f>
        <v>Minibus</v>
      </c>
      <c r="J96" s="38" t="s">
        <v>117</v>
      </c>
      <c r="K96" s="38">
        <v>1</v>
      </c>
      <c r="L96" s="46" t="str">
        <f>VLOOKUP(K96,Key!$A$24:$B$29,2,FALSE)</f>
        <v>20-29</v>
      </c>
      <c r="M96" s="38" t="s">
        <v>160</v>
      </c>
      <c r="N96" s="33" t="s">
        <v>160</v>
      </c>
      <c r="O96" s="19" t="s">
        <v>161</v>
      </c>
      <c r="P96" s="40">
        <v>1</v>
      </c>
      <c r="Q96" s="35" t="str">
        <f>VLOOKUP(P96,Key!$E$2:$F$9,2,FALSE)</f>
        <v>Home</v>
      </c>
      <c r="R96" s="38" t="s">
        <v>244</v>
      </c>
      <c r="S96" s="33" t="s">
        <v>190</v>
      </c>
      <c r="T96" s="38" t="s">
        <v>161</v>
      </c>
      <c r="U96" s="33">
        <v>8</v>
      </c>
      <c r="V96" s="35" t="str">
        <f>VLOOKUP(U96,Key!$E$2:$F$9,2,FALSE)</f>
        <v>Others</v>
      </c>
      <c r="W96" s="35" t="str">
        <f>Q96&amp;"-"&amp;V96</f>
        <v>Home-Others</v>
      </c>
      <c r="X96" s="33">
        <v>8000</v>
      </c>
      <c r="Y96" s="39">
        <v>40</v>
      </c>
      <c r="Z96" s="39">
        <v>0.8</v>
      </c>
      <c r="AA96" s="33">
        <v>6</v>
      </c>
      <c r="AB96" s="35" t="str">
        <f>VLOOKUP(AA96,Key!$C$20:$D$29,2,FALSE)</f>
        <v>Businessman</v>
      </c>
      <c r="AC96" s="33">
        <v>1</v>
      </c>
      <c r="AD96" s="35" t="str">
        <f>VLOOKUP(AC96,Key!$E$20:$F$24,2,FALSE)</f>
        <v>&lt;300,000</v>
      </c>
      <c r="AE96" s="33"/>
      <c r="AF96" s="39"/>
      <c r="AG96" s="39"/>
      <c r="AH96" s="39"/>
      <c r="AI96" s="39"/>
      <c r="AJ96" s="40" t="s">
        <v>100</v>
      </c>
      <c r="AK96" s="41"/>
      <c r="AL96" s="25"/>
      <c r="AM96" s="25"/>
    </row>
    <row r="97" spans="1:39" x14ac:dyDescent="0.2">
      <c r="A97" s="10"/>
      <c r="B97" s="52">
        <v>43697</v>
      </c>
      <c r="C97" s="36">
        <v>0.51736111111111105</v>
      </c>
      <c r="D97" s="36"/>
      <c r="E97" s="36" t="s">
        <v>159</v>
      </c>
      <c r="F97" s="38">
        <v>2</v>
      </c>
      <c r="G97" s="43" t="str">
        <f>VLOOKUP(F97,Key!$A$17:$B$21,2,FALSE)</f>
        <v>Road Vehicle</v>
      </c>
      <c r="H97" s="37">
        <v>4</v>
      </c>
      <c r="I97" s="44" t="str">
        <f>VLOOKUP(H97,Key!$A$2:$B$13,2,FALSE)</f>
        <v>Minibus</v>
      </c>
      <c r="J97" s="38" t="s">
        <v>117</v>
      </c>
      <c r="K97" s="38">
        <v>1</v>
      </c>
      <c r="L97" s="46" t="str">
        <f>VLOOKUP(K97,Key!$A$24:$B$29,2,FALSE)</f>
        <v>20-29</v>
      </c>
      <c r="M97" s="38" t="s">
        <v>160</v>
      </c>
      <c r="N97" s="33" t="s">
        <v>160</v>
      </c>
      <c r="O97" s="19" t="s">
        <v>161</v>
      </c>
      <c r="P97" s="40">
        <v>1</v>
      </c>
      <c r="Q97" s="35" t="str">
        <f>VLOOKUP(P97,Key!$E$2:$F$9,2,FALSE)</f>
        <v>Home</v>
      </c>
      <c r="R97" s="38" t="s">
        <v>213</v>
      </c>
      <c r="S97" s="33" t="s">
        <v>214</v>
      </c>
      <c r="T97" s="38" t="s">
        <v>161</v>
      </c>
      <c r="U97" s="33">
        <v>2</v>
      </c>
      <c r="V97" s="35" t="str">
        <f>VLOOKUP(U97,Key!$E$2:$F$9,2,FALSE)</f>
        <v>Work</v>
      </c>
      <c r="W97" s="35" t="str">
        <f>Q97&amp;"-"&amp;V97</f>
        <v>Home-Work</v>
      </c>
      <c r="X97" s="33">
        <v>8000</v>
      </c>
      <c r="Y97" s="39">
        <v>68</v>
      </c>
      <c r="Z97" s="39">
        <v>1</v>
      </c>
      <c r="AA97" s="33">
        <v>6</v>
      </c>
      <c r="AB97" s="35" t="str">
        <f>VLOOKUP(AA97,Key!$C$20:$D$29,2,FALSE)</f>
        <v>Businessman</v>
      </c>
      <c r="AC97" s="33">
        <v>1</v>
      </c>
      <c r="AD97" s="35" t="str">
        <f>VLOOKUP(AC97,Key!$E$20:$F$24,2,FALSE)</f>
        <v>&lt;300,000</v>
      </c>
      <c r="AE97" s="33">
        <v>5</v>
      </c>
      <c r="AF97" s="39">
        <v>4</v>
      </c>
      <c r="AG97" s="39">
        <v>2</v>
      </c>
      <c r="AH97" s="39">
        <v>5</v>
      </c>
      <c r="AI97" s="39">
        <v>2</v>
      </c>
      <c r="AJ97" s="40" t="s">
        <v>100</v>
      </c>
      <c r="AK97" s="41"/>
      <c r="AL97" s="25"/>
      <c r="AM97" s="25"/>
    </row>
    <row r="98" spans="1:39" x14ac:dyDescent="0.2">
      <c r="B98" s="52">
        <v>43697</v>
      </c>
      <c r="C98" s="36">
        <v>0.50555555555555554</v>
      </c>
      <c r="D98" s="36"/>
      <c r="E98" s="36" t="s">
        <v>159</v>
      </c>
      <c r="F98" s="38">
        <v>2</v>
      </c>
      <c r="G98" s="43" t="str">
        <f>VLOOKUP(F98,Key!$A$17:$B$21,2,FALSE)</f>
        <v>Road Vehicle</v>
      </c>
      <c r="H98" s="37">
        <v>4</v>
      </c>
      <c r="I98" s="44" t="str">
        <f>VLOOKUP(H98,Key!$A$2:$B$13,2,FALSE)</f>
        <v>Minibus</v>
      </c>
      <c r="J98" s="38" t="s">
        <v>117</v>
      </c>
      <c r="K98" s="38">
        <v>1</v>
      </c>
      <c r="L98" s="46" t="str">
        <f>VLOOKUP(K98,Key!$A$24:$B$29,2,FALSE)</f>
        <v>20-29</v>
      </c>
      <c r="M98" s="38" t="s">
        <v>160</v>
      </c>
      <c r="N98" s="33" t="s">
        <v>160</v>
      </c>
      <c r="O98" s="19" t="s">
        <v>161</v>
      </c>
      <c r="P98" s="40">
        <v>1</v>
      </c>
      <c r="Q98" s="35" t="str">
        <f>VLOOKUP(P98,Key!$E$2:$F$9,2,FALSE)</f>
        <v>Home</v>
      </c>
      <c r="R98" s="38" t="s">
        <v>229</v>
      </c>
      <c r="S98" s="33" t="s">
        <v>229</v>
      </c>
      <c r="T98" s="38" t="s">
        <v>161</v>
      </c>
      <c r="U98" s="33">
        <v>8</v>
      </c>
      <c r="V98" s="35" t="str">
        <f>VLOOKUP(U98,Key!$E$2:$F$9,2,FALSE)</f>
        <v>Others</v>
      </c>
      <c r="W98" s="35" t="str">
        <f>Q98&amp;"-"&amp;V98</f>
        <v>Home-Others</v>
      </c>
      <c r="X98" s="33">
        <v>25000</v>
      </c>
      <c r="Y98" s="39">
        <v>145</v>
      </c>
      <c r="Z98" s="39">
        <v>3</v>
      </c>
      <c r="AA98" s="33">
        <v>6</v>
      </c>
      <c r="AB98" s="35" t="str">
        <f>VLOOKUP(AA98,Key!$C$20:$D$29,2,FALSE)</f>
        <v>Businessman</v>
      </c>
      <c r="AC98" s="33">
        <v>1</v>
      </c>
      <c r="AD98" s="35" t="str">
        <f>VLOOKUP(AC98,Key!$E$20:$F$24,2,FALSE)</f>
        <v>&lt;300,000</v>
      </c>
      <c r="AE98" s="33">
        <v>2</v>
      </c>
      <c r="AF98" s="39">
        <v>2</v>
      </c>
      <c r="AG98" s="39">
        <v>1</v>
      </c>
      <c r="AH98" s="39">
        <v>3</v>
      </c>
      <c r="AI98" s="39">
        <v>2</v>
      </c>
      <c r="AJ98" s="40" t="s">
        <v>100</v>
      </c>
      <c r="AK98" s="41"/>
      <c r="AL98" s="25"/>
      <c r="AM98" s="25"/>
    </row>
    <row r="99" spans="1:39" x14ac:dyDescent="0.2">
      <c r="B99" s="52">
        <v>43697</v>
      </c>
      <c r="C99" s="36">
        <v>0.42222222222222222</v>
      </c>
      <c r="D99" s="36"/>
      <c r="E99" s="36" t="s">
        <v>159</v>
      </c>
      <c r="F99" s="38">
        <v>2</v>
      </c>
      <c r="G99" s="43" t="str">
        <f>VLOOKUP(F99,Key!$A$17:$B$21,2,FALSE)</f>
        <v>Road Vehicle</v>
      </c>
      <c r="H99" s="37">
        <v>4</v>
      </c>
      <c r="I99" s="44" t="str">
        <f>VLOOKUP(H99,Key!$A$2:$B$13,2,FALSE)</f>
        <v>Minibus</v>
      </c>
      <c r="J99" s="38" t="s">
        <v>117</v>
      </c>
      <c r="K99" s="38">
        <v>1</v>
      </c>
      <c r="L99" s="46" t="str">
        <f>VLOOKUP(K99,Key!$A$24:$B$29,2,FALSE)</f>
        <v>20-29</v>
      </c>
      <c r="M99" s="38" t="s">
        <v>160</v>
      </c>
      <c r="N99" s="33" t="s">
        <v>160</v>
      </c>
      <c r="O99" s="19" t="s">
        <v>161</v>
      </c>
      <c r="P99" s="40">
        <v>1</v>
      </c>
      <c r="Q99" s="35" t="str">
        <f>VLOOKUP(P99,Key!$E$2:$F$9,2,FALSE)</f>
        <v>Home</v>
      </c>
      <c r="R99" s="38" t="s">
        <v>271</v>
      </c>
      <c r="S99" s="33" t="s">
        <v>172</v>
      </c>
      <c r="T99" s="38" t="s">
        <v>161</v>
      </c>
      <c r="U99" s="33">
        <v>2</v>
      </c>
      <c r="V99" s="35" t="str">
        <f>VLOOKUP(U99,Key!$E$2:$F$9,2,FALSE)</f>
        <v>Work</v>
      </c>
      <c r="W99" s="35" t="str">
        <f>Q99&amp;"-"&amp;V99</f>
        <v>Home-Work</v>
      </c>
      <c r="X99" s="33">
        <v>10000</v>
      </c>
      <c r="Y99" s="39">
        <v>60</v>
      </c>
      <c r="Z99" s="39">
        <v>1.5</v>
      </c>
      <c r="AA99" s="33">
        <v>6</v>
      </c>
      <c r="AB99" s="35" t="str">
        <f>VLOOKUP(AA99,Key!$C$20:$D$29,2,FALSE)</f>
        <v>Businessman</v>
      </c>
      <c r="AC99" s="33">
        <v>1</v>
      </c>
      <c r="AD99" s="35" t="str">
        <f>VLOOKUP(AC99,Key!$E$20:$F$24,2,FALSE)</f>
        <v>&lt;300,000</v>
      </c>
      <c r="AE99" s="33">
        <v>5</v>
      </c>
      <c r="AF99" s="39">
        <v>2</v>
      </c>
      <c r="AG99" s="39">
        <v>2</v>
      </c>
      <c r="AH99" s="39">
        <v>5</v>
      </c>
      <c r="AI99" s="39">
        <v>1</v>
      </c>
      <c r="AJ99" s="40" t="s">
        <v>100</v>
      </c>
      <c r="AK99" s="41"/>
      <c r="AL99" s="25"/>
      <c r="AM99" s="25"/>
    </row>
    <row r="100" spans="1:39" x14ac:dyDescent="0.2">
      <c r="B100" s="52">
        <v>43695</v>
      </c>
      <c r="C100" s="36">
        <v>0.5625</v>
      </c>
      <c r="D100" s="36"/>
      <c r="E100" s="36" t="s">
        <v>159</v>
      </c>
      <c r="F100" s="38">
        <v>2</v>
      </c>
      <c r="G100" s="43" t="str">
        <f>VLOOKUP(F100,Key!$A$17:$B$21,2,FALSE)</f>
        <v>Road Vehicle</v>
      </c>
      <c r="H100" s="37">
        <v>4</v>
      </c>
      <c r="I100" s="44" t="str">
        <f>VLOOKUP(H100,Key!$A$2:$B$13,2,FALSE)</f>
        <v>Minibus</v>
      </c>
      <c r="J100" s="38" t="s">
        <v>163</v>
      </c>
      <c r="K100" s="38">
        <v>2</v>
      </c>
      <c r="L100" s="46" t="str">
        <f>VLOOKUP(K100,Key!$A$24:$B$29,2,FALSE)</f>
        <v>30-39</v>
      </c>
      <c r="M100" s="38" t="s">
        <v>160</v>
      </c>
      <c r="N100" s="33" t="s">
        <v>160</v>
      </c>
      <c r="O100" s="19" t="s">
        <v>161</v>
      </c>
      <c r="P100" s="40">
        <v>1</v>
      </c>
      <c r="Q100" s="35" t="str">
        <f>VLOOKUP(P100,Key!$E$2:$F$9,2,FALSE)</f>
        <v>Home</v>
      </c>
      <c r="R100" s="38" t="s">
        <v>173</v>
      </c>
      <c r="S100" s="33" t="s">
        <v>174</v>
      </c>
      <c r="T100" s="38" t="s">
        <v>161</v>
      </c>
      <c r="U100" s="33">
        <v>8</v>
      </c>
      <c r="V100" s="35" t="str">
        <f>VLOOKUP(U100,Key!$E$2:$F$9,2,FALSE)</f>
        <v>Others</v>
      </c>
      <c r="W100" s="35" t="str">
        <f>Q100&amp;"-"&amp;V100</f>
        <v>Home-Others</v>
      </c>
      <c r="X100" s="48">
        <v>10000</v>
      </c>
      <c r="Y100" s="39">
        <v>55</v>
      </c>
      <c r="Z100" s="39">
        <v>2</v>
      </c>
      <c r="AA100" s="33">
        <v>6</v>
      </c>
      <c r="AB100" s="35" t="str">
        <f>VLOOKUP(AA100,Key!$C$20:$D$29,2,FALSE)</f>
        <v>Businessman</v>
      </c>
      <c r="AC100" s="33">
        <v>1</v>
      </c>
      <c r="AD100" s="35" t="str">
        <f>VLOOKUP(AC100,Key!$E$20:$F$24,2,FALSE)</f>
        <v>&lt;300,000</v>
      </c>
      <c r="AE100" s="33">
        <v>2</v>
      </c>
      <c r="AF100" s="39">
        <v>1</v>
      </c>
      <c r="AG100" s="39">
        <v>3</v>
      </c>
      <c r="AH100" s="39">
        <v>5</v>
      </c>
      <c r="AI100" s="39">
        <v>2</v>
      </c>
      <c r="AJ100" s="40" t="s">
        <v>100</v>
      </c>
      <c r="AK100" s="41"/>
      <c r="AL100" s="25"/>
      <c r="AM100" s="25"/>
    </row>
    <row r="101" spans="1:39" x14ac:dyDescent="0.2">
      <c r="B101" s="52">
        <v>43695</v>
      </c>
      <c r="C101" s="36">
        <v>0.63194444444444442</v>
      </c>
      <c r="D101" s="36"/>
      <c r="E101" s="36" t="s">
        <v>159</v>
      </c>
      <c r="F101" s="38">
        <v>2</v>
      </c>
      <c r="G101" s="43" t="str">
        <f>VLOOKUP(F101,Key!$A$17:$B$21,2,FALSE)</f>
        <v>Road Vehicle</v>
      </c>
      <c r="H101" s="37">
        <v>4</v>
      </c>
      <c r="I101" s="44" t="str">
        <f>VLOOKUP(H101,Key!$A$2:$B$13,2,FALSE)</f>
        <v>Minibus</v>
      </c>
      <c r="J101" s="38" t="s">
        <v>163</v>
      </c>
      <c r="K101" s="38">
        <v>2</v>
      </c>
      <c r="L101" s="46" t="str">
        <f>VLOOKUP(K101,Key!$A$24:$B$29,2,FALSE)</f>
        <v>30-39</v>
      </c>
      <c r="M101" s="38" t="s">
        <v>160</v>
      </c>
      <c r="N101" s="33" t="s">
        <v>160</v>
      </c>
      <c r="O101" s="19" t="s">
        <v>161</v>
      </c>
      <c r="P101" s="40">
        <v>1</v>
      </c>
      <c r="Q101" s="35" t="str">
        <f>VLOOKUP(P101,Key!$E$2:$F$9,2,FALSE)</f>
        <v>Home</v>
      </c>
      <c r="R101" s="38" t="s">
        <v>177</v>
      </c>
      <c r="S101" s="33" t="s">
        <v>177</v>
      </c>
      <c r="T101" s="38" t="s">
        <v>161</v>
      </c>
      <c r="U101" s="33">
        <v>1</v>
      </c>
      <c r="V101" s="35" t="str">
        <f>VLOOKUP(U101,Key!$E$2:$F$9,2,FALSE)</f>
        <v>Home</v>
      </c>
      <c r="W101" s="35" t="str">
        <f>Q101&amp;"-"&amp;V101</f>
        <v>Home-Home</v>
      </c>
      <c r="X101" s="48">
        <v>2000</v>
      </c>
      <c r="Y101" s="39">
        <v>7</v>
      </c>
      <c r="Z101" s="39">
        <v>0.8</v>
      </c>
      <c r="AA101" s="33">
        <v>10</v>
      </c>
      <c r="AB101" s="35" t="str">
        <f>VLOOKUP(AA101,Key!$C$20:$D$29,2,FALSE)</f>
        <v>Other</v>
      </c>
      <c r="AC101" s="33">
        <v>1</v>
      </c>
      <c r="AD101" s="35" t="str">
        <f>VLOOKUP(AC101,Key!$E$20:$F$24,2,FALSE)</f>
        <v>&lt;300,000</v>
      </c>
      <c r="AE101" s="33">
        <v>2</v>
      </c>
      <c r="AF101" s="39">
        <v>1</v>
      </c>
      <c r="AG101" s="39">
        <v>2</v>
      </c>
      <c r="AH101" s="39">
        <v>3</v>
      </c>
      <c r="AI101" s="39">
        <v>2</v>
      </c>
      <c r="AJ101" s="40" t="s">
        <v>100</v>
      </c>
      <c r="AK101" s="41"/>
      <c r="AL101" s="25"/>
      <c r="AM101" s="25"/>
    </row>
    <row r="102" spans="1:39" x14ac:dyDescent="0.2">
      <c r="B102" s="52">
        <v>43695</v>
      </c>
      <c r="C102" s="36">
        <v>0.53819444444444442</v>
      </c>
      <c r="D102" s="36"/>
      <c r="E102" s="36" t="s">
        <v>159</v>
      </c>
      <c r="F102" s="38">
        <v>2</v>
      </c>
      <c r="G102" s="43" t="str">
        <f>VLOOKUP(F102,Key!$A$17:$B$21,2,FALSE)</f>
        <v>Road Vehicle</v>
      </c>
      <c r="H102" s="37">
        <v>4</v>
      </c>
      <c r="I102" s="44" t="str">
        <f>VLOOKUP(H102,Key!$A$2:$B$13,2,FALSE)</f>
        <v>Minibus</v>
      </c>
      <c r="J102" s="38" t="s">
        <v>163</v>
      </c>
      <c r="K102" s="38">
        <v>2</v>
      </c>
      <c r="L102" s="46" t="str">
        <f>VLOOKUP(K102,Key!$A$24:$B$29,2,FALSE)</f>
        <v>30-39</v>
      </c>
      <c r="M102" s="38" t="s">
        <v>160</v>
      </c>
      <c r="N102" s="33" t="s">
        <v>160</v>
      </c>
      <c r="O102" s="19" t="s">
        <v>161</v>
      </c>
      <c r="P102" s="40">
        <v>1</v>
      </c>
      <c r="Q102" s="35" t="str">
        <f>VLOOKUP(P102,Key!$E$2:$F$9,2,FALSE)</f>
        <v>Home</v>
      </c>
      <c r="R102" s="38" t="s">
        <v>160</v>
      </c>
      <c r="S102" s="33" t="s">
        <v>160</v>
      </c>
      <c r="T102" s="38" t="s">
        <v>161</v>
      </c>
      <c r="U102" s="33">
        <v>2</v>
      </c>
      <c r="V102" s="35" t="str">
        <f>VLOOKUP(U102,Key!$E$2:$F$9,2,FALSE)</f>
        <v>Work</v>
      </c>
      <c r="W102" s="35" t="str">
        <f>Q102&amp;"-"&amp;V102</f>
        <v>Home-Work</v>
      </c>
      <c r="X102" s="48">
        <v>8000</v>
      </c>
      <c r="Y102" s="39">
        <v>38</v>
      </c>
      <c r="Z102" s="39">
        <v>1.5</v>
      </c>
      <c r="AA102" s="33">
        <v>6</v>
      </c>
      <c r="AB102" s="35" t="str">
        <f>VLOOKUP(AA102,Key!$C$20:$D$29,2,FALSE)</f>
        <v>Businessman</v>
      </c>
      <c r="AC102" s="33">
        <v>1</v>
      </c>
      <c r="AD102" s="35" t="str">
        <f>VLOOKUP(AC102,Key!$E$20:$F$24,2,FALSE)</f>
        <v>&lt;300,000</v>
      </c>
      <c r="AE102" s="33">
        <v>1</v>
      </c>
      <c r="AF102" s="39">
        <v>2</v>
      </c>
      <c r="AG102" s="39">
        <v>2</v>
      </c>
      <c r="AH102" s="39">
        <v>3</v>
      </c>
      <c r="AI102" s="39">
        <v>2</v>
      </c>
      <c r="AJ102" s="40" t="s">
        <v>100</v>
      </c>
      <c r="AK102" s="41"/>
      <c r="AL102" s="25"/>
      <c r="AM102" s="25"/>
    </row>
    <row r="103" spans="1:39" x14ac:dyDescent="0.2">
      <c r="B103" s="52">
        <v>43696</v>
      </c>
      <c r="C103" s="36">
        <v>0.59722222222222221</v>
      </c>
      <c r="D103" s="36" t="s">
        <v>209</v>
      </c>
      <c r="E103" s="36" t="s">
        <v>159</v>
      </c>
      <c r="F103" s="38">
        <v>2</v>
      </c>
      <c r="G103" s="43" t="str">
        <f>VLOOKUP(F103,Key!$A$17:$B$21,2,FALSE)</f>
        <v>Road Vehicle</v>
      </c>
      <c r="H103" s="37">
        <v>4</v>
      </c>
      <c r="I103" s="44" t="str">
        <f>VLOOKUP(H103,Key!$A$2:$B$13,2,FALSE)</f>
        <v>Minibus</v>
      </c>
      <c r="J103" s="38" t="s">
        <v>163</v>
      </c>
      <c r="K103" s="38">
        <v>2</v>
      </c>
      <c r="L103" s="46" t="str">
        <f>VLOOKUP(K103,Key!$A$24:$B$29,2,FALSE)</f>
        <v>30-39</v>
      </c>
      <c r="M103" s="38" t="s">
        <v>160</v>
      </c>
      <c r="N103" s="33" t="s">
        <v>160</v>
      </c>
      <c r="O103" s="19" t="s">
        <v>161</v>
      </c>
      <c r="P103" s="40">
        <v>1</v>
      </c>
      <c r="Q103" s="35" t="str">
        <f>VLOOKUP(P103,Key!$E$2:$F$9,2,FALSE)</f>
        <v>Home</v>
      </c>
      <c r="R103" s="38" t="s">
        <v>208</v>
      </c>
      <c r="S103" s="33" t="s">
        <v>172</v>
      </c>
      <c r="T103" s="38" t="s">
        <v>161</v>
      </c>
      <c r="U103" s="33">
        <v>2</v>
      </c>
      <c r="V103" s="35" t="str">
        <f>VLOOKUP(U103,Key!$E$2:$F$9,2,FALSE)</f>
        <v>Work</v>
      </c>
      <c r="W103" s="35" t="str">
        <f>Q103&amp;"-"&amp;V103</f>
        <v>Home-Work</v>
      </c>
      <c r="X103" s="33">
        <v>10000</v>
      </c>
      <c r="Y103" s="39">
        <v>87</v>
      </c>
      <c r="Z103" s="39">
        <v>2</v>
      </c>
      <c r="AA103" s="33">
        <v>6</v>
      </c>
      <c r="AB103" s="35" t="str">
        <f>VLOOKUP(AA103,Key!$C$20:$D$29,2,FALSE)</f>
        <v>Businessman</v>
      </c>
      <c r="AC103" s="33">
        <v>1</v>
      </c>
      <c r="AD103" s="35" t="str">
        <f>VLOOKUP(AC103,Key!$E$20:$F$24,2,FALSE)</f>
        <v>&lt;300,000</v>
      </c>
      <c r="AE103" s="33">
        <v>2</v>
      </c>
      <c r="AF103" s="39">
        <v>2</v>
      </c>
      <c r="AG103" s="39">
        <v>4</v>
      </c>
      <c r="AH103" s="39">
        <v>3</v>
      </c>
      <c r="AI103" s="39">
        <v>2</v>
      </c>
      <c r="AJ103" s="40" t="s">
        <v>100</v>
      </c>
      <c r="AK103" s="41"/>
      <c r="AL103" s="25"/>
      <c r="AM103" s="25"/>
    </row>
    <row r="104" spans="1:39" ht="12" customHeight="1" x14ac:dyDescent="0.2">
      <c r="B104" s="52">
        <v>43696</v>
      </c>
      <c r="C104" s="36">
        <v>0.3263888888888889</v>
      </c>
      <c r="D104" s="36"/>
      <c r="E104" s="36" t="s">
        <v>159</v>
      </c>
      <c r="F104" s="38">
        <v>2</v>
      </c>
      <c r="G104" s="43" t="str">
        <f>VLOOKUP(F104,Key!$A$17:$B$21,2,FALSE)</f>
        <v>Road Vehicle</v>
      </c>
      <c r="H104" s="37">
        <v>4</v>
      </c>
      <c r="I104" s="44" t="str">
        <f>VLOOKUP(H104,Key!$A$2:$B$13,2,FALSE)</f>
        <v>Minibus</v>
      </c>
      <c r="J104" s="38" t="s">
        <v>163</v>
      </c>
      <c r="K104" s="38">
        <v>2</v>
      </c>
      <c r="L104" s="46" t="str">
        <f>VLOOKUP(K104,Key!$A$24:$B$29,2,FALSE)</f>
        <v>30-39</v>
      </c>
      <c r="M104" s="38" t="s">
        <v>160</v>
      </c>
      <c r="N104" s="33" t="s">
        <v>160</v>
      </c>
      <c r="O104" s="19" t="s">
        <v>161</v>
      </c>
      <c r="P104" s="40">
        <v>1</v>
      </c>
      <c r="Q104" s="35" t="str">
        <f>VLOOKUP(P104,Key!$E$2:$F$9,2,FALSE)</f>
        <v>Home</v>
      </c>
      <c r="R104" s="38" t="s">
        <v>177</v>
      </c>
      <c r="S104" s="33" t="s">
        <v>172</v>
      </c>
      <c r="T104" s="38" t="s">
        <v>161</v>
      </c>
      <c r="U104" s="33">
        <v>8</v>
      </c>
      <c r="V104" s="35" t="str">
        <f>VLOOKUP(U104,Key!$E$2:$F$9,2,FALSE)</f>
        <v>Others</v>
      </c>
      <c r="W104" s="35" t="str">
        <f>Q104&amp;"-"&amp;V104</f>
        <v>Home-Others</v>
      </c>
      <c r="X104" s="33">
        <v>2000</v>
      </c>
      <c r="Y104" s="39">
        <v>4</v>
      </c>
      <c r="Z104" s="39">
        <v>0.7</v>
      </c>
      <c r="AA104" s="33">
        <v>4</v>
      </c>
      <c r="AB104" s="35" t="str">
        <f>VLOOKUP(AA104,Key!$C$20:$D$29,2,FALSE)</f>
        <v>Office Worker</v>
      </c>
      <c r="AC104" s="33">
        <v>1</v>
      </c>
      <c r="AD104" s="35" t="str">
        <f>VLOOKUP(AC104,Key!$E$20:$F$24,2,FALSE)</f>
        <v>&lt;300,000</v>
      </c>
      <c r="AE104" s="33">
        <v>5</v>
      </c>
      <c r="AF104" s="39">
        <v>2</v>
      </c>
      <c r="AG104" s="39">
        <v>4</v>
      </c>
      <c r="AH104" s="39">
        <v>5</v>
      </c>
      <c r="AI104" s="39">
        <v>3</v>
      </c>
      <c r="AJ104" s="40" t="s">
        <v>100</v>
      </c>
      <c r="AK104" s="41"/>
      <c r="AL104" s="25"/>
      <c r="AM104" s="25"/>
    </row>
    <row r="105" spans="1:39" x14ac:dyDescent="0.2">
      <c r="B105" s="52">
        <v>43696</v>
      </c>
      <c r="C105" s="36">
        <v>0.4548611111111111</v>
      </c>
      <c r="D105" s="36" t="s">
        <v>235</v>
      </c>
      <c r="E105" s="36" t="s">
        <v>159</v>
      </c>
      <c r="F105" s="38">
        <v>2</v>
      </c>
      <c r="G105" s="43" t="str">
        <f>VLOOKUP(F105,Key!$A$17:$B$21,2,FALSE)</f>
        <v>Road Vehicle</v>
      </c>
      <c r="H105" s="37">
        <v>4</v>
      </c>
      <c r="I105" s="44" t="str">
        <f>VLOOKUP(H105,Key!$A$2:$B$13,2,FALSE)</f>
        <v>Minibus</v>
      </c>
      <c r="J105" s="38" t="s">
        <v>163</v>
      </c>
      <c r="K105" s="38">
        <v>2</v>
      </c>
      <c r="L105" s="46" t="str">
        <f>VLOOKUP(K105,Key!$A$24:$B$29,2,FALSE)</f>
        <v>30-39</v>
      </c>
      <c r="M105" s="38" t="s">
        <v>160</v>
      </c>
      <c r="N105" s="33" t="s">
        <v>160</v>
      </c>
      <c r="O105" s="19" t="s">
        <v>161</v>
      </c>
      <c r="P105" s="40">
        <v>1</v>
      </c>
      <c r="Q105" s="35" t="str">
        <f>VLOOKUP(P105,Key!$E$2:$F$9,2,FALSE)</f>
        <v>Home</v>
      </c>
      <c r="R105" s="38" t="s">
        <v>236</v>
      </c>
      <c r="S105" s="33" t="s">
        <v>214</v>
      </c>
      <c r="T105" s="38" t="s">
        <v>161</v>
      </c>
      <c r="U105" s="33">
        <v>6</v>
      </c>
      <c r="V105" s="35" t="str">
        <f>VLOOKUP(U105,Key!$E$2:$F$9,2,FALSE)</f>
        <v>Leisure/Social</v>
      </c>
      <c r="W105" s="35" t="str">
        <f>Q105&amp;"-"&amp;V105</f>
        <v>Home-Leisure/Social</v>
      </c>
      <c r="X105" s="33">
        <v>8000</v>
      </c>
      <c r="Y105" s="39">
        <v>40</v>
      </c>
      <c r="Z105" s="39">
        <v>2.2999999999999998</v>
      </c>
      <c r="AA105" s="33">
        <v>6</v>
      </c>
      <c r="AB105" s="35" t="str">
        <f>VLOOKUP(AA105,Key!$C$20:$D$29,2,FALSE)</f>
        <v>Businessman</v>
      </c>
      <c r="AC105" s="33">
        <v>1</v>
      </c>
      <c r="AD105" s="35" t="str">
        <f>VLOOKUP(AC105,Key!$E$20:$F$24,2,FALSE)</f>
        <v>&lt;300,000</v>
      </c>
      <c r="AE105" s="33">
        <v>2</v>
      </c>
      <c r="AF105" s="39">
        <v>4</v>
      </c>
      <c r="AG105" s="39">
        <v>3</v>
      </c>
      <c r="AH105" s="39">
        <v>3</v>
      </c>
      <c r="AI105" s="39">
        <v>2</v>
      </c>
      <c r="AJ105" s="40" t="s">
        <v>100</v>
      </c>
      <c r="AK105" s="41"/>
      <c r="AL105" s="25"/>
      <c r="AM105" s="25"/>
    </row>
    <row r="106" spans="1:39" x14ac:dyDescent="0.2">
      <c r="B106" s="52">
        <v>43697</v>
      </c>
      <c r="C106" s="36">
        <v>0.79652777777777783</v>
      </c>
      <c r="D106" s="36"/>
      <c r="E106" s="36" t="s">
        <v>105</v>
      </c>
      <c r="F106" s="38">
        <v>2</v>
      </c>
      <c r="G106" s="43" t="str">
        <f>VLOOKUP(F106,Key!$A$17:$B$21,2,FALSE)</f>
        <v>Road Vehicle</v>
      </c>
      <c r="H106" s="37">
        <v>4</v>
      </c>
      <c r="I106" s="44" t="str">
        <f>VLOOKUP(H106,Key!$A$2:$B$13,2,FALSE)</f>
        <v>Minibus</v>
      </c>
      <c r="J106" s="38" t="s">
        <v>163</v>
      </c>
      <c r="K106" s="38">
        <v>2</v>
      </c>
      <c r="L106" s="46" t="str">
        <f>VLOOKUP(K106,Key!$A$24:$B$29,2,FALSE)</f>
        <v>30-39</v>
      </c>
      <c r="M106" s="38" t="s">
        <v>160</v>
      </c>
      <c r="N106" s="33" t="s">
        <v>160</v>
      </c>
      <c r="O106" s="19" t="s">
        <v>161</v>
      </c>
      <c r="P106" s="40">
        <v>4</v>
      </c>
      <c r="Q106" s="35" t="str">
        <f>VLOOKUP(P106,Key!$E$2:$F$9,2,FALSE)</f>
        <v>Commercial</v>
      </c>
      <c r="R106" s="38" t="s">
        <v>213</v>
      </c>
      <c r="S106" s="33" t="s">
        <v>214</v>
      </c>
      <c r="T106" s="38" t="s">
        <v>161</v>
      </c>
      <c r="U106" s="33">
        <v>4</v>
      </c>
      <c r="V106" s="35" t="str">
        <f>VLOOKUP(U106,Key!$E$2:$F$9,2,FALSE)</f>
        <v>Commercial</v>
      </c>
      <c r="W106" s="35" t="str">
        <f>Q106&amp;"-"&amp;V106</f>
        <v>Commercial-Commercial</v>
      </c>
      <c r="X106" s="33">
        <v>50000</v>
      </c>
      <c r="Y106" s="39">
        <v>62</v>
      </c>
      <c r="Z106" s="39">
        <v>2</v>
      </c>
      <c r="AA106" s="33">
        <v>6</v>
      </c>
      <c r="AB106" s="35" t="str">
        <f>VLOOKUP(AA106,Key!$C$20:$D$29,2,FALSE)</f>
        <v>Businessman</v>
      </c>
      <c r="AC106" s="33">
        <v>3</v>
      </c>
      <c r="AD106" s="35" t="str">
        <f>VLOOKUP(AC106,Key!$E$20:$F$24,2,FALSE)</f>
        <v>500,000-750,000</v>
      </c>
      <c r="AE106" s="33">
        <v>5</v>
      </c>
      <c r="AF106" s="39">
        <v>1</v>
      </c>
      <c r="AG106" s="39">
        <v>5</v>
      </c>
      <c r="AH106" s="39">
        <v>5</v>
      </c>
      <c r="AI106" s="39">
        <v>5</v>
      </c>
      <c r="AJ106" s="40" t="s">
        <v>100</v>
      </c>
      <c r="AK106" s="41"/>
      <c r="AL106" s="25"/>
      <c r="AM106" s="25"/>
    </row>
    <row r="107" spans="1:39" x14ac:dyDescent="0.2">
      <c r="B107" s="52">
        <v>43697</v>
      </c>
      <c r="C107" s="36">
        <v>0.68263888888888891</v>
      </c>
      <c r="D107" s="36"/>
      <c r="E107" s="36" t="s">
        <v>159</v>
      </c>
      <c r="F107" s="38">
        <v>2</v>
      </c>
      <c r="G107" s="43" t="str">
        <f>VLOOKUP(F107,Key!$A$17:$B$21,2,FALSE)</f>
        <v>Road Vehicle</v>
      </c>
      <c r="H107" s="37">
        <v>4</v>
      </c>
      <c r="I107" s="44" t="str">
        <f>VLOOKUP(H107,Key!$A$2:$B$13,2,FALSE)</f>
        <v>Minibus</v>
      </c>
      <c r="J107" s="38" t="s">
        <v>163</v>
      </c>
      <c r="K107" s="38">
        <v>2</v>
      </c>
      <c r="L107" s="46" t="str">
        <f>VLOOKUP(K107,Key!$A$24:$B$29,2,FALSE)</f>
        <v>30-39</v>
      </c>
      <c r="M107" s="38" t="s">
        <v>160</v>
      </c>
      <c r="N107" s="33" t="s">
        <v>160</v>
      </c>
      <c r="O107" s="19" t="s">
        <v>161</v>
      </c>
      <c r="P107" s="40">
        <v>8</v>
      </c>
      <c r="Q107" s="35" t="str">
        <f>VLOOKUP(P107,Key!$E$2:$F$9,2,FALSE)</f>
        <v>Others</v>
      </c>
      <c r="R107" s="38" t="s">
        <v>211</v>
      </c>
      <c r="S107" s="33" t="s">
        <v>172</v>
      </c>
      <c r="T107" s="38" t="s">
        <v>161</v>
      </c>
      <c r="U107" s="33">
        <v>1</v>
      </c>
      <c r="V107" s="35" t="str">
        <f>VLOOKUP(U107,Key!$E$2:$F$9,2,FALSE)</f>
        <v>Home</v>
      </c>
      <c r="W107" s="35" t="str">
        <f>Q107&amp;"-"&amp;V107</f>
        <v>Others-Home</v>
      </c>
      <c r="X107" s="33">
        <v>3000</v>
      </c>
      <c r="Y107" s="39">
        <v>25</v>
      </c>
      <c r="Z107" s="39">
        <v>2</v>
      </c>
      <c r="AA107" s="33">
        <v>10</v>
      </c>
      <c r="AB107" s="35" t="str">
        <f>VLOOKUP(AA107,Key!$C$20:$D$29,2,FALSE)</f>
        <v>Other</v>
      </c>
      <c r="AC107" s="33">
        <v>1</v>
      </c>
      <c r="AD107" s="35" t="str">
        <f>VLOOKUP(AC107,Key!$E$20:$F$24,2,FALSE)</f>
        <v>&lt;300,000</v>
      </c>
      <c r="AE107" s="33">
        <v>5</v>
      </c>
      <c r="AF107" s="39">
        <v>1</v>
      </c>
      <c r="AG107" s="39">
        <v>5</v>
      </c>
      <c r="AH107" s="39">
        <v>5</v>
      </c>
      <c r="AI107" s="39">
        <v>1</v>
      </c>
      <c r="AJ107" s="40" t="s">
        <v>100</v>
      </c>
      <c r="AK107" s="41"/>
      <c r="AL107" s="25"/>
      <c r="AM107" s="25"/>
    </row>
    <row r="108" spans="1:39" x14ac:dyDescent="0.2">
      <c r="B108" s="52">
        <v>43697</v>
      </c>
      <c r="C108" s="36">
        <v>0.66666666666666663</v>
      </c>
      <c r="D108" s="36"/>
      <c r="E108" s="36" t="s">
        <v>159</v>
      </c>
      <c r="F108" s="38">
        <v>2</v>
      </c>
      <c r="G108" s="43" t="str">
        <f>VLOOKUP(F108,Key!$A$17:$B$21,2,FALSE)</f>
        <v>Road Vehicle</v>
      </c>
      <c r="H108" s="37">
        <v>4</v>
      </c>
      <c r="I108" s="44" t="str">
        <f>VLOOKUP(H108,Key!$A$2:$B$13,2,FALSE)</f>
        <v>Minibus</v>
      </c>
      <c r="J108" s="38" t="s">
        <v>163</v>
      </c>
      <c r="K108" s="38">
        <v>2</v>
      </c>
      <c r="L108" s="46" t="str">
        <f>VLOOKUP(K108,Key!$A$24:$B$29,2,FALSE)</f>
        <v>30-39</v>
      </c>
      <c r="M108" s="38" t="s">
        <v>160</v>
      </c>
      <c r="N108" s="33" t="s">
        <v>160</v>
      </c>
      <c r="O108" s="19" t="s">
        <v>161</v>
      </c>
      <c r="P108" s="40">
        <v>2</v>
      </c>
      <c r="Q108" s="35" t="str">
        <f>VLOOKUP(P108,Key!$E$2:$F$9,2,FALSE)</f>
        <v>Work</v>
      </c>
      <c r="R108" s="38" t="s">
        <v>245</v>
      </c>
      <c r="S108" s="33" t="s">
        <v>174</v>
      </c>
      <c r="T108" s="38" t="s">
        <v>161</v>
      </c>
      <c r="U108" s="33">
        <v>1</v>
      </c>
      <c r="V108" s="35" t="str">
        <f>VLOOKUP(U108,Key!$E$2:$F$9,2,FALSE)</f>
        <v>Home</v>
      </c>
      <c r="W108" s="35" t="str">
        <f>Q108&amp;"-"&amp;V108</f>
        <v>Work-Home</v>
      </c>
      <c r="X108" s="33">
        <v>5000</v>
      </c>
      <c r="Y108" s="39">
        <v>30</v>
      </c>
      <c r="Z108" s="39">
        <v>3</v>
      </c>
      <c r="AA108" s="33">
        <v>6</v>
      </c>
      <c r="AB108" s="35" t="str">
        <f>VLOOKUP(AA108,Key!$C$20:$D$29,2,FALSE)</f>
        <v>Businessman</v>
      </c>
      <c r="AC108" s="33">
        <v>2</v>
      </c>
      <c r="AD108" s="35" t="str">
        <f>VLOOKUP(AC108,Key!$E$20:$F$24,2,FALSE)</f>
        <v>300,000-500,000</v>
      </c>
      <c r="AE108" s="33">
        <v>5</v>
      </c>
      <c r="AF108" s="39">
        <v>5</v>
      </c>
      <c r="AG108" s="39">
        <v>5</v>
      </c>
      <c r="AH108" s="39">
        <v>5</v>
      </c>
      <c r="AI108" s="39">
        <v>5</v>
      </c>
      <c r="AJ108" s="40" t="s">
        <v>100</v>
      </c>
      <c r="AK108" s="41">
        <v>1000</v>
      </c>
      <c r="AL108" s="25"/>
      <c r="AM108" s="25"/>
    </row>
    <row r="109" spans="1:39" x14ac:dyDescent="0.2">
      <c r="B109" s="52">
        <v>43697</v>
      </c>
      <c r="C109" s="36">
        <v>0.60902777777777783</v>
      </c>
      <c r="D109" s="36"/>
      <c r="E109" s="36" t="s">
        <v>159</v>
      </c>
      <c r="F109" s="38">
        <v>2</v>
      </c>
      <c r="G109" s="43" t="str">
        <f>VLOOKUP(F109,Key!$A$17:$B$21,2,FALSE)</f>
        <v>Road Vehicle</v>
      </c>
      <c r="H109" s="37">
        <v>4</v>
      </c>
      <c r="I109" s="44" t="str">
        <f>VLOOKUP(H109,Key!$A$2:$B$13,2,FALSE)</f>
        <v>Minibus</v>
      </c>
      <c r="J109" s="38" t="s">
        <v>163</v>
      </c>
      <c r="K109" s="38">
        <v>2</v>
      </c>
      <c r="L109" s="46" t="str">
        <f>VLOOKUP(K109,Key!$A$24:$B$29,2,FALSE)</f>
        <v>30-39</v>
      </c>
      <c r="M109" s="38" t="s">
        <v>160</v>
      </c>
      <c r="N109" s="33" t="s">
        <v>160</v>
      </c>
      <c r="O109" s="19" t="s">
        <v>161</v>
      </c>
      <c r="P109" s="40">
        <v>3</v>
      </c>
      <c r="Q109" s="35" t="str">
        <f>VLOOKUP(P109,Key!$E$2:$F$9,2,FALSE)</f>
        <v>Study</v>
      </c>
      <c r="R109" s="38" t="s">
        <v>246</v>
      </c>
      <c r="S109" s="33" t="s">
        <v>246</v>
      </c>
      <c r="T109" s="38" t="s">
        <v>161</v>
      </c>
      <c r="U109" s="33">
        <v>1</v>
      </c>
      <c r="V109" s="35" t="str">
        <f>VLOOKUP(U109,Key!$E$2:$F$9,2,FALSE)</f>
        <v>Home</v>
      </c>
      <c r="W109" s="35" t="str">
        <f>Q109&amp;"-"&amp;V109</f>
        <v>Study-Home</v>
      </c>
      <c r="X109" s="33">
        <v>5000</v>
      </c>
      <c r="Y109" s="39">
        <v>30</v>
      </c>
      <c r="Z109" s="39">
        <v>1</v>
      </c>
      <c r="AA109" s="33">
        <v>1</v>
      </c>
      <c r="AB109" s="35" t="str">
        <f>VLOOKUP(AA109,Key!$C$20:$D$29,2,FALSE)</f>
        <v>Unemployed</v>
      </c>
      <c r="AC109" s="33">
        <v>1</v>
      </c>
      <c r="AD109" s="35" t="str">
        <f>VLOOKUP(AC109,Key!$E$20:$F$24,2,FALSE)</f>
        <v>&lt;300,000</v>
      </c>
      <c r="AE109" s="33">
        <v>5</v>
      </c>
      <c r="AF109" s="39">
        <v>1</v>
      </c>
      <c r="AG109" s="39">
        <v>5</v>
      </c>
      <c r="AH109" s="39">
        <v>5</v>
      </c>
      <c r="AI109" s="39">
        <v>5</v>
      </c>
      <c r="AJ109" s="40" t="s">
        <v>100</v>
      </c>
      <c r="AK109" s="41"/>
      <c r="AL109" s="25"/>
      <c r="AM109" s="25"/>
    </row>
    <row r="110" spans="1:39" x14ac:dyDescent="0.2">
      <c r="B110" s="52">
        <v>43697</v>
      </c>
      <c r="C110" s="36">
        <v>0.61527777777777781</v>
      </c>
      <c r="D110" s="36"/>
      <c r="E110" s="36" t="s">
        <v>159</v>
      </c>
      <c r="F110" s="38">
        <v>2</v>
      </c>
      <c r="G110" s="43" t="str">
        <f>VLOOKUP(F110,Key!$A$17:$B$21,2,FALSE)</f>
        <v>Road Vehicle</v>
      </c>
      <c r="H110" s="37">
        <v>4</v>
      </c>
      <c r="I110" s="44" t="str">
        <f>VLOOKUP(H110,Key!$A$2:$B$13,2,FALSE)</f>
        <v>Minibus</v>
      </c>
      <c r="J110" s="38" t="s">
        <v>163</v>
      </c>
      <c r="K110" s="38">
        <v>2</v>
      </c>
      <c r="L110" s="46" t="str">
        <f>VLOOKUP(K110,Key!$A$24:$B$29,2,FALSE)</f>
        <v>30-39</v>
      </c>
      <c r="M110" s="38" t="s">
        <v>160</v>
      </c>
      <c r="N110" s="33" t="s">
        <v>160</v>
      </c>
      <c r="O110" s="19" t="s">
        <v>161</v>
      </c>
      <c r="P110" s="40">
        <v>3</v>
      </c>
      <c r="Q110" s="35" t="str">
        <f>VLOOKUP(P110,Key!$E$2:$F$9,2,FALSE)</f>
        <v>Study</v>
      </c>
      <c r="R110" s="38" t="s">
        <v>246</v>
      </c>
      <c r="S110" s="33" t="s">
        <v>246</v>
      </c>
      <c r="T110" s="38" t="s">
        <v>161</v>
      </c>
      <c r="U110" s="33">
        <v>1</v>
      </c>
      <c r="V110" s="35" t="str">
        <f>VLOOKUP(U110,Key!$E$2:$F$9,2,FALSE)</f>
        <v>Home</v>
      </c>
      <c r="W110" s="35" t="str">
        <f>Q110&amp;"-"&amp;V110</f>
        <v>Study-Home</v>
      </c>
      <c r="X110" s="33">
        <v>5000</v>
      </c>
      <c r="Y110" s="39">
        <v>30</v>
      </c>
      <c r="Z110" s="39">
        <v>1</v>
      </c>
      <c r="AA110" s="33">
        <v>1</v>
      </c>
      <c r="AB110" s="35" t="str">
        <f>VLOOKUP(AA110,Key!$C$20:$D$29,2,FALSE)</f>
        <v>Unemployed</v>
      </c>
      <c r="AC110" s="33">
        <v>1</v>
      </c>
      <c r="AD110" s="35" t="str">
        <f>VLOOKUP(AC110,Key!$E$20:$F$24,2,FALSE)</f>
        <v>&lt;300,000</v>
      </c>
      <c r="AE110" s="33">
        <v>1</v>
      </c>
      <c r="AF110" s="39">
        <v>1</v>
      </c>
      <c r="AG110" s="39">
        <v>2</v>
      </c>
      <c r="AH110" s="39">
        <v>2</v>
      </c>
      <c r="AI110" s="39">
        <v>1</v>
      </c>
      <c r="AJ110" s="40" t="s">
        <v>100</v>
      </c>
      <c r="AK110" s="41"/>
      <c r="AL110" s="25"/>
      <c r="AM110" s="25"/>
    </row>
    <row r="111" spans="1:39" x14ac:dyDescent="0.2">
      <c r="B111" s="52">
        <v>43697</v>
      </c>
      <c r="C111" s="36">
        <v>0.62291666666666667</v>
      </c>
      <c r="D111" s="36"/>
      <c r="E111" s="36" t="s">
        <v>159</v>
      </c>
      <c r="F111" s="38">
        <v>2</v>
      </c>
      <c r="G111" s="43" t="str">
        <f>VLOOKUP(F111,Key!$A$17:$B$21,2,FALSE)</f>
        <v>Road Vehicle</v>
      </c>
      <c r="H111" s="37">
        <v>4</v>
      </c>
      <c r="I111" s="44" t="str">
        <f>VLOOKUP(H111,Key!$A$2:$B$13,2,FALSE)</f>
        <v>Minibus</v>
      </c>
      <c r="J111" s="38" t="s">
        <v>163</v>
      </c>
      <c r="K111" s="38">
        <v>2</v>
      </c>
      <c r="L111" s="46" t="str">
        <f>VLOOKUP(K111,Key!$A$24:$B$29,2,FALSE)</f>
        <v>30-39</v>
      </c>
      <c r="M111" s="38" t="s">
        <v>160</v>
      </c>
      <c r="N111" s="33" t="s">
        <v>160</v>
      </c>
      <c r="O111" s="19" t="s">
        <v>161</v>
      </c>
      <c r="P111" s="40">
        <v>1</v>
      </c>
      <c r="Q111" s="35" t="str">
        <f>VLOOKUP(P111,Key!$E$2:$F$9,2,FALSE)</f>
        <v>Home</v>
      </c>
      <c r="R111" s="38" t="s">
        <v>211</v>
      </c>
      <c r="S111" s="33" t="s">
        <v>172</v>
      </c>
      <c r="T111" s="38" t="s">
        <v>161</v>
      </c>
      <c r="U111" s="33">
        <v>8</v>
      </c>
      <c r="V111" s="35" t="str">
        <f>VLOOKUP(U111,Key!$E$2:$F$9,2,FALSE)</f>
        <v>Others</v>
      </c>
      <c r="W111" s="35" t="str">
        <f>Q111&amp;"-"&amp;V111</f>
        <v>Home-Others</v>
      </c>
      <c r="X111" s="33">
        <v>3000</v>
      </c>
      <c r="Y111" s="39">
        <v>3</v>
      </c>
      <c r="Z111" s="39">
        <v>1</v>
      </c>
      <c r="AA111" s="33">
        <v>7</v>
      </c>
      <c r="AB111" s="35" t="str">
        <f>VLOOKUP(AA111,Key!$C$20:$D$29,2,FALSE)</f>
        <v>Farmer</v>
      </c>
      <c r="AC111" s="33">
        <v>2</v>
      </c>
      <c r="AD111" s="35" t="str">
        <f>VLOOKUP(AC111,Key!$E$20:$F$24,2,FALSE)</f>
        <v>300,000-500,000</v>
      </c>
      <c r="AE111" s="33">
        <v>5</v>
      </c>
      <c r="AF111" s="39">
        <v>1</v>
      </c>
      <c r="AG111" s="39">
        <v>5</v>
      </c>
      <c r="AH111" s="39">
        <v>5</v>
      </c>
      <c r="AI111" s="39">
        <v>5</v>
      </c>
      <c r="AJ111" s="40" t="s">
        <v>100</v>
      </c>
      <c r="AK111" s="41"/>
      <c r="AL111" s="25"/>
      <c r="AM111" s="25"/>
    </row>
    <row r="112" spans="1:39" x14ac:dyDescent="0.2">
      <c r="B112" s="52">
        <v>43697</v>
      </c>
      <c r="C112" s="36">
        <v>0.625</v>
      </c>
      <c r="D112" s="36"/>
      <c r="E112" s="36" t="s">
        <v>159</v>
      </c>
      <c r="F112" s="38">
        <v>2</v>
      </c>
      <c r="G112" s="43" t="str">
        <f>VLOOKUP(F112,Key!$A$17:$B$21,2,FALSE)</f>
        <v>Road Vehicle</v>
      </c>
      <c r="H112" s="37">
        <v>4</v>
      </c>
      <c r="I112" s="44" t="str">
        <f>VLOOKUP(H112,Key!$A$2:$B$13,2,FALSE)</f>
        <v>Minibus</v>
      </c>
      <c r="J112" s="38" t="s">
        <v>163</v>
      </c>
      <c r="K112" s="38">
        <v>2</v>
      </c>
      <c r="L112" s="46" t="str">
        <f>VLOOKUP(K112,Key!$A$24:$B$29,2,FALSE)</f>
        <v>30-39</v>
      </c>
      <c r="M112" s="38" t="s">
        <v>160</v>
      </c>
      <c r="N112" s="33" t="s">
        <v>160</v>
      </c>
      <c r="O112" s="19" t="s">
        <v>161</v>
      </c>
      <c r="P112" s="40">
        <v>2</v>
      </c>
      <c r="Q112" s="35" t="str">
        <f>VLOOKUP(P112,Key!$E$2:$F$9,2,FALSE)</f>
        <v>Work</v>
      </c>
      <c r="R112" s="38" t="s">
        <v>250</v>
      </c>
      <c r="S112" s="33" t="s">
        <v>190</v>
      </c>
      <c r="T112" s="38" t="s">
        <v>161</v>
      </c>
      <c r="U112" s="33">
        <v>1</v>
      </c>
      <c r="V112" s="35" t="str">
        <f>VLOOKUP(U112,Key!$E$2:$F$9,2,FALSE)</f>
        <v>Home</v>
      </c>
      <c r="W112" s="35" t="str">
        <f>Q112&amp;"-"&amp;V112</f>
        <v>Work-Home</v>
      </c>
      <c r="X112" s="33">
        <v>2000</v>
      </c>
      <c r="Y112" s="39">
        <v>3</v>
      </c>
      <c r="Z112" s="39">
        <v>1</v>
      </c>
      <c r="AA112" s="33">
        <v>6</v>
      </c>
      <c r="AB112" s="35" t="str">
        <f>VLOOKUP(AA112,Key!$C$20:$D$29,2,FALSE)</f>
        <v>Businessman</v>
      </c>
      <c r="AC112" s="33">
        <v>2</v>
      </c>
      <c r="AD112" s="35" t="str">
        <f>VLOOKUP(AC112,Key!$E$20:$F$24,2,FALSE)</f>
        <v>300,000-500,000</v>
      </c>
      <c r="AE112" s="33">
        <v>5</v>
      </c>
      <c r="AF112" s="39">
        <v>1</v>
      </c>
      <c r="AG112" s="39">
        <v>5</v>
      </c>
      <c r="AH112" s="39">
        <v>5</v>
      </c>
      <c r="AI112" s="39">
        <v>1</v>
      </c>
      <c r="AJ112" s="40" t="s">
        <v>100</v>
      </c>
      <c r="AK112" s="41">
        <v>3000</v>
      </c>
      <c r="AL112" s="25"/>
      <c r="AM112" s="25"/>
    </row>
    <row r="113" spans="2:39" x14ac:dyDescent="0.2">
      <c r="B113" s="52">
        <v>43697</v>
      </c>
      <c r="C113" s="36">
        <v>0.63124999999999998</v>
      </c>
      <c r="D113" s="36"/>
      <c r="E113" s="36" t="s">
        <v>105</v>
      </c>
      <c r="F113" s="38">
        <v>2</v>
      </c>
      <c r="G113" s="43" t="str">
        <f>VLOOKUP(F113,Key!$A$17:$B$21,2,FALSE)</f>
        <v>Road Vehicle</v>
      </c>
      <c r="H113" s="37">
        <v>4</v>
      </c>
      <c r="I113" s="44" t="str">
        <f>VLOOKUP(H113,Key!$A$2:$B$13,2,FALSE)</f>
        <v>Minibus</v>
      </c>
      <c r="J113" s="38" t="s">
        <v>163</v>
      </c>
      <c r="K113" s="38">
        <v>2</v>
      </c>
      <c r="L113" s="46" t="str">
        <f>VLOOKUP(K113,Key!$A$24:$B$29,2,FALSE)</f>
        <v>30-39</v>
      </c>
      <c r="M113" s="38" t="s">
        <v>160</v>
      </c>
      <c r="N113" s="33" t="s">
        <v>160</v>
      </c>
      <c r="O113" s="19" t="s">
        <v>161</v>
      </c>
      <c r="P113" s="40">
        <v>4</v>
      </c>
      <c r="Q113" s="35" t="str">
        <f>VLOOKUP(P113,Key!$E$2:$F$9,2,FALSE)</f>
        <v>Commercial</v>
      </c>
      <c r="R113" s="38" t="s">
        <v>252</v>
      </c>
      <c r="S113" s="33" t="s">
        <v>174</v>
      </c>
      <c r="T113" s="38" t="s">
        <v>161</v>
      </c>
      <c r="U113" s="33">
        <v>4</v>
      </c>
      <c r="V113" s="35" t="str">
        <f>VLOOKUP(U113,Key!$E$2:$F$9,2,FALSE)</f>
        <v>Commercial</v>
      </c>
      <c r="W113" s="35" t="str">
        <f>Q113&amp;"-"&amp;V113</f>
        <v>Commercial-Commercial</v>
      </c>
      <c r="X113" s="33">
        <v>30000</v>
      </c>
      <c r="Y113" s="39">
        <v>27</v>
      </c>
      <c r="Z113" s="39">
        <v>2</v>
      </c>
      <c r="AA113" s="33">
        <v>10</v>
      </c>
      <c r="AB113" s="35" t="str">
        <f>VLOOKUP(AA113,Key!$C$20:$D$29,2,FALSE)</f>
        <v>Other</v>
      </c>
      <c r="AC113" s="33">
        <v>2</v>
      </c>
      <c r="AD113" s="35" t="str">
        <f>VLOOKUP(AC113,Key!$E$20:$F$24,2,FALSE)</f>
        <v>300,000-500,000</v>
      </c>
      <c r="AE113" s="33">
        <v>5</v>
      </c>
      <c r="AF113" s="39">
        <v>5</v>
      </c>
      <c r="AG113" s="39">
        <v>5</v>
      </c>
      <c r="AH113" s="39">
        <v>5</v>
      </c>
      <c r="AI113" s="39">
        <v>5</v>
      </c>
      <c r="AJ113" s="40" t="s">
        <v>100</v>
      </c>
      <c r="AK113" s="41">
        <v>2000</v>
      </c>
      <c r="AL113" s="25"/>
      <c r="AM113" s="25"/>
    </row>
    <row r="114" spans="2:39" x14ac:dyDescent="0.2">
      <c r="B114" s="52">
        <v>43697</v>
      </c>
      <c r="C114" s="36">
        <v>0.46527777777777773</v>
      </c>
      <c r="D114" s="36"/>
      <c r="E114" s="36" t="s">
        <v>159</v>
      </c>
      <c r="F114" s="38">
        <v>2</v>
      </c>
      <c r="G114" s="43" t="str">
        <f>VLOOKUP(F114,Key!$A$17:$B$21,2,FALSE)</f>
        <v>Road Vehicle</v>
      </c>
      <c r="H114" s="37">
        <v>4</v>
      </c>
      <c r="I114" s="44" t="str">
        <f>VLOOKUP(H114,Key!$A$2:$B$13,2,FALSE)</f>
        <v>Minibus</v>
      </c>
      <c r="J114" s="38" t="s">
        <v>163</v>
      </c>
      <c r="K114" s="38">
        <v>2</v>
      </c>
      <c r="L114" s="46" t="str">
        <f>VLOOKUP(K114,Key!$A$24:$B$29,2,FALSE)</f>
        <v>30-39</v>
      </c>
      <c r="M114" s="38" t="s">
        <v>160</v>
      </c>
      <c r="N114" s="33" t="s">
        <v>160</v>
      </c>
      <c r="O114" s="19" t="s">
        <v>161</v>
      </c>
      <c r="P114" s="40">
        <v>1</v>
      </c>
      <c r="Q114" s="35" t="str">
        <f>VLOOKUP(P114,Key!$E$2:$F$9,2,FALSE)</f>
        <v>Home</v>
      </c>
      <c r="R114" s="38" t="s">
        <v>171</v>
      </c>
      <c r="S114" s="33" t="s">
        <v>171</v>
      </c>
      <c r="T114" s="38" t="s">
        <v>161</v>
      </c>
      <c r="U114" s="33">
        <v>2</v>
      </c>
      <c r="V114" s="35" t="str">
        <f>VLOOKUP(U114,Key!$E$2:$F$9,2,FALSE)</f>
        <v>Work</v>
      </c>
      <c r="W114" s="35" t="str">
        <f>Q114&amp;"-"&amp;V114</f>
        <v>Home-Work</v>
      </c>
      <c r="X114" s="33">
        <v>20000</v>
      </c>
      <c r="Y114" s="39">
        <v>92</v>
      </c>
      <c r="Z114" s="39">
        <v>4</v>
      </c>
      <c r="AA114" s="33">
        <v>6</v>
      </c>
      <c r="AB114" s="35" t="str">
        <f>VLOOKUP(AA114,Key!$C$20:$D$29,2,FALSE)</f>
        <v>Businessman</v>
      </c>
      <c r="AC114" s="33">
        <v>1</v>
      </c>
      <c r="AD114" s="35" t="str">
        <f>VLOOKUP(AC114,Key!$E$20:$F$24,2,FALSE)</f>
        <v>&lt;300,000</v>
      </c>
      <c r="AE114" s="33">
        <v>2</v>
      </c>
      <c r="AF114" s="39">
        <v>1</v>
      </c>
      <c r="AG114" s="39">
        <v>1</v>
      </c>
      <c r="AH114" s="39">
        <v>3</v>
      </c>
      <c r="AI114" s="39">
        <v>2</v>
      </c>
      <c r="AJ114" s="40" t="s">
        <v>100</v>
      </c>
      <c r="AK114" s="41"/>
      <c r="AL114" s="25"/>
      <c r="AM114" s="25"/>
    </row>
    <row r="115" spans="2:39" x14ac:dyDescent="0.2">
      <c r="B115" s="52">
        <v>43697</v>
      </c>
      <c r="C115" s="36">
        <v>0.375</v>
      </c>
      <c r="D115" s="36"/>
      <c r="E115" s="36" t="s">
        <v>159</v>
      </c>
      <c r="F115" s="38">
        <v>2</v>
      </c>
      <c r="G115" s="43" t="str">
        <f>VLOOKUP(F115,Key!$A$17:$B$21,2,FALSE)</f>
        <v>Road Vehicle</v>
      </c>
      <c r="H115" s="37">
        <v>4</v>
      </c>
      <c r="I115" s="44" t="str">
        <f>VLOOKUP(H115,Key!$A$2:$B$13,2,FALSE)</f>
        <v>Minibus</v>
      </c>
      <c r="J115" s="38" t="s">
        <v>163</v>
      </c>
      <c r="K115" s="38">
        <v>2</v>
      </c>
      <c r="L115" s="46" t="str">
        <f>VLOOKUP(K115,Key!$A$24:$B$29,2,FALSE)</f>
        <v>30-39</v>
      </c>
      <c r="M115" s="38" t="s">
        <v>160</v>
      </c>
      <c r="N115" s="33" t="s">
        <v>160</v>
      </c>
      <c r="O115" s="19" t="s">
        <v>161</v>
      </c>
      <c r="P115" s="40">
        <v>1</v>
      </c>
      <c r="Q115" s="35" t="str">
        <f>VLOOKUP(P115,Key!$E$2:$F$9,2,FALSE)</f>
        <v>Home</v>
      </c>
      <c r="R115" s="38" t="s">
        <v>172</v>
      </c>
      <c r="S115" s="33" t="s">
        <v>172</v>
      </c>
      <c r="T115" s="38" t="s">
        <v>161</v>
      </c>
      <c r="U115" s="33">
        <v>8</v>
      </c>
      <c r="V115" s="35" t="str">
        <f>VLOOKUP(U115,Key!$E$2:$F$9,2,FALSE)</f>
        <v>Others</v>
      </c>
      <c r="W115" s="35" t="str">
        <f>Q115&amp;"-"&amp;V115</f>
        <v>Home-Others</v>
      </c>
      <c r="X115" s="33">
        <v>10000</v>
      </c>
      <c r="Y115" s="39">
        <v>50</v>
      </c>
      <c r="Z115" s="39">
        <v>1</v>
      </c>
      <c r="AA115" s="33">
        <v>6</v>
      </c>
      <c r="AB115" s="35" t="str">
        <f>VLOOKUP(AA115,Key!$C$20:$D$29,2,FALSE)</f>
        <v>Businessman</v>
      </c>
      <c r="AC115" s="33">
        <v>1</v>
      </c>
      <c r="AD115" s="35" t="str">
        <f>VLOOKUP(AC115,Key!$E$20:$F$24,2,FALSE)</f>
        <v>&lt;300,000</v>
      </c>
      <c r="AE115" s="33">
        <v>2</v>
      </c>
      <c r="AF115" s="39">
        <v>2</v>
      </c>
      <c r="AG115" s="39">
        <v>1</v>
      </c>
      <c r="AH115" s="39">
        <v>3</v>
      </c>
      <c r="AI115" s="39">
        <v>2</v>
      </c>
      <c r="AJ115" s="40" t="s">
        <v>100</v>
      </c>
      <c r="AK115" s="41"/>
      <c r="AL115" s="25"/>
      <c r="AM115" s="25"/>
    </row>
    <row r="116" spans="2:39" x14ac:dyDescent="0.2">
      <c r="B116" s="52">
        <v>43697</v>
      </c>
      <c r="C116" s="36">
        <v>0.38541666666666669</v>
      </c>
      <c r="D116" s="36"/>
      <c r="E116" s="36" t="s">
        <v>159</v>
      </c>
      <c r="F116" s="38">
        <v>2</v>
      </c>
      <c r="G116" s="43" t="str">
        <f>VLOOKUP(F116,Key!$A$17:$B$21,2,FALSE)</f>
        <v>Road Vehicle</v>
      </c>
      <c r="H116" s="37">
        <v>4</v>
      </c>
      <c r="I116" s="44" t="str">
        <f>VLOOKUP(H116,Key!$A$2:$B$13,2,FALSE)</f>
        <v>Minibus</v>
      </c>
      <c r="J116" s="38" t="s">
        <v>163</v>
      </c>
      <c r="K116" s="38">
        <v>2</v>
      </c>
      <c r="L116" s="46" t="str">
        <f>VLOOKUP(K116,Key!$A$24:$B$29,2,FALSE)</f>
        <v>30-39</v>
      </c>
      <c r="M116" s="38" t="s">
        <v>160</v>
      </c>
      <c r="N116" s="33" t="s">
        <v>160</v>
      </c>
      <c r="O116" s="19" t="s">
        <v>161</v>
      </c>
      <c r="P116" s="40">
        <v>1</v>
      </c>
      <c r="Q116" s="35" t="str">
        <f>VLOOKUP(P116,Key!$E$2:$F$9,2,FALSE)</f>
        <v>Home</v>
      </c>
      <c r="R116" s="38" t="s">
        <v>211</v>
      </c>
      <c r="S116" s="33" t="s">
        <v>172</v>
      </c>
      <c r="T116" s="38" t="s">
        <v>161</v>
      </c>
      <c r="U116" s="33">
        <v>2</v>
      </c>
      <c r="V116" s="35" t="str">
        <f>VLOOKUP(U116,Key!$E$2:$F$9,2,FALSE)</f>
        <v>Work</v>
      </c>
      <c r="W116" s="35" t="str">
        <f>Q116&amp;"-"&amp;V116</f>
        <v>Home-Work</v>
      </c>
      <c r="X116" s="33">
        <v>12000</v>
      </c>
      <c r="Y116" s="39">
        <v>80</v>
      </c>
      <c r="Z116" s="39">
        <v>1.5</v>
      </c>
      <c r="AA116" s="33">
        <v>6</v>
      </c>
      <c r="AB116" s="35" t="str">
        <f>VLOOKUP(AA116,Key!$C$20:$D$29,2,FALSE)</f>
        <v>Businessman</v>
      </c>
      <c r="AC116" s="33">
        <v>1</v>
      </c>
      <c r="AD116" s="35" t="str">
        <f>VLOOKUP(AC116,Key!$E$20:$F$24,2,FALSE)</f>
        <v>&lt;300,000</v>
      </c>
      <c r="AE116" s="33">
        <v>2</v>
      </c>
      <c r="AF116" s="39">
        <v>4</v>
      </c>
      <c r="AG116" s="39">
        <v>1</v>
      </c>
      <c r="AH116" s="39">
        <v>2</v>
      </c>
      <c r="AI116" s="39">
        <v>2</v>
      </c>
      <c r="AJ116" s="40" t="s">
        <v>100</v>
      </c>
      <c r="AK116" s="41"/>
      <c r="AL116" s="25"/>
      <c r="AM116" s="25"/>
    </row>
    <row r="117" spans="2:39" x14ac:dyDescent="0.2">
      <c r="B117" s="52">
        <v>43697</v>
      </c>
      <c r="C117" s="36">
        <v>0.33333333333333331</v>
      </c>
      <c r="D117" s="36"/>
      <c r="E117" s="36" t="s">
        <v>159</v>
      </c>
      <c r="F117" s="38">
        <v>2</v>
      </c>
      <c r="G117" s="43" t="str">
        <f>VLOOKUP(F117,Key!$A$17:$B$21,2,FALSE)</f>
        <v>Road Vehicle</v>
      </c>
      <c r="H117" s="37">
        <v>4</v>
      </c>
      <c r="I117" s="44" t="str">
        <f>VLOOKUP(H117,Key!$A$2:$B$13,2,FALSE)</f>
        <v>Minibus</v>
      </c>
      <c r="J117" s="38" t="s">
        <v>163</v>
      </c>
      <c r="K117" s="38">
        <v>2</v>
      </c>
      <c r="L117" s="46" t="str">
        <f>VLOOKUP(K117,Key!$A$24:$B$29,2,FALSE)</f>
        <v>30-39</v>
      </c>
      <c r="M117" s="38" t="s">
        <v>160</v>
      </c>
      <c r="N117" s="33" t="s">
        <v>160</v>
      </c>
      <c r="O117" s="19" t="s">
        <v>161</v>
      </c>
      <c r="P117" s="40">
        <v>2</v>
      </c>
      <c r="Q117" s="35" t="str">
        <f>VLOOKUP(P117,Key!$E$2:$F$9,2,FALSE)</f>
        <v>Work</v>
      </c>
      <c r="R117" s="38" t="s">
        <v>173</v>
      </c>
      <c r="S117" s="33" t="s">
        <v>174</v>
      </c>
      <c r="T117" s="38" t="s">
        <v>161</v>
      </c>
      <c r="U117" s="33">
        <v>2</v>
      </c>
      <c r="V117" s="35" t="str">
        <f>VLOOKUP(U117,Key!$E$2:$F$9,2,FALSE)</f>
        <v>Work</v>
      </c>
      <c r="W117" s="35" t="str">
        <f>Q117&amp;"-"&amp;V117</f>
        <v>Work-Work</v>
      </c>
      <c r="X117" s="33">
        <v>10000</v>
      </c>
      <c r="Y117" s="39">
        <v>60</v>
      </c>
      <c r="Z117" s="39">
        <v>1</v>
      </c>
      <c r="AA117" s="33">
        <v>6</v>
      </c>
      <c r="AB117" s="35" t="str">
        <f>VLOOKUP(AA117,Key!$C$20:$D$29,2,FALSE)</f>
        <v>Businessman</v>
      </c>
      <c r="AC117" s="33">
        <v>1</v>
      </c>
      <c r="AD117" s="35" t="str">
        <f>VLOOKUP(AC117,Key!$E$20:$F$24,2,FALSE)</f>
        <v>&lt;300,000</v>
      </c>
      <c r="AE117" s="33">
        <v>5</v>
      </c>
      <c r="AF117" s="39">
        <v>2</v>
      </c>
      <c r="AG117" s="39">
        <v>3</v>
      </c>
      <c r="AH117" s="39">
        <v>3</v>
      </c>
      <c r="AI117" s="39">
        <v>2</v>
      </c>
      <c r="AJ117" s="40" t="s">
        <v>100</v>
      </c>
      <c r="AK117" s="41"/>
      <c r="AL117" s="25"/>
      <c r="AM117" s="25"/>
    </row>
    <row r="118" spans="2:39" x14ac:dyDescent="0.2">
      <c r="B118" s="52">
        <v>43695</v>
      </c>
      <c r="C118" s="36">
        <v>0.625</v>
      </c>
      <c r="D118" s="36"/>
      <c r="E118" s="36" t="s">
        <v>105</v>
      </c>
      <c r="F118" s="38">
        <v>2</v>
      </c>
      <c r="G118" s="43" t="str">
        <f>VLOOKUP(F118,Key!$A$17:$B$21,2,FALSE)</f>
        <v>Road Vehicle</v>
      </c>
      <c r="H118" s="37">
        <v>4</v>
      </c>
      <c r="I118" s="44" t="str">
        <f>VLOOKUP(H118,Key!$A$2:$B$13,2,FALSE)</f>
        <v>Minibus</v>
      </c>
      <c r="J118" s="38" t="s">
        <v>117</v>
      </c>
      <c r="K118" s="38">
        <v>2</v>
      </c>
      <c r="L118" s="46" t="str">
        <f>VLOOKUP(K118,Key!$A$24:$B$29,2,FALSE)</f>
        <v>30-39</v>
      </c>
      <c r="M118" s="38" t="s">
        <v>160</v>
      </c>
      <c r="N118" s="33" t="s">
        <v>160</v>
      </c>
      <c r="O118" s="19" t="s">
        <v>161</v>
      </c>
      <c r="P118" s="40">
        <v>2</v>
      </c>
      <c r="Q118" s="35" t="str">
        <f>VLOOKUP(P118,Key!$E$2:$F$9,2,FALSE)</f>
        <v>Work</v>
      </c>
      <c r="R118" s="38" t="s">
        <v>177</v>
      </c>
      <c r="S118" s="33" t="s">
        <v>160</v>
      </c>
      <c r="T118" s="38" t="s">
        <v>161</v>
      </c>
      <c r="U118" s="33">
        <v>2</v>
      </c>
      <c r="V118" s="35" t="str">
        <f>VLOOKUP(U118,Key!$E$2:$F$9,2,FALSE)</f>
        <v>Work</v>
      </c>
      <c r="W118" s="35" t="str">
        <f>Q118&amp;"-"&amp;V118</f>
        <v>Work-Work</v>
      </c>
      <c r="X118" s="48">
        <v>80000</v>
      </c>
      <c r="Y118" s="39">
        <v>8</v>
      </c>
      <c r="Z118" s="39">
        <v>0.7</v>
      </c>
      <c r="AA118" s="33">
        <v>10</v>
      </c>
      <c r="AB118" s="35" t="str">
        <f>VLOOKUP(AA118,Key!$C$20:$D$29,2,FALSE)</f>
        <v>Other</v>
      </c>
      <c r="AC118" s="33">
        <v>1</v>
      </c>
      <c r="AD118" s="35" t="str">
        <f>VLOOKUP(AC118,Key!$E$20:$F$24,2,FALSE)</f>
        <v>&lt;300,000</v>
      </c>
      <c r="AE118" s="33">
        <v>5</v>
      </c>
      <c r="AF118" s="39">
        <v>4</v>
      </c>
      <c r="AG118" s="39">
        <v>5</v>
      </c>
      <c r="AH118" s="39">
        <v>5</v>
      </c>
      <c r="AI118" s="39">
        <v>3</v>
      </c>
      <c r="AJ118" s="40" t="s">
        <v>100</v>
      </c>
      <c r="AK118" s="41"/>
      <c r="AL118" s="25"/>
      <c r="AM118" s="25"/>
    </row>
    <row r="119" spans="2:39" x14ac:dyDescent="0.2">
      <c r="B119" s="52">
        <v>43696</v>
      </c>
      <c r="C119" s="36">
        <v>0.56666666666666665</v>
      </c>
      <c r="D119" s="36" t="s">
        <v>207</v>
      </c>
      <c r="E119" s="36" t="s">
        <v>105</v>
      </c>
      <c r="F119" s="38">
        <v>2</v>
      </c>
      <c r="G119" s="43" t="str">
        <f>VLOOKUP(F119,Key!$A$17:$B$21,2,FALSE)</f>
        <v>Road Vehicle</v>
      </c>
      <c r="H119" s="37">
        <v>4</v>
      </c>
      <c r="I119" s="44" t="str">
        <f>VLOOKUP(H119,Key!$A$2:$B$13,2,FALSE)</f>
        <v>Minibus</v>
      </c>
      <c r="J119" s="38" t="s">
        <v>117</v>
      </c>
      <c r="K119" s="38">
        <v>2</v>
      </c>
      <c r="L119" s="46" t="str">
        <f>VLOOKUP(K119,Key!$A$24:$B$29,2,FALSE)</f>
        <v>30-39</v>
      </c>
      <c r="M119" s="38" t="s">
        <v>160</v>
      </c>
      <c r="N119" s="33" t="s">
        <v>160</v>
      </c>
      <c r="O119" s="19" t="s">
        <v>161</v>
      </c>
      <c r="P119" s="40">
        <v>2</v>
      </c>
      <c r="Q119" s="35" t="str">
        <f>VLOOKUP(P119,Key!$E$2:$F$9,2,FALSE)</f>
        <v>Work</v>
      </c>
      <c r="R119" s="38" t="s">
        <v>208</v>
      </c>
      <c r="S119" s="33" t="s">
        <v>172</v>
      </c>
      <c r="T119" s="38" t="s">
        <v>161</v>
      </c>
      <c r="U119" s="33">
        <v>2</v>
      </c>
      <c r="V119" s="35" t="str">
        <f>VLOOKUP(U119,Key!$E$2:$F$9,2,FALSE)</f>
        <v>Work</v>
      </c>
      <c r="W119" s="35" t="str">
        <f>Q119&amp;"-"&amp;V119</f>
        <v>Work-Work</v>
      </c>
      <c r="X119" s="33">
        <v>80000</v>
      </c>
      <c r="Y119" s="39">
        <v>85</v>
      </c>
      <c r="Z119" s="39">
        <v>1.5</v>
      </c>
      <c r="AA119" s="33">
        <v>10</v>
      </c>
      <c r="AB119" s="35" t="str">
        <f>VLOOKUP(AA119,Key!$C$20:$D$29,2,FALSE)</f>
        <v>Other</v>
      </c>
      <c r="AC119" s="33">
        <v>1</v>
      </c>
      <c r="AD119" s="35" t="str">
        <f>VLOOKUP(AC119,Key!$E$20:$F$24,2,FALSE)</f>
        <v>&lt;300,000</v>
      </c>
      <c r="AE119" s="33">
        <v>5</v>
      </c>
      <c r="AF119" s="39">
        <v>5</v>
      </c>
      <c r="AG119" s="39">
        <v>5</v>
      </c>
      <c r="AH119" s="39">
        <v>5</v>
      </c>
      <c r="AI119" s="39">
        <v>5</v>
      </c>
      <c r="AJ119" s="40" t="s">
        <v>100</v>
      </c>
      <c r="AK119" s="41">
        <v>1000</v>
      </c>
      <c r="AL119" s="25"/>
      <c r="AM119" s="25"/>
    </row>
    <row r="120" spans="2:39" x14ac:dyDescent="0.2">
      <c r="B120" s="52">
        <v>43696</v>
      </c>
      <c r="C120" s="36">
        <v>0.7729166666666667</v>
      </c>
      <c r="D120" s="36" t="s">
        <v>215</v>
      </c>
      <c r="E120" s="36" t="s">
        <v>105</v>
      </c>
      <c r="F120" s="38">
        <v>2</v>
      </c>
      <c r="G120" s="43" t="str">
        <f>VLOOKUP(F120,Key!$A$17:$B$21,2,FALSE)</f>
        <v>Road Vehicle</v>
      </c>
      <c r="H120" s="37">
        <v>4</v>
      </c>
      <c r="I120" s="44" t="str">
        <f>VLOOKUP(H120,Key!$A$2:$B$13,2,FALSE)</f>
        <v>Minibus</v>
      </c>
      <c r="J120" s="38" t="s">
        <v>117</v>
      </c>
      <c r="K120" s="38">
        <v>2</v>
      </c>
      <c r="L120" s="46" t="str">
        <f>VLOOKUP(K120,Key!$A$24:$B$29,2,FALSE)</f>
        <v>30-39</v>
      </c>
      <c r="M120" s="38" t="s">
        <v>172</v>
      </c>
      <c r="N120" s="33" t="s">
        <v>172</v>
      </c>
      <c r="O120" s="19" t="s">
        <v>161</v>
      </c>
      <c r="P120" s="40">
        <v>2</v>
      </c>
      <c r="Q120" s="35" t="str">
        <f>VLOOKUP(P120,Key!$E$2:$F$9,2,FALSE)</f>
        <v>Work</v>
      </c>
      <c r="R120" s="38" t="s">
        <v>160</v>
      </c>
      <c r="S120" s="33" t="s">
        <v>160</v>
      </c>
      <c r="T120" s="38" t="s">
        <v>161</v>
      </c>
      <c r="U120" s="33">
        <v>2</v>
      </c>
      <c r="V120" s="35" t="str">
        <f>VLOOKUP(U120,Key!$E$2:$F$9,2,FALSE)</f>
        <v>Work</v>
      </c>
      <c r="W120" s="35" t="str">
        <f>Q120&amp;"-"&amp;V120</f>
        <v>Work-Work</v>
      </c>
      <c r="X120" s="33">
        <v>60000</v>
      </c>
      <c r="Y120" s="39">
        <v>35</v>
      </c>
      <c r="Z120" s="39">
        <v>0.8</v>
      </c>
      <c r="AA120" s="33">
        <v>10</v>
      </c>
      <c r="AB120" s="35" t="str">
        <f>VLOOKUP(AA120,Key!$C$20:$D$29,2,FALSE)</f>
        <v>Other</v>
      </c>
      <c r="AC120" s="33">
        <v>1</v>
      </c>
      <c r="AD120" s="35" t="str">
        <f>VLOOKUP(AC120,Key!$E$20:$F$24,2,FALSE)</f>
        <v>&lt;300,000</v>
      </c>
      <c r="AE120" s="33">
        <v>5</v>
      </c>
      <c r="AF120" s="39">
        <v>5</v>
      </c>
      <c r="AG120" s="39">
        <v>5</v>
      </c>
      <c r="AH120" s="39">
        <v>5</v>
      </c>
      <c r="AI120" s="39">
        <v>5</v>
      </c>
      <c r="AJ120" s="40" t="s">
        <v>100</v>
      </c>
      <c r="AK120" s="41"/>
      <c r="AL120" s="25"/>
      <c r="AM120" s="25"/>
    </row>
    <row r="121" spans="2:39" x14ac:dyDescent="0.2">
      <c r="B121" s="52">
        <v>43696</v>
      </c>
      <c r="C121" s="36">
        <v>0.31805555555555554</v>
      </c>
      <c r="D121" s="36"/>
      <c r="E121" s="36" t="s">
        <v>159</v>
      </c>
      <c r="F121" s="38">
        <v>2</v>
      </c>
      <c r="G121" s="43" t="str">
        <f>VLOOKUP(F121,Key!$A$17:$B$21,2,FALSE)</f>
        <v>Road Vehicle</v>
      </c>
      <c r="H121" s="37">
        <v>4</v>
      </c>
      <c r="I121" s="44" t="str">
        <f>VLOOKUP(H121,Key!$A$2:$B$13,2,FALSE)</f>
        <v>Minibus</v>
      </c>
      <c r="J121" s="38" t="s">
        <v>117</v>
      </c>
      <c r="K121" s="38">
        <v>2</v>
      </c>
      <c r="L121" s="46" t="str">
        <f>VLOOKUP(K121,Key!$A$24:$B$29,2,FALSE)</f>
        <v>30-39</v>
      </c>
      <c r="M121" s="38" t="s">
        <v>160</v>
      </c>
      <c r="N121" s="33" t="s">
        <v>160</v>
      </c>
      <c r="O121" s="19" t="s">
        <v>161</v>
      </c>
      <c r="P121" s="40">
        <v>1</v>
      </c>
      <c r="Q121" s="35" t="str">
        <f>VLOOKUP(P121,Key!$E$2:$F$9,2,FALSE)</f>
        <v>Home</v>
      </c>
      <c r="R121" s="38" t="s">
        <v>162</v>
      </c>
      <c r="S121" s="33" t="s">
        <v>162</v>
      </c>
      <c r="T121" s="38" t="s">
        <v>161</v>
      </c>
      <c r="U121" s="33">
        <v>2</v>
      </c>
      <c r="V121" s="35" t="str">
        <f>VLOOKUP(U121,Key!$E$2:$F$9,2,FALSE)</f>
        <v>Work</v>
      </c>
      <c r="W121" s="35" t="str">
        <f>Q121&amp;"-"&amp;V121</f>
        <v>Home-Work</v>
      </c>
      <c r="X121" s="33">
        <v>35000</v>
      </c>
      <c r="Y121" s="39">
        <v>330</v>
      </c>
      <c r="Z121" s="39">
        <v>6.5</v>
      </c>
      <c r="AA121" s="33">
        <v>6</v>
      </c>
      <c r="AB121" s="35" t="str">
        <f>VLOOKUP(AA121,Key!$C$20:$D$29,2,FALSE)</f>
        <v>Businessman</v>
      </c>
      <c r="AC121" s="33">
        <v>1</v>
      </c>
      <c r="AD121" s="35" t="str">
        <f>VLOOKUP(AC121,Key!$E$20:$F$24,2,FALSE)</f>
        <v>&lt;300,000</v>
      </c>
      <c r="AE121" s="33">
        <v>5</v>
      </c>
      <c r="AF121" s="39">
        <v>2</v>
      </c>
      <c r="AG121" s="39">
        <v>2</v>
      </c>
      <c r="AH121" s="39">
        <v>4</v>
      </c>
      <c r="AI121" s="39">
        <v>3</v>
      </c>
      <c r="AJ121" s="40" t="s">
        <v>100</v>
      </c>
      <c r="AK121" s="41"/>
      <c r="AL121" s="25"/>
      <c r="AM121" s="25"/>
    </row>
    <row r="122" spans="2:39" x14ac:dyDescent="0.2">
      <c r="B122" s="52">
        <v>43696</v>
      </c>
      <c r="C122" s="36">
        <v>0.57986111111111105</v>
      </c>
      <c r="D122" s="36" t="s">
        <v>223</v>
      </c>
      <c r="E122" s="36" t="s">
        <v>105</v>
      </c>
      <c r="F122" s="38">
        <v>2</v>
      </c>
      <c r="G122" s="43" t="str">
        <f>VLOOKUP(F122,Key!$A$17:$B$21,2,FALSE)</f>
        <v>Road Vehicle</v>
      </c>
      <c r="H122" s="37">
        <v>4</v>
      </c>
      <c r="I122" s="44" t="str">
        <f>VLOOKUP(H122,Key!$A$2:$B$13,2,FALSE)</f>
        <v>Minibus</v>
      </c>
      <c r="J122" s="38" t="s">
        <v>117</v>
      </c>
      <c r="K122" s="38">
        <v>2</v>
      </c>
      <c r="L122" s="46" t="str">
        <f>VLOOKUP(K122,Key!$A$24:$B$29,2,FALSE)</f>
        <v>30-39</v>
      </c>
      <c r="M122" s="38" t="s">
        <v>160</v>
      </c>
      <c r="N122" s="33" t="s">
        <v>160</v>
      </c>
      <c r="O122" s="19" t="s">
        <v>161</v>
      </c>
      <c r="P122" s="40">
        <v>2</v>
      </c>
      <c r="Q122" s="35" t="str">
        <f>VLOOKUP(P122,Key!$E$2:$F$9,2,FALSE)</f>
        <v>Work</v>
      </c>
      <c r="R122" s="38" t="s">
        <v>190</v>
      </c>
      <c r="S122" s="33" t="s">
        <v>190</v>
      </c>
      <c r="T122" s="38" t="s">
        <v>161</v>
      </c>
      <c r="U122" s="33">
        <v>2</v>
      </c>
      <c r="V122" s="35" t="str">
        <f>VLOOKUP(U122,Key!$E$2:$F$9,2,FALSE)</f>
        <v>Work</v>
      </c>
      <c r="W122" s="35" t="str">
        <f>Q122&amp;"-"&amp;V122</f>
        <v>Work-Work</v>
      </c>
      <c r="X122" s="33">
        <v>80000</v>
      </c>
      <c r="Y122" s="39">
        <v>40</v>
      </c>
      <c r="Z122" s="39">
        <v>1.5</v>
      </c>
      <c r="AA122" s="33">
        <v>10</v>
      </c>
      <c r="AB122" s="35" t="str">
        <f>VLOOKUP(AA122,Key!$C$20:$D$29,2,FALSE)</f>
        <v>Other</v>
      </c>
      <c r="AC122" s="33">
        <v>1</v>
      </c>
      <c r="AD122" s="35" t="str">
        <f>VLOOKUP(AC122,Key!$E$20:$F$24,2,FALSE)</f>
        <v>&lt;300,000</v>
      </c>
      <c r="AE122" s="33">
        <v>5</v>
      </c>
      <c r="AF122" s="39">
        <v>5</v>
      </c>
      <c r="AG122" s="39">
        <v>5</v>
      </c>
      <c r="AH122" s="39">
        <v>5</v>
      </c>
      <c r="AI122" s="39">
        <v>5</v>
      </c>
      <c r="AJ122" s="40" t="s">
        <v>100</v>
      </c>
      <c r="AK122" s="41">
        <v>1000</v>
      </c>
      <c r="AL122" s="25"/>
      <c r="AM122" s="25"/>
    </row>
    <row r="123" spans="2:39" x14ac:dyDescent="0.2">
      <c r="B123" s="52">
        <v>43696</v>
      </c>
      <c r="C123" s="36">
        <v>0.57291666666666663</v>
      </c>
      <c r="D123" s="36" t="s">
        <v>224</v>
      </c>
      <c r="E123" s="36" t="s">
        <v>105</v>
      </c>
      <c r="F123" s="38">
        <v>2</v>
      </c>
      <c r="G123" s="43" t="str">
        <f>VLOOKUP(F123,Key!$A$17:$B$21,2,FALSE)</f>
        <v>Road Vehicle</v>
      </c>
      <c r="H123" s="37">
        <v>4</v>
      </c>
      <c r="I123" s="44" t="str">
        <f>VLOOKUP(H123,Key!$A$2:$B$13,2,FALSE)</f>
        <v>Minibus</v>
      </c>
      <c r="J123" s="38" t="s">
        <v>117</v>
      </c>
      <c r="K123" s="38">
        <v>2</v>
      </c>
      <c r="L123" s="46" t="str">
        <f>VLOOKUP(K123,Key!$A$24:$B$29,2,FALSE)</f>
        <v>30-39</v>
      </c>
      <c r="M123" s="38" t="s">
        <v>160</v>
      </c>
      <c r="N123" s="33" t="s">
        <v>160</v>
      </c>
      <c r="O123" s="19" t="s">
        <v>161</v>
      </c>
      <c r="P123" s="40">
        <v>2</v>
      </c>
      <c r="Q123" s="35" t="str">
        <f>VLOOKUP(P123,Key!$E$2:$F$9,2,FALSE)</f>
        <v>Work</v>
      </c>
      <c r="R123" s="38" t="s">
        <v>180</v>
      </c>
      <c r="S123" s="33" t="s">
        <v>180</v>
      </c>
      <c r="T123" s="38" t="s">
        <v>161</v>
      </c>
      <c r="U123" s="33">
        <v>2</v>
      </c>
      <c r="V123" s="35" t="str">
        <f>VLOOKUP(U123,Key!$E$2:$F$9,2,FALSE)</f>
        <v>Work</v>
      </c>
      <c r="W123" s="35" t="str">
        <f>Q123&amp;"-"&amp;V123</f>
        <v>Work-Work</v>
      </c>
      <c r="X123" s="33">
        <v>100000</v>
      </c>
      <c r="Y123" s="39">
        <v>60</v>
      </c>
      <c r="Z123" s="39">
        <v>2.5</v>
      </c>
      <c r="AA123" s="33">
        <v>10</v>
      </c>
      <c r="AB123" s="35" t="str">
        <f>VLOOKUP(AA123,Key!$C$20:$D$29,2,FALSE)</f>
        <v>Other</v>
      </c>
      <c r="AC123" s="33">
        <v>2</v>
      </c>
      <c r="AD123" s="35" t="str">
        <f>VLOOKUP(AC123,Key!$E$20:$F$24,2,FALSE)</f>
        <v>300,000-500,000</v>
      </c>
      <c r="AE123" s="33">
        <v>5</v>
      </c>
      <c r="AF123" s="39">
        <v>5</v>
      </c>
      <c r="AG123" s="39">
        <v>5</v>
      </c>
      <c r="AH123" s="39">
        <v>5</v>
      </c>
      <c r="AI123" s="39">
        <v>5</v>
      </c>
      <c r="AJ123" s="40" t="s">
        <v>100</v>
      </c>
      <c r="AK123" s="41">
        <v>1000</v>
      </c>
      <c r="AL123" s="25"/>
      <c r="AM123" s="25"/>
    </row>
    <row r="124" spans="2:39" x14ac:dyDescent="0.2">
      <c r="B124" s="52">
        <v>43696</v>
      </c>
      <c r="C124" s="36">
        <v>0.45833333333333331</v>
      </c>
      <c r="D124" s="36" t="s">
        <v>235</v>
      </c>
      <c r="E124" s="36" t="s">
        <v>105</v>
      </c>
      <c r="F124" s="38">
        <v>2</v>
      </c>
      <c r="G124" s="43" t="str">
        <f>VLOOKUP(F124,Key!$A$17:$B$21,2,FALSE)</f>
        <v>Road Vehicle</v>
      </c>
      <c r="H124" s="37">
        <v>4</v>
      </c>
      <c r="I124" s="44" t="str">
        <f>VLOOKUP(H124,Key!$A$2:$B$13,2,FALSE)</f>
        <v>Minibus</v>
      </c>
      <c r="J124" s="38" t="s">
        <v>117</v>
      </c>
      <c r="K124" s="38">
        <v>2</v>
      </c>
      <c r="L124" s="46" t="str">
        <f>VLOOKUP(K124,Key!$A$24:$B$29,2,FALSE)</f>
        <v>30-39</v>
      </c>
      <c r="M124" s="38" t="s">
        <v>160</v>
      </c>
      <c r="N124" s="33" t="s">
        <v>160</v>
      </c>
      <c r="O124" s="19" t="s">
        <v>161</v>
      </c>
      <c r="P124" s="40">
        <v>2</v>
      </c>
      <c r="Q124" s="35" t="str">
        <f>VLOOKUP(P124,Key!$E$2:$F$9,2,FALSE)</f>
        <v>Work</v>
      </c>
      <c r="R124" s="38" t="s">
        <v>236</v>
      </c>
      <c r="S124" s="33" t="s">
        <v>214</v>
      </c>
      <c r="T124" s="38" t="s">
        <v>161</v>
      </c>
      <c r="U124" s="33">
        <v>2</v>
      </c>
      <c r="V124" s="35" t="str">
        <f>VLOOKUP(U124,Key!$E$2:$F$9,2,FALSE)</f>
        <v>Work</v>
      </c>
      <c r="W124" s="35" t="str">
        <f>Q124&amp;"-"&amp;V124</f>
        <v>Work-Work</v>
      </c>
      <c r="X124" s="33">
        <v>100000</v>
      </c>
      <c r="Y124" s="39">
        <v>43</v>
      </c>
      <c r="Z124" s="39">
        <v>2.5</v>
      </c>
      <c r="AA124" s="33">
        <v>10</v>
      </c>
      <c r="AB124" s="35" t="str">
        <f>VLOOKUP(AA124,Key!$C$20:$D$29,2,FALSE)</f>
        <v>Other</v>
      </c>
      <c r="AC124" s="33">
        <v>1</v>
      </c>
      <c r="AD124" s="35" t="str">
        <f>VLOOKUP(AC124,Key!$E$20:$F$24,2,FALSE)</f>
        <v>&lt;300,000</v>
      </c>
      <c r="AE124" s="33">
        <v>5</v>
      </c>
      <c r="AF124" s="39">
        <v>5</v>
      </c>
      <c r="AG124" s="39">
        <v>5</v>
      </c>
      <c r="AH124" s="39">
        <v>5</v>
      </c>
      <c r="AI124" s="39">
        <v>5</v>
      </c>
      <c r="AJ124" s="40" t="s">
        <v>100</v>
      </c>
      <c r="AK124" s="41">
        <v>1000</v>
      </c>
      <c r="AL124" s="25"/>
      <c r="AM124" s="25"/>
    </row>
    <row r="125" spans="2:39" x14ac:dyDescent="0.2">
      <c r="B125" s="52">
        <v>43696</v>
      </c>
      <c r="C125" s="36">
        <v>0.47152777777777777</v>
      </c>
      <c r="D125" s="36" t="s">
        <v>237</v>
      </c>
      <c r="E125" s="36" t="s">
        <v>105</v>
      </c>
      <c r="F125" s="38">
        <v>2</v>
      </c>
      <c r="G125" s="43" t="str">
        <f>VLOOKUP(F125,Key!$A$17:$B$21,2,FALSE)</f>
        <v>Road Vehicle</v>
      </c>
      <c r="H125" s="37">
        <v>4</v>
      </c>
      <c r="I125" s="44" t="str">
        <f>VLOOKUP(H125,Key!$A$2:$B$13,2,FALSE)</f>
        <v>Minibus</v>
      </c>
      <c r="J125" s="38" t="s">
        <v>117</v>
      </c>
      <c r="K125" s="38">
        <v>2</v>
      </c>
      <c r="L125" s="46" t="str">
        <f>VLOOKUP(K125,Key!$A$24:$B$29,2,FALSE)</f>
        <v>30-39</v>
      </c>
      <c r="M125" s="38" t="s">
        <v>160</v>
      </c>
      <c r="N125" s="33" t="s">
        <v>160</v>
      </c>
      <c r="O125" s="19" t="s">
        <v>161</v>
      </c>
      <c r="P125" s="40">
        <v>2</v>
      </c>
      <c r="Q125" s="35" t="str">
        <f>VLOOKUP(P125,Key!$E$2:$F$9,2,FALSE)</f>
        <v>Work</v>
      </c>
      <c r="R125" s="38" t="s">
        <v>214</v>
      </c>
      <c r="S125" s="33" t="s">
        <v>214</v>
      </c>
      <c r="T125" s="38" t="s">
        <v>161</v>
      </c>
      <c r="U125" s="33">
        <v>2</v>
      </c>
      <c r="V125" s="35" t="str">
        <f>VLOOKUP(U125,Key!$E$2:$F$9,2,FALSE)</f>
        <v>Work</v>
      </c>
      <c r="W125" s="35" t="str">
        <f>Q125&amp;"-"&amp;V125</f>
        <v>Work-Work</v>
      </c>
      <c r="X125" s="33">
        <v>80000</v>
      </c>
      <c r="Y125" s="39">
        <v>40</v>
      </c>
      <c r="Z125" s="39">
        <v>2</v>
      </c>
      <c r="AA125" s="33">
        <v>10</v>
      </c>
      <c r="AB125" s="35" t="str">
        <f>VLOOKUP(AA125,Key!$C$20:$D$29,2,FALSE)</f>
        <v>Other</v>
      </c>
      <c r="AC125" s="33">
        <v>1</v>
      </c>
      <c r="AD125" s="35" t="str">
        <f>VLOOKUP(AC125,Key!$E$20:$F$24,2,FALSE)</f>
        <v>&lt;300,000</v>
      </c>
      <c r="AE125" s="33">
        <v>5</v>
      </c>
      <c r="AF125" s="39">
        <v>5</v>
      </c>
      <c r="AG125" s="39">
        <v>5</v>
      </c>
      <c r="AH125" s="39">
        <v>5</v>
      </c>
      <c r="AI125" s="39">
        <v>5</v>
      </c>
      <c r="AJ125" s="40" t="s">
        <v>100</v>
      </c>
      <c r="AK125" s="41">
        <v>1000</v>
      </c>
      <c r="AL125" s="25"/>
      <c r="AM125" s="25"/>
    </row>
    <row r="126" spans="2:39" x14ac:dyDescent="0.2">
      <c r="B126" s="52">
        <v>43697</v>
      </c>
      <c r="C126" s="36">
        <v>0.59375</v>
      </c>
      <c r="D126" s="36"/>
      <c r="E126" s="36" t="s">
        <v>105</v>
      </c>
      <c r="F126" s="38">
        <v>2</v>
      </c>
      <c r="G126" s="43" t="str">
        <f>VLOOKUP(F126,Key!$A$17:$B$21,2,FALSE)</f>
        <v>Road Vehicle</v>
      </c>
      <c r="H126" s="37">
        <v>4</v>
      </c>
      <c r="I126" s="44" t="str">
        <f>VLOOKUP(H126,Key!$A$2:$B$13,2,FALSE)</f>
        <v>Minibus</v>
      </c>
      <c r="J126" s="38" t="s">
        <v>117</v>
      </c>
      <c r="K126" s="38">
        <v>2</v>
      </c>
      <c r="L126" s="46" t="str">
        <f>VLOOKUP(K126,Key!$A$24:$B$29,2,FALSE)</f>
        <v>30-39</v>
      </c>
      <c r="M126" s="38" t="s">
        <v>160</v>
      </c>
      <c r="N126" s="33" t="s">
        <v>160</v>
      </c>
      <c r="O126" s="19" t="s">
        <v>161</v>
      </c>
      <c r="P126" s="40">
        <v>4</v>
      </c>
      <c r="Q126" s="35" t="str">
        <f>VLOOKUP(P126,Key!$E$2:$F$9,2,FALSE)</f>
        <v>Commercial</v>
      </c>
      <c r="R126" s="38" t="s">
        <v>214</v>
      </c>
      <c r="S126" s="33" t="s">
        <v>214</v>
      </c>
      <c r="T126" s="38" t="s">
        <v>161</v>
      </c>
      <c r="U126" s="33">
        <v>4</v>
      </c>
      <c r="V126" s="35" t="str">
        <f>VLOOKUP(U126,Key!$E$2:$F$9,2,FALSE)</f>
        <v>Commercial</v>
      </c>
      <c r="W126" s="35" t="str">
        <f>Q126&amp;"-"&amp;V126</f>
        <v>Commercial-Commercial</v>
      </c>
      <c r="X126" s="33">
        <v>180000</v>
      </c>
      <c r="Y126" s="39">
        <v>47</v>
      </c>
      <c r="Z126" s="39">
        <v>3</v>
      </c>
      <c r="AA126" s="33">
        <v>10</v>
      </c>
      <c r="AB126" s="35" t="str">
        <f>VLOOKUP(AA126,Key!$C$20:$D$29,2,FALSE)</f>
        <v>Other</v>
      </c>
      <c r="AC126" s="33">
        <v>2</v>
      </c>
      <c r="AD126" s="35" t="str">
        <f>VLOOKUP(AC126,Key!$E$20:$F$24,2,FALSE)</f>
        <v>300,000-500,000</v>
      </c>
      <c r="AE126" s="33">
        <v>5</v>
      </c>
      <c r="AF126" s="39">
        <v>5</v>
      </c>
      <c r="AG126" s="39">
        <v>5</v>
      </c>
      <c r="AH126" s="39">
        <v>5</v>
      </c>
      <c r="AI126" s="39">
        <v>5</v>
      </c>
      <c r="AJ126" s="40" t="s">
        <v>100</v>
      </c>
      <c r="AK126" s="41">
        <v>1000</v>
      </c>
      <c r="AL126" s="25"/>
      <c r="AM126" s="25"/>
    </row>
    <row r="127" spans="2:39" x14ac:dyDescent="0.2">
      <c r="B127" s="52">
        <v>43697</v>
      </c>
      <c r="C127" s="36">
        <v>0.61805555555555558</v>
      </c>
      <c r="D127" s="36"/>
      <c r="E127" s="36" t="s">
        <v>105</v>
      </c>
      <c r="F127" s="38">
        <v>2</v>
      </c>
      <c r="G127" s="43" t="str">
        <f>VLOOKUP(F127,Key!$A$17:$B$21,2,FALSE)</f>
        <v>Road Vehicle</v>
      </c>
      <c r="H127" s="37">
        <v>4</v>
      </c>
      <c r="I127" s="44" t="str">
        <f>VLOOKUP(H127,Key!$A$2:$B$13,2,FALSE)</f>
        <v>Minibus</v>
      </c>
      <c r="J127" s="38" t="s">
        <v>117</v>
      </c>
      <c r="K127" s="38">
        <v>2</v>
      </c>
      <c r="L127" s="46" t="str">
        <f>VLOOKUP(K127,Key!$A$24:$B$29,2,FALSE)</f>
        <v>30-39</v>
      </c>
      <c r="M127" s="38" t="s">
        <v>160</v>
      </c>
      <c r="N127" s="33" t="s">
        <v>160</v>
      </c>
      <c r="O127" s="19" t="s">
        <v>161</v>
      </c>
      <c r="P127" s="40">
        <v>4</v>
      </c>
      <c r="Q127" s="35" t="str">
        <f>VLOOKUP(P127,Key!$E$2:$F$9,2,FALSE)</f>
        <v>Commercial</v>
      </c>
      <c r="R127" s="38" t="s">
        <v>246</v>
      </c>
      <c r="S127" s="33" t="s">
        <v>246</v>
      </c>
      <c r="T127" s="38" t="s">
        <v>161</v>
      </c>
      <c r="U127" s="33">
        <v>4</v>
      </c>
      <c r="V127" s="35" t="str">
        <f>VLOOKUP(U127,Key!$E$2:$F$9,2,FALSE)</f>
        <v>Commercial</v>
      </c>
      <c r="W127" s="35" t="str">
        <f>Q127&amp;"-"&amp;V127</f>
        <v>Commercial-Commercial</v>
      </c>
      <c r="X127" s="33">
        <v>5000</v>
      </c>
      <c r="Y127" s="39">
        <v>40</v>
      </c>
      <c r="Z127" s="39">
        <v>2.5</v>
      </c>
      <c r="AA127" s="33">
        <v>10</v>
      </c>
      <c r="AB127" s="35" t="str">
        <f>VLOOKUP(AA127,Key!$C$20:$D$29,2,FALSE)</f>
        <v>Other</v>
      </c>
      <c r="AC127" s="33">
        <v>2</v>
      </c>
      <c r="AD127" s="35" t="str">
        <f>VLOOKUP(AC127,Key!$E$20:$F$24,2,FALSE)</f>
        <v>300,000-500,000</v>
      </c>
      <c r="AE127" s="33">
        <v>1</v>
      </c>
      <c r="AF127" s="39">
        <v>5</v>
      </c>
      <c r="AG127" s="39">
        <v>5</v>
      </c>
      <c r="AH127" s="39">
        <v>5</v>
      </c>
      <c r="AI127" s="39">
        <v>1</v>
      </c>
      <c r="AJ127" s="40" t="s">
        <v>100</v>
      </c>
      <c r="AK127" s="41">
        <v>2000</v>
      </c>
      <c r="AL127" s="25"/>
      <c r="AM127" s="25"/>
    </row>
    <row r="128" spans="2:39" x14ac:dyDescent="0.2">
      <c r="B128" s="52">
        <v>43697</v>
      </c>
      <c r="C128" s="36">
        <v>0.62291666666666667</v>
      </c>
      <c r="D128" s="36"/>
      <c r="E128" s="36" t="s">
        <v>105</v>
      </c>
      <c r="F128" s="38">
        <v>2</v>
      </c>
      <c r="G128" s="43" t="str">
        <f>VLOOKUP(F128,Key!$A$17:$B$21,2,FALSE)</f>
        <v>Road Vehicle</v>
      </c>
      <c r="H128" s="37">
        <v>4</v>
      </c>
      <c r="I128" s="44" t="str">
        <f>VLOOKUP(H128,Key!$A$2:$B$13,2,FALSE)</f>
        <v>Minibus</v>
      </c>
      <c r="J128" s="38" t="s">
        <v>117</v>
      </c>
      <c r="K128" s="38">
        <v>2</v>
      </c>
      <c r="L128" s="46" t="str">
        <f>VLOOKUP(K128,Key!$A$24:$B$29,2,FALSE)</f>
        <v>30-39</v>
      </c>
      <c r="M128" s="38" t="s">
        <v>160</v>
      </c>
      <c r="N128" s="33" t="s">
        <v>160</v>
      </c>
      <c r="O128" s="19" t="s">
        <v>161</v>
      </c>
      <c r="P128" s="40">
        <v>2</v>
      </c>
      <c r="Q128" s="35" t="str">
        <f>VLOOKUP(P128,Key!$E$2:$F$9,2,FALSE)</f>
        <v>Work</v>
      </c>
      <c r="R128" s="38" t="s">
        <v>248</v>
      </c>
      <c r="S128" s="33" t="s">
        <v>190</v>
      </c>
      <c r="T128" s="38" t="s">
        <v>161</v>
      </c>
      <c r="U128" s="33">
        <v>1</v>
      </c>
      <c r="V128" s="35" t="str">
        <f>VLOOKUP(U128,Key!$E$2:$F$9,2,FALSE)</f>
        <v>Home</v>
      </c>
      <c r="W128" s="35" t="str">
        <f>Q128&amp;"-"&amp;V128</f>
        <v>Work-Home</v>
      </c>
      <c r="X128" s="33">
        <v>40000</v>
      </c>
      <c r="Y128" s="39">
        <v>30</v>
      </c>
      <c r="Z128" s="39">
        <v>2</v>
      </c>
      <c r="AA128" s="33">
        <v>6</v>
      </c>
      <c r="AB128" s="35" t="str">
        <f>VLOOKUP(AA128,Key!$C$20:$D$29,2,FALSE)</f>
        <v>Businessman</v>
      </c>
      <c r="AC128" s="33">
        <v>2</v>
      </c>
      <c r="AD128" s="35" t="str">
        <f>VLOOKUP(AC128,Key!$E$20:$F$24,2,FALSE)</f>
        <v>300,000-500,000</v>
      </c>
      <c r="AE128" s="33">
        <v>5</v>
      </c>
      <c r="AF128" s="39">
        <v>5</v>
      </c>
      <c r="AG128" s="39">
        <v>5</v>
      </c>
      <c r="AH128" s="39">
        <v>1</v>
      </c>
      <c r="AI128" s="39">
        <v>5</v>
      </c>
      <c r="AJ128" s="40" t="s">
        <v>100</v>
      </c>
      <c r="AK128" s="41">
        <v>1000</v>
      </c>
      <c r="AL128" s="25"/>
      <c r="AM128" s="25"/>
    </row>
    <row r="129" spans="1:39" x14ac:dyDescent="0.2">
      <c r="B129" s="52">
        <v>43697</v>
      </c>
      <c r="C129" s="36">
        <v>0.63541666666666663</v>
      </c>
      <c r="D129" s="36"/>
      <c r="E129" s="36" t="s">
        <v>105</v>
      </c>
      <c r="F129" s="38">
        <v>2</v>
      </c>
      <c r="G129" s="43" t="str">
        <f>VLOOKUP(F129,Key!$A$17:$B$21,2,FALSE)</f>
        <v>Road Vehicle</v>
      </c>
      <c r="H129" s="37">
        <v>4</v>
      </c>
      <c r="I129" s="44" t="str">
        <f>VLOOKUP(H129,Key!$A$2:$B$13,2,FALSE)</f>
        <v>Minibus</v>
      </c>
      <c r="J129" s="38" t="s">
        <v>117</v>
      </c>
      <c r="K129" s="38">
        <v>2</v>
      </c>
      <c r="L129" s="46" t="str">
        <f>VLOOKUP(K129,Key!$A$24:$B$29,2,FALSE)</f>
        <v>30-39</v>
      </c>
      <c r="M129" s="38" t="s">
        <v>160</v>
      </c>
      <c r="N129" s="33" t="s">
        <v>160</v>
      </c>
      <c r="O129" s="19" t="s">
        <v>161</v>
      </c>
      <c r="P129" s="40">
        <v>8</v>
      </c>
      <c r="Q129" s="35" t="str">
        <f>VLOOKUP(P129,Key!$E$2:$F$9,2,FALSE)</f>
        <v>Others</v>
      </c>
      <c r="R129" s="38" t="s">
        <v>172</v>
      </c>
      <c r="S129" s="33" t="s">
        <v>172</v>
      </c>
      <c r="T129" s="38" t="s">
        <v>161</v>
      </c>
      <c r="U129" s="33">
        <v>8</v>
      </c>
      <c r="V129" s="35" t="str">
        <f>VLOOKUP(U129,Key!$E$2:$F$9,2,FALSE)</f>
        <v>Others</v>
      </c>
      <c r="W129" s="35" t="str">
        <f>Q129&amp;"-"&amp;V129</f>
        <v>Others-Others</v>
      </c>
      <c r="X129" s="33">
        <v>40000</v>
      </c>
      <c r="Y129" s="39">
        <v>42</v>
      </c>
      <c r="Z129" s="39">
        <v>3</v>
      </c>
      <c r="AA129" s="33">
        <v>1</v>
      </c>
      <c r="AB129" s="35" t="str">
        <f>VLOOKUP(AA129,Key!$C$20:$D$29,2,FALSE)</f>
        <v>Unemployed</v>
      </c>
      <c r="AC129" s="33">
        <v>1</v>
      </c>
      <c r="AD129" s="35" t="str">
        <f>VLOOKUP(AC129,Key!$E$20:$F$24,2,FALSE)</f>
        <v>&lt;300,000</v>
      </c>
      <c r="AE129" s="33">
        <v>5</v>
      </c>
      <c r="AF129" s="39">
        <v>5</v>
      </c>
      <c r="AG129" s="39">
        <v>5</v>
      </c>
      <c r="AH129" s="39">
        <v>1</v>
      </c>
      <c r="AI129" s="39">
        <v>5</v>
      </c>
      <c r="AJ129" s="40" t="s">
        <v>249</v>
      </c>
      <c r="AK129" s="41"/>
      <c r="AL129" s="25"/>
      <c r="AM129" s="25"/>
    </row>
    <row r="130" spans="1:39" x14ac:dyDescent="0.2">
      <c r="B130" s="52">
        <v>43697</v>
      </c>
      <c r="C130" s="36">
        <v>0.6430555555555556</v>
      </c>
      <c r="D130" s="36"/>
      <c r="E130" s="36" t="s">
        <v>159</v>
      </c>
      <c r="F130" s="38">
        <v>2</v>
      </c>
      <c r="G130" s="43" t="str">
        <f>VLOOKUP(F130,Key!$A$17:$B$21,2,FALSE)</f>
        <v>Road Vehicle</v>
      </c>
      <c r="H130" s="37">
        <v>4</v>
      </c>
      <c r="I130" s="44" t="str">
        <f>VLOOKUP(H130,Key!$A$2:$B$13,2,FALSE)</f>
        <v>Minibus</v>
      </c>
      <c r="J130" s="38" t="s">
        <v>117</v>
      </c>
      <c r="K130" s="38">
        <v>2</v>
      </c>
      <c r="L130" s="46" t="str">
        <f>VLOOKUP(K130,Key!$A$24:$B$29,2,FALSE)</f>
        <v>30-39</v>
      </c>
      <c r="M130" s="38" t="s">
        <v>160</v>
      </c>
      <c r="N130" s="33" t="s">
        <v>160</v>
      </c>
      <c r="O130" s="19" t="s">
        <v>161</v>
      </c>
      <c r="P130" s="40">
        <v>1</v>
      </c>
      <c r="Q130" s="35" t="str">
        <f>VLOOKUP(P130,Key!$E$2:$F$9,2,FALSE)</f>
        <v>Home</v>
      </c>
      <c r="R130" s="38" t="s">
        <v>211</v>
      </c>
      <c r="S130" s="33" t="s">
        <v>172</v>
      </c>
      <c r="T130" s="38" t="s">
        <v>161</v>
      </c>
      <c r="U130" s="33">
        <v>2</v>
      </c>
      <c r="V130" s="35" t="str">
        <f>VLOOKUP(U130,Key!$E$2:$F$9,2,FALSE)</f>
        <v>Work</v>
      </c>
      <c r="W130" s="35" t="str">
        <f>Q130&amp;"-"&amp;V130</f>
        <v>Home-Work</v>
      </c>
      <c r="X130" s="33">
        <v>4000</v>
      </c>
      <c r="Y130" s="39">
        <v>32</v>
      </c>
      <c r="Z130" s="39">
        <v>1</v>
      </c>
      <c r="AA130" s="33">
        <v>6</v>
      </c>
      <c r="AB130" s="35" t="str">
        <f>VLOOKUP(AA130,Key!$C$20:$D$29,2,FALSE)</f>
        <v>Businessman</v>
      </c>
      <c r="AC130" s="33">
        <v>2</v>
      </c>
      <c r="AD130" s="35" t="str">
        <f>VLOOKUP(AC130,Key!$E$20:$F$24,2,FALSE)</f>
        <v>300,000-500,000</v>
      </c>
      <c r="AE130" s="33">
        <v>5</v>
      </c>
      <c r="AF130" s="39">
        <v>1</v>
      </c>
      <c r="AG130" s="39">
        <v>5</v>
      </c>
      <c r="AH130" s="39">
        <v>5</v>
      </c>
      <c r="AI130" s="39">
        <v>1</v>
      </c>
      <c r="AJ130" s="40" t="s">
        <v>100</v>
      </c>
      <c r="AK130" s="41">
        <v>2000</v>
      </c>
      <c r="AL130" s="25"/>
      <c r="AM130" s="25"/>
    </row>
    <row r="131" spans="1:39" x14ac:dyDescent="0.2">
      <c r="B131" s="52">
        <v>43697</v>
      </c>
      <c r="C131" s="36">
        <v>0.6645833333333333</v>
      </c>
      <c r="D131" s="36"/>
      <c r="E131" s="36" t="s">
        <v>105</v>
      </c>
      <c r="F131" s="38">
        <v>2</v>
      </c>
      <c r="G131" s="43" t="str">
        <f>VLOOKUP(F131,Key!$A$17:$B$21,2,FALSE)</f>
        <v>Road Vehicle</v>
      </c>
      <c r="H131" s="37">
        <v>4</v>
      </c>
      <c r="I131" s="44" t="str">
        <f>VLOOKUP(H131,Key!$A$2:$B$13,2,FALSE)</f>
        <v>Minibus</v>
      </c>
      <c r="J131" s="38" t="s">
        <v>117</v>
      </c>
      <c r="K131" s="38">
        <v>2</v>
      </c>
      <c r="L131" s="46" t="str">
        <f>VLOOKUP(K131,Key!$A$24:$B$29,2,FALSE)</f>
        <v>30-39</v>
      </c>
      <c r="M131" s="38" t="s">
        <v>160</v>
      </c>
      <c r="N131" s="33" t="s">
        <v>160</v>
      </c>
      <c r="O131" s="19" t="s">
        <v>161</v>
      </c>
      <c r="P131" s="40">
        <v>4</v>
      </c>
      <c r="Q131" s="35" t="str">
        <f>VLOOKUP(P131,Key!$E$2:$F$9,2,FALSE)</f>
        <v>Commercial</v>
      </c>
      <c r="R131" s="38" t="s">
        <v>253</v>
      </c>
      <c r="S131" s="33" t="s">
        <v>174</v>
      </c>
      <c r="T131" s="38" t="s">
        <v>161</v>
      </c>
      <c r="U131" s="33">
        <v>1</v>
      </c>
      <c r="V131" s="35" t="str">
        <f>VLOOKUP(U131,Key!$E$2:$F$9,2,FALSE)</f>
        <v>Home</v>
      </c>
      <c r="W131" s="35" t="str">
        <f>Q131&amp;"-"&amp;V131</f>
        <v>Commercial-Home</v>
      </c>
      <c r="X131" s="33">
        <v>50000</v>
      </c>
      <c r="Y131" s="39">
        <v>30</v>
      </c>
      <c r="Z131" s="39">
        <v>2</v>
      </c>
      <c r="AA131" s="33">
        <v>10</v>
      </c>
      <c r="AB131" s="35" t="str">
        <f>VLOOKUP(AA131,Key!$C$20:$D$29,2,FALSE)</f>
        <v>Other</v>
      </c>
      <c r="AC131" s="33">
        <v>2</v>
      </c>
      <c r="AD131" s="35" t="str">
        <f>VLOOKUP(AC131,Key!$E$20:$F$24,2,FALSE)</f>
        <v>300,000-500,000</v>
      </c>
      <c r="AE131" s="33">
        <v>5</v>
      </c>
      <c r="AF131" s="39">
        <v>1</v>
      </c>
      <c r="AG131" s="39">
        <v>5</v>
      </c>
      <c r="AH131" s="39">
        <v>5</v>
      </c>
      <c r="AI131" s="39">
        <v>1</v>
      </c>
      <c r="AJ131" s="40" t="s">
        <v>100</v>
      </c>
      <c r="AK131" s="41"/>
      <c r="AL131" s="25"/>
      <c r="AM131" s="25"/>
    </row>
    <row r="132" spans="1:39" x14ac:dyDescent="0.2">
      <c r="A132" s="10"/>
      <c r="B132" s="52">
        <v>43697</v>
      </c>
      <c r="C132" s="36">
        <v>0.54166666666666663</v>
      </c>
      <c r="D132" s="36" t="s">
        <v>268</v>
      </c>
      <c r="E132" s="36" t="s">
        <v>105</v>
      </c>
      <c r="F132" s="38">
        <v>2</v>
      </c>
      <c r="G132" s="43" t="str">
        <f>VLOOKUP(F132,Key!$A$17:$B$21,2,FALSE)</f>
        <v>Road Vehicle</v>
      </c>
      <c r="H132" s="37">
        <v>4</v>
      </c>
      <c r="I132" s="44" t="str">
        <f>VLOOKUP(H132,Key!$A$2:$B$13,2,FALSE)</f>
        <v>Minibus</v>
      </c>
      <c r="J132" s="38" t="s">
        <v>117</v>
      </c>
      <c r="K132" s="38">
        <v>2</v>
      </c>
      <c r="L132" s="46" t="str">
        <f>VLOOKUP(K132,Key!$A$24:$B$29,2,FALSE)</f>
        <v>30-39</v>
      </c>
      <c r="M132" s="38" t="s">
        <v>160</v>
      </c>
      <c r="N132" s="33" t="s">
        <v>160</v>
      </c>
      <c r="O132" s="19" t="s">
        <v>161</v>
      </c>
      <c r="P132" s="40">
        <v>2</v>
      </c>
      <c r="Q132" s="35" t="str">
        <f>VLOOKUP(P132,Key!$E$2:$F$9,2,FALSE)</f>
        <v>Work</v>
      </c>
      <c r="R132" s="38" t="s">
        <v>213</v>
      </c>
      <c r="S132" s="33" t="s">
        <v>214</v>
      </c>
      <c r="T132" s="38" t="s">
        <v>161</v>
      </c>
      <c r="U132" s="33">
        <v>2</v>
      </c>
      <c r="V132" s="35" t="str">
        <f>VLOOKUP(U132,Key!$E$2:$F$9,2,FALSE)</f>
        <v>Work</v>
      </c>
      <c r="W132" s="35" t="str">
        <f>Q132&amp;"-"&amp;V132</f>
        <v>Work-Work</v>
      </c>
      <c r="X132" s="33">
        <v>90000</v>
      </c>
      <c r="Y132" s="39">
        <v>65</v>
      </c>
      <c r="Z132" s="39">
        <v>1.5</v>
      </c>
      <c r="AA132" s="33">
        <v>10</v>
      </c>
      <c r="AB132" s="35" t="str">
        <f>VLOOKUP(AA132,Key!$C$20:$D$29,2,FALSE)</f>
        <v>Other</v>
      </c>
      <c r="AC132" s="33">
        <v>1</v>
      </c>
      <c r="AD132" s="35" t="str">
        <f>VLOOKUP(AC132,Key!$E$20:$F$24,2,FALSE)</f>
        <v>&lt;300,000</v>
      </c>
      <c r="AE132" s="33">
        <v>5</v>
      </c>
      <c r="AF132" s="39">
        <v>5</v>
      </c>
      <c r="AG132" s="39">
        <v>5</v>
      </c>
      <c r="AH132" s="39">
        <v>5</v>
      </c>
      <c r="AI132" s="39">
        <v>5</v>
      </c>
      <c r="AJ132" s="40" t="s">
        <v>100</v>
      </c>
      <c r="AK132" s="41">
        <v>1000</v>
      </c>
      <c r="AL132" s="25"/>
      <c r="AM132" s="25"/>
    </row>
    <row r="133" spans="1:39" x14ac:dyDescent="0.2">
      <c r="A133" s="10"/>
      <c r="B133" s="52">
        <v>43697</v>
      </c>
      <c r="C133" s="36">
        <v>0.49652777777777773</v>
      </c>
      <c r="D133" s="36"/>
      <c r="E133" s="36" t="s">
        <v>159</v>
      </c>
      <c r="F133" s="38">
        <v>2</v>
      </c>
      <c r="G133" s="43" t="str">
        <f>VLOOKUP(F133,Key!$A$17:$B$21,2,FALSE)</f>
        <v>Road Vehicle</v>
      </c>
      <c r="H133" s="37">
        <v>4</v>
      </c>
      <c r="I133" s="44" t="str">
        <f>VLOOKUP(H133,Key!$A$2:$B$13,2,FALSE)</f>
        <v>Minibus</v>
      </c>
      <c r="J133" s="38" t="s">
        <v>117</v>
      </c>
      <c r="K133" s="38">
        <v>2</v>
      </c>
      <c r="L133" s="46" t="str">
        <f>VLOOKUP(K133,Key!$A$24:$B$29,2,FALSE)</f>
        <v>30-39</v>
      </c>
      <c r="M133" s="38" t="s">
        <v>160</v>
      </c>
      <c r="N133" s="33" t="s">
        <v>160</v>
      </c>
      <c r="O133" s="19" t="s">
        <v>161</v>
      </c>
      <c r="P133" s="40">
        <v>1</v>
      </c>
      <c r="Q133" s="35" t="str">
        <f>VLOOKUP(P133,Key!$E$2:$F$9,2,FALSE)</f>
        <v>Home</v>
      </c>
      <c r="R133" s="38" t="s">
        <v>170</v>
      </c>
      <c r="S133" s="33" t="s">
        <v>170</v>
      </c>
      <c r="T133" s="38" t="s">
        <v>161</v>
      </c>
      <c r="U133" s="33">
        <v>8</v>
      </c>
      <c r="V133" s="35" t="str">
        <f>VLOOKUP(U133,Key!$E$2:$F$9,2,FALSE)</f>
        <v>Others</v>
      </c>
      <c r="W133" s="35" t="str">
        <f>Q133&amp;"-"&amp;V133</f>
        <v>Home-Others</v>
      </c>
      <c r="X133" s="33">
        <v>15000</v>
      </c>
      <c r="Y133" s="39">
        <v>100</v>
      </c>
      <c r="Z133" s="39">
        <v>3</v>
      </c>
      <c r="AA133" s="33">
        <v>6</v>
      </c>
      <c r="AB133" s="35" t="str">
        <f>VLOOKUP(AA133,Key!$C$20:$D$29,2,FALSE)</f>
        <v>Businessman</v>
      </c>
      <c r="AC133" s="33">
        <v>1</v>
      </c>
      <c r="AD133" s="35" t="str">
        <f>VLOOKUP(AC133,Key!$E$20:$F$24,2,FALSE)</f>
        <v>&lt;300,000</v>
      </c>
      <c r="AE133" s="33">
        <v>5</v>
      </c>
      <c r="AF133" s="39">
        <v>1</v>
      </c>
      <c r="AG133" s="39">
        <v>1</v>
      </c>
      <c r="AH133" s="39">
        <v>2</v>
      </c>
      <c r="AI133" s="39">
        <v>2</v>
      </c>
      <c r="AJ133" s="40" t="s">
        <v>100</v>
      </c>
      <c r="AK133" s="41"/>
      <c r="AL133" s="25"/>
      <c r="AM133" s="25"/>
    </row>
    <row r="134" spans="1:39" x14ac:dyDescent="0.2">
      <c r="A134" s="10"/>
      <c r="B134" s="52">
        <v>43697</v>
      </c>
      <c r="C134" s="36">
        <v>0.52777777777777779</v>
      </c>
      <c r="D134" s="36"/>
      <c r="E134" s="36" t="s">
        <v>105</v>
      </c>
      <c r="F134" s="38">
        <v>2</v>
      </c>
      <c r="G134" s="43" t="str">
        <f>VLOOKUP(F134,Key!$A$17:$B$21,2,FALSE)</f>
        <v>Road Vehicle</v>
      </c>
      <c r="H134" s="37">
        <v>4</v>
      </c>
      <c r="I134" s="44" t="str">
        <f>VLOOKUP(H134,Key!$A$2:$B$13,2,FALSE)</f>
        <v>Minibus</v>
      </c>
      <c r="J134" s="38" t="s">
        <v>117</v>
      </c>
      <c r="K134" s="38">
        <v>2</v>
      </c>
      <c r="L134" s="46" t="str">
        <f>VLOOKUP(K134,Key!$A$24:$B$29,2,FALSE)</f>
        <v>30-39</v>
      </c>
      <c r="M134" s="38" t="s">
        <v>160</v>
      </c>
      <c r="N134" s="33" t="s">
        <v>160</v>
      </c>
      <c r="O134" s="19" t="s">
        <v>161</v>
      </c>
      <c r="P134" s="40">
        <v>2</v>
      </c>
      <c r="Q134" s="35" t="str">
        <f>VLOOKUP(P134,Key!$E$2:$F$9,2,FALSE)</f>
        <v>Work</v>
      </c>
      <c r="R134" s="38" t="s">
        <v>214</v>
      </c>
      <c r="S134" s="33" t="s">
        <v>214</v>
      </c>
      <c r="T134" s="38" t="s">
        <v>161</v>
      </c>
      <c r="U134" s="33">
        <v>2</v>
      </c>
      <c r="V134" s="35" t="str">
        <f>VLOOKUP(U134,Key!$E$2:$F$9,2,FALSE)</f>
        <v>Work</v>
      </c>
      <c r="W134" s="35" t="str">
        <f>Q134&amp;"-"&amp;V134</f>
        <v>Work-Work</v>
      </c>
      <c r="X134" s="33">
        <v>100000</v>
      </c>
      <c r="Y134" s="39">
        <v>60</v>
      </c>
      <c r="Z134" s="39">
        <v>1</v>
      </c>
      <c r="AA134" s="33">
        <v>10</v>
      </c>
      <c r="AB134" s="35" t="str">
        <f>VLOOKUP(AA134,Key!$C$20:$D$29,2,FALSE)</f>
        <v>Other</v>
      </c>
      <c r="AC134" s="33">
        <v>1</v>
      </c>
      <c r="AD134" s="35" t="str">
        <f>VLOOKUP(AC134,Key!$E$20:$F$24,2,FALSE)</f>
        <v>&lt;300,000</v>
      </c>
      <c r="AE134" s="33">
        <v>5</v>
      </c>
      <c r="AF134" s="39">
        <v>5</v>
      </c>
      <c r="AG134" s="39">
        <v>5</v>
      </c>
      <c r="AH134" s="39">
        <v>5</v>
      </c>
      <c r="AI134" s="39">
        <v>5</v>
      </c>
      <c r="AJ134" s="40" t="s">
        <v>100</v>
      </c>
      <c r="AK134" s="41"/>
      <c r="AL134" s="25"/>
      <c r="AM134" s="25"/>
    </row>
    <row r="135" spans="1:39" x14ac:dyDescent="0.2">
      <c r="B135" s="52">
        <v>43697</v>
      </c>
      <c r="C135" s="36">
        <v>0.33680555555555558</v>
      </c>
      <c r="D135" s="36" t="s">
        <v>272</v>
      </c>
      <c r="E135" s="36" t="s">
        <v>105</v>
      </c>
      <c r="F135" s="38">
        <v>2</v>
      </c>
      <c r="G135" s="43" t="str">
        <f>VLOOKUP(F135,Key!$A$17:$B$21,2,FALSE)</f>
        <v>Road Vehicle</v>
      </c>
      <c r="H135" s="37">
        <v>4</v>
      </c>
      <c r="I135" s="44" t="str">
        <f>VLOOKUP(H135,Key!$A$2:$B$13,2,FALSE)</f>
        <v>Minibus</v>
      </c>
      <c r="J135" s="38" t="s">
        <v>117</v>
      </c>
      <c r="K135" s="38">
        <v>2</v>
      </c>
      <c r="L135" s="46" t="str">
        <f>VLOOKUP(K135,Key!$A$24:$B$29,2,FALSE)</f>
        <v>30-39</v>
      </c>
      <c r="M135" s="38" t="s">
        <v>160</v>
      </c>
      <c r="N135" s="33" t="s">
        <v>160</v>
      </c>
      <c r="O135" s="19" t="s">
        <v>161</v>
      </c>
      <c r="P135" s="40">
        <v>2</v>
      </c>
      <c r="Q135" s="35" t="str">
        <f>VLOOKUP(P135,Key!$E$2:$F$9,2,FALSE)</f>
        <v>Work</v>
      </c>
      <c r="R135" s="38" t="s">
        <v>173</v>
      </c>
      <c r="S135" s="33" t="s">
        <v>174</v>
      </c>
      <c r="T135" s="38" t="s">
        <v>161</v>
      </c>
      <c r="U135" s="33">
        <v>2</v>
      </c>
      <c r="V135" s="35" t="str">
        <f>VLOOKUP(U135,Key!$E$2:$F$9,2,FALSE)</f>
        <v>Work</v>
      </c>
      <c r="W135" s="35" t="str">
        <f>Q135&amp;"-"&amp;V135</f>
        <v>Work-Work</v>
      </c>
      <c r="X135" s="33">
        <v>80000</v>
      </c>
      <c r="Y135" s="39">
        <v>65</v>
      </c>
      <c r="Z135" s="39">
        <v>1</v>
      </c>
      <c r="AA135" s="33">
        <v>10</v>
      </c>
      <c r="AB135" s="35" t="str">
        <f>VLOOKUP(AA135,Key!$C$20:$D$29,2,FALSE)</f>
        <v>Other</v>
      </c>
      <c r="AC135" s="33">
        <v>1</v>
      </c>
      <c r="AD135" s="35" t="str">
        <f>VLOOKUP(AC135,Key!$E$20:$F$24,2,FALSE)</f>
        <v>&lt;300,000</v>
      </c>
      <c r="AE135" s="33">
        <v>5</v>
      </c>
      <c r="AF135" s="39">
        <v>5</v>
      </c>
      <c r="AG135" s="39">
        <v>5</v>
      </c>
      <c r="AH135" s="39">
        <v>5</v>
      </c>
      <c r="AI135" s="39">
        <v>5</v>
      </c>
      <c r="AJ135" s="40" t="s">
        <v>100</v>
      </c>
      <c r="AK135" s="41">
        <v>1000</v>
      </c>
      <c r="AL135" s="25"/>
      <c r="AM135" s="25"/>
    </row>
    <row r="136" spans="1:39" x14ac:dyDescent="0.2">
      <c r="B136" s="52">
        <v>43695</v>
      </c>
      <c r="C136" s="36">
        <v>0.54722222222222217</v>
      </c>
      <c r="D136" s="36"/>
      <c r="E136" s="36" t="s">
        <v>159</v>
      </c>
      <c r="F136" s="38">
        <v>2</v>
      </c>
      <c r="G136" s="43" t="str">
        <f>VLOOKUP(F136,Key!$A$17:$B$21,2,FALSE)</f>
        <v>Road Vehicle</v>
      </c>
      <c r="H136" s="37">
        <v>4</v>
      </c>
      <c r="I136" s="44" t="str">
        <f>VLOOKUP(H136,Key!$A$2:$B$13,2,FALSE)</f>
        <v>Minibus</v>
      </c>
      <c r="J136" s="38" t="s">
        <v>163</v>
      </c>
      <c r="K136" s="38">
        <v>3</v>
      </c>
      <c r="L136" s="46" t="str">
        <f>VLOOKUP(K136,Key!$A$24:$B$29,2,FALSE)</f>
        <v>40-49</v>
      </c>
      <c r="M136" s="45" t="s">
        <v>160</v>
      </c>
      <c r="N136" s="33" t="s">
        <v>160</v>
      </c>
      <c r="O136" s="19" t="s">
        <v>161</v>
      </c>
      <c r="P136" s="40">
        <v>1</v>
      </c>
      <c r="Q136" s="35" t="str">
        <f>VLOOKUP(P136,Key!$E$2:$F$9,2,FALSE)</f>
        <v>Home</v>
      </c>
      <c r="R136" s="38" t="s">
        <v>165</v>
      </c>
      <c r="S136" s="33" t="s">
        <v>165</v>
      </c>
      <c r="T136" s="38" t="s">
        <v>161</v>
      </c>
      <c r="U136" s="33">
        <v>6</v>
      </c>
      <c r="V136" s="35" t="str">
        <f>VLOOKUP(U136,Key!$E$2:$F$9,2,FALSE)</f>
        <v>Leisure/Social</v>
      </c>
      <c r="W136" s="35" t="str">
        <f>Q136&amp;"-"&amp;V136</f>
        <v>Home-Leisure/Social</v>
      </c>
      <c r="X136" s="48">
        <v>7000</v>
      </c>
      <c r="Y136" s="39">
        <v>37</v>
      </c>
      <c r="Z136" s="39">
        <v>1</v>
      </c>
      <c r="AA136" s="33">
        <v>3</v>
      </c>
      <c r="AB136" s="35" t="str">
        <f>VLOOKUP(AA136,Key!$C$20:$D$29,2,FALSE)</f>
        <v>Artisan/Domestic</v>
      </c>
      <c r="AC136" s="33">
        <v>1</v>
      </c>
      <c r="AD136" s="35" t="str">
        <f>VLOOKUP(AC136,Key!$E$20:$F$24,2,FALSE)</f>
        <v>&lt;300,000</v>
      </c>
      <c r="AE136" s="33">
        <v>5</v>
      </c>
      <c r="AF136" s="39">
        <v>2</v>
      </c>
      <c r="AG136" s="39">
        <v>4</v>
      </c>
      <c r="AH136" s="39">
        <v>5</v>
      </c>
      <c r="AI136" s="39">
        <v>2</v>
      </c>
      <c r="AJ136" s="40" t="s">
        <v>100</v>
      </c>
      <c r="AK136" s="41"/>
      <c r="AL136" s="25"/>
      <c r="AM136" s="25"/>
    </row>
    <row r="137" spans="1:39" x14ac:dyDescent="0.2">
      <c r="B137" s="52">
        <v>43697</v>
      </c>
      <c r="C137" s="36">
        <v>0.5</v>
      </c>
      <c r="D137" s="36"/>
      <c r="E137" s="36" t="s">
        <v>159</v>
      </c>
      <c r="F137" s="38">
        <v>2</v>
      </c>
      <c r="G137" s="43" t="str">
        <f>VLOOKUP(F137,Key!$A$17:$B$21,2,FALSE)</f>
        <v>Road Vehicle</v>
      </c>
      <c r="H137" s="37">
        <v>4</v>
      </c>
      <c r="I137" s="44" t="str">
        <f>VLOOKUP(H137,Key!$A$2:$B$13,2,FALSE)</f>
        <v>Minibus</v>
      </c>
      <c r="J137" s="38" t="s">
        <v>163</v>
      </c>
      <c r="K137" s="38">
        <v>3</v>
      </c>
      <c r="L137" s="46" t="str">
        <f>VLOOKUP(K137,Key!$A$24:$B$29,2,FALSE)</f>
        <v>40-49</v>
      </c>
      <c r="M137" s="38" t="s">
        <v>160</v>
      </c>
      <c r="N137" s="33" t="s">
        <v>160</v>
      </c>
      <c r="O137" s="19" t="s">
        <v>161</v>
      </c>
      <c r="P137" s="40">
        <v>1</v>
      </c>
      <c r="Q137" s="35" t="str">
        <f>VLOOKUP(P137,Key!$E$2:$F$9,2,FALSE)</f>
        <v>Home</v>
      </c>
      <c r="R137" s="38" t="s">
        <v>214</v>
      </c>
      <c r="S137" s="33" t="s">
        <v>214</v>
      </c>
      <c r="T137" s="38" t="s">
        <v>161</v>
      </c>
      <c r="U137" s="33">
        <v>2</v>
      </c>
      <c r="V137" s="35" t="str">
        <f>VLOOKUP(U137,Key!$E$2:$F$9,2,FALSE)</f>
        <v>Work</v>
      </c>
      <c r="W137" s="35" t="str">
        <f>Q137&amp;"-"&amp;V137</f>
        <v>Home-Work</v>
      </c>
      <c r="X137" s="33">
        <v>9000</v>
      </c>
      <c r="Y137" s="39">
        <v>65</v>
      </c>
      <c r="Z137" s="39">
        <v>1.5</v>
      </c>
      <c r="AA137" s="33">
        <v>6</v>
      </c>
      <c r="AB137" s="35" t="str">
        <f>VLOOKUP(AA137,Key!$C$20:$D$29,2,FALSE)</f>
        <v>Businessman</v>
      </c>
      <c r="AC137" s="33">
        <v>1</v>
      </c>
      <c r="AD137" s="35" t="str">
        <f>VLOOKUP(AC137,Key!$E$20:$F$24,2,FALSE)</f>
        <v>&lt;300,000</v>
      </c>
      <c r="AE137" s="33">
        <v>5</v>
      </c>
      <c r="AF137" s="39">
        <v>1</v>
      </c>
      <c r="AG137" s="39">
        <v>2</v>
      </c>
      <c r="AH137" s="39">
        <v>3</v>
      </c>
      <c r="AI137" s="39">
        <v>1</v>
      </c>
      <c r="AJ137" s="40" t="s">
        <v>100</v>
      </c>
      <c r="AK137" s="41"/>
      <c r="AL137" s="25"/>
      <c r="AM137" s="25"/>
    </row>
    <row r="138" spans="1:39" x14ac:dyDescent="0.2">
      <c r="B138" s="52">
        <v>43695</v>
      </c>
      <c r="C138" s="36">
        <v>0.58333333333333337</v>
      </c>
      <c r="D138" s="36" t="s">
        <v>178</v>
      </c>
      <c r="E138" s="36" t="s">
        <v>105</v>
      </c>
      <c r="F138" s="38">
        <v>2</v>
      </c>
      <c r="G138" s="43" t="str">
        <f>VLOOKUP(F138,Key!$A$17:$B$21,2,FALSE)</f>
        <v>Road Vehicle</v>
      </c>
      <c r="H138" s="37">
        <v>4</v>
      </c>
      <c r="I138" s="44" t="str">
        <f>VLOOKUP(H138,Key!$A$2:$B$13,2,FALSE)</f>
        <v>Minibus</v>
      </c>
      <c r="J138" s="38" t="s">
        <v>117</v>
      </c>
      <c r="K138" s="38">
        <v>3</v>
      </c>
      <c r="L138" s="46" t="str">
        <f>VLOOKUP(K138,Key!$A$24:$B$29,2,FALSE)</f>
        <v>40-49</v>
      </c>
      <c r="M138" s="45" t="s">
        <v>160</v>
      </c>
      <c r="N138" s="33" t="s">
        <v>160</v>
      </c>
      <c r="O138" s="19" t="s">
        <v>161</v>
      </c>
      <c r="P138" s="40">
        <v>2</v>
      </c>
      <c r="Q138" s="35" t="str">
        <f>VLOOKUP(P138,Key!$E$2:$F$9,2,FALSE)</f>
        <v>Work</v>
      </c>
      <c r="R138" s="38" t="s">
        <v>173</v>
      </c>
      <c r="S138" s="33" t="s">
        <v>174</v>
      </c>
      <c r="T138" s="38" t="s">
        <v>161</v>
      </c>
      <c r="U138" s="33">
        <v>2</v>
      </c>
      <c r="V138" s="35" t="str">
        <f>VLOOKUP(U138,Key!$E$2:$F$9,2,FALSE)</f>
        <v>Work</v>
      </c>
      <c r="W138" s="35" t="str">
        <f>Q138&amp;"-"&amp;V138</f>
        <v>Work-Work</v>
      </c>
      <c r="X138" s="48">
        <v>100000</v>
      </c>
      <c r="Y138" s="39">
        <v>45</v>
      </c>
      <c r="Z138" s="39">
        <v>2</v>
      </c>
      <c r="AA138" s="33">
        <v>10</v>
      </c>
      <c r="AB138" s="35" t="str">
        <f>VLOOKUP(AA138,Key!$C$20:$D$29,2,FALSE)</f>
        <v>Other</v>
      </c>
      <c r="AC138" s="33">
        <v>1</v>
      </c>
      <c r="AD138" s="35" t="str">
        <f>VLOOKUP(AC138,Key!$E$20:$F$24,2,FALSE)</f>
        <v>&lt;300,000</v>
      </c>
      <c r="AE138" s="33">
        <v>5</v>
      </c>
      <c r="AF138" s="39">
        <v>2</v>
      </c>
      <c r="AG138" s="39">
        <v>3</v>
      </c>
      <c r="AH138" s="39">
        <v>3</v>
      </c>
      <c r="AI138" s="39">
        <v>2</v>
      </c>
      <c r="AJ138" s="40" t="s">
        <v>100</v>
      </c>
      <c r="AK138" s="41">
        <v>1000</v>
      </c>
      <c r="AL138" s="25"/>
      <c r="AM138" s="25"/>
    </row>
    <row r="139" spans="1:39" x14ac:dyDescent="0.2">
      <c r="B139" s="52">
        <v>43695</v>
      </c>
      <c r="C139" s="36">
        <v>0.53125</v>
      </c>
      <c r="D139" s="36"/>
      <c r="E139" s="36" t="s">
        <v>105</v>
      </c>
      <c r="F139" s="38">
        <v>2</v>
      </c>
      <c r="G139" s="43" t="str">
        <f>VLOOKUP(F139,Key!$A$17:$B$21,2,FALSE)</f>
        <v>Road Vehicle</v>
      </c>
      <c r="H139" s="37">
        <v>4</v>
      </c>
      <c r="I139" s="44" t="str">
        <f>VLOOKUP(H139,Key!$A$2:$B$13,2,FALSE)</f>
        <v>Minibus</v>
      </c>
      <c r="J139" s="38" t="s">
        <v>117</v>
      </c>
      <c r="K139" s="38">
        <v>3</v>
      </c>
      <c r="L139" s="46" t="str">
        <f>VLOOKUP(K139,Key!$A$24:$B$29,2,FALSE)</f>
        <v>40-49</v>
      </c>
      <c r="M139" s="45" t="s">
        <v>160</v>
      </c>
      <c r="N139" s="33" t="s">
        <v>160</v>
      </c>
      <c r="O139" s="19" t="s">
        <v>161</v>
      </c>
      <c r="P139" s="40">
        <v>2</v>
      </c>
      <c r="Q139" s="35" t="str">
        <f>VLOOKUP(P139,Key!$E$2:$F$9,2,FALSE)</f>
        <v>Work</v>
      </c>
      <c r="R139" s="38" t="s">
        <v>173</v>
      </c>
      <c r="S139" s="33" t="s">
        <v>174</v>
      </c>
      <c r="T139" s="38" t="s">
        <v>161</v>
      </c>
      <c r="U139" s="33">
        <v>2</v>
      </c>
      <c r="V139" s="35" t="str">
        <f>VLOOKUP(U139,Key!$E$2:$F$9,2,FALSE)</f>
        <v>Work</v>
      </c>
      <c r="W139" s="35" t="str">
        <f>Q139&amp;"-"&amp;V139</f>
        <v>Work-Work</v>
      </c>
      <c r="X139" s="48">
        <v>150000</v>
      </c>
      <c r="Y139" s="39">
        <v>50</v>
      </c>
      <c r="Z139" s="39">
        <v>2</v>
      </c>
      <c r="AA139" s="33">
        <v>10</v>
      </c>
      <c r="AB139" s="35" t="str">
        <f>VLOOKUP(AA139,Key!$C$20:$D$29,2,FALSE)</f>
        <v>Other</v>
      </c>
      <c r="AC139" s="33">
        <v>1</v>
      </c>
      <c r="AD139" s="35" t="str">
        <f>VLOOKUP(AC139,Key!$E$20:$F$24,2,FALSE)</f>
        <v>&lt;300,000</v>
      </c>
      <c r="AE139" s="33">
        <v>5</v>
      </c>
      <c r="AF139" s="39">
        <v>5</v>
      </c>
      <c r="AG139" s="39">
        <v>5</v>
      </c>
      <c r="AH139" s="39">
        <v>5</v>
      </c>
      <c r="AI139" s="39">
        <v>5</v>
      </c>
      <c r="AJ139" s="40" t="s">
        <v>100</v>
      </c>
      <c r="AK139" s="41"/>
      <c r="AL139" s="25"/>
      <c r="AM139" s="25"/>
    </row>
    <row r="140" spans="1:39" x14ac:dyDescent="0.2">
      <c r="B140" s="52">
        <v>43696</v>
      </c>
      <c r="C140" s="36">
        <v>0.63194444444444442</v>
      </c>
      <c r="D140" s="36" t="s">
        <v>218</v>
      </c>
      <c r="E140" s="36" t="s">
        <v>105</v>
      </c>
      <c r="F140" s="38">
        <v>2</v>
      </c>
      <c r="G140" s="43" t="str">
        <f>VLOOKUP(F140,Key!$A$17:$B$21,2,FALSE)</f>
        <v>Road Vehicle</v>
      </c>
      <c r="H140" s="37">
        <v>4</v>
      </c>
      <c r="I140" s="44" t="str">
        <f>VLOOKUP(H140,Key!$A$2:$B$13,2,FALSE)</f>
        <v>Minibus</v>
      </c>
      <c r="J140" s="38" t="s">
        <v>117</v>
      </c>
      <c r="K140" s="38">
        <v>3</v>
      </c>
      <c r="L140" s="46" t="str">
        <f>VLOOKUP(K140,Key!$A$24:$B$29,2,FALSE)</f>
        <v>40-49</v>
      </c>
      <c r="M140" s="38" t="s">
        <v>160</v>
      </c>
      <c r="N140" s="33" t="s">
        <v>160</v>
      </c>
      <c r="O140" s="19" t="s">
        <v>161</v>
      </c>
      <c r="P140" s="40">
        <v>2</v>
      </c>
      <c r="Q140" s="35" t="str">
        <f>VLOOKUP(P140,Key!$E$2:$F$9,2,FALSE)</f>
        <v>Work</v>
      </c>
      <c r="R140" s="38" t="s">
        <v>172</v>
      </c>
      <c r="S140" s="33" t="s">
        <v>172</v>
      </c>
      <c r="T140" s="38" t="s">
        <v>161</v>
      </c>
      <c r="U140" s="33">
        <v>2</v>
      </c>
      <c r="V140" s="35" t="str">
        <f>VLOOKUP(U140,Key!$E$2:$F$9,2,FALSE)</f>
        <v>Work</v>
      </c>
      <c r="W140" s="35" t="str">
        <f>Q140&amp;"-"&amp;V140</f>
        <v>Work-Work</v>
      </c>
      <c r="X140" s="33">
        <v>70000</v>
      </c>
      <c r="Y140" s="39">
        <v>34</v>
      </c>
      <c r="Z140" s="39">
        <v>0.8</v>
      </c>
      <c r="AA140" s="33">
        <v>10</v>
      </c>
      <c r="AB140" s="35" t="str">
        <f>VLOOKUP(AA140,Key!$C$20:$D$29,2,FALSE)</f>
        <v>Other</v>
      </c>
      <c r="AC140" s="33">
        <v>1</v>
      </c>
      <c r="AD140" s="35" t="str">
        <f>VLOOKUP(AC140,Key!$E$20:$F$24,2,FALSE)</f>
        <v>&lt;300,000</v>
      </c>
      <c r="AE140" s="33">
        <v>5</v>
      </c>
      <c r="AF140" s="39">
        <v>5</v>
      </c>
      <c r="AG140" s="39">
        <v>5</v>
      </c>
      <c r="AH140" s="39">
        <v>5</v>
      </c>
      <c r="AI140" s="39">
        <v>5</v>
      </c>
      <c r="AJ140" s="40" t="s">
        <v>100</v>
      </c>
      <c r="AK140" s="41"/>
      <c r="AL140" s="25"/>
      <c r="AM140" s="25"/>
    </row>
    <row r="141" spans="1:39" x14ac:dyDescent="0.2">
      <c r="B141" s="52">
        <v>43696</v>
      </c>
      <c r="C141" s="36">
        <v>0.53541666666666665</v>
      </c>
      <c r="D141" s="36" t="s">
        <v>238</v>
      </c>
      <c r="E141" s="36" t="s">
        <v>105</v>
      </c>
      <c r="F141" s="38">
        <v>2</v>
      </c>
      <c r="G141" s="43" t="str">
        <f>VLOOKUP(F141,Key!$A$17:$B$21,2,FALSE)</f>
        <v>Road Vehicle</v>
      </c>
      <c r="H141" s="37">
        <v>4</v>
      </c>
      <c r="I141" s="44" t="str">
        <f>VLOOKUP(H141,Key!$A$2:$B$13,2,FALSE)</f>
        <v>Minibus</v>
      </c>
      <c r="J141" s="38" t="s">
        <v>117</v>
      </c>
      <c r="K141" s="38">
        <v>3</v>
      </c>
      <c r="L141" s="46" t="str">
        <f>VLOOKUP(K141,Key!$A$24:$B$29,2,FALSE)</f>
        <v>40-49</v>
      </c>
      <c r="M141" s="38" t="s">
        <v>160</v>
      </c>
      <c r="N141" s="33" t="s">
        <v>160</v>
      </c>
      <c r="O141" s="19" t="s">
        <v>161</v>
      </c>
      <c r="P141" s="40">
        <v>2</v>
      </c>
      <c r="Q141" s="35" t="str">
        <f>VLOOKUP(P141,Key!$E$2:$F$9,2,FALSE)</f>
        <v>Work</v>
      </c>
      <c r="R141" s="38" t="s">
        <v>213</v>
      </c>
      <c r="S141" s="33" t="s">
        <v>214</v>
      </c>
      <c r="T141" s="38" t="s">
        <v>161</v>
      </c>
      <c r="U141" s="33">
        <v>2</v>
      </c>
      <c r="V141" s="35" t="str">
        <f>VLOOKUP(U141,Key!$E$2:$F$9,2,FALSE)</f>
        <v>Work</v>
      </c>
      <c r="W141" s="35" t="str">
        <f>Q141&amp;"-"&amp;V141</f>
        <v>Work-Work</v>
      </c>
      <c r="X141" s="33">
        <v>80000</v>
      </c>
      <c r="Y141" s="39">
        <v>20</v>
      </c>
      <c r="Z141" s="39">
        <v>0.7</v>
      </c>
      <c r="AA141" s="33">
        <v>10</v>
      </c>
      <c r="AB141" s="35" t="str">
        <f>VLOOKUP(AA141,Key!$C$20:$D$29,2,FALSE)</f>
        <v>Other</v>
      </c>
      <c r="AC141" s="33">
        <v>1</v>
      </c>
      <c r="AD141" s="35" t="str">
        <f>VLOOKUP(AC141,Key!$E$20:$F$24,2,FALSE)</f>
        <v>&lt;300,000</v>
      </c>
      <c r="AE141" s="33">
        <v>5</v>
      </c>
      <c r="AF141" s="39">
        <v>5</v>
      </c>
      <c r="AG141" s="39">
        <v>5</v>
      </c>
      <c r="AH141" s="39">
        <v>5</v>
      </c>
      <c r="AI141" s="39">
        <v>5</v>
      </c>
      <c r="AJ141" s="40" t="s">
        <v>100</v>
      </c>
      <c r="AK141" s="41">
        <v>1000</v>
      </c>
      <c r="AL141" s="25"/>
      <c r="AM141" s="25"/>
    </row>
    <row r="142" spans="1:39" x14ac:dyDescent="0.2">
      <c r="A142" s="14"/>
      <c r="B142" s="52">
        <v>43697</v>
      </c>
      <c r="C142" s="36">
        <v>0.39930555555555558</v>
      </c>
      <c r="D142" s="36" t="s">
        <v>254</v>
      </c>
      <c r="E142" s="36" t="s">
        <v>105</v>
      </c>
      <c r="F142" s="38">
        <v>2</v>
      </c>
      <c r="G142" s="43" t="str">
        <f>VLOOKUP(F142,Key!$A$17:$B$21,2,FALSE)</f>
        <v>Road Vehicle</v>
      </c>
      <c r="H142" s="37">
        <v>4</v>
      </c>
      <c r="I142" s="44" t="str">
        <f>VLOOKUP(H142,Key!$A$2:$B$13,2,FALSE)</f>
        <v>Minibus</v>
      </c>
      <c r="J142" s="38" t="s">
        <v>117</v>
      </c>
      <c r="K142" s="38">
        <v>3</v>
      </c>
      <c r="L142" s="46" t="str">
        <f>VLOOKUP(K142,Key!$A$24:$B$29,2,FALSE)</f>
        <v>40-49</v>
      </c>
      <c r="M142" s="38" t="s">
        <v>160</v>
      </c>
      <c r="N142" s="33" t="s">
        <v>160</v>
      </c>
      <c r="O142" s="19" t="s">
        <v>161</v>
      </c>
      <c r="P142" s="40">
        <v>2</v>
      </c>
      <c r="Q142" s="35" t="str">
        <f>VLOOKUP(P142,Key!$E$2:$F$9,2,FALSE)</f>
        <v>Work</v>
      </c>
      <c r="R142" s="38" t="s">
        <v>255</v>
      </c>
      <c r="S142" s="33" t="s">
        <v>172</v>
      </c>
      <c r="T142" s="38" t="s">
        <v>161</v>
      </c>
      <c r="U142" s="33">
        <v>2</v>
      </c>
      <c r="V142" s="35" t="str">
        <f>VLOOKUP(U142,Key!$E$2:$F$9,2,FALSE)</f>
        <v>Work</v>
      </c>
      <c r="W142" s="35" t="str">
        <f>Q142&amp;"-"&amp;V142</f>
        <v>Work-Work</v>
      </c>
      <c r="X142" s="33">
        <v>80000</v>
      </c>
      <c r="Y142" s="39">
        <v>65</v>
      </c>
      <c r="Z142" s="39">
        <v>1.5</v>
      </c>
      <c r="AA142" s="33">
        <v>10</v>
      </c>
      <c r="AB142" s="35" t="str">
        <f>VLOOKUP(AA142,Key!$C$20:$D$29,2,FALSE)</f>
        <v>Other</v>
      </c>
      <c r="AC142" s="33">
        <v>1</v>
      </c>
      <c r="AD142" s="35" t="str">
        <f>VLOOKUP(AC142,Key!$E$20:$F$24,2,FALSE)</f>
        <v>&lt;300,000</v>
      </c>
      <c r="AE142" s="33">
        <v>5</v>
      </c>
      <c r="AF142" s="39">
        <v>5</v>
      </c>
      <c r="AG142" s="39">
        <v>5</v>
      </c>
      <c r="AH142" s="39">
        <v>5</v>
      </c>
      <c r="AI142" s="39">
        <v>5</v>
      </c>
      <c r="AJ142" s="40" t="s">
        <v>100</v>
      </c>
      <c r="AK142" s="41"/>
      <c r="AL142" s="25"/>
      <c r="AM142" s="25"/>
    </row>
    <row r="143" spans="1:39" x14ac:dyDescent="0.2">
      <c r="A143" s="14"/>
      <c r="B143" s="52">
        <v>43697</v>
      </c>
      <c r="C143" s="36">
        <v>0.47222222222222227</v>
      </c>
      <c r="D143" s="36" t="s">
        <v>256</v>
      </c>
      <c r="E143" s="36" t="s">
        <v>105</v>
      </c>
      <c r="F143" s="38">
        <v>2</v>
      </c>
      <c r="G143" s="43" t="str">
        <f>VLOOKUP(F143,Key!$A$17:$B$21,2,FALSE)</f>
        <v>Road Vehicle</v>
      </c>
      <c r="H143" s="37">
        <v>4</v>
      </c>
      <c r="I143" s="44" t="str">
        <f>VLOOKUP(H143,Key!$A$2:$B$13,2,FALSE)</f>
        <v>Minibus</v>
      </c>
      <c r="J143" s="38" t="s">
        <v>117</v>
      </c>
      <c r="K143" s="38">
        <v>3</v>
      </c>
      <c r="L143" s="46" t="str">
        <f>VLOOKUP(K143,Key!$A$24:$B$29,2,FALSE)</f>
        <v>40-49</v>
      </c>
      <c r="M143" s="38" t="s">
        <v>160</v>
      </c>
      <c r="N143" s="33" t="s">
        <v>160</v>
      </c>
      <c r="O143" s="19" t="s">
        <v>161</v>
      </c>
      <c r="P143" s="40">
        <v>2</v>
      </c>
      <c r="Q143" s="35" t="str">
        <f>VLOOKUP(P143,Key!$E$2:$F$9,2,FALSE)</f>
        <v>Work</v>
      </c>
      <c r="R143" s="38" t="s">
        <v>171</v>
      </c>
      <c r="S143" s="33" t="s">
        <v>171</v>
      </c>
      <c r="T143" s="38" t="s">
        <v>161</v>
      </c>
      <c r="U143" s="33">
        <v>2</v>
      </c>
      <c r="V143" s="35" t="str">
        <f>VLOOKUP(U143,Key!$E$2:$F$9,2,FALSE)</f>
        <v>Work</v>
      </c>
      <c r="W143" s="35" t="str">
        <f>Q143&amp;"-"&amp;V143</f>
        <v>Work-Work</v>
      </c>
      <c r="X143" s="33">
        <v>100000</v>
      </c>
      <c r="Y143" s="39">
        <v>90</v>
      </c>
      <c r="Z143" s="39">
        <v>4</v>
      </c>
      <c r="AA143" s="33">
        <v>10</v>
      </c>
      <c r="AB143" s="35" t="str">
        <f>VLOOKUP(AA143,Key!$C$20:$D$29,2,FALSE)</f>
        <v>Other</v>
      </c>
      <c r="AC143" s="33">
        <v>1</v>
      </c>
      <c r="AD143" s="35" t="str">
        <f>VLOOKUP(AC143,Key!$E$20:$F$24,2,FALSE)</f>
        <v>&lt;300,000</v>
      </c>
      <c r="AE143" s="33">
        <v>5</v>
      </c>
      <c r="AF143" s="39">
        <v>5</v>
      </c>
      <c r="AG143" s="39">
        <v>5</v>
      </c>
      <c r="AH143" s="39">
        <v>5</v>
      </c>
      <c r="AI143" s="39">
        <v>5</v>
      </c>
      <c r="AJ143" s="40" t="s">
        <v>100</v>
      </c>
      <c r="AK143" s="41">
        <v>1000</v>
      </c>
      <c r="AL143" s="25"/>
      <c r="AM143" s="25"/>
    </row>
    <row r="144" spans="1:39" x14ac:dyDescent="0.2">
      <c r="A144" s="14"/>
      <c r="B144" s="52">
        <v>43697</v>
      </c>
      <c r="C144" s="36">
        <v>0.34375</v>
      </c>
      <c r="D144" s="36" t="s">
        <v>257</v>
      </c>
      <c r="E144" s="36" t="s">
        <v>105</v>
      </c>
      <c r="F144" s="38">
        <v>2</v>
      </c>
      <c r="G144" s="43" t="str">
        <f>VLOOKUP(F144,Key!$A$17:$B$21,2,FALSE)</f>
        <v>Road Vehicle</v>
      </c>
      <c r="H144" s="37">
        <v>4</v>
      </c>
      <c r="I144" s="44" t="str">
        <f>VLOOKUP(H144,Key!$A$2:$B$13,2,FALSE)</f>
        <v>Minibus</v>
      </c>
      <c r="J144" s="38" t="s">
        <v>117</v>
      </c>
      <c r="K144" s="38">
        <v>3</v>
      </c>
      <c r="L144" s="46" t="str">
        <f>VLOOKUP(K144,Key!$A$24:$B$29,2,FALSE)</f>
        <v>40-49</v>
      </c>
      <c r="M144" s="38" t="s">
        <v>258</v>
      </c>
      <c r="N144" s="33" t="s">
        <v>173</v>
      </c>
      <c r="O144" s="19" t="s">
        <v>161</v>
      </c>
      <c r="P144" s="40">
        <v>2</v>
      </c>
      <c r="Q144" s="35" t="str">
        <f>VLOOKUP(P144,Key!$E$2:$F$9,2,FALSE)</f>
        <v>Work</v>
      </c>
      <c r="R144" s="38" t="s">
        <v>160</v>
      </c>
      <c r="S144" s="33" t="s">
        <v>160</v>
      </c>
      <c r="T144" s="38" t="s">
        <v>161</v>
      </c>
      <c r="U144" s="33">
        <v>2</v>
      </c>
      <c r="V144" s="35" t="str">
        <f>VLOOKUP(U144,Key!$E$2:$F$9,2,FALSE)</f>
        <v>Work</v>
      </c>
      <c r="W144" s="35" t="str">
        <f>Q144&amp;"-"&amp;V144</f>
        <v>Work-Work</v>
      </c>
      <c r="X144" s="33">
        <v>60000</v>
      </c>
      <c r="Y144" s="39">
        <v>85</v>
      </c>
      <c r="Z144" s="39">
        <v>1.5</v>
      </c>
      <c r="AA144" s="33">
        <v>10</v>
      </c>
      <c r="AB144" s="35" t="str">
        <f>VLOOKUP(AA144,Key!$C$20:$D$29,2,FALSE)</f>
        <v>Other</v>
      </c>
      <c r="AC144" s="33">
        <v>2</v>
      </c>
      <c r="AD144" s="35" t="str">
        <f>VLOOKUP(AC144,Key!$E$20:$F$24,2,FALSE)</f>
        <v>300,000-500,000</v>
      </c>
      <c r="AE144" s="33">
        <v>5</v>
      </c>
      <c r="AF144" s="39">
        <v>5</v>
      </c>
      <c r="AG144" s="39">
        <v>5</v>
      </c>
      <c r="AH144" s="39">
        <v>5</v>
      </c>
      <c r="AI144" s="39">
        <v>5</v>
      </c>
      <c r="AJ144" s="40" t="s">
        <v>100</v>
      </c>
      <c r="AK144" s="41">
        <v>1000</v>
      </c>
      <c r="AL144" s="25"/>
      <c r="AM144" s="25"/>
    </row>
    <row r="145" spans="1:39" x14ac:dyDescent="0.2">
      <c r="A145" s="10"/>
      <c r="B145" s="52">
        <v>43697</v>
      </c>
      <c r="C145" s="36">
        <v>0.36805555555555558</v>
      </c>
      <c r="D145" s="36" t="s">
        <v>259</v>
      </c>
      <c r="E145" s="36" t="s">
        <v>105</v>
      </c>
      <c r="F145" s="38">
        <v>2</v>
      </c>
      <c r="G145" s="43" t="str">
        <f>VLOOKUP(F145,Key!$A$17:$B$21,2,FALSE)</f>
        <v>Road Vehicle</v>
      </c>
      <c r="H145" s="37">
        <v>4</v>
      </c>
      <c r="I145" s="44" t="str">
        <f>VLOOKUP(H145,Key!$A$2:$B$13,2,FALSE)</f>
        <v>Minibus</v>
      </c>
      <c r="J145" s="38" t="s">
        <v>117</v>
      </c>
      <c r="K145" s="38">
        <v>3</v>
      </c>
      <c r="L145" s="46" t="str">
        <f>VLOOKUP(K145,Key!$A$24:$B$29,2,FALSE)</f>
        <v>40-49</v>
      </c>
      <c r="M145" s="38" t="s">
        <v>160</v>
      </c>
      <c r="N145" s="33" t="s">
        <v>160</v>
      </c>
      <c r="O145" s="19" t="s">
        <v>161</v>
      </c>
      <c r="P145" s="40">
        <v>2</v>
      </c>
      <c r="Q145" s="35" t="str">
        <f>VLOOKUP(P145,Key!$E$2:$F$9,2,FALSE)</f>
        <v>Work</v>
      </c>
      <c r="R145" s="38" t="s">
        <v>260</v>
      </c>
      <c r="S145" s="33" t="s">
        <v>174</v>
      </c>
      <c r="T145" s="38" t="s">
        <v>161</v>
      </c>
      <c r="U145" s="33">
        <v>2</v>
      </c>
      <c r="V145" s="35" t="str">
        <f>VLOOKUP(U145,Key!$E$2:$F$9,2,FALSE)</f>
        <v>Work</v>
      </c>
      <c r="W145" s="35" t="str">
        <f>Q145&amp;"-"&amp;V145</f>
        <v>Work-Work</v>
      </c>
      <c r="X145" s="33">
        <v>80000</v>
      </c>
      <c r="Y145" s="39">
        <v>60</v>
      </c>
      <c r="Z145" s="39">
        <v>1</v>
      </c>
      <c r="AA145" s="33">
        <v>10</v>
      </c>
      <c r="AB145" s="35" t="str">
        <f>VLOOKUP(AA145,Key!$C$20:$D$29,2,FALSE)</f>
        <v>Other</v>
      </c>
      <c r="AC145" s="33">
        <v>2</v>
      </c>
      <c r="AD145" s="35" t="str">
        <f>VLOOKUP(AC145,Key!$E$20:$F$24,2,FALSE)</f>
        <v>300,000-500,000</v>
      </c>
      <c r="AE145" s="33">
        <v>5</v>
      </c>
      <c r="AF145" s="39">
        <v>5</v>
      </c>
      <c r="AG145" s="39">
        <v>5</v>
      </c>
      <c r="AH145" s="39">
        <v>5</v>
      </c>
      <c r="AI145" s="39">
        <v>5</v>
      </c>
      <c r="AJ145" s="40" t="s">
        <v>100</v>
      </c>
      <c r="AK145" s="41">
        <v>1000</v>
      </c>
      <c r="AL145" s="25"/>
      <c r="AM145" s="25"/>
    </row>
    <row r="146" spans="1:39" x14ac:dyDescent="0.2">
      <c r="A146" s="10"/>
      <c r="B146" s="52">
        <v>43697</v>
      </c>
      <c r="C146" s="36">
        <v>0.38055555555555554</v>
      </c>
      <c r="D146" s="36" t="s">
        <v>261</v>
      </c>
      <c r="E146" s="36" t="s">
        <v>105</v>
      </c>
      <c r="F146" s="38">
        <v>2</v>
      </c>
      <c r="G146" s="43" t="str">
        <f>VLOOKUP(F146,Key!$A$17:$B$21,2,FALSE)</f>
        <v>Road Vehicle</v>
      </c>
      <c r="H146" s="37">
        <v>4</v>
      </c>
      <c r="I146" s="44" t="str">
        <f>VLOOKUP(H146,Key!$A$2:$B$13,2,FALSE)</f>
        <v>Minibus</v>
      </c>
      <c r="J146" s="38" t="s">
        <v>117</v>
      </c>
      <c r="K146" s="38">
        <v>3</v>
      </c>
      <c r="L146" s="46" t="str">
        <f>VLOOKUP(K146,Key!$A$24:$B$29,2,FALSE)</f>
        <v>40-49</v>
      </c>
      <c r="M146" s="38" t="s">
        <v>160</v>
      </c>
      <c r="N146" s="33" t="s">
        <v>160</v>
      </c>
      <c r="O146" s="19" t="s">
        <v>161</v>
      </c>
      <c r="P146" s="40">
        <v>2</v>
      </c>
      <c r="Q146" s="35" t="str">
        <f>VLOOKUP(P146,Key!$E$2:$F$9,2,FALSE)</f>
        <v>Work</v>
      </c>
      <c r="R146" s="38" t="s">
        <v>172</v>
      </c>
      <c r="S146" s="33" t="s">
        <v>172</v>
      </c>
      <c r="T146" s="38" t="s">
        <v>161</v>
      </c>
      <c r="U146" s="33">
        <v>2</v>
      </c>
      <c r="V146" s="35" t="str">
        <f>VLOOKUP(U146,Key!$E$2:$F$9,2,FALSE)</f>
        <v>Work</v>
      </c>
      <c r="W146" s="35" t="str">
        <f>Q146&amp;"-"&amp;V146</f>
        <v>Work-Work</v>
      </c>
      <c r="X146" s="33">
        <v>100000</v>
      </c>
      <c r="Y146" s="39">
        <v>50</v>
      </c>
      <c r="Z146" s="39">
        <v>1</v>
      </c>
      <c r="AA146" s="33">
        <v>10</v>
      </c>
      <c r="AB146" s="35" t="str">
        <f>VLOOKUP(AA146,Key!$C$20:$D$29,2,FALSE)</f>
        <v>Other</v>
      </c>
      <c r="AC146" s="33">
        <v>2</v>
      </c>
      <c r="AD146" s="35" t="str">
        <f>VLOOKUP(AC146,Key!$E$20:$F$24,2,FALSE)</f>
        <v>300,000-500,000</v>
      </c>
      <c r="AE146" s="33">
        <v>5</v>
      </c>
      <c r="AF146" s="39">
        <v>5</v>
      </c>
      <c r="AG146" s="39">
        <v>5</v>
      </c>
      <c r="AH146" s="39">
        <v>5</v>
      </c>
      <c r="AI146" s="39">
        <v>5</v>
      </c>
      <c r="AJ146" s="40" t="s">
        <v>100</v>
      </c>
      <c r="AK146" s="41"/>
      <c r="AL146" s="25"/>
      <c r="AM146" s="25"/>
    </row>
    <row r="147" spans="1:39" x14ac:dyDescent="0.2">
      <c r="A147" s="10"/>
      <c r="B147" s="52">
        <v>43697</v>
      </c>
      <c r="C147" s="36">
        <v>0.42777777777777781</v>
      </c>
      <c r="D147" s="36" t="s">
        <v>262</v>
      </c>
      <c r="E147" s="36" t="s">
        <v>105</v>
      </c>
      <c r="F147" s="38">
        <v>2</v>
      </c>
      <c r="G147" s="43" t="str">
        <f>VLOOKUP(F147,Key!$A$17:$B$21,2,FALSE)</f>
        <v>Road Vehicle</v>
      </c>
      <c r="H147" s="37">
        <v>4</v>
      </c>
      <c r="I147" s="44" t="str">
        <f>VLOOKUP(H147,Key!$A$2:$B$13,2,FALSE)</f>
        <v>Minibus</v>
      </c>
      <c r="J147" s="38" t="s">
        <v>117</v>
      </c>
      <c r="K147" s="38">
        <v>3</v>
      </c>
      <c r="L147" s="46" t="str">
        <f>VLOOKUP(K147,Key!$A$24:$B$29,2,FALSE)</f>
        <v>40-49</v>
      </c>
      <c r="M147" s="38" t="s">
        <v>160</v>
      </c>
      <c r="N147" s="33" t="s">
        <v>160</v>
      </c>
      <c r="O147" s="19" t="s">
        <v>161</v>
      </c>
      <c r="P147" s="40">
        <v>2</v>
      </c>
      <c r="Q147" s="35" t="str">
        <f>VLOOKUP(P147,Key!$E$2:$F$9,2,FALSE)</f>
        <v>Work</v>
      </c>
      <c r="R147" s="38" t="s">
        <v>244</v>
      </c>
      <c r="S147" s="33" t="s">
        <v>190</v>
      </c>
      <c r="T147" s="38" t="s">
        <v>161</v>
      </c>
      <c r="U147" s="33">
        <v>2</v>
      </c>
      <c r="V147" s="35" t="str">
        <f>VLOOKUP(U147,Key!$E$2:$F$9,2,FALSE)</f>
        <v>Work</v>
      </c>
      <c r="W147" s="35" t="str">
        <f>Q147&amp;"-"&amp;V147</f>
        <v>Work-Work</v>
      </c>
      <c r="X147" s="33">
        <v>80000</v>
      </c>
      <c r="Y147" s="39">
        <v>40</v>
      </c>
      <c r="Z147" s="39">
        <v>0.8</v>
      </c>
      <c r="AA147" s="33">
        <v>10</v>
      </c>
      <c r="AB147" s="35" t="str">
        <f>VLOOKUP(AA147,Key!$C$20:$D$29,2,FALSE)</f>
        <v>Other</v>
      </c>
      <c r="AC147" s="33">
        <v>2</v>
      </c>
      <c r="AD147" s="35" t="str">
        <f>VLOOKUP(AC147,Key!$E$20:$F$24,2,FALSE)</f>
        <v>300,000-500,000</v>
      </c>
      <c r="AE147" s="33">
        <v>5</v>
      </c>
      <c r="AF147" s="39">
        <v>5</v>
      </c>
      <c r="AG147" s="39">
        <v>5</v>
      </c>
      <c r="AH147" s="39">
        <v>5</v>
      </c>
      <c r="AI147" s="39">
        <v>5</v>
      </c>
      <c r="AJ147" s="40" t="s">
        <v>100</v>
      </c>
      <c r="AK147" s="41"/>
      <c r="AL147" s="25"/>
      <c r="AM147" s="25"/>
    </row>
    <row r="148" spans="1:39" x14ac:dyDescent="0.2">
      <c r="B148" s="52">
        <v>43697</v>
      </c>
      <c r="C148" s="36">
        <v>0.39027777777777778</v>
      </c>
      <c r="D148" s="36" t="s">
        <v>263</v>
      </c>
      <c r="E148" s="36" t="s">
        <v>105</v>
      </c>
      <c r="F148" s="38">
        <v>2</v>
      </c>
      <c r="G148" s="43" t="str">
        <f>VLOOKUP(F148,Key!$A$17:$B$21,2,FALSE)</f>
        <v>Road Vehicle</v>
      </c>
      <c r="H148" s="37">
        <v>4</v>
      </c>
      <c r="I148" s="44" t="str">
        <f>VLOOKUP(H148,Key!$A$2:$B$13,2,FALSE)</f>
        <v>Minibus</v>
      </c>
      <c r="J148" s="38" t="s">
        <v>117</v>
      </c>
      <c r="K148" s="38">
        <v>3</v>
      </c>
      <c r="L148" s="46" t="str">
        <f>VLOOKUP(K148,Key!$A$24:$B$29,2,FALSE)</f>
        <v>40-49</v>
      </c>
      <c r="M148" s="38" t="s">
        <v>160</v>
      </c>
      <c r="N148" s="33" t="s">
        <v>160</v>
      </c>
      <c r="O148" s="19" t="s">
        <v>161</v>
      </c>
      <c r="P148" s="40">
        <v>2</v>
      </c>
      <c r="Q148" s="35" t="str">
        <f>VLOOKUP(P148,Key!$E$2:$F$9,2,FALSE)</f>
        <v>Work</v>
      </c>
      <c r="R148" s="38" t="s">
        <v>211</v>
      </c>
      <c r="S148" s="33" t="s">
        <v>172</v>
      </c>
      <c r="T148" s="38" t="s">
        <v>161</v>
      </c>
      <c r="U148" s="33">
        <v>2</v>
      </c>
      <c r="V148" s="35" t="str">
        <f>VLOOKUP(U148,Key!$E$2:$F$9,2,FALSE)</f>
        <v>Work</v>
      </c>
      <c r="W148" s="35" t="str">
        <f>Q148&amp;"-"&amp;V148</f>
        <v>Work-Work</v>
      </c>
      <c r="X148" s="33">
        <v>90000</v>
      </c>
      <c r="Y148" s="39">
        <v>80</v>
      </c>
      <c r="Z148" s="39">
        <v>1.5</v>
      </c>
      <c r="AA148" s="33">
        <v>10</v>
      </c>
      <c r="AB148" s="35" t="str">
        <f>VLOOKUP(AA148,Key!$C$20:$D$29,2,FALSE)</f>
        <v>Other</v>
      </c>
      <c r="AC148" s="33">
        <v>2</v>
      </c>
      <c r="AD148" s="35" t="str">
        <f>VLOOKUP(AC148,Key!$E$20:$F$24,2,FALSE)</f>
        <v>300,000-500,000</v>
      </c>
      <c r="AE148" s="33">
        <v>5</v>
      </c>
      <c r="AF148" s="39">
        <v>5</v>
      </c>
      <c r="AG148" s="39">
        <v>5</v>
      </c>
      <c r="AH148" s="39">
        <v>5</v>
      </c>
      <c r="AI148" s="39">
        <v>5</v>
      </c>
      <c r="AJ148" s="40" t="s">
        <v>100</v>
      </c>
      <c r="AK148" s="41">
        <v>1000</v>
      </c>
      <c r="AL148" s="25"/>
      <c r="AM148" s="25"/>
    </row>
    <row r="149" spans="1:39" x14ac:dyDescent="0.2">
      <c r="A149" s="10"/>
      <c r="B149" s="52">
        <v>43697</v>
      </c>
      <c r="C149" s="36">
        <v>0.44236111111111115</v>
      </c>
      <c r="D149" s="36" t="s">
        <v>264</v>
      </c>
      <c r="E149" s="36" t="s">
        <v>105</v>
      </c>
      <c r="F149" s="38">
        <v>2</v>
      </c>
      <c r="G149" s="43" t="str">
        <f>VLOOKUP(F149,Key!$A$17:$B$21,2,FALSE)</f>
        <v>Road Vehicle</v>
      </c>
      <c r="H149" s="37">
        <v>4</v>
      </c>
      <c r="I149" s="44" t="str">
        <f>VLOOKUP(H149,Key!$A$2:$B$13,2,FALSE)</f>
        <v>Minibus</v>
      </c>
      <c r="J149" s="38" t="s">
        <v>117</v>
      </c>
      <c r="K149" s="38">
        <v>3</v>
      </c>
      <c r="L149" s="46" t="str">
        <f>VLOOKUP(K149,Key!$A$24:$B$29,2,FALSE)</f>
        <v>40-49</v>
      </c>
      <c r="M149" s="38" t="s">
        <v>160</v>
      </c>
      <c r="N149" s="33" t="s">
        <v>160</v>
      </c>
      <c r="O149" s="19" t="s">
        <v>161</v>
      </c>
      <c r="P149" s="40">
        <v>2</v>
      </c>
      <c r="Q149" s="35" t="str">
        <f>VLOOKUP(P149,Key!$E$2:$F$9,2,FALSE)</f>
        <v>Work</v>
      </c>
      <c r="R149" s="38" t="s">
        <v>219</v>
      </c>
      <c r="S149" s="33" t="s">
        <v>190</v>
      </c>
      <c r="T149" s="38" t="s">
        <v>161</v>
      </c>
      <c r="U149" s="33">
        <v>2</v>
      </c>
      <c r="V149" s="35" t="str">
        <f>VLOOKUP(U149,Key!$E$2:$F$9,2,FALSE)</f>
        <v>Work</v>
      </c>
      <c r="W149" s="35" t="str">
        <f>Q149&amp;"-"&amp;V149</f>
        <v>Work-Work</v>
      </c>
      <c r="X149" s="33">
        <v>70000</v>
      </c>
      <c r="Y149" s="39">
        <v>68</v>
      </c>
      <c r="Z149" s="39">
        <v>1</v>
      </c>
      <c r="AA149" s="33">
        <v>10</v>
      </c>
      <c r="AB149" s="35" t="str">
        <f>VLOOKUP(AA149,Key!$C$20:$D$29,2,FALSE)</f>
        <v>Other</v>
      </c>
      <c r="AC149" s="33">
        <v>1</v>
      </c>
      <c r="AD149" s="35" t="str">
        <f>VLOOKUP(AC149,Key!$E$20:$F$24,2,FALSE)</f>
        <v>&lt;300,000</v>
      </c>
      <c r="AE149" s="33">
        <v>5</v>
      </c>
      <c r="AF149" s="39">
        <v>5</v>
      </c>
      <c r="AG149" s="39">
        <v>5</v>
      </c>
      <c r="AH149" s="39">
        <v>5</v>
      </c>
      <c r="AI149" s="39">
        <v>5</v>
      </c>
      <c r="AJ149" s="40" t="s">
        <v>100</v>
      </c>
      <c r="AK149" s="41"/>
      <c r="AL149" s="25"/>
      <c r="AM149" s="25"/>
    </row>
    <row r="150" spans="1:39" x14ac:dyDescent="0.2">
      <c r="A150" s="10"/>
      <c r="B150" s="52">
        <v>43697</v>
      </c>
      <c r="C150" s="36">
        <v>0.4375</v>
      </c>
      <c r="D150" s="36" t="s">
        <v>265</v>
      </c>
      <c r="E150" s="36" t="s">
        <v>105</v>
      </c>
      <c r="F150" s="38">
        <v>2</v>
      </c>
      <c r="G150" s="43" t="str">
        <f>VLOOKUP(F150,Key!$A$17:$B$21,2,FALSE)</f>
        <v>Road Vehicle</v>
      </c>
      <c r="H150" s="37">
        <v>4</v>
      </c>
      <c r="I150" s="44" t="str">
        <f>VLOOKUP(H150,Key!$A$2:$B$13,2,FALSE)</f>
        <v>Minibus</v>
      </c>
      <c r="J150" s="38" t="s">
        <v>117</v>
      </c>
      <c r="K150" s="38">
        <v>3</v>
      </c>
      <c r="L150" s="46" t="str">
        <f>VLOOKUP(K150,Key!$A$24:$B$29,2,FALSE)</f>
        <v>40-49</v>
      </c>
      <c r="M150" s="38" t="s">
        <v>160</v>
      </c>
      <c r="N150" s="33" t="s">
        <v>160</v>
      </c>
      <c r="O150" s="19" t="s">
        <v>161</v>
      </c>
      <c r="P150" s="40">
        <v>2</v>
      </c>
      <c r="Q150" s="35" t="str">
        <f>VLOOKUP(P150,Key!$E$2:$F$9,2,FALSE)</f>
        <v>Work</v>
      </c>
      <c r="R150" s="38" t="s">
        <v>190</v>
      </c>
      <c r="S150" s="33" t="s">
        <v>190</v>
      </c>
      <c r="T150" s="38" t="s">
        <v>161</v>
      </c>
      <c r="U150" s="33">
        <v>2</v>
      </c>
      <c r="V150" s="35" t="str">
        <f>VLOOKUP(U150,Key!$E$2:$F$9,2,FALSE)</f>
        <v>Work</v>
      </c>
      <c r="W150" s="35" t="str">
        <f>Q150&amp;"-"&amp;V150</f>
        <v>Work-Work</v>
      </c>
      <c r="X150" s="33">
        <v>70000</v>
      </c>
      <c r="Y150" s="39">
        <v>35</v>
      </c>
      <c r="Z150" s="39">
        <v>0.8</v>
      </c>
      <c r="AA150" s="33">
        <v>10</v>
      </c>
      <c r="AB150" s="35" t="str">
        <f>VLOOKUP(AA150,Key!$C$20:$D$29,2,FALSE)</f>
        <v>Other</v>
      </c>
      <c r="AC150" s="33">
        <v>2</v>
      </c>
      <c r="AD150" s="35" t="str">
        <f>VLOOKUP(AC150,Key!$E$20:$F$24,2,FALSE)</f>
        <v>300,000-500,000</v>
      </c>
      <c r="AE150" s="33">
        <v>5</v>
      </c>
      <c r="AF150" s="39">
        <v>5</v>
      </c>
      <c r="AG150" s="39">
        <v>5</v>
      </c>
      <c r="AH150" s="39">
        <v>5</v>
      </c>
      <c r="AI150" s="39">
        <v>5</v>
      </c>
      <c r="AJ150" s="40" t="s">
        <v>100</v>
      </c>
      <c r="AK150" s="41">
        <v>1000</v>
      </c>
      <c r="AL150" s="25"/>
      <c r="AM150" s="25"/>
    </row>
    <row r="151" spans="1:39" x14ac:dyDescent="0.2">
      <c r="A151" s="10"/>
      <c r="B151" s="52">
        <v>43697</v>
      </c>
      <c r="C151" s="36">
        <v>0.53472222222222221</v>
      </c>
      <c r="D151" s="36"/>
      <c r="E151" s="36" t="s">
        <v>105</v>
      </c>
      <c r="F151" s="38">
        <v>2</v>
      </c>
      <c r="G151" s="43" t="str">
        <f>VLOOKUP(F151,Key!$A$17:$B$21,2,FALSE)</f>
        <v>Road Vehicle</v>
      </c>
      <c r="H151" s="37">
        <v>4</v>
      </c>
      <c r="I151" s="44" t="str">
        <f>VLOOKUP(H151,Key!$A$2:$B$13,2,FALSE)</f>
        <v>Minibus</v>
      </c>
      <c r="J151" s="38" t="s">
        <v>117</v>
      </c>
      <c r="K151" s="38">
        <v>3</v>
      </c>
      <c r="L151" s="46" t="str">
        <f>VLOOKUP(K151,Key!$A$24:$B$29,2,FALSE)</f>
        <v>40-49</v>
      </c>
      <c r="M151" s="38" t="s">
        <v>160</v>
      </c>
      <c r="N151" s="33" t="s">
        <v>160</v>
      </c>
      <c r="O151" s="19" t="s">
        <v>161</v>
      </c>
      <c r="P151" s="40">
        <v>2</v>
      </c>
      <c r="Q151" s="35" t="str">
        <f>VLOOKUP(P151,Key!$E$2:$F$9,2,FALSE)</f>
        <v>Work</v>
      </c>
      <c r="R151" s="38" t="s">
        <v>170</v>
      </c>
      <c r="S151" s="33" t="s">
        <v>170</v>
      </c>
      <c r="T151" s="38" t="s">
        <v>161</v>
      </c>
      <c r="U151" s="33">
        <v>2</v>
      </c>
      <c r="V151" s="35" t="str">
        <f>VLOOKUP(U151,Key!$E$2:$F$9,2,FALSE)</f>
        <v>Work</v>
      </c>
      <c r="W151" s="35" t="str">
        <f>Q151&amp;"-"&amp;V151</f>
        <v>Work-Work</v>
      </c>
      <c r="X151" s="33">
        <v>150000</v>
      </c>
      <c r="Y151" s="39">
        <v>100</v>
      </c>
      <c r="Z151" s="39">
        <v>3</v>
      </c>
      <c r="AA151" s="33">
        <v>10</v>
      </c>
      <c r="AB151" s="35" t="str">
        <f>VLOOKUP(AA151,Key!$C$20:$D$29,2,FALSE)</f>
        <v>Other</v>
      </c>
      <c r="AC151" s="33">
        <v>2</v>
      </c>
      <c r="AD151" s="35" t="str">
        <f>VLOOKUP(AC151,Key!$E$20:$F$24,2,FALSE)</f>
        <v>300,000-500,000</v>
      </c>
      <c r="AE151" s="33">
        <v>5</v>
      </c>
      <c r="AF151" s="39">
        <v>5</v>
      </c>
      <c r="AG151" s="39">
        <v>5</v>
      </c>
      <c r="AH151" s="39">
        <v>5</v>
      </c>
      <c r="AI151" s="39">
        <v>5</v>
      </c>
      <c r="AJ151" s="40" t="s">
        <v>100</v>
      </c>
      <c r="AK151" s="41"/>
      <c r="AL151" s="25"/>
      <c r="AM151" s="25"/>
    </row>
    <row r="152" spans="1:39" x14ac:dyDescent="0.2">
      <c r="B152" s="52">
        <v>43697</v>
      </c>
      <c r="C152" s="36">
        <v>0.52083333333333337</v>
      </c>
      <c r="D152" s="36"/>
      <c r="E152" s="36" t="s">
        <v>105</v>
      </c>
      <c r="F152" s="38">
        <v>2</v>
      </c>
      <c r="G152" s="43" t="str">
        <f>VLOOKUP(F152,Key!$A$17:$B$21,2,FALSE)</f>
        <v>Road Vehicle</v>
      </c>
      <c r="H152" s="37">
        <v>4</v>
      </c>
      <c r="I152" s="44" t="str">
        <f>VLOOKUP(H152,Key!$A$2:$B$13,2,FALSE)</f>
        <v>Minibus</v>
      </c>
      <c r="J152" s="38" t="s">
        <v>117</v>
      </c>
      <c r="K152" s="38">
        <v>3</v>
      </c>
      <c r="L152" s="46" t="str">
        <f>VLOOKUP(K152,Key!$A$24:$B$29,2,FALSE)</f>
        <v>40-49</v>
      </c>
      <c r="M152" s="38" t="s">
        <v>160</v>
      </c>
      <c r="N152" s="33" t="s">
        <v>160</v>
      </c>
      <c r="O152" s="19" t="s">
        <v>161</v>
      </c>
      <c r="P152" s="40">
        <v>2</v>
      </c>
      <c r="Q152" s="35" t="str">
        <f>VLOOKUP(P152,Key!$E$2:$F$9,2,FALSE)</f>
        <v>Work</v>
      </c>
      <c r="R152" s="38" t="s">
        <v>229</v>
      </c>
      <c r="S152" s="33" t="s">
        <v>229</v>
      </c>
      <c r="T152" s="38" t="s">
        <v>161</v>
      </c>
      <c r="U152" s="33">
        <v>2</v>
      </c>
      <c r="V152" s="35" t="str">
        <f>VLOOKUP(U152,Key!$E$2:$F$9,2,FALSE)</f>
        <v>Work</v>
      </c>
      <c r="W152" s="35" t="str">
        <f>Q152&amp;"-"&amp;V152</f>
        <v>Work-Work</v>
      </c>
      <c r="X152" s="33">
        <v>100000</v>
      </c>
      <c r="Y152" s="39">
        <v>145</v>
      </c>
      <c r="Z152" s="39">
        <v>3</v>
      </c>
      <c r="AA152" s="33">
        <v>10</v>
      </c>
      <c r="AB152" s="35" t="str">
        <f>VLOOKUP(AA152,Key!$C$20:$D$29,2,FALSE)</f>
        <v>Other</v>
      </c>
      <c r="AC152" s="33">
        <v>2</v>
      </c>
      <c r="AD152" s="35" t="str">
        <f>VLOOKUP(AC152,Key!$E$20:$F$24,2,FALSE)</f>
        <v>300,000-500,000</v>
      </c>
      <c r="AE152" s="33">
        <v>5</v>
      </c>
      <c r="AF152" s="39">
        <v>5</v>
      </c>
      <c r="AG152" s="39">
        <v>5</v>
      </c>
      <c r="AH152" s="39">
        <v>5</v>
      </c>
      <c r="AI152" s="39">
        <v>5</v>
      </c>
      <c r="AJ152" s="40" t="s">
        <v>100</v>
      </c>
      <c r="AK152" s="41"/>
      <c r="AL152" s="25"/>
      <c r="AM152" s="25"/>
    </row>
    <row r="153" spans="1:39" x14ac:dyDescent="0.2">
      <c r="B153" s="52">
        <v>43697</v>
      </c>
      <c r="C153" s="36">
        <v>0.41666666666666669</v>
      </c>
      <c r="D153" s="36" t="s">
        <v>269</v>
      </c>
      <c r="E153" s="36" t="s">
        <v>105</v>
      </c>
      <c r="F153" s="38">
        <v>2</v>
      </c>
      <c r="G153" s="43" t="str">
        <f>VLOOKUP(F153,Key!$A$17:$B$21,2,FALSE)</f>
        <v>Road Vehicle</v>
      </c>
      <c r="H153" s="37">
        <v>4</v>
      </c>
      <c r="I153" s="44" t="str">
        <f>VLOOKUP(H153,Key!$A$2:$B$13,2,FALSE)</f>
        <v>Minibus</v>
      </c>
      <c r="J153" s="38" t="s">
        <v>117</v>
      </c>
      <c r="K153" s="38">
        <v>3</v>
      </c>
      <c r="L153" s="46" t="str">
        <f>VLOOKUP(K153,Key!$A$24:$B$29,2,FALSE)</f>
        <v>40-49</v>
      </c>
      <c r="M153" s="38" t="s">
        <v>160</v>
      </c>
      <c r="N153" s="33" t="s">
        <v>160</v>
      </c>
      <c r="O153" s="19" t="s">
        <v>161</v>
      </c>
      <c r="P153" s="40">
        <v>2</v>
      </c>
      <c r="Q153" s="35" t="str">
        <f>VLOOKUP(P153,Key!$E$2:$F$9,2,FALSE)</f>
        <v>Work</v>
      </c>
      <c r="R153" s="38" t="s">
        <v>270</v>
      </c>
      <c r="S153" s="33" t="s">
        <v>172</v>
      </c>
      <c r="T153" s="38" t="s">
        <v>161</v>
      </c>
      <c r="U153" s="33">
        <v>2</v>
      </c>
      <c r="V153" s="35" t="str">
        <f>VLOOKUP(U153,Key!$E$2:$F$9,2,FALSE)</f>
        <v>Work</v>
      </c>
      <c r="W153" s="35" t="str">
        <f>Q153&amp;"-"&amp;V153</f>
        <v>Work-Work</v>
      </c>
      <c r="X153" s="33">
        <v>80000</v>
      </c>
      <c r="Y153" s="39">
        <v>65</v>
      </c>
      <c r="Z153" s="39">
        <v>1.5</v>
      </c>
      <c r="AA153" s="33">
        <v>10</v>
      </c>
      <c r="AB153" s="35" t="str">
        <f>VLOOKUP(AA153,Key!$C$20:$D$29,2,FALSE)</f>
        <v>Other</v>
      </c>
      <c r="AC153" s="33">
        <v>2</v>
      </c>
      <c r="AD153" s="35" t="str">
        <f>VLOOKUP(AC153,Key!$E$20:$F$24,2,FALSE)</f>
        <v>300,000-500,000</v>
      </c>
      <c r="AE153" s="33">
        <v>5</v>
      </c>
      <c r="AF153" s="39">
        <v>5</v>
      </c>
      <c r="AG153" s="39">
        <v>5</v>
      </c>
      <c r="AH153" s="39">
        <v>5</v>
      </c>
      <c r="AI153" s="39">
        <v>5</v>
      </c>
      <c r="AJ153" s="40" t="s">
        <v>100</v>
      </c>
      <c r="AK153" s="41"/>
      <c r="AL153" s="25"/>
      <c r="AM153" s="25"/>
    </row>
    <row r="156" spans="1:39" x14ac:dyDescent="0.2">
      <c r="H156" s="14" t="s">
        <v>274</v>
      </c>
      <c r="I156" s="14" t="s">
        <v>275</v>
      </c>
      <c r="J156" s="14" t="s">
        <v>276</v>
      </c>
    </row>
    <row r="157" spans="1:39" x14ac:dyDescent="0.2">
      <c r="H157" s="14" t="s">
        <v>277</v>
      </c>
      <c r="I157" s="14">
        <v>45</v>
      </c>
      <c r="J157" s="62">
        <f>I157/$I$159</f>
        <v>0.30821917808219179</v>
      </c>
    </row>
    <row r="158" spans="1:39" x14ac:dyDescent="0.2">
      <c r="H158" s="14" t="s">
        <v>278</v>
      </c>
      <c r="I158" s="14">
        <v>101</v>
      </c>
      <c r="J158" s="62">
        <f>I158/$I$159</f>
        <v>0.69178082191780821</v>
      </c>
    </row>
    <row r="159" spans="1:39" x14ac:dyDescent="0.2">
      <c r="H159" s="14" t="s">
        <v>279</v>
      </c>
      <c r="I159" s="14">
        <f>SUM(I157:I158)</f>
        <v>146</v>
      </c>
      <c r="J159" s="62">
        <f>I159/$I$159</f>
        <v>1</v>
      </c>
    </row>
    <row r="162" spans="8:13" ht="15" x14ac:dyDescent="0.25">
      <c r="H162" s="53" t="s">
        <v>280</v>
      </c>
      <c r="I162" s="54" t="s">
        <v>278</v>
      </c>
      <c r="J162" s="54" t="s">
        <v>277</v>
      </c>
      <c r="K162" s="55" t="s">
        <v>281</v>
      </c>
      <c r="L162" s="63" t="s">
        <v>276</v>
      </c>
      <c r="M162" s="63"/>
    </row>
    <row r="163" spans="8:13" x14ac:dyDescent="0.2">
      <c r="H163" s="14"/>
      <c r="I163" s="14"/>
      <c r="J163" s="14"/>
      <c r="K163" s="14"/>
      <c r="L163" s="56" t="s">
        <v>278</v>
      </c>
      <c r="M163" s="56" t="s">
        <v>277</v>
      </c>
    </row>
    <row r="164" spans="8:13" x14ac:dyDescent="0.2">
      <c r="H164" s="25" t="s">
        <v>39</v>
      </c>
      <c r="I164" s="14">
        <v>19</v>
      </c>
      <c r="J164" s="14">
        <v>3</v>
      </c>
      <c r="K164" s="57">
        <f>SUM(I164:J164)</f>
        <v>22</v>
      </c>
      <c r="L164" s="58">
        <f>I164/K164</f>
        <v>0.86363636363636365</v>
      </c>
      <c r="M164" s="58">
        <f>J164/K164</f>
        <v>0.13636363636363635</v>
      </c>
    </row>
    <row r="165" spans="8:13" x14ac:dyDescent="0.2">
      <c r="H165" s="25" t="s">
        <v>40</v>
      </c>
      <c r="I165" s="14">
        <v>0</v>
      </c>
      <c r="J165" s="14">
        <v>0</v>
      </c>
      <c r="K165" s="57">
        <f>SUM(I165:J165)</f>
        <v>0</v>
      </c>
      <c r="L165" s="58">
        <v>0</v>
      </c>
      <c r="M165" s="58">
        <v>0</v>
      </c>
    </row>
    <row r="166" spans="8:13" x14ac:dyDescent="0.2">
      <c r="H166" s="25" t="s">
        <v>41</v>
      </c>
      <c r="I166" s="14">
        <v>0</v>
      </c>
      <c r="J166" s="14">
        <v>0</v>
      </c>
      <c r="K166" s="57">
        <f t="shared" ref="K166:K176" si="0">SUM(I166:J166)</f>
        <v>0</v>
      </c>
      <c r="L166" s="58">
        <v>0</v>
      </c>
      <c r="M166" s="58">
        <v>0</v>
      </c>
    </row>
    <row r="167" spans="8:13" x14ac:dyDescent="0.2">
      <c r="H167" s="25" t="s">
        <v>115</v>
      </c>
      <c r="I167" s="14">
        <v>42</v>
      </c>
      <c r="J167" s="14">
        <v>28</v>
      </c>
      <c r="K167" s="57">
        <f>SUM(I167:J167)</f>
        <v>70</v>
      </c>
      <c r="L167" s="58">
        <f t="shared" ref="L167" si="1">I167/K167</f>
        <v>0.6</v>
      </c>
      <c r="M167" s="58">
        <f t="shared" ref="M167" si="2">J167/K167</f>
        <v>0.4</v>
      </c>
    </row>
    <row r="168" spans="8:13" x14ac:dyDescent="0.2">
      <c r="H168" s="25" t="s">
        <v>42</v>
      </c>
      <c r="I168" s="14">
        <v>0</v>
      </c>
      <c r="J168" s="14">
        <v>0</v>
      </c>
      <c r="K168" s="57">
        <f t="shared" si="0"/>
        <v>0</v>
      </c>
      <c r="L168" s="58">
        <v>0</v>
      </c>
      <c r="M168" s="58">
        <v>0</v>
      </c>
    </row>
    <row r="169" spans="8:13" x14ac:dyDescent="0.2">
      <c r="H169" s="25" t="s">
        <v>43</v>
      </c>
      <c r="I169" s="14">
        <v>32</v>
      </c>
      <c r="J169" s="14">
        <v>14</v>
      </c>
      <c r="K169" s="57">
        <f t="shared" si="0"/>
        <v>46</v>
      </c>
      <c r="L169" s="58">
        <f t="shared" ref="L169:L172" si="3">I169/K169</f>
        <v>0.69565217391304346</v>
      </c>
      <c r="M169" s="58">
        <f t="shared" ref="M169:M172" si="4">J169/K169</f>
        <v>0.30434782608695654</v>
      </c>
    </row>
    <row r="170" spans="8:13" x14ac:dyDescent="0.2">
      <c r="H170" s="25" t="s">
        <v>44</v>
      </c>
      <c r="I170" s="14">
        <v>1</v>
      </c>
      <c r="J170" s="14">
        <v>0</v>
      </c>
      <c r="K170" s="57">
        <f t="shared" si="0"/>
        <v>1</v>
      </c>
      <c r="L170" s="58">
        <f t="shared" si="3"/>
        <v>1</v>
      </c>
      <c r="M170" s="58">
        <f t="shared" si="4"/>
        <v>0</v>
      </c>
    </row>
    <row r="171" spans="8:13" x14ac:dyDescent="0.2">
      <c r="H171" s="25" t="s">
        <v>45</v>
      </c>
      <c r="I171" s="14">
        <v>5</v>
      </c>
      <c r="J171" s="14">
        <v>0</v>
      </c>
      <c r="K171" s="57">
        <f t="shared" si="0"/>
        <v>5</v>
      </c>
      <c r="L171" s="58">
        <f t="shared" si="3"/>
        <v>1</v>
      </c>
      <c r="M171" s="58">
        <f t="shared" si="4"/>
        <v>0</v>
      </c>
    </row>
    <row r="172" spans="8:13" x14ac:dyDescent="0.2">
      <c r="H172" s="25" t="s">
        <v>46</v>
      </c>
      <c r="I172" s="14">
        <v>2</v>
      </c>
      <c r="J172" s="14">
        <v>0</v>
      </c>
      <c r="K172" s="57">
        <f t="shared" si="0"/>
        <v>2</v>
      </c>
      <c r="L172" s="58">
        <f t="shared" si="3"/>
        <v>1</v>
      </c>
      <c r="M172" s="58">
        <f t="shared" si="4"/>
        <v>0</v>
      </c>
    </row>
    <row r="173" spans="8:13" x14ac:dyDescent="0.2">
      <c r="H173" s="25" t="s">
        <v>47</v>
      </c>
      <c r="I173" s="14">
        <v>0</v>
      </c>
      <c r="J173" s="14">
        <v>0</v>
      </c>
      <c r="K173" s="57">
        <f t="shared" si="0"/>
        <v>0</v>
      </c>
      <c r="L173" s="58">
        <v>0</v>
      </c>
      <c r="M173" s="58">
        <v>0</v>
      </c>
    </row>
    <row r="174" spans="8:13" x14ac:dyDescent="0.2">
      <c r="H174" s="25" t="s">
        <v>49</v>
      </c>
      <c r="I174" s="14">
        <v>0</v>
      </c>
      <c r="J174" s="14">
        <v>0</v>
      </c>
      <c r="K174" s="57">
        <f t="shared" si="0"/>
        <v>0</v>
      </c>
      <c r="L174" s="58">
        <v>0</v>
      </c>
      <c r="M174" s="58">
        <v>0</v>
      </c>
    </row>
    <row r="175" spans="8:13" x14ac:dyDescent="0.2">
      <c r="H175" s="25" t="s">
        <v>48</v>
      </c>
      <c r="I175" s="14">
        <v>0</v>
      </c>
      <c r="J175" s="14">
        <v>0</v>
      </c>
      <c r="K175" s="57">
        <f t="shared" si="0"/>
        <v>0</v>
      </c>
      <c r="L175" s="58">
        <v>0</v>
      </c>
      <c r="M175" s="58">
        <v>0</v>
      </c>
    </row>
    <row r="176" spans="8:13" x14ac:dyDescent="0.2">
      <c r="H176" s="25" t="s">
        <v>282</v>
      </c>
      <c r="I176" s="14">
        <v>0</v>
      </c>
      <c r="J176" s="14">
        <v>0</v>
      </c>
      <c r="K176" s="57">
        <f t="shared" si="0"/>
        <v>0</v>
      </c>
      <c r="L176" s="58">
        <v>0</v>
      </c>
      <c r="M176" s="58">
        <v>0</v>
      </c>
    </row>
    <row r="179" spans="8:16" x14ac:dyDescent="0.2">
      <c r="H179" s="59" t="s">
        <v>283</v>
      </c>
      <c r="I179" s="60" t="s">
        <v>277</v>
      </c>
      <c r="J179" s="60" t="s">
        <v>278</v>
      </c>
      <c r="K179" s="60" t="s">
        <v>281</v>
      </c>
      <c r="M179" s="59" t="s">
        <v>283</v>
      </c>
      <c r="N179" s="60" t="s">
        <v>277</v>
      </c>
      <c r="O179" s="60" t="s">
        <v>278</v>
      </c>
      <c r="P179" s="60" t="s">
        <v>281</v>
      </c>
    </row>
    <row r="180" spans="8:16" x14ac:dyDescent="0.2">
      <c r="H180" s="25" t="s">
        <v>120</v>
      </c>
      <c r="I180" s="14">
        <v>15</v>
      </c>
      <c r="J180" s="14">
        <v>15</v>
      </c>
      <c r="K180" s="14">
        <f>SUM(I180:J180)</f>
        <v>30</v>
      </c>
      <c r="M180" s="25" t="s">
        <v>120</v>
      </c>
      <c r="N180" s="61">
        <f>I180/$I$186</f>
        <v>0.33333333333333331</v>
      </c>
      <c r="O180" s="61">
        <f>J180/$J$186</f>
        <v>0.15</v>
      </c>
      <c r="P180" s="61">
        <f>K180/$K$186</f>
        <v>0.20689655172413793</v>
      </c>
    </row>
    <row r="181" spans="8:16" x14ac:dyDescent="0.2">
      <c r="H181" s="25" t="s">
        <v>121</v>
      </c>
      <c r="I181" s="14">
        <v>27</v>
      </c>
      <c r="J181" s="14">
        <v>37</v>
      </c>
      <c r="K181" s="14">
        <f t="shared" ref="K181:K186" si="5">SUM(I181:J181)</f>
        <v>64</v>
      </c>
      <c r="M181" s="25" t="s">
        <v>121</v>
      </c>
      <c r="N181" s="61">
        <f t="shared" ref="N181:N186" si="6">I181/$I$186</f>
        <v>0.6</v>
      </c>
      <c r="O181" s="61">
        <f t="shared" ref="O181:O186" si="7">J181/$J$186</f>
        <v>0.37</v>
      </c>
      <c r="P181" s="61">
        <f t="shared" ref="P181:P185" si="8">K181/$K$186</f>
        <v>0.44137931034482758</v>
      </c>
    </row>
    <row r="182" spans="8:16" x14ac:dyDescent="0.2">
      <c r="H182" s="25" t="s">
        <v>122</v>
      </c>
      <c r="I182" s="14">
        <v>3</v>
      </c>
      <c r="J182" s="14">
        <v>45</v>
      </c>
      <c r="K182" s="14">
        <f>SUM(I182:J182)</f>
        <v>48</v>
      </c>
      <c r="M182" s="25" t="s">
        <v>122</v>
      </c>
      <c r="N182" s="61">
        <f t="shared" si="6"/>
        <v>6.6666666666666666E-2</v>
      </c>
      <c r="O182" s="61">
        <f t="shared" si="7"/>
        <v>0.45</v>
      </c>
      <c r="P182" s="61">
        <f t="shared" si="8"/>
        <v>0.33103448275862069</v>
      </c>
    </row>
    <row r="183" spans="8:16" x14ac:dyDescent="0.2">
      <c r="H183" s="25" t="s">
        <v>123</v>
      </c>
      <c r="I183" s="14">
        <v>0</v>
      </c>
      <c r="J183" s="14">
        <v>3</v>
      </c>
      <c r="K183" s="14">
        <f>SUM(I183:J183)</f>
        <v>3</v>
      </c>
      <c r="M183" s="25" t="s">
        <v>123</v>
      </c>
      <c r="N183" s="61">
        <f t="shared" si="6"/>
        <v>0</v>
      </c>
      <c r="O183" s="61">
        <f t="shared" si="7"/>
        <v>0.03</v>
      </c>
      <c r="P183" s="61">
        <f t="shared" si="8"/>
        <v>2.0689655172413793E-2</v>
      </c>
    </row>
    <row r="184" spans="8:16" x14ac:dyDescent="0.2">
      <c r="H184" s="25" t="s">
        <v>124</v>
      </c>
      <c r="I184" s="14">
        <v>0</v>
      </c>
      <c r="J184" s="14">
        <v>0</v>
      </c>
      <c r="K184" s="14">
        <f>SUM(I184:J184)</f>
        <v>0</v>
      </c>
      <c r="M184" s="25" t="s">
        <v>124</v>
      </c>
      <c r="N184" s="61">
        <f t="shared" si="6"/>
        <v>0</v>
      </c>
      <c r="O184" s="61">
        <f t="shared" si="7"/>
        <v>0</v>
      </c>
      <c r="P184" s="61">
        <f t="shared" si="8"/>
        <v>0</v>
      </c>
    </row>
    <row r="185" spans="8:16" x14ac:dyDescent="0.2">
      <c r="H185" s="25" t="s">
        <v>125</v>
      </c>
      <c r="I185" s="14">
        <v>0</v>
      </c>
      <c r="J185" s="14">
        <v>0</v>
      </c>
      <c r="K185" s="14">
        <f t="shared" si="5"/>
        <v>0</v>
      </c>
      <c r="M185" s="25" t="s">
        <v>125</v>
      </c>
      <c r="N185" s="61">
        <f t="shared" si="6"/>
        <v>0</v>
      </c>
      <c r="O185" s="61">
        <f t="shared" si="7"/>
        <v>0</v>
      </c>
      <c r="P185" s="61">
        <f t="shared" si="8"/>
        <v>0</v>
      </c>
    </row>
    <row r="186" spans="8:16" x14ac:dyDescent="0.2">
      <c r="H186" s="60" t="s">
        <v>281</v>
      </c>
      <c r="I186" s="14">
        <f>SUM(I180:I185)</f>
        <v>45</v>
      </c>
      <c r="J186" s="14">
        <f>SUM(J180:J185)</f>
        <v>100</v>
      </c>
      <c r="K186" s="14">
        <f t="shared" si="5"/>
        <v>145</v>
      </c>
      <c r="M186" s="60" t="s">
        <v>281</v>
      </c>
      <c r="N186" s="61">
        <f t="shared" si="6"/>
        <v>1</v>
      </c>
      <c r="O186" s="61">
        <f t="shared" si="7"/>
        <v>1</v>
      </c>
      <c r="P186" s="61">
        <f>K186/$K$186</f>
        <v>1</v>
      </c>
    </row>
  </sheetData>
  <sortState ref="B8:AM153">
    <sortCondition ref="I8:I153"/>
    <sortCondition ref="L8:L153"/>
    <sortCondition ref="J8:J153"/>
  </sortState>
  <mergeCells count="38">
    <mergeCell ref="C1:AM1"/>
    <mergeCell ref="C2:AM2"/>
    <mergeCell ref="D6:D7"/>
    <mergeCell ref="AL6:AL7"/>
    <mergeCell ref="AM6:AM7"/>
    <mergeCell ref="AA6:AA7"/>
    <mergeCell ref="AJ6:AJ7"/>
    <mergeCell ref="AK6:AK7"/>
    <mergeCell ref="E4:G4"/>
    <mergeCell ref="Z6:Z7"/>
    <mergeCell ref="Q6:Q7"/>
    <mergeCell ref="V6:V7"/>
    <mergeCell ref="W6:W7"/>
    <mergeCell ref="M6:O6"/>
    <mergeCell ref="J6:J7"/>
    <mergeCell ref="Y6:Y7"/>
    <mergeCell ref="AB6:AB7"/>
    <mergeCell ref="AC6:AC7"/>
    <mergeCell ref="AD6:AD7"/>
    <mergeCell ref="AE6:AI6"/>
    <mergeCell ref="B6:B7"/>
    <mergeCell ref="C6:C7"/>
    <mergeCell ref="H6:H7"/>
    <mergeCell ref="P6:P7"/>
    <mergeCell ref="R6:T6"/>
    <mergeCell ref="U6:U7"/>
    <mergeCell ref="L162:M162"/>
    <mergeCell ref="X4:Y4"/>
    <mergeCell ref="E6:E7"/>
    <mergeCell ref="F6:F7"/>
    <mergeCell ref="G6:G7"/>
    <mergeCell ref="I6:I7"/>
    <mergeCell ref="K6:K7"/>
    <mergeCell ref="L6:L7"/>
    <mergeCell ref="J4:L4"/>
    <mergeCell ref="O4:P4"/>
    <mergeCell ref="X6:X7"/>
    <mergeCell ref="S4:T4"/>
  </mergeCells>
  <pageMargins left="0.2" right="0.2" top="0.15" bottom="0.15" header="0.05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92" t="s">
        <v>1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75" t="s">
        <v>8</v>
      </c>
      <c r="C7" s="66" t="s">
        <v>9</v>
      </c>
      <c r="D7" s="66" t="s">
        <v>10</v>
      </c>
      <c r="E7" s="66" t="s">
        <v>11</v>
      </c>
      <c r="F7" s="66" t="s">
        <v>12</v>
      </c>
      <c r="G7" s="66"/>
      <c r="H7" s="66" t="s">
        <v>15</v>
      </c>
      <c r="I7" s="66" t="s">
        <v>16</v>
      </c>
      <c r="J7" s="66" t="s">
        <v>17</v>
      </c>
      <c r="K7" s="66"/>
      <c r="L7" s="66" t="s">
        <v>18</v>
      </c>
      <c r="M7" s="66" t="s">
        <v>19</v>
      </c>
      <c r="N7" s="66" t="s">
        <v>20</v>
      </c>
      <c r="O7" s="83" t="s">
        <v>21</v>
      </c>
      <c r="P7" s="88" t="s">
        <v>27</v>
      </c>
      <c r="Q7" s="89"/>
    </row>
    <row r="8" spans="2:25" ht="24.75" customHeight="1" thickBot="1" x14ac:dyDescent="0.25">
      <c r="B8" s="93"/>
      <c r="C8" s="94"/>
      <c r="D8" s="94"/>
      <c r="E8" s="94"/>
      <c r="F8" s="18" t="s">
        <v>13</v>
      </c>
      <c r="G8" s="18" t="s">
        <v>14</v>
      </c>
      <c r="H8" s="94"/>
      <c r="I8" s="94"/>
      <c r="J8" s="18" t="s">
        <v>13</v>
      </c>
      <c r="K8" s="18" t="s">
        <v>14</v>
      </c>
      <c r="L8" s="94"/>
      <c r="M8" s="94"/>
      <c r="N8" s="94"/>
      <c r="O8" s="95"/>
      <c r="P8" s="90"/>
      <c r="Q8" s="91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selection activeCell="F19" sqref="F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 x14ac:dyDescent="0.2">
      <c r="A1" s="31"/>
      <c r="B1" s="29" t="s">
        <v>33</v>
      </c>
      <c r="C1" s="29"/>
      <c r="D1" s="29" t="s">
        <v>50</v>
      </c>
      <c r="E1" s="29"/>
      <c r="F1" s="30" t="s">
        <v>67</v>
      </c>
      <c r="G1" s="31"/>
      <c r="H1" s="31" t="s">
        <v>75</v>
      </c>
      <c r="I1" s="31"/>
      <c r="J1" s="31" t="s">
        <v>82</v>
      </c>
      <c r="K1" s="31"/>
      <c r="L1" s="31"/>
      <c r="M1" s="31"/>
      <c r="N1" s="31"/>
      <c r="O1" s="31"/>
    </row>
    <row r="2" spans="1:15" x14ac:dyDescent="0.2">
      <c r="A2">
        <v>1</v>
      </c>
      <c r="B2" s="28" t="s">
        <v>39</v>
      </c>
      <c r="C2" s="10">
        <v>1</v>
      </c>
      <c r="D2" s="28" t="s">
        <v>51</v>
      </c>
      <c r="E2" s="10">
        <v>1</v>
      </c>
      <c r="F2" t="s">
        <v>68</v>
      </c>
      <c r="G2">
        <v>1</v>
      </c>
      <c r="H2" s="19" t="s">
        <v>76</v>
      </c>
      <c r="I2">
        <v>1</v>
      </c>
      <c r="J2" s="19" t="s">
        <v>83</v>
      </c>
    </row>
    <row r="3" spans="1:15" x14ac:dyDescent="0.2">
      <c r="A3">
        <v>2</v>
      </c>
      <c r="B3" s="28" t="s">
        <v>40</v>
      </c>
      <c r="C3" s="10">
        <v>2</v>
      </c>
      <c r="D3" s="28" t="s">
        <v>52</v>
      </c>
      <c r="E3" s="10">
        <v>2</v>
      </c>
      <c r="F3" t="s">
        <v>69</v>
      </c>
      <c r="G3">
        <v>2</v>
      </c>
      <c r="H3" s="19" t="s">
        <v>77</v>
      </c>
      <c r="I3">
        <v>2</v>
      </c>
      <c r="J3" s="19" t="s">
        <v>84</v>
      </c>
    </row>
    <row r="4" spans="1:15" x14ac:dyDescent="0.2">
      <c r="A4">
        <v>3</v>
      </c>
      <c r="B4" s="28" t="s">
        <v>41</v>
      </c>
      <c r="C4" s="10">
        <v>3</v>
      </c>
      <c r="D4" s="28" t="s">
        <v>53</v>
      </c>
      <c r="E4" s="10">
        <v>3</v>
      </c>
      <c r="F4" t="s">
        <v>70</v>
      </c>
      <c r="G4">
        <v>3</v>
      </c>
      <c r="H4" s="19" t="s">
        <v>78</v>
      </c>
      <c r="I4">
        <v>3</v>
      </c>
      <c r="J4" s="19" t="s">
        <v>85</v>
      </c>
    </row>
    <row r="5" spans="1:15" x14ac:dyDescent="0.2">
      <c r="A5">
        <v>4</v>
      </c>
      <c r="B5" s="28" t="s">
        <v>115</v>
      </c>
      <c r="C5" s="10">
        <v>4</v>
      </c>
      <c r="D5" s="28" t="s">
        <v>54</v>
      </c>
      <c r="E5" s="10">
        <v>4</v>
      </c>
      <c r="F5" t="s">
        <v>71</v>
      </c>
      <c r="G5">
        <v>4</v>
      </c>
      <c r="H5" s="19" t="s">
        <v>79</v>
      </c>
      <c r="I5">
        <v>4</v>
      </c>
      <c r="J5" s="32" t="s">
        <v>86</v>
      </c>
    </row>
    <row r="6" spans="1:15" x14ac:dyDescent="0.2">
      <c r="A6">
        <v>5</v>
      </c>
      <c r="B6" s="28" t="s">
        <v>42</v>
      </c>
      <c r="C6" s="10">
        <v>5</v>
      </c>
      <c r="D6" s="28" t="s">
        <v>55</v>
      </c>
      <c r="E6" s="10">
        <v>5</v>
      </c>
      <c r="F6" t="s">
        <v>72</v>
      </c>
      <c r="G6">
        <v>5</v>
      </c>
      <c r="H6" s="19" t="s">
        <v>80</v>
      </c>
      <c r="I6">
        <v>5</v>
      </c>
      <c r="J6" s="19" t="s">
        <v>87</v>
      </c>
    </row>
    <row r="7" spans="1:15" x14ac:dyDescent="0.2">
      <c r="A7">
        <v>6</v>
      </c>
      <c r="B7" s="28" t="s">
        <v>43</v>
      </c>
      <c r="C7" s="10">
        <v>6</v>
      </c>
      <c r="D7" s="28" t="s">
        <v>56</v>
      </c>
      <c r="E7" s="10">
        <v>6</v>
      </c>
      <c r="F7" t="s">
        <v>73</v>
      </c>
      <c r="G7">
        <v>6</v>
      </c>
      <c r="H7" s="19" t="s">
        <v>81</v>
      </c>
      <c r="I7">
        <v>6</v>
      </c>
      <c r="J7" s="19" t="s">
        <v>88</v>
      </c>
    </row>
    <row r="8" spans="1:15" x14ac:dyDescent="0.2">
      <c r="A8">
        <v>7</v>
      </c>
      <c r="B8" s="28" t="s">
        <v>44</v>
      </c>
      <c r="C8" s="10">
        <v>7</v>
      </c>
      <c r="D8" s="28" t="s">
        <v>57</v>
      </c>
      <c r="E8" s="10">
        <v>7</v>
      </c>
      <c r="F8" t="s">
        <v>55</v>
      </c>
      <c r="I8">
        <v>7</v>
      </c>
      <c r="J8" s="19" t="s">
        <v>89</v>
      </c>
    </row>
    <row r="9" spans="1:15" x14ac:dyDescent="0.2">
      <c r="A9">
        <v>8</v>
      </c>
      <c r="B9" s="28" t="s">
        <v>45</v>
      </c>
      <c r="C9" s="10">
        <v>8</v>
      </c>
      <c r="D9" s="28" t="s">
        <v>58</v>
      </c>
      <c r="E9" s="10">
        <v>8</v>
      </c>
      <c r="F9" t="s">
        <v>74</v>
      </c>
      <c r="I9">
        <v>8</v>
      </c>
      <c r="J9" s="19" t="s">
        <v>90</v>
      </c>
    </row>
    <row r="10" spans="1:15" x14ac:dyDescent="0.2">
      <c r="A10">
        <v>9</v>
      </c>
      <c r="B10" s="28" t="s">
        <v>46</v>
      </c>
      <c r="C10" s="10">
        <v>9</v>
      </c>
      <c r="D10" s="28" t="s">
        <v>59</v>
      </c>
      <c r="E10" s="10"/>
      <c r="I10">
        <v>9</v>
      </c>
      <c r="J10" s="19" t="s">
        <v>91</v>
      </c>
    </row>
    <row r="11" spans="1:15" x14ac:dyDescent="0.2">
      <c r="A11">
        <v>10</v>
      </c>
      <c r="B11" s="28" t="s">
        <v>47</v>
      </c>
      <c r="C11" s="10">
        <v>10</v>
      </c>
      <c r="D11" s="28" t="s">
        <v>60</v>
      </c>
      <c r="E11" s="10"/>
      <c r="I11">
        <v>10</v>
      </c>
      <c r="J11" s="32" t="s">
        <v>92</v>
      </c>
    </row>
    <row r="12" spans="1:15" x14ac:dyDescent="0.2">
      <c r="A12">
        <v>11</v>
      </c>
      <c r="B12" s="28" t="s">
        <v>49</v>
      </c>
      <c r="C12" s="10">
        <v>11</v>
      </c>
      <c r="D12" s="28" t="s">
        <v>61</v>
      </c>
      <c r="E12" s="10"/>
      <c r="I12">
        <v>11</v>
      </c>
      <c r="J12" s="19" t="s">
        <v>93</v>
      </c>
    </row>
    <row r="13" spans="1:15" x14ac:dyDescent="0.2">
      <c r="A13">
        <v>12</v>
      </c>
      <c r="B13" s="28" t="s">
        <v>48</v>
      </c>
      <c r="C13" s="10">
        <v>12</v>
      </c>
      <c r="D13" s="28" t="s">
        <v>62</v>
      </c>
      <c r="E13" s="10"/>
      <c r="I13">
        <v>12</v>
      </c>
      <c r="J13" s="19" t="s">
        <v>94</v>
      </c>
    </row>
    <row r="14" spans="1:15" x14ac:dyDescent="0.2">
      <c r="C14" s="10">
        <v>13</v>
      </c>
      <c r="D14" s="19" t="s">
        <v>63</v>
      </c>
    </row>
    <row r="15" spans="1:15" x14ac:dyDescent="0.2">
      <c r="B15" s="1"/>
      <c r="C15" s="10">
        <v>14</v>
      </c>
      <c r="D15" s="19" t="s">
        <v>64</v>
      </c>
    </row>
    <row r="16" spans="1:15" x14ac:dyDescent="0.2">
      <c r="A16" s="31"/>
      <c r="B16" s="29" t="s">
        <v>108</v>
      </c>
      <c r="C16" s="10">
        <v>15</v>
      </c>
      <c r="D16" s="19" t="s">
        <v>65</v>
      </c>
    </row>
    <row r="17" spans="1:6" x14ac:dyDescent="0.2">
      <c r="A17">
        <v>1</v>
      </c>
      <c r="B17" s="28" t="s">
        <v>109</v>
      </c>
      <c r="C17" s="10">
        <v>16</v>
      </c>
      <c r="D17" s="19" t="s">
        <v>66</v>
      </c>
    </row>
    <row r="18" spans="1:6" x14ac:dyDescent="0.2">
      <c r="A18">
        <v>2</v>
      </c>
      <c r="B18" s="28" t="s">
        <v>110</v>
      </c>
    </row>
    <row r="19" spans="1:6" x14ac:dyDescent="0.2">
      <c r="A19">
        <v>3</v>
      </c>
      <c r="B19" s="28" t="s">
        <v>111</v>
      </c>
      <c r="D19" s="1" t="s">
        <v>131</v>
      </c>
      <c r="F19" s="1" t="s">
        <v>144</v>
      </c>
    </row>
    <row r="20" spans="1:6" x14ac:dyDescent="0.2">
      <c r="A20">
        <v>4</v>
      </c>
      <c r="B20" s="28" t="s">
        <v>112</v>
      </c>
      <c r="C20">
        <v>1</v>
      </c>
      <c r="D20" s="19" t="s">
        <v>132</v>
      </c>
      <c r="E20">
        <v>1</v>
      </c>
      <c r="F20" s="19" t="s">
        <v>145</v>
      </c>
    </row>
    <row r="21" spans="1:6" x14ac:dyDescent="0.2">
      <c r="A21">
        <v>5</v>
      </c>
      <c r="B21" s="28" t="s">
        <v>113</v>
      </c>
      <c r="C21">
        <v>2</v>
      </c>
      <c r="D21" s="19" t="s">
        <v>133</v>
      </c>
      <c r="E21">
        <v>2</v>
      </c>
      <c r="F21" s="19" t="s">
        <v>146</v>
      </c>
    </row>
    <row r="22" spans="1:6" x14ac:dyDescent="0.2">
      <c r="C22">
        <v>3</v>
      </c>
      <c r="D22" s="19" t="s">
        <v>134</v>
      </c>
      <c r="E22">
        <v>3</v>
      </c>
      <c r="F22" s="19" t="s">
        <v>147</v>
      </c>
    </row>
    <row r="23" spans="1:6" x14ac:dyDescent="0.2">
      <c r="B23" s="29" t="s">
        <v>118</v>
      </c>
      <c r="C23">
        <v>4</v>
      </c>
      <c r="D23" s="19" t="s">
        <v>135</v>
      </c>
      <c r="E23">
        <v>4</v>
      </c>
      <c r="F23" s="19" t="s">
        <v>148</v>
      </c>
    </row>
    <row r="24" spans="1:6" x14ac:dyDescent="0.2">
      <c r="A24">
        <v>1</v>
      </c>
      <c r="B24" s="19" t="s">
        <v>120</v>
      </c>
      <c r="C24">
        <v>5</v>
      </c>
      <c r="D24" s="19" t="s">
        <v>136</v>
      </c>
      <c r="E24">
        <v>5</v>
      </c>
      <c r="F24" s="19" t="s">
        <v>149</v>
      </c>
    </row>
    <row r="25" spans="1:6" x14ac:dyDescent="0.2">
      <c r="A25">
        <v>2</v>
      </c>
      <c r="B25" s="19" t="s">
        <v>121</v>
      </c>
      <c r="C25">
        <v>6</v>
      </c>
      <c r="D25" s="19" t="s">
        <v>137</v>
      </c>
    </row>
    <row r="26" spans="1:6" x14ac:dyDescent="0.2">
      <c r="A26">
        <v>3</v>
      </c>
      <c r="B26" s="19" t="s">
        <v>122</v>
      </c>
      <c r="C26">
        <v>7</v>
      </c>
      <c r="D26" s="19" t="s">
        <v>138</v>
      </c>
    </row>
    <row r="27" spans="1:6" x14ac:dyDescent="0.2">
      <c r="A27">
        <v>4</v>
      </c>
      <c r="B27" s="19" t="s">
        <v>123</v>
      </c>
      <c r="C27">
        <v>8</v>
      </c>
      <c r="D27" s="19" t="s">
        <v>139</v>
      </c>
    </row>
    <row r="28" spans="1:6" x14ac:dyDescent="0.2">
      <c r="A28">
        <v>5</v>
      </c>
      <c r="B28" s="19" t="s">
        <v>124</v>
      </c>
      <c r="C28">
        <v>9</v>
      </c>
      <c r="D28" s="19" t="s">
        <v>140</v>
      </c>
    </row>
    <row r="29" spans="1:6" x14ac:dyDescent="0.2">
      <c r="A29">
        <v>6</v>
      </c>
      <c r="B29" s="19" t="s">
        <v>125</v>
      </c>
      <c r="C29">
        <v>10</v>
      </c>
      <c r="D29" s="1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Soroti</vt:lpstr>
      <vt:lpstr>RSI FORM</vt:lpstr>
      <vt:lpstr>Key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2019-07-30T09:53:06Z</cp:lastPrinted>
  <dcterms:created xsi:type="dcterms:W3CDTF">2010-10-20T14:55:17Z</dcterms:created>
  <dcterms:modified xsi:type="dcterms:W3CDTF">2020-02-05T07:40:17Z</dcterms:modified>
</cp:coreProperties>
</file>