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SP-DATA_Analysed\ST2-JINJA\"/>
    </mc:Choice>
  </mc:AlternateContent>
  <xr:revisionPtr revIDLastSave="0" documentId="13_ncr:1_{CB083DB4-D014-45E9-9A90-34B291D864E5}" xr6:coauthVersionLast="45" xr6:coauthVersionMax="45" xr10:uidLastSave="{00000000-0000-0000-0000-000000000000}"/>
  <bookViews>
    <workbookView xWindow="-120" yWindow="-120" windowWidth="20730" windowHeight="11160" activeTab="3" xr2:uid="{00000000-000D-0000-FFFF-FFFF00000000}"/>
  </bookViews>
  <sheets>
    <sheet name="Jinja" sheetId="3" r:id="rId1"/>
    <sheet name="RSI FORM" sheetId="4" state="hidden" r:id="rId2"/>
    <sheet name="Key" sheetId="5" r:id="rId3"/>
    <sheet name="Jinja (2)" sheetId="6" r:id="rId4"/>
  </sheets>
  <definedNames>
    <definedName name="_xlnm._FilterDatabase" localSheetId="0" hidden="1">Jinja!$Y$8:$Y$485</definedName>
    <definedName name="_xlnm._FilterDatabase" localSheetId="3" hidden="1">'Jinja (2)'!$Y$8:$Y$485</definedName>
    <definedName name="Veh_Type" localSheetId="3">'Jinja (2)'!$H$9:$H$251</definedName>
    <definedName name="Veh_Type">Jinja!$H$9:$H$251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20" i="6" l="1"/>
  <c r="O520" i="6"/>
  <c r="N520" i="6"/>
  <c r="J520" i="6"/>
  <c r="K520" i="6" s="1"/>
  <c r="I520" i="6"/>
  <c r="N519" i="6"/>
  <c r="K519" i="6"/>
  <c r="P519" i="6" s="1"/>
  <c r="N518" i="6"/>
  <c r="K518" i="6"/>
  <c r="O517" i="6"/>
  <c r="N517" i="6"/>
  <c r="K517" i="6"/>
  <c r="P517" i="6" s="1"/>
  <c r="N516" i="6"/>
  <c r="K516" i="6"/>
  <c r="O515" i="6"/>
  <c r="N515" i="6"/>
  <c r="K515" i="6"/>
  <c r="P515" i="6" s="1"/>
  <c r="N514" i="6"/>
  <c r="K514" i="6"/>
  <c r="K510" i="6"/>
  <c r="K509" i="6"/>
  <c r="K508" i="6"/>
  <c r="K507" i="6"/>
  <c r="K506" i="6"/>
  <c r="M506" i="6" s="1"/>
  <c r="K505" i="6"/>
  <c r="M505" i="6" s="1"/>
  <c r="M504" i="6"/>
  <c r="L504" i="6"/>
  <c r="K504" i="6"/>
  <c r="M503" i="6"/>
  <c r="L503" i="6"/>
  <c r="K503" i="6"/>
  <c r="K502" i="6"/>
  <c r="M501" i="6"/>
  <c r="L501" i="6"/>
  <c r="K501" i="6"/>
  <c r="M500" i="6"/>
  <c r="K500" i="6"/>
  <c r="L500" i="6" s="1"/>
  <c r="L499" i="6"/>
  <c r="K499" i="6"/>
  <c r="M499" i="6" s="1"/>
  <c r="L498" i="6"/>
  <c r="K498" i="6"/>
  <c r="M498" i="6" s="1"/>
  <c r="I492" i="6"/>
  <c r="J491" i="6" s="1"/>
  <c r="AI491" i="6"/>
  <c r="AH491" i="6"/>
  <c r="AG491" i="6"/>
  <c r="AF491" i="6"/>
  <c r="AE491" i="6"/>
  <c r="AI490" i="6"/>
  <c r="AH490" i="6"/>
  <c r="AG490" i="6"/>
  <c r="AF490" i="6"/>
  <c r="AE490" i="6"/>
  <c r="J490" i="6"/>
  <c r="AI489" i="6"/>
  <c r="AH489" i="6"/>
  <c r="AG489" i="6"/>
  <c r="AF489" i="6"/>
  <c r="AE489" i="6"/>
  <c r="AI488" i="6"/>
  <c r="AH488" i="6"/>
  <c r="AG488" i="6"/>
  <c r="AF488" i="6"/>
  <c r="AE488" i="6"/>
  <c r="AI487" i="6"/>
  <c r="AH487" i="6"/>
  <c r="AG487" i="6"/>
  <c r="AF487" i="6"/>
  <c r="AE487" i="6"/>
  <c r="AD485" i="6"/>
  <c r="AB485" i="6"/>
  <c r="V485" i="6"/>
  <c r="Q485" i="6"/>
  <c r="W485" i="6" s="1"/>
  <c r="L485" i="6"/>
  <c r="I485" i="6"/>
  <c r="G485" i="6"/>
  <c r="AD484" i="6"/>
  <c r="AB484" i="6"/>
  <c r="V484" i="6"/>
  <c r="Q484" i="6"/>
  <c r="L484" i="6"/>
  <c r="I484" i="6"/>
  <c r="G484" i="6"/>
  <c r="AD483" i="6"/>
  <c r="AB483" i="6"/>
  <c r="V483" i="6"/>
  <c r="Q483" i="6"/>
  <c r="L483" i="6"/>
  <c r="I483" i="6"/>
  <c r="G483" i="6"/>
  <c r="AD482" i="6"/>
  <c r="AB482" i="6"/>
  <c r="V482" i="6"/>
  <c r="Q482" i="6"/>
  <c r="W482" i="6" s="1"/>
  <c r="L482" i="6"/>
  <c r="I482" i="6"/>
  <c r="G482" i="6"/>
  <c r="AD481" i="6"/>
  <c r="AB481" i="6"/>
  <c r="V481" i="6"/>
  <c r="Q481" i="6"/>
  <c r="W481" i="6" s="1"/>
  <c r="L481" i="6"/>
  <c r="I481" i="6"/>
  <c r="G481" i="6"/>
  <c r="AD480" i="6"/>
  <c r="AB480" i="6"/>
  <c r="V480" i="6"/>
  <c r="Q480" i="6"/>
  <c r="L480" i="6"/>
  <c r="I480" i="6"/>
  <c r="G480" i="6"/>
  <c r="AD479" i="6"/>
  <c r="AB479" i="6"/>
  <c r="V479" i="6"/>
  <c r="Q479" i="6"/>
  <c r="W479" i="6" s="1"/>
  <c r="L479" i="6"/>
  <c r="I479" i="6"/>
  <c r="G479" i="6"/>
  <c r="AD478" i="6"/>
  <c r="AB478" i="6"/>
  <c r="V478" i="6"/>
  <c r="Q478" i="6"/>
  <c r="W478" i="6" s="1"/>
  <c r="L478" i="6"/>
  <c r="I478" i="6"/>
  <c r="G478" i="6"/>
  <c r="AD476" i="6"/>
  <c r="AB476" i="6"/>
  <c r="V476" i="6"/>
  <c r="Q476" i="6"/>
  <c r="W476" i="6" s="1"/>
  <c r="L476" i="6"/>
  <c r="I476" i="6"/>
  <c r="G476" i="6"/>
  <c r="AD475" i="6"/>
  <c r="AB475" i="6"/>
  <c r="V475" i="6"/>
  <c r="Q475" i="6"/>
  <c r="L475" i="6"/>
  <c r="I475" i="6"/>
  <c r="G475" i="6"/>
  <c r="AD474" i="6"/>
  <c r="AB474" i="6"/>
  <c r="V474" i="6"/>
  <c r="Q474" i="6"/>
  <c r="L474" i="6"/>
  <c r="I474" i="6"/>
  <c r="G474" i="6"/>
  <c r="AD473" i="6"/>
  <c r="AB473" i="6"/>
  <c r="V473" i="6"/>
  <c r="Q473" i="6"/>
  <c r="W473" i="6" s="1"/>
  <c r="L473" i="6"/>
  <c r="I473" i="6"/>
  <c r="G473" i="6"/>
  <c r="AD472" i="6"/>
  <c r="AB472" i="6"/>
  <c r="V472" i="6"/>
  <c r="Q472" i="6"/>
  <c r="W472" i="6" s="1"/>
  <c r="L472" i="6"/>
  <c r="I472" i="6"/>
  <c r="G472" i="6"/>
  <c r="AD471" i="6"/>
  <c r="AB471" i="6"/>
  <c r="V471" i="6"/>
  <c r="Q471" i="6"/>
  <c r="L471" i="6"/>
  <c r="I471" i="6"/>
  <c r="G471" i="6"/>
  <c r="AD470" i="6"/>
  <c r="AB470" i="6"/>
  <c r="V470" i="6"/>
  <c r="Q470" i="6"/>
  <c r="W470" i="6" s="1"/>
  <c r="L470" i="6"/>
  <c r="I470" i="6"/>
  <c r="G470" i="6"/>
  <c r="AD469" i="6"/>
  <c r="AB469" i="6"/>
  <c r="V469" i="6"/>
  <c r="Q469" i="6"/>
  <c r="W469" i="6" s="1"/>
  <c r="L469" i="6"/>
  <c r="I469" i="6"/>
  <c r="G469" i="6"/>
  <c r="AD468" i="6"/>
  <c r="AB468" i="6"/>
  <c r="V468" i="6"/>
  <c r="Q468" i="6"/>
  <c r="W468" i="6" s="1"/>
  <c r="L468" i="6"/>
  <c r="I468" i="6"/>
  <c r="G468" i="6"/>
  <c r="AD467" i="6"/>
  <c r="AB467" i="6"/>
  <c r="V467" i="6"/>
  <c r="Q467" i="6"/>
  <c r="L467" i="6"/>
  <c r="I467" i="6"/>
  <c r="G467" i="6"/>
  <c r="AD466" i="6"/>
  <c r="AB466" i="6"/>
  <c r="V466" i="6"/>
  <c r="Q466" i="6"/>
  <c r="L466" i="6"/>
  <c r="I466" i="6"/>
  <c r="G466" i="6"/>
  <c r="AD465" i="6"/>
  <c r="AB465" i="6"/>
  <c r="V465" i="6"/>
  <c r="Q465" i="6"/>
  <c r="W465" i="6" s="1"/>
  <c r="L465" i="6"/>
  <c r="I465" i="6"/>
  <c r="G465" i="6"/>
  <c r="AD464" i="6"/>
  <c r="AB464" i="6"/>
  <c r="V464" i="6"/>
  <c r="Q464" i="6"/>
  <c r="W464" i="6" s="1"/>
  <c r="L464" i="6"/>
  <c r="I464" i="6"/>
  <c r="G464" i="6"/>
  <c r="AD463" i="6"/>
  <c r="AB463" i="6"/>
  <c r="V463" i="6"/>
  <c r="Q463" i="6"/>
  <c r="L463" i="6"/>
  <c r="I463" i="6"/>
  <c r="G463" i="6"/>
  <c r="AD462" i="6"/>
  <c r="AB462" i="6"/>
  <c r="V462" i="6"/>
  <c r="Q462" i="6"/>
  <c r="W462" i="6" s="1"/>
  <c r="L462" i="6"/>
  <c r="I462" i="6"/>
  <c r="G462" i="6"/>
  <c r="AD461" i="6"/>
  <c r="AB461" i="6"/>
  <c r="V461" i="6"/>
  <c r="Q461" i="6"/>
  <c r="W461" i="6" s="1"/>
  <c r="L461" i="6"/>
  <c r="I461" i="6"/>
  <c r="G461" i="6"/>
  <c r="AD460" i="6"/>
  <c r="AB460" i="6"/>
  <c r="V460" i="6"/>
  <c r="Q460" i="6"/>
  <c r="W460" i="6" s="1"/>
  <c r="L460" i="6"/>
  <c r="I460" i="6"/>
  <c r="G460" i="6"/>
  <c r="AD459" i="6"/>
  <c r="AB459" i="6"/>
  <c r="V459" i="6"/>
  <c r="Q459" i="6"/>
  <c r="L459" i="6"/>
  <c r="I459" i="6"/>
  <c r="G459" i="6"/>
  <c r="AD458" i="6"/>
  <c r="AB458" i="6"/>
  <c r="V458" i="6"/>
  <c r="Q458" i="6"/>
  <c r="L458" i="6"/>
  <c r="I458" i="6"/>
  <c r="G458" i="6"/>
  <c r="AD457" i="6"/>
  <c r="AB457" i="6"/>
  <c r="V457" i="6"/>
  <c r="Q457" i="6"/>
  <c r="W457" i="6" s="1"/>
  <c r="L457" i="6"/>
  <c r="I457" i="6"/>
  <c r="G457" i="6"/>
  <c r="AD456" i="6"/>
  <c r="AB456" i="6"/>
  <c r="V456" i="6"/>
  <c r="Q456" i="6"/>
  <c r="W456" i="6" s="1"/>
  <c r="L456" i="6"/>
  <c r="I456" i="6"/>
  <c r="G456" i="6"/>
  <c r="AD455" i="6"/>
  <c r="AB455" i="6"/>
  <c r="V455" i="6"/>
  <c r="Q455" i="6"/>
  <c r="L455" i="6"/>
  <c r="I455" i="6"/>
  <c r="G455" i="6"/>
  <c r="AD454" i="6"/>
  <c r="AB454" i="6"/>
  <c r="V454" i="6"/>
  <c r="Q454" i="6"/>
  <c r="W454" i="6" s="1"/>
  <c r="L454" i="6"/>
  <c r="I454" i="6"/>
  <c r="G454" i="6"/>
  <c r="AD453" i="6"/>
  <c r="AB453" i="6"/>
  <c r="V453" i="6"/>
  <c r="Q453" i="6"/>
  <c r="W453" i="6" s="1"/>
  <c r="L453" i="6"/>
  <c r="I453" i="6"/>
  <c r="G453" i="6"/>
  <c r="AD452" i="6"/>
  <c r="AB452" i="6"/>
  <c r="V452" i="6"/>
  <c r="Q452" i="6"/>
  <c r="W452" i="6" s="1"/>
  <c r="L452" i="6"/>
  <c r="I452" i="6"/>
  <c r="G452" i="6"/>
  <c r="AD451" i="6"/>
  <c r="AB451" i="6"/>
  <c r="V451" i="6"/>
  <c r="Q451" i="6"/>
  <c r="L451" i="6"/>
  <c r="I451" i="6"/>
  <c r="G451" i="6"/>
  <c r="AD450" i="6"/>
  <c r="AB450" i="6"/>
  <c r="V450" i="6"/>
  <c r="Q450" i="6"/>
  <c r="L450" i="6"/>
  <c r="I450" i="6"/>
  <c r="G450" i="6"/>
  <c r="AD449" i="6"/>
  <c r="AB449" i="6"/>
  <c r="V449" i="6"/>
  <c r="Q449" i="6"/>
  <c r="W449" i="6" s="1"/>
  <c r="L449" i="6"/>
  <c r="I449" i="6"/>
  <c r="G449" i="6"/>
  <c r="AD448" i="6"/>
  <c r="AB448" i="6"/>
  <c r="V448" i="6"/>
  <c r="Q448" i="6"/>
  <c r="W448" i="6" s="1"/>
  <c r="L448" i="6"/>
  <c r="I448" i="6"/>
  <c r="G448" i="6"/>
  <c r="AD447" i="6"/>
  <c r="AB447" i="6"/>
  <c r="V447" i="6"/>
  <c r="Q447" i="6"/>
  <c r="L447" i="6"/>
  <c r="I447" i="6"/>
  <c r="G447" i="6"/>
  <c r="AD446" i="6"/>
  <c r="AB446" i="6"/>
  <c r="V446" i="6"/>
  <c r="Q446" i="6"/>
  <c r="W446" i="6" s="1"/>
  <c r="L446" i="6"/>
  <c r="I446" i="6"/>
  <c r="G446" i="6"/>
  <c r="AD445" i="6"/>
  <c r="AB445" i="6"/>
  <c r="V445" i="6"/>
  <c r="Q445" i="6"/>
  <c r="W445" i="6" s="1"/>
  <c r="L445" i="6"/>
  <c r="I445" i="6"/>
  <c r="G445" i="6"/>
  <c r="AD444" i="6"/>
  <c r="AB444" i="6"/>
  <c r="V444" i="6"/>
  <c r="Q444" i="6"/>
  <c r="W444" i="6" s="1"/>
  <c r="L444" i="6"/>
  <c r="I444" i="6"/>
  <c r="G444" i="6"/>
  <c r="AD443" i="6"/>
  <c r="AB443" i="6"/>
  <c r="V443" i="6"/>
  <c r="Q443" i="6"/>
  <c r="L443" i="6"/>
  <c r="I443" i="6"/>
  <c r="G443" i="6"/>
  <c r="AD442" i="6"/>
  <c r="AB442" i="6"/>
  <c r="V442" i="6"/>
  <c r="Q442" i="6"/>
  <c r="L442" i="6"/>
  <c r="I442" i="6"/>
  <c r="G442" i="6"/>
  <c r="AD441" i="6"/>
  <c r="AB441" i="6"/>
  <c r="V441" i="6"/>
  <c r="Q441" i="6"/>
  <c r="W441" i="6" s="1"/>
  <c r="L441" i="6"/>
  <c r="I441" i="6"/>
  <c r="G441" i="6"/>
  <c r="AD440" i="6"/>
  <c r="AB440" i="6"/>
  <c r="V440" i="6"/>
  <c r="Q440" i="6"/>
  <c r="W440" i="6" s="1"/>
  <c r="L440" i="6"/>
  <c r="I440" i="6"/>
  <c r="G440" i="6"/>
  <c r="AD439" i="6"/>
  <c r="AB439" i="6"/>
  <c r="V439" i="6"/>
  <c r="Q439" i="6"/>
  <c r="L439" i="6"/>
  <c r="I439" i="6"/>
  <c r="G439" i="6"/>
  <c r="AD438" i="6"/>
  <c r="AB438" i="6"/>
  <c r="V438" i="6"/>
  <c r="Q438" i="6"/>
  <c r="W438" i="6" s="1"/>
  <c r="L438" i="6"/>
  <c r="I438" i="6"/>
  <c r="G438" i="6"/>
  <c r="AD437" i="6"/>
  <c r="AB437" i="6"/>
  <c r="V437" i="6"/>
  <c r="Q437" i="6"/>
  <c r="W437" i="6" s="1"/>
  <c r="L437" i="6"/>
  <c r="I437" i="6"/>
  <c r="G437" i="6"/>
  <c r="AD436" i="6"/>
  <c r="AB436" i="6"/>
  <c r="V436" i="6"/>
  <c r="Q436" i="6"/>
  <c r="W436" i="6" s="1"/>
  <c r="L436" i="6"/>
  <c r="I436" i="6"/>
  <c r="G436" i="6"/>
  <c r="AD435" i="6"/>
  <c r="AB435" i="6"/>
  <c r="V435" i="6"/>
  <c r="Q435" i="6"/>
  <c r="L435" i="6"/>
  <c r="I435" i="6"/>
  <c r="G435" i="6"/>
  <c r="AD434" i="6"/>
  <c r="AB434" i="6"/>
  <c r="V434" i="6"/>
  <c r="Q434" i="6"/>
  <c r="L434" i="6"/>
  <c r="I434" i="6"/>
  <c r="G434" i="6"/>
  <c r="AD433" i="6"/>
  <c r="AB433" i="6"/>
  <c r="V433" i="6"/>
  <c r="Q433" i="6"/>
  <c r="W433" i="6" s="1"/>
  <c r="L433" i="6"/>
  <c r="I433" i="6"/>
  <c r="G433" i="6"/>
  <c r="AD432" i="6"/>
  <c r="AB432" i="6"/>
  <c r="V432" i="6"/>
  <c r="Q432" i="6"/>
  <c r="W432" i="6" s="1"/>
  <c r="L432" i="6"/>
  <c r="I432" i="6"/>
  <c r="G432" i="6"/>
  <c r="AD431" i="6"/>
  <c r="AB431" i="6"/>
  <c r="V431" i="6"/>
  <c r="Q431" i="6"/>
  <c r="L431" i="6"/>
  <c r="I431" i="6"/>
  <c r="G431" i="6"/>
  <c r="AD430" i="6"/>
  <c r="AB430" i="6"/>
  <c r="V430" i="6"/>
  <c r="Q430" i="6"/>
  <c r="W430" i="6" s="1"/>
  <c r="L430" i="6"/>
  <c r="I430" i="6"/>
  <c r="G430" i="6"/>
  <c r="AD429" i="6"/>
  <c r="AB429" i="6"/>
  <c r="V429" i="6"/>
  <c r="Q429" i="6"/>
  <c r="W429" i="6" s="1"/>
  <c r="L429" i="6"/>
  <c r="I429" i="6"/>
  <c r="G429" i="6"/>
  <c r="AD428" i="6"/>
  <c r="AB428" i="6"/>
  <c r="V428" i="6"/>
  <c r="Q428" i="6"/>
  <c r="W428" i="6" s="1"/>
  <c r="L428" i="6"/>
  <c r="I428" i="6"/>
  <c r="G428" i="6"/>
  <c r="AD427" i="6"/>
  <c r="AB427" i="6"/>
  <c r="V427" i="6"/>
  <c r="Q427" i="6"/>
  <c r="L427" i="6"/>
  <c r="I427" i="6"/>
  <c r="G427" i="6"/>
  <c r="AD426" i="6"/>
  <c r="AB426" i="6"/>
  <c r="V426" i="6"/>
  <c r="Q426" i="6"/>
  <c r="L426" i="6"/>
  <c r="I426" i="6"/>
  <c r="G426" i="6"/>
  <c r="AD425" i="6"/>
  <c r="AB425" i="6"/>
  <c r="V425" i="6"/>
  <c r="Q425" i="6"/>
  <c r="W425" i="6" s="1"/>
  <c r="L425" i="6"/>
  <c r="I425" i="6"/>
  <c r="G425" i="6"/>
  <c r="AD424" i="6"/>
  <c r="AB424" i="6"/>
  <c r="V424" i="6"/>
  <c r="Q424" i="6"/>
  <c r="W424" i="6" s="1"/>
  <c r="L424" i="6"/>
  <c r="I424" i="6"/>
  <c r="G424" i="6"/>
  <c r="AD422" i="6"/>
  <c r="AB422" i="6"/>
  <c r="V422" i="6"/>
  <c r="Q422" i="6"/>
  <c r="L422" i="6"/>
  <c r="I422" i="6"/>
  <c r="G422" i="6"/>
  <c r="AD421" i="6"/>
  <c r="AB421" i="6"/>
  <c r="V421" i="6"/>
  <c r="Q421" i="6"/>
  <c r="W421" i="6" s="1"/>
  <c r="L421" i="6"/>
  <c r="I421" i="6"/>
  <c r="G421" i="6"/>
  <c r="AD420" i="6"/>
  <c r="AB420" i="6"/>
  <c r="V420" i="6"/>
  <c r="Q420" i="6"/>
  <c r="W420" i="6" s="1"/>
  <c r="L420" i="6"/>
  <c r="I420" i="6"/>
  <c r="G420" i="6"/>
  <c r="AD419" i="6"/>
  <c r="AB419" i="6"/>
  <c r="V419" i="6"/>
  <c r="Q419" i="6"/>
  <c r="W419" i="6" s="1"/>
  <c r="L419" i="6"/>
  <c r="I419" i="6"/>
  <c r="G419" i="6"/>
  <c r="AD418" i="6"/>
  <c r="AB418" i="6"/>
  <c r="V418" i="6"/>
  <c r="Q418" i="6"/>
  <c r="L418" i="6"/>
  <c r="I418" i="6"/>
  <c r="G418" i="6"/>
  <c r="AD417" i="6"/>
  <c r="AB417" i="6"/>
  <c r="V417" i="6"/>
  <c r="Q417" i="6"/>
  <c r="L417" i="6"/>
  <c r="I417" i="6"/>
  <c r="G417" i="6"/>
  <c r="AD416" i="6"/>
  <c r="AB416" i="6"/>
  <c r="V416" i="6"/>
  <c r="Q416" i="6"/>
  <c r="W416" i="6" s="1"/>
  <c r="L416" i="6"/>
  <c r="I416" i="6"/>
  <c r="G416" i="6"/>
  <c r="AD415" i="6"/>
  <c r="AB415" i="6"/>
  <c r="V415" i="6"/>
  <c r="Q415" i="6"/>
  <c r="W415" i="6" s="1"/>
  <c r="L415" i="6"/>
  <c r="I415" i="6"/>
  <c r="G415" i="6"/>
  <c r="AD414" i="6"/>
  <c r="AB414" i="6"/>
  <c r="V414" i="6"/>
  <c r="Q414" i="6"/>
  <c r="L414" i="6"/>
  <c r="I414" i="6"/>
  <c r="G414" i="6"/>
  <c r="AD413" i="6"/>
  <c r="AB413" i="6"/>
  <c r="V413" i="6"/>
  <c r="Q413" i="6"/>
  <c r="W413" i="6" s="1"/>
  <c r="L413" i="6"/>
  <c r="I413" i="6"/>
  <c r="G413" i="6"/>
  <c r="AD412" i="6"/>
  <c r="AB412" i="6"/>
  <c r="V412" i="6"/>
  <c r="Q412" i="6"/>
  <c r="W412" i="6" s="1"/>
  <c r="L412" i="6"/>
  <c r="I412" i="6"/>
  <c r="G412" i="6"/>
  <c r="AD411" i="6"/>
  <c r="AB411" i="6"/>
  <c r="V411" i="6"/>
  <c r="Q411" i="6"/>
  <c r="W411" i="6" s="1"/>
  <c r="L411" i="6"/>
  <c r="I411" i="6"/>
  <c r="G411" i="6"/>
  <c r="AD410" i="6"/>
  <c r="AB410" i="6"/>
  <c r="V410" i="6"/>
  <c r="Q410" i="6"/>
  <c r="L410" i="6"/>
  <c r="I410" i="6"/>
  <c r="G410" i="6"/>
  <c r="AD409" i="6"/>
  <c r="AB409" i="6"/>
  <c r="V409" i="6"/>
  <c r="Q409" i="6"/>
  <c r="L409" i="6"/>
  <c r="I409" i="6"/>
  <c r="G409" i="6"/>
  <c r="AD408" i="6"/>
  <c r="AB408" i="6"/>
  <c r="V408" i="6"/>
  <c r="W408" i="6" s="1"/>
  <c r="Q408" i="6"/>
  <c r="L408" i="6"/>
  <c r="I408" i="6"/>
  <c r="G408" i="6"/>
  <c r="AD407" i="6"/>
  <c r="AB407" i="6"/>
  <c r="V407" i="6"/>
  <c r="Q407" i="6"/>
  <c r="W407" i="6" s="1"/>
  <c r="L407" i="6"/>
  <c r="I407" i="6"/>
  <c r="G407" i="6"/>
  <c r="AD406" i="6"/>
  <c r="AB406" i="6"/>
  <c r="V406" i="6"/>
  <c r="Q406" i="6"/>
  <c r="W406" i="6" s="1"/>
  <c r="L406" i="6"/>
  <c r="I406" i="6"/>
  <c r="G406" i="6"/>
  <c r="AD405" i="6"/>
  <c r="AB405" i="6"/>
  <c r="V405" i="6"/>
  <c r="Q405" i="6"/>
  <c r="W405" i="6" s="1"/>
  <c r="L405" i="6"/>
  <c r="I405" i="6"/>
  <c r="G405" i="6"/>
  <c r="AD404" i="6"/>
  <c r="AB404" i="6"/>
  <c r="V404" i="6"/>
  <c r="Q404" i="6"/>
  <c r="W404" i="6" s="1"/>
  <c r="L404" i="6"/>
  <c r="I404" i="6"/>
  <c r="G404" i="6"/>
  <c r="AD403" i="6"/>
  <c r="AB403" i="6"/>
  <c r="V403" i="6"/>
  <c r="Q403" i="6"/>
  <c r="W403" i="6" s="1"/>
  <c r="L403" i="6"/>
  <c r="I403" i="6"/>
  <c r="G403" i="6"/>
  <c r="AD402" i="6"/>
  <c r="AB402" i="6"/>
  <c r="V402" i="6"/>
  <c r="Q402" i="6"/>
  <c r="W402" i="6" s="1"/>
  <c r="L402" i="6"/>
  <c r="I402" i="6"/>
  <c r="G402" i="6"/>
  <c r="AD401" i="6"/>
  <c r="AB401" i="6"/>
  <c r="V401" i="6"/>
  <c r="Q401" i="6"/>
  <c r="W401" i="6" s="1"/>
  <c r="L401" i="6"/>
  <c r="I401" i="6"/>
  <c r="G401" i="6"/>
  <c r="AD400" i="6"/>
  <c r="AB400" i="6"/>
  <c r="V400" i="6"/>
  <c r="Q400" i="6"/>
  <c r="W400" i="6" s="1"/>
  <c r="L400" i="6"/>
  <c r="I400" i="6"/>
  <c r="G400" i="6"/>
  <c r="AD399" i="6"/>
  <c r="AB399" i="6"/>
  <c r="V399" i="6"/>
  <c r="Q399" i="6"/>
  <c r="W399" i="6" s="1"/>
  <c r="L399" i="6"/>
  <c r="I399" i="6"/>
  <c r="G399" i="6"/>
  <c r="AD398" i="6"/>
  <c r="AB398" i="6"/>
  <c r="V398" i="6"/>
  <c r="Q398" i="6"/>
  <c r="W398" i="6" s="1"/>
  <c r="L398" i="6"/>
  <c r="I398" i="6"/>
  <c r="G398" i="6"/>
  <c r="AD397" i="6"/>
  <c r="AB397" i="6"/>
  <c r="V397" i="6"/>
  <c r="Q397" i="6"/>
  <c r="W397" i="6" s="1"/>
  <c r="L397" i="6"/>
  <c r="I397" i="6"/>
  <c r="G397" i="6"/>
  <c r="AD396" i="6"/>
  <c r="AB396" i="6"/>
  <c r="V396" i="6"/>
  <c r="Q396" i="6"/>
  <c r="W396" i="6" s="1"/>
  <c r="L396" i="6"/>
  <c r="I396" i="6"/>
  <c r="G396" i="6"/>
  <c r="AD395" i="6"/>
  <c r="AB395" i="6"/>
  <c r="V395" i="6"/>
  <c r="Q395" i="6"/>
  <c r="W395" i="6" s="1"/>
  <c r="L395" i="6"/>
  <c r="I395" i="6"/>
  <c r="G395" i="6"/>
  <c r="AD394" i="6"/>
  <c r="AB394" i="6"/>
  <c r="V394" i="6"/>
  <c r="Q394" i="6"/>
  <c r="W394" i="6" s="1"/>
  <c r="L394" i="6"/>
  <c r="I394" i="6"/>
  <c r="G394" i="6"/>
  <c r="AD393" i="6"/>
  <c r="AB393" i="6"/>
  <c r="V393" i="6"/>
  <c r="Q393" i="6"/>
  <c r="W393" i="6" s="1"/>
  <c r="L393" i="6"/>
  <c r="I393" i="6"/>
  <c r="G393" i="6"/>
  <c r="AD392" i="6"/>
  <c r="AB392" i="6"/>
  <c r="V392" i="6"/>
  <c r="Q392" i="6"/>
  <c r="W392" i="6" s="1"/>
  <c r="L392" i="6"/>
  <c r="I392" i="6"/>
  <c r="G392" i="6"/>
  <c r="AD391" i="6"/>
  <c r="AB391" i="6"/>
  <c r="V391" i="6"/>
  <c r="Q391" i="6"/>
  <c r="W391" i="6" s="1"/>
  <c r="L391" i="6"/>
  <c r="I391" i="6"/>
  <c r="G391" i="6"/>
  <c r="AD390" i="6"/>
  <c r="AB390" i="6"/>
  <c r="V390" i="6"/>
  <c r="Q390" i="6"/>
  <c r="W390" i="6" s="1"/>
  <c r="L390" i="6"/>
  <c r="I390" i="6"/>
  <c r="G390" i="6"/>
  <c r="AD389" i="6"/>
  <c r="AB389" i="6"/>
  <c r="V389" i="6"/>
  <c r="Q389" i="6"/>
  <c r="L389" i="6"/>
  <c r="I389" i="6"/>
  <c r="G389" i="6"/>
  <c r="AD388" i="6"/>
  <c r="AB388" i="6"/>
  <c r="V388" i="6"/>
  <c r="Q388" i="6"/>
  <c r="W388" i="6" s="1"/>
  <c r="L388" i="6"/>
  <c r="I388" i="6"/>
  <c r="G388" i="6"/>
  <c r="AD387" i="6"/>
  <c r="AB387" i="6"/>
  <c r="V387" i="6"/>
  <c r="Q387" i="6"/>
  <c r="W387" i="6" s="1"/>
  <c r="L387" i="6"/>
  <c r="I387" i="6"/>
  <c r="G387" i="6"/>
  <c r="AD386" i="6"/>
  <c r="AB386" i="6"/>
  <c r="V386" i="6"/>
  <c r="Q386" i="6"/>
  <c r="W386" i="6" s="1"/>
  <c r="L386" i="6"/>
  <c r="I386" i="6"/>
  <c r="G386" i="6"/>
  <c r="AD385" i="6"/>
  <c r="AB385" i="6"/>
  <c r="V385" i="6"/>
  <c r="Q385" i="6"/>
  <c r="L385" i="6"/>
  <c r="I385" i="6"/>
  <c r="G385" i="6"/>
  <c r="AD384" i="6"/>
  <c r="AB384" i="6"/>
  <c r="V384" i="6"/>
  <c r="Q384" i="6"/>
  <c r="L384" i="6"/>
  <c r="I384" i="6"/>
  <c r="G384" i="6"/>
  <c r="AD383" i="6"/>
  <c r="AB383" i="6"/>
  <c r="V383" i="6"/>
  <c r="Q383" i="6"/>
  <c r="L383" i="6"/>
  <c r="I383" i="6"/>
  <c r="G383" i="6"/>
  <c r="AD382" i="6"/>
  <c r="AB382" i="6"/>
  <c r="V382" i="6"/>
  <c r="Q382" i="6"/>
  <c r="L382" i="6"/>
  <c r="I382" i="6"/>
  <c r="G382" i="6"/>
  <c r="AD381" i="6"/>
  <c r="AB381" i="6"/>
  <c r="V381" i="6"/>
  <c r="Q381" i="6"/>
  <c r="L381" i="6"/>
  <c r="I381" i="6"/>
  <c r="G381" i="6"/>
  <c r="AD380" i="6"/>
  <c r="AB380" i="6"/>
  <c r="V380" i="6"/>
  <c r="Q380" i="6"/>
  <c r="W380" i="6" s="1"/>
  <c r="L380" i="6"/>
  <c r="I380" i="6"/>
  <c r="G380" i="6"/>
  <c r="AD379" i="6"/>
  <c r="AB379" i="6"/>
  <c r="V379" i="6"/>
  <c r="Q379" i="6"/>
  <c r="W379" i="6" s="1"/>
  <c r="L379" i="6"/>
  <c r="I379" i="6"/>
  <c r="G379" i="6"/>
  <c r="AD378" i="6"/>
  <c r="AB378" i="6"/>
  <c r="V378" i="6"/>
  <c r="Q378" i="6"/>
  <c r="W378" i="6" s="1"/>
  <c r="L378" i="6"/>
  <c r="I378" i="6"/>
  <c r="G378" i="6"/>
  <c r="AD377" i="6"/>
  <c r="AB377" i="6"/>
  <c r="V377" i="6"/>
  <c r="Q377" i="6"/>
  <c r="L377" i="6"/>
  <c r="I377" i="6"/>
  <c r="G377" i="6"/>
  <c r="AD376" i="6"/>
  <c r="AB376" i="6"/>
  <c r="V376" i="6"/>
  <c r="Q376" i="6"/>
  <c r="L376" i="6"/>
  <c r="I376" i="6"/>
  <c r="G376" i="6"/>
  <c r="AD374" i="6"/>
  <c r="AB374" i="6"/>
  <c r="V374" i="6"/>
  <c r="Q374" i="6"/>
  <c r="L374" i="6"/>
  <c r="I374" i="6"/>
  <c r="G374" i="6"/>
  <c r="AD373" i="6"/>
  <c r="AB373" i="6"/>
  <c r="V373" i="6"/>
  <c r="Q373" i="6"/>
  <c r="L373" i="6"/>
  <c r="I373" i="6"/>
  <c r="G373" i="6"/>
  <c r="AD372" i="6"/>
  <c r="AB372" i="6"/>
  <c r="V372" i="6"/>
  <c r="Q372" i="6"/>
  <c r="L372" i="6"/>
  <c r="I372" i="6"/>
  <c r="G372" i="6"/>
  <c r="AD371" i="6"/>
  <c r="AB371" i="6"/>
  <c r="V371" i="6"/>
  <c r="Q371" i="6"/>
  <c r="W371" i="6" s="1"/>
  <c r="L371" i="6"/>
  <c r="I371" i="6"/>
  <c r="G371" i="6"/>
  <c r="AD370" i="6"/>
  <c r="AB370" i="6"/>
  <c r="V370" i="6"/>
  <c r="Q370" i="6"/>
  <c r="W370" i="6" s="1"/>
  <c r="L370" i="6"/>
  <c r="I370" i="6"/>
  <c r="G370" i="6"/>
  <c r="AD369" i="6"/>
  <c r="AB369" i="6"/>
  <c r="V369" i="6"/>
  <c r="Q369" i="6"/>
  <c r="W369" i="6" s="1"/>
  <c r="L369" i="6"/>
  <c r="I369" i="6"/>
  <c r="G369" i="6"/>
  <c r="AD368" i="6"/>
  <c r="AB368" i="6"/>
  <c r="V368" i="6"/>
  <c r="Q368" i="6"/>
  <c r="L368" i="6"/>
  <c r="I368" i="6"/>
  <c r="G368" i="6"/>
  <c r="AD367" i="6"/>
  <c r="AB367" i="6"/>
  <c r="V367" i="6"/>
  <c r="Q367" i="6"/>
  <c r="L367" i="6"/>
  <c r="I367" i="6"/>
  <c r="G367" i="6"/>
  <c r="AD366" i="6"/>
  <c r="AB366" i="6"/>
  <c r="V366" i="6"/>
  <c r="Q366" i="6"/>
  <c r="L366" i="6"/>
  <c r="I366" i="6"/>
  <c r="G366" i="6"/>
  <c r="AD365" i="6"/>
  <c r="AB365" i="6"/>
  <c r="V365" i="6"/>
  <c r="Q365" i="6"/>
  <c r="W365" i="6" s="1"/>
  <c r="L365" i="6"/>
  <c r="I365" i="6"/>
  <c r="G365" i="6"/>
  <c r="AD364" i="6"/>
  <c r="AB364" i="6"/>
  <c r="V364" i="6"/>
  <c r="Q364" i="6"/>
  <c r="L364" i="6"/>
  <c r="I364" i="6"/>
  <c r="G364" i="6"/>
  <c r="AD363" i="6"/>
  <c r="AB363" i="6"/>
  <c r="V363" i="6"/>
  <c r="Q363" i="6"/>
  <c r="W363" i="6" s="1"/>
  <c r="L363" i="6"/>
  <c r="I363" i="6"/>
  <c r="G363" i="6"/>
  <c r="AD362" i="6"/>
  <c r="AB362" i="6"/>
  <c r="V362" i="6"/>
  <c r="Q362" i="6"/>
  <c r="W362" i="6" s="1"/>
  <c r="L362" i="6"/>
  <c r="I362" i="6"/>
  <c r="G362" i="6"/>
  <c r="AD361" i="6"/>
  <c r="AB361" i="6"/>
  <c r="V361" i="6"/>
  <c r="Q361" i="6"/>
  <c r="W361" i="6" s="1"/>
  <c r="L361" i="6"/>
  <c r="I361" i="6"/>
  <c r="G361" i="6"/>
  <c r="AD360" i="6"/>
  <c r="AB360" i="6"/>
  <c r="V360" i="6"/>
  <c r="Q360" i="6"/>
  <c r="L360" i="6"/>
  <c r="I360" i="6"/>
  <c r="G360" i="6"/>
  <c r="AD359" i="6"/>
  <c r="AB359" i="6"/>
  <c r="V359" i="6"/>
  <c r="Q359" i="6"/>
  <c r="L359" i="6"/>
  <c r="I359" i="6"/>
  <c r="G359" i="6"/>
  <c r="AD358" i="6"/>
  <c r="AB358" i="6"/>
  <c r="V358" i="6"/>
  <c r="Q358" i="6"/>
  <c r="L358" i="6"/>
  <c r="I358" i="6"/>
  <c r="G358" i="6"/>
  <c r="AD357" i="6"/>
  <c r="AB357" i="6"/>
  <c r="V357" i="6"/>
  <c r="Q357" i="6"/>
  <c r="W357" i="6" s="1"/>
  <c r="L357" i="6"/>
  <c r="I357" i="6"/>
  <c r="G357" i="6"/>
  <c r="AD356" i="6"/>
  <c r="AB356" i="6"/>
  <c r="V356" i="6"/>
  <c r="Q356" i="6"/>
  <c r="L356" i="6"/>
  <c r="I356" i="6"/>
  <c r="G356" i="6"/>
  <c r="AD355" i="6"/>
  <c r="AB355" i="6"/>
  <c r="V355" i="6"/>
  <c r="Q355" i="6"/>
  <c r="W355" i="6" s="1"/>
  <c r="L355" i="6"/>
  <c r="I355" i="6"/>
  <c r="G355" i="6"/>
  <c r="AD354" i="6"/>
  <c r="AB354" i="6"/>
  <c r="V354" i="6"/>
  <c r="Q354" i="6"/>
  <c r="W354" i="6" s="1"/>
  <c r="L354" i="6"/>
  <c r="I354" i="6"/>
  <c r="G354" i="6"/>
  <c r="AD353" i="6"/>
  <c r="AB353" i="6"/>
  <c r="V353" i="6"/>
  <c r="Q353" i="6"/>
  <c r="W353" i="6" s="1"/>
  <c r="L353" i="6"/>
  <c r="I353" i="6"/>
  <c r="G353" i="6"/>
  <c r="AD352" i="6"/>
  <c r="AB352" i="6"/>
  <c r="V352" i="6"/>
  <c r="Q352" i="6"/>
  <c r="L352" i="6"/>
  <c r="I352" i="6"/>
  <c r="G352" i="6"/>
  <c r="AD351" i="6"/>
  <c r="AB351" i="6"/>
  <c r="V351" i="6"/>
  <c r="Q351" i="6"/>
  <c r="L351" i="6"/>
  <c r="I351" i="6"/>
  <c r="G351" i="6"/>
  <c r="AD350" i="6"/>
  <c r="AB350" i="6"/>
  <c r="V350" i="6"/>
  <c r="Q350" i="6"/>
  <c r="L350" i="6"/>
  <c r="I350" i="6"/>
  <c r="G350" i="6"/>
  <c r="AD349" i="6"/>
  <c r="AB349" i="6"/>
  <c r="V349" i="6"/>
  <c r="Q349" i="6"/>
  <c r="W349" i="6" s="1"/>
  <c r="L349" i="6"/>
  <c r="I349" i="6"/>
  <c r="G349" i="6"/>
  <c r="AD348" i="6"/>
  <c r="AB348" i="6"/>
  <c r="V348" i="6"/>
  <c r="Q348" i="6"/>
  <c r="L348" i="6"/>
  <c r="I348" i="6"/>
  <c r="G348" i="6"/>
  <c r="AD347" i="6"/>
  <c r="AB347" i="6"/>
  <c r="V347" i="6"/>
  <c r="Q347" i="6"/>
  <c r="W347" i="6" s="1"/>
  <c r="L347" i="6"/>
  <c r="I347" i="6"/>
  <c r="G347" i="6"/>
  <c r="AD346" i="6"/>
  <c r="AB346" i="6"/>
  <c r="V346" i="6"/>
  <c r="Q346" i="6"/>
  <c r="W346" i="6" s="1"/>
  <c r="L346" i="6"/>
  <c r="I346" i="6"/>
  <c r="G346" i="6"/>
  <c r="AD345" i="6"/>
  <c r="AB345" i="6"/>
  <c r="V345" i="6"/>
  <c r="Q345" i="6"/>
  <c r="W345" i="6" s="1"/>
  <c r="L345" i="6"/>
  <c r="I345" i="6"/>
  <c r="G345" i="6"/>
  <c r="AD344" i="6"/>
  <c r="AB344" i="6"/>
  <c r="V344" i="6"/>
  <c r="Q344" i="6"/>
  <c r="L344" i="6"/>
  <c r="I344" i="6"/>
  <c r="G344" i="6"/>
  <c r="AD343" i="6"/>
  <c r="AB343" i="6"/>
  <c r="V343" i="6"/>
  <c r="Q343" i="6"/>
  <c r="L343" i="6"/>
  <c r="I343" i="6"/>
  <c r="G343" i="6"/>
  <c r="AD342" i="6"/>
  <c r="AB342" i="6"/>
  <c r="V342" i="6"/>
  <c r="Q342" i="6"/>
  <c r="L342" i="6"/>
  <c r="I342" i="6"/>
  <c r="G342" i="6"/>
  <c r="AD341" i="6"/>
  <c r="AB341" i="6"/>
  <c r="V341" i="6"/>
  <c r="Q341" i="6"/>
  <c r="W341" i="6" s="1"/>
  <c r="L341" i="6"/>
  <c r="I341" i="6"/>
  <c r="G341" i="6"/>
  <c r="AD340" i="6"/>
  <c r="AB340" i="6"/>
  <c r="V340" i="6"/>
  <c r="Q340" i="6"/>
  <c r="L340" i="6"/>
  <c r="I340" i="6"/>
  <c r="G340" i="6"/>
  <c r="AD339" i="6"/>
  <c r="AB339" i="6"/>
  <c r="V339" i="6"/>
  <c r="Q339" i="6"/>
  <c r="W339" i="6" s="1"/>
  <c r="L339" i="6"/>
  <c r="I339" i="6"/>
  <c r="G339" i="6"/>
  <c r="AD338" i="6"/>
  <c r="AB338" i="6"/>
  <c r="V338" i="6"/>
  <c r="Q338" i="6"/>
  <c r="W338" i="6" s="1"/>
  <c r="L338" i="6"/>
  <c r="I338" i="6"/>
  <c r="G338" i="6"/>
  <c r="AD337" i="6"/>
  <c r="AB337" i="6"/>
  <c r="V337" i="6"/>
  <c r="Q337" i="6"/>
  <c r="W337" i="6" s="1"/>
  <c r="L337" i="6"/>
  <c r="I337" i="6"/>
  <c r="G337" i="6"/>
  <c r="AD336" i="6"/>
  <c r="AB336" i="6"/>
  <c r="V336" i="6"/>
  <c r="Q336" i="6"/>
  <c r="L336" i="6"/>
  <c r="I336" i="6"/>
  <c r="G336" i="6"/>
  <c r="AD335" i="6"/>
  <c r="AB335" i="6"/>
  <c r="V335" i="6"/>
  <c r="Q335" i="6"/>
  <c r="L335" i="6"/>
  <c r="I335" i="6"/>
  <c r="G335" i="6"/>
  <c r="AD334" i="6"/>
  <c r="AB334" i="6"/>
  <c r="V334" i="6"/>
  <c r="Q334" i="6"/>
  <c r="L334" i="6"/>
  <c r="I334" i="6"/>
  <c r="G334" i="6"/>
  <c r="AD333" i="6"/>
  <c r="AB333" i="6"/>
  <c r="V333" i="6"/>
  <c r="Q333" i="6"/>
  <c r="W333" i="6" s="1"/>
  <c r="L333" i="6"/>
  <c r="I333" i="6"/>
  <c r="G333" i="6"/>
  <c r="AD332" i="6"/>
  <c r="AB332" i="6"/>
  <c r="V332" i="6"/>
  <c r="Q332" i="6"/>
  <c r="L332" i="6"/>
  <c r="I332" i="6"/>
  <c r="G332" i="6"/>
  <c r="AD331" i="6"/>
  <c r="AB331" i="6"/>
  <c r="V331" i="6"/>
  <c r="Q331" i="6"/>
  <c r="W331" i="6" s="1"/>
  <c r="L331" i="6"/>
  <c r="I331" i="6"/>
  <c r="G331" i="6"/>
  <c r="AD330" i="6"/>
  <c r="AB330" i="6"/>
  <c r="V330" i="6"/>
  <c r="Q330" i="6"/>
  <c r="W330" i="6" s="1"/>
  <c r="L330" i="6"/>
  <c r="I330" i="6"/>
  <c r="G330" i="6"/>
  <c r="AD329" i="6"/>
  <c r="AB329" i="6"/>
  <c r="V329" i="6"/>
  <c r="Q329" i="6"/>
  <c r="W329" i="6" s="1"/>
  <c r="L329" i="6"/>
  <c r="I329" i="6"/>
  <c r="G329" i="6"/>
  <c r="AD328" i="6"/>
  <c r="AB328" i="6"/>
  <c r="V328" i="6"/>
  <c r="Q328" i="6"/>
  <c r="L328" i="6"/>
  <c r="I328" i="6"/>
  <c r="G328" i="6"/>
  <c r="AD327" i="6"/>
  <c r="AB327" i="6"/>
  <c r="V327" i="6"/>
  <c r="Q327" i="6"/>
  <c r="L327" i="6"/>
  <c r="I327" i="6"/>
  <c r="G327" i="6"/>
  <c r="AD326" i="6"/>
  <c r="AB326" i="6"/>
  <c r="V326" i="6"/>
  <c r="Q326" i="6"/>
  <c r="L326" i="6"/>
  <c r="I326" i="6"/>
  <c r="G326" i="6"/>
  <c r="AD325" i="6"/>
  <c r="AB325" i="6"/>
  <c r="V325" i="6"/>
  <c r="W325" i="6" s="1"/>
  <c r="Q325" i="6"/>
  <c r="L325" i="6"/>
  <c r="I325" i="6"/>
  <c r="G325" i="6"/>
  <c r="AD324" i="6"/>
  <c r="AB324" i="6"/>
  <c r="V324" i="6"/>
  <c r="W324" i="6" s="1"/>
  <c r="Q324" i="6"/>
  <c r="L324" i="6"/>
  <c r="I324" i="6"/>
  <c r="G324" i="6"/>
  <c r="AD323" i="6"/>
  <c r="AB323" i="6"/>
  <c r="V323" i="6"/>
  <c r="W323" i="6" s="1"/>
  <c r="Q323" i="6"/>
  <c r="L323" i="6"/>
  <c r="I323" i="6"/>
  <c r="G323" i="6"/>
  <c r="AD322" i="6"/>
  <c r="AB322" i="6"/>
  <c r="V322" i="6"/>
  <c r="W322" i="6" s="1"/>
  <c r="Q322" i="6"/>
  <c r="L322" i="6"/>
  <c r="I322" i="6"/>
  <c r="G322" i="6"/>
  <c r="AD321" i="6"/>
  <c r="AB321" i="6"/>
  <c r="V321" i="6"/>
  <c r="W321" i="6" s="1"/>
  <c r="Q321" i="6"/>
  <c r="L321" i="6"/>
  <c r="I321" i="6"/>
  <c r="G321" i="6"/>
  <c r="AD320" i="6"/>
  <c r="AB320" i="6"/>
  <c r="V320" i="6"/>
  <c r="W320" i="6" s="1"/>
  <c r="Q320" i="6"/>
  <c r="L320" i="6"/>
  <c r="I320" i="6"/>
  <c r="G320" i="6"/>
  <c r="AD319" i="6"/>
  <c r="AB319" i="6"/>
  <c r="V319" i="6"/>
  <c r="W319" i="6" s="1"/>
  <c r="Q319" i="6"/>
  <c r="L319" i="6"/>
  <c r="I319" i="6"/>
  <c r="G319" i="6"/>
  <c r="AD318" i="6"/>
  <c r="AB318" i="6"/>
  <c r="V318" i="6"/>
  <c r="W318" i="6" s="1"/>
  <c r="Q318" i="6"/>
  <c r="L318" i="6"/>
  <c r="I318" i="6"/>
  <c r="G318" i="6"/>
  <c r="AD317" i="6"/>
  <c r="AB317" i="6"/>
  <c r="V317" i="6"/>
  <c r="W317" i="6" s="1"/>
  <c r="Q317" i="6"/>
  <c r="L317" i="6"/>
  <c r="I317" i="6"/>
  <c r="G317" i="6"/>
  <c r="AD316" i="6"/>
  <c r="AB316" i="6"/>
  <c r="V316" i="6"/>
  <c r="W316" i="6" s="1"/>
  <c r="Q316" i="6"/>
  <c r="L316" i="6"/>
  <c r="I316" i="6"/>
  <c r="G316" i="6"/>
  <c r="AD315" i="6"/>
  <c r="AB315" i="6"/>
  <c r="V315" i="6"/>
  <c r="W315" i="6" s="1"/>
  <c r="Q315" i="6"/>
  <c r="L315" i="6"/>
  <c r="I315" i="6"/>
  <c r="G315" i="6"/>
  <c r="AD314" i="6"/>
  <c r="AB314" i="6"/>
  <c r="V314" i="6"/>
  <c r="W314" i="6" s="1"/>
  <c r="Q314" i="6"/>
  <c r="L314" i="6"/>
  <c r="I314" i="6"/>
  <c r="G314" i="6"/>
  <c r="AD313" i="6"/>
  <c r="AB313" i="6"/>
  <c r="V313" i="6"/>
  <c r="W313" i="6" s="1"/>
  <c r="Q313" i="6"/>
  <c r="L313" i="6"/>
  <c r="I313" i="6"/>
  <c r="G313" i="6"/>
  <c r="AD312" i="6"/>
  <c r="AB312" i="6"/>
  <c r="V312" i="6"/>
  <c r="Q312" i="6"/>
  <c r="L312" i="6"/>
  <c r="I312" i="6"/>
  <c r="G312" i="6"/>
  <c r="AD311" i="6"/>
  <c r="AB311" i="6"/>
  <c r="V311" i="6"/>
  <c r="Q311" i="6"/>
  <c r="W311" i="6" s="1"/>
  <c r="L311" i="6"/>
  <c r="I311" i="6"/>
  <c r="G311" i="6"/>
  <c r="AD310" i="6"/>
  <c r="AB310" i="6"/>
  <c r="V310" i="6"/>
  <c r="Q310" i="6"/>
  <c r="L310" i="6"/>
  <c r="I310" i="6"/>
  <c r="G310" i="6"/>
  <c r="AD309" i="6"/>
  <c r="AB309" i="6"/>
  <c r="V309" i="6"/>
  <c r="Q309" i="6"/>
  <c r="W309" i="6" s="1"/>
  <c r="L309" i="6"/>
  <c r="I309" i="6"/>
  <c r="G309" i="6"/>
  <c r="AD308" i="6"/>
  <c r="AB308" i="6"/>
  <c r="V308" i="6"/>
  <c r="Q308" i="6"/>
  <c r="L308" i="6"/>
  <c r="I308" i="6"/>
  <c r="G308" i="6"/>
  <c r="AD307" i="6"/>
  <c r="AB307" i="6"/>
  <c r="V307" i="6"/>
  <c r="Q307" i="6"/>
  <c r="W307" i="6" s="1"/>
  <c r="L307" i="6"/>
  <c r="I307" i="6"/>
  <c r="G307" i="6"/>
  <c r="AD306" i="6"/>
  <c r="AB306" i="6"/>
  <c r="V306" i="6"/>
  <c r="Q306" i="6"/>
  <c r="L306" i="6"/>
  <c r="I306" i="6"/>
  <c r="G306" i="6"/>
  <c r="AD305" i="6"/>
  <c r="AB305" i="6"/>
  <c r="V305" i="6"/>
  <c r="Q305" i="6"/>
  <c r="W305" i="6" s="1"/>
  <c r="L305" i="6"/>
  <c r="I305" i="6"/>
  <c r="G305" i="6"/>
  <c r="AD304" i="6"/>
  <c r="AB304" i="6"/>
  <c r="V304" i="6"/>
  <c r="Q304" i="6"/>
  <c r="L304" i="6"/>
  <c r="I304" i="6"/>
  <c r="G304" i="6"/>
  <c r="AD303" i="6"/>
  <c r="AB303" i="6"/>
  <c r="V303" i="6"/>
  <c r="Q303" i="6"/>
  <c r="W303" i="6" s="1"/>
  <c r="L303" i="6"/>
  <c r="I303" i="6"/>
  <c r="G303" i="6"/>
  <c r="AD302" i="6"/>
  <c r="AB302" i="6"/>
  <c r="V302" i="6"/>
  <c r="Q302" i="6"/>
  <c r="L302" i="6"/>
  <c r="I302" i="6"/>
  <c r="G302" i="6"/>
  <c r="AD301" i="6"/>
  <c r="AB301" i="6"/>
  <c r="V301" i="6"/>
  <c r="Q301" i="6"/>
  <c r="W301" i="6" s="1"/>
  <c r="L301" i="6"/>
  <c r="I301" i="6"/>
  <c r="G301" i="6"/>
  <c r="AD300" i="6"/>
  <c r="AB300" i="6"/>
  <c r="V300" i="6"/>
  <c r="Q300" i="6"/>
  <c r="L300" i="6"/>
  <c r="I300" i="6"/>
  <c r="G300" i="6"/>
  <c r="AD299" i="6"/>
  <c r="AB299" i="6"/>
  <c r="V299" i="6"/>
  <c r="Q299" i="6"/>
  <c r="W299" i="6" s="1"/>
  <c r="L299" i="6"/>
  <c r="I299" i="6"/>
  <c r="G299" i="6"/>
  <c r="AD298" i="6"/>
  <c r="AB298" i="6"/>
  <c r="V298" i="6"/>
  <c r="Q298" i="6"/>
  <c r="L298" i="6"/>
  <c r="I298" i="6"/>
  <c r="G298" i="6"/>
  <c r="AD297" i="6"/>
  <c r="AB297" i="6"/>
  <c r="V297" i="6"/>
  <c r="Q297" i="6"/>
  <c r="W297" i="6" s="1"/>
  <c r="L297" i="6"/>
  <c r="I297" i="6"/>
  <c r="G297" i="6"/>
  <c r="AD296" i="6"/>
  <c r="AB296" i="6"/>
  <c r="V296" i="6"/>
  <c r="Q296" i="6"/>
  <c r="L296" i="6"/>
  <c r="I296" i="6"/>
  <c r="G296" i="6"/>
  <c r="AD295" i="6"/>
  <c r="AB295" i="6"/>
  <c r="V295" i="6"/>
  <c r="Q295" i="6"/>
  <c r="W295" i="6" s="1"/>
  <c r="L295" i="6"/>
  <c r="I295" i="6"/>
  <c r="G295" i="6"/>
  <c r="AD294" i="6"/>
  <c r="AB294" i="6"/>
  <c r="V294" i="6"/>
  <c r="Q294" i="6"/>
  <c r="L294" i="6"/>
  <c r="I294" i="6"/>
  <c r="G294" i="6"/>
  <c r="AD293" i="6"/>
  <c r="AB293" i="6"/>
  <c r="V293" i="6"/>
  <c r="Q293" i="6"/>
  <c r="W293" i="6" s="1"/>
  <c r="L293" i="6"/>
  <c r="I293" i="6"/>
  <c r="G293" i="6"/>
  <c r="AD292" i="6"/>
  <c r="AB292" i="6"/>
  <c r="V292" i="6"/>
  <c r="Q292" i="6"/>
  <c r="L292" i="6"/>
  <c r="I292" i="6"/>
  <c r="G292" i="6"/>
  <c r="AD291" i="6"/>
  <c r="AB291" i="6"/>
  <c r="V291" i="6"/>
  <c r="Q291" i="6"/>
  <c r="W291" i="6" s="1"/>
  <c r="L291" i="6"/>
  <c r="I291" i="6"/>
  <c r="G291" i="6"/>
  <c r="AD290" i="6"/>
  <c r="AB290" i="6"/>
  <c r="V290" i="6"/>
  <c r="Q290" i="6"/>
  <c r="L290" i="6"/>
  <c r="I290" i="6"/>
  <c r="G290" i="6"/>
  <c r="AD289" i="6"/>
  <c r="AB289" i="6"/>
  <c r="V289" i="6"/>
  <c r="Q289" i="6"/>
  <c r="W289" i="6" s="1"/>
  <c r="L289" i="6"/>
  <c r="I289" i="6"/>
  <c r="G289" i="6"/>
  <c r="AD288" i="6"/>
  <c r="AB288" i="6"/>
  <c r="V288" i="6"/>
  <c r="Q288" i="6"/>
  <c r="L288" i="6"/>
  <c r="I288" i="6"/>
  <c r="G288" i="6"/>
  <c r="AD287" i="6"/>
  <c r="AB287" i="6"/>
  <c r="V287" i="6"/>
  <c r="Q287" i="6"/>
  <c r="W287" i="6" s="1"/>
  <c r="L287" i="6"/>
  <c r="I287" i="6"/>
  <c r="G287" i="6"/>
  <c r="AD286" i="6"/>
  <c r="AB286" i="6"/>
  <c r="V286" i="6"/>
  <c r="Q286" i="6"/>
  <c r="L286" i="6"/>
  <c r="I286" i="6"/>
  <c r="G286" i="6"/>
  <c r="AD285" i="6"/>
  <c r="AB285" i="6"/>
  <c r="V285" i="6"/>
  <c r="Q285" i="6"/>
  <c r="W285" i="6" s="1"/>
  <c r="L285" i="6"/>
  <c r="I285" i="6"/>
  <c r="G285" i="6"/>
  <c r="AD284" i="6"/>
  <c r="AB284" i="6"/>
  <c r="V284" i="6"/>
  <c r="Q284" i="6"/>
  <c r="L284" i="6"/>
  <c r="I284" i="6"/>
  <c r="G284" i="6"/>
  <c r="AD283" i="6"/>
  <c r="AB283" i="6"/>
  <c r="V283" i="6"/>
  <c r="Q283" i="6"/>
  <c r="W283" i="6" s="1"/>
  <c r="L283" i="6"/>
  <c r="I283" i="6"/>
  <c r="G283" i="6"/>
  <c r="AD282" i="6"/>
  <c r="AB282" i="6"/>
  <c r="V282" i="6"/>
  <c r="Q282" i="6"/>
  <c r="L282" i="6"/>
  <c r="I282" i="6"/>
  <c r="G282" i="6"/>
  <c r="AD281" i="6"/>
  <c r="AB281" i="6"/>
  <c r="V281" i="6"/>
  <c r="Q281" i="6"/>
  <c r="W281" i="6" s="1"/>
  <c r="L281" i="6"/>
  <c r="I281" i="6"/>
  <c r="G281" i="6"/>
  <c r="AD280" i="6"/>
  <c r="AB280" i="6"/>
  <c r="V280" i="6"/>
  <c r="Q280" i="6"/>
  <c r="L280" i="6"/>
  <c r="I280" i="6"/>
  <c r="G280" i="6"/>
  <c r="AD279" i="6"/>
  <c r="AB279" i="6"/>
  <c r="V279" i="6"/>
  <c r="Q279" i="6"/>
  <c r="W279" i="6" s="1"/>
  <c r="L279" i="6"/>
  <c r="I279" i="6"/>
  <c r="G279" i="6"/>
  <c r="AD278" i="6"/>
  <c r="AB278" i="6"/>
  <c r="V278" i="6"/>
  <c r="Q278" i="6"/>
  <c r="L278" i="6"/>
  <c r="I278" i="6"/>
  <c r="G278" i="6"/>
  <c r="AD277" i="6"/>
  <c r="AB277" i="6"/>
  <c r="V277" i="6"/>
  <c r="Q277" i="6"/>
  <c r="W277" i="6" s="1"/>
  <c r="L277" i="6"/>
  <c r="I277" i="6"/>
  <c r="G277" i="6"/>
  <c r="AD276" i="6"/>
  <c r="AB276" i="6"/>
  <c r="V276" i="6"/>
  <c r="Q276" i="6"/>
  <c r="L276" i="6"/>
  <c r="I276" i="6"/>
  <c r="G276" i="6"/>
  <c r="AD275" i="6"/>
  <c r="AB275" i="6"/>
  <c r="V275" i="6"/>
  <c r="Q275" i="6"/>
  <c r="W275" i="6" s="1"/>
  <c r="L275" i="6"/>
  <c r="I275" i="6"/>
  <c r="G275" i="6"/>
  <c r="AD274" i="6"/>
  <c r="AB274" i="6"/>
  <c r="V274" i="6"/>
  <c r="Q274" i="6"/>
  <c r="L274" i="6"/>
  <c r="I274" i="6"/>
  <c r="G274" i="6"/>
  <c r="AD273" i="6"/>
  <c r="AB273" i="6"/>
  <c r="V273" i="6"/>
  <c r="Q273" i="6"/>
  <c r="W273" i="6" s="1"/>
  <c r="L273" i="6"/>
  <c r="I273" i="6"/>
  <c r="G273" i="6"/>
  <c r="AD272" i="6"/>
  <c r="AB272" i="6"/>
  <c r="V272" i="6"/>
  <c r="Q272" i="6"/>
  <c r="L272" i="6"/>
  <c r="I272" i="6"/>
  <c r="G272" i="6"/>
  <c r="AD271" i="6"/>
  <c r="AB271" i="6"/>
  <c r="V271" i="6"/>
  <c r="Q271" i="6"/>
  <c r="W271" i="6" s="1"/>
  <c r="L271" i="6"/>
  <c r="I271" i="6"/>
  <c r="G271" i="6"/>
  <c r="AD270" i="6"/>
  <c r="AB270" i="6"/>
  <c r="V270" i="6"/>
  <c r="Q270" i="6"/>
  <c r="L270" i="6"/>
  <c r="I270" i="6"/>
  <c r="G270" i="6"/>
  <c r="AD269" i="6"/>
  <c r="AB269" i="6"/>
  <c r="V269" i="6"/>
  <c r="Q269" i="6"/>
  <c r="W269" i="6" s="1"/>
  <c r="L269" i="6"/>
  <c r="I269" i="6"/>
  <c r="G269" i="6"/>
  <c r="AD268" i="6"/>
  <c r="AB268" i="6"/>
  <c r="V268" i="6"/>
  <c r="Q268" i="6"/>
  <c r="L268" i="6"/>
  <c r="I268" i="6"/>
  <c r="G268" i="6"/>
  <c r="AD267" i="6"/>
  <c r="AB267" i="6"/>
  <c r="V267" i="6"/>
  <c r="Q267" i="6"/>
  <c r="W267" i="6" s="1"/>
  <c r="L267" i="6"/>
  <c r="I267" i="6"/>
  <c r="G267" i="6"/>
  <c r="AD266" i="6"/>
  <c r="AB266" i="6"/>
  <c r="V266" i="6"/>
  <c r="Q266" i="6"/>
  <c r="L266" i="6"/>
  <c r="I266" i="6"/>
  <c r="G266" i="6"/>
  <c r="AD265" i="6"/>
  <c r="AB265" i="6"/>
  <c r="V265" i="6"/>
  <c r="Q265" i="6"/>
  <c r="W265" i="6" s="1"/>
  <c r="L265" i="6"/>
  <c r="I265" i="6"/>
  <c r="G265" i="6"/>
  <c r="AD264" i="6"/>
  <c r="AB264" i="6"/>
  <c r="V264" i="6"/>
  <c r="Q264" i="6"/>
  <c r="L264" i="6"/>
  <c r="I264" i="6"/>
  <c r="G264" i="6"/>
  <c r="AD263" i="6"/>
  <c r="AB263" i="6"/>
  <c r="V263" i="6"/>
  <c r="Q263" i="6"/>
  <c r="W263" i="6" s="1"/>
  <c r="L263" i="6"/>
  <c r="I263" i="6"/>
  <c r="G263" i="6"/>
  <c r="AD261" i="6"/>
  <c r="AB261" i="6"/>
  <c r="V261" i="6"/>
  <c r="Q261" i="6"/>
  <c r="L261" i="6"/>
  <c r="I261" i="6"/>
  <c r="G261" i="6"/>
  <c r="AD260" i="6"/>
  <c r="AB260" i="6"/>
  <c r="V260" i="6"/>
  <c r="Q260" i="6"/>
  <c r="W260" i="6" s="1"/>
  <c r="L260" i="6"/>
  <c r="I260" i="6"/>
  <c r="G260" i="6"/>
  <c r="AD259" i="6"/>
  <c r="AB259" i="6"/>
  <c r="V259" i="6"/>
  <c r="Q259" i="6"/>
  <c r="L259" i="6"/>
  <c r="I259" i="6"/>
  <c r="G259" i="6"/>
  <c r="AD258" i="6"/>
  <c r="AB258" i="6"/>
  <c r="V258" i="6"/>
  <c r="Q258" i="6"/>
  <c r="W258" i="6" s="1"/>
  <c r="L258" i="6"/>
  <c r="I258" i="6"/>
  <c r="G258" i="6"/>
  <c r="AD257" i="6"/>
  <c r="AB257" i="6"/>
  <c r="V257" i="6"/>
  <c r="Q257" i="6"/>
  <c r="L257" i="6"/>
  <c r="I257" i="6"/>
  <c r="G257" i="6"/>
  <c r="AD256" i="6"/>
  <c r="AB256" i="6"/>
  <c r="V256" i="6"/>
  <c r="Q256" i="6"/>
  <c r="W256" i="6" s="1"/>
  <c r="L256" i="6"/>
  <c r="I256" i="6"/>
  <c r="G256" i="6"/>
  <c r="AD255" i="6"/>
  <c r="AB255" i="6"/>
  <c r="V255" i="6"/>
  <c r="Q255" i="6"/>
  <c r="L255" i="6"/>
  <c r="I255" i="6"/>
  <c r="G255" i="6"/>
  <c r="AD254" i="6"/>
  <c r="AB254" i="6"/>
  <c r="V254" i="6"/>
  <c r="Q254" i="6"/>
  <c r="W254" i="6" s="1"/>
  <c r="L254" i="6"/>
  <c r="I254" i="6"/>
  <c r="G254" i="6"/>
  <c r="AD253" i="6"/>
  <c r="AB253" i="6"/>
  <c r="V253" i="6"/>
  <c r="Q253" i="6"/>
  <c r="L253" i="6"/>
  <c r="I253" i="6"/>
  <c r="G253" i="6"/>
  <c r="AD252" i="6"/>
  <c r="AB252" i="6"/>
  <c r="V252" i="6"/>
  <c r="Q252" i="6"/>
  <c r="W252" i="6" s="1"/>
  <c r="L252" i="6"/>
  <c r="I252" i="6"/>
  <c r="G252" i="6"/>
  <c r="AD251" i="6"/>
  <c r="AB251" i="6"/>
  <c r="V251" i="6"/>
  <c r="Q251" i="6"/>
  <c r="L251" i="6"/>
  <c r="I251" i="6"/>
  <c r="G251" i="6"/>
  <c r="AD250" i="6"/>
  <c r="AB250" i="6"/>
  <c r="V250" i="6"/>
  <c r="Q250" i="6"/>
  <c r="W250" i="6" s="1"/>
  <c r="L250" i="6"/>
  <c r="I250" i="6"/>
  <c r="G250" i="6"/>
  <c r="AD249" i="6"/>
  <c r="AB249" i="6"/>
  <c r="V249" i="6"/>
  <c r="Q249" i="6"/>
  <c r="L249" i="6"/>
  <c r="I249" i="6"/>
  <c r="G249" i="6"/>
  <c r="AD248" i="6"/>
  <c r="AB248" i="6"/>
  <c r="V248" i="6"/>
  <c r="Q248" i="6"/>
  <c r="W248" i="6" s="1"/>
  <c r="L248" i="6"/>
  <c r="I248" i="6"/>
  <c r="G248" i="6"/>
  <c r="AD247" i="6"/>
  <c r="AB247" i="6"/>
  <c r="V247" i="6"/>
  <c r="Q247" i="6"/>
  <c r="W247" i="6" s="1"/>
  <c r="L247" i="6"/>
  <c r="I247" i="6"/>
  <c r="G247" i="6"/>
  <c r="AD246" i="6"/>
  <c r="AB246" i="6"/>
  <c r="V246" i="6"/>
  <c r="Q246" i="6"/>
  <c r="W246" i="6" s="1"/>
  <c r="L246" i="6"/>
  <c r="I246" i="6"/>
  <c r="G246" i="6"/>
  <c r="AD245" i="6"/>
  <c r="AB245" i="6"/>
  <c r="V245" i="6"/>
  <c r="Q245" i="6"/>
  <c r="W245" i="6" s="1"/>
  <c r="L245" i="6"/>
  <c r="I245" i="6"/>
  <c r="G245" i="6"/>
  <c r="AD244" i="6"/>
  <c r="AB244" i="6"/>
  <c r="V244" i="6"/>
  <c r="Q244" i="6"/>
  <c r="W244" i="6" s="1"/>
  <c r="L244" i="6"/>
  <c r="I244" i="6"/>
  <c r="G244" i="6"/>
  <c r="AD243" i="6"/>
  <c r="AB243" i="6"/>
  <c r="V243" i="6"/>
  <c r="Q243" i="6"/>
  <c r="W243" i="6" s="1"/>
  <c r="L243" i="6"/>
  <c r="I243" i="6"/>
  <c r="G243" i="6"/>
  <c r="AD242" i="6"/>
  <c r="AB242" i="6"/>
  <c r="V242" i="6"/>
  <c r="Q242" i="6"/>
  <c r="W242" i="6" s="1"/>
  <c r="L242" i="6"/>
  <c r="I242" i="6"/>
  <c r="G242" i="6"/>
  <c r="AD241" i="6"/>
  <c r="AB241" i="6"/>
  <c r="V241" i="6"/>
  <c r="Q241" i="6"/>
  <c r="W241" i="6" s="1"/>
  <c r="L241" i="6"/>
  <c r="I241" i="6"/>
  <c r="G241" i="6"/>
  <c r="AD239" i="6"/>
  <c r="AB239" i="6"/>
  <c r="V239" i="6"/>
  <c r="Q239" i="6"/>
  <c r="W239" i="6" s="1"/>
  <c r="L239" i="6"/>
  <c r="I239" i="6"/>
  <c r="G239" i="6"/>
  <c r="AD238" i="6"/>
  <c r="AB238" i="6"/>
  <c r="V238" i="6"/>
  <c r="Q238" i="6"/>
  <c r="W238" i="6" s="1"/>
  <c r="L238" i="6"/>
  <c r="I238" i="6"/>
  <c r="G238" i="6"/>
  <c r="AD237" i="6"/>
  <c r="AB237" i="6"/>
  <c r="V237" i="6"/>
  <c r="Q237" i="6"/>
  <c r="W237" i="6" s="1"/>
  <c r="L237" i="6"/>
  <c r="I237" i="6"/>
  <c r="G237" i="6"/>
  <c r="AD236" i="6"/>
  <c r="AB236" i="6"/>
  <c r="V236" i="6"/>
  <c r="Q236" i="6"/>
  <c r="W236" i="6" s="1"/>
  <c r="L236" i="6"/>
  <c r="I236" i="6"/>
  <c r="G236" i="6"/>
  <c r="AD235" i="6"/>
  <c r="AB235" i="6"/>
  <c r="V235" i="6"/>
  <c r="Q235" i="6"/>
  <c r="W235" i="6" s="1"/>
  <c r="L235" i="6"/>
  <c r="I235" i="6"/>
  <c r="G235" i="6"/>
  <c r="AD234" i="6"/>
  <c r="AB234" i="6"/>
  <c r="V234" i="6"/>
  <c r="Q234" i="6"/>
  <c r="W234" i="6" s="1"/>
  <c r="L234" i="6"/>
  <c r="I234" i="6"/>
  <c r="G234" i="6"/>
  <c r="AD233" i="6"/>
  <c r="AB233" i="6"/>
  <c r="V233" i="6"/>
  <c r="Q233" i="6"/>
  <c r="W233" i="6" s="1"/>
  <c r="L233" i="6"/>
  <c r="I233" i="6"/>
  <c r="G233" i="6"/>
  <c r="AD232" i="6"/>
  <c r="AB232" i="6"/>
  <c r="V232" i="6"/>
  <c r="Q232" i="6"/>
  <c r="W232" i="6" s="1"/>
  <c r="L232" i="6"/>
  <c r="I232" i="6"/>
  <c r="G232" i="6"/>
  <c r="AD231" i="6"/>
  <c r="AB231" i="6"/>
  <c r="V231" i="6"/>
  <c r="Q231" i="6"/>
  <c r="W231" i="6" s="1"/>
  <c r="L231" i="6"/>
  <c r="I231" i="6"/>
  <c r="G231" i="6"/>
  <c r="AD230" i="6"/>
  <c r="AB230" i="6"/>
  <c r="V230" i="6"/>
  <c r="Q230" i="6"/>
  <c r="W230" i="6" s="1"/>
  <c r="L230" i="6"/>
  <c r="I230" i="6"/>
  <c r="G230" i="6"/>
  <c r="AD229" i="6"/>
  <c r="AB229" i="6"/>
  <c r="V229" i="6"/>
  <c r="Q229" i="6"/>
  <c r="W229" i="6" s="1"/>
  <c r="L229" i="6"/>
  <c r="I229" i="6"/>
  <c r="G229" i="6"/>
  <c r="AD228" i="6"/>
  <c r="AB228" i="6"/>
  <c r="V228" i="6"/>
  <c r="Q228" i="6"/>
  <c r="W228" i="6" s="1"/>
  <c r="L228" i="6"/>
  <c r="I228" i="6"/>
  <c r="G228" i="6"/>
  <c r="AD227" i="6"/>
  <c r="AB227" i="6"/>
  <c r="V227" i="6"/>
  <c r="Q227" i="6"/>
  <c r="W227" i="6" s="1"/>
  <c r="L227" i="6"/>
  <c r="I227" i="6"/>
  <c r="G227" i="6"/>
  <c r="AD226" i="6"/>
  <c r="AB226" i="6"/>
  <c r="V226" i="6"/>
  <c r="Q226" i="6"/>
  <c r="W226" i="6" s="1"/>
  <c r="L226" i="6"/>
  <c r="I226" i="6"/>
  <c r="G226" i="6"/>
  <c r="AD225" i="6"/>
  <c r="AB225" i="6"/>
  <c r="V225" i="6"/>
  <c r="Q225" i="6"/>
  <c r="W225" i="6" s="1"/>
  <c r="L225" i="6"/>
  <c r="I225" i="6"/>
  <c r="G225" i="6"/>
  <c r="AD224" i="6"/>
  <c r="AB224" i="6"/>
  <c r="V224" i="6"/>
  <c r="Q224" i="6"/>
  <c r="W224" i="6" s="1"/>
  <c r="L224" i="6"/>
  <c r="I224" i="6"/>
  <c r="G224" i="6"/>
  <c r="AD223" i="6"/>
  <c r="AB223" i="6"/>
  <c r="V223" i="6"/>
  <c r="Q223" i="6"/>
  <c r="W223" i="6" s="1"/>
  <c r="L223" i="6"/>
  <c r="I223" i="6"/>
  <c r="G223" i="6"/>
  <c r="AD222" i="6"/>
  <c r="AB222" i="6"/>
  <c r="V222" i="6"/>
  <c r="Q222" i="6"/>
  <c r="W222" i="6" s="1"/>
  <c r="L222" i="6"/>
  <c r="I222" i="6"/>
  <c r="G222" i="6"/>
  <c r="AD221" i="6"/>
  <c r="AB221" i="6"/>
  <c r="V221" i="6"/>
  <c r="Q221" i="6"/>
  <c r="W221" i="6" s="1"/>
  <c r="L221" i="6"/>
  <c r="I221" i="6"/>
  <c r="G221" i="6"/>
  <c r="AD220" i="6"/>
  <c r="AB220" i="6"/>
  <c r="V220" i="6"/>
  <c r="Q220" i="6"/>
  <c r="W220" i="6" s="1"/>
  <c r="L220" i="6"/>
  <c r="I220" i="6"/>
  <c r="G220" i="6"/>
  <c r="AD219" i="6"/>
  <c r="AB219" i="6"/>
  <c r="V219" i="6"/>
  <c r="Q219" i="6"/>
  <c r="W219" i="6" s="1"/>
  <c r="L219" i="6"/>
  <c r="I219" i="6"/>
  <c r="G219" i="6"/>
  <c r="AD218" i="6"/>
  <c r="AB218" i="6"/>
  <c r="V218" i="6"/>
  <c r="Q218" i="6"/>
  <c r="W218" i="6" s="1"/>
  <c r="L218" i="6"/>
  <c r="I218" i="6"/>
  <c r="G218" i="6"/>
  <c r="AD217" i="6"/>
  <c r="AB217" i="6"/>
  <c r="V217" i="6"/>
  <c r="Q217" i="6"/>
  <c r="W217" i="6" s="1"/>
  <c r="L217" i="6"/>
  <c r="I217" i="6"/>
  <c r="G217" i="6"/>
  <c r="AD216" i="6"/>
  <c r="AB216" i="6"/>
  <c r="V216" i="6"/>
  <c r="Q216" i="6"/>
  <c r="W216" i="6" s="1"/>
  <c r="L216" i="6"/>
  <c r="I216" i="6"/>
  <c r="G216" i="6"/>
  <c r="AD215" i="6"/>
  <c r="AB215" i="6"/>
  <c r="V215" i="6"/>
  <c r="Q215" i="6"/>
  <c r="W215" i="6" s="1"/>
  <c r="L215" i="6"/>
  <c r="I215" i="6"/>
  <c r="G215" i="6"/>
  <c r="AD214" i="6"/>
  <c r="AB214" i="6"/>
  <c r="V214" i="6"/>
  <c r="Q214" i="6"/>
  <c r="W214" i="6" s="1"/>
  <c r="L214" i="6"/>
  <c r="I214" i="6"/>
  <c r="G214" i="6"/>
  <c r="AD213" i="6"/>
  <c r="AB213" i="6"/>
  <c r="V213" i="6"/>
  <c r="Q213" i="6"/>
  <c r="W213" i="6" s="1"/>
  <c r="L213" i="6"/>
  <c r="I213" i="6"/>
  <c r="G213" i="6"/>
  <c r="AD212" i="6"/>
  <c r="AB212" i="6"/>
  <c r="V212" i="6"/>
  <c r="Q212" i="6"/>
  <c r="W212" i="6" s="1"/>
  <c r="L212" i="6"/>
  <c r="I212" i="6"/>
  <c r="G212" i="6"/>
  <c r="AD211" i="6"/>
  <c r="AB211" i="6"/>
  <c r="V211" i="6"/>
  <c r="Q211" i="6"/>
  <c r="W211" i="6" s="1"/>
  <c r="L211" i="6"/>
  <c r="I211" i="6"/>
  <c r="G211" i="6"/>
  <c r="AD210" i="6"/>
  <c r="AB210" i="6"/>
  <c r="V210" i="6"/>
  <c r="Q210" i="6"/>
  <c r="W210" i="6" s="1"/>
  <c r="L210" i="6"/>
  <c r="I210" i="6"/>
  <c r="G210" i="6"/>
  <c r="AD209" i="6"/>
  <c r="AB209" i="6"/>
  <c r="V209" i="6"/>
  <c r="Q209" i="6"/>
  <c r="W209" i="6" s="1"/>
  <c r="L209" i="6"/>
  <c r="I209" i="6"/>
  <c r="G209" i="6"/>
  <c r="AD208" i="6"/>
  <c r="AB208" i="6"/>
  <c r="V208" i="6"/>
  <c r="Q208" i="6"/>
  <c r="W208" i="6" s="1"/>
  <c r="L208" i="6"/>
  <c r="I208" i="6"/>
  <c r="G208" i="6"/>
  <c r="AD207" i="6"/>
  <c r="AB207" i="6"/>
  <c r="V207" i="6"/>
  <c r="Q207" i="6"/>
  <c r="W207" i="6" s="1"/>
  <c r="L207" i="6"/>
  <c r="I207" i="6"/>
  <c r="G207" i="6"/>
  <c r="AD206" i="6"/>
  <c r="AB206" i="6"/>
  <c r="V206" i="6"/>
  <c r="Q206" i="6"/>
  <c r="W206" i="6" s="1"/>
  <c r="L206" i="6"/>
  <c r="I206" i="6"/>
  <c r="G206" i="6"/>
  <c r="AD204" i="6"/>
  <c r="AB204" i="6"/>
  <c r="V204" i="6"/>
  <c r="Q204" i="6"/>
  <c r="W204" i="6" s="1"/>
  <c r="L204" i="6"/>
  <c r="I204" i="6"/>
  <c r="G204" i="6"/>
  <c r="AD203" i="6"/>
  <c r="AB203" i="6"/>
  <c r="V203" i="6"/>
  <c r="Q203" i="6"/>
  <c r="W203" i="6" s="1"/>
  <c r="L203" i="6"/>
  <c r="I203" i="6"/>
  <c r="G203" i="6"/>
  <c r="AD202" i="6"/>
  <c r="AB202" i="6"/>
  <c r="V202" i="6"/>
  <c r="Q202" i="6"/>
  <c r="W202" i="6" s="1"/>
  <c r="L202" i="6"/>
  <c r="I202" i="6"/>
  <c r="G202" i="6"/>
  <c r="AD201" i="6"/>
  <c r="AB201" i="6"/>
  <c r="V201" i="6"/>
  <c r="Q201" i="6"/>
  <c r="W201" i="6" s="1"/>
  <c r="L201" i="6"/>
  <c r="I201" i="6"/>
  <c r="G201" i="6"/>
  <c r="AD200" i="6"/>
  <c r="AB200" i="6"/>
  <c r="V200" i="6"/>
  <c r="Q200" i="6"/>
  <c r="W200" i="6" s="1"/>
  <c r="L200" i="6"/>
  <c r="I200" i="6"/>
  <c r="G200" i="6"/>
  <c r="AD199" i="6"/>
  <c r="AB199" i="6"/>
  <c r="V199" i="6"/>
  <c r="Q199" i="6"/>
  <c r="W199" i="6" s="1"/>
  <c r="L199" i="6"/>
  <c r="I199" i="6"/>
  <c r="G199" i="6"/>
  <c r="AD198" i="6"/>
  <c r="AB198" i="6"/>
  <c r="V198" i="6"/>
  <c r="Q198" i="6"/>
  <c r="W198" i="6" s="1"/>
  <c r="L198" i="6"/>
  <c r="I198" i="6"/>
  <c r="G198" i="6"/>
  <c r="AD197" i="6"/>
  <c r="AB197" i="6"/>
  <c r="V197" i="6"/>
  <c r="Q197" i="6"/>
  <c r="W197" i="6" s="1"/>
  <c r="L197" i="6"/>
  <c r="I197" i="6"/>
  <c r="G197" i="6"/>
  <c r="AD196" i="6"/>
  <c r="AB196" i="6"/>
  <c r="V196" i="6"/>
  <c r="Q196" i="6"/>
  <c r="W196" i="6" s="1"/>
  <c r="L196" i="6"/>
  <c r="I196" i="6"/>
  <c r="G196" i="6"/>
  <c r="AD195" i="6"/>
  <c r="AB195" i="6"/>
  <c r="V195" i="6"/>
  <c r="Q195" i="6"/>
  <c r="W195" i="6" s="1"/>
  <c r="L195" i="6"/>
  <c r="I195" i="6"/>
  <c r="G195" i="6"/>
  <c r="AD194" i="6"/>
  <c r="AB194" i="6"/>
  <c r="V194" i="6"/>
  <c r="Q194" i="6"/>
  <c r="W194" i="6" s="1"/>
  <c r="L194" i="6"/>
  <c r="I194" i="6"/>
  <c r="G194" i="6"/>
  <c r="AD193" i="6"/>
  <c r="AB193" i="6"/>
  <c r="V193" i="6"/>
  <c r="Q193" i="6"/>
  <c r="W193" i="6" s="1"/>
  <c r="L193" i="6"/>
  <c r="I193" i="6"/>
  <c r="G193" i="6"/>
  <c r="AD192" i="6"/>
  <c r="AB192" i="6"/>
  <c r="V192" i="6"/>
  <c r="Q192" i="6"/>
  <c r="W192" i="6" s="1"/>
  <c r="L192" i="6"/>
  <c r="I192" i="6"/>
  <c r="G192" i="6"/>
  <c r="AD191" i="6"/>
  <c r="AB191" i="6"/>
  <c r="V191" i="6"/>
  <c r="Q191" i="6"/>
  <c r="W191" i="6" s="1"/>
  <c r="L191" i="6"/>
  <c r="I191" i="6"/>
  <c r="G191" i="6"/>
  <c r="AD190" i="6"/>
  <c r="AB190" i="6"/>
  <c r="V190" i="6"/>
  <c r="Q190" i="6"/>
  <c r="W190" i="6" s="1"/>
  <c r="L190" i="6"/>
  <c r="I190" i="6"/>
  <c r="G190" i="6"/>
  <c r="AD189" i="6"/>
  <c r="AB189" i="6"/>
  <c r="V189" i="6"/>
  <c r="Q189" i="6"/>
  <c r="W189" i="6" s="1"/>
  <c r="L189" i="6"/>
  <c r="I189" i="6"/>
  <c r="G189" i="6"/>
  <c r="AD188" i="6"/>
  <c r="AB188" i="6"/>
  <c r="V188" i="6"/>
  <c r="Q188" i="6"/>
  <c r="W188" i="6" s="1"/>
  <c r="L188" i="6"/>
  <c r="I188" i="6"/>
  <c r="G188" i="6"/>
  <c r="AD187" i="6"/>
  <c r="AB187" i="6"/>
  <c r="V187" i="6"/>
  <c r="Q187" i="6"/>
  <c r="W187" i="6" s="1"/>
  <c r="L187" i="6"/>
  <c r="I187" i="6"/>
  <c r="G187" i="6"/>
  <c r="AD186" i="6"/>
  <c r="AB186" i="6"/>
  <c r="V186" i="6"/>
  <c r="Q186" i="6"/>
  <c r="W186" i="6" s="1"/>
  <c r="L186" i="6"/>
  <c r="I186" i="6"/>
  <c r="G186" i="6"/>
  <c r="AD185" i="6"/>
  <c r="AB185" i="6"/>
  <c r="V185" i="6"/>
  <c r="Q185" i="6"/>
  <c r="W185" i="6" s="1"/>
  <c r="L185" i="6"/>
  <c r="I185" i="6"/>
  <c r="G185" i="6"/>
  <c r="AD184" i="6"/>
  <c r="AB184" i="6"/>
  <c r="V184" i="6"/>
  <c r="Q184" i="6"/>
  <c r="W184" i="6" s="1"/>
  <c r="L184" i="6"/>
  <c r="I184" i="6"/>
  <c r="G184" i="6"/>
  <c r="AD183" i="6"/>
  <c r="AB183" i="6"/>
  <c r="V183" i="6"/>
  <c r="Q183" i="6"/>
  <c r="W183" i="6" s="1"/>
  <c r="L183" i="6"/>
  <c r="I183" i="6"/>
  <c r="G183" i="6"/>
  <c r="AD182" i="6"/>
  <c r="AB182" i="6"/>
  <c r="V182" i="6"/>
  <c r="Q182" i="6"/>
  <c r="W182" i="6" s="1"/>
  <c r="L182" i="6"/>
  <c r="I182" i="6"/>
  <c r="G182" i="6"/>
  <c r="AD181" i="6"/>
  <c r="AB181" i="6"/>
  <c r="V181" i="6"/>
  <c r="Q181" i="6"/>
  <c r="L181" i="6"/>
  <c r="I181" i="6"/>
  <c r="G181" i="6"/>
  <c r="AD180" i="6"/>
  <c r="AB180" i="6"/>
  <c r="V180" i="6"/>
  <c r="Q180" i="6"/>
  <c r="W180" i="6" s="1"/>
  <c r="L180" i="6"/>
  <c r="I180" i="6"/>
  <c r="G180" i="6"/>
  <c r="AD179" i="6"/>
  <c r="AB179" i="6"/>
  <c r="V179" i="6"/>
  <c r="Q179" i="6"/>
  <c r="W179" i="6" s="1"/>
  <c r="L179" i="6"/>
  <c r="I179" i="6"/>
  <c r="G179" i="6"/>
  <c r="AD178" i="6"/>
  <c r="AB178" i="6"/>
  <c r="V178" i="6"/>
  <c r="Q178" i="6"/>
  <c r="L178" i="6"/>
  <c r="I178" i="6"/>
  <c r="G178" i="6"/>
  <c r="AD177" i="6"/>
  <c r="AB177" i="6"/>
  <c r="V177" i="6"/>
  <c r="Q177" i="6"/>
  <c r="W177" i="6" s="1"/>
  <c r="L177" i="6"/>
  <c r="I177" i="6"/>
  <c r="G177" i="6"/>
  <c r="AD176" i="6"/>
  <c r="AB176" i="6"/>
  <c r="V176" i="6"/>
  <c r="Q176" i="6"/>
  <c r="W176" i="6" s="1"/>
  <c r="L176" i="6"/>
  <c r="I176" i="6"/>
  <c r="G176" i="6"/>
  <c r="AD175" i="6"/>
  <c r="AB175" i="6"/>
  <c r="V175" i="6"/>
  <c r="Q175" i="6"/>
  <c r="L175" i="6"/>
  <c r="I175" i="6"/>
  <c r="G175" i="6"/>
  <c r="AD174" i="6"/>
  <c r="AB174" i="6"/>
  <c r="V174" i="6"/>
  <c r="Q174" i="6"/>
  <c r="W174" i="6" s="1"/>
  <c r="L174" i="6"/>
  <c r="I174" i="6"/>
  <c r="G174" i="6"/>
  <c r="AD173" i="6"/>
  <c r="AB173" i="6"/>
  <c r="V173" i="6"/>
  <c r="Q173" i="6"/>
  <c r="L173" i="6"/>
  <c r="I173" i="6"/>
  <c r="G173" i="6"/>
  <c r="AD172" i="6"/>
  <c r="AB172" i="6"/>
  <c r="V172" i="6"/>
  <c r="Q172" i="6"/>
  <c r="W172" i="6" s="1"/>
  <c r="L172" i="6"/>
  <c r="I172" i="6"/>
  <c r="G172" i="6"/>
  <c r="AD171" i="6"/>
  <c r="AB171" i="6"/>
  <c r="V171" i="6"/>
  <c r="Q171" i="6"/>
  <c r="W171" i="6" s="1"/>
  <c r="L171" i="6"/>
  <c r="I171" i="6"/>
  <c r="G171" i="6"/>
  <c r="AD170" i="6"/>
  <c r="AB170" i="6"/>
  <c r="V170" i="6"/>
  <c r="Q170" i="6"/>
  <c r="L170" i="6"/>
  <c r="I170" i="6"/>
  <c r="G170" i="6"/>
  <c r="AD169" i="6"/>
  <c r="AB169" i="6"/>
  <c r="V169" i="6"/>
  <c r="Q169" i="6"/>
  <c r="W169" i="6" s="1"/>
  <c r="L169" i="6"/>
  <c r="I169" i="6"/>
  <c r="G169" i="6"/>
  <c r="AD168" i="6"/>
  <c r="AB168" i="6"/>
  <c r="V168" i="6"/>
  <c r="Q168" i="6"/>
  <c r="W168" i="6" s="1"/>
  <c r="L168" i="6"/>
  <c r="I168" i="6"/>
  <c r="G168" i="6"/>
  <c r="AD166" i="6"/>
  <c r="AB166" i="6"/>
  <c r="V166" i="6"/>
  <c r="Q166" i="6"/>
  <c r="L166" i="6"/>
  <c r="I166" i="6"/>
  <c r="G166" i="6"/>
  <c r="AD165" i="6"/>
  <c r="AB165" i="6"/>
  <c r="V165" i="6"/>
  <c r="Q165" i="6"/>
  <c r="W165" i="6" s="1"/>
  <c r="L165" i="6"/>
  <c r="I165" i="6"/>
  <c r="G165" i="6"/>
  <c r="AD164" i="6"/>
  <c r="AB164" i="6"/>
  <c r="V164" i="6"/>
  <c r="Q164" i="6"/>
  <c r="L164" i="6"/>
  <c r="I164" i="6"/>
  <c r="G164" i="6"/>
  <c r="AD162" i="6"/>
  <c r="AB162" i="6"/>
  <c r="V162" i="6"/>
  <c r="Q162" i="6"/>
  <c r="W162" i="6" s="1"/>
  <c r="L162" i="6"/>
  <c r="I162" i="6"/>
  <c r="G162" i="6"/>
  <c r="AD161" i="6"/>
  <c r="AB161" i="6"/>
  <c r="V161" i="6"/>
  <c r="Q161" i="6"/>
  <c r="W161" i="6" s="1"/>
  <c r="L161" i="6"/>
  <c r="I161" i="6"/>
  <c r="G161" i="6"/>
  <c r="AD160" i="6"/>
  <c r="AB160" i="6"/>
  <c r="V160" i="6"/>
  <c r="Q160" i="6"/>
  <c r="L160" i="6"/>
  <c r="I160" i="6"/>
  <c r="G160" i="6"/>
  <c r="AD159" i="6"/>
  <c r="AB159" i="6"/>
  <c r="V159" i="6"/>
  <c r="Q159" i="6"/>
  <c r="W159" i="6" s="1"/>
  <c r="L159" i="6"/>
  <c r="I159" i="6"/>
  <c r="G159" i="6"/>
  <c r="AD158" i="6"/>
  <c r="AB158" i="6"/>
  <c r="V158" i="6"/>
  <c r="Q158" i="6"/>
  <c r="L158" i="6"/>
  <c r="I158" i="6"/>
  <c r="G158" i="6"/>
  <c r="AD157" i="6"/>
  <c r="AB157" i="6"/>
  <c r="V157" i="6"/>
  <c r="Q157" i="6"/>
  <c r="W157" i="6" s="1"/>
  <c r="L157" i="6"/>
  <c r="I157" i="6"/>
  <c r="G157" i="6"/>
  <c r="AD156" i="6"/>
  <c r="AB156" i="6"/>
  <c r="V156" i="6"/>
  <c r="Q156" i="6"/>
  <c r="W156" i="6" s="1"/>
  <c r="L156" i="6"/>
  <c r="I156" i="6"/>
  <c r="G156" i="6"/>
  <c r="AD155" i="6"/>
  <c r="AB155" i="6"/>
  <c r="V155" i="6"/>
  <c r="Q155" i="6"/>
  <c r="L155" i="6"/>
  <c r="I155" i="6"/>
  <c r="G155" i="6"/>
  <c r="AD154" i="6"/>
  <c r="AB154" i="6"/>
  <c r="V154" i="6"/>
  <c r="Q154" i="6"/>
  <c r="W154" i="6" s="1"/>
  <c r="L154" i="6"/>
  <c r="I154" i="6"/>
  <c r="G154" i="6"/>
  <c r="AD153" i="6"/>
  <c r="AB153" i="6"/>
  <c r="V153" i="6"/>
  <c r="Q153" i="6"/>
  <c r="W153" i="6" s="1"/>
  <c r="L153" i="6"/>
  <c r="I153" i="6"/>
  <c r="G153" i="6"/>
  <c r="AD152" i="6"/>
  <c r="AB152" i="6"/>
  <c r="V152" i="6"/>
  <c r="Q152" i="6"/>
  <c r="L152" i="6"/>
  <c r="I152" i="6"/>
  <c r="G152" i="6"/>
  <c r="AD151" i="6"/>
  <c r="AB151" i="6"/>
  <c r="V151" i="6"/>
  <c r="Q151" i="6"/>
  <c r="W151" i="6" s="1"/>
  <c r="L151" i="6"/>
  <c r="I151" i="6"/>
  <c r="G151" i="6"/>
  <c r="AD150" i="6"/>
  <c r="AB150" i="6"/>
  <c r="V150" i="6"/>
  <c r="Q150" i="6"/>
  <c r="L150" i="6"/>
  <c r="I150" i="6"/>
  <c r="G150" i="6"/>
  <c r="AD149" i="6"/>
  <c r="AB149" i="6"/>
  <c r="V149" i="6"/>
  <c r="Q149" i="6"/>
  <c r="W149" i="6" s="1"/>
  <c r="L149" i="6"/>
  <c r="I149" i="6"/>
  <c r="G149" i="6"/>
  <c r="AD148" i="6"/>
  <c r="AB148" i="6"/>
  <c r="V148" i="6"/>
  <c r="Q148" i="6"/>
  <c r="W148" i="6" s="1"/>
  <c r="L148" i="6"/>
  <c r="I148" i="6"/>
  <c r="G148" i="6"/>
  <c r="AD146" i="6"/>
  <c r="AB146" i="6"/>
  <c r="V146" i="6"/>
  <c r="Q146" i="6"/>
  <c r="L146" i="6"/>
  <c r="I146" i="6"/>
  <c r="G146" i="6"/>
  <c r="AD145" i="6"/>
  <c r="AB145" i="6"/>
  <c r="V145" i="6"/>
  <c r="Q145" i="6"/>
  <c r="W145" i="6" s="1"/>
  <c r="L145" i="6"/>
  <c r="I145" i="6"/>
  <c r="G145" i="6"/>
  <c r="AD144" i="6"/>
  <c r="AB144" i="6"/>
  <c r="V144" i="6"/>
  <c r="Q144" i="6"/>
  <c r="W144" i="6" s="1"/>
  <c r="L144" i="6"/>
  <c r="I144" i="6"/>
  <c r="G144" i="6"/>
  <c r="AD143" i="6"/>
  <c r="AB143" i="6"/>
  <c r="V143" i="6"/>
  <c r="Q143" i="6"/>
  <c r="L143" i="6"/>
  <c r="I143" i="6"/>
  <c r="G143" i="6"/>
  <c r="AD142" i="6"/>
  <c r="AB142" i="6"/>
  <c r="V142" i="6"/>
  <c r="Q142" i="6"/>
  <c r="W142" i="6" s="1"/>
  <c r="L142" i="6"/>
  <c r="I142" i="6"/>
  <c r="G142" i="6"/>
  <c r="AD141" i="6"/>
  <c r="AB141" i="6"/>
  <c r="V141" i="6"/>
  <c r="Q141" i="6"/>
  <c r="L141" i="6"/>
  <c r="I141" i="6"/>
  <c r="G141" i="6"/>
  <c r="AD140" i="6"/>
  <c r="AB140" i="6"/>
  <c r="V140" i="6"/>
  <c r="Q140" i="6"/>
  <c r="W140" i="6" s="1"/>
  <c r="L140" i="6"/>
  <c r="I140" i="6"/>
  <c r="G140" i="6"/>
  <c r="AD139" i="6"/>
  <c r="AB139" i="6"/>
  <c r="V139" i="6"/>
  <c r="Q139" i="6"/>
  <c r="W139" i="6" s="1"/>
  <c r="L139" i="6"/>
  <c r="I139" i="6"/>
  <c r="G139" i="6"/>
  <c r="AD138" i="6"/>
  <c r="AB138" i="6"/>
  <c r="V138" i="6"/>
  <c r="Q138" i="6"/>
  <c r="L138" i="6"/>
  <c r="I138" i="6"/>
  <c r="G138" i="6"/>
  <c r="AD137" i="6"/>
  <c r="AB137" i="6"/>
  <c r="V137" i="6"/>
  <c r="Q137" i="6"/>
  <c r="W137" i="6" s="1"/>
  <c r="L137" i="6"/>
  <c r="I137" i="6"/>
  <c r="G137" i="6"/>
  <c r="AD136" i="6"/>
  <c r="AB136" i="6"/>
  <c r="V136" i="6"/>
  <c r="Q136" i="6"/>
  <c r="W136" i="6" s="1"/>
  <c r="L136" i="6"/>
  <c r="I136" i="6"/>
  <c r="G136" i="6"/>
  <c r="AD135" i="6"/>
  <c r="AB135" i="6"/>
  <c r="V135" i="6"/>
  <c r="Q135" i="6"/>
  <c r="L135" i="6"/>
  <c r="I135" i="6"/>
  <c r="G135" i="6"/>
  <c r="AD134" i="6"/>
  <c r="AB134" i="6"/>
  <c r="V134" i="6"/>
  <c r="Q134" i="6"/>
  <c r="W134" i="6" s="1"/>
  <c r="L134" i="6"/>
  <c r="I134" i="6"/>
  <c r="G134" i="6"/>
  <c r="AD133" i="6"/>
  <c r="AB133" i="6"/>
  <c r="V133" i="6"/>
  <c r="Q133" i="6"/>
  <c r="L133" i="6"/>
  <c r="I133" i="6"/>
  <c r="G133" i="6"/>
  <c r="AD132" i="6"/>
  <c r="AB132" i="6"/>
  <c r="V132" i="6"/>
  <c r="Q132" i="6"/>
  <c r="W132" i="6" s="1"/>
  <c r="L132" i="6"/>
  <c r="I132" i="6"/>
  <c r="G132" i="6"/>
  <c r="AD131" i="6"/>
  <c r="AB131" i="6"/>
  <c r="V131" i="6"/>
  <c r="Q131" i="6"/>
  <c r="W131" i="6" s="1"/>
  <c r="L131" i="6"/>
  <c r="I131" i="6"/>
  <c r="G131" i="6"/>
  <c r="AD130" i="6"/>
  <c r="AB130" i="6"/>
  <c r="V130" i="6"/>
  <c r="Q130" i="6"/>
  <c r="L130" i="6"/>
  <c r="I130" i="6"/>
  <c r="G130" i="6"/>
  <c r="AD129" i="6"/>
  <c r="AB129" i="6"/>
  <c r="V129" i="6"/>
  <c r="Q129" i="6"/>
  <c r="W129" i="6" s="1"/>
  <c r="L129" i="6"/>
  <c r="I129" i="6"/>
  <c r="G129" i="6"/>
  <c r="AD128" i="6"/>
  <c r="AB128" i="6"/>
  <c r="V128" i="6"/>
  <c r="Q128" i="6"/>
  <c r="W128" i="6" s="1"/>
  <c r="L128" i="6"/>
  <c r="I128" i="6"/>
  <c r="G128" i="6"/>
  <c r="AD127" i="6"/>
  <c r="AB127" i="6"/>
  <c r="V127" i="6"/>
  <c r="Q127" i="6"/>
  <c r="L127" i="6"/>
  <c r="I127" i="6"/>
  <c r="G127" i="6"/>
  <c r="AD126" i="6"/>
  <c r="AB126" i="6"/>
  <c r="V126" i="6"/>
  <c r="Q126" i="6"/>
  <c r="W126" i="6" s="1"/>
  <c r="L126" i="6"/>
  <c r="I126" i="6"/>
  <c r="G126" i="6"/>
  <c r="AD125" i="6"/>
  <c r="AB125" i="6"/>
  <c r="V125" i="6"/>
  <c r="Q125" i="6"/>
  <c r="L125" i="6"/>
  <c r="I125" i="6"/>
  <c r="G125" i="6"/>
  <c r="AD124" i="6"/>
  <c r="AB124" i="6"/>
  <c r="V124" i="6"/>
  <c r="Q124" i="6"/>
  <c r="W124" i="6" s="1"/>
  <c r="L124" i="6"/>
  <c r="I124" i="6"/>
  <c r="G124" i="6"/>
  <c r="AD123" i="6"/>
  <c r="AB123" i="6"/>
  <c r="V123" i="6"/>
  <c r="Q123" i="6"/>
  <c r="W123" i="6" s="1"/>
  <c r="L123" i="6"/>
  <c r="I123" i="6"/>
  <c r="G123" i="6"/>
  <c r="AD122" i="6"/>
  <c r="AB122" i="6"/>
  <c r="V122" i="6"/>
  <c r="Q122" i="6"/>
  <c r="L122" i="6"/>
  <c r="I122" i="6"/>
  <c r="G122" i="6"/>
  <c r="AD121" i="6"/>
  <c r="AB121" i="6"/>
  <c r="V121" i="6"/>
  <c r="Q121" i="6"/>
  <c r="W121" i="6" s="1"/>
  <c r="L121" i="6"/>
  <c r="I121" i="6"/>
  <c r="G121" i="6"/>
  <c r="AD120" i="6"/>
  <c r="AB120" i="6"/>
  <c r="V120" i="6"/>
  <c r="Q120" i="6"/>
  <c r="W120" i="6" s="1"/>
  <c r="L120" i="6"/>
  <c r="I120" i="6"/>
  <c r="G120" i="6"/>
  <c r="AD119" i="6"/>
  <c r="AB119" i="6"/>
  <c r="V119" i="6"/>
  <c r="Q119" i="6"/>
  <c r="L119" i="6"/>
  <c r="I119" i="6"/>
  <c r="G119" i="6"/>
  <c r="AD118" i="6"/>
  <c r="AB118" i="6"/>
  <c r="V118" i="6"/>
  <c r="Q118" i="6"/>
  <c r="W118" i="6" s="1"/>
  <c r="L118" i="6"/>
  <c r="I118" i="6"/>
  <c r="G118" i="6"/>
  <c r="AD117" i="6"/>
  <c r="AB117" i="6"/>
  <c r="V117" i="6"/>
  <c r="Q117" i="6"/>
  <c r="L117" i="6"/>
  <c r="I117" i="6"/>
  <c r="G117" i="6"/>
  <c r="AD116" i="6"/>
  <c r="AB116" i="6"/>
  <c r="V116" i="6"/>
  <c r="Q116" i="6"/>
  <c r="W116" i="6" s="1"/>
  <c r="L116" i="6"/>
  <c r="I116" i="6"/>
  <c r="G116" i="6"/>
  <c r="AD115" i="6"/>
  <c r="AB115" i="6"/>
  <c r="V115" i="6"/>
  <c r="Q115" i="6"/>
  <c r="W115" i="6" s="1"/>
  <c r="L115" i="6"/>
  <c r="I115" i="6"/>
  <c r="G115" i="6"/>
  <c r="AD114" i="6"/>
  <c r="AB114" i="6"/>
  <c r="V114" i="6"/>
  <c r="Q114" i="6"/>
  <c r="L114" i="6"/>
  <c r="I114" i="6"/>
  <c r="G114" i="6"/>
  <c r="AD113" i="6"/>
  <c r="AB113" i="6"/>
  <c r="V113" i="6"/>
  <c r="Q113" i="6"/>
  <c r="W113" i="6" s="1"/>
  <c r="L113" i="6"/>
  <c r="I113" i="6"/>
  <c r="G113" i="6"/>
  <c r="AD112" i="6"/>
  <c r="AB112" i="6"/>
  <c r="V112" i="6"/>
  <c r="Q112" i="6"/>
  <c r="W112" i="6" s="1"/>
  <c r="L112" i="6"/>
  <c r="I112" i="6"/>
  <c r="G112" i="6"/>
  <c r="AD111" i="6"/>
  <c r="AB111" i="6"/>
  <c r="V111" i="6"/>
  <c r="Q111" i="6"/>
  <c r="L111" i="6"/>
  <c r="I111" i="6"/>
  <c r="G111" i="6"/>
  <c r="AD110" i="6"/>
  <c r="AB110" i="6"/>
  <c r="V110" i="6"/>
  <c r="Q110" i="6"/>
  <c r="W110" i="6" s="1"/>
  <c r="L110" i="6"/>
  <c r="I110" i="6"/>
  <c r="G110" i="6"/>
  <c r="AD109" i="6"/>
  <c r="AB109" i="6"/>
  <c r="V109" i="6"/>
  <c r="Q109" i="6"/>
  <c r="L109" i="6"/>
  <c r="I109" i="6"/>
  <c r="G109" i="6"/>
  <c r="AD108" i="6"/>
  <c r="AB108" i="6"/>
  <c r="V108" i="6"/>
  <c r="Q108" i="6"/>
  <c r="W108" i="6" s="1"/>
  <c r="L108" i="6"/>
  <c r="I108" i="6"/>
  <c r="G108" i="6"/>
  <c r="AD107" i="6"/>
  <c r="AB107" i="6"/>
  <c r="V107" i="6"/>
  <c r="Q107" i="6"/>
  <c r="W107" i="6" s="1"/>
  <c r="L107" i="6"/>
  <c r="I107" i="6"/>
  <c r="G107" i="6"/>
  <c r="AD106" i="6"/>
  <c r="AB106" i="6"/>
  <c r="V106" i="6"/>
  <c r="Q106" i="6"/>
  <c r="L106" i="6"/>
  <c r="I106" i="6"/>
  <c r="G106" i="6"/>
  <c r="AD105" i="6"/>
  <c r="AB105" i="6"/>
  <c r="V105" i="6"/>
  <c r="Q105" i="6"/>
  <c r="W105" i="6" s="1"/>
  <c r="L105" i="6"/>
  <c r="I105" i="6"/>
  <c r="G105" i="6"/>
  <c r="AD104" i="6"/>
  <c r="AB104" i="6"/>
  <c r="V104" i="6"/>
  <c r="Q104" i="6"/>
  <c r="W104" i="6" s="1"/>
  <c r="L104" i="6"/>
  <c r="I104" i="6"/>
  <c r="G104" i="6"/>
  <c r="AD103" i="6"/>
  <c r="AB103" i="6"/>
  <c r="V103" i="6"/>
  <c r="Q103" i="6"/>
  <c r="L103" i="6"/>
  <c r="I103" i="6"/>
  <c r="G103" i="6"/>
  <c r="AD102" i="6"/>
  <c r="AB102" i="6"/>
  <c r="V102" i="6"/>
  <c r="Q102" i="6"/>
  <c r="W102" i="6" s="1"/>
  <c r="L102" i="6"/>
  <c r="I102" i="6"/>
  <c r="G102" i="6"/>
  <c r="AD101" i="6"/>
  <c r="AB101" i="6"/>
  <c r="V101" i="6"/>
  <c r="Q101" i="6"/>
  <c r="L101" i="6"/>
  <c r="I101" i="6"/>
  <c r="G101" i="6"/>
  <c r="AD100" i="6"/>
  <c r="AB100" i="6"/>
  <c r="V100" i="6"/>
  <c r="Q100" i="6"/>
  <c r="W100" i="6" s="1"/>
  <c r="L100" i="6"/>
  <c r="I100" i="6"/>
  <c r="G100" i="6"/>
  <c r="AD99" i="6"/>
  <c r="AB99" i="6"/>
  <c r="V99" i="6"/>
  <c r="Q99" i="6"/>
  <c r="W99" i="6" s="1"/>
  <c r="L99" i="6"/>
  <c r="I99" i="6"/>
  <c r="G99" i="6"/>
  <c r="AD98" i="6"/>
  <c r="AB98" i="6"/>
  <c r="V98" i="6"/>
  <c r="Q98" i="6"/>
  <c r="L98" i="6"/>
  <c r="I98" i="6"/>
  <c r="G98" i="6"/>
  <c r="AD97" i="6"/>
  <c r="AB97" i="6"/>
  <c r="V97" i="6"/>
  <c r="Q97" i="6"/>
  <c r="W97" i="6" s="1"/>
  <c r="L97" i="6"/>
  <c r="I97" i="6"/>
  <c r="G97" i="6"/>
  <c r="AD96" i="6"/>
  <c r="AB96" i="6"/>
  <c r="V96" i="6"/>
  <c r="Q96" i="6"/>
  <c r="W96" i="6" s="1"/>
  <c r="L96" i="6"/>
  <c r="I96" i="6"/>
  <c r="G96" i="6"/>
  <c r="AD95" i="6"/>
  <c r="AB95" i="6"/>
  <c r="V95" i="6"/>
  <c r="Q95" i="6"/>
  <c r="L95" i="6"/>
  <c r="I95" i="6"/>
  <c r="G95" i="6"/>
  <c r="AD94" i="6"/>
  <c r="AB94" i="6"/>
  <c r="V94" i="6"/>
  <c r="Q94" i="6"/>
  <c r="W94" i="6" s="1"/>
  <c r="L94" i="6"/>
  <c r="I94" i="6"/>
  <c r="G94" i="6"/>
  <c r="AD93" i="6"/>
  <c r="AB93" i="6"/>
  <c r="V93" i="6"/>
  <c r="Q93" i="6"/>
  <c r="L93" i="6"/>
  <c r="I93" i="6"/>
  <c r="G93" i="6"/>
  <c r="AD92" i="6"/>
  <c r="AB92" i="6"/>
  <c r="V92" i="6"/>
  <c r="Q92" i="6"/>
  <c r="W92" i="6" s="1"/>
  <c r="L92" i="6"/>
  <c r="I92" i="6"/>
  <c r="G92" i="6"/>
  <c r="AD91" i="6"/>
  <c r="AB91" i="6"/>
  <c r="V91" i="6"/>
  <c r="Q91" i="6"/>
  <c r="W91" i="6" s="1"/>
  <c r="L91" i="6"/>
  <c r="I91" i="6"/>
  <c r="G91" i="6"/>
  <c r="AD90" i="6"/>
  <c r="AB90" i="6"/>
  <c r="V90" i="6"/>
  <c r="Q90" i="6"/>
  <c r="L90" i="6"/>
  <c r="I90" i="6"/>
  <c r="G90" i="6"/>
  <c r="AD89" i="6"/>
  <c r="AB89" i="6"/>
  <c r="V89" i="6"/>
  <c r="Q89" i="6"/>
  <c r="W89" i="6" s="1"/>
  <c r="L89" i="6"/>
  <c r="I89" i="6"/>
  <c r="G89" i="6"/>
  <c r="AD88" i="6"/>
  <c r="AB88" i="6"/>
  <c r="V88" i="6"/>
  <c r="Q88" i="6"/>
  <c r="W88" i="6" s="1"/>
  <c r="L88" i="6"/>
  <c r="I88" i="6"/>
  <c r="G88" i="6"/>
  <c r="AD87" i="6"/>
  <c r="AB87" i="6"/>
  <c r="V87" i="6"/>
  <c r="Q87" i="6"/>
  <c r="L87" i="6"/>
  <c r="I87" i="6"/>
  <c r="G87" i="6"/>
  <c r="AD86" i="6"/>
  <c r="AB86" i="6"/>
  <c r="V86" i="6"/>
  <c r="Q86" i="6"/>
  <c r="W86" i="6" s="1"/>
  <c r="L86" i="6"/>
  <c r="I86" i="6"/>
  <c r="G86" i="6"/>
  <c r="AD85" i="6"/>
  <c r="AB85" i="6"/>
  <c r="V85" i="6"/>
  <c r="Q85" i="6"/>
  <c r="L85" i="6"/>
  <c r="I85" i="6"/>
  <c r="G85" i="6"/>
  <c r="AD84" i="6"/>
  <c r="AB84" i="6"/>
  <c r="V84" i="6"/>
  <c r="Q84" i="6"/>
  <c r="W84" i="6" s="1"/>
  <c r="L84" i="6"/>
  <c r="I84" i="6"/>
  <c r="G84" i="6"/>
  <c r="AD83" i="6"/>
  <c r="AB83" i="6"/>
  <c r="V83" i="6"/>
  <c r="Q83" i="6"/>
  <c r="W83" i="6" s="1"/>
  <c r="L83" i="6"/>
  <c r="I83" i="6"/>
  <c r="G83" i="6"/>
  <c r="AD82" i="6"/>
  <c r="AB82" i="6"/>
  <c r="V82" i="6"/>
  <c r="Q82" i="6"/>
  <c r="L82" i="6"/>
  <c r="I82" i="6"/>
  <c r="G82" i="6"/>
  <c r="AD81" i="6"/>
  <c r="AB81" i="6"/>
  <c r="V81" i="6"/>
  <c r="Q81" i="6"/>
  <c r="W81" i="6" s="1"/>
  <c r="L81" i="6"/>
  <c r="I81" i="6"/>
  <c r="G81" i="6"/>
  <c r="AD80" i="6"/>
  <c r="AB80" i="6"/>
  <c r="V80" i="6"/>
  <c r="Q80" i="6"/>
  <c r="W80" i="6" s="1"/>
  <c r="L80" i="6"/>
  <c r="I80" i="6"/>
  <c r="G80" i="6"/>
  <c r="AD79" i="6"/>
  <c r="AB79" i="6"/>
  <c r="V79" i="6"/>
  <c r="Q79" i="6"/>
  <c r="L79" i="6"/>
  <c r="I79" i="6"/>
  <c r="G79" i="6"/>
  <c r="AD78" i="6"/>
  <c r="AB78" i="6"/>
  <c r="V78" i="6"/>
  <c r="Q78" i="6"/>
  <c r="W78" i="6" s="1"/>
  <c r="L78" i="6"/>
  <c r="I78" i="6"/>
  <c r="G78" i="6"/>
  <c r="AD77" i="6"/>
  <c r="AB77" i="6"/>
  <c r="V77" i="6"/>
  <c r="Q77" i="6"/>
  <c r="L77" i="6"/>
  <c r="I77" i="6"/>
  <c r="G77" i="6"/>
  <c r="AD76" i="6"/>
  <c r="AB76" i="6"/>
  <c r="V76" i="6"/>
  <c r="Q76" i="6"/>
  <c r="W76" i="6" s="1"/>
  <c r="L76" i="6"/>
  <c r="I76" i="6"/>
  <c r="G76" i="6"/>
  <c r="AD75" i="6"/>
  <c r="AB75" i="6"/>
  <c r="V75" i="6"/>
  <c r="Q75" i="6"/>
  <c r="W75" i="6" s="1"/>
  <c r="L75" i="6"/>
  <c r="I75" i="6"/>
  <c r="G75" i="6"/>
  <c r="AD74" i="6"/>
  <c r="AB74" i="6"/>
  <c r="V74" i="6"/>
  <c r="Q74" i="6"/>
  <c r="W74" i="6" s="1"/>
  <c r="L74" i="6"/>
  <c r="I74" i="6"/>
  <c r="G74" i="6"/>
  <c r="AD73" i="6"/>
  <c r="AB73" i="6"/>
  <c r="V73" i="6"/>
  <c r="Q73" i="6"/>
  <c r="W73" i="6" s="1"/>
  <c r="L73" i="6"/>
  <c r="I73" i="6"/>
  <c r="G73" i="6"/>
  <c r="AD72" i="6"/>
  <c r="AB72" i="6"/>
  <c r="V72" i="6"/>
  <c r="Q72" i="6"/>
  <c r="W72" i="6" s="1"/>
  <c r="L72" i="6"/>
  <c r="I72" i="6"/>
  <c r="G72" i="6"/>
  <c r="AD71" i="6"/>
  <c r="AB71" i="6"/>
  <c r="V71" i="6"/>
  <c r="Q71" i="6"/>
  <c r="W71" i="6" s="1"/>
  <c r="L71" i="6"/>
  <c r="I71" i="6"/>
  <c r="G71" i="6"/>
  <c r="AD70" i="6"/>
  <c r="AB70" i="6"/>
  <c r="V70" i="6"/>
  <c r="Q70" i="6"/>
  <c r="W70" i="6" s="1"/>
  <c r="L70" i="6"/>
  <c r="I70" i="6"/>
  <c r="G70" i="6"/>
  <c r="AD69" i="6"/>
  <c r="AB69" i="6"/>
  <c r="V69" i="6"/>
  <c r="Q69" i="6"/>
  <c r="W69" i="6" s="1"/>
  <c r="L69" i="6"/>
  <c r="I69" i="6"/>
  <c r="G69" i="6"/>
  <c r="AD68" i="6"/>
  <c r="AB68" i="6"/>
  <c r="V68" i="6"/>
  <c r="Q68" i="6"/>
  <c r="W68" i="6" s="1"/>
  <c r="L68" i="6"/>
  <c r="I68" i="6"/>
  <c r="G68" i="6"/>
  <c r="AD67" i="6"/>
  <c r="AB67" i="6"/>
  <c r="V67" i="6"/>
  <c r="Q67" i="6"/>
  <c r="W67" i="6" s="1"/>
  <c r="L67" i="6"/>
  <c r="I67" i="6"/>
  <c r="G67" i="6"/>
  <c r="AD66" i="6"/>
  <c r="AB66" i="6"/>
  <c r="V66" i="6"/>
  <c r="Q66" i="6"/>
  <c r="W66" i="6" s="1"/>
  <c r="L66" i="6"/>
  <c r="I66" i="6"/>
  <c r="G66" i="6"/>
  <c r="AD65" i="6"/>
  <c r="AB65" i="6"/>
  <c r="V65" i="6"/>
  <c r="Q65" i="6"/>
  <c r="W65" i="6" s="1"/>
  <c r="L65" i="6"/>
  <c r="I65" i="6"/>
  <c r="G65" i="6"/>
  <c r="AD64" i="6"/>
  <c r="AB64" i="6"/>
  <c r="V64" i="6"/>
  <c r="Q64" i="6"/>
  <c r="W64" i="6" s="1"/>
  <c r="L64" i="6"/>
  <c r="I64" i="6"/>
  <c r="G64" i="6"/>
  <c r="AD63" i="6"/>
  <c r="AB63" i="6"/>
  <c r="V63" i="6"/>
  <c r="Q63" i="6"/>
  <c r="W63" i="6" s="1"/>
  <c r="L63" i="6"/>
  <c r="I63" i="6"/>
  <c r="G63" i="6"/>
  <c r="AD62" i="6"/>
  <c r="AB62" i="6"/>
  <c r="V62" i="6"/>
  <c r="Q62" i="6"/>
  <c r="W62" i="6" s="1"/>
  <c r="L62" i="6"/>
  <c r="I62" i="6"/>
  <c r="G62" i="6"/>
  <c r="AD61" i="6"/>
  <c r="AB61" i="6"/>
  <c r="V61" i="6"/>
  <c r="Q61" i="6"/>
  <c r="W61" i="6" s="1"/>
  <c r="L61" i="6"/>
  <c r="I61" i="6"/>
  <c r="G61" i="6"/>
  <c r="AD60" i="6"/>
  <c r="AB60" i="6"/>
  <c r="V60" i="6"/>
  <c r="Q60" i="6"/>
  <c r="W60" i="6" s="1"/>
  <c r="L60" i="6"/>
  <c r="I60" i="6"/>
  <c r="G60" i="6"/>
  <c r="AD59" i="6"/>
  <c r="AB59" i="6"/>
  <c r="V59" i="6"/>
  <c r="Q59" i="6"/>
  <c r="W59" i="6" s="1"/>
  <c r="L59" i="6"/>
  <c r="I59" i="6"/>
  <c r="G59" i="6"/>
  <c r="AD58" i="6"/>
  <c r="AB58" i="6"/>
  <c r="V58" i="6"/>
  <c r="Q58" i="6"/>
  <c r="W58" i="6" s="1"/>
  <c r="L58" i="6"/>
  <c r="I58" i="6"/>
  <c r="G58" i="6"/>
  <c r="AD57" i="6"/>
  <c r="AB57" i="6"/>
  <c r="V57" i="6"/>
  <c r="Q57" i="6"/>
  <c r="W57" i="6" s="1"/>
  <c r="L57" i="6"/>
  <c r="I57" i="6"/>
  <c r="G57" i="6"/>
  <c r="AD56" i="6"/>
  <c r="AB56" i="6"/>
  <c r="V56" i="6"/>
  <c r="Q56" i="6"/>
  <c r="W56" i="6" s="1"/>
  <c r="L56" i="6"/>
  <c r="I56" i="6"/>
  <c r="G56" i="6"/>
  <c r="AD55" i="6"/>
  <c r="AB55" i="6"/>
  <c r="V55" i="6"/>
  <c r="Q55" i="6"/>
  <c r="W55" i="6" s="1"/>
  <c r="L55" i="6"/>
  <c r="I55" i="6"/>
  <c r="G55" i="6"/>
  <c r="AD54" i="6"/>
  <c r="AB54" i="6"/>
  <c r="V54" i="6"/>
  <c r="Q54" i="6"/>
  <c r="W54" i="6" s="1"/>
  <c r="L54" i="6"/>
  <c r="I54" i="6"/>
  <c r="G54" i="6"/>
  <c r="AD53" i="6"/>
  <c r="AB53" i="6"/>
  <c r="V53" i="6"/>
  <c r="Q53" i="6"/>
  <c r="W53" i="6" s="1"/>
  <c r="L53" i="6"/>
  <c r="I53" i="6"/>
  <c r="G53" i="6"/>
  <c r="AD52" i="6"/>
  <c r="AB52" i="6"/>
  <c r="V52" i="6"/>
  <c r="Q52" i="6"/>
  <c r="W52" i="6" s="1"/>
  <c r="L52" i="6"/>
  <c r="I52" i="6"/>
  <c r="G52" i="6"/>
  <c r="AD51" i="6"/>
  <c r="AB51" i="6"/>
  <c r="V51" i="6"/>
  <c r="Q51" i="6"/>
  <c r="W51" i="6" s="1"/>
  <c r="L51" i="6"/>
  <c r="I51" i="6"/>
  <c r="G51" i="6"/>
  <c r="AD50" i="6"/>
  <c r="AB50" i="6"/>
  <c r="V50" i="6"/>
  <c r="Q50" i="6"/>
  <c r="W50" i="6" s="1"/>
  <c r="L50" i="6"/>
  <c r="I50" i="6"/>
  <c r="G50" i="6"/>
  <c r="AD49" i="6"/>
  <c r="AB49" i="6"/>
  <c r="V49" i="6"/>
  <c r="Q49" i="6"/>
  <c r="W49" i="6" s="1"/>
  <c r="L49" i="6"/>
  <c r="I49" i="6"/>
  <c r="G49" i="6"/>
  <c r="AD48" i="6"/>
  <c r="AB48" i="6"/>
  <c r="V48" i="6"/>
  <c r="Q48" i="6"/>
  <c r="W48" i="6" s="1"/>
  <c r="L48" i="6"/>
  <c r="I48" i="6"/>
  <c r="G48" i="6"/>
  <c r="AD47" i="6"/>
  <c r="AB47" i="6"/>
  <c r="V47" i="6"/>
  <c r="Q47" i="6"/>
  <c r="W47" i="6" s="1"/>
  <c r="L47" i="6"/>
  <c r="I47" i="6"/>
  <c r="G47" i="6"/>
  <c r="AD46" i="6"/>
  <c r="AB46" i="6"/>
  <c r="V46" i="6"/>
  <c r="Q46" i="6"/>
  <c r="W46" i="6" s="1"/>
  <c r="L46" i="6"/>
  <c r="I46" i="6"/>
  <c r="G46" i="6"/>
  <c r="AD45" i="6"/>
  <c r="AB45" i="6"/>
  <c r="V45" i="6"/>
  <c r="Q45" i="6"/>
  <c r="W45" i="6" s="1"/>
  <c r="L45" i="6"/>
  <c r="I45" i="6"/>
  <c r="G45" i="6"/>
  <c r="AD44" i="6"/>
  <c r="AB44" i="6"/>
  <c r="V44" i="6"/>
  <c r="Q44" i="6"/>
  <c r="W44" i="6" s="1"/>
  <c r="L44" i="6"/>
  <c r="I44" i="6"/>
  <c r="G44" i="6"/>
  <c r="AD43" i="6"/>
  <c r="AB43" i="6"/>
  <c r="V43" i="6"/>
  <c r="Q43" i="6"/>
  <c r="W43" i="6" s="1"/>
  <c r="L43" i="6"/>
  <c r="I43" i="6"/>
  <c r="G43" i="6"/>
  <c r="AD42" i="6"/>
  <c r="AB42" i="6"/>
  <c r="V42" i="6"/>
  <c r="Q42" i="6"/>
  <c r="W42" i="6" s="1"/>
  <c r="L42" i="6"/>
  <c r="I42" i="6"/>
  <c r="G42" i="6"/>
  <c r="AD41" i="6"/>
  <c r="AB41" i="6"/>
  <c r="V41" i="6"/>
  <c r="Q41" i="6"/>
  <c r="W41" i="6" s="1"/>
  <c r="L41" i="6"/>
  <c r="I41" i="6"/>
  <c r="G41" i="6"/>
  <c r="AD40" i="6"/>
  <c r="AB40" i="6"/>
  <c r="V40" i="6"/>
  <c r="Q40" i="6"/>
  <c r="W40" i="6" s="1"/>
  <c r="L40" i="6"/>
  <c r="I40" i="6"/>
  <c r="G40" i="6"/>
  <c r="AD39" i="6"/>
  <c r="AB39" i="6"/>
  <c r="V39" i="6"/>
  <c r="Q39" i="6"/>
  <c r="W39" i="6" s="1"/>
  <c r="L39" i="6"/>
  <c r="I39" i="6"/>
  <c r="G39" i="6"/>
  <c r="AD38" i="6"/>
  <c r="AB38" i="6"/>
  <c r="V38" i="6"/>
  <c r="Q38" i="6"/>
  <c r="W38" i="6" s="1"/>
  <c r="L38" i="6"/>
  <c r="I38" i="6"/>
  <c r="G38" i="6"/>
  <c r="AD37" i="6"/>
  <c r="AB37" i="6"/>
  <c r="V37" i="6"/>
  <c r="Q37" i="6"/>
  <c r="W37" i="6" s="1"/>
  <c r="L37" i="6"/>
  <c r="I37" i="6"/>
  <c r="G37" i="6"/>
  <c r="AD36" i="6"/>
  <c r="AB36" i="6"/>
  <c r="V36" i="6"/>
  <c r="Q36" i="6"/>
  <c r="W36" i="6" s="1"/>
  <c r="L36" i="6"/>
  <c r="I36" i="6"/>
  <c r="G36" i="6"/>
  <c r="AD35" i="6"/>
  <c r="AB35" i="6"/>
  <c r="V35" i="6"/>
  <c r="Q35" i="6"/>
  <c r="W35" i="6" s="1"/>
  <c r="L35" i="6"/>
  <c r="I35" i="6"/>
  <c r="G35" i="6"/>
  <c r="AD34" i="6"/>
  <c r="AB34" i="6"/>
  <c r="V34" i="6"/>
  <c r="Q34" i="6"/>
  <c r="W34" i="6" s="1"/>
  <c r="L34" i="6"/>
  <c r="I34" i="6"/>
  <c r="G34" i="6"/>
  <c r="AD33" i="6"/>
  <c r="AB33" i="6"/>
  <c r="V33" i="6"/>
  <c r="Q33" i="6"/>
  <c r="W33" i="6" s="1"/>
  <c r="L33" i="6"/>
  <c r="I33" i="6"/>
  <c r="G33" i="6"/>
  <c r="AD32" i="6"/>
  <c r="AB32" i="6"/>
  <c r="V32" i="6"/>
  <c r="Q32" i="6"/>
  <c r="W32" i="6" s="1"/>
  <c r="L32" i="6"/>
  <c r="I32" i="6"/>
  <c r="G32" i="6"/>
  <c r="AD31" i="6"/>
  <c r="AB31" i="6"/>
  <c r="V31" i="6"/>
  <c r="Q31" i="6"/>
  <c r="W31" i="6" s="1"/>
  <c r="L31" i="6"/>
  <c r="I31" i="6"/>
  <c r="G31" i="6"/>
  <c r="AD30" i="6"/>
  <c r="AB30" i="6"/>
  <c r="V30" i="6"/>
  <c r="Q30" i="6"/>
  <c r="W30" i="6" s="1"/>
  <c r="L30" i="6"/>
  <c r="I30" i="6"/>
  <c r="G30" i="6"/>
  <c r="AD29" i="6"/>
  <c r="AB29" i="6"/>
  <c r="V29" i="6"/>
  <c r="Q29" i="6"/>
  <c r="W29" i="6" s="1"/>
  <c r="L29" i="6"/>
  <c r="I29" i="6"/>
  <c r="G29" i="6"/>
  <c r="AD28" i="6"/>
  <c r="AB28" i="6"/>
  <c r="V28" i="6"/>
  <c r="Q28" i="6"/>
  <c r="W28" i="6" s="1"/>
  <c r="L28" i="6"/>
  <c r="I28" i="6"/>
  <c r="G28" i="6"/>
  <c r="AD27" i="6"/>
  <c r="AB27" i="6"/>
  <c r="V27" i="6"/>
  <c r="Q27" i="6"/>
  <c r="W27" i="6" s="1"/>
  <c r="L27" i="6"/>
  <c r="I27" i="6"/>
  <c r="G27" i="6"/>
  <c r="AD26" i="6"/>
  <c r="AB26" i="6"/>
  <c r="V26" i="6"/>
  <c r="Q26" i="6"/>
  <c r="W26" i="6" s="1"/>
  <c r="L26" i="6"/>
  <c r="I26" i="6"/>
  <c r="G26" i="6"/>
  <c r="AD25" i="6"/>
  <c r="AB25" i="6"/>
  <c r="V25" i="6"/>
  <c r="Q25" i="6"/>
  <c r="W25" i="6" s="1"/>
  <c r="L25" i="6"/>
  <c r="I25" i="6"/>
  <c r="G25" i="6"/>
  <c r="AD24" i="6"/>
  <c r="AB24" i="6"/>
  <c r="V24" i="6"/>
  <c r="Q24" i="6"/>
  <c r="W24" i="6" s="1"/>
  <c r="L24" i="6"/>
  <c r="I24" i="6"/>
  <c r="G24" i="6"/>
  <c r="AD23" i="6"/>
  <c r="AB23" i="6"/>
  <c r="V23" i="6"/>
  <c r="Q23" i="6"/>
  <c r="W23" i="6" s="1"/>
  <c r="L23" i="6"/>
  <c r="I23" i="6"/>
  <c r="G23" i="6"/>
  <c r="AD22" i="6"/>
  <c r="AB22" i="6"/>
  <c r="V22" i="6"/>
  <c r="Q22" i="6"/>
  <c r="W22" i="6" s="1"/>
  <c r="L22" i="6"/>
  <c r="I22" i="6"/>
  <c r="G22" i="6"/>
  <c r="AD21" i="6"/>
  <c r="AB21" i="6"/>
  <c r="V21" i="6"/>
  <c r="Q21" i="6"/>
  <c r="W21" i="6" s="1"/>
  <c r="L21" i="6"/>
  <c r="I21" i="6"/>
  <c r="G21" i="6"/>
  <c r="AD20" i="6"/>
  <c r="AB20" i="6"/>
  <c r="V20" i="6"/>
  <c r="Q20" i="6"/>
  <c r="W20" i="6" s="1"/>
  <c r="L20" i="6"/>
  <c r="I20" i="6"/>
  <c r="G20" i="6"/>
  <c r="AD19" i="6"/>
  <c r="AB19" i="6"/>
  <c r="V19" i="6"/>
  <c r="Q19" i="6"/>
  <c r="W19" i="6" s="1"/>
  <c r="L19" i="6"/>
  <c r="I19" i="6"/>
  <c r="G19" i="6"/>
  <c r="AD18" i="6"/>
  <c r="AB18" i="6"/>
  <c r="V18" i="6"/>
  <c r="Q18" i="6"/>
  <c r="W18" i="6" s="1"/>
  <c r="L18" i="6"/>
  <c r="I18" i="6"/>
  <c r="G18" i="6"/>
  <c r="AD17" i="6"/>
  <c r="AB17" i="6"/>
  <c r="V17" i="6"/>
  <c r="Q17" i="6"/>
  <c r="W17" i="6" s="1"/>
  <c r="L17" i="6"/>
  <c r="I17" i="6"/>
  <c r="G17" i="6"/>
  <c r="AD16" i="6"/>
  <c r="AB16" i="6"/>
  <c r="V16" i="6"/>
  <c r="Q16" i="6"/>
  <c r="W16" i="6" s="1"/>
  <c r="L16" i="6"/>
  <c r="I16" i="6"/>
  <c r="G16" i="6"/>
  <c r="AD15" i="6"/>
  <c r="AB15" i="6"/>
  <c r="V15" i="6"/>
  <c r="Q15" i="6"/>
  <c r="W15" i="6" s="1"/>
  <c r="L15" i="6"/>
  <c r="I15" i="6"/>
  <c r="G15" i="6"/>
  <c r="AD14" i="6"/>
  <c r="AB14" i="6"/>
  <c r="V14" i="6"/>
  <c r="Q14" i="6"/>
  <c r="W14" i="6" s="1"/>
  <c r="L14" i="6"/>
  <c r="I14" i="6"/>
  <c r="G14" i="6"/>
  <c r="AD13" i="6"/>
  <c r="AB13" i="6"/>
  <c r="V13" i="6"/>
  <c r="Q13" i="6"/>
  <c r="W13" i="6" s="1"/>
  <c r="L13" i="6"/>
  <c r="I13" i="6"/>
  <c r="G13" i="6"/>
  <c r="AD12" i="6"/>
  <c r="AB12" i="6"/>
  <c r="V12" i="6"/>
  <c r="Q12" i="6"/>
  <c r="W12" i="6" s="1"/>
  <c r="L12" i="6"/>
  <c r="I12" i="6"/>
  <c r="G12" i="6"/>
  <c r="AD11" i="6"/>
  <c r="AB11" i="6"/>
  <c r="V11" i="6"/>
  <c r="Q11" i="6"/>
  <c r="W11" i="6" s="1"/>
  <c r="L11" i="6"/>
  <c r="I11" i="6"/>
  <c r="G11" i="6"/>
  <c r="AD10" i="6"/>
  <c r="AB10" i="6"/>
  <c r="V10" i="6"/>
  <c r="Q10" i="6"/>
  <c r="W10" i="6" s="1"/>
  <c r="L10" i="6"/>
  <c r="I10" i="6"/>
  <c r="G10" i="6"/>
  <c r="AD9" i="6"/>
  <c r="AB9" i="6"/>
  <c r="V9" i="6"/>
  <c r="Q9" i="6"/>
  <c r="W9" i="6" s="1"/>
  <c r="L9" i="6"/>
  <c r="I9" i="6"/>
  <c r="G9" i="6"/>
  <c r="AF494" i="3"/>
  <c r="AG494" i="3"/>
  <c r="AH494" i="3"/>
  <c r="AI494" i="3"/>
  <c r="AF495" i="3"/>
  <c r="AG495" i="3"/>
  <c r="AH495" i="3"/>
  <c r="AI495" i="3"/>
  <c r="AF496" i="3"/>
  <c r="AG496" i="3"/>
  <c r="AH496" i="3"/>
  <c r="AI496" i="3"/>
  <c r="AF497" i="3"/>
  <c r="AG497" i="3"/>
  <c r="AH497" i="3"/>
  <c r="AI497" i="3"/>
  <c r="AF498" i="3"/>
  <c r="AG498" i="3"/>
  <c r="AH498" i="3"/>
  <c r="AI498" i="3"/>
  <c r="AE495" i="3"/>
  <c r="AE496" i="3"/>
  <c r="AE497" i="3"/>
  <c r="AE498" i="3"/>
  <c r="AE494" i="3"/>
  <c r="AF492" i="3"/>
  <c r="AG492" i="3"/>
  <c r="AH492" i="3"/>
  <c r="AI492" i="3"/>
  <c r="AE492" i="3"/>
  <c r="AF487" i="3"/>
  <c r="AG487" i="3"/>
  <c r="AH487" i="3"/>
  <c r="AI487" i="3"/>
  <c r="AF488" i="3"/>
  <c r="AG488" i="3"/>
  <c r="AH488" i="3"/>
  <c r="AI488" i="3"/>
  <c r="AF489" i="3"/>
  <c r="AG489" i="3"/>
  <c r="AH489" i="3"/>
  <c r="AI489" i="3"/>
  <c r="AF490" i="3"/>
  <c r="AG490" i="3"/>
  <c r="AH490" i="3"/>
  <c r="AI490" i="3"/>
  <c r="AF491" i="3"/>
  <c r="AG491" i="3"/>
  <c r="AH491" i="3"/>
  <c r="AI491" i="3"/>
  <c r="AE491" i="3"/>
  <c r="AE490" i="3"/>
  <c r="AE489" i="3"/>
  <c r="AE488" i="3"/>
  <c r="AE487" i="3"/>
  <c r="W82" i="6" l="1"/>
  <c r="W90" i="6"/>
  <c r="W98" i="6"/>
  <c r="W106" i="6"/>
  <c r="W114" i="6"/>
  <c r="W122" i="6"/>
  <c r="W130" i="6"/>
  <c r="W138" i="6"/>
  <c r="W146" i="6"/>
  <c r="W155" i="6"/>
  <c r="W79" i="6"/>
  <c r="W87" i="6"/>
  <c r="W95" i="6"/>
  <c r="W103" i="6"/>
  <c r="W111" i="6"/>
  <c r="W119" i="6"/>
  <c r="W127" i="6"/>
  <c r="W135" i="6"/>
  <c r="W143" i="6"/>
  <c r="W152" i="6"/>
  <c r="W160" i="6"/>
  <c r="W170" i="6"/>
  <c r="W178" i="6"/>
  <c r="W77" i="6"/>
  <c r="W85" i="6"/>
  <c r="W93" i="6"/>
  <c r="W101" i="6"/>
  <c r="W109" i="6"/>
  <c r="W117" i="6"/>
  <c r="W125" i="6"/>
  <c r="W133" i="6"/>
  <c r="W141" i="6"/>
  <c r="W150" i="6"/>
  <c r="W158" i="6"/>
  <c r="W166" i="6"/>
  <c r="W175" i="6"/>
  <c r="W164" i="6"/>
  <c r="W173" i="6"/>
  <c r="W181" i="6"/>
  <c r="W249" i="6"/>
  <c r="W257" i="6"/>
  <c r="W266" i="6"/>
  <c r="W274" i="6"/>
  <c r="W282" i="6"/>
  <c r="W290" i="6"/>
  <c r="W298" i="6"/>
  <c r="W306" i="6"/>
  <c r="W255" i="6"/>
  <c r="W264" i="6"/>
  <c r="W272" i="6"/>
  <c r="W280" i="6"/>
  <c r="W288" i="6"/>
  <c r="W296" i="6"/>
  <c r="W304" i="6"/>
  <c r="W312" i="6"/>
  <c r="W253" i="6"/>
  <c r="W261" i="6"/>
  <c r="W270" i="6"/>
  <c r="W278" i="6"/>
  <c r="W286" i="6"/>
  <c r="W294" i="6"/>
  <c r="W302" i="6"/>
  <c r="W310" i="6"/>
  <c r="W251" i="6"/>
  <c r="W259" i="6"/>
  <c r="W268" i="6"/>
  <c r="W276" i="6"/>
  <c r="W284" i="6"/>
  <c r="W292" i="6"/>
  <c r="W300" i="6"/>
  <c r="W308" i="6"/>
  <c r="W328" i="6"/>
  <c r="W336" i="6"/>
  <c r="W344" i="6"/>
  <c r="W352" i="6"/>
  <c r="W360" i="6"/>
  <c r="W368" i="6"/>
  <c r="W377" i="6"/>
  <c r="W385" i="6"/>
  <c r="W327" i="6"/>
  <c r="W335" i="6"/>
  <c r="W343" i="6"/>
  <c r="W351" i="6"/>
  <c r="W359" i="6"/>
  <c r="W367" i="6"/>
  <c r="W376" i="6"/>
  <c r="W384" i="6"/>
  <c r="W326" i="6"/>
  <c r="W334" i="6"/>
  <c r="W342" i="6"/>
  <c r="W350" i="6"/>
  <c r="W358" i="6"/>
  <c r="W366" i="6"/>
  <c r="W374" i="6"/>
  <c r="W383" i="6"/>
  <c r="W373" i="6"/>
  <c r="W382" i="6"/>
  <c r="W332" i="6"/>
  <c r="W340" i="6"/>
  <c r="W348" i="6"/>
  <c r="W356" i="6"/>
  <c r="W364" i="6"/>
  <c r="W372" i="6"/>
  <c r="W381" i="6"/>
  <c r="W389" i="6"/>
  <c r="AG498" i="6"/>
  <c r="M502" i="6"/>
  <c r="L502" i="6"/>
  <c r="AE492" i="6"/>
  <c r="AE495" i="6" s="1"/>
  <c r="W414" i="6"/>
  <c r="W422" i="6"/>
  <c r="W431" i="6"/>
  <c r="W439" i="6"/>
  <c r="W447" i="6"/>
  <c r="W455" i="6"/>
  <c r="W463" i="6"/>
  <c r="W471" i="6"/>
  <c r="W480" i="6"/>
  <c r="AF492" i="6"/>
  <c r="AF494" i="6" s="1"/>
  <c r="AE496" i="6"/>
  <c r="AG497" i="6"/>
  <c r="AH494" i="6"/>
  <c r="AG492" i="6"/>
  <c r="AG494" i="6" s="1"/>
  <c r="P518" i="6"/>
  <c r="P516" i="6"/>
  <c r="P514" i="6"/>
  <c r="AI494" i="6"/>
  <c r="AG496" i="6"/>
  <c r="W410" i="6"/>
  <c r="W418" i="6"/>
  <c r="W427" i="6"/>
  <c r="W435" i="6"/>
  <c r="W443" i="6"/>
  <c r="W451" i="6"/>
  <c r="W459" i="6"/>
  <c r="W467" i="6"/>
  <c r="W475" i="6"/>
  <c r="W484" i="6"/>
  <c r="AE498" i="6"/>
  <c r="W409" i="6"/>
  <c r="W417" i="6"/>
  <c r="W426" i="6"/>
  <c r="W434" i="6"/>
  <c r="W442" i="6"/>
  <c r="W450" i="6"/>
  <c r="W458" i="6"/>
  <c r="W466" i="6"/>
  <c r="W474" i="6"/>
  <c r="W483" i="6"/>
  <c r="AI496" i="6"/>
  <c r="AH492" i="6"/>
  <c r="AH496" i="6" s="1"/>
  <c r="O519" i="6"/>
  <c r="AI492" i="6"/>
  <c r="AI497" i="6" s="1"/>
  <c r="L505" i="6"/>
  <c r="J492" i="6"/>
  <c r="L506" i="6"/>
  <c r="O514" i="6"/>
  <c r="O516" i="6"/>
  <c r="O518" i="6"/>
  <c r="J520" i="3"/>
  <c r="O516" i="3" s="1"/>
  <c r="I520" i="3"/>
  <c r="N517" i="3" s="1"/>
  <c r="K519" i="3"/>
  <c r="K518" i="3"/>
  <c r="K517" i="3"/>
  <c r="K516" i="3"/>
  <c r="K515" i="3"/>
  <c r="K514" i="3"/>
  <c r="AF495" i="6" l="1"/>
  <c r="AI498" i="6"/>
  <c r="AH495" i="6"/>
  <c r="AF497" i="6"/>
  <c r="AE494" i="6"/>
  <c r="AH497" i="6"/>
  <c r="AI495" i="6"/>
  <c r="AF498" i="6"/>
  <c r="AF496" i="6"/>
  <c r="AH498" i="6"/>
  <c r="AG495" i="6"/>
  <c r="AE497" i="6"/>
  <c r="N516" i="3"/>
  <c r="N519" i="3"/>
  <c r="O518" i="3"/>
  <c r="O517" i="3"/>
  <c r="N518" i="3"/>
  <c r="O515" i="3"/>
  <c r="K520" i="3"/>
  <c r="N515" i="3"/>
  <c r="O520" i="3"/>
  <c r="O514" i="3"/>
  <c r="N514" i="3"/>
  <c r="N520" i="3"/>
  <c r="O519" i="3"/>
  <c r="K510" i="3"/>
  <c r="K509" i="3"/>
  <c r="K508" i="3"/>
  <c r="K507" i="3"/>
  <c r="K506" i="3"/>
  <c r="M506" i="3" s="1"/>
  <c r="K505" i="3"/>
  <c r="M505" i="3" s="1"/>
  <c r="K504" i="3"/>
  <c r="M504" i="3" s="1"/>
  <c r="K503" i="3"/>
  <c r="L503" i="3" s="1"/>
  <c r="K502" i="3"/>
  <c r="M502" i="3" s="1"/>
  <c r="K501" i="3"/>
  <c r="M501" i="3" s="1"/>
  <c r="K500" i="3"/>
  <c r="L500" i="3" s="1"/>
  <c r="K499" i="3"/>
  <c r="L499" i="3" s="1"/>
  <c r="K498" i="3"/>
  <c r="L498" i="3" s="1"/>
  <c r="M503" i="3" l="1"/>
  <c r="P515" i="3"/>
  <c r="P517" i="3"/>
  <c r="P520" i="3"/>
  <c r="P518" i="3"/>
  <c r="P516" i="3"/>
  <c r="P514" i="3"/>
  <c r="P519" i="3"/>
  <c r="L506" i="3"/>
  <c r="L505" i="3"/>
  <c r="L504" i="3"/>
  <c r="M498" i="3"/>
  <c r="M500" i="3"/>
  <c r="L501" i="3"/>
  <c r="M499" i="3"/>
  <c r="L502" i="3"/>
  <c r="I492" i="3"/>
  <c r="J492" i="3" l="1"/>
  <c r="J491" i="3"/>
  <c r="J490" i="3"/>
  <c r="G349" i="3" l="1"/>
  <c r="AB175" i="3"/>
  <c r="AB158" i="3"/>
  <c r="G85" i="3"/>
  <c r="AB263" i="3" l="1"/>
  <c r="AB236" i="3"/>
  <c r="AB268" i="3"/>
  <c r="AB459" i="3"/>
  <c r="Q57" i="3"/>
  <c r="Q44" i="3"/>
  <c r="V31" i="3"/>
  <c r="AB437" i="3"/>
  <c r="AB411" i="3" l="1"/>
  <c r="AD199" i="3"/>
  <c r="V465" i="3"/>
  <c r="AB53" i="3"/>
  <c r="AB210" i="3" l="1"/>
  <c r="AD210" i="3"/>
  <c r="AB353" i="3"/>
  <c r="AD353" i="3"/>
  <c r="AB207" i="3"/>
  <c r="AD207" i="3"/>
  <c r="AB342" i="3"/>
  <c r="AD342" i="3"/>
  <c r="AB224" i="3"/>
  <c r="AD224" i="3"/>
  <c r="AB225" i="3"/>
  <c r="AD225" i="3"/>
  <c r="AB274" i="3"/>
  <c r="AD274" i="3"/>
  <c r="AB217" i="3"/>
  <c r="AD217" i="3"/>
  <c r="AB359" i="3"/>
  <c r="AD359" i="3"/>
  <c r="AB358" i="3"/>
  <c r="AD358" i="3"/>
  <c r="AB11" i="3"/>
  <c r="AD11" i="3"/>
  <c r="AB427" i="3"/>
  <c r="AD427" i="3"/>
  <c r="AB37" i="3"/>
  <c r="AD37" i="3"/>
  <c r="AB380" i="3"/>
  <c r="AD380" i="3"/>
  <c r="AB337" i="3"/>
  <c r="AD337" i="3"/>
  <c r="AB285" i="3"/>
  <c r="AD285" i="3"/>
  <c r="AB304" i="3"/>
  <c r="AD304" i="3"/>
  <c r="AB283" i="3"/>
  <c r="AD283" i="3"/>
  <c r="AB280" i="3"/>
  <c r="AD280" i="3"/>
  <c r="AB310" i="3"/>
  <c r="AD310" i="3"/>
  <c r="AB377" i="3"/>
  <c r="AD377" i="3"/>
  <c r="AB335" i="3"/>
  <c r="AD335" i="3"/>
  <c r="AB73" i="3"/>
  <c r="AD73" i="3"/>
  <c r="AB13" i="3"/>
  <c r="AD13" i="3"/>
  <c r="AB10" i="3"/>
  <c r="AD10" i="3"/>
  <c r="AB434" i="3"/>
  <c r="AD434" i="3"/>
  <c r="AB270" i="3"/>
  <c r="AD270" i="3"/>
  <c r="AB430" i="3"/>
  <c r="AD430" i="3"/>
  <c r="AB41" i="3"/>
  <c r="AD41" i="3"/>
  <c r="AB38" i="3"/>
  <c r="AD38" i="3"/>
  <c r="AB171" i="3"/>
  <c r="AD171" i="3"/>
  <c r="AB465" i="3"/>
  <c r="AD465" i="3"/>
  <c r="AB256" i="3"/>
  <c r="AD256" i="3"/>
  <c r="AB259" i="3"/>
  <c r="AD259" i="3"/>
  <c r="AB323" i="3"/>
  <c r="AD323" i="3"/>
  <c r="AB32" i="3"/>
  <c r="AD32" i="3"/>
  <c r="AB35" i="3"/>
  <c r="AD35" i="3"/>
  <c r="AB382" i="3"/>
  <c r="AD382" i="3"/>
  <c r="AB59" i="3"/>
  <c r="AD59" i="3"/>
  <c r="AB306" i="3"/>
  <c r="AD306" i="3"/>
  <c r="AB320" i="3"/>
  <c r="AD320" i="3"/>
  <c r="AB313" i="3"/>
  <c r="AD313" i="3"/>
  <c r="AB350" i="3"/>
  <c r="AD350" i="3"/>
  <c r="AB300" i="3"/>
  <c r="AD300" i="3"/>
  <c r="AB354" i="3"/>
  <c r="AD354" i="3"/>
  <c r="AB80" i="3"/>
  <c r="AD80" i="3"/>
  <c r="AB62" i="3"/>
  <c r="AD62" i="3"/>
  <c r="AB463" i="3"/>
  <c r="AD463" i="3"/>
  <c r="AB199" i="3"/>
  <c r="AB33" i="3"/>
  <c r="AD33" i="3"/>
  <c r="AB440" i="3"/>
  <c r="AD440" i="3"/>
  <c r="AB328" i="3"/>
  <c r="AD328" i="3"/>
  <c r="AB125" i="3"/>
  <c r="AD125" i="3"/>
  <c r="AD411" i="3"/>
  <c r="AB271" i="3"/>
  <c r="AD271" i="3"/>
  <c r="AB104" i="3"/>
  <c r="AD104" i="3"/>
  <c r="AB333" i="3"/>
  <c r="AD333" i="3"/>
  <c r="AB368" i="3"/>
  <c r="AD368" i="3"/>
  <c r="AB405" i="3"/>
  <c r="AD405" i="3"/>
  <c r="AB78" i="3"/>
  <c r="AD78" i="3"/>
  <c r="AB196" i="3"/>
  <c r="AD196" i="3"/>
  <c r="AB257" i="3"/>
  <c r="AD257" i="3"/>
  <c r="AB305" i="3"/>
  <c r="AD305" i="3"/>
  <c r="AB45" i="3"/>
  <c r="AD45" i="3"/>
  <c r="AB376" i="3"/>
  <c r="AD376" i="3"/>
  <c r="AB9" i="3"/>
  <c r="AD9" i="3"/>
  <c r="AB383" i="3"/>
  <c r="AD383" i="3"/>
  <c r="AB60" i="3"/>
  <c r="AD60" i="3"/>
  <c r="AB307" i="3"/>
  <c r="AD307" i="3"/>
  <c r="AB321" i="3"/>
  <c r="AD321" i="3"/>
  <c r="AB314" i="3"/>
  <c r="AD314" i="3"/>
  <c r="AB351" i="3"/>
  <c r="AD351" i="3"/>
  <c r="AB301" i="3"/>
  <c r="AD301" i="3"/>
  <c r="AB355" i="3"/>
  <c r="AD355" i="3"/>
  <c r="AB81" i="3"/>
  <c r="AD81" i="3"/>
  <c r="AB292" i="3"/>
  <c r="AD292" i="3"/>
  <c r="AB464" i="3"/>
  <c r="AD464" i="3"/>
  <c r="AB200" i="3"/>
  <c r="AD200" i="3"/>
  <c r="AB34" i="3"/>
  <c r="AD34" i="3"/>
  <c r="AB441" i="3"/>
  <c r="AD441" i="3"/>
  <c r="AB329" i="3"/>
  <c r="AD329" i="3"/>
  <c r="AB166" i="3"/>
  <c r="AD166" i="3"/>
  <c r="AB410" i="3"/>
  <c r="AD410" i="3"/>
  <c r="AB272" i="3"/>
  <c r="AD272" i="3"/>
  <c r="AB105" i="3"/>
  <c r="AD105" i="3"/>
  <c r="AB334" i="3"/>
  <c r="AD334" i="3"/>
  <c r="AB366" i="3"/>
  <c r="AD366" i="3"/>
  <c r="AB406" i="3"/>
  <c r="AD406" i="3"/>
  <c r="AB79" i="3"/>
  <c r="AD79" i="3"/>
  <c r="AB197" i="3"/>
  <c r="AD197" i="3"/>
  <c r="AB237" i="3"/>
  <c r="AD237" i="3"/>
  <c r="AB201" i="3"/>
  <c r="AD201" i="3"/>
  <c r="AB138" i="3"/>
  <c r="AD138" i="3"/>
  <c r="AB100" i="3"/>
  <c r="AD100" i="3"/>
  <c r="AB184" i="3"/>
  <c r="AD184" i="3"/>
  <c r="AB110" i="3"/>
  <c r="AD110" i="3"/>
  <c r="AB86" i="3"/>
  <c r="AD86" i="3"/>
  <c r="AB164" i="3"/>
  <c r="AD164" i="3"/>
  <c r="AB418" i="3"/>
  <c r="AD418" i="3"/>
  <c r="AB87" i="3"/>
  <c r="AD87" i="3"/>
  <c r="AB101" i="3"/>
  <c r="AD101" i="3"/>
  <c r="AB252" i="3"/>
  <c r="AD252" i="3"/>
  <c r="AB123" i="3"/>
  <c r="AD123" i="3"/>
  <c r="AB88" i="3"/>
  <c r="AD88" i="3"/>
  <c r="AB343" i="3"/>
  <c r="AD343" i="3"/>
  <c r="AB341" i="3"/>
  <c r="AD341" i="3"/>
  <c r="AB348" i="3"/>
  <c r="AD348" i="3"/>
  <c r="AB303" i="3"/>
  <c r="AD303" i="3"/>
  <c r="AB338" i="3"/>
  <c r="AD338" i="3"/>
  <c r="AB317" i="3"/>
  <c r="AD317" i="3"/>
  <c r="AB231" i="3"/>
  <c r="AD231" i="3"/>
  <c r="AB221" i="3"/>
  <c r="AD221" i="3"/>
  <c r="AB146" i="3"/>
  <c r="AD146" i="3"/>
  <c r="AB408" i="3"/>
  <c r="AD408" i="3"/>
  <c r="AB455" i="3"/>
  <c r="AD455" i="3"/>
  <c r="AB119" i="3"/>
  <c r="AD119" i="3"/>
  <c r="AB260" i="3"/>
  <c r="AD260" i="3"/>
  <c r="AB484" i="3"/>
  <c r="AD484" i="3"/>
  <c r="AB254" i="3"/>
  <c r="AD254" i="3"/>
  <c r="AB154" i="3"/>
  <c r="AD154" i="3"/>
  <c r="AB149" i="3"/>
  <c r="AD149" i="3"/>
  <c r="AB153" i="3"/>
  <c r="AD153" i="3"/>
  <c r="AB414" i="3"/>
  <c r="AD414" i="3"/>
  <c r="AB394" i="3"/>
  <c r="AD394" i="3"/>
  <c r="AB40" i="3"/>
  <c r="AD40" i="3"/>
  <c r="AB234" i="3"/>
  <c r="AD234" i="3"/>
  <c r="AB214" i="3"/>
  <c r="AD214" i="3"/>
  <c r="AB235" i="3"/>
  <c r="AD235" i="3"/>
  <c r="AB296" i="3"/>
  <c r="AD296" i="3"/>
  <c r="AB374" i="3"/>
  <c r="AD374" i="3"/>
  <c r="AB294" i="3"/>
  <c r="AD294" i="3"/>
  <c r="AB308" i="3"/>
  <c r="AD308" i="3"/>
  <c r="AB288" i="3"/>
  <c r="AD288" i="3"/>
  <c r="AB363" i="3"/>
  <c r="AD363" i="3"/>
  <c r="AB361" i="3"/>
  <c r="AD361" i="3"/>
  <c r="AB367" i="3"/>
  <c r="AD367" i="3"/>
  <c r="AB269" i="3"/>
  <c r="AD269" i="3"/>
  <c r="AB290" i="3"/>
  <c r="AD290" i="3"/>
  <c r="AB25" i="3"/>
  <c r="AD25" i="3"/>
  <c r="AB21" i="3"/>
  <c r="AD21" i="3"/>
  <c r="AD437" i="3"/>
  <c r="AB445" i="3"/>
  <c r="AD445" i="3"/>
  <c r="AB428" i="3"/>
  <c r="AD428" i="3"/>
  <c r="AB424" i="3"/>
  <c r="AD424" i="3"/>
  <c r="AB275" i="3"/>
  <c r="AD275" i="3"/>
  <c r="AB385" i="3"/>
  <c r="AD385" i="3"/>
  <c r="AB36" i="3"/>
  <c r="AD36" i="3"/>
  <c r="AB273" i="3"/>
  <c r="AD273" i="3"/>
  <c r="AB277" i="3"/>
  <c r="AD277" i="3"/>
  <c r="AB291" i="3"/>
  <c r="AD291" i="3"/>
  <c r="AB26" i="3"/>
  <c r="AD26" i="3"/>
  <c r="AB388" i="3"/>
  <c r="AD388" i="3"/>
  <c r="AB51" i="3"/>
  <c r="AD51" i="3"/>
  <c r="AB67" i="3"/>
  <c r="AD67" i="3"/>
  <c r="AB373" i="3"/>
  <c r="AD373" i="3"/>
  <c r="AB372" i="3"/>
  <c r="AD372" i="3"/>
  <c r="AB216" i="3"/>
  <c r="AD216" i="3"/>
  <c r="AB159" i="3"/>
  <c r="AD159" i="3"/>
  <c r="AB261" i="3"/>
  <c r="AD261" i="3"/>
  <c r="AB239" i="3"/>
  <c r="AD239" i="3"/>
  <c r="AB297" i="3"/>
  <c r="AD297" i="3"/>
  <c r="AB173" i="3"/>
  <c r="AD173" i="3"/>
  <c r="AB160" i="3"/>
  <c r="AD160" i="3"/>
  <c r="AB52" i="3"/>
  <c r="AD52" i="3"/>
  <c r="AB48" i="3"/>
  <c r="AD48" i="3"/>
  <c r="AB391" i="3"/>
  <c r="AD391" i="3"/>
  <c r="AB218" i="3"/>
  <c r="AD218" i="3"/>
  <c r="AB330" i="3"/>
  <c r="AD330" i="3"/>
  <c r="AB309" i="3"/>
  <c r="AD309" i="3"/>
  <c r="AB31" i="3"/>
  <c r="AD31" i="3"/>
  <c r="AB49" i="3"/>
  <c r="AD49" i="3"/>
  <c r="AB315" i="3"/>
  <c r="AD315" i="3"/>
  <c r="AB326" i="3"/>
  <c r="AD326" i="3"/>
  <c r="AB467" i="3"/>
  <c r="AD467" i="3"/>
  <c r="AB70" i="3"/>
  <c r="AD70" i="3"/>
  <c r="AB293" i="3"/>
  <c r="AD293" i="3"/>
  <c r="AB43" i="3"/>
  <c r="AD43" i="3"/>
  <c r="AB18" i="3"/>
  <c r="AD18" i="3"/>
  <c r="AB425" i="3"/>
  <c r="AD425" i="3"/>
  <c r="AB311" i="3"/>
  <c r="AD311" i="3"/>
  <c r="AB63" i="3"/>
  <c r="AD63" i="3"/>
  <c r="AB331" i="3"/>
  <c r="AD331" i="3"/>
  <c r="AB404" i="3"/>
  <c r="AD404" i="3"/>
  <c r="AB389" i="3"/>
  <c r="AD389" i="3"/>
  <c r="AB318" i="3"/>
  <c r="AD318" i="3"/>
  <c r="AB20" i="3"/>
  <c r="AD20" i="3"/>
  <c r="AB466" i="3"/>
  <c r="AD466" i="3"/>
  <c r="AB189" i="3"/>
  <c r="AD189" i="3"/>
  <c r="AB44" i="3"/>
  <c r="AD44" i="3"/>
  <c r="AB190" i="3"/>
  <c r="AD190" i="3"/>
  <c r="AB387" i="3"/>
  <c r="AD387" i="3"/>
  <c r="AB57" i="3"/>
  <c r="AD57" i="3"/>
  <c r="AB24" i="3"/>
  <c r="AD24" i="3"/>
  <c r="AB403" i="3"/>
  <c r="AD403" i="3"/>
  <c r="AB58" i="3"/>
  <c r="AD58" i="3"/>
  <c r="AB426" i="3"/>
  <c r="AD426" i="3"/>
  <c r="AB66" i="3"/>
  <c r="AD66" i="3"/>
  <c r="AB114" i="3"/>
  <c r="AD114" i="3"/>
  <c r="AB401" i="3"/>
  <c r="AD401" i="3"/>
  <c r="AB42" i="3"/>
  <c r="AD42" i="3"/>
  <c r="AB129" i="3"/>
  <c r="AD129" i="3"/>
  <c r="AB111" i="3"/>
  <c r="AD111" i="3"/>
  <c r="AB457" i="3"/>
  <c r="AD457" i="3"/>
  <c r="AB115" i="3"/>
  <c r="AD115" i="3"/>
  <c r="AB144" i="3"/>
  <c r="AD144" i="3"/>
  <c r="AB471" i="3"/>
  <c r="AD471" i="3"/>
  <c r="AB65" i="3"/>
  <c r="AD65" i="3"/>
  <c r="AB61" i="3"/>
  <c r="AD61" i="3"/>
  <c r="AB431" i="3"/>
  <c r="AD431" i="3"/>
  <c r="AB365" i="3"/>
  <c r="AD365" i="3"/>
  <c r="AB364" i="3"/>
  <c r="AD364" i="3"/>
  <c r="AB327" i="3"/>
  <c r="AD327" i="3"/>
  <c r="AB312" i="3"/>
  <c r="AD312" i="3"/>
  <c r="AB19" i="3"/>
  <c r="AD19" i="3"/>
  <c r="AB14" i="3"/>
  <c r="AD14" i="3"/>
  <c r="AB12" i="3"/>
  <c r="AD12" i="3"/>
  <c r="AB432" i="3"/>
  <c r="AD432" i="3"/>
  <c r="AB15" i="3"/>
  <c r="AD15" i="3"/>
  <c r="AB23" i="3"/>
  <c r="AD23" i="3"/>
  <c r="AB446" i="3"/>
  <c r="AD446" i="3"/>
  <c r="AB172" i="3"/>
  <c r="AD172" i="3"/>
  <c r="AB191" i="3"/>
  <c r="AD191" i="3"/>
  <c r="AD459" i="3"/>
  <c r="AB181" i="3"/>
  <c r="AD181" i="3"/>
  <c r="AB444" i="3"/>
  <c r="AD444" i="3"/>
  <c r="AB450" i="3"/>
  <c r="AD450" i="3"/>
  <c r="AB179" i="3"/>
  <c r="AD179" i="3"/>
  <c r="AB168" i="3"/>
  <c r="AD168" i="3"/>
  <c r="AB460" i="3"/>
  <c r="AD460" i="3"/>
  <c r="AB134" i="3"/>
  <c r="AD134" i="3"/>
  <c r="AB203" i="3"/>
  <c r="AD203" i="3"/>
  <c r="AB97" i="3"/>
  <c r="AD97" i="3"/>
  <c r="AB453" i="3"/>
  <c r="AD453" i="3"/>
  <c r="AB135" i="3"/>
  <c r="AD135" i="3"/>
  <c r="AB112" i="3"/>
  <c r="AD112" i="3"/>
  <c r="AB186" i="3"/>
  <c r="AD186" i="3"/>
  <c r="AB152" i="3"/>
  <c r="AD152" i="3"/>
  <c r="AB255" i="3"/>
  <c r="AD255" i="3"/>
  <c r="AB480" i="3"/>
  <c r="AD480" i="3"/>
  <c r="AB299" i="3"/>
  <c r="AD299" i="3"/>
  <c r="AB46" i="3"/>
  <c r="AD46" i="3"/>
  <c r="AB192" i="3"/>
  <c r="AD192" i="3"/>
  <c r="AB479" i="3"/>
  <c r="AD479" i="3"/>
  <c r="AB98" i="3"/>
  <c r="AD98" i="3"/>
  <c r="AB456" i="3"/>
  <c r="AD456" i="3"/>
  <c r="AB89" i="3"/>
  <c r="AD89" i="3"/>
  <c r="AB155" i="3"/>
  <c r="AD155" i="3"/>
  <c r="AB393" i="3"/>
  <c r="AD393" i="3"/>
  <c r="AB107" i="3"/>
  <c r="AD107" i="3"/>
  <c r="AB247" i="3"/>
  <c r="AD247" i="3"/>
  <c r="AB106" i="3"/>
  <c r="AD106" i="3"/>
  <c r="AB253" i="3"/>
  <c r="AD253" i="3"/>
  <c r="AB90" i="3"/>
  <c r="AD90" i="3"/>
  <c r="AB99" i="3"/>
  <c r="AD99" i="3"/>
  <c r="AB249" i="3"/>
  <c r="AD249" i="3"/>
  <c r="AB248" i="3"/>
  <c r="AD248" i="3"/>
  <c r="AB76" i="3"/>
  <c r="AD76" i="3"/>
  <c r="AB74" i="3"/>
  <c r="AD74" i="3"/>
  <c r="AB242" i="3"/>
  <c r="AD242" i="3"/>
  <c r="AB92" i="3"/>
  <c r="AD92" i="3"/>
  <c r="AB165" i="3"/>
  <c r="AD165" i="3"/>
  <c r="AB169" i="3"/>
  <c r="AD169" i="3"/>
  <c r="AB485" i="3"/>
  <c r="AD485" i="3"/>
  <c r="AB22" i="3"/>
  <c r="AD22" i="3"/>
  <c r="AB28" i="3"/>
  <c r="AD28" i="3"/>
  <c r="AB238" i="3"/>
  <c r="AD238" i="3"/>
  <c r="AB469" i="3"/>
  <c r="AD469" i="3"/>
  <c r="AB362" i="3"/>
  <c r="AD362" i="3"/>
  <c r="AB266" i="3"/>
  <c r="AD266" i="3"/>
  <c r="AB357" i="3"/>
  <c r="AD357" i="3"/>
  <c r="AB267" i="3"/>
  <c r="AD267" i="3"/>
  <c r="AB27" i="3"/>
  <c r="AD27" i="3"/>
  <c r="AB170" i="3"/>
  <c r="AD170" i="3"/>
  <c r="AB39" i="3"/>
  <c r="AD39" i="3"/>
  <c r="AB379" i="3"/>
  <c r="AD379" i="3"/>
  <c r="AB29" i="3"/>
  <c r="AD29" i="3"/>
  <c r="AB429" i="3"/>
  <c r="AD429" i="3"/>
  <c r="AD268" i="3"/>
  <c r="AD236" i="3"/>
  <c r="AB209" i="3"/>
  <c r="AD209" i="3"/>
  <c r="AD263" i="3"/>
  <c r="AB435" i="3"/>
  <c r="AD435" i="3"/>
  <c r="AB30" i="3"/>
  <c r="AD30" i="3"/>
  <c r="AB399" i="3"/>
  <c r="AD399" i="3"/>
  <c r="AB85" i="3"/>
  <c r="AD85" i="3"/>
  <c r="AB392" i="3"/>
  <c r="AD392" i="3"/>
  <c r="AB422" i="3"/>
  <c r="AD422" i="3"/>
  <c r="AB390" i="3"/>
  <c r="AD390" i="3"/>
  <c r="AB121" i="3"/>
  <c r="AD121" i="3"/>
  <c r="AB433" i="3"/>
  <c r="AD433" i="3"/>
  <c r="AB407" i="3"/>
  <c r="AD407" i="3"/>
  <c r="AB378" i="3"/>
  <c r="AD378" i="3"/>
  <c r="AB398" i="3"/>
  <c r="AD398" i="3"/>
  <c r="AB141" i="3"/>
  <c r="AD141" i="3"/>
  <c r="AB324" i="3"/>
  <c r="AD324" i="3"/>
  <c r="AB131" i="3"/>
  <c r="AD131" i="3"/>
  <c r="AB468" i="3"/>
  <c r="AD468" i="3"/>
  <c r="AB258" i="3"/>
  <c r="AD258" i="3"/>
  <c r="AB397" i="3"/>
  <c r="AD397" i="3"/>
  <c r="AB103" i="3"/>
  <c r="AD103" i="3"/>
  <c r="AB126" i="3"/>
  <c r="AD126" i="3"/>
  <c r="AB371" i="3"/>
  <c r="AD371" i="3"/>
  <c r="AB128" i="3"/>
  <c r="AD128" i="3"/>
  <c r="AB339" i="3"/>
  <c r="AD339" i="3"/>
  <c r="AB344" i="3"/>
  <c r="AD344" i="3"/>
  <c r="AB198" i="3"/>
  <c r="AD198" i="3"/>
  <c r="AB360" i="3"/>
  <c r="AD360" i="3"/>
  <c r="AB145" i="3"/>
  <c r="AD145" i="3"/>
  <c r="AB56" i="3"/>
  <c r="AD56" i="3"/>
  <c r="AB91" i="3"/>
  <c r="AD91" i="3"/>
  <c r="AB451" i="3"/>
  <c r="AD451" i="3"/>
  <c r="AB475" i="3"/>
  <c r="AD475" i="3"/>
  <c r="AB116" i="3"/>
  <c r="AD116" i="3"/>
  <c r="AB415" i="3"/>
  <c r="AD415" i="3"/>
  <c r="AB150" i="3"/>
  <c r="AD150" i="3"/>
  <c r="AB246" i="3"/>
  <c r="AD246" i="3"/>
  <c r="AB481" i="3"/>
  <c r="AD481" i="3"/>
  <c r="AB442" i="3"/>
  <c r="AD442" i="3"/>
  <c r="AB222" i="3"/>
  <c r="AD222" i="3"/>
  <c r="AB83" i="3"/>
  <c r="AD83" i="3"/>
  <c r="AB447" i="3"/>
  <c r="AD447" i="3"/>
  <c r="AB72" i="3"/>
  <c r="AD72" i="3"/>
  <c r="AB476" i="3"/>
  <c r="AD476" i="3"/>
  <c r="AB302" i="3"/>
  <c r="AD302" i="3"/>
  <c r="AB93" i="3"/>
  <c r="AD93" i="3"/>
  <c r="AB180" i="3"/>
  <c r="AD180" i="3"/>
  <c r="AB245" i="3"/>
  <c r="AD245" i="3"/>
  <c r="AB136" i="3"/>
  <c r="AD136" i="3"/>
  <c r="AB381" i="3"/>
  <c r="AD381" i="3"/>
  <c r="AB148" i="3"/>
  <c r="AD148" i="3"/>
  <c r="AB151" i="3"/>
  <c r="AD151" i="3"/>
  <c r="AB395" i="3"/>
  <c r="AD395" i="3"/>
  <c r="AB94" i="3"/>
  <c r="AD94" i="3"/>
  <c r="AB250" i="3"/>
  <c r="AD250" i="3"/>
  <c r="AB229" i="3"/>
  <c r="AD229" i="3"/>
  <c r="AB219" i="3"/>
  <c r="AD219" i="3"/>
  <c r="AB226" i="3"/>
  <c r="AD226" i="3"/>
  <c r="AB227" i="3"/>
  <c r="AD227" i="3"/>
  <c r="AB220" i="3"/>
  <c r="AD220" i="3"/>
  <c r="AB316" i="3"/>
  <c r="AD316" i="3"/>
  <c r="AB332" i="3"/>
  <c r="AD332" i="3"/>
  <c r="AB384" i="3"/>
  <c r="AD384" i="3"/>
  <c r="AB402" i="3"/>
  <c r="AD402" i="3"/>
  <c r="AB71" i="3"/>
  <c r="AD71" i="3"/>
  <c r="AB133" i="3"/>
  <c r="AD133" i="3"/>
  <c r="AB458" i="3"/>
  <c r="AD458" i="3"/>
  <c r="AB69" i="3"/>
  <c r="AD69" i="3"/>
  <c r="AB472" i="3"/>
  <c r="AD472" i="3"/>
  <c r="AB127" i="3"/>
  <c r="AD127" i="3"/>
  <c r="AB139" i="3"/>
  <c r="AD139" i="3"/>
  <c r="AB409" i="3"/>
  <c r="AD409" i="3"/>
  <c r="AB132" i="3"/>
  <c r="AD132" i="3"/>
  <c r="AB340" i="3"/>
  <c r="AD340" i="3"/>
  <c r="AB400" i="3"/>
  <c r="AD400" i="3"/>
  <c r="AB230" i="3"/>
  <c r="AD230" i="3"/>
  <c r="AB228" i="3"/>
  <c r="AD228" i="3"/>
  <c r="AB64" i="3"/>
  <c r="AD64" i="3"/>
  <c r="AB232" i="3"/>
  <c r="AD232" i="3"/>
  <c r="AB369" i="3"/>
  <c r="AD369" i="3"/>
  <c r="AB223" i="3"/>
  <c r="AD223" i="3"/>
  <c r="AB82" i="3"/>
  <c r="AD82" i="3"/>
  <c r="AB416" i="3"/>
  <c r="AD416" i="3"/>
  <c r="AB77" i="3"/>
  <c r="AD77" i="3"/>
  <c r="AB347" i="3"/>
  <c r="AD347" i="3"/>
  <c r="AB349" i="3"/>
  <c r="AD349" i="3"/>
  <c r="AB370" i="3"/>
  <c r="AD370" i="3"/>
  <c r="AB346" i="3"/>
  <c r="AD346" i="3"/>
  <c r="AB174" i="3"/>
  <c r="AD174" i="3"/>
  <c r="AB182" i="3"/>
  <c r="AD182" i="3"/>
  <c r="AB449" i="3"/>
  <c r="AD449" i="3"/>
  <c r="AB183" i="3"/>
  <c r="AD183" i="3"/>
  <c r="AB156" i="3"/>
  <c r="AD156" i="3"/>
  <c r="AB483" i="3"/>
  <c r="AD483" i="3"/>
  <c r="AB47" i="3"/>
  <c r="AD47" i="3"/>
  <c r="AB113" i="3"/>
  <c r="AD113" i="3"/>
  <c r="AD158" i="3"/>
  <c r="AB193" i="3"/>
  <c r="AD193" i="3"/>
  <c r="AB102" i="3"/>
  <c r="AD102" i="3"/>
  <c r="AB452" i="3"/>
  <c r="AD452" i="3"/>
  <c r="AB188" i="3"/>
  <c r="AD188" i="3"/>
  <c r="AB117" i="3"/>
  <c r="AD117" i="3"/>
  <c r="AB54" i="3"/>
  <c r="AD54" i="3"/>
  <c r="AB130" i="3"/>
  <c r="AD130" i="3"/>
  <c r="AB478" i="3"/>
  <c r="AD478" i="3"/>
  <c r="AB482" i="3"/>
  <c r="AD482" i="3"/>
  <c r="AB421" i="3"/>
  <c r="AD421" i="3"/>
  <c r="AB474" i="3"/>
  <c r="AD474" i="3"/>
  <c r="AB448" i="3"/>
  <c r="AD448" i="3"/>
  <c r="AB461" i="3"/>
  <c r="AD461" i="3"/>
  <c r="AB386" i="3"/>
  <c r="AD386" i="3"/>
  <c r="AB75" i="3"/>
  <c r="AD75" i="3"/>
  <c r="AB473" i="3"/>
  <c r="AD473" i="3"/>
  <c r="AB420" i="3"/>
  <c r="AD420" i="3"/>
  <c r="AB108" i="3"/>
  <c r="AD108" i="3"/>
  <c r="AB143" i="3"/>
  <c r="AD143" i="3"/>
  <c r="AB95" i="3"/>
  <c r="AD95" i="3"/>
  <c r="AB120" i="3"/>
  <c r="AD120" i="3"/>
  <c r="AB137" i="3"/>
  <c r="AD137" i="3"/>
  <c r="AB109" i="3"/>
  <c r="AD109" i="3"/>
  <c r="AB84" i="3"/>
  <c r="AD84" i="3"/>
  <c r="AB140" i="3"/>
  <c r="AD140" i="3"/>
  <c r="AB157" i="3"/>
  <c r="AD157" i="3"/>
  <c r="AB162" i="3"/>
  <c r="AD162" i="3"/>
  <c r="AB276" i="3"/>
  <c r="AD276" i="3"/>
  <c r="AB322" i="3"/>
  <c r="AD322" i="3"/>
  <c r="AB295" i="3"/>
  <c r="AD295" i="3"/>
  <c r="AB279" i="3"/>
  <c r="AD279" i="3"/>
  <c r="AB286" i="3"/>
  <c r="AD286" i="3"/>
  <c r="AB213" i="3"/>
  <c r="AD213" i="3"/>
  <c r="AB233" i="3"/>
  <c r="AD233" i="3"/>
  <c r="AB278" i="3"/>
  <c r="AD278" i="3"/>
  <c r="AB215" i="3"/>
  <c r="AD215" i="3"/>
  <c r="AB264" i="3"/>
  <c r="AD264" i="3"/>
  <c r="AB287" i="3"/>
  <c r="AD287" i="3"/>
  <c r="AB177" i="3"/>
  <c r="AD177" i="3"/>
  <c r="AB289" i="3"/>
  <c r="AD289" i="3"/>
  <c r="AD175" i="3"/>
  <c r="AB439" i="3"/>
  <c r="AD439" i="3"/>
  <c r="AB16" i="3"/>
  <c r="AD16" i="3"/>
  <c r="AB284" i="3"/>
  <c r="AD284" i="3"/>
  <c r="AB55" i="3"/>
  <c r="AD55" i="3"/>
  <c r="AB50" i="3"/>
  <c r="AD50" i="3"/>
  <c r="AB243" i="3"/>
  <c r="AD243" i="3"/>
  <c r="AB251" i="3"/>
  <c r="AD251" i="3"/>
  <c r="AB241" i="3"/>
  <c r="AD241" i="3"/>
  <c r="AB176" i="3"/>
  <c r="AD176" i="3"/>
  <c r="AB282" i="3"/>
  <c r="AD282" i="3"/>
  <c r="AB336" i="3"/>
  <c r="AD336" i="3"/>
  <c r="AB412" i="3"/>
  <c r="AD412" i="3"/>
  <c r="AB298" i="3"/>
  <c r="AD298" i="3"/>
  <c r="AB413" i="3"/>
  <c r="AD413" i="3"/>
  <c r="AB438" i="3"/>
  <c r="AD438" i="3"/>
  <c r="AB436" i="3"/>
  <c r="AD436" i="3"/>
  <c r="AB68" i="3"/>
  <c r="AD68" i="3"/>
  <c r="AB17" i="3"/>
  <c r="AD17" i="3"/>
  <c r="AB454" i="3"/>
  <c r="AD454" i="3"/>
  <c r="AB345" i="3"/>
  <c r="AD345" i="3"/>
  <c r="AB462" i="3"/>
  <c r="AD462" i="3"/>
  <c r="V210" i="3"/>
  <c r="V353" i="3"/>
  <c r="V207" i="3"/>
  <c r="V342" i="3"/>
  <c r="V224" i="3"/>
  <c r="V225" i="3"/>
  <c r="V274" i="3"/>
  <c r="V217" i="3"/>
  <c r="V359" i="3"/>
  <c r="V358" i="3"/>
  <c r="V11" i="3"/>
  <c r="V427" i="3"/>
  <c r="V37" i="3"/>
  <c r="V380" i="3"/>
  <c r="V337" i="3"/>
  <c r="V285" i="3"/>
  <c r="V304" i="3"/>
  <c r="V283" i="3"/>
  <c r="V280" i="3"/>
  <c r="V310" i="3"/>
  <c r="V377" i="3"/>
  <c r="V335" i="3"/>
  <c r="V73" i="3"/>
  <c r="V13" i="3"/>
  <c r="V10" i="3"/>
  <c r="V434" i="3"/>
  <c r="V270" i="3"/>
  <c r="V430" i="3"/>
  <c r="V41" i="3"/>
  <c r="V38" i="3"/>
  <c r="V171" i="3"/>
  <c r="V256" i="3"/>
  <c r="V259" i="3"/>
  <c r="V323" i="3"/>
  <c r="V32" i="3"/>
  <c r="V35" i="3"/>
  <c r="V382" i="3"/>
  <c r="V59" i="3"/>
  <c r="V306" i="3"/>
  <c r="V320" i="3"/>
  <c r="V313" i="3"/>
  <c r="V350" i="3"/>
  <c r="V300" i="3"/>
  <c r="V354" i="3"/>
  <c r="V80" i="3"/>
  <c r="V62" i="3"/>
  <c r="V463" i="3"/>
  <c r="V199" i="3"/>
  <c r="V33" i="3"/>
  <c r="V440" i="3"/>
  <c r="V328" i="3"/>
  <c r="V125" i="3"/>
  <c r="V411" i="3"/>
  <c r="V271" i="3"/>
  <c r="V104" i="3"/>
  <c r="V333" i="3"/>
  <c r="V368" i="3"/>
  <c r="V405" i="3"/>
  <c r="V78" i="3"/>
  <c r="V196" i="3"/>
  <c r="V257" i="3"/>
  <c r="V305" i="3"/>
  <c r="V45" i="3"/>
  <c r="V376" i="3"/>
  <c r="V9" i="3"/>
  <c r="V383" i="3"/>
  <c r="V60" i="3"/>
  <c r="V307" i="3"/>
  <c r="V321" i="3"/>
  <c r="V314" i="3"/>
  <c r="V351" i="3"/>
  <c r="V301" i="3"/>
  <c r="V355" i="3"/>
  <c r="V81" i="3"/>
  <c r="V292" i="3"/>
  <c r="V464" i="3"/>
  <c r="V200" i="3"/>
  <c r="V34" i="3"/>
  <c r="V441" i="3"/>
  <c r="V329" i="3"/>
  <c r="V166" i="3"/>
  <c r="V410" i="3"/>
  <c r="V272" i="3"/>
  <c r="V105" i="3"/>
  <c r="V334" i="3"/>
  <c r="V366" i="3"/>
  <c r="V406" i="3"/>
  <c r="V79" i="3"/>
  <c r="V197" i="3"/>
  <c r="V237" i="3"/>
  <c r="V201" i="3"/>
  <c r="V138" i="3"/>
  <c r="V100" i="3"/>
  <c r="V184" i="3"/>
  <c r="V110" i="3"/>
  <c r="V86" i="3"/>
  <c r="V164" i="3"/>
  <c r="V418" i="3"/>
  <c r="V87" i="3"/>
  <c r="V101" i="3"/>
  <c r="V252" i="3"/>
  <c r="V123" i="3"/>
  <c r="V88" i="3"/>
  <c r="V343" i="3"/>
  <c r="V341" i="3"/>
  <c r="V348" i="3"/>
  <c r="V303" i="3"/>
  <c r="V338" i="3"/>
  <c r="V317" i="3"/>
  <c r="V231" i="3"/>
  <c r="V221" i="3"/>
  <c r="V146" i="3"/>
  <c r="V408" i="3"/>
  <c r="V455" i="3"/>
  <c r="V119" i="3"/>
  <c r="V260" i="3"/>
  <c r="V484" i="3"/>
  <c r="V254" i="3"/>
  <c r="V154" i="3"/>
  <c r="V149" i="3"/>
  <c r="V153" i="3"/>
  <c r="V414" i="3"/>
  <c r="V394" i="3"/>
  <c r="V40" i="3"/>
  <c r="V234" i="3"/>
  <c r="V214" i="3"/>
  <c r="V235" i="3"/>
  <c r="V296" i="3"/>
  <c r="V374" i="3"/>
  <c r="V294" i="3"/>
  <c r="V308" i="3"/>
  <c r="V288" i="3"/>
  <c r="V363" i="3"/>
  <c r="V361" i="3"/>
  <c r="V367" i="3"/>
  <c r="V269" i="3"/>
  <c r="V290" i="3"/>
  <c r="V25" i="3"/>
  <c r="V21" i="3"/>
  <c r="V437" i="3"/>
  <c r="V445" i="3"/>
  <c r="V428" i="3"/>
  <c r="V424" i="3"/>
  <c r="V275" i="3"/>
  <c r="V385" i="3"/>
  <c r="V36" i="3"/>
  <c r="V273" i="3"/>
  <c r="V277" i="3"/>
  <c r="V291" i="3"/>
  <c r="V26" i="3"/>
  <c r="V388" i="3"/>
  <c r="V51" i="3"/>
  <c r="V67" i="3"/>
  <c r="V373" i="3"/>
  <c r="V372" i="3"/>
  <c r="V216" i="3"/>
  <c r="V159" i="3"/>
  <c r="V261" i="3"/>
  <c r="V239" i="3"/>
  <c r="V297" i="3"/>
  <c r="V173" i="3"/>
  <c r="V160" i="3"/>
  <c r="V52" i="3"/>
  <c r="V48" i="3"/>
  <c r="V391" i="3"/>
  <c r="V218" i="3"/>
  <c r="V330" i="3"/>
  <c r="V309" i="3"/>
  <c r="V49" i="3"/>
  <c r="V315" i="3"/>
  <c r="V326" i="3"/>
  <c r="V467" i="3"/>
  <c r="V70" i="3"/>
  <c r="V293" i="3"/>
  <c r="V43" i="3"/>
  <c r="V18" i="3"/>
  <c r="V425" i="3"/>
  <c r="V311" i="3"/>
  <c r="V63" i="3"/>
  <c r="V331" i="3"/>
  <c r="V404" i="3"/>
  <c r="V389" i="3"/>
  <c r="V318" i="3"/>
  <c r="V20" i="3"/>
  <c r="V466" i="3"/>
  <c r="V189" i="3"/>
  <c r="V44" i="3"/>
  <c r="V190" i="3"/>
  <c r="V387" i="3"/>
  <c r="V57" i="3"/>
  <c r="V24" i="3"/>
  <c r="V403" i="3"/>
  <c r="V58" i="3"/>
  <c r="V426" i="3"/>
  <c r="V66" i="3"/>
  <c r="V114" i="3"/>
  <c r="V401" i="3"/>
  <c r="V42" i="3"/>
  <c r="V129" i="3"/>
  <c r="V111" i="3"/>
  <c r="V457" i="3"/>
  <c r="V115" i="3"/>
  <c r="V144" i="3"/>
  <c r="V471" i="3"/>
  <c r="V65" i="3"/>
  <c r="V61" i="3"/>
  <c r="V431" i="3"/>
  <c r="V365" i="3"/>
  <c r="V364" i="3"/>
  <c r="V327" i="3"/>
  <c r="V312" i="3"/>
  <c r="V19" i="3"/>
  <c r="V14" i="3"/>
  <c r="V12" i="3"/>
  <c r="V432" i="3"/>
  <c r="V15" i="3"/>
  <c r="V23" i="3"/>
  <c r="V446" i="3"/>
  <c r="V172" i="3"/>
  <c r="V191" i="3"/>
  <c r="V459" i="3"/>
  <c r="V181" i="3"/>
  <c r="V444" i="3"/>
  <c r="V450" i="3"/>
  <c r="V179" i="3"/>
  <c r="V168" i="3"/>
  <c r="V460" i="3"/>
  <c r="V134" i="3"/>
  <c r="V203" i="3"/>
  <c r="V97" i="3"/>
  <c r="V453" i="3"/>
  <c r="V135" i="3"/>
  <c r="V112" i="3"/>
  <c r="V186" i="3"/>
  <c r="V152" i="3"/>
  <c r="V255" i="3"/>
  <c r="V480" i="3"/>
  <c r="V299" i="3"/>
  <c r="V46" i="3"/>
  <c r="V192" i="3"/>
  <c r="V479" i="3"/>
  <c r="V98" i="3"/>
  <c r="V456" i="3"/>
  <c r="V89" i="3"/>
  <c r="V155" i="3"/>
  <c r="V393" i="3"/>
  <c r="V107" i="3"/>
  <c r="V247" i="3"/>
  <c r="V106" i="3"/>
  <c r="V253" i="3"/>
  <c r="V90" i="3"/>
  <c r="V99" i="3"/>
  <c r="V249" i="3"/>
  <c r="V248" i="3"/>
  <c r="V76" i="3"/>
  <c r="V74" i="3"/>
  <c r="V242" i="3"/>
  <c r="V92" i="3"/>
  <c r="V165" i="3"/>
  <c r="V169" i="3"/>
  <c r="V485" i="3"/>
  <c r="V22" i="3"/>
  <c r="V28" i="3"/>
  <c r="V238" i="3"/>
  <c r="V469" i="3"/>
  <c r="V362" i="3"/>
  <c r="V266" i="3"/>
  <c r="V357" i="3"/>
  <c r="V267" i="3"/>
  <c r="V27" i="3"/>
  <c r="V170" i="3"/>
  <c r="V39" i="3"/>
  <c r="V379" i="3"/>
  <c r="V29" i="3"/>
  <c r="V429" i="3"/>
  <c r="V268" i="3"/>
  <c r="V236" i="3"/>
  <c r="V209" i="3"/>
  <c r="V263" i="3"/>
  <c r="V435" i="3"/>
  <c r="V30" i="3"/>
  <c r="V399" i="3"/>
  <c r="V85" i="3"/>
  <c r="V392" i="3"/>
  <c r="V422" i="3"/>
  <c r="V390" i="3"/>
  <c r="V121" i="3"/>
  <c r="V433" i="3"/>
  <c r="V407" i="3"/>
  <c r="V378" i="3"/>
  <c r="V398" i="3"/>
  <c r="V141" i="3"/>
  <c r="V324" i="3"/>
  <c r="V131" i="3"/>
  <c r="V468" i="3"/>
  <c r="V258" i="3"/>
  <c r="V397" i="3"/>
  <c r="V103" i="3"/>
  <c r="V126" i="3"/>
  <c r="V371" i="3"/>
  <c r="V128" i="3"/>
  <c r="V339" i="3"/>
  <c r="V344" i="3"/>
  <c r="V198" i="3"/>
  <c r="V360" i="3"/>
  <c r="V145" i="3"/>
  <c r="V56" i="3"/>
  <c r="V91" i="3"/>
  <c r="V451" i="3"/>
  <c r="V475" i="3"/>
  <c r="V116" i="3"/>
  <c r="V415" i="3"/>
  <c r="V150" i="3"/>
  <c r="V246" i="3"/>
  <c r="V481" i="3"/>
  <c r="V442" i="3"/>
  <c r="V222" i="3"/>
  <c r="V83" i="3"/>
  <c r="V447" i="3"/>
  <c r="V72" i="3"/>
  <c r="V476" i="3"/>
  <c r="V302" i="3"/>
  <c r="V93" i="3"/>
  <c r="V180" i="3"/>
  <c r="V245" i="3"/>
  <c r="V136" i="3"/>
  <c r="V381" i="3"/>
  <c r="V148" i="3"/>
  <c r="V151" i="3"/>
  <c r="V395" i="3"/>
  <c r="V94" i="3"/>
  <c r="V250" i="3"/>
  <c r="V229" i="3"/>
  <c r="V219" i="3"/>
  <c r="V226" i="3"/>
  <c r="V227" i="3"/>
  <c r="V220" i="3"/>
  <c r="V316" i="3"/>
  <c r="V332" i="3"/>
  <c r="V384" i="3"/>
  <c r="V402" i="3"/>
  <c r="V71" i="3"/>
  <c r="V133" i="3"/>
  <c r="V458" i="3"/>
  <c r="V69" i="3"/>
  <c r="V472" i="3"/>
  <c r="V127" i="3"/>
  <c r="V139" i="3"/>
  <c r="V409" i="3"/>
  <c r="V132" i="3"/>
  <c r="V340" i="3"/>
  <c r="V400" i="3"/>
  <c r="V230" i="3"/>
  <c r="V228" i="3"/>
  <c r="V64" i="3"/>
  <c r="V232" i="3"/>
  <c r="V369" i="3"/>
  <c r="V223" i="3"/>
  <c r="V82" i="3"/>
  <c r="V416" i="3"/>
  <c r="V77" i="3"/>
  <c r="V347" i="3"/>
  <c r="V349" i="3"/>
  <c r="V370" i="3"/>
  <c r="V346" i="3"/>
  <c r="V174" i="3"/>
  <c r="V182" i="3"/>
  <c r="V449" i="3"/>
  <c r="V183" i="3"/>
  <c r="V156" i="3"/>
  <c r="V483" i="3"/>
  <c r="V47" i="3"/>
  <c r="V113" i="3"/>
  <c r="V158" i="3"/>
  <c r="V193" i="3"/>
  <c r="V102" i="3"/>
  <c r="V452" i="3"/>
  <c r="V188" i="3"/>
  <c r="V117" i="3"/>
  <c r="V54" i="3"/>
  <c r="V130" i="3"/>
  <c r="V478" i="3"/>
  <c r="V482" i="3"/>
  <c r="V421" i="3"/>
  <c r="V474" i="3"/>
  <c r="V448" i="3"/>
  <c r="V461" i="3"/>
  <c r="V386" i="3"/>
  <c r="V75" i="3"/>
  <c r="V473" i="3"/>
  <c r="V420" i="3"/>
  <c r="V108" i="3"/>
  <c r="V143" i="3"/>
  <c r="V95" i="3"/>
  <c r="V120" i="3"/>
  <c r="V137" i="3"/>
  <c r="V109" i="3"/>
  <c r="V84" i="3"/>
  <c r="V140" i="3"/>
  <c r="V157" i="3"/>
  <c r="V162" i="3"/>
  <c r="V276" i="3"/>
  <c r="V322" i="3"/>
  <c r="V295" i="3"/>
  <c r="V279" i="3"/>
  <c r="V286" i="3"/>
  <c r="V213" i="3"/>
  <c r="V233" i="3"/>
  <c r="V278" i="3"/>
  <c r="V215" i="3"/>
  <c r="V264" i="3"/>
  <c r="V287" i="3"/>
  <c r="V177" i="3"/>
  <c r="V289" i="3"/>
  <c r="V175" i="3"/>
  <c r="V439" i="3"/>
  <c r="V16" i="3"/>
  <c r="V284" i="3"/>
  <c r="V55" i="3"/>
  <c r="V50" i="3"/>
  <c r="V243" i="3"/>
  <c r="V251" i="3"/>
  <c r="V241" i="3"/>
  <c r="V176" i="3"/>
  <c r="V282" i="3"/>
  <c r="V336" i="3"/>
  <c r="V412" i="3"/>
  <c r="V298" i="3"/>
  <c r="V413" i="3"/>
  <c r="V438" i="3"/>
  <c r="V436" i="3"/>
  <c r="V68" i="3"/>
  <c r="V17" i="3"/>
  <c r="V454" i="3"/>
  <c r="V345" i="3"/>
  <c r="V462" i="3"/>
  <c r="Q210" i="3"/>
  <c r="Q353" i="3"/>
  <c r="Q207" i="3"/>
  <c r="Q342" i="3"/>
  <c r="Q224" i="3"/>
  <c r="Q225" i="3"/>
  <c r="Q274" i="3"/>
  <c r="Q217" i="3"/>
  <c r="Q359" i="3"/>
  <c r="Q358" i="3"/>
  <c r="Q11" i="3"/>
  <c r="Q427" i="3"/>
  <c r="Q37" i="3"/>
  <c r="Q380" i="3"/>
  <c r="Q337" i="3"/>
  <c r="Q285" i="3"/>
  <c r="Q304" i="3"/>
  <c r="Q283" i="3"/>
  <c r="Q280" i="3"/>
  <c r="Q310" i="3"/>
  <c r="Q377" i="3"/>
  <c r="Q335" i="3"/>
  <c r="Q73" i="3"/>
  <c r="Q13" i="3"/>
  <c r="Q10" i="3"/>
  <c r="Q434" i="3"/>
  <c r="Q270" i="3"/>
  <c r="Q430" i="3"/>
  <c r="Q41" i="3"/>
  <c r="Q38" i="3"/>
  <c r="Q171" i="3"/>
  <c r="Q465" i="3"/>
  <c r="Q256" i="3"/>
  <c r="Q259" i="3"/>
  <c r="Q323" i="3"/>
  <c r="Q32" i="3"/>
  <c r="Q35" i="3"/>
  <c r="Q382" i="3"/>
  <c r="Q59" i="3"/>
  <c r="Q306" i="3"/>
  <c r="Q320" i="3"/>
  <c r="Q313" i="3"/>
  <c r="Q350" i="3"/>
  <c r="Q300" i="3"/>
  <c r="Q354" i="3"/>
  <c r="Q80" i="3"/>
  <c r="Q62" i="3"/>
  <c r="Q463" i="3"/>
  <c r="Q199" i="3"/>
  <c r="Q33" i="3"/>
  <c r="Q440" i="3"/>
  <c r="Q328" i="3"/>
  <c r="Q125" i="3"/>
  <c r="Q411" i="3"/>
  <c r="Q271" i="3"/>
  <c r="Q104" i="3"/>
  <c r="Q333" i="3"/>
  <c r="Q368" i="3"/>
  <c r="Q405" i="3"/>
  <c r="Q78" i="3"/>
  <c r="Q196" i="3"/>
  <c r="Q257" i="3"/>
  <c r="Q305" i="3"/>
  <c r="Q45" i="3"/>
  <c r="Q376" i="3"/>
  <c r="Q9" i="3"/>
  <c r="Q383" i="3"/>
  <c r="Q60" i="3"/>
  <c r="Q307" i="3"/>
  <c r="Q321" i="3"/>
  <c r="Q314" i="3"/>
  <c r="Q351" i="3"/>
  <c r="Q301" i="3"/>
  <c r="Q355" i="3"/>
  <c r="Q81" i="3"/>
  <c r="Q292" i="3"/>
  <c r="Q464" i="3"/>
  <c r="Q200" i="3"/>
  <c r="Q34" i="3"/>
  <c r="Q441" i="3"/>
  <c r="Q329" i="3"/>
  <c r="Q166" i="3"/>
  <c r="Q410" i="3"/>
  <c r="Q272" i="3"/>
  <c r="Q105" i="3"/>
  <c r="Q334" i="3"/>
  <c r="Q366" i="3"/>
  <c r="Q406" i="3"/>
  <c r="Q79" i="3"/>
  <c r="Q197" i="3"/>
  <c r="Q237" i="3"/>
  <c r="Q201" i="3"/>
  <c r="Q138" i="3"/>
  <c r="Q100" i="3"/>
  <c r="Q184" i="3"/>
  <c r="Q110" i="3"/>
  <c r="Q86" i="3"/>
  <c r="Q164" i="3"/>
  <c r="Q418" i="3"/>
  <c r="Q87" i="3"/>
  <c r="Q101" i="3"/>
  <c r="Q252" i="3"/>
  <c r="Q123" i="3"/>
  <c r="Q88" i="3"/>
  <c r="W88" i="3" s="1"/>
  <c r="Q343" i="3"/>
  <c r="Q341" i="3"/>
  <c r="Q348" i="3"/>
  <c r="Q303" i="3"/>
  <c r="Q338" i="3"/>
  <c r="Q317" i="3"/>
  <c r="Q231" i="3"/>
  <c r="Q221" i="3"/>
  <c r="Q146" i="3"/>
  <c r="Q408" i="3"/>
  <c r="Q455" i="3"/>
  <c r="Q119" i="3"/>
  <c r="Q260" i="3"/>
  <c r="Q484" i="3"/>
  <c r="Q254" i="3"/>
  <c r="Q154" i="3"/>
  <c r="W154" i="3" s="1"/>
  <c r="Q149" i="3"/>
  <c r="Q153" i="3"/>
  <c r="Q414" i="3"/>
  <c r="Q394" i="3"/>
  <c r="Q40" i="3"/>
  <c r="Q234" i="3"/>
  <c r="Q214" i="3"/>
  <c r="Q235" i="3"/>
  <c r="Q296" i="3"/>
  <c r="Q374" i="3"/>
  <c r="Q294" i="3"/>
  <c r="Q308" i="3"/>
  <c r="Q288" i="3"/>
  <c r="Q363" i="3"/>
  <c r="Q361" i="3"/>
  <c r="Q367" i="3"/>
  <c r="Q269" i="3"/>
  <c r="Q290" i="3"/>
  <c r="Q25" i="3"/>
  <c r="Q21" i="3"/>
  <c r="Q437" i="3"/>
  <c r="Q445" i="3"/>
  <c r="Q428" i="3"/>
  <c r="Q424" i="3"/>
  <c r="Q275" i="3"/>
  <c r="Q385" i="3"/>
  <c r="Q36" i="3"/>
  <c r="Q273" i="3"/>
  <c r="Q277" i="3"/>
  <c r="Q291" i="3"/>
  <c r="Q26" i="3"/>
  <c r="Q388" i="3"/>
  <c r="Q51" i="3"/>
  <c r="Q67" i="3"/>
  <c r="Q373" i="3"/>
  <c r="Q372" i="3"/>
  <c r="Q216" i="3"/>
  <c r="Q159" i="3"/>
  <c r="Q261" i="3"/>
  <c r="Q239" i="3"/>
  <c r="Q297" i="3"/>
  <c r="Q173" i="3"/>
  <c r="Q160" i="3"/>
  <c r="Q52" i="3"/>
  <c r="Q48" i="3"/>
  <c r="Q391" i="3"/>
  <c r="Q218" i="3"/>
  <c r="Q330" i="3"/>
  <c r="Q309" i="3"/>
  <c r="Q31" i="3"/>
  <c r="Q49" i="3"/>
  <c r="Q315" i="3"/>
  <c r="Q326" i="3"/>
  <c r="Q467" i="3"/>
  <c r="Q70" i="3"/>
  <c r="Q293" i="3"/>
  <c r="Q43" i="3"/>
  <c r="Q18" i="3"/>
  <c r="Q425" i="3"/>
  <c r="Q311" i="3"/>
  <c r="Q63" i="3"/>
  <c r="Q331" i="3"/>
  <c r="Q404" i="3"/>
  <c r="Q389" i="3"/>
  <c r="Q318" i="3"/>
  <c r="Q20" i="3"/>
  <c r="Q466" i="3"/>
  <c r="Q189" i="3"/>
  <c r="Q190" i="3"/>
  <c r="Q387" i="3"/>
  <c r="Q24" i="3"/>
  <c r="Q403" i="3"/>
  <c r="Q58" i="3"/>
  <c r="Q426" i="3"/>
  <c r="Q66" i="3"/>
  <c r="Q114" i="3"/>
  <c r="Q401" i="3"/>
  <c r="Q42" i="3"/>
  <c r="Q129" i="3"/>
  <c r="Q111" i="3"/>
  <c r="Q457" i="3"/>
  <c r="Q115" i="3"/>
  <c r="Q144" i="3"/>
  <c r="Q471" i="3"/>
  <c r="Q65" i="3"/>
  <c r="Q61" i="3"/>
  <c r="Q431" i="3"/>
  <c r="Q365" i="3"/>
  <c r="Q364" i="3"/>
  <c r="Q327" i="3"/>
  <c r="Q312" i="3"/>
  <c r="Q19" i="3"/>
  <c r="Q14" i="3"/>
  <c r="Q12" i="3"/>
  <c r="Q432" i="3"/>
  <c r="Q15" i="3"/>
  <c r="Q23" i="3"/>
  <c r="Q446" i="3"/>
  <c r="Q172" i="3"/>
  <c r="Q191" i="3"/>
  <c r="Q459" i="3"/>
  <c r="Q181" i="3"/>
  <c r="Q444" i="3"/>
  <c r="Q450" i="3"/>
  <c r="Q179" i="3"/>
  <c r="Q168" i="3"/>
  <c r="Q460" i="3"/>
  <c r="Q134" i="3"/>
  <c r="Q203" i="3"/>
  <c r="Q97" i="3"/>
  <c r="Q453" i="3"/>
  <c r="Q135" i="3"/>
  <c r="Q112" i="3"/>
  <c r="Q186" i="3"/>
  <c r="Q152" i="3"/>
  <c r="Q255" i="3"/>
  <c r="Q480" i="3"/>
  <c r="Q299" i="3"/>
  <c r="Q46" i="3"/>
  <c r="Q192" i="3"/>
  <c r="Q479" i="3"/>
  <c r="Q98" i="3"/>
  <c r="Q456" i="3"/>
  <c r="Q89" i="3"/>
  <c r="Q155" i="3"/>
  <c r="Q393" i="3"/>
  <c r="Q107" i="3"/>
  <c r="Q247" i="3"/>
  <c r="Q106" i="3"/>
  <c r="Q253" i="3"/>
  <c r="Q90" i="3"/>
  <c r="Q99" i="3"/>
  <c r="Q249" i="3"/>
  <c r="Q248" i="3"/>
  <c r="Q76" i="3"/>
  <c r="Q74" i="3"/>
  <c r="Q242" i="3"/>
  <c r="Q92" i="3"/>
  <c r="Q165" i="3"/>
  <c r="Q169" i="3"/>
  <c r="Q485" i="3"/>
  <c r="Q22" i="3"/>
  <c r="Q28" i="3"/>
  <c r="Q238" i="3"/>
  <c r="Q469" i="3"/>
  <c r="Q362" i="3"/>
  <c r="Q266" i="3"/>
  <c r="Q357" i="3"/>
  <c r="Q267" i="3"/>
  <c r="Q27" i="3"/>
  <c r="Q170" i="3"/>
  <c r="Q39" i="3"/>
  <c r="Q379" i="3"/>
  <c r="Q29" i="3"/>
  <c r="Q429" i="3"/>
  <c r="Q268" i="3"/>
  <c r="Q236" i="3"/>
  <c r="Q209" i="3"/>
  <c r="Q263" i="3"/>
  <c r="Q435" i="3"/>
  <c r="Q30" i="3"/>
  <c r="Q399" i="3"/>
  <c r="Q85" i="3"/>
  <c r="Q392" i="3"/>
  <c r="Q422" i="3"/>
  <c r="Q390" i="3"/>
  <c r="Q121" i="3"/>
  <c r="Q433" i="3"/>
  <c r="Q407" i="3"/>
  <c r="Q378" i="3"/>
  <c r="Q398" i="3"/>
  <c r="Q141" i="3"/>
  <c r="Q324" i="3"/>
  <c r="Q131" i="3"/>
  <c r="Q468" i="3"/>
  <c r="Q258" i="3"/>
  <c r="Q397" i="3"/>
  <c r="Q103" i="3"/>
  <c r="Q126" i="3"/>
  <c r="Q371" i="3"/>
  <c r="Q128" i="3"/>
  <c r="Q339" i="3"/>
  <c r="Q344" i="3"/>
  <c r="Q198" i="3"/>
  <c r="Q360" i="3"/>
  <c r="Q145" i="3"/>
  <c r="Q56" i="3"/>
  <c r="Q91" i="3"/>
  <c r="Q451" i="3"/>
  <c r="Q475" i="3"/>
  <c r="Q116" i="3"/>
  <c r="Q415" i="3"/>
  <c r="Q150" i="3"/>
  <c r="Q246" i="3"/>
  <c r="Q481" i="3"/>
  <c r="Q442" i="3"/>
  <c r="Q222" i="3"/>
  <c r="Q83" i="3"/>
  <c r="Q447" i="3"/>
  <c r="Q72" i="3"/>
  <c r="Q476" i="3"/>
  <c r="Q302" i="3"/>
  <c r="Q93" i="3"/>
  <c r="Q180" i="3"/>
  <c r="Q245" i="3"/>
  <c r="Q136" i="3"/>
  <c r="Q381" i="3"/>
  <c r="Q148" i="3"/>
  <c r="Q151" i="3"/>
  <c r="Q395" i="3"/>
  <c r="Q94" i="3"/>
  <c r="Q250" i="3"/>
  <c r="Q229" i="3"/>
  <c r="Q219" i="3"/>
  <c r="Q226" i="3"/>
  <c r="Q227" i="3"/>
  <c r="Q220" i="3"/>
  <c r="Q316" i="3"/>
  <c r="Q332" i="3"/>
  <c r="Q384" i="3"/>
  <c r="Q402" i="3"/>
  <c r="Q71" i="3"/>
  <c r="Q133" i="3"/>
  <c r="Q458" i="3"/>
  <c r="Q69" i="3"/>
  <c r="Q472" i="3"/>
  <c r="Q127" i="3"/>
  <c r="Q139" i="3"/>
  <c r="Q409" i="3"/>
  <c r="Q132" i="3"/>
  <c r="Q340" i="3"/>
  <c r="Q400" i="3"/>
  <c r="Q230" i="3"/>
  <c r="Q228" i="3"/>
  <c r="Q64" i="3"/>
  <c r="Q232" i="3"/>
  <c r="Q369" i="3"/>
  <c r="Q223" i="3"/>
  <c r="Q82" i="3"/>
  <c r="Q416" i="3"/>
  <c r="Q77" i="3"/>
  <c r="Q347" i="3"/>
  <c r="Q349" i="3"/>
  <c r="Q370" i="3"/>
  <c r="Q346" i="3"/>
  <c r="Q174" i="3"/>
  <c r="Q182" i="3"/>
  <c r="Q449" i="3"/>
  <c r="Q183" i="3"/>
  <c r="Q156" i="3"/>
  <c r="Q483" i="3"/>
  <c r="Q47" i="3"/>
  <c r="Q113" i="3"/>
  <c r="Q158" i="3"/>
  <c r="Q193" i="3"/>
  <c r="Q102" i="3"/>
  <c r="Q452" i="3"/>
  <c r="Q188" i="3"/>
  <c r="Q117" i="3"/>
  <c r="Q54" i="3"/>
  <c r="Q130" i="3"/>
  <c r="Q478" i="3"/>
  <c r="Q482" i="3"/>
  <c r="Q421" i="3"/>
  <c r="Q474" i="3"/>
  <c r="Q448" i="3"/>
  <c r="Q461" i="3"/>
  <c r="Q386" i="3"/>
  <c r="Q75" i="3"/>
  <c r="Q473" i="3"/>
  <c r="Q420" i="3"/>
  <c r="Q108" i="3"/>
  <c r="Q143" i="3"/>
  <c r="Q95" i="3"/>
  <c r="Q120" i="3"/>
  <c r="Q137" i="3"/>
  <c r="Q109" i="3"/>
  <c r="Q84" i="3"/>
  <c r="Q140" i="3"/>
  <c r="Q157" i="3"/>
  <c r="Q162" i="3"/>
  <c r="Q276" i="3"/>
  <c r="Q322" i="3"/>
  <c r="Q295" i="3"/>
  <c r="Q279" i="3"/>
  <c r="Q286" i="3"/>
  <c r="Q213" i="3"/>
  <c r="Q233" i="3"/>
  <c r="Q278" i="3"/>
  <c r="Q215" i="3"/>
  <c r="Q264" i="3"/>
  <c r="Q287" i="3"/>
  <c r="Q177" i="3"/>
  <c r="Q289" i="3"/>
  <c r="Q175" i="3"/>
  <c r="Q439" i="3"/>
  <c r="Q16" i="3"/>
  <c r="Q284" i="3"/>
  <c r="Q55" i="3"/>
  <c r="Q50" i="3"/>
  <c r="Q243" i="3"/>
  <c r="Q251" i="3"/>
  <c r="Q241" i="3"/>
  <c r="Q176" i="3"/>
  <c r="Q282" i="3"/>
  <c r="Q336" i="3"/>
  <c r="Q412" i="3"/>
  <c r="Q298" i="3"/>
  <c r="Q413" i="3"/>
  <c r="Q438" i="3"/>
  <c r="Q436" i="3"/>
  <c r="Q68" i="3"/>
  <c r="Q17" i="3"/>
  <c r="Q454" i="3"/>
  <c r="Q345" i="3"/>
  <c r="Q462" i="3"/>
  <c r="L210" i="3"/>
  <c r="L353" i="3"/>
  <c r="L207" i="3"/>
  <c r="L342" i="3"/>
  <c r="L224" i="3"/>
  <c r="L225" i="3"/>
  <c r="L274" i="3"/>
  <c r="L217" i="3"/>
  <c r="L359" i="3"/>
  <c r="L358" i="3"/>
  <c r="L11" i="3"/>
  <c r="L427" i="3"/>
  <c r="L37" i="3"/>
  <c r="L380" i="3"/>
  <c r="L337" i="3"/>
  <c r="L285" i="3"/>
  <c r="L304" i="3"/>
  <c r="L283" i="3"/>
  <c r="L280" i="3"/>
  <c r="L310" i="3"/>
  <c r="L377" i="3"/>
  <c r="L335" i="3"/>
  <c r="L73" i="3"/>
  <c r="L13" i="3"/>
  <c r="L10" i="3"/>
  <c r="L434" i="3"/>
  <c r="L270" i="3"/>
  <c r="L430" i="3"/>
  <c r="L41" i="3"/>
  <c r="L38" i="3"/>
  <c r="L171" i="3"/>
  <c r="L465" i="3"/>
  <c r="L256" i="3"/>
  <c r="L259" i="3"/>
  <c r="L323" i="3"/>
  <c r="L32" i="3"/>
  <c r="L35" i="3"/>
  <c r="L382" i="3"/>
  <c r="L59" i="3"/>
  <c r="L306" i="3"/>
  <c r="L320" i="3"/>
  <c r="L313" i="3"/>
  <c r="L350" i="3"/>
  <c r="L300" i="3"/>
  <c r="L354" i="3"/>
  <c r="L80" i="3"/>
  <c r="L62" i="3"/>
  <c r="L463" i="3"/>
  <c r="L199" i="3"/>
  <c r="L33" i="3"/>
  <c r="L440" i="3"/>
  <c r="L328" i="3"/>
  <c r="L125" i="3"/>
  <c r="L411" i="3"/>
  <c r="L271" i="3"/>
  <c r="L104" i="3"/>
  <c r="L333" i="3"/>
  <c r="L368" i="3"/>
  <c r="L405" i="3"/>
  <c r="L78" i="3"/>
  <c r="L196" i="3"/>
  <c r="L257" i="3"/>
  <c r="L305" i="3"/>
  <c r="L45" i="3"/>
  <c r="L376" i="3"/>
  <c r="L9" i="3"/>
  <c r="L383" i="3"/>
  <c r="L60" i="3"/>
  <c r="L307" i="3"/>
  <c r="L321" i="3"/>
  <c r="L314" i="3"/>
  <c r="L351" i="3"/>
  <c r="L301" i="3"/>
  <c r="L355" i="3"/>
  <c r="L81" i="3"/>
  <c r="L292" i="3"/>
  <c r="L464" i="3"/>
  <c r="L200" i="3"/>
  <c r="L34" i="3"/>
  <c r="L441" i="3"/>
  <c r="L329" i="3"/>
  <c r="L166" i="3"/>
  <c r="L410" i="3"/>
  <c r="L272" i="3"/>
  <c r="L105" i="3"/>
  <c r="L334" i="3"/>
  <c r="L366" i="3"/>
  <c r="L406" i="3"/>
  <c r="L79" i="3"/>
  <c r="L197" i="3"/>
  <c r="L237" i="3"/>
  <c r="L201" i="3"/>
  <c r="L138" i="3"/>
  <c r="L100" i="3"/>
  <c r="L184" i="3"/>
  <c r="L110" i="3"/>
  <c r="L86" i="3"/>
  <c r="L164" i="3"/>
  <c r="L418" i="3"/>
  <c r="L87" i="3"/>
  <c r="L101" i="3"/>
  <c r="L252" i="3"/>
  <c r="L123" i="3"/>
  <c r="L88" i="3"/>
  <c r="L343" i="3"/>
  <c r="L341" i="3"/>
  <c r="L348" i="3"/>
  <c r="L303" i="3"/>
  <c r="L338" i="3"/>
  <c r="L317" i="3"/>
  <c r="L231" i="3"/>
  <c r="L221" i="3"/>
  <c r="L146" i="3"/>
  <c r="L408" i="3"/>
  <c r="L455" i="3"/>
  <c r="L119" i="3"/>
  <c r="L260" i="3"/>
  <c r="L484" i="3"/>
  <c r="L254" i="3"/>
  <c r="L154" i="3"/>
  <c r="L149" i="3"/>
  <c r="L153" i="3"/>
  <c r="L414" i="3"/>
  <c r="L394" i="3"/>
  <c r="L40" i="3"/>
  <c r="L234" i="3"/>
  <c r="L214" i="3"/>
  <c r="L235" i="3"/>
  <c r="L296" i="3"/>
  <c r="L374" i="3"/>
  <c r="L294" i="3"/>
  <c r="L308" i="3"/>
  <c r="L288" i="3"/>
  <c r="L363" i="3"/>
  <c r="L361" i="3"/>
  <c r="L367" i="3"/>
  <c r="L269" i="3"/>
  <c r="L290" i="3"/>
  <c r="L25" i="3"/>
  <c r="L21" i="3"/>
  <c r="L437" i="3"/>
  <c r="L445" i="3"/>
  <c r="L428" i="3"/>
  <c r="L424" i="3"/>
  <c r="L275" i="3"/>
  <c r="L385" i="3"/>
  <c r="L36" i="3"/>
  <c r="L273" i="3"/>
  <c r="L277" i="3"/>
  <c r="L291" i="3"/>
  <c r="L26" i="3"/>
  <c r="L388" i="3"/>
  <c r="L51" i="3"/>
  <c r="L67" i="3"/>
  <c r="L373" i="3"/>
  <c r="L372" i="3"/>
  <c r="L216" i="3"/>
  <c r="L159" i="3"/>
  <c r="L261" i="3"/>
  <c r="L239" i="3"/>
  <c r="L297" i="3"/>
  <c r="L173" i="3"/>
  <c r="L160" i="3"/>
  <c r="L52" i="3"/>
  <c r="L48" i="3"/>
  <c r="L391" i="3"/>
  <c r="L218" i="3"/>
  <c r="L330" i="3"/>
  <c r="L309" i="3"/>
  <c r="L31" i="3"/>
  <c r="L49" i="3"/>
  <c r="L315" i="3"/>
  <c r="L326" i="3"/>
  <c r="L467" i="3"/>
  <c r="L70" i="3"/>
  <c r="L293" i="3"/>
  <c r="L43" i="3"/>
  <c r="L18" i="3"/>
  <c r="L425" i="3"/>
  <c r="L311" i="3"/>
  <c r="L63" i="3"/>
  <c r="L331" i="3"/>
  <c r="L404" i="3"/>
  <c r="L389" i="3"/>
  <c r="L318" i="3"/>
  <c r="L20" i="3"/>
  <c r="L466" i="3"/>
  <c r="L189" i="3"/>
  <c r="L44" i="3"/>
  <c r="L190" i="3"/>
  <c r="L387" i="3"/>
  <c r="L57" i="3"/>
  <c r="L24" i="3"/>
  <c r="L403" i="3"/>
  <c r="L58" i="3"/>
  <c r="L426" i="3"/>
  <c r="L66" i="3"/>
  <c r="L114" i="3"/>
  <c r="L401" i="3"/>
  <c r="L42" i="3"/>
  <c r="L129" i="3"/>
  <c r="L111" i="3"/>
  <c r="L457" i="3"/>
  <c r="L115" i="3"/>
  <c r="L144" i="3"/>
  <c r="L471" i="3"/>
  <c r="L65" i="3"/>
  <c r="L61" i="3"/>
  <c r="L431" i="3"/>
  <c r="L365" i="3"/>
  <c r="L364" i="3"/>
  <c r="L327" i="3"/>
  <c r="L312" i="3"/>
  <c r="L19" i="3"/>
  <c r="L14" i="3"/>
  <c r="L12" i="3"/>
  <c r="L432" i="3"/>
  <c r="L15" i="3"/>
  <c r="L23" i="3"/>
  <c r="L446" i="3"/>
  <c r="L172" i="3"/>
  <c r="L191" i="3"/>
  <c r="L459" i="3"/>
  <c r="L181" i="3"/>
  <c r="L444" i="3"/>
  <c r="L450" i="3"/>
  <c r="L179" i="3"/>
  <c r="L168" i="3"/>
  <c r="L460" i="3"/>
  <c r="L134" i="3"/>
  <c r="L203" i="3"/>
  <c r="L97" i="3"/>
  <c r="L453" i="3"/>
  <c r="L135" i="3"/>
  <c r="L112" i="3"/>
  <c r="L186" i="3"/>
  <c r="L152" i="3"/>
  <c r="L255" i="3"/>
  <c r="L480" i="3"/>
  <c r="L299" i="3"/>
  <c r="L46" i="3"/>
  <c r="L192" i="3"/>
  <c r="L479" i="3"/>
  <c r="L98" i="3"/>
  <c r="L456" i="3"/>
  <c r="L89" i="3"/>
  <c r="L155" i="3"/>
  <c r="L393" i="3"/>
  <c r="L107" i="3"/>
  <c r="L247" i="3"/>
  <c r="L106" i="3"/>
  <c r="L253" i="3"/>
  <c r="L90" i="3"/>
  <c r="L99" i="3"/>
  <c r="L249" i="3"/>
  <c r="L248" i="3"/>
  <c r="L76" i="3"/>
  <c r="L74" i="3"/>
  <c r="L242" i="3"/>
  <c r="L92" i="3"/>
  <c r="L165" i="3"/>
  <c r="L169" i="3"/>
  <c r="L485" i="3"/>
  <c r="L22" i="3"/>
  <c r="L28" i="3"/>
  <c r="L238" i="3"/>
  <c r="L469" i="3"/>
  <c r="L362" i="3"/>
  <c r="L266" i="3"/>
  <c r="L357" i="3"/>
  <c r="L267" i="3"/>
  <c r="L27" i="3"/>
  <c r="L170" i="3"/>
  <c r="L39" i="3"/>
  <c r="L379" i="3"/>
  <c r="L29" i="3"/>
  <c r="L429" i="3"/>
  <c r="L268" i="3"/>
  <c r="L236" i="3"/>
  <c r="L209" i="3"/>
  <c r="L263" i="3"/>
  <c r="L435" i="3"/>
  <c r="L30" i="3"/>
  <c r="L399" i="3"/>
  <c r="L85" i="3"/>
  <c r="L392" i="3"/>
  <c r="L422" i="3"/>
  <c r="L390" i="3"/>
  <c r="L121" i="3"/>
  <c r="L433" i="3"/>
  <c r="L407" i="3"/>
  <c r="L378" i="3"/>
  <c r="L398" i="3"/>
  <c r="L141" i="3"/>
  <c r="L324" i="3"/>
  <c r="L131" i="3"/>
  <c r="L468" i="3"/>
  <c r="L258" i="3"/>
  <c r="L397" i="3"/>
  <c r="L103" i="3"/>
  <c r="L126" i="3"/>
  <c r="L371" i="3"/>
  <c r="L128" i="3"/>
  <c r="L339" i="3"/>
  <c r="L344" i="3"/>
  <c r="L198" i="3"/>
  <c r="L360" i="3"/>
  <c r="L145" i="3"/>
  <c r="L56" i="3"/>
  <c r="L91" i="3"/>
  <c r="L451" i="3"/>
  <c r="L475" i="3"/>
  <c r="L116" i="3"/>
  <c r="L415" i="3"/>
  <c r="L150" i="3"/>
  <c r="L246" i="3"/>
  <c r="L481" i="3"/>
  <c r="L442" i="3"/>
  <c r="L222" i="3"/>
  <c r="L83" i="3"/>
  <c r="L447" i="3"/>
  <c r="L72" i="3"/>
  <c r="L476" i="3"/>
  <c r="L302" i="3"/>
  <c r="L93" i="3"/>
  <c r="L180" i="3"/>
  <c r="L245" i="3"/>
  <c r="L136" i="3"/>
  <c r="L381" i="3"/>
  <c r="L148" i="3"/>
  <c r="L151" i="3"/>
  <c r="L395" i="3"/>
  <c r="L94" i="3"/>
  <c r="L250" i="3"/>
  <c r="L229" i="3"/>
  <c r="L219" i="3"/>
  <c r="L226" i="3"/>
  <c r="L227" i="3"/>
  <c r="L220" i="3"/>
  <c r="L316" i="3"/>
  <c r="L332" i="3"/>
  <c r="L384" i="3"/>
  <c r="L402" i="3"/>
  <c r="L71" i="3"/>
  <c r="L133" i="3"/>
  <c r="L458" i="3"/>
  <c r="L69" i="3"/>
  <c r="L472" i="3"/>
  <c r="L127" i="3"/>
  <c r="L139" i="3"/>
  <c r="L409" i="3"/>
  <c r="L132" i="3"/>
  <c r="L340" i="3"/>
  <c r="L400" i="3"/>
  <c r="L230" i="3"/>
  <c r="L228" i="3"/>
  <c r="L64" i="3"/>
  <c r="L232" i="3"/>
  <c r="L369" i="3"/>
  <c r="L223" i="3"/>
  <c r="L82" i="3"/>
  <c r="L416" i="3"/>
  <c r="L77" i="3"/>
  <c r="L347" i="3"/>
  <c r="L349" i="3"/>
  <c r="L370" i="3"/>
  <c r="L346" i="3"/>
  <c r="L174" i="3"/>
  <c r="L182" i="3"/>
  <c r="L449" i="3"/>
  <c r="L183" i="3"/>
  <c r="L156" i="3"/>
  <c r="L483" i="3"/>
  <c r="L47" i="3"/>
  <c r="L113" i="3"/>
  <c r="L158" i="3"/>
  <c r="L193" i="3"/>
  <c r="L102" i="3"/>
  <c r="L452" i="3"/>
  <c r="L188" i="3"/>
  <c r="L117" i="3"/>
  <c r="L54" i="3"/>
  <c r="L130" i="3"/>
  <c r="L478" i="3"/>
  <c r="L482" i="3"/>
  <c r="L421" i="3"/>
  <c r="L474" i="3"/>
  <c r="L448" i="3"/>
  <c r="L461" i="3"/>
  <c r="L386" i="3"/>
  <c r="L75" i="3"/>
  <c r="L473" i="3"/>
  <c r="L420" i="3"/>
  <c r="L108" i="3"/>
  <c r="L143" i="3"/>
  <c r="L95" i="3"/>
  <c r="L120" i="3"/>
  <c r="L137" i="3"/>
  <c r="L109" i="3"/>
  <c r="L84" i="3"/>
  <c r="L140" i="3"/>
  <c r="L157" i="3"/>
  <c r="L162" i="3"/>
  <c r="L276" i="3"/>
  <c r="L322" i="3"/>
  <c r="L295" i="3"/>
  <c r="L279" i="3"/>
  <c r="L286" i="3"/>
  <c r="L213" i="3"/>
  <c r="L233" i="3"/>
  <c r="L278" i="3"/>
  <c r="L215" i="3"/>
  <c r="L264" i="3"/>
  <c r="L287" i="3"/>
  <c r="L177" i="3"/>
  <c r="L289" i="3"/>
  <c r="L175" i="3"/>
  <c r="L439" i="3"/>
  <c r="L16" i="3"/>
  <c r="L284" i="3"/>
  <c r="L55" i="3"/>
  <c r="L50" i="3"/>
  <c r="L243" i="3"/>
  <c r="L251" i="3"/>
  <c r="L241" i="3"/>
  <c r="L176" i="3"/>
  <c r="L282" i="3"/>
  <c r="L336" i="3"/>
  <c r="L412" i="3"/>
  <c r="L298" i="3"/>
  <c r="L413" i="3"/>
  <c r="L438" i="3"/>
  <c r="L436" i="3"/>
  <c r="L68" i="3"/>
  <c r="L17" i="3"/>
  <c r="L454" i="3"/>
  <c r="L345" i="3"/>
  <c r="L462" i="3"/>
  <c r="I210" i="3"/>
  <c r="I353" i="3"/>
  <c r="I207" i="3"/>
  <c r="I342" i="3"/>
  <c r="I224" i="3"/>
  <c r="I225" i="3"/>
  <c r="I274" i="3"/>
  <c r="I217" i="3"/>
  <c r="I359" i="3"/>
  <c r="I358" i="3"/>
  <c r="I11" i="3"/>
  <c r="I427" i="3"/>
  <c r="I37" i="3"/>
  <c r="I380" i="3"/>
  <c r="I337" i="3"/>
  <c r="I285" i="3"/>
  <c r="I304" i="3"/>
  <c r="I283" i="3"/>
  <c r="I280" i="3"/>
  <c r="I310" i="3"/>
  <c r="I377" i="3"/>
  <c r="I335" i="3"/>
  <c r="I73" i="3"/>
  <c r="I13" i="3"/>
  <c r="I10" i="3"/>
  <c r="I434" i="3"/>
  <c r="I270" i="3"/>
  <c r="I430" i="3"/>
  <c r="I41" i="3"/>
  <c r="I38" i="3"/>
  <c r="I171" i="3"/>
  <c r="I465" i="3"/>
  <c r="I256" i="3"/>
  <c r="I259" i="3"/>
  <c r="I323" i="3"/>
  <c r="I32" i="3"/>
  <c r="I35" i="3"/>
  <c r="I382" i="3"/>
  <c r="I59" i="3"/>
  <c r="I306" i="3"/>
  <c r="I320" i="3"/>
  <c r="I313" i="3"/>
  <c r="I350" i="3"/>
  <c r="I300" i="3"/>
  <c r="I354" i="3"/>
  <c r="I80" i="3"/>
  <c r="I62" i="3"/>
  <c r="I463" i="3"/>
  <c r="I199" i="3"/>
  <c r="I33" i="3"/>
  <c r="I440" i="3"/>
  <c r="I328" i="3"/>
  <c r="I125" i="3"/>
  <c r="I411" i="3"/>
  <c r="I271" i="3"/>
  <c r="I104" i="3"/>
  <c r="I333" i="3"/>
  <c r="I368" i="3"/>
  <c r="I405" i="3"/>
  <c r="I78" i="3"/>
  <c r="I196" i="3"/>
  <c r="I257" i="3"/>
  <c r="I305" i="3"/>
  <c r="I45" i="3"/>
  <c r="I376" i="3"/>
  <c r="I9" i="3"/>
  <c r="I383" i="3"/>
  <c r="I60" i="3"/>
  <c r="I307" i="3"/>
  <c r="I321" i="3"/>
  <c r="I314" i="3"/>
  <c r="I351" i="3"/>
  <c r="I301" i="3"/>
  <c r="I355" i="3"/>
  <c r="I81" i="3"/>
  <c r="I292" i="3"/>
  <c r="I464" i="3"/>
  <c r="I200" i="3"/>
  <c r="I34" i="3"/>
  <c r="I441" i="3"/>
  <c r="I329" i="3"/>
  <c r="I166" i="3"/>
  <c r="I410" i="3"/>
  <c r="I272" i="3"/>
  <c r="I105" i="3"/>
  <c r="I334" i="3"/>
  <c r="I366" i="3"/>
  <c r="I406" i="3"/>
  <c r="I79" i="3"/>
  <c r="I197" i="3"/>
  <c r="I237" i="3"/>
  <c r="I201" i="3"/>
  <c r="I138" i="3"/>
  <c r="I100" i="3"/>
  <c r="I184" i="3"/>
  <c r="I110" i="3"/>
  <c r="I86" i="3"/>
  <c r="I164" i="3"/>
  <c r="I418" i="3"/>
  <c r="I87" i="3"/>
  <c r="I101" i="3"/>
  <c r="I252" i="3"/>
  <c r="I123" i="3"/>
  <c r="I88" i="3"/>
  <c r="I343" i="3"/>
  <c r="I341" i="3"/>
  <c r="I348" i="3"/>
  <c r="I303" i="3"/>
  <c r="I338" i="3"/>
  <c r="I317" i="3"/>
  <c r="I231" i="3"/>
  <c r="I221" i="3"/>
  <c r="I146" i="3"/>
  <c r="I408" i="3"/>
  <c r="I455" i="3"/>
  <c r="I119" i="3"/>
  <c r="I260" i="3"/>
  <c r="I484" i="3"/>
  <c r="I254" i="3"/>
  <c r="I154" i="3"/>
  <c r="I149" i="3"/>
  <c r="I153" i="3"/>
  <c r="I414" i="3"/>
  <c r="I394" i="3"/>
  <c r="I40" i="3"/>
  <c r="I234" i="3"/>
  <c r="I214" i="3"/>
  <c r="I235" i="3"/>
  <c r="I296" i="3"/>
  <c r="I374" i="3"/>
  <c r="I294" i="3"/>
  <c r="I308" i="3"/>
  <c r="I288" i="3"/>
  <c r="I363" i="3"/>
  <c r="I361" i="3"/>
  <c r="I367" i="3"/>
  <c r="I269" i="3"/>
  <c r="I290" i="3"/>
  <c r="I25" i="3"/>
  <c r="I21" i="3"/>
  <c r="I437" i="3"/>
  <c r="I445" i="3"/>
  <c r="I428" i="3"/>
  <c r="I424" i="3"/>
  <c r="I275" i="3"/>
  <c r="I385" i="3"/>
  <c r="I36" i="3"/>
  <c r="I273" i="3"/>
  <c r="I277" i="3"/>
  <c r="I291" i="3"/>
  <c r="I26" i="3"/>
  <c r="I388" i="3"/>
  <c r="I51" i="3"/>
  <c r="I67" i="3"/>
  <c r="I373" i="3"/>
  <c r="I372" i="3"/>
  <c r="I216" i="3"/>
  <c r="I159" i="3"/>
  <c r="I261" i="3"/>
  <c r="I239" i="3"/>
  <c r="I297" i="3"/>
  <c r="I173" i="3"/>
  <c r="I160" i="3"/>
  <c r="I52" i="3"/>
  <c r="I48" i="3"/>
  <c r="I391" i="3"/>
  <c r="I218" i="3"/>
  <c r="I330" i="3"/>
  <c r="I309" i="3"/>
  <c r="I31" i="3"/>
  <c r="I49" i="3"/>
  <c r="I315" i="3"/>
  <c r="I326" i="3"/>
  <c r="I467" i="3"/>
  <c r="I70" i="3"/>
  <c r="I293" i="3"/>
  <c r="I43" i="3"/>
  <c r="I18" i="3"/>
  <c r="I425" i="3"/>
  <c r="I311" i="3"/>
  <c r="I63" i="3"/>
  <c r="I331" i="3"/>
  <c r="I404" i="3"/>
  <c r="I389" i="3"/>
  <c r="I318" i="3"/>
  <c r="I20" i="3"/>
  <c r="I466" i="3"/>
  <c r="I189" i="3"/>
  <c r="I44" i="3"/>
  <c r="I190" i="3"/>
  <c r="I387" i="3"/>
  <c r="I57" i="3"/>
  <c r="I24" i="3"/>
  <c r="I403" i="3"/>
  <c r="I58" i="3"/>
  <c r="I426" i="3"/>
  <c r="I66" i="3"/>
  <c r="I114" i="3"/>
  <c r="I401" i="3"/>
  <c r="I42" i="3"/>
  <c r="I129" i="3"/>
  <c r="I111" i="3"/>
  <c r="I457" i="3"/>
  <c r="I115" i="3"/>
  <c r="I144" i="3"/>
  <c r="I471" i="3"/>
  <c r="I65" i="3"/>
  <c r="I61" i="3"/>
  <c r="I431" i="3"/>
  <c r="I365" i="3"/>
  <c r="I364" i="3"/>
  <c r="I327" i="3"/>
  <c r="I312" i="3"/>
  <c r="I19" i="3"/>
  <c r="I14" i="3"/>
  <c r="I12" i="3"/>
  <c r="I432" i="3"/>
  <c r="I15" i="3"/>
  <c r="I23" i="3"/>
  <c r="I446" i="3"/>
  <c r="I172" i="3"/>
  <c r="I191" i="3"/>
  <c r="I459" i="3"/>
  <c r="I181" i="3"/>
  <c r="I444" i="3"/>
  <c r="I450" i="3"/>
  <c r="I179" i="3"/>
  <c r="I168" i="3"/>
  <c r="I460" i="3"/>
  <c r="I134" i="3"/>
  <c r="I203" i="3"/>
  <c r="I97" i="3"/>
  <c r="I453" i="3"/>
  <c r="I135" i="3"/>
  <c r="I112" i="3"/>
  <c r="I186" i="3"/>
  <c r="I152" i="3"/>
  <c r="I255" i="3"/>
  <c r="I480" i="3"/>
  <c r="I299" i="3"/>
  <c r="I46" i="3"/>
  <c r="I192" i="3"/>
  <c r="I479" i="3"/>
  <c r="I98" i="3"/>
  <c r="I456" i="3"/>
  <c r="I89" i="3"/>
  <c r="I155" i="3"/>
  <c r="I393" i="3"/>
  <c r="I107" i="3"/>
  <c r="I247" i="3"/>
  <c r="I106" i="3"/>
  <c r="I253" i="3"/>
  <c r="I90" i="3"/>
  <c r="I99" i="3"/>
  <c r="I249" i="3"/>
  <c r="I248" i="3"/>
  <c r="I76" i="3"/>
  <c r="I74" i="3"/>
  <c r="I242" i="3"/>
  <c r="I92" i="3"/>
  <c r="I165" i="3"/>
  <c r="I169" i="3"/>
  <c r="I485" i="3"/>
  <c r="I22" i="3"/>
  <c r="I28" i="3"/>
  <c r="I238" i="3"/>
  <c r="I469" i="3"/>
  <c r="I362" i="3"/>
  <c r="I266" i="3"/>
  <c r="I357" i="3"/>
  <c r="I267" i="3"/>
  <c r="I27" i="3"/>
  <c r="I170" i="3"/>
  <c r="I39" i="3"/>
  <c r="I379" i="3"/>
  <c r="I29" i="3"/>
  <c r="I429" i="3"/>
  <c r="I268" i="3"/>
  <c r="I236" i="3"/>
  <c r="I209" i="3"/>
  <c r="I263" i="3"/>
  <c r="I435" i="3"/>
  <c r="I30" i="3"/>
  <c r="I399" i="3"/>
  <c r="I85" i="3"/>
  <c r="I392" i="3"/>
  <c r="I422" i="3"/>
  <c r="I390" i="3"/>
  <c r="I121" i="3"/>
  <c r="I433" i="3"/>
  <c r="I407" i="3"/>
  <c r="I378" i="3"/>
  <c r="I398" i="3"/>
  <c r="I141" i="3"/>
  <c r="I324" i="3"/>
  <c r="I131" i="3"/>
  <c r="I468" i="3"/>
  <c r="I258" i="3"/>
  <c r="I397" i="3"/>
  <c r="I103" i="3"/>
  <c r="I126" i="3"/>
  <c r="I371" i="3"/>
  <c r="I128" i="3"/>
  <c r="I339" i="3"/>
  <c r="I344" i="3"/>
  <c r="I198" i="3"/>
  <c r="I360" i="3"/>
  <c r="I145" i="3"/>
  <c r="I56" i="3"/>
  <c r="I91" i="3"/>
  <c r="I451" i="3"/>
  <c r="I475" i="3"/>
  <c r="I116" i="3"/>
  <c r="I415" i="3"/>
  <c r="I150" i="3"/>
  <c r="I246" i="3"/>
  <c r="I481" i="3"/>
  <c r="I442" i="3"/>
  <c r="I222" i="3"/>
  <c r="I83" i="3"/>
  <c r="I447" i="3"/>
  <c r="I72" i="3"/>
  <c r="I476" i="3"/>
  <c r="I302" i="3"/>
  <c r="I93" i="3"/>
  <c r="I180" i="3"/>
  <c r="I245" i="3"/>
  <c r="I136" i="3"/>
  <c r="I381" i="3"/>
  <c r="I148" i="3"/>
  <c r="I151" i="3"/>
  <c r="I395" i="3"/>
  <c r="I94" i="3"/>
  <c r="I250" i="3"/>
  <c r="I229" i="3"/>
  <c r="I219" i="3"/>
  <c r="I226" i="3"/>
  <c r="I227" i="3"/>
  <c r="I220" i="3"/>
  <c r="I316" i="3"/>
  <c r="I332" i="3"/>
  <c r="I384" i="3"/>
  <c r="I402" i="3"/>
  <c r="I71" i="3"/>
  <c r="I133" i="3"/>
  <c r="I458" i="3"/>
  <c r="I69" i="3"/>
  <c r="I472" i="3"/>
  <c r="I127" i="3"/>
  <c r="I139" i="3"/>
  <c r="I409" i="3"/>
  <c r="I132" i="3"/>
  <c r="I340" i="3"/>
  <c r="I400" i="3"/>
  <c r="I230" i="3"/>
  <c r="I228" i="3"/>
  <c r="I64" i="3"/>
  <c r="I232" i="3"/>
  <c r="I369" i="3"/>
  <c r="I223" i="3"/>
  <c r="I82" i="3"/>
  <c r="I416" i="3"/>
  <c r="I77" i="3"/>
  <c r="I347" i="3"/>
  <c r="I349" i="3"/>
  <c r="I370" i="3"/>
  <c r="I346" i="3"/>
  <c r="I174" i="3"/>
  <c r="I182" i="3"/>
  <c r="I449" i="3"/>
  <c r="I183" i="3"/>
  <c r="I156" i="3"/>
  <c r="I483" i="3"/>
  <c r="I47" i="3"/>
  <c r="I113" i="3"/>
  <c r="I158" i="3"/>
  <c r="I193" i="3"/>
  <c r="I102" i="3"/>
  <c r="I452" i="3"/>
  <c r="I188" i="3"/>
  <c r="I117" i="3"/>
  <c r="I54" i="3"/>
  <c r="I130" i="3"/>
  <c r="I478" i="3"/>
  <c r="I482" i="3"/>
  <c r="I421" i="3"/>
  <c r="I474" i="3"/>
  <c r="I448" i="3"/>
  <c r="I461" i="3"/>
  <c r="I386" i="3"/>
  <c r="I75" i="3"/>
  <c r="I473" i="3"/>
  <c r="I420" i="3"/>
  <c r="I108" i="3"/>
  <c r="I143" i="3"/>
  <c r="I95" i="3"/>
  <c r="I120" i="3"/>
  <c r="I137" i="3"/>
  <c r="I109" i="3"/>
  <c r="I84" i="3"/>
  <c r="I140" i="3"/>
  <c r="I157" i="3"/>
  <c r="I162" i="3"/>
  <c r="I276" i="3"/>
  <c r="I322" i="3"/>
  <c r="I295" i="3"/>
  <c r="I279" i="3"/>
  <c r="I286" i="3"/>
  <c r="I213" i="3"/>
  <c r="I233" i="3"/>
  <c r="I278" i="3"/>
  <c r="I215" i="3"/>
  <c r="I264" i="3"/>
  <c r="I287" i="3"/>
  <c r="I177" i="3"/>
  <c r="I289" i="3"/>
  <c r="I175" i="3"/>
  <c r="I439" i="3"/>
  <c r="I16" i="3"/>
  <c r="I284" i="3"/>
  <c r="I55" i="3"/>
  <c r="I50" i="3"/>
  <c r="I243" i="3"/>
  <c r="I251" i="3"/>
  <c r="I241" i="3"/>
  <c r="I176" i="3"/>
  <c r="I282" i="3"/>
  <c r="I336" i="3"/>
  <c r="I412" i="3"/>
  <c r="I298" i="3"/>
  <c r="I413" i="3"/>
  <c r="I438" i="3"/>
  <c r="I436" i="3"/>
  <c r="I68" i="3"/>
  <c r="I17" i="3"/>
  <c r="I454" i="3"/>
  <c r="I345" i="3"/>
  <c r="I462" i="3"/>
  <c r="G206" i="3"/>
  <c r="G328" i="3"/>
  <c r="G210" i="3"/>
  <c r="G329" i="3"/>
  <c r="G227" i="3"/>
  <c r="G233" i="3"/>
  <c r="G350" i="3"/>
  <c r="G211" i="3"/>
  <c r="G357" i="3"/>
  <c r="G330" i="3"/>
  <c r="G13" i="3"/>
  <c r="G436" i="3"/>
  <c r="G72" i="3"/>
  <c r="G380" i="3"/>
  <c r="G351" i="3"/>
  <c r="G311" i="3"/>
  <c r="G272" i="3"/>
  <c r="G273" i="3"/>
  <c r="G274" i="3"/>
  <c r="G275" i="3"/>
  <c r="G381" i="3"/>
  <c r="G312" i="3"/>
  <c r="G14" i="3"/>
  <c r="G15" i="3"/>
  <c r="G16" i="3"/>
  <c r="G424" i="3"/>
  <c r="G276" i="3"/>
  <c r="G431" i="3"/>
  <c r="G17" i="3"/>
  <c r="G43" i="3"/>
  <c r="G168" i="3"/>
  <c r="G432" i="3"/>
  <c r="G242" i="3"/>
  <c r="G243" i="3"/>
  <c r="G313" i="3"/>
  <c r="G69" i="3"/>
  <c r="G57" i="3"/>
  <c r="G376" i="3"/>
  <c r="G44" i="3"/>
  <c r="G277" i="3"/>
  <c r="G314" i="3"/>
  <c r="G372" i="3"/>
  <c r="G278" i="3"/>
  <c r="G264" i="3"/>
  <c r="G315" i="3"/>
  <c r="G45" i="3"/>
  <c r="G53" i="3"/>
  <c r="G441" i="3"/>
  <c r="G169" i="3"/>
  <c r="G18" i="3"/>
  <c r="G427" i="3"/>
  <c r="G316" i="3"/>
  <c r="G9" i="3"/>
  <c r="G390" i="3"/>
  <c r="G279" i="3"/>
  <c r="G73" i="3"/>
  <c r="G361" i="3"/>
  <c r="G362" i="3"/>
  <c r="G408" i="3"/>
  <c r="G19" i="3"/>
  <c r="G195" i="3"/>
  <c r="G250" i="3"/>
  <c r="G280" i="3"/>
  <c r="G86" i="3"/>
  <c r="G419" i="3"/>
  <c r="G58" i="3"/>
  <c r="G382" i="3"/>
  <c r="G46" i="3"/>
  <c r="G281" i="3"/>
  <c r="G331" i="3"/>
  <c r="G373" i="3"/>
  <c r="G282" i="3"/>
  <c r="G265" i="3"/>
  <c r="G337" i="3"/>
  <c r="G47" i="3"/>
  <c r="G266" i="3"/>
  <c r="G445" i="3"/>
  <c r="G170" i="3"/>
  <c r="G20" i="3"/>
  <c r="G428" i="3"/>
  <c r="G338" i="3"/>
  <c r="G164" i="3"/>
  <c r="G391" i="3"/>
  <c r="G283" i="3"/>
  <c r="G112" i="3"/>
  <c r="G363" i="3"/>
  <c r="G364" i="3"/>
  <c r="G409" i="3"/>
  <c r="G21" i="3"/>
  <c r="G196" i="3"/>
  <c r="G228" i="3"/>
  <c r="G188" i="3"/>
  <c r="G78" i="3"/>
  <c r="G59" i="3"/>
  <c r="G186" i="3"/>
  <c r="G74" i="3"/>
  <c r="G79" i="3"/>
  <c r="G165" i="3"/>
  <c r="G415" i="3"/>
  <c r="G82" i="3"/>
  <c r="G111" i="3"/>
  <c r="G244" i="3"/>
  <c r="G114" i="3"/>
  <c r="G115" i="3"/>
  <c r="G366" i="3"/>
  <c r="G359" i="3"/>
  <c r="G368" i="3"/>
  <c r="G369" i="3"/>
  <c r="G365" i="3"/>
  <c r="G284" i="3"/>
  <c r="G238" i="3"/>
  <c r="G212" i="3"/>
  <c r="G87" i="3"/>
  <c r="G416" i="3"/>
  <c r="G466" i="3"/>
  <c r="G88" i="3"/>
  <c r="G251" i="3"/>
  <c r="G483" i="3"/>
  <c r="G258" i="3"/>
  <c r="G154" i="3"/>
  <c r="G148" i="3"/>
  <c r="G155" i="3"/>
  <c r="G413" i="3"/>
  <c r="G383" i="3"/>
  <c r="G60" i="3"/>
  <c r="G220" i="3"/>
  <c r="G213" i="3"/>
  <c r="G214" i="3"/>
  <c r="G285" i="3"/>
  <c r="G299" i="3"/>
  <c r="G286" i="3"/>
  <c r="G287" i="3"/>
  <c r="G288" i="3"/>
  <c r="G317" i="3"/>
  <c r="G289" i="3"/>
  <c r="G332" i="3"/>
  <c r="G290" i="3"/>
  <c r="G291" i="3"/>
  <c r="G95" i="3"/>
  <c r="G61" i="3"/>
  <c r="G437" i="3"/>
  <c r="G433" i="3"/>
  <c r="G453" i="3"/>
  <c r="G476" i="3"/>
  <c r="G292" i="3"/>
  <c r="G377" i="3"/>
  <c r="G62" i="3"/>
  <c r="G293" i="3"/>
  <c r="G294" i="3"/>
  <c r="G295" i="3"/>
  <c r="G10" i="3"/>
  <c r="G384" i="3"/>
  <c r="G113" i="3"/>
  <c r="G22" i="3"/>
  <c r="G333" i="3"/>
  <c r="G296" i="3"/>
  <c r="G215" i="3"/>
  <c r="G149" i="3"/>
  <c r="G245" i="3"/>
  <c r="G216" i="3"/>
  <c r="G297" i="3"/>
  <c r="G181" i="3"/>
  <c r="G151" i="3"/>
  <c r="G48" i="3"/>
  <c r="G23" i="3"/>
  <c r="G385" i="3"/>
  <c r="G232" i="3"/>
  <c r="G334" i="3"/>
  <c r="G298" i="3"/>
  <c r="G103" i="3"/>
  <c r="G24" i="3"/>
  <c r="G302" i="3"/>
  <c r="G318" i="3"/>
  <c r="G438" i="3"/>
  <c r="G25" i="3"/>
  <c r="G300" i="3"/>
  <c r="G63" i="3"/>
  <c r="G26" i="3"/>
  <c r="G467" i="3"/>
  <c r="G303" i="3"/>
  <c r="G54" i="3"/>
  <c r="G301" i="3"/>
  <c r="G410" i="3"/>
  <c r="G392" i="3"/>
  <c r="G320" i="3"/>
  <c r="G89" i="3"/>
  <c r="G425" i="3"/>
  <c r="G177" i="3"/>
  <c r="G64" i="3"/>
  <c r="G198" i="3"/>
  <c r="G404" i="3"/>
  <c r="G11" i="3"/>
  <c r="G65" i="3"/>
  <c r="G393" i="3"/>
  <c r="G27" i="3"/>
  <c r="G439" i="3"/>
  <c r="G104" i="3"/>
  <c r="G108" i="3"/>
  <c r="G399" i="3"/>
  <c r="G28" i="3"/>
  <c r="G98" i="3"/>
  <c r="G105" i="3"/>
  <c r="G454" i="3"/>
  <c r="G76" i="3"/>
  <c r="G29" i="3"/>
  <c r="G446" i="3"/>
  <c r="G66" i="3"/>
  <c r="G67" i="3"/>
  <c r="G429" i="3"/>
  <c r="G339" i="3"/>
  <c r="G352" i="3"/>
  <c r="G340" i="3"/>
  <c r="G321" i="3"/>
  <c r="G30" i="3"/>
  <c r="G90" i="3"/>
  <c r="G96" i="3"/>
  <c r="G447" i="3"/>
  <c r="G109" i="3"/>
  <c r="G55" i="3"/>
  <c r="G458" i="3"/>
  <c r="G171" i="3"/>
  <c r="G172" i="3"/>
  <c r="G455" i="3"/>
  <c r="G173" i="3"/>
  <c r="G457" i="3"/>
  <c r="G459" i="3"/>
  <c r="G189" i="3"/>
  <c r="G191" i="3"/>
  <c r="G460" i="3"/>
  <c r="G135" i="3"/>
  <c r="G199" i="3"/>
  <c r="G136" i="3"/>
  <c r="G472" i="3"/>
  <c r="G137" i="3"/>
  <c r="G131" i="3"/>
  <c r="G200" i="3"/>
  <c r="G161" i="3"/>
  <c r="G259" i="3"/>
  <c r="G484" i="3"/>
  <c r="G367" i="3"/>
  <c r="G99" i="3"/>
  <c r="G201" i="3"/>
  <c r="G485" i="3"/>
  <c r="G138" i="3"/>
  <c r="G471" i="3"/>
  <c r="G139" i="3"/>
  <c r="G162" i="3"/>
  <c r="G421" i="3"/>
  <c r="G143" i="3"/>
  <c r="G252" i="3"/>
  <c r="G128" i="3"/>
  <c r="G253" i="3"/>
  <c r="G68" i="3"/>
  <c r="G140" i="3"/>
  <c r="G260" i="3"/>
  <c r="G261" i="3"/>
  <c r="G132" i="3"/>
  <c r="G133" i="3"/>
  <c r="G254" i="3"/>
  <c r="G141" i="3"/>
  <c r="G166" i="3"/>
  <c r="G174" i="3"/>
  <c r="G478" i="3"/>
  <c r="G31" i="3"/>
  <c r="G49" i="3"/>
  <c r="G217" i="3"/>
  <c r="G473" i="3"/>
  <c r="G322" i="3"/>
  <c r="G267" i="3"/>
  <c r="G304" i="3"/>
  <c r="G305" i="3"/>
  <c r="G32" i="3"/>
  <c r="G178" i="3"/>
  <c r="G33" i="3"/>
  <c r="G400" i="3"/>
  <c r="G102" i="3"/>
  <c r="G474" i="3"/>
  <c r="G374" i="3"/>
  <c r="G239" i="3"/>
  <c r="G207" i="3"/>
  <c r="G323" i="3"/>
  <c r="G426" i="3"/>
  <c r="G70" i="3"/>
  <c r="G401" i="3"/>
  <c r="G71" i="3"/>
  <c r="G394" i="3"/>
  <c r="G395" i="3"/>
  <c r="G412" i="3"/>
  <c r="G106" i="3"/>
  <c r="G448" i="3"/>
  <c r="G396" i="3"/>
  <c r="G378" i="3"/>
  <c r="G386" i="3"/>
  <c r="G34" i="3"/>
  <c r="G319" i="3"/>
  <c r="G35" i="3"/>
  <c r="G449" i="3"/>
  <c r="G257" i="3"/>
  <c r="G387" i="3"/>
  <c r="G91" i="3"/>
  <c r="G80" i="3"/>
  <c r="G335" i="3"/>
  <c r="G75" i="3"/>
  <c r="G353" i="3"/>
  <c r="G324" i="3"/>
  <c r="G179" i="3"/>
  <c r="G268" i="3"/>
  <c r="G116" i="3"/>
  <c r="G117" i="3"/>
  <c r="G118" i="3"/>
  <c r="G461" i="3"/>
  <c r="G462" i="3"/>
  <c r="G92" i="3"/>
  <c r="G388" i="3"/>
  <c r="G152" i="3"/>
  <c r="G255" i="3"/>
  <c r="G480" i="3"/>
  <c r="G469" i="3"/>
  <c r="G237" i="3"/>
  <c r="G100" i="3"/>
  <c r="G463" i="3"/>
  <c r="G36" i="3"/>
  <c r="G434" i="3"/>
  <c r="G306" i="3"/>
  <c r="G119" i="3"/>
  <c r="G192" i="3"/>
  <c r="G256" i="3"/>
  <c r="G81" i="3"/>
  <c r="G389" i="3"/>
  <c r="G156" i="3"/>
  <c r="G157" i="3"/>
  <c r="G417" i="3"/>
  <c r="G120" i="3"/>
  <c r="G246" i="3"/>
  <c r="G229" i="3"/>
  <c r="G218" i="3"/>
  <c r="G221" i="3"/>
  <c r="G230" i="3"/>
  <c r="G219" i="3"/>
  <c r="G307" i="3"/>
  <c r="G341" i="3"/>
  <c r="G397" i="3"/>
  <c r="G402" i="3"/>
  <c r="G37" i="3"/>
  <c r="G84" i="3"/>
  <c r="G452" i="3"/>
  <c r="G12" i="3"/>
  <c r="G450" i="3"/>
  <c r="G38" i="3"/>
  <c r="G107" i="3"/>
  <c r="G411" i="3"/>
  <c r="G354" i="3"/>
  <c r="G403" i="3"/>
  <c r="G222" i="3"/>
  <c r="G231" i="3"/>
  <c r="G56" i="3"/>
  <c r="G235" i="3"/>
  <c r="G342" i="3"/>
  <c r="G224" i="3"/>
  <c r="G50" i="3"/>
  <c r="G405" i="3"/>
  <c r="G39" i="3"/>
  <c r="G370" i="3"/>
  <c r="G371" i="3"/>
  <c r="G308" i="3"/>
  <c r="G360" i="3"/>
  <c r="G202" i="3"/>
  <c r="G203" i="3"/>
  <c r="G470" i="3"/>
  <c r="G175" i="3"/>
  <c r="G153" i="3"/>
  <c r="G482" i="3"/>
  <c r="G142" i="3"/>
  <c r="G97" i="3"/>
  <c r="G160" i="3"/>
  <c r="G193" i="3"/>
  <c r="G93" i="3"/>
  <c r="G464" i="3"/>
  <c r="G197" i="3"/>
  <c r="G121" i="3"/>
  <c r="G144" i="3"/>
  <c r="G122" i="3"/>
  <c r="G479" i="3"/>
  <c r="G481" i="3"/>
  <c r="G420" i="3"/>
  <c r="G443" i="3"/>
  <c r="G465" i="3"/>
  <c r="G451" i="3"/>
  <c r="G406" i="3"/>
  <c r="G40" i="3"/>
  <c r="G468" i="3"/>
  <c r="G418" i="3"/>
  <c r="G129" i="3"/>
  <c r="G123" i="3"/>
  <c r="G124" i="3"/>
  <c r="G125" i="3"/>
  <c r="G130" i="3"/>
  <c r="G145" i="3"/>
  <c r="G101" i="3"/>
  <c r="G94" i="3"/>
  <c r="G159" i="3"/>
  <c r="G150" i="3"/>
  <c r="G355" i="3"/>
  <c r="G343" i="3"/>
  <c r="G309" i="3"/>
  <c r="G344" i="3"/>
  <c r="G345" i="3"/>
  <c r="G208" i="3"/>
  <c r="G236" i="3"/>
  <c r="G346" i="3"/>
  <c r="G223" i="3"/>
  <c r="G347" i="3"/>
  <c r="G269" i="3"/>
  <c r="G182" i="3"/>
  <c r="G348" i="3"/>
  <c r="G176" i="3"/>
  <c r="G444" i="3"/>
  <c r="G41" i="3"/>
  <c r="G325" i="3"/>
  <c r="G51" i="3"/>
  <c r="G83" i="3"/>
  <c r="G241" i="3"/>
  <c r="G248" i="3"/>
  <c r="G247" i="3"/>
  <c r="G180" i="3"/>
  <c r="G270" i="3"/>
  <c r="G356" i="3"/>
  <c r="G398" i="3"/>
  <c r="G407" i="3"/>
  <c r="G475" i="3"/>
  <c r="G430" i="3"/>
  <c r="G52" i="3"/>
  <c r="G42" i="3"/>
  <c r="G440" i="3"/>
  <c r="G326" i="3"/>
  <c r="G435" i="3"/>
  <c r="AD206" i="3"/>
  <c r="AD211" i="3"/>
  <c r="AD265" i="3"/>
  <c r="AD212" i="3"/>
  <c r="AD208" i="3"/>
  <c r="AD356" i="3"/>
  <c r="AD352" i="3"/>
  <c r="AD325" i="3"/>
  <c r="AD319" i="3"/>
  <c r="AD202" i="3"/>
  <c r="AD142" i="3"/>
  <c r="AD396" i="3"/>
  <c r="AD53" i="3"/>
  <c r="AD443" i="3"/>
  <c r="AD96" i="3"/>
  <c r="AD122" i="3"/>
  <c r="AD124" i="3"/>
  <c r="AD470" i="3"/>
  <c r="AD185" i="3"/>
  <c r="AD419" i="3"/>
  <c r="AD187" i="3"/>
  <c r="AD204" i="3"/>
  <c r="AD244" i="3"/>
  <c r="AD195" i="3"/>
  <c r="AD194" i="3"/>
  <c r="AD417" i="3"/>
  <c r="AD178" i="3"/>
  <c r="AD161" i="3"/>
  <c r="AD281" i="3"/>
  <c r="AD118" i="3"/>
  <c r="AB206" i="3"/>
  <c r="AB211" i="3"/>
  <c r="AB265" i="3"/>
  <c r="AB212" i="3"/>
  <c r="AB208" i="3"/>
  <c r="AB356" i="3"/>
  <c r="AB352" i="3"/>
  <c r="AB325" i="3"/>
  <c r="AB319" i="3"/>
  <c r="AB202" i="3"/>
  <c r="AB142" i="3"/>
  <c r="AB396" i="3"/>
  <c r="AB443" i="3"/>
  <c r="AB96" i="3"/>
  <c r="AB122" i="3"/>
  <c r="AB124" i="3"/>
  <c r="AB470" i="3"/>
  <c r="AB185" i="3"/>
  <c r="AB419" i="3"/>
  <c r="AB187" i="3"/>
  <c r="AB204" i="3"/>
  <c r="AB244" i="3"/>
  <c r="AB195" i="3"/>
  <c r="AB194" i="3"/>
  <c r="AB417" i="3"/>
  <c r="AB178" i="3"/>
  <c r="AB161" i="3"/>
  <c r="AB281" i="3"/>
  <c r="AB118" i="3"/>
  <c r="L281" i="3"/>
  <c r="L161" i="3"/>
  <c r="L178" i="3"/>
  <c r="L417" i="3"/>
  <c r="L194" i="3"/>
  <c r="L195" i="3"/>
  <c r="L244" i="3"/>
  <c r="L204" i="3"/>
  <c r="L187" i="3"/>
  <c r="L419" i="3"/>
  <c r="L185" i="3"/>
  <c r="L470" i="3"/>
  <c r="L124" i="3"/>
  <c r="L122" i="3"/>
  <c r="L96" i="3"/>
  <c r="L443" i="3"/>
  <c r="L53" i="3"/>
  <c r="L396" i="3"/>
  <c r="L142" i="3"/>
  <c r="L202" i="3"/>
  <c r="L319" i="3"/>
  <c r="L325" i="3"/>
  <c r="L352" i="3"/>
  <c r="L356" i="3"/>
  <c r="L208" i="3"/>
  <c r="L212" i="3"/>
  <c r="L265" i="3"/>
  <c r="L211" i="3"/>
  <c r="L206" i="3"/>
  <c r="I281" i="3"/>
  <c r="I161" i="3"/>
  <c r="I178" i="3"/>
  <c r="I417" i="3"/>
  <c r="I194" i="3"/>
  <c r="I195" i="3"/>
  <c r="I244" i="3"/>
  <c r="I204" i="3"/>
  <c r="I187" i="3"/>
  <c r="I419" i="3"/>
  <c r="I185" i="3"/>
  <c r="I470" i="3"/>
  <c r="I124" i="3"/>
  <c r="I122" i="3"/>
  <c r="I96" i="3"/>
  <c r="I443" i="3"/>
  <c r="I53" i="3"/>
  <c r="I396" i="3"/>
  <c r="I142" i="3"/>
  <c r="I202" i="3"/>
  <c r="I319" i="3"/>
  <c r="I325" i="3"/>
  <c r="I352" i="3"/>
  <c r="I356" i="3"/>
  <c r="I208" i="3"/>
  <c r="I212" i="3"/>
  <c r="I265" i="3"/>
  <c r="I211" i="3"/>
  <c r="I206" i="3"/>
  <c r="G358" i="3"/>
  <c r="G158" i="3"/>
  <c r="G184" i="3"/>
  <c r="G422" i="3"/>
  <c r="G190" i="3"/>
  <c r="G183" i="3"/>
  <c r="G249" i="3"/>
  <c r="G185" i="3"/>
  <c r="G194" i="3"/>
  <c r="G379" i="3"/>
  <c r="G187" i="3"/>
  <c r="G442" i="3"/>
  <c r="G77" i="3"/>
  <c r="G110" i="3"/>
  <c r="G134" i="3"/>
  <c r="G456" i="3"/>
  <c r="G126" i="3"/>
  <c r="G414" i="3"/>
  <c r="G127" i="3"/>
  <c r="G204" i="3"/>
  <c r="G271" i="3"/>
  <c r="G327" i="3"/>
  <c r="G336" i="3"/>
  <c r="G263" i="3"/>
  <c r="G234" i="3"/>
  <c r="G209" i="3"/>
  <c r="G310" i="3"/>
  <c r="G225" i="3"/>
  <c r="G226" i="3"/>
  <c r="L118" i="3"/>
  <c r="I118" i="3"/>
  <c r="G146" i="3"/>
  <c r="W216" i="3" l="1"/>
  <c r="W60" i="3"/>
  <c r="W78" i="3"/>
  <c r="W32" i="3"/>
  <c r="W85" i="3"/>
  <c r="W172" i="3"/>
  <c r="W372" i="3"/>
  <c r="W388" i="3"/>
  <c r="W273" i="3"/>
  <c r="W424" i="3"/>
  <c r="W21" i="3"/>
  <c r="W367" i="3"/>
  <c r="W308" i="3"/>
  <c r="W235" i="3"/>
  <c r="W394" i="3"/>
  <c r="W65" i="3"/>
  <c r="W457" i="3"/>
  <c r="W401" i="3"/>
  <c r="W58" i="3"/>
  <c r="W387" i="3"/>
  <c r="W466" i="3"/>
  <c r="W404" i="3"/>
  <c r="W425" i="3"/>
  <c r="W70" i="3"/>
  <c r="W49" i="3"/>
  <c r="W218" i="3"/>
  <c r="W160" i="3"/>
  <c r="W261" i="3"/>
  <c r="W484" i="3"/>
  <c r="W408" i="3"/>
  <c r="W317" i="3"/>
  <c r="W341" i="3"/>
  <c r="W252" i="3"/>
  <c r="W164" i="3"/>
  <c r="W100" i="3"/>
  <c r="W197" i="3"/>
  <c r="W334" i="3"/>
  <c r="W166" i="3"/>
  <c r="W200" i="3"/>
  <c r="W355" i="3"/>
  <c r="W321" i="3"/>
  <c r="W383" i="3"/>
  <c r="W305" i="3"/>
  <c r="W430" i="3"/>
  <c r="W427" i="3"/>
  <c r="W207" i="3"/>
  <c r="W259" i="3"/>
  <c r="W38" i="3"/>
  <c r="W434" i="3"/>
  <c r="W335" i="3"/>
  <c r="W283" i="3"/>
  <c r="W380" i="3"/>
  <c r="W11" i="3"/>
  <c r="W274" i="3"/>
  <c r="W260" i="3"/>
  <c r="W146" i="3"/>
  <c r="W338" i="3"/>
  <c r="W343" i="3"/>
  <c r="W104" i="3"/>
  <c r="W328" i="3"/>
  <c r="W463" i="3"/>
  <c r="W300" i="3"/>
  <c r="W306" i="3"/>
  <c r="W256" i="3"/>
  <c r="W41" i="3"/>
  <c r="W243" i="3"/>
  <c r="W16" i="3"/>
  <c r="W75" i="3"/>
  <c r="W474" i="3"/>
  <c r="W369" i="3"/>
  <c r="W230" i="3"/>
  <c r="W471" i="3"/>
  <c r="W111" i="3"/>
  <c r="W114" i="3"/>
  <c r="W403" i="3"/>
  <c r="W190" i="3"/>
  <c r="W20" i="3"/>
  <c r="W331" i="3"/>
  <c r="W18" i="3"/>
  <c r="W467" i="3"/>
  <c r="W31" i="3"/>
  <c r="W391" i="3"/>
  <c r="W173" i="3"/>
  <c r="W159" i="3"/>
  <c r="W373" i="3"/>
  <c r="W26" i="3"/>
  <c r="W36" i="3"/>
  <c r="W428" i="3"/>
  <c r="W25" i="3"/>
  <c r="W361" i="3"/>
  <c r="W294" i="3"/>
  <c r="W214" i="3"/>
  <c r="W414" i="3"/>
  <c r="W119" i="3"/>
  <c r="W221" i="3"/>
  <c r="W303" i="3"/>
  <c r="W101" i="3"/>
  <c r="W86" i="3"/>
  <c r="W138" i="3"/>
  <c r="W79" i="3"/>
  <c r="W105" i="3"/>
  <c r="W329" i="3"/>
  <c r="W464" i="3"/>
  <c r="W301" i="3"/>
  <c r="W307" i="3"/>
  <c r="W9" i="3"/>
  <c r="W257" i="3"/>
  <c r="W405" i="3"/>
  <c r="W271" i="3"/>
  <c r="W440" i="3"/>
  <c r="W62" i="3"/>
  <c r="W350" i="3"/>
  <c r="W59" i="3"/>
  <c r="W465" i="3"/>
  <c r="W10" i="3"/>
  <c r="W377" i="3"/>
  <c r="W304" i="3"/>
  <c r="W37" i="3"/>
  <c r="W358" i="3"/>
  <c r="W225" i="3"/>
  <c r="W353" i="3"/>
  <c r="W144" i="3"/>
  <c r="W129" i="3"/>
  <c r="W66" i="3"/>
  <c r="W24" i="3"/>
  <c r="W44" i="3"/>
  <c r="W318" i="3"/>
  <c r="W63" i="3"/>
  <c r="W43" i="3"/>
  <c r="W326" i="3"/>
  <c r="W309" i="3"/>
  <c r="W48" i="3"/>
  <c r="W297" i="3"/>
  <c r="W67" i="3"/>
  <c r="W291" i="3"/>
  <c r="W385" i="3"/>
  <c r="W445" i="3"/>
  <c r="W290" i="3"/>
  <c r="W363" i="3"/>
  <c r="W374" i="3"/>
  <c r="W234" i="3"/>
  <c r="W153" i="3"/>
  <c r="W254" i="3"/>
  <c r="W455" i="3"/>
  <c r="W231" i="3"/>
  <c r="W348" i="3"/>
  <c r="W87" i="3"/>
  <c r="W110" i="3"/>
  <c r="W201" i="3"/>
  <c r="W406" i="3"/>
  <c r="W272" i="3"/>
  <c r="W441" i="3"/>
  <c r="W292" i="3"/>
  <c r="W351" i="3"/>
  <c r="W376" i="3"/>
  <c r="W196" i="3"/>
  <c r="W368" i="3"/>
  <c r="W411" i="3"/>
  <c r="W33" i="3"/>
  <c r="W80" i="3"/>
  <c r="W313" i="3"/>
  <c r="W382" i="3"/>
  <c r="W323" i="3"/>
  <c r="W171" i="3"/>
  <c r="W13" i="3"/>
  <c r="W310" i="3"/>
  <c r="W285" i="3"/>
  <c r="W359" i="3"/>
  <c r="W224" i="3"/>
  <c r="W210" i="3"/>
  <c r="W61" i="3"/>
  <c r="W115" i="3"/>
  <c r="W42" i="3"/>
  <c r="W426" i="3"/>
  <c r="W57" i="3"/>
  <c r="W189" i="3"/>
  <c r="W389" i="3"/>
  <c r="W311" i="3"/>
  <c r="W293" i="3"/>
  <c r="W315" i="3"/>
  <c r="W330" i="3"/>
  <c r="W52" i="3"/>
  <c r="W239" i="3"/>
  <c r="W51" i="3"/>
  <c r="W277" i="3"/>
  <c r="W275" i="3"/>
  <c r="W437" i="3"/>
  <c r="W269" i="3"/>
  <c r="W288" i="3"/>
  <c r="W296" i="3"/>
  <c r="W40" i="3"/>
  <c r="W149" i="3"/>
  <c r="W123" i="3"/>
  <c r="W418" i="3"/>
  <c r="W184" i="3"/>
  <c r="W237" i="3"/>
  <c r="W366" i="3"/>
  <c r="W410" i="3"/>
  <c r="W34" i="3"/>
  <c r="W81" i="3"/>
  <c r="W314" i="3"/>
  <c r="W45" i="3"/>
  <c r="W333" i="3"/>
  <c r="W125" i="3"/>
  <c r="W199" i="3"/>
  <c r="W354" i="3"/>
  <c r="W320" i="3"/>
  <c r="W35" i="3"/>
  <c r="W270" i="3"/>
  <c r="W73" i="3"/>
  <c r="W280" i="3"/>
  <c r="W337" i="3"/>
  <c r="W217" i="3"/>
  <c r="W342" i="3"/>
  <c r="W136" i="3"/>
  <c r="W22" i="3"/>
  <c r="W12" i="3"/>
  <c r="W462" i="3"/>
  <c r="W298" i="3"/>
  <c r="W485" i="3"/>
  <c r="W249" i="3"/>
  <c r="W155" i="3"/>
  <c r="W480" i="3"/>
  <c r="W203" i="3"/>
  <c r="W459" i="3"/>
  <c r="W93" i="3"/>
  <c r="W481" i="3"/>
  <c r="W56" i="3"/>
  <c r="W126" i="3"/>
  <c r="W398" i="3"/>
  <c r="W268" i="3"/>
  <c r="W357" i="3"/>
  <c r="W472" i="3"/>
  <c r="W316" i="3"/>
  <c r="W395" i="3"/>
  <c r="W421" i="3"/>
  <c r="W102" i="3"/>
  <c r="W449" i="3"/>
  <c r="W416" i="3"/>
  <c r="W289" i="3"/>
  <c r="W286" i="3"/>
  <c r="W84" i="3"/>
  <c r="W473" i="3"/>
  <c r="W345" i="3"/>
  <c r="W412" i="3"/>
  <c r="W50" i="3"/>
  <c r="W177" i="3"/>
  <c r="W279" i="3"/>
  <c r="W109" i="3"/>
  <c r="W482" i="3"/>
  <c r="W193" i="3"/>
  <c r="W182" i="3"/>
  <c r="W82" i="3"/>
  <c r="W69" i="3"/>
  <c r="W220" i="3"/>
  <c r="W151" i="3"/>
  <c r="W302" i="3"/>
  <c r="W246" i="3"/>
  <c r="W145" i="3"/>
  <c r="W103" i="3"/>
  <c r="W378" i="3"/>
  <c r="W429" i="3"/>
  <c r="W266" i="3"/>
  <c r="W169" i="3"/>
  <c r="W99" i="3"/>
  <c r="W89" i="3"/>
  <c r="W255" i="3"/>
  <c r="W134" i="3"/>
  <c r="W191" i="3"/>
  <c r="W14" i="3"/>
  <c r="W454" i="3"/>
  <c r="W336" i="3"/>
  <c r="W55" i="3"/>
  <c r="W287" i="3"/>
  <c r="W295" i="3"/>
  <c r="W137" i="3"/>
  <c r="W478" i="3"/>
  <c r="W158" i="3"/>
  <c r="W174" i="3"/>
  <c r="W223" i="3"/>
  <c r="W400" i="3"/>
  <c r="W458" i="3"/>
  <c r="W227" i="3"/>
  <c r="W148" i="3"/>
  <c r="W476" i="3"/>
  <c r="W150" i="3"/>
  <c r="W360" i="3"/>
  <c r="W397" i="3"/>
  <c r="W407" i="3"/>
  <c r="W399" i="3"/>
  <c r="W29" i="3"/>
  <c r="W362" i="3"/>
  <c r="W165" i="3"/>
  <c r="W90" i="3"/>
  <c r="W456" i="3"/>
  <c r="W152" i="3"/>
  <c r="W460" i="3"/>
  <c r="W19" i="3"/>
  <c r="W17" i="3"/>
  <c r="W282" i="3"/>
  <c r="W284" i="3"/>
  <c r="W264" i="3"/>
  <c r="W322" i="3"/>
  <c r="W120" i="3"/>
  <c r="W386" i="3"/>
  <c r="W130" i="3"/>
  <c r="W113" i="3"/>
  <c r="W346" i="3"/>
  <c r="W340" i="3"/>
  <c r="W133" i="3"/>
  <c r="W226" i="3"/>
  <c r="W381" i="3"/>
  <c r="W72" i="3"/>
  <c r="W415" i="3"/>
  <c r="W198" i="3"/>
  <c r="W258" i="3"/>
  <c r="W433" i="3"/>
  <c r="W30" i="3"/>
  <c r="W379" i="3"/>
  <c r="W469" i="3"/>
  <c r="W92" i="3"/>
  <c r="W253" i="3"/>
  <c r="W98" i="3"/>
  <c r="W186" i="3"/>
  <c r="W168" i="3"/>
  <c r="W312" i="3"/>
  <c r="W68" i="3"/>
  <c r="W176" i="3"/>
  <c r="W215" i="3"/>
  <c r="W276" i="3"/>
  <c r="W95" i="3"/>
  <c r="W461" i="3"/>
  <c r="W54" i="3"/>
  <c r="W47" i="3"/>
  <c r="W370" i="3"/>
  <c r="W132" i="3"/>
  <c r="W71" i="3"/>
  <c r="W219" i="3"/>
  <c r="W447" i="3"/>
  <c r="W116" i="3"/>
  <c r="W344" i="3"/>
  <c r="W468" i="3"/>
  <c r="W121" i="3"/>
  <c r="W435" i="3"/>
  <c r="W39" i="3"/>
  <c r="W238" i="3"/>
  <c r="W242" i="3"/>
  <c r="W106" i="3"/>
  <c r="W479" i="3"/>
  <c r="W112" i="3"/>
  <c r="W179" i="3"/>
  <c r="W446" i="3"/>
  <c r="W327" i="3"/>
  <c r="W436" i="3"/>
  <c r="W241" i="3"/>
  <c r="W278" i="3"/>
  <c r="W162" i="3"/>
  <c r="W143" i="3"/>
  <c r="W448" i="3"/>
  <c r="W117" i="3"/>
  <c r="W483" i="3"/>
  <c r="W349" i="3"/>
  <c r="W232" i="3"/>
  <c r="W409" i="3"/>
  <c r="W402" i="3"/>
  <c r="W229" i="3"/>
  <c r="W83" i="3"/>
  <c r="W475" i="3"/>
  <c r="W339" i="3"/>
  <c r="W131" i="3"/>
  <c r="W390" i="3"/>
  <c r="W263" i="3"/>
  <c r="W170" i="3"/>
  <c r="W28" i="3"/>
  <c r="W74" i="3"/>
  <c r="W247" i="3"/>
  <c r="W192" i="3"/>
  <c r="W135" i="3"/>
  <c r="W450" i="3"/>
  <c r="W23" i="3"/>
  <c r="W364" i="3"/>
  <c r="W438" i="3"/>
  <c r="W251" i="3"/>
  <c r="W439" i="3"/>
  <c r="W233" i="3"/>
  <c r="W157" i="3"/>
  <c r="W108" i="3"/>
  <c r="W188" i="3"/>
  <c r="W156" i="3"/>
  <c r="W347" i="3"/>
  <c r="W64" i="3"/>
  <c r="W139" i="3"/>
  <c r="W384" i="3"/>
  <c r="W250" i="3"/>
  <c r="W245" i="3"/>
  <c r="W222" i="3"/>
  <c r="W451" i="3"/>
  <c r="W128" i="3"/>
  <c r="W324" i="3"/>
  <c r="W422" i="3"/>
  <c r="W209" i="3"/>
  <c r="W27" i="3"/>
  <c r="W76" i="3"/>
  <c r="W107" i="3"/>
  <c r="W46" i="3"/>
  <c r="W453" i="3"/>
  <c r="W444" i="3"/>
  <c r="W15" i="3"/>
  <c r="W365" i="3"/>
  <c r="W413" i="3"/>
  <c r="W175" i="3"/>
  <c r="W213" i="3"/>
  <c r="W140" i="3"/>
  <c r="W420" i="3"/>
  <c r="W452" i="3"/>
  <c r="W183" i="3"/>
  <c r="W77" i="3"/>
  <c r="W228" i="3"/>
  <c r="W127" i="3"/>
  <c r="W332" i="3"/>
  <c r="W94" i="3"/>
  <c r="W180" i="3"/>
  <c r="W442" i="3"/>
  <c r="W91" i="3"/>
  <c r="W371" i="3"/>
  <c r="W141" i="3"/>
  <c r="W392" i="3"/>
  <c r="W236" i="3"/>
  <c r="W267" i="3"/>
  <c r="W248" i="3"/>
  <c r="W393" i="3"/>
  <c r="W299" i="3"/>
  <c r="W97" i="3"/>
  <c r="W181" i="3"/>
  <c r="W432" i="3"/>
  <c r="W431" i="3"/>
  <c r="Q206" i="3" l="1"/>
  <c r="V206" i="3"/>
  <c r="W206" i="3" l="1"/>
  <c r="V281" i="3"/>
  <c r="V178" i="3"/>
  <c r="V417" i="3"/>
  <c r="V194" i="3"/>
  <c r="V195" i="3"/>
  <c r="V244" i="3"/>
  <c r="V204" i="3"/>
  <c r="V187" i="3"/>
  <c r="V419" i="3"/>
  <c r="V185" i="3"/>
  <c r="V470" i="3"/>
  <c r="V124" i="3"/>
  <c r="V122" i="3"/>
  <c r="V96" i="3"/>
  <c r="V443" i="3"/>
  <c r="V53" i="3"/>
  <c r="V396" i="3"/>
  <c r="V142" i="3"/>
  <c r="V202" i="3"/>
  <c r="V319" i="3"/>
  <c r="V325" i="3"/>
  <c r="V352" i="3"/>
  <c r="V356" i="3"/>
  <c r="V208" i="3"/>
  <c r="V212" i="3"/>
  <c r="V265" i="3"/>
  <c r="V211" i="3"/>
  <c r="V118" i="3"/>
  <c r="Q161" i="3"/>
  <c r="Q178" i="3"/>
  <c r="Q417" i="3"/>
  <c r="Q194" i="3"/>
  <c r="Q195" i="3"/>
  <c r="Q244" i="3"/>
  <c r="Q204" i="3"/>
  <c r="Q187" i="3"/>
  <c r="Q419" i="3"/>
  <c r="Q185" i="3"/>
  <c r="Q470" i="3"/>
  <c r="Q124" i="3"/>
  <c r="Q122" i="3"/>
  <c r="Q96" i="3"/>
  <c r="Q443" i="3"/>
  <c r="Q53" i="3"/>
  <c r="Q396" i="3"/>
  <c r="Q142" i="3"/>
  <c r="Q202" i="3"/>
  <c r="Q319" i="3"/>
  <c r="Q325" i="3"/>
  <c r="Q352" i="3"/>
  <c r="Q356" i="3"/>
  <c r="Q208" i="3"/>
  <c r="Q212" i="3"/>
  <c r="Q265" i="3"/>
  <c r="Q211" i="3"/>
  <c r="Q118" i="3"/>
  <c r="Q281" i="3"/>
  <c r="V161" i="3"/>
  <c r="W356" i="3" l="1"/>
  <c r="W443" i="3"/>
  <c r="W211" i="3"/>
  <c r="W212" i="3"/>
  <c r="W325" i="3"/>
  <c r="W202" i="3"/>
  <c r="W396" i="3"/>
  <c r="W122" i="3"/>
  <c r="W419" i="3"/>
  <c r="W204" i="3"/>
  <c r="W195" i="3"/>
  <c r="W417" i="3"/>
  <c r="W161" i="3"/>
  <c r="W470" i="3"/>
  <c r="W208" i="3"/>
  <c r="W319" i="3"/>
  <c r="W53" i="3"/>
  <c r="W124" i="3"/>
  <c r="W187" i="3"/>
  <c r="W194" i="3"/>
  <c r="W281" i="3"/>
  <c r="W265" i="3"/>
  <c r="W352" i="3"/>
  <c r="W142" i="3"/>
  <c r="W96" i="3"/>
  <c r="W185" i="3"/>
  <c r="W244" i="3"/>
  <c r="W178" i="3"/>
  <c r="W118" i="3"/>
</calcChain>
</file>

<file path=xl/sharedStrings.xml><?xml version="1.0" encoding="utf-8"?>
<sst xmlns="http://schemas.openxmlformats.org/spreadsheetml/2006/main" count="8829" uniqueCount="374">
  <si>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</si>
  <si>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</si>
  <si>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</si>
  <si>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</si>
  <si>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</si>
  <si>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</si>
  <si>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</si>
  <si>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</si>
  <si>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</si>
  <si>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</si>
  <si>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</si>
  <si>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</si>
  <si>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</si>
  <si>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</si>
  <si>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</si>
  <si>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</si>
  <si>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</si>
  <si>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</si>
  <si>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</si>
  <si>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</si>
  <si>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</si>
  <si>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</si>
  <si>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</si>
  <si>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</si>
  <si>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</si>
  <si>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</si>
  <si>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</si>
  <si>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</si>
  <si>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</si>
  <si>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</si>
  <si>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</si>
  <si>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</si>
  <si>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</si>
  <si>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</si>
  <si>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Kasese</t>
  </si>
  <si>
    <t>Bushenyi</t>
  </si>
  <si>
    <t>Masaka</t>
  </si>
  <si>
    <t>Kenya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</si>
  <si>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</si>
  <si>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</si>
  <si>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</si>
  <si>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</si>
  <si>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</si>
  <si>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</si>
  <si>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</si>
  <si>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</si>
  <si>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</si>
  <si>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</si>
  <si>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</si>
  <si>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</si>
  <si>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</si>
  <si>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</si>
  <si>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</si>
  <si>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</si>
  <si>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</si>
  <si>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</si>
  <si>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</si>
  <si>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</si>
  <si>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</si>
  <si>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</si>
  <si>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</si>
  <si>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</si>
  <si>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</si>
  <si>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</si>
  <si>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</si>
  <si>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</si>
  <si>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</si>
  <si>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</si>
  <si>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</si>
  <si>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</si>
  <si>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</si>
  <si>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</si>
  <si>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</si>
  <si>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</si>
  <si>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</si>
  <si>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</si>
  <si>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</si>
  <si>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</si>
  <si>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</si>
  <si>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</si>
  <si>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</si>
  <si>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</si>
  <si>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</si>
  <si>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</si>
  <si>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</si>
  <si>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</si>
  <si>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</si>
  <si>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</si>
  <si>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</si>
  <si>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</si>
  <si>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</si>
  <si>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</si>
  <si>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</si>
  <si>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</si>
  <si>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</si>
  <si>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</si>
  <si>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</si>
  <si>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</si>
  <si>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</si>
  <si>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</si>
  <si>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</si>
  <si>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</si>
  <si>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</si>
  <si>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</si>
  <si>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</si>
  <si>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</si>
  <si>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</si>
  <si>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Gulu</t>
  </si>
  <si>
    <t>Dennis K.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</si>
  <si>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</si>
  <si>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</si>
  <si>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</si>
  <si>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</si>
  <si>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</si>
  <si>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</si>
  <si>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</si>
  <si>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</si>
  <si>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</si>
  <si>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</si>
  <si>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</si>
  <si>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</si>
  <si>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</si>
  <si>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</si>
  <si>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</si>
  <si>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</si>
  <si>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</si>
  <si>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</si>
  <si>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</si>
  <si>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</si>
  <si>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</si>
  <si>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</si>
  <si>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</si>
  <si>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</si>
  <si>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</si>
  <si>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</si>
  <si>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</si>
  <si>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</si>
  <si>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</si>
  <si>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</si>
  <si>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</si>
  <si>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</si>
  <si>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</si>
  <si>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</si>
  <si>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</si>
  <si>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</si>
  <si>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</si>
  <si>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</si>
  <si>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</si>
  <si>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</si>
  <si>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</si>
  <si>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</si>
  <si>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</si>
  <si>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</si>
  <si>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</si>
  <si>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</si>
  <si>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</si>
  <si>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</si>
  <si>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</si>
  <si>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</si>
  <si>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</si>
  <si>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</si>
  <si>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</si>
  <si>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</si>
  <si>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</si>
  <si>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</si>
  <si>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Isaac A.</t>
  </si>
  <si>
    <t>F</t>
  </si>
  <si>
    <t>Jinja</t>
  </si>
  <si>
    <t>Uga</t>
  </si>
  <si>
    <t>Mbale</t>
  </si>
  <si>
    <t>Mayuge</t>
  </si>
  <si>
    <t>Goma</t>
  </si>
  <si>
    <t>D.R.C</t>
  </si>
  <si>
    <t>Kamuli</t>
  </si>
  <si>
    <t>Mbarara</t>
  </si>
  <si>
    <t>Arua</t>
  </si>
  <si>
    <t>Kampala</t>
  </si>
  <si>
    <t>Adjumani</t>
  </si>
  <si>
    <t>Mubende</t>
  </si>
  <si>
    <t>Iganga</t>
  </si>
  <si>
    <t>Zana</t>
  </si>
  <si>
    <t>Lira</t>
  </si>
  <si>
    <t>Namulesa</t>
  </si>
  <si>
    <t>Tororo</t>
  </si>
  <si>
    <t>Namayiba</t>
  </si>
  <si>
    <t>City square</t>
  </si>
  <si>
    <t>Nile</t>
  </si>
  <si>
    <t>Bugembe</t>
  </si>
  <si>
    <t>Wakiso</t>
  </si>
  <si>
    <t>Seeta</t>
  </si>
  <si>
    <t>Mukono</t>
  </si>
  <si>
    <t>Mayunga</t>
  </si>
  <si>
    <t>Bugemma</t>
  </si>
  <si>
    <t>Matuga</t>
  </si>
  <si>
    <t>Wainabwe</t>
  </si>
  <si>
    <t>Mbalala</t>
  </si>
  <si>
    <t>Tirinyi Stage</t>
  </si>
  <si>
    <t>Obojja stage</t>
  </si>
  <si>
    <t>Truck park</t>
  </si>
  <si>
    <t>Busia</t>
  </si>
  <si>
    <t>Kampala Stage</t>
  </si>
  <si>
    <t>Nakasero</t>
  </si>
  <si>
    <t>Musita</t>
  </si>
  <si>
    <t>Main market</t>
  </si>
  <si>
    <t>Najjembe</t>
  </si>
  <si>
    <t>Buikwe</t>
  </si>
  <si>
    <t>Namawajjolo</t>
  </si>
  <si>
    <t>Lugazi</t>
  </si>
  <si>
    <t>Kakira</t>
  </si>
  <si>
    <t>Jinja Taxi park</t>
  </si>
  <si>
    <t>New taxi park</t>
  </si>
  <si>
    <t>Magamaga</t>
  </si>
  <si>
    <t>Namagunga</t>
  </si>
  <si>
    <t>Kitende</t>
  </si>
  <si>
    <t>Kawolo</t>
  </si>
  <si>
    <t>Mainn street</t>
  </si>
  <si>
    <t>Main street</t>
  </si>
  <si>
    <t>Nakawa</t>
  </si>
  <si>
    <t>Old taxi park</t>
  </si>
  <si>
    <t>Taxi Park</t>
  </si>
  <si>
    <t>Nandere</t>
  </si>
  <si>
    <t>Kibuku</t>
  </si>
  <si>
    <t>Ntinda</t>
  </si>
  <si>
    <t>Nakalama</t>
  </si>
  <si>
    <t>Buwera</t>
  </si>
  <si>
    <t>Namanve</t>
  </si>
  <si>
    <t>Industrial Area</t>
  </si>
  <si>
    <t>Nyangole</t>
  </si>
  <si>
    <t>Kampala stage</t>
  </si>
  <si>
    <t>Namawojjolo</t>
  </si>
  <si>
    <t>Kampala taxi park</t>
  </si>
  <si>
    <t>Bugema</t>
  </si>
  <si>
    <t>Kireka</t>
  </si>
  <si>
    <t>Owino market</t>
  </si>
  <si>
    <t>Buwabo</t>
  </si>
  <si>
    <t>Industrial area</t>
  </si>
  <si>
    <t>Soroti</t>
  </si>
  <si>
    <t>Kisasi</t>
  </si>
  <si>
    <t>Namutumba</t>
  </si>
  <si>
    <t>Bugerere</t>
  </si>
  <si>
    <t>Kayunga</t>
  </si>
  <si>
    <t>Fort portal</t>
  </si>
  <si>
    <t>Budondo</t>
  </si>
  <si>
    <t>Namwendwa</t>
  </si>
  <si>
    <t>Mawanuago</t>
  </si>
  <si>
    <t>Kisumu</t>
  </si>
  <si>
    <t>Ken</t>
  </si>
  <si>
    <t>Taxi park</t>
  </si>
  <si>
    <t>Kigulamu</t>
  </si>
  <si>
    <t>Pivine hotel</t>
  </si>
  <si>
    <t>Kiyingulamu</t>
  </si>
  <si>
    <t>Pallisa</t>
  </si>
  <si>
    <t>Central</t>
  </si>
  <si>
    <t>Clive rd</t>
  </si>
  <si>
    <t>Jinja S.S</t>
  </si>
  <si>
    <t>Jinja Central</t>
  </si>
  <si>
    <t>Jinja C. market</t>
  </si>
  <si>
    <t>Jinja Girls sch</t>
  </si>
  <si>
    <t>Namilyango</t>
  </si>
  <si>
    <t>Wandegeya</t>
  </si>
  <si>
    <t>Walukuba</t>
  </si>
  <si>
    <t>Nile industry</t>
  </si>
  <si>
    <t>Kyaliwajjala</t>
  </si>
  <si>
    <t>Nile source</t>
  </si>
  <si>
    <t>Nansana</t>
  </si>
  <si>
    <t>Kamonkoli</t>
  </si>
  <si>
    <t>Kingunga</t>
  </si>
  <si>
    <t>Jinja market</t>
  </si>
  <si>
    <t>Kikoni</t>
  </si>
  <si>
    <t>Goodwill</t>
  </si>
  <si>
    <t>Busoorwe</t>
  </si>
  <si>
    <t>Bisoorwe</t>
  </si>
  <si>
    <t>Energy centre</t>
  </si>
  <si>
    <t>Jinja hospital</t>
  </si>
  <si>
    <t xml:space="preserve">UCU </t>
  </si>
  <si>
    <t>Nasser rd</t>
  </si>
  <si>
    <t>Nakibizi</t>
  </si>
  <si>
    <t>Njeeru</t>
  </si>
  <si>
    <t>Kikko</t>
  </si>
  <si>
    <t>Nasuti</t>
  </si>
  <si>
    <t>Namere</t>
  </si>
  <si>
    <t>Namataba</t>
  </si>
  <si>
    <t>Source of the nile</t>
  </si>
  <si>
    <t>Naalya</t>
  </si>
  <si>
    <t>Katikamu</t>
  </si>
  <si>
    <t>Luwero</t>
  </si>
  <si>
    <t>Nyanye</t>
  </si>
  <si>
    <t>Kween</t>
  </si>
  <si>
    <t>Lutsekhe</t>
  </si>
  <si>
    <t>Bududa</t>
  </si>
  <si>
    <t>Kololo</t>
  </si>
  <si>
    <t>Nabuti</t>
  </si>
  <si>
    <t>Kirki Rd</t>
  </si>
  <si>
    <t>Kirki</t>
  </si>
  <si>
    <t>Busolwe</t>
  </si>
  <si>
    <t>Kutch</t>
  </si>
  <si>
    <t>Mbikko</t>
  </si>
  <si>
    <t>jinja</t>
  </si>
  <si>
    <t>Kisoro</t>
  </si>
  <si>
    <t>Matubira</t>
  </si>
  <si>
    <t>Bugiri</t>
  </si>
  <si>
    <t>Bukungu</t>
  </si>
  <si>
    <t>Buyende</t>
  </si>
  <si>
    <t>Mabira</t>
  </si>
  <si>
    <t>Nairobi</t>
  </si>
  <si>
    <t>Kiira</t>
  </si>
  <si>
    <t>Bus park</t>
  </si>
  <si>
    <t>Bubule</t>
  </si>
  <si>
    <t>Manafwa</t>
  </si>
  <si>
    <t>City Hospital</t>
  </si>
  <si>
    <t>Kampala rd</t>
  </si>
  <si>
    <t>Luyanzi</t>
  </si>
  <si>
    <t>Mayunge</t>
  </si>
  <si>
    <t>Kisoga</t>
  </si>
  <si>
    <t>Naggalama</t>
  </si>
  <si>
    <t>Iduudi</t>
  </si>
  <si>
    <t>Nalukolongo</t>
  </si>
  <si>
    <t>Magodesi</t>
  </si>
  <si>
    <t>Namakwekwe</t>
  </si>
  <si>
    <t>Ikiki</t>
  </si>
  <si>
    <t>Budaka</t>
  </si>
  <si>
    <t>Malaba</t>
  </si>
  <si>
    <t>Kira college</t>
  </si>
  <si>
    <t>Kaliro</t>
  </si>
  <si>
    <t>Naboa</t>
  </si>
  <si>
    <t>Namiryango</t>
  </si>
  <si>
    <t>Mengo</t>
  </si>
  <si>
    <t>Bombo</t>
  </si>
  <si>
    <t>Kitgum</t>
  </si>
  <si>
    <t>Buwenge</t>
  </si>
  <si>
    <t>Malese</t>
  </si>
  <si>
    <t>Kakungu</t>
  </si>
  <si>
    <t>Kalerwe</t>
  </si>
  <si>
    <t>Dokho</t>
  </si>
  <si>
    <t>Nankulabye</t>
  </si>
  <si>
    <t>Gayaza</t>
  </si>
  <si>
    <t>Kyepsekunya</t>
  </si>
  <si>
    <t>Namugongo</t>
  </si>
  <si>
    <t>Bukasa</t>
  </si>
  <si>
    <t>Bubulo</t>
  </si>
  <si>
    <t>Nagalama</t>
  </si>
  <si>
    <t>Kapeeka</t>
  </si>
  <si>
    <t>Nakaseke</t>
  </si>
  <si>
    <t>Bus stage</t>
  </si>
  <si>
    <t>Wanyange</t>
  </si>
  <si>
    <t>Nsambya</t>
  </si>
  <si>
    <t>Bulange</t>
  </si>
  <si>
    <t>Masindi</t>
  </si>
  <si>
    <t>Mpoma</t>
  </si>
  <si>
    <t>Iganaga stage</t>
  </si>
  <si>
    <t>Iganga stage</t>
  </si>
  <si>
    <t>Java house</t>
  </si>
  <si>
    <t>Market area j</t>
  </si>
  <si>
    <t>Obojja rd</t>
  </si>
  <si>
    <t xml:space="preserve">Market  </t>
  </si>
  <si>
    <t>Kyengera</t>
  </si>
  <si>
    <t>Kumi stage</t>
  </si>
  <si>
    <t>Kumi</t>
  </si>
  <si>
    <t xml:space="preserve">Nangalama Dickson, Enock Wande,Kailugala Isa, 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</si>
  <si>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</si>
  <si>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</si>
  <si>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</si>
  <si>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</si>
  <si>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</si>
  <si>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</si>
  <si>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</si>
  <si>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</si>
  <si>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</si>
  <si>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</si>
  <si>
    <t>Rank 1</t>
  </si>
  <si>
    <t>Rank 4</t>
  </si>
  <si>
    <t>Rank 2</t>
  </si>
  <si>
    <t>Rank 3</t>
  </si>
  <si>
    <t>Rank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</si>
</sst>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  <numFmt numFmtId="169" formatCode="0;[Red]0"/>
    <numFmt numFmtId="174" formatCode="0.0%"/>
  </numFmts>
  <fonts count="13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1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7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169" fontId="3" fillId="0" borderId="0" xfId="0" applyNumberFormat="1" applyFont="1" applyAlignment="1">
      <alignment horizontal="center" vertical="center"/>
    </xf>
    <xf numFmtId="169" fontId="0" fillId="0" borderId="0" xfId="0" applyNumberFormat="1"/>
    <xf numFmtId="169" fontId="4" fillId="3" borderId="0" xfId="0" applyNumberFormat="1" applyFont="1" applyFill="1" applyBorder="1" applyAlignment="1">
      <alignment horizontal="left" vertical="center"/>
    </xf>
    <xf numFmtId="169" fontId="1" fillId="0" borderId="2" xfId="0" applyNumberFormat="1" applyFont="1" applyBorder="1" applyAlignment="1">
      <alignment vertical="center" wrapText="1"/>
    </xf>
    <xf numFmtId="169" fontId="5" fillId="0" borderId="2" xfId="0" applyNumberFormat="1" applyFont="1" applyFill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Fill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Border="1"/>
    <xf numFmtId="1" fontId="1" fillId="0" borderId="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5" fillId="0" borderId="0" xfId="0" applyFont="1" applyFill="1" applyBorder="1"/>
    <xf numFmtId="9" fontId="0" fillId="0" borderId="0" xfId="5" applyFont="1"/>
    <xf numFmtId="1" fontId="1" fillId="0" borderId="27" xfId="0" applyNumberFormat="1" applyFont="1" applyBorder="1" applyAlignment="1">
      <alignment horizontal="center" vertical="center" wrapText="1"/>
    </xf>
    <xf numFmtId="1" fontId="1" fillId="0" borderId="28" xfId="0" applyNumberFormat="1" applyFont="1" applyBorder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4" fillId="3" borderId="20" xfId="0" applyFont="1" applyFill="1" applyBorder="1" applyAlignment="1">
      <alignment horizontal="left" vertical="center"/>
    </xf>
    <xf numFmtId="0" fontId="4" fillId="3" borderId="22" xfId="0" applyFont="1" applyFill="1" applyBorder="1" applyAlignment="1">
      <alignment horizontal="left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1" fontId="1" fillId="4" borderId="20" xfId="0" applyNumberFormat="1" applyFont="1" applyFill="1" applyBorder="1" applyAlignment="1">
      <alignment horizontal="center" vertical="center" wrapText="1"/>
    </xf>
    <xf numFmtId="1" fontId="1" fillId="4" borderId="21" xfId="0" applyNumberFormat="1" applyFont="1" applyFill="1" applyBorder="1" applyAlignment="1">
      <alignment horizontal="center" vertical="center" wrapText="1"/>
    </xf>
    <xf numFmtId="1" fontId="1" fillId="4" borderId="22" xfId="0" applyNumberFormat="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1" fillId="0" borderId="25" xfId="0" applyNumberFormat="1" applyFont="1" applyBorder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left" vertical="center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2" fontId="0" fillId="0" borderId="0" xfId="0" applyNumberFormat="1"/>
    <xf numFmtId="174" fontId="0" fillId="0" borderId="0" xfId="5" applyNumberFormat="1" applyFont="1"/>
  </cellXfs>
  <cellStyles count="6">
    <cellStyle name="Comma" xfId="1" builtinId="3"/>
    <cellStyle name="Comma [0]" xfId="4" builtinId="6"/>
    <cellStyle name="Normal" xfId="0" builtinId="0"/>
    <cellStyle name="Normal 2" xfId="3" xr:uid="{00000000-0005-0000-0000-000002000000}"/>
    <cellStyle name="Percent" xfId="5" builtinId="5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Jinja!$AE$7</c:f>
              <c:strCache>
                <c:ptCount val="1"/>
                <c:pt idx="0">
                  <c:v>Journey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Jinja!$AD$494:$AD$498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Jinja!$AE$494:$AE$498</c:f>
              <c:numCache>
                <c:formatCode>0.0%</c:formatCode>
                <c:ptCount val="5"/>
                <c:pt idx="0">
                  <c:v>0.67341772151898738</c:v>
                </c:pt>
                <c:pt idx="1">
                  <c:v>0.22531645569620254</c:v>
                </c:pt>
                <c:pt idx="2">
                  <c:v>8.3544303797468356E-2</c:v>
                </c:pt>
                <c:pt idx="3">
                  <c:v>1.5189873417721518E-2</c:v>
                </c:pt>
                <c:pt idx="4">
                  <c:v>2.5316455696202532E-3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98-4728-9650-49008503C500}"/>
            </c:ext>
          </c:extLst>
        </c:ser>
        <c:ser>
          <c:idx val="1"/>
          <c:order val="1"/>
          <c:tx>
            <c:strRef>
              <c:f>Jinja!$AF$7</c:f>
              <c:strCache>
                <c:ptCount val="1"/>
                <c:pt idx="0">
                  <c:v>Cost of Journey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Jinja!$AD$494:$AD$498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Jinja!$AF$494:$AF$498</c:f>
              <c:numCache>
                <c:formatCode>0.0%</c:formatCode>
                <c:ptCount val="5"/>
                <c:pt idx="0">
                  <c:v>0.53180661577608146</c:v>
                </c:pt>
                <c:pt idx="1">
                  <c:v>0.19083969465648856</c:v>
                </c:pt>
                <c:pt idx="2">
                  <c:v>0.24427480916030533</c:v>
                </c:pt>
                <c:pt idx="3">
                  <c:v>3.0534351145038167E-2</c:v>
                </c:pt>
                <c:pt idx="4">
                  <c:v>2.5445292620865142E-3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98-4728-9650-49008503C500}"/>
            </c:ext>
          </c:extLst>
        </c:ser>
        <c:ser>
          <c:idx val="2"/>
          <c:order val="2"/>
          <c:tx>
            <c:strRef>
              <c:f>Jinja!$AG$7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Jinja!$AD$494:$AD$498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Jinja!$AG$494:$AG$498</c:f>
              <c:numCache>
                <c:formatCode>0.0%</c:formatCode>
                <c:ptCount val="5"/>
                <c:pt idx="0">
                  <c:v>0.50383631713554988</c:v>
                </c:pt>
                <c:pt idx="1">
                  <c:v>0.17902813299232737</c:v>
                </c:pt>
                <c:pt idx="2">
                  <c:v>0.11253196930946291</c:v>
                </c:pt>
                <c:pt idx="3">
                  <c:v>0.17135549872122763</c:v>
                </c:pt>
                <c:pt idx="4">
                  <c:v>3.3248081841432228E-2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98-4728-9650-49008503C500}"/>
            </c:ext>
          </c:extLst>
        </c:ser>
        <c:ser>
          <c:idx val="3"/>
          <c:order val="3"/>
          <c:tx>
            <c:strRef>
              <c:f>Jinja!$AH$7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Jinja!$AD$494:$AD$498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Jinja!$AH$494:$AH$498</c:f>
              <c:numCache>
                <c:formatCode>0.0%</c:formatCode>
                <c:ptCount val="5"/>
                <c:pt idx="0">
                  <c:v>0.83589743589743593</c:v>
                </c:pt>
                <c:pt idx="1">
                  <c:v>0.1</c:v>
                </c:pt>
                <c:pt idx="2">
                  <c:v>4.8717948717948718E-2</c:v>
                </c:pt>
                <c:pt idx="3">
                  <c:v>1.5384615384615385E-2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98-4728-9650-49008503C500}"/>
            </c:ext>
          </c:extLst>
        </c:ser>
        <c:ser>
          <c:idx val="4"/>
          <c:order val="4"/>
          <c:tx>
            <c:strRef>
              <c:f>Jinja!$AI$7</c:f>
              <c:strCache>
                <c:ptCount val="1"/>
                <c:pt idx="0">
                  <c:v>Reliability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Jinja!$AD$494:$AD$498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Jinja!$AI$494:$AI$498</c:f>
              <c:numCache>
                <c:formatCode>0.0%</c:formatCode>
                <c:ptCount val="5"/>
                <c:pt idx="0">
                  <c:v>0.54188481675392675</c:v>
                </c:pt>
                <c:pt idx="1">
                  <c:v>0.10471204188481675</c:v>
                </c:pt>
                <c:pt idx="2">
                  <c:v>9.4240837696335081E-2</c:v>
                </c:pt>
                <c:pt idx="3">
                  <c:v>0.14921465968586387</c:v>
                </c:pt>
                <c:pt idx="4">
                  <c:v>0.1099476439790576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98-4728-9650-49008503C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777571584"/>
        <c:axId val="777572896"/>
      </c:barChart>
      <c:catAx>
        <c:axId val="77757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777572896"/>
        <c:crosses val="autoZero"/>
        <c:auto val="1"/>
        <c:lblAlgn val="ctr"/>
        <c:lblOffset val="100"/>
        <c:noMultiLvlLbl val="0"/>
      </c:catAx>
      <c:valAx>
        <c:axId val="77757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77757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Jinja!$AE$493:$AI$493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Jinja!$AE$494:$AI$494</c:f>
              <c:numCache>
                <c:formatCode>0.0%</c:formatCode>
                <c:ptCount val="5"/>
                <c:pt idx="0">
                  <c:v>0.67341772151898738</c:v>
                </c:pt>
                <c:pt idx="1">
                  <c:v>0.53180661577608146</c:v>
                </c:pt>
                <c:pt idx="2">
                  <c:v>0.50383631713554988</c:v>
                </c:pt>
                <c:pt idx="3">
                  <c:v>0.83589743589743593</c:v>
                </c:pt>
                <c:pt idx="4">
                  <c:v>0.54188481675392675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6-45F5-8CB2-EEE3A84690C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Jinja!$AE$493:$AI$493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Jinja!$AE$495:$AI$495</c:f>
              <c:numCache>
                <c:formatCode>0.0%</c:formatCode>
                <c:ptCount val="5"/>
                <c:pt idx="0">
                  <c:v>0.22531645569620254</c:v>
                </c:pt>
                <c:pt idx="1">
                  <c:v>0.19083969465648856</c:v>
                </c:pt>
                <c:pt idx="2">
                  <c:v>0.17902813299232737</c:v>
                </c:pt>
                <c:pt idx="3">
                  <c:v>0.1</c:v>
                </c:pt>
                <c:pt idx="4">
                  <c:v>0.10471204188481675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36-45F5-8CB2-EEE3A84690C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Jinja!$AE$493:$AI$493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Jinja!$AE$496:$AI$496</c:f>
              <c:numCache>
                <c:formatCode>0.0%</c:formatCode>
                <c:ptCount val="5"/>
                <c:pt idx="0">
                  <c:v>8.3544303797468356E-2</c:v>
                </c:pt>
                <c:pt idx="1">
                  <c:v>0.24427480916030533</c:v>
                </c:pt>
                <c:pt idx="2">
                  <c:v>0.11253196930946291</c:v>
                </c:pt>
                <c:pt idx="3">
                  <c:v>4.8717948717948718E-2</c:v>
                </c:pt>
                <c:pt idx="4">
                  <c:v>9.4240837696335081E-2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36-45F5-8CB2-EEE3A84690C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Jinja!$AE$493:$AI$493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Jinja!$AE$497:$AI$497</c:f>
              <c:numCache>
                <c:formatCode>0.0%</c:formatCode>
                <c:ptCount val="5"/>
                <c:pt idx="0">
                  <c:v>1.5189873417721518E-2</c:v>
                </c:pt>
                <c:pt idx="1">
                  <c:v>3.0534351145038167E-2</c:v>
                </c:pt>
                <c:pt idx="2">
                  <c:v>0.17135549872122763</c:v>
                </c:pt>
                <c:pt idx="3">
                  <c:v>1.5384615384615385E-2</c:v>
                </c:pt>
                <c:pt idx="4">
                  <c:v>0.14921465968586387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36-45F5-8CB2-EEE3A84690C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Jinja!$AE$493:$AI$493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Jinja!$AE$498:$AI$498</c:f>
              <c:numCache>
                <c:formatCode>0.0%</c:formatCode>
                <c:ptCount val="5"/>
                <c:pt idx="0">
                  <c:v>2.5316455696202532E-3</c:v>
                </c:pt>
                <c:pt idx="1">
                  <c:v>2.5445292620865142E-3</c:v>
                </c:pt>
                <c:pt idx="2">
                  <c:v>3.3248081841432228E-2</c:v>
                </c:pt>
                <c:pt idx="3">
                  <c:v>0</c:v>
                </c:pt>
                <c:pt idx="4">
                  <c:v>0.1099476439790576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36-45F5-8CB2-EEE3A84690C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796696"/>
        <c:axId val="611800960"/>
      </c:barChart>
      <c:catAx>
        <c:axId val="611796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11800960"/>
        <c:crosses val="autoZero"/>
        <c:auto val="1"/>
        <c:lblAlgn val="ctr"/>
        <c:lblOffset val="100"/>
        <c:noMultiLvlLbl val="0"/>
      </c:catAx>
      <c:valAx>
        <c:axId val="61180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11796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'Jinja (2)'!$AE$7</c:f>
              <c:strCache>
                <c:ptCount val="1"/>
                <c:pt idx="0">
                  <c:v>Journey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'Jinja (2)'!$AD$494:$AD$498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'Jinja (2)'!$AE$494:$AE$498</c:f>
              <c:numCache>
                <c:formatCode>0.0%</c:formatCode>
                <c:ptCount val="5"/>
                <c:pt idx="0">
                  <c:v>0.67341772151898738</c:v>
                </c:pt>
                <c:pt idx="1">
                  <c:v>0.22531645569620254</c:v>
                </c:pt>
                <c:pt idx="2">
                  <c:v>8.3544303797468356E-2</c:v>
                </c:pt>
                <c:pt idx="3">
                  <c:v>1.5189873417721518E-2</c:v>
                </c:pt>
                <c:pt idx="4">
                  <c:v>2.5316455696202532E-3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0-47C5-90AC-1D103F10AC00}"/>
            </c:ext>
          </c:extLst>
        </c:ser>
        <c:ser>
          <c:idx val="1"/>
          <c:order val="1"/>
          <c:tx>
            <c:strRef>
              <c:f>'Jinja (2)'!$AF$7</c:f>
              <c:strCache>
                <c:ptCount val="1"/>
                <c:pt idx="0">
                  <c:v>Cost of Journey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'Jinja (2)'!$AD$494:$AD$498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'Jinja (2)'!$AF$494:$AF$498</c:f>
              <c:numCache>
                <c:formatCode>0.0%</c:formatCode>
                <c:ptCount val="5"/>
                <c:pt idx="0">
                  <c:v>0.53180661577608146</c:v>
                </c:pt>
                <c:pt idx="1">
                  <c:v>0.19083969465648856</c:v>
                </c:pt>
                <c:pt idx="2">
                  <c:v>0.24427480916030533</c:v>
                </c:pt>
                <c:pt idx="3">
                  <c:v>3.0534351145038167E-2</c:v>
                </c:pt>
                <c:pt idx="4">
                  <c:v>2.5445292620865142E-3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D0-47C5-90AC-1D103F10AC00}"/>
            </c:ext>
          </c:extLst>
        </c:ser>
        <c:ser>
          <c:idx val="2"/>
          <c:order val="2"/>
          <c:tx>
            <c:strRef>
              <c:f>'Jinja (2)'!$AG$7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'Jinja (2)'!$AD$494:$AD$498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'Jinja (2)'!$AG$494:$AG$498</c:f>
              <c:numCache>
                <c:formatCode>0.0%</c:formatCode>
                <c:ptCount val="5"/>
                <c:pt idx="0">
                  <c:v>0.50383631713554988</c:v>
                </c:pt>
                <c:pt idx="1">
                  <c:v>0.17902813299232737</c:v>
                </c:pt>
                <c:pt idx="2">
                  <c:v>0.11253196930946291</c:v>
                </c:pt>
                <c:pt idx="3">
                  <c:v>0.17135549872122763</c:v>
                </c:pt>
                <c:pt idx="4">
                  <c:v>3.3248081841432228E-2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D0-47C5-90AC-1D103F10AC00}"/>
            </c:ext>
          </c:extLst>
        </c:ser>
        <c:ser>
          <c:idx val="3"/>
          <c:order val="3"/>
          <c:tx>
            <c:strRef>
              <c:f>'Jinja (2)'!$AH$7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'Jinja (2)'!$AD$494:$AD$498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'Jinja (2)'!$AH$494:$AH$498</c:f>
              <c:numCache>
                <c:formatCode>0.0%</c:formatCode>
                <c:ptCount val="5"/>
                <c:pt idx="0">
                  <c:v>0.83589743589743593</c:v>
                </c:pt>
                <c:pt idx="1">
                  <c:v>0.1</c:v>
                </c:pt>
                <c:pt idx="2">
                  <c:v>4.8717948717948718E-2</c:v>
                </c:pt>
                <c:pt idx="3">
                  <c:v>1.5384615384615385E-2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D0-47C5-90AC-1D103F10AC00}"/>
            </c:ext>
          </c:extLst>
        </c:ser>
        <c:ser>
          <c:idx val="4"/>
          <c:order val="4"/>
          <c:tx>
            <c:strRef>
              <c:f>'Jinja (2)'!$AI$7</c:f>
              <c:strCache>
                <c:ptCount val="1"/>
                <c:pt idx="0">
                  <c:v>Reliability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'Jinja (2)'!$AD$494:$AD$498</c:f>
              <c:strCache>
                <c:ptCount val="5"/>
                <c:pt idx="0">
                  <c:v>Rank 1</c:v>
                </c:pt>
                <c:pt idx="1">
                  <c:v>Rank 2</c:v>
                </c:pt>
                <c:pt idx="2">
                  <c:v>Rank 3</c:v>
                </c:pt>
                <c:pt idx="3">
                  <c:v>Rank 4</c:v>
                </c:pt>
                <c:pt idx="4">
                  <c:v>Rank 5</c:v>
                </c:pt>
              </c:strCache>
            </c:strRef>
          </c:cat>
          <c:val>
            <c:numRef>
              <c:f>'Jinja (2)'!$AI$494:$AI$498</c:f>
              <c:numCache>
                <c:formatCode>0.0%</c:formatCode>
                <c:ptCount val="5"/>
                <c:pt idx="0">
                  <c:v>0.54188481675392675</c:v>
                </c:pt>
                <c:pt idx="1">
                  <c:v>0.10471204188481675</c:v>
                </c:pt>
                <c:pt idx="2">
                  <c:v>9.4240837696335081E-2</c:v>
                </c:pt>
                <c:pt idx="3">
                  <c:v>0.14921465968586387</c:v>
                </c:pt>
                <c:pt idx="4">
                  <c:v>0.1099476439790576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D0-47C5-90AC-1D103F10A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777571584"/>
        <c:axId val="777572896"/>
      </c:barChart>
      <c:catAx>
        <c:axId val="77757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777572896"/>
        <c:crosses val="autoZero"/>
        <c:auto val="1"/>
        <c:lblAlgn val="ctr"/>
        <c:lblOffset val="100"/>
        <c:noMultiLvlLbl val="0"/>
      </c:catAx>
      <c:valAx>
        <c:axId val="77757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77757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'Jinja (2)'!$AE$493:$AI$493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'Jinja (2)'!$AE$494:$AI$494</c:f>
              <c:numCache>
                <c:formatCode>0.0%</c:formatCode>
                <c:ptCount val="5"/>
                <c:pt idx="0">
                  <c:v>0.67341772151898738</c:v>
                </c:pt>
                <c:pt idx="1">
                  <c:v>0.53180661577608146</c:v>
                </c:pt>
                <c:pt idx="2">
                  <c:v>0.50383631713554988</c:v>
                </c:pt>
                <c:pt idx="3">
                  <c:v>0.83589743589743593</c:v>
                </c:pt>
                <c:pt idx="4">
                  <c:v>0.54188481675392675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78-4F1F-9DA6-653AEA3BC8BC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'Jinja (2)'!$AE$493:$AI$493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'Jinja (2)'!$AE$495:$AI$495</c:f>
              <c:numCache>
                <c:formatCode>0.0%</c:formatCode>
                <c:ptCount val="5"/>
                <c:pt idx="0">
                  <c:v>0.22531645569620254</c:v>
                </c:pt>
                <c:pt idx="1">
                  <c:v>0.19083969465648856</c:v>
                </c:pt>
                <c:pt idx="2">
                  <c:v>0.17902813299232737</c:v>
                </c:pt>
                <c:pt idx="3">
                  <c:v>0.1</c:v>
                </c:pt>
                <c:pt idx="4">
                  <c:v>0.10471204188481675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78-4F1F-9DA6-653AEA3BC8BC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'Jinja (2)'!$AE$493:$AI$493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'Jinja (2)'!$AE$496:$AI$496</c:f>
              <c:numCache>
                <c:formatCode>0.0%</c:formatCode>
                <c:ptCount val="5"/>
                <c:pt idx="0">
                  <c:v>8.3544303797468356E-2</c:v>
                </c:pt>
                <c:pt idx="1">
                  <c:v>0.24427480916030533</c:v>
                </c:pt>
                <c:pt idx="2">
                  <c:v>0.11253196930946291</c:v>
                </c:pt>
                <c:pt idx="3">
                  <c:v>4.8717948717948718E-2</c:v>
                </c:pt>
                <c:pt idx="4">
                  <c:v>9.4240837696335081E-2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78-4F1F-9DA6-653AEA3BC8BC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'Jinja (2)'!$AE$493:$AI$493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'Jinja (2)'!$AE$497:$AI$497</c:f>
              <c:numCache>
                <c:formatCode>0.0%</c:formatCode>
                <c:ptCount val="5"/>
                <c:pt idx="0">
                  <c:v>1.5189873417721518E-2</c:v>
                </c:pt>
                <c:pt idx="1">
                  <c:v>3.0534351145038167E-2</c:v>
                </c:pt>
                <c:pt idx="2">
                  <c:v>0.17135549872122763</c:v>
                </c:pt>
                <c:pt idx="3">
                  <c:v>1.5384615384615385E-2</c:v>
                </c:pt>
                <c:pt idx="4">
                  <c:v>0.14921465968586387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78-4F1F-9DA6-653AEA3BC8BC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'Jinja (2)'!$AE$493:$AI$493</c:f>
              <c:strCache>
                <c:ptCount val="5"/>
                <c:pt idx="0">
                  <c:v>Journey Time</c:v>
                </c:pt>
                <c:pt idx="1">
                  <c:v>Cost of Journey</c:v>
                </c:pt>
                <c:pt idx="2">
                  <c:v>Comfort</c:v>
                </c:pt>
                <c:pt idx="3">
                  <c:v>Safety</c:v>
                </c:pt>
                <c:pt idx="4">
                  <c:v>Reliability</c:v>
                </c:pt>
              </c:strCache>
            </c:strRef>
          </c:cat>
          <c:val>
            <c:numRef>
              <c:f>'Jinja (2)'!$AE$498:$AI$498</c:f>
              <c:numCache>
                <c:formatCode>0.0%</c:formatCode>
                <c:ptCount val="5"/>
                <c:pt idx="0">
                  <c:v>2.5316455696202532E-3</c:v>
                </c:pt>
                <c:pt idx="1">
                  <c:v>2.5445292620865142E-3</c:v>
                </c:pt>
                <c:pt idx="2">
                  <c:v>3.3248081841432228E-2</c:v>
                </c:pt>
                <c:pt idx="3">
                  <c:v>0</c:v>
                </c:pt>
                <c:pt idx="4">
                  <c:v>0.1099476439790576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78-4F1F-9DA6-653AEA3BC8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796696"/>
        <c:axId val="611800960"/>
      </c:barChart>
      <c:catAx>
        <c:axId val="611796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11800960"/>
        <c:crosses val="autoZero"/>
        <c:auto val="1"/>
        <c:lblAlgn val="ctr"/>
        <c:lblOffset val="100"/>
        <c:noMultiLvlLbl val="0"/>
      </c:catAx>
      <c:valAx>
        <c:axId val="61180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11796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577452</xdr:colOff>
      <xdr:row>503</xdr:row>
      <xdr:rowOff>128588</xdr:rowOff>
    </xdr:from>
    <xdr:to>
      <xdr:col>34</xdr:col>
      <xdr:colOff>446484</xdr:colOff>
      <xdr:row>520</xdr:row>
      <xdr:rowOff>38101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E0FF24-A245-4B2D-BE6C-DAD833F57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1744264</xdr:colOff>
      <xdr:row>486</xdr:row>
      <xdr:rowOff>116682</xdr:rowOff>
    </xdr:from>
    <xdr:to>
      <xdr:col>29</xdr:col>
      <xdr:colOff>398858</xdr:colOff>
      <xdr:row>502</xdr:row>
      <xdr:rowOff>14288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B50ACC-D235-4A80-9C45-4E732A8DFD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577452</xdr:colOff>
      <xdr:row>503</xdr:row>
      <xdr:rowOff>128588</xdr:rowOff>
    </xdr:from>
    <xdr:to>
      <xdr:col>34</xdr:col>
      <xdr:colOff>446484</xdr:colOff>
      <xdr:row>520</xdr:row>
      <xdr:rowOff>38101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3020AD-A7A2-42B7-8735-74BB9663DA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1744264</xdr:colOff>
      <xdr:row>486</xdr:row>
      <xdr:rowOff>116682</xdr:rowOff>
    </xdr:from>
    <xdr:to>
      <xdr:col>29</xdr:col>
      <xdr:colOff>398858</xdr:colOff>
      <xdr:row>502</xdr:row>
      <xdr:rowOff>14288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35F145-7BCD-444E-AA3E-52E19B912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T525"/>
  <sheetViews>
    <sheetView topLeftCell="T449" zoomScale="80" zoomScaleNormal="80" zoomScaleSheetLayoutView="80" workbookViewId="0">
      <selection activeCell="W496" sqref="W496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14.28515625" customWidth="1"/>
    <col min="9" max="9" width="15.7109375" bestFit="1" customWidth="1"/>
    <col min="10" max="10" width="11" bestFit="1" customWidth="1"/>
    <col min="11" max="11" width="12.28515625" bestFit="1" customWidth="1"/>
    <col min="12" max="12" width="13.140625" bestFit="1" customWidth="1"/>
    <col min="13" max="13" width="14.28515625" bestFit="1" customWidth="1"/>
    <col min="14" max="14" width="12.7109375" bestFit="1" customWidth="1"/>
    <col min="15" max="15" width="9.140625" bestFit="1" customWidth="1"/>
    <col min="16" max="16" width="9.42578125" style="41" bestFit="1" customWidth="1"/>
    <col min="17" max="17" width="15.140625" bestFit="1" customWidth="1"/>
    <col min="18" max="18" width="16.5703125" bestFit="1" customWidth="1"/>
    <col min="19" max="19" width="10" bestFit="1" customWidth="1"/>
    <col min="20" max="20" width="9.140625" bestFit="1" customWidth="1"/>
    <col min="21" max="21" width="12" bestFit="1" customWidth="1"/>
    <col min="22" max="22" width="14.85546875" bestFit="1" customWidth="1"/>
    <col min="23" max="23" width="26.7109375" bestFit="1" customWidth="1"/>
    <col min="24" max="24" width="11.5703125" style="49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style="52" customWidth="1"/>
    <col min="33" max="34" width="10.7109375" style="52" customWidth="1"/>
    <col min="35" max="35" width="12.28515625" style="52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99" t="s">
        <v>99</v>
      </c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6"/>
      <c r="AO1" s="6"/>
      <c r="AP1" s="6"/>
      <c r="AQ1" s="6"/>
      <c r="AR1" s="6"/>
      <c r="AS1" s="6"/>
      <c r="AT1" s="6"/>
    </row>
    <row r="2" spans="1:46" ht="15.75" x14ac:dyDescent="0.2">
      <c r="C2" s="99" t="s">
        <v>110</v>
      </c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3"/>
      <c r="F3" s="33"/>
      <c r="G3" s="33"/>
      <c r="H3" s="2"/>
      <c r="I3" s="33"/>
      <c r="J3" s="2"/>
      <c r="K3" s="33"/>
      <c r="L3" s="33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3"/>
      <c r="Y3" s="2"/>
      <c r="Z3" s="2"/>
      <c r="AA3" s="2"/>
      <c r="AB3" s="33"/>
      <c r="AC3" s="33"/>
      <c r="AD3" s="33"/>
      <c r="AE3" s="2"/>
      <c r="AF3" s="51"/>
      <c r="AG3" s="51"/>
      <c r="AH3" s="51"/>
      <c r="AI3" s="51"/>
      <c r="AJ3" s="2"/>
      <c r="AK3" s="2"/>
      <c r="AL3" s="2"/>
      <c r="AM3" s="2"/>
    </row>
    <row r="4" spans="1:46" ht="15" customHeight="1" x14ac:dyDescent="0.2">
      <c r="C4" s="33"/>
      <c r="D4" s="1" t="s">
        <v>106</v>
      </c>
      <c r="E4" s="102" t="s">
        <v>167</v>
      </c>
      <c r="F4" s="103"/>
      <c r="G4" s="104"/>
      <c r="I4" s="46" t="s">
        <v>3</v>
      </c>
      <c r="J4" s="85" t="s">
        <v>358</v>
      </c>
      <c r="K4" s="86"/>
      <c r="L4" s="87"/>
      <c r="N4" s="1" t="s">
        <v>41</v>
      </c>
      <c r="O4" s="85" t="s">
        <v>108</v>
      </c>
      <c r="P4" s="87"/>
      <c r="R4" s="25" t="s">
        <v>6</v>
      </c>
      <c r="S4" s="79" t="s">
        <v>165</v>
      </c>
      <c r="T4" s="80"/>
      <c r="W4" s="26" t="s">
        <v>7</v>
      </c>
      <c r="X4" s="79" t="s">
        <v>109</v>
      </c>
      <c r="Y4" s="80"/>
      <c r="AH4" s="53"/>
      <c r="AI4" s="53"/>
      <c r="AP4" s="10"/>
      <c r="AQ4" s="5"/>
    </row>
    <row r="5" spans="1:46" ht="15" customHeight="1" thickBot="1" x14ac:dyDescent="0.25">
      <c r="C5" s="2"/>
      <c r="D5" s="2"/>
      <c r="E5" s="33"/>
      <c r="F5" s="33"/>
      <c r="G5" s="33"/>
      <c r="H5" s="2"/>
      <c r="I5" s="33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3"/>
      <c r="Y5" s="2"/>
      <c r="Z5" s="2"/>
      <c r="AA5" s="2"/>
      <c r="AB5" s="33"/>
      <c r="AC5" s="33"/>
      <c r="AD5" s="33"/>
      <c r="AE5" s="2"/>
      <c r="AF5" s="51"/>
      <c r="AG5" s="51"/>
      <c r="AH5" s="51"/>
      <c r="AI5" s="51"/>
      <c r="AJ5" s="2"/>
      <c r="AK5" s="2"/>
      <c r="AL5" s="2"/>
      <c r="AM5" s="2"/>
    </row>
    <row r="6" spans="1:46" ht="30.75" customHeight="1" x14ac:dyDescent="0.2">
      <c r="B6" s="92" t="s">
        <v>105</v>
      </c>
      <c r="C6" s="94" t="s">
        <v>164</v>
      </c>
      <c r="D6" s="83" t="s">
        <v>38</v>
      </c>
      <c r="E6" s="81" t="s">
        <v>163</v>
      </c>
      <c r="F6" s="81" t="s">
        <v>112</v>
      </c>
      <c r="G6" s="81" t="s">
        <v>113</v>
      </c>
      <c r="H6" s="81" t="s">
        <v>9</v>
      </c>
      <c r="I6" s="83" t="s">
        <v>120</v>
      </c>
      <c r="J6" s="83" t="s">
        <v>122</v>
      </c>
      <c r="K6" s="83" t="s">
        <v>124</v>
      </c>
      <c r="L6" s="83" t="s">
        <v>125</v>
      </c>
      <c r="M6" s="96" t="s">
        <v>12</v>
      </c>
      <c r="N6" s="97"/>
      <c r="O6" s="98"/>
      <c r="P6" s="83" t="s">
        <v>15</v>
      </c>
      <c r="Q6" s="83" t="s">
        <v>100</v>
      </c>
      <c r="R6" s="96" t="s">
        <v>17</v>
      </c>
      <c r="S6" s="97"/>
      <c r="T6" s="98"/>
      <c r="U6" s="83" t="s">
        <v>18</v>
      </c>
      <c r="V6" s="83" t="s">
        <v>101</v>
      </c>
      <c r="W6" s="83" t="s">
        <v>102</v>
      </c>
      <c r="X6" s="83" t="s">
        <v>132</v>
      </c>
      <c r="Y6" s="83" t="s">
        <v>133</v>
      </c>
      <c r="Z6" s="83" t="s">
        <v>134</v>
      </c>
      <c r="AA6" s="83" t="s">
        <v>135</v>
      </c>
      <c r="AB6" s="83" t="s">
        <v>136</v>
      </c>
      <c r="AC6" s="83" t="s">
        <v>148</v>
      </c>
      <c r="AD6" s="83" t="s">
        <v>149</v>
      </c>
      <c r="AE6" s="88" t="s">
        <v>156</v>
      </c>
      <c r="AF6" s="89"/>
      <c r="AG6" s="89"/>
      <c r="AH6" s="89"/>
      <c r="AI6" s="90"/>
      <c r="AJ6" s="83" t="s">
        <v>162</v>
      </c>
      <c r="AK6" s="83" t="s">
        <v>103</v>
      </c>
      <c r="AL6" s="83" t="s">
        <v>20</v>
      </c>
      <c r="AM6" s="100" t="s">
        <v>21</v>
      </c>
      <c r="AO6" s="19"/>
    </row>
    <row r="7" spans="1:46" ht="38.25" customHeight="1" x14ac:dyDescent="0.2">
      <c r="B7" s="93"/>
      <c r="C7" s="95"/>
      <c r="D7" s="84"/>
      <c r="E7" s="82"/>
      <c r="F7" s="82"/>
      <c r="G7" s="82"/>
      <c r="H7" s="82"/>
      <c r="I7" s="84"/>
      <c r="J7" s="84"/>
      <c r="K7" s="84"/>
      <c r="L7" s="84"/>
      <c r="M7" s="67" t="s">
        <v>42</v>
      </c>
      <c r="N7" s="67" t="s">
        <v>39</v>
      </c>
      <c r="O7" s="23" t="s">
        <v>40</v>
      </c>
      <c r="P7" s="84"/>
      <c r="Q7" s="84"/>
      <c r="R7" s="67" t="s">
        <v>42</v>
      </c>
      <c r="S7" s="67" t="s">
        <v>39</v>
      </c>
      <c r="T7" s="67" t="s">
        <v>40</v>
      </c>
      <c r="U7" s="84"/>
      <c r="V7" s="84"/>
      <c r="W7" s="84"/>
      <c r="X7" s="84"/>
      <c r="Y7" s="84"/>
      <c r="Z7" s="84"/>
      <c r="AA7" s="84"/>
      <c r="AB7" s="84"/>
      <c r="AC7" s="84"/>
      <c r="AD7" s="84"/>
      <c r="AE7" s="48" t="s">
        <v>157</v>
      </c>
      <c r="AF7" s="54" t="s">
        <v>158</v>
      </c>
      <c r="AG7" s="54" t="s">
        <v>159</v>
      </c>
      <c r="AH7" s="54" t="s">
        <v>160</v>
      </c>
      <c r="AI7" s="54" t="s">
        <v>161</v>
      </c>
      <c r="AJ7" s="84"/>
      <c r="AK7" s="84"/>
      <c r="AL7" s="84"/>
      <c r="AM7" s="101"/>
    </row>
    <row r="8" spans="1:46" ht="38.25" customHeight="1" x14ac:dyDescent="0.2">
      <c r="B8" s="70"/>
      <c r="C8" s="71"/>
      <c r="D8" s="66"/>
      <c r="E8" s="67"/>
      <c r="F8" s="67"/>
      <c r="G8" s="67"/>
      <c r="H8" s="67"/>
      <c r="I8" s="66"/>
      <c r="J8" s="66"/>
      <c r="K8" s="66"/>
      <c r="L8" s="66"/>
      <c r="M8" s="67"/>
      <c r="N8" s="67"/>
      <c r="O8" s="23"/>
      <c r="P8" s="66"/>
      <c r="Q8" s="66"/>
      <c r="R8" s="67"/>
      <c r="S8" s="67"/>
      <c r="T8" s="67"/>
      <c r="U8" s="66"/>
      <c r="V8" s="66"/>
      <c r="W8" s="66"/>
      <c r="X8" s="66"/>
      <c r="Y8" s="66"/>
      <c r="Z8" s="66"/>
      <c r="AA8" s="66"/>
      <c r="AB8" s="66"/>
      <c r="AC8" s="66"/>
      <c r="AD8" s="66"/>
      <c r="AE8" s="48"/>
      <c r="AF8" s="54"/>
      <c r="AG8" s="54"/>
      <c r="AH8" s="54"/>
      <c r="AI8" s="54"/>
      <c r="AJ8" s="66"/>
      <c r="AK8" s="66"/>
      <c r="AL8" s="66"/>
      <c r="AM8" s="72"/>
    </row>
    <row r="9" spans="1:46" s="19" customFormat="1" hidden="1" x14ac:dyDescent="0.2">
      <c r="A9"/>
      <c r="B9" s="50">
        <v>43686</v>
      </c>
      <c r="C9" s="35">
        <v>0.68055555555555547</v>
      </c>
      <c r="D9" s="35"/>
      <c r="E9" s="35" t="s">
        <v>111</v>
      </c>
      <c r="F9" s="37">
        <v>2</v>
      </c>
      <c r="G9" s="42" t="str">
        <f>VLOOKUP(F9,Key!$A$17:$B$21,2,FALSE)</f>
        <v>Road Vehicle</v>
      </c>
      <c r="H9" s="36">
        <v>1</v>
      </c>
      <c r="I9" s="43" t="str">
        <f>VLOOKUP(H9,Key!$A$2:$B$13,2,FALSE)</f>
        <v>Car</v>
      </c>
      <c r="J9" s="37" t="s">
        <v>123</v>
      </c>
      <c r="K9" s="37">
        <v>2</v>
      </c>
      <c r="L9" s="45" t="str">
        <f>VLOOKUP(K9,Key!$A$24:$B$29,2,FALSE)</f>
        <v>30-39</v>
      </c>
      <c r="M9" s="44" t="s">
        <v>216</v>
      </c>
      <c r="N9" s="44" t="s">
        <v>167</v>
      </c>
      <c r="O9" s="37" t="s">
        <v>168</v>
      </c>
      <c r="P9" s="39">
        <v>2</v>
      </c>
      <c r="Q9" s="34" t="str">
        <f>VLOOKUP(P9,Key!$E$2:$F$9,2,FALSE)</f>
        <v>Work</v>
      </c>
      <c r="R9" s="37" t="s">
        <v>204</v>
      </c>
      <c r="S9" s="32" t="s">
        <v>205</v>
      </c>
      <c r="T9" s="37" t="s">
        <v>168</v>
      </c>
      <c r="U9" s="32">
        <v>6</v>
      </c>
      <c r="V9" s="34" t="str">
        <f>VLOOKUP(U9,Key!$E$2:$F$9,2,FALSE)</f>
        <v>Leisure/Social</v>
      </c>
      <c r="W9" s="34" t="str">
        <f t="shared" ref="W9:W40" si="0">Q9&amp;"-"&amp;V9</f>
        <v>Work-Leisure/Social</v>
      </c>
      <c r="X9" s="47">
        <v>20000</v>
      </c>
      <c r="Y9" s="38">
        <v>3</v>
      </c>
      <c r="Z9" s="38">
        <v>1</v>
      </c>
      <c r="AA9" s="32">
        <v>5</v>
      </c>
      <c r="AB9" s="34" t="str">
        <f>VLOOKUP(AA9,Key!$C$20:$D$29,2,FALSE)</f>
        <v>Professional</v>
      </c>
      <c r="AC9" s="32">
        <v>3</v>
      </c>
      <c r="AD9" s="34" t="str">
        <f>VLOOKUP(AC9,Key!$E$20:$F$24,2,FALSE)</f>
        <v>500,000-750,000</v>
      </c>
      <c r="AE9" s="32">
        <v>1</v>
      </c>
      <c r="AF9" s="55">
        <v>1</v>
      </c>
      <c r="AG9" s="55">
        <v>2</v>
      </c>
      <c r="AH9" s="55">
        <v>1</v>
      </c>
      <c r="AI9" s="55">
        <v>2</v>
      </c>
      <c r="AJ9" s="39" t="s">
        <v>104</v>
      </c>
      <c r="AK9" s="40">
        <v>5000</v>
      </c>
      <c r="AL9" s="24"/>
      <c r="AM9" s="24"/>
      <c r="AN9"/>
      <c r="AO9"/>
      <c r="AP9"/>
      <c r="AQ9"/>
      <c r="AR9"/>
      <c r="AS9"/>
      <c r="AT9"/>
    </row>
    <row r="10" spans="1:46" hidden="1" x14ac:dyDescent="0.2">
      <c r="B10" s="50">
        <v>43687</v>
      </c>
      <c r="C10" s="35">
        <v>0.43472222222222223</v>
      </c>
      <c r="D10" s="35"/>
      <c r="E10" s="35" t="s">
        <v>111</v>
      </c>
      <c r="F10" s="37">
        <v>2</v>
      </c>
      <c r="G10" s="42" t="str">
        <f>VLOOKUP(F10,Key!$A$17:$B$21,2,FALSE)</f>
        <v>Road Vehicle</v>
      </c>
      <c r="H10" s="36">
        <v>1</v>
      </c>
      <c r="I10" s="43" t="str">
        <f>VLOOKUP(H10,Key!$A$2:$B$13,2,FALSE)</f>
        <v>Car</v>
      </c>
      <c r="J10" s="37" t="s">
        <v>166</v>
      </c>
      <c r="K10" s="13">
        <v>2</v>
      </c>
      <c r="L10" s="45" t="str">
        <f>VLOOKUP(K10,Key!$A$24:$B$29,2,FALSE)</f>
        <v>30-39</v>
      </c>
      <c r="M10" s="44" t="s">
        <v>182</v>
      </c>
      <c r="N10" s="44" t="s">
        <v>167</v>
      </c>
      <c r="O10" s="37" t="s">
        <v>168</v>
      </c>
      <c r="P10" s="39">
        <v>1</v>
      </c>
      <c r="Q10" s="34" t="str">
        <f>VLOOKUP(P10,Key!$E$2:$F$9,2,FALSE)</f>
        <v>Home</v>
      </c>
      <c r="R10" s="37" t="s">
        <v>167</v>
      </c>
      <c r="S10" s="32" t="s">
        <v>167</v>
      </c>
      <c r="T10" s="37" t="s">
        <v>168</v>
      </c>
      <c r="U10" s="32">
        <v>6</v>
      </c>
      <c r="V10" s="34" t="str">
        <f>VLOOKUP(U10,Key!$E$2:$F$9,2,FALSE)</f>
        <v>Leisure/Social</v>
      </c>
      <c r="W10" s="34" t="str">
        <f t="shared" si="0"/>
        <v>Home-Leisure/Social</v>
      </c>
      <c r="X10" s="47">
        <v>20000</v>
      </c>
      <c r="Y10" s="38">
        <v>5</v>
      </c>
      <c r="Z10" s="38">
        <v>0.3</v>
      </c>
      <c r="AA10" s="32">
        <v>5</v>
      </c>
      <c r="AB10" s="34" t="str">
        <f>VLOOKUP(AA10,Key!$C$20:$D$29,2,FALSE)</f>
        <v>Professional</v>
      </c>
      <c r="AC10" s="32">
        <v>3</v>
      </c>
      <c r="AD10" s="34" t="str">
        <f>VLOOKUP(AC10,Key!$E$20:$F$24,2,FALSE)</f>
        <v>500,000-750,000</v>
      </c>
      <c r="AE10" s="32">
        <v>1</v>
      </c>
      <c r="AF10" s="55">
        <v>1</v>
      </c>
      <c r="AG10" s="55">
        <v>1</v>
      </c>
      <c r="AH10" s="55">
        <v>1</v>
      </c>
      <c r="AI10" s="55">
        <v>1</v>
      </c>
      <c r="AJ10" s="39" t="s">
        <v>104</v>
      </c>
      <c r="AK10" s="40"/>
      <c r="AL10" s="24"/>
      <c r="AM10" s="24"/>
    </row>
    <row r="11" spans="1:46" hidden="1" x14ac:dyDescent="0.2">
      <c r="B11" s="50">
        <v>43687</v>
      </c>
      <c r="C11" s="35">
        <v>0.49791666666666662</v>
      </c>
      <c r="D11" s="35"/>
      <c r="E11" s="35" t="s">
        <v>111</v>
      </c>
      <c r="F11" s="37">
        <v>2</v>
      </c>
      <c r="G11" s="42" t="str">
        <f>VLOOKUP(F11,Key!$A$17:$B$21,2,FALSE)</f>
        <v>Road Vehicle</v>
      </c>
      <c r="H11" s="36">
        <v>1</v>
      </c>
      <c r="I11" s="43" t="str">
        <f>VLOOKUP(H11,Key!$A$2:$B$13,2,FALSE)</f>
        <v>Car</v>
      </c>
      <c r="J11" s="37" t="s">
        <v>166</v>
      </c>
      <c r="K11" s="37">
        <v>2</v>
      </c>
      <c r="L11" s="45" t="str">
        <f>VLOOKUP(K11,Key!$A$24:$B$29,2,FALSE)</f>
        <v>30-39</v>
      </c>
      <c r="M11" s="44" t="s">
        <v>186</v>
      </c>
      <c r="N11" s="32" t="s">
        <v>167</v>
      </c>
      <c r="O11" s="37" t="s">
        <v>168</v>
      </c>
      <c r="P11" s="39">
        <v>6</v>
      </c>
      <c r="Q11" s="34" t="str">
        <f>VLOOKUP(P11,Key!$E$2:$F$9,2,FALSE)</f>
        <v>Leisure/Social</v>
      </c>
      <c r="R11" s="37" t="s">
        <v>167</v>
      </c>
      <c r="S11" s="32" t="s">
        <v>167</v>
      </c>
      <c r="T11" s="37" t="s">
        <v>168</v>
      </c>
      <c r="U11" s="32">
        <v>2</v>
      </c>
      <c r="V11" s="34" t="str">
        <f>VLOOKUP(U11,Key!$E$2:$F$9,2,FALSE)</f>
        <v>Work</v>
      </c>
      <c r="W11" s="34" t="str">
        <f t="shared" si="0"/>
        <v>Leisure/Social-Work</v>
      </c>
      <c r="X11" s="47">
        <v>20000</v>
      </c>
      <c r="Y11" s="38">
        <v>5</v>
      </c>
      <c r="Z11" s="38">
        <v>0.5</v>
      </c>
      <c r="AA11" s="32">
        <v>6</v>
      </c>
      <c r="AB11" s="34" t="str">
        <f>VLOOKUP(AA11,Key!$C$20:$D$29,2,FALSE)</f>
        <v>Businessman</v>
      </c>
      <c r="AC11" s="32">
        <v>2</v>
      </c>
      <c r="AD11" s="34" t="str">
        <f>VLOOKUP(AC11,Key!$E$20:$F$24,2,FALSE)</f>
        <v>300,000-500,000</v>
      </c>
      <c r="AE11" s="32">
        <v>1</v>
      </c>
      <c r="AF11" s="55">
        <v>2</v>
      </c>
      <c r="AG11" s="55">
        <v>1</v>
      </c>
      <c r="AH11" s="55">
        <v>1</v>
      </c>
      <c r="AI11" s="55">
        <v>1</v>
      </c>
      <c r="AJ11" s="39" t="s">
        <v>104</v>
      </c>
      <c r="AK11" s="40"/>
      <c r="AL11" s="24"/>
      <c r="AM11" s="24"/>
    </row>
    <row r="12" spans="1:46" hidden="1" x14ac:dyDescent="0.2">
      <c r="B12" s="50">
        <v>43690</v>
      </c>
      <c r="C12" s="35">
        <v>0.45416666666666666</v>
      </c>
      <c r="D12" s="35"/>
      <c r="E12" s="35" t="s">
        <v>111</v>
      </c>
      <c r="F12" s="37">
        <v>2</v>
      </c>
      <c r="G12" s="42" t="str">
        <f>VLOOKUP(F12,Key!$A$17:$B$21,2,FALSE)</f>
        <v>Road Vehicle</v>
      </c>
      <c r="H12" s="36">
        <v>1</v>
      </c>
      <c r="I12" s="43" t="str">
        <f>VLOOKUP(H12,Key!$A$2:$B$13,2,FALSE)</f>
        <v>Car</v>
      </c>
      <c r="J12" s="37" t="s">
        <v>123</v>
      </c>
      <c r="K12" s="37">
        <v>4</v>
      </c>
      <c r="L12" s="45" t="str">
        <f>VLOOKUP(K12,Key!$A$24:$B$29,2,FALSE)</f>
        <v>50-59</v>
      </c>
      <c r="M12" s="37" t="s">
        <v>216</v>
      </c>
      <c r="N12" s="32" t="s">
        <v>167</v>
      </c>
      <c r="O12" s="37" t="s">
        <v>168</v>
      </c>
      <c r="P12" s="39">
        <v>2</v>
      </c>
      <c r="Q12" s="34" t="str">
        <f>VLOOKUP(P12,Key!$E$2:$F$9,2,FALSE)</f>
        <v>Work</v>
      </c>
      <c r="R12" s="37" t="s">
        <v>296</v>
      </c>
      <c r="S12" s="32" t="s">
        <v>167</v>
      </c>
      <c r="T12" s="37" t="s">
        <v>168</v>
      </c>
      <c r="U12" s="32">
        <v>1</v>
      </c>
      <c r="V12" s="34" t="str">
        <f>VLOOKUP(U12,Key!$E$2:$F$9,2,FALSE)</f>
        <v>Home</v>
      </c>
      <c r="W12" s="34" t="str">
        <f t="shared" si="0"/>
        <v>Work-Home</v>
      </c>
      <c r="X12" s="47">
        <v>5000</v>
      </c>
      <c r="Y12" s="38">
        <v>10</v>
      </c>
      <c r="Z12" s="38">
        <v>0.2</v>
      </c>
      <c r="AA12" s="32">
        <v>6</v>
      </c>
      <c r="AB12" s="34" t="str">
        <f>VLOOKUP(AA12,Key!$C$20:$D$29,2,FALSE)</f>
        <v>Businessman</v>
      </c>
      <c r="AC12" s="32">
        <v>5</v>
      </c>
      <c r="AD12" s="34" t="str">
        <f>VLOOKUP(AC12,Key!$E$20:$F$24,2,FALSE)</f>
        <v>&gt;1,000,000</v>
      </c>
      <c r="AE12" s="32">
        <v>1</v>
      </c>
      <c r="AF12" s="55">
        <v>1</v>
      </c>
      <c r="AG12" s="55">
        <v>1</v>
      </c>
      <c r="AH12" s="55">
        <v>1</v>
      </c>
      <c r="AI12" s="55">
        <v>1</v>
      </c>
      <c r="AJ12" s="39" t="s">
        <v>104</v>
      </c>
      <c r="AK12" s="40"/>
      <c r="AL12" s="24"/>
      <c r="AM12" s="24"/>
    </row>
    <row r="13" spans="1:46" hidden="1" x14ac:dyDescent="0.2">
      <c r="B13" s="50">
        <v>43689</v>
      </c>
      <c r="C13" s="35">
        <v>0.38263888888888892</v>
      </c>
      <c r="D13" s="35"/>
      <c r="E13" s="35" t="s">
        <v>111</v>
      </c>
      <c r="F13" s="37">
        <v>2</v>
      </c>
      <c r="G13" s="42" t="str">
        <f>VLOOKUP(F13,Key!$A$17:$B$21,2,FALSE)</f>
        <v>Road Vehicle</v>
      </c>
      <c r="H13" s="36">
        <v>1</v>
      </c>
      <c r="I13" s="43" t="str">
        <f>VLOOKUP(H13,Key!$A$2:$B$13,2,FALSE)</f>
        <v>Car</v>
      </c>
      <c r="J13" s="37" t="s">
        <v>166</v>
      </c>
      <c r="K13" s="13">
        <v>2</v>
      </c>
      <c r="L13" s="45" t="str">
        <f>VLOOKUP(K13,Key!$A$24:$B$29,2,FALSE)</f>
        <v>30-39</v>
      </c>
      <c r="M13" s="44" t="s">
        <v>186</v>
      </c>
      <c r="N13" s="44" t="s">
        <v>167</v>
      </c>
      <c r="O13" s="37" t="s">
        <v>168</v>
      </c>
      <c r="P13" s="39">
        <v>2</v>
      </c>
      <c r="Q13" s="34" t="str">
        <f>VLOOKUP(P13,Key!$E$2:$F$9,2,FALSE)</f>
        <v>Work</v>
      </c>
      <c r="R13" s="37" t="s">
        <v>167</v>
      </c>
      <c r="S13" s="32" t="s">
        <v>167</v>
      </c>
      <c r="T13" s="37" t="s">
        <v>168</v>
      </c>
      <c r="U13" s="32">
        <v>2</v>
      </c>
      <c r="V13" s="34" t="str">
        <f>VLOOKUP(U13,Key!$E$2:$F$9,2,FALSE)</f>
        <v>Work</v>
      </c>
      <c r="W13" s="34" t="str">
        <f t="shared" si="0"/>
        <v>Work-Work</v>
      </c>
      <c r="X13" s="47">
        <v>20000</v>
      </c>
      <c r="Y13" s="38">
        <v>10</v>
      </c>
      <c r="Z13" s="38">
        <v>0.3</v>
      </c>
      <c r="AA13" s="32">
        <v>5</v>
      </c>
      <c r="AB13" s="34" t="str">
        <f>VLOOKUP(AA13,Key!$C$20:$D$29,2,FALSE)</f>
        <v>Professional</v>
      </c>
      <c r="AC13" s="32">
        <v>2</v>
      </c>
      <c r="AD13" s="34" t="str">
        <f>VLOOKUP(AC13,Key!$E$20:$F$24,2,FALSE)</f>
        <v>300,000-500,000</v>
      </c>
      <c r="AE13" s="32">
        <v>1</v>
      </c>
      <c r="AF13" s="55">
        <v>1</v>
      </c>
      <c r="AG13" s="55">
        <v>1</v>
      </c>
      <c r="AH13" s="55">
        <v>1</v>
      </c>
      <c r="AI13" s="55">
        <v>1</v>
      </c>
      <c r="AJ13" s="39" t="s">
        <v>104</v>
      </c>
      <c r="AK13" s="40"/>
      <c r="AL13" s="24"/>
      <c r="AM13" s="24"/>
    </row>
    <row r="14" spans="1:46" hidden="1" x14ac:dyDescent="0.2">
      <c r="B14" s="50">
        <v>43689</v>
      </c>
      <c r="C14" s="35">
        <v>0.62291666666666667</v>
      </c>
      <c r="D14" s="35"/>
      <c r="E14" s="35" t="s">
        <v>111</v>
      </c>
      <c r="F14" s="37">
        <v>2</v>
      </c>
      <c r="G14" s="42" t="str">
        <f>VLOOKUP(F14,Key!$A$17:$B$21,2,FALSE)</f>
        <v>Road Vehicle</v>
      </c>
      <c r="H14" s="36">
        <v>1</v>
      </c>
      <c r="I14" s="43" t="str">
        <f>VLOOKUP(H14,Key!$A$2:$B$13,2,FALSE)</f>
        <v>Car</v>
      </c>
      <c r="J14" s="37" t="s">
        <v>123</v>
      </c>
      <c r="K14" s="37">
        <v>3</v>
      </c>
      <c r="L14" s="45" t="str">
        <f>VLOOKUP(K14,Key!$A$24:$B$29,2,FALSE)</f>
        <v>40-49</v>
      </c>
      <c r="M14" s="37" t="s">
        <v>276</v>
      </c>
      <c r="N14" s="32" t="s">
        <v>167</v>
      </c>
      <c r="O14" s="37" t="s">
        <v>168</v>
      </c>
      <c r="P14" s="39">
        <v>1</v>
      </c>
      <c r="Q14" s="34" t="str">
        <f>VLOOKUP(P14,Key!$E$2:$F$9,2,FALSE)</f>
        <v>Home</v>
      </c>
      <c r="R14" s="37" t="s">
        <v>216</v>
      </c>
      <c r="S14" s="32" t="s">
        <v>167</v>
      </c>
      <c r="T14" s="37" t="s">
        <v>168</v>
      </c>
      <c r="U14" s="32">
        <v>6</v>
      </c>
      <c r="V14" s="34" t="str">
        <f>VLOOKUP(U14,Key!$E$2:$F$9,2,FALSE)</f>
        <v>Leisure/Social</v>
      </c>
      <c r="W14" s="34" t="str">
        <f t="shared" si="0"/>
        <v>Home-Leisure/Social</v>
      </c>
      <c r="X14" s="47">
        <v>4000</v>
      </c>
      <c r="Y14" s="38">
        <v>10</v>
      </c>
      <c r="Z14" s="38">
        <v>0.3</v>
      </c>
      <c r="AA14" s="32">
        <v>5</v>
      </c>
      <c r="AB14" s="34" t="str">
        <f>VLOOKUP(AA14,Key!$C$20:$D$29,2,FALSE)</f>
        <v>Professional</v>
      </c>
      <c r="AC14" s="32">
        <v>3</v>
      </c>
      <c r="AD14" s="34" t="str">
        <f>VLOOKUP(AC14,Key!$E$20:$F$24,2,FALSE)</f>
        <v>500,000-750,000</v>
      </c>
      <c r="AE14" s="32">
        <v>1</v>
      </c>
      <c r="AF14" s="55">
        <v>1</v>
      </c>
      <c r="AG14" s="55">
        <v>1</v>
      </c>
      <c r="AH14" s="55">
        <v>1</v>
      </c>
      <c r="AI14" s="55">
        <v>1</v>
      </c>
      <c r="AJ14" s="39" t="s">
        <v>104</v>
      </c>
      <c r="AK14" s="40">
        <v>3000</v>
      </c>
      <c r="AL14" s="24"/>
      <c r="AM14" s="24"/>
    </row>
    <row r="15" spans="1:46" hidden="1" x14ac:dyDescent="0.2">
      <c r="B15" s="50">
        <v>43689</v>
      </c>
      <c r="C15" s="35">
        <v>0.61527777777777781</v>
      </c>
      <c r="D15" s="35"/>
      <c r="E15" s="35" t="s">
        <v>111</v>
      </c>
      <c r="F15" s="37">
        <v>2</v>
      </c>
      <c r="G15" s="42" t="str">
        <f>VLOOKUP(F15,Key!$A$17:$B$21,2,FALSE)</f>
        <v>Road Vehicle</v>
      </c>
      <c r="H15" s="36">
        <v>1</v>
      </c>
      <c r="I15" s="43" t="str">
        <f>VLOOKUP(H15,Key!$A$2:$B$13,2,FALSE)</f>
        <v>Car</v>
      </c>
      <c r="J15" s="37" t="s">
        <v>123</v>
      </c>
      <c r="K15" s="37">
        <v>4</v>
      </c>
      <c r="L15" s="45" t="str">
        <f>VLOOKUP(K15,Key!$A$24:$B$29,2,FALSE)</f>
        <v>50-59</v>
      </c>
      <c r="M15" s="37" t="s">
        <v>216</v>
      </c>
      <c r="N15" s="32" t="s">
        <v>167</v>
      </c>
      <c r="O15" s="37" t="s">
        <v>168</v>
      </c>
      <c r="P15" s="39">
        <v>2</v>
      </c>
      <c r="Q15" s="34" t="str">
        <f>VLOOKUP(P15,Key!$E$2:$F$9,2,FALSE)</f>
        <v>Work</v>
      </c>
      <c r="R15" s="37" t="s">
        <v>187</v>
      </c>
      <c r="S15" s="32" t="s">
        <v>167</v>
      </c>
      <c r="T15" s="37" t="s">
        <v>168</v>
      </c>
      <c r="U15" s="32">
        <v>1</v>
      </c>
      <c r="V15" s="34" t="str">
        <f>VLOOKUP(U15,Key!$E$2:$F$9,2,FALSE)</f>
        <v>Home</v>
      </c>
      <c r="W15" s="34" t="str">
        <f t="shared" si="0"/>
        <v>Work-Home</v>
      </c>
      <c r="X15" s="47">
        <v>5000</v>
      </c>
      <c r="Y15" s="38">
        <v>10</v>
      </c>
      <c r="Z15" s="38">
        <v>0.3</v>
      </c>
      <c r="AA15" s="32">
        <v>6</v>
      </c>
      <c r="AB15" s="34" t="str">
        <f>VLOOKUP(AA15,Key!$C$20:$D$29,2,FALSE)</f>
        <v>Businessman</v>
      </c>
      <c r="AC15" s="32">
        <v>4</v>
      </c>
      <c r="AD15" s="34" t="str">
        <f>VLOOKUP(AC15,Key!$E$20:$F$24,2,FALSE)</f>
        <v>750,000-1,000,000</v>
      </c>
      <c r="AE15" s="32">
        <v>1</v>
      </c>
      <c r="AF15" s="55">
        <v>1</v>
      </c>
      <c r="AG15" s="55">
        <v>1</v>
      </c>
      <c r="AH15" s="55">
        <v>1</v>
      </c>
      <c r="AI15" s="55">
        <v>1</v>
      </c>
      <c r="AJ15" s="39" t="s">
        <v>104</v>
      </c>
      <c r="AK15" s="40"/>
      <c r="AL15" s="24"/>
      <c r="AM15" s="24"/>
    </row>
    <row r="16" spans="1:46" hidden="1" x14ac:dyDescent="0.2">
      <c r="B16" s="50">
        <v>43689</v>
      </c>
      <c r="C16" s="35">
        <v>0.59652777777777777</v>
      </c>
      <c r="D16" s="35"/>
      <c r="E16" s="35" t="s">
        <v>111</v>
      </c>
      <c r="F16" s="37">
        <v>2</v>
      </c>
      <c r="G16" s="42" t="str">
        <f>VLOOKUP(F16,Key!$A$17:$B$21,2,FALSE)</f>
        <v>Road Vehicle</v>
      </c>
      <c r="H16" s="36">
        <v>1</v>
      </c>
      <c r="I16" s="43" t="str">
        <f>VLOOKUP(H16,Key!$A$2:$B$13,2,FALSE)</f>
        <v>Car</v>
      </c>
      <c r="J16" s="37" t="s">
        <v>166</v>
      </c>
      <c r="K16" s="37">
        <v>2</v>
      </c>
      <c r="L16" s="45" t="str">
        <f>VLOOKUP(K16,Key!$A$24:$B$29,2,FALSE)</f>
        <v>30-39</v>
      </c>
      <c r="M16" s="37" t="s">
        <v>186</v>
      </c>
      <c r="N16" s="32" t="s">
        <v>167</v>
      </c>
      <c r="O16" s="37" t="s">
        <v>168</v>
      </c>
      <c r="P16" s="39">
        <v>1</v>
      </c>
      <c r="Q16" s="34" t="str">
        <f>VLOOKUP(P16,Key!$E$2:$F$9,2,FALSE)</f>
        <v>Home</v>
      </c>
      <c r="R16" s="37" t="s">
        <v>351</v>
      </c>
      <c r="S16" s="32" t="s">
        <v>167</v>
      </c>
      <c r="T16" s="37" t="s">
        <v>168</v>
      </c>
      <c r="U16" s="32">
        <v>2</v>
      </c>
      <c r="V16" s="34" t="str">
        <f>VLOOKUP(U16,Key!$E$2:$F$9,2,FALSE)</f>
        <v>Work</v>
      </c>
      <c r="W16" s="34" t="str">
        <f t="shared" si="0"/>
        <v>Home-Work</v>
      </c>
      <c r="X16" s="47">
        <v>20000</v>
      </c>
      <c r="Y16" s="38">
        <v>10</v>
      </c>
      <c r="Z16" s="38">
        <v>0.5</v>
      </c>
      <c r="AA16" s="32">
        <v>4</v>
      </c>
      <c r="AB16" s="34" t="str">
        <f>VLOOKUP(AA16,Key!$C$20:$D$29,2,FALSE)</f>
        <v>Office Worker</v>
      </c>
      <c r="AC16" s="32">
        <v>2</v>
      </c>
      <c r="AD16" s="34" t="str">
        <f>VLOOKUP(AC16,Key!$E$20:$F$24,2,FALSE)</f>
        <v>300,000-500,000</v>
      </c>
      <c r="AE16" s="32">
        <v>1</v>
      </c>
      <c r="AF16" s="55">
        <v>2</v>
      </c>
      <c r="AG16" s="55">
        <v>1</v>
      </c>
      <c r="AH16" s="55">
        <v>1</v>
      </c>
      <c r="AI16" s="55">
        <v>1</v>
      </c>
      <c r="AJ16" s="39" t="s">
        <v>104</v>
      </c>
      <c r="AK16" s="40">
        <v>1000</v>
      </c>
      <c r="AL16" s="24"/>
      <c r="AM16" s="24"/>
    </row>
    <row r="17" spans="2:39" hidden="1" x14ac:dyDescent="0.2">
      <c r="B17" s="50">
        <v>43689</v>
      </c>
      <c r="C17" s="35">
        <v>0.58124999999999993</v>
      </c>
      <c r="D17" s="35"/>
      <c r="E17" s="35" t="s">
        <v>111</v>
      </c>
      <c r="F17" s="37">
        <v>2</v>
      </c>
      <c r="G17" s="42" t="str">
        <f>VLOOKUP(F17,Key!$A$17:$B$21,2,FALSE)</f>
        <v>Road Vehicle</v>
      </c>
      <c r="H17" s="36">
        <v>1</v>
      </c>
      <c r="I17" s="43" t="str">
        <f>VLOOKUP(H17,Key!$A$2:$B$13,2,FALSE)</f>
        <v>Car</v>
      </c>
      <c r="J17" s="37" t="s">
        <v>166</v>
      </c>
      <c r="K17" s="37">
        <v>2</v>
      </c>
      <c r="L17" s="45" t="str">
        <f>VLOOKUP(K17,Key!$A$24:$B$29,2,FALSE)</f>
        <v>30-39</v>
      </c>
      <c r="M17" s="37" t="s">
        <v>187</v>
      </c>
      <c r="N17" s="32" t="s">
        <v>167</v>
      </c>
      <c r="O17" s="37" t="s">
        <v>168</v>
      </c>
      <c r="P17" s="39">
        <v>1</v>
      </c>
      <c r="Q17" s="34" t="str">
        <f>VLOOKUP(P17,Key!$E$2:$F$9,2,FALSE)</f>
        <v>Home</v>
      </c>
      <c r="R17" s="37" t="s">
        <v>187</v>
      </c>
      <c r="S17" s="32" t="s">
        <v>167</v>
      </c>
      <c r="T17" s="37" t="s">
        <v>168</v>
      </c>
      <c r="U17" s="32">
        <v>1</v>
      </c>
      <c r="V17" s="34" t="str">
        <f>VLOOKUP(U17,Key!$E$2:$F$9,2,FALSE)</f>
        <v>Home</v>
      </c>
      <c r="W17" s="34" t="str">
        <f t="shared" si="0"/>
        <v>Home-Home</v>
      </c>
      <c r="X17" s="47">
        <v>25000</v>
      </c>
      <c r="Y17" s="38">
        <v>10</v>
      </c>
      <c r="Z17" s="38">
        <v>0.5</v>
      </c>
      <c r="AA17" s="32">
        <v>6</v>
      </c>
      <c r="AB17" s="34" t="str">
        <f>VLOOKUP(AA17,Key!$C$20:$D$29,2,FALSE)</f>
        <v>Businessman</v>
      </c>
      <c r="AC17" s="32">
        <v>3</v>
      </c>
      <c r="AD17" s="34" t="str">
        <f>VLOOKUP(AC17,Key!$E$20:$F$24,2,FALSE)</f>
        <v>500,000-750,000</v>
      </c>
      <c r="AE17" s="32">
        <v>1</v>
      </c>
      <c r="AF17" s="55">
        <v>1</v>
      </c>
      <c r="AG17" s="55">
        <v>1</v>
      </c>
      <c r="AH17" s="55">
        <v>1</v>
      </c>
      <c r="AI17" s="55">
        <v>1</v>
      </c>
      <c r="AJ17" s="39" t="s">
        <v>104</v>
      </c>
      <c r="AK17" s="40"/>
      <c r="AL17" s="24"/>
      <c r="AM17" s="24"/>
    </row>
    <row r="18" spans="2:39" hidden="1" x14ac:dyDescent="0.2">
      <c r="B18" s="50">
        <v>43686</v>
      </c>
      <c r="C18" s="35">
        <v>0.65277777777777779</v>
      </c>
      <c r="D18" s="35"/>
      <c r="E18" s="35" t="s">
        <v>111</v>
      </c>
      <c r="F18" s="37">
        <v>2</v>
      </c>
      <c r="G18" s="42" t="str">
        <f>VLOOKUP(F18,Key!$A$17:$B$21,2,FALSE)</f>
        <v>Road Vehicle</v>
      </c>
      <c r="H18" s="36">
        <v>1</v>
      </c>
      <c r="I18" s="43" t="str">
        <f>VLOOKUP(H18,Key!$A$2:$B$13,2,FALSE)</f>
        <v>Car</v>
      </c>
      <c r="J18" s="37" t="s">
        <v>166</v>
      </c>
      <c r="K18" s="37">
        <v>2</v>
      </c>
      <c r="L18" s="45" t="str">
        <f>VLOOKUP(K18,Key!$A$24:$B$29,2,FALSE)</f>
        <v>30-39</v>
      </c>
      <c r="M18" s="37" t="s">
        <v>187</v>
      </c>
      <c r="N18" s="32" t="s">
        <v>167</v>
      </c>
      <c r="O18" s="37" t="s">
        <v>168</v>
      </c>
      <c r="P18" s="39">
        <v>2</v>
      </c>
      <c r="Q18" s="34" t="str">
        <f>VLOOKUP(P18,Key!$E$2:$F$9,2,FALSE)</f>
        <v>Work</v>
      </c>
      <c r="R18" s="37" t="s">
        <v>276</v>
      </c>
      <c r="S18" s="32" t="s">
        <v>167</v>
      </c>
      <c r="T18" s="37" t="s">
        <v>168</v>
      </c>
      <c r="U18" s="32">
        <v>1</v>
      </c>
      <c r="V18" s="34" t="str">
        <f>VLOOKUP(U18,Key!$E$2:$F$9,2,FALSE)</f>
        <v>Home</v>
      </c>
      <c r="W18" s="34" t="str">
        <f t="shared" si="0"/>
        <v>Work-Home</v>
      </c>
      <c r="X18" s="47">
        <v>10000</v>
      </c>
      <c r="Y18" s="38">
        <v>15</v>
      </c>
      <c r="Z18" s="38">
        <v>0.2</v>
      </c>
      <c r="AA18" s="32">
        <v>6</v>
      </c>
      <c r="AB18" s="34" t="str">
        <f>VLOOKUP(AA18,Key!$C$20:$D$29,2,FALSE)</f>
        <v>Businessman</v>
      </c>
      <c r="AC18" s="32">
        <v>5</v>
      </c>
      <c r="AD18" s="34" t="str">
        <f>VLOOKUP(AC18,Key!$E$20:$F$24,2,FALSE)</f>
        <v>&gt;1,000,000</v>
      </c>
      <c r="AE18" s="32">
        <v>1</v>
      </c>
      <c r="AF18" s="55">
        <v>2</v>
      </c>
      <c r="AG18" s="55">
        <v>4</v>
      </c>
      <c r="AH18" s="55">
        <v>1</v>
      </c>
      <c r="AI18" s="55">
        <v>1</v>
      </c>
      <c r="AJ18" s="39" t="s">
        <v>104</v>
      </c>
      <c r="AK18" s="40">
        <v>2000</v>
      </c>
      <c r="AL18" s="24"/>
      <c r="AM18" s="24"/>
    </row>
    <row r="19" spans="2:39" hidden="1" x14ac:dyDescent="0.2">
      <c r="B19" s="50">
        <v>43686</v>
      </c>
      <c r="C19" s="35">
        <v>0.75486111111111109</v>
      </c>
      <c r="D19" s="35"/>
      <c r="E19" s="35" t="s">
        <v>111</v>
      </c>
      <c r="F19" s="37">
        <v>2</v>
      </c>
      <c r="G19" s="42" t="str">
        <f>VLOOKUP(F19,Key!$A$17:$B$21,2,FALSE)</f>
        <v>Road Vehicle</v>
      </c>
      <c r="H19" s="36">
        <v>1</v>
      </c>
      <c r="I19" s="43" t="str">
        <f>VLOOKUP(H19,Key!$A$2:$B$13,2,FALSE)</f>
        <v>Car</v>
      </c>
      <c r="J19" s="37" t="s">
        <v>166</v>
      </c>
      <c r="K19" s="37">
        <v>2</v>
      </c>
      <c r="L19" s="45" t="str">
        <f>VLOOKUP(K19,Key!$A$24:$B$29,2,FALSE)</f>
        <v>30-39</v>
      </c>
      <c r="M19" s="37" t="s">
        <v>295</v>
      </c>
      <c r="N19" s="32" t="s">
        <v>167</v>
      </c>
      <c r="O19" s="37" t="s">
        <v>168</v>
      </c>
      <c r="P19" s="39">
        <v>6</v>
      </c>
      <c r="Q19" s="34" t="str">
        <f>VLOOKUP(P19,Key!$E$2:$F$9,2,FALSE)</f>
        <v>Leisure/Social</v>
      </c>
      <c r="R19" s="37" t="s">
        <v>277</v>
      </c>
      <c r="S19" s="32" t="s">
        <v>167</v>
      </c>
      <c r="T19" s="37" t="s">
        <v>168</v>
      </c>
      <c r="U19" s="32">
        <v>1</v>
      </c>
      <c r="V19" s="34" t="str">
        <f>VLOOKUP(U19,Key!$E$2:$F$9,2,FALSE)</f>
        <v>Home</v>
      </c>
      <c r="W19" s="34" t="str">
        <f t="shared" si="0"/>
        <v>Leisure/Social-Home</v>
      </c>
      <c r="X19" s="47">
        <v>5000</v>
      </c>
      <c r="Y19" s="38">
        <v>15</v>
      </c>
      <c r="Z19" s="38">
        <v>0.3</v>
      </c>
      <c r="AA19" s="32">
        <v>5</v>
      </c>
      <c r="AB19" s="34" t="str">
        <f>VLOOKUP(AA19,Key!$C$20:$D$29,2,FALSE)</f>
        <v>Professional</v>
      </c>
      <c r="AC19" s="32">
        <v>4</v>
      </c>
      <c r="AD19" s="34" t="str">
        <f>VLOOKUP(AC19,Key!$E$20:$F$24,2,FALSE)</f>
        <v>750,000-1,000,000</v>
      </c>
      <c r="AE19" s="32">
        <v>1</v>
      </c>
      <c r="AF19" s="55">
        <v>1</v>
      </c>
      <c r="AG19" s="55">
        <v>1</v>
      </c>
      <c r="AH19" s="55">
        <v>1</v>
      </c>
      <c r="AI19" s="55">
        <v>1</v>
      </c>
      <c r="AJ19" s="39" t="s">
        <v>104</v>
      </c>
      <c r="AK19" s="40">
        <v>2000</v>
      </c>
      <c r="AL19" s="24"/>
      <c r="AM19" s="24"/>
    </row>
    <row r="20" spans="2:39" hidden="1" x14ac:dyDescent="0.2">
      <c r="B20" s="50">
        <v>43686</v>
      </c>
      <c r="C20" s="35">
        <v>0.65277777777777779</v>
      </c>
      <c r="D20" s="35"/>
      <c r="E20" s="35" t="s">
        <v>111</v>
      </c>
      <c r="F20" s="37">
        <v>2</v>
      </c>
      <c r="G20" s="42" t="str">
        <f>VLOOKUP(F20,Key!$A$17:$B$21,2,FALSE)</f>
        <v>Road Vehicle</v>
      </c>
      <c r="H20" s="36">
        <v>1</v>
      </c>
      <c r="I20" s="43" t="str">
        <f>VLOOKUP(H20,Key!$A$2:$B$13,2,FALSE)</f>
        <v>Car</v>
      </c>
      <c r="J20" s="37" t="s">
        <v>123</v>
      </c>
      <c r="K20" s="37">
        <v>3</v>
      </c>
      <c r="L20" s="45" t="str">
        <f>VLOOKUP(K20,Key!$A$24:$B$29,2,FALSE)</f>
        <v>40-49</v>
      </c>
      <c r="M20" s="37" t="s">
        <v>208</v>
      </c>
      <c r="N20" s="32" t="s">
        <v>167</v>
      </c>
      <c r="O20" s="37" t="s">
        <v>168</v>
      </c>
      <c r="P20" s="39">
        <v>1</v>
      </c>
      <c r="Q20" s="34" t="str">
        <f>VLOOKUP(P20,Key!$E$2:$F$9,2,FALSE)</f>
        <v>Home</v>
      </c>
      <c r="R20" s="37" t="s">
        <v>277</v>
      </c>
      <c r="S20" s="32" t="s">
        <v>167</v>
      </c>
      <c r="T20" s="37" t="s">
        <v>168</v>
      </c>
      <c r="U20" s="32">
        <v>2</v>
      </c>
      <c r="V20" s="34" t="str">
        <f>VLOOKUP(U20,Key!$E$2:$F$9,2,FALSE)</f>
        <v>Work</v>
      </c>
      <c r="W20" s="34" t="str">
        <f t="shared" si="0"/>
        <v>Home-Work</v>
      </c>
      <c r="X20" s="47">
        <v>10000</v>
      </c>
      <c r="Y20" s="38">
        <v>15</v>
      </c>
      <c r="Z20" s="38">
        <v>0.5</v>
      </c>
      <c r="AA20" s="32">
        <v>5</v>
      </c>
      <c r="AB20" s="34" t="str">
        <f>VLOOKUP(AA20,Key!$C$20:$D$29,2,FALSE)</f>
        <v>Professional</v>
      </c>
      <c r="AC20" s="32">
        <v>3</v>
      </c>
      <c r="AD20" s="34" t="str">
        <f>VLOOKUP(AC20,Key!$E$20:$F$24,2,FALSE)</f>
        <v>500,000-750,000</v>
      </c>
      <c r="AE20" s="32">
        <v>1</v>
      </c>
      <c r="AF20" s="55">
        <v>1</v>
      </c>
      <c r="AG20" s="55">
        <v>1</v>
      </c>
      <c r="AH20" s="55">
        <v>1</v>
      </c>
      <c r="AI20" s="55">
        <v>1</v>
      </c>
      <c r="AJ20" s="39" t="s">
        <v>104</v>
      </c>
      <c r="AK20" s="40">
        <v>3000</v>
      </c>
      <c r="AL20" s="24"/>
      <c r="AM20" s="24"/>
    </row>
    <row r="21" spans="2:39" hidden="1" x14ac:dyDescent="0.2">
      <c r="B21" s="50">
        <v>43686</v>
      </c>
      <c r="C21" s="35">
        <v>0.75138888888888899</v>
      </c>
      <c r="D21" s="35"/>
      <c r="E21" s="35" t="s">
        <v>111</v>
      </c>
      <c r="F21" s="37">
        <v>2</v>
      </c>
      <c r="G21" s="42" t="str">
        <f>VLOOKUP(F21,Key!$A$17:$B$21,2,FALSE)</f>
        <v>Road Vehicle</v>
      </c>
      <c r="H21" s="36">
        <v>1</v>
      </c>
      <c r="I21" s="43" t="str">
        <f>VLOOKUP(H21,Key!$A$2:$B$13,2,FALSE)</f>
        <v>Car</v>
      </c>
      <c r="J21" s="37" t="s">
        <v>123</v>
      </c>
      <c r="K21" s="37">
        <v>2</v>
      </c>
      <c r="L21" s="45" t="str">
        <f>VLOOKUP(K21,Key!$A$24:$B$29,2,FALSE)</f>
        <v>30-39</v>
      </c>
      <c r="M21" s="37" t="s">
        <v>252</v>
      </c>
      <c r="N21" s="32" t="s">
        <v>167</v>
      </c>
      <c r="O21" s="37" t="s">
        <v>168</v>
      </c>
      <c r="P21" s="39">
        <v>6</v>
      </c>
      <c r="Q21" s="34" t="str">
        <f>VLOOKUP(P21,Key!$E$2:$F$9,2,FALSE)</f>
        <v>Leisure/Social</v>
      </c>
      <c r="R21" s="37" t="s">
        <v>190</v>
      </c>
      <c r="S21" s="32" t="s">
        <v>190</v>
      </c>
      <c r="T21" s="37" t="s">
        <v>168</v>
      </c>
      <c r="U21" s="32">
        <v>3</v>
      </c>
      <c r="V21" s="34" t="str">
        <f>VLOOKUP(U21,Key!$E$2:$F$9,2,FALSE)</f>
        <v>Study</v>
      </c>
      <c r="W21" s="34" t="str">
        <f t="shared" si="0"/>
        <v>Leisure/Social-Study</v>
      </c>
      <c r="X21" s="47">
        <v>30000</v>
      </c>
      <c r="Y21" s="38">
        <v>15</v>
      </c>
      <c r="Z21" s="38">
        <v>1</v>
      </c>
      <c r="AA21" s="32">
        <v>6</v>
      </c>
      <c r="AB21" s="34" t="str">
        <f>VLOOKUP(AA21,Key!$C$20:$D$29,2,FALSE)</f>
        <v>Businessman</v>
      </c>
      <c r="AC21" s="32">
        <v>2</v>
      </c>
      <c r="AD21" s="34" t="str">
        <f>VLOOKUP(AC21,Key!$E$20:$F$24,2,FALSE)</f>
        <v>300,000-500,000</v>
      </c>
      <c r="AE21" s="32">
        <v>1</v>
      </c>
      <c r="AF21" s="55">
        <v>2</v>
      </c>
      <c r="AG21" s="55">
        <v>1</v>
      </c>
      <c r="AH21" s="55">
        <v>1</v>
      </c>
      <c r="AI21" s="55">
        <v>1</v>
      </c>
      <c r="AJ21" s="39" t="s">
        <v>104</v>
      </c>
      <c r="AK21" s="40">
        <v>1000</v>
      </c>
      <c r="AL21" s="24"/>
      <c r="AM21" s="24"/>
    </row>
    <row r="22" spans="2:39" hidden="1" x14ac:dyDescent="0.2">
      <c r="B22" s="50">
        <v>43687</v>
      </c>
      <c r="C22" s="35">
        <v>0.44791666666666669</v>
      </c>
      <c r="D22" s="35"/>
      <c r="E22" s="35" t="s">
        <v>111</v>
      </c>
      <c r="F22" s="37">
        <v>2</v>
      </c>
      <c r="G22" s="42" t="str">
        <f>VLOOKUP(F22,Key!$A$17:$B$21,2,FALSE)</f>
        <v>Road Vehicle</v>
      </c>
      <c r="H22" s="36">
        <v>1</v>
      </c>
      <c r="I22" s="43" t="str">
        <f>VLOOKUP(H22,Key!$A$2:$B$13,2,FALSE)</f>
        <v>Car</v>
      </c>
      <c r="J22" s="37" t="s">
        <v>166</v>
      </c>
      <c r="K22" s="37">
        <v>2</v>
      </c>
      <c r="L22" s="45" t="str">
        <f>VLOOKUP(K22,Key!$A$24:$B$29,2,FALSE)</f>
        <v>30-39</v>
      </c>
      <c r="M22" s="37" t="s">
        <v>173</v>
      </c>
      <c r="N22" s="32" t="s">
        <v>167</v>
      </c>
      <c r="O22" s="37" t="s">
        <v>168</v>
      </c>
      <c r="P22" s="39">
        <v>2</v>
      </c>
      <c r="Q22" s="34" t="str">
        <f>VLOOKUP(P22,Key!$E$2:$F$9,2,FALSE)</f>
        <v>Work</v>
      </c>
      <c r="R22" s="37" t="s">
        <v>189</v>
      </c>
      <c r="S22" s="32" t="s">
        <v>190</v>
      </c>
      <c r="T22" s="37" t="s">
        <v>168</v>
      </c>
      <c r="U22" s="32">
        <v>6</v>
      </c>
      <c r="V22" s="34" t="str">
        <f>VLOOKUP(U22,Key!$E$2:$F$9,2,FALSE)</f>
        <v>Leisure/Social</v>
      </c>
      <c r="W22" s="34" t="str">
        <f t="shared" si="0"/>
        <v>Work-Leisure/Social</v>
      </c>
      <c r="X22" s="47">
        <v>40000</v>
      </c>
      <c r="Y22" s="38">
        <v>17</v>
      </c>
      <c r="Z22" s="38">
        <v>2</v>
      </c>
      <c r="AA22" s="32">
        <v>4</v>
      </c>
      <c r="AB22" s="34" t="str">
        <f>VLOOKUP(AA22,Key!$C$20:$D$29,2,FALSE)</f>
        <v>Office Worker</v>
      </c>
      <c r="AC22" s="32">
        <v>2</v>
      </c>
      <c r="AD22" s="34" t="str">
        <f>VLOOKUP(AC22,Key!$E$20:$F$24,2,FALSE)</f>
        <v>300,000-500,000</v>
      </c>
      <c r="AE22" s="32">
        <v>1</v>
      </c>
      <c r="AF22" s="55">
        <v>1</v>
      </c>
      <c r="AG22" s="55">
        <v>2</v>
      </c>
      <c r="AH22" s="55">
        <v>1</v>
      </c>
      <c r="AI22" s="55">
        <v>1</v>
      </c>
      <c r="AJ22" s="39" t="s">
        <v>104</v>
      </c>
      <c r="AK22" s="40">
        <v>2000</v>
      </c>
      <c r="AL22" s="24"/>
      <c r="AM22" s="24"/>
    </row>
    <row r="23" spans="2:39" hidden="1" x14ac:dyDescent="0.2">
      <c r="B23" s="50">
        <v>43687</v>
      </c>
      <c r="C23" s="35">
        <v>0.60069444444444442</v>
      </c>
      <c r="D23" s="35"/>
      <c r="E23" s="35" t="s">
        <v>111</v>
      </c>
      <c r="F23" s="37">
        <v>2</v>
      </c>
      <c r="G23" s="42" t="str">
        <f>VLOOKUP(F23,Key!$A$17:$B$21,2,FALSE)</f>
        <v>Road Vehicle</v>
      </c>
      <c r="H23" s="36">
        <v>1</v>
      </c>
      <c r="I23" s="43" t="str">
        <f>VLOOKUP(H23,Key!$A$2:$B$13,2,FALSE)</f>
        <v>Car</v>
      </c>
      <c r="J23" s="37" t="s">
        <v>123</v>
      </c>
      <c r="K23" s="37">
        <v>1</v>
      </c>
      <c r="L23" s="45" t="str">
        <f>VLOOKUP(K23,Key!$A$24:$B$29,2,FALSE)</f>
        <v>20-29</v>
      </c>
      <c r="M23" s="37" t="s">
        <v>297</v>
      </c>
      <c r="N23" s="32" t="s">
        <v>167</v>
      </c>
      <c r="O23" s="37" t="s">
        <v>168</v>
      </c>
      <c r="P23" s="39">
        <v>2</v>
      </c>
      <c r="Q23" s="34" t="str">
        <f>VLOOKUP(P23,Key!$E$2:$F$9,2,FALSE)</f>
        <v>Work</v>
      </c>
      <c r="R23" s="37" t="s">
        <v>204</v>
      </c>
      <c r="S23" s="32" t="s">
        <v>167</v>
      </c>
      <c r="T23" s="37" t="s">
        <v>168</v>
      </c>
      <c r="U23" s="32">
        <v>1</v>
      </c>
      <c r="V23" s="34" t="str">
        <f>VLOOKUP(U23,Key!$E$2:$F$9,2,FALSE)</f>
        <v>Home</v>
      </c>
      <c r="W23" s="34" t="str">
        <f t="shared" si="0"/>
        <v>Work-Home</v>
      </c>
      <c r="X23" s="47">
        <v>10000</v>
      </c>
      <c r="Y23" s="38">
        <v>20</v>
      </c>
      <c r="Z23" s="38">
        <v>0.5</v>
      </c>
      <c r="AA23" s="32">
        <v>6</v>
      </c>
      <c r="AB23" s="34" t="str">
        <f>VLOOKUP(AA23,Key!$C$20:$D$29,2,FALSE)</f>
        <v>Businessman</v>
      </c>
      <c r="AC23" s="32">
        <v>3</v>
      </c>
      <c r="AD23" s="34" t="str">
        <f>VLOOKUP(AC23,Key!$E$20:$F$24,2,FALSE)</f>
        <v>500,000-750,000</v>
      </c>
      <c r="AE23" s="32">
        <v>1</v>
      </c>
      <c r="AF23" s="55">
        <v>1</v>
      </c>
      <c r="AG23" s="55">
        <v>1</v>
      </c>
      <c r="AH23" s="55">
        <v>1</v>
      </c>
      <c r="AI23" s="55">
        <v>1</v>
      </c>
      <c r="AJ23" s="39" t="s">
        <v>104</v>
      </c>
      <c r="AK23" s="40"/>
      <c r="AL23" s="24"/>
      <c r="AM23" s="24"/>
    </row>
    <row r="24" spans="2:39" hidden="1" x14ac:dyDescent="0.2">
      <c r="B24" s="50">
        <v>43687</v>
      </c>
      <c r="C24" s="35">
        <v>0.3611111111111111</v>
      </c>
      <c r="D24" s="35"/>
      <c r="E24" s="35" t="s">
        <v>111</v>
      </c>
      <c r="F24" s="37">
        <v>2</v>
      </c>
      <c r="G24" s="42" t="str">
        <f>VLOOKUP(F24,Key!$A$17:$B$21,2,FALSE)</f>
        <v>Road Vehicle</v>
      </c>
      <c r="H24" s="36">
        <v>1</v>
      </c>
      <c r="I24" s="43" t="str">
        <f>VLOOKUP(H24,Key!$A$2:$B$13,2,FALSE)</f>
        <v>Car</v>
      </c>
      <c r="J24" s="37" t="s">
        <v>123</v>
      </c>
      <c r="K24" s="37">
        <v>2</v>
      </c>
      <c r="L24" s="45" t="str">
        <f>VLOOKUP(K24,Key!$A$24:$B$29,2,FALSE)</f>
        <v>30-39</v>
      </c>
      <c r="M24" s="37" t="s">
        <v>253</v>
      </c>
      <c r="N24" s="32" t="s">
        <v>167</v>
      </c>
      <c r="O24" s="37" t="s">
        <v>168</v>
      </c>
      <c r="P24" s="39">
        <v>2</v>
      </c>
      <c r="Q24" s="34" t="str">
        <f>VLOOKUP(P24,Key!$E$2:$F$9,2,FALSE)</f>
        <v>Work</v>
      </c>
      <c r="R24" s="37" t="s">
        <v>204</v>
      </c>
      <c r="S24" s="32" t="s">
        <v>167</v>
      </c>
      <c r="T24" s="37" t="s">
        <v>168</v>
      </c>
      <c r="U24" s="32">
        <v>1</v>
      </c>
      <c r="V24" s="34" t="str">
        <f>VLOOKUP(U24,Key!$E$2:$F$9,2,FALSE)</f>
        <v>Home</v>
      </c>
      <c r="W24" s="34" t="str">
        <f t="shared" si="0"/>
        <v>Work-Home</v>
      </c>
      <c r="X24" s="47">
        <v>10000</v>
      </c>
      <c r="Y24" s="38">
        <v>20</v>
      </c>
      <c r="Z24" s="38">
        <v>0.5</v>
      </c>
      <c r="AA24" s="32">
        <v>6</v>
      </c>
      <c r="AB24" s="34" t="str">
        <f>VLOOKUP(AA24,Key!$C$20:$D$29,2,FALSE)</f>
        <v>Businessman</v>
      </c>
      <c r="AC24" s="32">
        <v>4</v>
      </c>
      <c r="AD24" s="34" t="str">
        <f>VLOOKUP(AC24,Key!$E$20:$F$24,2,FALSE)</f>
        <v>750,000-1,000,000</v>
      </c>
      <c r="AE24" s="32">
        <v>1</v>
      </c>
      <c r="AF24" s="55">
        <v>1</v>
      </c>
      <c r="AG24" s="55">
        <v>1</v>
      </c>
      <c r="AH24" s="55">
        <v>1</v>
      </c>
      <c r="AI24" s="55">
        <v>1</v>
      </c>
      <c r="AJ24" s="39" t="s">
        <v>104</v>
      </c>
      <c r="AK24" s="40">
        <v>2000</v>
      </c>
      <c r="AL24" s="24"/>
      <c r="AM24" s="24"/>
    </row>
    <row r="25" spans="2:39" hidden="1" x14ac:dyDescent="0.2">
      <c r="B25" s="50">
        <v>43687</v>
      </c>
      <c r="C25" s="35">
        <v>0.34375</v>
      </c>
      <c r="D25" s="35"/>
      <c r="E25" s="35" t="s">
        <v>111</v>
      </c>
      <c r="F25" s="37">
        <v>2</v>
      </c>
      <c r="G25" s="42" t="str">
        <f>VLOOKUP(F25,Key!$A$17:$B$21,2,FALSE)</f>
        <v>Road Vehicle</v>
      </c>
      <c r="H25" s="36">
        <v>1</v>
      </c>
      <c r="I25" s="43" t="str">
        <f>VLOOKUP(H25,Key!$A$2:$B$13,2,FALSE)</f>
        <v>Car</v>
      </c>
      <c r="J25" s="37" t="s">
        <v>123</v>
      </c>
      <c r="K25" s="37">
        <v>4</v>
      </c>
      <c r="L25" s="45" t="str">
        <f>VLOOKUP(K25,Key!$A$24:$B$29,2,FALSE)</f>
        <v>50-59</v>
      </c>
      <c r="M25" s="37" t="s">
        <v>247</v>
      </c>
      <c r="N25" s="32" t="s">
        <v>167</v>
      </c>
      <c r="O25" s="37" t="s">
        <v>168</v>
      </c>
      <c r="P25" s="39">
        <v>2</v>
      </c>
      <c r="Q25" s="34" t="str">
        <f>VLOOKUP(P25,Key!$E$2:$F$9,2,FALSE)</f>
        <v>Work</v>
      </c>
      <c r="R25" s="37" t="s">
        <v>176</v>
      </c>
      <c r="S25" s="32" t="s">
        <v>176</v>
      </c>
      <c r="T25" s="37" t="s">
        <v>168</v>
      </c>
      <c r="U25" s="32">
        <v>1</v>
      </c>
      <c r="V25" s="34" t="str">
        <f>VLOOKUP(U25,Key!$E$2:$F$9,2,FALSE)</f>
        <v>Home</v>
      </c>
      <c r="W25" s="34" t="str">
        <f t="shared" si="0"/>
        <v>Work-Home</v>
      </c>
      <c r="X25" s="47">
        <v>50000</v>
      </c>
      <c r="Y25" s="38">
        <v>20</v>
      </c>
      <c r="Z25" s="38">
        <v>1</v>
      </c>
      <c r="AA25" s="32">
        <v>5</v>
      </c>
      <c r="AB25" s="34" t="str">
        <f>VLOOKUP(AA25,Key!$C$20:$D$29,2,FALSE)</f>
        <v>Professional</v>
      </c>
      <c r="AC25" s="32">
        <v>3</v>
      </c>
      <c r="AD25" s="34" t="str">
        <f>VLOOKUP(AC25,Key!$E$20:$F$24,2,FALSE)</f>
        <v>500,000-750,000</v>
      </c>
      <c r="AE25" s="32">
        <v>1</v>
      </c>
      <c r="AF25" s="55">
        <v>1</v>
      </c>
      <c r="AG25" s="55">
        <v>1</v>
      </c>
      <c r="AH25" s="55">
        <v>1</v>
      </c>
      <c r="AI25" s="55">
        <v>1</v>
      </c>
      <c r="AJ25" s="39" t="s">
        <v>104</v>
      </c>
      <c r="AK25" s="40">
        <v>5000</v>
      </c>
      <c r="AL25" s="24"/>
      <c r="AM25" s="24"/>
    </row>
    <row r="26" spans="2:39" hidden="1" x14ac:dyDescent="0.2">
      <c r="B26" s="50">
        <v>43687</v>
      </c>
      <c r="C26" s="35">
        <v>0.38194444444444442</v>
      </c>
      <c r="D26" s="35"/>
      <c r="E26" s="35" t="s">
        <v>111</v>
      </c>
      <c r="F26" s="37">
        <v>2</v>
      </c>
      <c r="G26" s="42" t="str">
        <f>VLOOKUP(F26,Key!$A$17:$B$21,2,FALSE)</f>
        <v>Road Vehicle</v>
      </c>
      <c r="H26" s="36">
        <v>1</v>
      </c>
      <c r="I26" s="43" t="str">
        <f>VLOOKUP(H26,Key!$A$2:$B$13,2,FALSE)</f>
        <v>Car</v>
      </c>
      <c r="J26" s="37" t="s">
        <v>166</v>
      </c>
      <c r="K26" s="37">
        <v>1</v>
      </c>
      <c r="L26" s="45" t="str">
        <f>VLOOKUP(K26,Key!$A$24:$B$29,2,FALSE)</f>
        <v>20-29</v>
      </c>
      <c r="M26" s="37" t="s">
        <v>187</v>
      </c>
      <c r="N26" s="32" t="s">
        <v>167</v>
      </c>
      <c r="O26" s="37" t="s">
        <v>168</v>
      </c>
      <c r="P26" s="39">
        <v>1</v>
      </c>
      <c r="Q26" s="34" t="str">
        <f>VLOOKUP(P26,Key!$E$2:$F$9,2,FALSE)</f>
        <v>Home</v>
      </c>
      <c r="R26" s="37" t="s">
        <v>260</v>
      </c>
      <c r="S26" s="32" t="s">
        <v>167</v>
      </c>
      <c r="T26" s="37" t="s">
        <v>168</v>
      </c>
      <c r="U26" s="32">
        <v>5</v>
      </c>
      <c r="V26" s="34" t="str">
        <f>VLOOKUP(U26,Key!$E$2:$F$9,2,FALSE)</f>
        <v>Tourism</v>
      </c>
      <c r="W26" s="34" t="str">
        <f t="shared" si="0"/>
        <v>Home-Tourism</v>
      </c>
      <c r="X26" s="47">
        <v>50000</v>
      </c>
      <c r="Y26" s="38">
        <v>20</v>
      </c>
      <c r="Z26" s="38">
        <v>2</v>
      </c>
      <c r="AA26" s="32">
        <v>7</v>
      </c>
      <c r="AB26" s="34" t="str">
        <f>VLOOKUP(AA26,Key!$C$20:$D$29,2,FALSE)</f>
        <v>Farmer</v>
      </c>
      <c r="AC26" s="32">
        <v>4</v>
      </c>
      <c r="AD26" s="34" t="str">
        <f>VLOOKUP(AC26,Key!$E$20:$F$24,2,FALSE)</f>
        <v>750,000-1,000,000</v>
      </c>
      <c r="AE26" s="32">
        <v>1</v>
      </c>
      <c r="AF26" s="55">
        <v>1</v>
      </c>
      <c r="AG26" s="55">
        <v>2</v>
      </c>
      <c r="AH26" s="55">
        <v>1</v>
      </c>
      <c r="AI26" s="55">
        <v>1</v>
      </c>
      <c r="AJ26" s="39" t="s">
        <v>104</v>
      </c>
      <c r="AK26" s="40">
        <v>5000</v>
      </c>
      <c r="AL26" s="24"/>
      <c r="AM26" s="24"/>
    </row>
    <row r="27" spans="2:39" hidden="1" x14ac:dyDescent="0.2">
      <c r="B27" s="50">
        <v>43687</v>
      </c>
      <c r="C27" s="35">
        <v>0.51736111111111105</v>
      </c>
      <c r="D27" s="35"/>
      <c r="E27" s="35" t="s">
        <v>111</v>
      </c>
      <c r="F27" s="37">
        <v>2</v>
      </c>
      <c r="G27" s="42" t="str">
        <f>VLOOKUP(F27,Key!$A$17:$B$21,2,FALSE)</f>
        <v>Road Vehicle</v>
      </c>
      <c r="H27" s="36">
        <v>1</v>
      </c>
      <c r="I27" s="43" t="str">
        <f>VLOOKUP(H27,Key!$A$2:$B$13,2,FALSE)</f>
        <v>Car</v>
      </c>
      <c r="J27" s="37" t="s">
        <v>166</v>
      </c>
      <c r="K27" s="37">
        <v>2</v>
      </c>
      <c r="L27" s="45" t="str">
        <f>VLOOKUP(K27,Key!$A$24:$B$29,2,FALSE)</f>
        <v>30-39</v>
      </c>
      <c r="M27" s="37" t="s">
        <v>309</v>
      </c>
      <c r="N27" s="32" t="s">
        <v>167</v>
      </c>
      <c r="O27" s="37" t="s">
        <v>168</v>
      </c>
      <c r="P27" s="39">
        <v>7</v>
      </c>
      <c r="Q27" s="34" t="str">
        <f>VLOOKUP(P27,Key!$E$2:$F$9,2,FALSE)</f>
        <v>Hospital</v>
      </c>
      <c r="R27" s="37" t="s">
        <v>190</v>
      </c>
      <c r="S27" s="32" t="s">
        <v>190</v>
      </c>
      <c r="T27" s="37" t="s">
        <v>168</v>
      </c>
      <c r="U27" s="32">
        <v>1</v>
      </c>
      <c r="V27" s="34" t="str">
        <f>VLOOKUP(U27,Key!$E$2:$F$9,2,FALSE)</f>
        <v>Home</v>
      </c>
      <c r="W27" s="34" t="str">
        <f t="shared" si="0"/>
        <v>Hospital-Home</v>
      </c>
      <c r="X27" s="47">
        <v>80000</v>
      </c>
      <c r="Y27" s="38">
        <v>20</v>
      </c>
      <c r="Z27" s="38">
        <v>2</v>
      </c>
      <c r="AA27" s="32">
        <v>4</v>
      </c>
      <c r="AB27" s="34" t="str">
        <f>VLOOKUP(AA27,Key!$C$20:$D$29,2,FALSE)</f>
        <v>Office Worker</v>
      </c>
      <c r="AC27" s="32">
        <v>2</v>
      </c>
      <c r="AD27" s="34" t="str">
        <f>VLOOKUP(AC27,Key!$E$20:$F$24,2,FALSE)</f>
        <v>300,000-500,000</v>
      </c>
      <c r="AE27" s="32">
        <v>1</v>
      </c>
      <c r="AF27" s="55">
        <v>2</v>
      </c>
      <c r="AG27" s="55"/>
      <c r="AH27" s="55"/>
      <c r="AI27" s="55"/>
      <c r="AJ27" s="39" t="s">
        <v>104</v>
      </c>
      <c r="AK27" s="40">
        <v>2000</v>
      </c>
      <c r="AL27" s="24"/>
      <c r="AM27" s="24"/>
    </row>
    <row r="28" spans="2:39" hidden="1" x14ac:dyDescent="0.2">
      <c r="B28" s="50">
        <v>43687</v>
      </c>
      <c r="C28" s="35">
        <v>0.54652777777777783</v>
      </c>
      <c r="D28" s="35"/>
      <c r="E28" s="35" t="s">
        <v>111</v>
      </c>
      <c r="F28" s="37">
        <v>2</v>
      </c>
      <c r="G28" s="42" t="str">
        <f>VLOOKUP(F28,Key!$A$17:$B$21,2,FALSE)</f>
        <v>Road Vehicle</v>
      </c>
      <c r="H28" s="36">
        <v>1</v>
      </c>
      <c r="I28" s="43" t="str">
        <f>VLOOKUP(H28,Key!$A$2:$B$13,2,FALSE)</f>
        <v>Car</v>
      </c>
      <c r="J28" s="37" t="s">
        <v>166</v>
      </c>
      <c r="K28" s="37">
        <v>3</v>
      </c>
      <c r="L28" s="45" t="str">
        <f>VLOOKUP(K28,Key!$A$24:$B$29,2,FALSE)</f>
        <v>40-49</v>
      </c>
      <c r="M28" s="37" t="s">
        <v>167</v>
      </c>
      <c r="N28" s="32" t="s">
        <v>167</v>
      </c>
      <c r="O28" s="37" t="s">
        <v>168</v>
      </c>
      <c r="P28" s="39">
        <v>2</v>
      </c>
      <c r="Q28" s="34" t="str">
        <f>VLOOKUP(P28,Key!$E$2:$F$9,2,FALSE)</f>
        <v>Work</v>
      </c>
      <c r="R28" s="37" t="s">
        <v>305</v>
      </c>
      <c r="S28" s="32" t="s">
        <v>188</v>
      </c>
      <c r="T28" s="37" t="s">
        <v>168</v>
      </c>
      <c r="U28" s="32">
        <v>1</v>
      </c>
      <c r="V28" s="34" t="str">
        <f>VLOOKUP(U28,Key!$E$2:$F$9,2,FALSE)</f>
        <v>Home</v>
      </c>
      <c r="W28" s="34" t="str">
        <f t="shared" si="0"/>
        <v>Work-Home</v>
      </c>
      <c r="X28" s="47">
        <v>100000</v>
      </c>
      <c r="Y28" s="38">
        <v>20</v>
      </c>
      <c r="Z28" s="38">
        <v>2</v>
      </c>
      <c r="AA28" s="32">
        <v>4</v>
      </c>
      <c r="AB28" s="34" t="str">
        <f>VLOOKUP(AA28,Key!$C$20:$D$29,2,FALSE)</f>
        <v>Office Worker</v>
      </c>
      <c r="AC28" s="32">
        <v>2</v>
      </c>
      <c r="AD28" s="34" t="str">
        <f>VLOOKUP(AC28,Key!$E$20:$F$24,2,FALSE)</f>
        <v>300,000-500,000</v>
      </c>
      <c r="AE28" s="32">
        <v>1</v>
      </c>
      <c r="AF28" s="55">
        <v>1</v>
      </c>
      <c r="AG28" s="55">
        <v>1</v>
      </c>
      <c r="AH28" s="55">
        <v>2</v>
      </c>
      <c r="AI28" s="55">
        <v>1</v>
      </c>
      <c r="AJ28" s="39" t="s">
        <v>104</v>
      </c>
      <c r="AK28" s="40">
        <v>4000</v>
      </c>
      <c r="AL28" s="24"/>
      <c r="AM28" s="24"/>
    </row>
    <row r="29" spans="2:39" hidden="1" x14ac:dyDescent="0.2">
      <c r="B29" s="50">
        <v>43687</v>
      </c>
      <c r="C29" s="35">
        <v>0.58402777777777781</v>
      </c>
      <c r="D29" s="35"/>
      <c r="E29" s="35" t="s">
        <v>111</v>
      </c>
      <c r="F29" s="37">
        <v>2</v>
      </c>
      <c r="G29" s="42" t="str">
        <f>VLOOKUP(F29,Key!$A$17:$B$21,2,FALSE)</f>
        <v>Road Vehicle</v>
      </c>
      <c r="H29" s="36">
        <v>1</v>
      </c>
      <c r="I29" s="43" t="str">
        <f>VLOOKUP(H29,Key!$A$2:$B$13,2,FALSE)</f>
        <v>Car</v>
      </c>
      <c r="J29" s="37" t="s">
        <v>123</v>
      </c>
      <c r="K29" s="37">
        <v>2</v>
      </c>
      <c r="L29" s="45" t="str">
        <f>VLOOKUP(K29,Key!$A$24:$B$29,2,FALSE)</f>
        <v>30-39</v>
      </c>
      <c r="M29" s="37" t="s">
        <v>310</v>
      </c>
      <c r="N29" s="32" t="s">
        <v>167</v>
      </c>
      <c r="O29" s="37" t="s">
        <v>168</v>
      </c>
      <c r="P29" s="39">
        <v>2</v>
      </c>
      <c r="Q29" s="34" t="str">
        <f>VLOOKUP(P29,Key!$E$2:$F$9,2,FALSE)</f>
        <v>Work</v>
      </c>
      <c r="R29" s="37" t="s">
        <v>190</v>
      </c>
      <c r="S29" s="32" t="s">
        <v>190</v>
      </c>
      <c r="T29" s="37" t="s">
        <v>168</v>
      </c>
      <c r="U29" s="32">
        <v>8</v>
      </c>
      <c r="V29" s="34" t="str">
        <f>VLOOKUP(U29,Key!$E$2:$F$9,2,FALSE)</f>
        <v>Others</v>
      </c>
      <c r="W29" s="34" t="str">
        <f t="shared" si="0"/>
        <v>Work-Others</v>
      </c>
      <c r="X29" s="47">
        <v>40000</v>
      </c>
      <c r="Y29" s="38">
        <v>20</v>
      </c>
      <c r="Z29" s="38">
        <v>2</v>
      </c>
      <c r="AA29" s="32">
        <v>6</v>
      </c>
      <c r="AB29" s="34" t="str">
        <f>VLOOKUP(AA29,Key!$C$20:$D$29,2,FALSE)</f>
        <v>Businessman</v>
      </c>
      <c r="AC29" s="32">
        <v>2</v>
      </c>
      <c r="AD29" s="34" t="str">
        <f>VLOOKUP(AC29,Key!$E$20:$F$24,2,FALSE)</f>
        <v>300,000-500,000</v>
      </c>
      <c r="AE29" s="32">
        <v>1</v>
      </c>
      <c r="AF29" s="55">
        <v>2</v>
      </c>
      <c r="AG29" s="55">
        <v>4</v>
      </c>
      <c r="AH29" s="55">
        <v>2</v>
      </c>
      <c r="AI29" s="55"/>
      <c r="AJ29" s="39" t="s">
        <v>104</v>
      </c>
      <c r="AK29" s="40">
        <v>3000</v>
      </c>
      <c r="AL29" s="24"/>
      <c r="AM29" s="24"/>
    </row>
    <row r="30" spans="2:39" hidden="1" x14ac:dyDescent="0.2">
      <c r="B30" s="50">
        <v>43687</v>
      </c>
      <c r="C30" s="35">
        <v>0.69791666666666663</v>
      </c>
      <c r="D30" s="35"/>
      <c r="E30" s="35" t="s">
        <v>111</v>
      </c>
      <c r="F30" s="37">
        <v>2</v>
      </c>
      <c r="G30" s="42" t="str">
        <f>VLOOKUP(F30,Key!$A$17:$B$21,2,FALSE)</f>
        <v>Road Vehicle</v>
      </c>
      <c r="H30" s="36">
        <v>1</v>
      </c>
      <c r="I30" s="43" t="str">
        <f>VLOOKUP(H30,Key!$A$2:$B$13,2,FALSE)</f>
        <v>Car</v>
      </c>
      <c r="J30" s="37" t="s">
        <v>123</v>
      </c>
      <c r="K30" s="37">
        <v>2</v>
      </c>
      <c r="L30" s="45" t="str">
        <f>VLOOKUP(K30,Key!$A$24:$B$29,2,FALSE)</f>
        <v>30-39</v>
      </c>
      <c r="M30" s="37" t="s">
        <v>167</v>
      </c>
      <c r="N30" s="32" t="s">
        <v>167</v>
      </c>
      <c r="O30" s="37" t="s">
        <v>168</v>
      </c>
      <c r="P30" s="39">
        <v>2</v>
      </c>
      <c r="Q30" s="34" t="str">
        <f>VLOOKUP(P30,Key!$E$2:$F$9,2,FALSE)</f>
        <v>Work</v>
      </c>
      <c r="R30" s="37" t="s">
        <v>173</v>
      </c>
      <c r="S30" s="32" t="s">
        <v>173</v>
      </c>
      <c r="T30" s="37" t="s">
        <v>168</v>
      </c>
      <c r="U30" s="32">
        <v>1</v>
      </c>
      <c r="V30" s="34" t="str">
        <f>VLOOKUP(U30,Key!$E$2:$F$9,2,FALSE)</f>
        <v>Home</v>
      </c>
      <c r="W30" s="34" t="str">
        <f t="shared" si="0"/>
        <v>Work-Home</v>
      </c>
      <c r="X30" s="47">
        <v>30000</v>
      </c>
      <c r="Y30" s="38">
        <v>25</v>
      </c>
      <c r="Z30" s="38">
        <v>1</v>
      </c>
      <c r="AA30" s="32">
        <v>6</v>
      </c>
      <c r="AB30" s="34" t="str">
        <f>VLOOKUP(AA30,Key!$C$20:$D$29,2,FALSE)</f>
        <v>Businessman</v>
      </c>
      <c r="AC30" s="32">
        <v>1</v>
      </c>
      <c r="AD30" s="34" t="str">
        <f>VLOOKUP(AC30,Key!$E$20:$F$24,2,FALSE)</f>
        <v>&lt;300,000</v>
      </c>
      <c r="AE30" s="32">
        <v>1</v>
      </c>
      <c r="AF30" s="55">
        <v>2</v>
      </c>
      <c r="AG30" s="55">
        <v>1</v>
      </c>
      <c r="AH30" s="55">
        <v>1</v>
      </c>
      <c r="AI30" s="55">
        <v>1</v>
      </c>
      <c r="AJ30" s="39" t="s">
        <v>104</v>
      </c>
      <c r="AK30" s="40"/>
      <c r="AL30" s="24"/>
      <c r="AM30" s="24"/>
    </row>
    <row r="31" spans="2:39" hidden="1" x14ac:dyDescent="0.2">
      <c r="B31" s="50">
        <v>43686</v>
      </c>
      <c r="C31" s="35">
        <v>0.68402777777777779</v>
      </c>
      <c r="D31" s="35"/>
      <c r="E31" s="35" t="s">
        <v>111</v>
      </c>
      <c r="F31" s="37">
        <v>2</v>
      </c>
      <c r="G31" s="42" t="str">
        <f>VLOOKUP(F31,Key!$A$17:$B$21,2,FALSE)</f>
        <v>Road Vehicle</v>
      </c>
      <c r="H31" s="36">
        <v>1</v>
      </c>
      <c r="I31" s="43" t="str">
        <f>VLOOKUP(H31,Key!$A$2:$B$13,2,FALSE)</f>
        <v>Car</v>
      </c>
      <c r="J31" s="37" t="s">
        <v>123</v>
      </c>
      <c r="K31" s="37">
        <v>3</v>
      </c>
      <c r="L31" s="45" t="str">
        <f>VLOOKUP(K31,Key!$A$24:$B$29,2,FALSE)</f>
        <v>40-49</v>
      </c>
      <c r="M31" s="37" t="s">
        <v>273</v>
      </c>
      <c r="N31" s="32" t="s">
        <v>167</v>
      </c>
      <c r="O31" s="37" t="s">
        <v>168</v>
      </c>
      <c r="P31" s="39">
        <v>7</v>
      </c>
      <c r="Q31" s="34" t="str">
        <f>VLOOKUP(P31,Key!$E$2:$F$9,2,FALSE)</f>
        <v>Hospital</v>
      </c>
      <c r="R31" s="37" t="s">
        <v>274</v>
      </c>
      <c r="S31" s="32" t="s">
        <v>190</v>
      </c>
      <c r="T31" s="37" t="s">
        <v>168</v>
      </c>
      <c r="U31" s="32">
        <v>2</v>
      </c>
      <c r="V31" s="34" t="str">
        <f>VLOOKUP(U31,Key!$E$2:$F$9,2,FALSE)</f>
        <v>Work</v>
      </c>
      <c r="W31" s="34" t="str">
        <f t="shared" si="0"/>
        <v>Hospital-Work</v>
      </c>
      <c r="X31" s="47">
        <v>100000</v>
      </c>
      <c r="Y31" s="38">
        <v>25</v>
      </c>
      <c r="Z31" s="38">
        <v>2</v>
      </c>
      <c r="AA31" s="32">
        <v>10</v>
      </c>
      <c r="AB31" s="34" t="str">
        <f>VLOOKUP(AA31,Key!$C$20:$D$29,2,FALSE)</f>
        <v>Other</v>
      </c>
      <c r="AC31" s="32">
        <v>1</v>
      </c>
      <c r="AD31" s="34" t="str">
        <f>VLOOKUP(AC31,Key!$E$20:$F$24,2,FALSE)</f>
        <v>&lt;300,000</v>
      </c>
      <c r="AE31" s="32">
        <v>1</v>
      </c>
      <c r="AF31" s="55">
        <v>2</v>
      </c>
      <c r="AG31" s="55">
        <v>1</v>
      </c>
      <c r="AH31" s="55">
        <v>1</v>
      </c>
      <c r="AI31" s="55">
        <v>2</v>
      </c>
      <c r="AJ31" s="39" t="s">
        <v>104</v>
      </c>
      <c r="AK31" s="40">
        <v>1000</v>
      </c>
      <c r="AL31" s="24"/>
      <c r="AM31" s="24"/>
    </row>
    <row r="32" spans="2:39" hidden="1" x14ac:dyDescent="0.2">
      <c r="B32" s="50">
        <v>43686</v>
      </c>
      <c r="C32" s="35">
        <v>0.64930555555555558</v>
      </c>
      <c r="D32" s="35"/>
      <c r="E32" s="35" t="s">
        <v>111</v>
      </c>
      <c r="F32" s="37">
        <v>2</v>
      </c>
      <c r="G32" s="42" t="str">
        <f>VLOOKUP(F32,Key!$A$17:$B$21,2,FALSE)</f>
        <v>Road Vehicle</v>
      </c>
      <c r="H32" s="36">
        <v>1</v>
      </c>
      <c r="I32" s="43" t="str">
        <f>VLOOKUP(H32,Key!$A$2:$B$13,2,FALSE)</f>
        <v>Car</v>
      </c>
      <c r="J32" s="37" t="s">
        <v>123</v>
      </c>
      <c r="K32" s="13">
        <v>2</v>
      </c>
      <c r="L32" s="45" t="str">
        <f>VLOOKUP(K32,Key!$A$24:$B$29,2,FALSE)</f>
        <v>30-39</v>
      </c>
      <c r="M32" s="44" t="s">
        <v>202</v>
      </c>
      <c r="N32" s="44" t="s">
        <v>179</v>
      </c>
      <c r="O32" s="37" t="s">
        <v>168</v>
      </c>
      <c r="P32" s="39">
        <v>1</v>
      </c>
      <c r="Q32" s="34" t="str">
        <f>VLOOKUP(P32,Key!$E$2:$F$9,2,FALSE)</f>
        <v>Home</v>
      </c>
      <c r="R32" s="37" t="s">
        <v>203</v>
      </c>
      <c r="S32" s="32" t="s">
        <v>167</v>
      </c>
      <c r="T32" s="37" t="s">
        <v>168</v>
      </c>
      <c r="U32" s="32">
        <v>8</v>
      </c>
      <c r="V32" s="34" t="str">
        <f>VLOOKUP(U32,Key!$E$2:$F$9,2,FALSE)</f>
        <v>Others</v>
      </c>
      <c r="W32" s="34" t="str">
        <f t="shared" si="0"/>
        <v>Home-Others</v>
      </c>
      <c r="X32" s="47">
        <v>10000</v>
      </c>
      <c r="Y32" s="38">
        <v>30</v>
      </c>
      <c r="Z32" s="38">
        <v>0.5</v>
      </c>
      <c r="AA32" s="32">
        <v>7</v>
      </c>
      <c r="AB32" s="34" t="str">
        <f>VLOOKUP(AA32,Key!$C$20:$D$29,2,FALSE)</f>
        <v>Farmer</v>
      </c>
      <c r="AC32" s="32">
        <v>3</v>
      </c>
      <c r="AD32" s="34" t="str">
        <f>VLOOKUP(AC32,Key!$E$20:$F$24,2,FALSE)</f>
        <v>500,000-750,000</v>
      </c>
      <c r="AE32" s="32">
        <v>2</v>
      </c>
      <c r="AF32" s="55">
        <v>1</v>
      </c>
      <c r="AG32" s="55">
        <v>2</v>
      </c>
      <c r="AH32" s="55">
        <v>1</v>
      </c>
      <c r="AI32" s="55">
        <v>3</v>
      </c>
      <c r="AJ32" s="39" t="s">
        <v>104</v>
      </c>
      <c r="AK32" s="40"/>
      <c r="AL32" s="24"/>
      <c r="AM32" s="24"/>
    </row>
    <row r="33" spans="2:39" hidden="1" x14ac:dyDescent="0.2">
      <c r="B33" s="50">
        <v>43686</v>
      </c>
      <c r="C33" s="35">
        <v>0.6381944444444444</v>
      </c>
      <c r="D33" s="35"/>
      <c r="E33" s="35" t="s">
        <v>111</v>
      </c>
      <c r="F33" s="37">
        <v>2</v>
      </c>
      <c r="G33" s="42" t="str">
        <f>VLOOKUP(F33,Key!$A$17:$B$21,2,FALSE)</f>
        <v>Road Vehicle</v>
      </c>
      <c r="H33" s="36">
        <v>1</v>
      </c>
      <c r="I33" s="43" t="str">
        <f>VLOOKUP(H33,Key!$A$2:$B$13,2,FALSE)</f>
        <v>Car</v>
      </c>
      <c r="J33" s="37" t="s">
        <v>166</v>
      </c>
      <c r="K33" s="37">
        <v>2</v>
      </c>
      <c r="L33" s="45" t="str">
        <f>VLOOKUP(K33,Key!$A$24:$B$29,2,FALSE)</f>
        <v>30-39</v>
      </c>
      <c r="M33" s="44" t="s">
        <v>214</v>
      </c>
      <c r="N33" s="44" t="s">
        <v>205</v>
      </c>
      <c r="O33" s="37" t="s">
        <v>168</v>
      </c>
      <c r="P33" s="39">
        <v>1</v>
      </c>
      <c r="Q33" s="34" t="str">
        <f>VLOOKUP(P33,Key!$E$2:$F$9,2,FALSE)</f>
        <v>Home</v>
      </c>
      <c r="R33" s="37" t="s">
        <v>215</v>
      </c>
      <c r="S33" s="32" t="s">
        <v>167</v>
      </c>
      <c r="T33" s="37" t="s">
        <v>168</v>
      </c>
      <c r="U33" s="32">
        <v>2</v>
      </c>
      <c r="V33" s="34" t="str">
        <f>VLOOKUP(U33,Key!$E$2:$F$9,2,FALSE)</f>
        <v>Work</v>
      </c>
      <c r="W33" s="34" t="str">
        <f t="shared" si="0"/>
        <v>Home-Work</v>
      </c>
      <c r="X33" s="47">
        <v>15000</v>
      </c>
      <c r="Y33" s="38">
        <v>30</v>
      </c>
      <c r="Z33" s="38">
        <v>0.7</v>
      </c>
      <c r="AA33" s="32">
        <v>6</v>
      </c>
      <c r="AB33" s="34" t="str">
        <f>VLOOKUP(AA33,Key!$C$20:$D$29,2,FALSE)</f>
        <v>Businessman</v>
      </c>
      <c r="AC33" s="32">
        <v>4</v>
      </c>
      <c r="AD33" s="34" t="str">
        <f>VLOOKUP(AC33,Key!$E$20:$F$24,2,FALSE)</f>
        <v>750,000-1,000,000</v>
      </c>
      <c r="AE33" s="32">
        <v>1</v>
      </c>
      <c r="AF33" s="55">
        <v>1</v>
      </c>
      <c r="AG33" s="55">
        <v>1</v>
      </c>
      <c r="AH33" s="55">
        <v>1</v>
      </c>
      <c r="AI33" s="55">
        <v>1</v>
      </c>
      <c r="AJ33" s="39" t="s">
        <v>104</v>
      </c>
      <c r="AK33" s="40">
        <v>2000</v>
      </c>
      <c r="AL33" s="24"/>
      <c r="AM33" s="24"/>
    </row>
    <row r="34" spans="2:39" hidden="1" x14ac:dyDescent="0.2">
      <c r="B34" s="50">
        <v>43688</v>
      </c>
      <c r="C34" s="35">
        <v>0.42152777777777778</v>
      </c>
      <c r="D34" s="35"/>
      <c r="E34" s="35" t="s">
        <v>111</v>
      </c>
      <c r="F34" s="37">
        <v>2</v>
      </c>
      <c r="G34" s="42" t="str">
        <f>VLOOKUP(F34,Key!$A$17:$B$21,2,FALSE)</f>
        <v>Road Vehicle</v>
      </c>
      <c r="H34" s="36">
        <v>1</v>
      </c>
      <c r="I34" s="43" t="str">
        <f>VLOOKUP(H34,Key!$A$2:$B$13,2,FALSE)</f>
        <v>Car</v>
      </c>
      <c r="J34" s="37" t="s">
        <v>166</v>
      </c>
      <c r="K34" s="37">
        <v>2</v>
      </c>
      <c r="L34" s="45" t="str">
        <f>VLOOKUP(K34,Key!$A$24:$B$29,2,FALSE)</f>
        <v>30-39</v>
      </c>
      <c r="M34" s="44" t="s">
        <v>214</v>
      </c>
      <c r="N34" s="44" t="s">
        <v>205</v>
      </c>
      <c r="O34" s="37" t="s">
        <v>168</v>
      </c>
      <c r="P34" s="39">
        <v>1</v>
      </c>
      <c r="Q34" s="34" t="str">
        <f>VLOOKUP(P34,Key!$E$2:$F$9,2,FALSE)</f>
        <v>Home</v>
      </c>
      <c r="R34" s="37" t="s">
        <v>216</v>
      </c>
      <c r="S34" s="32" t="s">
        <v>167</v>
      </c>
      <c r="T34" s="37" t="s">
        <v>168</v>
      </c>
      <c r="U34" s="32">
        <v>2</v>
      </c>
      <c r="V34" s="34" t="str">
        <f>VLOOKUP(U34,Key!$E$2:$F$9,2,FALSE)</f>
        <v>Work</v>
      </c>
      <c r="W34" s="34" t="str">
        <f t="shared" si="0"/>
        <v>Home-Work</v>
      </c>
      <c r="X34" s="47">
        <v>15000</v>
      </c>
      <c r="Y34" s="38">
        <v>30</v>
      </c>
      <c r="Z34" s="38">
        <v>0.7</v>
      </c>
      <c r="AA34" s="32">
        <v>6</v>
      </c>
      <c r="AB34" s="34" t="str">
        <f>VLOOKUP(AA34,Key!$C$20:$D$29,2,FALSE)</f>
        <v>Businessman</v>
      </c>
      <c r="AC34" s="32">
        <v>4</v>
      </c>
      <c r="AD34" s="34" t="str">
        <f>VLOOKUP(AC34,Key!$E$20:$F$24,2,FALSE)</f>
        <v>750,000-1,000,000</v>
      </c>
      <c r="AE34" s="32">
        <v>1</v>
      </c>
      <c r="AF34" s="55">
        <v>1</v>
      </c>
      <c r="AG34" s="55">
        <v>1</v>
      </c>
      <c r="AH34" s="55">
        <v>1</v>
      </c>
      <c r="AI34" s="55">
        <v>1</v>
      </c>
      <c r="AJ34" s="39" t="s">
        <v>104</v>
      </c>
      <c r="AK34" s="40">
        <v>2000</v>
      </c>
      <c r="AL34" s="24"/>
      <c r="AM34" s="24"/>
    </row>
    <row r="35" spans="2:39" hidden="1" x14ac:dyDescent="0.2">
      <c r="B35" s="50">
        <v>43688</v>
      </c>
      <c r="C35" s="35">
        <v>0.4597222222222222</v>
      </c>
      <c r="D35" s="35"/>
      <c r="E35" s="35" t="s">
        <v>111</v>
      </c>
      <c r="F35" s="37">
        <v>2</v>
      </c>
      <c r="G35" s="42" t="str">
        <f>VLOOKUP(F35,Key!$A$17:$B$21,2,FALSE)</f>
        <v>Road Vehicle</v>
      </c>
      <c r="H35" s="36">
        <v>1</v>
      </c>
      <c r="I35" s="43" t="str">
        <f>VLOOKUP(H35,Key!$A$2:$B$13,2,FALSE)</f>
        <v>Car</v>
      </c>
      <c r="J35" s="37" t="s">
        <v>123</v>
      </c>
      <c r="K35" s="37">
        <v>2</v>
      </c>
      <c r="L35" s="45" t="str">
        <f>VLOOKUP(K35,Key!$A$24:$B$29,2,FALSE)</f>
        <v>30-39</v>
      </c>
      <c r="M35" s="44" t="s">
        <v>203</v>
      </c>
      <c r="N35" s="44" t="s">
        <v>167</v>
      </c>
      <c r="O35" s="37" t="s">
        <v>168</v>
      </c>
      <c r="P35" s="39">
        <v>2</v>
      </c>
      <c r="Q35" s="34" t="str">
        <f>VLOOKUP(P35,Key!$E$2:$F$9,2,FALSE)</f>
        <v>Work</v>
      </c>
      <c r="R35" s="37" t="s">
        <v>204</v>
      </c>
      <c r="S35" s="32" t="s">
        <v>205</v>
      </c>
      <c r="T35" s="37" t="s">
        <v>168</v>
      </c>
      <c r="U35" s="32">
        <v>6</v>
      </c>
      <c r="V35" s="34" t="str">
        <f>VLOOKUP(U35,Key!$E$2:$F$9,2,FALSE)</f>
        <v>Leisure/Social</v>
      </c>
      <c r="W35" s="34" t="str">
        <f t="shared" si="0"/>
        <v>Work-Leisure/Social</v>
      </c>
      <c r="X35" s="47">
        <v>20000</v>
      </c>
      <c r="Y35" s="38">
        <v>30</v>
      </c>
      <c r="Z35" s="38">
        <v>1</v>
      </c>
      <c r="AA35" s="32">
        <v>5</v>
      </c>
      <c r="AB35" s="34" t="str">
        <f>VLOOKUP(AA35,Key!$C$20:$D$29,2,FALSE)</f>
        <v>Professional</v>
      </c>
      <c r="AC35" s="32">
        <v>3</v>
      </c>
      <c r="AD35" s="34" t="str">
        <f>VLOOKUP(AC35,Key!$E$20:$F$24,2,FALSE)</f>
        <v>500,000-750,000</v>
      </c>
      <c r="AE35" s="32">
        <v>1</v>
      </c>
      <c r="AF35" s="55">
        <v>1</v>
      </c>
      <c r="AG35" s="55">
        <v>2</v>
      </c>
      <c r="AH35" s="55">
        <v>1</v>
      </c>
      <c r="AI35" s="55">
        <v>2</v>
      </c>
      <c r="AJ35" s="39" t="s">
        <v>104</v>
      </c>
      <c r="AK35" s="40">
        <v>5000</v>
      </c>
      <c r="AL35" s="24"/>
      <c r="AM35" s="24"/>
    </row>
    <row r="36" spans="2:39" hidden="1" x14ac:dyDescent="0.2">
      <c r="B36" s="50">
        <v>43688</v>
      </c>
      <c r="C36" s="35">
        <v>0.67708333333333337</v>
      </c>
      <c r="D36" s="35"/>
      <c r="E36" s="35" t="s">
        <v>111</v>
      </c>
      <c r="F36" s="37">
        <v>2</v>
      </c>
      <c r="G36" s="42" t="str">
        <f>VLOOKUP(F36,Key!$A$17:$B$21,2,FALSE)</f>
        <v>Road Vehicle</v>
      </c>
      <c r="H36" s="36">
        <v>1</v>
      </c>
      <c r="I36" s="43" t="str">
        <f>VLOOKUP(H36,Key!$A$2:$B$13,2,FALSE)</f>
        <v>Car</v>
      </c>
      <c r="J36" s="37" t="s">
        <v>123</v>
      </c>
      <c r="K36" s="37">
        <v>2</v>
      </c>
      <c r="L36" s="45" t="str">
        <f>VLOOKUP(K36,Key!$A$24:$B$29,2,FALSE)</f>
        <v>30-39</v>
      </c>
      <c r="M36" s="37" t="s">
        <v>247</v>
      </c>
      <c r="N36" s="32" t="s">
        <v>167</v>
      </c>
      <c r="O36" s="37" t="s">
        <v>168</v>
      </c>
      <c r="P36" s="39">
        <v>8</v>
      </c>
      <c r="Q36" s="34" t="str">
        <f>VLOOKUP(P36,Key!$E$2:$F$9,2,FALSE)</f>
        <v>Others</v>
      </c>
      <c r="R36" s="37" t="s">
        <v>179</v>
      </c>
      <c r="S36" s="32" t="s">
        <v>179</v>
      </c>
      <c r="T36" s="37" t="s">
        <v>168</v>
      </c>
      <c r="U36" s="32">
        <v>2</v>
      </c>
      <c r="V36" s="34" t="str">
        <f>VLOOKUP(U36,Key!$E$2:$F$9,2,FALSE)</f>
        <v>Work</v>
      </c>
      <c r="W36" s="34" t="str">
        <f t="shared" si="0"/>
        <v>Others-Work</v>
      </c>
      <c r="X36" s="47">
        <v>50000</v>
      </c>
      <c r="Y36" s="38">
        <v>30</v>
      </c>
      <c r="Z36" s="38">
        <v>1</v>
      </c>
      <c r="AA36" s="32">
        <v>4</v>
      </c>
      <c r="AB36" s="34" t="str">
        <f>VLOOKUP(AA36,Key!$C$20:$D$29,2,FALSE)</f>
        <v>Office Worker</v>
      </c>
      <c r="AC36" s="32">
        <v>4</v>
      </c>
      <c r="AD36" s="34" t="str">
        <f>VLOOKUP(AC36,Key!$E$20:$F$24,2,FALSE)</f>
        <v>750,000-1,000,000</v>
      </c>
      <c r="AE36" s="32">
        <v>1</v>
      </c>
      <c r="AF36" s="55">
        <v>1</v>
      </c>
      <c r="AG36" s="55">
        <v>1</v>
      </c>
      <c r="AH36" s="55">
        <v>1</v>
      </c>
      <c r="AI36" s="55">
        <v>1</v>
      </c>
      <c r="AJ36" s="39" t="s">
        <v>104</v>
      </c>
      <c r="AK36" s="40">
        <v>1000</v>
      </c>
      <c r="AL36" s="24"/>
      <c r="AM36" s="24"/>
    </row>
    <row r="37" spans="2:39" hidden="1" x14ac:dyDescent="0.2">
      <c r="B37" s="50">
        <v>43690</v>
      </c>
      <c r="C37" s="35">
        <v>0.4284722222222222</v>
      </c>
      <c r="D37" s="35"/>
      <c r="E37" s="35" t="s">
        <v>111</v>
      </c>
      <c r="F37" s="37">
        <v>2</v>
      </c>
      <c r="G37" s="42" t="str">
        <f>VLOOKUP(F37,Key!$A$17:$B$21,2,FALSE)</f>
        <v>Road Vehicle</v>
      </c>
      <c r="H37" s="36">
        <v>1</v>
      </c>
      <c r="I37" s="43" t="str">
        <f>VLOOKUP(H37,Key!$A$2:$B$13,2,FALSE)</f>
        <v>Car</v>
      </c>
      <c r="J37" s="37" t="s">
        <v>123</v>
      </c>
      <c r="K37" s="37">
        <v>3</v>
      </c>
      <c r="L37" s="45" t="str">
        <f>VLOOKUP(K37,Key!$A$24:$B$29,2,FALSE)</f>
        <v>40-49</v>
      </c>
      <c r="M37" s="44" t="s">
        <v>179</v>
      </c>
      <c r="N37" s="32" t="s">
        <v>179</v>
      </c>
      <c r="O37" s="37" t="s">
        <v>168</v>
      </c>
      <c r="P37" s="39">
        <v>1</v>
      </c>
      <c r="Q37" s="34" t="str">
        <f>VLOOKUP(P37,Key!$E$2:$F$9,2,FALSE)</f>
        <v>Home</v>
      </c>
      <c r="R37" s="37" t="s">
        <v>167</v>
      </c>
      <c r="S37" s="32" t="s">
        <v>167</v>
      </c>
      <c r="T37" s="37" t="s">
        <v>168</v>
      </c>
      <c r="U37" s="32">
        <v>2</v>
      </c>
      <c r="V37" s="34" t="str">
        <f>VLOOKUP(U37,Key!$E$2:$F$9,2,FALSE)</f>
        <v>Work</v>
      </c>
      <c r="W37" s="34" t="str">
        <f t="shared" si="0"/>
        <v>Home-Work</v>
      </c>
      <c r="X37" s="47">
        <v>40000</v>
      </c>
      <c r="Y37" s="38">
        <v>30</v>
      </c>
      <c r="Z37" s="38">
        <v>1</v>
      </c>
      <c r="AA37" s="32">
        <v>4</v>
      </c>
      <c r="AB37" s="34" t="str">
        <f>VLOOKUP(AA37,Key!$C$20:$D$29,2,FALSE)</f>
        <v>Office Worker</v>
      </c>
      <c r="AC37" s="32">
        <v>2</v>
      </c>
      <c r="AD37" s="34" t="str">
        <f>VLOOKUP(AC37,Key!$E$20:$F$24,2,FALSE)</f>
        <v>300,000-500,000</v>
      </c>
      <c r="AE37" s="32">
        <v>1</v>
      </c>
      <c r="AF37" s="55">
        <v>1</v>
      </c>
      <c r="AG37" s="55">
        <v>1</v>
      </c>
      <c r="AH37" s="55">
        <v>1</v>
      </c>
      <c r="AI37" s="55">
        <v>1</v>
      </c>
      <c r="AJ37" s="39" t="s">
        <v>104</v>
      </c>
      <c r="AK37" s="40"/>
      <c r="AL37" s="24"/>
      <c r="AM37" s="24"/>
    </row>
    <row r="38" spans="2:39" hidden="1" x14ac:dyDescent="0.2">
      <c r="B38" s="50">
        <v>43690</v>
      </c>
      <c r="C38" s="35">
        <v>0.49861111111111112</v>
      </c>
      <c r="D38" s="35"/>
      <c r="E38" s="35" t="s">
        <v>111</v>
      </c>
      <c r="F38" s="37">
        <v>2</v>
      </c>
      <c r="G38" s="42" t="str">
        <f>VLOOKUP(F38,Key!$A$17:$B$21,2,FALSE)</f>
        <v>Road Vehicle</v>
      </c>
      <c r="H38" s="36">
        <v>1</v>
      </c>
      <c r="I38" s="43" t="str">
        <f>VLOOKUP(H38,Key!$A$2:$B$13,2,FALSE)</f>
        <v>Car</v>
      </c>
      <c r="J38" s="37" t="s">
        <v>166</v>
      </c>
      <c r="K38" s="13">
        <v>3</v>
      </c>
      <c r="L38" s="45" t="str">
        <f>VLOOKUP(K38,Key!$A$24:$B$29,2,FALSE)</f>
        <v>40-49</v>
      </c>
      <c r="M38" s="44" t="s">
        <v>195</v>
      </c>
      <c r="N38" s="44" t="s">
        <v>190</v>
      </c>
      <c r="O38" s="37" t="s">
        <v>168</v>
      </c>
      <c r="P38" s="39">
        <v>1</v>
      </c>
      <c r="Q38" s="34" t="str">
        <f>VLOOKUP(P38,Key!$E$2:$F$9,2,FALSE)</f>
        <v>Home</v>
      </c>
      <c r="R38" s="37" t="s">
        <v>167</v>
      </c>
      <c r="S38" s="32" t="s">
        <v>167</v>
      </c>
      <c r="T38" s="37" t="s">
        <v>168</v>
      </c>
      <c r="U38" s="32">
        <v>2</v>
      </c>
      <c r="V38" s="34" t="str">
        <f>VLOOKUP(U38,Key!$E$2:$F$9,2,FALSE)</f>
        <v>Work</v>
      </c>
      <c r="W38" s="34" t="str">
        <f t="shared" si="0"/>
        <v>Home-Work</v>
      </c>
      <c r="X38" s="47">
        <v>30000</v>
      </c>
      <c r="Y38" s="38">
        <v>30</v>
      </c>
      <c r="Z38" s="38">
        <v>1.5</v>
      </c>
      <c r="AA38" s="32">
        <v>6</v>
      </c>
      <c r="AB38" s="34" t="str">
        <f>VLOOKUP(AA38,Key!$C$20:$D$29,2,FALSE)</f>
        <v>Businessman</v>
      </c>
      <c r="AC38" s="32">
        <v>2</v>
      </c>
      <c r="AD38" s="34" t="str">
        <f>VLOOKUP(AC38,Key!$E$20:$F$24,2,FALSE)</f>
        <v>300,000-500,000</v>
      </c>
      <c r="AE38" s="32">
        <v>1</v>
      </c>
      <c r="AF38" s="55">
        <v>2</v>
      </c>
      <c r="AG38" s="55">
        <v>1</v>
      </c>
      <c r="AH38" s="55">
        <v>2</v>
      </c>
      <c r="AI38" s="55">
        <v>1</v>
      </c>
      <c r="AJ38" s="39" t="s">
        <v>104</v>
      </c>
      <c r="AK38" s="40">
        <v>1000</v>
      </c>
      <c r="AL38" s="24"/>
      <c r="AM38" s="24"/>
    </row>
    <row r="39" spans="2:39" hidden="1" x14ac:dyDescent="0.2">
      <c r="B39" s="50">
        <v>43690</v>
      </c>
      <c r="C39" s="35">
        <v>0.71736111111111101</v>
      </c>
      <c r="D39" s="35"/>
      <c r="E39" s="35" t="s">
        <v>111</v>
      </c>
      <c r="F39" s="37">
        <v>2</v>
      </c>
      <c r="G39" s="42" t="str">
        <f>VLOOKUP(F39,Key!$A$17:$B$21,2,FALSE)</f>
        <v>Road Vehicle</v>
      </c>
      <c r="H39" s="36">
        <v>1</v>
      </c>
      <c r="I39" s="43" t="str">
        <f>VLOOKUP(H39,Key!$A$2:$B$13,2,FALSE)</f>
        <v>Car</v>
      </c>
      <c r="J39" s="37" t="s">
        <v>166</v>
      </c>
      <c r="K39" s="37">
        <v>2</v>
      </c>
      <c r="L39" s="45" t="str">
        <f>VLOOKUP(K39,Key!$A$24:$B$29,2,FALSE)</f>
        <v>30-39</v>
      </c>
      <c r="M39" s="37" t="s">
        <v>176</v>
      </c>
      <c r="N39" s="32" t="s">
        <v>167</v>
      </c>
      <c r="O39" s="37" t="s">
        <v>168</v>
      </c>
      <c r="P39" s="39">
        <v>4</v>
      </c>
      <c r="Q39" s="34" t="str">
        <f>VLOOKUP(P39,Key!$E$2:$F$9,2,FALSE)</f>
        <v>Commercial</v>
      </c>
      <c r="R39" s="37" t="s">
        <v>28</v>
      </c>
      <c r="S39" s="32" t="s">
        <v>188</v>
      </c>
      <c r="T39" s="37" t="s">
        <v>168</v>
      </c>
      <c r="U39" s="32">
        <v>1</v>
      </c>
      <c r="V39" s="34" t="str">
        <f>VLOOKUP(U39,Key!$E$2:$F$9,2,FALSE)</f>
        <v>Home</v>
      </c>
      <c r="W39" s="34" t="str">
        <f t="shared" si="0"/>
        <v>Commercial-Home</v>
      </c>
      <c r="X39" s="47">
        <v>50000</v>
      </c>
      <c r="Y39" s="38">
        <v>30</v>
      </c>
      <c r="Z39" s="38">
        <v>2</v>
      </c>
      <c r="AA39" s="32">
        <v>6</v>
      </c>
      <c r="AB39" s="34" t="str">
        <f>VLOOKUP(AA39,Key!$C$20:$D$29,2,FALSE)</f>
        <v>Businessman</v>
      </c>
      <c r="AC39" s="32">
        <v>3</v>
      </c>
      <c r="AD39" s="34" t="str">
        <f>VLOOKUP(AC39,Key!$E$20:$F$24,2,FALSE)</f>
        <v>500,000-750,000</v>
      </c>
      <c r="AE39" s="32">
        <v>1</v>
      </c>
      <c r="AF39" s="55">
        <v>2</v>
      </c>
      <c r="AG39" s="55">
        <v>3</v>
      </c>
      <c r="AH39" s="55">
        <v>1</v>
      </c>
      <c r="AI39" s="55"/>
      <c r="AJ39" s="39" t="s">
        <v>104</v>
      </c>
      <c r="AK39" s="40">
        <v>1000</v>
      </c>
      <c r="AL39" s="24"/>
      <c r="AM39" s="24"/>
    </row>
    <row r="40" spans="2:39" hidden="1" x14ac:dyDescent="0.2">
      <c r="B40" s="50">
        <v>43690</v>
      </c>
      <c r="C40" s="35">
        <v>0.53680555555555554</v>
      </c>
      <c r="D40" s="35"/>
      <c r="E40" s="35" t="s">
        <v>111</v>
      </c>
      <c r="F40" s="37">
        <v>2</v>
      </c>
      <c r="G40" s="42" t="str">
        <f>VLOOKUP(F40,Key!$A$17:$B$21,2,FALSE)</f>
        <v>Road Vehicle</v>
      </c>
      <c r="H40" s="36">
        <v>1</v>
      </c>
      <c r="I40" s="43" t="str">
        <f>VLOOKUP(H40,Key!$A$2:$B$13,2,FALSE)</f>
        <v>Car</v>
      </c>
      <c r="J40" s="37" t="s">
        <v>123</v>
      </c>
      <c r="K40" s="37">
        <v>2</v>
      </c>
      <c r="L40" s="45" t="str">
        <f>VLOOKUP(K40,Key!$A$24:$B$29,2,FALSE)</f>
        <v>30-39</v>
      </c>
      <c r="M40" s="37" t="s">
        <v>247</v>
      </c>
      <c r="N40" s="32" t="s">
        <v>167</v>
      </c>
      <c r="O40" s="37" t="s">
        <v>168</v>
      </c>
      <c r="P40" s="39">
        <v>8</v>
      </c>
      <c r="Q40" s="34" t="str">
        <f>VLOOKUP(P40,Key!$E$2:$F$9,2,FALSE)</f>
        <v>Others</v>
      </c>
      <c r="R40" s="37" t="s">
        <v>248</v>
      </c>
      <c r="S40" s="32" t="s">
        <v>170</v>
      </c>
      <c r="T40" s="37" t="s">
        <v>168</v>
      </c>
      <c r="U40" s="32">
        <v>8</v>
      </c>
      <c r="V40" s="34" t="str">
        <f>VLOOKUP(U40,Key!$E$2:$F$9,2,FALSE)</f>
        <v>Others</v>
      </c>
      <c r="W40" s="34" t="str">
        <f t="shared" si="0"/>
        <v>Others-Others</v>
      </c>
      <c r="X40" s="47">
        <v>40000</v>
      </c>
      <c r="Y40" s="38">
        <v>30</v>
      </c>
      <c r="Z40" s="38">
        <v>2</v>
      </c>
      <c r="AA40" s="32">
        <v>5</v>
      </c>
      <c r="AB40" s="34" t="str">
        <f>VLOOKUP(AA40,Key!$C$20:$D$29,2,FALSE)</f>
        <v>Professional</v>
      </c>
      <c r="AC40" s="32">
        <v>4</v>
      </c>
      <c r="AD40" s="34" t="str">
        <f>VLOOKUP(AC40,Key!$E$20:$F$24,2,FALSE)</f>
        <v>750,000-1,000,000</v>
      </c>
      <c r="AE40" s="32">
        <v>1</v>
      </c>
      <c r="AF40" s="55">
        <v>1</v>
      </c>
      <c r="AG40" s="55">
        <v>1</v>
      </c>
      <c r="AH40" s="55">
        <v>1</v>
      </c>
      <c r="AI40" s="55">
        <v>1</v>
      </c>
      <c r="AJ40" s="39" t="s">
        <v>104</v>
      </c>
      <c r="AK40" s="40"/>
      <c r="AL40" s="24"/>
      <c r="AM40" s="24"/>
    </row>
    <row r="41" spans="2:39" hidden="1" x14ac:dyDescent="0.2">
      <c r="B41" s="50">
        <v>43690</v>
      </c>
      <c r="C41" s="35">
        <v>0.46319444444444446</v>
      </c>
      <c r="D41" s="35"/>
      <c r="E41" s="35" t="s">
        <v>111</v>
      </c>
      <c r="F41" s="37">
        <v>2</v>
      </c>
      <c r="G41" s="42" t="str">
        <f>VLOOKUP(F41,Key!$A$17:$B$21,2,FALSE)</f>
        <v>Road Vehicle</v>
      </c>
      <c r="H41" s="36">
        <v>1</v>
      </c>
      <c r="I41" s="43" t="str">
        <f>VLOOKUP(H41,Key!$A$2:$B$13,2,FALSE)</f>
        <v>Car</v>
      </c>
      <c r="J41" s="37" t="s">
        <v>166</v>
      </c>
      <c r="K41" s="13">
        <v>2</v>
      </c>
      <c r="L41" s="45" t="str">
        <f>VLOOKUP(K41,Key!$A$24:$B$29,2,FALSE)</f>
        <v>30-39</v>
      </c>
      <c r="M41" s="44" t="s">
        <v>173</v>
      </c>
      <c r="N41" s="44" t="s">
        <v>173</v>
      </c>
      <c r="O41" s="37" t="s">
        <v>168</v>
      </c>
      <c r="P41" s="39">
        <v>2</v>
      </c>
      <c r="Q41" s="34" t="str">
        <f>VLOOKUP(P41,Key!$E$2:$F$9,2,FALSE)</f>
        <v>Work</v>
      </c>
      <c r="R41" s="37" t="s">
        <v>187</v>
      </c>
      <c r="S41" s="32" t="s">
        <v>167</v>
      </c>
      <c r="T41" s="37" t="s">
        <v>168</v>
      </c>
      <c r="U41" s="32">
        <v>2</v>
      </c>
      <c r="V41" s="34" t="str">
        <f>VLOOKUP(U41,Key!$E$2:$F$9,2,FALSE)</f>
        <v>Work</v>
      </c>
      <c r="W41" s="34" t="str">
        <f t="shared" ref="W41:W68" si="1">Q41&amp;"-"&amp;V41</f>
        <v>Work-Work</v>
      </c>
      <c r="X41" s="47">
        <v>20000</v>
      </c>
      <c r="Y41" s="38">
        <v>40</v>
      </c>
      <c r="Z41" s="38">
        <v>1</v>
      </c>
      <c r="AA41" s="32">
        <v>6</v>
      </c>
      <c r="AB41" s="34" t="str">
        <f>VLOOKUP(AA41,Key!$C$20:$D$29,2,FALSE)</f>
        <v>Businessman</v>
      </c>
      <c r="AC41" s="32">
        <v>2</v>
      </c>
      <c r="AD41" s="34" t="str">
        <f>VLOOKUP(AC41,Key!$E$20:$F$24,2,FALSE)</f>
        <v>300,000-500,000</v>
      </c>
      <c r="AE41" s="32">
        <v>1</v>
      </c>
      <c r="AF41" s="55">
        <v>1</v>
      </c>
      <c r="AG41" s="55">
        <v>1</v>
      </c>
      <c r="AH41" s="55">
        <v>1</v>
      </c>
      <c r="AI41" s="55">
        <v>1</v>
      </c>
      <c r="AJ41" s="39" t="s">
        <v>104</v>
      </c>
      <c r="AK41" s="40"/>
      <c r="AL41" s="24"/>
      <c r="AM41" s="24"/>
    </row>
    <row r="42" spans="2:39" hidden="1" x14ac:dyDescent="0.2">
      <c r="B42" s="50">
        <v>43690</v>
      </c>
      <c r="C42" s="35">
        <v>0.7090277777777777</v>
      </c>
      <c r="D42" s="35"/>
      <c r="E42" s="35" t="s">
        <v>111</v>
      </c>
      <c r="F42" s="37">
        <v>2</v>
      </c>
      <c r="G42" s="42" t="str">
        <f>VLOOKUP(F42,Key!$A$17:$B$21,2,FALSE)</f>
        <v>Road Vehicle</v>
      </c>
      <c r="H42" s="36">
        <v>1</v>
      </c>
      <c r="I42" s="43" t="str">
        <f>VLOOKUP(H42,Key!$A$2:$B$13,2,FALSE)</f>
        <v>Car</v>
      </c>
      <c r="J42" s="37" t="s">
        <v>166</v>
      </c>
      <c r="K42" s="37">
        <v>2</v>
      </c>
      <c r="L42" s="45" t="str">
        <f>VLOOKUP(K42,Key!$A$24:$B$29,2,FALSE)</f>
        <v>30-39</v>
      </c>
      <c r="M42" s="37" t="s">
        <v>225</v>
      </c>
      <c r="N42" s="32" t="s">
        <v>190</v>
      </c>
      <c r="O42" s="37" t="s">
        <v>168</v>
      </c>
      <c r="P42" s="39">
        <v>1</v>
      </c>
      <c r="Q42" s="34" t="str">
        <f>VLOOKUP(P42,Key!$E$2:$F$9,2,FALSE)</f>
        <v>Home</v>
      </c>
      <c r="R42" s="37" t="s">
        <v>216</v>
      </c>
      <c r="S42" s="32" t="s">
        <v>167</v>
      </c>
      <c r="T42" s="37" t="s">
        <v>168</v>
      </c>
      <c r="U42" s="32">
        <v>6</v>
      </c>
      <c r="V42" s="34" t="str">
        <f>VLOOKUP(U42,Key!$E$2:$F$9,2,FALSE)</f>
        <v>Leisure/Social</v>
      </c>
      <c r="W42" s="34" t="str">
        <f t="shared" si="1"/>
        <v>Home-Leisure/Social</v>
      </c>
      <c r="X42" s="47">
        <v>40000</v>
      </c>
      <c r="Y42" s="38">
        <v>40</v>
      </c>
      <c r="Z42" s="38">
        <v>1</v>
      </c>
      <c r="AA42" s="32">
        <v>5</v>
      </c>
      <c r="AB42" s="34" t="str">
        <f>VLOOKUP(AA42,Key!$C$20:$D$29,2,FALSE)</f>
        <v>Professional</v>
      </c>
      <c r="AC42" s="32">
        <v>5</v>
      </c>
      <c r="AD42" s="34" t="str">
        <f>VLOOKUP(AC42,Key!$E$20:$F$24,2,FALSE)</f>
        <v>&gt;1,000,000</v>
      </c>
      <c r="AE42" s="32">
        <v>1</v>
      </c>
      <c r="AF42" s="55">
        <v>1</v>
      </c>
      <c r="AG42" s="55">
        <v>1</v>
      </c>
      <c r="AH42" s="55">
        <v>1</v>
      </c>
      <c r="AI42" s="55">
        <v>1</v>
      </c>
      <c r="AJ42" s="39" t="s">
        <v>104</v>
      </c>
      <c r="AK42" s="40"/>
      <c r="AL42" s="24"/>
      <c r="AM42" s="24"/>
    </row>
    <row r="43" spans="2:39" hidden="1" x14ac:dyDescent="0.2">
      <c r="B43" s="50">
        <v>43689</v>
      </c>
      <c r="C43" s="35">
        <v>0.57291666666666663</v>
      </c>
      <c r="D43" s="35"/>
      <c r="E43" s="35" t="s">
        <v>111</v>
      </c>
      <c r="F43" s="37">
        <v>2</v>
      </c>
      <c r="G43" s="42" t="str">
        <f>VLOOKUP(F43,Key!$A$17:$B$21,2,FALSE)</f>
        <v>Road Vehicle</v>
      </c>
      <c r="H43" s="36">
        <v>1</v>
      </c>
      <c r="I43" s="43" t="str">
        <f>VLOOKUP(H43,Key!$A$2:$B$13,2,FALSE)</f>
        <v>Car</v>
      </c>
      <c r="J43" s="37" t="s">
        <v>123</v>
      </c>
      <c r="K43" s="37">
        <v>2</v>
      </c>
      <c r="L43" s="45" t="str">
        <f>VLOOKUP(K43,Key!$A$24:$B$29,2,FALSE)</f>
        <v>30-39</v>
      </c>
      <c r="M43" s="37" t="s">
        <v>202</v>
      </c>
      <c r="N43" s="32" t="s">
        <v>179</v>
      </c>
      <c r="O43" s="37" t="s">
        <v>168</v>
      </c>
      <c r="P43" s="39">
        <v>1</v>
      </c>
      <c r="Q43" s="34" t="str">
        <f>VLOOKUP(P43,Key!$E$2:$F$9,2,FALSE)</f>
        <v>Home</v>
      </c>
      <c r="R43" s="37" t="s">
        <v>214</v>
      </c>
      <c r="S43" s="32" t="s">
        <v>205</v>
      </c>
      <c r="T43" s="37" t="s">
        <v>168</v>
      </c>
      <c r="U43" s="32">
        <v>6</v>
      </c>
      <c r="V43" s="34" t="str">
        <f>VLOOKUP(U43,Key!$E$2:$F$9,2,FALSE)</f>
        <v>Leisure/Social</v>
      </c>
      <c r="W43" s="34" t="str">
        <f t="shared" si="1"/>
        <v>Home-Leisure/Social</v>
      </c>
      <c r="X43" s="47">
        <v>30000</v>
      </c>
      <c r="Y43" s="38">
        <v>40</v>
      </c>
      <c r="Z43" s="38">
        <v>1</v>
      </c>
      <c r="AA43" s="32">
        <v>5</v>
      </c>
      <c r="AB43" s="34" t="str">
        <f>VLOOKUP(AA43,Key!$C$20:$D$29,2,FALSE)</f>
        <v>Professional</v>
      </c>
      <c r="AC43" s="32">
        <v>5</v>
      </c>
      <c r="AD43" s="34" t="str">
        <f>VLOOKUP(AC43,Key!$E$20:$F$24,2,FALSE)</f>
        <v>&gt;1,000,000</v>
      </c>
      <c r="AE43" s="32">
        <v>1</v>
      </c>
      <c r="AF43" s="55">
        <v>1</v>
      </c>
      <c r="AG43" s="55">
        <v>1</v>
      </c>
      <c r="AH43" s="55">
        <v>1</v>
      </c>
      <c r="AI43" s="55">
        <v>1</v>
      </c>
      <c r="AJ43" s="39" t="s">
        <v>104</v>
      </c>
      <c r="AK43" s="40">
        <v>5000</v>
      </c>
      <c r="AL43" s="24"/>
      <c r="AM43" s="24"/>
    </row>
    <row r="44" spans="2:39" hidden="1" x14ac:dyDescent="0.2">
      <c r="B44" s="50">
        <v>43686</v>
      </c>
      <c r="C44" s="35">
        <v>0.55555555555555558</v>
      </c>
      <c r="D44" s="35"/>
      <c r="E44" s="35" t="s">
        <v>111</v>
      </c>
      <c r="F44" s="37">
        <v>2</v>
      </c>
      <c r="G44" s="42" t="str">
        <f>VLOOKUP(F44,Key!$A$17:$B$21,2,FALSE)</f>
        <v>Road Vehicle</v>
      </c>
      <c r="H44" s="36">
        <v>1</v>
      </c>
      <c r="I44" s="43" t="str">
        <f>VLOOKUP(H44,Key!$A$2:$B$13,2,FALSE)</f>
        <v>Car</v>
      </c>
      <c r="J44" s="37" t="s">
        <v>123</v>
      </c>
      <c r="K44" s="37">
        <v>2</v>
      </c>
      <c r="L44" s="45" t="str">
        <f>VLOOKUP(K44,Key!$A$24:$B$29,2,FALSE)</f>
        <v>30-39</v>
      </c>
      <c r="M44" s="37" t="s">
        <v>208</v>
      </c>
      <c r="N44" s="32" t="s">
        <v>167</v>
      </c>
      <c r="O44" s="37" t="s">
        <v>168</v>
      </c>
      <c r="P44" s="39">
        <v>1</v>
      </c>
      <c r="Q44" s="34" t="str">
        <f>VLOOKUP(P44,Key!$E$2:$F$9,2,FALSE)</f>
        <v>Home</v>
      </c>
      <c r="R44" s="37" t="s">
        <v>206</v>
      </c>
      <c r="S44" s="32" t="s">
        <v>190</v>
      </c>
      <c r="T44" s="37" t="s">
        <v>168</v>
      </c>
      <c r="U44" s="32">
        <v>6</v>
      </c>
      <c r="V44" s="34" t="str">
        <f>VLOOKUP(U44,Key!$E$2:$F$9,2,FALSE)</f>
        <v>Leisure/Social</v>
      </c>
      <c r="W44" s="34" t="str">
        <f t="shared" si="1"/>
        <v>Home-Leisure/Social</v>
      </c>
      <c r="X44" s="47">
        <v>20000</v>
      </c>
      <c r="Y44" s="38">
        <v>40</v>
      </c>
      <c r="Z44" s="38">
        <v>1</v>
      </c>
      <c r="AA44" s="32">
        <v>6</v>
      </c>
      <c r="AB44" s="34" t="str">
        <f>VLOOKUP(AA44,Key!$C$20:$D$29,2,FALSE)</f>
        <v>Businessman</v>
      </c>
      <c r="AC44" s="32">
        <v>5</v>
      </c>
      <c r="AD44" s="34" t="str">
        <f>VLOOKUP(AC44,Key!$E$20:$F$24,2,FALSE)</f>
        <v>&gt;1,000,000</v>
      </c>
      <c r="AE44" s="32">
        <v>1</v>
      </c>
      <c r="AF44" s="55">
        <v>1</v>
      </c>
      <c r="AG44" s="55">
        <v>1</v>
      </c>
      <c r="AH44" s="55">
        <v>1</v>
      </c>
      <c r="AI44" s="55">
        <v>1</v>
      </c>
      <c r="AJ44" s="39" t="s">
        <v>104</v>
      </c>
      <c r="AK44" s="40">
        <v>5000</v>
      </c>
      <c r="AL44" s="24"/>
      <c r="AM44" s="24"/>
    </row>
    <row r="45" spans="2:39" hidden="1" x14ac:dyDescent="0.2">
      <c r="B45" s="50">
        <v>43686</v>
      </c>
      <c r="C45" s="35">
        <v>0.63541666666666663</v>
      </c>
      <c r="D45" s="35"/>
      <c r="E45" s="35" t="s">
        <v>111</v>
      </c>
      <c r="F45" s="37">
        <v>2</v>
      </c>
      <c r="G45" s="42" t="str">
        <f>VLOOKUP(F45,Key!$A$17:$B$21,2,FALSE)</f>
        <v>Road Vehicle</v>
      </c>
      <c r="H45" s="36">
        <v>1</v>
      </c>
      <c r="I45" s="43" t="str">
        <f>VLOOKUP(H45,Key!$A$2:$B$13,2,FALSE)</f>
        <v>Car</v>
      </c>
      <c r="J45" s="37" t="s">
        <v>123</v>
      </c>
      <c r="K45" s="37">
        <v>3</v>
      </c>
      <c r="L45" s="45" t="str">
        <f>VLOOKUP(K45,Key!$A$24:$B$29,2,FALSE)</f>
        <v>40-49</v>
      </c>
      <c r="M45" s="44" t="s">
        <v>195</v>
      </c>
      <c r="N45" s="44" t="s">
        <v>190</v>
      </c>
      <c r="O45" s="37" t="s">
        <v>168</v>
      </c>
      <c r="P45" s="39">
        <v>1</v>
      </c>
      <c r="Q45" s="34" t="str">
        <f>VLOOKUP(P45,Key!$E$2:$F$9,2,FALSE)</f>
        <v>Home</v>
      </c>
      <c r="R45" s="37" t="s">
        <v>167</v>
      </c>
      <c r="S45" s="32" t="s">
        <v>167</v>
      </c>
      <c r="T45" s="37" t="s">
        <v>168</v>
      </c>
      <c r="U45" s="32">
        <v>5</v>
      </c>
      <c r="V45" s="34" t="str">
        <f>VLOOKUP(U45,Key!$E$2:$F$9,2,FALSE)</f>
        <v>Tourism</v>
      </c>
      <c r="W45" s="34" t="str">
        <f t="shared" si="1"/>
        <v>Home-Tourism</v>
      </c>
      <c r="X45" s="47">
        <v>20000</v>
      </c>
      <c r="Y45" s="38">
        <v>40</v>
      </c>
      <c r="Z45" s="38">
        <v>1</v>
      </c>
      <c r="AA45" s="32">
        <v>5</v>
      </c>
      <c r="AB45" s="34" t="str">
        <f>VLOOKUP(AA45,Key!$C$20:$D$29,2,FALSE)</f>
        <v>Professional</v>
      </c>
      <c r="AC45" s="32">
        <v>3</v>
      </c>
      <c r="AD45" s="34" t="str">
        <f>VLOOKUP(AC45,Key!$E$20:$F$24,2,FALSE)</f>
        <v>500,000-750,000</v>
      </c>
      <c r="AE45" s="32">
        <v>1</v>
      </c>
      <c r="AF45" s="55">
        <v>1</v>
      </c>
      <c r="AG45" s="55">
        <v>1</v>
      </c>
      <c r="AH45" s="55">
        <v>1</v>
      </c>
      <c r="AI45" s="55">
        <v>1</v>
      </c>
      <c r="AJ45" s="39" t="s">
        <v>104</v>
      </c>
      <c r="AK45" s="40">
        <v>3000</v>
      </c>
      <c r="AL45" s="24"/>
      <c r="AM45" s="24"/>
    </row>
    <row r="46" spans="2:39" hidden="1" x14ac:dyDescent="0.2">
      <c r="B46" s="50">
        <v>43686</v>
      </c>
      <c r="C46" s="35">
        <v>0.5625</v>
      </c>
      <c r="D46" s="35"/>
      <c r="E46" s="35" t="s">
        <v>111</v>
      </c>
      <c r="F46" s="37">
        <v>2</v>
      </c>
      <c r="G46" s="42" t="str">
        <f>VLOOKUP(F46,Key!$A$17:$B$21,2,FALSE)</f>
        <v>Road Vehicle</v>
      </c>
      <c r="H46" s="36">
        <v>1</v>
      </c>
      <c r="I46" s="43" t="str">
        <f>VLOOKUP(H46,Key!$A$2:$B$13,2,FALSE)</f>
        <v>Car</v>
      </c>
      <c r="J46" s="37" t="s">
        <v>166</v>
      </c>
      <c r="K46" s="37">
        <v>2</v>
      </c>
      <c r="L46" s="45" t="str">
        <f>VLOOKUP(K46,Key!$A$24:$B$29,2,FALSE)</f>
        <v>30-39</v>
      </c>
      <c r="M46" s="37" t="s">
        <v>167</v>
      </c>
      <c r="N46" s="32" t="s">
        <v>167</v>
      </c>
      <c r="O46" s="37" t="s">
        <v>168</v>
      </c>
      <c r="P46" s="39">
        <v>1</v>
      </c>
      <c r="Q46" s="34" t="str">
        <f>VLOOKUP(P46,Key!$E$2:$F$9,2,FALSE)</f>
        <v>Home</v>
      </c>
      <c r="R46" s="37" t="s">
        <v>179</v>
      </c>
      <c r="S46" s="32" t="s">
        <v>179</v>
      </c>
      <c r="T46" s="37" t="s">
        <v>168</v>
      </c>
      <c r="U46" s="32">
        <v>6</v>
      </c>
      <c r="V46" s="34" t="str">
        <f>VLOOKUP(U46,Key!$E$2:$F$9,2,FALSE)</f>
        <v>Leisure/Social</v>
      </c>
      <c r="W46" s="34" t="str">
        <f t="shared" si="1"/>
        <v>Home-Leisure/Social</v>
      </c>
      <c r="X46" s="47">
        <v>30000</v>
      </c>
      <c r="Y46" s="38">
        <v>40</v>
      </c>
      <c r="Z46" s="38">
        <v>1</v>
      </c>
      <c r="AA46" s="32">
        <v>6</v>
      </c>
      <c r="AB46" s="34" t="str">
        <f>VLOOKUP(AA46,Key!$C$20:$D$29,2,FALSE)</f>
        <v>Businessman</v>
      </c>
      <c r="AC46" s="32">
        <v>2</v>
      </c>
      <c r="AD46" s="34" t="str">
        <f>VLOOKUP(AC46,Key!$E$20:$F$24,2,FALSE)</f>
        <v>300,000-500,000</v>
      </c>
      <c r="AE46" s="32">
        <v>2</v>
      </c>
      <c r="AF46" s="55">
        <v>3</v>
      </c>
      <c r="AG46" s="55">
        <v>2</v>
      </c>
      <c r="AH46" s="55">
        <v>2</v>
      </c>
      <c r="AI46" s="55">
        <v>3</v>
      </c>
      <c r="AJ46" s="39" t="s">
        <v>104</v>
      </c>
      <c r="AK46" s="40">
        <v>2500</v>
      </c>
      <c r="AL46" s="24"/>
      <c r="AM46" s="24"/>
    </row>
    <row r="47" spans="2:39" hidden="1" x14ac:dyDescent="0.2">
      <c r="B47" s="50">
        <v>43686</v>
      </c>
      <c r="C47" s="35">
        <v>0.63541666666666663</v>
      </c>
      <c r="D47" s="35"/>
      <c r="E47" s="35" t="s">
        <v>111</v>
      </c>
      <c r="F47" s="37">
        <v>2</v>
      </c>
      <c r="G47" s="42" t="str">
        <f>VLOOKUP(F47,Key!$A$17:$B$21,2,FALSE)</f>
        <v>Road Vehicle</v>
      </c>
      <c r="H47" s="36">
        <v>1</v>
      </c>
      <c r="I47" s="43" t="str">
        <f>VLOOKUP(H47,Key!$A$2:$B$13,2,FALSE)</f>
        <v>Car</v>
      </c>
      <c r="J47" s="37" t="s">
        <v>123</v>
      </c>
      <c r="K47" s="37">
        <v>2</v>
      </c>
      <c r="L47" s="45" t="str">
        <f>VLOOKUP(K47,Key!$A$24:$B$29,2,FALSE)</f>
        <v>30-39</v>
      </c>
      <c r="M47" s="37" t="s">
        <v>179</v>
      </c>
      <c r="N47" s="32" t="s">
        <v>179</v>
      </c>
      <c r="O47" s="37" t="s">
        <v>168</v>
      </c>
      <c r="P47" s="39">
        <v>1</v>
      </c>
      <c r="Q47" s="34" t="str">
        <f>VLOOKUP(P47,Key!$E$2:$F$9,2,FALSE)</f>
        <v>Home</v>
      </c>
      <c r="R47" s="37" t="s">
        <v>167</v>
      </c>
      <c r="S47" s="32" t="s">
        <v>167</v>
      </c>
      <c r="T47" s="37" t="s">
        <v>168</v>
      </c>
      <c r="U47" s="32">
        <v>6</v>
      </c>
      <c r="V47" s="34" t="str">
        <f>VLOOKUP(U47,Key!$E$2:$F$9,2,FALSE)</f>
        <v>Leisure/Social</v>
      </c>
      <c r="W47" s="34" t="str">
        <f t="shared" si="1"/>
        <v>Home-Leisure/Social</v>
      </c>
      <c r="X47" s="47">
        <v>20000</v>
      </c>
      <c r="Y47" s="38">
        <v>40</v>
      </c>
      <c r="Z47" s="38">
        <v>1</v>
      </c>
      <c r="AA47" s="32">
        <v>8</v>
      </c>
      <c r="AB47" s="34" t="str">
        <f>VLOOKUP(AA47,Key!$C$20:$D$29,2,FALSE)</f>
        <v>Student</v>
      </c>
      <c r="AC47" s="32">
        <v>1</v>
      </c>
      <c r="AD47" s="34" t="str">
        <f>VLOOKUP(AC47,Key!$E$20:$F$24,2,FALSE)</f>
        <v>&lt;300,000</v>
      </c>
      <c r="AE47" s="32">
        <v>3</v>
      </c>
      <c r="AF47" s="55">
        <v>2</v>
      </c>
      <c r="AG47" s="55">
        <v>3</v>
      </c>
      <c r="AH47" s="55">
        <v>1</v>
      </c>
      <c r="AI47" s="55">
        <v>4</v>
      </c>
      <c r="AJ47" s="39" t="s">
        <v>104</v>
      </c>
      <c r="AK47" s="40">
        <v>3000</v>
      </c>
      <c r="AL47" s="24"/>
      <c r="AM47" s="24"/>
    </row>
    <row r="48" spans="2:39" hidden="1" x14ac:dyDescent="0.2">
      <c r="B48" s="50">
        <v>43687</v>
      </c>
      <c r="C48" s="35">
        <v>0.53819444444444442</v>
      </c>
      <c r="D48" s="35"/>
      <c r="E48" s="35" t="s">
        <v>111</v>
      </c>
      <c r="F48" s="37">
        <v>2</v>
      </c>
      <c r="G48" s="42" t="str">
        <f>VLOOKUP(F48,Key!$A$17:$B$21,2,FALSE)</f>
        <v>Road Vehicle</v>
      </c>
      <c r="H48" s="36">
        <v>1</v>
      </c>
      <c r="I48" s="43" t="str">
        <f>VLOOKUP(H48,Key!$A$2:$B$13,2,FALSE)</f>
        <v>Car</v>
      </c>
      <c r="J48" s="37" t="s">
        <v>166</v>
      </c>
      <c r="K48" s="37">
        <v>2</v>
      </c>
      <c r="L48" s="45" t="str">
        <f>VLOOKUP(K48,Key!$A$24:$B$29,2,FALSE)</f>
        <v>30-39</v>
      </c>
      <c r="M48" s="37" t="s">
        <v>167</v>
      </c>
      <c r="N48" s="32" t="s">
        <v>167</v>
      </c>
      <c r="O48" s="37" t="s">
        <v>168</v>
      </c>
      <c r="P48" s="39">
        <v>5</v>
      </c>
      <c r="Q48" s="34" t="str">
        <f>VLOOKUP(P48,Key!$E$2:$F$9,2,FALSE)</f>
        <v>Tourism</v>
      </c>
      <c r="R48" s="37" t="s">
        <v>269</v>
      </c>
      <c r="S48" s="32" t="s">
        <v>179</v>
      </c>
      <c r="T48" s="37" t="s">
        <v>168</v>
      </c>
      <c r="U48" s="32">
        <v>1</v>
      </c>
      <c r="V48" s="34" t="str">
        <f>VLOOKUP(U48,Key!$E$2:$F$9,2,FALSE)</f>
        <v>Home</v>
      </c>
      <c r="W48" s="34" t="str">
        <f t="shared" si="1"/>
        <v>Tourism-Home</v>
      </c>
      <c r="X48" s="47">
        <v>40000</v>
      </c>
      <c r="Y48" s="38">
        <v>40</v>
      </c>
      <c r="Z48" s="38">
        <v>2</v>
      </c>
      <c r="AA48" s="32">
        <v>10</v>
      </c>
      <c r="AB48" s="34" t="str">
        <f>VLOOKUP(AA48,Key!$C$20:$D$29,2,FALSE)</f>
        <v>Other</v>
      </c>
      <c r="AC48" s="32">
        <v>1</v>
      </c>
      <c r="AD48" s="34" t="str">
        <f>VLOOKUP(AC48,Key!$E$20:$F$24,2,FALSE)</f>
        <v>&lt;300,000</v>
      </c>
      <c r="AE48" s="32">
        <v>1</v>
      </c>
      <c r="AF48" s="55">
        <v>1</v>
      </c>
      <c r="AG48" s="55">
        <v>1</v>
      </c>
      <c r="AH48" s="55">
        <v>1</v>
      </c>
      <c r="AI48" s="55">
        <v>1</v>
      </c>
      <c r="AJ48" s="39" t="s">
        <v>104</v>
      </c>
      <c r="AK48" s="40">
        <v>1000</v>
      </c>
      <c r="AL48" s="24"/>
      <c r="AM48" s="24"/>
    </row>
    <row r="49" spans="2:39" hidden="1" x14ac:dyDescent="0.2">
      <c r="B49" s="50">
        <v>43686</v>
      </c>
      <c r="C49" s="35">
        <v>0.67847222222222225</v>
      </c>
      <c r="D49" s="35"/>
      <c r="E49" s="35" t="s">
        <v>111</v>
      </c>
      <c r="F49" s="37">
        <v>2</v>
      </c>
      <c r="G49" s="42" t="str">
        <f>VLOOKUP(F49,Key!$A$17:$B$21,2,FALSE)</f>
        <v>Road Vehicle</v>
      </c>
      <c r="H49" s="36">
        <v>1</v>
      </c>
      <c r="I49" s="43" t="str">
        <f>VLOOKUP(H49,Key!$A$2:$B$13,2,FALSE)</f>
        <v>Car</v>
      </c>
      <c r="J49" s="37" t="s">
        <v>166</v>
      </c>
      <c r="K49" s="37">
        <v>2</v>
      </c>
      <c r="L49" s="45" t="str">
        <f>VLOOKUP(K49,Key!$A$24:$B$29,2,FALSE)</f>
        <v>30-39</v>
      </c>
      <c r="M49" s="37" t="s">
        <v>187</v>
      </c>
      <c r="N49" s="32" t="s">
        <v>167</v>
      </c>
      <c r="O49" s="37" t="s">
        <v>168</v>
      </c>
      <c r="P49" s="39">
        <v>1</v>
      </c>
      <c r="Q49" s="34" t="str">
        <f>VLOOKUP(P49,Key!$E$2:$F$9,2,FALSE)</f>
        <v>Home</v>
      </c>
      <c r="R49" s="37" t="s">
        <v>275</v>
      </c>
      <c r="S49" s="32" t="s">
        <v>176</v>
      </c>
      <c r="T49" s="37" t="s">
        <v>168</v>
      </c>
      <c r="U49" s="32">
        <v>8</v>
      </c>
      <c r="V49" s="34" t="str">
        <f>VLOOKUP(U49,Key!$E$2:$F$9,2,FALSE)</f>
        <v>Others</v>
      </c>
      <c r="W49" s="34" t="str">
        <f t="shared" si="1"/>
        <v>Home-Others</v>
      </c>
      <c r="X49" s="47">
        <v>60000</v>
      </c>
      <c r="Y49" s="38">
        <v>40</v>
      </c>
      <c r="Z49" s="38">
        <v>2</v>
      </c>
      <c r="AA49" s="32">
        <v>6</v>
      </c>
      <c r="AB49" s="34" t="str">
        <f>VLOOKUP(AA49,Key!$C$20:$D$29,2,FALSE)</f>
        <v>Businessman</v>
      </c>
      <c r="AC49" s="32">
        <v>5</v>
      </c>
      <c r="AD49" s="34" t="str">
        <f>VLOOKUP(AC49,Key!$E$20:$F$24,2,FALSE)</f>
        <v>&gt;1,000,000</v>
      </c>
      <c r="AE49" s="32">
        <v>1</v>
      </c>
      <c r="AF49" s="55">
        <v>1</v>
      </c>
      <c r="AG49" s="55">
        <v>1</v>
      </c>
      <c r="AH49" s="55">
        <v>2</v>
      </c>
      <c r="AI49" s="55">
        <v>1</v>
      </c>
      <c r="AJ49" s="39" t="s">
        <v>104</v>
      </c>
      <c r="AK49" s="40">
        <v>2000</v>
      </c>
      <c r="AL49" s="24"/>
      <c r="AM49" s="24"/>
    </row>
    <row r="50" spans="2:39" hidden="1" x14ac:dyDescent="0.2">
      <c r="B50" s="50">
        <v>43690</v>
      </c>
      <c r="C50" s="35">
        <v>0.68680555555555556</v>
      </c>
      <c r="D50" s="35"/>
      <c r="E50" s="35" t="s">
        <v>111</v>
      </c>
      <c r="F50" s="37">
        <v>2</v>
      </c>
      <c r="G50" s="42" t="str">
        <f>VLOOKUP(F50,Key!$A$17:$B$21,2,FALSE)</f>
        <v>Road Vehicle</v>
      </c>
      <c r="H50" s="36">
        <v>1</v>
      </c>
      <c r="I50" s="43" t="str">
        <f>VLOOKUP(H50,Key!$A$2:$B$13,2,FALSE)</f>
        <v>Car</v>
      </c>
      <c r="J50" s="37" t="s">
        <v>123</v>
      </c>
      <c r="K50" s="37">
        <v>3</v>
      </c>
      <c r="L50" s="45" t="str">
        <f>VLOOKUP(K50,Key!$A$24:$B$29,2,FALSE)</f>
        <v>40-49</v>
      </c>
      <c r="M50" s="37" t="s">
        <v>189</v>
      </c>
      <c r="N50" s="32" t="s">
        <v>190</v>
      </c>
      <c r="O50" s="37" t="s">
        <v>168</v>
      </c>
      <c r="P50" s="39">
        <v>1</v>
      </c>
      <c r="Q50" s="34" t="str">
        <f>VLOOKUP(P50,Key!$E$2:$F$9,2,FALSE)</f>
        <v>Home</v>
      </c>
      <c r="R50" s="37" t="s">
        <v>190</v>
      </c>
      <c r="S50" s="32" t="s">
        <v>190</v>
      </c>
      <c r="T50" s="37" t="s">
        <v>168</v>
      </c>
      <c r="U50" s="32">
        <v>3</v>
      </c>
      <c r="V50" s="34" t="str">
        <f>VLOOKUP(U50,Key!$E$2:$F$9,2,FALSE)</f>
        <v>Study</v>
      </c>
      <c r="W50" s="34" t="str">
        <f t="shared" si="1"/>
        <v>Home-Study</v>
      </c>
      <c r="X50" s="47">
        <v>25000</v>
      </c>
      <c r="Y50" s="38">
        <v>40</v>
      </c>
      <c r="Z50" s="38">
        <v>2</v>
      </c>
      <c r="AA50" s="32">
        <v>1</v>
      </c>
      <c r="AB50" s="34" t="str">
        <f>VLOOKUP(AA50,Key!$C$20:$D$29,2,FALSE)</f>
        <v>Unemployed</v>
      </c>
      <c r="AC50" s="32">
        <v>1</v>
      </c>
      <c r="AD50" s="34" t="str">
        <f>VLOOKUP(AC50,Key!$E$20:$F$24,2,FALSE)</f>
        <v>&lt;300,000</v>
      </c>
      <c r="AE50" s="32">
        <v>1</v>
      </c>
      <c r="AF50" s="55">
        <v>1</v>
      </c>
      <c r="AG50" s="55">
        <v>2</v>
      </c>
      <c r="AH50" s="55">
        <v>1</v>
      </c>
      <c r="AI50" s="55">
        <v>1</v>
      </c>
      <c r="AJ50" s="39" t="s">
        <v>104</v>
      </c>
      <c r="AK50" s="40"/>
      <c r="AL50" s="24"/>
      <c r="AM50" s="24"/>
    </row>
    <row r="51" spans="2:39" hidden="1" x14ac:dyDescent="0.2">
      <c r="B51" s="50">
        <v>43690</v>
      </c>
      <c r="C51" s="35">
        <v>0.48680555555555555</v>
      </c>
      <c r="D51" s="35"/>
      <c r="E51" s="35" t="s">
        <v>111</v>
      </c>
      <c r="F51" s="37">
        <v>2</v>
      </c>
      <c r="G51" s="42" t="str">
        <f>VLOOKUP(F51,Key!$A$17:$B$21,2,FALSE)</f>
        <v>Road Vehicle</v>
      </c>
      <c r="H51" s="36">
        <v>1</v>
      </c>
      <c r="I51" s="43" t="str">
        <f>VLOOKUP(H51,Key!$A$2:$B$13,2,FALSE)</f>
        <v>Car</v>
      </c>
      <c r="J51" s="37" t="s">
        <v>123</v>
      </c>
      <c r="K51" s="37">
        <v>3</v>
      </c>
      <c r="L51" s="45" t="str">
        <f>VLOOKUP(K51,Key!$A$24:$B$29,2,FALSE)</f>
        <v>40-49</v>
      </c>
      <c r="M51" s="37" t="s">
        <v>262</v>
      </c>
      <c r="N51" s="32" t="s">
        <v>188</v>
      </c>
      <c r="O51" s="37" t="s">
        <v>168</v>
      </c>
      <c r="P51" s="39">
        <v>2</v>
      </c>
      <c r="Q51" s="34" t="str">
        <f>VLOOKUP(P51,Key!$E$2:$F$9,2,FALSE)</f>
        <v>Work</v>
      </c>
      <c r="R51" s="37" t="s">
        <v>263</v>
      </c>
      <c r="S51" s="32" t="s">
        <v>167</v>
      </c>
      <c r="T51" s="37" t="s">
        <v>168</v>
      </c>
      <c r="U51" s="32">
        <v>5</v>
      </c>
      <c r="V51" s="34" t="str">
        <f>VLOOKUP(U51,Key!$E$2:$F$9,2,FALSE)</f>
        <v>Tourism</v>
      </c>
      <c r="W51" s="34" t="str">
        <f t="shared" si="1"/>
        <v>Work-Tourism</v>
      </c>
      <c r="X51" s="47">
        <v>100000</v>
      </c>
      <c r="Y51" s="38">
        <v>40</v>
      </c>
      <c r="Z51" s="38">
        <v>3</v>
      </c>
      <c r="AA51" s="32">
        <v>6</v>
      </c>
      <c r="AB51" s="34" t="str">
        <f>VLOOKUP(AA51,Key!$C$20:$D$29,2,FALSE)</f>
        <v>Businessman</v>
      </c>
      <c r="AC51" s="32">
        <v>2</v>
      </c>
      <c r="AD51" s="34" t="str">
        <f>VLOOKUP(AC51,Key!$E$20:$F$24,2,FALSE)</f>
        <v>300,000-500,000</v>
      </c>
      <c r="AE51" s="32">
        <v>1</v>
      </c>
      <c r="AF51" s="55">
        <v>1</v>
      </c>
      <c r="AG51" s="55">
        <v>1</v>
      </c>
      <c r="AH51" s="55">
        <v>1</v>
      </c>
      <c r="AI51" s="55">
        <v>1</v>
      </c>
      <c r="AJ51" s="39" t="s">
        <v>104</v>
      </c>
      <c r="AK51" s="40">
        <v>2000</v>
      </c>
      <c r="AL51" s="24"/>
      <c r="AM51" s="24"/>
    </row>
    <row r="52" spans="2:39" hidden="1" x14ac:dyDescent="0.2">
      <c r="B52" s="50">
        <v>43690</v>
      </c>
      <c r="C52" s="35">
        <v>0.64513888888888882</v>
      </c>
      <c r="D52" s="35"/>
      <c r="E52" s="35" t="s">
        <v>111</v>
      </c>
      <c r="F52" s="37">
        <v>2</v>
      </c>
      <c r="G52" s="42" t="str">
        <f>VLOOKUP(F52,Key!$A$17:$B$21,2,FALSE)</f>
        <v>Road Vehicle</v>
      </c>
      <c r="H52" s="36">
        <v>1</v>
      </c>
      <c r="I52" s="43" t="str">
        <f>VLOOKUP(H52,Key!$A$2:$B$13,2,FALSE)</f>
        <v>Car</v>
      </c>
      <c r="J52" s="37" t="s">
        <v>166</v>
      </c>
      <c r="K52" s="37">
        <v>3</v>
      </c>
      <c r="L52" s="45" t="str">
        <f>VLOOKUP(K52,Key!$A$24:$B$29,2,FALSE)</f>
        <v>40-49</v>
      </c>
      <c r="M52" s="37" t="s">
        <v>268</v>
      </c>
      <c r="N52" s="32" t="s">
        <v>176</v>
      </c>
      <c r="O52" s="37" t="s">
        <v>168</v>
      </c>
      <c r="P52" s="39">
        <v>1</v>
      </c>
      <c r="Q52" s="34" t="str">
        <f>VLOOKUP(P52,Key!$E$2:$F$9,2,FALSE)</f>
        <v>Home</v>
      </c>
      <c r="R52" s="37" t="s">
        <v>202</v>
      </c>
      <c r="S52" s="32" t="s">
        <v>167</v>
      </c>
      <c r="T52" s="37" t="s">
        <v>168</v>
      </c>
      <c r="U52" s="32">
        <v>8</v>
      </c>
      <c r="V52" s="34" t="str">
        <f>VLOOKUP(U52,Key!$E$2:$F$9,2,FALSE)</f>
        <v>Others</v>
      </c>
      <c r="W52" s="34" t="str">
        <f t="shared" si="1"/>
        <v>Home-Others</v>
      </c>
      <c r="X52" s="47">
        <v>50000</v>
      </c>
      <c r="Y52" s="38">
        <v>40</v>
      </c>
      <c r="Z52" s="38">
        <v>4</v>
      </c>
      <c r="AA52" s="32">
        <v>10</v>
      </c>
      <c r="AB52" s="34" t="str">
        <f>VLOOKUP(AA52,Key!$C$20:$D$29,2,FALSE)</f>
        <v>Other</v>
      </c>
      <c r="AC52" s="32">
        <v>2</v>
      </c>
      <c r="AD52" s="34" t="str">
        <f>VLOOKUP(AC52,Key!$E$20:$F$24,2,FALSE)</f>
        <v>300,000-500,000</v>
      </c>
      <c r="AE52" s="32">
        <v>1</v>
      </c>
      <c r="AF52" s="55">
        <v>1</v>
      </c>
      <c r="AG52" s="55">
        <v>1</v>
      </c>
      <c r="AH52" s="55">
        <v>1</v>
      </c>
      <c r="AI52" s="55">
        <v>2</v>
      </c>
      <c r="AJ52" s="39" t="s">
        <v>104</v>
      </c>
      <c r="AK52" s="40">
        <v>1000</v>
      </c>
      <c r="AL52" s="24"/>
      <c r="AM52" s="24"/>
    </row>
    <row r="53" spans="2:39" hidden="1" x14ac:dyDescent="0.2">
      <c r="B53" s="50">
        <v>43686</v>
      </c>
      <c r="C53" s="35">
        <v>0.63888888888888895</v>
      </c>
      <c r="D53" s="35"/>
      <c r="E53" s="35" t="s">
        <v>111</v>
      </c>
      <c r="F53" s="37">
        <v>2</v>
      </c>
      <c r="G53" s="42" t="str">
        <f>VLOOKUP(F53,Key!$A$17:$B$21,2,FALSE)</f>
        <v>Road Vehicle</v>
      </c>
      <c r="H53" s="36">
        <v>1</v>
      </c>
      <c r="I53" s="43" t="str">
        <f>VLOOKUP(H53,Key!$A$2:$B$13,2,FALSE)</f>
        <v>Car</v>
      </c>
      <c r="J53" s="37" t="s">
        <v>123</v>
      </c>
      <c r="K53" s="13">
        <v>3</v>
      </c>
      <c r="L53" s="45" t="str">
        <f>VLOOKUP(K53,Key!$A$24:$B$29,2,FALSE)</f>
        <v>40-49</v>
      </c>
      <c r="M53" s="44" t="s">
        <v>179</v>
      </c>
      <c r="N53" s="32" t="s">
        <v>179</v>
      </c>
      <c r="O53" s="37" t="s">
        <v>168</v>
      </c>
      <c r="P53" s="39">
        <v>1</v>
      </c>
      <c r="Q53" s="34" t="str">
        <f>VLOOKUP(P53,Key!$E$2:$F$9,2,FALSE)</f>
        <v>Home</v>
      </c>
      <c r="R53" s="37" t="s">
        <v>167</v>
      </c>
      <c r="S53" s="32" t="s">
        <v>167</v>
      </c>
      <c r="T53" s="37" t="s">
        <v>168</v>
      </c>
      <c r="U53" s="32">
        <v>2</v>
      </c>
      <c r="V53" s="34" t="str">
        <f>VLOOKUP(U53,Key!$E$2:$F$9,2,FALSE)</f>
        <v>Work</v>
      </c>
      <c r="W53" s="34" t="str">
        <f t="shared" si="1"/>
        <v>Home-Work</v>
      </c>
      <c r="X53" s="47">
        <v>25000</v>
      </c>
      <c r="Y53" s="38">
        <v>42</v>
      </c>
      <c r="Z53" s="38">
        <v>1</v>
      </c>
      <c r="AA53" s="32">
        <v>7</v>
      </c>
      <c r="AB53" s="34" t="str">
        <f>VLOOKUP(AA53,Key!$C$20:$D$29,2,FALSE)</f>
        <v>Farmer</v>
      </c>
      <c r="AC53" s="32">
        <v>2</v>
      </c>
      <c r="AD53" s="34" t="str">
        <f>VLOOKUP(AC53,Key!$E$20:$F$24,2,FALSE)</f>
        <v>300,000-500,000</v>
      </c>
      <c r="AE53" s="32">
        <v>2</v>
      </c>
      <c r="AF53" s="55">
        <v>3</v>
      </c>
      <c r="AG53" s="55">
        <v>4</v>
      </c>
      <c r="AH53" s="55">
        <v>1</v>
      </c>
      <c r="AI53" s="55">
        <v>5</v>
      </c>
      <c r="AJ53" s="39" t="s">
        <v>104</v>
      </c>
      <c r="AK53" s="40"/>
      <c r="AL53" s="24"/>
      <c r="AM53" s="24"/>
    </row>
    <row r="54" spans="2:39" hidden="1" x14ac:dyDescent="0.2">
      <c r="B54" s="50">
        <v>43687</v>
      </c>
      <c r="C54" s="35">
        <v>0.3979166666666667</v>
      </c>
      <c r="D54" s="35"/>
      <c r="E54" s="35" t="s">
        <v>111</v>
      </c>
      <c r="F54" s="37">
        <v>2</v>
      </c>
      <c r="G54" s="42" t="str">
        <f>VLOOKUP(F54,Key!$A$17:$B$21,2,FALSE)</f>
        <v>Road Vehicle</v>
      </c>
      <c r="H54" s="36">
        <v>1</v>
      </c>
      <c r="I54" s="43" t="str">
        <f>VLOOKUP(H54,Key!$A$2:$B$13,2,FALSE)</f>
        <v>Car</v>
      </c>
      <c r="J54" s="37" t="s">
        <v>123</v>
      </c>
      <c r="K54" s="37">
        <v>3</v>
      </c>
      <c r="L54" s="45" t="str">
        <f>VLOOKUP(K54,Key!$A$24:$B$29,2,FALSE)</f>
        <v>40-49</v>
      </c>
      <c r="M54" s="37" t="s">
        <v>179</v>
      </c>
      <c r="N54" s="32" t="s">
        <v>179</v>
      </c>
      <c r="O54" s="37" t="s">
        <v>168</v>
      </c>
      <c r="P54" s="39">
        <v>1</v>
      </c>
      <c r="Q54" s="34" t="str">
        <f>VLOOKUP(P54,Key!$E$2:$F$9,2,FALSE)</f>
        <v>Home</v>
      </c>
      <c r="R54" s="37" t="s">
        <v>167</v>
      </c>
      <c r="S54" s="32" t="s">
        <v>167</v>
      </c>
      <c r="T54" s="37" t="s">
        <v>168</v>
      </c>
      <c r="U54" s="32">
        <v>2</v>
      </c>
      <c r="V54" s="34" t="str">
        <f>VLOOKUP(U54,Key!$E$2:$F$9,2,FALSE)</f>
        <v>Work</v>
      </c>
      <c r="W54" s="34" t="str">
        <f t="shared" si="1"/>
        <v>Home-Work</v>
      </c>
      <c r="X54" s="47">
        <v>25000</v>
      </c>
      <c r="Y54" s="38">
        <v>42</v>
      </c>
      <c r="Z54" s="38">
        <v>1</v>
      </c>
      <c r="AA54" s="32">
        <v>4</v>
      </c>
      <c r="AB54" s="34" t="str">
        <f>VLOOKUP(AA54,Key!$C$20:$D$29,2,FALSE)</f>
        <v>Office Worker</v>
      </c>
      <c r="AC54" s="32">
        <v>4</v>
      </c>
      <c r="AD54" s="34" t="str">
        <f>VLOOKUP(AC54,Key!$E$20:$F$24,2,FALSE)</f>
        <v>750,000-1,000,000</v>
      </c>
      <c r="AE54" s="32">
        <v>3</v>
      </c>
      <c r="AF54" s="55">
        <v>2</v>
      </c>
      <c r="AG54" s="55">
        <v>4</v>
      </c>
      <c r="AH54" s="55">
        <v>1</v>
      </c>
      <c r="AI54" s="55">
        <v>5</v>
      </c>
      <c r="AJ54" s="39" t="s">
        <v>104</v>
      </c>
      <c r="AK54" s="40">
        <v>10000</v>
      </c>
      <c r="AL54" s="24"/>
      <c r="AM54" s="24"/>
    </row>
    <row r="55" spans="2:39" hidden="1" x14ac:dyDescent="0.2">
      <c r="B55" s="50">
        <v>43687</v>
      </c>
      <c r="C55" s="35">
        <v>0.75347222222222221</v>
      </c>
      <c r="D55" s="35"/>
      <c r="E55" s="35" t="s">
        <v>111</v>
      </c>
      <c r="F55" s="37">
        <v>2</v>
      </c>
      <c r="G55" s="42" t="str">
        <f>VLOOKUP(F55,Key!$A$17:$B$21,2,FALSE)</f>
        <v>Road Vehicle</v>
      </c>
      <c r="H55" s="36">
        <v>1</v>
      </c>
      <c r="I55" s="43" t="str">
        <f>VLOOKUP(H55,Key!$A$2:$B$13,2,FALSE)</f>
        <v>Car</v>
      </c>
      <c r="J55" s="37" t="s">
        <v>166</v>
      </c>
      <c r="K55" s="37">
        <v>3</v>
      </c>
      <c r="L55" s="45" t="str">
        <f>VLOOKUP(K55,Key!$A$24:$B$29,2,FALSE)</f>
        <v>40-49</v>
      </c>
      <c r="M55" s="37" t="s">
        <v>179</v>
      </c>
      <c r="N55" s="32" t="s">
        <v>179</v>
      </c>
      <c r="O55" s="37" t="s">
        <v>168</v>
      </c>
      <c r="P55" s="39">
        <v>4</v>
      </c>
      <c r="Q55" s="34" t="str">
        <f>VLOOKUP(P55,Key!$E$2:$F$9,2,FALSE)</f>
        <v>Commercial</v>
      </c>
      <c r="R55" s="37" t="s">
        <v>211</v>
      </c>
      <c r="S55" s="32" t="s">
        <v>167</v>
      </c>
      <c r="T55" s="37" t="s">
        <v>168</v>
      </c>
      <c r="U55" s="32">
        <v>4</v>
      </c>
      <c r="V55" s="34" t="str">
        <f>VLOOKUP(U55,Key!$E$2:$F$9,2,FALSE)</f>
        <v>Commercial</v>
      </c>
      <c r="W55" s="34" t="str">
        <f t="shared" si="1"/>
        <v>Commercial-Commercial</v>
      </c>
      <c r="X55" s="47">
        <v>30000</v>
      </c>
      <c r="Y55" s="38">
        <v>43</v>
      </c>
      <c r="Z55" s="38">
        <v>1.5</v>
      </c>
      <c r="AA55" s="32">
        <v>6</v>
      </c>
      <c r="AB55" s="34" t="str">
        <f>VLOOKUP(AA55,Key!$C$20:$D$29,2,FALSE)</f>
        <v>Businessman</v>
      </c>
      <c r="AC55" s="32">
        <v>3</v>
      </c>
      <c r="AD55" s="34" t="str">
        <f>VLOOKUP(AC55,Key!$E$20:$F$24,2,FALSE)</f>
        <v>500,000-750,000</v>
      </c>
      <c r="AE55" s="32">
        <v>1</v>
      </c>
      <c r="AF55" s="55">
        <v>2</v>
      </c>
      <c r="AG55" s="55">
        <v>1</v>
      </c>
      <c r="AH55" s="55">
        <v>1</v>
      </c>
      <c r="AI55" s="55">
        <v>1</v>
      </c>
      <c r="AJ55" s="39" t="s">
        <v>104</v>
      </c>
      <c r="AK55" s="40">
        <v>1000</v>
      </c>
      <c r="AL55" s="24"/>
      <c r="AM55" s="24"/>
    </row>
    <row r="56" spans="2:39" hidden="1" x14ac:dyDescent="0.2">
      <c r="B56" s="50">
        <v>43690</v>
      </c>
      <c r="C56" s="35">
        <v>0.62569444444444444</v>
      </c>
      <c r="D56" s="35"/>
      <c r="E56" s="35" t="s">
        <v>111</v>
      </c>
      <c r="F56" s="37">
        <v>2</v>
      </c>
      <c r="G56" s="42" t="str">
        <f>VLOOKUP(F56,Key!$A$17:$B$21,2,FALSE)</f>
        <v>Road Vehicle</v>
      </c>
      <c r="H56" s="36">
        <v>1</v>
      </c>
      <c r="I56" s="43" t="str">
        <f>VLOOKUP(H56,Key!$A$2:$B$13,2,FALSE)</f>
        <v>Car</v>
      </c>
      <c r="J56" s="37" t="s">
        <v>123</v>
      </c>
      <c r="K56" s="37">
        <v>2</v>
      </c>
      <c r="L56" s="45" t="str">
        <f>VLOOKUP(K56,Key!$A$24:$B$29,2,FALSE)</f>
        <v>30-39</v>
      </c>
      <c r="M56" s="37" t="s">
        <v>170</v>
      </c>
      <c r="N56" s="32" t="s">
        <v>170</v>
      </c>
      <c r="O56" s="37" t="s">
        <v>168</v>
      </c>
      <c r="P56" s="39">
        <v>1</v>
      </c>
      <c r="Q56" s="34" t="str">
        <f>VLOOKUP(P56,Key!$E$2:$F$9,2,FALSE)</f>
        <v>Home</v>
      </c>
      <c r="R56" s="37" t="s">
        <v>167</v>
      </c>
      <c r="S56" s="32" t="s">
        <v>167</v>
      </c>
      <c r="T56" s="37" t="s">
        <v>168</v>
      </c>
      <c r="U56" s="32">
        <v>4</v>
      </c>
      <c r="V56" s="34" t="str">
        <f>VLOOKUP(U56,Key!$E$2:$F$9,2,FALSE)</f>
        <v>Commercial</v>
      </c>
      <c r="W56" s="34" t="str">
        <f t="shared" si="1"/>
        <v>Home-Commercial</v>
      </c>
      <c r="X56" s="47">
        <v>20000</v>
      </c>
      <c r="Y56" s="38">
        <v>47</v>
      </c>
      <c r="Z56" s="38">
        <v>1</v>
      </c>
      <c r="AA56" s="32">
        <v>6</v>
      </c>
      <c r="AB56" s="34" t="str">
        <f>VLOOKUP(AA56,Key!$C$20:$D$29,2,FALSE)</f>
        <v>Businessman</v>
      </c>
      <c r="AC56" s="32">
        <v>3</v>
      </c>
      <c r="AD56" s="34" t="str">
        <f>VLOOKUP(AC56,Key!$E$20:$F$24,2,FALSE)</f>
        <v>500,000-750,000</v>
      </c>
      <c r="AE56" s="32">
        <v>2</v>
      </c>
      <c r="AF56" s="55">
        <v>3</v>
      </c>
      <c r="AG56" s="55">
        <v>4</v>
      </c>
      <c r="AH56" s="55">
        <v>1</v>
      </c>
      <c r="AI56" s="55">
        <v>5</v>
      </c>
      <c r="AJ56" s="39" t="s">
        <v>104</v>
      </c>
      <c r="AK56" s="40">
        <v>10000</v>
      </c>
      <c r="AL56" s="24"/>
      <c r="AM56" s="24"/>
    </row>
    <row r="57" spans="2:39" hidden="1" x14ac:dyDescent="0.2">
      <c r="B57" s="50">
        <v>43686</v>
      </c>
      <c r="C57" s="35">
        <v>0.57291666666666663</v>
      </c>
      <c r="D57" s="35"/>
      <c r="E57" s="35" t="s">
        <v>111</v>
      </c>
      <c r="F57" s="37">
        <v>2</v>
      </c>
      <c r="G57" s="42" t="str">
        <f>VLOOKUP(F57,Key!$A$17:$B$21,2,FALSE)</f>
        <v>Road Vehicle</v>
      </c>
      <c r="H57" s="36">
        <v>1</v>
      </c>
      <c r="I57" s="43" t="str">
        <f>VLOOKUP(H57,Key!$A$2:$B$13,2,FALSE)</f>
        <v>Car</v>
      </c>
      <c r="J57" s="37" t="s">
        <v>166</v>
      </c>
      <c r="K57" s="37">
        <v>1</v>
      </c>
      <c r="L57" s="45" t="str">
        <f>VLOOKUP(K57,Key!$A$24:$B$29,2,FALSE)</f>
        <v>20-29</v>
      </c>
      <c r="M57" s="37" t="s">
        <v>216</v>
      </c>
      <c r="N57" s="32" t="s">
        <v>167</v>
      </c>
      <c r="O57" s="37" t="s">
        <v>168</v>
      </c>
      <c r="P57" s="39">
        <v>6</v>
      </c>
      <c r="Q57" s="34" t="str">
        <f>VLOOKUP(P57,Key!$E$2:$F$9,2,FALSE)</f>
        <v>Leisure/Social</v>
      </c>
      <c r="R57" s="37" t="s">
        <v>214</v>
      </c>
      <c r="S57" s="32" t="s">
        <v>205</v>
      </c>
      <c r="T57" s="37" t="s">
        <v>168</v>
      </c>
      <c r="U57" s="32">
        <v>1</v>
      </c>
      <c r="V57" s="34" t="str">
        <f>VLOOKUP(U57,Key!$E$2:$F$9,2,FALSE)</f>
        <v>Home</v>
      </c>
      <c r="W57" s="34" t="str">
        <f t="shared" si="1"/>
        <v>Leisure/Social-Home</v>
      </c>
      <c r="X57" s="47">
        <v>20000</v>
      </c>
      <c r="Y57" s="38">
        <v>50</v>
      </c>
      <c r="Z57" s="38">
        <v>1</v>
      </c>
      <c r="AA57" s="32">
        <v>5</v>
      </c>
      <c r="AB57" s="34" t="str">
        <f>VLOOKUP(AA57,Key!$C$20:$D$29,2,FALSE)</f>
        <v>Professional</v>
      </c>
      <c r="AC57" s="32">
        <v>4</v>
      </c>
      <c r="AD57" s="34" t="str">
        <f>VLOOKUP(AC57,Key!$E$20:$F$24,2,FALSE)</f>
        <v>750,000-1,000,000</v>
      </c>
      <c r="AE57" s="32">
        <v>1</v>
      </c>
      <c r="AF57" s="55">
        <v>1</v>
      </c>
      <c r="AG57" s="55">
        <v>1</v>
      </c>
      <c r="AH57" s="55">
        <v>1</v>
      </c>
      <c r="AI57" s="55">
        <v>1</v>
      </c>
      <c r="AJ57" s="39" t="s">
        <v>104</v>
      </c>
      <c r="AK57" s="40">
        <v>3000</v>
      </c>
      <c r="AL57" s="24"/>
      <c r="AM57" s="24"/>
    </row>
    <row r="58" spans="2:39" hidden="1" x14ac:dyDescent="0.2">
      <c r="B58" s="50">
        <v>43686</v>
      </c>
      <c r="C58" s="35">
        <v>0.57291666666666663</v>
      </c>
      <c r="D58" s="35"/>
      <c r="E58" s="35" t="s">
        <v>111</v>
      </c>
      <c r="F58" s="37">
        <v>2</v>
      </c>
      <c r="G58" s="42" t="str">
        <f>VLOOKUP(F58,Key!$A$17:$B$21,2,FALSE)</f>
        <v>Road Vehicle</v>
      </c>
      <c r="H58" s="36">
        <v>1</v>
      </c>
      <c r="I58" s="43" t="str">
        <f>VLOOKUP(H58,Key!$A$2:$B$13,2,FALSE)</f>
        <v>Car</v>
      </c>
      <c r="J58" s="37" t="s">
        <v>166</v>
      </c>
      <c r="K58" s="37">
        <v>2</v>
      </c>
      <c r="L58" s="45" t="str">
        <f>VLOOKUP(K58,Key!$A$24:$B$29,2,FALSE)</f>
        <v>30-39</v>
      </c>
      <c r="M58" s="37" t="s">
        <v>216</v>
      </c>
      <c r="N58" s="32" t="s">
        <v>167</v>
      </c>
      <c r="O58" s="37" t="s">
        <v>168</v>
      </c>
      <c r="P58" s="39">
        <v>1</v>
      </c>
      <c r="Q58" s="34" t="str">
        <f>VLOOKUP(P58,Key!$E$2:$F$9,2,FALSE)</f>
        <v>Home</v>
      </c>
      <c r="R58" s="37" t="s">
        <v>216</v>
      </c>
      <c r="S58" s="32" t="s">
        <v>167</v>
      </c>
      <c r="T58" s="37" t="s">
        <v>168</v>
      </c>
      <c r="U58" s="32">
        <v>6</v>
      </c>
      <c r="V58" s="34" t="str">
        <f>VLOOKUP(U58,Key!$E$2:$F$9,2,FALSE)</f>
        <v>Leisure/Social</v>
      </c>
      <c r="W58" s="34" t="str">
        <f t="shared" si="1"/>
        <v>Home-Leisure/Social</v>
      </c>
      <c r="X58" s="47">
        <v>25000</v>
      </c>
      <c r="Y58" s="38">
        <v>50</v>
      </c>
      <c r="Z58" s="38">
        <v>1</v>
      </c>
      <c r="AA58" s="32">
        <v>4</v>
      </c>
      <c r="AB58" s="34" t="str">
        <f>VLOOKUP(AA58,Key!$C$20:$D$29,2,FALSE)</f>
        <v>Office Worker</v>
      </c>
      <c r="AC58" s="32">
        <v>3</v>
      </c>
      <c r="AD58" s="34" t="str">
        <f>VLOOKUP(AC58,Key!$E$20:$F$24,2,FALSE)</f>
        <v>500,000-750,000</v>
      </c>
      <c r="AE58" s="32">
        <v>1</v>
      </c>
      <c r="AF58" s="55">
        <v>1</v>
      </c>
      <c r="AG58" s="55">
        <v>2</v>
      </c>
      <c r="AH58" s="55">
        <v>1</v>
      </c>
      <c r="AI58" s="55">
        <v>2</v>
      </c>
      <c r="AJ58" s="39" t="s">
        <v>104</v>
      </c>
      <c r="AK58" s="40"/>
      <c r="AL58" s="24"/>
      <c r="AM58" s="24"/>
    </row>
    <row r="59" spans="2:39" hidden="1" x14ac:dyDescent="0.2">
      <c r="B59" s="50">
        <v>43686</v>
      </c>
      <c r="C59" s="35">
        <v>0.52430555555555558</v>
      </c>
      <c r="D59" s="35"/>
      <c r="E59" s="35" t="s">
        <v>111</v>
      </c>
      <c r="F59" s="37">
        <v>2</v>
      </c>
      <c r="G59" s="42" t="str">
        <f>VLOOKUP(F59,Key!$A$17:$B$21,2,FALSE)</f>
        <v>Road Vehicle</v>
      </c>
      <c r="H59" s="36">
        <v>1</v>
      </c>
      <c r="I59" s="43" t="str">
        <f>VLOOKUP(H59,Key!$A$2:$B$13,2,FALSE)</f>
        <v>Car</v>
      </c>
      <c r="J59" s="37" t="s">
        <v>166</v>
      </c>
      <c r="K59" s="37">
        <v>3</v>
      </c>
      <c r="L59" s="45" t="str">
        <f>VLOOKUP(K59,Key!$A$24:$B$29,2,FALSE)</f>
        <v>40-49</v>
      </c>
      <c r="M59" s="44" t="s">
        <v>207</v>
      </c>
      <c r="N59" s="44" t="s">
        <v>205</v>
      </c>
      <c r="O59" s="37" t="s">
        <v>168</v>
      </c>
      <c r="P59" s="39">
        <v>1</v>
      </c>
      <c r="Q59" s="34" t="str">
        <f>VLOOKUP(P59,Key!$E$2:$F$9,2,FALSE)</f>
        <v>Home</v>
      </c>
      <c r="R59" s="37" t="s">
        <v>208</v>
      </c>
      <c r="S59" s="32" t="s">
        <v>167</v>
      </c>
      <c r="T59" s="37" t="s">
        <v>168</v>
      </c>
      <c r="U59" s="32">
        <v>6</v>
      </c>
      <c r="V59" s="34" t="str">
        <f>VLOOKUP(U59,Key!$E$2:$F$9,2,FALSE)</f>
        <v>Leisure/Social</v>
      </c>
      <c r="W59" s="34" t="str">
        <f t="shared" si="1"/>
        <v>Home-Leisure/Social</v>
      </c>
      <c r="X59" s="47">
        <v>20000</v>
      </c>
      <c r="Y59" s="38">
        <v>50</v>
      </c>
      <c r="Z59" s="38">
        <v>1</v>
      </c>
      <c r="AA59" s="32">
        <v>4</v>
      </c>
      <c r="AB59" s="34" t="str">
        <f>VLOOKUP(AA59,Key!$C$20:$D$29,2,FALSE)</f>
        <v>Office Worker</v>
      </c>
      <c r="AC59" s="32">
        <v>2</v>
      </c>
      <c r="AD59" s="34" t="str">
        <f>VLOOKUP(AC59,Key!$E$20:$F$24,2,FALSE)</f>
        <v>300,000-500,000</v>
      </c>
      <c r="AE59" s="32">
        <v>1</v>
      </c>
      <c r="AF59" s="55">
        <v>1</v>
      </c>
      <c r="AG59" s="55">
        <v>1</v>
      </c>
      <c r="AH59" s="55">
        <v>1</v>
      </c>
      <c r="AI59" s="55">
        <v>2</v>
      </c>
      <c r="AJ59" s="39" t="s">
        <v>104</v>
      </c>
      <c r="AK59" s="40">
        <v>2000</v>
      </c>
      <c r="AL59" s="24"/>
      <c r="AM59" s="24"/>
    </row>
    <row r="60" spans="2:39" hidden="1" x14ac:dyDescent="0.2">
      <c r="B60" s="50">
        <v>43687</v>
      </c>
      <c r="C60" s="35">
        <v>0.36458333333333331</v>
      </c>
      <c r="D60" s="35"/>
      <c r="E60" s="35" t="s">
        <v>111</v>
      </c>
      <c r="F60" s="37">
        <v>2</v>
      </c>
      <c r="G60" s="42" t="str">
        <f>VLOOKUP(F60,Key!$A$17:$B$21,2,FALSE)</f>
        <v>Road Vehicle</v>
      </c>
      <c r="H60" s="36">
        <v>1</v>
      </c>
      <c r="I60" s="43" t="str">
        <f>VLOOKUP(H60,Key!$A$2:$B$13,2,FALSE)</f>
        <v>Car</v>
      </c>
      <c r="J60" s="37" t="s">
        <v>166</v>
      </c>
      <c r="K60" s="37">
        <v>3</v>
      </c>
      <c r="L60" s="45" t="str">
        <f>VLOOKUP(K60,Key!$A$24:$B$29,2,FALSE)</f>
        <v>40-49</v>
      </c>
      <c r="M60" s="44" t="s">
        <v>207</v>
      </c>
      <c r="N60" s="44" t="s">
        <v>205</v>
      </c>
      <c r="O60" s="37" t="s">
        <v>168</v>
      </c>
      <c r="P60" s="39">
        <v>1</v>
      </c>
      <c r="Q60" s="34" t="str">
        <f>VLOOKUP(P60,Key!$E$2:$F$9,2,FALSE)</f>
        <v>Home</v>
      </c>
      <c r="R60" s="37" t="s">
        <v>208</v>
      </c>
      <c r="S60" s="32" t="s">
        <v>167</v>
      </c>
      <c r="T60" s="37" t="s">
        <v>168</v>
      </c>
      <c r="U60" s="32">
        <v>6</v>
      </c>
      <c r="V60" s="34" t="str">
        <f>VLOOKUP(U60,Key!$E$2:$F$9,2,FALSE)</f>
        <v>Leisure/Social</v>
      </c>
      <c r="W60" s="34" t="str">
        <f t="shared" si="1"/>
        <v>Home-Leisure/Social</v>
      </c>
      <c r="X60" s="47">
        <v>20000</v>
      </c>
      <c r="Y60" s="38">
        <v>50</v>
      </c>
      <c r="Z60" s="38">
        <v>1</v>
      </c>
      <c r="AA60" s="32">
        <v>4</v>
      </c>
      <c r="AB60" s="34" t="str">
        <f>VLOOKUP(AA60,Key!$C$20:$D$29,2,FALSE)</f>
        <v>Office Worker</v>
      </c>
      <c r="AC60" s="32">
        <v>4</v>
      </c>
      <c r="AD60" s="34" t="str">
        <f>VLOOKUP(AC60,Key!$E$20:$F$24,2,FALSE)</f>
        <v>750,000-1,000,000</v>
      </c>
      <c r="AE60" s="32">
        <v>1</v>
      </c>
      <c r="AF60" s="55">
        <v>1</v>
      </c>
      <c r="AG60" s="55">
        <v>1</v>
      </c>
      <c r="AH60" s="55">
        <v>1</v>
      </c>
      <c r="AI60" s="55">
        <v>2</v>
      </c>
      <c r="AJ60" s="39" t="s">
        <v>104</v>
      </c>
      <c r="AK60" s="40">
        <v>2000</v>
      </c>
      <c r="AL60" s="24"/>
      <c r="AM60" s="24"/>
    </row>
    <row r="61" spans="2:39" hidden="1" x14ac:dyDescent="0.2">
      <c r="B61" s="50">
        <v>43687</v>
      </c>
      <c r="C61" s="35">
        <v>0.34097222222222223</v>
      </c>
      <c r="D61" s="35"/>
      <c r="E61" s="35" t="s">
        <v>111</v>
      </c>
      <c r="F61" s="37">
        <v>2</v>
      </c>
      <c r="G61" s="42" t="str">
        <f>VLOOKUP(F61,Key!$A$17:$B$21,2,FALSE)</f>
        <v>Road Vehicle</v>
      </c>
      <c r="H61" s="36">
        <v>1</v>
      </c>
      <c r="I61" s="43" t="str">
        <f>VLOOKUP(H61,Key!$A$2:$B$13,2,FALSE)</f>
        <v>Car</v>
      </c>
      <c r="J61" s="37" t="s">
        <v>123</v>
      </c>
      <c r="K61" s="37">
        <v>2</v>
      </c>
      <c r="L61" s="45" t="str">
        <f>VLOOKUP(K61,Key!$A$24:$B$29,2,FALSE)</f>
        <v>30-39</v>
      </c>
      <c r="M61" s="37" t="s">
        <v>293</v>
      </c>
      <c r="N61" s="32" t="s">
        <v>167</v>
      </c>
      <c r="O61" s="37" t="s">
        <v>168</v>
      </c>
      <c r="P61" s="39">
        <v>1</v>
      </c>
      <c r="Q61" s="34" t="str">
        <f>VLOOKUP(P61,Key!$E$2:$F$9,2,FALSE)</f>
        <v>Home</v>
      </c>
      <c r="R61" s="37" t="s">
        <v>279</v>
      </c>
      <c r="S61" s="32" t="s">
        <v>190</v>
      </c>
      <c r="T61" s="37" t="s">
        <v>168</v>
      </c>
      <c r="U61" s="32">
        <v>6</v>
      </c>
      <c r="V61" s="34" t="str">
        <f>VLOOKUP(U61,Key!$E$2:$F$9,2,FALSE)</f>
        <v>Leisure/Social</v>
      </c>
      <c r="W61" s="34" t="str">
        <f t="shared" si="1"/>
        <v>Home-Leisure/Social</v>
      </c>
      <c r="X61" s="47">
        <v>50000</v>
      </c>
      <c r="Y61" s="38">
        <v>50</v>
      </c>
      <c r="Z61" s="38">
        <v>1</v>
      </c>
      <c r="AA61" s="32">
        <v>5</v>
      </c>
      <c r="AB61" s="34" t="str">
        <f>VLOOKUP(AA61,Key!$C$20:$D$29,2,FALSE)</f>
        <v>Professional</v>
      </c>
      <c r="AC61" s="32">
        <v>5</v>
      </c>
      <c r="AD61" s="34" t="str">
        <f>VLOOKUP(AC61,Key!$E$20:$F$24,2,FALSE)</f>
        <v>&gt;1,000,000</v>
      </c>
      <c r="AE61" s="32">
        <v>1</v>
      </c>
      <c r="AF61" s="55">
        <v>2</v>
      </c>
      <c r="AG61" s="55">
        <v>3</v>
      </c>
      <c r="AH61" s="55">
        <v>1</v>
      </c>
      <c r="AI61" s="55">
        <v>5</v>
      </c>
      <c r="AJ61" s="39" t="s">
        <v>104</v>
      </c>
      <c r="AK61" s="40"/>
      <c r="AL61" s="24"/>
      <c r="AM61" s="24"/>
    </row>
    <row r="62" spans="2:39" hidden="1" x14ac:dyDescent="0.2">
      <c r="B62" s="50">
        <v>43687</v>
      </c>
      <c r="C62" s="35">
        <v>0.35347222222222219</v>
      </c>
      <c r="D62" s="35"/>
      <c r="E62" s="35" t="s">
        <v>111</v>
      </c>
      <c r="F62" s="37">
        <v>2</v>
      </c>
      <c r="G62" s="42" t="str">
        <f>VLOOKUP(F62,Key!$A$17:$B$21,2,FALSE)</f>
        <v>Road Vehicle</v>
      </c>
      <c r="H62" s="36">
        <v>1</v>
      </c>
      <c r="I62" s="43" t="str">
        <f>VLOOKUP(H62,Key!$A$2:$B$13,2,FALSE)</f>
        <v>Car</v>
      </c>
      <c r="J62" s="37" t="s">
        <v>123</v>
      </c>
      <c r="K62" s="37">
        <v>1</v>
      </c>
      <c r="L62" s="45" t="str">
        <f>VLOOKUP(K62,Key!$A$24:$B$29,2,FALSE)</f>
        <v>20-29</v>
      </c>
      <c r="M62" s="44" t="s">
        <v>211</v>
      </c>
      <c r="N62" s="44" t="s">
        <v>167</v>
      </c>
      <c r="O62" s="37" t="s">
        <v>168</v>
      </c>
      <c r="P62" s="39">
        <v>6</v>
      </c>
      <c r="Q62" s="34" t="str">
        <f>VLOOKUP(P62,Key!$E$2:$F$9,2,FALSE)</f>
        <v>Leisure/Social</v>
      </c>
      <c r="R62" s="37" t="s">
        <v>212</v>
      </c>
      <c r="S62" s="32" t="s">
        <v>190</v>
      </c>
      <c r="T62" s="37" t="s">
        <v>168</v>
      </c>
      <c r="U62" s="32">
        <v>1</v>
      </c>
      <c r="V62" s="34" t="str">
        <f>VLOOKUP(U62,Key!$E$2:$F$9,2,FALSE)</f>
        <v>Home</v>
      </c>
      <c r="W62" s="34" t="str">
        <f t="shared" si="1"/>
        <v>Leisure/Social-Home</v>
      </c>
      <c r="X62" s="47">
        <v>20000</v>
      </c>
      <c r="Y62" s="38">
        <v>50</v>
      </c>
      <c r="Z62" s="38">
        <v>1.5</v>
      </c>
      <c r="AA62" s="32">
        <v>6</v>
      </c>
      <c r="AB62" s="34" t="str">
        <f>VLOOKUP(AA62,Key!$C$20:$D$29,2,FALSE)</f>
        <v>Businessman</v>
      </c>
      <c r="AC62" s="32">
        <v>2</v>
      </c>
      <c r="AD62" s="34" t="str">
        <f>VLOOKUP(AC62,Key!$E$20:$F$24,2,FALSE)</f>
        <v>300,000-500,000</v>
      </c>
      <c r="AE62" s="32">
        <v>1</v>
      </c>
      <c r="AF62" s="55">
        <v>1</v>
      </c>
      <c r="AG62" s="55">
        <v>1</v>
      </c>
      <c r="AH62" s="55">
        <v>1</v>
      </c>
      <c r="AI62" s="55">
        <v>1</v>
      </c>
      <c r="AJ62" s="39" t="s">
        <v>104</v>
      </c>
      <c r="AK62" s="40">
        <v>2000</v>
      </c>
      <c r="AL62" s="24"/>
      <c r="AM62" s="24"/>
    </row>
    <row r="63" spans="2:39" hidden="1" x14ac:dyDescent="0.2">
      <c r="B63" s="50">
        <v>43687</v>
      </c>
      <c r="C63" s="35">
        <v>0.36458333333333331</v>
      </c>
      <c r="D63" s="35"/>
      <c r="E63" s="35" t="s">
        <v>111</v>
      </c>
      <c r="F63" s="37">
        <v>2</v>
      </c>
      <c r="G63" s="42" t="str">
        <f>VLOOKUP(F63,Key!$A$17:$B$21,2,FALSE)</f>
        <v>Road Vehicle</v>
      </c>
      <c r="H63" s="36">
        <v>1</v>
      </c>
      <c r="I63" s="43" t="str">
        <f>VLOOKUP(H63,Key!$A$2:$B$13,2,FALSE)</f>
        <v>Car</v>
      </c>
      <c r="J63" s="37" t="s">
        <v>123</v>
      </c>
      <c r="K63" s="37">
        <v>1</v>
      </c>
      <c r="L63" s="45" t="str">
        <f>VLOOKUP(K63,Key!$A$24:$B$29,2,FALSE)</f>
        <v>20-29</v>
      </c>
      <c r="M63" s="37" t="s">
        <v>211</v>
      </c>
      <c r="N63" s="32" t="s">
        <v>167</v>
      </c>
      <c r="O63" s="37" t="s">
        <v>168</v>
      </c>
      <c r="P63" s="39">
        <v>1</v>
      </c>
      <c r="Q63" s="34" t="str">
        <f>VLOOKUP(P63,Key!$E$2:$F$9,2,FALSE)</f>
        <v>Home</v>
      </c>
      <c r="R63" s="37" t="s">
        <v>274</v>
      </c>
      <c r="S63" s="32" t="s">
        <v>190</v>
      </c>
      <c r="T63" s="37" t="s">
        <v>168</v>
      </c>
      <c r="U63" s="32">
        <v>6</v>
      </c>
      <c r="V63" s="34" t="str">
        <f>VLOOKUP(U63,Key!$E$2:$F$9,2,FALSE)</f>
        <v>Leisure/Social</v>
      </c>
      <c r="W63" s="34" t="str">
        <f t="shared" si="1"/>
        <v>Home-Leisure/Social</v>
      </c>
      <c r="X63" s="47">
        <v>20000</v>
      </c>
      <c r="Y63" s="38">
        <v>50</v>
      </c>
      <c r="Z63" s="38">
        <v>1.5</v>
      </c>
      <c r="AA63" s="32">
        <v>6</v>
      </c>
      <c r="AB63" s="34" t="str">
        <f>VLOOKUP(AA63,Key!$C$20:$D$29,2,FALSE)</f>
        <v>Businessman</v>
      </c>
      <c r="AC63" s="32">
        <v>2</v>
      </c>
      <c r="AD63" s="34" t="str">
        <f>VLOOKUP(AC63,Key!$E$20:$F$24,2,FALSE)</f>
        <v>300,000-500,000</v>
      </c>
      <c r="AE63" s="32">
        <v>1</v>
      </c>
      <c r="AF63" s="55">
        <v>1</v>
      </c>
      <c r="AG63" s="55">
        <v>1</v>
      </c>
      <c r="AH63" s="55">
        <v>1</v>
      </c>
      <c r="AI63" s="55">
        <v>1</v>
      </c>
      <c r="AJ63" s="39" t="s">
        <v>104</v>
      </c>
      <c r="AK63" s="40"/>
      <c r="AL63" s="24"/>
      <c r="AM63" s="24"/>
    </row>
    <row r="64" spans="2:39" hidden="1" x14ac:dyDescent="0.2">
      <c r="B64" s="50">
        <v>43687</v>
      </c>
      <c r="C64" s="35">
        <v>0.47222222222222227</v>
      </c>
      <c r="D64" s="35"/>
      <c r="E64" s="35" t="s">
        <v>111</v>
      </c>
      <c r="F64" s="37">
        <v>2</v>
      </c>
      <c r="G64" s="42" t="str">
        <f>VLOOKUP(F64,Key!$A$17:$B$21,2,FALSE)</f>
        <v>Road Vehicle</v>
      </c>
      <c r="H64" s="36">
        <v>1</v>
      </c>
      <c r="I64" s="43" t="str">
        <f>VLOOKUP(H64,Key!$A$2:$B$13,2,FALSE)</f>
        <v>Car</v>
      </c>
      <c r="J64" s="37" t="s">
        <v>123</v>
      </c>
      <c r="K64" s="37">
        <v>1</v>
      </c>
      <c r="L64" s="45" t="str">
        <f>VLOOKUP(K64,Key!$A$24:$B$29,2,FALSE)</f>
        <v>20-29</v>
      </c>
      <c r="M64" s="37" t="s">
        <v>211</v>
      </c>
      <c r="N64" s="32" t="s">
        <v>167</v>
      </c>
      <c r="O64" s="37" t="s">
        <v>168</v>
      </c>
      <c r="P64" s="39">
        <v>1</v>
      </c>
      <c r="Q64" s="34" t="str">
        <f>VLOOKUP(P64,Key!$E$2:$F$9,2,FALSE)</f>
        <v>Home</v>
      </c>
      <c r="R64" s="37" t="s">
        <v>214</v>
      </c>
      <c r="S64" s="32" t="s">
        <v>205</v>
      </c>
      <c r="T64" s="37" t="s">
        <v>168</v>
      </c>
      <c r="U64" s="32">
        <v>7</v>
      </c>
      <c r="V64" s="34" t="str">
        <f>VLOOKUP(U64,Key!$E$2:$F$9,2,FALSE)</f>
        <v>Hospital</v>
      </c>
      <c r="W64" s="34" t="str">
        <f t="shared" si="1"/>
        <v>Home-Hospital</v>
      </c>
      <c r="X64" s="47">
        <v>30000</v>
      </c>
      <c r="Y64" s="38">
        <v>50</v>
      </c>
      <c r="Z64" s="38">
        <v>1.5</v>
      </c>
      <c r="AA64" s="32">
        <v>3</v>
      </c>
      <c r="AB64" s="34" t="str">
        <f>VLOOKUP(AA64,Key!$C$20:$D$29,2,FALSE)</f>
        <v>Artisan/Domestic</v>
      </c>
      <c r="AC64" s="32">
        <v>2</v>
      </c>
      <c r="AD64" s="34" t="str">
        <f>VLOOKUP(AC64,Key!$E$20:$F$24,2,FALSE)</f>
        <v>300,000-500,000</v>
      </c>
      <c r="AE64" s="32">
        <v>1</v>
      </c>
      <c r="AF64" s="55">
        <v>1</v>
      </c>
      <c r="AG64" s="55">
        <v>1</v>
      </c>
      <c r="AH64" s="55">
        <v>1</v>
      </c>
      <c r="AI64" s="55">
        <v>1</v>
      </c>
      <c r="AJ64" s="39" t="s">
        <v>104</v>
      </c>
      <c r="AK64" s="40">
        <v>2000</v>
      </c>
      <c r="AL64" s="24"/>
      <c r="AM64" s="24"/>
    </row>
    <row r="65" spans="2:39" hidden="1" x14ac:dyDescent="0.2">
      <c r="B65" s="50">
        <v>43687</v>
      </c>
      <c r="C65" s="35">
        <v>0.50347222222222221</v>
      </c>
      <c r="D65" s="35"/>
      <c r="E65" s="35" t="s">
        <v>111</v>
      </c>
      <c r="F65" s="37">
        <v>2</v>
      </c>
      <c r="G65" s="42" t="str">
        <f>VLOOKUP(F65,Key!$A$17:$B$21,2,FALSE)</f>
        <v>Road Vehicle</v>
      </c>
      <c r="H65" s="36">
        <v>1</v>
      </c>
      <c r="I65" s="43" t="str">
        <f>VLOOKUP(H65,Key!$A$2:$B$13,2,FALSE)</f>
        <v>Car</v>
      </c>
      <c r="J65" s="37" t="s">
        <v>123</v>
      </c>
      <c r="K65" s="37">
        <v>2</v>
      </c>
      <c r="L65" s="45" t="str">
        <f>VLOOKUP(K65,Key!$A$24:$B$29,2,FALSE)</f>
        <v>30-39</v>
      </c>
      <c r="M65" s="37" t="s">
        <v>291</v>
      </c>
      <c r="N65" s="32" t="s">
        <v>190</v>
      </c>
      <c r="O65" s="37" t="s">
        <v>168</v>
      </c>
      <c r="P65" s="39">
        <v>1</v>
      </c>
      <c r="Q65" s="34" t="str">
        <f>VLOOKUP(P65,Key!$E$2:$F$9,2,FALSE)</f>
        <v>Home</v>
      </c>
      <c r="R65" s="37" t="s">
        <v>292</v>
      </c>
      <c r="S65" s="32" t="s">
        <v>167</v>
      </c>
      <c r="T65" s="37" t="s">
        <v>168</v>
      </c>
      <c r="U65" s="32">
        <v>6</v>
      </c>
      <c r="V65" s="34" t="str">
        <f>VLOOKUP(U65,Key!$E$2:$F$9,2,FALSE)</f>
        <v>Leisure/Social</v>
      </c>
      <c r="W65" s="34" t="str">
        <f t="shared" si="1"/>
        <v>Home-Leisure/Social</v>
      </c>
      <c r="X65" s="47">
        <v>40000</v>
      </c>
      <c r="Y65" s="38">
        <v>50</v>
      </c>
      <c r="Z65" s="38">
        <v>1.5</v>
      </c>
      <c r="AA65" s="32">
        <v>4</v>
      </c>
      <c r="AB65" s="34" t="str">
        <f>VLOOKUP(AA65,Key!$C$20:$D$29,2,FALSE)</f>
        <v>Office Worker</v>
      </c>
      <c r="AC65" s="32">
        <v>5</v>
      </c>
      <c r="AD65" s="34" t="str">
        <f>VLOOKUP(AC65,Key!$E$20:$F$24,2,FALSE)</f>
        <v>&gt;1,000,000</v>
      </c>
      <c r="AE65" s="32">
        <v>1</v>
      </c>
      <c r="AF65" s="55">
        <v>1</v>
      </c>
      <c r="AG65" s="55">
        <v>1</v>
      </c>
      <c r="AH65" s="55">
        <v>1</v>
      </c>
      <c r="AI65" s="55">
        <v>1</v>
      </c>
      <c r="AJ65" s="39" t="s">
        <v>104</v>
      </c>
      <c r="AK65" s="40">
        <v>5000</v>
      </c>
      <c r="AL65" s="24"/>
      <c r="AM65" s="24"/>
    </row>
    <row r="66" spans="2:39" hidden="1" x14ac:dyDescent="0.2">
      <c r="B66" s="50">
        <v>43687</v>
      </c>
      <c r="C66" s="35">
        <v>0.64027777777777783</v>
      </c>
      <c r="D66" s="35"/>
      <c r="E66" s="35" t="s">
        <v>111</v>
      </c>
      <c r="F66" s="37">
        <v>2</v>
      </c>
      <c r="G66" s="42" t="str">
        <f>VLOOKUP(F66,Key!$A$17:$B$21,2,FALSE)</f>
        <v>Road Vehicle</v>
      </c>
      <c r="H66" s="36">
        <v>1</v>
      </c>
      <c r="I66" s="43" t="str">
        <f>VLOOKUP(H66,Key!$A$2:$B$13,2,FALSE)</f>
        <v>Car</v>
      </c>
      <c r="J66" s="37" t="s">
        <v>123</v>
      </c>
      <c r="K66" s="37">
        <v>3</v>
      </c>
      <c r="L66" s="45" t="str">
        <f>VLOOKUP(K66,Key!$A$24:$B$29,2,FALSE)</f>
        <v>40-49</v>
      </c>
      <c r="M66" s="37" t="s">
        <v>189</v>
      </c>
      <c r="N66" s="32" t="s">
        <v>190</v>
      </c>
      <c r="O66" s="37" t="s">
        <v>168</v>
      </c>
      <c r="P66" s="39">
        <v>1</v>
      </c>
      <c r="Q66" s="34" t="str">
        <f>VLOOKUP(P66,Key!$E$2:$F$9,2,FALSE)</f>
        <v>Home</v>
      </c>
      <c r="R66" s="37" t="s">
        <v>216</v>
      </c>
      <c r="S66" s="32" t="s">
        <v>167</v>
      </c>
      <c r="T66" s="37" t="s">
        <v>168</v>
      </c>
      <c r="U66" s="32">
        <v>6</v>
      </c>
      <c r="V66" s="34" t="str">
        <f>VLOOKUP(U66,Key!$E$2:$F$9,2,FALSE)</f>
        <v>Leisure/Social</v>
      </c>
      <c r="W66" s="34" t="str">
        <f t="shared" si="1"/>
        <v>Home-Leisure/Social</v>
      </c>
      <c r="X66" s="47">
        <v>30000</v>
      </c>
      <c r="Y66" s="38">
        <v>50</v>
      </c>
      <c r="Z66" s="38">
        <v>1.5</v>
      </c>
      <c r="AA66" s="32">
        <v>5</v>
      </c>
      <c r="AB66" s="34" t="str">
        <f>VLOOKUP(AA66,Key!$C$20:$D$29,2,FALSE)</f>
        <v>Professional</v>
      </c>
      <c r="AC66" s="32">
        <v>5</v>
      </c>
      <c r="AD66" s="34" t="str">
        <f>VLOOKUP(AC66,Key!$E$20:$F$24,2,FALSE)</f>
        <v>&gt;1,000,000</v>
      </c>
      <c r="AE66" s="32">
        <v>1</v>
      </c>
      <c r="AF66" s="55">
        <v>1</v>
      </c>
      <c r="AG66" s="55">
        <v>1</v>
      </c>
      <c r="AH66" s="55">
        <v>1</v>
      </c>
      <c r="AI66" s="55">
        <v>3</v>
      </c>
      <c r="AJ66" s="39" t="s">
        <v>104</v>
      </c>
      <c r="AK66" s="40">
        <v>2000</v>
      </c>
      <c r="AL66" s="24"/>
      <c r="AM66" s="24"/>
    </row>
    <row r="67" spans="2:39" hidden="1" x14ac:dyDescent="0.2">
      <c r="B67" s="50">
        <v>43687</v>
      </c>
      <c r="C67" s="35">
        <v>0.60277777777777775</v>
      </c>
      <c r="D67" s="35"/>
      <c r="E67" s="35" t="s">
        <v>111</v>
      </c>
      <c r="F67" s="37">
        <v>2</v>
      </c>
      <c r="G67" s="42" t="str">
        <f>VLOOKUP(F67,Key!$A$17:$B$21,2,FALSE)</f>
        <v>Road Vehicle</v>
      </c>
      <c r="H67" s="36">
        <v>1</v>
      </c>
      <c r="I67" s="43" t="str">
        <f>VLOOKUP(H67,Key!$A$2:$B$13,2,FALSE)</f>
        <v>Car</v>
      </c>
      <c r="J67" s="37" t="s">
        <v>166</v>
      </c>
      <c r="K67" s="37">
        <v>2</v>
      </c>
      <c r="L67" s="45" t="str">
        <f>VLOOKUP(K67,Key!$A$24:$B$29,2,FALSE)</f>
        <v>30-39</v>
      </c>
      <c r="M67" s="37" t="s">
        <v>251</v>
      </c>
      <c r="N67" s="32" t="s">
        <v>251</v>
      </c>
      <c r="O67" s="37" t="s">
        <v>168</v>
      </c>
      <c r="P67" s="39">
        <v>1</v>
      </c>
      <c r="Q67" s="34" t="str">
        <f>VLOOKUP(P67,Key!$E$2:$F$9,2,FALSE)</f>
        <v>Home</v>
      </c>
      <c r="R67" s="37" t="s">
        <v>235</v>
      </c>
      <c r="S67" s="32" t="s">
        <v>167</v>
      </c>
      <c r="T67" s="37" t="s">
        <v>168</v>
      </c>
      <c r="U67" s="32">
        <v>7</v>
      </c>
      <c r="V67" s="34" t="str">
        <f>VLOOKUP(U67,Key!$E$2:$F$9,2,FALSE)</f>
        <v>Hospital</v>
      </c>
      <c r="W67" s="34" t="str">
        <f t="shared" si="1"/>
        <v>Home-Hospital</v>
      </c>
      <c r="X67" s="47">
        <v>30000</v>
      </c>
      <c r="Y67" s="38">
        <v>50</v>
      </c>
      <c r="Z67" s="38">
        <v>2</v>
      </c>
      <c r="AA67" s="32">
        <v>6</v>
      </c>
      <c r="AB67" s="34" t="str">
        <f>VLOOKUP(AA67,Key!$C$20:$D$29,2,FALSE)</f>
        <v>Businessman</v>
      </c>
      <c r="AC67" s="32">
        <v>2</v>
      </c>
      <c r="AD67" s="34" t="str">
        <f>VLOOKUP(AC67,Key!$E$20:$F$24,2,FALSE)</f>
        <v>300,000-500,000</v>
      </c>
      <c r="AE67" s="32">
        <v>1</v>
      </c>
      <c r="AF67" s="55">
        <v>2</v>
      </c>
      <c r="AG67" s="55">
        <v>1</v>
      </c>
      <c r="AH67" s="55">
        <v>1</v>
      </c>
      <c r="AI67" s="55">
        <v>2</v>
      </c>
      <c r="AJ67" s="39" t="s">
        <v>104</v>
      </c>
      <c r="AK67" s="40">
        <v>1000</v>
      </c>
      <c r="AL67" s="24"/>
      <c r="AM67" s="24"/>
    </row>
    <row r="68" spans="2:39" hidden="1" x14ac:dyDescent="0.2">
      <c r="B68" s="50">
        <v>43687</v>
      </c>
      <c r="C68" s="35">
        <v>0.72916666666666663</v>
      </c>
      <c r="D68" s="35"/>
      <c r="E68" s="35" t="s">
        <v>111</v>
      </c>
      <c r="F68" s="37">
        <v>2</v>
      </c>
      <c r="G68" s="42" t="str">
        <f>VLOOKUP(F68,Key!$A$17:$B$21,2,FALSE)</f>
        <v>Road Vehicle</v>
      </c>
      <c r="H68" s="36">
        <v>1</v>
      </c>
      <c r="I68" s="43" t="str">
        <f>VLOOKUP(H68,Key!$A$2:$B$13,2,FALSE)</f>
        <v>Car</v>
      </c>
      <c r="J68" s="37" t="s">
        <v>166</v>
      </c>
      <c r="K68" s="37">
        <v>3</v>
      </c>
      <c r="L68" s="45" t="str">
        <f>VLOOKUP(K68,Key!$A$24:$B$29,2,FALSE)</f>
        <v>40-49</v>
      </c>
      <c r="M68" s="37" t="s">
        <v>31</v>
      </c>
      <c r="N68" s="32" t="s">
        <v>190</v>
      </c>
      <c r="O68" s="37" t="s">
        <v>168</v>
      </c>
      <c r="P68" s="39">
        <v>6</v>
      </c>
      <c r="Q68" s="34" t="str">
        <f>VLOOKUP(P68,Key!$E$2:$F$9,2,FALSE)</f>
        <v>Leisure/Social</v>
      </c>
      <c r="R68" s="37" t="s">
        <v>211</v>
      </c>
      <c r="S68" s="32" t="s">
        <v>167</v>
      </c>
      <c r="T68" s="37" t="s">
        <v>168</v>
      </c>
      <c r="U68" s="32">
        <v>1</v>
      </c>
      <c r="V68" s="34" t="str">
        <f>VLOOKUP(U68,Key!$E$2:$F$9,2,FALSE)</f>
        <v>Home</v>
      </c>
      <c r="W68" s="34" t="str">
        <f t="shared" si="1"/>
        <v>Leisure/Social-Home</v>
      </c>
      <c r="X68" s="47">
        <v>50000</v>
      </c>
      <c r="Y68" s="38">
        <v>50</v>
      </c>
      <c r="Z68" s="38">
        <v>3</v>
      </c>
      <c r="AA68" s="32">
        <v>4</v>
      </c>
      <c r="AB68" s="34" t="str">
        <f>VLOOKUP(AA68,Key!$C$20:$D$29,2,FALSE)</f>
        <v>Office Worker</v>
      </c>
      <c r="AC68" s="32">
        <v>2</v>
      </c>
      <c r="AD68" s="34" t="str">
        <f>VLOOKUP(AC68,Key!$E$20:$F$24,2,FALSE)</f>
        <v>300,000-500,000</v>
      </c>
      <c r="AE68" s="32">
        <v>1</v>
      </c>
      <c r="AF68" s="55">
        <v>1</v>
      </c>
      <c r="AG68" s="55">
        <v>2</v>
      </c>
      <c r="AH68" s="55">
        <v>1</v>
      </c>
      <c r="AI68" s="55">
        <v>1</v>
      </c>
      <c r="AJ68" s="39" t="s">
        <v>104</v>
      </c>
      <c r="AK68" s="40">
        <v>1000</v>
      </c>
      <c r="AL68" s="24"/>
      <c r="AM68" s="24"/>
    </row>
    <row r="69" spans="2:39" x14ac:dyDescent="0.2">
      <c r="B69" s="50">
        <v>43686</v>
      </c>
      <c r="C69" s="35">
        <v>0.66180555555555554</v>
      </c>
      <c r="D69" s="35"/>
      <c r="E69" s="35" t="s">
        <v>111</v>
      </c>
      <c r="F69" s="37">
        <v>2</v>
      </c>
      <c r="G69" s="42" t="str">
        <f>VLOOKUP(F69,Key!$A$17:$B$21,2,FALSE)</f>
        <v>Road Vehicle</v>
      </c>
      <c r="H69" s="36">
        <v>1</v>
      </c>
      <c r="I69" s="43" t="str">
        <f>VLOOKUP(H69,Key!$A$2:$B$13,2,FALSE)</f>
        <v>Car</v>
      </c>
      <c r="J69" s="37" t="s">
        <v>166</v>
      </c>
      <c r="K69" s="37">
        <v>1</v>
      </c>
      <c r="L69" s="45" t="str">
        <f>VLOOKUP(K69,Key!$A$24:$B$29,2,FALSE)</f>
        <v>20-29</v>
      </c>
      <c r="M69" s="37" t="s">
        <v>335</v>
      </c>
      <c r="N69" s="32" t="s">
        <v>188</v>
      </c>
      <c r="O69" s="37" t="s">
        <v>168</v>
      </c>
      <c r="P69" s="39">
        <v>1</v>
      </c>
      <c r="Q69" s="34" t="str">
        <f>VLOOKUP(P69,Key!$E$2:$F$9,2,FALSE)</f>
        <v>Home</v>
      </c>
      <c r="R69" s="37" t="s">
        <v>282</v>
      </c>
      <c r="S69" s="32" t="s">
        <v>167</v>
      </c>
      <c r="T69" s="37" t="s">
        <v>168</v>
      </c>
      <c r="U69" s="32">
        <v>5</v>
      </c>
      <c r="V69" s="34" t="str">
        <f>VLOOKUP(U69,Key!$E$2:$F$9,2,FALSE)</f>
        <v>Tourism</v>
      </c>
      <c r="W69" s="34" t="str">
        <f t="shared" ref="W69:W100" si="2">Q69&amp;"-"&amp;V69</f>
        <v>Home-Tourism</v>
      </c>
      <c r="X69" s="47">
        <v>60000</v>
      </c>
      <c r="Y69" s="38">
        <v>100</v>
      </c>
      <c r="Z69" s="38">
        <v>3</v>
      </c>
      <c r="AA69" s="32">
        <v>4</v>
      </c>
      <c r="AB69" s="34" t="str">
        <f>VLOOKUP(AA69,Key!$C$20:$D$29,2,FALSE)</f>
        <v>Office Worker</v>
      </c>
      <c r="AC69" s="32">
        <v>3</v>
      </c>
      <c r="AD69" s="34" t="str">
        <f>VLOOKUP(AC69,Key!$E$20:$F$24,2,FALSE)</f>
        <v>500,000-750,000</v>
      </c>
      <c r="AE69" s="32">
        <v>1</v>
      </c>
      <c r="AF69" s="55">
        <v>1</v>
      </c>
      <c r="AG69" s="55">
        <v>1</v>
      </c>
      <c r="AH69" s="55">
        <v>1</v>
      </c>
      <c r="AI69" s="55">
        <v>1</v>
      </c>
      <c r="AJ69" s="39" t="s">
        <v>104</v>
      </c>
      <c r="AK69" s="40">
        <v>2000</v>
      </c>
      <c r="AL69" s="24"/>
      <c r="AM69" s="24"/>
    </row>
    <row r="70" spans="2:39" x14ac:dyDescent="0.2">
      <c r="B70" s="50">
        <v>43686</v>
      </c>
      <c r="C70" s="35">
        <v>0.72569444444444453</v>
      </c>
      <c r="D70" s="35"/>
      <c r="E70" s="35" t="s">
        <v>111</v>
      </c>
      <c r="F70" s="37">
        <v>2</v>
      </c>
      <c r="G70" s="42" t="str">
        <f>VLOOKUP(F70,Key!$A$17:$B$21,2,FALSE)</f>
        <v>Road Vehicle</v>
      </c>
      <c r="H70" s="36">
        <v>1</v>
      </c>
      <c r="I70" s="43" t="str">
        <f>VLOOKUP(H70,Key!$A$2:$B$13,2,FALSE)</f>
        <v>Car</v>
      </c>
      <c r="J70" s="37" t="s">
        <v>166</v>
      </c>
      <c r="K70" s="37">
        <v>2</v>
      </c>
      <c r="L70" s="45" t="str">
        <f>VLOOKUP(K70,Key!$A$24:$B$29,2,FALSE)</f>
        <v>30-39</v>
      </c>
      <c r="M70" s="37" t="s">
        <v>208</v>
      </c>
      <c r="N70" s="32" t="s">
        <v>167</v>
      </c>
      <c r="O70" s="37" t="s">
        <v>168</v>
      </c>
      <c r="P70" s="39">
        <v>1</v>
      </c>
      <c r="Q70" s="34" t="str">
        <f>VLOOKUP(P70,Key!$E$2:$F$9,2,FALSE)</f>
        <v>Home</v>
      </c>
      <c r="R70" s="37" t="s">
        <v>212</v>
      </c>
      <c r="S70" s="32" t="s">
        <v>190</v>
      </c>
      <c r="T70" s="37" t="s">
        <v>168</v>
      </c>
      <c r="U70" s="32">
        <v>6</v>
      </c>
      <c r="V70" s="34" t="str">
        <f>VLOOKUP(U70,Key!$E$2:$F$9,2,FALSE)</f>
        <v>Leisure/Social</v>
      </c>
      <c r="W70" s="34" t="str">
        <f t="shared" si="2"/>
        <v>Home-Leisure/Social</v>
      </c>
      <c r="X70" s="47">
        <v>30000</v>
      </c>
      <c r="Y70" s="38">
        <v>60</v>
      </c>
      <c r="Z70" s="38">
        <v>1.5</v>
      </c>
      <c r="AA70" s="32">
        <v>5</v>
      </c>
      <c r="AB70" s="34" t="str">
        <f>VLOOKUP(AA70,Key!$C$20:$D$29,2,FALSE)</f>
        <v>Professional</v>
      </c>
      <c r="AC70" s="32">
        <v>5</v>
      </c>
      <c r="AD70" s="34" t="str">
        <f>VLOOKUP(AC70,Key!$E$20:$F$24,2,FALSE)</f>
        <v>&gt;1,000,000</v>
      </c>
      <c r="AE70" s="32">
        <v>1</v>
      </c>
      <c r="AF70" s="55">
        <v>1</v>
      </c>
      <c r="AG70" s="55">
        <v>1</v>
      </c>
      <c r="AH70" s="55">
        <v>1</v>
      </c>
      <c r="AI70" s="55">
        <v>1</v>
      </c>
      <c r="AJ70" s="39" t="s">
        <v>104</v>
      </c>
      <c r="AK70" s="40">
        <v>5000</v>
      </c>
      <c r="AL70" s="24"/>
      <c r="AM70" s="24"/>
    </row>
    <row r="71" spans="2:39" x14ac:dyDescent="0.2">
      <c r="B71" s="50">
        <v>43688</v>
      </c>
      <c r="C71" s="35">
        <v>0.34097222222222223</v>
      </c>
      <c r="D71" s="35"/>
      <c r="E71" s="35" t="s">
        <v>111</v>
      </c>
      <c r="F71" s="37">
        <v>2</v>
      </c>
      <c r="G71" s="42" t="str">
        <f>VLOOKUP(F71,Key!$A$17:$B$21,2,FALSE)</f>
        <v>Road Vehicle</v>
      </c>
      <c r="H71" s="36">
        <v>1</v>
      </c>
      <c r="I71" s="43" t="str">
        <f>VLOOKUP(H71,Key!$A$2:$B$13,2,FALSE)</f>
        <v>Car</v>
      </c>
      <c r="J71" s="37" t="s">
        <v>166</v>
      </c>
      <c r="K71" s="37">
        <v>2</v>
      </c>
      <c r="L71" s="45" t="str">
        <f>VLOOKUP(K71,Key!$A$24:$B$29,2,FALSE)</f>
        <v>30-39</v>
      </c>
      <c r="M71" s="37" t="s">
        <v>240</v>
      </c>
      <c r="N71" s="32" t="s">
        <v>240</v>
      </c>
      <c r="O71" s="37" t="s">
        <v>168</v>
      </c>
      <c r="P71" s="39">
        <v>6</v>
      </c>
      <c r="Q71" s="34" t="str">
        <f>VLOOKUP(P71,Key!$E$2:$F$9,2,FALSE)</f>
        <v>Leisure/Social</v>
      </c>
      <c r="R71" s="37" t="s">
        <v>216</v>
      </c>
      <c r="S71" s="32" t="s">
        <v>167</v>
      </c>
      <c r="T71" s="37" t="s">
        <v>168</v>
      </c>
      <c r="U71" s="32">
        <v>6</v>
      </c>
      <c r="V71" s="34" t="str">
        <f>VLOOKUP(U71,Key!$E$2:$F$9,2,FALSE)</f>
        <v>Leisure/Social</v>
      </c>
      <c r="W71" s="34" t="str">
        <f t="shared" si="2"/>
        <v>Leisure/Social-Leisure/Social</v>
      </c>
      <c r="X71" s="47">
        <v>30000</v>
      </c>
      <c r="Y71" s="38">
        <v>60</v>
      </c>
      <c r="Z71" s="38">
        <v>1.5</v>
      </c>
      <c r="AA71" s="32">
        <v>4</v>
      </c>
      <c r="AB71" s="34" t="str">
        <f>VLOOKUP(AA71,Key!$C$20:$D$29,2,FALSE)</f>
        <v>Office Worker</v>
      </c>
      <c r="AC71" s="32">
        <v>4</v>
      </c>
      <c r="AD71" s="34" t="str">
        <f>VLOOKUP(AC71,Key!$E$20:$F$24,2,FALSE)</f>
        <v>750,000-1,000,000</v>
      </c>
      <c r="AE71" s="32">
        <v>1</v>
      </c>
      <c r="AF71" s="55">
        <v>1</v>
      </c>
      <c r="AG71" s="55">
        <v>1</v>
      </c>
      <c r="AH71" s="55">
        <v>1</v>
      </c>
      <c r="AI71" s="55">
        <v>2</v>
      </c>
      <c r="AJ71" s="39" t="s">
        <v>104</v>
      </c>
      <c r="AK71" s="40">
        <v>2000</v>
      </c>
      <c r="AL71" s="24"/>
      <c r="AM71" s="24"/>
    </row>
    <row r="72" spans="2:39" x14ac:dyDescent="0.2">
      <c r="B72" s="50">
        <v>43689</v>
      </c>
      <c r="C72" s="35">
        <v>0.36458333333333331</v>
      </c>
      <c r="D72" s="35"/>
      <c r="E72" s="35" t="s">
        <v>111</v>
      </c>
      <c r="F72" s="37">
        <v>2</v>
      </c>
      <c r="G72" s="42" t="str">
        <f>VLOOKUP(F72,Key!$A$17:$B$21,2,FALSE)</f>
        <v>Road Vehicle</v>
      </c>
      <c r="H72" s="36">
        <v>1</v>
      </c>
      <c r="I72" s="43" t="str">
        <f>VLOOKUP(H72,Key!$A$2:$B$13,2,FALSE)</f>
        <v>Car</v>
      </c>
      <c r="J72" s="37" t="s">
        <v>166</v>
      </c>
      <c r="K72" s="37">
        <v>2</v>
      </c>
      <c r="L72" s="45" t="str">
        <f>VLOOKUP(K72,Key!$A$24:$B$29,2,FALSE)</f>
        <v>30-39</v>
      </c>
      <c r="M72" s="37" t="s">
        <v>190</v>
      </c>
      <c r="N72" s="32" t="s">
        <v>190</v>
      </c>
      <c r="O72" s="37" t="s">
        <v>168</v>
      </c>
      <c r="P72" s="39">
        <v>1</v>
      </c>
      <c r="Q72" s="34" t="str">
        <f>VLOOKUP(P72,Key!$E$2:$F$9,2,FALSE)</f>
        <v>Home</v>
      </c>
      <c r="R72" s="37" t="s">
        <v>329</v>
      </c>
      <c r="S72" s="32" t="s">
        <v>167</v>
      </c>
      <c r="T72" s="37" t="s">
        <v>168</v>
      </c>
      <c r="U72" s="32">
        <v>6</v>
      </c>
      <c r="V72" s="34" t="str">
        <f>VLOOKUP(U72,Key!$E$2:$F$9,2,FALSE)</f>
        <v>Leisure/Social</v>
      </c>
      <c r="W72" s="34" t="str">
        <f t="shared" si="2"/>
        <v>Home-Leisure/Social</v>
      </c>
      <c r="X72" s="47">
        <v>25000</v>
      </c>
      <c r="Y72" s="38">
        <v>60</v>
      </c>
      <c r="Z72" s="38">
        <v>2</v>
      </c>
      <c r="AA72" s="32">
        <v>5</v>
      </c>
      <c r="AB72" s="34" t="str">
        <f>VLOOKUP(AA72,Key!$C$20:$D$29,2,FALSE)</f>
        <v>Professional</v>
      </c>
      <c r="AC72" s="32">
        <v>4</v>
      </c>
      <c r="AD72" s="34" t="str">
        <f>VLOOKUP(AC72,Key!$E$20:$F$24,2,FALSE)</f>
        <v>750,000-1,000,000</v>
      </c>
      <c r="AE72" s="32">
        <v>1</v>
      </c>
      <c r="AF72" s="55">
        <v>3</v>
      </c>
      <c r="AG72" s="55">
        <v>4</v>
      </c>
      <c r="AH72" s="55">
        <v>2</v>
      </c>
      <c r="AI72" s="55">
        <v>5</v>
      </c>
      <c r="AJ72" s="39" t="s">
        <v>104</v>
      </c>
      <c r="AK72" s="40">
        <v>2000</v>
      </c>
      <c r="AL72" s="24"/>
      <c r="AM72" s="24"/>
    </row>
    <row r="73" spans="2:39" x14ac:dyDescent="0.2">
      <c r="B73" s="50">
        <v>43686</v>
      </c>
      <c r="C73" s="35">
        <v>0.73263888888888884</v>
      </c>
      <c r="D73" s="35"/>
      <c r="E73" s="35" t="s">
        <v>111</v>
      </c>
      <c r="F73" s="37">
        <v>2</v>
      </c>
      <c r="G73" s="42" t="str">
        <f>VLOOKUP(F73,Key!$A$17:$B$21,2,FALSE)</f>
        <v>Road Vehicle</v>
      </c>
      <c r="H73" s="36">
        <v>1</v>
      </c>
      <c r="I73" s="43" t="str">
        <f>VLOOKUP(H73,Key!$A$2:$B$13,2,FALSE)</f>
        <v>Car</v>
      </c>
      <c r="J73" s="37" t="s">
        <v>166</v>
      </c>
      <c r="K73" s="13">
        <v>2</v>
      </c>
      <c r="L73" s="45" t="str">
        <f>VLOOKUP(K73,Key!$A$24:$B$29,2,FALSE)</f>
        <v>30-39</v>
      </c>
      <c r="M73" s="44" t="s">
        <v>167</v>
      </c>
      <c r="N73" s="44" t="s">
        <v>167</v>
      </c>
      <c r="O73" s="37" t="s">
        <v>168</v>
      </c>
      <c r="P73" s="39">
        <v>2</v>
      </c>
      <c r="Q73" s="34" t="str">
        <f>VLOOKUP(P73,Key!$E$2:$F$9,2,FALSE)</f>
        <v>Work</v>
      </c>
      <c r="R73" s="37" t="s">
        <v>28</v>
      </c>
      <c r="S73" s="32" t="s">
        <v>188</v>
      </c>
      <c r="T73" s="37" t="s">
        <v>168</v>
      </c>
      <c r="U73" s="32">
        <v>4</v>
      </c>
      <c r="V73" s="34" t="str">
        <f>VLOOKUP(U73,Key!$E$2:$F$9,2,FALSE)</f>
        <v>Commercial</v>
      </c>
      <c r="W73" s="34" t="str">
        <f t="shared" si="2"/>
        <v>Work-Commercial</v>
      </c>
      <c r="X73" s="47">
        <v>40000</v>
      </c>
      <c r="Y73" s="38">
        <v>60</v>
      </c>
      <c r="Z73" s="38">
        <v>3</v>
      </c>
      <c r="AA73" s="32">
        <v>6</v>
      </c>
      <c r="AB73" s="34" t="str">
        <f>VLOOKUP(AA73,Key!$C$20:$D$29,2,FALSE)</f>
        <v>Businessman</v>
      </c>
      <c r="AC73" s="32">
        <v>2</v>
      </c>
      <c r="AD73" s="34" t="str">
        <f>VLOOKUP(AC73,Key!$E$20:$F$24,2,FALSE)</f>
        <v>300,000-500,000</v>
      </c>
      <c r="AE73" s="32">
        <v>1</v>
      </c>
      <c r="AF73" s="55">
        <v>2</v>
      </c>
      <c r="AG73" s="55">
        <v>1</v>
      </c>
      <c r="AH73" s="55">
        <v>1</v>
      </c>
      <c r="AI73" s="55">
        <v>1</v>
      </c>
      <c r="AJ73" s="39" t="s">
        <v>104</v>
      </c>
      <c r="AK73" s="40">
        <v>1000</v>
      </c>
      <c r="AL73" s="24"/>
      <c r="AM73" s="24"/>
    </row>
    <row r="74" spans="2:39" x14ac:dyDescent="0.2">
      <c r="B74" s="50">
        <v>43686</v>
      </c>
      <c r="C74" s="35">
        <v>0.53402777777777777</v>
      </c>
      <c r="D74" s="35"/>
      <c r="E74" s="35" t="s">
        <v>111</v>
      </c>
      <c r="F74" s="37">
        <v>2</v>
      </c>
      <c r="G74" s="42" t="str">
        <f>VLOOKUP(F74,Key!$A$17:$B$21,2,FALSE)</f>
        <v>Road Vehicle</v>
      </c>
      <c r="H74" s="36">
        <v>1</v>
      </c>
      <c r="I74" s="43" t="str">
        <f>VLOOKUP(H74,Key!$A$2:$B$13,2,FALSE)</f>
        <v>Car</v>
      </c>
      <c r="J74" s="37" t="s">
        <v>166</v>
      </c>
      <c r="K74" s="37">
        <v>2</v>
      </c>
      <c r="L74" s="45" t="str">
        <f>VLOOKUP(K74,Key!$A$24:$B$29,2,FALSE)</f>
        <v>30-39</v>
      </c>
      <c r="M74" s="37" t="s">
        <v>28</v>
      </c>
      <c r="N74" s="32" t="s">
        <v>188</v>
      </c>
      <c r="O74" s="37" t="s">
        <v>168</v>
      </c>
      <c r="P74" s="39">
        <v>1</v>
      </c>
      <c r="Q74" s="34" t="str">
        <f>VLOOKUP(P74,Key!$E$2:$F$9,2,FALSE)</f>
        <v>Home</v>
      </c>
      <c r="R74" s="37" t="s">
        <v>167</v>
      </c>
      <c r="S74" s="32" t="s">
        <v>167</v>
      </c>
      <c r="T74" s="37" t="s">
        <v>168</v>
      </c>
      <c r="U74" s="32">
        <v>4</v>
      </c>
      <c r="V74" s="34" t="str">
        <f>VLOOKUP(U74,Key!$E$2:$F$9,2,FALSE)</f>
        <v>Commercial</v>
      </c>
      <c r="W74" s="34" t="str">
        <f t="shared" si="2"/>
        <v>Home-Commercial</v>
      </c>
      <c r="X74" s="47">
        <v>60000</v>
      </c>
      <c r="Y74" s="38">
        <v>65</v>
      </c>
      <c r="Z74" s="38">
        <v>3</v>
      </c>
      <c r="AA74" s="32">
        <v>5</v>
      </c>
      <c r="AB74" s="34" t="str">
        <f>VLOOKUP(AA74,Key!$C$20:$D$29,2,FALSE)</f>
        <v>Professional</v>
      </c>
      <c r="AC74" s="32">
        <v>3</v>
      </c>
      <c r="AD74" s="34" t="str">
        <f>VLOOKUP(AC74,Key!$E$20:$F$24,2,FALSE)</f>
        <v>500,000-750,000</v>
      </c>
      <c r="AE74" s="32">
        <v>3</v>
      </c>
      <c r="AF74" s="55">
        <v>3</v>
      </c>
      <c r="AG74" s="55">
        <v>2</v>
      </c>
      <c r="AH74" s="55">
        <v>2</v>
      </c>
      <c r="AI74" s="55">
        <v>2</v>
      </c>
      <c r="AJ74" s="39" t="s">
        <v>104</v>
      </c>
      <c r="AK74" s="40">
        <v>5000</v>
      </c>
      <c r="AL74" s="24"/>
      <c r="AM74" s="24"/>
    </row>
    <row r="75" spans="2:39" x14ac:dyDescent="0.2">
      <c r="B75" s="50">
        <v>43688</v>
      </c>
      <c r="C75" s="35">
        <v>0.59722222222222221</v>
      </c>
      <c r="D75" s="35"/>
      <c r="E75" s="35" t="s">
        <v>111</v>
      </c>
      <c r="F75" s="37">
        <v>2</v>
      </c>
      <c r="G75" s="42" t="str">
        <f>VLOOKUP(F75,Key!$A$17:$B$21,2,FALSE)</f>
        <v>Road Vehicle</v>
      </c>
      <c r="H75" s="36">
        <v>1</v>
      </c>
      <c r="I75" s="43" t="str">
        <f>VLOOKUP(H75,Key!$A$2:$B$13,2,FALSE)</f>
        <v>Car</v>
      </c>
      <c r="J75" s="37" t="s">
        <v>166</v>
      </c>
      <c r="K75" s="37">
        <v>2</v>
      </c>
      <c r="L75" s="45" t="str">
        <f>VLOOKUP(K75,Key!$A$24:$B$29,2,FALSE)</f>
        <v>30-39</v>
      </c>
      <c r="M75" s="37" t="s">
        <v>176</v>
      </c>
      <c r="N75" s="32" t="s">
        <v>176</v>
      </c>
      <c r="O75" s="37" t="s">
        <v>168</v>
      </c>
      <c r="P75" s="39">
        <v>2</v>
      </c>
      <c r="Q75" s="34" t="str">
        <f>VLOOKUP(P75,Key!$E$2:$F$9,2,FALSE)</f>
        <v>Work</v>
      </c>
      <c r="R75" s="37" t="s">
        <v>167</v>
      </c>
      <c r="S75" s="32" t="s">
        <v>167</v>
      </c>
      <c r="T75" s="37" t="s">
        <v>168</v>
      </c>
      <c r="U75" s="32">
        <v>4</v>
      </c>
      <c r="V75" s="34" t="str">
        <f>VLOOKUP(U75,Key!$E$2:$F$9,2,FALSE)</f>
        <v>Commercial</v>
      </c>
      <c r="W75" s="34" t="str">
        <f t="shared" si="2"/>
        <v>Work-Commercial</v>
      </c>
      <c r="X75" s="47">
        <v>40000</v>
      </c>
      <c r="Y75" s="38">
        <v>80</v>
      </c>
      <c r="Z75" s="38">
        <v>2</v>
      </c>
      <c r="AA75" s="32">
        <v>6</v>
      </c>
      <c r="AB75" s="34" t="str">
        <f>VLOOKUP(AA75,Key!$C$20:$D$29,2,FALSE)</f>
        <v>Businessman</v>
      </c>
      <c r="AC75" s="32">
        <v>4</v>
      </c>
      <c r="AD75" s="34" t="str">
        <f>VLOOKUP(AC75,Key!$E$20:$F$24,2,FALSE)</f>
        <v>750,000-1,000,000</v>
      </c>
      <c r="AE75" s="32">
        <v>1</v>
      </c>
      <c r="AF75" s="55">
        <v>3</v>
      </c>
      <c r="AG75" s="55">
        <v>4</v>
      </c>
      <c r="AH75" s="55">
        <v>2</v>
      </c>
      <c r="AI75" s="55">
        <v>5</v>
      </c>
      <c r="AJ75" s="39" t="s">
        <v>104</v>
      </c>
      <c r="AK75" s="40">
        <v>6000</v>
      </c>
      <c r="AL75" s="24"/>
      <c r="AM75" s="24"/>
    </row>
    <row r="76" spans="2:39" x14ac:dyDescent="0.2">
      <c r="B76" s="50">
        <v>43687</v>
      </c>
      <c r="C76" s="35">
        <v>0.57291666666666663</v>
      </c>
      <c r="D76" s="35"/>
      <c r="E76" s="35" t="s">
        <v>111</v>
      </c>
      <c r="F76" s="37">
        <v>2</v>
      </c>
      <c r="G76" s="42" t="str">
        <f>VLOOKUP(F76,Key!$A$17:$B$21,2,FALSE)</f>
        <v>Road Vehicle</v>
      </c>
      <c r="H76" s="36">
        <v>1</v>
      </c>
      <c r="I76" s="43" t="str">
        <f>VLOOKUP(H76,Key!$A$2:$B$13,2,FALSE)</f>
        <v>Car</v>
      </c>
      <c r="J76" s="37" t="s">
        <v>166</v>
      </c>
      <c r="K76" s="37">
        <v>2</v>
      </c>
      <c r="L76" s="45" t="str">
        <f>VLOOKUP(K76,Key!$A$24:$B$29,2,FALSE)</f>
        <v>30-39</v>
      </c>
      <c r="M76" s="37" t="s">
        <v>167</v>
      </c>
      <c r="N76" s="32" t="s">
        <v>167</v>
      </c>
      <c r="O76" s="37" t="s">
        <v>168</v>
      </c>
      <c r="P76" s="39">
        <v>1</v>
      </c>
      <c r="Q76" s="34" t="str">
        <f>VLOOKUP(P76,Key!$E$2:$F$9,2,FALSE)</f>
        <v>Home</v>
      </c>
      <c r="R76" s="37" t="s">
        <v>176</v>
      </c>
      <c r="S76" s="32" t="s">
        <v>176</v>
      </c>
      <c r="T76" s="37" t="s">
        <v>168</v>
      </c>
      <c r="U76" s="32">
        <v>4</v>
      </c>
      <c r="V76" s="34" t="str">
        <f>VLOOKUP(U76,Key!$E$2:$F$9,2,FALSE)</f>
        <v>Commercial</v>
      </c>
      <c r="W76" s="34" t="str">
        <f t="shared" si="2"/>
        <v>Home-Commercial</v>
      </c>
      <c r="X76" s="47">
        <v>45000</v>
      </c>
      <c r="Y76" s="38">
        <v>80</v>
      </c>
      <c r="Z76" s="38">
        <v>3</v>
      </c>
      <c r="AA76" s="32">
        <v>6</v>
      </c>
      <c r="AB76" s="34" t="str">
        <f>VLOOKUP(AA76,Key!$C$20:$D$29,2,FALSE)</f>
        <v>Businessman</v>
      </c>
      <c r="AC76" s="32">
        <v>3</v>
      </c>
      <c r="AD76" s="34" t="str">
        <f>VLOOKUP(AC76,Key!$E$20:$F$24,2,FALSE)</f>
        <v>500,000-750,000</v>
      </c>
      <c r="AE76" s="32">
        <v>3</v>
      </c>
      <c r="AF76" s="55">
        <v>3</v>
      </c>
      <c r="AG76" s="55">
        <v>2</v>
      </c>
      <c r="AH76" s="55">
        <v>3</v>
      </c>
      <c r="AI76" s="55">
        <v>3</v>
      </c>
      <c r="AJ76" s="39" t="s">
        <v>104</v>
      </c>
      <c r="AK76" s="40">
        <v>1000</v>
      </c>
      <c r="AL76" s="24"/>
      <c r="AM76" s="24"/>
    </row>
    <row r="77" spans="2:39" x14ac:dyDescent="0.2">
      <c r="B77" s="50">
        <v>43689</v>
      </c>
      <c r="C77" s="35">
        <v>0.58680555555555558</v>
      </c>
      <c r="D77" s="35"/>
      <c r="E77" s="35" t="s">
        <v>111</v>
      </c>
      <c r="F77" s="37">
        <v>2</v>
      </c>
      <c r="G77" s="42" t="str">
        <f>VLOOKUP(F77,Key!$A$17:$B$21,2,FALSE)</f>
        <v>Road Vehicle</v>
      </c>
      <c r="H77" s="36">
        <v>1</v>
      </c>
      <c r="I77" s="43" t="str">
        <f>VLOOKUP(H77,Key!$A$2:$B$13,2,FALSE)</f>
        <v>Car</v>
      </c>
      <c r="J77" s="37" t="s">
        <v>166</v>
      </c>
      <c r="K77" s="37">
        <v>2</v>
      </c>
      <c r="L77" s="45" t="str">
        <f>VLOOKUP(K77,Key!$A$24:$B$29,2,FALSE)</f>
        <v>30-39</v>
      </c>
      <c r="M77" s="37" t="s">
        <v>346</v>
      </c>
      <c r="N77" s="32" t="s">
        <v>170</v>
      </c>
      <c r="O77" s="37" t="s">
        <v>168</v>
      </c>
      <c r="P77" s="39">
        <v>2</v>
      </c>
      <c r="Q77" s="34" t="str">
        <f>VLOOKUP(P77,Key!$E$2:$F$9,2,FALSE)</f>
        <v>Work</v>
      </c>
      <c r="R77" s="37" t="s">
        <v>190</v>
      </c>
      <c r="S77" s="32" t="s">
        <v>190</v>
      </c>
      <c r="T77" s="37" t="s">
        <v>168</v>
      </c>
      <c r="U77" s="32">
        <v>6</v>
      </c>
      <c r="V77" s="34" t="str">
        <f>VLOOKUP(U77,Key!$E$2:$F$9,2,FALSE)</f>
        <v>Leisure/Social</v>
      </c>
      <c r="W77" s="34" t="str">
        <f t="shared" si="2"/>
        <v>Work-Leisure/Social</v>
      </c>
      <c r="X77" s="47">
        <v>70000</v>
      </c>
      <c r="Y77" s="38">
        <v>100</v>
      </c>
      <c r="Z77" s="38">
        <v>2.5</v>
      </c>
      <c r="AA77" s="32">
        <v>4</v>
      </c>
      <c r="AB77" s="34" t="str">
        <f>VLOOKUP(AA77,Key!$C$20:$D$29,2,FALSE)</f>
        <v>Office Worker</v>
      </c>
      <c r="AC77" s="32">
        <v>5</v>
      </c>
      <c r="AD77" s="34" t="str">
        <f>VLOOKUP(AC77,Key!$E$20:$F$24,2,FALSE)</f>
        <v>&gt;1,000,000</v>
      </c>
      <c r="AE77" s="32">
        <v>1</v>
      </c>
      <c r="AF77" s="55">
        <v>1</v>
      </c>
      <c r="AG77" s="55">
        <v>1</v>
      </c>
      <c r="AH77" s="55">
        <v>1</v>
      </c>
      <c r="AI77" s="55">
        <v>1</v>
      </c>
      <c r="AJ77" s="39" t="s">
        <v>104</v>
      </c>
      <c r="AK77" s="40">
        <v>2000</v>
      </c>
      <c r="AL77" s="24"/>
      <c r="AM77" s="24"/>
    </row>
    <row r="78" spans="2:39" x14ac:dyDescent="0.2">
      <c r="B78" s="50">
        <v>43686</v>
      </c>
      <c r="C78" s="35">
        <v>0.52152777777777781</v>
      </c>
      <c r="D78" s="35"/>
      <c r="E78" s="35" t="s">
        <v>111</v>
      </c>
      <c r="F78" s="37">
        <v>2</v>
      </c>
      <c r="G78" s="42" t="str">
        <f>VLOOKUP(F78,Key!$A$17:$B$21,2,FALSE)</f>
        <v>Road Vehicle</v>
      </c>
      <c r="H78" s="36">
        <v>1</v>
      </c>
      <c r="I78" s="43" t="str">
        <f>VLOOKUP(H78,Key!$A$2:$B$13,2,FALSE)</f>
        <v>Car</v>
      </c>
      <c r="J78" s="37" t="s">
        <v>166</v>
      </c>
      <c r="K78" s="37">
        <v>2</v>
      </c>
      <c r="L78" s="45" t="str">
        <f>VLOOKUP(K78,Key!$A$24:$B$29,2,FALSE)</f>
        <v>30-39</v>
      </c>
      <c r="M78" s="44" t="s">
        <v>173</v>
      </c>
      <c r="N78" s="44" t="s">
        <v>173</v>
      </c>
      <c r="O78" s="37" t="s">
        <v>168</v>
      </c>
      <c r="P78" s="39">
        <v>6</v>
      </c>
      <c r="Q78" s="34" t="str">
        <f>VLOOKUP(P78,Key!$E$2:$F$9,2,FALSE)</f>
        <v>Leisure/Social</v>
      </c>
      <c r="R78" s="37" t="s">
        <v>189</v>
      </c>
      <c r="S78" s="32" t="s">
        <v>190</v>
      </c>
      <c r="T78" s="37" t="s">
        <v>168</v>
      </c>
      <c r="U78" s="32">
        <v>1</v>
      </c>
      <c r="V78" s="34" t="str">
        <f>VLOOKUP(U78,Key!$E$2:$F$9,2,FALSE)</f>
        <v>Home</v>
      </c>
      <c r="W78" s="34" t="str">
        <f t="shared" si="2"/>
        <v>Leisure/Social-Home</v>
      </c>
      <c r="X78" s="47">
        <v>60000</v>
      </c>
      <c r="Y78" s="38">
        <v>100</v>
      </c>
      <c r="Z78" s="38">
        <v>3</v>
      </c>
      <c r="AA78" s="32">
        <v>5</v>
      </c>
      <c r="AB78" s="34" t="str">
        <f>VLOOKUP(AA78,Key!$C$20:$D$29,2,FALSE)</f>
        <v>Professional</v>
      </c>
      <c r="AC78" s="32">
        <v>5</v>
      </c>
      <c r="AD78" s="34" t="str">
        <f>VLOOKUP(AC78,Key!$E$20:$F$24,2,FALSE)</f>
        <v>&gt;1,000,000</v>
      </c>
      <c r="AE78" s="32">
        <v>1</v>
      </c>
      <c r="AF78" s="55">
        <v>1</v>
      </c>
      <c r="AG78" s="55">
        <v>1</v>
      </c>
      <c r="AH78" s="55">
        <v>1</v>
      </c>
      <c r="AI78" s="55">
        <v>1</v>
      </c>
      <c r="AJ78" s="39" t="s">
        <v>104</v>
      </c>
      <c r="AK78" s="40">
        <v>5000</v>
      </c>
      <c r="AL78" s="24"/>
      <c r="AM78" s="24"/>
    </row>
    <row r="79" spans="2:39" x14ac:dyDescent="0.2">
      <c r="B79" s="50">
        <v>43686</v>
      </c>
      <c r="C79" s="35">
        <v>0.53749999999999998</v>
      </c>
      <c r="D79" s="35"/>
      <c r="E79" s="35" t="s">
        <v>111</v>
      </c>
      <c r="F79" s="37">
        <v>2</v>
      </c>
      <c r="G79" s="42" t="str">
        <f>VLOOKUP(F79,Key!$A$17:$B$21,2,FALSE)</f>
        <v>Road Vehicle</v>
      </c>
      <c r="H79" s="36">
        <v>1</v>
      </c>
      <c r="I79" s="43" t="str">
        <f>VLOOKUP(H79,Key!$A$2:$B$13,2,FALSE)</f>
        <v>Car</v>
      </c>
      <c r="J79" s="37" t="s">
        <v>166</v>
      </c>
      <c r="K79" s="37">
        <v>2</v>
      </c>
      <c r="L79" s="45" t="str">
        <f>VLOOKUP(K79,Key!$A$24:$B$29,2,FALSE)</f>
        <v>30-39</v>
      </c>
      <c r="M79" s="37" t="s">
        <v>173</v>
      </c>
      <c r="N79" s="32" t="s">
        <v>173</v>
      </c>
      <c r="O79" s="37" t="s">
        <v>168</v>
      </c>
      <c r="P79" s="39">
        <v>6</v>
      </c>
      <c r="Q79" s="34" t="str">
        <f>VLOOKUP(P79,Key!$E$2:$F$9,2,FALSE)</f>
        <v>Leisure/Social</v>
      </c>
      <c r="R79" s="37" t="s">
        <v>189</v>
      </c>
      <c r="S79" s="32" t="s">
        <v>190</v>
      </c>
      <c r="T79" s="37" t="s">
        <v>168</v>
      </c>
      <c r="U79" s="32">
        <v>1</v>
      </c>
      <c r="V79" s="34" t="str">
        <f>VLOOKUP(U79,Key!$E$2:$F$9,2,FALSE)</f>
        <v>Home</v>
      </c>
      <c r="W79" s="34" t="str">
        <f t="shared" si="2"/>
        <v>Leisure/Social-Home</v>
      </c>
      <c r="X79" s="47">
        <v>50000</v>
      </c>
      <c r="Y79" s="38">
        <v>100</v>
      </c>
      <c r="Z79" s="38">
        <v>3</v>
      </c>
      <c r="AA79" s="32">
        <v>5</v>
      </c>
      <c r="AB79" s="34" t="str">
        <f>VLOOKUP(AA79,Key!$C$20:$D$29,2,FALSE)</f>
        <v>Professional</v>
      </c>
      <c r="AC79" s="32">
        <v>5</v>
      </c>
      <c r="AD79" s="34" t="str">
        <f>VLOOKUP(AC79,Key!$E$20:$F$24,2,FALSE)</f>
        <v>&gt;1,000,000</v>
      </c>
      <c r="AE79" s="32">
        <v>1</v>
      </c>
      <c r="AF79" s="55">
        <v>1</v>
      </c>
      <c r="AG79" s="55">
        <v>1</v>
      </c>
      <c r="AH79" s="55">
        <v>1</v>
      </c>
      <c r="AI79" s="55">
        <v>1</v>
      </c>
      <c r="AJ79" s="39" t="s">
        <v>104</v>
      </c>
      <c r="AK79" s="40">
        <v>5000</v>
      </c>
      <c r="AL79" s="24"/>
      <c r="AM79" s="24"/>
    </row>
    <row r="80" spans="2:39" x14ac:dyDescent="0.2">
      <c r="B80" s="50">
        <v>43688</v>
      </c>
      <c r="C80" s="35">
        <v>0.50763888888888886</v>
      </c>
      <c r="D80" s="35"/>
      <c r="E80" s="35" t="s">
        <v>111</v>
      </c>
      <c r="F80" s="37">
        <v>2</v>
      </c>
      <c r="G80" s="42" t="str">
        <f>VLOOKUP(F80,Key!$A$17:$B$21,2,FALSE)</f>
        <v>Road Vehicle</v>
      </c>
      <c r="H80" s="36">
        <v>1</v>
      </c>
      <c r="I80" s="43" t="str">
        <f>VLOOKUP(H80,Key!$A$2:$B$13,2,FALSE)</f>
        <v>Car</v>
      </c>
      <c r="J80" s="37" t="s">
        <v>166</v>
      </c>
      <c r="K80" s="37">
        <v>3</v>
      </c>
      <c r="L80" s="45" t="str">
        <f>VLOOKUP(K80,Key!$A$24:$B$29,2,FALSE)</f>
        <v>40-49</v>
      </c>
      <c r="M80" s="44" t="s">
        <v>187</v>
      </c>
      <c r="N80" s="44" t="s">
        <v>167</v>
      </c>
      <c r="O80" s="37" t="s">
        <v>168</v>
      </c>
      <c r="P80" s="39">
        <v>6</v>
      </c>
      <c r="Q80" s="34" t="str">
        <f>VLOOKUP(P80,Key!$E$2:$F$9,2,FALSE)</f>
        <v>Leisure/Social</v>
      </c>
      <c r="R80" s="37" t="s">
        <v>189</v>
      </c>
      <c r="S80" s="32" t="s">
        <v>190</v>
      </c>
      <c r="T80" s="37" t="s">
        <v>168</v>
      </c>
      <c r="U80" s="32">
        <v>1</v>
      </c>
      <c r="V80" s="34" t="str">
        <f>VLOOKUP(U80,Key!$E$2:$F$9,2,FALSE)</f>
        <v>Home</v>
      </c>
      <c r="W80" s="34" t="str">
        <f t="shared" si="2"/>
        <v>Leisure/Social-Home</v>
      </c>
      <c r="X80" s="47">
        <v>30000</v>
      </c>
      <c r="Y80" s="38">
        <v>60</v>
      </c>
      <c r="Z80" s="38">
        <v>1.5</v>
      </c>
      <c r="AA80" s="32">
        <v>5</v>
      </c>
      <c r="AB80" s="34" t="str">
        <f>VLOOKUP(AA80,Key!$C$20:$D$29,2,FALSE)</f>
        <v>Professional</v>
      </c>
      <c r="AC80" s="32">
        <v>4</v>
      </c>
      <c r="AD80" s="34" t="str">
        <f>VLOOKUP(AC80,Key!$E$20:$F$24,2,FALSE)</f>
        <v>750,000-1,000,000</v>
      </c>
      <c r="AE80" s="32">
        <v>1</v>
      </c>
      <c r="AF80" s="55">
        <v>1</v>
      </c>
      <c r="AG80" s="55">
        <v>1</v>
      </c>
      <c r="AH80" s="55">
        <v>1</v>
      </c>
      <c r="AI80" s="55">
        <v>1</v>
      </c>
      <c r="AJ80" s="39" t="s">
        <v>104</v>
      </c>
      <c r="AK80" s="40">
        <v>5000</v>
      </c>
      <c r="AL80" s="24"/>
      <c r="AM80" s="24"/>
    </row>
    <row r="81" spans="1:39" x14ac:dyDescent="0.2">
      <c r="B81" s="50">
        <v>43688</v>
      </c>
      <c r="C81" s="35">
        <v>0.73263888888888884</v>
      </c>
      <c r="D81" s="35"/>
      <c r="E81" s="35" t="s">
        <v>111</v>
      </c>
      <c r="F81" s="37">
        <v>2</v>
      </c>
      <c r="G81" s="42" t="str">
        <f>VLOOKUP(F81,Key!$A$17:$B$21,2,FALSE)</f>
        <v>Road Vehicle</v>
      </c>
      <c r="H81" s="36">
        <v>1</v>
      </c>
      <c r="I81" s="43" t="str">
        <f>VLOOKUP(H81,Key!$A$2:$B$13,2,FALSE)</f>
        <v>Car</v>
      </c>
      <c r="J81" s="37" t="s">
        <v>166</v>
      </c>
      <c r="K81" s="37">
        <v>3</v>
      </c>
      <c r="L81" s="45" t="str">
        <f>VLOOKUP(K81,Key!$A$24:$B$29,2,FALSE)</f>
        <v>40-49</v>
      </c>
      <c r="M81" s="44" t="s">
        <v>187</v>
      </c>
      <c r="N81" s="44" t="s">
        <v>167</v>
      </c>
      <c r="O81" s="37" t="s">
        <v>168</v>
      </c>
      <c r="P81" s="39">
        <v>6</v>
      </c>
      <c r="Q81" s="34" t="str">
        <f>VLOOKUP(P81,Key!$E$2:$F$9,2,FALSE)</f>
        <v>Leisure/Social</v>
      </c>
      <c r="R81" s="37" t="s">
        <v>189</v>
      </c>
      <c r="S81" s="32" t="s">
        <v>190</v>
      </c>
      <c r="T81" s="37" t="s">
        <v>168</v>
      </c>
      <c r="U81" s="32">
        <v>1</v>
      </c>
      <c r="V81" s="34" t="str">
        <f>VLOOKUP(U81,Key!$E$2:$F$9,2,FALSE)</f>
        <v>Home</v>
      </c>
      <c r="W81" s="34" t="str">
        <f t="shared" si="2"/>
        <v>Leisure/Social-Home</v>
      </c>
      <c r="X81" s="47">
        <v>30000</v>
      </c>
      <c r="Y81" s="38">
        <v>60</v>
      </c>
      <c r="Z81" s="38">
        <v>1.5</v>
      </c>
      <c r="AA81" s="32">
        <v>5</v>
      </c>
      <c r="AB81" s="34" t="str">
        <f>VLOOKUP(AA81,Key!$C$20:$D$29,2,FALSE)</f>
        <v>Professional</v>
      </c>
      <c r="AC81" s="32">
        <v>4</v>
      </c>
      <c r="AD81" s="34" t="str">
        <f>VLOOKUP(AC81,Key!$E$20:$F$24,2,FALSE)</f>
        <v>750,000-1,000,000</v>
      </c>
      <c r="AE81" s="32">
        <v>1</v>
      </c>
      <c r="AF81" s="55">
        <v>1</v>
      </c>
      <c r="AG81" s="55">
        <v>1</v>
      </c>
      <c r="AH81" s="55">
        <v>1</v>
      </c>
      <c r="AI81" s="55">
        <v>1</v>
      </c>
      <c r="AJ81" s="39" t="s">
        <v>104</v>
      </c>
      <c r="AK81" s="40">
        <v>5000</v>
      </c>
      <c r="AL81" s="24"/>
      <c r="AM81" s="24"/>
    </row>
    <row r="82" spans="1:39" x14ac:dyDescent="0.2">
      <c r="B82" s="50">
        <v>43686</v>
      </c>
      <c r="C82" s="35">
        <v>0.5541666666666667</v>
      </c>
      <c r="D82" s="35"/>
      <c r="E82" s="35" t="s">
        <v>111</v>
      </c>
      <c r="F82" s="37">
        <v>2</v>
      </c>
      <c r="G82" s="42" t="str">
        <f>VLOOKUP(F82,Key!$A$17:$B$21,2,FALSE)</f>
        <v>Road Vehicle</v>
      </c>
      <c r="H82" s="36">
        <v>1</v>
      </c>
      <c r="I82" s="43" t="str">
        <f>VLOOKUP(H82,Key!$A$2:$B$13,2,FALSE)</f>
        <v>Car</v>
      </c>
      <c r="J82" s="37" t="s">
        <v>166</v>
      </c>
      <c r="K82" s="37">
        <v>3</v>
      </c>
      <c r="L82" s="45" t="str">
        <f>VLOOKUP(K82,Key!$A$24:$B$29,2,FALSE)</f>
        <v>40-49</v>
      </c>
      <c r="M82" s="37" t="s">
        <v>344</v>
      </c>
      <c r="N82" s="32" t="s">
        <v>167</v>
      </c>
      <c r="O82" s="37" t="s">
        <v>168</v>
      </c>
      <c r="P82" s="39">
        <v>1</v>
      </c>
      <c r="Q82" s="34" t="str">
        <f>VLOOKUP(P82,Key!$E$2:$F$9,2,FALSE)</f>
        <v>Home</v>
      </c>
      <c r="R82" s="37" t="s">
        <v>345</v>
      </c>
      <c r="S82" s="32" t="s">
        <v>176</v>
      </c>
      <c r="T82" s="37" t="s">
        <v>168</v>
      </c>
      <c r="U82" s="32">
        <v>7</v>
      </c>
      <c r="V82" s="34" t="str">
        <f>VLOOKUP(U82,Key!$E$2:$F$9,2,FALSE)</f>
        <v>Hospital</v>
      </c>
      <c r="W82" s="34" t="str">
        <f t="shared" si="2"/>
        <v>Home-Hospital</v>
      </c>
      <c r="X82" s="47">
        <v>70000</v>
      </c>
      <c r="Y82" s="38">
        <v>100</v>
      </c>
      <c r="Z82" s="38">
        <v>3</v>
      </c>
      <c r="AA82" s="32">
        <v>4</v>
      </c>
      <c r="AB82" s="34" t="str">
        <f>VLOOKUP(AA82,Key!$C$20:$D$29,2,FALSE)</f>
        <v>Office Worker</v>
      </c>
      <c r="AC82" s="32">
        <v>5</v>
      </c>
      <c r="AD82" s="34" t="str">
        <f>VLOOKUP(AC82,Key!$E$20:$F$24,2,FALSE)</f>
        <v>&gt;1,000,000</v>
      </c>
      <c r="AE82" s="32">
        <v>1</v>
      </c>
      <c r="AF82" s="55">
        <v>1</v>
      </c>
      <c r="AG82" s="55">
        <v>1</v>
      </c>
      <c r="AH82" s="55">
        <v>1</v>
      </c>
      <c r="AI82" s="55">
        <v>1</v>
      </c>
      <c r="AJ82" s="39" t="s">
        <v>104</v>
      </c>
      <c r="AK82" s="40">
        <v>2000</v>
      </c>
      <c r="AL82" s="24"/>
      <c r="AM82" s="24"/>
    </row>
    <row r="83" spans="1:39" x14ac:dyDescent="0.2">
      <c r="B83" s="50">
        <v>43690</v>
      </c>
      <c r="C83" s="35">
        <v>0.51666666666666672</v>
      </c>
      <c r="D83" s="35"/>
      <c r="E83" s="35" t="s">
        <v>111</v>
      </c>
      <c r="F83" s="37">
        <v>2</v>
      </c>
      <c r="G83" s="42" t="str">
        <f>VLOOKUP(F83,Key!$A$17:$B$21,2,FALSE)</f>
        <v>Road Vehicle</v>
      </c>
      <c r="H83" s="36">
        <v>1</v>
      </c>
      <c r="I83" s="43" t="str">
        <f>VLOOKUP(H83,Key!$A$2:$B$13,2,FALSE)</f>
        <v>Car</v>
      </c>
      <c r="J83" s="37" t="s">
        <v>123</v>
      </c>
      <c r="K83" s="37">
        <v>1</v>
      </c>
      <c r="L83" s="45" t="str">
        <f>VLOOKUP(K83,Key!$A$24:$B$29,2,FALSE)</f>
        <v>20-29</v>
      </c>
      <c r="M83" s="37" t="s">
        <v>176</v>
      </c>
      <c r="N83" s="32" t="s">
        <v>176</v>
      </c>
      <c r="O83" s="37" t="s">
        <v>168</v>
      </c>
      <c r="P83" s="39">
        <v>1</v>
      </c>
      <c r="Q83" s="34" t="str">
        <f>VLOOKUP(P83,Key!$E$2:$F$9,2,FALSE)</f>
        <v>Home</v>
      </c>
      <c r="R83" s="37" t="s">
        <v>167</v>
      </c>
      <c r="S83" s="32" t="s">
        <v>167</v>
      </c>
      <c r="T83" s="37" t="s">
        <v>168</v>
      </c>
      <c r="U83" s="32">
        <v>6</v>
      </c>
      <c r="V83" s="34" t="str">
        <f>VLOOKUP(U83,Key!$E$2:$F$9,2,FALSE)</f>
        <v>Leisure/Social</v>
      </c>
      <c r="W83" s="34" t="str">
        <f t="shared" si="2"/>
        <v>Home-Leisure/Social</v>
      </c>
      <c r="X83" s="47">
        <v>30000</v>
      </c>
      <c r="Y83" s="38">
        <v>80</v>
      </c>
      <c r="Z83" s="38">
        <v>3</v>
      </c>
      <c r="AA83" s="32">
        <v>8</v>
      </c>
      <c r="AB83" s="34" t="str">
        <f>VLOOKUP(AA83,Key!$C$20:$D$29,2,FALSE)</f>
        <v>Student</v>
      </c>
      <c r="AC83" s="32">
        <v>1</v>
      </c>
      <c r="AD83" s="34" t="str">
        <f>VLOOKUP(AC83,Key!$E$20:$F$24,2,FALSE)</f>
        <v>&lt;300,000</v>
      </c>
      <c r="AE83" s="32">
        <v>2</v>
      </c>
      <c r="AF83" s="55">
        <v>3</v>
      </c>
      <c r="AG83" s="55">
        <v>5</v>
      </c>
      <c r="AH83" s="55">
        <v>1</v>
      </c>
      <c r="AI83" s="55">
        <v>4</v>
      </c>
      <c r="AJ83" s="39" t="s">
        <v>104</v>
      </c>
      <c r="AK83" s="40"/>
      <c r="AL83" s="24"/>
      <c r="AM83" s="24"/>
    </row>
    <row r="84" spans="1:39" x14ac:dyDescent="0.2">
      <c r="A84" s="10"/>
      <c r="B84" s="50">
        <v>43690</v>
      </c>
      <c r="C84" s="35">
        <v>0.4381944444444445</v>
      </c>
      <c r="D84" s="35"/>
      <c r="E84" s="35" t="s">
        <v>111</v>
      </c>
      <c r="F84" s="37">
        <v>2</v>
      </c>
      <c r="G84" s="42" t="str">
        <f>VLOOKUP(F84,Key!$A$17:$B$21,2,FALSE)</f>
        <v>Road Vehicle</v>
      </c>
      <c r="H84" s="36">
        <v>1</v>
      </c>
      <c r="I84" s="43" t="str">
        <f>VLOOKUP(H84,Key!$A$2:$B$13,2,FALSE)</f>
        <v>Car</v>
      </c>
      <c r="J84" s="37" t="s">
        <v>123</v>
      </c>
      <c r="K84" s="37">
        <v>1</v>
      </c>
      <c r="L84" s="45" t="str">
        <f>VLOOKUP(K84,Key!$A$24:$B$29,2,FALSE)</f>
        <v>20-29</v>
      </c>
      <c r="M84" s="37" t="s">
        <v>167</v>
      </c>
      <c r="N84" s="32" t="s">
        <v>167</v>
      </c>
      <c r="O84" s="37" t="s">
        <v>168</v>
      </c>
      <c r="P84" s="39">
        <v>2</v>
      </c>
      <c r="Q84" s="34" t="str">
        <f>VLOOKUP(P84,Key!$E$2:$F$9,2,FALSE)</f>
        <v>Work</v>
      </c>
      <c r="R84" s="37" t="s">
        <v>176</v>
      </c>
      <c r="S84" s="32" t="s">
        <v>176</v>
      </c>
      <c r="T84" s="37" t="s">
        <v>168</v>
      </c>
      <c r="U84" s="32">
        <v>6</v>
      </c>
      <c r="V84" s="34" t="str">
        <f>VLOOKUP(U84,Key!$E$2:$F$9,2,FALSE)</f>
        <v>Leisure/Social</v>
      </c>
      <c r="W84" s="34" t="str">
        <f t="shared" si="2"/>
        <v>Work-Leisure/Social</v>
      </c>
      <c r="X84" s="47">
        <v>40000</v>
      </c>
      <c r="Y84" s="38">
        <v>80</v>
      </c>
      <c r="Z84" s="38">
        <v>5</v>
      </c>
      <c r="AA84" s="32">
        <v>10</v>
      </c>
      <c r="AB84" s="34" t="str">
        <f>VLOOKUP(AA84,Key!$C$20:$D$29,2,FALSE)</f>
        <v>Other</v>
      </c>
      <c r="AC84" s="32">
        <v>2</v>
      </c>
      <c r="AD84" s="34" t="str">
        <f>VLOOKUP(AC84,Key!$E$20:$F$24,2,FALSE)</f>
        <v>300,000-500,000</v>
      </c>
      <c r="AE84" s="32">
        <v>2</v>
      </c>
      <c r="AF84" s="55">
        <v>3</v>
      </c>
      <c r="AG84" s="55">
        <v>1</v>
      </c>
      <c r="AH84" s="55">
        <v>1</v>
      </c>
      <c r="AI84" s="55">
        <v>3</v>
      </c>
      <c r="AJ84" s="39" t="s">
        <v>104</v>
      </c>
      <c r="AK84" s="40">
        <v>2000</v>
      </c>
      <c r="AL84" s="24"/>
      <c r="AM84" s="24"/>
    </row>
    <row r="85" spans="1:39" x14ac:dyDescent="0.2">
      <c r="B85" s="50">
        <v>43690</v>
      </c>
      <c r="C85" s="35">
        <v>0.54375000000000007</v>
      </c>
      <c r="D85" s="35"/>
      <c r="E85" s="35" t="s">
        <v>111</v>
      </c>
      <c r="F85" s="37">
        <v>2</v>
      </c>
      <c r="G85" s="42" t="str">
        <f>VLOOKUP(F85,Key!$A$17:$B$21,2,FALSE)</f>
        <v>Road Vehicle</v>
      </c>
      <c r="H85" s="36">
        <v>1</v>
      </c>
      <c r="I85" s="43" t="str">
        <f>VLOOKUP(H85,Key!$A$2:$B$13,2,FALSE)</f>
        <v>Car</v>
      </c>
      <c r="J85" s="37" t="s">
        <v>123</v>
      </c>
      <c r="K85" s="37">
        <v>2</v>
      </c>
      <c r="L85" s="45" t="str">
        <f>VLOOKUP(K85,Key!$A$24:$B$29,2,FALSE)</f>
        <v>30-39</v>
      </c>
      <c r="M85" s="37" t="s">
        <v>313</v>
      </c>
      <c r="N85" s="32" t="s">
        <v>190</v>
      </c>
      <c r="O85" s="37" t="s">
        <v>168</v>
      </c>
      <c r="P85" s="39">
        <v>1</v>
      </c>
      <c r="Q85" s="34" t="str">
        <f>VLOOKUP(P85,Key!$E$2:$F$9,2,FALSE)</f>
        <v>Home</v>
      </c>
      <c r="R85" s="37" t="s">
        <v>216</v>
      </c>
      <c r="S85" s="32" t="s">
        <v>167</v>
      </c>
      <c r="T85" s="37" t="s">
        <v>168</v>
      </c>
      <c r="U85" s="32">
        <v>2</v>
      </c>
      <c r="V85" s="34" t="str">
        <f>VLOOKUP(U85,Key!$E$2:$F$9,2,FALSE)</f>
        <v>Work</v>
      </c>
      <c r="W85" s="34" t="str">
        <f t="shared" si="2"/>
        <v>Home-Work</v>
      </c>
      <c r="X85" s="47">
        <v>30000</v>
      </c>
      <c r="Y85" s="38">
        <v>60</v>
      </c>
      <c r="Z85" s="38">
        <v>1.5</v>
      </c>
      <c r="AA85" s="32">
        <v>6</v>
      </c>
      <c r="AB85" s="34" t="str">
        <f>VLOOKUP(AA85,Key!$C$20:$D$29,2,FALSE)</f>
        <v>Businessman</v>
      </c>
      <c r="AC85" s="32">
        <v>5</v>
      </c>
      <c r="AD85" s="34" t="str">
        <f>VLOOKUP(AC85,Key!$E$20:$F$24,2,FALSE)</f>
        <v>&gt;1,000,000</v>
      </c>
      <c r="AE85" s="32">
        <v>1</v>
      </c>
      <c r="AF85" s="55">
        <v>1</v>
      </c>
      <c r="AG85" s="55">
        <v>1</v>
      </c>
      <c r="AH85" s="55">
        <v>1</v>
      </c>
      <c r="AI85" s="55">
        <v>1</v>
      </c>
      <c r="AJ85" s="39" t="s">
        <v>104</v>
      </c>
      <c r="AK85" s="40">
        <v>2000</v>
      </c>
      <c r="AL85" s="24"/>
      <c r="AM85" s="24"/>
    </row>
    <row r="86" spans="1:39" x14ac:dyDescent="0.2">
      <c r="A86" s="10"/>
      <c r="B86" s="50">
        <v>43686</v>
      </c>
      <c r="C86" s="35">
        <v>0.66180555555555554</v>
      </c>
      <c r="D86" s="35"/>
      <c r="E86" s="35" t="s">
        <v>111</v>
      </c>
      <c r="F86" s="37">
        <v>2</v>
      </c>
      <c r="G86" s="42" t="str">
        <f>VLOOKUP(F86,Key!$A$17:$B$21,2,FALSE)</f>
        <v>Road Vehicle</v>
      </c>
      <c r="H86" s="36">
        <v>1</v>
      </c>
      <c r="I86" s="43" t="str">
        <f>VLOOKUP(H86,Key!$A$2:$B$13,2,FALSE)</f>
        <v>Car</v>
      </c>
      <c r="J86" s="37" t="s">
        <v>123</v>
      </c>
      <c r="K86" s="37">
        <v>2</v>
      </c>
      <c r="L86" s="45" t="str">
        <f>VLOOKUP(K86,Key!$A$24:$B$29,2,FALSE)</f>
        <v>30-39</v>
      </c>
      <c r="M86" s="37" t="s">
        <v>167</v>
      </c>
      <c r="N86" s="32" t="s">
        <v>167</v>
      </c>
      <c r="O86" s="37" t="s">
        <v>168</v>
      </c>
      <c r="P86" s="39">
        <v>1</v>
      </c>
      <c r="Q86" s="34" t="str">
        <f>VLOOKUP(P86,Key!$E$2:$F$9,2,FALSE)</f>
        <v>Home</v>
      </c>
      <c r="R86" s="37" t="s">
        <v>179</v>
      </c>
      <c r="S86" s="32" t="s">
        <v>179</v>
      </c>
      <c r="T86" s="37" t="s">
        <v>168</v>
      </c>
      <c r="U86" s="32">
        <v>2</v>
      </c>
      <c r="V86" s="34" t="str">
        <f>VLOOKUP(U86,Key!$E$2:$F$9,2,FALSE)</f>
        <v>Work</v>
      </c>
      <c r="W86" s="34" t="str">
        <f t="shared" si="2"/>
        <v>Home-Work</v>
      </c>
      <c r="X86" s="47">
        <v>30000</v>
      </c>
      <c r="Y86" s="38">
        <v>62</v>
      </c>
      <c r="Z86" s="38">
        <v>1</v>
      </c>
      <c r="AA86" s="32">
        <v>5</v>
      </c>
      <c r="AB86" s="34" t="str">
        <f>VLOOKUP(AA86,Key!$C$20:$D$29,2,FALSE)</f>
        <v>Professional</v>
      </c>
      <c r="AC86" s="32">
        <v>3</v>
      </c>
      <c r="AD86" s="34" t="str">
        <f>VLOOKUP(AC86,Key!$E$20:$F$24,2,FALSE)</f>
        <v>500,000-750,000</v>
      </c>
      <c r="AE86" s="32">
        <v>2</v>
      </c>
      <c r="AF86" s="55">
        <v>3</v>
      </c>
      <c r="AG86" s="55">
        <v>4</v>
      </c>
      <c r="AH86" s="55">
        <v>1</v>
      </c>
      <c r="AI86" s="55">
        <v>5</v>
      </c>
      <c r="AJ86" s="39" t="s">
        <v>104</v>
      </c>
      <c r="AK86" s="40">
        <v>2000</v>
      </c>
      <c r="AL86" s="24"/>
      <c r="AM86" s="24"/>
    </row>
    <row r="87" spans="1:39" x14ac:dyDescent="0.2">
      <c r="B87" s="50">
        <v>43686</v>
      </c>
      <c r="C87" s="35">
        <v>0.65347222222222223</v>
      </c>
      <c r="D87" s="35"/>
      <c r="E87" s="35" t="s">
        <v>111</v>
      </c>
      <c r="F87" s="37">
        <v>2</v>
      </c>
      <c r="G87" s="42" t="str">
        <f>VLOOKUP(F87,Key!$A$17:$B$21,2,FALSE)</f>
        <v>Road Vehicle</v>
      </c>
      <c r="H87" s="36">
        <v>1</v>
      </c>
      <c r="I87" s="43" t="str">
        <f>VLOOKUP(H87,Key!$A$2:$B$13,2,FALSE)</f>
        <v>Car</v>
      </c>
      <c r="J87" s="37" t="s">
        <v>123</v>
      </c>
      <c r="K87" s="37">
        <v>2</v>
      </c>
      <c r="L87" s="45" t="str">
        <f>VLOOKUP(K87,Key!$A$24:$B$29,2,FALSE)</f>
        <v>30-39</v>
      </c>
      <c r="M87" s="37" t="s">
        <v>242</v>
      </c>
      <c r="N87" s="32" t="s">
        <v>167</v>
      </c>
      <c r="O87" s="37" t="s">
        <v>168</v>
      </c>
      <c r="P87" s="39">
        <v>2</v>
      </c>
      <c r="Q87" s="34" t="str">
        <f>VLOOKUP(P87,Key!$E$2:$F$9,2,FALSE)</f>
        <v>Work</v>
      </c>
      <c r="R87" s="37" t="s">
        <v>179</v>
      </c>
      <c r="S87" s="32" t="s">
        <v>179</v>
      </c>
      <c r="T87" s="37" t="s">
        <v>168</v>
      </c>
      <c r="U87" s="32">
        <v>2</v>
      </c>
      <c r="V87" s="34" t="str">
        <f>VLOOKUP(U87,Key!$E$2:$F$9,2,FALSE)</f>
        <v>Work</v>
      </c>
      <c r="W87" s="34" t="str">
        <f t="shared" si="2"/>
        <v>Work-Work</v>
      </c>
      <c r="X87" s="47">
        <v>30000</v>
      </c>
      <c r="Y87" s="38">
        <v>70</v>
      </c>
      <c r="Z87" s="38">
        <v>1.5</v>
      </c>
      <c r="AA87" s="32">
        <v>10</v>
      </c>
      <c r="AB87" s="34" t="str">
        <f>VLOOKUP(AA87,Key!$C$20:$D$29,2,FALSE)</f>
        <v>Other</v>
      </c>
      <c r="AC87" s="32">
        <v>2</v>
      </c>
      <c r="AD87" s="34" t="str">
        <f>VLOOKUP(AC87,Key!$E$20:$F$24,2,FALSE)</f>
        <v>300,000-500,000</v>
      </c>
      <c r="AE87" s="32">
        <v>2</v>
      </c>
      <c r="AF87" s="55">
        <v>3</v>
      </c>
      <c r="AG87" s="55">
        <v>4</v>
      </c>
      <c r="AH87" s="55">
        <v>1</v>
      </c>
      <c r="AI87" s="55">
        <v>5</v>
      </c>
      <c r="AJ87" s="39" t="s">
        <v>104</v>
      </c>
      <c r="AK87" s="40">
        <v>1500</v>
      </c>
      <c r="AL87" s="24"/>
      <c r="AM87" s="24"/>
    </row>
    <row r="88" spans="1:39" x14ac:dyDescent="0.2">
      <c r="B88" s="50">
        <v>43686</v>
      </c>
      <c r="C88" s="35">
        <v>0.66875000000000007</v>
      </c>
      <c r="D88" s="35"/>
      <c r="E88" s="35" t="s">
        <v>111</v>
      </c>
      <c r="F88" s="37">
        <v>2</v>
      </c>
      <c r="G88" s="42" t="str">
        <f>VLOOKUP(F88,Key!$A$17:$B$21,2,FALSE)</f>
        <v>Road Vehicle</v>
      </c>
      <c r="H88" s="36">
        <v>1</v>
      </c>
      <c r="I88" s="43" t="str">
        <f>VLOOKUP(H88,Key!$A$2:$B$13,2,FALSE)</f>
        <v>Car</v>
      </c>
      <c r="J88" s="37" t="s">
        <v>123</v>
      </c>
      <c r="K88" s="37">
        <v>2</v>
      </c>
      <c r="L88" s="45" t="str">
        <f>VLOOKUP(K88,Key!$A$24:$B$29,2,FALSE)</f>
        <v>30-39</v>
      </c>
      <c r="M88" s="37" t="s">
        <v>243</v>
      </c>
      <c r="N88" s="32" t="s">
        <v>173</v>
      </c>
      <c r="O88" s="37" t="s">
        <v>168</v>
      </c>
      <c r="P88" s="39">
        <v>1</v>
      </c>
      <c r="Q88" s="34" t="str">
        <f>VLOOKUP(P88,Key!$E$2:$F$9,2,FALSE)</f>
        <v>Home</v>
      </c>
      <c r="R88" s="37" t="s">
        <v>167</v>
      </c>
      <c r="S88" s="32" t="s">
        <v>167</v>
      </c>
      <c r="T88" s="37" t="s">
        <v>168</v>
      </c>
      <c r="U88" s="32">
        <v>4</v>
      </c>
      <c r="V88" s="34" t="str">
        <f>VLOOKUP(U88,Key!$E$2:$F$9,2,FALSE)</f>
        <v>Commercial</v>
      </c>
      <c r="W88" s="34" t="str">
        <f t="shared" si="2"/>
        <v>Home-Commercial</v>
      </c>
      <c r="X88" s="47">
        <v>40000</v>
      </c>
      <c r="Y88" s="38">
        <v>70</v>
      </c>
      <c r="Z88" s="38">
        <v>1.5</v>
      </c>
      <c r="AA88" s="32">
        <v>7</v>
      </c>
      <c r="AB88" s="34" t="str">
        <f>VLOOKUP(AA88,Key!$C$20:$D$29,2,FALSE)</f>
        <v>Farmer</v>
      </c>
      <c r="AC88" s="32">
        <v>2</v>
      </c>
      <c r="AD88" s="34" t="str">
        <f>VLOOKUP(AC88,Key!$E$20:$F$24,2,FALSE)</f>
        <v>300,000-500,000</v>
      </c>
      <c r="AE88" s="32">
        <v>2</v>
      </c>
      <c r="AF88" s="55">
        <v>5</v>
      </c>
      <c r="AG88" s="55">
        <v>4</v>
      </c>
      <c r="AH88" s="55">
        <v>1</v>
      </c>
      <c r="AI88" s="55">
        <v>3</v>
      </c>
      <c r="AJ88" s="39" t="s">
        <v>104</v>
      </c>
      <c r="AK88" s="40">
        <v>1000</v>
      </c>
      <c r="AL88" s="24"/>
      <c r="AM88" s="24"/>
    </row>
    <row r="89" spans="1:39" x14ac:dyDescent="0.2">
      <c r="B89" s="50">
        <v>43687</v>
      </c>
      <c r="C89" s="35">
        <v>0.43124999999999997</v>
      </c>
      <c r="D89" s="35"/>
      <c r="E89" s="35" t="s">
        <v>111</v>
      </c>
      <c r="F89" s="37">
        <v>2</v>
      </c>
      <c r="G89" s="42" t="str">
        <f>VLOOKUP(F89,Key!$A$17:$B$21,2,FALSE)</f>
        <v>Road Vehicle</v>
      </c>
      <c r="H89" s="36">
        <v>1</v>
      </c>
      <c r="I89" s="43" t="str">
        <f>VLOOKUP(H89,Key!$A$2:$B$13,2,FALSE)</f>
        <v>Car</v>
      </c>
      <c r="J89" s="37" t="s">
        <v>123</v>
      </c>
      <c r="K89" s="37">
        <v>2</v>
      </c>
      <c r="L89" s="45" t="str">
        <f>VLOOKUP(K89,Key!$A$24:$B$29,2,FALSE)</f>
        <v>30-39</v>
      </c>
      <c r="M89" s="37" t="s">
        <v>167</v>
      </c>
      <c r="N89" s="32" t="s">
        <v>167</v>
      </c>
      <c r="O89" s="37" t="s">
        <v>168</v>
      </c>
      <c r="P89" s="39">
        <v>1</v>
      </c>
      <c r="Q89" s="34" t="str">
        <f>VLOOKUP(P89,Key!$E$2:$F$9,2,FALSE)</f>
        <v>Home</v>
      </c>
      <c r="R89" s="37" t="s">
        <v>232</v>
      </c>
      <c r="S89" s="32" t="s">
        <v>188</v>
      </c>
      <c r="T89" s="37" t="s">
        <v>168</v>
      </c>
      <c r="U89" s="32">
        <v>2</v>
      </c>
      <c r="V89" s="34" t="str">
        <f>VLOOKUP(U89,Key!$E$2:$F$9,2,FALSE)</f>
        <v>Work</v>
      </c>
      <c r="W89" s="34" t="str">
        <f t="shared" si="2"/>
        <v>Home-Work</v>
      </c>
      <c r="X89" s="47">
        <v>45000</v>
      </c>
      <c r="Y89" s="38">
        <v>70</v>
      </c>
      <c r="Z89" s="38">
        <v>2</v>
      </c>
      <c r="AA89" s="32">
        <v>5</v>
      </c>
      <c r="AB89" s="34" t="str">
        <f>VLOOKUP(AA89,Key!$C$20:$D$29,2,FALSE)</f>
        <v>Professional</v>
      </c>
      <c r="AC89" s="32">
        <v>2</v>
      </c>
      <c r="AD89" s="34" t="str">
        <f>VLOOKUP(AC89,Key!$E$20:$F$24,2,FALSE)</f>
        <v>300,000-500,000</v>
      </c>
      <c r="AE89" s="32">
        <v>3</v>
      </c>
      <c r="AF89" s="55">
        <v>3</v>
      </c>
      <c r="AG89" s="55">
        <v>4</v>
      </c>
      <c r="AH89" s="55">
        <v>3</v>
      </c>
      <c r="AI89" s="55">
        <v>3</v>
      </c>
      <c r="AJ89" s="39" t="s">
        <v>104</v>
      </c>
      <c r="AK89" s="40">
        <v>1000</v>
      </c>
      <c r="AL89" s="24"/>
      <c r="AM89" s="24"/>
    </row>
    <row r="90" spans="1:39" x14ac:dyDescent="0.2">
      <c r="B90" s="50">
        <v>43687</v>
      </c>
      <c r="C90" s="35">
        <v>0.71527777777777779</v>
      </c>
      <c r="D90" s="35"/>
      <c r="E90" s="35" t="s">
        <v>111</v>
      </c>
      <c r="F90" s="37">
        <v>2</v>
      </c>
      <c r="G90" s="42" t="str">
        <f>VLOOKUP(F90,Key!$A$17:$B$21,2,FALSE)</f>
        <v>Road Vehicle</v>
      </c>
      <c r="H90" s="36">
        <v>1</v>
      </c>
      <c r="I90" s="43" t="str">
        <f>VLOOKUP(H90,Key!$A$2:$B$13,2,FALSE)</f>
        <v>Car</v>
      </c>
      <c r="J90" s="37" t="s">
        <v>123</v>
      </c>
      <c r="K90" s="37">
        <v>2</v>
      </c>
      <c r="L90" s="45" t="str">
        <f>VLOOKUP(K90,Key!$A$24:$B$29,2,FALSE)</f>
        <v>30-39</v>
      </c>
      <c r="M90" s="37" t="s">
        <v>176</v>
      </c>
      <c r="N90" s="32" t="s">
        <v>176</v>
      </c>
      <c r="O90" s="37" t="s">
        <v>168</v>
      </c>
      <c r="P90" s="39">
        <v>1</v>
      </c>
      <c r="Q90" s="34" t="str">
        <f>VLOOKUP(P90,Key!$E$2:$F$9,2,FALSE)</f>
        <v>Home</v>
      </c>
      <c r="R90" s="37" t="s">
        <v>167</v>
      </c>
      <c r="S90" s="32" t="s">
        <v>167</v>
      </c>
      <c r="T90" s="37" t="s">
        <v>168</v>
      </c>
      <c r="U90" s="32">
        <v>4</v>
      </c>
      <c r="V90" s="34" t="str">
        <f>VLOOKUP(U90,Key!$E$2:$F$9,2,FALSE)</f>
        <v>Commercial</v>
      </c>
      <c r="W90" s="34" t="str">
        <f t="shared" si="2"/>
        <v>Home-Commercial</v>
      </c>
      <c r="X90" s="47">
        <v>35000</v>
      </c>
      <c r="Y90" s="38">
        <v>75</v>
      </c>
      <c r="Z90" s="38">
        <v>3</v>
      </c>
      <c r="AA90" s="32">
        <v>6</v>
      </c>
      <c r="AB90" s="34" t="str">
        <f>VLOOKUP(AA90,Key!$C$20:$D$29,2,FALSE)</f>
        <v>Businessman</v>
      </c>
      <c r="AC90" s="32">
        <v>2</v>
      </c>
      <c r="AD90" s="34" t="str">
        <f>VLOOKUP(AC90,Key!$E$20:$F$24,2,FALSE)</f>
        <v>300,000-500,000</v>
      </c>
      <c r="AE90" s="32">
        <v>1</v>
      </c>
      <c r="AF90" s="55">
        <v>2</v>
      </c>
      <c r="AG90" s="55">
        <v>3</v>
      </c>
      <c r="AH90" s="55">
        <v>1</v>
      </c>
      <c r="AI90" s="55">
        <v>4</v>
      </c>
      <c r="AJ90" s="39" t="s">
        <v>104</v>
      </c>
      <c r="AK90" s="40">
        <v>3000</v>
      </c>
      <c r="AL90" s="24"/>
      <c r="AM90" s="24"/>
    </row>
    <row r="91" spans="1:39" x14ac:dyDescent="0.2">
      <c r="B91" s="50">
        <v>43688</v>
      </c>
      <c r="C91" s="35">
        <v>0.49861111111111112</v>
      </c>
      <c r="D91" s="35"/>
      <c r="E91" s="35" t="s">
        <v>111</v>
      </c>
      <c r="F91" s="37">
        <v>2</v>
      </c>
      <c r="G91" s="42" t="str">
        <f>VLOOKUP(F91,Key!$A$17:$B$21,2,FALSE)</f>
        <v>Road Vehicle</v>
      </c>
      <c r="H91" s="36">
        <v>1</v>
      </c>
      <c r="I91" s="43" t="str">
        <f>VLOOKUP(H91,Key!$A$2:$B$13,2,FALSE)</f>
        <v>Car</v>
      </c>
      <c r="J91" s="37" t="s">
        <v>123</v>
      </c>
      <c r="K91" s="37">
        <v>2</v>
      </c>
      <c r="L91" s="45" t="str">
        <f>VLOOKUP(K91,Key!$A$24:$B$29,2,FALSE)</f>
        <v>30-39</v>
      </c>
      <c r="M91" s="37" t="s">
        <v>176</v>
      </c>
      <c r="N91" s="32" t="s">
        <v>176</v>
      </c>
      <c r="O91" s="37" t="s">
        <v>168</v>
      </c>
      <c r="P91" s="39">
        <v>1</v>
      </c>
      <c r="Q91" s="34" t="str">
        <f>VLOOKUP(P91,Key!$E$2:$F$9,2,FALSE)</f>
        <v>Home</v>
      </c>
      <c r="R91" s="37" t="s">
        <v>167</v>
      </c>
      <c r="S91" s="32" t="s">
        <v>167</v>
      </c>
      <c r="T91" s="37" t="s">
        <v>168</v>
      </c>
      <c r="U91" s="32">
        <v>4</v>
      </c>
      <c r="V91" s="34" t="str">
        <f>VLOOKUP(U91,Key!$E$2:$F$9,2,FALSE)</f>
        <v>Commercial</v>
      </c>
      <c r="W91" s="34" t="str">
        <f t="shared" si="2"/>
        <v>Home-Commercial</v>
      </c>
      <c r="X91" s="47">
        <v>30000</v>
      </c>
      <c r="Y91" s="38">
        <v>80</v>
      </c>
      <c r="Z91" s="38">
        <v>1.5</v>
      </c>
      <c r="AA91" s="32">
        <v>5</v>
      </c>
      <c r="AB91" s="34" t="str">
        <f>VLOOKUP(AA91,Key!$C$20:$D$29,2,FALSE)</f>
        <v>Professional</v>
      </c>
      <c r="AC91" s="32">
        <v>2</v>
      </c>
      <c r="AD91" s="34" t="str">
        <f>VLOOKUP(AC91,Key!$E$20:$F$24,2,FALSE)</f>
        <v>300,000-500,000</v>
      </c>
      <c r="AE91" s="32">
        <v>2</v>
      </c>
      <c r="AF91" s="55">
        <v>3</v>
      </c>
      <c r="AG91" s="55">
        <v>4</v>
      </c>
      <c r="AH91" s="55">
        <v>1</v>
      </c>
      <c r="AI91" s="55">
        <v>5</v>
      </c>
      <c r="AJ91" s="39" t="s">
        <v>104</v>
      </c>
      <c r="AK91" s="40"/>
      <c r="AL91" s="24"/>
      <c r="AM91" s="24"/>
    </row>
    <row r="92" spans="1:39" x14ac:dyDescent="0.2">
      <c r="B92" s="50">
        <v>43688</v>
      </c>
      <c r="C92" s="35">
        <v>0.57777777777777783</v>
      </c>
      <c r="D92" s="35"/>
      <c r="E92" s="35" t="s">
        <v>111</v>
      </c>
      <c r="F92" s="37">
        <v>2</v>
      </c>
      <c r="G92" s="42" t="str">
        <f>VLOOKUP(F92,Key!$A$17:$B$21,2,FALSE)</f>
        <v>Road Vehicle</v>
      </c>
      <c r="H92" s="36">
        <v>1</v>
      </c>
      <c r="I92" s="43" t="str">
        <f>VLOOKUP(H92,Key!$A$2:$B$13,2,FALSE)</f>
        <v>Car</v>
      </c>
      <c r="J92" s="37" t="s">
        <v>123</v>
      </c>
      <c r="K92" s="37">
        <v>2</v>
      </c>
      <c r="L92" s="45" t="str">
        <f>VLOOKUP(K92,Key!$A$24:$B$29,2,FALSE)</f>
        <v>30-39</v>
      </c>
      <c r="M92" s="37" t="s">
        <v>176</v>
      </c>
      <c r="N92" s="32" t="s">
        <v>176</v>
      </c>
      <c r="O92" s="37" t="s">
        <v>168</v>
      </c>
      <c r="P92" s="39">
        <v>2</v>
      </c>
      <c r="Q92" s="34" t="str">
        <f>VLOOKUP(P92,Key!$E$2:$F$9,2,FALSE)</f>
        <v>Work</v>
      </c>
      <c r="R92" s="37" t="s">
        <v>167</v>
      </c>
      <c r="S92" s="32" t="s">
        <v>167</v>
      </c>
      <c r="T92" s="37" t="s">
        <v>168</v>
      </c>
      <c r="U92" s="32">
        <v>2</v>
      </c>
      <c r="V92" s="34" t="str">
        <f>VLOOKUP(U92,Key!$E$2:$F$9,2,FALSE)</f>
        <v>Work</v>
      </c>
      <c r="W92" s="34" t="str">
        <f t="shared" si="2"/>
        <v>Work-Work</v>
      </c>
      <c r="X92" s="47">
        <v>70000</v>
      </c>
      <c r="Y92" s="38">
        <v>80</v>
      </c>
      <c r="Z92" s="38">
        <v>2</v>
      </c>
      <c r="AA92" s="32">
        <v>5</v>
      </c>
      <c r="AB92" s="34" t="str">
        <f>VLOOKUP(AA92,Key!$C$20:$D$29,2,FALSE)</f>
        <v>Professional</v>
      </c>
      <c r="AC92" s="32">
        <v>3</v>
      </c>
      <c r="AD92" s="34" t="str">
        <f>VLOOKUP(AC92,Key!$E$20:$F$24,2,FALSE)</f>
        <v>500,000-750,000</v>
      </c>
      <c r="AE92" s="32">
        <v>3</v>
      </c>
      <c r="AF92" s="55">
        <v>4</v>
      </c>
      <c r="AG92" s="55">
        <v>3</v>
      </c>
      <c r="AH92" s="55">
        <v>4</v>
      </c>
      <c r="AI92" s="55">
        <v>2</v>
      </c>
      <c r="AJ92" s="39" t="s">
        <v>104</v>
      </c>
      <c r="AK92" s="40">
        <v>4000</v>
      </c>
      <c r="AL92" s="24"/>
      <c r="AM92" s="24"/>
    </row>
    <row r="93" spans="1:39" x14ac:dyDescent="0.2">
      <c r="B93" s="50">
        <v>43690</v>
      </c>
      <c r="C93" s="35">
        <v>0.63888888888888895</v>
      </c>
      <c r="D93" s="35"/>
      <c r="E93" s="35" t="s">
        <v>111</v>
      </c>
      <c r="F93" s="37">
        <v>2</v>
      </c>
      <c r="G93" s="42" t="str">
        <f>VLOOKUP(F93,Key!$A$17:$B$21,2,FALSE)</f>
        <v>Road Vehicle</v>
      </c>
      <c r="H93" s="36">
        <v>1</v>
      </c>
      <c r="I93" s="43" t="str">
        <f>VLOOKUP(H93,Key!$A$2:$B$13,2,FALSE)</f>
        <v>Car</v>
      </c>
      <c r="J93" s="37" t="s">
        <v>123</v>
      </c>
      <c r="K93" s="37">
        <v>2</v>
      </c>
      <c r="L93" s="45" t="str">
        <f>VLOOKUP(K93,Key!$A$24:$B$29,2,FALSE)</f>
        <v>30-39</v>
      </c>
      <c r="M93" s="37" t="s">
        <v>167</v>
      </c>
      <c r="N93" s="32" t="s">
        <v>167</v>
      </c>
      <c r="O93" s="37" t="s">
        <v>168</v>
      </c>
      <c r="P93" s="39">
        <v>1</v>
      </c>
      <c r="Q93" s="34" t="str">
        <f>VLOOKUP(P93,Key!$E$2:$F$9,2,FALSE)</f>
        <v>Home</v>
      </c>
      <c r="R93" s="37" t="s">
        <v>176</v>
      </c>
      <c r="S93" s="32" t="s">
        <v>176</v>
      </c>
      <c r="T93" s="37" t="s">
        <v>168</v>
      </c>
      <c r="U93" s="32">
        <v>4</v>
      </c>
      <c r="V93" s="34" t="str">
        <f>VLOOKUP(U93,Key!$E$2:$F$9,2,FALSE)</f>
        <v>Commercial</v>
      </c>
      <c r="W93" s="34" t="str">
        <f t="shared" si="2"/>
        <v>Home-Commercial</v>
      </c>
      <c r="X93" s="47">
        <v>40000</v>
      </c>
      <c r="Y93" s="38">
        <v>80</v>
      </c>
      <c r="Z93" s="38">
        <v>2.5</v>
      </c>
      <c r="AA93" s="32">
        <v>6</v>
      </c>
      <c r="AB93" s="34" t="str">
        <f>VLOOKUP(AA93,Key!$C$20:$D$29,2,FALSE)</f>
        <v>Businessman</v>
      </c>
      <c r="AC93" s="32">
        <v>3</v>
      </c>
      <c r="AD93" s="34" t="str">
        <f>VLOOKUP(AC93,Key!$E$20:$F$24,2,FALSE)</f>
        <v>500,000-750,000</v>
      </c>
      <c r="AE93" s="32">
        <v>2</v>
      </c>
      <c r="AF93" s="55">
        <v>3</v>
      </c>
      <c r="AG93" s="55">
        <v>5</v>
      </c>
      <c r="AH93" s="55">
        <v>1</v>
      </c>
      <c r="AI93" s="55">
        <v>4</v>
      </c>
      <c r="AJ93" s="39" t="s">
        <v>104</v>
      </c>
      <c r="AK93" s="40">
        <v>4000</v>
      </c>
      <c r="AL93" s="24"/>
      <c r="AM93" s="24"/>
    </row>
    <row r="94" spans="1:39" x14ac:dyDescent="0.2">
      <c r="A94" s="10"/>
      <c r="B94" s="50">
        <v>43690</v>
      </c>
      <c r="C94" s="35">
        <v>0.4458333333333333</v>
      </c>
      <c r="D94" s="35"/>
      <c r="E94" s="35" t="s">
        <v>111</v>
      </c>
      <c r="F94" s="37">
        <v>2</v>
      </c>
      <c r="G94" s="42" t="str">
        <f>VLOOKUP(F94,Key!$A$17:$B$21,2,FALSE)</f>
        <v>Road Vehicle</v>
      </c>
      <c r="H94" s="36">
        <v>1</v>
      </c>
      <c r="I94" s="43" t="str">
        <f>VLOOKUP(H94,Key!$A$2:$B$13,2,FALSE)</f>
        <v>Car</v>
      </c>
      <c r="J94" s="37" t="s">
        <v>123</v>
      </c>
      <c r="K94" s="37">
        <v>2</v>
      </c>
      <c r="L94" s="45" t="str">
        <f>VLOOKUP(K94,Key!$A$24:$B$29,2,FALSE)</f>
        <v>30-39</v>
      </c>
      <c r="M94" s="37" t="s">
        <v>167</v>
      </c>
      <c r="N94" s="32" t="s">
        <v>167</v>
      </c>
      <c r="O94" s="37" t="s">
        <v>168</v>
      </c>
      <c r="P94" s="39">
        <v>1</v>
      </c>
      <c r="Q94" s="34" t="str">
        <f>VLOOKUP(P94,Key!$E$2:$F$9,2,FALSE)</f>
        <v>Home</v>
      </c>
      <c r="R94" s="37" t="s">
        <v>176</v>
      </c>
      <c r="S94" s="32" t="s">
        <v>176</v>
      </c>
      <c r="T94" s="37" t="s">
        <v>168</v>
      </c>
      <c r="U94" s="32">
        <v>4</v>
      </c>
      <c r="V94" s="34" t="str">
        <f>VLOOKUP(U94,Key!$E$2:$F$9,2,FALSE)</f>
        <v>Commercial</v>
      </c>
      <c r="W94" s="34" t="str">
        <f t="shared" si="2"/>
        <v>Home-Commercial</v>
      </c>
      <c r="X94" s="47">
        <v>50000</v>
      </c>
      <c r="Y94" s="38">
        <v>80</v>
      </c>
      <c r="Z94" s="38">
        <v>2.5</v>
      </c>
      <c r="AA94" s="32">
        <v>6</v>
      </c>
      <c r="AB94" s="34" t="str">
        <f>VLOOKUP(AA94,Key!$C$20:$D$29,2,FALSE)</f>
        <v>Businessman</v>
      </c>
      <c r="AC94" s="32">
        <v>2</v>
      </c>
      <c r="AD94" s="34" t="str">
        <f>VLOOKUP(AC94,Key!$E$20:$F$24,2,FALSE)</f>
        <v>300,000-500,000</v>
      </c>
      <c r="AE94" s="32">
        <v>2</v>
      </c>
      <c r="AF94" s="55">
        <v>3</v>
      </c>
      <c r="AG94" s="55">
        <v>4</v>
      </c>
      <c r="AH94" s="55">
        <v>1</v>
      </c>
      <c r="AI94" s="55">
        <v>5</v>
      </c>
      <c r="AJ94" s="39" t="s">
        <v>104</v>
      </c>
      <c r="AK94" s="40"/>
      <c r="AL94" s="24"/>
      <c r="AM94" s="24"/>
    </row>
    <row r="95" spans="1:39" x14ac:dyDescent="0.2">
      <c r="B95" s="50">
        <v>43687</v>
      </c>
      <c r="C95" s="35">
        <v>0.39930555555555558</v>
      </c>
      <c r="D95" s="35"/>
      <c r="E95" s="35" t="s">
        <v>111</v>
      </c>
      <c r="F95" s="37">
        <v>2</v>
      </c>
      <c r="G95" s="42" t="str">
        <f>VLOOKUP(F95,Key!$A$17:$B$21,2,FALSE)</f>
        <v>Road Vehicle</v>
      </c>
      <c r="H95" s="36">
        <v>1</v>
      </c>
      <c r="I95" s="43" t="str">
        <f>VLOOKUP(H95,Key!$A$2:$B$13,2,FALSE)</f>
        <v>Car</v>
      </c>
      <c r="J95" s="37" t="s">
        <v>123</v>
      </c>
      <c r="K95" s="37">
        <v>2</v>
      </c>
      <c r="L95" s="45" t="str">
        <f>VLOOKUP(K95,Key!$A$24:$B$29,2,FALSE)</f>
        <v>30-39</v>
      </c>
      <c r="M95" s="37" t="s">
        <v>176</v>
      </c>
      <c r="N95" s="32" t="s">
        <v>176</v>
      </c>
      <c r="O95" s="37" t="s">
        <v>168</v>
      </c>
      <c r="P95" s="39">
        <v>2</v>
      </c>
      <c r="Q95" s="34" t="str">
        <f>VLOOKUP(P95,Key!$E$2:$F$9,2,FALSE)</f>
        <v>Work</v>
      </c>
      <c r="R95" s="37" t="s">
        <v>167</v>
      </c>
      <c r="S95" s="32" t="s">
        <v>167</v>
      </c>
      <c r="T95" s="37" t="s">
        <v>168</v>
      </c>
      <c r="U95" s="32">
        <v>1</v>
      </c>
      <c r="V95" s="34" t="str">
        <f>VLOOKUP(U95,Key!$E$2:$F$9,2,FALSE)</f>
        <v>Home</v>
      </c>
      <c r="W95" s="34" t="str">
        <f t="shared" si="2"/>
        <v>Work-Home</v>
      </c>
      <c r="X95" s="47">
        <v>40000</v>
      </c>
      <c r="Y95" s="38">
        <v>80</v>
      </c>
      <c r="Z95" s="38">
        <v>3</v>
      </c>
      <c r="AA95" s="32">
        <v>10</v>
      </c>
      <c r="AB95" s="34" t="str">
        <f>VLOOKUP(AA95,Key!$C$20:$D$29,2,FALSE)</f>
        <v>Other</v>
      </c>
      <c r="AC95" s="32">
        <v>2</v>
      </c>
      <c r="AD95" s="34" t="str">
        <f>VLOOKUP(AC95,Key!$E$20:$F$24,2,FALSE)</f>
        <v>300,000-500,000</v>
      </c>
      <c r="AE95" s="32">
        <v>2</v>
      </c>
      <c r="AF95" s="55">
        <v>3</v>
      </c>
      <c r="AG95" s="55">
        <v>4</v>
      </c>
      <c r="AH95" s="55">
        <v>1</v>
      </c>
      <c r="AI95" s="55">
        <v>5</v>
      </c>
      <c r="AJ95" s="39" t="s">
        <v>104</v>
      </c>
      <c r="AK95" s="40"/>
      <c r="AL95" s="24"/>
      <c r="AM95" s="24"/>
    </row>
    <row r="96" spans="1:39" x14ac:dyDescent="0.2">
      <c r="B96" s="50">
        <v>43687</v>
      </c>
      <c r="C96" s="35">
        <v>0.73125000000000007</v>
      </c>
      <c r="D96" s="35"/>
      <c r="E96" s="35" t="s">
        <v>111</v>
      </c>
      <c r="F96" s="37">
        <v>2</v>
      </c>
      <c r="G96" s="42" t="str">
        <f>VLOOKUP(F96,Key!$A$17:$B$21,2,FALSE)</f>
        <v>Road Vehicle</v>
      </c>
      <c r="H96" s="36">
        <v>1</v>
      </c>
      <c r="I96" s="43" t="str">
        <f>VLOOKUP(H96,Key!$A$2:$B$13,2,FALSE)</f>
        <v>Car</v>
      </c>
      <c r="J96" s="37" t="s">
        <v>123</v>
      </c>
      <c r="K96" s="13">
        <v>2</v>
      </c>
      <c r="L96" s="45" t="str">
        <f>VLOOKUP(K96,Key!$A$24:$B$29,2,FALSE)</f>
        <v>30-39</v>
      </c>
      <c r="M96" s="44" t="s">
        <v>167</v>
      </c>
      <c r="N96" s="32" t="s">
        <v>167</v>
      </c>
      <c r="O96" s="37" t="s">
        <v>168</v>
      </c>
      <c r="P96" s="39">
        <v>1</v>
      </c>
      <c r="Q96" s="34" t="str">
        <f>VLOOKUP(P96,Key!$E$2:$F$9,2,FALSE)</f>
        <v>Home</v>
      </c>
      <c r="R96" s="37" t="s">
        <v>176</v>
      </c>
      <c r="S96" s="32" t="s">
        <v>176</v>
      </c>
      <c r="T96" s="37" t="s">
        <v>168</v>
      </c>
      <c r="U96" s="32">
        <v>2</v>
      </c>
      <c r="V96" s="34" t="str">
        <f>VLOOKUP(U96,Key!$E$2:$F$9,2,FALSE)</f>
        <v>Work</v>
      </c>
      <c r="W96" s="34" t="str">
        <f t="shared" si="2"/>
        <v>Home-Work</v>
      </c>
      <c r="X96" s="47">
        <v>40000</v>
      </c>
      <c r="Y96" s="38">
        <v>80</v>
      </c>
      <c r="Z96" s="38">
        <v>3</v>
      </c>
      <c r="AA96" s="32">
        <v>5</v>
      </c>
      <c r="AB96" s="34" t="str">
        <f>VLOOKUP(AA96,Key!$C$20:$D$29,2,FALSE)</f>
        <v>Professional</v>
      </c>
      <c r="AC96" s="32">
        <v>3</v>
      </c>
      <c r="AD96" s="34" t="str">
        <f>VLOOKUP(AC96,Key!$E$20:$F$24,2,FALSE)</f>
        <v>500,000-750,000</v>
      </c>
      <c r="AE96" s="32">
        <v>3</v>
      </c>
      <c r="AF96" s="55">
        <v>2</v>
      </c>
      <c r="AG96" s="55">
        <v>4</v>
      </c>
      <c r="AH96" s="55">
        <v>1</v>
      </c>
      <c r="AI96" s="55">
        <v>5</v>
      </c>
      <c r="AJ96" s="39" t="s">
        <v>104</v>
      </c>
      <c r="AK96" s="40">
        <v>2000</v>
      </c>
      <c r="AL96" s="24"/>
      <c r="AM96" s="24"/>
    </row>
    <row r="97" spans="1:39" x14ac:dyDescent="0.2">
      <c r="A97" s="10"/>
      <c r="B97" s="50">
        <v>43690</v>
      </c>
      <c r="C97" s="35">
        <v>0.67361111111111116</v>
      </c>
      <c r="D97" s="35"/>
      <c r="E97" s="35" t="s">
        <v>111</v>
      </c>
      <c r="F97" s="37">
        <v>2</v>
      </c>
      <c r="G97" s="42" t="str">
        <f>VLOOKUP(F97,Key!$A$17:$B$21,2,FALSE)</f>
        <v>Road Vehicle</v>
      </c>
      <c r="H97" s="36">
        <v>1</v>
      </c>
      <c r="I97" s="43" t="str">
        <f>VLOOKUP(H97,Key!$A$2:$B$13,2,FALSE)</f>
        <v>Car</v>
      </c>
      <c r="J97" s="37" t="s">
        <v>123</v>
      </c>
      <c r="K97" s="37">
        <v>2</v>
      </c>
      <c r="L97" s="45" t="str">
        <f>VLOOKUP(K97,Key!$A$24:$B$29,2,FALSE)</f>
        <v>30-39</v>
      </c>
      <c r="M97" s="37" t="s">
        <v>167</v>
      </c>
      <c r="N97" s="32" t="s">
        <v>167</v>
      </c>
      <c r="O97" s="37" t="s">
        <v>168</v>
      </c>
      <c r="P97" s="39">
        <v>2</v>
      </c>
      <c r="Q97" s="34" t="str">
        <f>VLOOKUP(P97,Key!$E$2:$F$9,2,FALSE)</f>
        <v>Work</v>
      </c>
      <c r="R97" s="37" t="s">
        <v>176</v>
      </c>
      <c r="S97" s="32" t="s">
        <v>176</v>
      </c>
      <c r="T97" s="37" t="s">
        <v>168</v>
      </c>
      <c r="U97" s="32">
        <v>2</v>
      </c>
      <c r="V97" s="34" t="str">
        <f>VLOOKUP(U97,Key!$E$2:$F$9,2,FALSE)</f>
        <v>Work</v>
      </c>
      <c r="W97" s="34" t="str">
        <f t="shared" si="2"/>
        <v>Work-Work</v>
      </c>
      <c r="X97" s="47">
        <v>140000</v>
      </c>
      <c r="Y97" s="38">
        <v>80</v>
      </c>
      <c r="Z97" s="38">
        <v>8</v>
      </c>
      <c r="AA97" s="32">
        <v>6</v>
      </c>
      <c r="AB97" s="34" t="str">
        <f>VLOOKUP(AA97,Key!$C$20:$D$29,2,FALSE)</f>
        <v>Businessman</v>
      </c>
      <c r="AC97" s="32">
        <v>3</v>
      </c>
      <c r="AD97" s="34" t="str">
        <f>VLOOKUP(AC97,Key!$E$20:$F$24,2,FALSE)</f>
        <v>500,000-750,000</v>
      </c>
      <c r="AE97" s="32">
        <v>3</v>
      </c>
      <c r="AF97" s="55">
        <v>4</v>
      </c>
      <c r="AG97" s="55">
        <v>3</v>
      </c>
      <c r="AH97" s="55">
        <v>3</v>
      </c>
      <c r="AI97" s="55">
        <v>3</v>
      </c>
      <c r="AJ97" s="39" t="s">
        <v>104</v>
      </c>
      <c r="AK97" s="40">
        <v>5000</v>
      </c>
      <c r="AL97" s="24"/>
      <c r="AM97" s="24"/>
    </row>
    <row r="98" spans="1:39" x14ac:dyDescent="0.2">
      <c r="B98" s="50">
        <v>43687</v>
      </c>
      <c r="C98" s="35">
        <v>0.55555555555555558</v>
      </c>
      <c r="D98" s="35"/>
      <c r="E98" s="35" t="s">
        <v>111</v>
      </c>
      <c r="F98" s="37">
        <v>2</v>
      </c>
      <c r="G98" s="42" t="str">
        <f>VLOOKUP(F98,Key!$A$17:$B$21,2,FALSE)</f>
        <v>Road Vehicle</v>
      </c>
      <c r="H98" s="36">
        <v>1</v>
      </c>
      <c r="I98" s="43" t="str">
        <f>VLOOKUP(H98,Key!$A$2:$B$13,2,FALSE)</f>
        <v>Car</v>
      </c>
      <c r="J98" s="37" t="s">
        <v>123</v>
      </c>
      <c r="K98" s="37">
        <v>2</v>
      </c>
      <c r="L98" s="45" t="str">
        <f>VLOOKUP(K98,Key!$A$24:$B$29,2,FALSE)</f>
        <v>30-39</v>
      </c>
      <c r="M98" s="37" t="s">
        <v>299</v>
      </c>
      <c r="N98" s="32" t="s">
        <v>167</v>
      </c>
      <c r="O98" s="37" t="s">
        <v>168</v>
      </c>
      <c r="P98" s="39">
        <v>1</v>
      </c>
      <c r="Q98" s="34" t="str">
        <f>VLOOKUP(P98,Key!$E$2:$F$9,2,FALSE)</f>
        <v>Home</v>
      </c>
      <c r="R98" s="37" t="s">
        <v>176</v>
      </c>
      <c r="S98" s="32" t="s">
        <v>176</v>
      </c>
      <c r="T98" s="37" t="s">
        <v>168</v>
      </c>
      <c r="U98" s="32">
        <v>6</v>
      </c>
      <c r="V98" s="34" t="str">
        <f>VLOOKUP(U98,Key!$E$2:$F$9,2,FALSE)</f>
        <v>Leisure/Social</v>
      </c>
      <c r="W98" s="34" t="str">
        <f t="shared" si="2"/>
        <v>Home-Leisure/Social</v>
      </c>
      <c r="X98" s="47">
        <v>45000</v>
      </c>
      <c r="Y98" s="38">
        <v>82</v>
      </c>
      <c r="Z98" s="38">
        <v>3.5</v>
      </c>
      <c r="AA98" s="32">
        <v>6</v>
      </c>
      <c r="AB98" s="34" t="str">
        <f>VLOOKUP(AA98,Key!$C$20:$D$29,2,FALSE)</f>
        <v>Businessman</v>
      </c>
      <c r="AC98" s="32">
        <v>2</v>
      </c>
      <c r="AD98" s="34" t="str">
        <f>VLOOKUP(AC98,Key!$E$20:$F$24,2,FALSE)</f>
        <v>300,000-500,000</v>
      </c>
      <c r="AE98" s="32">
        <v>3</v>
      </c>
      <c r="AF98" s="55">
        <v>3</v>
      </c>
      <c r="AG98" s="55">
        <v>2</v>
      </c>
      <c r="AH98" s="55">
        <v>3</v>
      </c>
      <c r="AI98" s="55">
        <v>2</v>
      </c>
      <c r="AJ98" s="39" t="s">
        <v>104</v>
      </c>
      <c r="AK98" s="40">
        <v>2000</v>
      </c>
      <c r="AL98" s="24"/>
      <c r="AM98" s="24"/>
    </row>
    <row r="99" spans="1:39" x14ac:dyDescent="0.2">
      <c r="B99" s="50">
        <v>43687</v>
      </c>
      <c r="C99" s="35">
        <v>0.63055555555555554</v>
      </c>
      <c r="D99" s="35"/>
      <c r="E99" s="35" t="s">
        <v>111</v>
      </c>
      <c r="F99" s="37">
        <v>2</v>
      </c>
      <c r="G99" s="42" t="str">
        <f>VLOOKUP(F99,Key!$A$17:$B$21,2,FALSE)</f>
        <v>Road Vehicle</v>
      </c>
      <c r="H99" s="36">
        <v>1</v>
      </c>
      <c r="I99" s="43" t="str">
        <f>VLOOKUP(H99,Key!$A$2:$B$13,2,FALSE)</f>
        <v>Car</v>
      </c>
      <c r="J99" s="37" t="s">
        <v>123</v>
      </c>
      <c r="K99" s="37">
        <v>2</v>
      </c>
      <c r="L99" s="45" t="str">
        <f>VLOOKUP(K99,Key!$A$24:$B$29,2,FALSE)</f>
        <v>30-39</v>
      </c>
      <c r="M99" s="37" t="s">
        <v>187</v>
      </c>
      <c r="N99" s="32" t="s">
        <v>167</v>
      </c>
      <c r="O99" s="37" t="s">
        <v>168</v>
      </c>
      <c r="P99" s="39">
        <v>2</v>
      </c>
      <c r="Q99" s="34" t="str">
        <f>VLOOKUP(P99,Key!$E$2:$F$9,2,FALSE)</f>
        <v>Work</v>
      </c>
      <c r="R99" s="37" t="s">
        <v>176</v>
      </c>
      <c r="S99" s="32" t="s">
        <v>176</v>
      </c>
      <c r="T99" s="37" t="s">
        <v>168</v>
      </c>
      <c r="U99" s="32">
        <v>4</v>
      </c>
      <c r="V99" s="34" t="str">
        <f>VLOOKUP(U99,Key!$E$2:$F$9,2,FALSE)</f>
        <v>Commercial</v>
      </c>
      <c r="W99" s="34" t="str">
        <f t="shared" si="2"/>
        <v>Work-Commercial</v>
      </c>
      <c r="X99" s="47">
        <v>50000</v>
      </c>
      <c r="Y99" s="38">
        <v>82</v>
      </c>
      <c r="Z99" s="38">
        <v>4</v>
      </c>
      <c r="AA99" s="32">
        <v>6</v>
      </c>
      <c r="AB99" s="34" t="str">
        <f>VLOOKUP(AA99,Key!$C$20:$D$29,2,FALSE)</f>
        <v>Businessman</v>
      </c>
      <c r="AC99" s="32">
        <v>2</v>
      </c>
      <c r="AD99" s="34" t="str">
        <f>VLOOKUP(AC99,Key!$E$20:$F$24,2,FALSE)</f>
        <v>300,000-500,000</v>
      </c>
      <c r="AE99" s="32">
        <v>3</v>
      </c>
      <c r="AF99" s="55">
        <v>2</v>
      </c>
      <c r="AG99" s="55">
        <v>2</v>
      </c>
      <c r="AH99" s="55">
        <v>3</v>
      </c>
      <c r="AI99" s="55">
        <v>2</v>
      </c>
      <c r="AJ99" s="39" t="s">
        <v>104</v>
      </c>
      <c r="AK99" s="40">
        <v>2500</v>
      </c>
      <c r="AL99" s="24"/>
      <c r="AM99" s="24"/>
    </row>
    <row r="100" spans="1:39" x14ac:dyDescent="0.2">
      <c r="B100" s="50">
        <v>43688</v>
      </c>
      <c r="C100" s="35">
        <v>0.65277777777777779</v>
      </c>
      <c r="D100" s="35"/>
      <c r="E100" s="35" t="s">
        <v>111</v>
      </c>
      <c r="F100" s="37">
        <v>2</v>
      </c>
      <c r="G100" s="42" t="str">
        <f>VLOOKUP(F100,Key!$A$17:$B$21,2,FALSE)</f>
        <v>Road Vehicle</v>
      </c>
      <c r="H100" s="36">
        <v>1</v>
      </c>
      <c r="I100" s="43" t="str">
        <f>VLOOKUP(H100,Key!$A$2:$B$13,2,FALSE)</f>
        <v>Car</v>
      </c>
      <c r="J100" s="37" t="s">
        <v>123</v>
      </c>
      <c r="K100" s="37">
        <v>2</v>
      </c>
      <c r="L100" s="45" t="str">
        <f>VLOOKUP(K100,Key!$A$24:$B$29,2,FALSE)</f>
        <v>30-39</v>
      </c>
      <c r="M100" s="37" t="s">
        <v>237</v>
      </c>
      <c r="N100" s="32" t="s">
        <v>176</v>
      </c>
      <c r="O100" s="37" t="s">
        <v>168</v>
      </c>
      <c r="P100" s="39">
        <v>1</v>
      </c>
      <c r="Q100" s="34" t="str">
        <f>VLOOKUP(P100,Key!$E$2:$F$9,2,FALSE)</f>
        <v>Home</v>
      </c>
      <c r="R100" s="37" t="s">
        <v>167</v>
      </c>
      <c r="S100" s="32" t="s">
        <v>167</v>
      </c>
      <c r="T100" s="37" t="s">
        <v>168</v>
      </c>
      <c r="U100" s="32">
        <v>6</v>
      </c>
      <c r="V100" s="34" t="str">
        <f>VLOOKUP(U100,Key!$E$2:$F$9,2,FALSE)</f>
        <v>Leisure/Social</v>
      </c>
      <c r="W100" s="34" t="str">
        <f t="shared" si="2"/>
        <v>Home-Leisure/Social</v>
      </c>
      <c r="X100" s="47">
        <v>40000</v>
      </c>
      <c r="Y100" s="38">
        <v>90</v>
      </c>
      <c r="Z100" s="38">
        <v>4</v>
      </c>
      <c r="AA100" s="32">
        <v>10</v>
      </c>
      <c r="AB100" s="34" t="str">
        <f>VLOOKUP(AA100,Key!$C$20:$D$29,2,FALSE)</f>
        <v>Other</v>
      </c>
      <c r="AC100" s="32">
        <v>2</v>
      </c>
      <c r="AD100" s="34" t="str">
        <f>VLOOKUP(AC100,Key!$E$20:$F$24,2,FALSE)</f>
        <v>300,000-500,000</v>
      </c>
      <c r="AE100" s="32">
        <v>1</v>
      </c>
      <c r="AF100" s="55">
        <v>2</v>
      </c>
      <c r="AG100" s="55">
        <v>3</v>
      </c>
      <c r="AH100" s="55">
        <v>2</v>
      </c>
      <c r="AI100" s="55">
        <v>4</v>
      </c>
      <c r="AJ100" s="39" t="s">
        <v>104</v>
      </c>
      <c r="AK100" s="40">
        <v>3000</v>
      </c>
      <c r="AL100" s="24"/>
      <c r="AM100" s="24"/>
    </row>
    <row r="101" spans="1:39" x14ac:dyDescent="0.2">
      <c r="A101" s="10"/>
      <c r="B101" s="50">
        <v>43690</v>
      </c>
      <c r="C101" s="35">
        <v>0.44097222222222227</v>
      </c>
      <c r="D101" s="35"/>
      <c r="E101" s="35" t="s">
        <v>111</v>
      </c>
      <c r="F101" s="37">
        <v>2</v>
      </c>
      <c r="G101" s="42" t="str">
        <f>VLOOKUP(F101,Key!$A$17:$B$21,2,FALSE)</f>
        <v>Road Vehicle</v>
      </c>
      <c r="H101" s="36">
        <v>1</v>
      </c>
      <c r="I101" s="43" t="str">
        <f>VLOOKUP(H101,Key!$A$2:$B$13,2,FALSE)</f>
        <v>Car</v>
      </c>
      <c r="J101" s="37" t="s">
        <v>123</v>
      </c>
      <c r="K101" s="37">
        <v>2</v>
      </c>
      <c r="L101" s="45" t="str">
        <f>VLOOKUP(K101,Key!$A$24:$B$29,2,FALSE)</f>
        <v>30-39</v>
      </c>
      <c r="M101" s="37" t="s">
        <v>182</v>
      </c>
      <c r="N101" s="32" t="s">
        <v>167</v>
      </c>
      <c r="O101" s="37" t="s">
        <v>168</v>
      </c>
      <c r="P101" s="39">
        <v>1</v>
      </c>
      <c r="Q101" s="34" t="str">
        <f>VLOOKUP(P101,Key!$E$2:$F$9,2,FALSE)</f>
        <v>Home</v>
      </c>
      <c r="R101" s="37" t="s">
        <v>176</v>
      </c>
      <c r="S101" s="32" t="s">
        <v>176</v>
      </c>
      <c r="T101" s="37" t="s">
        <v>168</v>
      </c>
      <c r="U101" s="32">
        <v>6</v>
      </c>
      <c r="V101" s="34" t="str">
        <f>VLOOKUP(U101,Key!$E$2:$F$9,2,FALSE)</f>
        <v>Leisure/Social</v>
      </c>
      <c r="W101" s="34" t="str">
        <f t="shared" ref="W101:W132" si="3">Q101&amp;"-"&amp;V101</f>
        <v>Home-Leisure/Social</v>
      </c>
      <c r="X101" s="47">
        <v>60000</v>
      </c>
      <c r="Y101" s="38">
        <v>90</v>
      </c>
      <c r="Z101" s="38">
        <v>4</v>
      </c>
      <c r="AA101" s="32">
        <v>4</v>
      </c>
      <c r="AB101" s="34" t="str">
        <f>VLOOKUP(AA101,Key!$C$20:$D$29,2,FALSE)</f>
        <v>Office Worker</v>
      </c>
      <c r="AC101" s="32">
        <v>3</v>
      </c>
      <c r="AD101" s="34" t="str">
        <f>VLOOKUP(AC101,Key!$E$20:$F$24,2,FALSE)</f>
        <v>500,000-750,000</v>
      </c>
      <c r="AE101" s="32">
        <v>2</v>
      </c>
      <c r="AF101" s="55">
        <v>3</v>
      </c>
      <c r="AG101" s="55">
        <v>3</v>
      </c>
      <c r="AH101" s="55">
        <v>1</v>
      </c>
      <c r="AI101" s="55">
        <v>4</v>
      </c>
      <c r="AJ101" s="39" t="s">
        <v>104</v>
      </c>
      <c r="AK101" s="40"/>
      <c r="AL101" s="24"/>
      <c r="AM101" s="24"/>
    </row>
    <row r="102" spans="1:39" x14ac:dyDescent="0.2">
      <c r="B102" s="50">
        <v>43686</v>
      </c>
      <c r="C102" s="35">
        <v>0.625</v>
      </c>
      <c r="D102" s="35"/>
      <c r="E102" s="35" t="s">
        <v>111</v>
      </c>
      <c r="F102" s="37">
        <v>2</v>
      </c>
      <c r="G102" s="42" t="str">
        <f>VLOOKUP(F102,Key!$A$17:$B$21,2,FALSE)</f>
        <v>Road Vehicle</v>
      </c>
      <c r="H102" s="36">
        <v>1</v>
      </c>
      <c r="I102" s="43" t="str">
        <f>VLOOKUP(H102,Key!$A$2:$B$13,2,FALSE)</f>
        <v>Car</v>
      </c>
      <c r="J102" s="37" t="s">
        <v>123</v>
      </c>
      <c r="K102" s="37">
        <v>3</v>
      </c>
      <c r="L102" s="45" t="str">
        <f>VLOOKUP(K102,Key!$A$24:$B$29,2,FALSE)</f>
        <v>40-49</v>
      </c>
      <c r="M102" s="37" t="s">
        <v>173</v>
      </c>
      <c r="N102" s="32" t="s">
        <v>173</v>
      </c>
      <c r="O102" s="37" t="s">
        <v>168</v>
      </c>
      <c r="P102" s="39">
        <v>1</v>
      </c>
      <c r="Q102" s="34" t="str">
        <f>VLOOKUP(P102,Key!$E$2:$F$9,2,FALSE)</f>
        <v>Home</v>
      </c>
      <c r="R102" s="37" t="s">
        <v>167</v>
      </c>
      <c r="S102" s="32" t="s">
        <v>167</v>
      </c>
      <c r="T102" s="37" t="s">
        <v>168</v>
      </c>
      <c r="U102" s="32">
        <v>4</v>
      </c>
      <c r="V102" s="34" t="str">
        <f>VLOOKUP(U102,Key!$E$2:$F$9,2,FALSE)</f>
        <v>Commercial</v>
      </c>
      <c r="W102" s="34" t="str">
        <f t="shared" si="3"/>
        <v>Home-Commercial</v>
      </c>
      <c r="X102" s="47">
        <v>35000</v>
      </c>
      <c r="Y102" s="38">
        <v>60</v>
      </c>
      <c r="Z102" s="38">
        <v>1</v>
      </c>
      <c r="AA102" s="32">
        <v>7</v>
      </c>
      <c r="AB102" s="34" t="str">
        <f>VLOOKUP(AA102,Key!$C$20:$D$29,2,FALSE)</f>
        <v>Farmer</v>
      </c>
      <c r="AC102" s="32">
        <v>2</v>
      </c>
      <c r="AD102" s="34" t="str">
        <f>VLOOKUP(AC102,Key!$E$20:$F$24,2,FALSE)</f>
        <v>300,000-500,000</v>
      </c>
      <c r="AE102" s="32">
        <v>1</v>
      </c>
      <c r="AF102" s="55">
        <v>2</v>
      </c>
      <c r="AG102" s="55">
        <v>1</v>
      </c>
      <c r="AH102" s="55">
        <v>1</v>
      </c>
      <c r="AI102" s="55">
        <v>3</v>
      </c>
      <c r="AJ102" s="39" t="s">
        <v>104</v>
      </c>
      <c r="AK102" s="40">
        <v>1000</v>
      </c>
      <c r="AL102" s="24"/>
      <c r="AM102" s="24"/>
    </row>
    <row r="103" spans="1:39" x14ac:dyDescent="0.2">
      <c r="B103" s="50">
        <v>43687</v>
      </c>
      <c r="C103" s="35">
        <v>0.30208333333333331</v>
      </c>
      <c r="D103" s="35"/>
      <c r="E103" s="35" t="s">
        <v>111</v>
      </c>
      <c r="F103" s="37">
        <v>2</v>
      </c>
      <c r="G103" s="42" t="str">
        <f>VLOOKUP(F103,Key!$A$17:$B$21,2,FALSE)</f>
        <v>Road Vehicle</v>
      </c>
      <c r="H103" s="36">
        <v>1</v>
      </c>
      <c r="I103" s="43" t="str">
        <f>VLOOKUP(H103,Key!$A$2:$B$13,2,FALSE)</f>
        <v>Car</v>
      </c>
      <c r="J103" s="37" t="s">
        <v>123</v>
      </c>
      <c r="K103" s="37">
        <v>3</v>
      </c>
      <c r="L103" s="45" t="str">
        <f>VLOOKUP(K103,Key!$A$24:$B$29,2,FALSE)</f>
        <v>40-49</v>
      </c>
      <c r="M103" s="37" t="s">
        <v>322</v>
      </c>
      <c r="N103" s="32" t="s">
        <v>167</v>
      </c>
      <c r="O103" s="37" t="s">
        <v>168</v>
      </c>
      <c r="P103" s="39">
        <v>8</v>
      </c>
      <c r="Q103" s="34" t="str">
        <f>VLOOKUP(P103,Key!$E$2:$F$9,2,FALSE)</f>
        <v>Others</v>
      </c>
      <c r="R103" s="37" t="s">
        <v>189</v>
      </c>
      <c r="S103" s="32" t="s">
        <v>190</v>
      </c>
      <c r="T103" s="37" t="s">
        <v>168</v>
      </c>
      <c r="U103" s="32">
        <v>8</v>
      </c>
      <c r="V103" s="34" t="str">
        <f>VLOOKUP(U103,Key!$E$2:$F$9,2,FALSE)</f>
        <v>Others</v>
      </c>
      <c r="W103" s="34" t="str">
        <f t="shared" si="3"/>
        <v>Others-Others</v>
      </c>
      <c r="X103" s="47">
        <v>50000</v>
      </c>
      <c r="Y103" s="38">
        <v>70</v>
      </c>
      <c r="Z103" s="38">
        <v>2</v>
      </c>
      <c r="AA103" s="32">
        <v>4</v>
      </c>
      <c r="AB103" s="34" t="str">
        <f>VLOOKUP(AA103,Key!$C$20:$D$29,2,FALSE)</f>
        <v>Office Worker</v>
      </c>
      <c r="AC103" s="32">
        <v>5</v>
      </c>
      <c r="AD103" s="34" t="str">
        <f>VLOOKUP(AC103,Key!$E$20:$F$24,2,FALSE)</f>
        <v>&gt;1,000,000</v>
      </c>
      <c r="AE103" s="32">
        <v>1</v>
      </c>
      <c r="AF103" s="55">
        <v>1</v>
      </c>
      <c r="AG103" s="55">
        <v>1</v>
      </c>
      <c r="AH103" s="55">
        <v>1</v>
      </c>
      <c r="AI103" s="55">
        <v>1</v>
      </c>
      <c r="AJ103" s="39" t="s">
        <v>104</v>
      </c>
      <c r="AK103" s="40">
        <v>2000</v>
      </c>
      <c r="AL103" s="24"/>
      <c r="AM103" s="24"/>
    </row>
    <row r="104" spans="1:39" x14ac:dyDescent="0.2">
      <c r="B104" s="50">
        <v>43687</v>
      </c>
      <c r="C104" s="35">
        <v>0.52847222222222223</v>
      </c>
      <c r="D104" s="35"/>
      <c r="E104" s="35" t="s">
        <v>111</v>
      </c>
      <c r="F104" s="37">
        <v>2</v>
      </c>
      <c r="G104" s="42" t="str">
        <f>VLOOKUP(F104,Key!$A$17:$B$21,2,FALSE)</f>
        <v>Road Vehicle</v>
      </c>
      <c r="H104" s="36">
        <v>1</v>
      </c>
      <c r="I104" s="43" t="str">
        <f>VLOOKUP(H104,Key!$A$2:$B$13,2,FALSE)</f>
        <v>Car</v>
      </c>
      <c r="J104" s="37" t="s">
        <v>123</v>
      </c>
      <c r="K104" s="37">
        <v>3</v>
      </c>
      <c r="L104" s="45" t="str">
        <f>VLOOKUP(K104,Key!$A$24:$B$29,2,FALSE)</f>
        <v>40-49</v>
      </c>
      <c r="M104" s="44" t="s">
        <v>223</v>
      </c>
      <c r="N104" s="44" t="s">
        <v>179</v>
      </c>
      <c r="O104" s="37" t="s">
        <v>168</v>
      </c>
      <c r="P104" s="39">
        <v>6</v>
      </c>
      <c r="Q104" s="34" t="str">
        <f>VLOOKUP(P104,Key!$E$2:$F$9,2,FALSE)</f>
        <v>Leisure/Social</v>
      </c>
      <c r="R104" s="37" t="s">
        <v>189</v>
      </c>
      <c r="S104" s="32" t="s">
        <v>190</v>
      </c>
      <c r="T104" s="37" t="s">
        <v>168</v>
      </c>
      <c r="U104" s="32">
        <v>1</v>
      </c>
      <c r="V104" s="34" t="str">
        <f>VLOOKUP(U104,Key!$E$2:$F$9,2,FALSE)</f>
        <v>Home</v>
      </c>
      <c r="W104" s="34" t="str">
        <f t="shared" si="3"/>
        <v>Leisure/Social-Home</v>
      </c>
      <c r="X104" s="47">
        <v>40000</v>
      </c>
      <c r="Y104" s="38">
        <v>70</v>
      </c>
      <c r="Z104" s="38">
        <v>3</v>
      </c>
      <c r="AA104" s="32">
        <v>4</v>
      </c>
      <c r="AB104" s="34" t="str">
        <f>VLOOKUP(AA104,Key!$C$20:$D$29,2,FALSE)</f>
        <v>Office Worker</v>
      </c>
      <c r="AC104" s="32">
        <v>4</v>
      </c>
      <c r="AD104" s="34" t="str">
        <f>VLOOKUP(AC104,Key!$E$20:$F$24,2,FALSE)</f>
        <v>750,000-1,000,000</v>
      </c>
      <c r="AE104" s="32">
        <v>1</v>
      </c>
      <c r="AF104" s="55">
        <v>1</v>
      </c>
      <c r="AG104" s="55">
        <v>1</v>
      </c>
      <c r="AH104" s="55">
        <v>1</v>
      </c>
      <c r="AI104" s="55">
        <v>1</v>
      </c>
      <c r="AJ104" s="39" t="s">
        <v>104</v>
      </c>
      <c r="AK104" s="40">
        <v>3000</v>
      </c>
      <c r="AL104" s="24"/>
      <c r="AM104" s="24"/>
    </row>
    <row r="105" spans="1:39" ht="12" customHeight="1" x14ac:dyDescent="0.2">
      <c r="B105" s="50">
        <v>43687</v>
      </c>
      <c r="C105" s="35">
        <v>0.56736111111111109</v>
      </c>
      <c r="D105" s="35"/>
      <c r="E105" s="35" t="s">
        <v>111</v>
      </c>
      <c r="F105" s="37">
        <v>2</v>
      </c>
      <c r="G105" s="42" t="str">
        <f>VLOOKUP(F105,Key!$A$17:$B$21,2,FALSE)</f>
        <v>Road Vehicle</v>
      </c>
      <c r="H105" s="36">
        <v>1</v>
      </c>
      <c r="I105" s="43" t="str">
        <f>VLOOKUP(H105,Key!$A$2:$B$13,2,FALSE)</f>
        <v>Car</v>
      </c>
      <c r="J105" s="37" t="s">
        <v>123</v>
      </c>
      <c r="K105" s="37">
        <v>3</v>
      </c>
      <c r="L105" s="45" t="str">
        <f>VLOOKUP(K105,Key!$A$24:$B$29,2,FALSE)</f>
        <v>40-49</v>
      </c>
      <c r="M105" s="37" t="s">
        <v>223</v>
      </c>
      <c r="N105" s="32" t="s">
        <v>179</v>
      </c>
      <c r="O105" s="37" t="s">
        <v>168</v>
      </c>
      <c r="P105" s="39">
        <v>6</v>
      </c>
      <c r="Q105" s="34" t="str">
        <f>VLOOKUP(P105,Key!$E$2:$F$9,2,FALSE)</f>
        <v>Leisure/Social</v>
      </c>
      <c r="R105" s="37" t="s">
        <v>189</v>
      </c>
      <c r="S105" s="32" t="s">
        <v>190</v>
      </c>
      <c r="T105" s="37" t="s">
        <v>168</v>
      </c>
      <c r="U105" s="32">
        <v>1</v>
      </c>
      <c r="V105" s="34" t="str">
        <f>VLOOKUP(U105,Key!$E$2:$F$9,2,FALSE)</f>
        <v>Home</v>
      </c>
      <c r="W105" s="34" t="str">
        <f t="shared" si="3"/>
        <v>Leisure/Social-Home</v>
      </c>
      <c r="X105" s="47">
        <v>40000</v>
      </c>
      <c r="Y105" s="38">
        <v>70</v>
      </c>
      <c r="Z105" s="38">
        <v>3</v>
      </c>
      <c r="AA105" s="32">
        <v>4</v>
      </c>
      <c r="AB105" s="34" t="str">
        <f>VLOOKUP(AA105,Key!$C$20:$D$29,2,FALSE)</f>
        <v>Office Worker</v>
      </c>
      <c r="AC105" s="32">
        <v>4</v>
      </c>
      <c r="AD105" s="34" t="str">
        <f>VLOOKUP(AC105,Key!$E$20:$F$24,2,FALSE)</f>
        <v>750,000-1,000,000</v>
      </c>
      <c r="AE105" s="32">
        <v>1</v>
      </c>
      <c r="AF105" s="55">
        <v>1</v>
      </c>
      <c r="AG105" s="55">
        <v>1</v>
      </c>
      <c r="AH105" s="55">
        <v>1</v>
      </c>
      <c r="AI105" s="55">
        <v>1</v>
      </c>
      <c r="AJ105" s="39" t="s">
        <v>104</v>
      </c>
      <c r="AK105" s="40">
        <v>3000</v>
      </c>
      <c r="AL105" s="24"/>
      <c r="AM105" s="24"/>
    </row>
    <row r="106" spans="1:39" x14ac:dyDescent="0.2">
      <c r="B106" s="50">
        <v>43688</v>
      </c>
      <c r="C106" s="35">
        <v>0.36041666666666666</v>
      </c>
      <c r="D106" s="35"/>
      <c r="E106" s="35" t="s">
        <v>111</v>
      </c>
      <c r="F106" s="37">
        <v>2</v>
      </c>
      <c r="G106" s="42" t="str">
        <f>VLOOKUP(F106,Key!$A$17:$B$21,2,FALSE)</f>
        <v>Road Vehicle</v>
      </c>
      <c r="H106" s="36">
        <v>1</v>
      </c>
      <c r="I106" s="43" t="str">
        <f>VLOOKUP(H106,Key!$A$2:$B$13,2,FALSE)</f>
        <v>Car</v>
      </c>
      <c r="J106" s="37" t="s">
        <v>123</v>
      </c>
      <c r="K106" s="37">
        <v>3</v>
      </c>
      <c r="L106" s="45" t="str">
        <f>VLOOKUP(K106,Key!$A$24:$B$29,2,FALSE)</f>
        <v>40-49</v>
      </c>
      <c r="M106" s="37" t="s">
        <v>167</v>
      </c>
      <c r="N106" s="32" t="s">
        <v>167</v>
      </c>
      <c r="O106" s="37" t="s">
        <v>168</v>
      </c>
      <c r="P106" s="39">
        <v>1</v>
      </c>
      <c r="Q106" s="34" t="str">
        <f>VLOOKUP(P106,Key!$E$2:$F$9,2,FALSE)</f>
        <v>Home</v>
      </c>
      <c r="R106" s="37" t="s">
        <v>176</v>
      </c>
      <c r="S106" s="32" t="s">
        <v>176</v>
      </c>
      <c r="T106" s="37" t="s">
        <v>168</v>
      </c>
      <c r="U106" s="32">
        <v>4</v>
      </c>
      <c r="V106" s="34" t="str">
        <f>VLOOKUP(U106,Key!$E$2:$F$9,2,FALSE)</f>
        <v>Commercial</v>
      </c>
      <c r="W106" s="34" t="str">
        <f t="shared" si="3"/>
        <v>Home-Commercial</v>
      </c>
      <c r="X106" s="47">
        <v>40000</v>
      </c>
      <c r="Y106" s="38">
        <v>75</v>
      </c>
      <c r="Z106" s="38">
        <v>3.5</v>
      </c>
      <c r="AA106" s="32">
        <v>10</v>
      </c>
      <c r="AB106" s="34" t="str">
        <f>VLOOKUP(AA106,Key!$C$20:$D$29,2,FALSE)</f>
        <v>Other</v>
      </c>
      <c r="AC106" s="32">
        <v>2</v>
      </c>
      <c r="AD106" s="34" t="str">
        <f>VLOOKUP(AC106,Key!$E$20:$F$24,2,FALSE)</f>
        <v>300,000-500,000</v>
      </c>
      <c r="AE106" s="32">
        <v>2</v>
      </c>
      <c r="AF106" s="55">
        <v>3</v>
      </c>
      <c r="AG106" s="55">
        <v>4</v>
      </c>
      <c r="AH106" s="55">
        <v>1</v>
      </c>
      <c r="AI106" s="55">
        <v>3</v>
      </c>
      <c r="AJ106" s="39" t="s">
        <v>104</v>
      </c>
      <c r="AK106" s="40">
        <v>3000</v>
      </c>
      <c r="AL106" s="24"/>
      <c r="AM106" s="24"/>
    </row>
    <row r="107" spans="1:39" x14ac:dyDescent="0.2">
      <c r="B107" s="50">
        <v>43690</v>
      </c>
      <c r="C107" s="35">
        <v>0.51388888888888895</v>
      </c>
      <c r="D107" s="35"/>
      <c r="E107" s="35" t="s">
        <v>111</v>
      </c>
      <c r="F107" s="37">
        <v>2</v>
      </c>
      <c r="G107" s="42" t="str">
        <f>VLOOKUP(F107,Key!$A$17:$B$21,2,FALSE)</f>
        <v>Road Vehicle</v>
      </c>
      <c r="H107" s="36">
        <v>1</v>
      </c>
      <c r="I107" s="43" t="str">
        <f>VLOOKUP(H107,Key!$A$2:$B$13,2,FALSE)</f>
        <v>Car</v>
      </c>
      <c r="J107" s="37" t="s">
        <v>123</v>
      </c>
      <c r="K107" s="37">
        <v>3</v>
      </c>
      <c r="L107" s="45" t="str">
        <f>VLOOKUP(K107,Key!$A$24:$B$29,2,FALSE)</f>
        <v>40-49</v>
      </c>
      <c r="M107" s="37" t="s">
        <v>167</v>
      </c>
      <c r="N107" s="32" t="s">
        <v>167</v>
      </c>
      <c r="O107" s="37" t="s">
        <v>168</v>
      </c>
      <c r="P107" s="39">
        <v>2</v>
      </c>
      <c r="Q107" s="34" t="str">
        <f>VLOOKUP(P107,Key!$E$2:$F$9,2,FALSE)</f>
        <v>Work</v>
      </c>
      <c r="R107" s="37" t="s">
        <v>176</v>
      </c>
      <c r="S107" s="32" t="s">
        <v>176</v>
      </c>
      <c r="T107" s="37" t="s">
        <v>168</v>
      </c>
      <c r="U107" s="32">
        <v>4</v>
      </c>
      <c r="V107" s="34" t="str">
        <f>VLOOKUP(U107,Key!$E$2:$F$9,2,FALSE)</f>
        <v>Commercial</v>
      </c>
      <c r="W107" s="34" t="str">
        <f t="shared" si="3"/>
        <v>Work-Commercial</v>
      </c>
      <c r="X107" s="47">
        <v>80000</v>
      </c>
      <c r="Y107" s="38">
        <v>80</v>
      </c>
      <c r="Z107" s="38">
        <v>2</v>
      </c>
      <c r="AA107" s="32">
        <v>10</v>
      </c>
      <c r="AB107" s="34" t="str">
        <f>VLOOKUP(AA107,Key!$C$20:$D$29,2,FALSE)</f>
        <v>Other</v>
      </c>
      <c r="AC107" s="32">
        <v>3</v>
      </c>
      <c r="AD107" s="34" t="str">
        <f>VLOOKUP(AC107,Key!$E$20:$F$24,2,FALSE)</f>
        <v>500,000-750,000</v>
      </c>
      <c r="AE107" s="32">
        <v>3</v>
      </c>
      <c r="AF107" s="55">
        <v>3</v>
      </c>
      <c r="AG107" s="55">
        <v>3</v>
      </c>
      <c r="AH107" s="55">
        <v>2</v>
      </c>
      <c r="AI107" s="55">
        <v>4</v>
      </c>
      <c r="AJ107" s="39" t="s">
        <v>104</v>
      </c>
      <c r="AK107" s="40"/>
      <c r="AL107" s="24"/>
      <c r="AM107" s="24"/>
    </row>
    <row r="108" spans="1:39" x14ac:dyDescent="0.2">
      <c r="B108" s="50">
        <v>43687</v>
      </c>
      <c r="C108" s="35">
        <v>0.53472222222222221</v>
      </c>
      <c r="D108" s="35"/>
      <c r="E108" s="35" t="s">
        <v>111</v>
      </c>
      <c r="F108" s="37">
        <v>2</v>
      </c>
      <c r="G108" s="42" t="str">
        <f>VLOOKUP(F108,Key!$A$17:$B$21,2,FALSE)</f>
        <v>Road Vehicle</v>
      </c>
      <c r="H108" s="36">
        <v>1</v>
      </c>
      <c r="I108" s="43" t="str">
        <f>VLOOKUP(H108,Key!$A$2:$B$13,2,FALSE)</f>
        <v>Car</v>
      </c>
      <c r="J108" s="37" t="s">
        <v>123</v>
      </c>
      <c r="K108" s="37">
        <v>3</v>
      </c>
      <c r="L108" s="45" t="str">
        <f>VLOOKUP(K108,Key!$A$24:$B$29,2,FALSE)</f>
        <v>40-49</v>
      </c>
      <c r="M108" s="37" t="s">
        <v>167</v>
      </c>
      <c r="N108" s="32" t="s">
        <v>167</v>
      </c>
      <c r="O108" s="37" t="s">
        <v>168</v>
      </c>
      <c r="P108" s="39">
        <v>2</v>
      </c>
      <c r="Q108" s="34" t="str">
        <f>VLOOKUP(P108,Key!$E$2:$F$9,2,FALSE)</f>
        <v>Work</v>
      </c>
      <c r="R108" s="37" t="s">
        <v>176</v>
      </c>
      <c r="S108" s="32" t="s">
        <v>176</v>
      </c>
      <c r="T108" s="37" t="s">
        <v>168</v>
      </c>
      <c r="U108" s="32">
        <v>2</v>
      </c>
      <c r="V108" s="34" t="str">
        <f>VLOOKUP(U108,Key!$E$2:$F$9,2,FALSE)</f>
        <v>Work</v>
      </c>
      <c r="W108" s="34" t="str">
        <f t="shared" si="3"/>
        <v>Work-Work</v>
      </c>
      <c r="X108" s="47">
        <v>40000</v>
      </c>
      <c r="Y108" s="38">
        <v>80</v>
      </c>
      <c r="Z108" s="38">
        <v>3</v>
      </c>
      <c r="AA108" s="32">
        <v>10</v>
      </c>
      <c r="AB108" s="34" t="str">
        <f>VLOOKUP(AA108,Key!$C$20:$D$29,2,FALSE)</f>
        <v>Other</v>
      </c>
      <c r="AC108" s="32">
        <v>3</v>
      </c>
      <c r="AD108" s="34" t="str">
        <f>VLOOKUP(AC108,Key!$E$20:$F$24,2,FALSE)</f>
        <v>500,000-750,000</v>
      </c>
      <c r="AE108" s="32">
        <v>2</v>
      </c>
      <c r="AF108" s="55">
        <v>3</v>
      </c>
      <c r="AG108" s="55">
        <v>1</v>
      </c>
      <c r="AH108" s="55">
        <v>1</v>
      </c>
      <c r="AI108" s="55">
        <v>5</v>
      </c>
      <c r="AJ108" s="39" t="s">
        <v>104</v>
      </c>
      <c r="AK108" s="40">
        <v>10000</v>
      </c>
      <c r="AL108" s="24"/>
      <c r="AM108" s="24"/>
    </row>
    <row r="109" spans="1:39" x14ac:dyDescent="0.2">
      <c r="B109" s="50">
        <v>43687</v>
      </c>
      <c r="C109" s="35">
        <v>0.75138888888888899</v>
      </c>
      <c r="D109" s="35"/>
      <c r="E109" s="35" t="s">
        <v>111</v>
      </c>
      <c r="F109" s="37">
        <v>2</v>
      </c>
      <c r="G109" s="42" t="str">
        <f>VLOOKUP(F109,Key!$A$17:$B$21,2,FALSE)</f>
        <v>Road Vehicle</v>
      </c>
      <c r="H109" s="36">
        <v>1</v>
      </c>
      <c r="I109" s="43" t="str">
        <f>VLOOKUP(H109,Key!$A$2:$B$13,2,FALSE)</f>
        <v>Car</v>
      </c>
      <c r="J109" s="37" t="s">
        <v>123</v>
      </c>
      <c r="K109" s="37">
        <v>3</v>
      </c>
      <c r="L109" s="45" t="str">
        <f>VLOOKUP(K109,Key!$A$24:$B$29,2,FALSE)</f>
        <v>40-49</v>
      </c>
      <c r="M109" s="37" t="s">
        <v>167</v>
      </c>
      <c r="N109" s="32" t="s">
        <v>167</v>
      </c>
      <c r="O109" s="37" t="s">
        <v>168</v>
      </c>
      <c r="P109" s="39">
        <v>2</v>
      </c>
      <c r="Q109" s="34" t="str">
        <f>VLOOKUP(P109,Key!$E$2:$F$9,2,FALSE)</f>
        <v>Work</v>
      </c>
      <c r="R109" s="37" t="s">
        <v>176</v>
      </c>
      <c r="S109" s="32" t="s">
        <v>176</v>
      </c>
      <c r="T109" s="37" t="s">
        <v>168</v>
      </c>
      <c r="U109" s="32">
        <v>4</v>
      </c>
      <c r="V109" s="34" t="str">
        <f>VLOOKUP(U109,Key!$E$2:$F$9,2,FALSE)</f>
        <v>Commercial</v>
      </c>
      <c r="W109" s="34" t="str">
        <f t="shared" si="3"/>
        <v>Work-Commercial</v>
      </c>
      <c r="X109" s="47">
        <v>40000</v>
      </c>
      <c r="Y109" s="38">
        <v>80</v>
      </c>
      <c r="Z109" s="38">
        <v>3</v>
      </c>
      <c r="AA109" s="32">
        <v>6</v>
      </c>
      <c r="AB109" s="34" t="str">
        <f>VLOOKUP(AA109,Key!$C$20:$D$29,2,FALSE)</f>
        <v>Businessman</v>
      </c>
      <c r="AC109" s="32">
        <v>3</v>
      </c>
      <c r="AD109" s="34" t="str">
        <f>VLOOKUP(AC109,Key!$E$20:$F$24,2,FALSE)</f>
        <v>500,000-750,000</v>
      </c>
      <c r="AE109" s="32">
        <v>3</v>
      </c>
      <c r="AF109" s="55">
        <v>2</v>
      </c>
      <c r="AG109" s="55">
        <v>4</v>
      </c>
      <c r="AH109" s="55">
        <v>1</v>
      </c>
      <c r="AI109" s="55">
        <v>4</v>
      </c>
      <c r="AJ109" s="39" t="s">
        <v>104</v>
      </c>
      <c r="AK109" s="40">
        <v>2000</v>
      </c>
      <c r="AL109" s="24"/>
      <c r="AM109" s="24"/>
    </row>
    <row r="110" spans="1:39" x14ac:dyDescent="0.2">
      <c r="B110" s="50">
        <v>43689</v>
      </c>
      <c r="C110" s="35">
        <v>0.55208333333333337</v>
      </c>
      <c r="D110" s="35"/>
      <c r="E110" s="35" t="s">
        <v>111</v>
      </c>
      <c r="F110" s="37">
        <v>2</v>
      </c>
      <c r="G110" s="42" t="str">
        <f>VLOOKUP(F110,Key!$A$17:$B$21,2,FALSE)</f>
        <v>Road Vehicle</v>
      </c>
      <c r="H110" s="36">
        <v>1</v>
      </c>
      <c r="I110" s="43" t="str">
        <f>VLOOKUP(H110,Key!$A$2:$B$13,2,FALSE)</f>
        <v>Car</v>
      </c>
      <c r="J110" s="37" t="s">
        <v>123</v>
      </c>
      <c r="K110" s="37">
        <v>3</v>
      </c>
      <c r="L110" s="45" t="str">
        <f>VLOOKUP(K110,Key!$A$24:$B$29,2,FALSE)</f>
        <v>40-49</v>
      </c>
      <c r="M110" s="37" t="s">
        <v>238</v>
      </c>
      <c r="N110" s="32" t="s">
        <v>238</v>
      </c>
      <c r="O110" s="37" t="s">
        <v>168</v>
      </c>
      <c r="P110" s="39">
        <v>1</v>
      </c>
      <c r="Q110" s="34" t="str">
        <f>VLOOKUP(P110,Key!$E$2:$F$9,2,FALSE)</f>
        <v>Home</v>
      </c>
      <c r="R110" s="37" t="s">
        <v>167</v>
      </c>
      <c r="S110" s="32" t="s">
        <v>167</v>
      </c>
      <c r="T110" s="37" t="s">
        <v>168</v>
      </c>
      <c r="U110" s="32">
        <v>6</v>
      </c>
      <c r="V110" s="34" t="str">
        <f>VLOOKUP(U110,Key!$E$2:$F$9,2,FALSE)</f>
        <v>Leisure/Social</v>
      </c>
      <c r="W110" s="34" t="str">
        <f t="shared" si="3"/>
        <v>Home-Leisure/Social</v>
      </c>
      <c r="X110" s="47">
        <v>40000</v>
      </c>
      <c r="Y110" s="38">
        <v>85</v>
      </c>
      <c r="Z110" s="38">
        <v>2</v>
      </c>
      <c r="AA110" s="32">
        <v>5</v>
      </c>
      <c r="AB110" s="34" t="str">
        <f>VLOOKUP(AA110,Key!$C$20:$D$29,2,FALSE)</f>
        <v>Professional</v>
      </c>
      <c r="AC110" s="32">
        <v>4</v>
      </c>
      <c r="AD110" s="34" t="str">
        <f>VLOOKUP(AC110,Key!$E$20:$F$24,2,FALSE)</f>
        <v>750,000-1,000,000</v>
      </c>
      <c r="AE110" s="32">
        <v>1</v>
      </c>
      <c r="AF110" s="55">
        <v>2</v>
      </c>
      <c r="AG110" s="55">
        <v>3</v>
      </c>
      <c r="AH110" s="55">
        <v>1</v>
      </c>
      <c r="AI110" s="55">
        <v>4</v>
      </c>
      <c r="AJ110" s="39" t="s">
        <v>104</v>
      </c>
      <c r="AK110" s="40">
        <v>5000</v>
      </c>
      <c r="AL110" s="24"/>
      <c r="AM110" s="24"/>
    </row>
    <row r="111" spans="1:39" x14ac:dyDescent="0.2">
      <c r="B111" s="50">
        <v>43686</v>
      </c>
      <c r="C111" s="35">
        <v>0.55833333333333335</v>
      </c>
      <c r="D111" s="35"/>
      <c r="E111" s="35" t="s">
        <v>111</v>
      </c>
      <c r="F111" s="37">
        <v>2</v>
      </c>
      <c r="G111" s="42" t="str">
        <f>VLOOKUP(F111,Key!$A$17:$B$21,2,FALSE)</f>
        <v>Road Vehicle</v>
      </c>
      <c r="H111" s="36">
        <v>1</v>
      </c>
      <c r="I111" s="43" t="str">
        <f>VLOOKUP(H111,Key!$A$2:$B$13,2,FALSE)</f>
        <v>Car</v>
      </c>
      <c r="J111" s="37" t="s">
        <v>123</v>
      </c>
      <c r="K111" s="37">
        <v>3</v>
      </c>
      <c r="L111" s="45" t="str">
        <f>VLOOKUP(K111,Key!$A$24:$B$29,2,FALSE)</f>
        <v>40-49</v>
      </c>
      <c r="M111" s="37" t="s">
        <v>30</v>
      </c>
      <c r="N111" s="32" t="s">
        <v>188</v>
      </c>
      <c r="O111" s="37" t="s">
        <v>168</v>
      </c>
      <c r="P111" s="39">
        <v>1</v>
      </c>
      <c r="Q111" s="34" t="str">
        <f>VLOOKUP(P111,Key!$E$2:$F$9,2,FALSE)</f>
        <v>Home</v>
      </c>
      <c r="R111" s="37" t="s">
        <v>282</v>
      </c>
      <c r="S111" s="32" t="s">
        <v>167</v>
      </c>
      <c r="T111" s="37" t="s">
        <v>168</v>
      </c>
      <c r="U111" s="32">
        <v>5</v>
      </c>
      <c r="V111" s="34" t="str">
        <f>VLOOKUP(U111,Key!$E$2:$F$9,2,FALSE)</f>
        <v>Tourism</v>
      </c>
      <c r="W111" s="34" t="str">
        <f t="shared" si="3"/>
        <v>Home-Tourism</v>
      </c>
      <c r="X111" s="47">
        <v>100000</v>
      </c>
      <c r="Y111" s="38">
        <v>100</v>
      </c>
      <c r="Z111" s="38">
        <v>3</v>
      </c>
      <c r="AA111" s="32">
        <v>5</v>
      </c>
      <c r="AB111" s="34" t="str">
        <f>VLOOKUP(AA111,Key!$C$20:$D$29,2,FALSE)</f>
        <v>Professional</v>
      </c>
      <c r="AC111" s="32">
        <v>5</v>
      </c>
      <c r="AD111" s="34" t="str">
        <f>VLOOKUP(AC111,Key!$E$20:$F$24,2,FALSE)</f>
        <v>&gt;1,000,000</v>
      </c>
      <c r="AE111" s="32">
        <v>1</v>
      </c>
      <c r="AF111" s="55">
        <v>1</v>
      </c>
      <c r="AG111" s="55">
        <v>1</v>
      </c>
      <c r="AH111" s="55">
        <v>1</v>
      </c>
      <c r="AI111" s="55">
        <v>1</v>
      </c>
      <c r="AJ111" s="39" t="s">
        <v>104</v>
      </c>
      <c r="AK111" s="40">
        <v>3000</v>
      </c>
      <c r="AL111" s="24"/>
      <c r="AM111" s="24"/>
    </row>
    <row r="112" spans="1:39" x14ac:dyDescent="0.2">
      <c r="B112" s="50">
        <v>43686</v>
      </c>
      <c r="C112" s="35">
        <v>0.73263888888888884</v>
      </c>
      <c r="D112" s="35"/>
      <c r="E112" s="35" t="s">
        <v>111</v>
      </c>
      <c r="F112" s="37">
        <v>2</v>
      </c>
      <c r="G112" s="42" t="str">
        <f>VLOOKUP(F112,Key!$A$17:$B$21,2,FALSE)</f>
        <v>Road Vehicle</v>
      </c>
      <c r="H112" s="36">
        <v>1</v>
      </c>
      <c r="I112" s="43" t="str">
        <f>VLOOKUP(H112,Key!$A$2:$B$13,2,FALSE)</f>
        <v>Car</v>
      </c>
      <c r="J112" s="37" t="s">
        <v>123</v>
      </c>
      <c r="K112" s="37">
        <v>4</v>
      </c>
      <c r="L112" s="45" t="str">
        <f>VLOOKUP(K112,Key!$A$24:$B$29,2,FALSE)</f>
        <v>50-59</v>
      </c>
      <c r="M112" s="37" t="s">
        <v>173</v>
      </c>
      <c r="N112" s="32" t="s">
        <v>173</v>
      </c>
      <c r="O112" s="37" t="s">
        <v>168</v>
      </c>
      <c r="P112" s="39">
        <v>2</v>
      </c>
      <c r="Q112" s="34" t="str">
        <f>VLOOKUP(P112,Key!$E$2:$F$9,2,FALSE)</f>
        <v>Work</v>
      </c>
      <c r="R112" s="37" t="s">
        <v>167</v>
      </c>
      <c r="S112" s="32" t="s">
        <v>167</v>
      </c>
      <c r="T112" s="37" t="s">
        <v>168</v>
      </c>
      <c r="U112" s="32">
        <v>1</v>
      </c>
      <c r="V112" s="34" t="str">
        <f>VLOOKUP(U112,Key!$E$2:$F$9,2,FALSE)</f>
        <v>Home</v>
      </c>
      <c r="W112" s="34" t="str">
        <f t="shared" si="3"/>
        <v>Work-Home</v>
      </c>
      <c r="X112" s="47">
        <v>30000</v>
      </c>
      <c r="Y112" s="38">
        <v>62</v>
      </c>
      <c r="Z112" s="38">
        <v>1</v>
      </c>
      <c r="AA112" s="32">
        <v>10</v>
      </c>
      <c r="AB112" s="34" t="str">
        <f>VLOOKUP(AA112,Key!$C$20:$D$29,2,FALSE)</f>
        <v>Other</v>
      </c>
      <c r="AC112" s="32">
        <v>2</v>
      </c>
      <c r="AD112" s="34" t="str">
        <f>VLOOKUP(AC112,Key!$E$20:$F$24,2,FALSE)</f>
        <v>300,000-500,000</v>
      </c>
      <c r="AE112" s="32">
        <v>2</v>
      </c>
      <c r="AF112" s="55">
        <v>3</v>
      </c>
      <c r="AG112" s="55">
        <v>2</v>
      </c>
      <c r="AH112" s="55">
        <v>2</v>
      </c>
      <c r="AI112" s="55">
        <v>2</v>
      </c>
      <c r="AJ112" s="39" t="s">
        <v>104</v>
      </c>
      <c r="AK112" s="40">
        <v>5000</v>
      </c>
      <c r="AL112" s="24"/>
      <c r="AM112" s="24"/>
    </row>
    <row r="113" spans="2:39" x14ac:dyDescent="0.2">
      <c r="B113" s="50">
        <v>43687</v>
      </c>
      <c r="C113" s="35">
        <v>0.44375000000000003</v>
      </c>
      <c r="D113" s="35"/>
      <c r="E113" s="35" t="s">
        <v>111</v>
      </c>
      <c r="F113" s="37">
        <v>2</v>
      </c>
      <c r="G113" s="42" t="str">
        <f>VLOOKUP(F113,Key!$A$17:$B$21,2,FALSE)</f>
        <v>Road Vehicle</v>
      </c>
      <c r="H113" s="36">
        <v>1</v>
      </c>
      <c r="I113" s="43" t="str">
        <f>VLOOKUP(H113,Key!$A$2:$B$13,2,FALSE)</f>
        <v>Car</v>
      </c>
      <c r="J113" s="37" t="s">
        <v>123</v>
      </c>
      <c r="K113" s="37">
        <v>4</v>
      </c>
      <c r="L113" s="45" t="str">
        <f>VLOOKUP(K113,Key!$A$24:$B$29,2,FALSE)</f>
        <v>50-59</v>
      </c>
      <c r="M113" s="37" t="s">
        <v>323</v>
      </c>
      <c r="N113" s="32" t="s">
        <v>323</v>
      </c>
      <c r="O113" s="37" t="s">
        <v>168</v>
      </c>
      <c r="P113" s="39">
        <v>1</v>
      </c>
      <c r="Q113" s="34" t="str">
        <f>VLOOKUP(P113,Key!$E$2:$F$9,2,FALSE)</f>
        <v>Home</v>
      </c>
      <c r="R113" s="37" t="s">
        <v>167</v>
      </c>
      <c r="S113" s="32" t="s">
        <v>167</v>
      </c>
      <c r="T113" s="37" t="s">
        <v>168</v>
      </c>
      <c r="U113" s="32">
        <v>6</v>
      </c>
      <c r="V113" s="34" t="str">
        <f>VLOOKUP(U113,Key!$E$2:$F$9,2,FALSE)</f>
        <v>Leisure/Social</v>
      </c>
      <c r="W113" s="34" t="str">
        <f t="shared" si="3"/>
        <v>Home-Leisure/Social</v>
      </c>
      <c r="X113" s="47">
        <v>35000</v>
      </c>
      <c r="Y113" s="38">
        <v>70</v>
      </c>
      <c r="Z113" s="38">
        <v>1.7</v>
      </c>
      <c r="AA113" s="32">
        <v>2</v>
      </c>
      <c r="AB113" s="34" t="str">
        <f>VLOOKUP(AA113,Key!$C$20:$D$29,2,FALSE)</f>
        <v>Manual Labour</v>
      </c>
      <c r="AC113" s="32">
        <v>2</v>
      </c>
      <c r="AD113" s="34" t="str">
        <f>VLOOKUP(AC113,Key!$E$20:$F$24,2,FALSE)</f>
        <v>300,000-500,000</v>
      </c>
      <c r="AE113" s="32">
        <v>1</v>
      </c>
      <c r="AF113" s="55">
        <v>3</v>
      </c>
      <c r="AG113" s="55">
        <v>4</v>
      </c>
      <c r="AH113" s="55">
        <v>2</v>
      </c>
      <c r="AI113" s="55">
        <v>4</v>
      </c>
      <c r="AJ113" s="39" t="s">
        <v>104</v>
      </c>
      <c r="AK113" s="40">
        <v>1000</v>
      </c>
      <c r="AL113" s="24"/>
      <c r="AM113" s="24"/>
    </row>
    <row r="114" spans="2:39" x14ac:dyDescent="0.2">
      <c r="B114" s="50">
        <v>43686</v>
      </c>
      <c r="C114" s="35">
        <v>0.5756944444444444</v>
      </c>
      <c r="D114" s="35"/>
      <c r="E114" s="35" t="s">
        <v>111</v>
      </c>
      <c r="F114" s="37">
        <v>2</v>
      </c>
      <c r="G114" s="42" t="str">
        <f>VLOOKUP(F114,Key!$A$17:$B$21,2,FALSE)</f>
        <v>Road Vehicle</v>
      </c>
      <c r="H114" s="36">
        <v>1</v>
      </c>
      <c r="I114" s="43" t="str">
        <f>VLOOKUP(H114,Key!$A$2:$B$13,2,FALSE)</f>
        <v>Car</v>
      </c>
      <c r="J114" s="37" t="s">
        <v>123</v>
      </c>
      <c r="K114" s="37">
        <v>4</v>
      </c>
      <c r="L114" s="45" t="str">
        <f>VLOOKUP(K114,Key!$A$24:$B$29,2,FALSE)</f>
        <v>50-59</v>
      </c>
      <c r="M114" s="37" t="s">
        <v>180</v>
      </c>
      <c r="N114" s="32" t="s">
        <v>188</v>
      </c>
      <c r="O114" s="37" t="s">
        <v>168</v>
      </c>
      <c r="P114" s="39">
        <v>1</v>
      </c>
      <c r="Q114" s="34" t="str">
        <f>VLOOKUP(P114,Key!$E$2:$F$9,2,FALSE)</f>
        <v>Home</v>
      </c>
      <c r="R114" s="37" t="s">
        <v>216</v>
      </c>
      <c r="S114" s="32" t="s">
        <v>167</v>
      </c>
      <c r="T114" s="37" t="s">
        <v>168</v>
      </c>
      <c r="U114" s="32">
        <v>6</v>
      </c>
      <c r="V114" s="34" t="str">
        <f>VLOOKUP(U114,Key!$E$2:$F$9,2,FALSE)</f>
        <v>Leisure/Social</v>
      </c>
      <c r="W114" s="34" t="str">
        <f t="shared" si="3"/>
        <v>Home-Leisure/Social</v>
      </c>
      <c r="X114" s="47">
        <v>40000</v>
      </c>
      <c r="Y114" s="38">
        <v>90</v>
      </c>
      <c r="Z114" s="38">
        <v>3</v>
      </c>
      <c r="AA114" s="32">
        <v>6</v>
      </c>
      <c r="AB114" s="34" t="str">
        <f>VLOOKUP(AA114,Key!$C$20:$D$29,2,FALSE)</f>
        <v>Businessman</v>
      </c>
      <c r="AC114" s="32">
        <v>5</v>
      </c>
      <c r="AD114" s="34" t="str">
        <f>VLOOKUP(AC114,Key!$E$20:$F$24,2,FALSE)</f>
        <v>&gt;1,000,000</v>
      </c>
      <c r="AE114" s="32">
        <v>1</v>
      </c>
      <c r="AF114" s="55">
        <v>1</v>
      </c>
      <c r="AG114" s="55">
        <v>1</v>
      </c>
      <c r="AH114" s="55">
        <v>1</v>
      </c>
      <c r="AI114" s="55">
        <v>1</v>
      </c>
      <c r="AJ114" s="39" t="s">
        <v>104</v>
      </c>
      <c r="AK114" s="40">
        <v>5000</v>
      </c>
      <c r="AL114" s="24"/>
      <c r="AM114" s="24"/>
    </row>
    <row r="115" spans="2:39" x14ac:dyDescent="0.2">
      <c r="B115" s="50">
        <v>43686</v>
      </c>
      <c r="C115" s="35">
        <v>0.57916666666666672</v>
      </c>
      <c r="D115" s="35"/>
      <c r="E115" s="35" t="s">
        <v>111</v>
      </c>
      <c r="F115" s="37">
        <v>2</v>
      </c>
      <c r="G115" s="42" t="str">
        <f>VLOOKUP(F115,Key!$A$17:$B$21,2,FALSE)</f>
        <v>Road Vehicle</v>
      </c>
      <c r="H115" s="36">
        <v>1</v>
      </c>
      <c r="I115" s="43" t="str">
        <f>VLOOKUP(H115,Key!$A$2:$B$13,2,FALSE)</f>
        <v>Car</v>
      </c>
      <c r="J115" s="37" t="s">
        <v>123</v>
      </c>
      <c r="K115" s="37">
        <v>4</v>
      </c>
      <c r="L115" s="45" t="str">
        <f>VLOOKUP(K115,Key!$A$24:$B$29,2,FALSE)</f>
        <v>50-59</v>
      </c>
      <c r="M115" s="37" t="s">
        <v>284</v>
      </c>
      <c r="N115" s="32" t="s">
        <v>285</v>
      </c>
      <c r="O115" s="37" t="s">
        <v>168</v>
      </c>
      <c r="P115" s="39">
        <v>1</v>
      </c>
      <c r="Q115" s="34" t="str">
        <f>VLOOKUP(P115,Key!$E$2:$F$9,2,FALSE)</f>
        <v>Home</v>
      </c>
      <c r="R115" s="37" t="s">
        <v>167</v>
      </c>
      <c r="S115" s="32" t="s">
        <v>167</v>
      </c>
      <c r="T115" s="37" t="s">
        <v>168</v>
      </c>
      <c r="U115" s="32">
        <v>6</v>
      </c>
      <c r="V115" s="34" t="str">
        <f>VLOOKUP(U115,Key!$E$2:$F$9,2,FALSE)</f>
        <v>Leisure/Social</v>
      </c>
      <c r="W115" s="34" t="str">
        <f t="shared" si="3"/>
        <v>Home-Leisure/Social</v>
      </c>
      <c r="X115" s="47">
        <v>60000</v>
      </c>
      <c r="Y115" s="38">
        <v>100</v>
      </c>
      <c r="Z115" s="38">
        <v>4</v>
      </c>
      <c r="AA115" s="32">
        <v>6</v>
      </c>
      <c r="AB115" s="34" t="str">
        <f>VLOOKUP(AA115,Key!$C$20:$D$29,2,FALSE)</f>
        <v>Businessman</v>
      </c>
      <c r="AC115" s="32">
        <v>5</v>
      </c>
      <c r="AD115" s="34" t="str">
        <f>VLOOKUP(AC115,Key!$E$20:$F$24,2,FALSE)</f>
        <v>&gt;1,000,000</v>
      </c>
      <c r="AE115" s="32">
        <v>1</v>
      </c>
      <c r="AF115" s="55">
        <v>1</v>
      </c>
      <c r="AG115" s="55">
        <v>1</v>
      </c>
      <c r="AH115" s="55">
        <v>1</v>
      </c>
      <c r="AI115" s="55">
        <v>1</v>
      </c>
      <c r="AJ115" s="39" t="s">
        <v>104</v>
      </c>
      <c r="AK115" s="40">
        <v>2000</v>
      </c>
      <c r="AL115" s="24"/>
      <c r="AM115" s="24"/>
    </row>
    <row r="116" spans="2:39" hidden="1" x14ac:dyDescent="0.2">
      <c r="B116" s="50">
        <v>43688</v>
      </c>
      <c r="C116" s="35">
        <v>0.51388888888888895</v>
      </c>
      <c r="D116" s="35"/>
      <c r="E116" s="35" t="s">
        <v>111</v>
      </c>
      <c r="F116" s="37">
        <v>2</v>
      </c>
      <c r="G116" s="42" t="str">
        <f>VLOOKUP(F116,Key!$A$17:$B$21,2,FALSE)</f>
        <v>Road Vehicle</v>
      </c>
      <c r="H116" s="36">
        <v>1</v>
      </c>
      <c r="I116" s="43" t="str">
        <f>VLOOKUP(H116,Key!$A$2:$B$13,2,FALSE)</f>
        <v>Car</v>
      </c>
      <c r="J116" s="37" t="s">
        <v>123</v>
      </c>
      <c r="K116" s="37">
        <v>3</v>
      </c>
      <c r="L116" s="45" t="str">
        <f>VLOOKUP(K116,Key!$A$24:$B$29,2,FALSE)</f>
        <v>40-49</v>
      </c>
      <c r="M116" s="37" t="s">
        <v>167</v>
      </c>
      <c r="N116" s="32" t="s">
        <v>167</v>
      </c>
      <c r="O116" s="37" t="s">
        <v>168</v>
      </c>
      <c r="P116" s="39">
        <v>1</v>
      </c>
      <c r="Q116" s="34" t="str">
        <f>VLOOKUP(P116,Key!$E$2:$F$9,2,FALSE)</f>
        <v>Home</v>
      </c>
      <c r="R116" s="37" t="s">
        <v>169</v>
      </c>
      <c r="S116" s="32" t="s">
        <v>169</v>
      </c>
      <c r="T116" s="37" t="s">
        <v>168</v>
      </c>
      <c r="U116" s="32">
        <v>6</v>
      </c>
      <c r="V116" s="34" t="str">
        <f>VLOOKUP(U116,Key!$E$2:$F$9,2,FALSE)</f>
        <v>Leisure/Social</v>
      </c>
      <c r="W116" s="34" t="str">
        <f t="shared" si="3"/>
        <v>Home-Leisure/Social</v>
      </c>
      <c r="X116" s="47">
        <v>60000</v>
      </c>
      <c r="Y116" s="38">
        <v>110</v>
      </c>
      <c r="Z116" s="38">
        <v>3</v>
      </c>
      <c r="AA116" s="32">
        <v>6</v>
      </c>
      <c r="AB116" s="34" t="str">
        <f>VLOOKUP(AA116,Key!$C$20:$D$29,2,FALSE)</f>
        <v>Businessman</v>
      </c>
      <c r="AC116" s="32">
        <v>3</v>
      </c>
      <c r="AD116" s="34" t="str">
        <f>VLOOKUP(AC116,Key!$E$20:$F$24,2,FALSE)</f>
        <v>500,000-750,000</v>
      </c>
      <c r="AE116" s="32">
        <v>1</v>
      </c>
      <c r="AF116" s="55">
        <v>2</v>
      </c>
      <c r="AG116" s="55">
        <v>4</v>
      </c>
      <c r="AH116" s="55">
        <v>1</v>
      </c>
      <c r="AI116" s="55">
        <v>3</v>
      </c>
      <c r="AJ116" s="39" t="s">
        <v>104</v>
      </c>
      <c r="AK116" s="40">
        <v>5000</v>
      </c>
      <c r="AL116" s="24"/>
      <c r="AM116" s="24"/>
    </row>
    <row r="117" spans="2:39" hidden="1" x14ac:dyDescent="0.2">
      <c r="B117" s="50">
        <v>43688</v>
      </c>
      <c r="C117" s="35">
        <v>0.52152777777777781</v>
      </c>
      <c r="D117" s="35"/>
      <c r="E117" s="35" t="s">
        <v>111</v>
      </c>
      <c r="F117" s="37">
        <v>2</v>
      </c>
      <c r="G117" s="42" t="str">
        <f>VLOOKUP(F117,Key!$A$17:$B$21,2,FALSE)</f>
        <v>Road Vehicle</v>
      </c>
      <c r="H117" s="36">
        <v>1</v>
      </c>
      <c r="I117" s="43" t="str">
        <f>VLOOKUP(H117,Key!$A$2:$B$13,2,FALSE)</f>
        <v>Car</v>
      </c>
      <c r="J117" s="37" t="s">
        <v>123</v>
      </c>
      <c r="K117" s="37">
        <v>2</v>
      </c>
      <c r="L117" s="45" t="str">
        <f>VLOOKUP(K117,Key!$A$24:$B$29,2,FALSE)</f>
        <v>30-39</v>
      </c>
      <c r="M117" s="37" t="s">
        <v>167</v>
      </c>
      <c r="N117" s="32" t="s">
        <v>167</v>
      </c>
      <c r="O117" s="37" t="s">
        <v>168</v>
      </c>
      <c r="P117" s="39">
        <v>1</v>
      </c>
      <c r="Q117" s="34" t="str">
        <f>VLOOKUP(P117,Key!$E$2:$F$9,2,FALSE)</f>
        <v>Home</v>
      </c>
      <c r="R117" s="37" t="s">
        <v>30</v>
      </c>
      <c r="S117" s="32" t="s">
        <v>188</v>
      </c>
      <c r="T117" s="37" t="s">
        <v>168</v>
      </c>
      <c r="U117" s="32">
        <v>6</v>
      </c>
      <c r="V117" s="34" t="str">
        <f>VLOOKUP(U117,Key!$E$2:$F$9,2,FALSE)</f>
        <v>Leisure/Social</v>
      </c>
      <c r="W117" s="34" t="str">
        <f t="shared" si="3"/>
        <v>Home-Leisure/Social</v>
      </c>
      <c r="X117" s="47">
        <v>100000</v>
      </c>
      <c r="Y117" s="38">
        <v>110</v>
      </c>
      <c r="Z117" s="38">
        <v>4</v>
      </c>
      <c r="AA117" s="32">
        <v>2</v>
      </c>
      <c r="AB117" s="34" t="str">
        <f>VLOOKUP(AA117,Key!$C$20:$D$29,2,FALSE)</f>
        <v>Manual Labour</v>
      </c>
      <c r="AC117" s="32">
        <v>2</v>
      </c>
      <c r="AD117" s="34" t="str">
        <f>VLOOKUP(AC117,Key!$E$20:$F$24,2,FALSE)</f>
        <v>300,000-500,000</v>
      </c>
      <c r="AE117" s="32">
        <v>2</v>
      </c>
      <c r="AF117" s="55">
        <v>3</v>
      </c>
      <c r="AG117" s="55">
        <v>4</v>
      </c>
      <c r="AH117" s="55">
        <v>1</v>
      </c>
      <c r="AI117" s="55">
        <v>4</v>
      </c>
      <c r="AJ117" s="39" t="s">
        <v>104</v>
      </c>
      <c r="AK117" s="40">
        <v>2000</v>
      </c>
      <c r="AL117" s="24"/>
      <c r="AM117" s="24"/>
    </row>
    <row r="118" spans="2:39" hidden="1" x14ac:dyDescent="0.2">
      <c r="B118" s="50">
        <v>43688</v>
      </c>
      <c r="C118" s="35">
        <v>0.51041666666666663</v>
      </c>
      <c r="D118" s="35"/>
      <c r="E118" s="35" t="s">
        <v>111</v>
      </c>
      <c r="F118" s="37">
        <v>2</v>
      </c>
      <c r="G118" s="42" t="str">
        <f>VLOOKUP(F118,Key!$A$17:$B$21,2,FALSE)</f>
        <v>Road Vehicle</v>
      </c>
      <c r="H118" s="36">
        <v>1</v>
      </c>
      <c r="I118" s="43" t="str">
        <f>VLOOKUP(H118,Key!$A$2:$B$13,2,FALSE)</f>
        <v>Car</v>
      </c>
      <c r="J118" s="37" t="s">
        <v>166</v>
      </c>
      <c r="K118" s="13">
        <v>2</v>
      </c>
      <c r="L118" s="45" t="str">
        <f>VLOOKUP(K118,Key!$A$24:$B$29,2,FALSE)</f>
        <v>30-39</v>
      </c>
      <c r="M118" s="44" t="s">
        <v>167</v>
      </c>
      <c r="N118" s="32" t="s">
        <v>167</v>
      </c>
      <c r="O118" s="37" t="s">
        <v>168</v>
      </c>
      <c r="P118" s="39">
        <v>1</v>
      </c>
      <c r="Q118" s="34" t="str">
        <f>VLOOKUP(P118,Key!$E$2:$F$9,2,FALSE)</f>
        <v>Home</v>
      </c>
      <c r="R118" s="37" t="s">
        <v>169</v>
      </c>
      <c r="S118" s="32" t="s">
        <v>169</v>
      </c>
      <c r="T118" s="37" t="s">
        <v>168</v>
      </c>
      <c r="U118" s="32">
        <v>6</v>
      </c>
      <c r="V118" s="34" t="str">
        <f>VLOOKUP(U118,Key!$E$2:$F$9,2,FALSE)</f>
        <v>Leisure/Social</v>
      </c>
      <c r="W118" s="34" t="str">
        <f t="shared" si="3"/>
        <v>Home-Leisure/Social</v>
      </c>
      <c r="X118" s="47">
        <v>80000</v>
      </c>
      <c r="Y118" s="38">
        <v>112</v>
      </c>
      <c r="Z118" s="38">
        <v>2</v>
      </c>
      <c r="AA118" s="32">
        <v>5</v>
      </c>
      <c r="AB118" s="34" t="str">
        <f>VLOOKUP(AA118,Key!$C$20:$D$29,2,FALSE)</f>
        <v>Professional</v>
      </c>
      <c r="AC118" s="32">
        <v>3</v>
      </c>
      <c r="AD118" s="34" t="str">
        <f>VLOOKUP(AC118,Key!$E$20:$F$24,2,FALSE)</f>
        <v>500,000-750,000</v>
      </c>
      <c r="AE118" s="32">
        <v>4</v>
      </c>
      <c r="AF118" s="55">
        <v>3</v>
      </c>
      <c r="AG118" s="55">
        <v>2</v>
      </c>
      <c r="AH118" s="55">
        <v>1</v>
      </c>
      <c r="AI118" s="55">
        <v>5</v>
      </c>
      <c r="AJ118" s="39" t="s">
        <v>104</v>
      </c>
      <c r="AK118" s="40"/>
      <c r="AL118" s="24"/>
      <c r="AM118" s="24"/>
    </row>
    <row r="119" spans="2:39" hidden="1" x14ac:dyDescent="0.2">
      <c r="B119" s="50">
        <v>43688</v>
      </c>
      <c r="C119" s="35">
        <v>0.70208333333333339</v>
      </c>
      <c r="D119" s="35"/>
      <c r="E119" s="35" t="s">
        <v>111</v>
      </c>
      <c r="F119" s="37">
        <v>2</v>
      </c>
      <c r="G119" s="42" t="str">
        <f>VLOOKUP(F119,Key!$A$17:$B$21,2,FALSE)</f>
        <v>Road Vehicle</v>
      </c>
      <c r="H119" s="36">
        <v>1</v>
      </c>
      <c r="I119" s="43" t="str">
        <f>VLOOKUP(H119,Key!$A$2:$B$13,2,FALSE)</f>
        <v>Car</v>
      </c>
      <c r="J119" s="37" t="s">
        <v>123</v>
      </c>
      <c r="K119" s="37">
        <v>3</v>
      </c>
      <c r="L119" s="45" t="str">
        <f>VLOOKUP(K119,Key!$A$24:$B$29,2,FALSE)</f>
        <v>40-49</v>
      </c>
      <c r="M119" s="37" t="s">
        <v>199</v>
      </c>
      <c r="N119" s="32" t="s">
        <v>199</v>
      </c>
      <c r="O119" s="37" t="s">
        <v>168</v>
      </c>
      <c r="P119" s="39">
        <v>1</v>
      </c>
      <c r="Q119" s="34" t="str">
        <f>VLOOKUP(P119,Key!$E$2:$F$9,2,FALSE)</f>
        <v>Home</v>
      </c>
      <c r="R119" s="37" t="s">
        <v>167</v>
      </c>
      <c r="S119" s="32" t="s">
        <v>167</v>
      </c>
      <c r="T119" s="37" t="s">
        <v>168</v>
      </c>
      <c r="U119" s="32">
        <v>2</v>
      </c>
      <c r="V119" s="34" t="str">
        <f>VLOOKUP(U119,Key!$E$2:$F$9,2,FALSE)</f>
        <v>Work</v>
      </c>
      <c r="W119" s="34" t="str">
        <f t="shared" si="3"/>
        <v>Home-Work</v>
      </c>
      <c r="X119" s="47">
        <v>50000</v>
      </c>
      <c r="Y119" s="38">
        <v>120</v>
      </c>
      <c r="Z119" s="38">
        <v>4</v>
      </c>
      <c r="AA119" s="32">
        <v>5</v>
      </c>
      <c r="AB119" s="34" t="str">
        <f>VLOOKUP(AA119,Key!$C$20:$D$29,2,FALSE)</f>
        <v>Professional</v>
      </c>
      <c r="AC119" s="32">
        <v>3</v>
      </c>
      <c r="AD119" s="34" t="str">
        <f>VLOOKUP(AC119,Key!$E$20:$F$24,2,FALSE)</f>
        <v>500,000-750,000</v>
      </c>
      <c r="AE119" s="32">
        <v>1</v>
      </c>
      <c r="AF119" s="55">
        <v>2</v>
      </c>
      <c r="AG119" s="55">
        <v>5</v>
      </c>
      <c r="AH119" s="55">
        <v>1</v>
      </c>
      <c r="AI119" s="55">
        <v>4</v>
      </c>
      <c r="AJ119" s="39" t="s">
        <v>104</v>
      </c>
      <c r="AK119" s="40">
        <v>2000</v>
      </c>
      <c r="AL119" s="24"/>
      <c r="AM119" s="24"/>
    </row>
    <row r="120" spans="2:39" hidden="1" x14ac:dyDescent="0.2">
      <c r="B120" s="50">
        <v>43688</v>
      </c>
      <c r="C120" s="35">
        <v>0.50486111111111109</v>
      </c>
      <c r="D120" s="35"/>
      <c r="E120" s="35" t="s">
        <v>111</v>
      </c>
      <c r="F120" s="37">
        <v>2</v>
      </c>
      <c r="G120" s="42" t="str">
        <f>VLOOKUP(F120,Key!$A$17:$B$21,2,FALSE)</f>
        <v>Road Vehicle</v>
      </c>
      <c r="H120" s="36">
        <v>1</v>
      </c>
      <c r="I120" s="43" t="str">
        <f>VLOOKUP(H120,Key!$A$2:$B$13,2,FALSE)</f>
        <v>Car</v>
      </c>
      <c r="J120" s="37" t="s">
        <v>123</v>
      </c>
      <c r="K120" s="37">
        <v>2</v>
      </c>
      <c r="L120" s="45" t="str">
        <f>VLOOKUP(K120,Key!$A$24:$B$29,2,FALSE)</f>
        <v>30-39</v>
      </c>
      <c r="M120" s="37" t="s">
        <v>167</v>
      </c>
      <c r="N120" s="32" t="s">
        <v>167</v>
      </c>
      <c r="O120" s="37" t="s">
        <v>168</v>
      </c>
      <c r="P120" s="39">
        <v>2</v>
      </c>
      <c r="Q120" s="34" t="str">
        <f>VLOOKUP(P120,Key!$E$2:$F$9,2,FALSE)</f>
        <v>Work</v>
      </c>
      <c r="R120" s="37" t="s">
        <v>30</v>
      </c>
      <c r="S120" s="32" t="s">
        <v>188</v>
      </c>
      <c r="T120" s="37" t="s">
        <v>168</v>
      </c>
      <c r="U120" s="32">
        <v>5</v>
      </c>
      <c r="V120" s="34" t="str">
        <f>VLOOKUP(U120,Key!$E$2:$F$9,2,FALSE)</f>
        <v>Tourism</v>
      </c>
      <c r="W120" s="34" t="str">
        <f t="shared" si="3"/>
        <v>Work-Tourism</v>
      </c>
      <c r="X120" s="47">
        <v>80000</v>
      </c>
      <c r="Y120" s="38">
        <v>120</v>
      </c>
      <c r="Z120" s="38">
        <v>6</v>
      </c>
      <c r="AA120" s="32">
        <v>6</v>
      </c>
      <c r="AB120" s="34" t="str">
        <f>VLOOKUP(AA120,Key!$C$20:$D$29,2,FALSE)</f>
        <v>Businessman</v>
      </c>
      <c r="AC120" s="32">
        <v>3</v>
      </c>
      <c r="AD120" s="34" t="str">
        <f>VLOOKUP(AC120,Key!$E$20:$F$24,2,FALSE)</f>
        <v>500,000-750,000</v>
      </c>
      <c r="AE120" s="32">
        <v>2</v>
      </c>
      <c r="AF120" s="55">
        <v>3</v>
      </c>
      <c r="AG120" s="55">
        <v>2</v>
      </c>
      <c r="AH120" s="55">
        <v>1</v>
      </c>
      <c r="AI120" s="55">
        <v>3</v>
      </c>
      <c r="AJ120" s="39" t="s">
        <v>104</v>
      </c>
      <c r="AK120" s="40">
        <v>1000</v>
      </c>
      <c r="AL120" s="24"/>
      <c r="AM120" s="24"/>
    </row>
    <row r="121" spans="2:39" hidden="1" x14ac:dyDescent="0.2">
      <c r="B121" s="50">
        <v>43690</v>
      </c>
      <c r="C121" s="35">
        <v>0.60902777777777783</v>
      </c>
      <c r="D121" s="35"/>
      <c r="E121" s="35" t="s">
        <v>111</v>
      </c>
      <c r="F121" s="37">
        <v>2</v>
      </c>
      <c r="G121" s="42" t="str">
        <f>VLOOKUP(F121,Key!$A$17:$B$21,2,FALSE)</f>
        <v>Road Vehicle</v>
      </c>
      <c r="H121" s="36">
        <v>1</v>
      </c>
      <c r="I121" s="43" t="str">
        <f>VLOOKUP(H121,Key!$A$2:$B$13,2,FALSE)</f>
        <v>Car</v>
      </c>
      <c r="J121" s="37" t="s">
        <v>123</v>
      </c>
      <c r="K121" s="37">
        <v>3</v>
      </c>
      <c r="L121" s="45" t="str">
        <f>VLOOKUP(K121,Key!$A$24:$B$29,2,FALSE)</f>
        <v>40-49</v>
      </c>
      <c r="M121" s="37" t="s">
        <v>315</v>
      </c>
      <c r="N121" s="32" t="s">
        <v>179</v>
      </c>
      <c r="O121" s="37" t="s">
        <v>168</v>
      </c>
      <c r="P121" s="39">
        <v>6</v>
      </c>
      <c r="Q121" s="34" t="str">
        <f>VLOOKUP(P121,Key!$E$2:$F$9,2,FALSE)</f>
        <v>Leisure/Social</v>
      </c>
      <c r="R121" s="37" t="s">
        <v>222</v>
      </c>
      <c r="S121" s="32" t="s">
        <v>176</v>
      </c>
      <c r="T121" s="37" t="s">
        <v>168</v>
      </c>
      <c r="U121" s="32">
        <v>1</v>
      </c>
      <c r="V121" s="34" t="str">
        <f>VLOOKUP(U121,Key!$E$2:$F$9,2,FALSE)</f>
        <v>Home</v>
      </c>
      <c r="W121" s="34" t="str">
        <f t="shared" si="3"/>
        <v>Leisure/Social-Home</v>
      </c>
      <c r="X121" s="47">
        <v>80000</v>
      </c>
      <c r="Y121" s="38">
        <v>130</v>
      </c>
      <c r="Z121" s="38">
        <v>3</v>
      </c>
      <c r="AA121" s="32">
        <v>5</v>
      </c>
      <c r="AB121" s="34" t="str">
        <f>VLOOKUP(AA121,Key!$C$20:$D$29,2,FALSE)</f>
        <v>Professional</v>
      </c>
      <c r="AC121" s="32">
        <v>5</v>
      </c>
      <c r="AD121" s="34" t="str">
        <f>VLOOKUP(AC121,Key!$E$20:$F$24,2,FALSE)</f>
        <v>&gt;1,000,000</v>
      </c>
      <c r="AE121" s="32">
        <v>1</v>
      </c>
      <c r="AF121" s="55">
        <v>1</v>
      </c>
      <c r="AG121" s="55">
        <v>1</v>
      </c>
      <c r="AH121" s="55">
        <v>1</v>
      </c>
      <c r="AI121" s="55">
        <v>1</v>
      </c>
      <c r="AJ121" s="39" t="s">
        <v>104</v>
      </c>
      <c r="AK121" s="40">
        <v>10000</v>
      </c>
      <c r="AL121" s="24"/>
      <c r="AM121" s="24"/>
    </row>
    <row r="122" spans="2:39" hidden="1" x14ac:dyDescent="0.2">
      <c r="B122" s="50">
        <v>43690</v>
      </c>
      <c r="C122" s="35">
        <v>0.59236111111111112</v>
      </c>
      <c r="D122" s="35"/>
      <c r="E122" s="35" t="s">
        <v>111</v>
      </c>
      <c r="F122" s="37">
        <v>2</v>
      </c>
      <c r="G122" s="42" t="str">
        <f>VLOOKUP(F122,Key!$A$17:$B$21,2,FALSE)</f>
        <v>Road Vehicle</v>
      </c>
      <c r="H122" s="36">
        <v>1</v>
      </c>
      <c r="I122" s="43" t="str">
        <f>VLOOKUP(H122,Key!$A$2:$B$13,2,FALSE)</f>
        <v>Car</v>
      </c>
      <c r="J122" s="37" t="s">
        <v>123</v>
      </c>
      <c r="K122" s="13">
        <v>1</v>
      </c>
      <c r="L122" s="45" t="str">
        <f>VLOOKUP(K122,Key!$A$24:$B$29,2,FALSE)</f>
        <v>20-29</v>
      </c>
      <c r="M122" s="44" t="s">
        <v>169</v>
      </c>
      <c r="N122" s="32" t="s">
        <v>169</v>
      </c>
      <c r="O122" s="37" t="s">
        <v>168</v>
      </c>
      <c r="P122" s="39">
        <v>2</v>
      </c>
      <c r="Q122" s="34" t="str">
        <f>VLOOKUP(P122,Key!$E$2:$F$9,2,FALSE)</f>
        <v>Work</v>
      </c>
      <c r="R122" s="37" t="s">
        <v>167</v>
      </c>
      <c r="S122" s="32" t="s">
        <v>167</v>
      </c>
      <c r="T122" s="37" t="s">
        <v>168</v>
      </c>
      <c r="U122" s="32">
        <v>5</v>
      </c>
      <c r="V122" s="34" t="str">
        <f>VLOOKUP(U122,Key!$E$2:$F$9,2,FALSE)</f>
        <v>Tourism</v>
      </c>
      <c r="W122" s="34" t="str">
        <f t="shared" si="3"/>
        <v>Work-Tourism</v>
      </c>
      <c r="X122" s="47">
        <v>50000</v>
      </c>
      <c r="Y122" s="38">
        <v>140</v>
      </c>
      <c r="Z122" s="38">
        <v>3</v>
      </c>
      <c r="AA122" s="32">
        <v>2</v>
      </c>
      <c r="AB122" s="34" t="str">
        <f>VLOOKUP(AA122,Key!$C$20:$D$29,2,FALSE)</f>
        <v>Manual Labour</v>
      </c>
      <c r="AC122" s="32">
        <v>2</v>
      </c>
      <c r="AD122" s="34" t="str">
        <f>VLOOKUP(AC122,Key!$E$20:$F$24,2,FALSE)</f>
        <v>300,000-500,000</v>
      </c>
      <c r="AE122" s="32">
        <v>2</v>
      </c>
      <c r="AF122" s="55">
        <v>2</v>
      </c>
      <c r="AG122" s="55">
        <v>3</v>
      </c>
      <c r="AH122" s="55">
        <v>1</v>
      </c>
      <c r="AI122" s="55">
        <v>4</v>
      </c>
      <c r="AJ122" s="39" t="s">
        <v>104</v>
      </c>
      <c r="AK122" s="40">
        <v>1000</v>
      </c>
      <c r="AL122" s="24"/>
      <c r="AM122" s="24"/>
    </row>
    <row r="123" spans="2:39" hidden="1" x14ac:dyDescent="0.2">
      <c r="B123" s="50">
        <v>43690</v>
      </c>
      <c r="C123" s="35">
        <v>0.49652777777777773</v>
      </c>
      <c r="D123" s="35"/>
      <c r="E123" s="35" t="s">
        <v>111</v>
      </c>
      <c r="F123" s="37">
        <v>2</v>
      </c>
      <c r="G123" s="42" t="str">
        <f>VLOOKUP(F123,Key!$A$17:$B$21,2,FALSE)</f>
        <v>Road Vehicle</v>
      </c>
      <c r="H123" s="36">
        <v>1</v>
      </c>
      <c r="I123" s="43" t="str">
        <f>VLOOKUP(H123,Key!$A$2:$B$13,2,FALSE)</f>
        <v>Car</v>
      </c>
      <c r="J123" s="37" t="s">
        <v>123</v>
      </c>
      <c r="K123" s="37">
        <v>1</v>
      </c>
      <c r="L123" s="45" t="str">
        <f>VLOOKUP(K123,Key!$A$24:$B$29,2,FALSE)</f>
        <v>20-29</v>
      </c>
      <c r="M123" s="37" t="s">
        <v>199</v>
      </c>
      <c r="N123" s="32" t="s">
        <v>199</v>
      </c>
      <c r="O123" s="37" t="s">
        <v>168</v>
      </c>
      <c r="P123" s="39">
        <v>2</v>
      </c>
      <c r="Q123" s="34" t="str">
        <f>VLOOKUP(P123,Key!$E$2:$F$9,2,FALSE)</f>
        <v>Work</v>
      </c>
      <c r="R123" s="37" t="s">
        <v>167</v>
      </c>
      <c r="S123" s="32" t="s">
        <v>167</v>
      </c>
      <c r="T123" s="37" t="s">
        <v>168</v>
      </c>
      <c r="U123" s="32">
        <v>2</v>
      </c>
      <c r="V123" s="34" t="str">
        <f>VLOOKUP(U123,Key!$E$2:$F$9,2,FALSE)</f>
        <v>Work</v>
      </c>
      <c r="W123" s="34" t="str">
        <f t="shared" si="3"/>
        <v>Work-Work</v>
      </c>
      <c r="X123" s="47">
        <v>80000</v>
      </c>
      <c r="Y123" s="38">
        <v>140</v>
      </c>
      <c r="Z123" s="38">
        <v>4</v>
      </c>
      <c r="AA123" s="32">
        <v>10</v>
      </c>
      <c r="AB123" s="34" t="str">
        <f>VLOOKUP(AA123,Key!$C$20:$D$29,2,FALSE)</f>
        <v>Other</v>
      </c>
      <c r="AC123" s="32">
        <v>2</v>
      </c>
      <c r="AD123" s="34" t="str">
        <f>VLOOKUP(AC123,Key!$E$20:$F$24,2,FALSE)</f>
        <v>300,000-500,000</v>
      </c>
      <c r="AE123" s="32">
        <v>2</v>
      </c>
      <c r="AF123" s="55">
        <v>4</v>
      </c>
      <c r="AG123" s="55">
        <v>3</v>
      </c>
      <c r="AH123" s="55">
        <v>1</v>
      </c>
      <c r="AI123" s="55">
        <v>5</v>
      </c>
      <c r="AJ123" s="39" t="s">
        <v>104</v>
      </c>
      <c r="AK123" s="40">
        <v>2000</v>
      </c>
      <c r="AL123" s="24"/>
      <c r="AM123" s="24"/>
    </row>
    <row r="124" spans="2:39" hidden="1" x14ac:dyDescent="0.2">
      <c r="B124" s="50">
        <v>43690</v>
      </c>
      <c r="C124" s="35">
        <v>0.40625</v>
      </c>
      <c r="D124" s="35"/>
      <c r="E124" s="35" t="s">
        <v>111</v>
      </c>
      <c r="F124" s="37">
        <v>2</v>
      </c>
      <c r="G124" s="42" t="str">
        <f>VLOOKUP(F124,Key!$A$17:$B$21,2,FALSE)</f>
        <v>Road Vehicle</v>
      </c>
      <c r="H124" s="36">
        <v>1</v>
      </c>
      <c r="I124" s="43" t="str">
        <f>VLOOKUP(H124,Key!$A$2:$B$13,2,FALSE)</f>
        <v>Car</v>
      </c>
      <c r="J124" s="37" t="s">
        <v>123</v>
      </c>
      <c r="K124" s="13">
        <v>2</v>
      </c>
      <c r="L124" s="45" t="str">
        <f>VLOOKUP(K124,Key!$A$24:$B$29,2,FALSE)</f>
        <v>30-39</v>
      </c>
      <c r="M124" s="44" t="s">
        <v>169</v>
      </c>
      <c r="N124" s="32" t="s">
        <v>169</v>
      </c>
      <c r="O124" s="37" t="s">
        <v>168</v>
      </c>
      <c r="P124" s="39">
        <v>1</v>
      </c>
      <c r="Q124" s="34" t="str">
        <f>VLOOKUP(P124,Key!$E$2:$F$9,2,FALSE)</f>
        <v>Home</v>
      </c>
      <c r="R124" s="37" t="s">
        <v>167</v>
      </c>
      <c r="S124" s="32" t="s">
        <v>167</v>
      </c>
      <c r="T124" s="37" t="s">
        <v>168</v>
      </c>
      <c r="U124" s="32">
        <v>4</v>
      </c>
      <c r="V124" s="34" t="str">
        <f>VLOOKUP(U124,Key!$E$2:$F$9,2,FALSE)</f>
        <v>Commercial</v>
      </c>
      <c r="W124" s="34" t="str">
        <f t="shared" si="3"/>
        <v>Home-Commercial</v>
      </c>
      <c r="X124" s="47">
        <v>80000</v>
      </c>
      <c r="Y124" s="38">
        <v>144</v>
      </c>
      <c r="Z124" s="38">
        <v>3</v>
      </c>
      <c r="AA124" s="32">
        <v>10</v>
      </c>
      <c r="AB124" s="34" t="str">
        <f>VLOOKUP(AA124,Key!$C$20:$D$29,2,FALSE)</f>
        <v>Other</v>
      </c>
      <c r="AC124" s="32">
        <v>2</v>
      </c>
      <c r="AD124" s="34" t="str">
        <f>VLOOKUP(AC124,Key!$E$20:$F$24,2,FALSE)</f>
        <v>300,000-500,000</v>
      </c>
      <c r="AE124" s="32">
        <v>2</v>
      </c>
      <c r="AF124" s="55">
        <v>3</v>
      </c>
      <c r="AG124" s="55">
        <v>2</v>
      </c>
      <c r="AH124" s="55">
        <v>1</v>
      </c>
      <c r="AI124" s="55">
        <v>4</v>
      </c>
      <c r="AJ124" s="39" t="s">
        <v>104</v>
      </c>
      <c r="AK124" s="40"/>
      <c r="AL124" s="24"/>
      <c r="AM124" s="24"/>
    </row>
    <row r="125" spans="2:39" hidden="1" x14ac:dyDescent="0.2">
      <c r="B125" s="50">
        <v>43690</v>
      </c>
      <c r="C125" s="35">
        <v>0.4236111111111111</v>
      </c>
      <c r="D125" s="35"/>
      <c r="E125" s="35" t="s">
        <v>111</v>
      </c>
      <c r="F125" s="37">
        <v>2</v>
      </c>
      <c r="G125" s="42" t="str">
        <f>VLOOKUP(F125,Key!$A$17:$B$21,2,FALSE)</f>
        <v>Road Vehicle</v>
      </c>
      <c r="H125" s="36">
        <v>1</v>
      </c>
      <c r="I125" s="43" t="str">
        <f>VLOOKUP(H125,Key!$A$2:$B$13,2,FALSE)</f>
        <v>Car</v>
      </c>
      <c r="J125" s="37" t="s">
        <v>166</v>
      </c>
      <c r="K125" s="37">
        <v>1</v>
      </c>
      <c r="L125" s="45" t="str">
        <f>VLOOKUP(K125,Key!$A$24:$B$29,2,FALSE)</f>
        <v>20-29</v>
      </c>
      <c r="M125" s="44" t="s">
        <v>220</v>
      </c>
      <c r="N125" s="44" t="s">
        <v>221</v>
      </c>
      <c r="O125" s="37" t="s">
        <v>168</v>
      </c>
      <c r="P125" s="39">
        <v>6</v>
      </c>
      <c r="Q125" s="34" t="str">
        <f>VLOOKUP(P125,Key!$E$2:$F$9,2,FALSE)</f>
        <v>Leisure/Social</v>
      </c>
      <c r="R125" s="37" t="s">
        <v>222</v>
      </c>
      <c r="S125" s="32" t="s">
        <v>176</v>
      </c>
      <c r="T125" s="37" t="s">
        <v>168</v>
      </c>
      <c r="U125" s="32">
        <v>1</v>
      </c>
      <c r="V125" s="34" t="str">
        <f>VLOOKUP(U125,Key!$E$2:$F$9,2,FALSE)</f>
        <v>Home</v>
      </c>
      <c r="W125" s="34" t="str">
        <f t="shared" si="3"/>
        <v>Leisure/Social-Home</v>
      </c>
      <c r="X125" s="47">
        <v>80000</v>
      </c>
      <c r="Y125" s="38">
        <v>150</v>
      </c>
      <c r="Z125" s="38">
        <v>3</v>
      </c>
      <c r="AA125" s="32">
        <v>4</v>
      </c>
      <c r="AB125" s="34" t="str">
        <f>VLOOKUP(AA125,Key!$C$20:$D$29,2,FALSE)</f>
        <v>Office Worker</v>
      </c>
      <c r="AC125" s="32">
        <v>4</v>
      </c>
      <c r="AD125" s="34" t="str">
        <f>VLOOKUP(AC125,Key!$E$20:$F$24,2,FALSE)</f>
        <v>750,000-1,000,000</v>
      </c>
      <c r="AE125" s="32">
        <v>1</v>
      </c>
      <c r="AF125" s="55">
        <v>1</v>
      </c>
      <c r="AG125" s="55">
        <v>1</v>
      </c>
      <c r="AH125" s="55">
        <v>1</v>
      </c>
      <c r="AI125" s="55">
        <v>1</v>
      </c>
      <c r="AJ125" s="39" t="s">
        <v>104</v>
      </c>
      <c r="AK125" s="40">
        <v>10000</v>
      </c>
      <c r="AL125" s="24"/>
      <c r="AM125" s="24"/>
    </row>
    <row r="126" spans="2:39" hidden="1" x14ac:dyDescent="0.2">
      <c r="B126" s="50">
        <v>43689</v>
      </c>
      <c r="C126" s="35">
        <v>0.59861111111111109</v>
      </c>
      <c r="D126" s="35"/>
      <c r="E126" s="35" t="s">
        <v>111</v>
      </c>
      <c r="F126" s="37">
        <v>2</v>
      </c>
      <c r="G126" s="42" t="str">
        <f>VLOOKUP(F126,Key!$A$17:$B$21,2,FALSE)</f>
        <v>Road Vehicle</v>
      </c>
      <c r="H126" s="36">
        <v>1</v>
      </c>
      <c r="I126" s="43" t="str">
        <f>VLOOKUP(H126,Key!$A$2:$B$13,2,FALSE)</f>
        <v>Car</v>
      </c>
      <c r="J126" s="37" t="s">
        <v>123</v>
      </c>
      <c r="K126" s="37">
        <v>2</v>
      </c>
      <c r="L126" s="45" t="str">
        <f>VLOOKUP(K126,Key!$A$24:$B$29,2,FALSE)</f>
        <v>30-39</v>
      </c>
      <c r="M126" s="37" t="s">
        <v>323</v>
      </c>
      <c r="N126" s="32" t="s">
        <v>323</v>
      </c>
      <c r="O126" s="37" t="s">
        <v>168</v>
      </c>
      <c r="P126" s="39">
        <v>6</v>
      </c>
      <c r="Q126" s="34" t="str">
        <f>VLOOKUP(P126,Key!$E$2:$F$9,2,FALSE)</f>
        <v>Leisure/Social</v>
      </c>
      <c r="R126" s="37" t="s">
        <v>193</v>
      </c>
      <c r="S126" s="32" t="s">
        <v>188</v>
      </c>
      <c r="T126" s="37" t="s">
        <v>168</v>
      </c>
      <c r="U126" s="32">
        <v>1</v>
      </c>
      <c r="V126" s="34" t="str">
        <f>VLOOKUP(U126,Key!$E$2:$F$9,2,FALSE)</f>
        <v>Home</v>
      </c>
      <c r="W126" s="34" t="str">
        <f t="shared" si="3"/>
        <v>Leisure/Social-Home</v>
      </c>
      <c r="X126" s="47">
        <v>80000</v>
      </c>
      <c r="Y126" s="38">
        <v>150</v>
      </c>
      <c r="Z126" s="38">
        <v>4</v>
      </c>
      <c r="AA126" s="32">
        <v>4</v>
      </c>
      <c r="AB126" s="34" t="str">
        <f>VLOOKUP(AA126,Key!$C$20:$D$29,2,FALSE)</f>
        <v>Office Worker</v>
      </c>
      <c r="AC126" s="32">
        <v>4</v>
      </c>
      <c r="AD126" s="34" t="str">
        <f>VLOOKUP(AC126,Key!$E$20:$F$24,2,FALSE)</f>
        <v>750,000-1,000,000</v>
      </c>
      <c r="AE126" s="32">
        <v>1</v>
      </c>
      <c r="AF126" s="55">
        <v>1</v>
      </c>
      <c r="AG126" s="55">
        <v>1</v>
      </c>
      <c r="AH126" s="55">
        <v>1</v>
      </c>
      <c r="AI126" s="55">
        <v>1</v>
      </c>
      <c r="AJ126" s="39" t="s">
        <v>104</v>
      </c>
      <c r="AK126" s="40">
        <v>3000</v>
      </c>
      <c r="AL126" s="24"/>
      <c r="AM126" s="24"/>
    </row>
    <row r="127" spans="2:39" hidden="1" x14ac:dyDescent="0.2">
      <c r="B127" s="50">
        <v>43689</v>
      </c>
      <c r="C127" s="35">
        <v>0.625</v>
      </c>
      <c r="D127" s="35"/>
      <c r="E127" s="35" t="s">
        <v>111</v>
      </c>
      <c r="F127" s="37">
        <v>2</v>
      </c>
      <c r="G127" s="42" t="str">
        <f>VLOOKUP(F127,Key!$A$17:$B$21,2,FALSE)</f>
        <v>Road Vehicle</v>
      </c>
      <c r="H127" s="36">
        <v>1</v>
      </c>
      <c r="I127" s="43" t="str">
        <f>VLOOKUP(H127,Key!$A$2:$B$13,2,FALSE)</f>
        <v>Car</v>
      </c>
      <c r="J127" s="37" t="s">
        <v>166</v>
      </c>
      <c r="K127" s="37">
        <v>2</v>
      </c>
      <c r="L127" s="45" t="str">
        <f>VLOOKUP(K127,Key!$A$24:$B$29,2,FALSE)</f>
        <v>30-39</v>
      </c>
      <c r="M127" s="37" t="s">
        <v>220</v>
      </c>
      <c r="N127" s="32" t="s">
        <v>221</v>
      </c>
      <c r="O127" s="37" t="s">
        <v>168</v>
      </c>
      <c r="P127" s="39">
        <v>6</v>
      </c>
      <c r="Q127" s="34" t="str">
        <f>VLOOKUP(P127,Key!$E$2:$F$9,2,FALSE)</f>
        <v>Leisure/Social</v>
      </c>
      <c r="R127" s="37" t="s">
        <v>325</v>
      </c>
      <c r="S127" s="32" t="s">
        <v>190</v>
      </c>
      <c r="T127" s="37" t="s">
        <v>168</v>
      </c>
      <c r="U127" s="32">
        <v>1</v>
      </c>
      <c r="V127" s="34" t="str">
        <f>VLOOKUP(U127,Key!$E$2:$F$9,2,FALSE)</f>
        <v>Home</v>
      </c>
      <c r="W127" s="34" t="str">
        <f t="shared" si="3"/>
        <v>Leisure/Social-Home</v>
      </c>
      <c r="X127" s="47">
        <v>70000</v>
      </c>
      <c r="Y127" s="38">
        <v>200</v>
      </c>
      <c r="Z127" s="38">
        <v>4</v>
      </c>
      <c r="AA127" s="32">
        <v>5</v>
      </c>
      <c r="AB127" s="34" t="str">
        <f>VLOOKUP(AA127,Key!$C$20:$D$29,2,FALSE)</f>
        <v>Professional</v>
      </c>
      <c r="AC127" s="32">
        <v>3</v>
      </c>
      <c r="AD127" s="34" t="str">
        <f>VLOOKUP(AC127,Key!$E$20:$F$24,2,FALSE)</f>
        <v>500,000-750,000</v>
      </c>
      <c r="AE127" s="32">
        <v>1</v>
      </c>
      <c r="AF127" s="55">
        <v>1</v>
      </c>
      <c r="AG127" s="55">
        <v>1</v>
      </c>
      <c r="AH127" s="55">
        <v>1</v>
      </c>
      <c r="AI127" s="55">
        <v>1</v>
      </c>
      <c r="AJ127" s="39" t="s">
        <v>104</v>
      </c>
      <c r="AK127" s="40"/>
      <c r="AL127" s="24"/>
      <c r="AM127" s="24"/>
    </row>
    <row r="128" spans="2:39" hidden="1" x14ac:dyDescent="0.2">
      <c r="B128" s="50">
        <v>43687</v>
      </c>
      <c r="C128" s="35">
        <v>0.72222222222222221</v>
      </c>
      <c r="D128" s="35"/>
      <c r="E128" s="35" t="s">
        <v>111</v>
      </c>
      <c r="F128" s="37">
        <v>2</v>
      </c>
      <c r="G128" s="42" t="str">
        <f>VLOOKUP(F128,Key!$A$17:$B$21,2,FALSE)</f>
        <v>Road Vehicle</v>
      </c>
      <c r="H128" s="36">
        <v>1</v>
      </c>
      <c r="I128" s="43" t="str">
        <f>VLOOKUP(H128,Key!$A$2:$B$13,2,FALSE)</f>
        <v>Car</v>
      </c>
      <c r="J128" s="37" t="s">
        <v>123</v>
      </c>
      <c r="K128" s="37">
        <v>3</v>
      </c>
      <c r="L128" s="45" t="str">
        <f>VLOOKUP(K128,Key!$A$24:$B$29,2,FALSE)</f>
        <v>40-49</v>
      </c>
      <c r="M128" s="37" t="s">
        <v>324</v>
      </c>
      <c r="N128" s="32" t="s">
        <v>320</v>
      </c>
      <c r="O128" s="37" t="s">
        <v>168</v>
      </c>
      <c r="P128" s="39">
        <v>1</v>
      </c>
      <c r="Q128" s="34" t="str">
        <f>VLOOKUP(P128,Key!$E$2:$F$9,2,FALSE)</f>
        <v>Home</v>
      </c>
      <c r="R128" s="37" t="s">
        <v>325</v>
      </c>
      <c r="S128" s="32" t="s">
        <v>190</v>
      </c>
      <c r="T128" s="37" t="s">
        <v>168</v>
      </c>
      <c r="U128" s="32">
        <v>6</v>
      </c>
      <c r="V128" s="34" t="str">
        <f>VLOOKUP(U128,Key!$E$2:$F$9,2,FALSE)</f>
        <v>Leisure/Social</v>
      </c>
      <c r="W128" s="34" t="str">
        <f t="shared" si="3"/>
        <v>Home-Leisure/Social</v>
      </c>
      <c r="X128" s="47">
        <v>80000</v>
      </c>
      <c r="Y128" s="38">
        <v>200</v>
      </c>
      <c r="Z128" s="38">
        <v>4</v>
      </c>
      <c r="AA128" s="32">
        <v>4</v>
      </c>
      <c r="AB128" s="34" t="str">
        <f>VLOOKUP(AA128,Key!$C$20:$D$29,2,FALSE)</f>
        <v>Office Worker</v>
      </c>
      <c r="AC128" s="32">
        <v>5</v>
      </c>
      <c r="AD128" s="34" t="str">
        <f>VLOOKUP(AC128,Key!$E$20:$F$24,2,FALSE)</f>
        <v>&gt;1,000,000</v>
      </c>
      <c r="AE128" s="32">
        <v>1</v>
      </c>
      <c r="AF128" s="55">
        <v>1</v>
      </c>
      <c r="AG128" s="55">
        <v>1</v>
      </c>
      <c r="AH128" s="55">
        <v>1</v>
      </c>
      <c r="AI128" s="55">
        <v>1</v>
      </c>
      <c r="AJ128" s="39" t="s">
        <v>104</v>
      </c>
      <c r="AK128" s="40"/>
      <c r="AL128" s="24"/>
      <c r="AM128" s="24"/>
    </row>
    <row r="129" spans="1:39" hidden="1" x14ac:dyDescent="0.2">
      <c r="B129" s="50">
        <v>43690</v>
      </c>
      <c r="C129" s="35">
        <v>0.50694444444444442</v>
      </c>
      <c r="D129" s="35"/>
      <c r="E129" s="35" t="s">
        <v>111</v>
      </c>
      <c r="F129" s="37">
        <v>2</v>
      </c>
      <c r="G129" s="42" t="str">
        <f>VLOOKUP(F129,Key!$A$17:$B$21,2,FALSE)</f>
        <v>Road Vehicle</v>
      </c>
      <c r="H129" s="36">
        <v>1</v>
      </c>
      <c r="I129" s="43" t="str">
        <f>VLOOKUP(H129,Key!$A$2:$B$13,2,FALSE)</f>
        <v>Car</v>
      </c>
      <c r="J129" s="37" t="s">
        <v>123</v>
      </c>
      <c r="K129" s="37">
        <v>5</v>
      </c>
      <c r="L129" s="45" t="str">
        <f>VLOOKUP(K129,Key!$A$24:$B$29,2,FALSE)</f>
        <v>60-69</v>
      </c>
      <c r="M129" s="37" t="s">
        <v>281</v>
      </c>
      <c r="N129" s="32" t="s">
        <v>190</v>
      </c>
      <c r="O129" s="37" t="s">
        <v>168</v>
      </c>
      <c r="P129" s="39">
        <v>6</v>
      </c>
      <c r="Q129" s="34" t="str">
        <f>VLOOKUP(P129,Key!$E$2:$F$9,2,FALSE)</f>
        <v>Leisure/Social</v>
      </c>
      <c r="R129" s="37" t="s">
        <v>231</v>
      </c>
      <c r="S129" s="32" t="s">
        <v>169</v>
      </c>
      <c r="T129" s="37" t="s">
        <v>168</v>
      </c>
      <c r="U129" s="32">
        <v>1</v>
      </c>
      <c r="V129" s="34" t="str">
        <f>VLOOKUP(U129,Key!$E$2:$F$9,2,FALSE)</f>
        <v>Home</v>
      </c>
      <c r="W129" s="34" t="str">
        <f t="shared" si="3"/>
        <v>Leisure/Social-Home</v>
      </c>
      <c r="X129" s="47">
        <v>80000</v>
      </c>
      <c r="Y129" s="38">
        <v>200</v>
      </c>
      <c r="Z129" s="38">
        <v>4</v>
      </c>
      <c r="AA129" s="32">
        <v>5</v>
      </c>
      <c r="AB129" s="34" t="str">
        <f>VLOOKUP(AA129,Key!$C$20:$D$29,2,FALSE)</f>
        <v>Professional</v>
      </c>
      <c r="AC129" s="32">
        <v>5</v>
      </c>
      <c r="AD129" s="34" t="str">
        <f>VLOOKUP(AC129,Key!$E$20:$F$24,2,FALSE)</f>
        <v>&gt;1,000,000</v>
      </c>
      <c r="AE129" s="32">
        <v>1</v>
      </c>
      <c r="AF129" s="55">
        <v>1</v>
      </c>
      <c r="AG129" s="55">
        <v>1</v>
      </c>
      <c r="AH129" s="55">
        <v>1</v>
      </c>
      <c r="AI129" s="55">
        <v>1</v>
      </c>
      <c r="AJ129" s="39" t="s">
        <v>104</v>
      </c>
      <c r="AK129" s="40">
        <v>5000</v>
      </c>
      <c r="AL129" s="24"/>
      <c r="AM129" s="24"/>
    </row>
    <row r="130" spans="1:39" hidden="1" x14ac:dyDescent="0.2">
      <c r="B130" s="50">
        <v>43690</v>
      </c>
      <c r="C130" s="35">
        <v>0.47916666666666669</v>
      </c>
      <c r="D130" s="35"/>
      <c r="E130" s="35" t="s">
        <v>111</v>
      </c>
      <c r="F130" s="37">
        <v>2</v>
      </c>
      <c r="G130" s="42" t="str">
        <f>VLOOKUP(F130,Key!$A$17:$B$21,2,FALSE)</f>
        <v>Road Vehicle</v>
      </c>
      <c r="H130" s="36">
        <v>1</v>
      </c>
      <c r="I130" s="43" t="str">
        <f>VLOOKUP(H130,Key!$A$2:$B$13,2,FALSE)</f>
        <v>Car</v>
      </c>
      <c r="J130" s="37" t="s">
        <v>123</v>
      </c>
      <c r="K130" s="37">
        <v>2</v>
      </c>
      <c r="L130" s="45" t="str">
        <f>VLOOKUP(K130,Key!$A$24:$B$29,2,FALSE)</f>
        <v>30-39</v>
      </c>
      <c r="M130" s="37" t="s">
        <v>190</v>
      </c>
      <c r="N130" s="32" t="s">
        <v>190</v>
      </c>
      <c r="O130" s="37" t="s">
        <v>168</v>
      </c>
      <c r="P130" s="39">
        <v>1</v>
      </c>
      <c r="Q130" s="34" t="str">
        <f>VLOOKUP(P130,Key!$E$2:$F$9,2,FALSE)</f>
        <v>Home</v>
      </c>
      <c r="R130" s="37" t="s">
        <v>169</v>
      </c>
      <c r="S130" s="32" t="s">
        <v>169</v>
      </c>
      <c r="T130" s="37" t="s">
        <v>168</v>
      </c>
      <c r="U130" s="32">
        <v>2</v>
      </c>
      <c r="V130" s="34" t="str">
        <f>VLOOKUP(U130,Key!$E$2:$F$9,2,FALSE)</f>
        <v>Work</v>
      </c>
      <c r="W130" s="34" t="str">
        <f t="shared" si="3"/>
        <v>Home-Work</v>
      </c>
      <c r="X130" s="47">
        <v>90000</v>
      </c>
      <c r="Y130" s="38">
        <v>200</v>
      </c>
      <c r="Z130" s="38">
        <v>4</v>
      </c>
      <c r="AA130" s="32">
        <v>4</v>
      </c>
      <c r="AB130" s="34" t="str">
        <f>VLOOKUP(AA130,Key!$C$20:$D$29,2,FALSE)</f>
        <v>Office Worker</v>
      </c>
      <c r="AC130" s="32">
        <v>4</v>
      </c>
      <c r="AD130" s="34" t="str">
        <f>VLOOKUP(AC130,Key!$E$20:$F$24,2,FALSE)</f>
        <v>750,000-1,000,000</v>
      </c>
      <c r="AE130" s="32">
        <v>2</v>
      </c>
      <c r="AF130" s="55">
        <v>3</v>
      </c>
      <c r="AG130" s="55">
        <v>4</v>
      </c>
      <c r="AH130" s="55">
        <v>1</v>
      </c>
      <c r="AI130" s="55">
        <v>4</v>
      </c>
      <c r="AJ130" s="39" t="s">
        <v>104</v>
      </c>
      <c r="AK130" s="40">
        <v>5000</v>
      </c>
      <c r="AL130" s="24"/>
      <c r="AM130" s="24"/>
    </row>
    <row r="131" spans="1:39" hidden="1" x14ac:dyDescent="0.2">
      <c r="A131" s="10"/>
      <c r="B131" s="50">
        <v>43687</v>
      </c>
      <c r="C131" s="35">
        <v>0.56597222222222221</v>
      </c>
      <c r="D131" s="35"/>
      <c r="E131" s="35" t="s">
        <v>111</v>
      </c>
      <c r="F131" s="37">
        <v>2</v>
      </c>
      <c r="G131" s="42" t="str">
        <f>VLOOKUP(F131,Key!$A$17:$B$21,2,FALSE)</f>
        <v>Road Vehicle</v>
      </c>
      <c r="H131" s="36">
        <v>1</v>
      </c>
      <c r="I131" s="43" t="str">
        <f>VLOOKUP(H131,Key!$A$2:$B$13,2,FALSE)</f>
        <v>Car</v>
      </c>
      <c r="J131" s="37" t="s">
        <v>166</v>
      </c>
      <c r="K131" s="37">
        <v>2</v>
      </c>
      <c r="L131" s="45" t="str">
        <f>VLOOKUP(K131,Key!$A$24:$B$29,2,FALSE)</f>
        <v>30-39</v>
      </c>
      <c r="M131" s="37" t="s">
        <v>318</v>
      </c>
      <c r="N131" s="32" t="s">
        <v>169</v>
      </c>
      <c r="O131" s="37" t="s">
        <v>168</v>
      </c>
      <c r="P131" s="39">
        <v>1</v>
      </c>
      <c r="Q131" s="34" t="str">
        <f>VLOOKUP(P131,Key!$E$2:$F$9,2,FALSE)</f>
        <v>Home</v>
      </c>
      <c r="R131" s="37" t="s">
        <v>259</v>
      </c>
      <c r="S131" s="32" t="s">
        <v>176</v>
      </c>
      <c r="T131" s="37" t="s">
        <v>168</v>
      </c>
      <c r="U131" s="32">
        <v>8</v>
      </c>
      <c r="V131" s="34" t="str">
        <f>VLOOKUP(U131,Key!$E$2:$F$9,2,FALSE)</f>
        <v>Others</v>
      </c>
      <c r="W131" s="34" t="str">
        <f t="shared" si="3"/>
        <v>Home-Others</v>
      </c>
      <c r="X131" s="47">
        <v>120000</v>
      </c>
      <c r="Y131" s="38">
        <v>200</v>
      </c>
      <c r="Z131" s="38">
        <v>4.5</v>
      </c>
      <c r="AA131" s="32">
        <v>4</v>
      </c>
      <c r="AB131" s="34" t="str">
        <f>VLOOKUP(AA131,Key!$C$20:$D$29,2,FALSE)</f>
        <v>Office Worker</v>
      </c>
      <c r="AC131" s="32">
        <v>4</v>
      </c>
      <c r="AD131" s="34" t="str">
        <f>VLOOKUP(AC131,Key!$E$20:$F$24,2,FALSE)</f>
        <v>750,000-1,000,000</v>
      </c>
      <c r="AE131" s="32">
        <v>1</v>
      </c>
      <c r="AF131" s="55">
        <v>1</v>
      </c>
      <c r="AG131" s="55">
        <v>1</v>
      </c>
      <c r="AH131" s="55">
        <v>1</v>
      </c>
      <c r="AI131" s="55">
        <v>1</v>
      </c>
      <c r="AJ131" s="39" t="s">
        <v>104</v>
      </c>
      <c r="AK131" s="40"/>
      <c r="AL131" s="24"/>
      <c r="AM131" s="24"/>
    </row>
    <row r="132" spans="1:39" hidden="1" x14ac:dyDescent="0.2">
      <c r="B132" s="50">
        <v>43687</v>
      </c>
      <c r="C132" s="35">
        <v>0.76527777777777783</v>
      </c>
      <c r="D132" s="35"/>
      <c r="E132" s="35" t="s">
        <v>111</v>
      </c>
      <c r="F132" s="37">
        <v>2</v>
      </c>
      <c r="G132" s="42" t="str">
        <f>VLOOKUP(F132,Key!$A$17:$B$21,2,FALSE)</f>
        <v>Road Vehicle</v>
      </c>
      <c r="H132" s="36">
        <v>1</v>
      </c>
      <c r="I132" s="43" t="str">
        <f>VLOOKUP(H132,Key!$A$2:$B$13,2,FALSE)</f>
        <v>Car</v>
      </c>
      <c r="J132" s="37" t="s">
        <v>123</v>
      </c>
      <c r="K132" s="37">
        <v>2</v>
      </c>
      <c r="L132" s="45" t="str">
        <f>VLOOKUP(K132,Key!$A$24:$B$29,2,FALSE)</f>
        <v>30-39</v>
      </c>
      <c r="M132" s="37" t="s">
        <v>341</v>
      </c>
      <c r="N132" s="32" t="s">
        <v>342</v>
      </c>
      <c r="O132" s="37" t="s">
        <v>168</v>
      </c>
      <c r="P132" s="39">
        <v>1</v>
      </c>
      <c r="Q132" s="34" t="str">
        <f>VLOOKUP(P132,Key!$E$2:$F$9,2,FALSE)</f>
        <v>Home</v>
      </c>
      <c r="R132" s="37" t="s">
        <v>173</v>
      </c>
      <c r="S132" s="32" t="s">
        <v>173</v>
      </c>
      <c r="T132" s="37" t="s">
        <v>168</v>
      </c>
      <c r="U132" s="32">
        <v>6</v>
      </c>
      <c r="V132" s="34" t="str">
        <f>VLOOKUP(U132,Key!$E$2:$F$9,2,FALSE)</f>
        <v>Leisure/Social</v>
      </c>
      <c r="W132" s="34" t="str">
        <f t="shared" si="3"/>
        <v>Home-Leisure/Social</v>
      </c>
      <c r="X132" s="47">
        <v>100000</v>
      </c>
      <c r="Y132" s="38">
        <v>200</v>
      </c>
      <c r="Z132" s="38">
        <v>5</v>
      </c>
      <c r="AA132" s="32">
        <v>7</v>
      </c>
      <c r="AB132" s="34" t="str">
        <f>VLOOKUP(AA132,Key!$C$20:$D$29,2,FALSE)</f>
        <v>Farmer</v>
      </c>
      <c r="AC132" s="32">
        <v>5</v>
      </c>
      <c r="AD132" s="34" t="str">
        <f>VLOOKUP(AC132,Key!$E$20:$F$24,2,FALSE)</f>
        <v>&gt;1,000,000</v>
      </c>
      <c r="AE132" s="32">
        <v>1</v>
      </c>
      <c r="AF132" s="55">
        <v>1</v>
      </c>
      <c r="AG132" s="55">
        <v>1</v>
      </c>
      <c r="AH132" s="55">
        <v>1</v>
      </c>
      <c r="AI132" s="55">
        <v>1</v>
      </c>
      <c r="AJ132" s="39" t="s">
        <v>104</v>
      </c>
      <c r="AK132" s="40"/>
      <c r="AL132" s="24"/>
      <c r="AM132" s="24"/>
    </row>
    <row r="133" spans="1:39" hidden="1" x14ac:dyDescent="0.2">
      <c r="B133" s="50">
        <v>43687</v>
      </c>
      <c r="C133" s="35">
        <v>0.7715277777777777</v>
      </c>
      <c r="D133" s="35"/>
      <c r="E133" s="35" t="s">
        <v>111</v>
      </c>
      <c r="F133" s="37">
        <v>2</v>
      </c>
      <c r="G133" s="42" t="str">
        <f>VLOOKUP(F133,Key!$A$17:$B$21,2,FALSE)</f>
        <v>Road Vehicle</v>
      </c>
      <c r="H133" s="36">
        <v>1</v>
      </c>
      <c r="I133" s="43" t="str">
        <f>VLOOKUP(H133,Key!$A$2:$B$13,2,FALSE)</f>
        <v>Car</v>
      </c>
      <c r="J133" s="37" t="s">
        <v>123</v>
      </c>
      <c r="K133" s="37">
        <v>4</v>
      </c>
      <c r="L133" s="45" t="str">
        <f>VLOOKUP(K133,Key!$A$24:$B$29,2,FALSE)</f>
        <v>50-59</v>
      </c>
      <c r="M133" s="37" t="s">
        <v>333</v>
      </c>
      <c r="N133" s="32" t="s">
        <v>169</v>
      </c>
      <c r="O133" s="37" t="s">
        <v>168</v>
      </c>
      <c r="P133" s="39">
        <v>6</v>
      </c>
      <c r="Q133" s="34" t="str">
        <f>VLOOKUP(P133,Key!$E$2:$F$9,2,FALSE)</f>
        <v>Leisure/Social</v>
      </c>
      <c r="R133" s="37" t="s">
        <v>188</v>
      </c>
      <c r="S133" s="32" t="s">
        <v>188</v>
      </c>
      <c r="T133" s="37" t="s">
        <v>168</v>
      </c>
      <c r="U133" s="32">
        <v>1</v>
      </c>
      <c r="V133" s="34" t="str">
        <f>VLOOKUP(U133,Key!$E$2:$F$9,2,FALSE)</f>
        <v>Home</v>
      </c>
      <c r="W133" s="34" t="str">
        <f t="shared" ref="W133:W164" si="4">Q133&amp;"-"&amp;V133</f>
        <v>Leisure/Social-Home</v>
      </c>
      <c r="X133" s="47">
        <v>90000</v>
      </c>
      <c r="Y133" s="38">
        <v>200</v>
      </c>
      <c r="Z133" s="38">
        <v>5</v>
      </c>
      <c r="AA133" s="32">
        <v>4</v>
      </c>
      <c r="AB133" s="34" t="str">
        <f>VLOOKUP(AA133,Key!$C$20:$D$29,2,FALSE)</f>
        <v>Office Worker</v>
      </c>
      <c r="AC133" s="32">
        <v>5</v>
      </c>
      <c r="AD133" s="34" t="str">
        <f>VLOOKUP(AC133,Key!$E$20:$F$24,2,FALSE)</f>
        <v>&gt;1,000,000</v>
      </c>
      <c r="AE133" s="32">
        <v>1</v>
      </c>
      <c r="AF133" s="55">
        <v>1</v>
      </c>
      <c r="AG133" s="55">
        <v>1</v>
      </c>
      <c r="AH133" s="55">
        <v>1</v>
      </c>
      <c r="AI133" s="55">
        <v>1</v>
      </c>
      <c r="AJ133" s="39" t="s">
        <v>104</v>
      </c>
      <c r="AK133" s="40">
        <v>10000</v>
      </c>
      <c r="AL133" s="24"/>
      <c r="AM133" s="24"/>
    </row>
    <row r="134" spans="1:39" hidden="1" x14ac:dyDescent="0.2">
      <c r="B134" s="50">
        <v>43689</v>
      </c>
      <c r="C134" s="35">
        <v>0.55694444444444446</v>
      </c>
      <c r="D134" s="35"/>
      <c r="E134" s="35" t="s">
        <v>111</v>
      </c>
      <c r="F134" s="37">
        <v>2</v>
      </c>
      <c r="G134" s="42" t="str">
        <f>VLOOKUP(F134,Key!$A$17:$B$21,2,FALSE)</f>
        <v>Road Vehicle</v>
      </c>
      <c r="H134" s="36">
        <v>1</v>
      </c>
      <c r="I134" s="43" t="str">
        <f>VLOOKUP(H134,Key!$A$2:$B$13,2,FALSE)</f>
        <v>Car</v>
      </c>
      <c r="J134" s="37" t="s">
        <v>123</v>
      </c>
      <c r="K134" s="37">
        <v>2</v>
      </c>
      <c r="L134" s="45" t="str">
        <f>VLOOKUP(K134,Key!$A$24:$B$29,2,FALSE)</f>
        <v>30-39</v>
      </c>
      <c r="M134" s="37" t="s">
        <v>208</v>
      </c>
      <c r="N134" s="32" t="s">
        <v>167</v>
      </c>
      <c r="O134" s="37" t="s">
        <v>168</v>
      </c>
      <c r="P134" s="39">
        <v>1</v>
      </c>
      <c r="Q134" s="34" t="str">
        <f>VLOOKUP(P134,Key!$E$2:$F$9,2,FALSE)</f>
        <v>Home</v>
      </c>
      <c r="R134" s="37" t="s">
        <v>175</v>
      </c>
      <c r="S134" s="32" t="s">
        <v>175</v>
      </c>
      <c r="T134" s="37" t="s">
        <v>168</v>
      </c>
      <c r="U134" s="32">
        <v>2</v>
      </c>
      <c r="V134" s="34" t="str">
        <f>VLOOKUP(U134,Key!$E$2:$F$9,2,FALSE)</f>
        <v>Work</v>
      </c>
      <c r="W134" s="34" t="str">
        <f t="shared" si="4"/>
        <v>Home-Work</v>
      </c>
      <c r="X134" s="47">
        <v>350000</v>
      </c>
      <c r="Y134" s="38">
        <v>200</v>
      </c>
      <c r="Z134" s="38">
        <v>8</v>
      </c>
      <c r="AA134" s="32">
        <v>10</v>
      </c>
      <c r="AB134" s="34" t="str">
        <f>VLOOKUP(AA134,Key!$C$20:$D$29,2,FALSE)</f>
        <v>Other</v>
      </c>
      <c r="AC134" s="32">
        <v>2</v>
      </c>
      <c r="AD134" s="34" t="str">
        <f>VLOOKUP(AC134,Key!$E$20:$F$24,2,FALSE)</f>
        <v>300,000-500,000</v>
      </c>
      <c r="AE134" s="32">
        <v>3</v>
      </c>
      <c r="AF134" s="55">
        <v>3</v>
      </c>
      <c r="AG134" s="55">
        <v>2</v>
      </c>
      <c r="AH134" s="55">
        <v>3</v>
      </c>
      <c r="AI134" s="55">
        <v>4</v>
      </c>
      <c r="AJ134" s="39" t="s">
        <v>104</v>
      </c>
      <c r="AK134" s="40">
        <v>10000</v>
      </c>
      <c r="AL134" s="24"/>
      <c r="AM134" s="24"/>
    </row>
    <row r="135" spans="1:39" hidden="1" x14ac:dyDescent="0.2">
      <c r="B135" s="50">
        <v>43687</v>
      </c>
      <c r="C135" s="35">
        <v>0.51041666666666663</v>
      </c>
      <c r="D135" s="35"/>
      <c r="E135" s="35" t="s">
        <v>111</v>
      </c>
      <c r="F135" s="37">
        <v>2</v>
      </c>
      <c r="G135" s="42" t="str">
        <f>VLOOKUP(F135,Key!$A$17:$B$21,2,FALSE)</f>
        <v>Road Vehicle</v>
      </c>
      <c r="H135" s="36">
        <v>1</v>
      </c>
      <c r="I135" s="43" t="str">
        <f>VLOOKUP(H135,Key!$A$2:$B$13,2,FALSE)</f>
        <v>Car</v>
      </c>
      <c r="J135" s="37" t="s">
        <v>123</v>
      </c>
      <c r="K135" s="37">
        <v>2</v>
      </c>
      <c r="L135" s="45" t="str">
        <f>VLOOKUP(K135,Key!$A$24:$B$29,2,FALSE)</f>
        <v>30-39</v>
      </c>
      <c r="M135" s="37" t="s">
        <v>169</v>
      </c>
      <c r="N135" s="32" t="s">
        <v>169</v>
      </c>
      <c r="O135" s="37" t="s">
        <v>168</v>
      </c>
      <c r="P135" s="39">
        <v>2</v>
      </c>
      <c r="Q135" s="34" t="str">
        <f>VLOOKUP(P135,Key!$E$2:$F$9,2,FALSE)</f>
        <v>Work</v>
      </c>
      <c r="R135" s="37" t="s">
        <v>176</v>
      </c>
      <c r="S135" s="32" t="s">
        <v>176</v>
      </c>
      <c r="T135" s="37" t="s">
        <v>168</v>
      </c>
      <c r="U135" s="32">
        <v>4</v>
      </c>
      <c r="V135" s="34" t="str">
        <f>VLOOKUP(U135,Key!$E$2:$F$9,2,FALSE)</f>
        <v>Commercial</v>
      </c>
      <c r="W135" s="34" t="str">
        <f t="shared" si="4"/>
        <v>Work-Commercial</v>
      </c>
      <c r="X135" s="47">
        <v>100000</v>
      </c>
      <c r="Y135" s="38">
        <v>210</v>
      </c>
      <c r="Z135" s="38">
        <v>3.5</v>
      </c>
      <c r="AA135" s="32"/>
      <c r="AB135" s="34" t="e">
        <f>VLOOKUP(AA135,Key!$C$20:$D$29,2,FALSE)</f>
        <v>#N/A</v>
      </c>
      <c r="AC135" s="32">
        <v>2</v>
      </c>
      <c r="AD135" s="34" t="str">
        <f>VLOOKUP(AC135,Key!$E$20:$F$24,2,FALSE)</f>
        <v>300,000-500,000</v>
      </c>
      <c r="AE135" s="32">
        <v>3</v>
      </c>
      <c r="AF135" s="55">
        <v>4</v>
      </c>
      <c r="AG135" s="55">
        <v>4</v>
      </c>
      <c r="AH135" s="55">
        <v>3</v>
      </c>
      <c r="AI135" s="55">
        <v>3</v>
      </c>
      <c r="AJ135" s="39" t="s">
        <v>104</v>
      </c>
      <c r="AK135" s="40">
        <v>2000</v>
      </c>
      <c r="AL135" s="24"/>
      <c r="AM135" s="24"/>
    </row>
    <row r="136" spans="1:39" hidden="1" x14ac:dyDescent="0.2">
      <c r="B136" s="50">
        <v>43687</v>
      </c>
      <c r="C136" s="35">
        <v>0.50555555555555554</v>
      </c>
      <c r="D136" s="35"/>
      <c r="E136" s="35" t="s">
        <v>111</v>
      </c>
      <c r="F136" s="37">
        <v>2</v>
      </c>
      <c r="G136" s="42" t="str">
        <f>VLOOKUP(F136,Key!$A$17:$B$21,2,FALSE)</f>
        <v>Road Vehicle</v>
      </c>
      <c r="H136" s="36">
        <v>1</v>
      </c>
      <c r="I136" s="43" t="str">
        <f>VLOOKUP(H136,Key!$A$2:$B$13,2,FALSE)</f>
        <v>Car</v>
      </c>
      <c r="J136" s="37" t="s">
        <v>123</v>
      </c>
      <c r="K136" s="37">
        <v>2</v>
      </c>
      <c r="L136" s="45" t="str">
        <f>VLOOKUP(K136,Key!$A$24:$B$29,2,FALSE)</f>
        <v>30-39</v>
      </c>
      <c r="M136" s="37" t="s">
        <v>199</v>
      </c>
      <c r="N136" s="32" t="s">
        <v>199</v>
      </c>
      <c r="O136" s="37" t="s">
        <v>168</v>
      </c>
      <c r="P136" s="39">
        <v>1</v>
      </c>
      <c r="Q136" s="34" t="str">
        <f>VLOOKUP(P136,Key!$E$2:$F$9,2,FALSE)</f>
        <v>Home</v>
      </c>
      <c r="R136" s="37" t="s">
        <v>176</v>
      </c>
      <c r="S136" s="32" t="s">
        <v>176</v>
      </c>
      <c r="T136" s="37" t="s">
        <v>168</v>
      </c>
      <c r="U136" s="32">
        <v>2</v>
      </c>
      <c r="V136" s="34" t="str">
        <f>VLOOKUP(U136,Key!$E$2:$F$9,2,FALSE)</f>
        <v>Work</v>
      </c>
      <c r="W136" s="34" t="str">
        <f t="shared" si="4"/>
        <v>Home-Work</v>
      </c>
      <c r="X136" s="47">
        <v>80000</v>
      </c>
      <c r="Y136" s="38">
        <v>220</v>
      </c>
      <c r="Z136" s="38">
        <v>6</v>
      </c>
      <c r="AA136" s="32">
        <v>5</v>
      </c>
      <c r="AB136" s="34" t="str">
        <f>VLOOKUP(AA136,Key!$C$20:$D$29,2,FALSE)</f>
        <v>Professional</v>
      </c>
      <c r="AC136" s="32">
        <v>2</v>
      </c>
      <c r="AD136" s="34" t="str">
        <f>VLOOKUP(AC136,Key!$E$20:$F$24,2,FALSE)</f>
        <v>300,000-500,000</v>
      </c>
      <c r="AE136" s="32">
        <v>1</v>
      </c>
      <c r="AF136" s="55">
        <v>3</v>
      </c>
      <c r="AG136" s="55">
        <v>4</v>
      </c>
      <c r="AH136" s="55">
        <v>2</v>
      </c>
      <c r="AI136" s="55">
        <v>4</v>
      </c>
      <c r="AJ136" s="39" t="s">
        <v>104</v>
      </c>
      <c r="AK136" s="40">
        <v>1000</v>
      </c>
      <c r="AL136" s="24"/>
      <c r="AM136" s="24"/>
    </row>
    <row r="137" spans="1:39" hidden="1" x14ac:dyDescent="0.2">
      <c r="B137" s="50">
        <v>43687</v>
      </c>
      <c r="C137" s="35">
        <v>0.54513888888888895</v>
      </c>
      <c r="D137" s="35"/>
      <c r="E137" s="35" t="s">
        <v>111</v>
      </c>
      <c r="F137" s="37">
        <v>2</v>
      </c>
      <c r="G137" s="42" t="str">
        <f>VLOOKUP(F137,Key!$A$17:$B$21,2,FALSE)</f>
        <v>Road Vehicle</v>
      </c>
      <c r="H137" s="36">
        <v>1</v>
      </c>
      <c r="I137" s="43" t="str">
        <f>VLOOKUP(H137,Key!$A$2:$B$13,2,FALSE)</f>
        <v>Car</v>
      </c>
      <c r="J137" s="37" t="s">
        <v>123</v>
      </c>
      <c r="K137" s="37">
        <v>3</v>
      </c>
      <c r="L137" s="45" t="str">
        <f>VLOOKUP(K137,Key!$A$24:$B$29,2,FALSE)</f>
        <v>40-49</v>
      </c>
      <c r="M137" s="37" t="s">
        <v>169</v>
      </c>
      <c r="N137" s="32" t="s">
        <v>169</v>
      </c>
      <c r="O137" s="37" t="s">
        <v>168</v>
      </c>
      <c r="P137" s="39">
        <v>2</v>
      </c>
      <c r="Q137" s="34" t="str">
        <f>VLOOKUP(P137,Key!$E$2:$F$9,2,FALSE)</f>
        <v>Work</v>
      </c>
      <c r="R137" s="37" t="s">
        <v>176</v>
      </c>
      <c r="S137" s="32" t="s">
        <v>176</v>
      </c>
      <c r="T137" s="37" t="s">
        <v>168</v>
      </c>
      <c r="U137" s="32">
        <v>4</v>
      </c>
      <c r="V137" s="34" t="str">
        <f>VLOOKUP(U137,Key!$E$2:$F$9,2,FALSE)</f>
        <v>Commercial</v>
      </c>
      <c r="W137" s="34" t="str">
        <f t="shared" si="4"/>
        <v>Work-Commercial</v>
      </c>
      <c r="X137" s="47">
        <v>80000</v>
      </c>
      <c r="Y137" s="38">
        <v>220</v>
      </c>
      <c r="Z137" s="38">
        <v>6</v>
      </c>
      <c r="AA137" s="32">
        <v>10</v>
      </c>
      <c r="AB137" s="34" t="str">
        <f>VLOOKUP(AA137,Key!$C$20:$D$29,2,FALSE)</f>
        <v>Other</v>
      </c>
      <c r="AC137" s="32">
        <v>2</v>
      </c>
      <c r="AD137" s="34" t="str">
        <f>VLOOKUP(AC137,Key!$E$20:$F$24,2,FALSE)</f>
        <v>300,000-500,000</v>
      </c>
      <c r="AE137" s="32">
        <v>2</v>
      </c>
      <c r="AF137" s="55">
        <v>4</v>
      </c>
      <c r="AG137" s="55">
        <v>3</v>
      </c>
      <c r="AH137" s="55">
        <v>1</v>
      </c>
      <c r="AI137" s="55">
        <v>4</v>
      </c>
      <c r="AJ137" s="39" t="s">
        <v>104</v>
      </c>
      <c r="AK137" s="40">
        <v>10000</v>
      </c>
      <c r="AL137" s="24"/>
      <c r="AM137" s="24"/>
    </row>
    <row r="138" spans="1:39" hidden="1" x14ac:dyDescent="0.2">
      <c r="B138" s="50">
        <v>43687</v>
      </c>
      <c r="C138" s="35">
        <v>0.65972222222222221</v>
      </c>
      <c r="D138" s="35"/>
      <c r="E138" s="35" t="s">
        <v>111</v>
      </c>
      <c r="F138" s="37">
        <v>2</v>
      </c>
      <c r="G138" s="42" t="str">
        <f>VLOOKUP(F138,Key!$A$17:$B$21,2,FALSE)</f>
        <v>Road Vehicle</v>
      </c>
      <c r="H138" s="36">
        <v>1</v>
      </c>
      <c r="I138" s="43" t="str">
        <f>VLOOKUP(H138,Key!$A$2:$B$13,2,FALSE)</f>
        <v>Car</v>
      </c>
      <c r="J138" s="37" t="s">
        <v>123</v>
      </c>
      <c r="K138" s="37">
        <v>2</v>
      </c>
      <c r="L138" s="45" t="str">
        <f>VLOOKUP(K138,Key!$A$24:$B$29,2,FALSE)</f>
        <v>30-39</v>
      </c>
      <c r="M138" s="37" t="s">
        <v>169</v>
      </c>
      <c r="N138" s="32" t="s">
        <v>169</v>
      </c>
      <c r="O138" s="37" t="s">
        <v>168</v>
      </c>
      <c r="P138" s="39">
        <v>2</v>
      </c>
      <c r="Q138" s="34" t="str">
        <f>VLOOKUP(P138,Key!$E$2:$F$9,2,FALSE)</f>
        <v>Work</v>
      </c>
      <c r="R138" s="37" t="s">
        <v>176</v>
      </c>
      <c r="S138" s="32" t="s">
        <v>176</v>
      </c>
      <c r="T138" s="37" t="s">
        <v>168</v>
      </c>
      <c r="U138" s="32">
        <v>2</v>
      </c>
      <c r="V138" s="34" t="str">
        <f>VLOOKUP(U138,Key!$E$2:$F$9,2,FALSE)</f>
        <v>Work</v>
      </c>
      <c r="W138" s="34" t="str">
        <f t="shared" si="4"/>
        <v>Work-Work</v>
      </c>
      <c r="X138" s="47">
        <v>90000</v>
      </c>
      <c r="Y138" s="38">
        <v>230</v>
      </c>
      <c r="Z138" s="38">
        <v>6</v>
      </c>
      <c r="AA138" s="32">
        <v>10</v>
      </c>
      <c r="AB138" s="34" t="str">
        <f>VLOOKUP(AA138,Key!$C$20:$D$29,2,FALSE)</f>
        <v>Other</v>
      </c>
      <c r="AC138" s="32">
        <v>2</v>
      </c>
      <c r="AD138" s="34" t="str">
        <f>VLOOKUP(AC138,Key!$E$20:$F$24,2,FALSE)</f>
        <v>300,000-500,000</v>
      </c>
      <c r="AE138" s="32">
        <v>2</v>
      </c>
      <c r="AF138" s="55">
        <v>3</v>
      </c>
      <c r="AG138" s="55">
        <v>4</v>
      </c>
      <c r="AH138" s="55">
        <v>1</v>
      </c>
      <c r="AI138" s="55">
        <v>5</v>
      </c>
      <c r="AJ138" s="39" t="s">
        <v>104</v>
      </c>
      <c r="AK138" s="40">
        <v>1000</v>
      </c>
      <c r="AL138" s="24"/>
      <c r="AM138" s="24"/>
    </row>
    <row r="139" spans="1:39" hidden="1" x14ac:dyDescent="0.2">
      <c r="B139" s="50">
        <v>43687</v>
      </c>
      <c r="C139" s="35">
        <v>0.67361111111111116</v>
      </c>
      <c r="D139" s="35"/>
      <c r="E139" s="35" t="s">
        <v>111</v>
      </c>
      <c r="F139" s="37">
        <v>2</v>
      </c>
      <c r="G139" s="42" t="str">
        <f>VLOOKUP(F139,Key!$A$17:$B$21,2,FALSE)</f>
        <v>Road Vehicle</v>
      </c>
      <c r="H139" s="36">
        <v>1</v>
      </c>
      <c r="I139" s="43" t="str">
        <f>VLOOKUP(H139,Key!$A$2:$B$13,2,FALSE)</f>
        <v>Car</v>
      </c>
      <c r="J139" s="37" t="s">
        <v>123</v>
      </c>
      <c r="K139" s="37">
        <v>3</v>
      </c>
      <c r="L139" s="45" t="str">
        <f>VLOOKUP(K139,Key!$A$24:$B$29,2,FALSE)</f>
        <v>40-49</v>
      </c>
      <c r="M139" s="37" t="s">
        <v>338</v>
      </c>
      <c r="N139" s="32" t="s">
        <v>188</v>
      </c>
      <c r="O139" s="37" t="s">
        <v>168</v>
      </c>
      <c r="P139" s="39">
        <v>1</v>
      </c>
      <c r="Q139" s="34" t="str">
        <f>VLOOKUP(P139,Key!$E$2:$F$9,2,FALSE)</f>
        <v>Home</v>
      </c>
      <c r="R139" s="37" t="s">
        <v>339</v>
      </c>
      <c r="S139" s="32" t="s">
        <v>308</v>
      </c>
      <c r="T139" s="37" t="s">
        <v>168</v>
      </c>
      <c r="U139" s="32">
        <v>6</v>
      </c>
      <c r="V139" s="34" t="str">
        <f>VLOOKUP(U139,Key!$E$2:$F$9,2,FALSE)</f>
        <v>Leisure/Social</v>
      </c>
      <c r="W139" s="34" t="str">
        <f t="shared" si="4"/>
        <v>Home-Leisure/Social</v>
      </c>
      <c r="X139" s="47">
        <v>100000</v>
      </c>
      <c r="Y139" s="38">
        <v>250</v>
      </c>
      <c r="Z139" s="38">
        <v>5</v>
      </c>
      <c r="AA139" s="32">
        <v>5</v>
      </c>
      <c r="AB139" s="34" t="str">
        <f>VLOOKUP(AA139,Key!$C$20:$D$29,2,FALSE)</f>
        <v>Professional</v>
      </c>
      <c r="AC139" s="32">
        <v>5</v>
      </c>
      <c r="AD139" s="34" t="str">
        <f>VLOOKUP(AC139,Key!$E$20:$F$24,2,FALSE)</f>
        <v>&gt;1,000,000</v>
      </c>
      <c r="AE139" s="32">
        <v>1</v>
      </c>
      <c r="AF139" s="55">
        <v>1</v>
      </c>
      <c r="AG139" s="55">
        <v>1</v>
      </c>
      <c r="AH139" s="55">
        <v>1</v>
      </c>
      <c r="AI139" s="55">
        <v>1</v>
      </c>
      <c r="AJ139" s="39" t="s">
        <v>104</v>
      </c>
      <c r="AK139" s="40">
        <v>2000</v>
      </c>
      <c r="AL139" s="24"/>
      <c r="AM139" s="24"/>
    </row>
    <row r="140" spans="1:39" hidden="1" x14ac:dyDescent="0.2">
      <c r="B140" s="50">
        <v>43687</v>
      </c>
      <c r="C140" s="35">
        <v>0.74305555555555547</v>
      </c>
      <c r="D140" s="35"/>
      <c r="E140" s="35" t="s">
        <v>111</v>
      </c>
      <c r="F140" s="37">
        <v>2</v>
      </c>
      <c r="G140" s="42" t="str">
        <f>VLOOKUP(F140,Key!$A$17:$B$21,2,FALSE)</f>
        <v>Road Vehicle</v>
      </c>
      <c r="H140" s="36">
        <v>1</v>
      </c>
      <c r="I140" s="43" t="str">
        <f>VLOOKUP(H140,Key!$A$2:$B$13,2,FALSE)</f>
        <v>Car</v>
      </c>
      <c r="J140" s="37" t="s">
        <v>123</v>
      </c>
      <c r="K140" s="37">
        <v>3</v>
      </c>
      <c r="L140" s="45" t="str">
        <f>VLOOKUP(K140,Key!$A$24:$B$29,2,FALSE)</f>
        <v>40-49</v>
      </c>
      <c r="M140" s="37" t="s">
        <v>36</v>
      </c>
      <c r="N140" s="32" t="s">
        <v>36</v>
      </c>
      <c r="O140" s="37" t="s">
        <v>168</v>
      </c>
      <c r="P140" s="39">
        <v>2</v>
      </c>
      <c r="Q140" s="34" t="str">
        <f>VLOOKUP(P140,Key!$E$2:$F$9,2,FALSE)</f>
        <v>Work</v>
      </c>
      <c r="R140" s="37" t="s">
        <v>167</v>
      </c>
      <c r="S140" s="32" t="s">
        <v>167</v>
      </c>
      <c r="T140" s="37" t="s">
        <v>168</v>
      </c>
      <c r="U140" s="32">
        <v>4</v>
      </c>
      <c r="V140" s="34" t="str">
        <f>VLOOKUP(U140,Key!$E$2:$F$9,2,FALSE)</f>
        <v>Commercial</v>
      </c>
      <c r="W140" s="34" t="str">
        <f t="shared" si="4"/>
        <v>Work-Commercial</v>
      </c>
      <c r="X140" s="47">
        <v>100000</v>
      </c>
      <c r="Y140" s="38">
        <v>250</v>
      </c>
      <c r="Z140" s="38">
        <v>5</v>
      </c>
      <c r="AA140" s="32">
        <v>10</v>
      </c>
      <c r="AB140" s="34" t="str">
        <f>VLOOKUP(AA140,Key!$C$20:$D$29,2,FALSE)</f>
        <v>Other</v>
      </c>
      <c r="AC140" s="32">
        <v>2</v>
      </c>
      <c r="AD140" s="34" t="str">
        <f>VLOOKUP(AC140,Key!$E$20:$F$24,2,FALSE)</f>
        <v>300,000-500,000</v>
      </c>
      <c r="AE140" s="32">
        <v>1</v>
      </c>
      <c r="AF140" s="55">
        <v>2</v>
      </c>
      <c r="AG140" s="55">
        <v>3</v>
      </c>
      <c r="AH140" s="55">
        <v>1</v>
      </c>
      <c r="AI140" s="55">
        <v>4</v>
      </c>
      <c r="AJ140" s="39" t="s">
        <v>104</v>
      </c>
      <c r="AK140" s="40">
        <v>2000</v>
      </c>
      <c r="AL140" s="24"/>
      <c r="AM140" s="24"/>
    </row>
    <row r="141" spans="1:39" hidden="1" x14ac:dyDescent="0.2">
      <c r="B141" s="50">
        <v>43687</v>
      </c>
      <c r="C141" s="35">
        <v>0.5</v>
      </c>
      <c r="D141" s="35"/>
      <c r="E141" s="35" t="s">
        <v>111</v>
      </c>
      <c r="F141" s="37">
        <v>2</v>
      </c>
      <c r="G141" s="42" t="str">
        <f>VLOOKUP(F141,Key!$A$17:$B$21,2,FALSE)</f>
        <v>Road Vehicle</v>
      </c>
      <c r="H141" s="36">
        <v>1</v>
      </c>
      <c r="I141" s="43" t="str">
        <f>VLOOKUP(H141,Key!$A$2:$B$13,2,FALSE)</f>
        <v>Car</v>
      </c>
      <c r="J141" s="37" t="s">
        <v>166</v>
      </c>
      <c r="K141" s="37">
        <v>2</v>
      </c>
      <c r="L141" s="45" t="str">
        <f>VLOOKUP(K141,Key!$A$24:$B$29,2,FALSE)</f>
        <v>30-39</v>
      </c>
      <c r="M141" s="37" t="s">
        <v>317</v>
      </c>
      <c r="N141" s="32" t="s">
        <v>183</v>
      </c>
      <c r="O141" s="37" t="s">
        <v>168</v>
      </c>
      <c r="P141" s="39">
        <v>1</v>
      </c>
      <c r="Q141" s="34" t="str">
        <f>VLOOKUP(P141,Key!$E$2:$F$9,2,FALSE)</f>
        <v>Home</v>
      </c>
      <c r="R141" s="37" t="s">
        <v>30</v>
      </c>
      <c r="S141" s="32" t="s">
        <v>188</v>
      </c>
      <c r="T141" s="37" t="s">
        <v>168</v>
      </c>
      <c r="U141" s="32">
        <v>8</v>
      </c>
      <c r="V141" s="34" t="str">
        <f>VLOOKUP(U141,Key!$E$2:$F$9,2,FALSE)</f>
        <v>Others</v>
      </c>
      <c r="W141" s="34" t="str">
        <f t="shared" si="4"/>
        <v>Home-Others</v>
      </c>
      <c r="X141" s="47">
        <v>100000</v>
      </c>
      <c r="Y141" s="38">
        <v>250</v>
      </c>
      <c r="Z141" s="38">
        <v>6</v>
      </c>
      <c r="AA141" s="32">
        <v>5</v>
      </c>
      <c r="AB141" s="34" t="str">
        <f>VLOOKUP(AA141,Key!$C$20:$D$29,2,FALSE)</f>
        <v>Professional</v>
      </c>
      <c r="AC141" s="32">
        <v>5</v>
      </c>
      <c r="AD141" s="34" t="str">
        <f>VLOOKUP(AC141,Key!$E$20:$F$24,2,FALSE)</f>
        <v>&gt;1,000,000</v>
      </c>
      <c r="AE141" s="32">
        <v>1</v>
      </c>
      <c r="AF141" s="55">
        <v>1</v>
      </c>
      <c r="AG141" s="55">
        <v>2</v>
      </c>
      <c r="AH141" s="55">
        <v>1</v>
      </c>
      <c r="AI141" s="55">
        <v>2</v>
      </c>
      <c r="AJ141" s="39" t="s">
        <v>104</v>
      </c>
      <c r="AK141" s="40">
        <v>2000</v>
      </c>
      <c r="AL141" s="24"/>
      <c r="AM141" s="24"/>
    </row>
    <row r="142" spans="1:39" hidden="1" x14ac:dyDescent="0.2">
      <c r="B142" s="50">
        <v>43690</v>
      </c>
      <c r="C142" s="35">
        <v>0.68194444444444446</v>
      </c>
      <c r="D142" s="35"/>
      <c r="E142" s="35" t="s">
        <v>111</v>
      </c>
      <c r="F142" s="37">
        <v>2</v>
      </c>
      <c r="G142" s="42" t="str">
        <f>VLOOKUP(F142,Key!$A$17:$B$21,2,FALSE)</f>
        <v>Road Vehicle</v>
      </c>
      <c r="H142" s="36">
        <v>1</v>
      </c>
      <c r="I142" s="43" t="str">
        <f>VLOOKUP(H142,Key!$A$2:$B$13,2,FALSE)</f>
        <v>Car</v>
      </c>
      <c r="J142" s="37" t="s">
        <v>123</v>
      </c>
      <c r="K142" s="13">
        <v>3</v>
      </c>
      <c r="L142" s="45" t="str">
        <f>VLOOKUP(K142,Key!$A$24:$B$29,2,FALSE)</f>
        <v>40-49</v>
      </c>
      <c r="M142" s="44" t="s">
        <v>167</v>
      </c>
      <c r="N142" s="32" t="s">
        <v>167</v>
      </c>
      <c r="O142" s="37" t="s">
        <v>168</v>
      </c>
      <c r="P142" s="39">
        <v>2</v>
      </c>
      <c r="Q142" s="34" t="str">
        <f>VLOOKUP(P142,Key!$E$2:$F$9,2,FALSE)</f>
        <v>Work</v>
      </c>
      <c r="R142" s="37" t="s">
        <v>181</v>
      </c>
      <c r="S142" s="32" t="s">
        <v>181</v>
      </c>
      <c r="T142" s="37" t="s">
        <v>168</v>
      </c>
      <c r="U142" s="32">
        <v>1</v>
      </c>
      <c r="V142" s="34" t="str">
        <f>VLOOKUP(U142,Key!$E$2:$F$9,2,FALSE)</f>
        <v>Home</v>
      </c>
      <c r="W142" s="34" t="str">
        <f t="shared" si="4"/>
        <v>Work-Home</v>
      </c>
      <c r="X142" s="47">
        <v>150000</v>
      </c>
      <c r="Y142" s="38">
        <v>250</v>
      </c>
      <c r="Z142" s="38">
        <v>6</v>
      </c>
      <c r="AA142" s="32">
        <v>5</v>
      </c>
      <c r="AB142" s="34" t="str">
        <f>VLOOKUP(AA142,Key!$C$20:$D$29,2,FALSE)</f>
        <v>Professional</v>
      </c>
      <c r="AC142" s="32">
        <v>4</v>
      </c>
      <c r="AD142" s="34" t="str">
        <f>VLOOKUP(AC142,Key!$E$20:$F$24,2,FALSE)</f>
        <v>750,000-1,000,000</v>
      </c>
      <c r="AE142" s="32">
        <v>2</v>
      </c>
      <c r="AF142" s="55">
        <v>3</v>
      </c>
      <c r="AG142" s="55">
        <v>4</v>
      </c>
      <c r="AH142" s="55">
        <v>1</v>
      </c>
      <c r="AI142" s="55">
        <v>5</v>
      </c>
      <c r="AJ142" s="39" t="s">
        <v>104</v>
      </c>
      <c r="AK142" s="40">
        <v>3000</v>
      </c>
      <c r="AL142" s="24"/>
      <c r="AM142" s="24"/>
    </row>
    <row r="143" spans="1:39" hidden="1" x14ac:dyDescent="0.2">
      <c r="A143" s="14"/>
      <c r="B143" s="50">
        <v>43687</v>
      </c>
      <c r="C143" s="35">
        <v>0.69791666666666663</v>
      </c>
      <c r="D143" s="35"/>
      <c r="E143" s="35" t="s">
        <v>111</v>
      </c>
      <c r="F143" s="37">
        <v>2</v>
      </c>
      <c r="G143" s="42" t="str">
        <f>VLOOKUP(F143,Key!$A$17:$B$21,2,FALSE)</f>
        <v>Road Vehicle</v>
      </c>
      <c r="H143" s="36">
        <v>1</v>
      </c>
      <c r="I143" s="43" t="str">
        <f>VLOOKUP(H143,Key!$A$2:$B$13,2,FALSE)</f>
        <v>Car</v>
      </c>
      <c r="J143" s="37" t="s">
        <v>123</v>
      </c>
      <c r="K143" s="37">
        <v>2</v>
      </c>
      <c r="L143" s="45" t="str">
        <f>VLOOKUP(K143,Key!$A$24:$B$29,2,FALSE)</f>
        <v>30-39</v>
      </c>
      <c r="M143" s="37" t="s">
        <v>167</v>
      </c>
      <c r="N143" s="32" t="s">
        <v>167</v>
      </c>
      <c r="O143" s="37" t="s">
        <v>168</v>
      </c>
      <c r="P143" s="39">
        <v>2</v>
      </c>
      <c r="Q143" s="34" t="str">
        <f>VLOOKUP(P143,Key!$E$2:$F$9,2,FALSE)</f>
        <v>Work</v>
      </c>
      <c r="R143" s="37" t="s">
        <v>347</v>
      </c>
      <c r="S143" s="32" t="s">
        <v>347</v>
      </c>
      <c r="T143" s="37" t="s">
        <v>168</v>
      </c>
      <c r="U143" s="32">
        <v>4</v>
      </c>
      <c r="V143" s="34" t="str">
        <f>VLOOKUP(U143,Key!$E$2:$F$9,2,FALSE)</f>
        <v>Commercial</v>
      </c>
      <c r="W143" s="34" t="str">
        <f t="shared" si="4"/>
        <v>Work-Commercial</v>
      </c>
      <c r="X143" s="47">
        <v>100000</v>
      </c>
      <c r="Y143" s="38">
        <v>270</v>
      </c>
      <c r="Z143" s="38">
        <v>4</v>
      </c>
      <c r="AA143" s="32">
        <v>10</v>
      </c>
      <c r="AB143" s="34" t="str">
        <f>VLOOKUP(AA143,Key!$C$20:$D$29,2,FALSE)</f>
        <v>Other</v>
      </c>
      <c r="AC143" s="32">
        <v>2</v>
      </c>
      <c r="AD143" s="34" t="str">
        <f>VLOOKUP(AC143,Key!$E$20:$F$24,2,FALSE)</f>
        <v>300,000-500,000</v>
      </c>
      <c r="AE143" s="32">
        <v>2</v>
      </c>
      <c r="AF143" s="55">
        <v>3</v>
      </c>
      <c r="AG143" s="55">
        <v>4</v>
      </c>
      <c r="AH143" s="55">
        <v>1</v>
      </c>
      <c r="AI143" s="55">
        <v>3</v>
      </c>
      <c r="AJ143" s="39" t="s">
        <v>104</v>
      </c>
      <c r="AK143" s="40">
        <v>2000</v>
      </c>
      <c r="AL143" s="24"/>
      <c r="AM143" s="24"/>
    </row>
    <row r="144" spans="1:39" hidden="1" x14ac:dyDescent="0.2">
      <c r="A144" s="14"/>
      <c r="B144" s="50">
        <v>43690</v>
      </c>
      <c r="C144" s="35">
        <v>0.60069444444444442</v>
      </c>
      <c r="D144" s="35"/>
      <c r="E144" s="35" t="s">
        <v>111</v>
      </c>
      <c r="F144" s="37">
        <v>2</v>
      </c>
      <c r="G144" s="42" t="str">
        <f>VLOOKUP(F144,Key!$A$17:$B$21,2,FALSE)</f>
        <v>Road Vehicle</v>
      </c>
      <c r="H144" s="36">
        <v>1</v>
      </c>
      <c r="I144" s="43" t="str">
        <f>VLOOKUP(H144,Key!$A$2:$B$13,2,FALSE)</f>
        <v>Car</v>
      </c>
      <c r="J144" s="37" t="s">
        <v>166</v>
      </c>
      <c r="K144" s="37">
        <v>2</v>
      </c>
      <c r="L144" s="45" t="str">
        <f>VLOOKUP(K144,Key!$A$24:$B$29,2,FALSE)</f>
        <v>30-39</v>
      </c>
      <c r="M144" s="37" t="s">
        <v>286</v>
      </c>
      <c r="N144" s="32" t="s">
        <v>287</v>
      </c>
      <c r="O144" s="37" t="s">
        <v>168</v>
      </c>
      <c r="P144" s="39">
        <v>1</v>
      </c>
      <c r="Q144" s="34" t="str">
        <f>VLOOKUP(P144,Key!$E$2:$F$9,2,FALSE)</f>
        <v>Home</v>
      </c>
      <c r="R144" s="37" t="s">
        <v>30</v>
      </c>
      <c r="S144" s="32" t="s">
        <v>188</v>
      </c>
      <c r="T144" s="37" t="s">
        <v>168</v>
      </c>
      <c r="U144" s="32">
        <v>6</v>
      </c>
      <c r="V144" s="34" t="str">
        <f>VLOOKUP(U144,Key!$E$2:$F$9,2,FALSE)</f>
        <v>Leisure/Social</v>
      </c>
      <c r="W144" s="34" t="str">
        <f t="shared" si="4"/>
        <v>Home-Leisure/Social</v>
      </c>
      <c r="X144" s="47">
        <v>150000</v>
      </c>
      <c r="Y144" s="38">
        <v>300</v>
      </c>
      <c r="Z144" s="38">
        <v>7</v>
      </c>
      <c r="AA144" s="32">
        <v>6</v>
      </c>
      <c r="AB144" s="34" t="str">
        <f>VLOOKUP(AA144,Key!$C$20:$D$29,2,FALSE)</f>
        <v>Businessman</v>
      </c>
      <c r="AC144" s="32">
        <v>5</v>
      </c>
      <c r="AD144" s="34" t="str">
        <f>VLOOKUP(AC144,Key!$E$20:$F$24,2,FALSE)</f>
        <v>&gt;1,000,000</v>
      </c>
      <c r="AE144" s="32">
        <v>1</v>
      </c>
      <c r="AF144" s="55">
        <v>1</v>
      </c>
      <c r="AG144" s="55">
        <v>1</v>
      </c>
      <c r="AH144" s="55">
        <v>1</v>
      </c>
      <c r="AI144" s="55">
        <v>1</v>
      </c>
      <c r="AJ144" s="39" t="s">
        <v>104</v>
      </c>
      <c r="AK144" s="40">
        <v>5000</v>
      </c>
      <c r="AL144" s="24"/>
      <c r="AM144" s="24"/>
    </row>
    <row r="145" spans="1:46" hidden="1" x14ac:dyDescent="0.2">
      <c r="A145" s="14"/>
      <c r="B145" s="50">
        <v>43690</v>
      </c>
      <c r="C145" s="35">
        <v>0.4604166666666667</v>
      </c>
      <c r="D145" s="35"/>
      <c r="E145" s="35" t="s">
        <v>111</v>
      </c>
      <c r="F145" s="37">
        <v>2</v>
      </c>
      <c r="G145" s="42" t="str">
        <f>VLOOKUP(F145,Key!$A$17:$B$21,2,FALSE)</f>
        <v>Road Vehicle</v>
      </c>
      <c r="H145" s="36">
        <v>1</v>
      </c>
      <c r="I145" s="43" t="str">
        <f>VLOOKUP(H145,Key!$A$2:$B$13,2,FALSE)</f>
        <v>Car</v>
      </c>
      <c r="J145" s="37" t="s">
        <v>123</v>
      </c>
      <c r="K145" s="37">
        <v>2</v>
      </c>
      <c r="L145" s="45" t="str">
        <f>VLOOKUP(K145,Key!$A$24:$B$29,2,FALSE)</f>
        <v>30-39</v>
      </c>
      <c r="M145" s="37" t="s">
        <v>167</v>
      </c>
      <c r="N145" s="32" t="s">
        <v>167</v>
      </c>
      <c r="O145" s="37" t="s">
        <v>168</v>
      </c>
      <c r="P145" s="39">
        <v>1</v>
      </c>
      <c r="Q145" s="34" t="str">
        <f>VLOOKUP(P145,Key!$E$2:$F$9,2,FALSE)</f>
        <v>Home</v>
      </c>
      <c r="R145" s="37" t="s">
        <v>328</v>
      </c>
      <c r="S145" s="32" t="s">
        <v>328</v>
      </c>
      <c r="T145" s="37" t="s">
        <v>168</v>
      </c>
      <c r="U145" s="32">
        <v>6</v>
      </c>
      <c r="V145" s="34" t="str">
        <f>VLOOKUP(U145,Key!$E$2:$F$9,2,FALSE)</f>
        <v>Leisure/Social</v>
      </c>
      <c r="W145" s="34" t="str">
        <f t="shared" si="4"/>
        <v>Home-Leisure/Social</v>
      </c>
      <c r="X145" s="47">
        <v>300000</v>
      </c>
      <c r="Y145" s="38">
        <v>500</v>
      </c>
      <c r="Z145" s="38">
        <v>9</v>
      </c>
      <c r="AA145" s="32">
        <v>10</v>
      </c>
      <c r="AB145" s="34" t="str">
        <f>VLOOKUP(AA145,Key!$C$20:$D$29,2,FALSE)</f>
        <v>Other</v>
      </c>
      <c r="AC145" s="32">
        <v>3</v>
      </c>
      <c r="AD145" s="34" t="str">
        <f>VLOOKUP(AC145,Key!$E$20:$F$24,2,FALSE)</f>
        <v>500,000-750,000</v>
      </c>
      <c r="AE145" s="32">
        <v>2</v>
      </c>
      <c r="AF145" s="55">
        <v>3</v>
      </c>
      <c r="AG145" s="55">
        <v>4</v>
      </c>
      <c r="AH145" s="55">
        <v>1</v>
      </c>
      <c r="AI145" s="55">
        <v>5</v>
      </c>
      <c r="AJ145" s="39" t="s">
        <v>104</v>
      </c>
      <c r="AK145" s="40"/>
      <c r="AL145" s="24"/>
      <c r="AM145" s="24"/>
    </row>
    <row r="146" spans="1:46" hidden="1" x14ac:dyDescent="0.2">
      <c r="A146" s="19"/>
      <c r="B146" s="50">
        <v>43689</v>
      </c>
      <c r="C146" s="35">
        <v>0.43055555555555558</v>
      </c>
      <c r="D146" s="35"/>
      <c r="E146" s="35" t="s">
        <v>111</v>
      </c>
      <c r="F146" s="37">
        <v>2</v>
      </c>
      <c r="G146" s="42" t="str">
        <f>VLOOKUP(F146,Key!$A$17:$B$21,2,FALSE)</f>
        <v>Road Vehicle</v>
      </c>
      <c r="H146" s="36">
        <v>1</v>
      </c>
      <c r="I146" s="43" t="str">
        <f>VLOOKUP(H146,Key!$A$2:$B$13,2,FALSE)</f>
        <v>Car</v>
      </c>
      <c r="J146" s="37" t="s">
        <v>123</v>
      </c>
      <c r="K146" s="37">
        <v>3</v>
      </c>
      <c r="L146" s="45" t="str">
        <f>VLOOKUP(K146,Key!$A$24:$B$29,2,FALSE)</f>
        <v>40-49</v>
      </c>
      <c r="M146" s="37" t="s">
        <v>170</v>
      </c>
      <c r="N146" s="32" t="s">
        <v>170</v>
      </c>
      <c r="O146" s="37" t="s">
        <v>168</v>
      </c>
      <c r="P146" s="39">
        <v>1</v>
      </c>
      <c r="Q146" s="34" t="str">
        <f>VLOOKUP(P146,Key!$E$2:$F$9,2,FALSE)</f>
        <v>Home</v>
      </c>
      <c r="R146" s="37" t="s">
        <v>167</v>
      </c>
      <c r="S146" s="32" t="s">
        <v>167</v>
      </c>
      <c r="T146" s="37" t="s">
        <v>168</v>
      </c>
      <c r="U146" s="32">
        <v>2</v>
      </c>
      <c r="V146" s="34" t="str">
        <f>VLOOKUP(U146,Key!$E$2:$F$9,2,FALSE)</f>
        <v>Work</v>
      </c>
      <c r="W146" s="34" t="str">
        <f t="shared" si="4"/>
        <v>Home-Work</v>
      </c>
      <c r="X146" s="47">
        <v>40000</v>
      </c>
      <c r="Y146" s="38"/>
      <c r="Z146" s="38">
        <v>3</v>
      </c>
      <c r="AA146" s="32">
        <v>5</v>
      </c>
      <c r="AB146" s="34" t="str">
        <f>VLOOKUP(AA146,Key!$C$20:$D$29,2,FALSE)</f>
        <v>Professional</v>
      </c>
      <c r="AC146" s="32">
        <v>3</v>
      </c>
      <c r="AD146" s="34" t="str">
        <f>VLOOKUP(AC146,Key!$E$20:$F$24,2,FALSE)</f>
        <v>500,000-750,000</v>
      </c>
      <c r="AE146" s="32">
        <v>1</v>
      </c>
      <c r="AF146" s="55">
        <v>2</v>
      </c>
      <c r="AG146" s="55">
        <v>3</v>
      </c>
      <c r="AH146" s="55">
        <v>2</v>
      </c>
      <c r="AI146" s="55">
        <v>4</v>
      </c>
      <c r="AJ146" s="39" t="s">
        <v>104</v>
      </c>
      <c r="AK146" s="40">
        <v>2000</v>
      </c>
      <c r="AL146" s="24"/>
      <c r="AM146" s="24"/>
      <c r="AN146" s="19"/>
      <c r="AO146" s="19"/>
      <c r="AP146" s="19"/>
      <c r="AQ146" s="19"/>
      <c r="AR146" s="19"/>
      <c r="AS146" s="19"/>
      <c r="AT146" s="19"/>
    </row>
    <row r="147" spans="1:46" hidden="1" x14ac:dyDescent="0.2">
      <c r="A147" s="19"/>
      <c r="B147" s="50"/>
      <c r="C147" s="35"/>
      <c r="D147" s="35"/>
      <c r="E147" s="35"/>
      <c r="F147" s="37"/>
      <c r="G147" s="42"/>
      <c r="H147" s="36"/>
      <c r="I147" s="43"/>
      <c r="J147" s="37"/>
      <c r="K147" s="37"/>
      <c r="L147" s="45"/>
      <c r="M147" s="37"/>
      <c r="N147" s="32"/>
      <c r="O147" s="37"/>
      <c r="P147" s="39"/>
      <c r="Q147" s="34"/>
      <c r="R147" s="37"/>
      <c r="S147" s="32"/>
      <c r="T147" s="37"/>
      <c r="U147" s="32"/>
      <c r="V147" s="34"/>
      <c r="W147" s="34"/>
      <c r="X147" s="47"/>
      <c r="Y147" s="38"/>
      <c r="Z147" s="38"/>
      <c r="AA147" s="32"/>
      <c r="AB147" s="34"/>
      <c r="AC147" s="32"/>
      <c r="AD147" s="34"/>
      <c r="AE147" s="32"/>
      <c r="AF147" s="55"/>
      <c r="AG147" s="55"/>
      <c r="AH147" s="55"/>
      <c r="AI147" s="55"/>
      <c r="AJ147" s="39"/>
      <c r="AK147" s="40"/>
      <c r="AL147" s="24"/>
      <c r="AM147" s="24"/>
      <c r="AN147" s="19"/>
      <c r="AO147" s="19"/>
      <c r="AP147" s="19"/>
      <c r="AQ147" s="19"/>
      <c r="AR147" s="19"/>
      <c r="AS147" s="19"/>
      <c r="AT147" s="19"/>
    </row>
    <row r="148" spans="1:46" x14ac:dyDescent="0.2">
      <c r="B148" s="50">
        <v>43686</v>
      </c>
      <c r="C148" s="35">
        <v>0.69791666666666663</v>
      </c>
      <c r="D148" s="35"/>
      <c r="E148" s="35" t="s">
        <v>111</v>
      </c>
      <c r="F148" s="37">
        <v>2</v>
      </c>
      <c r="G148" s="42" t="str">
        <f>VLOOKUP(F148,Key!$A$17:$B$21,2,FALSE)</f>
        <v>Road Vehicle</v>
      </c>
      <c r="H148" s="36">
        <v>9</v>
      </c>
      <c r="I148" s="43" t="str">
        <f>VLOOKUP(H148,Key!$A$2:$B$13,2,FALSE)</f>
        <v xml:space="preserve">Heavy truck </v>
      </c>
      <c r="J148" s="37" t="s">
        <v>123</v>
      </c>
      <c r="K148" s="37">
        <v>2</v>
      </c>
      <c r="L148" s="45" t="str">
        <f>VLOOKUP(K148,Key!$A$24:$B$29,2,FALSE)</f>
        <v>30-39</v>
      </c>
      <c r="M148" s="37" t="s">
        <v>176</v>
      </c>
      <c r="N148" s="32" t="s">
        <v>176</v>
      </c>
      <c r="O148" s="37" t="s">
        <v>168</v>
      </c>
      <c r="P148" s="39">
        <v>2</v>
      </c>
      <c r="Q148" s="34" t="str">
        <f>VLOOKUP(P148,Key!$E$2:$F$9,2,FALSE)</f>
        <v>Work</v>
      </c>
      <c r="R148" s="37" t="s">
        <v>167</v>
      </c>
      <c r="S148" s="32" t="s">
        <v>167</v>
      </c>
      <c r="T148" s="37" t="s">
        <v>168</v>
      </c>
      <c r="U148" s="32">
        <v>4</v>
      </c>
      <c r="V148" s="34" t="str">
        <f>VLOOKUP(U148,Key!$E$2:$F$9,2,FALSE)</f>
        <v>Commercial</v>
      </c>
      <c r="W148" s="34" t="str">
        <f t="shared" ref="W148:W162" si="5">Q148&amp;"-"&amp;V148</f>
        <v>Work-Commercial</v>
      </c>
      <c r="X148" s="47">
        <v>100000</v>
      </c>
      <c r="Y148" s="38">
        <v>80</v>
      </c>
      <c r="Z148" s="38">
        <v>3</v>
      </c>
      <c r="AA148" s="32">
        <v>10</v>
      </c>
      <c r="AB148" s="34" t="str">
        <f>VLOOKUP(AA148,Key!$C$20:$D$29,2,FALSE)</f>
        <v>Other</v>
      </c>
      <c r="AC148" s="32">
        <v>2</v>
      </c>
      <c r="AD148" s="34" t="str">
        <f>VLOOKUP(AC148,Key!$E$20:$F$24,2,FALSE)</f>
        <v>300,000-500,000</v>
      </c>
      <c r="AE148" s="32">
        <v>2</v>
      </c>
      <c r="AF148" s="55">
        <v>3</v>
      </c>
      <c r="AG148" s="55">
        <v>5</v>
      </c>
      <c r="AH148" s="55">
        <v>1</v>
      </c>
      <c r="AI148" s="55">
        <v>4</v>
      </c>
      <c r="AJ148" s="39" t="s">
        <v>104</v>
      </c>
      <c r="AK148" s="40">
        <v>2000</v>
      </c>
      <c r="AL148" s="24"/>
      <c r="AM148" s="24"/>
    </row>
    <row r="149" spans="1:46" x14ac:dyDescent="0.2">
      <c r="B149" s="50">
        <v>43687</v>
      </c>
      <c r="C149" s="35">
        <v>0.47152777777777777</v>
      </c>
      <c r="D149" s="35"/>
      <c r="E149" s="35" t="s">
        <v>111</v>
      </c>
      <c r="F149" s="37">
        <v>2</v>
      </c>
      <c r="G149" s="42" t="str">
        <f>VLOOKUP(F149,Key!$A$17:$B$21,2,FALSE)</f>
        <v>Road Vehicle</v>
      </c>
      <c r="H149" s="36">
        <v>9</v>
      </c>
      <c r="I149" s="43" t="str">
        <f>VLOOKUP(H149,Key!$A$2:$B$13,2,FALSE)</f>
        <v xml:space="preserve">Heavy truck </v>
      </c>
      <c r="J149" s="37" t="s">
        <v>123</v>
      </c>
      <c r="K149" s="37">
        <v>2</v>
      </c>
      <c r="L149" s="45" t="str">
        <f>VLOOKUP(K149,Key!$A$24:$B$29,2,FALSE)</f>
        <v>30-39</v>
      </c>
      <c r="M149" s="37" t="s">
        <v>167</v>
      </c>
      <c r="N149" s="32" t="s">
        <v>167</v>
      </c>
      <c r="O149" s="37" t="s">
        <v>168</v>
      </c>
      <c r="P149" s="39">
        <v>2</v>
      </c>
      <c r="Q149" s="34" t="str">
        <f>VLOOKUP(P149,Key!$E$2:$F$9,2,FALSE)</f>
        <v>Work</v>
      </c>
      <c r="R149" s="37" t="s">
        <v>176</v>
      </c>
      <c r="S149" s="32" t="s">
        <v>176</v>
      </c>
      <c r="T149" s="37" t="s">
        <v>168</v>
      </c>
      <c r="U149" s="32">
        <v>4</v>
      </c>
      <c r="V149" s="34" t="str">
        <f>VLOOKUP(U149,Key!$E$2:$F$9,2,FALSE)</f>
        <v>Commercial</v>
      </c>
      <c r="W149" s="34" t="str">
        <f t="shared" si="5"/>
        <v>Work-Commercial</v>
      </c>
      <c r="X149" s="47">
        <v>100000</v>
      </c>
      <c r="Y149" s="38">
        <v>85</v>
      </c>
      <c r="Z149" s="38">
        <v>3</v>
      </c>
      <c r="AA149" s="32">
        <v>6</v>
      </c>
      <c r="AB149" s="34" t="str">
        <f>VLOOKUP(AA149,Key!$C$20:$D$29,2,FALSE)</f>
        <v>Businessman</v>
      </c>
      <c r="AC149" s="32">
        <v>2</v>
      </c>
      <c r="AD149" s="34" t="str">
        <f>VLOOKUP(AC149,Key!$E$20:$F$24,2,FALSE)</f>
        <v>300,000-500,000</v>
      </c>
      <c r="AE149" s="32">
        <v>1</v>
      </c>
      <c r="AF149" s="55">
        <v>3</v>
      </c>
      <c r="AG149" s="55">
        <v>5</v>
      </c>
      <c r="AH149" s="55">
        <v>2</v>
      </c>
      <c r="AI149" s="55">
        <v>4</v>
      </c>
      <c r="AJ149" s="39" t="s">
        <v>104</v>
      </c>
      <c r="AK149" s="40">
        <v>5000</v>
      </c>
      <c r="AL149" s="24"/>
      <c r="AM149" s="24"/>
    </row>
    <row r="150" spans="1:46" x14ac:dyDescent="0.2">
      <c r="B150" s="50">
        <v>43690</v>
      </c>
      <c r="C150" s="35">
        <v>0.40972222222222227</v>
      </c>
      <c r="D150" s="35"/>
      <c r="E150" s="35" t="s">
        <v>111</v>
      </c>
      <c r="F150" s="37">
        <v>2</v>
      </c>
      <c r="G150" s="42" t="str">
        <f>VLOOKUP(F150,Key!$A$17:$B$21,2,FALSE)</f>
        <v>Road Vehicle</v>
      </c>
      <c r="H150" s="36">
        <v>9</v>
      </c>
      <c r="I150" s="43" t="str">
        <f>VLOOKUP(H150,Key!$A$2:$B$13,2,FALSE)</f>
        <v xml:space="preserve">Heavy truck </v>
      </c>
      <c r="J150" s="37" t="s">
        <v>123</v>
      </c>
      <c r="K150" s="37">
        <v>3</v>
      </c>
      <c r="L150" s="45" t="str">
        <f>VLOOKUP(K150,Key!$A$24:$B$29,2,FALSE)</f>
        <v>40-49</v>
      </c>
      <c r="M150" s="37" t="s">
        <v>167</v>
      </c>
      <c r="N150" s="32" t="s">
        <v>167</v>
      </c>
      <c r="O150" s="37" t="s">
        <v>168</v>
      </c>
      <c r="P150" s="39">
        <v>2</v>
      </c>
      <c r="Q150" s="34" t="str">
        <f>VLOOKUP(P150,Key!$E$2:$F$9,2,FALSE)</f>
        <v>Work</v>
      </c>
      <c r="R150" s="37" t="s">
        <v>176</v>
      </c>
      <c r="S150" s="32" t="s">
        <v>176</v>
      </c>
      <c r="T150" s="37" t="s">
        <v>168</v>
      </c>
      <c r="U150" s="32">
        <v>4</v>
      </c>
      <c r="V150" s="34" t="str">
        <f>VLOOKUP(U150,Key!$E$2:$F$9,2,FALSE)</f>
        <v>Commercial</v>
      </c>
      <c r="W150" s="34" t="str">
        <f t="shared" si="5"/>
        <v>Work-Commercial</v>
      </c>
      <c r="X150" s="47">
        <v>120000</v>
      </c>
      <c r="Y150" s="38">
        <v>80</v>
      </c>
      <c r="Z150" s="38">
        <v>3</v>
      </c>
      <c r="AA150" s="32">
        <v>10</v>
      </c>
      <c r="AB150" s="34" t="str">
        <f>VLOOKUP(AA150,Key!$C$20:$D$29,2,FALSE)</f>
        <v>Other</v>
      </c>
      <c r="AC150" s="32">
        <v>2</v>
      </c>
      <c r="AD150" s="34" t="str">
        <f>VLOOKUP(AC150,Key!$E$20:$F$24,2,FALSE)</f>
        <v>300,000-500,000</v>
      </c>
      <c r="AE150" s="32">
        <v>1</v>
      </c>
      <c r="AF150" s="55">
        <v>2</v>
      </c>
      <c r="AG150" s="55">
        <v>4</v>
      </c>
      <c r="AH150" s="55">
        <v>1</v>
      </c>
      <c r="AI150" s="55">
        <v>3</v>
      </c>
      <c r="AJ150" s="39" t="s">
        <v>104</v>
      </c>
      <c r="AK150" s="40"/>
      <c r="AL150" s="24"/>
      <c r="AM150" s="24"/>
    </row>
    <row r="151" spans="1:46" hidden="1" x14ac:dyDescent="0.2">
      <c r="B151" s="50">
        <v>43687</v>
      </c>
      <c r="C151" s="35">
        <v>0.52083333333333337</v>
      </c>
      <c r="D151" s="35"/>
      <c r="E151" s="35" t="s">
        <v>111</v>
      </c>
      <c r="F151" s="37">
        <v>2</v>
      </c>
      <c r="G151" s="42" t="str">
        <f>VLOOKUP(F151,Key!$A$17:$B$21,2,FALSE)</f>
        <v>Road Vehicle</v>
      </c>
      <c r="H151" s="36">
        <v>9</v>
      </c>
      <c r="I151" s="43" t="str">
        <f>VLOOKUP(H151,Key!$A$2:$B$13,2,FALSE)</f>
        <v xml:space="preserve">Heavy truck </v>
      </c>
      <c r="J151" s="37" t="s">
        <v>123</v>
      </c>
      <c r="K151" s="37">
        <v>2</v>
      </c>
      <c r="L151" s="45" t="str">
        <f>VLOOKUP(K151,Key!$A$24:$B$29,2,FALSE)</f>
        <v>30-39</v>
      </c>
      <c r="M151" s="37" t="s">
        <v>169</v>
      </c>
      <c r="N151" s="32" t="s">
        <v>169</v>
      </c>
      <c r="O151" s="37" t="s">
        <v>168</v>
      </c>
      <c r="P151" s="39">
        <v>2</v>
      </c>
      <c r="Q151" s="34" t="str">
        <f>VLOOKUP(P151,Key!$E$2:$F$9,2,FALSE)</f>
        <v>Work</v>
      </c>
      <c r="R151" s="37" t="s">
        <v>167</v>
      </c>
      <c r="S151" s="32" t="s">
        <v>167</v>
      </c>
      <c r="T151" s="37" t="s">
        <v>168</v>
      </c>
      <c r="U151" s="32">
        <v>4</v>
      </c>
      <c r="V151" s="34" t="str">
        <f>VLOOKUP(U151,Key!$E$2:$F$9,2,FALSE)</f>
        <v>Commercial</v>
      </c>
      <c r="W151" s="34" t="str">
        <f t="shared" si="5"/>
        <v>Work-Commercial</v>
      </c>
      <c r="X151" s="47">
        <v>120000</v>
      </c>
      <c r="Y151" s="38">
        <v>120</v>
      </c>
      <c r="Z151" s="38">
        <v>3</v>
      </c>
      <c r="AA151" s="32">
        <v>6</v>
      </c>
      <c r="AB151" s="34" t="str">
        <f>VLOOKUP(AA151,Key!$C$20:$D$29,2,FALSE)</f>
        <v>Businessman</v>
      </c>
      <c r="AC151" s="32">
        <v>3</v>
      </c>
      <c r="AD151" s="34" t="str">
        <f>VLOOKUP(AC151,Key!$E$20:$F$24,2,FALSE)</f>
        <v>500,000-750,000</v>
      </c>
      <c r="AE151" s="32">
        <v>2</v>
      </c>
      <c r="AF151" s="55">
        <v>3</v>
      </c>
      <c r="AG151" s="55">
        <v>5</v>
      </c>
      <c r="AH151" s="55">
        <v>1</v>
      </c>
      <c r="AI151" s="55">
        <v>4</v>
      </c>
      <c r="AJ151" s="39" t="s">
        <v>104</v>
      </c>
      <c r="AK151" s="40">
        <v>10000</v>
      </c>
      <c r="AL151" s="24"/>
      <c r="AM151" s="24"/>
    </row>
    <row r="152" spans="1:46" hidden="1" x14ac:dyDescent="0.2">
      <c r="B152" s="50">
        <v>43688</v>
      </c>
      <c r="C152" s="35">
        <v>0.59375</v>
      </c>
      <c r="D152" s="35"/>
      <c r="E152" s="35" t="s">
        <v>111</v>
      </c>
      <c r="F152" s="37">
        <v>2</v>
      </c>
      <c r="G152" s="42" t="str">
        <f>VLOOKUP(F152,Key!$A$17:$B$21,2,FALSE)</f>
        <v>Road Vehicle</v>
      </c>
      <c r="H152" s="36">
        <v>9</v>
      </c>
      <c r="I152" s="43" t="str">
        <f>VLOOKUP(H152,Key!$A$2:$B$13,2,FALSE)</f>
        <v xml:space="preserve">Heavy truck </v>
      </c>
      <c r="J152" s="37" t="s">
        <v>123</v>
      </c>
      <c r="K152" s="37">
        <v>2</v>
      </c>
      <c r="L152" s="45" t="str">
        <f>VLOOKUP(K152,Key!$A$24:$B$29,2,FALSE)</f>
        <v>30-39</v>
      </c>
      <c r="M152" s="37" t="s">
        <v>183</v>
      </c>
      <c r="N152" s="32" t="s">
        <v>183</v>
      </c>
      <c r="O152" s="37" t="s">
        <v>168</v>
      </c>
      <c r="P152" s="39">
        <v>2</v>
      </c>
      <c r="Q152" s="34" t="str">
        <f>VLOOKUP(P152,Key!$E$2:$F$9,2,FALSE)</f>
        <v>Work</v>
      </c>
      <c r="R152" s="37" t="s">
        <v>297</v>
      </c>
      <c r="S152" s="32" t="s">
        <v>167</v>
      </c>
      <c r="T152" s="37" t="s">
        <v>168</v>
      </c>
      <c r="U152" s="32">
        <v>2</v>
      </c>
      <c r="V152" s="34" t="str">
        <f>VLOOKUP(U152,Key!$E$2:$F$9,2,FALSE)</f>
        <v>Work</v>
      </c>
      <c r="W152" s="34" t="str">
        <f t="shared" si="5"/>
        <v>Work-Work</v>
      </c>
      <c r="X152" s="47">
        <v>140000</v>
      </c>
      <c r="Y152" s="38">
        <v>125</v>
      </c>
      <c r="Z152" s="38">
        <v>3</v>
      </c>
      <c r="AA152" s="32">
        <v>6</v>
      </c>
      <c r="AB152" s="34" t="str">
        <f>VLOOKUP(AA152,Key!$C$20:$D$29,2,FALSE)</f>
        <v>Businessman</v>
      </c>
      <c r="AC152" s="32">
        <v>2</v>
      </c>
      <c r="AD152" s="34" t="str">
        <f>VLOOKUP(AC152,Key!$E$20:$F$24,2,FALSE)</f>
        <v>300,000-500,000</v>
      </c>
      <c r="AE152" s="32">
        <v>3</v>
      </c>
      <c r="AF152" s="55">
        <v>2</v>
      </c>
      <c r="AG152" s="55">
        <v>3</v>
      </c>
      <c r="AH152" s="55">
        <v>4</v>
      </c>
      <c r="AI152" s="55"/>
      <c r="AJ152" s="39" t="s">
        <v>104</v>
      </c>
      <c r="AK152" s="40">
        <v>5000</v>
      </c>
      <c r="AL152" s="24"/>
      <c r="AM152" s="24"/>
    </row>
    <row r="153" spans="1:46" hidden="1" x14ac:dyDescent="0.2">
      <c r="B153" s="50">
        <v>43690</v>
      </c>
      <c r="C153" s="35">
        <v>0.69236111111111109</v>
      </c>
      <c r="D153" s="35"/>
      <c r="E153" s="35" t="s">
        <v>111</v>
      </c>
      <c r="F153" s="37">
        <v>2</v>
      </c>
      <c r="G153" s="42" t="str">
        <f>VLOOKUP(F153,Key!$A$17:$B$21,2,FALSE)</f>
        <v>Road Vehicle</v>
      </c>
      <c r="H153" s="36">
        <v>9</v>
      </c>
      <c r="I153" s="43" t="str">
        <f>VLOOKUP(H153,Key!$A$2:$B$13,2,FALSE)</f>
        <v xml:space="preserve">Heavy truck </v>
      </c>
      <c r="J153" s="37" t="s">
        <v>123</v>
      </c>
      <c r="K153" s="37">
        <v>2</v>
      </c>
      <c r="L153" s="45" t="str">
        <f>VLOOKUP(K153,Key!$A$24:$B$29,2,FALSE)</f>
        <v>30-39</v>
      </c>
      <c r="M153" s="37" t="s">
        <v>169</v>
      </c>
      <c r="N153" s="32" t="s">
        <v>169</v>
      </c>
      <c r="O153" s="37" t="s">
        <v>168</v>
      </c>
      <c r="P153" s="39">
        <v>2</v>
      </c>
      <c r="Q153" s="34" t="str">
        <f>VLOOKUP(P153,Key!$E$2:$F$9,2,FALSE)</f>
        <v>Work</v>
      </c>
      <c r="R153" s="37" t="s">
        <v>167</v>
      </c>
      <c r="S153" s="32" t="s">
        <v>167</v>
      </c>
      <c r="T153" s="37" t="s">
        <v>168</v>
      </c>
      <c r="U153" s="32">
        <v>4</v>
      </c>
      <c r="V153" s="34" t="str">
        <f>VLOOKUP(U153,Key!$E$2:$F$9,2,FALSE)</f>
        <v>Commercial</v>
      </c>
      <c r="W153" s="34" t="str">
        <f t="shared" si="5"/>
        <v>Work-Commercial</v>
      </c>
      <c r="X153" s="47">
        <v>140000</v>
      </c>
      <c r="Y153" s="38">
        <v>130</v>
      </c>
      <c r="Z153" s="38">
        <v>3</v>
      </c>
      <c r="AA153" s="32">
        <v>6</v>
      </c>
      <c r="AB153" s="34" t="str">
        <f>VLOOKUP(AA153,Key!$C$20:$D$29,2,FALSE)</f>
        <v>Businessman</v>
      </c>
      <c r="AC153" s="32">
        <v>3</v>
      </c>
      <c r="AD153" s="34" t="str">
        <f>VLOOKUP(AC153,Key!$E$20:$F$24,2,FALSE)</f>
        <v>500,000-750,000</v>
      </c>
      <c r="AE153" s="32">
        <v>2</v>
      </c>
      <c r="AF153" s="55">
        <v>3</v>
      </c>
      <c r="AG153" s="55">
        <v>5</v>
      </c>
      <c r="AH153" s="55">
        <v>1</v>
      </c>
      <c r="AI153" s="55">
        <v>4</v>
      </c>
      <c r="AJ153" s="39" t="s">
        <v>104</v>
      </c>
      <c r="AK153" s="40">
        <v>3000</v>
      </c>
      <c r="AL153" s="24"/>
      <c r="AM153" s="24"/>
    </row>
    <row r="154" spans="1:46" hidden="1" x14ac:dyDescent="0.2">
      <c r="B154" s="50">
        <v>43686</v>
      </c>
      <c r="C154" s="35">
        <v>0.69236111111111109</v>
      </c>
      <c r="D154" s="35"/>
      <c r="E154" s="35" t="s">
        <v>111</v>
      </c>
      <c r="F154" s="37">
        <v>2</v>
      </c>
      <c r="G154" s="42" t="str">
        <f>VLOOKUP(F154,Key!$A$17:$B$21,2,FALSE)</f>
        <v>Road Vehicle</v>
      </c>
      <c r="H154" s="36">
        <v>9</v>
      </c>
      <c r="I154" s="43" t="str">
        <f>VLOOKUP(H154,Key!$A$2:$B$13,2,FALSE)</f>
        <v xml:space="preserve">Heavy truck </v>
      </c>
      <c r="J154" s="37" t="s">
        <v>123</v>
      </c>
      <c r="K154" s="37">
        <v>2</v>
      </c>
      <c r="L154" s="45" t="str">
        <f>VLOOKUP(K154,Key!$A$24:$B$29,2,FALSE)</f>
        <v>30-39</v>
      </c>
      <c r="M154" s="37" t="s">
        <v>199</v>
      </c>
      <c r="N154" s="32" t="s">
        <v>199</v>
      </c>
      <c r="O154" s="37" t="s">
        <v>168</v>
      </c>
      <c r="P154" s="39">
        <v>2</v>
      </c>
      <c r="Q154" s="34" t="str">
        <f>VLOOKUP(P154,Key!$E$2:$F$9,2,FALSE)</f>
        <v>Work</v>
      </c>
      <c r="R154" s="37" t="s">
        <v>167</v>
      </c>
      <c r="S154" s="32" t="s">
        <v>167</v>
      </c>
      <c r="T154" s="37" t="s">
        <v>168</v>
      </c>
      <c r="U154" s="32">
        <v>4</v>
      </c>
      <c r="V154" s="34" t="str">
        <f>VLOOKUP(U154,Key!$E$2:$F$9,2,FALSE)</f>
        <v>Commercial</v>
      </c>
      <c r="W154" s="34" t="str">
        <f t="shared" si="5"/>
        <v>Work-Commercial</v>
      </c>
      <c r="X154" s="47">
        <v>140000</v>
      </c>
      <c r="Y154" s="38">
        <v>180</v>
      </c>
      <c r="Z154" s="38">
        <v>4</v>
      </c>
      <c r="AA154" s="32">
        <v>6</v>
      </c>
      <c r="AB154" s="34" t="str">
        <f>VLOOKUP(AA154,Key!$C$20:$D$29,2,FALSE)</f>
        <v>Businessman</v>
      </c>
      <c r="AC154" s="32">
        <v>3</v>
      </c>
      <c r="AD154" s="34" t="str">
        <f>VLOOKUP(AC154,Key!$E$20:$F$24,2,FALSE)</f>
        <v>500,000-750,000</v>
      </c>
      <c r="AE154" s="32">
        <v>2</v>
      </c>
      <c r="AF154" s="55">
        <v>4</v>
      </c>
      <c r="AG154" s="55">
        <v>3</v>
      </c>
      <c r="AH154" s="55">
        <v>1</v>
      </c>
      <c r="AI154" s="55">
        <v>5</v>
      </c>
      <c r="AJ154" s="39" t="s">
        <v>104</v>
      </c>
      <c r="AK154" s="40">
        <v>5000</v>
      </c>
      <c r="AL154" s="24"/>
      <c r="AM154" s="24"/>
    </row>
    <row r="155" spans="1:46" hidden="1" x14ac:dyDescent="0.2">
      <c r="B155" s="50">
        <v>43686</v>
      </c>
      <c r="C155" s="35">
        <v>0.70416666666666661</v>
      </c>
      <c r="D155" s="35"/>
      <c r="E155" s="35" t="s">
        <v>111</v>
      </c>
      <c r="F155" s="37">
        <v>2</v>
      </c>
      <c r="G155" s="42" t="str">
        <f>VLOOKUP(F155,Key!$A$17:$B$21,2,FALSE)</f>
        <v>Road Vehicle</v>
      </c>
      <c r="H155" s="36">
        <v>9</v>
      </c>
      <c r="I155" s="43" t="str">
        <f>VLOOKUP(H155,Key!$A$2:$B$13,2,FALSE)</f>
        <v xml:space="preserve">Heavy truck </v>
      </c>
      <c r="J155" s="37" t="s">
        <v>123</v>
      </c>
      <c r="K155" s="37">
        <v>2</v>
      </c>
      <c r="L155" s="45" t="str">
        <f>VLOOKUP(K155,Key!$A$24:$B$29,2,FALSE)</f>
        <v>30-39</v>
      </c>
      <c r="M155" s="37" t="s">
        <v>199</v>
      </c>
      <c r="N155" s="32" t="s">
        <v>199</v>
      </c>
      <c r="O155" s="37" t="s">
        <v>168</v>
      </c>
      <c r="P155" s="39">
        <v>2</v>
      </c>
      <c r="Q155" s="34" t="str">
        <f>VLOOKUP(P155,Key!$E$2:$F$9,2,FALSE)</f>
        <v>Work</v>
      </c>
      <c r="R155" s="37" t="s">
        <v>176</v>
      </c>
      <c r="S155" s="32" t="s">
        <v>176</v>
      </c>
      <c r="T155" s="37" t="s">
        <v>168</v>
      </c>
      <c r="U155" s="32">
        <v>4</v>
      </c>
      <c r="V155" s="34" t="str">
        <f>VLOOKUP(U155,Key!$E$2:$F$9,2,FALSE)</f>
        <v>Commercial</v>
      </c>
      <c r="W155" s="34" t="str">
        <f t="shared" si="5"/>
        <v>Work-Commercial</v>
      </c>
      <c r="X155" s="47">
        <v>300000</v>
      </c>
      <c r="Y155" s="38">
        <v>200</v>
      </c>
      <c r="Z155" s="38">
        <v>3.5</v>
      </c>
      <c r="AA155" s="32">
        <v>6</v>
      </c>
      <c r="AB155" s="34" t="str">
        <f>VLOOKUP(AA155,Key!$C$20:$D$29,2,FALSE)</f>
        <v>Businessman</v>
      </c>
      <c r="AC155" s="32">
        <v>3</v>
      </c>
      <c r="AD155" s="34" t="str">
        <f>VLOOKUP(AC155,Key!$E$20:$F$24,2,FALSE)</f>
        <v>500,000-750,000</v>
      </c>
      <c r="AE155" s="32">
        <v>3</v>
      </c>
      <c r="AF155" s="55">
        <v>3</v>
      </c>
      <c r="AG155" s="55">
        <v>2</v>
      </c>
      <c r="AH155" s="55">
        <v>3</v>
      </c>
      <c r="AI155" s="55"/>
      <c r="AJ155" s="39" t="s">
        <v>104</v>
      </c>
      <c r="AK155" s="40">
        <v>2000</v>
      </c>
      <c r="AL155" s="24"/>
      <c r="AM155" s="24"/>
    </row>
    <row r="156" spans="1:46" hidden="1" x14ac:dyDescent="0.2">
      <c r="B156" s="50">
        <v>43688</v>
      </c>
      <c r="C156" s="35">
        <v>0.76736111111111116</v>
      </c>
      <c r="D156" s="35"/>
      <c r="E156" s="35" t="s">
        <v>111</v>
      </c>
      <c r="F156" s="37">
        <v>2</v>
      </c>
      <c r="G156" s="42" t="str">
        <f>VLOOKUP(F156,Key!$A$17:$B$21,2,FALSE)</f>
        <v>Road Vehicle</v>
      </c>
      <c r="H156" s="36">
        <v>9</v>
      </c>
      <c r="I156" s="43" t="str">
        <f>VLOOKUP(H156,Key!$A$2:$B$13,2,FALSE)</f>
        <v xml:space="preserve">Heavy truck </v>
      </c>
      <c r="J156" s="37" t="s">
        <v>123</v>
      </c>
      <c r="K156" s="37">
        <v>3</v>
      </c>
      <c r="L156" s="45" t="str">
        <f>VLOOKUP(K156,Key!$A$24:$B$29,2,FALSE)</f>
        <v>40-49</v>
      </c>
      <c r="M156" s="37" t="s">
        <v>183</v>
      </c>
      <c r="N156" s="32" t="s">
        <v>183</v>
      </c>
      <c r="O156" s="37" t="s">
        <v>168</v>
      </c>
      <c r="P156" s="39">
        <v>2</v>
      </c>
      <c r="Q156" s="34" t="str">
        <f>VLOOKUP(P156,Key!$E$2:$F$9,2,FALSE)</f>
        <v>Work</v>
      </c>
      <c r="R156" s="37" t="s">
        <v>167</v>
      </c>
      <c r="S156" s="32" t="s">
        <v>167</v>
      </c>
      <c r="T156" s="37" t="s">
        <v>168</v>
      </c>
      <c r="U156" s="32">
        <v>4</v>
      </c>
      <c r="V156" s="34" t="str">
        <f>VLOOKUP(U156,Key!$E$2:$F$9,2,FALSE)</f>
        <v>Commercial</v>
      </c>
      <c r="W156" s="34" t="str">
        <f t="shared" si="5"/>
        <v>Work-Commercial</v>
      </c>
      <c r="X156" s="47">
        <v>160000</v>
      </c>
      <c r="Y156" s="38">
        <v>230</v>
      </c>
      <c r="Z156" s="38">
        <v>4</v>
      </c>
      <c r="AA156" s="32">
        <v>10</v>
      </c>
      <c r="AB156" s="34" t="str">
        <f>VLOOKUP(AA156,Key!$C$20:$D$29,2,FALSE)</f>
        <v>Other</v>
      </c>
      <c r="AC156" s="32">
        <v>2</v>
      </c>
      <c r="AD156" s="34" t="str">
        <f>VLOOKUP(AC156,Key!$E$20:$F$24,2,FALSE)</f>
        <v>300,000-500,000</v>
      </c>
      <c r="AE156" s="32">
        <v>1</v>
      </c>
      <c r="AF156" s="55">
        <v>3</v>
      </c>
      <c r="AG156" s="55">
        <v>4</v>
      </c>
      <c r="AH156" s="55">
        <v>2</v>
      </c>
      <c r="AI156" s="55">
        <v>4</v>
      </c>
      <c r="AJ156" s="39" t="s">
        <v>104</v>
      </c>
      <c r="AK156" s="40">
        <v>1000</v>
      </c>
      <c r="AL156" s="24"/>
      <c r="AM156" s="24"/>
    </row>
    <row r="157" spans="1:46" hidden="1" x14ac:dyDescent="0.2">
      <c r="B157" s="50">
        <v>43688</v>
      </c>
      <c r="C157" s="35">
        <v>0.75069444444444444</v>
      </c>
      <c r="D157" s="35"/>
      <c r="E157" s="35" t="s">
        <v>111</v>
      </c>
      <c r="F157" s="37">
        <v>2</v>
      </c>
      <c r="G157" s="42" t="str">
        <f>VLOOKUP(F157,Key!$A$17:$B$21,2,FALSE)</f>
        <v>Road Vehicle</v>
      </c>
      <c r="H157" s="36">
        <v>9</v>
      </c>
      <c r="I157" s="43" t="str">
        <f>VLOOKUP(H157,Key!$A$2:$B$13,2,FALSE)</f>
        <v xml:space="preserve">Heavy truck </v>
      </c>
      <c r="J157" s="37" t="s">
        <v>123</v>
      </c>
      <c r="K157" s="37">
        <v>3</v>
      </c>
      <c r="L157" s="45" t="str">
        <f>VLOOKUP(K157,Key!$A$24:$B$29,2,FALSE)</f>
        <v>40-49</v>
      </c>
      <c r="M157" s="37" t="s">
        <v>167</v>
      </c>
      <c r="N157" s="32" t="s">
        <v>167</v>
      </c>
      <c r="O157" s="37" t="s">
        <v>168</v>
      </c>
      <c r="P157" s="39">
        <v>2</v>
      </c>
      <c r="Q157" s="34" t="str">
        <f>VLOOKUP(P157,Key!$E$2:$F$9,2,FALSE)</f>
        <v>Work</v>
      </c>
      <c r="R157" s="37" t="s">
        <v>178</v>
      </c>
      <c r="S157" s="32" t="s">
        <v>178</v>
      </c>
      <c r="T157" s="37" t="s">
        <v>168</v>
      </c>
      <c r="U157" s="32">
        <v>7</v>
      </c>
      <c r="V157" s="34" t="str">
        <f>VLOOKUP(U157,Key!$E$2:$F$9,2,FALSE)</f>
        <v>Hospital</v>
      </c>
      <c r="W157" s="34" t="str">
        <f t="shared" si="5"/>
        <v>Work-Hospital</v>
      </c>
      <c r="X157" s="47">
        <v>250000</v>
      </c>
      <c r="Y157" s="38">
        <v>240</v>
      </c>
      <c r="Z157" s="38">
        <v>5</v>
      </c>
      <c r="AA157" s="32">
        <v>5</v>
      </c>
      <c r="AB157" s="34" t="str">
        <f>VLOOKUP(AA157,Key!$C$20:$D$29,2,FALSE)</f>
        <v>Professional</v>
      </c>
      <c r="AC157" s="32">
        <v>4</v>
      </c>
      <c r="AD157" s="34" t="str">
        <f>VLOOKUP(AC157,Key!$E$20:$F$24,2,FALSE)</f>
        <v>750,000-1,000,000</v>
      </c>
      <c r="AE157" s="32">
        <v>2</v>
      </c>
      <c r="AF157" s="55">
        <v>3</v>
      </c>
      <c r="AG157" s="55">
        <v>4</v>
      </c>
      <c r="AH157" s="55">
        <v>1</v>
      </c>
      <c r="AI157" s="55"/>
      <c r="AJ157" s="39" t="s">
        <v>104</v>
      </c>
      <c r="AK157" s="40">
        <v>10000</v>
      </c>
      <c r="AL157" s="24"/>
      <c r="AM157" s="24"/>
    </row>
    <row r="158" spans="1:46" hidden="1" x14ac:dyDescent="0.2">
      <c r="B158" s="50">
        <v>43689</v>
      </c>
      <c r="C158" s="35">
        <v>0.95972222222222225</v>
      </c>
      <c r="D158" s="35"/>
      <c r="E158" s="35" t="s">
        <v>111</v>
      </c>
      <c r="F158" s="37">
        <v>2</v>
      </c>
      <c r="G158" s="42" t="str">
        <f>VLOOKUP(F158,Key!$A$17:$B$21,2,FALSE)</f>
        <v>Road Vehicle</v>
      </c>
      <c r="H158" s="36">
        <v>9</v>
      </c>
      <c r="I158" s="43" t="str">
        <f>VLOOKUP(H158,Key!$A$2:$B$13,2,FALSE)</f>
        <v xml:space="preserve">Heavy truck </v>
      </c>
      <c r="J158" s="37" t="s">
        <v>123</v>
      </c>
      <c r="K158" s="37">
        <v>4</v>
      </c>
      <c r="L158" s="45" t="str">
        <f>VLOOKUP(K158,Key!$A$24:$B$29,2,FALSE)</f>
        <v>50-59</v>
      </c>
      <c r="M158" s="37" t="s">
        <v>183</v>
      </c>
      <c r="N158" s="32" t="s">
        <v>183</v>
      </c>
      <c r="O158" s="37" t="s">
        <v>168</v>
      </c>
      <c r="P158" s="39">
        <v>2</v>
      </c>
      <c r="Q158" s="34" t="str">
        <f>VLOOKUP(P158,Key!$E$2:$F$9,2,FALSE)</f>
        <v>Work</v>
      </c>
      <c r="R158" s="37" t="s">
        <v>167</v>
      </c>
      <c r="S158" s="32" t="s">
        <v>167</v>
      </c>
      <c r="T158" s="37" t="s">
        <v>168</v>
      </c>
      <c r="U158" s="32">
        <v>4</v>
      </c>
      <c r="V158" s="34" t="str">
        <f>VLOOKUP(U158,Key!$E$2:$F$9,2,FALSE)</f>
        <v>Commercial</v>
      </c>
      <c r="W158" s="34" t="str">
        <f t="shared" si="5"/>
        <v>Work-Commercial</v>
      </c>
      <c r="X158" s="47">
        <v>180000</v>
      </c>
      <c r="Y158" s="38">
        <v>250</v>
      </c>
      <c r="Z158" s="38">
        <v>4</v>
      </c>
      <c r="AA158" s="32">
        <v>5</v>
      </c>
      <c r="AB158" s="34" t="str">
        <f>VLOOKUP(AA158,Key!$C$20:$D$29,2,FALSE)</f>
        <v>Professional</v>
      </c>
      <c r="AC158" s="32">
        <v>3</v>
      </c>
      <c r="AD158" s="34" t="str">
        <f>VLOOKUP(AC158,Key!$E$20:$F$24,2,FALSE)</f>
        <v>500,000-750,000</v>
      </c>
      <c r="AE158" s="32">
        <v>2</v>
      </c>
      <c r="AF158" s="55">
        <v>3</v>
      </c>
      <c r="AG158" s="55">
        <v>4</v>
      </c>
      <c r="AH158" s="55">
        <v>1</v>
      </c>
      <c r="AI158" s="55">
        <v>5</v>
      </c>
      <c r="AJ158" s="39" t="s">
        <v>104</v>
      </c>
      <c r="AK158" s="40">
        <v>5000</v>
      </c>
      <c r="AL158" s="24"/>
      <c r="AM158" s="24"/>
    </row>
    <row r="159" spans="1:46" hidden="1" x14ac:dyDescent="0.2">
      <c r="B159" s="50">
        <v>43690</v>
      </c>
      <c r="C159" s="35">
        <v>0.43055555555555558</v>
      </c>
      <c r="D159" s="35"/>
      <c r="E159" s="35" t="s">
        <v>111</v>
      </c>
      <c r="F159" s="37">
        <v>2</v>
      </c>
      <c r="G159" s="42" t="str">
        <f>VLOOKUP(F159,Key!$A$17:$B$21,2,FALSE)</f>
        <v>Road Vehicle</v>
      </c>
      <c r="H159" s="36">
        <v>9</v>
      </c>
      <c r="I159" s="43" t="str">
        <f>VLOOKUP(H159,Key!$A$2:$B$13,2,FALSE)</f>
        <v xml:space="preserve">Heavy truck </v>
      </c>
      <c r="J159" s="37" t="s">
        <v>123</v>
      </c>
      <c r="K159" s="37">
        <v>2</v>
      </c>
      <c r="L159" s="45" t="str">
        <f>VLOOKUP(K159,Key!$A$24:$B$29,2,FALSE)</f>
        <v>30-39</v>
      </c>
      <c r="M159" s="37" t="s">
        <v>183</v>
      </c>
      <c r="N159" s="32" t="s">
        <v>183</v>
      </c>
      <c r="O159" s="37" t="s">
        <v>168</v>
      </c>
      <c r="P159" s="39">
        <v>4</v>
      </c>
      <c r="Q159" s="34" t="str">
        <f>VLOOKUP(P159,Key!$E$2:$F$9,2,FALSE)</f>
        <v>Commercial</v>
      </c>
      <c r="R159" s="37" t="s">
        <v>217</v>
      </c>
      <c r="S159" s="32" t="s">
        <v>176</v>
      </c>
      <c r="T159" s="37" t="s">
        <v>168</v>
      </c>
      <c r="U159" s="32">
        <v>4</v>
      </c>
      <c r="V159" s="34" t="str">
        <f>VLOOKUP(U159,Key!$E$2:$F$9,2,FALSE)</f>
        <v>Commercial</v>
      </c>
      <c r="W159" s="34" t="str">
        <f t="shared" si="5"/>
        <v>Commercial-Commercial</v>
      </c>
      <c r="X159" s="47"/>
      <c r="Y159" s="38">
        <v>300</v>
      </c>
      <c r="Z159" s="38">
        <v>5</v>
      </c>
      <c r="AA159" s="32">
        <v>10</v>
      </c>
      <c r="AB159" s="34" t="str">
        <f>VLOOKUP(AA159,Key!$C$20:$D$29,2,FALSE)</f>
        <v>Other</v>
      </c>
      <c r="AC159" s="32">
        <v>3</v>
      </c>
      <c r="AD159" s="34" t="str">
        <f>VLOOKUP(AC159,Key!$E$20:$F$24,2,FALSE)</f>
        <v>500,000-750,000</v>
      </c>
      <c r="AE159" s="32">
        <v>1</v>
      </c>
      <c r="AF159" s="55">
        <v>1</v>
      </c>
      <c r="AG159" s="55">
        <v>1</v>
      </c>
      <c r="AH159" s="55">
        <v>1</v>
      </c>
      <c r="AI159" s="55">
        <v>1</v>
      </c>
      <c r="AJ159" s="39" t="s">
        <v>104</v>
      </c>
      <c r="AK159" s="40">
        <v>5000</v>
      </c>
      <c r="AL159" s="24"/>
      <c r="AM159" s="24"/>
    </row>
    <row r="160" spans="1:46" hidden="1" x14ac:dyDescent="0.2">
      <c r="B160" s="50">
        <v>43690</v>
      </c>
      <c r="C160" s="35">
        <v>0.66805555555555562</v>
      </c>
      <c r="D160" s="35"/>
      <c r="E160" s="35" t="s">
        <v>111</v>
      </c>
      <c r="F160" s="37">
        <v>2</v>
      </c>
      <c r="G160" s="42" t="str">
        <f>VLOOKUP(F160,Key!$A$17:$B$21,2,FALSE)</f>
        <v>Road Vehicle</v>
      </c>
      <c r="H160" s="36">
        <v>9</v>
      </c>
      <c r="I160" s="43" t="str">
        <f>VLOOKUP(H160,Key!$A$2:$B$13,2,FALSE)</f>
        <v xml:space="preserve">Heavy truck </v>
      </c>
      <c r="J160" s="37" t="s">
        <v>123</v>
      </c>
      <c r="K160" s="37">
        <v>2</v>
      </c>
      <c r="L160" s="45" t="str">
        <f>VLOOKUP(K160,Key!$A$24:$B$29,2,FALSE)</f>
        <v>30-39</v>
      </c>
      <c r="M160" s="37" t="s">
        <v>183</v>
      </c>
      <c r="N160" s="32" t="s">
        <v>183</v>
      </c>
      <c r="O160" s="37" t="s">
        <v>168</v>
      </c>
      <c r="P160" s="39">
        <v>4</v>
      </c>
      <c r="Q160" s="34" t="str">
        <f>VLOOKUP(P160,Key!$E$2:$F$9,2,FALSE)</f>
        <v>Commercial</v>
      </c>
      <c r="R160" s="37" t="s">
        <v>222</v>
      </c>
      <c r="S160" s="32" t="s">
        <v>176</v>
      </c>
      <c r="T160" s="37" t="s">
        <v>168</v>
      </c>
      <c r="U160" s="32">
        <v>4</v>
      </c>
      <c r="V160" s="34" t="str">
        <f>VLOOKUP(U160,Key!$E$2:$F$9,2,FALSE)</f>
        <v>Commercial</v>
      </c>
      <c r="W160" s="34" t="str">
        <f t="shared" si="5"/>
        <v>Commercial-Commercial</v>
      </c>
      <c r="X160" s="47">
        <v>200000</v>
      </c>
      <c r="Y160" s="38">
        <v>300</v>
      </c>
      <c r="Z160" s="38">
        <v>6</v>
      </c>
      <c r="AA160" s="32">
        <v>10</v>
      </c>
      <c r="AB160" s="34" t="str">
        <f>VLOOKUP(AA160,Key!$C$20:$D$29,2,FALSE)</f>
        <v>Other</v>
      </c>
      <c r="AC160" s="32">
        <v>3</v>
      </c>
      <c r="AD160" s="34" t="str">
        <f>VLOOKUP(AC160,Key!$E$20:$F$24,2,FALSE)</f>
        <v>500,000-750,000</v>
      </c>
      <c r="AE160" s="32">
        <v>1</v>
      </c>
      <c r="AF160" s="55">
        <v>1</v>
      </c>
      <c r="AG160" s="55">
        <v>1</v>
      </c>
      <c r="AH160" s="55">
        <v>2</v>
      </c>
      <c r="AI160" s="55">
        <v>1</v>
      </c>
      <c r="AJ160" s="39" t="s">
        <v>104</v>
      </c>
      <c r="AK160" s="40">
        <v>2000</v>
      </c>
      <c r="AL160" s="24"/>
      <c r="AM160" s="24"/>
    </row>
    <row r="161" spans="1:39" hidden="1" x14ac:dyDescent="0.2">
      <c r="B161" s="50">
        <v>43687</v>
      </c>
      <c r="C161" s="35">
        <v>0.5625</v>
      </c>
      <c r="D161" s="35"/>
      <c r="E161" s="35" t="s">
        <v>111</v>
      </c>
      <c r="F161" s="37">
        <v>2</v>
      </c>
      <c r="G161" s="42" t="str">
        <f>VLOOKUP(F161,Key!$A$17:$B$21,2,FALSE)</f>
        <v>Road Vehicle</v>
      </c>
      <c r="H161" s="36">
        <v>9</v>
      </c>
      <c r="I161" s="43" t="str">
        <f>VLOOKUP(H161,Key!$A$2:$B$13,2,FALSE)</f>
        <v xml:space="preserve">Heavy truck </v>
      </c>
      <c r="J161" s="37" t="s">
        <v>123</v>
      </c>
      <c r="K161" s="13">
        <v>3</v>
      </c>
      <c r="L161" s="45" t="str">
        <f>VLOOKUP(K161,Key!$A$24:$B$29,2,FALSE)</f>
        <v>40-49</v>
      </c>
      <c r="M161" s="44" t="s">
        <v>171</v>
      </c>
      <c r="N161" s="32" t="s">
        <v>172</v>
      </c>
      <c r="O161" s="37" t="s">
        <v>172</v>
      </c>
      <c r="P161" s="39">
        <v>4</v>
      </c>
      <c r="Q161" s="34" t="str">
        <f>VLOOKUP(P161,Key!$E$2:$F$9,2,FALSE)</f>
        <v>Commercial</v>
      </c>
      <c r="R161" s="37" t="s">
        <v>167</v>
      </c>
      <c r="S161" s="32" t="s">
        <v>167</v>
      </c>
      <c r="T161" s="37" t="s">
        <v>168</v>
      </c>
      <c r="U161" s="32">
        <v>4</v>
      </c>
      <c r="V161" s="34" t="str">
        <f>VLOOKUP(U161,Key!$E$2:$F$9,2,FALSE)</f>
        <v>Commercial</v>
      </c>
      <c r="W161" s="34" t="str">
        <f t="shared" si="5"/>
        <v>Commercial-Commercial</v>
      </c>
      <c r="X161" s="47">
        <v>1870000</v>
      </c>
      <c r="Y161" s="38">
        <v>650</v>
      </c>
      <c r="Z161" s="38">
        <v>48</v>
      </c>
      <c r="AA161" s="32">
        <v>10</v>
      </c>
      <c r="AB161" s="34" t="str">
        <f>VLOOKUP(AA161,Key!$C$20:$D$29,2,FALSE)</f>
        <v>Other</v>
      </c>
      <c r="AC161" s="32">
        <v>3</v>
      </c>
      <c r="AD161" s="34" t="str">
        <f>VLOOKUP(AC161,Key!$E$20:$F$24,2,FALSE)</f>
        <v>500,000-750,000</v>
      </c>
      <c r="AE161" s="32">
        <v>2</v>
      </c>
      <c r="AF161" s="55">
        <v>3</v>
      </c>
      <c r="AG161" s="55">
        <v>4</v>
      </c>
      <c r="AH161" s="55">
        <v>1</v>
      </c>
      <c r="AI161" s="55">
        <v>4</v>
      </c>
      <c r="AJ161" s="39" t="s">
        <v>104</v>
      </c>
      <c r="AK161" s="40"/>
      <c r="AL161" s="24"/>
      <c r="AM161" s="24"/>
    </row>
    <row r="162" spans="1:39" hidden="1" x14ac:dyDescent="0.2">
      <c r="B162" s="50">
        <v>43687</v>
      </c>
      <c r="C162" s="35">
        <v>0.68055555555555547</v>
      </c>
      <c r="D162" s="35"/>
      <c r="E162" s="35" t="s">
        <v>111</v>
      </c>
      <c r="F162" s="37">
        <v>2</v>
      </c>
      <c r="G162" s="42" t="str">
        <f>VLOOKUP(F162,Key!$A$17:$B$21,2,FALSE)</f>
        <v>Road Vehicle</v>
      </c>
      <c r="H162" s="36">
        <v>9</v>
      </c>
      <c r="I162" s="43" t="str">
        <f>VLOOKUP(H162,Key!$A$2:$B$13,2,FALSE)</f>
        <v xml:space="preserve">Heavy truck </v>
      </c>
      <c r="J162" s="37" t="s">
        <v>123</v>
      </c>
      <c r="K162" s="37">
        <v>1</v>
      </c>
      <c r="L162" s="45" t="str">
        <f>VLOOKUP(K162,Key!$A$24:$B$29,2,FALSE)</f>
        <v>20-29</v>
      </c>
      <c r="M162" s="37" t="s">
        <v>167</v>
      </c>
      <c r="N162" s="32" t="s">
        <v>167</v>
      </c>
      <c r="O162" s="37" t="s">
        <v>168</v>
      </c>
      <c r="P162" s="39">
        <v>4</v>
      </c>
      <c r="Q162" s="34" t="str">
        <f>VLOOKUP(P162,Key!$E$2:$F$9,2,FALSE)</f>
        <v>Commercial</v>
      </c>
      <c r="R162" s="37" t="s">
        <v>175</v>
      </c>
      <c r="S162" s="32" t="s">
        <v>175</v>
      </c>
      <c r="T162" s="37" t="s">
        <v>168</v>
      </c>
      <c r="U162" s="32">
        <v>4</v>
      </c>
      <c r="V162" s="34" t="str">
        <f>VLOOKUP(U162,Key!$E$2:$F$9,2,FALSE)</f>
        <v>Commercial</v>
      </c>
      <c r="W162" s="34" t="str">
        <f t="shared" si="5"/>
        <v>Commercial-Commercial</v>
      </c>
      <c r="X162" s="47">
        <v>320000</v>
      </c>
      <c r="Y162" s="38">
        <v>700</v>
      </c>
      <c r="Z162" s="38">
        <v>8</v>
      </c>
      <c r="AA162" s="32">
        <v>6</v>
      </c>
      <c r="AB162" s="34" t="str">
        <f>VLOOKUP(AA162,Key!$C$20:$D$29,2,FALSE)</f>
        <v>Businessman</v>
      </c>
      <c r="AC162" s="32">
        <v>5</v>
      </c>
      <c r="AD162" s="34" t="str">
        <f>VLOOKUP(AC162,Key!$E$20:$F$24,2,FALSE)</f>
        <v>&gt;1,000,000</v>
      </c>
      <c r="AE162" s="32">
        <v>1</v>
      </c>
      <c r="AF162" s="55">
        <v>2</v>
      </c>
      <c r="AG162" s="55">
        <v>3</v>
      </c>
      <c r="AH162" s="55">
        <v>1</v>
      </c>
      <c r="AI162" s="55">
        <v>3</v>
      </c>
      <c r="AJ162" s="39" t="s">
        <v>104</v>
      </c>
      <c r="AK162" s="40">
        <v>10000</v>
      </c>
      <c r="AL162" s="24"/>
      <c r="AM162" s="24"/>
    </row>
    <row r="163" spans="1:39" hidden="1" x14ac:dyDescent="0.2">
      <c r="B163" s="50"/>
      <c r="C163" s="35"/>
      <c r="D163" s="35"/>
      <c r="E163" s="35"/>
      <c r="F163" s="37"/>
      <c r="G163" s="42"/>
      <c r="H163" s="36"/>
      <c r="I163" s="43"/>
      <c r="J163" s="37"/>
      <c r="K163" s="37"/>
      <c r="L163" s="45"/>
      <c r="M163" s="37"/>
      <c r="N163" s="32"/>
      <c r="O163" s="37"/>
      <c r="P163" s="39"/>
      <c r="Q163" s="34"/>
      <c r="R163" s="37"/>
      <c r="S163" s="32"/>
      <c r="T163" s="37"/>
      <c r="U163" s="32"/>
      <c r="V163" s="34"/>
      <c r="W163" s="34"/>
      <c r="X163" s="47"/>
      <c r="Y163" s="38"/>
      <c r="Z163" s="38"/>
      <c r="AA163" s="32"/>
      <c r="AB163" s="34"/>
      <c r="AC163" s="32"/>
      <c r="AD163" s="34"/>
      <c r="AE163" s="32"/>
      <c r="AF163" s="55"/>
      <c r="AG163" s="55"/>
      <c r="AH163" s="55"/>
      <c r="AI163" s="55"/>
      <c r="AJ163" s="39"/>
      <c r="AK163" s="40"/>
      <c r="AL163" s="24"/>
      <c r="AM163" s="24"/>
    </row>
    <row r="164" spans="1:39" x14ac:dyDescent="0.2">
      <c r="B164" s="50">
        <v>43686</v>
      </c>
      <c r="C164" s="35">
        <v>0.68055555555555547</v>
      </c>
      <c r="D164" s="35"/>
      <c r="E164" s="35" t="s">
        <v>111</v>
      </c>
      <c r="F164" s="37">
        <v>2</v>
      </c>
      <c r="G164" s="42" t="str">
        <f>VLOOKUP(F164,Key!$A$17:$B$21,2,FALSE)</f>
        <v>Road Vehicle</v>
      </c>
      <c r="H164" s="36">
        <v>6</v>
      </c>
      <c r="I164" s="43" t="str">
        <f>VLOOKUP(H164,Key!$A$2:$B$13,2,FALSE)</f>
        <v>Large Bus</v>
      </c>
      <c r="J164" s="37" t="s">
        <v>123</v>
      </c>
      <c r="K164" s="37">
        <v>2</v>
      </c>
      <c r="L164" s="45" t="str">
        <f>VLOOKUP(K164,Key!$A$24:$B$29,2,FALSE)</f>
        <v>30-39</v>
      </c>
      <c r="M164" s="37" t="s">
        <v>239</v>
      </c>
      <c r="N164" s="32" t="s">
        <v>240</v>
      </c>
      <c r="O164" s="37" t="s">
        <v>168</v>
      </c>
      <c r="P164" s="39">
        <v>2</v>
      </c>
      <c r="Q164" s="34" t="str">
        <f>VLOOKUP(P164,Key!$E$2:$F$9,2,FALSE)</f>
        <v>Work</v>
      </c>
      <c r="R164" s="37" t="s">
        <v>167</v>
      </c>
      <c r="S164" s="32" t="s">
        <v>167</v>
      </c>
      <c r="T164" s="37" t="s">
        <v>168</v>
      </c>
      <c r="U164" s="32">
        <v>2</v>
      </c>
      <c r="V164" s="34" t="str">
        <f>VLOOKUP(U164,Key!$E$2:$F$9,2,FALSE)</f>
        <v>Work</v>
      </c>
      <c r="W164" s="34" t="str">
        <f>Q164&amp;"-"&amp;V164</f>
        <v>Work-Work</v>
      </c>
      <c r="X164" s="47">
        <v>210000</v>
      </c>
      <c r="Y164" s="38">
        <v>100</v>
      </c>
      <c r="Z164" s="38">
        <v>3</v>
      </c>
      <c r="AA164" s="32">
        <v>10</v>
      </c>
      <c r="AB164" s="34" t="str">
        <f>VLOOKUP(AA164,Key!$C$20:$D$29,2,FALSE)</f>
        <v>Other</v>
      </c>
      <c r="AC164" s="32">
        <v>2</v>
      </c>
      <c r="AD164" s="34" t="str">
        <f>VLOOKUP(AC164,Key!$E$20:$F$24,2,FALSE)</f>
        <v>300,000-500,000</v>
      </c>
      <c r="AE164" s="32">
        <v>1</v>
      </c>
      <c r="AF164" s="55">
        <v>2</v>
      </c>
      <c r="AG164" s="55">
        <v>3</v>
      </c>
      <c r="AH164" s="55">
        <v>1</v>
      </c>
      <c r="AI164" s="55">
        <v>4</v>
      </c>
      <c r="AJ164" s="39" t="s">
        <v>104</v>
      </c>
      <c r="AK164" s="40">
        <v>2000</v>
      </c>
      <c r="AL164" s="24"/>
      <c r="AM164" s="24"/>
    </row>
    <row r="165" spans="1:39" hidden="1" x14ac:dyDescent="0.2">
      <c r="B165" s="50">
        <v>43686</v>
      </c>
      <c r="C165" s="35">
        <v>0.54305555555555551</v>
      </c>
      <c r="D165" s="35"/>
      <c r="E165" s="35" t="s">
        <v>111</v>
      </c>
      <c r="F165" s="37">
        <v>2</v>
      </c>
      <c r="G165" s="42" t="str">
        <f>VLOOKUP(F165,Key!$A$17:$B$21,2,FALSE)</f>
        <v>Road Vehicle</v>
      </c>
      <c r="H165" s="36">
        <v>6</v>
      </c>
      <c r="I165" s="43" t="str">
        <f>VLOOKUP(H165,Key!$A$2:$B$13,2,FALSE)</f>
        <v>Large Bus</v>
      </c>
      <c r="J165" s="37" t="s">
        <v>123</v>
      </c>
      <c r="K165" s="37">
        <v>2</v>
      </c>
      <c r="L165" s="45" t="str">
        <f>VLOOKUP(K165,Key!$A$24:$B$29,2,FALSE)</f>
        <v>30-39</v>
      </c>
      <c r="M165" s="37" t="s">
        <v>301</v>
      </c>
      <c r="N165" s="32" t="s">
        <v>302</v>
      </c>
      <c r="O165" s="37" t="s">
        <v>168</v>
      </c>
      <c r="P165" s="39">
        <v>2</v>
      </c>
      <c r="Q165" s="34" t="str">
        <f>VLOOKUP(P165,Key!$E$2:$F$9,2,FALSE)</f>
        <v>Work</v>
      </c>
      <c r="R165" s="37" t="s">
        <v>167</v>
      </c>
      <c r="S165" s="32" t="s">
        <v>167</v>
      </c>
      <c r="T165" s="37" t="s">
        <v>168</v>
      </c>
      <c r="U165" s="32">
        <v>2</v>
      </c>
      <c r="V165" s="34" t="str">
        <f>VLOOKUP(U165,Key!$E$2:$F$9,2,FALSE)</f>
        <v>Work</v>
      </c>
      <c r="W165" s="34" t="str">
        <f>Q165&amp;"-"&amp;V165</f>
        <v>Work-Work</v>
      </c>
      <c r="X165" s="47">
        <v>430000</v>
      </c>
      <c r="Y165" s="38">
        <v>130</v>
      </c>
      <c r="Z165" s="38">
        <v>5</v>
      </c>
      <c r="AA165" s="32">
        <v>10</v>
      </c>
      <c r="AB165" s="34" t="str">
        <f>VLOOKUP(AA165,Key!$C$20:$D$29,2,FALSE)</f>
        <v>Other</v>
      </c>
      <c r="AC165" s="32">
        <v>2</v>
      </c>
      <c r="AD165" s="34" t="str">
        <f>VLOOKUP(AC165,Key!$E$20:$F$24,2,FALSE)</f>
        <v>300,000-500,000</v>
      </c>
      <c r="AE165" s="32">
        <v>4</v>
      </c>
      <c r="AF165" s="55">
        <v>3</v>
      </c>
      <c r="AG165" s="55">
        <v>4</v>
      </c>
      <c r="AH165" s="55">
        <v>4</v>
      </c>
      <c r="AI165" s="55">
        <v>2</v>
      </c>
      <c r="AJ165" s="39" t="s">
        <v>104</v>
      </c>
      <c r="AK165" s="40"/>
      <c r="AL165" s="24"/>
      <c r="AM165" s="24"/>
    </row>
    <row r="166" spans="1:39" hidden="1" x14ac:dyDescent="0.2">
      <c r="B166" s="50">
        <v>43687</v>
      </c>
      <c r="C166" s="35">
        <v>0.72222222222222221</v>
      </c>
      <c r="D166" s="35"/>
      <c r="E166" s="35" t="s">
        <v>111</v>
      </c>
      <c r="F166" s="37">
        <v>2</v>
      </c>
      <c r="G166" s="42" t="str">
        <f>VLOOKUP(F166,Key!$A$17:$B$21,2,FALSE)</f>
        <v>Road Vehicle</v>
      </c>
      <c r="H166" s="36">
        <v>6</v>
      </c>
      <c r="I166" s="43" t="str">
        <f>VLOOKUP(H166,Key!$A$2:$B$13,2,FALSE)</f>
        <v>Large Bus</v>
      </c>
      <c r="J166" s="37" t="s">
        <v>166</v>
      </c>
      <c r="K166" s="37">
        <v>1</v>
      </c>
      <c r="L166" s="45" t="str">
        <f>VLOOKUP(K166,Key!$A$24:$B$29,2,FALSE)</f>
        <v>20-29</v>
      </c>
      <c r="M166" s="44" t="s">
        <v>220</v>
      </c>
      <c r="N166" s="44" t="s">
        <v>221</v>
      </c>
      <c r="O166" s="37" t="s">
        <v>168</v>
      </c>
      <c r="P166" s="39">
        <v>6</v>
      </c>
      <c r="Q166" s="34" t="str">
        <f>VLOOKUP(P166,Key!$E$2:$F$9,2,FALSE)</f>
        <v>Leisure/Social</v>
      </c>
      <c r="R166" s="37" t="s">
        <v>222</v>
      </c>
      <c r="S166" s="32" t="s">
        <v>176</v>
      </c>
      <c r="T166" s="37" t="s">
        <v>168</v>
      </c>
      <c r="U166" s="32">
        <v>1</v>
      </c>
      <c r="V166" s="34" t="str">
        <f>VLOOKUP(U166,Key!$E$2:$F$9,2,FALSE)</f>
        <v>Home</v>
      </c>
      <c r="W166" s="34" t="str">
        <f>Q166&amp;"-"&amp;V166</f>
        <v>Leisure/Social-Home</v>
      </c>
      <c r="X166" s="47">
        <v>80000</v>
      </c>
      <c r="Y166" s="38">
        <v>160</v>
      </c>
      <c r="Z166" s="38">
        <v>3</v>
      </c>
      <c r="AA166" s="32">
        <v>4</v>
      </c>
      <c r="AB166" s="34" t="str">
        <f>VLOOKUP(AA166,Key!$C$20:$D$29,2,FALSE)</f>
        <v>Office Worker</v>
      </c>
      <c r="AC166" s="32">
        <v>4</v>
      </c>
      <c r="AD166" s="34" t="str">
        <f>VLOOKUP(AC166,Key!$E$20:$F$24,2,FALSE)</f>
        <v>750,000-1,000,000</v>
      </c>
      <c r="AE166" s="32">
        <v>1</v>
      </c>
      <c r="AF166" s="55">
        <v>1</v>
      </c>
      <c r="AG166" s="55">
        <v>1</v>
      </c>
      <c r="AH166" s="55">
        <v>1</v>
      </c>
      <c r="AI166" s="55">
        <v>1</v>
      </c>
      <c r="AJ166" s="39" t="s">
        <v>104</v>
      </c>
      <c r="AK166" s="40">
        <v>10000</v>
      </c>
      <c r="AL166" s="24"/>
      <c r="AM166" s="24"/>
    </row>
    <row r="167" spans="1:39" hidden="1" x14ac:dyDescent="0.2">
      <c r="B167" s="50"/>
      <c r="C167" s="35"/>
      <c r="D167" s="35"/>
      <c r="E167" s="35"/>
      <c r="F167" s="37"/>
      <c r="G167" s="42"/>
      <c r="H167" s="36"/>
      <c r="I167" s="43"/>
      <c r="J167" s="37"/>
      <c r="K167" s="37"/>
      <c r="L167" s="45"/>
      <c r="M167" s="44"/>
      <c r="N167" s="44"/>
      <c r="O167" s="37"/>
      <c r="P167" s="39"/>
      <c r="Q167" s="34"/>
      <c r="R167" s="37"/>
      <c r="S167" s="32"/>
      <c r="T167" s="37"/>
      <c r="U167" s="32"/>
      <c r="V167" s="34"/>
      <c r="W167" s="34"/>
      <c r="X167" s="47"/>
      <c r="Y167" s="38"/>
      <c r="Z167" s="38"/>
      <c r="AA167" s="32"/>
      <c r="AB167" s="34"/>
      <c r="AC167" s="32"/>
      <c r="AD167" s="34"/>
      <c r="AE167" s="32"/>
      <c r="AF167" s="55"/>
      <c r="AG167" s="55"/>
      <c r="AH167" s="55"/>
      <c r="AI167" s="55"/>
      <c r="AJ167" s="39"/>
      <c r="AK167" s="40"/>
      <c r="AL167" s="24"/>
      <c r="AM167" s="24"/>
    </row>
    <row r="168" spans="1:39" hidden="1" x14ac:dyDescent="0.2">
      <c r="B168" s="50">
        <v>43689</v>
      </c>
      <c r="C168" s="35">
        <v>0.6333333333333333</v>
      </c>
      <c r="D168" s="35"/>
      <c r="E168" s="35" t="s">
        <v>111</v>
      </c>
      <c r="F168" s="37">
        <v>2</v>
      </c>
      <c r="G168" s="42" t="str">
        <f>VLOOKUP(F168,Key!$A$17:$B$21,2,FALSE)</f>
        <v>Road Vehicle</v>
      </c>
      <c r="H168" s="36">
        <v>7</v>
      </c>
      <c r="I168" s="43" t="str">
        <f>VLOOKUP(H168,Key!$A$2:$B$13,2,FALSE)</f>
        <v xml:space="preserve">Light Truck </v>
      </c>
      <c r="J168" s="37" t="s">
        <v>123</v>
      </c>
      <c r="K168" s="37">
        <v>2</v>
      </c>
      <c r="L168" s="45" t="str">
        <f>VLOOKUP(K168,Key!$A$24:$B$29,2,FALSE)</f>
        <v>30-39</v>
      </c>
      <c r="M168" s="37" t="s">
        <v>179</v>
      </c>
      <c r="N168" s="32" t="s">
        <v>179</v>
      </c>
      <c r="O168" s="37" t="s">
        <v>168</v>
      </c>
      <c r="P168" s="39">
        <v>2</v>
      </c>
      <c r="Q168" s="34" t="str">
        <f>VLOOKUP(P168,Key!$E$2:$F$9,2,FALSE)</f>
        <v>Work</v>
      </c>
      <c r="R168" s="37" t="s">
        <v>167</v>
      </c>
      <c r="S168" s="32" t="s">
        <v>167</v>
      </c>
      <c r="T168" s="37" t="s">
        <v>168</v>
      </c>
      <c r="U168" s="32">
        <v>4</v>
      </c>
      <c r="V168" s="34" t="str">
        <f>VLOOKUP(U168,Key!$E$2:$F$9,2,FALSE)</f>
        <v>Commercial</v>
      </c>
      <c r="W168" s="34" t="str">
        <f t="shared" ref="W168:W204" si="6">Q168&amp;"-"&amp;V168</f>
        <v>Work-Commercial</v>
      </c>
      <c r="X168" s="47">
        <v>35000</v>
      </c>
      <c r="Y168" s="38">
        <v>3.5</v>
      </c>
      <c r="Z168" s="38">
        <v>1</v>
      </c>
      <c r="AA168" s="32">
        <v>10</v>
      </c>
      <c r="AB168" s="34" t="str">
        <f>VLOOKUP(AA168,Key!$C$20:$D$29,2,FALSE)</f>
        <v>Other</v>
      </c>
      <c r="AC168" s="32">
        <v>2</v>
      </c>
      <c r="AD168" s="34" t="str">
        <f>VLOOKUP(AC168,Key!$E$20:$F$24,2,FALSE)</f>
        <v>300,000-500,000</v>
      </c>
      <c r="AE168" s="32">
        <v>2</v>
      </c>
      <c r="AF168" s="55">
        <v>3</v>
      </c>
      <c r="AG168" s="55">
        <v>2</v>
      </c>
      <c r="AH168" s="55">
        <v>1</v>
      </c>
      <c r="AI168" s="55">
        <v>3</v>
      </c>
      <c r="AJ168" s="39" t="s">
        <v>104</v>
      </c>
      <c r="AK168" s="40">
        <v>1000</v>
      </c>
      <c r="AL168" s="24"/>
      <c r="AM168" s="24"/>
    </row>
    <row r="169" spans="1:39" hidden="1" x14ac:dyDescent="0.2">
      <c r="B169" s="50">
        <v>43686</v>
      </c>
      <c r="C169" s="35">
        <v>0.6479166666666667</v>
      </c>
      <c r="D169" s="35"/>
      <c r="E169" s="35" t="s">
        <v>111</v>
      </c>
      <c r="F169" s="37">
        <v>2</v>
      </c>
      <c r="G169" s="42" t="str">
        <f>VLOOKUP(F169,Key!$A$17:$B$21,2,FALSE)</f>
        <v>Road Vehicle</v>
      </c>
      <c r="H169" s="36">
        <v>7</v>
      </c>
      <c r="I169" s="43" t="str">
        <f>VLOOKUP(H169,Key!$A$2:$B$13,2,FALSE)</f>
        <v xml:space="preserve">Light Truck </v>
      </c>
      <c r="J169" s="37" t="s">
        <v>123</v>
      </c>
      <c r="K169" s="37">
        <v>2</v>
      </c>
      <c r="L169" s="45" t="str">
        <f>VLOOKUP(K169,Key!$A$24:$B$29,2,FALSE)</f>
        <v>30-39</v>
      </c>
      <c r="M169" s="37" t="s">
        <v>216</v>
      </c>
      <c r="N169" s="32" t="s">
        <v>167</v>
      </c>
      <c r="O169" s="37" t="s">
        <v>168</v>
      </c>
      <c r="P169" s="39">
        <v>2</v>
      </c>
      <c r="Q169" s="34" t="str">
        <f>VLOOKUP(P169,Key!$E$2:$F$9,2,FALSE)</f>
        <v>Work</v>
      </c>
      <c r="R169" s="37" t="s">
        <v>303</v>
      </c>
      <c r="S169" s="32" t="s">
        <v>190</v>
      </c>
      <c r="T169" s="37" t="s">
        <v>168</v>
      </c>
      <c r="U169" s="32">
        <v>2</v>
      </c>
      <c r="V169" s="34" t="str">
        <f>VLOOKUP(U169,Key!$E$2:$F$9,2,FALSE)</f>
        <v>Work</v>
      </c>
      <c r="W169" s="34" t="str">
        <f t="shared" si="6"/>
        <v>Work-Work</v>
      </c>
      <c r="X169" s="47">
        <v>20000</v>
      </c>
      <c r="Y169" s="38">
        <v>11</v>
      </c>
      <c r="Z169" s="38">
        <v>1</v>
      </c>
      <c r="AA169" s="32">
        <v>6</v>
      </c>
      <c r="AB169" s="34" t="str">
        <f>VLOOKUP(AA169,Key!$C$20:$D$29,2,FALSE)</f>
        <v>Businessman</v>
      </c>
      <c r="AC169" s="32">
        <v>1</v>
      </c>
      <c r="AD169" s="34" t="str">
        <f>VLOOKUP(AC169,Key!$E$20:$F$24,2,FALSE)</f>
        <v>&lt;300,000</v>
      </c>
      <c r="AE169" s="32">
        <v>1</v>
      </c>
      <c r="AF169" s="55">
        <v>1</v>
      </c>
      <c r="AG169" s="55">
        <v>1</v>
      </c>
      <c r="AH169" s="55">
        <v>2</v>
      </c>
      <c r="AI169" s="55">
        <v>1</v>
      </c>
      <c r="AJ169" s="39" t="s">
        <v>104</v>
      </c>
      <c r="AK169" s="40">
        <v>2000</v>
      </c>
      <c r="AL169" s="24"/>
      <c r="AM169" s="24"/>
    </row>
    <row r="170" spans="1:39" hidden="1" x14ac:dyDescent="0.2">
      <c r="B170" s="50">
        <v>43686</v>
      </c>
      <c r="C170" s="35">
        <v>0.6479166666666667</v>
      </c>
      <c r="D170" s="35"/>
      <c r="E170" s="35" t="s">
        <v>111</v>
      </c>
      <c r="F170" s="37">
        <v>2</v>
      </c>
      <c r="G170" s="42" t="str">
        <f>VLOOKUP(F170,Key!$A$17:$B$21,2,FALSE)</f>
        <v>Road Vehicle</v>
      </c>
      <c r="H170" s="36">
        <v>7</v>
      </c>
      <c r="I170" s="43" t="str">
        <f>VLOOKUP(H170,Key!$A$2:$B$13,2,FALSE)</f>
        <v xml:space="preserve">Light Truck </v>
      </c>
      <c r="J170" s="37" t="s">
        <v>123</v>
      </c>
      <c r="K170" s="37">
        <v>3</v>
      </c>
      <c r="L170" s="45" t="str">
        <f>VLOOKUP(K170,Key!$A$24:$B$29,2,FALSE)</f>
        <v>40-49</v>
      </c>
      <c r="M170" s="37" t="s">
        <v>310</v>
      </c>
      <c r="N170" s="32" t="s">
        <v>167</v>
      </c>
      <c r="O170" s="37" t="s">
        <v>168</v>
      </c>
      <c r="P170" s="39">
        <v>2</v>
      </c>
      <c r="Q170" s="34" t="str">
        <f>VLOOKUP(P170,Key!$E$2:$F$9,2,FALSE)</f>
        <v>Work</v>
      </c>
      <c r="R170" s="37" t="s">
        <v>190</v>
      </c>
      <c r="S170" s="32" t="s">
        <v>190</v>
      </c>
      <c r="T170" s="37" t="s">
        <v>168</v>
      </c>
      <c r="U170" s="32">
        <v>2</v>
      </c>
      <c r="V170" s="34" t="str">
        <f>VLOOKUP(U170,Key!$E$2:$F$9,2,FALSE)</f>
        <v>Work</v>
      </c>
      <c r="W170" s="34" t="str">
        <f t="shared" si="6"/>
        <v>Work-Work</v>
      </c>
      <c r="X170" s="47">
        <v>100000</v>
      </c>
      <c r="Y170" s="38">
        <v>20</v>
      </c>
      <c r="Z170" s="38">
        <v>1</v>
      </c>
      <c r="AA170" s="32">
        <v>7</v>
      </c>
      <c r="AB170" s="34" t="str">
        <f>VLOOKUP(AA170,Key!$C$20:$D$29,2,FALSE)</f>
        <v>Farmer</v>
      </c>
      <c r="AC170" s="32">
        <v>2</v>
      </c>
      <c r="AD170" s="34" t="str">
        <f>VLOOKUP(AC170,Key!$E$20:$F$24,2,FALSE)</f>
        <v>300,000-500,000</v>
      </c>
      <c r="AE170" s="32">
        <v>1</v>
      </c>
      <c r="AF170" s="55">
        <v>2</v>
      </c>
      <c r="AG170" s="55">
        <v>1</v>
      </c>
      <c r="AH170" s="55"/>
      <c r="AI170" s="55"/>
      <c r="AJ170" s="39" t="s">
        <v>104</v>
      </c>
      <c r="AK170" s="40">
        <v>3000</v>
      </c>
      <c r="AL170" s="24"/>
      <c r="AM170" s="24"/>
    </row>
    <row r="171" spans="1:39" hidden="1" x14ac:dyDescent="0.2">
      <c r="A171" s="10"/>
      <c r="B171" s="50">
        <v>43687</v>
      </c>
      <c r="C171" s="35">
        <v>0.4513888888888889</v>
      </c>
      <c r="D171" s="35"/>
      <c r="E171" s="35" t="s">
        <v>111</v>
      </c>
      <c r="F171" s="37">
        <v>2</v>
      </c>
      <c r="G171" s="42" t="str">
        <f>VLOOKUP(F171,Key!$A$17:$B$21,2,FALSE)</f>
        <v>Road Vehicle</v>
      </c>
      <c r="H171" s="36">
        <v>7</v>
      </c>
      <c r="I171" s="43" t="str">
        <f>VLOOKUP(H171,Key!$A$2:$B$13,2,FALSE)</f>
        <v xml:space="preserve">Light Truck </v>
      </c>
      <c r="J171" s="37" t="s">
        <v>123</v>
      </c>
      <c r="K171" s="13">
        <v>2</v>
      </c>
      <c r="L171" s="45" t="str">
        <f>VLOOKUP(K171,Key!$A$24:$B$29,2,FALSE)</f>
        <v>30-39</v>
      </c>
      <c r="M171" s="44" t="s">
        <v>196</v>
      </c>
      <c r="N171" s="44" t="s">
        <v>167</v>
      </c>
      <c r="O171" s="37" t="s">
        <v>168</v>
      </c>
      <c r="P171" s="39">
        <v>2</v>
      </c>
      <c r="Q171" s="34" t="str">
        <f>VLOOKUP(P171,Key!$E$2:$F$9,2,FALSE)</f>
        <v>Work</v>
      </c>
      <c r="R171" s="37" t="s">
        <v>195</v>
      </c>
      <c r="S171" s="32" t="s">
        <v>190</v>
      </c>
      <c r="T171" s="37" t="s">
        <v>168</v>
      </c>
      <c r="U171" s="32">
        <v>4</v>
      </c>
      <c r="V171" s="34" t="str">
        <f>VLOOKUP(U171,Key!$E$2:$F$9,2,FALSE)</f>
        <v>Commercial</v>
      </c>
      <c r="W171" s="34" t="str">
        <f t="shared" si="6"/>
        <v>Work-Commercial</v>
      </c>
      <c r="X171" s="47">
        <v>25000</v>
      </c>
      <c r="Y171" s="38">
        <v>30</v>
      </c>
      <c r="Z171" s="38">
        <v>1</v>
      </c>
      <c r="AA171" s="32">
        <v>10</v>
      </c>
      <c r="AB171" s="34" t="str">
        <f>VLOOKUP(AA171,Key!$C$20:$D$29,2,FALSE)</f>
        <v>Other</v>
      </c>
      <c r="AC171" s="32">
        <v>2</v>
      </c>
      <c r="AD171" s="34" t="str">
        <f>VLOOKUP(AC171,Key!$E$20:$F$24,2,FALSE)</f>
        <v>300,000-500,000</v>
      </c>
      <c r="AE171" s="32">
        <v>1</v>
      </c>
      <c r="AF171" s="55">
        <v>1</v>
      </c>
      <c r="AG171" s="55">
        <v>1</v>
      </c>
      <c r="AH171" s="55">
        <v>1</v>
      </c>
      <c r="AI171" s="55">
        <v>1</v>
      </c>
      <c r="AJ171" s="39" t="s">
        <v>104</v>
      </c>
      <c r="AK171" s="40">
        <v>1000</v>
      </c>
      <c r="AL171" s="24"/>
      <c r="AM171" s="24"/>
    </row>
    <row r="172" spans="1:39" hidden="1" x14ac:dyDescent="0.2">
      <c r="B172" s="50">
        <v>43687</v>
      </c>
      <c r="C172" s="35">
        <v>0.44305555555555554</v>
      </c>
      <c r="D172" s="35"/>
      <c r="E172" s="35" t="s">
        <v>111</v>
      </c>
      <c r="F172" s="37">
        <v>2</v>
      </c>
      <c r="G172" s="42" t="str">
        <f>VLOOKUP(F172,Key!$A$17:$B$21,2,FALSE)</f>
        <v>Road Vehicle</v>
      </c>
      <c r="H172" s="36">
        <v>7</v>
      </c>
      <c r="I172" s="43" t="str">
        <f>VLOOKUP(H172,Key!$A$2:$B$13,2,FALSE)</f>
        <v xml:space="preserve">Light Truck </v>
      </c>
      <c r="J172" s="37" t="s">
        <v>123</v>
      </c>
      <c r="K172" s="37">
        <v>2</v>
      </c>
      <c r="L172" s="45" t="str">
        <f>VLOOKUP(K172,Key!$A$24:$B$29,2,FALSE)</f>
        <v>30-39</v>
      </c>
      <c r="M172" s="37" t="s">
        <v>179</v>
      </c>
      <c r="N172" s="32" t="s">
        <v>179</v>
      </c>
      <c r="O172" s="37" t="s">
        <v>168</v>
      </c>
      <c r="P172" s="39">
        <v>2</v>
      </c>
      <c r="Q172" s="34" t="str">
        <f>VLOOKUP(P172,Key!$E$2:$F$9,2,FALSE)</f>
        <v>Work</v>
      </c>
      <c r="R172" s="37" t="s">
        <v>167</v>
      </c>
      <c r="S172" s="32" t="s">
        <v>167</v>
      </c>
      <c r="T172" s="37" t="s">
        <v>168</v>
      </c>
      <c r="U172" s="32">
        <v>4</v>
      </c>
      <c r="V172" s="34" t="str">
        <f>VLOOKUP(U172,Key!$E$2:$F$9,2,FALSE)</f>
        <v>Commercial</v>
      </c>
      <c r="W172" s="34" t="str">
        <f t="shared" si="6"/>
        <v>Work-Commercial</v>
      </c>
      <c r="X172" s="47">
        <v>30000</v>
      </c>
      <c r="Y172" s="38">
        <v>35</v>
      </c>
      <c r="Z172" s="38">
        <v>1</v>
      </c>
      <c r="AA172" s="32">
        <v>10</v>
      </c>
      <c r="AB172" s="34" t="str">
        <f>VLOOKUP(AA172,Key!$C$20:$D$29,2,FALSE)</f>
        <v>Other</v>
      </c>
      <c r="AC172" s="32">
        <v>2</v>
      </c>
      <c r="AD172" s="34" t="str">
        <f>VLOOKUP(AC172,Key!$E$20:$F$24,2,FALSE)</f>
        <v>300,000-500,000</v>
      </c>
      <c r="AE172" s="32">
        <v>1</v>
      </c>
      <c r="AF172" s="55">
        <v>2</v>
      </c>
      <c r="AG172" s="55">
        <v>3</v>
      </c>
      <c r="AH172" s="55">
        <v>1</v>
      </c>
      <c r="AI172" s="55">
        <v>4</v>
      </c>
      <c r="AJ172" s="39" t="s">
        <v>104</v>
      </c>
      <c r="AK172" s="40"/>
      <c r="AL172" s="24"/>
      <c r="AM172" s="24"/>
    </row>
    <row r="173" spans="1:39" hidden="1" x14ac:dyDescent="0.2">
      <c r="B173" s="50">
        <v>43687</v>
      </c>
      <c r="C173" s="35">
        <v>0.47291666666666665</v>
      </c>
      <c r="D173" s="35"/>
      <c r="E173" s="35" t="s">
        <v>111</v>
      </c>
      <c r="F173" s="37">
        <v>2</v>
      </c>
      <c r="G173" s="42" t="str">
        <f>VLOOKUP(F173,Key!$A$17:$B$21,2,FALSE)</f>
        <v>Road Vehicle</v>
      </c>
      <c r="H173" s="36">
        <v>7</v>
      </c>
      <c r="I173" s="43" t="str">
        <f>VLOOKUP(H173,Key!$A$2:$B$13,2,FALSE)</f>
        <v xml:space="preserve">Light Truck </v>
      </c>
      <c r="J173" s="37" t="s">
        <v>123</v>
      </c>
      <c r="K173" s="37">
        <v>4</v>
      </c>
      <c r="L173" s="45" t="str">
        <f>VLOOKUP(K173,Key!$A$24:$B$29,2,FALSE)</f>
        <v>50-59</v>
      </c>
      <c r="M173" s="37" t="s">
        <v>225</v>
      </c>
      <c r="N173" s="32" t="s">
        <v>190</v>
      </c>
      <c r="O173" s="37" t="s">
        <v>168</v>
      </c>
      <c r="P173" s="39">
        <v>2</v>
      </c>
      <c r="Q173" s="34" t="str">
        <f>VLOOKUP(P173,Key!$E$2:$F$9,2,FALSE)</f>
        <v>Work</v>
      </c>
      <c r="R173" s="37" t="s">
        <v>267</v>
      </c>
      <c r="S173" s="32" t="s">
        <v>167</v>
      </c>
      <c r="T173" s="37" t="s">
        <v>168</v>
      </c>
      <c r="U173" s="32">
        <v>2</v>
      </c>
      <c r="V173" s="34" t="str">
        <f>VLOOKUP(U173,Key!$E$2:$F$9,2,FALSE)</f>
        <v>Work</v>
      </c>
      <c r="W173" s="34" t="str">
        <f t="shared" si="6"/>
        <v>Work-Work</v>
      </c>
      <c r="X173" s="47">
        <v>300000</v>
      </c>
      <c r="Y173" s="38">
        <v>38</v>
      </c>
      <c r="Z173" s="38">
        <v>8</v>
      </c>
      <c r="AA173" s="32">
        <v>10</v>
      </c>
      <c r="AB173" s="34" t="str">
        <f>VLOOKUP(AA173,Key!$C$20:$D$29,2,FALSE)</f>
        <v>Other</v>
      </c>
      <c r="AC173" s="32">
        <v>3</v>
      </c>
      <c r="AD173" s="34" t="str">
        <f>VLOOKUP(AC173,Key!$E$20:$F$24,2,FALSE)</f>
        <v>500,000-750,000</v>
      </c>
      <c r="AE173" s="32">
        <v>1</v>
      </c>
      <c r="AF173" s="55">
        <v>1</v>
      </c>
      <c r="AG173" s="55">
        <v>1</v>
      </c>
      <c r="AH173" s="55">
        <v>1</v>
      </c>
      <c r="AI173" s="55">
        <v>1</v>
      </c>
      <c r="AJ173" s="39" t="s">
        <v>104</v>
      </c>
      <c r="AK173" s="40">
        <v>3000</v>
      </c>
      <c r="AL173" s="24"/>
      <c r="AM173" s="24"/>
    </row>
    <row r="174" spans="1:39" hidden="1" x14ac:dyDescent="0.2">
      <c r="B174" s="50">
        <v>43686</v>
      </c>
      <c r="C174" s="35">
        <v>0.69097222222222221</v>
      </c>
      <c r="D174" s="35"/>
      <c r="E174" s="35" t="s">
        <v>111</v>
      </c>
      <c r="F174" s="37">
        <v>2</v>
      </c>
      <c r="G174" s="42" t="str">
        <f>VLOOKUP(F174,Key!$A$17:$B$21,2,FALSE)</f>
        <v>Road Vehicle</v>
      </c>
      <c r="H174" s="36">
        <v>7</v>
      </c>
      <c r="I174" s="43" t="str">
        <f>VLOOKUP(H174,Key!$A$2:$B$13,2,FALSE)</f>
        <v xml:space="preserve">Light Truck </v>
      </c>
      <c r="J174" s="37" t="s">
        <v>123</v>
      </c>
      <c r="K174" s="37">
        <v>2</v>
      </c>
      <c r="L174" s="45" t="str">
        <f>VLOOKUP(K174,Key!$A$24:$B$29,2,FALSE)</f>
        <v>30-39</v>
      </c>
      <c r="M174" s="37" t="s">
        <v>179</v>
      </c>
      <c r="N174" s="32" t="s">
        <v>179</v>
      </c>
      <c r="O174" s="37" t="s">
        <v>168</v>
      </c>
      <c r="P174" s="39">
        <v>2</v>
      </c>
      <c r="Q174" s="34" t="str">
        <f>VLOOKUP(P174,Key!$E$2:$F$9,2,FALSE)</f>
        <v>Work</v>
      </c>
      <c r="R174" s="37" t="s">
        <v>167</v>
      </c>
      <c r="S174" s="32" t="s">
        <v>167</v>
      </c>
      <c r="T174" s="37" t="s">
        <v>168</v>
      </c>
      <c r="U174" s="32">
        <v>2</v>
      </c>
      <c r="V174" s="34" t="str">
        <f>VLOOKUP(U174,Key!$E$2:$F$9,2,FALSE)</f>
        <v>Work</v>
      </c>
      <c r="W174" s="34" t="str">
        <f t="shared" si="6"/>
        <v>Work-Work</v>
      </c>
      <c r="X174" s="47">
        <v>20000</v>
      </c>
      <c r="Y174" s="38">
        <v>40</v>
      </c>
      <c r="Z174" s="38">
        <v>1</v>
      </c>
      <c r="AA174" s="32">
        <v>10</v>
      </c>
      <c r="AB174" s="34" t="str">
        <f>VLOOKUP(AA174,Key!$C$20:$D$29,2,FALSE)</f>
        <v>Other</v>
      </c>
      <c r="AC174" s="32">
        <v>2</v>
      </c>
      <c r="AD174" s="34" t="str">
        <f>VLOOKUP(AC174,Key!$E$20:$F$24,2,FALSE)</f>
        <v>300,000-500,000</v>
      </c>
      <c r="AE174" s="32">
        <v>3</v>
      </c>
      <c r="AF174" s="55">
        <v>2</v>
      </c>
      <c r="AG174" s="55">
        <v>5</v>
      </c>
      <c r="AH174" s="55">
        <v>1</v>
      </c>
      <c r="AI174" s="55">
        <v>4</v>
      </c>
      <c r="AJ174" s="39" t="s">
        <v>104</v>
      </c>
      <c r="AK174" s="40"/>
      <c r="AL174" s="24"/>
      <c r="AM174" s="24"/>
    </row>
    <row r="175" spans="1:39" hidden="1" x14ac:dyDescent="0.2">
      <c r="B175" s="50">
        <v>43690</v>
      </c>
      <c r="C175" s="35">
        <v>0.69791666666666663</v>
      </c>
      <c r="D175" s="35"/>
      <c r="E175" s="35" t="s">
        <v>111</v>
      </c>
      <c r="F175" s="37">
        <v>2</v>
      </c>
      <c r="G175" s="42" t="str">
        <f>VLOOKUP(F175,Key!$A$17:$B$21,2,FALSE)</f>
        <v>Road Vehicle</v>
      </c>
      <c r="H175" s="36">
        <v>7</v>
      </c>
      <c r="I175" s="43" t="str">
        <f>VLOOKUP(H175,Key!$A$2:$B$13,2,FALSE)</f>
        <v xml:space="preserve">Light Truck </v>
      </c>
      <c r="J175" s="37" t="s">
        <v>123</v>
      </c>
      <c r="K175" s="37">
        <v>2</v>
      </c>
      <c r="L175" s="45" t="str">
        <f>VLOOKUP(K175,Key!$A$24:$B$29,2,FALSE)</f>
        <v>30-39</v>
      </c>
      <c r="M175" s="37" t="s">
        <v>297</v>
      </c>
      <c r="N175" s="32" t="s">
        <v>167</v>
      </c>
      <c r="O175" s="37" t="s">
        <v>168</v>
      </c>
      <c r="P175" s="39">
        <v>4</v>
      </c>
      <c r="Q175" s="34" t="str">
        <f>VLOOKUP(P175,Key!$E$2:$F$9,2,FALSE)</f>
        <v>Commercial</v>
      </c>
      <c r="R175" s="37" t="s">
        <v>190</v>
      </c>
      <c r="S175" s="32" t="s">
        <v>190</v>
      </c>
      <c r="T175" s="37" t="s">
        <v>168</v>
      </c>
      <c r="U175" s="32">
        <v>4</v>
      </c>
      <c r="V175" s="34" t="str">
        <f>VLOOKUP(U175,Key!$E$2:$F$9,2,FALSE)</f>
        <v>Commercial</v>
      </c>
      <c r="W175" s="34" t="str">
        <f t="shared" si="6"/>
        <v>Commercial-Commercial</v>
      </c>
      <c r="X175" s="47">
        <v>70000</v>
      </c>
      <c r="Y175" s="38">
        <v>40</v>
      </c>
      <c r="Z175" s="38">
        <v>2</v>
      </c>
      <c r="AA175" s="32">
        <v>10</v>
      </c>
      <c r="AB175" s="34" t="str">
        <f>VLOOKUP(AA175,Key!$C$20:$D$29,2,FALSE)</f>
        <v>Other</v>
      </c>
      <c r="AC175" s="32">
        <v>1</v>
      </c>
      <c r="AD175" s="34" t="str">
        <f>VLOOKUP(AC175,Key!$E$20:$F$24,2,FALSE)</f>
        <v>&lt;300,000</v>
      </c>
      <c r="AE175" s="32">
        <v>1</v>
      </c>
      <c r="AF175" s="55">
        <v>1</v>
      </c>
      <c r="AG175" s="55">
        <v>1</v>
      </c>
      <c r="AH175" s="55">
        <v>1</v>
      </c>
      <c r="AI175" s="55">
        <v>1</v>
      </c>
      <c r="AJ175" s="39" t="s">
        <v>104</v>
      </c>
      <c r="AK175" s="40">
        <v>3000</v>
      </c>
      <c r="AL175" s="24"/>
      <c r="AM175" s="24"/>
    </row>
    <row r="176" spans="1:39" hidden="1" x14ac:dyDescent="0.2">
      <c r="B176" s="50">
        <v>43690</v>
      </c>
      <c r="C176" s="35">
        <v>0.4375</v>
      </c>
      <c r="D176" s="35"/>
      <c r="E176" s="35" t="s">
        <v>111</v>
      </c>
      <c r="F176" s="37">
        <v>2</v>
      </c>
      <c r="G176" s="42" t="str">
        <f>VLOOKUP(F176,Key!$A$17:$B$21,2,FALSE)</f>
        <v>Road Vehicle</v>
      </c>
      <c r="H176" s="36">
        <v>7</v>
      </c>
      <c r="I176" s="43" t="str">
        <f>VLOOKUP(H176,Key!$A$2:$B$13,2,FALSE)</f>
        <v xml:space="preserve">Light Truck </v>
      </c>
      <c r="J176" s="37" t="s">
        <v>123</v>
      </c>
      <c r="K176" s="37">
        <v>3</v>
      </c>
      <c r="L176" s="45" t="str">
        <f>VLOOKUP(K176,Key!$A$24:$B$29,2,FALSE)</f>
        <v>40-49</v>
      </c>
      <c r="M176" s="37" t="s">
        <v>188</v>
      </c>
      <c r="N176" s="32" t="s">
        <v>188</v>
      </c>
      <c r="O176" s="37" t="s">
        <v>168</v>
      </c>
      <c r="P176" s="39">
        <v>4</v>
      </c>
      <c r="Q176" s="34" t="str">
        <f>VLOOKUP(P176,Key!$E$2:$F$9,2,FALSE)</f>
        <v>Commercial</v>
      </c>
      <c r="R176" s="37" t="s">
        <v>187</v>
      </c>
      <c r="S176" s="32" t="s">
        <v>167</v>
      </c>
      <c r="T176" s="37" t="s">
        <v>168</v>
      </c>
      <c r="U176" s="32">
        <v>4</v>
      </c>
      <c r="V176" s="34" t="str">
        <f>VLOOKUP(U176,Key!$E$2:$F$9,2,FALSE)</f>
        <v>Commercial</v>
      </c>
      <c r="W176" s="34" t="str">
        <f t="shared" si="6"/>
        <v>Commercial-Commercial</v>
      </c>
      <c r="X176" s="47">
        <v>100000</v>
      </c>
      <c r="Y176" s="38">
        <v>40</v>
      </c>
      <c r="Z176" s="38">
        <v>2</v>
      </c>
      <c r="AA176" s="32">
        <v>10</v>
      </c>
      <c r="AB176" s="34" t="str">
        <f>VLOOKUP(AA176,Key!$C$20:$D$29,2,FALSE)</f>
        <v>Other</v>
      </c>
      <c r="AC176" s="32">
        <v>2</v>
      </c>
      <c r="AD176" s="34" t="str">
        <f>VLOOKUP(AC176,Key!$E$20:$F$24,2,FALSE)</f>
        <v>300,000-500,000</v>
      </c>
      <c r="AE176" s="32">
        <v>1</v>
      </c>
      <c r="AF176" s="55">
        <v>1</v>
      </c>
      <c r="AG176" s="55">
        <v>1</v>
      </c>
      <c r="AH176" s="55">
        <v>1</v>
      </c>
      <c r="AI176" s="55">
        <v>1</v>
      </c>
      <c r="AJ176" s="39" t="s">
        <v>104</v>
      </c>
      <c r="AK176" s="40">
        <v>2000</v>
      </c>
      <c r="AL176" s="24"/>
      <c r="AM176" s="24"/>
    </row>
    <row r="177" spans="1:39" hidden="1" x14ac:dyDescent="0.2">
      <c r="B177" s="50">
        <v>43687</v>
      </c>
      <c r="C177" s="35">
        <v>0.44444444444444442</v>
      </c>
      <c r="D177" s="35"/>
      <c r="E177" s="35" t="s">
        <v>111</v>
      </c>
      <c r="F177" s="37">
        <v>2</v>
      </c>
      <c r="G177" s="42" t="str">
        <f>VLOOKUP(F177,Key!$A$17:$B$21,2,FALSE)</f>
        <v>Road Vehicle</v>
      </c>
      <c r="H177" s="36">
        <v>7</v>
      </c>
      <c r="I177" s="43" t="str">
        <f>VLOOKUP(H177,Key!$A$2:$B$13,2,FALSE)</f>
        <v xml:space="preserve">Light Truck </v>
      </c>
      <c r="J177" s="37" t="s">
        <v>123</v>
      </c>
      <c r="K177" s="37">
        <v>4</v>
      </c>
      <c r="L177" s="45" t="str">
        <f>VLOOKUP(K177,Key!$A$24:$B$29,2,FALSE)</f>
        <v>50-59</v>
      </c>
      <c r="M177" s="37"/>
      <c r="N177" s="32"/>
      <c r="O177" s="37" t="s">
        <v>168</v>
      </c>
      <c r="P177" s="39">
        <v>4</v>
      </c>
      <c r="Q177" s="34" t="str">
        <f>VLOOKUP(P177,Key!$E$2:$F$9,2,FALSE)</f>
        <v>Commercial</v>
      </c>
      <c r="R177" s="37"/>
      <c r="S177" s="32"/>
      <c r="T177" s="37" t="s">
        <v>168</v>
      </c>
      <c r="U177" s="32">
        <v>4</v>
      </c>
      <c r="V177" s="34" t="str">
        <f>VLOOKUP(U177,Key!$E$2:$F$9,2,FALSE)</f>
        <v>Commercial</v>
      </c>
      <c r="W177" s="34" t="str">
        <f t="shared" si="6"/>
        <v>Commercial-Commercial</v>
      </c>
      <c r="X177" s="47">
        <v>60000</v>
      </c>
      <c r="Y177" s="38">
        <v>40</v>
      </c>
      <c r="Z177" s="38">
        <v>2</v>
      </c>
      <c r="AA177" s="32">
        <v>6</v>
      </c>
      <c r="AB177" s="34" t="str">
        <f>VLOOKUP(AA177,Key!$C$20:$D$29,2,FALSE)</f>
        <v>Businessman</v>
      </c>
      <c r="AC177" s="32">
        <v>2</v>
      </c>
      <c r="AD177" s="34" t="str">
        <f>VLOOKUP(AC177,Key!$E$20:$F$24,2,FALSE)</f>
        <v>300,000-500,000</v>
      </c>
      <c r="AE177" s="32">
        <v>1</v>
      </c>
      <c r="AF177" s="55">
        <v>1</v>
      </c>
      <c r="AG177" s="55">
        <v>2</v>
      </c>
      <c r="AH177" s="55">
        <v>1</v>
      </c>
      <c r="AI177" s="55">
        <v>1</v>
      </c>
      <c r="AJ177" s="39" t="s">
        <v>104</v>
      </c>
      <c r="AK177" s="40">
        <v>2000</v>
      </c>
      <c r="AL177" s="24"/>
      <c r="AM177" s="24"/>
    </row>
    <row r="178" spans="1:39" x14ac:dyDescent="0.2">
      <c r="B178" s="50">
        <v>43686</v>
      </c>
      <c r="C178" s="35">
        <v>0.64374999999999993</v>
      </c>
      <c r="D178" s="35"/>
      <c r="E178" s="35" t="s">
        <v>111</v>
      </c>
      <c r="F178" s="37">
        <v>2</v>
      </c>
      <c r="G178" s="42" t="str">
        <f>VLOOKUP(F178,Key!$A$17:$B$21,2,FALSE)</f>
        <v>Road Vehicle</v>
      </c>
      <c r="H178" s="36">
        <v>7</v>
      </c>
      <c r="I178" s="43" t="str">
        <f>VLOOKUP(H178,Key!$A$2:$B$13,2,FALSE)</f>
        <v xml:space="preserve">Light Truck </v>
      </c>
      <c r="J178" s="37" t="s">
        <v>123</v>
      </c>
      <c r="K178" s="13">
        <v>2</v>
      </c>
      <c r="L178" s="45" t="str">
        <f>VLOOKUP(K178,Key!$A$24:$B$29,2,FALSE)</f>
        <v>30-39</v>
      </c>
      <c r="M178" s="44" t="s">
        <v>173</v>
      </c>
      <c r="N178" s="32" t="s">
        <v>173</v>
      </c>
      <c r="O178" s="37" t="s">
        <v>168</v>
      </c>
      <c r="P178" s="39">
        <v>1</v>
      </c>
      <c r="Q178" s="34" t="str">
        <f>VLOOKUP(P178,Key!$E$2:$F$9,2,FALSE)</f>
        <v>Home</v>
      </c>
      <c r="R178" s="37" t="s">
        <v>167</v>
      </c>
      <c r="S178" s="32" t="s">
        <v>167</v>
      </c>
      <c r="T178" s="37" t="s">
        <v>168</v>
      </c>
      <c r="U178" s="32">
        <v>4</v>
      </c>
      <c r="V178" s="34" t="str">
        <f>VLOOKUP(U178,Key!$E$2:$F$9,2,FALSE)</f>
        <v>Commercial</v>
      </c>
      <c r="W178" s="34" t="str">
        <f t="shared" si="6"/>
        <v>Home-Commercial</v>
      </c>
      <c r="X178" s="47">
        <v>40000</v>
      </c>
      <c r="Y178" s="38">
        <v>60</v>
      </c>
      <c r="Z178" s="38">
        <v>1</v>
      </c>
      <c r="AA178" s="32">
        <v>10</v>
      </c>
      <c r="AB178" s="34" t="str">
        <f>VLOOKUP(AA178,Key!$C$20:$D$29,2,FALSE)</f>
        <v>Other</v>
      </c>
      <c r="AC178" s="32">
        <v>2</v>
      </c>
      <c r="AD178" s="34" t="str">
        <f>VLOOKUP(AC178,Key!$E$20:$F$24,2,FALSE)</f>
        <v>300,000-500,000</v>
      </c>
      <c r="AE178" s="32">
        <v>2</v>
      </c>
      <c r="AF178" s="55">
        <v>3</v>
      </c>
      <c r="AG178" s="55">
        <v>5</v>
      </c>
      <c r="AH178" s="55">
        <v>1</v>
      </c>
      <c r="AI178" s="55">
        <v>4</v>
      </c>
      <c r="AJ178" s="39" t="s">
        <v>104</v>
      </c>
      <c r="AK178" s="40"/>
      <c r="AL178" s="24"/>
      <c r="AM178" s="24"/>
    </row>
    <row r="179" spans="1:39" x14ac:dyDescent="0.2">
      <c r="B179" s="50">
        <v>43688</v>
      </c>
      <c r="C179" s="35">
        <v>0.62638888888888888</v>
      </c>
      <c r="D179" s="35"/>
      <c r="E179" s="35" t="s">
        <v>111</v>
      </c>
      <c r="F179" s="37">
        <v>2</v>
      </c>
      <c r="G179" s="42" t="str">
        <f>VLOOKUP(F179,Key!$A$17:$B$21,2,FALSE)</f>
        <v>Road Vehicle</v>
      </c>
      <c r="H179" s="36">
        <v>7</v>
      </c>
      <c r="I179" s="43" t="str">
        <f>VLOOKUP(H179,Key!$A$2:$B$13,2,FALSE)</f>
        <v xml:space="preserve">Light Truck </v>
      </c>
      <c r="J179" s="37" t="s">
        <v>123</v>
      </c>
      <c r="K179" s="13">
        <v>2</v>
      </c>
      <c r="L179" s="45" t="str">
        <f>VLOOKUP(K179,Key!$A$24:$B$29,2,FALSE)</f>
        <v>30-39</v>
      </c>
      <c r="M179" s="37" t="s">
        <v>173</v>
      </c>
      <c r="N179" s="32" t="s">
        <v>173</v>
      </c>
      <c r="O179" s="37" t="s">
        <v>168</v>
      </c>
      <c r="P179" s="39">
        <v>2</v>
      </c>
      <c r="Q179" s="34" t="str">
        <f>VLOOKUP(P179,Key!$E$2:$F$9,2,FALSE)</f>
        <v>Work</v>
      </c>
      <c r="R179" s="37" t="s">
        <v>167</v>
      </c>
      <c r="S179" s="32" t="s">
        <v>167</v>
      </c>
      <c r="T179" s="37" t="s">
        <v>168</v>
      </c>
      <c r="U179" s="32">
        <v>4</v>
      </c>
      <c r="V179" s="34" t="str">
        <f>VLOOKUP(U179,Key!$E$2:$F$9,2,FALSE)</f>
        <v>Commercial</v>
      </c>
      <c r="W179" s="34" t="str">
        <f t="shared" si="6"/>
        <v>Work-Commercial</v>
      </c>
      <c r="X179" s="47">
        <v>35000</v>
      </c>
      <c r="Y179" s="38">
        <v>60</v>
      </c>
      <c r="Z179" s="38">
        <v>1</v>
      </c>
      <c r="AA179" s="32">
        <v>10</v>
      </c>
      <c r="AB179" s="34" t="str">
        <f>VLOOKUP(AA179,Key!$C$20:$D$29,2,FALSE)</f>
        <v>Other</v>
      </c>
      <c r="AC179" s="32">
        <v>2</v>
      </c>
      <c r="AD179" s="34" t="str">
        <f>VLOOKUP(AC179,Key!$E$20:$F$24,2,FALSE)</f>
        <v>300,000-500,000</v>
      </c>
      <c r="AE179" s="32">
        <v>2</v>
      </c>
      <c r="AF179" s="55">
        <v>3</v>
      </c>
      <c r="AG179" s="55">
        <v>3</v>
      </c>
      <c r="AH179" s="55">
        <v>1</v>
      </c>
      <c r="AI179" s="55">
        <v>4</v>
      </c>
      <c r="AJ179" s="39" t="s">
        <v>104</v>
      </c>
      <c r="AK179" s="40">
        <v>3000</v>
      </c>
      <c r="AL179" s="24"/>
      <c r="AM179" s="24"/>
    </row>
    <row r="180" spans="1:39" x14ac:dyDescent="0.2">
      <c r="B180" s="50">
        <v>43690</v>
      </c>
      <c r="C180" s="35">
        <v>0.55902777777777779</v>
      </c>
      <c r="D180" s="35"/>
      <c r="E180" s="35" t="s">
        <v>111</v>
      </c>
      <c r="F180" s="37">
        <v>2</v>
      </c>
      <c r="G180" s="42" t="str">
        <f>VLOOKUP(F180,Key!$A$17:$B$21,2,FALSE)</f>
        <v>Road Vehicle</v>
      </c>
      <c r="H180" s="36">
        <v>7</v>
      </c>
      <c r="I180" s="43" t="str">
        <f>VLOOKUP(H180,Key!$A$2:$B$13,2,FALSE)</f>
        <v xml:space="preserve">Light Truck </v>
      </c>
      <c r="J180" s="37" t="s">
        <v>123</v>
      </c>
      <c r="K180" s="13">
        <v>2</v>
      </c>
      <c r="L180" s="45" t="str">
        <f>VLOOKUP(K180,Key!$A$24:$B$29,2,FALSE)</f>
        <v>30-39</v>
      </c>
      <c r="M180" s="37" t="s">
        <v>173</v>
      </c>
      <c r="N180" s="32" t="s">
        <v>173</v>
      </c>
      <c r="O180" s="37" t="s">
        <v>168</v>
      </c>
      <c r="P180" s="39">
        <v>1</v>
      </c>
      <c r="Q180" s="34" t="str">
        <f>VLOOKUP(P180,Key!$E$2:$F$9,2,FALSE)</f>
        <v>Home</v>
      </c>
      <c r="R180" s="37" t="s">
        <v>167</v>
      </c>
      <c r="S180" s="32" t="s">
        <v>167</v>
      </c>
      <c r="T180" s="37" t="s">
        <v>168</v>
      </c>
      <c r="U180" s="32">
        <v>2</v>
      </c>
      <c r="V180" s="34" t="str">
        <f>VLOOKUP(U180,Key!$E$2:$F$9,2,FALSE)</f>
        <v>Work</v>
      </c>
      <c r="W180" s="34" t="str">
        <f t="shared" si="6"/>
        <v>Home-Work</v>
      </c>
      <c r="X180" s="47">
        <v>40000</v>
      </c>
      <c r="Y180" s="38">
        <v>60</v>
      </c>
      <c r="Z180" s="38">
        <v>1</v>
      </c>
      <c r="AA180" s="32">
        <v>10</v>
      </c>
      <c r="AB180" s="34" t="str">
        <f>VLOOKUP(AA180,Key!$C$20:$D$29,2,FALSE)</f>
        <v>Other</v>
      </c>
      <c r="AC180" s="32">
        <v>2</v>
      </c>
      <c r="AD180" s="34" t="str">
        <f>VLOOKUP(AC180,Key!$E$20:$F$24,2,FALSE)</f>
        <v>300,000-500,000</v>
      </c>
      <c r="AE180" s="32">
        <v>2</v>
      </c>
      <c r="AF180" s="55">
        <v>3</v>
      </c>
      <c r="AG180" s="55">
        <v>1</v>
      </c>
      <c r="AH180" s="55">
        <v>1</v>
      </c>
      <c r="AI180" s="55">
        <v>3</v>
      </c>
      <c r="AJ180" s="39" t="s">
        <v>104</v>
      </c>
      <c r="AK180" s="40">
        <v>2000</v>
      </c>
      <c r="AL180" s="24"/>
      <c r="AM180" s="24"/>
    </row>
    <row r="181" spans="1:39" x14ac:dyDescent="0.2">
      <c r="B181" s="50">
        <v>43687</v>
      </c>
      <c r="C181" s="35">
        <v>0.50694444444444442</v>
      </c>
      <c r="D181" s="35"/>
      <c r="E181" s="35" t="s">
        <v>111</v>
      </c>
      <c r="F181" s="37">
        <v>2</v>
      </c>
      <c r="G181" s="42" t="str">
        <f>VLOOKUP(F181,Key!$A$17:$B$21,2,FALSE)</f>
        <v>Road Vehicle</v>
      </c>
      <c r="H181" s="36">
        <v>7</v>
      </c>
      <c r="I181" s="43" t="str">
        <f>VLOOKUP(H181,Key!$A$2:$B$13,2,FALSE)</f>
        <v xml:space="preserve">Light Truck </v>
      </c>
      <c r="J181" s="37" t="s">
        <v>123</v>
      </c>
      <c r="K181" s="13">
        <v>2</v>
      </c>
      <c r="L181" s="45" t="str">
        <f>VLOOKUP(K181,Key!$A$24:$B$29,2,FALSE)</f>
        <v>30-39</v>
      </c>
      <c r="M181" s="37" t="s">
        <v>173</v>
      </c>
      <c r="N181" s="32" t="s">
        <v>173</v>
      </c>
      <c r="O181" s="37" t="s">
        <v>168</v>
      </c>
      <c r="P181" s="39">
        <v>2</v>
      </c>
      <c r="Q181" s="34" t="str">
        <f>VLOOKUP(P181,Key!$E$2:$F$9,2,FALSE)</f>
        <v>Work</v>
      </c>
      <c r="R181" s="37" t="s">
        <v>297</v>
      </c>
      <c r="S181" s="32" t="s">
        <v>167</v>
      </c>
      <c r="T181" s="37" t="s">
        <v>168</v>
      </c>
      <c r="U181" s="32">
        <v>4</v>
      </c>
      <c r="V181" s="34" t="str">
        <f>VLOOKUP(U181,Key!$E$2:$F$9,2,FALSE)</f>
        <v>Commercial</v>
      </c>
      <c r="W181" s="34" t="str">
        <f t="shared" si="6"/>
        <v>Work-Commercial</v>
      </c>
      <c r="X181" s="47">
        <v>40000</v>
      </c>
      <c r="Y181" s="38">
        <v>60</v>
      </c>
      <c r="Z181" s="38">
        <v>1.5</v>
      </c>
      <c r="AA181" s="32">
        <v>10</v>
      </c>
      <c r="AB181" s="34" t="str">
        <f>VLOOKUP(AA181,Key!$C$20:$D$29,2,FALSE)</f>
        <v>Other</v>
      </c>
      <c r="AC181" s="32">
        <v>2</v>
      </c>
      <c r="AD181" s="34" t="str">
        <f>VLOOKUP(AC181,Key!$E$20:$F$24,2,FALSE)</f>
        <v>300,000-500,000</v>
      </c>
      <c r="AE181" s="32">
        <v>1</v>
      </c>
      <c r="AF181" s="55">
        <v>3</v>
      </c>
      <c r="AG181" s="55">
        <v>4</v>
      </c>
      <c r="AH181" s="55">
        <v>2</v>
      </c>
      <c r="AI181" s="55">
        <v>2</v>
      </c>
      <c r="AJ181" s="39" t="s">
        <v>104</v>
      </c>
      <c r="AK181" s="40">
        <v>5000</v>
      </c>
      <c r="AL181" s="24"/>
      <c r="AM181" s="24"/>
    </row>
    <row r="182" spans="1:39" x14ac:dyDescent="0.2">
      <c r="B182" s="50">
        <v>43690</v>
      </c>
      <c r="C182" s="35">
        <v>0.44375000000000003</v>
      </c>
      <c r="D182" s="35"/>
      <c r="E182" s="35" t="s">
        <v>111</v>
      </c>
      <c r="F182" s="37">
        <v>2</v>
      </c>
      <c r="G182" s="42" t="str">
        <f>VLOOKUP(F182,Key!$A$17:$B$21,2,FALSE)</f>
        <v>Road Vehicle</v>
      </c>
      <c r="H182" s="36">
        <v>7</v>
      </c>
      <c r="I182" s="43" t="str">
        <f>VLOOKUP(H182,Key!$A$2:$B$13,2,FALSE)</f>
        <v xml:space="preserve">Light Truck </v>
      </c>
      <c r="J182" s="37" t="s">
        <v>123</v>
      </c>
      <c r="K182" s="13">
        <v>2</v>
      </c>
      <c r="L182" s="45" t="str">
        <f>VLOOKUP(K182,Key!$A$24:$B$29,2,FALSE)</f>
        <v>30-39</v>
      </c>
      <c r="M182" s="37" t="s">
        <v>300</v>
      </c>
      <c r="N182" s="32" t="s">
        <v>300</v>
      </c>
      <c r="O182" s="37" t="s">
        <v>168</v>
      </c>
      <c r="P182" s="39">
        <v>1</v>
      </c>
      <c r="Q182" s="34" t="str">
        <f>VLOOKUP(P182,Key!$E$2:$F$9,2,FALSE)</f>
        <v>Home</v>
      </c>
      <c r="R182" s="37" t="s">
        <v>167</v>
      </c>
      <c r="S182" s="32" t="s">
        <v>167</v>
      </c>
      <c r="T182" s="37" t="s">
        <v>168</v>
      </c>
      <c r="U182" s="32">
        <v>2</v>
      </c>
      <c r="V182" s="34" t="str">
        <f>VLOOKUP(U182,Key!$E$2:$F$9,2,FALSE)</f>
        <v>Work</v>
      </c>
      <c r="W182" s="34" t="str">
        <f t="shared" si="6"/>
        <v>Home-Work</v>
      </c>
      <c r="X182" s="47">
        <v>30000</v>
      </c>
      <c r="Y182" s="38">
        <v>60</v>
      </c>
      <c r="Z182" s="38">
        <v>1.5</v>
      </c>
      <c r="AA182" s="32">
        <v>5</v>
      </c>
      <c r="AB182" s="34" t="str">
        <f>VLOOKUP(AA182,Key!$C$20:$D$29,2,FALSE)</f>
        <v>Professional</v>
      </c>
      <c r="AC182" s="32">
        <v>4</v>
      </c>
      <c r="AD182" s="34" t="str">
        <f>VLOOKUP(AC182,Key!$E$20:$F$24,2,FALSE)</f>
        <v>750,000-1,000,000</v>
      </c>
      <c r="AE182" s="32">
        <v>3</v>
      </c>
      <c r="AF182" s="55">
        <v>2</v>
      </c>
      <c r="AG182" s="55">
        <v>4</v>
      </c>
      <c r="AH182" s="55">
        <v>1</v>
      </c>
      <c r="AI182" s="55">
        <v>5</v>
      </c>
      <c r="AJ182" s="39" t="s">
        <v>104</v>
      </c>
      <c r="AK182" s="40">
        <v>3000</v>
      </c>
      <c r="AL182" s="24"/>
      <c r="AM182" s="24"/>
    </row>
    <row r="183" spans="1:39" x14ac:dyDescent="0.2">
      <c r="B183" s="50">
        <v>43689</v>
      </c>
      <c r="C183" s="35">
        <v>0.48333333333333334</v>
      </c>
      <c r="D183" s="35"/>
      <c r="E183" s="35" t="s">
        <v>111</v>
      </c>
      <c r="F183" s="37">
        <v>2</v>
      </c>
      <c r="G183" s="42" t="str">
        <f>VLOOKUP(F183,Key!$A$17:$B$21,2,FALSE)</f>
        <v>Road Vehicle</v>
      </c>
      <c r="H183" s="36">
        <v>7</v>
      </c>
      <c r="I183" s="43" t="str">
        <f>VLOOKUP(H183,Key!$A$2:$B$13,2,FALSE)</f>
        <v xml:space="preserve">Light Truck </v>
      </c>
      <c r="J183" s="37" t="s">
        <v>123</v>
      </c>
      <c r="K183" s="13">
        <v>2</v>
      </c>
      <c r="L183" s="45" t="str">
        <f>VLOOKUP(K183,Key!$A$24:$B$29,2,FALSE)</f>
        <v>30-39</v>
      </c>
      <c r="M183" s="37" t="s">
        <v>176</v>
      </c>
      <c r="N183" s="32" t="s">
        <v>176</v>
      </c>
      <c r="O183" s="37" t="s">
        <v>168</v>
      </c>
      <c r="P183" s="39">
        <v>2</v>
      </c>
      <c r="Q183" s="34" t="str">
        <f>VLOOKUP(P183,Key!$E$2:$F$9,2,FALSE)</f>
        <v>Work</v>
      </c>
      <c r="R183" s="37" t="s">
        <v>167</v>
      </c>
      <c r="S183" s="32" t="s">
        <v>167</v>
      </c>
      <c r="T183" s="37" t="s">
        <v>168</v>
      </c>
      <c r="U183" s="32">
        <v>4</v>
      </c>
      <c r="V183" s="34" t="str">
        <f>VLOOKUP(U183,Key!$E$2:$F$9,2,FALSE)</f>
        <v>Commercial</v>
      </c>
      <c r="W183" s="34" t="str">
        <f t="shared" si="6"/>
        <v>Work-Commercial</v>
      </c>
      <c r="X183" s="47">
        <v>40000</v>
      </c>
      <c r="Y183" s="38">
        <v>80</v>
      </c>
      <c r="Z183" s="38">
        <v>2</v>
      </c>
      <c r="AA183" s="32">
        <v>6</v>
      </c>
      <c r="AB183" s="34" t="str">
        <f>VLOOKUP(AA183,Key!$C$20:$D$29,2,FALSE)</f>
        <v>Businessman</v>
      </c>
      <c r="AC183" s="32">
        <v>5</v>
      </c>
      <c r="AD183" s="34" t="str">
        <f>VLOOKUP(AC183,Key!$E$20:$F$24,2,FALSE)</f>
        <v>&gt;1,000,000</v>
      </c>
      <c r="AE183" s="32">
        <v>1</v>
      </c>
      <c r="AF183" s="55">
        <v>3</v>
      </c>
      <c r="AG183" s="55">
        <v>4</v>
      </c>
      <c r="AH183" s="55">
        <v>2</v>
      </c>
      <c r="AI183" s="55">
        <v>4</v>
      </c>
      <c r="AJ183" s="39" t="s">
        <v>104</v>
      </c>
      <c r="AK183" s="40"/>
      <c r="AL183" s="24"/>
      <c r="AM183" s="24"/>
    </row>
    <row r="184" spans="1:39" x14ac:dyDescent="0.2">
      <c r="B184" s="50">
        <v>43689</v>
      </c>
      <c r="C184" s="35">
        <v>0.95972222222222225</v>
      </c>
      <c r="D184" s="35"/>
      <c r="E184" s="35" t="s">
        <v>111</v>
      </c>
      <c r="F184" s="37">
        <v>2</v>
      </c>
      <c r="G184" s="42" t="str">
        <f>VLOOKUP(F184,Key!$A$17:$B$21,2,FALSE)</f>
        <v>Road Vehicle</v>
      </c>
      <c r="H184" s="36">
        <v>7</v>
      </c>
      <c r="I184" s="43" t="str">
        <f>VLOOKUP(H184,Key!$A$2:$B$13,2,FALSE)</f>
        <v xml:space="preserve">Light Truck </v>
      </c>
      <c r="J184" s="37" t="s">
        <v>123</v>
      </c>
      <c r="K184" s="13">
        <v>2</v>
      </c>
      <c r="L184" s="45" t="str">
        <f>VLOOKUP(K184,Key!$A$24:$B$29,2,FALSE)</f>
        <v>30-39</v>
      </c>
      <c r="M184" s="37" t="s">
        <v>167</v>
      </c>
      <c r="N184" s="32" t="s">
        <v>167</v>
      </c>
      <c r="O184" s="37" t="s">
        <v>168</v>
      </c>
      <c r="P184" s="39">
        <v>2</v>
      </c>
      <c r="Q184" s="34" t="str">
        <f>VLOOKUP(P184,Key!$E$2:$F$9,2,FALSE)</f>
        <v>Work</v>
      </c>
      <c r="R184" s="37" t="s">
        <v>176</v>
      </c>
      <c r="S184" s="32" t="s">
        <v>176</v>
      </c>
      <c r="T184" s="37" t="s">
        <v>168</v>
      </c>
      <c r="U184" s="32">
        <v>4</v>
      </c>
      <c r="V184" s="34" t="str">
        <f>VLOOKUP(U184,Key!$E$2:$F$9,2,FALSE)</f>
        <v>Commercial</v>
      </c>
      <c r="W184" s="34" t="str">
        <f t="shared" si="6"/>
        <v>Work-Commercial</v>
      </c>
      <c r="X184" s="47">
        <v>70000</v>
      </c>
      <c r="Y184" s="38">
        <v>80</v>
      </c>
      <c r="Z184" s="38">
        <v>2.5</v>
      </c>
      <c r="AA184" s="32">
        <v>6</v>
      </c>
      <c r="AB184" s="34" t="str">
        <f>VLOOKUP(AA184,Key!$C$20:$D$29,2,FALSE)</f>
        <v>Businessman</v>
      </c>
      <c r="AC184" s="32">
        <v>2</v>
      </c>
      <c r="AD184" s="34" t="str">
        <f>VLOOKUP(AC184,Key!$E$20:$F$24,2,FALSE)</f>
        <v>300,000-500,000</v>
      </c>
      <c r="AE184" s="32">
        <v>2</v>
      </c>
      <c r="AF184" s="55">
        <v>3</v>
      </c>
      <c r="AG184" s="55">
        <v>5</v>
      </c>
      <c r="AH184" s="55">
        <v>1</v>
      </c>
      <c r="AI184" s="55">
        <v>4</v>
      </c>
      <c r="AJ184" s="39" t="s">
        <v>104</v>
      </c>
      <c r="AK184" s="40">
        <v>2000</v>
      </c>
      <c r="AL184" s="24"/>
      <c r="AM184" s="24"/>
    </row>
    <row r="185" spans="1:39" x14ac:dyDescent="0.2">
      <c r="B185" s="50">
        <v>43689</v>
      </c>
      <c r="C185" s="35">
        <v>0.50208333333333333</v>
      </c>
      <c r="D185" s="35"/>
      <c r="E185" s="35" t="s">
        <v>111</v>
      </c>
      <c r="F185" s="37">
        <v>2</v>
      </c>
      <c r="G185" s="42" t="str">
        <f>VLOOKUP(F185,Key!$A$17:$B$21,2,FALSE)</f>
        <v>Road Vehicle</v>
      </c>
      <c r="H185" s="36">
        <v>7</v>
      </c>
      <c r="I185" s="43" t="str">
        <f>VLOOKUP(H185,Key!$A$2:$B$13,2,FALSE)</f>
        <v xml:space="preserve">Light Truck </v>
      </c>
      <c r="J185" s="37" t="s">
        <v>123</v>
      </c>
      <c r="K185" s="13">
        <v>2</v>
      </c>
      <c r="L185" s="45" t="str">
        <f>VLOOKUP(K185,Key!$A$24:$B$29,2,FALSE)</f>
        <v>30-39</v>
      </c>
      <c r="M185" s="44" t="s">
        <v>176</v>
      </c>
      <c r="N185" s="32" t="s">
        <v>176</v>
      </c>
      <c r="O185" s="37" t="s">
        <v>168</v>
      </c>
      <c r="P185" s="39">
        <v>2</v>
      </c>
      <c r="Q185" s="34" t="str">
        <f>VLOOKUP(P185,Key!$E$2:$F$9,2,FALSE)</f>
        <v>Work</v>
      </c>
      <c r="R185" s="37" t="s">
        <v>167</v>
      </c>
      <c r="S185" s="32" t="s">
        <v>167</v>
      </c>
      <c r="T185" s="37" t="s">
        <v>168</v>
      </c>
      <c r="U185" s="32">
        <v>4</v>
      </c>
      <c r="V185" s="34" t="str">
        <f>VLOOKUP(U185,Key!$E$2:$F$9,2,FALSE)</f>
        <v>Commercial</v>
      </c>
      <c r="W185" s="34" t="str">
        <f t="shared" si="6"/>
        <v>Work-Commercial</v>
      </c>
      <c r="X185" s="47">
        <v>80000</v>
      </c>
      <c r="Y185" s="38">
        <v>80</v>
      </c>
      <c r="Z185" s="38">
        <v>3</v>
      </c>
      <c r="AA185" s="32">
        <v>10</v>
      </c>
      <c r="AB185" s="34" t="str">
        <f>VLOOKUP(AA185,Key!$C$20:$D$29,2,FALSE)</f>
        <v>Other</v>
      </c>
      <c r="AC185" s="32">
        <v>2</v>
      </c>
      <c r="AD185" s="34" t="str">
        <f>VLOOKUP(AC185,Key!$E$20:$F$24,2,FALSE)</f>
        <v>300,000-500,000</v>
      </c>
      <c r="AE185" s="32">
        <v>2</v>
      </c>
      <c r="AF185" s="55">
        <v>3</v>
      </c>
      <c r="AG185" s="55">
        <v>4</v>
      </c>
      <c r="AH185" s="55">
        <v>1</v>
      </c>
      <c r="AI185" s="55">
        <v>5</v>
      </c>
      <c r="AJ185" s="39" t="s">
        <v>104</v>
      </c>
      <c r="AK185" s="40">
        <v>2000</v>
      </c>
      <c r="AL185" s="24"/>
      <c r="AM185" s="24"/>
    </row>
    <row r="186" spans="1:39" x14ac:dyDescent="0.2">
      <c r="A186" s="10"/>
      <c r="B186" s="50">
        <v>43686</v>
      </c>
      <c r="C186" s="35">
        <v>0.52847222222222223</v>
      </c>
      <c r="D186" s="35"/>
      <c r="E186" s="35" t="s">
        <v>111</v>
      </c>
      <c r="F186" s="37">
        <v>2</v>
      </c>
      <c r="G186" s="42" t="str">
        <f>VLOOKUP(F186,Key!$A$17:$B$21,2,FALSE)</f>
        <v>Road Vehicle</v>
      </c>
      <c r="H186" s="36">
        <v>7</v>
      </c>
      <c r="I186" s="43" t="str">
        <f>VLOOKUP(H186,Key!$A$2:$B$13,2,FALSE)</f>
        <v xml:space="preserve">Light Truck </v>
      </c>
      <c r="J186" s="37" t="s">
        <v>123</v>
      </c>
      <c r="K186" s="13">
        <v>2</v>
      </c>
      <c r="L186" s="45" t="str">
        <f>VLOOKUP(K186,Key!$A$24:$B$29,2,FALSE)</f>
        <v>30-39</v>
      </c>
      <c r="M186" s="37" t="s">
        <v>176</v>
      </c>
      <c r="N186" s="32" t="s">
        <v>176</v>
      </c>
      <c r="O186" s="37" t="s">
        <v>168</v>
      </c>
      <c r="P186" s="39">
        <v>2</v>
      </c>
      <c r="Q186" s="34" t="str">
        <f>VLOOKUP(P186,Key!$E$2:$F$9,2,FALSE)</f>
        <v>Work</v>
      </c>
      <c r="R186" s="37" t="s">
        <v>167</v>
      </c>
      <c r="S186" s="32" t="s">
        <v>167</v>
      </c>
      <c r="T186" s="37" t="s">
        <v>168</v>
      </c>
      <c r="U186" s="32">
        <v>2</v>
      </c>
      <c r="V186" s="34" t="str">
        <f>VLOOKUP(U186,Key!$E$2:$F$9,2,FALSE)</f>
        <v>Work</v>
      </c>
      <c r="W186" s="34" t="str">
        <f t="shared" si="6"/>
        <v>Work-Work</v>
      </c>
      <c r="X186" s="47">
        <v>80000</v>
      </c>
      <c r="Y186" s="38">
        <v>80</v>
      </c>
      <c r="Z186" s="38">
        <v>3.5</v>
      </c>
      <c r="AA186" s="32">
        <v>10</v>
      </c>
      <c r="AB186" s="34" t="str">
        <f>VLOOKUP(AA186,Key!$C$20:$D$29,2,FALSE)</f>
        <v>Other</v>
      </c>
      <c r="AC186" s="32">
        <v>2</v>
      </c>
      <c r="AD186" s="34" t="str">
        <f>VLOOKUP(AC186,Key!$E$20:$F$24,2,FALSE)</f>
        <v>300,000-500,000</v>
      </c>
      <c r="AE186" s="32">
        <v>3</v>
      </c>
      <c r="AF186" s="55">
        <v>2</v>
      </c>
      <c r="AG186" s="55">
        <v>3</v>
      </c>
      <c r="AH186" s="55">
        <v>3</v>
      </c>
      <c r="AI186" s="55">
        <v>2</v>
      </c>
      <c r="AJ186" s="39" t="s">
        <v>104</v>
      </c>
      <c r="AK186" s="40">
        <v>2000</v>
      </c>
      <c r="AL186" s="24"/>
      <c r="AM186" s="24"/>
    </row>
    <row r="187" spans="1:39" x14ac:dyDescent="0.2">
      <c r="B187" s="50">
        <v>43689</v>
      </c>
      <c r="C187" s="35">
        <v>0.54166666666666663</v>
      </c>
      <c r="D187" s="35"/>
      <c r="E187" s="35" t="s">
        <v>111</v>
      </c>
      <c r="F187" s="37">
        <v>2</v>
      </c>
      <c r="G187" s="42" t="str">
        <f>VLOOKUP(F187,Key!$A$17:$B$21,2,FALSE)</f>
        <v>Road Vehicle</v>
      </c>
      <c r="H187" s="36">
        <v>7</v>
      </c>
      <c r="I187" s="43" t="str">
        <f>VLOOKUP(H187,Key!$A$2:$B$13,2,FALSE)</f>
        <v xml:space="preserve">Light Truck </v>
      </c>
      <c r="J187" s="37" t="s">
        <v>123</v>
      </c>
      <c r="K187" s="13">
        <v>3</v>
      </c>
      <c r="L187" s="45" t="str">
        <f>VLOOKUP(K187,Key!$A$24:$B$29,2,FALSE)</f>
        <v>40-49</v>
      </c>
      <c r="M187" s="44" t="s">
        <v>167</v>
      </c>
      <c r="N187" s="32" t="s">
        <v>167</v>
      </c>
      <c r="O187" s="37" t="s">
        <v>168</v>
      </c>
      <c r="P187" s="39">
        <v>4</v>
      </c>
      <c r="Q187" s="34" t="str">
        <f>VLOOKUP(P187,Key!$E$2:$F$9,2,FALSE)</f>
        <v>Commercial</v>
      </c>
      <c r="R187" s="37" t="s">
        <v>176</v>
      </c>
      <c r="S187" s="32" t="s">
        <v>176</v>
      </c>
      <c r="T187" s="37" t="s">
        <v>168</v>
      </c>
      <c r="U187" s="32">
        <v>1</v>
      </c>
      <c r="V187" s="34" t="str">
        <f>VLOOKUP(U187,Key!$E$2:$F$9,2,FALSE)</f>
        <v>Home</v>
      </c>
      <c r="W187" s="34" t="str">
        <f t="shared" si="6"/>
        <v>Commercial-Home</v>
      </c>
      <c r="X187" s="47">
        <v>100000</v>
      </c>
      <c r="Y187" s="38">
        <v>80</v>
      </c>
      <c r="Z187" s="38">
        <v>3</v>
      </c>
      <c r="AA187" s="32">
        <v>10</v>
      </c>
      <c r="AB187" s="34" t="str">
        <f>VLOOKUP(AA187,Key!$C$20:$D$29,2,FALSE)</f>
        <v>Other</v>
      </c>
      <c r="AC187" s="32">
        <v>2</v>
      </c>
      <c r="AD187" s="34" t="str">
        <f>VLOOKUP(AC187,Key!$E$20:$F$24,2,FALSE)</f>
        <v>300,000-500,000</v>
      </c>
      <c r="AE187" s="32">
        <v>2</v>
      </c>
      <c r="AF187" s="55">
        <v>3</v>
      </c>
      <c r="AG187" s="55">
        <v>4</v>
      </c>
      <c r="AH187" s="55">
        <v>1</v>
      </c>
      <c r="AI187" s="55">
        <v>5</v>
      </c>
      <c r="AJ187" s="39" t="s">
        <v>104</v>
      </c>
      <c r="AK187" s="40">
        <v>2000</v>
      </c>
      <c r="AL187" s="24"/>
      <c r="AM187" s="24"/>
    </row>
    <row r="188" spans="1:39" x14ac:dyDescent="0.2">
      <c r="A188" s="10"/>
      <c r="B188" s="50">
        <v>43686</v>
      </c>
      <c r="C188" s="35">
        <v>0.51527777777777783</v>
      </c>
      <c r="D188" s="35"/>
      <c r="E188" s="35" t="s">
        <v>111</v>
      </c>
      <c r="F188" s="37">
        <v>2</v>
      </c>
      <c r="G188" s="42" t="str">
        <f>VLOOKUP(F188,Key!$A$17:$B$21,2,FALSE)</f>
        <v>Road Vehicle</v>
      </c>
      <c r="H188" s="36">
        <v>7</v>
      </c>
      <c r="I188" s="43" t="str">
        <f>VLOOKUP(H188,Key!$A$2:$B$13,2,FALSE)</f>
        <v xml:space="preserve">Light Truck </v>
      </c>
      <c r="J188" s="37" t="s">
        <v>123</v>
      </c>
      <c r="K188" s="37">
        <v>3</v>
      </c>
      <c r="L188" s="45" t="str">
        <f>VLOOKUP(K188,Key!$A$24:$B$29,2,FALSE)</f>
        <v>40-49</v>
      </c>
      <c r="M188" s="37" t="s">
        <v>176</v>
      </c>
      <c r="N188" s="32" t="s">
        <v>176</v>
      </c>
      <c r="O188" s="37" t="s">
        <v>168</v>
      </c>
      <c r="P188" s="39">
        <v>2</v>
      </c>
      <c r="Q188" s="34" t="str">
        <f>VLOOKUP(P188,Key!$E$2:$F$9,2,FALSE)</f>
        <v>Work</v>
      </c>
      <c r="R188" s="37" t="s">
        <v>167</v>
      </c>
      <c r="S188" s="32" t="s">
        <v>167</v>
      </c>
      <c r="T188" s="37" t="s">
        <v>168</v>
      </c>
      <c r="U188" s="32">
        <v>4</v>
      </c>
      <c r="V188" s="34" t="str">
        <f>VLOOKUP(U188,Key!$E$2:$F$9,2,FALSE)</f>
        <v>Commercial</v>
      </c>
      <c r="W188" s="34" t="str">
        <f t="shared" si="6"/>
        <v>Work-Commercial</v>
      </c>
      <c r="X188" s="47">
        <v>60000</v>
      </c>
      <c r="Y188" s="38">
        <v>80</v>
      </c>
      <c r="Z188" s="38">
        <v>3</v>
      </c>
      <c r="AA188" s="32">
        <v>6</v>
      </c>
      <c r="AB188" s="34" t="str">
        <f>VLOOKUP(AA188,Key!$C$20:$D$29,2,FALSE)</f>
        <v>Businessman</v>
      </c>
      <c r="AC188" s="32">
        <v>4</v>
      </c>
      <c r="AD188" s="34" t="str">
        <f>VLOOKUP(AC188,Key!$E$20:$F$24,2,FALSE)</f>
        <v>750,000-1,000,000</v>
      </c>
      <c r="AE188" s="32">
        <v>2</v>
      </c>
      <c r="AF188" s="55">
        <v>3</v>
      </c>
      <c r="AG188" s="55">
        <v>4</v>
      </c>
      <c r="AH188" s="55">
        <v>1</v>
      </c>
      <c r="AI188" s="55">
        <v>3</v>
      </c>
      <c r="AJ188" s="39" t="s">
        <v>104</v>
      </c>
      <c r="AK188" s="40"/>
      <c r="AL188" s="24"/>
      <c r="AM188" s="24"/>
    </row>
    <row r="189" spans="1:39" x14ac:dyDescent="0.2">
      <c r="B189" s="50">
        <v>43687</v>
      </c>
      <c r="C189" s="35">
        <v>0.5131944444444444</v>
      </c>
      <c r="D189" s="35"/>
      <c r="E189" s="35" t="s">
        <v>111</v>
      </c>
      <c r="F189" s="37">
        <v>2</v>
      </c>
      <c r="G189" s="42" t="str">
        <f>VLOOKUP(F189,Key!$A$17:$B$21,2,FALSE)</f>
        <v>Road Vehicle</v>
      </c>
      <c r="H189" s="36">
        <v>7</v>
      </c>
      <c r="I189" s="43" t="str">
        <f>VLOOKUP(H189,Key!$A$2:$B$13,2,FALSE)</f>
        <v xml:space="preserve">Light Truck </v>
      </c>
      <c r="J189" s="37" t="s">
        <v>123</v>
      </c>
      <c r="K189" s="37">
        <v>3</v>
      </c>
      <c r="L189" s="45" t="str">
        <f>VLOOKUP(K189,Key!$A$24:$B$29,2,FALSE)</f>
        <v>40-49</v>
      </c>
      <c r="M189" s="37" t="s">
        <v>179</v>
      </c>
      <c r="N189" s="32" t="s">
        <v>179</v>
      </c>
      <c r="O189" s="37" t="s">
        <v>168</v>
      </c>
      <c r="P189" s="39">
        <v>1</v>
      </c>
      <c r="Q189" s="34" t="str">
        <f>VLOOKUP(P189,Key!$E$2:$F$9,2,FALSE)</f>
        <v>Home</v>
      </c>
      <c r="R189" s="37" t="s">
        <v>217</v>
      </c>
      <c r="S189" s="32" t="s">
        <v>176</v>
      </c>
      <c r="T189" s="37" t="s">
        <v>168</v>
      </c>
      <c r="U189" s="32">
        <v>4</v>
      </c>
      <c r="V189" s="34" t="str">
        <f>VLOOKUP(U189,Key!$E$2:$F$9,2,FALSE)</f>
        <v>Commercial</v>
      </c>
      <c r="W189" s="34" t="str">
        <f t="shared" si="6"/>
        <v>Home-Commercial</v>
      </c>
      <c r="X189" s="47">
        <v>75000</v>
      </c>
      <c r="Y189" s="38">
        <v>100</v>
      </c>
      <c r="Z189" s="38">
        <v>3</v>
      </c>
      <c r="AA189" s="32">
        <v>6</v>
      </c>
      <c r="AB189" s="34" t="str">
        <f>VLOOKUP(AA189,Key!$C$20:$D$29,2,FALSE)</f>
        <v>Businessman</v>
      </c>
      <c r="AC189" s="32">
        <v>4</v>
      </c>
      <c r="AD189" s="34" t="str">
        <f>VLOOKUP(AC189,Key!$E$20:$F$24,2,FALSE)</f>
        <v>750,000-1,000,000</v>
      </c>
      <c r="AE189" s="32">
        <v>1</v>
      </c>
      <c r="AF189" s="55">
        <v>1</v>
      </c>
      <c r="AG189" s="55">
        <v>2</v>
      </c>
      <c r="AH189" s="55">
        <v>1</v>
      </c>
      <c r="AI189" s="55">
        <v>5</v>
      </c>
      <c r="AJ189" s="39" t="s">
        <v>104</v>
      </c>
      <c r="AK189" s="40">
        <v>1500</v>
      </c>
      <c r="AL189" s="24"/>
      <c r="AM189" s="24"/>
    </row>
    <row r="190" spans="1:39" x14ac:dyDescent="0.2">
      <c r="B190" s="50">
        <v>43689</v>
      </c>
      <c r="C190" s="35">
        <v>0.47569444444444442</v>
      </c>
      <c r="D190" s="35"/>
      <c r="E190" s="35" t="s">
        <v>111</v>
      </c>
      <c r="F190" s="37">
        <v>2</v>
      </c>
      <c r="G190" s="42" t="str">
        <f>VLOOKUP(F190,Key!$A$17:$B$21,2,FALSE)</f>
        <v>Road Vehicle</v>
      </c>
      <c r="H190" s="36">
        <v>7</v>
      </c>
      <c r="I190" s="43" t="str">
        <f>VLOOKUP(H190,Key!$A$2:$B$13,2,FALSE)</f>
        <v xml:space="preserve">Light Truck </v>
      </c>
      <c r="J190" s="37" t="s">
        <v>123</v>
      </c>
      <c r="K190" s="37">
        <v>4</v>
      </c>
      <c r="L190" s="45" t="str">
        <f>VLOOKUP(K190,Key!$A$24:$B$29,2,FALSE)</f>
        <v>50-59</v>
      </c>
      <c r="M190" s="37" t="s">
        <v>279</v>
      </c>
      <c r="N190" s="32" t="s">
        <v>190</v>
      </c>
      <c r="O190" s="37" t="s">
        <v>168</v>
      </c>
      <c r="P190" s="39">
        <v>1</v>
      </c>
      <c r="Q190" s="34" t="str">
        <f>VLOOKUP(P190,Key!$E$2:$F$9,2,FALSE)</f>
        <v>Home</v>
      </c>
      <c r="R190" s="37" t="s">
        <v>203</v>
      </c>
      <c r="S190" s="32" t="s">
        <v>167</v>
      </c>
      <c r="T190" s="37" t="s">
        <v>168</v>
      </c>
      <c r="U190" s="32">
        <v>2</v>
      </c>
      <c r="V190" s="34" t="str">
        <f>VLOOKUP(U190,Key!$E$2:$F$9,2,FALSE)</f>
        <v>Work</v>
      </c>
      <c r="W190" s="34" t="str">
        <f t="shared" si="6"/>
        <v>Home-Work</v>
      </c>
      <c r="X190" s="47">
        <v>40000</v>
      </c>
      <c r="Y190" s="38">
        <v>70</v>
      </c>
      <c r="Z190" s="38">
        <v>2</v>
      </c>
      <c r="AA190" s="32">
        <v>7</v>
      </c>
      <c r="AB190" s="34" t="str">
        <f>VLOOKUP(AA190,Key!$C$20:$D$29,2,FALSE)</f>
        <v>Farmer</v>
      </c>
      <c r="AC190" s="32">
        <v>5</v>
      </c>
      <c r="AD190" s="34" t="str">
        <f>VLOOKUP(AC190,Key!$E$20:$F$24,2,FALSE)</f>
        <v>&gt;1,000,000</v>
      </c>
      <c r="AE190" s="32">
        <v>2</v>
      </c>
      <c r="AF190" s="55">
        <v>1</v>
      </c>
      <c r="AG190" s="55">
        <v>3</v>
      </c>
      <c r="AH190" s="55">
        <v>1</v>
      </c>
      <c r="AI190" s="55">
        <v>2</v>
      </c>
      <c r="AJ190" s="39" t="s">
        <v>104</v>
      </c>
      <c r="AK190" s="40"/>
      <c r="AL190" s="24"/>
      <c r="AM190" s="24"/>
    </row>
    <row r="191" spans="1:39" hidden="1" x14ac:dyDescent="0.2">
      <c r="B191" s="50">
        <v>43687</v>
      </c>
      <c r="C191" s="35">
        <v>0.4826388888888889</v>
      </c>
      <c r="D191" s="35"/>
      <c r="E191" s="35" t="s">
        <v>111</v>
      </c>
      <c r="F191" s="37">
        <v>2</v>
      </c>
      <c r="G191" s="42" t="str">
        <f>VLOOKUP(F191,Key!$A$17:$B$21,2,FALSE)</f>
        <v>Road Vehicle</v>
      </c>
      <c r="H191" s="36">
        <v>7</v>
      </c>
      <c r="I191" s="43" t="str">
        <f>VLOOKUP(H191,Key!$A$2:$B$13,2,FALSE)</f>
        <v xml:space="preserve">Light Truck </v>
      </c>
      <c r="J191" s="37" t="s">
        <v>123</v>
      </c>
      <c r="K191" s="37">
        <v>2</v>
      </c>
      <c r="L191" s="45" t="str">
        <f>VLOOKUP(K191,Key!$A$24:$B$29,2,FALSE)</f>
        <v>30-39</v>
      </c>
      <c r="M191" s="37" t="s">
        <v>167</v>
      </c>
      <c r="N191" s="32" t="s">
        <v>167</v>
      </c>
      <c r="O191" s="37" t="s">
        <v>168</v>
      </c>
      <c r="P191" s="39">
        <v>2</v>
      </c>
      <c r="Q191" s="34" t="str">
        <f>VLOOKUP(P191,Key!$E$2:$F$9,2,FALSE)</f>
        <v>Work</v>
      </c>
      <c r="R191" s="37" t="s">
        <v>169</v>
      </c>
      <c r="S191" s="32" t="s">
        <v>169</v>
      </c>
      <c r="T191" s="37" t="s">
        <v>168</v>
      </c>
      <c r="U191" s="32">
        <v>4</v>
      </c>
      <c r="V191" s="34" t="str">
        <f>VLOOKUP(U191,Key!$E$2:$F$9,2,FALSE)</f>
        <v>Commercial</v>
      </c>
      <c r="W191" s="34" t="str">
        <f t="shared" si="6"/>
        <v>Work-Commercial</v>
      </c>
      <c r="X191" s="47">
        <v>45000</v>
      </c>
      <c r="Y191" s="38">
        <v>110</v>
      </c>
      <c r="Z191" s="38">
        <v>3.5</v>
      </c>
      <c r="AA191" s="32">
        <v>10</v>
      </c>
      <c r="AB191" s="34" t="str">
        <f>VLOOKUP(AA191,Key!$C$20:$D$29,2,FALSE)</f>
        <v>Other</v>
      </c>
      <c r="AC191" s="32">
        <v>2</v>
      </c>
      <c r="AD191" s="34" t="str">
        <f>VLOOKUP(AC191,Key!$E$20:$F$24,2,FALSE)</f>
        <v>300,000-500,000</v>
      </c>
      <c r="AE191" s="32">
        <v>1</v>
      </c>
      <c r="AF191" s="55">
        <v>2</v>
      </c>
      <c r="AG191" s="55">
        <v>3</v>
      </c>
      <c r="AH191" s="55">
        <v>1</v>
      </c>
      <c r="AI191" s="55">
        <v>3</v>
      </c>
      <c r="AJ191" s="39" t="s">
        <v>104</v>
      </c>
      <c r="AK191" s="40">
        <v>1000</v>
      </c>
      <c r="AL191" s="24"/>
      <c r="AM191" s="24"/>
    </row>
    <row r="192" spans="1:39" hidden="1" x14ac:dyDescent="0.2">
      <c r="B192" s="50">
        <v>43688</v>
      </c>
      <c r="C192" s="35">
        <v>0.71319444444444446</v>
      </c>
      <c r="D192" s="35"/>
      <c r="E192" s="35" t="s">
        <v>111</v>
      </c>
      <c r="F192" s="37">
        <v>2</v>
      </c>
      <c r="G192" s="42" t="str">
        <f>VLOOKUP(F192,Key!$A$17:$B$21,2,FALSE)</f>
        <v>Road Vehicle</v>
      </c>
      <c r="H192" s="36">
        <v>7</v>
      </c>
      <c r="I192" s="43" t="str">
        <f>VLOOKUP(H192,Key!$A$2:$B$13,2,FALSE)</f>
        <v xml:space="preserve">Light Truck </v>
      </c>
      <c r="J192" s="37" t="s">
        <v>123</v>
      </c>
      <c r="K192" s="37">
        <v>2</v>
      </c>
      <c r="L192" s="45" t="str">
        <f>VLOOKUP(K192,Key!$A$24:$B$29,2,FALSE)</f>
        <v>30-39</v>
      </c>
      <c r="M192" s="37" t="s">
        <v>179</v>
      </c>
      <c r="N192" s="32" t="s">
        <v>179</v>
      </c>
      <c r="O192" s="37" t="s">
        <v>168</v>
      </c>
      <c r="P192" s="39">
        <v>1</v>
      </c>
      <c r="Q192" s="34" t="str">
        <f>VLOOKUP(P192,Key!$E$2:$F$9,2,FALSE)</f>
        <v>Home</v>
      </c>
      <c r="R192" s="37" t="s">
        <v>176</v>
      </c>
      <c r="S192" s="32" t="s">
        <v>176</v>
      </c>
      <c r="T192" s="37" t="s">
        <v>168</v>
      </c>
      <c r="U192" s="32">
        <v>4</v>
      </c>
      <c r="V192" s="34" t="str">
        <f>VLOOKUP(U192,Key!$E$2:$F$9,2,FALSE)</f>
        <v>Commercial</v>
      </c>
      <c r="W192" s="34" t="str">
        <f t="shared" si="6"/>
        <v>Home-Commercial</v>
      </c>
      <c r="X192" s="47">
        <v>80000</v>
      </c>
      <c r="Y192" s="38">
        <v>130</v>
      </c>
      <c r="Z192" s="38">
        <v>4</v>
      </c>
      <c r="AA192" s="32">
        <v>6</v>
      </c>
      <c r="AB192" s="34" t="str">
        <f>VLOOKUP(AA192,Key!$C$20:$D$29,2,FALSE)</f>
        <v>Businessman</v>
      </c>
      <c r="AC192" s="32">
        <v>2</v>
      </c>
      <c r="AD192" s="34" t="str">
        <f>VLOOKUP(AC192,Key!$E$20:$F$24,2,FALSE)</f>
        <v>300,000-500,000</v>
      </c>
      <c r="AE192" s="32">
        <v>3</v>
      </c>
      <c r="AF192" s="55">
        <v>3</v>
      </c>
      <c r="AG192" s="55">
        <v>4</v>
      </c>
      <c r="AH192" s="55">
        <v>2</v>
      </c>
      <c r="AI192" s="55">
        <v>3</v>
      </c>
      <c r="AJ192" s="39" t="s">
        <v>104</v>
      </c>
      <c r="AK192" s="40">
        <v>1000</v>
      </c>
      <c r="AL192" s="24"/>
      <c r="AM192" s="24"/>
    </row>
    <row r="193" spans="2:39" hidden="1" x14ac:dyDescent="0.2">
      <c r="B193" s="50">
        <v>43690</v>
      </c>
      <c r="C193" s="35">
        <v>0.65625</v>
      </c>
      <c r="D193" s="35"/>
      <c r="E193" s="35" t="s">
        <v>111</v>
      </c>
      <c r="F193" s="37">
        <v>2</v>
      </c>
      <c r="G193" s="42" t="str">
        <f>VLOOKUP(F193,Key!$A$17:$B$21,2,FALSE)</f>
        <v>Road Vehicle</v>
      </c>
      <c r="H193" s="36">
        <v>7</v>
      </c>
      <c r="I193" s="43" t="str">
        <f>VLOOKUP(H193,Key!$A$2:$B$13,2,FALSE)</f>
        <v xml:space="preserve">Light Truck </v>
      </c>
      <c r="J193" s="37" t="s">
        <v>123</v>
      </c>
      <c r="K193" s="37">
        <v>2</v>
      </c>
      <c r="L193" s="45" t="str">
        <f>VLOOKUP(K193,Key!$A$24:$B$29,2,FALSE)</f>
        <v>30-39</v>
      </c>
      <c r="M193" s="37" t="s">
        <v>169</v>
      </c>
      <c r="N193" s="32" t="s">
        <v>169</v>
      </c>
      <c r="O193" s="37" t="s">
        <v>168</v>
      </c>
      <c r="P193" s="39">
        <v>2</v>
      </c>
      <c r="Q193" s="34" t="str">
        <f>VLOOKUP(P193,Key!$E$2:$F$9,2,FALSE)</f>
        <v>Work</v>
      </c>
      <c r="R193" s="37" t="s">
        <v>167</v>
      </c>
      <c r="S193" s="32" t="s">
        <v>167</v>
      </c>
      <c r="T193" s="37" t="s">
        <v>168</v>
      </c>
      <c r="U193" s="32">
        <v>4</v>
      </c>
      <c r="V193" s="34" t="str">
        <f>VLOOKUP(U193,Key!$E$2:$F$9,2,FALSE)</f>
        <v>Commercial</v>
      </c>
      <c r="W193" s="34" t="str">
        <f t="shared" si="6"/>
        <v>Work-Commercial</v>
      </c>
      <c r="X193" s="47">
        <v>80000</v>
      </c>
      <c r="Y193" s="38">
        <v>140</v>
      </c>
      <c r="Z193" s="38">
        <v>2</v>
      </c>
      <c r="AA193" s="32">
        <v>6</v>
      </c>
      <c r="AB193" s="34" t="str">
        <f>VLOOKUP(AA193,Key!$C$20:$D$29,2,FALSE)</f>
        <v>Businessman</v>
      </c>
      <c r="AC193" s="32">
        <v>5</v>
      </c>
      <c r="AD193" s="34" t="str">
        <f>VLOOKUP(AC193,Key!$E$20:$F$24,2,FALSE)</f>
        <v>&gt;1,000,000</v>
      </c>
      <c r="AE193" s="32">
        <v>2</v>
      </c>
      <c r="AF193" s="55">
        <v>3</v>
      </c>
      <c r="AG193" s="55">
        <v>2</v>
      </c>
      <c r="AH193" s="55">
        <v>1</v>
      </c>
      <c r="AI193" s="55">
        <v>4</v>
      </c>
      <c r="AJ193" s="39" t="s">
        <v>104</v>
      </c>
      <c r="AK193" s="40">
        <v>5000</v>
      </c>
      <c r="AL193" s="24"/>
      <c r="AM193" s="24"/>
    </row>
    <row r="194" spans="2:39" hidden="1" x14ac:dyDescent="0.2">
      <c r="B194" s="50">
        <v>43689</v>
      </c>
      <c r="C194" s="35">
        <v>0.5083333333333333</v>
      </c>
      <c r="D194" s="35"/>
      <c r="E194" s="35" t="s">
        <v>111</v>
      </c>
      <c r="F194" s="37">
        <v>2</v>
      </c>
      <c r="G194" s="42" t="str">
        <f>VLOOKUP(F194,Key!$A$17:$B$21,2,FALSE)</f>
        <v>Road Vehicle</v>
      </c>
      <c r="H194" s="36">
        <v>7</v>
      </c>
      <c r="I194" s="43" t="str">
        <f>VLOOKUP(H194,Key!$A$2:$B$13,2,FALSE)</f>
        <v xml:space="preserve">Light Truck </v>
      </c>
      <c r="J194" s="37" t="s">
        <v>123</v>
      </c>
      <c r="K194" s="13">
        <v>1</v>
      </c>
      <c r="L194" s="45" t="str">
        <f>VLOOKUP(K194,Key!$A$24:$B$29,2,FALSE)</f>
        <v>20-29</v>
      </c>
      <c r="M194" s="44" t="s">
        <v>167</v>
      </c>
      <c r="N194" s="32" t="s">
        <v>167</v>
      </c>
      <c r="O194" s="37" t="s">
        <v>168</v>
      </c>
      <c r="P194" s="39">
        <v>2</v>
      </c>
      <c r="Q194" s="34" t="str">
        <f>VLOOKUP(P194,Key!$E$2:$F$9,2,FALSE)</f>
        <v>Work</v>
      </c>
      <c r="R194" s="37" t="s">
        <v>169</v>
      </c>
      <c r="S194" s="32" t="s">
        <v>169</v>
      </c>
      <c r="T194" s="37" t="s">
        <v>168</v>
      </c>
      <c r="U194" s="32">
        <v>4</v>
      </c>
      <c r="V194" s="34" t="str">
        <f>VLOOKUP(U194,Key!$E$2:$F$9,2,FALSE)</f>
        <v>Commercial</v>
      </c>
      <c r="W194" s="34" t="str">
        <f t="shared" si="6"/>
        <v>Work-Commercial</v>
      </c>
      <c r="X194" s="47">
        <v>250000</v>
      </c>
      <c r="Y194" s="38">
        <v>140</v>
      </c>
      <c r="Z194" s="38">
        <v>5</v>
      </c>
      <c r="AA194" s="32">
        <v>10</v>
      </c>
      <c r="AB194" s="34" t="str">
        <f>VLOOKUP(AA194,Key!$C$20:$D$29,2,FALSE)</f>
        <v>Other</v>
      </c>
      <c r="AC194" s="32">
        <v>2</v>
      </c>
      <c r="AD194" s="34" t="str">
        <f>VLOOKUP(AC194,Key!$E$20:$F$24,2,FALSE)</f>
        <v>300,000-500,000</v>
      </c>
      <c r="AE194" s="32">
        <v>2</v>
      </c>
      <c r="AF194" s="55">
        <v>2</v>
      </c>
      <c r="AG194" s="55">
        <v>2</v>
      </c>
      <c r="AH194" s="55">
        <v>1</v>
      </c>
      <c r="AI194" s="55">
        <v>4</v>
      </c>
      <c r="AJ194" s="39" t="s">
        <v>104</v>
      </c>
      <c r="AK194" s="40">
        <v>2000</v>
      </c>
      <c r="AL194" s="24"/>
      <c r="AM194" s="24"/>
    </row>
    <row r="195" spans="2:39" hidden="1" x14ac:dyDescent="0.2">
      <c r="B195" s="50">
        <v>43686</v>
      </c>
      <c r="C195" s="35">
        <v>0.76527777777777783</v>
      </c>
      <c r="D195" s="35"/>
      <c r="E195" s="35" t="s">
        <v>111</v>
      </c>
      <c r="F195" s="37">
        <v>2</v>
      </c>
      <c r="G195" s="42" t="str">
        <f>VLOOKUP(F195,Key!$A$17:$B$21,2,FALSE)</f>
        <v>Road Vehicle</v>
      </c>
      <c r="H195" s="36">
        <v>7</v>
      </c>
      <c r="I195" s="43" t="str">
        <f>VLOOKUP(H195,Key!$A$2:$B$13,2,FALSE)</f>
        <v xml:space="preserve">Light Truck </v>
      </c>
      <c r="J195" s="37" t="s">
        <v>123</v>
      </c>
      <c r="K195" s="13">
        <v>1</v>
      </c>
      <c r="L195" s="45" t="str">
        <f>VLOOKUP(K195,Key!$A$24:$B$29,2,FALSE)</f>
        <v>20-29</v>
      </c>
      <c r="M195" s="44" t="s">
        <v>169</v>
      </c>
      <c r="N195" s="32" t="s">
        <v>169</v>
      </c>
      <c r="O195" s="37" t="s">
        <v>168</v>
      </c>
      <c r="P195" s="39">
        <v>4</v>
      </c>
      <c r="Q195" s="34" t="str">
        <f>VLOOKUP(P195,Key!$E$2:$F$9,2,FALSE)</f>
        <v>Commercial</v>
      </c>
      <c r="R195" s="37" t="s">
        <v>167</v>
      </c>
      <c r="S195" s="32" t="s">
        <v>167</v>
      </c>
      <c r="T195" s="37" t="s">
        <v>168</v>
      </c>
      <c r="U195" s="32">
        <v>1</v>
      </c>
      <c r="V195" s="34" t="str">
        <f>VLOOKUP(U195,Key!$E$2:$F$9,2,FALSE)</f>
        <v>Home</v>
      </c>
      <c r="W195" s="34" t="str">
        <f t="shared" si="6"/>
        <v>Commercial-Home</v>
      </c>
      <c r="X195" s="47">
        <v>160000</v>
      </c>
      <c r="Y195" s="38">
        <v>144</v>
      </c>
      <c r="Z195" s="38">
        <v>5</v>
      </c>
      <c r="AA195" s="32">
        <v>10</v>
      </c>
      <c r="AB195" s="34" t="str">
        <f>VLOOKUP(AA195,Key!$C$20:$D$29,2,FALSE)</f>
        <v>Other</v>
      </c>
      <c r="AC195" s="32">
        <v>2</v>
      </c>
      <c r="AD195" s="34" t="str">
        <f>VLOOKUP(AC195,Key!$E$20:$F$24,2,FALSE)</f>
        <v>300,000-500,000</v>
      </c>
      <c r="AE195" s="32">
        <v>2</v>
      </c>
      <c r="AF195" s="55">
        <v>3</v>
      </c>
      <c r="AG195" s="55">
        <v>5</v>
      </c>
      <c r="AH195" s="55">
        <v>1</v>
      </c>
      <c r="AI195" s="55">
        <v>4</v>
      </c>
      <c r="AJ195" s="39" t="s">
        <v>104</v>
      </c>
      <c r="AK195" s="40"/>
      <c r="AL195" s="24"/>
      <c r="AM195" s="24"/>
    </row>
    <row r="196" spans="2:39" hidden="1" x14ac:dyDescent="0.2">
      <c r="B196" s="50">
        <v>43686</v>
      </c>
      <c r="C196" s="35">
        <v>0.76527777777777783</v>
      </c>
      <c r="D196" s="35"/>
      <c r="E196" s="35" t="s">
        <v>111</v>
      </c>
      <c r="F196" s="37">
        <v>2</v>
      </c>
      <c r="G196" s="42" t="str">
        <f>VLOOKUP(F196,Key!$A$17:$B$21,2,FALSE)</f>
        <v>Road Vehicle</v>
      </c>
      <c r="H196" s="36">
        <v>7</v>
      </c>
      <c r="I196" s="43" t="str">
        <f>VLOOKUP(H196,Key!$A$2:$B$13,2,FALSE)</f>
        <v xml:space="preserve">Light Truck </v>
      </c>
      <c r="J196" s="37" t="s">
        <v>123</v>
      </c>
      <c r="K196" s="37">
        <v>3</v>
      </c>
      <c r="L196" s="45" t="str">
        <f>VLOOKUP(K196,Key!$A$24:$B$29,2,FALSE)</f>
        <v>40-49</v>
      </c>
      <c r="M196" s="44" t="s">
        <v>225</v>
      </c>
      <c r="N196" s="44" t="s">
        <v>190</v>
      </c>
      <c r="O196" s="37" t="s">
        <v>168</v>
      </c>
      <c r="P196" s="39">
        <v>4</v>
      </c>
      <c r="Q196" s="34" t="str">
        <f>VLOOKUP(P196,Key!$E$2:$F$9,2,FALSE)</f>
        <v>Commercial</v>
      </c>
      <c r="R196" s="37" t="s">
        <v>226</v>
      </c>
      <c r="S196" s="32" t="s">
        <v>169</v>
      </c>
      <c r="T196" s="37" t="s">
        <v>168</v>
      </c>
      <c r="U196" s="32">
        <v>2</v>
      </c>
      <c r="V196" s="34" t="str">
        <f>VLOOKUP(U196,Key!$E$2:$F$9,2,FALSE)</f>
        <v>Work</v>
      </c>
      <c r="W196" s="34" t="str">
        <f t="shared" si="6"/>
        <v>Commercial-Work</v>
      </c>
      <c r="X196" s="47">
        <v>100000</v>
      </c>
      <c r="Y196" s="38">
        <v>200</v>
      </c>
      <c r="Z196" s="38">
        <v>5</v>
      </c>
      <c r="AA196" s="32">
        <v>2</v>
      </c>
      <c r="AB196" s="34" t="str">
        <f>VLOOKUP(AA196,Key!$C$20:$D$29,2,FALSE)</f>
        <v>Manual Labour</v>
      </c>
      <c r="AC196" s="32">
        <v>2</v>
      </c>
      <c r="AD196" s="34" t="str">
        <f>VLOOKUP(AC196,Key!$E$20:$F$24,2,FALSE)</f>
        <v>300,000-500,000</v>
      </c>
      <c r="AE196" s="32">
        <v>2</v>
      </c>
      <c r="AF196" s="55">
        <v>2</v>
      </c>
      <c r="AG196" s="55">
        <v>4</v>
      </c>
      <c r="AH196" s="55">
        <v>1</v>
      </c>
      <c r="AI196" s="55">
        <v>1</v>
      </c>
      <c r="AJ196" s="39" t="s">
        <v>104</v>
      </c>
      <c r="AK196" s="40">
        <v>5000</v>
      </c>
      <c r="AL196" s="24"/>
      <c r="AM196" s="24"/>
    </row>
    <row r="197" spans="2:39" hidden="1" x14ac:dyDescent="0.2">
      <c r="B197" s="50">
        <v>43690</v>
      </c>
      <c r="C197" s="35">
        <v>0.61805555555555558</v>
      </c>
      <c r="D197" s="35"/>
      <c r="E197" s="35" t="s">
        <v>111</v>
      </c>
      <c r="F197" s="37">
        <v>2</v>
      </c>
      <c r="G197" s="42" t="str">
        <f>VLOOKUP(F197,Key!$A$17:$B$21,2,FALSE)</f>
        <v>Road Vehicle</v>
      </c>
      <c r="H197" s="36">
        <v>7</v>
      </c>
      <c r="I197" s="43" t="str">
        <f>VLOOKUP(H197,Key!$A$2:$B$13,2,FALSE)</f>
        <v xml:space="preserve">Light Truck </v>
      </c>
      <c r="J197" s="37" t="s">
        <v>123</v>
      </c>
      <c r="K197" s="37">
        <v>3</v>
      </c>
      <c r="L197" s="45" t="str">
        <f>VLOOKUP(K197,Key!$A$24:$B$29,2,FALSE)</f>
        <v>40-49</v>
      </c>
      <c r="M197" s="37" t="s">
        <v>225</v>
      </c>
      <c r="N197" s="32" t="s">
        <v>190</v>
      </c>
      <c r="O197" s="37" t="s">
        <v>168</v>
      </c>
      <c r="P197" s="39">
        <v>4</v>
      </c>
      <c r="Q197" s="34" t="str">
        <f>VLOOKUP(P197,Key!$E$2:$F$9,2,FALSE)</f>
        <v>Commercial</v>
      </c>
      <c r="R197" s="37" t="s">
        <v>235</v>
      </c>
      <c r="S197" s="32" t="s">
        <v>169</v>
      </c>
      <c r="T197" s="37" t="s">
        <v>168</v>
      </c>
      <c r="U197" s="32">
        <v>2</v>
      </c>
      <c r="V197" s="34" t="str">
        <f>VLOOKUP(U197,Key!$E$2:$F$9,2,FALSE)</f>
        <v>Work</v>
      </c>
      <c r="W197" s="34" t="str">
        <f t="shared" si="6"/>
        <v>Commercial-Work</v>
      </c>
      <c r="X197" s="47">
        <v>100000</v>
      </c>
      <c r="Y197" s="38">
        <v>200</v>
      </c>
      <c r="Z197" s="38">
        <v>5</v>
      </c>
      <c r="AA197" s="32">
        <v>2</v>
      </c>
      <c r="AB197" s="34" t="str">
        <f>VLOOKUP(AA197,Key!$C$20:$D$29,2,FALSE)</f>
        <v>Manual Labour</v>
      </c>
      <c r="AC197" s="32">
        <v>2</v>
      </c>
      <c r="AD197" s="34" t="str">
        <f>VLOOKUP(AC197,Key!$E$20:$F$24,2,FALSE)</f>
        <v>300,000-500,000</v>
      </c>
      <c r="AE197" s="32">
        <v>2</v>
      </c>
      <c r="AF197" s="55">
        <v>2</v>
      </c>
      <c r="AG197" s="55">
        <v>4</v>
      </c>
      <c r="AH197" s="55">
        <v>1</v>
      </c>
      <c r="AI197" s="55">
        <v>1</v>
      </c>
      <c r="AJ197" s="39" t="s">
        <v>104</v>
      </c>
      <c r="AK197" s="40">
        <v>5000</v>
      </c>
      <c r="AL197" s="24"/>
      <c r="AM197" s="24"/>
    </row>
    <row r="198" spans="2:39" hidden="1" x14ac:dyDescent="0.2">
      <c r="B198" s="50">
        <v>43687</v>
      </c>
      <c r="C198" s="35">
        <v>0.48125000000000001</v>
      </c>
      <c r="D198" s="35"/>
      <c r="E198" s="35" t="s">
        <v>111</v>
      </c>
      <c r="F198" s="37">
        <v>2</v>
      </c>
      <c r="G198" s="42" t="str">
        <f>VLOOKUP(F198,Key!$A$17:$B$21,2,FALSE)</f>
        <v>Road Vehicle</v>
      </c>
      <c r="H198" s="36">
        <v>7</v>
      </c>
      <c r="I198" s="43" t="str">
        <f>VLOOKUP(H198,Key!$A$2:$B$13,2,FALSE)</f>
        <v xml:space="preserve">Light Truck </v>
      </c>
      <c r="J198" s="37" t="s">
        <v>123</v>
      </c>
      <c r="K198" s="37">
        <v>3</v>
      </c>
      <c r="L198" s="45" t="str">
        <f>VLOOKUP(K198,Key!$A$24:$B$29,2,FALSE)</f>
        <v>40-49</v>
      </c>
      <c r="M198" s="37" t="s">
        <v>300</v>
      </c>
      <c r="N198" s="32" t="s">
        <v>300</v>
      </c>
      <c r="O198" s="37" t="s">
        <v>168</v>
      </c>
      <c r="P198" s="39">
        <v>1</v>
      </c>
      <c r="Q198" s="34" t="str">
        <f>VLOOKUP(P198,Key!$E$2:$F$9,2,FALSE)</f>
        <v>Home</v>
      </c>
      <c r="R198" s="37" t="s">
        <v>327</v>
      </c>
      <c r="S198" s="32" t="s">
        <v>327</v>
      </c>
      <c r="T198" s="37" t="s">
        <v>168</v>
      </c>
      <c r="U198" s="32">
        <v>2</v>
      </c>
      <c r="V198" s="34" t="str">
        <f>VLOOKUP(U198,Key!$E$2:$F$9,2,FALSE)</f>
        <v>Work</v>
      </c>
      <c r="W198" s="34" t="str">
        <f t="shared" si="6"/>
        <v>Home-Work</v>
      </c>
      <c r="X198" s="47">
        <v>120000</v>
      </c>
      <c r="Y198" s="38">
        <v>240</v>
      </c>
      <c r="Z198" s="38">
        <v>5</v>
      </c>
      <c r="AA198" s="32">
        <v>5</v>
      </c>
      <c r="AB198" s="34" t="str">
        <f>VLOOKUP(AA198,Key!$C$20:$D$29,2,FALSE)</f>
        <v>Professional</v>
      </c>
      <c r="AC198" s="32">
        <v>4</v>
      </c>
      <c r="AD198" s="34" t="str">
        <f>VLOOKUP(AC198,Key!$E$20:$F$24,2,FALSE)</f>
        <v>750,000-1,000,000</v>
      </c>
      <c r="AE198" s="32">
        <v>1</v>
      </c>
      <c r="AF198" s="55">
        <v>1</v>
      </c>
      <c r="AG198" s="55">
        <v>1</v>
      </c>
      <c r="AH198" s="55">
        <v>1</v>
      </c>
      <c r="AI198" s="55">
        <v>1</v>
      </c>
      <c r="AJ198" s="39" t="s">
        <v>104</v>
      </c>
      <c r="AK198" s="40">
        <v>10000</v>
      </c>
      <c r="AL198" s="24"/>
      <c r="AM198" s="24"/>
    </row>
    <row r="199" spans="2:39" hidden="1" x14ac:dyDescent="0.2">
      <c r="B199" s="50">
        <v>43687</v>
      </c>
      <c r="C199" s="35">
        <v>0.52222222222222225</v>
      </c>
      <c r="D199" s="35"/>
      <c r="E199" s="35" t="s">
        <v>111</v>
      </c>
      <c r="F199" s="37">
        <v>2</v>
      </c>
      <c r="G199" s="42" t="str">
        <f>VLOOKUP(F199,Key!$A$17:$B$21,2,FALSE)</f>
        <v>Road Vehicle</v>
      </c>
      <c r="H199" s="36">
        <v>7</v>
      </c>
      <c r="I199" s="43" t="str">
        <f>VLOOKUP(H199,Key!$A$2:$B$13,2,FALSE)</f>
        <v xml:space="preserve">Light Truck </v>
      </c>
      <c r="J199" s="37" t="s">
        <v>123</v>
      </c>
      <c r="K199" s="37">
        <v>2</v>
      </c>
      <c r="L199" s="45" t="str">
        <f>VLOOKUP(K199,Key!$A$24:$B$29,2,FALSE)</f>
        <v>30-39</v>
      </c>
      <c r="M199" s="44" t="s">
        <v>187</v>
      </c>
      <c r="N199" s="44" t="s">
        <v>167</v>
      </c>
      <c r="O199" s="37" t="s">
        <v>168</v>
      </c>
      <c r="P199" s="39">
        <v>2</v>
      </c>
      <c r="Q199" s="34" t="str">
        <f>VLOOKUP(P199,Key!$E$2:$F$9,2,FALSE)</f>
        <v>Work</v>
      </c>
      <c r="R199" s="37" t="s">
        <v>169</v>
      </c>
      <c r="S199" s="32" t="s">
        <v>188</v>
      </c>
      <c r="T199" s="37" t="s">
        <v>168</v>
      </c>
      <c r="U199" s="32">
        <v>4</v>
      </c>
      <c r="V199" s="34" t="str">
        <f>VLOOKUP(U199,Key!$E$2:$F$9,2,FALSE)</f>
        <v>Commercial</v>
      </c>
      <c r="W199" s="34" t="str">
        <f t="shared" si="6"/>
        <v>Work-Commercial</v>
      </c>
      <c r="X199" s="47">
        <v>150000</v>
      </c>
      <c r="Y199" s="38">
        <v>250</v>
      </c>
      <c r="Z199" s="38">
        <v>6</v>
      </c>
      <c r="AA199" s="32">
        <v>6</v>
      </c>
      <c r="AB199" s="34" t="str">
        <f>VLOOKUP(AA199,Key!$C$20:$D$29,2,FALSE)</f>
        <v>Businessman</v>
      </c>
      <c r="AC199" s="32">
        <v>3</v>
      </c>
      <c r="AD199" s="34" t="str">
        <f>VLOOKUP(AC199,Key!$E$20:$F$24,2,FALSE)</f>
        <v>500,000-750,000</v>
      </c>
      <c r="AE199" s="32">
        <v>1</v>
      </c>
      <c r="AF199" s="55">
        <v>1</v>
      </c>
      <c r="AG199" s="55">
        <v>1</v>
      </c>
      <c r="AH199" s="55">
        <v>1</v>
      </c>
      <c r="AI199" s="55">
        <v>1</v>
      </c>
      <c r="AJ199" s="39" t="s">
        <v>104</v>
      </c>
      <c r="AK199" s="40">
        <v>3000</v>
      </c>
      <c r="AL199" s="24"/>
      <c r="AM199" s="24"/>
    </row>
    <row r="200" spans="2:39" hidden="1" x14ac:dyDescent="0.2">
      <c r="B200" s="50">
        <v>43687</v>
      </c>
      <c r="C200" s="35">
        <v>0.55208333333333337</v>
      </c>
      <c r="D200" s="35"/>
      <c r="E200" s="35" t="s">
        <v>111</v>
      </c>
      <c r="F200" s="37">
        <v>2</v>
      </c>
      <c r="G200" s="42" t="str">
        <f>VLOOKUP(F200,Key!$A$17:$B$21,2,FALSE)</f>
        <v>Road Vehicle</v>
      </c>
      <c r="H200" s="36">
        <v>7</v>
      </c>
      <c r="I200" s="43" t="str">
        <f>VLOOKUP(H200,Key!$A$2:$B$13,2,FALSE)</f>
        <v xml:space="preserve">Light Truck </v>
      </c>
      <c r="J200" s="37" t="s">
        <v>123</v>
      </c>
      <c r="K200" s="37">
        <v>2</v>
      </c>
      <c r="L200" s="45" t="str">
        <f>VLOOKUP(K200,Key!$A$24:$B$29,2,FALSE)</f>
        <v>30-39</v>
      </c>
      <c r="M200" s="44" t="s">
        <v>231</v>
      </c>
      <c r="N200" s="44" t="s">
        <v>169</v>
      </c>
      <c r="O200" s="37" t="s">
        <v>168</v>
      </c>
      <c r="P200" s="39">
        <v>2</v>
      </c>
      <c r="Q200" s="34" t="str">
        <f>VLOOKUP(P200,Key!$E$2:$F$9,2,FALSE)</f>
        <v>Work</v>
      </c>
      <c r="R200" s="37" t="s">
        <v>232</v>
      </c>
      <c r="S200" s="32" t="s">
        <v>188</v>
      </c>
      <c r="T200" s="37" t="s">
        <v>168</v>
      </c>
      <c r="U200" s="32">
        <v>4</v>
      </c>
      <c r="V200" s="34" t="str">
        <f>VLOOKUP(U200,Key!$E$2:$F$9,2,FALSE)</f>
        <v>Commercial</v>
      </c>
      <c r="W200" s="34" t="str">
        <f t="shared" si="6"/>
        <v>Work-Commercial</v>
      </c>
      <c r="X200" s="47">
        <v>150000</v>
      </c>
      <c r="Y200" s="38">
        <v>250</v>
      </c>
      <c r="Z200" s="38">
        <v>6</v>
      </c>
      <c r="AA200" s="32">
        <v>6</v>
      </c>
      <c r="AB200" s="34" t="str">
        <f>VLOOKUP(AA200,Key!$C$20:$D$29,2,FALSE)</f>
        <v>Businessman</v>
      </c>
      <c r="AC200" s="32">
        <v>3</v>
      </c>
      <c r="AD200" s="34" t="str">
        <f>VLOOKUP(AC200,Key!$E$20:$F$24,2,FALSE)</f>
        <v>500,000-750,000</v>
      </c>
      <c r="AE200" s="32">
        <v>1</v>
      </c>
      <c r="AF200" s="55">
        <v>1</v>
      </c>
      <c r="AG200" s="55">
        <v>1</v>
      </c>
      <c r="AH200" s="55">
        <v>1</v>
      </c>
      <c r="AI200" s="55">
        <v>1</v>
      </c>
      <c r="AJ200" s="39" t="s">
        <v>104</v>
      </c>
      <c r="AK200" s="40">
        <v>3000</v>
      </c>
      <c r="AL200" s="24"/>
      <c r="AM200" s="24"/>
    </row>
    <row r="201" spans="2:39" hidden="1" x14ac:dyDescent="0.2">
      <c r="B201" s="50">
        <v>43687</v>
      </c>
      <c r="C201" s="35">
        <v>0.64722222222222225</v>
      </c>
      <c r="D201" s="35"/>
      <c r="E201" s="35" t="s">
        <v>111</v>
      </c>
      <c r="F201" s="37">
        <v>2</v>
      </c>
      <c r="G201" s="42" t="str">
        <f>VLOOKUP(F201,Key!$A$17:$B$21,2,FALSE)</f>
        <v>Road Vehicle</v>
      </c>
      <c r="H201" s="36">
        <v>7</v>
      </c>
      <c r="I201" s="43" t="str">
        <f>VLOOKUP(H201,Key!$A$2:$B$13,2,FALSE)</f>
        <v xml:space="preserve">Light Truck </v>
      </c>
      <c r="J201" s="37" t="s">
        <v>123</v>
      </c>
      <c r="K201" s="37">
        <v>2</v>
      </c>
      <c r="L201" s="45" t="str">
        <f>VLOOKUP(K201,Key!$A$24:$B$29,2,FALSE)</f>
        <v>30-39</v>
      </c>
      <c r="M201" s="37" t="s">
        <v>167</v>
      </c>
      <c r="N201" s="32" t="s">
        <v>167</v>
      </c>
      <c r="O201" s="37" t="s">
        <v>168</v>
      </c>
      <c r="P201" s="39">
        <v>2</v>
      </c>
      <c r="Q201" s="34" t="str">
        <f>VLOOKUP(P201,Key!$E$2:$F$9,2,FALSE)</f>
        <v>Work</v>
      </c>
      <c r="R201" s="37" t="s">
        <v>236</v>
      </c>
      <c r="S201" s="32" t="s">
        <v>236</v>
      </c>
      <c r="T201" s="37" t="s">
        <v>168</v>
      </c>
      <c r="U201" s="32">
        <v>4</v>
      </c>
      <c r="V201" s="34" t="str">
        <f>VLOOKUP(U201,Key!$E$2:$F$9,2,FALSE)</f>
        <v>Commercial</v>
      </c>
      <c r="W201" s="34" t="str">
        <f t="shared" si="6"/>
        <v>Work-Commercial</v>
      </c>
      <c r="X201" s="47">
        <v>100000</v>
      </c>
      <c r="Y201" s="38">
        <v>250</v>
      </c>
      <c r="Z201" s="38">
        <v>6</v>
      </c>
      <c r="AA201" s="32">
        <v>6</v>
      </c>
      <c r="AB201" s="34" t="str">
        <f>VLOOKUP(AA201,Key!$C$20:$D$29,2,FALSE)</f>
        <v>Businessman</v>
      </c>
      <c r="AC201" s="32">
        <v>2</v>
      </c>
      <c r="AD201" s="34" t="str">
        <f>VLOOKUP(AC201,Key!$E$20:$F$24,2,FALSE)</f>
        <v>300,000-500,000</v>
      </c>
      <c r="AE201" s="32">
        <v>2</v>
      </c>
      <c r="AF201" s="55">
        <v>3</v>
      </c>
      <c r="AG201" s="55">
        <v>4</v>
      </c>
      <c r="AH201" s="55">
        <v>1</v>
      </c>
      <c r="AI201" s="55">
        <v>5</v>
      </c>
      <c r="AJ201" s="39" t="s">
        <v>104</v>
      </c>
      <c r="AK201" s="40">
        <v>5000</v>
      </c>
      <c r="AL201" s="24"/>
      <c r="AM201" s="24"/>
    </row>
    <row r="202" spans="2:39" hidden="1" x14ac:dyDescent="0.2">
      <c r="B202" s="50">
        <v>43690</v>
      </c>
      <c r="C202" s="35">
        <v>0.71250000000000002</v>
      </c>
      <c r="D202" s="35"/>
      <c r="E202" s="35" t="s">
        <v>111</v>
      </c>
      <c r="F202" s="37">
        <v>2</v>
      </c>
      <c r="G202" s="42" t="str">
        <f>VLOOKUP(F202,Key!$A$17:$B$21,2,FALSE)</f>
        <v>Road Vehicle</v>
      </c>
      <c r="H202" s="36">
        <v>7</v>
      </c>
      <c r="I202" s="43" t="str">
        <f>VLOOKUP(H202,Key!$A$2:$B$13,2,FALSE)</f>
        <v xml:space="preserve">Light Truck </v>
      </c>
      <c r="J202" s="37" t="s">
        <v>123</v>
      </c>
      <c r="K202" s="13">
        <v>3</v>
      </c>
      <c r="L202" s="45" t="str">
        <f>VLOOKUP(K202,Key!$A$24:$B$29,2,FALSE)</f>
        <v>40-49</v>
      </c>
      <c r="M202" s="44" t="s">
        <v>167</v>
      </c>
      <c r="N202" s="32" t="s">
        <v>167</v>
      </c>
      <c r="O202" s="37" t="s">
        <v>168</v>
      </c>
      <c r="P202" s="39">
        <v>2</v>
      </c>
      <c r="Q202" s="34" t="str">
        <f>VLOOKUP(P202,Key!$E$2:$F$9,2,FALSE)</f>
        <v>Work</v>
      </c>
      <c r="R202" s="37" t="s">
        <v>107</v>
      </c>
      <c r="S202" s="32" t="s">
        <v>107</v>
      </c>
      <c r="T202" s="37" t="s">
        <v>168</v>
      </c>
      <c r="U202" s="32">
        <v>4</v>
      </c>
      <c r="V202" s="34" t="str">
        <f>VLOOKUP(U202,Key!$E$2:$F$9,2,FALSE)</f>
        <v>Commercial</v>
      </c>
      <c r="W202" s="34" t="str">
        <f t="shared" si="6"/>
        <v>Work-Commercial</v>
      </c>
      <c r="X202" s="47">
        <v>750000</v>
      </c>
      <c r="Y202" s="38">
        <v>470</v>
      </c>
      <c r="Z202" s="38">
        <v>9</v>
      </c>
      <c r="AA202" s="32">
        <v>10</v>
      </c>
      <c r="AB202" s="34" t="str">
        <f>VLOOKUP(AA202,Key!$C$20:$D$29,2,FALSE)</f>
        <v>Other</v>
      </c>
      <c r="AC202" s="32">
        <v>2</v>
      </c>
      <c r="AD202" s="34" t="str">
        <f>VLOOKUP(AC202,Key!$E$20:$F$24,2,FALSE)</f>
        <v>300,000-500,000</v>
      </c>
      <c r="AE202" s="32">
        <v>3</v>
      </c>
      <c r="AF202" s="55">
        <v>2</v>
      </c>
      <c r="AG202" s="55">
        <v>4</v>
      </c>
      <c r="AH202" s="55">
        <v>1</v>
      </c>
      <c r="AI202" s="55">
        <v>5</v>
      </c>
      <c r="AJ202" s="39" t="s">
        <v>104</v>
      </c>
      <c r="AK202" s="40">
        <v>5000</v>
      </c>
      <c r="AL202" s="24"/>
      <c r="AM202" s="24"/>
    </row>
    <row r="203" spans="2:39" hidden="1" x14ac:dyDescent="0.2">
      <c r="B203" s="50">
        <v>43690</v>
      </c>
      <c r="C203" s="35">
        <v>0.70763888888888893</v>
      </c>
      <c r="D203" s="35"/>
      <c r="E203" s="35" t="s">
        <v>111</v>
      </c>
      <c r="F203" s="37">
        <v>2</v>
      </c>
      <c r="G203" s="42" t="str">
        <f>VLOOKUP(F203,Key!$A$17:$B$21,2,FALSE)</f>
        <v>Road Vehicle</v>
      </c>
      <c r="H203" s="36">
        <v>7</v>
      </c>
      <c r="I203" s="43" t="str">
        <f>VLOOKUP(H203,Key!$A$2:$B$13,2,FALSE)</f>
        <v xml:space="preserve">Light Truck </v>
      </c>
      <c r="J203" s="37" t="s">
        <v>123</v>
      </c>
      <c r="K203" s="37">
        <v>1</v>
      </c>
      <c r="L203" s="45" t="str">
        <f>VLOOKUP(K203,Key!$A$24:$B$29,2,FALSE)</f>
        <v>20-29</v>
      </c>
      <c r="M203" s="37" t="s">
        <v>298</v>
      </c>
      <c r="N203" s="32" t="s">
        <v>298</v>
      </c>
      <c r="O203" s="37" t="s">
        <v>168</v>
      </c>
      <c r="P203" s="39">
        <v>2</v>
      </c>
      <c r="Q203" s="34" t="str">
        <f>VLOOKUP(P203,Key!$E$2:$F$9,2,FALSE)</f>
        <v>Work</v>
      </c>
      <c r="R203" s="37" t="s">
        <v>167</v>
      </c>
      <c r="S203" s="32" t="s">
        <v>167</v>
      </c>
      <c r="T203" s="37" t="s">
        <v>168</v>
      </c>
      <c r="U203" s="32">
        <v>2</v>
      </c>
      <c r="V203" s="34" t="str">
        <f>VLOOKUP(U203,Key!$E$2:$F$9,2,FALSE)</f>
        <v>Work</v>
      </c>
      <c r="W203" s="34" t="str">
        <f t="shared" si="6"/>
        <v>Work-Work</v>
      </c>
      <c r="X203" s="47">
        <v>100000</v>
      </c>
      <c r="Y203" s="38">
        <v>500</v>
      </c>
      <c r="Z203" s="38">
        <v>18</v>
      </c>
      <c r="AA203" s="32">
        <v>10</v>
      </c>
      <c r="AB203" s="34" t="str">
        <f>VLOOKUP(AA203,Key!$C$20:$D$29,2,FALSE)</f>
        <v>Other</v>
      </c>
      <c r="AC203" s="32">
        <v>2</v>
      </c>
      <c r="AD203" s="34" t="str">
        <f>VLOOKUP(AC203,Key!$E$20:$F$24,2,FALSE)</f>
        <v>300,000-500,000</v>
      </c>
      <c r="AE203" s="32">
        <v>3</v>
      </c>
      <c r="AF203" s="55">
        <v>4</v>
      </c>
      <c r="AG203" s="55">
        <v>2</v>
      </c>
      <c r="AH203" s="55">
        <v>4</v>
      </c>
      <c r="AI203" s="55">
        <v>4</v>
      </c>
      <c r="AJ203" s="39" t="s">
        <v>104</v>
      </c>
      <c r="AK203" s="40">
        <v>10000</v>
      </c>
      <c r="AL203" s="24"/>
      <c r="AM203" s="24"/>
    </row>
    <row r="204" spans="2:39" hidden="1" x14ac:dyDescent="0.2">
      <c r="B204" s="50">
        <v>43689</v>
      </c>
      <c r="C204" s="35">
        <v>0.63888888888888895</v>
      </c>
      <c r="D204" s="35"/>
      <c r="E204" s="35" t="s">
        <v>111</v>
      </c>
      <c r="F204" s="37">
        <v>2</v>
      </c>
      <c r="G204" s="42" t="str">
        <f>VLOOKUP(F204,Key!$A$17:$B$21,2,FALSE)</f>
        <v>Road Vehicle</v>
      </c>
      <c r="H204" s="36">
        <v>7</v>
      </c>
      <c r="I204" s="43" t="str">
        <f>VLOOKUP(H204,Key!$A$2:$B$13,2,FALSE)</f>
        <v xml:space="preserve">Light Truck </v>
      </c>
      <c r="J204" s="37" t="s">
        <v>123</v>
      </c>
      <c r="K204" s="13">
        <v>2</v>
      </c>
      <c r="L204" s="45" t="str">
        <f>VLOOKUP(K204,Key!$A$24:$B$29,2,FALSE)</f>
        <v>30-39</v>
      </c>
      <c r="M204" s="44" t="s">
        <v>167</v>
      </c>
      <c r="N204" s="32" t="s">
        <v>167</v>
      </c>
      <c r="O204" s="37" t="s">
        <v>168</v>
      </c>
      <c r="P204" s="39">
        <v>1</v>
      </c>
      <c r="Q204" s="34" t="str">
        <f>VLOOKUP(P204,Key!$E$2:$F$9,2,FALSE)</f>
        <v>Home</v>
      </c>
      <c r="R204" s="37" t="s">
        <v>175</v>
      </c>
      <c r="S204" s="32" t="s">
        <v>175</v>
      </c>
      <c r="T204" s="37" t="s">
        <v>168</v>
      </c>
      <c r="U204" s="32">
        <v>4</v>
      </c>
      <c r="V204" s="34" t="str">
        <f>VLOOKUP(U204,Key!$E$2:$F$9,2,FALSE)</f>
        <v>Commercial</v>
      </c>
      <c r="W204" s="34" t="str">
        <f t="shared" si="6"/>
        <v>Home-Commercial</v>
      </c>
      <c r="X204" s="47">
        <v>500000</v>
      </c>
      <c r="Y204" s="38">
        <v>600</v>
      </c>
      <c r="Z204" s="38">
        <v>12</v>
      </c>
      <c r="AA204" s="32">
        <v>10</v>
      </c>
      <c r="AB204" s="34" t="str">
        <f>VLOOKUP(AA204,Key!$C$20:$D$29,2,FALSE)</f>
        <v>Other</v>
      </c>
      <c r="AC204" s="32">
        <v>3</v>
      </c>
      <c r="AD204" s="34" t="str">
        <f>VLOOKUP(AC204,Key!$E$20:$F$24,2,FALSE)</f>
        <v>500,000-750,000</v>
      </c>
      <c r="AE204" s="32">
        <v>2</v>
      </c>
      <c r="AF204" s="55">
        <v>3</v>
      </c>
      <c r="AG204" s="55">
        <v>4</v>
      </c>
      <c r="AH204" s="55">
        <v>1</v>
      </c>
      <c r="AI204" s="55">
        <v>5</v>
      </c>
      <c r="AJ204" s="39" t="s">
        <v>104</v>
      </c>
      <c r="AK204" s="40">
        <v>5000</v>
      </c>
      <c r="AL204" s="24"/>
      <c r="AM204" s="24"/>
    </row>
    <row r="205" spans="2:39" hidden="1" x14ac:dyDescent="0.2">
      <c r="B205" s="50"/>
      <c r="C205" s="35"/>
      <c r="D205" s="35"/>
      <c r="E205" s="35"/>
      <c r="F205" s="37"/>
      <c r="G205" s="42"/>
      <c r="H205" s="36"/>
      <c r="I205" s="43"/>
      <c r="J205" s="37"/>
      <c r="K205" s="13"/>
      <c r="L205" s="45"/>
      <c r="M205" s="44"/>
      <c r="N205" s="32"/>
      <c r="O205" s="37"/>
      <c r="P205" s="39"/>
      <c r="Q205" s="34"/>
      <c r="R205" s="37"/>
      <c r="S205" s="32"/>
      <c r="T205" s="37"/>
      <c r="U205" s="32"/>
      <c r="V205" s="34"/>
      <c r="W205" s="34"/>
      <c r="X205" s="47"/>
      <c r="Y205" s="38"/>
      <c r="Z205" s="38"/>
      <c r="AA205" s="32"/>
      <c r="AB205" s="34"/>
      <c r="AC205" s="32"/>
      <c r="AD205" s="34"/>
      <c r="AE205" s="32"/>
      <c r="AF205" s="55"/>
      <c r="AG205" s="55"/>
      <c r="AH205" s="55"/>
      <c r="AI205" s="55"/>
      <c r="AJ205" s="39"/>
      <c r="AK205" s="40"/>
      <c r="AL205" s="24"/>
      <c r="AM205" s="24"/>
    </row>
    <row r="206" spans="2:39" hidden="1" x14ac:dyDescent="0.2">
      <c r="B206" s="50">
        <v>43689</v>
      </c>
      <c r="C206" s="35">
        <v>0.50694444444444442</v>
      </c>
      <c r="D206" s="35"/>
      <c r="E206" s="35" t="s">
        <v>111</v>
      </c>
      <c r="F206" s="37">
        <v>2</v>
      </c>
      <c r="G206" s="42" t="str">
        <f>VLOOKUP(F206,Key!$A$17:$B$21,2,FALSE)</f>
        <v>Road Vehicle</v>
      </c>
      <c r="H206" s="36">
        <v>5</v>
      </c>
      <c r="I206" s="43" t="str">
        <f>VLOOKUP(H206,Key!$A$2:$B$13,2,FALSE)</f>
        <v xml:space="preserve">Medium bus </v>
      </c>
      <c r="J206" s="37" t="s">
        <v>123</v>
      </c>
      <c r="K206" s="37">
        <v>3</v>
      </c>
      <c r="L206" s="45" t="str">
        <f>VLOOKUP(K206,Key!$A$24:$B$29,2,FALSE)</f>
        <v>40-49</v>
      </c>
      <c r="M206" s="44" t="s">
        <v>167</v>
      </c>
      <c r="N206" s="32" t="s">
        <v>167</v>
      </c>
      <c r="O206" s="37" t="s">
        <v>168</v>
      </c>
      <c r="P206" s="39">
        <v>2</v>
      </c>
      <c r="Q206" s="34" t="str">
        <f>VLOOKUP(P206,Key!$E$2:$F$9,2,FALSE)</f>
        <v>Work</v>
      </c>
      <c r="R206" s="37" t="s">
        <v>167</v>
      </c>
      <c r="S206" s="32" t="s">
        <v>167</v>
      </c>
      <c r="T206" s="37" t="s">
        <v>168</v>
      </c>
      <c r="U206" s="32">
        <v>2</v>
      </c>
      <c r="V206" s="34" t="str">
        <f>VLOOKUP(U206,Key!$E$2:$F$9,2,FALSE)</f>
        <v>Work</v>
      </c>
      <c r="W206" s="34" t="str">
        <f t="shared" ref="W206:W239" si="7">Q206&amp;"-"&amp;V206</f>
        <v>Work-Work</v>
      </c>
      <c r="X206" s="47">
        <v>20000</v>
      </c>
      <c r="Y206" s="38">
        <v>5</v>
      </c>
      <c r="Z206" s="38">
        <v>0.3</v>
      </c>
      <c r="AA206" s="32">
        <v>10</v>
      </c>
      <c r="AB206" s="34" t="str">
        <f>VLOOKUP(AA206,Key!$C$20:$D$29,2,FALSE)</f>
        <v>Other</v>
      </c>
      <c r="AC206" s="32">
        <v>2</v>
      </c>
      <c r="AD206" s="34" t="str">
        <f>VLOOKUP(AC206,Key!$E$20:$F$24,2,FALSE)</f>
        <v>300,000-500,000</v>
      </c>
      <c r="AE206" s="32">
        <v>1</v>
      </c>
      <c r="AF206" s="55">
        <v>1</v>
      </c>
      <c r="AG206" s="55">
        <v>1</v>
      </c>
      <c r="AH206" s="55">
        <v>1</v>
      </c>
      <c r="AI206" s="55">
        <v>2</v>
      </c>
      <c r="AJ206" s="39" t="s">
        <v>104</v>
      </c>
      <c r="AK206" s="40"/>
      <c r="AL206" s="24"/>
      <c r="AM206" s="24"/>
    </row>
    <row r="207" spans="2:39" hidden="1" x14ac:dyDescent="0.2">
      <c r="B207" s="50">
        <v>43686</v>
      </c>
      <c r="C207" s="35">
        <v>0.58402777777777781</v>
      </c>
      <c r="D207" s="35"/>
      <c r="E207" s="35" t="s">
        <v>111</v>
      </c>
      <c r="F207" s="37">
        <v>2</v>
      </c>
      <c r="G207" s="42" t="str">
        <f>VLOOKUP(F207,Key!$A$17:$B$21,2,FALSE)</f>
        <v>Road Vehicle</v>
      </c>
      <c r="H207" s="36">
        <v>5</v>
      </c>
      <c r="I207" s="43" t="str">
        <f>VLOOKUP(H207,Key!$A$2:$B$13,2,FALSE)</f>
        <v xml:space="preserve">Medium bus </v>
      </c>
      <c r="J207" s="37" t="s">
        <v>123</v>
      </c>
      <c r="K207" s="37">
        <v>2</v>
      </c>
      <c r="L207" s="45" t="str">
        <f>VLOOKUP(K207,Key!$A$24:$B$29,2,FALSE)</f>
        <v>30-39</v>
      </c>
      <c r="M207" s="44" t="s">
        <v>167</v>
      </c>
      <c r="N207" s="32" t="s">
        <v>167</v>
      </c>
      <c r="O207" s="37" t="s">
        <v>168</v>
      </c>
      <c r="P207" s="39">
        <v>2</v>
      </c>
      <c r="Q207" s="34" t="str">
        <f>VLOOKUP(P207,Key!$E$2:$F$9,2,FALSE)</f>
        <v>Work</v>
      </c>
      <c r="R207" s="37" t="s">
        <v>167</v>
      </c>
      <c r="S207" s="32" t="s">
        <v>167</v>
      </c>
      <c r="T207" s="37" t="s">
        <v>168</v>
      </c>
      <c r="U207" s="32">
        <v>2</v>
      </c>
      <c r="V207" s="34" t="str">
        <f>VLOOKUP(U207,Key!$E$2:$F$9,2,FALSE)</f>
        <v>Work</v>
      </c>
      <c r="W207" s="34" t="str">
        <f t="shared" si="7"/>
        <v>Work-Work</v>
      </c>
      <c r="X207" s="47">
        <v>20000</v>
      </c>
      <c r="Y207" s="38">
        <v>5</v>
      </c>
      <c r="Z207" s="38">
        <v>0.5</v>
      </c>
      <c r="AA207" s="32">
        <v>10</v>
      </c>
      <c r="AB207" s="34" t="str">
        <f>VLOOKUP(AA207,Key!$C$20:$D$29,2,FALSE)</f>
        <v>Other</v>
      </c>
      <c r="AC207" s="32">
        <v>2</v>
      </c>
      <c r="AD207" s="34" t="str">
        <f>VLOOKUP(AC207,Key!$E$20:$F$24,2,FALSE)</f>
        <v>300,000-500,000</v>
      </c>
      <c r="AE207" s="32">
        <v>1</v>
      </c>
      <c r="AF207" s="55">
        <v>2</v>
      </c>
      <c r="AG207" s="55">
        <v>1</v>
      </c>
      <c r="AH207" s="55">
        <v>1</v>
      </c>
      <c r="AI207" s="55">
        <v>2</v>
      </c>
      <c r="AJ207" s="39" t="s">
        <v>104</v>
      </c>
      <c r="AK207" s="40">
        <v>500</v>
      </c>
      <c r="AL207" s="24"/>
      <c r="AM207" s="24"/>
    </row>
    <row r="208" spans="2:39" hidden="1" x14ac:dyDescent="0.2">
      <c r="B208" s="50">
        <v>43690</v>
      </c>
      <c r="C208" s="35">
        <v>0.38541666666666669</v>
      </c>
      <c r="D208" s="35"/>
      <c r="E208" s="35" t="s">
        <v>111</v>
      </c>
      <c r="F208" s="37">
        <v>2</v>
      </c>
      <c r="G208" s="42" t="str">
        <f>VLOOKUP(F208,Key!$A$17:$B$21,2,FALSE)</f>
        <v>Road Vehicle</v>
      </c>
      <c r="H208" s="36">
        <v>5</v>
      </c>
      <c r="I208" s="43" t="str">
        <f>VLOOKUP(H208,Key!$A$2:$B$13,2,FALSE)</f>
        <v xml:space="preserve">Medium bus </v>
      </c>
      <c r="J208" s="37" t="s">
        <v>123</v>
      </c>
      <c r="K208" s="37">
        <v>4</v>
      </c>
      <c r="L208" s="45" t="str">
        <f>VLOOKUP(K208,Key!$A$24:$B$29,2,FALSE)</f>
        <v>50-59</v>
      </c>
      <c r="M208" s="44" t="s">
        <v>167</v>
      </c>
      <c r="N208" s="32" t="s">
        <v>167</v>
      </c>
      <c r="O208" s="37" t="s">
        <v>168</v>
      </c>
      <c r="P208" s="39">
        <v>1</v>
      </c>
      <c r="Q208" s="34" t="str">
        <f>VLOOKUP(P208,Key!$E$2:$F$9,2,FALSE)</f>
        <v>Home</v>
      </c>
      <c r="R208" s="37" t="s">
        <v>182</v>
      </c>
      <c r="S208" s="32" t="s">
        <v>167</v>
      </c>
      <c r="T208" s="37" t="s">
        <v>168</v>
      </c>
      <c r="U208" s="32">
        <v>8</v>
      </c>
      <c r="V208" s="34" t="str">
        <f>VLOOKUP(U208,Key!$E$2:$F$9,2,FALSE)</f>
        <v>Others</v>
      </c>
      <c r="W208" s="34" t="str">
        <f t="shared" si="7"/>
        <v>Home-Others</v>
      </c>
      <c r="X208" s="47">
        <v>20000</v>
      </c>
      <c r="Y208" s="38">
        <v>5</v>
      </c>
      <c r="Z208" s="38">
        <v>5.6</v>
      </c>
      <c r="AA208" s="32">
        <v>10</v>
      </c>
      <c r="AB208" s="34" t="str">
        <f>VLOOKUP(AA208,Key!$C$20:$D$29,2,FALSE)</f>
        <v>Other</v>
      </c>
      <c r="AC208" s="32">
        <v>1</v>
      </c>
      <c r="AD208" s="34" t="str">
        <f>VLOOKUP(AC208,Key!$E$20:$F$24,2,FALSE)</f>
        <v>&lt;300,000</v>
      </c>
      <c r="AE208" s="32">
        <v>1</v>
      </c>
      <c r="AF208" s="55">
        <v>2</v>
      </c>
      <c r="AG208" s="55">
        <v>1</v>
      </c>
      <c r="AH208" s="55">
        <v>1</v>
      </c>
      <c r="AI208" s="55">
        <v>1</v>
      </c>
      <c r="AJ208" s="39" t="s">
        <v>104</v>
      </c>
      <c r="AK208" s="40"/>
      <c r="AL208" s="24"/>
      <c r="AM208" s="24"/>
    </row>
    <row r="209" spans="2:39" hidden="1" x14ac:dyDescent="0.2">
      <c r="B209" s="50">
        <v>43689</v>
      </c>
      <c r="C209" s="35">
        <v>0.52777777777777779</v>
      </c>
      <c r="D209" s="35"/>
      <c r="E209" s="35" t="s">
        <v>111</v>
      </c>
      <c r="F209" s="37">
        <v>2</v>
      </c>
      <c r="G209" s="42" t="str">
        <f>VLOOKUP(F209,Key!$A$17:$B$21,2,FALSE)</f>
        <v>Road Vehicle</v>
      </c>
      <c r="H209" s="36">
        <v>5</v>
      </c>
      <c r="I209" s="43" t="str">
        <f>VLOOKUP(H209,Key!$A$2:$B$13,2,FALSE)</f>
        <v xml:space="preserve">Medium bus </v>
      </c>
      <c r="J209" s="37" t="s">
        <v>123</v>
      </c>
      <c r="K209" s="37">
        <v>1</v>
      </c>
      <c r="L209" s="45" t="str">
        <f>VLOOKUP(K209,Key!$A$24:$B$29,2,FALSE)</f>
        <v>20-29</v>
      </c>
      <c r="M209" s="37" t="s">
        <v>247</v>
      </c>
      <c r="N209" s="32" t="s">
        <v>167</v>
      </c>
      <c r="O209" s="37" t="s">
        <v>168</v>
      </c>
      <c r="P209" s="39">
        <v>2</v>
      </c>
      <c r="Q209" s="34" t="str">
        <f>VLOOKUP(P209,Key!$E$2:$F$9,2,FALSE)</f>
        <v>Work</v>
      </c>
      <c r="R209" s="37" t="s">
        <v>170</v>
      </c>
      <c r="S209" s="32" t="s">
        <v>179</v>
      </c>
      <c r="T209" s="37" t="s">
        <v>168</v>
      </c>
      <c r="U209" s="32">
        <v>2</v>
      </c>
      <c r="V209" s="34" t="str">
        <f>VLOOKUP(U209,Key!$E$2:$F$9,2,FALSE)</f>
        <v>Work</v>
      </c>
      <c r="W209" s="34" t="str">
        <f t="shared" si="7"/>
        <v>Work-Work</v>
      </c>
      <c r="X209" s="47">
        <v>25000</v>
      </c>
      <c r="Y209" s="38">
        <v>7</v>
      </c>
      <c r="Z209" s="38">
        <v>2</v>
      </c>
      <c r="AA209" s="32">
        <v>10</v>
      </c>
      <c r="AB209" s="34" t="str">
        <f>VLOOKUP(AA209,Key!$C$20:$D$29,2,FALSE)</f>
        <v>Other</v>
      </c>
      <c r="AC209" s="32">
        <v>1</v>
      </c>
      <c r="AD209" s="34" t="str">
        <f>VLOOKUP(AC209,Key!$E$20:$F$24,2,FALSE)</f>
        <v>&lt;300,000</v>
      </c>
      <c r="AE209" s="32">
        <v>1</v>
      </c>
      <c r="AF209" s="55"/>
      <c r="AG209" s="55"/>
      <c r="AH209" s="55"/>
      <c r="AI209" s="55"/>
      <c r="AJ209" s="39" t="s">
        <v>104</v>
      </c>
      <c r="AK209" s="40"/>
      <c r="AL209" s="24"/>
      <c r="AM209" s="24"/>
    </row>
    <row r="210" spans="2:39" hidden="1" x14ac:dyDescent="0.2">
      <c r="B210" s="50">
        <v>43689</v>
      </c>
      <c r="C210" s="35">
        <v>0.47916666666666669</v>
      </c>
      <c r="D210" s="35"/>
      <c r="E210" s="35" t="s">
        <v>111</v>
      </c>
      <c r="F210" s="37">
        <v>2</v>
      </c>
      <c r="G210" s="42" t="str">
        <f>VLOOKUP(F210,Key!$A$17:$B$21,2,FALSE)</f>
        <v>Road Vehicle</v>
      </c>
      <c r="H210" s="36">
        <v>5</v>
      </c>
      <c r="I210" s="43" t="str">
        <f>VLOOKUP(H210,Key!$A$2:$B$13,2,FALSE)</f>
        <v xml:space="preserve">Medium bus </v>
      </c>
      <c r="J210" s="37" t="s">
        <v>123</v>
      </c>
      <c r="K210" s="37">
        <v>1</v>
      </c>
      <c r="L210" s="45" t="str">
        <f>VLOOKUP(K210,Key!$A$24:$B$29,2,FALSE)</f>
        <v>20-29</v>
      </c>
      <c r="M210" s="44" t="s">
        <v>167</v>
      </c>
      <c r="N210" s="32" t="s">
        <v>167</v>
      </c>
      <c r="O210" s="37" t="s">
        <v>168</v>
      </c>
      <c r="P210" s="39">
        <v>2</v>
      </c>
      <c r="Q210" s="34" t="str">
        <f>VLOOKUP(P210,Key!$E$2:$F$9,2,FALSE)</f>
        <v>Work</v>
      </c>
      <c r="R210" s="37" t="s">
        <v>167</v>
      </c>
      <c r="S210" s="32" t="s">
        <v>167</v>
      </c>
      <c r="T210" s="37" t="s">
        <v>168</v>
      </c>
      <c r="U210" s="32">
        <v>2</v>
      </c>
      <c r="V210" s="34" t="str">
        <f>VLOOKUP(U210,Key!$E$2:$F$9,2,FALSE)</f>
        <v>Work</v>
      </c>
      <c r="W210" s="34" t="str">
        <f t="shared" si="7"/>
        <v>Work-Work</v>
      </c>
      <c r="X210" s="47">
        <v>20000</v>
      </c>
      <c r="Y210" s="38">
        <v>10</v>
      </c>
      <c r="Z210" s="38">
        <v>0.5</v>
      </c>
      <c r="AA210" s="32">
        <v>10</v>
      </c>
      <c r="AB210" s="34" t="str">
        <f>VLOOKUP(AA210,Key!$C$20:$D$29,2,FALSE)</f>
        <v>Other</v>
      </c>
      <c r="AC210" s="32">
        <v>3</v>
      </c>
      <c r="AD210" s="34" t="str">
        <f>VLOOKUP(AC210,Key!$E$20:$F$24,2,FALSE)</f>
        <v>500,000-750,000</v>
      </c>
      <c r="AE210" s="32">
        <v>1</v>
      </c>
      <c r="AF210" s="55">
        <v>2</v>
      </c>
      <c r="AG210" s="55">
        <v>1</v>
      </c>
      <c r="AH210" s="55">
        <v>1</v>
      </c>
      <c r="AI210" s="55">
        <v>1</v>
      </c>
      <c r="AJ210" s="39" t="s">
        <v>104</v>
      </c>
      <c r="AK210" s="40">
        <v>1000</v>
      </c>
      <c r="AL210" s="24"/>
      <c r="AM210" s="24"/>
    </row>
    <row r="211" spans="2:39" hidden="1" x14ac:dyDescent="0.2">
      <c r="B211" s="50">
        <v>43689</v>
      </c>
      <c r="C211" s="35">
        <v>0.4236111111111111</v>
      </c>
      <c r="D211" s="35"/>
      <c r="E211" s="35" t="s">
        <v>111</v>
      </c>
      <c r="F211" s="37">
        <v>2</v>
      </c>
      <c r="G211" s="42" t="str">
        <f>VLOOKUP(F211,Key!$A$17:$B$21,2,FALSE)</f>
        <v>Road Vehicle</v>
      </c>
      <c r="H211" s="36">
        <v>5</v>
      </c>
      <c r="I211" s="43" t="str">
        <f>VLOOKUP(H211,Key!$A$2:$B$13,2,FALSE)</f>
        <v xml:space="preserve">Medium bus </v>
      </c>
      <c r="J211" s="37" t="s">
        <v>123</v>
      </c>
      <c r="K211" s="37">
        <v>3</v>
      </c>
      <c r="L211" s="45" t="str">
        <f>VLOOKUP(K211,Key!$A$24:$B$29,2,FALSE)</f>
        <v>40-49</v>
      </c>
      <c r="M211" s="44" t="s">
        <v>167</v>
      </c>
      <c r="N211" s="32" t="s">
        <v>167</v>
      </c>
      <c r="O211" s="37" t="s">
        <v>168</v>
      </c>
      <c r="P211" s="39">
        <v>2</v>
      </c>
      <c r="Q211" s="34" t="str">
        <f>VLOOKUP(P211,Key!$E$2:$F$9,2,FALSE)</f>
        <v>Work</v>
      </c>
      <c r="R211" s="37" t="s">
        <v>167</v>
      </c>
      <c r="S211" s="32" t="s">
        <v>167</v>
      </c>
      <c r="T211" s="37" t="s">
        <v>168</v>
      </c>
      <c r="U211" s="32">
        <v>2</v>
      </c>
      <c r="V211" s="34" t="str">
        <f>VLOOKUP(U211,Key!$E$2:$F$9,2,FALSE)</f>
        <v>Work</v>
      </c>
      <c r="W211" s="34" t="str">
        <f t="shared" si="7"/>
        <v>Work-Work</v>
      </c>
      <c r="X211" s="47">
        <v>20000</v>
      </c>
      <c r="Y211" s="38">
        <v>10</v>
      </c>
      <c r="Z211" s="38">
        <v>0.5</v>
      </c>
      <c r="AA211" s="32">
        <v>10</v>
      </c>
      <c r="AB211" s="34" t="str">
        <f>VLOOKUP(AA211,Key!$C$20:$D$29,2,FALSE)</f>
        <v>Other</v>
      </c>
      <c r="AC211" s="32">
        <v>3</v>
      </c>
      <c r="AD211" s="34" t="str">
        <f>VLOOKUP(AC211,Key!$E$20:$F$24,2,FALSE)</f>
        <v>500,000-750,000</v>
      </c>
      <c r="AE211" s="32">
        <v>1</v>
      </c>
      <c r="AF211" s="55">
        <v>2</v>
      </c>
      <c r="AG211" s="55">
        <v>1</v>
      </c>
      <c r="AH211" s="55">
        <v>1</v>
      </c>
      <c r="AI211" s="55">
        <v>1</v>
      </c>
      <c r="AJ211" s="39" t="s">
        <v>104</v>
      </c>
      <c r="AK211" s="40">
        <v>1000</v>
      </c>
      <c r="AL211" s="24"/>
      <c r="AM211" s="24"/>
    </row>
    <row r="212" spans="2:39" hidden="1" x14ac:dyDescent="0.2">
      <c r="B212" s="50">
        <v>43686</v>
      </c>
      <c r="C212" s="35">
        <v>0.64722222222222225</v>
      </c>
      <c r="D212" s="35"/>
      <c r="E212" s="35" t="s">
        <v>111</v>
      </c>
      <c r="F212" s="37">
        <v>2</v>
      </c>
      <c r="G212" s="42" t="str">
        <f>VLOOKUP(F212,Key!$A$17:$B$21,2,FALSE)</f>
        <v>Road Vehicle</v>
      </c>
      <c r="H212" s="36">
        <v>5</v>
      </c>
      <c r="I212" s="43" t="str">
        <f>VLOOKUP(H212,Key!$A$2:$B$13,2,FALSE)</f>
        <v xml:space="preserve">Medium bus </v>
      </c>
      <c r="J212" s="37" t="s">
        <v>123</v>
      </c>
      <c r="K212" s="37">
        <v>2</v>
      </c>
      <c r="L212" s="45" t="str">
        <f>VLOOKUP(K212,Key!$A$24:$B$29,2,FALSE)</f>
        <v>30-39</v>
      </c>
      <c r="M212" s="44" t="s">
        <v>167</v>
      </c>
      <c r="N212" s="32" t="s">
        <v>167</v>
      </c>
      <c r="O212" s="37" t="s">
        <v>168</v>
      </c>
      <c r="P212" s="39">
        <v>4</v>
      </c>
      <c r="Q212" s="34" t="str">
        <f>VLOOKUP(P212,Key!$E$2:$F$9,2,FALSE)</f>
        <v>Commercial</v>
      </c>
      <c r="R212" s="37" t="s">
        <v>179</v>
      </c>
      <c r="S212" s="32" t="s">
        <v>179</v>
      </c>
      <c r="T212" s="37" t="s">
        <v>168</v>
      </c>
      <c r="U212" s="32">
        <v>2</v>
      </c>
      <c r="V212" s="34" t="str">
        <f>VLOOKUP(U212,Key!$E$2:$F$9,2,FALSE)</f>
        <v>Work</v>
      </c>
      <c r="W212" s="34" t="str">
        <f t="shared" si="7"/>
        <v>Commercial-Work</v>
      </c>
      <c r="X212" s="47">
        <v>40000</v>
      </c>
      <c r="Y212" s="38">
        <v>20</v>
      </c>
      <c r="Z212" s="38">
        <v>1</v>
      </c>
      <c r="AA212" s="32">
        <v>6</v>
      </c>
      <c r="AB212" s="34" t="str">
        <f>VLOOKUP(AA212,Key!$C$20:$D$29,2,FALSE)</f>
        <v>Businessman</v>
      </c>
      <c r="AC212" s="32">
        <v>1</v>
      </c>
      <c r="AD212" s="34" t="str">
        <f>VLOOKUP(AC212,Key!$E$20:$F$24,2,FALSE)</f>
        <v>&lt;300,000</v>
      </c>
      <c r="AE212" s="32">
        <v>1</v>
      </c>
      <c r="AF212" s="55">
        <v>1</v>
      </c>
      <c r="AG212" s="55">
        <v>1</v>
      </c>
      <c r="AH212" s="55">
        <v>2</v>
      </c>
      <c r="AI212" s="55">
        <v>1</v>
      </c>
      <c r="AJ212" s="39" t="s">
        <v>104</v>
      </c>
      <c r="AK212" s="40">
        <v>1000</v>
      </c>
      <c r="AL212" s="24"/>
      <c r="AM212" s="24"/>
    </row>
    <row r="213" spans="2:39" hidden="1" x14ac:dyDescent="0.2">
      <c r="B213" s="50">
        <v>43687</v>
      </c>
      <c r="C213" s="35">
        <v>0.36805555555555558</v>
      </c>
      <c r="D213" s="35"/>
      <c r="E213" s="35" t="s">
        <v>111</v>
      </c>
      <c r="F213" s="37">
        <v>2</v>
      </c>
      <c r="G213" s="42" t="str">
        <f>VLOOKUP(F213,Key!$A$17:$B$21,2,FALSE)</f>
        <v>Road Vehicle</v>
      </c>
      <c r="H213" s="36">
        <v>5</v>
      </c>
      <c r="I213" s="43" t="str">
        <f>VLOOKUP(H213,Key!$A$2:$B$13,2,FALSE)</f>
        <v xml:space="preserve">Medium bus </v>
      </c>
      <c r="J213" s="37" t="s">
        <v>123</v>
      </c>
      <c r="K213" s="37">
        <v>1</v>
      </c>
      <c r="L213" s="45" t="str">
        <f>VLOOKUP(K213,Key!$A$24:$B$29,2,FALSE)</f>
        <v>20-29</v>
      </c>
      <c r="M213" s="37" t="s">
        <v>179</v>
      </c>
      <c r="N213" s="32" t="s">
        <v>179</v>
      </c>
      <c r="O213" s="37" t="s">
        <v>168</v>
      </c>
      <c r="P213" s="39">
        <v>4</v>
      </c>
      <c r="Q213" s="34" t="str">
        <f>VLOOKUP(P213,Key!$E$2:$F$9,2,FALSE)</f>
        <v>Commercial</v>
      </c>
      <c r="R213" s="37" t="s">
        <v>306</v>
      </c>
      <c r="S213" s="32" t="s">
        <v>167</v>
      </c>
      <c r="T213" s="37" t="s">
        <v>168</v>
      </c>
      <c r="U213" s="32">
        <v>4</v>
      </c>
      <c r="V213" s="34" t="str">
        <f>VLOOKUP(U213,Key!$E$2:$F$9,2,FALSE)</f>
        <v>Commercial</v>
      </c>
      <c r="W213" s="34" t="str">
        <f t="shared" si="7"/>
        <v>Commercial-Commercial</v>
      </c>
      <c r="X213" s="47">
        <v>40000</v>
      </c>
      <c r="Y213" s="38">
        <v>38</v>
      </c>
      <c r="Z213" s="38">
        <v>1.3</v>
      </c>
      <c r="AA213" s="32">
        <v>10</v>
      </c>
      <c r="AB213" s="34" t="str">
        <f>VLOOKUP(AA213,Key!$C$20:$D$29,2,FALSE)</f>
        <v>Other</v>
      </c>
      <c r="AC213" s="32">
        <v>2</v>
      </c>
      <c r="AD213" s="34" t="str">
        <f>VLOOKUP(AC213,Key!$E$20:$F$24,2,FALSE)</f>
        <v>300,000-500,000</v>
      </c>
      <c r="AE213" s="32">
        <v>1</v>
      </c>
      <c r="AF213" s="55">
        <v>1</v>
      </c>
      <c r="AG213" s="55">
        <v>2</v>
      </c>
      <c r="AH213" s="55">
        <v>1</v>
      </c>
      <c r="AI213" s="55">
        <v>1</v>
      </c>
      <c r="AJ213" s="39" t="s">
        <v>104</v>
      </c>
      <c r="AK213" s="40"/>
      <c r="AL213" s="24"/>
      <c r="AM213" s="24"/>
    </row>
    <row r="214" spans="2:39" hidden="1" x14ac:dyDescent="0.2">
      <c r="B214" s="50">
        <v>43687</v>
      </c>
      <c r="C214" s="35">
        <v>0.31805555555555554</v>
      </c>
      <c r="D214" s="35"/>
      <c r="E214" s="35" t="s">
        <v>111</v>
      </c>
      <c r="F214" s="37">
        <v>2</v>
      </c>
      <c r="G214" s="42" t="str">
        <f>VLOOKUP(F214,Key!$A$17:$B$21,2,FALSE)</f>
        <v>Road Vehicle</v>
      </c>
      <c r="H214" s="36">
        <v>5</v>
      </c>
      <c r="I214" s="43" t="str">
        <f>VLOOKUP(H214,Key!$A$2:$B$13,2,FALSE)</f>
        <v xml:space="preserve">Medium bus </v>
      </c>
      <c r="J214" s="37" t="s">
        <v>123</v>
      </c>
      <c r="K214" s="37">
        <v>2</v>
      </c>
      <c r="L214" s="45" t="str">
        <f>VLOOKUP(K214,Key!$A$24:$B$29,2,FALSE)</f>
        <v>30-39</v>
      </c>
      <c r="M214" s="37" t="s">
        <v>247</v>
      </c>
      <c r="N214" s="32" t="s">
        <v>167</v>
      </c>
      <c r="O214" s="37" t="s">
        <v>168</v>
      </c>
      <c r="P214" s="39">
        <v>2</v>
      </c>
      <c r="Q214" s="34" t="str">
        <f>VLOOKUP(P214,Key!$E$2:$F$9,2,FALSE)</f>
        <v>Work</v>
      </c>
      <c r="R214" s="37" t="s">
        <v>173</v>
      </c>
      <c r="S214" s="32" t="s">
        <v>173</v>
      </c>
      <c r="T214" s="37" t="s">
        <v>168</v>
      </c>
      <c r="U214" s="32">
        <v>2</v>
      </c>
      <c r="V214" s="34" t="str">
        <f>VLOOKUP(U214,Key!$E$2:$F$9,2,FALSE)</f>
        <v>Work</v>
      </c>
      <c r="W214" s="34" t="str">
        <f t="shared" si="7"/>
        <v>Work-Work</v>
      </c>
      <c r="X214" s="47">
        <v>100000</v>
      </c>
      <c r="Y214" s="38">
        <v>40</v>
      </c>
      <c r="Z214" s="38">
        <v>1</v>
      </c>
      <c r="AA214" s="32">
        <v>10</v>
      </c>
      <c r="AB214" s="34" t="str">
        <f>VLOOKUP(AA214,Key!$C$20:$D$29,2,FALSE)</f>
        <v>Other</v>
      </c>
      <c r="AC214" s="32">
        <v>5</v>
      </c>
      <c r="AD214" s="34" t="str">
        <f>VLOOKUP(AC214,Key!$E$20:$F$24,2,FALSE)</f>
        <v>&gt;1,000,000</v>
      </c>
      <c r="AE214" s="32">
        <v>1</v>
      </c>
      <c r="AF214" s="55">
        <v>1</v>
      </c>
      <c r="AG214" s="55">
        <v>1</v>
      </c>
      <c r="AH214" s="55">
        <v>1</v>
      </c>
      <c r="AI214" s="55">
        <v>1</v>
      </c>
      <c r="AJ214" s="39" t="s">
        <v>104</v>
      </c>
      <c r="AK214" s="40"/>
      <c r="AL214" s="24"/>
      <c r="AM214" s="24"/>
    </row>
    <row r="215" spans="2:39" hidden="1" x14ac:dyDescent="0.2">
      <c r="B215" s="50">
        <v>43687</v>
      </c>
      <c r="C215" s="35">
        <v>0.46249999999999997</v>
      </c>
      <c r="D215" s="35"/>
      <c r="E215" s="35" t="s">
        <v>111</v>
      </c>
      <c r="F215" s="37">
        <v>2</v>
      </c>
      <c r="G215" s="42" t="str">
        <f>VLOOKUP(F215,Key!$A$17:$B$21,2,FALSE)</f>
        <v>Road Vehicle</v>
      </c>
      <c r="H215" s="36">
        <v>5</v>
      </c>
      <c r="I215" s="43" t="str">
        <f>VLOOKUP(H215,Key!$A$2:$B$13,2,FALSE)</f>
        <v xml:space="preserve">Medium bus </v>
      </c>
      <c r="J215" s="37" t="s">
        <v>123</v>
      </c>
      <c r="K215" s="37">
        <v>3</v>
      </c>
      <c r="L215" s="45" t="str">
        <f>VLOOKUP(K215,Key!$A$24:$B$29,2,FALSE)</f>
        <v>40-49</v>
      </c>
      <c r="M215" s="37" t="s">
        <v>350</v>
      </c>
      <c r="N215" s="32" t="s">
        <v>167</v>
      </c>
      <c r="O215" s="37" t="s">
        <v>168</v>
      </c>
      <c r="P215" s="39">
        <v>4</v>
      </c>
      <c r="Q215" s="34" t="str">
        <f>VLOOKUP(P215,Key!$E$2:$F$9,2,FALSE)</f>
        <v>Commercial</v>
      </c>
      <c r="R215" s="37" t="s">
        <v>179</v>
      </c>
      <c r="S215" s="32" t="s">
        <v>179</v>
      </c>
      <c r="T215" s="37" t="s">
        <v>168</v>
      </c>
      <c r="U215" s="32">
        <v>4</v>
      </c>
      <c r="V215" s="34" t="str">
        <f>VLOOKUP(U215,Key!$E$2:$F$9,2,FALSE)</f>
        <v>Commercial</v>
      </c>
      <c r="W215" s="34" t="str">
        <f t="shared" si="7"/>
        <v>Commercial-Commercial</v>
      </c>
      <c r="X215" s="47">
        <v>40000</v>
      </c>
      <c r="Y215" s="38">
        <v>40</v>
      </c>
      <c r="Z215" s="38">
        <v>1</v>
      </c>
      <c r="AA215" s="32">
        <v>10</v>
      </c>
      <c r="AB215" s="34" t="str">
        <f>VLOOKUP(AA215,Key!$C$20:$D$29,2,FALSE)</f>
        <v>Other</v>
      </c>
      <c r="AC215" s="32">
        <v>2</v>
      </c>
      <c r="AD215" s="34" t="str">
        <f>VLOOKUP(AC215,Key!$E$20:$F$24,2,FALSE)</f>
        <v>300,000-500,000</v>
      </c>
      <c r="AE215" s="32">
        <v>1</v>
      </c>
      <c r="AF215" s="55">
        <v>1</v>
      </c>
      <c r="AG215" s="55">
        <v>1</v>
      </c>
      <c r="AH215" s="55">
        <v>1</v>
      </c>
      <c r="AI215" s="55">
        <v>1</v>
      </c>
      <c r="AJ215" s="39" t="s">
        <v>104</v>
      </c>
      <c r="AK215" s="40">
        <v>2000</v>
      </c>
      <c r="AL215" s="24"/>
      <c r="AM215" s="24"/>
    </row>
    <row r="216" spans="2:39" hidden="1" x14ac:dyDescent="0.2">
      <c r="B216" s="50">
        <v>43687</v>
      </c>
      <c r="C216" s="35">
        <v>0.47569444444444442</v>
      </c>
      <c r="D216" s="35"/>
      <c r="E216" s="35" t="s">
        <v>111</v>
      </c>
      <c r="F216" s="37">
        <v>2</v>
      </c>
      <c r="G216" s="42" t="str">
        <f>VLOOKUP(F216,Key!$A$17:$B$21,2,FALSE)</f>
        <v>Road Vehicle</v>
      </c>
      <c r="H216" s="36">
        <v>5</v>
      </c>
      <c r="I216" s="43" t="str">
        <f>VLOOKUP(H216,Key!$A$2:$B$13,2,FALSE)</f>
        <v xml:space="preserve">Medium bus </v>
      </c>
      <c r="J216" s="37" t="s">
        <v>123</v>
      </c>
      <c r="K216" s="37">
        <v>2</v>
      </c>
      <c r="L216" s="45" t="str">
        <f>VLOOKUP(K216,Key!$A$24:$B$29,2,FALSE)</f>
        <v>30-39</v>
      </c>
      <c r="M216" s="37" t="s">
        <v>187</v>
      </c>
      <c r="N216" s="32" t="s">
        <v>167</v>
      </c>
      <c r="O216" s="37" t="s">
        <v>168</v>
      </c>
      <c r="P216" s="39">
        <v>2</v>
      </c>
      <c r="Q216" s="34" t="str">
        <f>VLOOKUP(P216,Key!$E$2:$F$9,2,FALSE)</f>
        <v>Work</v>
      </c>
      <c r="R216" s="37" t="s">
        <v>176</v>
      </c>
      <c r="S216" s="32" t="s">
        <v>176</v>
      </c>
      <c r="T216" s="37" t="s">
        <v>168</v>
      </c>
      <c r="U216" s="32">
        <v>2</v>
      </c>
      <c r="V216" s="34" t="str">
        <f>VLOOKUP(U216,Key!$E$2:$F$9,2,FALSE)</f>
        <v>Work</v>
      </c>
      <c r="W216" s="34" t="str">
        <f t="shared" si="7"/>
        <v>Work-Work</v>
      </c>
      <c r="X216" s="47">
        <v>40000</v>
      </c>
      <c r="Y216" s="38">
        <v>40</v>
      </c>
      <c r="Z216" s="38">
        <v>2</v>
      </c>
      <c r="AA216" s="32">
        <v>10</v>
      </c>
      <c r="AB216" s="34" t="str">
        <f>VLOOKUP(AA216,Key!$C$20:$D$29,2,FALSE)</f>
        <v>Other</v>
      </c>
      <c r="AC216" s="32">
        <v>2</v>
      </c>
      <c r="AD216" s="34" t="str">
        <f>VLOOKUP(AC216,Key!$E$20:$F$24,2,FALSE)</f>
        <v>300,000-500,000</v>
      </c>
      <c r="AE216" s="32">
        <v>1</v>
      </c>
      <c r="AF216" s="55">
        <v>1</v>
      </c>
      <c r="AG216" s="55">
        <v>1</v>
      </c>
      <c r="AH216" s="55">
        <v>2</v>
      </c>
      <c r="AI216" s="55">
        <v>1</v>
      </c>
      <c r="AJ216" s="39" t="s">
        <v>104</v>
      </c>
      <c r="AK216" s="40">
        <v>2000</v>
      </c>
      <c r="AL216" s="24"/>
      <c r="AM216" s="24"/>
    </row>
    <row r="217" spans="2:39" x14ac:dyDescent="0.2">
      <c r="B217" s="50">
        <v>43686</v>
      </c>
      <c r="C217" s="35">
        <v>0.67152777777777783</v>
      </c>
      <c r="D217" s="35"/>
      <c r="E217" s="35" t="s">
        <v>111</v>
      </c>
      <c r="F217" s="37">
        <v>2</v>
      </c>
      <c r="G217" s="42" t="str">
        <f>VLOOKUP(F217,Key!$A$17:$B$21,2,FALSE)</f>
        <v>Road Vehicle</v>
      </c>
      <c r="H217" s="36">
        <v>5</v>
      </c>
      <c r="I217" s="43" t="str">
        <f>VLOOKUP(H217,Key!$A$2:$B$13,2,FALSE)</f>
        <v xml:space="preserve">Medium bus </v>
      </c>
      <c r="J217" s="37" t="s">
        <v>123</v>
      </c>
      <c r="K217" s="37">
        <v>2</v>
      </c>
      <c r="L217" s="45" t="str">
        <f>VLOOKUP(K217,Key!$A$24:$B$29,2,FALSE)</f>
        <v>30-39</v>
      </c>
      <c r="M217" s="44" t="s">
        <v>167</v>
      </c>
      <c r="N217" s="32" t="s">
        <v>167</v>
      </c>
      <c r="O217" s="37" t="s">
        <v>168</v>
      </c>
      <c r="P217" s="39">
        <v>2</v>
      </c>
      <c r="Q217" s="34" t="str">
        <f>VLOOKUP(P217,Key!$E$2:$F$9,2,FALSE)</f>
        <v>Work</v>
      </c>
      <c r="R217" s="37" t="s">
        <v>185</v>
      </c>
      <c r="S217" s="32" t="s">
        <v>176</v>
      </c>
      <c r="T217" s="37" t="s">
        <v>168</v>
      </c>
      <c r="U217" s="32">
        <v>4</v>
      </c>
      <c r="V217" s="34" t="str">
        <f>VLOOKUP(U217,Key!$E$2:$F$9,2,FALSE)</f>
        <v>Commercial</v>
      </c>
      <c r="W217" s="34" t="str">
        <f t="shared" si="7"/>
        <v>Work-Commercial</v>
      </c>
      <c r="X217" s="47">
        <v>100000</v>
      </c>
      <c r="Y217" s="38">
        <v>70</v>
      </c>
      <c r="Z217" s="38">
        <v>3</v>
      </c>
      <c r="AA217" s="32">
        <v>10</v>
      </c>
      <c r="AB217" s="34" t="str">
        <f>VLOOKUP(AA217,Key!$C$20:$D$29,2,FALSE)</f>
        <v>Other</v>
      </c>
      <c r="AC217" s="32">
        <v>3</v>
      </c>
      <c r="AD217" s="34" t="str">
        <f>VLOOKUP(AC217,Key!$E$20:$F$24,2,FALSE)</f>
        <v>500,000-750,000</v>
      </c>
      <c r="AE217" s="32">
        <v>1</v>
      </c>
      <c r="AF217" s="55">
        <v>1</v>
      </c>
      <c r="AG217" s="55">
        <v>2</v>
      </c>
      <c r="AH217" s="55">
        <v>1</v>
      </c>
      <c r="AI217" s="55">
        <v>1</v>
      </c>
      <c r="AJ217" s="39" t="s">
        <v>104</v>
      </c>
      <c r="AK217" s="40">
        <v>3000</v>
      </c>
      <c r="AL217" s="24"/>
      <c r="AM217" s="24"/>
    </row>
    <row r="218" spans="2:39" x14ac:dyDescent="0.2">
      <c r="B218" s="50">
        <v>43690</v>
      </c>
      <c r="C218" s="35">
        <v>0.34236111111111112</v>
      </c>
      <c r="D218" s="35"/>
      <c r="E218" s="35" t="s">
        <v>111</v>
      </c>
      <c r="F218" s="37">
        <v>2</v>
      </c>
      <c r="G218" s="42" t="str">
        <f>VLOOKUP(F218,Key!$A$17:$B$21,2,FALSE)</f>
        <v>Road Vehicle</v>
      </c>
      <c r="H218" s="36">
        <v>5</v>
      </c>
      <c r="I218" s="43" t="str">
        <f>VLOOKUP(H218,Key!$A$2:$B$13,2,FALSE)</f>
        <v xml:space="preserve">Medium bus </v>
      </c>
      <c r="J218" s="37" t="s">
        <v>123</v>
      </c>
      <c r="K218" s="37">
        <v>2</v>
      </c>
      <c r="L218" s="45" t="str">
        <f>VLOOKUP(K218,Key!$A$24:$B$29,2,FALSE)</f>
        <v>30-39</v>
      </c>
      <c r="M218" s="37" t="s">
        <v>167</v>
      </c>
      <c r="N218" s="32" t="s">
        <v>167</v>
      </c>
      <c r="O218" s="37" t="s">
        <v>168</v>
      </c>
      <c r="P218" s="39">
        <v>2</v>
      </c>
      <c r="Q218" s="34" t="str">
        <f>VLOOKUP(P218,Key!$E$2:$F$9,2,FALSE)</f>
        <v>Work</v>
      </c>
      <c r="R218" s="37" t="s">
        <v>185</v>
      </c>
      <c r="S218" s="32" t="s">
        <v>176</v>
      </c>
      <c r="T218" s="37" t="s">
        <v>168</v>
      </c>
      <c r="U218" s="32">
        <v>4</v>
      </c>
      <c r="V218" s="34" t="str">
        <f>VLOOKUP(U218,Key!$E$2:$F$9,2,FALSE)</f>
        <v>Commercial</v>
      </c>
      <c r="W218" s="34" t="str">
        <f t="shared" si="7"/>
        <v>Work-Commercial</v>
      </c>
      <c r="X218" s="47">
        <v>50000</v>
      </c>
      <c r="Y218" s="38">
        <v>70</v>
      </c>
      <c r="Z218" s="38">
        <v>3</v>
      </c>
      <c r="AA218" s="32">
        <v>10</v>
      </c>
      <c r="AB218" s="34" t="str">
        <f>VLOOKUP(AA218,Key!$C$20:$D$29,2,FALSE)</f>
        <v>Other</v>
      </c>
      <c r="AC218" s="32">
        <v>2</v>
      </c>
      <c r="AD218" s="34" t="str">
        <f>VLOOKUP(AC218,Key!$E$20:$F$24,2,FALSE)</f>
        <v>300,000-500,000</v>
      </c>
      <c r="AE218" s="32">
        <v>1</v>
      </c>
      <c r="AF218" s="55">
        <v>1</v>
      </c>
      <c r="AG218" s="55">
        <v>1</v>
      </c>
      <c r="AH218" s="55">
        <v>1</v>
      </c>
      <c r="AI218" s="55">
        <v>1</v>
      </c>
      <c r="AJ218" s="39" t="s">
        <v>104</v>
      </c>
      <c r="AK218" s="40">
        <v>5000</v>
      </c>
      <c r="AL218" s="24"/>
      <c r="AM218" s="24"/>
    </row>
    <row r="219" spans="2:39" x14ac:dyDescent="0.2">
      <c r="B219" s="50">
        <v>43690</v>
      </c>
      <c r="C219" s="35">
        <v>0.36458333333333331</v>
      </c>
      <c r="D219" s="35"/>
      <c r="E219" s="35" t="s">
        <v>111</v>
      </c>
      <c r="F219" s="37">
        <v>2</v>
      </c>
      <c r="G219" s="42" t="str">
        <f>VLOOKUP(F219,Key!$A$17:$B$21,2,FALSE)</f>
        <v>Road Vehicle</v>
      </c>
      <c r="H219" s="36">
        <v>5</v>
      </c>
      <c r="I219" s="43" t="str">
        <f>VLOOKUP(H219,Key!$A$2:$B$13,2,FALSE)</f>
        <v xml:space="preserve">Medium bus </v>
      </c>
      <c r="J219" s="37" t="s">
        <v>123</v>
      </c>
      <c r="K219" s="37">
        <v>2</v>
      </c>
      <c r="L219" s="45" t="str">
        <f>VLOOKUP(K219,Key!$A$24:$B$29,2,FALSE)</f>
        <v>30-39</v>
      </c>
      <c r="M219" s="37" t="s">
        <v>306</v>
      </c>
      <c r="N219" s="32" t="s">
        <v>176</v>
      </c>
      <c r="O219" s="37" t="s">
        <v>168</v>
      </c>
      <c r="P219" s="39">
        <v>2</v>
      </c>
      <c r="Q219" s="34" t="str">
        <f>VLOOKUP(P219,Key!$E$2:$F$9,2,FALSE)</f>
        <v>Work</v>
      </c>
      <c r="R219" s="37" t="s">
        <v>219</v>
      </c>
      <c r="S219" s="32" t="s">
        <v>176</v>
      </c>
      <c r="T219" s="37" t="s">
        <v>168</v>
      </c>
      <c r="U219" s="32">
        <v>4</v>
      </c>
      <c r="V219" s="34" t="str">
        <f>VLOOKUP(U219,Key!$E$2:$F$9,2,FALSE)</f>
        <v>Commercial</v>
      </c>
      <c r="W219" s="34" t="str">
        <f t="shared" si="7"/>
        <v>Work-Commercial</v>
      </c>
      <c r="X219" s="47">
        <v>60000</v>
      </c>
      <c r="Y219" s="38">
        <v>70</v>
      </c>
      <c r="Z219" s="38">
        <v>3</v>
      </c>
      <c r="AA219" s="32">
        <v>6</v>
      </c>
      <c r="AB219" s="34" t="str">
        <f>VLOOKUP(AA219,Key!$C$20:$D$29,2,FALSE)</f>
        <v>Businessman</v>
      </c>
      <c r="AC219" s="32">
        <v>4</v>
      </c>
      <c r="AD219" s="34" t="str">
        <f>VLOOKUP(AC219,Key!$E$20:$F$24,2,FALSE)</f>
        <v>750,000-1,000,000</v>
      </c>
      <c r="AE219" s="32">
        <v>1</v>
      </c>
      <c r="AF219" s="55">
        <v>1</v>
      </c>
      <c r="AG219" s="55">
        <v>2</v>
      </c>
      <c r="AH219" s="55">
        <v>2</v>
      </c>
      <c r="AI219" s="55">
        <v>2</v>
      </c>
      <c r="AJ219" s="39" t="s">
        <v>104</v>
      </c>
      <c r="AK219" s="40">
        <v>2000</v>
      </c>
      <c r="AL219" s="24"/>
      <c r="AM219" s="24"/>
    </row>
    <row r="220" spans="2:39" x14ac:dyDescent="0.2">
      <c r="B220" s="50">
        <v>43687</v>
      </c>
      <c r="C220" s="35">
        <v>0.31458333333333333</v>
      </c>
      <c r="D220" s="35"/>
      <c r="E220" s="35" t="s">
        <v>111</v>
      </c>
      <c r="F220" s="37">
        <v>2</v>
      </c>
      <c r="G220" s="42" t="str">
        <f>VLOOKUP(F220,Key!$A$17:$B$21,2,FALSE)</f>
        <v>Road Vehicle</v>
      </c>
      <c r="H220" s="36">
        <v>5</v>
      </c>
      <c r="I220" s="43" t="str">
        <f>VLOOKUP(H220,Key!$A$2:$B$13,2,FALSE)</f>
        <v xml:space="preserve">Medium bus </v>
      </c>
      <c r="J220" s="37" t="s">
        <v>123</v>
      </c>
      <c r="K220" s="37">
        <v>2</v>
      </c>
      <c r="L220" s="45" t="str">
        <f>VLOOKUP(K220,Key!$A$24:$B$29,2,FALSE)</f>
        <v>30-39</v>
      </c>
      <c r="M220" s="37" t="s">
        <v>306</v>
      </c>
      <c r="N220" s="32" t="s">
        <v>167</v>
      </c>
      <c r="O220" s="37" t="s">
        <v>168</v>
      </c>
      <c r="P220" s="39">
        <v>2</v>
      </c>
      <c r="Q220" s="34" t="str">
        <f>VLOOKUP(P220,Key!$E$2:$F$9,2,FALSE)</f>
        <v>Work</v>
      </c>
      <c r="R220" s="37" t="s">
        <v>218</v>
      </c>
      <c r="S220" s="32" t="s">
        <v>176</v>
      </c>
      <c r="T220" s="37" t="s">
        <v>168</v>
      </c>
      <c r="U220" s="32">
        <v>2</v>
      </c>
      <c r="V220" s="34" t="str">
        <f>VLOOKUP(U220,Key!$E$2:$F$9,2,FALSE)</f>
        <v>Work</v>
      </c>
      <c r="W220" s="34" t="str">
        <f t="shared" si="7"/>
        <v>Work-Work</v>
      </c>
      <c r="X220" s="47">
        <v>50000</v>
      </c>
      <c r="Y220" s="38">
        <v>75</v>
      </c>
      <c r="Z220" s="38">
        <v>3</v>
      </c>
      <c r="AA220" s="32">
        <v>6</v>
      </c>
      <c r="AB220" s="34" t="str">
        <f>VLOOKUP(AA220,Key!$C$20:$D$29,2,FALSE)</f>
        <v>Businessman</v>
      </c>
      <c r="AC220" s="32">
        <v>5</v>
      </c>
      <c r="AD220" s="34" t="str">
        <f>VLOOKUP(AC220,Key!$E$20:$F$24,2,FALSE)</f>
        <v>&gt;1,000,000</v>
      </c>
      <c r="AE220" s="32">
        <v>1</v>
      </c>
      <c r="AF220" s="55">
        <v>1</v>
      </c>
      <c r="AG220" s="55">
        <v>1</v>
      </c>
      <c r="AH220" s="55">
        <v>1</v>
      </c>
      <c r="AI220" s="55">
        <v>1</v>
      </c>
      <c r="AJ220" s="39" t="s">
        <v>104</v>
      </c>
      <c r="AK220" s="40">
        <v>3000</v>
      </c>
      <c r="AL220" s="24"/>
      <c r="AM220" s="24"/>
    </row>
    <row r="221" spans="2:39" x14ac:dyDescent="0.2">
      <c r="B221" s="50">
        <v>43690</v>
      </c>
      <c r="C221" s="35">
        <v>0.34791666666666665</v>
      </c>
      <c r="D221" s="35"/>
      <c r="E221" s="35" t="s">
        <v>111</v>
      </c>
      <c r="F221" s="37">
        <v>2</v>
      </c>
      <c r="G221" s="42" t="str">
        <f>VLOOKUP(F221,Key!$A$17:$B$21,2,FALSE)</f>
        <v>Road Vehicle</v>
      </c>
      <c r="H221" s="36">
        <v>5</v>
      </c>
      <c r="I221" s="43" t="str">
        <f>VLOOKUP(H221,Key!$A$2:$B$13,2,FALSE)</f>
        <v xml:space="preserve">Medium bus </v>
      </c>
      <c r="J221" s="37" t="s">
        <v>123</v>
      </c>
      <c r="K221" s="37">
        <v>2</v>
      </c>
      <c r="L221" s="45" t="str">
        <f>VLOOKUP(K221,Key!$A$24:$B$29,2,FALSE)</f>
        <v>30-39</v>
      </c>
      <c r="M221" s="37" t="s">
        <v>167</v>
      </c>
      <c r="N221" s="32" t="s">
        <v>167</v>
      </c>
      <c r="O221" s="37" t="s">
        <v>168</v>
      </c>
      <c r="P221" s="39">
        <v>2</v>
      </c>
      <c r="Q221" s="34" t="str">
        <f>VLOOKUP(P221,Key!$E$2:$F$9,2,FALSE)</f>
        <v>Work</v>
      </c>
      <c r="R221" s="37" t="s">
        <v>176</v>
      </c>
      <c r="S221" s="32" t="s">
        <v>176</v>
      </c>
      <c r="T221" s="37" t="s">
        <v>168</v>
      </c>
      <c r="U221" s="32">
        <v>2</v>
      </c>
      <c r="V221" s="34" t="str">
        <f>VLOOKUP(U221,Key!$E$2:$F$9,2,FALSE)</f>
        <v>Work</v>
      </c>
      <c r="W221" s="34" t="str">
        <f t="shared" si="7"/>
        <v>Work-Work</v>
      </c>
      <c r="X221" s="47">
        <v>50000</v>
      </c>
      <c r="Y221" s="38">
        <v>80</v>
      </c>
      <c r="Z221" s="38">
        <v>3</v>
      </c>
      <c r="AA221" s="32">
        <v>6</v>
      </c>
      <c r="AB221" s="34" t="str">
        <f>VLOOKUP(AA221,Key!$C$20:$D$29,2,FALSE)</f>
        <v>Businessman</v>
      </c>
      <c r="AC221" s="32">
        <v>2</v>
      </c>
      <c r="AD221" s="34" t="str">
        <f>VLOOKUP(AC221,Key!$E$20:$F$24,2,FALSE)</f>
        <v>300,000-500,000</v>
      </c>
      <c r="AE221" s="32">
        <v>1</v>
      </c>
      <c r="AF221" s="55">
        <v>2</v>
      </c>
      <c r="AG221" s="55">
        <v>3</v>
      </c>
      <c r="AH221" s="55">
        <v>1</v>
      </c>
      <c r="AI221" s="55">
        <v>3</v>
      </c>
      <c r="AJ221" s="39" t="s">
        <v>104</v>
      </c>
      <c r="AK221" s="40">
        <v>4000</v>
      </c>
      <c r="AL221" s="24"/>
      <c r="AM221" s="24"/>
    </row>
    <row r="222" spans="2:39" x14ac:dyDescent="0.2">
      <c r="B222" s="50">
        <v>43690</v>
      </c>
      <c r="C222" s="35">
        <v>0.60763888888888895</v>
      </c>
      <c r="D222" s="35"/>
      <c r="E222" s="35" t="s">
        <v>111</v>
      </c>
      <c r="F222" s="37">
        <v>2</v>
      </c>
      <c r="G222" s="42" t="str">
        <f>VLOOKUP(F222,Key!$A$17:$B$21,2,FALSE)</f>
        <v>Road Vehicle</v>
      </c>
      <c r="H222" s="36">
        <v>5</v>
      </c>
      <c r="I222" s="43" t="str">
        <f>VLOOKUP(H222,Key!$A$2:$B$13,2,FALSE)</f>
        <v xml:space="preserve">Medium bus </v>
      </c>
      <c r="J222" s="37" t="s">
        <v>123</v>
      </c>
      <c r="K222" s="37">
        <v>2</v>
      </c>
      <c r="L222" s="45" t="str">
        <f>VLOOKUP(K222,Key!$A$24:$B$29,2,FALSE)</f>
        <v>30-39</v>
      </c>
      <c r="M222" s="37" t="s">
        <v>297</v>
      </c>
      <c r="N222" s="32" t="s">
        <v>167</v>
      </c>
      <c r="O222" s="37" t="s">
        <v>168</v>
      </c>
      <c r="P222" s="39">
        <v>2</v>
      </c>
      <c r="Q222" s="34" t="str">
        <f>VLOOKUP(P222,Key!$E$2:$F$9,2,FALSE)</f>
        <v>Work</v>
      </c>
      <c r="R222" s="37" t="s">
        <v>176</v>
      </c>
      <c r="S222" s="32" t="s">
        <v>176</v>
      </c>
      <c r="T222" s="37" t="s">
        <v>168</v>
      </c>
      <c r="U222" s="32">
        <v>2</v>
      </c>
      <c r="V222" s="34" t="str">
        <f>VLOOKUP(U222,Key!$E$2:$F$9,2,FALSE)</f>
        <v>Work</v>
      </c>
      <c r="W222" s="34" t="str">
        <f t="shared" si="7"/>
        <v>Work-Work</v>
      </c>
      <c r="X222" s="47">
        <v>80000</v>
      </c>
      <c r="Y222" s="38">
        <v>80</v>
      </c>
      <c r="Z222" s="38">
        <v>3</v>
      </c>
      <c r="AA222" s="32">
        <v>10</v>
      </c>
      <c r="AB222" s="34" t="str">
        <f>VLOOKUP(AA222,Key!$C$20:$D$29,2,FALSE)</f>
        <v>Other</v>
      </c>
      <c r="AC222" s="32">
        <v>2</v>
      </c>
      <c r="AD222" s="34" t="str">
        <f>VLOOKUP(AC222,Key!$E$20:$F$24,2,FALSE)</f>
        <v>300,000-500,000</v>
      </c>
      <c r="AE222" s="32">
        <v>2</v>
      </c>
      <c r="AF222" s="55">
        <v>3</v>
      </c>
      <c r="AG222" s="55">
        <v>4</v>
      </c>
      <c r="AH222" s="55">
        <v>1</v>
      </c>
      <c r="AI222" s="55">
        <v>3</v>
      </c>
      <c r="AJ222" s="39" t="s">
        <v>104</v>
      </c>
      <c r="AK222" s="40">
        <v>3000</v>
      </c>
      <c r="AL222" s="24"/>
      <c r="AM222" s="24"/>
    </row>
    <row r="223" spans="2:39" x14ac:dyDescent="0.2">
      <c r="B223" s="50">
        <v>43690</v>
      </c>
      <c r="C223" s="35">
        <v>0.40277777777777773</v>
      </c>
      <c r="D223" s="35"/>
      <c r="E223" s="35" t="s">
        <v>111</v>
      </c>
      <c r="F223" s="37">
        <v>2</v>
      </c>
      <c r="G223" s="42" t="str">
        <f>VLOOKUP(F223,Key!$A$17:$B$21,2,FALSE)</f>
        <v>Road Vehicle</v>
      </c>
      <c r="H223" s="36">
        <v>5</v>
      </c>
      <c r="I223" s="43" t="str">
        <f>VLOOKUP(H223,Key!$A$2:$B$13,2,FALSE)</f>
        <v xml:space="preserve">Medium bus </v>
      </c>
      <c r="J223" s="37" t="s">
        <v>123</v>
      </c>
      <c r="K223" s="37">
        <v>2</v>
      </c>
      <c r="L223" s="45" t="str">
        <f>VLOOKUP(K223,Key!$A$24:$B$29,2,FALSE)</f>
        <v>30-39</v>
      </c>
      <c r="M223" s="37" t="s">
        <v>343</v>
      </c>
      <c r="N223" s="32" t="s">
        <v>179</v>
      </c>
      <c r="O223" s="37" t="s">
        <v>168</v>
      </c>
      <c r="P223" s="39">
        <v>2</v>
      </c>
      <c r="Q223" s="34" t="str">
        <f>VLOOKUP(P223,Key!$E$2:$F$9,2,FALSE)</f>
        <v>Work</v>
      </c>
      <c r="R223" s="37" t="s">
        <v>218</v>
      </c>
      <c r="S223" s="32" t="s">
        <v>176</v>
      </c>
      <c r="T223" s="37" t="s">
        <v>168</v>
      </c>
      <c r="U223" s="32">
        <v>2</v>
      </c>
      <c r="V223" s="34" t="str">
        <f>VLOOKUP(U223,Key!$E$2:$F$9,2,FALSE)</f>
        <v>Work</v>
      </c>
      <c r="W223" s="34" t="str">
        <f t="shared" si="7"/>
        <v>Work-Work</v>
      </c>
      <c r="X223" s="47">
        <v>60000</v>
      </c>
      <c r="Y223" s="38">
        <v>100</v>
      </c>
      <c r="Z223" s="38">
        <v>3</v>
      </c>
      <c r="AA223" s="32">
        <v>6</v>
      </c>
      <c r="AB223" s="34" t="str">
        <f>VLOOKUP(AA223,Key!$C$20:$D$29,2,FALSE)</f>
        <v>Businessman</v>
      </c>
      <c r="AC223" s="32">
        <v>4</v>
      </c>
      <c r="AD223" s="34" t="str">
        <f>VLOOKUP(AC223,Key!$E$20:$F$24,2,FALSE)</f>
        <v>750,000-1,000,000</v>
      </c>
      <c r="AE223" s="32">
        <v>1</v>
      </c>
      <c r="AF223" s="55">
        <v>1</v>
      </c>
      <c r="AG223" s="55">
        <v>1</v>
      </c>
      <c r="AH223" s="55">
        <v>1</v>
      </c>
      <c r="AI223" s="55">
        <v>1</v>
      </c>
      <c r="AJ223" s="39" t="s">
        <v>104</v>
      </c>
      <c r="AK223" s="40"/>
      <c r="AL223" s="24"/>
      <c r="AM223" s="24"/>
    </row>
    <row r="224" spans="2:39" x14ac:dyDescent="0.2">
      <c r="B224" s="50">
        <v>43690</v>
      </c>
      <c r="C224" s="35">
        <v>0.67499999999999993</v>
      </c>
      <c r="D224" s="35"/>
      <c r="E224" s="35" t="s">
        <v>111</v>
      </c>
      <c r="F224" s="37">
        <v>2</v>
      </c>
      <c r="G224" s="42" t="str">
        <f>VLOOKUP(F224,Key!$A$17:$B$21,2,FALSE)</f>
        <v>Road Vehicle</v>
      </c>
      <c r="H224" s="36">
        <v>5</v>
      </c>
      <c r="I224" s="43" t="str">
        <f>VLOOKUP(H224,Key!$A$2:$B$13,2,FALSE)</f>
        <v xml:space="preserve">Medium bus </v>
      </c>
      <c r="J224" s="37" t="s">
        <v>123</v>
      </c>
      <c r="K224" s="37">
        <v>3</v>
      </c>
      <c r="L224" s="45" t="str">
        <f>VLOOKUP(K224,Key!$A$24:$B$29,2,FALSE)</f>
        <v>40-49</v>
      </c>
      <c r="M224" s="44" t="s">
        <v>167</v>
      </c>
      <c r="N224" s="32" t="s">
        <v>167</v>
      </c>
      <c r="O224" s="37" t="s">
        <v>168</v>
      </c>
      <c r="P224" s="39">
        <v>2</v>
      </c>
      <c r="Q224" s="34" t="str">
        <f>VLOOKUP(P224,Key!$E$2:$F$9,2,FALSE)</f>
        <v>Work</v>
      </c>
      <c r="R224" s="37" t="s">
        <v>176</v>
      </c>
      <c r="S224" s="32" t="s">
        <v>176</v>
      </c>
      <c r="T224" s="37" t="s">
        <v>168</v>
      </c>
      <c r="U224" s="32">
        <v>4</v>
      </c>
      <c r="V224" s="34" t="str">
        <f>VLOOKUP(U224,Key!$E$2:$F$9,2,FALSE)</f>
        <v>Commercial</v>
      </c>
      <c r="W224" s="34" t="str">
        <f t="shared" si="7"/>
        <v>Work-Commercial</v>
      </c>
      <c r="X224" s="47">
        <v>100000</v>
      </c>
      <c r="Y224" s="38">
        <v>70</v>
      </c>
      <c r="Z224" s="38">
        <v>3</v>
      </c>
      <c r="AA224" s="32">
        <v>10</v>
      </c>
      <c r="AB224" s="34" t="str">
        <f>VLOOKUP(AA224,Key!$C$20:$D$29,2,FALSE)</f>
        <v>Other</v>
      </c>
      <c r="AC224" s="32">
        <v>2</v>
      </c>
      <c r="AD224" s="34" t="str">
        <f>VLOOKUP(AC224,Key!$E$20:$F$24,2,FALSE)</f>
        <v>300,000-500,000</v>
      </c>
      <c r="AE224" s="32">
        <v>1</v>
      </c>
      <c r="AF224" s="55">
        <v>2</v>
      </c>
      <c r="AG224" s="55">
        <v>1</v>
      </c>
      <c r="AH224" s="55">
        <v>1</v>
      </c>
      <c r="AI224" s="55">
        <v>1</v>
      </c>
      <c r="AJ224" s="39" t="s">
        <v>104</v>
      </c>
      <c r="AK224" s="40">
        <v>1000</v>
      </c>
      <c r="AL224" s="24"/>
      <c r="AM224" s="24"/>
    </row>
    <row r="225" spans="2:39" x14ac:dyDescent="0.2">
      <c r="B225" s="50">
        <v>43689</v>
      </c>
      <c r="C225" s="35">
        <v>0.50694444444444442</v>
      </c>
      <c r="D225" s="35"/>
      <c r="E225" s="35" t="s">
        <v>111</v>
      </c>
      <c r="F225" s="37">
        <v>2</v>
      </c>
      <c r="G225" s="42" t="str">
        <f>VLOOKUP(F225,Key!$A$17:$B$21,2,FALSE)</f>
        <v>Road Vehicle</v>
      </c>
      <c r="H225" s="36">
        <v>5</v>
      </c>
      <c r="I225" s="43" t="str">
        <f>VLOOKUP(H225,Key!$A$2:$B$13,2,FALSE)</f>
        <v xml:space="preserve">Medium bus </v>
      </c>
      <c r="J225" s="37" t="s">
        <v>123</v>
      </c>
      <c r="K225" s="37">
        <v>3</v>
      </c>
      <c r="L225" s="45" t="str">
        <f>VLOOKUP(K225,Key!$A$24:$B$29,2,FALSE)</f>
        <v>40-49</v>
      </c>
      <c r="M225" s="44" t="s">
        <v>184</v>
      </c>
      <c r="N225" s="32" t="s">
        <v>176</v>
      </c>
      <c r="O225" s="37" t="s">
        <v>168</v>
      </c>
      <c r="P225" s="39">
        <v>2</v>
      </c>
      <c r="Q225" s="34" t="str">
        <f>VLOOKUP(P225,Key!$E$2:$F$9,2,FALSE)</f>
        <v>Work</v>
      </c>
      <c r="R225" s="37" t="s">
        <v>167</v>
      </c>
      <c r="S225" s="32" t="s">
        <v>167</v>
      </c>
      <c r="T225" s="37" t="s">
        <v>168</v>
      </c>
      <c r="U225" s="32">
        <v>4</v>
      </c>
      <c r="V225" s="34" t="str">
        <f>VLOOKUP(U225,Key!$E$2:$F$9,2,FALSE)</f>
        <v>Commercial</v>
      </c>
      <c r="W225" s="34" t="str">
        <f t="shared" si="7"/>
        <v>Work-Commercial</v>
      </c>
      <c r="X225" s="47">
        <v>10000</v>
      </c>
      <c r="Y225" s="38">
        <v>70</v>
      </c>
      <c r="Z225" s="38">
        <v>3</v>
      </c>
      <c r="AA225" s="32">
        <v>10</v>
      </c>
      <c r="AB225" s="34" t="str">
        <f>VLOOKUP(AA225,Key!$C$20:$D$29,2,FALSE)</f>
        <v>Other</v>
      </c>
      <c r="AC225" s="32">
        <v>2</v>
      </c>
      <c r="AD225" s="34" t="str">
        <f>VLOOKUP(AC225,Key!$E$20:$F$24,2,FALSE)</f>
        <v>300,000-500,000</v>
      </c>
      <c r="AE225" s="32">
        <v>1</v>
      </c>
      <c r="AF225" s="55">
        <v>1</v>
      </c>
      <c r="AG225" s="55">
        <v>2</v>
      </c>
      <c r="AH225" s="55">
        <v>1</v>
      </c>
      <c r="AI225" s="55">
        <v>1</v>
      </c>
      <c r="AJ225" s="39" t="s">
        <v>104</v>
      </c>
      <c r="AK225" s="40">
        <v>1000</v>
      </c>
      <c r="AL225" s="24"/>
      <c r="AM225" s="24"/>
    </row>
    <row r="226" spans="2:39" x14ac:dyDescent="0.2">
      <c r="B226" s="50">
        <v>43689</v>
      </c>
      <c r="C226" s="35">
        <v>0.46180555555555558</v>
      </c>
      <c r="D226" s="35"/>
      <c r="E226" s="35" t="s">
        <v>111</v>
      </c>
      <c r="F226" s="37">
        <v>2</v>
      </c>
      <c r="G226" s="42" t="str">
        <f>VLOOKUP(F226,Key!$A$17:$B$21,2,FALSE)</f>
        <v>Road Vehicle</v>
      </c>
      <c r="H226" s="36">
        <v>5</v>
      </c>
      <c r="I226" s="43" t="str">
        <f>VLOOKUP(H226,Key!$A$2:$B$13,2,FALSE)</f>
        <v xml:space="preserve">Medium bus </v>
      </c>
      <c r="J226" s="37" t="s">
        <v>123</v>
      </c>
      <c r="K226" s="37">
        <v>3</v>
      </c>
      <c r="L226" s="45" t="str">
        <f>VLOOKUP(K226,Key!$A$24:$B$29,2,FALSE)</f>
        <v>40-49</v>
      </c>
      <c r="M226" s="37" t="s">
        <v>167</v>
      </c>
      <c r="N226" s="32" t="s">
        <v>167</v>
      </c>
      <c r="O226" s="37" t="s">
        <v>168</v>
      </c>
      <c r="P226" s="39">
        <v>2</v>
      </c>
      <c r="Q226" s="34" t="str">
        <f>VLOOKUP(P226,Key!$E$2:$F$9,2,FALSE)</f>
        <v>Work</v>
      </c>
      <c r="R226" s="37" t="s">
        <v>185</v>
      </c>
      <c r="S226" s="32" t="s">
        <v>176</v>
      </c>
      <c r="T226" s="37" t="s">
        <v>168</v>
      </c>
      <c r="U226" s="32">
        <v>2</v>
      </c>
      <c r="V226" s="34" t="str">
        <f>VLOOKUP(U226,Key!$E$2:$F$9,2,FALSE)</f>
        <v>Work</v>
      </c>
      <c r="W226" s="34" t="str">
        <f t="shared" si="7"/>
        <v>Work-Work</v>
      </c>
      <c r="X226" s="47">
        <v>50000</v>
      </c>
      <c r="Y226" s="38">
        <v>70</v>
      </c>
      <c r="Z226" s="38">
        <v>3</v>
      </c>
      <c r="AA226" s="32">
        <v>6</v>
      </c>
      <c r="AB226" s="34" t="str">
        <f>VLOOKUP(AA226,Key!$C$20:$D$29,2,FALSE)</f>
        <v>Businessman</v>
      </c>
      <c r="AC226" s="32">
        <v>5</v>
      </c>
      <c r="AD226" s="34" t="str">
        <f>VLOOKUP(AC226,Key!$E$20:$F$24,2,FALSE)</f>
        <v>&gt;1,000,000</v>
      </c>
      <c r="AE226" s="32">
        <v>1</v>
      </c>
      <c r="AF226" s="55">
        <v>1</v>
      </c>
      <c r="AG226" s="55">
        <v>1</v>
      </c>
      <c r="AH226" s="55">
        <v>1</v>
      </c>
      <c r="AI226" s="55">
        <v>1</v>
      </c>
      <c r="AJ226" s="39" t="s">
        <v>104</v>
      </c>
      <c r="AK226" s="40">
        <v>3000</v>
      </c>
      <c r="AL226" s="24"/>
      <c r="AM226" s="24"/>
    </row>
    <row r="227" spans="2:39" x14ac:dyDescent="0.2">
      <c r="B227" s="50">
        <v>43689</v>
      </c>
      <c r="C227" s="35">
        <v>0.43055555555555558</v>
      </c>
      <c r="D227" s="35"/>
      <c r="E227" s="35" t="s">
        <v>111</v>
      </c>
      <c r="F227" s="37">
        <v>2</v>
      </c>
      <c r="G227" s="42" t="str">
        <f>VLOOKUP(F227,Key!$A$17:$B$21,2,FALSE)</f>
        <v>Road Vehicle</v>
      </c>
      <c r="H227" s="36">
        <v>5</v>
      </c>
      <c r="I227" s="43" t="str">
        <f>VLOOKUP(H227,Key!$A$2:$B$13,2,FALSE)</f>
        <v xml:space="preserve">Medium bus </v>
      </c>
      <c r="J227" s="37" t="s">
        <v>123</v>
      </c>
      <c r="K227" s="37">
        <v>3</v>
      </c>
      <c r="L227" s="45" t="str">
        <f>VLOOKUP(K227,Key!$A$24:$B$29,2,FALSE)</f>
        <v>40-49</v>
      </c>
      <c r="M227" s="37" t="s">
        <v>167</v>
      </c>
      <c r="N227" s="32" t="s">
        <v>167</v>
      </c>
      <c r="O227" s="37" t="s">
        <v>168</v>
      </c>
      <c r="P227" s="39">
        <v>2</v>
      </c>
      <c r="Q227" s="34" t="str">
        <f>VLOOKUP(P227,Key!$E$2:$F$9,2,FALSE)</f>
        <v>Work</v>
      </c>
      <c r="R227" s="37" t="s">
        <v>219</v>
      </c>
      <c r="S227" s="32" t="s">
        <v>176</v>
      </c>
      <c r="T227" s="37" t="s">
        <v>168</v>
      </c>
      <c r="U227" s="32">
        <v>2</v>
      </c>
      <c r="V227" s="34" t="str">
        <f>VLOOKUP(U227,Key!$E$2:$F$9,2,FALSE)</f>
        <v>Work</v>
      </c>
      <c r="W227" s="34" t="str">
        <f t="shared" si="7"/>
        <v>Work-Work</v>
      </c>
      <c r="X227" s="47">
        <v>50000</v>
      </c>
      <c r="Y227" s="38">
        <v>70</v>
      </c>
      <c r="Z227" s="38">
        <v>3</v>
      </c>
      <c r="AA227" s="32">
        <v>5</v>
      </c>
      <c r="AB227" s="34" t="str">
        <f>VLOOKUP(AA227,Key!$C$20:$D$29,2,FALSE)</f>
        <v>Professional</v>
      </c>
      <c r="AC227" s="32">
        <v>5</v>
      </c>
      <c r="AD227" s="34" t="str">
        <f>VLOOKUP(AC227,Key!$E$20:$F$24,2,FALSE)</f>
        <v>&gt;1,000,000</v>
      </c>
      <c r="AE227" s="32">
        <v>1</v>
      </c>
      <c r="AF227" s="55">
        <v>1</v>
      </c>
      <c r="AG227" s="55">
        <v>3</v>
      </c>
      <c r="AH227" s="55">
        <v>2</v>
      </c>
      <c r="AI227" s="55">
        <v>2</v>
      </c>
      <c r="AJ227" s="39" t="s">
        <v>104</v>
      </c>
      <c r="AK227" s="40">
        <v>2000</v>
      </c>
      <c r="AL227" s="24"/>
      <c r="AM227" s="24"/>
    </row>
    <row r="228" spans="2:39" x14ac:dyDescent="0.2">
      <c r="B228" s="50">
        <v>43686</v>
      </c>
      <c r="C228" s="35">
        <v>0.7583333333333333</v>
      </c>
      <c r="D228" s="35"/>
      <c r="E228" s="35" t="s">
        <v>111</v>
      </c>
      <c r="F228" s="37">
        <v>2</v>
      </c>
      <c r="G228" s="42" t="str">
        <f>VLOOKUP(F228,Key!$A$17:$B$21,2,FALSE)</f>
        <v>Road Vehicle</v>
      </c>
      <c r="H228" s="36">
        <v>5</v>
      </c>
      <c r="I228" s="43" t="str">
        <f>VLOOKUP(H228,Key!$A$2:$B$13,2,FALSE)</f>
        <v xml:space="preserve">Medium bus </v>
      </c>
      <c r="J228" s="37" t="s">
        <v>123</v>
      </c>
      <c r="K228" s="37">
        <v>3</v>
      </c>
      <c r="L228" s="45" t="str">
        <f>VLOOKUP(K228,Key!$A$24:$B$29,2,FALSE)</f>
        <v>40-49</v>
      </c>
      <c r="M228" s="37" t="s">
        <v>187</v>
      </c>
      <c r="N228" s="32" t="s">
        <v>167</v>
      </c>
      <c r="O228" s="37" t="s">
        <v>168</v>
      </c>
      <c r="P228" s="39">
        <v>2</v>
      </c>
      <c r="Q228" s="34" t="str">
        <f>VLOOKUP(P228,Key!$E$2:$F$9,2,FALSE)</f>
        <v>Work</v>
      </c>
      <c r="R228" s="37" t="s">
        <v>218</v>
      </c>
      <c r="S228" s="32" t="s">
        <v>176</v>
      </c>
      <c r="T228" s="37" t="s">
        <v>168</v>
      </c>
      <c r="U228" s="32">
        <v>2</v>
      </c>
      <c r="V228" s="34" t="str">
        <f>VLOOKUP(U228,Key!$E$2:$F$9,2,FALSE)</f>
        <v>Work</v>
      </c>
      <c r="W228" s="34" t="str">
        <f t="shared" si="7"/>
        <v>Work-Work</v>
      </c>
      <c r="X228" s="47">
        <v>40000</v>
      </c>
      <c r="Y228" s="38">
        <v>70</v>
      </c>
      <c r="Z228" s="38">
        <v>3.5</v>
      </c>
      <c r="AA228" s="32">
        <v>6</v>
      </c>
      <c r="AB228" s="34" t="str">
        <f>VLOOKUP(AA228,Key!$C$20:$D$29,2,FALSE)</f>
        <v>Businessman</v>
      </c>
      <c r="AC228" s="32">
        <v>3</v>
      </c>
      <c r="AD228" s="34" t="str">
        <f>VLOOKUP(AC228,Key!$E$20:$F$24,2,FALSE)</f>
        <v>500,000-750,000</v>
      </c>
      <c r="AE228" s="32">
        <v>1</v>
      </c>
      <c r="AF228" s="55">
        <v>1</v>
      </c>
      <c r="AG228" s="55">
        <v>1</v>
      </c>
      <c r="AH228" s="55">
        <v>1</v>
      </c>
      <c r="AI228" s="55">
        <v>1</v>
      </c>
      <c r="AJ228" s="39" t="s">
        <v>104</v>
      </c>
      <c r="AK228" s="40">
        <v>2000</v>
      </c>
      <c r="AL228" s="24"/>
      <c r="AM228" s="24"/>
    </row>
    <row r="229" spans="2:39" x14ac:dyDescent="0.2">
      <c r="B229" s="50">
        <v>43690</v>
      </c>
      <c r="C229" s="35">
        <v>0.33611111111111108</v>
      </c>
      <c r="D229" s="35"/>
      <c r="E229" s="35" t="s">
        <v>111</v>
      </c>
      <c r="F229" s="37">
        <v>2</v>
      </c>
      <c r="G229" s="42" t="str">
        <f>VLOOKUP(F229,Key!$A$17:$B$21,2,FALSE)</f>
        <v>Road Vehicle</v>
      </c>
      <c r="H229" s="36">
        <v>5</v>
      </c>
      <c r="I229" s="43" t="str">
        <f>VLOOKUP(H229,Key!$A$2:$B$13,2,FALSE)</f>
        <v xml:space="preserve">Medium bus </v>
      </c>
      <c r="J229" s="37" t="s">
        <v>123</v>
      </c>
      <c r="K229" s="37">
        <v>3</v>
      </c>
      <c r="L229" s="45" t="str">
        <f>VLOOKUP(K229,Key!$A$24:$B$29,2,FALSE)</f>
        <v>40-49</v>
      </c>
      <c r="M229" s="37" t="s">
        <v>218</v>
      </c>
      <c r="N229" s="32" t="s">
        <v>176</v>
      </c>
      <c r="O229" s="37" t="s">
        <v>168</v>
      </c>
      <c r="P229" s="39">
        <v>2</v>
      </c>
      <c r="Q229" s="34" t="str">
        <f>VLOOKUP(P229,Key!$E$2:$F$9,2,FALSE)</f>
        <v>Work</v>
      </c>
      <c r="R229" s="37" t="s">
        <v>167</v>
      </c>
      <c r="S229" s="32" t="s">
        <v>167</v>
      </c>
      <c r="T229" s="37" t="s">
        <v>168</v>
      </c>
      <c r="U229" s="32">
        <v>2</v>
      </c>
      <c r="V229" s="34" t="str">
        <f>VLOOKUP(U229,Key!$E$2:$F$9,2,FALSE)</f>
        <v>Work</v>
      </c>
      <c r="W229" s="34" t="str">
        <f t="shared" si="7"/>
        <v>Work-Work</v>
      </c>
      <c r="X229" s="47">
        <v>55000</v>
      </c>
      <c r="Y229" s="38">
        <v>75</v>
      </c>
      <c r="Z229" s="38">
        <v>3.5</v>
      </c>
      <c r="AA229" s="32">
        <v>5</v>
      </c>
      <c r="AB229" s="34" t="str">
        <f>VLOOKUP(AA229,Key!$C$20:$D$29,2,FALSE)</f>
        <v>Professional</v>
      </c>
      <c r="AC229" s="32">
        <v>4</v>
      </c>
      <c r="AD229" s="34" t="str">
        <f>VLOOKUP(AC229,Key!$E$20:$F$24,2,FALSE)</f>
        <v>750,000-1,000,000</v>
      </c>
      <c r="AE229" s="32">
        <v>1</v>
      </c>
      <c r="AF229" s="55">
        <v>1</v>
      </c>
      <c r="AG229" s="55">
        <v>1</v>
      </c>
      <c r="AH229" s="55">
        <v>1</v>
      </c>
      <c r="AI229" s="55">
        <v>1</v>
      </c>
      <c r="AJ229" s="39" t="s">
        <v>104</v>
      </c>
      <c r="AK229" s="40">
        <v>2000</v>
      </c>
      <c r="AL229" s="24"/>
      <c r="AM229" s="24"/>
    </row>
    <row r="230" spans="2:39" x14ac:dyDescent="0.2">
      <c r="B230" s="50">
        <v>43690</v>
      </c>
      <c r="C230" s="35">
        <v>0.35902777777777778</v>
      </c>
      <c r="D230" s="35"/>
      <c r="E230" s="35" t="s">
        <v>111</v>
      </c>
      <c r="F230" s="37">
        <v>2</v>
      </c>
      <c r="G230" s="42" t="str">
        <f>VLOOKUP(F230,Key!$A$17:$B$21,2,FALSE)</f>
        <v>Road Vehicle</v>
      </c>
      <c r="H230" s="36">
        <v>5</v>
      </c>
      <c r="I230" s="43" t="str">
        <f>VLOOKUP(H230,Key!$A$2:$B$13,2,FALSE)</f>
        <v xml:space="preserve">Medium bus </v>
      </c>
      <c r="J230" s="37" t="s">
        <v>123</v>
      </c>
      <c r="K230" s="37">
        <v>3</v>
      </c>
      <c r="L230" s="45" t="str">
        <f>VLOOKUP(K230,Key!$A$24:$B$29,2,FALSE)</f>
        <v>40-49</v>
      </c>
      <c r="M230" s="37" t="s">
        <v>187</v>
      </c>
      <c r="N230" s="32" t="s">
        <v>167</v>
      </c>
      <c r="O230" s="37" t="s">
        <v>168</v>
      </c>
      <c r="P230" s="39">
        <v>2</v>
      </c>
      <c r="Q230" s="34" t="str">
        <f>VLOOKUP(P230,Key!$E$2:$F$9,2,FALSE)</f>
        <v>Work</v>
      </c>
      <c r="R230" s="37" t="s">
        <v>185</v>
      </c>
      <c r="S230" s="32" t="s">
        <v>176</v>
      </c>
      <c r="T230" s="37" t="s">
        <v>168</v>
      </c>
      <c r="U230" s="32">
        <v>4</v>
      </c>
      <c r="V230" s="34" t="str">
        <f>VLOOKUP(U230,Key!$E$2:$F$9,2,FALSE)</f>
        <v>Commercial</v>
      </c>
      <c r="W230" s="34" t="str">
        <f t="shared" si="7"/>
        <v>Work-Commercial</v>
      </c>
      <c r="X230" s="47">
        <v>40000</v>
      </c>
      <c r="Y230" s="38">
        <v>80</v>
      </c>
      <c r="Z230" s="38">
        <v>3</v>
      </c>
      <c r="AA230" s="32">
        <v>5</v>
      </c>
      <c r="AB230" s="34" t="str">
        <f>VLOOKUP(AA230,Key!$C$20:$D$29,2,FALSE)</f>
        <v>Professional</v>
      </c>
      <c r="AC230" s="32">
        <v>3</v>
      </c>
      <c r="AD230" s="34" t="str">
        <f>VLOOKUP(AC230,Key!$E$20:$F$24,2,FALSE)</f>
        <v>500,000-750,000</v>
      </c>
      <c r="AE230" s="32">
        <v>1</v>
      </c>
      <c r="AF230" s="55">
        <v>1</v>
      </c>
      <c r="AG230" s="55">
        <v>1</v>
      </c>
      <c r="AH230" s="55">
        <v>1</v>
      </c>
      <c r="AI230" s="55">
        <v>1</v>
      </c>
      <c r="AJ230" s="39" t="s">
        <v>104</v>
      </c>
      <c r="AK230" s="40"/>
      <c r="AL230" s="24"/>
      <c r="AM230" s="24"/>
    </row>
    <row r="231" spans="2:39" x14ac:dyDescent="0.2">
      <c r="B231" s="50">
        <v>43690</v>
      </c>
      <c r="C231" s="35">
        <v>0.6118055555555556</v>
      </c>
      <c r="D231" s="35"/>
      <c r="E231" s="35" t="s">
        <v>111</v>
      </c>
      <c r="F231" s="37">
        <v>2</v>
      </c>
      <c r="G231" s="42" t="str">
        <f>VLOOKUP(F231,Key!$A$17:$B$21,2,FALSE)</f>
        <v>Road Vehicle</v>
      </c>
      <c r="H231" s="36">
        <v>5</v>
      </c>
      <c r="I231" s="43" t="str">
        <f>VLOOKUP(H231,Key!$A$2:$B$13,2,FALSE)</f>
        <v xml:space="preserve">Medium bus </v>
      </c>
      <c r="J231" s="37" t="s">
        <v>123</v>
      </c>
      <c r="K231" s="37">
        <v>3</v>
      </c>
      <c r="L231" s="45" t="str">
        <f>VLOOKUP(K231,Key!$A$24:$B$29,2,FALSE)</f>
        <v>40-49</v>
      </c>
      <c r="M231" s="37" t="s">
        <v>167</v>
      </c>
      <c r="N231" s="32" t="s">
        <v>167</v>
      </c>
      <c r="O231" s="37" t="s">
        <v>168</v>
      </c>
      <c r="P231" s="39">
        <v>2</v>
      </c>
      <c r="Q231" s="34" t="str">
        <f>VLOOKUP(P231,Key!$E$2:$F$9,2,FALSE)</f>
        <v>Work</v>
      </c>
      <c r="R231" s="37" t="s">
        <v>176</v>
      </c>
      <c r="S231" s="32" t="s">
        <v>176</v>
      </c>
      <c r="T231" s="37" t="s">
        <v>168</v>
      </c>
      <c r="U231" s="32">
        <v>2</v>
      </c>
      <c r="V231" s="34" t="str">
        <f>VLOOKUP(U231,Key!$E$2:$F$9,2,FALSE)</f>
        <v>Work</v>
      </c>
      <c r="W231" s="34" t="str">
        <f t="shared" si="7"/>
        <v>Work-Work</v>
      </c>
      <c r="X231" s="47">
        <v>80000</v>
      </c>
      <c r="Y231" s="38">
        <v>80</v>
      </c>
      <c r="Z231" s="38">
        <v>3</v>
      </c>
      <c r="AA231" s="32">
        <v>10</v>
      </c>
      <c r="AB231" s="34" t="str">
        <f>VLOOKUP(AA231,Key!$C$20:$D$29,2,FALSE)</f>
        <v>Other</v>
      </c>
      <c r="AC231" s="32">
        <v>2</v>
      </c>
      <c r="AD231" s="34" t="str">
        <f>VLOOKUP(AC231,Key!$E$20:$F$24,2,FALSE)</f>
        <v>300,000-500,000</v>
      </c>
      <c r="AE231" s="32">
        <v>2</v>
      </c>
      <c r="AF231" s="55">
        <v>3</v>
      </c>
      <c r="AG231" s="55">
        <v>4</v>
      </c>
      <c r="AH231" s="55">
        <v>1</v>
      </c>
      <c r="AI231" s="55">
        <v>2</v>
      </c>
      <c r="AJ231" s="39" t="s">
        <v>104</v>
      </c>
      <c r="AK231" s="40">
        <v>3000</v>
      </c>
      <c r="AL231" s="24"/>
      <c r="AM231" s="24"/>
    </row>
    <row r="232" spans="2:39" x14ac:dyDescent="0.2">
      <c r="B232" s="50">
        <v>43687</v>
      </c>
      <c r="C232" s="35">
        <v>0.71527777777777779</v>
      </c>
      <c r="D232" s="35"/>
      <c r="E232" s="35" t="s">
        <v>111</v>
      </c>
      <c r="F232" s="37">
        <v>2</v>
      </c>
      <c r="G232" s="42" t="str">
        <f>VLOOKUP(F232,Key!$A$17:$B$21,2,FALSE)</f>
        <v>Road Vehicle</v>
      </c>
      <c r="H232" s="36">
        <v>5</v>
      </c>
      <c r="I232" s="43" t="str">
        <f>VLOOKUP(H232,Key!$A$2:$B$13,2,FALSE)</f>
        <v xml:space="preserve">Medium bus </v>
      </c>
      <c r="J232" s="37" t="s">
        <v>123</v>
      </c>
      <c r="K232" s="37">
        <v>4</v>
      </c>
      <c r="L232" s="45" t="str">
        <f>VLOOKUP(K232,Key!$A$24:$B$29,2,FALSE)</f>
        <v>50-59</v>
      </c>
      <c r="M232" s="37" t="s">
        <v>187</v>
      </c>
      <c r="N232" s="32" t="s">
        <v>167</v>
      </c>
      <c r="O232" s="37" t="s">
        <v>168</v>
      </c>
      <c r="P232" s="39">
        <v>2</v>
      </c>
      <c r="Q232" s="34" t="str">
        <f>VLOOKUP(P232,Key!$E$2:$F$9,2,FALSE)</f>
        <v>Work</v>
      </c>
      <c r="R232" s="37" t="s">
        <v>210</v>
      </c>
      <c r="S232" s="32" t="s">
        <v>176</v>
      </c>
      <c r="T232" s="37" t="s">
        <v>168</v>
      </c>
      <c r="U232" s="32">
        <v>4</v>
      </c>
      <c r="V232" s="34" t="str">
        <f>VLOOKUP(U232,Key!$E$2:$F$9,2,FALSE)</f>
        <v>Commercial</v>
      </c>
      <c r="W232" s="34" t="str">
        <f t="shared" si="7"/>
        <v>Work-Commercial</v>
      </c>
      <c r="X232" s="47">
        <v>50000</v>
      </c>
      <c r="Y232" s="38">
        <v>68</v>
      </c>
      <c r="Z232" s="38">
        <v>3.5</v>
      </c>
      <c r="AA232" s="32">
        <v>5</v>
      </c>
      <c r="AB232" s="34" t="str">
        <f>VLOOKUP(AA232,Key!$C$20:$D$29,2,FALSE)</f>
        <v>Professional</v>
      </c>
      <c r="AC232" s="32">
        <v>4</v>
      </c>
      <c r="AD232" s="34" t="str">
        <f>VLOOKUP(AC232,Key!$E$20:$F$24,2,FALSE)</f>
        <v>750,000-1,000,000</v>
      </c>
      <c r="AE232" s="32">
        <v>1</v>
      </c>
      <c r="AF232" s="55">
        <v>1</v>
      </c>
      <c r="AG232" s="55">
        <v>1</v>
      </c>
      <c r="AH232" s="55">
        <v>1</v>
      </c>
      <c r="AI232" s="55">
        <v>1</v>
      </c>
      <c r="AJ232" s="39" t="s">
        <v>104</v>
      </c>
      <c r="AK232" s="40"/>
      <c r="AL232" s="24"/>
      <c r="AM232" s="24"/>
    </row>
    <row r="233" spans="2:39" x14ac:dyDescent="0.2">
      <c r="B233" s="50">
        <v>43689</v>
      </c>
      <c r="C233" s="35">
        <v>0.43541666666666662</v>
      </c>
      <c r="D233" s="35"/>
      <c r="E233" s="35" t="s">
        <v>111</v>
      </c>
      <c r="F233" s="37">
        <v>2</v>
      </c>
      <c r="G233" s="42" t="str">
        <f>VLOOKUP(F233,Key!$A$17:$B$21,2,FALSE)</f>
        <v>Road Vehicle</v>
      </c>
      <c r="H233" s="36">
        <v>5</v>
      </c>
      <c r="I233" s="43" t="str">
        <f>VLOOKUP(H233,Key!$A$2:$B$13,2,FALSE)</f>
        <v xml:space="preserve">Medium bus </v>
      </c>
      <c r="J233" s="37" t="s">
        <v>123</v>
      </c>
      <c r="K233" s="37">
        <v>4</v>
      </c>
      <c r="L233" s="45" t="str">
        <f>VLOOKUP(K233,Key!$A$24:$B$29,2,FALSE)</f>
        <v>50-59</v>
      </c>
      <c r="M233" s="37" t="s">
        <v>306</v>
      </c>
      <c r="N233" s="32" t="s">
        <v>167</v>
      </c>
      <c r="O233" s="37" t="s">
        <v>168</v>
      </c>
      <c r="P233" s="39">
        <v>4</v>
      </c>
      <c r="Q233" s="34" t="str">
        <f>VLOOKUP(P233,Key!$E$2:$F$9,2,FALSE)</f>
        <v>Commercial</v>
      </c>
      <c r="R233" s="37" t="s">
        <v>185</v>
      </c>
      <c r="S233" s="32" t="s">
        <v>176</v>
      </c>
      <c r="T233" s="37" t="s">
        <v>168</v>
      </c>
      <c r="U233" s="32">
        <v>4</v>
      </c>
      <c r="V233" s="34" t="str">
        <f>VLOOKUP(U233,Key!$E$2:$F$9,2,FALSE)</f>
        <v>Commercial</v>
      </c>
      <c r="W233" s="34" t="str">
        <f t="shared" si="7"/>
        <v>Commercial-Commercial</v>
      </c>
      <c r="X233" s="47">
        <v>80000</v>
      </c>
      <c r="Y233" s="38">
        <v>70</v>
      </c>
      <c r="Z233" s="38">
        <v>3</v>
      </c>
      <c r="AA233" s="32">
        <v>10</v>
      </c>
      <c r="AB233" s="34" t="str">
        <f>VLOOKUP(AA233,Key!$C$20:$D$29,2,FALSE)</f>
        <v>Other</v>
      </c>
      <c r="AC233" s="32">
        <v>2</v>
      </c>
      <c r="AD233" s="34" t="str">
        <f>VLOOKUP(AC233,Key!$E$20:$F$24,2,FALSE)</f>
        <v>300,000-500,000</v>
      </c>
      <c r="AE233" s="32">
        <v>1</v>
      </c>
      <c r="AF233" s="55">
        <v>1</v>
      </c>
      <c r="AG233" s="55">
        <v>1</v>
      </c>
      <c r="AH233" s="55">
        <v>1</v>
      </c>
      <c r="AI233" s="55">
        <v>1</v>
      </c>
      <c r="AJ233" s="39" t="s">
        <v>104</v>
      </c>
      <c r="AK233" s="40">
        <v>3000</v>
      </c>
      <c r="AL233" s="24"/>
      <c r="AM233" s="24"/>
    </row>
    <row r="234" spans="2:39" hidden="1" x14ac:dyDescent="0.2">
      <c r="B234" s="50">
        <v>43689</v>
      </c>
      <c r="C234" s="35">
        <v>0.51736111111111105</v>
      </c>
      <c r="D234" s="35"/>
      <c r="E234" s="35" t="s">
        <v>111</v>
      </c>
      <c r="F234" s="37">
        <v>2</v>
      </c>
      <c r="G234" s="42" t="str">
        <f>VLOOKUP(F234,Key!$A$17:$B$21,2,FALSE)</f>
        <v>Road Vehicle</v>
      </c>
      <c r="H234" s="36">
        <v>5</v>
      </c>
      <c r="I234" s="43" t="str">
        <f>VLOOKUP(H234,Key!$A$2:$B$13,2,FALSE)</f>
        <v xml:space="preserve">Medium bus </v>
      </c>
      <c r="J234" s="37" t="s">
        <v>123</v>
      </c>
      <c r="K234" s="37">
        <v>3</v>
      </c>
      <c r="L234" s="45" t="str">
        <f>VLOOKUP(K234,Key!$A$24:$B$29,2,FALSE)</f>
        <v>40-49</v>
      </c>
      <c r="M234" s="37" t="s">
        <v>247</v>
      </c>
      <c r="N234" s="32" t="s">
        <v>167</v>
      </c>
      <c r="O234" s="37" t="s">
        <v>168</v>
      </c>
      <c r="P234" s="39">
        <v>2</v>
      </c>
      <c r="Q234" s="34" t="str">
        <f>VLOOKUP(P234,Key!$E$2:$F$9,2,FALSE)</f>
        <v>Work</v>
      </c>
      <c r="R234" s="37" t="s">
        <v>169</v>
      </c>
      <c r="S234" s="32" t="s">
        <v>169</v>
      </c>
      <c r="T234" s="37" t="s">
        <v>168</v>
      </c>
      <c r="U234" s="32">
        <v>2</v>
      </c>
      <c r="V234" s="34" t="str">
        <f>VLOOKUP(U234,Key!$E$2:$F$9,2,FALSE)</f>
        <v>Work</v>
      </c>
      <c r="W234" s="34" t="str">
        <f t="shared" si="7"/>
        <v>Work-Work</v>
      </c>
      <c r="X234" s="47">
        <v>120000</v>
      </c>
      <c r="Y234" s="38">
        <v>190</v>
      </c>
      <c r="Z234" s="38">
        <v>4</v>
      </c>
      <c r="AA234" s="32">
        <v>10</v>
      </c>
      <c r="AB234" s="34" t="str">
        <f>VLOOKUP(AA234,Key!$C$20:$D$29,2,FALSE)</f>
        <v>Other</v>
      </c>
      <c r="AC234" s="32">
        <v>1</v>
      </c>
      <c r="AD234" s="34" t="str">
        <f>VLOOKUP(AC234,Key!$E$20:$F$24,2,FALSE)</f>
        <v>&lt;300,000</v>
      </c>
      <c r="AE234" s="32">
        <v>1</v>
      </c>
      <c r="AF234" s="55">
        <v>2</v>
      </c>
      <c r="AG234" s="55">
        <v>1</v>
      </c>
      <c r="AH234" s="55">
        <v>1</v>
      </c>
      <c r="AI234" s="55">
        <v>1</v>
      </c>
      <c r="AJ234" s="39" t="s">
        <v>104</v>
      </c>
      <c r="AK234" s="40">
        <v>500</v>
      </c>
      <c r="AL234" s="24"/>
      <c r="AM234" s="24"/>
    </row>
    <row r="235" spans="2:39" hidden="1" x14ac:dyDescent="0.2">
      <c r="B235" s="50">
        <v>43690</v>
      </c>
      <c r="C235" s="35">
        <v>0.63402777777777775</v>
      </c>
      <c r="D235" s="35"/>
      <c r="E235" s="35" t="s">
        <v>111</v>
      </c>
      <c r="F235" s="37">
        <v>2</v>
      </c>
      <c r="G235" s="42" t="str">
        <f>VLOOKUP(F235,Key!$A$17:$B$21,2,FALSE)</f>
        <v>Road Vehicle</v>
      </c>
      <c r="H235" s="36">
        <v>5</v>
      </c>
      <c r="I235" s="43" t="str">
        <f>VLOOKUP(H235,Key!$A$2:$B$13,2,FALSE)</f>
        <v xml:space="preserve">Medium bus </v>
      </c>
      <c r="J235" s="37" t="s">
        <v>123</v>
      </c>
      <c r="K235" s="37">
        <v>2</v>
      </c>
      <c r="L235" s="45" t="str">
        <f>VLOOKUP(K235,Key!$A$24:$B$29,2,FALSE)</f>
        <v>30-39</v>
      </c>
      <c r="M235" s="37" t="s">
        <v>247</v>
      </c>
      <c r="N235" s="32" t="s">
        <v>167</v>
      </c>
      <c r="O235" s="37" t="s">
        <v>168</v>
      </c>
      <c r="P235" s="39">
        <v>2</v>
      </c>
      <c r="Q235" s="34" t="str">
        <f>VLOOKUP(P235,Key!$E$2:$F$9,2,FALSE)</f>
        <v>Work</v>
      </c>
      <c r="R235" s="37" t="s">
        <v>183</v>
      </c>
      <c r="S235" s="32" t="s">
        <v>183</v>
      </c>
      <c r="T235" s="37" t="s">
        <v>168</v>
      </c>
      <c r="U235" s="32">
        <v>2</v>
      </c>
      <c r="V235" s="34" t="str">
        <f>VLOOKUP(U235,Key!$E$2:$F$9,2,FALSE)</f>
        <v>Work</v>
      </c>
      <c r="W235" s="34" t="str">
        <f t="shared" si="7"/>
        <v>Work-Work</v>
      </c>
      <c r="X235" s="47">
        <v>150000</v>
      </c>
      <c r="Y235" s="38">
        <v>200</v>
      </c>
      <c r="Z235" s="38">
        <v>4</v>
      </c>
      <c r="AA235" s="32">
        <v>10</v>
      </c>
      <c r="AB235" s="34" t="str">
        <f>VLOOKUP(AA235,Key!$C$20:$D$29,2,FALSE)</f>
        <v>Other</v>
      </c>
      <c r="AC235" s="32">
        <v>2</v>
      </c>
      <c r="AD235" s="34" t="str">
        <f>VLOOKUP(AC235,Key!$E$20:$F$24,2,FALSE)</f>
        <v>300,000-500,000</v>
      </c>
      <c r="AE235" s="32">
        <v>1</v>
      </c>
      <c r="AF235" s="55">
        <v>1</v>
      </c>
      <c r="AG235" s="55">
        <v>1</v>
      </c>
      <c r="AH235" s="55">
        <v>1</v>
      </c>
      <c r="AI235" s="55">
        <v>1</v>
      </c>
      <c r="AJ235" s="39" t="s">
        <v>104</v>
      </c>
      <c r="AK235" s="40">
        <v>2000</v>
      </c>
      <c r="AL235" s="24"/>
      <c r="AM235" s="24"/>
    </row>
    <row r="236" spans="2:39" hidden="1" x14ac:dyDescent="0.2">
      <c r="B236" s="50">
        <v>43690</v>
      </c>
      <c r="C236" s="35">
        <v>0.38194444444444442</v>
      </c>
      <c r="D236" s="35"/>
      <c r="E236" s="35" t="s">
        <v>111</v>
      </c>
      <c r="F236" s="37">
        <v>2</v>
      </c>
      <c r="G236" s="42" t="str">
        <f>VLOOKUP(F236,Key!$A$17:$B$21,2,FALSE)</f>
        <v>Road Vehicle</v>
      </c>
      <c r="H236" s="36">
        <v>5</v>
      </c>
      <c r="I236" s="43" t="str">
        <f>VLOOKUP(H236,Key!$A$2:$B$13,2,FALSE)</f>
        <v xml:space="preserve">Medium bus </v>
      </c>
      <c r="J236" s="37" t="s">
        <v>123</v>
      </c>
      <c r="K236" s="37">
        <v>3</v>
      </c>
      <c r="L236" s="45" t="str">
        <f>VLOOKUP(K236,Key!$A$24:$B$29,2,FALSE)</f>
        <v>40-49</v>
      </c>
      <c r="M236" s="37" t="s">
        <v>167</v>
      </c>
      <c r="N236" s="32" t="s">
        <v>167</v>
      </c>
      <c r="O236" s="37" t="s">
        <v>168</v>
      </c>
      <c r="P236" s="39">
        <v>2</v>
      </c>
      <c r="Q236" s="34" t="str">
        <f>VLOOKUP(P236,Key!$E$2:$F$9,2,FALSE)</f>
        <v>Work</v>
      </c>
      <c r="R236" s="37" t="s">
        <v>169</v>
      </c>
      <c r="S236" s="32" t="s">
        <v>169</v>
      </c>
      <c r="T236" s="37" t="s">
        <v>168</v>
      </c>
      <c r="U236" s="32">
        <v>2</v>
      </c>
      <c r="V236" s="34" t="str">
        <f>VLOOKUP(U236,Key!$E$2:$F$9,2,FALSE)</f>
        <v>Work</v>
      </c>
      <c r="W236" s="34" t="str">
        <f t="shared" si="7"/>
        <v>Work-Work</v>
      </c>
      <c r="X236" s="47">
        <v>200000</v>
      </c>
      <c r="Y236" s="38">
        <v>200</v>
      </c>
      <c r="Z236" s="38">
        <v>4</v>
      </c>
      <c r="AA236" s="32">
        <v>7</v>
      </c>
      <c r="AB236" s="34" t="str">
        <f>VLOOKUP(AA236,Key!$C$20:$D$29,2,FALSE)</f>
        <v>Farmer</v>
      </c>
      <c r="AC236" s="32">
        <v>2</v>
      </c>
      <c r="AD236" s="34" t="str">
        <f>VLOOKUP(AC236,Key!$E$20:$F$24,2,FALSE)</f>
        <v>300,000-500,000</v>
      </c>
      <c r="AE236" s="32">
        <v>5</v>
      </c>
      <c r="AF236" s="55">
        <v>3</v>
      </c>
      <c r="AG236" s="55"/>
      <c r="AH236" s="55"/>
      <c r="AI236" s="55">
        <v>1</v>
      </c>
      <c r="AJ236" s="39" t="s">
        <v>104</v>
      </c>
      <c r="AK236" s="40">
        <v>3000</v>
      </c>
      <c r="AL236" s="24"/>
      <c r="AM236" s="24"/>
    </row>
    <row r="237" spans="2:39" hidden="1" x14ac:dyDescent="0.2">
      <c r="B237" s="50">
        <v>43688</v>
      </c>
      <c r="C237" s="35">
        <v>0.64583333333333337</v>
      </c>
      <c r="D237" s="35"/>
      <c r="E237" s="35" t="s">
        <v>111</v>
      </c>
      <c r="F237" s="37">
        <v>2</v>
      </c>
      <c r="G237" s="42" t="str">
        <f>VLOOKUP(F237,Key!$A$17:$B$21,2,FALSE)</f>
        <v>Road Vehicle</v>
      </c>
      <c r="H237" s="36">
        <v>5</v>
      </c>
      <c r="I237" s="43" t="str">
        <f>VLOOKUP(H237,Key!$A$2:$B$13,2,FALSE)</f>
        <v xml:space="preserve">Medium bus </v>
      </c>
      <c r="J237" s="37" t="s">
        <v>123</v>
      </c>
      <c r="K237" s="37">
        <v>3</v>
      </c>
      <c r="L237" s="45" t="str">
        <f>VLOOKUP(K237,Key!$A$24:$B$29,2,FALSE)</f>
        <v>40-49</v>
      </c>
      <c r="M237" s="37" t="s">
        <v>227</v>
      </c>
      <c r="N237" s="32" t="s">
        <v>183</v>
      </c>
      <c r="O237" s="37" t="s">
        <v>168</v>
      </c>
      <c r="P237" s="39">
        <v>1</v>
      </c>
      <c r="Q237" s="34" t="str">
        <f>VLOOKUP(P237,Key!$E$2:$F$9,2,FALSE)</f>
        <v>Home</v>
      </c>
      <c r="R237" s="37" t="s">
        <v>225</v>
      </c>
      <c r="S237" s="32" t="s">
        <v>190</v>
      </c>
      <c r="T237" s="37" t="s">
        <v>168</v>
      </c>
      <c r="U237" s="32">
        <v>4</v>
      </c>
      <c r="V237" s="34" t="str">
        <f>VLOOKUP(U237,Key!$E$2:$F$9,2,FALSE)</f>
        <v>Commercial</v>
      </c>
      <c r="W237" s="34" t="str">
        <f t="shared" si="7"/>
        <v>Home-Commercial</v>
      </c>
      <c r="X237" s="47">
        <v>150000</v>
      </c>
      <c r="Y237" s="38">
        <v>200</v>
      </c>
      <c r="Z237" s="38">
        <v>5</v>
      </c>
      <c r="AA237" s="32">
        <v>2</v>
      </c>
      <c r="AB237" s="34" t="str">
        <f>VLOOKUP(AA237,Key!$C$20:$D$29,2,FALSE)</f>
        <v>Manual Labour</v>
      </c>
      <c r="AC237" s="32">
        <v>2</v>
      </c>
      <c r="AD237" s="34" t="str">
        <f>VLOOKUP(AC237,Key!$E$20:$F$24,2,FALSE)</f>
        <v>300,000-500,000</v>
      </c>
      <c r="AE237" s="32">
        <v>1</v>
      </c>
      <c r="AF237" s="55">
        <v>1</v>
      </c>
      <c r="AG237" s="55">
        <v>1</v>
      </c>
      <c r="AH237" s="55">
        <v>1</v>
      </c>
      <c r="AI237" s="55">
        <v>1</v>
      </c>
      <c r="AJ237" s="39" t="s">
        <v>104</v>
      </c>
      <c r="AK237" s="40">
        <v>5000</v>
      </c>
      <c r="AL237" s="24"/>
      <c r="AM237" s="24"/>
    </row>
    <row r="238" spans="2:39" hidden="1" x14ac:dyDescent="0.2">
      <c r="B238" s="50">
        <v>43686</v>
      </c>
      <c r="C238" s="35">
        <v>0.6430555555555556</v>
      </c>
      <c r="D238" s="35"/>
      <c r="E238" s="35" t="s">
        <v>111</v>
      </c>
      <c r="F238" s="37">
        <v>2</v>
      </c>
      <c r="G238" s="42" t="str">
        <f>VLOOKUP(F238,Key!$A$17:$B$21,2,FALSE)</f>
        <v>Road Vehicle</v>
      </c>
      <c r="H238" s="36">
        <v>5</v>
      </c>
      <c r="I238" s="43" t="str">
        <f>VLOOKUP(H238,Key!$A$2:$B$13,2,FALSE)</f>
        <v xml:space="preserve">Medium bus </v>
      </c>
      <c r="J238" s="37" t="s">
        <v>123</v>
      </c>
      <c r="K238" s="37">
        <v>2</v>
      </c>
      <c r="L238" s="45" t="str">
        <f>VLOOKUP(K238,Key!$A$24:$B$29,2,FALSE)</f>
        <v>30-39</v>
      </c>
      <c r="M238" s="37" t="s">
        <v>306</v>
      </c>
      <c r="N238" s="32" t="s">
        <v>167</v>
      </c>
      <c r="O238" s="37" t="s">
        <v>168</v>
      </c>
      <c r="P238" s="39">
        <v>2</v>
      </c>
      <c r="Q238" s="34" t="str">
        <f>VLOOKUP(P238,Key!$E$2:$F$9,2,FALSE)</f>
        <v>Work</v>
      </c>
      <c r="R238" s="37" t="s">
        <v>169</v>
      </c>
      <c r="S238" s="32" t="s">
        <v>169</v>
      </c>
      <c r="T238" s="37" t="s">
        <v>168</v>
      </c>
      <c r="U238" s="32">
        <v>2</v>
      </c>
      <c r="V238" s="34" t="str">
        <f>VLOOKUP(U238,Key!$E$2:$F$9,2,FALSE)</f>
        <v>Work</v>
      </c>
      <c r="W238" s="34" t="str">
        <f t="shared" si="7"/>
        <v>Work-Work</v>
      </c>
      <c r="X238" s="47">
        <v>140000</v>
      </c>
      <c r="Y238" s="38">
        <v>250</v>
      </c>
      <c r="Z238" s="38">
        <v>3</v>
      </c>
      <c r="AA238" s="32">
        <v>6</v>
      </c>
      <c r="AB238" s="34" t="str">
        <f>VLOOKUP(AA238,Key!$C$20:$D$29,2,FALSE)</f>
        <v>Businessman</v>
      </c>
      <c r="AC238" s="32">
        <v>2</v>
      </c>
      <c r="AD238" s="34" t="str">
        <f>VLOOKUP(AC238,Key!$E$20:$F$24,2,FALSE)</f>
        <v>300,000-500,000</v>
      </c>
      <c r="AE238" s="32">
        <v>1</v>
      </c>
      <c r="AF238" s="55">
        <v>2</v>
      </c>
      <c r="AG238" s="55">
        <v>1</v>
      </c>
      <c r="AH238" s="55">
        <v>1</v>
      </c>
      <c r="AI238" s="55">
        <v>1</v>
      </c>
      <c r="AJ238" s="39" t="s">
        <v>104</v>
      </c>
      <c r="AK238" s="40">
        <v>1000</v>
      </c>
      <c r="AL238" s="24"/>
      <c r="AM238" s="24"/>
    </row>
    <row r="239" spans="2:39" hidden="1" x14ac:dyDescent="0.2">
      <c r="B239" s="50">
        <v>43686</v>
      </c>
      <c r="C239" s="35">
        <v>0.59722222222222221</v>
      </c>
      <c r="D239" s="35"/>
      <c r="E239" s="35" t="s">
        <v>111</v>
      </c>
      <c r="F239" s="37">
        <v>2</v>
      </c>
      <c r="G239" s="42" t="str">
        <f>VLOOKUP(F239,Key!$A$17:$B$21,2,FALSE)</f>
        <v>Road Vehicle</v>
      </c>
      <c r="H239" s="36">
        <v>5</v>
      </c>
      <c r="I239" s="43" t="str">
        <f>VLOOKUP(H239,Key!$A$2:$B$13,2,FALSE)</f>
        <v xml:space="preserve">Medium bus </v>
      </c>
      <c r="J239" s="37" t="s">
        <v>123</v>
      </c>
      <c r="K239" s="37">
        <v>2</v>
      </c>
      <c r="L239" s="45" t="str">
        <f>VLOOKUP(K239,Key!$A$24:$B$29,2,FALSE)</f>
        <v>30-39</v>
      </c>
      <c r="M239" s="37" t="s">
        <v>169</v>
      </c>
      <c r="N239" s="32" t="s">
        <v>169</v>
      </c>
      <c r="O239" s="37" t="s">
        <v>168</v>
      </c>
      <c r="P239" s="39">
        <v>2</v>
      </c>
      <c r="Q239" s="34" t="str">
        <f>VLOOKUP(P239,Key!$E$2:$F$9,2,FALSE)</f>
        <v>Work</v>
      </c>
      <c r="R239" s="37" t="s">
        <v>264</v>
      </c>
      <c r="S239" s="32" t="s">
        <v>188</v>
      </c>
      <c r="T239" s="37" t="s">
        <v>168</v>
      </c>
      <c r="U239" s="32">
        <v>2</v>
      </c>
      <c r="V239" s="34" t="str">
        <f>VLOOKUP(U239,Key!$E$2:$F$9,2,FALSE)</f>
        <v>Work</v>
      </c>
      <c r="W239" s="34" t="str">
        <f t="shared" si="7"/>
        <v>Work-Work</v>
      </c>
      <c r="X239" s="47">
        <v>120000</v>
      </c>
      <c r="Y239" s="38">
        <v>300</v>
      </c>
      <c r="Z239" s="38">
        <v>4</v>
      </c>
      <c r="AA239" s="32">
        <v>10</v>
      </c>
      <c r="AB239" s="34" t="str">
        <f>VLOOKUP(AA239,Key!$C$20:$D$29,2,FALSE)</f>
        <v>Other</v>
      </c>
      <c r="AC239" s="32">
        <v>3</v>
      </c>
      <c r="AD239" s="34" t="str">
        <f>VLOOKUP(AC239,Key!$E$20:$F$24,2,FALSE)</f>
        <v>500,000-750,000</v>
      </c>
      <c r="AE239" s="32">
        <v>1</v>
      </c>
      <c r="AF239" s="55">
        <v>1</v>
      </c>
      <c r="AG239" s="55">
        <v>1</v>
      </c>
      <c r="AH239" s="55">
        <v>1</v>
      </c>
      <c r="AI239" s="55">
        <v>2</v>
      </c>
      <c r="AJ239" s="39" t="s">
        <v>104</v>
      </c>
      <c r="AK239" s="40">
        <v>1000</v>
      </c>
      <c r="AL239" s="24"/>
      <c r="AM239" s="24"/>
    </row>
    <row r="240" spans="2:39" hidden="1" x14ac:dyDescent="0.2">
      <c r="B240" s="50"/>
      <c r="C240" s="35"/>
      <c r="D240" s="35"/>
      <c r="E240" s="35"/>
      <c r="F240" s="37"/>
      <c r="G240" s="42"/>
      <c r="H240" s="36"/>
      <c r="I240" s="43"/>
      <c r="J240" s="37"/>
      <c r="K240" s="37"/>
      <c r="L240" s="45"/>
      <c r="M240" s="37"/>
      <c r="N240" s="32"/>
      <c r="O240" s="37"/>
      <c r="P240" s="39"/>
      <c r="Q240" s="34"/>
      <c r="R240" s="37"/>
      <c r="S240" s="32"/>
      <c r="T240" s="37"/>
      <c r="U240" s="32"/>
      <c r="V240" s="34"/>
      <c r="W240" s="34"/>
      <c r="X240" s="47"/>
      <c r="Y240" s="38"/>
      <c r="Z240" s="38"/>
      <c r="AA240" s="32"/>
      <c r="AB240" s="34"/>
      <c r="AC240" s="32"/>
      <c r="AD240" s="34"/>
      <c r="AE240" s="32"/>
      <c r="AF240" s="55"/>
      <c r="AG240" s="55"/>
      <c r="AH240" s="55"/>
      <c r="AI240" s="55"/>
      <c r="AJ240" s="39"/>
      <c r="AK240" s="40"/>
      <c r="AL240" s="24"/>
      <c r="AM240" s="24"/>
    </row>
    <row r="241" spans="1:39" hidden="1" x14ac:dyDescent="0.2">
      <c r="B241" s="50">
        <v>43690</v>
      </c>
      <c r="C241" s="35">
        <v>0.51041666666666663</v>
      </c>
      <c r="D241" s="35"/>
      <c r="E241" s="35" t="s">
        <v>111</v>
      </c>
      <c r="F241" s="37">
        <v>2</v>
      </c>
      <c r="G241" s="42" t="str">
        <f>VLOOKUP(F241,Key!$A$17:$B$21,2,FALSE)</f>
        <v>Road Vehicle</v>
      </c>
      <c r="H241" s="36">
        <v>8</v>
      </c>
      <c r="I241" s="43" t="str">
        <f>VLOOKUP(H241,Key!$A$2:$B$13,2,FALSE)</f>
        <v xml:space="preserve">Medium Truck </v>
      </c>
      <c r="J241" s="37" t="s">
        <v>123</v>
      </c>
      <c r="K241" s="37">
        <v>3</v>
      </c>
      <c r="L241" s="45" t="str">
        <f>VLOOKUP(K241,Key!$A$24:$B$29,2,FALSE)</f>
        <v>40-49</v>
      </c>
      <c r="M241" s="37" t="s">
        <v>297</v>
      </c>
      <c r="N241" s="32" t="s">
        <v>167</v>
      </c>
      <c r="O241" s="37" t="s">
        <v>168</v>
      </c>
      <c r="P241" s="39">
        <v>2</v>
      </c>
      <c r="Q241" s="34" t="str">
        <f>VLOOKUP(P241,Key!$E$2:$F$9,2,FALSE)</f>
        <v>Work</v>
      </c>
      <c r="R241" s="37" t="s">
        <v>303</v>
      </c>
      <c r="S241" s="32" t="s">
        <v>167</v>
      </c>
      <c r="T241" s="37" t="s">
        <v>168</v>
      </c>
      <c r="U241" s="32">
        <v>2</v>
      </c>
      <c r="V241" s="34" t="str">
        <f>VLOOKUP(U241,Key!$E$2:$F$9,2,FALSE)</f>
        <v>Work</v>
      </c>
      <c r="W241" s="34" t="str">
        <f t="shared" ref="W241:W261" si="8">Q241&amp;"-"&amp;V241</f>
        <v>Work-Work</v>
      </c>
      <c r="X241" s="47">
        <v>30000</v>
      </c>
      <c r="Y241" s="38">
        <v>20</v>
      </c>
      <c r="Z241" s="38">
        <v>1.5</v>
      </c>
      <c r="AA241" s="32">
        <v>10</v>
      </c>
      <c r="AB241" s="34" t="str">
        <f>VLOOKUP(AA241,Key!$C$20:$D$29,2,FALSE)</f>
        <v>Other</v>
      </c>
      <c r="AC241" s="32">
        <v>1</v>
      </c>
      <c r="AD241" s="34" t="str">
        <f>VLOOKUP(AC241,Key!$E$20:$F$24,2,FALSE)</f>
        <v>&lt;300,000</v>
      </c>
      <c r="AE241" s="32">
        <v>1</v>
      </c>
      <c r="AF241" s="55">
        <v>1</v>
      </c>
      <c r="AG241" s="55">
        <v>2</v>
      </c>
      <c r="AH241" s="55">
        <v>1</v>
      </c>
      <c r="AI241" s="55">
        <v>1</v>
      </c>
      <c r="AJ241" s="39" t="s">
        <v>104</v>
      </c>
      <c r="AK241" s="40"/>
      <c r="AL241" s="24"/>
      <c r="AM241" s="24"/>
    </row>
    <row r="242" spans="1:39" hidden="1" x14ac:dyDescent="0.2">
      <c r="B242" s="50">
        <v>43689</v>
      </c>
      <c r="C242" s="35">
        <v>0.6743055555555556</v>
      </c>
      <c r="D242" s="35"/>
      <c r="E242" s="35" t="s">
        <v>111</v>
      </c>
      <c r="F242" s="37">
        <v>2</v>
      </c>
      <c r="G242" s="42" t="str">
        <f>VLOOKUP(F242,Key!$A$17:$B$21,2,FALSE)</f>
        <v>Road Vehicle</v>
      </c>
      <c r="H242" s="36">
        <v>8</v>
      </c>
      <c r="I242" s="43" t="str">
        <f>VLOOKUP(H242,Key!$A$2:$B$13,2,FALSE)</f>
        <v xml:space="preserve">Medium Truck </v>
      </c>
      <c r="J242" s="37" t="s">
        <v>123</v>
      </c>
      <c r="K242" s="37">
        <v>2</v>
      </c>
      <c r="L242" s="45" t="str">
        <f>VLOOKUP(K242,Key!$A$24:$B$29,2,FALSE)</f>
        <v>30-39</v>
      </c>
      <c r="M242" s="37" t="s">
        <v>190</v>
      </c>
      <c r="N242" s="32" t="s">
        <v>190</v>
      </c>
      <c r="O242" s="37" t="s">
        <v>168</v>
      </c>
      <c r="P242" s="39">
        <v>2</v>
      </c>
      <c r="Q242" s="34" t="str">
        <f>VLOOKUP(P242,Key!$E$2:$F$9,2,FALSE)</f>
        <v>Work</v>
      </c>
      <c r="R242" s="37" t="s">
        <v>167</v>
      </c>
      <c r="S242" s="32" t="s">
        <v>167</v>
      </c>
      <c r="T242" s="37" t="s">
        <v>168</v>
      </c>
      <c r="U242" s="32">
        <v>4</v>
      </c>
      <c r="V242" s="34" t="str">
        <f>VLOOKUP(U242,Key!$E$2:$F$9,2,FALSE)</f>
        <v>Commercial</v>
      </c>
      <c r="W242" s="34" t="str">
        <f t="shared" si="8"/>
        <v>Work-Commercial</v>
      </c>
      <c r="X242" s="47">
        <v>50000</v>
      </c>
      <c r="Y242" s="38">
        <v>50</v>
      </c>
      <c r="Z242" s="38">
        <v>1.5</v>
      </c>
      <c r="AA242" s="32">
        <v>10</v>
      </c>
      <c r="AB242" s="34" t="str">
        <f>VLOOKUP(AA242,Key!$C$20:$D$29,2,FALSE)</f>
        <v>Other</v>
      </c>
      <c r="AC242" s="32">
        <v>2</v>
      </c>
      <c r="AD242" s="34" t="str">
        <f>VLOOKUP(AC242,Key!$E$20:$F$24,2,FALSE)</f>
        <v>300,000-500,000</v>
      </c>
      <c r="AE242" s="32">
        <v>2</v>
      </c>
      <c r="AF242" s="55">
        <v>3</v>
      </c>
      <c r="AG242" s="55">
        <v>2</v>
      </c>
      <c r="AH242" s="55">
        <v>3</v>
      </c>
      <c r="AI242" s="55">
        <v>2</v>
      </c>
      <c r="AJ242" s="39" t="s">
        <v>104</v>
      </c>
      <c r="AK242" s="40">
        <v>5000</v>
      </c>
      <c r="AL242" s="24"/>
      <c r="AM242" s="24"/>
    </row>
    <row r="243" spans="1:39" hidden="1" x14ac:dyDescent="0.2">
      <c r="B243" s="50">
        <v>43689</v>
      </c>
      <c r="C243" s="35">
        <v>0.68402777777777779</v>
      </c>
      <c r="D243" s="35"/>
      <c r="E243" s="35" t="s">
        <v>111</v>
      </c>
      <c r="F243" s="37">
        <v>2</v>
      </c>
      <c r="G243" s="42" t="str">
        <f>VLOOKUP(F243,Key!$A$17:$B$21,2,FALSE)</f>
        <v>Road Vehicle</v>
      </c>
      <c r="H243" s="36">
        <v>8</v>
      </c>
      <c r="I243" s="43" t="str">
        <f>VLOOKUP(H243,Key!$A$2:$B$13,2,FALSE)</f>
        <v xml:space="preserve">Medium Truck </v>
      </c>
      <c r="J243" s="37" t="s">
        <v>123</v>
      </c>
      <c r="K243" s="37">
        <v>1</v>
      </c>
      <c r="L243" s="45" t="str">
        <f>VLOOKUP(K243,Key!$A$24:$B$29,2,FALSE)</f>
        <v>20-29</v>
      </c>
      <c r="M243" s="37" t="s">
        <v>225</v>
      </c>
      <c r="N243" s="32" t="s">
        <v>190</v>
      </c>
      <c r="O243" s="37" t="s">
        <v>168</v>
      </c>
      <c r="P243" s="39">
        <v>4</v>
      </c>
      <c r="Q243" s="34" t="str">
        <f>VLOOKUP(P243,Key!$E$2:$F$9,2,FALSE)</f>
        <v>Commercial</v>
      </c>
      <c r="R243" s="37" t="s">
        <v>187</v>
      </c>
      <c r="S243" s="32" t="s">
        <v>167</v>
      </c>
      <c r="T243" s="37" t="s">
        <v>168</v>
      </c>
      <c r="U243" s="32">
        <v>4</v>
      </c>
      <c r="V243" s="34" t="str">
        <f>VLOOKUP(U243,Key!$E$2:$F$9,2,FALSE)</f>
        <v>Commercial</v>
      </c>
      <c r="W243" s="34" t="str">
        <f t="shared" si="8"/>
        <v>Commercial-Commercial</v>
      </c>
      <c r="X243" s="47">
        <v>80000</v>
      </c>
      <c r="Y243" s="38">
        <v>50</v>
      </c>
      <c r="Z243" s="38">
        <v>2</v>
      </c>
      <c r="AA243" s="32">
        <v>10</v>
      </c>
      <c r="AB243" s="34" t="str">
        <f>VLOOKUP(AA243,Key!$C$20:$D$29,2,FALSE)</f>
        <v>Other</v>
      </c>
      <c r="AC243" s="32">
        <v>3</v>
      </c>
      <c r="AD243" s="34" t="str">
        <f>VLOOKUP(AC243,Key!$E$20:$F$24,2,FALSE)</f>
        <v>500,000-750,000</v>
      </c>
      <c r="AE243" s="32">
        <v>1</v>
      </c>
      <c r="AF243" s="55">
        <v>1</v>
      </c>
      <c r="AG243" s="55">
        <v>2</v>
      </c>
      <c r="AH243" s="55">
        <v>1</v>
      </c>
      <c r="AI243" s="55">
        <v>1</v>
      </c>
      <c r="AJ243" s="39" t="s">
        <v>104</v>
      </c>
      <c r="AK243" s="40">
        <v>2000</v>
      </c>
      <c r="AL243" s="24"/>
      <c r="AM243" s="24"/>
    </row>
    <row r="244" spans="1:39" x14ac:dyDescent="0.2">
      <c r="B244" s="50">
        <v>43686</v>
      </c>
      <c r="C244" s="35">
        <v>0.57777777777777783</v>
      </c>
      <c r="D244" s="35"/>
      <c r="E244" s="35" t="s">
        <v>111</v>
      </c>
      <c r="F244" s="37">
        <v>2</v>
      </c>
      <c r="G244" s="42" t="str">
        <f>VLOOKUP(F244,Key!$A$17:$B$21,2,FALSE)</f>
        <v>Road Vehicle</v>
      </c>
      <c r="H244" s="36">
        <v>8</v>
      </c>
      <c r="I244" s="43" t="str">
        <f>VLOOKUP(H244,Key!$A$2:$B$13,2,FALSE)</f>
        <v xml:space="preserve">Medium Truck </v>
      </c>
      <c r="J244" s="37" t="s">
        <v>123</v>
      </c>
      <c r="K244" s="13">
        <v>2</v>
      </c>
      <c r="L244" s="45" t="str">
        <f>VLOOKUP(K244,Key!$A$24:$B$29,2,FALSE)</f>
        <v>30-39</v>
      </c>
      <c r="M244" s="44" t="s">
        <v>167</v>
      </c>
      <c r="N244" s="32" t="s">
        <v>167</v>
      </c>
      <c r="O244" s="37" t="s">
        <v>168</v>
      </c>
      <c r="P244" s="39">
        <v>2</v>
      </c>
      <c r="Q244" s="34" t="str">
        <f>VLOOKUP(P244,Key!$E$2:$F$9,2,FALSE)</f>
        <v>Work</v>
      </c>
      <c r="R244" s="37" t="s">
        <v>173</v>
      </c>
      <c r="S244" s="32" t="s">
        <v>173</v>
      </c>
      <c r="T244" s="37" t="s">
        <v>168</v>
      </c>
      <c r="U244" s="32">
        <v>4</v>
      </c>
      <c r="V244" s="34" t="str">
        <f>VLOOKUP(U244,Key!$E$2:$F$9,2,FALSE)</f>
        <v>Commercial</v>
      </c>
      <c r="W244" s="34" t="str">
        <f t="shared" si="8"/>
        <v>Work-Commercial</v>
      </c>
      <c r="X244" s="47">
        <v>80000</v>
      </c>
      <c r="Y244" s="38">
        <v>60</v>
      </c>
      <c r="Z244" s="38">
        <v>1</v>
      </c>
      <c r="AA244" s="32">
        <v>10</v>
      </c>
      <c r="AB244" s="34" t="str">
        <f>VLOOKUP(AA244,Key!$C$20:$D$29,2,FALSE)</f>
        <v>Other</v>
      </c>
      <c r="AC244" s="32">
        <v>2</v>
      </c>
      <c r="AD244" s="34" t="str">
        <f>VLOOKUP(AC244,Key!$E$20:$F$24,2,FALSE)</f>
        <v>300,000-500,000</v>
      </c>
      <c r="AE244" s="32">
        <v>2</v>
      </c>
      <c r="AF244" s="55">
        <v>3</v>
      </c>
      <c r="AG244" s="55">
        <v>4</v>
      </c>
      <c r="AH244" s="55">
        <v>1</v>
      </c>
      <c r="AI244" s="55">
        <v>5</v>
      </c>
      <c r="AJ244" s="39" t="s">
        <v>104</v>
      </c>
      <c r="AK244" s="40">
        <v>5000</v>
      </c>
      <c r="AL244" s="24"/>
      <c r="AM244" s="24"/>
    </row>
    <row r="245" spans="1:39" x14ac:dyDescent="0.2">
      <c r="B245" s="50">
        <v>43687</v>
      </c>
      <c r="C245" s="35">
        <v>0.4770833333333333</v>
      </c>
      <c r="D245" s="35"/>
      <c r="E245" s="35" t="s">
        <v>111</v>
      </c>
      <c r="F245" s="37">
        <v>2</v>
      </c>
      <c r="G245" s="42" t="str">
        <f>VLOOKUP(F245,Key!$A$17:$B$21,2,FALSE)</f>
        <v>Road Vehicle</v>
      </c>
      <c r="H245" s="36">
        <v>8</v>
      </c>
      <c r="I245" s="43" t="str">
        <f>VLOOKUP(H245,Key!$A$2:$B$13,2,FALSE)</f>
        <v xml:space="preserve">Medium Truck </v>
      </c>
      <c r="J245" s="37" t="s">
        <v>123</v>
      </c>
      <c r="K245" s="37">
        <v>2</v>
      </c>
      <c r="L245" s="45" t="str">
        <f>VLOOKUP(K245,Key!$A$24:$B$29,2,FALSE)</f>
        <v>30-39</v>
      </c>
      <c r="M245" s="37" t="s">
        <v>167</v>
      </c>
      <c r="N245" s="32" t="s">
        <v>167</v>
      </c>
      <c r="O245" s="37" t="s">
        <v>168</v>
      </c>
      <c r="P245" s="39">
        <v>2</v>
      </c>
      <c r="Q245" s="34" t="str">
        <f>VLOOKUP(P245,Key!$E$2:$F$9,2,FALSE)</f>
        <v>Work</v>
      </c>
      <c r="R245" s="37" t="s">
        <v>176</v>
      </c>
      <c r="S245" s="32" t="s">
        <v>176</v>
      </c>
      <c r="T245" s="37" t="s">
        <v>168</v>
      </c>
      <c r="U245" s="32">
        <v>4</v>
      </c>
      <c r="V245" s="34" t="str">
        <f>VLOOKUP(U245,Key!$E$2:$F$9,2,FALSE)</f>
        <v>Commercial</v>
      </c>
      <c r="W245" s="34" t="str">
        <f t="shared" si="8"/>
        <v>Work-Commercial</v>
      </c>
      <c r="X245" s="47">
        <v>50000</v>
      </c>
      <c r="Y245" s="38">
        <v>80</v>
      </c>
      <c r="Z245" s="38">
        <v>2.5</v>
      </c>
      <c r="AA245" s="32">
        <v>10</v>
      </c>
      <c r="AB245" s="34" t="str">
        <f>VLOOKUP(AA245,Key!$C$20:$D$29,2,FALSE)</f>
        <v>Other</v>
      </c>
      <c r="AC245" s="32">
        <v>2</v>
      </c>
      <c r="AD245" s="34" t="str">
        <f>VLOOKUP(AC245,Key!$E$20:$F$24,2,FALSE)</f>
        <v>300,000-500,000</v>
      </c>
      <c r="AE245" s="32">
        <v>2</v>
      </c>
      <c r="AF245" s="55">
        <v>3</v>
      </c>
      <c r="AG245" s="55">
        <v>4</v>
      </c>
      <c r="AH245" s="55">
        <v>1</v>
      </c>
      <c r="AI245" s="55">
        <v>5</v>
      </c>
      <c r="AJ245" s="39" t="s">
        <v>104</v>
      </c>
      <c r="AK245" s="40">
        <v>1000</v>
      </c>
      <c r="AL245" s="24"/>
      <c r="AM245" s="24"/>
    </row>
    <row r="246" spans="1:39" x14ac:dyDescent="0.2">
      <c r="B246" s="50">
        <v>43690</v>
      </c>
      <c r="C246" s="35">
        <v>0.32916666666666666</v>
      </c>
      <c r="D246" s="35"/>
      <c r="E246" s="35" t="s">
        <v>111</v>
      </c>
      <c r="F246" s="37">
        <v>2</v>
      </c>
      <c r="G246" s="42" t="str">
        <f>VLOOKUP(F246,Key!$A$17:$B$21,2,FALSE)</f>
        <v>Road Vehicle</v>
      </c>
      <c r="H246" s="36">
        <v>8</v>
      </c>
      <c r="I246" s="43" t="str">
        <f>VLOOKUP(H246,Key!$A$2:$B$13,2,FALSE)</f>
        <v xml:space="preserve">Medium Truck </v>
      </c>
      <c r="J246" s="37" t="s">
        <v>123</v>
      </c>
      <c r="K246" s="37">
        <v>2</v>
      </c>
      <c r="L246" s="45" t="str">
        <f>VLOOKUP(K246,Key!$A$24:$B$29,2,FALSE)</f>
        <v>30-39</v>
      </c>
      <c r="M246" s="37" t="s">
        <v>167</v>
      </c>
      <c r="N246" s="32" t="s">
        <v>167</v>
      </c>
      <c r="O246" s="37" t="s">
        <v>168</v>
      </c>
      <c r="P246" s="39">
        <v>2</v>
      </c>
      <c r="Q246" s="34" t="str">
        <f>VLOOKUP(P246,Key!$E$2:$F$9,2,FALSE)</f>
        <v>Work</v>
      </c>
      <c r="R246" s="37" t="s">
        <v>176</v>
      </c>
      <c r="S246" s="32" t="s">
        <v>176</v>
      </c>
      <c r="T246" s="37" t="s">
        <v>168</v>
      </c>
      <c r="U246" s="32">
        <v>4</v>
      </c>
      <c r="V246" s="34" t="str">
        <f>VLOOKUP(U246,Key!$E$2:$F$9,2,FALSE)</f>
        <v>Commercial</v>
      </c>
      <c r="W246" s="34" t="str">
        <f t="shared" si="8"/>
        <v>Work-Commercial</v>
      </c>
      <c r="X246" s="47">
        <v>70000</v>
      </c>
      <c r="Y246" s="38">
        <v>80</v>
      </c>
      <c r="Z246" s="38">
        <v>3</v>
      </c>
      <c r="AA246" s="32">
        <v>10</v>
      </c>
      <c r="AB246" s="34" t="str">
        <f>VLOOKUP(AA246,Key!$C$20:$D$29,2,FALSE)</f>
        <v>Other</v>
      </c>
      <c r="AC246" s="32">
        <v>2</v>
      </c>
      <c r="AD246" s="34" t="str">
        <f>VLOOKUP(AC246,Key!$E$20:$F$24,2,FALSE)</f>
        <v>300,000-500,000</v>
      </c>
      <c r="AE246" s="32">
        <v>2</v>
      </c>
      <c r="AF246" s="55">
        <v>3</v>
      </c>
      <c r="AG246" s="55">
        <v>4</v>
      </c>
      <c r="AH246" s="55">
        <v>1</v>
      </c>
      <c r="AI246" s="55">
        <v>5</v>
      </c>
      <c r="AJ246" s="39" t="s">
        <v>104</v>
      </c>
      <c r="AK246" s="40">
        <v>3000</v>
      </c>
      <c r="AL246" s="24"/>
      <c r="AM246" s="24"/>
    </row>
    <row r="247" spans="1:39" x14ac:dyDescent="0.2">
      <c r="B247" s="50">
        <v>43690</v>
      </c>
      <c r="C247" s="35">
        <v>0.53472222222222221</v>
      </c>
      <c r="D247" s="35"/>
      <c r="E247" s="35" t="s">
        <v>111</v>
      </c>
      <c r="F247" s="37">
        <v>2</v>
      </c>
      <c r="G247" s="42" t="str">
        <f>VLOOKUP(F247,Key!$A$17:$B$21,2,FALSE)</f>
        <v>Road Vehicle</v>
      </c>
      <c r="H247" s="36">
        <v>8</v>
      </c>
      <c r="I247" s="43" t="str">
        <f>VLOOKUP(H247,Key!$A$2:$B$13,2,FALSE)</f>
        <v xml:space="preserve">Medium Truck </v>
      </c>
      <c r="J247" s="37" t="s">
        <v>123</v>
      </c>
      <c r="K247" s="37">
        <v>2</v>
      </c>
      <c r="L247" s="45" t="str">
        <f>VLOOKUP(K247,Key!$A$24:$B$29,2,FALSE)</f>
        <v>30-39</v>
      </c>
      <c r="M247" s="37" t="s">
        <v>167</v>
      </c>
      <c r="N247" s="32" t="s">
        <v>167</v>
      </c>
      <c r="O247" s="37" t="s">
        <v>168</v>
      </c>
      <c r="P247" s="39">
        <v>2</v>
      </c>
      <c r="Q247" s="34" t="str">
        <f>VLOOKUP(P247,Key!$E$2:$F$9,2,FALSE)</f>
        <v>Work</v>
      </c>
      <c r="R247" s="37" t="s">
        <v>176</v>
      </c>
      <c r="S247" s="32" t="s">
        <v>176</v>
      </c>
      <c r="T247" s="37" t="s">
        <v>168</v>
      </c>
      <c r="U247" s="32">
        <v>4</v>
      </c>
      <c r="V247" s="34" t="str">
        <f>VLOOKUP(U247,Key!$E$2:$F$9,2,FALSE)</f>
        <v>Commercial</v>
      </c>
      <c r="W247" s="34" t="str">
        <f t="shared" si="8"/>
        <v>Work-Commercial</v>
      </c>
      <c r="X247" s="47">
        <v>45000</v>
      </c>
      <c r="Y247" s="38">
        <v>85</v>
      </c>
      <c r="Z247" s="38">
        <v>3</v>
      </c>
      <c r="AA247" s="32">
        <v>10</v>
      </c>
      <c r="AB247" s="34" t="str">
        <f>VLOOKUP(AA247,Key!$C$20:$D$29,2,FALSE)</f>
        <v>Other</v>
      </c>
      <c r="AC247" s="32">
        <v>2</v>
      </c>
      <c r="AD247" s="34" t="str">
        <f>VLOOKUP(AC247,Key!$E$20:$F$24,2,FALSE)</f>
        <v>300,000-500,000</v>
      </c>
      <c r="AE247" s="32">
        <v>2</v>
      </c>
      <c r="AF247" s="55">
        <v>3</v>
      </c>
      <c r="AG247" s="55">
        <v>2</v>
      </c>
      <c r="AH247" s="55">
        <v>1</v>
      </c>
      <c r="AI247" s="55">
        <v>3</v>
      </c>
      <c r="AJ247" s="39" t="s">
        <v>104</v>
      </c>
      <c r="AK247" s="40">
        <v>6000</v>
      </c>
      <c r="AL247" s="24"/>
      <c r="AM247" s="24"/>
    </row>
    <row r="248" spans="1:39" x14ac:dyDescent="0.2">
      <c r="B248" s="50">
        <v>43690</v>
      </c>
      <c r="C248" s="35">
        <v>0.54861111111111105</v>
      </c>
      <c r="D248" s="35"/>
      <c r="E248" s="35" t="s">
        <v>111</v>
      </c>
      <c r="F248" s="37">
        <v>2</v>
      </c>
      <c r="G248" s="42" t="str">
        <f>VLOOKUP(F248,Key!$A$17:$B$21,2,FALSE)</f>
        <v>Road Vehicle</v>
      </c>
      <c r="H248" s="36">
        <v>8</v>
      </c>
      <c r="I248" s="43" t="str">
        <f>VLOOKUP(H248,Key!$A$2:$B$13,2,FALSE)</f>
        <v xml:space="preserve">Medium Truck </v>
      </c>
      <c r="J248" s="37" t="s">
        <v>123</v>
      </c>
      <c r="K248" s="37">
        <v>2</v>
      </c>
      <c r="L248" s="45" t="str">
        <f>VLOOKUP(K248,Key!$A$24:$B$29,2,FALSE)</f>
        <v>30-39</v>
      </c>
      <c r="M248" s="37" t="s">
        <v>167</v>
      </c>
      <c r="N248" s="32" t="s">
        <v>167</v>
      </c>
      <c r="O248" s="37" t="s">
        <v>168</v>
      </c>
      <c r="P248" s="39">
        <v>2</v>
      </c>
      <c r="Q248" s="34" t="str">
        <f>VLOOKUP(P248,Key!$E$2:$F$9,2,FALSE)</f>
        <v>Work</v>
      </c>
      <c r="R248" s="37" t="s">
        <v>176</v>
      </c>
      <c r="S248" s="32" t="s">
        <v>176</v>
      </c>
      <c r="T248" s="37" t="s">
        <v>168</v>
      </c>
      <c r="U248" s="32">
        <v>4</v>
      </c>
      <c r="V248" s="34" t="str">
        <f>VLOOKUP(U248,Key!$E$2:$F$9,2,FALSE)</f>
        <v>Commercial</v>
      </c>
      <c r="W248" s="34" t="str">
        <f t="shared" si="8"/>
        <v>Work-Commercial</v>
      </c>
      <c r="X248" s="47">
        <v>80000</v>
      </c>
      <c r="Y248" s="38">
        <v>85</v>
      </c>
      <c r="Z248" s="38">
        <v>3</v>
      </c>
      <c r="AA248" s="32">
        <v>10</v>
      </c>
      <c r="AB248" s="34" t="str">
        <f>VLOOKUP(AA248,Key!$C$20:$D$29,2,FALSE)</f>
        <v>Other</v>
      </c>
      <c r="AC248" s="32">
        <v>2</v>
      </c>
      <c r="AD248" s="34" t="str">
        <f>VLOOKUP(AC248,Key!$E$20:$F$24,2,FALSE)</f>
        <v>300,000-500,000</v>
      </c>
      <c r="AE248" s="32">
        <v>4</v>
      </c>
      <c r="AF248" s="55">
        <v>3</v>
      </c>
      <c r="AG248" s="55">
        <v>4</v>
      </c>
      <c r="AH248" s="55">
        <v>3</v>
      </c>
      <c r="AI248" s="55">
        <v>3</v>
      </c>
      <c r="AJ248" s="39" t="s">
        <v>104</v>
      </c>
      <c r="AK248" s="40">
        <v>4000</v>
      </c>
      <c r="AL248" s="24"/>
      <c r="AM248" s="24"/>
    </row>
    <row r="249" spans="1:39" x14ac:dyDescent="0.2">
      <c r="B249" s="50">
        <v>43689</v>
      </c>
      <c r="C249" s="35">
        <v>0.47916666666666669</v>
      </c>
      <c r="D249" s="35"/>
      <c r="E249" s="35" t="s">
        <v>111</v>
      </c>
      <c r="F249" s="37">
        <v>2</v>
      </c>
      <c r="G249" s="42" t="str">
        <f>VLOOKUP(F249,Key!$A$17:$B$21,2,FALSE)</f>
        <v>Road Vehicle</v>
      </c>
      <c r="H249" s="36">
        <v>8</v>
      </c>
      <c r="I249" s="43" t="str">
        <f>VLOOKUP(H249,Key!$A$2:$B$13,2,FALSE)</f>
        <v xml:space="preserve">Medium Truck </v>
      </c>
      <c r="J249" s="37" t="s">
        <v>123</v>
      </c>
      <c r="K249" s="37">
        <v>2</v>
      </c>
      <c r="L249" s="45" t="str">
        <f>VLOOKUP(K249,Key!$A$24:$B$29,2,FALSE)</f>
        <v>30-39</v>
      </c>
      <c r="M249" s="37" t="s">
        <v>251</v>
      </c>
      <c r="N249" s="32" t="s">
        <v>251</v>
      </c>
      <c r="O249" s="37" t="s">
        <v>168</v>
      </c>
      <c r="P249" s="39">
        <v>2</v>
      </c>
      <c r="Q249" s="34" t="str">
        <f>VLOOKUP(P249,Key!$E$2:$F$9,2,FALSE)</f>
        <v>Work</v>
      </c>
      <c r="R249" s="37" t="s">
        <v>167</v>
      </c>
      <c r="S249" s="32" t="s">
        <v>167</v>
      </c>
      <c r="T249" s="37" t="s">
        <v>168</v>
      </c>
      <c r="U249" s="32">
        <v>4</v>
      </c>
      <c r="V249" s="34" t="str">
        <f>VLOOKUP(U249,Key!$E$2:$F$9,2,FALSE)</f>
        <v>Commercial</v>
      </c>
      <c r="W249" s="34" t="str">
        <f t="shared" si="8"/>
        <v>Work-Commercial</v>
      </c>
      <c r="X249" s="47">
        <v>50000</v>
      </c>
      <c r="Y249" s="38">
        <v>90</v>
      </c>
      <c r="Z249" s="38">
        <v>2.5</v>
      </c>
      <c r="AA249" s="32">
        <v>10</v>
      </c>
      <c r="AB249" s="34" t="str">
        <f>VLOOKUP(AA249,Key!$C$20:$D$29,2,FALSE)</f>
        <v>Other</v>
      </c>
      <c r="AC249" s="32">
        <v>2</v>
      </c>
      <c r="AD249" s="34" t="str">
        <f>VLOOKUP(AC249,Key!$E$20:$F$24,2,FALSE)</f>
        <v>300,000-500,000</v>
      </c>
      <c r="AE249" s="32">
        <v>3</v>
      </c>
      <c r="AF249" s="55">
        <v>2</v>
      </c>
      <c r="AG249" s="55">
        <v>3</v>
      </c>
      <c r="AH249" s="55">
        <v>2</v>
      </c>
      <c r="AI249" s="55">
        <v>3</v>
      </c>
      <c r="AJ249" s="39" t="s">
        <v>104</v>
      </c>
      <c r="AK249" s="40">
        <v>5000</v>
      </c>
      <c r="AL249" s="24"/>
      <c r="AM249" s="24"/>
    </row>
    <row r="250" spans="1:39" x14ac:dyDescent="0.2">
      <c r="A250" s="10"/>
      <c r="B250" s="50">
        <v>43686</v>
      </c>
      <c r="C250" s="35">
        <v>0.7583333333333333</v>
      </c>
      <c r="D250" s="35"/>
      <c r="E250" s="35" t="s">
        <v>111</v>
      </c>
      <c r="F250" s="37">
        <v>2</v>
      </c>
      <c r="G250" s="42" t="str">
        <f>VLOOKUP(F250,Key!$A$17:$B$21,2,FALSE)</f>
        <v>Road Vehicle</v>
      </c>
      <c r="H250" s="36">
        <v>8</v>
      </c>
      <c r="I250" s="43" t="str">
        <f>VLOOKUP(H250,Key!$A$2:$B$13,2,FALSE)</f>
        <v xml:space="preserve">Medium Truck </v>
      </c>
      <c r="J250" s="37" t="s">
        <v>123</v>
      </c>
      <c r="K250" s="37">
        <v>3</v>
      </c>
      <c r="L250" s="45" t="str">
        <f>VLOOKUP(K250,Key!$A$24:$B$29,2,FALSE)</f>
        <v>40-49</v>
      </c>
      <c r="M250" s="37" t="s">
        <v>167</v>
      </c>
      <c r="N250" s="32" t="s">
        <v>167</v>
      </c>
      <c r="O250" s="37" t="s">
        <v>168</v>
      </c>
      <c r="P250" s="39">
        <v>2</v>
      </c>
      <c r="Q250" s="34" t="str">
        <f>VLOOKUP(P250,Key!$E$2:$F$9,2,FALSE)</f>
        <v>Work</v>
      </c>
      <c r="R250" s="37" t="s">
        <v>218</v>
      </c>
      <c r="S250" s="32" t="s">
        <v>176</v>
      </c>
      <c r="T250" s="37" t="s">
        <v>168</v>
      </c>
      <c r="U250" s="32">
        <v>4</v>
      </c>
      <c r="V250" s="34" t="str">
        <f>VLOOKUP(U250,Key!$E$2:$F$9,2,FALSE)</f>
        <v>Commercial</v>
      </c>
      <c r="W250" s="34" t="str">
        <f t="shared" si="8"/>
        <v>Work-Commercial</v>
      </c>
      <c r="X250" s="47">
        <v>60000</v>
      </c>
      <c r="Y250" s="38">
        <v>68</v>
      </c>
      <c r="Z250" s="38">
        <v>3</v>
      </c>
      <c r="AA250" s="32">
        <v>6</v>
      </c>
      <c r="AB250" s="34" t="str">
        <f>VLOOKUP(AA250,Key!$C$20:$D$29,2,FALSE)</f>
        <v>Businessman</v>
      </c>
      <c r="AC250" s="32">
        <v>3</v>
      </c>
      <c r="AD250" s="34" t="str">
        <f>VLOOKUP(AC250,Key!$E$20:$F$24,2,FALSE)</f>
        <v>500,000-750,000</v>
      </c>
      <c r="AE250" s="32">
        <v>1</v>
      </c>
      <c r="AF250" s="55">
        <v>1</v>
      </c>
      <c r="AG250" s="55">
        <v>2</v>
      </c>
      <c r="AH250" s="55">
        <v>1</v>
      </c>
      <c r="AI250" s="55">
        <v>2</v>
      </c>
      <c r="AJ250" s="39" t="s">
        <v>104</v>
      </c>
      <c r="AK250" s="40"/>
      <c r="AL250" s="24"/>
      <c r="AM250" s="24"/>
    </row>
    <row r="251" spans="1:39" x14ac:dyDescent="0.2">
      <c r="B251" s="50">
        <v>43686</v>
      </c>
      <c r="C251" s="35">
        <v>0.67361111111111116</v>
      </c>
      <c r="D251" s="35"/>
      <c r="E251" s="35" t="s">
        <v>111</v>
      </c>
      <c r="F251" s="37">
        <v>2</v>
      </c>
      <c r="G251" s="42" t="str">
        <f>VLOOKUP(F251,Key!$A$17:$B$21,2,FALSE)</f>
        <v>Road Vehicle</v>
      </c>
      <c r="H251" s="36">
        <v>8</v>
      </c>
      <c r="I251" s="43" t="str">
        <f>VLOOKUP(H251,Key!$A$2:$B$13,2,FALSE)</f>
        <v xml:space="preserve">Medium Truck </v>
      </c>
      <c r="J251" s="37" t="s">
        <v>123</v>
      </c>
      <c r="K251" s="37">
        <v>4</v>
      </c>
      <c r="L251" s="45" t="str">
        <f>VLOOKUP(K251,Key!$A$24:$B$29,2,FALSE)</f>
        <v>50-59</v>
      </c>
      <c r="M251" s="37" t="s">
        <v>353</v>
      </c>
      <c r="N251" s="32" t="s">
        <v>167</v>
      </c>
      <c r="O251" s="37" t="s">
        <v>168</v>
      </c>
      <c r="P251" s="39">
        <v>4</v>
      </c>
      <c r="Q251" s="34" t="str">
        <f>VLOOKUP(P251,Key!$E$2:$F$9,2,FALSE)</f>
        <v>Commercial</v>
      </c>
      <c r="R251" s="37" t="s">
        <v>35</v>
      </c>
      <c r="S251" s="32" t="s">
        <v>174</v>
      </c>
      <c r="T251" s="37" t="s">
        <v>168</v>
      </c>
      <c r="U251" s="32">
        <v>4</v>
      </c>
      <c r="V251" s="34" t="str">
        <f>VLOOKUP(U251,Key!$E$2:$F$9,2,FALSE)</f>
        <v>Commercial</v>
      </c>
      <c r="W251" s="34" t="str">
        <f t="shared" si="8"/>
        <v>Commercial-Commercial</v>
      </c>
      <c r="X251" s="47">
        <v>100000</v>
      </c>
      <c r="Y251" s="38">
        <v>100</v>
      </c>
      <c r="Z251" s="38">
        <v>2</v>
      </c>
      <c r="AA251" s="32">
        <v>10</v>
      </c>
      <c r="AB251" s="34" t="str">
        <f>VLOOKUP(AA251,Key!$C$20:$D$29,2,FALSE)</f>
        <v>Other</v>
      </c>
      <c r="AC251" s="32">
        <v>2</v>
      </c>
      <c r="AD251" s="34" t="str">
        <f>VLOOKUP(AC251,Key!$E$20:$F$24,2,FALSE)</f>
        <v>300,000-500,000</v>
      </c>
      <c r="AE251" s="32">
        <v>1</v>
      </c>
      <c r="AF251" s="55">
        <v>1</v>
      </c>
      <c r="AG251" s="55">
        <v>1</v>
      </c>
      <c r="AH251" s="55">
        <v>1</v>
      </c>
      <c r="AI251" s="55">
        <v>1</v>
      </c>
      <c r="AJ251" s="39" t="s">
        <v>104</v>
      </c>
      <c r="AK251" s="40">
        <v>1000</v>
      </c>
      <c r="AL251" s="24"/>
      <c r="AM251" s="24"/>
    </row>
    <row r="252" spans="1:39" hidden="1" x14ac:dyDescent="0.2">
      <c r="B252" s="50">
        <v>43687</v>
      </c>
      <c r="C252" s="35">
        <v>0.71875</v>
      </c>
      <c r="D252" s="35"/>
      <c r="E252" s="35" t="s">
        <v>111</v>
      </c>
      <c r="F252" s="37">
        <v>2</v>
      </c>
      <c r="G252" s="42" t="str">
        <f>VLOOKUP(F252,Key!$A$17:$B$21,2,FALSE)</f>
        <v>Road Vehicle</v>
      </c>
      <c r="H252" s="36">
        <v>8</v>
      </c>
      <c r="I252" s="43" t="str">
        <f>VLOOKUP(H252,Key!$A$2:$B$13,2,FALSE)</f>
        <v xml:space="preserve">Medium Truck </v>
      </c>
      <c r="J252" s="37" t="s">
        <v>123</v>
      </c>
      <c r="K252" s="37">
        <v>2</v>
      </c>
      <c r="L252" s="45" t="str">
        <f>VLOOKUP(K252,Key!$A$24:$B$29,2,FALSE)</f>
        <v>30-39</v>
      </c>
      <c r="M252" s="37" t="s">
        <v>183</v>
      </c>
      <c r="N252" s="32" t="s">
        <v>183</v>
      </c>
      <c r="O252" s="37" t="s">
        <v>168</v>
      </c>
      <c r="P252" s="39">
        <v>2</v>
      </c>
      <c r="Q252" s="34" t="str">
        <f>VLOOKUP(P252,Key!$E$2:$F$9,2,FALSE)</f>
        <v>Work</v>
      </c>
      <c r="R252" s="37" t="s">
        <v>167</v>
      </c>
      <c r="S252" s="32" t="s">
        <v>167</v>
      </c>
      <c r="T252" s="37" t="s">
        <v>168</v>
      </c>
      <c r="U252" s="32">
        <v>4</v>
      </c>
      <c r="V252" s="34" t="str">
        <f>VLOOKUP(U252,Key!$E$2:$F$9,2,FALSE)</f>
        <v>Commercial</v>
      </c>
      <c r="W252" s="34" t="str">
        <f t="shared" si="8"/>
        <v>Work-Commercial</v>
      </c>
      <c r="X252" s="47">
        <v>120000</v>
      </c>
      <c r="Y252" s="38">
        <v>109</v>
      </c>
      <c r="Z252" s="38">
        <v>4</v>
      </c>
      <c r="AA252" s="32">
        <v>6</v>
      </c>
      <c r="AB252" s="34" t="str">
        <f>VLOOKUP(AA252,Key!$C$20:$D$29,2,FALSE)</f>
        <v>Businessman</v>
      </c>
      <c r="AC252" s="32">
        <v>2</v>
      </c>
      <c r="AD252" s="34" t="str">
        <f>VLOOKUP(AC252,Key!$E$20:$F$24,2,FALSE)</f>
        <v>300,000-500,000</v>
      </c>
      <c r="AE252" s="32">
        <v>1</v>
      </c>
      <c r="AF252" s="55">
        <v>4</v>
      </c>
      <c r="AG252" s="55">
        <v>3</v>
      </c>
      <c r="AH252" s="55">
        <v>2</v>
      </c>
      <c r="AI252" s="55">
        <v>5</v>
      </c>
      <c r="AJ252" s="39" t="s">
        <v>104</v>
      </c>
      <c r="AK252" s="40"/>
      <c r="AL252" s="24"/>
      <c r="AM252" s="24"/>
    </row>
    <row r="253" spans="1:39" hidden="1" x14ac:dyDescent="0.2">
      <c r="B253" s="50">
        <v>43687</v>
      </c>
      <c r="C253" s="35">
        <v>0.73472222222222217</v>
      </c>
      <c r="D253" s="35"/>
      <c r="E253" s="35" t="s">
        <v>111</v>
      </c>
      <c r="F253" s="37">
        <v>2</v>
      </c>
      <c r="G253" s="42" t="str">
        <f>VLOOKUP(F253,Key!$A$17:$B$21,2,FALSE)</f>
        <v>Road Vehicle</v>
      </c>
      <c r="H253" s="36">
        <v>8</v>
      </c>
      <c r="I253" s="43" t="str">
        <f>VLOOKUP(H253,Key!$A$2:$B$13,2,FALSE)</f>
        <v xml:space="preserve">Medium Truck </v>
      </c>
      <c r="J253" s="37" t="s">
        <v>123</v>
      </c>
      <c r="K253" s="37">
        <v>2</v>
      </c>
      <c r="L253" s="45" t="str">
        <f>VLOOKUP(K253,Key!$A$24:$B$29,2,FALSE)</f>
        <v>30-39</v>
      </c>
      <c r="M253" s="37" t="s">
        <v>169</v>
      </c>
      <c r="N253" s="32" t="s">
        <v>169</v>
      </c>
      <c r="O253" s="37" t="s">
        <v>168</v>
      </c>
      <c r="P253" s="39">
        <v>2</v>
      </c>
      <c r="Q253" s="34" t="str">
        <f>VLOOKUP(P253,Key!$E$2:$F$9,2,FALSE)</f>
        <v>Work</v>
      </c>
      <c r="R253" s="37" t="s">
        <v>167</v>
      </c>
      <c r="S253" s="32" t="s">
        <v>167</v>
      </c>
      <c r="T253" s="37" t="s">
        <v>168</v>
      </c>
      <c r="U253" s="32">
        <v>4</v>
      </c>
      <c r="V253" s="34" t="str">
        <f>VLOOKUP(U253,Key!$E$2:$F$9,2,FALSE)</f>
        <v>Commercial</v>
      </c>
      <c r="W253" s="34" t="str">
        <f t="shared" si="8"/>
        <v>Work-Commercial</v>
      </c>
      <c r="X253" s="47">
        <v>60000</v>
      </c>
      <c r="Y253" s="38">
        <v>110</v>
      </c>
      <c r="Z253" s="38">
        <v>3.5</v>
      </c>
      <c r="AA253" s="32">
        <v>10</v>
      </c>
      <c r="AB253" s="34" t="str">
        <f>VLOOKUP(AA253,Key!$C$20:$D$29,2,FALSE)</f>
        <v>Other</v>
      </c>
      <c r="AC253" s="32">
        <v>2</v>
      </c>
      <c r="AD253" s="34" t="str">
        <f>VLOOKUP(AC253,Key!$E$20:$F$24,2,FALSE)</f>
        <v>300,000-500,000</v>
      </c>
      <c r="AE253" s="32">
        <v>2</v>
      </c>
      <c r="AF253" s="55">
        <v>2</v>
      </c>
      <c r="AG253" s="55">
        <v>3</v>
      </c>
      <c r="AH253" s="55">
        <v>1</v>
      </c>
      <c r="AI253" s="55">
        <v>3</v>
      </c>
      <c r="AJ253" s="39" t="s">
        <v>104</v>
      </c>
      <c r="AK253" s="40">
        <v>3000</v>
      </c>
      <c r="AL253" s="24"/>
      <c r="AM253" s="24"/>
    </row>
    <row r="254" spans="1:39" hidden="1" x14ac:dyDescent="0.2">
      <c r="B254" s="50">
        <v>43687</v>
      </c>
      <c r="C254" s="35">
        <v>0.77916666666666667</v>
      </c>
      <c r="D254" s="35"/>
      <c r="E254" s="35" t="s">
        <v>111</v>
      </c>
      <c r="F254" s="37">
        <v>2</v>
      </c>
      <c r="G254" s="42" t="str">
        <f>VLOOKUP(F254,Key!$A$17:$B$21,2,FALSE)</f>
        <v>Road Vehicle</v>
      </c>
      <c r="H254" s="36">
        <v>8</v>
      </c>
      <c r="I254" s="43" t="str">
        <f>VLOOKUP(H254,Key!$A$2:$B$13,2,FALSE)</f>
        <v xml:space="preserve">Medium Truck </v>
      </c>
      <c r="J254" s="37" t="s">
        <v>123</v>
      </c>
      <c r="K254" s="37">
        <v>2</v>
      </c>
      <c r="L254" s="45" t="str">
        <f>VLOOKUP(K254,Key!$A$24:$B$29,2,FALSE)</f>
        <v>30-39</v>
      </c>
      <c r="M254" s="37" t="s">
        <v>179</v>
      </c>
      <c r="N254" s="32" t="s">
        <v>179</v>
      </c>
      <c r="O254" s="37" t="s">
        <v>168</v>
      </c>
      <c r="P254" s="39">
        <v>2</v>
      </c>
      <c r="Q254" s="34" t="str">
        <f>VLOOKUP(P254,Key!$E$2:$F$9,2,FALSE)</f>
        <v>Work</v>
      </c>
      <c r="R254" s="37" t="s">
        <v>176</v>
      </c>
      <c r="S254" s="32" t="s">
        <v>176</v>
      </c>
      <c r="T254" s="37" t="s">
        <v>168</v>
      </c>
      <c r="U254" s="32">
        <v>4</v>
      </c>
      <c r="V254" s="34" t="str">
        <f>VLOOKUP(U254,Key!$E$2:$F$9,2,FALSE)</f>
        <v>Commercial</v>
      </c>
      <c r="W254" s="34" t="str">
        <f t="shared" si="8"/>
        <v>Work-Commercial</v>
      </c>
      <c r="X254" s="47">
        <v>90000</v>
      </c>
      <c r="Y254" s="38">
        <v>140</v>
      </c>
      <c r="Z254" s="38">
        <v>4</v>
      </c>
      <c r="AA254" s="32">
        <v>6</v>
      </c>
      <c r="AB254" s="34" t="str">
        <f>VLOOKUP(AA254,Key!$C$20:$D$29,2,FALSE)</f>
        <v>Businessman</v>
      </c>
      <c r="AC254" s="32">
        <v>3</v>
      </c>
      <c r="AD254" s="34" t="str">
        <f>VLOOKUP(AC254,Key!$E$20:$F$24,2,FALSE)</f>
        <v>500,000-750,000</v>
      </c>
      <c r="AE254" s="32">
        <v>3</v>
      </c>
      <c r="AF254" s="55">
        <v>2</v>
      </c>
      <c r="AG254" s="55">
        <v>4</v>
      </c>
      <c r="AH254" s="55">
        <v>1</v>
      </c>
      <c r="AI254" s="55">
        <v>5</v>
      </c>
      <c r="AJ254" s="39" t="s">
        <v>104</v>
      </c>
      <c r="AK254" s="40">
        <v>3000</v>
      </c>
      <c r="AL254" s="24"/>
      <c r="AM254" s="24"/>
    </row>
    <row r="255" spans="1:39" hidden="1" x14ac:dyDescent="0.2">
      <c r="B255" s="50">
        <v>43688</v>
      </c>
      <c r="C255" s="35">
        <v>0.62638888888888888</v>
      </c>
      <c r="D255" s="35"/>
      <c r="E255" s="35" t="s">
        <v>111</v>
      </c>
      <c r="F255" s="37">
        <v>2</v>
      </c>
      <c r="G255" s="42" t="str">
        <f>VLOOKUP(F255,Key!$A$17:$B$21,2,FALSE)</f>
        <v>Road Vehicle</v>
      </c>
      <c r="H255" s="36">
        <v>8</v>
      </c>
      <c r="I255" s="43" t="str">
        <f>VLOOKUP(H255,Key!$A$2:$B$13,2,FALSE)</f>
        <v xml:space="preserve">Medium Truck </v>
      </c>
      <c r="J255" s="37" t="s">
        <v>123</v>
      </c>
      <c r="K255" s="37">
        <v>2</v>
      </c>
      <c r="L255" s="45" t="str">
        <f>VLOOKUP(K255,Key!$A$24:$B$29,2,FALSE)</f>
        <v>30-39</v>
      </c>
      <c r="M255" s="37" t="s">
        <v>199</v>
      </c>
      <c r="N255" s="32" t="s">
        <v>199</v>
      </c>
      <c r="O255" s="37" t="s">
        <v>168</v>
      </c>
      <c r="P255" s="39">
        <v>2</v>
      </c>
      <c r="Q255" s="34" t="str">
        <f>VLOOKUP(P255,Key!$E$2:$F$9,2,FALSE)</f>
        <v>Work</v>
      </c>
      <c r="R255" s="37" t="s">
        <v>176</v>
      </c>
      <c r="S255" s="32" t="s">
        <v>176</v>
      </c>
      <c r="T255" s="37" t="s">
        <v>168</v>
      </c>
      <c r="U255" s="32">
        <v>2</v>
      </c>
      <c r="V255" s="34" t="str">
        <f>VLOOKUP(U255,Key!$E$2:$F$9,2,FALSE)</f>
        <v>Work</v>
      </c>
      <c r="W255" s="34" t="str">
        <f t="shared" si="8"/>
        <v>Work-Work</v>
      </c>
      <c r="X255" s="47">
        <v>200000</v>
      </c>
      <c r="Y255" s="38">
        <v>200</v>
      </c>
      <c r="Z255" s="38">
        <v>4</v>
      </c>
      <c r="AA255" s="32">
        <v>10</v>
      </c>
      <c r="AB255" s="34" t="str">
        <f>VLOOKUP(AA255,Key!$C$20:$D$29,2,FALSE)</f>
        <v>Other</v>
      </c>
      <c r="AC255" s="32">
        <v>3</v>
      </c>
      <c r="AD255" s="34" t="str">
        <f>VLOOKUP(AC255,Key!$E$20:$F$24,2,FALSE)</f>
        <v>500,000-750,000</v>
      </c>
      <c r="AE255" s="32">
        <v>3</v>
      </c>
      <c r="AF255" s="55">
        <v>3</v>
      </c>
      <c r="AG255" s="55">
        <v>2</v>
      </c>
      <c r="AH255" s="55">
        <v>2</v>
      </c>
      <c r="AI255" s="55"/>
      <c r="AJ255" s="39" t="s">
        <v>104</v>
      </c>
      <c r="AK255" s="40">
        <v>1000</v>
      </c>
      <c r="AL255" s="24"/>
      <c r="AM255" s="24"/>
    </row>
    <row r="256" spans="1:39" hidden="1" x14ac:dyDescent="0.2">
      <c r="B256" s="50">
        <v>43688</v>
      </c>
      <c r="C256" s="35">
        <v>0.72222222222222221</v>
      </c>
      <c r="D256" s="35"/>
      <c r="E256" s="35" t="s">
        <v>111</v>
      </c>
      <c r="F256" s="37">
        <v>2</v>
      </c>
      <c r="G256" s="42" t="str">
        <f>VLOOKUP(F256,Key!$A$17:$B$21,2,FALSE)</f>
        <v>Road Vehicle</v>
      </c>
      <c r="H256" s="36">
        <v>8</v>
      </c>
      <c r="I256" s="43" t="str">
        <f>VLOOKUP(H256,Key!$A$2:$B$13,2,FALSE)</f>
        <v xml:space="preserve">Medium Truck </v>
      </c>
      <c r="J256" s="37" t="s">
        <v>123</v>
      </c>
      <c r="K256" s="13">
        <v>2</v>
      </c>
      <c r="L256" s="45" t="str">
        <f>VLOOKUP(K256,Key!$A$24:$B$29,2,FALSE)</f>
        <v>30-39</v>
      </c>
      <c r="M256" s="44" t="s">
        <v>197</v>
      </c>
      <c r="N256" s="44" t="s">
        <v>167</v>
      </c>
      <c r="O256" s="37" t="s">
        <v>168</v>
      </c>
      <c r="P256" s="39">
        <v>4</v>
      </c>
      <c r="Q256" s="34" t="str">
        <f>VLOOKUP(P256,Key!$E$2:$F$9,2,FALSE)</f>
        <v>Commercial</v>
      </c>
      <c r="R256" s="37" t="s">
        <v>174</v>
      </c>
      <c r="S256" s="32" t="s">
        <v>174</v>
      </c>
      <c r="T256" s="37" t="s">
        <v>168</v>
      </c>
      <c r="U256" s="32">
        <v>4</v>
      </c>
      <c r="V256" s="34" t="str">
        <f>VLOOKUP(U256,Key!$E$2:$F$9,2,FALSE)</f>
        <v>Commercial</v>
      </c>
      <c r="W256" s="34" t="str">
        <f t="shared" si="8"/>
        <v>Commercial-Commercial</v>
      </c>
      <c r="X256" s="47">
        <v>15000</v>
      </c>
      <c r="Y256" s="38">
        <v>200</v>
      </c>
      <c r="Z256" s="38">
        <v>5</v>
      </c>
      <c r="AA256" s="32">
        <v>10</v>
      </c>
      <c r="AB256" s="34" t="str">
        <f>VLOOKUP(AA256,Key!$C$20:$D$29,2,FALSE)</f>
        <v>Other</v>
      </c>
      <c r="AC256" s="32">
        <v>3</v>
      </c>
      <c r="AD256" s="34" t="str">
        <f>VLOOKUP(AC256,Key!$E$20:$F$24,2,FALSE)</f>
        <v>500,000-750,000</v>
      </c>
      <c r="AE256" s="32">
        <v>1</v>
      </c>
      <c r="AF256" s="55">
        <v>1</v>
      </c>
      <c r="AG256" s="55">
        <v>2</v>
      </c>
      <c r="AH256" s="55">
        <v>2</v>
      </c>
      <c r="AI256" s="55">
        <v>1</v>
      </c>
      <c r="AJ256" s="39" t="s">
        <v>104</v>
      </c>
      <c r="AK256" s="40">
        <v>2000</v>
      </c>
      <c r="AL256" s="24"/>
      <c r="AM256" s="24"/>
    </row>
    <row r="257" spans="2:39" hidden="1" x14ac:dyDescent="0.2">
      <c r="B257" s="50">
        <v>43688</v>
      </c>
      <c r="C257" s="35">
        <v>0.47986111111111113</v>
      </c>
      <c r="D257" s="35"/>
      <c r="E257" s="35" t="s">
        <v>111</v>
      </c>
      <c r="F257" s="37">
        <v>2</v>
      </c>
      <c r="G257" s="42" t="str">
        <f>VLOOKUP(F257,Key!$A$17:$B$21,2,FALSE)</f>
        <v>Road Vehicle</v>
      </c>
      <c r="H257" s="36">
        <v>8</v>
      </c>
      <c r="I257" s="43" t="str">
        <f>VLOOKUP(H257,Key!$A$2:$B$13,2,FALSE)</f>
        <v xml:space="preserve">Medium Truck </v>
      </c>
      <c r="J257" s="37" t="s">
        <v>123</v>
      </c>
      <c r="K257" s="37">
        <v>3</v>
      </c>
      <c r="L257" s="45" t="str">
        <f>VLOOKUP(K257,Key!$A$24:$B$29,2,FALSE)</f>
        <v>40-49</v>
      </c>
      <c r="M257" s="44" t="s">
        <v>227</v>
      </c>
      <c r="N257" s="44" t="s">
        <v>183</v>
      </c>
      <c r="O257" s="37" t="s">
        <v>168</v>
      </c>
      <c r="P257" s="39">
        <v>1</v>
      </c>
      <c r="Q257" s="34" t="str">
        <f>VLOOKUP(P257,Key!$E$2:$F$9,2,FALSE)</f>
        <v>Home</v>
      </c>
      <c r="R257" s="37" t="s">
        <v>225</v>
      </c>
      <c r="S257" s="32" t="s">
        <v>190</v>
      </c>
      <c r="T257" s="37" t="s">
        <v>168</v>
      </c>
      <c r="U257" s="32">
        <v>4</v>
      </c>
      <c r="V257" s="34" t="str">
        <f>VLOOKUP(U257,Key!$E$2:$F$9,2,FALSE)</f>
        <v>Commercial</v>
      </c>
      <c r="W257" s="34" t="str">
        <f t="shared" si="8"/>
        <v>Home-Commercial</v>
      </c>
      <c r="X257" s="47">
        <v>150000</v>
      </c>
      <c r="Y257" s="38">
        <v>200</v>
      </c>
      <c r="Z257" s="38">
        <v>5</v>
      </c>
      <c r="AA257" s="32">
        <v>2</v>
      </c>
      <c r="AB257" s="34" t="str">
        <f>VLOOKUP(AA257,Key!$C$20:$D$29,2,FALSE)</f>
        <v>Manual Labour</v>
      </c>
      <c r="AC257" s="32">
        <v>2</v>
      </c>
      <c r="AD257" s="34" t="str">
        <f>VLOOKUP(AC257,Key!$E$20:$F$24,2,FALSE)</f>
        <v>300,000-500,000</v>
      </c>
      <c r="AE257" s="32">
        <v>1</v>
      </c>
      <c r="AF257" s="55">
        <v>1</v>
      </c>
      <c r="AG257" s="55">
        <v>1</v>
      </c>
      <c r="AH257" s="55">
        <v>1</v>
      </c>
      <c r="AI257" s="55">
        <v>1</v>
      </c>
      <c r="AJ257" s="39" t="s">
        <v>104</v>
      </c>
      <c r="AK257" s="40">
        <v>5000</v>
      </c>
      <c r="AL257" s="24"/>
      <c r="AM257" s="24"/>
    </row>
    <row r="258" spans="2:39" hidden="1" x14ac:dyDescent="0.2">
      <c r="B258" s="50">
        <v>43686</v>
      </c>
      <c r="C258" s="35">
        <v>0.6875</v>
      </c>
      <c r="D258" s="35"/>
      <c r="E258" s="35" t="s">
        <v>111</v>
      </c>
      <c r="F258" s="37">
        <v>2</v>
      </c>
      <c r="G258" s="42" t="str">
        <f>VLOOKUP(F258,Key!$A$17:$B$21,2,FALSE)</f>
        <v>Road Vehicle</v>
      </c>
      <c r="H258" s="36">
        <v>8</v>
      </c>
      <c r="I258" s="43" t="str">
        <f>VLOOKUP(H258,Key!$A$2:$B$13,2,FALSE)</f>
        <v xml:space="preserve">Medium Truck </v>
      </c>
      <c r="J258" s="37" t="s">
        <v>123</v>
      </c>
      <c r="K258" s="37">
        <v>3</v>
      </c>
      <c r="L258" s="45" t="str">
        <f>VLOOKUP(K258,Key!$A$24:$B$29,2,FALSE)</f>
        <v>40-49</v>
      </c>
      <c r="M258" s="37" t="s">
        <v>321</v>
      </c>
      <c r="N258" s="32" t="s">
        <v>321</v>
      </c>
      <c r="O258" s="37" t="s">
        <v>168</v>
      </c>
      <c r="P258" s="39">
        <v>2</v>
      </c>
      <c r="Q258" s="34" t="str">
        <f>VLOOKUP(P258,Key!$E$2:$F$9,2,FALSE)</f>
        <v>Work</v>
      </c>
      <c r="R258" s="37" t="s">
        <v>225</v>
      </c>
      <c r="S258" s="32" t="s">
        <v>190</v>
      </c>
      <c r="T258" s="37" t="s">
        <v>168</v>
      </c>
      <c r="U258" s="32">
        <v>4</v>
      </c>
      <c r="V258" s="34" t="str">
        <f>VLOOKUP(U258,Key!$E$2:$F$9,2,FALSE)</f>
        <v>Commercial</v>
      </c>
      <c r="W258" s="34" t="str">
        <f t="shared" si="8"/>
        <v>Work-Commercial</v>
      </c>
      <c r="X258" s="47">
        <v>200000</v>
      </c>
      <c r="Y258" s="38">
        <v>200</v>
      </c>
      <c r="Z258" s="38">
        <v>6</v>
      </c>
      <c r="AA258" s="32">
        <v>5</v>
      </c>
      <c r="AB258" s="34" t="str">
        <f>VLOOKUP(AA258,Key!$C$20:$D$29,2,FALSE)</f>
        <v>Professional</v>
      </c>
      <c r="AC258" s="32">
        <v>3</v>
      </c>
      <c r="AD258" s="34" t="str">
        <f>VLOOKUP(AC258,Key!$E$20:$F$24,2,FALSE)</f>
        <v>500,000-750,000</v>
      </c>
      <c r="AE258" s="32">
        <v>2</v>
      </c>
      <c r="AF258" s="55">
        <v>2</v>
      </c>
      <c r="AG258" s="55">
        <v>1</v>
      </c>
      <c r="AH258" s="55">
        <v>1</v>
      </c>
      <c r="AI258" s="55">
        <v>1</v>
      </c>
      <c r="AJ258" s="39" t="s">
        <v>104</v>
      </c>
      <c r="AK258" s="40">
        <v>5000</v>
      </c>
      <c r="AL258" s="24"/>
      <c r="AM258" s="24"/>
    </row>
    <row r="259" spans="2:39" hidden="1" x14ac:dyDescent="0.2">
      <c r="B259" s="50">
        <v>43687</v>
      </c>
      <c r="C259" s="35">
        <v>0.60416666666666663</v>
      </c>
      <c r="D259" s="35"/>
      <c r="E259" s="35" t="s">
        <v>111</v>
      </c>
      <c r="F259" s="37">
        <v>2</v>
      </c>
      <c r="G259" s="42" t="str">
        <f>VLOOKUP(F259,Key!$A$17:$B$21,2,FALSE)</f>
        <v>Road Vehicle</v>
      </c>
      <c r="H259" s="36">
        <v>8</v>
      </c>
      <c r="I259" s="43" t="str">
        <f>VLOOKUP(H259,Key!$A$2:$B$13,2,FALSE)</f>
        <v xml:space="preserve">Medium Truck </v>
      </c>
      <c r="J259" s="37" t="s">
        <v>123</v>
      </c>
      <c r="K259" s="13">
        <v>2</v>
      </c>
      <c r="L259" s="45" t="str">
        <f>VLOOKUP(K259,Key!$A$24:$B$29,2,FALSE)</f>
        <v>30-39</v>
      </c>
      <c r="M259" s="44" t="s">
        <v>198</v>
      </c>
      <c r="N259" s="44" t="s">
        <v>167</v>
      </c>
      <c r="O259" s="37" t="s">
        <v>168</v>
      </c>
      <c r="P259" s="39">
        <v>4</v>
      </c>
      <c r="Q259" s="34" t="str">
        <f>VLOOKUP(P259,Key!$E$2:$F$9,2,FALSE)</f>
        <v>Commercial</v>
      </c>
      <c r="R259" s="37" t="s">
        <v>199</v>
      </c>
      <c r="S259" s="32" t="s">
        <v>199</v>
      </c>
      <c r="T259" s="37" t="s">
        <v>168</v>
      </c>
      <c r="U259" s="32">
        <v>4</v>
      </c>
      <c r="V259" s="34" t="str">
        <f>VLOOKUP(U259,Key!$E$2:$F$9,2,FALSE)</f>
        <v>Commercial</v>
      </c>
      <c r="W259" s="34" t="str">
        <f t="shared" si="8"/>
        <v>Commercial-Commercial</v>
      </c>
      <c r="X259" s="47">
        <v>140000</v>
      </c>
      <c r="Y259" s="38">
        <v>210</v>
      </c>
      <c r="Z259" s="38">
        <v>4</v>
      </c>
      <c r="AA259" s="32">
        <v>10</v>
      </c>
      <c r="AB259" s="34" t="str">
        <f>VLOOKUP(AA259,Key!$C$20:$D$29,2,FALSE)</f>
        <v>Other</v>
      </c>
      <c r="AC259" s="32">
        <v>3</v>
      </c>
      <c r="AD259" s="34" t="str">
        <f>VLOOKUP(AC259,Key!$E$20:$F$24,2,FALSE)</f>
        <v>500,000-750,000</v>
      </c>
      <c r="AE259" s="32">
        <v>1</v>
      </c>
      <c r="AF259" s="55">
        <v>1</v>
      </c>
      <c r="AG259" s="55">
        <v>1</v>
      </c>
      <c r="AH259" s="55">
        <v>1</v>
      </c>
      <c r="AI259" s="55">
        <v>1</v>
      </c>
      <c r="AJ259" s="39" t="s">
        <v>104</v>
      </c>
      <c r="AK259" s="40">
        <v>1000</v>
      </c>
      <c r="AL259" s="24"/>
      <c r="AM259" s="24"/>
    </row>
    <row r="260" spans="2:39" hidden="1" x14ac:dyDescent="0.2">
      <c r="B260" s="50">
        <v>43687</v>
      </c>
      <c r="C260" s="35">
        <v>0.75138888888888899</v>
      </c>
      <c r="D260" s="35"/>
      <c r="E260" s="35" t="s">
        <v>111</v>
      </c>
      <c r="F260" s="37">
        <v>2</v>
      </c>
      <c r="G260" s="42" t="str">
        <f>VLOOKUP(F260,Key!$A$17:$B$21,2,FALSE)</f>
        <v>Road Vehicle</v>
      </c>
      <c r="H260" s="36">
        <v>8</v>
      </c>
      <c r="I260" s="43" t="str">
        <f>VLOOKUP(H260,Key!$A$2:$B$13,2,FALSE)</f>
        <v xml:space="preserve">Medium Truck </v>
      </c>
      <c r="J260" s="37" t="s">
        <v>123</v>
      </c>
      <c r="K260" s="37">
        <v>2</v>
      </c>
      <c r="L260" s="45" t="str">
        <f>VLOOKUP(K260,Key!$A$24:$B$29,2,FALSE)</f>
        <v>30-39</v>
      </c>
      <c r="M260" s="37" t="s">
        <v>245</v>
      </c>
      <c r="N260" s="32" t="s">
        <v>245</v>
      </c>
      <c r="O260" s="37" t="s">
        <v>246</v>
      </c>
      <c r="P260" s="39">
        <v>2</v>
      </c>
      <c r="Q260" s="34" t="str">
        <f>VLOOKUP(P260,Key!$E$2:$F$9,2,FALSE)</f>
        <v>Work</v>
      </c>
      <c r="R260" s="37" t="s">
        <v>167</v>
      </c>
      <c r="S260" s="32" t="s">
        <v>167</v>
      </c>
      <c r="T260" s="37" t="s">
        <v>168</v>
      </c>
      <c r="U260" s="32">
        <v>4</v>
      </c>
      <c r="V260" s="34" t="str">
        <f>VLOOKUP(U260,Key!$E$2:$F$9,2,FALSE)</f>
        <v>Commercial</v>
      </c>
      <c r="W260" s="34" t="str">
        <f t="shared" si="8"/>
        <v>Work-Commercial</v>
      </c>
      <c r="X260" s="47">
        <v>340000</v>
      </c>
      <c r="Y260" s="38">
        <v>230</v>
      </c>
      <c r="Z260" s="38">
        <v>5</v>
      </c>
      <c r="AA260" s="32">
        <v>6</v>
      </c>
      <c r="AB260" s="34" t="str">
        <f>VLOOKUP(AA260,Key!$C$20:$D$29,2,FALSE)</f>
        <v>Businessman</v>
      </c>
      <c r="AC260" s="32">
        <v>3</v>
      </c>
      <c r="AD260" s="34" t="str">
        <f>VLOOKUP(AC260,Key!$E$20:$F$24,2,FALSE)</f>
        <v>500,000-750,000</v>
      </c>
      <c r="AE260" s="32">
        <v>2</v>
      </c>
      <c r="AF260" s="55">
        <v>1</v>
      </c>
      <c r="AG260" s="55">
        <v>4</v>
      </c>
      <c r="AH260" s="55">
        <v>3</v>
      </c>
      <c r="AI260" s="55">
        <v>5</v>
      </c>
      <c r="AJ260" s="39" t="s">
        <v>104</v>
      </c>
      <c r="AK260" s="40">
        <v>4000</v>
      </c>
      <c r="AL260" s="24"/>
      <c r="AM260" s="24"/>
    </row>
    <row r="261" spans="2:39" hidden="1" x14ac:dyDescent="0.2">
      <c r="B261" s="50">
        <v>43687</v>
      </c>
      <c r="C261" s="35">
        <v>0.76041666666666663</v>
      </c>
      <c r="D261" s="35"/>
      <c r="E261" s="35" t="s">
        <v>111</v>
      </c>
      <c r="F261" s="37">
        <v>2</v>
      </c>
      <c r="G261" s="42" t="str">
        <f>VLOOKUP(F261,Key!$A$17:$B$21,2,FALSE)</f>
        <v>Road Vehicle</v>
      </c>
      <c r="H261" s="36">
        <v>8</v>
      </c>
      <c r="I261" s="43" t="str">
        <f>VLOOKUP(H261,Key!$A$2:$B$13,2,FALSE)</f>
        <v xml:space="preserve">Medium Truck </v>
      </c>
      <c r="J261" s="37" t="s">
        <v>123</v>
      </c>
      <c r="K261" s="37">
        <v>3</v>
      </c>
      <c r="L261" s="45" t="str">
        <f>VLOOKUP(K261,Key!$A$24:$B$29,2,FALSE)</f>
        <v>40-49</v>
      </c>
      <c r="M261" s="37" t="s">
        <v>169</v>
      </c>
      <c r="N261" s="32" t="s">
        <v>169</v>
      </c>
      <c r="O261" s="37" t="s">
        <v>168</v>
      </c>
      <c r="P261" s="39">
        <v>4</v>
      </c>
      <c r="Q261" s="34" t="str">
        <f>VLOOKUP(P261,Key!$E$2:$F$9,2,FALSE)</f>
        <v>Commercial</v>
      </c>
      <c r="R261" s="37" t="s">
        <v>35</v>
      </c>
      <c r="S261" s="32" t="s">
        <v>174</v>
      </c>
      <c r="T261" s="37" t="s">
        <v>168</v>
      </c>
      <c r="U261" s="32">
        <v>4</v>
      </c>
      <c r="V261" s="34" t="str">
        <f>VLOOKUP(U261,Key!$E$2:$F$9,2,FALSE)</f>
        <v>Commercial</v>
      </c>
      <c r="W261" s="34" t="str">
        <f t="shared" si="8"/>
        <v>Commercial-Commercial</v>
      </c>
      <c r="X261" s="47">
        <v>200000</v>
      </c>
      <c r="Y261" s="38">
        <v>600</v>
      </c>
      <c r="Z261" s="38">
        <v>7</v>
      </c>
      <c r="AA261" s="32">
        <v>10</v>
      </c>
      <c r="AB261" s="34" t="str">
        <f>VLOOKUP(AA261,Key!$C$20:$D$29,2,FALSE)</f>
        <v>Other</v>
      </c>
      <c r="AC261" s="32">
        <v>2</v>
      </c>
      <c r="AD261" s="34" t="str">
        <f>VLOOKUP(AC261,Key!$E$20:$F$24,2,FALSE)</f>
        <v>300,000-500,000</v>
      </c>
      <c r="AE261" s="32">
        <v>1</v>
      </c>
      <c r="AF261" s="55">
        <v>1</v>
      </c>
      <c r="AG261" s="55">
        <v>1</v>
      </c>
      <c r="AH261" s="55">
        <v>1</v>
      </c>
      <c r="AI261" s="55">
        <v>1</v>
      </c>
      <c r="AJ261" s="39" t="s">
        <v>104</v>
      </c>
      <c r="AK261" s="40">
        <v>2000</v>
      </c>
      <c r="AL261" s="24"/>
      <c r="AM261" s="24"/>
    </row>
    <row r="262" spans="2:39" hidden="1" x14ac:dyDescent="0.2">
      <c r="B262" s="50"/>
      <c r="C262" s="35"/>
      <c r="D262" s="35"/>
      <c r="E262" s="35"/>
      <c r="F262" s="37"/>
      <c r="G262" s="42"/>
      <c r="H262" s="36"/>
      <c r="I262" s="43"/>
      <c r="J262" s="37"/>
      <c r="K262" s="37"/>
      <c r="L262" s="45"/>
      <c r="M262" s="37"/>
      <c r="N262" s="32"/>
      <c r="O262" s="37"/>
      <c r="P262" s="39"/>
      <c r="Q262" s="34"/>
      <c r="R262" s="37"/>
      <c r="S262" s="32"/>
      <c r="T262" s="37"/>
      <c r="U262" s="32"/>
      <c r="V262" s="34"/>
      <c r="W262" s="34"/>
      <c r="X262" s="47"/>
      <c r="Y262" s="38"/>
      <c r="Z262" s="38"/>
      <c r="AA262" s="32"/>
      <c r="AB262" s="34"/>
      <c r="AC262" s="32"/>
      <c r="AD262" s="34"/>
      <c r="AE262" s="32"/>
      <c r="AF262" s="55"/>
      <c r="AG262" s="55"/>
      <c r="AH262" s="55"/>
      <c r="AI262" s="55"/>
      <c r="AJ262" s="39"/>
      <c r="AK262" s="40"/>
      <c r="AL262" s="24"/>
      <c r="AM262" s="24"/>
    </row>
    <row r="263" spans="2:39" hidden="1" x14ac:dyDescent="0.2">
      <c r="B263" s="50">
        <v>43689</v>
      </c>
      <c r="C263" s="35">
        <v>0.54583333333333328</v>
      </c>
      <c r="D263" s="35"/>
      <c r="E263" s="35" t="s">
        <v>111</v>
      </c>
      <c r="F263" s="37">
        <v>2</v>
      </c>
      <c r="G263" s="42" t="str">
        <f>VLOOKUP(F263,Key!$A$17:$B$21,2,FALSE)</f>
        <v>Road Vehicle</v>
      </c>
      <c r="H263" s="36">
        <v>4</v>
      </c>
      <c r="I263" s="43" t="str">
        <f>VLOOKUP(H263,Key!$A$2:$B$13,2,FALSE)</f>
        <v>Minibus</v>
      </c>
      <c r="J263" s="37" t="s">
        <v>123</v>
      </c>
      <c r="K263" s="37">
        <v>2</v>
      </c>
      <c r="L263" s="45" t="str">
        <f>VLOOKUP(K263,Key!$A$24:$B$29,2,FALSE)</f>
        <v>30-39</v>
      </c>
      <c r="M263" s="37" t="s">
        <v>247</v>
      </c>
      <c r="N263" s="32" t="s">
        <v>167</v>
      </c>
      <c r="O263" s="37" t="s">
        <v>168</v>
      </c>
      <c r="P263" s="39">
        <v>2</v>
      </c>
      <c r="Q263" s="34" t="str">
        <f>VLOOKUP(P263,Key!$E$2:$F$9,2,FALSE)</f>
        <v>Work</v>
      </c>
      <c r="R263" s="37" t="s">
        <v>179</v>
      </c>
      <c r="S263" s="32" t="s">
        <v>179</v>
      </c>
      <c r="T263" s="37" t="s">
        <v>168</v>
      </c>
      <c r="U263" s="32">
        <v>2</v>
      </c>
      <c r="V263" s="34" t="str">
        <f>VLOOKUP(U263,Key!$E$2:$F$9,2,FALSE)</f>
        <v>Work</v>
      </c>
      <c r="W263" s="34" t="str">
        <f t="shared" ref="W263:W294" si="9">Q263&amp;"-"&amp;V263</f>
        <v>Work-Work</v>
      </c>
      <c r="X263" s="47">
        <v>30000</v>
      </c>
      <c r="Y263" s="38">
        <v>4</v>
      </c>
      <c r="Z263" s="38">
        <v>1</v>
      </c>
      <c r="AA263" s="32">
        <v>10</v>
      </c>
      <c r="AB263" s="34" t="str">
        <f>VLOOKUP(AA263,Key!$C$20:$D$29,2,FALSE)</f>
        <v>Other</v>
      </c>
      <c r="AC263" s="32">
        <v>1</v>
      </c>
      <c r="AD263" s="34" t="str">
        <f>VLOOKUP(AC263,Key!$E$20:$F$24,2,FALSE)</f>
        <v>&lt;300,000</v>
      </c>
      <c r="AE263" s="32">
        <v>1</v>
      </c>
      <c r="AF263" s="55">
        <v>2</v>
      </c>
      <c r="AG263" s="55">
        <v>2</v>
      </c>
      <c r="AH263" s="55">
        <v>2</v>
      </c>
      <c r="AI263" s="55"/>
      <c r="AJ263" s="39" t="s">
        <v>104</v>
      </c>
      <c r="AK263" s="40">
        <v>1000</v>
      </c>
      <c r="AL263" s="24"/>
      <c r="AM263" s="24"/>
    </row>
    <row r="264" spans="2:39" hidden="1" x14ac:dyDescent="0.2">
      <c r="B264" s="50">
        <v>43686</v>
      </c>
      <c r="C264" s="35">
        <v>0.62013888888888891</v>
      </c>
      <c r="D264" s="35"/>
      <c r="E264" s="35" t="s">
        <v>111</v>
      </c>
      <c r="F264" s="37">
        <v>2</v>
      </c>
      <c r="G264" s="42" t="str">
        <f>VLOOKUP(F264,Key!$A$17:$B$21,2,FALSE)</f>
        <v>Road Vehicle</v>
      </c>
      <c r="H264" s="36">
        <v>4</v>
      </c>
      <c r="I264" s="43" t="str">
        <f>VLOOKUP(H264,Key!$A$2:$B$13,2,FALSE)</f>
        <v>Minibus</v>
      </c>
      <c r="J264" s="37" t="s">
        <v>123</v>
      </c>
      <c r="K264" s="37">
        <v>3</v>
      </c>
      <c r="L264" s="45" t="str">
        <f>VLOOKUP(K264,Key!$A$24:$B$29,2,FALSE)</f>
        <v>40-49</v>
      </c>
      <c r="M264" s="37" t="s">
        <v>247</v>
      </c>
      <c r="N264" s="32" t="s">
        <v>167</v>
      </c>
      <c r="O264" s="37" t="s">
        <v>168</v>
      </c>
      <c r="P264" s="39">
        <v>4</v>
      </c>
      <c r="Q264" s="34" t="str">
        <f>VLOOKUP(P264,Key!$E$2:$F$9,2,FALSE)</f>
        <v>Commercial</v>
      </c>
      <c r="R264" s="37" t="s">
        <v>167</v>
      </c>
      <c r="S264" s="32" t="s">
        <v>167</v>
      </c>
      <c r="T264" s="37" t="s">
        <v>168</v>
      </c>
      <c r="U264" s="32">
        <v>4</v>
      </c>
      <c r="V264" s="34" t="str">
        <f>VLOOKUP(U264,Key!$E$2:$F$9,2,FALSE)</f>
        <v>Commercial</v>
      </c>
      <c r="W264" s="34" t="str">
        <f t="shared" si="9"/>
        <v>Commercial-Commercial</v>
      </c>
      <c r="X264" s="47">
        <v>10000</v>
      </c>
      <c r="Y264" s="38">
        <v>5</v>
      </c>
      <c r="Z264" s="38">
        <v>0.3</v>
      </c>
      <c r="AA264" s="32">
        <v>10</v>
      </c>
      <c r="AB264" s="34" t="str">
        <f>VLOOKUP(AA264,Key!$C$20:$D$29,2,FALSE)</f>
        <v>Other</v>
      </c>
      <c r="AC264" s="32">
        <v>1</v>
      </c>
      <c r="AD264" s="34" t="str">
        <f>VLOOKUP(AC264,Key!$E$20:$F$24,2,FALSE)</f>
        <v>&lt;300,000</v>
      </c>
      <c r="AE264" s="32">
        <v>1</v>
      </c>
      <c r="AF264" s="55">
        <v>2</v>
      </c>
      <c r="AG264" s="55">
        <v>1</v>
      </c>
      <c r="AH264" s="55">
        <v>1</v>
      </c>
      <c r="AI264" s="55">
        <v>1</v>
      </c>
      <c r="AJ264" s="39" t="s">
        <v>104</v>
      </c>
      <c r="AK264" s="40">
        <v>1000</v>
      </c>
      <c r="AL264" s="24"/>
      <c r="AM264" s="24"/>
    </row>
    <row r="265" spans="2:39" hidden="1" x14ac:dyDescent="0.2">
      <c r="B265" s="50">
        <v>43686</v>
      </c>
      <c r="C265" s="35">
        <v>0.62013888888888891</v>
      </c>
      <c r="D265" s="35"/>
      <c r="E265" s="35" t="s">
        <v>111</v>
      </c>
      <c r="F265" s="37">
        <v>2</v>
      </c>
      <c r="G265" s="42" t="str">
        <f>VLOOKUP(F265,Key!$A$17:$B$21,2,FALSE)</f>
        <v>Road Vehicle</v>
      </c>
      <c r="H265" s="36">
        <v>4</v>
      </c>
      <c r="I265" s="43" t="str">
        <f>VLOOKUP(H265,Key!$A$2:$B$13,2,FALSE)</f>
        <v>Minibus</v>
      </c>
      <c r="J265" s="37" t="s">
        <v>123</v>
      </c>
      <c r="K265" s="37">
        <v>3</v>
      </c>
      <c r="L265" s="45" t="str">
        <f>VLOOKUP(K265,Key!$A$24:$B$29,2,FALSE)</f>
        <v>40-49</v>
      </c>
      <c r="M265" s="44" t="s">
        <v>167</v>
      </c>
      <c r="N265" s="32" t="s">
        <v>167</v>
      </c>
      <c r="O265" s="37" t="s">
        <v>168</v>
      </c>
      <c r="P265" s="39">
        <v>2</v>
      </c>
      <c r="Q265" s="34" t="str">
        <f>VLOOKUP(P265,Key!$E$2:$F$9,2,FALSE)</f>
        <v>Work</v>
      </c>
      <c r="R265" s="37" t="s">
        <v>182</v>
      </c>
      <c r="S265" s="32" t="s">
        <v>167</v>
      </c>
      <c r="T265" s="37" t="s">
        <v>168</v>
      </c>
      <c r="U265" s="32">
        <v>4</v>
      </c>
      <c r="V265" s="34" t="str">
        <f>VLOOKUP(U265,Key!$E$2:$F$9,2,FALSE)</f>
        <v>Commercial</v>
      </c>
      <c r="W265" s="34" t="str">
        <f t="shared" si="9"/>
        <v>Work-Commercial</v>
      </c>
      <c r="X265" s="47">
        <v>20000</v>
      </c>
      <c r="Y265" s="38">
        <v>5</v>
      </c>
      <c r="Z265" s="38">
        <v>0.5</v>
      </c>
      <c r="AA265" s="32">
        <v>10</v>
      </c>
      <c r="AB265" s="34" t="str">
        <f>VLOOKUP(AA265,Key!$C$20:$D$29,2,FALSE)</f>
        <v>Other</v>
      </c>
      <c r="AC265" s="32">
        <v>1</v>
      </c>
      <c r="AD265" s="34" t="str">
        <f>VLOOKUP(AC265,Key!$E$20:$F$24,2,FALSE)</f>
        <v>&lt;300,000</v>
      </c>
      <c r="AE265" s="32">
        <v>1</v>
      </c>
      <c r="AF265" s="55">
        <v>2</v>
      </c>
      <c r="AG265" s="55">
        <v>1</v>
      </c>
      <c r="AH265" s="55">
        <v>1</v>
      </c>
      <c r="AI265" s="55">
        <v>1</v>
      </c>
      <c r="AJ265" s="39" t="s">
        <v>104</v>
      </c>
      <c r="AK265" s="40"/>
      <c r="AL265" s="24"/>
      <c r="AM265" s="24"/>
    </row>
    <row r="266" spans="2:39" hidden="1" x14ac:dyDescent="0.2">
      <c r="B266" s="50">
        <v>43686</v>
      </c>
      <c r="C266" s="35">
        <v>0.63888888888888895</v>
      </c>
      <c r="D266" s="35"/>
      <c r="E266" s="35" t="s">
        <v>111</v>
      </c>
      <c r="F266" s="37">
        <v>2</v>
      </c>
      <c r="G266" s="42" t="str">
        <f>VLOOKUP(F266,Key!$A$17:$B$21,2,FALSE)</f>
        <v>Road Vehicle</v>
      </c>
      <c r="H266" s="36">
        <v>4</v>
      </c>
      <c r="I266" s="43" t="str">
        <f>VLOOKUP(H266,Key!$A$2:$B$13,2,FALSE)</f>
        <v>Minibus</v>
      </c>
      <c r="J266" s="37" t="s">
        <v>123</v>
      </c>
      <c r="K266" s="37">
        <v>1</v>
      </c>
      <c r="L266" s="45" t="str">
        <f>VLOOKUP(K266,Key!$A$24:$B$29,2,FALSE)</f>
        <v>20-29</v>
      </c>
      <c r="M266" s="37" t="s">
        <v>297</v>
      </c>
      <c r="N266" s="32" t="s">
        <v>167</v>
      </c>
      <c r="O266" s="37" t="s">
        <v>168</v>
      </c>
      <c r="P266" s="39">
        <v>2</v>
      </c>
      <c r="Q266" s="34" t="str">
        <f>VLOOKUP(P266,Key!$E$2:$F$9,2,FALSE)</f>
        <v>Work</v>
      </c>
      <c r="R266" s="37" t="s">
        <v>179</v>
      </c>
      <c r="S266" s="32" t="s">
        <v>179</v>
      </c>
      <c r="T266" s="37" t="s">
        <v>168</v>
      </c>
      <c r="U266" s="32">
        <v>2</v>
      </c>
      <c r="V266" s="34" t="str">
        <f>VLOOKUP(U266,Key!$E$2:$F$9,2,FALSE)</f>
        <v>Work</v>
      </c>
      <c r="W266" s="34" t="str">
        <f t="shared" si="9"/>
        <v>Work-Work</v>
      </c>
      <c r="X266" s="47">
        <v>40000</v>
      </c>
      <c r="Y266" s="38">
        <v>10</v>
      </c>
      <c r="Z266" s="38">
        <v>0.8</v>
      </c>
      <c r="AA266" s="32">
        <v>7</v>
      </c>
      <c r="AB266" s="34" t="str">
        <f>VLOOKUP(AA266,Key!$C$20:$D$29,2,FALSE)</f>
        <v>Farmer</v>
      </c>
      <c r="AC266" s="32">
        <v>1</v>
      </c>
      <c r="AD266" s="34" t="str">
        <f>VLOOKUP(AC266,Key!$E$20:$F$24,2,FALSE)</f>
        <v>&lt;300,000</v>
      </c>
      <c r="AE266" s="32">
        <v>1</v>
      </c>
      <c r="AF266" s="55">
        <v>2</v>
      </c>
      <c r="AG266" s="55">
        <v>2</v>
      </c>
      <c r="AH266" s="55">
        <v>1</v>
      </c>
      <c r="AI266" s="55">
        <v>1</v>
      </c>
      <c r="AJ266" s="39" t="s">
        <v>104</v>
      </c>
      <c r="AK266" s="40">
        <v>1000</v>
      </c>
      <c r="AL266" s="24"/>
      <c r="AM266" s="24"/>
    </row>
    <row r="267" spans="2:39" hidden="1" x14ac:dyDescent="0.2">
      <c r="B267" s="50">
        <v>43686</v>
      </c>
      <c r="C267" s="35">
        <v>0.66597222222222219</v>
      </c>
      <c r="D267" s="35"/>
      <c r="E267" s="35" t="s">
        <v>111</v>
      </c>
      <c r="F267" s="37">
        <v>2</v>
      </c>
      <c r="G267" s="42" t="str">
        <f>VLOOKUP(F267,Key!$A$17:$B$21,2,FALSE)</f>
        <v>Road Vehicle</v>
      </c>
      <c r="H267" s="36">
        <v>4</v>
      </c>
      <c r="I267" s="43" t="str">
        <f>VLOOKUP(H267,Key!$A$2:$B$13,2,FALSE)</f>
        <v>Minibus</v>
      </c>
      <c r="J267" s="37" t="s">
        <v>123</v>
      </c>
      <c r="K267" s="37">
        <v>2</v>
      </c>
      <c r="L267" s="45" t="str">
        <f>VLOOKUP(K267,Key!$A$24:$B$29,2,FALSE)</f>
        <v>30-39</v>
      </c>
      <c r="M267" s="37" t="s">
        <v>247</v>
      </c>
      <c r="N267" s="32" t="s">
        <v>167</v>
      </c>
      <c r="O267" s="37" t="s">
        <v>168</v>
      </c>
      <c r="P267" s="39">
        <v>2</v>
      </c>
      <c r="Q267" s="34" t="str">
        <f>VLOOKUP(P267,Key!$E$2:$F$9,2,FALSE)</f>
        <v>Work</v>
      </c>
      <c r="R267" s="37" t="s">
        <v>179</v>
      </c>
      <c r="S267" s="32" t="s">
        <v>179</v>
      </c>
      <c r="T267" s="37" t="s">
        <v>168</v>
      </c>
      <c r="U267" s="32">
        <v>2</v>
      </c>
      <c r="V267" s="34" t="str">
        <f>VLOOKUP(U267,Key!$E$2:$F$9,2,FALSE)</f>
        <v>Work</v>
      </c>
      <c r="W267" s="34" t="str">
        <f t="shared" si="9"/>
        <v>Work-Work</v>
      </c>
      <c r="X267" s="47">
        <v>20000</v>
      </c>
      <c r="Y267" s="38">
        <v>10</v>
      </c>
      <c r="Z267" s="38">
        <v>1</v>
      </c>
      <c r="AA267" s="32">
        <v>10</v>
      </c>
      <c r="AB267" s="34" t="str">
        <f>VLOOKUP(AA267,Key!$C$20:$D$29,2,FALSE)</f>
        <v>Other</v>
      </c>
      <c r="AC267" s="32">
        <v>1</v>
      </c>
      <c r="AD267" s="34" t="str">
        <f>VLOOKUP(AC267,Key!$E$20:$F$24,2,FALSE)</f>
        <v>&lt;300,000</v>
      </c>
      <c r="AE267" s="32">
        <v>1</v>
      </c>
      <c r="AF267" s="55">
        <v>3</v>
      </c>
      <c r="AG267" s="55"/>
      <c r="AH267" s="55"/>
      <c r="AI267" s="55"/>
      <c r="AJ267" s="39" t="s">
        <v>104</v>
      </c>
      <c r="AK267" s="40">
        <v>1000</v>
      </c>
      <c r="AL267" s="24"/>
      <c r="AM267" s="24"/>
    </row>
    <row r="268" spans="2:39" hidden="1" x14ac:dyDescent="0.2">
      <c r="B268" s="50">
        <v>43688</v>
      </c>
      <c r="C268" s="35">
        <v>0.61111111111111105</v>
      </c>
      <c r="D268" s="35"/>
      <c r="E268" s="35" t="s">
        <v>111</v>
      </c>
      <c r="F268" s="37">
        <v>2</v>
      </c>
      <c r="G268" s="42" t="str">
        <f>VLOOKUP(F268,Key!$A$17:$B$21,2,FALSE)</f>
        <v>Road Vehicle</v>
      </c>
      <c r="H268" s="36">
        <v>4</v>
      </c>
      <c r="I268" s="43" t="str">
        <f>VLOOKUP(H268,Key!$A$2:$B$13,2,FALSE)</f>
        <v>Minibus</v>
      </c>
      <c r="J268" s="37" t="s">
        <v>123</v>
      </c>
      <c r="K268" s="37">
        <v>2</v>
      </c>
      <c r="L268" s="45" t="str">
        <f>VLOOKUP(K268,Key!$A$24:$B$29,2,FALSE)</f>
        <v>30-39</v>
      </c>
      <c r="M268" s="37" t="s">
        <v>247</v>
      </c>
      <c r="N268" s="32" t="s">
        <v>312</v>
      </c>
      <c r="O268" s="37" t="s">
        <v>168</v>
      </c>
      <c r="P268" s="39">
        <v>2</v>
      </c>
      <c r="Q268" s="34" t="str">
        <f>VLOOKUP(P268,Key!$E$2:$F$9,2,FALSE)</f>
        <v>Work</v>
      </c>
      <c r="R268" s="37" t="s">
        <v>170</v>
      </c>
      <c r="S268" s="32" t="s">
        <v>170</v>
      </c>
      <c r="T268" s="37" t="s">
        <v>168</v>
      </c>
      <c r="U268" s="32">
        <v>2</v>
      </c>
      <c r="V268" s="34" t="str">
        <f>VLOOKUP(U268,Key!$E$2:$F$9,2,FALSE)</f>
        <v>Work</v>
      </c>
      <c r="W268" s="34" t="str">
        <f t="shared" si="9"/>
        <v>Work-Work</v>
      </c>
      <c r="X268" s="47">
        <v>30000</v>
      </c>
      <c r="Y268" s="38">
        <v>10</v>
      </c>
      <c r="Z268" s="38">
        <v>1</v>
      </c>
      <c r="AA268" s="32">
        <v>7</v>
      </c>
      <c r="AB268" s="34" t="str">
        <f>VLOOKUP(AA268,Key!$C$20:$D$29,2,FALSE)</f>
        <v>Farmer</v>
      </c>
      <c r="AC268" s="32">
        <v>2</v>
      </c>
      <c r="AD268" s="34" t="str">
        <f>VLOOKUP(AC268,Key!$E$20:$F$24,2,FALSE)</f>
        <v>300,000-500,000</v>
      </c>
      <c r="AE268" s="32"/>
      <c r="AF268" s="55"/>
      <c r="AG268" s="55"/>
      <c r="AH268" s="55"/>
      <c r="AI268" s="55"/>
      <c r="AJ268" s="39" t="s">
        <v>104</v>
      </c>
      <c r="AK268" s="40">
        <v>1000</v>
      </c>
      <c r="AL268" s="24"/>
      <c r="AM268" s="24"/>
    </row>
    <row r="269" spans="2:39" hidden="1" x14ac:dyDescent="0.2">
      <c r="B269" s="50">
        <v>43690</v>
      </c>
      <c r="C269" s="35">
        <v>0.4145833333333333</v>
      </c>
      <c r="D269" s="35"/>
      <c r="E269" s="35" t="s">
        <v>111</v>
      </c>
      <c r="F269" s="37">
        <v>2</v>
      </c>
      <c r="G269" s="42" t="str">
        <f>VLOOKUP(F269,Key!$A$17:$B$21,2,FALSE)</f>
        <v>Road Vehicle</v>
      </c>
      <c r="H269" s="36">
        <v>4</v>
      </c>
      <c r="I269" s="43" t="str">
        <f>VLOOKUP(H269,Key!$A$2:$B$13,2,FALSE)</f>
        <v>Minibus</v>
      </c>
      <c r="J269" s="37" t="s">
        <v>123</v>
      </c>
      <c r="K269" s="37">
        <v>2</v>
      </c>
      <c r="L269" s="45" t="str">
        <f>VLOOKUP(K269,Key!$A$24:$B$29,2,FALSE)</f>
        <v>30-39</v>
      </c>
      <c r="M269" s="37" t="s">
        <v>247</v>
      </c>
      <c r="N269" s="32" t="s">
        <v>167</v>
      </c>
      <c r="O269" s="37" t="s">
        <v>168</v>
      </c>
      <c r="P269" s="39">
        <v>2</v>
      </c>
      <c r="Q269" s="34" t="str">
        <f>VLOOKUP(P269,Key!$E$2:$F$9,2,FALSE)</f>
        <v>Work</v>
      </c>
      <c r="R269" s="37" t="s">
        <v>250</v>
      </c>
      <c r="S269" s="32" t="s">
        <v>170</v>
      </c>
      <c r="T269" s="37" t="s">
        <v>168</v>
      </c>
      <c r="U269" s="32">
        <v>2</v>
      </c>
      <c r="V269" s="34" t="str">
        <f>VLOOKUP(U269,Key!$E$2:$F$9,2,FALSE)</f>
        <v>Work</v>
      </c>
      <c r="W269" s="34" t="str">
        <f t="shared" si="9"/>
        <v>Work-Work</v>
      </c>
      <c r="X269" s="47">
        <v>40000</v>
      </c>
      <c r="Y269" s="38">
        <v>20</v>
      </c>
      <c r="Z269" s="38">
        <v>1</v>
      </c>
      <c r="AA269" s="32">
        <v>10</v>
      </c>
      <c r="AB269" s="34" t="str">
        <f>VLOOKUP(AA269,Key!$C$20:$D$29,2,FALSE)</f>
        <v>Other</v>
      </c>
      <c r="AC269" s="32">
        <v>2</v>
      </c>
      <c r="AD269" s="34" t="str">
        <f>VLOOKUP(AC269,Key!$E$20:$F$24,2,FALSE)</f>
        <v>300,000-500,000</v>
      </c>
      <c r="AE269" s="32">
        <v>1</v>
      </c>
      <c r="AF269" s="55">
        <v>1</v>
      </c>
      <c r="AG269" s="55">
        <v>2</v>
      </c>
      <c r="AH269" s="55">
        <v>1</v>
      </c>
      <c r="AI269" s="55">
        <v>1</v>
      </c>
      <c r="AJ269" s="39" t="s">
        <v>104</v>
      </c>
      <c r="AK269" s="40"/>
      <c r="AL269" s="24"/>
      <c r="AM269" s="24"/>
    </row>
    <row r="270" spans="2:39" hidden="1" x14ac:dyDescent="0.2">
      <c r="B270" s="50">
        <v>43690</v>
      </c>
      <c r="C270" s="35">
        <v>0.59444444444444444</v>
      </c>
      <c r="D270" s="35"/>
      <c r="E270" s="35" t="s">
        <v>111</v>
      </c>
      <c r="F270" s="37">
        <v>2</v>
      </c>
      <c r="G270" s="42" t="str">
        <f>VLOOKUP(F270,Key!$A$17:$B$21,2,FALSE)</f>
        <v>Road Vehicle</v>
      </c>
      <c r="H270" s="36">
        <v>4</v>
      </c>
      <c r="I270" s="43" t="str">
        <f>VLOOKUP(H270,Key!$A$2:$B$13,2,FALSE)</f>
        <v>Minibus</v>
      </c>
      <c r="J270" s="37" t="s">
        <v>123</v>
      </c>
      <c r="K270" s="13">
        <v>2</v>
      </c>
      <c r="L270" s="45" t="str">
        <f>VLOOKUP(K270,Key!$A$24:$B$29,2,FALSE)</f>
        <v>30-39</v>
      </c>
      <c r="M270" s="44" t="s">
        <v>31</v>
      </c>
      <c r="N270" s="44" t="s">
        <v>190</v>
      </c>
      <c r="O270" s="37" t="s">
        <v>168</v>
      </c>
      <c r="P270" s="39">
        <v>2</v>
      </c>
      <c r="Q270" s="34" t="str">
        <f>VLOOKUP(P270,Key!$E$2:$F$9,2,FALSE)</f>
        <v>Work</v>
      </c>
      <c r="R270" s="37" t="s">
        <v>31</v>
      </c>
      <c r="S270" s="32" t="s">
        <v>190</v>
      </c>
      <c r="T270" s="37" t="s">
        <v>168</v>
      </c>
      <c r="U270" s="32">
        <v>4</v>
      </c>
      <c r="V270" s="34" t="str">
        <f>VLOOKUP(U270,Key!$E$2:$F$9,2,FALSE)</f>
        <v>Commercial</v>
      </c>
      <c r="W270" s="34" t="str">
        <f t="shared" si="9"/>
        <v>Work-Commercial</v>
      </c>
      <c r="X270" s="47">
        <v>35000</v>
      </c>
      <c r="Y270" s="38">
        <v>20</v>
      </c>
      <c r="Z270" s="38">
        <v>3</v>
      </c>
      <c r="AA270" s="32">
        <v>6</v>
      </c>
      <c r="AB270" s="34" t="str">
        <f>VLOOKUP(AA270,Key!$C$20:$D$29,2,FALSE)</f>
        <v>Businessman</v>
      </c>
      <c r="AC270" s="32">
        <v>2</v>
      </c>
      <c r="AD270" s="34" t="str">
        <f>VLOOKUP(AC270,Key!$E$20:$F$24,2,FALSE)</f>
        <v>300,000-500,000</v>
      </c>
      <c r="AE270" s="32">
        <v>1</v>
      </c>
      <c r="AF270" s="55">
        <v>2</v>
      </c>
      <c r="AG270" s="55">
        <v>1</v>
      </c>
      <c r="AH270" s="55">
        <v>2</v>
      </c>
      <c r="AI270" s="55">
        <v>2</v>
      </c>
      <c r="AJ270" s="39" t="s">
        <v>104</v>
      </c>
      <c r="AK270" s="40">
        <v>2000</v>
      </c>
      <c r="AL270" s="24"/>
      <c r="AM270" s="24"/>
    </row>
    <row r="271" spans="2:39" hidden="1" x14ac:dyDescent="0.2">
      <c r="B271" s="50">
        <v>43689</v>
      </c>
      <c r="C271" s="35">
        <v>0.55208333333333337</v>
      </c>
      <c r="D271" s="35"/>
      <c r="E271" s="35" t="s">
        <v>111</v>
      </c>
      <c r="F271" s="37">
        <v>2</v>
      </c>
      <c r="G271" s="42" t="str">
        <f>VLOOKUP(F271,Key!$A$17:$B$21,2,FALSE)</f>
        <v>Road Vehicle</v>
      </c>
      <c r="H271" s="36">
        <v>4</v>
      </c>
      <c r="I271" s="43" t="str">
        <f>VLOOKUP(H271,Key!$A$2:$B$13,2,FALSE)</f>
        <v>Minibus</v>
      </c>
      <c r="J271" s="37" t="s">
        <v>123</v>
      </c>
      <c r="K271" s="37">
        <v>2</v>
      </c>
      <c r="L271" s="45" t="str">
        <f>VLOOKUP(K271,Key!$A$24:$B$29,2,FALSE)</f>
        <v>30-39</v>
      </c>
      <c r="M271" s="44" t="s">
        <v>187</v>
      </c>
      <c r="N271" s="44" t="s">
        <v>167</v>
      </c>
      <c r="O271" s="37" t="s">
        <v>168</v>
      </c>
      <c r="P271" s="39">
        <v>2</v>
      </c>
      <c r="Q271" s="34" t="str">
        <f>VLOOKUP(P271,Key!$E$2:$F$9,2,FALSE)</f>
        <v>Work</v>
      </c>
      <c r="R271" s="37" t="s">
        <v>214</v>
      </c>
      <c r="S271" s="32" t="s">
        <v>205</v>
      </c>
      <c r="T271" s="37" t="s">
        <v>168</v>
      </c>
      <c r="U271" s="32">
        <v>2</v>
      </c>
      <c r="V271" s="34" t="str">
        <f>VLOOKUP(U271,Key!$E$2:$F$9,2,FALSE)</f>
        <v>Work</v>
      </c>
      <c r="W271" s="34" t="str">
        <f t="shared" si="9"/>
        <v>Work-Work</v>
      </c>
      <c r="X271" s="47">
        <v>20000</v>
      </c>
      <c r="Y271" s="38">
        <v>30</v>
      </c>
      <c r="Z271" s="38">
        <v>0.7</v>
      </c>
      <c r="AA271" s="32">
        <v>10</v>
      </c>
      <c r="AB271" s="34" t="str">
        <f>VLOOKUP(AA271,Key!$C$20:$D$29,2,FALSE)</f>
        <v>Other</v>
      </c>
      <c r="AC271" s="32">
        <v>2</v>
      </c>
      <c r="AD271" s="34" t="str">
        <f>VLOOKUP(AC271,Key!$E$20:$F$24,2,FALSE)</f>
        <v>300,000-500,000</v>
      </c>
      <c r="AE271" s="32">
        <v>1</v>
      </c>
      <c r="AF271" s="55">
        <v>1</v>
      </c>
      <c r="AG271" s="55">
        <v>1</v>
      </c>
      <c r="AH271" s="55">
        <v>1</v>
      </c>
      <c r="AI271" s="55">
        <v>1</v>
      </c>
      <c r="AJ271" s="39" t="s">
        <v>104</v>
      </c>
      <c r="AK271" s="40">
        <v>1000</v>
      </c>
      <c r="AL271" s="24"/>
      <c r="AM271" s="24"/>
    </row>
    <row r="272" spans="2:39" hidden="1" x14ac:dyDescent="0.2">
      <c r="B272" s="50">
        <v>43689</v>
      </c>
      <c r="C272" s="35">
        <v>0.34652777777777777</v>
      </c>
      <c r="D272" s="35"/>
      <c r="E272" s="35" t="s">
        <v>111</v>
      </c>
      <c r="F272" s="37">
        <v>2</v>
      </c>
      <c r="G272" s="42" t="str">
        <f>VLOOKUP(F272,Key!$A$17:$B$21,2,FALSE)</f>
        <v>Road Vehicle</v>
      </c>
      <c r="H272" s="36">
        <v>4</v>
      </c>
      <c r="I272" s="43" t="str">
        <f>VLOOKUP(H272,Key!$A$2:$B$13,2,FALSE)</f>
        <v>Minibus</v>
      </c>
      <c r="J272" s="37" t="s">
        <v>123</v>
      </c>
      <c r="K272" s="37">
        <v>2</v>
      </c>
      <c r="L272" s="45" t="str">
        <f>VLOOKUP(K272,Key!$A$24:$B$29,2,FALSE)</f>
        <v>30-39</v>
      </c>
      <c r="M272" s="37" t="s">
        <v>187</v>
      </c>
      <c r="N272" s="32" t="s">
        <v>167</v>
      </c>
      <c r="O272" s="37" t="s">
        <v>168</v>
      </c>
      <c r="P272" s="39">
        <v>2</v>
      </c>
      <c r="Q272" s="34" t="str">
        <f>VLOOKUP(P272,Key!$E$2:$F$9,2,FALSE)</f>
        <v>Work</v>
      </c>
      <c r="R272" s="37" t="s">
        <v>214</v>
      </c>
      <c r="S272" s="32" t="s">
        <v>205</v>
      </c>
      <c r="T272" s="37" t="s">
        <v>168</v>
      </c>
      <c r="U272" s="32">
        <v>2</v>
      </c>
      <c r="V272" s="34" t="str">
        <f>VLOOKUP(U272,Key!$E$2:$F$9,2,FALSE)</f>
        <v>Work</v>
      </c>
      <c r="W272" s="34" t="str">
        <f t="shared" si="9"/>
        <v>Work-Work</v>
      </c>
      <c r="X272" s="47">
        <v>20000</v>
      </c>
      <c r="Y272" s="38">
        <v>30</v>
      </c>
      <c r="Z272" s="38">
        <v>0.7</v>
      </c>
      <c r="AA272" s="32">
        <v>10</v>
      </c>
      <c r="AB272" s="34" t="str">
        <f>VLOOKUP(AA272,Key!$C$20:$D$29,2,FALSE)</f>
        <v>Other</v>
      </c>
      <c r="AC272" s="32">
        <v>2</v>
      </c>
      <c r="AD272" s="34" t="str">
        <f>VLOOKUP(AC272,Key!$E$20:$F$24,2,FALSE)</f>
        <v>300,000-500,000</v>
      </c>
      <c r="AE272" s="32">
        <v>1</v>
      </c>
      <c r="AF272" s="55">
        <v>1</v>
      </c>
      <c r="AG272" s="55">
        <v>1</v>
      </c>
      <c r="AH272" s="55">
        <v>1</v>
      </c>
      <c r="AI272" s="55">
        <v>1</v>
      </c>
      <c r="AJ272" s="39" t="s">
        <v>104</v>
      </c>
      <c r="AK272" s="40">
        <v>1000</v>
      </c>
      <c r="AL272" s="24"/>
      <c r="AM272" s="24"/>
    </row>
    <row r="273" spans="1:39" hidden="1" x14ac:dyDescent="0.2">
      <c r="B273" s="50">
        <v>43689</v>
      </c>
      <c r="C273" s="35">
        <v>0.35069444444444442</v>
      </c>
      <c r="D273" s="35"/>
      <c r="E273" s="35" t="s">
        <v>111</v>
      </c>
      <c r="F273" s="37">
        <v>2</v>
      </c>
      <c r="G273" s="42" t="str">
        <f>VLOOKUP(F273,Key!$A$17:$B$21,2,FALSE)</f>
        <v>Road Vehicle</v>
      </c>
      <c r="H273" s="36">
        <v>4</v>
      </c>
      <c r="I273" s="43" t="str">
        <f>VLOOKUP(H273,Key!$A$2:$B$13,2,FALSE)</f>
        <v>Minibus</v>
      </c>
      <c r="J273" s="37" t="s">
        <v>123</v>
      </c>
      <c r="K273" s="37">
        <v>2</v>
      </c>
      <c r="L273" s="45" t="str">
        <f>VLOOKUP(K273,Key!$A$24:$B$29,2,FALSE)</f>
        <v>30-39</v>
      </c>
      <c r="M273" s="37" t="s">
        <v>247</v>
      </c>
      <c r="N273" s="32" t="s">
        <v>167</v>
      </c>
      <c r="O273" s="37" t="s">
        <v>168</v>
      </c>
      <c r="P273" s="39">
        <v>2</v>
      </c>
      <c r="Q273" s="34" t="str">
        <f>VLOOKUP(P273,Key!$E$2:$F$9,2,FALSE)</f>
        <v>Work</v>
      </c>
      <c r="R273" s="37" t="s">
        <v>202</v>
      </c>
      <c r="S273" s="32" t="s">
        <v>179</v>
      </c>
      <c r="T273" s="37" t="s">
        <v>168</v>
      </c>
      <c r="U273" s="32">
        <v>2</v>
      </c>
      <c r="V273" s="34" t="str">
        <f>VLOOKUP(U273,Key!$E$2:$F$9,2,FALSE)</f>
        <v>Work</v>
      </c>
      <c r="W273" s="34" t="str">
        <f t="shared" si="9"/>
        <v>Work-Work</v>
      </c>
      <c r="X273" s="47">
        <v>40000</v>
      </c>
      <c r="Y273" s="38">
        <v>30</v>
      </c>
      <c r="Z273" s="38">
        <v>1</v>
      </c>
      <c r="AA273" s="32">
        <v>6</v>
      </c>
      <c r="AB273" s="34" t="str">
        <f>VLOOKUP(AA273,Key!$C$20:$D$29,2,FALSE)</f>
        <v>Businessman</v>
      </c>
      <c r="AC273" s="32">
        <v>1</v>
      </c>
      <c r="AD273" s="34" t="str">
        <f>VLOOKUP(AC273,Key!$E$20:$F$24,2,FALSE)</f>
        <v>&lt;300,000</v>
      </c>
      <c r="AE273" s="32">
        <v>1</v>
      </c>
      <c r="AF273" s="55">
        <v>1</v>
      </c>
      <c r="AG273" s="55">
        <v>1</v>
      </c>
      <c r="AH273" s="55">
        <v>1</v>
      </c>
      <c r="AI273" s="55">
        <v>1</v>
      </c>
      <c r="AJ273" s="39" t="s">
        <v>104</v>
      </c>
      <c r="AK273" s="40">
        <v>1500</v>
      </c>
      <c r="AL273" s="24"/>
      <c r="AM273" s="24"/>
    </row>
    <row r="274" spans="1:39" hidden="1" x14ac:dyDescent="0.2">
      <c r="B274" s="50">
        <v>43689</v>
      </c>
      <c r="C274" s="35">
        <v>0.31944444444444448</v>
      </c>
      <c r="D274" s="35"/>
      <c r="E274" s="35" t="s">
        <v>111</v>
      </c>
      <c r="F274" s="37">
        <v>2</v>
      </c>
      <c r="G274" s="42" t="str">
        <f>VLOOKUP(F274,Key!$A$17:$B$21,2,FALSE)</f>
        <v>Road Vehicle</v>
      </c>
      <c r="H274" s="36">
        <v>4</v>
      </c>
      <c r="I274" s="43" t="str">
        <f>VLOOKUP(H274,Key!$A$2:$B$13,2,FALSE)</f>
        <v>Minibus</v>
      </c>
      <c r="J274" s="37" t="s">
        <v>123</v>
      </c>
      <c r="K274" s="37">
        <v>4</v>
      </c>
      <c r="L274" s="45" t="str">
        <f>VLOOKUP(K274,Key!$A$24:$B$29,2,FALSE)</f>
        <v>50-59</v>
      </c>
      <c r="M274" s="44" t="s">
        <v>179</v>
      </c>
      <c r="N274" s="32" t="s">
        <v>179</v>
      </c>
      <c r="O274" s="37" t="s">
        <v>168</v>
      </c>
      <c r="P274" s="39">
        <v>2</v>
      </c>
      <c r="Q274" s="34" t="str">
        <f>VLOOKUP(P274,Key!$E$2:$F$9,2,FALSE)</f>
        <v>Work</v>
      </c>
      <c r="R274" s="37" t="s">
        <v>179</v>
      </c>
      <c r="S274" s="32" t="s">
        <v>179</v>
      </c>
      <c r="T274" s="37" t="s">
        <v>168</v>
      </c>
      <c r="U274" s="32">
        <v>4</v>
      </c>
      <c r="V274" s="34" t="str">
        <f>VLOOKUP(U274,Key!$E$2:$F$9,2,FALSE)</f>
        <v>Commercial</v>
      </c>
      <c r="W274" s="34" t="str">
        <f t="shared" si="9"/>
        <v>Work-Commercial</v>
      </c>
      <c r="X274" s="47">
        <v>40000</v>
      </c>
      <c r="Y274" s="38">
        <v>30</v>
      </c>
      <c r="Z274" s="38">
        <v>1.5</v>
      </c>
      <c r="AA274" s="32">
        <v>10</v>
      </c>
      <c r="AB274" s="34" t="str">
        <f>VLOOKUP(AA274,Key!$C$20:$D$29,2,FALSE)</f>
        <v>Other</v>
      </c>
      <c r="AC274" s="32">
        <v>1</v>
      </c>
      <c r="AD274" s="34" t="str">
        <f>VLOOKUP(AC274,Key!$E$20:$F$24,2,FALSE)</f>
        <v>&lt;300,000</v>
      </c>
      <c r="AE274" s="32">
        <v>1</v>
      </c>
      <c r="AF274" s="55">
        <v>1</v>
      </c>
      <c r="AG274" s="55">
        <v>2</v>
      </c>
      <c r="AH274" s="55">
        <v>1</v>
      </c>
      <c r="AI274" s="55">
        <v>1</v>
      </c>
      <c r="AJ274" s="39" t="s">
        <v>104</v>
      </c>
      <c r="AK274" s="40"/>
      <c r="AL274" s="24"/>
      <c r="AM274" s="24"/>
    </row>
    <row r="275" spans="1:39" hidden="1" x14ac:dyDescent="0.2">
      <c r="B275" s="50">
        <v>43689</v>
      </c>
      <c r="C275" s="35">
        <v>0.34027777777777773</v>
      </c>
      <c r="D275" s="35"/>
      <c r="E275" s="35" t="s">
        <v>111</v>
      </c>
      <c r="F275" s="37">
        <v>2</v>
      </c>
      <c r="G275" s="42" t="str">
        <f>VLOOKUP(F275,Key!$A$17:$B$21,2,FALSE)</f>
        <v>Road Vehicle</v>
      </c>
      <c r="H275" s="36">
        <v>4</v>
      </c>
      <c r="I275" s="43" t="str">
        <f>VLOOKUP(H275,Key!$A$2:$B$13,2,FALSE)</f>
        <v>Minibus</v>
      </c>
      <c r="J275" s="37" t="s">
        <v>123</v>
      </c>
      <c r="K275" s="37">
        <v>2</v>
      </c>
      <c r="L275" s="45" t="str">
        <f>VLOOKUP(K275,Key!$A$24:$B$29,2,FALSE)</f>
        <v>30-39</v>
      </c>
      <c r="M275" s="37" t="s">
        <v>228</v>
      </c>
      <c r="N275" s="32" t="s">
        <v>167</v>
      </c>
      <c r="O275" s="37" t="s">
        <v>168</v>
      </c>
      <c r="P275" s="39">
        <v>1</v>
      </c>
      <c r="Q275" s="34" t="str">
        <f>VLOOKUP(P275,Key!$E$2:$F$9,2,FALSE)</f>
        <v>Home</v>
      </c>
      <c r="R275" s="37" t="s">
        <v>258</v>
      </c>
      <c r="S275" s="32" t="s">
        <v>190</v>
      </c>
      <c r="T275" s="37" t="s">
        <v>168</v>
      </c>
      <c r="U275" s="32">
        <v>8</v>
      </c>
      <c r="V275" s="34" t="str">
        <f>VLOOKUP(U275,Key!$E$2:$F$9,2,FALSE)</f>
        <v>Others</v>
      </c>
      <c r="W275" s="34" t="str">
        <f t="shared" si="9"/>
        <v>Home-Others</v>
      </c>
      <c r="X275" s="47">
        <v>30000</v>
      </c>
      <c r="Y275" s="38">
        <v>30</v>
      </c>
      <c r="Z275" s="38">
        <v>2</v>
      </c>
      <c r="AA275" s="32">
        <v>3</v>
      </c>
      <c r="AB275" s="34" t="str">
        <f>VLOOKUP(AA275,Key!$C$20:$D$29,2,FALSE)</f>
        <v>Artisan/Domestic</v>
      </c>
      <c r="AC275" s="32">
        <v>1</v>
      </c>
      <c r="AD275" s="34" t="str">
        <f>VLOOKUP(AC275,Key!$E$20:$F$24,2,FALSE)</f>
        <v>&lt;300,000</v>
      </c>
      <c r="AE275" s="32">
        <v>1</v>
      </c>
      <c r="AF275" s="55">
        <v>1</v>
      </c>
      <c r="AG275" s="55">
        <v>2</v>
      </c>
      <c r="AH275" s="55">
        <v>1</v>
      </c>
      <c r="AI275" s="55">
        <v>1</v>
      </c>
      <c r="AJ275" s="39" t="s">
        <v>104</v>
      </c>
      <c r="AK275" s="40">
        <v>2000</v>
      </c>
      <c r="AL275" s="24"/>
      <c r="AM275" s="24"/>
    </row>
    <row r="276" spans="1:39" hidden="1" x14ac:dyDescent="0.2">
      <c r="B276" s="50">
        <v>43689</v>
      </c>
      <c r="C276" s="35">
        <v>0.58402777777777781</v>
      </c>
      <c r="D276" s="35"/>
      <c r="E276" s="35" t="s">
        <v>111</v>
      </c>
      <c r="F276" s="37">
        <v>2</v>
      </c>
      <c r="G276" s="42" t="str">
        <f>VLOOKUP(F276,Key!$A$17:$B$21,2,FALSE)</f>
        <v>Road Vehicle</v>
      </c>
      <c r="H276" s="36">
        <v>4</v>
      </c>
      <c r="I276" s="43" t="str">
        <f>VLOOKUP(H276,Key!$A$2:$B$13,2,FALSE)</f>
        <v>Minibus</v>
      </c>
      <c r="J276" s="37" t="s">
        <v>123</v>
      </c>
      <c r="K276" s="37">
        <v>4</v>
      </c>
      <c r="L276" s="45" t="str">
        <f>VLOOKUP(K276,Key!$A$24:$B$29,2,FALSE)</f>
        <v>50-59</v>
      </c>
      <c r="M276" s="37" t="s">
        <v>247</v>
      </c>
      <c r="N276" s="32" t="s">
        <v>167</v>
      </c>
      <c r="O276" s="37" t="s">
        <v>168</v>
      </c>
      <c r="P276" s="39">
        <v>2</v>
      </c>
      <c r="Q276" s="34" t="str">
        <f>VLOOKUP(P276,Key!$E$2:$F$9,2,FALSE)</f>
        <v>Work</v>
      </c>
      <c r="R276" s="37" t="s">
        <v>179</v>
      </c>
      <c r="S276" s="32" t="s">
        <v>179</v>
      </c>
      <c r="T276" s="37" t="s">
        <v>168</v>
      </c>
      <c r="U276" s="32">
        <v>2</v>
      </c>
      <c r="V276" s="34" t="str">
        <f>VLOOKUP(U276,Key!$E$2:$F$9,2,FALSE)</f>
        <v>Work</v>
      </c>
      <c r="W276" s="34" t="str">
        <f t="shared" si="9"/>
        <v>Work-Work</v>
      </c>
      <c r="X276" s="47">
        <v>40000</v>
      </c>
      <c r="Y276" s="38">
        <v>35</v>
      </c>
      <c r="Z276" s="38">
        <v>1.2</v>
      </c>
      <c r="AA276" s="32">
        <v>10</v>
      </c>
      <c r="AB276" s="34" t="str">
        <f>VLOOKUP(AA276,Key!$C$20:$D$29,2,FALSE)</f>
        <v>Other</v>
      </c>
      <c r="AC276" s="32">
        <v>1</v>
      </c>
      <c r="AD276" s="34" t="str">
        <f>VLOOKUP(AC276,Key!$E$20:$F$24,2,FALSE)</f>
        <v>&lt;300,000</v>
      </c>
      <c r="AE276" s="32">
        <v>1</v>
      </c>
      <c r="AF276" s="55">
        <v>1</v>
      </c>
      <c r="AG276" s="55">
        <v>1</v>
      </c>
      <c r="AH276" s="55">
        <v>1</v>
      </c>
      <c r="AI276" s="55">
        <v>1</v>
      </c>
      <c r="AJ276" s="39" t="s">
        <v>104</v>
      </c>
      <c r="AK276" s="40">
        <v>1000</v>
      </c>
      <c r="AL276" s="24"/>
      <c r="AM276" s="24"/>
    </row>
    <row r="277" spans="1:39" hidden="1" x14ac:dyDescent="0.2">
      <c r="B277" s="50">
        <v>43686</v>
      </c>
      <c r="C277" s="35">
        <v>0.58333333333333337</v>
      </c>
      <c r="D277" s="35"/>
      <c r="E277" s="35" t="s">
        <v>111</v>
      </c>
      <c r="F277" s="37">
        <v>2</v>
      </c>
      <c r="G277" s="42" t="str">
        <f>VLOOKUP(F277,Key!$A$17:$B$21,2,FALSE)</f>
        <v>Road Vehicle</v>
      </c>
      <c r="H277" s="36">
        <v>4</v>
      </c>
      <c r="I277" s="43" t="str">
        <f>VLOOKUP(H277,Key!$A$2:$B$13,2,FALSE)</f>
        <v>Minibus</v>
      </c>
      <c r="J277" s="37" t="s">
        <v>123</v>
      </c>
      <c r="K277" s="37">
        <v>2</v>
      </c>
      <c r="L277" s="45" t="str">
        <f>VLOOKUP(K277,Key!$A$24:$B$29,2,FALSE)</f>
        <v>30-39</v>
      </c>
      <c r="M277" s="37" t="s">
        <v>256</v>
      </c>
      <c r="N277" s="32" t="s">
        <v>167</v>
      </c>
      <c r="O277" s="37" t="s">
        <v>168</v>
      </c>
      <c r="P277" s="39">
        <v>2</v>
      </c>
      <c r="Q277" s="34" t="str">
        <f>VLOOKUP(P277,Key!$E$2:$F$9,2,FALSE)</f>
        <v>Work</v>
      </c>
      <c r="R277" s="37" t="s">
        <v>179</v>
      </c>
      <c r="S277" s="32" t="s">
        <v>179</v>
      </c>
      <c r="T277" s="37" t="s">
        <v>168</v>
      </c>
      <c r="U277" s="32">
        <v>2</v>
      </c>
      <c r="V277" s="34" t="str">
        <f>VLOOKUP(U277,Key!$E$2:$F$9,2,FALSE)</f>
        <v>Work</v>
      </c>
      <c r="W277" s="34" t="str">
        <f t="shared" si="9"/>
        <v>Work-Work</v>
      </c>
      <c r="X277" s="47">
        <v>40000</v>
      </c>
      <c r="Y277" s="38">
        <v>38</v>
      </c>
      <c r="Z277" s="38">
        <v>1</v>
      </c>
      <c r="AA277" s="32">
        <v>10</v>
      </c>
      <c r="AB277" s="34" t="str">
        <f>VLOOKUP(AA277,Key!$C$20:$D$29,2,FALSE)</f>
        <v>Other</v>
      </c>
      <c r="AC277" s="32">
        <v>2</v>
      </c>
      <c r="AD277" s="34" t="str">
        <f>VLOOKUP(AC277,Key!$E$20:$F$24,2,FALSE)</f>
        <v>300,000-500,000</v>
      </c>
      <c r="AE277" s="32">
        <v>1</v>
      </c>
      <c r="AF277" s="55">
        <v>1</v>
      </c>
      <c r="AG277" s="55">
        <v>1</v>
      </c>
      <c r="AH277" s="55">
        <v>1</v>
      </c>
      <c r="AI277" s="55">
        <v>1</v>
      </c>
      <c r="AJ277" s="39" t="s">
        <v>104</v>
      </c>
      <c r="AK277" s="40">
        <v>1000</v>
      </c>
      <c r="AL277" s="24"/>
      <c r="AM277" s="24"/>
    </row>
    <row r="278" spans="1:39" hidden="1" x14ac:dyDescent="0.2">
      <c r="B278" s="50">
        <v>43686</v>
      </c>
      <c r="C278" s="35">
        <v>0.60416666666666663</v>
      </c>
      <c r="D278" s="35"/>
      <c r="E278" s="35" t="s">
        <v>111</v>
      </c>
      <c r="F278" s="37">
        <v>2</v>
      </c>
      <c r="G278" s="42" t="str">
        <f>VLOOKUP(F278,Key!$A$17:$B$21,2,FALSE)</f>
        <v>Road Vehicle</v>
      </c>
      <c r="H278" s="36">
        <v>4</v>
      </c>
      <c r="I278" s="43" t="str">
        <f>VLOOKUP(H278,Key!$A$2:$B$13,2,FALSE)</f>
        <v>Minibus</v>
      </c>
      <c r="J278" s="37" t="s">
        <v>123</v>
      </c>
      <c r="K278" s="37">
        <v>3</v>
      </c>
      <c r="L278" s="45" t="str">
        <f>VLOOKUP(K278,Key!$A$24:$B$29,2,FALSE)</f>
        <v>40-49</v>
      </c>
      <c r="M278" s="37" t="s">
        <v>349</v>
      </c>
      <c r="N278" s="32" t="s">
        <v>167</v>
      </c>
      <c r="O278" s="37" t="s">
        <v>168</v>
      </c>
      <c r="P278" s="39">
        <v>2</v>
      </c>
      <c r="Q278" s="34" t="str">
        <f>VLOOKUP(P278,Key!$E$2:$F$9,2,FALSE)</f>
        <v>Work</v>
      </c>
      <c r="R278" s="37" t="s">
        <v>179</v>
      </c>
      <c r="S278" s="32" t="s">
        <v>179</v>
      </c>
      <c r="T278" s="37" t="s">
        <v>168</v>
      </c>
      <c r="U278" s="32">
        <v>2</v>
      </c>
      <c r="V278" s="34" t="str">
        <f>VLOOKUP(U278,Key!$E$2:$F$9,2,FALSE)</f>
        <v>Work</v>
      </c>
      <c r="W278" s="34" t="str">
        <f t="shared" si="9"/>
        <v>Work-Work</v>
      </c>
      <c r="X278" s="47">
        <v>25000</v>
      </c>
      <c r="Y278" s="38">
        <v>38</v>
      </c>
      <c r="Z278" s="38">
        <v>1</v>
      </c>
      <c r="AA278" s="32">
        <v>10</v>
      </c>
      <c r="AB278" s="34" t="str">
        <f>VLOOKUP(AA278,Key!$C$20:$D$29,2,FALSE)</f>
        <v>Other</v>
      </c>
      <c r="AC278" s="32">
        <v>2</v>
      </c>
      <c r="AD278" s="34" t="str">
        <f>VLOOKUP(AC278,Key!$E$20:$F$24,2,FALSE)</f>
        <v>300,000-500,000</v>
      </c>
      <c r="AE278" s="32">
        <v>1</v>
      </c>
      <c r="AF278" s="55">
        <v>1</v>
      </c>
      <c r="AG278" s="55">
        <v>2</v>
      </c>
      <c r="AH278" s="55">
        <v>1</v>
      </c>
      <c r="AI278" s="55">
        <v>1</v>
      </c>
      <c r="AJ278" s="39" t="s">
        <v>104</v>
      </c>
      <c r="AK278" s="40">
        <v>1000</v>
      </c>
      <c r="AL278" s="24"/>
      <c r="AM278" s="24"/>
    </row>
    <row r="279" spans="1:39" hidden="1" x14ac:dyDescent="0.2">
      <c r="B279" s="50">
        <v>43686</v>
      </c>
      <c r="C279" s="35">
        <v>0.71875</v>
      </c>
      <c r="D279" s="35"/>
      <c r="E279" s="35" t="s">
        <v>111</v>
      </c>
      <c r="F279" s="37">
        <v>2</v>
      </c>
      <c r="G279" s="42" t="str">
        <f>VLOOKUP(F279,Key!$A$17:$B$21,2,FALSE)</f>
        <v>Road Vehicle</v>
      </c>
      <c r="H279" s="36">
        <v>4</v>
      </c>
      <c r="I279" s="43" t="str">
        <f>VLOOKUP(H279,Key!$A$2:$B$13,2,FALSE)</f>
        <v>Minibus</v>
      </c>
      <c r="J279" s="37" t="s">
        <v>123</v>
      </c>
      <c r="K279" s="37">
        <v>3</v>
      </c>
      <c r="L279" s="45" t="str">
        <f>VLOOKUP(K279,Key!$A$24:$B$29,2,FALSE)</f>
        <v>40-49</v>
      </c>
      <c r="M279" s="37" t="s">
        <v>247</v>
      </c>
      <c r="N279" s="32" t="s">
        <v>167</v>
      </c>
      <c r="O279" s="37" t="s">
        <v>168</v>
      </c>
      <c r="P279" s="39">
        <v>2</v>
      </c>
      <c r="Q279" s="34" t="str">
        <f>VLOOKUP(P279,Key!$E$2:$F$9,2,FALSE)</f>
        <v>Work</v>
      </c>
      <c r="R279" s="37" t="s">
        <v>207</v>
      </c>
      <c r="S279" s="32" t="s">
        <v>205</v>
      </c>
      <c r="T279" s="37" t="s">
        <v>168</v>
      </c>
      <c r="U279" s="32">
        <v>4</v>
      </c>
      <c r="V279" s="34" t="str">
        <f>VLOOKUP(U279,Key!$E$2:$F$9,2,FALSE)</f>
        <v>Commercial</v>
      </c>
      <c r="W279" s="34" t="str">
        <f t="shared" si="9"/>
        <v>Work-Commercial</v>
      </c>
      <c r="X279" s="47">
        <v>70000</v>
      </c>
      <c r="Y279" s="38">
        <v>38</v>
      </c>
      <c r="Z279" s="38">
        <v>2</v>
      </c>
      <c r="AA279" s="32">
        <v>10</v>
      </c>
      <c r="AB279" s="34" t="str">
        <f>VLOOKUP(AA279,Key!$C$20:$D$29,2,FALSE)</f>
        <v>Other</v>
      </c>
      <c r="AC279" s="32">
        <v>2</v>
      </c>
      <c r="AD279" s="34" t="str">
        <f>VLOOKUP(AC279,Key!$E$20:$F$24,2,FALSE)</f>
        <v>300,000-500,000</v>
      </c>
      <c r="AE279" s="32">
        <v>1</v>
      </c>
      <c r="AF279" s="55">
        <v>1</v>
      </c>
      <c r="AG279" s="55">
        <v>2</v>
      </c>
      <c r="AH279" s="55">
        <v>1</v>
      </c>
      <c r="AI279" s="55">
        <v>1</v>
      </c>
      <c r="AJ279" s="39" t="s">
        <v>104</v>
      </c>
      <c r="AK279" s="40">
        <v>2000</v>
      </c>
      <c r="AL279" s="24"/>
      <c r="AM279" s="24"/>
    </row>
    <row r="280" spans="1:39" hidden="1" x14ac:dyDescent="0.2">
      <c r="A280" s="10"/>
      <c r="B280" s="50">
        <v>43686</v>
      </c>
      <c r="C280" s="35">
        <v>0.67152777777777783</v>
      </c>
      <c r="D280" s="35"/>
      <c r="E280" s="35" t="s">
        <v>111</v>
      </c>
      <c r="F280" s="37">
        <v>2</v>
      </c>
      <c r="G280" s="42" t="str">
        <f>VLOOKUP(F280,Key!$A$17:$B$21,2,FALSE)</f>
        <v>Road Vehicle</v>
      </c>
      <c r="H280" s="36">
        <v>4</v>
      </c>
      <c r="I280" s="43" t="str">
        <f>VLOOKUP(H280,Key!$A$2:$B$13,2,FALSE)</f>
        <v>Minibus</v>
      </c>
      <c r="J280" s="37" t="s">
        <v>123</v>
      </c>
      <c r="K280" s="13">
        <v>2</v>
      </c>
      <c r="L280" s="45" t="str">
        <f>VLOOKUP(K280,Key!$A$24:$B$29,2,FALSE)</f>
        <v>30-39</v>
      </c>
      <c r="M280" s="44" t="s">
        <v>179</v>
      </c>
      <c r="N280" s="44" t="s">
        <v>179</v>
      </c>
      <c r="O280" s="37" t="s">
        <v>168</v>
      </c>
      <c r="P280" s="39">
        <v>2</v>
      </c>
      <c r="Q280" s="34" t="str">
        <f>VLOOKUP(P280,Key!$E$2:$F$9,2,FALSE)</f>
        <v>Work</v>
      </c>
      <c r="R280" s="37" t="s">
        <v>179</v>
      </c>
      <c r="S280" s="32" t="s">
        <v>179</v>
      </c>
      <c r="T280" s="37" t="s">
        <v>168</v>
      </c>
      <c r="U280" s="32">
        <v>4</v>
      </c>
      <c r="V280" s="34" t="str">
        <f>VLOOKUP(U280,Key!$E$2:$F$9,2,FALSE)</f>
        <v>Commercial</v>
      </c>
      <c r="W280" s="34" t="str">
        <f t="shared" si="9"/>
        <v>Work-Commercial</v>
      </c>
      <c r="X280" s="47">
        <v>25000</v>
      </c>
      <c r="Y280" s="38">
        <v>40</v>
      </c>
      <c r="Z280" s="38">
        <v>1</v>
      </c>
      <c r="AA280" s="32">
        <v>10</v>
      </c>
      <c r="AB280" s="34" t="str">
        <f>VLOOKUP(AA280,Key!$C$20:$D$29,2,FALSE)</f>
        <v>Other</v>
      </c>
      <c r="AC280" s="32">
        <v>1</v>
      </c>
      <c r="AD280" s="34" t="str">
        <f>VLOOKUP(AC280,Key!$E$20:$F$24,2,FALSE)</f>
        <v>&lt;300,000</v>
      </c>
      <c r="AE280" s="32">
        <v>1</v>
      </c>
      <c r="AF280" s="55">
        <v>1</v>
      </c>
      <c r="AG280" s="55">
        <v>1</v>
      </c>
      <c r="AH280" s="55">
        <v>1</v>
      </c>
      <c r="AI280" s="55">
        <v>1</v>
      </c>
      <c r="AJ280" s="39" t="s">
        <v>104</v>
      </c>
      <c r="AK280" s="40">
        <v>1000</v>
      </c>
      <c r="AL280" s="24"/>
      <c r="AM280" s="24"/>
    </row>
    <row r="281" spans="1:39" hidden="1" x14ac:dyDescent="0.2">
      <c r="B281" s="50">
        <v>43686</v>
      </c>
      <c r="C281" s="35">
        <v>0.58333333333333337</v>
      </c>
      <c r="D281" s="35"/>
      <c r="E281" s="35" t="s">
        <v>111</v>
      </c>
      <c r="F281" s="37">
        <v>2</v>
      </c>
      <c r="G281" s="42" t="str">
        <f>VLOOKUP(F281,Key!$A$17:$B$21,2,FALSE)</f>
        <v>Road Vehicle</v>
      </c>
      <c r="H281" s="36">
        <v>4</v>
      </c>
      <c r="I281" s="43" t="str">
        <f>VLOOKUP(H281,Key!$A$2:$B$13,2,FALSE)</f>
        <v>Minibus</v>
      </c>
      <c r="J281" s="37" t="s">
        <v>123</v>
      </c>
      <c r="K281" s="13">
        <v>1</v>
      </c>
      <c r="L281" s="45" t="str">
        <f>VLOOKUP(K281,Key!$A$24:$B$29,2,FALSE)</f>
        <v>20-29</v>
      </c>
      <c r="M281" s="44" t="s">
        <v>170</v>
      </c>
      <c r="N281" s="32" t="s">
        <v>170</v>
      </c>
      <c r="O281" s="37" t="s">
        <v>168</v>
      </c>
      <c r="P281" s="39">
        <v>1</v>
      </c>
      <c r="Q281" s="34" t="str">
        <f>VLOOKUP(P281,Key!$E$2:$F$9,2,FALSE)</f>
        <v>Home</v>
      </c>
      <c r="R281" s="37" t="s">
        <v>167</v>
      </c>
      <c r="S281" s="32" t="s">
        <v>167</v>
      </c>
      <c r="T281" s="37" t="s">
        <v>168</v>
      </c>
      <c r="U281" s="32">
        <v>2</v>
      </c>
      <c r="V281" s="34" t="str">
        <f>VLOOKUP(U281,Key!$E$2:$F$9,2,FALSE)</f>
        <v>Work</v>
      </c>
      <c r="W281" s="34" t="str">
        <f t="shared" si="9"/>
        <v>Home-Work</v>
      </c>
      <c r="X281" s="47">
        <v>25000</v>
      </c>
      <c r="Y281" s="38">
        <v>40</v>
      </c>
      <c r="Z281" s="38">
        <v>1</v>
      </c>
      <c r="AA281" s="32">
        <v>10</v>
      </c>
      <c r="AB281" s="34" t="str">
        <f>VLOOKUP(AA281,Key!$C$20:$D$29,2,FALSE)</f>
        <v>Other</v>
      </c>
      <c r="AC281" s="32">
        <v>2</v>
      </c>
      <c r="AD281" s="34" t="str">
        <f>VLOOKUP(AC281,Key!$E$20:$F$24,2,FALSE)</f>
        <v>300,000-500,000</v>
      </c>
      <c r="AE281" s="32">
        <v>2</v>
      </c>
      <c r="AF281" s="55">
        <v>3</v>
      </c>
      <c r="AG281" s="55">
        <v>4</v>
      </c>
      <c r="AH281" s="55">
        <v>1</v>
      </c>
      <c r="AI281" s="55">
        <v>5</v>
      </c>
      <c r="AJ281" s="39" t="s">
        <v>104</v>
      </c>
      <c r="AK281" s="40">
        <v>3000</v>
      </c>
      <c r="AL281" s="24"/>
      <c r="AM281" s="24"/>
    </row>
    <row r="282" spans="1:39" hidden="1" x14ac:dyDescent="0.2">
      <c r="B282" s="50">
        <v>43686</v>
      </c>
      <c r="C282" s="35">
        <v>0.60416666666666663</v>
      </c>
      <c r="D282" s="35"/>
      <c r="E282" s="35" t="s">
        <v>111</v>
      </c>
      <c r="F282" s="37">
        <v>2</v>
      </c>
      <c r="G282" s="42" t="str">
        <f>VLOOKUP(F282,Key!$A$17:$B$21,2,FALSE)</f>
        <v>Road Vehicle</v>
      </c>
      <c r="H282" s="36">
        <v>4</v>
      </c>
      <c r="I282" s="43" t="str">
        <f>VLOOKUP(H282,Key!$A$2:$B$13,2,FALSE)</f>
        <v>Minibus</v>
      </c>
      <c r="J282" s="37" t="s">
        <v>123</v>
      </c>
      <c r="K282" s="37">
        <v>1</v>
      </c>
      <c r="L282" s="45" t="str">
        <f>VLOOKUP(K282,Key!$A$24:$B$29,2,FALSE)</f>
        <v>20-29</v>
      </c>
      <c r="M282" s="37" t="s">
        <v>187</v>
      </c>
      <c r="N282" s="32" t="s">
        <v>167</v>
      </c>
      <c r="O282" s="37" t="s">
        <v>168</v>
      </c>
      <c r="P282" s="39">
        <v>2</v>
      </c>
      <c r="Q282" s="34" t="str">
        <f>VLOOKUP(P282,Key!$E$2:$F$9,2,FALSE)</f>
        <v>Work</v>
      </c>
      <c r="R282" s="37" t="s">
        <v>190</v>
      </c>
      <c r="S282" s="32" t="s">
        <v>190</v>
      </c>
      <c r="T282" s="37" t="s">
        <v>168</v>
      </c>
      <c r="U282" s="32">
        <v>2</v>
      </c>
      <c r="V282" s="34" t="str">
        <f>VLOOKUP(U282,Key!$E$2:$F$9,2,FALSE)</f>
        <v>Work</v>
      </c>
      <c r="W282" s="34" t="str">
        <f t="shared" si="9"/>
        <v>Work-Work</v>
      </c>
      <c r="X282" s="47">
        <v>30000</v>
      </c>
      <c r="Y282" s="38">
        <v>40</v>
      </c>
      <c r="Z282" s="38">
        <v>1.5</v>
      </c>
      <c r="AA282" s="32">
        <v>10</v>
      </c>
      <c r="AB282" s="34" t="str">
        <f>VLOOKUP(AA282,Key!$C$20:$D$29,2,FALSE)</f>
        <v>Other</v>
      </c>
      <c r="AC282" s="32">
        <v>1</v>
      </c>
      <c r="AD282" s="34" t="str">
        <f>VLOOKUP(AC282,Key!$E$20:$F$24,2,FALSE)</f>
        <v>&lt;300,000</v>
      </c>
      <c r="AE282" s="32">
        <v>1</v>
      </c>
      <c r="AF282" s="55">
        <v>1</v>
      </c>
      <c r="AG282" s="55">
        <v>1</v>
      </c>
      <c r="AH282" s="55">
        <v>1</v>
      </c>
      <c r="AI282" s="55">
        <v>1</v>
      </c>
      <c r="AJ282" s="39" t="s">
        <v>104</v>
      </c>
      <c r="AK282" s="40"/>
      <c r="AL282" s="24"/>
      <c r="AM282" s="24"/>
    </row>
    <row r="283" spans="1:39" hidden="1" x14ac:dyDescent="0.2">
      <c r="B283" s="50">
        <v>43686</v>
      </c>
      <c r="C283" s="35">
        <v>0.71875</v>
      </c>
      <c r="D283" s="35"/>
      <c r="E283" s="35" t="s">
        <v>111</v>
      </c>
      <c r="F283" s="37">
        <v>2</v>
      </c>
      <c r="G283" s="42" t="str">
        <f>VLOOKUP(F283,Key!$A$17:$B$21,2,FALSE)</f>
        <v>Road Vehicle</v>
      </c>
      <c r="H283" s="36">
        <v>4</v>
      </c>
      <c r="I283" s="43" t="str">
        <f>VLOOKUP(H283,Key!$A$2:$B$13,2,FALSE)</f>
        <v>Minibus</v>
      </c>
      <c r="J283" s="37" t="s">
        <v>123</v>
      </c>
      <c r="K283" s="13">
        <v>2</v>
      </c>
      <c r="L283" s="45" t="str">
        <f>VLOOKUP(K283,Key!$A$24:$B$29,2,FALSE)</f>
        <v>30-39</v>
      </c>
      <c r="M283" s="44" t="s">
        <v>167</v>
      </c>
      <c r="N283" s="44" t="s">
        <v>167</v>
      </c>
      <c r="O283" s="37" t="s">
        <v>168</v>
      </c>
      <c r="P283" s="39">
        <v>2</v>
      </c>
      <c r="Q283" s="34" t="str">
        <f>VLOOKUP(P283,Key!$E$2:$F$9,2,FALSE)</f>
        <v>Work</v>
      </c>
      <c r="R283" s="37" t="s">
        <v>191</v>
      </c>
      <c r="S283" s="32" t="s">
        <v>179</v>
      </c>
      <c r="T283" s="37" t="s">
        <v>168</v>
      </c>
      <c r="U283" s="32">
        <v>4</v>
      </c>
      <c r="V283" s="34" t="str">
        <f>VLOOKUP(U283,Key!$E$2:$F$9,2,FALSE)</f>
        <v>Commercial</v>
      </c>
      <c r="W283" s="34" t="str">
        <f t="shared" si="9"/>
        <v>Work-Commercial</v>
      </c>
      <c r="X283" s="47">
        <v>30000</v>
      </c>
      <c r="Y283" s="38">
        <v>40</v>
      </c>
      <c r="Z283" s="38">
        <v>1.5</v>
      </c>
      <c r="AA283" s="32">
        <v>10</v>
      </c>
      <c r="AB283" s="34" t="str">
        <f>VLOOKUP(AA283,Key!$C$20:$D$29,2,FALSE)</f>
        <v>Other</v>
      </c>
      <c r="AC283" s="32">
        <v>2</v>
      </c>
      <c r="AD283" s="34" t="str">
        <f>VLOOKUP(AC283,Key!$E$20:$F$24,2,FALSE)</f>
        <v>300,000-500,000</v>
      </c>
      <c r="AE283" s="32">
        <v>1</v>
      </c>
      <c r="AF283" s="55">
        <v>2</v>
      </c>
      <c r="AG283" s="55">
        <v>1</v>
      </c>
      <c r="AH283" s="55">
        <v>1</v>
      </c>
      <c r="AI283" s="55">
        <v>1</v>
      </c>
      <c r="AJ283" s="39" t="s">
        <v>104</v>
      </c>
      <c r="AK283" s="40">
        <v>500</v>
      </c>
      <c r="AL283" s="24"/>
      <c r="AM283" s="24"/>
    </row>
    <row r="284" spans="1:39" hidden="1" x14ac:dyDescent="0.2">
      <c r="B284" s="50">
        <v>43686</v>
      </c>
      <c r="C284" s="35">
        <v>0.63680555555555551</v>
      </c>
      <c r="D284" s="35"/>
      <c r="E284" s="35" t="s">
        <v>111</v>
      </c>
      <c r="F284" s="37">
        <v>2</v>
      </c>
      <c r="G284" s="42" t="str">
        <f>VLOOKUP(F284,Key!$A$17:$B$21,2,FALSE)</f>
        <v>Road Vehicle</v>
      </c>
      <c r="H284" s="36">
        <v>4</v>
      </c>
      <c r="I284" s="43" t="str">
        <f>VLOOKUP(H284,Key!$A$2:$B$13,2,FALSE)</f>
        <v>Minibus</v>
      </c>
      <c r="J284" s="37" t="s">
        <v>123</v>
      </c>
      <c r="K284" s="37">
        <v>2</v>
      </c>
      <c r="L284" s="45" t="str">
        <f>VLOOKUP(K284,Key!$A$24:$B$29,2,FALSE)</f>
        <v>30-39</v>
      </c>
      <c r="M284" s="37" t="s">
        <v>179</v>
      </c>
      <c r="N284" s="32" t="s">
        <v>179</v>
      </c>
      <c r="O284" s="37" t="s">
        <v>168</v>
      </c>
      <c r="P284" s="39">
        <v>2</v>
      </c>
      <c r="Q284" s="34" t="str">
        <f>VLOOKUP(P284,Key!$E$2:$F$9,2,FALSE)</f>
        <v>Work</v>
      </c>
      <c r="R284" s="37" t="s">
        <v>352</v>
      </c>
      <c r="S284" s="32" t="s">
        <v>167</v>
      </c>
      <c r="T284" s="37" t="s">
        <v>168</v>
      </c>
      <c r="U284" s="32">
        <v>4</v>
      </c>
      <c r="V284" s="34" t="str">
        <f>VLOOKUP(U284,Key!$E$2:$F$9,2,FALSE)</f>
        <v>Commercial</v>
      </c>
      <c r="W284" s="34" t="str">
        <f t="shared" si="9"/>
        <v>Work-Commercial</v>
      </c>
      <c r="X284" s="47">
        <v>30000</v>
      </c>
      <c r="Y284" s="38">
        <v>40</v>
      </c>
      <c r="Z284" s="38">
        <v>1.5</v>
      </c>
      <c r="AA284" s="32">
        <v>7</v>
      </c>
      <c r="AB284" s="34" t="str">
        <f>VLOOKUP(AA284,Key!$C$20:$D$29,2,FALSE)</f>
        <v>Farmer</v>
      </c>
      <c r="AC284" s="32">
        <v>2</v>
      </c>
      <c r="AD284" s="34" t="str">
        <f>VLOOKUP(AC284,Key!$E$20:$F$24,2,FALSE)</f>
        <v>300,000-500,000</v>
      </c>
      <c r="AE284" s="32">
        <v>1</v>
      </c>
      <c r="AF284" s="55">
        <v>1</v>
      </c>
      <c r="AG284" s="55">
        <v>2</v>
      </c>
      <c r="AH284" s="55">
        <v>1</v>
      </c>
      <c r="AI284" s="55">
        <v>2</v>
      </c>
      <c r="AJ284" s="39" t="s">
        <v>104</v>
      </c>
      <c r="AK284" s="40">
        <v>1000</v>
      </c>
      <c r="AL284" s="24"/>
      <c r="AM284" s="24"/>
    </row>
    <row r="285" spans="1:39" hidden="1" x14ac:dyDescent="0.2">
      <c r="B285" s="50">
        <v>43687</v>
      </c>
      <c r="C285" s="35">
        <v>0.3743055555555555</v>
      </c>
      <c r="D285" s="35"/>
      <c r="E285" s="35" t="s">
        <v>111</v>
      </c>
      <c r="F285" s="37">
        <v>2</v>
      </c>
      <c r="G285" s="42" t="str">
        <f>VLOOKUP(F285,Key!$A$17:$B$21,2,FALSE)</f>
        <v>Road Vehicle</v>
      </c>
      <c r="H285" s="36">
        <v>4</v>
      </c>
      <c r="I285" s="43" t="str">
        <f>VLOOKUP(H285,Key!$A$2:$B$13,2,FALSE)</f>
        <v>Minibus</v>
      </c>
      <c r="J285" s="37" t="s">
        <v>123</v>
      </c>
      <c r="K285" s="13">
        <v>3</v>
      </c>
      <c r="L285" s="45" t="str">
        <f>VLOOKUP(K285,Key!$A$24:$B$29,2,FALSE)</f>
        <v>40-49</v>
      </c>
      <c r="M285" s="44" t="s">
        <v>179</v>
      </c>
      <c r="N285" s="44" t="s">
        <v>179</v>
      </c>
      <c r="O285" s="37" t="s">
        <v>168</v>
      </c>
      <c r="P285" s="39">
        <v>2</v>
      </c>
      <c r="Q285" s="34" t="str">
        <f>VLOOKUP(P285,Key!$E$2:$F$9,2,FALSE)</f>
        <v>Work</v>
      </c>
      <c r="R285" s="37" t="s">
        <v>179</v>
      </c>
      <c r="S285" s="32" t="s">
        <v>179</v>
      </c>
      <c r="T285" s="37" t="s">
        <v>168</v>
      </c>
      <c r="U285" s="32">
        <v>4</v>
      </c>
      <c r="V285" s="34" t="str">
        <f>VLOOKUP(U285,Key!$E$2:$F$9,2,FALSE)</f>
        <v>Commercial</v>
      </c>
      <c r="W285" s="34" t="str">
        <f t="shared" si="9"/>
        <v>Work-Commercial</v>
      </c>
      <c r="X285" s="47">
        <v>40000</v>
      </c>
      <c r="Y285" s="38">
        <v>40</v>
      </c>
      <c r="Z285" s="38">
        <v>1.5</v>
      </c>
      <c r="AA285" s="32">
        <v>10</v>
      </c>
      <c r="AB285" s="34" t="str">
        <f>VLOOKUP(AA285,Key!$C$20:$D$29,2,FALSE)</f>
        <v>Other</v>
      </c>
      <c r="AC285" s="32">
        <v>2</v>
      </c>
      <c r="AD285" s="34" t="str">
        <f>VLOOKUP(AC285,Key!$E$20:$F$24,2,FALSE)</f>
        <v>300,000-500,000</v>
      </c>
      <c r="AE285" s="32">
        <v>1</v>
      </c>
      <c r="AF285" s="55">
        <v>1</v>
      </c>
      <c r="AG285" s="55">
        <v>1</v>
      </c>
      <c r="AH285" s="55">
        <v>1</v>
      </c>
      <c r="AI285" s="55">
        <v>1</v>
      </c>
      <c r="AJ285" s="39" t="s">
        <v>104</v>
      </c>
      <c r="AK285" s="40"/>
      <c r="AL285" s="24"/>
      <c r="AM285" s="24"/>
    </row>
    <row r="286" spans="1:39" hidden="1" x14ac:dyDescent="0.2">
      <c r="B286" s="50">
        <v>43687</v>
      </c>
      <c r="C286" s="35">
        <v>0.38194444444444442</v>
      </c>
      <c r="D286" s="35"/>
      <c r="E286" s="35" t="s">
        <v>111</v>
      </c>
      <c r="F286" s="37">
        <v>2</v>
      </c>
      <c r="G286" s="42" t="str">
        <f>VLOOKUP(F286,Key!$A$17:$B$21,2,FALSE)</f>
        <v>Road Vehicle</v>
      </c>
      <c r="H286" s="36">
        <v>4</v>
      </c>
      <c r="I286" s="43" t="str">
        <f>VLOOKUP(H286,Key!$A$2:$B$13,2,FALSE)</f>
        <v>Minibus</v>
      </c>
      <c r="J286" s="37" t="s">
        <v>123</v>
      </c>
      <c r="K286" s="37">
        <v>3</v>
      </c>
      <c r="L286" s="45" t="str">
        <f>VLOOKUP(K286,Key!$A$24:$B$29,2,FALSE)</f>
        <v>40-49</v>
      </c>
      <c r="M286" s="37" t="s">
        <v>247</v>
      </c>
      <c r="N286" s="32" t="s">
        <v>167</v>
      </c>
      <c r="O286" s="37" t="s">
        <v>168</v>
      </c>
      <c r="P286" s="39">
        <v>2</v>
      </c>
      <c r="Q286" s="34" t="str">
        <f>VLOOKUP(P286,Key!$E$2:$F$9,2,FALSE)</f>
        <v>Work</v>
      </c>
      <c r="R286" s="37" t="s">
        <v>348</v>
      </c>
      <c r="S286" s="32" t="s">
        <v>190</v>
      </c>
      <c r="T286" s="37" t="s">
        <v>168</v>
      </c>
      <c r="U286" s="32">
        <v>2</v>
      </c>
      <c r="V286" s="34" t="str">
        <f>VLOOKUP(U286,Key!$E$2:$F$9,2,FALSE)</f>
        <v>Work</v>
      </c>
      <c r="W286" s="34" t="str">
        <f t="shared" si="9"/>
        <v>Work-Work</v>
      </c>
      <c r="X286" s="47">
        <v>50000</v>
      </c>
      <c r="Y286" s="38">
        <v>40</v>
      </c>
      <c r="Z286" s="38">
        <v>1.5</v>
      </c>
      <c r="AA286" s="32">
        <v>10</v>
      </c>
      <c r="AB286" s="34" t="str">
        <f>VLOOKUP(AA286,Key!$C$20:$D$29,2,FALSE)</f>
        <v>Other</v>
      </c>
      <c r="AC286" s="32">
        <v>2</v>
      </c>
      <c r="AD286" s="34" t="str">
        <f>VLOOKUP(AC286,Key!$E$20:$F$24,2,FALSE)</f>
        <v>300,000-500,000</v>
      </c>
      <c r="AE286" s="32">
        <v>1</v>
      </c>
      <c r="AF286" s="55">
        <v>1</v>
      </c>
      <c r="AG286" s="55">
        <v>2</v>
      </c>
      <c r="AH286" s="55">
        <v>1</v>
      </c>
      <c r="AI286" s="55">
        <v>1</v>
      </c>
      <c r="AJ286" s="39" t="s">
        <v>104</v>
      </c>
      <c r="AK286" s="40">
        <v>1500</v>
      </c>
      <c r="AL286" s="24"/>
      <c r="AM286" s="24"/>
    </row>
    <row r="287" spans="1:39" hidden="1" x14ac:dyDescent="0.2">
      <c r="B287" s="50">
        <v>43687</v>
      </c>
      <c r="C287" s="35">
        <v>0.32430555555555557</v>
      </c>
      <c r="D287" s="35"/>
      <c r="E287" s="35" t="s">
        <v>111</v>
      </c>
      <c r="F287" s="37">
        <v>2</v>
      </c>
      <c r="G287" s="42" t="str">
        <f>VLOOKUP(F287,Key!$A$17:$B$21,2,FALSE)</f>
        <v>Road Vehicle</v>
      </c>
      <c r="H287" s="36">
        <v>4</v>
      </c>
      <c r="I287" s="43" t="str">
        <f>VLOOKUP(H287,Key!$A$2:$B$13,2,FALSE)</f>
        <v>Minibus</v>
      </c>
      <c r="J287" s="37" t="s">
        <v>123</v>
      </c>
      <c r="K287" s="37">
        <v>1</v>
      </c>
      <c r="L287" s="45" t="str">
        <f>VLOOKUP(K287,Key!$A$24:$B$29,2,FALSE)</f>
        <v>20-29</v>
      </c>
      <c r="M287" s="37" t="s">
        <v>350</v>
      </c>
      <c r="N287" s="32" t="s">
        <v>167</v>
      </c>
      <c r="O287" s="37" t="s">
        <v>168</v>
      </c>
      <c r="P287" s="39">
        <v>4</v>
      </c>
      <c r="Q287" s="34" t="str">
        <f>VLOOKUP(P287,Key!$E$2:$F$9,2,FALSE)</f>
        <v>Commercial</v>
      </c>
      <c r="R287" s="37" t="s">
        <v>173</v>
      </c>
      <c r="S287" s="32" t="s">
        <v>173</v>
      </c>
      <c r="T287" s="37" t="s">
        <v>168</v>
      </c>
      <c r="U287" s="32">
        <v>4</v>
      </c>
      <c r="V287" s="34" t="str">
        <f>VLOOKUP(U287,Key!$E$2:$F$9,2,FALSE)</f>
        <v>Commercial</v>
      </c>
      <c r="W287" s="34" t="str">
        <f t="shared" si="9"/>
        <v>Commercial-Commercial</v>
      </c>
      <c r="X287" s="47">
        <v>60000</v>
      </c>
      <c r="Y287" s="38">
        <v>40</v>
      </c>
      <c r="Z287" s="38">
        <v>2</v>
      </c>
      <c r="AA287" s="32">
        <v>10</v>
      </c>
      <c r="AB287" s="34" t="str">
        <f>VLOOKUP(AA287,Key!$C$20:$D$29,2,FALSE)</f>
        <v>Other</v>
      </c>
      <c r="AC287" s="32">
        <v>1</v>
      </c>
      <c r="AD287" s="34" t="str">
        <f>VLOOKUP(AC287,Key!$E$20:$F$24,2,FALSE)</f>
        <v>&lt;300,000</v>
      </c>
      <c r="AE287" s="32">
        <v>1</v>
      </c>
      <c r="AF287" s="55">
        <v>1</v>
      </c>
      <c r="AG287" s="55">
        <v>1</v>
      </c>
      <c r="AH287" s="55">
        <v>1</v>
      </c>
      <c r="AI287" s="55">
        <v>1</v>
      </c>
      <c r="AJ287" s="39" t="s">
        <v>104</v>
      </c>
      <c r="AK287" s="40">
        <v>1000</v>
      </c>
      <c r="AL287" s="24"/>
      <c r="AM287" s="24"/>
    </row>
    <row r="288" spans="1:39" hidden="1" x14ac:dyDescent="0.2">
      <c r="B288" s="50">
        <v>43687</v>
      </c>
      <c r="C288" s="35">
        <v>0.33055555555555555</v>
      </c>
      <c r="D288" s="35"/>
      <c r="E288" s="35" t="s">
        <v>111</v>
      </c>
      <c r="F288" s="37">
        <v>2</v>
      </c>
      <c r="G288" s="42" t="str">
        <f>VLOOKUP(F288,Key!$A$17:$B$21,2,FALSE)</f>
        <v>Road Vehicle</v>
      </c>
      <c r="H288" s="36">
        <v>4</v>
      </c>
      <c r="I288" s="43" t="str">
        <f>VLOOKUP(H288,Key!$A$2:$B$13,2,FALSE)</f>
        <v>Minibus</v>
      </c>
      <c r="J288" s="37" t="s">
        <v>123</v>
      </c>
      <c r="K288" s="37">
        <v>2</v>
      </c>
      <c r="L288" s="45" t="str">
        <f>VLOOKUP(K288,Key!$A$24:$B$29,2,FALSE)</f>
        <v>30-39</v>
      </c>
      <c r="M288" s="37" t="s">
        <v>247</v>
      </c>
      <c r="N288" s="32" t="s">
        <v>167</v>
      </c>
      <c r="O288" s="37" t="s">
        <v>168</v>
      </c>
      <c r="P288" s="39">
        <v>2</v>
      </c>
      <c r="Q288" s="34" t="str">
        <f>VLOOKUP(P288,Key!$E$2:$F$9,2,FALSE)</f>
        <v>Work</v>
      </c>
      <c r="R288" s="37" t="s">
        <v>176</v>
      </c>
      <c r="S288" s="32" t="s">
        <v>176</v>
      </c>
      <c r="T288" s="37" t="s">
        <v>168</v>
      </c>
      <c r="U288" s="32">
        <v>2</v>
      </c>
      <c r="V288" s="34" t="str">
        <f>VLOOKUP(U288,Key!$E$2:$F$9,2,FALSE)</f>
        <v>Work</v>
      </c>
      <c r="W288" s="34" t="str">
        <f t="shared" si="9"/>
        <v>Work-Work</v>
      </c>
      <c r="X288" s="47">
        <v>50000</v>
      </c>
      <c r="Y288" s="38">
        <v>40</v>
      </c>
      <c r="Z288" s="38">
        <v>2</v>
      </c>
      <c r="AA288" s="32">
        <v>10</v>
      </c>
      <c r="AB288" s="34" t="str">
        <f>VLOOKUP(AA288,Key!$C$20:$D$29,2,FALSE)</f>
        <v>Other</v>
      </c>
      <c r="AC288" s="32">
        <v>3</v>
      </c>
      <c r="AD288" s="34" t="str">
        <f>VLOOKUP(AC288,Key!$E$20:$F$24,2,FALSE)</f>
        <v>500,000-750,000</v>
      </c>
      <c r="AE288" s="32">
        <v>1</v>
      </c>
      <c r="AF288" s="55">
        <v>1</v>
      </c>
      <c r="AG288" s="55">
        <v>1</v>
      </c>
      <c r="AH288" s="55">
        <v>1</v>
      </c>
      <c r="AI288" s="55">
        <v>2</v>
      </c>
      <c r="AJ288" s="39" t="s">
        <v>104</v>
      </c>
      <c r="AK288" s="40">
        <v>2000</v>
      </c>
      <c r="AL288" s="24"/>
      <c r="AM288" s="24"/>
    </row>
    <row r="289" spans="2:39" hidden="1" x14ac:dyDescent="0.2">
      <c r="B289" s="50">
        <v>43687</v>
      </c>
      <c r="C289" s="35">
        <v>0.3923611111111111</v>
      </c>
      <c r="D289" s="35"/>
      <c r="E289" s="35" t="s">
        <v>111</v>
      </c>
      <c r="F289" s="37">
        <v>2</v>
      </c>
      <c r="G289" s="42" t="str">
        <f>VLOOKUP(F289,Key!$A$17:$B$21,2,FALSE)</f>
        <v>Road Vehicle</v>
      </c>
      <c r="H289" s="36">
        <v>4</v>
      </c>
      <c r="I289" s="43" t="str">
        <f>VLOOKUP(H289,Key!$A$2:$B$13,2,FALSE)</f>
        <v>Minibus</v>
      </c>
      <c r="J289" s="37" t="s">
        <v>123</v>
      </c>
      <c r="K289" s="37">
        <v>3</v>
      </c>
      <c r="L289" s="45" t="str">
        <f>VLOOKUP(K289,Key!$A$24:$B$29,2,FALSE)</f>
        <v>40-49</v>
      </c>
      <c r="M289" s="37" t="s">
        <v>350</v>
      </c>
      <c r="N289" s="32" t="s">
        <v>167</v>
      </c>
      <c r="O289" s="37" t="s">
        <v>168</v>
      </c>
      <c r="P289" s="39">
        <v>4</v>
      </c>
      <c r="Q289" s="34" t="str">
        <f>VLOOKUP(P289,Key!$E$2:$F$9,2,FALSE)</f>
        <v>Commercial</v>
      </c>
      <c r="R289" s="37" t="s">
        <v>173</v>
      </c>
      <c r="S289" s="32" t="s">
        <v>173</v>
      </c>
      <c r="T289" s="37" t="s">
        <v>168</v>
      </c>
      <c r="U289" s="32">
        <v>4</v>
      </c>
      <c r="V289" s="34" t="str">
        <f>VLOOKUP(U289,Key!$E$2:$F$9,2,FALSE)</f>
        <v>Commercial</v>
      </c>
      <c r="W289" s="34" t="str">
        <f t="shared" si="9"/>
        <v>Commercial-Commercial</v>
      </c>
      <c r="X289" s="47">
        <v>60000</v>
      </c>
      <c r="Y289" s="38">
        <v>40</v>
      </c>
      <c r="Z289" s="38">
        <v>2</v>
      </c>
      <c r="AA289" s="32">
        <v>10</v>
      </c>
      <c r="AB289" s="34" t="str">
        <f>VLOOKUP(AA289,Key!$C$20:$D$29,2,FALSE)</f>
        <v>Other</v>
      </c>
      <c r="AC289" s="32">
        <v>1</v>
      </c>
      <c r="AD289" s="34" t="str">
        <f>VLOOKUP(AC289,Key!$E$20:$F$24,2,FALSE)</f>
        <v>&lt;300,000</v>
      </c>
      <c r="AE289" s="32">
        <v>1</v>
      </c>
      <c r="AF289" s="55">
        <v>1</v>
      </c>
      <c r="AG289" s="55">
        <v>1</v>
      </c>
      <c r="AH289" s="55">
        <v>1</v>
      </c>
      <c r="AI289" s="55">
        <v>1</v>
      </c>
      <c r="AJ289" s="39" t="s">
        <v>104</v>
      </c>
      <c r="AK289" s="40">
        <v>1000</v>
      </c>
      <c r="AL289" s="24"/>
      <c r="AM289" s="24"/>
    </row>
    <row r="290" spans="2:39" hidden="1" x14ac:dyDescent="0.2">
      <c r="B290" s="50">
        <v>43687</v>
      </c>
      <c r="C290" s="35">
        <v>0.39513888888888887</v>
      </c>
      <c r="D290" s="35"/>
      <c r="E290" s="35" t="s">
        <v>111</v>
      </c>
      <c r="F290" s="37">
        <v>2</v>
      </c>
      <c r="G290" s="42" t="str">
        <f>VLOOKUP(F290,Key!$A$17:$B$21,2,FALSE)</f>
        <v>Road Vehicle</v>
      </c>
      <c r="H290" s="36">
        <v>4</v>
      </c>
      <c r="I290" s="43" t="str">
        <f>VLOOKUP(H290,Key!$A$2:$B$13,2,FALSE)</f>
        <v>Minibus</v>
      </c>
      <c r="J290" s="37" t="s">
        <v>123</v>
      </c>
      <c r="K290" s="37">
        <v>2</v>
      </c>
      <c r="L290" s="45" t="str">
        <f>VLOOKUP(K290,Key!$A$24:$B$29,2,FALSE)</f>
        <v>30-39</v>
      </c>
      <c r="M290" s="37" t="s">
        <v>247</v>
      </c>
      <c r="N290" s="32" t="s">
        <v>167</v>
      </c>
      <c r="O290" s="37" t="s">
        <v>168</v>
      </c>
      <c r="P290" s="39">
        <v>2</v>
      </c>
      <c r="Q290" s="34" t="str">
        <f>VLOOKUP(P290,Key!$E$2:$F$9,2,FALSE)</f>
        <v>Work</v>
      </c>
      <c r="R290" s="37" t="s">
        <v>219</v>
      </c>
      <c r="S290" s="32" t="s">
        <v>251</v>
      </c>
      <c r="T290" s="37" t="s">
        <v>168</v>
      </c>
      <c r="U290" s="32">
        <v>2</v>
      </c>
      <c r="V290" s="34" t="str">
        <f>VLOOKUP(U290,Key!$E$2:$F$9,2,FALSE)</f>
        <v>Work</v>
      </c>
      <c r="W290" s="34" t="str">
        <f t="shared" si="9"/>
        <v>Work-Work</v>
      </c>
      <c r="X290" s="47">
        <v>40000</v>
      </c>
      <c r="Y290" s="38">
        <v>42</v>
      </c>
      <c r="Z290" s="38">
        <v>3</v>
      </c>
      <c r="AA290" s="32">
        <v>7</v>
      </c>
      <c r="AB290" s="34" t="str">
        <f>VLOOKUP(AA290,Key!$C$20:$D$29,2,FALSE)</f>
        <v>Farmer</v>
      </c>
      <c r="AC290" s="32">
        <v>1</v>
      </c>
      <c r="AD290" s="34" t="str">
        <f>VLOOKUP(AC290,Key!$E$20:$F$24,2,FALSE)</f>
        <v>&lt;300,000</v>
      </c>
      <c r="AE290" s="32">
        <v>1</v>
      </c>
      <c r="AF290" s="55">
        <v>1</v>
      </c>
      <c r="AG290" s="55">
        <v>1</v>
      </c>
      <c r="AH290" s="55">
        <v>1</v>
      </c>
      <c r="AI290" s="55">
        <v>1</v>
      </c>
      <c r="AJ290" s="39" t="s">
        <v>104</v>
      </c>
      <c r="AK290" s="40">
        <v>1000</v>
      </c>
      <c r="AL290" s="24"/>
      <c r="AM290" s="24"/>
    </row>
    <row r="291" spans="2:39" hidden="1" x14ac:dyDescent="0.2">
      <c r="B291" s="50">
        <v>43687</v>
      </c>
      <c r="C291" s="35">
        <v>0.33680555555555558</v>
      </c>
      <c r="D291" s="35"/>
      <c r="E291" s="35" t="s">
        <v>111</v>
      </c>
      <c r="F291" s="37">
        <v>2</v>
      </c>
      <c r="G291" s="42" t="str">
        <f>VLOOKUP(F291,Key!$A$17:$B$21,2,FALSE)</f>
        <v>Road Vehicle</v>
      </c>
      <c r="H291" s="36">
        <v>4</v>
      </c>
      <c r="I291" s="43" t="str">
        <f>VLOOKUP(H291,Key!$A$2:$B$13,2,FALSE)</f>
        <v>Minibus</v>
      </c>
      <c r="J291" s="37" t="s">
        <v>123</v>
      </c>
      <c r="K291" s="37">
        <v>2</v>
      </c>
      <c r="L291" s="45" t="str">
        <f>VLOOKUP(K291,Key!$A$24:$B$29,2,FALSE)</f>
        <v>30-39</v>
      </c>
      <c r="M291" s="37" t="s">
        <v>256</v>
      </c>
      <c r="N291" s="32" t="s">
        <v>167</v>
      </c>
      <c r="O291" s="37" t="s">
        <v>168</v>
      </c>
      <c r="P291" s="39">
        <v>2</v>
      </c>
      <c r="Q291" s="34" t="str">
        <f>VLOOKUP(P291,Key!$E$2:$F$9,2,FALSE)</f>
        <v>Work</v>
      </c>
      <c r="R291" s="37" t="s">
        <v>251</v>
      </c>
      <c r="S291" s="32" t="s">
        <v>251</v>
      </c>
      <c r="T291" s="37" t="s">
        <v>168</v>
      </c>
      <c r="U291" s="32">
        <v>2</v>
      </c>
      <c r="V291" s="34" t="str">
        <f>VLOOKUP(U291,Key!$E$2:$F$9,2,FALSE)</f>
        <v>Work</v>
      </c>
      <c r="W291" s="34" t="str">
        <f t="shared" si="9"/>
        <v>Work-Work</v>
      </c>
      <c r="X291" s="47">
        <v>40000</v>
      </c>
      <c r="Y291" s="38">
        <v>48</v>
      </c>
      <c r="Z291" s="38">
        <v>2</v>
      </c>
      <c r="AA291" s="32">
        <v>10</v>
      </c>
      <c r="AB291" s="34" t="str">
        <f>VLOOKUP(AA291,Key!$C$20:$D$29,2,FALSE)</f>
        <v>Other</v>
      </c>
      <c r="AC291" s="32">
        <v>2</v>
      </c>
      <c r="AD291" s="34" t="str">
        <f>VLOOKUP(AC291,Key!$E$20:$F$24,2,FALSE)</f>
        <v>300,000-500,000</v>
      </c>
      <c r="AE291" s="32">
        <v>1</v>
      </c>
      <c r="AF291" s="55">
        <v>1</v>
      </c>
      <c r="AG291" s="55">
        <v>1</v>
      </c>
      <c r="AH291" s="55">
        <v>1</v>
      </c>
      <c r="AI291" s="55">
        <v>1</v>
      </c>
      <c r="AJ291" s="39" t="s">
        <v>104</v>
      </c>
      <c r="AK291" s="40"/>
      <c r="AL291" s="24"/>
      <c r="AM291" s="24"/>
    </row>
    <row r="292" spans="2:39" hidden="1" x14ac:dyDescent="0.2">
      <c r="B292" s="50">
        <v>43687</v>
      </c>
      <c r="C292" s="35">
        <v>0.41319444444444442</v>
      </c>
      <c r="D292" s="35"/>
      <c r="E292" s="35" t="s">
        <v>111</v>
      </c>
      <c r="F292" s="37">
        <v>2</v>
      </c>
      <c r="G292" s="42" t="str">
        <f>VLOOKUP(F292,Key!$A$17:$B$21,2,FALSE)</f>
        <v>Road Vehicle</v>
      </c>
      <c r="H292" s="36">
        <v>4</v>
      </c>
      <c r="I292" s="43" t="str">
        <f>VLOOKUP(H292,Key!$A$2:$B$13,2,FALSE)</f>
        <v>Minibus</v>
      </c>
      <c r="J292" s="37" t="s">
        <v>123</v>
      </c>
      <c r="K292" s="37">
        <v>1</v>
      </c>
      <c r="L292" s="45" t="str">
        <f>VLOOKUP(K292,Key!$A$24:$B$29,2,FALSE)</f>
        <v>20-29</v>
      </c>
      <c r="M292" s="44" t="s">
        <v>211</v>
      </c>
      <c r="N292" s="44" t="s">
        <v>167</v>
      </c>
      <c r="O292" s="37" t="s">
        <v>168</v>
      </c>
      <c r="P292" s="39">
        <v>6</v>
      </c>
      <c r="Q292" s="34" t="str">
        <f>VLOOKUP(P292,Key!$E$2:$F$9,2,FALSE)</f>
        <v>Leisure/Social</v>
      </c>
      <c r="R292" s="37" t="s">
        <v>212</v>
      </c>
      <c r="S292" s="32" t="s">
        <v>190</v>
      </c>
      <c r="T292" s="37" t="s">
        <v>168</v>
      </c>
      <c r="U292" s="32">
        <v>1</v>
      </c>
      <c r="V292" s="34" t="str">
        <f>VLOOKUP(U292,Key!$E$2:$F$9,2,FALSE)</f>
        <v>Home</v>
      </c>
      <c r="W292" s="34" t="str">
        <f t="shared" si="9"/>
        <v>Leisure/Social-Home</v>
      </c>
      <c r="X292" s="47">
        <v>20000</v>
      </c>
      <c r="Y292" s="38">
        <v>50</v>
      </c>
      <c r="Z292" s="38">
        <v>1.5</v>
      </c>
      <c r="AA292" s="32">
        <v>6</v>
      </c>
      <c r="AB292" s="34" t="str">
        <f>VLOOKUP(AA292,Key!$C$20:$D$29,2,FALSE)</f>
        <v>Businessman</v>
      </c>
      <c r="AC292" s="32">
        <v>2</v>
      </c>
      <c r="AD292" s="34" t="str">
        <f>VLOOKUP(AC292,Key!$E$20:$F$24,2,FALSE)</f>
        <v>300,000-500,000</v>
      </c>
      <c r="AE292" s="32">
        <v>1</v>
      </c>
      <c r="AF292" s="55">
        <v>1</v>
      </c>
      <c r="AG292" s="55">
        <v>1</v>
      </c>
      <c r="AH292" s="55">
        <v>1</v>
      </c>
      <c r="AI292" s="55">
        <v>1</v>
      </c>
      <c r="AJ292" s="39" t="s">
        <v>104</v>
      </c>
      <c r="AK292" s="40">
        <v>2000</v>
      </c>
      <c r="AL292" s="24"/>
      <c r="AM292" s="24"/>
    </row>
    <row r="293" spans="2:39" hidden="1" x14ac:dyDescent="0.2">
      <c r="B293" s="50">
        <v>43687</v>
      </c>
      <c r="C293" s="35">
        <v>0.31041666666666667</v>
      </c>
      <c r="D293" s="35"/>
      <c r="E293" s="35" t="s">
        <v>111</v>
      </c>
      <c r="F293" s="37">
        <v>2</v>
      </c>
      <c r="G293" s="42" t="str">
        <f>VLOOKUP(F293,Key!$A$17:$B$21,2,FALSE)</f>
        <v>Road Vehicle</v>
      </c>
      <c r="H293" s="36">
        <v>4</v>
      </c>
      <c r="I293" s="43" t="str">
        <f>VLOOKUP(H293,Key!$A$2:$B$13,2,FALSE)</f>
        <v>Minibus</v>
      </c>
      <c r="J293" s="37" t="s">
        <v>123</v>
      </c>
      <c r="K293" s="37">
        <v>3</v>
      </c>
      <c r="L293" s="45" t="str">
        <f>VLOOKUP(K293,Key!$A$24:$B$29,2,FALSE)</f>
        <v>40-49</v>
      </c>
      <c r="M293" s="37" t="s">
        <v>190</v>
      </c>
      <c r="N293" s="32" t="s">
        <v>190</v>
      </c>
      <c r="O293" s="37" t="s">
        <v>168</v>
      </c>
      <c r="P293" s="39">
        <v>2</v>
      </c>
      <c r="Q293" s="34" t="str">
        <f>VLOOKUP(P293,Key!$E$2:$F$9,2,FALSE)</f>
        <v>Work</v>
      </c>
      <c r="R293" s="37" t="s">
        <v>187</v>
      </c>
      <c r="S293" s="32" t="s">
        <v>167</v>
      </c>
      <c r="T293" s="37" t="s">
        <v>168</v>
      </c>
      <c r="U293" s="32">
        <v>2</v>
      </c>
      <c r="V293" s="34" t="str">
        <f>VLOOKUP(U293,Key!$E$2:$F$9,2,FALSE)</f>
        <v>Work</v>
      </c>
      <c r="W293" s="34" t="str">
        <f t="shared" si="9"/>
        <v>Work-Work</v>
      </c>
      <c r="X293" s="47">
        <v>20000</v>
      </c>
      <c r="Y293" s="38">
        <v>50</v>
      </c>
      <c r="Z293" s="38">
        <v>1.5</v>
      </c>
      <c r="AA293" s="32">
        <v>10</v>
      </c>
      <c r="AB293" s="34" t="str">
        <f>VLOOKUP(AA293,Key!$C$20:$D$29,2,FALSE)</f>
        <v>Other</v>
      </c>
      <c r="AC293" s="32">
        <v>2</v>
      </c>
      <c r="AD293" s="34" t="str">
        <f>VLOOKUP(AC293,Key!$E$20:$F$24,2,FALSE)</f>
        <v>300,000-500,000</v>
      </c>
      <c r="AE293" s="32">
        <v>1</v>
      </c>
      <c r="AF293" s="55">
        <v>1</v>
      </c>
      <c r="AG293" s="55">
        <v>1</v>
      </c>
      <c r="AH293" s="55">
        <v>1</v>
      </c>
      <c r="AI293" s="55">
        <v>1</v>
      </c>
      <c r="AJ293" s="39" t="s">
        <v>104</v>
      </c>
      <c r="AK293" s="40">
        <v>3000</v>
      </c>
      <c r="AL293" s="24"/>
      <c r="AM293" s="24"/>
    </row>
    <row r="294" spans="2:39" hidden="1" x14ac:dyDescent="0.2">
      <c r="B294" s="50">
        <v>43687</v>
      </c>
      <c r="C294" s="35">
        <v>0.42430555555555555</v>
      </c>
      <c r="D294" s="35"/>
      <c r="E294" s="35" t="s">
        <v>111</v>
      </c>
      <c r="F294" s="37">
        <v>2</v>
      </c>
      <c r="G294" s="42" t="str">
        <f>VLOOKUP(F294,Key!$A$17:$B$21,2,FALSE)</f>
        <v>Road Vehicle</v>
      </c>
      <c r="H294" s="36">
        <v>4</v>
      </c>
      <c r="I294" s="43" t="str">
        <f>VLOOKUP(H294,Key!$A$2:$B$13,2,FALSE)</f>
        <v>Minibus</v>
      </c>
      <c r="J294" s="37" t="s">
        <v>123</v>
      </c>
      <c r="K294" s="37">
        <v>2</v>
      </c>
      <c r="L294" s="45" t="str">
        <f>VLOOKUP(K294,Key!$A$24:$B$29,2,FALSE)</f>
        <v>30-39</v>
      </c>
      <c r="M294" s="37" t="s">
        <v>247</v>
      </c>
      <c r="N294" s="32" t="s">
        <v>167</v>
      </c>
      <c r="O294" s="37" t="s">
        <v>168</v>
      </c>
      <c r="P294" s="39">
        <v>2</v>
      </c>
      <c r="Q294" s="34" t="str">
        <f>VLOOKUP(P294,Key!$E$2:$F$9,2,FALSE)</f>
        <v>Work</v>
      </c>
      <c r="R294" s="37" t="s">
        <v>219</v>
      </c>
      <c r="S294" s="32" t="s">
        <v>176</v>
      </c>
      <c r="T294" s="37" t="s">
        <v>168</v>
      </c>
      <c r="U294" s="32">
        <v>2</v>
      </c>
      <c r="V294" s="34" t="str">
        <f>VLOOKUP(U294,Key!$E$2:$F$9,2,FALSE)</f>
        <v>Work</v>
      </c>
      <c r="W294" s="34" t="str">
        <f t="shared" si="9"/>
        <v>Work-Work</v>
      </c>
      <c r="X294" s="47">
        <v>50000</v>
      </c>
      <c r="Y294" s="38">
        <v>50</v>
      </c>
      <c r="Z294" s="38">
        <v>2</v>
      </c>
      <c r="AA294" s="32">
        <v>10</v>
      </c>
      <c r="AB294" s="34" t="str">
        <f>VLOOKUP(AA294,Key!$C$20:$D$29,2,FALSE)</f>
        <v>Other</v>
      </c>
      <c r="AC294" s="32">
        <v>1</v>
      </c>
      <c r="AD294" s="34" t="str">
        <f>VLOOKUP(AC294,Key!$E$20:$F$24,2,FALSE)</f>
        <v>&lt;300,000</v>
      </c>
      <c r="AE294" s="32">
        <v>1</v>
      </c>
      <c r="AF294" s="55"/>
      <c r="AG294" s="55">
        <v>1</v>
      </c>
      <c r="AH294" s="55">
        <v>1</v>
      </c>
      <c r="AI294" s="55">
        <v>1</v>
      </c>
      <c r="AJ294" s="39" t="s">
        <v>104</v>
      </c>
      <c r="AK294" s="40">
        <v>3000</v>
      </c>
      <c r="AL294" s="24"/>
      <c r="AM294" s="24"/>
    </row>
    <row r="295" spans="2:39" hidden="1" x14ac:dyDescent="0.2">
      <c r="B295" s="50">
        <v>43687</v>
      </c>
      <c r="C295" s="35">
        <v>0.42986111111111108</v>
      </c>
      <c r="D295" s="35"/>
      <c r="E295" s="35" t="s">
        <v>111</v>
      </c>
      <c r="F295" s="37">
        <v>2</v>
      </c>
      <c r="G295" s="42" t="str">
        <f>VLOOKUP(F295,Key!$A$17:$B$21,2,FALSE)</f>
        <v>Road Vehicle</v>
      </c>
      <c r="H295" s="36">
        <v>4</v>
      </c>
      <c r="I295" s="43" t="str">
        <f>VLOOKUP(H295,Key!$A$2:$B$13,2,FALSE)</f>
        <v>Minibus</v>
      </c>
      <c r="J295" s="37" t="s">
        <v>123</v>
      </c>
      <c r="K295" s="37">
        <v>2</v>
      </c>
      <c r="L295" s="45" t="str">
        <f>VLOOKUP(K295,Key!$A$24:$B$29,2,FALSE)</f>
        <v>30-39</v>
      </c>
      <c r="M295" s="37" t="s">
        <v>247</v>
      </c>
      <c r="N295" s="32" t="s">
        <v>167</v>
      </c>
      <c r="O295" s="37" t="s">
        <v>168</v>
      </c>
      <c r="P295" s="39">
        <v>2</v>
      </c>
      <c r="Q295" s="34" t="str">
        <f>VLOOKUP(P295,Key!$E$2:$F$9,2,FALSE)</f>
        <v>Work</v>
      </c>
      <c r="R295" s="37" t="s">
        <v>205</v>
      </c>
      <c r="S295" s="32" t="s">
        <v>205</v>
      </c>
      <c r="T295" s="37" t="s">
        <v>168</v>
      </c>
      <c r="U295" s="32">
        <v>4</v>
      </c>
      <c r="V295" s="34" t="str">
        <f>VLOOKUP(U295,Key!$E$2:$F$9,2,FALSE)</f>
        <v>Commercial</v>
      </c>
      <c r="W295" s="34" t="str">
        <f t="shared" ref="W295:W326" si="10">Q295&amp;"-"&amp;V295</f>
        <v>Work-Commercial</v>
      </c>
      <c r="X295" s="47">
        <v>60000</v>
      </c>
      <c r="Y295" s="38">
        <v>50</v>
      </c>
      <c r="Z295" s="38">
        <v>2</v>
      </c>
      <c r="AA295" s="32">
        <v>10</v>
      </c>
      <c r="AB295" s="34" t="str">
        <f>VLOOKUP(AA295,Key!$C$20:$D$29,2,FALSE)</f>
        <v>Other</v>
      </c>
      <c r="AC295" s="32">
        <v>2</v>
      </c>
      <c r="AD295" s="34" t="str">
        <f>VLOOKUP(AC295,Key!$E$20:$F$24,2,FALSE)</f>
        <v>300,000-500,000</v>
      </c>
      <c r="AE295" s="32">
        <v>1</v>
      </c>
      <c r="AF295" s="55">
        <v>1</v>
      </c>
      <c r="AG295" s="55">
        <v>2</v>
      </c>
      <c r="AH295" s="55">
        <v>1</v>
      </c>
      <c r="AI295" s="55">
        <v>1</v>
      </c>
      <c r="AJ295" s="39" t="s">
        <v>104</v>
      </c>
      <c r="AK295" s="40"/>
      <c r="AL295" s="24"/>
      <c r="AM295" s="24"/>
    </row>
    <row r="296" spans="2:39" hidden="1" x14ac:dyDescent="0.2">
      <c r="B296" s="50">
        <v>43687</v>
      </c>
      <c r="C296" s="35">
        <v>0.45277777777777778</v>
      </c>
      <c r="D296" s="35"/>
      <c r="E296" s="35" t="s">
        <v>111</v>
      </c>
      <c r="F296" s="37">
        <v>2</v>
      </c>
      <c r="G296" s="42" t="str">
        <f>VLOOKUP(F296,Key!$A$17:$B$21,2,FALSE)</f>
        <v>Road Vehicle</v>
      </c>
      <c r="H296" s="36">
        <v>4</v>
      </c>
      <c r="I296" s="43" t="str">
        <f>VLOOKUP(H296,Key!$A$2:$B$13,2,FALSE)</f>
        <v>Minibus</v>
      </c>
      <c r="J296" s="37" t="s">
        <v>123</v>
      </c>
      <c r="K296" s="37">
        <v>2</v>
      </c>
      <c r="L296" s="45" t="str">
        <f>VLOOKUP(K296,Key!$A$24:$B$29,2,FALSE)</f>
        <v>30-39</v>
      </c>
      <c r="M296" s="37" t="s">
        <v>247</v>
      </c>
      <c r="N296" s="32" t="s">
        <v>167</v>
      </c>
      <c r="O296" s="37" t="s">
        <v>168</v>
      </c>
      <c r="P296" s="39">
        <v>2</v>
      </c>
      <c r="Q296" s="34" t="str">
        <f>VLOOKUP(P296,Key!$E$2:$F$9,2,FALSE)</f>
        <v>Work</v>
      </c>
      <c r="R296" s="37" t="s">
        <v>232</v>
      </c>
      <c r="S296" s="32" t="s">
        <v>188</v>
      </c>
      <c r="T296" s="37" t="s">
        <v>168</v>
      </c>
      <c r="U296" s="32">
        <v>2</v>
      </c>
      <c r="V296" s="34" t="str">
        <f>VLOOKUP(U296,Key!$E$2:$F$9,2,FALSE)</f>
        <v>Work</v>
      </c>
      <c r="W296" s="34" t="str">
        <f t="shared" si="10"/>
        <v>Work-Work</v>
      </c>
      <c r="X296" s="47">
        <v>60000</v>
      </c>
      <c r="Y296" s="38">
        <v>50</v>
      </c>
      <c r="Z296" s="38">
        <v>3</v>
      </c>
      <c r="AA296" s="32">
        <v>10</v>
      </c>
      <c r="AB296" s="34" t="str">
        <f>VLOOKUP(AA296,Key!$C$20:$D$29,2,FALSE)</f>
        <v>Other</v>
      </c>
      <c r="AC296" s="32">
        <v>1</v>
      </c>
      <c r="AD296" s="34" t="str">
        <f>VLOOKUP(AC296,Key!$E$20:$F$24,2,FALSE)</f>
        <v>&lt;300,000</v>
      </c>
      <c r="AE296" s="32">
        <v>1</v>
      </c>
      <c r="AF296" s="55">
        <v>1</v>
      </c>
      <c r="AG296" s="55">
        <v>1</v>
      </c>
      <c r="AH296" s="55">
        <v>2</v>
      </c>
      <c r="AI296" s="55">
        <v>1</v>
      </c>
      <c r="AJ296" s="39" t="s">
        <v>104</v>
      </c>
      <c r="AK296" s="40">
        <v>5000</v>
      </c>
      <c r="AL296" s="24"/>
      <c r="AM296" s="24"/>
    </row>
    <row r="297" spans="2:39" hidden="1" x14ac:dyDescent="0.2">
      <c r="B297" s="50">
        <v>43687</v>
      </c>
      <c r="C297" s="35">
        <v>0.48958333333333331</v>
      </c>
      <c r="D297" s="35"/>
      <c r="E297" s="35" t="s">
        <v>111</v>
      </c>
      <c r="F297" s="37">
        <v>2</v>
      </c>
      <c r="G297" s="42" t="str">
        <f>VLOOKUP(F297,Key!$A$17:$B$21,2,FALSE)</f>
        <v>Road Vehicle</v>
      </c>
      <c r="H297" s="36">
        <v>4</v>
      </c>
      <c r="I297" s="43" t="str">
        <f>VLOOKUP(H297,Key!$A$2:$B$13,2,FALSE)</f>
        <v>Minibus</v>
      </c>
      <c r="J297" s="37" t="s">
        <v>123</v>
      </c>
      <c r="K297" s="37">
        <v>2</v>
      </c>
      <c r="L297" s="45" t="str">
        <f>VLOOKUP(K297,Key!$A$24:$B$29,2,FALSE)</f>
        <v>30-39</v>
      </c>
      <c r="M297" s="37" t="s">
        <v>265</v>
      </c>
      <c r="N297" s="32" t="s">
        <v>169</v>
      </c>
      <c r="O297" s="37" t="s">
        <v>168</v>
      </c>
      <c r="P297" s="39">
        <v>1</v>
      </c>
      <c r="Q297" s="34" t="str">
        <f>VLOOKUP(P297,Key!$E$2:$F$9,2,FALSE)</f>
        <v>Home</v>
      </c>
      <c r="R297" s="37" t="s">
        <v>266</v>
      </c>
      <c r="S297" s="32" t="s">
        <v>190</v>
      </c>
      <c r="T297" s="37" t="s">
        <v>168</v>
      </c>
      <c r="U297" s="32">
        <v>8</v>
      </c>
      <c r="V297" s="34" t="str">
        <f>VLOOKUP(U297,Key!$E$2:$F$9,2,FALSE)</f>
        <v>Others</v>
      </c>
      <c r="W297" s="34" t="str">
        <f t="shared" si="10"/>
        <v>Home-Others</v>
      </c>
      <c r="X297" s="47">
        <v>60000</v>
      </c>
      <c r="Y297" s="38">
        <v>50</v>
      </c>
      <c r="Z297" s="38">
        <v>3</v>
      </c>
      <c r="AA297" s="32">
        <v>10</v>
      </c>
      <c r="AB297" s="34" t="str">
        <f>VLOOKUP(AA297,Key!$C$20:$D$29,2,FALSE)</f>
        <v>Other</v>
      </c>
      <c r="AC297" s="32">
        <v>3</v>
      </c>
      <c r="AD297" s="34" t="str">
        <f>VLOOKUP(AC297,Key!$E$20:$F$24,2,FALSE)</f>
        <v>500,000-750,000</v>
      </c>
      <c r="AE297" s="32">
        <v>1</v>
      </c>
      <c r="AF297" s="55">
        <v>2</v>
      </c>
      <c r="AG297" s="55">
        <v>1</v>
      </c>
      <c r="AH297" s="55">
        <v>1</v>
      </c>
      <c r="AI297" s="55">
        <v>1</v>
      </c>
      <c r="AJ297" s="39" t="s">
        <v>104</v>
      </c>
      <c r="AK297" s="40">
        <v>5000</v>
      </c>
      <c r="AL297" s="24"/>
      <c r="AM297" s="24"/>
    </row>
    <row r="298" spans="2:39" hidden="1" x14ac:dyDescent="0.2">
      <c r="B298" s="50">
        <v>43687</v>
      </c>
      <c r="C298" s="35">
        <v>0.72569444444444453</v>
      </c>
      <c r="D298" s="35"/>
      <c r="E298" s="35" t="s">
        <v>111</v>
      </c>
      <c r="F298" s="37">
        <v>2</v>
      </c>
      <c r="G298" s="42" t="str">
        <f>VLOOKUP(F298,Key!$A$17:$B$21,2,FALSE)</f>
        <v>Road Vehicle</v>
      </c>
      <c r="H298" s="36">
        <v>4</v>
      </c>
      <c r="I298" s="43" t="str">
        <f>VLOOKUP(H298,Key!$A$2:$B$13,2,FALSE)</f>
        <v>Minibus</v>
      </c>
      <c r="J298" s="37" t="s">
        <v>123</v>
      </c>
      <c r="K298" s="37">
        <v>3</v>
      </c>
      <c r="L298" s="45" t="str">
        <f>VLOOKUP(K298,Key!$A$24:$B$29,2,FALSE)</f>
        <v>40-49</v>
      </c>
      <c r="M298" s="37" t="s">
        <v>350</v>
      </c>
      <c r="N298" s="32" t="s">
        <v>179</v>
      </c>
      <c r="O298" s="37" t="s">
        <v>168</v>
      </c>
      <c r="P298" s="39">
        <v>4</v>
      </c>
      <c r="Q298" s="34" t="str">
        <f>VLOOKUP(P298,Key!$E$2:$F$9,2,FALSE)</f>
        <v>Commercial</v>
      </c>
      <c r="R298" s="37" t="s">
        <v>355</v>
      </c>
      <c r="S298" s="32" t="s">
        <v>176</v>
      </c>
      <c r="T298" s="37" t="s">
        <v>168</v>
      </c>
      <c r="U298" s="32">
        <v>4</v>
      </c>
      <c r="V298" s="34" t="str">
        <f>VLOOKUP(U298,Key!$E$2:$F$9,2,FALSE)</f>
        <v>Commercial</v>
      </c>
      <c r="W298" s="34" t="str">
        <f t="shared" si="10"/>
        <v>Commercial-Commercial</v>
      </c>
      <c r="X298" s="47">
        <v>70000</v>
      </c>
      <c r="Y298" s="38">
        <v>50</v>
      </c>
      <c r="Z298" s="38">
        <v>3</v>
      </c>
      <c r="AA298" s="32">
        <v>10</v>
      </c>
      <c r="AB298" s="34" t="str">
        <f>VLOOKUP(AA298,Key!$C$20:$D$29,2,FALSE)</f>
        <v>Other</v>
      </c>
      <c r="AC298" s="32">
        <v>2</v>
      </c>
      <c r="AD298" s="34" t="str">
        <f>VLOOKUP(AC298,Key!$E$20:$F$24,2,FALSE)</f>
        <v>300,000-500,000</v>
      </c>
      <c r="AE298" s="32">
        <v>1</v>
      </c>
      <c r="AF298" s="55">
        <v>1</v>
      </c>
      <c r="AG298" s="55">
        <v>2</v>
      </c>
      <c r="AH298" s="55">
        <v>1</v>
      </c>
      <c r="AI298" s="55">
        <v>1</v>
      </c>
      <c r="AJ298" s="39" t="s">
        <v>104</v>
      </c>
      <c r="AK298" s="40"/>
      <c r="AL298" s="24"/>
      <c r="AM298" s="24"/>
    </row>
    <row r="299" spans="2:39" x14ac:dyDescent="0.2">
      <c r="B299" s="50">
        <v>43687</v>
      </c>
      <c r="C299" s="35">
        <v>0.32083333333333336</v>
      </c>
      <c r="D299" s="35"/>
      <c r="E299" s="35" t="s">
        <v>111</v>
      </c>
      <c r="F299" s="37">
        <v>2</v>
      </c>
      <c r="G299" s="42" t="str">
        <f>VLOOKUP(F299,Key!$A$17:$B$21,2,FALSE)</f>
        <v>Road Vehicle</v>
      </c>
      <c r="H299" s="36">
        <v>4</v>
      </c>
      <c r="I299" s="43" t="str">
        <f>VLOOKUP(H299,Key!$A$2:$B$13,2,FALSE)</f>
        <v>Minibus</v>
      </c>
      <c r="J299" s="37" t="s">
        <v>123</v>
      </c>
      <c r="K299" s="37">
        <v>1</v>
      </c>
      <c r="L299" s="45" t="str">
        <f>VLOOKUP(K299,Key!$A$24:$B$29,2,FALSE)</f>
        <v>20-29</v>
      </c>
      <c r="M299" s="37" t="s">
        <v>167</v>
      </c>
      <c r="N299" s="32" t="s">
        <v>167</v>
      </c>
      <c r="O299" s="37" t="s">
        <v>168</v>
      </c>
      <c r="P299" s="39">
        <v>2</v>
      </c>
      <c r="Q299" s="34" t="str">
        <f>VLOOKUP(P299,Key!$E$2:$F$9,2,FALSE)</f>
        <v>Work</v>
      </c>
      <c r="R299" s="37" t="s">
        <v>176</v>
      </c>
      <c r="S299" s="32" t="s">
        <v>176</v>
      </c>
      <c r="T299" s="37" t="s">
        <v>168</v>
      </c>
      <c r="U299" s="32">
        <v>4</v>
      </c>
      <c r="V299" s="34" t="str">
        <f>VLOOKUP(U299,Key!$E$2:$F$9,2,FALSE)</f>
        <v>Commercial</v>
      </c>
      <c r="W299" s="34" t="str">
        <f t="shared" si="10"/>
        <v>Work-Commercial</v>
      </c>
      <c r="X299" s="47">
        <v>70000</v>
      </c>
      <c r="Y299" s="38">
        <v>80</v>
      </c>
      <c r="Z299" s="38">
        <v>3</v>
      </c>
      <c r="AA299" s="32">
        <v>10</v>
      </c>
      <c r="AB299" s="34" t="str">
        <f>VLOOKUP(AA299,Key!$C$20:$D$29,2,FALSE)</f>
        <v>Other</v>
      </c>
      <c r="AC299" s="32">
        <v>2</v>
      </c>
      <c r="AD299" s="34" t="str">
        <f>VLOOKUP(AC299,Key!$E$20:$F$24,2,FALSE)</f>
        <v>300,000-500,000</v>
      </c>
      <c r="AE299" s="32">
        <v>3</v>
      </c>
      <c r="AF299" s="55">
        <v>3</v>
      </c>
      <c r="AG299" s="55">
        <v>3</v>
      </c>
      <c r="AH299" s="55">
        <v>3</v>
      </c>
      <c r="AI299" s="55"/>
      <c r="AJ299" s="39" t="s">
        <v>104</v>
      </c>
      <c r="AK299" s="40"/>
      <c r="AL299" s="24"/>
      <c r="AM299" s="24"/>
    </row>
    <row r="300" spans="2:39" x14ac:dyDescent="0.2">
      <c r="B300" s="50">
        <v>43687</v>
      </c>
      <c r="C300" s="35">
        <v>0.35416666666666669</v>
      </c>
      <c r="D300" s="35"/>
      <c r="E300" s="35" t="s">
        <v>111</v>
      </c>
      <c r="F300" s="37">
        <v>2</v>
      </c>
      <c r="G300" s="42" t="str">
        <f>VLOOKUP(F300,Key!$A$17:$B$21,2,FALSE)</f>
        <v>Road Vehicle</v>
      </c>
      <c r="H300" s="36">
        <v>4</v>
      </c>
      <c r="I300" s="43" t="str">
        <f>VLOOKUP(H300,Key!$A$2:$B$13,2,FALSE)</f>
        <v>Minibus</v>
      </c>
      <c r="J300" s="37" t="s">
        <v>123</v>
      </c>
      <c r="K300" s="37">
        <v>1</v>
      </c>
      <c r="L300" s="45" t="str">
        <f>VLOOKUP(K300,Key!$A$24:$B$29,2,FALSE)</f>
        <v>20-29</v>
      </c>
      <c r="M300" s="44" t="s">
        <v>179</v>
      </c>
      <c r="N300" s="44" t="s">
        <v>179</v>
      </c>
      <c r="O300" s="37" t="s">
        <v>168</v>
      </c>
      <c r="P300" s="39">
        <v>2</v>
      </c>
      <c r="Q300" s="34" t="str">
        <f>VLOOKUP(P300,Key!$E$2:$F$9,2,FALSE)</f>
        <v>Work</v>
      </c>
      <c r="R300" s="37" t="s">
        <v>176</v>
      </c>
      <c r="S300" s="32" t="s">
        <v>176</v>
      </c>
      <c r="T300" s="37" t="s">
        <v>168</v>
      </c>
      <c r="U300" s="32">
        <v>2</v>
      </c>
      <c r="V300" s="34" t="str">
        <f>VLOOKUP(U300,Key!$E$2:$F$9,2,FALSE)</f>
        <v>Work</v>
      </c>
      <c r="W300" s="34" t="str">
        <f t="shared" si="10"/>
        <v>Work-Work</v>
      </c>
      <c r="X300" s="47">
        <v>30000</v>
      </c>
      <c r="Y300" s="38">
        <v>100</v>
      </c>
      <c r="Z300" s="38">
        <v>3</v>
      </c>
      <c r="AA300" s="32">
        <v>10</v>
      </c>
      <c r="AB300" s="34" t="str">
        <f>VLOOKUP(AA300,Key!$C$20:$D$29,2,FALSE)</f>
        <v>Other</v>
      </c>
      <c r="AC300" s="32">
        <v>2</v>
      </c>
      <c r="AD300" s="34" t="str">
        <f>VLOOKUP(AC300,Key!$E$20:$F$24,2,FALSE)</f>
        <v>300,000-500,000</v>
      </c>
      <c r="AE300" s="32">
        <v>1</v>
      </c>
      <c r="AF300" s="55">
        <v>1</v>
      </c>
      <c r="AG300" s="55">
        <v>1</v>
      </c>
      <c r="AH300" s="55">
        <v>1</v>
      </c>
      <c r="AI300" s="55">
        <v>1</v>
      </c>
      <c r="AJ300" s="39" t="s">
        <v>104</v>
      </c>
      <c r="AK300" s="40">
        <v>3000</v>
      </c>
      <c r="AL300" s="24"/>
      <c r="AM300" s="24"/>
    </row>
    <row r="301" spans="2:39" x14ac:dyDescent="0.2">
      <c r="B301" s="50">
        <v>43687</v>
      </c>
      <c r="C301" s="35">
        <v>0.40277777777777773</v>
      </c>
      <c r="D301" s="35"/>
      <c r="E301" s="35" t="s">
        <v>111</v>
      </c>
      <c r="F301" s="37">
        <v>2</v>
      </c>
      <c r="G301" s="42" t="str">
        <f>VLOOKUP(F301,Key!$A$17:$B$21,2,FALSE)</f>
        <v>Road Vehicle</v>
      </c>
      <c r="H301" s="36">
        <v>4</v>
      </c>
      <c r="I301" s="43" t="str">
        <f>VLOOKUP(H301,Key!$A$2:$B$13,2,FALSE)</f>
        <v>Minibus</v>
      </c>
      <c r="J301" s="37" t="s">
        <v>123</v>
      </c>
      <c r="K301" s="37">
        <v>1</v>
      </c>
      <c r="L301" s="45" t="str">
        <f>VLOOKUP(K301,Key!$A$24:$B$29,2,FALSE)</f>
        <v>20-29</v>
      </c>
      <c r="M301" s="44" t="s">
        <v>179</v>
      </c>
      <c r="N301" s="44" t="s">
        <v>179</v>
      </c>
      <c r="O301" s="37" t="s">
        <v>168</v>
      </c>
      <c r="P301" s="39">
        <v>2</v>
      </c>
      <c r="Q301" s="34" t="str">
        <f>VLOOKUP(P301,Key!$E$2:$F$9,2,FALSE)</f>
        <v>Work</v>
      </c>
      <c r="R301" s="37" t="s">
        <v>230</v>
      </c>
      <c r="S301" s="32" t="s">
        <v>176</v>
      </c>
      <c r="T301" s="37" t="s">
        <v>168</v>
      </c>
      <c r="U301" s="32">
        <v>2</v>
      </c>
      <c r="V301" s="34" t="str">
        <f>VLOOKUP(U301,Key!$E$2:$F$9,2,FALSE)</f>
        <v>Work</v>
      </c>
      <c r="W301" s="34" t="str">
        <f t="shared" si="10"/>
        <v>Work-Work</v>
      </c>
      <c r="X301" s="47">
        <v>30000</v>
      </c>
      <c r="Y301" s="38">
        <v>100</v>
      </c>
      <c r="Z301" s="38">
        <v>3</v>
      </c>
      <c r="AA301" s="32">
        <v>10</v>
      </c>
      <c r="AB301" s="34" t="str">
        <f>VLOOKUP(AA301,Key!$C$20:$D$29,2,FALSE)</f>
        <v>Other</v>
      </c>
      <c r="AC301" s="32">
        <v>2</v>
      </c>
      <c r="AD301" s="34" t="str">
        <f>VLOOKUP(AC301,Key!$E$20:$F$24,2,FALSE)</f>
        <v>300,000-500,000</v>
      </c>
      <c r="AE301" s="32">
        <v>1</v>
      </c>
      <c r="AF301" s="55">
        <v>1</v>
      </c>
      <c r="AG301" s="55">
        <v>1</v>
      </c>
      <c r="AH301" s="55">
        <v>1</v>
      </c>
      <c r="AI301" s="55">
        <v>1</v>
      </c>
      <c r="AJ301" s="39" t="s">
        <v>104</v>
      </c>
      <c r="AK301" s="40">
        <v>3000</v>
      </c>
      <c r="AL301" s="24"/>
      <c r="AM301" s="24"/>
    </row>
    <row r="302" spans="2:39" x14ac:dyDescent="0.2">
      <c r="B302" s="50">
        <v>43687</v>
      </c>
      <c r="C302" s="35">
        <v>0.3125</v>
      </c>
      <c r="D302" s="35"/>
      <c r="E302" s="35" t="s">
        <v>111</v>
      </c>
      <c r="F302" s="37">
        <v>2</v>
      </c>
      <c r="G302" s="42" t="str">
        <f>VLOOKUP(F302,Key!$A$17:$B$21,2,FALSE)</f>
        <v>Road Vehicle</v>
      </c>
      <c r="H302" s="36">
        <v>4</v>
      </c>
      <c r="I302" s="43" t="str">
        <f>VLOOKUP(H302,Key!$A$2:$B$13,2,FALSE)</f>
        <v>Minibus</v>
      </c>
      <c r="J302" s="37" t="s">
        <v>123</v>
      </c>
      <c r="K302" s="37">
        <v>2</v>
      </c>
      <c r="L302" s="45" t="str">
        <f>VLOOKUP(K302,Key!$A$24:$B$29,2,FALSE)</f>
        <v>30-39</v>
      </c>
      <c r="M302" s="37" t="s">
        <v>167</v>
      </c>
      <c r="N302" s="32" t="s">
        <v>167</v>
      </c>
      <c r="O302" s="37" t="s">
        <v>168</v>
      </c>
      <c r="P302" s="39">
        <v>1</v>
      </c>
      <c r="Q302" s="34" t="str">
        <f>VLOOKUP(P302,Key!$E$2:$F$9,2,FALSE)</f>
        <v>Home</v>
      </c>
      <c r="R302" s="37" t="s">
        <v>173</v>
      </c>
      <c r="S302" s="32" t="s">
        <v>173</v>
      </c>
      <c r="T302" s="37" t="s">
        <v>168</v>
      </c>
      <c r="U302" s="32">
        <v>2</v>
      </c>
      <c r="V302" s="34" t="str">
        <f>VLOOKUP(U302,Key!$E$2:$F$9,2,FALSE)</f>
        <v>Work</v>
      </c>
      <c r="W302" s="34" t="str">
        <f t="shared" si="10"/>
        <v>Home-Work</v>
      </c>
      <c r="X302" s="47">
        <v>40000</v>
      </c>
      <c r="Y302" s="38">
        <v>60</v>
      </c>
      <c r="Z302" s="38">
        <v>1</v>
      </c>
      <c r="AA302" s="32">
        <v>10</v>
      </c>
      <c r="AB302" s="34" t="str">
        <f>VLOOKUP(AA302,Key!$C$20:$D$29,2,FALSE)</f>
        <v>Other</v>
      </c>
      <c r="AC302" s="32">
        <v>2</v>
      </c>
      <c r="AD302" s="34" t="str">
        <f>VLOOKUP(AC302,Key!$E$20:$F$24,2,FALSE)</f>
        <v>300,000-500,000</v>
      </c>
      <c r="AE302" s="32">
        <v>1</v>
      </c>
      <c r="AF302" s="55">
        <v>3</v>
      </c>
      <c r="AG302" s="55">
        <v>5</v>
      </c>
      <c r="AH302" s="55">
        <v>2</v>
      </c>
      <c r="AI302" s="55">
        <v>4</v>
      </c>
      <c r="AJ302" s="39" t="s">
        <v>104</v>
      </c>
      <c r="AK302" s="40"/>
      <c r="AL302" s="24"/>
      <c r="AM302" s="24"/>
    </row>
    <row r="303" spans="2:39" x14ac:dyDescent="0.2">
      <c r="B303" s="50">
        <v>43687</v>
      </c>
      <c r="C303" s="35">
        <v>0.3923611111111111</v>
      </c>
      <c r="D303" s="35"/>
      <c r="E303" s="35" t="s">
        <v>111</v>
      </c>
      <c r="F303" s="37">
        <v>2</v>
      </c>
      <c r="G303" s="42" t="str">
        <f>VLOOKUP(F303,Key!$A$17:$B$21,2,FALSE)</f>
        <v>Road Vehicle</v>
      </c>
      <c r="H303" s="36">
        <v>4</v>
      </c>
      <c r="I303" s="43" t="str">
        <f>VLOOKUP(H303,Key!$A$2:$B$13,2,FALSE)</f>
        <v>Minibus</v>
      </c>
      <c r="J303" s="37" t="s">
        <v>123</v>
      </c>
      <c r="K303" s="37">
        <v>2</v>
      </c>
      <c r="L303" s="45" t="str">
        <f>VLOOKUP(K303,Key!$A$24:$B$29,2,FALSE)</f>
        <v>30-39</v>
      </c>
      <c r="M303" s="37" t="s">
        <v>244</v>
      </c>
      <c r="N303" s="32" t="s">
        <v>173</v>
      </c>
      <c r="O303" s="37" t="s">
        <v>168</v>
      </c>
      <c r="P303" s="39">
        <v>1</v>
      </c>
      <c r="Q303" s="34" t="str">
        <f>VLOOKUP(P303,Key!$E$2:$F$9,2,FALSE)</f>
        <v>Home</v>
      </c>
      <c r="R303" s="37" t="s">
        <v>167</v>
      </c>
      <c r="S303" s="32" t="s">
        <v>167</v>
      </c>
      <c r="T303" s="37" t="s">
        <v>168</v>
      </c>
      <c r="U303" s="32">
        <v>2</v>
      </c>
      <c r="V303" s="34" t="str">
        <f>VLOOKUP(U303,Key!$E$2:$F$9,2,FALSE)</f>
        <v>Work</v>
      </c>
      <c r="W303" s="34" t="str">
        <f t="shared" si="10"/>
        <v>Home-Work</v>
      </c>
      <c r="X303" s="47">
        <v>70000</v>
      </c>
      <c r="Y303" s="38">
        <v>60</v>
      </c>
      <c r="Z303" s="38">
        <v>1.5</v>
      </c>
      <c r="AA303" s="32">
        <v>10</v>
      </c>
      <c r="AB303" s="34" t="str">
        <f>VLOOKUP(AA303,Key!$C$20:$D$29,2,FALSE)</f>
        <v>Other</v>
      </c>
      <c r="AC303" s="32">
        <v>2</v>
      </c>
      <c r="AD303" s="34" t="str">
        <f>VLOOKUP(AC303,Key!$E$20:$F$24,2,FALSE)</f>
        <v>300,000-500,000</v>
      </c>
      <c r="AE303" s="32">
        <v>3</v>
      </c>
      <c r="AF303" s="55">
        <v>4</v>
      </c>
      <c r="AG303" s="55">
        <v>4</v>
      </c>
      <c r="AH303" s="55">
        <v>4</v>
      </c>
      <c r="AI303" s="55">
        <v>4</v>
      </c>
      <c r="AJ303" s="39" t="s">
        <v>104</v>
      </c>
      <c r="AK303" s="40"/>
      <c r="AL303" s="24"/>
      <c r="AM303" s="24"/>
    </row>
    <row r="304" spans="2:39" x14ac:dyDescent="0.2">
      <c r="B304" s="50">
        <v>43686</v>
      </c>
      <c r="C304" s="35">
        <v>0.66319444444444442</v>
      </c>
      <c r="D304" s="35"/>
      <c r="E304" s="35" t="s">
        <v>111</v>
      </c>
      <c r="F304" s="37">
        <v>2</v>
      </c>
      <c r="G304" s="42" t="str">
        <f>VLOOKUP(F304,Key!$A$17:$B$21,2,FALSE)</f>
        <v>Road Vehicle</v>
      </c>
      <c r="H304" s="36">
        <v>4</v>
      </c>
      <c r="I304" s="43" t="str">
        <f>VLOOKUP(H304,Key!$A$2:$B$13,2,FALSE)</f>
        <v>Minibus</v>
      </c>
      <c r="J304" s="37" t="s">
        <v>123</v>
      </c>
      <c r="K304" s="13">
        <v>2</v>
      </c>
      <c r="L304" s="45" t="str">
        <f>VLOOKUP(K304,Key!$A$24:$B$29,2,FALSE)</f>
        <v>30-39</v>
      </c>
      <c r="M304" s="44" t="s">
        <v>189</v>
      </c>
      <c r="N304" s="44" t="s">
        <v>190</v>
      </c>
      <c r="O304" s="37" t="s">
        <v>168</v>
      </c>
      <c r="P304" s="39">
        <v>2</v>
      </c>
      <c r="Q304" s="34" t="str">
        <f>VLOOKUP(P304,Key!$E$2:$F$9,2,FALSE)</f>
        <v>Work</v>
      </c>
      <c r="R304" s="37" t="s">
        <v>179</v>
      </c>
      <c r="S304" s="32" t="s">
        <v>179</v>
      </c>
      <c r="T304" s="37" t="s">
        <v>168</v>
      </c>
      <c r="U304" s="32">
        <v>2</v>
      </c>
      <c r="V304" s="34" t="str">
        <f>VLOOKUP(U304,Key!$E$2:$F$9,2,FALSE)</f>
        <v>Work</v>
      </c>
      <c r="W304" s="34" t="str">
        <f t="shared" si="10"/>
        <v>Work-Work</v>
      </c>
      <c r="X304" s="47">
        <v>40000</v>
      </c>
      <c r="Y304" s="38">
        <v>70</v>
      </c>
      <c r="Z304" s="38">
        <v>2</v>
      </c>
      <c r="AA304" s="32">
        <v>10</v>
      </c>
      <c r="AB304" s="34" t="str">
        <f>VLOOKUP(AA304,Key!$C$20:$D$29,2,FALSE)</f>
        <v>Other</v>
      </c>
      <c r="AC304" s="32">
        <v>1</v>
      </c>
      <c r="AD304" s="34" t="str">
        <f>VLOOKUP(AC304,Key!$E$20:$F$24,2,FALSE)</f>
        <v>&lt;300,000</v>
      </c>
      <c r="AE304" s="32">
        <v>1</v>
      </c>
      <c r="AF304" s="55">
        <v>1</v>
      </c>
      <c r="AG304" s="55">
        <v>2</v>
      </c>
      <c r="AH304" s="55">
        <v>1</v>
      </c>
      <c r="AI304" s="55">
        <v>1</v>
      </c>
      <c r="AJ304" s="39" t="s">
        <v>104</v>
      </c>
      <c r="AK304" s="40">
        <v>2000</v>
      </c>
      <c r="AL304" s="24"/>
      <c r="AM304" s="24"/>
    </row>
    <row r="305" spans="2:39" x14ac:dyDescent="0.2">
      <c r="B305" s="50">
        <v>43686</v>
      </c>
      <c r="C305" s="35">
        <v>0.65416666666666667</v>
      </c>
      <c r="D305" s="35"/>
      <c r="E305" s="35" t="s">
        <v>111</v>
      </c>
      <c r="F305" s="37">
        <v>2</v>
      </c>
      <c r="G305" s="42" t="str">
        <f>VLOOKUP(F305,Key!$A$17:$B$21,2,FALSE)</f>
        <v>Road Vehicle</v>
      </c>
      <c r="H305" s="36">
        <v>4</v>
      </c>
      <c r="I305" s="43" t="str">
        <f>VLOOKUP(H305,Key!$A$2:$B$13,2,FALSE)</f>
        <v>Minibus</v>
      </c>
      <c r="J305" s="37" t="s">
        <v>123</v>
      </c>
      <c r="K305" s="37">
        <v>2</v>
      </c>
      <c r="L305" s="45" t="str">
        <f>VLOOKUP(K305,Key!$A$24:$B$29,2,FALSE)</f>
        <v>30-39</v>
      </c>
      <c r="M305" s="44" t="s">
        <v>228</v>
      </c>
      <c r="N305" s="44" t="s">
        <v>167</v>
      </c>
      <c r="O305" s="37" t="s">
        <v>168</v>
      </c>
      <c r="P305" s="39">
        <v>2</v>
      </c>
      <c r="Q305" s="34" t="str">
        <f>VLOOKUP(P305,Key!$E$2:$F$9,2,FALSE)</f>
        <v>Work</v>
      </c>
      <c r="R305" s="37" t="s">
        <v>201</v>
      </c>
      <c r="S305" s="32" t="s">
        <v>176</v>
      </c>
      <c r="T305" s="37" t="s">
        <v>168</v>
      </c>
      <c r="U305" s="32">
        <v>2</v>
      </c>
      <c r="V305" s="34" t="str">
        <f>VLOOKUP(U305,Key!$E$2:$F$9,2,FALSE)</f>
        <v>Work</v>
      </c>
      <c r="W305" s="34" t="str">
        <f t="shared" si="10"/>
        <v>Work-Work</v>
      </c>
      <c r="X305" s="47">
        <v>30000</v>
      </c>
      <c r="Y305" s="38">
        <v>70</v>
      </c>
      <c r="Z305" s="38">
        <v>2.5</v>
      </c>
      <c r="AA305" s="32">
        <v>10</v>
      </c>
      <c r="AB305" s="34" t="str">
        <f>VLOOKUP(AA305,Key!$C$20:$D$29,2,FALSE)</f>
        <v>Other</v>
      </c>
      <c r="AC305" s="32">
        <v>2</v>
      </c>
      <c r="AD305" s="34" t="str">
        <f>VLOOKUP(AC305,Key!$E$20:$F$24,2,FALSE)</f>
        <v>300,000-500,000</v>
      </c>
      <c r="AE305" s="32">
        <v>1</v>
      </c>
      <c r="AF305" s="55">
        <v>1</v>
      </c>
      <c r="AG305" s="55">
        <v>1</v>
      </c>
      <c r="AH305" s="55">
        <v>1</v>
      </c>
      <c r="AI305" s="55">
        <v>1</v>
      </c>
      <c r="AJ305" s="39" t="s">
        <v>104</v>
      </c>
      <c r="AK305" s="40"/>
      <c r="AL305" s="24"/>
      <c r="AM305" s="24"/>
    </row>
    <row r="306" spans="2:39" x14ac:dyDescent="0.2">
      <c r="B306" s="50">
        <v>43688</v>
      </c>
      <c r="C306" s="35">
        <v>0.69166666666666676</v>
      </c>
      <c r="D306" s="35"/>
      <c r="E306" s="35" t="s">
        <v>111</v>
      </c>
      <c r="F306" s="37">
        <v>2</v>
      </c>
      <c r="G306" s="42" t="str">
        <f>VLOOKUP(F306,Key!$A$17:$B$21,2,FALSE)</f>
        <v>Road Vehicle</v>
      </c>
      <c r="H306" s="36">
        <v>4</v>
      </c>
      <c r="I306" s="43" t="str">
        <f>VLOOKUP(H306,Key!$A$2:$B$13,2,FALSE)</f>
        <v>Minibus</v>
      </c>
      <c r="J306" s="37" t="s">
        <v>123</v>
      </c>
      <c r="K306" s="37">
        <v>2</v>
      </c>
      <c r="L306" s="45" t="str">
        <f>VLOOKUP(K306,Key!$A$24:$B$29,2,FALSE)</f>
        <v>30-39</v>
      </c>
      <c r="M306" s="44" t="s">
        <v>167</v>
      </c>
      <c r="N306" s="44" t="s">
        <v>167</v>
      </c>
      <c r="O306" s="37" t="s">
        <v>168</v>
      </c>
      <c r="P306" s="39">
        <v>2</v>
      </c>
      <c r="Q306" s="34" t="str">
        <f>VLOOKUP(P306,Key!$E$2:$F$9,2,FALSE)</f>
        <v>Work</v>
      </c>
      <c r="R306" s="37" t="s">
        <v>176</v>
      </c>
      <c r="S306" s="32" t="s">
        <v>176</v>
      </c>
      <c r="T306" s="37" t="s">
        <v>168</v>
      </c>
      <c r="U306" s="32">
        <v>2</v>
      </c>
      <c r="V306" s="34" t="str">
        <f>VLOOKUP(U306,Key!$E$2:$F$9,2,FALSE)</f>
        <v>Work</v>
      </c>
      <c r="W306" s="34" t="str">
        <f t="shared" si="10"/>
        <v>Work-Work</v>
      </c>
      <c r="X306" s="47">
        <v>40000</v>
      </c>
      <c r="Y306" s="38">
        <v>70</v>
      </c>
      <c r="Z306" s="38">
        <v>3</v>
      </c>
      <c r="AA306" s="32">
        <v>10</v>
      </c>
      <c r="AB306" s="34" t="str">
        <f>VLOOKUP(AA306,Key!$C$20:$D$29,2,FALSE)</f>
        <v>Other</v>
      </c>
      <c r="AC306" s="32">
        <v>1</v>
      </c>
      <c r="AD306" s="34" t="str">
        <f>VLOOKUP(AC306,Key!$E$20:$F$24,2,FALSE)</f>
        <v>&lt;300,000</v>
      </c>
      <c r="AE306" s="32">
        <v>1</v>
      </c>
      <c r="AF306" s="55">
        <v>1</v>
      </c>
      <c r="AG306" s="55">
        <v>1</v>
      </c>
      <c r="AH306" s="55">
        <v>1</v>
      </c>
      <c r="AI306" s="55">
        <v>1</v>
      </c>
      <c r="AJ306" s="39" t="s">
        <v>104</v>
      </c>
      <c r="AK306" s="40">
        <v>2000</v>
      </c>
      <c r="AL306" s="24"/>
      <c r="AM306" s="24"/>
    </row>
    <row r="307" spans="2:39" x14ac:dyDescent="0.2">
      <c r="B307" s="50">
        <v>43690</v>
      </c>
      <c r="C307" s="35">
        <v>0.375</v>
      </c>
      <c r="D307" s="35"/>
      <c r="E307" s="35" t="s">
        <v>111</v>
      </c>
      <c r="F307" s="37">
        <v>2</v>
      </c>
      <c r="G307" s="42" t="str">
        <f>VLOOKUP(F307,Key!$A$17:$B$21,2,FALSE)</f>
        <v>Road Vehicle</v>
      </c>
      <c r="H307" s="36">
        <v>4</v>
      </c>
      <c r="I307" s="43" t="str">
        <f>VLOOKUP(H307,Key!$A$2:$B$13,2,FALSE)</f>
        <v>Minibus</v>
      </c>
      <c r="J307" s="37" t="s">
        <v>123</v>
      </c>
      <c r="K307" s="37">
        <v>2</v>
      </c>
      <c r="L307" s="45" t="str">
        <f>VLOOKUP(K307,Key!$A$24:$B$29,2,FALSE)</f>
        <v>30-39</v>
      </c>
      <c r="M307" s="44" t="s">
        <v>167</v>
      </c>
      <c r="N307" s="44" t="s">
        <v>167</v>
      </c>
      <c r="O307" s="37" t="s">
        <v>168</v>
      </c>
      <c r="P307" s="39">
        <v>2</v>
      </c>
      <c r="Q307" s="34" t="str">
        <f>VLOOKUP(P307,Key!$E$2:$F$9,2,FALSE)</f>
        <v>Work</v>
      </c>
      <c r="R307" s="37" t="s">
        <v>176</v>
      </c>
      <c r="S307" s="32" t="s">
        <v>176</v>
      </c>
      <c r="T307" s="37" t="s">
        <v>168</v>
      </c>
      <c r="U307" s="32">
        <v>2</v>
      </c>
      <c r="V307" s="34" t="str">
        <f>VLOOKUP(U307,Key!$E$2:$F$9,2,FALSE)</f>
        <v>Work</v>
      </c>
      <c r="W307" s="34" t="str">
        <f t="shared" si="10"/>
        <v>Work-Work</v>
      </c>
      <c r="X307" s="47">
        <v>40000</v>
      </c>
      <c r="Y307" s="38">
        <v>70</v>
      </c>
      <c r="Z307" s="38">
        <v>3</v>
      </c>
      <c r="AA307" s="32">
        <v>10</v>
      </c>
      <c r="AB307" s="34" t="str">
        <f>VLOOKUP(AA307,Key!$C$20:$D$29,2,FALSE)</f>
        <v>Other</v>
      </c>
      <c r="AC307" s="32">
        <v>1</v>
      </c>
      <c r="AD307" s="34" t="str">
        <f>VLOOKUP(AC307,Key!$E$20:$F$24,2,FALSE)</f>
        <v>&lt;300,000</v>
      </c>
      <c r="AE307" s="32">
        <v>1</v>
      </c>
      <c r="AF307" s="55">
        <v>1</v>
      </c>
      <c r="AG307" s="55">
        <v>1</v>
      </c>
      <c r="AH307" s="55">
        <v>1</v>
      </c>
      <c r="AI307" s="55">
        <v>1</v>
      </c>
      <c r="AJ307" s="39" t="s">
        <v>104</v>
      </c>
      <c r="AK307" s="40">
        <v>2000</v>
      </c>
      <c r="AL307" s="24"/>
      <c r="AM307" s="24"/>
    </row>
    <row r="308" spans="2:39" x14ac:dyDescent="0.2">
      <c r="B308" s="50">
        <v>43690</v>
      </c>
      <c r="C308" s="35">
        <v>0.73333333333333339</v>
      </c>
      <c r="D308" s="35"/>
      <c r="E308" s="35" t="s">
        <v>111</v>
      </c>
      <c r="F308" s="37">
        <v>2</v>
      </c>
      <c r="G308" s="42" t="str">
        <f>VLOOKUP(F308,Key!$A$17:$B$21,2,FALSE)</f>
        <v>Road Vehicle</v>
      </c>
      <c r="H308" s="36">
        <v>4</v>
      </c>
      <c r="I308" s="43" t="str">
        <f>VLOOKUP(H308,Key!$A$2:$B$13,2,FALSE)</f>
        <v>Minibus</v>
      </c>
      <c r="J308" s="37" t="s">
        <v>123</v>
      </c>
      <c r="K308" s="37">
        <v>2</v>
      </c>
      <c r="L308" s="45" t="str">
        <f>VLOOKUP(K308,Key!$A$24:$B$29,2,FALSE)</f>
        <v>30-39</v>
      </c>
      <c r="M308" s="37" t="s">
        <v>247</v>
      </c>
      <c r="N308" s="32" t="s">
        <v>167</v>
      </c>
      <c r="O308" s="37" t="s">
        <v>168</v>
      </c>
      <c r="P308" s="39">
        <v>2</v>
      </c>
      <c r="Q308" s="34" t="str">
        <f>VLOOKUP(P308,Key!$E$2:$F$9,2,FALSE)</f>
        <v>Work</v>
      </c>
      <c r="R308" s="37" t="s">
        <v>176</v>
      </c>
      <c r="S308" s="32" t="s">
        <v>176</v>
      </c>
      <c r="T308" s="37" t="s">
        <v>168</v>
      </c>
      <c r="U308" s="32">
        <v>2</v>
      </c>
      <c r="V308" s="34" t="str">
        <f>VLOOKUP(U308,Key!$E$2:$F$9,2,FALSE)</f>
        <v>Work</v>
      </c>
      <c r="W308" s="34" t="str">
        <f t="shared" si="10"/>
        <v>Work-Work</v>
      </c>
      <c r="X308" s="47">
        <v>60000</v>
      </c>
      <c r="Y308" s="38">
        <v>70</v>
      </c>
      <c r="Z308" s="38">
        <v>3</v>
      </c>
      <c r="AA308" s="32">
        <v>10</v>
      </c>
      <c r="AB308" s="34" t="str">
        <f>VLOOKUP(AA308,Key!$C$20:$D$29,2,FALSE)</f>
        <v>Other</v>
      </c>
      <c r="AC308" s="32">
        <v>1</v>
      </c>
      <c r="AD308" s="34" t="str">
        <f>VLOOKUP(AC308,Key!$E$20:$F$24,2,FALSE)</f>
        <v>&lt;300,000</v>
      </c>
      <c r="AE308" s="32">
        <v>1</v>
      </c>
      <c r="AF308" s="55">
        <v>1</v>
      </c>
      <c r="AG308" s="55">
        <v>1</v>
      </c>
      <c r="AH308" s="55">
        <v>2</v>
      </c>
      <c r="AI308" s="55">
        <v>1</v>
      </c>
      <c r="AJ308" s="39" t="s">
        <v>104</v>
      </c>
      <c r="AK308" s="40">
        <v>1000</v>
      </c>
      <c r="AL308" s="24"/>
      <c r="AM308" s="24"/>
    </row>
    <row r="309" spans="2:39" x14ac:dyDescent="0.2">
      <c r="B309" s="50">
        <v>43690</v>
      </c>
      <c r="C309" s="35">
        <v>0.34097222222222223</v>
      </c>
      <c r="D309" s="35"/>
      <c r="E309" s="35" t="s">
        <v>111</v>
      </c>
      <c r="F309" s="37">
        <v>2</v>
      </c>
      <c r="G309" s="42" t="str">
        <f>VLOOKUP(F309,Key!$A$17:$B$21,2,FALSE)</f>
        <v>Road Vehicle</v>
      </c>
      <c r="H309" s="36">
        <v>4</v>
      </c>
      <c r="I309" s="43" t="str">
        <f>VLOOKUP(H309,Key!$A$2:$B$13,2,FALSE)</f>
        <v>Minibus</v>
      </c>
      <c r="J309" s="37" t="s">
        <v>123</v>
      </c>
      <c r="K309" s="37">
        <v>2</v>
      </c>
      <c r="L309" s="45" t="str">
        <f>VLOOKUP(K309,Key!$A$24:$B$29,2,FALSE)</f>
        <v>30-39</v>
      </c>
      <c r="M309" s="37" t="s">
        <v>228</v>
      </c>
      <c r="N309" s="32" t="s">
        <v>167</v>
      </c>
      <c r="O309" s="37" t="s">
        <v>168</v>
      </c>
      <c r="P309" s="39">
        <v>2</v>
      </c>
      <c r="Q309" s="34" t="str">
        <f>VLOOKUP(P309,Key!$E$2:$F$9,2,FALSE)</f>
        <v>Work</v>
      </c>
      <c r="R309" s="37" t="s">
        <v>219</v>
      </c>
      <c r="S309" s="32" t="s">
        <v>176</v>
      </c>
      <c r="T309" s="37" t="s">
        <v>168</v>
      </c>
      <c r="U309" s="32">
        <v>4</v>
      </c>
      <c r="V309" s="34" t="str">
        <f>VLOOKUP(U309,Key!$E$2:$F$9,2,FALSE)</f>
        <v>Commercial</v>
      </c>
      <c r="W309" s="34" t="str">
        <f t="shared" si="10"/>
        <v>Work-Commercial</v>
      </c>
      <c r="X309" s="47">
        <v>30000</v>
      </c>
      <c r="Y309" s="38">
        <v>70</v>
      </c>
      <c r="Z309" s="38">
        <v>3</v>
      </c>
      <c r="AA309" s="32">
        <v>10</v>
      </c>
      <c r="AB309" s="34" t="str">
        <f>VLOOKUP(AA309,Key!$C$20:$D$29,2,FALSE)</f>
        <v>Other</v>
      </c>
      <c r="AC309" s="32">
        <v>1</v>
      </c>
      <c r="AD309" s="34" t="str">
        <f>VLOOKUP(AC309,Key!$E$20:$F$24,2,FALSE)</f>
        <v>&lt;300,000</v>
      </c>
      <c r="AE309" s="32">
        <v>1</v>
      </c>
      <c r="AF309" s="55">
        <v>1</v>
      </c>
      <c r="AG309" s="55">
        <v>1</v>
      </c>
      <c r="AH309" s="55">
        <v>1</v>
      </c>
      <c r="AI309" s="55">
        <v>1</v>
      </c>
      <c r="AJ309" s="39" t="s">
        <v>104</v>
      </c>
      <c r="AK309" s="40">
        <v>1000</v>
      </c>
      <c r="AL309" s="24"/>
      <c r="AM309" s="24"/>
    </row>
    <row r="310" spans="2:39" x14ac:dyDescent="0.2">
      <c r="B310" s="50">
        <v>43689</v>
      </c>
      <c r="C310" s="35">
        <v>0.49652777777777773</v>
      </c>
      <c r="D310" s="35"/>
      <c r="E310" s="35" t="s">
        <v>111</v>
      </c>
      <c r="F310" s="37">
        <v>2</v>
      </c>
      <c r="G310" s="42" t="str">
        <f>VLOOKUP(F310,Key!$A$17:$B$21,2,FALSE)</f>
        <v>Road Vehicle</v>
      </c>
      <c r="H310" s="36">
        <v>4</v>
      </c>
      <c r="I310" s="43" t="str">
        <f>VLOOKUP(H310,Key!$A$2:$B$13,2,FALSE)</f>
        <v>Minibus</v>
      </c>
      <c r="J310" s="37" t="s">
        <v>123</v>
      </c>
      <c r="K310" s="13">
        <v>2</v>
      </c>
      <c r="L310" s="45" t="str">
        <f>VLOOKUP(K310,Key!$A$24:$B$29,2,FALSE)</f>
        <v>30-39</v>
      </c>
      <c r="M310" s="44" t="s">
        <v>189</v>
      </c>
      <c r="N310" s="44" t="s">
        <v>190</v>
      </c>
      <c r="O310" s="37" t="s">
        <v>168</v>
      </c>
      <c r="P310" s="39">
        <v>2</v>
      </c>
      <c r="Q310" s="34" t="str">
        <f>VLOOKUP(P310,Key!$E$2:$F$9,2,FALSE)</f>
        <v>Work</v>
      </c>
      <c r="R310" s="37" t="s">
        <v>179</v>
      </c>
      <c r="S310" s="32" t="s">
        <v>179</v>
      </c>
      <c r="T310" s="37" t="s">
        <v>168</v>
      </c>
      <c r="U310" s="32">
        <v>2</v>
      </c>
      <c r="V310" s="34" t="str">
        <f>VLOOKUP(U310,Key!$E$2:$F$9,2,FALSE)</f>
        <v>Work</v>
      </c>
      <c r="W310" s="34" t="str">
        <f t="shared" si="10"/>
        <v>Work-Work</v>
      </c>
      <c r="X310" s="47">
        <v>40000</v>
      </c>
      <c r="Y310" s="38">
        <v>70</v>
      </c>
      <c r="Z310" s="38"/>
      <c r="AA310" s="32">
        <v>10</v>
      </c>
      <c r="AB310" s="34" t="str">
        <f>VLOOKUP(AA310,Key!$C$20:$D$29,2,FALSE)</f>
        <v>Other</v>
      </c>
      <c r="AC310" s="32">
        <v>1</v>
      </c>
      <c r="AD310" s="34" t="str">
        <f>VLOOKUP(AC310,Key!$E$20:$F$24,2,FALSE)</f>
        <v>&lt;300,000</v>
      </c>
      <c r="AE310" s="32">
        <v>1</v>
      </c>
      <c r="AF310" s="55">
        <v>1</v>
      </c>
      <c r="AG310" s="55">
        <v>2</v>
      </c>
      <c r="AH310" s="55">
        <v>2</v>
      </c>
      <c r="AI310" s="55">
        <v>1</v>
      </c>
      <c r="AJ310" s="39" t="s">
        <v>104</v>
      </c>
      <c r="AK310" s="40"/>
      <c r="AL310" s="24"/>
      <c r="AM310" s="24"/>
    </row>
    <row r="311" spans="2:39" x14ac:dyDescent="0.2">
      <c r="B311" s="50">
        <v>43689</v>
      </c>
      <c r="C311" s="35">
        <v>0.3576388888888889</v>
      </c>
      <c r="D311" s="35"/>
      <c r="E311" s="35" t="s">
        <v>111</v>
      </c>
      <c r="F311" s="37">
        <v>2</v>
      </c>
      <c r="G311" s="42" t="str">
        <f>VLOOKUP(F311,Key!$A$17:$B$21,2,FALSE)</f>
        <v>Road Vehicle</v>
      </c>
      <c r="H311" s="36">
        <v>4</v>
      </c>
      <c r="I311" s="43" t="str">
        <f>VLOOKUP(H311,Key!$A$2:$B$13,2,FALSE)</f>
        <v>Minibus</v>
      </c>
      <c r="J311" s="37" t="s">
        <v>123</v>
      </c>
      <c r="K311" s="37">
        <v>2</v>
      </c>
      <c r="L311" s="45" t="str">
        <f>VLOOKUP(K311,Key!$A$24:$B$29,2,FALSE)</f>
        <v>30-39</v>
      </c>
      <c r="M311" s="37" t="s">
        <v>202</v>
      </c>
      <c r="N311" s="32" t="s">
        <v>179</v>
      </c>
      <c r="O311" s="37" t="s">
        <v>168</v>
      </c>
      <c r="P311" s="39">
        <v>2</v>
      </c>
      <c r="Q311" s="34" t="str">
        <f>VLOOKUP(P311,Key!$E$2:$F$9,2,FALSE)</f>
        <v>Work</v>
      </c>
      <c r="R311" s="37" t="s">
        <v>201</v>
      </c>
      <c r="S311" s="32" t="s">
        <v>176</v>
      </c>
      <c r="T311" s="37" t="s">
        <v>168</v>
      </c>
      <c r="U311" s="32">
        <v>2</v>
      </c>
      <c r="V311" s="34" t="str">
        <f>VLOOKUP(U311,Key!$E$2:$F$9,2,FALSE)</f>
        <v>Work</v>
      </c>
      <c r="W311" s="34" t="str">
        <f t="shared" si="10"/>
        <v>Work-Work</v>
      </c>
      <c r="X311" s="47">
        <v>25000</v>
      </c>
      <c r="Y311" s="38">
        <v>80</v>
      </c>
      <c r="Z311" s="38">
        <v>2.5</v>
      </c>
      <c r="AA311" s="32">
        <v>6</v>
      </c>
      <c r="AB311" s="34" t="str">
        <f>VLOOKUP(AA311,Key!$C$20:$D$29,2,FALSE)</f>
        <v>Businessman</v>
      </c>
      <c r="AC311" s="32">
        <v>5</v>
      </c>
      <c r="AD311" s="34" t="str">
        <f>VLOOKUP(AC311,Key!$E$20:$F$24,2,FALSE)</f>
        <v>&gt;1,000,000</v>
      </c>
      <c r="AE311" s="32">
        <v>1</v>
      </c>
      <c r="AF311" s="55">
        <v>1</v>
      </c>
      <c r="AG311" s="55">
        <v>2</v>
      </c>
      <c r="AH311" s="55">
        <v>1</v>
      </c>
      <c r="AI311" s="55">
        <v>5</v>
      </c>
      <c r="AJ311" s="39" t="s">
        <v>104</v>
      </c>
      <c r="AK311" s="40">
        <v>1500</v>
      </c>
      <c r="AL311" s="24"/>
      <c r="AM311" s="24"/>
    </row>
    <row r="312" spans="2:39" x14ac:dyDescent="0.2">
      <c r="B312" s="50">
        <v>43689</v>
      </c>
      <c r="C312" s="35">
        <v>0.60416666666666663</v>
      </c>
      <c r="D312" s="35"/>
      <c r="E312" s="35" t="s">
        <v>111</v>
      </c>
      <c r="F312" s="37">
        <v>2</v>
      </c>
      <c r="G312" s="42" t="str">
        <f>VLOOKUP(F312,Key!$A$17:$B$21,2,FALSE)</f>
        <v>Road Vehicle</v>
      </c>
      <c r="H312" s="36">
        <v>4</v>
      </c>
      <c r="I312" s="43" t="str">
        <f>VLOOKUP(H312,Key!$A$2:$B$13,2,FALSE)</f>
        <v>Minibus</v>
      </c>
      <c r="J312" s="37" t="s">
        <v>123</v>
      </c>
      <c r="K312" s="37">
        <v>2</v>
      </c>
      <c r="L312" s="45" t="str">
        <f>VLOOKUP(K312,Key!$A$24:$B$29,2,FALSE)</f>
        <v>30-39</v>
      </c>
      <c r="M312" s="37" t="s">
        <v>247</v>
      </c>
      <c r="N312" s="32" t="s">
        <v>167</v>
      </c>
      <c r="O312" s="37" t="s">
        <v>168</v>
      </c>
      <c r="P312" s="39">
        <v>2</v>
      </c>
      <c r="Q312" s="34" t="str">
        <f>VLOOKUP(P312,Key!$E$2:$F$9,2,FALSE)</f>
        <v>Work</v>
      </c>
      <c r="R312" s="37" t="s">
        <v>201</v>
      </c>
      <c r="S312" s="32" t="s">
        <v>176</v>
      </c>
      <c r="T312" s="37" t="s">
        <v>168</v>
      </c>
      <c r="U312" s="32">
        <v>4</v>
      </c>
      <c r="V312" s="34" t="str">
        <f>VLOOKUP(U312,Key!$E$2:$F$9,2,FALSE)</f>
        <v>Commercial</v>
      </c>
      <c r="W312" s="34" t="str">
        <f t="shared" si="10"/>
        <v>Work-Commercial</v>
      </c>
      <c r="X312" s="47">
        <v>30000</v>
      </c>
      <c r="Y312" s="38">
        <v>80</v>
      </c>
      <c r="Z312" s="38">
        <v>2.5</v>
      </c>
      <c r="AA312" s="32">
        <v>6</v>
      </c>
      <c r="AB312" s="34" t="str">
        <f>VLOOKUP(AA312,Key!$C$20:$D$29,2,FALSE)</f>
        <v>Businessman</v>
      </c>
      <c r="AC312" s="32">
        <v>2</v>
      </c>
      <c r="AD312" s="34" t="str">
        <f>VLOOKUP(AC312,Key!$E$20:$F$24,2,FALSE)</f>
        <v>300,000-500,000</v>
      </c>
      <c r="AE312" s="32">
        <v>1</v>
      </c>
      <c r="AF312" s="55">
        <v>1</v>
      </c>
      <c r="AG312" s="55">
        <v>1</v>
      </c>
      <c r="AH312" s="55">
        <v>1</v>
      </c>
      <c r="AI312" s="55">
        <v>1</v>
      </c>
      <c r="AJ312" s="39" t="s">
        <v>104</v>
      </c>
      <c r="AK312" s="40">
        <v>2000</v>
      </c>
      <c r="AL312" s="24"/>
      <c r="AM312" s="24"/>
    </row>
    <row r="313" spans="2:39" x14ac:dyDescent="0.2">
      <c r="B313" s="50">
        <v>43686</v>
      </c>
      <c r="C313" s="35">
        <v>0.67152777777777783</v>
      </c>
      <c r="D313" s="35"/>
      <c r="E313" s="35" t="s">
        <v>111</v>
      </c>
      <c r="F313" s="37">
        <v>2</v>
      </c>
      <c r="G313" s="42" t="str">
        <f>VLOOKUP(F313,Key!$A$17:$B$21,2,FALSE)</f>
        <v>Road Vehicle</v>
      </c>
      <c r="H313" s="36">
        <v>4</v>
      </c>
      <c r="I313" s="43" t="str">
        <f>VLOOKUP(H313,Key!$A$2:$B$13,2,FALSE)</f>
        <v>Minibus</v>
      </c>
      <c r="J313" s="37" t="s">
        <v>123</v>
      </c>
      <c r="K313" s="37">
        <v>2</v>
      </c>
      <c r="L313" s="45" t="str">
        <f>VLOOKUP(K313,Key!$A$24:$B$29,2,FALSE)</f>
        <v>30-39</v>
      </c>
      <c r="M313" s="44" t="s">
        <v>209</v>
      </c>
      <c r="N313" s="44" t="s">
        <v>167</v>
      </c>
      <c r="O313" s="37" t="s">
        <v>168</v>
      </c>
      <c r="P313" s="39">
        <v>2</v>
      </c>
      <c r="Q313" s="34" t="str">
        <f>VLOOKUP(P313,Key!$E$2:$F$9,2,FALSE)</f>
        <v>Work</v>
      </c>
      <c r="R313" s="37" t="s">
        <v>210</v>
      </c>
      <c r="S313" s="32" t="s">
        <v>176</v>
      </c>
      <c r="T313" s="37" t="s">
        <v>168</v>
      </c>
      <c r="U313" s="32">
        <v>2</v>
      </c>
      <c r="V313" s="34" t="str">
        <f>VLOOKUP(U313,Key!$E$2:$F$9,2,FALSE)</f>
        <v>Work</v>
      </c>
      <c r="W313" s="34" t="str">
        <f t="shared" si="10"/>
        <v>Work-Work</v>
      </c>
      <c r="X313" s="47">
        <v>50000</v>
      </c>
      <c r="Y313" s="38">
        <v>80</v>
      </c>
      <c r="Z313" s="38">
        <v>2.5</v>
      </c>
      <c r="AA313" s="32">
        <v>10</v>
      </c>
      <c r="AB313" s="34" t="str">
        <f>VLOOKUP(AA313,Key!$C$20:$D$29,2,FALSE)</f>
        <v>Other</v>
      </c>
      <c r="AC313" s="32">
        <v>2</v>
      </c>
      <c r="AD313" s="34" t="str">
        <f>VLOOKUP(AC313,Key!$E$20:$F$24,2,FALSE)</f>
        <v>300,000-500,000</v>
      </c>
      <c r="AE313" s="32"/>
      <c r="AF313" s="55"/>
      <c r="AG313" s="55"/>
      <c r="AH313" s="55"/>
      <c r="AI313" s="55"/>
      <c r="AJ313" s="39" t="s">
        <v>104</v>
      </c>
      <c r="AK313" s="40">
        <v>2000</v>
      </c>
      <c r="AL313" s="24"/>
      <c r="AM313" s="24"/>
    </row>
    <row r="314" spans="2:39" x14ac:dyDescent="0.2">
      <c r="B314" s="50">
        <v>43686</v>
      </c>
      <c r="C314" s="35">
        <v>0.59027777777777779</v>
      </c>
      <c r="D314" s="35"/>
      <c r="E314" s="35" t="s">
        <v>111</v>
      </c>
      <c r="F314" s="37">
        <v>2</v>
      </c>
      <c r="G314" s="42" t="str">
        <f>VLOOKUP(F314,Key!$A$17:$B$21,2,FALSE)</f>
        <v>Road Vehicle</v>
      </c>
      <c r="H314" s="36">
        <v>4</v>
      </c>
      <c r="I314" s="43" t="str">
        <f>VLOOKUP(H314,Key!$A$2:$B$13,2,FALSE)</f>
        <v>Minibus</v>
      </c>
      <c r="J314" s="37" t="s">
        <v>123</v>
      </c>
      <c r="K314" s="37">
        <v>2</v>
      </c>
      <c r="L314" s="45" t="str">
        <f>VLOOKUP(K314,Key!$A$24:$B$29,2,FALSE)</f>
        <v>30-39</v>
      </c>
      <c r="M314" s="44" t="s">
        <v>167</v>
      </c>
      <c r="N314" s="44" t="s">
        <v>167</v>
      </c>
      <c r="O314" s="37" t="s">
        <v>168</v>
      </c>
      <c r="P314" s="39">
        <v>2</v>
      </c>
      <c r="Q314" s="34" t="str">
        <f>VLOOKUP(P314,Key!$E$2:$F$9,2,FALSE)</f>
        <v>Work</v>
      </c>
      <c r="R314" s="37" t="s">
        <v>210</v>
      </c>
      <c r="S314" s="32" t="s">
        <v>176</v>
      </c>
      <c r="T314" s="37" t="s">
        <v>168</v>
      </c>
      <c r="U314" s="32">
        <v>2</v>
      </c>
      <c r="V314" s="34" t="str">
        <f>VLOOKUP(U314,Key!$E$2:$F$9,2,FALSE)</f>
        <v>Work</v>
      </c>
      <c r="W314" s="34" t="str">
        <f t="shared" si="10"/>
        <v>Work-Work</v>
      </c>
      <c r="X314" s="47">
        <v>50000</v>
      </c>
      <c r="Y314" s="38">
        <v>80</v>
      </c>
      <c r="Z314" s="38">
        <v>2.5</v>
      </c>
      <c r="AA314" s="32">
        <v>10</v>
      </c>
      <c r="AB314" s="34" t="str">
        <f>VLOOKUP(AA314,Key!$C$20:$D$29,2,FALSE)</f>
        <v>Other</v>
      </c>
      <c r="AC314" s="32">
        <v>2</v>
      </c>
      <c r="AD314" s="34" t="str">
        <f>VLOOKUP(AC314,Key!$E$20:$F$24,2,FALSE)</f>
        <v>300,000-500,000</v>
      </c>
      <c r="AE314" s="32"/>
      <c r="AF314" s="55"/>
      <c r="AG314" s="55"/>
      <c r="AH314" s="55"/>
      <c r="AI314" s="55"/>
      <c r="AJ314" s="39" t="s">
        <v>104</v>
      </c>
      <c r="AK314" s="40">
        <v>2000</v>
      </c>
      <c r="AL314" s="24"/>
      <c r="AM314" s="24"/>
    </row>
    <row r="315" spans="2:39" x14ac:dyDescent="0.2">
      <c r="B315" s="50">
        <v>43686</v>
      </c>
      <c r="C315" s="35">
        <v>0.61111111111111105</v>
      </c>
      <c r="D315" s="35"/>
      <c r="E315" s="35" t="s">
        <v>111</v>
      </c>
      <c r="F315" s="37">
        <v>2</v>
      </c>
      <c r="G315" s="42" t="str">
        <f>VLOOKUP(F315,Key!$A$17:$B$21,2,FALSE)</f>
        <v>Road Vehicle</v>
      </c>
      <c r="H315" s="36">
        <v>4</v>
      </c>
      <c r="I315" s="43" t="str">
        <f>VLOOKUP(H315,Key!$A$2:$B$13,2,FALSE)</f>
        <v>Minibus</v>
      </c>
      <c r="J315" s="37" t="s">
        <v>123</v>
      </c>
      <c r="K315" s="37">
        <v>2</v>
      </c>
      <c r="L315" s="45" t="str">
        <f>VLOOKUP(K315,Key!$A$24:$B$29,2,FALSE)</f>
        <v>30-39</v>
      </c>
      <c r="M315" s="37" t="s">
        <v>187</v>
      </c>
      <c r="N315" s="32" t="s">
        <v>167</v>
      </c>
      <c r="O315" s="37" t="s">
        <v>168</v>
      </c>
      <c r="P315" s="39">
        <v>1</v>
      </c>
      <c r="Q315" s="34" t="str">
        <f>VLOOKUP(P315,Key!$E$2:$F$9,2,FALSE)</f>
        <v>Home</v>
      </c>
      <c r="R315" s="37" t="s">
        <v>201</v>
      </c>
      <c r="S315" s="32" t="s">
        <v>176</v>
      </c>
      <c r="T315" s="37" t="s">
        <v>168</v>
      </c>
      <c r="U315" s="32">
        <v>2</v>
      </c>
      <c r="V315" s="34" t="str">
        <f>VLOOKUP(U315,Key!$E$2:$F$9,2,FALSE)</f>
        <v>Work</v>
      </c>
      <c r="W315" s="34" t="str">
        <f t="shared" si="10"/>
        <v>Home-Work</v>
      </c>
      <c r="X315" s="47">
        <v>30000</v>
      </c>
      <c r="Y315" s="38">
        <v>80</v>
      </c>
      <c r="Z315" s="38">
        <v>3</v>
      </c>
      <c r="AA315" s="32">
        <v>6</v>
      </c>
      <c r="AB315" s="34" t="str">
        <f>VLOOKUP(AA315,Key!$C$20:$D$29,2,FALSE)</f>
        <v>Businessman</v>
      </c>
      <c r="AC315" s="32">
        <v>3</v>
      </c>
      <c r="AD315" s="34" t="str">
        <f>VLOOKUP(AC315,Key!$E$20:$F$24,2,FALSE)</f>
        <v>500,000-750,000</v>
      </c>
      <c r="AE315" s="32">
        <v>1</v>
      </c>
      <c r="AF315" s="55">
        <v>1</v>
      </c>
      <c r="AG315" s="55">
        <v>1</v>
      </c>
      <c r="AH315" s="55">
        <v>1</v>
      </c>
      <c r="AI315" s="55">
        <v>3</v>
      </c>
      <c r="AJ315" s="39" t="s">
        <v>104</v>
      </c>
      <c r="AK315" s="40">
        <v>1000</v>
      </c>
      <c r="AL315" s="24"/>
      <c r="AM315" s="24"/>
    </row>
    <row r="316" spans="2:39" x14ac:dyDescent="0.2">
      <c r="B316" s="50">
        <v>43686</v>
      </c>
      <c r="C316" s="35">
        <v>0.66805555555555562</v>
      </c>
      <c r="D316" s="35"/>
      <c r="E316" s="35" t="s">
        <v>111</v>
      </c>
      <c r="F316" s="37">
        <v>2</v>
      </c>
      <c r="G316" s="42" t="str">
        <f>VLOOKUP(F316,Key!$A$17:$B$21,2,FALSE)</f>
        <v>Road Vehicle</v>
      </c>
      <c r="H316" s="36">
        <v>4</v>
      </c>
      <c r="I316" s="43" t="str">
        <f>VLOOKUP(H316,Key!$A$2:$B$13,2,FALSE)</f>
        <v>Minibus</v>
      </c>
      <c r="J316" s="37" t="s">
        <v>123</v>
      </c>
      <c r="K316" s="37">
        <v>2</v>
      </c>
      <c r="L316" s="45" t="str">
        <f>VLOOKUP(K316,Key!$A$24:$B$29,2,FALSE)</f>
        <v>30-39</v>
      </c>
      <c r="M316" s="37" t="s">
        <v>247</v>
      </c>
      <c r="N316" s="32" t="s">
        <v>167</v>
      </c>
      <c r="O316" s="37" t="s">
        <v>168</v>
      </c>
      <c r="P316" s="39">
        <v>2</v>
      </c>
      <c r="Q316" s="34" t="str">
        <f>VLOOKUP(P316,Key!$E$2:$F$9,2,FALSE)</f>
        <v>Work</v>
      </c>
      <c r="R316" s="37" t="s">
        <v>201</v>
      </c>
      <c r="S316" s="32" t="s">
        <v>176</v>
      </c>
      <c r="T316" s="37" t="s">
        <v>168</v>
      </c>
      <c r="U316" s="32">
        <v>2</v>
      </c>
      <c r="V316" s="34" t="str">
        <f>VLOOKUP(U316,Key!$E$2:$F$9,2,FALSE)</f>
        <v>Work</v>
      </c>
      <c r="W316" s="34" t="str">
        <f t="shared" si="10"/>
        <v>Work-Work</v>
      </c>
      <c r="X316" s="47">
        <v>30000</v>
      </c>
      <c r="Y316" s="38">
        <v>80</v>
      </c>
      <c r="Z316" s="38">
        <v>3</v>
      </c>
      <c r="AA316" s="32">
        <v>6</v>
      </c>
      <c r="AB316" s="34" t="str">
        <f>VLOOKUP(AA316,Key!$C$20:$D$29,2,FALSE)</f>
        <v>Businessman</v>
      </c>
      <c r="AC316" s="32">
        <v>5</v>
      </c>
      <c r="AD316" s="34" t="str">
        <f>VLOOKUP(AC316,Key!$E$20:$F$24,2,FALSE)</f>
        <v>&gt;1,000,000</v>
      </c>
      <c r="AE316" s="32">
        <v>1</v>
      </c>
      <c r="AF316" s="55">
        <v>1</v>
      </c>
      <c r="AG316" s="55">
        <v>1</v>
      </c>
      <c r="AH316" s="55">
        <v>1</v>
      </c>
      <c r="AI316" s="55">
        <v>1</v>
      </c>
      <c r="AJ316" s="39" t="s">
        <v>104</v>
      </c>
      <c r="AK316" s="40">
        <v>3000</v>
      </c>
      <c r="AL316" s="24"/>
      <c r="AM316" s="24"/>
    </row>
    <row r="317" spans="2:39" x14ac:dyDescent="0.2">
      <c r="B317" s="50">
        <v>43687</v>
      </c>
      <c r="C317" s="35">
        <v>0.38819444444444445</v>
      </c>
      <c r="D317" s="35"/>
      <c r="E317" s="35" t="s">
        <v>111</v>
      </c>
      <c r="F317" s="37">
        <v>2</v>
      </c>
      <c r="G317" s="42" t="str">
        <f>VLOOKUP(F317,Key!$A$17:$B$21,2,FALSE)</f>
        <v>Road Vehicle</v>
      </c>
      <c r="H317" s="36">
        <v>4</v>
      </c>
      <c r="I317" s="43" t="str">
        <f>VLOOKUP(H317,Key!$A$2:$B$13,2,FALSE)</f>
        <v>Minibus</v>
      </c>
      <c r="J317" s="37" t="s">
        <v>123</v>
      </c>
      <c r="K317" s="37">
        <v>2</v>
      </c>
      <c r="L317" s="45" t="str">
        <f>VLOOKUP(K317,Key!$A$24:$B$29,2,FALSE)</f>
        <v>30-39</v>
      </c>
      <c r="M317" s="37" t="s">
        <v>167</v>
      </c>
      <c r="N317" s="32" t="s">
        <v>167</v>
      </c>
      <c r="O317" s="37" t="s">
        <v>168</v>
      </c>
      <c r="P317" s="39">
        <v>2</v>
      </c>
      <c r="Q317" s="34" t="str">
        <f>VLOOKUP(P317,Key!$E$2:$F$9,2,FALSE)</f>
        <v>Work</v>
      </c>
      <c r="R317" s="37" t="s">
        <v>176</v>
      </c>
      <c r="S317" s="32" t="s">
        <v>176</v>
      </c>
      <c r="T317" s="37" t="s">
        <v>168</v>
      </c>
      <c r="U317" s="32">
        <v>2</v>
      </c>
      <c r="V317" s="34" t="str">
        <f>VLOOKUP(U317,Key!$E$2:$F$9,2,FALSE)</f>
        <v>Work</v>
      </c>
      <c r="W317" s="34" t="str">
        <f t="shared" si="10"/>
        <v>Work-Work</v>
      </c>
      <c r="X317" s="47">
        <v>40000</v>
      </c>
      <c r="Y317" s="38">
        <v>80</v>
      </c>
      <c r="Z317" s="38">
        <v>3.5</v>
      </c>
      <c r="AA317" s="32">
        <v>10</v>
      </c>
      <c r="AB317" s="34" t="str">
        <f>VLOOKUP(AA317,Key!$C$20:$D$29,2,FALSE)</f>
        <v>Other</v>
      </c>
      <c r="AC317" s="32">
        <v>2</v>
      </c>
      <c r="AD317" s="34" t="str">
        <f>VLOOKUP(AC317,Key!$E$20:$F$24,2,FALSE)</f>
        <v>300,000-500,000</v>
      </c>
      <c r="AE317" s="32">
        <v>1</v>
      </c>
      <c r="AF317" s="55">
        <v>3</v>
      </c>
      <c r="AG317" s="55">
        <v>2</v>
      </c>
      <c r="AH317" s="55">
        <v>1</v>
      </c>
      <c r="AI317" s="55">
        <v>3</v>
      </c>
      <c r="AJ317" s="39" t="s">
        <v>104</v>
      </c>
      <c r="AK317" s="40">
        <v>2000</v>
      </c>
      <c r="AL317" s="24"/>
      <c r="AM317" s="24"/>
    </row>
    <row r="318" spans="2:39" x14ac:dyDescent="0.2">
      <c r="B318" s="50">
        <v>43687</v>
      </c>
      <c r="C318" s="35">
        <v>0.33194444444444443</v>
      </c>
      <c r="D318" s="35"/>
      <c r="E318" s="35" t="s">
        <v>111</v>
      </c>
      <c r="F318" s="37">
        <v>2</v>
      </c>
      <c r="G318" s="42" t="str">
        <f>VLOOKUP(F318,Key!$A$17:$B$21,2,FALSE)</f>
        <v>Road Vehicle</v>
      </c>
      <c r="H318" s="36">
        <v>4</v>
      </c>
      <c r="I318" s="43" t="str">
        <f>VLOOKUP(H318,Key!$A$2:$B$13,2,FALSE)</f>
        <v>Minibus</v>
      </c>
      <c r="J318" s="37" t="s">
        <v>123</v>
      </c>
      <c r="K318" s="37">
        <v>2</v>
      </c>
      <c r="L318" s="45" t="str">
        <f>VLOOKUP(K318,Key!$A$24:$B$29,2,FALSE)</f>
        <v>30-39</v>
      </c>
      <c r="M318" s="37" t="s">
        <v>208</v>
      </c>
      <c r="N318" s="32" t="s">
        <v>167</v>
      </c>
      <c r="O318" s="37" t="s">
        <v>168</v>
      </c>
      <c r="P318" s="39">
        <v>1</v>
      </c>
      <c r="Q318" s="34" t="str">
        <f>VLOOKUP(P318,Key!$E$2:$F$9,2,FALSE)</f>
        <v>Home</v>
      </c>
      <c r="R318" s="37" t="s">
        <v>280</v>
      </c>
      <c r="S318" s="32" t="s">
        <v>240</v>
      </c>
      <c r="T318" s="37" t="s">
        <v>168</v>
      </c>
      <c r="U318" s="32">
        <v>6</v>
      </c>
      <c r="V318" s="34" t="str">
        <f>VLOOKUP(U318,Key!$E$2:$F$9,2,FALSE)</f>
        <v>Leisure/Social</v>
      </c>
      <c r="W318" s="34" t="str">
        <f t="shared" si="10"/>
        <v>Home-Leisure/Social</v>
      </c>
      <c r="X318" s="47">
        <v>30000</v>
      </c>
      <c r="Y318" s="38">
        <v>100</v>
      </c>
      <c r="Z318" s="38">
        <v>2</v>
      </c>
      <c r="AA318" s="32">
        <v>5</v>
      </c>
      <c r="AB318" s="34" t="str">
        <f>VLOOKUP(AA318,Key!$C$20:$D$29,2,FALSE)</f>
        <v>Professional</v>
      </c>
      <c r="AC318" s="32">
        <v>4</v>
      </c>
      <c r="AD318" s="34" t="str">
        <f>VLOOKUP(AC318,Key!$E$20:$F$24,2,FALSE)</f>
        <v>750,000-1,000,000</v>
      </c>
      <c r="AE318" s="32">
        <v>1</v>
      </c>
      <c r="AF318" s="55">
        <v>1</v>
      </c>
      <c r="AG318" s="55">
        <v>1</v>
      </c>
      <c r="AH318" s="55">
        <v>1</v>
      </c>
      <c r="AI318" s="55">
        <v>1</v>
      </c>
      <c r="AJ318" s="39" t="s">
        <v>104</v>
      </c>
      <c r="AK318" s="40">
        <v>2000</v>
      </c>
      <c r="AL318" s="24"/>
      <c r="AM318" s="24"/>
    </row>
    <row r="319" spans="2:39" x14ac:dyDescent="0.2">
      <c r="B319" s="50">
        <v>43688</v>
      </c>
      <c r="C319" s="35">
        <v>0.43402777777777773</v>
      </c>
      <c r="D319" s="35"/>
      <c r="E319" s="35" t="s">
        <v>111</v>
      </c>
      <c r="F319" s="37">
        <v>2</v>
      </c>
      <c r="G319" s="42" t="str">
        <f>VLOOKUP(F319,Key!$A$17:$B$21,2,FALSE)</f>
        <v>Road Vehicle</v>
      </c>
      <c r="H319" s="36">
        <v>4</v>
      </c>
      <c r="I319" s="43" t="str">
        <f>VLOOKUP(H319,Key!$A$2:$B$13,2,FALSE)</f>
        <v>Minibus</v>
      </c>
      <c r="J319" s="37" t="s">
        <v>123</v>
      </c>
      <c r="K319" s="13">
        <v>2</v>
      </c>
      <c r="L319" s="45" t="str">
        <f>VLOOKUP(K319,Key!$A$24:$B$29,2,FALSE)</f>
        <v>30-39</v>
      </c>
      <c r="M319" s="44" t="s">
        <v>167</v>
      </c>
      <c r="N319" s="32" t="s">
        <v>167</v>
      </c>
      <c r="O319" s="37" t="s">
        <v>168</v>
      </c>
      <c r="P319" s="39">
        <v>2</v>
      </c>
      <c r="Q319" s="34" t="str">
        <f>VLOOKUP(P319,Key!$E$2:$F$9,2,FALSE)</f>
        <v>Work</v>
      </c>
      <c r="R319" s="37" t="s">
        <v>36</v>
      </c>
      <c r="S319" s="32" t="s">
        <v>36</v>
      </c>
      <c r="T319" s="37" t="s">
        <v>168</v>
      </c>
      <c r="U319" s="32">
        <v>2</v>
      </c>
      <c r="V319" s="34" t="str">
        <f>VLOOKUP(U319,Key!$E$2:$F$9,2,FALSE)</f>
        <v>Work</v>
      </c>
      <c r="W319" s="34" t="str">
        <f t="shared" si="10"/>
        <v>Work-Work</v>
      </c>
      <c r="X319" s="47">
        <v>130000</v>
      </c>
      <c r="Y319" s="38">
        <v>100</v>
      </c>
      <c r="Z319" s="38">
        <v>4</v>
      </c>
      <c r="AA319" s="32">
        <v>10</v>
      </c>
      <c r="AB319" s="34" t="str">
        <f>VLOOKUP(AA319,Key!$C$20:$D$29,2,FALSE)</f>
        <v>Other</v>
      </c>
      <c r="AC319" s="32">
        <v>2</v>
      </c>
      <c r="AD319" s="34" t="str">
        <f>VLOOKUP(AC319,Key!$E$20:$F$24,2,FALSE)</f>
        <v>300,000-500,000</v>
      </c>
      <c r="AE319" s="32">
        <v>1</v>
      </c>
      <c r="AF319" s="55">
        <v>1</v>
      </c>
      <c r="AG319" s="55">
        <v>2</v>
      </c>
      <c r="AH319" s="55">
        <v>1</v>
      </c>
      <c r="AI319" s="55">
        <v>2</v>
      </c>
      <c r="AJ319" s="39" t="s">
        <v>104</v>
      </c>
      <c r="AK319" s="40"/>
      <c r="AL319" s="24"/>
      <c r="AM319" s="24"/>
    </row>
    <row r="320" spans="2:39" x14ac:dyDescent="0.2">
      <c r="B320" s="50">
        <v>43687</v>
      </c>
      <c r="C320" s="35">
        <v>0.42708333333333331</v>
      </c>
      <c r="D320" s="35"/>
      <c r="E320" s="35" t="s">
        <v>111</v>
      </c>
      <c r="F320" s="37">
        <v>2</v>
      </c>
      <c r="G320" s="42" t="str">
        <f>VLOOKUP(F320,Key!$A$17:$B$21,2,FALSE)</f>
        <v>Road Vehicle</v>
      </c>
      <c r="H320" s="36">
        <v>4</v>
      </c>
      <c r="I320" s="43" t="str">
        <f>VLOOKUP(H320,Key!$A$2:$B$13,2,FALSE)</f>
        <v>Minibus</v>
      </c>
      <c r="J320" s="37" t="s">
        <v>123</v>
      </c>
      <c r="K320" s="37">
        <v>3</v>
      </c>
      <c r="L320" s="45" t="str">
        <f>VLOOKUP(K320,Key!$A$24:$B$29,2,FALSE)</f>
        <v>40-49</v>
      </c>
      <c r="M320" s="44" t="s">
        <v>167</v>
      </c>
      <c r="N320" s="44" t="s">
        <v>167</v>
      </c>
      <c r="O320" s="37" t="s">
        <v>168</v>
      </c>
      <c r="P320" s="39">
        <v>2</v>
      </c>
      <c r="Q320" s="34" t="str">
        <f>VLOOKUP(P320,Key!$E$2:$F$9,2,FALSE)</f>
        <v>Work</v>
      </c>
      <c r="R320" s="37" t="s">
        <v>176</v>
      </c>
      <c r="S320" s="32" t="s">
        <v>176</v>
      </c>
      <c r="T320" s="37" t="s">
        <v>168</v>
      </c>
      <c r="U320" s="32">
        <v>2</v>
      </c>
      <c r="V320" s="34" t="str">
        <f>VLOOKUP(U320,Key!$E$2:$F$9,2,FALSE)</f>
        <v>Work</v>
      </c>
      <c r="W320" s="34" t="str">
        <f t="shared" si="10"/>
        <v>Work-Work</v>
      </c>
      <c r="X320" s="47">
        <v>50000</v>
      </c>
      <c r="Y320" s="38">
        <v>68</v>
      </c>
      <c r="Z320" s="38">
        <v>2</v>
      </c>
      <c r="AA320" s="32">
        <v>10</v>
      </c>
      <c r="AB320" s="34" t="str">
        <f>VLOOKUP(AA320,Key!$C$20:$D$29,2,FALSE)</f>
        <v>Other</v>
      </c>
      <c r="AC320" s="32">
        <v>2</v>
      </c>
      <c r="AD320" s="34" t="str">
        <f>VLOOKUP(AC320,Key!$E$20:$F$24,2,FALSE)</f>
        <v>300,000-500,000</v>
      </c>
      <c r="AE320" s="32">
        <v>1</v>
      </c>
      <c r="AF320" s="55">
        <v>1</v>
      </c>
      <c r="AG320" s="55">
        <v>2</v>
      </c>
      <c r="AH320" s="55">
        <v>1</v>
      </c>
      <c r="AI320" s="55">
        <v>1</v>
      </c>
      <c r="AJ320" s="39" t="s">
        <v>104</v>
      </c>
      <c r="AK320" s="40">
        <v>1000</v>
      </c>
      <c r="AL320" s="24"/>
      <c r="AM320" s="24"/>
    </row>
    <row r="321" spans="2:39" x14ac:dyDescent="0.2">
      <c r="B321" s="50">
        <v>43687</v>
      </c>
      <c r="C321" s="35">
        <v>0.67847222222222225</v>
      </c>
      <c r="D321" s="35"/>
      <c r="E321" s="35" t="s">
        <v>111</v>
      </c>
      <c r="F321" s="37">
        <v>2</v>
      </c>
      <c r="G321" s="42" t="str">
        <f>VLOOKUP(F321,Key!$A$17:$B$21,2,FALSE)</f>
        <v>Road Vehicle</v>
      </c>
      <c r="H321" s="36">
        <v>4</v>
      </c>
      <c r="I321" s="43" t="str">
        <f>VLOOKUP(H321,Key!$A$2:$B$13,2,FALSE)</f>
        <v>Minibus</v>
      </c>
      <c r="J321" s="37" t="s">
        <v>123</v>
      </c>
      <c r="K321" s="37">
        <v>3</v>
      </c>
      <c r="L321" s="45" t="str">
        <f>VLOOKUP(K321,Key!$A$24:$B$29,2,FALSE)</f>
        <v>40-49</v>
      </c>
      <c r="M321" s="44" t="s">
        <v>167</v>
      </c>
      <c r="N321" s="44" t="s">
        <v>167</v>
      </c>
      <c r="O321" s="37" t="s">
        <v>168</v>
      </c>
      <c r="P321" s="39">
        <v>2</v>
      </c>
      <c r="Q321" s="34" t="str">
        <f>VLOOKUP(P321,Key!$E$2:$F$9,2,FALSE)</f>
        <v>Work</v>
      </c>
      <c r="R321" s="37" t="s">
        <v>176</v>
      </c>
      <c r="S321" s="32" t="s">
        <v>176</v>
      </c>
      <c r="T321" s="37" t="s">
        <v>168</v>
      </c>
      <c r="U321" s="32">
        <v>2</v>
      </c>
      <c r="V321" s="34" t="str">
        <f>VLOOKUP(U321,Key!$E$2:$F$9,2,FALSE)</f>
        <v>Work</v>
      </c>
      <c r="W321" s="34" t="str">
        <f t="shared" si="10"/>
        <v>Work-Work</v>
      </c>
      <c r="X321" s="47">
        <v>50000</v>
      </c>
      <c r="Y321" s="38">
        <v>68</v>
      </c>
      <c r="Z321" s="38">
        <v>2</v>
      </c>
      <c r="AA321" s="32">
        <v>10</v>
      </c>
      <c r="AB321" s="34" t="str">
        <f>VLOOKUP(AA321,Key!$C$20:$D$29,2,FALSE)</f>
        <v>Other</v>
      </c>
      <c r="AC321" s="32">
        <v>2</v>
      </c>
      <c r="AD321" s="34" t="str">
        <f>VLOOKUP(AC321,Key!$E$20:$F$24,2,FALSE)</f>
        <v>300,000-500,000</v>
      </c>
      <c r="AE321" s="32">
        <v>1</v>
      </c>
      <c r="AF321" s="55">
        <v>1</v>
      </c>
      <c r="AG321" s="55">
        <v>2</v>
      </c>
      <c r="AH321" s="55">
        <v>1</v>
      </c>
      <c r="AI321" s="55">
        <v>1</v>
      </c>
      <c r="AJ321" s="39" t="s">
        <v>104</v>
      </c>
      <c r="AK321" s="40">
        <v>1000</v>
      </c>
      <c r="AL321" s="24"/>
      <c r="AM321" s="24"/>
    </row>
    <row r="322" spans="2:39" x14ac:dyDescent="0.2">
      <c r="B322" s="50">
        <v>43686</v>
      </c>
      <c r="C322" s="35">
        <v>0.66319444444444442</v>
      </c>
      <c r="D322" s="35"/>
      <c r="E322" s="35" t="s">
        <v>111</v>
      </c>
      <c r="F322" s="37">
        <v>2</v>
      </c>
      <c r="G322" s="42" t="str">
        <f>VLOOKUP(F322,Key!$A$17:$B$21,2,FALSE)</f>
        <v>Road Vehicle</v>
      </c>
      <c r="H322" s="36">
        <v>4</v>
      </c>
      <c r="I322" s="43" t="str">
        <f>VLOOKUP(H322,Key!$A$2:$B$13,2,FALSE)</f>
        <v>Minibus</v>
      </c>
      <c r="J322" s="37" t="s">
        <v>123</v>
      </c>
      <c r="K322" s="37">
        <v>3</v>
      </c>
      <c r="L322" s="45" t="str">
        <f>VLOOKUP(K322,Key!$A$24:$B$29,2,FALSE)</f>
        <v>40-49</v>
      </c>
      <c r="M322" s="37" t="s">
        <v>247</v>
      </c>
      <c r="N322" s="32" t="s">
        <v>167</v>
      </c>
      <c r="O322" s="37" t="s">
        <v>168</v>
      </c>
      <c r="P322" s="39">
        <v>2</v>
      </c>
      <c r="Q322" s="34" t="str">
        <f>VLOOKUP(P322,Key!$E$2:$F$9,2,FALSE)</f>
        <v>Work</v>
      </c>
      <c r="R322" s="37" t="s">
        <v>272</v>
      </c>
      <c r="S322" s="32" t="s">
        <v>176</v>
      </c>
      <c r="T322" s="37" t="s">
        <v>168</v>
      </c>
      <c r="U322" s="32">
        <v>4</v>
      </c>
      <c r="V322" s="34" t="str">
        <f>VLOOKUP(U322,Key!$E$2:$F$9,2,FALSE)</f>
        <v>Commercial</v>
      </c>
      <c r="W322" s="34" t="str">
        <f t="shared" si="10"/>
        <v>Work-Commercial</v>
      </c>
      <c r="X322" s="47">
        <v>70000</v>
      </c>
      <c r="Y322" s="38">
        <v>70</v>
      </c>
      <c r="Z322" s="38">
        <v>1</v>
      </c>
      <c r="AA322" s="32">
        <v>10</v>
      </c>
      <c r="AB322" s="34" t="str">
        <f>VLOOKUP(AA322,Key!$C$20:$D$29,2,FALSE)</f>
        <v>Other</v>
      </c>
      <c r="AC322" s="32">
        <v>1</v>
      </c>
      <c r="AD322" s="34" t="str">
        <f>VLOOKUP(AC322,Key!$E$20:$F$24,2,FALSE)</f>
        <v>&lt;300,000</v>
      </c>
      <c r="AE322" s="32">
        <v>1</v>
      </c>
      <c r="AF322" s="55">
        <v>1</v>
      </c>
      <c r="AG322" s="55">
        <v>1</v>
      </c>
      <c r="AH322" s="55">
        <v>2</v>
      </c>
      <c r="AI322" s="55">
        <v>1</v>
      </c>
      <c r="AJ322" s="39" t="s">
        <v>104</v>
      </c>
      <c r="AK322" s="40">
        <v>2000</v>
      </c>
      <c r="AL322" s="24"/>
      <c r="AM322" s="24"/>
    </row>
    <row r="323" spans="2:39" x14ac:dyDescent="0.2">
      <c r="B323" s="50">
        <v>43686</v>
      </c>
      <c r="C323" s="35">
        <v>0.59375</v>
      </c>
      <c r="D323" s="35"/>
      <c r="E323" s="35" t="s">
        <v>111</v>
      </c>
      <c r="F323" s="37">
        <v>2</v>
      </c>
      <c r="G323" s="42" t="str">
        <f>VLOOKUP(F323,Key!$A$17:$B$21,2,FALSE)</f>
        <v>Road Vehicle</v>
      </c>
      <c r="H323" s="36">
        <v>4</v>
      </c>
      <c r="I323" s="43" t="str">
        <f>VLOOKUP(H323,Key!$A$2:$B$13,2,FALSE)</f>
        <v>Minibus</v>
      </c>
      <c r="J323" s="37" t="s">
        <v>123</v>
      </c>
      <c r="K323" s="13">
        <v>3</v>
      </c>
      <c r="L323" s="45" t="str">
        <f>VLOOKUP(K323,Key!$A$24:$B$29,2,FALSE)</f>
        <v>40-49</v>
      </c>
      <c r="M323" s="44" t="s">
        <v>200</v>
      </c>
      <c r="N323" s="44" t="s">
        <v>167</v>
      </c>
      <c r="O323" s="37" t="s">
        <v>168</v>
      </c>
      <c r="P323" s="39">
        <v>2</v>
      </c>
      <c r="Q323" s="34" t="str">
        <f>VLOOKUP(P323,Key!$E$2:$F$9,2,FALSE)</f>
        <v>Work</v>
      </c>
      <c r="R323" s="37" t="s">
        <v>201</v>
      </c>
      <c r="S323" s="32" t="s">
        <v>176</v>
      </c>
      <c r="T323" s="37" t="s">
        <v>168</v>
      </c>
      <c r="U323" s="32">
        <v>2</v>
      </c>
      <c r="V323" s="34" t="str">
        <f>VLOOKUP(U323,Key!$E$2:$F$9,2,FALSE)</f>
        <v>Work</v>
      </c>
      <c r="W323" s="34" t="str">
        <f t="shared" si="10"/>
        <v>Work-Work</v>
      </c>
      <c r="X323" s="47">
        <v>30000</v>
      </c>
      <c r="Y323" s="38">
        <v>70</v>
      </c>
      <c r="Z323" s="38">
        <v>2.5</v>
      </c>
      <c r="AA323" s="32">
        <v>10</v>
      </c>
      <c r="AB323" s="34" t="str">
        <f>VLOOKUP(AA323,Key!$C$20:$D$29,2,FALSE)</f>
        <v>Other</v>
      </c>
      <c r="AC323" s="32">
        <v>2</v>
      </c>
      <c r="AD323" s="34" t="str">
        <f>VLOOKUP(AC323,Key!$E$20:$F$24,2,FALSE)</f>
        <v>300,000-500,000</v>
      </c>
      <c r="AE323" s="32">
        <v>1</v>
      </c>
      <c r="AF323" s="55">
        <v>1</v>
      </c>
      <c r="AG323" s="55">
        <v>1</v>
      </c>
      <c r="AH323" s="55">
        <v>1</v>
      </c>
      <c r="AI323" s="55">
        <v>1</v>
      </c>
      <c r="AJ323" s="39" t="s">
        <v>104</v>
      </c>
      <c r="AK323" s="40"/>
      <c r="AL323" s="24"/>
      <c r="AM323" s="24"/>
    </row>
    <row r="324" spans="2:39" x14ac:dyDescent="0.2">
      <c r="B324" s="50">
        <v>43688</v>
      </c>
      <c r="C324" s="35">
        <v>0.65069444444444446</v>
      </c>
      <c r="D324" s="35"/>
      <c r="E324" s="35" t="s">
        <v>111</v>
      </c>
      <c r="F324" s="37">
        <v>2</v>
      </c>
      <c r="G324" s="42" t="str">
        <f>VLOOKUP(F324,Key!$A$17:$B$21,2,FALSE)</f>
        <v>Road Vehicle</v>
      </c>
      <c r="H324" s="36">
        <v>4</v>
      </c>
      <c r="I324" s="43" t="str">
        <f>VLOOKUP(H324,Key!$A$2:$B$13,2,FALSE)</f>
        <v>Minibus</v>
      </c>
      <c r="J324" s="37" t="s">
        <v>123</v>
      </c>
      <c r="K324" s="37">
        <v>3</v>
      </c>
      <c r="L324" s="45" t="str">
        <f>VLOOKUP(K324,Key!$A$24:$B$29,2,FALSE)</f>
        <v>40-49</v>
      </c>
      <c r="M324" s="37" t="s">
        <v>247</v>
      </c>
      <c r="N324" s="32" t="s">
        <v>167</v>
      </c>
      <c r="O324" s="37" t="s">
        <v>168</v>
      </c>
      <c r="P324" s="39">
        <v>2</v>
      </c>
      <c r="Q324" s="34" t="str">
        <f>VLOOKUP(P324,Key!$E$2:$F$9,2,FALSE)</f>
        <v>Work</v>
      </c>
      <c r="R324" s="37" t="s">
        <v>201</v>
      </c>
      <c r="S324" s="32" t="s">
        <v>176</v>
      </c>
      <c r="T324" s="37" t="s">
        <v>168</v>
      </c>
      <c r="U324" s="32">
        <v>4</v>
      </c>
      <c r="V324" s="34" t="str">
        <f>VLOOKUP(U324,Key!$E$2:$F$9,2,FALSE)</f>
        <v>Commercial</v>
      </c>
      <c r="W324" s="34" t="str">
        <f t="shared" si="10"/>
        <v>Work-Commercial</v>
      </c>
      <c r="X324" s="47">
        <v>40000</v>
      </c>
      <c r="Y324" s="38">
        <v>70</v>
      </c>
      <c r="Z324" s="38">
        <v>2.5</v>
      </c>
      <c r="AA324" s="32">
        <v>6</v>
      </c>
      <c r="AB324" s="34" t="str">
        <f>VLOOKUP(AA324,Key!$C$20:$D$29,2,FALSE)</f>
        <v>Businessman</v>
      </c>
      <c r="AC324" s="32">
        <v>2</v>
      </c>
      <c r="AD324" s="34" t="str">
        <f>VLOOKUP(AC324,Key!$E$20:$F$24,2,FALSE)</f>
        <v>300,000-500,000</v>
      </c>
      <c r="AE324" s="32">
        <v>1</v>
      </c>
      <c r="AF324" s="55">
        <v>1</v>
      </c>
      <c r="AG324" s="55">
        <v>1</v>
      </c>
      <c r="AH324" s="55">
        <v>1</v>
      </c>
      <c r="AI324" s="55">
        <v>1</v>
      </c>
      <c r="AJ324" s="39" t="s">
        <v>104</v>
      </c>
      <c r="AK324" s="40"/>
      <c r="AL324" s="24"/>
      <c r="AM324" s="24"/>
    </row>
    <row r="325" spans="2:39" x14ac:dyDescent="0.2">
      <c r="B325" s="50">
        <v>43690</v>
      </c>
      <c r="C325" s="35">
        <v>0.50069444444444444</v>
      </c>
      <c r="D325" s="35"/>
      <c r="E325" s="35" t="s">
        <v>111</v>
      </c>
      <c r="F325" s="37">
        <v>2</v>
      </c>
      <c r="G325" s="42" t="str">
        <f>VLOOKUP(F325,Key!$A$17:$B$21,2,FALSE)</f>
        <v>Road Vehicle</v>
      </c>
      <c r="H325" s="36">
        <v>4</v>
      </c>
      <c r="I325" s="43" t="str">
        <f>VLOOKUP(H325,Key!$A$2:$B$13,2,FALSE)</f>
        <v>Minibus</v>
      </c>
      <c r="J325" s="37" t="s">
        <v>123</v>
      </c>
      <c r="K325" s="37">
        <v>3</v>
      </c>
      <c r="L325" s="45" t="str">
        <f>VLOOKUP(K325,Key!$A$24:$B$29,2,FALSE)</f>
        <v>40-49</v>
      </c>
      <c r="M325" s="44" t="s">
        <v>167</v>
      </c>
      <c r="N325" s="32" t="s">
        <v>167</v>
      </c>
      <c r="O325" s="37" t="s">
        <v>168</v>
      </c>
      <c r="P325" s="39">
        <v>2</v>
      </c>
      <c r="Q325" s="34" t="str">
        <f>VLOOKUP(P325,Key!$E$2:$F$9,2,FALSE)</f>
        <v>Work</v>
      </c>
      <c r="R325" s="37" t="s">
        <v>176</v>
      </c>
      <c r="S325" s="32" t="s">
        <v>176</v>
      </c>
      <c r="T325" s="37" t="s">
        <v>168</v>
      </c>
      <c r="U325" s="32">
        <v>6</v>
      </c>
      <c r="V325" s="34" t="str">
        <f>VLOOKUP(U325,Key!$E$2:$F$9,2,FALSE)</f>
        <v>Leisure/Social</v>
      </c>
      <c r="W325" s="34" t="str">
        <f t="shared" si="10"/>
        <v>Work-Leisure/Social</v>
      </c>
      <c r="X325" s="47">
        <v>80000</v>
      </c>
      <c r="Y325" s="38">
        <v>70</v>
      </c>
      <c r="Z325" s="38">
        <v>3</v>
      </c>
      <c r="AA325" s="32">
        <v>10</v>
      </c>
      <c r="AB325" s="34" t="str">
        <f>VLOOKUP(AA325,Key!$C$20:$D$29,2,FALSE)</f>
        <v>Other</v>
      </c>
      <c r="AC325" s="32">
        <v>1</v>
      </c>
      <c r="AD325" s="34" t="str">
        <f>VLOOKUP(AC325,Key!$E$20:$F$24,2,FALSE)</f>
        <v>&lt;300,000</v>
      </c>
      <c r="AE325" s="32">
        <v>1</v>
      </c>
      <c r="AF325" s="55">
        <v>2</v>
      </c>
      <c r="AG325" s="55">
        <v>1</v>
      </c>
      <c r="AH325" s="55">
        <v>1</v>
      </c>
      <c r="AI325" s="55">
        <v>2</v>
      </c>
      <c r="AJ325" s="39" t="s">
        <v>104</v>
      </c>
      <c r="AK325" s="40">
        <v>1000</v>
      </c>
      <c r="AL325" s="24"/>
      <c r="AM325" s="24"/>
    </row>
    <row r="326" spans="2:39" x14ac:dyDescent="0.2">
      <c r="B326" s="50">
        <v>43690</v>
      </c>
      <c r="C326" s="35">
        <v>0.3125</v>
      </c>
      <c r="D326" s="35"/>
      <c r="E326" s="35" t="s">
        <v>111</v>
      </c>
      <c r="F326" s="37">
        <v>2</v>
      </c>
      <c r="G326" s="42" t="str">
        <f>VLOOKUP(F326,Key!$A$17:$B$21,2,FALSE)</f>
        <v>Road Vehicle</v>
      </c>
      <c r="H326" s="36">
        <v>4</v>
      </c>
      <c r="I326" s="43" t="str">
        <f>VLOOKUP(H326,Key!$A$2:$B$13,2,FALSE)</f>
        <v>Minibus</v>
      </c>
      <c r="J326" s="37" t="s">
        <v>123</v>
      </c>
      <c r="K326" s="37">
        <v>3</v>
      </c>
      <c r="L326" s="45" t="str">
        <f>VLOOKUP(K326,Key!$A$24:$B$29,2,FALSE)</f>
        <v>40-49</v>
      </c>
      <c r="M326" s="37" t="s">
        <v>187</v>
      </c>
      <c r="N326" s="32" t="s">
        <v>167</v>
      </c>
      <c r="O326" s="37" t="s">
        <v>168</v>
      </c>
      <c r="P326" s="39">
        <v>1</v>
      </c>
      <c r="Q326" s="34" t="str">
        <f>VLOOKUP(P326,Key!$E$2:$F$9,2,FALSE)</f>
        <v>Home</v>
      </c>
      <c r="R326" s="37" t="s">
        <v>218</v>
      </c>
      <c r="S326" s="32" t="s">
        <v>176</v>
      </c>
      <c r="T326" s="37" t="s">
        <v>168</v>
      </c>
      <c r="U326" s="32">
        <v>2</v>
      </c>
      <c r="V326" s="34" t="str">
        <f>VLOOKUP(U326,Key!$E$2:$F$9,2,FALSE)</f>
        <v>Work</v>
      </c>
      <c r="W326" s="34" t="str">
        <f t="shared" si="10"/>
        <v>Home-Work</v>
      </c>
      <c r="X326" s="47">
        <v>25000</v>
      </c>
      <c r="Y326" s="38">
        <v>70</v>
      </c>
      <c r="Z326" s="38">
        <v>3</v>
      </c>
      <c r="AA326" s="32">
        <v>6</v>
      </c>
      <c r="AB326" s="34" t="str">
        <f>VLOOKUP(AA326,Key!$C$20:$D$29,2,FALSE)</f>
        <v>Businessman</v>
      </c>
      <c r="AC326" s="32">
        <v>3</v>
      </c>
      <c r="AD326" s="34" t="str">
        <f>VLOOKUP(AC326,Key!$E$20:$F$24,2,FALSE)</f>
        <v>500,000-750,000</v>
      </c>
      <c r="AE326" s="32">
        <v>1</v>
      </c>
      <c r="AF326" s="55">
        <v>1</v>
      </c>
      <c r="AG326" s="55">
        <v>1</v>
      </c>
      <c r="AH326" s="55">
        <v>1</v>
      </c>
      <c r="AI326" s="55">
        <v>1</v>
      </c>
      <c r="AJ326" s="39" t="s">
        <v>104</v>
      </c>
      <c r="AK326" s="40"/>
      <c r="AL326" s="24"/>
      <c r="AM326" s="24"/>
    </row>
    <row r="327" spans="2:39" x14ac:dyDescent="0.2">
      <c r="B327" s="50">
        <v>43689</v>
      </c>
      <c r="C327" s="35">
        <v>0.5625</v>
      </c>
      <c r="D327" s="35"/>
      <c r="E327" s="35" t="s">
        <v>111</v>
      </c>
      <c r="F327" s="37">
        <v>2</v>
      </c>
      <c r="G327" s="42" t="str">
        <f>VLOOKUP(F327,Key!$A$17:$B$21,2,FALSE)</f>
        <v>Road Vehicle</v>
      </c>
      <c r="H327" s="36">
        <v>4</v>
      </c>
      <c r="I327" s="43" t="str">
        <f>VLOOKUP(H327,Key!$A$2:$B$13,2,FALSE)</f>
        <v>Minibus</v>
      </c>
      <c r="J327" s="37" t="s">
        <v>123</v>
      </c>
      <c r="K327" s="37">
        <v>3</v>
      </c>
      <c r="L327" s="45" t="str">
        <f>VLOOKUP(K327,Key!$A$24:$B$29,2,FALSE)</f>
        <v>40-49</v>
      </c>
      <c r="M327" s="37" t="s">
        <v>247</v>
      </c>
      <c r="N327" s="32" t="s">
        <v>167</v>
      </c>
      <c r="O327" s="37" t="s">
        <v>168</v>
      </c>
      <c r="P327" s="39">
        <v>2</v>
      </c>
      <c r="Q327" s="34" t="str">
        <f>VLOOKUP(P327,Key!$E$2:$F$9,2,FALSE)</f>
        <v>Work</v>
      </c>
      <c r="R327" s="37" t="s">
        <v>218</v>
      </c>
      <c r="S327" s="32" t="s">
        <v>176</v>
      </c>
      <c r="T327" s="37" t="s">
        <v>168</v>
      </c>
      <c r="U327" s="32">
        <v>4</v>
      </c>
      <c r="V327" s="34" t="str">
        <f>VLOOKUP(U327,Key!$E$2:$F$9,2,FALSE)</f>
        <v>Commercial</v>
      </c>
      <c r="W327" s="34" t="str">
        <f t="shared" ref="W327:W358" si="11">Q327&amp;"-"&amp;V327</f>
        <v>Work-Commercial</v>
      </c>
      <c r="X327" s="47">
        <v>30000</v>
      </c>
      <c r="Y327" s="38">
        <v>70</v>
      </c>
      <c r="Z327" s="38">
        <v>3</v>
      </c>
      <c r="AA327" s="32">
        <v>2</v>
      </c>
      <c r="AB327" s="34" t="str">
        <f>VLOOKUP(AA327,Key!$C$20:$D$29,2,FALSE)</f>
        <v>Manual Labour</v>
      </c>
      <c r="AC327" s="32">
        <v>2</v>
      </c>
      <c r="AD327" s="34" t="str">
        <f>VLOOKUP(AC327,Key!$E$20:$F$24,2,FALSE)</f>
        <v>300,000-500,000</v>
      </c>
      <c r="AE327" s="32">
        <v>1</v>
      </c>
      <c r="AF327" s="55">
        <v>1</v>
      </c>
      <c r="AG327" s="55">
        <v>1</v>
      </c>
      <c r="AH327" s="55">
        <v>1</v>
      </c>
      <c r="AI327" s="55">
        <v>1</v>
      </c>
      <c r="AJ327" s="39" t="s">
        <v>104</v>
      </c>
      <c r="AK327" s="40">
        <v>1000</v>
      </c>
      <c r="AL327" s="24"/>
      <c r="AM327" s="24"/>
    </row>
    <row r="328" spans="2:39" x14ac:dyDescent="0.2">
      <c r="B328" s="50">
        <v>43689</v>
      </c>
      <c r="C328" s="35">
        <v>0.44791666666666669</v>
      </c>
      <c r="D328" s="35"/>
      <c r="E328" s="35" t="s">
        <v>111</v>
      </c>
      <c r="F328" s="37">
        <v>2</v>
      </c>
      <c r="G328" s="42" t="str">
        <f>VLOOKUP(F328,Key!$A$17:$B$21,2,FALSE)</f>
        <v>Road Vehicle</v>
      </c>
      <c r="H328" s="36">
        <v>4</v>
      </c>
      <c r="I328" s="43" t="str">
        <f>VLOOKUP(H328,Key!$A$2:$B$13,2,FALSE)</f>
        <v>Minibus</v>
      </c>
      <c r="J328" s="37" t="s">
        <v>123</v>
      </c>
      <c r="K328" s="37">
        <v>3</v>
      </c>
      <c r="L328" s="45" t="str">
        <f>VLOOKUP(K328,Key!$A$24:$B$29,2,FALSE)</f>
        <v>40-49</v>
      </c>
      <c r="M328" s="44" t="s">
        <v>218</v>
      </c>
      <c r="N328" s="44" t="s">
        <v>176</v>
      </c>
      <c r="O328" s="37" t="s">
        <v>168</v>
      </c>
      <c r="P328" s="39">
        <v>2</v>
      </c>
      <c r="Q328" s="34" t="str">
        <f>VLOOKUP(P328,Key!$E$2:$F$9,2,FALSE)</f>
        <v>Work</v>
      </c>
      <c r="R328" s="37" t="s">
        <v>219</v>
      </c>
      <c r="S328" s="32" t="s">
        <v>167</v>
      </c>
      <c r="T328" s="37" t="s">
        <v>168</v>
      </c>
      <c r="U328" s="32">
        <v>2</v>
      </c>
      <c r="V328" s="34" t="str">
        <f>VLOOKUP(U328,Key!$E$2:$F$9,2,FALSE)</f>
        <v>Work</v>
      </c>
      <c r="W328" s="34" t="str">
        <f t="shared" si="11"/>
        <v>Work-Work</v>
      </c>
      <c r="X328" s="47">
        <v>30000</v>
      </c>
      <c r="Y328" s="38">
        <v>75</v>
      </c>
      <c r="Z328" s="38">
        <v>3</v>
      </c>
      <c r="AA328" s="32">
        <v>10</v>
      </c>
      <c r="AB328" s="34" t="str">
        <f>VLOOKUP(AA328,Key!$C$20:$D$29,2,FALSE)</f>
        <v>Other</v>
      </c>
      <c r="AC328" s="32">
        <v>1</v>
      </c>
      <c r="AD328" s="34" t="str">
        <f>VLOOKUP(AC328,Key!$E$20:$F$24,2,FALSE)</f>
        <v>&lt;300,000</v>
      </c>
      <c r="AE328" s="32">
        <v>1</v>
      </c>
      <c r="AF328" s="55">
        <v>1</v>
      </c>
      <c r="AG328" s="55">
        <v>2</v>
      </c>
      <c r="AH328" s="55">
        <v>1</v>
      </c>
      <c r="AI328" s="55">
        <v>2</v>
      </c>
      <c r="AJ328" s="39" t="s">
        <v>104</v>
      </c>
      <c r="AK328" s="40">
        <v>2000</v>
      </c>
      <c r="AL328" s="24"/>
      <c r="AM328" s="24"/>
    </row>
    <row r="329" spans="2:39" x14ac:dyDescent="0.2">
      <c r="B329" s="50">
        <v>43689</v>
      </c>
      <c r="C329" s="35">
        <v>0.44097222222222227</v>
      </c>
      <c r="D329" s="35"/>
      <c r="E329" s="35" t="s">
        <v>111</v>
      </c>
      <c r="F329" s="37">
        <v>2</v>
      </c>
      <c r="G329" s="42" t="str">
        <f>VLOOKUP(F329,Key!$A$17:$B$21,2,FALSE)</f>
        <v>Road Vehicle</v>
      </c>
      <c r="H329" s="36">
        <v>4</v>
      </c>
      <c r="I329" s="43" t="str">
        <f>VLOOKUP(H329,Key!$A$2:$B$13,2,FALSE)</f>
        <v>Minibus</v>
      </c>
      <c r="J329" s="37" t="s">
        <v>123</v>
      </c>
      <c r="K329" s="37">
        <v>3</v>
      </c>
      <c r="L329" s="45" t="str">
        <f>VLOOKUP(K329,Key!$A$24:$B$29,2,FALSE)</f>
        <v>40-49</v>
      </c>
      <c r="M329" s="44" t="s">
        <v>218</v>
      </c>
      <c r="N329" s="44" t="s">
        <v>176</v>
      </c>
      <c r="O329" s="37" t="s">
        <v>168</v>
      </c>
      <c r="P329" s="39">
        <v>2</v>
      </c>
      <c r="Q329" s="34" t="str">
        <f>VLOOKUP(P329,Key!$E$2:$F$9,2,FALSE)</f>
        <v>Work</v>
      </c>
      <c r="R329" s="37" t="s">
        <v>219</v>
      </c>
      <c r="S329" s="32" t="s">
        <v>167</v>
      </c>
      <c r="T329" s="37" t="s">
        <v>168</v>
      </c>
      <c r="U329" s="32">
        <v>2</v>
      </c>
      <c r="V329" s="34" t="str">
        <f>VLOOKUP(U329,Key!$E$2:$F$9,2,FALSE)</f>
        <v>Work</v>
      </c>
      <c r="W329" s="34" t="str">
        <f t="shared" si="11"/>
        <v>Work-Work</v>
      </c>
      <c r="X329" s="47">
        <v>30000</v>
      </c>
      <c r="Y329" s="38">
        <v>75</v>
      </c>
      <c r="Z329" s="38">
        <v>3</v>
      </c>
      <c r="AA329" s="32">
        <v>10</v>
      </c>
      <c r="AB329" s="34" t="str">
        <f>VLOOKUP(AA329,Key!$C$20:$D$29,2,FALSE)</f>
        <v>Other</v>
      </c>
      <c r="AC329" s="32">
        <v>1</v>
      </c>
      <c r="AD329" s="34" t="str">
        <f>VLOOKUP(AC329,Key!$E$20:$F$24,2,FALSE)</f>
        <v>&lt;300,000</v>
      </c>
      <c r="AE329" s="32">
        <v>1</v>
      </c>
      <c r="AF329" s="55">
        <v>1</v>
      </c>
      <c r="AG329" s="55">
        <v>2</v>
      </c>
      <c r="AH329" s="55">
        <v>1</v>
      </c>
      <c r="AI329" s="55">
        <v>2</v>
      </c>
      <c r="AJ329" s="39" t="s">
        <v>104</v>
      </c>
      <c r="AK329" s="40">
        <v>2000</v>
      </c>
      <c r="AL329" s="24"/>
      <c r="AM329" s="24"/>
    </row>
    <row r="330" spans="2:39" x14ac:dyDescent="0.2">
      <c r="B330" s="50">
        <v>43689</v>
      </c>
      <c r="C330" s="35">
        <v>0.40208333333333335</v>
      </c>
      <c r="D330" s="35"/>
      <c r="E330" s="35" t="s">
        <v>111</v>
      </c>
      <c r="F330" s="37">
        <v>2</v>
      </c>
      <c r="G330" s="42" t="str">
        <f>VLOOKUP(F330,Key!$A$17:$B$21,2,FALSE)</f>
        <v>Road Vehicle</v>
      </c>
      <c r="H330" s="36">
        <v>4</v>
      </c>
      <c r="I330" s="43" t="str">
        <f>VLOOKUP(H330,Key!$A$2:$B$13,2,FALSE)</f>
        <v>Minibus</v>
      </c>
      <c r="J330" s="37" t="s">
        <v>123</v>
      </c>
      <c r="K330" s="37">
        <v>3</v>
      </c>
      <c r="L330" s="45" t="str">
        <f>VLOOKUP(K330,Key!$A$24:$B$29,2,FALSE)</f>
        <v>40-49</v>
      </c>
      <c r="M330" s="37" t="s">
        <v>228</v>
      </c>
      <c r="N330" s="32" t="s">
        <v>167</v>
      </c>
      <c r="O330" s="37" t="s">
        <v>168</v>
      </c>
      <c r="P330" s="39">
        <v>2</v>
      </c>
      <c r="Q330" s="34" t="str">
        <f>VLOOKUP(P330,Key!$E$2:$F$9,2,FALSE)</f>
        <v>Work</v>
      </c>
      <c r="R330" s="37" t="s">
        <v>272</v>
      </c>
      <c r="S330" s="32" t="s">
        <v>176</v>
      </c>
      <c r="T330" s="37" t="s">
        <v>168</v>
      </c>
      <c r="U330" s="32">
        <v>2</v>
      </c>
      <c r="V330" s="34" t="str">
        <f>VLOOKUP(U330,Key!$E$2:$F$9,2,FALSE)</f>
        <v>Work</v>
      </c>
      <c r="W330" s="34" t="str">
        <f t="shared" si="11"/>
        <v>Work-Work</v>
      </c>
      <c r="X330" s="47">
        <v>40000</v>
      </c>
      <c r="Y330" s="38">
        <v>80</v>
      </c>
      <c r="Z330" s="38">
        <v>2</v>
      </c>
      <c r="AA330" s="32">
        <v>10</v>
      </c>
      <c r="AB330" s="34" t="str">
        <f>VLOOKUP(AA330,Key!$C$20:$D$29,2,FALSE)</f>
        <v>Other</v>
      </c>
      <c r="AC330" s="32">
        <v>2</v>
      </c>
      <c r="AD330" s="34" t="str">
        <f>VLOOKUP(AC330,Key!$E$20:$F$24,2,FALSE)</f>
        <v>300,000-500,000</v>
      </c>
      <c r="AE330" s="32">
        <v>1</v>
      </c>
      <c r="AF330" s="55">
        <v>1</v>
      </c>
      <c r="AG330" s="55">
        <v>1</v>
      </c>
      <c r="AH330" s="55">
        <v>1</v>
      </c>
      <c r="AI330" s="55">
        <v>1</v>
      </c>
      <c r="AJ330" s="39" t="s">
        <v>104</v>
      </c>
      <c r="AK330" s="40">
        <v>2000</v>
      </c>
      <c r="AL330" s="24"/>
      <c r="AM330" s="24"/>
    </row>
    <row r="331" spans="2:39" x14ac:dyDescent="0.2">
      <c r="B331" s="50">
        <v>43686</v>
      </c>
      <c r="C331" s="35">
        <v>0.59027777777777779</v>
      </c>
      <c r="D331" s="35"/>
      <c r="E331" s="35" t="s">
        <v>111</v>
      </c>
      <c r="F331" s="37">
        <v>2</v>
      </c>
      <c r="G331" s="42" t="str">
        <f>VLOOKUP(F331,Key!$A$17:$B$21,2,FALSE)</f>
        <v>Road Vehicle</v>
      </c>
      <c r="H331" s="36">
        <v>4</v>
      </c>
      <c r="I331" s="43" t="str">
        <f>VLOOKUP(H331,Key!$A$2:$B$13,2,FALSE)</f>
        <v>Minibus</v>
      </c>
      <c r="J331" s="37" t="s">
        <v>123</v>
      </c>
      <c r="K331" s="37">
        <v>3</v>
      </c>
      <c r="L331" s="45" t="str">
        <f>VLOOKUP(K331,Key!$A$24:$B$29,2,FALSE)</f>
        <v>40-49</v>
      </c>
      <c r="M331" s="37" t="s">
        <v>187</v>
      </c>
      <c r="N331" s="32" t="s">
        <v>167</v>
      </c>
      <c r="O331" s="37" t="s">
        <v>168</v>
      </c>
      <c r="P331" s="39">
        <v>1</v>
      </c>
      <c r="Q331" s="34" t="str">
        <f>VLOOKUP(P331,Key!$E$2:$F$9,2,FALSE)</f>
        <v>Home</v>
      </c>
      <c r="R331" s="37" t="s">
        <v>218</v>
      </c>
      <c r="S331" s="32" t="s">
        <v>176</v>
      </c>
      <c r="T331" s="37" t="s">
        <v>168</v>
      </c>
      <c r="U331" s="32">
        <v>2</v>
      </c>
      <c r="V331" s="34" t="str">
        <f>VLOOKUP(U331,Key!$E$2:$F$9,2,FALSE)</f>
        <v>Work</v>
      </c>
      <c r="W331" s="34" t="str">
        <f t="shared" si="11"/>
        <v>Home-Work</v>
      </c>
      <c r="X331" s="47">
        <v>30000</v>
      </c>
      <c r="Y331" s="38">
        <v>80</v>
      </c>
      <c r="Z331" s="38">
        <v>3</v>
      </c>
      <c r="AA331" s="32">
        <v>6</v>
      </c>
      <c r="AB331" s="34" t="str">
        <f>VLOOKUP(AA331,Key!$C$20:$D$29,2,FALSE)</f>
        <v>Businessman</v>
      </c>
      <c r="AC331" s="32">
        <v>2</v>
      </c>
      <c r="AD331" s="34" t="str">
        <f>VLOOKUP(AC331,Key!$E$20:$F$24,2,FALSE)</f>
        <v>300,000-500,000</v>
      </c>
      <c r="AE331" s="32">
        <v>1</v>
      </c>
      <c r="AF331" s="55">
        <v>1</v>
      </c>
      <c r="AG331" s="55">
        <v>3</v>
      </c>
      <c r="AH331" s="55">
        <v>1</v>
      </c>
      <c r="AI331" s="55">
        <v>1</v>
      </c>
      <c r="AJ331" s="39" t="s">
        <v>104</v>
      </c>
      <c r="AK331" s="40"/>
      <c r="AL331" s="24"/>
      <c r="AM331" s="24"/>
    </row>
    <row r="332" spans="2:39" x14ac:dyDescent="0.2">
      <c r="B332" s="50">
        <v>43687</v>
      </c>
      <c r="C332" s="35">
        <v>0.33263888888888887</v>
      </c>
      <c r="D332" s="35"/>
      <c r="E332" s="35" t="s">
        <v>111</v>
      </c>
      <c r="F332" s="37">
        <v>2</v>
      </c>
      <c r="G332" s="42" t="str">
        <f>VLOOKUP(F332,Key!$A$17:$B$21,2,FALSE)</f>
        <v>Road Vehicle</v>
      </c>
      <c r="H332" s="36">
        <v>4</v>
      </c>
      <c r="I332" s="43" t="str">
        <f>VLOOKUP(H332,Key!$A$2:$B$13,2,FALSE)</f>
        <v>Minibus</v>
      </c>
      <c r="J332" s="37" t="s">
        <v>123</v>
      </c>
      <c r="K332" s="37">
        <v>3</v>
      </c>
      <c r="L332" s="45" t="str">
        <f>VLOOKUP(K332,Key!$A$24:$B$29,2,FALSE)</f>
        <v>40-49</v>
      </c>
      <c r="M332" s="37" t="s">
        <v>247</v>
      </c>
      <c r="N332" s="32" t="s">
        <v>167</v>
      </c>
      <c r="O332" s="37" t="s">
        <v>168</v>
      </c>
      <c r="P332" s="39">
        <v>2</v>
      </c>
      <c r="Q332" s="34" t="str">
        <f>VLOOKUP(P332,Key!$E$2:$F$9,2,FALSE)</f>
        <v>Work</v>
      </c>
      <c r="R332" s="37" t="s">
        <v>218</v>
      </c>
      <c r="S332" s="32" t="s">
        <v>176</v>
      </c>
      <c r="T332" s="37" t="s">
        <v>168</v>
      </c>
      <c r="U332" s="32">
        <v>2</v>
      </c>
      <c r="V332" s="34" t="str">
        <f>VLOOKUP(U332,Key!$E$2:$F$9,2,FALSE)</f>
        <v>Work</v>
      </c>
      <c r="W332" s="34" t="str">
        <f t="shared" si="11"/>
        <v>Work-Work</v>
      </c>
      <c r="X332" s="47">
        <v>35000</v>
      </c>
      <c r="Y332" s="38">
        <v>80</v>
      </c>
      <c r="Z332" s="38">
        <v>3.5</v>
      </c>
      <c r="AA332" s="32">
        <v>6</v>
      </c>
      <c r="AB332" s="34" t="str">
        <f>VLOOKUP(AA332,Key!$C$20:$D$29,2,FALSE)</f>
        <v>Businessman</v>
      </c>
      <c r="AC332" s="32">
        <v>3</v>
      </c>
      <c r="AD332" s="34" t="str">
        <f>VLOOKUP(AC332,Key!$E$20:$F$24,2,FALSE)</f>
        <v>500,000-750,000</v>
      </c>
      <c r="AE332" s="32">
        <v>1</v>
      </c>
      <c r="AF332" s="55">
        <v>1</v>
      </c>
      <c r="AG332" s="55">
        <v>1</v>
      </c>
      <c r="AH332" s="55">
        <v>1</v>
      </c>
      <c r="AI332" s="55">
        <v>2</v>
      </c>
      <c r="AJ332" s="39" t="s">
        <v>104</v>
      </c>
      <c r="AK332" s="40">
        <v>2000</v>
      </c>
      <c r="AL332" s="24"/>
      <c r="AM332" s="24"/>
    </row>
    <row r="333" spans="2:39" x14ac:dyDescent="0.2">
      <c r="B333" s="50">
        <v>43687</v>
      </c>
      <c r="C333" s="35">
        <v>0.45763888888888887</v>
      </c>
      <c r="D333" s="35"/>
      <c r="E333" s="35" t="s">
        <v>111</v>
      </c>
      <c r="F333" s="37">
        <v>2</v>
      </c>
      <c r="G333" s="42" t="str">
        <f>VLOOKUP(F333,Key!$A$17:$B$21,2,FALSE)</f>
        <v>Road Vehicle</v>
      </c>
      <c r="H333" s="36">
        <v>4</v>
      </c>
      <c r="I333" s="43" t="str">
        <f>VLOOKUP(H333,Key!$A$2:$B$13,2,FALSE)</f>
        <v>Minibus</v>
      </c>
      <c r="J333" s="37" t="s">
        <v>123</v>
      </c>
      <c r="K333" s="37">
        <v>3</v>
      </c>
      <c r="L333" s="45" t="str">
        <f>VLOOKUP(K333,Key!$A$24:$B$29,2,FALSE)</f>
        <v>40-49</v>
      </c>
      <c r="M333" s="44" t="s">
        <v>179</v>
      </c>
      <c r="N333" s="44" t="s">
        <v>179</v>
      </c>
      <c r="O333" s="37" t="s">
        <v>168</v>
      </c>
      <c r="P333" s="39">
        <v>2</v>
      </c>
      <c r="Q333" s="34" t="str">
        <f>VLOOKUP(P333,Key!$E$2:$F$9,2,FALSE)</f>
        <v>Work</v>
      </c>
      <c r="R333" s="37" t="s">
        <v>201</v>
      </c>
      <c r="S333" s="32" t="s">
        <v>176</v>
      </c>
      <c r="T333" s="37" t="s">
        <v>168</v>
      </c>
      <c r="U333" s="32">
        <v>3</v>
      </c>
      <c r="V333" s="34" t="str">
        <f>VLOOKUP(U333,Key!$E$2:$F$9,2,FALSE)</f>
        <v>Study</v>
      </c>
      <c r="W333" s="34" t="str">
        <f t="shared" si="11"/>
        <v>Work-Study</v>
      </c>
      <c r="X333" s="47">
        <v>30000</v>
      </c>
      <c r="Y333" s="38">
        <v>90</v>
      </c>
      <c r="Z333" s="38">
        <v>3</v>
      </c>
      <c r="AA333" s="32">
        <v>6</v>
      </c>
      <c r="AB333" s="34" t="str">
        <f>VLOOKUP(AA333,Key!$C$20:$D$29,2,FALSE)</f>
        <v>Businessman</v>
      </c>
      <c r="AC333" s="32">
        <v>2</v>
      </c>
      <c r="AD333" s="34" t="str">
        <f>VLOOKUP(AC333,Key!$E$20:$F$24,2,FALSE)</f>
        <v>300,000-500,000</v>
      </c>
      <c r="AE333" s="32">
        <v>2</v>
      </c>
      <c r="AF333" s="55">
        <v>1</v>
      </c>
      <c r="AG333" s="55">
        <v>3</v>
      </c>
      <c r="AH333" s="55">
        <v>1</v>
      </c>
      <c r="AI333" s="55">
        <v>1</v>
      </c>
      <c r="AJ333" s="39" t="s">
        <v>104</v>
      </c>
      <c r="AK333" s="40">
        <v>1000</v>
      </c>
      <c r="AL333" s="24"/>
      <c r="AM333" s="24"/>
    </row>
    <row r="334" spans="2:39" x14ac:dyDescent="0.2">
      <c r="B334" s="50">
        <v>43687</v>
      </c>
      <c r="C334" s="35">
        <v>0.69444444444444453</v>
      </c>
      <c r="D334" s="35"/>
      <c r="E334" s="35" t="s">
        <v>111</v>
      </c>
      <c r="F334" s="37">
        <v>2</v>
      </c>
      <c r="G334" s="42" t="str">
        <f>VLOOKUP(F334,Key!$A$17:$B$21,2,FALSE)</f>
        <v>Road Vehicle</v>
      </c>
      <c r="H334" s="36">
        <v>4</v>
      </c>
      <c r="I334" s="43" t="str">
        <f>VLOOKUP(H334,Key!$A$2:$B$13,2,FALSE)</f>
        <v>Minibus</v>
      </c>
      <c r="J334" s="37" t="s">
        <v>123</v>
      </c>
      <c r="K334" s="37">
        <v>3</v>
      </c>
      <c r="L334" s="45" t="str">
        <f>VLOOKUP(K334,Key!$A$24:$B$29,2,FALSE)</f>
        <v>40-49</v>
      </c>
      <c r="M334" s="37" t="s">
        <v>179</v>
      </c>
      <c r="N334" s="32" t="s">
        <v>179</v>
      </c>
      <c r="O334" s="37" t="s">
        <v>168</v>
      </c>
      <c r="P334" s="39">
        <v>2</v>
      </c>
      <c r="Q334" s="34" t="str">
        <f>VLOOKUP(P334,Key!$E$2:$F$9,2,FALSE)</f>
        <v>Work</v>
      </c>
      <c r="R334" s="37" t="s">
        <v>201</v>
      </c>
      <c r="S334" s="32" t="s">
        <v>176</v>
      </c>
      <c r="T334" s="37" t="s">
        <v>168</v>
      </c>
      <c r="U334" s="32">
        <v>3</v>
      </c>
      <c r="V334" s="34" t="str">
        <f>VLOOKUP(U334,Key!$E$2:$F$9,2,FALSE)</f>
        <v>Study</v>
      </c>
      <c r="W334" s="34" t="str">
        <f t="shared" si="11"/>
        <v>Work-Study</v>
      </c>
      <c r="X334" s="47">
        <v>30000</v>
      </c>
      <c r="Y334" s="38">
        <v>90</v>
      </c>
      <c r="Z334" s="38">
        <v>3</v>
      </c>
      <c r="AA334" s="32">
        <v>6</v>
      </c>
      <c r="AB334" s="34" t="str">
        <f>VLOOKUP(AA334,Key!$C$20:$D$29,2,FALSE)</f>
        <v>Businessman</v>
      </c>
      <c r="AC334" s="32">
        <v>2</v>
      </c>
      <c r="AD334" s="34" t="str">
        <f>VLOOKUP(AC334,Key!$E$20:$F$24,2,FALSE)</f>
        <v>300,000-500,000</v>
      </c>
      <c r="AE334" s="32">
        <v>2</v>
      </c>
      <c r="AF334" s="55">
        <v>1</v>
      </c>
      <c r="AG334" s="55">
        <v>3</v>
      </c>
      <c r="AH334" s="55">
        <v>1</v>
      </c>
      <c r="AI334" s="55">
        <v>1</v>
      </c>
      <c r="AJ334" s="39" t="s">
        <v>104</v>
      </c>
      <c r="AK334" s="40">
        <v>1000</v>
      </c>
      <c r="AL334" s="24"/>
      <c r="AM334" s="24"/>
    </row>
    <row r="335" spans="2:39" x14ac:dyDescent="0.2">
      <c r="B335" s="50">
        <v>43688</v>
      </c>
      <c r="C335" s="35">
        <v>0.58472222222222225</v>
      </c>
      <c r="D335" s="35"/>
      <c r="E335" s="35" t="s">
        <v>111</v>
      </c>
      <c r="F335" s="37">
        <v>2</v>
      </c>
      <c r="G335" s="42" t="str">
        <f>VLOOKUP(F335,Key!$A$17:$B$21,2,FALSE)</f>
        <v>Road Vehicle</v>
      </c>
      <c r="H335" s="36">
        <v>4</v>
      </c>
      <c r="I335" s="43" t="str">
        <f>VLOOKUP(H335,Key!$A$2:$B$13,2,FALSE)</f>
        <v>Minibus</v>
      </c>
      <c r="J335" s="37" t="s">
        <v>123</v>
      </c>
      <c r="K335" s="13">
        <v>3</v>
      </c>
      <c r="L335" s="45" t="str">
        <f>VLOOKUP(K335,Key!$A$24:$B$29,2,FALSE)</f>
        <v>40-49</v>
      </c>
      <c r="M335" s="44" t="s">
        <v>192</v>
      </c>
      <c r="N335" s="44" t="s">
        <v>169</v>
      </c>
      <c r="O335" s="37" t="s">
        <v>168</v>
      </c>
      <c r="P335" s="39">
        <v>6</v>
      </c>
      <c r="Q335" s="34" t="str">
        <f>VLOOKUP(P335,Key!$E$2:$F$9,2,FALSE)</f>
        <v>Leisure/Social</v>
      </c>
      <c r="R335" s="37" t="s">
        <v>176</v>
      </c>
      <c r="S335" s="32" t="s">
        <v>176</v>
      </c>
      <c r="T335" s="37" t="s">
        <v>168</v>
      </c>
      <c r="U335" s="32">
        <v>1</v>
      </c>
      <c r="V335" s="34" t="str">
        <f>VLOOKUP(U335,Key!$E$2:$F$9,2,FALSE)</f>
        <v>Home</v>
      </c>
      <c r="W335" s="34" t="str">
        <f t="shared" si="11"/>
        <v>Leisure/Social-Home</v>
      </c>
      <c r="X335" s="47">
        <v>150000</v>
      </c>
      <c r="Y335" s="38">
        <v>100</v>
      </c>
      <c r="Z335" s="38">
        <v>5</v>
      </c>
      <c r="AA335" s="32">
        <v>6</v>
      </c>
      <c r="AB335" s="34" t="str">
        <f>VLOOKUP(AA335,Key!$C$20:$D$29,2,FALSE)</f>
        <v>Businessman</v>
      </c>
      <c r="AC335" s="32">
        <v>3</v>
      </c>
      <c r="AD335" s="34" t="str">
        <f>VLOOKUP(AC335,Key!$E$20:$F$24,2,FALSE)</f>
        <v>500,000-750,000</v>
      </c>
      <c r="AE335" s="32">
        <v>1</v>
      </c>
      <c r="AF335" s="55">
        <v>2</v>
      </c>
      <c r="AG335" s="55">
        <v>1</v>
      </c>
      <c r="AH335" s="55">
        <v>1</v>
      </c>
      <c r="AI335" s="55">
        <v>1</v>
      </c>
      <c r="AJ335" s="39" t="s">
        <v>104</v>
      </c>
      <c r="AK335" s="40">
        <v>2000</v>
      </c>
      <c r="AL335" s="24"/>
      <c r="AM335" s="24"/>
    </row>
    <row r="336" spans="2:39" x14ac:dyDescent="0.2">
      <c r="B336" s="50">
        <v>43689</v>
      </c>
      <c r="C336" s="35">
        <v>0.5395833333333333</v>
      </c>
      <c r="D336" s="35"/>
      <c r="E336" s="35" t="s">
        <v>111</v>
      </c>
      <c r="F336" s="37">
        <v>2</v>
      </c>
      <c r="G336" s="42" t="str">
        <f>VLOOKUP(F336,Key!$A$17:$B$21,2,FALSE)</f>
        <v>Road Vehicle</v>
      </c>
      <c r="H336" s="36">
        <v>4</v>
      </c>
      <c r="I336" s="43" t="str">
        <f>VLOOKUP(H336,Key!$A$2:$B$13,2,FALSE)</f>
        <v>Minibus</v>
      </c>
      <c r="J336" s="37" t="s">
        <v>123</v>
      </c>
      <c r="K336" s="37">
        <v>4</v>
      </c>
      <c r="L336" s="45" t="str">
        <f>VLOOKUP(K336,Key!$A$24:$B$29,2,FALSE)</f>
        <v>50-59</v>
      </c>
      <c r="M336" s="37" t="s">
        <v>228</v>
      </c>
      <c r="N336" s="32" t="s">
        <v>167</v>
      </c>
      <c r="O336" s="37" t="s">
        <v>168</v>
      </c>
      <c r="P336" s="39">
        <v>2</v>
      </c>
      <c r="Q336" s="34" t="str">
        <f>VLOOKUP(P336,Key!$E$2:$F$9,2,FALSE)</f>
        <v>Work</v>
      </c>
      <c r="R336" s="37" t="s">
        <v>219</v>
      </c>
      <c r="S336" s="32" t="s">
        <v>176</v>
      </c>
      <c r="T336" s="37" t="s">
        <v>168</v>
      </c>
      <c r="U336" s="32">
        <v>2</v>
      </c>
      <c r="V336" s="34" t="str">
        <f>VLOOKUP(U336,Key!$E$2:$F$9,2,FALSE)</f>
        <v>Work</v>
      </c>
      <c r="W336" s="34" t="str">
        <f t="shared" si="11"/>
        <v>Work-Work</v>
      </c>
      <c r="X336" s="47">
        <v>60000</v>
      </c>
      <c r="Y336" s="38">
        <v>70</v>
      </c>
      <c r="Z336" s="38">
        <v>3</v>
      </c>
      <c r="AA336" s="32">
        <v>10</v>
      </c>
      <c r="AB336" s="34" t="str">
        <f>VLOOKUP(AA336,Key!$C$20:$D$29,2,FALSE)</f>
        <v>Other</v>
      </c>
      <c r="AC336" s="32">
        <v>2</v>
      </c>
      <c r="AD336" s="34" t="str">
        <f>VLOOKUP(AC336,Key!$E$20:$F$24,2,FALSE)</f>
        <v>300,000-500,000</v>
      </c>
      <c r="AE336" s="32">
        <v>1</v>
      </c>
      <c r="AF336" s="55">
        <v>1</v>
      </c>
      <c r="AG336" s="55">
        <v>1</v>
      </c>
      <c r="AH336" s="55">
        <v>1</v>
      </c>
      <c r="AI336" s="55">
        <v>1</v>
      </c>
      <c r="AJ336" s="39" t="s">
        <v>104</v>
      </c>
      <c r="AK336" s="40"/>
      <c r="AL336" s="24"/>
      <c r="AM336" s="24"/>
    </row>
    <row r="337" spans="2:39" x14ac:dyDescent="0.2">
      <c r="B337" s="50">
        <v>43686</v>
      </c>
      <c r="C337" s="35">
        <v>0.65277777777777779</v>
      </c>
      <c r="D337" s="35"/>
      <c r="E337" s="35" t="s">
        <v>111</v>
      </c>
      <c r="F337" s="37">
        <v>2</v>
      </c>
      <c r="G337" s="42" t="str">
        <f>VLOOKUP(F337,Key!$A$17:$B$21,2,FALSE)</f>
        <v>Road Vehicle</v>
      </c>
      <c r="H337" s="36">
        <v>4</v>
      </c>
      <c r="I337" s="43" t="str">
        <f>VLOOKUP(H337,Key!$A$2:$B$13,2,FALSE)</f>
        <v>Minibus</v>
      </c>
      <c r="J337" s="37" t="s">
        <v>123</v>
      </c>
      <c r="K337" s="13">
        <v>4</v>
      </c>
      <c r="L337" s="45" t="str">
        <f>VLOOKUP(K337,Key!$A$24:$B$29,2,FALSE)</f>
        <v>50-59</v>
      </c>
      <c r="M337" s="44" t="s">
        <v>28</v>
      </c>
      <c r="N337" s="44" t="s">
        <v>188</v>
      </c>
      <c r="O337" s="37" t="s">
        <v>168</v>
      </c>
      <c r="P337" s="39">
        <v>2</v>
      </c>
      <c r="Q337" s="34" t="str">
        <f>VLOOKUP(P337,Key!$E$2:$F$9,2,FALSE)</f>
        <v>Work</v>
      </c>
      <c r="R337" s="37" t="s">
        <v>179</v>
      </c>
      <c r="S337" s="32" t="s">
        <v>179</v>
      </c>
      <c r="T337" s="37" t="s">
        <v>168</v>
      </c>
      <c r="U337" s="32">
        <v>4</v>
      </c>
      <c r="V337" s="34" t="str">
        <f>VLOOKUP(U337,Key!$E$2:$F$9,2,FALSE)</f>
        <v>Commercial</v>
      </c>
      <c r="W337" s="34" t="str">
        <f t="shared" si="11"/>
        <v>Work-Commercial</v>
      </c>
      <c r="X337" s="47">
        <v>50000</v>
      </c>
      <c r="Y337" s="38">
        <v>80</v>
      </c>
      <c r="Z337" s="38">
        <v>3</v>
      </c>
      <c r="AA337" s="32">
        <v>10</v>
      </c>
      <c r="AB337" s="34" t="str">
        <f>VLOOKUP(AA337,Key!$C$20:$D$29,2,FALSE)</f>
        <v>Other</v>
      </c>
      <c r="AC337" s="32">
        <v>1</v>
      </c>
      <c r="AD337" s="34" t="str">
        <f>VLOOKUP(AC337,Key!$E$20:$F$24,2,FALSE)</f>
        <v>&lt;300,000</v>
      </c>
      <c r="AE337" s="32">
        <v>1</v>
      </c>
      <c r="AF337" s="55">
        <v>1</v>
      </c>
      <c r="AG337" s="55">
        <v>1</v>
      </c>
      <c r="AH337" s="55">
        <v>2</v>
      </c>
      <c r="AI337" s="55">
        <v>1</v>
      </c>
      <c r="AJ337" s="39" t="s">
        <v>104</v>
      </c>
      <c r="AK337" s="40">
        <v>1000</v>
      </c>
      <c r="AL337" s="24"/>
      <c r="AM337" s="24"/>
    </row>
    <row r="338" spans="2:39" x14ac:dyDescent="0.2">
      <c r="B338" s="50">
        <v>43686</v>
      </c>
      <c r="C338" s="35">
        <v>0.66805555555555562</v>
      </c>
      <c r="D338" s="35"/>
      <c r="E338" s="35" t="s">
        <v>111</v>
      </c>
      <c r="F338" s="37">
        <v>2</v>
      </c>
      <c r="G338" s="42" t="str">
        <f>VLOOKUP(F338,Key!$A$17:$B$21,2,FALSE)</f>
        <v>Road Vehicle</v>
      </c>
      <c r="H338" s="36">
        <v>4</v>
      </c>
      <c r="I338" s="43" t="str">
        <f>VLOOKUP(H338,Key!$A$2:$B$13,2,FALSE)</f>
        <v>Minibus</v>
      </c>
      <c r="J338" s="37" t="s">
        <v>123</v>
      </c>
      <c r="K338" s="37">
        <v>4</v>
      </c>
      <c r="L338" s="45" t="str">
        <f>VLOOKUP(K338,Key!$A$24:$B$29,2,FALSE)</f>
        <v>50-59</v>
      </c>
      <c r="M338" s="37" t="s">
        <v>167</v>
      </c>
      <c r="N338" s="32" t="s">
        <v>167</v>
      </c>
      <c r="O338" s="37" t="s">
        <v>168</v>
      </c>
      <c r="P338" s="39">
        <v>2</v>
      </c>
      <c r="Q338" s="34" t="str">
        <f>VLOOKUP(P338,Key!$E$2:$F$9,2,FALSE)</f>
        <v>Work</v>
      </c>
      <c r="R338" s="37" t="s">
        <v>176</v>
      </c>
      <c r="S338" s="32" t="s">
        <v>176</v>
      </c>
      <c r="T338" s="37" t="s">
        <v>168</v>
      </c>
      <c r="U338" s="32">
        <v>2</v>
      </c>
      <c r="V338" s="34" t="str">
        <f>VLOOKUP(U338,Key!$E$2:$F$9,2,FALSE)</f>
        <v>Work</v>
      </c>
      <c r="W338" s="34" t="str">
        <f t="shared" si="11"/>
        <v>Work-Work</v>
      </c>
      <c r="X338" s="47">
        <v>40000</v>
      </c>
      <c r="Y338" s="38">
        <v>80</v>
      </c>
      <c r="Z338" s="38">
        <v>3</v>
      </c>
      <c r="AA338" s="32">
        <v>10</v>
      </c>
      <c r="AB338" s="34" t="str">
        <f>VLOOKUP(AA338,Key!$C$20:$D$29,2,FALSE)</f>
        <v>Other</v>
      </c>
      <c r="AC338" s="32">
        <v>2</v>
      </c>
      <c r="AD338" s="34" t="str">
        <f>VLOOKUP(AC338,Key!$E$20:$F$24,2,FALSE)</f>
        <v>300,000-500,000</v>
      </c>
      <c r="AE338" s="32">
        <v>2</v>
      </c>
      <c r="AF338" s="55">
        <v>3</v>
      </c>
      <c r="AG338" s="55">
        <v>4</v>
      </c>
      <c r="AH338" s="55">
        <v>1</v>
      </c>
      <c r="AI338" s="55">
        <v>5</v>
      </c>
      <c r="AJ338" s="39" t="s">
        <v>104</v>
      </c>
      <c r="AK338" s="40">
        <v>2500</v>
      </c>
      <c r="AL338" s="24"/>
      <c r="AM338" s="24"/>
    </row>
    <row r="339" spans="2:39" x14ac:dyDescent="0.2">
      <c r="B339" s="50">
        <v>43687</v>
      </c>
      <c r="C339" s="35">
        <v>0.60763888888888895</v>
      </c>
      <c r="D339" s="35"/>
      <c r="E339" s="35" t="s">
        <v>111</v>
      </c>
      <c r="F339" s="37">
        <v>2</v>
      </c>
      <c r="G339" s="42" t="str">
        <f>VLOOKUP(F339,Key!$A$17:$B$21,2,FALSE)</f>
        <v>Road Vehicle</v>
      </c>
      <c r="H339" s="36">
        <v>4</v>
      </c>
      <c r="I339" s="43" t="str">
        <f>VLOOKUP(H339,Key!$A$2:$B$13,2,FALSE)</f>
        <v>Minibus</v>
      </c>
      <c r="J339" s="37" t="s">
        <v>123</v>
      </c>
      <c r="K339" s="37">
        <v>4</v>
      </c>
      <c r="L339" s="45" t="str">
        <f>VLOOKUP(K339,Key!$A$24:$B$29,2,FALSE)</f>
        <v>50-59</v>
      </c>
      <c r="M339" s="37" t="s">
        <v>211</v>
      </c>
      <c r="N339" s="32" t="s">
        <v>167</v>
      </c>
      <c r="O339" s="37" t="s">
        <v>168</v>
      </c>
      <c r="P339" s="39">
        <v>2</v>
      </c>
      <c r="Q339" s="34" t="str">
        <f>VLOOKUP(P339,Key!$E$2:$F$9,2,FALSE)</f>
        <v>Work</v>
      </c>
      <c r="R339" s="37" t="s">
        <v>326</v>
      </c>
      <c r="S339" s="32" t="s">
        <v>176</v>
      </c>
      <c r="T339" s="37" t="s">
        <v>168</v>
      </c>
      <c r="U339" s="32">
        <v>2</v>
      </c>
      <c r="V339" s="34" t="str">
        <f>VLOOKUP(U339,Key!$E$2:$F$9,2,FALSE)</f>
        <v>Work</v>
      </c>
      <c r="W339" s="34" t="str">
        <f t="shared" si="11"/>
        <v>Work-Work</v>
      </c>
      <c r="X339" s="47">
        <v>70000</v>
      </c>
      <c r="Y339" s="38">
        <v>100</v>
      </c>
      <c r="Z339" s="38">
        <v>3</v>
      </c>
      <c r="AA339" s="32">
        <v>5</v>
      </c>
      <c r="AB339" s="34" t="str">
        <f>VLOOKUP(AA339,Key!$C$20:$D$29,2,FALSE)</f>
        <v>Professional</v>
      </c>
      <c r="AC339" s="32">
        <v>3</v>
      </c>
      <c r="AD339" s="34" t="str">
        <f>VLOOKUP(AC339,Key!$E$20:$F$24,2,FALSE)</f>
        <v>500,000-750,000</v>
      </c>
      <c r="AE339" s="32">
        <v>1</v>
      </c>
      <c r="AF339" s="55">
        <v>1</v>
      </c>
      <c r="AG339" s="55">
        <v>1</v>
      </c>
      <c r="AH339" s="55">
        <v>1</v>
      </c>
      <c r="AI339" s="55">
        <v>1</v>
      </c>
      <c r="AJ339" s="39" t="s">
        <v>104</v>
      </c>
      <c r="AK339" s="40">
        <v>3000</v>
      </c>
      <c r="AL339" s="24"/>
      <c r="AM339" s="24"/>
    </row>
    <row r="340" spans="2:39" x14ac:dyDescent="0.2">
      <c r="B340" s="50">
        <v>43687</v>
      </c>
      <c r="C340" s="35">
        <v>0.67013888888888884</v>
      </c>
      <c r="D340" s="35"/>
      <c r="E340" s="35" t="s">
        <v>111</v>
      </c>
      <c r="F340" s="37">
        <v>2</v>
      </c>
      <c r="G340" s="42" t="str">
        <f>VLOOKUP(F340,Key!$A$17:$B$21,2,FALSE)</f>
        <v>Road Vehicle</v>
      </c>
      <c r="H340" s="36">
        <v>4</v>
      </c>
      <c r="I340" s="43" t="str">
        <f>VLOOKUP(H340,Key!$A$2:$B$13,2,FALSE)</f>
        <v>Minibus</v>
      </c>
      <c r="J340" s="37" t="s">
        <v>123</v>
      </c>
      <c r="K340" s="37">
        <v>4</v>
      </c>
      <c r="L340" s="45" t="str">
        <f>VLOOKUP(K340,Key!$A$24:$B$29,2,FALSE)</f>
        <v>50-59</v>
      </c>
      <c r="M340" s="37" t="s">
        <v>247</v>
      </c>
      <c r="N340" s="32" t="s">
        <v>173</v>
      </c>
      <c r="O340" s="37" t="s">
        <v>168</v>
      </c>
      <c r="P340" s="39">
        <v>2</v>
      </c>
      <c r="Q340" s="34" t="str">
        <f>VLOOKUP(P340,Key!$E$2:$F$9,2,FALSE)</f>
        <v>Work</v>
      </c>
      <c r="R340" s="37" t="s">
        <v>218</v>
      </c>
      <c r="S340" s="32" t="s">
        <v>176</v>
      </c>
      <c r="T340" s="37" t="s">
        <v>168</v>
      </c>
      <c r="U340" s="32">
        <v>2</v>
      </c>
      <c r="V340" s="34" t="str">
        <f>VLOOKUP(U340,Key!$E$2:$F$9,2,FALSE)</f>
        <v>Work</v>
      </c>
      <c r="W340" s="34" t="str">
        <f t="shared" si="11"/>
        <v>Work-Work</v>
      </c>
      <c r="X340" s="47">
        <v>70000</v>
      </c>
      <c r="Y340" s="38">
        <v>100</v>
      </c>
      <c r="Z340" s="38">
        <v>3.5</v>
      </c>
      <c r="AA340" s="32">
        <v>6</v>
      </c>
      <c r="AB340" s="34" t="str">
        <f>VLOOKUP(AA340,Key!$C$20:$D$29,2,FALSE)</f>
        <v>Businessman</v>
      </c>
      <c r="AC340" s="32">
        <v>4</v>
      </c>
      <c r="AD340" s="34" t="str">
        <f>VLOOKUP(AC340,Key!$E$20:$F$24,2,FALSE)</f>
        <v>750,000-1,000,000</v>
      </c>
      <c r="AE340" s="32">
        <v>1</v>
      </c>
      <c r="AF340" s="55">
        <v>1</v>
      </c>
      <c r="AG340" s="55">
        <v>1</v>
      </c>
      <c r="AH340" s="55">
        <v>1</v>
      </c>
      <c r="AI340" s="55">
        <v>1</v>
      </c>
      <c r="AJ340" s="39" t="s">
        <v>104</v>
      </c>
      <c r="AK340" s="40">
        <v>1500</v>
      </c>
      <c r="AL340" s="24"/>
      <c r="AM340" s="24"/>
    </row>
    <row r="341" spans="2:39" hidden="1" x14ac:dyDescent="0.2">
      <c r="B341" s="50">
        <v>43690</v>
      </c>
      <c r="C341" s="35">
        <v>0.38194444444444442</v>
      </c>
      <c r="D341" s="35"/>
      <c r="E341" s="35" t="s">
        <v>111</v>
      </c>
      <c r="F341" s="37">
        <v>2</v>
      </c>
      <c r="G341" s="42" t="str">
        <f>VLOOKUP(F341,Key!$A$17:$B$21,2,FALSE)</f>
        <v>Road Vehicle</v>
      </c>
      <c r="H341" s="36">
        <v>4</v>
      </c>
      <c r="I341" s="43" t="str">
        <f>VLOOKUP(H341,Key!$A$2:$B$13,2,FALSE)</f>
        <v>Minibus</v>
      </c>
      <c r="J341" s="37" t="s">
        <v>123</v>
      </c>
      <c r="K341" s="37">
        <v>2</v>
      </c>
      <c r="L341" s="45" t="str">
        <f>VLOOKUP(K341,Key!$A$24:$B$29,2,FALSE)</f>
        <v>30-39</v>
      </c>
      <c r="M341" s="37" t="s">
        <v>167</v>
      </c>
      <c r="N341" s="32" t="s">
        <v>167</v>
      </c>
      <c r="O341" s="37" t="s">
        <v>168</v>
      </c>
      <c r="P341" s="39">
        <v>2</v>
      </c>
      <c r="Q341" s="34" t="str">
        <f>VLOOKUP(P341,Key!$E$2:$F$9,2,FALSE)</f>
        <v>Work</v>
      </c>
      <c r="R341" s="37" t="s">
        <v>199</v>
      </c>
      <c r="S341" s="32" t="s">
        <v>199</v>
      </c>
      <c r="T341" s="37" t="s">
        <v>168</v>
      </c>
      <c r="U341" s="32">
        <v>2</v>
      </c>
      <c r="V341" s="34" t="str">
        <f>VLOOKUP(U341,Key!$E$2:$F$9,2,FALSE)</f>
        <v>Work</v>
      </c>
      <c r="W341" s="34" t="str">
        <f t="shared" si="11"/>
        <v>Work-Work</v>
      </c>
      <c r="X341" s="47">
        <v>120000</v>
      </c>
      <c r="Y341" s="38">
        <v>109</v>
      </c>
      <c r="Z341" s="38">
        <v>3</v>
      </c>
      <c r="AA341" s="32">
        <v>10</v>
      </c>
      <c r="AB341" s="34" t="str">
        <f>VLOOKUP(AA341,Key!$C$20:$D$29,2,FALSE)</f>
        <v>Other</v>
      </c>
      <c r="AC341" s="32">
        <v>2</v>
      </c>
      <c r="AD341" s="34" t="str">
        <f>VLOOKUP(AC341,Key!$E$20:$F$24,2,FALSE)</f>
        <v>300,000-500,000</v>
      </c>
      <c r="AE341" s="32">
        <v>2</v>
      </c>
      <c r="AF341" s="55">
        <v>3</v>
      </c>
      <c r="AG341" s="55">
        <v>2</v>
      </c>
      <c r="AH341" s="55">
        <v>3</v>
      </c>
      <c r="AI341" s="55">
        <v>1</v>
      </c>
      <c r="AJ341" s="39" t="s">
        <v>104</v>
      </c>
      <c r="AK341" s="40"/>
      <c r="AL341" s="24"/>
      <c r="AM341" s="24"/>
    </row>
    <row r="342" spans="2:39" hidden="1" x14ac:dyDescent="0.2">
      <c r="B342" s="50">
        <v>43690</v>
      </c>
      <c r="C342" s="35">
        <v>0.64652777777777781</v>
      </c>
      <c r="D342" s="35"/>
      <c r="E342" s="35" t="s">
        <v>111</v>
      </c>
      <c r="F342" s="37">
        <v>2</v>
      </c>
      <c r="G342" s="42" t="str">
        <f>VLOOKUP(F342,Key!$A$17:$B$21,2,FALSE)</f>
        <v>Road Vehicle</v>
      </c>
      <c r="H342" s="36">
        <v>4</v>
      </c>
      <c r="I342" s="43" t="str">
        <f>VLOOKUP(H342,Key!$A$2:$B$13,2,FALSE)</f>
        <v>Minibus</v>
      </c>
      <c r="J342" s="37" t="s">
        <v>123</v>
      </c>
      <c r="K342" s="37">
        <v>3</v>
      </c>
      <c r="L342" s="45" t="str">
        <f>VLOOKUP(K342,Key!$A$24:$B$29,2,FALSE)</f>
        <v>40-49</v>
      </c>
      <c r="M342" s="44" t="s">
        <v>167</v>
      </c>
      <c r="N342" s="32" t="s">
        <v>167</v>
      </c>
      <c r="O342" s="37" t="s">
        <v>168</v>
      </c>
      <c r="P342" s="39">
        <v>2</v>
      </c>
      <c r="Q342" s="34" t="str">
        <f>VLOOKUP(P342,Key!$E$2:$F$9,2,FALSE)</f>
        <v>Work</v>
      </c>
      <c r="R342" s="37" t="s">
        <v>183</v>
      </c>
      <c r="S342" s="32" t="s">
        <v>183</v>
      </c>
      <c r="T342" s="37" t="s">
        <v>168</v>
      </c>
      <c r="U342" s="32">
        <v>2</v>
      </c>
      <c r="V342" s="34" t="str">
        <f>VLOOKUP(U342,Key!$E$2:$F$9,2,FALSE)</f>
        <v>Work</v>
      </c>
      <c r="W342" s="34" t="str">
        <f t="shared" si="11"/>
        <v>Work-Work</v>
      </c>
      <c r="X342" s="47">
        <v>120000</v>
      </c>
      <c r="Y342" s="38">
        <v>110</v>
      </c>
      <c r="Z342" s="38">
        <v>3</v>
      </c>
      <c r="AA342" s="32">
        <v>10</v>
      </c>
      <c r="AB342" s="34" t="str">
        <f>VLOOKUP(AA342,Key!$C$20:$D$29,2,FALSE)</f>
        <v>Other</v>
      </c>
      <c r="AC342" s="32">
        <v>1</v>
      </c>
      <c r="AD342" s="34" t="str">
        <f>VLOOKUP(AC342,Key!$E$20:$F$24,2,FALSE)</f>
        <v>&lt;300,000</v>
      </c>
      <c r="AE342" s="32">
        <v>1</v>
      </c>
      <c r="AF342" s="55">
        <v>1</v>
      </c>
      <c r="AG342" s="55">
        <v>1</v>
      </c>
      <c r="AH342" s="55">
        <v>1</v>
      </c>
      <c r="AI342" s="55">
        <v>1</v>
      </c>
      <c r="AJ342" s="39" t="s">
        <v>104</v>
      </c>
      <c r="AK342" s="40"/>
      <c r="AL342" s="24"/>
      <c r="AM342" s="24"/>
    </row>
    <row r="343" spans="2:39" hidden="1" x14ac:dyDescent="0.2">
      <c r="B343" s="50">
        <v>43690</v>
      </c>
      <c r="C343" s="35">
        <v>0.35138888888888892</v>
      </c>
      <c r="D343" s="35"/>
      <c r="E343" s="35" t="s">
        <v>111</v>
      </c>
      <c r="F343" s="37">
        <v>2</v>
      </c>
      <c r="G343" s="42" t="str">
        <f>VLOOKUP(F343,Key!$A$17:$B$21,2,FALSE)</f>
        <v>Road Vehicle</v>
      </c>
      <c r="H343" s="36">
        <v>4</v>
      </c>
      <c r="I343" s="43" t="str">
        <f>VLOOKUP(H343,Key!$A$2:$B$13,2,FALSE)</f>
        <v>Minibus</v>
      </c>
      <c r="J343" s="37" t="s">
        <v>123</v>
      </c>
      <c r="K343" s="37">
        <v>1</v>
      </c>
      <c r="L343" s="45" t="str">
        <f>VLOOKUP(K343,Key!$A$24:$B$29,2,FALSE)</f>
        <v>20-29</v>
      </c>
      <c r="M343" s="37" t="s">
        <v>167</v>
      </c>
      <c r="N343" s="32" t="s">
        <v>167</v>
      </c>
      <c r="O343" s="37" t="s">
        <v>168</v>
      </c>
      <c r="P343" s="39">
        <v>2</v>
      </c>
      <c r="Q343" s="34" t="str">
        <f>VLOOKUP(P343,Key!$E$2:$F$9,2,FALSE)</f>
        <v>Work</v>
      </c>
      <c r="R343" s="37" t="s">
        <v>199</v>
      </c>
      <c r="S343" s="32" t="s">
        <v>199</v>
      </c>
      <c r="T343" s="37" t="s">
        <v>168</v>
      </c>
      <c r="U343" s="32">
        <v>2</v>
      </c>
      <c r="V343" s="34" t="str">
        <f>VLOOKUP(U343,Key!$E$2:$F$9,2,FALSE)</f>
        <v>Work</v>
      </c>
      <c r="W343" s="34" t="str">
        <f t="shared" si="11"/>
        <v>Work-Work</v>
      </c>
      <c r="X343" s="47">
        <v>110000</v>
      </c>
      <c r="Y343" s="38">
        <v>115</v>
      </c>
      <c r="Z343" s="38">
        <v>2.5</v>
      </c>
      <c r="AA343" s="32">
        <v>10</v>
      </c>
      <c r="AB343" s="34" t="str">
        <f>VLOOKUP(AA343,Key!$C$20:$D$29,2,FALSE)</f>
        <v>Other</v>
      </c>
      <c r="AC343" s="32">
        <v>2</v>
      </c>
      <c r="AD343" s="34" t="str">
        <f>VLOOKUP(AC343,Key!$E$20:$F$24,2,FALSE)</f>
        <v>300,000-500,000</v>
      </c>
      <c r="AE343" s="32">
        <v>3</v>
      </c>
      <c r="AF343" s="55">
        <v>4</v>
      </c>
      <c r="AG343" s="55">
        <v>4</v>
      </c>
      <c r="AH343" s="55">
        <v>3</v>
      </c>
      <c r="AI343" s="55">
        <v>2</v>
      </c>
      <c r="AJ343" s="39" t="s">
        <v>104</v>
      </c>
      <c r="AK343" s="40">
        <v>3000</v>
      </c>
      <c r="AL343" s="24"/>
      <c r="AM343" s="24"/>
    </row>
    <row r="344" spans="2:39" hidden="1" x14ac:dyDescent="0.2">
      <c r="B344" s="50">
        <v>43690</v>
      </c>
      <c r="C344" s="35">
        <v>0.3611111111111111</v>
      </c>
      <c r="D344" s="35"/>
      <c r="E344" s="35" t="s">
        <v>111</v>
      </c>
      <c r="F344" s="37">
        <v>2</v>
      </c>
      <c r="G344" s="42" t="str">
        <f>VLOOKUP(F344,Key!$A$17:$B$21,2,FALSE)</f>
        <v>Road Vehicle</v>
      </c>
      <c r="H344" s="36">
        <v>4</v>
      </c>
      <c r="I344" s="43" t="str">
        <f>VLOOKUP(H344,Key!$A$2:$B$13,2,FALSE)</f>
        <v>Minibus</v>
      </c>
      <c r="J344" s="37" t="s">
        <v>123</v>
      </c>
      <c r="K344" s="37">
        <v>2</v>
      </c>
      <c r="L344" s="45" t="str">
        <f>VLOOKUP(K344,Key!$A$24:$B$29,2,FALSE)</f>
        <v>30-39</v>
      </c>
      <c r="M344" s="37" t="s">
        <v>315</v>
      </c>
      <c r="N344" s="32" t="s">
        <v>179</v>
      </c>
      <c r="O344" s="37" t="s">
        <v>168</v>
      </c>
      <c r="P344" s="39">
        <v>4</v>
      </c>
      <c r="Q344" s="34" t="str">
        <f>VLOOKUP(P344,Key!$E$2:$F$9,2,FALSE)</f>
        <v>Commercial</v>
      </c>
      <c r="R344" s="37" t="s">
        <v>274</v>
      </c>
      <c r="S344" s="32" t="s">
        <v>190</v>
      </c>
      <c r="T344" s="37" t="s">
        <v>168</v>
      </c>
      <c r="U344" s="32">
        <v>2</v>
      </c>
      <c r="V344" s="34" t="str">
        <f>VLOOKUP(U344,Key!$E$2:$F$9,2,FALSE)</f>
        <v>Work</v>
      </c>
      <c r="W344" s="34" t="str">
        <f t="shared" si="11"/>
        <v>Commercial-Work</v>
      </c>
      <c r="X344" s="47">
        <v>100000</v>
      </c>
      <c r="Y344" s="38">
        <v>130</v>
      </c>
      <c r="Z344" s="38">
        <v>3</v>
      </c>
      <c r="AA344" s="32">
        <v>5</v>
      </c>
      <c r="AB344" s="34" t="str">
        <f>VLOOKUP(AA344,Key!$C$20:$D$29,2,FALSE)</f>
        <v>Professional</v>
      </c>
      <c r="AC344" s="32">
        <v>1</v>
      </c>
      <c r="AD344" s="34" t="str">
        <f>VLOOKUP(AC344,Key!$E$20:$F$24,2,FALSE)</f>
        <v>&lt;300,000</v>
      </c>
      <c r="AE344" s="32">
        <v>1</v>
      </c>
      <c r="AF344" s="55">
        <v>1</v>
      </c>
      <c r="AG344" s="55">
        <v>2</v>
      </c>
      <c r="AH344" s="55">
        <v>1</v>
      </c>
      <c r="AI344" s="55">
        <v>2</v>
      </c>
      <c r="AJ344" s="39" t="s">
        <v>104</v>
      </c>
      <c r="AK344" s="40">
        <v>5000</v>
      </c>
      <c r="AL344" s="24"/>
      <c r="AM344" s="24"/>
    </row>
    <row r="345" spans="2:39" hidden="1" x14ac:dyDescent="0.2">
      <c r="B345" s="50">
        <v>43690</v>
      </c>
      <c r="C345" s="35">
        <v>0.35694444444444445</v>
      </c>
      <c r="D345" s="35"/>
      <c r="E345" s="35" t="s">
        <v>111</v>
      </c>
      <c r="F345" s="37">
        <v>2</v>
      </c>
      <c r="G345" s="42" t="str">
        <f>VLOOKUP(F345,Key!$A$17:$B$21,2,FALSE)</f>
        <v>Road Vehicle</v>
      </c>
      <c r="H345" s="36">
        <v>4</v>
      </c>
      <c r="I345" s="43" t="str">
        <f>VLOOKUP(H345,Key!$A$2:$B$13,2,FALSE)</f>
        <v>Minibus</v>
      </c>
      <c r="J345" s="37" t="s">
        <v>123</v>
      </c>
      <c r="K345" s="37">
        <v>2</v>
      </c>
      <c r="L345" s="45" t="str">
        <f>VLOOKUP(K345,Key!$A$24:$B$29,2,FALSE)</f>
        <v>30-39</v>
      </c>
      <c r="M345" s="37" t="s">
        <v>247</v>
      </c>
      <c r="N345" s="32" t="s">
        <v>167</v>
      </c>
      <c r="O345" s="37" t="s">
        <v>168</v>
      </c>
      <c r="P345" s="39">
        <v>2</v>
      </c>
      <c r="Q345" s="34" t="str">
        <f>VLOOKUP(P345,Key!$E$2:$F$9,2,FALSE)</f>
        <v>Work</v>
      </c>
      <c r="R345" s="37" t="s">
        <v>219</v>
      </c>
      <c r="S345" s="32" t="s">
        <v>183</v>
      </c>
      <c r="T345" s="37" t="s">
        <v>168</v>
      </c>
      <c r="U345" s="32">
        <v>4</v>
      </c>
      <c r="V345" s="34" t="str">
        <f>VLOOKUP(U345,Key!$E$2:$F$9,2,FALSE)</f>
        <v>Commercial</v>
      </c>
      <c r="W345" s="34" t="str">
        <f t="shared" si="11"/>
        <v>Work-Commercial</v>
      </c>
      <c r="X345" s="47">
        <v>120000</v>
      </c>
      <c r="Y345" s="38">
        <v>130</v>
      </c>
      <c r="Z345" s="38">
        <v>4</v>
      </c>
      <c r="AA345" s="32">
        <v>10</v>
      </c>
      <c r="AB345" s="34" t="str">
        <f>VLOOKUP(AA345,Key!$C$20:$D$29,2,FALSE)</f>
        <v>Other</v>
      </c>
      <c r="AC345" s="32">
        <v>1</v>
      </c>
      <c r="AD345" s="34" t="str">
        <f>VLOOKUP(AC345,Key!$E$20:$F$24,2,FALSE)</f>
        <v>&lt;300,000</v>
      </c>
      <c r="AE345" s="32">
        <v>1</v>
      </c>
      <c r="AF345" s="55">
        <v>1</v>
      </c>
      <c r="AG345" s="55">
        <v>1</v>
      </c>
      <c r="AH345" s="55">
        <v>1</v>
      </c>
      <c r="AI345" s="55">
        <v>1</v>
      </c>
      <c r="AJ345" s="39" t="s">
        <v>104</v>
      </c>
      <c r="AK345" s="40">
        <v>1000</v>
      </c>
      <c r="AL345" s="24"/>
      <c r="AM345" s="24"/>
    </row>
    <row r="346" spans="2:39" hidden="1" x14ac:dyDescent="0.2">
      <c r="B346" s="50">
        <v>43690</v>
      </c>
      <c r="C346" s="35">
        <v>0.40902777777777777</v>
      </c>
      <c r="D346" s="35"/>
      <c r="E346" s="35" t="s">
        <v>111</v>
      </c>
      <c r="F346" s="37">
        <v>2</v>
      </c>
      <c r="G346" s="42" t="str">
        <f>VLOOKUP(F346,Key!$A$17:$B$21,2,FALSE)</f>
        <v>Road Vehicle</v>
      </c>
      <c r="H346" s="36">
        <v>4</v>
      </c>
      <c r="I346" s="43" t="str">
        <f>VLOOKUP(H346,Key!$A$2:$B$13,2,FALSE)</f>
        <v>Minibus</v>
      </c>
      <c r="J346" s="37" t="s">
        <v>123</v>
      </c>
      <c r="K346" s="37">
        <v>2</v>
      </c>
      <c r="L346" s="45" t="str">
        <f>VLOOKUP(K346,Key!$A$24:$B$29,2,FALSE)</f>
        <v>30-39</v>
      </c>
      <c r="M346" s="37" t="s">
        <v>297</v>
      </c>
      <c r="N346" s="32" t="s">
        <v>167</v>
      </c>
      <c r="O346" s="37" t="s">
        <v>168</v>
      </c>
      <c r="P346" s="39">
        <v>2</v>
      </c>
      <c r="Q346" s="34" t="str">
        <f>VLOOKUP(P346,Key!$E$2:$F$9,2,FALSE)</f>
        <v>Work</v>
      </c>
      <c r="R346" s="37" t="s">
        <v>169</v>
      </c>
      <c r="S346" s="32" t="s">
        <v>169</v>
      </c>
      <c r="T346" s="37" t="s">
        <v>168</v>
      </c>
      <c r="U346" s="32">
        <v>2</v>
      </c>
      <c r="V346" s="34" t="str">
        <f>VLOOKUP(U346,Key!$E$2:$F$9,2,FALSE)</f>
        <v>Work</v>
      </c>
      <c r="W346" s="34" t="str">
        <f t="shared" si="11"/>
        <v>Work-Work</v>
      </c>
      <c r="X346" s="47">
        <v>50000</v>
      </c>
      <c r="Y346" s="38">
        <v>140</v>
      </c>
      <c r="Z346" s="38">
        <v>2</v>
      </c>
      <c r="AA346" s="32">
        <v>10</v>
      </c>
      <c r="AB346" s="34" t="str">
        <f>VLOOKUP(AA346,Key!$C$20:$D$29,2,FALSE)</f>
        <v>Other</v>
      </c>
      <c r="AC346" s="32">
        <v>3</v>
      </c>
      <c r="AD346" s="34" t="str">
        <f>VLOOKUP(AC346,Key!$E$20:$F$24,2,FALSE)</f>
        <v>500,000-750,000</v>
      </c>
      <c r="AE346" s="32">
        <v>2</v>
      </c>
      <c r="AF346" s="55">
        <v>3</v>
      </c>
      <c r="AG346" s="55">
        <v>4</v>
      </c>
      <c r="AH346" s="55">
        <v>1</v>
      </c>
      <c r="AI346" s="55">
        <v>5</v>
      </c>
      <c r="AJ346" s="39" t="s">
        <v>104</v>
      </c>
      <c r="AK346" s="40">
        <v>2000</v>
      </c>
      <c r="AL346" s="24"/>
      <c r="AM346" s="24"/>
    </row>
    <row r="347" spans="2:39" hidden="1" x14ac:dyDescent="0.2">
      <c r="B347" s="50">
        <v>43690</v>
      </c>
      <c r="C347" s="35">
        <v>0.4201388888888889</v>
      </c>
      <c r="D347" s="35"/>
      <c r="E347" s="35" t="s">
        <v>111</v>
      </c>
      <c r="F347" s="37">
        <v>2</v>
      </c>
      <c r="G347" s="42" t="str">
        <f>VLOOKUP(F347,Key!$A$17:$B$21,2,FALSE)</f>
        <v>Road Vehicle</v>
      </c>
      <c r="H347" s="36">
        <v>4</v>
      </c>
      <c r="I347" s="43" t="str">
        <f>VLOOKUP(H347,Key!$A$2:$B$13,2,FALSE)</f>
        <v>Minibus</v>
      </c>
      <c r="J347" s="37" t="s">
        <v>123</v>
      </c>
      <c r="K347" s="37">
        <v>2</v>
      </c>
      <c r="L347" s="45" t="str">
        <f>VLOOKUP(K347,Key!$A$24:$B$29,2,FALSE)</f>
        <v>30-39</v>
      </c>
      <c r="M347" s="37" t="s">
        <v>167</v>
      </c>
      <c r="N347" s="32" t="s">
        <v>167</v>
      </c>
      <c r="O347" s="37" t="s">
        <v>168</v>
      </c>
      <c r="P347" s="39">
        <v>1</v>
      </c>
      <c r="Q347" s="34" t="str">
        <f>VLOOKUP(P347,Key!$E$2:$F$9,2,FALSE)</f>
        <v>Home</v>
      </c>
      <c r="R347" s="37" t="s">
        <v>169</v>
      </c>
      <c r="S347" s="32" t="s">
        <v>169</v>
      </c>
      <c r="T347" s="37" t="s">
        <v>168</v>
      </c>
      <c r="U347" s="32">
        <v>4</v>
      </c>
      <c r="V347" s="34" t="str">
        <f>VLOOKUP(U347,Key!$E$2:$F$9,2,FALSE)</f>
        <v>Commercial</v>
      </c>
      <c r="W347" s="34" t="str">
        <f t="shared" si="11"/>
        <v>Home-Commercial</v>
      </c>
      <c r="X347" s="47">
        <v>50000</v>
      </c>
      <c r="Y347" s="38">
        <v>140</v>
      </c>
      <c r="Z347" s="38">
        <v>2</v>
      </c>
      <c r="AA347" s="32">
        <v>6</v>
      </c>
      <c r="AB347" s="34" t="str">
        <f>VLOOKUP(AA347,Key!$C$20:$D$29,2,FALSE)</f>
        <v>Businessman</v>
      </c>
      <c r="AC347" s="32">
        <v>5</v>
      </c>
      <c r="AD347" s="34" t="str">
        <f>VLOOKUP(AC347,Key!$E$20:$F$24,2,FALSE)</f>
        <v>&gt;1,000,000</v>
      </c>
      <c r="AE347" s="32">
        <v>3</v>
      </c>
      <c r="AF347" s="55">
        <v>2</v>
      </c>
      <c r="AG347" s="55">
        <v>3</v>
      </c>
      <c r="AH347" s="55">
        <v>1</v>
      </c>
      <c r="AI347" s="55">
        <v>4</v>
      </c>
      <c r="AJ347" s="39" t="s">
        <v>104</v>
      </c>
      <c r="AK347" s="40">
        <v>5000</v>
      </c>
      <c r="AL347" s="24"/>
      <c r="AM347" s="24"/>
    </row>
    <row r="348" spans="2:39" hidden="1" x14ac:dyDescent="0.2">
      <c r="B348" s="50">
        <v>43690</v>
      </c>
      <c r="C348" s="35">
        <v>0.4145833333333333</v>
      </c>
      <c r="D348" s="35"/>
      <c r="E348" s="35" t="s">
        <v>111</v>
      </c>
      <c r="F348" s="37">
        <v>2</v>
      </c>
      <c r="G348" s="42" t="str">
        <f>VLOOKUP(F348,Key!$A$17:$B$21,2,FALSE)</f>
        <v>Road Vehicle</v>
      </c>
      <c r="H348" s="36">
        <v>4</v>
      </c>
      <c r="I348" s="43" t="str">
        <f>VLOOKUP(H348,Key!$A$2:$B$13,2,FALSE)</f>
        <v>Minibus</v>
      </c>
      <c r="J348" s="37" t="s">
        <v>123</v>
      </c>
      <c r="K348" s="37">
        <v>2</v>
      </c>
      <c r="L348" s="45" t="str">
        <f>VLOOKUP(K348,Key!$A$24:$B$29,2,FALSE)</f>
        <v>30-39</v>
      </c>
      <c r="M348" s="37" t="s">
        <v>169</v>
      </c>
      <c r="N348" s="32" t="s">
        <v>169</v>
      </c>
      <c r="O348" s="37" t="s">
        <v>168</v>
      </c>
      <c r="P348" s="39">
        <v>2</v>
      </c>
      <c r="Q348" s="34" t="str">
        <f>VLOOKUP(P348,Key!$E$2:$F$9,2,FALSE)</f>
        <v>Work</v>
      </c>
      <c r="R348" s="37" t="s">
        <v>167</v>
      </c>
      <c r="S348" s="32" t="s">
        <v>167</v>
      </c>
      <c r="T348" s="37" t="s">
        <v>168</v>
      </c>
      <c r="U348" s="32">
        <v>2</v>
      </c>
      <c r="V348" s="34" t="str">
        <f>VLOOKUP(U348,Key!$E$2:$F$9,2,FALSE)</f>
        <v>Work</v>
      </c>
      <c r="W348" s="34" t="str">
        <f t="shared" si="11"/>
        <v>Work-Work</v>
      </c>
      <c r="X348" s="47">
        <v>120000</v>
      </c>
      <c r="Y348" s="38">
        <v>140</v>
      </c>
      <c r="Z348" s="38">
        <v>2.5</v>
      </c>
      <c r="AA348" s="32">
        <v>10</v>
      </c>
      <c r="AB348" s="34" t="str">
        <f>VLOOKUP(AA348,Key!$C$20:$D$29,2,FALSE)</f>
        <v>Other</v>
      </c>
      <c r="AC348" s="32">
        <v>2</v>
      </c>
      <c r="AD348" s="34" t="str">
        <f>VLOOKUP(AC348,Key!$E$20:$F$24,2,FALSE)</f>
        <v>300,000-500,000</v>
      </c>
      <c r="AE348" s="32">
        <v>3</v>
      </c>
      <c r="AF348" s="55">
        <v>4</v>
      </c>
      <c r="AG348" s="55">
        <v>3</v>
      </c>
      <c r="AH348" s="55">
        <v>3</v>
      </c>
      <c r="AI348" s="55">
        <v>2</v>
      </c>
      <c r="AJ348" s="39" t="s">
        <v>104</v>
      </c>
      <c r="AK348" s="40"/>
      <c r="AL348" s="24"/>
      <c r="AM348" s="24"/>
    </row>
    <row r="349" spans="2:39" hidden="1" x14ac:dyDescent="0.2">
      <c r="B349" s="50">
        <v>43690</v>
      </c>
      <c r="C349" s="35">
        <v>0.61111111111111105</v>
      </c>
      <c r="D349" s="35"/>
      <c r="E349" s="35" t="s">
        <v>111</v>
      </c>
      <c r="F349" s="37">
        <v>2</v>
      </c>
      <c r="G349" s="42" t="str">
        <f>VLOOKUP(F349,Key!$A$17:$B$21,2,FALSE)</f>
        <v>Road Vehicle</v>
      </c>
      <c r="H349" s="36">
        <v>4</v>
      </c>
      <c r="I349" s="43" t="str">
        <f>VLOOKUP(H349,Key!$A$2:$B$13,2,FALSE)</f>
        <v>Minibus</v>
      </c>
      <c r="J349" s="37" t="s">
        <v>123</v>
      </c>
      <c r="K349" s="37">
        <v>2</v>
      </c>
      <c r="L349" s="45" t="str">
        <f>VLOOKUP(K349,Key!$A$24:$B$29,2,FALSE)</f>
        <v>30-39</v>
      </c>
      <c r="M349" s="37" t="s">
        <v>167</v>
      </c>
      <c r="N349" s="32" t="s">
        <v>167</v>
      </c>
      <c r="O349" s="37" t="s">
        <v>168</v>
      </c>
      <c r="P349" s="39">
        <v>1</v>
      </c>
      <c r="Q349" s="34" t="str">
        <f>VLOOKUP(P349,Key!$E$2:$F$9,2,FALSE)</f>
        <v>Home</v>
      </c>
      <c r="R349" s="37" t="s">
        <v>169</v>
      </c>
      <c r="S349" s="32" t="s">
        <v>169</v>
      </c>
      <c r="T349" s="37" t="s">
        <v>168</v>
      </c>
      <c r="U349" s="32">
        <v>4</v>
      </c>
      <c r="V349" s="34" t="str">
        <f>VLOOKUP(U349,Key!$E$2:$F$9,2,FALSE)</f>
        <v>Commercial</v>
      </c>
      <c r="W349" s="34" t="str">
        <f t="shared" si="11"/>
        <v>Home-Commercial</v>
      </c>
      <c r="X349" s="47">
        <v>60000</v>
      </c>
      <c r="Y349" s="38">
        <v>140</v>
      </c>
      <c r="Z349" s="38">
        <v>3</v>
      </c>
      <c r="AA349" s="32">
        <v>10</v>
      </c>
      <c r="AB349" s="34" t="str">
        <f>VLOOKUP(AA349,Key!$C$20:$D$29,2,FALSE)</f>
        <v>Other</v>
      </c>
      <c r="AC349" s="32">
        <v>3</v>
      </c>
      <c r="AD349" s="34" t="str">
        <f>VLOOKUP(AC349,Key!$E$20:$F$24,2,FALSE)</f>
        <v>500,000-750,000</v>
      </c>
      <c r="AE349" s="32">
        <v>3</v>
      </c>
      <c r="AF349" s="55">
        <v>2</v>
      </c>
      <c r="AG349" s="55">
        <v>3</v>
      </c>
      <c r="AH349" s="55">
        <v>1</v>
      </c>
      <c r="AI349" s="55">
        <v>4</v>
      </c>
      <c r="AJ349" s="39" t="s">
        <v>104</v>
      </c>
      <c r="AK349" s="40">
        <v>3000</v>
      </c>
      <c r="AL349" s="24"/>
      <c r="AM349" s="24"/>
    </row>
    <row r="350" spans="2:39" hidden="1" x14ac:dyDescent="0.2">
      <c r="B350" s="50">
        <v>43689</v>
      </c>
      <c r="C350" s="35">
        <v>0.40972222222222227</v>
      </c>
      <c r="D350" s="35"/>
      <c r="E350" s="35" t="s">
        <v>111</v>
      </c>
      <c r="F350" s="37">
        <v>2</v>
      </c>
      <c r="G350" s="42" t="str">
        <f>VLOOKUP(F350,Key!$A$17:$B$21,2,FALSE)</f>
        <v>Road Vehicle</v>
      </c>
      <c r="H350" s="36">
        <v>4</v>
      </c>
      <c r="I350" s="43" t="str">
        <f>VLOOKUP(H350,Key!$A$2:$B$13,2,FALSE)</f>
        <v>Minibus</v>
      </c>
      <c r="J350" s="37" t="s">
        <v>123</v>
      </c>
      <c r="K350" s="37">
        <v>2</v>
      </c>
      <c r="L350" s="45" t="str">
        <f>VLOOKUP(K350,Key!$A$24:$B$29,2,FALSE)</f>
        <v>30-39</v>
      </c>
      <c r="M350" s="44" t="s">
        <v>173</v>
      </c>
      <c r="N350" s="44" t="s">
        <v>173</v>
      </c>
      <c r="O350" s="37" t="s">
        <v>168</v>
      </c>
      <c r="P350" s="39">
        <v>2</v>
      </c>
      <c r="Q350" s="34" t="str">
        <f>VLOOKUP(P350,Key!$E$2:$F$9,2,FALSE)</f>
        <v>Work</v>
      </c>
      <c r="R350" s="37" t="s">
        <v>176</v>
      </c>
      <c r="S350" s="32" t="s">
        <v>176</v>
      </c>
      <c r="T350" s="37" t="s">
        <v>168</v>
      </c>
      <c r="U350" s="32">
        <v>2</v>
      </c>
      <c r="V350" s="34" t="str">
        <f>VLOOKUP(U350,Key!$E$2:$F$9,2,FALSE)</f>
        <v>Work</v>
      </c>
      <c r="W350" s="34" t="str">
        <f t="shared" si="11"/>
        <v>Work-Work</v>
      </c>
      <c r="X350" s="47">
        <v>80000</v>
      </c>
      <c r="Y350" s="38">
        <v>140</v>
      </c>
      <c r="Z350" s="38">
        <v>4</v>
      </c>
      <c r="AA350" s="32">
        <v>10</v>
      </c>
      <c r="AB350" s="34" t="str">
        <f>VLOOKUP(AA350,Key!$C$20:$D$29,2,FALSE)</f>
        <v>Other</v>
      </c>
      <c r="AC350" s="32">
        <v>1</v>
      </c>
      <c r="AD350" s="34" t="str">
        <f>VLOOKUP(AC350,Key!$E$20:$F$24,2,FALSE)</f>
        <v>&lt;300,000</v>
      </c>
      <c r="AE350" s="32">
        <v>1</v>
      </c>
      <c r="AF350" s="55">
        <v>1</v>
      </c>
      <c r="AG350" s="55">
        <v>2</v>
      </c>
      <c r="AH350" s="55">
        <v>1</v>
      </c>
      <c r="AI350" s="55">
        <v>2</v>
      </c>
      <c r="AJ350" s="39" t="s">
        <v>104</v>
      </c>
      <c r="AK350" s="40"/>
      <c r="AL350" s="24"/>
      <c r="AM350" s="24"/>
    </row>
    <row r="351" spans="2:39" hidden="1" x14ac:dyDescent="0.2">
      <c r="B351" s="50">
        <v>43689</v>
      </c>
      <c r="C351" s="35">
        <v>0.35416666666666669</v>
      </c>
      <c r="D351" s="35"/>
      <c r="E351" s="35" t="s">
        <v>111</v>
      </c>
      <c r="F351" s="37">
        <v>2</v>
      </c>
      <c r="G351" s="42" t="str">
        <f>VLOOKUP(F351,Key!$A$17:$B$21,2,FALSE)</f>
        <v>Road Vehicle</v>
      </c>
      <c r="H351" s="36">
        <v>4</v>
      </c>
      <c r="I351" s="43" t="str">
        <f>VLOOKUP(H351,Key!$A$2:$B$13,2,FALSE)</f>
        <v>Minibus</v>
      </c>
      <c r="J351" s="37" t="s">
        <v>123</v>
      </c>
      <c r="K351" s="37">
        <v>2</v>
      </c>
      <c r="L351" s="45" t="str">
        <f>VLOOKUP(K351,Key!$A$24:$B$29,2,FALSE)</f>
        <v>30-39</v>
      </c>
      <c r="M351" s="44" t="s">
        <v>173</v>
      </c>
      <c r="N351" s="44" t="s">
        <v>173</v>
      </c>
      <c r="O351" s="37" t="s">
        <v>168</v>
      </c>
      <c r="P351" s="39">
        <v>2</v>
      </c>
      <c r="Q351" s="34" t="str">
        <f>VLOOKUP(P351,Key!$E$2:$F$9,2,FALSE)</f>
        <v>Work</v>
      </c>
      <c r="R351" s="37" t="s">
        <v>176</v>
      </c>
      <c r="S351" s="32" t="s">
        <v>176</v>
      </c>
      <c r="T351" s="37" t="s">
        <v>168</v>
      </c>
      <c r="U351" s="32">
        <v>2</v>
      </c>
      <c r="V351" s="34" t="str">
        <f>VLOOKUP(U351,Key!$E$2:$F$9,2,FALSE)</f>
        <v>Work</v>
      </c>
      <c r="W351" s="34" t="str">
        <f t="shared" si="11"/>
        <v>Work-Work</v>
      </c>
      <c r="X351" s="47">
        <v>80000</v>
      </c>
      <c r="Y351" s="38">
        <v>140</v>
      </c>
      <c r="Z351" s="38">
        <v>4</v>
      </c>
      <c r="AA351" s="32">
        <v>10</v>
      </c>
      <c r="AB351" s="34" t="str">
        <f>VLOOKUP(AA351,Key!$C$20:$D$29,2,FALSE)</f>
        <v>Other</v>
      </c>
      <c r="AC351" s="32">
        <v>1</v>
      </c>
      <c r="AD351" s="34" t="str">
        <f>VLOOKUP(AC351,Key!$E$20:$F$24,2,FALSE)</f>
        <v>&lt;300,000</v>
      </c>
      <c r="AE351" s="32">
        <v>1</v>
      </c>
      <c r="AF351" s="55">
        <v>1</v>
      </c>
      <c r="AG351" s="55">
        <v>2</v>
      </c>
      <c r="AH351" s="55">
        <v>1</v>
      </c>
      <c r="AI351" s="55">
        <v>2</v>
      </c>
      <c r="AJ351" s="39" t="s">
        <v>104</v>
      </c>
      <c r="AK351" s="40"/>
      <c r="AL351" s="24"/>
      <c r="AM351" s="24"/>
    </row>
    <row r="352" spans="2:39" hidden="1" x14ac:dyDescent="0.2">
      <c r="B352" s="50">
        <v>43687</v>
      </c>
      <c r="C352" s="35">
        <v>0.61041666666666672</v>
      </c>
      <c r="D352" s="35"/>
      <c r="E352" s="35" t="s">
        <v>111</v>
      </c>
      <c r="F352" s="37">
        <v>2</v>
      </c>
      <c r="G352" s="42" t="str">
        <f>VLOOKUP(F352,Key!$A$17:$B$21,2,FALSE)</f>
        <v>Road Vehicle</v>
      </c>
      <c r="H352" s="36">
        <v>4</v>
      </c>
      <c r="I352" s="43" t="str">
        <f>VLOOKUP(H352,Key!$A$2:$B$13,2,FALSE)</f>
        <v>Minibus</v>
      </c>
      <c r="J352" s="37" t="s">
        <v>123</v>
      </c>
      <c r="K352" s="37">
        <v>3</v>
      </c>
      <c r="L352" s="45" t="str">
        <f>VLOOKUP(K352,Key!$A$24:$B$29,2,FALSE)</f>
        <v>40-49</v>
      </c>
      <c r="M352" s="44" t="s">
        <v>167</v>
      </c>
      <c r="N352" s="32" t="s">
        <v>167</v>
      </c>
      <c r="O352" s="37" t="s">
        <v>168</v>
      </c>
      <c r="P352" s="39">
        <v>2</v>
      </c>
      <c r="Q352" s="34" t="str">
        <f>VLOOKUP(P352,Key!$E$2:$F$9,2,FALSE)</f>
        <v>Work</v>
      </c>
      <c r="R352" s="37" t="s">
        <v>36</v>
      </c>
      <c r="S352" s="32" t="s">
        <v>36</v>
      </c>
      <c r="T352" s="37" t="s">
        <v>168</v>
      </c>
      <c r="U352" s="32">
        <v>2</v>
      </c>
      <c r="V352" s="34" t="str">
        <f>VLOOKUP(U352,Key!$E$2:$F$9,2,FALSE)</f>
        <v>Work</v>
      </c>
      <c r="W352" s="34" t="str">
        <f t="shared" si="11"/>
        <v>Work-Work</v>
      </c>
      <c r="X352" s="47">
        <v>120000</v>
      </c>
      <c r="Y352" s="38">
        <v>150</v>
      </c>
      <c r="Z352" s="38">
        <v>3</v>
      </c>
      <c r="AA352" s="32">
        <v>10</v>
      </c>
      <c r="AB352" s="34" t="str">
        <f>VLOOKUP(AA352,Key!$C$20:$D$29,2,FALSE)</f>
        <v>Other</v>
      </c>
      <c r="AC352" s="32">
        <v>3</v>
      </c>
      <c r="AD352" s="34" t="str">
        <f>VLOOKUP(AC352,Key!$E$20:$F$24,2,FALSE)</f>
        <v>500,000-750,000</v>
      </c>
      <c r="AE352" s="32">
        <v>1</v>
      </c>
      <c r="AF352" s="55">
        <v>1</v>
      </c>
      <c r="AG352" s="55">
        <v>2</v>
      </c>
      <c r="AH352" s="55">
        <v>1</v>
      </c>
      <c r="AI352" s="55">
        <v>1</v>
      </c>
      <c r="AJ352" s="39" t="s">
        <v>104</v>
      </c>
      <c r="AK352" s="40">
        <v>2000</v>
      </c>
      <c r="AL352" s="24"/>
      <c r="AM352" s="24"/>
    </row>
    <row r="353" spans="1:39" hidden="1" x14ac:dyDescent="0.2">
      <c r="B353" s="50">
        <v>43688</v>
      </c>
      <c r="C353" s="35">
        <v>0.63680555555555551</v>
      </c>
      <c r="D353" s="35"/>
      <c r="E353" s="35" t="s">
        <v>111</v>
      </c>
      <c r="F353" s="37">
        <v>2</v>
      </c>
      <c r="G353" s="42" t="str">
        <f>VLOOKUP(F353,Key!$A$17:$B$21,2,FALSE)</f>
        <v>Road Vehicle</v>
      </c>
      <c r="H353" s="36">
        <v>4</v>
      </c>
      <c r="I353" s="43" t="str">
        <f>VLOOKUP(H353,Key!$A$2:$B$13,2,FALSE)</f>
        <v>Minibus</v>
      </c>
      <c r="J353" s="37" t="s">
        <v>123</v>
      </c>
      <c r="K353" s="37">
        <v>3</v>
      </c>
      <c r="L353" s="45" t="str">
        <f>VLOOKUP(K353,Key!$A$24:$B$29,2,FALSE)</f>
        <v>40-49</v>
      </c>
      <c r="M353" s="44" t="s">
        <v>167</v>
      </c>
      <c r="N353" s="32" t="s">
        <v>167</v>
      </c>
      <c r="O353" s="37" t="s">
        <v>168</v>
      </c>
      <c r="P353" s="39">
        <v>2</v>
      </c>
      <c r="Q353" s="34" t="str">
        <f>VLOOKUP(P353,Key!$E$2:$F$9,2,FALSE)</f>
        <v>Work</v>
      </c>
      <c r="R353" s="37" t="s">
        <v>169</v>
      </c>
      <c r="S353" s="32" t="s">
        <v>169</v>
      </c>
      <c r="T353" s="37" t="s">
        <v>168</v>
      </c>
      <c r="U353" s="32">
        <v>2</v>
      </c>
      <c r="V353" s="34" t="str">
        <f>VLOOKUP(U353,Key!$E$2:$F$9,2,FALSE)</f>
        <v>Work</v>
      </c>
      <c r="W353" s="34" t="str">
        <f t="shared" si="11"/>
        <v>Work-Work</v>
      </c>
      <c r="X353" s="47">
        <v>110000</v>
      </c>
      <c r="Y353" s="38">
        <v>150</v>
      </c>
      <c r="Z353" s="38">
        <v>3</v>
      </c>
      <c r="AA353" s="32">
        <v>10</v>
      </c>
      <c r="AB353" s="34" t="str">
        <f>VLOOKUP(AA353,Key!$C$20:$D$29,2,FALSE)</f>
        <v>Other</v>
      </c>
      <c r="AC353" s="32">
        <v>1</v>
      </c>
      <c r="AD353" s="34" t="str">
        <f>VLOOKUP(AC353,Key!$E$20:$F$24,2,FALSE)</f>
        <v>&lt;300,000</v>
      </c>
      <c r="AE353" s="32">
        <v>1</v>
      </c>
      <c r="AF353" s="55">
        <v>1</v>
      </c>
      <c r="AG353" s="55">
        <v>1</v>
      </c>
      <c r="AH353" s="55">
        <v>1</v>
      </c>
      <c r="AI353" s="55">
        <v>1</v>
      </c>
      <c r="AJ353" s="39" t="s">
        <v>104</v>
      </c>
      <c r="AK353" s="40"/>
      <c r="AL353" s="24"/>
      <c r="AM353" s="24"/>
    </row>
    <row r="354" spans="1:39" hidden="1" x14ac:dyDescent="0.2">
      <c r="B354" s="50">
        <v>43690</v>
      </c>
      <c r="C354" s="35">
        <v>0.55069444444444449</v>
      </c>
      <c r="D354" s="35"/>
      <c r="E354" s="35" t="s">
        <v>111</v>
      </c>
      <c r="F354" s="37">
        <v>2</v>
      </c>
      <c r="G354" s="42" t="str">
        <f>VLOOKUP(F354,Key!$A$17:$B$21,2,FALSE)</f>
        <v>Road Vehicle</v>
      </c>
      <c r="H354" s="36">
        <v>4</v>
      </c>
      <c r="I354" s="43" t="str">
        <f>VLOOKUP(H354,Key!$A$2:$B$13,2,FALSE)</f>
        <v>Minibus</v>
      </c>
      <c r="J354" s="37" t="s">
        <v>123</v>
      </c>
      <c r="K354" s="37">
        <v>3</v>
      </c>
      <c r="L354" s="45" t="str">
        <f>VLOOKUP(K354,Key!$A$24:$B$29,2,FALSE)</f>
        <v>40-49</v>
      </c>
      <c r="M354" s="44" t="s">
        <v>173</v>
      </c>
      <c r="N354" s="44" t="s">
        <v>173</v>
      </c>
      <c r="O354" s="37" t="s">
        <v>168</v>
      </c>
      <c r="P354" s="39">
        <v>2</v>
      </c>
      <c r="Q354" s="34" t="str">
        <f>VLOOKUP(P354,Key!$E$2:$F$9,2,FALSE)</f>
        <v>Work</v>
      </c>
      <c r="R354" s="37" t="s">
        <v>176</v>
      </c>
      <c r="S354" s="32" t="s">
        <v>176</v>
      </c>
      <c r="T354" s="37" t="s">
        <v>168</v>
      </c>
      <c r="U354" s="32">
        <v>2</v>
      </c>
      <c r="V354" s="34" t="str">
        <f>VLOOKUP(U354,Key!$E$2:$F$9,2,FALSE)</f>
        <v>Work</v>
      </c>
      <c r="W354" s="34" t="str">
        <f t="shared" si="11"/>
        <v>Work-Work</v>
      </c>
      <c r="X354" s="47">
        <v>60000</v>
      </c>
      <c r="Y354" s="38">
        <v>150</v>
      </c>
      <c r="Z354" s="38">
        <v>3</v>
      </c>
      <c r="AA354" s="32">
        <v>10</v>
      </c>
      <c r="AB354" s="34" t="str">
        <f>VLOOKUP(AA354,Key!$C$20:$D$29,2,FALSE)</f>
        <v>Other</v>
      </c>
      <c r="AC354" s="32">
        <v>2</v>
      </c>
      <c r="AD354" s="34" t="str">
        <f>VLOOKUP(AC354,Key!$E$20:$F$24,2,FALSE)</f>
        <v>300,000-500,000</v>
      </c>
      <c r="AE354" s="32">
        <v>1</v>
      </c>
      <c r="AF354" s="55">
        <v>1</v>
      </c>
      <c r="AG354" s="55">
        <v>1</v>
      </c>
      <c r="AH354" s="55">
        <v>1</v>
      </c>
      <c r="AI354" s="55">
        <v>1</v>
      </c>
      <c r="AJ354" s="39" t="s">
        <v>104</v>
      </c>
      <c r="AK354" s="40">
        <v>1000</v>
      </c>
      <c r="AL354" s="24"/>
      <c r="AM354" s="24"/>
    </row>
    <row r="355" spans="1:39" hidden="1" x14ac:dyDescent="0.2">
      <c r="B355" s="50">
        <v>43690</v>
      </c>
      <c r="C355" s="35">
        <v>0.33263888888888887</v>
      </c>
      <c r="D355" s="35"/>
      <c r="E355" s="35" t="s">
        <v>111</v>
      </c>
      <c r="F355" s="37">
        <v>2</v>
      </c>
      <c r="G355" s="42" t="str">
        <f>VLOOKUP(F355,Key!$A$17:$B$21,2,FALSE)</f>
        <v>Road Vehicle</v>
      </c>
      <c r="H355" s="36">
        <v>4</v>
      </c>
      <c r="I355" s="43" t="str">
        <f>VLOOKUP(H355,Key!$A$2:$B$13,2,FALSE)</f>
        <v>Minibus</v>
      </c>
      <c r="J355" s="37" t="s">
        <v>123</v>
      </c>
      <c r="K355" s="37">
        <v>3</v>
      </c>
      <c r="L355" s="45" t="str">
        <f>VLOOKUP(K355,Key!$A$24:$B$29,2,FALSE)</f>
        <v>40-49</v>
      </c>
      <c r="M355" s="44" t="s">
        <v>173</v>
      </c>
      <c r="N355" s="44" t="s">
        <v>173</v>
      </c>
      <c r="O355" s="37" t="s">
        <v>168</v>
      </c>
      <c r="P355" s="39">
        <v>2</v>
      </c>
      <c r="Q355" s="34" t="str">
        <f>VLOOKUP(P355,Key!$E$2:$F$9,2,FALSE)</f>
        <v>Work</v>
      </c>
      <c r="R355" s="37" t="s">
        <v>230</v>
      </c>
      <c r="S355" s="32" t="s">
        <v>176</v>
      </c>
      <c r="T355" s="37" t="s">
        <v>168</v>
      </c>
      <c r="U355" s="32">
        <v>2</v>
      </c>
      <c r="V355" s="34" t="str">
        <f>VLOOKUP(U355,Key!$E$2:$F$9,2,FALSE)</f>
        <v>Work</v>
      </c>
      <c r="W355" s="34" t="str">
        <f t="shared" si="11"/>
        <v>Work-Work</v>
      </c>
      <c r="X355" s="47">
        <v>60000</v>
      </c>
      <c r="Y355" s="38">
        <v>150</v>
      </c>
      <c r="Z355" s="38">
        <v>3</v>
      </c>
      <c r="AA355" s="32">
        <v>10</v>
      </c>
      <c r="AB355" s="34" t="str">
        <f>VLOOKUP(AA355,Key!$C$20:$D$29,2,FALSE)</f>
        <v>Other</v>
      </c>
      <c r="AC355" s="32">
        <v>2</v>
      </c>
      <c r="AD355" s="34" t="str">
        <f>VLOOKUP(AC355,Key!$E$20:$F$24,2,FALSE)</f>
        <v>300,000-500,000</v>
      </c>
      <c r="AE355" s="32">
        <v>1</v>
      </c>
      <c r="AF355" s="55">
        <v>1</v>
      </c>
      <c r="AG355" s="55">
        <v>1</v>
      </c>
      <c r="AH355" s="55">
        <v>1</v>
      </c>
      <c r="AI355" s="55">
        <v>1</v>
      </c>
      <c r="AJ355" s="39" t="s">
        <v>104</v>
      </c>
      <c r="AK355" s="40">
        <v>1000</v>
      </c>
      <c r="AL355" s="24"/>
      <c r="AM355" s="24"/>
    </row>
    <row r="356" spans="1:39" hidden="1" x14ac:dyDescent="0.2">
      <c r="B356" s="50">
        <v>43690</v>
      </c>
      <c r="C356" s="35">
        <v>0.59097222222222223</v>
      </c>
      <c r="D356" s="35"/>
      <c r="E356" s="35" t="s">
        <v>111</v>
      </c>
      <c r="F356" s="37">
        <v>2</v>
      </c>
      <c r="G356" s="42" t="str">
        <f>VLOOKUP(F356,Key!$A$17:$B$21,2,FALSE)</f>
        <v>Road Vehicle</v>
      </c>
      <c r="H356" s="36">
        <v>4</v>
      </c>
      <c r="I356" s="43" t="str">
        <f>VLOOKUP(H356,Key!$A$2:$B$13,2,FALSE)</f>
        <v>Minibus</v>
      </c>
      <c r="J356" s="37" t="s">
        <v>123</v>
      </c>
      <c r="K356" s="37">
        <v>1</v>
      </c>
      <c r="L356" s="45" t="str">
        <f>VLOOKUP(K356,Key!$A$24:$B$29,2,FALSE)</f>
        <v>20-29</v>
      </c>
      <c r="M356" s="44" t="s">
        <v>167</v>
      </c>
      <c r="N356" s="32" t="s">
        <v>167</v>
      </c>
      <c r="O356" s="37" t="s">
        <v>168</v>
      </c>
      <c r="P356" s="39">
        <v>2</v>
      </c>
      <c r="Q356" s="34" t="str">
        <f>VLOOKUP(P356,Key!$E$2:$F$9,2,FALSE)</f>
        <v>Work</v>
      </c>
      <c r="R356" s="37" t="s">
        <v>36</v>
      </c>
      <c r="S356" s="32" t="s">
        <v>36</v>
      </c>
      <c r="T356" s="37" t="s">
        <v>168</v>
      </c>
      <c r="U356" s="32">
        <v>2</v>
      </c>
      <c r="V356" s="34" t="str">
        <f>VLOOKUP(U356,Key!$E$2:$F$9,2,FALSE)</f>
        <v>Work</v>
      </c>
      <c r="W356" s="34" t="str">
        <f t="shared" si="11"/>
        <v>Work-Work</v>
      </c>
      <c r="X356" s="47">
        <v>150000</v>
      </c>
      <c r="Y356" s="38">
        <v>150</v>
      </c>
      <c r="Z356" s="38">
        <v>4</v>
      </c>
      <c r="AA356" s="32">
        <v>10</v>
      </c>
      <c r="AB356" s="34" t="str">
        <f>VLOOKUP(AA356,Key!$C$20:$D$29,2,FALSE)</f>
        <v>Other</v>
      </c>
      <c r="AC356" s="32">
        <v>2</v>
      </c>
      <c r="AD356" s="34" t="str">
        <f>VLOOKUP(AC356,Key!$E$20:$F$24,2,FALSE)</f>
        <v>300,000-500,000</v>
      </c>
      <c r="AE356" s="32">
        <v>1</v>
      </c>
      <c r="AF356" s="55">
        <v>1</v>
      </c>
      <c r="AG356" s="55">
        <v>1</v>
      </c>
      <c r="AH356" s="55">
        <v>2</v>
      </c>
      <c r="AI356" s="55">
        <v>1</v>
      </c>
      <c r="AJ356" s="39" t="s">
        <v>104</v>
      </c>
      <c r="AK356" s="40">
        <v>2000</v>
      </c>
      <c r="AL356" s="24"/>
      <c r="AM356" s="24"/>
    </row>
    <row r="357" spans="1:39" hidden="1" x14ac:dyDescent="0.2">
      <c r="B357" s="50">
        <v>43689</v>
      </c>
      <c r="C357" s="35">
        <v>0.39930555555555558</v>
      </c>
      <c r="D357" s="35"/>
      <c r="E357" s="35" t="s">
        <v>111</v>
      </c>
      <c r="F357" s="37">
        <v>2</v>
      </c>
      <c r="G357" s="42" t="str">
        <f>VLOOKUP(F357,Key!$A$17:$B$21,2,FALSE)</f>
        <v>Road Vehicle</v>
      </c>
      <c r="H357" s="36">
        <v>4</v>
      </c>
      <c r="I357" s="43" t="str">
        <f>VLOOKUP(H357,Key!$A$2:$B$13,2,FALSE)</f>
        <v>Minibus</v>
      </c>
      <c r="J357" s="37" t="s">
        <v>123</v>
      </c>
      <c r="K357" s="37">
        <v>2</v>
      </c>
      <c r="L357" s="45" t="str">
        <f>VLOOKUP(K357,Key!$A$24:$B$29,2,FALSE)</f>
        <v>30-39</v>
      </c>
      <c r="M357" s="37" t="s">
        <v>167</v>
      </c>
      <c r="N357" s="32" t="s">
        <v>167</v>
      </c>
      <c r="O357" s="37" t="s">
        <v>168</v>
      </c>
      <c r="P357" s="39">
        <v>2</v>
      </c>
      <c r="Q357" s="34" t="str">
        <f>VLOOKUP(P357,Key!$E$2:$F$9,2,FALSE)</f>
        <v>Work</v>
      </c>
      <c r="R357" s="37" t="s">
        <v>169</v>
      </c>
      <c r="S357" s="32" t="s">
        <v>169</v>
      </c>
      <c r="T357" s="37" t="s">
        <v>168</v>
      </c>
      <c r="U357" s="32">
        <v>2</v>
      </c>
      <c r="V357" s="34" t="str">
        <f>VLOOKUP(U357,Key!$E$2:$F$9,2,FALSE)</f>
        <v>Work</v>
      </c>
      <c r="W357" s="34" t="str">
        <f t="shared" si="11"/>
        <v>Work-Work</v>
      </c>
      <c r="X357" s="47">
        <v>110000</v>
      </c>
      <c r="Y357" s="38">
        <v>180</v>
      </c>
      <c r="Z357" s="38">
        <v>3</v>
      </c>
      <c r="AA357" s="32">
        <v>6</v>
      </c>
      <c r="AB357" s="34" t="str">
        <f>VLOOKUP(AA357,Key!$C$20:$D$29,2,FALSE)</f>
        <v>Businessman</v>
      </c>
      <c r="AC357" s="32">
        <v>2</v>
      </c>
      <c r="AD357" s="34" t="str">
        <f>VLOOKUP(AC357,Key!$E$20:$F$24,2,FALSE)</f>
        <v>300,000-500,000</v>
      </c>
      <c r="AE357" s="32">
        <v>1</v>
      </c>
      <c r="AF357" s="55">
        <v>1</v>
      </c>
      <c r="AG357" s="55">
        <v>1</v>
      </c>
      <c r="AH357" s="55">
        <v>1</v>
      </c>
      <c r="AI357" s="55">
        <v>1</v>
      </c>
      <c r="AJ357" s="39" t="s">
        <v>104</v>
      </c>
      <c r="AK357" s="40"/>
      <c r="AL357" s="24"/>
      <c r="AM357" s="24"/>
    </row>
    <row r="358" spans="1:39" hidden="1" x14ac:dyDescent="0.2">
      <c r="B358" s="50">
        <v>43689</v>
      </c>
      <c r="C358" s="35">
        <v>0.44097222222222227</v>
      </c>
      <c r="D358" s="35"/>
      <c r="E358" s="35" t="s">
        <v>111</v>
      </c>
      <c r="F358" s="37">
        <v>2</v>
      </c>
      <c r="G358" s="42" t="str">
        <f>VLOOKUP(F358,Key!$A$17:$B$21,2,FALSE)</f>
        <v>Road Vehicle</v>
      </c>
      <c r="H358" s="36">
        <v>4</v>
      </c>
      <c r="I358" s="43" t="str">
        <f>VLOOKUP(H358,Key!$A$2:$B$13,2,FALSE)</f>
        <v>Minibus</v>
      </c>
      <c r="J358" s="37" t="s">
        <v>123</v>
      </c>
      <c r="K358" s="37">
        <v>3</v>
      </c>
      <c r="L358" s="45" t="str">
        <f>VLOOKUP(K358,Key!$A$24:$B$29,2,FALSE)</f>
        <v>40-49</v>
      </c>
      <c r="M358" s="44" t="s">
        <v>167</v>
      </c>
      <c r="N358" s="32" t="s">
        <v>167</v>
      </c>
      <c r="O358" s="37" t="s">
        <v>168</v>
      </c>
      <c r="P358" s="39">
        <v>2</v>
      </c>
      <c r="Q358" s="34" t="str">
        <f>VLOOKUP(P358,Key!$E$2:$F$9,2,FALSE)</f>
        <v>Work</v>
      </c>
      <c r="R358" s="37" t="s">
        <v>169</v>
      </c>
      <c r="S358" s="32" t="s">
        <v>169</v>
      </c>
      <c r="T358" s="37" t="s">
        <v>168</v>
      </c>
      <c r="U358" s="32">
        <v>4</v>
      </c>
      <c r="V358" s="34" t="str">
        <f>VLOOKUP(U358,Key!$E$2:$F$9,2,FALSE)</f>
        <v>Commercial</v>
      </c>
      <c r="W358" s="34" t="str">
        <f t="shared" si="11"/>
        <v>Work-Commercial</v>
      </c>
      <c r="X358" s="47">
        <v>120000</v>
      </c>
      <c r="Y358" s="38">
        <v>180</v>
      </c>
      <c r="Z358" s="38">
        <v>3</v>
      </c>
      <c r="AA358" s="32">
        <v>10</v>
      </c>
      <c r="AB358" s="34" t="str">
        <f>VLOOKUP(AA358,Key!$C$20:$D$29,2,FALSE)</f>
        <v>Other</v>
      </c>
      <c r="AC358" s="32">
        <v>1</v>
      </c>
      <c r="AD358" s="34" t="str">
        <f>VLOOKUP(AC358,Key!$E$20:$F$24,2,FALSE)</f>
        <v>&lt;300,000</v>
      </c>
      <c r="AE358" s="32">
        <v>1</v>
      </c>
      <c r="AF358" s="55">
        <v>2</v>
      </c>
      <c r="AG358" s="55">
        <v>1</v>
      </c>
      <c r="AH358" s="55">
        <v>1</v>
      </c>
      <c r="AI358" s="55">
        <v>1</v>
      </c>
      <c r="AJ358" s="39" t="s">
        <v>104</v>
      </c>
      <c r="AK358" s="40"/>
      <c r="AL358" s="24"/>
      <c r="AM358" s="24"/>
    </row>
    <row r="359" spans="1:39" hidden="1" x14ac:dyDescent="0.2">
      <c r="A359" s="10"/>
      <c r="B359" s="50">
        <v>43686</v>
      </c>
      <c r="C359" s="35">
        <v>0.59722222222222221</v>
      </c>
      <c r="D359" s="35"/>
      <c r="E359" s="35" t="s">
        <v>111</v>
      </c>
      <c r="F359" s="37">
        <v>2</v>
      </c>
      <c r="G359" s="42" t="str">
        <f>VLOOKUP(F359,Key!$A$17:$B$21,2,FALSE)</f>
        <v>Road Vehicle</v>
      </c>
      <c r="H359" s="36">
        <v>4</v>
      </c>
      <c r="I359" s="43" t="str">
        <f>VLOOKUP(H359,Key!$A$2:$B$13,2,FALSE)</f>
        <v>Minibus</v>
      </c>
      <c r="J359" s="37" t="s">
        <v>123</v>
      </c>
      <c r="K359" s="37">
        <v>5</v>
      </c>
      <c r="L359" s="45" t="str">
        <f>VLOOKUP(K359,Key!$A$24:$B$29,2,FALSE)</f>
        <v>60-69</v>
      </c>
      <c r="M359" s="44" t="s">
        <v>167</v>
      </c>
      <c r="N359" s="32" t="s">
        <v>167</v>
      </c>
      <c r="O359" s="37" t="s">
        <v>168</v>
      </c>
      <c r="P359" s="39">
        <v>2</v>
      </c>
      <c r="Q359" s="34" t="str">
        <f>VLOOKUP(P359,Key!$E$2:$F$9,2,FALSE)</f>
        <v>Work</v>
      </c>
      <c r="R359" s="37" t="s">
        <v>169</v>
      </c>
      <c r="S359" s="32" t="s">
        <v>169</v>
      </c>
      <c r="T359" s="37" t="s">
        <v>168</v>
      </c>
      <c r="U359" s="32">
        <v>4</v>
      </c>
      <c r="V359" s="34" t="str">
        <f>VLOOKUP(U359,Key!$E$2:$F$9,2,FALSE)</f>
        <v>Commercial</v>
      </c>
      <c r="W359" s="34" t="str">
        <f t="shared" ref="W359:W390" si="12">Q359&amp;"-"&amp;V359</f>
        <v>Work-Commercial</v>
      </c>
      <c r="X359" s="47">
        <v>110000</v>
      </c>
      <c r="Y359" s="38">
        <v>200</v>
      </c>
      <c r="Z359" s="38">
        <v>2</v>
      </c>
      <c r="AA359" s="32">
        <v>10</v>
      </c>
      <c r="AB359" s="34" t="str">
        <f>VLOOKUP(AA359,Key!$C$20:$D$29,2,FALSE)</f>
        <v>Other</v>
      </c>
      <c r="AC359" s="32">
        <v>1</v>
      </c>
      <c r="AD359" s="34" t="str">
        <f>VLOOKUP(AC359,Key!$E$20:$F$24,2,FALSE)</f>
        <v>&lt;300,000</v>
      </c>
      <c r="AE359" s="32">
        <v>1</v>
      </c>
      <c r="AF359" s="55">
        <v>2</v>
      </c>
      <c r="AG359" s="55">
        <v>1</v>
      </c>
      <c r="AH359" s="55">
        <v>1</v>
      </c>
      <c r="AI359" s="55">
        <v>1</v>
      </c>
      <c r="AJ359" s="39" t="s">
        <v>104</v>
      </c>
      <c r="AK359" s="40">
        <v>1000</v>
      </c>
      <c r="AL359" s="24"/>
      <c r="AM359" s="24"/>
    </row>
    <row r="360" spans="1:39" hidden="1" x14ac:dyDescent="0.2">
      <c r="B360" s="50">
        <v>43690</v>
      </c>
      <c r="C360" s="35">
        <v>0.72222222222222221</v>
      </c>
      <c r="D360" s="35"/>
      <c r="E360" s="35" t="s">
        <v>111</v>
      </c>
      <c r="F360" s="37">
        <v>2</v>
      </c>
      <c r="G360" s="42" t="str">
        <f>VLOOKUP(F360,Key!$A$17:$B$21,2,FALSE)</f>
        <v>Road Vehicle</v>
      </c>
      <c r="H360" s="36">
        <v>4</v>
      </c>
      <c r="I360" s="43" t="str">
        <f>VLOOKUP(H360,Key!$A$2:$B$13,2,FALSE)</f>
        <v>Minibus</v>
      </c>
      <c r="J360" s="37" t="s">
        <v>123</v>
      </c>
      <c r="K360" s="37">
        <v>1</v>
      </c>
      <c r="L360" s="45" t="str">
        <f>VLOOKUP(K360,Key!$A$24:$B$29,2,FALSE)</f>
        <v>20-29</v>
      </c>
      <c r="M360" s="37" t="s">
        <v>218</v>
      </c>
      <c r="N360" s="32" t="s">
        <v>176</v>
      </c>
      <c r="O360" s="37" t="s">
        <v>168</v>
      </c>
      <c r="P360" s="39">
        <v>2</v>
      </c>
      <c r="Q360" s="34" t="str">
        <f>VLOOKUP(P360,Key!$E$2:$F$9,2,FALSE)</f>
        <v>Work</v>
      </c>
      <c r="R360" s="37" t="s">
        <v>219</v>
      </c>
      <c r="S360" s="32" t="s">
        <v>169</v>
      </c>
      <c r="T360" s="37" t="s">
        <v>168</v>
      </c>
      <c r="U360" s="32">
        <v>2</v>
      </c>
      <c r="V360" s="34" t="str">
        <f>VLOOKUP(U360,Key!$E$2:$F$9,2,FALSE)</f>
        <v>Work</v>
      </c>
      <c r="W360" s="34" t="str">
        <f t="shared" si="12"/>
        <v>Work-Work</v>
      </c>
      <c r="X360" s="47">
        <v>85000</v>
      </c>
      <c r="Y360" s="38">
        <v>200</v>
      </c>
      <c r="Z360" s="38">
        <v>4</v>
      </c>
      <c r="AA360" s="32">
        <v>6</v>
      </c>
      <c r="AB360" s="34" t="str">
        <f>VLOOKUP(AA360,Key!$C$20:$D$29,2,FALSE)</f>
        <v>Businessman</v>
      </c>
      <c r="AC360" s="32">
        <v>2</v>
      </c>
      <c r="AD360" s="34" t="str">
        <f>VLOOKUP(AC360,Key!$E$20:$F$24,2,FALSE)</f>
        <v>300,000-500,000</v>
      </c>
      <c r="AE360" s="32">
        <v>1</v>
      </c>
      <c r="AF360" s="55">
        <v>1</v>
      </c>
      <c r="AG360" s="55">
        <v>1</v>
      </c>
      <c r="AH360" s="55">
        <v>1</v>
      </c>
      <c r="AI360" s="55">
        <v>1</v>
      </c>
      <c r="AJ360" s="39" t="s">
        <v>104</v>
      </c>
      <c r="AK360" s="40"/>
      <c r="AL360" s="24"/>
      <c r="AM360" s="24"/>
    </row>
    <row r="361" spans="1:39" hidden="1" x14ac:dyDescent="0.2">
      <c r="B361" s="50">
        <v>43686</v>
      </c>
      <c r="C361" s="35">
        <v>0.7368055555555556</v>
      </c>
      <c r="D361" s="35"/>
      <c r="E361" s="35" t="s">
        <v>111</v>
      </c>
      <c r="F361" s="37">
        <v>2</v>
      </c>
      <c r="G361" s="42" t="str">
        <f>VLOOKUP(F361,Key!$A$17:$B$21,2,FALSE)</f>
        <v>Road Vehicle</v>
      </c>
      <c r="H361" s="36">
        <v>4</v>
      </c>
      <c r="I361" s="43" t="str">
        <f>VLOOKUP(H361,Key!$A$2:$B$13,2,FALSE)</f>
        <v>Minibus</v>
      </c>
      <c r="J361" s="37" t="s">
        <v>123</v>
      </c>
      <c r="K361" s="37">
        <v>2</v>
      </c>
      <c r="L361" s="45" t="str">
        <f>VLOOKUP(K361,Key!$A$24:$B$29,2,FALSE)</f>
        <v>30-39</v>
      </c>
      <c r="M361" s="37" t="s">
        <v>247</v>
      </c>
      <c r="N361" s="32" t="s">
        <v>167</v>
      </c>
      <c r="O361" s="37" t="s">
        <v>168</v>
      </c>
      <c r="P361" s="39">
        <v>2</v>
      </c>
      <c r="Q361" s="34" t="str">
        <f>VLOOKUP(P361,Key!$E$2:$F$9,2,FALSE)</f>
        <v>Work</v>
      </c>
      <c r="R361" s="37" t="s">
        <v>219</v>
      </c>
      <c r="S361" s="32" t="s">
        <v>169</v>
      </c>
      <c r="T361" s="37" t="s">
        <v>168</v>
      </c>
      <c r="U361" s="32">
        <v>2</v>
      </c>
      <c r="V361" s="34" t="str">
        <f>VLOOKUP(U361,Key!$E$2:$F$9,2,FALSE)</f>
        <v>Work</v>
      </c>
      <c r="W361" s="34" t="str">
        <f t="shared" si="12"/>
        <v>Work-Work</v>
      </c>
      <c r="X361" s="47">
        <v>130000</v>
      </c>
      <c r="Y361" s="38">
        <v>200</v>
      </c>
      <c r="Z361" s="38">
        <v>4</v>
      </c>
      <c r="AA361" s="32">
        <v>10</v>
      </c>
      <c r="AB361" s="34" t="str">
        <f>VLOOKUP(AA361,Key!$C$20:$D$29,2,FALSE)</f>
        <v>Other</v>
      </c>
      <c r="AC361" s="32">
        <v>1</v>
      </c>
      <c r="AD361" s="34" t="str">
        <f>VLOOKUP(AC361,Key!$E$20:$F$24,2,FALSE)</f>
        <v>&lt;300,000</v>
      </c>
      <c r="AE361" s="32">
        <v>1</v>
      </c>
      <c r="AF361" s="55">
        <v>1</v>
      </c>
      <c r="AG361" s="55">
        <v>1</v>
      </c>
      <c r="AH361" s="55">
        <v>1</v>
      </c>
      <c r="AI361" s="55">
        <v>1</v>
      </c>
      <c r="AJ361" s="39" t="s">
        <v>104</v>
      </c>
      <c r="AK361" s="40">
        <v>2000</v>
      </c>
      <c r="AL361" s="24"/>
      <c r="AM361" s="24"/>
    </row>
    <row r="362" spans="1:39" hidden="1" x14ac:dyDescent="0.2">
      <c r="B362" s="50">
        <v>43686</v>
      </c>
      <c r="C362" s="35">
        <v>0.7416666666666667</v>
      </c>
      <c r="D362" s="35"/>
      <c r="E362" s="35" t="s">
        <v>111</v>
      </c>
      <c r="F362" s="37">
        <v>2</v>
      </c>
      <c r="G362" s="42" t="str">
        <f>VLOOKUP(F362,Key!$A$17:$B$21,2,FALSE)</f>
        <v>Road Vehicle</v>
      </c>
      <c r="H362" s="36">
        <v>4</v>
      </c>
      <c r="I362" s="43" t="str">
        <f>VLOOKUP(H362,Key!$A$2:$B$13,2,FALSE)</f>
        <v>Minibus</v>
      </c>
      <c r="J362" s="37" t="s">
        <v>123</v>
      </c>
      <c r="K362" s="37">
        <v>2</v>
      </c>
      <c r="L362" s="45" t="str">
        <f>VLOOKUP(K362,Key!$A$24:$B$29,2,FALSE)</f>
        <v>30-39</v>
      </c>
      <c r="M362" s="37" t="s">
        <v>167</v>
      </c>
      <c r="N362" s="32" t="s">
        <v>167</v>
      </c>
      <c r="O362" s="37" t="s">
        <v>168</v>
      </c>
      <c r="P362" s="39">
        <v>2</v>
      </c>
      <c r="Q362" s="34" t="str">
        <f>VLOOKUP(P362,Key!$E$2:$F$9,2,FALSE)</f>
        <v>Work</v>
      </c>
      <c r="R362" s="37" t="s">
        <v>199</v>
      </c>
      <c r="S362" s="32" t="s">
        <v>199</v>
      </c>
      <c r="T362" s="37" t="s">
        <v>168</v>
      </c>
      <c r="U362" s="32">
        <v>2</v>
      </c>
      <c r="V362" s="34" t="str">
        <f>VLOOKUP(U362,Key!$E$2:$F$9,2,FALSE)</f>
        <v>Work</v>
      </c>
      <c r="W362" s="34" t="str">
        <f t="shared" si="12"/>
        <v>Work-Work</v>
      </c>
      <c r="X362" s="47">
        <v>140000</v>
      </c>
      <c r="Y362" s="38">
        <v>200</v>
      </c>
      <c r="Z362" s="38">
        <v>4</v>
      </c>
      <c r="AA362" s="32">
        <v>10</v>
      </c>
      <c r="AB362" s="34" t="str">
        <f>VLOOKUP(AA362,Key!$C$20:$D$29,2,FALSE)</f>
        <v>Other</v>
      </c>
      <c r="AC362" s="32">
        <v>1</v>
      </c>
      <c r="AD362" s="34" t="str">
        <f>VLOOKUP(AC362,Key!$E$20:$F$24,2,FALSE)</f>
        <v>&lt;300,000</v>
      </c>
      <c r="AE362" s="32">
        <v>1</v>
      </c>
      <c r="AF362" s="55">
        <v>3</v>
      </c>
      <c r="AG362" s="55">
        <v>1</v>
      </c>
      <c r="AH362" s="55">
        <v>1</v>
      </c>
      <c r="AI362" s="55">
        <v>1</v>
      </c>
      <c r="AJ362" s="39" t="s">
        <v>104</v>
      </c>
      <c r="AK362" s="40">
        <v>1000</v>
      </c>
      <c r="AL362" s="24"/>
      <c r="AM362" s="24"/>
    </row>
    <row r="363" spans="1:39" hidden="1" x14ac:dyDescent="0.2">
      <c r="B363" s="50">
        <v>43686</v>
      </c>
      <c r="C363" s="35">
        <v>0.7368055555555556</v>
      </c>
      <c r="D363" s="35"/>
      <c r="E363" s="35" t="s">
        <v>111</v>
      </c>
      <c r="F363" s="37">
        <v>2</v>
      </c>
      <c r="G363" s="42" t="str">
        <f>VLOOKUP(F363,Key!$A$17:$B$21,2,FALSE)</f>
        <v>Road Vehicle</v>
      </c>
      <c r="H363" s="36">
        <v>4</v>
      </c>
      <c r="I363" s="43" t="str">
        <f>VLOOKUP(H363,Key!$A$2:$B$13,2,FALSE)</f>
        <v>Minibus</v>
      </c>
      <c r="J363" s="37" t="s">
        <v>123</v>
      </c>
      <c r="K363" s="37">
        <v>3</v>
      </c>
      <c r="L363" s="45" t="str">
        <f>VLOOKUP(K363,Key!$A$24:$B$29,2,FALSE)</f>
        <v>40-49</v>
      </c>
      <c r="M363" s="37" t="s">
        <v>247</v>
      </c>
      <c r="N363" s="32" t="s">
        <v>167</v>
      </c>
      <c r="O363" s="37" t="s">
        <v>168</v>
      </c>
      <c r="P363" s="39">
        <v>2</v>
      </c>
      <c r="Q363" s="34" t="str">
        <f>VLOOKUP(P363,Key!$E$2:$F$9,2,FALSE)</f>
        <v>Work</v>
      </c>
      <c r="R363" s="37" t="s">
        <v>219</v>
      </c>
      <c r="S363" s="32" t="s">
        <v>169</v>
      </c>
      <c r="T363" s="37" t="s">
        <v>168</v>
      </c>
      <c r="U363" s="32">
        <v>2</v>
      </c>
      <c r="V363" s="34" t="str">
        <f>VLOOKUP(U363,Key!$E$2:$F$9,2,FALSE)</f>
        <v>Work</v>
      </c>
      <c r="W363" s="34" t="str">
        <f t="shared" si="12"/>
        <v>Work-Work</v>
      </c>
      <c r="X363" s="47">
        <v>120000</v>
      </c>
      <c r="Y363" s="38">
        <v>200</v>
      </c>
      <c r="Z363" s="38">
        <v>4</v>
      </c>
      <c r="AA363" s="32">
        <v>10</v>
      </c>
      <c r="AB363" s="34" t="str">
        <f>VLOOKUP(AA363,Key!$C$20:$D$29,2,FALSE)</f>
        <v>Other</v>
      </c>
      <c r="AC363" s="32">
        <v>2</v>
      </c>
      <c r="AD363" s="34" t="str">
        <f>VLOOKUP(AC363,Key!$E$20:$F$24,2,FALSE)</f>
        <v>300,000-500,000</v>
      </c>
      <c r="AE363" s="32">
        <v>1</v>
      </c>
      <c r="AF363" s="55">
        <v>1</v>
      </c>
      <c r="AG363" s="55">
        <v>1</v>
      </c>
      <c r="AH363" s="55">
        <v>1</v>
      </c>
      <c r="AI363" s="55">
        <v>1</v>
      </c>
      <c r="AJ363" s="39" t="s">
        <v>104</v>
      </c>
      <c r="AK363" s="40"/>
      <c r="AL363" s="24"/>
      <c r="AM363" s="24"/>
    </row>
    <row r="364" spans="1:39" hidden="1" x14ac:dyDescent="0.2">
      <c r="B364" s="50">
        <v>43686</v>
      </c>
      <c r="C364" s="35">
        <v>0.7416666666666667</v>
      </c>
      <c r="D364" s="35"/>
      <c r="E364" s="35" t="s">
        <v>111</v>
      </c>
      <c r="F364" s="37">
        <v>2</v>
      </c>
      <c r="G364" s="42" t="str">
        <f>VLOOKUP(F364,Key!$A$17:$B$21,2,FALSE)</f>
        <v>Road Vehicle</v>
      </c>
      <c r="H364" s="36">
        <v>4</v>
      </c>
      <c r="I364" s="43" t="str">
        <f>VLOOKUP(H364,Key!$A$2:$B$13,2,FALSE)</f>
        <v>Minibus</v>
      </c>
      <c r="J364" s="37" t="s">
        <v>123</v>
      </c>
      <c r="K364" s="37">
        <v>4</v>
      </c>
      <c r="L364" s="45" t="str">
        <f>VLOOKUP(K364,Key!$A$24:$B$29,2,FALSE)</f>
        <v>50-59</v>
      </c>
      <c r="M364" s="37" t="s">
        <v>218</v>
      </c>
      <c r="N364" s="32" t="s">
        <v>176</v>
      </c>
      <c r="O364" s="37" t="s">
        <v>168</v>
      </c>
      <c r="P364" s="39">
        <v>2</v>
      </c>
      <c r="Q364" s="34" t="str">
        <f>VLOOKUP(P364,Key!$E$2:$F$9,2,FALSE)</f>
        <v>Work</v>
      </c>
      <c r="R364" s="37" t="s">
        <v>219</v>
      </c>
      <c r="S364" s="32" t="s">
        <v>169</v>
      </c>
      <c r="T364" s="37" t="s">
        <v>168</v>
      </c>
      <c r="U364" s="32">
        <v>2</v>
      </c>
      <c r="V364" s="34" t="str">
        <f>VLOOKUP(U364,Key!$E$2:$F$9,2,FALSE)</f>
        <v>Work</v>
      </c>
      <c r="W364" s="34" t="str">
        <f t="shared" si="12"/>
        <v>Work-Work</v>
      </c>
      <c r="X364" s="47">
        <v>100000</v>
      </c>
      <c r="Y364" s="38">
        <v>200</v>
      </c>
      <c r="Z364" s="38">
        <v>5</v>
      </c>
      <c r="AA364" s="32">
        <v>6</v>
      </c>
      <c r="AB364" s="34" t="str">
        <f>VLOOKUP(AA364,Key!$C$20:$D$29,2,FALSE)</f>
        <v>Businessman</v>
      </c>
      <c r="AC364" s="32">
        <v>2</v>
      </c>
      <c r="AD364" s="34" t="str">
        <f>VLOOKUP(AC364,Key!$E$20:$F$24,2,FALSE)</f>
        <v>300,000-500,000</v>
      </c>
      <c r="AE364" s="32">
        <v>1</v>
      </c>
      <c r="AF364" s="55">
        <v>1</v>
      </c>
      <c r="AG364" s="55">
        <v>1</v>
      </c>
      <c r="AH364" s="55">
        <v>1</v>
      </c>
      <c r="AI364" s="55">
        <v>1</v>
      </c>
      <c r="AJ364" s="39" t="s">
        <v>104</v>
      </c>
      <c r="AK364" s="40">
        <v>2000</v>
      </c>
      <c r="AL364" s="24"/>
      <c r="AM364" s="24"/>
    </row>
    <row r="365" spans="1:39" hidden="1" x14ac:dyDescent="0.2">
      <c r="B365" s="50">
        <v>43686</v>
      </c>
      <c r="C365" s="35">
        <v>0.63124999999999998</v>
      </c>
      <c r="D365" s="35"/>
      <c r="E365" s="35" t="s">
        <v>111</v>
      </c>
      <c r="F365" s="37">
        <v>2</v>
      </c>
      <c r="G365" s="42" t="str">
        <f>VLOOKUP(F365,Key!$A$17:$B$21,2,FALSE)</f>
        <v>Road Vehicle</v>
      </c>
      <c r="H365" s="36">
        <v>4</v>
      </c>
      <c r="I365" s="43" t="str">
        <f>VLOOKUP(H365,Key!$A$2:$B$13,2,FALSE)</f>
        <v>Minibus</v>
      </c>
      <c r="J365" s="37" t="s">
        <v>123</v>
      </c>
      <c r="K365" s="37">
        <v>3</v>
      </c>
      <c r="L365" s="45" t="str">
        <f>VLOOKUP(K365,Key!$A$24:$B$29,2,FALSE)</f>
        <v>40-49</v>
      </c>
      <c r="M365" s="37" t="s">
        <v>218</v>
      </c>
      <c r="N365" s="32" t="s">
        <v>176</v>
      </c>
      <c r="O365" s="37" t="s">
        <v>168</v>
      </c>
      <c r="P365" s="39">
        <v>2</v>
      </c>
      <c r="Q365" s="34" t="str">
        <f>VLOOKUP(P365,Key!$E$2:$F$9,2,FALSE)</f>
        <v>Work</v>
      </c>
      <c r="R365" s="37" t="s">
        <v>294</v>
      </c>
      <c r="S365" s="32" t="s">
        <v>294</v>
      </c>
      <c r="T365" s="37" t="s">
        <v>168</v>
      </c>
      <c r="U365" s="32">
        <v>2</v>
      </c>
      <c r="V365" s="34" t="str">
        <f>VLOOKUP(U365,Key!$E$2:$F$9,2,FALSE)</f>
        <v>Work</v>
      </c>
      <c r="W365" s="34" t="str">
        <f t="shared" si="12"/>
        <v>Work-Work</v>
      </c>
      <c r="X365" s="47">
        <v>50000</v>
      </c>
      <c r="Y365" s="38">
        <v>200</v>
      </c>
      <c r="Z365" s="38">
        <v>6</v>
      </c>
      <c r="AA365" s="32">
        <v>6</v>
      </c>
      <c r="AB365" s="34" t="str">
        <f>VLOOKUP(AA365,Key!$C$20:$D$29,2,FALSE)</f>
        <v>Businessman</v>
      </c>
      <c r="AC365" s="32">
        <v>2</v>
      </c>
      <c r="AD365" s="34" t="str">
        <f>VLOOKUP(AC365,Key!$E$20:$F$24,2,FALSE)</f>
        <v>300,000-500,000</v>
      </c>
      <c r="AE365" s="32">
        <v>1</v>
      </c>
      <c r="AF365" s="55">
        <v>1</v>
      </c>
      <c r="AG365" s="55">
        <v>1</v>
      </c>
      <c r="AH365" s="55">
        <v>1</v>
      </c>
      <c r="AI365" s="55">
        <v>1</v>
      </c>
      <c r="AJ365" s="39" t="s">
        <v>104</v>
      </c>
      <c r="AK365" s="40"/>
      <c r="AL365" s="24"/>
      <c r="AM365" s="24"/>
    </row>
    <row r="366" spans="1:39" hidden="1" x14ac:dyDescent="0.2">
      <c r="A366" s="10"/>
      <c r="B366" s="50">
        <v>43686</v>
      </c>
      <c r="C366" s="35">
        <v>0.59166666666666667</v>
      </c>
      <c r="D366" s="35"/>
      <c r="E366" s="35" t="s">
        <v>111</v>
      </c>
      <c r="F366" s="37">
        <v>2</v>
      </c>
      <c r="G366" s="42" t="str">
        <f>VLOOKUP(F366,Key!$A$17:$B$21,2,FALSE)</f>
        <v>Road Vehicle</v>
      </c>
      <c r="H366" s="36">
        <v>4</v>
      </c>
      <c r="I366" s="43" t="str">
        <f>VLOOKUP(H366,Key!$A$2:$B$13,2,FALSE)</f>
        <v>Minibus</v>
      </c>
      <c r="J366" s="37" t="s">
        <v>123</v>
      </c>
      <c r="K366" s="37">
        <v>3</v>
      </c>
      <c r="L366" s="45" t="str">
        <f>VLOOKUP(K366,Key!$A$24:$B$29,2,FALSE)</f>
        <v>40-49</v>
      </c>
      <c r="M366" s="37" t="s">
        <v>169</v>
      </c>
      <c r="N366" s="32" t="s">
        <v>169</v>
      </c>
      <c r="O366" s="37" t="s">
        <v>168</v>
      </c>
      <c r="P366" s="39">
        <v>2</v>
      </c>
      <c r="Q366" s="34" t="str">
        <f>VLOOKUP(P366,Key!$E$2:$F$9,2,FALSE)</f>
        <v>Work</v>
      </c>
      <c r="R366" s="37" t="s">
        <v>218</v>
      </c>
      <c r="S366" s="32" t="s">
        <v>176</v>
      </c>
      <c r="T366" s="37" t="s">
        <v>168</v>
      </c>
      <c r="U366" s="32">
        <v>2</v>
      </c>
      <c r="V366" s="34" t="str">
        <f>VLOOKUP(U366,Key!$E$2:$F$9,2,FALSE)</f>
        <v>Work</v>
      </c>
      <c r="W366" s="34" t="str">
        <f t="shared" si="12"/>
        <v>Work-Work</v>
      </c>
      <c r="X366" s="47">
        <v>80000</v>
      </c>
      <c r="Y366" s="38">
        <v>210</v>
      </c>
      <c r="Z366" s="38">
        <v>4</v>
      </c>
      <c r="AA366" s="32">
        <v>6</v>
      </c>
      <c r="AB366" s="34" t="str">
        <f>VLOOKUP(AA366,Key!$C$20:$D$29,2,FALSE)</f>
        <v>Businessman</v>
      </c>
      <c r="AC366" s="32">
        <v>2</v>
      </c>
      <c r="AD366" s="34" t="str">
        <f>VLOOKUP(AC366,Key!$E$20:$F$24,2,FALSE)</f>
        <v>300,000-500,000</v>
      </c>
      <c r="AE366" s="32">
        <v>2</v>
      </c>
      <c r="AF366" s="55">
        <v>1</v>
      </c>
      <c r="AG366" s="55">
        <v>2</v>
      </c>
      <c r="AH366" s="55">
        <v>1</v>
      </c>
      <c r="AI366" s="55">
        <v>1</v>
      </c>
      <c r="AJ366" s="39" t="s">
        <v>104</v>
      </c>
      <c r="AK366" s="40">
        <v>2000</v>
      </c>
      <c r="AL366" s="24"/>
      <c r="AM366" s="24"/>
    </row>
    <row r="367" spans="1:39" hidden="1" x14ac:dyDescent="0.2">
      <c r="B367" s="50">
        <v>43687</v>
      </c>
      <c r="C367" s="35">
        <v>0.63888888888888895</v>
      </c>
      <c r="D367" s="35"/>
      <c r="E367" s="35" t="s">
        <v>111</v>
      </c>
      <c r="F367" s="37">
        <v>2</v>
      </c>
      <c r="G367" s="42" t="str">
        <f>VLOOKUP(F367,Key!$A$17:$B$21,2,FALSE)</f>
        <v>Road Vehicle</v>
      </c>
      <c r="H367" s="36">
        <v>4</v>
      </c>
      <c r="I367" s="43" t="str">
        <f>VLOOKUP(H367,Key!$A$2:$B$13,2,FALSE)</f>
        <v>Minibus</v>
      </c>
      <c r="J367" s="37" t="s">
        <v>123</v>
      </c>
      <c r="K367" s="37">
        <v>3</v>
      </c>
      <c r="L367" s="45" t="str">
        <f>VLOOKUP(K367,Key!$A$24:$B$29,2,FALSE)</f>
        <v>40-49</v>
      </c>
      <c r="M367" s="37" t="s">
        <v>247</v>
      </c>
      <c r="N367" s="32" t="s">
        <v>167</v>
      </c>
      <c r="O367" s="37" t="s">
        <v>168</v>
      </c>
      <c r="P367" s="39">
        <v>2</v>
      </c>
      <c r="Q367" s="34" t="str">
        <f>VLOOKUP(P367,Key!$E$2:$F$9,2,FALSE)</f>
        <v>Work</v>
      </c>
      <c r="R367" s="37" t="s">
        <v>219</v>
      </c>
      <c r="S367" s="32" t="s">
        <v>199</v>
      </c>
      <c r="T367" s="37" t="s">
        <v>168</v>
      </c>
      <c r="U367" s="32">
        <v>2</v>
      </c>
      <c r="V367" s="34" t="str">
        <f>VLOOKUP(U367,Key!$E$2:$F$9,2,FALSE)</f>
        <v>Work</v>
      </c>
      <c r="W367" s="34" t="str">
        <f t="shared" si="12"/>
        <v>Work-Work</v>
      </c>
      <c r="X367" s="47">
        <v>150000</v>
      </c>
      <c r="Y367" s="38">
        <v>220</v>
      </c>
      <c r="Z367" s="38">
        <v>4</v>
      </c>
      <c r="AA367" s="32">
        <v>7</v>
      </c>
      <c r="AB367" s="34" t="str">
        <f>VLOOKUP(AA367,Key!$C$20:$D$29,2,FALSE)</f>
        <v>Farmer</v>
      </c>
      <c r="AC367" s="32">
        <v>1</v>
      </c>
      <c r="AD367" s="34" t="str">
        <f>VLOOKUP(AC367,Key!$E$20:$F$24,2,FALSE)</f>
        <v>&lt;300,000</v>
      </c>
      <c r="AE367" s="32">
        <v>1</v>
      </c>
      <c r="AF367" s="55">
        <v>2</v>
      </c>
      <c r="AG367" s="55">
        <v>1</v>
      </c>
      <c r="AH367" s="55">
        <v>1</v>
      </c>
      <c r="AI367" s="55">
        <v>1</v>
      </c>
      <c r="AJ367" s="39" t="s">
        <v>104</v>
      </c>
      <c r="AK367" s="40"/>
      <c r="AL367" s="24"/>
      <c r="AM367" s="24"/>
    </row>
    <row r="368" spans="1:39" hidden="1" x14ac:dyDescent="0.2">
      <c r="A368" s="10"/>
      <c r="B368" s="50">
        <v>43686</v>
      </c>
      <c r="C368" s="35">
        <v>0.6118055555555556</v>
      </c>
      <c r="D368" s="35"/>
      <c r="E368" s="35" t="s">
        <v>111</v>
      </c>
      <c r="F368" s="37">
        <v>2</v>
      </c>
      <c r="G368" s="42" t="str">
        <f>VLOOKUP(F368,Key!$A$17:$B$21,2,FALSE)</f>
        <v>Road Vehicle</v>
      </c>
      <c r="H368" s="36">
        <v>4</v>
      </c>
      <c r="I368" s="43" t="str">
        <f>VLOOKUP(H368,Key!$A$2:$B$13,2,FALSE)</f>
        <v>Minibus</v>
      </c>
      <c r="J368" s="37" t="s">
        <v>123</v>
      </c>
      <c r="K368" s="37">
        <v>3</v>
      </c>
      <c r="L368" s="45" t="str">
        <f>VLOOKUP(K368,Key!$A$24:$B$29,2,FALSE)</f>
        <v>40-49</v>
      </c>
      <c r="M368" s="44" t="s">
        <v>169</v>
      </c>
      <c r="N368" s="44" t="s">
        <v>169</v>
      </c>
      <c r="O368" s="37" t="s">
        <v>168</v>
      </c>
      <c r="P368" s="39">
        <v>2</v>
      </c>
      <c r="Q368" s="34" t="str">
        <f>VLOOKUP(P368,Key!$E$2:$F$9,2,FALSE)</f>
        <v>Work</v>
      </c>
      <c r="R368" s="37" t="s">
        <v>218</v>
      </c>
      <c r="S368" s="32" t="s">
        <v>176</v>
      </c>
      <c r="T368" s="37" t="s">
        <v>168</v>
      </c>
      <c r="U368" s="32">
        <v>2</v>
      </c>
      <c r="V368" s="34" t="str">
        <f>VLOOKUP(U368,Key!$E$2:$F$9,2,FALSE)</f>
        <v>Work</v>
      </c>
      <c r="W368" s="34" t="str">
        <f t="shared" si="12"/>
        <v>Work-Work</v>
      </c>
      <c r="X368" s="47">
        <v>80000</v>
      </c>
      <c r="Y368" s="38">
        <v>220</v>
      </c>
      <c r="Z368" s="38">
        <v>4</v>
      </c>
      <c r="AA368" s="32">
        <v>6</v>
      </c>
      <c r="AB368" s="34" t="str">
        <f>VLOOKUP(AA368,Key!$C$20:$D$29,2,FALSE)</f>
        <v>Businessman</v>
      </c>
      <c r="AC368" s="32">
        <v>2</v>
      </c>
      <c r="AD368" s="34" t="str">
        <f>VLOOKUP(AC368,Key!$E$20:$F$24,2,FALSE)</f>
        <v>300,000-500,000</v>
      </c>
      <c r="AE368" s="32">
        <v>2</v>
      </c>
      <c r="AF368" s="55">
        <v>1</v>
      </c>
      <c r="AG368" s="55">
        <v>2</v>
      </c>
      <c r="AH368" s="55">
        <v>1</v>
      </c>
      <c r="AI368" s="55">
        <v>1</v>
      </c>
      <c r="AJ368" s="39" t="s">
        <v>104</v>
      </c>
      <c r="AK368" s="40">
        <v>2000</v>
      </c>
      <c r="AL368" s="24"/>
      <c r="AM368" s="24"/>
    </row>
    <row r="369" spans="2:39" hidden="1" x14ac:dyDescent="0.2">
      <c r="B369" s="50">
        <v>43686</v>
      </c>
      <c r="C369" s="35">
        <v>0.625</v>
      </c>
      <c r="D369" s="35"/>
      <c r="E369" s="35" t="s">
        <v>111</v>
      </c>
      <c r="F369" s="37">
        <v>2</v>
      </c>
      <c r="G369" s="42" t="str">
        <f>VLOOKUP(F369,Key!$A$17:$B$21,2,FALSE)</f>
        <v>Road Vehicle</v>
      </c>
      <c r="H369" s="36">
        <v>4</v>
      </c>
      <c r="I369" s="43" t="str">
        <f>VLOOKUP(H369,Key!$A$2:$B$13,2,FALSE)</f>
        <v>Minibus</v>
      </c>
      <c r="J369" s="37" t="s">
        <v>123</v>
      </c>
      <c r="K369" s="37">
        <v>3</v>
      </c>
      <c r="L369" s="45" t="str">
        <f>VLOOKUP(K369,Key!$A$24:$B$29,2,FALSE)</f>
        <v>40-49</v>
      </c>
      <c r="M369" s="37" t="s">
        <v>247</v>
      </c>
      <c r="N369" s="32" t="s">
        <v>169</v>
      </c>
      <c r="O369" s="37" t="s">
        <v>168</v>
      </c>
      <c r="P369" s="39">
        <v>2</v>
      </c>
      <c r="Q369" s="34" t="str">
        <f>VLOOKUP(P369,Key!$E$2:$F$9,2,FALSE)</f>
        <v>Work</v>
      </c>
      <c r="R369" s="37" t="s">
        <v>218</v>
      </c>
      <c r="S369" s="32" t="s">
        <v>176</v>
      </c>
      <c r="T369" s="37" t="s">
        <v>168</v>
      </c>
      <c r="U369" s="32">
        <v>2</v>
      </c>
      <c r="V369" s="34" t="str">
        <f>VLOOKUP(U369,Key!$E$2:$F$9,2,FALSE)</f>
        <v>Work</v>
      </c>
      <c r="W369" s="34" t="str">
        <f t="shared" si="12"/>
        <v>Work-Work</v>
      </c>
      <c r="X369" s="47">
        <v>100000</v>
      </c>
      <c r="Y369" s="38">
        <v>230</v>
      </c>
      <c r="Z369" s="38">
        <v>4</v>
      </c>
      <c r="AA369" s="32">
        <v>6</v>
      </c>
      <c r="AB369" s="34" t="str">
        <f>VLOOKUP(AA369,Key!$C$20:$D$29,2,FALSE)</f>
        <v>Businessman</v>
      </c>
      <c r="AC369" s="32">
        <v>5</v>
      </c>
      <c r="AD369" s="34" t="str">
        <f>VLOOKUP(AC369,Key!$E$20:$F$24,2,FALSE)</f>
        <v>&gt;1,000,000</v>
      </c>
      <c r="AE369" s="32">
        <v>1</v>
      </c>
      <c r="AF369" s="55">
        <v>1</v>
      </c>
      <c r="AG369" s="55">
        <v>2</v>
      </c>
      <c r="AH369" s="55">
        <v>1</v>
      </c>
      <c r="AI369" s="55">
        <v>2</v>
      </c>
      <c r="AJ369" s="39" t="s">
        <v>104</v>
      </c>
      <c r="AK369" s="40">
        <v>1000</v>
      </c>
      <c r="AL369" s="24"/>
      <c r="AM369" s="24"/>
    </row>
    <row r="370" spans="2:39" hidden="1" x14ac:dyDescent="0.2">
      <c r="B370" s="50">
        <v>43690</v>
      </c>
      <c r="C370" s="35">
        <v>0.75486111111111109</v>
      </c>
      <c r="D370" s="35"/>
      <c r="E370" s="35" t="s">
        <v>111</v>
      </c>
      <c r="F370" s="37">
        <v>2</v>
      </c>
      <c r="G370" s="42" t="str">
        <f>VLOOKUP(F370,Key!$A$17:$B$21,2,FALSE)</f>
        <v>Road Vehicle</v>
      </c>
      <c r="H370" s="36">
        <v>4</v>
      </c>
      <c r="I370" s="43" t="str">
        <f>VLOOKUP(H370,Key!$A$2:$B$13,2,FALSE)</f>
        <v>Minibus</v>
      </c>
      <c r="J370" s="37" t="s">
        <v>123</v>
      </c>
      <c r="K370" s="37">
        <v>2</v>
      </c>
      <c r="L370" s="45" t="str">
        <f>VLOOKUP(K370,Key!$A$24:$B$29,2,FALSE)</f>
        <v>30-39</v>
      </c>
      <c r="M370" s="37" t="s">
        <v>167</v>
      </c>
      <c r="N370" s="32" t="s">
        <v>167</v>
      </c>
      <c r="O370" s="37" t="s">
        <v>168</v>
      </c>
      <c r="P370" s="39">
        <v>2</v>
      </c>
      <c r="Q370" s="34" t="str">
        <f>VLOOKUP(P370,Key!$E$2:$F$9,2,FALSE)</f>
        <v>Work</v>
      </c>
      <c r="R370" s="37" t="s">
        <v>199</v>
      </c>
      <c r="S370" s="32" t="s">
        <v>199</v>
      </c>
      <c r="T370" s="37" t="s">
        <v>168</v>
      </c>
      <c r="U370" s="32">
        <v>2</v>
      </c>
      <c r="V370" s="34" t="str">
        <f>VLOOKUP(U370,Key!$E$2:$F$9,2,FALSE)</f>
        <v>Work</v>
      </c>
      <c r="W370" s="34" t="str">
        <f t="shared" si="12"/>
        <v>Work-Work</v>
      </c>
      <c r="X370" s="47">
        <v>60000</v>
      </c>
      <c r="Y370" s="38">
        <v>230</v>
      </c>
      <c r="Z370" s="38">
        <v>5</v>
      </c>
      <c r="AA370" s="32">
        <v>10</v>
      </c>
      <c r="AB370" s="34" t="str">
        <f>VLOOKUP(AA370,Key!$C$20:$D$29,2,FALSE)</f>
        <v>Other</v>
      </c>
      <c r="AC370" s="32">
        <v>2</v>
      </c>
      <c r="AD370" s="34" t="str">
        <f>VLOOKUP(AC370,Key!$E$20:$F$24,2,FALSE)</f>
        <v>300,000-500,000</v>
      </c>
      <c r="AE370" s="32">
        <v>1</v>
      </c>
      <c r="AF370" s="55">
        <v>2</v>
      </c>
      <c r="AG370" s="55">
        <v>3</v>
      </c>
      <c r="AH370" s="55">
        <v>1</v>
      </c>
      <c r="AI370" s="55">
        <v>4</v>
      </c>
      <c r="AJ370" s="39" t="s">
        <v>104</v>
      </c>
      <c r="AK370" s="40">
        <v>1000</v>
      </c>
      <c r="AL370" s="24"/>
      <c r="AM370" s="24"/>
    </row>
    <row r="371" spans="2:39" hidden="1" x14ac:dyDescent="0.2">
      <c r="B371" s="50">
        <v>43690</v>
      </c>
      <c r="C371" s="35">
        <v>0.74305555555555547</v>
      </c>
      <c r="D371" s="35"/>
      <c r="E371" s="35" t="s">
        <v>111</v>
      </c>
      <c r="F371" s="37">
        <v>2</v>
      </c>
      <c r="G371" s="42" t="str">
        <f>VLOOKUP(F371,Key!$A$17:$B$21,2,FALSE)</f>
        <v>Road Vehicle</v>
      </c>
      <c r="H371" s="36">
        <v>4</v>
      </c>
      <c r="I371" s="43" t="str">
        <f>VLOOKUP(H371,Key!$A$2:$B$13,2,FALSE)</f>
        <v>Minibus</v>
      </c>
      <c r="J371" s="37" t="s">
        <v>123</v>
      </c>
      <c r="K371" s="37">
        <v>3</v>
      </c>
      <c r="L371" s="45" t="str">
        <f>VLOOKUP(K371,Key!$A$24:$B$29,2,FALSE)</f>
        <v>40-49</v>
      </c>
      <c r="M371" s="37" t="s">
        <v>247</v>
      </c>
      <c r="N371" s="32" t="s">
        <v>169</v>
      </c>
      <c r="O371" s="37" t="s">
        <v>168</v>
      </c>
      <c r="P371" s="39">
        <v>2</v>
      </c>
      <c r="Q371" s="34" t="str">
        <f>VLOOKUP(P371,Key!$E$2:$F$9,2,FALSE)</f>
        <v>Work</v>
      </c>
      <c r="R371" s="37" t="s">
        <v>218</v>
      </c>
      <c r="S371" s="32" t="s">
        <v>176</v>
      </c>
      <c r="T371" s="37" t="s">
        <v>168</v>
      </c>
      <c r="U371" s="32">
        <v>4</v>
      </c>
      <c r="V371" s="34" t="str">
        <f>VLOOKUP(U371,Key!$E$2:$F$9,2,FALSE)</f>
        <v>Commercial</v>
      </c>
      <c r="W371" s="34" t="str">
        <f t="shared" si="12"/>
        <v>Work-Commercial</v>
      </c>
      <c r="X371" s="47">
        <v>100000</v>
      </c>
      <c r="Y371" s="38">
        <v>230</v>
      </c>
      <c r="Z371" s="38">
        <v>5</v>
      </c>
      <c r="AA371" s="32">
        <v>6</v>
      </c>
      <c r="AB371" s="34" t="str">
        <f>VLOOKUP(AA371,Key!$C$20:$D$29,2,FALSE)</f>
        <v>Businessman</v>
      </c>
      <c r="AC371" s="32">
        <v>2</v>
      </c>
      <c r="AD371" s="34" t="str">
        <f>VLOOKUP(AC371,Key!$E$20:$F$24,2,FALSE)</f>
        <v>300,000-500,000</v>
      </c>
      <c r="AE371" s="32">
        <v>1</v>
      </c>
      <c r="AF371" s="55">
        <v>1</v>
      </c>
      <c r="AG371" s="55">
        <v>1</v>
      </c>
      <c r="AH371" s="55">
        <v>1</v>
      </c>
      <c r="AI371" s="55">
        <v>1</v>
      </c>
      <c r="AJ371" s="39" t="s">
        <v>104</v>
      </c>
      <c r="AK371" s="40">
        <v>2000</v>
      </c>
      <c r="AL371" s="24"/>
      <c r="AM371" s="24"/>
    </row>
    <row r="372" spans="2:39" hidden="1" x14ac:dyDescent="0.2">
      <c r="B372" s="50">
        <v>43686</v>
      </c>
      <c r="C372" s="35">
        <v>0.59513888888888888</v>
      </c>
      <c r="D372" s="35"/>
      <c r="E372" s="35" t="s">
        <v>111</v>
      </c>
      <c r="F372" s="37">
        <v>2</v>
      </c>
      <c r="G372" s="42" t="str">
        <f>VLOOKUP(F372,Key!$A$17:$B$21,2,FALSE)</f>
        <v>Road Vehicle</v>
      </c>
      <c r="H372" s="36">
        <v>4</v>
      </c>
      <c r="I372" s="43" t="str">
        <f>VLOOKUP(H372,Key!$A$2:$B$13,2,FALSE)</f>
        <v>Minibus</v>
      </c>
      <c r="J372" s="37" t="s">
        <v>123</v>
      </c>
      <c r="K372" s="37">
        <v>2</v>
      </c>
      <c r="L372" s="45" t="str">
        <f>VLOOKUP(K372,Key!$A$24:$B$29,2,FALSE)</f>
        <v>30-39</v>
      </c>
      <c r="M372" s="37" t="s">
        <v>167</v>
      </c>
      <c r="N372" s="32" t="s">
        <v>167</v>
      </c>
      <c r="O372" s="37" t="s">
        <v>168</v>
      </c>
      <c r="P372" s="39">
        <v>2</v>
      </c>
      <c r="Q372" s="34" t="str">
        <f>VLOOKUP(P372,Key!$E$2:$F$9,2,FALSE)</f>
        <v>Work</v>
      </c>
      <c r="R372" s="37" t="s">
        <v>169</v>
      </c>
      <c r="S372" s="32" t="s">
        <v>169</v>
      </c>
      <c r="T372" s="37" t="s">
        <v>168</v>
      </c>
      <c r="U372" s="32">
        <v>2</v>
      </c>
      <c r="V372" s="34" t="str">
        <f>VLOOKUP(U372,Key!$E$2:$F$9,2,FALSE)</f>
        <v>Work</v>
      </c>
      <c r="W372" s="34" t="str">
        <f t="shared" si="12"/>
        <v>Work-Work</v>
      </c>
      <c r="X372" s="47">
        <v>120000</v>
      </c>
      <c r="Y372" s="38">
        <v>270</v>
      </c>
      <c r="Z372" s="38">
        <v>5</v>
      </c>
      <c r="AA372" s="32">
        <v>10</v>
      </c>
      <c r="AB372" s="34" t="str">
        <f>VLOOKUP(AA372,Key!$C$20:$D$29,2,FALSE)</f>
        <v>Other</v>
      </c>
      <c r="AC372" s="32">
        <v>1</v>
      </c>
      <c r="AD372" s="34" t="str">
        <f>VLOOKUP(AC372,Key!$E$20:$F$24,2,FALSE)</f>
        <v>&lt;300,000</v>
      </c>
      <c r="AE372" s="32">
        <v>1</v>
      </c>
      <c r="AF372" s="55">
        <v>2</v>
      </c>
      <c r="AG372" s="55">
        <v>1</v>
      </c>
      <c r="AH372" s="55">
        <v>1</v>
      </c>
      <c r="AI372" s="55">
        <v>1</v>
      </c>
      <c r="AJ372" s="39" t="s">
        <v>104</v>
      </c>
      <c r="AK372" s="40"/>
      <c r="AL372" s="24"/>
      <c r="AM372" s="24"/>
    </row>
    <row r="373" spans="2:39" hidden="1" x14ac:dyDescent="0.2">
      <c r="B373" s="50">
        <v>43686</v>
      </c>
      <c r="C373" s="35">
        <v>0.59513888888888888</v>
      </c>
      <c r="D373" s="35"/>
      <c r="E373" s="35" t="s">
        <v>111</v>
      </c>
      <c r="F373" s="37">
        <v>2</v>
      </c>
      <c r="G373" s="42" t="str">
        <f>VLOOKUP(F373,Key!$A$17:$B$21,2,FALSE)</f>
        <v>Road Vehicle</v>
      </c>
      <c r="H373" s="36">
        <v>4</v>
      </c>
      <c r="I373" s="43" t="str">
        <f>VLOOKUP(H373,Key!$A$2:$B$13,2,FALSE)</f>
        <v>Minibus</v>
      </c>
      <c r="J373" s="37" t="s">
        <v>123</v>
      </c>
      <c r="K373" s="37">
        <v>3</v>
      </c>
      <c r="L373" s="45" t="str">
        <f>VLOOKUP(K373,Key!$A$24:$B$29,2,FALSE)</f>
        <v>40-49</v>
      </c>
      <c r="M373" s="37" t="s">
        <v>187</v>
      </c>
      <c r="N373" s="32" t="s">
        <v>167</v>
      </c>
      <c r="O373" s="37" t="s">
        <v>168</v>
      </c>
      <c r="P373" s="39">
        <v>8</v>
      </c>
      <c r="Q373" s="34" t="str">
        <f>VLOOKUP(P373,Key!$E$2:$F$9,2,FALSE)</f>
        <v>Others</v>
      </c>
      <c r="R373" s="37" t="s">
        <v>169</v>
      </c>
      <c r="S373" s="32" t="s">
        <v>169</v>
      </c>
      <c r="T373" s="37" t="s">
        <v>168</v>
      </c>
      <c r="U373" s="32">
        <v>8</v>
      </c>
      <c r="V373" s="34" t="str">
        <f>VLOOKUP(U373,Key!$E$2:$F$9,2,FALSE)</f>
        <v>Others</v>
      </c>
      <c r="W373" s="34" t="str">
        <f t="shared" si="12"/>
        <v>Others-Others</v>
      </c>
      <c r="X373" s="47">
        <v>140000</v>
      </c>
      <c r="Y373" s="38">
        <v>300</v>
      </c>
      <c r="Z373" s="38">
        <v>4</v>
      </c>
      <c r="AA373" s="32">
        <v>7</v>
      </c>
      <c r="AB373" s="34" t="str">
        <f>VLOOKUP(AA373,Key!$C$20:$D$29,2,FALSE)</f>
        <v>Farmer</v>
      </c>
      <c r="AC373" s="32">
        <v>1</v>
      </c>
      <c r="AD373" s="34" t="str">
        <f>VLOOKUP(AC373,Key!$E$20:$F$24,2,FALSE)</f>
        <v>&lt;300,000</v>
      </c>
      <c r="AE373" s="32">
        <v>1</v>
      </c>
      <c r="AF373" s="55">
        <v>2</v>
      </c>
      <c r="AG373" s="55">
        <v>1</v>
      </c>
      <c r="AH373" s="55">
        <v>1</v>
      </c>
      <c r="AI373" s="55">
        <v>1</v>
      </c>
      <c r="AJ373" s="39" t="s">
        <v>104</v>
      </c>
      <c r="AK373" s="40">
        <v>500</v>
      </c>
      <c r="AL373" s="24"/>
      <c r="AM373" s="24"/>
    </row>
    <row r="374" spans="2:39" hidden="1" x14ac:dyDescent="0.2">
      <c r="B374" s="50">
        <v>43686</v>
      </c>
      <c r="C374" s="35">
        <v>0.61736111111111114</v>
      </c>
      <c r="D374" s="35"/>
      <c r="E374" s="35" t="s">
        <v>111</v>
      </c>
      <c r="F374" s="37">
        <v>2</v>
      </c>
      <c r="G374" s="42" t="str">
        <f>VLOOKUP(F374,Key!$A$17:$B$21,2,FALSE)</f>
        <v>Road Vehicle</v>
      </c>
      <c r="H374" s="36">
        <v>4</v>
      </c>
      <c r="I374" s="43" t="str">
        <f>VLOOKUP(H374,Key!$A$2:$B$13,2,FALSE)</f>
        <v>Minibus</v>
      </c>
      <c r="J374" s="37" t="s">
        <v>123</v>
      </c>
      <c r="K374" s="37">
        <v>3</v>
      </c>
      <c r="L374" s="45" t="str">
        <f>VLOOKUP(K374,Key!$A$24:$B$29,2,FALSE)</f>
        <v>40-49</v>
      </c>
      <c r="M374" s="37" t="s">
        <v>247</v>
      </c>
      <c r="N374" s="32" t="s">
        <v>167</v>
      </c>
      <c r="O374" s="37" t="s">
        <v>168</v>
      </c>
      <c r="P374" s="39">
        <v>2</v>
      </c>
      <c r="Q374" s="34" t="str">
        <f>VLOOKUP(P374,Key!$E$2:$F$9,2,FALSE)</f>
        <v>Work</v>
      </c>
      <c r="R374" s="37" t="s">
        <v>249</v>
      </c>
      <c r="S374" s="32" t="s">
        <v>34</v>
      </c>
      <c r="T374" s="37" t="s">
        <v>168</v>
      </c>
      <c r="U374" s="32">
        <v>5</v>
      </c>
      <c r="V374" s="34" t="str">
        <f>VLOOKUP(U374,Key!$E$2:$F$9,2,FALSE)</f>
        <v>Tourism</v>
      </c>
      <c r="W374" s="34" t="str">
        <f t="shared" si="12"/>
        <v>Work-Tourism</v>
      </c>
      <c r="X374" s="47">
        <v>200000</v>
      </c>
      <c r="Y374" s="38">
        <v>4000</v>
      </c>
      <c r="Z374" s="38">
        <v>10</v>
      </c>
      <c r="AA374" s="32">
        <v>10</v>
      </c>
      <c r="AB374" s="34" t="str">
        <f>VLOOKUP(AA374,Key!$C$20:$D$29,2,FALSE)</f>
        <v>Other</v>
      </c>
      <c r="AC374" s="32">
        <v>1</v>
      </c>
      <c r="AD374" s="34" t="str">
        <f>VLOOKUP(AC374,Key!$E$20:$F$24,2,FALSE)</f>
        <v>&lt;300,000</v>
      </c>
      <c r="AE374" s="32">
        <v>1</v>
      </c>
      <c r="AF374" s="55">
        <v>1</v>
      </c>
      <c r="AG374" s="55">
        <v>1</v>
      </c>
      <c r="AH374" s="55">
        <v>1</v>
      </c>
      <c r="AI374" s="55">
        <v>1</v>
      </c>
      <c r="AJ374" s="39" t="s">
        <v>104</v>
      </c>
      <c r="AK374" s="40">
        <v>5000</v>
      </c>
      <c r="AL374" s="24"/>
      <c r="AM374" s="24"/>
    </row>
    <row r="375" spans="2:39" hidden="1" x14ac:dyDescent="0.2">
      <c r="B375" s="50"/>
      <c r="C375" s="35"/>
      <c r="D375" s="35"/>
      <c r="E375" s="35"/>
      <c r="F375" s="37"/>
      <c r="G375" s="42"/>
      <c r="H375" s="36"/>
      <c r="I375" s="43"/>
      <c r="J375" s="37"/>
      <c r="K375" s="37"/>
      <c r="L375" s="45"/>
      <c r="M375" s="37"/>
      <c r="N375" s="32"/>
      <c r="O375" s="37"/>
      <c r="P375" s="39"/>
      <c r="Q375" s="34"/>
      <c r="R375" s="37"/>
      <c r="S375" s="32"/>
      <c r="T375" s="37"/>
      <c r="U375" s="32"/>
      <c r="V375" s="34"/>
      <c r="W375" s="34"/>
      <c r="X375" s="47"/>
      <c r="Y375" s="38"/>
      <c r="Z375" s="38"/>
      <c r="AA375" s="32"/>
      <c r="AB375" s="34"/>
      <c r="AC375" s="32"/>
      <c r="AD375" s="34"/>
      <c r="AE375" s="32"/>
      <c r="AF375" s="55"/>
      <c r="AG375" s="55"/>
      <c r="AH375" s="55"/>
      <c r="AI375" s="55"/>
      <c r="AJ375" s="39"/>
      <c r="AK375" s="40"/>
      <c r="AL375" s="24"/>
      <c r="AM375" s="24"/>
    </row>
    <row r="376" spans="2:39" hidden="1" x14ac:dyDescent="0.2">
      <c r="B376" s="50">
        <v>43686</v>
      </c>
      <c r="C376" s="35">
        <v>0.56736111111111109</v>
      </c>
      <c r="D376" s="35"/>
      <c r="E376" s="35" t="s">
        <v>111</v>
      </c>
      <c r="F376" s="37">
        <v>2</v>
      </c>
      <c r="G376" s="42" t="str">
        <f>VLOOKUP(F376,Key!$A$17:$B$21,2,FALSE)</f>
        <v>Road Vehicle</v>
      </c>
      <c r="H376" s="36">
        <v>3</v>
      </c>
      <c r="I376" s="43" t="str">
        <f>VLOOKUP(H376,Key!$A$2:$B$13,2,FALSE)</f>
        <v>Pickups</v>
      </c>
      <c r="J376" s="37" t="s">
        <v>123</v>
      </c>
      <c r="K376" s="37">
        <v>3</v>
      </c>
      <c r="L376" s="45" t="str">
        <f>VLOOKUP(K376,Key!$A$24:$B$29,2,FALSE)</f>
        <v>40-49</v>
      </c>
      <c r="M376" s="44" t="s">
        <v>202</v>
      </c>
      <c r="N376" s="44" t="s">
        <v>179</v>
      </c>
      <c r="O376" s="37" t="s">
        <v>168</v>
      </c>
      <c r="P376" s="39">
        <v>1</v>
      </c>
      <c r="Q376" s="34" t="str">
        <f>VLOOKUP(P376,Key!$E$2:$F$9,2,FALSE)</f>
        <v>Home</v>
      </c>
      <c r="R376" s="37" t="s">
        <v>203</v>
      </c>
      <c r="S376" s="32" t="s">
        <v>167</v>
      </c>
      <c r="T376" s="37" t="s">
        <v>168</v>
      </c>
      <c r="U376" s="32">
        <v>8</v>
      </c>
      <c r="V376" s="34" t="str">
        <f>VLOOKUP(U376,Key!$E$2:$F$9,2,FALSE)</f>
        <v>Others</v>
      </c>
      <c r="W376" s="34" t="str">
        <f t="shared" ref="W376:W422" si="13">Q376&amp;"-"&amp;V376</f>
        <v>Home-Others</v>
      </c>
      <c r="X376" s="47">
        <v>10000</v>
      </c>
      <c r="Y376" s="38">
        <v>3</v>
      </c>
      <c r="Z376" s="38">
        <v>0.5</v>
      </c>
      <c r="AA376" s="32">
        <v>7</v>
      </c>
      <c r="AB376" s="34" t="str">
        <f>VLOOKUP(AA376,Key!$C$20:$D$29,2,FALSE)</f>
        <v>Farmer</v>
      </c>
      <c r="AC376" s="32">
        <v>3</v>
      </c>
      <c r="AD376" s="34" t="str">
        <f>VLOOKUP(AC376,Key!$E$20:$F$24,2,FALSE)</f>
        <v>500,000-750,000</v>
      </c>
      <c r="AE376" s="32">
        <v>2</v>
      </c>
      <c r="AF376" s="55">
        <v>1</v>
      </c>
      <c r="AG376" s="55">
        <v>2</v>
      </c>
      <c r="AH376" s="55">
        <v>1</v>
      </c>
      <c r="AI376" s="55">
        <v>3</v>
      </c>
      <c r="AJ376" s="39" t="s">
        <v>104</v>
      </c>
      <c r="AK376" s="40"/>
      <c r="AL376" s="24"/>
      <c r="AM376" s="24"/>
    </row>
    <row r="377" spans="2:39" hidden="1" x14ac:dyDescent="0.2">
      <c r="B377" s="50">
        <v>43687</v>
      </c>
      <c r="C377" s="35">
        <v>0.2986111111111111</v>
      </c>
      <c r="D377" s="35"/>
      <c r="E377" s="35" t="s">
        <v>111</v>
      </c>
      <c r="F377" s="37">
        <v>2</v>
      </c>
      <c r="G377" s="42" t="str">
        <f>VLOOKUP(F377,Key!$A$17:$B$21,2,FALSE)</f>
        <v>Road Vehicle</v>
      </c>
      <c r="H377" s="36">
        <v>3</v>
      </c>
      <c r="I377" s="43" t="str">
        <f>VLOOKUP(H377,Key!$A$2:$B$13,2,FALSE)</f>
        <v>Pickups</v>
      </c>
      <c r="J377" s="37" t="s">
        <v>123</v>
      </c>
      <c r="K377" s="13">
        <v>2</v>
      </c>
      <c r="L377" s="45" t="str">
        <f>VLOOKUP(K377,Key!$A$24:$B$29,2,FALSE)</f>
        <v>30-39</v>
      </c>
      <c r="M377" s="44" t="s">
        <v>187</v>
      </c>
      <c r="N377" s="44" t="s">
        <v>167</v>
      </c>
      <c r="O377" s="37" t="s">
        <v>168</v>
      </c>
      <c r="P377" s="39">
        <v>1</v>
      </c>
      <c r="Q377" s="34" t="str">
        <f>VLOOKUP(P377,Key!$E$2:$F$9,2,FALSE)</f>
        <v>Home</v>
      </c>
      <c r="R377" s="37" t="s">
        <v>167</v>
      </c>
      <c r="S377" s="32" t="s">
        <v>167</v>
      </c>
      <c r="T377" s="37" t="s">
        <v>168</v>
      </c>
      <c r="U377" s="32">
        <v>2</v>
      </c>
      <c r="V377" s="34" t="str">
        <f>VLOOKUP(U377,Key!$E$2:$F$9,2,FALSE)</f>
        <v>Work</v>
      </c>
      <c r="W377" s="34" t="str">
        <f t="shared" si="13"/>
        <v>Home-Work</v>
      </c>
      <c r="X377" s="47">
        <v>20000</v>
      </c>
      <c r="Y377" s="38">
        <v>5</v>
      </c>
      <c r="Z377" s="38">
        <v>0.5</v>
      </c>
      <c r="AA377" s="32">
        <v>1</v>
      </c>
      <c r="AB377" s="34" t="str">
        <f>VLOOKUP(AA377,Key!$C$20:$D$29,2,FALSE)</f>
        <v>Unemployed</v>
      </c>
      <c r="AC377" s="32">
        <v>1</v>
      </c>
      <c r="AD377" s="34" t="str">
        <f>VLOOKUP(AC377,Key!$E$20:$F$24,2,FALSE)</f>
        <v>&lt;300,000</v>
      </c>
      <c r="AE377" s="32">
        <v>1</v>
      </c>
      <c r="AF377" s="55">
        <v>1</v>
      </c>
      <c r="AG377" s="55">
        <v>1</v>
      </c>
      <c r="AH377" s="55">
        <v>1</v>
      </c>
      <c r="AI377" s="55">
        <v>1</v>
      </c>
      <c r="AJ377" s="39" t="s">
        <v>104</v>
      </c>
      <c r="AK377" s="40"/>
      <c r="AL377" s="24"/>
      <c r="AM377" s="24"/>
    </row>
    <row r="378" spans="2:39" hidden="1" x14ac:dyDescent="0.2">
      <c r="B378" s="50">
        <v>43688</v>
      </c>
      <c r="C378" s="35">
        <v>0.3888888888888889</v>
      </c>
      <c r="D378" s="35"/>
      <c r="E378" s="35" t="s">
        <v>111</v>
      </c>
      <c r="F378" s="37">
        <v>2</v>
      </c>
      <c r="G378" s="42" t="str">
        <f>VLOOKUP(F378,Key!$A$17:$B$21,2,FALSE)</f>
        <v>Road Vehicle</v>
      </c>
      <c r="H378" s="36">
        <v>3</v>
      </c>
      <c r="I378" s="43" t="str">
        <f>VLOOKUP(H378,Key!$A$2:$B$13,2,FALSE)</f>
        <v>Pickups</v>
      </c>
      <c r="J378" s="37" t="s">
        <v>123</v>
      </c>
      <c r="K378" s="37">
        <v>1</v>
      </c>
      <c r="L378" s="45" t="str">
        <f>VLOOKUP(K378,Key!$A$24:$B$29,2,FALSE)</f>
        <v>20-29</v>
      </c>
      <c r="M378" s="37" t="s">
        <v>313</v>
      </c>
      <c r="N378" s="32" t="s">
        <v>190</v>
      </c>
      <c r="O378" s="37" t="s">
        <v>168</v>
      </c>
      <c r="P378" s="39">
        <v>1</v>
      </c>
      <c r="Q378" s="34" t="str">
        <f>VLOOKUP(P378,Key!$E$2:$F$9,2,FALSE)</f>
        <v>Home</v>
      </c>
      <c r="R378" s="37" t="s">
        <v>216</v>
      </c>
      <c r="S378" s="32" t="s">
        <v>167</v>
      </c>
      <c r="T378" s="37" t="s">
        <v>168</v>
      </c>
      <c r="U378" s="32">
        <v>8</v>
      </c>
      <c r="V378" s="34" t="str">
        <f>VLOOKUP(U378,Key!$E$2:$F$9,2,FALSE)</f>
        <v>Others</v>
      </c>
      <c r="W378" s="34" t="str">
        <f t="shared" si="13"/>
        <v>Home-Others</v>
      </c>
      <c r="X378" s="47">
        <v>40000</v>
      </c>
      <c r="Y378" s="38">
        <v>5</v>
      </c>
      <c r="Z378" s="38">
        <v>2.5</v>
      </c>
      <c r="AA378" s="32">
        <v>4</v>
      </c>
      <c r="AB378" s="34" t="str">
        <f>VLOOKUP(AA378,Key!$C$20:$D$29,2,FALSE)</f>
        <v>Office Worker</v>
      </c>
      <c r="AC378" s="32">
        <v>5</v>
      </c>
      <c r="AD378" s="34" t="str">
        <f>VLOOKUP(AC378,Key!$E$20:$F$24,2,FALSE)</f>
        <v>&gt;1,000,000</v>
      </c>
      <c r="AE378" s="32">
        <v>1</v>
      </c>
      <c r="AF378" s="55">
        <v>1</v>
      </c>
      <c r="AG378" s="55">
        <v>1</v>
      </c>
      <c r="AH378" s="55">
        <v>1</v>
      </c>
      <c r="AI378" s="55">
        <v>1</v>
      </c>
      <c r="AJ378" s="39" t="s">
        <v>104</v>
      </c>
      <c r="AK378" s="40">
        <v>2000</v>
      </c>
      <c r="AL378" s="24"/>
      <c r="AM378" s="24"/>
    </row>
    <row r="379" spans="2:39" hidden="1" x14ac:dyDescent="0.2">
      <c r="B379" s="50">
        <v>43689</v>
      </c>
      <c r="C379" s="35">
        <v>0.52777777777777779</v>
      </c>
      <c r="D379" s="35"/>
      <c r="E379" s="35" t="s">
        <v>111</v>
      </c>
      <c r="F379" s="37">
        <v>2</v>
      </c>
      <c r="G379" s="42" t="str">
        <f>VLOOKUP(F379,Key!$A$17:$B$21,2,FALSE)</f>
        <v>Road Vehicle</v>
      </c>
      <c r="H379" s="36">
        <v>3</v>
      </c>
      <c r="I379" s="43" t="str">
        <f>VLOOKUP(H379,Key!$A$2:$B$13,2,FALSE)</f>
        <v>Pickups</v>
      </c>
      <c r="J379" s="37" t="s">
        <v>123</v>
      </c>
      <c r="K379" s="37">
        <v>3</v>
      </c>
      <c r="L379" s="45" t="str">
        <f>VLOOKUP(K379,Key!$A$24:$B$29,2,FALSE)</f>
        <v>40-49</v>
      </c>
      <c r="M379" s="37" t="s">
        <v>310</v>
      </c>
      <c r="N379" s="32" t="s">
        <v>167</v>
      </c>
      <c r="O379" s="37" t="s">
        <v>168</v>
      </c>
      <c r="P379" s="39">
        <v>2</v>
      </c>
      <c r="Q379" s="34" t="str">
        <f>VLOOKUP(P379,Key!$E$2:$F$9,2,FALSE)</f>
        <v>Work</v>
      </c>
      <c r="R379" s="37" t="s">
        <v>311</v>
      </c>
      <c r="S379" s="32" t="s">
        <v>205</v>
      </c>
      <c r="T379" s="37" t="s">
        <v>168</v>
      </c>
      <c r="U379" s="32">
        <v>1</v>
      </c>
      <c r="V379" s="34" t="str">
        <f>VLOOKUP(U379,Key!$E$2:$F$9,2,FALSE)</f>
        <v>Home</v>
      </c>
      <c r="W379" s="34" t="str">
        <f t="shared" si="13"/>
        <v>Work-Home</v>
      </c>
      <c r="X379" s="47">
        <v>40000</v>
      </c>
      <c r="Y379" s="38">
        <v>10</v>
      </c>
      <c r="Z379" s="38">
        <v>1</v>
      </c>
      <c r="AA379" s="32">
        <v>5</v>
      </c>
      <c r="AB379" s="34" t="str">
        <f>VLOOKUP(AA379,Key!$C$20:$D$29,2,FALSE)</f>
        <v>Professional</v>
      </c>
      <c r="AC379" s="32">
        <v>3</v>
      </c>
      <c r="AD379" s="34" t="str">
        <f>VLOOKUP(AC379,Key!$E$20:$F$24,2,FALSE)</f>
        <v>500,000-750,000</v>
      </c>
      <c r="AE379" s="32">
        <v>1</v>
      </c>
      <c r="AF379" s="55">
        <v>2</v>
      </c>
      <c r="AG379" s="55"/>
      <c r="AH379" s="55"/>
      <c r="AI379" s="55"/>
      <c r="AJ379" s="39" t="s">
        <v>104</v>
      </c>
      <c r="AK379" s="40">
        <v>2000</v>
      </c>
      <c r="AL379" s="24"/>
      <c r="AM379" s="24"/>
    </row>
    <row r="380" spans="2:39" hidden="1" x14ac:dyDescent="0.2">
      <c r="B380" s="50">
        <v>43689</v>
      </c>
      <c r="C380" s="35">
        <v>0.375</v>
      </c>
      <c r="D380" s="35"/>
      <c r="E380" s="35" t="s">
        <v>111</v>
      </c>
      <c r="F380" s="37">
        <v>2</v>
      </c>
      <c r="G380" s="42" t="str">
        <f>VLOOKUP(F380,Key!$A$17:$B$21,2,FALSE)</f>
        <v>Road Vehicle</v>
      </c>
      <c r="H380" s="36">
        <v>3</v>
      </c>
      <c r="I380" s="43" t="str">
        <f>VLOOKUP(H380,Key!$A$2:$B$13,2,FALSE)</f>
        <v>Pickups</v>
      </c>
      <c r="J380" s="37" t="s">
        <v>123</v>
      </c>
      <c r="K380" s="37">
        <v>2</v>
      </c>
      <c r="L380" s="45" t="str">
        <f>VLOOKUP(K380,Key!$A$24:$B$29,2,FALSE)</f>
        <v>30-39</v>
      </c>
      <c r="M380" s="44" t="s">
        <v>167</v>
      </c>
      <c r="N380" s="44" t="s">
        <v>167</v>
      </c>
      <c r="O380" s="37" t="s">
        <v>168</v>
      </c>
      <c r="P380" s="39">
        <v>4</v>
      </c>
      <c r="Q380" s="34" t="str">
        <f>VLOOKUP(P380,Key!$E$2:$F$9,2,FALSE)</f>
        <v>Commercial</v>
      </c>
      <c r="R380" s="37" t="s">
        <v>167</v>
      </c>
      <c r="S380" s="32" t="s">
        <v>167</v>
      </c>
      <c r="T380" s="37" t="s">
        <v>168</v>
      </c>
      <c r="U380" s="32">
        <v>4</v>
      </c>
      <c r="V380" s="34" t="str">
        <f>VLOOKUP(U380,Key!$E$2:$F$9,2,FALSE)</f>
        <v>Commercial</v>
      </c>
      <c r="W380" s="34" t="str">
        <f t="shared" si="13"/>
        <v>Commercial-Commercial</v>
      </c>
      <c r="X380" s="47">
        <v>30000</v>
      </c>
      <c r="Y380" s="38">
        <v>20</v>
      </c>
      <c r="Z380" s="38">
        <v>0.8</v>
      </c>
      <c r="AA380" s="32">
        <v>6</v>
      </c>
      <c r="AB380" s="34" t="str">
        <f>VLOOKUP(AA380,Key!$C$20:$D$29,2,FALSE)</f>
        <v>Businessman</v>
      </c>
      <c r="AC380" s="32">
        <v>2</v>
      </c>
      <c r="AD380" s="34" t="str">
        <f>VLOOKUP(AC380,Key!$E$20:$F$24,2,FALSE)</f>
        <v>300,000-500,000</v>
      </c>
      <c r="AE380" s="32">
        <v>1</v>
      </c>
      <c r="AF380" s="55">
        <v>1</v>
      </c>
      <c r="AG380" s="55">
        <v>1</v>
      </c>
      <c r="AH380" s="55">
        <v>1</v>
      </c>
      <c r="AI380" s="55">
        <v>1</v>
      </c>
      <c r="AJ380" s="39" t="s">
        <v>104</v>
      </c>
      <c r="AK380" s="40"/>
      <c r="AL380" s="24"/>
      <c r="AM380" s="24"/>
    </row>
    <row r="381" spans="2:39" hidden="1" x14ac:dyDescent="0.2">
      <c r="B381" s="50">
        <v>43689</v>
      </c>
      <c r="C381" s="35">
        <v>0.60972222222222217</v>
      </c>
      <c r="D381" s="35"/>
      <c r="E381" s="35" t="s">
        <v>111</v>
      </c>
      <c r="F381" s="37">
        <v>2</v>
      </c>
      <c r="G381" s="42" t="str">
        <f>VLOOKUP(F381,Key!$A$17:$B$21,2,FALSE)</f>
        <v>Road Vehicle</v>
      </c>
      <c r="H381" s="36">
        <v>3</v>
      </c>
      <c r="I381" s="43" t="str">
        <f>VLOOKUP(H381,Key!$A$2:$B$13,2,FALSE)</f>
        <v>Pickups</v>
      </c>
      <c r="J381" s="37" t="s">
        <v>123</v>
      </c>
      <c r="K381" s="37">
        <v>2</v>
      </c>
      <c r="L381" s="45" t="str">
        <f>VLOOKUP(K381,Key!$A$24:$B$29,2,FALSE)</f>
        <v>30-39</v>
      </c>
      <c r="M381" s="37" t="s">
        <v>179</v>
      </c>
      <c r="N381" s="32" t="s">
        <v>179</v>
      </c>
      <c r="O381" s="37" t="s">
        <v>168</v>
      </c>
      <c r="P381" s="39">
        <v>1</v>
      </c>
      <c r="Q381" s="34" t="str">
        <f>VLOOKUP(P381,Key!$E$2:$F$9,2,FALSE)</f>
        <v>Home</v>
      </c>
      <c r="R381" s="37" t="s">
        <v>167</v>
      </c>
      <c r="S381" s="32" t="s">
        <v>167</v>
      </c>
      <c r="T381" s="37" t="s">
        <v>168</v>
      </c>
      <c r="U381" s="32">
        <v>6</v>
      </c>
      <c r="V381" s="34" t="str">
        <f>VLOOKUP(U381,Key!$E$2:$F$9,2,FALSE)</f>
        <v>Leisure/Social</v>
      </c>
      <c r="W381" s="34" t="str">
        <f t="shared" si="13"/>
        <v>Home-Leisure/Social</v>
      </c>
      <c r="X381" s="47">
        <v>30000</v>
      </c>
      <c r="Y381" s="38">
        <v>40</v>
      </c>
      <c r="Z381" s="38">
        <v>1</v>
      </c>
      <c r="AA381" s="32">
        <v>10</v>
      </c>
      <c r="AB381" s="34" t="str">
        <f>VLOOKUP(AA381,Key!$C$20:$D$29,2,FALSE)</f>
        <v>Other</v>
      </c>
      <c r="AC381" s="32">
        <v>2</v>
      </c>
      <c r="AD381" s="34" t="str">
        <f>VLOOKUP(AC381,Key!$E$20:$F$24,2,FALSE)</f>
        <v>300,000-500,000</v>
      </c>
      <c r="AE381" s="32">
        <v>1</v>
      </c>
      <c r="AF381" s="55">
        <v>3</v>
      </c>
      <c r="AG381" s="55">
        <v>4</v>
      </c>
      <c r="AH381" s="55">
        <v>2</v>
      </c>
      <c r="AI381" s="55">
        <v>3</v>
      </c>
      <c r="AJ381" s="39" t="s">
        <v>104</v>
      </c>
      <c r="AK381" s="40">
        <v>2000</v>
      </c>
      <c r="AL381" s="24"/>
      <c r="AM381" s="24"/>
    </row>
    <row r="382" spans="2:39" hidden="1" x14ac:dyDescent="0.2">
      <c r="B382" s="50">
        <v>43686</v>
      </c>
      <c r="C382" s="35">
        <v>0.56736111111111109</v>
      </c>
      <c r="D382" s="35"/>
      <c r="E382" s="35" t="s">
        <v>111</v>
      </c>
      <c r="F382" s="37">
        <v>2</v>
      </c>
      <c r="G382" s="42" t="str">
        <f>VLOOKUP(F382,Key!$A$17:$B$21,2,FALSE)</f>
        <v>Road Vehicle</v>
      </c>
      <c r="H382" s="36">
        <v>3</v>
      </c>
      <c r="I382" s="43" t="str">
        <f>VLOOKUP(H382,Key!$A$2:$B$13,2,FALSE)</f>
        <v>Pickups</v>
      </c>
      <c r="J382" s="37" t="s">
        <v>123</v>
      </c>
      <c r="K382" s="37">
        <v>1</v>
      </c>
      <c r="L382" s="45" t="str">
        <f>VLOOKUP(K382,Key!$A$24:$B$29,2,FALSE)</f>
        <v>20-29</v>
      </c>
      <c r="M382" s="44" t="s">
        <v>187</v>
      </c>
      <c r="N382" s="44" t="s">
        <v>167</v>
      </c>
      <c r="O382" s="37" t="s">
        <v>168</v>
      </c>
      <c r="P382" s="39">
        <v>2</v>
      </c>
      <c r="Q382" s="34" t="str">
        <f>VLOOKUP(P382,Key!$E$2:$F$9,2,FALSE)</f>
        <v>Work</v>
      </c>
      <c r="R382" s="37" t="s">
        <v>206</v>
      </c>
      <c r="S382" s="32" t="s">
        <v>190</v>
      </c>
      <c r="T382" s="37" t="s">
        <v>168</v>
      </c>
      <c r="U382" s="32">
        <v>1</v>
      </c>
      <c r="V382" s="34" t="str">
        <f>VLOOKUP(U382,Key!$E$2:$F$9,2,FALSE)</f>
        <v>Home</v>
      </c>
      <c r="W382" s="34" t="str">
        <f t="shared" si="13"/>
        <v>Work-Home</v>
      </c>
      <c r="X382" s="47">
        <v>30000</v>
      </c>
      <c r="Y382" s="38">
        <v>40</v>
      </c>
      <c r="Z382" s="38">
        <v>1.5</v>
      </c>
      <c r="AA382" s="32">
        <v>6</v>
      </c>
      <c r="AB382" s="34" t="str">
        <f>VLOOKUP(AA382,Key!$C$20:$D$29,2,FALSE)</f>
        <v>Businessman</v>
      </c>
      <c r="AC382" s="32">
        <v>3</v>
      </c>
      <c r="AD382" s="34" t="str">
        <f>VLOOKUP(AC382,Key!$E$20:$F$24,2,FALSE)</f>
        <v>500,000-750,000</v>
      </c>
      <c r="AE382" s="32">
        <v>1</v>
      </c>
      <c r="AF382" s="55">
        <v>1</v>
      </c>
      <c r="AG382" s="55">
        <v>1</v>
      </c>
      <c r="AH382" s="55">
        <v>1</v>
      </c>
      <c r="AI382" s="55">
        <v>1</v>
      </c>
      <c r="AJ382" s="39" t="s">
        <v>104</v>
      </c>
      <c r="AK382" s="40"/>
      <c r="AL382" s="24"/>
      <c r="AM382" s="24"/>
    </row>
    <row r="383" spans="2:39" hidden="1" x14ac:dyDescent="0.2">
      <c r="B383" s="50">
        <v>43686</v>
      </c>
      <c r="C383" s="35">
        <v>0.70763888888888893</v>
      </c>
      <c r="D383" s="35"/>
      <c r="E383" s="35" t="s">
        <v>111</v>
      </c>
      <c r="F383" s="37">
        <v>2</v>
      </c>
      <c r="G383" s="42" t="str">
        <f>VLOOKUP(F383,Key!$A$17:$B$21,2,FALSE)</f>
        <v>Road Vehicle</v>
      </c>
      <c r="H383" s="36">
        <v>3</v>
      </c>
      <c r="I383" s="43" t="str">
        <f>VLOOKUP(H383,Key!$A$2:$B$13,2,FALSE)</f>
        <v>Pickups</v>
      </c>
      <c r="J383" s="37" t="s">
        <v>123</v>
      </c>
      <c r="K383" s="37">
        <v>2</v>
      </c>
      <c r="L383" s="45" t="str">
        <f>VLOOKUP(K383,Key!$A$24:$B$29,2,FALSE)</f>
        <v>30-39</v>
      </c>
      <c r="M383" s="44" t="s">
        <v>187</v>
      </c>
      <c r="N383" s="44" t="s">
        <v>167</v>
      </c>
      <c r="O383" s="37" t="s">
        <v>168</v>
      </c>
      <c r="P383" s="39">
        <v>2</v>
      </c>
      <c r="Q383" s="34" t="str">
        <f>VLOOKUP(P383,Key!$E$2:$F$9,2,FALSE)</f>
        <v>Work</v>
      </c>
      <c r="R383" s="37" t="s">
        <v>229</v>
      </c>
      <c r="S383" s="32" t="s">
        <v>190</v>
      </c>
      <c r="T383" s="37" t="s">
        <v>168</v>
      </c>
      <c r="U383" s="32">
        <v>1</v>
      </c>
      <c r="V383" s="34" t="str">
        <f>VLOOKUP(U383,Key!$E$2:$F$9,2,FALSE)</f>
        <v>Home</v>
      </c>
      <c r="W383" s="34" t="str">
        <f t="shared" si="13"/>
        <v>Work-Home</v>
      </c>
      <c r="X383" s="47">
        <v>30000</v>
      </c>
      <c r="Y383" s="38">
        <v>40</v>
      </c>
      <c r="Z383" s="38">
        <v>1.5</v>
      </c>
      <c r="AA383" s="32">
        <v>6</v>
      </c>
      <c r="AB383" s="34" t="str">
        <f>VLOOKUP(AA383,Key!$C$20:$D$29,2,FALSE)</f>
        <v>Businessman</v>
      </c>
      <c r="AC383" s="32">
        <v>3</v>
      </c>
      <c r="AD383" s="34" t="str">
        <f>VLOOKUP(AC383,Key!$E$20:$F$24,2,FALSE)</f>
        <v>500,000-750,000</v>
      </c>
      <c r="AE383" s="32">
        <v>1</v>
      </c>
      <c r="AF383" s="55">
        <v>1</v>
      </c>
      <c r="AG383" s="55">
        <v>1</v>
      </c>
      <c r="AH383" s="55">
        <v>1</v>
      </c>
      <c r="AI383" s="55">
        <v>1</v>
      </c>
      <c r="AJ383" s="39" t="s">
        <v>104</v>
      </c>
      <c r="AK383" s="40"/>
      <c r="AL383" s="24"/>
      <c r="AM383" s="24"/>
    </row>
    <row r="384" spans="2:39" hidden="1" x14ac:dyDescent="0.2">
      <c r="B384" s="50">
        <v>43687</v>
      </c>
      <c r="C384" s="35">
        <v>0.43958333333333338</v>
      </c>
      <c r="D384" s="35"/>
      <c r="E384" s="35" t="s">
        <v>111</v>
      </c>
      <c r="F384" s="37">
        <v>2</v>
      </c>
      <c r="G384" s="42" t="str">
        <f>VLOOKUP(F384,Key!$A$17:$B$21,2,FALSE)</f>
        <v>Road Vehicle</v>
      </c>
      <c r="H384" s="36">
        <v>3</v>
      </c>
      <c r="I384" s="43" t="str">
        <f>VLOOKUP(H384,Key!$A$2:$B$13,2,FALSE)</f>
        <v>Pickups</v>
      </c>
      <c r="J384" s="37" t="s">
        <v>123</v>
      </c>
      <c r="K384" s="37">
        <v>3</v>
      </c>
      <c r="L384" s="45" t="str">
        <f>VLOOKUP(K384,Key!$A$24:$B$29,2,FALSE)</f>
        <v>40-49</v>
      </c>
      <c r="M384" s="37" t="s">
        <v>203</v>
      </c>
      <c r="N384" s="32" t="s">
        <v>167</v>
      </c>
      <c r="O384" s="37" t="s">
        <v>168</v>
      </c>
      <c r="P384" s="39">
        <v>2</v>
      </c>
      <c r="Q384" s="34" t="str">
        <f>VLOOKUP(P384,Key!$E$2:$F$9,2,FALSE)</f>
        <v>Work</v>
      </c>
      <c r="R384" s="37" t="s">
        <v>189</v>
      </c>
      <c r="S384" s="32" t="s">
        <v>190</v>
      </c>
      <c r="T384" s="37" t="s">
        <v>168</v>
      </c>
      <c r="U384" s="32">
        <v>2</v>
      </c>
      <c r="V384" s="34" t="str">
        <f>VLOOKUP(U384,Key!$E$2:$F$9,2,FALSE)</f>
        <v>Work</v>
      </c>
      <c r="W384" s="34" t="str">
        <f t="shared" si="13"/>
        <v>Work-Work</v>
      </c>
      <c r="X384" s="47">
        <v>25000</v>
      </c>
      <c r="Y384" s="38">
        <v>40</v>
      </c>
      <c r="Z384" s="38">
        <v>2</v>
      </c>
      <c r="AA384" s="32">
        <v>6</v>
      </c>
      <c r="AB384" s="34" t="str">
        <f>VLOOKUP(AA384,Key!$C$20:$D$29,2,FALSE)</f>
        <v>Businessman</v>
      </c>
      <c r="AC384" s="32">
        <v>5</v>
      </c>
      <c r="AD384" s="34" t="str">
        <f>VLOOKUP(AC384,Key!$E$20:$F$24,2,FALSE)</f>
        <v>&gt;1,000,000</v>
      </c>
      <c r="AE384" s="32">
        <v>1</v>
      </c>
      <c r="AF384" s="55">
        <v>1</v>
      </c>
      <c r="AG384" s="55">
        <v>2</v>
      </c>
      <c r="AH384" s="55">
        <v>1</v>
      </c>
      <c r="AI384" s="55">
        <v>2</v>
      </c>
      <c r="AJ384" s="39" t="s">
        <v>104</v>
      </c>
      <c r="AK384" s="40"/>
      <c r="AL384" s="24"/>
      <c r="AM384" s="24"/>
    </row>
    <row r="385" spans="1:39" hidden="1" x14ac:dyDescent="0.2">
      <c r="B385" s="50">
        <v>43687</v>
      </c>
      <c r="C385" s="35">
        <v>0.5625</v>
      </c>
      <c r="D385" s="35"/>
      <c r="E385" s="35" t="s">
        <v>111</v>
      </c>
      <c r="F385" s="37">
        <v>2</v>
      </c>
      <c r="G385" s="42" t="str">
        <f>VLOOKUP(F385,Key!$A$17:$B$21,2,FALSE)</f>
        <v>Road Vehicle</v>
      </c>
      <c r="H385" s="36">
        <v>3</v>
      </c>
      <c r="I385" s="43" t="str">
        <f>VLOOKUP(H385,Key!$A$2:$B$13,2,FALSE)</f>
        <v>Pickups</v>
      </c>
      <c r="J385" s="37" t="s">
        <v>123</v>
      </c>
      <c r="K385" s="37">
        <v>1</v>
      </c>
      <c r="L385" s="45" t="str">
        <f>VLOOKUP(K385,Key!$A$24:$B$29,2,FALSE)</f>
        <v>20-29</v>
      </c>
      <c r="M385" s="37" t="s">
        <v>211</v>
      </c>
      <c r="N385" s="32" t="s">
        <v>179</v>
      </c>
      <c r="O385" s="37" t="s">
        <v>168</v>
      </c>
      <c r="P385" s="39">
        <v>1</v>
      </c>
      <c r="Q385" s="34" t="str">
        <f>VLOOKUP(P385,Key!$E$2:$F$9,2,FALSE)</f>
        <v>Home</v>
      </c>
      <c r="R385" s="37" t="s">
        <v>259</v>
      </c>
      <c r="S385" s="32" t="s">
        <v>176</v>
      </c>
      <c r="T385" s="37" t="s">
        <v>168</v>
      </c>
      <c r="U385" s="32">
        <v>3</v>
      </c>
      <c r="V385" s="34" t="str">
        <f>VLOOKUP(U385,Key!$E$2:$F$9,2,FALSE)</f>
        <v>Study</v>
      </c>
      <c r="W385" s="34" t="str">
        <f t="shared" si="13"/>
        <v>Home-Study</v>
      </c>
      <c r="X385" s="47">
        <v>70000</v>
      </c>
      <c r="Y385" s="38">
        <v>40</v>
      </c>
      <c r="Z385" s="38">
        <v>3</v>
      </c>
      <c r="AA385" s="32">
        <v>5</v>
      </c>
      <c r="AB385" s="34" t="str">
        <f>VLOOKUP(AA385,Key!$C$20:$D$29,2,FALSE)</f>
        <v>Professional</v>
      </c>
      <c r="AC385" s="32">
        <v>3</v>
      </c>
      <c r="AD385" s="34" t="str">
        <f>VLOOKUP(AC385,Key!$E$20:$F$24,2,FALSE)</f>
        <v>500,000-750,000</v>
      </c>
      <c r="AE385" s="32">
        <v>1</v>
      </c>
      <c r="AF385" s="55">
        <v>1</v>
      </c>
      <c r="AG385" s="55">
        <v>1</v>
      </c>
      <c r="AH385" s="55">
        <v>1</v>
      </c>
      <c r="AI385" s="55">
        <v>1</v>
      </c>
      <c r="AJ385" s="39" t="s">
        <v>104</v>
      </c>
      <c r="AK385" s="40">
        <v>1000</v>
      </c>
      <c r="AL385" s="24"/>
      <c r="AM385" s="24"/>
    </row>
    <row r="386" spans="1:39" hidden="1" x14ac:dyDescent="0.2">
      <c r="B386" s="50">
        <v>43688</v>
      </c>
      <c r="C386" s="35">
        <v>0.40277777777777773</v>
      </c>
      <c r="D386" s="35"/>
      <c r="E386" s="35" t="s">
        <v>111</v>
      </c>
      <c r="F386" s="37">
        <v>2</v>
      </c>
      <c r="G386" s="42" t="str">
        <f>VLOOKUP(F386,Key!$A$17:$B$21,2,FALSE)</f>
        <v>Road Vehicle</v>
      </c>
      <c r="H386" s="36">
        <v>3</v>
      </c>
      <c r="I386" s="43" t="str">
        <f>VLOOKUP(H386,Key!$A$2:$B$13,2,FALSE)</f>
        <v>Pickups</v>
      </c>
      <c r="J386" s="37" t="s">
        <v>123</v>
      </c>
      <c r="K386" s="37">
        <v>3</v>
      </c>
      <c r="L386" s="45" t="str">
        <f>VLOOKUP(K386,Key!$A$24:$B$29,2,FALSE)</f>
        <v>40-49</v>
      </c>
      <c r="M386" s="37" t="s">
        <v>179</v>
      </c>
      <c r="N386" s="32" t="s">
        <v>179</v>
      </c>
      <c r="O386" s="37" t="s">
        <v>168</v>
      </c>
      <c r="P386" s="39">
        <v>1</v>
      </c>
      <c r="Q386" s="34" t="str">
        <f>VLOOKUP(P386,Key!$E$2:$F$9,2,FALSE)</f>
        <v>Home</v>
      </c>
      <c r="R386" s="37" t="s">
        <v>167</v>
      </c>
      <c r="S386" s="32" t="s">
        <v>167</v>
      </c>
      <c r="T386" s="37" t="s">
        <v>168</v>
      </c>
      <c r="U386" s="32">
        <v>6</v>
      </c>
      <c r="V386" s="34" t="str">
        <f>VLOOKUP(U386,Key!$E$2:$F$9,2,FALSE)</f>
        <v>Leisure/Social</v>
      </c>
      <c r="W386" s="34" t="str">
        <f t="shared" si="13"/>
        <v>Home-Leisure/Social</v>
      </c>
      <c r="X386" s="47">
        <v>30000</v>
      </c>
      <c r="Y386" s="38">
        <v>42</v>
      </c>
      <c r="Z386" s="38">
        <v>1</v>
      </c>
      <c r="AA386" s="32">
        <v>4</v>
      </c>
      <c r="AB386" s="34" t="str">
        <f>VLOOKUP(AA386,Key!$C$20:$D$29,2,FALSE)</f>
        <v>Office Worker</v>
      </c>
      <c r="AC386" s="32">
        <v>4</v>
      </c>
      <c r="AD386" s="34" t="str">
        <f>VLOOKUP(AC386,Key!$E$20:$F$24,2,FALSE)</f>
        <v>750,000-1,000,000</v>
      </c>
      <c r="AE386" s="32">
        <v>1</v>
      </c>
      <c r="AF386" s="55">
        <v>2</v>
      </c>
      <c r="AG386" s="55">
        <v>3</v>
      </c>
      <c r="AH386" s="55">
        <v>1</v>
      </c>
      <c r="AI386" s="55">
        <v>4</v>
      </c>
      <c r="AJ386" s="39" t="s">
        <v>104</v>
      </c>
      <c r="AK386" s="40">
        <v>3000</v>
      </c>
      <c r="AL386" s="24"/>
      <c r="AM386" s="24"/>
    </row>
    <row r="387" spans="1:39" hidden="1" x14ac:dyDescent="0.2">
      <c r="B387" s="50">
        <v>43688</v>
      </c>
      <c r="C387" s="35">
        <v>0.49305555555555558</v>
      </c>
      <c r="D387" s="35"/>
      <c r="E387" s="35" t="s">
        <v>111</v>
      </c>
      <c r="F387" s="37">
        <v>2</v>
      </c>
      <c r="G387" s="42" t="str">
        <f>VLOOKUP(F387,Key!$A$17:$B$21,2,FALSE)</f>
        <v>Road Vehicle</v>
      </c>
      <c r="H387" s="36">
        <v>3</v>
      </c>
      <c r="I387" s="43" t="str">
        <f>VLOOKUP(H387,Key!$A$2:$B$13,2,FALSE)</f>
        <v>Pickups</v>
      </c>
      <c r="J387" s="37" t="s">
        <v>123</v>
      </c>
      <c r="K387" s="37">
        <v>3</v>
      </c>
      <c r="L387" s="45" t="str">
        <f>VLOOKUP(K387,Key!$A$24:$B$29,2,FALSE)</f>
        <v>40-49</v>
      </c>
      <c r="M387" s="37" t="s">
        <v>239</v>
      </c>
      <c r="N387" s="32" t="s">
        <v>190</v>
      </c>
      <c r="O387" s="37" t="s">
        <v>168</v>
      </c>
      <c r="P387" s="39">
        <v>1</v>
      </c>
      <c r="Q387" s="34" t="str">
        <f>VLOOKUP(P387,Key!$E$2:$F$9,2,FALSE)</f>
        <v>Home</v>
      </c>
      <c r="R387" s="37" t="s">
        <v>203</v>
      </c>
      <c r="S387" s="32" t="s">
        <v>167</v>
      </c>
      <c r="T387" s="37" t="s">
        <v>168</v>
      </c>
      <c r="U387" s="32">
        <v>2</v>
      </c>
      <c r="V387" s="34" t="str">
        <f>VLOOKUP(U387,Key!$E$2:$F$9,2,FALSE)</f>
        <v>Work</v>
      </c>
      <c r="W387" s="34" t="str">
        <f t="shared" si="13"/>
        <v>Home-Work</v>
      </c>
      <c r="X387" s="47">
        <v>30000</v>
      </c>
      <c r="Y387" s="38">
        <v>50</v>
      </c>
      <c r="Z387" s="38">
        <v>1.5</v>
      </c>
      <c r="AA387" s="32">
        <v>6</v>
      </c>
      <c r="AB387" s="34" t="str">
        <f>VLOOKUP(AA387,Key!$C$20:$D$29,2,FALSE)</f>
        <v>Businessman</v>
      </c>
      <c r="AC387" s="32">
        <v>4</v>
      </c>
      <c r="AD387" s="34" t="str">
        <f>VLOOKUP(AC387,Key!$E$20:$F$24,2,FALSE)</f>
        <v>750,000-1,000,000</v>
      </c>
      <c r="AE387" s="32">
        <v>1</v>
      </c>
      <c r="AF387" s="55">
        <v>1</v>
      </c>
      <c r="AG387" s="55">
        <v>1</v>
      </c>
      <c r="AH387" s="55">
        <v>1</v>
      </c>
      <c r="AI387" s="55">
        <v>1</v>
      </c>
      <c r="AJ387" s="39" t="s">
        <v>104</v>
      </c>
      <c r="AK387" s="40">
        <v>2000</v>
      </c>
      <c r="AL387" s="24"/>
      <c r="AM387" s="24"/>
    </row>
    <row r="388" spans="1:39" hidden="1" x14ac:dyDescent="0.2">
      <c r="B388" s="50">
        <v>43688</v>
      </c>
      <c r="C388" s="35">
        <v>0.58750000000000002</v>
      </c>
      <c r="D388" s="35"/>
      <c r="E388" s="35" t="s">
        <v>111</v>
      </c>
      <c r="F388" s="37">
        <v>2</v>
      </c>
      <c r="G388" s="42" t="str">
        <f>VLOOKUP(F388,Key!$A$17:$B$21,2,FALSE)</f>
        <v>Road Vehicle</v>
      </c>
      <c r="H388" s="36">
        <v>3</v>
      </c>
      <c r="I388" s="43" t="str">
        <f>VLOOKUP(H388,Key!$A$2:$B$13,2,FALSE)</f>
        <v>Pickups</v>
      </c>
      <c r="J388" s="37" t="s">
        <v>123</v>
      </c>
      <c r="K388" s="37">
        <v>2</v>
      </c>
      <c r="L388" s="45" t="str">
        <f>VLOOKUP(K388,Key!$A$24:$B$29,2,FALSE)</f>
        <v>30-39</v>
      </c>
      <c r="M388" s="37" t="s">
        <v>217</v>
      </c>
      <c r="N388" s="32" t="s">
        <v>176</v>
      </c>
      <c r="O388" s="37" t="s">
        <v>168</v>
      </c>
      <c r="P388" s="39">
        <v>1</v>
      </c>
      <c r="Q388" s="34" t="str">
        <f>VLOOKUP(P388,Key!$E$2:$F$9,2,FALSE)</f>
        <v>Home</v>
      </c>
      <c r="R388" s="37" t="s">
        <v>261</v>
      </c>
      <c r="S388" s="32" t="s">
        <v>167</v>
      </c>
      <c r="T388" s="37" t="s">
        <v>168</v>
      </c>
      <c r="U388" s="32">
        <v>5</v>
      </c>
      <c r="V388" s="34" t="str">
        <f>VLOOKUP(U388,Key!$E$2:$F$9,2,FALSE)</f>
        <v>Tourism</v>
      </c>
      <c r="W388" s="34" t="str">
        <f t="shared" si="13"/>
        <v>Home-Tourism</v>
      </c>
      <c r="X388" s="47">
        <v>100000</v>
      </c>
      <c r="Y388" s="38">
        <v>50</v>
      </c>
      <c r="Z388" s="38">
        <v>2</v>
      </c>
      <c r="AA388" s="32">
        <v>6</v>
      </c>
      <c r="AB388" s="34" t="str">
        <f>VLOOKUP(AA388,Key!$C$20:$D$29,2,FALSE)</f>
        <v>Businessman</v>
      </c>
      <c r="AC388" s="32">
        <v>4</v>
      </c>
      <c r="AD388" s="34" t="str">
        <f>VLOOKUP(AC388,Key!$E$20:$F$24,2,FALSE)</f>
        <v>750,000-1,000,000</v>
      </c>
      <c r="AE388" s="32">
        <v>1</v>
      </c>
      <c r="AF388" s="55">
        <v>1</v>
      </c>
      <c r="AG388" s="55">
        <v>1</v>
      </c>
      <c r="AH388" s="55">
        <v>1</v>
      </c>
      <c r="AI388" s="55">
        <v>1</v>
      </c>
      <c r="AJ388" s="39" t="s">
        <v>104</v>
      </c>
      <c r="AK388" s="40">
        <v>5000</v>
      </c>
      <c r="AL388" s="24"/>
      <c r="AM388" s="24"/>
    </row>
    <row r="389" spans="1:39" hidden="1" x14ac:dyDescent="0.2">
      <c r="B389" s="50">
        <v>43688</v>
      </c>
      <c r="C389" s="35">
        <v>0.74444444444444446</v>
      </c>
      <c r="D389" s="35"/>
      <c r="E389" s="35" t="s">
        <v>111</v>
      </c>
      <c r="F389" s="37">
        <v>2</v>
      </c>
      <c r="G389" s="42" t="str">
        <f>VLOOKUP(F389,Key!$A$17:$B$21,2,FALSE)</f>
        <v>Road Vehicle</v>
      </c>
      <c r="H389" s="36">
        <v>3</v>
      </c>
      <c r="I389" s="43" t="str">
        <f>VLOOKUP(H389,Key!$A$2:$B$13,2,FALSE)</f>
        <v>Pickups</v>
      </c>
      <c r="J389" s="37" t="s">
        <v>123</v>
      </c>
      <c r="K389" s="37">
        <v>3</v>
      </c>
      <c r="L389" s="45" t="str">
        <f>VLOOKUP(K389,Key!$A$24:$B$29,2,FALSE)</f>
        <v>40-49</v>
      </c>
      <c r="M389" s="37" t="s">
        <v>208</v>
      </c>
      <c r="N389" s="32" t="s">
        <v>167</v>
      </c>
      <c r="O389" s="37" t="s">
        <v>168</v>
      </c>
      <c r="P389" s="39">
        <v>1</v>
      </c>
      <c r="Q389" s="34" t="str">
        <f>VLOOKUP(P389,Key!$E$2:$F$9,2,FALSE)</f>
        <v>Home</v>
      </c>
      <c r="R389" s="37" t="s">
        <v>279</v>
      </c>
      <c r="S389" s="32" t="s">
        <v>190</v>
      </c>
      <c r="T389" s="37" t="s">
        <v>168</v>
      </c>
      <c r="U389" s="32">
        <v>2</v>
      </c>
      <c r="V389" s="34" t="str">
        <f>VLOOKUP(U389,Key!$E$2:$F$9,2,FALSE)</f>
        <v>Work</v>
      </c>
      <c r="W389" s="34" t="str">
        <f t="shared" si="13"/>
        <v>Home-Work</v>
      </c>
      <c r="X389" s="47">
        <v>25000</v>
      </c>
      <c r="Y389" s="38">
        <v>50</v>
      </c>
      <c r="Z389" s="38">
        <v>2</v>
      </c>
      <c r="AA389" s="32">
        <v>7</v>
      </c>
      <c r="AB389" s="34" t="str">
        <f>VLOOKUP(AA389,Key!$C$20:$D$29,2,FALSE)</f>
        <v>Farmer</v>
      </c>
      <c r="AC389" s="32">
        <v>3</v>
      </c>
      <c r="AD389" s="34" t="str">
        <f>VLOOKUP(AC389,Key!$E$20:$F$24,2,FALSE)</f>
        <v>500,000-750,000</v>
      </c>
      <c r="AE389" s="32">
        <v>1</v>
      </c>
      <c r="AF389" s="55">
        <v>1</v>
      </c>
      <c r="AG389" s="55">
        <v>1</v>
      </c>
      <c r="AH389" s="55">
        <v>1</v>
      </c>
      <c r="AI389" s="55">
        <v>1</v>
      </c>
      <c r="AJ389" s="39" t="s">
        <v>104</v>
      </c>
      <c r="AK389" s="40">
        <v>1000</v>
      </c>
      <c r="AL389" s="24"/>
      <c r="AM389" s="24"/>
    </row>
    <row r="390" spans="1:39" hidden="1" x14ac:dyDescent="0.2">
      <c r="B390" s="50">
        <v>43686</v>
      </c>
      <c r="C390" s="35">
        <v>0.69374999999999998</v>
      </c>
      <c r="D390" s="35"/>
      <c r="E390" s="35" t="s">
        <v>111</v>
      </c>
      <c r="F390" s="37">
        <v>2</v>
      </c>
      <c r="G390" s="42" t="str">
        <f>VLOOKUP(F390,Key!$A$17:$B$21,2,FALSE)</f>
        <v>Road Vehicle</v>
      </c>
      <c r="H390" s="36">
        <v>3</v>
      </c>
      <c r="I390" s="43" t="str">
        <f>VLOOKUP(H390,Key!$A$2:$B$13,2,FALSE)</f>
        <v>Pickups</v>
      </c>
      <c r="J390" s="37" t="s">
        <v>123</v>
      </c>
      <c r="K390" s="37">
        <v>5</v>
      </c>
      <c r="L390" s="45" t="str">
        <f>VLOOKUP(K390,Key!$A$24:$B$29,2,FALSE)</f>
        <v>60-69</v>
      </c>
      <c r="M390" s="37" t="s">
        <v>239</v>
      </c>
      <c r="N390" s="32" t="s">
        <v>190</v>
      </c>
      <c r="O390" s="37" t="s">
        <v>168</v>
      </c>
      <c r="P390" s="39">
        <v>1</v>
      </c>
      <c r="Q390" s="34" t="str">
        <f>VLOOKUP(P390,Key!$E$2:$F$9,2,FALSE)</f>
        <v>Home</v>
      </c>
      <c r="R390" s="37" t="s">
        <v>216</v>
      </c>
      <c r="S390" s="32" t="s">
        <v>167</v>
      </c>
      <c r="T390" s="37" t="s">
        <v>168</v>
      </c>
      <c r="U390" s="32">
        <v>2</v>
      </c>
      <c r="V390" s="34" t="str">
        <f>VLOOKUP(U390,Key!$E$2:$F$9,2,FALSE)</f>
        <v>Work</v>
      </c>
      <c r="W390" s="34" t="str">
        <f t="shared" si="13"/>
        <v>Home-Work</v>
      </c>
      <c r="X390" s="47">
        <v>20000</v>
      </c>
      <c r="Y390" s="38">
        <v>50</v>
      </c>
      <c r="Z390" s="38">
        <v>2</v>
      </c>
      <c r="AA390" s="32">
        <v>6</v>
      </c>
      <c r="AB390" s="34" t="str">
        <f>VLOOKUP(AA390,Key!$C$20:$D$29,2,FALSE)</f>
        <v>Businessman</v>
      </c>
      <c r="AC390" s="32">
        <v>3</v>
      </c>
      <c r="AD390" s="34" t="str">
        <f>VLOOKUP(AC390,Key!$E$20:$F$24,2,FALSE)</f>
        <v>500,000-750,000</v>
      </c>
      <c r="AE390" s="32">
        <v>1</v>
      </c>
      <c r="AF390" s="55">
        <v>1</v>
      </c>
      <c r="AG390" s="55">
        <v>1</v>
      </c>
      <c r="AH390" s="55">
        <v>1</v>
      </c>
      <c r="AI390" s="55">
        <v>1</v>
      </c>
      <c r="AJ390" s="39" t="s">
        <v>104</v>
      </c>
      <c r="AK390" s="40">
        <v>2000</v>
      </c>
      <c r="AL390" s="24"/>
      <c r="AM390" s="24"/>
    </row>
    <row r="391" spans="1:39" hidden="1" x14ac:dyDescent="0.2">
      <c r="B391" s="50">
        <v>43686</v>
      </c>
      <c r="C391" s="35">
        <v>0.69374999999999998</v>
      </c>
      <c r="D391" s="35"/>
      <c r="E391" s="35" t="s">
        <v>111</v>
      </c>
      <c r="F391" s="37">
        <v>2</v>
      </c>
      <c r="G391" s="42" t="str">
        <f>VLOOKUP(F391,Key!$A$17:$B$21,2,FALSE)</f>
        <v>Road Vehicle</v>
      </c>
      <c r="H391" s="36">
        <v>3</v>
      </c>
      <c r="I391" s="43" t="str">
        <f>VLOOKUP(H391,Key!$A$2:$B$13,2,FALSE)</f>
        <v>Pickups</v>
      </c>
      <c r="J391" s="37" t="s">
        <v>123</v>
      </c>
      <c r="K391" s="37">
        <v>2</v>
      </c>
      <c r="L391" s="45" t="str">
        <f>VLOOKUP(K391,Key!$A$24:$B$29,2,FALSE)</f>
        <v>30-39</v>
      </c>
      <c r="M391" s="37" t="s">
        <v>190</v>
      </c>
      <c r="N391" s="32" t="s">
        <v>190</v>
      </c>
      <c r="O391" s="37" t="s">
        <v>168</v>
      </c>
      <c r="P391" s="39">
        <v>4</v>
      </c>
      <c r="Q391" s="34" t="str">
        <f>VLOOKUP(P391,Key!$E$2:$F$9,2,FALSE)</f>
        <v>Commercial</v>
      </c>
      <c r="R391" s="37" t="s">
        <v>270</v>
      </c>
      <c r="S391" s="32" t="s">
        <v>271</v>
      </c>
      <c r="T391" s="37" t="s">
        <v>168</v>
      </c>
      <c r="U391" s="32">
        <v>1</v>
      </c>
      <c r="V391" s="34" t="str">
        <f>VLOOKUP(U391,Key!$E$2:$F$9,2,FALSE)</f>
        <v>Home</v>
      </c>
      <c r="W391" s="34" t="str">
        <f t="shared" si="13"/>
        <v>Commercial-Home</v>
      </c>
      <c r="X391" s="47">
        <v>100000</v>
      </c>
      <c r="Y391" s="38">
        <v>50</v>
      </c>
      <c r="Z391" s="38">
        <v>3</v>
      </c>
      <c r="AA391" s="32">
        <v>6</v>
      </c>
      <c r="AB391" s="34" t="str">
        <f>VLOOKUP(AA391,Key!$C$20:$D$29,2,FALSE)</f>
        <v>Businessman</v>
      </c>
      <c r="AC391" s="32">
        <v>2</v>
      </c>
      <c r="AD391" s="34" t="str">
        <f>VLOOKUP(AC391,Key!$E$20:$F$24,2,FALSE)</f>
        <v>300,000-500,000</v>
      </c>
      <c r="AE391" s="32">
        <v>1</v>
      </c>
      <c r="AF391" s="55">
        <v>1</v>
      </c>
      <c r="AG391" s="55">
        <v>1</v>
      </c>
      <c r="AH391" s="55">
        <v>1</v>
      </c>
      <c r="AI391" s="55">
        <v>1</v>
      </c>
      <c r="AJ391" s="39" t="s">
        <v>104</v>
      </c>
      <c r="AK391" s="40">
        <v>1000</v>
      </c>
      <c r="AL391" s="24"/>
      <c r="AM391" s="24"/>
    </row>
    <row r="392" spans="1:39" hidden="1" x14ac:dyDescent="0.2">
      <c r="B392" s="50">
        <v>43687</v>
      </c>
      <c r="C392" s="35">
        <v>0.4236111111111111</v>
      </c>
      <c r="D392" s="35"/>
      <c r="E392" s="35" t="s">
        <v>111</v>
      </c>
      <c r="F392" s="37">
        <v>2</v>
      </c>
      <c r="G392" s="42" t="str">
        <f>VLOOKUP(F392,Key!$A$17:$B$21,2,FALSE)</f>
        <v>Road Vehicle</v>
      </c>
      <c r="H392" s="36">
        <v>3</v>
      </c>
      <c r="I392" s="43" t="str">
        <f>VLOOKUP(H392,Key!$A$2:$B$13,2,FALSE)</f>
        <v>Pickups</v>
      </c>
      <c r="J392" s="37" t="s">
        <v>123</v>
      </c>
      <c r="K392" s="37">
        <v>3</v>
      </c>
      <c r="L392" s="45" t="str">
        <f>VLOOKUP(K392,Key!$A$24:$B$29,2,FALSE)</f>
        <v>40-49</v>
      </c>
      <c r="M392" s="37" t="s">
        <v>314</v>
      </c>
      <c r="N392" s="32" t="s">
        <v>179</v>
      </c>
      <c r="O392" s="37" t="s">
        <v>168</v>
      </c>
      <c r="P392" s="39">
        <v>2</v>
      </c>
      <c r="Q392" s="34" t="str">
        <f>VLOOKUP(P392,Key!$E$2:$F$9,2,FALSE)</f>
        <v>Work</v>
      </c>
      <c r="R392" s="37" t="s">
        <v>216</v>
      </c>
      <c r="S392" s="32" t="s">
        <v>167</v>
      </c>
      <c r="T392" s="37" t="s">
        <v>168</v>
      </c>
      <c r="U392" s="32">
        <v>4</v>
      </c>
      <c r="V392" s="34" t="str">
        <f>VLOOKUP(U392,Key!$E$2:$F$9,2,FALSE)</f>
        <v>Commercial</v>
      </c>
      <c r="W392" s="34" t="str">
        <f t="shared" si="13"/>
        <v>Work-Commercial</v>
      </c>
      <c r="X392" s="47">
        <v>30000</v>
      </c>
      <c r="Y392" s="38">
        <v>50</v>
      </c>
      <c r="Z392" s="38">
        <v>3</v>
      </c>
      <c r="AA392" s="32">
        <v>2</v>
      </c>
      <c r="AB392" s="34" t="str">
        <f>VLOOKUP(AA392,Key!$C$20:$D$29,2,FALSE)</f>
        <v>Manual Labour</v>
      </c>
      <c r="AC392" s="32">
        <v>3</v>
      </c>
      <c r="AD392" s="34" t="str">
        <f>VLOOKUP(AC392,Key!$E$20:$F$24,2,FALSE)</f>
        <v>500,000-750,000</v>
      </c>
      <c r="AE392" s="32">
        <v>1</v>
      </c>
      <c r="AF392" s="55">
        <v>1</v>
      </c>
      <c r="AG392" s="55">
        <v>2</v>
      </c>
      <c r="AH392" s="55">
        <v>1</v>
      </c>
      <c r="AI392" s="55">
        <v>3</v>
      </c>
      <c r="AJ392" s="39" t="s">
        <v>104</v>
      </c>
      <c r="AK392" s="40">
        <v>2000</v>
      </c>
      <c r="AL392" s="24"/>
      <c r="AM392" s="24"/>
    </row>
    <row r="393" spans="1:39" x14ac:dyDescent="0.2">
      <c r="B393" s="50">
        <v>43687</v>
      </c>
      <c r="C393" s="35">
        <v>0.51250000000000007</v>
      </c>
      <c r="D393" s="35"/>
      <c r="E393" s="35" t="s">
        <v>111</v>
      </c>
      <c r="F393" s="37">
        <v>2</v>
      </c>
      <c r="G393" s="42" t="str">
        <f>VLOOKUP(F393,Key!$A$17:$B$21,2,FALSE)</f>
        <v>Road Vehicle</v>
      </c>
      <c r="H393" s="36">
        <v>3</v>
      </c>
      <c r="I393" s="43" t="str">
        <f>VLOOKUP(H393,Key!$A$2:$B$13,2,FALSE)</f>
        <v>Pickups</v>
      </c>
      <c r="J393" s="37" t="s">
        <v>123</v>
      </c>
      <c r="K393" s="37">
        <v>1</v>
      </c>
      <c r="L393" s="45" t="str">
        <f>VLOOKUP(K393,Key!$A$24:$B$29,2,FALSE)</f>
        <v>20-29</v>
      </c>
      <c r="M393" s="37" t="s">
        <v>300</v>
      </c>
      <c r="N393" s="32" t="s">
        <v>300</v>
      </c>
      <c r="O393" s="37" t="s">
        <v>168</v>
      </c>
      <c r="P393" s="39">
        <v>1</v>
      </c>
      <c r="Q393" s="34" t="str">
        <f>VLOOKUP(P393,Key!$E$2:$F$9,2,FALSE)</f>
        <v>Home</v>
      </c>
      <c r="R393" s="37" t="s">
        <v>167</v>
      </c>
      <c r="S393" s="32" t="s">
        <v>167</v>
      </c>
      <c r="T393" s="37" t="s">
        <v>168</v>
      </c>
      <c r="U393" s="32">
        <v>2</v>
      </c>
      <c r="V393" s="34" t="str">
        <f>VLOOKUP(U393,Key!$E$2:$F$9,2,FALSE)</f>
        <v>Work</v>
      </c>
      <c r="W393" s="34" t="str">
        <f t="shared" si="13"/>
        <v>Home-Work</v>
      </c>
      <c r="X393" s="47">
        <v>80000</v>
      </c>
      <c r="Y393" s="38">
        <v>62</v>
      </c>
      <c r="Z393" s="38">
        <v>2</v>
      </c>
      <c r="AA393" s="32">
        <v>5</v>
      </c>
      <c r="AB393" s="34" t="str">
        <f>VLOOKUP(AA393,Key!$C$20:$D$29,2,FALSE)</f>
        <v>Professional</v>
      </c>
      <c r="AC393" s="32">
        <v>2</v>
      </c>
      <c r="AD393" s="34" t="str">
        <f>VLOOKUP(AC393,Key!$E$20:$F$24,2,FALSE)</f>
        <v>300,000-500,000</v>
      </c>
      <c r="AE393" s="32">
        <v>3</v>
      </c>
      <c r="AF393" s="55">
        <v>3</v>
      </c>
      <c r="AG393" s="55">
        <v>3</v>
      </c>
      <c r="AH393" s="55">
        <v>3</v>
      </c>
      <c r="AI393" s="55">
        <v>4</v>
      </c>
      <c r="AJ393" s="39" t="s">
        <v>104</v>
      </c>
      <c r="AK393" s="40">
        <v>2000</v>
      </c>
      <c r="AL393" s="24"/>
      <c r="AM393" s="24"/>
    </row>
    <row r="394" spans="1:39" x14ac:dyDescent="0.2">
      <c r="B394" s="50">
        <v>43688</v>
      </c>
      <c r="C394" s="35">
        <v>0.34513888888888888</v>
      </c>
      <c r="D394" s="35"/>
      <c r="E394" s="35" t="s">
        <v>111</v>
      </c>
      <c r="F394" s="37">
        <v>2</v>
      </c>
      <c r="G394" s="42" t="str">
        <f>VLOOKUP(F394,Key!$A$17:$B$21,2,FALSE)</f>
        <v>Road Vehicle</v>
      </c>
      <c r="H394" s="36">
        <v>3</v>
      </c>
      <c r="I394" s="43" t="str">
        <f>VLOOKUP(H394,Key!$A$2:$B$13,2,FALSE)</f>
        <v>Pickups</v>
      </c>
      <c r="J394" s="37" t="s">
        <v>123</v>
      </c>
      <c r="K394" s="37">
        <v>2</v>
      </c>
      <c r="L394" s="45" t="str">
        <f>VLOOKUP(K394,Key!$A$24:$B$29,2,FALSE)</f>
        <v>30-39</v>
      </c>
      <c r="M394" s="37" t="s">
        <v>176</v>
      </c>
      <c r="N394" s="32" t="s">
        <v>176</v>
      </c>
      <c r="O394" s="37" t="s">
        <v>168</v>
      </c>
      <c r="P394" s="39">
        <v>1</v>
      </c>
      <c r="Q394" s="34" t="str">
        <f>VLOOKUP(P394,Key!$E$2:$F$9,2,FALSE)</f>
        <v>Home</v>
      </c>
      <c r="R394" s="37" t="s">
        <v>167</v>
      </c>
      <c r="S394" s="32" t="s">
        <v>167</v>
      </c>
      <c r="T394" s="37" t="s">
        <v>168</v>
      </c>
      <c r="U394" s="32">
        <v>2</v>
      </c>
      <c r="V394" s="34" t="str">
        <f>VLOOKUP(U394,Key!$E$2:$F$9,2,FALSE)</f>
        <v>Work</v>
      </c>
      <c r="W394" s="34" t="str">
        <f t="shared" si="13"/>
        <v>Home-Work</v>
      </c>
      <c r="X394" s="47">
        <v>60000</v>
      </c>
      <c r="Y394" s="38">
        <v>80</v>
      </c>
      <c r="Z394" s="38">
        <v>3</v>
      </c>
      <c r="AA394" s="32">
        <v>10</v>
      </c>
      <c r="AB394" s="34" t="str">
        <f>VLOOKUP(AA394,Key!$C$20:$D$29,2,FALSE)</f>
        <v>Other</v>
      </c>
      <c r="AC394" s="32">
        <v>2</v>
      </c>
      <c r="AD394" s="34" t="str">
        <f>VLOOKUP(AC394,Key!$E$20:$F$24,2,FALSE)</f>
        <v>300,000-500,000</v>
      </c>
      <c r="AE394" s="32">
        <v>1</v>
      </c>
      <c r="AF394" s="55">
        <v>3</v>
      </c>
      <c r="AG394" s="55">
        <v>4</v>
      </c>
      <c r="AH394" s="55">
        <v>2</v>
      </c>
      <c r="AI394" s="55">
        <v>5</v>
      </c>
      <c r="AJ394" s="39" t="s">
        <v>104</v>
      </c>
      <c r="AK394" s="40">
        <v>2000</v>
      </c>
      <c r="AL394" s="24"/>
      <c r="AM394" s="24"/>
    </row>
    <row r="395" spans="1:39" x14ac:dyDescent="0.2">
      <c r="B395" s="50">
        <v>43688</v>
      </c>
      <c r="C395" s="35">
        <v>0.34930555555555554</v>
      </c>
      <c r="D395" s="35"/>
      <c r="E395" s="35" t="s">
        <v>111</v>
      </c>
      <c r="F395" s="37">
        <v>2</v>
      </c>
      <c r="G395" s="42" t="str">
        <f>VLOOKUP(F395,Key!$A$17:$B$21,2,FALSE)</f>
        <v>Road Vehicle</v>
      </c>
      <c r="H395" s="36">
        <v>3</v>
      </c>
      <c r="I395" s="43" t="str">
        <f>VLOOKUP(H395,Key!$A$2:$B$13,2,FALSE)</f>
        <v>Pickups</v>
      </c>
      <c r="J395" s="37" t="s">
        <v>123</v>
      </c>
      <c r="K395" s="37">
        <v>2</v>
      </c>
      <c r="L395" s="45" t="str">
        <f>VLOOKUP(K395,Key!$A$24:$B$29,2,FALSE)</f>
        <v>30-39</v>
      </c>
      <c r="M395" s="37" t="s">
        <v>330</v>
      </c>
      <c r="N395" s="32" t="s">
        <v>167</v>
      </c>
      <c r="O395" s="37" t="s">
        <v>168</v>
      </c>
      <c r="P395" s="39">
        <v>2</v>
      </c>
      <c r="Q395" s="34" t="str">
        <f>VLOOKUP(P395,Key!$E$2:$F$9,2,FALSE)</f>
        <v>Work</v>
      </c>
      <c r="R395" s="37" t="s">
        <v>176</v>
      </c>
      <c r="S395" s="32" t="s">
        <v>176</v>
      </c>
      <c r="T395" s="37" t="s">
        <v>168</v>
      </c>
      <c r="U395" s="32">
        <v>4</v>
      </c>
      <c r="V395" s="34" t="str">
        <f>VLOOKUP(U395,Key!$E$2:$F$9,2,FALSE)</f>
        <v>Commercial</v>
      </c>
      <c r="W395" s="34" t="str">
        <f t="shared" si="13"/>
        <v>Work-Commercial</v>
      </c>
      <c r="X395" s="47">
        <v>35000</v>
      </c>
      <c r="Y395" s="38">
        <v>80</v>
      </c>
      <c r="Z395" s="38">
        <v>3.5</v>
      </c>
      <c r="AA395" s="32">
        <v>6</v>
      </c>
      <c r="AB395" s="34" t="str">
        <f>VLOOKUP(AA395,Key!$C$20:$D$29,2,FALSE)</f>
        <v>Businessman</v>
      </c>
      <c r="AC395" s="32">
        <v>2</v>
      </c>
      <c r="AD395" s="34" t="str">
        <f>VLOOKUP(AC395,Key!$E$20:$F$24,2,FALSE)</f>
        <v>300,000-500,000</v>
      </c>
      <c r="AE395" s="32">
        <v>2</v>
      </c>
      <c r="AF395" s="55">
        <v>3</v>
      </c>
      <c r="AG395" s="55">
        <v>4</v>
      </c>
      <c r="AH395" s="55">
        <v>1</v>
      </c>
      <c r="AI395" s="55">
        <v>5</v>
      </c>
      <c r="AJ395" s="39" t="s">
        <v>104</v>
      </c>
      <c r="AK395" s="40">
        <v>10000</v>
      </c>
      <c r="AL395" s="24"/>
      <c r="AM395" s="24"/>
    </row>
    <row r="396" spans="1:39" x14ac:dyDescent="0.2">
      <c r="B396" s="50">
        <v>43688</v>
      </c>
      <c r="C396" s="35">
        <v>0.3659722222222222</v>
      </c>
      <c r="D396" s="35"/>
      <c r="E396" s="35" t="s">
        <v>111</v>
      </c>
      <c r="F396" s="37">
        <v>2</v>
      </c>
      <c r="G396" s="42" t="str">
        <f>VLOOKUP(F396,Key!$A$17:$B$21,2,FALSE)</f>
        <v>Road Vehicle</v>
      </c>
      <c r="H396" s="36">
        <v>3</v>
      </c>
      <c r="I396" s="43" t="str">
        <f>VLOOKUP(H396,Key!$A$2:$B$13,2,FALSE)</f>
        <v>Pickups</v>
      </c>
      <c r="J396" s="37" t="s">
        <v>123</v>
      </c>
      <c r="K396" s="13">
        <v>2</v>
      </c>
      <c r="L396" s="45" t="str">
        <f>VLOOKUP(K396,Key!$A$24:$B$29,2,FALSE)</f>
        <v>30-39</v>
      </c>
      <c r="M396" s="44" t="s">
        <v>180</v>
      </c>
      <c r="N396" s="32" t="s">
        <v>176</v>
      </c>
      <c r="O396" s="37" t="s">
        <v>168</v>
      </c>
      <c r="P396" s="39">
        <v>1</v>
      </c>
      <c r="Q396" s="34" t="str">
        <f>VLOOKUP(P396,Key!$E$2:$F$9,2,FALSE)</f>
        <v>Home</v>
      </c>
      <c r="R396" s="37" t="s">
        <v>167</v>
      </c>
      <c r="S396" s="32" t="s">
        <v>167</v>
      </c>
      <c r="T396" s="37" t="s">
        <v>168</v>
      </c>
      <c r="U396" s="32">
        <v>6</v>
      </c>
      <c r="V396" s="34" t="str">
        <f>VLOOKUP(U396,Key!$E$2:$F$9,2,FALSE)</f>
        <v>Leisure/Social</v>
      </c>
      <c r="W396" s="34" t="str">
        <f t="shared" si="13"/>
        <v>Home-Leisure/Social</v>
      </c>
      <c r="X396" s="47">
        <v>70000</v>
      </c>
      <c r="Y396" s="38">
        <v>86</v>
      </c>
      <c r="Z396" s="38">
        <v>4</v>
      </c>
      <c r="AA396" s="32">
        <v>5</v>
      </c>
      <c r="AB396" s="34" t="str">
        <f>VLOOKUP(AA396,Key!$C$20:$D$29,2,FALSE)</f>
        <v>Professional</v>
      </c>
      <c r="AC396" s="32">
        <v>4</v>
      </c>
      <c r="AD396" s="34" t="str">
        <f>VLOOKUP(AC396,Key!$E$20:$F$24,2,FALSE)</f>
        <v>750,000-1,000,000</v>
      </c>
      <c r="AE396" s="32">
        <v>2</v>
      </c>
      <c r="AF396" s="55">
        <v>2</v>
      </c>
      <c r="AG396" s="55">
        <v>3</v>
      </c>
      <c r="AH396" s="55">
        <v>1</v>
      </c>
      <c r="AI396" s="55">
        <v>4</v>
      </c>
      <c r="AJ396" s="39" t="s">
        <v>104</v>
      </c>
      <c r="AK396" s="40">
        <v>10000</v>
      </c>
      <c r="AL396" s="24"/>
      <c r="AM396" s="24"/>
    </row>
    <row r="397" spans="1:39" x14ac:dyDescent="0.2">
      <c r="B397" s="50">
        <v>43690</v>
      </c>
      <c r="C397" s="35">
        <v>0.39583333333333331</v>
      </c>
      <c r="D397" s="35"/>
      <c r="E397" s="35" t="s">
        <v>111</v>
      </c>
      <c r="F397" s="37">
        <v>2</v>
      </c>
      <c r="G397" s="42" t="str">
        <f>VLOOKUP(F397,Key!$A$17:$B$21,2,FALSE)</f>
        <v>Road Vehicle</v>
      </c>
      <c r="H397" s="36">
        <v>3</v>
      </c>
      <c r="I397" s="43" t="str">
        <f>VLOOKUP(H397,Key!$A$2:$B$13,2,FALSE)</f>
        <v>Pickups</v>
      </c>
      <c r="J397" s="37" t="s">
        <v>123</v>
      </c>
      <c r="K397" s="37">
        <v>2</v>
      </c>
      <c r="L397" s="45" t="str">
        <f>VLOOKUP(K397,Key!$A$24:$B$29,2,FALSE)</f>
        <v>30-39</v>
      </c>
      <c r="M397" s="37" t="s">
        <v>208</v>
      </c>
      <c r="N397" s="32" t="s">
        <v>167</v>
      </c>
      <c r="O397" s="37" t="s">
        <v>168</v>
      </c>
      <c r="P397" s="39">
        <v>1</v>
      </c>
      <c r="Q397" s="34" t="str">
        <f>VLOOKUP(P397,Key!$E$2:$F$9,2,FALSE)</f>
        <v>Home</v>
      </c>
      <c r="R397" s="37" t="s">
        <v>279</v>
      </c>
      <c r="S397" s="32" t="s">
        <v>190</v>
      </c>
      <c r="T397" s="37" t="s">
        <v>168</v>
      </c>
      <c r="U397" s="32">
        <v>2</v>
      </c>
      <c r="V397" s="34" t="str">
        <f>VLOOKUP(U397,Key!$E$2:$F$9,2,FALSE)</f>
        <v>Work</v>
      </c>
      <c r="W397" s="34" t="str">
        <f t="shared" si="13"/>
        <v>Home-Work</v>
      </c>
      <c r="X397" s="47">
        <v>50000</v>
      </c>
      <c r="Y397" s="38">
        <v>90</v>
      </c>
      <c r="Z397" s="38">
        <v>3</v>
      </c>
      <c r="AA397" s="32">
        <v>6</v>
      </c>
      <c r="AB397" s="34" t="str">
        <f>VLOOKUP(AA397,Key!$C$20:$D$29,2,FALSE)</f>
        <v>Businessman</v>
      </c>
      <c r="AC397" s="32">
        <v>4</v>
      </c>
      <c r="AD397" s="34" t="str">
        <f>VLOOKUP(AC397,Key!$E$20:$F$24,2,FALSE)</f>
        <v>750,000-1,000,000</v>
      </c>
      <c r="AE397" s="32">
        <v>1</v>
      </c>
      <c r="AF397" s="55">
        <v>1</v>
      </c>
      <c r="AG397" s="55">
        <v>1</v>
      </c>
      <c r="AH397" s="55">
        <v>1</v>
      </c>
      <c r="AI397" s="55">
        <v>1</v>
      </c>
      <c r="AJ397" s="39" t="s">
        <v>104</v>
      </c>
      <c r="AK397" s="40">
        <v>2000</v>
      </c>
      <c r="AL397" s="24"/>
      <c r="AM397" s="24"/>
    </row>
    <row r="398" spans="1:39" x14ac:dyDescent="0.2">
      <c r="B398" s="50">
        <v>43690</v>
      </c>
      <c r="C398" s="35">
        <v>0.60902777777777783</v>
      </c>
      <c r="D398" s="35"/>
      <c r="E398" s="35" t="s">
        <v>111</v>
      </c>
      <c r="F398" s="37">
        <v>2</v>
      </c>
      <c r="G398" s="42" t="str">
        <f>VLOOKUP(F398,Key!$A$17:$B$21,2,FALSE)</f>
        <v>Road Vehicle</v>
      </c>
      <c r="H398" s="36">
        <v>3</v>
      </c>
      <c r="I398" s="43" t="str">
        <f>VLOOKUP(H398,Key!$A$2:$B$13,2,FALSE)</f>
        <v>Pickups</v>
      </c>
      <c r="J398" s="37" t="s">
        <v>123</v>
      </c>
      <c r="K398" s="37">
        <v>2</v>
      </c>
      <c r="L398" s="45" t="str">
        <f>VLOOKUP(K398,Key!$A$24:$B$29,2,FALSE)</f>
        <v>30-39</v>
      </c>
      <c r="M398" s="37" t="s">
        <v>316</v>
      </c>
      <c r="N398" s="32" t="s">
        <v>176</v>
      </c>
      <c r="O398" s="37" t="s">
        <v>168</v>
      </c>
      <c r="P398" s="39">
        <v>2</v>
      </c>
      <c r="Q398" s="34" t="str">
        <f>VLOOKUP(P398,Key!$E$2:$F$9,2,FALSE)</f>
        <v>Work</v>
      </c>
      <c r="R398" s="37" t="s">
        <v>223</v>
      </c>
      <c r="S398" s="32" t="s">
        <v>179</v>
      </c>
      <c r="T398" s="37" t="s">
        <v>168</v>
      </c>
      <c r="U398" s="32">
        <v>3</v>
      </c>
      <c r="V398" s="34" t="str">
        <f>VLOOKUP(U398,Key!$E$2:$F$9,2,FALSE)</f>
        <v>Study</v>
      </c>
      <c r="W398" s="34" t="str">
        <f t="shared" si="13"/>
        <v>Work-Study</v>
      </c>
      <c r="X398" s="47">
        <v>150000</v>
      </c>
      <c r="Y398" s="38">
        <v>100</v>
      </c>
      <c r="Z398" s="38">
        <v>5</v>
      </c>
      <c r="AA398" s="32">
        <v>6</v>
      </c>
      <c r="AB398" s="34" t="str">
        <f>VLOOKUP(AA398,Key!$C$20:$D$29,2,FALSE)</f>
        <v>Businessman</v>
      </c>
      <c r="AC398" s="32">
        <v>2</v>
      </c>
      <c r="AD398" s="34" t="str">
        <f>VLOOKUP(AC398,Key!$E$20:$F$24,2,FALSE)</f>
        <v>300,000-500,000</v>
      </c>
      <c r="AE398" s="32">
        <v>1</v>
      </c>
      <c r="AF398" s="55">
        <v>1</v>
      </c>
      <c r="AG398" s="55">
        <v>1</v>
      </c>
      <c r="AH398" s="55">
        <v>1</v>
      </c>
      <c r="AI398" s="55">
        <v>1</v>
      </c>
      <c r="AJ398" s="39" t="s">
        <v>104</v>
      </c>
      <c r="AK398" s="40">
        <v>2000</v>
      </c>
      <c r="AL398" s="24"/>
      <c r="AM398" s="24"/>
    </row>
    <row r="399" spans="1:39" x14ac:dyDescent="0.2">
      <c r="A399" s="19"/>
      <c r="B399" s="50">
        <v>43687</v>
      </c>
      <c r="C399" s="35">
        <v>0.54027777777777775</v>
      </c>
      <c r="D399" s="35"/>
      <c r="E399" s="35" t="s">
        <v>111</v>
      </c>
      <c r="F399" s="37">
        <v>2</v>
      </c>
      <c r="G399" s="42" t="str">
        <f>VLOOKUP(F399,Key!$A$17:$B$21,2,FALSE)</f>
        <v>Road Vehicle</v>
      </c>
      <c r="H399" s="36">
        <v>3</v>
      </c>
      <c r="I399" s="43" t="str">
        <f>VLOOKUP(H399,Key!$A$2:$B$13,2,FALSE)</f>
        <v>Pickups</v>
      </c>
      <c r="J399" s="37" t="s">
        <v>123</v>
      </c>
      <c r="K399" s="37">
        <v>3</v>
      </c>
      <c r="L399" s="45" t="str">
        <f>VLOOKUP(K399,Key!$A$24:$B$29,2,FALSE)</f>
        <v>40-49</v>
      </c>
      <c r="M399" s="37" t="s">
        <v>298</v>
      </c>
      <c r="N399" s="32" t="s">
        <v>240</v>
      </c>
      <c r="O399" s="37" t="s">
        <v>168</v>
      </c>
      <c r="P399" s="39">
        <v>1</v>
      </c>
      <c r="Q399" s="34" t="str">
        <f>VLOOKUP(P399,Key!$E$2:$F$9,2,FALSE)</f>
        <v>Home</v>
      </c>
      <c r="R399" s="37" t="s">
        <v>216</v>
      </c>
      <c r="S399" s="32" t="s">
        <v>167</v>
      </c>
      <c r="T399" s="37" t="s">
        <v>168</v>
      </c>
      <c r="U399" s="32">
        <v>2</v>
      </c>
      <c r="V399" s="34" t="str">
        <f>VLOOKUP(U399,Key!$E$2:$F$9,2,FALSE)</f>
        <v>Work</v>
      </c>
      <c r="W399" s="34" t="str">
        <f t="shared" si="13"/>
        <v>Home-Work</v>
      </c>
      <c r="X399" s="47">
        <v>50000</v>
      </c>
      <c r="Y399" s="38">
        <v>70</v>
      </c>
      <c r="Z399" s="38">
        <v>2</v>
      </c>
      <c r="AA399" s="32">
        <v>7</v>
      </c>
      <c r="AB399" s="34" t="str">
        <f>VLOOKUP(AA399,Key!$C$20:$D$29,2,FALSE)</f>
        <v>Farmer</v>
      </c>
      <c r="AC399" s="32">
        <v>3</v>
      </c>
      <c r="AD399" s="34" t="str">
        <f>VLOOKUP(AC399,Key!$E$20:$F$24,2,FALSE)</f>
        <v>500,000-750,000</v>
      </c>
      <c r="AE399" s="32">
        <v>1</v>
      </c>
      <c r="AF399" s="55">
        <v>1</v>
      </c>
      <c r="AG399" s="55">
        <v>1</v>
      </c>
      <c r="AH399" s="55">
        <v>1</v>
      </c>
      <c r="AI399" s="55">
        <v>1</v>
      </c>
      <c r="AJ399" s="39" t="s">
        <v>104</v>
      </c>
      <c r="AK399" s="40">
        <v>2000</v>
      </c>
      <c r="AL399" s="24"/>
      <c r="AM399" s="24"/>
    </row>
    <row r="400" spans="1:39" x14ac:dyDescent="0.2">
      <c r="B400" s="50">
        <v>43686</v>
      </c>
      <c r="C400" s="35">
        <v>0.63194444444444442</v>
      </c>
      <c r="D400" s="35"/>
      <c r="E400" s="35" t="s">
        <v>111</v>
      </c>
      <c r="F400" s="37">
        <v>2</v>
      </c>
      <c r="G400" s="42" t="str">
        <f>VLOOKUP(F400,Key!$A$17:$B$21,2,FALSE)</f>
        <v>Road Vehicle</v>
      </c>
      <c r="H400" s="36">
        <v>3</v>
      </c>
      <c r="I400" s="43" t="str">
        <f>VLOOKUP(H400,Key!$A$2:$B$13,2,FALSE)</f>
        <v>Pickups</v>
      </c>
      <c r="J400" s="37" t="s">
        <v>123</v>
      </c>
      <c r="K400" s="37">
        <v>3</v>
      </c>
      <c r="L400" s="45" t="str">
        <f>VLOOKUP(K400,Key!$A$24:$B$29,2,FALSE)</f>
        <v>40-49</v>
      </c>
      <c r="M400" s="37" t="s">
        <v>276</v>
      </c>
      <c r="N400" s="32" t="s">
        <v>167</v>
      </c>
      <c r="O400" s="37" t="s">
        <v>168</v>
      </c>
      <c r="P400" s="39">
        <v>1</v>
      </c>
      <c r="Q400" s="34" t="str">
        <f>VLOOKUP(P400,Key!$E$2:$F$9,2,FALSE)</f>
        <v>Home</v>
      </c>
      <c r="R400" s="37" t="s">
        <v>173</v>
      </c>
      <c r="S400" s="32" t="s">
        <v>173</v>
      </c>
      <c r="T400" s="37" t="s">
        <v>168</v>
      </c>
      <c r="U400" s="32">
        <v>4</v>
      </c>
      <c r="V400" s="34" t="str">
        <f>VLOOKUP(U400,Key!$E$2:$F$9,2,FALSE)</f>
        <v>Commercial</v>
      </c>
      <c r="W400" s="34" t="str">
        <f t="shared" si="13"/>
        <v>Home-Commercial</v>
      </c>
      <c r="X400" s="47">
        <v>40000</v>
      </c>
      <c r="Y400" s="38">
        <v>70</v>
      </c>
      <c r="Z400" s="38">
        <v>2</v>
      </c>
      <c r="AA400" s="32">
        <v>6</v>
      </c>
      <c r="AB400" s="34" t="str">
        <f>VLOOKUP(AA400,Key!$C$20:$D$29,2,FALSE)</f>
        <v>Businessman</v>
      </c>
      <c r="AC400" s="32">
        <v>2</v>
      </c>
      <c r="AD400" s="34" t="str">
        <f>VLOOKUP(AC400,Key!$E$20:$F$24,2,FALSE)</f>
        <v>300,000-500,000</v>
      </c>
      <c r="AE400" s="32">
        <v>1</v>
      </c>
      <c r="AF400" s="55">
        <v>1</v>
      </c>
      <c r="AG400" s="55">
        <v>1</v>
      </c>
      <c r="AH400" s="55">
        <v>1</v>
      </c>
      <c r="AI400" s="55">
        <v>1</v>
      </c>
      <c r="AJ400" s="39" t="s">
        <v>104</v>
      </c>
      <c r="AK400" s="40"/>
      <c r="AL400" s="24"/>
      <c r="AM400" s="24"/>
    </row>
    <row r="401" spans="2:39" x14ac:dyDescent="0.2">
      <c r="B401" s="50">
        <v>43688</v>
      </c>
      <c r="C401" s="35">
        <v>0.33680555555555558</v>
      </c>
      <c r="D401" s="35"/>
      <c r="E401" s="35" t="s">
        <v>111</v>
      </c>
      <c r="F401" s="37">
        <v>2</v>
      </c>
      <c r="G401" s="42" t="str">
        <f>VLOOKUP(F401,Key!$A$17:$B$21,2,FALSE)</f>
        <v>Road Vehicle</v>
      </c>
      <c r="H401" s="36">
        <v>3</v>
      </c>
      <c r="I401" s="43" t="str">
        <f>VLOOKUP(H401,Key!$A$2:$B$13,2,FALSE)</f>
        <v>Pickups</v>
      </c>
      <c r="J401" s="37" t="s">
        <v>123</v>
      </c>
      <c r="K401" s="37">
        <v>3</v>
      </c>
      <c r="L401" s="45" t="str">
        <f>VLOOKUP(K401,Key!$A$24:$B$29,2,FALSE)</f>
        <v>40-49</v>
      </c>
      <c r="M401" s="37" t="s">
        <v>216</v>
      </c>
      <c r="N401" s="32" t="s">
        <v>167</v>
      </c>
      <c r="O401" s="37" t="s">
        <v>168</v>
      </c>
      <c r="P401" s="39">
        <v>2</v>
      </c>
      <c r="Q401" s="34" t="str">
        <f>VLOOKUP(P401,Key!$E$2:$F$9,2,FALSE)</f>
        <v>Work</v>
      </c>
      <c r="R401" s="37" t="s">
        <v>201</v>
      </c>
      <c r="S401" s="32" t="s">
        <v>176</v>
      </c>
      <c r="T401" s="37" t="s">
        <v>168</v>
      </c>
      <c r="U401" s="32">
        <v>2</v>
      </c>
      <c r="V401" s="34" t="str">
        <f>VLOOKUP(U401,Key!$E$2:$F$9,2,FALSE)</f>
        <v>Work</v>
      </c>
      <c r="W401" s="34" t="str">
        <f t="shared" si="13"/>
        <v>Work-Work</v>
      </c>
      <c r="X401" s="47">
        <v>40000</v>
      </c>
      <c r="Y401" s="38">
        <v>70</v>
      </c>
      <c r="Z401" s="38">
        <v>3</v>
      </c>
      <c r="AA401" s="32">
        <v>6</v>
      </c>
      <c r="AB401" s="34" t="str">
        <f>VLOOKUP(AA401,Key!$C$20:$D$29,2,FALSE)</f>
        <v>Businessman</v>
      </c>
      <c r="AC401" s="32">
        <v>3</v>
      </c>
      <c r="AD401" s="34" t="str">
        <f>VLOOKUP(AC401,Key!$E$20:$F$24,2,FALSE)</f>
        <v>500,000-750,000</v>
      </c>
      <c r="AE401" s="32">
        <v>1</v>
      </c>
      <c r="AF401" s="55">
        <v>1</v>
      </c>
      <c r="AG401" s="55">
        <v>2</v>
      </c>
      <c r="AH401" s="55">
        <v>1</v>
      </c>
      <c r="AI401" s="55">
        <v>3</v>
      </c>
      <c r="AJ401" s="39" t="s">
        <v>104</v>
      </c>
      <c r="AK401" s="40">
        <v>5000</v>
      </c>
      <c r="AL401" s="24"/>
      <c r="AM401" s="24"/>
    </row>
    <row r="402" spans="2:39" x14ac:dyDescent="0.2">
      <c r="B402" s="50">
        <v>43690</v>
      </c>
      <c r="C402" s="35">
        <v>0.40902777777777777</v>
      </c>
      <c r="D402" s="35"/>
      <c r="E402" s="35" t="s">
        <v>111</v>
      </c>
      <c r="F402" s="37">
        <v>2</v>
      </c>
      <c r="G402" s="42" t="str">
        <f>VLOOKUP(F402,Key!$A$17:$B$21,2,FALSE)</f>
        <v>Road Vehicle</v>
      </c>
      <c r="H402" s="36">
        <v>3</v>
      </c>
      <c r="I402" s="43" t="str">
        <f>VLOOKUP(H402,Key!$A$2:$B$13,2,FALSE)</f>
        <v>Pickups</v>
      </c>
      <c r="J402" s="37" t="s">
        <v>123</v>
      </c>
      <c r="K402" s="37">
        <v>3</v>
      </c>
      <c r="L402" s="45" t="str">
        <f>VLOOKUP(K402,Key!$A$24:$B$29,2,FALSE)</f>
        <v>40-49</v>
      </c>
      <c r="M402" s="37" t="s">
        <v>331</v>
      </c>
      <c r="N402" s="32" t="s">
        <v>167</v>
      </c>
      <c r="O402" s="37" t="s">
        <v>168</v>
      </c>
      <c r="P402" s="39">
        <v>1</v>
      </c>
      <c r="Q402" s="34" t="str">
        <f>VLOOKUP(P402,Key!$E$2:$F$9,2,FALSE)</f>
        <v>Home</v>
      </c>
      <c r="R402" s="37" t="s">
        <v>332</v>
      </c>
      <c r="S402" s="32" t="s">
        <v>176</v>
      </c>
      <c r="T402" s="37" t="s">
        <v>168</v>
      </c>
      <c r="U402" s="32">
        <v>4</v>
      </c>
      <c r="V402" s="34" t="str">
        <f>VLOOKUP(U402,Key!$E$2:$F$9,2,FALSE)</f>
        <v>Commercial</v>
      </c>
      <c r="W402" s="34" t="str">
        <f t="shared" si="13"/>
        <v>Home-Commercial</v>
      </c>
      <c r="X402" s="47">
        <v>50000</v>
      </c>
      <c r="Y402" s="38">
        <v>90</v>
      </c>
      <c r="Z402" s="38">
        <v>4</v>
      </c>
      <c r="AA402" s="32">
        <v>7</v>
      </c>
      <c r="AB402" s="34" t="str">
        <f>VLOOKUP(AA402,Key!$C$20:$D$29,2,FALSE)</f>
        <v>Farmer</v>
      </c>
      <c r="AC402" s="32">
        <v>5</v>
      </c>
      <c r="AD402" s="34" t="str">
        <f>VLOOKUP(AC402,Key!$E$20:$F$24,2,FALSE)</f>
        <v>&gt;1,000,000</v>
      </c>
      <c r="AE402" s="32">
        <v>1</v>
      </c>
      <c r="AF402" s="55">
        <v>1</v>
      </c>
      <c r="AG402" s="55">
        <v>1</v>
      </c>
      <c r="AH402" s="55">
        <v>1</v>
      </c>
      <c r="AI402" s="55">
        <v>1</v>
      </c>
      <c r="AJ402" s="39" t="s">
        <v>104</v>
      </c>
      <c r="AK402" s="40">
        <v>2000</v>
      </c>
      <c r="AL402" s="24"/>
      <c r="AM402" s="24"/>
    </row>
    <row r="403" spans="2:39" x14ac:dyDescent="0.2">
      <c r="B403" s="50">
        <v>43690</v>
      </c>
      <c r="C403" s="35">
        <v>0.58819444444444446</v>
      </c>
      <c r="D403" s="35"/>
      <c r="E403" s="35" t="s">
        <v>111</v>
      </c>
      <c r="F403" s="37">
        <v>2</v>
      </c>
      <c r="G403" s="42" t="str">
        <f>VLOOKUP(F403,Key!$A$17:$B$21,2,FALSE)</f>
        <v>Road Vehicle</v>
      </c>
      <c r="H403" s="36">
        <v>3</v>
      </c>
      <c r="I403" s="43" t="str">
        <f>VLOOKUP(H403,Key!$A$2:$B$13,2,FALSE)</f>
        <v>Pickups</v>
      </c>
      <c r="J403" s="37" t="s">
        <v>123</v>
      </c>
      <c r="K403" s="37">
        <v>3</v>
      </c>
      <c r="L403" s="45" t="str">
        <f>VLOOKUP(K403,Key!$A$24:$B$29,2,FALSE)</f>
        <v>40-49</v>
      </c>
      <c r="M403" s="37" t="s">
        <v>280</v>
      </c>
      <c r="N403" s="32" t="s">
        <v>190</v>
      </c>
      <c r="O403" s="37" t="s">
        <v>168</v>
      </c>
      <c r="P403" s="39">
        <v>1</v>
      </c>
      <c r="Q403" s="34" t="str">
        <f>VLOOKUP(P403,Key!$E$2:$F$9,2,FALSE)</f>
        <v>Home</v>
      </c>
      <c r="R403" s="37" t="s">
        <v>216</v>
      </c>
      <c r="S403" s="32" t="s">
        <v>167</v>
      </c>
      <c r="T403" s="37" t="s">
        <v>168</v>
      </c>
      <c r="U403" s="32">
        <v>2</v>
      </c>
      <c r="V403" s="34" t="str">
        <f>VLOOKUP(U403,Key!$E$2:$F$9,2,FALSE)</f>
        <v>Work</v>
      </c>
      <c r="W403" s="34" t="str">
        <f t="shared" si="13"/>
        <v>Home-Work</v>
      </c>
      <c r="X403" s="47">
        <v>50000</v>
      </c>
      <c r="Y403" s="38">
        <v>100</v>
      </c>
      <c r="Z403" s="38">
        <v>2</v>
      </c>
      <c r="AA403" s="32">
        <v>7</v>
      </c>
      <c r="AB403" s="34" t="str">
        <f>VLOOKUP(AA403,Key!$C$20:$D$29,2,FALSE)</f>
        <v>Farmer</v>
      </c>
      <c r="AC403" s="32">
        <v>3</v>
      </c>
      <c r="AD403" s="34" t="str">
        <f>VLOOKUP(AC403,Key!$E$20:$F$24,2,FALSE)</f>
        <v>500,000-750,000</v>
      </c>
      <c r="AE403" s="32">
        <v>1</v>
      </c>
      <c r="AF403" s="55">
        <v>1</v>
      </c>
      <c r="AG403" s="55">
        <v>1</v>
      </c>
      <c r="AH403" s="55">
        <v>1</v>
      </c>
      <c r="AI403" s="55">
        <v>1</v>
      </c>
      <c r="AJ403" s="39" t="s">
        <v>104</v>
      </c>
      <c r="AK403" s="40">
        <v>1000</v>
      </c>
      <c r="AL403" s="24"/>
      <c r="AM403" s="24"/>
    </row>
    <row r="404" spans="2:39" x14ac:dyDescent="0.2">
      <c r="B404" s="50">
        <v>43687</v>
      </c>
      <c r="C404" s="35">
        <v>0.4861111111111111</v>
      </c>
      <c r="D404" s="35"/>
      <c r="E404" s="35" t="s">
        <v>111</v>
      </c>
      <c r="F404" s="37">
        <v>2</v>
      </c>
      <c r="G404" s="42" t="str">
        <f>VLOOKUP(F404,Key!$A$17:$B$21,2,FALSE)</f>
        <v>Road Vehicle</v>
      </c>
      <c r="H404" s="36">
        <v>3</v>
      </c>
      <c r="I404" s="43" t="str">
        <f>VLOOKUP(H404,Key!$A$2:$B$13,2,FALSE)</f>
        <v>Pickups</v>
      </c>
      <c r="J404" s="37" t="s">
        <v>123</v>
      </c>
      <c r="K404" s="37">
        <v>4</v>
      </c>
      <c r="L404" s="45" t="str">
        <f>VLOOKUP(K404,Key!$A$24:$B$29,2,FALSE)</f>
        <v>50-59</v>
      </c>
      <c r="M404" s="37" t="s">
        <v>211</v>
      </c>
      <c r="N404" s="32" t="s">
        <v>167</v>
      </c>
      <c r="O404" s="37" t="s">
        <v>168</v>
      </c>
      <c r="P404" s="39">
        <v>1</v>
      </c>
      <c r="Q404" s="34" t="str">
        <f>VLOOKUP(P404,Key!$E$2:$F$9,2,FALSE)</f>
        <v>Home</v>
      </c>
      <c r="R404" s="37" t="s">
        <v>278</v>
      </c>
      <c r="S404" s="32" t="s">
        <v>190</v>
      </c>
      <c r="T404" s="37" t="s">
        <v>168</v>
      </c>
      <c r="U404" s="32">
        <v>4</v>
      </c>
      <c r="V404" s="34" t="str">
        <f>VLOOKUP(U404,Key!$E$2:$F$9,2,FALSE)</f>
        <v>Commercial</v>
      </c>
      <c r="W404" s="34" t="str">
        <f t="shared" si="13"/>
        <v>Home-Commercial</v>
      </c>
      <c r="X404" s="47">
        <v>20000</v>
      </c>
      <c r="Y404" s="38">
        <v>60</v>
      </c>
      <c r="Z404" s="38">
        <v>2</v>
      </c>
      <c r="AA404" s="32">
        <v>6</v>
      </c>
      <c r="AB404" s="34" t="str">
        <f>VLOOKUP(AA404,Key!$C$20:$D$29,2,FALSE)</f>
        <v>Businessman</v>
      </c>
      <c r="AC404" s="32">
        <v>4</v>
      </c>
      <c r="AD404" s="34" t="str">
        <f>VLOOKUP(AC404,Key!$E$20:$F$24,2,FALSE)</f>
        <v>750,000-1,000,000</v>
      </c>
      <c r="AE404" s="32">
        <v>1</v>
      </c>
      <c r="AF404" s="55">
        <v>1</v>
      </c>
      <c r="AG404" s="55">
        <v>1</v>
      </c>
      <c r="AH404" s="55">
        <v>1</v>
      </c>
      <c r="AI404" s="55">
        <v>1</v>
      </c>
      <c r="AJ404" s="39" t="s">
        <v>104</v>
      </c>
      <c r="AK404" s="40"/>
      <c r="AL404" s="24"/>
      <c r="AM404" s="24"/>
    </row>
    <row r="405" spans="2:39" x14ac:dyDescent="0.2">
      <c r="B405" s="50">
        <v>43690</v>
      </c>
      <c r="C405" s="35">
        <v>0.70694444444444438</v>
      </c>
      <c r="D405" s="35"/>
      <c r="E405" s="35" t="s">
        <v>111</v>
      </c>
      <c r="F405" s="37">
        <v>2</v>
      </c>
      <c r="G405" s="42" t="str">
        <f>VLOOKUP(F405,Key!$A$17:$B$21,2,FALSE)</f>
        <v>Road Vehicle</v>
      </c>
      <c r="H405" s="36">
        <v>3</v>
      </c>
      <c r="I405" s="43" t="str">
        <f>VLOOKUP(H405,Key!$A$2:$B$13,2,FALSE)</f>
        <v>Pickups</v>
      </c>
      <c r="J405" s="37" t="s">
        <v>123</v>
      </c>
      <c r="K405" s="37">
        <v>4</v>
      </c>
      <c r="L405" s="45" t="str">
        <f>VLOOKUP(K405,Key!$A$24:$B$29,2,FALSE)</f>
        <v>50-59</v>
      </c>
      <c r="M405" s="44" t="s">
        <v>224</v>
      </c>
      <c r="N405" s="44" t="s">
        <v>173</v>
      </c>
      <c r="O405" s="37" t="s">
        <v>168</v>
      </c>
      <c r="P405" s="39">
        <v>1</v>
      </c>
      <c r="Q405" s="34" t="str">
        <f>VLOOKUP(P405,Key!$E$2:$F$9,2,FALSE)</f>
        <v>Home</v>
      </c>
      <c r="R405" s="37" t="s">
        <v>217</v>
      </c>
      <c r="S405" s="32" t="s">
        <v>176</v>
      </c>
      <c r="T405" s="37" t="s">
        <v>168</v>
      </c>
      <c r="U405" s="32">
        <v>2</v>
      </c>
      <c r="V405" s="34" t="str">
        <f>VLOOKUP(U405,Key!$E$2:$F$9,2,FALSE)</f>
        <v>Work</v>
      </c>
      <c r="W405" s="34" t="str">
        <f t="shared" si="13"/>
        <v>Home-Work</v>
      </c>
      <c r="X405" s="47">
        <v>70000</v>
      </c>
      <c r="Y405" s="38">
        <v>100</v>
      </c>
      <c r="Z405" s="38">
        <v>4</v>
      </c>
      <c r="AA405" s="32">
        <v>6</v>
      </c>
      <c r="AB405" s="34" t="str">
        <f>VLOOKUP(AA405,Key!$C$20:$D$29,2,FALSE)</f>
        <v>Businessman</v>
      </c>
      <c r="AC405" s="32">
        <v>4</v>
      </c>
      <c r="AD405" s="34" t="str">
        <f>VLOOKUP(AC405,Key!$E$20:$F$24,2,FALSE)</f>
        <v>750,000-1,000,000</v>
      </c>
      <c r="AE405" s="32">
        <v>1</v>
      </c>
      <c r="AF405" s="55">
        <v>1</v>
      </c>
      <c r="AG405" s="55">
        <v>1</v>
      </c>
      <c r="AH405" s="55">
        <v>1</v>
      </c>
      <c r="AI405" s="55">
        <v>1</v>
      </c>
      <c r="AJ405" s="39" t="s">
        <v>104</v>
      </c>
      <c r="AK405" s="40">
        <v>2000</v>
      </c>
      <c r="AL405" s="24"/>
      <c r="AM405" s="24"/>
    </row>
    <row r="406" spans="2:39" x14ac:dyDescent="0.2">
      <c r="B406" s="50">
        <v>43690</v>
      </c>
      <c r="C406" s="35">
        <v>0.54305555555555551</v>
      </c>
      <c r="D406" s="35"/>
      <c r="E406" s="35" t="s">
        <v>111</v>
      </c>
      <c r="F406" s="37">
        <v>2</v>
      </c>
      <c r="G406" s="42" t="str">
        <f>VLOOKUP(F406,Key!$A$17:$B$21,2,FALSE)</f>
        <v>Road Vehicle</v>
      </c>
      <c r="H406" s="36">
        <v>3</v>
      </c>
      <c r="I406" s="43" t="str">
        <f>VLOOKUP(H406,Key!$A$2:$B$13,2,FALSE)</f>
        <v>Pickups</v>
      </c>
      <c r="J406" s="37" t="s">
        <v>123</v>
      </c>
      <c r="K406" s="37">
        <v>4</v>
      </c>
      <c r="L406" s="45" t="str">
        <f>VLOOKUP(K406,Key!$A$24:$B$29,2,FALSE)</f>
        <v>50-59</v>
      </c>
      <c r="M406" s="37" t="s">
        <v>234</v>
      </c>
      <c r="N406" s="32" t="s">
        <v>173</v>
      </c>
      <c r="O406" s="37" t="s">
        <v>168</v>
      </c>
      <c r="P406" s="39">
        <v>1</v>
      </c>
      <c r="Q406" s="34" t="str">
        <f>VLOOKUP(P406,Key!$E$2:$F$9,2,FALSE)</f>
        <v>Home</v>
      </c>
      <c r="R406" s="37" t="s">
        <v>217</v>
      </c>
      <c r="S406" s="32" t="s">
        <v>176</v>
      </c>
      <c r="T406" s="37" t="s">
        <v>168</v>
      </c>
      <c r="U406" s="32">
        <v>2</v>
      </c>
      <c r="V406" s="34" t="str">
        <f>VLOOKUP(U406,Key!$E$2:$F$9,2,FALSE)</f>
        <v>Work</v>
      </c>
      <c r="W406" s="34" t="str">
        <f t="shared" si="13"/>
        <v>Home-Work</v>
      </c>
      <c r="X406" s="47">
        <v>70000</v>
      </c>
      <c r="Y406" s="38">
        <v>100</v>
      </c>
      <c r="Z406" s="38">
        <v>4</v>
      </c>
      <c r="AA406" s="32">
        <v>6</v>
      </c>
      <c r="AB406" s="34" t="str">
        <f>VLOOKUP(AA406,Key!$C$20:$D$29,2,FALSE)</f>
        <v>Businessman</v>
      </c>
      <c r="AC406" s="32">
        <v>4</v>
      </c>
      <c r="AD406" s="34" t="str">
        <f>VLOOKUP(AC406,Key!$E$20:$F$24,2,FALSE)</f>
        <v>750,000-1,000,000</v>
      </c>
      <c r="AE406" s="32">
        <v>1</v>
      </c>
      <c r="AF406" s="55">
        <v>1</v>
      </c>
      <c r="AG406" s="55">
        <v>1</v>
      </c>
      <c r="AH406" s="55">
        <v>1</v>
      </c>
      <c r="AI406" s="55">
        <v>1</v>
      </c>
      <c r="AJ406" s="39" t="s">
        <v>104</v>
      </c>
      <c r="AK406" s="40">
        <v>2000</v>
      </c>
      <c r="AL406" s="24"/>
      <c r="AM406" s="24"/>
    </row>
    <row r="407" spans="2:39" hidden="1" x14ac:dyDescent="0.2">
      <c r="B407" s="50">
        <v>43690</v>
      </c>
      <c r="C407" s="35">
        <v>0.63750000000000007</v>
      </c>
      <c r="D407" s="35"/>
      <c r="E407" s="35" t="s">
        <v>111</v>
      </c>
      <c r="F407" s="37">
        <v>2</v>
      </c>
      <c r="G407" s="42" t="str">
        <f>VLOOKUP(F407,Key!$A$17:$B$21,2,FALSE)</f>
        <v>Road Vehicle</v>
      </c>
      <c r="H407" s="36">
        <v>3</v>
      </c>
      <c r="I407" s="43" t="str">
        <f>VLOOKUP(H407,Key!$A$2:$B$13,2,FALSE)</f>
        <v>Pickups</v>
      </c>
      <c r="J407" s="37" t="s">
        <v>123</v>
      </c>
      <c r="K407" s="37">
        <v>3</v>
      </c>
      <c r="L407" s="45" t="str">
        <f>VLOOKUP(K407,Key!$A$24:$B$29,2,FALSE)</f>
        <v>40-49</v>
      </c>
      <c r="M407" s="37" t="s">
        <v>30</v>
      </c>
      <c r="N407" s="32" t="s">
        <v>188</v>
      </c>
      <c r="O407" s="37" t="s">
        <v>168</v>
      </c>
      <c r="P407" s="39">
        <v>1</v>
      </c>
      <c r="Q407" s="34" t="str">
        <f>VLOOKUP(P407,Key!$E$2:$F$9,2,FALSE)</f>
        <v>Home</v>
      </c>
      <c r="R407" s="37" t="s">
        <v>167</v>
      </c>
      <c r="S407" s="32" t="s">
        <v>167</v>
      </c>
      <c r="T407" s="37" t="s">
        <v>168</v>
      </c>
      <c r="U407" s="32">
        <v>5</v>
      </c>
      <c r="V407" s="34" t="str">
        <f>VLOOKUP(U407,Key!$E$2:$F$9,2,FALSE)</f>
        <v>Tourism</v>
      </c>
      <c r="W407" s="34" t="str">
        <f t="shared" si="13"/>
        <v>Home-Tourism</v>
      </c>
      <c r="X407" s="47">
        <v>100000</v>
      </c>
      <c r="Y407" s="38">
        <v>120</v>
      </c>
      <c r="Z407" s="38">
        <v>3</v>
      </c>
      <c r="AA407" s="32">
        <v>5</v>
      </c>
      <c r="AB407" s="34" t="str">
        <f>VLOOKUP(AA407,Key!$C$20:$D$29,2,FALSE)</f>
        <v>Professional</v>
      </c>
      <c r="AC407" s="32">
        <v>5</v>
      </c>
      <c r="AD407" s="34" t="str">
        <f>VLOOKUP(AC407,Key!$E$20:$F$24,2,FALSE)</f>
        <v>&gt;1,000,000</v>
      </c>
      <c r="AE407" s="32">
        <v>1</v>
      </c>
      <c r="AF407" s="55">
        <v>1</v>
      </c>
      <c r="AG407" s="55">
        <v>1</v>
      </c>
      <c r="AH407" s="55">
        <v>1</v>
      </c>
      <c r="AI407" s="55">
        <v>1</v>
      </c>
      <c r="AJ407" s="39" t="s">
        <v>104</v>
      </c>
      <c r="AK407" s="40">
        <v>2000</v>
      </c>
      <c r="AL407" s="24"/>
      <c r="AM407" s="24"/>
    </row>
    <row r="408" spans="2:39" hidden="1" x14ac:dyDescent="0.2">
      <c r="B408" s="50">
        <v>43686</v>
      </c>
      <c r="C408" s="35">
        <v>0.74722222222222223</v>
      </c>
      <c r="D408" s="35"/>
      <c r="E408" s="35" t="s">
        <v>111</v>
      </c>
      <c r="F408" s="37">
        <v>2</v>
      </c>
      <c r="G408" s="42" t="str">
        <f>VLOOKUP(F408,Key!$A$17:$B$21,2,FALSE)</f>
        <v>Road Vehicle</v>
      </c>
      <c r="H408" s="36">
        <v>3</v>
      </c>
      <c r="I408" s="43" t="str">
        <f>VLOOKUP(H408,Key!$A$2:$B$13,2,FALSE)</f>
        <v>Pickups</v>
      </c>
      <c r="J408" s="37" t="s">
        <v>123</v>
      </c>
      <c r="K408" s="37">
        <v>2</v>
      </c>
      <c r="L408" s="45" t="str">
        <f>VLOOKUP(K408,Key!$A$24:$B$29,2,FALSE)</f>
        <v>30-39</v>
      </c>
      <c r="M408" s="37" t="s">
        <v>179</v>
      </c>
      <c r="N408" s="32" t="s">
        <v>179</v>
      </c>
      <c r="O408" s="37" t="s">
        <v>168</v>
      </c>
      <c r="P408" s="39">
        <v>2</v>
      </c>
      <c r="Q408" s="34" t="str">
        <f>VLOOKUP(P408,Key!$E$2:$F$9,2,FALSE)</f>
        <v>Work</v>
      </c>
      <c r="R408" s="37" t="s">
        <v>176</v>
      </c>
      <c r="S408" s="32" t="s">
        <v>176</v>
      </c>
      <c r="T408" s="37" t="s">
        <v>168</v>
      </c>
      <c r="U408" s="32">
        <v>6</v>
      </c>
      <c r="V408" s="34" t="str">
        <f>VLOOKUP(U408,Key!$E$2:$F$9,2,FALSE)</f>
        <v>Leisure/Social</v>
      </c>
      <c r="W408" s="34" t="str">
        <f t="shared" si="13"/>
        <v>Work-Leisure/Social</v>
      </c>
      <c r="X408" s="47">
        <v>70000</v>
      </c>
      <c r="Y408" s="38">
        <v>125</v>
      </c>
      <c r="Z408" s="38">
        <v>4</v>
      </c>
      <c r="AA408" s="32">
        <v>10</v>
      </c>
      <c r="AB408" s="34" t="str">
        <f>VLOOKUP(AA408,Key!$C$20:$D$29,2,FALSE)</f>
        <v>Other</v>
      </c>
      <c r="AC408" s="32">
        <v>2</v>
      </c>
      <c r="AD408" s="34" t="str">
        <f>VLOOKUP(AC408,Key!$E$20:$F$24,2,FALSE)</f>
        <v>300,000-500,000</v>
      </c>
      <c r="AE408" s="32">
        <v>2</v>
      </c>
      <c r="AF408" s="55">
        <v>3</v>
      </c>
      <c r="AG408" s="55">
        <v>2</v>
      </c>
      <c r="AH408" s="55">
        <v>1</v>
      </c>
      <c r="AI408" s="55">
        <v>4</v>
      </c>
      <c r="AJ408" s="39" t="s">
        <v>104</v>
      </c>
      <c r="AK408" s="40">
        <v>5000</v>
      </c>
      <c r="AL408" s="24"/>
      <c r="AM408" s="24"/>
    </row>
    <row r="409" spans="2:39" hidden="1" x14ac:dyDescent="0.2">
      <c r="B409" s="50">
        <v>43686</v>
      </c>
      <c r="C409" s="35">
        <v>0.74722222222222223</v>
      </c>
      <c r="D409" s="35"/>
      <c r="E409" s="35" t="s">
        <v>111</v>
      </c>
      <c r="F409" s="37">
        <v>2</v>
      </c>
      <c r="G409" s="42" t="str">
        <f>VLOOKUP(F409,Key!$A$17:$B$21,2,FALSE)</f>
        <v>Road Vehicle</v>
      </c>
      <c r="H409" s="36">
        <v>3</v>
      </c>
      <c r="I409" s="43" t="str">
        <f>VLOOKUP(H409,Key!$A$2:$B$13,2,FALSE)</f>
        <v>Pickups</v>
      </c>
      <c r="J409" s="37" t="s">
        <v>123</v>
      </c>
      <c r="K409" s="37">
        <v>4</v>
      </c>
      <c r="L409" s="45" t="str">
        <f>VLOOKUP(K409,Key!$A$24:$B$29,2,FALSE)</f>
        <v>50-59</v>
      </c>
      <c r="M409" s="37" t="s">
        <v>173</v>
      </c>
      <c r="N409" s="32" t="s">
        <v>173</v>
      </c>
      <c r="O409" s="37" t="s">
        <v>168</v>
      </c>
      <c r="P409" s="39">
        <v>6</v>
      </c>
      <c r="Q409" s="34" t="str">
        <f>VLOOKUP(P409,Key!$E$2:$F$9,2,FALSE)</f>
        <v>Leisure/Social</v>
      </c>
      <c r="R409" s="37" t="s">
        <v>340</v>
      </c>
      <c r="S409" s="32" t="s">
        <v>179</v>
      </c>
      <c r="T409" s="37" t="s">
        <v>168</v>
      </c>
      <c r="U409" s="32">
        <v>1</v>
      </c>
      <c r="V409" s="34" t="str">
        <f>VLOOKUP(U409,Key!$E$2:$F$9,2,FALSE)</f>
        <v>Home</v>
      </c>
      <c r="W409" s="34" t="str">
        <f t="shared" si="13"/>
        <v>Leisure/Social-Home</v>
      </c>
      <c r="X409" s="47">
        <v>60000</v>
      </c>
      <c r="Y409" s="38">
        <v>150</v>
      </c>
      <c r="Z409" s="38">
        <v>4</v>
      </c>
      <c r="AA409" s="32">
        <v>7</v>
      </c>
      <c r="AB409" s="34" t="str">
        <f>VLOOKUP(AA409,Key!$C$20:$D$29,2,FALSE)</f>
        <v>Farmer</v>
      </c>
      <c r="AC409" s="32">
        <v>4</v>
      </c>
      <c r="AD409" s="34" t="str">
        <f>VLOOKUP(AC409,Key!$E$20:$F$24,2,FALSE)</f>
        <v>750,000-1,000,000</v>
      </c>
      <c r="AE409" s="32">
        <v>1</v>
      </c>
      <c r="AF409" s="55">
        <v>1</v>
      </c>
      <c r="AG409" s="55">
        <v>1</v>
      </c>
      <c r="AH409" s="55">
        <v>1</v>
      </c>
      <c r="AI409" s="55">
        <v>1</v>
      </c>
      <c r="AJ409" s="39" t="s">
        <v>104</v>
      </c>
      <c r="AK409" s="40">
        <v>2000</v>
      </c>
      <c r="AL409" s="24"/>
      <c r="AM409" s="24"/>
    </row>
    <row r="410" spans="2:39" hidden="1" x14ac:dyDescent="0.2">
      <c r="B410" s="50">
        <v>43687</v>
      </c>
      <c r="C410" s="35">
        <v>0.40972222222222227</v>
      </c>
      <c r="D410" s="35"/>
      <c r="E410" s="35" t="s">
        <v>111</v>
      </c>
      <c r="F410" s="37">
        <v>2</v>
      </c>
      <c r="G410" s="42" t="str">
        <f>VLOOKUP(F410,Key!$A$17:$B$21,2,FALSE)</f>
        <v>Road Vehicle</v>
      </c>
      <c r="H410" s="36">
        <v>3</v>
      </c>
      <c r="I410" s="43" t="str">
        <f>VLOOKUP(H410,Key!$A$2:$B$13,2,FALSE)</f>
        <v>Pickups</v>
      </c>
      <c r="J410" s="37" t="s">
        <v>123</v>
      </c>
      <c r="K410" s="37">
        <v>3</v>
      </c>
      <c r="L410" s="45" t="str">
        <f>VLOOKUP(K410,Key!$A$24:$B$29,2,FALSE)</f>
        <v>40-49</v>
      </c>
      <c r="M410" s="37" t="s">
        <v>216</v>
      </c>
      <c r="N410" s="32" t="s">
        <v>179</v>
      </c>
      <c r="O410" s="37" t="s">
        <v>168</v>
      </c>
      <c r="P410" s="39">
        <v>2</v>
      </c>
      <c r="Q410" s="34" t="str">
        <f>VLOOKUP(P410,Key!$E$2:$F$9,2,FALSE)</f>
        <v>Work</v>
      </c>
      <c r="R410" s="37" t="s">
        <v>233</v>
      </c>
      <c r="S410" s="32" t="s">
        <v>176</v>
      </c>
      <c r="T410" s="37" t="s">
        <v>168</v>
      </c>
      <c r="U410" s="32">
        <v>4</v>
      </c>
      <c r="V410" s="34" t="str">
        <f>VLOOKUP(U410,Key!$E$2:$F$9,2,FALSE)</f>
        <v>Commercial</v>
      </c>
      <c r="W410" s="34" t="str">
        <f t="shared" si="13"/>
        <v>Work-Commercial</v>
      </c>
      <c r="X410" s="47">
        <v>110000</v>
      </c>
      <c r="Y410" s="38">
        <v>150</v>
      </c>
      <c r="Z410" s="38">
        <v>5</v>
      </c>
      <c r="AA410" s="32">
        <v>7</v>
      </c>
      <c r="AB410" s="34" t="str">
        <f>VLOOKUP(AA410,Key!$C$20:$D$29,2,FALSE)</f>
        <v>Farmer</v>
      </c>
      <c r="AC410" s="32">
        <v>3</v>
      </c>
      <c r="AD410" s="34" t="str">
        <f>VLOOKUP(AC410,Key!$E$20:$F$24,2,FALSE)</f>
        <v>500,000-750,000</v>
      </c>
      <c r="AE410" s="32">
        <v>1</v>
      </c>
      <c r="AF410" s="55">
        <v>1</v>
      </c>
      <c r="AG410" s="55">
        <v>1</v>
      </c>
      <c r="AH410" s="55">
        <v>1</v>
      </c>
      <c r="AI410" s="55">
        <v>1</v>
      </c>
      <c r="AJ410" s="39" t="s">
        <v>104</v>
      </c>
      <c r="AK410" s="40">
        <v>1000</v>
      </c>
      <c r="AL410" s="24"/>
      <c r="AM410" s="24"/>
    </row>
    <row r="411" spans="2:39" hidden="1" x14ac:dyDescent="0.2">
      <c r="B411" s="50">
        <v>43690</v>
      </c>
      <c r="C411" s="35">
        <v>0.53402777777777777</v>
      </c>
      <c r="D411" s="35"/>
      <c r="E411" s="35" t="s">
        <v>111</v>
      </c>
      <c r="F411" s="37">
        <v>2</v>
      </c>
      <c r="G411" s="42" t="str">
        <f>VLOOKUP(F411,Key!$A$17:$B$21,2,FALSE)</f>
        <v>Road Vehicle</v>
      </c>
      <c r="H411" s="36">
        <v>3</v>
      </c>
      <c r="I411" s="43" t="str">
        <f>VLOOKUP(H411,Key!$A$2:$B$13,2,FALSE)</f>
        <v>Pickups</v>
      </c>
      <c r="J411" s="37" t="s">
        <v>123</v>
      </c>
      <c r="K411" s="37">
        <v>3</v>
      </c>
      <c r="L411" s="45" t="str">
        <f>VLOOKUP(K411,Key!$A$24:$B$29,2,FALSE)</f>
        <v>40-49</v>
      </c>
      <c r="M411" s="44" t="s">
        <v>216</v>
      </c>
      <c r="N411" s="44" t="s">
        <v>179</v>
      </c>
      <c r="O411" s="37" t="s">
        <v>168</v>
      </c>
      <c r="P411" s="39">
        <v>2</v>
      </c>
      <c r="Q411" s="34" t="str">
        <f>VLOOKUP(P411,Key!$E$2:$F$9,2,FALSE)</f>
        <v>Work</v>
      </c>
      <c r="R411" s="37" t="s">
        <v>203</v>
      </c>
      <c r="S411" s="32" t="s">
        <v>176</v>
      </c>
      <c r="T411" s="37" t="s">
        <v>168</v>
      </c>
      <c r="U411" s="32">
        <v>4</v>
      </c>
      <c r="V411" s="34" t="str">
        <f>VLOOKUP(U411,Key!$E$2:$F$9,2,FALSE)</f>
        <v>Commercial</v>
      </c>
      <c r="W411" s="34" t="str">
        <f t="shared" si="13"/>
        <v>Work-Commercial</v>
      </c>
      <c r="X411" s="47">
        <v>110000</v>
      </c>
      <c r="Y411" s="38">
        <v>150</v>
      </c>
      <c r="Z411" s="38">
        <v>6</v>
      </c>
      <c r="AA411" s="32">
        <v>7</v>
      </c>
      <c r="AB411" s="34" t="str">
        <f>VLOOKUP(AA411,Key!$C$20:$D$29,2,FALSE)</f>
        <v>Farmer</v>
      </c>
      <c r="AC411" s="32">
        <v>3</v>
      </c>
      <c r="AD411" s="34" t="str">
        <f>VLOOKUP(AC411,Key!$E$20:$F$24,2,FALSE)</f>
        <v>500,000-750,000</v>
      </c>
      <c r="AE411" s="32">
        <v>1</v>
      </c>
      <c r="AF411" s="55">
        <v>1</v>
      </c>
      <c r="AG411" s="55">
        <v>1</v>
      </c>
      <c r="AH411" s="55">
        <v>1</v>
      </c>
      <c r="AI411" s="55">
        <v>1</v>
      </c>
      <c r="AJ411" s="39" t="s">
        <v>104</v>
      </c>
      <c r="AK411" s="40">
        <v>1000</v>
      </c>
      <c r="AL411" s="24"/>
      <c r="AM411" s="24"/>
    </row>
    <row r="412" spans="2:39" hidden="1" x14ac:dyDescent="0.2">
      <c r="B412" s="50">
        <v>43688</v>
      </c>
      <c r="C412" s="35">
        <v>0.35416666666666669</v>
      </c>
      <c r="D412" s="35"/>
      <c r="E412" s="35" t="s">
        <v>111</v>
      </c>
      <c r="F412" s="37">
        <v>2</v>
      </c>
      <c r="G412" s="42" t="str">
        <f>VLOOKUP(F412,Key!$A$17:$B$21,2,FALSE)</f>
        <v>Road Vehicle</v>
      </c>
      <c r="H412" s="36">
        <v>3</v>
      </c>
      <c r="I412" s="43" t="str">
        <f>VLOOKUP(H412,Key!$A$2:$B$13,2,FALSE)</f>
        <v>Pickups</v>
      </c>
      <c r="J412" s="37" t="s">
        <v>123</v>
      </c>
      <c r="K412" s="37">
        <v>3</v>
      </c>
      <c r="L412" s="45" t="str">
        <f>VLOOKUP(K412,Key!$A$24:$B$29,2,FALSE)</f>
        <v>40-49</v>
      </c>
      <c r="M412" s="37" t="s">
        <v>175</v>
      </c>
      <c r="N412" s="32" t="s">
        <v>175</v>
      </c>
      <c r="O412" s="37" t="s">
        <v>168</v>
      </c>
      <c r="P412" s="39">
        <v>6</v>
      </c>
      <c r="Q412" s="34" t="str">
        <f>VLOOKUP(P412,Key!$E$2:$F$9,2,FALSE)</f>
        <v>Leisure/Social</v>
      </c>
      <c r="R412" s="37" t="s">
        <v>354</v>
      </c>
      <c r="S412" s="32" t="s">
        <v>167</v>
      </c>
      <c r="T412" s="37" t="s">
        <v>168</v>
      </c>
      <c r="U412" s="32">
        <v>4</v>
      </c>
      <c r="V412" s="34" t="str">
        <f>VLOOKUP(U412,Key!$E$2:$F$9,2,FALSE)</f>
        <v>Commercial</v>
      </c>
      <c r="W412" s="34" t="str">
        <f t="shared" si="13"/>
        <v>Leisure/Social-Commercial</v>
      </c>
      <c r="X412" s="47">
        <v>120000</v>
      </c>
      <c r="Y412" s="38">
        <v>170</v>
      </c>
      <c r="Z412" s="38">
        <v>5</v>
      </c>
      <c r="AA412" s="32">
        <v>7</v>
      </c>
      <c r="AB412" s="34" t="str">
        <f>VLOOKUP(AA412,Key!$C$20:$D$29,2,FALSE)</f>
        <v>Farmer</v>
      </c>
      <c r="AC412" s="32">
        <v>1</v>
      </c>
      <c r="AD412" s="34" t="str">
        <f>VLOOKUP(AC412,Key!$E$20:$F$24,2,FALSE)</f>
        <v>&lt;300,000</v>
      </c>
      <c r="AE412" s="32">
        <v>1</v>
      </c>
      <c r="AF412" s="55">
        <v>1</v>
      </c>
      <c r="AG412" s="55">
        <v>1</v>
      </c>
      <c r="AH412" s="55">
        <v>1</v>
      </c>
      <c r="AI412" s="55">
        <v>1</v>
      </c>
      <c r="AJ412" s="39" t="s">
        <v>104</v>
      </c>
      <c r="AK412" s="40"/>
      <c r="AL412" s="24"/>
      <c r="AM412" s="24"/>
    </row>
    <row r="413" spans="2:39" hidden="1" x14ac:dyDescent="0.2">
      <c r="B413" s="50">
        <v>43686</v>
      </c>
      <c r="C413" s="35">
        <v>0.71527777777777779</v>
      </c>
      <c r="D413" s="35"/>
      <c r="E413" s="35" t="s">
        <v>111</v>
      </c>
      <c r="F413" s="37">
        <v>2</v>
      </c>
      <c r="G413" s="42" t="str">
        <f>VLOOKUP(F413,Key!$A$17:$B$21,2,FALSE)</f>
        <v>Road Vehicle</v>
      </c>
      <c r="H413" s="36">
        <v>3</v>
      </c>
      <c r="I413" s="43" t="str">
        <f>VLOOKUP(H413,Key!$A$2:$B$13,2,FALSE)</f>
        <v>Pickups</v>
      </c>
      <c r="J413" s="37" t="s">
        <v>123</v>
      </c>
      <c r="K413" s="37">
        <v>3</v>
      </c>
      <c r="L413" s="45" t="str">
        <f>VLOOKUP(K413,Key!$A$24:$B$29,2,FALSE)</f>
        <v>40-49</v>
      </c>
      <c r="M413" s="37" t="s">
        <v>356</v>
      </c>
      <c r="N413" s="32" t="s">
        <v>357</v>
      </c>
      <c r="O413" s="37" t="s">
        <v>168</v>
      </c>
      <c r="P413" s="39">
        <v>1</v>
      </c>
      <c r="Q413" s="34" t="str">
        <f>VLOOKUP(P413,Key!$E$2:$F$9,2,FALSE)</f>
        <v>Home</v>
      </c>
      <c r="R413" s="37" t="s">
        <v>167</v>
      </c>
      <c r="S413" s="32" t="s">
        <v>167</v>
      </c>
      <c r="T413" s="37" t="s">
        <v>168</v>
      </c>
      <c r="U413" s="32">
        <v>7</v>
      </c>
      <c r="V413" s="34" t="str">
        <f>VLOOKUP(U413,Key!$E$2:$F$9,2,FALSE)</f>
        <v>Hospital</v>
      </c>
      <c r="W413" s="34" t="str">
        <f t="shared" si="13"/>
        <v>Home-Hospital</v>
      </c>
      <c r="X413" s="47">
        <v>150000</v>
      </c>
      <c r="Y413" s="38">
        <v>200</v>
      </c>
      <c r="Z413" s="38">
        <v>4</v>
      </c>
      <c r="AA413" s="32">
        <v>1</v>
      </c>
      <c r="AB413" s="34" t="str">
        <f>VLOOKUP(AA413,Key!$C$20:$D$29,2,FALSE)</f>
        <v>Unemployed</v>
      </c>
      <c r="AC413" s="32">
        <v>1</v>
      </c>
      <c r="AD413" s="34" t="str">
        <f>VLOOKUP(AC413,Key!$E$20:$F$24,2,FALSE)</f>
        <v>&lt;300,000</v>
      </c>
      <c r="AE413" s="32">
        <v>1</v>
      </c>
      <c r="AF413" s="55">
        <v>1</v>
      </c>
      <c r="AG413" s="55">
        <v>1</v>
      </c>
      <c r="AH413" s="55">
        <v>1</v>
      </c>
      <c r="AI413" s="55">
        <v>1</v>
      </c>
      <c r="AJ413" s="39" t="s">
        <v>104</v>
      </c>
      <c r="AK413" s="40"/>
      <c r="AL413" s="24"/>
      <c r="AM413" s="24"/>
    </row>
    <row r="414" spans="2:39" hidden="1" x14ac:dyDescent="0.2">
      <c r="B414" s="50">
        <v>43689</v>
      </c>
      <c r="C414" s="35">
        <v>0.60763888888888895</v>
      </c>
      <c r="D414" s="35"/>
      <c r="E414" s="35" t="s">
        <v>111</v>
      </c>
      <c r="F414" s="37">
        <v>2</v>
      </c>
      <c r="G414" s="42" t="str">
        <f>VLOOKUP(F414,Key!$A$17:$B$21,2,FALSE)</f>
        <v>Road Vehicle</v>
      </c>
      <c r="H414" s="36">
        <v>3</v>
      </c>
      <c r="I414" s="43" t="str">
        <f>VLOOKUP(H414,Key!$A$2:$B$13,2,FALSE)</f>
        <v>Pickups</v>
      </c>
      <c r="J414" s="37" t="s">
        <v>123</v>
      </c>
      <c r="K414" s="37">
        <v>1</v>
      </c>
      <c r="L414" s="45" t="str">
        <f>VLOOKUP(K414,Key!$A$24:$B$29,2,FALSE)</f>
        <v>20-29</v>
      </c>
      <c r="M414" s="37" t="s">
        <v>169</v>
      </c>
      <c r="N414" s="32" t="s">
        <v>169</v>
      </c>
      <c r="O414" s="37" t="s">
        <v>168</v>
      </c>
      <c r="P414" s="39">
        <v>1</v>
      </c>
      <c r="Q414" s="34" t="str">
        <f>VLOOKUP(P414,Key!$E$2:$F$9,2,FALSE)</f>
        <v>Home</v>
      </c>
      <c r="R414" s="37" t="s">
        <v>176</v>
      </c>
      <c r="S414" s="32" t="s">
        <v>176</v>
      </c>
      <c r="T414" s="37" t="s">
        <v>168</v>
      </c>
      <c r="U414" s="32">
        <v>6</v>
      </c>
      <c r="V414" s="34" t="str">
        <f>VLOOKUP(U414,Key!$E$2:$F$9,2,FALSE)</f>
        <v>Leisure/Social</v>
      </c>
      <c r="W414" s="34" t="str">
        <f t="shared" si="13"/>
        <v>Home-Leisure/Social</v>
      </c>
      <c r="X414" s="47">
        <v>100000</v>
      </c>
      <c r="Y414" s="38">
        <v>200</v>
      </c>
      <c r="Z414" s="38">
        <v>6</v>
      </c>
      <c r="AA414" s="32">
        <v>7</v>
      </c>
      <c r="AB414" s="34" t="str">
        <f>VLOOKUP(AA414,Key!$C$20:$D$29,2,FALSE)</f>
        <v>Farmer</v>
      </c>
      <c r="AC414" s="32">
        <v>2</v>
      </c>
      <c r="AD414" s="34" t="str">
        <f>VLOOKUP(AC414,Key!$E$20:$F$24,2,FALSE)</f>
        <v>300,000-500,000</v>
      </c>
      <c r="AE414" s="32">
        <v>2</v>
      </c>
      <c r="AF414" s="55">
        <v>3</v>
      </c>
      <c r="AG414" s="55">
        <v>4</v>
      </c>
      <c r="AH414" s="55">
        <v>1</v>
      </c>
      <c r="AI414" s="55">
        <v>5</v>
      </c>
      <c r="AJ414" s="39" t="s">
        <v>104</v>
      </c>
      <c r="AK414" s="40">
        <v>3000</v>
      </c>
      <c r="AL414" s="24"/>
      <c r="AM414" s="24"/>
    </row>
    <row r="415" spans="2:39" hidden="1" x14ac:dyDescent="0.2">
      <c r="B415" s="50">
        <v>43686</v>
      </c>
      <c r="C415" s="35">
        <v>0.54861111111111105</v>
      </c>
      <c r="D415" s="35"/>
      <c r="E415" s="35" t="s">
        <v>111</v>
      </c>
      <c r="F415" s="37">
        <v>2</v>
      </c>
      <c r="G415" s="42" t="str">
        <f>VLOOKUP(F415,Key!$A$17:$B$21,2,FALSE)</f>
        <v>Road Vehicle</v>
      </c>
      <c r="H415" s="36">
        <v>3</v>
      </c>
      <c r="I415" s="43" t="str">
        <f>VLOOKUP(H415,Key!$A$2:$B$13,2,FALSE)</f>
        <v>Pickups</v>
      </c>
      <c r="J415" s="37" t="s">
        <v>123</v>
      </c>
      <c r="K415" s="37">
        <v>2</v>
      </c>
      <c r="L415" s="45" t="str">
        <f>VLOOKUP(K415,Key!$A$24:$B$29,2,FALSE)</f>
        <v>30-39</v>
      </c>
      <c r="M415" s="37" t="s">
        <v>178</v>
      </c>
      <c r="N415" s="32" t="s">
        <v>178</v>
      </c>
      <c r="O415" s="37" t="s">
        <v>168</v>
      </c>
      <c r="P415" s="39">
        <v>1</v>
      </c>
      <c r="Q415" s="34" t="str">
        <f>VLOOKUP(P415,Key!$E$2:$F$9,2,FALSE)</f>
        <v>Home</v>
      </c>
      <c r="R415" s="37" t="s">
        <v>167</v>
      </c>
      <c r="S415" s="32" t="s">
        <v>167</v>
      </c>
      <c r="T415" s="37" t="s">
        <v>168</v>
      </c>
      <c r="U415" s="32">
        <v>6</v>
      </c>
      <c r="V415" s="34" t="str">
        <f>VLOOKUP(U415,Key!$E$2:$F$9,2,FALSE)</f>
        <v>Leisure/Social</v>
      </c>
      <c r="W415" s="34" t="str">
        <f t="shared" si="13"/>
        <v>Home-Leisure/Social</v>
      </c>
      <c r="X415" s="47">
        <v>110000</v>
      </c>
      <c r="Y415" s="38">
        <v>250</v>
      </c>
      <c r="Z415" s="38">
        <v>5</v>
      </c>
      <c r="AA415" s="32">
        <v>5</v>
      </c>
      <c r="AB415" s="34" t="str">
        <f>VLOOKUP(AA415,Key!$C$20:$D$29,2,FALSE)</f>
        <v>Professional</v>
      </c>
      <c r="AC415" s="32">
        <v>3</v>
      </c>
      <c r="AD415" s="34" t="str">
        <f>VLOOKUP(AC415,Key!$E$20:$F$24,2,FALSE)</f>
        <v>500,000-750,000</v>
      </c>
      <c r="AE415" s="32">
        <v>1</v>
      </c>
      <c r="AF415" s="55">
        <v>3</v>
      </c>
      <c r="AG415" s="55">
        <v>4</v>
      </c>
      <c r="AH415" s="55">
        <v>2</v>
      </c>
      <c r="AI415" s="55">
        <v>4</v>
      </c>
      <c r="AJ415" s="39" t="s">
        <v>104</v>
      </c>
      <c r="AK415" s="40"/>
      <c r="AL415" s="24"/>
      <c r="AM415" s="24"/>
    </row>
    <row r="416" spans="2:39" hidden="1" x14ac:dyDescent="0.2">
      <c r="B416" s="50">
        <v>43686</v>
      </c>
      <c r="C416" s="35">
        <v>0.65833333333333333</v>
      </c>
      <c r="D416" s="35"/>
      <c r="E416" s="35" t="s">
        <v>111</v>
      </c>
      <c r="F416" s="37">
        <v>2</v>
      </c>
      <c r="G416" s="42" t="str">
        <f>VLOOKUP(F416,Key!$A$17:$B$21,2,FALSE)</f>
        <v>Road Vehicle</v>
      </c>
      <c r="H416" s="36">
        <v>3</v>
      </c>
      <c r="I416" s="43" t="str">
        <f>VLOOKUP(H416,Key!$A$2:$B$13,2,FALSE)</f>
        <v>Pickups</v>
      </c>
      <c r="J416" s="37" t="s">
        <v>123</v>
      </c>
      <c r="K416" s="37">
        <v>3</v>
      </c>
      <c r="L416" s="45" t="str">
        <f>VLOOKUP(K416,Key!$A$24:$B$29,2,FALSE)</f>
        <v>40-49</v>
      </c>
      <c r="M416" s="37" t="s">
        <v>236</v>
      </c>
      <c r="N416" s="32" t="s">
        <v>236</v>
      </c>
      <c r="O416" s="37" t="s">
        <v>168</v>
      </c>
      <c r="P416" s="39">
        <v>2</v>
      </c>
      <c r="Q416" s="34" t="str">
        <f>VLOOKUP(P416,Key!$E$2:$F$9,2,FALSE)</f>
        <v>Work</v>
      </c>
      <c r="R416" s="37" t="s">
        <v>222</v>
      </c>
      <c r="S416" s="32" t="s">
        <v>176</v>
      </c>
      <c r="T416" s="37" t="s">
        <v>168</v>
      </c>
      <c r="U416" s="32">
        <v>1</v>
      </c>
      <c r="V416" s="34" t="str">
        <f>VLOOKUP(U416,Key!$E$2:$F$9,2,FALSE)</f>
        <v>Home</v>
      </c>
      <c r="W416" s="34" t="str">
        <f t="shared" si="13"/>
        <v>Work-Home</v>
      </c>
      <c r="X416" s="47">
        <v>150000</v>
      </c>
      <c r="Y416" s="38">
        <v>300</v>
      </c>
      <c r="Z416" s="38">
        <v>7</v>
      </c>
      <c r="AA416" s="32">
        <v>4</v>
      </c>
      <c r="AB416" s="34" t="str">
        <f>VLOOKUP(AA416,Key!$C$20:$D$29,2,FALSE)</f>
        <v>Office Worker</v>
      </c>
      <c r="AC416" s="32">
        <v>5</v>
      </c>
      <c r="AD416" s="34" t="str">
        <f>VLOOKUP(AC416,Key!$E$20:$F$24,2,FALSE)</f>
        <v>&gt;1,000,000</v>
      </c>
      <c r="AE416" s="32">
        <v>1</v>
      </c>
      <c r="AF416" s="55">
        <v>1</v>
      </c>
      <c r="AG416" s="55">
        <v>1</v>
      </c>
      <c r="AH416" s="55">
        <v>1</v>
      </c>
      <c r="AI416" s="55">
        <v>1</v>
      </c>
      <c r="AJ416" s="39" t="s">
        <v>104</v>
      </c>
      <c r="AK416" s="40">
        <v>10000</v>
      </c>
      <c r="AL416" s="24"/>
      <c r="AM416" s="24"/>
    </row>
    <row r="417" spans="2:39" hidden="1" x14ac:dyDescent="0.2">
      <c r="B417" s="50">
        <v>43688</v>
      </c>
      <c r="C417" s="35">
        <v>0.49652777777777773</v>
      </c>
      <c r="D417" s="35"/>
      <c r="E417" s="35" t="s">
        <v>111</v>
      </c>
      <c r="F417" s="37">
        <v>2</v>
      </c>
      <c r="G417" s="42" t="str">
        <f>VLOOKUP(F417,Key!$A$17:$B$21,2,FALSE)</f>
        <v>Road Vehicle</v>
      </c>
      <c r="H417" s="36">
        <v>3</v>
      </c>
      <c r="I417" s="43" t="str">
        <f>VLOOKUP(H417,Key!$A$2:$B$13,2,FALSE)</f>
        <v>Pickups</v>
      </c>
      <c r="J417" s="37" t="s">
        <v>123</v>
      </c>
      <c r="K417" s="13">
        <v>3</v>
      </c>
      <c r="L417" s="45" t="str">
        <f>VLOOKUP(K417,Key!$A$24:$B$29,2,FALSE)</f>
        <v>40-49</v>
      </c>
      <c r="M417" s="44" t="s">
        <v>174</v>
      </c>
      <c r="N417" s="32" t="s">
        <v>174</v>
      </c>
      <c r="O417" s="37" t="s">
        <v>168</v>
      </c>
      <c r="P417" s="39">
        <v>4</v>
      </c>
      <c r="Q417" s="34" t="str">
        <f>VLOOKUP(P417,Key!$E$2:$F$9,2,FALSE)</f>
        <v>Commercial</v>
      </c>
      <c r="R417" s="37" t="s">
        <v>167</v>
      </c>
      <c r="S417" s="32" t="s">
        <v>167</v>
      </c>
      <c r="T417" s="37" t="s">
        <v>168</v>
      </c>
      <c r="U417" s="32">
        <v>1</v>
      </c>
      <c r="V417" s="34" t="str">
        <f>VLOOKUP(U417,Key!$E$2:$F$9,2,FALSE)</f>
        <v>Home</v>
      </c>
      <c r="W417" s="34" t="str">
        <f t="shared" si="13"/>
        <v>Commercial-Home</v>
      </c>
      <c r="X417" s="47">
        <v>400000</v>
      </c>
      <c r="Y417" s="38">
        <v>340</v>
      </c>
      <c r="Z417" s="38">
        <v>8</v>
      </c>
      <c r="AA417" s="32">
        <v>10</v>
      </c>
      <c r="AB417" s="34" t="str">
        <f>VLOOKUP(AA417,Key!$C$20:$D$29,2,FALSE)</f>
        <v>Other</v>
      </c>
      <c r="AC417" s="32">
        <v>2</v>
      </c>
      <c r="AD417" s="34" t="str">
        <f>VLOOKUP(AC417,Key!$E$20:$F$24,2,FALSE)</f>
        <v>300,000-500,000</v>
      </c>
      <c r="AE417" s="32"/>
      <c r="AF417" s="55"/>
      <c r="AG417" s="55"/>
      <c r="AH417" s="55"/>
      <c r="AI417" s="55"/>
      <c r="AJ417" s="39" t="s">
        <v>104</v>
      </c>
      <c r="AK417" s="40">
        <v>10000</v>
      </c>
      <c r="AL417" s="24"/>
      <c r="AM417" s="24"/>
    </row>
    <row r="418" spans="2:39" hidden="1" x14ac:dyDescent="0.2">
      <c r="B418" s="50">
        <v>43690</v>
      </c>
      <c r="C418" s="35">
        <v>0.52430555555555558</v>
      </c>
      <c r="D418" s="35"/>
      <c r="E418" s="35" t="s">
        <v>111</v>
      </c>
      <c r="F418" s="37">
        <v>2</v>
      </c>
      <c r="G418" s="42" t="str">
        <f>VLOOKUP(F418,Key!$A$17:$B$21,2,FALSE)</f>
        <v>Road Vehicle</v>
      </c>
      <c r="H418" s="36">
        <v>3</v>
      </c>
      <c r="I418" s="43" t="str">
        <f>VLOOKUP(H418,Key!$A$2:$B$13,2,FALSE)</f>
        <v>Pickups</v>
      </c>
      <c r="J418" s="37" t="s">
        <v>123</v>
      </c>
      <c r="K418" s="37">
        <v>2</v>
      </c>
      <c r="L418" s="45" t="str">
        <f>VLOOKUP(K418,Key!$A$24:$B$29,2,FALSE)</f>
        <v>30-39</v>
      </c>
      <c r="M418" s="37" t="s">
        <v>167</v>
      </c>
      <c r="N418" s="32" t="s">
        <v>167</v>
      </c>
      <c r="O418" s="37" t="s">
        <v>168</v>
      </c>
      <c r="P418" s="39">
        <v>2</v>
      </c>
      <c r="Q418" s="34" t="str">
        <f>VLOOKUP(P418,Key!$E$2:$F$9,2,FALSE)</f>
        <v>Work</v>
      </c>
      <c r="R418" s="37" t="s">
        <v>241</v>
      </c>
      <c r="S418" s="32" t="s">
        <v>241</v>
      </c>
      <c r="T418" s="37" t="s">
        <v>168</v>
      </c>
      <c r="U418" s="32">
        <v>4</v>
      </c>
      <c r="V418" s="34" t="str">
        <f>VLOOKUP(U418,Key!$E$2:$F$9,2,FALSE)</f>
        <v>Commercial</v>
      </c>
      <c r="W418" s="34" t="str">
        <f t="shared" si="13"/>
        <v>Work-Commercial</v>
      </c>
      <c r="X418" s="47">
        <v>180000</v>
      </c>
      <c r="Y418" s="38">
        <v>350</v>
      </c>
      <c r="Z418" s="38">
        <v>7</v>
      </c>
      <c r="AA418" s="32">
        <v>10</v>
      </c>
      <c r="AB418" s="34" t="str">
        <f>VLOOKUP(AA418,Key!$C$20:$D$29,2,FALSE)</f>
        <v>Other</v>
      </c>
      <c r="AC418" s="32">
        <v>2</v>
      </c>
      <c r="AD418" s="34" t="str">
        <f>VLOOKUP(AC418,Key!$E$20:$F$24,2,FALSE)</f>
        <v>300,000-500,000</v>
      </c>
      <c r="AE418" s="32">
        <v>2</v>
      </c>
      <c r="AF418" s="55">
        <v>3</v>
      </c>
      <c r="AG418" s="55">
        <v>2</v>
      </c>
      <c r="AH418" s="55">
        <v>1</v>
      </c>
      <c r="AI418" s="55">
        <v>5</v>
      </c>
      <c r="AJ418" s="39" t="s">
        <v>104</v>
      </c>
      <c r="AK418" s="40">
        <v>4000</v>
      </c>
      <c r="AL418" s="24"/>
      <c r="AM418" s="24"/>
    </row>
    <row r="419" spans="2:39" hidden="1" x14ac:dyDescent="0.2">
      <c r="B419" s="50">
        <v>43686</v>
      </c>
      <c r="C419" s="35">
        <v>0.57847222222222217</v>
      </c>
      <c r="D419" s="35"/>
      <c r="E419" s="35" t="s">
        <v>111</v>
      </c>
      <c r="F419" s="37">
        <v>2</v>
      </c>
      <c r="G419" s="42" t="str">
        <f>VLOOKUP(F419,Key!$A$17:$B$21,2,FALSE)</f>
        <v>Road Vehicle</v>
      </c>
      <c r="H419" s="36">
        <v>3</v>
      </c>
      <c r="I419" s="43" t="str">
        <f>VLOOKUP(H419,Key!$A$2:$B$13,2,FALSE)</f>
        <v>Pickups</v>
      </c>
      <c r="J419" s="37" t="s">
        <v>123</v>
      </c>
      <c r="K419" s="13">
        <v>2</v>
      </c>
      <c r="L419" s="45" t="str">
        <f>VLOOKUP(K419,Key!$A$24:$B$29,2,FALSE)</f>
        <v>30-39</v>
      </c>
      <c r="M419" s="44" t="s">
        <v>167</v>
      </c>
      <c r="N419" s="32" t="s">
        <v>167</v>
      </c>
      <c r="O419" s="37" t="s">
        <v>168</v>
      </c>
      <c r="P419" s="39">
        <v>2</v>
      </c>
      <c r="Q419" s="34" t="str">
        <f>VLOOKUP(P419,Key!$E$2:$F$9,2,FALSE)</f>
        <v>Work</v>
      </c>
      <c r="R419" s="37" t="s">
        <v>177</v>
      </c>
      <c r="S419" s="32" t="s">
        <v>177</v>
      </c>
      <c r="T419" s="37" t="s">
        <v>168</v>
      </c>
      <c r="U419" s="32">
        <v>4</v>
      </c>
      <c r="V419" s="34" t="str">
        <f>VLOOKUP(U419,Key!$E$2:$F$9,2,FALSE)</f>
        <v>Commercial</v>
      </c>
      <c r="W419" s="34" t="str">
        <f t="shared" si="13"/>
        <v>Work-Commercial</v>
      </c>
      <c r="X419" s="47">
        <v>700000</v>
      </c>
      <c r="Y419" s="38">
        <v>500</v>
      </c>
      <c r="Z419" s="38">
        <v>8</v>
      </c>
      <c r="AA419" s="32">
        <v>5</v>
      </c>
      <c r="AB419" s="34" t="str">
        <f>VLOOKUP(AA419,Key!$C$20:$D$29,2,FALSE)</f>
        <v>Professional</v>
      </c>
      <c r="AC419" s="32">
        <v>3</v>
      </c>
      <c r="AD419" s="34" t="str">
        <f>VLOOKUP(AC419,Key!$E$20:$F$24,2,FALSE)</f>
        <v>500,000-750,000</v>
      </c>
      <c r="AE419" s="32">
        <v>1</v>
      </c>
      <c r="AF419" s="55">
        <v>2</v>
      </c>
      <c r="AG419" s="55">
        <v>3</v>
      </c>
      <c r="AH419" s="55">
        <v>1</v>
      </c>
      <c r="AI419" s="55">
        <v>4</v>
      </c>
      <c r="AJ419" s="39" t="s">
        <v>104</v>
      </c>
      <c r="AK419" s="40"/>
      <c r="AL419" s="24"/>
      <c r="AM419" s="24"/>
    </row>
    <row r="420" spans="2:39" hidden="1" x14ac:dyDescent="0.2">
      <c r="B420" s="50">
        <v>43690</v>
      </c>
      <c r="C420" s="35">
        <v>0.57291666666666663</v>
      </c>
      <c r="D420" s="35"/>
      <c r="E420" s="35" t="s">
        <v>111</v>
      </c>
      <c r="F420" s="37">
        <v>2</v>
      </c>
      <c r="G420" s="42" t="str">
        <f>VLOOKUP(F420,Key!$A$17:$B$21,2,FALSE)</f>
        <v>Road Vehicle</v>
      </c>
      <c r="H420" s="36">
        <v>3</v>
      </c>
      <c r="I420" s="43" t="str">
        <f>VLOOKUP(H420,Key!$A$2:$B$13,2,FALSE)</f>
        <v>Pickups</v>
      </c>
      <c r="J420" s="37" t="s">
        <v>123</v>
      </c>
      <c r="K420" s="37">
        <v>2</v>
      </c>
      <c r="L420" s="45" t="str">
        <f>VLOOKUP(K420,Key!$A$24:$B$29,2,FALSE)</f>
        <v>30-39</v>
      </c>
      <c r="M420" s="37" t="s">
        <v>167</v>
      </c>
      <c r="N420" s="32" t="s">
        <v>167</v>
      </c>
      <c r="O420" s="37" t="s">
        <v>168</v>
      </c>
      <c r="P420" s="39">
        <v>1</v>
      </c>
      <c r="Q420" s="34" t="str">
        <f>VLOOKUP(P420,Key!$E$2:$F$9,2,FALSE)</f>
        <v>Home</v>
      </c>
      <c r="R420" s="37" t="s">
        <v>175</v>
      </c>
      <c r="S420" s="32" t="s">
        <v>175</v>
      </c>
      <c r="T420" s="37" t="s">
        <v>168</v>
      </c>
      <c r="U420" s="32">
        <v>4</v>
      </c>
      <c r="V420" s="34" t="str">
        <f>VLOOKUP(U420,Key!$E$2:$F$9,2,FALSE)</f>
        <v>Commercial</v>
      </c>
      <c r="W420" s="34" t="str">
        <f t="shared" si="13"/>
        <v>Home-Commercial</v>
      </c>
      <c r="X420" s="47">
        <v>240000</v>
      </c>
      <c r="Y420" s="38">
        <v>700</v>
      </c>
      <c r="Z420" s="38">
        <v>10</v>
      </c>
      <c r="AA420" s="32">
        <v>6</v>
      </c>
      <c r="AB420" s="34" t="str">
        <f>VLOOKUP(AA420,Key!$C$20:$D$29,2,FALSE)</f>
        <v>Businessman</v>
      </c>
      <c r="AC420" s="32">
        <v>5</v>
      </c>
      <c r="AD420" s="34" t="str">
        <f>VLOOKUP(AC420,Key!$E$20:$F$24,2,FALSE)</f>
        <v>&gt;1,000,000</v>
      </c>
      <c r="AE420" s="32">
        <v>2</v>
      </c>
      <c r="AF420" s="55">
        <v>3</v>
      </c>
      <c r="AG420" s="55">
        <v>4</v>
      </c>
      <c r="AH420" s="55">
        <v>1</v>
      </c>
      <c r="AI420" s="55"/>
      <c r="AJ420" s="39" t="s">
        <v>104</v>
      </c>
      <c r="AK420" s="40">
        <v>10000</v>
      </c>
      <c r="AL420" s="24"/>
      <c r="AM420" s="24"/>
    </row>
    <row r="421" spans="2:39" hidden="1" x14ac:dyDescent="0.2">
      <c r="B421" s="50">
        <v>43687</v>
      </c>
      <c r="C421" s="35">
        <v>0.70833333333333337</v>
      </c>
      <c r="D421" s="35"/>
      <c r="E421" s="35" t="s">
        <v>111</v>
      </c>
      <c r="F421" s="37">
        <v>2</v>
      </c>
      <c r="G421" s="42" t="str">
        <f>VLOOKUP(F421,Key!$A$17:$B$21,2,FALSE)</f>
        <v>Road Vehicle</v>
      </c>
      <c r="H421" s="36">
        <v>3</v>
      </c>
      <c r="I421" s="43" t="str">
        <f>VLOOKUP(H421,Key!$A$2:$B$13,2,FALSE)</f>
        <v>Pickups</v>
      </c>
      <c r="J421" s="37" t="s">
        <v>123</v>
      </c>
      <c r="K421" s="37">
        <v>4</v>
      </c>
      <c r="L421" s="45" t="str">
        <f>VLOOKUP(K421,Key!$A$24:$B$29,2,FALSE)</f>
        <v>50-59</v>
      </c>
      <c r="M421" s="37" t="s">
        <v>167</v>
      </c>
      <c r="N421" s="32" t="s">
        <v>167</v>
      </c>
      <c r="O421" s="37" t="s">
        <v>168</v>
      </c>
      <c r="P421" s="39">
        <v>2</v>
      </c>
      <c r="Q421" s="34" t="str">
        <f>VLOOKUP(P421,Key!$E$2:$F$9,2,FALSE)</f>
        <v>Work</v>
      </c>
      <c r="R421" s="37" t="s">
        <v>175</v>
      </c>
      <c r="S421" s="32" t="s">
        <v>175</v>
      </c>
      <c r="T421" s="37" t="s">
        <v>168</v>
      </c>
      <c r="U421" s="32">
        <v>6</v>
      </c>
      <c r="V421" s="34" t="str">
        <f>VLOOKUP(U421,Key!$E$2:$F$9,2,FALSE)</f>
        <v>Leisure/Social</v>
      </c>
      <c r="W421" s="34" t="str">
        <f t="shared" si="13"/>
        <v>Work-Leisure/Social</v>
      </c>
      <c r="X421" s="47">
        <v>250000</v>
      </c>
      <c r="Y421" s="38">
        <v>700</v>
      </c>
      <c r="Z421" s="38">
        <v>11</v>
      </c>
      <c r="AA421" s="32">
        <v>5</v>
      </c>
      <c r="AB421" s="34" t="str">
        <f>VLOOKUP(AA421,Key!$C$20:$D$29,2,FALSE)</f>
        <v>Professional</v>
      </c>
      <c r="AC421" s="32">
        <v>5</v>
      </c>
      <c r="AD421" s="34" t="str">
        <f>VLOOKUP(AC421,Key!$E$20:$F$24,2,FALSE)</f>
        <v>&gt;1,000,000</v>
      </c>
      <c r="AE421" s="32">
        <v>2</v>
      </c>
      <c r="AF421" s="55">
        <v>3</v>
      </c>
      <c r="AG421" s="55">
        <v>4</v>
      </c>
      <c r="AH421" s="55">
        <v>1</v>
      </c>
      <c r="AI421" s="55">
        <v>4</v>
      </c>
      <c r="AJ421" s="39" t="s">
        <v>104</v>
      </c>
      <c r="AK421" s="40">
        <v>10000</v>
      </c>
      <c r="AL421" s="24"/>
      <c r="AM421" s="24"/>
    </row>
    <row r="422" spans="2:39" hidden="1" x14ac:dyDescent="0.2">
      <c r="B422" s="50">
        <v>43689</v>
      </c>
      <c r="C422" s="35">
        <v>0.46875</v>
      </c>
      <c r="D422" s="35"/>
      <c r="E422" s="35" t="s">
        <v>111</v>
      </c>
      <c r="F422" s="37">
        <v>2</v>
      </c>
      <c r="G422" s="42" t="str">
        <f>VLOOKUP(F422,Key!$A$17:$B$21,2,FALSE)</f>
        <v>Road Vehicle</v>
      </c>
      <c r="H422" s="36">
        <v>3</v>
      </c>
      <c r="I422" s="43" t="str">
        <f>VLOOKUP(H422,Key!$A$2:$B$13,2,FALSE)</f>
        <v>Pickups</v>
      </c>
      <c r="J422" s="37" t="s">
        <v>123</v>
      </c>
      <c r="K422" s="37">
        <v>3</v>
      </c>
      <c r="L422" s="45" t="str">
        <f>VLOOKUP(K422,Key!$A$24:$B$29,2,FALSE)</f>
        <v>40-49</v>
      </c>
      <c r="M422" s="37" t="s">
        <v>214</v>
      </c>
      <c r="N422" s="32" t="s">
        <v>205</v>
      </c>
      <c r="O422" s="37" t="s">
        <v>168</v>
      </c>
      <c r="P422" s="39">
        <v>1</v>
      </c>
      <c r="Q422" s="34" t="str">
        <f>VLOOKUP(P422,Key!$E$2:$F$9,2,FALSE)</f>
        <v>Home</v>
      </c>
      <c r="R422" s="37" t="s">
        <v>216</v>
      </c>
      <c r="S422" s="32" t="s">
        <v>167</v>
      </c>
      <c r="T422" s="37" t="s">
        <v>168</v>
      </c>
      <c r="U422" s="32">
        <v>8</v>
      </c>
      <c r="V422" s="34" t="str">
        <f>VLOOKUP(U422,Key!$E$2:$F$9,2,FALSE)</f>
        <v>Others</v>
      </c>
      <c r="W422" s="34" t="str">
        <f t="shared" si="13"/>
        <v>Home-Others</v>
      </c>
      <c r="X422" s="47"/>
      <c r="Y422" s="38"/>
      <c r="Z422" s="38"/>
      <c r="AA422" s="32">
        <v>6</v>
      </c>
      <c r="AB422" s="34" t="str">
        <f>VLOOKUP(AA422,Key!$C$20:$D$29,2,FALSE)</f>
        <v>Businessman</v>
      </c>
      <c r="AC422" s="32">
        <v>3</v>
      </c>
      <c r="AD422" s="34" t="str">
        <f>VLOOKUP(AC422,Key!$E$20:$F$24,2,FALSE)</f>
        <v>500,000-750,000</v>
      </c>
      <c r="AE422" s="32">
        <v>1</v>
      </c>
      <c r="AF422" s="55">
        <v>1</v>
      </c>
      <c r="AG422" s="55">
        <v>2</v>
      </c>
      <c r="AH422" s="55">
        <v>1</v>
      </c>
      <c r="AI422" s="55">
        <v>2</v>
      </c>
      <c r="AJ422" s="39" t="s">
        <v>104</v>
      </c>
      <c r="AK422" s="40"/>
      <c r="AL422" s="24"/>
      <c r="AM422" s="24"/>
    </row>
    <row r="423" spans="2:39" hidden="1" x14ac:dyDescent="0.2">
      <c r="B423" s="50"/>
      <c r="C423" s="35"/>
      <c r="D423" s="35"/>
      <c r="E423" s="35"/>
      <c r="F423" s="37"/>
      <c r="G423" s="42"/>
      <c r="H423" s="36"/>
      <c r="I423" s="43"/>
      <c r="J423" s="37"/>
      <c r="K423" s="37"/>
      <c r="L423" s="45"/>
      <c r="M423" s="37"/>
      <c r="N423" s="32"/>
      <c r="O423" s="37"/>
      <c r="P423" s="39"/>
      <c r="Q423" s="34"/>
      <c r="R423" s="37"/>
      <c r="S423" s="32"/>
      <c r="T423" s="37"/>
      <c r="U423" s="32"/>
      <c r="V423" s="34"/>
      <c r="W423" s="34"/>
      <c r="X423" s="47"/>
      <c r="Y423" s="38"/>
      <c r="Z423" s="38"/>
      <c r="AA423" s="32"/>
      <c r="AB423" s="34"/>
      <c r="AC423" s="32"/>
      <c r="AD423" s="34"/>
      <c r="AE423" s="32"/>
      <c r="AF423" s="55"/>
      <c r="AG423" s="55"/>
      <c r="AH423" s="55"/>
      <c r="AI423" s="55"/>
      <c r="AJ423" s="39"/>
      <c r="AK423" s="40"/>
      <c r="AL423" s="24"/>
      <c r="AM423" s="24"/>
    </row>
    <row r="424" spans="2:39" hidden="1" x14ac:dyDescent="0.2">
      <c r="B424" s="50">
        <v>43689</v>
      </c>
      <c r="C424" s="35">
        <v>0.60069444444444442</v>
      </c>
      <c r="D424" s="35"/>
      <c r="E424" s="35" t="s">
        <v>111</v>
      </c>
      <c r="F424" s="37">
        <v>2</v>
      </c>
      <c r="G424" s="42" t="str">
        <f>VLOOKUP(F424,Key!$A$17:$B$21,2,FALSE)</f>
        <v>Road Vehicle</v>
      </c>
      <c r="H424" s="36">
        <v>2</v>
      </c>
      <c r="I424" s="43" t="str">
        <f>VLOOKUP(H424,Key!$A$2:$B$13,2,FALSE)</f>
        <v>Station Wagon</v>
      </c>
      <c r="J424" s="37" t="s">
        <v>123</v>
      </c>
      <c r="K424" s="37">
        <v>4</v>
      </c>
      <c r="L424" s="45" t="str">
        <f>VLOOKUP(K424,Key!$A$24:$B$29,2,FALSE)</f>
        <v>50-59</v>
      </c>
      <c r="M424" s="37" t="s">
        <v>256</v>
      </c>
      <c r="N424" s="32" t="s">
        <v>167</v>
      </c>
      <c r="O424" s="37" t="s">
        <v>168</v>
      </c>
      <c r="P424" s="39">
        <v>8</v>
      </c>
      <c r="Q424" s="34" t="str">
        <f>VLOOKUP(P424,Key!$E$2:$F$9,2,FALSE)</f>
        <v>Others</v>
      </c>
      <c r="R424" s="37" t="s">
        <v>257</v>
      </c>
      <c r="S424" s="32" t="s">
        <v>167</v>
      </c>
      <c r="T424" s="37" t="s">
        <v>168</v>
      </c>
      <c r="U424" s="32">
        <v>2</v>
      </c>
      <c r="V424" s="34" t="str">
        <f>VLOOKUP(U424,Key!$E$2:$F$9,2,FALSE)</f>
        <v>Work</v>
      </c>
      <c r="W424" s="34" t="str">
        <f t="shared" ref="W424:W455" si="14">Q424&amp;"-"&amp;V424</f>
        <v>Others-Work</v>
      </c>
      <c r="X424" s="47">
        <v>20000</v>
      </c>
      <c r="Y424" s="38">
        <v>5</v>
      </c>
      <c r="Z424" s="38">
        <v>0.2</v>
      </c>
      <c r="AA424" s="32">
        <v>5</v>
      </c>
      <c r="AB424" s="34" t="str">
        <f>VLOOKUP(AA424,Key!$C$20:$D$29,2,FALSE)</f>
        <v>Professional</v>
      </c>
      <c r="AC424" s="32">
        <v>2</v>
      </c>
      <c r="AD424" s="34" t="str">
        <f>VLOOKUP(AC424,Key!$E$20:$F$24,2,FALSE)</f>
        <v>300,000-500,000</v>
      </c>
      <c r="AE424" s="32"/>
      <c r="AF424" s="55"/>
      <c r="AG424" s="55"/>
      <c r="AH424" s="55"/>
      <c r="AI424" s="55"/>
      <c r="AJ424" s="39" t="s">
        <v>104</v>
      </c>
      <c r="AK424" s="40">
        <v>1000</v>
      </c>
      <c r="AL424" s="24"/>
      <c r="AM424" s="24"/>
    </row>
    <row r="425" spans="2:39" hidden="1" x14ac:dyDescent="0.2">
      <c r="B425" s="50">
        <v>43687</v>
      </c>
      <c r="C425" s="35">
        <v>0.4375</v>
      </c>
      <c r="D425" s="35"/>
      <c r="E425" s="35" t="s">
        <v>111</v>
      </c>
      <c r="F425" s="37">
        <v>2</v>
      </c>
      <c r="G425" s="42" t="str">
        <f>VLOOKUP(F425,Key!$A$17:$B$21,2,FALSE)</f>
        <v>Road Vehicle</v>
      </c>
      <c r="H425" s="36">
        <v>2</v>
      </c>
      <c r="I425" s="43" t="str">
        <f>VLOOKUP(H425,Key!$A$2:$B$13,2,FALSE)</f>
        <v>Station Wagon</v>
      </c>
      <c r="J425" s="37" t="s">
        <v>123</v>
      </c>
      <c r="K425" s="37">
        <v>3</v>
      </c>
      <c r="L425" s="45" t="str">
        <f>VLOOKUP(K425,Key!$A$24:$B$29,2,FALSE)</f>
        <v>40-49</v>
      </c>
      <c r="M425" s="37" t="s">
        <v>187</v>
      </c>
      <c r="N425" s="32" t="s">
        <v>167</v>
      </c>
      <c r="O425" s="37" t="s">
        <v>168</v>
      </c>
      <c r="P425" s="39">
        <v>1</v>
      </c>
      <c r="Q425" s="34" t="str">
        <f>VLOOKUP(P425,Key!$E$2:$F$9,2,FALSE)</f>
        <v>Home</v>
      </c>
      <c r="R425" s="37" t="s">
        <v>277</v>
      </c>
      <c r="S425" s="32" t="s">
        <v>167</v>
      </c>
      <c r="T425" s="37" t="s">
        <v>168</v>
      </c>
      <c r="U425" s="32">
        <v>6</v>
      </c>
      <c r="V425" s="34" t="str">
        <f>VLOOKUP(U425,Key!$E$2:$F$9,2,FALSE)</f>
        <v>Leisure/Social</v>
      </c>
      <c r="W425" s="34" t="str">
        <f t="shared" si="14"/>
        <v>Home-Leisure/Social</v>
      </c>
      <c r="X425" s="47">
        <v>10000</v>
      </c>
      <c r="Y425" s="38">
        <v>10</v>
      </c>
      <c r="Z425" s="38">
        <v>0.2</v>
      </c>
      <c r="AA425" s="32">
        <v>6</v>
      </c>
      <c r="AB425" s="34" t="str">
        <f>VLOOKUP(AA425,Key!$C$20:$D$29,2,FALSE)</f>
        <v>Businessman</v>
      </c>
      <c r="AC425" s="32">
        <v>5</v>
      </c>
      <c r="AD425" s="34" t="str">
        <f>VLOOKUP(AC425,Key!$E$20:$F$24,2,FALSE)</f>
        <v>&gt;1,000,000</v>
      </c>
      <c r="AE425" s="32">
        <v>2</v>
      </c>
      <c r="AF425" s="55">
        <v>1</v>
      </c>
      <c r="AG425" s="55">
        <v>3</v>
      </c>
      <c r="AH425" s="55">
        <v>1</v>
      </c>
      <c r="AI425" s="55">
        <v>3</v>
      </c>
      <c r="AJ425" s="39" t="s">
        <v>104</v>
      </c>
      <c r="AK425" s="40">
        <v>1000</v>
      </c>
      <c r="AL425" s="24"/>
      <c r="AM425" s="24"/>
    </row>
    <row r="426" spans="2:39" hidden="1" x14ac:dyDescent="0.2">
      <c r="B426" s="50">
        <v>43686</v>
      </c>
      <c r="C426" s="35">
        <v>0.71527777777777779</v>
      </c>
      <c r="D426" s="35"/>
      <c r="E426" s="35" t="s">
        <v>111</v>
      </c>
      <c r="F426" s="37">
        <v>2</v>
      </c>
      <c r="G426" s="42" t="str">
        <f>VLOOKUP(F426,Key!$A$17:$B$21,2,FALSE)</f>
        <v>Road Vehicle</v>
      </c>
      <c r="H426" s="36">
        <v>2</v>
      </c>
      <c r="I426" s="43" t="str">
        <f>VLOOKUP(H426,Key!$A$2:$B$13,2,FALSE)</f>
        <v>Station Wagon</v>
      </c>
      <c r="J426" s="37" t="s">
        <v>123</v>
      </c>
      <c r="K426" s="37">
        <v>3</v>
      </c>
      <c r="L426" s="45" t="str">
        <f>VLOOKUP(K426,Key!$A$24:$B$29,2,FALSE)</f>
        <v>40-49</v>
      </c>
      <c r="M426" s="37" t="s">
        <v>276</v>
      </c>
      <c r="N426" s="32" t="s">
        <v>167</v>
      </c>
      <c r="O426" s="37" t="s">
        <v>168</v>
      </c>
      <c r="P426" s="39">
        <v>1</v>
      </c>
      <c r="Q426" s="34" t="str">
        <f>VLOOKUP(P426,Key!$E$2:$F$9,2,FALSE)</f>
        <v>Home</v>
      </c>
      <c r="R426" s="37" t="s">
        <v>216</v>
      </c>
      <c r="S426" s="32" t="s">
        <v>167</v>
      </c>
      <c r="T426" s="37" t="s">
        <v>168</v>
      </c>
      <c r="U426" s="32">
        <v>2</v>
      </c>
      <c r="V426" s="34" t="str">
        <f>VLOOKUP(U426,Key!$E$2:$F$9,2,FALSE)</f>
        <v>Work</v>
      </c>
      <c r="W426" s="34" t="str">
        <f t="shared" si="14"/>
        <v>Home-Work</v>
      </c>
      <c r="X426" s="47">
        <v>10000</v>
      </c>
      <c r="Y426" s="38">
        <v>10</v>
      </c>
      <c r="Z426" s="38">
        <v>0.3</v>
      </c>
      <c r="AA426" s="32">
        <v>6</v>
      </c>
      <c r="AB426" s="34" t="str">
        <f>VLOOKUP(AA426,Key!$C$20:$D$29,2,FALSE)</f>
        <v>Businessman</v>
      </c>
      <c r="AC426" s="32">
        <v>5</v>
      </c>
      <c r="AD426" s="34" t="str">
        <f>VLOOKUP(AC426,Key!$E$20:$F$24,2,FALSE)</f>
        <v>&gt;1,000,000</v>
      </c>
      <c r="AE426" s="32">
        <v>1</v>
      </c>
      <c r="AF426" s="55">
        <v>1</v>
      </c>
      <c r="AG426" s="55">
        <v>1</v>
      </c>
      <c r="AH426" s="55">
        <v>1</v>
      </c>
      <c r="AI426" s="55">
        <v>1</v>
      </c>
      <c r="AJ426" s="39" t="s">
        <v>104</v>
      </c>
      <c r="AK426" s="40"/>
      <c r="AL426" s="24"/>
      <c r="AM426" s="24"/>
    </row>
    <row r="427" spans="2:39" hidden="1" x14ac:dyDescent="0.2">
      <c r="B427" s="50">
        <v>43686</v>
      </c>
      <c r="C427" s="35">
        <v>0.65763888888888888</v>
      </c>
      <c r="D427" s="35"/>
      <c r="E427" s="35" t="s">
        <v>111</v>
      </c>
      <c r="F427" s="37">
        <v>2</v>
      </c>
      <c r="G427" s="42" t="str">
        <f>VLOOKUP(F427,Key!$A$17:$B$21,2,FALSE)</f>
        <v>Road Vehicle</v>
      </c>
      <c r="H427" s="36">
        <v>2</v>
      </c>
      <c r="I427" s="43" t="str">
        <f>VLOOKUP(H427,Key!$A$2:$B$13,2,FALSE)</f>
        <v>Station Wagon</v>
      </c>
      <c r="J427" s="37" t="s">
        <v>123</v>
      </c>
      <c r="K427" s="37">
        <v>3</v>
      </c>
      <c r="L427" s="45" t="str">
        <f>VLOOKUP(K427,Key!$A$24:$B$29,2,FALSE)</f>
        <v>40-49</v>
      </c>
      <c r="M427" s="44" t="s">
        <v>167</v>
      </c>
      <c r="N427" s="32" t="s">
        <v>167</v>
      </c>
      <c r="O427" s="37" t="s">
        <v>168</v>
      </c>
      <c r="P427" s="39">
        <v>2</v>
      </c>
      <c r="Q427" s="34" t="str">
        <f>VLOOKUP(P427,Key!$E$2:$F$9,2,FALSE)</f>
        <v>Work</v>
      </c>
      <c r="R427" s="37" t="s">
        <v>187</v>
      </c>
      <c r="S427" s="32" t="s">
        <v>167</v>
      </c>
      <c r="T427" s="37" t="s">
        <v>168</v>
      </c>
      <c r="U427" s="32">
        <v>2</v>
      </c>
      <c r="V427" s="34" t="str">
        <f>VLOOKUP(U427,Key!$E$2:$F$9,2,FALSE)</f>
        <v>Work</v>
      </c>
      <c r="W427" s="34" t="str">
        <f t="shared" si="14"/>
        <v>Work-Work</v>
      </c>
      <c r="X427" s="47">
        <v>20000</v>
      </c>
      <c r="Y427" s="38">
        <v>10</v>
      </c>
      <c r="Z427" s="38">
        <v>0.5</v>
      </c>
      <c r="AA427" s="32">
        <v>5</v>
      </c>
      <c r="AB427" s="34" t="str">
        <f>VLOOKUP(AA427,Key!$C$20:$D$29,2,FALSE)</f>
        <v>Professional</v>
      </c>
      <c r="AC427" s="32">
        <v>3</v>
      </c>
      <c r="AD427" s="34" t="str">
        <f>VLOOKUP(AC427,Key!$E$20:$F$24,2,FALSE)</f>
        <v>500,000-750,000</v>
      </c>
      <c r="AE427" s="32">
        <v>1</v>
      </c>
      <c r="AF427" s="55">
        <v>2</v>
      </c>
      <c r="AG427" s="55">
        <v>1</v>
      </c>
      <c r="AH427" s="55">
        <v>1</v>
      </c>
      <c r="AI427" s="55">
        <v>1</v>
      </c>
      <c r="AJ427" s="39" t="s">
        <v>104</v>
      </c>
      <c r="AK427" s="40">
        <v>2000</v>
      </c>
      <c r="AL427" s="24"/>
      <c r="AM427" s="24"/>
    </row>
    <row r="428" spans="2:39" hidden="1" x14ac:dyDescent="0.2">
      <c r="B428" s="50">
        <v>43686</v>
      </c>
      <c r="C428" s="35">
        <v>0.65763888888888888</v>
      </c>
      <c r="D428" s="35"/>
      <c r="E428" s="35" t="s">
        <v>111</v>
      </c>
      <c r="F428" s="37">
        <v>2</v>
      </c>
      <c r="G428" s="42" t="str">
        <f>VLOOKUP(F428,Key!$A$17:$B$21,2,FALSE)</f>
        <v>Road Vehicle</v>
      </c>
      <c r="H428" s="36">
        <v>2</v>
      </c>
      <c r="I428" s="43" t="str">
        <f>VLOOKUP(H428,Key!$A$2:$B$13,2,FALSE)</f>
        <v>Station Wagon</v>
      </c>
      <c r="J428" s="37" t="s">
        <v>123</v>
      </c>
      <c r="K428" s="37">
        <v>2</v>
      </c>
      <c r="L428" s="45" t="str">
        <f>VLOOKUP(K428,Key!$A$24:$B$29,2,FALSE)</f>
        <v>30-39</v>
      </c>
      <c r="M428" s="37" t="s">
        <v>255</v>
      </c>
      <c r="N428" s="32" t="s">
        <v>167</v>
      </c>
      <c r="O428" s="37" t="s">
        <v>168</v>
      </c>
      <c r="P428" s="39">
        <v>2</v>
      </c>
      <c r="Q428" s="34" t="str">
        <f>VLOOKUP(P428,Key!$E$2:$F$9,2,FALSE)</f>
        <v>Work</v>
      </c>
      <c r="R428" s="37" t="s">
        <v>202</v>
      </c>
      <c r="S428" s="32" t="s">
        <v>179</v>
      </c>
      <c r="T428" s="37" t="s">
        <v>168</v>
      </c>
      <c r="U428" s="32">
        <v>1</v>
      </c>
      <c r="V428" s="34" t="str">
        <f>VLOOKUP(U428,Key!$E$2:$F$9,2,FALSE)</f>
        <v>Home</v>
      </c>
      <c r="W428" s="34" t="str">
        <f t="shared" si="14"/>
        <v>Work-Home</v>
      </c>
      <c r="X428" s="47">
        <v>20000</v>
      </c>
      <c r="Y428" s="38">
        <v>15</v>
      </c>
      <c r="Z428" s="38">
        <v>1</v>
      </c>
      <c r="AA428" s="32">
        <v>7</v>
      </c>
      <c r="AB428" s="34" t="str">
        <f>VLOOKUP(AA428,Key!$C$20:$D$29,2,FALSE)</f>
        <v>Farmer</v>
      </c>
      <c r="AC428" s="32">
        <v>1</v>
      </c>
      <c r="AD428" s="34" t="str">
        <f>VLOOKUP(AC428,Key!$E$20:$F$24,2,FALSE)</f>
        <v>&lt;300,000</v>
      </c>
      <c r="AE428" s="32">
        <v>2</v>
      </c>
      <c r="AF428" s="55">
        <v>1</v>
      </c>
      <c r="AG428" s="55">
        <v>1</v>
      </c>
      <c r="AH428" s="55">
        <v>1</v>
      </c>
      <c r="AI428" s="55">
        <v>1</v>
      </c>
      <c r="AJ428" s="39" t="s">
        <v>104</v>
      </c>
      <c r="AK428" s="40">
        <v>1000</v>
      </c>
      <c r="AL428" s="24"/>
      <c r="AM428" s="24"/>
    </row>
    <row r="429" spans="2:39" hidden="1" x14ac:dyDescent="0.2">
      <c r="B429" s="50">
        <v>43687</v>
      </c>
      <c r="C429" s="35">
        <v>0.60625000000000007</v>
      </c>
      <c r="D429" s="35"/>
      <c r="E429" s="35" t="s">
        <v>111</v>
      </c>
      <c r="F429" s="37">
        <v>2</v>
      </c>
      <c r="G429" s="42" t="str">
        <f>VLOOKUP(F429,Key!$A$17:$B$21,2,FALSE)</f>
        <v>Road Vehicle</v>
      </c>
      <c r="H429" s="36">
        <v>2</v>
      </c>
      <c r="I429" s="43" t="str">
        <f>VLOOKUP(H429,Key!$A$2:$B$13,2,FALSE)</f>
        <v>Station Wagon</v>
      </c>
      <c r="J429" s="37" t="s">
        <v>123</v>
      </c>
      <c r="K429" s="37">
        <v>2</v>
      </c>
      <c r="L429" s="45" t="str">
        <f>VLOOKUP(K429,Key!$A$24:$B$29,2,FALSE)</f>
        <v>30-39</v>
      </c>
      <c r="M429" s="37" t="s">
        <v>167</v>
      </c>
      <c r="N429" s="32" t="s">
        <v>167</v>
      </c>
      <c r="O429" s="37" t="s">
        <v>168</v>
      </c>
      <c r="P429" s="39">
        <v>2</v>
      </c>
      <c r="Q429" s="34" t="str">
        <f>VLOOKUP(P429,Key!$E$2:$F$9,2,FALSE)</f>
        <v>Work</v>
      </c>
      <c r="R429" s="37" t="s">
        <v>217</v>
      </c>
      <c r="S429" s="32" t="s">
        <v>176</v>
      </c>
      <c r="T429" s="37" t="s">
        <v>168</v>
      </c>
      <c r="U429" s="32">
        <v>1</v>
      </c>
      <c r="V429" s="34" t="str">
        <f>VLOOKUP(U429,Key!$E$2:$F$9,2,FALSE)</f>
        <v>Home</v>
      </c>
      <c r="W429" s="34" t="str">
        <f t="shared" si="14"/>
        <v>Work-Home</v>
      </c>
      <c r="X429" s="47">
        <v>50000</v>
      </c>
      <c r="Y429" s="38">
        <v>20</v>
      </c>
      <c r="Z429" s="38">
        <v>2</v>
      </c>
      <c r="AA429" s="32">
        <v>4</v>
      </c>
      <c r="AB429" s="34" t="str">
        <f>VLOOKUP(AA429,Key!$C$20:$D$29,2,FALSE)</f>
        <v>Office Worker</v>
      </c>
      <c r="AC429" s="32">
        <v>3</v>
      </c>
      <c r="AD429" s="34" t="str">
        <f>VLOOKUP(AC429,Key!$E$20:$F$24,2,FALSE)</f>
        <v>500,000-750,000</v>
      </c>
      <c r="AE429" s="32">
        <v>4</v>
      </c>
      <c r="AF429" s="55">
        <v>2</v>
      </c>
      <c r="AG429" s="55">
        <v>4</v>
      </c>
      <c r="AH429" s="55">
        <v>4</v>
      </c>
      <c r="AI429" s="55">
        <v>4</v>
      </c>
      <c r="AJ429" s="39" t="s">
        <v>104</v>
      </c>
      <c r="AK429" s="40">
        <v>2000</v>
      </c>
      <c r="AL429" s="24"/>
      <c r="AM429" s="24"/>
    </row>
    <row r="430" spans="2:39" hidden="1" x14ac:dyDescent="0.2">
      <c r="B430" s="50">
        <v>43690</v>
      </c>
      <c r="C430" s="35">
        <v>0.66736111111111107</v>
      </c>
      <c r="D430" s="35"/>
      <c r="E430" s="35" t="s">
        <v>111</v>
      </c>
      <c r="F430" s="37">
        <v>2</v>
      </c>
      <c r="G430" s="42" t="str">
        <f>VLOOKUP(F430,Key!$A$17:$B$21,2,FALSE)</f>
        <v>Road Vehicle</v>
      </c>
      <c r="H430" s="36">
        <v>2</v>
      </c>
      <c r="I430" s="43" t="str">
        <f>VLOOKUP(H430,Key!$A$2:$B$13,2,FALSE)</f>
        <v>Station Wagon</v>
      </c>
      <c r="J430" s="37" t="s">
        <v>123</v>
      </c>
      <c r="K430" s="13">
        <v>2</v>
      </c>
      <c r="L430" s="45" t="str">
        <f>VLOOKUP(K430,Key!$A$24:$B$29,2,FALSE)</f>
        <v>30-39</v>
      </c>
      <c r="M430" s="44" t="s">
        <v>167</v>
      </c>
      <c r="N430" s="44" t="s">
        <v>167</v>
      </c>
      <c r="O430" s="37" t="s">
        <v>168</v>
      </c>
      <c r="P430" s="39">
        <v>2</v>
      </c>
      <c r="Q430" s="34" t="str">
        <f>VLOOKUP(P430,Key!$E$2:$F$9,2,FALSE)</f>
        <v>Work</v>
      </c>
      <c r="R430" s="37" t="s">
        <v>194</v>
      </c>
      <c r="S430" s="32" t="s">
        <v>179</v>
      </c>
      <c r="T430" s="37" t="s">
        <v>168</v>
      </c>
      <c r="U430" s="32">
        <v>2</v>
      </c>
      <c r="V430" s="34" t="str">
        <f>VLOOKUP(U430,Key!$E$2:$F$9,2,FALSE)</f>
        <v>Work</v>
      </c>
      <c r="W430" s="34" t="str">
        <f t="shared" si="14"/>
        <v>Work-Work</v>
      </c>
      <c r="X430" s="47">
        <v>40000</v>
      </c>
      <c r="Y430" s="38">
        <v>30</v>
      </c>
      <c r="Z430" s="38">
        <v>1</v>
      </c>
      <c r="AA430" s="32">
        <v>6</v>
      </c>
      <c r="AB430" s="34" t="str">
        <f>VLOOKUP(AA430,Key!$C$20:$D$29,2,FALSE)</f>
        <v>Businessman</v>
      </c>
      <c r="AC430" s="32">
        <v>2</v>
      </c>
      <c r="AD430" s="34" t="str">
        <f>VLOOKUP(AC430,Key!$E$20:$F$24,2,FALSE)</f>
        <v>300,000-500,000</v>
      </c>
      <c r="AE430" s="32">
        <v>1</v>
      </c>
      <c r="AF430" s="55">
        <v>1</v>
      </c>
      <c r="AG430" s="55">
        <v>1</v>
      </c>
      <c r="AH430" s="55">
        <v>1</v>
      </c>
      <c r="AI430" s="55">
        <v>1</v>
      </c>
      <c r="AJ430" s="39" t="s">
        <v>104</v>
      </c>
      <c r="AK430" s="40">
        <v>1000</v>
      </c>
      <c r="AL430" s="24"/>
      <c r="AM430" s="24"/>
    </row>
    <row r="431" spans="2:39" hidden="1" x14ac:dyDescent="0.2">
      <c r="B431" s="50">
        <v>43689</v>
      </c>
      <c r="C431" s="35">
        <v>0.59027777777777779</v>
      </c>
      <c r="D431" s="35"/>
      <c r="E431" s="35" t="s">
        <v>111</v>
      </c>
      <c r="F431" s="37">
        <v>2</v>
      </c>
      <c r="G431" s="42" t="str">
        <f>VLOOKUP(F431,Key!$A$17:$B$21,2,FALSE)</f>
        <v>Road Vehicle</v>
      </c>
      <c r="H431" s="36">
        <v>2</v>
      </c>
      <c r="I431" s="43" t="str">
        <f>VLOOKUP(H431,Key!$A$2:$B$13,2,FALSE)</f>
        <v>Station Wagon</v>
      </c>
      <c r="J431" s="37" t="s">
        <v>166</v>
      </c>
      <c r="K431" s="37">
        <v>3</v>
      </c>
      <c r="L431" s="45" t="str">
        <f>VLOOKUP(K431,Key!$A$24:$B$29,2,FALSE)</f>
        <v>40-49</v>
      </c>
      <c r="M431" s="37" t="s">
        <v>258</v>
      </c>
      <c r="N431" s="32" t="s">
        <v>190</v>
      </c>
      <c r="O431" s="37" t="s">
        <v>168</v>
      </c>
      <c r="P431" s="39">
        <v>1</v>
      </c>
      <c r="Q431" s="34" t="str">
        <f>VLOOKUP(P431,Key!$E$2:$F$9,2,FALSE)</f>
        <v>Home</v>
      </c>
      <c r="R431" s="37" t="s">
        <v>167</v>
      </c>
      <c r="S431" s="32" t="s">
        <v>167</v>
      </c>
      <c r="T431" s="37" t="s">
        <v>168</v>
      </c>
      <c r="U431" s="32">
        <v>6</v>
      </c>
      <c r="V431" s="34" t="str">
        <f>VLOOKUP(U431,Key!$E$2:$F$9,2,FALSE)</f>
        <v>Leisure/Social</v>
      </c>
      <c r="W431" s="34" t="str">
        <f t="shared" si="14"/>
        <v>Home-Leisure/Social</v>
      </c>
      <c r="X431" s="47">
        <v>50000</v>
      </c>
      <c r="Y431" s="38">
        <v>30</v>
      </c>
      <c r="Z431" s="38">
        <v>2</v>
      </c>
      <c r="AA431" s="32">
        <v>4</v>
      </c>
      <c r="AB431" s="34" t="str">
        <f>VLOOKUP(AA431,Key!$C$20:$D$29,2,FALSE)</f>
        <v>Office Worker</v>
      </c>
      <c r="AC431" s="32">
        <v>5</v>
      </c>
      <c r="AD431" s="34" t="str">
        <f>VLOOKUP(AC431,Key!$E$20:$F$24,2,FALSE)</f>
        <v>&gt;1,000,000</v>
      </c>
      <c r="AE431" s="32">
        <v>1</v>
      </c>
      <c r="AF431" s="55">
        <v>1</v>
      </c>
      <c r="AG431" s="55">
        <v>1</v>
      </c>
      <c r="AH431" s="55">
        <v>1</v>
      </c>
      <c r="AI431" s="55">
        <v>1</v>
      </c>
      <c r="AJ431" s="39" t="s">
        <v>104</v>
      </c>
      <c r="AK431" s="40">
        <v>2000</v>
      </c>
      <c r="AL431" s="24"/>
      <c r="AM431" s="24"/>
    </row>
    <row r="432" spans="2:39" hidden="1" x14ac:dyDescent="0.2">
      <c r="B432" s="50">
        <v>43689</v>
      </c>
      <c r="C432" s="35">
        <v>0.65277777777777779</v>
      </c>
      <c r="D432" s="35"/>
      <c r="E432" s="35" t="s">
        <v>111</v>
      </c>
      <c r="F432" s="37">
        <v>2</v>
      </c>
      <c r="G432" s="42" t="str">
        <f>VLOOKUP(F432,Key!$A$17:$B$21,2,FALSE)</f>
        <v>Road Vehicle</v>
      </c>
      <c r="H432" s="36">
        <v>2</v>
      </c>
      <c r="I432" s="43" t="str">
        <f>VLOOKUP(H432,Key!$A$2:$B$13,2,FALSE)</f>
        <v>Station Wagon</v>
      </c>
      <c r="J432" s="37" t="s">
        <v>123</v>
      </c>
      <c r="K432" s="37">
        <v>4</v>
      </c>
      <c r="L432" s="45" t="str">
        <f>VLOOKUP(K432,Key!$A$24:$B$29,2,FALSE)</f>
        <v>50-59</v>
      </c>
      <c r="M432" s="37" t="s">
        <v>216</v>
      </c>
      <c r="N432" s="32" t="s">
        <v>167</v>
      </c>
      <c r="O432" s="37" t="s">
        <v>168</v>
      </c>
      <c r="P432" s="39">
        <v>2</v>
      </c>
      <c r="Q432" s="34" t="str">
        <f>VLOOKUP(P432,Key!$E$2:$F$9,2,FALSE)</f>
        <v>Work</v>
      </c>
      <c r="R432" s="37" t="s">
        <v>229</v>
      </c>
      <c r="S432" s="32" t="s">
        <v>190</v>
      </c>
      <c r="T432" s="37" t="s">
        <v>168</v>
      </c>
      <c r="U432" s="32">
        <v>1</v>
      </c>
      <c r="V432" s="34" t="str">
        <f>VLOOKUP(U432,Key!$E$2:$F$9,2,FALSE)</f>
        <v>Home</v>
      </c>
      <c r="W432" s="34" t="str">
        <f t="shared" si="14"/>
        <v>Work-Home</v>
      </c>
      <c r="X432" s="47">
        <v>20000</v>
      </c>
      <c r="Y432" s="38">
        <v>40</v>
      </c>
      <c r="Z432" s="38">
        <v>1</v>
      </c>
      <c r="AA432" s="32">
        <v>5</v>
      </c>
      <c r="AB432" s="34" t="str">
        <f>VLOOKUP(AA432,Key!$C$20:$D$29,2,FALSE)</f>
        <v>Professional</v>
      </c>
      <c r="AC432" s="32">
        <v>5</v>
      </c>
      <c r="AD432" s="34" t="str">
        <f>VLOOKUP(AC432,Key!$E$20:$F$24,2,FALSE)</f>
        <v>&gt;1,000,000</v>
      </c>
      <c r="AE432" s="32">
        <v>1</v>
      </c>
      <c r="AF432" s="55">
        <v>1</v>
      </c>
      <c r="AG432" s="55">
        <v>1</v>
      </c>
      <c r="AH432" s="55">
        <v>1</v>
      </c>
      <c r="AI432" s="55">
        <v>1</v>
      </c>
      <c r="AJ432" s="39" t="s">
        <v>104</v>
      </c>
      <c r="AK432" s="40">
        <v>2000</v>
      </c>
      <c r="AL432" s="24"/>
      <c r="AM432" s="24"/>
    </row>
    <row r="433" spans="2:39" hidden="1" x14ac:dyDescent="0.2">
      <c r="B433" s="50">
        <v>43687</v>
      </c>
      <c r="C433" s="35">
        <v>0.34583333333333338</v>
      </c>
      <c r="D433" s="35"/>
      <c r="E433" s="35" t="s">
        <v>111</v>
      </c>
      <c r="F433" s="37">
        <v>2</v>
      </c>
      <c r="G433" s="42" t="str">
        <f>VLOOKUP(F433,Key!$A$17:$B$21,2,FALSE)</f>
        <v>Road Vehicle</v>
      </c>
      <c r="H433" s="36">
        <v>2</v>
      </c>
      <c r="I433" s="43" t="str">
        <f>VLOOKUP(H433,Key!$A$2:$B$13,2,FALSE)</f>
        <v>Station Wagon</v>
      </c>
      <c r="J433" s="37" t="s">
        <v>123</v>
      </c>
      <c r="K433" s="37">
        <v>4</v>
      </c>
      <c r="L433" s="45" t="str">
        <f>VLOOKUP(K433,Key!$A$24:$B$29,2,FALSE)</f>
        <v>50-59</v>
      </c>
      <c r="M433" s="37" t="s">
        <v>167</v>
      </c>
      <c r="N433" s="32" t="s">
        <v>167</v>
      </c>
      <c r="O433" s="37" t="s">
        <v>168</v>
      </c>
      <c r="P433" s="39">
        <v>1</v>
      </c>
      <c r="Q433" s="34" t="str">
        <f>VLOOKUP(P433,Key!$E$2:$F$9,2,FALSE)</f>
        <v>Home</v>
      </c>
      <c r="R433" s="37" t="s">
        <v>167</v>
      </c>
      <c r="S433" s="32" t="s">
        <v>167</v>
      </c>
      <c r="T433" s="37" t="s">
        <v>168</v>
      </c>
      <c r="U433" s="32">
        <v>6</v>
      </c>
      <c r="V433" s="34" t="str">
        <f>VLOOKUP(U433,Key!$E$2:$F$9,2,FALSE)</f>
        <v>Leisure/Social</v>
      </c>
      <c r="W433" s="34" t="str">
        <f t="shared" si="14"/>
        <v>Home-Leisure/Social</v>
      </c>
      <c r="X433" s="47">
        <v>50000</v>
      </c>
      <c r="Y433" s="38">
        <v>40</v>
      </c>
      <c r="Z433" s="38">
        <v>1.5</v>
      </c>
      <c r="AA433" s="32">
        <v>6</v>
      </c>
      <c r="AB433" s="34" t="str">
        <f>VLOOKUP(AA433,Key!$C$20:$D$29,2,FALSE)</f>
        <v>Businessman</v>
      </c>
      <c r="AC433" s="32">
        <v>5</v>
      </c>
      <c r="AD433" s="34" t="str">
        <f>VLOOKUP(AC433,Key!$E$20:$F$24,2,FALSE)</f>
        <v>&gt;1,000,000</v>
      </c>
      <c r="AE433" s="32">
        <v>1</v>
      </c>
      <c r="AF433" s="55">
        <v>1</v>
      </c>
      <c r="AG433" s="55">
        <v>2</v>
      </c>
      <c r="AH433" s="55">
        <v>1</v>
      </c>
      <c r="AI433" s="55">
        <v>3</v>
      </c>
      <c r="AJ433" s="39" t="s">
        <v>104</v>
      </c>
      <c r="AK433" s="40"/>
      <c r="AL433" s="24"/>
      <c r="AM433" s="24"/>
    </row>
    <row r="434" spans="2:39" hidden="1" x14ac:dyDescent="0.2">
      <c r="B434" s="50">
        <v>43688</v>
      </c>
      <c r="C434" s="35">
        <v>0.68263888888888891</v>
      </c>
      <c r="D434" s="35"/>
      <c r="E434" s="35" t="s">
        <v>111</v>
      </c>
      <c r="F434" s="37">
        <v>2</v>
      </c>
      <c r="G434" s="42" t="str">
        <f>VLOOKUP(F434,Key!$A$17:$B$21,2,FALSE)</f>
        <v>Road Vehicle</v>
      </c>
      <c r="H434" s="36">
        <v>2</v>
      </c>
      <c r="I434" s="43" t="str">
        <f>VLOOKUP(H434,Key!$A$2:$B$13,2,FALSE)</f>
        <v>Station Wagon</v>
      </c>
      <c r="J434" s="37" t="s">
        <v>166</v>
      </c>
      <c r="K434" s="13">
        <v>2</v>
      </c>
      <c r="L434" s="45" t="str">
        <f>VLOOKUP(K434,Key!$A$24:$B$29,2,FALSE)</f>
        <v>30-39</v>
      </c>
      <c r="M434" s="44" t="s">
        <v>193</v>
      </c>
      <c r="N434" s="44" t="s">
        <v>176</v>
      </c>
      <c r="O434" s="37" t="s">
        <v>168</v>
      </c>
      <c r="P434" s="39">
        <v>1</v>
      </c>
      <c r="Q434" s="34" t="str">
        <f>VLOOKUP(P434,Key!$E$2:$F$9,2,FALSE)</f>
        <v>Home</v>
      </c>
      <c r="R434" s="37" t="s">
        <v>167</v>
      </c>
      <c r="S434" s="32" t="s">
        <v>167</v>
      </c>
      <c r="T434" s="37" t="s">
        <v>168</v>
      </c>
      <c r="U434" s="32">
        <v>4</v>
      </c>
      <c r="V434" s="34" t="str">
        <f>VLOOKUP(U434,Key!$E$2:$F$9,2,FALSE)</f>
        <v>Commercial</v>
      </c>
      <c r="W434" s="34" t="str">
        <f t="shared" si="14"/>
        <v>Home-Commercial</v>
      </c>
      <c r="X434" s="47">
        <v>40000</v>
      </c>
      <c r="Y434" s="38">
        <v>40</v>
      </c>
      <c r="Z434" s="38">
        <v>2</v>
      </c>
      <c r="AA434" s="32">
        <v>6</v>
      </c>
      <c r="AB434" s="34" t="str">
        <f>VLOOKUP(AA434,Key!$C$20:$D$29,2,FALSE)</f>
        <v>Businessman</v>
      </c>
      <c r="AC434" s="32">
        <v>4</v>
      </c>
      <c r="AD434" s="34" t="str">
        <f>VLOOKUP(AC434,Key!$E$20:$F$24,2,FALSE)</f>
        <v>750,000-1,000,000</v>
      </c>
      <c r="AE434" s="32">
        <v>1</v>
      </c>
      <c r="AF434" s="55">
        <v>2</v>
      </c>
      <c r="AG434" s="55">
        <v>1</v>
      </c>
      <c r="AH434" s="55">
        <v>1</v>
      </c>
      <c r="AI434" s="55">
        <v>1</v>
      </c>
      <c r="AJ434" s="39" t="s">
        <v>104</v>
      </c>
      <c r="AK434" s="40">
        <v>1000</v>
      </c>
      <c r="AL434" s="24"/>
      <c r="AM434" s="24"/>
    </row>
    <row r="435" spans="2:39" hidden="1" x14ac:dyDescent="0.2">
      <c r="B435" s="50">
        <v>43690</v>
      </c>
      <c r="C435" s="35">
        <v>0.40625</v>
      </c>
      <c r="D435" s="35"/>
      <c r="E435" s="35" t="s">
        <v>111</v>
      </c>
      <c r="F435" s="37">
        <v>2</v>
      </c>
      <c r="G435" s="42" t="str">
        <f>VLOOKUP(F435,Key!$A$17:$B$21,2,FALSE)</f>
        <v>Road Vehicle</v>
      </c>
      <c r="H435" s="36">
        <v>2</v>
      </c>
      <c r="I435" s="43" t="str">
        <f>VLOOKUP(H435,Key!$A$2:$B$13,2,FALSE)</f>
        <v>Station Wagon</v>
      </c>
      <c r="J435" s="37" t="s">
        <v>166</v>
      </c>
      <c r="K435" s="37">
        <v>2</v>
      </c>
      <c r="L435" s="45" t="str">
        <f>VLOOKUP(K435,Key!$A$24:$B$29,2,FALSE)</f>
        <v>30-39</v>
      </c>
      <c r="M435" s="37" t="s">
        <v>297</v>
      </c>
      <c r="N435" s="32" t="s">
        <v>167</v>
      </c>
      <c r="O435" s="37" t="s">
        <v>168</v>
      </c>
      <c r="P435" s="39">
        <v>2</v>
      </c>
      <c r="Q435" s="34" t="str">
        <f>VLOOKUP(P435,Key!$E$2:$F$9,2,FALSE)</f>
        <v>Work</v>
      </c>
      <c r="R435" s="37" t="s">
        <v>195</v>
      </c>
      <c r="S435" s="32" t="s">
        <v>190</v>
      </c>
      <c r="T435" s="37" t="s">
        <v>168</v>
      </c>
      <c r="U435" s="32">
        <v>1</v>
      </c>
      <c r="V435" s="34" t="str">
        <f>VLOOKUP(U435,Key!$E$2:$F$9,2,FALSE)</f>
        <v>Home</v>
      </c>
      <c r="W435" s="34" t="str">
        <f t="shared" si="14"/>
        <v>Work-Home</v>
      </c>
      <c r="X435" s="47">
        <v>20000</v>
      </c>
      <c r="Y435" s="38">
        <v>40</v>
      </c>
      <c r="Z435" s="38">
        <v>2</v>
      </c>
      <c r="AA435" s="32">
        <v>4</v>
      </c>
      <c r="AB435" s="34" t="str">
        <f>VLOOKUP(AA435,Key!$C$20:$D$29,2,FALSE)</f>
        <v>Office Worker</v>
      </c>
      <c r="AC435" s="32">
        <v>1</v>
      </c>
      <c r="AD435" s="34" t="str">
        <f>VLOOKUP(AC435,Key!$E$20:$F$24,2,FALSE)</f>
        <v>&lt;300,000</v>
      </c>
      <c r="AE435" s="32">
        <v>1</v>
      </c>
      <c r="AF435" s="55">
        <v>1</v>
      </c>
      <c r="AG435" s="55">
        <v>1</v>
      </c>
      <c r="AH435" s="55">
        <v>1</v>
      </c>
      <c r="AI435" s="55">
        <v>1</v>
      </c>
      <c r="AJ435" s="39" t="s">
        <v>104</v>
      </c>
      <c r="AK435" s="40">
        <v>1000</v>
      </c>
      <c r="AL435" s="24"/>
      <c r="AM435" s="24"/>
    </row>
    <row r="436" spans="2:39" hidden="1" x14ac:dyDescent="0.2">
      <c r="B436" s="50">
        <v>43689</v>
      </c>
      <c r="C436" s="35">
        <v>0.3923611111111111</v>
      </c>
      <c r="D436" s="35"/>
      <c r="E436" s="35" t="s">
        <v>111</v>
      </c>
      <c r="F436" s="37">
        <v>2</v>
      </c>
      <c r="G436" s="42" t="str">
        <f>VLOOKUP(F436,Key!$A$17:$B$21,2,FALSE)</f>
        <v>Road Vehicle</v>
      </c>
      <c r="H436" s="36">
        <v>2</v>
      </c>
      <c r="I436" s="43" t="str">
        <f>VLOOKUP(H436,Key!$A$2:$B$13,2,FALSE)</f>
        <v>Station Wagon</v>
      </c>
      <c r="J436" s="37" t="s">
        <v>166</v>
      </c>
      <c r="K436" s="37">
        <v>4</v>
      </c>
      <c r="L436" s="45" t="str">
        <f>VLOOKUP(K436,Key!$A$24:$B$29,2,FALSE)</f>
        <v>50-59</v>
      </c>
      <c r="M436" s="37" t="s">
        <v>186</v>
      </c>
      <c r="N436" s="32" t="s">
        <v>167</v>
      </c>
      <c r="O436" s="37" t="s">
        <v>168</v>
      </c>
      <c r="P436" s="39">
        <v>2</v>
      </c>
      <c r="Q436" s="34" t="str">
        <f>VLOOKUP(P436,Key!$E$2:$F$9,2,FALSE)</f>
        <v>Work</v>
      </c>
      <c r="R436" s="37" t="s">
        <v>202</v>
      </c>
      <c r="S436" s="32" t="s">
        <v>170</v>
      </c>
      <c r="T436" s="37" t="s">
        <v>168</v>
      </c>
      <c r="U436" s="32">
        <v>1</v>
      </c>
      <c r="V436" s="34" t="str">
        <f>VLOOKUP(U436,Key!$E$2:$F$9,2,FALSE)</f>
        <v>Home</v>
      </c>
      <c r="W436" s="34" t="str">
        <f t="shared" si="14"/>
        <v>Work-Home</v>
      </c>
      <c r="X436" s="47">
        <v>30000</v>
      </c>
      <c r="Y436" s="38">
        <v>40</v>
      </c>
      <c r="Z436" s="38">
        <v>2</v>
      </c>
      <c r="AA436" s="32">
        <v>5</v>
      </c>
      <c r="AB436" s="34" t="str">
        <f>VLOOKUP(AA436,Key!$C$20:$D$29,2,FALSE)</f>
        <v>Professional</v>
      </c>
      <c r="AC436" s="32">
        <v>3</v>
      </c>
      <c r="AD436" s="34" t="str">
        <f>VLOOKUP(AC436,Key!$E$20:$F$24,2,FALSE)</f>
        <v>500,000-750,000</v>
      </c>
      <c r="AE436" s="32">
        <v>1</v>
      </c>
      <c r="AF436" s="55">
        <v>1</v>
      </c>
      <c r="AG436" s="55">
        <v>1</v>
      </c>
      <c r="AH436" s="55">
        <v>1</v>
      </c>
      <c r="AI436" s="55">
        <v>2</v>
      </c>
      <c r="AJ436" s="39" t="s">
        <v>104</v>
      </c>
      <c r="AK436" s="40">
        <v>1000</v>
      </c>
      <c r="AL436" s="24"/>
      <c r="AM436" s="24"/>
    </row>
    <row r="437" spans="2:39" hidden="1" x14ac:dyDescent="0.2">
      <c r="B437" s="50">
        <v>43687</v>
      </c>
      <c r="C437" s="35">
        <v>0.40625</v>
      </c>
      <c r="D437" s="35"/>
      <c r="E437" s="35" t="s">
        <v>111</v>
      </c>
      <c r="F437" s="37">
        <v>2</v>
      </c>
      <c r="G437" s="42" t="str">
        <f>VLOOKUP(F437,Key!$A$17:$B$21,2,FALSE)</f>
        <v>Road Vehicle</v>
      </c>
      <c r="H437" s="36">
        <v>2</v>
      </c>
      <c r="I437" s="43" t="str">
        <f>VLOOKUP(H437,Key!$A$2:$B$13,2,FALSE)</f>
        <v>Station Wagon</v>
      </c>
      <c r="J437" s="37" t="s">
        <v>123</v>
      </c>
      <c r="K437" s="37">
        <v>3</v>
      </c>
      <c r="L437" s="45" t="str">
        <f>VLOOKUP(K437,Key!$A$24:$B$29,2,FALSE)</f>
        <v>40-49</v>
      </c>
      <c r="M437" s="37" t="s">
        <v>253</v>
      </c>
      <c r="N437" s="32" t="s">
        <v>167</v>
      </c>
      <c r="O437" s="37" t="s">
        <v>168</v>
      </c>
      <c r="P437" s="39">
        <v>2</v>
      </c>
      <c r="Q437" s="34" t="str">
        <f>VLOOKUP(P437,Key!$E$2:$F$9,2,FALSE)</f>
        <v>Work</v>
      </c>
      <c r="R437" s="37" t="s">
        <v>205</v>
      </c>
      <c r="S437" s="32" t="s">
        <v>205</v>
      </c>
      <c r="T437" s="37" t="s">
        <v>168</v>
      </c>
      <c r="U437" s="32">
        <v>2</v>
      </c>
      <c r="V437" s="34" t="str">
        <f>VLOOKUP(U437,Key!$E$2:$F$9,2,FALSE)</f>
        <v>Work</v>
      </c>
      <c r="W437" s="34" t="str">
        <f t="shared" si="14"/>
        <v>Work-Work</v>
      </c>
      <c r="X437" s="47">
        <v>40000</v>
      </c>
      <c r="Y437" s="38">
        <v>40</v>
      </c>
      <c r="Z437" s="38">
        <v>2</v>
      </c>
      <c r="AA437" s="32">
        <v>6</v>
      </c>
      <c r="AB437" s="34" t="str">
        <f>VLOOKUP(AA437,Key!$C$20:$D$29,2,FALSE)</f>
        <v>Businessman</v>
      </c>
      <c r="AC437" s="32">
        <v>1</v>
      </c>
      <c r="AD437" s="34" t="str">
        <f>VLOOKUP(AC437,Key!$E$20:$F$24,2,FALSE)</f>
        <v>&lt;300,000</v>
      </c>
      <c r="AE437" s="32">
        <v>1</v>
      </c>
      <c r="AF437" s="55">
        <v>1</v>
      </c>
      <c r="AG437" s="55">
        <v>1</v>
      </c>
      <c r="AH437" s="55">
        <v>1</v>
      </c>
      <c r="AI437" s="55">
        <v>2</v>
      </c>
      <c r="AJ437" s="39" t="s">
        <v>104</v>
      </c>
      <c r="AK437" s="40"/>
      <c r="AL437" s="24"/>
      <c r="AM437" s="24"/>
    </row>
    <row r="438" spans="2:39" hidden="1" x14ac:dyDescent="0.2">
      <c r="B438" s="50">
        <v>43687</v>
      </c>
      <c r="C438" s="35">
        <v>0.33680555555555558</v>
      </c>
      <c r="D438" s="35"/>
      <c r="E438" s="35" t="s">
        <v>111</v>
      </c>
      <c r="F438" s="37">
        <v>2</v>
      </c>
      <c r="G438" s="42" t="str">
        <f>VLOOKUP(F438,Key!$A$17:$B$21,2,FALSE)</f>
        <v>Road Vehicle</v>
      </c>
      <c r="H438" s="36">
        <v>2</v>
      </c>
      <c r="I438" s="43" t="str">
        <f>VLOOKUP(H438,Key!$A$2:$B$13,2,FALSE)</f>
        <v>Station Wagon</v>
      </c>
      <c r="J438" s="37" t="s">
        <v>123</v>
      </c>
      <c r="K438" s="37">
        <v>1</v>
      </c>
      <c r="L438" s="45" t="str">
        <f>VLOOKUP(K438,Key!$A$24:$B$29,2,FALSE)</f>
        <v>20-29</v>
      </c>
      <c r="M438" s="37" t="s">
        <v>337</v>
      </c>
      <c r="N438" s="32" t="s">
        <v>188</v>
      </c>
      <c r="O438" s="37" t="s">
        <v>168</v>
      </c>
      <c r="P438" s="39">
        <v>2</v>
      </c>
      <c r="Q438" s="34" t="str">
        <f>VLOOKUP(P438,Key!$E$2:$F$9,2,FALSE)</f>
        <v>Work</v>
      </c>
      <c r="R438" s="37" t="s">
        <v>167</v>
      </c>
      <c r="S438" s="32" t="s">
        <v>167</v>
      </c>
      <c r="T438" s="37" t="s">
        <v>168</v>
      </c>
      <c r="U438" s="32">
        <v>2</v>
      </c>
      <c r="V438" s="34" t="str">
        <f>VLOOKUP(U438,Key!$E$2:$F$9,2,FALSE)</f>
        <v>Work</v>
      </c>
      <c r="W438" s="34" t="str">
        <f t="shared" si="14"/>
        <v>Work-Work</v>
      </c>
      <c r="X438" s="47">
        <v>70000</v>
      </c>
      <c r="Y438" s="38">
        <v>40</v>
      </c>
      <c r="Z438" s="38">
        <v>2</v>
      </c>
      <c r="AA438" s="32">
        <v>10</v>
      </c>
      <c r="AB438" s="34" t="str">
        <f>VLOOKUP(AA438,Key!$C$20:$D$29,2,FALSE)</f>
        <v>Other</v>
      </c>
      <c r="AC438" s="32">
        <v>1</v>
      </c>
      <c r="AD438" s="34" t="str">
        <f>VLOOKUP(AC438,Key!$E$20:$F$24,2,FALSE)</f>
        <v>&lt;300,000</v>
      </c>
      <c r="AE438" s="32"/>
      <c r="AF438" s="55"/>
      <c r="AG438" s="55"/>
      <c r="AH438" s="55"/>
      <c r="AI438" s="55"/>
      <c r="AJ438" s="39" t="s">
        <v>104</v>
      </c>
      <c r="AK438" s="40">
        <v>2000</v>
      </c>
      <c r="AL438" s="24"/>
      <c r="AM438" s="24"/>
    </row>
    <row r="439" spans="2:39" hidden="1" x14ac:dyDescent="0.2">
      <c r="B439" s="50">
        <v>43687</v>
      </c>
      <c r="C439" s="35">
        <v>0.5229166666666667</v>
      </c>
      <c r="D439" s="35"/>
      <c r="E439" s="35" t="s">
        <v>111</v>
      </c>
      <c r="F439" s="37">
        <v>2</v>
      </c>
      <c r="G439" s="42" t="str">
        <f>VLOOKUP(F439,Key!$A$17:$B$21,2,FALSE)</f>
        <v>Road Vehicle</v>
      </c>
      <c r="H439" s="36">
        <v>2</v>
      </c>
      <c r="I439" s="43" t="str">
        <f>VLOOKUP(H439,Key!$A$2:$B$13,2,FALSE)</f>
        <v>Station Wagon</v>
      </c>
      <c r="J439" s="37" t="s">
        <v>123</v>
      </c>
      <c r="K439" s="37">
        <v>3</v>
      </c>
      <c r="L439" s="45" t="str">
        <f>VLOOKUP(K439,Key!$A$24:$B$29,2,FALSE)</f>
        <v>40-49</v>
      </c>
      <c r="M439" s="37" t="s">
        <v>189</v>
      </c>
      <c r="N439" s="32" t="s">
        <v>190</v>
      </c>
      <c r="O439" s="37" t="s">
        <v>168</v>
      </c>
      <c r="P439" s="39">
        <v>1</v>
      </c>
      <c r="Q439" s="34" t="str">
        <f>VLOOKUP(P439,Key!$E$2:$F$9,2,FALSE)</f>
        <v>Home</v>
      </c>
      <c r="R439" s="37" t="s">
        <v>187</v>
      </c>
      <c r="S439" s="32" t="s">
        <v>167</v>
      </c>
      <c r="T439" s="37" t="s">
        <v>168</v>
      </c>
      <c r="U439" s="32">
        <v>2</v>
      </c>
      <c r="V439" s="34" t="str">
        <f>VLOOKUP(U439,Key!$E$2:$F$9,2,FALSE)</f>
        <v>Work</v>
      </c>
      <c r="W439" s="34" t="str">
        <f t="shared" si="14"/>
        <v>Home-Work</v>
      </c>
      <c r="X439" s="47">
        <v>50000</v>
      </c>
      <c r="Y439" s="38">
        <v>50</v>
      </c>
      <c r="Z439" s="38">
        <v>2</v>
      </c>
      <c r="AA439" s="32">
        <v>6</v>
      </c>
      <c r="AB439" s="34" t="str">
        <f>VLOOKUP(AA439,Key!$C$20:$D$29,2,FALSE)</f>
        <v>Businessman</v>
      </c>
      <c r="AC439" s="32">
        <v>2</v>
      </c>
      <c r="AD439" s="34" t="str">
        <f>VLOOKUP(AC439,Key!$E$20:$F$24,2,FALSE)</f>
        <v>300,000-500,000</v>
      </c>
      <c r="AE439" s="32">
        <v>1</v>
      </c>
      <c r="AF439" s="55">
        <v>1</v>
      </c>
      <c r="AG439" s="55">
        <v>1</v>
      </c>
      <c r="AH439" s="55">
        <v>2</v>
      </c>
      <c r="AI439" s="55">
        <v>1</v>
      </c>
      <c r="AJ439" s="39" t="s">
        <v>104</v>
      </c>
      <c r="AK439" s="40">
        <v>2000</v>
      </c>
      <c r="AL439" s="24"/>
      <c r="AM439" s="24"/>
    </row>
    <row r="440" spans="2:39" x14ac:dyDescent="0.2">
      <c r="B440" s="50">
        <v>43690</v>
      </c>
      <c r="C440" s="35">
        <v>0.68055555555555547</v>
      </c>
      <c r="D440" s="35"/>
      <c r="E440" s="35" t="s">
        <v>111</v>
      </c>
      <c r="F440" s="37">
        <v>2</v>
      </c>
      <c r="G440" s="42" t="str">
        <f>VLOOKUP(F440,Key!$A$17:$B$21,2,FALSE)</f>
        <v>Road Vehicle</v>
      </c>
      <c r="H440" s="36">
        <v>2</v>
      </c>
      <c r="I440" s="43" t="str">
        <f>VLOOKUP(H440,Key!$A$2:$B$13,2,FALSE)</f>
        <v>Station Wagon</v>
      </c>
      <c r="J440" s="37" t="s">
        <v>166</v>
      </c>
      <c r="K440" s="37">
        <v>3</v>
      </c>
      <c r="L440" s="45" t="str">
        <f>VLOOKUP(K440,Key!$A$24:$B$29,2,FALSE)</f>
        <v>40-49</v>
      </c>
      <c r="M440" s="44" t="s">
        <v>216</v>
      </c>
      <c r="N440" s="44" t="s">
        <v>167</v>
      </c>
      <c r="O440" s="37" t="s">
        <v>168</v>
      </c>
      <c r="P440" s="39">
        <v>2</v>
      </c>
      <c r="Q440" s="34" t="str">
        <f>VLOOKUP(P440,Key!$E$2:$F$9,2,FALSE)</f>
        <v>Work</v>
      </c>
      <c r="R440" s="37" t="s">
        <v>217</v>
      </c>
      <c r="S440" s="32" t="s">
        <v>176</v>
      </c>
      <c r="T440" s="37" t="s">
        <v>168</v>
      </c>
      <c r="U440" s="32">
        <v>6</v>
      </c>
      <c r="V440" s="34" t="str">
        <f>VLOOKUP(U440,Key!$E$2:$F$9,2,FALSE)</f>
        <v>Leisure/Social</v>
      </c>
      <c r="W440" s="34" t="str">
        <f t="shared" si="14"/>
        <v>Work-Leisure/Social</v>
      </c>
      <c r="X440" s="47">
        <v>40000</v>
      </c>
      <c r="Y440" s="38">
        <v>70</v>
      </c>
      <c r="Z440" s="38">
        <v>2</v>
      </c>
      <c r="AA440" s="32">
        <v>5</v>
      </c>
      <c r="AB440" s="34" t="str">
        <f>VLOOKUP(AA440,Key!$C$20:$D$29,2,FALSE)</f>
        <v>Professional</v>
      </c>
      <c r="AC440" s="32">
        <v>4</v>
      </c>
      <c r="AD440" s="34" t="str">
        <f>VLOOKUP(AC440,Key!$E$20:$F$24,2,FALSE)</f>
        <v>750,000-1,000,000</v>
      </c>
      <c r="AE440" s="32">
        <v>1</v>
      </c>
      <c r="AF440" s="55">
        <v>1</v>
      </c>
      <c r="AG440" s="55">
        <v>1</v>
      </c>
      <c r="AH440" s="55">
        <v>1</v>
      </c>
      <c r="AI440" s="55">
        <v>1</v>
      </c>
      <c r="AJ440" s="39" t="s">
        <v>104</v>
      </c>
      <c r="AK440" s="40">
        <v>1000</v>
      </c>
      <c r="AL440" s="24"/>
      <c r="AM440" s="24"/>
    </row>
    <row r="441" spans="2:39" x14ac:dyDescent="0.2">
      <c r="B441" s="50">
        <v>43686</v>
      </c>
      <c r="C441" s="35">
        <v>0.64236111111111105</v>
      </c>
      <c r="D441" s="35"/>
      <c r="E441" s="35" t="s">
        <v>111</v>
      </c>
      <c r="F441" s="37">
        <v>2</v>
      </c>
      <c r="G441" s="42" t="str">
        <f>VLOOKUP(F441,Key!$A$17:$B$21,2,FALSE)</f>
        <v>Road Vehicle</v>
      </c>
      <c r="H441" s="36">
        <v>2</v>
      </c>
      <c r="I441" s="43" t="str">
        <f>VLOOKUP(H441,Key!$A$2:$B$13,2,FALSE)</f>
        <v>Station Wagon</v>
      </c>
      <c r="J441" s="37" t="s">
        <v>166</v>
      </c>
      <c r="K441" s="37">
        <v>3</v>
      </c>
      <c r="L441" s="45" t="str">
        <f>VLOOKUP(K441,Key!$A$24:$B$29,2,FALSE)</f>
        <v>40-49</v>
      </c>
      <c r="M441" s="44" t="s">
        <v>216</v>
      </c>
      <c r="N441" s="44" t="s">
        <v>167</v>
      </c>
      <c r="O441" s="37" t="s">
        <v>168</v>
      </c>
      <c r="P441" s="39">
        <v>2</v>
      </c>
      <c r="Q441" s="34" t="str">
        <f>VLOOKUP(P441,Key!$E$2:$F$9,2,FALSE)</f>
        <v>Work</v>
      </c>
      <c r="R441" s="37" t="s">
        <v>217</v>
      </c>
      <c r="S441" s="32" t="s">
        <v>176</v>
      </c>
      <c r="T441" s="37" t="s">
        <v>168</v>
      </c>
      <c r="U441" s="32">
        <v>6</v>
      </c>
      <c r="V441" s="34" t="str">
        <f>VLOOKUP(U441,Key!$E$2:$F$9,2,FALSE)</f>
        <v>Leisure/Social</v>
      </c>
      <c r="W441" s="34" t="str">
        <f t="shared" si="14"/>
        <v>Work-Leisure/Social</v>
      </c>
      <c r="X441" s="47">
        <v>40000</v>
      </c>
      <c r="Y441" s="38">
        <v>70</v>
      </c>
      <c r="Z441" s="38">
        <v>2</v>
      </c>
      <c r="AA441" s="32">
        <v>5</v>
      </c>
      <c r="AB441" s="34" t="str">
        <f>VLOOKUP(AA441,Key!$C$20:$D$29,2,FALSE)</f>
        <v>Professional</v>
      </c>
      <c r="AC441" s="32">
        <v>4</v>
      </c>
      <c r="AD441" s="34" t="str">
        <f>VLOOKUP(AC441,Key!$E$20:$F$24,2,FALSE)</f>
        <v>750,000-1,000,000</v>
      </c>
      <c r="AE441" s="32">
        <v>1</v>
      </c>
      <c r="AF441" s="55">
        <v>1</v>
      </c>
      <c r="AG441" s="55">
        <v>1</v>
      </c>
      <c r="AH441" s="55">
        <v>1</v>
      </c>
      <c r="AI441" s="55">
        <v>1</v>
      </c>
      <c r="AJ441" s="39" t="s">
        <v>104</v>
      </c>
      <c r="AK441" s="40">
        <v>1000</v>
      </c>
      <c r="AL441" s="24"/>
      <c r="AM441" s="24"/>
    </row>
    <row r="442" spans="2:39" x14ac:dyDescent="0.2">
      <c r="B442" s="50">
        <v>43689</v>
      </c>
      <c r="C442" s="35">
        <v>0.57777777777777783</v>
      </c>
      <c r="D442" s="35"/>
      <c r="E442" s="35" t="s">
        <v>111</v>
      </c>
      <c r="F442" s="37">
        <v>2</v>
      </c>
      <c r="G442" s="42" t="str">
        <f>VLOOKUP(F442,Key!$A$17:$B$21,2,FALSE)</f>
        <v>Road Vehicle</v>
      </c>
      <c r="H442" s="36">
        <v>2</v>
      </c>
      <c r="I442" s="43" t="str">
        <f>VLOOKUP(H442,Key!$A$2:$B$13,2,FALSE)</f>
        <v>Station Wagon</v>
      </c>
      <c r="J442" s="37" t="s">
        <v>123</v>
      </c>
      <c r="K442" s="37">
        <v>1</v>
      </c>
      <c r="L442" s="45" t="str">
        <f>VLOOKUP(K442,Key!$A$24:$B$29,2,FALSE)</f>
        <v>20-29</v>
      </c>
      <c r="M442" s="37" t="s">
        <v>176</v>
      </c>
      <c r="N442" s="32" t="s">
        <v>176</v>
      </c>
      <c r="O442" s="37" t="s">
        <v>168</v>
      </c>
      <c r="P442" s="39">
        <v>2</v>
      </c>
      <c r="Q442" s="34" t="str">
        <f>VLOOKUP(P442,Key!$E$2:$F$9,2,FALSE)</f>
        <v>Work</v>
      </c>
      <c r="R442" s="37" t="s">
        <v>167</v>
      </c>
      <c r="S442" s="32" t="s">
        <v>167</v>
      </c>
      <c r="T442" s="37" t="s">
        <v>168</v>
      </c>
      <c r="U442" s="32">
        <v>6</v>
      </c>
      <c r="V442" s="34" t="str">
        <f>VLOOKUP(U442,Key!$E$2:$F$9,2,FALSE)</f>
        <v>Leisure/Social</v>
      </c>
      <c r="W442" s="34" t="str">
        <f t="shared" si="14"/>
        <v>Work-Leisure/Social</v>
      </c>
      <c r="X442" s="47">
        <v>50000</v>
      </c>
      <c r="Y442" s="38">
        <v>80</v>
      </c>
      <c r="Z442" s="38">
        <v>3</v>
      </c>
      <c r="AA442" s="32">
        <v>5</v>
      </c>
      <c r="AB442" s="34" t="str">
        <f>VLOOKUP(AA442,Key!$C$20:$D$29,2,FALSE)</f>
        <v>Professional</v>
      </c>
      <c r="AC442" s="32">
        <v>3</v>
      </c>
      <c r="AD442" s="34" t="str">
        <f>VLOOKUP(AC442,Key!$E$20:$F$24,2,FALSE)</f>
        <v>500,000-750,000</v>
      </c>
      <c r="AE442" s="32">
        <v>3</v>
      </c>
      <c r="AF442" s="55">
        <v>2</v>
      </c>
      <c r="AG442" s="55">
        <v>5</v>
      </c>
      <c r="AH442" s="55">
        <v>1</v>
      </c>
      <c r="AI442" s="55">
        <v>4</v>
      </c>
      <c r="AJ442" s="39" t="s">
        <v>104</v>
      </c>
      <c r="AK442" s="40">
        <v>5000</v>
      </c>
      <c r="AL442" s="24"/>
      <c r="AM442" s="24"/>
    </row>
    <row r="443" spans="2:39" x14ac:dyDescent="0.2">
      <c r="B443" s="50">
        <v>43690</v>
      </c>
      <c r="C443" s="35">
        <v>0.56388888888888888</v>
      </c>
      <c r="D443" s="35"/>
      <c r="E443" s="35" t="s">
        <v>111</v>
      </c>
      <c r="F443" s="37">
        <v>2</v>
      </c>
      <c r="G443" s="42" t="str">
        <f>VLOOKUP(F443,Key!$A$17:$B$21,2,FALSE)</f>
        <v>Road Vehicle</v>
      </c>
      <c r="H443" s="36">
        <v>2</v>
      </c>
      <c r="I443" s="43" t="str">
        <f>VLOOKUP(H443,Key!$A$2:$B$13,2,FALSE)</f>
        <v>Station Wagon</v>
      </c>
      <c r="J443" s="37" t="s">
        <v>123</v>
      </c>
      <c r="K443" s="13">
        <v>2</v>
      </c>
      <c r="L443" s="45" t="str">
        <f>VLOOKUP(K443,Key!$A$24:$B$29,2,FALSE)</f>
        <v>30-39</v>
      </c>
      <c r="M443" s="44" t="s">
        <v>173</v>
      </c>
      <c r="N443" s="32" t="s">
        <v>173</v>
      </c>
      <c r="O443" s="37" t="s">
        <v>168</v>
      </c>
      <c r="P443" s="39">
        <v>2</v>
      </c>
      <c r="Q443" s="34" t="str">
        <f>VLOOKUP(P443,Key!$E$2:$F$9,2,FALSE)</f>
        <v>Work</v>
      </c>
      <c r="R443" s="37" t="s">
        <v>167</v>
      </c>
      <c r="S443" s="32" t="s">
        <v>167</v>
      </c>
      <c r="T443" s="37" t="s">
        <v>168</v>
      </c>
      <c r="U443" s="32">
        <v>4</v>
      </c>
      <c r="V443" s="34" t="str">
        <f>VLOOKUP(U443,Key!$E$2:$F$9,2,FALSE)</f>
        <v>Commercial</v>
      </c>
      <c r="W443" s="34" t="str">
        <f t="shared" si="14"/>
        <v>Work-Commercial</v>
      </c>
      <c r="X443" s="47">
        <v>40000</v>
      </c>
      <c r="Y443" s="38">
        <v>60</v>
      </c>
      <c r="Z443" s="38">
        <v>1</v>
      </c>
      <c r="AA443" s="32">
        <v>5</v>
      </c>
      <c r="AB443" s="34" t="str">
        <f>VLOOKUP(AA443,Key!$C$20:$D$29,2,FALSE)</f>
        <v>Professional</v>
      </c>
      <c r="AC443" s="32">
        <v>4</v>
      </c>
      <c r="AD443" s="34" t="str">
        <f>VLOOKUP(AC443,Key!$E$20:$F$24,2,FALSE)</f>
        <v>750,000-1,000,000</v>
      </c>
      <c r="AE443" s="32">
        <v>2</v>
      </c>
      <c r="AF443" s="55">
        <v>2</v>
      </c>
      <c r="AG443" s="55">
        <v>3</v>
      </c>
      <c r="AH443" s="55">
        <v>1</v>
      </c>
      <c r="AI443" s="55"/>
      <c r="AJ443" s="39" t="s">
        <v>104</v>
      </c>
      <c r="AK443" s="40">
        <v>3000</v>
      </c>
      <c r="AL443" s="24"/>
      <c r="AM443" s="24"/>
    </row>
    <row r="444" spans="2:39" x14ac:dyDescent="0.2">
      <c r="B444" s="50">
        <v>43690</v>
      </c>
      <c r="C444" s="35">
        <v>0.47291666666666665</v>
      </c>
      <c r="D444" s="35"/>
      <c r="E444" s="35" t="s">
        <v>111</v>
      </c>
      <c r="F444" s="37">
        <v>2</v>
      </c>
      <c r="G444" s="42" t="str">
        <f>VLOOKUP(F444,Key!$A$17:$B$21,2,FALSE)</f>
        <v>Road Vehicle</v>
      </c>
      <c r="H444" s="36">
        <v>2</v>
      </c>
      <c r="I444" s="43" t="str">
        <f>VLOOKUP(H444,Key!$A$2:$B$13,2,FALSE)</f>
        <v>Station Wagon</v>
      </c>
      <c r="J444" s="37" t="s">
        <v>123</v>
      </c>
      <c r="K444" s="37">
        <v>2</v>
      </c>
      <c r="L444" s="45" t="str">
        <f>VLOOKUP(K444,Key!$A$24:$B$29,2,FALSE)</f>
        <v>30-39</v>
      </c>
      <c r="M444" s="37" t="s">
        <v>173</v>
      </c>
      <c r="N444" s="32" t="s">
        <v>173</v>
      </c>
      <c r="O444" s="37" t="s">
        <v>168</v>
      </c>
      <c r="P444" s="39">
        <v>1</v>
      </c>
      <c r="Q444" s="34" t="str">
        <f>VLOOKUP(P444,Key!$E$2:$F$9,2,FALSE)</f>
        <v>Home</v>
      </c>
      <c r="R444" s="37" t="s">
        <v>167</v>
      </c>
      <c r="S444" s="32" t="s">
        <v>167</v>
      </c>
      <c r="T444" s="37" t="s">
        <v>168</v>
      </c>
      <c r="U444" s="32">
        <v>2</v>
      </c>
      <c r="V444" s="34" t="str">
        <f>VLOOKUP(U444,Key!$E$2:$F$9,2,FALSE)</f>
        <v>Work</v>
      </c>
      <c r="W444" s="34" t="str">
        <f t="shared" si="14"/>
        <v>Home-Work</v>
      </c>
      <c r="X444" s="47">
        <v>40000</v>
      </c>
      <c r="Y444" s="38">
        <v>60</v>
      </c>
      <c r="Z444" s="38">
        <v>1.5</v>
      </c>
      <c r="AA444" s="32">
        <v>5</v>
      </c>
      <c r="AB444" s="34" t="str">
        <f>VLOOKUP(AA444,Key!$C$20:$D$29,2,FALSE)</f>
        <v>Professional</v>
      </c>
      <c r="AC444" s="32">
        <v>3</v>
      </c>
      <c r="AD444" s="34" t="str">
        <f>VLOOKUP(AC444,Key!$E$20:$F$24,2,FALSE)</f>
        <v>500,000-750,000</v>
      </c>
      <c r="AE444" s="32">
        <v>2</v>
      </c>
      <c r="AF444" s="55">
        <v>2</v>
      </c>
      <c r="AG444" s="55">
        <v>3</v>
      </c>
      <c r="AH444" s="55">
        <v>1</v>
      </c>
      <c r="AI444" s="55">
        <v>4</v>
      </c>
      <c r="AJ444" s="39" t="s">
        <v>104</v>
      </c>
      <c r="AK444" s="40">
        <v>2000</v>
      </c>
      <c r="AL444" s="24"/>
      <c r="AM444" s="24"/>
    </row>
    <row r="445" spans="2:39" x14ac:dyDescent="0.2">
      <c r="B445" s="50">
        <v>43686</v>
      </c>
      <c r="C445" s="35">
        <v>0.64236111111111105</v>
      </c>
      <c r="D445" s="35"/>
      <c r="E445" s="35" t="s">
        <v>111</v>
      </c>
      <c r="F445" s="37">
        <v>2</v>
      </c>
      <c r="G445" s="42" t="str">
        <f>VLOOKUP(F445,Key!$A$17:$B$21,2,FALSE)</f>
        <v>Road Vehicle</v>
      </c>
      <c r="H445" s="36">
        <v>2</v>
      </c>
      <c r="I445" s="43" t="str">
        <f>VLOOKUP(H445,Key!$A$2:$B$13,2,FALSE)</f>
        <v>Station Wagon</v>
      </c>
      <c r="J445" s="37" t="s">
        <v>123</v>
      </c>
      <c r="K445" s="37">
        <v>2</v>
      </c>
      <c r="L445" s="45" t="str">
        <f>VLOOKUP(K445,Key!$A$24:$B$29,2,FALSE)</f>
        <v>30-39</v>
      </c>
      <c r="M445" s="37" t="s">
        <v>254</v>
      </c>
      <c r="N445" s="32" t="s">
        <v>167</v>
      </c>
      <c r="O445" s="37" t="s">
        <v>168</v>
      </c>
      <c r="P445" s="39">
        <v>2</v>
      </c>
      <c r="Q445" s="34" t="str">
        <f>VLOOKUP(P445,Key!$E$2:$F$9,2,FALSE)</f>
        <v>Work</v>
      </c>
      <c r="R445" s="37" t="s">
        <v>36</v>
      </c>
      <c r="S445" s="32" t="s">
        <v>36</v>
      </c>
      <c r="T445" s="37" t="s">
        <v>168</v>
      </c>
      <c r="U445" s="32">
        <v>6</v>
      </c>
      <c r="V445" s="34" t="str">
        <f>VLOOKUP(U445,Key!$E$2:$F$9,2,FALSE)</f>
        <v>Leisure/Social</v>
      </c>
      <c r="W445" s="34" t="str">
        <f t="shared" si="14"/>
        <v>Work-Leisure/Social</v>
      </c>
      <c r="X445" s="47">
        <v>100000</v>
      </c>
      <c r="Y445" s="38">
        <v>70</v>
      </c>
      <c r="Z445" s="38">
        <v>3</v>
      </c>
      <c r="AA445" s="32">
        <v>4</v>
      </c>
      <c r="AB445" s="34" t="str">
        <f>VLOOKUP(AA445,Key!$C$20:$D$29,2,FALSE)</f>
        <v>Office Worker</v>
      </c>
      <c r="AC445" s="32">
        <v>2</v>
      </c>
      <c r="AD445" s="34" t="str">
        <f>VLOOKUP(AC445,Key!$E$20:$F$24,2,FALSE)</f>
        <v>300,000-500,000</v>
      </c>
      <c r="AE445" s="32">
        <v>1</v>
      </c>
      <c r="AF445" s="55">
        <v>1</v>
      </c>
      <c r="AG445" s="55">
        <v>1</v>
      </c>
      <c r="AH445" s="55">
        <v>1</v>
      </c>
      <c r="AI445" s="55">
        <v>1</v>
      </c>
      <c r="AJ445" s="39" t="s">
        <v>104</v>
      </c>
      <c r="AK445" s="40">
        <v>2000</v>
      </c>
      <c r="AL445" s="24"/>
      <c r="AM445" s="24"/>
    </row>
    <row r="446" spans="2:39" x14ac:dyDescent="0.2">
      <c r="B446" s="50">
        <v>43687</v>
      </c>
      <c r="C446" s="35">
        <v>0.59444444444444444</v>
      </c>
      <c r="D446" s="35"/>
      <c r="E446" s="35" t="s">
        <v>111</v>
      </c>
      <c r="F446" s="37">
        <v>2</v>
      </c>
      <c r="G446" s="42" t="str">
        <f>VLOOKUP(F446,Key!$A$17:$B$21,2,FALSE)</f>
        <v>Road Vehicle</v>
      </c>
      <c r="H446" s="36">
        <v>2</v>
      </c>
      <c r="I446" s="43" t="str">
        <f>VLOOKUP(H446,Key!$A$2:$B$13,2,FALSE)</f>
        <v>Station Wagon</v>
      </c>
      <c r="J446" s="37" t="s">
        <v>123</v>
      </c>
      <c r="K446" s="37">
        <v>2</v>
      </c>
      <c r="L446" s="45" t="str">
        <f>VLOOKUP(K446,Key!$A$24:$B$29,2,FALSE)</f>
        <v>30-39</v>
      </c>
      <c r="M446" s="37" t="s">
        <v>176</v>
      </c>
      <c r="N446" s="32" t="s">
        <v>176</v>
      </c>
      <c r="O446" s="37" t="s">
        <v>168</v>
      </c>
      <c r="P446" s="39">
        <v>2</v>
      </c>
      <c r="Q446" s="34" t="str">
        <f>VLOOKUP(P446,Key!$E$2:$F$9,2,FALSE)</f>
        <v>Work</v>
      </c>
      <c r="R446" s="37" t="s">
        <v>167</v>
      </c>
      <c r="S446" s="32" t="s">
        <v>167</v>
      </c>
      <c r="T446" s="37" t="s">
        <v>168</v>
      </c>
      <c r="U446" s="32">
        <v>4</v>
      </c>
      <c r="V446" s="34" t="str">
        <f>VLOOKUP(U446,Key!$E$2:$F$9,2,FALSE)</f>
        <v>Commercial</v>
      </c>
      <c r="W446" s="34" t="str">
        <f t="shared" si="14"/>
        <v>Work-Commercial</v>
      </c>
      <c r="X446" s="47">
        <v>40000</v>
      </c>
      <c r="Y446" s="38">
        <v>75</v>
      </c>
      <c r="Z446" s="38">
        <v>3.5</v>
      </c>
      <c r="AA446" s="32">
        <v>5</v>
      </c>
      <c r="AB446" s="34" t="str">
        <f>VLOOKUP(AA446,Key!$C$20:$D$29,2,FALSE)</f>
        <v>Professional</v>
      </c>
      <c r="AC446" s="32">
        <v>3</v>
      </c>
      <c r="AD446" s="34" t="str">
        <f>VLOOKUP(AC446,Key!$E$20:$F$24,2,FALSE)</f>
        <v>500,000-750,000</v>
      </c>
      <c r="AE446" s="32">
        <v>2</v>
      </c>
      <c r="AF446" s="55">
        <v>3</v>
      </c>
      <c r="AG446" s="55">
        <v>2</v>
      </c>
      <c r="AH446" s="55">
        <v>1</v>
      </c>
      <c r="AI446" s="55">
        <v>4</v>
      </c>
      <c r="AJ446" s="39" t="s">
        <v>104</v>
      </c>
      <c r="AK446" s="40">
        <v>5000</v>
      </c>
      <c r="AL446" s="24"/>
      <c r="AM446" s="24"/>
    </row>
    <row r="447" spans="2:39" x14ac:dyDescent="0.2">
      <c r="B447" s="50">
        <v>43687</v>
      </c>
      <c r="C447" s="35">
        <v>0.74305555555555547</v>
      </c>
      <c r="D447" s="35"/>
      <c r="E447" s="35" t="s">
        <v>111</v>
      </c>
      <c r="F447" s="37">
        <v>2</v>
      </c>
      <c r="G447" s="42" t="str">
        <f>VLOOKUP(F447,Key!$A$17:$B$21,2,FALSE)</f>
        <v>Road Vehicle</v>
      </c>
      <c r="H447" s="36">
        <v>2</v>
      </c>
      <c r="I447" s="43" t="str">
        <f>VLOOKUP(H447,Key!$A$2:$B$13,2,FALSE)</f>
        <v>Station Wagon</v>
      </c>
      <c r="J447" s="37" t="s">
        <v>123</v>
      </c>
      <c r="K447" s="37">
        <v>2</v>
      </c>
      <c r="L447" s="45" t="str">
        <f>VLOOKUP(K447,Key!$A$24:$B$29,2,FALSE)</f>
        <v>30-39</v>
      </c>
      <c r="M447" s="37" t="s">
        <v>176</v>
      </c>
      <c r="N447" s="32" t="s">
        <v>176</v>
      </c>
      <c r="O447" s="37" t="s">
        <v>168</v>
      </c>
      <c r="P447" s="39">
        <v>2</v>
      </c>
      <c r="Q447" s="34" t="str">
        <f>VLOOKUP(P447,Key!$E$2:$F$9,2,FALSE)</f>
        <v>Work</v>
      </c>
      <c r="R447" s="37" t="s">
        <v>167</v>
      </c>
      <c r="S447" s="32" t="s">
        <v>167</v>
      </c>
      <c r="T447" s="37" t="s">
        <v>168</v>
      </c>
      <c r="U447" s="32">
        <v>4</v>
      </c>
      <c r="V447" s="34" t="str">
        <f>VLOOKUP(U447,Key!$E$2:$F$9,2,FALSE)</f>
        <v>Commercial</v>
      </c>
      <c r="W447" s="34" t="str">
        <f t="shared" si="14"/>
        <v>Work-Commercial</v>
      </c>
      <c r="X447" s="47">
        <v>70000</v>
      </c>
      <c r="Y447" s="38">
        <v>80</v>
      </c>
      <c r="Z447" s="38">
        <v>2</v>
      </c>
      <c r="AA447" s="32">
        <v>6</v>
      </c>
      <c r="AB447" s="34" t="str">
        <f>VLOOKUP(AA447,Key!$C$20:$D$29,2,FALSE)</f>
        <v>Businessman</v>
      </c>
      <c r="AC447" s="32">
        <v>4</v>
      </c>
      <c r="AD447" s="34" t="str">
        <f>VLOOKUP(AC447,Key!$E$20:$F$24,2,FALSE)</f>
        <v>750,000-1,000,000</v>
      </c>
      <c r="AE447" s="32">
        <v>2</v>
      </c>
      <c r="AF447" s="55">
        <v>3</v>
      </c>
      <c r="AG447" s="55">
        <v>1</v>
      </c>
      <c r="AH447" s="55">
        <v>1</v>
      </c>
      <c r="AI447" s="55">
        <v>4</v>
      </c>
      <c r="AJ447" s="39" t="s">
        <v>104</v>
      </c>
      <c r="AK447" s="40">
        <v>10000</v>
      </c>
      <c r="AL447" s="24"/>
      <c r="AM447" s="24"/>
    </row>
    <row r="448" spans="2:39" x14ac:dyDescent="0.2">
      <c r="B448" s="50">
        <v>43688</v>
      </c>
      <c r="C448" s="35">
        <v>0.36319444444444443</v>
      </c>
      <c r="D448" s="35"/>
      <c r="E448" s="35" t="s">
        <v>111</v>
      </c>
      <c r="F448" s="37">
        <v>2</v>
      </c>
      <c r="G448" s="42" t="str">
        <f>VLOOKUP(F448,Key!$A$17:$B$21,2,FALSE)</f>
        <v>Road Vehicle</v>
      </c>
      <c r="H448" s="36">
        <v>2</v>
      </c>
      <c r="I448" s="43" t="str">
        <f>VLOOKUP(H448,Key!$A$2:$B$13,2,FALSE)</f>
        <v>Station Wagon</v>
      </c>
      <c r="J448" s="37" t="s">
        <v>123</v>
      </c>
      <c r="K448" s="37">
        <v>2</v>
      </c>
      <c r="L448" s="45" t="str">
        <f>VLOOKUP(K448,Key!$A$24:$B$29,2,FALSE)</f>
        <v>30-39</v>
      </c>
      <c r="M448" s="37" t="s">
        <v>167</v>
      </c>
      <c r="N448" s="32" t="s">
        <v>167</v>
      </c>
      <c r="O448" s="37" t="s">
        <v>168</v>
      </c>
      <c r="P448" s="39">
        <v>4</v>
      </c>
      <c r="Q448" s="34" t="str">
        <f>VLOOKUP(P448,Key!$E$2:$F$9,2,FALSE)</f>
        <v>Commercial</v>
      </c>
      <c r="R448" s="37" t="s">
        <v>176</v>
      </c>
      <c r="S448" s="32" t="s">
        <v>176</v>
      </c>
      <c r="T448" s="37" t="s">
        <v>168</v>
      </c>
      <c r="U448" s="32">
        <v>4</v>
      </c>
      <c r="V448" s="34" t="str">
        <f>VLOOKUP(U448,Key!$E$2:$F$9,2,FALSE)</f>
        <v>Commercial</v>
      </c>
      <c r="W448" s="34" t="str">
        <f t="shared" si="14"/>
        <v>Commercial-Commercial</v>
      </c>
      <c r="X448" s="47">
        <v>80000</v>
      </c>
      <c r="Y448" s="38">
        <v>80</v>
      </c>
      <c r="Z448" s="38">
        <v>2</v>
      </c>
      <c r="AA448" s="32">
        <v>6</v>
      </c>
      <c r="AB448" s="34" t="str">
        <f>VLOOKUP(AA448,Key!$C$20:$D$29,2,FALSE)</f>
        <v>Businessman</v>
      </c>
      <c r="AC448" s="32">
        <v>5</v>
      </c>
      <c r="AD448" s="34" t="str">
        <f>VLOOKUP(AC448,Key!$E$20:$F$24,2,FALSE)</f>
        <v>&gt;1,000,000</v>
      </c>
      <c r="AE448" s="32">
        <v>2</v>
      </c>
      <c r="AF448" s="55">
        <v>2</v>
      </c>
      <c r="AG448" s="55">
        <v>1</v>
      </c>
      <c r="AH448" s="55">
        <v>1</v>
      </c>
      <c r="AI448" s="55">
        <v>3</v>
      </c>
      <c r="AJ448" s="39" t="s">
        <v>104</v>
      </c>
      <c r="AK448" s="40">
        <v>10000</v>
      </c>
      <c r="AL448" s="24"/>
      <c r="AM448" s="24"/>
    </row>
    <row r="449" spans="2:39" x14ac:dyDescent="0.2">
      <c r="B449" s="50">
        <v>43688</v>
      </c>
      <c r="C449" s="35">
        <v>0.46875</v>
      </c>
      <c r="D449" s="35"/>
      <c r="E449" s="35" t="s">
        <v>111</v>
      </c>
      <c r="F449" s="37">
        <v>2</v>
      </c>
      <c r="G449" s="42" t="str">
        <f>VLOOKUP(F449,Key!$A$17:$B$21,2,FALSE)</f>
        <v>Road Vehicle</v>
      </c>
      <c r="H449" s="36">
        <v>2</v>
      </c>
      <c r="I449" s="43" t="str">
        <f>VLOOKUP(H449,Key!$A$2:$B$13,2,FALSE)</f>
        <v>Station Wagon</v>
      </c>
      <c r="J449" s="37" t="s">
        <v>123</v>
      </c>
      <c r="K449" s="37">
        <v>2</v>
      </c>
      <c r="L449" s="45" t="str">
        <f>VLOOKUP(K449,Key!$A$24:$B$29,2,FALSE)</f>
        <v>30-39</v>
      </c>
      <c r="M449" s="37" t="s">
        <v>176</v>
      </c>
      <c r="N449" s="32" t="s">
        <v>176</v>
      </c>
      <c r="O449" s="37" t="s">
        <v>168</v>
      </c>
      <c r="P449" s="39">
        <v>1</v>
      </c>
      <c r="Q449" s="34" t="str">
        <f>VLOOKUP(P449,Key!$E$2:$F$9,2,FALSE)</f>
        <v>Home</v>
      </c>
      <c r="R449" s="37" t="s">
        <v>167</v>
      </c>
      <c r="S449" s="32" t="s">
        <v>167</v>
      </c>
      <c r="T449" s="37" t="s">
        <v>168</v>
      </c>
      <c r="U449" s="32">
        <v>4</v>
      </c>
      <c r="V449" s="34" t="str">
        <f>VLOOKUP(U449,Key!$E$2:$F$9,2,FALSE)</f>
        <v>Commercial</v>
      </c>
      <c r="W449" s="34" t="str">
        <f t="shared" si="14"/>
        <v>Home-Commercial</v>
      </c>
      <c r="X449" s="47">
        <v>50000</v>
      </c>
      <c r="Y449" s="38">
        <v>80</v>
      </c>
      <c r="Z449" s="38">
        <v>2.5</v>
      </c>
      <c r="AA449" s="32">
        <v>6</v>
      </c>
      <c r="AB449" s="34" t="str">
        <f>VLOOKUP(AA449,Key!$C$20:$D$29,2,FALSE)</f>
        <v>Businessman</v>
      </c>
      <c r="AC449" s="32">
        <v>5</v>
      </c>
      <c r="AD449" s="34" t="str">
        <f>VLOOKUP(AC449,Key!$E$20:$F$24,2,FALSE)</f>
        <v>&gt;1,000,000</v>
      </c>
      <c r="AE449" s="32">
        <v>3</v>
      </c>
      <c r="AF449" s="55">
        <v>2</v>
      </c>
      <c r="AG449" s="55">
        <v>4</v>
      </c>
      <c r="AH449" s="55">
        <v>1</v>
      </c>
      <c r="AI449" s="55">
        <v>4</v>
      </c>
      <c r="AJ449" s="39" t="s">
        <v>104</v>
      </c>
      <c r="AK449" s="40">
        <v>10000</v>
      </c>
      <c r="AL449" s="24"/>
      <c r="AM449" s="24"/>
    </row>
    <row r="450" spans="2:39" x14ac:dyDescent="0.2">
      <c r="B450" s="50">
        <v>43690</v>
      </c>
      <c r="C450" s="35">
        <v>0.4909722222222222</v>
      </c>
      <c r="D450" s="35"/>
      <c r="E450" s="35" t="s">
        <v>111</v>
      </c>
      <c r="F450" s="37">
        <v>2</v>
      </c>
      <c r="G450" s="42" t="str">
        <f>VLOOKUP(F450,Key!$A$17:$B$21,2,FALSE)</f>
        <v>Road Vehicle</v>
      </c>
      <c r="H450" s="36">
        <v>2</v>
      </c>
      <c r="I450" s="43" t="str">
        <f>VLOOKUP(H450,Key!$A$2:$B$13,2,FALSE)</f>
        <v>Station Wagon</v>
      </c>
      <c r="J450" s="37" t="s">
        <v>123</v>
      </c>
      <c r="K450" s="37">
        <v>2</v>
      </c>
      <c r="L450" s="45" t="str">
        <f>VLOOKUP(K450,Key!$A$24:$B$29,2,FALSE)</f>
        <v>30-39</v>
      </c>
      <c r="M450" s="37" t="s">
        <v>167</v>
      </c>
      <c r="N450" s="32" t="s">
        <v>167</v>
      </c>
      <c r="O450" s="37" t="s">
        <v>168</v>
      </c>
      <c r="P450" s="39">
        <v>2</v>
      </c>
      <c r="Q450" s="34" t="str">
        <f>VLOOKUP(P450,Key!$E$2:$F$9,2,FALSE)</f>
        <v>Work</v>
      </c>
      <c r="R450" s="37" t="s">
        <v>176</v>
      </c>
      <c r="S450" s="32" t="s">
        <v>176</v>
      </c>
      <c r="T450" s="37" t="s">
        <v>168</v>
      </c>
      <c r="U450" s="32">
        <v>4</v>
      </c>
      <c r="V450" s="34" t="str">
        <f>VLOOKUP(U450,Key!$E$2:$F$9,2,FALSE)</f>
        <v>Commercial</v>
      </c>
      <c r="W450" s="34" t="str">
        <f t="shared" si="14"/>
        <v>Work-Commercial</v>
      </c>
      <c r="X450" s="47">
        <v>60000</v>
      </c>
      <c r="Y450" s="38">
        <v>80</v>
      </c>
      <c r="Z450" s="38">
        <v>3</v>
      </c>
      <c r="AA450" s="32">
        <v>6</v>
      </c>
      <c r="AB450" s="34" t="str">
        <f>VLOOKUP(AA450,Key!$C$20:$D$29,2,FALSE)</f>
        <v>Businessman</v>
      </c>
      <c r="AC450" s="32">
        <v>3</v>
      </c>
      <c r="AD450" s="34" t="str">
        <f>VLOOKUP(AC450,Key!$E$20:$F$24,2,FALSE)</f>
        <v>500,000-750,000</v>
      </c>
      <c r="AE450" s="32">
        <v>2</v>
      </c>
      <c r="AF450" s="55">
        <v>2</v>
      </c>
      <c r="AG450" s="55">
        <v>3</v>
      </c>
      <c r="AH450" s="55">
        <v>1</v>
      </c>
      <c r="AI450" s="55">
        <v>4</v>
      </c>
      <c r="AJ450" s="39" t="s">
        <v>104</v>
      </c>
      <c r="AK450" s="40">
        <v>6000</v>
      </c>
      <c r="AL450" s="24"/>
      <c r="AM450" s="24"/>
    </row>
    <row r="451" spans="2:39" x14ac:dyDescent="0.2">
      <c r="B451" s="50">
        <v>43690</v>
      </c>
      <c r="C451" s="35">
        <v>0.54999999999999993</v>
      </c>
      <c r="D451" s="35"/>
      <c r="E451" s="35" t="s">
        <v>111</v>
      </c>
      <c r="F451" s="37">
        <v>2</v>
      </c>
      <c r="G451" s="42" t="str">
        <f>VLOOKUP(F451,Key!$A$17:$B$21,2,FALSE)</f>
        <v>Road Vehicle</v>
      </c>
      <c r="H451" s="36">
        <v>2</v>
      </c>
      <c r="I451" s="43" t="str">
        <f>VLOOKUP(H451,Key!$A$2:$B$13,2,FALSE)</f>
        <v>Station Wagon</v>
      </c>
      <c r="J451" s="37" t="s">
        <v>123</v>
      </c>
      <c r="K451" s="37">
        <v>2</v>
      </c>
      <c r="L451" s="45" t="str">
        <f>VLOOKUP(K451,Key!$A$24:$B$29,2,FALSE)</f>
        <v>30-39</v>
      </c>
      <c r="M451" s="37" t="s">
        <v>176</v>
      </c>
      <c r="N451" s="32" t="s">
        <v>176</v>
      </c>
      <c r="O451" s="37" t="s">
        <v>168</v>
      </c>
      <c r="P451" s="39">
        <v>1</v>
      </c>
      <c r="Q451" s="34" t="str">
        <f>VLOOKUP(P451,Key!$E$2:$F$9,2,FALSE)</f>
        <v>Home</v>
      </c>
      <c r="R451" s="37" t="s">
        <v>167</v>
      </c>
      <c r="S451" s="32" t="s">
        <v>167</v>
      </c>
      <c r="T451" s="37" t="s">
        <v>168</v>
      </c>
      <c r="U451" s="32">
        <v>6</v>
      </c>
      <c r="V451" s="34" t="str">
        <f>VLOOKUP(U451,Key!$E$2:$F$9,2,FALSE)</f>
        <v>Leisure/Social</v>
      </c>
      <c r="W451" s="34" t="str">
        <f t="shared" si="14"/>
        <v>Home-Leisure/Social</v>
      </c>
      <c r="X451" s="47">
        <v>50000</v>
      </c>
      <c r="Y451" s="38">
        <v>80</v>
      </c>
      <c r="Z451" s="38">
        <v>3</v>
      </c>
      <c r="AA451" s="32">
        <v>6</v>
      </c>
      <c r="AB451" s="34" t="str">
        <f>VLOOKUP(AA451,Key!$C$20:$D$29,2,FALSE)</f>
        <v>Businessman</v>
      </c>
      <c r="AC451" s="32">
        <v>3</v>
      </c>
      <c r="AD451" s="34" t="str">
        <f>VLOOKUP(AC451,Key!$E$20:$F$24,2,FALSE)</f>
        <v>500,000-750,000</v>
      </c>
      <c r="AE451" s="32">
        <v>2</v>
      </c>
      <c r="AF451" s="55">
        <v>3</v>
      </c>
      <c r="AG451" s="55">
        <v>1</v>
      </c>
      <c r="AH451" s="55">
        <v>2</v>
      </c>
      <c r="AI451" s="55">
        <v>3</v>
      </c>
      <c r="AJ451" s="39" t="s">
        <v>104</v>
      </c>
      <c r="AK451" s="40">
        <v>3000</v>
      </c>
      <c r="AL451" s="24"/>
      <c r="AM451" s="24"/>
    </row>
    <row r="452" spans="2:39" x14ac:dyDescent="0.2">
      <c r="B452" s="50">
        <v>43690</v>
      </c>
      <c r="C452" s="35">
        <v>0.45069444444444445</v>
      </c>
      <c r="D452" s="35"/>
      <c r="E452" s="35" t="s">
        <v>111</v>
      </c>
      <c r="F452" s="37">
        <v>2</v>
      </c>
      <c r="G452" s="42" t="str">
        <f>VLOOKUP(F452,Key!$A$17:$B$21,2,FALSE)</f>
        <v>Road Vehicle</v>
      </c>
      <c r="H452" s="36">
        <v>2</v>
      </c>
      <c r="I452" s="43" t="str">
        <f>VLOOKUP(H452,Key!$A$2:$B$13,2,FALSE)</f>
        <v>Station Wagon</v>
      </c>
      <c r="J452" s="37" t="s">
        <v>123</v>
      </c>
      <c r="K452" s="37">
        <v>2</v>
      </c>
      <c r="L452" s="45" t="str">
        <f>VLOOKUP(K452,Key!$A$24:$B$29,2,FALSE)</f>
        <v>30-39</v>
      </c>
      <c r="M452" s="37" t="s">
        <v>167</v>
      </c>
      <c r="N452" s="32" t="s">
        <v>167</v>
      </c>
      <c r="O452" s="37" t="s">
        <v>168</v>
      </c>
      <c r="P452" s="39">
        <v>2</v>
      </c>
      <c r="Q452" s="34" t="str">
        <f>VLOOKUP(P452,Key!$E$2:$F$9,2,FALSE)</f>
        <v>Work</v>
      </c>
      <c r="R452" s="37" t="s">
        <v>176</v>
      </c>
      <c r="S452" s="32" t="s">
        <v>176</v>
      </c>
      <c r="T452" s="37" t="s">
        <v>168</v>
      </c>
      <c r="U452" s="32">
        <v>4</v>
      </c>
      <c r="V452" s="34" t="str">
        <f>VLOOKUP(U452,Key!$E$2:$F$9,2,FALSE)</f>
        <v>Commercial</v>
      </c>
      <c r="W452" s="34" t="str">
        <f t="shared" si="14"/>
        <v>Work-Commercial</v>
      </c>
      <c r="X452" s="47">
        <v>40000</v>
      </c>
      <c r="Y452" s="38">
        <v>80</v>
      </c>
      <c r="Z452" s="38">
        <v>3</v>
      </c>
      <c r="AA452" s="32">
        <v>6</v>
      </c>
      <c r="AB452" s="34" t="str">
        <f>VLOOKUP(AA452,Key!$C$20:$D$29,2,FALSE)</f>
        <v>Businessman</v>
      </c>
      <c r="AC452" s="32">
        <v>4</v>
      </c>
      <c r="AD452" s="34" t="str">
        <f>VLOOKUP(AC452,Key!$E$20:$F$24,2,FALSE)</f>
        <v>750,000-1,000,000</v>
      </c>
      <c r="AE452" s="32">
        <v>2</v>
      </c>
      <c r="AF452" s="55">
        <v>3</v>
      </c>
      <c r="AG452" s="55">
        <v>4</v>
      </c>
      <c r="AH452" s="55">
        <v>1</v>
      </c>
      <c r="AI452" s="55">
        <v>5</v>
      </c>
      <c r="AJ452" s="39" t="s">
        <v>104</v>
      </c>
      <c r="AK452" s="40">
        <v>2000</v>
      </c>
      <c r="AL452" s="24"/>
      <c r="AM452" s="24"/>
    </row>
    <row r="453" spans="2:39" x14ac:dyDescent="0.2">
      <c r="B453" s="50">
        <v>43687</v>
      </c>
      <c r="C453" s="35">
        <v>0.40902777777777777</v>
      </c>
      <c r="D453" s="35"/>
      <c r="E453" s="35" t="s">
        <v>111</v>
      </c>
      <c r="F453" s="37">
        <v>2</v>
      </c>
      <c r="G453" s="42" t="str">
        <f>VLOOKUP(F453,Key!$A$17:$B$21,2,FALSE)</f>
        <v>Road Vehicle</v>
      </c>
      <c r="H453" s="36">
        <v>2</v>
      </c>
      <c r="I453" s="43" t="str">
        <f>VLOOKUP(H453,Key!$A$2:$B$13,2,FALSE)</f>
        <v>Station Wagon</v>
      </c>
      <c r="J453" s="37" t="s">
        <v>123</v>
      </c>
      <c r="K453" s="37">
        <v>2</v>
      </c>
      <c r="L453" s="45" t="str">
        <f>VLOOKUP(K453,Key!$A$24:$B$29,2,FALSE)</f>
        <v>30-39</v>
      </c>
      <c r="M453" s="37" t="s">
        <v>167</v>
      </c>
      <c r="N453" s="32" t="s">
        <v>167</v>
      </c>
      <c r="O453" s="37" t="s">
        <v>168</v>
      </c>
      <c r="P453" s="39">
        <v>2</v>
      </c>
      <c r="Q453" s="34" t="str">
        <f>VLOOKUP(P453,Key!$E$2:$F$9,2,FALSE)</f>
        <v>Work</v>
      </c>
      <c r="R453" s="37" t="s">
        <v>176</v>
      </c>
      <c r="S453" s="32" t="s">
        <v>176</v>
      </c>
      <c r="T453" s="37" t="s">
        <v>168</v>
      </c>
      <c r="U453" s="32">
        <v>2</v>
      </c>
      <c r="V453" s="34" t="str">
        <f>VLOOKUP(U453,Key!$E$2:$F$9,2,FALSE)</f>
        <v>Work</v>
      </c>
      <c r="W453" s="34" t="str">
        <f t="shared" si="14"/>
        <v>Work-Work</v>
      </c>
      <c r="X453" s="47">
        <v>50000</v>
      </c>
      <c r="Y453" s="38">
        <v>80</v>
      </c>
      <c r="Z453" s="38">
        <v>4</v>
      </c>
      <c r="AA453" s="32">
        <v>10</v>
      </c>
      <c r="AB453" s="34" t="str">
        <f>VLOOKUP(AA453,Key!$C$20:$D$29,2,FALSE)</f>
        <v>Other</v>
      </c>
      <c r="AC453" s="32">
        <v>3</v>
      </c>
      <c r="AD453" s="34" t="str">
        <f>VLOOKUP(AC453,Key!$E$20:$F$24,2,FALSE)</f>
        <v>500,000-750,000</v>
      </c>
      <c r="AE453" s="32">
        <v>4</v>
      </c>
      <c r="AF453" s="55">
        <v>3</v>
      </c>
      <c r="AG453" s="55">
        <v>2</v>
      </c>
      <c r="AH453" s="55">
        <v>3</v>
      </c>
      <c r="AI453" s="55"/>
      <c r="AJ453" s="39" t="s">
        <v>104</v>
      </c>
      <c r="AK453" s="40">
        <v>2000</v>
      </c>
      <c r="AL453" s="24"/>
      <c r="AM453" s="24"/>
    </row>
    <row r="454" spans="2:39" x14ac:dyDescent="0.2">
      <c r="B454" s="50">
        <v>43687</v>
      </c>
      <c r="C454" s="35">
        <v>0.56597222222222221</v>
      </c>
      <c r="D454" s="35"/>
      <c r="E454" s="35" t="s">
        <v>111</v>
      </c>
      <c r="F454" s="37">
        <v>2</v>
      </c>
      <c r="G454" s="42" t="str">
        <f>VLOOKUP(F454,Key!$A$17:$B$21,2,FALSE)</f>
        <v>Road Vehicle</v>
      </c>
      <c r="H454" s="36">
        <v>2</v>
      </c>
      <c r="I454" s="43" t="str">
        <f>VLOOKUP(H454,Key!$A$2:$B$13,2,FALSE)</f>
        <v>Station Wagon</v>
      </c>
      <c r="J454" s="37" t="s">
        <v>123</v>
      </c>
      <c r="K454" s="37">
        <v>3</v>
      </c>
      <c r="L454" s="45" t="str">
        <f>VLOOKUP(K454,Key!$A$24:$B$29,2,FALSE)</f>
        <v>40-49</v>
      </c>
      <c r="M454" s="37" t="s">
        <v>167</v>
      </c>
      <c r="N454" s="32" t="s">
        <v>167</v>
      </c>
      <c r="O454" s="37" t="s">
        <v>168</v>
      </c>
      <c r="P454" s="39">
        <v>6</v>
      </c>
      <c r="Q454" s="34" t="str">
        <f>VLOOKUP(P454,Key!$E$2:$F$9,2,FALSE)</f>
        <v>Leisure/Social</v>
      </c>
      <c r="R454" s="37" t="s">
        <v>265</v>
      </c>
      <c r="S454" s="32" t="s">
        <v>265</v>
      </c>
      <c r="T454" s="37" t="s">
        <v>168</v>
      </c>
      <c r="U454" s="32">
        <v>1</v>
      </c>
      <c r="V454" s="34" t="str">
        <f>VLOOKUP(U454,Key!$E$2:$F$9,2,FALSE)</f>
        <v>Home</v>
      </c>
      <c r="W454" s="34" t="str">
        <f t="shared" si="14"/>
        <v>Leisure/Social-Home</v>
      </c>
      <c r="X454" s="47">
        <v>100000</v>
      </c>
      <c r="Y454" s="38">
        <v>70</v>
      </c>
      <c r="Z454" s="38">
        <v>3</v>
      </c>
      <c r="AA454" s="32">
        <v>10</v>
      </c>
      <c r="AB454" s="34" t="str">
        <f>VLOOKUP(AA454,Key!$C$20:$D$29,2,FALSE)</f>
        <v>Other</v>
      </c>
      <c r="AC454" s="32">
        <v>2</v>
      </c>
      <c r="AD454" s="34" t="str">
        <f>VLOOKUP(AC454,Key!$E$20:$F$24,2,FALSE)</f>
        <v>300,000-500,000</v>
      </c>
      <c r="AE454" s="32">
        <v>1</v>
      </c>
      <c r="AF454" s="55">
        <v>1</v>
      </c>
      <c r="AG454" s="55">
        <v>1</v>
      </c>
      <c r="AH454" s="55">
        <v>1</v>
      </c>
      <c r="AI454" s="55">
        <v>1</v>
      </c>
      <c r="AJ454" s="39" t="s">
        <v>104</v>
      </c>
      <c r="AK454" s="40"/>
      <c r="AL454" s="24"/>
      <c r="AM454" s="24"/>
    </row>
    <row r="455" spans="2:39" x14ac:dyDescent="0.2">
      <c r="B455" s="50">
        <v>43687</v>
      </c>
      <c r="C455" s="35">
        <v>0.4381944444444445</v>
      </c>
      <c r="D455" s="35"/>
      <c r="E455" s="35" t="s">
        <v>111</v>
      </c>
      <c r="F455" s="37">
        <v>2</v>
      </c>
      <c r="G455" s="42" t="str">
        <f>VLOOKUP(F455,Key!$A$17:$B$21,2,FALSE)</f>
        <v>Road Vehicle</v>
      </c>
      <c r="H455" s="36">
        <v>2</v>
      </c>
      <c r="I455" s="43" t="str">
        <f>VLOOKUP(H455,Key!$A$2:$B$13,2,FALSE)</f>
        <v>Station Wagon</v>
      </c>
      <c r="J455" s="37" t="s">
        <v>123</v>
      </c>
      <c r="K455" s="37">
        <v>3</v>
      </c>
      <c r="L455" s="45" t="str">
        <f>VLOOKUP(K455,Key!$A$24:$B$29,2,FALSE)</f>
        <v>40-49</v>
      </c>
      <c r="M455" s="37" t="s">
        <v>167</v>
      </c>
      <c r="N455" s="32" t="s">
        <v>167</v>
      </c>
      <c r="O455" s="37" t="s">
        <v>168</v>
      </c>
      <c r="P455" s="39">
        <v>2</v>
      </c>
      <c r="Q455" s="34" t="str">
        <f>VLOOKUP(P455,Key!$E$2:$F$9,2,FALSE)</f>
        <v>Work</v>
      </c>
      <c r="R455" s="37" t="s">
        <v>176</v>
      </c>
      <c r="S455" s="32" t="s">
        <v>176</v>
      </c>
      <c r="T455" s="37" t="s">
        <v>168</v>
      </c>
      <c r="U455" s="32">
        <v>6</v>
      </c>
      <c r="V455" s="34" t="str">
        <f>VLOOKUP(U455,Key!$E$2:$F$9,2,FALSE)</f>
        <v>Leisure/Social</v>
      </c>
      <c r="W455" s="34" t="str">
        <f t="shared" si="14"/>
        <v>Work-Leisure/Social</v>
      </c>
      <c r="X455" s="47">
        <v>80000</v>
      </c>
      <c r="Y455" s="38">
        <v>80</v>
      </c>
      <c r="Z455" s="38">
        <v>3</v>
      </c>
      <c r="AA455" s="32">
        <v>5</v>
      </c>
      <c r="AB455" s="34" t="str">
        <f>VLOOKUP(AA455,Key!$C$20:$D$29,2,FALSE)</f>
        <v>Professional</v>
      </c>
      <c r="AC455" s="32">
        <v>3</v>
      </c>
      <c r="AD455" s="34" t="str">
        <f>VLOOKUP(AC455,Key!$E$20:$F$24,2,FALSE)</f>
        <v>500,000-750,000</v>
      </c>
      <c r="AE455" s="32">
        <v>2</v>
      </c>
      <c r="AF455" s="55">
        <v>3</v>
      </c>
      <c r="AG455" s="55">
        <v>4</v>
      </c>
      <c r="AH455" s="55">
        <v>1</v>
      </c>
      <c r="AI455" s="55">
        <v>5</v>
      </c>
      <c r="AJ455" s="39" t="s">
        <v>104</v>
      </c>
      <c r="AK455" s="40">
        <v>5000</v>
      </c>
      <c r="AL455" s="24"/>
      <c r="AM455" s="24"/>
    </row>
    <row r="456" spans="2:39" x14ac:dyDescent="0.2">
      <c r="B456" s="50">
        <v>43689</v>
      </c>
      <c r="C456" s="35">
        <v>0.57500000000000007</v>
      </c>
      <c r="D456" s="35"/>
      <c r="E456" s="35" t="s">
        <v>111</v>
      </c>
      <c r="F456" s="37">
        <v>2</v>
      </c>
      <c r="G456" s="42" t="str">
        <f>VLOOKUP(F456,Key!$A$17:$B$21,2,FALSE)</f>
        <v>Road Vehicle</v>
      </c>
      <c r="H456" s="36">
        <v>2</v>
      </c>
      <c r="I456" s="43" t="str">
        <f>VLOOKUP(H456,Key!$A$2:$B$13,2,FALSE)</f>
        <v>Station Wagon</v>
      </c>
      <c r="J456" s="37" t="s">
        <v>123</v>
      </c>
      <c r="K456" s="37">
        <v>3</v>
      </c>
      <c r="L456" s="45" t="str">
        <f>VLOOKUP(K456,Key!$A$24:$B$29,2,FALSE)</f>
        <v>40-49</v>
      </c>
      <c r="M456" s="37" t="s">
        <v>167</v>
      </c>
      <c r="N456" s="32" t="s">
        <v>167</v>
      </c>
      <c r="O456" s="37" t="s">
        <v>168</v>
      </c>
      <c r="P456" s="39">
        <v>1</v>
      </c>
      <c r="Q456" s="34" t="str">
        <f>VLOOKUP(P456,Key!$E$2:$F$9,2,FALSE)</f>
        <v>Home</v>
      </c>
      <c r="R456" s="37" t="s">
        <v>176</v>
      </c>
      <c r="S456" s="32" t="s">
        <v>176</v>
      </c>
      <c r="T456" s="37" t="s">
        <v>168</v>
      </c>
      <c r="U456" s="32">
        <v>4</v>
      </c>
      <c r="V456" s="34" t="str">
        <f>VLOOKUP(U456,Key!$E$2:$F$9,2,FALSE)</f>
        <v>Commercial</v>
      </c>
      <c r="W456" s="34" t="str">
        <f t="shared" ref="W456:W487" si="15">Q456&amp;"-"&amp;V456</f>
        <v>Home-Commercial</v>
      </c>
      <c r="X456" s="47">
        <v>60000</v>
      </c>
      <c r="Y456" s="38">
        <v>80</v>
      </c>
      <c r="Z456" s="38">
        <v>3</v>
      </c>
      <c r="AA456" s="32">
        <v>6</v>
      </c>
      <c r="AB456" s="34" t="str">
        <f>VLOOKUP(AA456,Key!$C$20:$D$29,2,FALSE)</f>
        <v>Businessman</v>
      </c>
      <c r="AC456" s="32">
        <v>2</v>
      </c>
      <c r="AD456" s="34" t="str">
        <f>VLOOKUP(AC456,Key!$E$20:$F$24,2,FALSE)</f>
        <v>300,000-500,000</v>
      </c>
      <c r="AE456" s="32">
        <v>3</v>
      </c>
      <c r="AF456" s="55">
        <v>3</v>
      </c>
      <c r="AG456" s="55">
        <v>2</v>
      </c>
      <c r="AH456" s="55">
        <v>3</v>
      </c>
      <c r="AI456" s="55">
        <v>2</v>
      </c>
      <c r="AJ456" s="39" t="s">
        <v>104</v>
      </c>
      <c r="AK456" s="40">
        <v>2000</v>
      </c>
      <c r="AL456" s="24"/>
      <c r="AM456" s="24"/>
    </row>
    <row r="457" spans="2:39" x14ac:dyDescent="0.2">
      <c r="B457" s="50">
        <v>43687</v>
      </c>
      <c r="C457" s="35">
        <v>0.47569444444444442</v>
      </c>
      <c r="D457" s="35"/>
      <c r="E457" s="35" t="s">
        <v>111</v>
      </c>
      <c r="F457" s="37">
        <v>2</v>
      </c>
      <c r="G457" s="42" t="str">
        <f>VLOOKUP(F457,Key!$A$17:$B$21,2,FALSE)</f>
        <v>Road Vehicle</v>
      </c>
      <c r="H457" s="36">
        <v>2</v>
      </c>
      <c r="I457" s="43" t="str">
        <f>VLOOKUP(H457,Key!$A$2:$B$13,2,FALSE)</f>
        <v>Station Wagon</v>
      </c>
      <c r="J457" s="37" t="s">
        <v>123</v>
      </c>
      <c r="K457" s="37">
        <v>4</v>
      </c>
      <c r="L457" s="45" t="str">
        <f>VLOOKUP(K457,Key!$A$24:$B$29,2,FALSE)</f>
        <v>50-59</v>
      </c>
      <c r="M457" s="37" t="s">
        <v>283</v>
      </c>
      <c r="N457" s="32" t="s">
        <v>188</v>
      </c>
      <c r="O457" s="37" t="s">
        <v>168</v>
      </c>
      <c r="P457" s="39">
        <v>1</v>
      </c>
      <c r="Q457" s="34" t="str">
        <f>VLOOKUP(P457,Key!$E$2:$F$9,2,FALSE)</f>
        <v>Home</v>
      </c>
      <c r="R457" s="37" t="s">
        <v>167</v>
      </c>
      <c r="S457" s="32" t="s">
        <v>167</v>
      </c>
      <c r="T457" s="37" t="s">
        <v>168</v>
      </c>
      <c r="U457" s="32">
        <v>6</v>
      </c>
      <c r="V457" s="34" t="str">
        <f>VLOOKUP(U457,Key!$E$2:$F$9,2,FALSE)</f>
        <v>Leisure/Social</v>
      </c>
      <c r="W457" s="34" t="str">
        <f t="shared" si="15"/>
        <v>Home-Leisure/Social</v>
      </c>
      <c r="X457" s="47">
        <v>50000</v>
      </c>
      <c r="Y457" s="38">
        <v>100</v>
      </c>
      <c r="Z457" s="38">
        <v>2</v>
      </c>
      <c r="AA457" s="32">
        <v>4</v>
      </c>
      <c r="AB457" s="34" t="str">
        <f>VLOOKUP(AA457,Key!$C$20:$D$29,2,FALSE)</f>
        <v>Office Worker</v>
      </c>
      <c r="AC457" s="32">
        <v>5</v>
      </c>
      <c r="AD457" s="34" t="str">
        <f>VLOOKUP(AC457,Key!$E$20:$F$24,2,FALSE)</f>
        <v>&gt;1,000,000</v>
      </c>
      <c r="AE457" s="32">
        <v>1</v>
      </c>
      <c r="AF457" s="55">
        <v>1</v>
      </c>
      <c r="AG457" s="55">
        <v>1</v>
      </c>
      <c r="AH457" s="55">
        <v>1</v>
      </c>
      <c r="AI457" s="55">
        <v>1</v>
      </c>
      <c r="AJ457" s="39" t="s">
        <v>104</v>
      </c>
      <c r="AK457" s="40">
        <v>10000</v>
      </c>
      <c r="AL457" s="24"/>
      <c r="AM457" s="24"/>
    </row>
    <row r="458" spans="2:39" x14ac:dyDescent="0.2">
      <c r="B458" s="50">
        <v>43687</v>
      </c>
      <c r="C458" s="35">
        <v>0.4465277777777778</v>
      </c>
      <c r="D458" s="35"/>
      <c r="E458" s="35" t="s">
        <v>111</v>
      </c>
      <c r="F458" s="37">
        <v>2</v>
      </c>
      <c r="G458" s="42" t="str">
        <f>VLOOKUP(F458,Key!$A$17:$B$21,2,FALSE)</f>
        <v>Road Vehicle</v>
      </c>
      <c r="H458" s="36">
        <v>2</v>
      </c>
      <c r="I458" s="43" t="str">
        <f>VLOOKUP(H458,Key!$A$2:$B$13,2,FALSE)</f>
        <v>Station Wagon</v>
      </c>
      <c r="J458" s="37" t="s">
        <v>123</v>
      </c>
      <c r="K458" s="37">
        <v>5</v>
      </c>
      <c r="L458" s="45" t="str">
        <f>VLOOKUP(K458,Key!$A$24:$B$29,2,FALSE)</f>
        <v>60-69</v>
      </c>
      <c r="M458" s="37" t="s">
        <v>334</v>
      </c>
      <c r="N458" s="32" t="s">
        <v>176</v>
      </c>
      <c r="O458" s="37" t="s">
        <v>168</v>
      </c>
      <c r="P458" s="39">
        <v>1</v>
      </c>
      <c r="Q458" s="34" t="str">
        <f>VLOOKUP(P458,Key!$E$2:$F$9,2,FALSE)</f>
        <v>Home</v>
      </c>
      <c r="R458" s="37" t="s">
        <v>216</v>
      </c>
      <c r="S458" s="32" t="s">
        <v>167</v>
      </c>
      <c r="T458" s="37" t="s">
        <v>168</v>
      </c>
      <c r="U458" s="32">
        <v>6</v>
      </c>
      <c r="V458" s="34" t="str">
        <f>VLOOKUP(U458,Key!$E$2:$F$9,2,FALSE)</f>
        <v>Leisure/Social</v>
      </c>
      <c r="W458" s="34" t="str">
        <f t="shared" si="15"/>
        <v>Home-Leisure/Social</v>
      </c>
      <c r="X458" s="47">
        <v>50000</v>
      </c>
      <c r="Y458" s="38">
        <v>90</v>
      </c>
      <c r="Z458" s="38">
        <v>2.5</v>
      </c>
      <c r="AA458" s="32">
        <v>4</v>
      </c>
      <c r="AB458" s="34" t="str">
        <f>VLOOKUP(AA458,Key!$C$20:$D$29,2,FALSE)</f>
        <v>Office Worker</v>
      </c>
      <c r="AC458" s="32">
        <v>5</v>
      </c>
      <c r="AD458" s="34" t="str">
        <f>VLOOKUP(AC458,Key!$E$20:$F$24,2,FALSE)</f>
        <v>&gt;1,000,000</v>
      </c>
      <c r="AE458" s="32">
        <v>1</v>
      </c>
      <c r="AF458" s="55">
        <v>1</v>
      </c>
      <c r="AG458" s="55">
        <v>1</v>
      </c>
      <c r="AH458" s="55">
        <v>1</v>
      </c>
      <c r="AI458" s="55">
        <v>1</v>
      </c>
      <c r="AJ458" s="39" t="s">
        <v>104</v>
      </c>
      <c r="AK458" s="40">
        <v>10000</v>
      </c>
      <c r="AL458" s="24"/>
      <c r="AM458" s="24"/>
    </row>
    <row r="459" spans="2:39" hidden="1" x14ac:dyDescent="0.2">
      <c r="B459" s="50">
        <v>43687</v>
      </c>
      <c r="C459" s="35">
        <v>0.49652777777777773</v>
      </c>
      <c r="D459" s="35"/>
      <c r="E459" s="35" t="s">
        <v>111</v>
      </c>
      <c r="F459" s="37">
        <v>2</v>
      </c>
      <c r="G459" s="42" t="str">
        <f>VLOOKUP(F459,Key!$A$17:$B$21,2,FALSE)</f>
        <v>Road Vehicle</v>
      </c>
      <c r="H459" s="36">
        <v>2</v>
      </c>
      <c r="I459" s="43" t="str">
        <f>VLOOKUP(H459,Key!$A$2:$B$13,2,FALSE)</f>
        <v>Station Wagon</v>
      </c>
      <c r="J459" s="37" t="s">
        <v>166</v>
      </c>
      <c r="K459" s="37">
        <v>2</v>
      </c>
      <c r="L459" s="45" t="str">
        <f>VLOOKUP(K459,Key!$A$24:$B$29,2,FALSE)</f>
        <v>30-39</v>
      </c>
      <c r="M459" s="37" t="s">
        <v>199</v>
      </c>
      <c r="N459" s="32" t="s">
        <v>199</v>
      </c>
      <c r="O459" s="37" t="s">
        <v>168</v>
      </c>
      <c r="P459" s="39">
        <v>2</v>
      </c>
      <c r="Q459" s="34" t="str">
        <f>VLOOKUP(P459,Key!$E$2:$F$9,2,FALSE)</f>
        <v>Work</v>
      </c>
      <c r="R459" s="37" t="s">
        <v>167</v>
      </c>
      <c r="S459" s="32" t="s">
        <v>167</v>
      </c>
      <c r="T459" s="37" t="s">
        <v>168</v>
      </c>
      <c r="U459" s="32">
        <v>4</v>
      </c>
      <c r="V459" s="34" t="str">
        <f>VLOOKUP(U459,Key!$E$2:$F$9,2,FALSE)</f>
        <v>Commercial</v>
      </c>
      <c r="W459" s="34" t="str">
        <f t="shared" si="15"/>
        <v>Work-Commercial</v>
      </c>
      <c r="X459" s="47">
        <v>55000</v>
      </c>
      <c r="Y459" s="38">
        <v>109</v>
      </c>
      <c r="Z459" s="38">
        <v>4</v>
      </c>
      <c r="AA459" s="32">
        <v>10</v>
      </c>
      <c r="AB459" s="34" t="str">
        <f>VLOOKUP(AA459,Key!$C$20:$D$29,2,FALSE)</f>
        <v>Other</v>
      </c>
      <c r="AC459" s="32">
        <v>2</v>
      </c>
      <c r="AD459" s="34" t="str">
        <f>VLOOKUP(AC459,Key!$E$20:$F$24,2,FALSE)</f>
        <v>300,000-500,000</v>
      </c>
      <c r="AE459" s="32">
        <v>2</v>
      </c>
      <c r="AF459" s="55">
        <v>3</v>
      </c>
      <c r="AG459" s="55">
        <v>2</v>
      </c>
      <c r="AH459" s="55">
        <v>1</v>
      </c>
      <c r="AI459" s="55">
        <v>5</v>
      </c>
      <c r="AJ459" s="39" t="s">
        <v>104</v>
      </c>
      <c r="AK459" s="40">
        <v>4000</v>
      </c>
      <c r="AL459" s="24"/>
      <c r="AM459" s="24"/>
    </row>
    <row r="460" spans="2:39" hidden="1" x14ac:dyDescent="0.2">
      <c r="B460" s="50">
        <v>43687</v>
      </c>
      <c r="C460" s="35">
        <v>0.47222222222222227</v>
      </c>
      <c r="D460" s="35"/>
      <c r="E460" s="35" t="s">
        <v>111</v>
      </c>
      <c r="F460" s="37">
        <v>2</v>
      </c>
      <c r="G460" s="42" t="str">
        <f>VLOOKUP(F460,Key!$A$17:$B$21,2,FALSE)</f>
        <v>Road Vehicle</v>
      </c>
      <c r="H460" s="36">
        <v>2</v>
      </c>
      <c r="I460" s="43" t="str">
        <f>VLOOKUP(H460,Key!$A$2:$B$13,2,FALSE)</f>
        <v>Station Wagon</v>
      </c>
      <c r="J460" s="37" t="s">
        <v>123</v>
      </c>
      <c r="K460" s="37">
        <v>2</v>
      </c>
      <c r="L460" s="45" t="str">
        <f>VLOOKUP(K460,Key!$A$24:$B$29,2,FALSE)</f>
        <v>30-39</v>
      </c>
      <c r="M460" s="37" t="s">
        <v>167</v>
      </c>
      <c r="N460" s="32" t="s">
        <v>167</v>
      </c>
      <c r="O460" s="37" t="s">
        <v>168</v>
      </c>
      <c r="P460" s="39">
        <v>2</v>
      </c>
      <c r="Q460" s="34" t="str">
        <f>VLOOKUP(P460,Key!$E$2:$F$9,2,FALSE)</f>
        <v>Work</v>
      </c>
      <c r="R460" s="37" t="s">
        <v>199</v>
      </c>
      <c r="S460" s="32" t="s">
        <v>199</v>
      </c>
      <c r="T460" s="37" t="s">
        <v>168</v>
      </c>
      <c r="U460" s="32">
        <v>4</v>
      </c>
      <c r="V460" s="34" t="str">
        <f>VLOOKUP(U460,Key!$E$2:$F$9,2,FALSE)</f>
        <v>Commercial</v>
      </c>
      <c r="W460" s="34" t="str">
        <f t="shared" si="15"/>
        <v>Work-Commercial</v>
      </c>
      <c r="X460" s="47">
        <v>50000</v>
      </c>
      <c r="Y460" s="38">
        <v>110</v>
      </c>
      <c r="Z460" s="38">
        <v>4</v>
      </c>
      <c r="AA460" s="32">
        <v>5</v>
      </c>
      <c r="AB460" s="34" t="str">
        <f>VLOOKUP(AA460,Key!$C$20:$D$29,2,FALSE)</f>
        <v>Professional</v>
      </c>
      <c r="AC460" s="32">
        <v>3</v>
      </c>
      <c r="AD460" s="34" t="str">
        <f>VLOOKUP(AC460,Key!$E$20:$F$24,2,FALSE)</f>
        <v>500,000-750,000</v>
      </c>
      <c r="AE460" s="32">
        <v>2</v>
      </c>
      <c r="AF460" s="55">
        <v>3</v>
      </c>
      <c r="AG460" s="55">
        <v>4</v>
      </c>
      <c r="AH460" s="55">
        <v>1</v>
      </c>
      <c r="AI460" s="55">
        <v>5</v>
      </c>
      <c r="AJ460" s="39" t="s">
        <v>104</v>
      </c>
      <c r="AK460" s="40">
        <v>4000</v>
      </c>
      <c r="AL460" s="24"/>
      <c r="AM460" s="24"/>
    </row>
    <row r="461" spans="2:39" hidden="1" x14ac:dyDescent="0.2">
      <c r="B461" s="50">
        <v>43688</v>
      </c>
      <c r="C461" s="35">
        <v>0.54305555555555551</v>
      </c>
      <c r="D461" s="35"/>
      <c r="E461" s="35" t="s">
        <v>111</v>
      </c>
      <c r="F461" s="37">
        <v>2</v>
      </c>
      <c r="G461" s="42" t="str">
        <f>VLOOKUP(F461,Key!$A$17:$B$21,2,FALSE)</f>
        <v>Road Vehicle</v>
      </c>
      <c r="H461" s="36">
        <v>2</v>
      </c>
      <c r="I461" s="43" t="str">
        <f>VLOOKUP(H461,Key!$A$2:$B$13,2,FALSE)</f>
        <v>Station Wagon</v>
      </c>
      <c r="J461" s="37" t="s">
        <v>123</v>
      </c>
      <c r="K461" s="37">
        <v>4</v>
      </c>
      <c r="L461" s="45" t="str">
        <f>VLOOKUP(K461,Key!$A$24:$B$29,2,FALSE)</f>
        <v>50-59</v>
      </c>
      <c r="M461" s="37" t="s">
        <v>199</v>
      </c>
      <c r="N461" s="32" t="s">
        <v>199</v>
      </c>
      <c r="O461" s="37" t="s">
        <v>168</v>
      </c>
      <c r="P461" s="39">
        <v>4</v>
      </c>
      <c r="Q461" s="34" t="str">
        <f>VLOOKUP(P461,Key!$E$2:$F$9,2,FALSE)</f>
        <v>Commercial</v>
      </c>
      <c r="R461" s="37" t="s">
        <v>167</v>
      </c>
      <c r="S461" s="32" t="s">
        <v>167</v>
      </c>
      <c r="T461" s="37" t="s">
        <v>168</v>
      </c>
      <c r="U461" s="32">
        <v>4</v>
      </c>
      <c r="V461" s="34" t="str">
        <f>VLOOKUP(U461,Key!$E$2:$F$9,2,FALSE)</f>
        <v>Commercial</v>
      </c>
      <c r="W461" s="34" t="str">
        <f t="shared" si="15"/>
        <v>Commercial-Commercial</v>
      </c>
      <c r="X461" s="47">
        <v>200000</v>
      </c>
      <c r="Y461" s="38">
        <v>123</v>
      </c>
      <c r="Z461" s="38">
        <v>2</v>
      </c>
      <c r="AA461" s="32">
        <v>6</v>
      </c>
      <c r="AB461" s="34" t="str">
        <f>VLOOKUP(AA461,Key!$C$20:$D$29,2,FALSE)</f>
        <v>Businessman</v>
      </c>
      <c r="AC461" s="32">
        <v>5</v>
      </c>
      <c r="AD461" s="34" t="str">
        <f>VLOOKUP(AC461,Key!$E$20:$F$24,2,FALSE)</f>
        <v>&gt;1,000,000</v>
      </c>
      <c r="AE461" s="32">
        <v>1</v>
      </c>
      <c r="AF461" s="55">
        <v>2</v>
      </c>
      <c r="AG461" s="55">
        <v>1</v>
      </c>
      <c r="AH461" s="55">
        <v>1</v>
      </c>
      <c r="AI461" s="55">
        <v>3</v>
      </c>
      <c r="AJ461" s="39" t="s">
        <v>104</v>
      </c>
      <c r="AK461" s="40">
        <v>10000</v>
      </c>
      <c r="AL461" s="24"/>
      <c r="AM461" s="24"/>
    </row>
    <row r="462" spans="2:39" hidden="1" x14ac:dyDescent="0.2">
      <c r="B462" s="50">
        <v>43688</v>
      </c>
      <c r="C462" s="35">
        <v>0.5625</v>
      </c>
      <c r="D462" s="35"/>
      <c r="E462" s="35" t="s">
        <v>111</v>
      </c>
      <c r="F462" s="37">
        <v>2</v>
      </c>
      <c r="G462" s="42" t="str">
        <f>VLOOKUP(F462,Key!$A$17:$B$21,2,FALSE)</f>
        <v>Road Vehicle</v>
      </c>
      <c r="H462" s="36">
        <v>2</v>
      </c>
      <c r="I462" s="43" t="str">
        <f>VLOOKUP(H462,Key!$A$2:$B$13,2,FALSE)</f>
        <v>Station Wagon</v>
      </c>
      <c r="J462" s="37" t="s">
        <v>123</v>
      </c>
      <c r="K462" s="37">
        <v>2</v>
      </c>
      <c r="L462" s="45" t="str">
        <f>VLOOKUP(K462,Key!$A$24:$B$29,2,FALSE)</f>
        <v>30-39</v>
      </c>
      <c r="M462" s="37" t="s">
        <v>247</v>
      </c>
      <c r="N462" s="32" t="s">
        <v>167</v>
      </c>
      <c r="O462" s="37" t="s">
        <v>168</v>
      </c>
      <c r="P462" s="39">
        <v>2</v>
      </c>
      <c r="Q462" s="34" t="str">
        <f>VLOOKUP(P462,Key!$E$2:$F$9,2,FALSE)</f>
        <v>Work</v>
      </c>
      <c r="R462" s="37" t="s">
        <v>265</v>
      </c>
      <c r="S462" s="32" t="s">
        <v>169</v>
      </c>
      <c r="T462" s="37" t="s">
        <v>168</v>
      </c>
      <c r="U462" s="32">
        <v>2</v>
      </c>
      <c r="V462" s="34" t="str">
        <f>VLOOKUP(U462,Key!$E$2:$F$9,2,FALSE)</f>
        <v>Work</v>
      </c>
      <c r="W462" s="34" t="str">
        <f t="shared" si="15"/>
        <v>Work-Work</v>
      </c>
      <c r="X462" s="47">
        <v>110000</v>
      </c>
      <c r="Y462" s="38">
        <v>140</v>
      </c>
      <c r="Z462" s="38">
        <v>2</v>
      </c>
      <c r="AA462" s="32">
        <v>10</v>
      </c>
      <c r="AB462" s="34" t="str">
        <f>VLOOKUP(AA462,Key!$C$20:$D$29,2,FALSE)</f>
        <v>Other</v>
      </c>
      <c r="AC462" s="32">
        <v>2</v>
      </c>
      <c r="AD462" s="34" t="str">
        <f>VLOOKUP(AC462,Key!$E$20:$F$24,2,FALSE)</f>
        <v>300,000-500,000</v>
      </c>
      <c r="AE462" s="32">
        <v>1</v>
      </c>
      <c r="AF462" s="55">
        <v>2</v>
      </c>
      <c r="AG462" s="55">
        <v>1</v>
      </c>
      <c r="AH462" s="55">
        <v>1</v>
      </c>
      <c r="AI462" s="55">
        <v>1</v>
      </c>
      <c r="AJ462" s="39" t="s">
        <v>104</v>
      </c>
      <c r="AK462" s="40">
        <v>500</v>
      </c>
      <c r="AL462" s="24"/>
      <c r="AM462" s="24"/>
    </row>
    <row r="463" spans="2:39" hidden="1" x14ac:dyDescent="0.2">
      <c r="B463" s="50">
        <v>43688</v>
      </c>
      <c r="C463" s="35">
        <v>0.67013888888888884</v>
      </c>
      <c r="D463" s="35"/>
      <c r="E463" s="35" t="s">
        <v>111</v>
      </c>
      <c r="F463" s="37">
        <v>2</v>
      </c>
      <c r="G463" s="42" t="str">
        <f>VLOOKUP(F463,Key!$A$17:$B$21,2,FALSE)</f>
        <v>Road Vehicle</v>
      </c>
      <c r="H463" s="36">
        <v>2</v>
      </c>
      <c r="I463" s="43" t="str">
        <f>VLOOKUP(H463,Key!$A$2:$B$13,2,FALSE)</f>
        <v>Station Wagon</v>
      </c>
      <c r="J463" s="37" t="s">
        <v>123</v>
      </c>
      <c r="K463" s="37">
        <v>4</v>
      </c>
      <c r="L463" s="45" t="str">
        <f>VLOOKUP(K463,Key!$A$24:$B$29,2,FALSE)</f>
        <v>50-59</v>
      </c>
      <c r="M463" s="44" t="s">
        <v>187</v>
      </c>
      <c r="N463" s="44" t="s">
        <v>167</v>
      </c>
      <c r="O463" s="37" t="s">
        <v>168</v>
      </c>
      <c r="P463" s="39">
        <v>1</v>
      </c>
      <c r="Q463" s="34" t="str">
        <f>VLOOKUP(P463,Key!$E$2:$F$9,2,FALSE)</f>
        <v>Home</v>
      </c>
      <c r="R463" s="37" t="s">
        <v>213</v>
      </c>
      <c r="S463" s="32" t="s">
        <v>30</v>
      </c>
      <c r="T463" s="37" t="s">
        <v>168</v>
      </c>
      <c r="U463" s="32">
        <v>6</v>
      </c>
      <c r="V463" s="34" t="str">
        <f>VLOOKUP(U463,Key!$E$2:$F$9,2,FALSE)</f>
        <v>Leisure/Social</v>
      </c>
      <c r="W463" s="34" t="str">
        <f t="shared" si="15"/>
        <v>Home-Leisure/Social</v>
      </c>
      <c r="X463" s="47">
        <v>40000</v>
      </c>
      <c r="Y463" s="38">
        <v>150</v>
      </c>
      <c r="Z463" s="38">
        <v>3</v>
      </c>
      <c r="AA463" s="32">
        <v>6</v>
      </c>
      <c r="AB463" s="34" t="str">
        <f>VLOOKUP(AA463,Key!$C$20:$D$29,2,FALSE)</f>
        <v>Businessman</v>
      </c>
      <c r="AC463" s="32">
        <v>5</v>
      </c>
      <c r="AD463" s="34" t="str">
        <f>VLOOKUP(AC463,Key!$E$20:$F$24,2,FALSE)</f>
        <v>&gt;1,000,000</v>
      </c>
      <c r="AE463" s="32">
        <v>1</v>
      </c>
      <c r="AF463" s="55">
        <v>1</v>
      </c>
      <c r="AG463" s="55">
        <v>1</v>
      </c>
      <c r="AH463" s="55">
        <v>1</v>
      </c>
      <c r="AI463" s="55">
        <v>1</v>
      </c>
      <c r="AJ463" s="39" t="s">
        <v>104</v>
      </c>
      <c r="AK463" s="40">
        <v>10000</v>
      </c>
      <c r="AL463" s="24"/>
      <c r="AM463" s="24"/>
    </row>
    <row r="464" spans="2:39" hidden="1" x14ac:dyDescent="0.2">
      <c r="B464" s="50">
        <v>43690</v>
      </c>
      <c r="C464" s="35">
        <v>0.62847222222222221</v>
      </c>
      <c r="D464" s="35"/>
      <c r="E464" s="35" t="s">
        <v>111</v>
      </c>
      <c r="F464" s="37">
        <v>2</v>
      </c>
      <c r="G464" s="42" t="str">
        <f>VLOOKUP(F464,Key!$A$17:$B$21,2,FALSE)</f>
        <v>Road Vehicle</v>
      </c>
      <c r="H464" s="36">
        <v>2</v>
      </c>
      <c r="I464" s="43" t="str">
        <f>VLOOKUP(H464,Key!$A$2:$B$13,2,FALSE)</f>
        <v>Station Wagon</v>
      </c>
      <c r="J464" s="37" t="s">
        <v>123</v>
      </c>
      <c r="K464" s="37">
        <v>4</v>
      </c>
      <c r="L464" s="45" t="str">
        <f>VLOOKUP(K464,Key!$A$24:$B$29,2,FALSE)</f>
        <v>50-59</v>
      </c>
      <c r="M464" s="44" t="s">
        <v>187</v>
      </c>
      <c r="N464" s="44" t="s">
        <v>167</v>
      </c>
      <c r="O464" s="37" t="s">
        <v>168</v>
      </c>
      <c r="P464" s="39">
        <v>1</v>
      </c>
      <c r="Q464" s="34" t="str">
        <f>VLOOKUP(P464,Key!$E$2:$F$9,2,FALSE)</f>
        <v>Home</v>
      </c>
      <c r="R464" s="37" t="s">
        <v>213</v>
      </c>
      <c r="S464" s="32" t="s">
        <v>30</v>
      </c>
      <c r="T464" s="37" t="s">
        <v>168</v>
      </c>
      <c r="U464" s="32">
        <v>6</v>
      </c>
      <c r="V464" s="34" t="str">
        <f>VLOOKUP(U464,Key!$E$2:$F$9,2,FALSE)</f>
        <v>Leisure/Social</v>
      </c>
      <c r="W464" s="34" t="str">
        <f t="shared" si="15"/>
        <v>Home-Leisure/Social</v>
      </c>
      <c r="X464" s="47">
        <v>40000</v>
      </c>
      <c r="Y464" s="38">
        <v>150</v>
      </c>
      <c r="Z464" s="38">
        <v>3</v>
      </c>
      <c r="AA464" s="32">
        <v>6</v>
      </c>
      <c r="AB464" s="34" t="str">
        <f>VLOOKUP(AA464,Key!$C$20:$D$29,2,FALSE)</f>
        <v>Businessman</v>
      </c>
      <c r="AC464" s="32">
        <v>5</v>
      </c>
      <c r="AD464" s="34" t="str">
        <f>VLOOKUP(AC464,Key!$E$20:$F$24,2,FALSE)</f>
        <v>&gt;1,000,000</v>
      </c>
      <c r="AE464" s="32">
        <v>1</v>
      </c>
      <c r="AF464" s="55">
        <v>1</v>
      </c>
      <c r="AG464" s="55">
        <v>1</v>
      </c>
      <c r="AH464" s="55">
        <v>1</v>
      </c>
      <c r="AI464" s="55">
        <v>1</v>
      </c>
      <c r="AJ464" s="39" t="s">
        <v>104</v>
      </c>
      <c r="AK464" s="40">
        <v>10000</v>
      </c>
      <c r="AL464" s="24"/>
      <c r="AM464" s="24"/>
    </row>
    <row r="465" spans="2:39" hidden="1" x14ac:dyDescent="0.2">
      <c r="B465" s="50">
        <v>43690</v>
      </c>
      <c r="C465" s="35">
        <v>0.55555555555555558</v>
      </c>
      <c r="D465" s="35"/>
      <c r="E465" s="35" t="s">
        <v>111</v>
      </c>
      <c r="F465" s="37">
        <v>2</v>
      </c>
      <c r="G465" s="42" t="str">
        <f>VLOOKUP(F465,Key!$A$17:$B$21,2,FALSE)</f>
        <v>Road Vehicle</v>
      </c>
      <c r="H465" s="36">
        <v>2</v>
      </c>
      <c r="I465" s="43" t="str">
        <f>VLOOKUP(H465,Key!$A$2:$B$13,2,FALSE)</f>
        <v>Station Wagon</v>
      </c>
      <c r="J465" s="37" t="s">
        <v>123</v>
      </c>
      <c r="K465" s="13">
        <v>2</v>
      </c>
      <c r="L465" s="45" t="str">
        <f>VLOOKUP(K465,Key!$A$24:$B$29,2,FALSE)</f>
        <v>30-39</v>
      </c>
      <c r="M465" s="44" t="s">
        <v>196</v>
      </c>
      <c r="N465" s="44" t="s">
        <v>167</v>
      </c>
      <c r="O465" s="37" t="s">
        <v>168</v>
      </c>
      <c r="P465" s="39">
        <v>2</v>
      </c>
      <c r="Q465" s="34" t="str">
        <f>VLOOKUP(P465,Key!$E$2:$F$9,2,FALSE)</f>
        <v>Work</v>
      </c>
      <c r="R465" s="37" t="s">
        <v>175</v>
      </c>
      <c r="S465" s="32" t="s">
        <v>175</v>
      </c>
      <c r="T465" s="37" t="s">
        <v>168</v>
      </c>
      <c r="U465" s="32">
        <v>4</v>
      </c>
      <c r="V465" s="34" t="str">
        <f>VLOOKUP(U465,Key!$E$2:$F$9,2,FALSE)</f>
        <v>Commercial</v>
      </c>
      <c r="W465" s="34" t="str">
        <f t="shared" si="15"/>
        <v>Work-Commercial</v>
      </c>
      <c r="X465" s="47">
        <v>10000</v>
      </c>
      <c r="Y465" s="38">
        <v>150</v>
      </c>
      <c r="Z465" s="38">
        <v>5</v>
      </c>
      <c r="AA465" s="32">
        <v>10</v>
      </c>
      <c r="AB465" s="34" t="str">
        <f>VLOOKUP(AA465,Key!$C$20:$D$29,2,FALSE)</f>
        <v>Other</v>
      </c>
      <c r="AC465" s="32">
        <v>3</v>
      </c>
      <c r="AD465" s="34" t="str">
        <f>VLOOKUP(AC465,Key!$E$20:$F$24,2,FALSE)</f>
        <v>500,000-750,000</v>
      </c>
      <c r="AE465" s="32">
        <v>1</v>
      </c>
      <c r="AF465" s="55">
        <v>2</v>
      </c>
      <c r="AG465" s="55">
        <v>1</v>
      </c>
      <c r="AH465" s="55">
        <v>1</v>
      </c>
      <c r="AI465" s="55">
        <v>1</v>
      </c>
      <c r="AJ465" s="39" t="s">
        <v>104</v>
      </c>
      <c r="AK465" s="40"/>
      <c r="AL465" s="24"/>
      <c r="AM465" s="24"/>
    </row>
    <row r="466" spans="2:39" hidden="1" x14ac:dyDescent="0.2">
      <c r="B466" s="50">
        <v>43686</v>
      </c>
      <c r="C466" s="35">
        <v>0.66249999999999998</v>
      </c>
      <c r="D466" s="35"/>
      <c r="E466" s="35" t="s">
        <v>111</v>
      </c>
      <c r="F466" s="37">
        <v>2</v>
      </c>
      <c r="G466" s="42" t="str">
        <f>VLOOKUP(F466,Key!$A$17:$B$21,2,FALSE)</f>
        <v>Road Vehicle</v>
      </c>
      <c r="H466" s="36">
        <v>2</v>
      </c>
      <c r="I466" s="43" t="str">
        <f>VLOOKUP(H466,Key!$A$2:$B$13,2,FALSE)</f>
        <v>Station Wagon</v>
      </c>
      <c r="J466" s="37" t="s">
        <v>166</v>
      </c>
      <c r="K466" s="37">
        <v>2</v>
      </c>
      <c r="L466" s="45" t="str">
        <f>VLOOKUP(K466,Key!$A$24:$B$29,2,FALSE)</f>
        <v>30-39</v>
      </c>
      <c r="M466" s="37" t="s">
        <v>199</v>
      </c>
      <c r="N466" s="32" t="s">
        <v>199</v>
      </c>
      <c r="O466" s="37" t="s">
        <v>168</v>
      </c>
      <c r="P466" s="39">
        <v>6</v>
      </c>
      <c r="Q466" s="34" t="str">
        <f>VLOOKUP(P466,Key!$E$2:$F$9,2,FALSE)</f>
        <v>Leisure/Social</v>
      </c>
      <c r="R466" s="37" t="s">
        <v>222</v>
      </c>
      <c r="S466" s="32" t="s">
        <v>176</v>
      </c>
      <c r="T466" s="37" t="s">
        <v>168</v>
      </c>
      <c r="U466" s="32">
        <v>1</v>
      </c>
      <c r="V466" s="34" t="str">
        <f>VLOOKUP(U466,Key!$E$2:$F$9,2,FALSE)</f>
        <v>Home</v>
      </c>
      <c r="W466" s="34" t="str">
        <f t="shared" si="15"/>
        <v>Leisure/Social-Home</v>
      </c>
      <c r="X466" s="47">
        <v>80000</v>
      </c>
      <c r="Y466" s="38">
        <v>200</v>
      </c>
      <c r="Z466" s="38">
        <v>4</v>
      </c>
      <c r="AA466" s="32">
        <v>4</v>
      </c>
      <c r="AB466" s="34" t="str">
        <f>VLOOKUP(AA466,Key!$C$20:$D$29,2,FALSE)</f>
        <v>Office Worker</v>
      </c>
      <c r="AC466" s="32">
        <v>5</v>
      </c>
      <c r="AD466" s="34" t="str">
        <f>VLOOKUP(AC466,Key!$E$20:$F$24,2,FALSE)</f>
        <v>&gt;1,000,000</v>
      </c>
      <c r="AE466" s="32">
        <v>1</v>
      </c>
      <c r="AF466" s="55">
        <v>1</v>
      </c>
      <c r="AG466" s="55">
        <v>1</v>
      </c>
      <c r="AH466" s="55">
        <v>1</v>
      </c>
      <c r="AI466" s="55">
        <v>1</v>
      </c>
      <c r="AJ466" s="39" t="s">
        <v>104</v>
      </c>
      <c r="AK466" s="40">
        <v>5000</v>
      </c>
      <c r="AL466" s="24"/>
      <c r="AM466" s="24"/>
    </row>
    <row r="467" spans="2:39" hidden="1" x14ac:dyDescent="0.2">
      <c r="B467" s="50">
        <v>43687</v>
      </c>
      <c r="C467" s="35">
        <v>0.38680555555555557</v>
      </c>
      <c r="D467" s="35"/>
      <c r="E467" s="35" t="s">
        <v>111</v>
      </c>
      <c r="F467" s="37">
        <v>2</v>
      </c>
      <c r="G467" s="42" t="str">
        <f>VLOOKUP(F467,Key!$A$17:$B$21,2,FALSE)</f>
        <v>Road Vehicle</v>
      </c>
      <c r="H467" s="36">
        <v>2</v>
      </c>
      <c r="I467" s="43" t="str">
        <f>VLOOKUP(H467,Key!$A$2:$B$13,2,FALSE)</f>
        <v>Station Wagon</v>
      </c>
      <c r="J467" s="37" t="s">
        <v>123</v>
      </c>
      <c r="K467" s="37">
        <v>3</v>
      </c>
      <c r="L467" s="45" t="str">
        <f>VLOOKUP(K467,Key!$A$24:$B$29,2,FALSE)</f>
        <v>40-49</v>
      </c>
      <c r="M467" s="37" t="s">
        <v>265</v>
      </c>
      <c r="N467" s="32" t="s">
        <v>169</v>
      </c>
      <c r="O467" s="37" t="s">
        <v>168</v>
      </c>
      <c r="P467" s="39">
        <v>6</v>
      </c>
      <c r="Q467" s="34" t="str">
        <f>VLOOKUP(P467,Key!$E$2:$F$9,2,FALSE)</f>
        <v>Leisure/Social</v>
      </c>
      <c r="R467" s="37" t="s">
        <v>217</v>
      </c>
      <c r="S467" s="32" t="s">
        <v>176</v>
      </c>
      <c r="T467" s="37" t="s">
        <v>168</v>
      </c>
      <c r="U467" s="32">
        <v>1</v>
      </c>
      <c r="V467" s="34" t="str">
        <f>VLOOKUP(U467,Key!$E$2:$F$9,2,FALSE)</f>
        <v>Home</v>
      </c>
      <c r="W467" s="34" t="str">
        <f t="shared" si="15"/>
        <v>Leisure/Social-Home</v>
      </c>
      <c r="X467" s="47">
        <v>120000</v>
      </c>
      <c r="Y467" s="38">
        <v>200</v>
      </c>
      <c r="Z467" s="38">
        <v>4</v>
      </c>
      <c r="AA467" s="32">
        <v>5</v>
      </c>
      <c r="AB467" s="34" t="str">
        <f>VLOOKUP(AA467,Key!$C$20:$D$29,2,FALSE)</f>
        <v>Professional</v>
      </c>
      <c r="AC467" s="32">
        <v>5</v>
      </c>
      <c r="AD467" s="34" t="str">
        <f>VLOOKUP(AC467,Key!$E$20:$F$24,2,FALSE)</f>
        <v>&gt;1,000,000</v>
      </c>
      <c r="AE467" s="32">
        <v>1</v>
      </c>
      <c r="AF467" s="55">
        <v>1</v>
      </c>
      <c r="AG467" s="55">
        <v>1</v>
      </c>
      <c r="AH467" s="55">
        <v>1</v>
      </c>
      <c r="AI467" s="55">
        <v>1</v>
      </c>
      <c r="AJ467" s="39" t="s">
        <v>104</v>
      </c>
      <c r="AK467" s="40">
        <v>5000</v>
      </c>
      <c r="AL467" s="24"/>
      <c r="AM467" s="24"/>
    </row>
    <row r="468" spans="2:39" hidden="1" x14ac:dyDescent="0.2">
      <c r="B468" s="50">
        <v>43690</v>
      </c>
      <c r="C468" s="35">
        <v>0.52916666666666667</v>
      </c>
      <c r="D468" s="35"/>
      <c r="E468" s="35" t="s">
        <v>111</v>
      </c>
      <c r="F468" s="37">
        <v>2</v>
      </c>
      <c r="G468" s="42" t="str">
        <f>VLOOKUP(F468,Key!$A$17:$B$21,2,FALSE)</f>
        <v>Road Vehicle</v>
      </c>
      <c r="H468" s="36">
        <v>2</v>
      </c>
      <c r="I468" s="43" t="str">
        <f>VLOOKUP(H468,Key!$A$2:$B$13,2,FALSE)</f>
        <v>Station Wagon</v>
      </c>
      <c r="J468" s="37" t="s">
        <v>123</v>
      </c>
      <c r="K468" s="37">
        <v>4</v>
      </c>
      <c r="L468" s="45" t="str">
        <f>VLOOKUP(K468,Key!$A$24:$B$29,2,FALSE)</f>
        <v>50-59</v>
      </c>
      <c r="M468" s="37" t="s">
        <v>319</v>
      </c>
      <c r="N468" s="32" t="s">
        <v>320</v>
      </c>
      <c r="O468" s="37" t="s">
        <v>168</v>
      </c>
      <c r="P468" s="39">
        <v>1</v>
      </c>
      <c r="Q468" s="34" t="str">
        <f>VLOOKUP(P468,Key!$E$2:$F$9,2,FALSE)</f>
        <v>Home</v>
      </c>
      <c r="R468" s="37" t="s">
        <v>232</v>
      </c>
      <c r="S468" s="32" t="s">
        <v>188</v>
      </c>
      <c r="T468" s="37" t="s">
        <v>168</v>
      </c>
      <c r="U468" s="32">
        <v>6</v>
      </c>
      <c r="V468" s="34" t="str">
        <f>VLOOKUP(U468,Key!$E$2:$F$9,2,FALSE)</f>
        <v>Leisure/Social</v>
      </c>
      <c r="W468" s="34" t="str">
        <f t="shared" si="15"/>
        <v>Home-Leisure/Social</v>
      </c>
      <c r="X468" s="47">
        <v>150000</v>
      </c>
      <c r="Y468" s="38">
        <v>200</v>
      </c>
      <c r="Z468" s="38">
        <v>4</v>
      </c>
      <c r="AA468" s="32">
        <v>5</v>
      </c>
      <c r="AB468" s="34" t="str">
        <f>VLOOKUP(AA468,Key!$C$20:$D$29,2,FALSE)</f>
        <v>Professional</v>
      </c>
      <c r="AC468" s="32">
        <v>5</v>
      </c>
      <c r="AD468" s="34" t="str">
        <f>VLOOKUP(AC468,Key!$E$20:$F$24,2,FALSE)</f>
        <v>&gt;1,000,000</v>
      </c>
      <c r="AE468" s="32">
        <v>1</v>
      </c>
      <c r="AF468" s="55">
        <v>1</v>
      </c>
      <c r="AG468" s="55">
        <v>2</v>
      </c>
      <c r="AH468" s="55">
        <v>1</v>
      </c>
      <c r="AI468" s="55">
        <v>1</v>
      </c>
      <c r="AJ468" s="39" t="s">
        <v>104</v>
      </c>
      <c r="AK468" s="40">
        <v>10000</v>
      </c>
      <c r="AL468" s="24"/>
      <c r="AM468" s="24"/>
    </row>
    <row r="469" spans="2:39" hidden="1" x14ac:dyDescent="0.2">
      <c r="B469" s="50">
        <v>43688</v>
      </c>
      <c r="C469" s="35">
        <v>0.63958333333333328</v>
      </c>
      <c r="D469" s="35"/>
      <c r="E469" s="35" t="s">
        <v>111</v>
      </c>
      <c r="F469" s="37">
        <v>2</v>
      </c>
      <c r="G469" s="42" t="str">
        <f>VLOOKUP(F469,Key!$A$17:$B$21,2,FALSE)</f>
        <v>Road Vehicle</v>
      </c>
      <c r="H469" s="36">
        <v>2</v>
      </c>
      <c r="I469" s="43" t="str">
        <f>VLOOKUP(H469,Key!$A$2:$B$13,2,FALSE)</f>
        <v>Station Wagon</v>
      </c>
      <c r="J469" s="37" t="s">
        <v>123</v>
      </c>
      <c r="K469" s="37">
        <v>2</v>
      </c>
      <c r="L469" s="45" t="str">
        <f>VLOOKUP(K469,Key!$A$24:$B$29,2,FALSE)</f>
        <v>30-39</v>
      </c>
      <c r="M469" s="37" t="s">
        <v>167</v>
      </c>
      <c r="N469" s="32" t="s">
        <v>167</v>
      </c>
      <c r="O469" s="37" t="s">
        <v>168</v>
      </c>
      <c r="P469" s="39">
        <v>2</v>
      </c>
      <c r="Q469" s="34" t="str">
        <f>VLOOKUP(P469,Key!$E$2:$F$9,2,FALSE)</f>
        <v>Work</v>
      </c>
      <c r="R469" s="37" t="s">
        <v>307</v>
      </c>
      <c r="S469" s="32" t="s">
        <v>308</v>
      </c>
      <c r="T469" s="37" t="s">
        <v>168</v>
      </c>
      <c r="U469" s="32">
        <v>5</v>
      </c>
      <c r="V469" s="34" t="str">
        <f>VLOOKUP(U469,Key!$E$2:$F$9,2,FALSE)</f>
        <v>Tourism</v>
      </c>
      <c r="W469" s="34" t="str">
        <f t="shared" si="15"/>
        <v>Work-Tourism</v>
      </c>
      <c r="X469" s="47">
        <v>150000</v>
      </c>
      <c r="Y469" s="38">
        <v>200</v>
      </c>
      <c r="Z469" s="38">
        <v>4</v>
      </c>
      <c r="AA469" s="32">
        <v>7</v>
      </c>
      <c r="AB469" s="34" t="str">
        <f>VLOOKUP(AA469,Key!$C$20:$D$29,2,FALSE)</f>
        <v>Farmer</v>
      </c>
      <c r="AC469" s="32">
        <v>1</v>
      </c>
      <c r="AD469" s="34" t="str">
        <f>VLOOKUP(AC469,Key!$E$20:$F$24,2,FALSE)</f>
        <v>&lt;300,000</v>
      </c>
      <c r="AE469" s="32">
        <v>4</v>
      </c>
      <c r="AF469" s="55">
        <v>1</v>
      </c>
      <c r="AG469" s="55">
        <v>1</v>
      </c>
      <c r="AH469" s="55">
        <v>2</v>
      </c>
      <c r="AI469" s="55">
        <v>1</v>
      </c>
      <c r="AJ469" s="39" t="s">
        <v>104</v>
      </c>
      <c r="AK469" s="40"/>
      <c r="AL469" s="24"/>
      <c r="AM469" s="24"/>
    </row>
    <row r="470" spans="2:39" hidden="1" x14ac:dyDescent="0.2">
      <c r="B470" s="50">
        <v>43690</v>
      </c>
      <c r="C470" s="35">
        <v>0.69652777777777775</v>
      </c>
      <c r="D470" s="35"/>
      <c r="E470" s="35" t="s">
        <v>111</v>
      </c>
      <c r="F470" s="37">
        <v>2</v>
      </c>
      <c r="G470" s="42" t="str">
        <f>VLOOKUP(F470,Key!$A$17:$B$21,2,FALSE)</f>
        <v>Road Vehicle</v>
      </c>
      <c r="H470" s="36">
        <v>2</v>
      </c>
      <c r="I470" s="43" t="str">
        <f>VLOOKUP(H470,Key!$A$2:$B$13,2,FALSE)</f>
        <v>Station Wagon</v>
      </c>
      <c r="J470" s="37" t="s">
        <v>123</v>
      </c>
      <c r="K470" s="13">
        <v>2</v>
      </c>
      <c r="L470" s="45" t="str">
        <f>VLOOKUP(K470,Key!$A$24:$B$29,2,FALSE)</f>
        <v>30-39</v>
      </c>
      <c r="M470" s="44" t="s">
        <v>178</v>
      </c>
      <c r="N470" s="32" t="s">
        <v>178</v>
      </c>
      <c r="O470" s="37" t="s">
        <v>168</v>
      </c>
      <c r="P470" s="39">
        <v>2</v>
      </c>
      <c r="Q470" s="34" t="str">
        <f>VLOOKUP(P470,Key!$E$2:$F$9,2,FALSE)</f>
        <v>Work</v>
      </c>
      <c r="R470" s="37" t="s">
        <v>167</v>
      </c>
      <c r="S470" s="32" t="s">
        <v>167</v>
      </c>
      <c r="T470" s="37" t="s">
        <v>168</v>
      </c>
      <c r="U470" s="32">
        <v>4</v>
      </c>
      <c r="V470" s="34" t="str">
        <f>VLOOKUP(U470,Key!$E$2:$F$9,2,FALSE)</f>
        <v>Commercial</v>
      </c>
      <c r="W470" s="34" t="str">
        <f t="shared" si="15"/>
        <v>Work-Commercial</v>
      </c>
      <c r="X470" s="47">
        <v>180000</v>
      </c>
      <c r="Y470" s="38">
        <v>220</v>
      </c>
      <c r="Z470" s="38">
        <v>6</v>
      </c>
      <c r="AA470" s="32">
        <v>6</v>
      </c>
      <c r="AB470" s="34" t="str">
        <f>VLOOKUP(AA470,Key!$C$20:$D$29,2,FALSE)</f>
        <v>Businessman</v>
      </c>
      <c r="AC470" s="32">
        <v>5</v>
      </c>
      <c r="AD470" s="34" t="str">
        <f>VLOOKUP(AC470,Key!$E$20:$F$24,2,FALSE)</f>
        <v>&gt;1,000,000</v>
      </c>
      <c r="AE470" s="32">
        <v>2</v>
      </c>
      <c r="AF470" s="55">
        <v>3</v>
      </c>
      <c r="AG470" s="55">
        <v>4</v>
      </c>
      <c r="AH470" s="55">
        <v>1</v>
      </c>
      <c r="AI470" s="55">
        <v>5</v>
      </c>
      <c r="AJ470" s="39" t="s">
        <v>104</v>
      </c>
      <c r="AK470" s="40">
        <v>10000</v>
      </c>
      <c r="AL470" s="24"/>
      <c r="AM470" s="24"/>
    </row>
    <row r="471" spans="2:39" hidden="1" x14ac:dyDescent="0.2">
      <c r="B471" s="50">
        <v>43687</v>
      </c>
      <c r="C471" s="35">
        <v>0.66805555555555562</v>
      </c>
      <c r="D471" s="35"/>
      <c r="E471" s="35" t="s">
        <v>111</v>
      </c>
      <c r="F471" s="37">
        <v>2</v>
      </c>
      <c r="G471" s="42" t="str">
        <f>VLOOKUP(F471,Key!$A$17:$B$21,2,FALSE)</f>
        <v>Road Vehicle</v>
      </c>
      <c r="H471" s="36">
        <v>2</v>
      </c>
      <c r="I471" s="43" t="str">
        <f>VLOOKUP(H471,Key!$A$2:$B$13,2,FALSE)</f>
        <v>Station Wagon</v>
      </c>
      <c r="J471" s="37" t="s">
        <v>123</v>
      </c>
      <c r="K471" s="37">
        <v>4</v>
      </c>
      <c r="L471" s="45" t="str">
        <f>VLOOKUP(K471,Key!$A$24:$B$29,2,FALSE)</f>
        <v>50-59</v>
      </c>
      <c r="M471" s="37" t="s">
        <v>288</v>
      </c>
      <c r="N471" s="32" t="s">
        <v>289</v>
      </c>
      <c r="O471" s="37" t="s">
        <v>168</v>
      </c>
      <c r="P471" s="39">
        <v>1</v>
      </c>
      <c r="Q471" s="34" t="str">
        <f>VLOOKUP(P471,Key!$E$2:$F$9,2,FALSE)</f>
        <v>Home</v>
      </c>
      <c r="R471" s="37" t="s">
        <v>290</v>
      </c>
      <c r="S471" s="32" t="s">
        <v>176</v>
      </c>
      <c r="T471" s="37" t="s">
        <v>168</v>
      </c>
      <c r="U471" s="32">
        <v>7</v>
      </c>
      <c r="V471" s="34" t="str">
        <f>VLOOKUP(U471,Key!$E$2:$F$9,2,FALSE)</f>
        <v>Hospital</v>
      </c>
      <c r="W471" s="34" t="str">
        <f t="shared" si="15"/>
        <v>Home-Hospital</v>
      </c>
      <c r="X471" s="47">
        <v>120000</v>
      </c>
      <c r="Y471" s="38">
        <v>280</v>
      </c>
      <c r="Z471" s="38">
        <v>5</v>
      </c>
      <c r="AA471" s="32">
        <v>5</v>
      </c>
      <c r="AB471" s="34" t="str">
        <f>VLOOKUP(AA471,Key!$C$20:$D$29,2,FALSE)</f>
        <v>Professional</v>
      </c>
      <c r="AC471" s="32">
        <v>4</v>
      </c>
      <c r="AD471" s="34" t="str">
        <f>VLOOKUP(AC471,Key!$E$20:$F$24,2,FALSE)</f>
        <v>750,000-1,000,000</v>
      </c>
      <c r="AE471" s="32">
        <v>1</v>
      </c>
      <c r="AF471" s="55">
        <v>1</v>
      </c>
      <c r="AG471" s="55">
        <v>1</v>
      </c>
      <c r="AH471" s="55">
        <v>1</v>
      </c>
      <c r="AI471" s="55">
        <v>1</v>
      </c>
      <c r="AJ471" s="39" t="s">
        <v>104</v>
      </c>
      <c r="AK471" s="40"/>
      <c r="AL471" s="24"/>
      <c r="AM471" s="24"/>
    </row>
    <row r="472" spans="2:39" hidden="1" x14ac:dyDescent="0.2">
      <c r="B472" s="50">
        <v>43687</v>
      </c>
      <c r="C472" s="35">
        <v>0.54166666666666663</v>
      </c>
      <c r="D472" s="35"/>
      <c r="E472" s="35" t="s">
        <v>111</v>
      </c>
      <c r="F472" s="37">
        <v>2</v>
      </c>
      <c r="G472" s="42" t="str">
        <f>VLOOKUP(F472,Key!$A$17:$B$21,2,FALSE)</f>
        <v>Road Vehicle</v>
      </c>
      <c r="H472" s="36">
        <v>2</v>
      </c>
      <c r="I472" s="43" t="str">
        <f>VLOOKUP(H472,Key!$A$2:$B$13,2,FALSE)</f>
        <v>Station Wagon</v>
      </c>
      <c r="J472" s="37" t="s">
        <v>123</v>
      </c>
      <c r="K472" s="37">
        <v>4</v>
      </c>
      <c r="L472" s="45" t="str">
        <f>VLOOKUP(K472,Key!$A$24:$B$29,2,FALSE)</f>
        <v>50-59</v>
      </c>
      <c r="M472" s="37" t="s">
        <v>336</v>
      </c>
      <c r="N472" s="32" t="s">
        <v>287</v>
      </c>
      <c r="O472" s="37" t="s">
        <v>168</v>
      </c>
      <c r="P472" s="39">
        <v>6</v>
      </c>
      <c r="Q472" s="34" t="str">
        <f>VLOOKUP(P472,Key!$E$2:$F$9,2,FALSE)</f>
        <v>Leisure/Social</v>
      </c>
      <c r="R472" s="37" t="s">
        <v>337</v>
      </c>
      <c r="S472" s="32" t="s">
        <v>188</v>
      </c>
      <c r="T472" s="37" t="s">
        <v>168</v>
      </c>
      <c r="U472" s="32">
        <v>1</v>
      </c>
      <c r="V472" s="34" t="str">
        <f>VLOOKUP(U472,Key!$E$2:$F$9,2,FALSE)</f>
        <v>Home</v>
      </c>
      <c r="W472" s="34" t="str">
        <f t="shared" si="15"/>
        <v>Leisure/Social-Home</v>
      </c>
      <c r="X472" s="47">
        <v>120000</v>
      </c>
      <c r="Y472" s="38">
        <v>300</v>
      </c>
      <c r="Z472" s="38">
        <v>5</v>
      </c>
      <c r="AA472" s="32">
        <v>6</v>
      </c>
      <c r="AB472" s="34" t="str">
        <f>VLOOKUP(AA472,Key!$C$20:$D$29,2,FALSE)</f>
        <v>Businessman</v>
      </c>
      <c r="AC472" s="32">
        <v>5</v>
      </c>
      <c r="AD472" s="34" t="str">
        <f>VLOOKUP(AC472,Key!$E$20:$F$24,2,FALSE)</f>
        <v>&gt;1,000,000</v>
      </c>
      <c r="AE472" s="32">
        <v>1</v>
      </c>
      <c r="AF472" s="55">
        <v>1</v>
      </c>
      <c r="AG472" s="55">
        <v>1</v>
      </c>
      <c r="AH472" s="55">
        <v>1</v>
      </c>
      <c r="AI472" s="55">
        <v>1</v>
      </c>
      <c r="AJ472" s="39" t="s">
        <v>104</v>
      </c>
      <c r="AK472" s="40">
        <v>5000</v>
      </c>
      <c r="AL472" s="24"/>
      <c r="AM472" s="24"/>
    </row>
    <row r="473" spans="2:39" hidden="1" x14ac:dyDescent="0.2">
      <c r="B473" s="50">
        <v>43686</v>
      </c>
      <c r="C473" s="35">
        <v>0.67361111111111116</v>
      </c>
      <c r="D473" s="35"/>
      <c r="E473" s="35" t="s">
        <v>111</v>
      </c>
      <c r="F473" s="37">
        <v>2</v>
      </c>
      <c r="G473" s="42" t="str">
        <f>VLOOKUP(F473,Key!$A$17:$B$21,2,FALSE)</f>
        <v>Road Vehicle</v>
      </c>
      <c r="H473" s="36">
        <v>2</v>
      </c>
      <c r="I473" s="43" t="str">
        <f>VLOOKUP(H473,Key!$A$2:$B$13,2,FALSE)</f>
        <v>Station Wagon</v>
      </c>
      <c r="J473" s="37" t="s">
        <v>123</v>
      </c>
      <c r="K473" s="37">
        <v>3</v>
      </c>
      <c r="L473" s="45" t="str">
        <f>VLOOKUP(K473,Key!$A$24:$B$29,2,FALSE)</f>
        <v>40-49</v>
      </c>
      <c r="M473" s="37" t="s">
        <v>347</v>
      </c>
      <c r="N473" s="32" t="s">
        <v>347</v>
      </c>
      <c r="O473" s="37" t="s">
        <v>168</v>
      </c>
      <c r="P473" s="39">
        <v>4</v>
      </c>
      <c r="Q473" s="34" t="str">
        <f>VLOOKUP(P473,Key!$E$2:$F$9,2,FALSE)</f>
        <v>Commercial</v>
      </c>
      <c r="R473" s="37" t="s">
        <v>329</v>
      </c>
      <c r="S473" s="32" t="s">
        <v>167</v>
      </c>
      <c r="T473" s="37" t="s">
        <v>168</v>
      </c>
      <c r="U473" s="32">
        <v>1</v>
      </c>
      <c r="V473" s="34" t="str">
        <f>VLOOKUP(U473,Key!$E$2:$F$9,2,FALSE)</f>
        <v>Home</v>
      </c>
      <c r="W473" s="34" t="str">
        <f t="shared" si="15"/>
        <v>Commercial-Home</v>
      </c>
      <c r="X473" s="47">
        <v>140000</v>
      </c>
      <c r="Y473" s="38">
        <v>300</v>
      </c>
      <c r="Z473" s="38">
        <v>5</v>
      </c>
      <c r="AA473" s="32">
        <v>6</v>
      </c>
      <c r="AB473" s="34" t="str">
        <f>VLOOKUP(AA473,Key!$C$20:$D$29,2,FALSE)</f>
        <v>Businessman</v>
      </c>
      <c r="AC473" s="32">
        <v>5</v>
      </c>
      <c r="AD473" s="34" t="str">
        <f>VLOOKUP(AC473,Key!$E$20:$F$24,2,FALSE)</f>
        <v>&gt;1,000,000</v>
      </c>
      <c r="AE473" s="32">
        <v>2</v>
      </c>
      <c r="AF473" s="55">
        <v>4</v>
      </c>
      <c r="AG473" s="55">
        <v>3</v>
      </c>
      <c r="AH473" s="55">
        <v>1</v>
      </c>
      <c r="AI473" s="55">
        <v>4</v>
      </c>
      <c r="AJ473" s="39" t="s">
        <v>104</v>
      </c>
      <c r="AK473" s="40">
        <v>10000</v>
      </c>
      <c r="AL473" s="24"/>
      <c r="AM473" s="24"/>
    </row>
    <row r="474" spans="2:39" hidden="1" x14ac:dyDescent="0.2">
      <c r="B474" s="50">
        <v>43686</v>
      </c>
      <c r="C474" s="35">
        <v>0.62152777777777779</v>
      </c>
      <c r="D474" s="35"/>
      <c r="E474" s="35" t="s">
        <v>111</v>
      </c>
      <c r="F474" s="37">
        <v>2</v>
      </c>
      <c r="G474" s="42" t="str">
        <f>VLOOKUP(F474,Key!$A$17:$B$21,2,FALSE)</f>
        <v>Road Vehicle</v>
      </c>
      <c r="H474" s="36">
        <v>2</v>
      </c>
      <c r="I474" s="43" t="str">
        <f>VLOOKUP(H474,Key!$A$2:$B$13,2,FALSE)</f>
        <v>Station Wagon</v>
      </c>
      <c r="J474" s="37" t="s">
        <v>123</v>
      </c>
      <c r="K474" s="37">
        <v>3</v>
      </c>
      <c r="L474" s="45" t="str">
        <f>VLOOKUP(K474,Key!$A$24:$B$29,2,FALSE)</f>
        <v>40-49</v>
      </c>
      <c r="M474" s="37" t="s">
        <v>241</v>
      </c>
      <c r="N474" s="32" t="s">
        <v>241</v>
      </c>
      <c r="O474" s="37" t="s">
        <v>168</v>
      </c>
      <c r="P474" s="39">
        <v>6</v>
      </c>
      <c r="Q474" s="34" t="str">
        <f>VLOOKUP(P474,Key!$E$2:$F$9,2,FALSE)</f>
        <v>Leisure/Social</v>
      </c>
      <c r="R474" s="37" t="s">
        <v>167</v>
      </c>
      <c r="S474" s="32" t="s">
        <v>167</v>
      </c>
      <c r="T474" s="37" t="s">
        <v>168</v>
      </c>
      <c r="U474" s="32">
        <v>2</v>
      </c>
      <c r="V474" s="34" t="str">
        <f>VLOOKUP(U474,Key!$E$2:$F$9,2,FALSE)</f>
        <v>Work</v>
      </c>
      <c r="W474" s="34" t="str">
        <f t="shared" si="15"/>
        <v>Leisure/Social-Work</v>
      </c>
      <c r="X474" s="47">
        <v>200000</v>
      </c>
      <c r="Y474" s="38">
        <v>310</v>
      </c>
      <c r="Z474" s="38">
        <v>7</v>
      </c>
      <c r="AA474" s="32">
        <v>4</v>
      </c>
      <c r="AB474" s="34" t="str">
        <f>VLOOKUP(AA474,Key!$C$20:$D$29,2,FALSE)</f>
        <v>Office Worker</v>
      </c>
      <c r="AC474" s="32">
        <v>4</v>
      </c>
      <c r="AD474" s="34" t="str">
        <f>VLOOKUP(AC474,Key!$E$20:$F$24,2,FALSE)</f>
        <v>750,000-1,000,000</v>
      </c>
      <c r="AE474" s="32">
        <v>1</v>
      </c>
      <c r="AF474" s="55">
        <v>2</v>
      </c>
      <c r="AG474" s="55">
        <v>2</v>
      </c>
      <c r="AH474" s="55">
        <v>1</v>
      </c>
      <c r="AI474" s="55">
        <v>3</v>
      </c>
      <c r="AJ474" s="39" t="s">
        <v>104</v>
      </c>
      <c r="AK474" s="40">
        <v>10000</v>
      </c>
      <c r="AL474" s="24"/>
      <c r="AM474" s="24"/>
    </row>
    <row r="475" spans="2:39" hidden="1" x14ac:dyDescent="0.2">
      <c r="B475" s="50">
        <v>43690</v>
      </c>
      <c r="C475" s="35">
        <v>0.62847222222222221</v>
      </c>
      <c r="D475" s="35"/>
      <c r="E475" s="35" t="s">
        <v>111</v>
      </c>
      <c r="F475" s="37">
        <v>2</v>
      </c>
      <c r="G475" s="42" t="str">
        <f>VLOOKUP(F475,Key!$A$17:$B$21,2,FALSE)</f>
        <v>Road Vehicle</v>
      </c>
      <c r="H475" s="36">
        <v>2</v>
      </c>
      <c r="I475" s="43" t="str">
        <f>VLOOKUP(H475,Key!$A$2:$B$13,2,FALSE)</f>
        <v>Station Wagon</v>
      </c>
      <c r="J475" s="37" t="s">
        <v>123</v>
      </c>
      <c r="K475" s="37">
        <v>2</v>
      </c>
      <c r="L475" s="45" t="str">
        <f>VLOOKUP(K475,Key!$A$24:$B$29,2,FALSE)</f>
        <v>30-39</v>
      </c>
      <c r="M475" s="37" t="s">
        <v>167</v>
      </c>
      <c r="N475" s="32" t="s">
        <v>167</v>
      </c>
      <c r="O475" s="37" t="s">
        <v>168</v>
      </c>
      <c r="P475" s="39">
        <v>1</v>
      </c>
      <c r="Q475" s="34" t="str">
        <f>VLOOKUP(P475,Key!$E$2:$F$9,2,FALSE)</f>
        <v>Home</v>
      </c>
      <c r="R475" s="37" t="s">
        <v>107</v>
      </c>
      <c r="S475" s="32" t="s">
        <v>107</v>
      </c>
      <c r="T475" s="37" t="s">
        <v>168</v>
      </c>
      <c r="U475" s="32">
        <v>4</v>
      </c>
      <c r="V475" s="34" t="str">
        <f>VLOOKUP(U475,Key!$E$2:$F$9,2,FALSE)</f>
        <v>Commercial</v>
      </c>
      <c r="W475" s="34" t="str">
        <f t="shared" si="15"/>
        <v>Home-Commercial</v>
      </c>
      <c r="X475" s="47">
        <v>250000</v>
      </c>
      <c r="Y475" s="38">
        <v>420</v>
      </c>
      <c r="Z475" s="38">
        <v>7</v>
      </c>
      <c r="AA475" s="32">
        <v>5</v>
      </c>
      <c r="AB475" s="34" t="str">
        <f>VLOOKUP(AA475,Key!$C$20:$D$29,2,FALSE)</f>
        <v>Professional</v>
      </c>
      <c r="AC475" s="32">
        <v>4</v>
      </c>
      <c r="AD475" s="34" t="str">
        <f>VLOOKUP(AC475,Key!$E$20:$F$24,2,FALSE)</f>
        <v>750,000-1,000,000</v>
      </c>
      <c r="AE475" s="32">
        <v>2</v>
      </c>
      <c r="AF475" s="55">
        <v>3</v>
      </c>
      <c r="AG475" s="55">
        <v>4</v>
      </c>
      <c r="AH475" s="55">
        <v>1</v>
      </c>
      <c r="AI475" s="55">
        <v>4</v>
      </c>
      <c r="AJ475" s="39" t="s">
        <v>104</v>
      </c>
      <c r="AK475" s="40"/>
      <c r="AL475" s="24"/>
      <c r="AM475" s="24"/>
    </row>
    <row r="476" spans="2:39" hidden="1" x14ac:dyDescent="0.2">
      <c r="B476" s="50">
        <v>43687</v>
      </c>
      <c r="C476" s="35">
        <v>0.35069444444444442</v>
      </c>
      <c r="D476" s="35"/>
      <c r="E476" s="35" t="s">
        <v>111</v>
      </c>
      <c r="F476" s="37">
        <v>2</v>
      </c>
      <c r="G476" s="42" t="str">
        <f>VLOOKUP(F476,Key!$A$17:$B$21,2,FALSE)</f>
        <v>Road Vehicle</v>
      </c>
      <c r="H476" s="36">
        <v>2</v>
      </c>
      <c r="I476" s="43" t="str">
        <f>VLOOKUP(H476,Key!$A$2:$B$13,2,FALSE)</f>
        <v>Station Wagon</v>
      </c>
      <c r="J476" s="37" t="s">
        <v>123</v>
      </c>
      <c r="K476" s="37">
        <v>2</v>
      </c>
      <c r="L476" s="45" t="str">
        <f>VLOOKUP(K476,Key!$A$24:$B$29,2,FALSE)</f>
        <v>30-39</v>
      </c>
      <c r="M476" s="37" t="s">
        <v>175</v>
      </c>
      <c r="N476" s="32" t="s">
        <v>175</v>
      </c>
      <c r="O476" s="37" t="s">
        <v>168</v>
      </c>
      <c r="P476" s="39">
        <v>5</v>
      </c>
      <c r="Q476" s="34" t="str">
        <f>VLOOKUP(P476,Key!$E$2:$F$9,2,FALSE)</f>
        <v>Tourism</v>
      </c>
      <c r="R476" s="37" t="s">
        <v>167</v>
      </c>
      <c r="S476" s="32" t="s">
        <v>167</v>
      </c>
      <c r="T476" s="37" t="s">
        <v>168</v>
      </c>
      <c r="U476" s="32">
        <v>6</v>
      </c>
      <c r="V476" s="34" t="str">
        <f>VLOOKUP(U476,Key!$E$2:$F$9,2,FALSE)</f>
        <v>Leisure/Social</v>
      </c>
      <c r="W476" s="34" t="str">
        <f t="shared" si="15"/>
        <v>Tourism-Leisure/Social</v>
      </c>
      <c r="X476" s="47">
        <v>280000</v>
      </c>
      <c r="Y476" s="38">
        <v>500</v>
      </c>
      <c r="Z476" s="38">
        <v>8</v>
      </c>
      <c r="AA476" s="32">
        <v>6</v>
      </c>
      <c r="AB476" s="34" t="str">
        <f>VLOOKUP(AA476,Key!$C$20:$D$29,2,FALSE)</f>
        <v>Businessman</v>
      </c>
      <c r="AC476" s="32">
        <v>5</v>
      </c>
      <c r="AD476" s="34" t="str">
        <f>VLOOKUP(AC476,Key!$E$20:$F$24,2,FALSE)</f>
        <v>&gt;1,000,000</v>
      </c>
      <c r="AE476" s="32">
        <v>1</v>
      </c>
      <c r="AF476" s="55">
        <v>2</v>
      </c>
      <c r="AG476" s="55">
        <v>3</v>
      </c>
      <c r="AH476" s="55">
        <v>1</v>
      </c>
      <c r="AI476" s="55">
        <v>2</v>
      </c>
      <c r="AJ476" s="39" t="s">
        <v>104</v>
      </c>
      <c r="AK476" s="40">
        <v>5000</v>
      </c>
      <c r="AL476" s="24"/>
      <c r="AM476" s="24"/>
    </row>
    <row r="477" spans="2:39" hidden="1" x14ac:dyDescent="0.2">
      <c r="B477" s="50"/>
      <c r="C477" s="35"/>
      <c r="D477" s="35"/>
      <c r="E477" s="35"/>
      <c r="F477" s="37"/>
      <c r="G477" s="42"/>
      <c r="H477" s="36"/>
      <c r="I477" s="43"/>
      <c r="J477" s="37"/>
      <c r="K477" s="37"/>
      <c r="L477" s="45"/>
      <c r="M477" s="37"/>
      <c r="N477" s="32"/>
      <c r="O477" s="37"/>
      <c r="P477" s="39"/>
      <c r="Q477" s="34"/>
      <c r="R477" s="37"/>
      <c r="S477" s="32"/>
      <c r="T477" s="37"/>
      <c r="U477" s="32"/>
      <c r="V477" s="34"/>
      <c r="W477" s="34"/>
      <c r="X477" s="47"/>
      <c r="Y477" s="38"/>
      <c r="Z477" s="38"/>
      <c r="AA477" s="32"/>
      <c r="AB477" s="34"/>
      <c r="AC477" s="32"/>
      <c r="AD477" s="34"/>
      <c r="AE477" s="32"/>
      <c r="AF477" s="55"/>
      <c r="AG477" s="55"/>
      <c r="AH477" s="55"/>
      <c r="AI477" s="55"/>
      <c r="AJ477" s="39"/>
      <c r="AK477" s="40"/>
      <c r="AL477" s="24"/>
      <c r="AM477" s="24"/>
    </row>
    <row r="478" spans="2:39" x14ac:dyDescent="0.2">
      <c r="B478" s="50">
        <v>43686</v>
      </c>
      <c r="C478" s="35">
        <v>0.70486111111111116</v>
      </c>
      <c r="D478" s="35"/>
      <c r="E478" s="35" t="s">
        <v>111</v>
      </c>
      <c r="F478" s="37">
        <v>2</v>
      </c>
      <c r="G478" s="42" t="str">
        <f>VLOOKUP(F478,Key!$A$17:$B$21,2,FALSE)</f>
        <v>Road Vehicle</v>
      </c>
      <c r="H478" s="36">
        <v>10</v>
      </c>
      <c r="I478" s="43" t="str">
        <f>VLOOKUP(H478,Key!$A$2:$B$13,2,FALSE)</f>
        <v xml:space="preserve">Truck Trailer </v>
      </c>
      <c r="J478" s="37" t="s">
        <v>123</v>
      </c>
      <c r="K478" s="37">
        <v>2</v>
      </c>
      <c r="L478" s="45" t="str">
        <f>VLOOKUP(K478,Key!$A$24:$B$29,2,FALSE)</f>
        <v>30-39</v>
      </c>
      <c r="M478" s="37" t="s">
        <v>167</v>
      </c>
      <c r="N478" s="32" t="s">
        <v>167</v>
      </c>
      <c r="O478" s="37" t="s">
        <v>168</v>
      </c>
      <c r="P478" s="39">
        <v>4</v>
      </c>
      <c r="Q478" s="34" t="str">
        <f>VLOOKUP(P478,Key!$E$2:$F$9,2,FALSE)</f>
        <v>Commercial</v>
      </c>
      <c r="R478" s="37" t="s">
        <v>176</v>
      </c>
      <c r="S478" s="32" t="s">
        <v>176</v>
      </c>
      <c r="T478" s="37" t="s">
        <v>168</v>
      </c>
      <c r="U478" s="32">
        <v>4</v>
      </c>
      <c r="V478" s="34" t="str">
        <f>VLOOKUP(U478,Key!$E$2:$F$9,2,FALSE)</f>
        <v>Commercial</v>
      </c>
      <c r="W478" s="34" t="str">
        <f>Q478&amp;"-"&amp;V478</f>
        <v>Commercial-Commercial</v>
      </c>
      <c r="X478" s="47">
        <v>140000</v>
      </c>
      <c r="Y478" s="38">
        <v>80</v>
      </c>
      <c r="Z478" s="38">
        <v>3</v>
      </c>
      <c r="AA478" s="32">
        <v>6</v>
      </c>
      <c r="AB478" s="34" t="str">
        <f>VLOOKUP(AA478,Key!$C$20:$D$29,2,FALSE)</f>
        <v>Businessman</v>
      </c>
      <c r="AC478" s="32">
        <v>4</v>
      </c>
      <c r="AD478" s="34" t="str">
        <f>VLOOKUP(AC478,Key!$E$20:$F$24,2,FALSE)</f>
        <v>750,000-1,000,000</v>
      </c>
      <c r="AE478" s="32">
        <v>1</v>
      </c>
      <c r="AF478" s="55">
        <v>2</v>
      </c>
      <c r="AG478" s="55">
        <v>1</v>
      </c>
      <c r="AH478" s="55">
        <v>1</v>
      </c>
      <c r="AI478" s="55">
        <v>2</v>
      </c>
      <c r="AJ478" s="39" t="s">
        <v>104</v>
      </c>
      <c r="AK478" s="40">
        <v>10000</v>
      </c>
      <c r="AL478" s="24"/>
      <c r="AM478" s="24"/>
    </row>
    <row r="479" spans="2:39" hidden="1" x14ac:dyDescent="0.2">
      <c r="B479" s="50">
        <v>43690</v>
      </c>
      <c r="C479" s="35">
        <v>0.58819444444444446</v>
      </c>
      <c r="D479" s="35"/>
      <c r="E479" s="35" t="s">
        <v>111</v>
      </c>
      <c r="F479" s="37">
        <v>2</v>
      </c>
      <c r="G479" s="42" t="str">
        <f>VLOOKUP(F479,Key!$A$17:$B$21,2,FALSE)</f>
        <v>Road Vehicle</v>
      </c>
      <c r="H479" s="36">
        <v>10</v>
      </c>
      <c r="I479" s="43" t="str">
        <f>VLOOKUP(H479,Key!$A$2:$B$13,2,FALSE)</f>
        <v xml:space="preserve">Truck Trailer </v>
      </c>
      <c r="J479" s="37" t="s">
        <v>123</v>
      </c>
      <c r="K479" s="37">
        <v>3</v>
      </c>
      <c r="L479" s="45" t="str">
        <f>VLOOKUP(K479,Key!$A$24:$B$29,2,FALSE)</f>
        <v>40-49</v>
      </c>
      <c r="M479" s="37" t="s">
        <v>183</v>
      </c>
      <c r="N479" s="32" t="s">
        <v>183</v>
      </c>
      <c r="O479" s="37" t="s">
        <v>168</v>
      </c>
      <c r="P479" s="39">
        <v>2</v>
      </c>
      <c r="Q479" s="34" t="str">
        <f>VLOOKUP(P479,Key!$E$2:$F$9,2,FALSE)</f>
        <v>Work</v>
      </c>
      <c r="R479" s="37" t="s">
        <v>167</v>
      </c>
      <c r="S479" s="32" t="s">
        <v>167</v>
      </c>
      <c r="T479" s="37" t="s">
        <v>168</v>
      </c>
      <c r="U479" s="32">
        <v>4</v>
      </c>
      <c r="V479" s="34" t="str">
        <f>VLOOKUP(U479,Key!$E$2:$F$9,2,FALSE)</f>
        <v>Commercial</v>
      </c>
      <c r="W479" s="34" t="str">
        <f t="shared" ref="W479:W485" si="16">Q479&amp;"-"&amp;V479</f>
        <v>Work-Commercial</v>
      </c>
      <c r="X479" s="47">
        <v>150000</v>
      </c>
      <c r="Y479" s="38">
        <v>130</v>
      </c>
      <c r="Z479" s="38">
        <v>5</v>
      </c>
      <c r="AA479" s="32">
        <v>10</v>
      </c>
      <c r="AB479" s="34" t="str">
        <f>VLOOKUP(AA479,Key!$C$20:$D$29,2,FALSE)</f>
        <v>Other</v>
      </c>
      <c r="AC479" s="32">
        <v>2</v>
      </c>
      <c r="AD479" s="34" t="str">
        <f>VLOOKUP(AC479,Key!$E$20:$F$24,2,FALSE)</f>
        <v>300,000-500,000</v>
      </c>
      <c r="AE479" s="32">
        <v>3</v>
      </c>
      <c r="AF479" s="55">
        <v>3</v>
      </c>
      <c r="AG479" s="55">
        <v>2</v>
      </c>
      <c r="AH479" s="55">
        <v>3</v>
      </c>
      <c r="AI479" s="55"/>
      <c r="AJ479" s="39" t="s">
        <v>104</v>
      </c>
      <c r="AK479" s="40"/>
      <c r="AL479" s="24"/>
      <c r="AM479" s="24"/>
    </row>
    <row r="480" spans="2:39" hidden="1" x14ac:dyDescent="0.2">
      <c r="B480" s="50">
        <v>43688</v>
      </c>
      <c r="C480" s="35">
        <v>0.61111111111111105</v>
      </c>
      <c r="D480" s="35"/>
      <c r="E480" s="35" t="s">
        <v>111</v>
      </c>
      <c r="F480" s="37">
        <v>2</v>
      </c>
      <c r="G480" s="42" t="str">
        <f>VLOOKUP(F480,Key!$A$17:$B$21,2,FALSE)</f>
        <v>Road Vehicle</v>
      </c>
      <c r="H480" s="36">
        <v>10</v>
      </c>
      <c r="I480" s="43" t="str">
        <f>VLOOKUP(H480,Key!$A$2:$B$13,2,FALSE)</f>
        <v xml:space="preserve">Truck Trailer </v>
      </c>
      <c r="J480" s="37" t="s">
        <v>123</v>
      </c>
      <c r="K480" s="37">
        <v>2</v>
      </c>
      <c r="L480" s="45" t="str">
        <f>VLOOKUP(K480,Key!$A$24:$B$29,2,FALSE)</f>
        <v>30-39</v>
      </c>
      <c r="M480" s="37" t="s">
        <v>245</v>
      </c>
      <c r="N480" s="32" t="s">
        <v>245</v>
      </c>
      <c r="O480" s="37" t="s">
        <v>246</v>
      </c>
      <c r="P480" s="39">
        <v>2</v>
      </c>
      <c r="Q480" s="34" t="str">
        <f>VLOOKUP(P480,Key!$E$2:$F$9,2,FALSE)</f>
        <v>Work</v>
      </c>
      <c r="R480" s="37" t="s">
        <v>167</v>
      </c>
      <c r="S480" s="32" t="s">
        <v>167</v>
      </c>
      <c r="T480" s="37" t="s">
        <v>168</v>
      </c>
      <c r="U480" s="32">
        <v>2</v>
      </c>
      <c r="V480" s="34" t="str">
        <f>VLOOKUP(U480,Key!$E$2:$F$9,2,FALSE)</f>
        <v>Work</v>
      </c>
      <c r="W480" s="34" t="str">
        <f t="shared" si="16"/>
        <v>Work-Work</v>
      </c>
      <c r="X480" s="47">
        <v>400000</v>
      </c>
      <c r="Y480" s="38">
        <v>220</v>
      </c>
      <c r="Z480" s="38">
        <v>5.3</v>
      </c>
      <c r="AA480" s="32">
        <v>10</v>
      </c>
      <c r="AB480" s="34" t="str">
        <f>VLOOKUP(AA480,Key!$C$20:$D$29,2,FALSE)</f>
        <v>Other</v>
      </c>
      <c r="AC480" s="32">
        <v>3</v>
      </c>
      <c r="AD480" s="34" t="str">
        <f>VLOOKUP(AC480,Key!$E$20:$F$24,2,FALSE)</f>
        <v>500,000-750,000</v>
      </c>
      <c r="AE480" s="32">
        <v>3</v>
      </c>
      <c r="AF480" s="55">
        <v>3</v>
      </c>
      <c r="AG480" s="55">
        <v>4</v>
      </c>
      <c r="AH480" s="55">
        <v>4</v>
      </c>
      <c r="AI480" s="55"/>
      <c r="AJ480" s="39" t="s">
        <v>104</v>
      </c>
      <c r="AK480" s="40"/>
      <c r="AL480" s="24"/>
      <c r="AM480" s="24"/>
    </row>
    <row r="481" spans="2:39" hidden="1" x14ac:dyDescent="0.2">
      <c r="B481" s="50">
        <v>43690</v>
      </c>
      <c r="C481" s="35">
        <v>0.57777777777777783</v>
      </c>
      <c r="D481" s="35"/>
      <c r="E481" s="35" t="s">
        <v>111</v>
      </c>
      <c r="F481" s="37">
        <v>2</v>
      </c>
      <c r="G481" s="42" t="str">
        <f>VLOOKUP(F481,Key!$A$17:$B$21,2,FALSE)</f>
        <v>Road Vehicle</v>
      </c>
      <c r="H481" s="36">
        <v>10</v>
      </c>
      <c r="I481" s="43" t="str">
        <f>VLOOKUP(H481,Key!$A$2:$B$13,2,FALSE)</f>
        <v xml:space="preserve">Truck Trailer </v>
      </c>
      <c r="J481" s="37" t="s">
        <v>123</v>
      </c>
      <c r="K481" s="37">
        <v>2</v>
      </c>
      <c r="L481" s="45" t="str">
        <f>VLOOKUP(K481,Key!$A$24:$B$29,2,FALSE)</f>
        <v>30-39</v>
      </c>
      <c r="M481" s="37" t="s">
        <v>183</v>
      </c>
      <c r="N481" s="32" t="s">
        <v>183</v>
      </c>
      <c r="O481" s="37" t="s">
        <v>168</v>
      </c>
      <c r="P481" s="39">
        <v>2</v>
      </c>
      <c r="Q481" s="34" t="str">
        <f>VLOOKUP(P481,Key!$E$2:$F$9,2,FALSE)</f>
        <v>Work</v>
      </c>
      <c r="R481" s="37" t="s">
        <v>176</v>
      </c>
      <c r="S481" s="32" t="s">
        <v>176</v>
      </c>
      <c r="T481" s="37" t="s">
        <v>168</v>
      </c>
      <c r="U481" s="32">
        <v>4</v>
      </c>
      <c r="V481" s="34" t="str">
        <f>VLOOKUP(U481,Key!$E$2:$F$9,2,FALSE)</f>
        <v>Commercial</v>
      </c>
      <c r="W481" s="34" t="str">
        <f t="shared" si="16"/>
        <v>Work-Commercial</v>
      </c>
      <c r="X481" s="47">
        <v>300000</v>
      </c>
      <c r="Y481" s="38">
        <v>220</v>
      </c>
      <c r="Z481" s="38">
        <v>6</v>
      </c>
      <c r="AA481" s="32">
        <v>10</v>
      </c>
      <c r="AB481" s="34" t="str">
        <f>VLOOKUP(AA481,Key!$C$20:$D$29,2,FALSE)</f>
        <v>Other</v>
      </c>
      <c r="AC481" s="32">
        <v>2</v>
      </c>
      <c r="AD481" s="34" t="str">
        <f>VLOOKUP(AC481,Key!$E$20:$F$24,2,FALSE)</f>
        <v>300,000-500,000</v>
      </c>
      <c r="AE481" s="32">
        <v>2</v>
      </c>
      <c r="AF481" s="55">
        <v>3</v>
      </c>
      <c r="AG481" s="55">
        <v>2</v>
      </c>
      <c r="AH481" s="55">
        <v>1</v>
      </c>
      <c r="AI481" s="55">
        <v>4</v>
      </c>
      <c r="AJ481" s="39" t="s">
        <v>104</v>
      </c>
      <c r="AK481" s="40">
        <v>4000</v>
      </c>
      <c r="AL481" s="24"/>
      <c r="AM481" s="24"/>
    </row>
    <row r="482" spans="2:39" hidden="1" x14ac:dyDescent="0.2">
      <c r="B482" s="50">
        <v>43690</v>
      </c>
      <c r="C482" s="35">
        <v>0.6875</v>
      </c>
      <c r="D482" s="35"/>
      <c r="E482" s="35" t="s">
        <v>111</v>
      </c>
      <c r="F482" s="37">
        <v>2</v>
      </c>
      <c r="G482" s="42" t="str">
        <f>VLOOKUP(F482,Key!$A$17:$B$21,2,FALSE)</f>
        <v>Road Vehicle</v>
      </c>
      <c r="H482" s="36">
        <v>10</v>
      </c>
      <c r="I482" s="43" t="str">
        <f>VLOOKUP(H482,Key!$A$2:$B$13,2,FALSE)</f>
        <v xml:space="preserve">Truck Trailer </v>
      </c>
      <c r="J482" s="37" t="s">
        <v>123</v>
      </c>
      <c r="K482" s="37">
        <v>2</v>
      </c>
      <c r="L482" s="45" t="str">
        <f>VLOOKUP(K482,Key!$A$24:$B$29,2,FALSE)</f>
        <v>30-39</v>
      </c>
      <c r="M482" s="37" t="s">
        <v>183</v>
      </c>
      <c r="N482" s="32" t="s">
        <v>183</v>
      </c>
      <c r="O482" s="37" t="s">
        <v>168</v>
      </c>
      <c r="P482" s="39">
        <v>4</v>
      </c>
      <c r="Q482" s="34" t="str">
        <f>VLOOKUP(P482,Key!$E$2:$F$9,2,FALSE)</f>
        <v>Commercial</v>
      </c>
      <c r="R482" s="37" t="s">
        <v>167</v>
      </c>
      <c r="S482" s="32" t="s">
        <v>167</v>
      </c>
      <c r="T482" s="37" t="s">
        <v>168</v>
      </c>
      <c r="U482" s="32">
        <v>2</v>
      </c>
      <c r="V482" s="34" t="str">
        <f>VLOOKUP(U482,Key!$E$2:$F$9,2,FALSE)</f>
        <v>Work</v>
      </c>
      <c r="W482" s="34" t="str">
        <f t="shared" si="16"/>
        <v>Commercial-Work</v>
      </c>
      <c r="X482" s="47">
        <v>200000</v>
      </c>
      <c r="Y482" s="38">
        <v>230</v>
      </c>
      <c r="Z482" s="38">
        <v>4</v>
      </c>
      <c r="AA482" s="32">
        <v>5</v>
      </c>
      <c r="AB482" s="34" t="str">
        <f>VLOOKUP(AA482,Key!$C$20:$D$29,2,FALSE)</f>
        <v>Professional</v>
      </c>
      <c r="AC482" s="32">
        <v>4</v>
      </c>
      <c r="AD482" s="34" t="str">
        <f>VLOOKUP(AC482,Key!$E$20:$F$24,2,FALSE)</f>
        <v>750,000-1,000,000</v>
      </c>
      <c r="AE482" s="32">
        <v>2</v>
      </c>
      <c r="AF482" s="55">
        <v>3</v>
      </c>
      <c r="AG482" s="55">
        <v>4</v>
      </c>
      <c r="AH482" s="55">
        <v>1</v>
      </c>
      <c r="AI482" s="55">
        <v>5</v>
      </c>
      <c r="AJ482" s="39" t="s">
        <v>104</v>
      </c>
      <c r="AK482" s="40">
        <v>5000</v>
      </c>
      <c r="AL482" s="24"/>
      <c r="AM482" s="24"/>
    </row>
    <row r="483" spans="2:39" hidden="1" x14ac:dyDescent="0.2">
      <c r="B483" s="50">
        <v>43686</v>
      </c>
      <c r="C483" s="35">
        <v>0.68125000000000002</v>
      </c>
      <c r="D483" s="35"/>
      <c r="E483" s="35" t="s">
        <v>111</v>
      </c>
      <c r="F483" s="37">
        <v>2</v>
      </c>
      <c r="G483" s="42" t="str">
        <f>VLOOKUP(F483,Key!$A$17:$B$21,2,FALSE)</f>
        <v>Road Vehicle</v>
      </c>
      <c r="H483" s="36">
        <v>10</v>
      </c>
      <c r="I483" s="43" t="str">
        <f>VLOOKUP(H483,Key!$A$2:$B$13,2,FALSE)</f>
        <v xml:space="preserve">Truck Trailer </v>
      </c>
      <c r="J483" s="37" t="s">
        <v>123</v>
      </c>
      <c r="K483" s="37">
        <v>3</v>
      </c>
      <c r="L483" s="45" t="str">
        <f>VLOOKUP(K483,Key!$A$24:$B$29,2,FALSE)</f>
        <v>40-49</v>
      </c>
      <c r="M483" s="37" t="s">
        <v>183</v>
      </c>
      <c r="N483" s="32" t="s">
        <v>183</v>
      </c>
      <c r="O483" s="37" t="s">
        <v>168</v>
      </c>
      <c r="P483" s="39">
        <v>4</v>
      </c>
      <c r="Q483" s="34" t="str">
        <f>VLOOKUP(P483,Key!$E$2:$F$9,2,FALSE)</f>
        <v>Commercial</v>
      </c>
      <c r="R483" s="37" t="s">
        <v>167</v>
      </c>
      <c r="S483" s="32" t="s">
        <v>167</v>
      </c>
      <c r="T483" s="37" t="s">
        <v>168</v>
      </c>
      <c r="U483" s="32">
        <v>4</v>
      </c>
      <c r="V483" s="34" t="str">
        <f>VLOOKUP(U483,Key!$E$2:$F$9,2,FALSE)</f>
        <v>Commercial</v>
      </c>
      <c r="W483" s="34" t="str">
        <f t="shared" si="16"/>
        <v>Commercial-Commercial</v>
      </c>
      <c r="X483" s="47">
        <v>180000</v>
      </c>
      <c r="Y483" s="38">
        <v>230</v>
      </c>
      <c r="Z483" s="38">
        <v>5</v>
      </c>
      <c r="AA483" s="32">
        <v>6</v>
      </c>
      <c r="AB483" s="34" t="str">
        <f>VLOOKUP(AA483,Key!$C$20:$D$29,2,FALSE)</f>
        <v>Businessman</v>
      </c>
      <c r="AC483" s="32">
        <v>5</v>
      </c>
      <c r="AD483" s="34" t="str">
        <f>VLOOKUP(AC483,Key!$E$20:$F$24,2,FALSE)</f>
        <v>&gt;1,000,000</v>
      </c>
      <c r="AE483" s="32">
        <v>2</v>
      </c>
      <c r="AF483" s="55">
        <v>2</v>
      </c>
      <c r="AG483" s="55">
        <v>3</v>
      </c>
      <c r="AH483" s="55">
        <v>1</v>
      </c>
      <c r="AI483" s="55">
        <v>4</v>
      </c>
      <c r="AJ483" s="39" t="s">
        <v>104</v>
      </c>
      <c r="AK483" s="40">
        <v>10000</v>
      </c>
      <c r="AL483" s="24"/>
      <c r="AM483" s="24"/>
    </row>
    <row r="484" spans="2:39" hidden="1" x14ac:dyDescent="0.2">
      <c r="B484" s="50">
        <v>43687</v>
      </c>
      <c r="C484" s="35">
        <v>0.68333333333333324</v>
      </c>
      <c r="D484" s="35"/>
      <c r="E484" s="35" t="s">
        <v>111</v>
      </c>
      <c r="F484" s="37">
        <v>2</v>
      </c>
      <c r="G484" s="42" t="str">
        <f>VLOOKUP(F484,Key!$A$17:$B$21,2,FALSE)</f>
        <v>Road Vehicle</v>
      </c>
      <c r="H484" s="36">
        <v>10</v>
      </c>
      <c r="I484" s="43" t="str">
        <f>VLOOKUP(H484,Key!$A$2:$B$13,2,FALSE)</f>
        <v xml:space="preserve">Truck Trailer </v>
      </c>
      <c r="J484" s="37" t="s">
        <v>123</v>
      </c>
      <c r="K484" s="37">
        <v>2</v>
      </c>
      <c r="L484" s="45" t="str">
        <f>VLOOKUP(K484,Key!$A$24:$B$29,2,FALSE)</f>
        <v>30-39</v>
      </c>
      <c r="M484" s="37" t="s">
        <v>245</v>
      </c>
      <c r="N484" s="32" t="s">
        <v>245</v>
      </c>
      <c r="O484" s="37" t="s">
        <v>246</v>
      </c>
      <c r="P484" s="39">
        <v>2</v>
      </c>
      <c r="Q484" s="34" t="str">
        <f>VLOOKUP(P484,Key!$E$2:$F$9,2,FALSE)</f>
        <v>Work</v>
      </c>
      <c r="R484" s="37" t="s">
        <v>167</v>
      </c>
      <c r="S484" s="32" t="s">
        <v>167</v>
      </c>
      <c r="T484" s="37" t="s">
        <v>168</v>
      </c>
      <c r="U484" s="32">
        <v>4</v>
      </c>
      <c r="V484" s="34" t="str">
        <f>VLOOKUP(U484,Key!$E$2:$F$9,2,FALSE)</f>
        <v>Commercial</v>
      </c>
      <c r="W484" s="34" t="str">
        <f t="shared" si="16"/>
        <v>Work-Commercial</v>
      </c>
      <c r="X484" s="47">
        <v>350000</v>
      </c>
      <c r="Y484" s="38">
        <v>230</v>
      </c>
      <c r="Z484" s="38">
        <v>5</v>
      </c>
      <c r="AA484" s="32">
        <v>6</v>
      </c>
      <c r="AB484" s="34" t="str">
        <f>VLOOKUP(AA484,Key!$C$20:$D$29,2,FALSE)</f>
        <v>Businessman</v>
      </c>
      <c r="AC484" s="32">
        <v>3</v>
      </c>
      <c r="AD484" s="34" t="str">
        <f>VLOOKUP(AC484,Key!$E$20:$F$24,2,FALSE)</f>
        <v>500,000-750,000</v>
      </c>
      <c r="AE484" s="32">
        <v>3</v>
      </c>
      <c r="AF484" s="55">
        <v>2</v>
      </c>
      <c r="AG484" s="55">
        <v>5</v>
      </c>
      <c r="AH484" s="55">
        <v>1</v>
      </c>
      <c r="AI484" s="55">
        <v>4</v>
      </c>
      <c r="AJ484" s="39" t="s">
        <v>104</v>
      </c>
      <c r="AK484" s="40">
        <v>5000</v>
      </c>
      <c r="AL484" s="24"/>
      <c r="AM484" s="24"/>
    </row>
    <row r="485" spans="2:39" hidden="1" x14ac:dyDescent="0.2">
      <c r="B485" s="50">
        <v>43687</v>
      </c>
      <c r="C485" s="35">
        <v>0.65277777777777779</v>
      </c>
      <c r="D485" s="35"/>
      <c r="E485" s="35" t="s">
        <v>111</v>
      </c>
      <c r="F485" s="37">
        <v>2</v>
      </c>
      <c r="G485" s="42" t="str">
        <f>VLOOKUP(F485,Key!$A$17:$B$21,2,FALSE)</f>
        <v>Road Vehicle</v>
      </c>
      <c r="H485" s="36">
        <v>10</v>
      </c>
      <c r="I485" s="43" t="str">
        <f>VLOOKUP(H485,Key!$A$2:$B$13,2,FALSE)</f>
        <v xml:space="preserve">Truck Trailer </v>
      </c>
      <c r="J485" s="37" t="s">
        <v>123</v>
      </c>
      <c r="K485" s="37">
        <v>2</v>
      </c>
      <c r="L485" s="45" t="str">
        <f>VLOOKUP(K485,Key!$A$24:$B$29,2,FALSE)</f>
        <v>30-39</v>
      </c>
      <c r="M485" s="37" t="s">
        <v>167</v>
      </c>
      <c r="N485" s="32" t="s">
        <v>167</v>
      </c>
      <c r="O485" s="37" t="s">
        <v>168</v>
      </c>
      <c r="P485" s="39">
        <v>2</v>
      </c>
      <c r="Q485" s="34" t="str">
        <f>VLOOKUP(P485,Key!$E$2:$F$9,2,FALSE)</f>
        <v>Work</v>
      </c>
      <c r="R485" s="37" t="s">
        <v>304</v>
      </c>
      <c r="S485" s="32" t="s">
        <v>37</v>
      </c>
      <c r="T485" s="37" t="s">
        <v>246</v>
      </c>
      <c r="U485" s="32">
        <v>2</v>
      </c>
      <c r="V485" s="34" t="str">
        <f>VLOOKUP(U485,Key!$E$2:$F$9,2,FALSE)</f>
        <v>Work</v>
      </c>
      <c r="W485" s="34" t="str">
        <f t="shared" si="16"/>
        <v>Work-Work</v>
      </c>
      <c r="X485" s="47">
        <v>400000</v>
      </c>
      <c r="Y485" s="38">
        <v>300</v>
      </c>
      <c r="Z485" s="38">
        <v>6</v>
      </c>
      <c r="AA485" s="32">
        <v>6</v>
      </c>
      <c r="AB485" s="34" t="str">
        <f>VLOOKUP(AA485,Key!$C$20:$D$29,2,FALSE)</f>
        <v>Businessman</v>
      </c>
      <c r="AC485" s="32">
        <v>3</v>
      </c>
      <c r="AD485" s="34" t="str">
        <f>VLOOKUP(AC485,Key!$E$20:$F$24,2,FALSE)</f>
        <v>500,000-750,000</v>
      </c>
      <c r="AE485" s="32">
        <v>1</v>
      </c>
      <c r="AF485" s="55">
        <v>1</v>
      </c>
      <c r="AG485" s="55">
        <v>1</v>
      </c>
      <c r="AH485" s="55">
        <v>1</v>
      </c>
      <c r="AI485" s="55">
        <v>1</v>
      </c>
      <c r="AJ485" s="39" t="s">
        <v>104</v>
      </c>
      <c r="AK485" s="40">
        <v>3000</v>
      </c>
      <c r="AL485" s="24"/>
      <c r="AM485" s="24"/>
    </row>
    <row r="486" spans="2:39" x14ac:dyDescent="0.2">
      <c r="AE486" s="114"/>
      <c r="AF486" s="114"/>
      <c r="AG486" s="114"/>
      <c r="AH486" s="114"/>
      <c r="AI486" s="114"/>
    </row>
    <row r="487" spans="2:39" x14ac:dyDescent="0.2">
      <c r="AD487" s="19" t="s">
        <v>369</v>
      </c>
      <c r="AE487">
        <f>COUNTIF(AE$69:AE$478,"1")</f>
        <v>266</v>
      </c>
      <c r="AF487">
        <f t="shared" ref="AF487:AI487" si="17">COUNTIF(AF$69:AF$478,"1")</f>
        <v>209</v>
      </c>
      <c r="AG487">
        <f t="shared" si="17"/>
        <v>197</v>
      </c>
      <c r="AH487">
        <f t="shared" si="17"/>
        <v>326</v>
      </c>
      <c r="AI487">
        <f t="shared" si="17"/>
        <v>207</v>
      </c>
    </row>
    <row r="488" spans="2:39" x14ac:dyDescent="0.2">
      <c r="AD488" s="19" t="s">
        <v>371</v>
      </c>
      <c r="AE488">
        <f>COUNTIF(AE$69:AE$478,"2")</f>
        <v>89</v>
      </c>
      <c r="AF488">
        <f t="shared" ref="AF488:AI488" si="18">COUNTIF(AF$69:AF$478,"2")</f>
        <v>75</v>
      </c>
      <c r="AG488">
        <f t="shared" si="18"/>
        <v>70</v>
      </c>
      <c r="AH488">
        <f t="shared" si="18"/>
        <v>39</v>
      </c>
      <c r="AI488">
        <f t="shared" si="18"/>
        <v>40</v>
      </c>
    </row>
    <row r="489" spans="2:39" x14ac:dyDescent="0.2">
      <c r="H489" t="s">
        <v>359</v>
      </c>
      <c r="I489" t="s">
        <v>360</v>
      </c>
      <c r="J489" t="s">
        <v>361</v>
      </c>
      <c r="AD489" s="19" t="s">
        <v>372</v>
      </c>
      <c r="AE489">
        <f>COUNTIF(AE$69:AE$478,"3")</f>
        <v>33</v>
      </c>
      <c r="AF489">
        <f t="shared" ref="AF489:AI489" si="19">COUNTIF(AF$69:AF$478,"3")</f>
        <v>96</v>
      </c>
      <c r="AG489">
        <f t="shared" si="19"/>
        <v>44</v>
      </c>
      <c r="AH489">
        <f t="shared" si="19"/>
        <v>19</v>
      </c>
      <c r="AI489">
        <f t="shared" si="19"/>
        <v>36</v>
      </c>
    </row>
    <row r="490" spans="2:39" x14ac:dyDescent="0.2">
      <c r="H490" t="s">
        <v>362</v>
      </c>
      <c r="I490">
        <v>57</v>
      </c>
      <c r="J490" s="56">
        <f>I490/$I$492</f>
        <v>0.12179487179487179</v>
      </c>
      <c r="AD490" s="19" t="s">
        <v>370</v>
      </c>
      <c r="AE490">
        <f>COUNTIF(AE$69:AE$478,"4")</f>
        <v>6</v>
      </c>
      <c r="AF490">
        <f t="shared" ref="AF490:AI490" si="20">COUNTIF(AF$69:AF$478,"4")</f>
        <v>12</v>
      </c>
      <c r="AG490">
        <f t="shared" si="20"/>
        <v>67</v>
      </c>
      <c r="AH490">
        <f t="shared" si="20"/>
        <v>6</v>
      </c>
      <c r="AI490">
        <f t="shared" si="20"/>
        <v>57</v>
      </c>
      <c r="AK490" s="52"/>
    </row>
    <row r="491" spans="2:39" x14ac:dyDescent="0.2">
      <c r="H491" t="s">
        <v>363</v>
      </c>
      <c r="I491">
        <v>411</v>
      </c>
      <c r="J491" s="56">
        <f>I491/$I$492</f>
        <v>0.87820512820512819</v>
      </c>
      <c r="AD491" s="19" t="s">
        <v>373</v>
      </c>
      <c r="AE491">
        <f>COUNTIF(AE$69:AE$478,"5")</f>
        <v>1</v>
      </c>
      <c r="AF491">
        <f t="shared" ref="AF491:AI491" si="21">COUNTIF(AF$69:AF$478,"5")</f>
        <v>1</v>
      </c>
      <c r="AG491">
        <f t="shared" si="21"/>
        <v>13</v>
      </c>
      <c r="AH491">
        <f t="shared" si="21"/>
        <v>0</v>
      </c>
      <c r="AI491">
        <f t="shared" si="21"/>
        <v>42</v>
      </c>
    </row>
    <row r="492" spans="2:39" x14ac:dyDescent="0.2">
      <c r="H492" t="s">
        <v>364</v>
      </c>
      <c r="I492">
        <f>SUM(I490:I491)</f>
        <v>468</v>
      </c>
      <c r="J492" s="56">
        <f>I492/$I$492</f>
        <v>1</v>
      </c>
      <c r="AE492">
        <f>SUBTOTAL(9,AE487:AE491)</f>
        <v>395</v>
      </c>
      <c r="AF492">
        <f t="shared" ref="AF492:AI492" si="22">SUBTOTAL(9,AF487:AF491)</f>
        <v>393</v>
      </c>
      <c r="AG492">
        <f t="shared" si="22"/>
        <v>391</v>
      </c>
      <c r="AH492">
        <f t="shared" si="22"/>
        <v>390</v>
      </c>
      <c r="AI492">
        <f t="shared" si="22"/>
        <v>382</v>
      </c>
    </row>
    <row r="493" spans="2:39" ht="25.5" x14ac:dyDescent="0.2">
      <c r="J493" s="56"/>
      <c r="AE493" s="48" t="s">
        <v>157</v>
      </c>
      <c r="AF493" s="54" t="s">
        <v>158</v>
      </c>
      <c r="AG493" s="54" t="s">
        <v>159</v>
      </c>
      <c r="AH493" s="54" t="s">
        <v>160</v>
      </c>
      <c r="AI493" s="54" t="s">
        <v>161</v>
      </c>
    </row>
    <row r="494" spans="2:39" x14ac:dyDescent="0.2">
      <c r="AD494" s="19" t="s">
        <v>369</v>
      </c>
      <c r="AE494" s="115">
        <f>AE487/AE$492</f>
        <v>0.67341772151898738</v>
      </c>
      <c r="AF494" s="115">
        <f t="shared" ref="AF494:AI494" si="23">AF487/AF$492</f>
        <v>0.53180661577608146</v>
      </c>
      <c r="AG494" s="115">
        <f t="shared" si="23"/>
        <v>0.50383631713554988</v>
      </c>
      <c r="AH494" s="115">
        <f t="shared" si="23"/>
        <v>0.83589743589743593</v>
      </c>
      <c r="AI494" s="115">
        <f t="shared" si="23"/>
        <v>0.54188481675392675</v>
      </c>
    </row>
    <row r="495" spans="2:39" x14ac:dyDescent="0.2">
      <c r="AD495" s="19" t="s">
        <v>371</v>
      </c>
      <c r="AE495" s="115">
        <f t="shared" ref="AE495:AI498" si="24">AE488/AE$492</f>
        <v>0.22531645569620254</v>
      </c>
      <c r="AF495" s="115">
        <f t="shared" si="24"/>
        <v>0.19083969465648856</v>
      </c>
      <c r="AG495" s="115">
        <f t="shared" si="24"/>
        <v>0.17902813299232737</v>
      </c>
      <c r="AH495" s="115">
        <f t="shared" si="24"/>
        <v>0.1</v>
      </c>
      <c r="AI495" s="115">
        <f t="shared" si="24"/>
        <v>0.10471204188481675</v>
      </c>
    </row>
    <row r="496" spans="2:39" ht="15" x14ac:dyDescent="0.25">
      <c r="H496" s="57" t="s">
        <v>365</v>
      </c>
      <c r="I496" s="58" t="s">
        <v>363</v>
      </c>
      <c r="J496" s="58" t="s">
        <v>362</v>
      </c>
      <c r="K496" s="59" t="s">
        <v>366</v>
      </c>
      <c r="L496" s="91" t="s">
        <v>361</v>
      </c>
      <c r="M496" s="91"/>
      <c r="AD496" s="19" t="s">
        <v>372</v>
      </c>
      <c r="AE496" s="115">
        <f t="shared" si="24"/>
        <v>8.3544303797468356E-2</v>
      </c>
      <c r="AF496" s="115">
        <f t="shared" si="24"/>
        <v>0.24427480916030533</v>
      </c>
      <c r="AG496" s="115">
        <f t="shared" si="24"/>
        <v>0.11253196930946291</v>
      </c>
      <c r="AH496" s="115">
        <f t="shared" si="24"/>
        <v>4.8717948717948718E-2</v>
      </c>
      <c r="AI496" s="115">
        <f t="shared" si="24"/>
        <v>9.4240837696335081E-2</v>
      </c>
    </row>
    <row r="497" spans="8:35" x14ac:dyDescent="0.2">
      <c r="H497" s="14"/>
      <c r="I497" s="14"/>
      <c r="J497" s="14"/>
      <c r="K497" s="14"/>
      <c r="L497" s="60" t="s">
        <v>363</v>
      </c>
      <c r="M497" s="60" t="s">
        <v>362</v>
      </c>
      <c r="AD497" s="19" t="s">
        <v>370</v>
      </c>
      <c r="AE497" s="115">
        <f t="shared" si="24"/>
        <v>1.5189873417721518E-2</v>
      </c>
      <c r="AF497" s="115">
        <f t="shared" si="24"/>
        <v>3.0534351145038167E-2</v>
      </c>
      <c r="AG497" s="115">
        <f t="shared" si="24"/>
        <v>0.17135549872122763</v>
      </c>
      <c r="AH497" s="115">
        <f t="shared" si="24"/>
        <v>1.5384615384615385E-2</v>
      </c>
      <c r="AI497" s="115">
        <f t="shared" si="24"/>
        <v>0.14921465968586387</v>
      </c>
    </row>
    <row r="498" spans="8:35" x14ac:dyDescent="0.2">
      <c r="H498" s="24" t="s">
        <v>43</v>
      </c>
      <c r="I498" s="14">
        <v>90</v>
      </c>
      <c r="J498" s="14">
        <v>48</v>
      </c>
      <c r="K498" s="61">
        <f>SUM(I498:J498)</f>
        <v>138</v>
      </c>
      <c r="L498" s="62">
        <f>I498/K498</f>
        <v>0.65217391304347827</v>
      </c>
      <c r="M498" s="62">
        <f>J498/K498</f>
        <v>0.34782608695652173</v>
      </c>
      <c r="AD498" s="19" t="s">
        <v>373</v>
      </c>
      <c r="AE498" s="115">
        <f t="shared" si="24"/>
        <v>2.5316455696202532E-3</v>
      </c>
      <c r="AF498" s="115">
        <f t="shared" si="24"/>
        <v>2.5445292620865142E-3</v>
      </c>
      <c r="AG498" s="115">
        <f t="shared" si="24"/>
        <v>3.3248081841432228E-2</v>
      </c>
      <c r="AH498" s="115">
        <f t="shared" si="24"/>
        <v>0</v>
      </c>
      <c r="AI498" s="115">
        <f t="shared" si="24"/>
        <v>0.1099476439790576</v>
      </c>
    </row>
    <row r="499" spans="8:35" x14ac:dyDescent="0.2">
      <c r="H499" s="24" t="s">
        <v>44</v>
      </c>
      <c r="I499" s="14">
        <v>45</v>
      </c>
      <c r="J499" s="14">
        <v>8</v>
      </c>
      <c r="K499" s="61">
        <f>SUM(I499:J499)</f>
        <v>53</v>
      </c>
      <c r="L499" s="62">
        <f t="shared" ref="L499:L502" si="25">I499/K499</f>
        <v>0.84905660377358494</v>
      </c>
      <c r="M499" s="62">
        <f t="shared" ref="M499:M502" si="26">J499/K499</f>
        <v>0.15094339622641509</v>
      </c>
      <c r="AG499" s="27"/>
    </row>
    <row r="500" spans="8:35" x14ac:dyDescent="0.2">
      <c r="H500" s="24" t="s">
        <v>45</v>
      </c>
      <c r="I500" s="14">
        <v>47</v>
      </c>
      <c r="J500" s="14">
        <v>0</v>
      </c>
      <c r="K500" s="61">
        <f t="shared" ref="K500:K510" si="27">SUM(I500:J500)</f>
        <v>47</v>
      </c>
      <c r="L500" s="62">
        <f t="shared" si="25"/>
        <v>1</v>
      </c>
      <c r="M500" s="62">
        <f t="shared" si="26"/>
        <v>0</v>
      </c>
      <c r="AG500" s="27"/>
    </row>
    <row r="501" spans="8:35" x14ac:dyDescent="0.2">
      <c r="H501" s="24" t="s">
        <v>121</v>
      </c>
      <c r="I501" s="14">
        <v>112</v>
      </c>
      <c r="J501" s="14">
        <v>0</v>
      </c>
      <c r="K501" s="61">
        <f>SUM(I501:J501)</f>
        <v>112</v>
      </c>
      <c r="L501" s="62">
        <f t="shared" si="25"/>
        <v>1</v>
      </c>
      <c r="M501" s="62">
        <f t="shared" si="26"/>
        <v>0</v>
      </c>
      <c r="AG501" s="27"/>
    </row>
    <row r="502" spans="8:35" x14ac:dyDescent="0.2">
      <c r="H502" s="24" t="s">
        <v>46</v>
      </c>
      <c r="I502" s="14">
        <v>34</v>
      </c>
      <c r="J502" s="14">
        <v>0</v>
      </c>
      <c r="K502" s="61">
        <f t="shared" si="27"/>
        <v>34</v>
      </c>
      <c r="L502" s="62">
        <f t="shared" si="25"/>
        <v>1</v>
      </c>
      <c r="M502" s="62">
        <f t="shared" si="26"/>
        <v>0</v>
      </c>
      <c r="AG502" s="27"/>
    </row>
    <row r="503" spans="8:35" x14ac:dyDescent="0.2">
      <c r="H503" s="24" t="s">
        <v>47</v>
      </c>
      <c r="I503" s="14">
        <v>2</v>
      </c>
      <c r="J503" s="14">
        <v>1</v>
      </c>
      <c r="K503" s="61">
        <f t="shared" si="27"/>
        <v>3</v>
      </c>
      <c r="L503" s="62">
        <f t="shared" ref="L503:L506" si="28">I503/K503</f>
        <v>0.66666666666666663</v>
      </c>
      <c r="M503" s="62">
        <f t="shared" ref="M503:M506" si="29">J503/K503</f>
        <v>0.33333333333333331</v>
      </c>
      <c r="AG503" s="27"/>
    </row>
    <row r="504" spans="8:35" x14ac:dyDescent="0.2">
      <c r="H504" s="24" t="s">
        <v>48</v>
      </c>
      <c r="I504" s="14">
        <v>37</v>
      </c>
      <c r="J504" s="14">
        <v>0</v>
      </c>
      <c r="K504" s="61">
        <f t="shared" si="27"/>
        <v>37</v>
      </c>
      <c r="L504" s="62">
        <f t="shared" si="28"/>
        <v>1</v>
      </c>
      <c r="M504" s="62">
        <f t="shared" si="29"/>
        <v>0</v>
      </c>
    </row>
    <row r="505" spans="8:35" x14ac:dyDescent="0.2">
      <c r="H505" s="24" t="s">
        <v>49</v>
      </c>
      <c r="I505" s="14">
        <v>21</v>
      </c>
      <c r="J505" s="14">
        <v>0</v>
      </c>
      <c r="K505" s="61">
        <f t="shared" si="27"/>
        <v>21</v>
      </c>
      <c r="L505" s="62">
        <f t="shared" si="28"/>
        <v>1</v>
      </c>
      <c r="M505" s="62">
        <f t="shared" si="29"/>
        <v>0</v>
      </c>
    </row>
    <row r="506" spans="8:35" x14ac:dyDescent="0.2">
      <c r="H506" s="24" t="s">
        <v>50</v>
      </c>
      <c r="I506" s="14">
        <v>15</v>
      </c>
      <c r="J506" s="14">
        <v>0</v>
      </c>
      <c r="K506" s="61">
        <f t="shared" si="27"/>
        <v>15</v>
      </c>
      <c r="L506" s="62">
        <f t="shared" si="28"/>
        <v>1</v>
      </c>
      <c r="M506" s="62">
        <f t="shared" si="29"/>
        <v>0</v>
      </c>
    </row>
    <row r="507" spans="8:35" x14ac:dyDescent="0.2">
      <c r="H507" s="24" t="s">
        <v>51</v>
      </c>
      <c r="I507" s="14">
        <v>0</v>
      </c>
      <c r="J507" s="14">
        <v>0</v>
      </c>
      <c r="K507" s="61">
        <f t="shared" si="27"/>
        <v>0</v>
      </c>
      <c r="L507" s="62">
        <v>0</v>
      </c>
      <c r="M507" s="62">
        <v>0</v>
      </c>
    </row>
    <row r="508" spans="8:35" x14ac:dyDescent="0.2">
      <c r="H508" s="24" t="s">
        <v>53</v>
      </c>
      <c r="I508" s="14">
        <v>0</v>
      </c>
      <c r="J508" s="14">
        <v>0</v>
      </c>
      <c r="K508" s="61">
        <f t="shared" si="27"/>
        <v>0</v>
      </c>
      <c r="L508" s="62">
        <v>0</v>
      </c>
      <c r="M508" s="62">
        <v>0</v>
      </c>
    </row>
    <row r="509" spans="8:35" x14ac:dyDescent="0.2">
      <c r="H509" s="24" t="s">
        <v>52</v>
      </c>
      <c r="I509" s="14">
        <v>0</v>
      </c>
      <c r="J509" s="14">
        <v>0</v>
      </c>
      <c r="K509" s="61">
        <f t="shared" si="27"/>
        <v>0</v>
      </c>
      <c r="L509" s="62">
        <v>0</v>
      </c>
      <c r="M509" s="62">
        <v>0</v>
      </c>
    </row>
    <row r="510" spans="8:35" x14ac:dyDescent="0.2">
      <c r="H510" s="24" t="s">
        <v>367</v>
      </c>
      <c r="I510" s="14">
        <v>0</v>
      </c>
      <c r="J510" s="14">
        <v>0</v>
      </c>
      <c r="K510" s="61">
        <f t="shared" si="27"/>
        <v>0</v>
      </c>
      <c r="L510" s="62">
        <v>0</v>
      </c>
      <c r="M510" s="62">
        <v>0</v>
      </c>
    </row>
    <row r="511" spans="8:35" x14ac:dyDescent="0.2">
      <c r="T511" s="77"/>
      <c r="U511" s="78"/>
      <c r="V511" s="78"/>
      <c r="W511" s="78"/>
      <c r="X511" s="78"/>
    </row>
    <row r="512" spans="8:35" x14ac:dyDescent="0.2">
      <c r="T512" s="77"/>
      <c r="X512"/>
    </row>
    <row r="513" spans="8:25" x14ac:dyDescent="0.2">
      <c r="H513" s="63" t="s">
        <v>368</v>
      </c>
      <c r="I513" s="64" t="s">
        <v>362</v>
      </c>
      <c r="J513" s="64" t="s">
        <v>363</v>
      </c>
      <c r="K513" s="64" t="s">
        <v>366</v>
      </c>
      <c r="M513" s="63" t="s">
        <v>368</v>
      </c>
      <c r="N513" s="64" t="s">
        <v>362</v>
      </c>
      <c r="O513" s="64" t="s">
        <v>363</v>
      </c>
      <c r="P513" s="64" t="s">
        <v>366</v>
      </c>
      <c r="S513" s="27"/>
    </row>
    <row r="514" spans="8:25" x14ac:dyDescent="0.2">
      <c r="H514" s="24" t="s">
        <v>126</v>
      </c>
      <c r="I514" s="14">
        <v>5</v>
      </c>
      <c r="J514" s="14">
        <v>34</v>
      </c>
      <c r="K514" s="14">
        <f>SUM(I514:J514)</f>
        <v>39</v>
      </c>
      <c r="M514" s="24" t="s">
        <v>126</v>
      </c>
      <c r="N514" s="65">
        <f>I514/$I$520</f>
        <v>0.1</v>
      </c>
      <c r="O514" s="65">
        <f>J514/$J$520</f>
        <v>8.1339712918660281E-2</v>
      </c>
      <c r="P514" s="65">
        <f>K514/$K$520</f>
        <v>8.3333333333333329E-2</v>
      </c>
      <c r="S514" s="27"/>
    </row>
    <row r="515" spans="8:25" x14ac:dyDescent="0.2">
      <c r="H515" s="24" t="s">
        <v>127</v>
      </c>
      <c r="I515" s="14">
        <v>34</v>
      </c>
      <c r="J515" s="14">
        <v>204</v>
      </c>
      <c r="K515" s="14">
        <f t="shared" ref="K515:K520" si="30">SUM(I515:J515)</f>
        <v>238</v>
      </c>
      <c r="M515" s="24" t="s">
        <v>127</v>
      </c>
      <c r="N515" s="65">
        <f t="shared" ref="N515:N520" si="31">I515/$I$520</f>
        <v>0.68</v>
      </c>
      <c r="O515" s="65">
        <f t="shared" ref="O515:O520" si="32">J515/$J$520</f>
        <v>0.48803827751196172</v>
      </c>
      <c r="P515" s="65">
        <f>K515/$K$520</f>
        <v>0.50854700854700852</v>
      </c>
      <c r="S515" s="27"/>
      <c r="Y515" s="49"/>
    </row>
    <row r="516" spans="8:25" x14ac:dyDescent="0.2">
      <c r="H516" s="24" t="s">
        <v>128</v>
      </c>
      <c r="I516" s="14">
        <v>10</v>
      </c>
      <c r="J516" s="14">
        <v>137</v>
      </c>
      <c r="K516" s="14">
        <f>SUM(I516:J516)</f>
        <v>147</v>
      </c>
      <c r="M516" s="24" t="s">
        <v>128</v>
      </c>
      <c r="N516" s="65">
        <f t="shared" si="31"/>
        <v>0.2</v>
      </c>
      <c r="O516" s="65">
        <f t="shared" si="32"/>
        <v>0.32775119617224879</v>
      </c>
      <c r="P516" s="65">
        <f t="shared" ref="P516:P520" si="33">K516/$K$520</f>
        <v>0.3141025641025641</v>
      </c>
      <c r="S516" s="27"/>
    </row>
    <row r="517" spans="8:25" x14ac:dyDescent="0.2">
      <c r="H517" s="24" t="s">
        <v>129</v>
      </c>
      <c r="I517" s="14">
        <v>1</v>
      </c>
      <c r="J517" s="14">
        <v>39</v>
      </c>
      <c r="K517" s="14">
        <f>SUM(I517:J517)</f>
        <v>40</v>
      </c>
      <c r="M517" s="24" t="s">
        <v>129</v>
      </c>
      <c r="N517" s="65">
        <f t="shared" si="31"/>
        <v>0.02</v>
      </c>
      <c r="O517" s="65">
        <f t="shared" si="32"/>
        <v>9.3301435406698566E-2</v>
      </c>
      <c r="P517" s="65">
        <f t="shared" si="33"/>
        <v>8.5470085470085472E-2</v>
      </c>
      <c r="S517" s="27"/>
    </row>
    <row r="518" spans="8:25" x14ac:dyDescent="0.2">
      <c r="H518" s="24" t="s">
        <v>130</v>
      </c>
      <c r="I518" s="14">
        <v>0</v>
      </c>
      <c r="J518" s="14">
        <v>4</v>
      </c>
      <c r="K518" s="14">
        <f>SUM(I518:J518)</f>
        <v>4</v>
      </c>
      <c r="M518" s="24" t="s">
        <v>130</v>
      </c>
      <c r="N518" s="65">
        <f t="shared" si="31"/>
        <v>0</v>
      </c>
      <c r="O518" s="65">
        <f t="shared" si="32"/>
        <v>9.5693779904306216E-3</v>
      </c>
      <c r="P518" s="65">
        <f t="shared" si="33"/>
        <v>8.5470085470085479E-3</v>
      </c>
      <c r="S518" s="27"/>
      <c r="U518" s="69"/>
    </row>
    <row r="519" spans="8:25" x14ac:dyDescent="0.2">
      <c r="H519" s="24" t="s">
        <v>131</v>
      </c>
      <c r="I519" s="14">
        <v>0</v>
      </c>
      <c r="J519" s="14">
        <v>0</v>
      </c>
      <c r="K519" s="14">
        <f t="shared" si="30"/>
        <v>0</v>
      </c>
      <c r="M519" s="24" t="s">
        <v>131</v>
      </c>
      <c r="N519" s="65">
        <f>I519/$I$520</f>
        <v>0</v>
      </c>
      <c r="O519" s="65">
        <f t="shared" si="32"/>
        <v>0</v>
      </c>
      <c r="P519" s="65">
        <f t="shared" si="33"/>
        <v>0</v>
      </c>
      <c r="S519" s="27"/>
    </row>
    <row r="520" spans="8:25" x14ac:dyDescent="0.2">
      <c r="H520" s="64" t="s">
        <v>366</v>
      </c>
      <c r="I520" s="14">
        <f>SUM(I514:I519)</f>
        <v>50</v>
      </c>
      <c r="J520" s="14">
        <f>SUM(J514:J519)</f>
        <v>418</v>
      </c>
      <c r="K520" s="14">
        <f t="shared" si="30"/>
        <v>468</v>
      </c>
      <c r="M520" s="64" t="s">
        <v>366</v>
      </c>
      <c r="N520" s="65">
        <f t="shared" si="31"/>
        <v>1</v>
      </c>
      <c r="O520" s="65">
        <f t="shared" si="32"/>
        <v>1</v>
      </c>
      <c r="P520" s="65">
        <f t="shared" si="33"/>
        <v>1</v>
      </c>
      <c r="S520" s="27"/>
    </row>
    <row r="521" spans="8:25" x14ac:dyDescent="0.2">
      <c r="S521" s="27"/>
    </row>
    <row r="522" spans="8:25" x14ac:dyDescent="0.2">
      <c r="S522" s="27"/>
    </row>
    <row r="523" spans="8:25" x14ac:dyDescent="0.2">
      <c r="S523" s="27"/>
    </row>
    <row r="524" spans="8:25" x14ac:dyDescent="0.2">
      <c r="S524" s="27"/>
    </row>
    <row r="525" spans="8:25" x14ac:dyDescent="0.2">
      <c r="S525" s="68"/>
    </row>
  </sheetData>
  <autoFilter ref="Y8:Y485" xr:uid="{6FD3484F-E228-4E8B-A59E-2553218D4026}">
    <filterColumn colId="0">
      <filters>
        <filter val="100.0"/>
        <filter val="60.0"/>
        <filter val="62.0"/>
        <filter val="65.0"/>
        <filter val="68.0"/>
        <filter val="70.0"/>
        <filter val="75.0"/>
        <filter val="80.0"/>
        <filter val="82.0"/>
        <filter val="85.0"/>
        <filter val="86.0"/>
        <filter val="90.0"/>
      </filters>
    </filterColumn>
  </autoFilter>
  <sortState xmlns:xlrd2="http://schemas.microsoft.com/office/spreadsheetml/2017/richdata2" ref="A69:AT478">
    <sortCondition ref="I69:I478"/>
    <sortCondition ref="J69:J478"/>
    <sortCondition ref="L69:L478"/>
  </sortState>
  <mergeCells count="40"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  <mergeCell ref="AC6:AC7"/>
    <mergeCell ref="AD6:AD7"/>
    <mergeCell ref="AE6:AI6"/>
    <mergeCell ref="L496:M496"/>
    <mergeCell ref="B6:B7"/>
    <mergeCell ref="C6:C7"/>
    <mergeCell ref="H6:H7"/>
    <mergeCell ref="P6:P7"/>
    <mergeCell ref="R6:T6"/>
    <mergeCell ref="U6:U7"/>
    <mergeCell ref="T511:T512"/>
    <mergeCell ref="U511:X511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</mergeCells>
  <pageMargins left="0.2" right="0.2" top="0.15" bottom="0.15" header="0.05" footer="0.3"/>
  <pageSetup paperSize="9" scale="5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109" t="s">
        <v>0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92" t="s">
        <v>8</v>
      </c>
      <c r="C7" s="81" t="s">
        <v>9</v>
      </c>
      <c r="D7" s="81" t="s">
        <v>10</v>
      </c>
      <c r="E7" s="81" t="s">
        <v>11</v>
      </c>
      <c r="F7" s="81" t="s">
        <v>12</v>
      </c>
      <c r="G7" s="81"/>
      <c r="H7" s="81" t="s">
        <v>15</v>
      </c>
      <c r="I7" s="81" t="s">
        <v>16</v>
      </c>
      <c r="J7" s="81" t="s">
        <v>17</v>
      </c>
      <c r="K7" s="81"/>
      <c r="L7" s="81" t="s">
        <v>18</v>
      </c>
      <c r="M7" s="81" t="s">
        <v>19</v>
      </c>
      <c r="N7" s="81" t="s">
        <v>20</v>
      </c>
      <c r="O7" s="112" t="s">
        <v>21</v>
      </c>
      <c r="P7" s="105" t="s">
        <v>27</v>
      </c>
      <c r="Q7" s="106"/>
    </row>
    <row r="8" spans="2:25" ht="24.75" customHeight="1" thickBot="1" x14ac:dyDescent="0.25">
      <c r="B8" s="110"/>
      <c r="C8" s="111"/>
      <c r="D8" s="111"/>
      <c r="E8" s="111"/>
      <c r="F8" s="18" t="s">
        <v>13</v>
      </c>
      <c r="G8" s="18" t="s">
        <v>14</v>
      </c>
      <c r="H8" s="111"/>
      <c r="I8" s="111"/>
      <c r="J8" s="18" t="s">
        <v>13</v>
      </c>
      <c r="K8" s="18" t="s">
        <v>14</v>
      </c>
      <c r="L8" s="111"/>
      <c r="M8" s="111"/>
      <c r="N8" s="111"/>
      <c r="O8" s="113"/>
      <c r="P8" s="107"/>
      <c r="Q8" s="108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workbookViewId="0">
      <selection activeCell="F15" sqref="F15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0"/>
      <c r="B1" s="28" t="s">
        <v>33</v>
      </c>
      <c r="C1" s="28"/>
      <c r="D1" s="28" t="s">
        <v>54</v>
      </c>
      <c r="E1" s="28"/>
      <c r="F1" s="29" t="s">
        <v>71</v>
      </c>
      <c r="G1" s="30"/>
      <c r="H1" s="30" t="s">
        <v>79</v>
      </c>
      <c r="I1" s="30"/>
      <c r="J1" s="30" t="s">
        <v>86</v>
      </c>
      <c r="K1" s="30"/>
      <c r="L1" s="30"/>
      <c r="M1" s="30"/>
      <c r="N1" s="30"/>
      <c r="O1" s="30"/>
    </row>
    <row r="2" spans="1:15" x14ac:dyDescent="0.2">
      <c r="A2">
        <v>1</v>
      </c>
      <c r="B2" s="27" t="s">
        <v>43</v>
      </c>
      <c r="C2" s="10">
        <v>1</v>
      </c>
      <c r="D2" s="27" t="s">
        <v>55</v>
      </c>
      <c r="E2" s="10">
        <v>1</v>
      </c>
      <c r="F2" t="s">
        <v>72</v>
      </c>
      <c r="G2">
        <v>1</v>
      </c>
      <c r="H2" s="19" t="s">
        <v>80</v>
      </c>
      <c r="I2">
        <v>1</v>
      </c>
      <c r="J2" s="19" t="s">
        <v>87</v>
      </c>
    </row>
    <row r="3" spans="1:15" x14ac:dyDescent="0.2">
      <c r="A3">
        <v>2</v>
      </c>
      <c r="B3" s="27" t="s">
        <v>44</v>
      </c>
      <c r="C3" s="10">
        <v>2</v>
      </c>
      <c r="D3" s="27" t="s">
        <v>56</v>
      </c>
      <c r="E3" s="10">
        <v>2</v>
      </c>
      <c r="F3" t="s">
        <v>73</v>
      </c>
      <c r="G3">
        <v>2</v>
      </c>
      <c r="H3" s="19" t="s">
        <v>81</v>
      </c>
      <c r="I3">
        <v>2</v>
      </c>
      <c r="J3" s="19" t="s">
        <v>88</v>
      </c>
    </row>
    <row r="4" spans="1:15" x14ac:dyDescent="0.2">
      <c r="A4">
        <v>3</v>
      </c>
      <c r="B4" s="27" t="s">
        <v>45</v>
      </c>
      <c r="C4" s="10">
        <v>3</v>
      </c>
      <c r="D4" s="27" t="s">
        <v>57</v>
      </c>
      <c r="E4" s="10">
        <v>3</v>
      </c>
      <c r="F4" t="s">
        <v>74</v>
      </c>
      <c r="G4">
        <v>3</v>
      </c>
      <c r="H4" s="19" t="s">
        <v>82</v>
      </c>
      <c r="I4">
        <v>3</v>
      </c>
      <c r="J4" s="19" t="s">
        <v>89</v>
      </c>
    </row>
    <row r="5" spans="1:15" x14ac:dyDescent="0.2">
      <c r="A5">
        <v>4</v>
      </c>
      <c r="B5" s="27" t="s">
        <v>121</v>
      </c>
      <c r="C5" s="10">
        <v>4</v>
      </c>
      <c r="D5" s="27" t="s">
        <v>58</v>
      </c>
      <c r="E5" s="10">
        <v>4</v>
      </c>
      <c r="F5" t="s">
        <v>75</v>
      </c>
      <c r="G5">
        <v>4</v>
      </c>
      <c r="H5" s="19" t="s">
        <v>83</v>
      </c>
      <c r="I5">
        <v>4</v>
      </c>
      <c r="J5" s="31" t="s">
        <v>90</v>
      </c>
    </row>
    <row r="6" spans="1:15" x14ac:dyDescent="0.2">
      <c r="A6">
        <v>5</v>
      </c>
      <c r="B6" s="27" t="s">
        <v>46</v>
      </c>
      <c r="C6" s="10">
        <v>5</v>
      </c>
      <c r="D6" s="27" t="s">
        <v>59</v>
      </c>
      <c r="E6" s="10">
        <v>5</v>
      </c>
      <c r="F6" t="s">
        <v>76</v>
      </c>
      <c r="G6">
        <v>5</v>
      </c>
      <c r="H6" s="19" t="s">
        <v>84</v>
      </c>
      <c r="I6">
        <v>5</v>
      </c>
      <c r="J6" s="19" t="s">
        <v>91</v>
      </c>
    </row>
    <row r="7" spans="1:15" x14ac:dyDescent="0.2">
      <c r="A7">
        <v>6</v>
      </c>
      <c r="B7" s="27" t="s">
        <v>47</v>
      </c>
      <c r="C7" s="10">
        <v>6</v>
      </c>
      <c r="D7" s="27" t="s">
        <v>60</v>
      </c>
      <c r="E7" s="10">
        <v>6</v>
      </c>
      <c r="F7" t="s">
        <v>77</v>
      </c>
      <c r="G7">
        <v>6</v>
      </c>
      <c r="H7" s="19" t="s">
        <v>85</v>
      </c>
      <c r="I7">
        <v>6</v>
      </c>
      <c r="J7" s="19" t="s">
        <v>92</v>
      </c>
    </row>
    <row r="8" spans="1:15" x14ac:dyDescent="0.2">
      <c r="A8">
        <v>7</v>
      </c>
      <c r="B8" s="27" t="s">
        <v>48</v>
      </c>
      <c r="C8" s="10">
        <v>7</v>
      </c>
      <c r="D8" s="27" t="s">
        <v>61</v>
      </c>
      <c r="E8" s="10">
        <v>7</v>
      </c>
      <c r="F8" t="s">
        <v>59</v>
      </c>
      <c r="I8">
        <v>7</v>
      </c>
      <c r="J8" s="19" t="s">
        <v>93</v>
      </c>
    </row>
    <row r="9" spans="1:15" x14ac:dyDescent="0.2">
      <c r="A9">
        <v>8</v>
      </c>
      <c r="B9" s="27" t="s">
        <v>49</v>
      </c>
      <c r="C9" s="10">
        <v>8</v>
      </c>
      <c r="D9" s="27" t="s">
        <v>62</v>
      </c>
      <c r="E9" s="10">
        <v>8</v>
      </c>
      <c r="F9" t="s">
        <v>78</v>
      </c>
      <c r="I9">
        <v>8</v>
      </c>
      <c r="J9" s="19" t="s">
        <v>94</v>
      </c>
    </row>
    <row r="10" spans="1:15" x14ac:dyDescent="0.2">
      <c r="A10">
        <v>9</v>
      </c>
      <c r="B10" s="27" t="s">
        <v>50</v>
      </c>
      <c r="C10" s="10">
        <v>9</v>
      </c>
      <c r="D10" s="27" t="s">
        <v>63</v>
      </c>
      <c r="E10" s="10"/>
      <c r="I10">
        <v>9</v>
      </c>
      <c r="J10" s="19" t="s">
        <v>95</v>
      </c>
    </row>
    <row r="11" spans="1:15" x14ac:dyDescent="0.2">
      <c r="A11">
        <v>10</v>
      </c>
      <c r="B11" s="27" t="s">
        <v>51</v>
      </c>
      <c r="C11" s="10">
        <v>10</v>
      </c>
      <c r="D11" s="27" t="s">
        <v>64</v>
      </c>
      <c r="E11" s="10"/>
      <c r="I11">
        <v>10</v>
      </c>
      <c r="J11" s="31" t="s">
        <v>96</v>
      </c>
    </row>
    <row r="12" spans="1:15" x14ac:dyDescent="0.2">
      <c r="A12">
        <v>11</v>
      </c>
      <c r="B12" s="27" t="s">
        <v>53</v>
      </c>
      <c r="C12" s="10">
        <v>11</v>
      </c>
      <c r="D12" s="27" t="s">
        <v>65</v>
      </c>
      <c r="E12" s="10"/>
      <c r="I12">
        <v>11</v>
      </c>
      <c r="J12" s="19" t="s">
        <v>97</v>
      </c>
    </row>
    <row r="13" spans="1:15" x14ac:dyDescent="0.2">
      <c r="A13">
        <v>12</v>
      </c>
      <c r="B13" s="27" t="s">
        <v>52</v>
      </c>
      <c r="C13" s="10">
        <v>12</v>
      </c>
      <c r="D13" s="27" t="s">
        <v>66</v>
      </c>
      <c r="E13" s="10"/>
      <c r="I13">
        <v>12</v>
      </c>
      <c r="J13" s="19" t="s">
        <v>98</v>
      </c>
    </row>
    <row r="14" spans="1:15" x14ac:dyDescent="0.2">
      <c r="C14" s="10">
        <v>13</v>
      </c>
      <c r="D14" s="19" t="s">
        <v>67</v>
      </c>
    </row>
    <row r="15" spans="1:15" x14ac:dyDescent="0.2">
      <c r="B15" s="1"/>
      <c r="C15" s="10">
        <v>14</v>
      </c>
      <c r="D15" s="19" t="s">
        <v>68</v>
      </c>
    </row>
    <row r="16" spans="1:15" x14ac:dyDescent="0.2">
      <c r="A16" s="30"/>
      <c r="B16" s="28" t="s">
        <v>114</v>
      </c>
      <c r="C16" s="10">
        <v>15</v>
      </c>
      <c r="D16" s="19" t="s">
        <v>69</v>
      </c>
    </row>
    <row r="17" spans="1:6" x14ac:dyDescent="0.2">
      <c r="A17">
        <v>1</v>
      </c>
      <c r="B17" s="27" t="s">
        <v>115</v>
      </c>
      <c r="C17" s="10">
        <v>16</v>
      </c>
      <c r="D17" s="19" t="s">
        <v>70</v>
      </c>
    </row>
    <row r="18" spans="1:6" x14ac:dyDescent="0.2">
      <c r="A18">
        <v>2</v>
      </c>
      <c r="B18" s="27" t="s">
        <v>116</v>
      </c>
    </row>
    <row r="19" spans="1:6" x14ac:dyDescent="0.2">
      <c r="A19">
        <v>3</v>
      </c>
      <c r="B19" s="27" t="s">
        <v>117</v>
      </c>
      <c r="D19" s="1" t="s">
        <v>137</v>
      </c>
      <c r="F19" s="1" t="s">
        <v>150</v>
      </c>
    </row>
    <row r="20" spans="1:6" x14ac:dyDescent="0.2">
      <c r="A20">
        <v>4</v>
      </c>
      <c r="B20" s="27" t="s">
        <v>118</v>
      </c>
      <c r="C20">
        <v>1</v>
      </c>
      <c r="D20" s="19" t="s">
        <v>138</v>
      </c>
      <c r="E20">
        <v>1</v>
      </c>
      <c r="F20" s="19" t="s">
        <v>151</v>
      </c>
    </row>
    <row r="21" spans="1:6" x14ac:dyDescent="0.2">
      <c r="A21">
        <v>5</v>
      </c>
      <c r="B21" s="27" t="s">
        <v>119</v>
      </c>
      <c r="C21">
        <v>2</v>
      </c>
      <c r="D21" s="19" t="s">
        <v>139</v>
      </c>
      <c r="E21">
        <v>2</v>
      </c>
      <c r="F21" s="19" t="s">
        <v>152</v>
      </c>
    </row>
    <row r="22" spans="1:6" x14ac:dyDescent="0.2">
      <c r="C22">
        <v>3</v>
      </c>
      <c r="D22" s="19" t="s">
        <v>140</v>
      </c>
      <c r="E22">
        <v>3</v>
      </c>
      <c r="F22" s="19" t="s">
        <v>153</v>
      </c>
    </row>
    <row r="23" spans="1:6" x14ac:dyDescent="0.2">
      <c r="B23" s="28" t="s">
        <v>124</v>
      </c>
      <c r="C23">
        <v>4</v>
      </c>
      <c r="D23" s="19" t="s">
        <v>141</v>
      </c>
      <c r="E23">
        <v>4</v>
      </c>
      <c r="F23" s="19" t="s">
        <v>154</v>
      </c>
    </row>
    <row r="24" spans="1:6" x14ac:dyDescent="0.2">
      <c r="A24">
        <v>1</v>
      </c>
      <c r="B24" s="19" t="s">
        <v>126</v>
      </c>
      <c r="C24">
        <v>5</v>
      </c>
      <c r="D24" s="19" t="s">
        <v>142</v>
      </c>
      <c r="E24">
        <v>5</v>
      </c>
      <c r="F24" s="19" t="s">
        <v>155</v>
      </c>
    </row>
    <row r="25" spans="1:6" x14ac:dyDescent="0.2">
      <c r="A25">
        <v>2</v>
      </c>
      <c r="B25" s="19" t="s">
        <v>127</v>
      </c>
      <c r="C25">
        <v>6</v>
      </c>
      <c r="D25" s="19" t="s">
        <v>143</v>
      </c>
    </row>
    <row r="26" spans="1:6" x14ac:dyDescent="0.2">
      <c r="A26">
        <v>3</v>
      </c>
      <c r="B26" s="19" t="s">
        <v>128</v>
      </c>
      <c r="C26">
        <v>7</v>
      </c>
      <c r="D26" s="19" t="s">
        <v>144</v>
      </c>
    </row>
    <row r="27" spans="1:6" x14ac:dyDescent="0.2">
      <c r="A27">
        <v>4</v>
      </c>
      <c r="B27" s="19" t="s">
        <v>129</v>
      </c>
      <c r="C27">
        <v>8</v>
      </c>
      <c r="D27" s="19" t="s">
        <v>145</v>
      </c>
    </row>
    <row r="28" spans="1:6" x14ac:dyDescent="0.2">
      <c r="A28">
        <v>5</v>
      </c>
      <c r="B28" s="19" t="s">
        <v>130</v>
      </c>
      <c r="C28">
        <v>9</v>
      </c>
      <c r="D28" s="19" t="s">
        <v>146</v>
      </c>
    </row>
    <row r="29" spans="1:6" x14ac:dyDescent="0.2">
      <c r="A29">
        <v>6</v>
      </c>
      <c r="B29" s="19" t="s">
        <v>131</v>
      </c>
      <c r="C29">
        <v>10</v>
      </c>
      <c r="D29" s="19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045C-0455-4DF6-91A8-C3F8843D9ED7}">
  <sheetPr filterMode="1"/>
  <dimension ref="A1:AT525"/>
  <sheetViews>
    <sheetView tabSelected="1" topLeftCell="T449" zoomScale="80" zoomScaleNormal="80" zoomScaleSheetLayoutView="80" workbookViewId="0">
      <selection activeCell="W496" sqref="W496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14.28515625" customWidth="1"/>
    <col min="9" max="9" width="15.7109375" bestFit="1" customWidth="1"/>
    <col min="10" max="10" width="11" bestFit="1" customWidth="1"/>
    <col min="11" max="11" width="12.28515625" bestFit="1" customWidth="1"/>
    <col min="12" max="12" width="13.140625" bestFit="1" customWidth="1"/>
    <col min="13" max="13" width="14.28515625" bestFit="1" customWidth="1"/>
    <col min="14" max="14" width="12.7109375" bestFit="1" customWidth="1"/>
    <col min="15" max="15" width="9.140625" bestFit="1" customWidth="1"/>
    <col min="16" max="16" width="9.42578125" style="41" bestFit="1" customWidth="1"/>
    <col min="17" max="17" width="15.140625" bestFit="1" customWidth="1"/>
    <col min="18" max="18" width="16.5703125" bestFit="1" customWidth="1"/>
    <col min="19" max="19" width="10" bestFit="1" customWidth="1"/>
    <col min="20" max="20" width="9.140625" bestFit="1" customWidth="1"/>
    <col min="21" max="21" width="12" bestFit="1" customWidth="1"/>
    <col min="22" max="22" width="14.85546875" bestFit="1" customWidth="1"/>
    <col min="23" max="23" width="26.7109375" bestFit="1" customWidth="1"/>
    <col min="24" max="24" width="11.5703125" style="49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style="52" customWidth="1"/>
    <col min="33" max="34" width="10.7109375" style="52" customWidth="1"/>
    <col min="35" max="35" width="12.28515625" style="52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99" t="s">
        <v>99</v>
      </c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6"/>
      <c r="AO1" s="6"/>
      <c r="AP1" s="6"/>
      <c r="AQ1" s="6"/>
      <c r="AR1" s="6"/>
      <c r="AS1" s="6"/>
      <c r="AT1" s="6"/>
    </row>
    <row r="2" spans="1:46" ht="15.75" x14ac:dyDescent="0.2">
      <c r="C2" s="99" t="s">
        <v>110</v>
      </c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7"/>
      <c r="AO2" s="7"/>
      <c r="AP2" s="7"/>
      <c r="AQ2" s="7"/>
      <c r="AR2" s="7"/>
      <c r="AS2" s="7"/>
      <c r="AT2" s="7"/>
    </row>
    <row r="3" spans="1:46" ht="15" x14ac:dyDescent="0.2"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51"/>
      <c r="AG3" s="51"/>
      <c r="AH3" s="51"/>
      <c r="AI3" s="51"/>
      <c r="AJ3" s="76"/>
      <c r="AK3" s="76"/>
      <c r="AL3" s="76"/>
      <c r="AM3" s="76"/>
    </row>
    <row r="4" spans="1:46" ht="15" customHeight="1" x14ac:dyDescent="0.2">
      <c r="C4" s="76"/>
      <c r="D4" s="1" t="s">
        <v>106</v>
      </c>
      <c r="E4" s="102" t="s">
        <v>167</v>
      </c>
      <c r="F4" s="103"/>
      <c r="G4" s="104"/>
      <c r="I4" s="46" t="s">
        <v>3</v>
      </c>
      <c r="J4" s="85" t="s">
        <v>358</v>
      </c>
      <c r="K4" s="86"/>
      <c r="L4" s="87"/>
      <c r="N4" s="1" t="s">
        <v>41</v>
      </c>
      <c r="O4" s="85" t="s">
        <v>108</v>
      </c>
      <c r="P4" s="87"/>
      <c r="R4" s="25" t="s">
        <v>6</v>
      </c>
      <c r="S4" s="79" t="s">
        <v>165</v>
      </c>
      <c r="T4" s="80"/>
      <c r="W4" s="26" t="s">
        <v>7</v>
      </c>
      <c r="X4" s="79" t="s">
        <v>109</v>
      </c>
      <c r="Y4" s="80"/>
      <c r="AH4" s="53"/>
      <c r="AI4" s="53"/>
      <c r="AP4" s="10"/>
      <c r="AQ4" s="5"/>
    </row>
    <row r="5" spans="1:46" ht="15" customHeight="1" thickBot="1" x14ac:dyDescent="0.25">
      <c r="C5" s="76"/>
      <c r="D5" s="76"/>
      <c r="E5" s="76"/>
      <c r="F5" s="76"/>
      <c r="G5" s="76"/>
      <c r="H5" s="76"/>
      <c r="I5" s="76"/>
      <c r="J5" s="22"/>
      <c r="K5" s="22"/>
      <c r="L5" s="22"/>
      <c r="M5" s="76"/>
      <c r="N5" s="76"/>
      <c r="P5" s="76"/>
      <c r="Q5" s="76"/>
      <c r="R5" s="5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51"/>
      <c r="AG5" s="51"/>
      <c r="AH5" s="51"/>
      <c r="AI5" s="51"/>
      <c r="AJ5" s="76"/>
      <c r="AK5" s="76"/>
      <c r="AL5" s="76"/>
      <c r="AM5" s="76"/>
    </row>
    <row r="6" spans="1:46" ht="30.75" customHeight="1" x14ac:dyDescent="0.2">
      <c r="B6" s="92" t="s">
        <v>105</v>
      </c>
      <c r="C6" s="94" t="s">
        <v>164</v>
      </c>
      <c r="D6" s="83" t="s">
        <v>38</v>
      </c>
      <c r="E6" s="81" t="s">
        <v>163</v>
      </c>
      <c r="F6" s="81" t="s">
        <v>112</v>
      </c>
      <c r="G6" s="81" t="s">
        <v>113</v>
      </c>
      <c r="H6" s="81" t="s">
        <v>9</v>
      </c>
      <c r="I6" s="83" t="s">
        <v>120</v>
      </c>
      <c r="J6" s="83" t="s">
        <v>122</v>
      </c>
      <c r="K6" s="83" t="s">
        <v>124</v>
      </c>
      <c r="L6" s="83" t="s">
        <v>125</v>
      </c>
      <c r="M6" s="96" t="s">
        <v>12</v>
      </c>
      <c r="N6" s="97"/>
      <c r="O6" s="98"/>
      <c r="P6" s="83" t="s">
        <v>15</v>
      </c>
      <c r="Q6" s="83" t="s">
        <v>100</v>
      </c>
      <c r="R6" s="96" t="s">
        <v>17</v>
      </c>
      <c r="S6" s="97"/>
      <c r="T6" s="98"/>
      <c r="U6" s="83" t="s">
        <v>18</v>
      </c>
      <c r="V6" s="83" t="s">
        <v>101</v>
      </c>
      <c r="W6" s="83" t="s">
        <v>102</v>
      </c>
      <c r="X6" s="83" t="s">
        <v>132</v>
      </c>
      <c r="Y6" s="83" t="s">
        <v>133</v>
      </c>
      <c r="Z6" s="83" t="s">
        <v>134</v>
      </c>
      <c r="AA6" s="83" t="s">
        <v>135</v>
      </c>
      <c r="AB6" s="83" t="s">
        <v>136</v>
      </c>
      <c r="AC6" s="83" t="s">
        <v>148</v>
      </c>
      <c r="AD6" s="83" t="s">
        <v>149</v>
      </c>
      <c r="AE6" s="88" t="s">
        <v>156</v>
      </c>
      <c r="AF6" s="89"/>
      <c r="AG6" s="89"/>
      <c r="AH6" s="89"/>
      <c r="AI6" s="90"/>
      <c r="AJ6" s="83" t="s">
        <v>162</v>
      </c>
      <c r="AK6" s="83" t="s">
        <v>103</v>
      </c>
      <c r="AL6" s="83" t="s">
        <v>20</v>
      </c>
      <c r="AM6" s="100" t="s">
        <v>21</v>
      </c>
      <c r="AO6" s="19"/>
    </row>
    <row r="7" spans="1:46" ht="38.25" customHeight="1" x14ac:dyDescent="0.2">
      <c r="B7" s="93"/>
      <c r="C7" s="95"/>
      <c r="D7" s="84"/>
      <c r="E7" s="82"/>
      <c r="F7" s="82"/>
      <c r="G7" s="82"/>
      <c r="H7" s="82"/>
      <c r="I7" s="84"/>
      <c r="J7" s="84"/>
      <c r="K7" s="84"/>
      <c r="L7" s="84"/>
      <c r="M7" s="75" t="s">
        <v>42</v>
      </c>
      <c r="N7" s="75" t="s">
        <v>39</v>
      </c>
      <c r="O7" s="23" t="s">
        <v>40</v>
      </c>
      <c r="P7" s="84"/>
      <c r="Q7" s="84"/>
      <c r="R7" s="75" t="s">
        <v>42</v>
      </c>
      <c r="S7" s="75" t="s">
        <v>39</v>
      </c>
      <c r="T7" s="75" t="s">
        <v>40</v>
      </c>
      <c r="U7" s="84"/>
      <c r="V7" s="84"/>
      <c r="W7" s="84"/>
      <c r="X7" s="84"/>
      <c r="Y7" s="84"/>
      <c r="Z7" s="84"/>
      <c r="AA7" s="84"/>
      <c r="AB7" s="84"/>
      <c r="AC7" s="84"/>
      <c r="AD7" s="84"/>
      <c r="AE7" s="48" t="s">
        <v>157</v>
      </c>
      <c r="AF7" s="54" t="s">
        <v>158</v>
      </c>
      <c r="AG7" s="54" t="s">
        <v>159</v>
      </c>
      <c r="AH7" s="54" t="s">
        <v>160</v>
      </c>
      <c r="AI7" s="54" t="s">
        <v>161</v>
      </c>
      <c r="AJ7" s="84"/>
      <c r="AK7" s="84"/>
      <c r="AL7" s="84"/>
      <c r="AM7" s="101"/>
    </row>
    <row r="8" spans="1:46" ht="38.25" customHeight="1" x14ac:dyDescent="0.2">
      <c r="B8" s="70"/>
      <c r="C8" s="71"/>
      <c r="D8" s="73"/>
      <c r="E8" s="75"/>
      <c r="F8" s="75"/>
      <c r="G8" s="75"/>
      <c r="H8" s="75"/>
      <c r="I8" s="73"/>
      <c r="J8" s="73"/>
      <c r="K8" s="73"/>
      <c r="L8" s="73"/>
      <c r="M8" s="75"/>
      <c r="N8" s="75"/>
      <c r="O8" s="23"/>
      <c r="P8" s="73"/>
      <c r="Q8" s="73"/>
      <c r="R8" s="75"/>
      <c r="S8" s="75"/>
      <c r="T8" s="75"/>
      <c r="U8" s="73"/>
      <c r="V8" s="73"/>
      <c r="W8" s="73"/>
      <c r="X8" s="73"/>
      <c r="Y8" s="73"/>
      <c r="Z8" s="73"/>
      <c r="AA8" s="73"/>
      <c r="AB8" s="73"/>
      <c r="AC8" s="73"/>
      <c r="AD8" s="73"/>
      <c r="AE8" s="48"/>
      <c r="AF8" s="54"/>
      <c r="AG8" s="54"/>
      <c r="AH8" s="54"/>
      <c r="AI8" s="54"/>
      <c r="AJ8" s="73"/>
      <c r="AK8" s="73"/>
      <c r="AL8" s="73"/>
      <c r="AM8" s="74"/>
    </row>
    <row r="9" spans="1:46" s="19" customFormat="1" hidden="1" x14ac:dyDescent="0.2">
      <c r="A9"/>
      <c r="B9" s="50">
        <v>43686</v>
      </c>
      <c r="C9" s="35">
        <v>0.68055555555555547</v>
      </c>
      <c r="D9" s="35"/>
      <c r="E9" s="35" t="s">
        <v>111</v>
      </c>
      <c r="F9" s="37">
        <v>2</v>
      </c>
      <c r="G9" s="42" t="str">
        <f>VLOOKUP(F9,Key!$A$17:$B$21,2,FALSE)</f>
        <v>Road Vehicle</v>
      </c>
      <c r="H9" s="36">
        <v>1</v>
      </c>
      <c r="I9" s="43" t="str">
        <f>VLOOKUP(H9,Key!$A$2:$B$13,2,FALSE)</f>
        <v>Car</v>
      </c>
      <c r="J9" s="37" t="s">
        <v>123</v>
      </c>
      <c r="K9" s="37">
        <v>2</v>
      </c>
      <c r="L9" s="45" t="str">
        <f>VLOOKUP(K9,Key!$A$24:$B$29,2,FALSE)</f>
        <v>30-39</v>
      </c>
      <c r="M9" s="44" t="s">
        <v>216</v>
      </c>
      <c r="N9" s="44" t="s">
        <v>167</v>
      </c>
      <c r="O9" s="37" t="s">
        <v>168</v>
      </c>
      <c r="P9" s="39">
        <v>2</v>
      </c>
      <c r="Q9" s="34" t="str">
        <f>VLOOKUP(P9,Key!$E$2:$F$9,2,FALSE)</f>
        <v>Work</v>
      </c>
      <c r="R9" s="37" t="s">
        <v>204</v>
      </c>
      <c r="S9" s="32" t="s">
        <v>205</v>
      </c>
      <c r="T9" s="37" t="s">
        <v>168</v>
      </c>
      <c r="U9" s="32">
        <v>6</v>
      </c>
      <c r="V9" s="34" t="str">
        <f>VLOOKUP(U9,Key!$E$2:$F$9,2,FALSE)</f>
        <v>Leisure/Social</v>
      </c>
      <c r="W9" s="34" t="str">
        <f t="shared" ref="W9:W72" si="0">Q9&amp;"-"&amp;V9</f>
        <v>Work-Leisure/Social</v>
      </c>
      <c r="X9" s="47">
        <v>20000</v>
      </c>
      <c r="Y9" s="38">
        <v>3</v>
      </c>
      <c r="Z9" s="38">
        <v>1</v>
      </c>
      <c r="AA9" s="32">
        <v>5</v>
      </c>
      <c r="AB9" s="34" t="str">
        <f>VLOOKUP(AA9,Key!$C$20:$D$29,2,FALSE)</f>
        <v>Professional</v>
      </c>
      <c r="AC9" s="32">
        <v>3</v>
      </c>
      <c r="AD9" s="34" t="str">
        <f>VLOOKUP(AC9,Key!$E$20:$F$24,2,FALSE)</f>
        <v>500,000-750,000</v>
      </c>
      <c r="AE9" s="32">
        <v>1</v>
      </c>
      <c r="AF9" s="55">
        <v>1</v>
      </c>
      <c r="AG9" s="55">
        <v>2</v>
      </c>
      <c r="AH9" s="55">
        <v>1</v>
      </c>
      <c r="AI9" s="55">
        <v>2</v>
      </c>
      <c r="AJ9" s="39" t="s">
        <v>104</v>
      </c>
      <c r="AK9" s="40">
        <v>5000</v>
      </c>
      <c r="AL9" s="24"/>
      <c r="AM9" s="24"/>
      <c r="AN9"/>
      <c r="AO9"/>
      <c r="AP9"/>
      <c r="AQ9"/>
      <c r="AR9"/>
      <c r="AS9"/>
      <c r="AT9"/>
    </row>
    <row r="10" spans="1:46" hidden="1" x14ac:dyDescent="0.2">
      <c r="B10" s="50">
        <v>43687</v>
      </c>
      <c r="C10" s="35">
        <v>0.43472222222222223</v>
      </c>
      <c r="D10" s="35"/>
      <c r="E10" s="35" t="s">
        <v>111</v>
      </c>
      <c r="F10" s="37">
        <v>2</v>
      </c>
      <c r="G10" s="42" t="str">
        <f>VLOOKUP(F10,Key!$A$17:$B$21,2,FALSE)</f>
        <v>Road Vehicle</v>
      </c>
      <c r="H10" s="36">
        <v>1</v>
      </c>
      <c r="I10" s="43" t="str">
        <f>VLOOKUP(H10,Key!$A$2:$B$13,2,FALSE)</f>
        <v>Car</v>
      </c>
      <c r="J10" s="37" t="s">
        <v>166</v>
      </c>
      <c r="K10" s="13">
        <v>2</v>
      </c>
      <c r="L10" s="45" t="str">
        <f>VLOOKUP(K10,Key!$A$24:$B$29,2,FALSE)</f>
        <v>30-39</v>
      </c>
      <c r="M10" s="44" t="s">
        <v>182</v>
      </c>
      <c r="N10" s="44" t="s">
        <v>167</v>
      </c>
      <c r="O10" s="37" t="s">
        <v>168</v>
      </c>
      <c r="P10" s="39">
        <v>1</v>
      </c>
      <c r="Q10" s="34" t="str">
        <f>VLOOKUP(P10,Key!$E$2:$F$9,2,FALSE)</f>
        <v>Home</v>
      </c>
      <c r="R10" s="37" t="s">
        <v>167</v>
      </c>
      <c r="S10" s="32" t="s">
        <v>167</v>
      </c>
      <c r="T10" s="37" t="s">
        <v>168</v>
      </c>
      <c r="U10" s="32">
        <v>6</v>
      </c>
      <c r="V10" s="34" t="str">
        <f>VLOOKUP(U10,Key!$E$2:$F$9,2,FALSE)</f>
        <v>Leisure/Social</v>
      </c>
      <c r="W10" s="34" t="str">
        <f t="shared" si="0"/>
        <v>Home-Leisure/Social</v>
      </c>
      <c r="X10" s="47">
        <v>20000</v>
      </c>
      <c r="Y10" s="38">
        <v>5</v>
      </c>
      <c r="Z10" s="38">
        <v>0.3</v>
      </c>
      <c r="AA10" s="32">
        <v>5</v>
      </c>
      <c r="AB10" s="34" t="str">
        <f>VLOOKUP(AA10,Key!$C$20:$D$29,2,FALSE)</f>
        <v>Professional</v>
      </c>
      <c r="AC10" s="32">
        <v>3</v>
      </c>
      <c r="AD10" s="34" t="str">
        <f>VLOOKUP(AC10,Key!$E$20:$F$24,2,FALSE)</f>
        <v>500,000-750,000</v>
      </c>
      <c r="AE10" s="32">
        <v>1</v>
      </c>
      <c r="AF10" s="55">
        <v>1</v>
      </c>
      <c r="AG10" s="55">
        <v>1</v>
      </c>
      <c r="AH10" s="55">
        <v>1</v>
      </c>
      <c r="AI10" s="55">
        <v>1</v>
      </c>
      <c r="AJ10" s="39" t="s">
        <v>104</v>
      </c>
      <c r="AK10" s="40"/>
      <c r="AL10" s="24"/>
      <c r="AM10" s="24"/>
    </row>
    <row r="11" spans="1:46" hidden="1" x14ac:dyDescent="0.2">
      <c r="B11" s="50">
        <v>43687</v>
      </c>
      <c r="C11" s="35">
        <v>0.49791666666666662</v>
      </c>
      <c r="D11" s="35"/>
      <c r="E11" s="35" t="s">
        <v>111</v>
      </c>
      <c r="F11" s="37">
        <v>2</v>
      </c>
      <c r="G11" s="42" t="str">
        <f>VLOOKUP(F11,Key!$A$17:$B$21,2,FALSE)</f>
        <v>Road Vehicle</v>
      </c>
      <c r="H11" s="36">
        <v>1</v>
      </c>
      <c r="I11" s="43" t="str">
        <f>VLOOKUP(H11,Key!$A$2:$B$13,2,FALSE)</f>
        <v>Car</v>
      </c>
      <c r="J11" s="37" t="s">
        <v>166</v>
      </c>
      <c r="K11" s="37">
        <v>2</v>
      </c>
      <c r="L11" s="45" t="str">
        <f>VLOOKUP(K11,Key!$A$24:$B$29,2,FALSE)</f>
        <v>30-39</v>
      </c>
      <c r="M11" s="44" t="s">
        <v>186</v>
      </c>
      <c r="N11" s="32" t="s">
        <v>167</v>
      </c>
      <c r="O11" s="37" t="s">
        <v>168</v>
      </c>
      <c r="P11" s="39">
        <v>6</v>
      </c>
      <c r="Q11" s="34" t="str">
        <f>VLOOKUP(P11,Key!$E$2:$F$9,2,FALSE)</f>
        <v>Leisure/Social</v>
      </c>
      <c r="R11" s="37" t="s">
        <v>167</v>
      </c>
      <c r="S11" s="32" t="s">
        <v>167</v>
      </c>
      <c r="T11" s="37" t="s">
        <v>168</v>
      </c>
      <c r="U11" s="32">
        <v>2</v>
      </c>
      <c r="V11" s="34" t="str">
        <f>VLOOKUP(U11,Key!$E$2:$F$9,2,FALSE)</f>
        <v>Work</v>
      </c>
      <c r="W11" s="34" t="str">
        <f t="shared" si="0"/>
        <v>Leisure/Social-Work</v>
      </c>
      <c r="X11" s="47">
        <v>20000</v>
      </c>
      <c r="Y11" s="38">
        <v>5</v>
      </c>
      <c r="Z11" s="38">
        <v>0.5</v>
      </c>
      <c r="AA11" s="32">
        <v>6</v>
      </c>
      <c r="AB11" s="34" t="str">
        <f>VLOOKUP(AA11,Key!$C$20:$D$29,2,FALSE)</f>
        <v>Businessman</v>
      </c>
      <c r="AC11" s="32">
        <v>2</v>
      </c>
      <c r="AD11" s="34" t="str">
        <f>VLOOKUP(AC11,Key!$E$20:$F$24,2,FALSE)</f>
        <v>300,000-500,000</v>
      </c>
      <c r="AE11" s="32">
        <v>1</v>
      </c>
      <c r="AF11" s="55">
        <v>2</v>
      </c>
      <c r="AG11" s="55">
        <v>1</v>
      </c>
      <c r="AH11" s="55">
        <v>1</v>
      </c>
      <c r="AI11" s="55">
        <v>1</v>
      </c>
      <c r="AJ11" s="39" t="s">
        <v>104</v>
      </c>
      <c r="AK11" s="40"/>
      <c r="AL11" s="24"/>
      <c r="AM11" s="24"/>
    </row>
    <row r="12" spans="1:46" hidden="1" x14ac:dyDescent="0.2">
      <c r="B12" s="50">
        <v>43690</v>
      </c>
      <c r="C12" s="35">
        <v>0.45416666666666666</v>
      </c>
      <c r="D12" s="35"/>
      <c r="E12" s="35" t="s">
        <v>111</v>
      </c>
      <c r="F12" s="37">
        <v>2</v>
      </c>
      <c r="G12" s="42" t="str">
        <f>VLOOKUP(F12,Key!$A$17:$B$21,2,FALSE)</f>
        <v>Road Vehicle</v>
      </c>
      <c r="H12" s="36">
        <v>1</v>
      </c>
      <c r="I12" s="43" t="str">
        <f>VLOOKUP(H12,Key!$A$2:$B$13,2,FALSE)</f>
        <v>Car</v>
      </c>
      <c r="J12" s="37" t="s">
        <v>123</v>
      </c>
      <c r="K12" s="37">
        <v>4</v>
      </c>
      <c r="L12" s="45" t="str">
        <f>VLOOKUP(K12,Key!$A$24:$B$29,2,FALSE)</f>
        <v>50-59</v>
      </c>
      <c r="M12" s="37" t="s">
        <v>216</v>
      </c>
      <c r="N12" s="32" t="s">
        <v>167</v>
      </c>
      <c r="O12" s="37" t="s">
        <v>168</v>
      </c>
      <c r="P12" s="39">
        <v>2</v>
      </c>
      <c r="Q12" s="34" t="str">
        <f>VLOOKUP(P12,Key!$E$2:$F$9,2,FALSE)</f>
        <v>Work</v>
      </c>
      <c r="R12" s="37" t="s">
        <v>296</v>
      </c>
      <c r="S12" s="32" t="s">
        <v>167</v>
      </c>
      <c r="T12" s="37" t="s">
        <v>168</v>
      </c>
      <c r="U12" s="32">
        <v>1</v>
      </c>
      <c r="V12" s="34" t="str">
        <f>VLOOKUP(U12,Key!$E$2:$F$9,2,FALSE)</f>
        <v>Home</v>
      </c>
      <c r="W12" s="34" t="str">
        <f t="shared" si="0"/>
        <v>Work-Home</v>
      </c>
      <c r="X12" s="47">
        <v>5000</v>
      </c>
      <c r="Y12" s="38">
        <v>10</v>
      </c>
      <c r="Z12" s="38">
        <v>0.2</v>
      </c>
      <c r="AA12" s="32">
        <v>6</v>
      </c>
      <c r="AB12" s="34" t="str">
        <f>VLOOKUP(AA12,Key!$C$20:$D$29,2,FALSE)</f>
        <v>Businessman</v>
      </c>
      <c r="AC12" s="32">
        <v>5</v>
      </c>
      <c r="AD12" s="34" t="str">
        <f>VLOOKUP(AC12,Key!$E$20:$F$24,2,FALSE)</f>
        <v>&gt;1,000,000</v>
      </c>
      <c r="AE12" s="32">
        <v>1</v>
      </c>
      <c r="AF12" s="55">
        <v>1</v>
      </c>
      <c r="AG12" s="55">
        <v>1</v>
      </c>
      <c r="AH12" s="55">
        <v>1</v>
      </c>
      <c r="AI12" s="55">
        <v>1</v>
      </c>
      <c r="AJ12" s="39" t="s">
        <v>104</v>
      </c>
      <c r="AK12" s="40"/>
      <c r="AL12" s="24"/>
      <c r="AM12" s="24"/>
    </row>
    <row r="13" spans="1:46" hidden="1" x14ac:dyDescent="0.2">
      <c r="B13" s="50">
        <v>43689</v>
      </c>
      <c r="C13" s="35">
        <v>0.38263888888888892</v>
      </c>
      <c r="D13" s="35"/>
      <c r="E13" s="35" t="s">
        <v>111</v>
      </c>
      <c r="F13" s="37">
        <v>2</v>
      </c>
      <c r="G13" s="42" t="str">
        <f>VLOOKUP(F13,Key!$A$17:$B$21,2,FALSE)</f>
        <v>Road Vehicle</v>
      </c>
      <c r="H13" s="36">
        <v>1</v>
      </c>
      <c r="I13" s="43" t="str">
        <f>VLOOKUP(H13,Key!$A$2:$B$13,2,FALSE)</f>
        <v>Car</v>
      </c>
      <c r="J13" s="37" t="s">
        <v>166</v>
      </c>
      <c r="K13" s="13">
        <v>2</v>
      </c>
      <c r="L13" s="45" t="str">
        <f>VLOOKUP(K13,Key!$A$24:$B$29,2,FALSE)</f>
        <v>30-39</v>
      </c>
      <c r="M13" s="44" t="s">
        <v>186</v>
      </c>
      <c r="N13" s="44" t="s">
        <v>167</v>
      </c>
      <c r="O13" s="37" t="s">
        <v>168</v>
      </c>
      <c r="P13" s="39">
        <v>2</v>
      </c>
      <c r="Q13" s="34" t="str">
        <f>VLOOKUP(P13,Key!$E$2:$F$9,2,FALSE)</f>
        <v>Work</v>
      </c>
      <c r="R13" s="37" t="s">
        <v>167</v>
      </c>
      <c r="S13" s="32" t="s">
        <v>167</v>
      </c>
      <c r="T13" s="37" t="s">
        <v>168</v>
      </c>
      <c r="U13" s="32">
        <v>2</v>
      </c>
      <c r="V13" s="34" t="str">
        <f>VLOOKUP(U13,Key!$E$2:$F$9,2,FALSE)</f>
        <v>Work</v>
      </c>
      <c r="W13" s="34" t="str">
        <f t="shared" si="0"/>
        <v>Work-Work</v>
      </c>
      <c r="X13" s="47">
        <v>20000</v>
      </c>
      <c r="Y13" s="38">
        <v>10</v>
      </c>
      <c r="Z13" s="38">
        <v>0.3</v>
      </c>
      <c r="AA13" s="32">
        <v>5</v>
      </c>
      <c r="AB13" s="34" t="str">
        <f>VLOOKUP(AA13,Key!$C$20:$D$29,2,FALSE)</f>
        <v>Professional</v>
      </c>
      <c r="AC13" s="32">
        <v>2</v>
      </c>
      <c r="AD13" s="34" t="str">
        <f>VLOOKUP(AC13,Key!$E$20:$F$24,2,FALSE)</f>
        <v>300,000-500,000</v>
      </c>
      <c r="AE13" s="32">
        <v>1</v>
      </c>
      <c r="AF13" s="55">
        <v>1</v>
      </c>
      <c r="AG13" s="55">
        <v>1</v>
      </c>
      <c r="AH13" s="55">
        <v>1</v>
      </c>
      <c r="AI13" s="55">
        <v>1</v>
      </c>
      <c r="AJ13" s="39" t="s">
        <v>104</v>
      </c>
      <c r="AK13" s="40"/>
      <c r="AL13" s="24"/>
      <c r="AM13" s="24"/>
    </row>
    <row r="14" spans="1:46" hidden="1" x14ac:dyDescent="0.2">
      <c r="B14" s="50">
        <v>43689</v>
      </c>
      <c r="C14" s="35">
        <v>0.62291666666666667</v>
      </c>
      <c r="D14" s="35"/>
      <c r="E14" s="35" t="s">
        <v>111</v>
      </c>
      <c r="F14" s="37">
        <v>2</v>
      </c>
      <c r="G14" s="42" t="str">
        <f>VLOOKUP(F14,Key!$A$17:$B$21,2,FALSE)</f>
        <v>Road Vehicle</v>
      </c>
      <c r="H14" s="36">
        <v>1</v>
      </c>
      <c r="I14" s="43" t="str">
        <f>VLOOKUP(H14,Key!$A$2:$B$13,2,FALSE)</f>
        <v>Car</v>
      </c>
      <c r="J14" s="37" t="s">
        <v>123</v>
      </c>
      <c r="K14" s="37">
        <v>3</v>
      </c>
      <c r="L14" s="45" t="str">
        <f>VLOOKUP(K14,Key!$A$24:$B$29,2,FALSE)</f>
        <v>40-49</v>
      </c>
      <c r="M14" s="37" t="s">
        <v>276</v>
      </c>
      <c r="N14" s="32" t="s">
        <v>167</v>
      </c>
      <c r="O14" s="37" t="s">
        <v>168</v>
      </c>
      <c r="P14" s="39">
        <v>1</v>
      </c>
      <c r="Q14" s="34" t="str">
        <f>VLOOKUP(P14,Key!$E$2:$F$9,2,FALSE)</f>
        <v>Home</v>
      </c>
      <c r="R14" s="37" t="s">
        <v>216</v>
      </c>
      <c r="S14" s="32" t="s">
        <v>167</v>
      </c>
      <c r="T14" s="37" t="s">
        <v>168</v>
      </c>
      <c r="U14" s="32">
        <v>6</v>
      </c>
      <c r="V14" s="34" t="str">
        <f>VLOOKUP(U14,Key!$E$2:$F$9,2,FALSE)</f>
        <v>Leisure/Social</v>
      </c>
      <c r="W14" s="34" t="str">
        <f t="shared" si="0"/>
        <v>Home-Leisure/Social</v>
      </c>
      <c r="X14" s="47">
        <v>4000</v>
      </c>
      <c r="Y14" s="38">
        <v>10</v>
      </c>
      <c r="Z14" s="38">
        <v>0.3</v>
      </c>
      <c r="AA14" s="32">
        <v>5</v>
      </c>
      <c r="AB14" s="34" t="str">
        <f>VLOOKUP(AA14,Key!$C$20:$D$29,2,FALSE)</f>
        <v>Professional</v>
      </c>
      <c r="AC14" s="32">
        <v>3</v>
      </c>
      <c r="AD14" s="34" t="str">
        <f>VLOOKUP(AC14,Key!$E$20:$F$24,2,FALSE)</f>
        <v>500,000-750,000</v>
      </c>
      <c r="AE14" s="32">
        <v>1</v>
      </c>
      <c r="AF14" s="55">
        <v>1</v>
      </c>
      <c r="AG14" s="55">
        <v>1</v>
      </c>
      <c r="AH14" s="55">
        <v>1</v>
      </c>
      <c r="AI14" s="55">
        <v>1</v>
      </c>
      <c r="AJ14" s="39" t="s">
        <v>104</v>
      </c>
      <c r="AK14" s="40">
        <v>3000</v>
      </c>
      <c r="AL14" s="24"/>
      <c r="AM14" s="24"/>
    </row>
    <row r="15" spans="1:46" hidden="1" x14ac:dyDescent="0.2">
      <c r="B15" s="50">
        <v>43689</v>
      </c>
      <c r="C15" s="35">
        <v>0.61527777777777781</v>
      </c>
      <c r="D15" s="35"/>
      <c r="E15" s="35" t="s">
        <v>111</v>
      </c>
      <c r="F15" s="37">
        <v>2</v>
      </c>
      <c r="G15" s="42" t="str">
        <f>VLOOKUP(F15,Key!$A$17:$B$21,2,FALSE)</f>
        <v>Road Vehicle</v>
      </c>
      <c r="H15" s="36">
        <v>1</v>
      </c>
      <c r="I15" s="43" t="str">
        <f>VLOOKUP(H15,Key!$A$2:$B$13,2,FALSE)</f>
        <v>Car</v>
      </c>
      <c r="J15" s="37" t="s">
        <v>123</v>
      </c>
      <c r="K15" s="37">
        <v>4</v>
      </c>
      <c r="L15" s="45" t="str">
        <f>VLOOKUP(K15,Key!$A$24:$B$29,2,FALSE)</f>
        <v>50-59</v>
      </c>
      <c r="M15" s="37" t="s">
        <v>216</v>
      </c>
      <c r="N15" s="32" t="s">
        <v>167</v>
      </c>
      <c r="O15" s="37" t="s">
        <v>168</v>
      </c>
      <c r="P15" s="39">
        <v>2</v>
      </c>
      <c r="Q15" s="34" t="str">
        <f>VLOOKUP(P15,Key!$E$2:$F$9,2,FALSE)</f>
        <v>Work</v>
      </c>
      <c r="R15" s="37" t="s">
        <v>187</v>
      </c>
      <c r="S15" s="32" t="s">
        <v>167</v>
      </c>
      <c r="T15" s="37" t="s">
        <v>168</v>
      </c>
      <c r="U15" s="32">
        <v>1</v>
      </c>
      <c r="V15" s="34" t="str">
        <f>VLOOKUP(U15,Key!$E$2:$F$9,2,FALSE)</f>
        <v>Home</v>
      </c>
      <c r="W15" s="34" t="str">
        <f t="shared" si="0"/>
        <v>Work-Home</v>
      </c>
      <c r="X15" s="47">
        <v>5000</v>
      </c>
      <c r="Y15" s="38">
        <v>10</v>
      </c>
      <c r="Z15" s="38">
        <v>0.3</v>
      </c>
      <c r="AA15" s="32">
        <v>6</v>
      </c>
      <c r="AB15" s="34" t="str">
        <f>VLOOKUP(AA15,Key!$C$20:$D$29,2,FALSE)</f>
        <v>Businessman</v>
      </c>
      <c r="AC15" s="32">
        <v>4</v>
      </c>
      <c r="AD15" s="34" t="str">
        <f>VLOOKUP(AC15,Key!$E$20:$F$24,2,FALSE)</f>
        <v>750,000-1,000,000</v>
      </c>
      <c r="AE15" s="32">
        <v>1</v>
      </c>
      <c r="AF15" s="55">
        <v>1</v>
      </c>
      <c r="AG15" s="55">
        <v>1</v>
      </c>
      <c r="AH15" s="55">
        <v>1</v>
      </c>
      <c r="AI15" s="55">
        <v>1</v>
      </c>
      <c r="AJ15" s="39" t="s">
        <v>104</v>
      </c>
      <c r="AK15" s="40"/>
      <c r="AL15" s="24"/>
      <c r="AM15" s="24"/>
    </row>
    <row r="16" spans="1:46" hidden="1" x14ac:dyDescent="0.2">
      <c r="B16" s="50">
        <v>43689</v>
      </c>
      <c r="C16" s="35">
        <v>0.59652777777777777</v>
      </c>
      <c r="D16" s="35"/>
      <c r="E16" s="35" t="s">
        <v>111</v>
      </c>
      <c r="F16" s="37">
        <v>2</v>
      </c>
      <c r="G16" s="42" t="str">
        <f>VLOOKUP(F16,Key!$A$17:$B$21,2,FALSE)</f>
        <v>Road Vehicle</v>
      </c>
      <c r="H16" s="36">
        <v>1</v>
      </c>
      <c r="I16" s="43" t="str">
        <f>VLOOKUP(H16,Key!$A$2:$B$13,2,FALSE)</f>
        <v>Car</v>
      </c>
      <c r="J16" s="37" t="s">
        <v>166</v>
      </c>
      <c r="K16" s="37">
        <v>2</v>
      </c>
      <c r="L16" s="45" t="str">
        <f>VLOOKUP(K16,Key!$A$24:$B$29,2,FALSE)</f>
        <v>30-39</v>
      </c>
      <c r="M16" s="37" t="s">
        <v>186</v>
      </c>
      <c r="N16" s="32" t="s">
        <v>167</v>
      </c>
      <c r="O16" s="37" t="s">
        <v>168</v>
      </c>
      <c r="P16" s="39">
        <v>1</v>
      </c>
      <c r="Q16" s="34" t="str">
        <f>VLOOKUP(P16,Key!$E$2:$F$9,2,FALSE)</f>
        <v>Home</v>
      </c>
      <c r="R16" s="37" t="s">
        <v>351</v>
      </c>
      <c r="S16" s="32" t="s">
        <v>167</v>
      </c>
      <c r="T16" s="37" t="s">
        <v>168</v>
      </c>
      <c r="U16" s="32">
        <v>2</v>
      </c>
      <c r="V16" s="34" t="str">
        <f>VLOOKUP(U16,Key!$E$2:$F$9,2,FALSE)</f>
        <v>Work</v>
      </c>
      <c r="W16" s="34" t="str">
        <f t="shared" si="0"/>
        <v>Home-Work</v>
      </c>
      <c r="X16" s="47">
        <v>20000</v>
      </c>
      <c r="Y16" s="38">
        <v>10</v>
      </c>
      <c r="Z16" s="38">
        <v>0.5</v>
      </c>
      <c r="AA16" s="32">
        <v>4</v>
      </c>
      <c r="AB16" s="34" t="str">
        <f>VLOOKUP(AA16,Key!$C$20:$D$29,2,FALSE)</f>
        <v>Office Worker</v>
      </c>
      <c r="AC16" s="32">
        <v>2</v>
      </c>
      <c r="AD16" s="34" t="str">
        <f>VLOOKUP(AC16,Key!$E$20:$F$24,2,FALSE)</f>
        <v>300,000-500,000</v>
      </c>
      <c r="AE16" s="32">
        <v>1</v>
      </c>
      <c r="AF16" s="55">
        <v>2</v>
      </c>
      <c r="AG16" s="55">
        <v>1</v>
      </c>
      <c r="AH16" s="55">
        <v>1</v>
      </c>
      <c r="AI16" s="55">
        <v>1</v>
      </c>
      <c r="AJ16" s="39" t="s">
        <v>104</v>
      </c>
      <c r="AK16" s="40">
        <v>1000</v>
      </c>
      <c r="AL16" s="24"/>
      <c r="AM16" s="24"/>
    </row>
    <row r="17" spans="2:39" hidden="1" x14ac:dyDescent="0.2">
      <c r="B17" s="50">
        <v>43689</v>
      </c>
      <c r="C17" s="35">
        <v>0.58124999999999993</v>
      </c>
      <c r="D17" s="35"/>
      <c r="E17" s="35" t="s">
        <v>111</v>
      </c>
      <c r="F17" s="37">
        <v>2</v>
      </c>
      <c r="G17" s="42" t="str">
        <f>VLOOKUP(F17,Key!$A$17:$B$21,2,FALSE)</f>
        <v>Road Vehicle</v>
      </c>
      <c r="H17" s="36">
        <v>1</v>
      </c>
      <c r="I17" s="43" t="str">
        <f>VLOOKUP(H17,Key!$A$2:$B$13,2,FALSE)</f>
        <v>Car</v>
      </c>
      <c r="J17" s="37" t="s">
        <v>166</v>
      </c>
      <c r="K17" s="37">
        <v>2</v>
      </c>
      <c r="L17" s="45" t="str">
        <f>VLOOKUP(K17,Key!$A$24:$B$29,2,FALSE)</f>
        <v>30-39</v>
      </c>
      <c r="M17" s="37" t="s">
        <v>187</v>
      </c>
      <c r="N17" s="32" t="s">
        <v>167</v>
      </c>
      <c r="O17" s="37" t="s">
        <v>168</v>
      </c>
      <c r="P17" s="39">
        <v>1</v>
      </c>
      <c r="Q17" s="34" t="str">
        <f>VLOOKUP(P17,Key!$E$2:$F$9,2,FALSE)</f>
        <v>Home</v>
      </c>
      <c r="R17" s="37" t="s">
        <v>187</v>
      </c>
      <c r="S17" s="32" t="s">
        <v>167</v>
      </c>
      <c r="T17" s="37" t="s">
        <v>168</v>
      </c>
      <c r="U17" s="32">
        <v>1</v>
      </c>
      <c r="V17" s="34" t="str">
        <f>VLOOKUP(U17,Key!$E$2:$F$9,2,FALSE)</f>
        <v>Home</v>
      </c>
      <c r="W17" s="34" t="str">
        <f t="shared" si="0"/>
        <v>Home-Home</v>
      </c>
      <c r="X17" s="47">
        <v>25000</v>
      </c>
      <c r="Y17" s="38">
        <v>10</v>
      </c>
      <c r="Z17" s="38">
        <v>0.5</v>
      </c>
      <c r="AA17" s="32">
        <v>6</v>
      </c>
      <c r="AB17" s="34" t="str">
        <f>VLOOKUP(AA17,Key!$C$20:$D$29,2,FALSE)</f>
        <v>Businessman</v>
      </c>
      <c r="AC17" s="32">
        <v>3</v>
      </c>
      <c r="AD17" s="34" t="str">
        <f>VLOOKUP(AC17,Key!$E$20:$F$24,2,FALSE)</f>
        <v>500,000-750,000</v>
      </c>
      <c r="AE17" s="32">
        <v>1</v>
      </c>
      <c r="AF17" s="55">
        <v>1</v>
      </c>
      <c r="AG17" s="55">
        <v>1</v>
      </c>
      <c r="AH17" s="55">
        <v>1</v>
      </c>
      <c r="AI17" s="55">
        <v>1</v>
      </c>
      <c r="AJ17" s="39" t="s">
        <v>104</v>
      </c>
      <c r="AK17" s="40"/>
      <c r="AL17" s="24"/>
      <c r="AM17" s="24"/>
    </row>
    <row r="18" spans="2:39" hidden="1" x14ac:dyDescent="0.2">
      <c r="B18" s="50">
        <v>43686</v>
      </c>
      <c r="C18" s="35">
        <v>0.65277777777777779</v>
      </c>
      <c r="D18" s="35"/>
      <c r="E18" s="35" t="s">
        <v>111</v>
      </c>
      <c r="F18" s="37">
        <v>2</v>
      </c>
      <c r="G18" s="42" t="str">
        <f>VLOOKUP(F18,Key!$A$17:$B$21,2,FALSE)</f>
        <v>Road Vehicle</v>
      </c>
      <c r="H18" s="36">
        <v>1</v>
      </c>
      <c r="I18" s="43" t="str">
        <f>VLOOKUP(H18,Key!$A$2:$B$13,2,FALSE)</f>
        <v>Car</v>
      </c>
      <c r="J18" s="37" t="s">
        <v>166</v>
      </c>
      <c r="K18" s="37">
        <v>2</v>
      </c>
      <c r="L18" s="45" t="str">
        <f>VLOOKUP(K18,Key!$A$24:$B$29,2,FALSE)</f>
        <v>30-39</v>
      </c>
      <c r="M18" s="37" t="s">
        <v>187</v>
      </c>
      <c r="N18" s="32" t="s">
        <v>167</v>
      </c>
      <c r="O18" s="37" t="s">
        <v>168</v>
      </c>
      <c r="P18" s="39">
        <v>2</v>
      </c>
      <c r="Q18" s="34" t="str">
        <f>VLOOKUP(P18,Key!$E$2:$F$9,2,FALSE)</f>
        <v>Work</v>
      </c>
      <c r="R18" s="37" t="s">
        <v>276</v>
      </c>
      <c r="S18" s="32" t="s">
        <v>167</v>
      </c>
      <c r="T18" s="37" t="s">
        <v>168</v>
      </c>
      <c r="U18" s="32">
        <v>1</v>
      </c>
      <c r="V18" s="34" t="str">
        <f>VLOOKUP(U18,Key!$E$2:$F$9,2,FALSE)</f>
        <v>Home</v>
      </c>
      <c r="W18" s="34" t="str">
        <f t="shared" si="0"/>
        <v>Work-Home</v>
      </c>
      <c r="X18" s="47">
        <v>10000</v>
      </c>
      <c r="Y18" s="38">
        <v>15</v>
      </c>
      <c r="Z18" s="38">
        <v>0.2</v>
      </c>
      <c r="AA18" s="32">
        <v>6</v>
      </c>
      <c r="AB18" s="34" t="str">
        <f>VLOOKUP(AA18,Key!$C$20:$D$29,2,FALSE)</f>
        <v>Businessman</v>
      </c>
      <c r="AC18" s="32">
        <v>5</v>
      </c>
      <c r="AD18" s="34" t="str">
        <f>VLOOKUP(AC18,Key!$E$20:$F$24,2,FALSE)</f>
        <v>&gt;1,000,000</v>
      </c>
      <c r="AE18" s="32">
        <v>1</v>
      </c>
      <c r="AF18" s="55">
        <v>2</v>
      </c>
      <c r="AG18" s="55">
        <v>4</v>
      </c>
      <c r="AH18" s="55">
        <v>1</v>
      </c>
      <c r="AI18" s="55">
        <v>1</v>
      </c>
      <c r="AJ18" s="39" t="s">
        <v>104</v>
      </c>
      <c r="AK18" s="40">
        <v>2000</v>
      </c>
      <c r="AL18" s="24"/>
      <c r="AM18" s="24"/>
    </row>
    <row r="19" spans="2:39" hidden="1" x14ac:dyDescent="0.2">
      <c r="B19" s="50">
        <v>43686</v>
      </c>
      <c r="C19" s="35">
        <v>0.75486111111111109</v>
      </c>
      <c r="D19" s="35"/>
      <c r="E19" s="35" t="s">
        <v>111</v>
      </c>
      <c r="F19" s="37">
        <v>2</v>
      </c>
      <c r="G19" s="42" t="str">
        <f>VLOOKUP(F19,Key!$A$17:$B$21,2,FALSE)</f>
        <v>Road Vehicle</v>
      </c>
      <c r="H19" s="36">
        <v>1</v>
      </c>
      <c r="I19" s="43" t="str">
        <f>VLOOKUP(H19,Key!$A$2:$B$13,2,FALSE)</f>
        <v>Car</v>
      </c>
      <c r="J19" s="37" t="s">
        <v>166</v>
      </c>
      <c r="K19" s="37">
        <v>2</v>
      </c>
      <c r="L19" s="45" t="str">
        <f>VLOOKUP(K19,Key!$A$24:$B$29,2,FALSE)</f>
        <v>30-39</v>
      </c>
      <c r="M19" s="37" t="s">
        <v>295</v>
      </c>
      <c r="N19" s="32" t="s">
        <v>167</v>
      </c>
      <c r="O19" s="37" t="s">
        <v>168</v>
      </c>
      <c r="P19" s="39">
        <v>6</v>
      </c>
      <c r="Q19" s="34" t="str">
        <f>VLOOKUP(P19,Key!$E$2:$F$9,2,FALSE)</f>
        <v>Leisure/Social</v>
      </c>
      <c r="R19" s="37" t="s">
        <v>277</v>
      </c>
      <c r="S19" s="32" t="s">
        <v>167</v>
      </c>
      <c r="T19" s="37" t="s">
        <v>168</v>
      </c>
      <c r="U19" s="32">
        <v>1</v>
      </c>
      <c r="V19" s="34" t="str">
        <f>VLOOKUP(U19,Key!$E$2:$F$9,2,FALSE)</f>
        <v>Home</v>
      </c>
      <c r="W19" s="34" t="str">
        <f t="shared" si="0"/>
        <v>Leisure/Social-Home</v>
      </c>
      <c r="X19" s="47">
        <v>5000</v>
      </c>
      <c r="Y19" s="38">
        <v>15</v>
      </c>
      <c r="Z19" s="38">
        <v>0.3</v>
      </c>
      <c r="AA19" s="32">
        <v>5</v>
      </c>
      <c r="AB19" s="34" t="str">
        <f>VLOOKUP(AA19,Key!$C$20:$D$29,2,FALSE)</f>
        <v>Professional</v>
      </c>
      <c r="AC19" s="32">
        <v>4</v>
      </c>
      <c r="AD19" s="34" t="str">
        <f>VLOOKUP(AC19,Key!$E$20:$F$24,2,FALSE)</f>
        <v>750,000-1,000,000</v>
      </c>
      <c r="AE19" s="32">
        <v>1</v>
      </c>
      <c r="AF19" s="55">
        <v>1</v>
      </c>
      <c r="AG19" s="55">
        <v>1</v>
      </c>
      <c r="AH19" s="55">
        <v>1</v>
      </c>
      <c r="AI19" s="55">
        <v>1</v>
      </c>
      <c r="AJ19" s="39" t="s">
        <v>104</v>
      </c>
      <c r="AK19" s="40">
        <v>2000</v>
      </c>
      <c r="AL19" s="24"/>
      <c r="AM19" s="24"/>
    </row>
    <row r="20" spans="2:39" hidden="1" x14ac:dyDescent="0.2">
      <c r="B20" s="50">
        <v>43686</v>
      </c>
      <c r="C20" s="35">
        <v>0.65277777777777779</v>
      </c>
      <c r="D20" s="35"/>
      <c r="E20" s="35" t="s">
        <v>111</v>
      </c>
      <c r="F20" s="37">
        <v>2</v>
      </c>
      <c r="G20" s="42" t="str">
        <f>VLOOKUP(F20,Key!$A$17:$B$21,2,FALSE)</f>
        <v>Road Vehicle</v>
      </c>
      <c r="H20" s="36">
        <v>1</v>
      </c>
      <c r="I20" s="43" t="str">
        <f>VLOOKUP(H20,Key!$A$2:$B$13,2,FALSE)</f>
        <v>Car</v>
      </c>
      <c r="J20" s="37" t="s">
        <v>123</v>
      </c>
      <c r="K20" s="37">
        <v>3</v>
      </c>
      <c r="L20" s="45" t="str">
        <f>VLOOKUP(K20,Key!$A$24:$B$29,2,FALSE)</f>
        <v>40-49</v>
      </c>
      <c r="M20" s="37" t="s">
        <v>208</v>
      </c>
      <c r="N20" s="32" t="s">
        <v>167</v>
      </c>
      <c r="O20" s="37" t="s">
        <v>168</v>
      </c>
      <c r="P20" s="39">
        <v>1</v>
      </c>
      <c r="Q20" s="34" t="str">
        <f>VLOOKUP(P20,Key!$E$2:$F$9,2,FALSE)</f>
        <v>Home</v>
      </c>
      <c r="R20" s="37" t="s">
        <v>277</v>
      </c>
      <c r="S20" s="32" t="s">
        <v>167</v>
      </c>
      <c r="T20" s="37" t="s">
        <v>168</v>
      </c>
      <c r="U20" s="32">
        <v>2</v>
      </c>
      <c r="V20" s="34" t="str">
        <f>VLOOKUP(U20,Key!$E$2:$F$9,2,FALSE)</f>
        <v>Work</v>
      </c>
      <c r="W20" s="34" t="str">
        <f t="shared" si="0"/>
        <v>Home-Work</v>
      </c>
      <c r="X20" s="47">
        <v>10000</v>
      </c>
      <c r="Y20" s="38">
        <v>15</v>
      </c>
      <c r="Z20" s="38">
        <v>0.5</v>
      </c>
      <c r="AA20" s="32">
        <v>5</v>
      </c>
      <c r="AB20" s="34" t="str">
        <f>VLOOKUP(AA20,Key!$C$20:$D$29,2,FALSE)</f>
        <v>Professional</v>
      </c>
      <c r="AC20" s="32">
        <v>3</v>
      </c>
      <c r="AD20" s="34" t="str">
        <f>VLOOKUP(AC20,Key!$E$20:$F$24,2,FALSE)</f>
        <v>500,000-750,000</v>
      </c>
      <c r="AE20" s="32">
        <v>1</v>
      </c>
      <c r="AF20" s="55">
        <v>1</v>
      </c>
      <c r="AG20" s="55">
        <v>1</v>
      </c>
      <c r="AH20" s="55">
        <v>1</v>
      </c>
      <c r="AI20" s="55">
        <v>1</v>
      </c>
      <c r="AJ20" s="39" t="s">
        <v>104</v>
      </c>
      <c r="AK20" s="40">
        <v>3000</v>
      </c>
      <c r="AL20" s="24"/>
      <c r="AM20" s="24"/>
    </row>
    <row r="21" spans="2:39" hidden="1" x14ac:dyDescent="0.2">
      <c r="B21" s="50">
        <v>43686</v>
      </c>
      <c r="C21" s="35">
        <v>0.75138888888888899</v>
      </c>
      <c r="D21" s="35"/>
      <c r="E21" s="35" t="s">
        <v>111</v>
      </c>
      <c r="F21" s="37">
        <v>2</v>
      </c>
      <c r="G21" s="42" t="str">
        <f>VLOOKUP(F21,Key!$A$17:$B$21,2,FALSE)</f>
        <v>Road Vehicle</v>
      </c>
      <c r="H21" s="36">
        <v>1</v>
      </c>
      <c r="I21" s="43" t="str">
        <f>VLOOKUP(H21,Key!$A$2:$B$13,2,FALSE)</f>
        <v>Car</v>
      </c>
      <c r="J21" s="37" t="s">
        <v>123</v>
      </c>
      <c r="K21" s="37">
        <v>2</v>
      </c>
      <c r="L21" s="45" t="str">
        <f>VLOOKUP(K21,Key!$A$24:$B$29,2,FALSE)</f>
        <v>30-39</v>
      </c>
      <c r="M21" s="37" t="s">
        <v>252</v>
      </c>
      <c r="N21" s="32" t="s">
        <v>167</v>
      </c>
      <c r="O21" s="37" t="s">
        <v>168</v>
      </c>
      <c r="P21" s="39">
        <v>6</v>
      </c>
      <c r="Q21" s="34" t="str">
        <f>VLOOKUP(P21,Key!$E$2:$F$9,2,FALSE)</f>
        <v>Leisure/Social</v>
      </c>
      <c r="R21" s="37" t="s">
        <v>190</v>
      </c>
      <c r="S21" s="32" t="s">
        <v>190</v>
      </c>
      <c r="T21" s="37" t="s">
        <v>168</v>
      </c>
      <c r="U21" s="32">
        <v>3</v>
      </c>
      <c r="V21" s="34" t="str">
        <f>VLOOKUP(U21,Key!$E$2:$F$9,2,FALSE)</f>
        <v>Study</v>
      </c>
      <c r="W21" s="34" t="str">
        <f t="shared" si="0"/>
        <v>Leisure/Social-Study</v>
      </c>
      <c r="X21" s="47">
        <v>30000</v>
      </c>
      <c r="Y21" s="38">
        <v>15</v>
      </c>
      <c r="Z21" s="38">
        <v>1</v>
      </c>
      <c r="AA21" s="32">
        <v>6</v>
      </c>
      <c r="AB21" s="34" t="str">
        <f>VLOOKUP(AA21,Key!$C$20:$D$29,2,FALSE)</f>
        <v>Businessman</v>
      </c>
      <c r="AC21" s="32">
        <v>2</v>
      </c>
      <c r="AD21" s="34" t="str">
        <f>VLOOKUP(AC21,Key!$E$20:$F$24,2,FALSE)</f>
        <v>300,000-500,000</v>
      </c>
      <c r="AE21" s="32">
        <v>1</v>
      </c>
      <c r="AF21" s="55">
        <v>2</v>
      </c>
      <c r="AG21" s="55">
        <v>1</v>
      </c>
      <c r="AH21" s="55">
        <v>1</v>
      </c>
      <c r="AI21" s="55">
        <v>1</v>
      </c>
      <c r="AJ21" s="39" t="s">
        <v>104</v>
      </c>
      <c r="AK21" s="40">
        <v>1000</v>
      </c>
      <c r="AL21" s="24"/>
      <c r="AM21" s="24"/>
    </row>
    <row r="22" spans="2:39" hidden="1" x14ac:dyDescent="0.2">
      <c r="B22" s="50">
        <v>43687</v>
      </c>
      <c r="C22" s="35">
        <v>0.44791666666666669</v>
      </c>
      <c r="D22" s="35"/>
      <c r="E22" s="35" t="s">
        <v>111</v>
      </c>
      <c r="F22" s="37">
        <v>2</v>
      </c>
      <c r="G22" s="42" t="str">
        <f>VLOOKUP(F22,Key!$A$17:$B$21,2,FALSE)</f>
        <v>Road Vehicle</v>
      </c>
      <c r="H22" s="36">
        <v>1</v>
      </c>
      <c r="I22" s="43" t="str">
        <f>VLOOKUP(H22,Key!$A$2:$B$13,2,FALSE)</f>
        <v>Car</v>
      </c>
      <c r="J22" s="37" t="s">
        <v>166</v>
      </c>
      <c r="K22" s="37">
        <v>2</v>
      </c>
      <c r="L22" s="45" t="str">
        <f>VLOOKUP(K22,Key!$A$24:$B$29,2,FALSE)</f>
        <v>30-39</v>
      </c>
      <c r="M22" s="37" t="s">
        <v>173</v>
      </c>
      <c r="N22" s="32" t="s">
        <v>167</v>
      </c>
      <c r="O22" s="37" t="s">
        <v>168</v>
      </c>
      <c r="P22" s="39">
        <v>2</v>
      </c>
      <c r="Q22" s="34" t="str">
        <f>VLOOKUP(P22,Key!$E$2:$F$9,2,FALSE)</f>
        <v>Work</v>
      </c>
      <c r="R22" s="37" t="s">
        <v>189</v>
      </c>
      <c r="S22" s="32" t="s">
        <v>190</v>
      </c>
      <c r="T22" s="37" t="s">
        <v>168</v>
      </c>
      <c r="U22" s="32">
        <v>6</v>
      </c>
      <c r="V22" s="34" t="str">
        <f>VLOOKUP(U22,Key!$E$2:$F$9,2,FALSE)</f>
        <v>Leisure/Social</v>
      </c>
      <c r="W22" s="34" t="str">
        <f t="shared" si="0"/>
        <v>Work-Leisure/Social</v>
      </c>
      <c r="X22" s="47">
        <v>40000</v>
      </c>
      <c r="Y22" s="38">
        <v>17</v>
      </c>
      <c r="Z22" s="38">
        <v>2</v>
      </c>
      <c r="AA22" s="32">
        <v>4</v>
      </c>
      <c r="AB22" s="34" t="str">
        <f>VLOOKUP(AA22,Key!$C$20:$D$29,2,FALSE)</f>
        <v>Office Worker</v>
      </c>
      <c r="AC22" s="32">
        <v>2</v>
      </c>
      <c r="AD22" s="34" t="str">
        <f>VLOOKUP(AC22,Key!$E$20:$F$24,2,FALSE)</f>
        <v>300,000-500,000</v>
      </c>
      <c r="AE22" s="32">
        <v>1</v>
      </c>
      <c r="AF22" s="55">
        <v>1</v>
      </c>
      <c r="AG22" s="55">
        <v>2</v>
      </c>
      <c r="AH22" s="55">
        <v>1</v>
      </c>
      <c r="AI22" s="55">
        <v>1</v>
      </c>
      <c r="AJ22" s="39" t="s">
        <v>104</v>
      </c>
      <c r="AK22" s="40">
        <v>2000</v>
      </c>
      <c r="AL22" s="24"/>
      <c r="AM22" s="24"/>
    </row>
    <row r="23" spans="2:39" hidden="1" x14ac:dyDescent="0.2">
      <c r="B23" s="50">
        <v>43687</v>
      </c>
      <c r="C23" s="35">
        <v>0.60069444444444442</v>
      </c>
      <c r="D23" s="35"/>
      <c r="E23" s="35" t="s">
        <v>111</v>
      </c>
      <c r="F23" s="37">
        <v>2</v>
      </c>
      <c r="G23" s="42" t="str">
        <f>VLOOKUP(F23,Key!$A$17:$B$21,2,FALSE)</f>
        <v>Road Vehicle</v>
      </c>
      <c r="H23" s="36">
        <v>1</v>
      </c>
      <c r="I23" s="43" t="str">
        <f>VLOOKUP(H23,Key!$A$2:$B$13,2,FALSE)</f>
        <v>Car</v>
      </c>
      <c r="J23" s="37" t="s">
        <v>123</v>
      </c>
      <c r="K23" s="37">
        <v>1</v>
      </c>
      <c r="L23" s="45" t="str">
        <f>VLOOKUP(K23,Key!$A$24:$B$29,2,FALSE)</f>
        <v>20-29</v>
      </c>
      <c r="M23" s="37" t="s">
        <v>297</v>
      </c>
      <c r="N23" s="32" t="s">
        <v>167</v>
      </c>
      <c r="O23" s="37" t="s">
        <v>168</v>
      </c>
      <c r="P23" s="39">
        <v>2</v>
      </c>
      <c r="Q23" s="34" t="str">
        <f>VLOOKUP(P23,Key!$E$2:$F$9,2,FALSE)</f>
        <v>Work</v>
      </c>
      <c r="R23" s="37" t="s">
        <v>204</v>
      </c>
      <c r="S23" s="32" t="s">
        <v>167</v>
      </c>
      <c r="T23" s="37" t="s">
        <v>168</v>
      </c>
      <c r="U23" s="32">
        <v>1</v>
      </c>
      <c r="V23" s="34" t="str">
        <f>VLOOKUP(U23,Key!$E$2:$F$9,2,FALSE)</f>
        <v>Home</v>
      </c>
      <c r="W23" s="34" t="str">
        <f t="shared" si="0"/>
        <v>Work-Home</v>
      </c>
      <c r="X23" s="47">
        <v>10000</v>
      </c>
      <c r="Y23" s="38">
        <v>20</v>
      </c>
      <c r="Z23" s="38">
        <v>0.5</v>
      </c>
      <c r="AA23" s="32">
        <v>6</v>
      </c>
      <c r="AB23" s="34" t="str">
        <f>VLOOKUP(AA23,Key!$C$20:$D$29,2,FALSE)</f>
        <v>Businessman</v>
      </c>
      <c r="AC23" s="32">
        <v>3</v>
      </c>
      <c r="AD23" s="34" t="str">
        <f>VLOOKUP(AC23,Key!$E$20:$F$24,2,FALSE)</f>
        <v>500,000-750,000</v>
      </c>
      <c r="AE23" s="32">
        <v>1</v>
      </c>
      <c r="AF23" s="55">
        <v>1</v>
      </c>
      <c r="AG23" s="55">
        <v>1</v>
      </c>
      <c r="AH23" s="55">
        <v>1</v>
      </c>
      <c r="AI23" s="55">
        <v>1</v>
      </c>
      <c r="AJ23" s="39" t="s">
        <v>104</v>
      </c>
      <c r="AK23" s="40"/>
      <c r="AL23" s="24"/>
      <c r="AM23" s="24"/>
    </row>
    <row r="24" spans="2:39" hidden="1" x14ac:dyDescent="0.2">
      <c r="B24" s="50">
        <v>43687</v>
      </c>
      <c r="C24" s="35">
        <v>0.3611111111111111</v>
      </c>
      <c r="D24" s="35"/>
      <c r="E24" s="35" t="s">
        <v>111</v>
      </c>
      <c r="F24" s="37">
        <v>2</v>
      </c>
      <c r="G24" s="42" t="str">
        <f>VLOOKUP(F24,Key!$A$17:$B$21,2,FALSE)</f>
        <v>Road Vehicle</v>
      </c>
      <c r="H24" s="36">
        <v>1</v>
      </c>
      <c r="I24" s="43" t="str">
        <f>VLOOKUP(H24,Key!$A$2:$B$13,2,FALSE)</f>
        <v>Car</v>
      </c>
      <c r="J24" s="37" t="s">
        <v>123</v>
      </c>
      <c r="K24" s="37">
        <v>2</v>
      </c>
      <c r="L24" s="45" t="str">
        <f>VLOOKUP(K24,Key!$A$24:$B$29,2,FALSE)</f>
        <v>30-39</v>
      </c>
      <c r="M24" s="37" t="s">
        <v>253</v>
      </c>
      <c r="N24" s="32" t="s">
        <v>167</v>
      </c>
      <c r="O24" s="37" t="s">
        <v>168</v>
      </c>
      <c r="P24" s="39">
        <v>2</v>
      </c>
      <c r="Q24" s="34" t="str">
        <f>VLOOKUP(P24,Key!$E$2:$F$9,2,FALSE)</f>
        <v>Work</v>
      </c>
      <c r="R24" s="37" t="s">
        <v>204</v>
      </c>
      <c r="S24" s="32" t="s">
        <v>167</v>
      </c>
      <c r="T24" s="37" t="s">
        <v>168</v>
      </c>
      <c r="U24" s="32">
        <v>1</v>
      </c>
      <c r="V24" s="34" t="str">
        <f>VLOOKUP(U24,Key!$E$2:$F$9,2,FALSE)</f>
        <v>Home</v>
      </c>
      <c r="W24" s="34" t="str">
        <f t="shared" si="0"/>
        <v>Work-Home</v>
      </c>
      <c r="X24" s="47">
        <v>10000</v>
      </c>
      <c r="Y24" s="38">
        <v>20</v>
      </c>
      <c r="Z24" s="38">
        <v>0.5</v>
      </c>
      <c r="AA24" s="32">
        <v>6</v>
      </c>
      <c r="AB24" s="34" t="str">
        <f>VLOOKUP(AA24,Key!$C$20:$D$29,2,FALSE)</f>
        <v>Businessman</v>
      </c>
      <c r="AC24" s="32">
        <v>4</v>
      </c>
      <c r="AD24" s="34" t="str">
        <f>VLOOKUP(AC24,Key!$E$20:$F$24,2,FALSE)</f>
        <v>750,000-1,000,000</v>
      </c>
      <c r="AE24" s="32">
        <v>1</v>
      </c>
      <c r="AF24" s="55">
        <v>1</v>
      </c>
      <c r="AG24" s="55">
        <v>1</v>
      </c>
      <c r="AH24" s="55">
        <v>1</v>
      </c>
      <c r="AI24" s="55">
        <v>1</v>
      </c>
      <c r="AJ24" s="39" t="s">
        <v>104</v>
      </c>
      <c r="AK24" s="40">
        <v>2000</v>
      </c>
      <c r="AL24" s="24"/>
      <c r="AM24" s="24"/>
    </row>
    <row r="25" spans="2:39" hidden="1" x14ac:dyDescent="0.2">
      <c r="B25" s="50">
        <v>43687</v>
      </c>
      <c r="C25" s="35">
        <v>0.34375</v>
      </c>
      <c r="D25" s="35"/>
      <c r="E25" s="35" t="s">
        <v>111</v>
      </c>
      <c r="F25" s="37">
        <v>2</v>
      </c>
      <c r="G25" s="42" t="str">
        <f>VLOOKUP(F25,Key!$A$17:$B$21,2,FALSE)</f>
        <v>Road Vehicle</v>
      </c>
      <c r="H25" s="36">
        <v>1</v>
      </c>
      <c r="I25" s="43" t="str">
        <f>VLOOKUP(H25,Key!$A$2:$B$13,2,FALSE)</f>
        <v>Car</v>
      </c>
      <c r="J25" s="37" t="s">
        <v>123</v>
      </c>
      <c r="K25" s="37">
        <v>4</v>
      </c>
      <c r="L25" s="45" t="str">
        <f>VLOOKUP(K25,Key!$A$24:$B$29,2,FALSE)</f>
        <v>50-59</v>
      </c>
      <c r="M25" s="37" t="s">
        <v>247</v>
      </c>
      <c r="N25" s="32" t="s">
        <v>167</v>
      </c>
      <c r="O25" s="37" t="s">
        <v>168</v>
      </c>
      <c r="P25" s="39">
        <v>2</v>
      </c>
      <c r="Q25" s="34" t="str">
        <f>VLOOKUP(P25,Key!$E$2:$F$9,2,FALSE)</f>
        <v>Work</v>
      </c>
      <c r="R25" s="37" t="s">
        <v>176</v>
      </c>
      <c r="S25" s="32" t="s">
        <v>176</v>
      </c>
      <c r="T25" s="37" t="s">
        <v>168</v>
      </c>
      <c r="U25" s="32">
        <v>1</v>
      </c>
      <c r="V25" s="34" t="str">
        <f>VLOOKUP(U25,Key!$E$2:$F$9,2,FALSE)</f>
        <v>Home</v>
      </c>
      <c r="W25" s="34" t="str">
        <f t="shared" si="0"/>
        <v>Work-Home</v>
      </c>
      <c r="X25" s="47">
        <v>50000</v>
      </c>
      <c r="Y25" s="38">
        <v>20</v>
      </c>
      <c r="Z25" s="38">
        <v>1</v>
      </c>
      <c r="AA25" s="32">
        <v>5</v>
      </c>
      <c r="AB25" s="34" t="str">
        <f>VLOOKUP(AA25,Key!$C$20:$D$29,2,FALSE)</f>
        <v>Professional</v>
      </c>
      <c r="AC25" s="32">
        <v>3</v>
      </c>
      <c r="AD25" s="34" t="str">
        <f>VLOOKUP(AC25,Key!$E$20:$F$24,2,FALSE)</f>
        <v>500,000-750,000</v>
      </c>
      <c r="AE25" s="32">
        <v>1</v>
      </c>
      <c r="AF25" s="55">
        <v>1</v>
      </c>
      <c r="AG25" s="55">
        <v>1</v>
      </c>
      <c r="AH25" s="55">
        <v>1</v>
      </c>
      <c r="AI25" s="55">
        <v>1</v>
      </c>
      <c r="AJ25" s="39" t="s">
        <v>104</v>
      </c>
      <c r="AK25" s="40">
        <v>5000</v>
      </c>
      <c r="AL25" s="24"/>
      <c r="AM25" s="24"/>
    </row>
    <row r="26" spans="2:39" hidden="1" x14ac:dyDescent="0.2">
      <c r="B26" s="50">
        <v>43687</v>
      </c>
      <c r="C26" s="35">
        <v>0.38194444444444442</v>
      </c>
      <c r="D26" s="35"/>
      <c r="E26" s="35" t="s">
        <v>111</v>
      </c>
      <c r="F26" s="37">
        <v>2</v>
      </c>
      <c r="G26" s="42" t="str">
        <f>VLOOKUP(F26,Key!$A$17:$B$21,2,FALSE)</f>
        <v>Road Vehicle</v>
      </c>
      <c r="H26" s="36">
        <v>1</v>
      </c>
      <c r="I26" s="43" t="str">
        <f>VLOOKUP(H26,Key!$A$2:$B$13,2,FALSE)</f>
        <v>Car</v>
      </c>
      <c r="J26" s="37" t="s">
        <v>166</v>
      </c>
      <c r="K26" s="37">
        <v>1</v>
      </c>
      <c r="L26" s="45" t="str">
        <f>VLOOKUP(K26,Key!$A$24:$B$29,2,FALSE)</f>
        <v>20-29</v>
      </c>
      <c r="M26" s="37" t="s">
        <v>187</v>
      </c>
      <c r="N26" s="32" t="s">
        <v>167</v>
      </c>
      <c r="O26" s="37" t="s">
        <v>168</v>
      </c>
      <c r="P26" s="39">
        <v>1</v>
      </c>
      <c r="Q26" s="34" t="str">
        <f>VLOOKUP(P26,Key!$E$2:$F$9,2,FALSE)</f>
        <v>Home</v>
      </c>
      <c r="R26" s="37" t="s">
        <v>260</v>
      </c>
      <c r="S26" s="32" t="s">
        <v>167</v>
      </c>
      <c r="T26" s="37" t="s">
        <v>168</v>
      </c>
      <c r="U26" s="32">
        <v>5</v>
      </c>
      <c r="V26" s="34" t="str">
        <f>VLOOKUP(U26,Key!$E$2:$F$9,2,FALSE)</f>
        <v>Tourism</v>
      </c>
      <c r="W26" s="34" t="str">
        <f t="shared" si="0"/>
        <v>Home-Tourism</v>
      </c>
      <c r="X26" s="47">
        <v>50000</v>
      </c>
      <c r="Y26" s="38">
        <v>20</v>
      </c>
      <c r="Z26" s="38">
        <v>2</v>
      </c>
      <c r="AA26" s="32">
        <v>7</v>
      </c>
      <c r="AB26" s="34" t="str">
        <f>VLOOKUP(AA26,Key!$C$20:$D$29,2,FALSE)</f>
        <v>Farmer</v>
      </c>
      <c r="AC26" s="32">
        <v>4</v>
      </c>
      <c r="AD26" s="34" t="str">
        <f>VLOOKUP(AC26,Key!$E$20:$F$24,2,FALSE)</f>
        <v>750,000-1,000,000</v>
      </c>
      <c r="AE26" s="32">
        <v>1</v>
      </c>
      <c r="AF26" s="55">
        <v>1</v>
      </c>
      <c r="AG26" s="55">
        <v>2</v>
      </c>
      <c r="AH26" s="55">
        <v>1</v>
      </c>
      <c r="AI26" s="55">
        <v>1</v>
      </c>
      <c r="AJ26" s="39" t="s">
        <v>104</v>
      </c>
      <c r="AK26" s="40">
        <v>5000</v>
      </c>
      <c r="AL26" s="24"/>
      <c r="AM26" s="24"/>
    </row>
    <row r="27" spans="2:39" hidden="1" x14ac:dyDescent="0.2">
      <c r="B27" s="50">
        <v>43687</v>
      </c>
      <c r="C27" s="35">
        <v>0.51736111111111105</v>
      </c>
      <c r="D27" s="35"/>
      <c r="E27" s="35" t="s">
        <v>111</v>
      </c>
      <c r="F27" s="37">
        <v>2</v>
      </c>
      <c r="G27" s="42" t="str">
        <f>VLOOKUP(F27,Key!$A$17:$B$21,2,FALSE)</f>
        <v>Road Vehicle</v>
      </c>
      <c r="H27" s="36">
        <v>1</v>
      </c>
      <c r="I27" s="43" t="str">
        <f>VLOOKUP(H27,Key!$A$2:$B$13,2,FALSE)</f>
        <v>Car</v>
      </c>
      <c r="J27" s="37" t="s">
        <v>166</v>
      </c>
      <c r="K27" s="37">
        <v>2</v>
      </c>
      <c r="L27" s="45" t="str">
        <f>VLOOKUP(K27,Key!$A$24:$B$29,2,FALSE)</f>
        <v>30-39</v>
      </c>
      <c r="M27" s="37" t="s">
        <v>309</v>
      </c>
      <c r="N27" s="32" t="s">
        <v>167</v>
      </c>
      <c r="O27" s="37" t="s">
        <v>168</v>
      </c>
      <c r="P27" s="39">
        <v>7</v>
      </c>
      <c r="Q27" s="34" t="str">
        <f>VLOOKUP(P27,Key!$E$2:$F$9,2,FALSE)</f>
        <v>Hospital</v>
      </c>
      <c r="R27" s="37" t="s">
        <v>190</v>
      </c>
      <c r="S27" s="32" t="s">
        <v>190</v>
      </c>
      <c r="T27" s="37" t="s">
        <v>168</v>
      </c>
      <c r="U27" s="32">
        <v>1</v>
      </c>
      <c r="V27" s="34" t="str">
        <f>VLOOKUP(U27,Key!$E$2:$F$9,2,FALSE)</f>
        <v>Home</v>
      </c>
      <c r="W27" s="34" t="str">
        <f t="shared" si="0"/>
        <v>Hospital-Home</v>
      </c>
      <c r="X27" s="47">
        <v>80000</v>
      </c>
      <c r="Y27" s="38">
        <v>20</v>
      </c>
      <c r="Z27" s="38">
        <v>2</v>
      </c>
      <c r="AA27" s="32">
        <v>4</v>
      </c>
      <c r="AB27" s="34" t="str">
        <f>VLOOKUP(AA27,Key!$C$20:$D$29,2,FALSE)</f>
        <v>Office Worker</v>
      </c>
      <c r="AC27" s="32">
        <v>2</v>
      </c>
      <c r="AD27" s="34" t="str">
        <f>VLOOKUP(AC27,Key!$E$20:$F$24,2,FALSE)</f>
        <v>300,000-500,000</v>
      </c>
      <c r="AE27" s="32">
        <v>1</v>
      </c>
      <c r="AF27" s="55">
        <v>2</v>
      </c>
      <c r="AG27" s="55"/>
      <c r="AH27" s="55"/>
      <c r="AI27" s="55"/>
      <c r="AJ27" s="39" t="s">
        <v>104</v>
      </c>
      <c r="AK27" s="40">
        <v>2000</v>
      </c>
      <c r="AL27" s="24"/>
      <c r="AM27" s="24"/>
    </row>
    <row r="28" spans="2:39" hidden="1" x14ac:dyDescent="0.2">
      <c r="B28" s="50">
        <v>43687</v>
      </c>
      <c r="C28" s="35">
        <v>0.54652777777777783</v>
      </c>
      <c r="D28" s="35"/>
      <c r="E28" s="35" t="s">
        <v>111</v>
      </c>
      <c r="F28" s="37">
        <v>2</v>
      </c>
      <c r="G28" s="42" t="str">
        <f>VLOOKUP(F28,Key!$A$17:$B$21,2,FALSE)</f>
        <v>Road Vehicle</v>
      </c>
      <c r="H28" s="36">
        <v>1</v>
      </c>
      <c r="I28" s="43" t="str">
        <f>VLOOKUP(H28,Key!$A$2:$B$13,2,FALSE)</f>
        <v>Car</v>
      </c>
      <c r="J28" s="37" t="s">
        <v>166</v>
      </c>
      <c r="K28" s="37">
        <v>3</v>
      </c>
      <c r="L28" s="45" t="str">
        <f>VLOOKUP(K28,Key!$A$24:$B$29,2,FALSE)</f>
        <v>40-49</v>
      </c>
      <c r="M28" s="37" t="s">
        <v>167</v>
      </c>
      <c r="N28" s="32" t="s">
        <v>167</v>
      </c>
      <c r="O28" s="37" t="s">
        <v>168</v>
      </c>
      <c r="P28" s="39">
        <v>2</v>
      </c>
      <c r="Q28" s="34" t="str">
        <f>VLOOKUP(P28,Key!$E$2:$F$9,2,FALSE)</f>
        <v>Work</v>
      </c>
      <c r="R28" s="37" t="s">
        <v>305</v>
      </c>
      <c r="S28" s="32" t="s">
        <v>188</v>
      </c>
      <c r="T28" s="37" t="s">
        <v>168</v>
      </c>
      <c r="U28" s="32">
        <v>1</v>
      </c>
      <c r="V28" s="34" t="str">
        <f>VLOOKUP(U28,Key!$E$2:$F$9,2,FALSE)</f>
        <v>Home</v>
      </c>
      <c r="W28" s="34" t="str">
        <f t="shared" si="0"/>
        <v>Work-Home</v>
      </c>
      <c r="X28" s="47">
        <v>100000</v>
      </c>
      <c r="Y28" s="38">
        <v>20</v>
      </c>
      <c r="Z28" s="38">
        <v>2</v>
      </c>
      <c r="AA28" s="32">
        <v>4</v>
      </c>
      <c r="AB28" s="34" t="str">
        <f>VLOOKUP(AA28,Key!$C$20:$D$29,2,FALSE)</f>
        <v>Office Worker</v>
      </c>
      <c r="AC28" s="32">
        <v>2</v>
      </c>
      <c r="AD28" s="34" t="str">
        <f>VLOOKUP(AC28,Key!$E$20:$F$24,2,FALSE)</f>
        <v>300,000-500,000</v>
      </c>
      <c r="AE28" s="32">
        <v>1</v>
      </c>
      <c r="AF28" s="55">
        <v>1</v>
      </c>
      <c r="AG28" s="55">
        <v>1</v>
      </c>
      <c r="AH28" s="55">
        <v>2</v>
      </c>
      <c r="AI28" s="55">
        <v>1</v>
      </c>
      <c r="AJ28" s="39" t="s">
        <v>104</v>
      </c>
      <c r="AK28" s="40">
        <v>4000</v>
      </c>
      <c r="AL28" s="24"/>
      <c r="AM28" s="24"/>
    </row>
    <row r="29" spans="2:39" hidden="1" x14ac:dyDescent="0.2">
      <c r="B29" s="50">
        <v>43687</v>
      </c>
      <c r="C29" s="35">
        <v>0.58402777777777781</v>
      </c>
      <c r="D29" s="35"/>
      <c r="E29" s="35" t="s">
        <v>111</v>
      </c>
      <c r="F29" s="37">
        <v>2</v>
      </c>
      <c r="G29" s="42" t="str">
        <f>VLOOKUP(F29,Key!$A$17:$B$21,2,FALSE)</f>
        <v>Road Vehicle</v>
      </c>
      <c r="H29" s="36">
        <v>1</v>
      </c>
      <c r="I29" s="43" t="str">
        <f>VLOOKUP(H29,Key!$A$2:$B$13,2,FALSE)</f>
        <v>Car</v>
      </c>
      <c r="J29" s="37" t="s">
        <v>123</v>
      </c>
      <c r="K29" s="37">
        <v>2</v>
      </c>
      <c r="L29" s="45" t="str">
        <f>VLOOKUP(K29,Key!$A$24:$B$29,2,FALSE)</f>
        <v>30-39</v>
      </c>
      <c r="M29" s="37" t="s">
        <v>310</v>
      </c>
      <c r="N29" s="32" t="s">
        <v>167</v>
      </c>
      <c r="O29" s="37" t="s">
        <v>168</v>
      </c>
      <c r="P29" s="39">
        <v>2</v>
      </c>
      <c r="Q29" s="34" t="str">
        <f>VLOOKUP(P29,Key!$E$2:$F$9,2,FALSE)</f>
        <v>Work</v>
      </c>
      <c r="R29" s="37" t="s">
        <v>190</v>
      </c>
      <c r="S29" s="32" t="s">
        <v>190</v>
      </c>
      <c r="T29" s="37" t="s">
        <v>168</v>
      </c>
      <c r="U29" s="32">
        <v>8</v>
      </c>
      <c r="V29" s="34" t="str">
        <f>VLOOKUP(U29,Key!$E$2:$F$9,2,FALSE)</f>
        <v>Others</v>
      </c>
      <c r="W29" s="34" t="str">
        <f t="shared" si="0"/>
        <v>Work-Others</v>
      </c>
      <c r="X29" s="47">
        <v>40000</v>
      </c>
      <c r="Y29" s="38">
        <v>20</v>
      </c>
      <c r="Z29" s="38">
        <v>2</v>
      </c>
      <c r="AA29" s="32">
        <v>6</v>
      </c>
      <c r="AB29" s="34" t="str">
        <f>VLOOKUP(AA29,Key!$C$20:$D$29,2,FALSE)</f>
        <v>Businessman</v>
      </c>
      <c r="AC29" s="32">
        <v>2</v>
      </c>
      <c r="AD29" s="34" t="str">
        <f>VLOOKUP(AC29,Key!$E$20:$F$24,2,FALSE)</f>
        <v>300,000-500,000</v>
      </c>
      <c r="AE29" s="32">
        <v>1</v>
      </c>
      <c r="AF29" s="55">
        <v>2</v>
      </c>
      <c r="AG29" s="55">
        <v>4</v>
      </c>
      <c r="AH29" s="55">
        <v>2</v>
      </c>
      <c r="AI29" s="55"/>
      <c r="AJ29" s="39" t="s">
        <v>104</v>
      </c>
      <c r="AK29" s="40">
        <v>3000</v>
      </c>
      <c r="AL29" s="24"/>
      <c r="AM29" s="24"/>
    </row>
    <row r="30" spans="2:39" hidden="1" x14ac:dyDescent="0.2">
      <c r="B30" s="50">
        <v>43687</v>
      </c>
      <c r="C30" s="35">
        <v>0.69791666666666663</v>
      </c>
      <c r="D30" s="35"/>
      <c r="E30" s="35" t="s">
        <v>111</v>
      </c>
      <c r="F30" s="37">
        <v>2</v>
      </c>
      <c r="G30" s="42" t="str">
        <f>VLOOKUP(F30,Key!$A$17:$B$21,2,FALSE)</f>
        <v>Road Vehicle</v>
      </c>
      <c r="H30" s="36">
        <v>1</v>
      </c>
      <c r="I30" s="43" t="str">
        <f>VLOOKUP(H30,Key!$A$2:$B$13,2,FALSE)</f>
        <v>Car</v>
      </c>
      <c r="J30" s="37" t="s">
        <v>123</v>
      </c>
      <c r="K30" s="37">
        <v>2</v>
      </c>
      <c r="L30" s="45" t="str">
        <f>VLOOKUP(K30,Key!$A$24:$B$29,2,FALSE)</f>
        <v>30-39</v>
      </c>
      <c r="M30" s="37" t="s">
        <v>167</v>
      </c>
      <c r="N30" s="32" t="s">
        <v>167</v>
      </c>
      <c r="O30" s="37" t="s">
        <v>168</v>
      </c>
      <c r="P30" s="39">
        <v>2</v>
      </c>
      <c r="Q30" s="34" t="str">
        <f>VLOOKUP(P30,Key!$E$2:$F$9,2,FALSE)</f>
        <v>Work</v>
      </c>
      <c r="R30" s="37" t="s">
        <v>173</v>
      </c>
      <c r="S30" s="32" t="s">
        <v>173</v>
      </c>
      <c r="T30" s="37" t="s">
        <v>168</v>
      </c>
      <c r="U30" s="32">
        <v>1</v>
      </c>
      <c r="V30" s="34" t="str">
        <f>VLOOKUP(U30,Key!$E$2:$F$9,2,FALSE)</f>
        <v>Home</v>
      </c>
      <c r="W30" s="34" t="str">
        <f t="shared" si="0"/>
        <v>Work-Home</v>
      </c>
      <c r="X30" s="47">
        <v>30000</v>
      </c>
      <c r="Y30" s="38">
        <v>25</v>
      </c>
      <c r="Z30" s="38">
        <v>1</v>
      </c>
      <c r="AA30" s="32">
        <v>6</v>
      </c>
      <c r="AB30" s="34" t="str">
        <f>VLOOKUP(AA30,Key!$C$20:$D$29,2,FALSE)</f>
        <v>Businessman</v>
      </c>
      <c r="AC30" s="32">
        <v>1</v>
      </c>
      <c r="AD30" s="34" t="str">
        <f>VLOOKUP(AC30,Key!$E$20:$F$24,2,FALSE)</f>
        <v>&lt;300,000</v>
      </c>
      <c r="AE30" s="32">
        <v>1</v>
      </c>
      <c r="AF30" s="55">
        <v>2</v>
      </c>
      <c r="AG30" s="55">
        <v>1</v>
      </c>
      <c r="AH30" s="55">
        <v>1</v>
      </c>
      <c r="AI30" s="55">
        <v>1</v>
      </c>
      <c r="AJ30" s="39" t="s">
        <v>104</v>
      </c>
      <c r="AK30" s="40"/>
      <c r="AL30" s="24"/>
      <c r="AM30" s="24"/>
    </row>
    <row r="31" spans="2:39" hidden="1" x14ac:dyDescent="0.2">
      <c r="B31" s="50">
        <v>43686</v>
      </c>
      <c r="C31" s="35">
        <v>0.68402777777777779</v>
      </c>
      <c r="D31" s="35"/>
      <c r="E31" s="35" t="s">
        <v>111</v>
      </c>
      <c r="F31" s="37">
        <v>2</v>
      </c>
      <c r="G31" s="42" t="str">
        <f>VLOOKUP(F31,Key!$A$17:$B$21,2,FALSE)</f>
        <v>Road Vehicle</v>
      </c>
      <c r="H31" s="36">
        <v>1</v>
      </c>
      <c r="I31" s="43" t="str">
        <f>VLOOKUP(H31,Key!$A$2:$B$13,2,FALSE)</f>
        <v>Car</v>
      </c>
      <c r="J31" s="37" t="s">
        <v>123</v>
      </c>
      <c r="K31" s="37">
        <v>3</v>
      </c>
      <c r="L31" s="45" t="str">
        <f>VLOOKUP(K31,Key!$A$24:$B$29,2,FALSE)</f>
        <v>40-49</v>
      </c>
      <c r="M31" s="37" t="s">
        <v>273</v>
      </c>
      <c r="N31" s="32" t="s">
        <v>167</v>
      </c>
      <c r="O31" s="37" t="s">
        <v>168</v>
      </c>
      <c r="P31" s="39">
        <v>7</v>
      </c>
      <c r="Q31" s="34" t="str">
        <f>VLOOKUP(P31,Key!$E$2:$F$9,2,FALSE)</f>
        <v>Hospital</v>
      </c>
      <c r="R31" s="37" t="s">
        <v>274</v>
      </c>
      <c r="S31" s="32" t="s">
        <v>190</v>
      </c>
      <c r="T31" s="37" t="s">
        <v>168</v>
      </c>
      <c r="U31" s="32">
        <v>2</v>
      </c>
      <c r="V31" s="34" t="str">
        <f>VLOOKUP(U31,Key!$E$2:$F$9,2,FALSE)</f>
        <v>Work</v>
      </c>
      <c r="W31" s="34" t="str">
        <f t="shared" si="0"/>
        <v>Hospital-Work</v>
      </c>
      <c r="X31" s="47">
        <v>100000</v>
      </c>
      <c r="Y31" s="38">
        <v>25</v>
      </c>
      <c r="Z31" s="38">
        <v>2</v>
      </c>
      <c r="AA31" s="32">
        <v>10</v>
      </c>
      <c r="AB31" s="34" t="str">
        <f>VLOOKUP(AA31,Key!$C$20:$D$29,2,FALSE)</f>
        <v>Other</v>
      </c>
      <c r="AC31" s="32">
        <v>1</v>
      </c>
      <c r="AD31" s="34" t="str">
        <f>VLOOKUP(AC31,Key!$E$20:$F$24,2,FALSE)</f>
        <v>&lt;300,000</v>
      </c>
      <c r="AE31" s="32">
        <v>1</v>
      </c>
      <c r="AF31" s="55">
        <v>2</v>
      </c>
      <c r="AG31" s="55">
        <v>1</v>
      </c>
      <c r="AH31" s="55">
        <v>1</v>
      </c>
      <c r="AI31" s="55">
        <v>2</v>
      </c>
      <c r="AJ31" s="39" t="s">
        <v>104</v>
      </c>
      <c r="AK31" s="40">
        <v>1000</v>
      </c>
      <c r="AL31" s="24"/>
      <c r="AM31" s="24"/>
    </row>
    <row r="32" spans="2:39" hidden="1" x14ac:dyDescent="0.2">
      <c r="B32" s="50">
        <v>43686</v>
      </c>
      <c r="C32" s="35">
        <v>0.64930555555555558</v>
      </c>
      <c r="D32" s="35"/>
      <c r="E32" s="35" t="s">
        <v>111</v>
      </c>
      <c r="F32" s="37">
        <v>2</v>
      </c>
      <c r="G32" s="42" t="str">
        <f>VLOOKUP(F32,Key!$A$17:$B$21,2,FALSE)</f>
        <v>Road Vehicle</v>
      </c>
      <c r="H32" s="36">
        <v>1</v>
      </c>
      <c r="I32" s="43" t="str">
        <f>VLOOKUP(H32,Key!$A$2:$B$13,2,FALSE)</f>
        <v>Car</v>
      </c>
      <c r="J32" s="37" t="s">
        <v>123</v>
      </c>
      <c r="K32" s="13">
        <v>2</v>
      </c>
      <c r="L32" s="45" t="str">
        <f>VLOOKUP(K32,Key!$A$24:$B$29,2,FALSE)</f>
        <v>30-39</v>
      </c>
      <c r="M32" s="44" t="s">
        <v>202</v>
      </c>
      <c r="N32" s="44" t="s">
        <v>179</v>
      </c>
      <c r="O32" s="37" t="s">
        <v>168</v>
      </c>
      <c r="P32" s="39">
        <v>1</v>
      </c>
      <c r="Q32" s="34" t="str">
        <f>VLOOKUP(P32,Key!$E$2:$F$9,2,FALSE)</f>
        <v>Home</v>
      </c>
      <c r="R32" s="37" t="s">
        <v>203</v>
      </c>
      <c r="S32" s="32" t="s">
        <v>167</v>
      </c>
      <c r="T32" s="37" t="s">
        <v>168</v>
      </c>
      <c r="U32" s="32">
        <v>8</v>
      </c>
      <c r="V32" s="34" t="str">
        <f>VLOOKUP(U32,Key!$E$2:$F$9,2,FALSE)</f>
        <v>Others</v>
      </c>
      <c r="W32" s="34" t="str">
        <f t="shared" si="0"/>
        <v>Home-Others</v>
      </c>
      <c r="X32" s="47">
        <v>10000</v>
      </c>
      <c r="Y32" s="38">
        <v>30</v>
      </c>
      <c r="Z32" s="38">
        <v>0.5</v>
      </c>
      <c r="AA32" s="32">
        <v>7</v>
      </c>
      <c r="AB32" s="34" t="str">
        <f>VLOOKUP(AA32,Key!$C$20:$D$29,2,FALSE)</f>
        <v>Farmer</v>
      </c>
      <c r="AC32" s="32">
        <v>3</v>
      </c>
      <c r="AD32" s="34" t="str">
        <f>VLOOKUP(AC32,Key!$E$20:$F$24,2,FALSE)</f>
        <v>500,000-750,000</v>
      </c>
      <c r="AE32" s="32">
        <v>2</v>
      </c>
      <c r="AF32" s="55">
        <v>1</v>
      </c>
      <c r="AG32" s="55">
        <v>2</v>
      </c>
      <c r="AH32" s="55">
        <v>1</v>
      </c>
      <c r="AI32" s="55">
        <v>3</v>
      </c>
      <c r="AJ32" s="39" t="s">
        <v>104</v>
      </c>
      <c r="AK32" s="40"/>
      <c r="AL32" s="24"/>
      <c r="AM32" s="24"/>
    </row>
    <row r="33" spans="2:39" hidden="1" x14ac:dyDescent="0.2">
      <c r="B33" s="50">
        <v>43686</v>
      </c>
      <c r="C33" s="35">
        <v>0.6381944444444444</v>
      </c>
      <c r="D33" s="35"/>
      <c r="E33" s="35" t="s">
        <v>111</v>
      </c>
      <c r="F33" s="37">
        <v>2</v>
      </c>
      <c r="G33" s="42" t="str">
        <f>VLOOKUP(F33,Key!$A$17:$B$21,2,FALSE)</f>
        <v>Road Vehicle</v>
      </c>
      <c r="H33" s="36">
        <v>1</v>
      </c>
      <c r="I33" s="43" t="str">
        <f>VLOOKUP(H33,Key!$A$2:$B$13,2,FALSE)</f>
        <v>Car</v>
      </c>
      <c r="J33" s="37" t="s">
        <v>166</v>
      </c>
      <c r="K33" s="37">
        <v>2</v>
      </c>
      <c r="L33" s="45" t="str">
        <f>VLOOKUP(K33,Key!$A$24:$B$29,2,FALSE)</f>
        <v>30-39</v>
      </c>
      <c r="M33" s="44" t="s">
        <v>214</v>
      </c>
      <c r="N33" s="44" t="s">
        <v>205</v>
      </c>
      <c r="O33" s="37" t="s">
        <v>168</v>
      </c>
      <c r="P33" s="39">
        <v>1</v>
      </c>
      <c r="Q33" s="34" t="str">
        <f>VLOOKUP(P33,Key!$E$2:$F$9,2,FALSE)</f>
        <v>Home</v>
      </c>
      <c r="R33" s="37" t="s">
        <v>215</v>
      </c>
      <c r="S33" s="32" t="s">
        <v>167</v>
      </c>
      <c r="T33" s="37" t="s">
        <v>168</v>
      </c>
      <c r="U33" s="32">
        <v>2</v>
      </c>
      <c r="V33" s="34" t="str">
        <f>VLOOKUP(U33,Key!$E$2:$F$9,2,FALSE)</f>
        <v>Work</v>
      </c>
      <c r="W33" s="34" t="str">
        <f t="shared" si="0"/>
        <v>Home-Work</v>
      </c>
      <c r="X33" s="47">
        <v>15000</v>
      </c>
      <c r="Y33" s="38">
        <v>30</v>
      </c>
      <c r="Z33" s="38">
        <v>0.7</v>
      </c>
      <c r="AA33" s="32">
        <v>6</v>
      </c>
      <c r="AB33" s="34" t="str">
        <f>VLOOKUP(AA33,Key!$C$20:$D$29,2,FALSE)</f>
        <v>Businessman</v>
      </c>
      <c r="AC33" s="32">
        <v>4</v>
      </c>
      <c r="AD33" s="34" t="str">
        <f>VLOOKUP(AC33,Key!$E$20:$F$24,2,FALSE)</f>
        <v>750,000-1,000,000</v>
      </c>
      <c r="AE33" s="32">
        <v>1</v>
      </c>
      <c r="AF33" s="55">
        <v>1</v>
      </c>
      <c r="AG33" s="55">
        <v>1</v>
      </c>
      <c r="AH33" s="55">
        <v>1</v>
      </c>
      <c r="AI33" s="55">
        <v>1</v>
      </c>
      <c r="AJ33" s="39" t="s">
        <v>104</v>
      </c>
      <c r="AK33" s="40">
        <v>2000</v>
      </c>
      <c r="AL33" s="24"/>
      <c r="AM33" s="24"/>
    </row>
    <row r="34" spans="2:39" hidden="1" x14ac:dyDescent="0.2">
      <c r="B34" s="50">
        <v>43688</v>
      </c>
      <c r="C34" s="35">
        <v>0.42152777777777778</v>
      </c>
      <c r="D34" s="35"/>
      <c r="E34" s="35" t="s">
        <v>111</v>
      </c>
      <c r="F34" s="37">
        <v>2</v>
      </c>
      <c r="G34" s="42" t="str">
        <f>VLOOKUP(F34,Key!$A$17:$B$21,2,FALSE)</f>
        <v>Road Vehicle</v>
      </c>
      <c r="H34" s="36">
        <v>1</v>
      </c>
      <c r="I34" s="43" t="str">
        <f>VLOOKUP(H34,Key!$A$2:$B$13,2,FALSE)</f>
        <v>Car</v>
      </c>
      <c r="J34" s="37" t="s">
        <v>166</v>
      </c>
      <c r="K34" s="37">
        <v>2</v>
      </c>
      <c r="L34" s="45" t="str">
        <f>VLOOKUP(K34,Key!$A$24:$B$29,2,FALSE)</f>
        <v>30-39</v>
      </c>
      <c r="M34" s="44" t="s">
        <v>214</v>
      </c>
      <c r="N34" s="44" t="s">
        <v>205</v>
      </c>
      <c r="O34" s="37" t="s">
        <v>168</v>
      </c>
      <c r="P34" s="39">
        <v>1</v>
      </c>
      <c r="Q34" s="34" t="str">
        <f>VLOOKUP(P34,Key!$E$2:$F$9,2,FALSE)</f>
        <v>Home</v>
      </c>
      <c r="R34" s="37" t="s">
        <v>216</v>
      </c>
      <c r="S34" s="32" t="s">
        <v>167</v>
      </c>
      <c r="T34" s="37" t="s">
        <v>168</v>
      </c>
      <c r="U34" s="32">
        <v>2</v>
      </c>
      <c r="V34" s="34" t="str">
        <f>VLOOKUP(U34,Key!$E$2:$F$9,2,FALSE)</f>
        <v>Work</v>
      </c>
      <c r="W34" s="34" t="str">
        <f t="shared" si="0"/>
        <v>Home-Work</v>
      </c>
      <c r="X34" s="47">
        <v>15000</v>
      </c>
      <c r="Y34" s="38">
        <v>30</v>
      </c>
      <c r="Z34" s="38">
        <v>0.7</v>
      </c>
      <c r="AA34" s="32">
        <v>6</v>
      </c>
      <c r="AB34" s="34" t="str">
        <f>VLOOKUP(AA34,Key!$C$20:$D$29,2,FALSE)</f>
        <v>Businessman</v>
      </c>
      <c r="AC34" s="32">
        <v>4</v>
      </c>
      <c r="AD34" s="34" t="str">
        <f>VLOOKUP(AC34,Key!$E$20:$F$24,2,FALSE)</f>
        <v>750,000-1,000,000</v>
      </c>
      <c r="AE34" s="32">
        <v>1</v>
      </c>
      <c r="AF34" s="55">
        <v>1</v>
      </c>
      <c r="AG34" s="55">
        <v>1</v>
      </c>
      <c r="AH34" s="55">
        <v>1</v>
      </c>
      <c r="AI34" s="55">
        <v>1</v>
      </c>
      <c r="AJ34" s="39" t="s">
        <v>104</v>
      </c>
      <c r="AK34" s="40">
        <v>2000</v>
      </c>
      <c r="AL34" s="24"/>
      <c r="AM34" s="24"/>
    </row>
    <row r="35" spans="2:39" hidden="1" x14ac:dyDescent="0.2">
      <c r="B35" s="50">
        <v>43688</v>
      </c>
      <c r="C35" s="35">
        <v>0.4597222222222222</v>
      </c>
      <c r="D35" s="35"/>
      <c r="E35" s="35" t="s">
        <v>111</v>
      </c>
      <c r="F35" s="37">
        <v>2</v>
      </c>
      <c r="G35" s="42" t="str">
        <f>VLOOKUP(F35,Key!$A$17:$B$21,2,FALSE)</f>
        <v>Road Vehicle</v>
      </c>
      <c r="H35" s="36">
        <v>1</v>
      </c>
      <c r="I35" s="43" t="str">
        <f>VLOOKUP(H35,Key!$A$2:$B$13,2,FALSE)</f>
        <v>Car</v>
      </c>
      <c r="J35" s="37" t="s">
        <v>123</v>
      </c>
      <c r="K35" s="37">
        <v>2</v>
      </c>
      <c r="L35" s="45" t="str">
        <f>VLOOKUP(K35,Key!$A$24:$B$29,2,FALSE)</f>
        <v>30-39</v>
      </c>
      <c r="M35" s="44" t="s">
        <v>203</v>
      </c>
      <c r="N35" s="44" t="s">
        <v>167</v>
      </c>
      <c r="O35" s="37" t="s">
        <v>168</v>
      </c>
      <c r="P35" s="39">
        <v>2</v>
      </c>
      <c r="Q35" s="34" t="str">
        <f>VLOOKUP(P35,Key!$E$2:$F$9,2,FALSE)</f>
        <v>Work</v>
      </c>
      <c r="R35" s="37" t="s">
        <v>204</v>
      </c>
      <c r="S35" s="32" t="s">
        <v>205</v>
      </c>
      <c r="T35" s="37" t="s">
        <v>168</v>
      </c>
      <c r="U35" s="32">
        <v>6</v>
      </c>
      <c r="V35" s="34" t="str">
        <f>VLOOKUP(U35,Key!$E$2:$F$9,2,FALSE)</f>
        <v>Leisure/Social</v>
      </c>
      <c r="W35" s="34" t="str">
        <f t="shared" si="0"/>
        <v>Work-Leisure/Social</v>
      </c>
      <c r="X35" s="47">
        <v>20000</v>
      </c>
      <c r="Y35" s="38">
        <v>30</v>
      </c>
      <c r="Z35" s="38">
        <v>1</v>
      </c>
      <c r="AA35" s="32">
        <v>5</v>
      </c>
      <c r="AB35" s="34" t="str">
        <f>VLOOKUP(AA35,Key!$C$20:$D$29,2,FALSE)</f>
        <v>Professional</v>
      </c>
      <c r="AC35" s="32">
        <v>3</v>
      </c>
      <c r="AD35" s="34" t="str">
        <f>VLOOKUP(AC35,Key!$E$20:$F$24,2,FALSE)</f>
        <v>500,000-750,000</v>
      </c>
      <c r="AE35" s="32">
        <v>1</v>
      </c>
      <c r="AF35" s="55">
        <v>1</v>
      </c>
      <c r="AG35" s="55">
        <v>2</v>
      </c>
      <c r="AH35" s="55">
        <v>1</v>
      </c>
      <c r="AI35" s="55">
        <v>2</v>
      </c>
      <c r="AJ35" s="39" t="s">
        <v>104</v>
      </c>
      <c r="AK35" s="40">
        <v>5000</v>
      </c>
      <c r="AL35" s="24"/>
      <c r="AM35" s="24"/>
    </row>
    <row r="36" spans="2:39" hidden="1" x14ac:dyDescent="0.2">
      <c r="B36" s="50">
        <v>43688</v>
      </c>
      <c r="C36" s="35">
        <v>0.67708333333333337</v>
      </c>
      <c r="D36" s="35"/>
      <c r="E36" s="35" t="s">
        <v>111</v>
      </c>
      <c r="F36" s="37">
        <v>2</v>
      </c>
      <c r="G36" s="42" t="str">
        <f>VLOOKUP(F36,Key!$A$17:$B$21,2,FALSE)</f>
        <v>Road Vehicle</v>
      </c>
      <c r="H36" s="36">
        <v>1</v>
      </c>
      <c r="I36" s="43" t="str">
        <f>VLOOKUP(H36,Key!$A$2:$B$13,2,FALSE)</f>
        <v>Car</v>
      </c>
      <c r="J36" s="37" t="s">
        <v>123</v>
      </c>
      <c r="K36" s="37">
        <v>2</v>
      </c>
      <c r="L36" s="45" t="str">
        <f>VLOOKUP(K36,Key!$A$24:$B$29,2,FALSE)</f>
        <v>30-39</v>
      </c>
      <c r="M36" s="37" t="s">
        <v>247</v>
      </c>
      <c r="N36" s="32" t="s">
        <v>167</v>
      </c>
      <c r="O36" s="37" t="s">
        <v>168</v>
      </c>
      <c r="P36" s="39">
        <v>8</v>
      </c>
      <c r="Q36" s="34" t="str">
        <f>VLOOKUP(P36,Key!$E$2:$F$9,2,FALSE)</f>
        <v>Others</v>
      </c>
      <c r="R36" s="37" t="s">
        <v>179</v>
      </c>
      <c r="S36" s="32" t="s">
        <v>179</v>
      </c>
      <c r="T36" s="37" t="s">
        <v>168</v>
      </c>
      <c r="U36" s="32">
        <v>2</v>
      </c>
      <c r="V36" s="34" t="str">
        <f>VLOOKUP(U36,Key!$E$2:$F$9,2,FALSE)</f>
        <v>Work</v>
      </c>
      <c r="W36" s="34" t="str">
        <f t="shared" si="0"/>
        <v>Others-Work</v>
      </c>
      <c r="X36" s="47">
        <v>50000</v>
      </c>
      <c r="Y36" s="38">
        <v>30</v>
      </c>
      <c r="Z36" s="38">
        <v>1</v>
      </c>
      <c r="AA36" s="32">
        <v>4</v>
      </c>
      <c r="AB36" s="34" t="str">
        <f>VLOOKUP(AA36,Key!$C$20:$D$29,2,FALSE)</f>
        <v>Office Worker</v>
      </c>
      <c r="AC36" s="32">
        <v>4</v>
      </c>
      <c r="AD36" s="34" t="str">
        <f>VLOOKUP(AC36,Key!$E$20:$F$24,2,FALSE)</f>
        <v>750,000-1,000,000</v>
      </c>
      <c r="AE36" s="32">
        <v>1</v>
      </c>
      <c r="AF36" s="55">
        <v>1</v>
      </c>
      <c r="AG36" s="55">
        <v>1</v>
      </c>
      <c r="AH36" s="55">
        <v>1</v>
      </c>
      <c r="AI36" s="55">
        <v>1</v>
      </c>
      <c r="AJ36" s="39" t="s">
        <v>104</v>
      </c>
      <c r="AK36" s="40">
        <v>1000</v>
      </c>
      <c r="AL36" s="24"/>
      <c r="AM36" s="24"/>
    </row>
    <row r="37" spans="2:39" hidden="1" x14ac:dyDescent="0.2">
      <c r="B37" s="50">
        <v>43690</v>
      </c>
      <c r="C37" s="35">
        <v>0.4284722222222222</v>
      </c>
      <c r="D37" s="35"/>
      <c r="E37" s="35" t="s">
        <v>111</v>
      </c>
      <c r="F37" s="37">
        <v>2</v>
      </c>
      <c r="G37" s="42" t="str">
        <f>VLOOKUP(F37,Key!$A$17:$B$21,2,FALSE)</f>
        <v>Road Vehicle</v>
      </c>
      <c r="H37" s="36">
        <v>1</v>
      </c>
      <c r="I37" s="43" t="str">
        <f>VLOOKUP(H37,Key!$A$2:$B$13,2,FALSE)</f>
        <v>Car</v>
      </c>
      <c r="J37" s="37" t="s">
        <v>123</v>
      </c>
      <c r="K37" s="37">
        <v>3</v>
      </c>
      <c r="L37" s="45" t="str">
        <f>VLOOKUP(K37,Key!$A$24:$B$29,2,FALSE)</f>
        <v>40-49</v>
      </c>
      <c r="M37" s="44" t="s">
        <v>179</v>
      </c>
      <c r="N37" s="32" t="s">
        <v>179</v>
      </c>
      <c r="O37" s="37" t="s">
        <v>168</v>
      </c>
      <c r="P37" s="39">
        <v>1</v>
      </c>
      <c r="Q37" s="34" t="str">
        <f>VLOOKUP(P37,Key!$E$2:$F$9,2,FALSE)</f>
        <v>Home</v>
      </c>
      <c r="R37" s="37" t="s">
        <v>167</v>
      </c>
      <c r="S37" s="32" t="s">
        <v>167</v>
      </c>
      <c r="T37" s="37" t="s">
        <v>168</v>
      </c>
      <c r="U37" s="32">
        <v>2</v>
      </c>
      <c r="V37" s="34" t="str">
        <f>VLOOKUP(U37,Key!$E$2:$F$9,2,FALSE)</f>
        <v>Work</v>
      </c>
      <c r="W37" s="34" t="str">
        <f t="shared" si="0"/>
        <v>Home-Work</v>
      </c>
      <c r="X37" s="47">
        <v>40000</v>
      </c>
      <c r="Y37" s="38">
        <v>30</v>
      </c>
      <c r="Z37" s="38">
        <v>1</v>
      </c>
      <c r="AA37" s="32">
        <v>4</v>
      </c>
      <c r="AB37" s="34" t="str">
        <f>VLOOKUP(AA37,Key!$C$20:$D$29,2,FALSE)</f>
        <v>Office Worker</v>
      </c>
      <c r="AC37" s="32">
        <v>2</v>
      </c>
      <c r="AD37" s="34" t="str">
        <f>VLOOKUP(AC37,Key!$E$20:$F$24,2,FALSE)</f>
        <v>300,000-500,000</v>
      </c>
      <c r="AE37" s="32">
        <v>1</v>
      </c>
      <c r="AF37" s="55">
        <v>1</v>
      </c>
      <c r="AG37" s="55">
        <v>1</v>
      </c>
      <c r="AH37" s="55">
        <v>1</v>
      </c>
      <c r="AI37" s="55">
        <v>1</v>
      </c>
      <c r="AJ37" s="39" t="s">
        <v>104</v>
      </c>
      <c r="AK37" s="40"/>
      <c r="AL37" s="24"/>
      <c r="AM37" s="24"/>
    </row>
    <row r="38" spans="2:39" hidden="1" x14ac:dyDescent="0.2">
      <c r="B38" s="50">
        <v>43690</v>
      </c>
      <c r="C38" s="35">
        <v>0.49861111111111112</v>
      </c>
      <c r="D38" s="35"/>
      <c r="E38" s="35" t="s">
        <v>111</v>
      </c>
      <c r="F38" s="37">
        <v>2</v>
      </c>
      <c r="G38" s="42" t="str">
        <f>VLOOKUP(F38,Key!$A$17:$B$21,2,FALSE)</f>
        <v>Road Vehicle</v>
      </c>
      <c r="H38" s="36">
        <v>1</v>
      </c>
      <c r="I38" s="43" t="str">
        <f>VLOOKUP(H38,Key!$A$2:$B$13,2,FALSE)</f>
        <v>Car</v>
      </c>
      <c r="J38" s="37" t="s">
        <v>166</v>
      </c>
      <c r="K38" s="13">
        <v>3</v>
      </c>
      <c r="L38" s="45" t="str">
        <f>VLOOKUP(K38,Key!$A$24:$B$29,2,FALSE)</f>
        <v>40-49</v>
      </c>
      <c r="M38" s="44" t="s">
        <v>195</v>
      </c>
      <c r="N38" s="44" t="s">
        <v>190</v>
      </c>
      <c r="O38" s="37" t="s">
        <v>168</v>
      </c>
      <c r="P38" s="39">
        <v>1</v>
      </c>
      <c r="Q38" s="34" t="str">
        <f>VLOOKUP(P38,Key!$E$2:$F$9,2,FALSE)</f>
        <v>Home</v>
      </c>
      <c r="R38" s="37" t="s">
        <v>167</v>
      </c>
      <c r="S38" s="32" t="s">
        <v>167</v>
      </c>
      <c r="T38" s="37" t="s">
        <v>168</v>
      </c>
      <c r="U38" s="32">
        <v>2</v>
      </c>
      <c r="V38" s="34" t="str">
        <f>VLOOKUP(U38,Key!$E$2:$F$9,2,FALSE)</f>
        <v>Work</v>
      </c>
      <c r="W38" s="34" t="str">
        <f t="shared" si="0"/>
        <v>Home-Work</v>
      </c>
      <c r="X38" s="47">
        <v>30000</v>
      </c>
      <c r="Y38" s="38">
        <v>30</v>
      </c>
      <c r="Z38" s="38">
        <v>1.5</v>
      </c>
      <c r="AA38" s="32">
        <v>6</v>
      </c>
      <c r="AB38" s="34" t="str">
        <f>VLOOKUP(AA38,Key!$C$20:$D$29,2,FALSE)</f>
        <v>Businessman</v>
      </c>
      <c r="AC38" s="32">
        <v>2</v>
      </c>
      <c r="AD38" s="34" t="str">
        <f>VLOOKUP(AC38,Key!$E$20:$F$24,2,FALSE)</f>
        <v>300,000-500,000</v>
      </c>
      <c r="AE38" s="32">
        <v>1</v>
      </c>
      <c r="AF38" s="55">
        <v>2</v>
      </c>
      <c r="AG38" s="55">
        <v>1</v>
      </c>
      <c r="AH38" s="55">
        <v>2</v>
      </c>
      <c r="AI38" s="55">
        <v>1</v>
      </c>
      <c r="AJ38" s="39" t="s">
        <v>104</v>
      </c>
      <c r="AK38" s="40">
        <v>1000</v>
      </c>
      <c r="AL38" s="24"/>
      <c r="AM38" s="24"/>
    </row>
    <row r="39" spans="2:39" hidden="1" x14ac:dyDescent="0.2">
      <c r="B39" s="50">
        <v>43690</v>
      </c>
      <c r="C39" s="35">
        <v>0.71736111111111101</v>
      </c>
      <c r="D39" s="35"/>
      <c r="E39" s="35" t="s">
        <v>111</v>
      </c>
      <c r="F39" s="37">
        <v>2</v>
      </c>
      <c r="G39" s="42" t="str">
        <f>VLOOKUP(F39,Key!$A$17:$B$21,2,FALSE)</f>
        <v>Road Vehicle</v>
      </c>
      <c r="H39" s="36">
        <v>1</v>
      </c>
      <c r="I39" s="43" t="str">
        <f>VLOOKUP(H39,Key!$A$2:$B$13,2,FALSE)</f>
        <v>Car</v>
      </c>
      <c r="J39" s="37" t="s">
        <v>166</v>
      </c>
      <c r="K39" s="37">
        <v>2</v>
      </c>
      <c r="L39" s="45" t="str">
        <f>VLOOKUP(K39,Key!$A$24:$B$29,2,FALSE)</f>
        <v>30-39</v>
      </c>
      <c r="M39" s="37" t="s">
        <v>176</v>
      </c>
      <c r="N39" s="32" t="s">
        <v>167</v>
      </c>
      <c r="O39" s="37" t="s">
        <v>168</v>
      </c>
      <c r="P39" s="39">
        <v>4</v>
      </c>
      <c r="Q39" s="34" t="str">
        <f>VLOOKUP(P39,Key!$E$2:$F$9,2,FALSE)</f>
        <v>Commercial</v>
      </c>
      <c r="R39" s="37" t="s">
        <v>28</v>
      </c>
      <c r="S39" s="32" t="s">
        <v>188</v>
      </c>
      <c r="T39" s="37" t="s">
        <v>168</v>
      </c>
      <c r="U39" s="32">
        <v>1</v>
      </c>
      <c r="V39" s="34" t="str">
        <f>VLOOKUP(U39,Key!$E$2:$F$9,2,FALSE)</f>
        <v>Home</v>
      </c>
      <c r="W39" s="34" t="str">
        <f t="shared" si="0"/>
        <v>Commercial-Home</v>
      </c>
      <c r="X39" s="47">
        <v>50000</v>
      </c>
      <c r="Y39" s="38">
        <v>30</v>
      </c>
      <c r="Z39" s="38">
        <v>2</v>
      </c>
      <c r="AA39" s="32">
        <v>6</v>
      </c>
      <c r="AB39" s="34" t="str">
        <f>VLOOKUP(AA39,Key!$C$20:$D$29,2,FALSE)</f>
        <v>Businessman</v>
      </c>
      <c r="AC39" s="32">
        <v>3</v>
      </c>
      <c r="AD39" s="34" t="str">
        <f>VLOOKUP(AC39,Key!$E$20:$F$24,2,FALSE)</f>
        <v>500,000-750,000</v>
      </c>
      <c r="AE39" s="32">
        <v>1</v>
      </c>
      <c r="AF39" s="55">
        <v>2</v>
      </c>
      <c r="AG39" s="55">
        <v>3</v>
      </c>
      <c r="AH39" s="55">
        <v>1</v>
      </c>
      <c r="AI39" s="55"/>
      <c r="AJ39" s="39" t="s">
        <v>104</v>
      </c>
      <c r="AK39" s="40">
        <v>1000</v>
      </c>
      <c r="AL39" s="24"/>
      <c r="AM39" s="24"/>
    </row>
    <row r="40" spans="2:39" hidden="1" x14ac:dyDescent="0.2">
      <c r="B40" s="50">
        <v>43690</v>
      </c>
      <c r="C40" s="35">
        <v>0.53680555555555554</v>
      </c>
      <c r="D40" s="35"/>
      <c r="E40" s="35" t="s">
        <v>111</v>
      </c>
      <c r="F40" s="37">
        <v>2</v>
      </c>
      <c r="G40" s="42" t="str">
        <f>VLOOKUP(F40,Key!$A$17:$B$21,2,FALSE)</f>
        <v>Road Vehicle</v>
      </c>
      <c r="H40" s="36">
        <v>1</v>
      </c>
      <c r="I40" s="43" t="str">
        <f>VLOOKUP(H40,Key!$A$2:$B$13,2,FALSE)</f>
        <v>Car</v>
      </c>
      <c r="J40" s="37" t="s">
        <v>123</v>
      </c>
      <c r="K40" s="37">
        <v>2</v>
      </c>
      <c r="L40" s="45" t="str">
        <f>VLOOKUP(K40,Key!$A$24:$B$29,2,FALSE)</f>
        <v>30-39</v>
      </c>
      <c r="M40" s="37" t="s">
        <v>247</v>
      </c>
      <c r="N40" s="32" t="s">
        <v>167</v>
      </c>
      <c r="O40" s="37" t="s">
        <v>168</v>
      </c>
      <c r="P40" s="39">
        <v>8</v>
      </c>
      <c r="Q40" s="34" t="str">
        <f>VLOOKUP(P40,Key!$E$2:$F$9,2,FALSE)</f>
        <v>Others</v>
      </c>
      <c r="R40" s="37" t="s">
        <v>248</v>
      </c>
      <c r="S40" s="32" t="s">
        <v>170</v>
      </c>
      <c r="T40" s="37" t="s">
        <v>168</v>
      </c>
      <c r="U40" s="32">
        <v>8</v>
      </c>
      <c r="V40" s="34" t="str">
        <f>VLOOKUP(U40,Key!$E$2:$F$9,2,FALSE)</f>
        <v>Others</v>
      </c>
      <c r="W40" s="34" t="str">
        <f t="shared" si="0"/>
        <v>Others-Others</v>
      </c>
      <c r="X40" s="47">
        <v>40000</v>
      </c>
      <c r="Y40" s="38">
        <v>30</v>
      </c>
      <c r="Z40" s="38">
        <v>2</v>
      </c>
      <c r="AA40" s="32">
        <v>5</v>
      </c>
      <c r="AB40" s="34" t="str">
        <f>VLOOKUP(AA40,Key!$C$20:$D$29,2,FALSE)</f>
        <v>Professional</v>
      </c>
      <c r="AC40" s="32">
        <v>4</v>
      </c>
      <c r="AD40" s="34" t="str">
        <f>VLOOKUP(AC40,Key!$E$20:$F$24,2,FALSE)</f>
        <v>750,000-1,000,000</v>
      </c>
      <c r="AE40" s="32">
        <v>1</v>
      </c>
      <c r="AF40" s="55">
        <v>1</v>
      </c>
      <c r="AG40" s="55">
        <v>1</v>
      </c>
      <c r="AH40" s="55">
        <v>1</v>
      </c>
      <c r="AI40" s="55">
        <v>1</v>
      </c>
      <c r="AJ40" s="39" t="s">
        <v>104</v>
      </c>
      <c r="AK40" s="40"/>
      <c r="AL40" s="24"/>
      <c r="AM40" s="24"/>
    </row>
    <row r="41" spans="2:39" hidden="1" x14ac:dyDescent="0.2">
      <c r="B41" s="50">
        <v>43690</v>
      </c>
      <c r="C41" s="35">
        <v>0.46319444444444446</v>
      </c>
      <c r="D41" s="35"/>
      <c r="E41" s="35" t="s">
        <v>111</v>
      </c>
      <c r="F41" s="37">
        <v>2</v>
      </c>
      <c r="G41" s="42" t="str">
        <f>VLOOKUP(F41,Key!$A$17:$B$21,2,FALSE)</f>
        <v>Road Vehicle</v>
      </c>
      <c r="H41" s="36">
        <v>1</v>
      </c>
      <c r="I41" s="43" t="str">
        <f>VLOOKUP(H41,Key!$A$2:$B$13,2,FALSE)</f>
        <v>Car</v>
      </c>
      <c r="J41" s="37" t="s">
        <v>166</v>
      </c>
      <c r="K41" s="13">
        <v>2</v>
      </c>
      <c r="L41" s="45" t="str">
        <f>VLOOKUP(K41,Key!$A$24:$B$29,2,FALSE)</f>
        <v>30-39</v>
      </c>
      <c r="M41" s="44" t="s">
        <v>173</v>
      </c>
      <c r="N41" s="44" t="s">
        <v>173</v>
      </c>
      <c r="O41" s="37" t="s">
        <v>168</v>
      </c>
      <c r="P41" s="39">
        <v>2</v>
      </c>
      <c r="Q41" s="34" t="str">
        <f>VLOOKUP(P41,Key!$E$2:$F$9,2,FALSE)</f>
        <v>Work</v>
      </c>
      <c r="R41" s="37" t="s">
        <v>187</v>
      </c>
      <c r="S41" s="32" t="s">
        <v>167</v>
      </c>
      <c r="T41" s="37" t="s">
        <v>168</v>
      </c>
      <c r="U41" s="32">
        <v>2</v>
      </c>
      <c r="V41" s="34" t="str">
        <f>VLOOKUP(U41,Key!$E$2:$F$9,2,FALSE)</f>
        <v>Work</v>
      </c>
      <c r="W41" s="34" t="str">
        <f t="shared" si="0"/>
        <v>Work-Work</v>
      </c>
      <c r="X41" s="47">
        <v>20000</v>
      </c>
      <c r="Y41" s="38">
        <v>40</v>
      </c>
      <c r="Z41" s="38">
        <v>1</v>
      </c>
      <c r="AA41" s="32">
        <v>6</v>
      </c>
      <c r="AB41" s="34" t="str">
        <f>VLOOKUP(AA41,Key!$C$20:$D$29,2,FALSE)</f>
        <v>Businessman</v>
      </c>
      <c r="AC41" s="32">
        <v>2</v>
      </c>
      <c r="AD41" s="34" t="str">
        <f>VLOOKUP(AC41,Key!$E$20:$F$24,2,FALSE)</f>
        <v>300,000-500,000</v>
      </c>
      <c r="AE41" s="32">
        <v>1</v>
      </c>
      <c r="AF41" s="55">
        <v>1</v>
      </c>
      <c r="AG41" s="55">
        <v>1</v>
      </c>
      <c r="AH41" s="55">
        <v>1</v>
      </c>
      <c r="AI41" s="55">
        <v>1</v>
      </c>
      <c r="AJ41" s="39" t="s">
        <v>104</v>
      </c>
      <c r="AK41" s="40"/>
      <c r="AL41" s="24"/>
      <c r="AM41" s="24"/>
    </row>
    <row r="42" spans="2:39" hidden="1" x14ac:dyDescent="0.2">
      <c r="B42" s="50">
        <v>43690</v>
      </c>
      <c r="C42" s="35">
        <v>0.7090277777777777</v>
      </c>
      <c r="D42" s="35"/>
      <c r="E42" s="35" t="s">
        <v>111</v>
      </c>
      <c r="F42" s="37">
        <v>2</v>
      </c>
      <c r="G42" s="42" t="str">
        <f>VLOOKUP(F42,Key!$A$17:$B$21,2,FALSE)</f>
        <v>Road Vehicle</v>
      </c>
      <c r="H42" s="36">
        <v>1</v>
      </c>
      <c r="I42" s="43" t="str">
        <f>VLOOKUP(H42,Key!$A$2:$B$13,2,FALSE)</f>
        <v>Car</v>
      </c>
      <c r="J42" s="37" t="s">
        <v>166</v>
      </c>
      <c r="K42" s="37">
        <v>2</v>
      </c>
      <c r="L42" s="45" t="str">
        <f>VLOOKUP(K42,Key!$A$24:$B$29,2,FALSE)</f>
        <v>30-39</v>
      </c>
      <c r="M42" s="37" t="s">
        <v>225</v>
      </c>
      <c r="N42" s="32" t="s">
        <v>190</v>
      </c>
      <c r="O42" s="37" t="s">
        <v>168</v>
      </c>
      <c r="P42" s="39">
        <v>1</v>
      </c>
      <c r="Q42" s="34" t="str">
        <f>VLOOKUP(P42,Key!$E$2:$F$9,2,FALSE)</f>
        <v>Home</v>
      </c>
      <c r="R42" s="37" t="s">
        <v>216</v>
      </c>
      <c r="S42" s="32" t="s">
        <v>167</v>
      </c>
      <c r="T42" s="37" t="s">
        <v>168</v>
      </c>
      <c r="U42" s="32">
        <v>6</v>
      </c>
      <c r="V42" s="34" t="str">
        <f>VLOOKUP(U42,Key!$E$2:$F$9,2,FALSE)</f>
        <v>Leisure/Social</v>
      </c>
      <c r="W42" s="34" t="str">
        <f t="shared" si="0"/>
        <v>Home-Leisure/Social</v>
      </c>
      <c r="X42" s="47">
        <v>40000</v>
      </c>
      <c r="Y42" s="38">
        <v>40</v>
      </c>
      <c r="Z42" s="38">
        <v>1</v>
      </c>
      <c r="AA42" s="32">
        <v>5</v>
      </c>
      <c r="AB42" s="34" t="str">
        <f>VLOOKUP(AA42,Key!$C$20:$D$29,2,FALSE)</f>
        <v>Professional</v>
      </c>
      <c r="AC42" s="32">
        <v>5</v>
      </c>
      <c r="AD42" s="34" t="str">
        <f>VLOOKUP(AC42,Key!$E$20:$F$24,2,FALSE)</f>
        <v>&gt;1,000,000</v>
      </c>
      <c r="AE42" s="32">
        <v>1</v>
      </c>
      <c r="AF42" s="55">
        <v>1</v>
      </c>
      <c r="AG42" s="55">
        <v>1</v>
      </c>
      <c r="AH42" s="55">
        <v>1</v>
      </c>
      <c r="AI42" s="55">
        <v>1</v>
      </c>
      <c r="AJ42" s="39" t="s">
        <v>104</v>
      </c>
      <c r="AK42" s="40"/>
      <c r="AL42" s="24"/>
      <c r="AM42" s="24"/>
    </row>
    <row r="43" spans="2:39" hidden="1" x14ac:dyDescent="0.2">
      <c r="B43" s="50">
        <v>43689</v>
      </c>
      <c r="C43" s="35">
        <v>0.57291666666666663</v>
      </c>
      <c r="D43" s="35"/>
      <c r="E43" s="35" t="s">
        <v>111</v>
      </c>
      <c r="F43" s="37">
        <v>2</v>
      </c>
      <c r="G43" s="42" t="str">
        <f>VLOOKUP(F43,Key!$A$17:$B$21,2,FALSE)</f>
        <v>Road Vehicle</v>
      </c>
      <c r="H43" s="36">
        <v>1</v>
      </c>
      <c r="I43" s="43" t="str">
        <f>VLOOKUP(H43,Key!$A$2:$B$13,2,FALSE)</f>
        <v>Car</v>
      </c>
      <c r="J43" s="37" t="s">
        <v>123</v>
      </c>
      <c r="K43" s="37">
        <v>2</v>
      </c>
      <c r="L43" s="45" t="str">
        <f>VLOOKUP(K43,Key!$A$24:$B$29,2,FALSE)</f>
        <v>30-39</v>
      </c>
      <c r="M43" s="37" t="s">
        <v>202</v>
      </c>
      <c r="N43" s="32" t="s">
        <v>179</v>
      </c>
      <c r="O43" s="37" t="s">
        <v>168</v>
      </c>
      <c r="P43" s="39">
        <v>1</v>
      </c>
      <c r="Q43" s="34" t="str">
        <f>VLOOKUP(P43,Key!$E$2:$F$9,2,FALSE)</f>
        <v>Home</v>
      </c>
      <c r="R43" s="37" t="s">
        <v>214</v>
      </c>
      <c r="S43" s="32" t="s">
        <v>205</v>
      </c>
      <c r="T43" s="37" t="s">
        <v>168</v>
      </c>
      <c r="U43" s="32">
        <v>6</v>
      </c>
      <c r="V43" s="34" t="str">
        <f>VLOOKUP(U43,Key!$E$2:$F$9,2,FALSE)</f>
        <v>Leisure/Social</v>
      </c>
      <c r="W43" s="34" t="str">
        <f t="shared" si="0"/>
        <v>Home-Leisure/Social</v>
      </c>
      <c r="X43" s="47">
        <v>30000</v>
      </c>
      <c r="Y43" s="38">
        <v>40</v>
      </c>
      <c r="Z43" s="38">
        <v>1</v>
      </c>
      <c r="AA43" s="32">
        <v>5</v>
      </c>
      <c r="AB43" s="34" t="str">
        <f>VLOOKUP(AA43,Key!$C$20:$D$29,2,FALSE)</f>
        <v>Professional</v>
      </c>
      <c r="AC43" s="32">
        <v>5</v>
      </c>
      <c r="AD43" s="34" t="str">
        <f>VLOOKUP(AC43,Key!$E$20:$F$24,2,FALSE)</f>
        <v>&gt;1,000,000</v>
      </c>
      <c r="AE43" s="32">
        <v>1</v>
      </c>
      <c r="AF43" s="55">
        <v>1</v>
      </c>
      <c r="AG43" s="55">
        <v>1</v>
      </c>
      <c r="AH43" s="55">
        <v>1</v>
      </c>
      <c r="AI43" s="55">
        <v>1</v>
      </c>
      <c r="AJ43" s="39" t="s">
        <v>104</v>
      </c>
      <c r="AK43" s="40">
        <v>5000</v>
      </c>
      <c r="AL43" s="24"/>
      <c r="AM43" s="24"/>
    </row>
    <row r="44" spans="2:39" hidden="1" x14ac:dyDescent="0.2">
      <c r="B44" s="50">
        <v>43686</v>
      </c>
      <c r="C44" s="35">
        <v>0.55555555555555558</v>
      </c>
      <c r="D44" s="35"/>
      <c r="E44" s="35" t="s">
        <v>111</v>
      </c>
      <c r="F44" s="37">
        <v>2</v>
      </c>
      <c r="G44" s="42" t="str">
        <f>VLOOKUP(F44,Key!$A$17:$B$21,2,FALSE)</f>
        <v>Road Vehicle</v>
      </c>
      <c r="H44" s="36">
        <v>1</v>
      </c>
      <c r="I44" s="43" t="str">
        <f>VLOOKUP(H44,Key!$A$2:$B$13,2,FALSE)</f>
        <v>Car</v>
      </c>
      <c r="J44" s="37" t="s">
        <v>123</v>
      </c>
      <c r="K44" s="37">
        <v>2</v>
      </c>
      <c r="L44" s="45" t="str">
        <f>VLOOKUP(K44,Key!$A$24:$B$29,2,FALSE)</f>
        <v>30-39</v>
      </c>
      <c r="M44" s="37" t="s">
        <v>208</v>
      </c>
      <c r="N44" s="32" t="s">
        <v>167</v>
      </c>
      <c r="O44" s="37" t="s">
        <v>168</v>
      </c>
      <c r="P44" s="39">
        <v>1</v>
      </c>
      <c r="Q44" s="34" t="str">
        <f>VLOOKUP(P44,Key!$E$2:$F$9,2,FALSE)</f>
        <v>Home</v>
      </c>
      <c r="R44" s="37" t="s">
        <v>206</v>
      </c>
      <c r="S44" s="32" t="s">
        <v>190</v>
      </c>
      <c r="T44" s="37" t="s">
        <v>168</v>
      </c>
      <c r="U44" s="32">
        <v>6</v>
      </c>
      <c r="V44" s="34" t="str">
        <f>VLOOKUP(U44,Key!$E$2:$F$9,2,FALSE)</f>
        <v>Leisure/Social</v>
      </c>
      <c r="W44" s="34" t="str">
        <f t="shared" si="0"/>
        <v>Home-Leisure/Social</v>
      </c>
      <c r="X44" s="47">
        <v>20000</v>
      </c>
      <c r="Y44" s="38">
        <v>40</v>
      </c>
      <c r="Z44" s="38">
        <v>1</v>
      </c>
      <c r="AA44" s="32">
        <v>6</v>
      </c>
      <c r="AB44" s="34" t="str">
        <f>VLOOKUP(AA44,Key!$C$20:$D$29,2,FALSE)</f>
        <v>Businessman</v>
      </c>
      <c r="AC44" s="32">
        <v>5</v>
      </c>
      <c r="AD44" s="34" t="str">
        <f>VLOOKUP(AC44,Key!$E$20:$F$24,2,FALSE)</f>
        <v>&gt;1,000,000</v>
      </c>
      <c r="AE44" s="32">
        <v>1</v>
      </c>
      <c r="AF44" s="55">
        <v>1</v>
      </c>
      <c r="AG44" s="55">
        <v>1</v>
      </c>
      <c r="AH44" s="55">
        <v>1</v>
      </c>
      <c r="AI44" s="55">
        <v>1</v>
      </c>
      <c r="AJ44" s="39" t="s">
        <v>104</v>
      </c>
      <c r="AK44" s="40">
        <v>5000</v>
      </c>
      <c r="AL44" s="24"/>
      <c r="AM44" s="24"/>
    </row>
    <row r="45" spans="2:39" hidden="1" x14ac:dyDescent="0.2">
      <c r="B45" s="50">
        <v>43686</v>
      </c>
      <c r="C45" s="35">
        <v>0.63541666666666663</v>
      </c>
      <c r="D45" s="35"/>
      <c r="E45" s="35" t="s">
        <v>111</v>
      </c>
      <c r="F45" s="37">
        <v>2</v>
      </c>
      <c r="G45" s="42" t="str">
        <f>VLOOKUP(F45,Key!$A$17:$B$21,2,FALSE)</f>
        <v>Road Vehicle</v>
      </c>
      <c r="H45" s="36">
        <v>1</v>
      </c>
      <c r="I45" s="43" t="str">
        <f>VLOOKUP(H45,Key!$A$2:$B$13,2,FALSE)</f>
        <v>Car</v>
      </c>
      <c r="J45" s="37" t="s">
        <v>123</v>
      </c>
      <c r="K45" s="37">
        <v>3</v>
      </c>
      <c r="L45" s="45" t="str">
        <f>VLOOKUP(K45,Key!$A$24:$B$29,2,FALSE)</f>
        <v>40-49</v>
      </c>
      <c r="M45" s="44" t="s">
        <v>195</v>
      </c>
      <c r="N45" s="44" t="s">
        <v>190</v>
      </c>
      <c r="O45" s="37" t="s">
        <v>168</v>
      </c>
      <c r="P45" s="39">
        <v>1</v>
      </c>
      <c r="Q45" s="34" t="str">
        <f>VLOOKUP(P45,Key!$E$2:$F$9,2,FALSE)</f>
        <v>Home</v>
      </c>
      <c r="R45" s="37" t="s">
        <v>167</v>
      </c>
      <c r="S45" s="32" t="s">
        <v>167</v>
      </c>
      <c r="T45" s="37" t="s">
        <v>168</v>
      </c>
      <c r="U45" s="32">
        <v>5</v>
      </c>
      <c r="V45" s="34" t="str">
        <f>VLOOKUP(U45,Key!$E$2:$F$9,2,FALSE)</f>
        <v>Tourism</v>
      </c>
      <c r="W45" s="34" t="str">
        <f t="shared" si="0"/>
        <v>Home-Tourism</v>
      </c>
      <c r="X45" s="47">
        <v>20000</v>
      </c>
      <c r="Y45" s="38">
        <v>40</v>
      </c>
      <c r="Z45" s="38">
        <v>1</v>
      </c>
      <c r="AA45" s="32">
        <v>5</v>
      </c>
      <c r="AB45" s="34" t="str">
        <f>VLOOKUP(AA45,Key!$C$20:$D$29,2,FALSE)</f>
        <v>Professional</v>
      </c>
      <c r="AC45" s="32">
        <v>3</v>
      </c>
      <c r="AD45" s="34" t="str">
        <f>VLOOKUP(AC45,Key!$E$20:$F$24,2,FALSE)</f>
        <v>500,000-750,000</v>
      </c>
      <c r="AE45" s="32">
        <v>1</v>
      </c>
      <c r="AF45" s="55">
        <v>1</v>
      </c>
      <c r="AG45" s="55">
        <v>1</v>
      </c>
      <c r="AH45" s="55">
        <v>1</v>
      </c>
      <c r="AI45" s="55">
        <v>1</v>
      </c>
      <c r="AJ45" s="39" t="s">
        <v>104</v>
      </c>
      <c r="AK45" s="40">
        <v>3000</v>
      </c>
      <c r="AL45" s="24"/>
      <c r="AM45" s="24"/>
    </row>
    <row r="46" spans="2:39" hidden="1" x14ac:dyDescent="0.2">
      <c r="B46" s="50">
        <v>43686</v>
      </c>
      <c r="C46" s="35">
        <v>0.5625</v>
      </c>
      <c r="D46" s="35"/>
      <c r="E46" s="35" t="s">
        <v>111</v>
      </c>
      <c r="F46" s="37">
        <v>2</v>
      </c>
      <c r="G46" s="42" t="str">
        <f>VLOOKUP(F46,Key!$A$17:$B$21,2,FALSE)</f>
        <v>Road Vehicle</v>
      </c>
      <c r="H46" s="36">
        <v>1</v>
      </c>
      <c r="I46" s="43" t="str">
        <f>VLOOKUP(H46,Key!$A$2:$B$13,2,FALSE)</f>
        <v>Car</v>
      </c>
      <c r="J46" s="37" t="s">
        <v>166</v>
      </c>
      <c r="K46" s="37">
        <v>2</v>
      </c>
      <c r="L46" s="45" t="str">
        <f>VLOOKUP(K46,Key!$A$24:$B$29,2,FALSE)</f>
        <v>30-39</v>
      </c>
      <c r="M46" s="37" t="s">
        <v>167</v>
      </c>
      <c r="N46" s="32" t="s">
        <v>167</v>
      </c>
      <c r="O46" s="37" t="s">
        <v>168</v>
      </c>
      <c r="P46" s="39">
        <v>1</v>
      </c>
      <c r="Q46" s="34" t="str">
        <f>VLOOKUP(P46,Key!$E$2:$F$9,2,FALSE)</f>
        <v>Home</v>
      </c>
      <c r="R46" s="37" t="s">
        <v>179</v>
      </c>
      <c r="S46" s="32" t="s">
        <v>179</v>
      </c>
      <c r="T46" s="37" t="s">
        <v>168</v>
      </c>
      <c r="U46" s="32">
        <v>6</v>
      </c>
      <c r="V46" s="34" t="str">
        <f>VLOOKUP(U46,Key!$E$2:$F$9,2,FALSE)</f>
        <v>Leisure/Social</v>
      </c>
      <c r="W46" s="34" t="str">
        <f t="shared" si="0"/>
        <v>Home-Leisure/Social</v>
      </c>
      <c r="X46" s="47">
        <v>30000</v>
      </c>
      <c r="Y46" s="38">
        <v>40</v>
      </c>
      <c r="Z46" s="38">
        <v>1</v>
      </c>
      <c r="AA46" s="32">
        <v>6</v>
      </c>
      <c r="AB46" s="34" t="str">
        <f>VLOOKUP(AA46,Key!$C$20:$D$29,2,FALSE)</f>
        <v>Businessman</v>
      </c>
      <c r="AC46" s="32">
        <v>2</v>
      </c>
      <c r="AD46" s="34" t="str">
        <f>VLOOKUP(AC46,Key!$E$20:$F$24,2,FALSE)</f>
        <v>300,000-500,000</v>
      </c>
      <c r="AE46" s="32">
        <v>2</v>
      </c>
      <c r="AF46" s="55">
        <v>3</v>
      </c>
      <c r="AG46" s="55">
        <v>2</v>
      </c>
      <c r="AH46" s="55">
        <v>2</v>
      </c>
      <c r="AI46" s="55">
        <v>3</v>
      </c>
      <c r="AJ46" s="39" t="s">
        <v>104</v>
      </c>
      <c r="AK46" s="40">
        <v>2500</v>
      </c>
      <c r="AL46" s="24"/>
      <c r="AM46" s="24"/>
    </row>
    <row r="47" spans="2:39" hidden="1" x14ac:dyDescent="0.2">
      <c r="B47" s="50">
        <v>43686</v>
      </c>
      <c r="C47" s="35">
        <v>0.63541666666666663</v>
      </c>
      <c r="D47" s="35"/>
      <c r="E47" s="35" t="s">
        <v>111</v>
      </c>
      <c r="F47" s="37">
        <v>2</v>
      </c>
      <c r="G47" s="42" t="str">
        <f>VLOOKUP(F47,Key!$A$17:$B$21,2,FALSE)</f>
        <v>Road Vehicle</v>
      </c>
      <c r="H47" s="36">
        <v>1</v>
      </c>
      <c r="I47" s="43" t="str">
        <f>VLOOKUP(H47,Key!$A$2:$B$13,2,FALSE)</f>
        <v>Car</v>
      </c>
      <c r="J47" s="37" t="s">
        <v>123</v>
      </c>
      <c r="K47" s="37">
        <v>2</v>
      </c>
      <c r="L47" s="45" t="str">
        <f>VLOOKUP(K47,Key!$A$24:$B$29,2,FALSE)</f>
        <v>30-39</v>
      </c>
      <c r="M47" s="37" t="s">
        <v>179</v>
      </c>
      <c r="N47" s="32" t="s">
        <v>179</v>
      </c>
      <c r="O47" s="37" t="s">
        <v>168</v>
      </c>
      <c r="P47" s="39">
        <v>1</v>
      </c>
      <c r="Q47" s="34" t="str">
        <f>VLOOKUP(P47,Key!$E$2:$F$9,2,FALSE)</f>
        <v>Home</v>
      </c>
      <c r="R47" s="37" t="s">
        <v>167</v>
      </c>
      <c r="S47" s="32" t="s">
        <v>167</v>
      </c>
      <c r="T47" s="37" t="s">
        <v>168</v>
      </c>
      <c r="U47" s="32">
        <v>6</v>
      </c>
      <c r="V47" s="34" t="str">
        <f>VLOOKUP(U47,Key!$E$2:$F$9,2,FALSE)</f>
        <v>Leisure/Social</v>
      </c>
      <c r="W47" s="34" t="str">
        <f t="shared" si="0"/>
        <v>Home-Leisure/Social</v>
      </c>
      <c r="X47" s="47">
        <v>20000</v>
      </c>
      <c r="Y47" s="38">
        <v>40</v>
      </c>
      <c r="Z47" s="38">
        <v>1</v>
      </c>
      <c r="AA47" s="32">
        <v>8</v>
      </c>
      <c r="AB47" s="34" t="str">
        <f>VLOOKUP(AA47,Key!$C$20:$D$29,2,FALSE)</f>
        <v>Student</v>
      </c>
      <c r="AC47" s="32">
        <v>1</v>
      </c>
      <c r="AD47" s="34" t="str">
        <f>VLOOKUP(AC47,Key!$E$20:$F$24,2,FALSE)</f>
        <v>&lt;300,000</v>
      </c>
      <c r="AE47" s="32">
        <v>3</v>
      </c>
      <c r="AF47" s="55">
        <v>2</v>
      </c>
      <c r="AG47" s="55">
        <v>3</v>
      </c>
      <c r="AH47" s="55">
        <v>1</v>
      </c>
      <c r="AI47" s="55">
        <v>4</v>
      </c>
      <c r="AJ47" s="39" t="s">
        <v>104</v>
      </c>
      <c r="AK47" s="40">
        <v>3000</v>
      </c>
      <c r="AL47" s="24"/>
      <c r="AM47" s="24"/>
    </row>
    <row r="48" spans="2:39" hidden="1" x14ac:dyDescent="0.2">
      <c r="B48" s="50">
        <v>43687</v>
      </c>
      <c r="C48" s="35">
        <v>0.53819444444444442</v>
      </c>
      <c r="D48" s="35"/>
      <c r="E48" s="35" t="s">
        <v>111</v>
      </c>
      <c r="F48" s="37">
        <v>2</v>
      </c>
      <c r="G48" s="42" t="str">
        <f>VLOOKUP(F48,Key!$A$17:$B$21,2,FALSE)</f>
        <v>Road Vehicle</v>
      </c>
      <c r="H48" s="36">
        <v>1</v>
      </c>
      <c r="I48" s="43" t="str">
        <f>VLOOKUP(H48,Key!$A$2:$B$13,2,FALSE)</f>
        <v>Car</v>
      </c>
      <c r="J48" s="37" t="s">
        <v>166</v>
      </c>
      <c r="K48" s="37">
        <v>2</v>
      </c>
      <c r="L48" s="45" t="str">
        <f>VLOOKUP(K48,Key!$A$24:$B$29,2,FALSE)</f>
        <v>30-39</v>
      </c>
      <c r="M48" s="37" t="s">
        <v>167</v>
      </c>
      <c r="N48" s="32" t="s">
        <v>167</v>
      </c>
      <c r="O48" s="37" t="s">
        <v>168</v>
      </c>
      <c r="P48" s="39">
        <v>5</v>
      </c>
      <c r="Q48" s="34" t="str">
        <f>VLOOKUP(P48,Key!$E$2:$F$9,2,FALSE)</f>
        <v>Tourism</v>
      </c>
      <c r="R48" s="37" t="s">
        <v>269</v>
      </c>
      <c r="S48" s="32" t="s">
        <v>179</v>
      </c>
      <c r="T48" s="37" t="s">
        <v>168</v>
      </c>
      <c r="U48" s="32">
        <v>1</v>
      </c>
      <c r="V48" s="34" t="str">
        <f>VLOOKUP(U48,Key!$E$2:$F$9,2,FALSE)</f>
        <v>Home</v>
      </c>
      <c r="W48" s="34" t="str">
        <f t="shared" si="0"/>
        <v>Tourism-Home</v>
      </c>
      <c r="X48" s="47">
        <v>40000</v>
      </c>
      <c r="Y48" s="38">
        <v>40</v>
      </c>
      <c r="Z48" s="38">
        <v>2</v>
      </c>
      <c r="AA48" s="32">
        <v>10</v>
      </c>
      <c r="AB48" s="34" t="str">
        <f>VLOOKUP(AA48,Key!$C$20:$D$29,2,FALSE)</f>
        <v>Other</v>
      </c>
      <c r="AC48" s="32">
        <v>1</v>
      </c>
      <c r="AD48" s="34" t="str">
        <f>VLOOKUP(AC48,Key!$E$20:$F$24,2,FALSE)</f>
        <v>&lt;300,000</v>
      </c>
      <c r="AE48" s="32">
        <v>1</v>
      </c>
      <c r="AF48" s="55">
        <v>1</v>
      </c>
      <c r="AG48" s="55">
        <v>1</v>
      </c>
      <c r="AH48" s="55">
        <v>1</v>
      </c>
      <c r="AI48" s="55">
        <v>1</v>
      </c>
      <c r="AJ48" s="39" t="s">
        <v>104</v>
      </c>
      <c r="AK48" s="40">
        <v>1000</v>
      </c>
      <c r="AL48" s="24"/>
      <c r="AM48" s="24"/>
    </row>
    <row r="49" spans="2:39" hidden="1" x14ac:dyDescent="0.2">
      <c r="B49" s="50">
        <v>43686</v>
      </c>
      <c r="C49" s="35">
        <v>0.67847222222222225</v>
      </c>
      <c r="D49" s="35"/>
      <c r="E49" s="35" t="s">
        <v>111</v>
      </c>
      <c r="F49" s="37">
        <v>2</v>
      </c>
      <c r="G49" s="42" t="str">
        <f>VLOOKUP(F49,Key!$A$17:$B$21,2,FALSE)</f>
        <v>Road Vehicle</v>
      </c>
      <c r="H49" s="36">
        <v>1</v>
      </c>
      <c r="I49" s="43" t="str">
        <f>VLOOKUP(H49,Key!$A$2:$B$13,2,FALSE)</f>
        <v>Car</v>
      </c>
      <c r="J49" s="37" t="s">
        <v>166</v>
      </c>
      <c r="K49" s="37">
        <v>2</v>
      </c>
      <c r="L49" s="45" t="str">
        <f>VLOOKUP(K49,Key!$A$24:$B$29,2,FALSE)</f>
        <v>30-39</v>
      </c>
      <c r="M49" s="37" t="s">
        <v>187</v>
      </c>
      <c r="N49" s="32" t="s">
        <v>167</v>
      </c>
      <c r="O49" s="37" t="s">
        <v>168</v>
      </c>
      <c r="P49" s="39">
        <v>1</v>
      </c>
      <c r="Q49" s="34" t="str">
        <f>VLOOKUP(P49,Key!$E$2:$F$9,2,FALSE)</f>
        <v>Home</v>
      </c>
      <c r="R49" s="37" t="s">
        <v>275</v>
      </c>
      <c r="S49" s="32" t="s">
        <v>176</v>
      </c>
      <c r="T49" s="37" t="s">
        <v>168</v>
      </c>
      <c r="U49" s="32">
        <v>8</v>
      </c>
      <c r="V49" s="34" t="str">
        <f>VLOOKUP(U49,Key!$E$2:$F$9,2,FALSE)</f>
        <v>Others</v>
      </c>
      <c r="W49" s="34" t="str">
        <f t="shared" si="0"/>
        <v>Home-Others</v>
      </c>
      <c r="X49" s="47">
        <v>60000</v>
      </c>
      <c r="Y49" s="38">
        <v>40</v>
      </c>
      <c r="Z49" s="38">
        <v>2</v>
      </c>
      <c r="AA49" s="32">
        <v>6</v>
      </c>
      <c r="AB49" s="34" t="str">
        <f>VLOOKUP(AA49,Key!$C$20:$D$29,2,FALSE)</f>
        <v>Businessman</v>
      </c>
      <c r="AC49" s="32">
        <v>5</v>
      </c>
      <c r="AD49" s="34" t="str">
        <f>VLOOKUP(AC49,Key!$E$20:$F$24,2,FALSE)</f>
        <v>&gt;1,000,000</v>
      </c>
      <c r="AE49" s="32">
        <v>1</v>
      </c>
      <c r="AF49" s="55">
        <v>1</v>
      </c>
      <c r="AG49" s="55">
        <v>1</v>
      </c>
      <c r="AH49" s="55">
        <v>2</v>
      </c>
      <c r="AI49" s="55">
        <v>1</v>
      </c>
      <c r="AJ49" s="39" t="s">
        <v>104</v>
      </c>
      <c r="AK49" s="40">
        <v>2000</v>
      </c>
      <c r="AL49" s="24"/>
      <c r="AM49" s="24"/>
    </row>
    <row r="50" spans="2:39" hidden="1" x14ac:dyDescent="0.2">
      <c r="B50" s="50">
        <v>43690</v>
      </c>
      <c r="C50" s="35">
        <v>0.68680555555555556</v>
      </c>
      <c r="D50" s="35"/>
      <c r="E50" s="35" t="s">
        <v>111</v>
      </c>
      <c r="F50" s="37">
        <v>2</v>
      </c>
      <c r="G50" s="42" t="str">
        <f>VLOOKUP(F50,Key!$A$17:$B$21,2,FALSE)</f>
        <v>Road Vehicle</v>
      </c>
      <c r="H50" s="36">
        <v>1</v>
      </c>
      <c r="I50" s="43" t="str">
        <f>VLOOKUP(H50,Key!$A$2:$B$13,2,FALSE)</f>
        <v>Car</v>
      </c>
      <c r="J50" s="37" t="s">
        <v>123</v>
      </c>
      <c r="K50" s="37">
        <v>3</v>
      </c>
      <c r="L50" s="45" t="str">
        <f>VLOOKUP(K50,Key!$A$24:$B$29,2,FALSE)</f>
        <v>40-49</v>
      </c>
      <c r="M50" s="37" t="s">
        <v>189</v>
      </c>
      <c r="N50" s="32" t="s">
        <v>190</v>
      </c>
      <c r="O50" s="37" t="s">
        <v>168</v>
      </c>
      <c r="P50" s="39">
        <v>1</v>
      </c>
      <c r="Q50" s="34" t="str">
        <f>VLOOKUP(P50,Key!$E$2:$F$9,2,FALSE)</f>
        <v>Home</v>
      </c>
      <c r="R50" s="37" t="s">
        <v>190</v>
      </c>
      <c r="S50" s="32" t="s">
        <v>190</v>
      </c>
      <c r="T50" s="37" t="s">
        <v>168</v>
      </c>
      <c r="U50" s="32">
        <v>3</v>
      </c>
      <c r="V50" s="34" t="str">
        <f>VLOOKUP(U50,Key!$E$2:$F$9,2,FALSE)</f>
        <v>Study</v>
      </c>
      <c r="W50" s="34" t="str">
        <f t="shared" si="0"/>
        <v>Home-Study</v>
      </c>
      <c r="X50" s="47">
        <v>25000</v>
      </c>
      <c r="Y50" s="38">
        <v>40</v>
      </c>
      <c r="Z50" s="38">
        <v>2</v>
      </c>
      <c r="AA50" s="32">
        <v>1</v>
      </c>
      <c r="AB50" s="34" t="str">
        <f>VLOOKUP(AA50,Key!$C$20:$D$29,2,FALSE)</f>
        <v>Unemployed</v>
      </c>
      <c r="AC50" s="32">
        <v>1</v>
      </c>
      <c r="AD50" s="34" t="str">
        <f>VLOOKUP(AC50,Key!$E$20:$F$24,2,FALSE)</f>
        <v>&lt;300,000</v>
      </c>
      <c r="AE50" s="32">
        <v>1</v>
      </c>
      <c r="AF50" s="55">
        <v>1</v>
      </c>
      <c r="AG50" s="55">
        <v>2</v>
      </c>
      <c r="AH50" s="55">
        <v>1</v>
      </c>
      <c r="AI50" s="55">
        <v>1</v>
      </c>
      <c r="AJ50" s="39" t="s">
        <v>104</v>
      </c>
      <c r="AK50" s="40"/>
      <c r="AL50" s="24"/>
      <c r="AM50" s="24"/>
    </row>
    <row r="51" spans="2:39" hidden="1" x14ac:dyDescent="0.2">
      <c r="B51" s="50">
        <v>43690</v>
      </c>
      <c r="C51" s="35">
        <v>0.48680555555555555</v>
      </c>
      <c r="D51" s="35"/>
      <c r="E51" s="35" t="s">
        <v>111</v>
      </c>
      <c r="F51" s="37">
        <v>2</v>
      </c>
      <c r="G51" s="42" t="str">
        <f>VLOOKUP(F51,Key!$A$17:$B$21,2,FALSE)</f>
        <v>Road Vehicle</v>
      </c>
      <c r="H51" s="36">
        <v>1</v>
      </c>
      <c r="I51" s="43" t="str">
        <f>VLOOKUP(H51,Key!$A$2:$B$13,2,FALSE)</f>
        <v>Car</v>
      </c>
      <c r="J51" s="37" t="s">
        <v>123</v>
      </c>
      <c r="K51" s="37">
        <v>3</v>
      </c>
      <c r="L51" s="45" t="str">
        <f>VLOOKUP(K51,Key!$A$24:$B$29,2,FALSE)</f>
        <v>40-49</v>
      </c>
      <c r="M51" s="37" t="s">
        <v>262</v>
      </c>
      <c r="N51" s="32" t="s">
        <v>188</v>
      </c>
      <c r="O51" s="37" t="s">
        <v>168</v>
      </c>
      <c r="P51" s="39">
        <v>2</v>
      </c>
      <c r="Q51" s="34" t="str">
        <f>VLOOKUP(P51,Key!$E$2:$F$9,2,FALSE)</f>
        <v>Work</v>
      </c>
      <c r="R51" s="37" t="s">
        <v>263</v>
      </c>
      <c r="S51" s="32" t="s">
        <v>167</v>
      </c>
      <c r="T51" s="37" t="s">
        <v>168</v>
      </c>
      <c r="U51" s="32">
        <v>5</v>
      </c>
      <c r="V51" s="34" t="str">
        <f>VLOOKUP(U51,Key!$E$2:$F$9,2,FALSE)</f>
        <v>Tourism</v>
      </c>
      <c r="W51" s="34" t="str">
        <f t="shared" si="0"/>
        <v>Work-Tourism</v>
      </c>
      <c r="X51" s="47">
        <v>100000</v>
      </c>
      <c r="Y51" s="38">
        <v>40</v>
      </c>
      <c r="Z51" s="38">
        <v>3</v>
      </c>
      <c r="AA51" s="32">
        <v>6</v>
      </c>
      <c r="AB51" s="34" t="str">
        <f>VLOOKUP(AA51,Key!$C$20:$D$29,2,FALSE)</f>
        <v>Businessman</v>
      </c>
      <c r="AC51" s="32">
        <v>2</v>
      </c>
      <c r="AD51" s="34" t="str">
        <f>VLOOKUP(AC51,Key!$E$20:$F$24,2,FALSE)</f>
        <v>300,000-500,000</v>
      </c>
      <c r="AE51" s="32">
        <v>1</v>
      </c>
      <c r="AF51" s="55">
        <v>1</v>
      </c>
      <c r="AG51" s="55">
        <v>1</v>
      </c>
      <c r="AH51" s="55">
        <v>1</v>
      </c>
      <c r="AI51" s="55">
        <v>1</v>
      </c>
      <c r="AJ51" s="39" t="s">
        <v>104</v>
      </c>
      <c r="AK51" s="40">
        <v>2000</v>
      </c>
      <c r="AL51" s="24"/>
      <c r="AM51" s="24"/>
    </row>
    <row r="52" spans="2:39" hidden="1" x14ac:dyDescent="0.2">
      <c r="B52" s="50">
        <v>43690</v>
      </c>
      <c r="C52" s="35">
        <v>0.64513888888888882</v>
      </c>
      <c r="D52" s="35"/>
      <c r="E52" s="35" t="s">
        <v>111</v>
      </c>
      <c r="F52" s="37">
        <v>2</v>
      </c>
      <c r="G52" s="42" t="str">
        <f>VLOOKUP(F52,Key!$A$17:$B$21,2,FALSE)</f>
        <v>Road Vehicle</v>
      </c>
      <c r="H52" s="36">
        <v>1</v>
      </c>
      <c r="I52" s="43" t="str">
        <f>VLOOKUP(H52,Key!$A$2:$B$13,2,FALSE)</f>
        <v>Car</v>
      </c>
      <c r="J52" s="37" t="s">
        <v>166</v>
      </c>
      <c r="K52" s="37">
        <v>3</v>
      </c>
      <c r="L52" s="45" t="str">
        <f>VLOOKUP(K52,Key!$A$24:$B$29,2,FALSE)</f>
        <v>40-49</v>
      </c>
      <c r="M52" s="37" t="s">
        <v>268</v>
      </c>
      <c r="N52" s="32" t="s">
        <v>176</v>
      </c>
      <c r="O52" s="37" t="s">
        <v>168</v>
      </c>
      <c r="P52" s="39">
        <v>1</v>
      </c>
      <c r="Q52" s="34" t="str">
        <f>VLOOKUP(P52,Key!$E$2:$F$9,2,FALSE)</f>
        <v>Home</v>
      </c>
      <c r="R52" s="37" t="s">
        <v>202</v>
      </c>
      <c r="S52" s="32" t="s">
        <v>167</v>
      </c>
      <c r="T52" s="37" t="s">
        <v>168</v>
      </c>
      <c r="U52" s="32">
        <v>8</v>
      </c>
      <c r="V52" s="34" t="str">
        <f>VLOOKUP(U52,Key!$E$2:$F$9,2,FALSE)</f>
        <v>Others</v>
      </c>
      <c r="W52" s="34" t="str">
        <f t="shared" si="0"/>
        <v>Home-Others</v>
      </c>
      <c r="X52" s="47">
        <v>50000</v>
      </c>
      <c r="Y52" s="38">
        <v>40</v>
      </c>
      <c r="Z52" s="38">
        <v>4</v>
      </c>
      <c r="AA52" s="32">
        <v>10</v>
      </c>
      <c r="AB52" s="34" t="str">
        <f>VLOOKUP(AA52,Key!$C$20:$D$29,2,FALSE)</f>
        <v>Other</v>
      </c>
      <c r="AC52" s="32">
        <v>2</v>
      </c>
      <c r="AD52" s="34" t="str">
        <f>VLOOKUP(AC52,Key!$E$20:$F$24,2,FALSE)</f>
        <v>300,000-500,000</v>
      </c>
      <c r="AE52" s="32">
        <v>1</v>
      </c>
      <c r="AF52" s="55">
        <v>1</v>
      </c>
      <c r="AG52" s="55">
        <v>1</v>
      </c>
      <c r="AH52" s="55">
        <v>1</v>
      </c>
      <c r="AI52" s="55">
        <v>2</v>
      </c>
      <c r="AJ52" s="39" t="s">
        <v>104</v>
      </c>
      <c r="AK52" s="40">
        <v>1000</v>
      </c>
      <c r="AL52" s="24"/>
      <c r="AM52" s="24"/>
    </row>
    <row r="53" spans="2:39" hidden="1" x14ac:dyDescent="0.2">
      <c r="B53" s="50">
        <v>43686</v>
      </c>
      <c r="C53" s="35">
        <v>0.63888888888888895</v>
      </c>
      <c r="D53" s="35"/>
      <c r="E53" s="35" t="s">
        <v>111</v>
      </c>
      <c r="F53" s="37">
        <v>2</v>
      </c>
      <c r="G53" s="42" t="str">
        <f>VLOOKUP(F53,Key!$A$17:$B$21,2,FALSE)</f>
        <v>Road Vehicle</v>
      </c>
      <c r="H53" s="36">
        <v>1</v>
      </c>
      <c r="I53" s="43" t="str">
        <f>VLOOKUP(H53,Key!$A$2:$B$13,2,FALSE)</f>
        <v>Car</v>
      </c>
      <c r="J53" s="37" t="s">
        <v>123</v>
      </c>
      <c r="K53" s="13">
        <v>3</v>
      </c>
      <c r="L53" s="45" t="str">
        <f>VLOOKUP(K53,Key!$A$24:$B$29,2,FALSE)</f>
        <v>40-49</v>
      </c>
      <c r="M53" s="44" t="s">
        <v>179</v>
      </c>
      <c r="N53" s="32" t="s">
        <v>179</v>
      </c>
      <c r="O53" s="37" t="s">
        <v>168</v>
      </c>
      <c r="P53" s="39">
        <v>1</v>
      </c>
      <c r="Q53" s="34" t="str">
        <f>VLOOKUP(P53,Key!$E$2:$F$9,2,FALSE)</f>
        <v>Home</v>
      </c>
      <c r="R53" s="37" t="s">
        <v>167</v>
      </c>
      <c r="S53" s="32" t="s">
        <v>167</v>
      </c>
      <c r="T53" s="37" t="s">
        <v>168</v>
      </c>
      <c r="U53" s="32">
        <v>2</v>
      </c>
      <c r="V53" s="34" t="str">
        <f>VLOOKUP(U53,Key!$E$2:$F$9,2,FALSE)</f>
        <v>Work</v>
      </c>
      <c r="W53" s="34" t="str">
        <f t="shared" si="0"/>
        <v>Home-Work</v>
      </c>
      <c r="X53" s="47">
        <v>25000</v>
      </c>
      <c r="Y53" s="38">
        <v>42</v>
      </c>
      <c r="Z53" s="38">
        <v>1</v>
      </c>
      <c r="AA53" s="32">
        <v>7</v>
      </c>
      <c r="AB53" s="34" t="str">
        <f>VLOOKUP(AA53,Key!$C$20:$D$29,2,FALSE)</f>
        <v>Farmer</v>
      </c>
      <c r="AC53" s="32">
        <v>2</v>
      </c>
      <c r="AD53" s="34" t="str">
        <f>VLOOKUP(AC53,Key!$E$20:$F$24,2,FALSE)</f>
        <v>300,000-500,000</v>
      </c>
      <c r="AE53" s="32">
        <v>2</v>
      </c>
      <c r="AF53" s="55">
        <v>3</v>
      </c>
      <c r="AG53" s="55">
        <v>4</v>
      </c>
      <c r="AH53" s="55">
        <v>1</v>
      </c>
      <c r="AI53" s="55">
        <v>5</v>
      </c>
      <c r="AJ53" s="39" t="s">
        <v>104</v>
      </c>
      <c r="AK53" s="40"/>
      <c r="AL53" s="24"/>
      <c r="AM53" s="24"/>
    </row>
    <row r="54" spans="2:39" hidden="1" x14ac:dyDescent="0.2">
      <c r="B54" s="50">
        <v>43687</v>
      </c>
      <c r="C54" s="35">
        <v>0.3979166666666667</v>
      </c>
      <c r="D54" s="35"/>
      <c r="E54" s="35" t="s">
        <v>111</v>
      </c>
      <c r="F54" s="37">
        <v>2</v>
      </c>
      <c r="G54" s="42" t="str">
        <f>VLOOKUP(F54,Key!$A$17:$B$21,2,FALSE)</f>
        <v>Road Vehicle</v>
      </c>
      <c r="H54" s="36">
        <v>1</v>
      </c>
      <c r="I54" s="43" t="str">
        <f>VLOOKUP(H54,Key!$A$2:$B$13,2,FALSE)</f>
        <v>Car</v>
      </c>
      <c r="J54" s="37" t="s">
        <v>123</v>
      </c>
      <c r="K54" s="37">
        <v>3</v>
      </c>
      <c r="L54" s="45" t="str">
        <f>VLOOKUP(K54,Key!$A$24:$B$29,2,FALSE)</f>
        <v>40-49</v>
      </c>
      <c r="M54" s="37" t="s">
        <v>179</v>
      </c>
      <c r="N54" s="32" t="s">
        <v>179</v>
      </c>
      <c r="O54" s="37" t="s">
        <v>168</v>
      </c>
      <c r="P54" s="39">
        <v>1</v>
      </c>
      <c r="Q54" s="34" t="str">
        <f>VLOOKUP(P54,Key!$E$2:$F$9,2,FALSE)</f>
        <v>Home</v>
      </c>
      <c r="R54" s="37" t="s">
        <v>167</v>
      </c>
      <c r="S54" s="32" t="s">
        <v>167</v>
      </c>
      <c r="T54" s="37" t="s">
        <v>168</v>
      </c>
      <c r="U54" s="32">
        <v>2</v>
      </c>
      <c r="V54" s="34" t="str">
        <f>VLOOKUP(U54,Key!$E$2:$F$9,2,FALSE)</f>
        <v>Work</v>
      </c>
      <c r="W54" s="34" t="str">
        <f t="shared" si="0"/>
        <v>Home-Work</v>
      </c>
      <c r="X54" s="47">
        <v>25000</v>
      </c>
      <c r="Y54" s="38">
        <v>42</v>
      </c>
      <c r="Z54" s="38">
        <v>1</v>
      </c>
      <c r="AA54" s="32">
        <v>4</v>
      </c>
      <c r="AB54" s="34" t="str">
        <f>VLOOKUP(AA54,Key!$C$20:$D$29,2,FALSE)</f>
        <v>Office Worker</v>
      </c>
      <c r="AC54" s="32">
        <v>4</v>
      </c>
      <c r="AD54" s="34" t="str">
        <f>VLOOKUP(AC54,Key!$E$20:$F$24,2,FALSE)</f>
        <v>750,000-1,000,000</v>
      </c>
      <c r="AE54" s="32">
        <v>3</v>
      </c>
      <c r="AF54" s="55">
        <v>2</v>
      </c>
      <c r="AG54" s="55">
        <v>4</v>
      </c>
      <c r="AH54" s="55">
        <v>1</v>
      </c>
      <c r="AI54" s="55">
        <v>5</v>
      </c>
      <c r="AJ54" s="39" t="s">
        <v>104</v>
      </c>
      <c r="AK54" s="40">
        <v>10000</v>
      </c>
      <c r="AL54" s="24"/>
      <c r="AM54" s="24"/>
    </row>
    <row r="55" spans="2:39" hidden="1" x14ac:dyDescent="0.2">
      <c r="B55" s="50">
        <v>43687</v>
      </c>
      <c r="C55" s="35">
        <v>0.75347222222222221</v>
      </c>
      <c r="D55" s="35"/>
      <c r="E55" s="35" t="s">
        <v>111</v>
      </c>
      <c r="F55" s="37">
        <v>2</v>
      </c>
      <c r="G55" s="42" t="str">
        <f>VLOOKUP(F55,Key!$A$17:$B$21,2,FALSE)</f>
        <v>Road Vehicle</v>
      </c>
      <c r="H55" s="36">
        <v>1</v>
      </c>
      <c r="I55" s="43" t="str">
        <f>VLOOKUP(H55,Key!$A$2:$B$13,2,FALSE)</f>
        <v>Car</v>
      </c>
      <c r="J55" s="37" t="s">
        <v>166</v>
      </c>
      <c r="K55" s="37">
        <v>3</v>
      </c>
      <c r="L55" s="45" t="str">
        <f>VLOOKUP(K55,Key!$A$24:$B$29,2,FALSE)</f>
        <v>40-49</v>
      </c>
      <c r="M55" s="37" t="s">
        <v>179</v>
      </c>
      <c r="N55" s="32" t="s">
        <v>179</v>
      </c>
      <c r="O55" s="37" t="s">
        <v>168</v>
      </c>
      <c r="P55" s="39">
        <v>4</v>
      </c>
      <c r="Q55" s="34" t="str">
        <f>VLOOKUP(P55,Key!$E$2:$F$9,2,FALSE)</f>
        <v>Commercial</v>
      </c>
      <c r="R55" s="37" t="s">
        <v>211</v>
      </c>
      <c r="S55" s="32" t="s">
        <v>167</v>
      </c>
      <c r="T55" s="37" t="s">
        <v>168</v>
      </c>
      <c r="U55" s="32">
        <v>4</v>
      </c>
      <c r="V55" s="34" t="str">
        <f>VLOOKUP(U55,Key!$E$2:$F$9,2,FALSE)</f>
        <v>Commercial</v>
      </c>
      <c r="W55" s="34" t="str">
        <f t="shared" si="0"/>
        <v>Commercial-Commercial</v>
      </c>
      <c r="X55" s="47">
        <v>30000</v>
      </c>
      <c r="Y55" s="38">
        <v>43</v>
      </c>
      <c r="Z55" s="38">
        <v>1.5</v>
      </c>
      <c r="AA55" s="32">
        <v>6</v>
      </c>
      <c r="AB55" s="34" t="str">
        <f>VLOOKUP(AA55,Key!$C$20:$D$29,2,FALSE)</f>
        <v>Businessman</v>
      </c>
      <c r="AC55" s="32">
        <v>3</v>
      </c>
      <c r="AD55" s="34" t="str">
        <f>VLOOKUP(AC55,Key!$E$20:$F$24,2,FALSE)</f>
        <v>500,000-750,000</v>
      </c>
      <c r="AE55" s="32">
        <v>1</v>
      </c>
      <c r="AF55" s="55">
        <v>2</v>
      </c>
      <c r="AG55" s="55">
        <v>1</v>
      </c>
      <c r="AH55" s="55">
        <v>1</v>
      </c>
      <c r="AI55" s="55">
        <v>1</v>
      </c>
      <c r="AJ55" s="39" t="s">
        <v>104</v>
      </c>
      <c r="AK55" s="40">
        <v>1000</v>
      </c>
      <c r="AL55" s="24"/>
      <c r="AM55" s="24"/>
    </row>
    <row r="56" spans="2:39" hidden="1" x14ac:dyDescent="0.2">
      <c r="B56" s="50">
        <v>43690</v>
      </c>
      <c r="C56" s="35">
        <v>0.62569444444444444</v>
      </c>
      <c r="D56" s="35"/>
      <c r="E56" s="35" t="s">
        <v>111</v>
      </c>
      <c r="F56" s="37">
        <v>2</v>
      </c>
      <c r="G56" s="42" t="str">
        <f>VLOOKUP(F56,Key!$A$17:$B$21,2,FALSE)</f>
        <v>Road Vehicle</v>
      </c>
      <c r="H56" s="36">
        <v>1</v>
      </c>
      <c r="I56" s="43" t="str">
        <f>VLOOKUP(H56,Key!$A$2:$B$13,2,FALSE)</f>
        <v>Car</v>
      </c>
      <c r="J56" s="37" t="s">
        <v>123</v>
      </c>
      <c r="K56" s="37">
        <v>2</v>
      </c>
      <c r="L56" s="45" t="str">
        <f>VLOOKUP(K56,Key!$A$24:$B$29,2,FALSE)</f>
        <v>30-39</v>
      </c>
      <c r="M56" s="37" t="s">
        <v>170</v>
      </c>
      <c r="N56" s="32" t="s">
        <v>170</v>
      </c>
      <c r="O56" s="37" t="s">
        <v>168</v>
      </c>
      <c r="P56" s="39">
        <v>1</v>
      </c>
      <c r="Q56" s="34" t="str">
        <f>VLOOKUP(P56,Key!$E$2:$F$9,2,FALSE)</f>
        <v>Home</v>
      </c>
      <c r="R56" s="37" t="s">
        <v>167</v>
      </c>
      <c r="S56" s="32" t="s">
        <v>167</v>
      </c>
      <c r="T56" s="37" t="s">
        <v>168</v>
      </c>
      <c r="U56" s="32">
        <v>4</v>
      </c>
      <c r="V56" s="34" t="str">
        <f>VLOOKUP(U56,Key!$E$2:$F$9,2,FALSE)</f>
        <v>Commercial</v>
      </c>
      <c r="W56" s="34" t="str">
        <f t="shared" si="0"/>
        <v>Home-Commercial</v>
      </c>
      <c r="X56" s="47">
        <v>20000</v>
      </c>
      <c r="Y56" s="38">
        <v>47</v>
      </c>
      <c r="Z56" s="38">
        <v>1</v>
      </c>
      <c r="AA56" s="32">
        <v>6</v>
      </c>
      <c r="AB56" s="34" t="str">
        <f>VLOOKUP(AA56,Key!$C$20:$D$29,2,FALSE)</f>
        <v>Businessman</v>
      </c>
      <c r="AC56" s="32">
        <v>3</v>
      </c>
      <c r="AD56" s="34" t="str">
        <f>VLOOKUP(AC56,Key!$E$20:$F$24,2,FALSE)</f>
        <v>500,000-750,000</v>
      </c>
      <c r="AE56" s="32">
        <v>2</v>
      </c>
      <c r="AF56" s="55">
        <v>3</v>
      </c>
      <c r="AG56" s="55">
        <v>4</v>
      </c>
      <c r="AH56" s="55">
        <v>1</v>
      </c>
      <c r="AI56" s="55">
        <v>5</v>
      </c>
      <c r="AJ56" s="39" t="s">
        <v>104</v>
      </c>
      <c r="AK56" s="40">
        <v>10000</v>
      </c>
      <c r="AL56" s="24"/>
      <c r="AM56" s="24"/>
    </row>
    <row r="57" spans="2:39" hidden="1" x14ac:dyDescent="0.2">
      <c r="B57" s="50">
        <v>43686</v>
      </c>
      <c r="C57" s="35">
        <v>0.57291666666666663</v>
      </c>
      <c r="D57" s="35"/>
      <c r="E57" s="35" t="s">
        <v>111</v>
      </c>
      <c r="F57" s="37">
        <v>2</v>
      </c>
      <c r="G57" s="42" t="str">
        <f>VLOOKUP(F57,Key!$A$17:$B$21,2,FALSE)</f>
        <v>Road Vehicle</v>
      </c>
      <c r="H57" s="36">
        <v>1</v>
      </c>
      <c r="I57" s="43" t="str">
        <f>VLOOKUP(H57,Key!$A$2:$B$13,2,FALSE)</f>
        <v>Car</v>
      </c>
      <c r="J57" s="37" t="s">
        <v>166</v>
      </c>
      <c r="K57" s="37">
        <v>1</v>
      </c>
      <c r="L57" s="45" t="str">
        <f>VLOOKUP(K57,Key!$A$24:$B$29,2,FALSE)</f>
        <v>20-29</v>
      </c>
      <c r="M57" s="37" t="s">
        <v>216</v>
      </c>
      <c r="N57" s="32" t="s">
        <v>167</v>
      </c>
      <c r="O57" s="37" t="s">
        <v>168</v>
      </c>
      <c r="P57" s="39">
        <v>6</v>
      </c>
      <c r="Q57" s="34" t="str">
        <f>VLOOKUP(P57,Key!$E$2:$F$9,2,FALSE)</f>
        <v>Leisure/Social</v>
      </c>
      <c r="R57" s="37" t="s">
        <v>214</v>
      </c>
      <c r="S57" s="32" t="s">
        <v>205</v>
      </c>
      <c r="T57" s="37" t="s">
        <v>168</v>
      </c>
      <c r="U57" s="32">
        <v>1</v>
      </c>
      <c r="V57" s="34" t="str">
        <f>VLOOKUP(U57,Key!$E$2:$F$9,2,FALSE)</f>
        <v>Home</v>
      </c>
      <c r="W57" s="34" t="str">
        <f t="shared" si="0"/>
        <v>Leisure/Social-Home</v>
      </c>
      <c r="X57" s="47">
        <v>20000</v>
      </c>
      <c r="Y57" s="38">
        <v>50</v>
      </c>
      <c r="Z57" s="38">
        <v>1</v>
      </c>
      <c r="AA57" s="32">
        <v>5</v>
      </c>
      <c r="AB57" s="34" t="str">
        <f>VLOOKUP(AA57,Key!$C$20:$D$29,2,FALSE)</f>
        <v>Professional</v>
      </c>
      <c r="AC57" s="32">
        <v>4</v>
      </c>
      <c r="AD57" s="34" t="str">
        <f>VLOOKUP(AC57,Key!$E$20:$F$24,2,FALSE)</f>
        <v>750,000-1,000,000</v>
      </c>
      <c r="AE57" s="32">
        <v>1</v>
      </c>
      <c r="AF57" s="55">
        <v>1</v>
      </c>
      <c r="AG57" s="55">
        <v>1</v>
      </c>
      <c r="AH57" s="55">
        <v>1</v>
      </c>
      <c r="AI57" s="55">
        <v>1</v>
      </c>
      <c r="AJ57" s="39" t="s">
        <v>104</v>
      </c>
      <c r="AK57" s="40">
        <v>3000</v>
      </c>
      <c r="AL57" s="24"/>
      <c r="AM57" s="24"/>
    </row>
    <row r="58" spans="2:39" hidden="1" x14ac:dyDescent="0.2">
      <c r="B58" s="50">
        <v>43686</v>
      </c>
      <c r="C58" s="35">
        <v>0.57291666666666663</v>
      </c>
      <c r="D58" s="35"/>
      <c r="E58" s="35" t="s">
        <v>111</v>
      </c>
      <c r="F58" s="37">
        <v>2</v>
      </c>
      <c r="G58" s="42" t="str">
        <f>VLOOKUP(F58,Key!$A$17:$B$21,2,FALSE)</f>
        <v>Road Vehicle</v>
      </c>
      <c r="H58" s="36">
        <v>1</v>
      </c>
      <c r="I58" s="43" t="str">
        <f>VLOOKUP(H58,Key!$A$2:$B$13,2,FALSE)</f>
        <v>Car</v>
      </c>
      <c r="J58" s="37" t="s">
        <v>166</v>
      </c>
      <c r="K58" s="37">
        <v>2</v>
      </c>
      <c r="L58" s="45" t="str">
        <f>VLOOKUP(K58,Key!$A$24:$B$29,2,FALSE)</f>
        <v>30-39</v>
      </c>
      <c r="M58" s="37" t="s">
        <v>216</v>
      </c>
      <c r="N58" s="32" t="s">
        <v>167</v>
      </c>
      <c r="O58" s="37" t="s">
        <v>168</v>
      </c>
      <c r="P58" s="39">
        <v>1</v>
      </c>
      <c r="Q58" s="34" t="str">
        <f>VLOOKUP(P58,Key!$E$2:$F$9,2,FALSE)</f>
        <v>Home</v>
      </c>
      <c r="R58" s="37" t="s">
        <v>216</v>
      </c>
      <c r="S58" s="32" t="s">
        <v>167</v>
      </c>
      <c r="T58" s="37" t="s">
        <v>168</v>
      </c>
      <c r="U58" s="32">
        <v>6</v>
      </c>
      <c r="V58" s="34" t="str">
        <f>VLOOKUP(U58,Key!$E$2:$F$9,2,FALSE)</f>
        <v>Leisure/Social</v>
      </c>
      <c r="W58" s="34" t="str">
        <f t="shared" si="0"/>
        <v>Home-Leisure/Social</v>
      </c>
      <c r="X58" s="47">
        <v>25000</v>
      </c>
      <c r="Y58" s="38">
        <v>50</v>
      </c>
      <c r="Z58" s="38">
        <v>1</v>
      </c>
      <c r="AA58" s="32">
        <v>4</v>
      </c>
      <c r="AB58" s="34" t="str">
        <f>VLOOKUP(AA58,Key!$C$20:$D$29,2,FALSE)</f>
        <v>Office Worker</v>
      </c>
      <c r="AC58" s="32">
        <v>3</v>
      </c>
      <c r="AD58" s="34" t="str">
        <f>VLOOKUP(AC58,Key!$E$20:$F$24,2,FALSE)</f>
        <v>500,000-750,000</v>
      </c>
      <c r="AE58" s="32">
        <v>1</v>
      </c>
      <c r="AF58" s="55">
        <v>1</v>
      </c>
      <c r="AG58" s="55">
        <v>2</v>
      </c>
      <c r="AH58" s="55">
        <v>1</v>
      </c>
      <c r="AI58" s="55">
        <v>2</v>
      </c>
      <c r="AJ58" s="39" t="s">
        <v>104</v>
      </c>
      <c r="AK58" s="40"/>
      <c r="AL58" s="24"/>
      <c r="AM58" s="24"/>
    </row>
    <row r="59" spans="2:39" hidden="1" x14ac:dyDescent="0.2">
      <c r="B59" s="50">
        <v>43686</v>
      </c>
      <c r="C59" s="35">
        <v>0.52430555555555558</v>
      </c>
      <c r="D59" s="35"/>
      <c r="E59" s="35" t="s">
        <v>111</v>
      </c>
      <c r="F59" s="37">
        <v>2</v>
      </c>
      <c r="G59" s="42" t="str">
        <f>VLOOKUP(F59,Key!$A$17:$B$21,2,FALSE)</f>
        <v>Road Vehicle</v>
      </c>
      <c r="H59" s="36">
        <v>1</v>
      </c>
      <c r="I59" s="43" t="str">
        <f>VLOOKUP(H59,Key!$A$2:$B$13,2,FALSE)</f>
        <v>Car</v>
      </c>
      <c r="J59" s="37" t="s">
        <v>166</v>
      </c>
      <c r="K59" s="37">
        <v>3</v>
      </c>
      <c r="L59" s="45" t="str">
        <f>VLOOKUP(K59,Key!$A$24:$B$29,2,FALSE)</f>
        <v>40-49</v>
      </c>
      <c r="M59" s="44" t="s">
        <v>207</v>
      </c>
      <c r="N59" s="44" t="s">
        <v>205</v>
      </c>
      <c r="O59" s="37" t="s">
        <v>168</v>
      </c>
      <c r="P59" s="39">
        <v>1</v>
      </c>
      <c r="Q59" s="34" t="str">
        <f>VLOOKUP(P59,Key!$E$2:$F$9,2,FALSE)</f>
        <v>Home</v>
      </c>
      <c r="R59" s="37" t="s">
        <v>208</v>
      </c>
      <c r="S59" s="32" t="s">
        <v>167</v>
      </c>
      <c r="T59" s="37" t="s">
        <v>168</v>
      </c>
      <c r="U59" s="32">
        <v>6</v>
      </c>
      <c r="V59" s="34" t="str">
        <f>VLOOKUP(U59,Key!$E$2:$F$9,2,FALSE)</f>
        <v>Leisure/Social</v>
      </c>
      <c r="W59" s="34" t="str">
        <f t="shared" si="0"/>
        <v>Home-Leisure/Social</v>
      </c>
      <c r="X59" s="47">
        <v>20000</v>
      </c>
      <c r="Y59" s="38">
        <v>50</v>
      </c>
      <c r="Z59" s="38">
        <v>1</v>
      </c>
      <c r="AA59" s="32">
        <v>4</v>
      </c>
      <c r="AB59" s="34" t="str">
        <f>VLOOKUP(AA59,Key!$C$20:$D$29,2,FALSE)</f>
        <v>Office Worker</v>
      </c>
      <c r="AC59" s="32">
        <v>2</v>
      </c>
      <c r="AD59" s="34" t="str">
        <f>VLOOKUP(AC59,Key!$E$20:$F$24,2,FALSE)</f>
        <v>300,000-500,000</v>
      </c>
      <c r="AE59" s="32">
        <v>1</v>
      </c>
      <c r="AF59" s="55">
        <v>1</v>
      </c>
      <c r="AG59" s="55">
        <v>1</v>
      </c>
      <c r="AH59" s="55">
        <v>1</v>
      </c>
      <c r="AI59" s="55">
        <v>2</v>
      </c>
      <c r="AJ59" s="39" t="s">
        <v>104</v>
      </c>
      <c r="AK59" s="40">
        <v>2000</v>
      </c>
      <c r="AL59" s="24"/>
      <c r="AM59" s="24"/>
    </row>
    <row r="60" spans="2:39" hidden="1" x14ac:dyDescent="0.2">
      <c r="B60" s="50">
        <v>43687</v>
      </c>
      <c r="C60" s="35">
        <v>0.36458333333333331</v>
      </c>
      <c r="D60" s="35"/>
      <c r="E60" s="35" t="s">
        <v>111</v>
      </c>
      <c r="F60" s="37">
        <v>2</v>
      </c>
      <c r="G60" s="42" t="str">
        <f>VLOOKUP(F60,Key!$A$17:$B$21,2,FALSE)</f>
        <v>Road Vehicle</v>
      </c>
      <c r="H60" s="36">
        <v>1</v>
      </c>
      <c r="I60" s="43" t="str">
        <f>VLOOKUP(H60,Key!$A$2:$B$13,2,FALSE)</f>
        <v>Car</v>
      </c>
      <c r="J60" s="37" t="s">
        <v>166</v>
      </c>
      <c r="K60" s="37">
        <v>3</v>
      </c>
      <c r="L60" s="45" t="str">
        <f>VLOOKUP(K60,Key!$A$24:$B$29,2,FALSE)</f>
        <v>40-49</v>
      </c>
      <c r="M60" s="44" t="s">
        <v>207</v>
      </c>
      <c r="N60" s="44" t="s">
        <v>205</v>
      </c>
      <c r="O60" s="37" t="s">
        <v>168</v>
      </c>
      <c r="P60" s="39">
        <v>1</v>
      </c>
      <c r="Q60" s="34" t="str">
        <f>VLOOKUP(P60,Key!$E$2:$F$9,2,FALSE)</f>
        <v>Home</v>
      </c>
      <c r="R60" s="37" t="s">
        <v>208</v>
      </c>
      <c r="S60" s="32" t="s">
        <v>167</v>
      </c>
      <c r="T60" s="37" t="s">
        <v>168</v>
      </c>
      <c r="U60" s="32">
        <v>6</v>
      </c>
      <c r="V60" s="34" t="str">
        <f>VLOOKUP(U60,Key!$E$2:$F$9,2,FALSE)</f>
        <v>Leisure/Social</v>
      </c>
      <c r="W60" s="34" t="str">
        <f t="shared" si="0"/>
        <v>Home-Leisure/Social</v>
      </c>
      <c r="X60" s="47">
        <v>20000</v>
      </c>
      <c r="Y60" s="38">
        <v>50</v>
      </c>
      <c r="Z60" s="38">
        <v>1</v>
      </c>
      <c r="AA60" s="32">
        <v>4</v>
      </c>
      <c r="AB60" s="34" t="str">
        <f>VLOOKUP(AA60,Key!$C$20:$D$29,2,FALSE)</f>
        <v>Office Worker</v>
      </c>
      <c r="AC60" s="32">
        <v>4</v>
      </c>
      <c r="AD60" s="34" t="str">
        <f>VLOOKUP(AC60,Key!$E$20:$F$24,2,FALSE)</f>
        <v>750,000-1,000,000</v>
      </c>
      <c r="AE60" s="32">
        <v>1</v>
      </c>
      <c r="AF60" s="55">
        <v>1</v>
      </c>
      <c r="AG60" s="55">
        <v>1</v>
      </c>
      <c r="AH60" s="55">
        <v>1</v>
      </c>
      <c r="AI60" s="55">
        <v>2</v>
      </c>
      <c r="AJ60" s="39" t="s">
        <v>104</v>
      </c>
      <c r="AK60" s="40">
        <v>2000</v>
      </c>
      <c r="AL60" s="24"/>
      <c r="AM60" s="24"/>
    </row>
    <row r="61" spans="2:39" hidden="1" x14ac:dyDescent="0.2">
      <c r="B61" s="50">
        <v>43687</v>
      </c>
      <c r="C61" s="35">
        <v>0.34097222222222223</v>
      </c>
      <c r="D61" s="35"/>
      <c r="E61" s="35" t="s">
        <v>111</v>
      </c>
      <c r="F61" s="37">
        <v>2</v>
      </c>
      <c r="G61" s="42" t="str">
        <f>VLOOKUP(F61,Key!$A$17:$B$21,2,FALSE)</f>
        <v>Road Vehicle</v>
      </c>
      <c r="H61" s="36">
        <v>1</v>
      </c>
      <c r="I61" s="43" t="str">
        <f>VLOOKUP(H61,Key!$A$2:$B$13,2,FALSE)</f>
        <v>Car</v>
      </c>
      <c r="J61" s="37" t="s">
        <v>123</v>
      </c>
      <c r="K61" s="37">
        <v>2</v>
      </c>
      <c r="L61" s="45" t="str">
        <f>VLOOKUP(K61,Key!$A$24:$B$29,2,FALSE)</f>
        <v>30-39</v>
      </c>
      <c r="M61" s="37" t="s">
        <v>293</v>
      </c>
      <c r="N61" s="32" t="s">
        <v>167</v>
      </c>
      <c r="O61" s="37" t="s">
        <v>168</v>
      </c>
      <c r="P61" s="39">
        <v>1</v>
      </c>
      <c r="Q61" s="34" t="str">
        <f>VLOOKUP(P61,Key!$E$2:$F$9,2,FALSE)</f>
        <v>Home</v>
      </c>
      <c r="R61" s="37" t="s">
        <v>279</v>
      </c>
      <c r="S61" s="32" t="s">
        <v>190</v>
      </c>
      <c r="T61" s="37" t="s">
        <v>168</v>
      </c>
      <c r="U61" s="32">
        <v>6</v>
      </c>
      <c r="V61" s="34" t="str">
        <f>VLOOKUP(U61,Key!$E$2:$F$9,2,FALSE)</f>
        <v>Leisure/Social</v>
      </c>
      <c r="W61" s="34" t="str">
        <f t="shared" si="0"/>
        <v>Home-Leisure/Social</v>
      </c>
      <c r="X61" s="47">
        <v>50000</v>
      </c>
      <c r="Y61" s="38">
        <v>50</v>
      </c>
      <c r="Z61" s="38">
        <v>1</v>
      </c>
      <c r="AA61" s="32">
        <v>5</v>
      </c>
      <c r="AB61" s="34" t="str">
        <f>VLOOKUP(AA61,Key!$C$20:$D$29,2,FALSE)</f>
        <v>Professional</v>
      </c>
      <c r="AC61" s="32">
        <v>5</v>
      </c>
      <c r="AD61" s="34" t="str">
        <f>VLOOKUP(AC61,Key!$E$20:$F$24,2,FALSE)</f>
        <v>&gt;1,000,000</v>
      </c>
      <c r="AE61" s="32">
        <v>1</v>
      </c>
      <c r="AF61" s="55">
        <v>2</v>
      </c>
      <c r="AG61" s="55">
        <v>3</v>
      </c>
      <c r="AH61" s="55">
        <v>1</v>
      </c>
      <c r="AI61" s="55">
        <v>5</v>
      </c>
      <c r="AJ61" s="39" t="s">
        <v>104</v>
      </c>
      <c r="AK61" s="40"/>
      <c r="AL61" s="24"/>
      <c r="AM61" s="24"/>
    </row>
    <row r="62" spans="2:39" hidden="1" x14ac:dyDescent="0.2">
      <c r="B62" s="50">
        <v>43687</v>
      </c>
      <c r="C62" s="35">
        <v>0.35347222222222219</v>
      </c>
      <c r="D62" s="35"/>
      <c r="E62" s="35" t="s">
        <v>111</v>
      </c>
      <c r="F62" s="37">
        <v>2</v>
      </c>
      <c r="G62" s="42" t="str">
        <f>VLOOKUP(F62,Key!$A$17:$B$21,2,FALSE)</f>
        <v>Road Vehicle</v>
      </c>
      <c r="H62" s="36">
        <v>1</v>
      </c>
      <c r="I62" s="43" t="str">
        <f>VLOOKUP(H62,Key!$A$2:$B$13,2,FALSE)</f>
        <v>Car</v>
      </c>
      <c r="J62" s="37" t="s">
        <v>123</v>
      </c>
      <c r="K62" s="37">
        <v>1</v>
      </c>
      <c r="L62" s="45" t="str">
        <f>VLOOKUP(K62,Key!$A$24:$B$29,2,FALSE)</f>
        <v>20-29</v>
      </c>
      <c r="M62" s="44" t="s">
        <v>211</v>
      </c>
      <c r="N62" s="44" t="s">
        <v>167</v>
      </c>
      <c r="O62" s="37" t="s">
        <v>168</v>
      </c>
      <c r="P62" s="39">
        <v>6</v>
      </c>
      <c r="Q62" s="34" t="str">
        <f>VLOOKUP(P62,Key!$E$2:$F$9,2,FALSE)</f>
        <v>Leisure/Social</v>
      </c>
      <c r="R62" s="37" t="s">
        <v>212</v>
      </c>
      <c r="S62" s="32" t="s">
        <v>190</v>
      </c>
      <c r="T62" s="37" t="s">
        <v>168</v>
      </c>
      <c r="U62" s="32">
        <v>1</v>
      </c>
      <c r="V62" s="34" t="str">
        <f>VLOOKUP(U62,Key!$E$2:$F$9,2,FALSE)</f>
        <v>Home</v>
      </c>
      <c r="W62" s="34" t="str">
        <f t="shared" si="0"/>
        <v>Leisure/Social-Home</v>
      </c>
      <c r="X62" s="47">
        <v>20000</v>
      </c>
      <c r="Y62" s="38">
        <v>50</v>
      </c>
      <c r="Z62" s="38">
        <v>1.5</v>
      </c>
      <c r="AA62" s="32">
        <v>6</v>
      </c>
      <c r="AB62" s="34" t="str">
        <f>VLOOKUP(AA62,Key!$C$20:$D$29,2,FALSE)</f>
        <v>Businessman</v>
      </c>
      <c r="AC62" s="32">
        <v>2</v>
      </c>
      <c r="AD62" s="34" t="str">
        <f>VLOOKUP(AC62,Key!$E$20:$F$24,2,FALSE)</f>
        <v>300,000-500,000</v>
      </c>
      <c r="AE62" s="32">
        <v>1</v>
      </c>
      <c r="AF62" s="55">
        <v>1</v>
      </c>
      <c r="AG62" s="55">
        <v>1</v>
      </c>
      <c r="AH62" s="55">
        <v>1</v>
      </c>
      <c r="AI62" s="55">
        <v>1</v>
      </c>
      <c r="AJ62" s="39" t="s">
        <v>104</v>
      </c>
      <c r="AK62" s="40">
        <v>2000</v>
      </c>
      <c r="AL62" s="24"/>
      <c r="AM62" s="24"/>
    </row>
    <row r="63" spans="2:39" hidden="1" x14ac:dyDescent="0.2">
      <c r="B63" s="50">
        <v>43687</v>
      </c>
      <c r="C63" s="35">
        <v>0.36458333333333331</v>
      </c>
      <c r="D63" s="35"/>
      <c r="E63" s="35" t="s">
        <v>111</v>
      </c>
      <c r="F63" s="37">
        <v>2</v>
      </c>
      <c r="G63" s="42" t="str">
        <f>VLOOKUP(F63,Key!$A$17:$B$21,2,FALSE)</f>
        <v>Road Vehicle</v>
      </c>
      <c r="H63" s="36">
        <v>1</v>
      </c>
      <c r="I63" s="43" t="str">
        <f>VLOOKUP(H63,Key!$A$2:$B$13,2,FALSE)</f>
        <v>Car</v>
      </c>
      <c r="J63" s="37" t="s">
        <v>123</v>
      </c>
      <c r="K63" s="37">
        <v>1</v>
      </c>
      <c r="L63" s="45" t="str">
        <f>VLOOKUP(K63,Key!$A$24:$B$29,2,FALSE)</f>
        <v>20-29</v>
      </c>
      <c r="M63" s="37" t="s">
        <v>211</v>
      </c>
      <c r="N63" s="32" t="s">
        <v>167</v>
      </c>
      <c r="O63" s="37" t="s">
        <v>168</v>
      </c>
      <c r="P63" s="39">
        <v>1</v>
      </c>
      <c r="Q63" s="34" t="str">
        <f>VLOOKUP(P63,Key!$E$2:$F$9,2,FALSE)</f>
        <v>Home</v>
      </c>
      <c r="R63" s="37" t="s">
        <v>274</v>
      </c>
      <c r="S63" s="32" t="s">
        <v>190</v>
      </c>
      <c r="T63" s="37" t="s">
        <v>168</v>
      </c>
      <c r="U63" s="32">
        <v>6</v>
      </c>
      <c r="V63" s="34" t="str">
        <f>VLOOKUP(U63,Key!$E$2:$F$9,2,FALSE)</f>
        <v>Leisure/Social</v>
      </c>
      <c r="W63" s="34" t="str">
        <f t="shared" si="0"/>
        <v>Home-Leisure/Social</v>
      </c>
      <c r="X63" s="47">
        <v>20000</v>
      </c>
      <c r="Y63" s="38">
        <v>50</v>
      </c>
      <c r="Z63" s="38">
        <v>1.5</v>
      </c>
      <c r="AA63" s="32">
        <v>6</v>
      </c>
      <c r="AB63" s="34" t="str">
        <f>VLOOKUP(AA63,Key!$C$20:$D$29,2,FALSE)</f>
        <v>Businessman</v>
      </c>
      <c r="AC63" s="32">
        <v>2</v>
      </c>
      <c r="AD63" s="34" t="str">
        <f>VLOOKUP(AC63,Key!$E$20:$F$24,2,FALSE)</f>
        <v>300,000-500,000</v>
      </c>
      <c r="AE63" s="32">
        <v>1</v>
      </c>
      <c r="AF63" s="55">
        <v>1</v>
      </c>
      <c r="AG63" s="55">
        <v>1</v>
      </c>
      <c r="AH63" s="55">
        <v>1</v>
      </c>
      <c r="AI63" s="55">
        <v>1</v>
      </c>
      <c r="AJ63" s="39" t="s">
        <v>104</v>
      </c>
      <c r="AK63" s="40"/>
      <c r="AL63" s="24"/>
      <c r="AM63" s="24"/>
    </row>
    <row r="64" spans="2:39" hidden="1" x14ac:dyDescent="0.2">
      <c r="B64" s="50">
        <v>43687</v>
      </c>
      <c r="C64" s="35">
        <v>0.47222222222222227</v>
      </c>
      <c r="D64" s="35"/>
      <c r="E64" s="35" t="s">
        <v>111</v>
      </c>
      <c r="F64" s="37">
        <v>2</v>
      </c>
      <c r="G64" s="42" t="str">
        <f>VLOOKUP(F64,Key!$A$17:$B$21,2,FALSE)</f>
        <v>Road Vehicle</v>
      </c>
      <c r="H64" s="36">
        <v>1</v>
      </c>
      <c r="I64" s="43" t="str">
        <f>VLOOKUP(H64,Key!$A$2:$B$13,2,FALSE)</f>
        <v>Car</v>
      </c>
      <c r="J64" s="37" t="s">
        <v>123</v>
      </c>
      <c r="K64" s="37">
        <v>1</v>
      </c>
      <c r="L64" s="45" t="str">
        <f>VLOOKUP(K64,Key!$A$24:$B$29,2,FALSE)</f>
        <v>20-29</v>
      </c>
      <c r="M64" s="37" t="s">
        <v>211</v>
      </c>
      <c r="N64" s="32" t="s">
        <v>167</v>
      </c>
      <c r="O64" s="37" t="s">
        <v>168</v>
      </c>
      <c r="P64" s="39">
        <v>1</v>
      </c>
      <c r="Q64" s="34" t="str">
        <f>VLOOKUP(P64,Key!$E$2:$F$9,2,FALSE)</f>
        <v>Home</v>
      </c>
      <c r="R64" s="37" t="s">
        <v>214</v>
      </c>
      <c r="S64" s="32" t="s">
        <v>205</v>
      </c>
      <c r="T64" s="37" t="s">
        <v>168</v>
      </c>
      <c r="U64" s="32">
        <v>7</v>
      </c>
      <c r="V64" s="34" t="str">
        <f>VLOOKUP(U64,Key!$E$2:$F$9,2,FALSE)</f>
        <v>Hospital</v>
      </c>
      <c r="W64" s="34" t="str">
        <f t="shared" si="0"/>
        <v>Home-Hospital</v>
      </c>
      <c r="X64" s="47">
        <v>30000</v>
      </c>
      <c r="Y64" s="38">
        <v>50</v>
      </c>
      <c r="Z64" s="38">
        <v>1.5</v>
      </c>
      <c r="AA64" s="32">
        <v>3</v>
      </c>
      <c r="AB64" s="34" t="str">
        <f>VLOOKUP(AA64,Key!$C$20:$D$29,2,FALSE)</f>
        <v>Artisan/Domestic</v>
      </c>
      <c r="AC64" s="32">
        <v>2</v>
      </c>
      <c r="AD64" s="34" t="str">
        <f>VLOOKUP(AC64,Key!$E$20:$F$24,2,FALSE)</f>
        <v>300,000-500,000</v>
      </c>
      <c r="AE64" s="32">
        <v>1</v>
      </c>
      <c r="AF64" s="55">
        <v>1</v>
      </c>
      <c r="AG64" s="55">
        <v>1</v>
      </c>
      <c r="AH64" s="55">
        <v>1</v>
      </c>
      <c r="AI64" s="55">
        <v>1</v>
      </c>
      <c r="AJ64" s="39" t="s">
        <v>104</v>
      </c>
      <c r="AK64" s="40">
        <v>2000</v>
      </c>
      <c r="AL64" s="24"/>
      <c r="AM64" s="24"/>
    </row>
    <row r="65" spans="2:39" hidden="1" x14ac:dyDescent="0.2">
      <c r="B65" s="50">
        <v>43687</v>
      </c>
      <c r="C65" s="35">
        <v>0.50347222222222221</v>
      </c>
      <c r="D65" s="35"/>
      <c r="E65" s="35" t="s">
        <v>111</v>
      </c>
      <c r="F65" s="37">
        <v>2</v>
      </c>
      <c r="G65" s="42" t="str">
        <f>VLOOKUP(F65,Key!$A$17:$B$21,2,FALSE)</f>
        <v>Road Vehicle</v>
      </c>
      <c r="H65" s="36">
        <v>1</v>
      </c>
      <c r="I65" s="43" t="str">
        <f>VLOOKUP(H65,Key!$A$2:$B$13,2,FALSE)</f>
        <v>Car</v>
      </c>
      <c r="J65" s="37" t="s">
        <v>123</v>
      </c>
      <c r="K65" s="37">
        <v>2</v>
      </c>
      <c r="L65" s="45" t="str">
        <f>VLOOKUP(K65,Key!$A$24:$B$29,2,FALSE)</f>
        <v>30-39</v>
      </c>
      <c r="M65" s="37" t="s">
        <v>291</v>
      </c>
      <c r="N65" s="32" t="s">
        <v>190</v>
      </c>
      <c r="O65" s="37" t="s">
        <v>168</v>
      </c>
      <c r="P65" s="39">
        <v>1</v>
      </c>
      <c r="Q65" s="34" t="str">
        <f>VLOOKUP(P65,Key!$E$2:$F$9,2,FALSE)</f>
        <v>Home</v>
      </c>
      <c r="R65" s="37" t="s">
        <v>292</v>
      </c>
      <c r="S65" s="32" t="s">
        <v>167</v>
      </c>
      <c r="T65" s="37" t="s">
        <v>168</v>
      </c>
      <c r="U65" s="32">
        <v>6</v>
      </c>
      <c r="V65" s="34" t="str">
        <f>VLOOKUP(U65,Key!$E$2:$F$9,2,FALSE)</f>
        <v>Leisure/Social</v>
      </c>
      <c r="W65" s="34" t="str">
        <f t="shared" si="0"/>
        <v>Home-Leisure/Social</v>
      </c>
      <c r="X65" s="47">
        <v>40000</v>
      </c>
      <c r="Y65" s="38">
        <v>50</v>
      </c>
      <c r="Z65" s="38">
        <v>1.5</v>
      </c>
      <c r="AA65" s="32">
        <v>4</v>
      </c>
      <c r="AB65" s="34" t="str">
        <f>VLOOKUP(AA65,Key!$C$20:$D$29,2,FALSE)</f>
        <v>Office Worker</v>
      </c>
      <c r="AC65" s="32">
        <v>5</v>
      </c>
      <c r="AD65" s="34" t="str">
        <f>VLOOKUP(AC65,Key!$E$20:$F$24,2,FALSE)</f>
        <v>&gt;1,000,000</v>
      </c>
      <c r="AE65" s="32">
        <v>1</v>
      </c>
      <c r="AF65" s="55">
        <v>1</v>
      </c>
      <c r="AG65" s="55">
        <v>1</v>
      </c>
      <c r="AH65" s="55">
        <v>1</v>
      </c>
      <c r="AI65" s="55">
        <v>1</v>
      </c>
      <c r="AJ65" s="39" t="s">
        <v>104</v>
      </c>
      <c r="AK65" s="40">
        <v>5000</v>
      </c>
      <c r="AL65" s="24"/>
      <c r="AM65" s="24"/>
    </row>
    <row r="66" spans="2:39" hidden="1" x14ac:dyDescent="0.2">
      <c r="B66" s="50">
        <v>43687</v>
      </c>
      <c r="C66" s="35">
        <v>0.64027777777777783</v>
      </c>
      <c r="D66" s="35"/>
      <c r="E66" s="35" t="s">
        <v>111</v>
      </c>
      <c r="F66" s="37">
        <v>2</v>
      </c>
      <c r="G66" s="42" t="str">
        <f>VLOOKUP(F66,Key!$A$17:$B$21,2,FALSE)</f>
        <v>Road Vehicle</v>
      </c>
      <c r="H66" s="36">
        <v>1</v>
      </c>
      <c r="I66" s="43" t="str">
        <f>VLOOKUP(H66,Key!$A$2:$B$13,2,FALSE)</f>
        <v>Car</v>
      </c>
      <c r="J66" s="37" t="s">
        <v>123</v>
      </c>
      <c r="K66" s="37">
        <v>3</v>
      </c>
      <c r="L66" s="45" t="str">
        <f>VLOOKUP(K66,Key!$A$24:$B$29,2,FALSE)</f>
        <v>40-49</v>
      </c>
      <c r="M66" s="37" t="s">
        <v>189</v>
      </c>
      <c r="N66" s="32" t="s">
        <v>190</v>
      </c>
      <c r="O66" s="37" t="s">
        <v>168</v>
      </c>
      <c r="P66" s="39">
        <v>1</v>
      </c>
      <c r="Q66" s="34" t="str">
        <f>VLOOKUP(P66,Key!$E$2:$F$9,2,FALSE)</f>
        <v>Home</v>
      </c>
      <c r="R66" s="37" t="s">
        <v>216</v>
      </c>
      <c r="S66" s="32" t="s">
        <v>167</v>
      </c>
      <c r="T66" s="37" t="s">
        <v>168</v>
      </c>
      <c r="U66" s="32">
        <v>6</v>
      </c>
      <c r="V66" s="34" t="str">
        <f>VLOOKUP(U66,Key!$E$2:$F$9,2,FALSE)</f>
        <v>Leisure/Social</v>
      </c>
      <c r="W66" s="34" t="str">
        <f t="shared" si="0"/>
        <v>Home-Leisure/Social</v>
      </c>
      <c r="X66" s="47">
        <v>30000</v>
      </c>
      <c r="Y66" s="38">
        <v>50</v>
      </c>
      <c r="Z66" s="38">
        <v>1.5</v>
      </c>
      <c r="AA66" s="32">
        <v>5</v>
      </c>
      <c r="AB66" s="34" t="str">
        <f>VLOOKUP(AA66,Key!$C$20:$D$29,2,FALSE)</f>
        <v>Professional</v>
      </c>
      <c r="AC66" s="32">
        <v>5</v>
      </c>
      <c r="AD66" s="34" t="str">
        <f>VLOOKUP(AC66,Key!$E$20:$F$24,2,FALSE)</f>
        <v>&gt;1,000,000</v>
      </c>
      <c r="AE66" s="32">
        <v>1</v>
      </c>
      <c r="AF66" s="55">
        <v>1</v>
      </c>
      <c r="AG66" s="55">
        <v>1</v>
      </c>
      <c r="AH66" s="55">
        <v>1</v>
      </c>
      <c r="AI66" s="55">
        <v>3</v>
      </c>
      <c r="AJ66" s="39" t="s">
        <v>104</v>
      </c>
      <c r="AK66" s="40">
        <v>2000</v>
      </c>
      <c r="AL66" s="24"/>
      <c r="AM66" s="24"/>
    </row>
    <row r="67" spans="2:39" hidden="1" x14ac:dyDescent="0.2">
      <c r="B67" s="50">
        <v>43687</v>
      </c>
      <c r="C67" s="35">
        <v>0.60277777777777775</v>
      </c>
      <c r="D67" s="35"/>
      <c r="E67" s="35" t="s">
        <v>111</v>
      </c>
      <c r="F67" s="37">
        <v>2</v>
      </c>
      <c r="G67" s="42" t="str">
        <f>VLOOKUP(F67,Key!$A$17:$B$21,2,FALSE)</f>
        <v>Road Vehicle</v>
      </c>
      <c r="H67" s="36">
        <v>1</v>
      </c>
      <c r="I67" s="43" t="str">
        <f>VLOOKUP(H67,Key!$A$2:$B$13,2,FALSE)</f>
        <v>Car</v>
      </c>
      <c r="J67" s="37" t="s">
        <v>166</v>
      </c>
      <c r="K67" s="37">
        <v>2</v>
      </c>
      <c r="L67" s="45" t="str">
        <f>VLOOKUP(K67,Key!$A$24:$B$29,2,FALSE)</f>
        <v>30-39</v>
      </c>
      <c r="M67" s="37" t="s">
        <v>251</v>
      </c>
      <c r="N67" s="32" t="s">
        <v>251</v>
      </c>
      <c r="O67" s="37" t="s">
        <v>168</v>
      </c>
      <c r="P67" s="39">
        <v>1</v>
      </c>
      <c r="Q67" s="34" t="str">
        <f>VLOOKUP(P67,Key!$E$2:$F$9,2,FALSE)</f>
        <v>Home</v>
      </c>
      <c r="R67" s="37" t="s">
        <v>235</v>
      </c>
      <c r="S67" s="32" t="s">
        <v>167</v>
      </c>
      <c r="T67" s="37" t="s">
        <v>168</v>
      </c>
      <c r="U67" s="32">
        <v>7</v>
      </c>
      <c r="V67" s="34" t="str">
        <f>VLOOKUP(U67,Key!$E$2:$F$9,2,FALSE)</f>
        <v>Hospital</v>
      </c>
      <c r="W67" s="34" t="str">
        <f t="shared" si="0"/>
        <v>Home-Hospital</v>
      </c>
      <c r="X67" s="47">
        <v>30000</v>
      </c>
      <c r="Y67" s="38">
        <v>50</v>
      </c>
      <c r="Z67" s="38">
        <v>2</v>
      </c>
      <c r="AA67" s="32">
        <v>6</v>
      </c>
      <c r="AB67" s="34" t="str">
        <f>VLOOKUP(AA67,Key!$C$20:$D$29,2,FALSE)</f>
        <v>Businessman</v>
      </c>
      <c r="AC67" s="32">
        <v>2</v>
      </c>
      <c r="AD67" s="34" t="str">
        <f>VLOOKUP(AC67,Key!$E$20:$F$24,2,FALSE)</f>
        <v>300,000-500,000</v>
      </c>
      <c r="AE67" s="32">
        <v>1</v>
      </c>
      <c r="AF67" s="55">
        <v>2</v>
      </c>
      <c r="AG67" s="55">
        <v>1</v>
      </c>
      <c r="AH67" s="55">
        <v>1</v>
      </c>
      <c r="AI67" s="55">
        <v>2</v>
      </c>
      <c r="AJ67" s="39" t="s">
        <v>104</v>
      </c>
      <c r="AK67" s="40">
        <v>1000</v>
      </c>
      <c r="AL67" s="24"/>
      <c r="AM67" s="24"/>
    </row>
    <row r="68" spans="2:39" hidden="1" x14ac:dyDescent="0.2">
      <c r="B68" s="50">
        <v>43687</v>
      </c>
      <c r="C68" s="35">
        <v>0.72916666666666663</v>
      </c>
      <c r="D68" s="35"/>
      <c r="E68" s="35" t="s">
        <v>111</v>
      </c>
      <c r="F68" s="37">
        <v>2</v>
      </c>
      <c r="G68" s="42" t="str">
        <f>VLOOKUP(F68,Key!$A$17:$B$21,2,FALSE)</f>
        <v>Road Vehicle</v>
      </c>
      <c r="H68" s="36">
        <v>1</v>
      </c>
      <c r="I68" s="43" t="str">
        <f>VLOOKUP(H68,Key!$A$2:$B$13,2,FALSE)</f>
        <v>Car</v>
      </c>
      <c r="J68" s="37" t="s">
        <v>166</v>
      </c>
      <c r="K68" s="37">
        <v>3</v>
      </c>
      <c r="L68" s="45" t="str">
        <f>VLOOKUP(K68,Key!$A$24:$B$29,2,FALSE)</f>
        <v>40-49</v>
      </c>
      <c r="M68" s="37" t="s">
        <v>31</v>
      </c>
      <c r="N68" s="32" t="s">
        <v>190</v>
      </c>
      <c r="O68" s="37" t="s">
        <v>168</v>
      </c>
      <c r="P68" s="39">
        <v>6</v>
      </c>
      <c r="Q68" s="34" t="str">
        <f>VLOOKUP(P68,Key!$E$2:$F$9,2,FALSE)</f>
        <v>Leisure/Social</v>
      </c>
      <c r="R68" s="37" t="s">
        <v>211</v>
      </c>
      <c r="S68" s="32" t="s">
        <v>167</v>
      </c>
      <c r="T68" s="37" t="s">
        <v>168</v>
      </c>
      <c r="U68" s="32">
        <v>1</v>
      </c>
      <c r="V68" s="34" t="str">
        <f>VLOOKUP(U68,Key!$E$2:$F$9,2,FALSE)</f>
        <v>Home</v>
      </c>
      <c r="W68" s="34" t="str">
        <f t="shared" si="0"/>
        <v>Leisure/Social-Home</v>
      </c>
      <c r="X68" s="47">
        <v>50000</v>
      </c>
      <c r="Y68" s="38">
        <v>50</v>
      </c>
      <c r="Z68" s="38">
        <v>3</v>
      </c>
      <c r="AA68" s="32">
        <v>4</v>
      </c>
      <c r="AB68" s="34" t="str">
        <f>VLOOKUP(AA68,Key!$C$20:$D$29,2,FALSE)</f>
        <v>Office Worker</v>
      </c>
      <c r="AC68" s="32">
        <v>2</v>
      </c>
      <c r="AD68" s="34" t="str">
        <f>VLOOKUP(AC68,Key!$E$20:$F$24,2,FALSE)</f>
        <v>300,000-500,000</v>
      </c>
      <c r="AE68" s="32">
        <v>1</v>
      </c>
      <c r="AF68" s="55">
        <v>1</v>
      </c>
      <c r="AG68" s="55">
        <v>2</v>
      </c>
      <c r="AH68" s="55">
        <v>1</v>
      </c>
      <c r="AI68" s="55">
        <v>1</v>
      </c>
      <c r="AJ68" s="39" t="s">
        <v>104</v>
      </c>
      <c r="AK68" s="40">
        <v>1000</v>
      </c>
      <c r="AL68" s="24"/>
      <c r="AM68" s="24"/>
    </row>
    <row r="69" spans="2:39" x14ac:dyDescent="0.2">
      <c r="B69" s="50">
        <v>43686</v>
      </c>
      <c r="C69" s="35">
        <v>0.66180555555555554</v>
      </c>
      <c r="D69" s="35"/>
      <c r="E69" s="35" t="s">
        <v>111</v>
      </c>
      <c r="F69" s="37">
        <v>2</v>
      </c>
      <c r="G69" s="42" t="str">
        <f>VLOOKUP(F69,Key!$A$17:$B$21,2,FALSE)</f>
        <v>Road Vehicle</v>
      </c>
      <c r="H69" s="36">
        <v>1</v>
      </c>
      <c r="I69" s="43" t="str">
        <f>VLOOKUP(H69,Key!$A$2:$B$13,2,FALSE)</f>
        <v>Car</v>
      </c>
      <c r="J69" s="37" t="s">
        <v>166</v>
      </c>
      <c r="K69" s="37">
        <v>1</v>
      </c>
      <c r="L69" s="45" t="str">
        <f>VLOOKUP(K69,Key!$A$24:$B$29,2,FALSE)</f>
        <v>20-29</v>
      </c>
      <c r="M69" s="37" t="s">
        <v>335</v>
      </c>
      <c r="N69" s="32" t="s">
        <v>188</v>
      </c>
      <c r="O69" s="37" t="s">
        <v>168</v>
      </c>
      <c r="P69" s="39">
        <v>1</v>
      </c>
      <c r="Q69" s="34" t="str">
        <f>VLOOKUP(P69,Key!$E$2:$F$9,2,FALSE)</f>
        <v>Home</v>
      </c>
      <c r="R69" s="37" t="s">
        <v>282</v>
      </c>
      <c r="S69" s="32" t="s">
        <v>167</v>
      </c>
      <c r="T69" s="37" t="s">
        <v>168</v>
      </c>
      <c r="U69" s="32">
        <v>5</v>
      </c>
      <c r="V69" s="34" t="str">
        <f>VLOOKUP(U69,Key!$E$2:$F$9,2,FALSE)</f>
        <v>Tourism</v>
      </c>
      <c r="W69" s="34" t="str">
        <f t="shared" si="0"/>
        <v>Home-Tourism</v>
      </c>
      <c r="X69" s="47">
        <v>60000</v>
      </c>
      <c r="Y69" s="38">
        <v>100</v>
      </c>
      <c r="Z69" s="38">
        <v>3</v>
      </c>
      <c r="AA69" s="32">
        <v>4</v>
      </c>
      <c r="AB69" s="34" t="str">
        <f>VLOOKUP(AA69,Key!$C$20:$D$29,2,FALSE)</f>
        <v>Office Worker</v>
      </c>
      <c r="AC69" s="32">
        <v>3</v>
      </c>
      <c r="AD69" s="34" t="str">
        <f>VLOOKUP(AC69,Key!$E$20:$F$24,2,FALSE)</f>
        <v>500,000-750,000</v>
      </c>
      <c r="AE69" s="32">
        <v>1</v>
      </c>
      <c r="AF69" s="55">
        <v>1</v>
      </c>
      <c r="AG69" s="55">
        <v>1</v>
      </c>
      <c r="AH69" s="55">
        <v>1</v>
      </c>
      <c r="AI69" s="55">
        <v>1</v>
      </c>
      <c r="AJ69" s="39" t="s">
        <v>104</v>
      </c>
      <c r="AK69" s="40">
        <v>2000</v>
      </c>
      <c r="AL69" s="24"/>
      <c r="AM69" s="24"/>
    </row>
    <row r="70" spans="2:39" x14ac:dyDescent="0.2">
      <c r="B70" s="50">
        <v>43686</v>
      </c>
      <c r="C70" s="35">
        <v>0.72569444444444453</v>
      </c>
      <c r="D70" s="35"/>
      <c r="E70" s="35" t="s">
        <v>111</v>
      </c>
      <c r="F70" s="37">
        <v>2</v>
      </c>
      <c r="G70" s="42" t="str">
        <f>VLOOKUP(F70,Key!$A$17:$B$21,2,FALSE)</f>
        <v>Road Vehicle</v>
      </c>
      <c r="H70" s="36">
        <v>1</v>
      </c>
      <c r="I70" s="43" t="str">
        <f>VLOOKUP(H70,Key!$A$2:$B$13,2,FALSE)</f>
        <v>Car</v>
      </c>
      <c r="J70" s="37" t="s">
        <v>166</v>
      </c>
      <c r="K70" s="37">
        <v>2</v>
      </c>
      <c r="L70" s="45" t="str">
        <f>VLOOKUP(K70,Key!$A$24:$B$29,2,FALSE)</f>
        <v>30-39</v>
      </c>
      <c r="M70" s="37" t="s">
        <v>208</v>
      </c>
      <c r="N70" s="32" t="s">
        <v>167</v>
      </c>
      <c r="O70" s="37" t="s">
        <v>168</v>
      </c>
      <c r="P70" s="39">
        <v>1</v>
      </c>
      <c r="Q70" s="34" t="str">
        <f>VLOOKUP(P70,Key!$E$2:$F$9,2,FALSE)</f>
        <v>Home</v>
      </c>
      <c r="R70" s="37" t="s">
        <v>212</v>
      </c>
      <c r="S70" s="32" t="s">
        <v>190</v>
      </c>
      <c r="T70" s="37" t="s">
        <v>168</v>
      </c>
      <c r="U70" s="32">
        <v>6</v>
      </c>
      <c r="V70" s="34" t="str">
        <f>VLOOKUP(U70,Key!$E$2:$F$9,2,FALSE)</f>
        <v>Leisure/Social</v>
      </c>
      <c r="W70" s="34" t="str">
        <f t="shared" si="0"/>
        <v>Home-Leisure/Social</v>
      </c>
      <c r="X70" s="47">
        <v>30000</v>
      </c>
      <c r="Y70" s="38">
        <v>60</v>
      </c>
      <c r="Z70" s="38">
        <v>1.5</v>
      </c>
      <c r="AA70" s="32">
        <v>5</v>
      </c>
      <c r="AB70" s="34" t="str">
        <f>VLOOKUP(AA70,Key!$C$20:$D$29,2,FALSE)</f>
        <v>Professional</v>
      </c>
      <c r="AC70" s="32">
        <v>5</v>
      </c>
      <c r="AD70" s="34" t="str">
        <f>VLOOKUP(AC70,Key!$E$20:$F$24,2,FALSE)</f>
        <v>&gt;1,000,000</v>
      </c>
      <c r="AE70" s="32">
        <v>1</v>
      </c>
      <c r="AF70" s="55">
        <v>1</v>
      </c>
      <c r="AG70" s="55">
        <v>1</v>
      </c>
      <c r="AH70" s="55">
        <v>1</v>
      </c>
      <c r="AI70" s="55">
        <v>1</v>
      </c>
      <c r="AJ70" s="39" t="s">
        <v>104</v>
      </c>
      <c r="AK70" s="40">
        <v>5000</v>
      </c>
      <c r="AL70" s="24"/>
      <c r="AM70" s="24"/>
    </row>
    <row r="71" spans="2:39" x14ac:dyDescent="0.2">
      <c r="B71" s="50">
        <v>43688</v>
      </c>
      <c r="C71" s="35">
        <v>0.34097222222222223</v>
      </c>
      <c r="D71" s="35"/>
      <c r="E71" s="35" t="s">
        <v>111</v>
      </c>
      <c r="F71" s="37">
        <v>2</v>
      </c>
      <c r="G71" s="42" t="str">
        <f>VLOOKUP(F71,Key!$A$17:$B$21,2,FALSE)</f>
        <v>Road Vehicle</v>
      </c>
      <c r="H71" s="36">
        <v>1</v>
      </c>
      <c r="I71" s="43" t="str">
        <f>VLOOKUP(H71,Key!$A$2:$B$13,2,FALSE)</f>
        <v>Car</v>
      </c>
      <c r="J71" s="37" t="s">
        <v>166</v>
      </c>
      <c r="K71" s="37">
        <v>2</v>
      </c>
      <c r="L71" s="45" t="str">
        <f>VLOOKUP(K71,Key!$A$24:$B$29,2,FALSE)</f>
        <v>30-39</v>
      </c>
      <c r="M71" s="37" t="s">
        <v>240</v>
      </c>
      <c r="N71" s="32" t="s">
        <v>240</v>
      </c>
      <c r="O71" s="37" t="s">
        <v>168</v>
      </c>
      <c r="P71" s="39">
        <v>6</v>
      </c>
      <c r="Q71" s="34" t="str">
        <f>VLOOKUP(P71,Key!$E$2:$F$9,2,FALSE)</f>
        <v>Leisure/Social</v>
      </c>
      <c r="R71" s="37" t="s">
        <v>216</v>
      </c>
      <c r="S71" s="32" t="s">
        <v>167</v>
      </c>
      <c r="T71" s="37" t="s">
        <v>168</v>
      </c>
      <c r="U71" s="32">
        <v>6</v>
      </c>
      <c r="V71" s="34" t="str">
        <f>VLOOKUP(U71,Key!$E$2:$F$9,2,FALSE)</f>
        <v>Leisure/Social</v>
      </c>
      <c r="W71" s="34" t="str">
        <f t="shared" si="0"/>
        <v>Leisure/Social-Leisure/Social</v>
      </c>
      <c r="X71" s="47">
        <v>30000</v>
      </c>
      <c r="Y71" s="38">
        <v>60</v>
      </c>
      <c r="Z71" s="38">
        <v>1.5</v>
      </c>
      <c r="AA71" s="32">
        <v>4</v>
      </c>
      <c r="AB71" s="34" t="str">
        <f>VLOOKUP(AA71,Key!$C$20:$D$29,2,FALSE)</f>
        <v>Office Worker</v>
      </c>
      <c r="AC71" s="32">
        <v>4</v>
      </c>
      <c r="AD71" s="34" t="str">
        <f>VLOOKUP(AC71,Key!$E$20:$F$24,2,FALSE)</f>
        <v>750,000-1,000,000</v>
      </c>
      <c r="AE71" s="32">
        <v>1</v>
      </c>
      <c r="AF71" s="55">
        <v>1</v>
      </c>
      <c r="AG71" s="55">
        <v>1</v>
      </c>
      <c r="AH71" s="55">
        <v>1</v>
      </c>
      <c r="AI71" s="55">
        <v>2</v>
      </c>
      <c r="AJ71" s="39" t="s">
        <v>104</v>
      </c>
      <c r="AK71" s="40">
        <v>2000</v>
      </c>
      <c r="AL71" s="24"/>
      <c r="AM71" s="24"/>
    </row>
    <row r="72" spans="2:39" x14ac:dyDescent="0.2">
      <c r="B72" s="50">
        <v>43689</v>
      </c>
      <c r="C72" s="35">
        <v>0.36458333333333331</v>
      </c>
      <c r="D72" s="35"/>
      <c r="E72" s="35" t="s">
        <v>111</v>
      </c>
      <c r="F72" s="37">
        <v>2</v>
      </c>
      <c r="G72" s="42" t="str">
        <f>VLOOKUP(F72,Key!$A$17:$B$21,2,FALSE)</f>
        <v>Road Vehicle</v>
      </c>
      <c r="H72" s="36">
        <v>1</v>
      </c>
      <c r="I72" s="43" t="str">
        <f>VLOOKUP(H72,Key!$A$2:$B$13,2,FALSE)</f>
        <v>Car</v>
      </c>
      <c r="J72" s="37" t="s">
        <v>166</v>
      </c>
      <c r="K72" s="37">
        <v>2</v>
      </c>
      <c r="L72" s="45" t="str">
        <f>VLOOKUP(K72,Key!$A$24:$B$29,2,FALSE)</f>
        <v>30-39</v>
      </c>
      <c r="M72" s="37" t="s">
        <v>190</v>
      </c>
      <c r="N72" s="32" t="s">
        <v>190</v>
      </c>
      <c r="O72" s="37" t="s">
        <v>168</v>
      </c>
      <c r="P72" s="39">
        <v>1</v>
      </c>
      <c r="Q72" s="34" t="str">
        <f>VLOOKUP(P72,Key!$E$2:$F$9,2,FALSE)</f>
        <v>Home</v>
      </c>
      <c r="R72" s="37" t="s">
        <v>329</v>
      </c>
      <c r="S72" s="32" t="s">
        <v>167</v>
      </c>
      <c r="T72" s="37" t="s">
        <v>168</v>
      </c>
      <c r="U72" s="32">
        <v>6</v>
      </c>
      <c r="V72" s="34" t="str">
        <f>VLOOKUP(U72,Key!$E$2:$F$9,2,FALSE)</f>
        <v>Leisure/Social</v>
      </c>
      <c r="W72" s="34" t="str">
        <f t="shared" si="0"/>
        <v>Home-Leisure/Social</v>
      </c>
      <c r="X72" s="47">
        <v>25000</v>
      </c>
      <c r="Y72" s="38">
        <v>60</v>
      </c>
      <c r="Z72" s="38">
        <v>2</v>
      </c>
      <c r="AA72" s="32">
        <v>5</v>
      </c>
      <c r="AB72" s="34" t="str">
        <f>VLOOKUP(AA72,Key!$C$20:$D$29,2,FALSE)</f>
        <v>Professional</v>
      </c>
      <c r="AC72" s="32">
        <v>4</v>
      </c>
      <c r="AD72" s="34" t="str">
        <f>VLOOKUP(AC72,Key!$E$20:$F$24,2,FALSE)</f>
        <v>750,000-1,000,000</v>
      </c>
      <c r="AE72" s="32">
        <v>1</v>
      </c>
      <c r="AF72" s="55">
        <v>3</v>
      </c>
      <c r="AG72" s="55">
        <v>4</v>
      </c>
      <c r="AH72" s="55">
        <v>2</v>
      </c>
      <c r="AI72" s="55">
        <v>5</v>
      </c>
      <c r="AJ72" s="39" t="s">
        <v>104</v>
      </c>
      <c r="AK72" s="40">
        <v>2000</v>
      </c>
      <c r="AL72" s="24"/>
      <c r="AM72" s="24"/>
    </row>
    <row r="73" spans="2:39" x14ac:dyDescent="0.2">
      <c r="B73" s="50">
        <v>43686</v>
      </c>
      <c r="C73" s="35">
        <v>0.73263888888888884</v>
      </c>
      <c r="D73" s="35"/>
      <c r="E73" s="35" t="s">
        <v>111</v>
      </c>
      <c r="F73" s="37">
        <v>2</v>
      </c>
      <c r="G73" s="42" t="str">
        <f>VLOOKUP(F73,Key!$A$17:$B$21,2,FALSE)</f>
        <v>Road Vehicle</v>
      </c>
      <c r="H73" s="36">
        <v>1</v>
      </c>
      <c r="I73" s="43" t="str">
        <f>VLOOKUP(H73,Key!$A$2:$B$13,2,FALSE)</f>
        <v>Car</v>
      </c>
      <c r="J73" s="37" t="s">
        <v>166</v>
      </c>
      <c r="K73" s="13">
        <v>2</v>
      </c>
      <c r="L73" s="45" t="str">
        <f>VLOOKUP(K73,Key!$A$24:$B$29,2,FALSE)</f>
        <v>30-39</v>
      </c>
      <c r="M73" s="44" t="s">
        <v>167</v>
      </c>
      <c r="N73" s="44" t="s">
        <v>167</v>
      </c>
      <c r="O73" s="37" t="s">
        <v>168</v>
      </c>
      <c r="P73" s="39">
        <v>2</v>
      </c>
      <c r="Q73" s="34" t="str">
        <f>VLOOKUP(P73,Key!$E$2:$F$9,2,FALSE)</f>
        <v>Work</v>
      </c>
      <c r="R73" s="37" t="s">
        <v>28</v>
      </c>
      <c r="S73" s="32" t="s">
        <v>188</v>
      </c>
      <c r="T73" s="37" t="s">
        <v>168</v>
      </c>
      <c r="U73" s="32">
        <v>4</v>
      </c>
      <c r="V73" s="34" t="str">
        <f>VLOOKUP(U73,Key!$E$2:$F$9,2,FALSE)</f>
        <v>Commercial</v>
      </c>
      <c r="W73" s="34" t="str">
        <f t="shared" ref="W73:W136" si="1">Q73&amp;"-"&amp;V73</f>
        <v>Work-Commercial</v>
      </c>
      <c r="X73" s="47">
        <v>40000</v>
      </c>
      <c r="Y73" s="38">
        <v>60</v>
      </c>
      <c r="Z73" s="38">
        <v>3</v>
      </c>
      <c r="AA73" s="32">
        <v>6</v>
      </c>
      <c r="AB73" s="34" t="str">
        <f>VLOOKUP(AA73,Key!$C$20:$D$29,2,FALSE)</f>
        <v>Businessman</v>
      </c>
      <c r="AC73" s="32">
        <v>2</v>
      </c>
      <c r="AD73" s="34" t="str">
        <f>VLOOKUP(AC73,Key!$E$20:$F$24,2,FALSE)</f>
        <v>300,000-500,000</v>
      </c>
      <c r="AE73" s="32">
        <v>1</v>
      </c>
      <c r="AF73" s="55">
        <v>2</v>
      </c>
      <c r="AG73" s="55">
        <v>1</v>
      </c>
      <c r="AH73" s="55">
        <v>1</v>
      </c>
      <c r="AI73" s="55">
        <v>1</v>
      </c>
      <c r="AJ73" s="39" t="s">
        <v>104</v>
      </c>
      <c r="AK73" s="40">
        <v>1000</v>
      </c>
      <c r="AL73" s="24"/>
      <c r="AM73" s="24"/>
    </row>
    <row r="74" spans="2:39" x14ac:dyDescent="0.2">
      <c r="B74" s="50">
        <v>43686</v>
      </c>
      <c r="C74" s="35">
        <v>0.53402777777777777</v>
      </c>
      <c r="D74" s="35"/>
      <c r="E74" s="35" t="s">
        <v>111</v>
      </c>
      <c r="F74" s="37">
        <v>2</v>
      </c>
      <c r="G74" s="42" t="str">
        <f>VLOOKUP(F74,Key!$A$17:$B$21,2,FALSE)</f>
        <v>Road Vehicle</v>
      </c>
      <c r="H74" s="36">
        <v>1</v>
      </c>
      <c r="I74" s="43" t="str">
        <f>VLOOKUP(H74,Key!$A$2:$B$13,2,FALSE)</f>
        <v>Car</v>
      </c>
      <c r="J74" s="37" t="s">
        <v>166</v>
      </c>
      <c r="K74" s="37">
        <v>2</v>
      </c>
      <c r="L74" s="45" t="str">
        <f>VLOOKUP(K74,Key!$A$24:$B$29,2,FALSE)</f>
        <v>30-39</v>
      </c>
      <c r="M74" s="37" t="s">
        <v>28</v>
      </c>
      <c r="N74" s="32" t="s">
        <v>188</v>
      </c>
      <c r="O74" s="37" t="s">
        <v>168</v>
      </c>
      <c r="P74" s="39">
        <v>1</v>
      </c>
      <c r="Q74" s="34" t="str">
        <f>VLOOKUP(P74,Key!$E$2:$F$9,2,FALSE)</f>
        <v>Home</v>
      </c>
      <c r="R74" s="37" t="s">
        <v>167</v>
      </c>
      <c r="S74" s="32" t="s">
        <v>167</v>
      </c>
      <c r="T74" s="37" t="s">
        <v>168</v>
      </c>
      <c r="U74" s="32">
        <v>4</v>
      </c>
      <c r="V74" s="34" t="str">
        <f>VLOOKUP(U74,Key!$E$2:$F$9,2,FALSE)</f>
        <v>Commercial</v>
      </c>
      <c r="W74" s="34" t="str">
        <f t="shared" si="1"/>
        <v>Home-Commercial</v>
      </c>
      <c r="X74" s="47">
        <v>60000</v>
      </c>
      <c r="Y74" s="38">
        <v>65</v>
      </c>
      <c r="Z74" s="38">
        <v>3</v>
      </c>
      <c r="AA74" s="32">
        <v>5</v>
      </c>
      <c r="AB74" s="34" t="str">
        <f>VLOOKUP(AA74,Key!$C$20:$D$29,2,FALSE)</f>
        <v>Professional</v>
      </c>
      <c r="AC74" s="32">
        <v>3</v>
      </c>
      <c r="AD74" s="34" t="str">
        <f>VLOOKUP(AC74,Key!$E$20:$F$24,2,FALSE)</f>
        <v>500,000-750,000</v>
      </c>
      <c r="AE74" s="32">
        <v>3</v>
      </c>
      <c r="AF74" s="55">
        <v>3</v>
      </c>
      <c r="AG74" s="55">
        <v>2</v>
      </c>
      <c r="AH74" s="55">
        <v>2</v>
      </c>
      <c r="AI74" s="55">
        <v>2</v>
      </c>
      <c r="AJ74" s="39" t="s">
        <v>104</v>
      </c>
      <c r="AK74" s="40">
        <v>5000</v>
      </c>
      <c r="AL74" s="24"/>
      <c r="AM74" s="24"/>
    </row>
    <row r="75" spans="2:39" x14ac:dyDescent="0.2">
      <c r="B75" s="50">
        <v>43688</v>
      </c>
      <c r="C75" s="35">
        <v>0.59722222222222221</v>
      </c>
      <c r="D75" s="35"/>
      <c r="E75" s="35" t="s">
        <v>111</v>
      </c>
      <c r="F75" s="37">
        <v>2</v>
      </c>
      <c r="G75" s="42" t="str">
        <f>VLOOKUP(F75,Key!$A$17:$B$21,2,FALSE)</f>
        <v>Road Vehicle</v>
      </c>
      <c r="H75" s="36">
        <v>1</v>
      </c>
      <c r="I75" s="43" t="str">
        <f>VLOOKUP(H75,Key!$A$2:$B$13,2,FALSE)</f>
        <v>Car</v>
      </c>
      <c r="J75" s="37" t="s">
        <v>166</v>
      </c>
      <c r="K75" s="37">
        <v>2</v>
      </c>
      <c r="L75" s="45" t="str">
        <f>VLOOKUP(K75,Key!$A$24:$B$29,2,FALSE)</f>
        <v>30-39</v>
      </c>
      <c r="M75" s="37" t="s">
        <v>176</v>
      </c>
      <c r="N75" s="32" t="s">
        <v>176</v>
      </c>
      <c r="O75" s="37" t="s">
        <v>168</v>
      </c>
      <c r="P75" s="39">
        <v>2</v>
      </c>
      <c r="Q75" s="34" t="str">
        <f>VLOOKUP(P75,Key!$E$2:$F$9,2,FALSE)</f>
        <v>Work</v>
      </c>
      <c r="R75" s="37" t="s">
        <v>167</v>
      </c>
      <c r="S75" s="32" t="s">
        <v>167</v>
      </c>
      <c r="T75" s="37" t="s">
        <v>168</v>
      </c>
      <c r="U75" s="32">
        <v>4</v>
      </c>
      <c r="V75" s="34" t="str">
        <f>VLOOKUP(U75,Key!$E$2:$F$9,2,FALSE)</f>
        <v>Commercial</v>
      </c>
      <c r="W75" s="34" t="str">
        <f t="shared" si="1"/>
        <v>Work-Commercial</v>
      </c>
      <c r="X75" s="47">
        <v>40000</v>
      </c>
      <c r="Y75" s="38">
        <v>80</v>
      </c>
      <c r="Z75" s="38">
        <v>2</v>
      </c>
      <c r="AA75" s="32">
        <v>6</v>
      </c>
      <c r="AB75" s="34" t="str">
        <f>VLOOKUP(AA75,Key!$C$20:$D$29,2,FALSE)</f>
        <v>Businessman</v>
      </c>
      <c r="AC75" s="32">
        <v>4</v>
      </c>
      <c r="AD75" s="34" t="str">
        <f>VLOOKUP(AC75,Key!$E$20:$F$24,2,FALSE)</f>
        <v>750,000-1,000,000</v>
      </c>
      <c r="AE75" s="32">
        <v>1</v>
      </c>
      <c r="AF75" s="55">
        <v>3</v>
      </c>
      <c r="AG75" s="55">
        <v>4</v>
      </c>
      <c r="AH75" s="55">
        <v>2</v>
      </c>
      <c r="AI75" s="55">
        <v>5</v>
      </c>
      <c r="AJ75" s="39" t="s">
        <v>104</v>
      </c>
      <c r="AK75" s="40">
        <v>6000</v>
      </c>
      <c r="AL75" s="24"/>
      <c r="AM75" s="24"/>
    </row>
    <row r="76" spans="2:39" x14ac:dyDescent="0.2">
      <c r="B76" s="50">
        <v>43687</v>
      </c>
      <c r="C76" s="35">
        <v>0.57291666666666663</v>
      </c>
      <c r="D76" s="35"/>
      <c r="E76" s="35" t="s">
        <v>111</v>
      </c>
      <c r="F76" s="37">
        <v>2</v>
      </c>
      <c r="G76" s="42" t="str">
        <f>VLOOKUP(F76,Key!$A$17:$B$21,2,FALSE)</f>
        <v>Road Vehicle</v>
      </c>
      <c r="H76" s="36">
        <v>1</v>
      </c>
      <c r="I76" s="43" t="str">
        <f>VLOOKUP(H76,Key!$A$2:$B$13,2,FALSE)</f>
        <v>Car</v>
      </c>
      <c r="J76" s="37" t="s">
        <v>166</v>
      </c>
      <c r="K76" s="37">
        <v>2</v>
      </c>
      <c r="L76" s="45" t="str">
        <f>VLOOKUP(K76,Key!$A$24:$B$29,2,FALSE)</f>
        <v>30-39</v>
      </c>
      <c r="M76" s="37" t="s">
        <v>167</v>
      </c>
      <c r="N76" s="32" t="s">
        <v>167</v>
      </c>
      <c r="O76" s="37" t="s">
        <v>168</v>
      </c>
      <c r="P76" s="39">
        <v>1</v>
      </c>
      <c r="Q76" s="34" t="str">
        <f>VLOOKUP(P76,Key!$E$2:$F$9,2,FALSE)</f>
        <v>Home</v>
      </c>
      <c r="R76" s="37" t="s">
        <v>176</v>
      </c>
      <c r="S76" s="32" t="s">
        <v>176</v>
      </c>
      <c r="T76" s="37" t="s">
        <v>168</v>
      </c>
      <c r="U76" s="32">
        <v>4</v>
      </c>
      <c r="V76" s="34" t="str">
        <f>VLOOKUP(U76,Key!$E$2:$F$9,2,FALSE)</f>
        <v>Commercial</v>
      </c>
      <c r="W76" s="34" t="str">
        <f t="shared" si="1"/>
        <v>Home-Commercial</v>
      </c>
      <c r="X76" s="47">
        <v>45000</v>
      </c>
      <c r="Y76" s="38">
        <v>80</v>
      </c>
      <c r="Z76" s="38">
        <v>3</v>
      </c>
      <c r="AA76" s="32">
        <v>6</v>
      </c>
      <c r="AB76" s="34" t="str">
        <f>VLOOKUP(AA76,Key!$C$20:$D$29,2,FALSE)</f>
        <v>Businessman</v>
      </c>
      <c r="AC76" s="32">
        <v>3</v>
      </c>
      <c r="AD76" s="34" t="str">
        <f>VLOOKUP(AC76,Key!$E$20:$F$24,2,FALSE)</f>
        <v>500,000-750,000</v>
      </c>
      <c r="AE76" s="32">
        <v>3</v>
      </c>
      <c r="AF76" s="55">
        <v>3</v>
      </c>
      <c r="AG76" s="55">
        <v>2</v>
      </c>
      <c r="AH76" s="55">
        <v>3</v>
      </c>
      <c r="AI76" s="55">
        <v>3</v>
      </c>
      <c r="AJ76" s="39" t="s">
        <v>104</v>
      </c>
      <c r="AK76" s="40">
        <v>1000</v>
      </c>
      <c r="AL76" s="24"/>
      <c r="AM76" s="24"/>
    </row>
    <row r="77" spans="2:39" x14ac:dyDescent="0.2">
      <c r="B77" s="50">
        <v>43689</v>
      </c>
      <c r="C77" s="35">
        <v>0.58680555555555558</v>
      </c>
      <c r="D77" s="35"/>
      <c r="E77" s="35" t="s">
        <v>111</v>
      </c>
      <c r="F77" s="37">
        <v>2</v>
      </c>
      <c r="G77" s="42" t="str">
        <f>VLOOKUP(F77,Key!$A$17:$B$21,2,FALSE)</f>
        <v>Road Vehicle</v>
      </c>
      <c r="H77" s="36">
        <v>1</v>
      </c>
      <c r="I77" s="43" t="str">
        <f>VLOOKUP(H77,Key!$A$2:$B$13,2,FALSE)</f>
        <v>Car</v>
      </c>
      <c r="J77" s="37" t="s">
        <v>166</v>
      </c>
      <c r="K77" s="37">
        <v>2</v>
      </c>
      <c r="L77" s="45" t="str">
        <f>VLOOKUP(K77,Key!$A$24:$B$29,2,FALSE)</f>
        <v>30-39</v>
      </c>
      <c r="M77" s="37" t="s">
        <v>346</v>
      </c>
      <c r="N77" s="32" t="s">
        <v>170</v>
      </c>
      <c r="O77" s="37" t="s">
        <v>168</v>
      </c>
      <c r="P77" s="39">
        <v>2</v>
      </c>
      <c r="Q77" s="34" t="str">
        <f>VLOOKUP(P77,Key!$E$2:$F$9,2,FALSE)</f>
        <v>Work</v>
      </c>
      <c r="R77" s="37" t="s">
        <v>190</v>
      </c>
      <c r="S77" s="32" t="s">
        <v>190</v>
      </c>
      <c r="T77" s="37" t="s">
        <v>168</v>
      </c>
      <c r="U77" s="32">
        <v>6</v>
      </c>
      <c r="V77" s="34" t="str">
        <f>VLOOKUP(U77,Key!$E$2:$F$9,2,FALSE)</f>
        <v>Leisure/Social</v>
      </c>
      <c r="W77" s="34" t="str">
        <f t="shared" si="1"/>
        <v>Work-Leisure/Social</v>
      </c>
      <c r="X77" s="47">
        <v>70000</v>
      </c>
      <c r="Y77" s="38">
        <v>100</v>
      </c>
      <c r="Z77" s="38">
        <v>2.5</v>
      </c>
      <c r="AA77" s="32">
        <v>4</v>
      </c>
      <c r="AB77" s="34" t="str">
        <f>VLOOKUP(AA77,Key!$C$20:$D$29,2,FALSE)</f>
        <v>Office Worker</v>
      </c>
      <c r="AC77" s="32">
        <v>5</v>
      </c>
      <c r="AD77" s="34" t="str">
        <f>VLOOKUP(AC77,Key!$E$20:$F$24,2,FALSE)</f>
        <v>&gt;1,000,000</v>
      </c>
      <c r="AE77" s="32">
        <v>1</v>
      </c>
      <c r="AF77" s="55">
        <v>1</v>
      </c>
      <c r="AG77" s="55">
        <v>1</v>
      </c>
      <c r="AH77" s="55">
        <v>1</v>
      </c>
      <c r="AI77" s="55">
        <v>1</v>
      </c>
      <c r="AJ77" s="39" t="s">
        <v>104</v>
      </c>
      <c r="AK77" s="40">
        <v>2000</v>
      </c>
      <c r="AL77" s="24"/>
      <c r="AM77" s="24"/>
    </row>
    <row r="78" spans="2:39" x14ac:dyDescent="0.2">
      <c r="B78" s="50">
        <v>43686</v>
      </c>
      <c r="C78" s="35">
        <v>0.52152777777777781</v>
      </c>
      <c r="D78" s="35"/>
      <c r="E78" s="35" t="s">
        <v>111</v>
      </c>
      <c r="F78" s="37">
        <v>2</v>
      </c>
      <c r="G78" s="42" t="str">
        <f>VLOOKUP(F78,Key!$A$17:$B$21,2,FALSE)</f>
        <v>Road Vehicle</v>
      </c>
      <c r="H78" s="36">
        <v>1</v>
      </c>
      <c r="I78" s="43" t="str">
        <f>VLOOKUP(H78,Key!$A$2:$B$13,2,FALSE)</f>
        <v>Car</v>
      </c>
      <c r="J78" s="37" t="s">
        <v>166</v>
      </c>
      <c r="K78" s="37">
        <v>2</v>
      </c>
      <c r="L78" s="45" t="str">
        <f>VLOOKUP(K78,Key!$A$24:$B$29,2,FALSE)</f>
        <v>30-39</v>
      </c>
      <c r="M78" s="44" t="s">
        <v>173</v>
      </c>
      <c r="N78" s="44" t="s">
        <v>173</v>
      </c>
      <c r="O78" s="37" t="s">
        <v>168</v>
      </c>
      <c r="P78" s="39">
        <v>6</v>
      </c>
      <c r="Q78" s="34" t="str">
        <f>VLOOKUP(P78,Key!$E$2:$F$9,2,FALSE)</f>
        <v>Leisure/Social</v>
      </c>
      <c r="R78" s="37" t="s">
        <v>189</v>
      </c>
      <c r="S78" s="32" t="s">
        <v>190</v>
      </c>
      <c r="T78" s="37" t="s">
        <v>168</v>
      </c>
      <c r="U78" s="32">
        <v>1</v>
      </c>
      <c r="V78" s="34" t="str">
        <f>VLOOKUP(U78,Key!$E$2:$F$9,2,FALSE)</f>
        <v>Home</v>
      </c>
      <c r="W78" s="34" t="str">
        <f t="shared" si="1"/>
        <v>Leisure/Social-Home</v>
      </c>
      <c r="X78" s="47">
        <v>60000</v>
      </c>
      <c r="Y78" s="38">
        <v>100</v>
      </c>
      <c r="Z78" s="38">
        <v>3</v>
      </c>
      <c r="AA78" s="32">
        <v>5</v>
      </c>
      <c r="AB78" s="34" t="str">
        <f>VLOOKUP(AA78,Key!$C$20:$D$29,2,FALSE)</f>
        <v>Professional</v>
      </c>
      <c r="AC78" s="32">
        <v>5</v>
      </c>
      <c r="AD78" s="34" t="str">
        <f>VLOOKUP(AC78,Key!$E$20:$F$24,2,FALSE)</f>
        <v>&gt;1,000,000</v>
      </c>
      <c r="AE78" s="32">
        <v>1</v>
      </c>
      <c r="AF78" s="55">
        <v>1</v>
      </c>
      <c r="AG78" s="55">
        <v>1</v>
      </c>
      <c r="AH78" s="55">
        <v>1</v>
      </c>
      <c r="AI78" s="55">
        <v>1</v>
      </c>
      <c r="AJ78" s="39" t="s">
        <v>104</v>
      </c>
      <c r="AK78" s="40">
        <v>5000</v>
      </c>
      <c r="AL78" s="24"/>
      <c r="AM78" s="24"/>
    </row>
    <row r="79" spans="2:39" x14ac:dyDescent="0.2">
      <c r="B79" s="50">
        <v>43686</v>
      </c>
      <c r="C79" s="35">
        <v>0.53749999999999998</v>
      </c>
      <c r="D79" s="35"/>
      <c r="E79" s="35" t="s">
        <v>111</v>
      </c>
      <c r="F79" s="37">
        <v>2</v>
      </c>
      <c r="G79" s="42" t="str">
        <f>VLOOKUP(F79,Key!$A$17:$B$21,2,FALSE)</f>
        <v>Road Vehicle</v>
      </c>
      <c r="H79" s="36">
        <v>1</v>
      </c>
      <c r="I79" s="43" t="str">
        <f>VLOOKUP(H79,Key!$A$2:$B$13,2,FALSE)</f>
        <v>Car</v>
      </c>
      <c r="J79" s="37" t="s">
        <v>166</v>
      </c>
      <c r="K79" s="37">
        <v>2</v>
      </c>
      <c r="L79" s="45" t="str">
        <f>VLOOKUP(K79,Key!$A$24:$B$29,2,FALSE)</f>
        <v>30-39</v>
      </c>
      <c r="M79" s="37" t="s">
        <v>173</v>
      </c>
      <c r="N79" s="32" t="s">
        <v>173</v>
      </c>
      <c r="O79" s="37" t="s">
        <v>168</v>
      </c>
      <c r="P79" s="39">
        <v>6</v>
      </c>
      <c r="Q79" s="34" t="str">
        <f>VLOOKUP(P79,Key!$E$2:$F$9,2,FALSE)</f>
        <v>Leisure/Social</v>
      </c>
      <c r="R79" s="37" t="s">
        <v>189</v>
      </c>
      <c r="S79" s="32" t="s">
        <v>190</v>
      </c>
      <c r="T79" s="37" t="s">
        <v>168</v>
      </c>
      <c r="U79" s="32">
        <v>1</v>
      </c>
      <c r="V79" s="34" t="str">
        <f>VLOOKUP(U79,Key!$E$2:$F$9,2,FALSE)</f>
        <v>Home</v>
      </c>
      <c r="W79" s="34" t="str">
        <f t="shared" si="1"/>
        <v>Leisure/Social-Home</v>
      </c>
      <c r="X79" s="47">
        <v>50000</v>
      </c>
      <c r="Y79" s="38">
        <v>100</v>
      </c>
      <c r="Z79" s="38">
        <v>3</v>
      </c>
      <c r="AA79" s="32">
        <v>5</v>
      </c>
      <c r="AB79" s="34" t="str">
        <f>VLOOKUP(AA79,Key!$C$20:$D$29,2,FALSE)</f>
        <v>Professional</v>
      </c>
      <c r="AC79" s="32">
        <v>5</v>
      </c>
      <c r="AD79" s="34" t="str">
        <f>VLOOKUP(AC79,Key!$E$20:$F$24,2,FALSE)</f>
        <v>&gt;1,000,000</v>
      </c>
      <c r="AE79" s="32">
        <v>1</v>
      </c>
      <c r="AF79" s="55">
        <v>1</v>
      </c>
      <c r="AG79" s="55">
        <v>1</v>
      </c>
      <c r="AH79" s="55">
        <v>1</v>
      </c>
      <c r="AI79" s="55">
        <v>1</v>
      </c>
      <c r="AJ79" s="39" t="s">
        <v>104</v>
      </c>
      <c r="AK79" s="40">
        <v>5000</v>
      </c>
      <c r="AL79" s="24"/>
      <c r="AM79" s="24"/>
    </row>
    <row r="80" spans="2:39" x14ac:dyDescent="0.2">
      <c r="B80" s="50">
        <v>43688</v>
      </c>
      <c r="C80" s="35">
        <v>0.50763888888888886</v>
      </c>
      <c r="D80" s="35"/>
      <c r="E80" s="35" t="s">
        <v>111</v>
      </c>
      <c r="F80" s="37">
        <v>2</v>
      </c>
      <c r="G80" s="42" t="str">
        <f>VLOOKUP(F80,Key!$A$17:$B$21,2,FALSE)</f>
        <v>Road Vehicle</v>
      </c>
      <c r="H80" s="36">
        <v>1</v>
      </c>
      <c r="I80" s="43" t="str">
        <f>VLOOKUP(H80,Key!$A$2:$B$13,2,FALSE)</f>
        <v>Car</v>
      </c>
      <c r="J80" s="37" t="s">
        <v>166</v>
      </c>
      <c r="K80" s="37">
        <v>3</v>
      </c>
      <c r="L80" s="45" t="str">
        <f>VLOOKUP(K80,Key!$A$24:$B$29,2,FALSE)</f>
        <v>40-49</v>
      </c>
      <c r="M80" s="44" t="s">
        <v>187</v>
      </c>
      <c r="N80" s="44" t="s">
        <v>167</v>
      </c>
      <c r="O80" s="37" t="s">
        <v>168</v>
      </c>
      <c r="P80" s="39">
        <v>6</v>
      </c>
      <c r="Q80" s="34" t="str">
        <f>VLOOKUP(P80,Key!$E$2:$F$9,2,FALSE)</f>
        <v>Leisure/Social</v>
      </c>
      <c r="R80" s="37" t="s">
        <v>189</v>
      </c>
      <c r="S80" s="32" t="s">
        <v>190</v>
      </c>
      <c r="T80" s="37" t="s">
        <v>168</v>
      </c>
      <c r="U80" s="32">
        <v>1</v>
      </c>
      <c r="V80" s="34" t="str">
        <f>VLOOKUP(U80,Key!$E$2:$F$9,2,FALSE)</f>
        <v>Home</v>
      </c>
      <c r="W80" s="34" t="str">
        <f t="shared" si="1"/>
        <v>Leisure/Social-Home</v>
      </c>
      <c r="X80" s="47">
        <v>30000</v>
      </c>
      <c r="Y80" s="38">
        <v>60</v>
      </c>
      <c r="Z80" s="38">
        <v>1.5</v>
      </c>
      <c r="AA80" s="32">
        <v>5</v>
      </c>
      <c r="AB80" s="34" t="str">
        <f>VLOOKUP(AA80,Key!$C$20:$D$29,2,FALSE)</f>
        <v>Professional</v>
      </c>
      <c r="AC80" s="32">
        <v>4</v>
      </c>
      <c r="AD80" s="34" t="str">
        <f>VLOOKUP(AC80,Key!$E$20:$F$24,2,FALSE)</f>
        <v>750,000-1,000,000</v>
      </c>
      <c r="AE80" s="32">
        <v>1</v>
      </c>
      <c r="AF80" s="55">
        <v>1</v>
      </c>
      <c r="AG80" s="55">
        <v>1</v>
      </c>
      <c r="AH80" s="55">
        <v>1</v>
      </c>
      <c r="AI80" s="55">
        <v>1</v>
      </c>
      <c r="AJ80" s="39" t="s">
        <v>104</v>
      </c>
      <c r="AK80" s="40">
        <v>5000</v>
      </c>
      <c r="AL80" s="24"/>
      <c r="AM80" s="24"/>
    </row>
    <row r="81" spans="1:39" x14ac:dyDescent="0.2">
      <c r="B81" s="50">
        <v>43688</v>
      </c>
      <c r="C81" s="35">
        <v>0.73263888888888884</v>
      </c>
      <c r="D81" s="35"/>
      <c r="E81" s="35" t="s">
        <v>111</v>
      </c>
      <c r="F81" s="37">
        <v>2</v>
      </c>
      <c r="G81" s="42" t="str">
        <f>VLOOKUP(F81,Key!$A$17:$B$21,2,FALSE)</f>
        <v>Road Vehicle</v>
      </c>
      <c r="H81" s="36">
        <v>1</v>
      </c>
      <c r="I81" s="43" t="str">
        <f>VLOOKUP(H81,Key!$A$2:$B$13,2,FALSE)</f>
        <v>Car</v>
      </c>
      <c r="J81" s="37" t="s">
        <v>166</v>
      </c>
      <c r="K81" s="37">
        <v>3</v>
      </c>
      <c r="L81" s="45" t="str">
        <f>VLOOKUP(K81,Key!$A$24:$B$29,2,FALSE)</f>
        <v>40-49</v>
      </c>
      <c r="M81" s="44" t="s">
        <v>187</v>
      </c>
      <c r="N81" s="44" t="s">
        <v>167</v>
      </c>
      <c r="O81" s="37" t="s">
        <v>168</v>
      </c>
      <c r="P81" s="39">
        <v>6</v>
      </c>
      <c r="Q81" s="34" t="str">
        <f>VLOOKUP(P81,Key!$E$2:$F$9,2,FALSE)</f>
        <v>Leisure/Social</v>
      </c>
      <c r="R81" s="37" t="s">
        <v>189</v>
      </c>
      <c r="S81" s="32" t="s">
        <v>190</v>
      </c>
      <c r="T81" s="37" t="s">
        <v>168</v>
      </c>
      <c r="U81" s="32">
        <v>1</v>
      </c>
      <c r="V81" s="34" t="str">
        <f>VLOOKUP(U81,Key!$E$2:$F$9,2,FALSE)</f>
        <v>Home</v>
      </c>
      <c r="W81" s="34" t="str">
        <f t="shared" si="1"/>
        <v>Leisure/Social-Home</v>
      </c>
      <c r="X81" s="47">
        <v>30000</v>
      </c>
      <c r="Y81" s="38">
        <v>60</v>
      </c>
      <c r="Z81" s="38">
        <v>1.5</v>
      </c>
      <c r="AA81" s="32">
        <v>5</v>
      </c>
      <c r="AB81" s="34" t="str">
        <f>VLOOKUP(AA81,Key!$C$20:$D$29,2,FALSE)</f>
        <v>Professional</v>
      </c>
      <c r="AC81" s="32">
        <v>4</v>
      </c>
      <c r="AD81" s="34" t="str">
        <f>VLOOKUP(AC81,Key!$E$20:$F$24,2,FALSE)</f>
        <v>750,000-1,000,000</v>
      </c>
      <c r="AE81" s="32">
        <v>1</v>
      </c>
      <c r="AF81" s="55">
        <v>1</v>
      </c>
      <c r="AG81" s="55">
        <v>1</v>
      </c>
      <c r="AH81" s="55">
        <v>1</v>
      </c>
      <c r="AI81" s="55">
        <v>1</v>
      </c>
      <c r="AJ81" s="39" t="s">
        <v>104</v>
      </c>
      <c r="AK81" s="40">
        <v>5000</v>
      </c>
      <c r="AL81" s="24"/>
      <c r="AM81" s="24"/>
    </row>
    <row r="82" spans="1:39" x14ac:dyDescent="0.2">
      <c r="B82" s="50">
        <v>43686</v>
      </c>
      <c r="C82" s="35">
        <v>0.5541666666666667</v>
      </c>
      <c r="D82" s="35"/>
      <c r="E82" s="35" t="s">
        <v>111</v>
      </c>
      <c r="F82" s="37">
        <v>2</v>
      </c>
      <c r="G82" s="42" t="str">
        <f>VLOOKUP(F82,Key!$A$17:$B$21,2,FALSE)</f>
        <v>Road Vehicle</v>
      </c>
      <c r="H82" s="36">
        <v>1</v>
      </c>
      <c r="I82" s="43" t="str">
        <f>VLOOKUP(H82,Key!$A$2:$B$13,2,FALSE)</f>
        <v>Car</v>
      </c>
      <c r="J82" s="37" t="s">
        <v>166</v>
      </c>
      <c r="K82" s="37">
        <v>3</v>
      </c>
      <c r="L82" s="45" t="str">
        <f>VLOOKUP(K82,Key!$A$24:$B$29,2,FALSE)</f>
        <v>40-49</v>
      </c>
      <c r="M82" s="37" t="s">
        <v>344</v>
      </c>
      <c r="N82" s="32" t="s">
        <v>167</v>
      </c>
      <c r="O82" s="37" t="s">
        <v>168</v>
      </c>
      <c r="P82" s="39">
        <v>1</v>
      </c>
      <c r="Q82" s="34" t="str">
        <f>VLOOKUP(P82,Key!$E$2:$F$9,2,FALSE)</f>
        <v>Home</v>
      </c>
      <c r="R82" s="37" t="s">
        <v>345</v>
      </c>
      <c r="S82" s="32" t="s">
        <v>176</v>
      </c>
      <c r="T82" s="37" t="s">
        <v>168</v>
      </c>
      <c r="U82" s="32">
        <v>7</v>
      </c>
      <c r="V82" s="34" t="str">
        <f>VLOOKUP(U82,Key!$E$2:$F$9,2,FALSE)</f>
        <v>Hospital</v>
      </c>
      <c r="W82" s="34" t="str">
        <f t="shared" si="1"/>
        <v>Home-Hospital</v>
      </c>
      <c r="X82" s="47">
        <v>70000</v>
      </c>
      <c r="Y82" s="38">
        <v>100</v>
      </c>
      <c r="Z82" s="38">
        <v>3</v>
      </c>
      <c r="AA82" s="32">
        <v>4</v>
      </c>
      <c r="AB82" s="34" t="str">
        <f>VLOOKUP(AA82,Key!$C$20:$D$29,2,FALSE)</f>
        <v>Office Worker</v>
      </c>
      <c r="AC82" s="32">
        <v>5</v>
      </c>
      <c r="AD82" s="34" t="str">
        <f>VLOOKUP(AC82,Key!$E$20:$F$24,2,FALSE)</f>
        <v>&gt;1,000,000</v>
      </c>
      <c r="AE82" s="32">
        <v>1</v>
      </c>
      <c r="AF82" s="55">
        <v>1</v>
      </c>
      <c r="AG82" s="55">
        <v>1</v>
      </c>
      <c r="AH82" s="55">
        <v>1</v>
      </c>
      <c r="AI82" s="55">
        <v>1</v>
      </c>
      <c r="AJ82" s="39" t="s">
        <v>104</v>
      </c>
      <c r="AK82" s="40">
        <v>2000</v>
      </c>
      <c r="AL82" s="24"/>
      <c r="AM82" s="24"/>
    </row>
    <row r="83" spans="1:39" x14ac:dyDescent="0.2">
      <c r="B83" s="50">
        <v>43690</v>
      </c>
      <c r="C83" s="35">
        <v>0.51666666666666672</v>
      </c>
      <c r="D83" s="35"/>
      <c r="E83" s="35" t="s">
        <v>111</v>
      </c>
      <c r="F83" s="37">
        <v>2</v>
      </c>
      <c r="G83" s="42" t="str">
        <f>VLOOKUP(F83,Key!$A$17:$B$21,2,FALSE)</f>
        <v>Road Vehicle</v>
      </c>
      <c r="H83" s="36">
        <v>1</v>
      </c>
      <c r="I83" s="43" t="str">
        <f>VLOOKUP(H83,Key!$A$2:$B$13,2,FALSE)</f>
        <v>Car</v>
      </c>
      <c r="J83" s="37" t="s">
        <v>123</v>
      </c>
      <c r="K83" s="37">
        <v>1</v>
      </c>
      <c r="L83" s="45" t="str">
        <f>VLOOKUP(K83,Key!$A$24:$B$29,2,FALSE)</f>
        <v>20-29</v>
      </c>
      <c r="M83" s="37" t="s">
        <v>176</v>
      </c>
      <c r="N83" s="32" t="s">
        <v>176</v>
      </c>
      <c r="O83" s="37" t="s">
        <v>168</v>
      </c>
      <c r="P83" s="39">
        <v>1</v>
      </c>
      <c r="Q83" s="34" t="str">
        <f>VLOOKUP(P83,Key!$E$2:$F$9,2,FALSE)</f>
        <v>Home</v>
      </c>
      <c r="R83" s="37" t="s">
        <v>167</v>
      </c>
      <c r="S83" s="32" t="s">
        <v>167</v>
      </c>
      <c r="T83" s="37" t="s">
        <v>168</v>
      </c>
      <c r="U83" s="32">
        <v>6</v>
      </c>
      <c r="V83" s="34" t="str">
        <f>VLOOKUP(U83,Key!$E$2:$F$9,2,FALSE)</f>
        <v>Leisure/Social</v>
      </c>
      <c r="W83" s="34" t="str">
        <f t="shared" si="1"/>
        <v>Home-Leisure/Social</v>
      </c>
      <c r="X83" s="47">
        <v>30000</v>
      </c>
      <c r="Y83" s="38">
        <v>80</v>
      </c>
      <c r="Z83" s="38">
        <v>3</v>
      </c>
      <c r="AA83" s="32">
        <v>8</v>
      </c>
      <c r="AB83" s="34" t="str">
        <f>VLOOKUP(AA83,Key!$C$20:$D$29,2,FALSE)</f>
        <v>Student</v>
      </c>
      <c r="AC83" s="32">
        <v>1</v>
      </c>
      <c r="AD83" s="34" t="str">
        <f>VLOOKUP(AC83,Key!$E$20:$F$24,2,FALSE)</f>
        <v>&lt;300,000</v>
      </c>
      <c r="AE83" s="32">
        <v>2</v>
      </c>
      <c r="AF83" s="55">
        <v>3</v>
      </c>
      <c r="AG83" s="55">
        <v>5</v>
      </c>
      <c r="AH83" s="55">
        <v>1</v>
      </c>
      <c r="AI83" s="55">
        <v>4</v>
      </c>
      <c r="AJ83" s="39" t="s">
        <v>104</v>
      </c>
      <c r="AK83" s="40"/>
      <c r="AL83" s="24"/>
      <c r="AM83" s="24"/>
    </row>
    <row r="84" spans="1:39" x14ac:dyDescent="0.2">
      <c r="A84" s="10"/>
      <c r="B84" s="50">
        <v>43690</v>
      </c>
      <c r="C84" s="35">
        <v>0.4381944444444445</v>
      </c>
      <c r="D84" s="35"/>
      <c r="E84" s="35" t="s">
        <v>111</v>
      </c>
      <c r="F84" s="37">
        <v>2</v>
      </c>
      <c r="G84" s="42" t="str">
        <f>VLOOKUP(F84,Key!$A$17:$B$21,2,FALSE)</f>
        <v>Road Vehicle</v>
      </c>
      <c r="H84" s="36">
        <v>1</v>
      </c>
      <c r="I84" s="43" t="str">
        <f>VLOOKUP(H84,Key!$A$2:$B$13,2,FALSE)</f>
        <v>Car</v>
      </c>
      <c r="J84" s="37" t="s">
        <v>123</v>
      </c>
      <c r="K84" s="37">
        <v>1</v>
      </c>
      <c r="L84" s="45" t="str">
        <f>VLOOKUP(K84,Key!$A$24:$B$29,2,FALSE)</f>
        <v>20-29</v>
      </c>
      <c r="M84" s="37" t="s">
        <v>167</v>
      </c>
      <c r="N84" s="32" t="s">
        <v>167</v>
      </c>
      <c r="O84" s="37" t="s">
        <v>168</v>
      </c>
      <c r="P84" s="39">
        <v>2</v>
      </c>
      <c r="Q84" s="34" t="str">
        <f>VLOOKUP(P84,Key!$E$2:$F$9,2,FALSE)</f>
        <v>Work</v>
      </c>
      <c r="R84" s="37" t="s">
        <v>176</v>
      </c>
      <c r="S84" s="32" t="s">
        <v>176</v>
      </c>
      <c r="T84" s="37" t="s">
        <v>168</v>
      </c>
      <c r="U84" s="32">
        <v>6</v>
      </c>
      <c r="V84" s="34" t="str">
        <f>VLOOKUP(U84,Key!$E$2:$F$9,2,FALSE)</f>
        <v>Leisure/Social</v>
      </c>
      <c r="W84" s="34" t="str">
        <f t="shared" si="1"/>
        <v>Work-Leisure/Social</v>
      </c>
      <c r="X84" s="47">
        <v>40000</v>
      </c>
      <c r="Y84" s="38">
        <v>80</v>
      </c>
      <c r="Z84" s="38">
        <v>5</v>
      </c>
      <c r="AA84" s="32">
        <v>10</v>
      </c>
      <c r="AB84" s="34" t="str">
        <f>VLOOKUP(AA84,Key!$C$20:$D$29,2,FALSE)</f>
        <v>Other</v>
      </c>
      <c r="AC84" s="32">
        <v>2</v>
      </c>
      <c r="AD84" s="34" t="str">
        <f>VLOOKUP(AC84,Key!$E$20:$F$24,2,FALSE)</f>
        <v>300,000-500,000</v>
      </c>
      <c r="AE84" s="32">
        <v>2</v>
      </c>
      <c r="AF84" s="55">
        <v>3</v>
      </c>
      <c r="AG84" s="55">
        <v>1</v>
      </c>
      <c r="AH84" s="55">
        <v>1</v>
      </c>
      <c r="AI84" s="55">
        <v>3</v>
      </c>
      <c r="AJ84" s="39" t="s">
        <v>104</v>
      </c>
      <c r="AK84" s="40">
        <v>2000</v>
      </c>
      <c r="AL84" s="24"/>
      <c r="AM84" s="24"/>
    </row>
    <row r="85" spans="1:39" x14ac:dyDescent="0.2">
      <c r="B85" s="50">
        <v>43690</v>
      </c>
      <c r="C85" s="35">
        <v>0.54375000000000007</v>
      </c>
      <c r="D85" s="35"/>
      <c r="E85" s="35" t="s">
        <v>111</v>
      </c>
      <c r="F85" s="37">
        <v>2</v>
      </c>
      <c r="G85" s="42" t="str">
        <f>VLOOKUP(F85,Key!$A$17:$B$21,2,FALSE)</f>
        <v>Road Vehicle</v>
      </c>
      <c r="H85" s="36">
        <v>1</v>
      </c>
      <c r="I85" s="43" t="str">
        <f>VLOOKUP(H85,Key!$A$2:$B$13,2,FALSE)</f>
        <v>Car</v>
      </c>
      <c r="J85" s="37" t="s">
        <v>123</v>
      </c>
      <c r="K85" s="37">
        <v>2</v>
      </c>
      <c r="L85" s="45" t="str">
        <f>VLOOKUP(K85,Key!$A$24:$B$29,2,FALSE)</f>
        <v>30-39</v>
      </c>
      <c r="M85" s="37" t="s">
        <v>313</v>
      </c>
      <c r="N85" s="32" t="s">
        <v>190</v>
      </c>
      <c r="O85" s="37" t="s">
        <v>168</v>
      </c>
      <c r="P85" s="39">
        <v>1</v>
      </c>
      <c r="Q85" s="34" t="str">
        <f>VLOOKUP(P85,Key!$E$2:$F$9,2,FALSE)</f>
        <v>Home</v>
      </c>
      <c r="R85" s="37" t="s">
        <v>216</v>
      </c>
      <c r="S85" s="32" t="s">
        <v>167</v>
      </c>
      <c r="T85" s="37" t="s">
        <v>168</v>
      </c>
      <c r="U85" s="32">
        <v>2</v>
      </c>
      <c r="V85" s="34" t="str">
        <f>VLOOKUP(U85,Key!$E$2:$F$9,2,FALSE)</f>
        <v>Work</v>
      </c>
      <c r="W85" s="34" t="str">
        <f t="shared" si="1"/>
        <v>Home-Work</v>
      </c>
      <c r="X85" s="47">
        <v>30000</v>
      </c>
      <c r="Y85" s="38">
        <v>60</v>
      </c>
      <c r="Z85" s="38">
        <v>1.5</v>
      </c>
      <c r="AA85" s="32">
        <v>6</v>
      </c>
      <c r="AB85" s="34" t="str">
        <f>VLOOKUP(AA85,Key!$C$20:$D$29,2,FALSE)</f>
        <v>Businessman</v>
      </c>
      <c r="AC85" s="32">
        <v>5</v>
      </c>
      <c r="AD85" s="34" t="str">
        <f>VLOOKUP(AC85,Key!$E$20:$F$24,2,FALSE)</f>
        <v>&gt;1,000,000</v>
      </c>
      <c r="AE85" s="32">
        <v>1</v>
      </c>
      <c r="AF85" s="55">
        <v>1</v>
      </c>
      <c r="AG85" s="55">
        <v>1</v>
      </c>
      <c r="AH85" s="55">
        <v>1</v>
      </c>
      <c r="AI85" s="55">
        <v>1</v>
      </c>
      <c r="AJ85" s="39" t="s">
        <v>104</v>
      </c>
      <c r="AK85" s="40">
        <v>2000</v>
      </c>
      <c r="AL85" s="24"/>
      <c r="AM85" s="24"/>
    </row>
    <row r="86" spans="1:39" x14ac:dyDescent="0.2">
      <c r="A86" s="10"/>
      <c r="B86" s="50">
        <v>43686</v>
      </c>
      <c r="C86" s="35">
        <v>0.66180555555555554</v>
      </c>
      <c r="D86" s="35"/>
      <c r="E86" s="35" t="s">
        <v>111</v>
      </c>
      <c r="F86" s="37">
        <v>2</v>
      </c>
      <c r="G86" s="42" t="str">
        <f>VLOOKUP(F86,Key!$A$17:$B$21,2,FALSE)</f>
        <v>Road Vehicle</v>
      </c>
      <c r="H86" s="36">
        <v>1</v>
      </c>
      <c r="I86" s="43" t="str">
        <f>VLOOKUP(H86,Key!$A$2:$B$13,2,FALSE)</f>
        <v>Car</v>
      </c>
      <c r="J86" s="37" t="s">
        <v>123</v>
      </c>
      <c r="K86" s="37">
        <v>2</v>
      </c>
      <c r="L86" s="45" t="str">
        <f>VLOOKUP(K86,Key!$A$24:$B$29,2,FALSE)</f>
        <v>30-39</v>
      </c>
      <c r="M86" s="37" t="s">
        <v>167</v>
      </c>
      <c r="N86" s="32" t="s">
        <v>167</v>
      </c>
      <c r="O86" s="37" t="s">
        <v>168</v>
      </c>
      <c r="P86" s="39">
        <v>1</v>
      </c>
      <c r="Q86" s="34" t="str">
        <f>VLOOKUP(P86,Key!$E$2:$F$9,2,FALSE)</f>
        <v>Home</v>
      </c>
      <c r="R86" s="37" t="s">
        <v>179</v>
      </c>
      <c r="S86" s="32" t="s">
        <v>179</v>
      </c>
      <c r="T86" s="37" t="s">
        <v>168</v>
      </c>
      <c r="U86" s="32">
        <v>2</v>
      </c>
      <c r="V86" s="34" t="str">
        <f>VLOOKUP(U86,Key!$E$2:$F$9,2,FALSE)</f>
        <v>Work</v>
      </c>
      <c r="W86" s="34" t="str">
        <f t="shared" si="1"/>
        <v>Home-Work</v>
      </c>
      <c r="X86" s="47">
        <v>30000</v>
      </c>
      <c r="Y86" s="38">
        <v>62</v>
      </c>
      <c r="Z86" s="38">
        <v>1</v>
      </c>
      <c r="AA86" s="32">
        <v>5</v>
      </c>
      <c r="AB86" s="34" t="str">
        <f>VLOOKUP(AA86,Key!$C$20:$D$29,2,FALSE)</f>
        <v>Professional</v>
      </c>
      <c r="AC86" s="32">
        <v>3</v>
      </c>
      <c r="AD86" s="34" t="str">
        <f>VLOOKUP(AC86,Key!$E$20:$F$24,2,FALSE)</f>
        <v>500,000-750,000</v>
      </c>
      <c r="AE86" s="32">
        <v>2</v>
      </c>
      <c r="AF86" s="55">
        <v>3</v>
      </c>
      <c r="AG86" s="55">
        <v>4</v>
      </c>
      <c r="AH86" s="55">
        <v>1</v>
      </c>
      <c r="AI86" s="55">
        <v>5</v>
      </c>
      <c r="AJ86" s="39" t="s">
        <v>104</v>
      </c>
      <c r="AK86" s="40">
        <v>2000</v>
      </c>
      <c r="AL86" s="24"/>
      <c r="AM86" s="24"/>
    </row>
    <row r="87" spans="1:39" x14ac:dyDescent="0.2">
      <c r="B87" s="50">
        <v>43686</v>
      </c>
      <c r="C87" s="35">
        <v>0.65347222222222223</v>
      </c>
      <c r="D87" s="35"/>
      <c r="E87" s="35" t="s">
        <v>111</v>
      </c>
      <c r="F87" s="37">
        <v>2</v>
      </c>
      <c r="G87" s="42" t="str">
        <f>VLOOKUP(F87,Key!$A$17:$B$21,2,FALSE)</f>
        <v>Road Vehicle</v>
      </c>
      <c r="H87" s="36">
        <v>1</v>
      </c>
      <c r="I87" s="43" t="str">
        <f>VLOOKUP(H87,Key!$A$2:$B$13,2,FALSE)</f>
        <v>Car</v>
      </c>
      <c r="J87" s="37" t="s">
        <v>123</v>
      </c>
      <c r="K87" s="37">
        <v>2</v>
      </c>
      <c r="L87" s="45" t="str">
        <f>VLOOKUP(K87,Key!$A$24:$B$29,2,FALSE)</f>
        <v>30-39</v>
      </c>
      <c r="M87" s="37" t="s">
        <v>242</v>
      </c>
      <c r="N87" s="32" t="s">
        <v>167</v>
      </c>
      <c r="O87" s="37" t="s">
        <v>168</v>
      </c>
      <c r="P87" s="39">
        <v>2</v>
      </c>
      <c r="Q87" s="34" t="str">
        <f>VLOOKUP(P87,Key!$E$2:$F$9,2,FALSE)</f>
        <v>Work</v>
      </c>
      <c r="R87" s="37" t="s">
        <v>179</v>
      </c>
      <c r="S87" s="32" t="s">
        <v>179</v>
      </c>
      <c r="T87" s="37" t="s">
        <v>168</v>
      </c>
      <c r="U87" s="32">
        <v>2</v>
      </c>
      <c r="V87" s="34" t="str">
        <f>VLOOKUP(U87,Key!$E$2:$F$9,2,FALSE)</f>
        <v>Work</v>
      </c>
      <c r="W87" s="34" t="str">
        <f t="shared" si="1"/>
        <v>Work-Work</v>
      </c>
      <c r="X87" s="47">
        <v>30000</v>
      </c>
      <c r="Y87" s="38">
        <v>70</v>
      </c>
      <c r="Z87" s="38">
        <v>1.5</v>
      </c>
      <c r="AA87" s="32">
        <v>10</v>
      </c>
      <c r="AB87" s="34" t="str">
        <f>VLOOKUP(AA87,Key!$C$20:$D$29,2,FALSE)</f>
        <v>Other</v>
      </c>
      <c r="AC87" s="32">
        <v>2</v>
      </c>
      <c r="AD87" s="34" t="str">
        <f>VLOOKUP(AC87,Key!$E$20:$F$24,2,FALSE)</f>
        <v>300,000-500,000</v>
      </c>
      <c r="AE87" s="32">
        <v>2</v>
      </c>
      <c r="AF87" s="55">
        <v>3</v>
      </c>
      <c r="AG87" s="55">
        <v>4</v>
      </c>
      <c r="AH87" s="55">
        <v>1</v>
      </c>
      <c r="AI87" s="55">
        <v>5</v>
      </c>
      <c r="AJ87" s="39" t="s">
        <v>104</v>
      </c>
      <c r="AK87" s="40">
        <v>1500</v>
      </c>
      <c r="AL87" s="24"/>
      <c r="AM87" s="24"/>
    </row>
    <row r="88" spans="1:39" x14ac:dyDescent="0.2">
      <c r="B88" s="50">
        <v>43686</v>
      </c>
      <c r="C88" s="35">
        <v>0.66875000000000007</v>
      </c>
      <c r="D88" s="35"/>
      <c r="E88" s="35" t="s">
        <v>111</v>
      </c>
      <c r="F88" s="37">
        <v>2</v>
      </c>
      <c r="G88" s="42" t="str">
        <f>VLOOKUP(F88,Key!$A$17:$B$21,2,FALSE)</f>
        <v>Road Vehicle</v>
      </c>
      <c r="H88" s="36">
        <v>1</v>
      </c>
      <c r="I88" s="43" t="str">
        <f>VLOOKUP(H88,Key!$A$2:$B$13,2,FALSE)</f>
        <v>Car</v>
      </c>
      <c r="J88" s="37" t="s">
        <v>123</v>
      </c>
      <c r="K88" s="37">
        <v>2</v>
      </c>
      <c r="L88" s="45" t="str">
        <f>VLOOKUP(K88,Key!$A$24:$B$29,2,FALSE)</f>
        <v>30-39</v>
      </c>
      <c r="M88" s="37" t="s">
        <v>243</v>
      </c>
      <c r="N88" s="32" t="s">
        <v>173</v>
      </c>
      <c r="O88" s="37" t="s">
        <v>168</v>
      </c>
      <c r="P88" s="39">
        <v>1</v>
      </c>
      <c r="Q88" s="34" t="str">
        <f>VLOOKUP(P88,Key!$E$2:$F$9,2,FALSE)</f>
        <v>Home</v>
      </c>
      <c r="R88" s="37" t="s">
        <v>167</v>
      </c>
      <c r="S88" s="32" t="s">
        <v>167</v>
      </c>
      <c r="T88" s="37" t="s">
        <v>168</v>
      </c>
      <c r="U88" s="32">
        <v>4</v>
      </c>
      <c r="V88" s="34" t="str">
        <f>VLOOKUP(U88,Key!$E$2:$F$9,2,FALSE)</f>
        <v>Commercial</v>
      </c>
      <c r="W88" s="34" t="str">
        <f t="shared" si="1"/>
        <v>Home-Commercial</v>
      </c>
      <c r="X88" s="47">
        <v>40000</v>
      </c>
      <c r="Y88" s="38">
        <v>70</v>
      </c>
      <c r="Z88" s="38">
        <v>1.5</v>
      </c>
      <c r="AA88" s="32">
        <v>7</v>
      </c>
      <c r="AB88" s="34" t="str">
        <f>VLOOKUP(AA88,Key!$C$20:$D$29,2,FALSE)</f>
        <v>Farmer</v>
      </c>
      <c r="AC88" s="32">
        <v>2</v>
      </c>
      <c r="AD88" s="34" t="str">
        <f>VLOOKUP(AC88,Key!$E$20:$F$24,2,FALSE)</f>
        <v>300,000-500,000</v>
      </c>
      <c r="AE88" s="32">
        <v>2</v>
      </c>
      <c r="AF88" s="55">
        <v>5</v>
      </c>
      <c r="AG88" s="55">
        <v>4</v>
      </c>
      <c r="AH88" s="55">
        <v>1</v>
      </c>
      <c r="AI88" s="55">
        <v>3</v>
      </c>
      <c r="AJ88" s="39" t="s">
        <v>104</v>
      </c>
      <c r="AK88" s="40">
        <v>1000</v>
      </c>
      <c r="AL88" s="24"/>
      <c r="AM88" s="24"/>
    </row>
    <row r="89" spans="1:39" x14ac:dyDescent="0.2">
      <c r="B89" s="50">
        <v>43687</v>
      </c>
      <c r="C89" s="35">
        <v>0.43124999999999997</v>
      </c>
      <c r="D89" s="35"/>
      <c r="E89" s="35" t="s">
        <v>111</v>
      </c>
      <c r="F89" s="37">
        <v>2</v>
      </c>
      <c r="G89" s="42" t="str">
        <f>VLOOKUP(F89,Key!$A$17:$B$21,2,FALSE)</f>
        <v>Road Vehicle</v>
      </c>
      <c r="H89" s="36">
        <v>1</v>
      </c>
      <c r="I89" s="43" t="str">
        <f>VLOOKUP(H89,Key!$A$2:$B$13,2,FALSE)</f>
        <v>Car</v>
      </c>
      <c r="J89" s="37" t="s">
        <v>123</v>
      </c>
      <c r="K89" s="37">
        <v>2</v>
      </c>
      <c r="L89" s="45" t="str">
        <f>VLOOKUP(K89,Key!$A$24:$B$29,2,FALSE)</f>
        <v>30-39</v>
      </c>
      <c r="M89" s="37" t="s">
        <v>167</v>
      </c>
      <c r="N89" s="32" t="s">
        <v>167</v>
      </c>
      <c r="O89" s="37" t="s">
        <v>168</v>
      </c>
      <c r="P89" s="39">
        <v>1</v>
      </c>
      <c r="Q89" s="34" t="str">
        <f>VLOOKUP(P89,Key!$E$2:$F$9,2,FALSE)</f>
        <v>Home</v>
      </c>
      <c r="R89" s="37" t="s">
        <v>232</v>
      </c>
      <c r="S89" s="32" t="s">
        <v>188</v>
      </c>
      <c r="T89" s="37" t="s">
        <v>168</v>
      </c>
      <c r="U89" s="32">
        <v>2</v>
      </c>
      <c r="V89" s="34" t="str">
        <f>VLOOKUP(U89,Key!$E$2:$F$9,2,FALSE)</f>
        <v>Work</v>
      </c>
      <c r="W89" s="34" t="str">
        <f t="shared" si="1"/>
        <v>Home-Work</v>
      </c>
      <c r="X89" s="47">
        <v>45000</v>
      </c>
      <c r="Y89" s="38">
        <v>70</v>
      </c>
      <c r="Z89" s="38">
        <v>2</v>
      </c>
      <c r="AA89" s="32">
        <v>5</v>
      </c>
      <c r="AB89" s="34" t="str">
        <f>VLOOKUP(AA89,Key!$C$20:$D$29,2,FALSE)</f>
        <v>Professional</v>
      </c>
      <c r="AC89" s="32">
        <v>2</v>
      </c>
      <c r="AD89" s="34" t="str">
        <f>VLOOKUP(AC89,Key!$E$20:$F$24,2,FALSE)</f>
        <v>300,000-500,000</v>
      </c>
      <c r="AE89" s="32">
        <v>3</v>
      </c>
      <c r="AF89" s="55">
        <v>3</v>
      </c>
      <c r="AG89" s="55">
        <v>4</v>
      </c>
      <c r="AH89" s="55">
        <v>3</v>
      </c>
      <c r="AI89" s="55">
        <v>3</v>
      </c>
      <c r="AJ89" s="39" t="s">
        <v>104</v>
      </c>
      <c r="AK89" s="40">
        <v>1000</v>
      </c>
      <c r="AL89" s="24"/>
      <c r="AM89" s="24"/>
    </row>
    <row r="90" spans="1:39" x14ac:dyDescent="0.2">
      <c r="B90" s="50">
        <v>43687</v>
      </c>
      <c r="C90" s="35">
        <v>0.71527777777777779</v>
      </c>
      <c r="D90" s="35"/>
      <c r="E90" s="35" t="s">
        <v>111</v>
      </c>
      <c r="F90" s="37">
        <v>2</v>
      </c>
      <c r="G90" s="42" t="str">
        <f>VLOOKUP(F90,Key!$A$17:$B$21,2,FALSE)</f>
        <v>Road Vehicle</v>
      </c>
      <c r="H90" s="36">
        <v>1</v>
      </c>
      <c r="I90" s="43" t="str">
        <f>VLOOKUP(H90,Key!$A$2:$B$13,2,FALSE)</f>
        <v>Car</v>
      </c>
      <c r="J90" s="37" t="s">
        <v>123</v>
      </c>
      <c r="K90" s="37">
        <v>2</v>
      </c>
      <c r="L90" s="45" t="str">
        <f>VLOOKUP(K90,Key!$A$24:$B$29,2,FALSE)</f>
        <v>30-39</v>
      </c>
      <c r="M90" s="37" t="s">
        <v>176</v>
      </c>
      <c r="N90" s="32" t="s">
        <v>176</v>
      </c>
      <c r="O90" s="37" t="s">
        <v>168</v>
      </c>
      <c r="P90" s="39">
        <v>1</v>
      </c>
      <c r="Q90" s="34" t="str">
        <f>VLOOKUP(P90,Key!$E$2:$F$9,2,FALSE)</f>
        <v>Home</v>
      </c>
      <c r="R90" s="37" t="s">
        <v>167</v>
      </c>
      <c r="S90" s="32" t="s">
        <v>167</v>
      </c>
      <c r="T90" s="37" t="s">
        <v>168</v>
      </c>
      <c r="U90" s="32">
        <v>4</v>
      </c>
      <c r="V90" s="34" t="str">
        <f>VLOOKUP(U90,Key!$E$2:$F$9,2,FALSE)</f>
        <v>Commercial</v>
      </c>
      <c r="W90" s="34" t="str">
        <f t="shared" si="1"/>
        <v>Home-Commercial</v>
      </c>
      <c r="X90" s="47">
        <v>35000</v>
      </c>
      <c r="Y90" s="38">
        <v>75</v>
      </c>
      <c r="Z90" s="38">
        <v>3</v>
      </c>
      <c r="AA90" s="32">
        <v>6</v>
      </c>
      <c r="AB90" s="34" t="str">
        <f>VLOOKUP(AA90,Key!$C$20:$D$29,2,FALSE)</f>
        <v>Businessman</v>
      </c>
      <c r="AC90" s="32">
        <v>2</v>
      </c>
      <c r="AD90" s="34" t="str">
        <f>VLOOKUP(AC90,Key!$E$20:$F$24,2,FALSE)</f>
        <v>300,000-500,000</v>
      </c>
      <c r="AE90" s="32">
        <v>1</v>
      </c>
      <c r="AF90" s="55">
        <v>2</v>
      </c>
      <c r="AG90" s="55">
        <v>3</v>
      </c>
      <c r="AH90" s="55">
        <v>1</v>
      </c>
      <c r="AI90" s="55">
        <v>4</v>
      </c>
      <c r="AJ90" s="39" t="s">
        <v>104</v>
      </c>
      <c r="AK90" s="40">
        <v>3000</v>
      </c>
      <c r="AL90" s="24"/>
      <c r="AM90" s="24"/>
    </row>
    <row r="91" spans="1:39" x14ac:dyDescent="0.2">
      <c r="B91" s="50">
        <v>43688</v>
      </c>
      <c r="C91" s="35">
        <v>0.49861111111111112</v>
      </c>
      <c r="D91" s="35"/>
      <c r="E91" s="35" t="s">
        <v>111</v>
      </c>
      <c r="F91" s="37">
        <v>2</v>
      </c>
      <c r="G91" s="42" t="str">
        <f>VLOOKUP(F91,Key!$A$17:$B$21,2,FALSE)</f>
        <v>Road Vehicle</v>
      </c>
      <c r="H91" s="36">
        <v>1</v>
      </c>
      <c r="I91" s="43" t="str">
        <f>VLOOKUP(H91,Key!$A$2:$B$13,2,FALSE)</f>
        <v>Car</v>
      </c>
      <c r="J91" s="37" t="s">
        <v>123</v>
      </c>
      <c r="K91" s="37">
        <v>2</v>
      </c>
      <c r="L91" s="45" t="str">
        <f>VLOOKUP(K91,Key!$A$24:$B$29,2,FALSE)</f>
        <v>30-39</v>
      </c>
      <c r="M91" s="37" t="s">
        <v>176</v>
      </c>
      <c r="N91" s="32" t="s">
        <v>176</v>
      </c>
      <c r="O91" s="37" t="s">
        <v>168</v>
      </c>
      <c r="P91" s="39">
        <v>1</v>
      </c>
      <c r="Q91" s="34" t="str">
        <f>VLOOKUP(P91,Key!$E$2:$F$9,2,FALSE)</f>
        <v>Home</v>
      </c>
      <c r="R91" s="37" t="s">
        <v>167</v>
      </c>
      <c r="S91" s="32" t="s">
        <v>167</v>
      </c>
      <c r="T91" s="37" t="s">
        <v>168</v>
      </c>
      <c r="U91" s="32">
        <v>4</v>
      </c>
      <c r="V91" s="34" t="str">
        <f>VLOOKUP(U91,Key!$E$2:$F$9,2,FALSE)</f>
        <v>Commercial</v>
      </c>
      <c r="W91" s="34" t="str">
        <f t="shared" si="1"/>
        <v>Home-Commercial</v>
      </c>
      <c r="X91" s="47">
        <v>30000</v>
      </c>
      <c r="Y91" s="38">
        <v>80</v>
      </c>
      <c r="Z91" s="38">
        <v>1.5</v>
      </c>
      <c r="AA91" s="32">
        <v>5</v>
      </c>
      <c r="AB91" s="34" t="str">
        <f>VLOOKUP(AA91,Key!$C$20:$D$29,2,FALSE)</f>
        <v>Professional</v>
      </c>
      <c r="AC91" s="32">
        <v>2</v>
      </c>
      <c r="AD91" s="34" t="str">
        <f>VLOOKUP(AC91,Key!$E$20:$F$24,2,FALSE)</f>
        <v>300,000-500,000</v>
      </c>
      <c r="AE91" s="32">
        <v>2</v>
      </c>
      <c r="AF91" s="55">
        <v>3</v>
      </c>
      <c r="AG91" s="55">
        <v>4</v>
      </c>
      <c r="AH91" s="55">
        <v>1</v>
      </c>
      <c r="AI91" s="55">
        <v>5</v>
      </c>
      <c r="AJ91" s="39" t="s">
        <v>104</v>
      </c>
      <c r="AK91" s="40"/>
      <c r="AL91" s="24"/>
      <c r="AM91" s="24"/>
    </row>
    <row r="92" spans="1:39" x14ac:dyDescent="0.2">
      <c r="B92" s="50">
        <v>43688</v>
      </c>
      <c r="C92" s="35">
        <v>0.57777777777777783</v>
      </c>
      <c r="D92" s="35"/>
      <c r="E92" s="35" t="s">
        <v>111</v>
      </c>
      <c r="F92" s="37">
        <v>2</v>
      </c>
      <c r="G92" s="42" t="str">
        <f>VLOOKUP(F92,Key!$A$17:$B$21,2,FALSE)</f>
        <v>Road Vehicle</v>
      </c>
      <c r="H92" s="36">
        <v>1</v>
      </c>
      <c r="I92" s="43" t="str">
        <f>VLOOKUP(H92,Key!$A$2:$B$13,2,FALSE)</f>
        <v>Car</v>
      </c>
      <c r="J92" s="37" t="s">
        <v>123</v>
      </c>
      <c r="K92" s="37">
        <v>2</v>
      </c>
      <c r="L92" s="45" t="str">
        <f>VLOOKUP(K92,Key!$A$24:$B$29,2,FALSE)</f>
        <v>30-39</v>
      </c>
      <c r="M92" s="37" t="s">
        <v>176</v>
      </c>
      <c r="N92" s="32" t="s">
        <v>176</v>
      </c>
      <c r="O92" s="37" t="s">
        <v>168</v>
      </c>
      <c r="P92" s="39">
        <v>2</v>
      </c>
      <c r="Q92" s="34" t="str">
        <f>VLOOKUP(P92,Key!$E$2:$F$9,2,FALSE)</f>
        <v>Work</v>
      </c>
      <c r="R92" s="37" t="s">
        <v>167</v>
      </c>
      <c r="S92" s="32" t="s">
        <v>167</v>
      </c>
      <c r="T92" s="37" t="s">
        <v>168</v>
      </c>
      <c r="U92" s="32">
        <v>2</v>
      </c>
      <c r="V92" s="34" t="str">
        <f>VLOOKUP(U92,Key!$E$2:$F$9,2,FALSE)</f>
        <v>Work</v>
      </c>
      <c r="W92" s="34" t="str">
        <f t="shared" si="1"/>
        <v>Work-Work</v>
      </c>
      <c r="X92" s="47">
        <v>70000</v>
      </c>
      <c r="Y92" s="38">
        <v>80</v>
      </c>
      <c r="Z92" s="38">
        <v>2</v>
      </c>
      <c r="AA92" s="32">
        <v>5</v>
      </c>
      <c r="AB92" s="34" t="str">
        <f>VLOOKUP(AA92,Key!$C$20:$D$29,2,FALSE)</f>
        <v>Professional</v>
      </c>
      <c r="AC92" s="32">
        <v>3</v>
      </c>
      <c r="AD92" s="34" t="str">
        <f>VLOOKUP(AC92,Key!$E$20:$F$24,2,FALSE)</f>
        <v>500,000-750,000</v>
      </c>
      <c r="AE92" s="32">
        <v>3</v>
      </c>
      <c r="AF92" s="55">
        <v>4</v>
      </c>
      <c r="AG92" s="55">
        <v>3</v>
      </c>
      <c r="AH92" s="55">
        <v>4</v>
      </c>
      <c r="AI92" s="55">
        <v>2</v>
      </c>
      <c r="AJ92" s="39" t="s">
        <v>104</v>
      </c>
      <c r="AK92" s="40">
        <v>4000</v>
      </c>
      <c r="AL92" s="24"/>
      <c r="AM92" s="24"/>
    </row>
    <row r="93" spans="1:39" x14ac:dyDescent="0.2">
      <c r="B93" s="50">
        <v>43690</v>
      </c>
      <c r="C93" s="35">
        <v>0.63888888888888895</v>
      </c>
      <c r="D93" s="35"/>
      <c r="E93" s="35" t="s">
        <v>111</v>
      </c>
      <c r="F93" s="37">
        <v>2</v>
      </c>
      <c r="G93" s="42" t="str">
        <f>VLOOKUP(F93,Key!$A$17:$B$21,2,FALSE)</f>
        <v>Road Vehicle</v>
      </c>
      <c r="H93" s="36">
        <v>1</v>
      </c>
      <c r="I93" s="43" t="str">
        <f>VLOOKUP(H93,Key!$A$2:$B$13,2,FALSE)</f>
        <v>Car</v>
      </c>
      <c r="J93" s="37" t="s">
        <v>123</v>
      </c>
      <c r="K93" s="37">
        <v>2</v>
      </c>
      <c r="L93" s="45" t="str">
        <f>VLOOKUP(K93,Key!$A$24:$B$29,2,FALSE)</f>
        <v>30-39</v>
      </c>
      <c r="M93" s="37" t="s">
        <v>167</v>
      </c>
      <c r="N93" s="32" t="s">
        <v>167</v>
      </c>
      <c r="O93" s="37" t="s">
        <v>168</v>
      </c>
      <c r="P93" s="39">
        <v>1</v>
      </c>
      <c r="Q93" s="34" t="str">
        <f>VLOOKUP(P93,Key!$E$2:$F$9,2,FALSE)</f>
        <v>Home</v>
      </c>
      <c r="R93" s="37" t="s">
        <v>176</v>
      </c>
      <c r="S93" s="32" t="s">
        <v>176</v>
      </c>
      <c r="T93" s="37" t="s">
        <v>168</v>
      </c>
      <c r="U93" s="32">
        <v>4</v>
      </c>
      <c r="V93" s="34" t="str">
        <f>VLOOKUP(U93,Key!$E$2:$F$9,2,FALSE)</f>
        <v>Commercial</v>
      </c>
      <c r="W93" s="34" t="str">
        <f t="shared" si="1"/>
        <v>Home-Commercial</v>
      </c>
      <c r="X93" s="47">
        <v>40000</v>
      </c>
      <c r="Y93" s="38">
        <v>80</v>
      </c>
      <c r="Z93" s="38">
        <v>2.5</v>
      </c>
      <c r="AA93" s="32">
        <v>6</v>
      </c>
      <c r="AB93" s="34" t="str">
        <f>VLOOKUP(AA93,Key!$C$20:$D$29,2,FALSE)</f>
        <v>Businessman</v>
      </c>
      <c r="AC93" s="32">
        <v>3</v>
      </c>
      <c r="AD93" s="34" t="str">
        <f>VLOOKUP(AC93,Key!$E$20:$F$24,2,FALSE)</f>
        <v>500,000-750,000</v>
      </c>
      <c r="AE93" s="32">
        <v>2</v>
      </c>
      <c r="AF93" s="55">
        <v>3</v>
      </c>
      <c r="AG93" s="55">
        <v>5</v>
      </c>
      <c r="AH93" s="55">
        <v>1</v>
      </c>
      <c r="AI93" s="55">
        <v>4</v>
      </c>
      <c r="AJ93" s="39" t="s">
        <v>104</v>
      </c>
      <c r="AK93" s="40">
        <v>4000</v>
      </c>
      <c r="AL93" s="24"/>
      <c r="AM93" s="24"/>
    </row>
    <row r="94" spans="1:39" x14ac:dyDescent="0.2">
      <c r="A94" s="10"/>
      <c r="B94" s="50">
        <v>43690</v>
      </c>
      <c r="C94" s="35">
        <v>0.4458333333333333</v>
      </c>
      <c r="D94" s="35"/>
      <c r="E94" s="35" t="s">
        <v>111</v>
      </c>
      <c r="F94" s="37">
        <v>2</v>
      </c>
      <c r="G94" s="42" t="str">
        <f>VLOOKUP(F94,Key!$A$17:$B$21,2,FALSE)</f>
        <v>Road Vehicle</v>
      </c>
      <c r="H94" s="36">
        <v>1</v>
      </c>
      <c r="I94" s="43" t="str">
        <f>VLOOKUP(H94,Key!$A$2:$B$13,2,FALSE)</f>
        <v>Car</v>
      </c>
      <c r="J94" s="37" t="s">
        <v>123</v>
      </c>
      <c r="K94" s="37">
        <v>2</v>
      </c>
      <c r="L94" s="45" t="str">
        <f>VLOOKUP(K94,Key!$A$24:$B$29,2,FALSE)</f>
        <v>30-39</v>
      </c>
      <c r="M94" s="37" t="s">
        <v>167</v>
      </c>
      <c r="N94" s="32" t="s">
        <v>167</v>
      </c>
      <c r="O94" s="37" t="s">
        <v>168</v>
      </c>
      <c r="P94" s="39">
        <v>1</v>
      </c>
      <c r="Q94" s="34" t="str">
        <f>VLOOKUP(P94,Key!$E$2:$F$9,2,FALSE)</f>
        <v>Home</v>
      </c>
      <c r="R94" s="37" t="s">
        <v>176</v>
      </c>
      <c r="S94" s="32" t="s">
        <v>176</v>
      </c>
      <c r="T94" s="37" t="s">
        <v>168</v>
      </c>
      <c r="U94" s="32">
        <v>4</v>
      </c>
      <c r="V94" s="34" t="str">
        <f>VLOOKUP(U94,Key!$E$2:$F$9,2,FALSE)</f>
        <v>Commercial</v>
      </c>
      <c r="W94" s="34" t="str">
        <f t="shared" si="1"/>
        <v>Home-Commercial</v>
      </c>
      <c r="X94" s="47">
        <v>50000</v>
      </c>
      <c r="Y94" s="38">
        <v>80</v>
      </c>
      <c r="Z94" s="38">
        <v>2.5</v>
      </c>
      <c r="AA94" s="32">
        <v>6</v>
      </c>
      <c r="AB94" s="34" t="str">
        <f>VLOOKUP(AA94,Key!$C$20:$D$29,2,FALSE)</f>
        <v>Businessman</v>
      </c>
      <c r="AC94" s="32">
        <v>2</v>
      </c>
      <c r="AD94" s="34" t="str">
        <f>VLOOKUP(AC94,Key!$E$20:$F$24,2,FALSE)</f>
        <v>300,000-500,000</v>
      </c>
      <c r="AE94" s="32">
        <v>2</v>
      </c>
      <c r="AF94" s="55">
        <v>3</v>
      </c>
      <c r="AG94" s="55">
        <v>4</v>
      </c>
      <c r="AH94" s="55">
        <v>1</v>
      </c>
      <c r="AI94" s="55">
        <v>5</v>
      </c>
      <c r="AJ94" s="39" t="s">
        <v>104</v>
      </c>
      <c r="AK94" s="40"/>
      <c r="AL94" s="24"/>
      <c r="AM94" s="24"/>
    </row>
    <row r="95" spans="1:39" x14ac:dyDescent="0.2">
      <c r="B95" s="50">
        <v>43687</v>
      </c>
      <c r="C95" s="35">
        <v>0.39930555555555558</v>
      </c>
      <c r="D95" s="35"/>
      <c r="E95" s="35" t="s">
        <v>111</v>
      </c>
      <c r="F95" s="37">
        <v>2</v>
      </c>
      <c r="G95" s="42" t="str">
        <f>VLOOKUP(F95,Key!$A$17:$B$21,2,FALSE)</f>
        <v>Road Vehicle</v>
      </c>
      <c r="H95" s="36">
        <v>1</v>
      </c>
      <c r="I95" s="43" t="str">
        <f>VLOOKUP(H95,Key!$A$2:$B$13,2,FALSE)</f>
        <v>Car</v>
      </c>
      <c r="J95" s="37" t="s">
        <v>123</v>
      </c>
      <c r="K95" s="37">
        <v>2</v>
      </c>
      <c r="L95" s="45" t="str">
        <f>VLOOKUP(K95,Key!$A$24:$B$29,2,FALSE)</f>
        <v>30-39</v>
      </c>
      <c r="M95" s="37" t="s">
        <v>176</v>
      </c>
      <c r="N95" s="32" t="s">
        <v>176</v>
      </c>
      <c r="O95" s="37" t="s">
        <v>168</v>
      </c>
      <c r="P95" s="39">
        <v>2</v>
      </c>
      <c r="Q95" s="34" t="str">
        <f>VLOOKUP(P95,Key!$E$2:$F$9,2,FALSE)</f>
        <v>Work</v>
      </c>
      <c r="R95" s="37" t="s">
        <v>167</v>
      </c>
      <c r="S95" s="32" t="s">
        <v>167</v>
      </c>
      <c r="T95" s="37" t="s">
        <v>168</v>
      </c>
      <c r="U95" s="32">
        <v>1</v>
      </c>
      <c r="V95" s="34" t="str">
        <f>VLOOKUP(U95,Key!$E$2:$F$9,2,FALSE)</f>
        <v>Home</v>
      </c>
      <c r="W95" s="34" t="str">
        <f t="shared" si="1"/>
        <v>Work-Home</v>
      </c>
      <c r="X95" s="47">
        <v>40000</v>
      </c>
      <c r="Y95" s="38">
        <v>80</v>
      </c>
      <c r="Z95" s="38">
        <v>3</v>
      </c>
      <c r="AA95" s="32">
        <v>10</v>
      </c>
      <c r="AB95" s="34" t="str">
        <f>VLOOKUP(AA95,Key!$C$20:$D$29,2,FALSE)</f>
        <v>Other</v>
      </c>
      <c r="AC95" s="32">
        <v>2</v>
      </c>
      <c r="AD95" s="34" t="str">
        <f>VLOOKUP(AC95,Key!$E$20:$F$24,2,FALSE)</f>
        <v>300,000-500,000</v>
      </c>
      <c r="AE95" s="32">
        <v>2</v>
      </c>
      <c r="AF95" s="55">
        <v>3</v>
      </c>
      <c r="AG95" s="55">
        <v>4</v>
      </c>
      <c r="AH95" s="55">
        <v>1</v>
      </c>
      <c r="AI95" s="55">
        <v>5</v>
      </c>
      <c r="AJ95" s="39" t="s">
        <v>104</v>
      </c>
      <c r="AK95" s="40"/>
      <c r="AL95" s="24"/>
      <c r="AM95" s="24"/>
    </row>
    <row r="96" spans="1:39" x14ac:dyDescent="0.2">
      <c r="B96" s="50">
        <v>43687</v>
      </c>
      <c r="C96" s="35">
        <v>0.73125000000000007</v>
      </c>
      <c r="D96" s="35"/>
      <c r="E96" s="35" t="s">
        <v>111</v>
      </c>
      <c r="F96" s="37">
        <v>2</v>
      </c>
      <c r="G96" s="42" t="str">
        <f>VLOOKUP(F96,Key!$A$17:$B$21,2,FALSE)</f>
        <v>Road Vehicle</v>
      </c>
      <c r="H96" s="36">
        <v>1</v>
      </c>
      <c r="I96" s="43" t="str">
        <f>VLOOKUP(H96,Key!$A$2:$B$13,2,FALSE)</f>
        <v>Car</v>
      </c>
      <c r="J96" s="37" t="s">
        <v>123</v>
      </c>
      <c r="K96" s="13">
        <v>2</v>
      </c>
      <c r="L96" s="45" t="str">
        <f>VLOOKUP(K96,Key!$A$24:$B$29,2,FALSE)</f>
        <v>30-39</v>
      </c>
      <c r="M96" s="44" t="s">
        <v>167</v>
      </c>
      <c r="N96" s="32" t="s">
        <v>167</v>
      </c>
      <c r="O96" s="37" t="s">
        <v>168</v>
      </c>
      <c r="P96" s="39">
        <v>1</v>
      </c>
      <c r="Q96" s="34" t="str">
        <f>VLOOKUP(P96,Key!$E$2:$F$9,2,FALSE)</f>
        <v>Home</v>
      </c>
      <c r="R96" s="37" t="s">
        <v>176</v>
      </c>
      <c r="S96" s="32" t="s">
        <v>176</v>
      </c>
      <c r="T96" s="37" t="s">
        <v>168</v>
      </c>
      <c r="U96" s="32">
        <v>2</v>
      </c>
      <c r="V96" s="34" t="str">
        <f>VLOOKUP(U96,Key!$E$2:$F$9,2,FALSE)</f>
        <v>Work</v>
      </c>
      <c r="W96" s="34" t="str">
        <f t="shared" si="1"/>
        <v>Home-Work</v>
      </c>
      <c r="X96" s="47">
        <v>40000</v>
      </c>
      <c r="Y96" s="38">
        <v>80</v>
      </c>
      <c r="Z96" s="38">
        <v>3</v>
      </c>
      <c r="AA96" s="32">
        <v>5</v>
      </c>
      <c r="AB96" s="34" t="str">
        <f>VLOOKUP(AA96,Key!$C$20:$D$29,2,FALSE)</f>
        <v>Professional</v>
      </c>
      <c r="AC96" s="32">
        <v>3</v>
      </c>
      <c r="AD96" s="34" t="str">
        <f>VLOOKUP(AC96,Key!$E$20:$F$24,2,FALSE)</f>
        <v>500,000-750,000</v>
      </c>
      <c r="AE96" s="32">
        <v>3</v>
      </c>
      <c r="AF96" s="55">
        <v>2</v>
      </c>
      <c r="AG96" s="55">
        <v>4</v>
      </c>
      <c r="AH96" s="55">
        <v>1</v>
      </c>
      <c r="AI96" s="55">
        <v>5</v>
      </c>
      <c r="AJ96" s="39" t="s">
        <v>104</v>
      </c>
      <c r="AK96" s="40">
        <v>2000</v>
      </c>
      <c r="AL96" s="24"/>
      <c r="AM96" s="24"/>
    </row>
    <row r="97" spans="1:39" x14ac:dyDescent="0.2">
      <c r="A97" s="10"/>
      <c r="B97" s="50">
        <v>43690</v>
      </c>
      <c r="C97" s="35">
        <v>0.67361111111111116</v>
      </c>
      <c r="D97" s="35"/>
      <c r="E97" s="35" t="s">
        <v>111</v>
      </c>
      <c r="F97" s="37">
        <v>2</v>
      </c>
      <c r="G97" s="42" t="str">
        <f>VLOOKUP(F97,Key!$A$17:$B$21,2,FALSE)</f>
        <v>Road Vehicle</v>
      </c>
      <c r="H97" s="36">
        <v>1</v>
      </c>
      <c r="I97" s="43" t="str">
        <f>VLOOKUP(H97,Key!$A$2:$B$13,2,FALSE)</f>
        <v>Car</v>
      </c>
      <c r="J97" s="37" t="s">
        <v>123</v>
      </c>
      <c r="K97" s="37">
        <v>2</v>
      </c>
      <c r="L97" s="45" t="str">
        <f>VLOOKUP(K97,Key!$A$24:$B$29,2,FALSE)</f>
        <v>30-39</v>
      </c>
      <c r="M97" s="37" t="s">
        <v>167</v>
      </c>
      <c r="N97" s="32" t="s">
        <v>167</v>
      </c>
      <c r="O97" s="37" t="s">
        <v>168</v>
      </c>
      <c r="P97" s="39">
        <v>2</v>
      </c>
      <c r="Q97" s="34" t="str">
        <f>VLOOKUP(P97,Key!$E$2:$F$9,2,FALSE)</f>
        <v>Work</v>
      </c>
      <c r="R97" s="37" t="s">
        <v>176</v>
      </c>
      <c r="S97" s="32" t="s">
        <v>176</v>
      </c>
      <c r="T97" s="37" t="s">
        <v>168</v>
      </c>
      <c r="U97" s="32">
        <v>2</v>
      </c>
      <c r="V97" s="34" t="str">
        <f>VLOOKUP(U97,Key!$E$2:$F$9,2,FALSE)</f>
        <v>Work</v>
      </c>
      <c r="W97" s="34" t="str">
        <f t="shared" si="1"/>
        <v>Work-Work</v>
      </c>
      <c r="X97" s="47">
        <v>140000</v>
      </c>
      <c r="Y97" s="38">
        <v>80</v>
      </c>
      <c r="Z97" s="38">
        <v>8</v>
      </c>
      <c r="AA97" s="32">
        <v>6</v>
      </c>
      <c r="AB97" s="34" t="str">
        <f>VLOOKUP(AA97,Key!$C$20:$D$29,2,FALSE)</f>
        <v>Businessman</v>
      </c>
      <c r="AC97" s="32">
        <v>3</v>
      </c>
      <c r="AD97" s="34" t="str">
        <f>VLOOKUP(AC97,Key!$E$20:$F$24,2,FALSE)</f>
        <v>500,000-750,000</v>
      </c>
      <c r="AE97" s="32">
        <v>3</v>
      </c>
      <c r="AF97" s="55">
        <v>4</v>
      </c>
      <c r="AG97" s="55">
        <v>3</v>
      </c>
      <c r="AH97" s="55">
        <v>3</v>
      </c>
      <c r="AI97" s="55">
        <v>3</v>
      </c>
      <c r="AJ97" s="39" t="s">
        <v>104</v>
      </c>
      <c r="AK97" s="40">
        <v>5000</v>
      </c>
      <c r="AL97" s="24"/>
      <c r="AM97" s="24"/>
    </row>
    <row r="98" spans="1:39" x14ac:dyDescent="0.2">
      <c r="B98" s="50">
        <v>43687</v>
      </c>
      <c r="C98" s="35">
        <v>0.55555555555555558</v>
      </c>
      <c r="D98" s="35"/>
      <c r="E98" s="35" t="s">
        <v>111</v>
      </c>
      <c r="F98" s="37">
        <v>2</v>
      </c>
      <c r="G98" s="42" t="str">
        <f>VLOOKUP(F98,Key!$A$17:$B$21,2,FALSE)</f>
        <v>Road Vehicle</v>
      </c>
      <c r="H98" s="36">
        <v>1</v>
      </c>
      <c r="I98" s="43" t="str">
        <f>VLOOKUP(H98,Key!$A$2:$B$13,2,FALSE)</f>
        <v>Car</v>
      </c>
      <c r="J98" s="37" t="s">
        <v>123</v>
      </c>
      <c r="K98" s="37">
        <v>2</v>
      </c>
      <c r="L98" s="45" t="str">
        <f>VLOOKUP(K98,Key!$A$24:$B$29,2,FALSE)</f>
        <v>30-39</v>
      </c>
      <c r="M98" s="37" t="s">
        <v>299</v>
      </c>
      <c r="N98" s="32" t="s">
        <v>167</v>
      </c>
      <c r="O98" s="37" t="s">
        <v>168</v>
      </c>
      <c r="P98" s="39">
        <v>1</v>
      </c>
      <c r="Q98" s="34" t="str">
        <f>VLOOKUP(P98,Key!$E$2:$F$9,2,FALSE)</f>
        <v>Home</v>
      </c>
      <c r="R98" s="37" t="s">
        <v>176</v>
      </c>
      <c r="S98" s="32" t="s">
        <v>176</v>
      </c>
      <c r="T98" s="37" t="s">
        <v>168</v>
      </c>
      <c r="U98" s="32">
        <v>6</v>
      </c>
      <c r="V98" s="34" t="str">
        <f>VLOOKUP(U98,Key!$E$2:$F$9,2,FALSE)</f>
        <v>Leisure/Social</v>
      </c>
      <c r="W98" s="34" t="str">
        <f t="shared" si="1"/>
        <v>Home-Leisure/Social</v>
      </c>
      <c r="X98" s="47">
        <v>45000</v>
      </c>
      <c r="Y98" s="38">
        <v>82</v>
      </c>
      <c r="Z98" s="38">
        <v>3.5</v>
      </c>
      <c r="AA98" s="32">
        <v>6</v>
      </c>
      <c r="AB98" s="34" t="str">
        <f>VLOOKUP(AA98,Key!$C$20:$D$29,2,FALSE)</f>
        <v>Businessman</v>
      </c>
      <c r="AC98" s="32">
        <v>2</v>
      </c>
      <c r="AD98" s="34" t="str">
        <f>VLOOKUP(AC98,Key!$E$20:$F$24,2,FALSE)</f>
        <v>300,000-500,000</v>
      </c>
      <c r="AE98" s="32">
        <v>3</v>
      </c>
      <c r="AF98" s="55">
        <v>3</v>
      </c>
      <c r="AG98" s="55">
        <v>2</v>
      </c>
      <c r="AH98" s="55">
        <v>3</v>
      </c>
      <c r="AI98" s="55">
        <v>2</v>
      </c>
      <c r="AJ98" s="39" t="s">
        <v>104</v>
      </c>
      <c r="AK98" s="40">
        <v>2000</v>
      </c>
      <c r="AL98" s="24"/>
      <c r="AM98" s="24"/>
    </row>
    <row r="99" spans="1:39" x14ac:dyDescent="0.2">
      <c r="B99" s="50">
        <v>43687</v>
      </c>
      <c r="C99" s="35">
        <v>0.63055555555555554</v>
      </c>
      <c r="D99" s="35"/>
      <c r="E99" s="35" t="s">
        <v>111</v>
      </c>
      <c r="F99" s="37">
        <v>2</v>
      </c>
      <c r="G99" s="42" t="str">
        <f>VLOOKUP(F99,Key!$A$17:$B$21,2,FALSE)</f>
        <v>Road Vehicle</v>
      </c>
      <c r="H99" s="36">
        <v>1</v>
      </c>
      <c r="I99" s="43" t="str">
        <f>VLOOKUP(H99,Key!$A$2:$B$13,2,FALSE)</f>
        <v>Car</v>
      </c>
      <c r="J99" s="37" t="s">
        <v>123</v>
      </c>
      <c r="K99" s="37">
        <v>2</v>
      </c>
      <c r="L99" s="45" t="str">
        <f>VLOOKUP(K99,Key!$A$24:$B$29,2,FALSE)</f>
        <v>30-39</v>
      </c>
      <c r="M99" s="37" t="s">
        <v>187</v>
      </c>
      <c r="N99" s="32" t="s">
        <v>167</v>
      </c>
      <c r="O99" s="37" t="s">
        <v>168</v>
      </c>
      <c r="P99" s="39">
        <v>2</v>
      </c>
      <c r="Q99" s="34" t="str">
        <f>VLOOKUP(P99,Key!$E$2:$F$9,2,FALSE)</f>
        <v>Work</v>
      </c>
      <c r="R99" s="37" t="s">
        <v>176</v>
      </c>
      <c r="S99" s="32" t="s">
        <v>176</v>
      </c>
      <c r="T99" s="37" t="s">
        <v>168</v>
      </c>
      <c r="U99" s="32">
        <v>4</v>
      </c>
      <c r="V99" s="34" t="str">
        <f>VLOOKUP(U99,Key!$E$2:$F$9,2,FALSE)</f>
        <v>Commercial</v>
      </c>
      <c r="W99" s="34" t="str">
        <f t="shared" si="1"/>
        <v>Work-Commercial</v>
      </c>
      <c r="X99" s="47">
        <v>50000</v>
      </c>
      <c r="Y99" s="38">
        <v>82</v>
      </c>
      <c r="Z99" s="38">
        <v>4</v>
      </c>
      <c r="AA99" s="32">
        <v>6</v>
      </c>
      <c r="AB99" s="34" t="str">
        <f>VLOOKUP(AA99,Key!$C$20:$D$29,2,FALSE)</f>
        <v>Businessman</v>
      </c>
      <c r="AC99" s="32">
        <v>2</v>
      </c>
      <c r="AD99" s="34" t="str">
        <f>VLOOKUP(AC99,Key!$E$20:$F$24,2,FALSE)</f>
        <v>300,000-500,000</v>
      </c>
      <c r="AE99" s="32">
        <v>3</v>
      </c>
      <c r="AF99" s="55">
        <v>2</v>
      </c>
      <c r="AG99" s="55">
        <v>2</v>
      </c>
      <c r="AH99" s="55">
        <v>3</v>
      </c>
      <c r="AI99" s="55">
        <v>2</v>
      </c>
      <c r="AJ99" s="39" t="s">
        <v>104</v>
      </c>
      <c r="AK99" s="40">
        <v>2500</v>
      </c>
      <c r="AL99" s="24"/>
      <c r="AM99" s="24"/>
    </row>
    <row r="100" spans="1:39" x14ac:dyDescent="0.2">
      <c r="B100" s="50">
        <v>43688</v>
      </c>
      <c r="C100" s="35">
        <v>0.65277777777777779</v>
      </c>
      <c r="D100" s="35"/>
      <c r="E100" s="35" t="s">
        <v>111</v>
      </c>
      <c r="F100" s="37">
        <v>2</v>
      </c>
      <c r="G100" s="42" t="str">
        <f>VLOOKUP(F100,Key!$A$17:$B$21,2,FALSE)</f>
        <v>Road Vehicle</v>
      </c>
      <c r="H100" s="36">
        <v>1</v>
      </c>
      <c r="I100" s="43" t="str">
        <f>VLOOKUP(H100,Key!$A$2:$B$13,2,FALSE)</f>
        <v>Car</v>
      </c>
      <c r="J100" s="37" t="s">
        <v>123</v>
      </c>
      <c r="K100" s="37">
        <v>2</v>
      </c>
      <c r="L100" s="45" t="str">
        <f>VLOOKUP(K100,Key!$A$24:$B$29,2,FALSE)</f>
        <v>30-39</v>
      </c>
      <c r="M100" s="37" t="s">
        <v>237</v>
      </c>
      <c r="N100" s="32" t="s">
        <v>176</v>
      </c>
      <c r="O100" s="37" t="s">
        <v>168</v>
      </c>
      <c r="P100" s="39">
        <v>1</v>
      </c>
      <c r="Q100" s="34" t="str">
        <f>VLOOKUP(P100,Key!$E$2:$F$9,2,FALSE)</f>
        <v>Home</v>
      </c>
      <c r="R100" s="37" t="s">
        <v>167</v>
      </c>
      <c r="S100" s="32" t="s">
        <v>167</v>
      </c>
      <c r="T100" s="37" t="s">
        <v>168</v>
      </c>
      <c r="U100" s="32">
        <v>6</v>
      </c>
      <c r="V100" s="34" t="str">
        <f>VLOOKUP(U100,Key!$E$2:$F$9,2,FALSE)</f>
        <v>Leisure/Social</v>
      </c>
      <c r="W100" s="34" t="str">
        <f t="shared" si="1"/>
        <v>Home-Leisure/Social</v>
      </c>
      <c r="X100" s="47">
        <v>40000</v>
      </c>
      <c r="Y100" s="38">
        <v>90</v>
      </c>
      <c r="Z100" s="38">
        <v>4</v>
      </c>
      <c r="AA100" s="32">
        <v>10</v>
      </c>
      <c r="AB100" s="34" t="str">
        <f>VLOOKUP(AA100,Key!$C$20:$D$29,2,FALSE)</f>
        <v>Other</v>
      </c>
      <c r="AC100" s="32">
        <v>2</v>
      </c>
      <c r="AD100" s="34" t="str">
        <f>VLOOKUP(AC100,Key!$E$20:$F$24,2,FALSE)</f>
        <v>300,000-500,000</v>
      </c>
      <c r="AE100" s="32">
        <v>1</v>
      </c>
      <c r="AF100" s="55">
        <v>2</v>
      </c>
      <c r="AG100" s="55">
        <v>3</v>
      </c>
      <c r="AH100" s="55">
        <v>2</v>
      </c>
      <c r="AI100" s="55">
        <v>4</v>
      </c>
      <c r="AJ100" s="39" t="s">
        <v>104</v>
      </c>
      <c r="AK100" s="40">
        <v>3000</v>
      </c>
      <c r="AL100" s="24"/>
      <c r="AM100" s="24"/>
    </row>
    <row r="101" spans="1:39" x14ac:dyDescent="0.2">
      <c r="A101" s="10"/>
      <c r="B101" s="50">
        <v>43690</v>
      </c>
      <c r="C101" s="35">
        <v>0.44097222222222227</v>
      </c>
      <c r="D101" s="35"/>
      <c r="E101" s="35" t="s">
        <v>111</v>
      </c>
      <c r="F101" s="37">
        <v>2</v>
      </c>
      <c r="G101" s="42" t="str">
        <f>VLOOKUP(F101,Key!$A$17:$B$21,2,FALSE)</f>
        <v>Road Vehicle</v>
      </c>
      <c r="H101" s="36">
        <v>1</v>
      </c>
      <c r="I101" s="43" t="str">
        <f>VLOOKUP(H101,Key!$A$2:$B$13,2,FALSE)</f>
        <v>Car</v>
      </c>
      <c r="J101" s="37" t="s">
        <v>123</v>
      </c>
      <c r="K101" s="37">
        <v>2</v>
      </c>
      <c r="L101" s="45" t="str">
        <f>VLOOKUP(K101,Key!$A$24:$B$29,2,FALSE)</f>
        <v>30-39</v>
      </c>
      <c r="M101" s="37" t="s">
        <v>182</v>
      </c>
      <c r="N101" s="32" t="s">
        <v>167</v>
      </c>
      <c r="O101" s="37" t="s">
        <v>168</v>
      </c>
      <c r="P101" s="39">
        <v>1</v>
      </c>
      <c r="Q101" s="34" t="str">
        <f>VLOOKUP(P101,Key!$E$2:$F$9,2,FALSE)</f>
        <v>Home</v>
      </c>
      <c r="R101" s="37" t="s">
        <v>176</v>
      </c>
      <c r="S101" s="32" t="s">
        <v>176</v>
      </c>
      <c r="T101" s="37" t="s">
        <v>168</v>
      </c>
      <c r="U101" s="32">
        <v>6</v>
      </c>
      <c r="V101" s="34" t="str">
        <f>VLOOKUP(U101,Key!$E$2:$F$9,2,FALSE)</f>
        <v>Leisure/Social</v>
      </c>
      <c r="W101" s="34" t="str">
        <f t="shared" si="1"/>
        <v>Home-Leisure/Social</v>
      </c>
      <c r="X101" s="47">
        <v>60000</v>
      </c>
      <c r="Y101" s="38">
        <v>90</v>
      </c>
      <c r="Z101" s="38">
        <v>4</v>
      </c>
      <c r="AA101" s="32">
        <v>4</v>
      </c>
      <c r="AB101" s="34" t="str">
        <f>VLOOKUP(AA101,Key!$C$20:$D$29,2,FALSE)</f>
        <v>Office Worker</v>
      </c>
      <c r="AC101" s="32">
        <v>3</v>
      </c>
      <c r="AD101" s="34" t="str">
        <f>VLOOKUP(AC101,Key!$E$20:$F$24,2,FALSE)</f>
        <v>500,000-750,000</v>
      </c>
      <c r="AE101" s="32">
        <v>2</v>
      </c>
      <c r="AF101" s="55">
        <v>3</v>
      </c>
      <c r="AG101" s="55">
        <v>3</v>
      </c>
      <c r="AH101" s="55">
        <v>1</v>
      </c>
      <c r="AI101" s="55">
        <v>4</v>
      </c>
      <c r="AJ101" s="39" t="s">
        <v>104</v>
      </c>
      <c r="AK101" s="40"/>
      <c r="AL101" s="24"/>
      <c r="AM101" s="24"/>
    </row>
    <row r="102" spans="1:39" x14ac:dyDescent="0.2">
      <c r="B102" s="50">
        <v>43686</v>
      </c>
      <c r="C102" s="35">
        <v>0.625</v>
      </c>
      <c r="D102" s="35"/>
      <c r="E102" s="35" t="s">
        <v>111</v>
      </c>
      <c r="F102" s="37">
        <v>2</v>
      </c>
      <c r="G102" s="42" t="str">
        <f>VLOOKUP(F102,Key!$A$17:$B$21,2,FALSE)</f>
        <v>Road Vehicle</v>
      </c>
      <c r="H102" s="36">
        <v>1</v>
      </c>
      <c r="I102" s="43" t="str">
        <f>VLOOKUP(H102,Key!$A$2:$B$13,2,FALSE)</f>
        <v>Car</v>
      </c>
      <c r="J102" s="37" t="s">
        <v>123</v>
      </c>
      <c r="K102" s="37">
        <v>3</v>
      </c>
      <c r="L102" s="45" t="str">
        <f>VLOOKUP(K102,Key!$A$24:$B$29,2,FALSE)</f>
        <v>40-49</v>
      </c>
      <c r="M102" s="37" t="s">
        <v>173</v>
      </c>
      <c r="N102" s="32" t="s">
        <v>173</v>
      </c>
      <c r="O102" s="37" t="s">
        <v>168</v>
      </c>
      <c r="P102" s="39">
        <v>1</v>
      </c>
      <c r="Q102" s="34" t="str">
        <f>VLOOKUP(P102,Key!$E$2:$F$9,2,FALSE)</f>
        <v>Home</v>
      </c>
      <c r="R102" s="37" t="s">
        <v>167</v>
      </c>
      <c r="S102" s="32" t="s">
        <v>167</v>
      </c>
      <c r="T102" s="37" t="s">
        <v>168</v>
      </c>
      <c r="U102" s="32">
        <v>4</v>
      </c>
      <c r="V102" s="34" t="str">
        <f>VLOOKUP(U102,Key!$E$2:$F$9,2,FALSE)</f>
        <v>Commercial</v>
      </c>
      <c r="W102" s="34" t="str">
        <f t="shared" si="1"/>
        <v>Home-Commercial</v>
      </c>
      <c r="X102" s="47">
        <v>35000</v>
      </c>
      <c r="Y102" s="38">
        <v>60</v>
      </c>
      <c r="Z102" s="38">
        <v>1</v>
      </c>
      <c r="AA102" s="32">
        <v>7</v>
      </c>
      <c r="AB102" s="34" t="str">
        <f>VLOOKUP(AA102,Key!$C$20:$D$29,2,FALSE)</f>
        <v>Farmer</v>
      </c>
      <c r="AC102" s="32">
        <v>2</v>
      </c>
      <c r="AD102" s="34" t="str">
        <f>VLOOKUP(AC102,Key!$E$20:$F$24,2,FALSE)</f>
        <v>300,000-500,000</v>
      </c>
      <c r="AE102" s="32">
        <v>1</v>
      </c>
      <c r="AF102" s="55">
        <v>2</v>
      </c>
      <c r="AG102" s="55">
        <v>1</v>
      </c>
      <c r="AH102" s="55">
        <v>1</v>
      </c>
      <c r="AI102" s="55">
        <v>3</v>
      </c>
      <c r="AJ102" s="39" t="s">
        <v>104</v>
      </c>
      <c r="AK102" s="40">
        <v>1000</v>
      </c>
      <c r="AL102" s="24"/>
      <c r="AM102" s="24"/>
    </row>
    <row r="103" spans="1:39" x14ac:dyDescent="0.2">
      <c r="B103" s="50">
        <v>43687</v>
      </c>
      <c r="C103" s="35">
        <v>0.30208333333333331</v>
      </c>
      <c r="D103" s="35"/>
      <c r="E103" s="35" t="s">
        <v>111</v>
      </c>
      <c r="F103" s="37">
        <v>2</v>
      </c>
      <c r="G103" s="42" t="str">
        <f>VLOOKUP(F103,Key!$A$17:$B$21,2,FALSE)</f>
        <v>Road Vehicle</v>
      </c>
      <c r="H103" s="36">
        <v>1</v>
      </c>
      <c r="I103" s="43" t="str">
        <f>VLOOKUP(H103,Key!$A$2:$B$13,2,FALSE)</f>
        <v>Car</v>
      </c>
      <c r="J103" s="37" t="s">
        <v>123</v>
      </c>
      <c r="K103" s="37">
        <v>3</v>
      </c>
      <c r="L103" s="45" t="str">
        <f>VLOOKUP(K103,Key!$A$24:$B$29,2,FALSE)</f>
        <v>40-49</v>
      </c>
      <c r="M103" s="37" t="s">
        <v>322</v>
      </c>
      <c r="N103" s="32" t="s">
        <v>167</v>
      </c>
      <c r="O103" s="37" t="s">
        <v>168</v>
      </c>
      <c r="P103" s="39">
        <v>8</v>
      </c>
      <c r="Q103" s="34" t="str">
        <f>VLOOKUP(P103,Key!$E$2:$F$9,2,FALSE)</f>
        <v>Others</v>
      </c>
      <c r="R103" s="37" t="s">
        <v>189</v>
      </c>
      <c r="S103" s="32" t="s">
        <v>190</v>
      </c>
      <c r="T103" s="37" t="s">
        <v>168</v>
      </c>
      <c r="U103" s="32">
        <v>8</v>
      </c>
      <c r="V103" s="34" t="str">
        <f>VLOOKUP(U103,Key!$E$2:$F$9,2,FALSE)</f>
        <v>Others</v>
      </c>
      <c r="W103" s="34" t="str">
        <f t="shared" si="1"/>
        <v>Others-Others</v>
      </c>
      <c r="X103" s="47">
        <v>50000</v>
      </c>
      <c r="Y103" s="38">
        <v>70</v>
      </c>
      <c r="Z103" s="38">
        <v>2</v>
      </c>
      <c r="AA103" s="32">
        <v>4</v>
      </c>
      <c r="AB103" s="34" t="str">
        <f>VLOOKUP(AA103,Key!$C$20:$D$29,2,FALSE)</f>
        <v>Office Worker</v>
      </c>
      <c r="AC103" s="32">
        <v>5</v>
      </c>
      <c r="AD103" s="34" t="str">
        <f>VLOOKUP(AC103,Key!$E$20:$F$24,2,FALSE)</f>
        <v>&gt;1,000,000</v>
      </c>
      <c r="AE103" s="32">
        <v>1</v>
      </c>
      <c r="AF103" s="55">
        <v>1</v>
      </c>
      <c r="AG103" s="55">
        <v>1</v>
      </c>
      <c r="AH103" s="55">
        <v>1</v>
      </c>
      <c r="AI103" s="55">
        <v>1</v>
      </c>
      <c r="AJ103" s="39" t="s">
        <v>104</v>
      </c>
      <c r="AK103" s="40">
        <v>2000</v>
      </c>
      <c r="AL103" s="24"/>
      <c r="AM103" s="24"/>
    </row>
    <row r="104" spans="1:39" x14ac:dyDescent="0.2">
      <c r="B104" s="50">
        <v>43687</v>
      </c>
      <c r="C104" s="35">
        <v>0.52847222222222223</v>
      </c>
      <c r="D104" s="35"/>
      <c r="E104" s="35" t="s">
        <v>111</v>
      </c>
      <c r="F104" s="37">
        <v>2</v>
      </c>
      <c r="G104" s="42" t="str">
        <f>VLOOKUP(F104,Key!$A$17:$B$21,2,FALSE)</f>
        <v>Road Vehicle</v>
      </c>
      <c r="H104" s="36">
        <v>1</v>
      </c>
      <c r="I104" s="43" t="str">
        <f>VLOOKUP(H104,Key!$A$2:$B$13,2,FALSE)</f>
        <v>Car</v>
      </c>
      <c r="J104" s="37" t="s">
        <v>123</v>
      </c>
      <c r="K104" s="37">
        <v>3</v>
      </c>
      <c r="L104" s="45" t="str">
        <f>VLOOKUP(K104,Key!$A$24:$B$29,2,FALSE)</f>
        <v>40-49</v>
      </c>
      <c r="M104" s="44" t="s">
        <v>223</v>
      </c>
      <c r="N104" s="44" t="s">
        <v>179</v>
      </c>
      <c r="O104" s="37" t="s">
        <v>168</v>
      </c>
      <c r="P104" s="39">
        <v>6</v>
      </c>
      <c r="Q104" s="34" t="str">
        <f>VLOOKUP(P104,Key!$E$2:$F$9,2,FALSE)</f>
        <v>Leisure/Social</v>
      </c>
      <c r="R104" s="37" t="s">
        <v>189</v>
      </c>
      <c r="S104" s="32" t="s">
        <v>190</v>
      </c>
      <c r="T104" s="37" t="s">
        <v>168</v>
      </c>
      <c r="U104" s="32">
        <v>1</v>
      </c>
      <c r="V104" s="34" t="str">
        <f>VLOOKUP(U104,Key!$E$2:$F$9,2,FALSE)</f>
        <v>Home</v>
      </c>
      <c r="W104" s="34" t="str">
        <f t="shared" si="1"/>
        <v>Leisure/Social-Home</v>
      </c>
      <c r="X104" s="47">
        <v>40000</v>
      </c>
      <c r="Y104" s="38">
        <v>70</v>
      </c>
      <c r="Z104" s="38">
        <v>3</v>
      </c>
      <c r="AA104" s="32">
        <v>4</v>
      </c>
      <c r="AB104" s="34" t="str">
        <f>VLOOKUP(AA104,Key!$C$20:$D$29,2,FALSE)</f>
        <v>Office Worker</v>
      </c>
      <c r="AC104" s="32">
        <v>4</v>
      </c>
      <c r="AD104" s="34" t="str">
        <f>VLOOKUP(AC104,Key!$E$20:$F$24,2,FALSE)</f>
        <v>750,000-1,000,000</v>
      </c>
      <c r="AE104" s="32">
        <v>1</v>
      </c>
      <c r="AF104" s="55">
        <v>1</v>
      </c>
      <c r="AG104" s="55">
        <v>1</v>
      </c>
      <c r="AH104" s="55">
        <v>1</v>
      </c>
      <c r="AI104" s="55">
        <v>1</v>
      </c>
      <c r="AJ104" s="39" t="s">
        <v>104</v>
      </c>
      <c r="AK104" s="40">
        <v>3000</v>
      </c>
      <c r="AL104" s="24"/>
      <c r="AM104" s="24"/>
    </row>
    <row r="105" spans="1:39" ht="12" customHeight="1" x14ac:dyDescent="0.2">
      <c r="B105" s="50">
        <v>43687</v>
      </c>
      <c r="C105" s="35">
        <v>0.56736111111111109</v>
      </c>
      <c r="D105" s="35"/>
      <c r="E105" s="35" t="s">
        <v>111</v>
      </c>
      <c r="F105" s="37">
        <v>2</v>
      </c>
      <c r="G105" s="42" t="str">
        <f>VLOOKUP(F105,Key!$A$17:$B$21,2,FALSE)</f>
        <v>Road Vehicle</v>
      </c>
      <c r="H105" s="36">
        <v>1</v>
      </c>
      <c r="I105" s="43" t="str">
        <f>VLOOKUP(H105,Key!$A$2:$B$13,2,FALSE)</f>
        <v>Car</v>
      </c>
      <c r="J105" s="37" t="s">
        <v>123</v>
      </c>
      <c r="K105" s="37">
        <v>3</v>
      </c>
      <c r="L105" s="45" t="str">
        <f>VLOOKUP(K105,Key!$A$24:$B$29,2,FALSE)</f>
        <v>40-49</v>
      </c>
      <c r="M105" s="37" t="s">
        <v>223</v>
      </c>
      <c r="N105" s="32" t="s">
        <v>179</v>
      </c>
      <c r="O105" s="37" t="s">
        <v>168</v>
      </c>
      <c r="P105" s="39">
        <v>6</v>
      </c>
      <c r="Q105" s="34" t="str">
        <f>VLOOKUP(P105,Key!$E$2:$F$9,2,FALSE)</f>
        <v>Leisure/Social</v>
      </c>
      <c r="R105" s="37" t="s">
        <v>189</v>
      </c>
      <c r="S105" s="32" t="s">
        <v>190</v>
      </c>
      <c r="T105" s="37" t="s">
        <v>168</v>
      </c>
      <c r="U105" s="32">
        <v>1</v>
      </c>
      <c r="V105" s="34" t="str">
        <f>VLOOKUP(U105,Key!$E$2:$F$9,2,FALSE)</f>
        <v>Home</v>
      </c>
      <c r="W105" s="34" t="str">
        <f t="shared" si="1"/>
        <v>Leisure/Social-Home</v>
      </c>
      <c r="X105" s="47">
        <v>40000</v>
      </c>
      <c r="Y105" s="38">
        <v>70</v>
      </c>
      <c r="Z105" s="38">
        <v>3</v>
      </c>
      <c r="AA105" s="32">
        <v>4</v>
      </c>
      <c r="AB105" s="34" t="str">
        <f>VLOOKUP(AA105,Key!$C$20:$D$29,2,FALSE)</f>
        <v>Office Worker</v>
      </c>
      <c r="AC105" s="32">
        <v>4</v>
      </c>
      <c r="AD105" s="34" t="str">
        <f>VLOOKUP(AC105,Key!$E$20:$F$24,2,FALSE)</f>
        <v>750,000-1,000,000</v>
      </c>
      <c r="AE105" s="32">
        <v>1</v>
      </c>
      <c r="AF105" s="55">
        <v>1</v>
      </c>
      <c r="AG105" s="55">
        <v>1</v>
      </c>
      <c r="AH105" s="55">
        <v>1</v>
      </c>
      <c r="AI105" s="55">
        <v>1</v>
      </c>
      <c r="AJ105" s="39" t="s">
        <v>104</v>
      </c>
      <c r="AK105" s="40">
        <v>3000</v>
      </c>
      <c r="AL105" s="24"/>
      <c r="AM105" s="24"/>
    </row>
    <row r="106" spans="1:39" x14ac:dyDescent="0.2">
      <c r="B106" s="50">
        <v>43688</v>
      </c>
      <c r="C106" s="35">
        <v>0.36041666666666666</v>
      </c>
      <c r="D106" s="35"/>
      <c r="E106" s="35" t="s">
        <v>111</v>
      </c>
      <c r="F106" s="37">
        <v>2</v>
      </c>
      <c r="G106" s="42" t="str">
        <f>VLOOKUP(F106,Key!$A$17:$B$21,2,FALSE)</f>
        <v>Road Vehicle</v>
      </c>
      <c r="H106" s="36">
        <v>1</v>
      </c>
      <c r="I106" s="43" t="str">
        <f>VLOOKUP(H106,Key!$A$2:$B$13,2,FALSE)</f>
        <v>Car</v>
      </c>
      <c r="J106" s="37" t="s">
        <v>123</v>
      </c>
      <c r="K106" s="37">
        <v>3</v>
      </c>
      <c r="L106" s="45" t="str">
        <f>VLOOKUP(K106,Key!$A$24:$B$29,2,FALSE)</f>
        <v>40-49</v>
      </c>
      <c r="M106" s="37" t="s">
        <v>167</v>
      </c>
      <c r="N106" s="32" t="s">
        <v>167</v>
      </c>
      <c r="O106" s="37" t="s">
        <v>168</v>
      </c>
      <c r="P106" s="39">
        <v>1</v>
      </c>
      <c r="Q106" s="34" t="str">
        <f>VLOOKUP(P106,Key!$E$2:$F$9,2,FALSE)</f>
        <v>Home</v>
      </c>
      <c r="R106" s="37" t="s">
        <v>176</v>
      </c>
      <c r="S106" s="32" t="s">
        <v>176</v>
      </c>
      <c r="T106" s="37" t="s">
        <v>168</v>
      </c>
      <c r="U106" s="32">
        <v>4</v>
      </c>
      <c r="V106" s="34" t="str">
        <f>VLOOKUP(U106,Key!$E$2:$F$9,2,FALSE)</f>
        <v>Commercial</v>
      </c>
      <c r="W106" s="34" t="str">
        <f t="shared" si="1"/>
        <v>Home-Commercial</v>
      </c>
      <c r="X106" s="47">
        <v>40000</v>
      </c>
      <c r="Y106" s="38">
        <v>75</v>
      </c>
      <c r="Z106" s="38">
        <v>3.5</v>
      </c>
      <c r="AA106" s="32">
        <v>10</v>
      </c>
      <c r="AB106" s="34" t="str">
        <f>VLOOKUP(AA106,Key!$C$20:$D$29,2,FALSE)</f>
        <v>Other</v>
      </c>
      <c r="AC106" s="32">
        <v>2</v>
      </c>
      <c r="AD106" s="34" t="str">
        <f>VLOOKUP(AC106,Key!$E$20:$F$24,2,FALSE)</f>
        <v>300,000-500,000</v>
      </c>
      <c r="AE106" s="32">
        <v>2</v>
      </c>
      <c r="AF106" s="55">
        <v>3</v>
      </c>
      <c r="AG106" s="55">
        <v>4</v>
      </c>
      <c r="AH106" s="55">
        <v>1</v>
      </c>
      <c r="AI106" s="55">
        <v>3</v>
      </c>
      <c r="AJ106" s="39" t="s">
        <v>104</v>
      </c>
      <c r="AK106" s="40">
        <v>3000</v>
      </c>
      <c r="AL106" s="24"/>
      <c r="AM106" s="24"/>
    </row>
    <row r="107" spans="1:39" x14ac:dyDescent="0.2">
      <c r="B107" s="50">
        <v>43690</v>
      </c>
      <c r="C107" s="35">
        <v>0.51388888888888895</v>
      </c>
      <c r="D107" s="35"/>
      <c r="E107" s="35" t="s">
        <v>111</v>
      </c>
      <c r="F107" s="37">
        <v>2</v>
      </c>
      <c r="G107" s="42" t="str">
        <f>VLOOKUP(F107,Key!$A$17:$B$21,2,FALSE)</f>
        <v>Road Vehicle</v>
      </c>
      <c r="H107" s="36">
        <v>1</v>
      </c>
      <c r="I107" s="43" t="str">
        <f>VLOOKUP(H107,Key!$A$2:$B$13,2,FALSE)</f>
        <v>Car</v>
      </c>
      <c r="J107" s="37" t="s">
        <v>123</v>
      </c>
      <c r="K107" s="37">
        <v>3</v>
      </c>
      <c r="L107" s="45" t="str">
        <f>VLOOKUP(K107,Key!$A$24:$B$29,2,FALSE)</f>
        <v>40-49</v>
      </c>
      <c r="M107" s="37" t="s">
        <v>167</v>
      </c>
      <c r="N107" s="32" t="s">
        <v>167</v>
      </c>
      <c r="O107" s="37" t="s">
        <v>168</v>
      </c>
      <c r="P107" s="39">
        <v>2</v>
      </c>
      <c r="Q107" s="34" t="str">
        <f>VLOOKUP(P107,Key!$E$2:$F$9,2,FALSE)</f>
        <v>Work</v>
      </c>
      <c r="R107" s="37" t="s">
        <v>176</v>
      </c>
      <c r="S107" s="32" t="s">
        <v>176</v>
      </c>
      <c r="T107" s="37" t="s">
        <v>168</v>
      </c>
      <c r="U107" s="32">
        <v>4</v>
      </c>
      <c r="V107" s="34" t="str">
        <f>VLOOKUP(U107,Key!$E$2:$F$9,2,FALSE)</f>
        <v>Commercial</v>
      </c>
      <c r="W107" s="34" t="str">
        <f t="shared" si="1"/>
        <v>Work-Commercial</v>
      </c>
      <c r="X107" s="47">
        <v>80000</v>
      </c>
      <c r="Y107" s="38">
        <v>80</v>
      </c>
      <c r="Z107" s="38">
        <v>2</v>
      </c>
      <c r="AA107" s="32">
        <v>10</v>
      </c>
      <c r="AB107" s="34" t="str">
        <f>VLOOKUP(AA107,Key!$C$20:$D$29,2,FALSE)</f>
        <v>Other</v>
      </c>
      <c r="AC107" s="32">
        <v>3</v>
      </c>
      <c r="AD107" s="34" t="str">
        <f>VLOOKUP(AC107,Key!$E$20:$F$24,2,FALSE)</f>
        <v>500,000-750,000</v>
      </c>
      <c r="AE107" s="32">
        <v>3</v>
      </c>
      <c r="AF107" s="55">
        <v>3</v>
      </c>
      <c r="AG107" s="55">
        <v>3</v>
      </c>
      <c r="AH107" s="55">
        <v>2</v>
      </c>
      <c r="AI107" s="55">
        <v>4</v>
      </c>
      <c r="AJ107" s="39" t="s">
        <v>104</v>
      </c>
      <c r="AK107" s="40"/>
      <c r="AL107" s="24"/>
      <c r="AM107" s="24"/>
    </row>
    <row r="108" spans="1:39" x14ac:dyDescent="0.2">
      <c r="B108" s="50">
        <v>43687</v>
      </c>
      <c r="C108" s="35">
        <v>0.53472222222222221</v>
      </c>
      <c r="D108" s="35"/>
      <c r="E108" s="35" t="s">
        <v>111</v>
      </c>
      <c r="F108" s="37">
        <v>2</v>
      </c>
      <c r="G108" s="42" t="str">
        <f>VLOOKUP(F108,Key!$A$17:$B$21,2,FALSE)</f>
        <v>Road Vehicle</v>
      </c>
      <c r="H108" s="36">
        <v>1</v>
      </c>
      <c r="I108" s="43" t="str">
        <f>VLOOKUP(H108,Key!$A$2:$B$13,2,FALSE)</f>
        <v>Car</v>
      </c>
      <c r="J108" s="37" t="s">
        <v>123</v>
      </c>
      <c r="K108" s="37">
        <v>3</v>
      </c>
      <c r="L108" s="45" t="str">
        <f>VLOOKUP(K108,Key!$A$24:$B$29,2,FALSE)</f>
        <v>40-49</v>
      </c>
      <c r="M108" s="37" t="s">
        <v>167</v>
      </c>
      <c r="N108" s="32" t="s">
        <v>167</v>
      </c>
      <c r="O108" s="37" t="s">
        <v>168</v>
      </c>
      <c r="P108" s="39">
        <v>2</v>
      </c>
      <c r="Q108" s="34" t="str">
        <f>VLOOKUP(P108,Key!$E$2:$F$9,2,FALSE)</f>
        <v>Work</v>
      </c>
      <c r="R108" s="37" t="s">
        <v>176</v>
      </c>
      <c r="S108" s="32" t="s">
        <v>176</v>
      </c>
      <c r="T108" s="37" t="s">
        <v>168</v>
      </c>
      <c r="U108" s="32">
        <v>2</v>
      </c>
      <c r="V108" s="34" t="str">
        <f>VLOOKUP(U108,Key!$E$2:$F$9,2,FALSE)</f>
        <v>Work</v>
      </c>
      <c r="W108" s="34" t="str">
        <f t="shared" si="1"/>
        <v>Work-Work</v>
      </c>
      <c r="X108" s="47">
        <v>40000</v>
      </c>
      <c r="Y108" s="38">
        <v>80</v>
      </c>
      <c r="Z108" s="38">
        <v>3</v>
      </c>
      <c r="AA108" s="32">
        <v>10</v>
      </c>
      <c r="AB108" s="34" t="str">
        <f>VLOOKUP(AA108,Key!$C$20:$D$29,2,FALSE)</f>
        <v>Other</v>
      </c>
      <c r="AC108" s="32">
        <v>3</v>
      </c>
      <c r="AD108" s="34" t="str">
        <f>VLOOKUP(AC108,Key!$E$20:$F$24,2,FALSE)</f>
        <v>500,000-750,000</v>
      </c>
      <c r="AE108" s="32">
        <v>2</v>
      </c>
      <c r="AF108" s="55">
        <v>3</v>
      </c>
      <c r="AG108" s="55">
        <v>1</v>
      </c>
      <c r="AH108" s="55">
        <v>1</v>
      </c>
      <c r="AI108" s="55">
        <v>5</v>
      </c>
      <c r="AJ108" s="39" t="s">
        <v>104</v>
      </c>
      <c r="AK108" s="40">
        <v>10000</v>
      </c>
      <c r="AL108" s="24"/>
      <c r="AM108" s="24"/>
    </row>
    <row r="109" spans="1:39" x14ac:dyDescent="0.2">
      <c r="B109" s="50">
        <v>43687</v>
      </c>
      <c r="C109" s="35">
        <v>0.75138888888888899</v>
      </c>
      <c r="D109" s="35"/>
      <c r="E109" s="35" t="s">
        <v>111</v>
      </c>
      <c r="F109" s="37">
        <v>2</v>
      </c>
      <c r="G109" s="42" t="str">
        <f>VLOOKUP(F109,Key!$A$17:$B$21,2,FALSE)</f>
        <v>Road Vehicle</v>
      </c>
      <c r="H109" s="36">
        <v>1</v>
      </c>
      <c r="I109" s="43" t="str">
        <f>VLOOKUP(H109,Key!$A$2:$B$13,2,FALSE)</f>
        <v>Car</v>
      </c>
      <c r="J109" s="37" t="s">
        <v>123</v>
      </c>
      <c r="K109" s="37">
        <v>3</v>
      </c>
      <c r="L109" s="45" t="str">
        <f>VLOOKUP(K109,Key!$A$24:$B$29,2,FALSE)</f>
        <v>40-49</v>
      </c>
      <c r="M109" s="37" t="s">
        <v>167</v>
      </c>
      <c r="N109" s="32" t="s">
        <v>167</v>
      </c>
      <c r="O109" s="37" t="s">
        <v>168</v>
      </c>
      <c r="P109" s="39">
        <v>2</v>
      </c>
      <c r="Q109" s="34" t="str">
        <f>VLOOKUP(P109,Key!$E$2:$F$9,2,FALSE)</f>
        <v>Work</v>
      </c>
      <c r="R109" s="37" t="s">
        <v>176</v>
      </c>
      <c r="S109" s="32" t="s">
        <v>176</v>
      </c>
      <c r="T109" s="37" t="s">
        <v>168</v>
      </c>
      <c r="U109" s="32">
        <v>4</v>
      </c>
      <c r="V109" s="34" t="str">
        <f>VLOOKUP(U109,Key!$E$2:$F$9,2,FALSE)</f>
        <v>Commercial</v>
      </c>
      <c r="W109" s="34" t="str">
        <f t="shared" si="1"/>
        <v>Work-Commercial</v>
      </c>
      <c r="X109" s="47">
        <v>40000</v>
      </c>
      <c r="Y109" s="38">
        <v>80</v>
      </c>
      <c r="Z109" s="38">
        <v>3</v>
      </c>
      <c r="AA109" s="32">
        <v>6</v>
      </c>
      <c r="AB109" s="34" t="str">
        <f>VLOOKUP(AA109,Key!$C$20:$D$29,2,FALSE)</f>
        <v>Businessman</v>
      </c>
      <c r="AC109" s="32">
        <v>3</v>
      </c>
      <c r="AD109" s="34" t="str">
        <f>VLOOKUP(AC109,Key!$E$20:$F$24,2,FALSE)</f>
        <v>500,000-750,000</v>
      </c>
      <c r="AE109" s="32">
        <v>3</v>
      </c>
      <c r="AF109" s="55">
        <v>2</v>
      </c>
      <c r="AG109" s="55">
        <v>4</v>
      </c>
      <c r="AH109" s="55">
        <v>1</v>
      </c>
      <c r="AI109" s="55">
        <v>4</v>
      </c>
      <c r="AJ109" s="39" t="s">
        <v>104</v>
      </c>
      <c r="AK109" s="40">
        <v>2000</v>
      </c>
      <c r="AL109" s="24"/>
      <c r="AM109" s="24"/>
    </row>
    <row r="110" spans="1:39" x14ac:dyDescent="0.2">
      <c r="B110" s="50">
        <v>43689</v>
      </c>
      <c r="C110" s="35">
        <v>0.55208333333333337</v>
      </c>
      <c r="D110" s="35"/>
      <c r="E110" s="35" t="s">
        <v>111</v>
      </c>
      <c r="F110" s="37">
        <v>2</v>
      </c>
      <c r="G110" s="42" t="str">
        <f>VLOOKUP(F110,Key!$A$17:$B$21,2,FALSE)</f>
        <v>Road Vehicle</v>
      </c>
      <c r="H110" s="36">
        <v>1</v>
      </c>
      <c r="I110" s="43" t="str">
        <f>VLOOKUP(H110,Key!$A$2:$B$13,2,FALSE)</f>
        <v>Car</v>
      </c>
      <c r="J110" s="37" t="s">
        <v>123</v>
      </c>
      <c r="K110" s="37">
        <v>3</v>
      </c>
      <c r="L110" s="45" t="str">
        <f>VLOOKUP(K110,Key!$A$24:$B$29,2,FALSE)</f>
        <v>40-49</v>
      </c>
      <c r="M110" s="37" t="s">
        <v>238</v>
      </c>
      <c r="N110" s="32" t="s">
        <v>238</v>
      </c>
      <c r="O110" s="37" t="s">
        <v>168</v>
      </c>
      <c r="P110" s="39">
        <v>1</v>
      </c>
      <c r="Q110" s="34" t="str">
        <f>VLOOKUP(P110,Key!$E$2:$F$9,2,FALSE)</f>
        <v>Home</v>
      </c>
      <c r="R110" s="37" t="s">
        <v>167</v>
      </c>
      <c r="S110" s="32" t="s">
        <v>167</v>
      </c>
      <c r="T110" s="37" t="s">
        <v>168</v>
      </c>
      <c r="U110" s="32">
        <v>6</v>
      </c>
      <c r="V110" s="34" t="str">
        <f>VLOOKUP(U110,Key!$E$2:$F$9,2,FALSE)</f>
        <v>Leisure/Social</v>
      </c>
      <c r="W110" s="34" t="str">
        <f t="shared" si="1"/>
        <v>Home-Leisure/Social</v>
      </c>
      <c r="X110" s="47">
        <v>40000</v>
      </c>
      <c r="Y110" s="38">
        <v>85</v>
      </c>
      <c r="Z110" s="38">
        <v>2</v>
      </c>
      <c r="AA110" s="32">
        <v>5</v>
      </c>
      <c r="AB110" s="34" t="str">
        <f>VLOOKUP(AA110,Key!$C$20:$D$29,2,FALSE)</f>
        <v>Professional</v>
      </c>
      <c r="AC110" s="32">
        <v>4</v>
      </c>
      <c r="AD110" s="34" t="str">
        <f>VLOOKUP(AC110,Key!$E$20:$F$24,2,FALSE)</f>
        <v>750,000-1,000,000</v>
      </c>
      <c r="AE110" s="32">
        <v>1</v>
      </c>
      <c r="AF110" s="55">
        <v>2</v>
      </c>
      <c r="AG110" s="55">
        <v>3</v>
      </c>
      <c r="AH110" s="55">
        <v>1</v>
      </c>
      <c r="AI110" s="55">
        <v>4</v>
      </c>
      <c r="AJ110" s="39" t="s">
        <v>104</v>
      </c>
      <c r="AK110" s="40">
        <v>5000</v>
      </c>
      <c r="AL110" s="24"/>
      <c r="AM110" s="24"/>
    </row>
    <row r="111" spans="1:39" x14ac:dyDescent="0.2">
      <c r="B111" s="50">
        <v>43686</v>
      </c>
      <c r="C111" s="35">
        <v>0.55833333333333335</v>
      </c>
      <c r="D111" s="35"/>
      <c r="E111" s="35" t="s">
        <v>111</v>
      </c>
      <c r="F111" s="37">
        <v>2</v>
      </c>
      <c r="G111" s="42" t="str">
        <f>VLOOKUP(F111,Key!$A$17:$B$21,2,FALSE)</f>
        <v>Road Vehicle</v>
      </c>
      <c r="H111" s="36">
        <v>1</v>
      </c>
      <c r="I111" s="43" t="str">
        <f>VLOOKUP(H111,Key!$A$2:$B$13,2,FALSE)</f>
        <v>Car</v>
      </c>
      <c r="J111" s="37" t="s">
        <v>123</v>
      </c>
      <c r="K111" s="37">
        <v>3</v>
      </c>
      <c r="L111" s="45" t="str">
        <f>VLOOKUP(K111,Key!$A$24:$B$29,2,FALSE)</f>
        <v>40-49</v>
      </c>
      <c r="M111" s="37" t="s">
        <v>30</v>
      </c>
      <c r="N111" s="32" t="s">
        <v>188</v>
      </c>
      <c r="O111" s="37" t="s">
        <v>168</v>
      </c>
      <c r="P111" s="39">
        <v>1</v>
      </c>
      <c r="Q111" s="34" t="str">
        <f>VLOOKUP(P111,Key!$E$2:$F$9,2,FALSE)</f>
        <v>Home</v>
      </c>
      <c r="R111" s="37" t="s">
        <v>282</v>
      </c>
      <c r="S111" s="32" t="s">
        <v>167</v>
      </c>
      <c r="T111" s="37" t="s">
        <v>168</v>
      </c>
      <c r="U111" s="32">
        <v>5</v>
      </c>
      <c r="V111" s="34" t="str">
        <f>VLOOKUP(U111,Key!$E$2:$F$9,2,FALSE)</f>
        <v>Tourism</v>
      </c>
      <c r="W111" s="34" t="str">
        <f t="shared" si="1"/>
        <v>Home-Tourism</v>
      </c>
      <c r="X111" s="47">
        <v>100000</v>
      </c>
      <c r="Y111" s="38">
        <v>100</v>
      </c>
      <c r="Z111" s="38">
        <v>3</v>
      </c>
      <c r="AA111" s="32">
        <v>5</v>
      </c>
      <c r="AB111" s="34" t="str">
        <f>VLOOKUP(AA111,Key!$C$20:$D$29,2,FALSE)</f>
        <v>Professional</v>
      </c>
      <c r="AC111" s="32">
        <v>5</v>
      </c>
      <c r="AD111" s="34" t="str">
        <f>VLOOKUP(AC111,Key!$E$20:$F$24,2,FALSE)</f>
        <v>&gt;1,000,000</v>
      </c>
      <c r="AE111" s="32">
        <v>1</v>
      </c>
      <c r="AF111" s="55">
        <v>1</v>
      </c>
      <c r="AG111" s="55">
        <v>1</v>
      </c>
      <c r="AH111" s="55">
        <v>1</v>
      </c>
      <c r="AI111" s="55">
        <v>1</v>
      </c>
      <c r="AJ111" s="39" t="s">
        <v>104</v>
      </c>
      <c r="AK111" s="40">
        <v>3000</v>
      </c>
      <c r="AL111" s="24"/>
      <c r="AM111" s="24"/>
    </row>
    <row r="112" spans="1:39" x14ac:dyDescent="0.2">
      <c r="B112" s="50">
        <v>43686</v>
      </c>
      <c r="C112" s="35">
        <v>0.73263888888888884</v>
      </c>
      <c r="D112" s="35"/>
      <c r="E112" s="35" t="s">
        <v>111</v>
      </c>
      <c r="F112" s="37">
        <v>2</v>
      </c>
      <c r="G112" s="42" t="str">
        <f>VLOOKUP(F112,Key!$A$17:$B$21,2,FALSE)</f>
        <v>Road Vehicle</v>
      </c>
      <c r="H112" s="36">
        <v>1</v>
      </c>
      <c r="I112" s="43" t="str">
        <f>VLOOKUP(H112,Key!$A$2:$B$13,2,FALSE)</f>
        <v>Car</v>
      </c>
      <c r="J112" s="37" t="s">
        <v>123</v>
      </c>
      <c r="K112" s="37">
        <v>4</v>
      </c>
      <c r="L112" s="45" t="str">
        <f>VLOOKUP(K112,Key!$A$24:$B$29,2,FALSE)</f>
        <v>50-59</v>
      </c>
      <c r="M112" s="37" t="s">
        <v>173</v>
      </c>
      <c r="N112" s="32" t="s">
        <v>173</v>
      </c>
      <c r="O112" s="37" t="s">
        <v>168</v>
      </c>
      <c r="P112" s="39">
        <v>2</v>
      </c>
      <c r="Q112" s="34" t="str">
        <f>VLOOKUP(P112,Key!$E$2:$F$9,2,FALSE)</f>
        <v>Work</v>
      </c>
      <c r="R112" s="37" t="s">
        <v>167</v>
      </c>
      <c r="S112" s="32" t="s">
        <v>167</v>
      </c>
      <c r="T112" s="37" t="s">
        <v>168</v>
      </c>
      <c r="U112" s="32">
        <v>1</v>
      </c>
      <c r="V112" s="34" t="str">
        <f>VLOOKUP(U112,Key!$E$2:$F$9,2,FALSE)</f>
        <v>Home</v>
      </c>
      <c r="W112" s="34" t="str">
        <f t="shared" si="1"/>
        <v>Work-Home</v>
      </c>
      <c r="X112" s="47">
        <v>30000</v>
      </c>
      <c r="Y112" s="38">
        <v>62</v>
      </c>
      <c r="Z112" s="38">
        <v>1</v>
      </c>
      <c r="AA112" s="32">
        <v>10</v>
      </c>
      <c r="AB112" s="34" t="str">
        <f>VLOOKUP(AA112,Key!$C$20:$D$29,2,FALSE)</f>
        <v>Other</v>
      </c>
      <c r="AC112" s="32">
        <v>2</v>
      </c>
      <c r="AD112" s="34" t="str">
        <f>VLOOKUP(AC112,Key!$E$20:$F$24,2,FALSE)</f>
        <v>300,000-500,000</v>
      </c>
      <c r="AE112" s="32">
        <v>2</v>
      </c>
      <c r="AF112" s="55">
        <v>3</v>
      </c>
      <c r="AG112" s="55">
        <v>2</v>
      </c>
      <c r="AH112" s="55">
        <v>2</v>
      </c>
      <c r="AI112" s="55">
        <v>2</v>
      </c>
      <c r="AJ112" s="39" t="s">
        <v>104</v>
      </c>
      <c r="AK112" s="40">
        <v>5000</v>
      </c>
      <c r="AL112" s="24"/>
      <c r="AM112" s="24"/>
    </row>
    <row r="113" spans="2:39" x14ac:dyDescent="0.2">
      <c r="B113" s="50">
        <v>43687</v>
      </c>
      <c r="C113" s="35">
        <v>0.44375000000000003</v>
      </c>
      <c r="D113" s="35"/>
      <c r="E113" s="35" t="s">
        <v>111</v>
      </c>
      <c r="F113" s="37">
        <v>2</v>
      </c>
      <c r="G113" s="42" t="str">
        <f>VLOOKUP(F113,Key!$A$17:$B$21,2,FALSE)</f>
        <v>Road Vehicle</v>
      </c>
      <c r="H113" s="36">
        <v>1</v>
      </c>
      <c r="I113" s="43" t="str">
        <f>VLOOKUP(H113,Key!$A$2:$B$13,2,FALSE)</f>
        <v>Car</v>
      </c>
      <c r="J113" s="37" t="s">
        <v>123</v>
      </c>
      <c r="K113" s="37">
        <v>4</v>
      </c>
      <c r="L113" s="45" t="str">
        <f>VLOOKUP(K113,Key!$A$24:$B$29,2,FALSE)</f>
        <v>50-59</v>
      </c>
      <c r="M113" s="37" t="s">
        <v>323</v>
      </c>
      <c r="N113" s="32" t="s">
        <v>323</v>
      </c>
      <c r="O113" s="37" t="s">
        <v>168</v>
      </c>
      <c r="P113" s="39">
        <v>1</v>
      </c>
      <c r="Q113" s="34" t="str">
        <f>VLOOKUP(P113,Key!$E$2:$F$9,2,FALSE)</f>
        <v>Home</v>
      </c>
      <c r="R113" s="37" t="s">
        <v>167</v>
      </c>
      <c r="S113" s="32" t="s">
        <v>167</v>
      </c>
      <c r="T113" s="37" t="s">
        <v>168</v>
      </c>
      <c r="U113" s="32">
        <v>6</v>
      </c>
      <c r="V113" s="34" t="str">
        <f>VLOOKUP(U113,Key!$E$2:$F$9,2,FALSE)</f>
        <v>Leisure/Social</v>
      </c>
      <c r="W113" s="34" t="str">
        <f t="shared" si="1"/>
        <v>Home-Leisure/Social</v>
      </c>
      <c r="X113" s="47">
        <v>35000</v>
      </c>
      <c r="Y113" s="38">
        <v>70</v>
      </c>
      <c r="Z113" s="38">
        <v>1.7</v>
      </c>
      <c r="AA113" s="32">
        <v>2</v>
      </c>
      <c r="AB113" s="34" t="str">
        <f>VLOOKUP(AA113,Key!$C$20:$D$29,2,FALSE)</f>
        <v>Manual Labour</v>
      </c>
      <c r="AC113" s="32">
        <v>2</v>
      </c>
      <c r="AD113" s="34" t="str">
        <f>VLOOKUP(AC113,Key!$E$20:$F$24,2,FALSE)</f>
        <v>300,000-500,000</v>
      </c>
      <c r="AE113" s="32">
        <v>1</v>
      </c>
      <c r="AF113" s="55">
        <v>3</v>
      </c>
      <c r="AG113" s="55">
        <v>4</v>
      </c>
      <c r="AH113" s="55">
        <v>2</v>
      </c>
      <c r="AI113" s="55">
        <v>4</v>
      </c>
      <c r="AJ113" s="39" t="s">
        <v>104</v>
      </c>
      <c r="AK113" s="40">
        <v>1000</v>
      </c>
      <c r="AL113" s="24"/>
      <c r="AM113" s="24"/>
    </row>
    <row r="114" spans="2:39" x14ac:dyDescent="0.2">
      <c r="B114" s="50">
        <v>43686</v>
      </c>
      <c r="C114" s="35">
        <v>0.5756944444444444</v>
      </c>
      <c r="D114" s="35"/>
      <c r="E114" s="35" t="s">
        <v>111</v>
      </c>
      <c r="F114" s="37">
        <v>2</v>
      </c>
      <c r="G114" s="42" t="str">
        <f>VLOOKUP(F114,Key!$A$17:$B$21,2,FALSE)</f>
        <v>Road Vehicle</v>
      </c>
      <c r="H114" s="36">
        <v>1</v>
      </c>
      <c r="I114" s="43" t="str">
        <f>VLOOKUP(H114,Key!$A$2:$B$13,2,FALSE)</f>
        <v>Car</v>
      </c>
      <c r="J114" s="37" t="s">
        <v>123</v>
      </c>
      <c r="K114" s="37">
        <v>4</v>
      </c>
      <c r="L114" s="45" t="str">
        <f>VLOOKUP(K114,Key!$A$24:$B$29,2,FALSE)</f>
        <v>50-59</v>
      </c>
      <c r="M114" s="37" t="s">
        <v>180</v>
      </c>
      <c r="N114" s="32" t="s">
        <v>188</v>
      </c>
      <c r="O114" s="37" t="s">
        <v>168</v>
      </c>
      <c r="P114" s="39">
        <v>1</v>
      </c>
      <c r="Q114" s="34" t="str">
        <f>VLOOKUP(P114,Key!$E$2:$F$9,2,FALSE)</f>
        <v>Home</v>
      </c>
      <c r="R114" s="37" t="s">
        <v>216</v>
      </c>
      <c r="S114" s="32" t="s">
        <v>167</v>
      </c>
      <c r="T114" s="37" t="s">
        <v>168</v>
      </c>
      <c r="U114" s="32">
        <v>6</v>
      </c>
      <c r="V114" s="34" t="str">
        <f>VLOOKUP(U114,Key!$E$2:$F$9,2,FALSE)</f>
        <v>Leisure/Social</v>
      </c>
      <c r="W114" s="34" t="str">
        <f t="shared" si="1"/>
        <v>Home-Leisure/Social</v>
      </c>
      <c r="X114" s="47">
        <v>40000</v>
      </c>
      <c r="Y114" s="38">
        <v>90</v>
      </c>
      <c r="Z114" s="38">
        <v>3</v>
      </c>
      <c r="AA114" s="32">
        <v>6</v>
      </c>
      <c r="AB114" s="34" t="str">
        <f>VLOOKUP(AA114,Key!$C$20:$D$29,2,FALSE)</f>
        <v>Businessman</v>
      </c>
      <c r="AC114" s="32">
        <v>5</v>
      </c>
      <c r="AD114" s="34" t="str">
        <f>VLOOKUP(AC114,Key!$E$20:$F$24,2,FALSE)</f>
        <v>&gt;1,000,000</v>
      </c>
      <c r="AE114" s="32">
        <v>1</v>
      </c>
      <c r="AF114" s="55">
        <v>1</v>
      </c>
      <c r="AG114" s="55">
        <v>1</v>
      </c>
      <c r="AH114" s="55">
        <v>1</v>
      </c>
      <c r="AI114" s="55">
        <v>1</v>
      </c>
      <c r="AJ114" s="39" t="s">
        <v>104</v>
      </c>
      <c r="AK114" s="40">
        <v>5000</v>
      </c>
      <c r="AL114" s="24"/>
      <c r="AM114" s="24"/>
    </row>
    <row r="115" spans="2:39" x14ac:dyDescent="0.2">
      <c r="B115" s="50">
        <v>43686</v>
      </c>
      <c r="C115" s="35">
        <v>0.57916666666666672</v>
      </c>
      <c r="D115" s="35"/>
      <c r="E115" s="35" t="s">
        <v>111</v>
      </c>
      <c r="F115" s="37">
        <v>2</v>
      </c>
      <c r="G115" s="42" t="str">
        <f>VLOOKUP(F115,Key!$A$17:$B$21,2,FALSE)</f>
        <v>Road Vehicle</v>
      </c>
      <c r="H115" s="36">
        <v>1</v>
      </c>
      <c r="I115" s="43" t="str">
        <f>VLOOKUP(H115,Key!$A$2:$B$13,2,FALSE)</f>
        <v>Car</v>
      </c>
      <c r="J115" s="37" t="s">
        <v>123</v>
      </c>
      <c r="K115" s="37">
        <v>4</v>
      </c>
      <c r="L115" s="45" t="str">
        <f>VLOOKUP(K115,Key!$A$24:$B$29,2,FALSE)</f>
        <v>50-59</v>
      </c>
      <c r="M115" s="37" t="s">
        <v>284</v>
      </c>
      <c r="N115" s="32" t="s">
        <v>285</v>
      </c>
      <c r="O115" s="37" t="s">
        <v>168</v>
      </c>
      <c r="P115" s="39">
        <v>1</v>
      </c>
      <c r="Q115" s="34" t="str">
        <f>VLOOKUP(P115,Key!$E$2:$F$9,2,FALSE)</f>
        <v>Home</v>
      </c>
      <c r="R115" s="37" t="s">
        <v>167</v>
      </c>
      <c r="S115" s="32" t="s">
        <v>167</v>
      </c>
      <c r="T115" s="37" t="s">
        <v>168</v>
      </c>
      <c r="U115" s="32">
        <v>6</v>
      </c>
      <c r="V115" s="34" t="str">
        <f>VLOOKUP(U115,Key!$E$2:$F$9,2,FALSE)</f>
        <v>Leisure/Social</v>
      </c>
      <c r="W115" s="34" t="str">
        <f t="shared" si="1"/>
        <v>Home-Leisure/Social</v>
      </c>
      <c r="X115" s="47">
        <v>60000</v>
      </c>
      <c r="Y115" s="38">
        <v>100</v>
      </c>
      <c r="Z115" s="38">
        <v>4</v>
      </c>
      <c r="AA115" s="32">
        <v>6</v>
      </c>
      <c r="AB115" s="34" t="str">
        <f>VLOOKUP(AA115,Key!$C$20:$D$29,2,FALSE)</f>
        <v>Businessman</v>
      </c>
      <c r="AC115" s="32">
        <v>5</v>
      </c>
      <c r="AD115" s="34" t="str">
        <f>VLOOKUP(AC115,Key!$E$20:$F$24,2,FALSE)</f>
        <v>&gt;1,000,000</v>
      </c>
      <c r="AE115" s="32">
        <v>1</v>
      </c>
      <c r="AF115" s="55">
        <v>1</v>
      </c>
      <c r="AG115" s="55">
        <v>1</v>
      </c>
      <c r="AH115" s="55">
        <v>1</v>
      </c>
      <c r="AI115" s="55">
        <v>1</v>
      </c>
      <c r="AJ115" s="39" t="s">
        <v>104</v>
      </c>
      <c r="AK115" s="40">
        <v>2000</v>
      </c>
      <c r="AL115" s="24"/>
      <c r="AM115" s="24"/>
    </row>
    <row r="116" spans="2:39" hidden="1" x14ac:dyDescent="0.2">
      <c r="B116" s="50">
        <v>43688</v>
      </c>
      <c r="C116" s="35">
        <v>0.51388888888888895</v>
      </c>
      <c r="D116" s="35"/>
      <c r="E116" s="35" t="s">
        <v>111</v>
      </c>
      <c r="F116" s="37">
        <v>2</v>
      </c>
      <c r="G116" s="42" t="str">
        <f>VLOOKUP(F116,Key!$A$17:$B$21,2,FALSE)</f>
        <v>Road Vehicle</v>
      </c>
      <c r="H116" s="36">
        <v>1</v>
      </c>
      <c r="I116" s="43" t="str">
        <f>VLOOKUP(H116,Key!$A$2:$B$13,2,FALSE)</f>
        <v>Car</v>
      </c>
      <c r="J116" s="37" t="s">
        <v>123</v>
      </c>
      <c r="K116" s="37">
        <v>3</v>
      </c>
      <c r="L116" s="45" t="str">
        <f>VLOOKUP(K116,Key!$A$24:$B$29,2,FALSE)</f>
        <v>40-49</v>
      </c>
      <c r="M116" s="37" t="s">
        <v>167</v>
      </c>
      <c r="N116" s="32" t="s">
        <v>167</v>
      </c>
      <c r="O116" s="37" t="s">
        <v>168</v>
      </c>
      <c r="P116" s="39">
        <v>1</v>
      </c>
      <c r="Q116" s="34" t="str">
        <f>VLOOKUP(P116,Key!$E$2:$F$9,2,FALSE)</f>
        <v>Home</v>
      </c>
      <c r="R116" s="37" t="s">
        <v>169</v>
      </c>
      <c r="S116" s="32" t="s">
        <v>169</v>
      </c>
      <c r="T116" s="37" t="s">
        <v>168</v>
      </c>
      <c r="U116" s="32">
        <v>6</v>
      </c>
      <c r="V116" s="34" t="str">
        <f>VLOOKUP(U116,Key!$E$2:$F$9,2,FALSE)</f>
        <v>Leisure/Social</v>
      </c>
      <c r="W116" s="34" t="str">
        <f t="shared" si="1"/>
        <v>Home-Leisure/Social</v>
      </c>
      <c r="X116" s="47">
        <v>60000</v>
      </c>
      <c r="Y116" s="38">
        <v>110</v>
      </c>
      <c r="Z116" s="38">
        <v>3</v>
      </c>
      <c r="AA116" s="32">
        <v>6</v>
      </c>
      <c r="AB116" s="34" t="str">
        <f>VLOOKUP(AA116,Key!$C$20:$D$29,2,FALSE)</f>
        <v>Businessman</v>
      </c>
      <c r="AC116" s="32">
        <v>3</v>
      </c>
      <c r="AD116" s="34" t="str">
        <f>VLOOKUP(AC116,Key!$E$20:$F$24,2,FALSE)</f>
        <v>500,000-750,000</v>
      </c>
      <c r="AE116" s="32">
        <v>1</v>
      </c>
      <c r="AF116" s="55">
        <v>2</v>
      </c>
      <c r="AG116" s="55">
        <v>4</v>
      </c>
      <c r="AH116" s="55">
        <v>1</v>
      </c>
      <c r="AI116" s="55">
        <v>3</v>
      </c>
      <c r="AJ116" s="39" t="s">
        <v>104</v>
      </c>
      <c r="AK116" s="40">
        <v>5000</v>
      </c>
      <c r="AL116" s="24"/>
      <c r="AM116" s="24"/>
    </row>
    <row r="117" spans="2:39" hidden="1" x14ac:dyDescent="0.2">
      <c r="B117" s="50">
        <v>43688</v>
      </c>
      <c r="C117" s="35">
        <v>0.52152777777777781</v>
      </c>
      <c r="D117" s="35"/>
      <c r="E117" s="35" t="s">
        <v>111</v>
      </c>
      <c r="F117" s="37">
        <v>2</v>
      </c>
      <c r="G117" s="42" t="str">
        <f>VLOOKUP(F117,Key!$A$17:$B$21,2,FALSE)</f>
        <v>Road Vehicle</v>
      </c>
      <c r="H117" s="36">
        <v>1</v>
      </c>
      <c r="I117" s="43" t="str">
        <f>VLOOKUP(H117,Key!$A$2:$B$13,2,FALSE)</f>
        <v>Car</v>
      </c>
      <c r="J117" s="37" t="s">
        <v>123</v>
      </c>
      <c r="K117" s="37">
        <v>2</v>
      </c>
      <c r="L117" s="45" t="str">
        <f>VLOOKUP(K117,Key!$A$24:$B$29,2,FALSE)</f>
        <v>30-39</v>
      </c>
      <c r="M117" s="37" t="s">
        <v>167</v>
      </c>
      <c r="N117" s="32" t="s">
        <v>167</v>
      </c>
      <c r="O117" s="37" t="s">
        <v>168</v>
      </c>
      <c r="P117" s="39">
        <v>1</v>
      </c>
      <c r="Q117" s="34" t="str">
        <f>VLOOKUP(P117,Key!$E$2:$F$9,2,FALSE)</f>
        <v>Home</v>
      </c>
      <c r="R117" s="37" t="s">
        <v>30</v>
      </c>
      <c r="S117" s="32" t="s">
        <v>188</v>
      </c>
      <c r="T117" s="37" t="s">
        <v>168</v>
      </c>
      <c r="U117" s="32">
        <v>6</v>
      </c>
      <c r="V117" s="34" t="str">
        <f>VLOOKUP(U117,Key!$E$2:$F$9,2,FALSE)</f>
        <v>Leisure/Social</v>
      </c>
      <c r="W117" s="34" t="str">
        <f t="shared" si="1"/>
        <v>Home-Leisure/Social</v>
      </c>
      <c r="X117" s="47">
        <v>100000</v>
      </c>
      <c r="Y117" s="38">
        <v>110</v>
      </c>
      <c r="Z117" s="38">
        <v>4</v>
      </c>
      <c r="AA117" s="32">
        <v>2</v>
      </c>
      <c r="AB117" s="34" t="str">
        <f>VLOOKUP(AA117,Key!$C$20:$D$29,2,FALSE)</f>
        <v>Manual Labour</v>
      </c>
      <c r="AC117" s="32">
        <v>2</v>
      </c>
      <c r="AD117" s="34" t="str">
        <f>VLOOKUP(AC117,Key!$E$20:$F$24,2,FALSE)</f>
        <v>300,000-500,000</v>
      </c>
      <c r="AE117" s="32">
        <v>2</v>
      </c>
      <c r="AF117" s="55">
        <v>3</v>
      </c>
      <c r="AG117" s="55">
        <v>4</v>
      </c>
      <c r="AH117" s="55">
        <v>1</v>
      </c>
      <c r="AI117" s="55">
        <v>4</v>
      </c>
      <c r="AJ117" s="39" t="s">
        <v>104</v>
      </c>
      <c r="AK117" s="40">
        <v>2000</v>
      </c>
      <c r="AL117" s="24"/>
      <c r="AM117" s="24"/>
    </row>
    <row r="118" spans="2:39" hidden="1" x14ac:dyDescent="0.2">
      <c r="B118" s="50">
        <v>43688</v>
      </c>
      <c r="C118" s="35">
        <v>0.51041666666666663</v>
      </c>
      <c r="D118" s="35"/>
      <c r="E118" s="35" t="s">
        <v>111</v>
      </c>
      <c r="F118" s="37">
        <v>2</v>
      </c>
      <c r="G118" s="42" t="str">
        <f>VLOOKUP(F118,Key!$A$17:$B$21,2,FALSE)</f>
        <v>Road Vehicle</v>
      </c>
      <c r="H118" s="36">
        <v>1</v>
      </c>
      <c r="I118" s="43" t="str">
        <f>VLOOKUP(H118,Key!$A$2:$B$13,2,FALSE)</f>
        <v>Car</v>
      </c>
      <c r="J118" s="37" t="s">
        <v>166</v>
      </c>
      <c r="K118" s="13">
        <v>2</v>
      </c>
      <c r="L118" s="45" t="str">
        <f>VLOOKUP(K118,Key!$A$24:$B$29,2,FALSE)</f>
        <v>30-39</v>
      </c>
      <c r="M118" s="44" t="s">
        <v>167</v>
      </c>
      <c r="N118" s="32" t="s">
        <v>167</v>
      </c>
      <c r="O118" s="37" t="s">
        <v>168</v>
      </c>
      <c r="P118" s="39">
        <v>1</v>
      </c>
      <c r="Q118" s="34" t="str">
        <f>VLOOKUP(P118,Key!$E$2:$F$9,2,FALSE)</f>
        <v>Home</v>
      </c>
      <c r="R118" s="37" t="s">
        <v>169</v>
      </c>
      <c r="S118" s="32" t="s">
        <v>169</v>
      </c>
      <c r="T118" s="37" t="s">
        <v>168</v>
      </c>
      <c r="U118" s="32">
        <v>6</v>
      </c>
      <c r="V118" s="34" t="str">
        <f>VLOOKUP(U118,Key!$E$2:$F$9,2,FALSE)</f>
        <v>Leisure/Social</v>
      </c>
      <c r="W118" s="34" t="str">
        <f t="shared" si="1"/>
        <v>Home-Leisure/Social</v>
      </c>
      <c r="X118" s="47">
        <v>80000</v>
      </c>
      <c r="Y118" s="38">
        <v>112</v>
      </c>
      <c r="Z118" s="38">
        <v>2</v>
      </c>
      <c r="AA118" s="32">
        <v>5</v>
      </c>
      <c r="AB118" s="34" t="str">
        <f>VLOOKUP(AA118,Key!$C$20:$D$29,2,FALSE)</f>
        <v>Professional</v>
      </c>
      <c r="AC118" s="32">
        <v>3</v>
      </c>
      <c r="AD118" s="34" t="str">
        <f>VLOOKUP(AC118,Key!$E$20:$F$24,2,FALSE)</f>
        <v>500,000-750,000</v>
      </c>
      <c r="AE118" s="32">
        <v>4</v>
      </c>
      <c r="AF118" s="55">
        <v>3</v>
      </c>
      <c r="AG118" s="55">
        <v>2</v>
      </c>
      <c r="AH118" s="55">
        <v>1</v>
      </c>
      <c r="AI118" s="55">
        <v>5</v>
      </c>
      <c r="AJ118" s="39" t="s">
        <v>104</v>
      </c>
      <c r="AK118" s="40"/>
      <c r="AL118" s="24"/>
      <c r="AM118" s="24"/>
    </row>
    <row r="119" spans="2:39" hidden="1" x14ac:dyDescent="0.2">
      <c r="B119" s="50">
        <v>43688</v>
      </c>
      <c r="C119" s="35">
        <v>0.70208333333333339</v>
      </c>
      <c r="D119" s="35"/>
      <c r="E119" s="35" t="s">
        <v>111</v>
      </c>
      <c r="F119" s="37">
        <v>2</v>
      </c>
      <c r="G119" s="42" t="str">
        <f>VLOOKUP(F119,Key!$A$17:$B$21,2,FALSE)</f>
        <v>Road Vehicle</v>
      </c>
      <c r="H119" s="36">
        <v>1</v>
      </c>
      <c r="I119" s="43" t="str">
        <f>VLOOKUP(H119,Key!$A$2:$B$13,2,FALSE)</f>
        <v>Car</v>
      </c>
      <c r="J119" s="37" t="s">
        <v>123</v>
      </c>
      <c r="K119" s="37">
        <v>3</v>
      </c>
      <c r="L119" s="45" t="str">
        <f>VLOOKUP(K119,Key!$A$24:$B$29,2,FALSE)</f>
        <v>40-49</v>
      </c>
      <c r="M119" s="37" t="s">
        <v>199</v>
      </c>
      <c r="N119" s="32" t="s">
        <v>199</v>
      </c>
      <c r="O119" s="37" t="s">
        <v>168</v>
      </c>
      <c r="P119" s="39">
        <v>1</v>
      </c>
      <c r="Q119" s="34" t="str">
        <f>VLOOKUP(P119,Key!$E$2:$F$9,2,FALSE)</f>
        <v>Home</v>
      </c>
      <c r="R119" s="37" t="s">
        <v>167</v>
      </c>
      <c r="S119" s="32" t="s">
        <v>167</v>
      </c>
      <c r="T119" s="37" t="s">
        <v>168</v>
      </c>
      <c r="U119" s="32">
        <v>2</v>
      </c>
      <c r="V119" s="34" t="str">
        <f>VLOOKUP(U119,Key!$E$2:$F$9,2,FALSE)</f>
        <v>Work</v>
      </c>
      <c r="W119" s="34" t="str">
        <f t="shared" si="1"/>
        <v>Home-Work</v>
      </c>
      <c r="X119" s="47">
        <v>50000</v>
      </c>
      <c r="Y119" s="38">
        <v>120</v>
      </c>
      <c r="Z119" s="38">
        <v>4</v>
      </c>
      <c r="AA119" s="32">
        <v>5</v>
      </c>
      <c r="AB119" s="34" t="str">
        <f>VLOOKUP(AA119,Key!$C$20:$D$29,2,FALSE)</f>
        <v>Professional</v>
      </c>
      <c r="AC119" s="32">
        <v>3</v>
      </c>
      <c r="AD119" s="34" t="str">
        <f>VLOOKUP(AC119,Key!$E$20:$F$24,2,FALSE)</f>
        <v>500,000-750,000</v>
      </c>
      <c r="AE119" s="32">
        <v>1</v>
      </c>
      <c r="AF119" s="55">
        <v>2</v>
      </c>
      <c r="AG119" s="55">
        <v>5</v>
      </c>
      <c r="AH119" s="55">
        <v>1</v>
      </c>
      <c r="AI119" s="55">
        <v>4</v>
      </c>
      <c r="AJ119" s="39" t="s">
        <v>104</v>
      </c>
      <c r="AK119" s="40">
        <v>2000</v>
      </c>
      <c r="AL119" s="24"/>
      <c r="AM119" s="24"/>
    </row>
    <row r="120" spans="2:39" hidden="1" x14ac:dyDescent="0.2">
      <c r="B120" s="50">
        <v>43688</v>
      </c>
      <c r="C120" s="35">
        <v>0.50486111111111109</v>
      </c>
      <c r="D120" s="35"/>
      <c r="E120" s="35" t="s">
        <v>111</v>
      </c>
      <c r="F120" s="37">
        <v>2</v>
      </c>
      <c r="G120" s="42" t="str">
        <f>VLOOKUP(F120,Key!$A$17:$B$21,2,FALSE)</f>
        <v>Road Vehicle</v>
      </c>
      <c r="H120" s="36">
        <v>1</v>
      </c>
      <c r="I120" s="43" t="str">
        <f>VLOOKUP(H120,Key!$A$2:$B$13,2,FALSE)</f>
        <v>Car</v>
      </c>
      <c r="J120" s="37" t="s">
        <v>123</v>
      </c>
      <c r="K120" s="37">
        <v>2</v>
      </c>
      <c r="L120" s="45" t="str">
        <f>VLOOKUP(K120,Key!$A$24:$B$29,2,FALSE)</f>
        <v>30-39</v>
      </c>
      <c r="M120" s="37" t="s">
        <v>167</v>
      </c>
      <c r="N120" s="32" t="s">
        <v>167</v>
      </c>
      <c r="O120" s="37" t="s">
        <v>168</v>
      </c>
      <c r="P120" s="39">
        <v>2</v>
      </c>
      <c r="Q120" s="34" t="str">
        <f>VLOOKUP(P120,Key!$E$2:$F$9,2,FALSE)</f>
        <v>Work</v>
      </c>
      <c r="R120" s="37" t="s">
        <v>30</v>
      </c>
      <c r="S120" s="32" t="s">
        <v>188</v>
      </c>
      <c r="T120" s="37" t="s">
        <v>168</v>
      </c>
      <c r="U120" s="32">
        <v>5</v>
      </c>
      <c r="V120" s="34" t="str">
        <f>VLOOKUP(U120,Key!$E$2:$F$9,2,FALSE)</f>
        <v>Tourism</v>
      </c>
      <c r="W120" s="34" t="str">
        <f t="shared" si="1"/>
        <v>Work-Tourism</v>
      </c>
      <c r="X120" s="47">
        <v>80000</v>
      </c>
      <c r="Y120" s="38">
        <v>120</v>
      </c>
      <c r="Z120" s="38">
        <v>6</v>
      </c>
      <c r="AA120" s="32">
        <v>6</v>
      </c>
      <c r="AB120" s="34" t="str">
        <f>VLOOKUP(AA120,Key!$C$20:$D$29,2,FALSE)</f>
        <v>Businessman</v>
      </c>
      <c r="AC120" s="32">
        <v>3</v>
      </c>
      <c r="AD120" s="34" t="str">
        <f>VLOOKUP(AC120,Key!$E$20:$F$24,2,FALSE)</f>
        <v>500,000-750,000</v>
      </c>
      <c r="AE120" s="32">
        <v>2</v>
      </c>
      <c r="AF120" s="55">
        <v>3</v>
      </c>
      <c r="AG120" s="55">
        <v>2</v>
      </c>
      <c r="AH120" s="55">
        <v>1</v>
      </c>
      <c r="AI120" s="55">
        <v>3</v>
      </c>
      <c r="AJ120" s="39" t="s">
        <v>104</v>
      </c>
      <c r="AK120" s="40">
        <v>1000</v>
      </c>
      <c r="AL120" s="24"/>
      <c r="AM120" s="24"/>
    </row>
    <row r="121" spans="2:39" hidden="1" x14ac:dyDescent="0.2">
      <c r="B121" s="50">
        <v>43690</v>
      </c>
      <c r="C121" s="35">
        <v>0.60902777777777783</v>
      </c>
      <c r="D121" s="35"/>
      <c r="E121" s="35" t="s">
        <v>111</v>
      </c>
      <c r="F121" s="37">
        <v>2</v>
      </c>
      <c r="G121" s="42" t="str">
        <f>VLOOKUP(F121,Key!$A$17:$B$21,2,FALSE)</f>
        <v>Road Vehicle</v>
      </c>
      <c r="H121" s="36">
        <v>1</v>
      </c>
      <c r="I121" s="43" t="str">
        <f>VLOOKUP(H121,Key!$A$2:$B$13,2,FALSE)</f>
        <v>Car</v>
      </c>
      <c r="J121" s="37" t="s">
        <v>123</v>
      </c>
      <c r="K121" s="37">
        <v>3</v>
      </c>
      <c r="L121" s="45" t="str">
        <f>VLOOKUP(K121,Key!$A$24:$B$29,2,FALSE)</f>
        <v>40-49</v>
      </c>
      <c r="M121" s="37" t="s">
        <v>315</v>
      </c>
      <c r="N121" s="32" t="s">
        <v>179</v>
      </c>
      <c r="O121" s="37" t="s">
        <v>168</v>
      </c>
      <c r="P121" s="39">
        <v>6</v>
      </c>
      <c r="Q121" s="34" t="str">
        <f>VLOOKUP(P121,Key!$E$2:$F$9,2,FALSE)</f>
        <v>Leisure/Social</v>
      </c>
      <c r="R121" s="37" t="s">
        <v>222</v>
      </c>
      <c r="S121" s="32" t="s">
        <v>176</v>
      </c>
      <c r="T121" s="37" t="s">
        <v>168</v>
      </c>
      <c r="U121" s="32">
        <v>1</v>
      </c>
      <c r="V121" s="34" t="str">
        <f>VLOOKUP(U121,Key!$E$2:$F$9,2,FALSE)</f>
        <v>Home</v>
      </c>
      <c r="W121" s="34" t="str">
        <f t="shared" si="1"/>
        <v>Leisure/Social-Home</v>
      </c>
      <c r="X121" s="47">
        <v>80000</v>
      </c>
      <c r="Y121" s="38">
        <v>130</v>
      </c>
      <c r="Z121" s="38">
        <v>3</v>
      </c>
      <c r="AA121" s="32">
        <v>5</v>
      </c>
      <c r="AB121" s="34" t="str">
        <f>VLOOKUP(AA121,Key!$C$20:$D$29,2,FALSE)</f>
        <v>Professional</v>
      </c>
      <c r="AC121" s="32">
        <v>5</v>
      </c>
      <c r="AD121" s="34" t="str">
        <f>VLOOKUP(AC121,Key!$E$20:$F$24,2,FALSE)</f>
        <v>&gt;1,000,000</v>
      </c>
      <c r="AE121" s="32">
        <v>1</v>
      </c>
      <c r="AF121" s="55">
        <v>1</v>
      </c>
      <c r="AG121" s="55">
        <v>1</v>
      </c>
      <c r="AH121" s="55">
        <v>1</v>
      </c>
      <c r="AI121" s="55">
        <v>1</v>
      </c>
      <c r="AJ121" s="39" t="s">
        <v>104</v>
      </c>
      <c r="AK121" s="40">
        <v>10000</v>
      </c>
      <c r="AL121" s="24"/>
      <c r="AM121" s="24"/>
    </row>
    <row r="122" spans="2:39" hidden="1" x14ac:dyDescent="0.2">
      <c r="B122" s="50">
        <v>43690</v>
      </c>
      <c r="C122" s="35">
        <v>0.59236111111111112</v>
      </c>
      <c r="D122" s="35"/>
      <c r="E122" s="35" t="s">
        <v>111</v>
      </c>
      <c r="F122" s="37">
        <v>2</v>
      </c>
      <c r="G122" s="42" t="str">
        <f>VLOOKUP(F122,Key!$A$17:$B$21,2,FALSE)</f>
        <v>Road Vehicle</v>
      </c>
      <c r="H122" s="36">
        <v>1</v>
      </c>
      <c r="I122" s="43" t="str">
        <f>VLOOKUP(H122,Key!$A$2:$B$13,2,FALSE)</f>
        <v>Car</v>
      </c>
      <c r="J122" s="37" t="s">
        <v>123</v>
      </c>
      <c r="K122" s="13">
        <v>1</v>
      </c>
      <c r="L122" s="45" t="str">
        <f>VLOOKUP(K122,Key!$A$24:$B$29,2,FALSE)</f>
        <v>20-29</v>
      </c>
      <c r="M122" s="44" t="s">
        <v>169</v>
      </c>
      <c r="N122" s="32" t="s">
        <v>169</v>
      </c>
      <c r="O122" s="37" t="s">
        <v>168</v>
      </c>
      <c r="P122" s="39">
        <v>2</v>
      </c>
      <c r="Q122" s="34" t="str">
        <f>VLOOKUP(P122,Key!$E$2:$F$9,2,FALSE)</f>
        <v>Work</v>
      </c>
      <c r="R122" s="37" t="s">
        <v>167</v>
      </c>
      <c r="S122" s="32" t="s">
        <v>167</v>
      </c>
      <c r="T122" s="37" t="s">
        <v>168</v>
      </c>
      <c r="U122" s="32">
        <v>5</v>
      </c>
      <c r="V122" s="34" t="str">
        <f>VLOOKUP(U122,Key!$E$2:$F$9,2,FALSE)</f>
        <v>Tourism</v>
      </c>
      <c r="W122" s="34" t="str">
        <f t="shared" si="1"/>
        <v>Work-Tourism</v>
      </c>
      <c r="X122" s="47">
        <v>50000</v>
      </c>
      <c r="Y122" s="38">
        <v>140</v>
      </c>
      <c r="Z122" s="38">
        <v>3</v>
      </c>
      <c r="AA122" s="32">
        <v>2</v>
      </c>
      <c r="AB122" s="34" t="str">
        <f>VLOOKUP(AA122,Key!$C$20:$D$29,2,FALSE)</f>
        <v>Manual Labour</v>
      </c>
      <c r="AC122" s="32">
        <v>2</v>
      </c>
      <c r="AD122" s="34" t="str">
        <f>VLOOKUP(AC122,Key!$E$20:$F$24,2,FALSE)</f>
        <v>300,000-500,000</v>
      </c>
      <c r="AE122" s="32">
        <v>2</v>
      </c>
      <c r="AF122" s="55">
        <v>2</v>
      </c>
      <c r="AG122" s="55">
        <v>3</v>
      </c>
      <c r="AH122" s="55">
        <v>1</v>
      </c>
      <c r="AI122" s="55">
        <v>4</v>
      </c>
      <c r="AJ122" s="39" t="s">
        <v>104</v>
      </c>
      <c r="AK122" s="40">
        <v>1000</v>
      </c>
      <c r="AL122" s="24"/>
      <c r="AM122" s="24"/>
    </row>
    <row r="123" spans="2:39" hidden="1" x14ac:dyDescent="0.2">
      <c r="B123" s="50">
        <v>43690</v>
      </c>
      <c r="C123" s="35">
        <v>0.49652777777777773</v>
      </c>
      <c r="D123" s="35"/>
      <c r="E123" s="35" t="s">
        <v>111</v>
      </c>
      <c r="F123" s="37">
        <v>2</v>
      </c>
      <c r="G123" s="42" t="str">
        <f>VLOOKUP(F123,Key!$A$17:$B$21,2,FALSE)</f>
        <v>Road Vehicle</v>
      </c>
      <c r="H123" s="36">
        <v>1</v>
      </c>
      <c r="I123" s="43" t="str">
        <f>VLOOKUP(H123,Key!$A$2:$B$13,2,FALSE)</f>
        <v>Car</v>
      </c>
      <c r="J123" s="37" t="s">
        <v>123</v>
      </c>
      <c r="K123" s="37">
        <v>1</v>
      </c>
      <c r="L123" s="45" t="str">
        <f>VLOOKUP(K123,Key!$A$24:$B$29,2,FALSE)</f>
        <v>20-29</v>
      </c>
      <c r="M123" s="37" t="s">
        <v>199</v>
      </c>
      <c r="N123" s="32" t="s">
        <v>199</v>
      </c>
      <c r="O123" s="37" t="s">
        <v>168</v>
      </c>
      <c r="P123" s="39">
        <v>2</v>
      </c>
      <c r="Q123" s="34" t="str">
        <f>VLOOKUP(P123,Key!$E$2:$F$9,2,FALSE)</f>
        <v>Work</v>
      </c>
      <c r="R123" s="37" t="s">
        <v>167</v>
      </c>
      <c r="S123" s="32" t="s">
        <v>167</v>
      </c>
      <c r="T123" s="37" t="s">
        <v>168</v>
      </c>
      <c r="U123" s="32">
        <v>2</v>
      </c>
      <c r="V123" s="34" t="str">
        <f>VLOOKUP(U123,Key!$E$2:$F$9,2,FALSE)</f>
        <v>Work</v>
      </c>
      <c r="W123" s="34" t="str">
        <f t="shared" si="1"/>
        <v>Work-Work</v>
      </c>
      <c r="X123" s="47">
        <v>80000</v>
      </c>
      <c r="Y123" s="38">
        <v>140</v>
      </c>
      <c r="Z123" s="38">
        <v>4</v>
      </c>
      <c r="AA123" s="32">
        <v>10</v>
      </c>
      <c r="AB123" s="34" t="str">
        <f>VLOOKUP(AA123,Key!$C$20:$D$29,2,FALSE)</f>
        <v>Other</v>
      </c>
      <c r="AC123" s="32">
        <v>2</v>
      </c>
      <c r="AD123" s="34" t="str">
        <f>VLOOKUP(AC123,Key!$E$20:$F$24,2,FALSE)</f>
        <v>300,000-500,000</v>
      </c>
      <c r="AE123" s="32">
        <v>2</v>
      </c>
      <c r="AF123" s="55">
        <v>4</v>
      </c>
      <c r="AG123" s="55">
        <v>3</v>
      </c>
      <c r="AH123" s="55">
        <v>1</v>
      </c>
      <c r="AI123" s="55">
        <v>5</v>
      </c>
      <c r="AJ123" s="39" t="s">
        <v>104</v>
      </c>
      <c r="AK123" s="40">
        <v>2000</v>
      </c>
      <c r="AL123" s="24"/>
      <c r="AM123" s="24"/>
    </row>
    <row r="124" spans="2:39" hidden="1" x14ac:dyDescent="0.2">
      <c r="B124" s="50">
        <v>43690</v>
      </c>
      <c r="C124" s="35">
        <v>0.40625</v>
      </c>
      <c r="D124" s="35"/>
      <c r="E124" s="35" t="s">
        <v>111</v>
      </c>
      <c r="F124" s="37">
        <v>2</v>
      </c>
      <c r="G124" s="42" t="str">
        <f>VLOOKUP(F124,Key!$A$17:$B$21,2,FALSE)</f>
        <v>Road Vehicle</v>
      </c>
      <c r="H124" s="36">
        <v>1</v>
      </c>
      <c r="I124" s="43" t="str">
        <f>VLOOKUP(H124,Key!$A$2:$B$13,2,FALSE)</f>
        <v>Car</v>
      </c>
      <c r="J124" s="37" t="s">
        <v>123</v>
      </c>
      <c r="K124" s="13">
        <v>2</v>
      </c>
      <c r="L124" s="45" t="str">
        <f>VLOOKUP(K124,Key!$A$24:$B$29,2,FALSE)</f>
        <v>30-39</v>
      </c>
      <c r="M124" s="44" t="s">
        <v>169</v>
      </c>
      <c r="N124" s="32" t="s">
        <v>169</v>
      </c>
      <c r="O124" s="37" t="s">
        <v>168</v>
      </c>
      <c r="P124" s="39">
        <v>1</v>
      </c>
      <c r="Q124" s="34" t="str">
        <f>VLOOKUP(P124,Key!$E$2:$F$9,2,FALSE)</f>
        <v>Home</v>
      </c>
      <c r="R124" s="37" t="s">
        <v>167</v>
      </c>
      <c r="S124" s="32" t="s">
        <v>167</v>
      </c>
      <c r="T124" s="37" t="s">
        <v>168</v>
      </c>
      <c r="U124" s="32">
        <v>4</v>
      </c>
      <c r="V124" s="34" t="str">
        <f>VLOOKUP(U124,Key!$E$2:$F$9,2,FALSE)</f>
        <v>Commercial</v>
      </c>
      <c r="W124" s="34" t="str">
        <f t="shared" si="1"/>
        <v>Home-Commercial</v>
      </c>
      <c r="X124" s="47">
        <v>80000</v>
      </c>
      <c r="Y124" s="38">
        <v>144</v>
      </c>
      <c r="Z124" s="38">
        <v>3</v>
      </c>
      <c r="AA124" s="32">
        <v>10</v>
      </c>
      <c r="AB124" s="34" t="str">
        <f>VLOOKUP(AA124,Key!$C$20:$D$29,2,FALSE)</f>
        <v>Other</v>
      </c>
      <c r="AC124" s="32">
        <v>2</v>
      </c>
      <c r="AD124" s="34" t="str">
        <f>VLOOKUP(AC124,Key!$E$20:$F$24,2,FALSE)</f>
        <v>300,000-500,000</v>
      </c>
      <c r="AE124" s="32">
        <v>2</v>
      </c>
      <c r="AF124" s="55">
        <v>3</v>
      </c>
      <c r="AG124" s="55">
        <v>2</v>
      </c>
      <c r="AH124" s="55">
        <v>1</v>
      </c>
      <c r="AI124" s="55">
        <v>4</v>
      </c>
      <c r="AJ124" s="39" t="s">
        <v>104</v>
      </c>
      <c r="AK124" s="40"/>
      <c r="AL124" s="24"/>
      <c r="AM124" s="24"/>
    </row>
    <row r="125" spans="2:39" hidden="1" x14ac:dyDescent="0.2">
      <c r="B125" s="50">
        <v>43690</v>
      </c>
      <c r="C125" s="35">
        <v>0.4236111111111111</v>
      </c>
      <c r="D125" s="35"/>
      <c r="E125" s="35" t="s">
        <v>111</v>
      </c>
      <c r="F125" s="37">
        <v>2</v>
      </c>
      <c r="G125" s="42" t="str">
        <f>VLOOKUP(F125,Key!$A$17:$B$21,2,FALSE)</f>
        <v>Road Vehicle</v>
      </c>
      <c r="H125" s="36">
        <v>1</v>
      </c>
      <c r="I125" s="43" t="str">
        <f>VLOOKUP(H125,Key!$A$2:$B$13,2,FALSE)</f>
        <v>Car</v>
      </c>
      <c r="J125" s="37" t="s">
        <v>166</v>
      </c>
      <c r="K125" s="37">
        <v>1</v>
      </c>
      <c r="L125" s="45" t="str">
        <f>VLOOKUP(K125,Key!$A$24:$B$29,2,FALSE)</f>
        <v>20-29</v>
      </c>
      <c r="M125" s="44" t="s">
        <v>220</v>
      </c>
      <c r="N125" s="44" t="s">
        <v>221</v>
      </c>
      <c r="O125" s="37" t="s">
        <v>168</v>
      </c>
      <c r="P125" s="39">
        <v>6</v>
      </c>
      <c r="Q125" s="34" t="str">
        <f>VLOOKUP(P125,Key!$E$2:$F$9,2,FALSE)</f>
        <v>Leisure/Social</v>
      </c>
      <c r="R125" s="37" t="s">
        <v>222</v>
      </c>
      <c r="S125" s="32" t="s">
        <v>176</v>
      </c>
      <c r="T125" s="37" t="s">
        <v>168</v>
      </c>
      <c r="U125" s="32">
        <v>1</v>
      </c>
      <c r="V125" s="34" t="str">
        <f>VLOOKUP(U125,Key!$E$2:$F$9,2,FALSE)</f>
        <v>Home</v>
      </c>
      <c r="W125" s="34" t="str">
        <f t="shared" si="1"/>
        <v>Leisure/Social-Home</v>
      </c>
      <c r="X125" s="47">
        <v>80000</v>
      </c>
      <c r="Y125" s="38">
        <v>150</v>
      </c>
      <c r="Z125" s="38">
        <v>3</v>
      </c>
      <c r="AA125" s="32">
        <v>4</v>
      </c>
      <c r="AB125" s="34" t="str">
        <f>VLOOKUP(AA125,Key!$C$20:$D$29,2,FALSE)</f>
        <v>Office Worker</v>
      </c>
      <c r="AC125" s="32">
        <v>4</v>
      </c>
      <c r="AD125" s="34" t="str">
        <f>VLOOKUP(AC125,Key!$E$20:$F$24,2,FALSE)</f>
        <v>750,000-1,000,000</v>
      </c>
      <c r="AE125" s="32">
        <v>1</v>
      </c>
      <c r="AF125" s="55">
        <v>1</v>
      </c>
      <c r="AG125" s="55">
        <v>1</v>
      </c>
      <c r="AH125" s="55">
        <v>1</v>
      </c>
      <c r="AI125" s="55">
        <v>1</v>
      </c>
      <c r="AJ125" s="39" t="s">
        <v>104</v>
      </c>
      <c r="AK125" s="40">
        <v>10000</v>
      </c>
      <c r="AL125" s="24"/>
      <c r="AM125" s="24"/>
    </row>
    <row r="126" spans="2:39" hidden="1" x14ac:dyDescent="0.2">
      <c r="B126" s="50">
        <v>43689</v>
      </c>
      <c r="C126" s="35">
        <v>0.59861111111111109</v>
      </c>
      <c r="D126" s="35"/>
      <c r="E126" s="35" t="s">
        <v>111</v>
      </c>
      <c r="F126" s="37">
        <v>2</v>
      </c>
      <c r="G126" s="42" t="str">
        <f>VLOOKUP(F126,Key!$A$17:$B$21,2,FALSE)</f>
        <v>Road Vehicle</v>
      </c>
      <c r="H126" s="36">
        <v>1</v>
      </c>
      <c r="I126" s="43" t="str">
        <f>VLOOKUP(H126,Key!$A$2:$B$13,2,FALSE)</f>
        <v>Car</v>
      </c>
      <c r="J126" s="37" t="s">
        <v>123</v>
      </c>
      <c r="K126" s="37">
        <v>2</v>
      </c>
      <c r="L126" s="45" t="str">
        <f>VLOOKUP(K126,Key!$A$24:$B$29,2,FALSE)</f>
        <v>30-39</v>
      </c>
      <c r="M126" s="37" t="s">
        <v>323</v>
      </c>
      <c r="N126" s="32" t="s">
        <v>323</v>
      </c>
      <c r="O126" s="37" t="s">
        <v>168</v>
      </c>
      <c r="P126" s="39">
        <v>6</v>
      </c>
      <c r="Q126" s="34" t="str">
        <f>VLOOKUP(P126,Key!$E$2:$F$9,2,FALSE)</f>
        <v>Leisure/Social</v>
      </c>
      <c r="R126" s="37" t="s">
        <v>193</v>
      </c>
      <c r="S126" s="32" t="s">
        <v>188</v>
      </c>
      <c r="T126" s="37" t="s">
        <v>168</v>
      </c>
      <c r="U126" s="32">
        <v>1</v>
      </c>
      <c r="V126" s="34" t="str">
        <f>VLOOKUP(U126,Key!$E$2:$F$9,2,FALSE)</f>
        <v>Home</v>
      </c>
      <c r="W126" s="34" t="str">
        <f t="shared" si="1"/>
        <v>Leisure/Social-Home</v>
      </c>
      <c r="X126" s="47">
        <v>80000</v>
      </c>
      <c r="Y126" s="38">
        <v>150</v>
      </c>
      <c r="Z126" s="38">
        <v>4</v>
      </c>
      <c r="AA126" s="32">
        <v>4</v>
      </c>
      <c r="AB126" s="34" t="str">
        <f>VLOOKUP(AA126,Key!$C$20:$D$29,2,FALSE)</f>
        <v>Office Worker</v>
      </c>
      <c r="AC126" s="32">
        <v>4</v>
      </c>
      <c r="AD126" s="34" t="str">
        <f>VLOOKUP(AC126,Key!$E$20:$F$24,2,FALSE)</f>
        <v>750,000-1,000,000</v>
      </c>
      <c r="AE126" s="32">
        <v>1</v>
      </c>
      <c r="AF126" s="55">
        <v>1</v>
      </c>
      <c r="AG126" s="55">
        <v>1</v>
      </c>
      <c r="AH126" s="55">
        <v>1</v>
      </c>
      <c r="AI126" s="55">
        <v>1</v>
      </c>
      <c r="AJ126" s="39" t="s">
        <v>104</v>
      </c>
      <c r="AK126" s="40">
        <v>3000</v>
      </c>
      <c r="AL126" s="24"/>
      <c r="AM126" s="24"/>
    </row>
    <row r="127" spans="2:39" hidden="1" x14ac:dyDescent="0.2">
      <c r="B127" s="50">
        <v>43689</v>
      </c>
      <c r="C127" s="35">
        <v>0.625</v>
      </c>
      <c r="D127" s="35"/>
      <c r="E127" s="35" t="s">
        <v>111</v>
      </c>
      <c r="F127" s="37">
        <v>2</v>
      </c>
      <c r="G127" s="42" t="str">
        <f>VLOOKUP(F127,Key!$A$17:$B$21,2,FALSE)</f>
        <v>Road Vehicle</v>
      </c>
      <c r="H127" s="36">
        <v>1</v>
      </c>
      <c r="I127" s="43" t="str">
        <f>VLOOKUP(H127,Key!$A$2:$B$13,2,FALSE)</f>
        <v>Car</v>
      </c>
      <c r="J127" s="37" t="s">
        <v>166</v>
      </c>
      <c r="K127" s="37">
        <v>2</v>
      </c>
      <c r="L127" s="45" t="str">
        <f>VLOOKUP(K127,Key!$A$24:$B$29,2,FALSE)</f>
        <v>30-39</v>
      </c>
      <c r="M127" s="37" t="s">
        <v>220</v>
      </c>
      <c r="N127" s="32" t="s">
        <v>221</v>
      </c>
      <c r="O127" s="37" t="s">
        <v>168</v>
      </c>
      <c r="P127" s="39">
        <v>6</v>
      </c>
      <c r="Q127" s="34" t="str">
        <f>VLOOKUP(P127,Key!$E$2:$F$9,2,FALSE)</f>
        <v>Leisure/Social</v>
      </c>
      <c r="R127" s="37" t="s">
        <v>325</v>
      </c>
      <c r="S127" s="32" t="s">
        <v>190</v>
      </c>
      <c r="T127" s="37" t="s">
        <v>168</v>
      </c>
      <c r="U127" s="32">
        <v>1</v>
      </c>
      <c r="V127" s="34" t="str">
        <f>VLOOKUP(U127,Key!$E$2:$F$9,2,FALSE)</f>
        <v>Home</v>
      </c>
      <c r="W127" s="34" t="str">
        <f t="shared" si="1"/>
        <v>Leisure/Social-Home</v>
      </c>
      <c r="X127" s="47">
        <v>70000</v>
      </c>
      <c r="Y127" s="38">
        <v>200</v>
      </c>
      <c r="Z127" s="38">
        <v>4</v>
      </c>
      <c r="AA127" s="32">
        <v>5</v>
      </c>
      <c r="AB127" s="34" t="str">
        <f>VLOOKUP(AA127,Key!$C$20:$D$29,2,FALSE)</f>
        <v>Professional</v>
      </c>
      <c r="AC127" s="32">
        <v>3</v>
      </c>
      <c r="AD127" s="34" t="str">
        <f>VLOOKUP(AC127,Key!$E$20:$F$24,2,FALSE)</f>
        <v>500,000-750,000</v>
      </c>
      <c r="AE127" s="32">
        <v>1</v>
      </c>
      <c r="AF127" s="55">
        <v>1</v>
      </c>
      <c r="AG127" s="55">
        <v>1</v>
      </c>
      <c r="AH127" s="55">
        <v>1</v>
      </c>
      <c r="AI127" s="55">
        <v>1</v>
      </c>
      <c r="AJ127" s="39" t="s">
        <v>104</v>
      </c>
      <c r="AK127" s="40"/>
      <c r="AL127" s="24"/>
      <c r="AM127" s="24"/>
    </row>
    <row r="128" spans="2:39" hidden="1" x14ac:dyDescent="0.2">
      <c r="B128" s="50">
        <v>43687</v>
      </c>
      <c r="C128" s="35">
        <v>0.72222222222222221</v>
      </c>
      <c r="D128" s="35"/>
      <c r="E128" s="35" t="s">
        <v>111</v>
      </c>
      <c r="F128" s="37">
        <v>2</v>
      </c>
      <c r="G128" s="42" t="str">
        <f>VLOOKUP(F128,Key!$A$17:$B$21,2,FALSE)</f>
        <v>Road Vehicle</v>
      </c>
      <c r="H128" s="36">
        <v>1</v>
      </c>
      <c r="I128" s="43" t="str">
        <f>VLOOKUP(H128,Key!$A$2:$B$13,2,FALSE)</f>
        <v>Car</v>
      </c>
      <c r="J128" s="37" t="s">
        <v>123</v>
      </c>
      <c r="K128" s="37">
        <v>3</v>
      </c>
      <c r="L128" s="45" t="str">
        <f>VLOOKUP(K128,Key!$A$24:$B$29,2,FALSE)</f>
        <v>40-49</v>
      </c>
      <c r="M128" s="37" t="s">
        <v>324</v>
      </c>
      <c r="N128" s="32" t="s">
        <v>320</v>
      </c>
      <c r="O128" s="37" t="s">
        <v>168</v>
      </c>
      <c r="P128" s="39">
        <v>1</v>
      </c>
      <c r="Q128" s="34" t="str">
        <f>VLOOKUP(P128,Key!$E$2:$F$9,2,FALSE)</f>
        <v>Home</v>
      </c>
      <c r="R128" s="37" t="s">
        <v>325</v>
      </c>
      <c r="S128" s="32" t="s">
        <v>190</v>
      </c>
      <c r="T128" s="37" t="s">
        <v>168</v>
      </c>
      <c r="U128" s="32">
        <v>6</v>
      </c>
      <c r="V128" s="34" t="str">
        <f>VLOOKUP(U128,Key!$E$2:$F$9,2,FALSE)</f>
        <v>Leisure/Social</v>
      </c>
      <c r="W128" s="34" t="str">
        <f t="shared" si="1"/>
        <v>Home-Leisure/Social</v>
      </c>
      <c r="X128" s="47">
        <v>80000</v>
      </c>
      <c r="Y128" s="38">
        <v>200</v>
      </c>
      <c r="Z128" s="38">
        <v>4</v>
      </c>
      <c r="AA128" s="32">
        <v>4</v>
      </c>
      <c r="AB128" s="34" t="str">
        <f>VLOOKUP(AA128,Key!$C$20:$D$29,2,FALSE)</f>
        <v>Office Worker</v>
      </c>
      <c r="AC128" s="32">
        <v>5</v>
      </c>
      <c r="AD128" s="34" t="str">
        <f>VLOOKUP(AC128,Key!$E$20:$F$24,2,FALSE)</f>
        <v>&gt;1,000,000</v>
      </c>
      <c r="AE128" s="32">
        <v>1</v>
      </c>
      <c r="AF128" s="55">
        <v>1</v>
      </c>
      <c r="AG128" s="55">
        <v>1</v>
      </c>
      <c r="AH128" s="55">
        <v>1</v>
      </c>
      <c r="AI128" s="55">
        <v>1</v>
      </c>
      <c r="AJ128" s="39" t="s">
        <v>104</v>
      </c>
      <c r="AK128" s="40"/>
      <c r="AL128" s="24"/>
      <c r="AM128" s="24"/>
    </row>
    <row r="129" spans="1:39" hidden="1" x14ac:dyDescent="0.2">
      <c r="B129" s="50">
        <v>43690</v>
      </c>
      <c r="C129" s="35">
        <v>0.50694444444444442</v>
      </c>
      <c r="D129" s="35"/>
      <c r="E129" s="35" t="s">
        <v>111</v>
      </c>
      <c r="F129" s="37">
        <v>2</v>
      </c>
      <c r="G129" s="42" t="str">
        <f>VLOOKUP(F129,Key!$A$17:$B$21,2,FALSE)</f>
        <v>Road Vehicle</v>
      </c>
      <c r="H129" s="36">
        <v>1</v>
      </c>
      <c r="I129" s="43" t="str">
        <f>VLOOKUP(H129,Key!$A$2:$B$13,2,FALSE)</f>
        <v>Car</v>
      </c>
      <c r="J129" s="37" t="s">
        <v>123</v>
      </c>
      <c r="K129" s="37">
        <v>5</v>
      </c>
      <c r="L129" s="45" t="str">
        <f>VLOOKUP(K129,Key!$A$24:$B$29,2,FALSE)</f>
        <v>60-69</v>
      </c>
      <c r="M129" s="37" t="s">
        <v>281</v>
      </c>
      <c r="N129" s="32" t="s">
        <v>190</v>
      </c>
      <c r="O129" s="37" t="s">
        <v>168</v>
      </c>
      <c r="P129" s="39">
        <v>6</v>
      </c>
      <c r="Q129" s="34" t="str">
        <f>VLOOKUP(P129,Key!$E$2:$F$9,2,FALSE)</f>
        <v>Leisure/Social</v>
      </c>
      <c r="R129" s="37" t="s">
        <v>231</v>
      </c>
      <c r="S129" s="32" t="s">
        <v>169</v>
      </c>
      <c r="T129" s="37" t="s">
        <v>168</v>
      </c>
      <c r="U129" s="32">
        <v>1</v>
      </c>
      <c r="V129" s="34" t="str">
        <f>VLOOKUP(U129,Key!$E$2:$F$9,2,FALSE)</f>
        <v>Home</v>
      </c>
      <c r="W129" s="34" t="str">
        <f t="shared" si="1"/>
        <v>Leisure/Social-Home</v>
      </c>
      <c r="X129" s="47">
        <v>80000</v>
      </c>
      <c r="Y129" s="38">
        <v>200</v>
      </c>
      <c r="Z129" s="38">
        <v>4</v>
      </c>
      <c r="AA129" s="32">
        <v>5</v>
      </c>
      <c r="AB129" s="34" t="str">
        <f>VLOOKUP(AA129,Key!$C$20:$D$29,2,FALSE)</f>
        <v>Professional</v>
      </c>
      <c r="AC129" s="32">
        <v>5</v>
      </c>
      <c r="AD129" s="34" t="str">
        <f>VLOOKUP(AC129,Key!$E$20:$F$24,2,FALSE)</f>
        <v>&gt;1,000,000</v>
      </c>
      <c r="AE129" s="32">
        <v>1</v>
      </c>
      <c r="AF129" s="55">
        <v>1</v>
      </c>
      <c r="AG129" s="55">
        <v>1</v>
      </c>
      <c r="AH129" s="55">
        <v>1</v>
      </c>
      <c r="AI129" s="55">
        <v>1</v>
      </c>
      <c r="AJ129" s="39" t="s">
        <v>104</v>
      </c>
      <c r="AK129" s="40">
        <v>5000</v>
      </c>
      <c r="AL129" s="24"/>
      <c r="AM129" s="24"/>
    </row>
    <row r="130" spans="1:39" hidden="1" x14ac:dyDescent="0.2">
      <c r="B130" s="50">
        <v>43690</v>
      </c>
      <c r="C130" s="35">
        <v>0.47916666666666669</v>
      </c>
      <c r="D130" s="35"/>
      <c r="E130" s="35" t="s">
        <v>111</v>
      </c>
      <c r="F130" s="37">
        <v>2</v>
      </c>
      <c r="G130" s="42" t="str">
        <f>VLOOKUP(F130,Key!$A$17:$B$21,2,FALSE)</f>
        <v>Road Vehicle</v>
      </c>
      <c r="H130" s="36">
        <v>1</v>
      </c>
      <c r="I130" s="43" t="str">
        <f>VLOOKUP(H130,Key!$A$2:$B$13,2,FALSE)</f>
        <v>Car</v>
      </c>
      <c r="J130" s="37" t="s">
        <v>123</v>
      </c>
      <c r="K130" s="37">
        <v>2</v>
      </c>
      <c r="L130" s="45" t="str">
        <f>VLOOKUP(K130,Key!$A$24:$B$29,2,FALSE)</f>
        <v>30-39</v>
      </c>
      <c r="M130" s="37" t="s">
        <v>190</v>
      </c>
      <c r="N130" s="32" t="s">
        <v>190</v>
      </c>
      <c r="O130" s="37" t="s">
        <v>168</v>
      </c>
      <c r="P130" s="39">
        <v>1</v>
      </c>
      <c r="Q130" s="34" t="str">
        <f>VLOOKUP(P130,Key!$E$2:$F$9,2,FALSE)</f>
        <v>Home</v>
      </c>
      <c r="R130" s="37" t="s">
        <v>169</v>
      </c>
      <c r="S130" s="32" t="s">
        <v>169</v>
      </c>
      <c r="T130" s="37" t="s">
        <v>168</v>
      </c>
      <c r="U130" s="32">
        <v>2</v>
      </c>
      <c r="V130" s="34" t="str">
        <f>VLOOKUP(U130,Key!$E$2:$F$9,2,FALSE)</f>
        <v>Work</v>
      </c>
      <c r="W130" s="34" t="str">
        <f t="shared" si="1"/>
        <v>Home-Work</v>
      </c>
      <c r="X130" s="47">
        <v>90000</v>
      </c>
      <c r="Y130" s="38">
        <v>200</v>
      </c>
      <c r="Z130" s="38">
        <v>4</v>
      </c>
      <c r="AA130" s="32">
        <v>4</v>
      </c>
      <c r="AB130" s="34" t="str">
        <f>VLOOKUP(AA130,Key!$C$20:$D$29,2,FALSE)</f>
        <v>Office Worker</v>
      </c>
      <c r="AC130" s="32">
        <v>4</v>
      </c>
      <c r="AD130" s="34" t="str">
        <f>VLOOKUP(AC130,Key!$E$20:$F$24,2,FALSE)</f>
        <v>750,000-1,000,000</v>
      </c>
      <c r="AE130" s="32">
        <v>2</v>
      </c>
      <c r="AF130" s="55">
        <v>3</v>
      </c>
      <c r="AG130" s="55">
        <v>4</v>
      </c>
      <c r="AH130" s="55">
        <v>1</v>
      </c>
      <c r="AI130" s="55">
        <v>4</v>
      </c>
      <c r="AJ130" s="39" t="s">
        <v>104</v>
      </c>
      <c r="AK130" s="40">
        <v>5000</v>
      </c>
      <c r="AL130" s="24"/>
      <c r="AM130" s="24"/>
    </row>
    <row r="131" spans="1:39" hidden="1" x14ac:dyDescent="0.2">
      <c r="A131" s="10"/>
      <c r="B131" s="50">
        <v>43687</v>
      </c>
      <c r="C131" s="35">
        <v>0.56597222222222221</v>
      </c>
      <c r="D131" s="35"/>
      <c r="E131" s="35" t="s">
        <v>111</v>
      </c>
      <c r="F131" s="37">
        <v>2</v>
      </c>
      <c r="G131" s="42" t="str">
        <f>VLOOKUP(F131,Key!$A$17:$B$21,2,FALSE)</f>
        <v>Road Vehicle</v>
      </c>
      <c r="H131" s="36">
        <v>1</v>
      </c>
      <c r="I131" s="43" t="str">
        <f>VLOOKUP(H131,Key!$A$2:$B$13,2,FALSE)</f>
        <v>Car</v>
      </c>
      <c r="J131" s="37" t="s">
        <v>166</v>
      </c>
      <c r="K131" s="37">
        <v>2</v>
      </c>
      <c r="L131" s="45" t="str">
        <f>VLOOKUP(K131,Key!$A$24:$B$29,2,FALSE)</f>
        <v>30-39</v>
      </c>
      <c r="M131" s="37" t="s">
        <v>318</v>
      </c>
      <c r="N131" s="32" t="s">
        <v>169</v>
      </c>
      <c r="O131" s="37" t="s">
        <v>168</v>
      </c>
      <c r="P131" s="39">
        <v>1</v>
      </c>
      <c r="Q131" s="34" t="str">
        <f>VLOOKUP(P131,Key!$E$2:$F$9,2,FALSE)</f>
        <v>Home</v>
      </c>
      <c r="R131" s="37" t="s">
        <v>259</v>
      </c>
      <c r="S131" s="32" t="s">
        <v>176</v>
      </c>
      <c r="T131" s="37" t="s">
        <v>168</v>
      </c>
      <c r="U131" s="32">
        <v>8</v>
      </c>
      <c r="V131" s="34" t="str">
        <f>VLOOKUP(U131,Key!$E$2:$F$9,2,FALSE)</f>
        <v>Others</v>
      </c>
      <c r="W131" s="34" t="str">
        <f t="shared" si="1"/>
        <v>Home-Others</v>
      </c>
      <c r="X131" s="47">
        <v>120000</v>
      </c>
      <c r="Y131" s="38">
        <v>200</v>
      </c>
      <c r="Z131" s="38">
        <v>4.5</v>
      </c>
      <c r="AA131" s="32">
        <v>4</v>
      </c>
      <c r="AB131" s="34" t="str">
        <f>VLOOKUP(AA131,Key!$C$20:$D$29,2,FALSE)</f>
        <v>Office Worker</v>
      </c>
      <c r="AC131" s="32">
        <v>4</v>
      </c>
      <c r="AD131" s="34" t="str">
        <f>VLOOKUP(AC131,Key!$E$20:$F$24,2,FALSE)</f>
        <v>750,000-1,000,000</v>
      </c>
      <c r="AE131" s="32">
        <v>1</v>
      </c>
      <c r="AF131" s="55">
        <v>1</v>
      </c>
      <c r="AG131" s="55">
        <v>1</v>
      </c>
      <c r="AH131" s="55">
        <v>1</v>
      </c>
      <c r="AI131" s="55">
        <v>1</v>
      </c>
      <c r="AJ131" s="39" t="s">
        <v>104</v>
      </c>
      <c r="AK131" s="40"/>
      <c r="AL131" s="24"/>
      <c r="AM131" s="24"/>
    </row>
    <row r="132" spans="1:39" hidden="1" x14ac:dyDescent="0.2">
      <c r="B132" s="50">
        <v>43687</v>
      </c>
      <c r="C132" s="35">
        <v>0.76527777777777783</v>
      </c>
      <c r="D132" s="35"/>
      <c r="E132" s="35" t="s">
        <v>111</v>
      </c>
      <c r="F132" s="37">
        <v>2</v>
      </c>
      <c r="G132" s="42" t="str">
        <f>VLOOKUP(F132,Key!$A$17:$B$21,2,FALSE)</f>
        <v>Road Vehicle</v>
      </c>
      <c r="H132" s="36">
        <v>1</v>
      </c>
      <c r="I132" s="43" t="str">
        <f>VLOOKUP(H132,Key!$A$2:$B$13,2,FALSE)</f>
        <v>Car</v>
      </c>
      <c r="J132" s="37" t="s">
        <v>123</v>
      </c>
      <c r="K132" s="37">
        <v>2</v>
      </c>
      <c r="L132" s="45" t="str">
        <f>VLOOKUP(K132,Key!$A$24:$B$29,2,FALSE)</f>
        <v>30-39</v>
      </c>
      <c r="M132" s="37" t="s">
        <v>341</v>
      </c>
      <c r="N132" s="32" t="s">
        <v>342</v>
      </c>
      <c r="O132" s="37" t="s">
        <v>168</v>
      </c>
      <c r="P132" s="39">
        <v>1</v>
      </c>
      <c r="Q132" s="34" t="str">
        <f>VLOOKUP(P132,Key!$E$2:$F$9,2,FALSE)</f>
        <v>Home</v>
      </c>
      <c r="R132" s="37" t="s">
        <v>173</v>
      </c>
      <c r="S132" s="32" t="s">
        <v>173</v>
      </c>
      <c r="T132" s="37" t="s">
        <v>168</v>
      </c>
      <c r="U132" s="32">
        <v>6</v>
      </c>
      <c r="V132" s="34" t="str">
        <f>VLOOKUP(U132,Key!$E$2:$F$9,2,FALSE)</f>
        <v>Leisure/Social</v>
      </c>
      <c r="W132" s="34" t="str">
        <f t="shared" si="1"/>
        <v>Home-Leisure/Social</v>
      </c>
      <c r="X132" s="47">
        <v>100000</v>
      </c>
      <c r="Y132" s="38">
        <v>200</v>
      </c>
      <c r="Z132" s="38">
        <v>5</v>
      </c>
      <c r="AA132" s="32">
        <v>7</v>
      </c>
      <c r="AB132" s="34" t="str">
        <f>VLOOKUP(AA132,Key!$C$20:$D$29,2,FALSE)</f>
        <v>Farmer</v>
      </c>
      <c r="AC132" s="32">
        <v>5</v>
      </c>
      <c r="AD132" s="34" t="str">
        <f>VLOOKUP(AC132,Key!$E$20:$F$24,2,FALSE)</f>
        <v>&gt;1,000,000</v>
      </c>
      <c r="AE132" s="32">
        <v>1</v>
      </c>
      <c r="AF132" s="55">
        <v>1</v>
      </c>
      <c r="AG132" s="55">
        <v>1</v>
      </c>
      <c r="AH132" s="55">
        <v>1</v>
      </c>
      <c r="AI132" s="55">
        <v>1</v>
      </c>
      <c r="AJ132" s="39" t="s">
        <v>104</v>
      </c>
      <c r="AK132" s="40"/>
      <c r="AL132" s="24"/>
      <c r="AM132" s="24"/>
    </row>
    <row r="133" spans="1:39" hidden="1" x14ac:dyDescent="0.2">
      <c r="B133" s="50">
        <v>43687</v>
      </c>
      <c r="C133" s="35">
        <v>0.7715277777777777</v>
      </c>
      <c r="D133" s="35"/>
      <c r="E133" s="35" t="s">
        <v>111</v>
      </c>
      <c r="F133" s="37">
        <v>2</v>
      </c>
      <c r="G133" s="42" t="str">
        <f>VLOOKUP(F133,Key!$A$17:$B$21,2,FALSE)</f>
        <v>Road Vehicle</v>
      </c>
      <c r="H133" s="36">
        <v>1</v>
      </c>
      <c r="I133" s="43" t="str">
        <f>VLOOKUP(H133,Key!$A$2:$B$13,2,FALSE)</f>
        <v>Car</v>
      </c>
      <c r="J133" s="37" t="s">
        <v>123</v>
      </c>
      <c r="K133" s="37">
        <v>4</v>
      </c>
      <c r="L133" s="45" t="str">
        <f>VLOOKUP(K133,Key!$A$24:$B$29,2,FALSE)</f>
        <v>50-59</v>
      </c>
      <c r="M133" s="37" t="s">
        <v>333</v>
      </c>
      <c r="N133" s="32" t="s">
        <v>169</v>
      </c>
      <c r="O133" s="37" t="s">
        <v>168</v>
      </c>
      <c r="P133" s="39">
        <v>6</v>
      </c>
      <c r="Q133" s="34" t="str">
        <f>VLOOKUP(P133,Key!$E$2:$F$9,2,FALSE)</f>
        <v>Leisure/Social</v>
      </c>
      <c r="R133" s="37" t="s">
        <v>188</v>
      </c>
      <c r="S133" s="32" t="s">
        <v>188</v>
      </c>
      <c r="T133" s="37" t="s">
        <v>168</v>
      </c>
      <c r="U133" s="32">
        <v>1</v>
      </c>
      <c r="V133" s="34" t="str">
        <f>VLOOKUP(U133,Key!$E$2:$F$9,2,FALSE)</f>
        <v>Home</v>
      </c>
      <c r="W133" s="34" t="str">
        <f t="shared" si="1"/>
        <v>Leisure/Social-Home</v>
      </c>
      <c r="X133" s="47">
        <v>90000</v>
      </c>
      <c r="Y133" s="38">
        <v>200</v>
      </c>
      <c r="Z133" s="38">
        <v>5</v>
      </c>
      <c r="AA133" s="32">
        <v>4</v>
      </c>
      <c r="AB133" s="34" t="str">
        <f>VLOOKUP(AA133,Key!$C$20:$D$29,2,FALSE)</f>
        <v>Office Worker</v>
      </c>
      <c r="AC133" s="32">
        <v>5</v>
      </c>
      <c r="AD133" s="34" t="str">
        <f>VLOOKUP(AC133,Key!$E$20:$F$24,2,FALSE)</f>
        <v>&gt;1,000,000</v>
      </c>
      <c r="AE133" s="32">
        <v>1</v>
      </c>
      <c r="AF133" s="55">
        <v>1</v>
      </c>
      <c r="AG133" s="55">
        <v>1</v>
      </c>
      <c r="AH133" s="55">
        <v>1</v>
      </c>
      <c r="AI133" s="55">
        <v>1</v>
      </c>
      <c r="AJ133" s="39" t="s">
        <v>104</v>
      </c>
      <c r="AK133" s="40">
        <v>10000</v>
      </c>
      <c r="AL133" s="24"/>
      <c r="AM133" s="24"/>
    </row>
    <row r="134" spans="1:39" hidden="1" x14ac:dyDescent="0.2">
      <c r="B134" s="50">
        <v>43689</v>
      </c>
      <c r="C134" s="35">
        <v>0.55694444444444446</v>
      </c>
      <c r="D134" s="35"/>
      <c r="E134" s="35" t="s">
        <v>111</v>
      </c>
      <c r="F134" s="37">
        <v>2</v>
      </c>
      <c r="G134" s="42" t="str">
        <f>VLOOKUP(F134,Key!$A$17:$B$21,2,FALSE)</f>
        <v>Road Vehicle</v>
      </c>
      <c r="H134" s="36">
        <v>1</v>
      </c>
      <c r="I134" s="43" t="str">
        <f>VLOOKUP(H134,Key!$A$2:$B$13,2,FALSE)</f>
        <v>Car</v>
      </c>
      <c r="J134" s="37" t="s">
        <v>123</v>
      </c>
      <c r="K134" s="37">
        <v>2</v>
      </c>
      <c r="L134" s="45" t="str">
        <f>VLOOKUP(K134,Key!$A$24:$B$29,2,FALSE)</f>
        <v>30-39</v>
      </c>
      <c r="M134" s="37" t="s">
        <v>208</v>
      </c>
      <c r="N134" s="32" t="s">
        <v>167</v>
      </c>
      <c r="O134" s="37" t="s">
        <v>168</v>
      </c>
      <c r="P134" s="39">
        <v>1</v>
      </c>
      <c r="Q134" s="34" t="str">
        <f>VLOOKUP(P134,Key!$E$2:$F$9,2,FALSE)</f>
        <v>Home</v>
      </c>
      <c r="R134" s="37" t="s">
        <v>175</v>
      </c>
      <c r="S134" s="32" t="s">
        <v>175</v>
      </c>
      <c r="T134" s="37" t="s">
        <v>168</v>
      </c>
      <c r="U134" s="32">
        <v>2</v>
      </c>
      <c r="V134" s="34" t="str">
        <f>VLOOKUP(U134,Key!$E$2:$F$9,2,FALSE)</f>
        <v>Work</v>
      </c>
      <c r="W134" s="34" t="str">
        <f t="shared" si="1"/>
        <v>Home-Work</v>
      </c>
      <c r="X134" s="47">
        <v>350000</v>
      </c>
      <c r="Y134" s="38">
        <v>200</v>
      </c>
      <c r="Z134" s="38">
        <v>8</v>
      </c>
      <c r="AA134" s="32">
        <v>10</v>
      </c>
      <c r="AB134" s="34" t="str">
        <f>VLOOKUP(AA134,Key!$C$20:$D$29,2,FALSE)</f>
        <v>Other</v>
      </c>
      <c r="AC134" s="32">
        <v>2</v>
      </c>
      <c r="AD134" s="34" t="str">
        <f>VLOOKUP(AC134,Key!$E$20:$F$24,2,FALSE)</f>
        <v>300,000-500,000</v>
      </c>
      <c r="AE134" s="32">
        <v>3</v>
      </c>
      <c r="AF134" s="55">
        <v>3</v>
      </c>
      <c r="AG134" s="55">
        <v>2</v>
      </c>
      <c r="AH134" s="55">
        <v>3</v>
      </c>
      <c r="AI134" s="55">
        <v>4</v>
      </c>
      <c r="AJ134" s="39" t="s">
        <v>104</v>
      </c>
      <c r="AK134" s="40">
        <v>10000</v>
      </c>
      <c r="AL134" s="24"/>
      <c r="AM134" s="24"/>
    </row>
    <row r="135" spans="1:39" hidden="1" x14ac:dyDescent="0.2">
      <c r="B135" s="50">
        <v>43687</v>
      </c>
      <c r="C135" s="35">
        <v>0.51041666666666663</v>
      </c>
      <c r="D135" s="35"/>
      <c r="E135" s="35" t="s">
        <v>111</v>
      </c>
      <c r="F135" s="37">
        <v>2</v>
      </c>
      <c r="G135" s="42" t="str">
        <f>VLOOKUP(F135,Key!$A$17:$B$21,2,FALSE)</f>
        <v>Road Vehicle</v>
      </c>
      <c r="H135" s="36">
        <v>1</v>
      </c>
      <c r="I135" s="43" t="str">
        <f>VLOOKUP(H135,Key!$A$2:$B$13,2,FALSE)</f>
        <v>Car</v>
      </c>
      <c r="J135" s="37" t="s">
        <v>123</v>
      </c>
      <c r="K135" s="37">
        <v>2</v>
      </c>
      <c r="L135" s="45" t="str">
        <f>VLOOKUP(K135,Key!$A$24:$B$29,2,FALSE)</f>
        <v>30-39</v>
      </c>
      <c r="M135" s="37" t="s">
        <v>169</v>
      </c>
      <c r="N135" s="32" t="s">
        <v>169</v>
      </c>
      <c r="O135" s="37" t="s">
        <v>168</v>
      </c>
      <c r="P135" s="39">
        <v>2</v>
      </c>
      <c r="Q135" s="34" t="str">
        <f>VLOOKUP(P135,Key!$E$2:$F$9,2,FALSE)</f>
        <v>Work</v>
      </c>
      <c r="R135" s="37" t="s">
        <v>176</v>
      </c>
      <c r="S135" s="32" t="s">
        <v>176</v>
      </c>
      <c r="T135" s="37" t="s">
        <v>168</v>
      </c>
      <c r="U135" s="32">
        <v>4</v>
      </c>
      <c r="V135" s="34" t="str">
        <f>VLOOKUP(U135,Key!$E$2:$F$9,2,FALSE)</f>
        <v>Commercial</v>
      </c>
      <c r="W135" s="34" t="str">
        <f t="shared" si="1"/>
        <v>Work-Commercial</v>
      </c>
      <c r="X135" s="47">
        <v>100000</v>
      </c>
      <c r="Y135" s="38">
        <v>210</v>
      </c>
      <c r="Z135" s="38">
        <v>3.5</v>
      </c>
      <c r="AA135" s="32"/>
      <c r="AB135" s="34" t="e">
        <f>VLOOKUP(AA135,Key!$C$20:$D$29,2,FALSE)</f>
        <v>#N/A</v>
      </c>
      <c r="AC135" s="32">
        <v>2</v>
      </c>
      <c r="AD135" s="34" t="str">
        <f>VLOOKUP(AC135,Key!$E$20:$F$24,2,FALSE)</f>
        <v>300,000-500,000</v>
      </c>
      <c r="AE135" s="32">
        <v>3</v>
      </c>
      <c r="AF135" s="55">
        <v>4</v>
      </c>
      <c r="AG135" s="55">
        <v>4</v>
      </c>
      <c r="AH135" s="55">
        <v>3</v>
      </c>
      <c r="AI135" s="55">
        <v>3</v>
      </c>
      <c r="AJ135" s="39" t="s">
        <v>104</v>
      </c>
      <c r="AK135" s="40">
        <v>2000</v>
      </c>
      <c r="AL135" s="24"/>
      <c r="AM135" s="24"/>
    </row>
    <row r="136" spans="1:39" hidden="1" x14ac:dyDescent="0.2">
      <c r="B136" s="50">
        <v>43687</v>
      </c>
      <c r="C136" s="35">
        <v>0.50555555555555554</v>
      </c>
      <c r="D136" s="35"/>
      <c r="E136" s="35" t="s">
        <v>111</v>
      </c>
      <c r="F136" s="37">
        <v>2</v>
      </c>
      <c r="G136" s="42" t="str">
        <f>VLOOKUP(F136,Key!$A$17:$B$21,2,FALSE)</f>
        <v>Road Vehicle</v>
      </c>
      <c r="H136" s="36">
        <v>1</v>
      </c>
      <c r="I136" s="43" t="str">
        <f>VLOOKUP(H136,Key!$A$2:$B$13,2,FALSE)</f>
        <v>Car</v>
      </c>
      <c r="J136" s="37" t="s">
        <v>123</v>
      </c>
      <c r="K136" s="37">
        <v>2</v>
      </c>
      <c r="L136" s="45" t="str">
        <f>VLOOKUP(K136,Key!$A$24:$B$29,2,FALSE)</f>
        <v>30-39</v>
      </c>
      <c r="M136" s="37" t="s">
        <v>199</v>
      </c>
      <c r="N136" s="32" t="s">
        <v>199</v>
      </c>
      <c r="O136" s="37" t="s">
        <v>168</v>
      </c>
      <c r="P136" s="39">
        <v>1</v>
      </c>
      <c r="Q136" s="34" t="str">
        <f>VLOOKUP(P136,Key!$E$2:$F$9,2,FALSE)</f>
        <v>Home</v>
      </c>
      <c r="R136" s="37" t="s">
        <v>176</v>
      </c>
      <c r="S136" s="32" t="s">
        <v>176</v>
      </c>
      <c r="T136" s="37" t="s">
        <v>168</v>
      </c>
      <c r="U136" s="32">
        <v>2</v>
      </c>
      <c r="V136" s="34" t="str">
        <f>VLOOKUP(U136,Key!$E$2:$F$9,2,FALSE)</f>
        <v>Work</v>
      </c>
      <c r="W136" s="34" t="str">
        <f t="shared" si="1"/>
        <v>Home-Work</v>
      </c>
      <c r="X136" s="47">
        <v>80000</v>
      </c>
      <c r="Y136" s="38">
        <v>220</v>
      </c>
      <c r="Z136" s="38">
        <v>6</v>
      </c>
      <c r="AA136" s="32">
        <v>5</v>
      </c>
      <c r="AB136" s="34" t="str">
        <f>VLOOKUP(AA136,Key!$C$20:$D$29,2,FALSE)</f>
        <v>Professional</v>
      </c>
      <c r="AC136" s="32">
        <v>2</v>
      </c>
      <c r="AD136" s="34" t="str">
        <f>VLOOKUP(AC136,Key!$E$20:$F$24,2,FALSE)</f>
        <v>300,000-500,000</v>
      </c>
      <c r="AE136" s="32">
        <v>1</v>
      </c>
      <c r="AF136" s="55">
        <v>3</v>
      </c>
      <c r="AG136" s="55">
        <v>4</v>
      </c>
      <c r="AH136" s="55">
        <v>2</v>
      </c>
      <c r="AI136" s="55">
        <v>4</v>
      </c>
      <c r="AJ136" s="39" t="s">
        <v>104</v>
      </c>
      <c r="AK136" s="40">
        <v>1000</v>
      </c>
      <c r="AL136" s="24"/>
      <c r="AM136" s="24"/>
    </row>
    <row r="137" spans="1:39" hidden="1" x14ac:dyDescent="0.2">
      <c r="B137" s="50">
        <v>43687</v>
      </c>
      <c r="C137" s="35">
        <v>0.54513888888888895</v>
      </c>
      <c r="D137" s="35"/>
      <c r="E137" s="35" t="s">
        <v>111</v>
      </c>
      <c r="F137" s="37">
        <v>2</v>
      </c>
      <c r="G137" s="42" t="str">
        <f>VLOOKUP(F137,Key!$A$17:$B$21,2,FALSE)</f>
        <v>Road Vehicle</v>
      </c>
      <c r="H137" s="36">
        <v>1</v>
      </c>
      <c r="I137" s="43" t="str">
        <f>VLOOKUP(H137,Key!$A$2:$B$13,2,FALSE)</f>
        <v>Car</v>
      </c>
      <c r="J137" s="37" t="s">
        <v>123</v>
      </c>
      <c r="K137" s="37">
        <v>3</v>
      </c>
      <c r="L137" s="45" t="str">
        <f>VLOOKUP(K137,Key!$A$24:$B$29,2,FALSE)</f>
        <v>40-49</v>
      </c>
      <c r="M137" s="37" t="s">
        <v>169</v>
      </c>
      <c r="N137" s="32" t="s">
        <v>169</v>
      </c>
      <c r="O137" s="37" t="s">
        <v>168</v>
      </c>
      <c r="P137" s="39">
        <v>2</v>
      </c>
      <c r="Q137" s="34" t="str">
        <f>VLOOKUP(P137,Key!$E$2:$F$9,2,FALSE)</f>
        <v>Work</v>
      </c>
      <c r="R137" s="37" t="s">
        <v>176</v>
      </c>
      <c r="S137" s="32" t="s">
        <v>176</v>
      </c>
      <c r="T137" s="37" t="s">
        <v>168</v>
      </c>
      <c r="U137" s="32">
        <v>4</v>
      </c>
      <c r="V137" s="34" t="str">
        <f>VLOOKUP(U137,Key!$E$2:$F$9,2,FALSE)</f>
        <v>Commercial</v>
      </c>
      <c r="W137" s="34" t="str">
        <f t="shared" ref="W137:W146" si="2">Q137&amp;"-"&amp;V137</f>
        <v>Work-Commercial</v>
      </c>
      <c r="X137" s="47">
        <v>80000</v>
      </c>
      <c r="Y137" s="38">
        <v>220</v>
      </c>
      <c r="Z137" s="38">
        <v>6</v>
      </c>
      <c r="AA137" s="32">
        <v>10</v>
      </c>
      <c r="AB137" s="34" t="str">
        <f>VLOOKUP(AA137,Key!$C$20:$D$29,2,FALSE)</f>
        <v>Other</v>
      </c>
      <c r="AC137" s="32">
        <v>2</v>
      </c>
      <c r="AD137" s="34" t="str">
        <f>VLOOKUP(AC137,Key!$E$20:$F$24,2,FALSE)</f>
        <v>300,000-500,000</v>
      </c>
      <c r="AE137" s="32">
        <v>2</v>
      </c>
      <c r="AF137" s="55">
        <v>4</v>
      </c>
      <c r="AG137" s="55">
        <v>3</v>
      </c>
      <c r="AH137" s="55">
        <v>1</v>
      </c>
      <c r="AI137" s="55">
        <v>4</v>
      </c>
      <c r="AJ137" s="39" t="s">
        <v>104</v>
      </c>
      <c r="AK137" s="40">
        <v>10000</v>
      </c>
      <c r="AL137" s="24"/>
      <c r="AM137" s="24"/>
    </row>
    <row r="138" spans="1:39" hidden="1" x14ac:dyDescent="0.2">
      <c r="B138" s="50">
        <v>43687</v>
      </c>
      <c r="C138" s="35">
        <v>0.65972222222222221</v>
      </c>
      <c r="D138" s="35"/>
      <c r="E138" s="35" t="s">
        <v>111</v>
      </c>
      <c r="F138" s="37">
        <v>2</v>
      </c>
      <c r="G138" s="42" t="str">
        <f>VLOOKUP(F138,Key!$A$17:$B$21,2,FALSE)</f>
        <v>Road Vehicle</v>
      </c>
      <c r="H138" s="36">
        <v>1</v>
      </c>
      <c r="I138" s="43" t="str">
        <f>VLOOKUP(H138,Key!$A$2:$B$13,2,FALSE)</f>
        <v>Car</v>
      </c>
      <c r="J138" s="37" t="s">
        <v>123</v>
      </c>
      <c r="K138" s="37">
        <v>2</v>
      </c>
      <c r="L138" s="45" t="str">
        <f>VLOOKUP(K138,Key!$A$24:$B$29,2,FALSE)</f>
        <v>30-39</v>
      </c>
      <c r="M138" s="37" t="s">
        <v>169</v>
      </c>
      <c r="N138" s="32" t="s">
        <v>169</v>
      </c>
      <c r="O138" s="37" t="s">
        <v>168</v>
      </c>
      <c r="P138" s="39">
        <v>2</v>
      </c>
      <c r="Q138" s="34" t="str">
        <f>VLOOKUP(P138,Key!$E$2:$F$9,2,FALSE)</f>
        <v>Work</v>
      </c>
      <c r="R138" s="37" t="s">
        <v>176</v>
      </c>
      <c r="S138" s="32" t="s">
        <v>176</v>
      </c>
      <c r="T138" s="37" t="s">
        <v>168</v>
      </c>
      <c r="U138" s="32">
        <v>2</v>
      </c>
      <c r="V138" s="34" t="str">
        <f>VLOOKUP(U138,Key!$E$2:$F$9,2,FALSE)</f>
        <v>Work</v>
      </c>
      <c r="W138" s="34" t="str">
        <f t="shared" si="2"/>
        <v>Work-Work</v>
      </c>
      <c r="X138" s="47">
        <v>90000</v>
      </c>
      <c r="Y138" s="38">
        <v>230</v>
      </c>
      <c r="Z138" s="38">
        <v>6</v>
      </c>
      <c r="AA138" s="32">
        <v>10</v>
      </c>
      <c r="AB138" s="34" t="str">
        <f>VLOOKUP(AA138,Key!$C$20:$D$29,2,FALSE)</f>
        <v>Other</v>
      </c>
      <c r="AC138" s="32">
        <v>2</v>
      </c>
      <c r="AD138" s="34" t="str">
        <f>VLOOKUP(AC138,Key!$E$20:$F$24,2,FALSE)</f>
        <v>300,000-500,000</v>
      </c>
      <c r="AE138" s="32">
        <v>2</v>
      </c>
      <c r="AF138" s="55">
        <v>3</v>
      </c>
      <c r="AG138" s="55">
        <v>4</v>
      </c>
      <c r="AH138" s="55">
        <v>1</v>
      </c>
      <c r="AI138" s="55">
        <v>5</v>
      </c>
      <c r="AJ138" s="39" t="s">
        <v>104</v>
      </c>
      <c r="AK138" s="40">
        <v>1000</v>
      </c>
      <c r="AL138" s="24"/>
      <c r="AM138" s="24"/>
    </row>
    <row r="139" spans="1:39" hidden="1" x14ac:dyDescent="0.2">
      <c r="B139" s="50">
        <v>43687</v>
      </c>
      <c r="C139" s="35">
        <v>0.67361111111111116</v>
      </c>
      <c r="D139" s="35"/>
      <c r="E139" s="35" t="s">
        <v>111</v>
      </c>
      <c r="F139" s="37">
        <v>2</v>
      </c>
      <c r="G139" s="42" t="str">
        <f>VLOOKUP(F139,Key!$A$17:$B$21,2,FALSE)</f>
        <v>Road Vehicle</v>
      </c>
      <c r="H139" s="36">
        <v>1</v>
      </c>
      <c r="I139" s="43" t="str">
        <f>VLOOKUP(H139,Key!$A$2:$B$13,2,FALSE)</f>
        <v>Car</v>
      </c>
      <c r="J139" s="37" t="s">
        <v>123</v>
      </c>
      <c r="K139" s="37">
        <v>3</v>
      </c>
      <c r="L139" s="45" t="str">
        <f>VLOOKUP(K139,Key!$A$24:$B$29,2,FALSE)</f>
        <v>40-49</v>
      </c>
      <c r="M139" s="37" t="s">
        <v>338</v>
      </c>
      <c r="N139" s="32" t="s">
        <v>188</v>
      </c>
      <c r="O139" s="37" t="s">
        <v>168</v>
      </c>
      <c r="P139" s="39">
        <v>1</v>
      </c>
      <c r="Q139" s="34" t="str">
        <f>VLOOKUP(P139,Key!$E$2:$F$9,2,FALSE)</f>
        <v>Home</v>
      </c>
      <c r="R139" s="37" t="s">
        <v>339</v>
      </c>
      <c r="S139" s="32" t="s">
        <v>308</v>
      </c>
      <c r="T139" s="37" t="s">
        <v>168</v>
      </c>
      <c r="U139" s="32">
        <v>6</v>
      </c>
      <c r="V139" s="34" t="str">
        <f>VLOOKUP(U139,Key!$E$2:$F$9,2,FALSE)</f>
        <v>Leisure/Social</v>
      </c>
      <c r="W139" s="34" t="str">
        <f t="shared" si="2"/>
        <v>Home-Leisure/Social</v>
      </c>
      <c r="X139" s="47">
        <v>100000</v>
      </c>
      <c r="Y139" s="38">
        <v>250</v>
      </c>
      <c r="Z139" s="38">
        <v>5</v>
      </c>
      <c r="AA139" s="32">
        <v>5</v>
      </c>
      <c r="AB139" s="34" t="str">
        <f>VLOOKUP(AA139,Key!$C$20:$D$29,2,FALSE)</f>
        <v>Professional</v>
      </c>
      <c r="AC139" s="32">
        <v>5</v>
      </c>
      <c r="AD139" s="34" t="str">
        <f>VLOOKUP(AC139,Key!$E$20:$F$24,2,FALSE)</f>
        <v>&gt;1,000,000</v>
      </c>
      <c r="AE139" s="32">
        <v>1</v>
      </c>
      <c r="AF139" s="55">
        <v>1</v>
      </c>
      <c r="AG139" s="55">
        <v>1</v>
      </c>
      <c r="AH139" s="55">
        <v>1</v>
      </c>
      <c r="AI139" s="55">
        <v>1</v>
      </c>
      <c r="AJ139" s="39" t="s">
        <v>104</v>
      </c>
      <c r="AK139" s="40">
        <v>2000</v>
      </c>
      <c r="AL139" s="24"/>
      <c r="AM139" s="24"/>
    </row>
    <row r="140" spans="1:39" hidden="1" x14ac:dyDescent="0.2">
      <c r="B140" s="50">
        <v>43687</v>
      </c>
      <c r="C140" s="35">
        <v>0.74305555555555547</v>
      </c>
      <c r="D140" s="35"/>
      <c r="E140" s="35" t="s">
        <v>111</v>
      </c>
      <c r="F140" s="37">
        <v>2</v>
      </c>
      <c r="G140" s="42" t="str">
        <f>VLOOKUP(F140,Key!$A$17:$B$21,2,FALSE)</f>
        <v>Road Vehicle</v>
      </c>
      <c r="H140" s="36">
        <v>1</v>
      </c>
      <c r="I140" s="43" t="str">
        <f>VLOOKUP(H140,Key!$A$2:$B$13,2,FALSE)</f>
        <v>Car</v>
      </c>
      <c r="J140" s="37" t="s">
        <v>123</v>
      </c>
      <c r="K140" s="37">
        <v>3</v>
      </c>
      <c r="L140" s="45" t="str">
        <f>VLOOKUP(K140,Key!$A$24:$B$29,2,FALSE)</f>
        <v>40-49</v>
      </c>
      <c r="M140" s="37" t="s">
        <v>36</v>
      </c>
      <c r="N140" s="32" t="s">
        <v>36</v>
      </c>
      <c r="O140" s="37" t="s">
        <v>168</v>
      </c>
      <c r="P140" s="39">
        <v>2</v>
      </c>
      <c r="Q140" s="34" t="str">
        <f>VLOOKUP(P140,Key!$E$2:$F$9,2,FALSE)</f>
        <v>Work</v>
      </c>
      <c r="R140" s="37" t="s">
        <v>167</v>
      </c>
      <c r="S140" s="32" t="s">
        <v>167</v>
      </c>
      <c r="T140" s="37" t="s">
        <v>168</v>
      </c>
      <c r="U140" s="32">
        <v>4</v>
      </c>
      <c r="V140" s="34" t="str">
        <f>VLOOKUP(U140,Key!$E$2:$F$9,2,FALSE)</f>
        <v>Commercial</v>
      </c>
      <c r="W140" s="34" t="str">
        <f t="shared" si="2"/>
        <v>Work-Commercial</v>
      </c>
      <c r="X140" s="47">
        <v>100000</v>
      </c>
      <c r="Y140" s="38">
        <v>250</v>
      </c>
      <c r="Z140" s="38">
        <v>5</v>
      </c>
      <c r="AA140" s="32">
        <v>10</v>
      </c>
      <c r="AB140" s="34" t="str">
        <f>VLOOKUP(AA140,Key!$C$20:$D$29,2,FALSE)</f>
        <v>Other</v>
      </c>
      <c r="AC140" s="32">
        <v>2</v>
      </c>
      <c r="AD140" s="34" t="str">
        <f>VLOOKUP(AC140,Key!$E$20:$F$24,2,FALSE)</f>
        <v>300,000-500,000</v>
      </c>
      <c r="AE140" s="32">
        <v>1</v>
      </c>
      <c r="AF140" s="55">
        <v>2</v>
      </c>
      <c r="AG140" s="55">
        <v>3</v>
      </c>
      <c r="AH140" s="55">
        <v>1</v>
      </c>
      <c r="AI140" s="55">
        <v>4</v>
      </c>
      <c r="AJ140" s="39" t="s">
        <v>104</v>
      </c>
      <c r="AK140" s="40">
        <v>2000</v>
      </c>
      <c r="AL140" s="24"/>
      <c r="AM140" s="24"/>
    </row>
    <row r="141" spans="1:39" hidden="1" x14ac:dyDescent="0.2">
      <c r="B141" s="50">
        <v>43687</v>
      </c>
      <c r="C141" s="35">
        <v>0.5</v>
      </c>
      <c r="D141" s="35"/>
      <c r="E141" s="35" t="s">
        <v>111</v>
      </c>
      <c r="F141" s="37">
        <v>2</v>
      </c>
      <c r="G141" s="42" t="str">
        <f>VLOOKUP(F141,Key!$A$17:$B$21,2,FALSE)</f>
        <v>Road Vehicle</v>
      </c>
      <c r="H141" s="36">
        <v>1</v>
      </c>
      <c r="I141" s="43" t="str">
        <f>VLOOKUP(H141,Key!$A$2:$B$13,2,FALSE)</f>
        <v>Car</v>
      </c>
      <c r="J141" s="37" t="s">
        <v>166</v>
      </c>
      <c r="K141" s="37">
        <v>2</v>
      </c>
      <c r="L141" s="45" t="str">
        <f>VLOOKUP(K141,Key!$A$24:$B$29,2,FALSE)</f>
        <v>30-39</v>
      </c>
      <c r="M141" s="37" t="s">
        <v>317</v>
      </c>
      <c r="N141" s="32" t="s">
        <v>183</v>
      </c>
      <c r="O141" s="37" t="s">
        <v>168</v>
      </c>
      <c r="P141" s="39">
        <v>1</v>
      </c>
      <c r="Q141" s="34" t="str">
        <f>VLOOKUP(P141,Key!$E$2:$F$9,2,FALSE)</f>
        <v>Home</v>
      </c>
      <c r="R141" s="37" t="s">
        <v>30</v>
      </c>
      <c r="S141" s="32" t="s">
        <v>188</v>
      </c>
      <c r="T141" s="37" t="s">
        <v>168</v>
      </c>
      <c r="U141" s="32">
        <v>8</v>
      </c>
      <c r="V141" s="34" t="str">
        <f>VLOOKUP(U141,Key!$E$2:$F$9,2,FALSE)</f>
        <v>Others</v>
      </c>
      <c r="W141" s="34" t="str">
        <f t="shared" si="2"/>
        <v>Home-Others</v>
      </c>
      <c r="X141" s="47">
        <v>100000</v>
      </c>
      <c r="Y141" s="38">
        <v>250</v>
      </c>
      <c r="Z141" s="38">
        <v>6</v>
      </c>
      <c r="AA141" s="32">
        <v>5</v>
      </c>
      <c r="AB141" s="34" t="str">
        <f>VLOOKUP(AA141,Key!$C$20:$D$29,2,FALSE)</f>
        <v>Professional</v>
      </c>
      <c r="AC141" s="32">
        <v>5</v>
      </c>
      <c r="AD141" s="34" t="str">
        <f>VLOOKUP(AC141,Key!$E$20:$F$24,2,FALSE)</f>
        <v>&gt;1,000,000</v>
      </c>
      <c r="AE141" s="32">
        <v>1</v>
      </c>
      <c r="AF141" s="55">
        <v>1</v>
      </c>
      <c r="AG141" s="55">
        <v>2</v>
      </c>
      <c r="AH141" s="55">
        <v>1</v>
      </c>
      <c r="AI141" s="55">
        <v>2</v>
      </c>
      <c r="AJ141" s="39" t="s">
        <v>104</v>
      </c>
      <c r="AK141" s="40">
        <v>2000</v>
      </c>
      <c r="AL141" s="24"/>
      <c r="AM141" s="24"/>
    </row>
    <row r="142" spans="1:39" hidden="1" x14ac:dyDescent="0.2">
      <c r="B142" s="50">
        <v>43690</v>
      </c>
      <c r="C142" s="35">
        <v>0.68194444444444446</v>
      </c>
      <c r="D142" s="35"/>
      <c r="E142" s="35" t="s">
        <v>111</v>
      </c>
      <c r="F142" s="37">
        <v>2</v>
      </c>
      <c r="G142" s="42" t="str">
        <f>VLOOKUP(F142,Key!$A$17:$B$21,2,FALSE)</f>
        <v>Road Vehicle</v>
      </c>
      <c r="H142" s="36">
        <v>1</v>
      </c>
      <c r="I142" s="43" t="str">
        <f>VLOOKUP(H142,Key!$A$2:$B$13,2,FALSE)</f>
        <v>Car</v>
      </c>
      <c r="J142" s="37" t="s">
        <v>123</v>
      </c>
      <c r="K142" s="13">
        <v>3</v>
      </c>
      <c r="L142" s="45" t="str">
        <f>VLOOKUP(K142,Key!$A$24:$B$29,2,FALSE)</f>
        <v>40-49</v>
      </c>
      <c r="M142" s="44" t="s">
        <v>167</v>
      </c>
      <c r="N142" s="32" t="s">
        <v>167</v>
      </c>
      <c r="O142" s="37" t="s">
        <v>168</v>
      </c>
      <c r="P142" s="39">
        <v>2</v>
      </c>
      <c r="Q142" s="34" t="str">
        <f>VLOOKUP(P142,Key!$E$2:$F$9,2,FALSE)</f>
        <v>Work</v>
      </c>
      <c r="R142" s="37" t="s">
        <v>181</v>
      </c>
      <c r="S142" s="32" t="s">
        <v>181</v>
      </c>
      <c r="T142" s="37" t="s">
        <v>168</v>
      </c>
      <c r="U142" s="32">
        <v>1</v>
      </c>
      <c r="V142" s="34" t="str">
        <f>VLOOKUP(U142,Key!$E$2:$F$9,2,FALSE)</f>
        <v>Home</v>
      </c>
      <c r="W142" s="34" t="str">
        <f t="shared" si="2"/>
        <v>Work-Home</v>
      </c>
      <c r="X142" s="47">
        <v>150000</v>
      </c>
      <c r="Y142" s="38">
        <v>250</v>
      </c>
      <c r="Z142" s="38">
        <v>6</v>
      </c>
      <c r="AA142" s="32">
        <v>5</v>
      </c>
      <c r="AB142" s="34" t="str">
        <f>VLOOKUP(AA142,Key!$C$20:$D$29,2,FALSE)</f>
        <v>Professional</v>
      </c>
      <c r="AC142" s="32">
        <v>4</v>
      </c>
      <c r="AD142" s="34" t="str">
        <f>VLOOKUP(AC142,Key!$E$20:$F$24,2,FALSE)</f>
        <v>750,000-1,000,000</v>
      </c>
      <c r="AE142" s="32">
        <v>2</v>
      </c>
      <c r="AF142" s="55">
        <v>3</v>
      </c>
      <c r="AG142" s="55">
        <v>4</v>
      </c>
      <c r="AH142" s="55">
        <v>1</v>
      </c>
      <c r="AI142" s="55">
        <v>5</v>
      </c>
      <c r="AJ142" s="39" t="s">
        <v>104</v>
      </c>
      <c r="AK142" s="40">
        <v>3000</v>
      </c>
      <c r="AL142" s="24"/>
      <c r="AM142" s="24"/>
    </row>
    <row r="143" spans="1:39" hidden="1" x14ac:dyDescent="0.2">
      <c r="A143" s="14"/>
      <c r="B143" s="50">
        <v>43687</v>
      </c>
      <c r="C143" s="35">
        <v>0.69791666666666663</v>
      </c>
      <c r="D143" s="35"/>
      <c r="E143" s="35" t="s">
        <v>111</v>
      </c>
      <c r="F143" s="37">
        <v>2</v>
      </c>
      <c r="G143" s="42" t="str">
        <f>VLOOKUP(F143,Key!$A$17:$B$21,2,FALSE)</f>
        <v>Road Vehicle</v>
      </c>
      <c r="H143" s="36">
        <v>1</v>
      </c>
      <c r="I143" s="43" t="str">
        <f>VLOOKUP(H143,Key!$A$2:$B$13,2,FALSE)</f>
        <v>Car</v>
      </c>
      <c r="J143" s="37" t="s">
        <v>123</v>
      </c>
      <c r="K143" s="37">
        <v>2</v>
      </c>
      <c r="L143" s="45" t="str">
        <f>VLOOKUP(K143,Key!$A$24:$B$29,2,FALSE)</f>
        <v>30-39</v>
      </c>
      <c r="M143" s="37" t="s">
        <v>167</v>
      </c>
      <c r="N143" s="32" t="s">
        <v>167</v>
      </c>
      <c r="O143" s="37" t="s">
        <v>168</v>
      </c>
      <c r="P143" s="39">
        <v>2</v>
      </c>
      <c r="Q143" s="34" t="str">
        <f>VLOOKUP(P143,Key!$E$2:$F$9,2,FALSE)</f>
        <v>Work</v>
      </c>
      <c r="R143" s="37" t="s">
        <v>347</v>
      </c>
      <c r="S143" s="32" t="s">
        <v>347</v>
      </c>
      <c r="T143" s="37" t="s">
        <v>168</v>
      </c>
      <c r="U143" s="32">
        <v>4</v>
      </c>
      <c r="V143" s="34" t="str">
        <f>VLOOKUP(U143,Key!$E$2:$F$9,2,FALSE)</f>
        <v>Commercial</v>
      </c>
      <c r="W143" s="34" t="str">
        <f t="shared" si="2"/>
        <v>Work-Commercial</v>
      </c>
      <c r="X143" s="47">
        <v>100000</v>
      </c>
      <c r="Y143" s="38">
        <v>270</v>
      </c>
      <c r="Z143" s="38">
        <v>4</v>
      </c>
      <c r="AA143" s="32">
        <v>10</v>
      </c>
      <c r="AB143" s="34" t="str">
        <f>VLOOKUP(AA143,Key!$C$20:$D$29,2,FALSE)</f>
        <v>Other</v>
      </c>
      <c r="AC143" s="32">
        <v>2</v>
      </c>
      <c r="AD143" s="34" t="str">
        <f>VLOOKUP(AC143,Key!$E$20:$F$24,2,FALSE)</f>
        <v>300,000-500,000</v>
      </c>
      <c r="AE143" s="32">
        <v>2</v>
      </c>
      <c r="AF143" s="55">
        <v>3</v>
      </c>
      <c r="AG143" s="55">
        <v>4</v>
      </c>
      <c r="AH143" s="55">
        <v>1</v>
      </c>
      <c r="AI143" s="55">
        <v>3</v>
      </c>
      <c r="AJ143" s="39" t="s">
        <v>104</v>
      </c>
      <c r="AK143" s="40">
        <v>2000</v>
      </c>
      <c r="AL143" s="24"/>
      <c r="AM143" s="24"/>
    </row>
    <row r="144" spans="1:39" hidden="1" x14ac:dyDescent="0.2">
      <c r="A144" s="14"/>
      <c r="B144" s="50">
        <v>43690</v>
      </c>
      <c r="C144" s="35">
        <v>0.60069444444444442</v>
      </c>
      <c r="D144" s="35"/>
      <c r="E144" s="35" t="s">
        <v>111</v>
      </c>
      <c r="F144" s="37">
        <v>2</v>
      </c>
      <c r="G144" s="42" t="str">
        <f>VLOOKUP(F144,Key!$A$17:$B$21,2,FALSE)</f>
        <v>Road Vehicle</v>
      </c>
      <c r="H144" s="36">
        <v>1</v>
      </c>
      <c r="I144" s="43" t="str">
        <f>VLOOKUP(H144,Key!$A$2:$B$13,2,FALSE)</f>
        <v>Car</v>
      </c>
      <c r="J144" s="37" t="s">
        <v>166</v>
      </c>
      <c r="K144" s="37">
        <v>2</v>
      </c>
      <c r="L144" s="45" t="str">
        <f>VLOOKUP(K144,Key!$A$24:$B$29,2,FALSE)</f>
        <v>30-39</v>
      </c>
      <c r="M144" s="37" t="s">
        <v>286</v>
      </c>
      <c r="N144" s="32" t="s">
        <v>287</v>
      </c>
      <c r="O144" s="37" t="s">
        <v>168</v>
      </c>
      <c r="P144" s="39">
        <v>1</v>
      </c>
      <c r="Q144" s="34" t="str">
        <f>VLOOKUP(P144,Key!$E$2:$F$9,2,FALSE)</f>
        <v>Home</v>
      </c>
      <c r="R144" s="37" t="s">
        <v>30</v>
      </c>
      <c r="S144" s="32" t="s">
        <v>188</v>
      </c>
      <c r="T144" s="37" t="s">
        <v>168</v>
      </c>
      <c r="U144" s="32">
        <v>6</v>
      </c>
      <c r="V144" s="34" t="str">
        <f>VLOOKUP(U144,Key!$E$2:$F$9,2,FALSE)</f>
        <v>Leisure/Social</v>
      </c>
      <c r="W144" s="34" t="str">
        <f t="shared" si="2"/>
        <v>Home-Leisure/Social</v>
      </c>
      <c r="X144" s="47">
        <v>150000</v>
      </c>
      <c r="Y144" s="38">
        <v>300</v>
      </c>
      <c r="Z144" s="38">
        <v>7</v>
      </c>
      <c r="AA144" s="32">
        <v>6</v>
      </c>
      <c r="AB144" s="34" t="str">
        <f>VLOOKUP(AA144,Key!$C$20:$D$29,2,FALSE)</f>
        <v>Businessman</v>
      </c>
      <c r="AC144" s="32">
        <v>5</v>
      </c>
      <c r="AD144" s="34" t="str">
        <f>VLOOKUP(AC144,Key!$E$20:$F$24,2,FALSE)</f>
        <v>&gt;1,000,000</v>
      </c>
      <c r="AE144" s="32">
        <v>1</v>
      </c>
      <c r="AF144" s="55">
        <v>1</v>
      </c>
      <c r="AG144" s="55">
        <v>1</v>
      </c>
      <c r="AH144" s="55">
        <v>1</v>
      </c>
      <c r="AI144" s="55">
        <v>1</v>
      </c>
      <c r="AJ144" s="39" t="s">
        <v>104</v>
      </c>
      <c r="AK144" s="40">
        <v>5000</v>
      </c>
      <c r="AL144" s="24"/>
      <c r="AM144" s="24"/>
    </row>
    <row r="145" spans="1:46" hidden="1" x14ac:dyDescent="0.2">
      <c r="A145" s="14"/>
      <c r="B145" s="50">
        <v>43690</v>
      </c>
      <c r="C145" s="35">
        <v>0.4604166666666667</v>
      </c>
      <c r="D145" s="35"/>
      <c r="E145" s="35" t="s">
        <v>111</v>
      </c>
      <c r="F145" s="37">
        <v>2</v>
      </c>
      <c r="G145" s="42" t="str">
        <f>VLOOKUP(F145,Key!$A$17:$B$21,2,FALSE)</f>
        <v>Road Vehicle</v>
      </c>
      <c r="H145" s="36">
        <v>1</v>
      </c>
      <c r="I145" s="43" t="str">
        <f>VLOOKUP(H145,Key!$A$2:$B$13,2,FALSE)</f>
        <v>Car</v>
      </c>
      <c r="J145" s="37" t="s">
        <v>123</v>
      </c>
      <c r="K145" s="37">
        <v>2</v>
      </c>
      <c r="L145" s="45" t="str">
        <f>VLOOKUP(K145,Key!$A$24:$B$29,2,FALSE)</f>
        <v>30-39</v>
      </c>
      <c r="M145" s="37" t="s">
        <v>167</v>
      </c>
      <c r="N145" s="32" t="s">
        <v>167</v>
      </c>
      <c r="O145" s="37" t="s">
        <v>168</v>
      </c>
      <c r="P145" s="39">
        <v>1</v>
      </c>
      <c r="Q145" s="34" t="str">
        <f>VLOOKUP(P145,Key!$E$2:$F$9,2,FALSE)</f>
        <v>Home</v>
      </c>
      <c r="R145" s="37" t="s">
        <v>328</v>
      </c>
      <c r="S145" s="32" t="s">
        <v>328</v>
      </c>
      <c r="T145" s="37" t="s">
        <v>168</v>
      </c>
      <c r="U145" s="32">
        <v>6</v>
      </c>
      <c r="V145" s="34" t="str">
        <f>VLOOKUP(U145,Key!$E$2:$F$9,2,FALSE)</f>
        <v>Leisure/Social</v>
      </c>
      <c r="W145" s="34" t="str">
        <f t="shared" si="2"/>
        <v>Home-Leisure/Social</v>
      </c>
      <c r="X145" s="47">
        <v>300000</v>
      </c>
      <c r="Y145" s="38">
        <v>500</v>
      </c>
      <c r="Z145" s="38">
        <v>9</v>
      </c>
      <c r="AA145" s="32">
        <v>10</v>
      </c>
      <c r="AB145" s="34" t="str">
        <f>VLOOKUP(AA145,Key!$C$20:$D$29,2,FALSE)</f>
        <v>Other</v>
      </c>
      <c r="AC145" s="32">
        <v>3</v>
      </c>
      <c r="AD145" s="34" t="str">
        <f>VLOOKUP(AC145,Key!$E$20:$F$24,2,FALSE)</f>
        <v>500,000-750,000</v>
      </c>
      <c r="AE145" s="32">
        <v>2</v>
      </c>
      <c r="AF145" s="55">
        <v>3</v>
      </c>
      <c r="AG145" s="55">
        <v>4</v>
      </c>
      <c r="AH145" s="55">
        <v>1</v>
      </c>
      <c r="AI145" s="55">
        <v>5</v>
      </c>
      <c r="AJ145" s="39" t="s">
        <v>104</v>
      </c>
      <c r="AK145" s="40"/>
      <c r="AL145" s="24"/>
      <c r="AM145" s="24"/>
    </row>
    <row r="146" spans="1:46" hidden="1" x14ac:dyDescent="0.2">
      <c r="A146" s="19"/>
      <c r="B146" s="50">
        <v>43689</v>
      </c>
      <c r="C146" s="35">
        <v>0.43055555555555558</v>
      </c>
      <c r="D146" s="35"/>
      <c r="E146" s="35" t="s">
        <v>111</v>
      </c>
      <c r="F146" s="37">
        <v>2</v>
      </c>
      <c r="G146" s="42" t="str">
        <f>VLOOKUP(F146,Key!$A$17:$B$21,2,FALSE)</f>
        <v>Road Vehicle</v>
      </c>
      <c r="H146" s="36">
        <v>1</v>
      </c>
      <c r="I146" s="43" t="str">
        <f>VLOOKUP(H146,Key!$A$2:$B$13,2,FALSE)</f>
        <v>Car</v>
      </c>
      <c r="J146" s="37" t="s">
        <v>123</v>
      </c>
      <c r="K146" s="37">
        <v>3</v>
      </c>
      <c r="L146" s="45" t="str">
        <f>VLOOKUP(K146,Key!$A$24:$B$29,2,FALSE)</f>
        <v>40-49</v>
      </c>
      <c r="M146" s="37" t="s">
        <v>170</v>
      </c>
      <c r="N146" s="32" t="s">
        <v>170</v>
      </c>
      <c r="O146" s="37" t="s">
        <v>168</v>
      </c>
      <c r="P146" s="39">
        <v>1</v>
      </c>
      <c r="Q146" s="34" t="str">
        <f>VLOOKUP(P146,Key!$E$2:$F$9,2,FALSE)</f>
        <v>Home</v>
      </c>
      <c r="R146" s="37" t="s">
        <v>167</v>
      </c>
      <c r="S146" s="32" t="s">
        <v>167</v>
      </c>
      <c r="T146" s="37" t="s">
        <v>168</v>
      </c>
      <c r="U146" s="32">
        <v>2</v>
      </c>
      <c r="V146" s="34" t="str">
        <f>VLOOKUP(U146,Key!$E$2:$F$9,2,FALSE)</f>
        <v>Work</v>
      </c>
      <c r="W146" s="34" t="str">
        <f t="shared" si="2"/>
        <v>Home-Work</v>
      </c>
      <c r="X146" s="47">
        <v>40000</v>
      </c>
      <c r="Y146" s="38"/>
      <c r="Z146" s="38">
        <v>3</v>
      </c>
      <c r="AA146" s="32">
        <v>5</v>
      </c>
      <c r="AB146" s="34" t="str">
        <f>VLOOKUP(AA146,Key!$C$20:$D$29,2,FALSE)</f>
        <v>Professional</v>
      </c>
      <c r="AC146" s="32">
        <v>3</v>
      </c>
      <c r="AD146" s="34" t="str">
        <f>VLOOKUP(AC146,Key!$E$20:$F$24,2,FALSE)</f>
        <v>500,000-750,000</v>
      </c>
      <c r="AE146" s="32">
        <v>1</v>
      </c>
      <c r="AF146" s="55">
        <v>2</v>
      </c>
      <c r="AG146" s="55">
        <v>3</v>
      </c>
      <c r="AH146" s="55">
        <v>2</v>
      </c>
      <c r="AI146" s="55">
        <v>4</v>
      </c>
      <c r="AJ146" s="39" t="s">
        <v>104</v>
      </c>
      <c r="AK146" s="40">
        <v>2000</v>
      </c>
      <c r="AL146" s="24"/>
      <c r="AM146" s="24"/>
      <c r="AN146" s="19"/>
      <c r="AO146" s="19"/>
      <c r="AP146" s="19"/>
      <c r="AQ146" s="19"/>
      <c r="AR146" s="19"/>
      <c r="AS146" s="19"/>
      <c r="AT146" s="19"/>
    </row>
    <row r="147" spans="1:46" hidden="1" x14ac:dyDescent="0.2">
      <c r="A147" s="19"/>
      <c r="B147" s="50"/>
      <c r="C147" s="35"/>
      <c r="D147" s="35"/>
      <c r="E147" s="35"/>
      <c r="F147" s="37"/>
      <c r="G147" s="42"/>
      <c r="H147" s="36"/>
      <c r="I147" s="43"/>
      <c r="J147" s="37"/>
      <c r="K147" s="37"/>
      <c r="L147" s="45"/>
      <c r="M147" s="37"/>
      <c r="N147" s="32"/>
      <c r="O147" s="37"/>
      <c r="P147" s="39"/>
      <c r="Q147" s="34"/>
      <c r="R147" s="37"/>
      <c r="S147" s="32"/>
      <c r="T147" s="37"/>
      <c r="U147" s="32"/>
      <c r="V147" s="34"/>
      <c r="W147" s="34"/>
      <c r="X147" s="47"/>
      <c r="Y147" s="38"/>
      <c r="Z147" s="38"/>
      <c r="AA147" s="32"/>
      <c r="AB147" s="34"/>
      <c r="AC147" s="32"/>
      <c r="AD147" s="34"/>
      <c r="AE147" s="32"/>
      <c r="AF147" s="55"/>
      <c r="AG147" s="55"/>
      <c r="AH147" s="55"/>
      <c r="AI147" s="55"/>
      <c r="AJ147" s="39"/>
      <c r="AK147" s="40"/>
      <c r="AL147" s="24"/>
      <c r="AM147" s="24"/>
      <c r="AN147" s="19"/>
      <c r="AO147" s="19"/>
      <c r="AP147" s="19"/>
      <c r="AQ147" s="19"/>
      <c r="AR147" s="19"/>
      <c r="AS147" s="19"/>
      <c r="AT147" s="19"/>
    </row>
    <row r="148" spans="1:46" x14ac:dyDescent="0.2">
      <c r="B148" s="50">
        <v>43686</v>
      </c>
      <c r="C148" s="35">
        <v>0.69791666666666663</v>
      </c>
      <c r="D148" s="35"/>
      <c r="E148" s="35" t="s">
        <v>111</v>
      </c>
      <c r="F148" s="37">
        <v>2</v>
      </c>
      <c r="G148" s="42" t="str">
        <f>VLOOKUP(F148,Key!$A$17:$B$21,2,FALSE)</f>
        <v>Road Vehicle</v>
      </c>
      <c r="H148" s="36">
        <v>9</v>
      </c>
      <c r="I148" s="43" t="str">
        <f>VLOOKUP(H148,Key!$A$2:$B$13,2,FALSE)</f>
        <v xml:space="preserve">Heavy truck </v>
      </c>
      <c r="J148" s="37" t="s">
        <v>123</v>
      </c>
      <c r="K148" s="37">
        <v>2</v>
      </c>
      <c r="L148" s="45" t="str">
        <f>VLOOKUP(K148,Key!$A$24:$B$29,2,FALSE)</f>
        <v>30-39</v>
      </c>
      <c r="M148" s="37" t="s">
        <v>176</v>
      </c>
      <c r="N148" s="32" t="s">
        <v>176</v>
      </c>
      <c r="O148" s="37" t="s">
        <v>168</v>
      </c>
      <c r="P148" s="39">
        <v>2</v>
      </c>
      <c r="Q148" s="34" t="str">
        <f>VLOOKUP(P148,Key!$E$2:$F$9,2,FALSE)</f>
        <v>Work</v>
      </c>
      <c r="R148" s="37" t="s">
        <v>167</v>
      </c>
      <c r="S148" s="32" t="s">
        <v>167</v>
      </c>
      <c r="T148" s="37" t="s">
        <v>168</v>
      </c>
      <c r="U148" s="32">
        <v>4</v>
      </c>
      <c r="V148" s="34" t="str">
        <f>VLOOKUP(U148,Key!$E$2:$F$9,2,FALSE)</f>
        <v>Commercial</v>
      </c>
      <c r="W148" s="34" t="str">
        <f t="shared" ref="W148:W162" si="3">Q148&amp;"-"&amp;V148</f>
        <v>Work-Commercial</v>
      </c>
      <c r="X148" s="47">
        <v>100000</v>
      </c>
      <c r="Y148" s="38">
        <v>80</v>
      </c>
      <c r="Z148" s="38">
        <v>3</v>
      </c>
      <c r="AA148" s="32">
        <v>10</v>
      </c>
      <c r="AB148" s="34" t="str">
        <f>VLOOKUP(AA148,Key!$C$20:$D$29,2,FALSE)</f>
        <v>Other</v>
      </c>
      <c r="AC148" s="32">
        <v>2</v>
      </c>
      <c r="AD148" s="34" t="str">
        <f>VLOOKUP(AC148,Key!$E$20:$F$24,2,FALSE)</f>
        <v>300,000-500,000</v>
      </c>
      <c r="AE148" s="32">
        <v>2</v>
      </c>
      <c r="AF148" s="55">
        <v>3</v>
      </c>
      <c r="AG148" s="55">
        <v>5</v>
      </c>
      <c r="AH148" s="55">
        <v>1</v>
      </c>
      <c r="AI148" s="55">
        <v>4</v>
      </c>
      <c r="AJ148" s="39" t="s">
        <v>104</v>
      </c>
      <c r="AK148" s="40">
        <v>2000</v>
      </c>
      <c r="AL148" s="24"/>
      <c r="AM148" s="24"/>
    </row>
    <row r="149" spans="1:46" x14ac:dyDescent="0.2">
      <c r="B149" s="50">
        <v>43687</v>
      </c>
      <c r="C149" s="35">
        <v>0.47152777777777777</v>
      </c>
      <c r="D149" s="35"/>
      <c r="E149" s="35" t="s">
        <v>111</v>
      </c>
      <c r="F149" s="37">
        <v>2</v>
      </c>
      <c r="G149" s="42" t="str">
        <f>VLOOKUP(F149,Key!$A$17:$B$21,2,FALSE)</f>
        <v>Road Vehicle</v>
      </c>
      <c r="H149" s="36">
        <v>9</v>
      </c>
      <c r="I149" s="43" t="str">
        <f>VLOOKUP(H149,Key!$A$2:$B$13,2,FALSE)</f>
        <v xml:space="preserve">Heavy truck </v>
      </c>
      <c r="J149" s="37" t="s">
        <v>123</v>
      </c>
      <c r="K149" s="37">
        <v>2</v>
      </c>
      <c r="L149" s="45" t="str">
        <f>VLOOKUP(K149,Key!$A$24:$B$29,2,FALSE)</f>
        <v>30-39</v>
      </c>
      <c r="M149" s="37" t="s">
        <v>167</v>
      </c>
      <c r="N149" s="32" t="s">
        <v>167</v>
      </c>
      <c r="O149" s="37" t="s">
        <v>168</v>
      </c>
      <c r="P149" s="39">
        <v>2</v>
      </c>
      <c r="Q149" s="34" t="str">
        <f>VLOOKUP(P149,Key!$E$2:$F$9,2,FALSE)</f>
        <v>Work</v>
      </c>
      <c r="R149" s="37" t="s">
        <v>176</v>
      </c>
      <c r="S149" s="32" t="s">
        <v>176</v>
      </c>
      <c r="T149" s="37" t="s">
        <v>168</v>
      </c>
      <c r="U149" s="32">
        <v>4</v>
      </c>
      <c r="V149" s="34" t="str">
        <f>VLOOKUP(U149,Key!$E$2:$F$9,2,FALSE)</f>
        <v>Commercial</v>
      </c>
      <c r="W149" s="34" t="str">
        <f t="shared" si="3"/>
        <v>Work-Commercial</v>
      </c>
      <c r="X149" s="47">
        <v>100000</v>
      </c>
      <c r="Y149" s="38">
        <v>85</v>
      </c>
      <c r="Z149" s="38">
        <v>3</v>
      </c>
      <c r="AA149" s="32">
        <v>6</v>
      </c>
      <c r="AB149" s="34" t="str">
        <f>VLOOKUP(AA149,Key!$C$20:$D$29,2,FALSE)</f>
        <v>Businessman</v>
      </c>
      <c r="AC149" s="32">
        <v>2</v>
      </c>
      <c r="AD149" s="34" t="str">
        <f>VLOOKUP(AC149,Key!$E$20:$F$24,2,FALSE)</f>
        <v>300,000-500,000</v>
      </c>
      <c r="AE149" s="32">
        <v>1</v>
      </c>
      <c r="AF149" s="55">
        <v>3</v>
      </c>
      <c r="AG149" s="55">
        <v>5</v>
      </c>
      <c r="AH149" s="55">
        <v>2</v>
      </c>
      <c r="AI149" s="55">
        <v>4</v>
      </c>
      <c r="AJ149" s="39" t="s">
        <v>104</v>
      </c>
      <c r="AK149" s="40">
        <v>5000</v>
      </c>
      <c r="AL149" s="24"/>
      <c r="AM149" s="24"/>
    </row>
    <row r="150" spans="1:46" x14ac:dyDescent="0.2">
      <c r="B150" s="50">
        <v>43690</v>
      </c>
      <c r="C150" s="35">
        <v>0.40972222222222227</v>
      </c>
      <c r="D150" s="35"/>
      <c r="E150" s="35" t="s">
        <v>111</v>
      </c>
      <c r="F150" s="37">
        <v>2</v>
      </c>
      <c r="G150" s="42" t="str">
        <f>VLOOKUP(F150,Key!$A$17:$B$21,2,FALSE)</f>
        <v>Road Vehicle</v>
      </c>
      <c r="H150" s="36">
        <v>9</v>
      </c>
      <c r="I150" s="43" t="str">
        <f>VLOOKUP(H150,Key!$A$2:$B$13,2,FALSE)</f>
        <v xml:space="preserve">Heavy truck </v>
      </c>
      <c r="J150" s="37" t="s">
        <v>123</v>
      </c>
      <c r="K150" s="37">
        <v>3</v>
      </c>
      <c r="L150" s="45" t="str">
        <f>VLOOKUP(K150,Key!$A$24:$B$29,2,FALSE)</f>
        <v>40-49</v>
      </c>
      <c r="M150" s="37" t="s">
        <v>167</v>
      </c>
      <c r="N150" s="32" t="s">
        <v>167</v>
      </c>
      <c r="O150" s="37" t="s">
        <v>168</v>
      </c>
      <c r="P150" s="39">
        <v>2</v>
      </c>
      <c r="Q150" s="34" t="str">
        <f>VLOOKUP(P150,Key!$E$2:$F$9,2,FALSE)</f>
        <v>Work</v>
      </c>
      <c r="R150" s="37" t="s">
        <v>176</v>
      </c>
      <c r="S150" s="32" t="s">
        <v>176</v>
      </c>
      <c r="T150" s="37" t="s">
        <v>168</v>
      </c>
      <c r="U150" s="32">
        <v>4</v>
      </c>
      <c r="V150" s="34" t="str">
        <f>VLOOKUP(U150,Key!$E$2:$F$9,2,FALSE)</f>
        <v>Commercial</v>
      </c>
      <c r="W150" s="34" t="str">
        <f t="shared" si="3"/>
        <v>Work-Commercial</v>
      </c>
      <c r="X150" s="47">
        <v>120000</v>
      </c>
      <c r="Y150" s="38">
        <v>80</v>
      </c>
      <c r="Z150" s="38">
        <v>3</v>
      </c>
      <c r="AA150" s="32">
        <v>10</v>
      </c>
      <c r="AB150" s="34" t="str">
        <f>VLOOKUP(AA150,Key!$C$20:$D$29,2,FALSE)</f>
        <v>Other</v>
      </c>
      <c r="AC150" s="32">
        <v>2</v>
      </c>
      <c r="AD150" s="34" t="str">
        <f>VLOOKUP(AC150,Key!$E$20:$F$24,2,FALSE)</f>
        <v>300,000-500,000</v>
      </c>
      <c r="AE150" s="32">
        <v>1</v>
      </c>
      <c r="AF150" s="55">
        <v>2</v>
      </c>
      <c r="AG150" s="55">
        <v>4</v>
      </c>
      <c r="AH150" s="55">
        <v>1</v>
      </c>
      <c r="AI150" s="55">
        <v>3</v>
      </c>
      <c r="AJ150" s="39" t="s">
        <v>104</v>
      </c>
      <c r="AK150" s="40"/>
      <c r="AL150" s="24"/>
      <c r="AM150" s="24"/>
    </row>
    <row r="151" spans="1:46" hidden="1" x14ac:dyDescent="0.2">
      <c r="B151" s="50">
        <v>43687</v>
      </c>
      <c r="C151" s="35">
        <v>0.52083333333333337</v>
      </c>
      <c r="D151" s="35"/>
      <c r="E151" s="35" t="s">
        <v>111</v>
      </c>
      <c r="F151" s="37">
        <v>2</v>
      </c>
      <c r="G151" s="42" t="str">
        <f>VLOOKUP(F151,Key!$A$17:$B$21,2,FALSE)</f>
        <v>Road Vehicle</v>
      </c>
      <c r="H151" s="36">
        <v>9</v>
      </c>
      <c r="I151" s="43" t="str">
        <f>VLOOKUP(H151,Key!$A$2:$B$13,2,FALSE)</f>
        <v xml:space="preserve">Heavy truck </v>
      </c>
      <c r="J151" s="37" t="s">
        <v>123</v>
      </c>
      <c r="K151" s="37">
        <v>2</v>
      </c>
      <c r="L151" s="45" t="str">
        <f>VLOOKUP(K151,Key!$A$24:$B$29,2,FALSE)</f>
        <v>30-39</v>
      </c>
      <c r="M151" s="37" t="s">
        <v>169</v>
      </c>
      <c r="N151" s="32" t="s">
        <v>169</v>
      </c>
      <c r="O151" s="37" t="s">
        <v>168</v>
      </c>
      <c r="P151" s="39">
        <v>2</v>
      </c>
      <c r="Q151" s="34" t="str">
        <f>VLOOKUP(P151,Key!$E$2:$F$9,2,FALSE)</f>
        <v>Work</v>
      </c>
      <c r="R151" s="37" t="s">
        <v>167</v>
      </c>
      <c r="S151" s="32" t="s">
        <v>167</v>
      </c>
      <c r="T151" s="37" t="s">
        <v>168</v>
      </c>
      <c r="U151" s="32">
        <v>4</v>
      </c>
      <c r="V151" s="34" t="str">
        <f>VLOOKUP(U151,Key!$E$2:$F$9,2,FALSE)</f>
        <v>Commercial</v>
      </c>
      <c r="W151" s="34" t="str">
        <f t="shared" si="3"/>
        <v>Work-Commercial</v>
      </c>
      <c r="X151" s="47">
        <v>120000</v>
      </c>
      <c r="Y151" s="38">
        <v>120</v>
      </c>
      <c r="Z151" s="38">
        <v>3</v>
      </c>
      <c r="AA151" s="32">
        <v>6</v>
      </c>
      <c r="AB151" s="34" t="str">
        <f>VLOOKUP(AA151,Key!$C$20:$D$29,2,FALSE)</f>
        <v>Businessman</v>
      </c>
      <c r="AC151" s="32">
        <v>3</v>
      </c>
      <c r="AD151" s="34" t="str">
        <f>VLOOKUP(AC151,Key!$E$20:$F$24,2,FALSE)</f>
        <v>500,000-750,000</v>
      </c>
      <c r="AE151" s="32">
        <v>2</v>
      </c>
      <c r="AF151" s="55">
        <v>3</v>
      </c>
      <c r="AG151" s="55">
        <v>5</v>
      </c>
      <c r="AH151" s="55">
        <v>1</v>
      </c>
      <c r="AI151" s="55">
        <v>4</v>
      </c>
      <c r="AJ151" s="39" t="s">
        <v>104</v>
      </c>
      <c r="AK151" s="40">
        <v>10000</v>
      </c>
      <c r="AL151" s="24"/>
      <c r="AM151" s="24"/>
    </row>
    <row r="152" spans="1:46" hidden="1" x14ac:dyDescent="0.2">
      <c r="B152" s="50">
        <v>43688</v>
      </c>
      <c r="C152" s="35">
        <v>0.59375</v>
      </c>
      <c r="D152" s="35"/>
      <c r="E152" s="35" t="s">
        <v>111</v>
      </c>
      <c r="F152" s="37">
        <v>2</v>
      </c>
      <c r="G152" s="42" t="str">
        <f>VLOOKUP(F152,Key!$A$17:$B$21,2,FALSE)</f>
        <v>Road Vehicle</v>
      </c>
      <c r="H152" s="36">
        <v>9</v>
      </c>
      <c r="I152" s="43" t="str">
        <f>VLOOKUP(H152,Key!$A$2:$B$13,2,FALSE)</f>
        <v xml:space="preserve">Heavy truck </v>
      </c>
      <c r="J152" s="37" t="s">
        <v>123</v>
      </c>
      <c r="K152" s="37">
        <v>2</v>
      </c>
      <c r="L152" s="45" t="str">
        <f>VLOOKUP(K152,Key!$A$24:$B$29,2,FALSE)</f>
        <v>30-39</v>
      </c>
      <c r="M152" s="37" t="s">
        <v>183</v>
      </c>
      <c r="N152" s="32" t="s">
        <v>183</v>
      </c>
      <c r="O152" s="37" t="s">
        <v>168</v>
      </c>
      <c r="P152" s="39">
        <v>2</v>
      </c>
      <c r="Q152" s="34" t="str">
        <f>VLOOKUP(P152,Key!$E$2:$F$9,2,FALSE)</f>
        <v>Work</v>
      </c>
      <c r="R152" s="37" t="s">
        <v>297</v>
      </c>
      <c r="S152" s="32" t="s">
        <v>167</v>
      </c>
      <c r="T152" s="37" t="s">
        <v>168</v>
      </c>
      <c r="U152" s="32">
        <v>2</v>
      </c>
      <c r="V152" s="34" t="str">
        <f>VLOOKUP(U152,Key!$E$2:$F$9,2,FALSE)</f>
        <v>Work</v>
      </c>
      <c r="W152" s="34" t="str">
        <f t="shared" si="3"/>
        <v>Work-Work</v>
      </c>
      <c r="X152" s="47">
        <v>140000</v>
      </c>
      <c r="Y152" s="38">
        <v>125</v>
      </c>
      <c r="Z152" s="38">
        <v>3</v>
      </c>
      <c r="AA152" s="32">
        <v>6</v>
      </c>
      <c r="AB152" s="34" t="str">
        <f>VLOOKUP(AA152,Key!$C$20:$D$29,2,FALSE)</f>
        <v>Businessman</v>
      </c>
      <c r="AC152" s="32">
        <v>2</v>
      </c>
      <c r="AD152" s="34" t="str">
        <f>VLOOKUP(AC152,Key!$E$20:$F$24,2,FALSE)</f>
        <v>300,000-500,000</v>
      </c>
      <c r="AE152" s="32">
        <v>3</v>
      </c>
      <c r="AF152" s="55">
        <v>2</v>
      </c>
      <c r="AG152" s="55">
        <v>3</v>
      </c>
      <c r="AH152" s="55">
        <v>4</v>
      </c>
      <c r="AI152" s="55"/>
      <c r="AJ152" s="39" t="s">
        <v>104</v>
      </c>
      <c r="AK152" s="40">
        <v>5000</v>
      </c>
      <c r="AL152" s="24"/>
      <c r="AM152" s="24"/>
    </row>
    <row r="153" spans="1:46" hidden="1" x14ac:dyDescent="0.2">
      <c r="B153" s="50">
        <v>43690</v>
      </c>
      <c r="C153" s="35">
        <v>0.69236111111111109</v>
      </c>
      <c r="D153" s="35"/>
      <c r="E153" s="35" t="s">
        <v>111</v>
      </c>
      <c r="F153" s="37">
        <v>2</v>
      </c>
      <c r="G153" s="42" t="str">
        <f>VLOOKUP(F153,Key!$A$17:$B$21,2,FALSE)</f>
        <v>Road Vehicle</v>
      </c>
      <c r="H153" s="36">
        <v>9</v>
      </c>
      <c r="I153" s="43" t="str">
        <f>VLOOKUP(H153,Key!$A$2:$B$13,2,FALSE)</f>
        <v xml:space="preserve">Heavy truck </v>
      </c>
      <c r="J153" s="37" t="s">
        <v>123</v>
      </c>
      <c r="K153" s="37">
        <v>2</v>
      </c>
      <c r="L153" s="45" t="str">
        <f>VLOOKUP(K153,Key!$A$24:$B$29,2,FALSE)</f>
        <v>30-39</v>
      </c>
      <c r="M153" s="37" t="s">
        <v>169</v>
      </c>
      <c r="N153" s="32" t="s">
        <v>169</v>
      </c>
      <c r="O153" s="37" t="s">
        <v>168</v>
      </c>
      <c r="P153" s="39">
        <v>2</v>
      </c>
      <c r="Q153" s="34" t="str">
        <f>VLOOKUP(P153,Key!$E$2:$F$9,2,FALSE)</f>
        <v>Work</v>
      </c>
      <c r="R153" s="37" t="s">
        <v>167</v>
      </c>
      <c r="S153" s="32" t="s">
        <v>167</v>
      </c>
      <c r="T153" s="37" t="s">
        <v>168</v>
      </c>
      <c r="U153" s="32">
        <v>4</v>
      </c>
      <c r="V153" s="34" t="str">
        <f>VLOOKUP(U153,Key!$E$2:$F$9,2,FALSE)</f>
        <v>Commercial</v>
      </c>
      <c r="W153" s="34" t="str">
        <f t="shared" si="3"/>
        <v>Work-Commercial</v>
      </c>
      <c r="X153" s="47">
        <v>140000</v>
      </c>
      <c r="Y153" s="38">
        <v>130</v>
      </c>
      <c r="Z153" s="38">
        <v>3</v>
      </c>
      <c r="AA153" s="32">
        <v>6</v>
      </c>
      <c r="AB153" s="34" t="str">
        <f>VLOOKUP(AA153,Key!$C$20:$D$29,2,FALSE)</f>
        <v>Businessman</v>
      </c>
      <c r="AC153" s="32">
        <v>3</v>
      </c>
      <c r="AD153" s="34" t="str">
        <f>VLOOKUP(AC153,Key!$E$20:$F$24,2,FALSE)</f>
        <v>500,000-750,000</v>
      </c>
      <c r="AE153" s="32">
        <v>2</v>
      </c>
      <c r="AF153" s="55">
        <v>3</v>
      </c>
      <c r="AG153" s="55">
        <v>5</v>
      </c>
      <c r="AH153" s="55">
        <v>1</v>
      </c>
      <c r="AI153" s="55">
        <v>4</v>
      </c>
      <c r="AJ153" s="39" t="s">
        <v>104</v>
      </c>
      <c r="AK153" s="40">
        <v>3000</v>
      </c>
      <c r="AL153" s="24"/>
      <c r="AM153" s="24"/>
    </row>
    <row r="154" spans="1:46" hidden="1" x14ac:dyDescent="0.2">
      <c r="B154" s="50">
        <v>43686</v>
      </c>
      <c r="C154" s="35">
        <v>0.69236111111111109</v>
      </c>
      <c r="D154" s="35"/>
      <c r="E154" s="35" t="s">
        <v>111</v>
      </c>
      <c r="F154" s="37">
        <v>2</v>
      </c>
      <c r="G154" s="42" t="str">
        <f>VLOOKUP(F154,Key!$A$17:$B$21,2,FALSE)</f>
        <v>Road Vehicle</v>
      </c>
      <c r="H154" s="36">
        <v>9</v>
      </c>
      <c r="I154" s="43" t="str">
        <f>VLOOKUP(H154,Key!$A$2:$B$13,2,FALSE)</f>
        <v xml:space="preserve">Heavy truck </v>
      </c>
      <c r="J154" s="37" t="s">
        <v>123</v>
      </c>
      <c r="K154" s="37">
        <v>2</v>
      </c>
      <c r="L154" s="45" t="str">
        <f>VLOOKUP(K154,Key!$A$24:$B$29,2,FALSE)</f>
        <v>30-39</v>
      </c>
      <c r="M154" s="37" t="s">
        <v>199</v>
      </c>
      <c r="N154" s="32" t="s">
        <v>199</v>
      </c>
      <c r="O154" s="37" t="s">
        <v>168</v>
      </c>
      <c r="P154" s="39">
        <v>2</v>
      </c>
      <c r="Q154" s="34" t="str">
        <f>VLOOKUP(P154,Key!$E$2:$F$9,2,FALSE)</f>
        <v>Work</v>
      </c>
      <c r="R154" s="37" t="s">
        <v>167</v>
      </c>
      <c r="S154" s="32" t="s">
        <v>167</v>
      </c>
      <c r="T154" s="37" t="s">
        <v>168</v>
      </c>
      <c r="U154" s="32">
        <v>4</v>
      </c>
      <c r="V154" s="34" t="str">
        <f>VLOOKUP(U154,Key!$E$2:$F$9,2,FALSE)</f>
        <v>Commercial</v>
      </c>
      <c r="W154" s="34" t="str">
        <f t="shared" si="3"/>
        <v>Work-Commercial</v>
      </c>
      <c r="X154" s="47">
        <v>140000</v>
      </c>
      <c r="Y154" s="38">
        <v>180</v>
      </c>
      <c r="Z154" s="38">
        <v>4</v>
      </c>
      <c r="AA154" s="32">
        <v>6</v>
      </c>
      <c r="AB154" s="34" t="str">
        <f>VLOOKUP(AA154,Key!$C$20:$D$29,2,FALSE)</f>
        <v>Businessman</v>
      </c>
      <c r="AC154" s="32">
        <v>3</v>
      </c>
      <c r="AD154" s="34" t="str">
        <f>VLOOKUP(AC154,Key!$E$20:$F$24,2,FALSE)</f>
        <v>500,000-750,000</v>
      </c>
      <c r="AE154" s="32">
        <v>2</v>
      </c>
      <c r="AF154" s="55">
        <v>4</v>
      </c>
      <c r="AG154" s="55">
        <v>3</v>
      </c>
      <c r="AH154" s="55">
        <v>1</v>
      </c>
      <c r="AI154" s="55">
        <v>5</v>
      </c>
      <c r="AJ154" s="39" t="s">
        <v>104</v>
      </c>
      <c r="AK154" s="40">
        <v>5000</v>
      </c>
      <c r="AL154" s="24"/>
      <c r="AM154" s="24"/>
    </row>
    <row r="155" spans="1:46" hidden="1" x14ac:dyDescent="0.2">
      <c r="B155" s="50">
        <v>43686</v>
      </c>
      <c r="C155" s="35">
        <v>0.70416666666666661</v>
      </c>
      <c r="D155" s="35"/>
      <c r="E155" s="35" t="s">
        <v>111</v>
      </c>
      <c r="F155" s="37">
        <v>2</v>
      </c>
      <c r="G155" s="42" t="str">
        <f>VLOOKUP(F155,Key!$A$17:$B$21,2,FALSE)</f>
        <v>Road Vehicle</v>
      </c>
      <c r="H155" s="36">
        <v>9</v>
      </c>
      <c r="I155" s="43" t="str">
        <f>VLOOKUP(H155,Key!$A$2:$B$13,2,FALSE)</f>
        <v xml:space="preserve">Heavy truck </v>
      </c>
      <c r="J155" s="37" t="s">
        <v>123</v>
      </c>
      <c r="K155" s="37">
        <v>2</v>
      </c>
      <c r="L155" s="45" t="str">
        <f>VLOOKUP(K155,Key!$A$24:$B$29,2,FALSE)</f>
        <v>30-39</v>
      </c>
      <c r="M155" s="37" t="s">
        <v>199</v>
      </c>
      <c r="N155" s="32" t="s">
        <v>199</v>
      </c>
      <c r="O155" s="37" t="s">
        <v>168</v>
      </c>
      <c r="P155" s="39">
        <v>2</v>
      </c>
      <c r="Q155" s="34" t="str">
        <f>VLOOKUP(P155,Key!$E$2:$F$9,2,FALSE)</f>
        <v>Work</v>
      </c>
      <c r="R155" s="37" t="s">
        <v>176</v>
      </c>
      <c r="S155" s="32" t="s">
        <v>176</v>
      </c>
      <c r="T155" s="37" t="s">
        <v>168</v>
      </c>
      <c r="U155" s="32">
        <v>4</v>
      </c>
      <c r="V155" s="34" t="str">
        <f>VLOOKUP(U155,Key!$E$2:$F$9,2,FALSE)</f>
        <v>Commercial</v>
      </c>
      <c r="W155" s="34" t="str">
        <f t="shared" si="3"/>
        <v>Work-Commercial</v>
      </c>
      <c r="X155" s="47">
        <v>300000</v>
      </c>
      <c r="Y155" s="38">
        <v>200</v>
      </c>
      <c r="Z155" s="38">
        <v>3.5</v>
      </c>
      <c r="AA155" s="32">
        <v>6</v>
      </c>
      <c r="AB155" s="34" t="str">
        <f>VLOOKUP(AA155,Key!$C$20:$D$29,2,FALSE)</f>
        <v>Businessman</v>
      </c>
      <c r="AC155" s="32">
        <v>3</v>
      </c>
      <c r="AD155" s="34" t="str">
        <f>VLOOKUP(AC155,Key!$E$20:$F$24,2,FALSE)</f>
        <v>500,000-750,000</v>
      </c>
      <c r="AE155" s="32">
        <v>3</v>
      </c>
      <c r="AF155" s="55">
        <v>3</v>
      </c>
      <c r="AG155" s="55">
        <v>2</v>
      </c>
      <c r="AH155" s="55">
        <v>3</v>
      </c>
      <c r="AI155" s="55"/>
      <c r="AJ155" s="39" t="s">
        <v>104</v>
      </c>
      <c r="AK155" s="40">
        <v>2000</v>
      </c>
      <c r="AL155" s="24"/>
      <c r="AM155" s="24"/>
    </row>
    <row r="156" spans="1:46" hidden="1" x14ac:dyDescent="0.2">
      <c r="B156" s="50">
        <v>43688</v>
      </c>
      <c r="C156" s="35">
        <v>0.76736111111111116</v>
      </c>
      <c r="D156" s="35"/>
      <c r="E156" s="35" t="s">
        <v>111</v>
      </c>
      <c r="F156" s="37">
        <v>2</v>
      </c>
      <c r="G156" s="42" t="str">
        <f>VLOOKUP(F156,Key!$A$17:$B$21,2,FALSE)</f>
        <v>Road Vehicle</v>
      </c>
      <c r="H156" s="36">
        <v>9</v>
      </c>
      <c r="I156" s="43" t="str">
        <f>VLOOKUP(H156,Key!$A$2:$B$13,2,FALSE)</f>
        <v xml:space="preserve">Heavy truck </v>
      </c>
      <c r="J156" s="37" t="s">
        <v>123</v>
      </c>
      <c r="K156" s="37">
        <v>3</v>
      </c>
      <c r="L156" s="45" t="str">
        <f>VLOOKUP(K156,Key!$A$24:$B$29,2,FALSE)</f>
        <v>40-49</v>
      </c>
      <c r="M156" s="37" t="s">
        <v>183</v>
      </c>
      <c r="N156" s="32" t="s">
        <v>183</v>
      </c>
      <c r="O156" s="37" t="s">
        <v>168</v>
      </c>
      <c r="P156" s="39">
        <v>2</v>
      </c>
      <c r="Q156" s="34" t="str">
        <f>VLOOKUP(P156,Key!$E$2:$F$9,2,FALSE)</f>
        <v>Work</v>
      </c>
      <c r="R156" s="37" t="s">
        <v>167</v>
      </c>
      <c r="S156" s="32" t="s">
        <v>167</v>
      </c>
      <c r="T156" s="37" t="s">
        <v>168</v>
      </c>
      <c r="U156" s="32">
        <v>4</v>
      </c>
      <c r="V156" s="34" t="str">
        <f>VLOOKUP(U156,Key!$E$2:$F$9,2,FALSE)</f>
        <v>Commercial</v>
      </c>
      <c r="W156" s="34" t="str">
        <f t="shared" si="3"/>
        <v>Work-Commercial</v>
      </c>
      <c r="X156" s="47">
        <v>160000</v>
      </c>
      <c r="Y156" s="38">
        <v>230</v>
      </c>
      <c r="Z156" s="38">
        <v>4</v>
      </c>
      <c r="AA156" s="32">
        <v>10</v>
      </c>
      <c r="AB156" s="34" t="str">
        <f>VLOOKUP(AA156,Key!$C$20:$D$29,2,FALSE)</f>
        <v>Other</v>
      </c>
      <c r="AC156" s="32">
        <v>2</v>
      </c>
      <c r="AD156" s="34" t="str">
        <f>VLOOKUP(AC156,Key!$E$20:$F$24,2,FALSE)</f>
        <v>300,000-500,000</v>
      </c>
      <c r="AE156" s="32">
        <v>1</v>
      </c>
      <c r="AF156" s="55">
        <v>3</v>
      </c>
      <c r="AG156" s="55">
        <v>4</v>
      </c>
      <c r="AH156" s="55">
        <v>2</v>
      </c>
      <c r="AI156" s="55">
        <v>4</v>
      </c>
      <c r="AJ156" s="39" t="s">
        <v>104</v>
      </c>
      <c r="AK156" s="40">
        <v>1000</v>
      </c>
      <c r="AL156" s="24"/>
      <c r="AM156" s="24"/>
    </row>
    <row r="157" spans="1:46" hidden="1" x14ac:dyDescent="0.2">
      <c r="B157" s="50">
        <v>43688</v>
      </c>
      <c r="C157" s="35">
        <v>0.75069444444444444</v>
      </c>
      <c r="D157" s="35"/>
      <c r="E157" s="35" t="s">
        <v>111</v>
      </c>
      <c r="F157" s="37">
        <v>2</v>
      </c>
      <c r="G157" s="42" t="str">
        <f>VLOOKUP(F157,Key!$A$17:$B$21,2,FALSE)</f>
        <v>Road Vehicle</v>
      </c>
      <c r="H157" s="36">
        <v>9</v>
      </c>
      <c r="I157" s="43" t="str">
        <f>VLOOKUP(H157,Key!$A$2:$B$13,2,FALSE)</f>
        <v xml:space="preserve">Heavy truck </v>
      </c>
      <c r="J157" s="37" t="s">
        <v>123</v>
      </c>
      <c r="K157" s="37">
        <v>3</v>
      </c>
      <c r="L157" s="45" t="str">
        <f>VLOOKUP(K157,Key!$A$24:$B$29,2,FALSE)</f>
        <v>40-49</v>
      </c>
      <c r="M157" s="37" t="s">
        <v>167</v>
      </c>
      <c r="N157" s="32" t="s">
        <v>167</v>
      </c>
      <c r="O157" s="37" t="s">
        <v>168</v>
      </c>
      <c r="P157" s="39">
        <v>2</v>
      </c>
      <c r="Q157" s="34" t="str">
        <f>VLOOKUP(P157,Key!$E$2:$F$9,2,FALSE)</f>
        <v>Work</v>
      </c>
      <c r="R157" s="37" t="s">
        <v>178</v>
      </c>
      <c r="S157" s="32" t="s">
        <v>178</v>
      </c>
      <c r="T157" s="37" t="s">
        <v>168</v>
      </c>
      <c r="U157" s="32">
        <v>7</v>
      </c>
      <c r="V157" s="34" t="str">
        <f>VLOOKUP(U157,Key!$E$2:$F$9,2,FALSE)</f>
        <v>Hospital</v>
      </c>
      <c r="W157" s="34" t="str">
        <f t="shared" si="3"/>
        <v>Work-Hospital</v>
      </c>
      <c r="X157" s="47">
        <v>250000</v>
      </c>
      <c r="Y157" s="38">
        <v>240</v>
      </c>
      <c r="Z157" s="38">
        <v>5</v>
      </c>
      <c r="AA157" s="32">
        <v>5</v>
      </c>
      <c r="AB157" s="34" t="str">
        <f>VLOOKUP(AA157,Key!$C$20:$D$29,2,FALSE)</f>
        <v>Professional</v>
      </c>
      <c r="AC157" s="32">
        <v>4</v>
      </c>
      <c r="AD157" s="34" t="str">
        <f>VLOOKUP(AC157,Key!$E$20:$F$24,2,FALSE)</f>
        <v>750,000-1,000,000</v>
      </c>
      <c r="AE157" s="32">
        <v>2</v>
      </c>
      <c r="AF157" s="55">
        <v>3</v>
      </c>
      <c r="AG157" s="55">
        <v>4</v>
      </c>
      <c r="AH157" s="55">
        <v>1</v>
      </c>
      <c r="AI157" s="55"/>
      <c r="AJ157" s="39" t="s">
        <v>104</v>
      </c>
      <c r="AK157" s="40">
        <v>10000</v>
      </c>
      <c r="AL157" s="24"/>
      <c r="AM157" s="24"/>
    </row>
    <row r="158" spans="1:46" hidden="1" x14ac:dyDescent="0.2">
      <c r="B158" s="50">
        <v>43689</v>
      </c>
      <c r="C158" s="35">
        <v>0.95972222222222225</v>
      </c>
      <c r="D158" s="35"/>
      <c r="E158" s="35" t="s">
        <v>111</v>
      </c>
      <c r="F158" s="37">
        <v>2</v>
      </c>
      <c r="G158" s="42" t="str">
        <f>VLOOKUP(F158,Key!$A$17:$B$21,2,FALSE)</f>
        <v>Road Vehicle</v>
      </c>
      <c r="H158" s="36">
        <v>9</v>
      </c>
      <c r="I158" s="43" t="str">
        <f>VLOOKUP(H158,Key!$A$2:$B$13,2,FALSE)</f>
        <v xml:space="preserve">Heavy truck </v>
      </c>
      <c r="J158" s="37" t="s">
        <v>123</v>
      </c>
      <c r="K158" s="37">
        <v>4</v>
      </c>
      <c r="L158" s="45" t="str">
        <f>VLOOKUP(K158,Key!$A$24:$B$29,2,FALSE)</f>
        <v>50-59</v>
      </c>
      <c r="M158" s="37" t="s">
        <v>183</v>
      </c>
      <c r="N158" s="32" t="s">
        <v>183</v>
      </c>
      <c r="O158" s="37" t="s">
        <v>168</v>
      </c>
      <c r="P158" s="39">
        <v>2</v>
      </c>
      <c r="Q158" s="34" t="str">
        <f>VLOOKUP(P158,Key!$E$2:$F$9,2,FALSE)</f>
        <v>Work</v>
      </c>
      <c r="R158" s="37" t="s">
        <v>167</v>
      </c>
      <c r="S158" s="32" t="s">
        <v>167</v>
      </c>
      <c r="T158" s="37" t="s">
        <v>168</v>
      </c>
      <c r="U158" s="32">
        <v>4</v>
      </c>
      <c r="V158" s="34" t="str">
        <f>VLOOKUP(U158,Key!$E$2:$F$9,2,FALSE)</f>
        <v>Commercial</v>
      </c>
      <c r="W158" s="34" t="str">
        <f t="shared" si="3"/>
        <v>Work-Commercial</v>
      </c>
      <c r="X158" s="47">
        <v>180000</v>
      </c>
      <c r="Y158" s="38">
        <v>250</v>
      </c>
      <c r="Z158" s="38">
        <v>4</v>
      </c>
      <c r="AA158" s="32">
        <v>5</v>
      </c>
      <c r="AB158" s="34" t="str">
        <f>VLOOKUP(AA158,Key!$C$20:$D$29,2,FALSE)</f>
        <v>Professional</v>
      </c>
      <c r="AC158" s="32">
        <v>3</v>
      </c>
      <c r="AD158" s="34" t="str">
        <f>VLOOKUP(AC158,Key!$E$20:$F$24,2,FALSE)</f>
        <v>500,000-750,000</v>
      </c>
      <c r="AE158" s="32">
        <v>2</v>
      </c>
      <c r="AF158" s="55">
        <v>3</v>
      </c>
      <c r="AG158" s="55">
        <v>4</v>
      </c>
      <c r="AH158" s="55">
        <v>1</v>
      </c>
      <c r="AI158" s="55">
        <v>5</v>
      </c>
      <c r="AJ158" s="39" t="s">
        <v>104</v>
      </c>
      <c r="AK158" s="40">
        <v>5000</v>
      </c>
      <c r="AL158" s="24"/>
      <c r="AM158" s="24"/>
    </row>
    <row r="159" spans="1:46" hidden="1" x14ac:dyDescent="0.2">
      <c r="B159" s="50">
        <v>43690</v>
      </c>
      <c r="C159" s="35">
        <v>0.43055555555555558</v>
      </c>
      <c r="D159" s="35"/>
      <c r="E159" s="35" t="s">
        <v>111</v>
      </c>
      <c r="F159" s="37">
        <v>2</v>
      </c>
      <c r="G159" s="42" t="str">
        <f>VLOOKUP(F159,Key!$A$17:$B$21,2,FALSE)</f>
        <v>Road Vehicle</v>
      </c>
      <c r="H159" s="36">
        <v>9</v>
      </c>
      <c r="I159" s="43" t="str">
        <f>VLOOKUP(H159,Key!$A$2:$B$13,2,FALSE)</f>
        <v xml:space="preserve">Heavy truck </v>
      </c>
      <c r="J159" s="37" t="s">
        <v>123</v>
      </c>
      <c r="K159" s="37">
        <v>2</v>
      </c>
      <c r="L159" s="45" t="str">
        <f>VLOOKUP(K159,Key!$A$24:$B$29,2,FALSE)</f>
        <v>30-39</v>
      </c>
      <c r="M159" s="37" t="s">
        <v>183</v>
      </c>
      <c r="N159" s="32" t="s">
        <v>183</v>
      </c>
      <c r="O159" s="37" t="s">
        <v>168</v>
      </c>
      <c r="P159" s="39">
        <v>4</v>
      </c>
      <c r="Q159" s="34" t="str">
        <f>VLOOKUP(P159,Key!$E$2:$F$9,2,FALSE)</f>
        <v>Commercial</v>
      </c>
      <c r="R159" s="37" t="s">
        <v>217</v>
      </c>
      <c r="S159" s="32" t="s">
        <v>176</v>
      </c>
      <c r="T159" s="37" t="s">
        <v>168</v>
      </c>
      <c r="U159" s="32">
        <v>4</v>
      </c>
      <c r="V159" s="34" t="str">
        <f>VLOOKUP(U159,Key!$E$2:$F$9,2,FALSE)</f>
        <v>Commercial</v>
      </c>
      <c r="W159" s="34" t="str">
        <f t="shared" si="3"/>
        <v>Commercial-Commercial</v>
      </c>
      <c r="X159" s="47"/>
      <c r="Y159" s="38">
        <v>300</v>
      </c>
      <c r="Z159" s="38">
        <v>5</v>
      </c>
      <c r="AA159" s="32">
        <v>10</v>
      </c>
      <c r="AB159" s="34" t="str">
        <f>VLOOKUP(AA159,Key!$C$20:$D$29,2,FALSE)</f>
        <v>Other</v>
      </c>
      <c r="AC159" s="32">
        <v>3</v>
      </c>
      <c r="AD159" s="34" t="str">
        <f>VLOOKUP(AC159,Key!$E$20:$F$24,2,FALSE)</f>
        <v>500,000-750,000</v>
      </c>
      <c r="AE159" s="32">
        <v>1</v>
      </c>
      <c r="AF159" s="55">
        <v>1</v>
      </c>
      <c r="AG159" s="55">
        <v>1</v>
      </c>
      <c r="AH159" s="55">
        <v>1</v>
      </c>
      <c r="AI159" s="55">
        <v>1</v>
      </c>
      <c r="AJ159" s="39" t="s">
        <v>104</v>
      </c>
      <c r="AK159" s="40">
        <v>5000</v>
      </c>
      <c r="AL159" s="24"/>
      <c r="AM159" s="24"/>
    </row>
    <row r="160" spans="1:46" hidden="1" x14ac:dyDescent="0.2">
      <c r="B160" s="50">
        <v>43690</v>
      </c>
      <c r="C160" s="35">
        <v>0.66805555555555562</v>
      </c>
      <c r="D160" s="35"/>
      <c r="E160" s="35" t="s">
        <v>111</v>
      </c>
      <c r="F160" s="37">
        <v>2</v>
      </c>
      <c r="G160" s="42" t="str">
        <f>VLOOKUP(F160,Key!$A$17:$B$21,2,FALSE)</f>
        <v>Road Vehicle</v>
      </c>
      <c r="H160" s="36">
        <v>9</v>
      </c>
      <c r="I160" s="43" t="str">
        <f>VLOOKUP(H160,Key!$A$2:$B$13,2,FALSE)</f>
        <v xml:space="preserve">Heavy truck </v>
      </c>
      <c r="J160" s="37" t="s">
        <v>123</v>
      </c>
      <c r="K160" s="37">
        <v>2</v>
      </c>
      <c r="L160" s="45" t="str">
        <f>VLOOKUP(K160,Key!$A$24:$B$29,2,FALSE)</f>
        <v>30-39</v>
      </c>
      <c r="M160" s="37" t="s">
        <v>183</v>
      </c>
      <c r="N160" s="32" t="s">
        <v>183</v>
      </c>
      <c r="O160" s="37" t="s">
        <v>168</v>
      </c>
      <c r="P160" s="39">
        <v>4</v>
      </c>
      <c r="Q160" s="34" t="str">
        <f>VLOOKUP(P160,Key!$E$2:$F$9,2,FALSE)</f>
        <v>Commercial</v>
      </c>
      <c r="R160" s="37" t="s">
        <v>222</v>
      </c>
      <c r="S160" s="32" t="s">
        <v>176</v>
      </c>
      <c r="T160" s="37" t="s">
        <v>168</v>
      </c>
      <c r="U160" s="32">
        <v>4</v>
      </c>
      <c r="V160" s="34" t="str">
        <f>VLOOKUP(U160,Key!$E$2:$F$9,2,FALSE)</f>
        <v>Commercial</v>
      </c>
      <c r="W160" s="34" t="str">
        <f t="shared" si="3"/>
        <v>Commercial-Commercial</v>
      </c>
      <c r="X160" s="47">
        <v>200000</v>
      </c>
      <c r="Y160" s="38">
        <v>300</v>
      </c>
      <c r="Z160" s="38">
        <v>6</v>
      </c>
      <c r="AA160" s="32">
        <v>10</v>
      </c>
      <c r="AB160" s="34" t="str">
        <f>VLOOKUP(AA160,Key!$C$20:$D$29,2,FALSE)</f>
        <v>Other</v>
      </c>
      <c r="AC160" s="32">
        <v>3</v>
      </c>
      <c r="AD160" s="34" t="str">
        <f>VLOOKUP(AC160,Key!$E$20:$F$24,2,FALSE)</f>
        <v>500,000-750,000</v>
      </c>
      <c r="AE160" s="32">
        <v>1</v>
      </c>
      <c r="AF160" s="55">
        <v>1</v>
      </c>
      <c r="AG160" s="55">
        <v>1</v>
      </c>
      <c r="AH160" s="55">
        <v>2</v>
      </c>
      <c r="AI160" s="55">
        <v>1</v>
      </c>
      <c r="AJ160" s="39" t="s">
        <v>104</v>
      </c>
      <c r="AK160" s="40">
        <v>2000</v>
      </c>
      <c r="AL160" s="24"/>
      <c r="AM160" s="24"/>
    </row>
    <row r="161" spans="1:39" hidden="1" x14ac:dyDescent="0.2">
      <c r="B161" s="50">
        <v>43687</v>
      </c>
      <c r="C161" s="35">
        <v>0.5625</v>
      </c>
      <c r="D161" s="35"/>
      <c r="E161" s="35" t="s">
        <v>111</v>
      </c>
      <c r="F161" s="37">
        <v>2</v>
      </c>
      <c r="G161" s="42" t="str">
        <f>VLOOKUP(F161,Key!$A$17:$B$21,2,FALSE)</f>
        <v>Road Vehicle</v>
      </c>
      <c r="H161" s="36">
        <v>9</v>
      </c>
      <c r="I161" s="43" t="str">
        <f>VLOOKUP(H161,Key!$A$2:$B$13,2,FALSE)</f>
        <v xml:space="preserve">Heavy truck </v>
      </c>
      <c r="J161" s="37" t="s">
        <v>123</v>
      </c>
      <c r="K161" s="13">
        <v>3</v>
      </c>
      <c r="L161" s="45" t="str">
        <f>VLOOKUP(K161,Key!$A$24:$B$29,2,FALSE)</f>
        <v>40-49</v>
      </c>
      <c r="M161" s="44" t="s">
        <v>171</v>
      </c>
      <c r="N161" s="32" t="s">
        <v>172</v>
      </c>
      <c r="O161" s="37" t="s">
        <v>172</v>
      </c>
      <c r="P161" s="39">
        <v>4</v>
      </c>
      <c r="Q161" s="34" t="str">
        <f>VLOOKUP(P161,Key!$E$2:$F$9,2,FALSE)</f>
        <v>Commercial</v>
      </c>
      <c r="R161" s="37" t="s">
        <v>167</v>
      </c>
      <c r="S161" s="32" t="s">
        <v>167</v>
      </c>
      <c r="T161" s="37" t="s">
        <v>168</v>
      </c>
      <c r="U161" s="32">
        <v>4</v>
      </c>
      <c r="V161" s="34" t="str">
        <f>VLOOKUP(U161,Key!$E$2:$F$9,2,FALSE)</f>
        <v>Commercial</v>
      </c>
      <c r="W161" s="34" t="str">
        <f t="shared" si="3"/>
        <v>Commercial-Commercial</v>
      </c>
      <c r="X161" s="47">
        <v>1870000</v>
      </c>
      <c r="Y161" s="38">
        <v>650</v>
      </c>
      <c r="Z161" s="38">
        <v>48</v>
      </c>
      <c r="AA161" s="32">
        <v>10</v>
      </c>
      <c r="AB161" s="34" t="str">
        <f>VLOOKUP(AA161,Key!$C$20:$D$29,2,FALSE)</f>
        <v>Other</v>
      </c>
      <c r="AC161" s="32">
        <v>3</v>
      </c>
      <c r="AD161" s="34" t="str">
        <f>VLOOKUP(AC161,Key!$E$20:$F$24,2,FALSE)</f>
        <v>500,000-750,000</v>
      </c>
      <c r="AE161" s="32">
        <v>2</v>
      </c>
      <c r="AF161" s="55">
        <v>3</v>
      </c>
      <c r="AG161" s="55">
        <v>4</v>
      </c>
      <c r="AH161" s="55">
        <v>1</v>
      </c>
      <c r="AI161" s="55">
        <v>4</v>
      </c>
      <c r="AJ161" s="39" t="s">
        <v>104</v>
      </c>
      <c r="AK161" s="40"/>
      <c r="AL161" s="24"/>
      <c r="AM161" s="24"/>
    </row>
    <row r="162" spans="1:39" hidden="1" x14ac:dyDescent="0.2">
      <c r="B162" s="50">
        <v>43687</v>
      </c>
      <c r="C162" s="35">
        <v>0.68055555555555547</v>
      </c>
      <c r="D162" s="35"/>
      <c r="E162" s="35" t="s">
        <v>111</v>
      </c>
      <c r="F162" s="37">
        <v>2</v>
      </c>
      <c r="G162" s="42" t="str">
        <f>VLOOKUP(F162,Key!$A$17:$B$21,2,FALSE)</f>
        <v>Road Vehicle</v>
      </c>
      <c r="H162" s="36">
        <v>9</v>
      </c>
      <c r="I162" s="43" t="str">
        <f>VLOOKUP(H162,Key!$A$2:$B$13,2,FALSE)</f>
        <v xml:space="preserve">Heavy truck </v>
      </c>
      <c r="J162" s="37" t="s">
        <v>123</v>
      </c>
      <c r="K162" s="37">
        <v>1</v>
      </c>
      <c r="L162" s="45" t="str">
        <f>VLOOKUP(K162,Key!$A$24:$B$29,2,FALSE)</f>
        <v>20-29</v>
      </c>
      <c r="M162" s="37" t="s">
        <v>167</v>
      </c>
      <c r="N162" s="32" t="s">
        <v>167</v>
      </c>
      <c r="O162" s="37" t="s">
        <v>168</v>
      </c>
      <c r="P162" s="39">
        <v>4</v>
      </c>
      <c r="Q162" s="34" t="str">
        <f>VLOOKUP(P162,Key!$E$2:$F$9,2,FALSE)</f>
        <v>Commercial</v>
      </c>
      <c r="R162" s="37" t="s">
        <v>175</v>
      </c>
      <c r="S162" s="32" t="s">
        <v>175</v>
      </c>
      <c r="T162" s="37" t="s">
        <v>168</v>
      </c>
      <c r="U162" s="32">
        <v>4</v>
      </c>
      <c r="V162" s="34" t="str">
        <f>VLOOKUP(U162,Key!$E$2:$F$9,2,FALSE)</f>
        <v>Commercial</v>
      </c>
      <c r="W162" s="34" t="str">
        <f t="shared" si="3"/>
        <v>Commercial-Commercial</v>
      </c>
      <c r="X162" s="47">
        <v>320000</v>
      </c>
      <c r="Y162" s="38">
        <v>700</v>
      </c>
      <c r="Z162" s="38">
        <v>8</v>
      </c>
      <c r="AA162" s="32">
        <v>6</v>
      </c>
      <c r="AB162" s="34" t="str">
        <f>VLOOKUP(AA162,Key!$C$20:$D$29,2,FALSE)</f>
        <v>Businessman</v>
      </c>
      <c r="AC162" s="32">
        <v>5</v>
      </c>
      <c r="AD162" s="34" t="str">
        <f>VLOOKUP(AC162,Key!$E$20:$F$24,2,FALSE)</f>
        <v>&gt;1,000,000</v>
      </c>
      <c r="AE162" s="32">
        <v>1</v>
      </c>
      <c r="AF162" s="55">
        <v>2</v>
      </c>
      <c r="AG162" s="55">
        <v>3</v>
      </c>
      <c r="AH162" s="55">
        <v>1</v>
      </c>
      <c r="AI162" s="55">
        <v>3</v>
      </c>
      <c r="AJ162" s="39" t="s">
        <v>104</v>
      </c>
      <c r="AK162" s="40">
        <v>10000</v>
      </c>
      <c r="AL162" s="24"/>
      <c r="AM162" s="24"/>
    </row>
    <row r="163" spans="1:39" hidden="1" x14ac:dyDescent="0.2">
      <c r="B163" s="50"/>
      <c r="C163" s="35"/>
      <c r="D163" s="35"/>
      <c r="E163" s="35"/>
      <c r="F163" s="37"/>
      <c r="G163" s="42"/>
      <c r="H163" s="36"/>
      <c r="I163" s="43"/>
      <c r="J163" s="37"/>
      <c r="K163" s="37"/>
      <c r="L163" s="45"/>
      <c r="M163" s="37"/>
      <c r="N163" s="32"/>
      <c r="O163" s="37"/>
      <c r="P163" s="39"/>
      <c r="Q163" s="34"/>
      <c r="R163" s="37"/>
      <c r="S163" s="32"/>
      <c r="T163" s="37"/>
      <c r="U163" s="32"/>
      <c r="V163" s="34"/>
      <c r="W163" s="34"/>
      <c r="X163" s="47"/>
      <c r="Y163" s="38"/>
      <c r="Z163" s="38"/>
      <c r="AA163" s="32"/>
      <c r="AB163" s="34"/>
      <c r="AC163" s="32"/>
      <c r="AD163" s="34"/>
      <c r="AE163" s="32"/>
      <c r="AF163" s="55"/>
      <c r="AG163" s="55"/>
      <c r="AH163" s="55"/>
      <c r="AI163" s="55"/>
      <c r="AJ163" s="39"/>
      <c r="AK163" s="40"/>
      <c r="AL163" s="24"/>
      <c r="AM163" s="24"/>
    </row>
    <row r="164" spans="1:39" x14ac:dyDescent="0.2">
      <c r="B164" s="50">
        <v>43686</v>
      </c>
      <c r="C164" s="35">
        <v>0.68055555555555547</v>
      </c>
      <c r="D164" s="35"/>
      <c r="E164" s="35" t="s">
        <v>111</v>
      </c>
      <c r="F164" s="37">
        <v>2</v>
      </c>
      <c r="G164" s="42" t="str">
        <f>VLOOKUP(F164,Key!$A$17:$B$21,2,FALSE)</f>
        <v>Road Vehicle</v>
      </c>
      <c r="H164" s="36">
        <v>6</v>
      </c>
      <c r="I164" s="43" t="str">
        <f>VLOOKUP(H164,Key!$A$2:$B$13,2,FALSE)</f>
        <v>Large Bus</v>
      </c>
      <c r="J164" s="37" t="s">
        <v>123</v>
      </c>
      <c r="K164" s="37">
        <v>2</v>
      </c>
      <c r="L164" s="45" t="str">
        <f>VLOOKUP(K164,Key!$A$24:$B$29,2,FALSE)</f>
        <v>30-39</v>
      </c>
      <c r="M164" s="37" t="s">
        <v>239</v>
      </c>
      <c r="N164" s="32" t="s">
        <v>240</v>
      </c>
      <c r="O164" s="37" t="s">
        <v>168</v>
      </c>
      <c r="P164" s="39">
        <v>2</v>
      </c>
      <c r="Q164" s="34" t="str">
        <f>VLOOKUP(P164,Key!$E$2:$F$9,2,FALSE)</f>
        <v>Work</v>
      </c>
      <c r="R164" s="37" t="s">
        <v>167</v>
      </c>
      <c r="S164" s="32" t="s">
        <v>167</v>
      </c>
      <c r="T164" s="37" t="s">
        <v>168</v>
      </c>
      <c r="U164" s="32">
        <v>2</v>
      </c>
      <c r="V164" s="34" t="str">
        <f>VLOOKUP(U164,Key!$E$2:$F$9,2,FALSE)</f>
        <v>Work</v>
      </c>
      <c r="W164" s="34" t="str">
        <f>Q164&amp;"-"&amp;V164</f>
        <v>Work-Work</v>
      </c>
      <c r="X164" s="47">
        <v>210000</v>
      </c>
      <c r="Y164" s="38">
        <v>100</v>
      </c>
      <c r="Z164" s="38">
        <v>3</v>
      </c>
      <c r="AA164" s="32">
        <v>10</v>
      </c>
      <c r="AB164" s="34" t="str">
        <f>VLOOKUP(AA164,Key!$C$20:$D$29,2,FALSE)</f>
        <v>Other</v>
      </c>
      <c r="AC164" s="32">
        <v>2</v>
      </c>
      <c r="AD164" s="34" t="str">
        <f>VLOOKUP(AC164,Key!$E$20:$F$24,2,FALSE)</f>
        <v>300,000-500,000</v>
      </c>
      <c r="AE164" s="32">
        <v>1</v>
      </c>
      <c r="AF164" s="55">
        <v>2</v>
      </c>
      <c r="AG164" s="55">
        <v>3</v>
      </c>
      <c r="AH164" s="55">
        <v>1</v>
      </c>
      <c r="AI164" s="55">
        <v>4</v>
      </c>
      <c r="AJ164" s="39" t="s">
        <v>104</v>
      </c>
      <c r="AK164" s="40">
        <v>2000</v>
      </c>
      <c r="AL164" s="24"/>
      <c r="AM164" s="24"/>
    </row>
    <row r="165" spans="1:39" hidden="1" x14ac:dyDescent="0.2">
      <c r="B165" s="50">
        <v>43686</v>
      </c>
      <c r="C165" s="35">
        <v>0.54305555555555551</v>
      </c>
      <c r="D165" s="35"/>
      <c r="E165" s="35" t="s">
        <v>111</v>
      </c>
      <c r="F165" s="37">
        <v>2</v>
      </c>
      <c r="G165" s="42" t="str">
        <f>VLOOKUP(F165,Key!$A$17:$B$21,2,FALSE)</f>
        <v>Road Vehicle</v>
      </c>
      <c r="H165" s="36">
        <v>6</v>
      </c>
      <c r="I165" s="43" t="str">
        <f>VLOOKUP(H165,Key!$A$2:$B$13,2,FALSE)</f>
        <v>Large Bus</v>
      </c>
      <c r="J165" s="37" t="s">
        <v>123</v>
      </c>
      <c r="K165" s="37">
        <v>2</v>
      </c>
      <c r="L165" s="45" t="str">
        <f>VLOOKUP(K165,Key!$A$24:$B$29,2,FALSE)</f>
        <v>30-39</v>
      </c>
      <c r="M165" s="37" t="s">
        <v>301</v>
      </c>
      <c r="N165" s="32" t="s">
        <v>302</v>
      </c>
      <c r="O165" s="37" t="s">
        <v>168</v>
      </c>
      <c r="P165" s="39">
        <v>2</v>
      </c>
      <c r="Q165" s="34" t="str">
        <f>VLOOKUP(P165,Key!$E$2:$F$9,2,FALSE)</f>
        <v>Work</v>
      </c>
      <c r="R165" s="37" t="s">
        <v>167</v>
      </c>
      <c r="S165" s="32" t="s">
        <v>167</v>
      </c>
      <c r="T165" s="37" t="s">
        <v>168</v>
      </c>
      <c r="U165" s="32">
        <v>2</v>
      </c>
      <c r="V165" s="34" t="str">
        <f>VLOOKUP(U165,Key!$E$2:$F$9,2,FALSE)</f>
        <v>Work</v>
      </c>
      <c r="W165" s="34" t="str">
        <f>Q165&amp;"-"&amp;V165</f>
        <v>Work-Work</v>
      </c>
      <c r="X165" s="47">
        <v>430000</v>
      </c>
      <c r="Y165" s="38">
        <v>130</v>
      </c>
      <c r="Z165" s="38">
        <v>5</v>
      </c>
      <c r="AA165" s="32">
        <v>10</v>
      </c>
      <c r="AB165" s="34" t="str">
        <f>VLOOKUP(AA165,Key!$C$20:$D$29,2,FALSE)</f>
        <v>Other</v>
      </c>
      <c r="AC165" s="32">
        <v>2</v>
      </c>
      <c r="AD165" s="34" t="str">
        <f>VLOOKUP(AC165,Key!$E$20:$F$24,2,FALSE)</f>
        <v>300,000-500,000</v>
      </c>
      <c r="AE165" s="32">
        <v>4</v>
      </c>
      <c r="AF165" s="55">
        <v>3</v>
      </c>
      <c r="AG165" s="55">
        <v>4</v>
      </c>
      <c r="AH165" s="55">
        <v>4</v>
      </c>
      <c r="AI165" s="55">
        <v>2</v>
      </c>
      <c r="AJ165" s="39" t="s">
        <v>104</v>
      </c>
      <c r="AK165" s="40"/>
      <c r="AL165" s="24"/>
      <c r="AM165" s="24"/>
    </row>
    <row r="166" spans="1:39" hidden="1" x14ac:dyDescent="0.2">
      <c r="B166" s="50">
        <v>43687</v>
      </c>
      <c r="C166" s="35">
        <v>0.72222222222222221</v>
      </c>
      <c r="D166" s="35"/>
      <c r="E166" s="35" t="s">
        <v>111</v>
      </c>
      <c r="F166" s="37">
        <v>2</v>
      </c>
      <c r="G166" s="42" t="str">
        <f>VLOOKUP(F166,Key!$A$17:$B$21,2,FALSE)</f>
        <v>Road Vehicle</v>
      </c>
      <c r="H166" s="36">
        <v>6</v>
      </c>
      <c r="I166" s="43" t="str">
        <f>VLOOKUP(H166,Key!$A$2:$B$13,2,FALSE)</f>
        <v>Large Bus</v>
      </c>
      <c r="J166" s="37" t="s">
        <v>166</v>
      </c>
      <c r="K166" s="37">
        <v>1</v>
      </c>
      <c r="L166" s="45" t="str">
        <f>VLOOKUP(K166,Key!$A$24:$B$29,2,FALSE)</f>
        <v>20-29</v>
      </c>
      <c r="M166" s="44" t="s">
        <v>220</v>
      </c>
      <c r="N166" s="44" t="s">
        <v>221</v>
      </c>
      <c r="O166" s="37" t="s">
        <v>168</v>
      </c>
      <c r="P166" s="39">
        <v>6</v>
      </c>
      <c r="Q166" s="34" t="str">
        <f>VLOOKUP(P166,Key!$E$2:$F$9,2,FALSE)</f>
        <v>Leisure/Social</v>
      </c>
      <c r="R166" s="37" t="s">
        <v>222</v>
      </c>
      <c r="S166" s="32" t="s">
        <v>176</v>
      </c>
      <c r="T166" s="37" t="s">
        <v>168</v>
      </c>
      <c r="U166" s="32">
        <v>1</v>
      </c>
      <c r="V166" s="34" t="str">
        <f>VLOOKUP(U166,Key!$E$2:$F$9,2,FALSE)</f>
        <v>Home</v>
      </c>
      <c r="W166" s="34" t="str">
        <f>Q166&amp;"-"&amp;V166</f>
        <v>Leisure/Social-Home</v>
      </c>
      <c r="X166" s="47">
        <v>80000</v>
      </c>
      <c r="Y166" s="38">
        <v>160</v>
      </c>
      <c r="Z166" s="38">
        <v>3</v>
      </c>
      <c r="AA166" s="32">
        <v>4</v>
      </c>
      <c r="AB166" s="34" t="str">
        <f>VLOOKUP(AA166,Key!$C$20:$D$29,2,FALSE)</f>
        <v>Office Worker</v>
      </c>
      <c r="AC166" s="32">
        <v>4</v>
      </c>
      <c r="AD166" s="34" t="str">
        <f>VLOOKUP(AC166,Key!$E$20:$F$24,2,FALSE)</f>
        <v>750,000-1,000,000</v>
      </c>
      <c r="AE166" s="32">
        <v>1</v>
      </c>
      <c r="AF166" s="55">
        <v>1</v>
      </c>
      <c r="AG166" s="55">
        <v>1</v>
      </c>
      <c r="AH166" s="55">
        <v>1</v>
      </c>
      <c r="AI166" s="55">
        <v>1</v>
      </c>
      <c r="AJ166" s="39" t="s">
        <v>104</v>
      </c>
      <c r="AK166" s="40">
        <v>10000</v>
      </c>
      <c r="AL166" s="24"/>
      <c r="AM166" s="24"/>
    </row>
    <row r="167" spans="1:39" hidden="1" x14ac:dyDescent="0.2">
      <c r="B167" s="50"/>
      <c r="C167" s="35"/>
      <c r="D167" s="35"/>
      <c r="E167" s="35"/>
      <c r="F167" s="37"/>
      <c r="G167" s="42"/>
      <c r="H167" s="36"/>
      <c r="I167" s="43"/>
      <c r="J167" s="37"/>
      <c r="K167" s="37"/>
      <c r="L167" s="45"/>
      <c r="M167" s="44"/>
      <c r="N167" s="44"/>
      <c r="O167" s="37"/>
      <c r="P167" s="39"/>
      <c r="Q167" s="34"/>
      <c r="R167" s="37"/>
      <c r="S167" s="32"/>
      <c r="T167" s="37"/>
      <c r="U167" s="32"/>
      <c r="V167" s="34"/>
      <c r="W167" s="34"/>
      <c r="X167" s="47"/>
      <c r="Y167" s="38"/>
      <c r="Z167" s="38"/>
      <c r="AA167" s="32"/>
      <c r="AB167" s="34"/>
      <c r="AC167" s="32"/>
      <c r="AD167" s="34"/>
      <c r="AE167" s="32"/>
      <c r="AF167" s="55"/>
      <c r="AG167" s="55"/>
      <c r="AH167" s="55"/>
      <c r="AI167" s="55"/>
      <c r="AJ167" s="39"/>
      <c r="AK167" s="40"/>
      <c r="AL167" s="24"/>
      <c r="AM167" s="24"/>
    </row>
    <row r="168" spans="1:39" hidden="1" x14ac:dyDescent="0.2">
      <c r="B168" s="50">
        <v>43689</v>
      </c>
      <c r="C168" s="35">
        <v>0.6333333333333333</v>
      </c>
      <c r="D168" s="35"/>
      <c r="E168" s="35" t="s">
        <v>111</v>
      </c>
      <c r="F168" s="37">
        <v>2</v>
      </c>
      <c r="G168" s="42" t="str">
        <f>VLOOKUP(F168,Key!$A$17:$B$21,2,FALSE)</f>
        <v>Road Vehicle</v>
      </c>
      <c r="H168" s="36">
        <v>7</v>
      </c>
      <c r="I168" s="43" t="str">
        <f>VLOOKUP(H168,Key!$A$2:$B$13,2,FALSE)</f>
        <v xml:space="preserve">Light Truck </v>
      </c>
      <c r="J168" s="37" t="s">
        <v>123</v>
      </c>
      <c r="K168" s="37">
        <v>2</v>
      </c>
      <c r="L168" s="45" t="str">
        <f>VLOOKUP(K168,Key!$A$24:$B$29,2,FALSE)</f>
        <v>30-39</v>
      </c>
      <c r="M168" s="37" t="s">
        <v>179</v>
      </c>
      <c r="N168" s="32" t="s">
        <v>179</v>
      </c>
      <c r="O168" s="37" t="s">
        <v>168</v>
      </c>
      <c r="P168" s="39">
        <v>2</v>
      </c>
      <c r="Q168" s="34" t="str">
        <f>VLOOKUP(P168,Key!$E$2:$F$9,2,FALSE)</f>
        <v>Work</v>
      </c>
      <c r="R168" s="37" t="s">
        <v>167</v>
      </c>
      <c r="S168" s="32" t="s">
        <v>167</v>
      </c>
      <c r="T168" s="37" t="s">
        <v>168</v>
      </c>
      <c r="U168" s="32">
        <v>4</v>
      </c>
      <c r="V168" s="34" t="str">
        <f>VLOOKUP(U168,Key!$E$2:$F$9,2,FALSE)</f>
        <v>Commercial</v>
      </c>
      <c r="W168" s="34" t="str">
        <f t="shared" ref="W168:W204" si="4">Q168&amp;"-"&amp;V168</f>
        <v>Work-Commercial</v>
      </c>
      <c r="X168" s="47">
        <v>35000</v>
      </c>
      <c r="Y168" s="38">
        <v>3.5</v>
      </c>
      <c r="Z168" s="38">
        <v>1</v>
      </c>
      <c r="AA168" s="32">
        <v>10</v>
      </c>
      <c r="AB168" s="34" t="str">
        <f>VLOOKUP(AA168,Key!$C$20:$D$29,2,FALSE)</f>
        <v>Other</v>
      </c>
      <c r="AC168" s="32">
        <v>2</v>
      </c>
      <c r="AD168" s="34" t="str">
        <f>VLOOKUP(AC168,Key!$E$20:$F$24,2,FALSE)</f>
        <v>300,000-500,000</v>
      </c>
      <c r="AE168" s="32">
        <v>2</v>
      </c>
      <c r="AF168" s="55">
        <v>3</v>
      </c>
      <c r="AG168" s="55">
        <v>2</v>
      </c>
      <c r="AH168" s="55">
        <v>1</v>
      </c>
      <c r="AI168" s="55">
        <v>3</v>
      </c>
      <c r="AJ168" s="39" t="s">
        <v>104</v>
      </c>
      <c r="AK168" s="40">
        <v>1000</v>
      </c>
      <c r="AL168" s="24"/>
      <c r="AM168" s="24"/>
    </row>
    <row r="169" spans="1:39" hidden="1" x14ac:dyDescent="0.2">
      <c r="B169" s="50">
        <v>43686</v>
      </c>
      <c r="C169" s="35">
        <v>0.6479166666666667</v>
      </c>
      <c r="D169" s="35"/>
      <c r="E169" s="35" t="s">
        <v>111</v>
      </c>
      <c r="F169" s="37">
        <v>2</v>
      </c>
      <c r="G169" s="42" t="str">
        <f>VLOOKUP(F169,Key!$A$17:$B$21,2,FALSE)</f>
        <v>Road Vehicle</v>
      </c>
      <c r="H169" s="36">
        <v>7</v>
      </c>
      <c r="I169" s="43" t="str">
        <f>VLOOKUP(H169,Key!$A$2:$B$13,2,FALSE)</f>
        <v xml:space="preserve">Light Truck </v>
      </c>
      <c r="J169" s="37" t="s">
        <v>123</v>
      </c>
      <c r="K169" s="37">
        <v>2</v>
      </c>
      <c r="L169" s="45" t="str">
        <f>VLOOKUP(K169,Key!$A$24:$B$29,2,FALSE)</f>
        <v>30-39</v>
      </c>
      <c r="M169" s="37" t="s">
        <v>216</v>
      </c>
      <c r="N169" s="32" t="s">
        <v>167</v>
      </c>
      <c r="O169" s="37" t="s">
        <v>168</v>
      </c>
      <c r="P169" s="39">
        <v>2</v>
      </c>
      <c r="Q169" s="34" t="str">
        <f>VLOOKUP(P169,Key!$E$2:$F$9,2,FALSE)</f>
        <v>Work</v>
      </c>
      <c r="R169" s="37" t="s">
        <v>303</v>
      </c>
      <c r="S169" s="32" t="s">
        <v>190</v>
      </c>
      <c r="T169" s="37" t="s">
        <v>168</v>
      </c>
      <c r="U169" s="32">
        <v>2</v>
      </c>
      <c r="V169" s="34" t="str">
        <f>VLOOKUP(U169,Key!$E$2:$F$9,2,FALSE)</f>
        <v>Work</v>
      </c>
      <c r="W169" s="34" t="str">
        <f t="shared" si="4"/>
        <v>Work-Work</v>
      </c>
      <c r="X169" s="47">
        <v>20000</v>
      </c>
      <c r="Y169" s="38">
        <v>11</v>
      </c>
      <c r="Z169" s="38">
        <v>1</v>
      </c>
      <c r="AA169" s="32">
        <v>6</v>
      </c>
      <c r="AB169" s="34" t="str">
        <f>VLOOKUP(AA169,Key!$C$20:$D$29,2,FALSE)</f>
        <v>Businessman</v>
      </c>
      <c r="AC169" s="32">
        <v>1</v>
      </c>
      <c r="AD169" s="34" t="str">
        <f>VLOOKUP(AC169,Key!$E$20:$F$24,2,FALSE)</f>
        <v>&lt;300,000</v>
      </c>
      <c r="AE169" s="32">
        <v>1</v>
      </c>
      <c r="AF169" s="55">
        <v>1</v>
      </c>
      <c r="AG169" s="55">
        <v>1</v>
      </c>
      <c r="AH169" s="55">
        <v>2</v>
      </c>
      <c r="AI169" s="55">
        <v>1</v>
      </c>
      <c r="AJ169" s="39" t="s">
        <v>104</v>
      </c>
      <c r="AK169" s="40">
        <v>2000</v>
      </c>
      <c r="AL169" s="24"/>
      <c r="AM169" s="24"/>
    </row>
    <row r="170" spans="1:39" hidden="1" x14ac:dyDescent="0.2">
      <c r="B170" s="50">
        <v>43686</v>
      </c>
      <c r="C170" s="35">
        <v>0.6479166666666667</v>
      </c>
      <c r="D170" s="35"/>
      <c r="E170" s="35" t="s">
        <v>111</v>
      </c>
      <c r="F170" s="37">
        <v>2</v>
      </c>
      <c r="G170" s="42" t="str">
        <f>VLOOKUP(F170,Key!$A$17:$B$21,2,FALSE)</f>
        <v>Road Vehicle</v>
      </c>
      <c r="H170" s="36">
        <v>7</v>
      </c>
      <c r="I170" s="43" t="str">
        <f>VLOOKUP(H170,Key!$A$2:$B$13,2,FALSE)</f>
        <v xml:space="preserve">Light Truck </v>
      </c>
      <c r="J170" s="37" t="s">
        <v>123</v>
      </c>
      <c r="K170" s="37">
        <v>3</v>
      </c>
      <c r="L170" s="45" t="str">
        <f>VLOOKUP(K170,Key!$A$24:$B$29,2,FALSE)</f>
        <v>40-49</v>
      </c>
      <c r="M170" s="37" t="s">
        <v>310</v>
      </c>
      <c r="N170" s="32" t="s">
        <v>167</v>
      </c>
      <c r="O170" s="37" t="s">
        <v>168</v>
      </c>
      <c r="P170" s="39">
        <v>2</v>
      </c>
      <c r="Q170" s="34" t="str">
        <f>VLOOKUP(P170,Key!$E$2:$F$9,2,FALSE)</f>
        <v>Work</v>
      </c>
      <c r="R170" s="37" t="s">
        <v>190</v>
      </c>
      <c r="S170" s="32" t="s">
        <v>190</v>
      </c>
      <c r="T170" s="37" t="s">
        <v>168</v>
      </c>
      <c r="U170" s="32">
        <v>2</v>
      </c>
      <c r="V170" s="34" t="str">
        <f>VLOOKUP(U170,Key!$E$2:$F$9,2,FALSE)</f>
        <v>Work</v>
      </c>
      <c r="W170" s="34" t="str">
        <f t="shared" si="4"/>
        <v>Work-Work</v>
      </c>
      <c r="X170" s="47">
        <v>100000</v>
      </c>
      <c r="Y170" s="38">
        <v>20</v>
      </c>
      <c r="Z170" s="38">
        <v>1</v>
      </c>
      <c r="AA170" s="32">
        <v>7</v>
      </c>
      <c r="AB170" s="34" t="str">
        <f>VLOOKUP(AA170,Key!$C$20:$D$29,2,FALSE)</f>
        <v>Farmer</v>
      </c>
      <c r="AC170" s="32">
        <v>2</v>
      </c>
      <c r="AD170" s="34" t="str">
        <f>VLOOKUP(AC170,Key!$E$20:$F$24,2,FALSE)</f>
        <v>300,000-500,000</v>
      </c>
      <c r="AE170" s="32">
        <v>1</v>
      </c>
      <c r="AF170" s="55">
        <v>2</v>
      </c>
      <c r="AG170" s="55">
        <v>1</v>
      </c>
      <c r="AH170" s="55"/>
      <c r="AI170" s="55"/>
      <c r="AJ170" s="39" t="s">
        <v>104</v>
      </c>
      <c r="AK170" s="40">
        <v>3000</v>
      </c>
      <c r="AL170" s="24"/>
      <c r="AM170" s="24"/>
    </row>
    <row r="171" spans="1:39" hidden="1" x14ac:dyDescent="0.2">
      <c r="A171" s="10"/>
      <c r="B171" s="50">
        <v>43687</v>
      </c>
      <c r="C171" s="35">
        <v>0.4513888888888889</v>
      </c>
      <c r="D171" s="35"/>
      <c r="E171" s="35" t="s">
        <v>111</v>
      </c>
      <c r="F171" s="37">
        <v>2</v>
      </c>
      <c r="G171" s="42" t="str">
        <f>VLOOKUP(F171,Key!$A$17:$B$21,2,FALSE)</f>
        <v>Road Vehicle</v>
      </c>
      <c r="H171" s="36">
        <v>7</v>
      </c>
      <c r="I171" s="43" t="str">
        <f>VLOOKUP(H171,Key!$A$2:$B$13,2,FALSE)</f>
        <v xml:space="preserve">Light Truck </v>
      </c>
      <c r="J171" s="37" t="s">
        <v>123</v>
      </c>
      <c r="K171" s="13">
        <v>2</v>
      </c>
      <c r="L171" s="45" t="str">
        <f>VLOOKUP(K171,Key!$A$24:$B$29,2,FALSE)</f>
        <v>30-39</v>
      </c>
      <c r="M171" s="44" t="s">
        <v>196</v>
      </c>
      <c r="N171" s="44" t="s">
        <v>167</v>
      </c>
      <c r="O171" s="37" t="s">
        <v>168</v>
      </c>
      <c r="P171" s="39">
        <v>2</v>
      </c>
      <c r="Q171" s="34" t="str">
        <f>VLOOKUP(P171,Key!$E$2:$F$9,2,FALSE)</f>
        <v>Work</v>
      </c>
      <c r="R171" s="37" t="s">
        <v>195</v>
      </c>
      <c r="S171" s="32" t="s">
        <v>190</v>
      </c>
      <c r="T171" s="37" t="s">
        <v>168</v>
      </c>
      <c r="U171" s="32">
        <v>4</v>
      </c>
      <c r="V171" s="34" t="str">
        <f>VLOOKUP(U171,Key!$E$2:$F$9,2,FALSE)</f>
        <v>Commercial</v>
      </c>
      <c r="W171" s="34" t="str">
        <f t="shared" si="4"/>
        <v>Work-Commercial</v>
      </c>
      <c r="X171" s="47">
        <v>25000</v>
      </c>
      <c r="Y171" s="38">
        <v>30</v>
      </c>
      <c r="Z171" s="38">
        <v>1</v>
      </c>
      <c r="AA171" s="32">
        <v>10</v>
      </c>
      <c r="AB171" s="34" t="str">
        <f>VLOOKUP(AA171,Key!$C$20:$D$29,2,FALSE)</f>
        <v>Other</v>
      </c>
      <c r="AC171" s="32">
        <v>2</v>
      </c>
      <c r="AD171" s="34" t="str">
        <f>VLOOKUP(AC171,Key!$E$20:$F$24,2,FALSE)</f>
        <v>300,000-500,000</v>
      </c>
      <c r="AE171" s="32">
        <v>1</v>
      </c>
      <c r="AF171" s="55">
        <v>1</v>
      </c>
      <c r="AG171" s="55">
        <v>1</v>
      </c>
      <c r="AH171" s="55">
        <v>1</v>
      </c>
      <c r="AI171" s="55">
        <v>1</v>
      </c>
      <c r="AJ171" s="39" t="s">
        <v>104</v>
      </c>
      <c r="AK171" s="40">
        <v>1000</v>
      </c>
      <c r="AL171" s="24"/>
      <c r="AM171" s="24"/>
    </row>
    <row r="172" spans="1:39" hidden="1" x14ac:dyDescent="0.2">
      <c r="B172" s="50">
        <v>43687</v>
      </c>
      <c r="C172" s="35">
        <v>0.44305555555555554</v>
      </c>
      <c r="D172" s="35"/>
      <c r="E172" s="35" t="s">
        <v>111</v>
      </c>
      <c r="F172" s="37">
        <v>2</v>
      </c>
      <c r="G172" s="42" t="str">
        <f>VLOOKUP(F172,Key!$A$17:$B$21,2,FALSE)</f>
        <v>Road Vehicle</v>
      </c>
      <c r="H172" s="36">
        <v>7</v>
      </c>
      <c r="I172" s="43" t="str">
        <f>VLOOKUP(H172,Key!$A$2:$B$13,2,FALSE)</f>
        <v xml:space="preserve">Light Truck </v>
      </c>
      <c r="J172" s="37" t="s">
        <v>123</v>
      </c>
      <c r="K172" s="37">
        <v>2</v>
      </c>
      <c r="L172" s="45" t="str">
        <f>VLOOKUP(K172,Key!$A$24:$B$29,2,FALSE)</f>
        <v>30-39</v>
      </c>
      <c r="M172" s="37" t="s">
        <v>179</v>
      </c>
      <c r="N172" s="32" t="s">
        <v>179</v>
      </c>
      <c r="O172" s="37" t="s">
        <v>168</v>
      </c>
      <c r="P172" s="39">
        <v>2</v>
      </c>
      <c r="Q172" s="34" t="str">
        <f>VLOOKUP(P172,Key!$E$2:$F$9,2,FALSE)</f>
        <v>Work</v>
      </c>
      <c r="R172" s="37" t="s">
        <v>167</v>
      </c>
      <c r="S172" s="32" t="s">
        <v>167</v>
      </c>
      <c r="T172" s="37" t="s">
        <v>168</v>
      </c>
      <c r="U172" s="32">
        <v>4</v>
      </c>
      <c r="V172" s="34" t="str">
        <f>VLOOKUP(U172,Key!$E$2:$F$9,2,FALSE)</f>
        <v>Commercial</v>
      </c>
      <c r="W172" s="34" t="str">
        <f t="shared" si="4"/>
        <v>Work-Commercial</v>
      </c>
      <c r="X172" s="47">
        <v>30000</v>
      </c>
      <c r="Y172" s="38">
        <v>35</v>
      </c>
      <c r="Z172" s="38">
        <v>1</v>
      </c>
      <c r="AA172" s="32">
        <v>10</v>
      </c>
      <c r="AB172" s="34" t="str">
        <f>VLOOKUP(AA172,Key!$C$20:$D$29,2,FALSE)</f>
        <v>Other</v>
      </c>
      <c r="AC172" s="32">
        <v>2</v>
      </c>
      <c r="AD172" s="34" t="str">
        <f>VLOOKUP(AC172,Key!$E$20:$F$24,2,FALSE)</f>
        <v>300,000-500,000</v>
      </c>
      <c r="AE172" s="32">
        <v>1</v>
      </c>
      <c r="AF172" s="55">
        <v>2</v>
      </c>
      <c r="AG172" s="55">
        <v>3</v>
      </c>
      <c r="AH172" s="55">
        <v>1</v>
      </c>
      <c r="AI172" s="55">
        <v>4</v>
      </c>
      <c r="AJ172" s="39" t="s">
        <v>104</v>
      </c>
      <c r="AK172" s="40"/>
      <c r="AL172" s="24"/>
      <c r="AM172" s="24"/>
    </row>
    <row r="173" spans="1:39" hidden="1" x14ac:dyDescent="0.2">
      <c r="B173" s="50">
        <v>43687</v>
      </c>
      <c r="C173" s="35">
        <v>0.47291666666666665</v>
      </c>
      <c r="D173" s="35"/>
      <c r="E173" s="35" t="s">
        <v>111</v>
      </c>
      <c r="F173" s="37">
        <v>2</v>
      </c>
      <c r="G173" s="42" t="str">
        <f>VLOOKUP(F173,Key!$A$17:$B$21,2,FALSE)</f>
        <v>Road Vehicle</v>
      </c>
      <c r="H173" s="36">
        <v>7</v>
      </c>
      <c r="I173" s="43" t="str">
        <f>VLOOKUP(H173,Key!$A$2:$B$13,2,FALSE)</f>
        <v xml:space="preserve">Light Truck </v>
      </c>
      <c r="J173" s="37" t="s">
        <v>123</v>
      </c>
      <c r="K173" s="37">
        <v>4</v>
      </c>
      <c r="L173" s="45" t="str">
        <f>VLOOKUP(K173,Key!$A$24:$B$29,2,FALSE)</f>
        <v>50-59</v>
      </c>
      <c r="M173" s="37" t="s">
        <v>225</v>
      </c>
      <c r="N173" s="32" t="s">
        <v>190</v>
      </c>
      <c r="O173" s="37" t="s">
        <v>168</v>
      </c>
      <c r="P173" s="39">
        <v>2</v>
      </c>
      <c r="Q173" s="34" t="str">
        <f>VLOOKUP(P173,Key!$E$2:$F$9,2,FALSE)</f>
        <v>Work</v>
      </c>
      <c r="R173" s="37" t="s">
        <v>267</v>
      </c>
      <c r="S173" s="32" t="s">
        <v>167</v>
      </c>
      <c r="T173" s="37" t="s">
        <v>168</v>
      </c>
      <c r="U173" s="32">
        <v>2</v>
      </c>
      <c r="V173" s="34" t="str">
        <f>VLOOKUP(U173,Key!$E$2:$F$9,2,FALSE)</f>
        <v>Work</v>
      </c>
      <c r="W173" s="34" t="str">
        <f t="shared" si="4"/>
        <v>Work-Work</v>
      </c>
      <c r="X173" s="47">
        <v>300000</v>
      </c>
      <c r="Y173" s="38">
        <v>38</v>
      </c>
      <c r="Z173" s="38">
        <v>8</v>
      </c>
      <c r="AA173" s="32">
        <v>10</v>
      </c>
      <c r="AB173" s="34" t="str">
        <f>VLOOKUP(AA173,Key!$C$20:$D$29,2,FALSE)</f>
        <v>Other</v>
      </c>
      <c r="AC173" s="32">
        <v>3</v>
      </c>
      <c r="AD173" s="34" t="str">
        <f>VLOOKUP(AC173,Key!$E$20:$F$24,2,FALSE)</f>
        <v>500,000-750,000</v>
      </c>
      <c r="AE173" s="32">
        <v>1</v>
      </c>
      <c r="AF173" s="55">
        <v>1</v>
      </c>
      <c r="AG173" s="55">
        <v>1</v>
      </c>
      <c r="AH173" s="55">
        <v>1</v>
      </c>
      <c r="AI173" s="55">
        <v>1</v>
      </c>
      <c r="AJ173" s="39" t="s">
        <v>104</v>
      </c>
      <c r="AK173" s="40">
        <v>3000</v>
      </c>
      <c r="AL173" s="24"/>
      <c r="AM173" s="24"/>
    </row>
    <row r="174" spans="1:39" hidden="1" x14ac:dyDescent="0.2">
      <c r="B174" s="50">
        <v>43686</v>
      </c>
      <c r="C174" s="35">
        <v>0.69097222222222221</v>
      </c>
      <c r="D174" s="35"/>
      <c r="E174" s="35" t="s">
        <v>111</v>
      </c>
      <c r="F174" s="37">
        <v>2</v>
      </c>
      <c r="G174" s="42" t="str">
        <f>VLOOKUP(F174,Key!$A$17:$B$21,2,FALSE)</f>
        <v>Road Vehicle</v>
      </c>
      <c r="H174" s="36">
        <v>7</v>
      </c>
      <c r="I174" s="43" t="str">
        <f>VLOOKUP(H174,Key!$A$2:$B$13,2,FALSE)</f>
        <v xml:space="preserve">Light Truck </v>
      </c>
      <c r="J174" s="37" t="s">
        <v>123</v>
      </c>
      <c r="K174" s="37">
        <v>2</v>
      </c>
      <c r="L174" s="45" t="str">
        <f>VLOOKUP(K174,Key!$A$24:$B$29,2,FALSE)</f>
        <v>30-39</v>
      </c>
      <c r="M174" s="37" t="s">
        <v>179</v>
      </c>
      <c r="N174" s="32" t="s">
        <v>179</v>
      </c>
      <c r="O174" s="37" t="s">
        <v>168</v>
      </c>
      <c r="P174" s="39">
        <v>2</v>
      </c>
      <c r="Q174" s="34" t="str">
        <f>VLOOKUP(P174,Key!$E$2:$F$9,2,FALSE)</f>
        <v>Work</v>
      </c>
      <c r="R174" s="37" t="s">
        <v>167</v>
      </c>
      <c r="S174" s="32" t="s">
        <v>167</v>
      </c>
      <c r="T174" s="37" t="s">
        <v>168</v>
      </c>
      <c r="U174" s="32">
        <v>2</v>
      </c>
      <c r="V174" s="34" t="str">
        <f>VLOOKUP(U174,Key!$E$2:$F$9,2,FALSE)</f>
        <v>Work</v>
      </c>
      <c r="W174" s="34" t="str">
        <f t="shared" si="4"/>
        <v>Work-Work</v>
      </c>
      <c r="X174" s="47">
        <v>20000</v>
      </c>
      <c r="Y174" s="38">
        <v>40</v>
      </c>
      <c r="Z174" s="38">
        <v>1</v>
      </c>
      <c r="AA174" s="32">
        <v>10</v>
      </c>
      <c r="AB174" s="34" t="str">
        <f>VLOOKUP(AA174,Key!$C$20:$D$29,2,FALSE)</f>
        <v>Other</v>
      </c>
      <c r="AC174" s="32">
        <v>2</v>
      </c>
      <c r="AD174" s="34" t="str">
        <f>VLOOKUP(AC174,Key!$E$20:$F$24,2,FALSE)</f>
        <v>300,000-500,000</v>
      </c>
      <c r="AE174" s="32">
        <v>3</v>
      </c>
      <c r="AF174" s="55">
        <v>2</v>
      </c>
      <c r="AG174" s="55">
        <v>5</v>
      </c>
      <c r="AH174" s="55">
        <v>1</v>
      </c>
      <c r="AI174" s="55">
        <v>4</v>
      </c>
      <c r="AJ174" s="39" t="s">
        <v>104</v>
      </c>
      <c r="AK174" s="40"/>
      <c r="AL174" s="24"/>
      <c r="AM174" s="24"/>
    </row>
    <row r="175" spans="1:39" hidden="1" x14ac:dyDescent="0.2">
      <c r="B175" s="50">
        <v>43690</v>
      </c>
      <c r="C175" s="35">
        <v>0.69791666666666663</v>
      </c>
      <c r="D175" s="35"/>
      <c r="E175" s="35" t="s">
        <v>111</v>
      </c>
      <c r="F175" s="37">
        <v>2</v>
      </c>
      <c r="G175" s="42" t="str">
        <f>VLOOKUP(F175,Key!$A$17:$B$21,2,FALSE)</f>
        <v>Road Vehicle</v>
      </c>
      <c r="H175" s="36">
        <v>7</v>
      </c>
      <c r="I175" s="43" t="str">
        <f>VLOOKUP(H175,Key!$A$2:$B$13,2,FALSE)</f>
        <v xml:space="preserve">Light Truck </v>
      </c>
      <c r="J175" s="37" t="s">
        <v>123</v>
      </c>
      <c r="K175" s="37">
        <v>2</v>
      </c>
      <c r="L175" s="45" t="str">
        <f>VLOOKUP(K175,Key!$A$24:$B$29,2,FALSE)</f>
        <v>30-39</v>
      </c>
      <c r="M175" s="37" t="s">
        <v>297</v>
      </c>
      <c r="N175" s="32" t="s">
        <v>167</v>
      </c>
      <c r="O175" s="37" t="s">
        <v>168</v>
      </c>
      <c r="P175" s="39">
        <v>4</v>
      </c>
      <c r="Q175" s="34" t="str">
        <f>VLOOKUP(P175,Key!$E$2:$F$9,2,FALSE)</f>
        <v>Commercial</v>
      </c>
      <c r="R175" s="37" t="s">
        <v>190</v>
      </c>
      <c r="S175" s="32" t="s">
        <v>190</v>
      </c>
      <c r="T175" s="37" t="s">
        <v>168</v>
      </c>
      <c r="U175" s="32">
        <v>4</v>
      </c>
      <c r="V175" s="34" t="str">
        <f>VLOOKUP(U175,Key!$E$2:$F$9,2,FALSE)</f>
        <v>Commercial</v>
      </c>
      <c r="W175" s="34" t="str">
        <f t="shared" si="4"/>
        <v>Commercial-Commercial</v>
      </c>
      <c r="X175" s="47">
        <v>70000</v>
      </c>
      <c r="Y175" s="38">
        <v>40</v>
      </c>
      <c r="Z175" s="38">
        <v>2</v>
      </c>
      <c r="AA175" s="32">
        <v>10</v>
      </c>
      <c r="AB175" s="34" t="str">
        <f>VLOOKUP(AA175,Key!$C$20:$D$29,2,FALSE)</f>
        <v>Other</v>
      </c>
      <c r="AC175" s="32">
        <v>1</v>
      </c>
      <c r="AD175" s="34" t="str">
        <f>VLOOKUP(AC175,Key!$E$20:$F$24,2,FALSE)</f>
        <v>&lt;300,000</v>
      </c>
      <c r="AE175" s="32">
        <v>1</v>
      </c>
      <c r="AF175" s="55">
        <v>1</v>
      </c>
      <c r="AG175" s="55">
        <v>1</v>
      </c>
      <c r="AH175" s="55">
        <v>1</v>
      </c>
      <c r="AI175" s="55">
        <v>1</v>
      </c>
      <c r="AJ175" s="39" t="s">
        <v>104</v>
      </c>
      <c r="AK175" s="40">
        <v>3000</v>
      </c>
      <c r="AL175" s="24"/>
      <c r="AM175" s="24"/>
    </row>
    <row r="176" spans="1:39" hidden="1" x14ac:dyDescent="0.2">
      <c r="B176" s="50">
        <v>43690</v>
      </c>
      <c r="C176" s="35">
        <v>0.4375</v>
      </c>
      <c r="D176" s="35"/>
      <c r="E176" s="35" t="s">
        <v>111</v>
      </c>
      <c r="F176" s="37">
        <v>2</v>
      </c>
      <c r="G176" s="42" t="str">
        <f>VLOOKUP(F176,Key!$A$17:$B$21,2,FALSE)</f>
        <v>Road Vehicle</v>
      </c>
      <c r="H176" s="36">
        <v>7</v>
      </c>
      <c r="I176" s="43" t="str">
        <f>VLOOKUP(H176,Key!$A$2:$B$13,2,FALSE)</f>
        <v xml:space="preserve">Light Truck </v>
      </c>
      <c r="J176" s="37" t="s">
        <v>123</v>
      </c>
      <c r="K176" s="37">
        <v>3</v>
      </c>
      <c r="L176" s="45" t="str">
        <f>VLOOKUP(K176,Key!$A$24:$B$29,2,FALSE)</f>
        <v>40-49</v>
      </c>
      <c r="M176" s="37" t="s">
        <v>188</v>
      </c>
      <c r="N176" s="32" t="s">
        <v>188</v>
      </c>
      <c r="O176" s="37" t="s">
        <v>168</v>
      </c>
      <c r="P176" s="39">
        <v>4</v>
      </c>
      <c r="Q176" s="34" t="str">
        <f>VLOOKUP(P176,Key!$E$2:$F$9,2,FALSE)</f>
        <v>Commercial</v>
      </c>
      <c r="R176" s="37" t="s">
        <v>187</v>
      </c>
      <c r="S176" s="32" t="s">
        <v>167</v>
      </c>
      <c r="T176" s="37" t="s">
        <v>168</v>
      </c>
      <c r="U176" s="32">
        <v>4</v>
      </c>
      <c r="V176" s="34" t="str">
        <f>VLOOKUP(U176,Key!$E$2:$F$9,2,FALSE)</f>
        <v>Commercial</v>
      </c>
      <c r="W176" s="34" t="str">
        <f t="shared" si="4"/>
        <v>Commercial-Commercial</v>
      </c>
      <c r="X176" s="47">
        <v>100000</v>
      </c>
      <c r="Y176" s="38">
        <v>40</v>
      </c>
      <c r="Z176" s="38">
        <v>2</v>
      </c>
      <c r="AA176" s="32">
        <v>10</v>
      </c>
      <c r="AB176" s="34" t="str">
        <f>VLOOKUP(AA176,Key!$C$20:$D$29,2,FALSE)</f>
        <v>Other</v>
      </c>
      <c r="AC176" s="32">
        <v>2</v>
      </c>
      <c r="AD176" s="34" t="str">
        <f>VLOOKUP(AC176,Key!$E$20:$F$24,2,FALSE)</f>
        <v>300,000-500,000</v>
      </c>
      <c r="AE176" s="32">
        <v>1</v>
      </c>
      <c r="AF176" s="55">
        <v>1</v>
      </c>
      <c r="AG176" s="55">
        <v>1</v>
      </c>
      <c r="AH176" s="55">
        <v>1</v>
      </c>
      <c r="AI176" s="55">
        <v>1</v>
      </c>
      <c r="AJ176" s="39" t="s">
        <v>104</v>
      </c>
      <c r="AK176" s="40">
        <v>2000</v>
      </c>
      <c r="AL176" s="24"/>
      <c r="AM176" s="24"/>
    </row>
    <row r="177" spans="1:39" hidden="1" x14ac:dyDescent="0.2">
      <c r="B177" s="50">
        <v>43687</v>
      </c>
      <c r="C177" s="35">
        <v>0.44444444444444442</v>
      </c>
      <c r="D177" s="35"/>
      <c r="E177" s="35" t="s">
        <v>111</v>
      </c>
      <c r="F177" s="37">
        <v>2</v>
      </c>
      <c r="G177" s="42" t="str">
        <f>VLOOKUP(F177,Key!$A$17:$B$21,2,FALSE)</f>
        <v>Road Vehicle</v>
      </c>
      <c r="H177" s="36">
        <v>7</v>
      </c>
      <c r="I177" s="43" t="str">
        <f>VLOOKUP(H177,Key!$A$2:$B$13,2,FALSE)</f>
        <v xml:space="preserve">Light Truck </v>
      </c>
      <c r="J177" s="37" t="s">
        <v>123</v>
      </c>
      <c r="K177" s="37">
        <v>4</v>
      </c>
      <c r="L177" s="45" t="str">
        <f>VLOOKUP(K177,Key!$A$24:$B$29,2,FALSE)</f>
        <v>50-59</v>
      </c>
      <c r="M177" s="37"/>
      <c r="N177" s="32"/>
      <c r="O177" s="37" t="s">
        <v>168</v>
      </c>
      <c r="P177" s="39">
        <v>4</v>
      </c>
      <c r="Q177" s="34" t="str">
        <f>VLOOKUP(P177,Key!$E$2:$F$9,2,FALSE)</f>
        <v>Commercial</v>
      </c>
      <c r="R177" s="37"/>
      <c r="S177" s="32"/>
      <c r="T177" s="37" t="s">
        <v>168</v>
      </c>
      <c r="U177" s="32">
        <v>4</v>
      </c>
      <c r="V177" s="34" t="str">
        <f>VLOOKUP(U177,Key!$E$2:$F$9,2,FALSE)</f>
        <v>Commercial</v>
      </c>
      <c r="W177" s="34" t="str">
        <f t="shared" si="4"/>
        <v>Commercial-Commercial</v>
      </c>
      <c r="X177" s="47">
        <v>60000</v>
      </c>
      <c r="Y177" s="38">
        <v>40</v>
      </c>
      <c r="Z177" s="38">
        <v>2</v>
      </c>
      <c r="AA177" s="32">
        <v>6</v>
      </c>
      <c r="AB177" s="34" t="str">
        <f>VLOOKUP(AA177,Key!$C$20:$D$29,2,FALSE)</f>
        <v>Businessman</v>
      </c>
      <c r="AC177" s="32">
        <v>2</v>
      </c>
      <c r="AD177" s="34" t="str">
        <f>VLOOKUP(AC177,Key!$E$20:$F$24,2,FALSE)</f>
        <v>300,000-500,000</v>
      </c>
      <c r="AE177" s="32">
        <v>1</v>
      </c>
      <c r="AF177" s="55">
        <v>1</v>
      </c>
      <c r="AG177" s="55">
        <v>2</v>
      </c>
      <c r="AH177" s="55">
        <v>1</v>
      </c>
      <c r="AI177" s="55">
        <v>1</v>
      </c>
      <c r="AJ177" s="39" t="s">
        <v>104</v>
      </c>
      <c r="AK177" s="40">
        <v>2000</v>
      </c>
      <c r="AL177" s="24"/>
      <c r="AM177" s="24"/>
    </row>
    <row r="178" spans="1:39" x14ac:dyDescent="0.2">
      <c r="B178" s="50">
        <v>43686</v>
      </c>
      <c r="C178" s="35">
        <v>0.64374999999999993</v>
      </c>
      <c r="D178" s="35"/>
      <c r="E178" s="35" t="s">
        <v>111</v>
      </c>
      <c r="F178" s="37">
        <v>2</v>
      </c>
      <c r="G178" s="42" t="str">
        <f>VLOOKUP(F178,Key!$A$17:$B$21,2,FALSE)</f>
        <v>Road Vehicle</v>
      </c>
      <c r="H178" s="36">
        <v>7</v>
      </c>
      <c r="I178" s="43" t="str">
        <f>VLOOKUP(H178,Key!$A$2:$B$13,2,FALSE)</f>
        <v xml:space="preserve">Light Truck </v>
      </c>
      <c r="J178" s="37" t="s">
        <v>123</v>
      </c>
      <c r="K178" s="13">
        <v>2</v>
      </c>
      <c r="L178" s="45" t="str">
        <f>VLOOKUP(K178,Key!$A$24:$B$29,2,FALSE)</f>
        <v>30-39</v>
      </c>
      <c r="M178" s="44" t="s">
        <v>173</v>
      </c>
      <c r="N178" s="32" t="s">
        <v>173</v>
      </c>
      <c r="O178" s="37" t="s">
        <v>168</v>
      </c>
      <c r="P178" s="39">
        <v>1</v>
      </c>
      <c r="Q178" s="34" t="str">
        <f>VLOOKUP(P178,Key!$E$2:$F$9,2,FALSE)</f>
        <v>Home</v>
      </c>
      <c r="R178" s="37" t="s">
        <v>167</v>
      </c>
      <c r="S178" s="32" t="s">
        <v>167</v>
      </c>
      <c r="T178" s="37" t="s">
        <v>168</v>
      </c>
      <c r="U178" s="32">
        <v>4</v>
      </c>
      <c r="V178" s="34" t="str">
        <f>VLOOKUP(U178,Key!$E$2:$F$9,2,FALSE)</f>
        <v>Commercial</v>
      </c>
      <c r="W178" s="34" t="str">
        <f t="shared" si="4"/>
        <v>Home-Commercial</v>
      </c>
      <c r="X178" s="47">
        <v>40000</v>
      </c>
      <c r="Y178" s="38">
        <v>60</v>
      </c>
      <c r="Z178" s="38">
        <v>1</v>
      </c>
      <c r="AA178" s="32">
        <v>10</v>
      </c>
      <c r="AB178" s="34" t="str">
        <f>VLOOKUP(AA178,Key!$C$20:$D$29,2,FALSE)</f>
        <v>Other</v>
      </c>
      <c r="AC178" s="32">
        <v>2</v>
      </c>
      <c r="AD178" s="34" t="str">
        <f>VLOOKUP(AC178,Key!$E$20:$F$24,2,FALSE)</f>
        <v>300,000-500,000</v>
      </c>
      <c r="AE178" s="32">
        <v>2</v>
      </c>
      <c r="AF178" s="55">
        <v>3</v>
      </c>
      <c r="AG178" s="55">
        <v>5</v>
      </c>
      <c r="AH178" s="55">
        <v>1</v>
      </c>
      <c r="AI178" s="55">
        <v>4</v>
      </c>
      <c r="AJ178" s="39" t="s">
        <v>104</v>
      </c>
      <c r="AK178" s="40"/>
      <c r="AL178" s="24"/>
      <c r="AM178" s="24"/>
    </row>
    <row r="179" spans="1:39" x14ac:dyDescent="0.2">
      <c r="B179" s="50">
        <v>43688</v>
      </c>
      <c r="C179" s="35">
        <v>0.62638888888888888</v>
      </c>
      <c r="D179" s="35"/>
      <c r="E179" s="35" t="s">
        <v>111</v>
      </c>
      <c r="F179" s="37">
        <v>2</v>
      </c>
      <c r="G179" s="42" t="str">
        <f>VLOOKUP(F179,Key!$A$17:$B$21,2,FALSE)</f>
        <v>Road Vehicle</v>
      </c>
      <c r="H179" s="36">
        <v>7</v>
      </c>
      <c r="I179" s="43" t="str">
        <f>VLOOKUP(H179,Key!$A$2:$B$13,2,FALSE)</f>
        <v xml:space="preserve">Light Truck </v>
      </c>
      <c r="J179" s="37" t="s">
        <v>123</v>
      </c>
      <c r="K179" s="13">
        <v>2</v>
      </c>
      <c r="L179" s="45" t="str">
        <f>VLOOKUP(K179,Key!$A$24:$B$29,2,FALSE)</f>
        <v>30-39</v>
      </c>
      <c r="M179" s="37" t="s">
        <v>173</v>
      </c>
      <c r="N179" s="32" t="s">
        <v>173</v>
      </c>
      <c r="O179" s="37" t="s">
        <v>168</v>
      </c>
      <c r="P179" s="39">
        <v>2</v>
      </c>
      <c r="Q179" s="34" t="str">
        <f>VLOOKUP(P179,Key!$E$2:$F$9,2,FALSE)</f>
        <v>Work</v>
      </c>
      <c r="R179" s="37" t="s">
        <v>167</v>
      </c>
      <c r="S179" s="32" t="s">
        <v>167</v>
      </c>
      <c r="T179" s="37" t="s">
        <v>168</v>
      </c>
      <c r="U179" s="32">
        <v>4</v>
      </c>
      <c r="V179" s="34" t="str">
        <f>VLOOKUP(U179,Key!$E$2:$F$9,2,FALSE)</f>
        <v>Commercial</v>
      </c>
      <c r="W179" s="34" t="str">
        <f t="shared" si="4"/>
        <v>Work-Commercial</v>
      </c>
      <c r="X179" s="47">
        <v>35000</v>
      </c>
      <c r="Y179" s="38">
        <v>60</v>
      </c>
      <c r="Z179" s="38">
        <v>1</v>
      </c>
      <c r="AA179" s="32">
        <v>10</v>
      </c>
      <c r="AB179" s="34" t="str">
        <f>VLOOKUP(AA179,Key!$C$20:$D$29,2,FALSE)</f>
        <v>Other</v>
      </c>
      <c r="AC179" s="32">
        <v>2</v>
      </c>
      <c r="AD179" s="34" t="str">
        <f>VLOOKUP(AC179,Key!$E$20:$F$24,2,FALSE)</f>
        <v>300,000-500,000</v>
      </c>
      <c r="AE179" s="32">
        <v>2</v>
      </c>
      <c r="AF179" s="55">
        <v>3</v>
      </c>
      <c r="AG179" s="55">
        <v>3</v>
      </c>
      <c r="AH179" s="55">
        <v>1</v>
      </c>
      <c r="AI179" s="55">
        <v>4</v>
      </c>
      <c r="AJ179" s="39" t="s">
        <v>104</v>
      </c>
      <c r="AK179" s="40">
        <v>3000</v>
      </c>
      <c r="AL179" s="24"/>
      <c r="AM179" s="24"/>
    </row>
    <row r="180" spans="1:39" x14ac:dyDescent="0.2">
      <c r="B180" s="50">
        <v>43690</v>
      </c>
      <c r="C180" s="35">
        <v>0.55902777777777779</v>
      </c>
      <c r="D180" s="35"/>
      <c r="E180" s="35" t="s">
        <v>111</v>
      </c>
      <c r="F180" s="37">
        <v>2</v>
      </c>
      <c r="G180" s="42" t="str">
        <f>VLOOKUP(F180,Key!$A$17:$B$21,2,FALSE)</f>
        <v>Road Vehicle</v>
      </c>
      <c r="H180" s="36">
        <v>7</v>
      </c>
      <c r="I180" s="43" t="str">
        <f>VLOOKUP(H180,Key!$A$2:$B$13,2,FALSE)</f>
        <v xml:space="preserve">Light Truck </v>
      </c>
      <c r="J180" s="37" t="s">
        <v>123</v>
      </c>
      <c r="K180" s="13">
        <v>2</v>
      </c>
      <c r="L180" s="45" t="str">
        <f>VLOOKUP(K180,Key!$A$24:$B$29,2,FALSE)</f>
        <v>30-39</v>
      </c>
      <c r="M180" s="37" t="s">
        <v>173</v>
      </c>
      <c r="N180" s="32" t="s">
        <v>173</v>
      </c>
      <c r="O180" s="37" t="s">
        <v>168</v>
      </c>
      <c r="P180" s="39">
        <v>1</v>
      </c>
      <c r="Q180" s="34" t="str">
        <f>VLOOKUP(P180,Key!$E$2:$F$9,2,FALSE)</f>
        <v>Home</v>
      </c>
      <c r="R180" s="37" t="s">
        <v>167</v>
      </c>
      <c r="S180" s="32" t="s">
        <v>167</v>
      </c>
      <c r="T180" s="37" t="s">
        <v>168</v>
      </c>
      <c r="U180" s="32">
        <v>2</v>
      </c>
      <c r="V180" s="34" t="str">
        <f>VLOOKUP(U180,Key!$E$2:$F$9,2,FALSE)</f>
        <v>Work</v>
      </c>
      <c r="W180" s="34" t="str">
        <f t="shared" si="4"/>
        <v>Home-Work</v>
      </c>
      <c r="X180" s="47">
        <v>40000</v>
      </c>
      <c r="Y180" s="38">
        <v>60</v>
      </c>
      <c r="Z180" s="38">
        <v>1</v>
      </c>
      <c r="AA180" s="32">
        <v>10</v>
      </c>
      <c r="AB180" s="34" t="str">
        <f>VLOOKUP(AA180,Key!$C$20:$D$29,2,FALSE)</f>
        <v>Other</v>
      </c>
      <c r="AC180" s="32">
        <v>2</v>
      </c>
      <c r="AD180" s="34" t="str">
        <f>VLOOKUP(AC180,Key!$E$20:$F$24,2,FALSE)</f>
        <v>300,000-500,000</v>
      </c>
      <c r="AE180" s="32">
        <v>2</v>
      </c>
      <c r="AF180" s="55">
        <v>3</v>
      </c>
      <c r="AG180" s="55">
        <v>1</v>
      </c>
      <c r="AH180" s="55">
        <v>1</v>
      </c>
      <c r="AI180" s="55">
        <v>3</v>
      </c>
      <c r="AJ180" s="39" t="s">
        <v>104</v>
      </c>
      <c r="AK180" s="40">
        <v>2000</v>
      </c>
      <c r="AL180" s="24"/>
      <c r="AM180" s="24"/>
    </row>
    <row r="181" spans="1:39" x14ac:dyDescent="0.2">
      <c r="B181" s="50">
        <v>43687</v>
      </c>
      <c r="C181" s="35">
        <v>0.50694444444444442</v>
      </c>
      <c r="D181" s="35"/>
      <c r="E181" s="35" t="s">
        <v>111</v>
      </c>
      <c r="F181" s="37">
        <v>2</v>
      </c>
      <c r="G181" s="42" t="str">
        <f>VLOOKUP(F181,Key!$A$17:$B$21,2,FALSE)</f>
        <v>Road Vehicle</v>
      </c>
      <c r="H181" s="36">
        <v>7</v>
      </c>
      <c r="I181" s="43" t="str">
        <f>VLOOKUP(H181,Key!$A$2:$B$13,2,FALSE)</f>
        <v xml:space="preserve">Light Truck </v>
      </c>
      <c r="J181" s="37" t="s">
        <v>123</v>
      </c>
      <c r="K181" s="13">
        <v>2</v>
      </c>
      <c r="L181" s="45" t="str">
        <f>VLOOKUP(K181,Key!$A$24:$B$29,2,FALSE)</f>
        <v>30-39</v>
      </c>
      <c r="M181" s="37" t="s">
        <v>173</v>
      </c>
      <c r="N181" s="32" t="s">
        <v>173</v>
      </c>
      <c r="O181" s="37" t="s">
        <v>168</v>
      </c>
      <c r="P181" s="39">
        <v>2</v>
      </c>
      <c r="Q181" s="34" t="str">
        <f>VLOOKUP(P181,Key!$E$2:$F$9,2,FALSE)</f>
        <v>Work</v>
      </c>
      <c r="R181" s="37" t="s">
        <v>297</v>
      </c>
      <c r="S181" s="32" t="s">
        <v>167</v>
      </c>
      <c r="T181" s="37" t="s">
        <v>168</v>
      </c>
      <c r="U181" s="32">
        <v>4</v>
      </c>
      <c r="V181" s="34" t="str">
        <f>VLOOKUP(U181,Key!$E$2:$F$9,2,FALSE)</f>
        <v>Commercial</v>
      </c>
      <c r="W181" s="34" t="str">
        <f t="shared" si="4"/>
        <v>Work-Commercial</v>
      </c>
      <c r="X181" s="47">
        <v>40000</v>
      </c>
      <c r="Y181" s="38">
        <v>60</v>
      </c>
      <c r="Z181" s="38">
        <v>1.5</v>
      </c>
      <c r="AA181" s="32">
        <v>10</v>
      </c>
      <c r="AB181" s="34" t="str">
        <f>VLOOKUP(AA181,Key!$C$20:$D$29,2,FALSE)</f>
        <v>Other</v>
      </c>
      <c r="AC181" s="32">
        <v>2</v>
      </c>
      <c r="AD181" s="34" t="str">
        <f>VLOOKUP(AC181,Key!$E$20:$F$24,2,FALSE)</f>
        <v>300,000-500,000</v>
      </c>
      <c r="AE181" s="32">
        <v>1</v>
      </c>
      <c r="AF181" s="55">
        <v>3</v>
      </c>
      <c r="AG181" s="55">
        <v>4</v>
      </c>
      <c r="AH181" s="55">
        <v>2</v>
      </c>
      <c r="AI181" s="55">
        <v>2</v>
      </c>
      <c r="AJ181" s="39" t="s">
        <v>104</v>
      </c>
      <c r="AK181" s="40">
        <v>5000</v>
      </c>
      <c r="AL181" s="24"/>
      <c r="AM181" s="24"/>
    </row>
    <row r="182" spans="1:39" x14ac:dyDescent="0.2">
      <c r="B182" s="50">
        <v>43690</v>
      </c>
      <c r="C182" s="35">
        <v>0.44375000000000003</v>
      </c>
      <c r="D182" s="35"/>
      <c r="E182" s="35" t="s">
        <v>111</v>
      </c>
      <c r="F182" s="37">
        <v>2</v>
      </c>
      <c r="G182" s="42" t="str">
        <f>VLOOKUP(F182,Key!$A$17:$B$21,2,FALSE)</f>
        <v>Road Vehicle</v>
      </c>
      <c r="H182" s="36">
        <v>7</v>
      </c>
      <c r="I182" s="43" t="str">
        <f>VLOOKUP(H182,Key!$A$2:$B$13,2,FALSE)</f>
        <v xml:space="preserve">Light Truck </v>
      </c>
      <c r="J182" s="37" t="s">
        <v>123</v>
      </c>
      <c r="K182" s="13">
        <v>2</v>
      </c>
      <c r="L182" s="45" t="str">
        <f>VLOOKUP(K182,Key!$A$24:$B$29,2,FALSE)</f>
        <v>30-39</v>
      </c>
      <c r="M182" s="37" t="s">
        <v>300</v>
      </c>
      <c r="N182" s="32" t="s">
        <v>300</v>
      </c>
      <c r="O182" s="37" t="s">
        <v>168</v>
      </c>
      <c r="P182" s="39">
        <v>1</v>
      </c>
      <c r="Q182" s="34" t="str">
        <f>VLOOKUP(P182,Key!$E$2:$F$9,2,FALSE)</f>
        <v>Home</v>
      </c>
      <c r="R182" s="37" t="s">
        <v>167</v>
      </c>
      <c r="S182" s="32" t="s">
        <v>167</v>
      </c>
      <c r="T182" s="37" t="s">
        <v>168</v>
      </c>
      <c r="U182" s="32">
        <v>2</v>
      </c>
      <c r="V182" s="34" t="str">
        <f>VLOOKUP(U182,Key!$E$2:$F$9,2,FALSE)</f>
        <v>Work</v>
      </c>
      <c r="W182" s="34" t="str">
        <f t="shared" si="4"/>
        <v>Home-Work</v>
      </c>
      <c r="X182" s="47">
        <v>30000</v>
      </c>
      <c r="Y182" s="38">
        <v>60</v>
      </c>
      <c r="Z182" s="38">
        <v>1.5</v>
      </c>
      <c r="AA182" s="32">
        <v>5</v>
      </c>
      <c r="AB182" s="34" t="str">
        <f>VLOOKUP(AA182,Key!$C$20:$D$29,2,FALSE)</f>
        <v>Professional</v>
      </c>
      <c r="AC182" s="32">
        <v>4</v>
      </c>
      <c r="AD182" s="34" t="str">
        <f>VLOOKUP(AC182,Key!$E$20:$F$24,2,FALSE)</f>
        <v>750,000-1,000,000</v>
      </c>
      <c r="AE182" s="32">
        <v>3</v>
      </c>
      <c r="AF182" s="55">
        <v>2</v>
      </c>
      <c r="AG182" s="55">
        <v>4</v>
      </c>
      <c r="AH182" s="55">
        <v>1</v>
      </c>
      <c r="AI182" s="55">
        <v>5</v>
      </c>
      <c r="AJ182" s="39" t="s">
        <v>104</v>
      </c>
      <c r="AK182" s="40">
        <v>3000</v>
      </c>
      <c r="AL182" s="24"/>
      <c r="AM182" s="24"/>
    </row>
    <row r="183" spans="1:39" x14ac:dyDescent="0.2">
      <c r="B183" s="50">
        <v>43689</v>
      </c>
      <c r="C183" s="35">
        <v>0.48333333333333334</v>
      </c>
      <c r="D183" s="35"/>
      <c r="E183" s="35" t="s">
        <v>111</v>
      </c>
      <c r="F183" s="37">
        <v>2</v>
      </c>
      <c r="G183" s="42" t="str">
        <f>VLOOKUP(F183,Key!$A$17:$B$21,2,FALSE)</f>
        <v>Road Vehicle</v>
      </c>
      <c r="H183" s="36">
        <v>7</v>
      </c>
      <c r="I183" s="43" t="str">
        <f>VLOOKUP(H183,Key!$A$2:$B$13,2,FALSE)</f>
        <v xml:space="preserve">Light Truck </v>
      </c>
      <c r="J183" s="37" t="s">
        <v>123</v>
      </c>
      <c r="K183" s="13">
        <v>2</v>
      </c>
      <c r="L183" s="45" t="str">
        <f>VLOOKUP(K183,Key!$A$24:$B$29,2,FALSE)</f>
        <v>30-39</v>
      </c>
      <c r="M183" s="37" t="s">
        <v>176</v>
      </c>
      <c r="N183" s="32" t="s">
        <v>176</v>
      </c>
      <c r="O183" s="37" t="s">
        <v>168</v>
      </c>
      <c r="P183" s="39">
        <v>2</v>
      </c>
      <c r="Q183" s="34" t="str">
        <f>VLOOKUP(P183,Key!$E$2:$F$9,2,FALSE)</f>
        <v>Work</v>
      </c>
      <c r="R183" s="37" t="s">
        <v>167</v>
      </c>
      <c r="S183" s="32" t="s">
        <v>167</v>
      </c>
      <c r="T183" s="37" t="s">
        <v>168</v>
      </c>
      <c r="U183" s="32">
        <v>4</v>
      </c>
      <c r="V183" s="34" t="str">
        <f>VLOOKUP(U183,Key!$E$2:$F$9,2,FALSE)</f>
        <v>Commercial</v>
      </c>
      <c r="W183" s="34" t="str">
        <f t="shared" si="4"/>
        <v>Work-Commercial</v>
      </c>
      <c r="X183" s="47">
        <v>40000</v>
      </c>
      <c r="Y183" s="38">
        <v>80</v>
      </c>
      <c r="Z183" s="38">
        <v>2</v>
      </c>
      <c r="AA183" s="32">
        <v>6</v>
      </c>
      <c r="AB183" s="34" t="str">
        <f>VLOOKUP(AA183,Key!$C$20:$D$29,2,FALSE)</f>
        <v>Businessman</v>
      </c>
      <c r="AC183" s="32">
        <v>5</v>
      </c>
      <c r="AD183" s="34" t="str">
        <f>VLOOKUP(AC183,Key!$E$20:$F$24,2,FALSE)</f>
        <v>&gt;1,000,000</v>
      </c>
      <c r="AE183" s="32">
        <v>1</v>
      </c>
      <c r="AF183" s="55">
        <v>3</v>
      </c>
      <c r="AG183" s="55">
        <v>4</v>
      </c>
      <c r="AH183" s="55">
        <v>2</v>
      </c>
      <c r="AI183" s="55">
        <v>4</v>
      </c>
      <c r="AJ183" s="39" t="s">
        <v>104</v>
      </c>
      <c r="AK183" s="40"/>
      <c r="AL183" s="24"/>
      <c r="AM183" s="24"/>
    </row>
    <row r="184" spans="1:39" x14ac:dyDescent="0.2">
      <c r="B184" s="50">
        <v>43689</v>
      </c>
      <c r="C184" s="35">
        <v>0.95972222222222225</v>
      </c>
      <c r="D184" s="35"/>
      <c r="E184" s="35" t="s">
        <v>111</v>
      </c>
      <c r="F184" s="37">
        <v>2</v>
      </c>
      <c r="G184" s="42" t="str">
        <f>VLOOKUP(F184,Key!$A$17:$B$21,2,FALSE)</f>
        <v>Road Vehicle</v>
      </c>
      <c r="H184" s="36">
        <v>7</v>
      </c>
      <c r="I184" s="43" t="str">
        <f>VLOOKUP(H184,Key!$A$2:$B$13,2,FALSE)</f>
        <v xml:space="preserve">Light Truck </v>
      </c>
      <c r="J184" s="37" t="s">
        <v>123</v>
      </c>
      <c r="K184" s="13">
        <v>2</v>
      </c>
      <c r="L184" s="45" t="str">
        <f>VLOOKUP(K184,Key!$A$24:$B$29,2,FALSE)</f>
        <v>30-39</v>
      </c>
      <c r="M184" s="37" t="s">
        <v>167</v>
      </c>
      <c r="N184" s="32" t="s">
        <v>167</v>
      </c>
      <c r="O184" s="37" t="s">
        <v>168</v>
      </c>
      <c r="P184" s="39">
        <v>2</v>
      </c>
      <c r="Q184" s="34" t="str">
        <f>VLOOKUP(P184,Key!$E$2:$F$9,2,FALSE)</f>
        <v>Work</v>
      </c>
      <c r="R184" s="37" t="s">
        <v>176</v>
      </c>
      <c r="S184" s="32" t="s">
        <v>176</v>
      </c>
      <c r="T184" s="37" t="s">
        <v>168</v>
      </c>
      <c r="U184" s="32">
        <v>4</v>
      </c>
      <c r="V184" s="34" t="str">
        <f>VLOOKUP(U184,Key!$E$2:$F$9,2,FALSE)</f>
        <v>Commercial</v>
      </c>
      <c r="W184" s="34" t="str">
        <f t="shared" si="4"/>
        <v>Work-Commercial</v>
      </c>
      <c r="X184" s="47">
        <v>70000</v>
      </c>
      <c r="Y184" s="38">
        <v>80</v>
      </c>
      <c r="Z184" s="38">
        <v>2.5</v>
      </c>
      <c r="AA184" s="32">
        <v>6</v>
      </c>
      <c r="AB184" s="34" t="str">
        <f>VLOOKUP(AA184,Key!$C$20:$D$29,2,FALSE)</f>
        <v>Businessman</v>
      </c>
      <c r="AC184" s="32">
        <v>2</v>
      </c>
      <c r="AD184" s="34" t="str">
        <f>VLOOKUP(AC184,Key!$E$20:$F$24,2,FALSE)</f>
        <v>300,000-500,000</v>
      </c>
      <c r="AE184" s="32">
        <v>2</v>
      </c>
      <c r="AF184" s="55">
        <v>3</v>
      </c>
      <c r="AG184" s="55">
        <v>5</v>
      </c>
      <c r="AH184" s="55">
        <v>1</v>
      </c>
      <c r="AI184" s="55">
        <v>4</v>
      </c>
      <c r="AJ184" s="39" t="s">
        <v>104</v>
      </c>
      <c r="AK184" s="40">
        <v>2000</v>
      </c>
      <c r="AL184" s="24"/>
      <c r="AM184" s="24"/>
    </row>
    <row r="185" spans="1:39" x14ac:dyDescent="0.2">
      <c r="B185" s="50">
        <v>43689</v>
      </c>
      <c r="C185" s="35">
        <v>0.50208333333333333</v>
      </c>
      <c r="D185" s="35"/>
      <c r="E185" s="35" t="s">
        <v>111</v>
      </c>
      <c r="F185" s="37">
        <v>2</v>
      </c>
      <c r="G185" s="42" t="str">
        <f>VLOOKUP(F185,Key!$A$17:$B$21,2,FALSE)</f>
        <v>Road Vehicle</v>
      </c>
      <c r="H185" s="36">
        <v>7</v>
      </c>
      <c r="I185" s="43" t="str">
        <f>VLOOKUP(H185,Key!$A$2:$B$13,2,FALSE)</f>
        <v xml:space="preserve">Light Truck </v>
      </c>
      <c r="J185" s="37" t="s">
        <v>123</v>
      </c>
      <c r="K185" s="13">
        <v>2</v>
      </c>
      <c r="L185" s="45" t="str">
        <f>VLOOKUP(K185,Key!$A$24:$B$29,2,FALSE)</f>
        <v>30-39</v>
      </c>
      <c r="M185" s="44" t="s">
        <v>176</v>
      </c>
      <c r="N185" s="32" t="s">
        <v>176</v>
      </c>
      <c r="O185" s="37" t="s">
        <v>168</v>
      </c>
      <c r="P185" s="39">
        <v>2</v>
      </c>
      <c r="Q185" s="34" t="str">
        <f>VLOOKUP(P185,Key!$E$2:$F$9,2,FALSE)</f>
        <v>Work</v>
      </c>
      <c r="R185" s="37" t="s">
        <v>167</v>
      </c>
      <c r="S185" s="32" t="s">
        <v>167</v>
      </c>
      <c r="T185" s="37" t="s">
        <v>168</v>
      </c>
      <c r="U185" s="32">
        <v>4</v>
      </c>
      <c r="V185" s="34" t="str">
        <f>VLOOKUP(U185,Key!$E$2:$F$9,2,FALSE)</f>
        <v>Commercial</v>
      </c>
      <c r="W185" s="34" t="str">
        <f t="shared" si="4"/>
        <v>Work-Commercial</v>
      </c>
      <c r="X185" s="47">
        <v>80000</v>
      </c>
      <c r="Y185" s="38">
        <v>80</v>
      </c>
      <c r="Z185" s="38">
        <v>3</v>
      </c>
      <c r="AA185" s="32">
        <v>10</v>
      </c>
      <c r="AB185" s="34" t="str">
        <f>VLOOKUP(AA185,Key!$C$20:$D$29,2,FALSE)</f>
        <v>Other</v>
      </c>
      <c r="AC185" s="32">
        <v>2</v>
      </c>
      <c r="AD185" s="34" t="str">
        <f>VLOOKUP(AC185,Key!$E$20:$F$24,2,FALSE)</f>
        <v>300,000-500,000</v>
      </c>
      <c r="AE185" s="32">
        <v>2</v>
      </c>
      <c r="AF185" s="55">
        <v>3</v>
      </c>
      <c r="AG185" s="55">
        <v>4</v>
      </c>
      <c r="AH185" s="55">
        <v>1</v>
      </c>
      <c r="AI185" s="55">
        <v>5</v>
      </c>
      <c r="AJ185" s="39" t="s">
        <v>104</v>
      </c>
      <c r="AK185" s="40">
        <v>2000</v>
      </c>
      <c r="AL185" s="24"/>
      <c r="AM185" s="24"/>
    </row>
    <row r="186" spans="1:39" x14ac:dyDescent="0.2">
      <c r="A186" s="10"/>
      <c r="B186" s="50">
        <v>43686</v>
      </c>
      <c r="C186" s="35">
        <v>0.52847222222222223</v>
      </c>
      <c r="D186" s="35"/>
      <c r="E186" s="35" t="s">
        <v>111</v>
      </c>
      <c r="F186" s="37">
        <v>2</v>
      </c>
      <c r="G186" s="42" t="str">
        <f>VLOOKUP(F186,Key!$A$17:$B$21,2,FALSE)</f>
        <v>Road Vehicle</v>
      </c>
      <c r="H186" s="36">
        <v>7</v>
      </c>
      <c r="I186" s="43" t="str">
        <f>VLOOKUP(H186,Key!$A$2:$B$13,2,FALSE)</f>
        <v xml:space="preserve">Light Truck </v>
      </c>
      <c r="J186" s="37" t="s">
        <v>123</v>
      </c>
      <c r="K186" s="13">
        <v>2</v>
      </c>
      <c r="L186" s="45" t="str">
        <f>VLOOKUP(K186,Key!$A$24:$B$29,2,FALSE)</f>
        <v>30-39</v>
      </c>
      <c r="M186" s="37" t="s">
        <v>176</v>
      </c>
      <c r="N186" s="32" t="s">
        <v>176</v>
      </c>
      <c r="O186" s="37" t="s">
        <v>168</v>
      </c>
      <c r="P186" s="39">
        <v>2</v>
      </c>
      <c r="Q186" s="34" t="str">
        <f>VLOOKUP(P186,Key!$E$2:$F$9,2,FALSE)</f>
        <v>Work</v>
      </c>
      <c r="R186" s="37" t="s">
        <v>167</v>
      </c>
      <c r="S186" s="32" t="s">
        <v>167</v>
      </c>
      <c r="T186" s="37" t="s">
        <v>168</v>
      </c>
      <c r="U186" s="32">
        <v>2</v>
      </c>
      <c r="V186" s="34" t="str">
        <f>VLOOKUP(U186,Key!$E$2:$F$9,2,FALSE)</f>
        <v>Work</v>
      </c>
      <c r="W186" s="34" t="str">
        <f t="shared" si="4"/>
        <v>Work-Work</v>
      </c>
      <c r="X186" s="47">
        <v>80000</v>
      </c>
      <c r="Y186" s="38">
        <v>80</v>
      </c>
      <c r="Z186" s="38">
        <v>3.5</v>
      </c>
      <c r="AA186" s="32">
        <v>10</v>
      </c>
      <c r="AB186" s="34" t="str">
        <f>VLOOKUP(AA186,Key!$C$20:$D$29,2,FALSE)</f>
        <v>Other</v>
      </c>
      <c r="AC186" s="32">
        <v>2</v>
      </c>
      <c r="AD186" s="34" t="str">
        <f>VLOOKUP(AC186,Key!$E$20:$F$24,2,FALSE)</f>
        <v>300,000-500,000</v>
      </c>
      <c r="AE186" s="32">
        <v>3</v>
      </c>
      <c r="AF186" s="55">
        <v>2</v>
      </c>
      <c r="AG186" s="55">
        <v>3</v>
      </c>
      <c r="AH186" s="55">
        <v>3</v>
      </c>
      <c r="AI186" s="55">
        <v>2</v>
      </c>
      <c r="AJ186" s="39" t="s">
        <v>104</v>
      </c>
      <c r="AK186" s="40">
        <v>2000</v>
      </c>
      <c r="AL186" s="24"/>
      <c r="AM186" s="24"/>
    </row>
    <row r="187" spans="1:39" x14ac:dyDescent="0.2">
      <c r="B187" s="50">
        <v>43689</v>
      </c>
      <c r="C187" s="35">
        <v>0.54166666666666663</v>
      </c>
      <c r="D187" s="35"/>
      <c r="E187" s="35" t="s">
        <v>111</v>
      </c>
      <c r="F187" s="37">
        <v>2</v>
      </c>
      <c r="G187" s="42" t="str">
        <f>VLOOKUP(F187,Key!$A$17:$B$21,2,FALSE)</f>
        <v>Road Vehicle</v>
      </c>
      <c r="H187" s="36">
        <v>7</v>
      </c>
      <c r="I187" s="43" t="str">
        <f>VLOOKUP(H187,Key!$A$2:$B$13,2,FALSE)</f>
        <v xml:space="preserve">Light Truck </v>
      </c>
      <c r="J187" s="37" t="s">
        <v>123</v>
      </c>
      <c r="K187" s="13">
        <v>3</v>
      </c>
      <c r="L187" s="45" t="str">
        <f>VLOOKUP(K187,Key!$A$24:$B$29,2,FALSE)</f>
        <v>40-49</v>
      </c>
      <c r="M187" s="44" t="s">
        <v>167</v>
      </c>
      <c r="N187" s="32" t="s">
        <v>167</v>
      </c>
      <c r="O187" s="37" t="s">
        <v>168</v>
      </c>
      <c r="P187" s="39">
        <v>4</v>
      </c>
      <c r="Q187" s="34" t="str">
        <f>VLOOKUP(P187,Key!$E$2:$F$9,2,FALSE)</f>
        <v>Commercial</v>
      </c>
      <c r="R187" s="37" t="s">
        <v>176</v>
      </c>
      <c r="S187" s="32" t="s">
        <v>176</v>
      </c>
      <c r="T187" s="37" t="s">
        <v>168</v>
      </c>
      <c r="U187" s="32">
        <v>1</v>
      </c>
      <c r="V187" s="34" t="str">
        <f>VLOOKUP(U187,Key!$E$2:$F$9,2,FALSE)</f>
        <v>Home</v>
      </c>
      <c r="W187" s="34" t="str">
        <f t="shared" si="4"/>
        <v>Commercial-Home</v>
      </c>
      <c r="X187" s="47">
        <v>100000</v>
      </c>
      <c r="Y187" s="38">
        <v>80</v>
      </c>
      <c r="Z187" s="38">
        <v>3</v>
      </c>
      <c r="AA187" s="32">
        <v>10</v>
      </c>
      <c r="AB187" s="34" t="str">
        <f>VLOOKUP(AA187,Key!$C$20:$D$29,2,FALSE)</f>
        <v>Other</v>
      </c>
      <c r="AC187" s="32">
        <v>2</v>
      </c>
      <c r="AD187" s="34" t="str">
        <f>VLOOKUP(AC187,Key!$E$20:$F$24,2,FALSE)</f>
        <v>300,000-500,000</v>
      </c>
      <c r="AE187" s="32">
        <v>2</v>
      </c>
      <c r="AF187" s="55">
        <v>3</v>
      </c>
      <c r="AG187" s="55">
        <v>4</v>
      </c>
      <c r="AH187" s="55">
        <v>1</v>
      </c>
      <c r="AI187" s="55">
        <v>5</v>
      </c>
      <c r="AJ187" s="39" t="s">
        <v>104</v>
      </c>
      <c r="AK187" s="40">
        <v>2000</v>
      </c>
      <c r="AL187" s="24"/>
      <c r="AM187" s="24"/>
    </row>
    <row r="188" spans="1:39" x14ac:dyDescent="0.2">
      <c r="A188" s="10"/>
      <c r="B188" s="50">
        <v>43686</v>
      </c>
      <c r="C188" s="35">
        <v>0.51527777777777783</v>
      </c>
      <c r="D188" s="35"/>
      <c r="E188" s="35" t="s">
        <v>111</v>
      </c>
      <c r="F188" s="37">
        <v>2</v>
      </c>
      <c r="G188" s="42" t="str">
        <f>VLOOKUP(F188,Key!$A$17:$B$21,2,FALSE)</f>
        <v>Road Vehicle</v>
      </c>
      <c r="H188" s="36">
        <v>7</v>
      </c>
      <c r="I188" s="43" t="str">
        <f>VLOOKUP(H188,Key!$A$2:$B$13,2,FALSE)</f>
        <v xml:space="preserve">Light Truck </v>
      </c>
      <c r="J188" s="37" t="s">
        <v>123</v>
      </c>
      <c r="K188" s="37">
        <v>3</v>
      </c>
      <c r="L188" s="45" t="str">
        <f>VLOOKUP(K188,Key!$A$24:$B$29,2,FALSE)</f>
        <v>40-49</v>
      </c>
      <c r="M188" s="37" t="s">
        <v>176</v>
      </c>
      <c r="N188" s="32" t="s">
        <v>176</v>
      </c>
      <c r="O188" s="37" t="s">
        <v>168</v>
      </c>
      <c r="P188" s="39">
        <v>2</v>
      </c>
      <c r="Q188" s="34" t="str">
        <f>VLOOKUP(P188,Key!$E$2:$F$9,2,FALSE)</f>
        <v>Work</v>
      </c>
      <c r="R188" s="37" t="s">
        <v>167</v>
      </c>
      <c r="S188" s="32" t="s">
        <v>167</v>
      </c>
      <c r="T188" s="37" t="s">
        <v>168</v>
      </c>
      <c r="U188" s="32">
        <v>4</v>
      </c>
      <c r="V188" s="34" t="str">
        <f>VLOOKUP(U188,Key!$E$2:$F$9,2,FALSE)</f>
        <v>Commercial</v>
      </c>
      <c r="W188" s="34" t="str">
        <f t="shared" si="4"/>
        <v>Work-Commercial</v>
      </c>
      <c r="X188" s="47">
        <v>60000</v>
      </c>
      <c r="Y188" s="38">
        <v>80</v>
      </c>
      <c r="Z188" s="38">
        <v>3</v>
      </c>
      <c r="AA188" s="32">
        <v>6</v>
      </c>
      <c r="AB188" s="34" t="str">
        <f>VLOOKUP(AA188,Key!$C$20:$D$29,2,FALSE)</f>
        <v>Businessman</v>
      </c>
      <c r="AC188" s="32">
        <v>4</v>
      </c>
      <c r="AD188" s="34" t="str">
        <f>VLOOKUP(AC188,Key!$E$20:$F$24,2,FALSE)</f>
        <v>750,000-1,000,000</v>
      </c>
      <c r="AE188" s="32">
        <v>2</v>
      </c>
      <c r="AF188" s="55">
        <v>3</v>
      </c>
      <c r="AG188" s="55">
        <v>4</v>
      </c>
      <c r="AH188" s="55">
        <v>1</v>
      </c>
      <c r="AI188" s="55">
        <v>3</v>
      </c>
      <c r="AJ188" s="39" t="s">
        <v>104</v>
      </c>
      <c r="AK188" s="40"/>
      <c r="AL188" s="24"/>
      <c r="AM188" s="24"/>
    </row>
    <row r="189" spans="1:39" x14ac:dyDescent="0.2">
      <c r="B189" s="50">
        <v>43687</v>
      </c>
      <c r="C189" s="35">
        <v>0.5131944444444444</v>
      </c>
      <c r="D189" s="35"/>
      <c r="E189" s="35" t="s">
        <v>111</v>
      </c>
      <c r="F189" s="37">
        <v>2</v>
      </c>
      <c r="G189" s="42" t="str">
        <f>VLOOKUP(F189,Key!$A$17:$B$21,2,FALSE)</f>
        <v>Road Vehicle</v>
      </c>
      <c r="H189" s="36">
        <v>7</v>
      </c>
      <c r="I189" s="43" t="str">
        <f>VLOOKUP(H189,Key!$A$2:$B$13,2,FALSE)</f>
        <v xml:space="preserve">Light Truck </v>
      </c>
      <c r="J189" s="37" t="s">
        <v>123</v>
      </c>
      <c r="K189" s="37">
        <v>3</v>
      </c>
      <c r="L189" s="45" t="str">
        <f>VLOOKUP(K189,Key!$A$24:$B$29,2,FALSE)</f>
        <v>40-49</v>
      </c>
      <c r="M189" s="37" t="s">
        <v>179</v>
      </c>
      <c r="N189" s="32" t="s">
        <v>179</v>
      </c>
      <c r="O189" s="37" t="s">
        <v>168</v>
      </c>
      <c r="P189" s="39">
        <v>1</v>
      </c>
      <c r="Q189" s="34" t="str">
        <f>VLOOKUP(P189,Key!$E$2:$F$9,2,FALSE)</f>
        <v>Home</v>
      </c>
      <c r="R189" s="37" t="s">
        <v>217</v>
      </c>
      <c r="S189" s="32" t="s">
        <v>176</v>
      </c>
      <c r="T189" s="37" t="s">
        <v>168</v>
      </c>
      <c r="U189" s="32">
        <v>4</v>
      </c>
      <c r="V189" s="34" t="str">
        <f>VLOOKUP(U189,Key!$E$2:$F$9,2,FALSE)</f>
        <v>Commercial</v>
      </c>
      <c r="W189" s="34" t="str">
        <f t="shared" si="4"/>
        <v>Home-Commercial</v>
      </c>
      <c r="X189" s="47">
        <v>75000</v>
      </c>
      <c r="Y189" s="38">
        <v>100</v>
      </c>
      <c r="Z189" s="38">
        <v>3</v>
      </c>
      <c r="AA189" s="32">
        <v>6</v>
      </c>
      <c r="AB189" s="34" t="str">
        <f>VLOOKUP(AA189,Key!$C$20:$D$29,2,FALSE)</f>
        <v>Businessman</v>
      </c>
      <c r="AC189" s="32">
        <v>4</v>
      </c>
      <c r="AD189" s="34" t="str">
        <f>VLOOKUP(AC189,Key!$E$20:$F$24,2,FALSE)</f>
        <v>750,000-1,000,000</v>
      </c>
      <c r="AE189" s="32">
        <v>1</v>
      </c>
      <c r="AF189" s="55">
        <v>1</v>
      </c>
      <c r="AG189" s="55">
        <v>2</v>
      </c>
      <c r="AH189" s="55">
        <v>1</v>
      </c>
      <c r="AI189" s="55">
        <v>5</v>
      </c>
      <c r="AJ189" s="39" t="s">
        <v>104</v>
      </c>
      <c r="AK189" s="40">
        <v>1500</v>
      </c>
      <c r="AL189" s="24"/>
      <c r="AM189" s="24"/>
    </row>
    <row r="190" spans="1:39" x14ac:dyDescent="0.2">
      <c r="B190" s="50">
        <v>43689</v>
      </c>
      <c r="C190" s="35">
        <v>0.47569444444444442</v>
      </c>
      <c r="D190" s="35"/>
      <c r="E190" s="35" t="s">
        <v>111</v>
      </c>
      <c r="F190" s="37">
        <v>2</v>
      </c>
      <c r="G190" s="42" t="str">
        <f>VLOOKUP(F190,Key!$A$17:$B$21,2,FALSE)</f>
        <v>Road Vehicle</v>
      </c>
      <c r="H190" s="36">
        <v>7</v>
      </c>
      <c r="I190" s="43" t="str">
        <f>VLOOKUP(H190,Key!$A$2:$B$13,2,FALSE)</f>
        <v xml:space="preserve">Light Truck </v>
      </c>
      <c r="J190" s="37" t="s">
        <v>123</v>
      </c>
      <c r="K190" s="37">
        <v>4</v>
      </c>
      <c r="L190" s="45" t="str">
        <f>VLOOKUP(K190,Key!$A$24:$B$29,2,FALSE)</f>
        <v>50-59</v>
      </c>
      <c r="M190" s="37" t="s">
        <v>279</v>
      </c>
      <c r="N190" s="32" t="s">
        <v>190</v>
      </c>
      <c r="O190" s="37" t="s">
        <v>168</v>
      </c>
      <c r="P190" s="39">
        <v>1</v>
      </c>
      <c r="Q190" s="34" t="str">
        <f>VLOOKUP(P190,Key!$E$2:$F$9,2,FALSE)</f>
        <v>Home</v>
      </c>
      <c r="R190" s="37" t="s">
        <v>203</v>
      </c>
      <c r="S190" s="32" t="s">
        <v>167</v>
      </c>
      <c r="T190" s="37" t="s">
        <v>168</v>
      </c>
      <c r="U190" s="32">
        <v>2</v>
      </c>
      <c r="V190" s="34" t="str">
        <f>VLOOKUP(U190,Key!$E$2:$F$9,2,FALSE)</f>
        <v>Work</v>
      </c>
      <c r="W190" s="34" t="str">
        <f t="shared" si="4"/>
        <v>Home-Work</v>
      </c>
      <c r="X190" s="47">
        <v>40000</v>
      </c>
      <c r="Y190" s="38">
        <v>70</v>
      </c>
      <c r="Z190" s="38">
        <v>2</v>
      </c>
      <c r="AA190" s="32">
        <v>7</v>
      </c>
      <c r="AB190" s="34" t="str">
        <f>VLOOKUP(AA190,Key!$C$20:$D$29,2,FALSE)</f>
        <v>Farmer</v>
      </c>
      <c r="AC190" s="32">
        <v>5</v>
      </c>
      <c r="AD190" s="34" t="str">
        <f>VLOOKUP(AC190,Key!$E$20:$F$24,2,FALSE)</f>
        <v>&gt;1,000,000</v>
      </c>
      <c r="AE190" s="32">
        <v>2</v>
      </c>
      <c r="AF190" s="55">
        <v>1</v>
      </c>
      <c r="AG190" s="55">
        <v>3</v>
      </c>
      <c r="AH190" s="55">
        <v>1</v>
      </c>
      <c r="AI190" s="55">
        <v>2</v>
      </c>
      <c r="AJ190" s="39" t="s">
        <v>104</v>
      </c>
      <c r="AK190" s="40"/>
      <c r="AL190" s="24"/>
      <c r="AM190" s="24"/>
    </row>
    <row r="191" spans="1:39" hidden="1" x14ac:dyDescent="0.2">
      <c r="B191" s="50">
        <v>43687</v>
      </c>
      <c r="C191" s="35">
        <v>0.4826388888888889</v>
      </c>
      <c r="D191" s="35"/>
      <c r="E191" s="35" t="s">
        <v>111</v>
      </c>
      <c r="F191" s="37">
        <v>2</v>
      </c>
      <c r="G191" s="42" t="str">
        <f>VLOOKUP(F191,Key!$A$17:$B$21,2,FALSE)</f>
        <v>Road Vehicle</v>
      </c>
      <c r="H191" s="36">
        <v>7</v>
      </c>
      <c r="I191" s="43" t="str">
        <f>VLOOKUP(H191,Key!$A$2:$B$13,2,FALSE)</f>
        <v xml:space="preserve">Light Truck </v>
      </c>
      <c r="J191" s="37" t="s">
        <v>123</v>
      </c>
      <c r="K191" s="37">
        <v>2</v>
      </c>
      <c r="L191" s="45" t="str">
        <f>VLOOKUP(K191,Key!$A$24:$B$29,2,FALSE)</f>
        <v>30-39</v>
      </c>
      <c r="M191" s="37" t="s">
        <v>167</v>
      </c>
      <c r="N191" s="32" t="s">
        <v>167</v>
      </c>
      <c r="O191" s="37" t="s">
        <v>168</v>
      </c>
      <c r="P191" s="39">
        <v>2</v>
      </c>
      <c r="Q191" s="34" t="str">
        <f>VLOOKUP(P191,Key!$E$2:$F$9,2,FALSE)</f>
        <v>Work</v>
      </c>
      <c r="R191" s="37" t="s">
        <v>169</v>
      </c>
      <c r="S191" s="32" t="s">
        <v>169</v>
      </c>
      <c r="T191" s="37" t="s">
        <v>168</v>
      </c>
      <c r="U191" s="32">
        <v>4</v>
      </c>
      <c r="V191" s="34" t="str">
        <f>VLOOKUP(U191,Key!$E$2:$F$9,2,FALSE)</f>
        <v>Commercial</v>
      </c>
      <c r="W191" s="34" t="str">
        <f t="shared" si="4"/>
        <v>Work-Commercial</v>
      </c>
      <c r="X191" s="47">
        <v>45000</v>
      </c>
      <c r="Y191" s="38">
        <v>110</v>
      </c>
      <c r="Z191" s="38">
        <v>3.5</v>
      </c>
      <c r="AA191" s="32">
        <v>10</v>
      </c>
      <c r="AB191" s="34" t="str">
        <f>VLOOKUP(AA191,Key!$C$20:$D$29,2,FALSE)</f>
        <v>Other</v>
      </c>
      <c r="AC191" s="32">
        <v>2</v>
      </c>
      <c r="AD191" s="34" t="str">
        <f>VLOOKUP(AC191,Key!$E$20:$F$24,2,FALSE)</f>
        <v>300,000-500,000</v>
      </c>
      <c r="AE191" s="32">
        <v>1</v>
      </c>
      <c r="AF191" s="55">
        <v>2</v>
      </c>
      <c r="AG191" s="55">
        <v>3</v>
      </c>
      <c r="AH191" s="55">
        <v>1</v>
      </c>
      <c r="AI191" s="55">
        <v>3</v>
      </c>
      <c r="AJ191" s="39" t="s">
        <v>104</v>
      </c>
      <c r="AK191" s="40">
        <v>1000</v>
      </c>
      <c r="AL191" s="24"/>
      <c r="AM191" s="24"/>
    </row>
    <row r="192" spans="1:39" hidden="1" x14ac:dyDescent="0.2">
      <c r="B192" s="50">
        <v>43688</v>
      </c>
      <c r="C192" s="35">
        <v>0.71319444444444446</v>
      </c>
      <c r="D192" s="35"/>
      <c r="E192" s="35" t="s">
        <v>111</v>
      </c>
      <c r="F192" s="37">
        <v>2</v>
      </c>
      <c r="G192" s="42" t="str">
        <f>VLOOKUP(F192,Key!$A$17:$B$21,2,FALSE)</f>
        <v>Road Vehicle</v>
      </c>
      <c r="H192" s="36">
        <v>7</v>
      </c>
      <c r="I192" s="43" t="str">
        <f>VLOOKUP(H192,Key!$A$2:$B$13,2,FALSE)</f>
        <v xml:space="preserve">Light Truck </v>
      </c>
      <c r="J192" s="37" t="s">
        <v>123</v>
      </c>
      <c r="K192" s="37">
        <v>2</v>
      </c>
      <c r="L192" s="45" t="str">
        <f>VLOOKUP(K192,Key!$A$24:$B$29,2,FALSE)</f>
        <v>30-39</v>
      </c>
      <c r="M192" s="37" t="s">
        <v>179</v>
      </c>
      <c r="N192" s="32" t="s">
        <v>179</v>
      </c>
      <c r="O192" s="37" t="s">
        <v>168</v>
      </c>
      <c r="P192" s="39">
        <v>1</v>
      </c>
      <c r="Q192" s="34" t="str">
        <f>VLOOKUP(P192,Key!$E$2:$F$9,2,FALSE)</f>
        <v>Home</v>
      </c>
      <c r="R192" s="37" t="s">
        <v>176</v>
      </c>
      <c r="S192" s="32" t="s">
        <v>176</v>
      </c>
      <c r="T192" s="37" t="s">
        <v>168</v>
      </c>
      <c r="U192" s="32">
        <v>4</v>
      </c>
      <c r="V192" s="34" t="str">
        <f>VLOOKUP(U192,Key!$E$2:$F$9,2,FALSE)</f>
        <v>Commercial</v>
      </c>
      <c r="W192" s="34" t="str">
        <f t="shared" si="4"/>
        <v>Home-Commercial</v>
      </c>
      <c r="X192" s="47">
        <v>80000</v>
      </c>
      <c r="Y192" s="38">
        <v>130</v>
      </c>
      <c r="Z192" s="38">
        <v>4</v>
      </c>
      <c r="AA192" s="32">
        <v>6</v>
      </c>
      <c r="AB192" s="34" t="str">
        <f>VLOOKUP(AA192,Key!$C$20:$D$29,2,FALSE)</f>
        <v>Businessman</v>
      </c>
      <c r="AC192" s="32">
        <v>2</v>
      </c>
      <c r="AD192" s="34" t="str">
        <f>VLOOKUP(AC192,Key!$E$20:$F$24,2,FALSE)</f>
        <v>300,000-500,000</v>
      </c>
      <c r="AE192" s="32">
        <v>3</v>
      </c>
      <c r="AF192" s="55">
        <v>3</v>
      </c>
      <c r="AG192" s="55">
        <v>4</v>
      </c>
      <c r="AH192" s="55">
        <v>2</v>
      </c>
      <c r="AI192" s="55">
        <v>3</v>
      </c>
      <c r="AJ192" s="39" t="s">
        <v>104</v>
      </c>
      <c r="AK192" s="40">
        <v>1000</v>
      </c>
      <c r="AL192" s="24"/>
      <c r="AM192" s="24"/>
    </row>
    <row r="193" spans="2:39" hidden="1" x14ac:dyDescent="0.2">
      <c r="B193" s="50">
        <v>43690</v>
      </c>
      <c r="C193" s="35">
        <v>0.65625</v>
      </c>
      <c r="D193" s="35"/>
      <c r="E193" s="35" t="s">
        <v>111</v>
      </c>
      <c r="F193" s="37">
        <v>2</v>
      </c>
      <c r="G193" s="42" t="str">
        <f>VLOOKUP(F193,Key!$A$17:$B$21,2,FALSE)</f>
        <v>Road Vehicle</v>
      </c>
      <c r="H193" s="36">
        <v>7</v>
      </c>
      <c r="I193" s="43" t="str">
        <f>VLOOKUP(H193,Key!$A$2:$B$13,2,FALSE)</f>
        <v xml:space="preserve">Light Truck </v>
      </c>
      <c r="J193" s="37" t="s">
        <v>123</v>
      </c>
      <c r="K193" s="37">
        <v>2</v>
      </c>
      <c r="L193" s="45" t="str">
        <f>VLOOKUP(K193,Key!$A$24:$B$29,2,FALSE)</f>
        <v>30-39</v>
      </c>
      <c r="M193" s="37" t="s">
        <v>169</v>
      </c>
      <c r="N193" s="32" t="s">
        <v>169</v>
      </c>
      <c r="O193" s="37" t="s">
        <v>168</v>
      </c>
      <c r="P193" s="39">
        <v>2</v>
      </c>
      <c r="Q193" s="34" t="str">
        <f>VLOOKUP(P193,Key!$E$2:$F$9,2,FALSE)</f>
        <v>Work</v>
      </c>
      <c r="R193" s="37" t="s">
        <v>167</v>
      </c>
      <c r="S193" s="32" t="s">
        <v>167</v>
      </c>
      <c r="T193" s="37" t="s">
        <v>168</v>
      </c>
      <c r="U193" s="32">
        <v>4</v>
      </c>
      <c r="V193" s="34" t="str">
        <f>VLOOKUP(U193,Key!$E$2:$F$9,2,FALSE)</f>
        <v>Commercial</v>
      </c>
      <c r="W193" s="34" t="str">
        <f t="shared" si="4"/>
        <v>Work-Commercial</v>
      </c>
      <c r="X193" s="47">
        <v>80000</v>
      </c>
      <c r="Y193" s="38">
        <v>140</v>
      </c>
      <c r="Z193" s="38">
        <v>2</v>
      </c>
      <c r="AA193" s="32">
        <v>6</v>
      </c>
      <c r="AB193" s="34" t="str">
        <f>VLOOKUP(AA193,Key!$C$20:$D$29,2,FALSE)</f>
        <v>Businessman</v>
      </c>
      <c r="AC193" s="32">
        <v>5</v>
      </c>
      <c r="AD193" s="34" t="str">
        <f>VLOOKUP(AC193,Key!$E$20:$F$24,2,FALSE)</f>
        <v>&gt;1,000,000</v>
      </c>
      <c r="AE193" s="32">
        <v>2</v>
      </c>
      <c r="AF193" s="55">
        <v>3</v>
      </c>
      <c r="AG193" s="55">
        <v>2</v>
      </c>
      <c r="AH193" s="55">
        <v>1</v>
      </c>
      <c r="AI193" s="55">
        <v>4</v>
      </c>
      <c r="AJ193" s="39" t="s">
        <v>104</v>
      </c>
      <c r="AK193" s="40">
        <v>5000</v>
      </c>
      <c r="AL193" s="24"/>
      <c r="AM193" s="24"/>
    </row>
    <row r="194" spans="2:39" hidden="1" x14ac:dyDescent="0.2">
      <c r="B194" s="50">
        <v>43689</v>
      </c>
      <c r="C194" s="35">
        <v>0.5083333333333333</v>
      </c>
      <c r="D194" s="35"/>
      <c r="E194" s="35" t="s">
        <v>111</v>
      </c>
      <c r="F194" s="37">
        <v>2</v>
      </c>
      <c r="G194" s="42" t="str">
        <f>VLOOKUP(F194,Key!$A$17:$B$21,2,FALSE)</f>
        <v>Road Vehicle</v>
      </c>
      <c r="H194" s="36">
        <v>7</v>
      </c>
      <c r="I194" s="43" t="str">
        <f>VLOOKUP(H194,Key!$A$2:$B$13,2,FALSE)</f>
        <v xml:space="preserve">Light Truck </v>
      </c>
      <c r="J194" s="37" t="s">
        <v>123</v>
      </c>
      <c r="K194" s="13">
        <v>1</v>
      </c>
      <c r="L194" s="45" t="str">
        <f>VLOOKUP(K194,Key!$A$24:$B$29,2,FALSE)</f>
        <v>20-29</v>
      </c>
      <c r="M194" s="44" t="s">
        <v>167</v>
      </c>
      <c r="N194" s="32" t="s">
        <v>167</v>
      </c>
      <c r="O194" s="37" t="s">
        <v>168</v>
      </c>
      <c r="P194" s="39">
        <v>2</v>
      </c>
      <c r="Q194" s="34" t="str">
        <f>VLOOKUP(P194,Key!$E$2:$F$9,2,FALSE)</f>
        <v>Work</v>
      </c>
      <c r="R194" s="37" t="s">
        <v>169</v>
      </c>
      <c r="S194" s="32" t="s">
        <v>169</v>
      </c>
      <c r="T194" s="37" t="s">
        <v>168</v>
      </c>
      <c r="U194" s="32">
        <v>4</v>
      </c>
      <c r="V194" s="34" t="str">
        <f>VLOOKUP(U194,Key!$E$2:$F$9,2,FALSE)</f>
        <v>Commercial</v>
      </c>
      <c r="W194" s="34" t="str">
        <f t="shared" si="4"/>
        <v>Work-Commercial</v>
      </c>
      <c r="X194" s="47">
        <v>250000</v>
      </c>
      <c r="Y194" s="38">
        <v>140</v>
      </c>
      <c r="Z194" s="38">
        <v>5</v>
      </c>
      <c r="AA194" s="32">
        <v>10</v>
      </c>
      <c r="AB194" s="34" t="str">
        <f>VLOOKUP(AA194,Key!$C$20:$D$29,2,FALSE)</f>
        <v>Other</v>
      </c>
      <c r="AC194" s="32">
        <v>2</v>
      </c>
      <c r="AD194" s="34" t="str">
        <f>VLOOKUP(AC194,Key!$E$20:$F$24,2,FALSE)</f>
        <v>300,000-500,000</v>
      </c>
      <c r="AE194" s="32">
        <v>2</v>
      </c>
      <c r="AF194" s="55">
        <v>2</v>
      </c>
      <c r="AG194" s="55">
        <v>2</v>
      </c>
      <c r="AH194" s="55">
        <v>1</v>
      </c>
      <c r="AI194" s="55">
        <v>4</v>
      </c>
      <c r="AJ194" s="39" t="s">
        <v>104</v>
      </c>
      <c r="AK194" s="40">
        <v>2000</v>
      </c>
      <c r="AL194" s="24"/>
      <c r="AM194" s="24"/>
    </row>
    <row r="195" spans="2:39" hidden="1" x14ac:dyDescent="0.2">
      <c r="B195" s="50">
        <v>43686</v>
      </c>
      <c r="C195" s="35">
        <v>0.76527777777777783</v>
      </c>
      <c r="D195" s="35"/>
      <c r="E195" s="35" t="s">
        <v>111</v>
      </c>
      <c r="F195" s="37">
        <v>2</v>
      </c>
      <c r="G195" s="42" t="str">
        <f>VLOOKUP(F195,Key!$A$17:$B$21,2,FALSE)</f>
        <v>Road Vehicle</v>
      </c>
      <c r="H195" s="36">
        <v>7</v>
      </c>
      <c r="I195" s="43" t="str">
        <f>VLOOKUP(H195,Key!$A$2:$B$13,2,FALSE)</f>
        <v xml:space="preserve">Light Truck </v>
      </c>
      <c r="J195" s="37" t="s">
        <v>123</v>
      </c>
      <c r="K195" s="13">
        <v>1</v>
      </c>
      <c r="L195" s="45" t="str">
        <f>VLOOKUP(K195,Key!$A$24:$B$29,2,FALSE)</f>
        <v>20-29</v>
      </c>
      <c r="M195" s="44" t="s">
        <v>169</v>
      </c>
      <c r="N195" s="32" t="s">
        <v>169</v>
      </c>
      <c r="O195" s="37" t="s">
        <v>168</v>
      </c>
      <c r="P195" s="39">
        <v>4</v>
      </c>
      <c r="Q195" s="34" t="str">
        <f>VLOOKUP(P195,Key!$E$2:$F$9,2,FALSE)</f>
        <v>Commercial</v>
      </c>
      <c r="R195" s="37" t="s">
        <v>167</v>
      </c>
      <c r="S195" s="32" t="s">
        <v>167</v>
      </c>
      <c r="T195" s="37" t="s">
        <v>168</v>
      </c>
      <c r="U195" s="32">
        <v>1</v>
      </c>
      <c r="V195" s="34" t="str">
        <f>VLOOKUP(U195,Key!$E$2:$F$9,2,FALSE)</f>
        <v>Home</v>
      </c>
      <c r="W195" s="34" t="str">
        <f t="shared" si="4"/>
        <v>Commercial-Home</v>
      </c>
      <c r="X195" s="47">
        <v>160000</v>
      </c>
      <c r="Y195" s="38">
        <v>144</v>
      </c>
      <c r="Z195" s="38">
        <v>5</v>
      </c>
      <c r="AA195" s="32">
        <v>10</v>
      </c>
      <c r="AB195" s="34" t="str">
        <f>VLOOKUP(AA195,Key!$C$20:$D$29,2,FALSE)</f>
        <v>Other</v>
      </c>
      <c r="AC195" s="32">
        <v>2</v>
      </c>
      <c r="AD195" s="34" t="str">
        <f>VLOOKUP(AC195,Key!$E$20:$F$24,2,FALSE)</f>
        <v>300,000-500,000</v>
      </c>
      <c r="AE195" s="32">
        <v>2</v>
      </c>
      <c r="AF195" s="55">
        <v>3</v>
      </c>
      <c r="AG195" s="55">
        <v>5</v>
      </c>
      <c r="AH195" s="55">
        <v>1</v>
      </c>
      <c r="AI195" s="55">
        <v>4</v>
      </c>
      <c r="AJ195" s="39" t="s">
        <v>104</v>
      </c>
      <c r="AK195" s="40"/>
      <c r="AL195" s="24"/>
      <c r="AM195" s="24"/>
    </row>
    <row r="196" spans="2:39" hidden="1" x14ac:dyDescent="0.2">
      <c r="B196" s="50">
        <v>43686</v>
      </c>
      <c r="C196" s="35">
        <v>0.76527777777777783</v>
      </c>
      <c r="D196" s="35"/>
      <c r="E196" s="35" t="s">
        <v>111</v>
      </c>
      <c r="F196" s="37">
        <v>2</v>
      </c>
      <c r="G196" s="42" t="str">
        <f>VLOOKUP(F196,Key!$A$17:$B$21,2,FALSE)</f>
        <v>Road Vehicle</v>
      </c>
      <c r="H196" s="36">
        <v>7</v>
      </c>
      <c r="I196" s="43" t="str">
        <f>VLOOKUP(H196,Key!$A$2:$B$13,2,FALSE)</f>
        <v xml:space="preserve">Light Truck </v>
      </c>
      <c r="J196" s="37" t="s">
        <v>123</v>
      </c>
      <c r="K196" s="37">
        <v>3</v>
      </c>
      <c r="L196" s="45" t="str">
        <f>VLOOKUP(K196,Key!$A$24:$B$29,2,FALSE)</f>
        <v>40-49</v>
      </c>
      <c r="M196" s="44" t="s">
        <v>225</v>
      </c>
      <c r="N196" s="44" t="s">
        <v>190</v>
      </c>
      <c r="O196" s="37" t="s">
        <v>168</v>
      </c>
      <c r="P196" s="39">
        <v>4</v>
      </c>
      <c r="Q196" s="34" t="str">
        <f>VLOOKUP(P196,Key!$E$2:$F$9,2,FALSE)</f>
        <v>Commercial</v>
      </c>
      <c r="R196" s="37" t="s">
        <v>226</v>
      </c>
      <c r="S196" s="32" t="s">
        <v>169</v>
      </c>
      <c r="T196" s="37" t="s">
        <v>168</v>
      </c>
      <c r="U196" s="32">
        <v>2</v>
      </c>
      <c r="V196" s="34" t="str">
        <f>VLOOKUP(U196,Key!$E$2:$F$9,2,FALSE)</f>
        <v>Work</v>
      </c>
      <c r="W196" s="34" t="str">
        <f t="shared" si="4"/>
        <v>Commercial-Work</v>
      </c>
      <c r="X196" s="47">
        <v>100000</v>
      </c>
      <c r="Y196" s="38">
        <v>200</v>
      </c>
      <c r="Z196" s="38">
        <v>5</v>
      </c>
      <c r="AA196" s="32">
        <v>2</v>
      </c>
      <c r="AB196" s="34" t="str">
        <f>VLOOKUP(AA196,Key!$C$20:$D$29,2,FALSE)</f>
        <v>Manual Labour</v>
      </c>
      <c r="AC196" s="32">
        <v>2</v>
      </c>
      <c r="AD196" s="34" t="str">
        <f>VLOOKUP(AC196,Key!$E$20:$F$24,2,FALSE)</f>
        <v>300,000-500,000</v>
      </c>
      <c r="AE196" s="32">
        <v>2</v>
      </c>
      <c r="AF196" s="55">
        <v>2</v>
      </c>
      <c r="AG196" s="55">
        <v>4</v>
      </c>
      <c r="AH196" s="55">
        <v>1</v>
      </c>
      <c r="AI196" s="55">
        <v>1</v>
      </c>
      <c r="AJ196" s="39" t="s">
        <v>104</v>
      </c>
      <c r="AK196" s="40">
        <v>5000</v>
      </c>
      <c r="AL196" s="24"/>
      <c r="AM196" s="24"/>
    </row>
    <row r="197" spans="2:39" hidden="1" x14ac:dyDescent="0.2">
      <c r="B197" s="50">
        <v>43690</v>
      </c>
      <c r="C197" s="35">
        <v>0.61805555555555558</v>
      </c>
      <c r="D197" s="35"/>
      <c r="E197" s="35" t="s">
        <v>111</v>
      </c>
      <c r="F197" s="37">
        <v>2</v>
      </c>
      <c r="G197" s="42" t="str">
        <f>VLOOKUP(F197,Key!$A$17:$B$21,2,FALSE)</f>
        <v>Road Vehicle</v>
      </c>
      <c r="H197" s="36">
        <v>7</v>
      </c>
      <c r="I197" s="43" t="str">
        <f>VLOOKUP(H197,Key!$A$2:$B$13,2,FALSE)</f>
        <v xml:space="preserve">Light Truck </v>
      </c>
      <c r="J197" s="37" t="s">
        <v>123</v>
      </c>
      <c r="K197" s="37">
        <v>3</v>
      </c>
      <c r="L197" s="45" t="str">
        <f>VLOOKUP(K197,Key!$A$24:$B$29,2,FALSE)</f>
        <v>40-49</v>
      </c>
      <c r="M197" s="37" t="s">
        <v>225</v>
      </c>
      <c r="N197" s="32" t="s">
        <v>190</v>
      </c>
      <c r="O197" s="37" t="s">
        <v>168</v>
      </c>
      <c r="P197" s="39">
        <v>4</v>
      </c>
      <c r="Q197" s="34" t="str">
        <f>VLOOKUP(P197,Key!$E$2:$F$9,2,FALSE)</f>
        <v>Commercial</v>
      </c>
      <c r="R197" s="37" t="s">
        <v>235</v>
      </c>
      <c r="S197" s="32" t="s">
        <v>169</v>
      </c>
      <c r="T197" s="37" t="s">
        <v>168</v>
      </c>
      <c r="U197" s="32">
        <v>2</v>
      </c>
      <c r="V197" s="34" t="str">
        <f>VLOOKUP(U197,Key!$E$2:$F$9,2,FALSE)</f>
        <v>Work</v>
      </c>
      <c r="W197" s="34" t="str">
        <f t="shared" si="4"/>
        <v>Commercial-Work</v>
      </c>
      <c r="X197" s="47">
        <v>100000</v>
      </c>
      <c r="Y197" s="38">
        <v>200</v>
      </c>
      <c r="Z197" s="38">
        <v>5</v>
      </c>
      <c r="AA197" s="32">
        <v>2</v>
      </c>
      <c r="AB197" s="34" t="str">
        <f>VLOOKUP(AA197,Key!$C$20:$D$29,2,FALSE)</f>
        <v>Manual Labour</v>
      </c>
      <c r="AC197" s="32">
        <v>2</v>
      </c>
      <c r="AD197" s="34" t="str">
        <f>VLOOKUP(AC197,Key!$E$20:$F$24,2,FALSE)</f>
        <v>300,000-500,000</v>
      </c>
      <c r="AE197" s="32">
        <v>2</v>
      </c>
      <c r="AF197" s="55">
        <v>2</v>
      </c>
      <c r="AG197" s="55">
        <v>4</v>
      </c>
      <c r="AH197" s="55">
        <v>1</v>
      </c>
      <c r="AI197" s="55">
        <v>1</v>
      </c>
      <c r="AJ197" s="39" t="s">
        <v>104</v>
      </c>
      <c r="AK197" s="40">
        <v>5000</v>
      </c>
      <c r="AL197" s="24"/>
      <c r="AM197" s="24"/>
    </row>
    <row r="198" spans="2:39" hidden="1" x14ac:dyDescent="0.2">
      <c r="B198" s="50">
        <v>43687</v>
      </c>
      <c r="C198" s="35">
        <v>0.48125000000000001</v>
      </c>
      <c r="D198" s="35"/>
      <c r="E198" s="35" t="s">
        <v>111</v>
      </c>
      <c r="F198" s="37">
        <v>2</v>
      </c>
      <c r="G198" s="42" t="str">
        <f>VLOOKUP(F198,Key!$A$17:$B$21,2,FALSE)</f>
        <v>Road Vehicle</v>
      </c>
      <c r="H198" s="36">
        <v>7</v>
      </c>
      <c r="I198" s="43" t="str">
        <f>VLOOKUP(H198,Key!$A$2:$B$13,2,FALSE)</f>
        <v xml:space="preserve">Light Truck </v>
      </c>
      <c r="J198" s="37" t="s">
        <v>123</v>
      </c>
      <c r="K198" s="37">
        <v>3</v>
      </c>
      <c r="L198" s="45" t="str">
        <f>VLOOKUP(K198,Key!$A$24:$B$29,2,FALSE)</f>
        <v>40-49</v>
      </c>
      <c r="M198" s="37" t="s">
        <v>300</v>
      </c>
      <c r="N198" s="32" t="s">
        <v>300</v>
      </c>
      <c r="O198" s="37" t="s">
        <v>168</v>
      </c>
      <c r="P198" s="39">
        <v>1</v>
      </c>
      <c r="Q198" s="34" t="str">
        <f>VLOOKUP(P198,Key!$E$2:$F$9,2,FALSE)</f>
        <v>Home</v>
      </c>
      <c r="R198" s="37" t="s">
        <v>327</v>
      </c>
      <c r="S198" s="32" t="s">
        <v>327</v>
      </c>
      <c r="T198" s="37" t="s">
        <v>168</v>
      </c>
      <c r="U198" s="32">
        <v>2</v>
      </c>
      <c r="V198" s="34" t="str">
        <f>VLOOKUP(U198,Key!$E$2:$F$9,2,FALSE)</f>
        <v>Work</v>
      </c>
      <c r="W198" s="34" t="str">
        <f t="shared" si="4"/>
        <v>Home-Work</v>
      </c>
      <c r="X198" s="47">
        <v>120000</v>
      </c>
      <c r="Y198" s="38">
        <v>240</v>
      </c>
      <c r="Z198" s="38">
        <v>5</v>
      </c>
      <c r="AA198" s="32">
        <v>5</v>
      </c>
      <c r="AB198" s="34" t="str">
        <f>VLOOKUP(AA198,Key!$C$20:$D$29,2,FALSE)</f>
        <v>Professional</v>
      </c>
      <c r="AC198" s="32">
        <v>4</v>
      </c>
      <c r="AD198" s="34" t="str">
        <f>VLOOKUP(AC198,Key!$E$20:$F$24,2,FALSE)</f>
        <v>750,000-1,000,000</v>
      </c>
      <c r="AE198" s="32">
        <v>1</v>
      </c>
      <c r="AF198" s="55">
        <v>1</v>
      </c>
      <c r="AG198" s="55">
        <v>1</v>
      </c>
      <c r="AH198" s="55">
        <v>1</v>
      </c>
      <c r="AI198" s="55">
        <v>1</v>
      </c>
      <c r="AJ198" s="39" t="s">
        <v>104</v>
      </c>
      <c r="AK198" s="40">
        <v>10000</v>
      </c>
      <c r="AL198" s="24"/>
      <c r="AM198" s="24"/>
    </row>
    <row r="199" spans="2:39" hidden="1" x14ac:dyDescent="0.2">
      <c r="B199" s="50">
        <v>43687</v>
      </c>
      <c r="C199" s="35">
        <v>0.52222222222222225</v>
      </c>
      <c r="D199" s="35"/>
      <c r="E199" s="35" t="s">
        <v>111</v>
      </c>
      <c r="F199" s="37">
        <v>2</v>
      </c>
      <c r="G199" s="42" t="str">
        <f>VLOOKUP(F199,Key!$A$17:$B$21,2,FALSE)</f>
        <v>Road Vehicle</v>
      </c>
      <c r="H199" s="36">
        <v>7</v>
      </c>
      <c r="I199" s="43" t="str">
        <f>VLOOKUP(H199,Key!$A$2:$B$13,2,FALSE)</f>
        <v xml:space="preserve">Light Truck </v>
      </c>
      <c r="J199" s="37" t="s">
        <v>123</v>
      </c>
      <c r="K199" s="37">
        <v>2</v>
      </c>
      <c r="L199" s="45" t="str">
        <f>VLOOKUP(K199,Key!$A$24:$B$29,2,FALSE)</f>
        <v>30-39</v>
      </c>
      <c r="M199" s="44" t="s">
        <v>187</v>
      </c>
      <c r="N199" s="44" t="s">
        <v>167</v>
      </c>
      <c r="O199" s="37" t="s">
        <v>168</v>
      </c>
      <c r="P199" s="39">
        <v>2</v>
      </c>
      <c r="Q199" s="34" t="str">
        <f>VLOOKUP(P199,Key!$E$2:$F$9,2,FALSE)</f>
        <v>Work</v>
      </c>
      <c r="R199" s="37" t="s">
        <v>169</v>
      </c>
      <c r="S199" s="32" t="s">
        <v>188</v>
      </c>
      <c r="T199" s="37" t="s">
        <v>168</v>
      </c>
      <c r="U199" s="32">
        <v>4</v>
      </c>
      <c r="V199" s="34" t="str">
        <f>VLOOKUP(U199,Key!$E$2:$F$9,2,FALSE)</f>
        <v>Commercial</v>
      </c>
      <c r="W199" s="34" t="str">
        <f t="shared" si="4"/>
        <v>Work-Commercial</v>
      </c>
      <c r="X199" s="47">
        <v>150000</v>
      </c>
      <c r="Y199" s="38">
        <v>250</v>
      </c>
      <c r="Z199" s="38">
        <v>6</v>
      </c>
      <c r="AA199" s="32">
        <v>6</v>
      </c>
      <c r="AB199" s="34" t="str">
        <f>VLOOKUP(AA199,Key!$C$20:$D$29,2,FALSE)</f>
        <v>Businessman</v>
      </c>
      <c r="AC199" s="32">
        <v>3</v>
      </c>
      <c r="AD199" s="34" t="str">
        <f>VLOOKUP(AC199,Key!$E$20:$F$24,2,FALSE)</f>
        <v>500,000-750,000</v>
      </c>
      <c r="AE199" s="32">
        <v>1</v>
      </c>
      <c r="AF199" s="55">
        <v>1</v>
      </c>
      <c r="AG199" s="55">
        <v>1</v>
      </c>
      <c r="AH199" s="55">
        <v>1</v>
      </c>
      <c r="AI199" s="55">
        <v>1</v>
      </c>
      <c r="AJ199" s="39" t="s">
        <v>104</v>
      </c>
      <c r="AK199" s="40">
        <v>3000</v>
      </c>
      <c r="AL199" s="24"/>
      <c r="AM199" s="24"/>
    </row>
    <row r="200" spans="2:39" hidden="1" x14ac:dyDescent="0.2">
      <c r="B200" s="50">
        <v>43687</v>
      </c>
      <c r="C200" s="35">
        <v>0.55208333333333337</v>
      </c>
      <c r="D200" s="35"/>
      <c r="E200" s="35" t="s">
        <v>111</v>
      </c>
      <c r="F200" s="37">
        <v>2</v>
      </c>
      <c r="G200" s="42" t="str">
        <f>VLOOKUP(F200,Key!$A$17:$B$21,2,FALSE)</f>
        <v>Road Vehicle</v>
      </c>
      <c r="H200" s="36">
        <v>7</v>
      </c>
      <c r="I200" s="43" t="str">
        <f>VLOOKUP(H200,Key!$A$2:$B$13,2,FALSE)</f>
        <v xml:space="preserve">Light Truck </v>
      </c>
      <c r="J200" s="37" t="s">
        <v>123</v>
      </c>
      <c r="K200" s="37">
        <v>2</v>
      </c>
      <c r="L200" s="45" t="str">
        <f>VLOOKUP(K200,Key!$A$24:$B$29,2,FALSE)</f>
        <v>30-39</v>
      </c>
      <c r="M200" s="44" t="s">
        <v>231</v>
      </c>
      <c r="N200" s="44" t="s">
        <v>169</v>
      </c>
      <c r="O200" s="37" t="s">
        <v>168</v>
      </c>
      <c r="P200" s="39">
        <v>2</v>
      </c>
      <c r="Q200" s="34" t="str">
        <f>VLOOKUP(P200,Key!$E$2:$F$9,2,FALSE)</f>
        <v>Work</v>
      </c>
      <c r="R200" s="37" t="s">
        <v>232</v>
      </c>
      <c r="S200" s="32" t="s">
        <v>188</v>
      </c>
      <c r="T200" s="37" t="s">
        <v>168</v>
      </c>
      <c r="U200" s="32">
        <v>4</v>
      </c>
      <c r="V200" s="34" t="str">
        <f>VLOOKUP(U200,Key!$E$2:$F$9,2,FALSE)</f>
        <v>Commercial</v>
      </c>
      <c r="W200" s="34" t="str">
        <f t="shared" si="4"/>
        <v>Work-Commercial</v>
      </c>
      <c r="X200" s="47">
        <v>150000</v>
      </c>
      <c r="Y200" s="38">
        <v>250</v>
      </c>
      <c r="Z200" s="38">
        <v>6</v>
      </c>
      <c r="AA200" s="32">
        <v>6</v>
      </c>
      <c r="AB200" s="34" t="str">
        <f>VLOOKUP(AA200,Key!$C$20:$D$29,2,FALSE)</f>
        <v>Businessman</v>
      </c>
      <c r="AC200" s="32">
        <v>3</v>
      </c>
      <c r="AD200" s="34" t="str">
        <f>VLOOKUP(AC200,Key!$E$20:$F$24,2,FALSE)</f>
        <v>500,000-750,000</v>
      </c>
      <c r="AE200" s="32">
        <v>1</v>
      </c>
      <c r="AF200" s="55">
        <v>1</v>
      </c>
      <c r="AG200" s="55">
        <v>1</v>
      </c>
      <c r="AH200" s="55">
        <v>1</v>
      </c>
      <c r="AI200" s="55">
        <v>1</v>
      </c>
      <c r="AJ200" s="39" t="s">
        <v>104</v>
      </c>
      <c r="AK200" s="40">
        <v>3000</v>
      </c>
      <c r="AL200" s="24"/>
      <c r="AM200" s="24"/>
    </row>
    <row r="201" spans="2:39" hidden="1" x14ac:dyDescent="0.2">
      <c r="B201" s="50">
        <v>43687</v>
      </c>
      <c r="C201" s="35">
        <v>0.64722222222222225</v>
      </c>
      <c r="D201" s="35"/>
      <c r="E201" s="35" t="s">
        <v>111</v>
      </c>
      <c r="F201" s="37">
        <v>2</v>
      </c>
      <c r="G201" s="42" t="str">
        <f>VLOOKUP(F201,Key!$A$17:$B$21,2,FALSE)</f>
        <v>Road Vehicle</v>
      </c>
      <c r="H201" s="36">
        <v>7</v>
      </c>
      <c r="I201" s="43" t="str">
        <f>VLOOKUP(H201,Key!$A$2:$B$13,2,FALSE)</f>
        <v xml:space="preserve">Light Truck </v>
      </c>
      <c r="J201" s="37" t="s">
        <v>123</v>
      </c>
      <c r="K201" s="37">
        <v>2</v>
      </c>
      <c r="L201" s="45" t="str">
        <f>VLOOKUP(K201,Key!$A$24:$B$29,2,FALSE)</f>
        <v>30-39</v>
      </c>
      <c r="M201" s="37" t="s">
        <v>167</v>
      </c>
      <c r="N201" s="32" t="s">
        <v>167</v>
      </c>
      <c r="O201" s="37" t="s">
        <v>168</v>
      </c>
      <c r="P201" s="39">
        <v>2</v>
      </c>
      <c r="Q201" s="34" t="str">
        <f>VLOOKUP(P201,Key!$E$2:$F$9,2,FALSE)</f>
        <v>Work</v>
      </c>
      <c r="R201" s="37" t="s">
        <v>236</v>
      </c>
      <c r="S201" s="32" t="s">
        <v>236</v>
      </c>
      <c r="T201" s="37" t="s">
        <v>168</v>
      </c>
      <c r="U201" s="32">
        <v>4</v>
      </c>
      <c r="V201" s="34" t="str">
        <f>VLOOKUP(U201,Key!$E$2:$F$9,2,FALSE)</f>
        <v>Commercial</v>
      </c>
      <c r="W201" s="34" t="str">
        <f t="shared" si="4"/>
        <v>Work-Commercial</v>
      </c>
      <c r="X201" s="47">
        <v>100000</v>
      </c>
      <c r="Y201" s="38">
        <v>250</v>
      </c>
      <c r="Z201" s="38">
        <v>6</v>
      </c>
      <c r="AA201" s="32">
        <v>6</v>
      </c>
      <c r="AB201" s="34" t="str">
        <f>VLOOKUP(AA201,Key!$C$20:$D$29,2,FALSE)</f>
        <v>Businessman</v>
      </c>
      <c r="AC201" s="32">
        <v>2</v>
      </c>
      <c r="AD201" s="34" t="str">
        <f>VLOOKUP(AC201,Key!$E$20:$F$24,2,FALSE)</f>
        <v>300,000-500,000</v>
      </c>
      <c r="AE201" s="32">
        <v>2</v>
      </c>
      <c r="AF201" s="55">
        <v>3</v>
      </c>
      <c r="AG201" s="55">
        <v>4</v>
      </c>
      <c r="AH201" s="55">
        <v>1</v>
      </c>
      <c r="AI201" s="55">
        <v>5</v>
      </c>
      <c r="AJ201" s="39" t="s">
        <v>104</v>
      </c>
      <c r="AK201" s="40">
        <v>5000</v>
      </c>
      <c r="AL201" s="24"/>
      <c r="AM201" s="24"/>
    </row>
    <row r="202" spans="2:39" hidden="1" x14ac:dyDescent="0.2">
      <c r="B202" s="50">
        <v>43690</v>
      </c>
      <c r="C202" s="35">
        <v>0.71250000000000002</v>
      </c>
      <c r="D202" s="35"/>
      <c r="E202" s="35" t="s">
        <v>111</v>
      </c>
      <c r="F202" s="37">
        <v>2</v>
      </c>
      <c r="G202" s="42" t="str">
        <f>VLOOKUP(F202,Key!$A$17:$B$21,2,FALSE)</f>
        <v>Road Vehicle</v>
      </c>
      <c r="H202" s="36">
        <v>7</v>
      </c>
      <c r="I202" s="43" t="str">
        <f>VLOOKUP(H202,Key!$A$2:$B$13,2,FALSE)</f>
        <v xml:space="preserve">Light Truck </v>
      </c>
      <c r="J202" s="37" t="s">
        <v>123</v>
      </c>
      <c r="K202" s="13">
        <v>3</v>
      </c>
      <c r="L202" s="45" t="str">
        <f>VLOOKUP(K202,Key!$A$24:$B$29,2,FALSE)</f>
        <v>40-49</v>
      </c>
      <c r="M202" s="44" t="s">
        <v>167</v>
      </c>
      <c r="N202" s="32" t="s">
        <v>167</v>
      </c>
      <c r="O202" s="37" t="s">
        <v>168</v>
      </c>
      <c r="P202" s="39">
        <v>2</v>
      </c>
      <c r="Q202" s="34" t="str">
        <f>VLOOKUP(P202,Key!$E$2:$F$9,2,FALSE)</f>
        <v>Work</v>
      </c>
      <c r="R202" s="37" t="s">
        <v>107</v>
      </c>
      <c r="S202" s="32" t="s">
        <v>107</v>
      </c>
      <c r="T202" s="37" t="s">
        <v>168</v>
      </c>
      <c r="U202" s="32">
        <v>4</v>
      </c>
      <c r="V202" s="34" t="str">
        <f>VLOOKUP(U202,Key!$E$2:$F$9,2,FALSE)</f>
        <v>Commercial</v>
      </c>
      <c r="W202" s="34" t="str">
        <f t="shared" si="4"/>
        <v>Work-Commercial</v>
      </c>
      <c r="X202" s="47">
        <v>750000</v>
      </c>
      <c r="Y202" s="38">
        <v>470</v>
      </c>
      <c r="Z202" s="38">
        <v>9</v>
      </c>
      <c r="AA202" s="32">
        <v>10</v>
      </c>
      <c r="AB202" s="34" t="str">
        <f>VLOOKUP(AA202,Key!$C$20:$D$29,2,FALSE)</f>
        <v>Other</v>
      </c>
      <c r="AC202" s="32">
        <v>2</v>
      </c>
      <c r="AD202" s="34" t="str">
        <f>VLOOKUP(AC202,Key!$E$20:$F$24,2,FALSE)</f>
        <v>300,000-500,000</v>
      </c>
      <c r="AE202" s="32">
        <v>3</v>
      </c>
      <c r="AF202" s="55">
        <v>2</v>
      </c>
      <c r="AG202" s="55">
        <v>4</v>
      </c>
      <c r="AH202" s="55">
        <v>1</v>
      </c>
      <c r="AI202" s="55">
        <v>5</v>
      </c>
      <c r="AJ202" s="39" t="s">
        <v>104</v>
      </c>
      <c r="AK202" s="40">
        <v>5000</v>
      </c>
      <c r="AL202" s="24"/>
      <c r="AM202" s="24"/>
    </row>
    <row r="203" spans="2:39" hidden="1" x14ac:dyDescent="0.2">
      <c r="B203" s="50">
        <v>43690</v>
      </c>
      <c r="C203" s="35">
        <v>0.70763888888888893</v>
      </c>
      <c r="D203" s="35"/>
      <c r="E203" s="35" t="s">
        <v>111</v>
      </c>
      <c r="F203" s="37">
        <v>2</v>
      </c>
      <c r="G203" s="42" t="str">
        <f>VLOOKUP(F203,Key!$A$17:$B$21,2,FALSE)</f>
        <v>Road Vehicle</v>
      </c>
      <c r="H203" s="36">
        <v>7</v>
      </c>
      <c r="I203" s="43" t="str">
        <f>VLOOKUP(H203,Key!$A$2:$B$13,2,FALSE)</f>
        <v xml:space="preserve">Light Truck </v>
      </c>
      <c r="J203" s="37" t="s">
        <v>123</v>
      </c>
      <c r="K203" s="37">
        <v>1</v>
      </c>
      <c r="L203" s="45" t="str">
        <f>VLOOKUP(K203,Key!$A$24:$B$29,2,FALSE)</f>
        <v>20-29</v>
      </c>
      <c r="M203" s="37" t="s">
        <v>298</v>
      </c>
      <c r="N203" s="32" t="s">
        <v>298</v>
      </c>
      <c r="O203" s="37" t="s">
        <v>168</v>
      </c>
      <c r="P203" s="39">
        <v>2</v>
      </c>
      <c r="Q203" s="34" t="str">
        <f>VLOOKUP(P203,Key!$E$2:$F$9,2,FALSE)</f>
        <v>Work</v>
      </c>
      <c r="R203" s="37" t="s">
        <v>167</v>
      </c>
      <c r="S203" s="32" t="s">
        <v>167</v>
      </c>
      <c r="T203" s="37" t="s">
        <v>168</v>
      </c>
      <c r="U203" s="32">
        <v>2</v>
      </c>
      <c r="V203" s="34" t="str">
        <f>VLOOKUP(U203,Key!$E$2:$F$9,2,FALSE)</f>
        <v>Work</v>
      </c>
      <c r="W203" s="34" t="str">
        <f t="shared" si="4"/>
        <v>Work-Work</v>
      </c>
      <c r="X203" s="47">
        <v>100000</v>
      </c>
      <c r="Y203" s="38">
        <v>500</v>
      </c>
      <c r="Z203" s="38">
        <v>18</v>
      </c>
      <c r="AA203" s="32">
        <v>10</v>
      </c>
      <c r="AB203" s="34" t="str">
        <f>VLOOKUP(AA203,Key!$C$20:$D$29,2,FALSE)</f>
        <v>Other</v>
      </c>
      <c r="AC203" s="32">
        <v>2</v>
      </c>
      <c r="AD203" s="34" t="str">
        <f>VLOOKUP(AC203,Key!$E$20:$F$24,2,FALSE)</f>
        <v>300,000-500,000</v>
      </c>
      <c r="AE203" s="32">
        <v>3</v>
      </c>
      <c r="AF203" s="55">
        <v>4</v>
      </c>
      <c r="AG203" s="55">
        <v>2</v>
      </c>
      <c r="AH203" s="55">
        <v>4</v>
      </c>
      <c r="AI203" s="55">
        <v>4</v>
      </c>
      <c r="AJ203" s="39" t="s">
        <v>104</v>
      </c>
      <c r="AK203" s="40">
        <v>10000</v>
      </c>
      <c r="AL203" s="24"/>
      <c r="AM203" s="24"/>
    </row>
    <row r="204" spans="2:39" hidden="1" x14ac:dyDescent="0.2">
      <c r="B204" s="50">
        <v>43689</v>
      </c>
      <c r="C204" s="35">
        <v>0.63888888888888895</v>
      </c>
      <c r="D204" s="35"/>
      <c r="E204" s="35" t="s">
        <v>111</v>
      </c>
      <c r="F204" s="37">
        <v>2</v>
      </c>
      <c r="G204" s="42" t="str">
        <f>VLOOKUP(F204,Key!$A$17:$B$21,2,FALSE)</f>
        <v>Road Vehicle</v>
      </c>
      <c r="H204" s="36">
        <v>7</v>
      </c>
      <c r="I204" s="43" t="str">
        <f>VLOOKUP(H204,Key!$A$2:$B$13,2,FALSE)</f>
        <v xml:space="preserve">Light Truck </v>
      </c>
      <c r="J204" s="37" t="s">
        <v>123</v>
      </c>
      <c r="K204" s="13">
        <v>2</v>
      </c>
      <c r="L204" s="45" t="str">
        <f>VLOOKUP(K204,Key!$A$24:$B$29,2,FALSE)</f>
        <v>30-39</v>
      </c>
      <c r="M204" s="44" t="s">
        <v>167</v>
      </c>
      <c r="N204" s="32" t="s">
        <v>167</v>
      </c>
      <c r="O204" s="37" t="s">
        <v>168</v>
      </c>
      <c r="P204" s="39">
        <v>1</v>
      </c>
      <c r="Q204" s="34" t="str">
        <f>VLOOKUP(P204,Key!$E$2:$F$9,2,FALSE)</f>
        <v>Home</v>
      </c>
      <c r="R204" s="37" t="s">
        <v>175</v>
      </c>
      <c r="S204" s="32" t="s">
        <v>175</v>
      </c>
      <c r="T204" s="37" t="s">
        <v>168</v>
      </c>
      <c r="U204" s="32">
        <v>4</v>
      </c>
      <c r="V204" s="34" t="str">
        <f>VLOOKUP(U204,Key!$E$2:$F$9,2,FALSE)</f>
        <v>Commercial</v>
      </c>
      <c r="W204" s="34" t="str">
        <f t="shared" si="4"/>
        <v>Home-Commercial</v>
      </c>
      <c r="X204" s="47">
        <v>500000</v>
      </c>
      <c r="Y204" s="38">
        <v>600</v>
      </c>
      <c r="Z204" s="38">
        <v>12</v>
      </c>
      <c r="AA204" s="32">
        <v>10</v>
      </c>
      <c r="AB204" s="34" t="str">
        <f>VLOOKUP(AA204,Key!$C$20:$D$29,2,FALSE)</f>
        <v>Other</v>
      </c>
      <c r="AC204" s="32">
        <v>3</v>
      </c>
      <c r="AD204" s="34" t="str">
        <f>VLOOKUP(AC204,Key!$E$20:$F$24,2,FALSE)</f>
        <v>500,000-750,000</v>
      </c>
      <c r="AE204" s="32">
        <v>2</v>
      </c>
      <c r="AF204" s="55">
        <v>3</v>
      </c>
      <c r="AG204" s="55">
        <v>4</v>
      </c>
      <c r="AH204" s="55">
        <v>1</v>
      </c>
      <c r="AI204" s="55">
        <v>5</v>
      </c>
      <c r="AJ204" s="39" t="s">
        <v>104</v>
      </c>
      <c r="AK204" s="40">
        <v>5000</v>
      </c>
      <c r="AL204" s="24"/>
      <c r="AM204" s="24"/>
    </row>
    <row r="205" spans="2:39" hidden="1" x14ac:dyDescent="0.2">
      <c r="B205" s="50"/>
      <c r="C205" s="35"/>
      <c r="D205" s="35"/>
      <c r="E205" s="35"/>
      <c r="F205" s="37"/>
      <c r="G205" s="42"/>
      <c r="H205" s="36"/>
      <c r="I205" s="43"/>
      <c r="J205" s="37"/>
      <c r="K205" s="13"/>
      <c r="L205" s="45"/>
      <c r="M205" s="44"/>
      <c r="N205" s="32"/>
      <c r="O205" s="37"/>
      <c r="P205" s="39"/>
      <c r="Q205" s="34"/>
      <c r="R205" s="37"/>
      <c r="S205" s="32"/>
      <c r="T205" s="37"/>
      <c r="U205" s="32"/>
      <c r="V205" s="34"/>
      <c r="W205" s="34"/>
      <c r="X205" s="47"/>
      <c r="Y205" s="38"/>
      <c r="Z205" s="38"/>
      <c r="AA205" s="32"/>
      <c r="AB205" s="34"/>
      <c r="AC205" s="32"/>
      <c r="AD205" s="34"/>
      <c r="AE205" s="32"/>
      <c r="AF205" s="55"/>
      <c r="AG205" s="55"/>
      <c r="AH205" s="55"/>
      <c r="AI205" s="55"/>
      <c r="AJ205" s="39"/>
      <c r="AK205" s="40"/>
      <c r="AL205" s="24"/>
      <c r="AM205" s="24"/>
    </row>
    <row r="206" spans="2:39" hidden="1" x14ac:dyDescent="0.2">
      <c r="B206" s="50">
        <v>43689</v>
      </c>
      <c r="C206" s="35">
        <v>0.50694444444444442</v>
      </c>
      <c r="D206" s="35"/>
      <c r="E206" s="35" t="s">
        <v>111</v>
      </c>
      <c r="F206" s="37">
        <v>2</v>
      </c>
      <c r="G206" s="42" t="str">
        <f>VLOOKUP(F206,Key!$A$17:$B$21,2,FALSE)</f>
        <v>Road Vehicle</v>
      </c>
      <c r="H206" s="36">
        <v>5</v>
      </c>
      <c r="I206" s="43" t="str">
        <f>VLOOKUP(H206,Key!$A$2:$B$13,2,FALSE)</f>
        <v xml:space="preserve">Medium bus </v>
      </c>
      <c r="J206" s="37" t="s">
        <v>123</v>
      </c>
      <c r="K206" s="37">
        <v>3</v>
      </c>
      <c r="L206" s="45" t="str">
        <f>VLOOKUP(K206,Key!$A$24:$B$29,2,FALSE)</f>
        <v>40-49</v>
      </c>
      <c r="M206" s="44" t="s">
        <v>167</v>
      </c>
      <c r="N206" s="32" t="s">
        <v>167</v>
      </c>
      <c r="O206" s="37" t="s">
        <v>168</v>
      </c>
      <c r="P206" s="39">
        <v>2</v>
      </c>
      <c r="Q206" s="34" t="str">
        <f>VLOOKUP(P206,Key!$E$2:$F$9,2,FALSE)</f>
        <v>Work</v>
      </c>
      <c r="R206" s="37" t="s">
        <v>167</v>
      </c>
      <c r="S206" s="32" t="s">
        <v>167</v>
      </c>
      <c r="T206" s="37" t="s">
        <v>168</v>
      </c>
      <c r="U206" s="32">
        <v>2</v>
      </c>
      <c r="V206" s="34" t="str">
        <f>VLOOKUP(U206,Key!$E$2:$F$9,2,FALSE)</f>
        <v>Work</v>
      </c>
      <c r="W206" s="34" t="str">
        <f t="shared" ref="W206:W239" si="5">Q206&amp;"-"&amp;V206</f>
        <v>Work-Work</v>
      </c>
      <c r="X206" s="47">
        <v>20000</v>
      </c>
      <c r="Y206" s="38">
        <v>5</v>
      </c>
      <c r="Z206" s="38">
        <v>0.3</v>
      </c>
      <c r="AA206" s="32">
        <v>10</v>
      </c>
      <c r="AB206" s="34" t="str">
        <f>VLOOKUP(AA206,Key!$C$20:$D$29,2,FALSE)</f>
        <v>Other</v>
      </c>
      <c r="AC206" s="32">
        <v>2</v>
      </c>
      <c r="AD206" s="34" t="str">
        <f>VLOOKUP(AC206,Key!$E$20:$F$24,2,FALSE)</f>
        <v>300,000-500,000</v>
      </c>
      <c r="AE206" s="32">
        <v>1</v>
      </c>
      <c r="AF206" s="55">
        <v>1</v>
      </c>
      <c r="AG206" s="55">
        <v>1</v>
      </c>
      <c r="AH206" s="55">
        <v>1</v>
      </c>
      <c r="AI206" s="55">
        <v>2</v>
      </c>
      <c r="AJ206" s="39" t="s">
        <v>104</v>
      </c>
      <c r="AK206" s="40"/>
      <c r="AL206" s="24"/>
      <c r="AM206" s="24"/>
    </row>
    <row r="207" spans="2:39" hidden="1" x14ac:dyDescent="0.2">
      <c r="B207" s="50">
        <v>43686</v>
      </c>
      <c r="C207" s="35">
        <v>0.58402777777777781</v>
      </c>
      <c r="D207" s="35"/>
      <c r="E207" s="35" t="s">
        <v>111</v>
      </c>
      <c r="F207" s="37">
        <v>2</v>
      </c>
      <c r="G207" s="42" t="str">
        <f>VLOOKUP(F207,Key!$A$17:$B$21,2,FALSE)</f>
        <v>Road Vehicle</v>
      </c>
      <c r="H207" s="36">
        <v>5</v>
      </c>
      <c r="I207" s="43" t="str">
        <f>VLOOKUP(H207,Key!$A$2:$B$13,2,FALSE)</f>
        <v xml:space="preserve">Medium bus </v>
      </c>
      <c r="J207" s="37" t="s">
        <v>123</v>
      </c>
      <c r="K207" s="37">
        <v>2</v>
      </c>
      <c r="L207" s="45" t="str">
        <f>VLOOKUP(K207,Key!$A$24:$B$29,2,FALSE)</f>
        <v>30-39</v>
      </c>
      <c r="M207" s="44" t="s">
        <v>167</v>
      </c>
      <c r="N207" s="32" t="s">
        <v>167</v>
      </c>
      <c r="O207" s="37" t="s">
        <v>168</v>
      </c>
      <c r="P207" s="39">
        <v>2</v>
      </c>
      <c r="Q207" s="34" t="str">
        <f>VLOOKUP(P207,Key!$E$2:$F$9,2,FALSE)</f>
        <v>Work</v>
      </c>
      <c r="R207" s="37" t="s">
        <v>167</v>
      </c>
      <c r="S207" s="32" t="s">
        <v>167</v>
      </c>
      <c r="T207" s="37" t="s">
        <v>168</v>
      </c>
      <c r="U207" s="32">
        <v>2</v>
      </c>
      <c r="V207" s="34" t="str">
        <f>VLOOKUP(U207,Key!$E$2:$F$9,2,FALSE)</f>
        <v>Work</v>
      </c>
      <c r="W207" s="34" t="str">
        <f t="shared" si="5"/>
        <v>Work-Work</v>
      </c>
      <c r="X207" s="47">
        <v>20000</v>
      </c>
      <c r="Y207" s="38">
        <v>5</v>
      </c>
      <c r="Z207" s="38">
        <v>0.5</v>
      </c>
      <c r="AA207" s="32">
        <v>10</v>
      </c>
      <c r="AB207" s="34" t="str">
        <f>VLOOKUP(AA207,Key!$C$20:$D$29,2,FALSE)</f>
        <v>Other</v>
      </c>
      <c r="AC207" s="32">
        <v>2</v>
      </c>
      <c r="AD207" s="34" t="str">
        <f>VLOOKUP(AC207,Key!$E$20:$F$24,2,FALSE)</f>
        <v>300,000-500,000</v>
      </c>
      <c r="AE207" s="32">
        <v>1</v>
      </c>
      <c r="AF207" s="55">
        <v>2</v>
      </c>
      <c r="AG207" s="55">
        <v>1</v>
      </c>
      <c r="AH207" s="55">
        <v>1</v>
      </c>
      <c r="AI207" s="55">
        <v>2</v>
      </c>
      <c r="AJ207" s="39" t="s">
        <v>104</v>
      </c>
      <c r="AK207" s="40">
        <v>500</v>
      </c>
      <c r="AL207" s="24"/>
      <c r="AM207" s="24"/>
    </row>
    <row r="208" spans="2:39" hidden="1" x14ac:dyDescent="0.2">
      <c r="B208" s="50">
        <v>43690</v>
      </c>
      <c r="C208" s="35">
        <v>0.38541666666666669</v>
      </c>
      <c r="D208" s="35"/>
      <c r="E208" s="35" t="s">
        <v>111</v>
      </c>
      <c r="F208" s="37">
        <v>2</v>
      </c>
      <c r="G208" s="42" t="str">
        <f>VLOOKUP(F208,Key!$A$17:$B$21,2,FALSE)</f>
        <v>Road Vehicle</v>
      </c>
      <c r="H208" s="36">
        <v>5</v>
      </c>
      <c r="I208" s="43" t="str">
        <f>VLOOKUP(H208,Key!$A$2:$B$13,2,FALSE)</f>
        <v xml:space="preserve">Medium bus </v>
      </c>
      <c r="J208" s="37" t="s">
        <v>123</v>
      </c>
      <c r="K208" s="37">
        <v>4</v>
      </c>
      <c r="L208" s="45" t="str">
        <f>VLOOKUP(K208,Key!$A$24:$B$29,2,FALSE)</f>
        <v>50-59</v>
      </c>
      <c r="M208" s="44" t="s">
        <v>167</v>
      </c>
      <c r="N208" s="32" t="s">
        <v>167</v>
      </c>
      <c r="O208" s="37" t="s">
        <v>168</v>
      </c>
      <c r="P208" s="39">
        <v>1</v>
      </c>
      <c r="Q208" s="34" t="str">
        <f>VLOOKUP(P208,Key!$E$2:$F$9,2,FALSE)</f>
        <v>Home</v>
      </c>
      <c r="R208" s="37" t="s">
        <v>182</v>
      </c>
      <c r="S208" s="32" t="s">
        <v>167</v>
      </c>
      <c r="T208" s="37" t="s">
        <v>168</v>
      </c>
      <c r="U208" s="32">
        <v>8</v>
      </c>
      <c r="V208" s="34" t="str">
        <f>VLOOKUP(U208,Key!$E$2:$F$9,2,FALSE)</f>
        <v>Others</v>
      </c>
      <c r="W208" s="34" t="str">
        <f t="shared" si="5"/>
        <v>Home-Others</v>
      </c>
      <c r="X208" s="47">
        <v>20000</v>
      </c>
      <c r="Y208" s="38">
        <v>5</v>
      </c>
      <c r="Z208" s="38">
        <v>5.6</v>
      </c>
      <c r="AA208" s="32">
        <v>10</v>
      </c>
      <c r="AB208" s="34" t="str">
        <f>VLOOKUP(AA208,Key!$C$20:$D$29,2,FALSE)</f>
        <v>Other</v>
      </c>
      <c r="AC208" s="32">
        <v>1</v>
      </c>
      <c r="AD208" s="34" t="str">
        <f>VLOOKUP(AC208,Key!$E$20:$F$24,2,FALSE)</f>
        <v>&lt;300,000</v>
      </c>
      <c r="AE208" s="32">
        <v>1</v>
      </c>
      <c r="AF208" s="55">
        <v>2</v>
      </c>
      <c r="AG208" s="55">
        <v>1</v>
      </c>
      <c r="AH208" s="55">
        <v>1</v>
      </c>
      <c r="AI208" s="55">
        <v>1</v>
      </c>
      <c r="AJ208" s="39" t="s">
        <v>104</v>
      </c>
      <c r="AK208" s="40"/>
      <c r="AL208" s="24"/>
      <c r="AM208" s="24"/>
    </row>
    <row r="209" spans="2:39" hidden="1" x14ac:dyDescent="0.2">
      <c r="B209" s="50">
        <v>43689</v>
      </c>
      <c r="C209" s="35">
        <v>0.52777777777777779</v>
      </c>
      <c r="D209" s="35"/>
      <c r="E209" s="35" t="s">
        <v>111</v>
      </c>
      <c r="F209" s="37">
        <v>2</v>
      </c>
      <c r="G209" s="42" t="str">
        <f>VLOOKUP(F209,Key!$A$17:$B$21,2,FALSE)</f>
        <v>Road Vehicle</v>
      </c>
      <c r="H209" s="36">
        <v>5</v>
      </c>
      <c r="I209" s="43" t="str">
        <f>VLOOKUP(H209,Key!$A$2:$B$13,2,FALSE)</f>
        <v xml:space="preserve">Medium bus </v>
      </c>
      <c r="J209" s="37" t="s">
        <v>123</v>
      </c>
      <c r="K209" s="37">
        <v>1</v>
      </c>
      <c r="L209" s="45" t="str">
        <f>VLOOKUP(K209,Key!$A$24:$B$29,2,FALSE)</f>
        <v>20-29</v>
      </c>
      <c r="M209" s="37" t="s">
        <v>247</v>
      </c>
      <c r="N209" s="32" t="s">
        <v>167</v>
      </c>
      <c r="O209" s="37" t="s">
        <v>168</v>
      </c>
      <c r="P209" s="39">
        <v>2</v>
      </c>
      <c r="Q209" s="34" t="str">
        <f>VLOOKUP(P209,Key!$E$2:$F$9,2,FALSE)</f>
        <v>Work</v>
      </c>
      <c r="R209" s="37" t="s">
        <v>170</v>
      </c>
      <c r="S209" s="32" t="s">
        <v>179</v>
      </c>
      <c r="T209" s="37" t="s">
        <v>168</v>
      </c>
      <c r="U209" s="32">
        <v>2</v>
      </c>
      <c r="V209" s="34" t="str">
        <f>VLOOKUP(U209,Key!$E$2:$F$9,2,FALSE)</f>
        <v>Work</v>
      </c>
      <c r="W209" s="34" t="str">
        <f t="shared" si="5"/>
        <v>Work-Work</v>
      </c>
      <c r="X209" s="47">
        <v>25000</v>
      </c>
      <c r="Y209" s="38">
        <v>7</v>
      </c>
      <c r="Z209" s="38">
        <v>2</v>
      </c>
      <c r="AA209" s="32">
        <v>10</v>
      </c>
      <c r="AB209" s="34" t="str">
        <f>VLOOKUP(AA209,Key!$C$20:$D$29,2,FALSE)</f>
        <v>Other</v>
      </c>
      <c r="AC209" s="32">
        <v>1</v>
      </c>
      <c r="AD209" s="34" t="str">
        <f>VLOOKUP(AC209,Key!$E$20:$F$24,2,FALSE)</f>
        <v>&lt;300,000</v>
      </c>
      <c r="AE209" s="32">
        <v>1</v>
      </c>
      <c r="AF209" s="55"/>
      <c r="AG209" s="55"/>
      <c r="AH209" s="55"/>
      <c r="AI209" s="55"/>
      <c r="AJ209" s="39" t="s">
        <v>104</v>
      </c>
      <c r="AK209" s="40"/>
      <c r="AL209" s="24"/>
      <c r="AM209" s="24"/>
    </row>
    <row r="210" spans="2:39" hidden="1" x14ac:dyDescent="0.2">
      <c r="B210" s="50">
        <v>43689</v>
      </c>
      <c r="C210" s="35">
        <v>0.47916666666666669</v>
      </c>
      <c r="D210" s="35"/>
      <c r="E210" s="35" t="s">
        <v>111</v>
      </c>
      <c r="F210" s="37">
        <v>2</v>
      </c>
      <c r="G210" s="42" t="str">
        <f>VLOOKUP(F210,Key!$A$17:$B$21,2,FALSE)</f>
        <v>Road Vehicle</v>
      </c>
      <c r="H210" s="36">
        <v>5</v>
      </c>
      <c r="I210" s="43" t="str">
        <f>VLOOKUP(H210,Key!$A$2:$B$13,2,FALSE)</f>
        <v xml:space="preserve">Medium bus </v>
      </c>
      <c r="J210" s="37" t="s">
        <v>123</v>
      </c>
      <c r="K210" s="37">
        <v>1</v>
      </c>
      <c r="L210" s="45" t="str">
        <f>VLOOKUP(K210,Key!$A$24:$B$29,2,FALSE)</f>
        <v>20-29</v>
      </c>
      <c r="M210" s="44" t="s">
        <v>167</v>
      </c>
      <c r="N210" s="32" t="s">
        <v>167</v>
      </c>
      <c r="O210" s="37" t="s">
        <v>168</v>
      </c>
      <c r="P210" s="39">
        <v>2</v>
      </c>
      <c r="Q210" s="34" t="str">
        <f>VLOOKUP(P210,Key!$E$2:$F$9,2,FALSE)</f>
        <v>Work</v>
      </c>
      <c r="R210" s="37" t="s">
        <v>167</v>
      </c>
      <c r="S210" s="32" t="s">
        <v>167</v>
      </c>
      <c r="T210" s="37" t="s">
        <v>168</v>
      </c>
      <c r="U210" s="32">
        <v>2</v>
      </c>
      <c r="V210" s="34" t="str">
        <f>VLOOKUP(U210,Key!$E$2:$F$9,2,FALSE)</f>
        <v>Work</v>
      </c>
      <c r="W210" s="34" t="str">
        <f t="shared" si="5"/>
        <v>Work-Work</v>
      </c>
      <c r="X210" s="47">
        <v>20000</v>
      </c>
      <c r="Y210" s="38">
        <v>10</v>
      </c>
      <c r="Z210" s="38">
        <v>0.5</v>
      </c>
      <c r="AA210" s="32">
        <v>10</v>
      </c>
      <c r="AB210" s="34" t="str">
        <f>VLOOKUP(AA210,Key!$C$20:$D$29,2,FALSE)</f>
        <v>Other</v>
      </c>
      <c r="AC210" s="32">
        <v>3</v>
      </c>
      <c r="AD210" s="34" t="str">
        <f>VLOOKUP(AC210,Key!$E$20:$F$24,2,FALSE)</f>
        <v>500,000-750,000</v>
      </c>
      <c r="AE210" s="32">
        <v>1</v>
      </c>
      <c r="AF210" s="55">
        <v>2</v>
      </c>
      <c r="AG210" s="55">
        <v>1</v>
      </c>
      <c r="AH210" s="55">
        <v>1</v>
      </c>
      <c r="AI210" s="55">
        <v>1</v>
      </c>
      <c r="AJ210" s="39" t="s">
        <v>104</v>
      </c>
      <c r="AK210" s="40">
        <v>1000</v>
      </c>
      <c r="AL210" s="24"/>
      <c r="AM210" s="24"/>
    </row>
    <row r="211" spans="2:39" hidden="1" x14ac:dyDescent="0.2">
      <c r="B211" s="50">
        <v>43689</v>
      </c>
      <c r="C211" s="35">
        <v>0.4236111111111111</v>
      </c>
      <c r="D211" s="35"/>
      <c r="E211" s="35" t="s">
        <v>111</v>
      </c>
      <c r="F211" s="37">
        <v>2</v>
      </c>
      <c r="G211" s="42" t="str">
        <f>VLOOKUP(F211,Key!$A$17:$B$21,2,FALSE)</f>
        <v>Road Vehicle</v>
      </c>
      <c r="H211" s="36">
        <v>5</v>
      </c>
      <c r="I211" s="43" t="str">
        <f>VLOOKUP(H211,Key!$A$2:$B$13,2,FALSE)</f>
        <v xml:space="preserve">Medium bus </v>
      </c>
      <c r="J211" s="37" t="s">
        <v>123</v>
      </c>
      <c r="K211" s="37">
        <v>3</v>
      </c>
      <c r="L211" s="45" t="str">
        <f>VLOOKUP(K211,Key!$A$24:$B$29,2,FALSE)</f>
        <v>40-49</v>
      </c>
      <c r="M211" s="44" t="s">
        <v>167</v>
      </c>
      <c r="N211" s="32" t="s">
        <v>167</v>
      </c>
      <c r="O211" s="37" t="s">
        <v>168</v>
      </c>
      <c r="P211" s="39">
        <v>2</v>
      </c>
      <c r="Q211" s="34" t="str">
        <f>VLOOKUP(P211,Key!$E$2:$F$9,2,FALSE)</f>
        <v>Work</v>
      </c>
      <c r="R211" s="37" t="s">
        <v>167</v>
      </c>
      <c r="S211" s="32" t="s">
        <v>167</v>
      </c>
      <c r="T211" s="37" t="s">
        <v>168</v>
      </c>
      <c r="U211" s="32">
        <v>2</v>
      </c>
      <c r="V211" s="34" t="str">
        <f>VLOOKUP(U211,Key!$E$2:$F$9,2,FALSE)</f>
        <v>Work</v>
      </c>
      <c r="W211" s="34" t="str">
        <f t="shared" si="5"/>
        <v>Work-Work</v>
      </c>
      <c r="X211" s="47">
        <v>20000</v>
      </c>
      <c r="Y211" s="38">
        <v>10</v>
      </c>
      <c r="Z211" s="38">
        <v>0.5</v>
      </c>
      <c r="AA211" s="32">
        <v>10</v>
      </c>
      <c r="AB211" s="34" t="str">
        <f>VLOOKUP(AA211,Key!$C$20:$D$29,2,FALSE)</f>
        <v>Other</v>
      </c>
      <c r="AC211" s="32">
        <v>3</v>
      </c>
      <c r="AD211" s="34" t="str">
        <f>VLOOKUP(AC211,Key!$E$20:$F$24,2,FALSE)</f>
        <v>500,000-750,000</v>
      </c>
      <c r="AE211" s="32">
        <v>1</v>
      </c>
      <c r="AF211" s="55">
        <v>2</v>
      </c>
      <c r="AG211" s="55">
        <v>1</v>
      </c>
      <c r="AH211" s="55">
        <v>1</v>
      </c>
      <c r="AI211" s="55">
        <v>1</v>
      </c>
      <c r="AJ211" s="39" t="s">
        <v>104</v>
      </c>
      <c r="AK211" s="40">
        <v>1000</v>
      </c>
      <c r="AL211" s="24"/>
      <c r="AM211" s="24"/>
    </row>
    <row r="212" spans="2:39" hidden="1" x14ac:dyDescent="0.2">
      <c r="B212" s="50">
        <v>43686</v>
      </c>
      <c r="C212" s="35">
        <v>0.64722222222222225</v>
      </c>
      <c r="D212" s="35"/>
      <c r="E212" s="35" t="s">
        <v>111</v>
      </c>
      <c r="F212" s="37">
        <v>2</v>
      </c>
      <c r="G212" s="42" t="str">
        <f>VLOOKUP(F212,Key!$A$17:$B$21,2,FALSE)</f>
        <v>Road Vehicle</v>
      </c>
      <c r="H212" s="36">
        <v>5</v>
      </c>
      <c r="I212" s="43" t="str">
        <f>VLOOKUP(H212,Key!$A$2:$B$13,2,FALSE)</f>
        <v xml:space="preserve">Medium bus </v>
      </c>
      <c r="J212" s="37" t="s">
        <v>123</v>
      </c>
      <c r="K212" s="37">
        <v>2</v>
      </c>
      <c r="L212" s="45" t="str">
        <f>VLOOKUP(K212,Key!$A$24:$B$29,2,FALSE)</f>
        <v>30-39</v>
      </c>
      <c r="M212" s="44" t="s">
        <v>167</v>
      </c>
      <c r="N212" s="32" t="s">
        <v>167</v>
      </c>
      <c r="O212" s="37" t="s">
        <v>168</v>
      </c>
      <c r="P212" s="39">
        <v>4</v>
      </c>
      <c r="Q212" s="34" t="str">
        <f>VLOOKUP(P212,Key!$E$2:$F$9,2,FALSE)</f>
        <v>Commercial</v>
      </c>
      <c r="R212" s="37" t="s">
        <v>179</v>
      </c>
      <c r="S212" s="32" t="s">
        <v>179</v>
      </c>
      <c r="T212" s="37" t="s">
        <v>168</v>
      </c>
      <c r="U212" s="32">
        <v>2</v>
      </c>
      <c r="V212" s="34" t="str">
        <f>VLOOKUP(U212,Key!$E$2:$F$9,2,FALSE)</f>
        <v>Work</v>
      </c>
      <c r="W212" s="34" t="str">
        <f t="shared" si="5"/>
        <v>Commercial-Work</v>
      </c>
      <c r="X212" s="47">
        <v>40000</v>
      </c>
      <c r="Y212" s="38">
        <v>20</v>
      </c>
      <c r="Z212" s="38">
        <v>1</v>
      </c>
      <c r="AA212" s="32">
        <v>6</v>
      </c>
      <c r="AB212" s="34" t="str">
        <f>VLOOKUP(AA212,Key!$C$20:$D$29,2,FALSE)</f>
        <v>Businessman</v>
      </c>
      <c r="AC212" s="32">
        <v>1</v>
      </c>
      <c r="AD212" s="34" t="str">
        <f>VLOOKUP(AC212,Key!$E$20:$F$24,2,FALSE)</f>
        <v>&lt;300,000</v>
      </c>
      <c r="AE212" s="32">
        <v>1</v>
      </c>
      <c r="AF212" s="55">
        <v>1</v>
      </c>
      <c r="AG212" s="55">
        <v>1</v>
      </c>
      <c r="AH212" s="55">
        <v>2</v>
      </c>
      <c r="AI212" s="55">
        <v>1</v>
      </c>
      <c r="AJ212" s="39" t="s">
        <v>104</v>
      </c>
      <c r="AK212" s="40">
        <v>1000</v>
      </c>
      <c r="AL212" s="24"/>
      <c r="AM212" s="24"/>
    </row>
    <row r="213" spans="2:39" hidden="1" x14ac:dyDescent="0.2">
      <c r="B213" s="50">
        <v>43687</v>
      </c>
      <c r="C213" s="35">
        <v>0.36805555555555558</v>
      </c>
      <c r="D213" s="35"/>
      <c r="E213" s="35" t="s">
        <v>111</v>
      </c>
      <c r="F213" s="37">
        <v>2</v>
      </c>
      <c r="G213" s="42" t="str">
        <f>VLOOKUP(F213,Key!$A$17:$B$21,2,FALSE)</f>
        <v>Road Vehicle</v>
      </c>
      <c r="H213" s="36">
        <v>5</v>
      </c>
      <c r="I213" s="43" t="str">
        <f>VLOOKUP(H213,Key!$A$2:$B$13,2,FALSE)</f>
        <v xml:space="preserve">Medium bus </v>
      </c>
      <c r="J213" s="37" t="s">
        <v>123</v>
      </c>
      <c r="K213" s="37">
        <v>1</v>
      </c>
      <c r="L213" s="45" t="str">
        <f>VLOOKUP(K213,Key!$A$24:$B$29,2,FALSE)</f>
        <v>20-29</v>
      </c>
      <c r="M213" s="37" t="s">
        <v>179</v>
      </c>
      <c r="N213" s="32" t="s">
        <v>179</v>
      </c>
      <c r="O213" s="37" t="s">
        <v>168</v>
      </c>
      <c r="P213" s="39">
        <v>4</v>
      </c>
      <c r="Q213" s="34" t="str">
        <f>VLOOKUP(P213,Key!$E$2:$F$9,2,FALSE)</f>
        <v>Commercial</v>
      </c>
      <c r="R213" s="37" t="s">
        <v>306</v>
      </c>
      <c r="S213" s="32" t="s">
        <v>167</v>
      </c>
      <c r="T213" s="37" t="s">
        <v>168</v>
      </c>
      <c r="U213" s="32">
        <v>4</v>
      </c>
      <c r="V213" s="34" t="str">
        <f>VLOOKUP(U213,Key!$E$2:$F$9,2,FALSE)</f>
        <v>Commercial</v>
      </c>
      <c r="W213" s="34" t="str">
        <f t="shared" si="5"/>
        <v>Commercial-Commercial</v>
      </c>
      <c r="X213" s="47">
        <v>40000</v>
      </c>
      <c r="Y213" s="38">
        <v>38</v>
      </c>
      <c r="Z213" s="38">
        <v>1.3</v>
      </c>
      <c r="AA213" s="32">
        <v>10</v>
      </c>
      <c r="AB213" s="34" t="str">
        <f>VLOOKUP(AA213,Key!$C$20:$D$29,2,FALSE)</f>
        <v>Other</v>
      </c>
      <c r="AC213" s="32">
        <v>2</v>
      </c>
      <c r="AD213" s="34" t="str">
        <f>VLOOKUP(AC213,Key!$E$20:$F$24,2,FALSE)</f>
        <v>300,000-500,000</v>
      </c>
      <c r="AE213" s="32">
        <v>1</v>
      </c>
      <c r="AF213" s="55">
        <v>1</v>
      </c>
      <c r="AG213" s="55">
        <v>2</v>
      </c>
      <c r="AH213" s="55">
        <v>1</v>
      </c>
      <c r="AI213" s="55">
        <v>1</v>
      </c>
      <c r="AJ213" s="39" t="s">
        <v>104</v>
      </c>
      <c r="AK213" s="40"/>
      <c r="AL213" s="24"/>
      <c r="AM213" s="24"/>
    </row>
    <row r="214" spans="2:39" hidden="1" x14ac:dyDescent="0.2">
      <c r="B214" s="50">
        <v>43687</v>
      </c>
      <c r="C214" s="35">
        <v>0.31805555555555554</v>
      </c>
      <c r="D214" s="35"/>
      <c r="E214" s="35" t="s">
        <v>111</v>
      </c>
      <c r="F214" s="37">
        <v>2</v>
      </c>
      <c r="G214" s="42" t="str">
        <f>VLOOKUP(F214,Key!$A$17:$B$21,2,FALSE)</f>
        <v>Road Vehicle</v>
      </c>
      <c r="H214" s="36">
        <v>5</v>
      </c>
      <c r="I214" s="43" t="str">
        <f>VLOOKUP(H214,Key!$A$2:$B$13,2,FALSE)</f>
        <v xml:space="preserve">Medium bus </v>
      </c>
      <c r="J214" s="37" t="s">
        <v>123</v>
      </c>
      <c r="K214" s="37">
        <v>2</v>
      </c>
      <c r="L214" s="45" t="str">
        <f>VLOOKUP(K214,Key!$A$24:$B$29,2,FALSE)</f>
        <v>30-39</v>
      </c>
      <c r="M214" s="37" t="s">
        <v>247</v>
      </c>
      <c r="N214" s="32" t="s">
        <v>167</v>
      </c>
      <c r="O214" s="37" t="s">
        <v>168</v>
      </c>
      <c r="P214" s="39">
        <v>2</v>
      </c>
      <c r="Q214" s="34" t="str">
        <f>VLOOKUP(P214,Key!$E$2:$F$9,2,FALSE)</f>
        <v>Work</v>
      </c>
      <c r="R214" s="37" t="s">
        <v>173</v>
      </c>
      <c r="S214" s="32" t="s">
        <v>173</v>
      </c>
      <c r="T214" s="37" t="s">
        <v>168</v>
      </c>
      <c r="U214" s="32">
        <v>2</v>
      </c>
      <c r="V214" s="34" t="str">
        <f>VLOOKUP(U214,Key!$E$2:$F$9,2,FALSE)</f>
        <v>Work</v>
      </c>
      <c r="W214" s="34" t="str">
        <f t="shared" si="5"/>
        <v>Work-Work</v>
      </c>
      <c r="X214" s="47">
        <v>100000</v>
      </c>
      <c r="Y214" s="38">
        <v>40</v>
      </c>
      <c r="Z214" s="38">
        <v>1</v>
      </c>
      <c r="AA214" s="32">
        <v>10</v>
      </c>
      <c r="AB214" s="34" t="str">
        <f>VLOOKUP(AA214,Key!$C$20:$D$29,2,FALSE)</f>
        <v>Other</v>
      </c>
      <c r="AC214" s="32">
        <v>5</v>
      </c>
      <c r="AD214" s="34" t="str">
        <f>VLOOKUP(AC214,Key!$E$20:$F$24,2,FALSE)</f>
        <v>&gt;1,000,000</v>
      </c>
      <c r="AE214" s="32">
        <v>1</v>
      </c>
      <c r="AF214" s="55">
        <v>1</v>
      </c>
      <c r="AG214" s="55">
        <v>1</v>
      </c>
      <c r="AH214" s="55">
        <v>1</v>
      </c>
      <c r="AI214" s="55">
        <v>1</v>
      </c>
      <c r="AJ214" s="39" t="s">
        <v>104</v>
      </c>
      <c r="AK214" s="40"/>
      <c r="AL214" s="24"/>
      <c r="AM214" s="24"/>
    </row>
    <row r="215" spans="2:39" hidden="1" x14ac:dyDescent="0.2">
      <c r="B215" s="50">
        <v>43687</v>
      </c>
      <c r="C215" s="35">
        <v>0.46249999999999997</v>
      </c>
      <c r="D215" s="35"/>
      <c r="E215" s="35" t="s">
        <v>111</v>
      </c>
      <c r="F215" s="37">
        <v>2</v>
      </c>
      <c r="G215" s="42" t="str">
        <f>VLOOKUP(F215,Key!$A$17:$B$21,2,FALSE)</f>
        <v>Road Vehicle</v>
      </c>
      <c r="H215" s="36">
        <v>5</v>
      </c>
      <c r="I215" s="43" t="str">
        <f>VLOOKUP(H215,Key!$A$2:$B$13,2,FALSE)</f>
        <v xml:space="preserve">Medium bus </v>
      </c>
      <c r="J215" s="37" t="s">
        <v>123</v>
      </c>
      <c r="K215" s="37">
        <v>3</v>
      </c>
      <c r="L215" s="45" t="str">
        <f>VLOOKUP(K215,Key!$A$24:$B$29,2,FALSE)</f>
        <v>40-49</v>
      </c>
      <c r="M215" s="37" t="s">
        <v>350</v>
      </c>
      <c r="N215" s="32" t="s">
        <v>167</v>
      </c>
      <c r="O215" s="37" t="s">
        <v>168</v>
      </c>
      <c r="P215" s="39">
        <v>4</v>
      </c>
      <c r="Q215" s="34" t="str">
        <f>VLOOKUP(P215,Key!$E$2:$F$9,2,FALSE)</f>
        <v>Commercial</v>
      </c>
      <c r="R215" s="37" t="s">
        <v>179</v>
      </c>
      <c r="S215" s="32" t="s">
        <v>179</v>
      </c>
      <c r="T215" s="37" t="s">
        <v>168</v>
      </c>
      <c r="U215" s="32">
        <v>4</v>
      </c>
      <c r="V215" s="34" t="str">
        <f>VLOOKUP(U215,Key!$E$2:$F$9,2,FALSE)</f>
        <v>Commercial</v>
      </c>
      <c r="W215" s="34" t="str">
        <f t="shared" si="5"/>
        <v>Commercial-Commercial</v>
      </c>
      <c r="X215" s="47">
        <v>40000</v>
      </c>
      <c r="Y215" s="38">
        <v>40</v>
      </c>
      <c r="Z215" s="38">
        <v>1</v>
      </c>
      <c r="AA215" s="32">
        <v>10</v>
      </c>
      <c r="AB215" s="34" t="str">
        <f>VLOOKUP(AA215,Key!$C$20:$D$29,2,FALSE)</f>
        <v>Other</v>
      </c>
      <c r="AC215" s="32">
        <v>2</v>
      </c>
      <c r="AD215" s="34" t="str">
        <f>VLOOKUP(AC215,Key!$E$20:$F$24,2,FALSE)</f>
        <v>300,000-500,000</v>
      </c>
      <c r="AE215" s="32">
        <v>1</v>
      </c>
      <c r="AF215" s="55">
        <v>1</v>
      </c>
      <c r="AG215" s="55">
        <v>1</v>
      </c>
      <c r="AH215" s="55">
        <v>1</v>
      </c>
      <c r="AI215" s="55">
        <v>1</v>
      </c>
      <c r="AJ215" s="39" t="s">
        <v>104</v>
      </c>
      <c r="AK215" s="40">
        <v>2000</v>
      </c>
      <c r="AL215" s="24"/>
      <c r="AM215" s="24"/>
    </row>
    <row r="216" spans="2:39" hidden="1" x14ac:dyDescent="0.2">
      <c r="B216" s="50">
        <v>43687</v>
      </c>
      <c r="C216" s="35">
        <v>0.47569444444444442</v>
      </c>
      <c r="D216" s="35"/>
      <c r="E216" s="35" t="s">
        <v>111</v>
      </c>
      <c r="F216" s="37">
        <v>2</v>
      </c>
      <c r="G216" s="42" t="str">
        <f>VLOOKUP(F216,Key!$A$17:$B$21,2,FALSE)</f>
        <v>Road Vehicle</v>
      </c>
      <c r="H216" s="36">
        <v>5</v>
      </c>
      <c r="I216" s="43" t="str">
        <f>VLOOKUP(H216,Key!$A$2:$B$13,2,FALSE)</f>
        <v xml:space="preserve">Medium bus </v>
      </c>
      <c r="J216" s="37" t="s">
        <v>123</v>
      </c>
      <c r="K216" s="37">
        <v>2</v>
      </c>
      <c r="L216" s="45" t="str">
        <f>VLOOKUP(K216,Key!$A$24:$B$29,2,FALSE)</f>
        <v>30-39</v>
      </c>
      <c r="M216" s="37" t="s">
        <v>187</v>
      </c>
      <c r="N216" s="32" t="s">
        <v>167</v>
      </c>
      <c r="O216" s="37" t="s">
        <v>168</v>
      </c>
      <c r="P216" s="39">
        <v>2</v>
      </c>
      <c r="Q216" s="34" t="str">
        <f>VLOOKUP(P216,Key!$E$2:$F$9,2,FALSE)</f>
        <v>Work</v>
      </c>
      <c r="R216" s="37" t="s">
        <v>176</v>
      </c>
      <c r="S216" s="32" t="s">
        <v>176</v>
      </c>
      <c r="T216" s="37" t="s">
        <v>168</v>
      </c>
      <c r="U216" s="32">
        <v>2</v>
      </c>
      <c r="V216" s="34" t="str">
        <f>VLOOKUP(U216,Key!$E$2:$F$9,2,FALSE)</f>
        <v>Work</v>
      </c>
      <c r="W216" s="34" t="str">
        <f t="shared" si="5"/>
        <v>Work-Work</v>
      </c>
      <c r="X216" s="47">
        <v>40000</v>
      </c>
      <c r="Y216" s="38">
        <v>40</v>
      </c>
      <c r="Z216" s="38">
        <v>2</v>
      </c>
      <c r="AA216" s="32">
        <v>10</v>
      </c>
      <c r="AB216" s="34" t="str">
        <f>VLOOKUP(AA216,Key!$C$20:$D$29,2,FALSE)</f>
        <v>Other</v>
      </c>
      <c r="AC216" s="32">
        <v>2</v>
      </c>
      <c r="AD216" s="34" t="str">
        <f>VLOOKUP(AC216,Key!$E$20:$F$24,2,FALSE)</f>
        <v>300,000-500,000</v>
      </c>
      <c r="AE216" s="32">
        <v>1</v>
      </c>
      <c r="AF216" s="55">
        <v>1</v>
      </c>
      <c r="AG216" s="55">
        <v>1</v>
      </c>
      <c r="AH216" s="55">
        <v>2</v>
      </c>
      <c r="AI216" s="55">
        <v>1</v>
      </c>
      <c r="AJ216" s="39" t="s">
        <v>104</v>
      </c>
      <c r="AK216" s="40">
        <v>2000</v>
      </c>
      <c r="AL216" s="24"/>
      <c r="AM216" s="24"/>
    </row>
    <row r="217" spans="2:39" x14ac:dyDescent="0.2">
      <c r="B217" s="50">
        <v>43686</v>
      </c>
      <c r="C217" s="35">
        <v>0.67152777777777783</v>
      </c>
      <c r="D217" s="35"/>
      <c r="E217" s="35" t="s">
        <v>111</v>
      </c>
      <c r="F217" s="37">
        <v>2</v>
      </c>
      <c r="G217" s="42" t="str">
        <f>VLOOKUP(F217,Key!$A$17:$B$21,2,FALSE)</f>
        <v>Road Vehicle</v>
      </c>
      <c r="H217" s="36">
        <v>5</v>
      </c>
      <c r="I217" s="43" t="str">
        <f>VLOOKUP(H217,Key!$A$2:$B$13,2,FALSE)</f>
        <v xml:space="preserve">Medium bus </v>
      </c>
      <c r="J217" s="37" t="s">
        <v>123</v>
      </c>
      <c r="K217" s="37">
        <v>2</v>
      </c>
      <c r="L217" s="45" t="str">
        <f>VLOOKUP(K217,Key!$A$24:$B$29,2,FALSE)</f>
        <v>30-39</v>
      </c>
      <c r="M217" s="44" t="s">
        <v>167</v>
      </c>
      <c r="N217" s="32" t="s">
        <v>167</v>
      </c>
      <c r="O217" s="37" t="s">
        <v>168</v>
      </c>
      <c r="P217" s="39">
        <v>2</v>
      </c>
      <c r="Q217" s="34" t="str">
        <f>VLOOKUP(P217,Key!$E$2:$F$9,2,FALSE)</f>
        <v>Work</v>
      </c>
      <c r="R217" s="37" t="s">
        <v>185</v>
      </c>
      <c r="S217" s="32" t="s">
        <v>176</v>
      </c>
      <c r="T217" s="37" t="s">
        <v>168</v>
      </c>
      <c r="U217" s="32">
        <v>4</v>
      </c>
      <c r="V217" s="34" t="str">
        <f>VLOOKUP(U217,Key!$E$2:$F$9,2,FALSE)</f>
        <v>Commercial</v>
      </c>
      <c r="W217" s="34" t="str">
        <f t="shared" si="5"/>
        <v>Work-Commercial</v>
      </c>
      <c r="X217" s="47">
        <v>100000</v>
      </c>
      <c r="Y217" s="38">
        <v>70</v>
      </c>
      <c r="Z217" s="38">
        <v>3</v>
      </c>
      <c r="AA217" s="32">
        <v>10</v>
      </c>
      <c r="AB217" s="34" t="str">
        <f>VLOOKUP(AA217,Key!$C$20:$D$29,2,FALSE)</f>
        <v>Other</v>
      </c>
      <c r="AC217" s="32">
        <v>3</v>
      </c>
      <c r="AD217" s="34" t="str">
        <f>VLOOKUP(AC217,Key!$E$20:$F$24,2,FALSE)</f>
        <v>500,000-750,000</v>
      </c>
      <c r="AE217" s="32">
        <v>1</v>
      </c>
      <c r="AF217" s="55">
        <v>1</v>
      </c>
      <c r="AG217" s="55">
        <v>2</v>
      </c>
      <c r="AH217" s="55">
        <v>1</v>
      </c>
      <c r="AI217" s="55">
        <v>1</v>
      </c>
      <c r="AJ217" s="39" t="s">
        <v>104</v>
      </c>
      <c r="AK217" s="40">
        <v>3000</v>
      </c>
      <c r="AL217" s="24"/>
      <c r="AM217" s="24"/>
    </row>
    <row r="218" spans="2:39" x14ac:dyDescent="0.2">
      <c r="B218" s="50">
        <v>43690</v>
      </c>
      <c r="C218" s="35">
        <v>0.34236111111111112</v>
      </c>
      <c r="D218" s="35"/>
      <c r="E218" s="35" t="s">
        <v>111</v>
      </c>
      <c r="F218" s="37">
        <v>2</v>
      </c>
      <c r="G218" s="42" t="str">
        <f>VLOOKUP(F218,Key!$A$17:$B$21,2,FALSE)</f>
        <v>Road Vehicle</v>
      </c>
      <c r="H218" s="36">
        <v>5</v>
      </c>
      <c r="I218" s="43" t="str">
        <f>VLOOKUP(H218,Key!$A$2:$B$13,2,FALSE)</f>
        <v xml:space="preserve">Medium bus </v>
      </c>
      <c r="J218" s="37" t="s">
        <v>123</v>
      </c>
      <c r="K218" s="37">
        <v>2</v>
      </c>
      <c r="L218" s="45" t="str">
        <f>VLOOKUP(K218,Key!$A$24:$B$29,2,FALSE)</f>
        <v>30-39</v>
      </c>
      <c r="M218" s="37" t="s">
        <v>167</v>
      </c>
      <c r="N218" s="32" t="s">
        <v>167</v>
      </c>
      <c r="O218" s="37" t="s">
        <v>168</v>
      </c>
      <c r="P218" s="39">
        <v>2</v>
      </c>
      <c r="Q218" s="34" t="str">
        <f>VLOOKUP(P218,Key!$E$2:$F$9,2,FALSE)</f>
        <v>Work</v>
      </c>
      <c r="R218" s="37" t="s">
        <v>185</v>
      </c>
      <c r="S218" s="32" t="s">
        <v>176</v>
      </c>
      <c r="T218" s="37" t="s">
        <v>168</v>
      </c>
      <c r="U218" s="32">
        <v>4</v>
      </c>
      <c r="V218" s="34" t="str">
        <f>VLOOKUP(U218,Key!$E$2:$F$9,2,FALSE)</f>
        <v>Commercial</v>
      </c>
      <c r="W218" s="34" t="str">
        <f t="shared" si="5"/>
        <v>Work-Commercial</v>
      </c>
      <c r="X218" s="47">
        <v>50000</v>
      </c>
      <c r="Y218" s="38">
        <v>70</v>
      </c>
      <c r="Z218" s="38">
        <v>3</v>
      </c>
      <c r="AA218" s="32">
        <v>10</v>
      </c>
      <c r="AB218" s="34" t="str">
        <f>VLOOKUP(AA218,Key!$C$20:$D$29,2,FALSE)</f>
        <v>Other</v>
      </c>
      <c r="AC218" s="32">
        <v>2</v>
      </c>
      <c r="AD218" s="34" t="str">
        <f>VLOOKUP(AC218,Key!$E$20:$F$24,2,FALSE)</f>
        <v>300,000-500,000</v>
      </c>
      <c r="AE218" s="32">
        <v>1</v>
      </c>
      <c r="AF218" s="55">
        <v>1</v>
      </c>
      <c r="AG218" s="55">
        <v>1</v>
      </c>
      <c r="AH218" s="55">
        <v>1</v>
      </c>
      <c r="AI218" s="55">
        <v>1</v>
      </c>
      <c r="AJ218" s="39" t="s">
        <v>104</v>
      </c>
      <c r="AK218" s="40">
        <v>5000</v>
      </c>
      <c r="AL218" s="24"/>
      <c r="AM218" s="24"/>
    </row>
    <row r="219" spans="2:39" x14ac:dyDescent="0.2">
      <c r="B219" s="50">
        <v>43690</v>
      </c>
      <c r="C219" s="35">
        <v>0.36458333333333331</v>
      </c>
      <c r="D219" s="35"/>
      <c r="E219" s="35" t="s">
        <v>111</v>
      </c>
      <c r="F219" s="37">
        <v>2</v>
      </c>
      <c r="G219" s="42" t="str">
        <f>VLOOKUP(F219,Key!$A$17:$B$21,2,FALSE)</f>
        <v>Road Vehicle</v>
      </c>
      <c r="H219" s="36">
        <v>5</v>
      </c>
      <c r="I219" s="43" t="str">
        <f>VLOOKUP(H219,Key!$A$2:$B$13,2,FALSE)</f>
        <v xml:space="preserve">Medium bus </v>
      </c>
      <c r="J219" s="37" t="s">
        <v>123</v>
      </c>
      <c r="K219" s="37">
        <v>2</v>
      </c>
      <c r="L219" s="45" t="str">
        <f>VLOOKUP(K219,Key!$A$24:$B$29,2,FALSE)</f>
        <v>30-39</v>
      </c>
      <c r="M219" s="37" t="s">
        <v>306</v>
      </c>
      <c r="N219" s="32" t="s">
        <v>176</v>
      </c>
      <c r="O219" s="37" t="s">
        <v>168</v>
      </c>
      <c r="P219" s="39">
        <v>2</v>
      </c>
      <c r="Q219" s="34" t="str">
        <f>VLOOKUP(P219,Key!$E$2:$F$9,2,FALSE)</f>
        <v>Work</v>
      </c>
      <c r="R219" s="37" t="s">
        <v>219</v>
      </c>
      <c r="S219" s="32" t="s">
        <v>176</v>
      </c>
      <c r="T219" s="37" t="s">
        <v>168</v>
      </c>
      <c r="U219" s="32">
        <v>4</v>
      </c>
      <c r="V219" s="34" t="str">
        <f>VLOOKUP(U219,Key!$E$2:$F$9,2,FALSE)</f>
        <v>Commercial</v>
      </c>
      <c r="W219" s="34" t="str">
        <f t="shared" si="5"/>
        <v>Work-Commercial</v>
      </c>
      <c r="X219" s="47">
        <v>60000</v>
      </c>
      <c r="Y219" s="38">
        <v>70</v>
      </c>
      <c r="Z219" s="38">
        <v>3</v>
      </c>
      <c r="AA219" s="32">
        <v>6</v>
      </c>
      <c r="AB219" s="34" t="str">
        <f>VLOOKUP(AA219,Key!$C$20:$D$29,2,FALSE)</f>
        <v>Businessman</v>
      </c>
      <c r="AC219" s="32">
        <v>4</v>
      </c>
      <c r="AD219" s="34" t="str">
        <f>VLOOKUP(AC219,Key!$E$20:$F$24,2,FALSE)</f>
        <v>750,000-1,000,000</v>
      </c>
      <c r="AE219" s="32">
        <v>1</v>
      </c>
      <c r="AF219" s="55">
        <v>1</v>
      </c>
      <c r="AG219" s="55">
        <v>2</v>
      </c>
      <c r="AH219" s="55">
        <v>2</v>
      </c>
      <c r="AI219" s="55">
        <v>2</v>
      </c>
      <c r="AJ219" s="39" t="s">
        <v>104</v>
      </c>
      <c r="AK219" s="40">
        <v>2000</v>
      </c>
      <c r="AL219" s="24"/>
      <c r="AM219" s="24"/>
    </row>
    <row r="220" spans="2:39" x14ac:dyDescent="0.2">
      <c r="B220" s="50">
        <v>43687</v>
      </c>
      <c r="C220" s="35">
        <v>0.31458333333333333</v>
      </c>
      <c r="D220" s="35"/>
      <c r="E220" s="35" t="s">
        <v>111</v>
      </c>
      <c r="F220" s="37">
        <v>2</v>
      </c>
      <c r="G220" s="42" t="str">
        <f>VLOOKUP(F220,Key!$A$17:$B$21,2,FALSE)</f>
        <v>Road Vehicle</v>
      </c>
      <c r="H220" s="36">
        <v>5</v>
      </c>
      <c r="I220" s="43" t="str">
        <f>VLOOKUP(H220,Key!$A$2:$B$13,2,FALSE)</f>
        <v xml:space="preserve">Medium bus </v>
      </c>
      <c r="J220" s="37" t="s">
        <v>123</v>
      </c>
      <c r="K220" s="37">
        <v>2</v>
      </c>
      <c r="L220" s="45" t="str">
        <f>VLOOKUP(K220,Key!$A$24:$B$29,2,FALSE)</f>
        <v>30-39</v>
      </c>
      <c r="M220" s="37" t="s">
        <v>306</v>
      </c>
      <c r="N220" s="32" t="s">
        <v>167</v>
      </c>
      <c r="O220" s="37" t="s">
        <v>168</v>
      </c>
      <c r="P220" s="39">
        <v>2</v>
      </c>
      <c r="Q220" s="34" t="str">
        <f>VLOOKUP(P220,Key!$E$2:$F$9,2,FALSE)</f>
        <v>Work</v>
      </c>
      <c r="R220" s="37" t="s">
        <v>218</v>
      </c>
      <c r="S220" s="32" t="s">
        <v>176</v>
      </c>
      <c r="T220" s="37" t="s">
        <v>168</v>
      </c>
      <c r="U220" s="32">
        <v>2</v>
      </c>
      <c r="V220" s="34" t="str">
        <f>VLOOKUP(U220,Key!$E$2:$F$9,2,FALSE)</f>
        <v>Work</v>
      </c>
      <c r="W220" s="34" t="str">
        <f t="shared" si="5"/>
        <v>Work-Work</v>
      </c>
      <c r="X220" s="47">
        <v>50000</v>
      </c>
      <c r="Y220" s="38">
        <v>75</v>
      </c>
      <c r="Z220" s="38">
        <v>3</v>
      </c>
      <c r="AA220" s="32">
        <v>6</v>
      </c>
      <c r="AB220" s="34" t="str">
        <f>VLOOKUP(AA220,Key!$C$20:$D$29,2,FALSE)</f>
        <v>Businessman</v>
      </c>
      <c r="AC220" s="32">
        <v>5</v>
      </c>
      <c r="AD220" s="34" t="str">
        <f>VLOOKUP(AC220,Key!$E$20:$F$24,2,FALSE)</f>
        <v>&gt;1,000,000</v>
      </c>
      <c r="AE220" s="32">
        <v>1</v>
      </c>
      <c r="AF220" s="55">
        <v>1</v>
      </c>
      <c r="AG220" s="55">
        <v>1</v>
      </c>
      <c r="AH220" s="55">
        <v>1</v>
      </c>
      <c r="AI220" s="55">
        <v>1</v>
      </c>
      <c r="AJ220" s="39" t="s">
        <v>104</v>
      </c>
      <c r="AK220" s="40">
        <v>3000</v>
      </c>
      <c r="AL220" s="24"/>
      <c r="AM220" s="24"/>
    </row>
    <row r="221" spans="2:39" x14ac:dyDescent="0.2">
      <c r="B221" s="50">
        <v>43690</v>
      </c>
      <c r="C221" s="35">
        <v>0.34791666666666665</v>
      </c>
      <c r="D221" s="35"/>
      <c r="E221" s="35" t="s">
        <v>111</v>
      </c>
      <c r="F221" s="37">
        <v>2</v>
      </c>
      <c r="G221" s="42" t="str">
        <f>VLOOKUP(F221,Key!$A$17:$B$21,2,FALSE)</f>
        <v>Road Vehicle</v>
      </c>
      <c r="H221" s="36">
        <v>5</v>
      </c>
      <c r="I221" s="43" t="str">
        <f>VLOOKUP(H221,Key!$A$2:$B$13,2,FALSE)</f>
        <v xml:space="preserve">Medium bus </v>
      </c>
      <c r="J221" s="37" t="s">
        <v>123</v>
      </c>
      <c r="K221" s="37">
        <v>2</v>
      </c>
      <c r="L221" s="45" t="str">
        <f>VLOOKUP(K221,Key!$A$24:$B$29,2,FALSE)</f>
        <v>30-39</v>
      </c>
      <c r="M221" s="37" t="s">
        <v>167</v>
      </c>
      <c r="N221" s="32" t="s">
        <v>167</v>
      </c>
      <c r="O221" s="37" t="s">
        <v>168</v>
      </c>
      <c r="P221" s="39">
        <v>2</v>
      </c>
      <c r="Q221" s="34" t="str">
        <f>VLOOKUP(P221,Key!$E$2:$F$9,2,FALSE)</f>
        <v>Work</v>
      </c>
      <c r="R221" s="37" t="s">
        <v>176</v>
      </c>
      <c r="S221" s="32" t="s">
        <v>176</v>
      </c>
      <c r="T221" s="37" t="s">
        <v>168</v>
      </c>
      <c r="U221" s="32">
        <v>2</v>
      </c>
      <c r="V221" s="34" t="str">
        <f>VLOOKUP(U221,Key!$E$2:$F$9,2,FALSE)</f>
        <v>Work</v>
      </c>
      <c r="W221" s="34" t="str">
        <f t="shared" si="5"/>
        <v>Work-Work</v>
      </c>
      <c r="X221" s="47">
        <v>50000</v>
      </c>
      <c r="Y221" s="38">
        <v>80</v>
      </c>
      <c r="Z221" s="38">
        <v>3</v>
      </c>
      <c r="AA221" s="32">
        <v>6</v>
      </c>
      <c r="AB221" s="34" t="str">
        <f>VLOOKUP(AA221,Key!$C$20:$D$29,2,FALSE)</f>
        <v>Businessman</v>
      </c>
      <c r="AC221" s="32">
        <v>2</v>
      </c>
      <c r="AD221" s="34" t="str">
        <f>VLOOKUP(AC221,Key!$E$20:$F$24,2,FALSE)</f>
        <v>300,000-500,000</v>
      </c>
      <c r="AE221" s="32">
        <v>1</v>
      </c>
      <c r="AF221" s="55">
        <v>2</v>
      </c>
      <c r="AG221" s="55">
        <v>3</v>
      </c>
      <c r="AH221" s="55">
        <v>1</v>
      </c>
      <c r="AI221" s="55">
        <v>3</v>
      </c>
      <c r="AJ221" s="39" t="s">
        <v>104</v>
      </c>
      <c r="AK221" s="40">
        <v>4000</v>
      </c>
      <c r="AL221" s="24"/>
      <c r="AM221" s="24"/>
    </row>
    <row r="222" spans="2:39" x14ac:dyDescent="0.2">
      <c r="B222" s="50">
        <v>43690</v>
      </c>
      <c r="C222" s="35">
        <v>0.60763888888888895</v>
      </c>
      <c r="D222" s="35"/>
      <c r="E222" s="35" t="s">
        <v>111</v>
      </c>
      <c r="F222" s="37">
        <v>2</v>
      </c>
      <c r="G222" s="42" t="str">
        <f>VLOOKUP(F222,Key!$A$17:$B$21,2,FALSE)</f>
        <v>Road Vehicle</v>
      </c>
      <c r="H222" s="36">
        <v>5</v>
      </c>
      <c r="I222" s="43" t="str">
        <f>VLOOKUP(H222,Key!$A$2:$B$13,2,FALSE)</f>
        <v xml:space="preserve">Medium bus </v>
      </c>
      <c r="J222" s="37" t="s">
        <v>123</v>
      </c>
      <c r="K222" s="37">
        <v>2</v>
      </c>
      <c r="L222" s="45" t="str">
        <f>VLOOKUP(K222,Key!$A$24:$B$29,2,FALSE)</f>
        <v>30-39</v>
      </c>
      <c r="M222" s="37" t="s">
        <v>297</v>
      </c>
      <c r="N222" s="32" t="s">
        <v>167</v>
      </c>
      <c r="O222" s="37" t="s">
        <v>168</v>
      </c>
      <c r="P222" s="39">
        <v>2</v>
      </c>
      <c r="Q222" s="34" t="str">
        <f>VLOOKUP(P222,Key!$E$2:$F$9,2,FALSE)</f>
        <v>Work</v>
      </c>
      <c r="R222" s="37" t="s">
        <v>176</v>
      </c>
      <c r="S222" s="32" t="s">
        <v>176</v>
      </c>
      <c r="T222" s="37" t="s">
        <v>168</v>
      </c>
      <c r="U222" s="32">
        <v>2</v>
      </c>
      <c r="V222" s="34" t="str">
        <f>VLOOKUP(U222,Key!$E$2:$F$9,2,FALSE)</f>
        <v>Work</v>
      </c>
      <c r="W222" s="34" t="str">
        <f t="shared" si="5"/>
        <v>Work-Work</v>
      </c>
      <c r="X222" s="47">
        <v>80000</v>
      </c>
      <c r="Y222" s="38">
        <v>80</v>
      </c>
      <c r="Z222" s="38">
        <v>3</v>
      </c>
      <c r="AA222" s="32">
        <v>10</v>
      </c>
      <c r="AB222" s="34" t="str">
        <f>VLOOKUP(AA222,Key!$C$20:$D$29,2,FALSE)</f>
        <v>Other</v>
      </c>
      <c r="AC222" s="32">
        <v>2</v>
      </c>
      <c r="AD222" s="34" t="str">
        <f>VLOOKUP(AC222,Key!$E$20:$F$24,2,FALSE)</f>
        <v>300,000-500,000</v>
      </c>
      <c r="AE222" s="32">
        <v>2</v>
      </c>
      <c r="AF222" s="55">
        <v>3</v>
      </c>
      <c r="AG222" s="55">
        <v>4</v>
      </c>
      <c r="AH222" s="55">
        <v>1</v>
      </c>
      <c r="AI222" s="55">
        <v>3</v>
      </c>
      <c r="AJ222" s="39" t="s">
        <v>104</v>
      </c>
      <c r="AK222" s="40">
        <v>3000</v>
      </c>
      <c r="AL222" s="24"/>
      <c r="AM222" s="24"/>
    </row>
    <row r="223" spans="2:39" x14ac:dyDescent="0.2">
      <c r="B223" s="50">
        <v>43690</v>
      </c>
      <c r="C223" s="35">
        <v>0.40277777777777773</v>
      </c>
      <c r="D223" s="35"/>
      <c r="E223" s="35" t="s">
        <v>111</v>
      </c>
      <c r="F223" s="37">
        <v>2</v>
      </c>
      <c r="G223" s="42" t="str">
        <f>VLOOKUP(F223,Key!$A$17:$B$21,2,FALSE)</f>
        <v>Road Vehicle</v>
      </c>
      <c r="H223" s="36">
        <v>5</v>
      </c>
      <c r="I223" s="43" t="str">
        <f>VLOOKUP(H223,Key!$A$2:$B$13,2,FALSE)</f>
        <v xml:space="preserve">Medium bus </v>
      </c>
      <c r="J223" s="37" t="s">
        <v>123</v>
      </c>
      <c r="K223" s="37">
        <v>2</v>
      </c>
      <c r="L223" s="45" t="str">
        <f>VLOOKUP(K223,Key!$A$24:$B$29,2,FALSE)</f>
        <v>30-39</v>
      </c>
      <c r="M223" s="37" t="s">
        <v>343</v>
      </c>
      <c r="N223" s="32" t="s">
        <v>179</v>
      </c>
      <c r="O223" s="37" t="s">
        <v>168</v>
      </c>
      <c r="P223" s="39">
        <v>2</v>
      </c>
      <c r="Q223" s="34" t="str">
        <f>VLOOKUP(P223,Key!$E$2:$F$9,2,FALSE)</f>
        <v>Work</v>
      </c>
      <c r="R223" s="37" t="s">
        <v>218</v>
      </c>
      <c r="S223" s="32" t="s">
        <v>176</v>
      </c>
      <c r="T223" s="37" t="s">
        <v>168</v>
      </c>
      <c r="U223" s="32">
        <v>2</v>
      </c>
      <c r="V223" s="34" t="str">
        <f>VLOOKUP(U223,Key!$E$2:$F$9,2,FALSE)</f>
        <v>Work</v>
      </c>
      <c r="W223" s="34" t="str">
        <f t="shared" si="5"/>
        <v>Work-Work</v>
      </c>
      <c r="X223" s="47">
        <v>60000</v>
      </c>
      <c r="Y223" s="38">
        <v>100</v>
      </c>
      <c r="Z223" s="38">
        <v>3</v>
      </c>
      <c r="AA223" s="32">
        <v>6</v>
      </c>
      <c r="AB223" s="34" t="str">
        <f>VLOOKUP(AA223,Key!$C$20:$D$29,2,FALSE)</f>
        <v>Businessman</v>
      </c>
      <c r="AC223" s="32">
        <v>4</v>
      </c>
      <c r="AD223" s="34" t="str">
        <f>VLOOKUP(AC223,Key!$E$20:$F$24,2,FALSE)</f>
        <v>750,000-1,000,000</v>
      </c>
      <c r="AE223" s="32">
        <v>1</v>
      </c>
      <c r="AF223" s="55">
        <v>1</v>
      </c>
      <c r="AG223" s="55">
        <v>1</v>
      </c>
      <c r="AH223" s="55">
        <v>1</v>
      </c>
      <c r="AI223" s="55">
        <v>1</v>
      </c>
      <c r="AJ223" s="39" t="s">
        <v>104</v>
      </c>
      <c r="AK223" s="40"/>
      <c r="AL223" s="24"/>
      <c r="AM223" s="24"/>
    </row>
    <row r="224" spans="2:39" x14ac:dyDescent="0.2">
      <c r="B224" s="50">
        <v>43690</v>
      </c>
      <c r="C224" s="35">
        <v>0.67499999999999993</v>
      </c>
      <c r="D224" s="35"/>
      <c r="E224" s="35" t="s">
        <v>111</v>
      </c>
      <c r="F224" s="37">
        <v>2</v>
      </c>
      <c r="G224" s="42" t="str">
        <f>VLOOKUP(F224,Key!$A$17:$B$21,2,FALSE)</f>
        <v>Road Vehicle</v>
      </c>
      <c r="H224" s="36">
        <v>5</v>
      </c>
      <c r="I224" s="43" t="str">
        <f>VLOOKUP(H224,Key!$A$2:$B$13,2,FALSE)</f>
        <v xml:space="preserve">Medium bus </v>
      </c>
      <c r="J224" s="37" t="s">
        <v>123</v>
      </c>
      <c r="K224" s="37">
        <v>3</v>
      </c>
      <c r="L224" s="45" t="str">
        <f>VLOOKUP(K224,Key!$A$24:$B$29,2,FALSE)</f>
        <v>40-49</v>
      </c>
      <c r="M224" s="44" t="s">
        <v>167</v>
      </c>
      <c r="N224" s="32" t="s">
        <v>167</v>
      </c>
      <c r="O224" s="37" t="s">
        <v>168</v>
      </c>
      <c r="P224" s="39">
        <v>2</v>
      </c>
      <c r="Q224" s="34" t="str">
        <f>VLOOKUP(P224,Key!$E$2:$F$9,2,FALSE)</f>
        <v>Work</v>
      </c>
      <c r="R224" s="37" t="s">
        <v>176</v>
      </c>
      <c r="S224" s="32" t="s">
        <v>176</v>
      </c>
      <c r="T224" s="37" t="s">
        <v>168</v>
      </c>
      <c r="U224" s="32">
        <v>4</v>
      </c>
      <c r="V224" s="34" t="str">
        <f>VLOOKUP(U224,Key!$E$2:$F$9,2,FALSE)</f>
        <v>Commercial</v>
      </c>
      <c r="W224" s="34" t="str">
        <f t="shared" si="5"/>
        <v>Work-Commercial</v>
      </c>
      <c r="X224" s="47">
        <v>100000</v>
      </c>
      <c r="Y224" s="38">
        <v>70</v>
      </c>
      <c r="Z224" s="38">
        <v>3</v>
      </c>
      <c r="AA224" s="32">
        <v>10</v>
      </c>
      <c r="AB224" s="34" t="str">
        <f>VLOOKUP(AA224,Key!$C$20:$D$29,2,FALSE)</f>
        <v>Other</v>
      </c>
      <c r="AC224" s="32">
        <v>2</v>
      </c>
      <c r="AD224" s="34" t="str">
        <f>VLOOKUP(AC224,Key!$E$20:$F$24,2,FALSE)</f>
        <v>300,000-500,000</v>
      </c>
      <c r="AE224" s="32">
        <v>1</v>
      </c>
      <c r="AF224" s="55">
        <v>2</v>
      </c>
      <c r="AG224" s="55">
        <v>1</v>
      </c>
      <c r="AH224" s="55">
        <v>1</v>
      </c>
      <c r="AI224" s="55">
        <v>1</v>
      </c>
      <c r="AJ224" s="39" t="s">
        <v>104</v>
      </c>
      <c r="AK224" s="40">
        <v>1000</v>
      </c>
      <c r="AL224" s="24"/>
      <c r="AM224" s="24"/>
    </row>
    <row r="225" spans="2:39" x14ac:dyDescent="0.2">
      <c r="B225" s="50">
        <v>43689</v>
      </c>
      <c r="C225" s="35">
        <v>0.50694444444444442</v>
      </c>
      <c r="D225" s="35"/>
      <c r="E225" s="35" t="s">
        <v>111</v>
      </c>
      <c r="F225" s="37">
        <v>2</v>
      </c>
      <c r="G225" s="42" t="str">
        <f>VLOOKUP(F225,Key!$A$17:$B$21,2,FALSE)</f>
        <v>Road Vehicle</v>
      </c>
      <c r="H225" s="36">
        <v>5</v>
      </c>
      <c r="I225" s="43" t="str">
        <f>VLOOKUP(H225,Key!$A$2:$B$13,2,FALSE)</f>
        <v xml:space="preserve">Medium bus </v>
      </c>
      <c r="J225" s="37" t="s">
        <v>123</v>
      </c>
      <c r="K225" s="37">
        <v>3</v>
      </c>
      <c r="L225" s="45" t="str">
        <f>VLOOKUP(K225,Key!$A$24:$B$29,2,FALSE)</f>
        <v>40-49</v>
      </c>
      <c r="M225" s="44" t="s">
        <v>184</v>
      </c>
      <c r="N225" s="32" t="s">
        <v>176</v>
      </c>
      <c r="O225" s="37" t="s">
        <v>168</v>
      </c>
      <c r="P225" s="39">
        <v>2</v>
      </c>
      <c r="Q225" s="34" t="str">
        <f>VLOOKUP(P225,Key!$E$2:$F$9,2,FALSE)</f>
        <v>Work</v>
      </c>
      <c r="R225" s="37" t="s">
        <v>167</v>
      </c>
      <c r="S225" s="32" t="s">
        <v>167</v>
      </c>
      <c r="T225" s="37" t="s">
        <v>168</v>
      </c>
      <c r="U225" s="32">
        <v>4</v>
      </c>
      <c r="V225" s="34" t="str">
        <f>VLOOKUP(U225,Key!$E$2:$F$9,2,FALSE)</f>
        <v>Commercial</v>
      </c>
      <c r="W225" s="34" t="str">
        <f t="shared" si="5"/>
        <v>Work-Commercial</v>
      </c>
      <c r="X225" s="47">
        <v>10000</v>
      </c>
      <c r="Y225" s="38">
        <v>70</v>
      </c>
      <c r="Z225" s="38">
        <v>3</v>
      </c>
      <c r="AA225" s="32">
        <v>10</v>
      </c>
      <c r="AB225" s="34" t="str">
        <f>VLOOKUP(AA225,Key!$C$20:$D$29,2,FALSE)</f>
        <v>Other</v>
      </c>
      <c r="AC225" s="32">
        <v>2</v>
      </c>
      <c r="AD225" s="34" t="str">
        <f>VLOOKUP(AC225,Key!$E$20:$F$24,2,FALSE)</f>
        <v>300,000-500,000</v>
      </c>
      <c r="AE225" s="32">
        <v>1</v>
      </c>
      <c r="AF225" s="55">
        <v>1</v>
      </c>
      <c r="AG225" s="55">
        <v>2</v>
      </c>
      <c r="AH225" s="55">
        <v>1</v>
      </c>
      <c r="AI225" s="55">
        <v>1</v>
      </c>
      <c r="AJ225" s="39" t="s">
        <v>104</v>
      </c>
      <c r="AK225" s="40">
        <v>1000</v>
      </c>
      <c r="AL225" s="24"/>
      <c r="AM225" s="24"/>
    </row>
    <row r="226" spans="2:39" x14ac:dyDescent="0.2">
      <c r="B226" s="50">
        <v>43689</v>
      </c>
      <c r="C226" s="35">
        <v>0.46180555555555558</v>
      </c>
      <c r="D226" s="35"/>
      <c r="E226" s="35" t="s">
        <v>111</v>
      </c>
      <c r="F226" s="37">
        <v>2</v>
      </c>
      <c r="G226" s="42" t="str">
        <f>VLOOKUP(F226,Key!$A$17:$B$21,2,FALSE)</f>
        <v>Road Vehicle</v>
      </c>
      <c r="H226" s="36">
        <v>5</v>
      </c>
      <c r="I226" s="43" t="str">
        <f>VLOOKUP(H226,Key!$A$2:$B$13,2,FALSE)</f>
        <v xml:space="preserve">Medium bus </v>
      </c>
      <c r="J226" s="37" t="s">
        <v>123</v>
      </c>
      <c r="K226" s="37">
        <v>3</v>
      </c>
      <c r="L226" s="45" t="str">
        <f>VLOOKUP(K226,Key!$A$24:$B$29,2,FALSE)</f>
        <v>40-49</v>
      </c>
      <c r="M226" s="37" t="s">
        <v>167</v>
      </c>
      <c r="N226" s="32" t="s">
        <v>167</v>
      </c>
      <c r="O226" s="37" t="s">
        <v>168</v>
      </c>
      <c r="P226" s="39">
        <v>2</v>
      </c>
      <c r="Q226" s="34" t="str">
        <f>VLOOKUP(P226,Key!$E$2:$F$9,2,FALSE)</f>
        <v>Work</v>
      </c>
      <c r="R226" s="37" t="s">
        <v>185</v>
      </c>
      <c r="S226" s="32" t="s">
        <v>176</v>
      </c>
      <c r="T226" s="37" t="s">
        <v>168</v>
      </c>
      <c r="U226" s="32">
        <v>2</v>
      </c>
      <c r="V226" s="34" t="str">
        <f>VLOOKUP(U226,Key!$E$2:$F$9,2,FALSE)</f>
        <v>Work</v>
      </c>
      <c r="W226" s="34" t="str">
        <f t="shared" si="5"/>
        <v>Work-Work</v>
      </c>
      <c r="X226" s="47">
        <v>50000</v>
      </c>
      <c r="Y226" s="38">
        <v>70</v>
      </c>
      <c r="Z226" s="38">
        <v>3</v>
      </c>
      <c r="AA226" s="32">
        <v>6</v>
      </c>
      <c r="AB226" s="34" t="str">
        <f>VLOOKUP(AA226,Key!$C$20:$D$29,2,FALSE)</f>
        <v>Businessman</v>
      </c>
      <c r="AC226" s="32">
        <v>5</v>
      </c>
      <c r="AD226" s="34" t="str">
        <f>VLOOKUP(AC226,Key!$E$20:$F$24,2,FALSE)</f>
        <v>&gt;1,000,000</v>
      </c>
      <c r="AE226" s="32">
        <v>1</v>
      </c>
      <c r="AF226" s="55">
        <v>1</v>
      </c>
      <c r="AG226" s="55">
        <v>1</v>
      </c>
      <c r="AH226" s="55">
        <v>1</v>
      </c>
      <c r="AI226" s="55">
        <v>1</v>
      </c>
      <c r="AJ226" s="39" t="s">
        <v>104</v>
      </c>
      <c r="AK226" s="40">
        <v>3000</v>
      </c>
      <c r="AL226" s="24"/>
      <c r="AM226" s="24"/>
    </row>
    <row r="227" spans="2:39" x14ac:dyDescent="0.2">
      <c r="B227" s="50">
        <v>43689</v>
      </c>
      <c r="C227" s="35">
        <v>0.43055555555555558</v>
      </c>
      <c r="D227" s="35"/>
      <c r="E227" s="35" t="s">
        <v>111</v>
      </c>
      <c r="F227" s="37">
        <v>2</v>
      </c>
      <c r="G227" s="42" t="str">
        <f>VLOOKUP(F227,Key!$A$17:$B$21,2,FALSE)</f>
        <v>Road Vehicle</v>
      </c>
      <c r="H227" s="36">
        <v>5</v>
      </c>
      <c r="I227" s="43" t="str">
        <f>VLOOKUP(H227,Key!$A$2:$B$13,2,FALSE)</f>
        <v xml:space="preserve">Medium bus </v>
      </c>
      <c r="J227" s="37" t="s">
        <v>123</v>
      </c>
      <c r="K227" s="37">
        <v>3</v>
      </c>
      <c r="L227" s="45" t="str">
        <f>VLOOKUP(K227,Key!$A$24:$B$29,2,FALSE)</f>
        <v>40-49</v>
      </c>
      <c r="M227" s="37" t="s">
        <v>167</v>
      </c>
      <c r="N227" s="32" t="s">
        <v>167</v>
      </c>
      <c r="O227" s="37" t="s">
        <v>168</v>
      </c>
      <c r="P227" s="39">
        <v>2</v>
      </c>
      <c r="Q227" s="34" t="str">
        <f>VLOOKUP(P227,Key!$E$2:$F$9,2,FALSE)</f>
        <v>Work</v>
      </c>
      <c r="R227" s="37" t="s">
        <v>219</v>
      </c>
      <c r="S227" s="32" t="s">
        <v>176</v>
      </c>
      <c r="T227" s="37" t="s">
        <v>168</v>
      </c>
      <c r="U227" s="32">
        <v>2</v>
      </c>
      <c r="V227" s="34" t="str">
        <f>VLOOKUP(U227,Key!$E$2:$F$9,2,FALSE)</f>
        <v>Work</v>
      </c>
      <c r="W227" s="34" t="str">
        <f t="shared" si="5"/>
        <v>Work-Work</v>
      </c>
      <c r="X227" s="47">
        <v>50000</v>
      </c>
      <c r="Y227" s="38">
        <v>70</v>
      </c>
      <c r="Z227" s="38">
        <v>3</v>
      </c>
      <c r="AA227" s="32">
        <v>5</v>
      </c>
      <c r="AB227" s="34" t="str">
        <f>VLOOKUP(AA227,Key!$C$20:$D$29,2,FALSE)</f>
        <v>Professional</v>
      </c>
      <c r="AC227" s="32">
        <v>5</v>
      </c>
      <c r="AD227" s="34" t="str">
        <f>VLOOKUP(AC227,Key!$E$20:$F$24,2,FALSE)</f>
        <v>&gt;1,000,000</v>
      </c>
      <c r="AE227" s="32">
        <v>1</v>
      </c>
      <c r="AF227" s="55">
        <v>1</v>
      </c>
      <c r="AG227" s="55">
        <v>3</v>
      </c>
      <c r="AH227" s="55">
        <v>2</v>
      </c>
      <c r="AI227" s="55">
        <v>2</v>
      </c>
      <c r="AJ227" s="39" t="s">
        <v>104</v>
      </c>
      <c r="AK227" s="40">
        <v>2000</v>
      </c>
      <c r="AL227" s="24"/>
      <c r="AM227" s="24"/>
    </row>
    <row r="228" spans="2:39" x14ac:dyDescent="0.2">
      <c r="B228" s="50">
        <v>43686</v>
      </c>
      <c r="C228" s="35">
        <v>0.7583333333333333</v>
      </c>
      <c r="D228" s="35"/>
      <c r="E228" s="35" t="s">
        <v>111</v>
      </c>
      <c r="F228" s="37">
        <v>2</v>
      </c>
      <c r="G228" s="42" t="str">
        <f>VLOOKUP(F228,Key!$A$17:$B$21,2,FALSE)</f>
        <v>Road Vehicle</v>
      </c>
      <c r="H228" s="36">
        <v>5</v>
      </c>
      <c r="I228" s="43" t="str">
        <f>VLOOKUP(H228,Key!$A$2:$B$13,2,FALSE)</f>
        <v xml:space="preserve">Medium bus </v>
      </c>
      <c r="J228" s="37" t="s">
        <v>123</v>
      </c>
      <c r="K228" s="37">
        <v>3</v>
      </c>
      <c r="L228" s="45" t="str">
        <f>VLOOKUP(K228,Key!$A$24:$B$29,2,FALSE)</f>
        <v>40-49</v>
      </c>
      <c r="M228" s="37" t="s">
        <v>187</v>
      </c>
      <c r="N228" s="32" t="s">
        <v>167</v>
      </c>
      <c r="O228" s="37" t="s">
        <v>168</v>
      </c>
      <c r="P228" s="39">
        <v>2</v>
      </c>
      <c r="Q228" s="34" t="str">
        <f>VLOOKUP(P228,Key!$E$2:$F$9,2,FALSE)</f>
        <v>Work</v>
      </c>
      <c r="R228" s="37" t="s">
        <v>218</v>
      </c>
      <c r="S228" s="32" t="s">
        <v>176</v>
      </c>
      <c r="T228" s="37" t="s">
        <v>168</v>
      </c>
      <c r="U228" s="32">
        <v>2</v>
      </c>
      <c r="V228" s="34" t="str">
        <f>VLOOKUP(U228,Key!$E$2:$F$9,2,FALSE)</f>
        <v>Work</v>
      </c>
      <c r="W228" s="34" t="str">
        <f t="shared" si="5"/>
        <v>Work-Work</v>
      </c>
      <c r="X228" s="47">
        <v>40000</v>
      </c>
      <c r="Y228" s="38">
        <v>70</v>
      </c>
      <c r="Z228" s="38">
        <v>3.5</v>
      </c>
      <c r="AA228" s="32">
        <v>6</v>
      </c>
      <c r="AB228" s="34" t="str">
        <f>VLOOKUP(AA228,Key!$C$20:$D$29,2,FALSE)</f>
        <v>Businessman</v>
      </c>
      <c r="AC228" s="32">
        <v>3</v>
      </c>
      <c r="AD228" s="34" t="str">
        <f>VLOOKUP(AC228,Key!$E$20:$F$24,2,FALSE)</f>
        <v>500,000-750,000</v>
      </c>
      <c r="AE228" s="32">
        <v>1</v>
      </c>
      <c r="AF228" s="55">
        <v>1</v>
      </c>
      <c r="AG228" s="55">
        <v>1</v>
      </c>
      <c r="AH228" s="55">
        <v>1</v>
      </c>
      <c r="AI228" s="55">
        <v>1</v>
      </c>
      <c r="AJ228" s="39" t="s">
        <v>104</v>
      </c>
      <c r="AK228" s="40">
        <v>2000</v>
      </c>
      <c r="AL228" s="24"/>
      <c r="AM228" s="24"/>
    </row>
    <row r="229" spans="2:39" x14ac:dyDescent="0.2">
      <c r="B229" s="50">
        <v>43690</v>
      </c>
      <c r="C229" s="35">
        <v>0.33611111111111108</v>
      </c>
      <c r="D229" s="35"/>
      <c r="E229" s="35" t="s">
        <v>111</v>
      </c>
      <c r="F229" s="37">
        <v>2</v>
      </c>
      <c r="G229" s="42" t="str">
        <f>VLOOKUP(F229,Key!$A$17:$B$21,2,FALSE)</f>
        <v>Road Vehicle</v>
      </c>
      <c r="H229" s="36">
        <v>5</v>
      </c>
      <c r="I229" s="43" t="str">
        <f>VLOOKUP(H229,Key!$A$2:$B$13,2,FALSE)</f>
        <v xml:space="preserve">Medium bus </v>
      </c>
      <c r="J229" s="37" t="s">
        <v>123</v>
      </c>
      <c r="K229" s="37">
        <v>3</v>
      </c>
      <c r="L229" s="45" t="str">
        <f>VLOOKUP(K229,Key!$A$24:$B$29,2,FALSE)</f>
        <v>40-49</v>
      </c>
      <c r="M229" s="37" t="s">
        <v>218</v>
      </c>
      <c r="N229" s="32" t="s">
        <v>176</v>
      </c>
      <c r="O229" s="37" t="s">
        <v>168</v>
      </c>
      <c r="P229" s="39">
        <v>2</v>
      </c>
      <c r="Q229" s="34" t="str">
        <f>VLOOKUP(P229,Key!$E$2:$F$9,2,FALSE)</f>
        <v>Work</v>
      </c>
      <c r="R229" s="37" t="s">
        <v>167</v>
      </c>
      <c r="S229" s="32" t="s">
        <v>167</v>
      </c>
      <c r="T229" s="37" t="s">
        <v>168</v>
      </c>
      <c r="U229" s="32">
        <v>2</v>
      </c>
      <c r="V229" s="34" t="str">
        <f>VLOOKUP(U229,Key!$E$2:$F$9,2,FALSE)</f>
        <v>Work</v>
      </c>
      <c r="W229" s="34" t="str">
        <f t="shared" si="5"/>
        <v>Work-Work</v>
      </c>
      <c r="X229" s="47">
        <v>55000</v>
      </c>
      <c r="Y229" s="38">
        <v>75</v>
      </c>
      <c r="Z229" s="38">
        <v>3.5</v>
      </c>
      <c r="AA229" s="32">
        <v>5</v>
      </c>
      <c r="AB229" s="34" t="str">
        <f>VLOOKUP(AA229,Key!$C$20:$D$29,2,FALSE)</f>
        <v>Professional</v>
      </c>
      <c r="AC229" s="32">
        <v>4</v>
      </c>
      <c r="AD229" s="34" t="str">
        <f>VLOOKUP(AC229,Key!$E$20:$F$24,2,FALSE)</f>
        <v>750,000-1,000,000</v>
      </c>
      <c r="AE229" s="32">
        <v>1</v>
      </c>
      <c r="AF229" s="55">
        <v>1</v>
      </c>
      <c r="AG229" s="55">
        <v>1</v>
      </c>
      <c r="AH229" s="55">
        <v>1</v>
      </c>
      <c r="AI229" s="55">
        <v>1</v>
      </c>
      <c r="AJ229" s="39" t="s">
        <v>104</v>
      </c>
      <c r="AK229" s="40">
        <v>2000</v>
      </c>
      <c r="AL229" s="24"/>
      <c r="AM229" s="24"/>
    </row>
    <row r="230" spans="2:39" x14ac:dyDescent="0.2">
      <c r="B230" s="50">
        <v>43690</v>
      </c>
      <c r="C230" s="35">
        <v>0.35902777777777778</v>
      </c>
      <c r="D230" s="35"/>
      <c r="E230" s="35" t="s">
        <v>111</v>
      </c>
      <c r="F230" s="37">
        <v>2</v>
      </c>
      <c r="G230" s="42" t="str">
        <f>VLOOKUP(F230,Key!$A$17:$B$21,2,FALSE)</f>
        <v>Road Vehicle</v>
      </c>
      <c r="H230" s="36">
        <v>5</v>
      </c>
      <c r="I230" s="43" t="str">
        <f>VLOOKUP(H230,Key!$A$2:$B$13,2,FALSE)</f>
        <v xml:space="preserve">Medium bus </v>
      </c>
      <c r="J230" s="37" t="s">
        <v>123</v>
      </c>
      <c r="K230" s="37">
        <v>3</v>
      </c>
      <c r="L230" s="45" t="str">
        <f>VLOOKUP(K230,Key!$A$24:$B$29,2,FALSE)</f>
        <v>40-49</v>
      </c>
      <c r="M230" s="37" t="s">
        <v>187</v>
      </c>
      <c r="N230" s="32" t="s">
        <v>167</v>
      </c>
      <c r="O230" s="37" t="s">
        <v>168</v>
      </c>
      <c r="P230" s="39">
        <v>2</v>
      </c>
      <c r="Q230" s="34" t="str">
        <f>VLOOKUP(P230,Key!$E$2:$F$9,2,FALSE)</f>
        <v>Work</v>
      </c>
      <c r="R230" s="37" t="s">
        <v>185</v>
      </c>
      <c r="S230" s="32" t="s">
        <v>176</v>
      </c>
      <c r="T230" s="37" t="s">
        <v>168</v>
      </c>
      <c r="U230" s="32">
        <v>4</v>
      </c>
      <c r="V230" s="34" t="str">
        <f>VLOOKUP(U230,Key!$E$2:$F$9,2,FALSE)</f>
        <v>Commercial</v>
      </c>
      <c r="W230" s="34" t="str">
        <f t="shared" si="5"/>
        <v>Work-Commercial</v>
      </c>
      <c r="X230" s="47">
        <v>40000</v>
      </c>
      <c r="Y230" s="38">
        <v>80</v>
      </c>
      <c r="Z230" s="38">
        <v>3</v>
      </c>
      <c r="AA230" s="32">
        <v>5</v>
      </c>
      <c r="AB230" s="34" t="str">
        <f>VLOOKUP(AA230,Key!$C$20:$D$29,2,FALSE)</f>
        <v>Professional</v>
      </c>
      <c r="AC230" s="32">
        <v>3</v>
      </c>
      <c r="AD230" s="34" t="str">
        <f>VLOOKUP(AC230,Key!$E$20:$F$24,2,FALSE)</f>
        <v>500,000-750,000</v>
      </c>
      <c r="AE230" s="32">
        <v>1</v>
      </c>
      <c r="AF230" s="55">
        <v>1</v>
      </c>
      <c r="AG230" s="55">
        <v>1</v>
      </c>
      <c r="AH230" s="55">
        <v>1</v>
      </c>
      <c r="AI230" s="55">
        <v>1</v>
      </c>
      <c r="AJ230" s="39" t="s">
        <v>104</v>
      </c>
      <c r="AK230" s="40"/>
      <c r="AL230" s="24"/>
      <c r="AM230" s="24"/>
    </row>
    <row r="231" spans="2:39" x14ac:dyDescent="0.2">
      <c r="B231" s="50">
        <v>43690</v>
      </c>
      <c r="C231" s="35">
        <v>0.6118055555555556</v>
      </c>
      <c r="D231" s="35"/>
      <c r="E231" s="35" t="s">
        <v>111</v>
      </c>
      <c r="F231" s="37">
        <v>2</v>
      </c>
      <c r="G231" s="42" t="str">
        <f>VLOOKUP(F231,Key!$A$17:$B$21,2,FALSE)</f>
        <v>Road Vehicle</v>
      </c>
      <c r="H231" s="36">
        <v>5</v>
      </c>
      <c r="I231" s="43" t="str">
        <f>VLOOKUP(H231,Key!$A$2:$B$13,2,FALSE)</f>
        <v xml:space="preserve">Medium bus </v>
      </c>
      <c r="J231" s="37" t="s">
        <v>123</v>
      </c>
      <c r="K231" s="37">
        <v>3</v>
      </c>
      <c r="L231" s="45" t="str">
        <f>VLOOKUP(K231,Key!$A$24:$B$29,2,FALSE)</f>
        <v>40-49</v>
      </c>
      <c r="M231" s="37" t="s">
        <v>167</v>
      </c>
      <c r="N231" s="32" t="s">
        <v>167</v>
      </c>
      <c r="O231" s="37" t="s">
        <v>168</v>
      </c>
      <c r="P231" s="39">
        <v>2</v>
      </c>
      <c r="Q231" s="34" t="str">
        <f>VLOOKUP(P231,Key!$E$2:$F$9,2,FALSE)</f>
        <v>Work</v>
      </c>
      <c r="R231" s="37" t="s">
        <v>176</v>
      </c>
      <c r="S231" s="32" t="s">
        <v>176</v>
      </c>
      <c r="T231" s="37" t="s">
        <v>168</v>
      </c>
      <c r="U231" s="32">
        <v>2</v>
      </c>
      <c r="V231" s="34" t="str">
        <f>VLOOKUP(U231,Key!$E$2:$F$9,2,FALSE)</f>
        <v>Work</v>
      </c>
      <c r="W231" s="34" t="str">
        <f t="shared" si="5"/>
        <v>Work-Work</v>
      </c>
      <c r="X231" s="47">
        <v>80000</v>
      </c>
      <c r="Y231" s="38">
        <v>80</v>
      </c>
      <c r="Z231" s="38">
        <v>3</v>
      </c>
      <c r="AA231" s="32">
        <v>10</v>
      </c>
      <c r="AB231" s="34" t="str">
        <f>VLOOKUP(AA231,Key!$C$20:$D$29,2,FALSE)</f>
        <v>Other</v>
      </c>
      <c r="AC231" s="32">
        <v>2</v>
      </c>
      <c r="AD231" s="34" t="str">
        <f>VLOOKUP(AC231,Key!$E$20:$F$24,2,FALSE)</f>
        <v>300,000-500,000</v>
      </c>
      <c r="AE231" s="32">
        <v>2</v>
      </c>
      <c r="AF231" s="55">
        <v>3</v>
      </c>
      <c r="AG231" s="55">
        <v>4</v>
      </c>
      <c r="AH231" s="55">
        <v>1</v>
      </c>
      <c r="AI231" s="55">
        <v>2</v>
      </c>
      <c r="AJ231" s="39" t="s">
        <v>104</v>
      </c>
      <c r="AK231" s="40">
        <v>3000</v>
      </c>
      <c r="AL231" s="24"/>
      <c r="AM231" s="24"/>
    </row>
    <row r="232" spans="2:39" x14ac:dyDescent="0.2">
      <c r="B232" s="50">
        <v>43687</v>
      </c>
      <c r="C232" s="35">
        <v>0.71527777777777779</v>
      </c>
      <c r="D232" s="35"/>
      <c r="E232" s="35" t="s">
        <v>111</v>
      </c>
      <c r="F232" s="37">
        <v>2</v>
      </c>
      <c r="G232" s="42" t="str">
        <f>VLOOKUP(F232,Key!$A$17:$B$21,2,FALSE)</f>
        <v>Road Vehicle</v>
      </c>
      <c r="H232" s="36">
        <v>5</v>
      </c>
      <c r="I232" s="43" t="str">
        <f>VLOOKUP(H232,Key!$A$2:$B$13,2,FALSE)</f>
        <v xml:space="preserve">Medium bus </v>
      </c>
      <c r="J232" s="37" t="s">
        <v>123</v>
      </c>
      <c r="K232" s="37">
        <v>4</v>
      </c>
      <c r="L232" s="45" t="str">
        <f>VLOOKUP(K232,Key!$A$24:$B$29,2,FALSE)</f>
        <v>50-59</v>
      </c>
      <c r="M232" s="37" t="s">
        <v>187</v>
      </c>
      <c r="N232" s="32" t="s">
        <v>167</v>
      </c>
      <c r="O232" s="37" t="s">
        <v>168</v>
      </c>
      <c r="P232" s="39">
        <v>2</v>
      </c>
      <c r="Q232" s="34" t="str">
        <f>VLOOKUP(P232,Key!$E$2:$F$9,2,FALSE)</f>
        <v>Work</v>
      </c>
      <c r="R232" s="37" t="s">
        <v>210</v>
      </c>
      <c r="S232" s="32" t="s">
        <v>176</v>
      </c>
      <c r="T232" s="37" t="s">
        <v>168</v>
      </c>
      <c r="U232" s="32">
        <v>4</v>
      </c>
      <c r="V232" s="34" t="str">
        <f>VLOOKUP(U232,Key!$E$2:$F$9,2,FALSE)</f>
        <v>Commercial</v>
      </c>
      <c r="W232" s="34" t="str">
        <f t="shared" si="5"/>
        <v>Work-Commercial</v>
      </c>
      <c r="X232" s="47">
        <v>50000</v>
      </c>
      <c r="Y232" s="38">
        <v>68</v>
      </c>
      <c r="Z232" s="38">
        <v>3.5</v>
      </c>
      <c r="AA232" s="32">
        <v>5</v>
      </c>
      <c r="AB232" s="34" t="str">
        <f>VLOOKUP(AA232,Key!$C$20:$D$29,2,FALSE)</f>
        <v>Professional</v>
      </c>
      <c r="AC232" s="32">
        <v>4</v>
      </c>
      <c r="AD232" s="34" t="str">
        <f>VLOOKUP(AC232,Key!$E$20:$F$24,2,FALSE)</f>
        <v>750,000-1,000,000</v>
      </c>
      <c r="AE232" s="32">
        <v>1</v>
      </c>
      <c r="AF232" s="55">
        <v>1</v>
      </c>
      <c r="AG232" s="55">
        <v>1</v>
      </c>
      <c r="AH232" s="55">
        <v>1</v>
      </c>
      <c r="AI232" s="55">
        <v>1</v>
      </c>
      <c r="AJ232" s="39" t="s">
        <v>104</v>
      </c>
      <c r="AK232" s="40"/>
      <c r="AL232" s="24"/>
      <c r="AM232" s="24"/>
    </row>
    <row r="233" spans="2:39" x14ac:dyDescent="0.2">
      <c r="B233" s="50">
        <v>43689</v>
      </c>
      <c r="C233" s="35">
        <v>0.43541666666666662</v>
      </c>
      <c r="D233" s="35"/>
      <c r="E233" s="35" t="s">
        <v>111</v>
      </c>
      <c r="F233" s="37">
        <v>2</v>
      </c>
      <c r="G233" s="42" t="str">
        <f>VLOOKUP(F233,Key!$A$17:$B$21,2,FALSE)</f>
        <v>Road Vehicle</v>
      </c>
      <c r="H233" s="36">
        <v>5</v>
      </c>
      <c r="I233" s="43" t="str">
        <f>VLOOKUP(H233,Key!$A$2:$B$13,2,FALSE)</f>
        <v xml:space="preserve">Medium bus </v>
      </c>
      <c r="J233" s="37" t="s">
        <v>123</v>
      </c>
      <c r="K233" s="37">
        <v>4</v>
      </c>
      <c r="L233" s="45" t="str">
        <f>VLOOKUP(K233,Key!$A$24:$B$29,2,FALSE)</f>
        <v>50-59</v>
      </c>
      <c r="M233" s="37" t="s">
        <v>306</v>
      </c>
      <c r="N233" s="32" t="s">
        <v>167</v>
      </c>
      <c r="O233" s="37" t="s">
        <v>168</v>
      </c>
      <c r="P233" s="39">
        <v>4</v>
      </c>
      <c r="Q233" s="34" t="str">
        <f>VLOOKUP(P233,Key!$E$2:$F$9,2,FALSE)</f>
        <v>Commercial</v>
      </c>
      <c r="R233" s="37" t="s">
        <v>185</v>
      </c>
      <c r="S233" s="32" t="s">
        <v>176</v>
      </c>
      <c r="T233" s="37" t="s">
        <v>168</v>
      </c>
      <c r="U233" s="32">
        <v>4</v>
      </c>
      <c r="V233" s="34" t="str">
        <f>VLOOKUP(U233,Key!$E$2:$F$9,2,FALSE)</f>
        <v>Commercial</v>
      </c>
      <c r="W233" s="34" t="str">
        <f t="shared" si="5"/>
        <v>Commercial-Commercial</v>
      </c>
      <c r="X233" s="47">
        <v>80000</v>
      </c>
      <c r="Y233" s="38">
        <v>70</v>
      </c>
      <c r="Z233" s="38">
        <v>3</v>
      </c>
      <c r="AA233" s="32">
        <v>10</v>
      </c>
      <c r="AB233" s="34" t="str">
        <f>VLOOKUP(AA233,Key!$C$20:$D$29,2,FALSE)</f>
        <v>Other</v>
      </c>
      <c r="AC233" s="32">
        <v>2</v>
      </c>
      <c r="AD233" s="34" t="str">
        <f>VLOOKUP(AC233,Key!$E$20:$F$24,2,FALSE)</f>
        <v>300,000-500,000</v>
      </c>
      <c r="AE233" s="32">
        <v>1</v>
      </c>
      <c r="AF233" s="55">
        <v>1</v>
      </c>
      <c r="AG233" s="55">
        <v>1</v>
      </c>
      <c r="AH233" s="55">
        <v>1</v>
      </c>
      <c r="AI233" s="55">
        <v>1</v>
      </c>
      <c r="AJ233" s="39" t="s">
        <v>104</v>
      </c>
      <c r="AK233" s="40">
        <v>3000</v>
      </c>
      <c r="AL233" s="24"/>
      <c r="AM233" s="24"/>
    </row>
    <row r="234" spans="2:39" hidden="1" x14ac:dyDescent="0.2">
      <c r="B234" s="50">
        <v>43689</v>
      </c>
      <c r="C234" s="35">
        <v>0.51736111111111105</v>
      </c>
      <c r="D234" s="35"/>
      <c r="E234" s="35" t="s">
        <v>111</v>
      </c>
      <c r="F234" s="37">
        <v>2</v>
      </c>
      <c r="G234" s="42" t="str">
        <f>VLOOKUP(F234,Key!$A$17:$B$21,2,FALSE)</f>
        <v>Road Vehicle</v>
      </c>
      <c r="H234" s="36">
        <v>5</v>
      </c>
      <c r="I234" s="43" t="str">
        <f>VLOOKUP(H234,Key!$A$2:$B$13,2,FALSE)</f>
        <v xml:space="preserve">Medium bus </v>
      </c>
      <c r="J234" s="37" t="s">
        <v>123</v>
      </c>
      <c r="K234" s="37">
        <v>3</v>
      </c>
      <c r="L234" s="45" t="str">
        <f>VLOOKUP(K234,Key!$A$24:$B$29,2,FALSE)</f>
        <v>40-49</v>
      </c>
      <c r="M234" s="37" t="s">
        <v>247</v>
      </c>
      <c r="N234" s="32" t="s">
        <v>167</v>
      </c>
      <c r="O234" s="37" t="s">
        <v>168</v>
      </c>
      <c r="P234" s="39">
        <v>2</v>
      </c>
      <c r="Q234" s="34" t="str">
        <f>VLOOKUP(P234,Key!$E$2:$F$9,2,FALSE)</f>
        <v>Work</v>
      </c>
      <c r="R234" s="37" t="s">
        <v>169</v>
      </c>
      <c r="S234" s="32" t="s">
        <v>169</v>
      </c>
      <c r="T234" s="37" t="s">
        <v>168</v>
      </c>
      <c r="U234" s="32">
        <v>2</v>
      </c>
      <c r="V234" s="34" t="str">
        <f>VLOOKUP(U234,Key!$E$2:$F$9,2,FALSE)</f>
        <v>Work</v>
      </c>
      <c r="W234" s="34" t="str">
        <f t="shared" si="5"/>
        <v>Work-Work</v>
      </c>
      <c r="X234" s="47">
        <v>120000</v>
      </c>
      <c r="Y234" s="38">
        <v>190</v>
      </c>
      <c r="Z234" s="38">
        <v>4</v>
      </c>
      <c r="AA234" s="32">
        <v>10</v>
      </c>
      <c r="AB234" s="34" t="str">
        <f>VLOOKUP(AA234,Key!$C$20:$D$29,2,FALSE)</f>
        <v>Other</v>
      </c>
      <c r="AC234" s="32">
        <v>1</v>
      </c>
      <c r="AD234" s="34" t="str">
        <f>VLOOKUP(AC234,Key!$E$20:$F$24,2,FALSE)</f>
        <v>&lt;300,000</v>
      </c>
      <c r="AE234" s="32">
        <v>1</v>
      </c>
      <c r="AF234" s="55">
        <v>2</v>
      </c>
      <c r="AG234" s="55">
        <v>1</v>
      </c>
      <c r="AH234" s="55">
        <v>1</v>
      </c>
      <c r="AI234" s="55">
        <v>1</v>
      </c>
      <c r="AJ234" s="39" t="s">
        <v>104</v>
      </c>
      <c r="AK234" s="40">
        <v>500</v>
      </c>
      <c r="AL234" s="24"/>
      <c r="AM234" s="24"/>
    </row>
    <row r="235" spans="2:39" hidden="1" x14ac:dyDescent="0.2">
      <c r="B235" s="50">
        <v>43690</v>
      </c>
      <c r="C235" s="35">
        <v>0.63402777777777775</v>
      </c>
      <c r="D235" s="35"/>
      <c r="E235" s="35" t="s">
        <v>111</v>
      </c>
      <c r="F235" s="37">
        <v>2</v>
      </c>
      <c r="G235" s="42" t="str">
        <f>VLOOKUP(F235,Key!$A$17:$B$21,2,FALSE)</f>
        <v>Road Vehicle</v>
      </c>
      <c r="H235" s="36">
        <v>5</v>
      </c>
      <c r="I235" s="43" t="str">
        <f>VLOOKUP(H235,Key!$A$2:$B$13,2,FALSE)</f>
        <v xml:space="preserve">Medium bus </v>
      </c>
      <c r="J235" s="37" t="s">
        <v>123</v>
      </c>
      <c r="K235" s="37">
        <v>2</v>
      </c>
      <c r="L235" s="45" t="str">
        <f>VLOOKUP(K235,Key!$A$24:$B$29,2,FALSE)</f>
        <v>30-39</v>
      </c>
      <c r="M235" s="37" t="s">
        <v>247</v>
      </c>
      <c r="N235" s="32" t="s">
        <v>167</v>
      </c>
      <c r="O235" s="37" t="s">
        <v>168</v>
      </c>
      <c r="P235" s="39">
        <v>2</v>
      </c>
      <c r="Q235" s="34" t="str">
        <f>VLOOKUP(P235,Key!$E$2:$F$9,2,FALSE)</f>
        <v>Work</v>
      </c>
      <c r="R235" s="37" t="s">
        <v>183</v>
      </c>
      <c r="S235" s="32" t="s">
        <v>183</v>
      </c>
      <c r="T235" s="37" t="s">
        <v>168</v>
      </c>
      <c r="U235" s="32">
        <v>2</v>
      </c>
      <c r="V235" s="34" t="str">
        <f>VLOOKUP(U235,Key!$E$2:$F$9,2,FALSE)</f>
        <v>Work</v>
      </c>
      <c r="W235" s="34" t="str">
        <f t="shared" si="5"/>
        <v>Work-Work</v>
      </c>
      <c r="X235" s="47">
        <v>150000</v>
      </c>
      <c r="Y235" s="38">
        <v>200</v>
      </c>
      <c r="Z235" s="38">
        <v>4</v>
      </c>
      <c r="AA235" s="32">
        <v>10</v>
      </c>
      <c r="AB235" s="34" t="str">
        <f>VLOOKUP(AA235,Key!$C$20:$D$29,2,FALSE)</f>
        <v>Other</v>
      </c>
      <c r="AC235" s="32">
        <v>2</v>
      </c>
      <c r="AD235" s="34" t="str">
        <f>VLOOKUP(AC235,Key!$E$20:$F$24,2,FALSE)</f>
        <v>300,000-500,000</v>
      </c>
      <c r="AE235" s="32">
        <v>1</v>
      </c>
      <c r="AF235" s="55">
        <v>1</v>
      </c>
      <c r="AG235" s="55">
        <v>1</v>
      </c>
      <c r="AH235" s="55">
        <v>1</v>
      </c>
      <c r="AI235" s="55">
        <v>1</v>
      </c>
      <c r="AJ235" s="39" t="s">
        <v>104</v>
      </c>
      <c r="AK235" s="40">
        <v>2000</v>
      </c>
      <c r="AL235" s="24"/>
      <c r="AM235" s="24"/>
    </row>
    <row r="236" spans="2:39" hidden="1" x14ac:dyDescent="0.2">
      <c r="B236" s="50">
        <v>43690</v>
      </c>
      <c r="C236" s="35">
        <v>0.38194444444444442</v>
      </c>
      <c r="D236" s="35"/>
      <c r="E236" s="35" t="s">
        <v>111</v>
      </c>
      <c r="F236" s="37">
        <v>2</v>
      </c>
      <c r="G236" s="42" t="str">
        <f>VLOOKUP(F236,Key!$A$17:$B$21,2,FALSE)</f>
        <v>Road Vehicle</v>
      </c>
      <c r="H236" s="36">
        <v>5</v>
      </c>
      <c r="I236" s="43" t="str">
        <f>VLOOKUP(H236,Key!$A$2:$B$13,2,FALSE)</f>
        <v xml:space="preserve">Medium bus </v>
      </c>
      <c r="J236" s="37" t="s">
        <v>123</v>
      </c>
      <c r="K236" s="37">
        <v>3</v>
      </c>
      <c r="L236" s="45" t="str">
        <f>VLOOKUP(K236,Key!$A$24:$B$29,2,FALSE)</f>
        <v>40-49</v>
      </c>
      <c r="M236" s="37" t="s">
        <v>167</v>
      </c>
      <c r="N236" s="32" t="s">
        <v>167</v>
      </c>
      <c r="O236" s="37" t="s">
        <v>168</v>
      </c>
      <c r="P236" s="39">
        <v>2</v>
      </c>
      <c r="Q236" s="34" t="str">
        <f>VLOOKUP(P236,Key!$E$2:$F$9,2,FALSE)</f>
        <v>Work</v>
      </c>
      <c r="R236" s="37" t="s">
        <v>169</v>
      </c>
      <c r="S236" s="32" t="s">
        <v>169</v>
      </c>
      <c r="T236" s="37" t="s">
        <v>168</v>
      </c>
      <c r="U236" s="32">
        <v>2</v>
      </c>
      <c r="V236" s="34" t="str">
        <f>VLOOKUP(U236,Key!$E$2:$F$9,2,FALSE)</f>
        <v>Work</v>
      </c>
      <c r="W236" s="34" t="str">
        <f t="shared" si="5"/>
        <v>Work-Work</v>
      </c>
      <c r="X236" s="47">
        <v>200000</v>
      </c>
      <c r="Y236" s="38">
        <v>200</v>
      </c>
      <c r="Z236" s="38">
        <v>4</v>
      </c>
      <c r="AA236" s="32">
        <v>7</v>
      </c>
      <c r="AB236" s="34" t="str">
        <f>VLOOKUP(AA236,Key!$C$20:$D$29,2,FALSE)</f>
        <v>Farmer</v>
      </c>
      <c r="AC236" s="32">
        <v>2</v>
      </c>
      <c r="AD236" s="34" t="str">
        <f>VLOOKUP(AC236,Key!$E$20:$F$24,2,FALSE)</f>
        <v>300,000-500,000</v>
      </c>
      <c r="AE236" s="32">
        <v>5</v>
      </c>
      <c r="AF236" s="55">
        <v>3</v>
      </c>
      <c r="AG236" s="55"/>
      <c r="AH236" s="55"/>
      <c r="AI236" s="55">
        <v>1</v>
      </c>
      <c r="AJ236" s="39" t="s">
        <v>104</v>
      </c>
      <c r="AK236" s="40">
        <v>3000</v>
      </c>
      <c r="AL236" s="24"/>
      <c r="AM236" s="24"/>
    </row>
    <row r="237" spans="2:39" hidden="1" x14ac:dyDescent="0.2">
      <c r="B237" s="50">
        <v>43688</v>
      </c>
      <c r="C237" s="35">
        <v>0.64583333333333337</v>
      </c>
      <c r="D237" s="35"/>
      <c r="E237" s="35" t="s">
        <v>111</v>
      </c>
      <c r="F237" s="37">
        <v>2</v>
      </c>
      <c r="G237" s="42" t="str">
        <f>VLOOKUP(F237,Key!$A$17:$B$21,2,FALSE)</f>
        <v>Road Vehicle</v>
      </c>
      <c r="H237" s="36">
        <v>5</v>
      </c>
      <c r="I237" s="43" t="str">
        <f>VLOOKUP(H237,Key!$A$2:$B$13,2,FALSE)</f>
        <v xml:space="preserve">Medium bus </v>
      </c>
      <c r="J237" s="37" t="s">
        <v>123</v>
      </c>
      <c r="K237" s="37">
        <v>3</v>
      </c>
      <c r="L237" s="45" t="str">
        <f>VLOOKUP(K237,Key!$A$24:$B$29,2,FALSE)</f>
        <v>40-49</v>
      </c>
      <c r="M237" s="37" t="s">
        <v>227</v>
      </c>
      <c r="N237" s="32" t="s">
        <v>183</v>
      </c>
      <c r="O237" s="37" t="s">
        <v>168</v>
      </c>
      <c r="P237" s="39">
        <v>1</v>
      </c>
      <c r="Q237" s="34" t="str">
        <f>VLOOKUP(P237,Key!$E$2:$F$9,2,FALSE)</f>
        <v>Home</v>
      </c>
      <c r="R237" s="37" t="s">
        <v>225</v>
      </c>
      <c r="S237" s="32" t="s">
        <v>190</v>
      </c>
      <c r="T237" s="37" t="s">
        <v>168</v>
      </c>
      <c r="U237" s="32">
        <v>4</v>
      </c>
      <c r="V237" s="34" t="str">
        <f>VLOOKUP(U237,Key!$E$2:$F$9,2,FALSE)</f>
        <v>Commercial</v>
      </c>
      <c r="W237" s="34" t="str">
        <f t="shared" si="5"/>
        <v>Home-Commercial</v>
      </c>
      <c r="X237" s="47">
        <v>150000</v>
      </c>
      <c r="Y237" s="38">
        <v>200</v>
      </c>
      <c r="Z237" s="38">
        <v>5</v>
      </c>
      <c r="AA237" s="32">
        <v>2</v>
      </c>
      <c r="AB237" s="34" t="str">
        <f>VLOOKUP(AA237,Key!$C$20:$D$29,2,FALSE)</f>
        <v>Manual Labour</v>
      </c>
      <c r="AC237" s="32">
        <v>2</v>
      </c>
      <c r="AD237" s="34" t="str">
        <f>VLOOKUP(AC237,Key!$E$20:$F$24,2,FALSE)</f>
        <v>300,000-500,000</v>
      </c>
      <c r="AE237" s="32">
        <v>1</v>
      </c>
      <c r="AF237" s="55">
        <v>1</v>
      </c>
      <c r="AG237" s="55">
        <v>1</v>
      </c>
      <c r="AH237" s="55">
        <v>1</v>
      </c>
      <c r="AI237" s="55">
        <v>1</v>
      </c>
      <c r="AJ237" s="39" t="s">
        <v>104</v>
      </c>
      <c r="AK237" s="40">
        <v>5000</v>
      </c>
      <c r="AL237" s="24"/>
      <c r="AM237" s="24"/>
    </row>
    <row r="238" spans="2:39" hidden="1" x14ac:dyDescent="0.2">
      <c r="B238" s="50">
        <v>43686</v>
      </c>
      <c r="C238" s="35">
        <v>0.6430555555555556</v>
      </c>
      <c r="D238" s="35"/>
      <c r="E238" s="35" t="s">
        <v>111</v>
      </c>
      <c r="F238" s="37">
        <v>2</v>
      </c>
      <c r="G238" s="42" t="str">
        <f>VLOOKUP(F238,Key!$A$17:$B$21,2,FALSE)</f>
        <v>Road Vehicle</v>
      </c>
      <c r="H238" s="36">
        <v>5</v>
      </c>
      <c r="I238" s="43" t="str">
        <f>VLOOKUP(H238,Key!$A$2:$B$13,2,FALSE)</f>
        <v xml:space="preserve">Medium bus </v>
      </c>
      <c r="J238" s="37" t="s">
        <v>123</v>
      </c>
      <c r="K238" s="37">
        <v>2</v>
      </c>
      <c r="L238" s="45" t="str">
        <f>VLOOKUP(K238,Key!$A$24:$B$29,2,FALSE)</f>
        <v>30-39</v>
      </c>
      <c r="M238" s="37" t="s">
        <v>306</v>
      </c>
      <c r="N238" s="32" t="s">
        <v>167</v>
      </c>
      <c r="O238" s="37" t="s">
        <v>168</v>
      </c>
      <c r="P238" s="39">
        <v>2</v>
      </c>
      <c r="Q238" s="34" t="str">
        <f>VLOOKUP(P238,Key!$E$2:$F$9,2,FALSE)</f>
        <v>Work</v>
      </c>
      <c r="R238" s="37" t="s">
        <v>169</v>
      </c>
      <c r="S238" s="32" t="s">
        <v>169</v>
      </c>
      <c r="T238" s="37" t="s">
        <v>168</v>
      </c>
      <c r="U238" s="32">
        <v>2</v>
      </c>
      <c r="V238" s="34" t="str">
        <f>VLOOKUP(U238,Key!$E$2:$F$9,2,FALSE)</f>
        <v>Work</v>
      </c>
      <c r="W238" s="34" t="str">
        <f t="shared" si="5"/>
        <v>Work-Work</v>
      </c>
      <c r="X238" s="47">
        <v>140000</v>
      </c>
      <c r="Y238" s="38">
        <v>250</v>
      </c>
      <c r="Z238" s="38">
        <v>3</v>
      </c>
      <c r="AA238" s="32">
        <v>6</v>
      </c>
      <c r="AB238" s="34" t="str">
        <f>VLOOKUP(AA238,Key!$C$20:$D$29,2,FALSE)</f>
        <v>Businessman</v>
      </c>
      <c r="AC238" s="32">
        <v>2</v>
      </c>
      <c r="AD238" s="34" t="str">
        <f>VLOOKUP(AC238,Key!$E$20:$F$24,2,FALSE)</f>
        <v>300,000-500,000</v>
      </c>
      <c r="AE238" s="32">
        <v>1</v>
      </c>
      <c r="AF238" s="55">
        <v>2</v>
      </c>
      <c r="AG238" s="55">
        <v>1</v>
      </c>
      <c r="AH238" s="55">
        <v>1</v>
      </c>
      <c r="AI238" s="55">
        <v>1</v>
      </c>
      <c r="AJ238" s="39" t="s">
        <v>104</v>
      </c>
      <c r="AK238" s="40">
        <v>1000</v>
      </c>
      <c r="AL238" s="24"/>
      <c r="AM238" s="24"/>
    </row>
    <row r="239" spans="2:39" hidden="1" x14ac:dyDescent="0.2">
      <c r="B239" s="50">
        <v>43686</v>
      </c>
      <c r="C239" s="35">
        <v>0.59722222222222221</v>
      </c>
      <c r="D239" s="35"/>
      <c r="E239" s="35" t="s">
        <v>111</v>
      </c>
      <c r="F239" s="37">
        <v>2</v>
      </c>
      <c r="G239" s="42" t="str">
        <f>VLOOKUP(F239,Key!$A$17:$B$21,2,FALSE)</f>
        <v>Road Vehicle</v>
      </c>
      <c r="H239" s="36">
        <v>5</v>
      </c>
      <c r="I239" s="43" t="str">
        <f>VLOOKUP(H239,Key!$A$2:$B$13,2,FALSE)</f>
        <v xml:space="preserve">Medium bus </v>
      </c>
      <c r="J239" s="37" t="s">
        <v>123</v>
      </c>
      <c r="K239" s="37">
        <v>2</v>
      </c>
      <c r="L239" s="45" t="str">
        <f>VLOOKUP(K239,Key!$A$24:$B$29,2,FALSE)</f>
        <v>30-39</v>
      </c>
      <c r="M239" s="37" t="s">
        <v>169</v>
      </c>
      <c r="N239" s="32" t="s">
        <v>169</v>
      </c>
      <c r="O239" s="37" t="s">
        <v>168</v>
      </c>
      <c r="P239" s="39">
        <v>2</v>
      </c>
      <c r="Q239" s="34" t="str">
        <f>VLOOKUP(P239,Key!$E$2:$F$9,2,FALSE)</f>
        <v>Work</v>
      </c>
      <c r="R239" s="37" t="s">
        <v>264</v>
      </c>
      <c r="S239" s="32" t="s">
        <v>188</v>
      </c>
      <c r="T239" s="37" t="s">
        <v>168</v>
      </c>
      <c r="U239" s="32">
        <v>2</v>
      </c>
      <c r="V239" s="34" t="str">
        <f>VLOOKUP(U239,Key!$E$2:$F$9,2,FALSE)</f>
        <v>Work</v>
      </c>
      <c r="W239" s="34" t="str">
        <f t="shared" si="5"/>
        <v>Work-Work</v>
      </c>
      <c r="X239" s="47">
        <v>120000</v>
      </c>
      <c r="Y239" s="38">
        <v>300</v>
      </c>
      <c r="Z239" s="38">
        <v>4</v>
      </c>
      <c r="AA239" s="32">
        <v>10</v>
      </c>
      <c r="AB239" s="34" t="str">
        <f>VLOOKUP(AA239,Key!$C$20:$D$29,2,FALSE)</f>
        <v>Other</v>
      </c>
      <c r="AC239" s="32">
        <v>3</v>
      </c>
      <c r="AD239" s="34" t="str">
        <f>VLOOKUP(AC239,Key!$E$20:$F$24,2,FALSE)</f>
        <v>500,000-750,000</v>
      </c>
      <c r="AE239" s="32">
        <v>1</v>
      </c>
      <c r="AF239" s="55">
        <v>1</v>
      </c>
      <c r="AG239" s="55">
        <v>1</v>
      </c>
      <c r="AH239" s="55">
        <v>1</v>
      </c>
      <c r="AI239" s="55">
        <v>2</v>
      </c>
      <c r="AJ239" s="39" t="s">
        <v>104</v>
      </c>
      <c r="AK239" s="40">
        <v>1000</v>
      </c>
      <c r="AL239" s="24"/>
      <c r="AM239" s="24"/>
    </row>
    <row r="240" spans="2:39" hidden="1" x14ac:dyDescent="0.2">
      <c r="B240" s="50"/>
      <c r="C240" s="35"/>
      <c r="D240" s="35"/>
      <c r="E240" s="35"/>
      <c r="F240" s="37"/>
      <c r="G240" s="42"/>
      <c r="H240" s="36"/>
      <c r="I240" s="43"/>
      <c r="J240" s="37"/>
      <c r="K240" s="37"/>
      <c r="L240" s="45"/>
      <c r="M240" s="37"/>
      <c r="N240" s="32"/>
      <c r="O240" s="37"/>
      <c r="P240" s="39"/>
      <c r="Q240" s="34"/>
      <c r="R240" s="37"/>
      <c r="S240" s="32"/>
      <c r="T240" s="37"/>
      <c r="U240" s="32"/>
      <c r="V240" s="34"/>
      <c r="W240" s="34"/>
      <c r="X240" s="47"/>
      <c r="Y240" s="38"/>
      <c r="Z240" s="38"/>
      <c r="AA240" s="32"/>
      <c r="AB240" s="34"/>
      <c r="AC240" s="32"/>
      <c r="AD240" s="34"/>
      <c r="AE240" s="32"/>
      <c r="AF240" s="55"/>
      <c r="AG240" s="55"/>
      <c r="AH240" s="55"/>
      <c r="AI240" s="55"/>
      <c r="AJ240" s="39"/>
      <c r="AK240" s="40"/>
      <c r="AL240" s="24"/>
      <c r="AM240" s="24"/>
    </row>
    <row r="241" spans="1:39" hidden="1" x14ac:dyDescent="0.2">
      <c r="B241" s="50">
        <v>43690</v>
      </c>
      <c r="C241" s="35">
        <v>0.51041666666666663</v>
      </c>
      <c r="D241" s="35"/>
      <c r="E241" s="35" t="s">
        <v>111</v>
      </c>
      <c r="F241" s="37">
        <v>2</v>
      </c>
      <c r="G241" s="42" t="str">
        <f>VLOOKUP(F241,Key!$A$17:$B$21,2,FALSE)</f>
        <v>Road Vehicle</v>
      </c>
      <c r="H241" s="36">
        <v>8</v>
      </c>
      <c r="I241" s="43" t="str">
        <f>VLOOKUP(H241,Key!$A$2:$B$13,2,FALSE)</f>
        <v xml:space="preserve">Medium Truck </v>
      </c>
      <c r="J241" s="37" t="s">
        <v>123</v>
      </c>
      <c r="K241" s="37">
        <v>3</v>
      </c>
      <c r="L241" s="45" t="str">
        <f>VLOOKUP(K241,Key!$A$24:$B$29,2,FALSE)</f>
        <v>40-49</v>
      </c>
      <c r="M241" s="37" t="s">
        <v>297</v>
      </c>
      <c r="N241" s="32" t="s">
        <v>167</v>
      </c>
      <c r="O241" s="37" t="s">
        <v>168</v>
      </c>
      <c r="P241" s="39">
        <v>2</v>
      </c>
      <c r="Q241" s="34" t="str">
        <f>VLOOKUP(P241,Key!$E$2:$F$9,2,FALSE)</f>
        <v>Work</v>
      </c>
      <c r="R241" s="37" t="s">
        <v>303</v>
      </c>
      <c r="S241" s="32" t="s">
        <v>167</v>
      </c>
      <c r="T241" s="37" t="s">
        <v>168</v>
      </c>
      <c r="U241" s="32">
        <v>2</v>
      </c>
      <c r="V241" s="34" t="str">
        <f>VLOOKUP(U241,Key!$E$2:$F$9,2,FALSE)</f>
        <v>Work</v>
      </c>
      <c r="W241" s="34" t="str">
        <f t="shared" ref="W241:W261" si="6">Q241&amp;"-"&amp;V241</f>
        <v>Work-Work</v>
      </c>
      <c r="X241" s="47">
        <v>30000</v>
      </c>
      <c r="Y241" s="38">
        <v>20</v>
      </c>
      <c r="Z241" s="38">
        <v>1.5</v>
      </c>
      <c r="AA241" s="32">
        <v>10</v>
      </c>
      <c r="AB241" s="34" t="str">
        <f>VLOOKUP(AA241,Key!$C$20:$D$29,2,FALSE)</f>
        <v>Other</v>
      </c>
      <c r="AC241" s="32">
        <v>1</v>
      </c>
      <c r="AD241" s="34" t="str">
        <f>VLOOKUP(AC241,Key!$E$20:$F$24,2,FALSE)</f>
        <v>&lt;300,000</v>
      </c>
      <c r="AE241" s="32">
        <v>1</v>
      </c>
      <c r="AF241" s="55">
        <v>1</v>
      </c>
      <c r="AG241" s="55">
        <v>2</v>
      </c>
      <c r="AH241" s="55">
        <v>1</v>
      </c>
      <c r="AI241" s="55">
        <v>1</v>
      </c>
      <c r="AJ241" s="39" t="s">
        <v>104</v>
      </c>
      <c r="AK241" s="40"/>
      <c r="AL241" s="24"/>
      <c r="AM241" s="24"/>
    </row>
    <row r="242" spans="1:39" hidden="1" x14ac:dyDescent="0.2">
      <c r="B242" s="50">
        <v>43689</v>
      </c>
      <c r="C242" s="35">
        <v>0.6743055555555556</v>
      </c>
      <c r="D242" s="35"/>
      <c r="E242" s="35" t="s">
        <v>111</v>
      </c>
      <c r="F242" s="37">
        <v>2</v>
      </c>
      <c r="G242" s="42" t="str">
        <f>VLOOKUP(F242,Key!$A$17:$B$21,2,FALSE)</f>
        <v>Road Vehicle</v>
      </c>
      <c r="H242" s="36">
        <v>8</v>
      </c>
      <c r="I242" s="43" t="str">
        <f>VLOOKUP(H242,Key!$A$2:$B$13,2,FALSE)</f>
        <v xml:space="preserve">Medium Truck </v>
      </c>
      <c r="J242" s="37" t="s">
        <v>123</v>
      </c>
      <c r="K242" s="37">
        <v>2</v>
      </c>
      <c r="L242" s="45" t="str">
        <f>VLOOKUP(K242,Key!$A$24:$B$29,2,FALSE)</f>
        <v>30-39</v>
      </c>
      <c r="M242" s="37" t="s">
        <v>190</v>
      </c>
      <c r="N242" s="32" t="s">
        <v>190</v>
      </c>
      <c r="O242" s="37" t="s">
        <v>168</v>
      </c>
      <c r="P242" s="39">
        <v>2</v>
      </c>
      <c r="Q242" s="34" t="str">
        <f>VLOOKUP(P242,Key!$E$2:$F$9,2,FALSE)</f>
        <v>Work</v>
      </c>
      <c r="R242" s="37" t="s">
        <v>167</v>
      </c>
      <c r="S242" s="32" t="s">
        <v>167</v>
      </c>
      <c r="T242" s="37" t="s">
        <v>168</v>
      </c>
      <c r="U242" s="32">
        <v>4</v>
      </c>
      <c r="V242" s="34" t="str">
        <f>VLOOKUP(U242,Key!$E$2:$F$9,2,FALSE)</f>
        <v>Commercial</v>
      </c>
      <c r="W242" s="34" t="str">
        <f t="shared" si="6"/>
        <v>Work-Commercial</v>
      </c>
      <c r="X242" s="47">
        <v>50000</v>
      </c>
      <c r="Y242" s="38">
        <v>50</v>
      </c>
      <c r="Z242" s="38">
        <v>1.5</v>
      </c>
      <c r="AA242" s="32">
        <v>10</v>
      </c>
      <c r="AB242" s="34" t="str">
        <f>VLOOKUP(AA242,Key!$C$20:$D$29,2,FALSE)</f>
        <v>Other</v>
      </c>
      <c r="AC242" s="32">
        <v>2</v>
      </c>
      <c r="AD242" s="34" t="str">
        <f>VLOOKUP(AC242,Key!$E$20:$F$24,2,FALSE)</f>
        <v>300,000-500,000</v>
      </c>
      <c r="AE242" s="32">
        <v>2</v>
      </c>
      <c r="AF242" s="55">
        <v>3</v>
      </c>
      <c r="AG242" s="55">
        <v>2</v>
      </c>
      <c r="AH242" s="55">
        <v>3</v>
      </c>
      <c r="AI242" s="55">
        <v>2</v>
      </c>
      <c r="AJ242" s="39" t="s">
        <v>104</v>
      </c>
      <c r="AK242" s="40">
        <v>5000</v>
      </c>
      <c r="AL242" s="24"/>
      <c r="AM242" s="24"/>
    </row>
    <row r="243" spans="1:39" hidden="1" x14ac:dyDescent="0.2">
      <c r="B243" s="50">
        <v>43689</v>
      </c>
      <c r="C243" s="35">
        <v>0.68402777777777779</v>
      </c>
      <c r="D243" s="35"/>
      <c r="E243" s="35" t="s">
        <v>111</v>
      </c>
      <c r="F243" s="37">
        <v>2</v>
      </c>
      <c r="G243" s="42" t="str">
        <f>VLOOKUP(F243,Key!$A$17:$B$21,2,FALSE)</f>
        <v>Road Vehicle</v>
      </c>
      <c r="H243" s="36">
        <v>8</v>
      </c>
      <c r="I243" s="43" t="str">
        <f>VLOOKUP(H243,Key!$A$2:$B$13,2,FALSE)</f>
        <v xml:space="preserve">Medium Truck </v>
      </c>
      <c r="J243" s="37" t="s">
        <v>123</v>
      </c>
      <c r="K243" s="37">
        <v>1</v>
      </c>
      <c r="L243" s="45" t="str">
        <f>VLOOKUP(K243,Key!$A$24:$B$29,2,FALSE)</f>
        <v>20-29</v>
      </c>
      <c r="M243" s="37" t="s">
        <v>225</v>
      </c>
      <c r="N243" s="32" t="s">
        <v>190</v>
      </c>
      <c r="O243" s="37" t="s">
        <v>168</v>
      </c>
      <c r="P243" s="39">
        <v>4</v>
      </c>
      <c r="Q243" s="34" t="str">
        <f>VLOOKUP(P243,Key!$E$2:$F$9,2,FALSE)</f>
        <v>Commercial</v>
      </c>
      <c r="R243" s="37" t="s">
        <v>187</v>
      </c>
      <c r="S243" s="32" t="s">
        <v>167</v>
      </c>
      <c r="T243" s="37" t="s">
        <v>168</v>
      </c>
      <c r="U243" s="32">
        <v>4</v>
      </c>
      <c r="V243" s="34" t="str">
        <f>VLOOKUP(U243,Key!$E$2:$F$9,2,FALSE)</f>
        <v>Commercial</v>
      </c>
      <c r="W243" s="34" t="str">
        <f t="shared" si="6"/>
        <v>Commercial-Commercial</v>
      </c>
      <c r="X243" s="47">
        <v>80000</v>
      </c>
      <c r="Y243" s="38">
        <v>50</v>
      </c>
      <c r="Z243" s="38">
        <v>2</v>
      </c>
      <c r="AA243" s="32">
        <v>10</v>
      </c>
      <c r="AB243" s="34" t="str">
        <f>VLOOKUP(AA243,Key!$C$20:$D$29,2,FALSE)</f>
        <v>Other</v>
      </c>
      <c r="AC243" s="32">
        <v>3</v>
      </c>
      <c r="AD243" s="34" t="str">
        <f>VLOOKUP(AC243,Key!$E$20:$F$24,2,FALSE)</f>
        <v>500,000-750,000</v>
      </c>
      <c r="AE243" s="32">
        <v>1</v>
      </c>
      <c r="AF243" s="55">
        <v>1</v>
      </c>
      <c r="AG243" s="55">
        <v>2</v>
      </c>
      <c r="AH243" s="55">
        <v>1</v>
      </c>
      <c r="AI243" s="55">
        <v>1</v>
      </c>
      <c r="AJ243" s="39" t="s">
        <v>104</v>
      </c>
      <c r="AK243" s="40">
        <v>2000</v>
      </c>
      <c r="AL243" s="24"/>
      <c r="AM243" s="24"/>
    </row>
    <row r="244" spans="1:39" x14ac:dyDescent="0.2">
      <c r="B244" s="50">
        <v>43686</v>
      </c>
      <c r="C244" s="35">
        <v>0.57777777777777783</v>
      </c>
      <c r="D244" s="35"/>
      <c r="E244" s="35" t="s">
        <v>111</v>
      </c>
      <c r="F244" s="37">
        <v>2</v>
      </c>
      <c r="G244" s="42" t="str">
        <f>VLOOKUP(F244,Key!$A$17:$B$21,2,FALSE)</f>
        <v>Road Vehicle</v>
      </c>
      <c r="H244" s="36">
        <v>8</v>
      </c>
      <c r="I244" s="43" t="str">
        <f>VLOOKUP(H244,Key!$A$2:$B$13,2,FALSE)</f>
        <v xml:space="preserve">Medium Truck </v>
      </c>
      <c r="J244" s="37" t="s">
        <v>123</v>
      </c>
      <c r="K244" s="13">
        <v>2</v>
      </c>
      <c r="L244" s="45" t="str">
        <f>VLOOKUP(K244,Key!$A$24:$B$29,2,FALSE)</f>
        <v>30-39</v>
      </c>
      <c r="M244" s="44" t="s">
        <v>167</v>
      </c>
      <c r="N244" s="32" t="s">
        <v>167</v>
      </c>
      <c r="O244" s="37" t="s">
        <v>168</v>
      </c>
      <c r="P244" s="39">
        <v>2</v>
      </c>
      <c r="Q244" s="34" t="str">
        <f>VLOOKUP(P244,Key!$E$2:$F$9,2,FALSE)</f>
        <v>Work</v>
      </c>
      <c r="R244" s="37" t="s">
        <v>173</v>
      </c>
      <c r="S244" s="32" t="s">
        <v>173</v>
      </c>
      <c r="T244" s="37" t="s">
        <v>168</v>
      </c>
      <c r="U244" s="32">
        <v>4</v>
      </c>
      <c r="V244" s="34" t="str">
        <f>VLOOKUP(U244,Key!$E$2:$F$9,2,FALSE)</f>
        <v>Commercial</v>
      </c>
      <c r="W244" s="34" t="str">
        <f t="shared" si="6"/>
        <v>Work-Commercial</v>
      </c>
      <c r="X244" s="47">
        <v>80000</v>
      </c>
      <c r="Y244" s="38">
        <v>60</v>
      </c>
      <c r="Z244" s="38">
        <v>1</v>
      </c>
      <c r="AA244" s="32">
        <v>10</v>
      </c>
      <c r="AB244" s="34" t="str">
        <f>VLOOKUP(AA244,Key!$C$20:$D$29,2,FALSE)</f>
        <v>Other</v>
      </c>
      <c r="AC244" s="32">
        <v>2</v>
      </c>
      <c r="AD244" s="34" t="str">
        <f>VLOOKUP(AC244,Key!$E$20:$F$24,2,FALSE)</f>
        <v>300,000-500,000</v>
      </c>
      <c r="AE244" s="32">
        <v>2</v>
      </c>
      <c r="AF244" s="55">
        <v>3</v>
      </c>
      <c r="AG244" s="55">
        <v>4</v>
      </c>
      <c r="AH244" s="55">
        <v>1</v>
      </c>
      <c r="AI244" s="55">
        <v>5</v>
      </c>
      <c r="AJ244" s="39" t="s">
        <v>104</v>
      </c>
      <c r="AK244" s="40">
        <v>5000</v>
      </c>
      <c r="AL244" s="24"/>
      <c r="AM244" s="24"/>
    </row>
    <row r="245" spans="1:39" x14ac:dyDescent="0.2">
      <c r="B245" s="50">
        <v>43687</v>
      </c>
      <c r="C245" s="35">
        <v>0.4770833333333333</v>
      </c>
      <c r="D245" s="35"/>
      <c r="E245" s="35" t="s">
        <v>111</v>
      </c>
      <c r="F245" s="37">
        <v>2</v>
      </c>
      <c r="G245" s="42" t="str">
        <f>VLOOKUP(F245,Key!$A$17:$B$21,2,FALSE)</f>
        <v>Road Vehicle</v>
      </c>
      <c r="H245" s="36">
        <v>8</v>
      </c>
      <c r="I245" s="43" t="str">
        <f>VLOOKUP(H245,Key!$A$2:$B$13,2,FALSE)</f>
        <v xml:space="preserve">Medium Truck </v>
      </c>
      <c r="J245" s="37" t="s">
        <v>123</v>
      </c>
      <c r="K245" s="37">
        <v>2</v>
      </c>
      <c r="L245" s="45" t="str">
        <f>VLOOKUP(K245,Key!$A$24:$B$29,2,FALSE)</f>
        <v>30-39</v>
      </c>
      <c r="M245" s="37" t="s">
        <v>167</v>
      </c>
      <c r="N245" s="32" t="s">
        <v>167</v>
      </c>
      <c r="O245" s="37" t="s">
        <v>168</v>
      </c>
      <c r="P245" s="39">
        <v>2</v>
      </c>
      <c r="Q245" s="34" t="str">
        <f>VLOOKUP(P245,Key!$E$2:$F$9,2,FALSE)</f>
        <v>Work</v>
      </c>
      <c r="R245" s="37" t="s">
        <v>176</v>
      </c>
      <c r="S245" s="32" t="s">
        <v>176</v>
      </c>
      <c r="T245" s="37" t="s">
        <v>168</v>
      </c>
      <c r="U245" s="32">
        <v>4</v>
      </c>
      <c r="V245" s="34" t="str">
        <f>VLOOKUP(U245,Key!$E$2:$F$9,2,FALSE)</f>
        <v>Commercial</v>
      </c>
      <c r="W245" s="34" t="str">
        <f t="shared" si="6"/>
        <v>Work-Commercial</v>
      </c>
      <c r="X245" s="47">
        <v>50000</v>
      </c>
      <c r="Y245" s="38">
        <v>80</v>
      </c>
      <c r="Z245" s="38">
        <v>2.5</v>
      </c>
      <c r="AA245" s="32">
        <v>10</v>
      </c>
      <c r="AB245" s="34" t="str">
        <f>VLOOKUP(AA245,Key!$C$20:$D$29,2,FALSE)</f>
        <v>Other</v>
      </c>
      <c r="AC245" s="32">
        <v>2</v>
      </c>
      <c r="AD245" s="34" t="str">
        <f>VLOOKUP(AC245,Key!$E$20:$F$24,2,FALSE)</f>
        <v>300,000-500,000</v>
      </c>
      <c r="AE245" s="32">
        <v>2</v>
      </c>
      <c r="AF245" s="55">
        <v>3</v>
      </c>
      <c r="AG245" s="55">
        <v>4</v>
      </c>
      <c r="AH245" s="55">
        <v>1</v>
      </c>
      <c r="AI245" s="55">
        <v>5</v>
      </c>
      <c r="AJ245" s="39" t="s">
        <v>104</v>
      </c>
      <c r="AK245" s="40">
        <v>1000</v>
      </c>
      <c r="AL245" s="24"/>
      <c r="AM245" s="24"/>
    </row>
    <row r="246" spans="1:39" x14ac:dyDescent="0.2">
      <c r="B246" s="50">
        <v>43690</v>
      </c>
      <c r="C246" s="35">
        <v>0.32916666666666666</v>
      </c>
      <c r="D246" s="35"/>
      <c r="E246" s="35" t="s">
        <v>111</v>
      </c>
      <c r="F246" s="37">
        <v>2</v>
      </c>
      <c r="G246" s="42" t="str">
        <f>VLOOKUP(F246,Key!$A$17:$B$21,2,FALSE)</f>
        <v>Road Vehicle</v>
      </c>
      <c r="H246" s="36">
        <v>8</v>
      </c>
      <c r="I246" s="43" t="str">
        <f>VLOOKUP(H246,Key!$A$2:$B$13,2,FALSE)</f>
        <v xml:space="preserve">Medium Truck </v>
      </c>
      <c r="J246" s="37" t="s">
        <v>123</v>
      </c>
      <c r="K246" s="37">
        <v>2</v>
      </c>
      <c r="L246" s="45" t="str">
        <f>VLOOKUP(K246,Key!$A$24:$B$29,2,FALSE)</f>
        <v>30-39</v>
      </c>
      <c r="M246" s="37" t="s">
        <v>167</v>
      </c>
      <c r="N246" s="32" t="s">
        <v>167</v>
      </c>
      <c r="O246" s="37" t="s">
        <v>168</v>
      </c>
      <c r="P246" s="39">
        <v>2</v>
      </c>
      <c r="Q246" s="34" t="str">
        <f>VLOOKUP(P246,Key!$E$2:$F$9,2,FALSE)</f>
        <v>Work</v>
      </c>
      <c r="R246" s="37" t="s">
        <v>176</v>
      </c>
      <c r="S246" s="32" t="s">
        <v>176</v>
      </c>
      <c r="T246" s="37" t="s">
        <v>168</v>
      </c>
      <c r="U246" s="32">
        <v>4</v>
      </c>
      <c r="V246" s="34" t="str">
        <f>VLOOKUP(U246,Key!$E$2:$F$9,2,FALSE)</f>
        <v>Commercial</v>
      </c>
      <c r="W246" s="34" t="str">
        <f t="shared" si="6"/>
        <v>Work-Commercial</v>
      </c>
      <c r="X246" s="47">
        <v>70000</v>
      </c>
      <c r="Y246" s="38">
        <v>80</v>
      </c>
      <c r="Z246" s="38">
        <v>3</v>
      </c>
      <c r="AA246" s="32">
        <v>10</v>
      </c>
      <c r="AB246" s="34" t="str">
        <f>VLOOKUP(AA246,Key!$C$20:$D$29,2,FALSE)</f>
        <v>Other</v>
      </c>
      <c r="AC246" s="32">
        <v>2</v>
      </c>
      <c r="AD246" s="34" t="str">
        <f>VLOOKUP(AC246,Key!$E$20:$F$24,2,FALSE)</f>
        <v>300,000-500,000</v>
      </c>
      <c r="AE246" s="32">
        <v>2</v>
      </c>
      <c r="AF246" s="55">
        <v>3</v>
      </c>
      <c r="AG246" s="55">
        <v>4</v>
      </c>
      <c r="AH246" s="55">
        <v>1</v>
      </c>
      <c r="AI246" s="55">
        <v>5</v>
      </c>
      <c r="AJ246" s="39" t="s">
        <v>104</v>
      </c>
      <c r="AK246" s="40">
        <v>3000</v>
      </c>
      <c r="AL246" s="24"/>
      <c r="AM246" s="24"/>
    </row>
    <row r="247" spans="1:39" x14ac:dyDescent="0.2">
      <c r="B247" s="50">
        <v>43690</v>
      </c>
      <c r="C247" s="35">
        <v>0.53472222222222221</v>
      </c>
      <c r="D247" s="35"/>
      <c r="E247" s="35" t="s">
        <v>111</v>
      </c>
      <c r="F247" s="37">
        <v>2</v>
      </c>
      <c r="G247" s="42" t="str">
        <f>VLOOKUP(F247,Key!$A$17:$B$21,2,FALSE)</f>
        <v>Road Vehicle</v>
      </c>
      <c r="H247" s="36">
        <v>8</v>
      </c>
      <c r="I247" s="43" t="str">
        <f>VLOOKUP(H247,Key!$A$2:$B$13,2,FALSE)</f>
        <v xml:space="preserve">Medium Truck </v>
      </c>
      <c r="J247" s="37" t="s">
        <v>123</v>
      </c>
      <c r="K247" s="37">
        <v>2</v>
      </c>
      <c r="L247" s="45" t="str">
        <f>VLOOKUP(K247,Key!$A$24:$B$29,2,FALSE)</f>
        <v>30-39</v>
      </c>
      <c r="M247" s="37" t="s">
        <v>167</v>
      </c>
      <c r="N247" s="32" t="s">
        <v>167</v>
      </c>
      <c r="O247" s="37" t="s">
        <v>168</v>
      </c>
      <c r="P247" s="39">
        <v>2</v>
      </c>
      <c r="Q247" s="34" t="str">
        <f>VLOOKUP(P247,Key!$E$2:$F$9,2,FALSE)</f>
        <v>Work</v>
      </c>
      <c r="R247" s="37" t="s">
        <v>176</v>
      </c>
      <c r="S247" s="32" t="s">
        <v>176</v>
      </c>
      <c r="T247" s="37" t="s">
        <v>168</v>
      </c>
      <c r="U247" s="32">
        <v>4</v>
      </c>
      <c r="V247" s="34" t="str">
        <f>VLOOKUP(U247,Key!$E$2:$F$9,2,FALSE)</f>
        <v>Commercial</v>
      </c>
      <c r="W247" s="34" t="str">
        <f t="shared" si="6"/>
        <v>Work-Commercial</v>
      </c>
      <c r="X247" s="47">
        <v>45000</v>
      </c>
      <c r="Y247" s="38">
        <v>85</v>
      </c>
      <c r="Z247" s="38">
        <v>3</v>
      </c>
      <c r="AA247" s="32">
        <v>10</v>
      </c>
      <c r="AB247" s="34" t="str">
        <f>VLOOKUP(AA247,Key!$C$20:$D$29,2,FALSE)</f>
        <v>Other</v>
      </c>
      <c r="AC247" s="32">
        <v>2</v>
      </c>
      <c r="AD247" s="34" t="str">
        <f>VLOOKUP(AC247,Key!$E$20:$F$24,2,FALSE)</f>
        <v>300,000-500,000</v>
      </c>
      <c r="AE247" s="32">
        <v>2</v>
      </c>
      <c r="AF247" s="55">
        <v>3</v>
      </c>
      <c r="AG247" s="55">
        <v>2</v>
      </c>
      <c r="AH247" s="55">
        <v>1</v>
      </c>
      <c r="AI247" s="55">
        <v>3</v>
      </c>
      <c r="AJ247" s="39" t="s">
        <v>104</v>
      </c>
      <c r="AK247" s="40">
        <v>6000</v>
      </c>
      <c r="AL247" s="24"/>
      <c r="AM247" s="24"/>
    </row>
    <row r="248" spans="1:39" x14ac:dyDescent="0.2">
      <c r="B248" s="50">
        <v>43690</v>
      </c>
      <c r="C248" s="35">
        <v>0.54861111111111105</v>
      </c>
      <c r="D248" s="35"/>
      <c r="E248" s="35" t="s">
        <v>111</v>
      </c>
      <c r="F248" s="37">
        <v>2</v>
      </c>
      <c r="G248" s="42" t="str">
        <f>VLOOKUP(F248,Key!$A$17:$B$21,2,FALSE)</f>
        <v>Road Vehicle</v>
      </c>
      <c r="H248" s="36">
        <v>8</v>
      </c>
      <c r="I248" s="43" t="str">
        <f>VLOOKUP(H248,Key!$A$2:$B$13,2,FALSE)</f>
        <v xml:space="preserve">Medium Truck </v>
      </c>
      <c r="J248" s="37" t="s">
        <v>123</v>
      </c>
      <c r="K248" s="37">
        <v>2</v>
      </c>
      <c r="L248" s="45" t="str">
        <f>VLOOKUP(K248,Key!$A$24:$B$29,2,FALSE)</f>
        <v>30-39</v>
      </c>
      <c r="M248" s="37" t="s">
        <v>167</v>
      </c>
      <c r="N248" s="32" t="s">
        <v>167</v>
      </c>
      <c r="O248" s="37" t="s">
        <v>168</v>
      </c>
      <c r="P248" s="39">
        <v>2</v>
      </c>
      <c r="Q248" s="34" t="str">
        <f>VLOOKUP(P248,Key!$E$2:$F$9,2,FALSE)</f>
        <v>Work</v>
      </c>
      <c r="R248" s="37" t="s">
        <v>176</v>
      </c>
      <c r="S248" s="32" t="s">
        <v>176</v>
      </c>
      <c r="T248" s="37" t="s">
        <v>168</v>
      </c>
      <c r="U248" s="32">
        <v>4</v>
      </c>
      <c r="V248" s="34" t="str">
        <f>VLOOKUP(U248,Key!$E$2:$F$9,2,FALSE)</f>
        <v>Commercial</v>
      </c>
      <c r="W248" s="34" t="str">
        <f t="shared" si="6"/>
        <v>Work-Commercial</v>
      </c>
      <c r="X248" s="47">
        <v>80000</v>
      </c>
      <c r="Y248" s="38">
        <v>85</v>
      </c>
      <c r="Z248" s="38">
        <v>3</v>
      </c>
      <c r="AA248" s="32">
        <v>10</v>
      </c>
      <c r="AB248" s="34" t="str">
        <f>VLOOKUP(AA248,Key!$C$20:$D$29,2,FALSE)</f>
        <v>Other</v>
      </c>
      <c r="AC248" s="32">
        <v>2</v>
      </c>
      <c r="AD248" s="34" t="str">
        <f>VLOOKUP(AC248,Key!$E$20:$F$24,2,FALSE)</f>
        <v>300,000-500,000</v>
      </c>
      <c r="AE248" s="32">
        <v>4</v>
      </c>
      <c r="AF248" s="55">
        <v>3</v>
      </c>
      <c r="AG248" s="55">
        <v>4</v>
      </c>
      <c r="AH248" s="55">
        <v>3</v>
      </c>
      <c r="AI248" s="55">
        <v>3</v>
      </c>
      <c r="AJ248" s="39" t="s">
        <v>104</v>
      </c>
      <c r="AK248" s="40">
        <v>4000</v>
      </c>
      <c r="AL248" s="24"/>
      <c r="AM248" s="24"/>
    </row>
    <row r="249" spans="1:39" x14ac:dyDescent="0.2">
      <c r="B249" s="50">
        <v>43689</v>
      </c>
      <c r="C249" s="35">
        <v>0.47916666666666669</v>
      </c>
      <c r="D249" s="35"/>
      <c r="E249" s="35" t="s">
        <v>111</v>
      </c>
      <c r="F249" s="37">
        <v>2</v>
      </c>
      <c r="G249" s="42" t="str">
        <f>VLOOKUP(F249,Key!$A$17:$B$21,2,FALSE)</f>
        <v>Road Vehicle</v>
      </c>
      <c r="H249" s="36">
        <v>8</v>
      </c>
      <c r="I249" s="43" t="str">
        <f>VLOOKUP(H249,Key!$A$2:$B$13,2,FALSE)</f>
        <v xml:space="preserve">Medium Truck </v>
      </c>
      <c r="J249" s="37" t="s">
        <v>123</v>
      </c>
      <c r="K249" s="37">
        <v>2</v>
      </c>
      <c r="L249" s="45" t="str">
        <f>VLOOKUP(K249,Key!$A$24:$B$29,2,FALSE)</f>
        <v>30-39</v>
      </c>
      <c r="M249" s="37" t="s">
        <v>251</v>
      </c>
      <c r="N249" s="32" t="s">
        <v>251</v>
      </c>
      <c r="O249" s="37" t="s">
        <v>168</v>
      </c>
      <c r="P249" s="39">
        <v>2</v>
      </c>
      <c r="Q249" s="34" t="str">
        <f>VLOOKUP(P249,Key!$E$2:$F$9,2,FALSE)</f>
        <v>Work</v>
      </c>
      <c r="R249" s="37" t="s">
        <v>167</v>
      </c>
      <c r="S249" s="32" t="s">
        <v>167</v>
      </c>
      <c r="T249" s="37" t="s">
        <v>168</v>
      </c>
      <c r="U249" s="32">
        <v>4</v>
      </c>
      <c r="V249" s="34" t="str">
        <f>VLOOKUP(U249,Key!$E$2:$F$9,2,FALSE)</f>
        <v>Commercial</v>
      </c>
      <c r="W249" s="34" t="str">
        <f t="shared" si="6"/>
        <v>Work-Commercial</v>
      </c>
      <c r="X249" s="47">
        <v>50000</v>
      </c>
      <c r="Y249" s="38">
        <v>90</v>
      </c>
      <c r="Z249" s="38">
        <v>2.5</v>
      </c>
      <c r="AA249" s="32">
        <v>10</v>
      </c>
      <c r="AB249" s="34" t="str">
        <f>VLOOKUP(AA249,Key!$C$20:$D$29,2,FALSE)</f>
        <v>Other</v>
      </c>
      <c r="AC249" s="32">
        <v>2</v>
      </c>
      <c r="AD249" s="34" t="str">
        <f>VLOOKUP(AC249,Key!$E$20:$F$24,2,FALSE)</f>
        <v>300,000-500,000</v>
      </c>
      <c r="AE249" s="32">
        <v>3</v>
      </c>
      <c r="AF249" s="55">
        <v>2</v>
      </c>
      <c r="AG249" s="55">
        <v>3</v>
      </c>
      <c r="AH249" s="55">
        <v>2</v>
      </c>
      <c r="AI249" s="55">
        <v>3</v>
      </c>
      <c r="AJ249" s="39" t="s">
        <v>104</v>
      </c>
      <c r="AK249" s="40">
        <v>5000</v>
      </c>
      <c r="AL249" s="24"/>
      <c r="AM249" s="24"/>
    </row>
    <row r="250" spans="1:39" x14ac:dyDescent="0.2">
      <c r="A250" s="10"/>
      <c r="B250" s="50">
        <v>43686</v>
      </c>
      <c r="C250" s="35">
        <v>0.7583333333333333</v>
      </c>
      <c r="D250" s="35"/>
      <c r="E250" s="35" t="s">
        <v>111</v>
      </c>
      <c r="F250" s="37">
        <v>2</v>
      </c>
      <c r="G250" s="42" t="str">
        <f>VLOOKUP(F250,Key!$A$17:$B$21,2,FALSE)</f>
        <v>Road Vehicle</v>
      </c>
      <c r="H250" s="36">
        <v>8</v>
      </c>
      <c r="I250" s="43" t="str">
        <f>VLOOKUP(H250,Key!$A$2:$B$13,2,FALSE)</f>
        <v xml:space="preserve">Medium Truck </v>
      </c>
      <c r="J250" s="37" t="s">
        <v>123</v>
      </c>
      <c r="K250" s="37">
        <v>3</v>
      </c>
      <c r="L250" s="45" t="str">
        <f>VLOOKUP(K250,Key!$A$24:$B$29,2,FALSE)</f>
        <v>40-49</v>
      </c>
      <c r="M250" s="37" t="s">
        <v>167</v>
      </c>
      <c r="N250" s="32" t="s">
        <v>167</v>
      </c>
      <c r="O250" s="37" t="s">
        <v>168</v>
      </c>
      <c r="P250" s="39">
        <v>2</v>
      </c>
      <c r="Q250" s="34" t="str">
        <f>VLOOKUP(P250,Key!$E$2:$F$9,2,FALSE)</f>
        <v>Work</v>
      </c>
      <c r="R250" s="37" t="s">
        <v>218</v>
      </c>
      <c r="S250" s="32" t="s">
        <v>176</v>
      </c>
      <c r="T250" s="37" t="s">
        <v>168</v>
      </c>
      <c r="U250" s="32">
        <v>4</v>
      </c>
      <c r="V250" s="34" t="str">
        <f>VLOOKUP(U250,Key!$E$2:$F$9,2,FALSE)</f>
        <v>Commercial</v>
      </c>
      <c r="W250" s="34" t="str">
        <f t="shared" si="6"/>
        <v>Work-Commercial</v>
      </c>
      <c r="X250" s="47">
        <v>60000</v>
      </c>
      <c r="Y250" s="38">
        <v>68</v>
      </c>
      <c r="Z250" s="38">
        <v>3</v>
      </c>
      <c r="AA250" s="32">
        <v>6</v>
      </c>
      <c r="AB250" s="34" t="str">
        <f>VLOOKUP(AA250,Key!$C$20:$D$29,2,FALSE)</f>
        <v>Businessman</v>
      </c>
      <c r="AC250" s="32">
        <v>3</v>
      </c>
      <c r="AD250" s="34" t="str">
        <f>VLOOKUP(AC250,Key!$E$20:$F$24,2,FALSE)</f>
        <v>500,000-750,000</v>
      </c>
      <c r="AE250" s="32">
        <v>1</v>
      </c>
      <c r="AF250" s="55">
        <v>1</v>
      </c>
      <c r="AG250" s="55">
        <v>2</v>
      </c>
      <c r="AH250" s="55">
        <v>1</v>
      </c>
      <c r="AI250" s="55">
        <v>2</v>
      </c>
      <c r="AJ250" s="39" t="s">
        <v>104</v>
      </c>
      <c r="AK250" s="40"/>
      <c r="AL250" s="24"/>
      <c r="AM250" s="24"/>
    </row>
    <row r="251" spans="1:39" x14ac:dyDescent="0.2">
      <c r="B251" s="50">
        <v>43686</v>
      </c>
      <c r="C251" s="35">
        <v>0.67361111111111116</v>
      </c>
      <c r="D251" s="35"/>
      <c r="E251" s="35" t="s">
        <v>111</v>
      </c>
      <c r="F251" s="37">
        <v>2</v>
      </c>
      <c r="G251" s="42" t="str">
        <f>VLOOKUP(F251,Key!$A$17:$B$21,2,FALSE)</f>
        <v>Road Vehicle</v>
      </c>
      <c r="H251" s="36">
        <v>8</v>
      </c>
      <c r="I251" s="43" t="str">
        <f>VLOOKUP(H251,Key!$A$2:$B$13,2,FALSE)</f>
        <v xml:space="preserve">Medium Truck </v>
      </c>
      <c r="J251" s="37" t="s">
        <v>123</v>
      </c>
      <c r="K251" s="37">
        <v>4</v>
      </c>
      <c r="L251" s="45" t="str">
        <f>VLOOKUP(K251,Key!$A$24:$B$29,2,FALSE)</f>
        <v>50-59</v>
      </c>
      <c r="M251" s="37" t="s">
        <v>353</v>
      </c>
      <c r="N251" s="32" t="s">
        <v>167</v>
      </c>
      <c r="O251" s="37" t="s">
        <v>168</v>
      </c>
      <c r="P251" s="39">
        <v>4</v>
      </c>
      <c r="Q251" s="34" t="str">
        <f>VLOOKUP(P251,Key!$E$2:$F$9,2,FALSE)</f>
        <v>Commercial</v>
      </c>
      <c r="R251" s="37" t="s">
        <v>35</v>
      </c>
      <c r="S251" s="32" t="s">
        <v>174</v>
      </c>
      <c r="T251" s="37" t="s">
        <v>168</v>
      </c>
      <c r="U251" s="32">
        <v>4</v>
      </c>
      <c r="V251" s="34" t="str">
        <f>VLOOKUP(U251,Key!$E$2:$F$9,2,FALSE)</f>
        <v>Commercial</v>
      </c>
      <c r="W251" s="34" t="str">
        <f t="shared" si="6"/>
        <v>Commercial-Commercial</v>
      </c>
      <c r="X251" s="47">
        <v>100000</v>
      </c>
      <c r="Y251" s="38">
        <v>100</v>
      </c>
      <c r="Z251" s="38">
        <v>2</v>
      </c>
      <c r="AA251" s="32">
        <v>10</v>
      </c>
      <c r="AB251" s="34" t="str">
        <f>VLOOKUP(AA251,Key!$C$20:$D$29,2,FALSE)</f>
        <v>Other</v>
      </c>
      <c r="AC251" s="32">
        <v>2</v>
      </c>
      <c r="AD251" s="34" t="str">
        <f>VLOOKUP(AC251,Key!$E$20:$F$24,2,FALSE)</f>
        <v>300,000-500,000</v>
      </c>
      <c r="AE251" s="32">
        <v>1</v>
      </c>
      <c r="AF251" s="55">
        <v>1</v>
      </c>
      <c r="AG251" s="55">
        <v>1</v>
      </c>
      <c r="AH251" s="55">
        <v>1</v>
      </c>
      <c r="AI251" s="55">
        <v>1</v>
      </c>
      <c r="AJ251" s="39" t="s">
        <v>104</v>
      </c>
      <c r="AK251" s="40">
        <v>1000</v>
      </c>
      <c r="AL251" s="24"/>
      <c r="AM251" s="24"/>
    </row>
    <row r="252" spans="1:39" hidden="1" x14ac:dyDescent="0.2">
      <c r="B252" s="50">
        <v>43687</v>
      </c>
      <c r="C252" s="35">
        <v>0.71875</v>
      </c>
      <c r="D252" s="35"/>
      <c r="E252" s="35" t="s">
        <v>111</v>
      </c>
      <c r="F252" s="37">
        <v>2</v>
      </c>
      <c r="G252" s="42" t="str">
        <f>VLOOKUP(F252,Key!$A$17:$B$21,2,FALSE)</f>
        <v>Road Vehicle</v>
      </c>
      <c r="H252" s="36">
        <v>8</v>
      </c>
      <c r="I252" s="43" t="str">
        <f>VLOOKUP(H252,Key!$A$2:$B$13,2,FALSE)</f>
        <v xml:space="preserve">Medium Truck </v>
      </c>
      <c r="J252" s="37" t="s">
        <v>123</v>
      </c>
      <c r="K252" s="37">
        <v>2</v>
      </c>
      <c r="L252" s="45" t="str">
        <f>VLOOKUP(K252,Key!$A$24:$B$29,2,FALSE)</f>
        <v>30-39</v>
      </c>
      <c r="M252" s="37" t="s">
        <v>183</v>
      </c>
      <c r="N252" s="32" t="s">
        <v>183</v>
      </c>
      <c r="O252" s="37" t="s">
        <v>168</v>
      </c>
      <c r="P252" s="39">
        <v>2</v>
      </c>
      <c r="Q252" s="34" t="str">
        <f>VLOOKUP(P252,Key!$E$2:$F$9,2,FALSE)</f>
        <v>Work</v>
      </c>
      <c r="R252" s="37" t="s">
        <v>167</v>
      </c>
      <c r="S252" s="32" t="s">
        <v>167</v>
      </c>
      <c r="T252" s="37" t="s">
        <v>168</v>
      </c>
      <c r="U252" s="32">
        <v>4</v>
      </c>
      <c r="V252" s="34" t="str">
        <f>VLOOKUP(U252,Key!$E$2:$F$9,2,FALSE)</f>
        <v>Commercial</v>
      </c>
      <c r="W252" s="34" t="str">
        <f t="shared" si="6"/>
        <v>Work-Commercial</v>
      </c>
      <c r="X252" s="47">
        <v>120000</v>
      </c>
      <c r="Y252" s="38">
        <v>109</v>
      </c>
      <c r="Z252" s="38">
        <v>4</v>
      </c>
      <c r="AA252" s="32">
        <v>6</v>
      </c>
      <c r="AB252" s="34" t="str">
        <f>VLOOKUP(AA252,Key!$C$20:$D$29,2,FALSE)</f>
        <v>Businessman</v>
      </c>
      <c r="AC252" s="32">
        <v>2</v>
      </c>
      <c r="AD252" s="34" t="str">
        <f>VLOOKUP(AC252,Key!$E$20:$F$24,2,FALSE)</f>
        <v>300,000-500,000</v>
      </c>
      <c r="AE252" s="32">
        <v>1</v>
      </c>
      <c r="AF252" s="55">
        <v>4</v>
      </c>
      <c r="AG252" s="55">
        <v>3</v>
      </c>
      <c r="AH252" s="55">
        <v>2</v>
      </c>
      <c r="AI252" s="55">
        <v>5</v>
      </c>
      <c r="AJ252" s="39" t="s">
        <v>104</v>
      </c>
      <c r="AK252" s="40"/>
      <c r="AL252" s="24"/>
      <c r="AM252" s="24"/>
    </row>
    <row r="253" spans="1:39" hidden="1" x14ac:dyDescent="0.2">
      <c r="B253" s="50">
        <v>43687</v>
      </c>
      <c r="C253" s="35">
        <v>0.73472222222222217</v>
      </c>
      <c r="D253" s="35"/>
      <c r="E253" s="35" t="s">
        <v>111</v>
      </c>
      <c r="F253" s="37">
        <v>2</v>
      </c>
      <c r="G253" s="42" t="str">
        <f>VLOOKUP(F253,Key!$A$17:$B$21,2,FALSE)</f>
        <v>Road Vehicle</v>
      </c>
      <c r="H253" s="36">
        <v>8</v>
      </c>
      <c r="I253" s="43" t="str">
        <f>VLOOKUP(H253,Key!$A$2:$B$13,2,FALSE)</f>
        <v xml:space="preserve">Medium Truck </v>
      </c>
      <c r="J253" s="37" t="s">
        <v>123</v>
      </c>
      <c r="K253" s="37">
        <v>2</v>
      </c>
      <c r="L253" s="45" t="str">
        <f>VLOOKUP(K253,Key!$A$24:$B$29,2,FALSE)</f>
        <v>30-39</v>
      </c>
      <c r="M253" s="37" t="s">
        <v>169</v>
      </c>
      <c r="N253" s="32" t="s">
        <v>169</v>
      </c>
      <c r="O253" s="37" t="s">
        <v>168</v>
      </c>
      <c r="P253" s="39">
        <v>2</v>
      </c>
      <c r="Q253" s="34" t="str">
        <f>VLOOKUP(P253,Key!$E$2:$F$9,2,FALSE)</f>
        <v>Work</v>
      </c>
      <c r="R253" s="37" t="s">
        <v>167</v>
      </c>
      <c r="S253" s="32" t="s">
        <v>167</v>
      </c>
      <c r="T253" s="37" t="s">
        <v>168</v>
      </c>
      <c r="U253" s="32">
        <v>4</v>
      </c>
      <c r="V253" s="34" t="str">
        <f>VLOOKUP(U253,Key!$E$2:$F$9,2,FALSE)</f>
        <v>Commercial</v>
      </c>
      <c r="W253" s="34" t="str">
        <f t="shared" si="6"/>
        <v>Work-Commercial</v>
      </c>
      <c r="X253" s="47">
        <v>60000</v>
      </c>
      <c r="Y253" s="38">
        <v>110</v>
      </c>
      <c r="Z253" s="38">
        <v>3.5</v>
      </c>
      <c r="AA253" s="32">
        <v>10</v>
      </c>
      <c r="AB253" s="34" t="str">
        <f>VLOOKUP(AA253,Key!$C$20:$D$29,2,FALSE)</f>
        <v>Other</v>
      </c>
      <c r="AC253" s="32">
        <v>2</v>
      </c>
      <c r="AD253" s="34" t="str">
        <f>VLOOKUP(AC253,Key!$E$20:$F$24,2,FALSE)</f>
        <v>300,000-500,000</v>
      </c>
      <c r="AE253" s="32">
        <v>2</v>
      </c>
      <c r="AF253" s="55">
        <v>2</v>
      </c>
      <c r="AG253" s="55">
        <v>3</v>
      </c>
      <c r="AH253" s="55">
        <v>1</v>
      </c>
      <c r="AI253" s="55">
        <v>3</v>
      </c>
      <c r="AJ253" s="39" t="s">
        <v>104</v>
      </c>
      <c r="AK253" s="40">
        <v>3000</v>
      </c>
      <c r="AL253" s="24"/>
      <c r="AM253" s="24"/>
    </row>
    <row r="254" spans="1:39" hidden="1" x14ac:dyDescent="0.2">
      <c r="B254" s="50">
        <v>43687</v>
      </c>
      <c r="C254" s="35">
        <v>0.77916666666666667</v>
      </c>
      <c r="D254" s="35"/>
      <c r="E254" s="35" t="s">
        <v>111</v>
      </c>
      <c r="F254" s="37">
        <v>2</v>
      </c>
      <c r="G254" s="42" t="str">
        <f>VLOOKUP(F254,Key!$A$17:$B$21,2,FALSE)</f>
        <v>Road Vehicle</v>
      </c>
      <c r="H254" s="36">
        <v>8</v>
      </c>
      <c r="I254" s="43" t="str">
        <f>VLOOKUP(H254,Key!$A$2:$B$13,2,FALSE)</f>
        <v xml:space="preserve">Medium Truck </v>
      </c>
      <c r="J254" s="37" t="s">
        <v>123</v>
      </c>
      <c r="K254" s="37">
        <v>2</v>
      </c>
      <c r="L254" s="45" t="str">
        <f>VLOOKUP(K254,Key!$A$24:$B$29,2,FALSE)</f>
        <v>30-39</v>
      </c>
      <c r="M254" s="37" t="s">
        <v>179</v>
      </c>
      <c r="N254" s="32" t="s">
        <v>179</v>
      </c>
      <c r="O254" s="37" t="s">
        <v>168</v>
      </c>
      <c r="P254" s="39">
        <v>2</v>
      </c>
      <c r="Q254" s="34" t="str">
        <f>VLOOKUP(P254,Key!$E$2:$F$9,2,FALSE)</f>
        <v>Work</v>
      </c>
      <c r="R254" s="37" t="s">
        <v>176</v>
      </c>
      <c r="S254" s="32" t="s">
        <v>176</v>
      </c>
      <c r="T254" s="37" t="s">
        <v>168</v>
      </c>
      <c r="U254" s="32">
        <v>4</v>
      </c>
      <c r="V254" s="34" t="str">
        <f>VLOOKUP(U254,Key!$E$2:$F$9,2,FALSE)</f>
        <v>Commercial</v>
      </c>
      <c r="W254" s="34" t="str">
        <f t="shared" si="6"/>
        <v>Work-Commercial</v>
      </c>
      <c r="X254" s="47">
        <v>90000</v>
      </c>
      <c r="Y254" s="38">
        <v>140</v>
      </c>
      <c r="Z254" s="38">
        <v>4</v>
      </c>
      <c r="AA254" s="32">
        <v>6</v>
      </c>
      <c r="AB254" s="34" t="str">
        <f>VLOOKUP(AA254,Key!$C$20:$D$29,2,FALSE)</f>
        <v>Businessman</v>
      </c>
      <c r="AC254" s="32">
        <v>3</v>
      </c>
      <c r="AD254" s="34" t="str">
        <f>VLOOKUP(AC254,Key!$E$20:$F$24,2,FALSE)</f>
        <v>500,000-750,000</v>
      </c>
      <c r="AE254" s="32">
        <v>3</v>
      </c>
      <c r="AF254" s="55">
        <v>2</v>
      </c>
      <c r="AG254" s="55">
        <v>4</v>
      </c>
      <c r="AH254" s="55">
        <v>1</v>
      </c>
      <c r="AI254" s="55">
        <v>5</v>
      </c>
      <c r="AJ254" s="39" t="s">
        <v>104</v>
      </c>
      <c r="AK254" s="40">
        <v>3000</v>
      </c>
      <c r="AL254" s="24"/>
      <c r="AM254" s="24"/>
    </row>
    <row r="255" spans="1:39" hidden="1" x14ac:dyDescent="0.2">
      <c r="B255" s="50">
        <v>43688</v>
      </c>
      <c r="C255" s="35">
        <v>0.62638888888888888</v>
      </c>
      <c r="D255" s="35"/>
      <c r="E255" s="35" t="s">
        <v>111</v>
      </c>
      <c r="F255" s="37">
        <v>2</v>
      </c>
      <c r="G255" s="42" t="str">
        <f>VLOOKUP(F255,Key!$A$17:$B$21,2,FALSE)</f>
        <v>Road Vehicle</v>
      </c>
      <c r="H255" s="36">
        <v>8</v>
      </c>
      <c r="I255" s="43" t="str">
        <f>VLOOKUP(H255,Key!$A$2:$B$13,2,FALSE)</f>
        <v xml:space="preserve">Medium Truck </v>
      </c>
      <c r="J255" s="37" t="s">
        <v>123</v>
      </c>
      <c r="K255" s="37">
        <v>2</v>
      </c>
      <c r="L255" s="45" t="str">
        <f>VLOOKUP(K255,Key!$A$24:$B$29,2,FALSE)</f>
        <v>30-39</v>
      </c>
      <c r="M255" s="37" t="s">
        <v>199</v>
      </c>
      <c r="N255" s="32" t="s">
        <v>199</v>
      </c>
      <c r="O255" s="37" t="s">
        <v>168</v>
      </c>
      <c r="P255" s="39">
        <v>2</v>
      </c>
      <c r="Q255" s="34" t="str">
        <f>VLOOKUP(P255,Key!$E$2:$F$9,2,FALSE)</f>
        <v>Work</v>
      </c>
      <c r="R255" s="37" t="s">
        <v>176</v>
      </c>
      <c r="S255" s="32" t="s">
        <v>176</v>
      </c>
      <c r="T255" s="37" t="s">
        <v>168</v>
      </c>
      <c r="U255" s="32">
        <v>2</v>
      </c>
      <c r="V255" s="34" t="str">
        <f>VLOOKUP(U255,Key!$E$2:$F$9,2,FALSE)</f>
        <v>Work</v>
      </c>
      <c r="W255" s="34" t="str">
        <f t="shared" si="6"/>
        <v>Work-Work</v>
      </c>
      <c r="X255" s="47">
        <v>200000</v>
      </c>
      <c r="Y255" s="38">
        <v>200</v>
      </c>
      <c r="Z255" s="38">
        <v>4</v>
      </c>
      <c r="AA255" s="32">
        <v>10</v>
      </c>
      <c r="AB255" s="34" t="str">
        <f>VLOOKUP(AA255,Key!$C$20:$D$29,2,FALSE)</f>
        <v>Other</v>
      </c>
      <c r="AC255" s="32">
        <v>3</v>
      </c>
      <c r="AD255" s="34" t="str">
        <f>VLOOKUP(AC255,Key!$E$20:$F$24,2,FALSE)</f>
        <v>500,000-750,000</v>
      </c>
      <c r="AE255" s="32">
        <v>3</v>
      </c>
      <c r="AF255" s="55">
        <v>3</v>
      </c>
      <c r="AG255" s="55">
        <v>2</v>
      </c>
      <c r="AH255" s="55">
        <v>2</v>
      </c>
      <c r="AI255" s="55"/>
      <c r="AJ255" s="39" t="s">
        <v>104</v>
      </c>
      <c r="AK255" s="40">
        <v>1000</v>
      </c>
      <c r="AL255" s="24"/>
      <c r="AM255" s="24"/>
    </row>
    <row r="256" spans="1:39" hidden="1" x14ac:dyDescent="0.2">
      <c r="B256" s="50">
        <v>43688</v>
      </c>
      <c r="C256" s="35">
        <v>0.72222222222222221</v>
      </c>
      <c r="D256" s="35"/>
      <c r="E256" s="35" t="s">
        <v>111</v>
      </c>
      <c r="F256" s="37">
        <v>2</v>
      </c>
      <c r="G256" s="42" t="str">
        <f>VLOOKUP(F256,Key!$A$17:$B$21,2,FALSE)</f>
        <v>Road Vehicle</v>
      </c>
      <c r="H256" s="36">
        <v>8</v>
      </c>
      <c r="I256" s="43" t="str">
        <f>VLOOKUP(H256,Key!$A$2:$B$13,2,FALSE)</f>
        <v xml:space="preserve">Medium Truck </v>
      </c>
      <c r="J256" s="37" t="s">
        <v>123</v>
      </c>
      <c r="K256" s="13">
        <v>2</v>
      </c>
      <c r="L256" s="45" t="str">
        <f>VLOOKUP(K256,Key!$A$24:$B$29,2,FALSE)</f>
        <v>30-39</v>
      </c>
      <c r="M256" s="44" t="s">
        <v>197</v>
      </c>
      <c r="N256" s="44" t="s">
        <v>167</v>
      </c>
      <c r="O256" s="37" t="s">
        <v>168</v>
      </c>
      <c r="P256" s="39">
        <v>4</v>
      </c>
      <c r="Q256" s="34" t="str">
        <f>VLOOKUP(P256,Key!$E$2:$F$9,2,FALSE)</f>
        <v>Commercial</v>
      </c>
      <c r="R256" s="37" t="s">
        <v>174</v>
      </c>
      <c r="S256" s="32" t="s">
        <v>174</v>
      </c>
      <c r="T256" s="37" t="s">
        <v>168</v>
      </c>
      <c r="U256" s="32">
        <v>4</v>
      </c>
      <c r="V256" s="34" t="str">
        <f>VLOOKUP(U256,Key!$E$2:$F$9,2,FALSE)</f>
        <v>Commercial</v>
      </c>
      <c r="W256" s="34" t="str">
        <f t="shared" si="6"/>
        <v>Commercial-Commercial</v>
      </c>
      <c r="X256" s="47">
        <v>15000</v>
      </c>
      <c r="Y256" s="38">
        <v>200</v>
      </c>
      <c r="Z256" s="38">
        <v>5</v>
      </c>
      <c r="AA256" s="32">
        <v>10</v>
      </c>
      <c r="AB256" s="34" t="str">
        <f>VLOOKUP(AA256,Key!$C$20:$D$29,2,FALSE)</f>
        <v>Other</v>
      </c>
      <c r="AC256" s="32">
        <v>3</v>
      </c>
      <c r="AD256" s="34" t="str">
        <f>VLOOKUP(AC256,Key!$E$20:$F$24,2,FALSE)</f>
        <v>500,000-750,000</v>
      </c>
      <c r="AE256" s="32">
        <v>1</v>
      </c>
      <c r="AF256" s="55">
        <v>1</v>
      </c>
      <c r="AG256" s="55">
        <v>2</v>
      </c>
      <c r="AH256" s="55">
        <v>2</v>
      </c>
      <c r="AI256" s="55">
        <v>1</v>
      </c>
      <c r="AJ256" s="39" t="s">
        <v>104</v>
      </c>
      <c r="AK256" s="40">
        <v>2000</v>
      </c>
      <c r="AL256" s="24"/>
      <c r="AM256" s="24"/>
    </row>
    <row r="257" spans="2:39" hidden="1" x14ac:dyDescent="0.2">
      <c r="B257" s="50">
        <v>43688</v>
      </c>
      <c r="C257" s="35">
        <v>0.47986111111111113</v>
      </c>
      <c r="D257" s="35"/>
      <c r="E257" s="35" t="s">
        <v>111</v>
      </c>
      <c r="F257" s="37">
        <v>2</v>
      </c>
      <c r="G257" s="42" t="str">
        <f>VLOOKUP(F257,Key!$A$17:$B$21,2,FALSE)</f>
        <v>Road Vehicle</v>
      </c>
      <c r="H257" s="36">
        <v>8</v>
      </c>
      <c r="I257" s="43" t="str">
        <f>VLOOKUP(H257,Key!$A$2:$B$13,2,FALSE)</f>
        <v xml:space="preserve">Medium Truck </v>
      </c>
      <c r="J257" s="37" t="s">
        <v>123</v>
      </c>
      <c r="K257" s="37">
        <v>3</v>
      </c>
      <c r="L257" s="45" t="str">
        <f>VLOOKUP(K257,Key!$A$24:$B$29,2,FALSE)</f>
        <v>40-49</v>
      </c>
      <c r="M257" s="44" t="s">
        <v>227</v>
      </c>
      <c r="N257" s="44" t="s">
        <v>183</v>
      </c>
      <c r="O257" s="37" t="s">
        <v>168</v>
      </c>
      <c r="P257" s="39">
        <v>1</v>
      </c>
      <c r="Q257" s="34" t="str">
        <f>VLOOKUP(P257,Key!$E$2:$F$9,2,FALSE)</f>
        <v>Home</v>
      </c>
      <c r="R257" s="37" t="s">
        <v>225</v>
      </c>
      <c r="S257" s="32" t="s">
        <v>190</v>
      </c>
      <c r="T257" s="37" t="s">
        <v>168</v>
      </c>
      <c r="U257" s="32">
        <v>4</v>
      </c>
      <c r="V257" s="34" t="str">
        <f>VLOOKUP(U257,Key!$E$2:$F$9,2,FALSE)</f>
        <v>Commercial</v>
      </c>
      <c r="W257" s="34" t="str">
        <f t="shared" si="6"/>
        <v>Home-Commercial</v>
      </c>
      <c r="X257" s="47">
        <v>150000</v>
      </c>
      <c r="Y257" s="38">
        <v>200</v>
      </c>
      <c r="Z257" s="38">
        <v>5</v>
      </c>
      <c r="AA257" s="32">
        <v>2</v>
      </c>
      <c r="AB257" s="34" t="str">
        <f>VLOOKUP(AA257,Key!$C$20:$D$29,2,FALSE)</f>
        <v>Manual Labour</v>
      </c>
      <c r="AC257" s="32">
        <v>2</v>
      </c>
      <c r="AD257" s="34" t="str">
        <f>VLOOKUP(AC257,Key!$E$20:$F$24,2,FALSE)</f>
        <v>300,000-500,000</v>
      </c>
      <c r="AE257" s="32">
        <v>1</v>
      </c>
      <c r="AF257" s="55">
        <v>1</v>
      </c>
      <c r="AG257" s="55">
        <v>1</v>
      </c>
      <c r="AH257" s="55">
        <v>1</v>
      </c>
      <c r="AI257" s="55">
        <v>1</v>
      </c>
      <c r="AJ257" s="39" t="s">
        <v>104</v>
      </c>
      <c r="AK257" s="40">
        <v>5000</v>
      </c>
      <c r="AL257" s="24"/>
      <c r="AM257" s="24"/>
    </row>
    <row r="258" spans="2:39" hidden="1" x14ac:dyDescent="0.2">
      <c r="B258" s="50">
        <v>43686</v>
      </c>
      <c r="C258" s="35">
        <v>0.6875</v>
      </c>
      <c r="D258" s="35"/>
      <c r="E258" s="35" t="s">
        <v>111</v>
      </c>
      <c r="F258" s="37">
        <v>2</v>
      </c>
      <c r="G258" s="42" t="str">
        <f>VLOOKUP(F258,Key!$A$17:$B$21,2,FALSE)</f>
        <v>Road Vehicle</v>
      </c>
      <c r="H258" s="36">
        <v>8</v>
      </c>
      <c r="I258" s="43" t="str">
        <f>VLOOKUP(H258,Key!$A$2:$B$13,2,FALSE)</f>
        <v xml:space="preserve">Medium Truck </v>
      </c>
      <c r="J258" s="37" t="s">
        <v>123</v>
      </c>
      <c r="K258" s="37">
        <v>3</v>
      </c>
      <c r="L258" s="45" t="str">
        <f>VLOOKUP(K258,Key!$A$24:$B$29,2,FALSE)</f>
        <v>40-49</v>
      </c>
      <c r="M258" s="37" t="s">
        <v>321</v>
      </c>
      <c r="N258" s="32" t="s">
        <v>321</v>
      </c>
      <c r="O258" s="37" t="s">
        <v>168</v>
      </c>
      <c r="P258" s="39">
        <v>2</v>
      </c>
      <c r="Q258" s="34" t="str">
        <f>VLOOKUP(P258,Key!$E$2:$F$9,2,FALSE)</f>
        <v>Work</v>
      </c>
      <c r="R258" s="37" t="s">
        <v>225</v>
      </c>
      <c r="S258" s="32" t="s">
        <v>190</v>
      </c>
      <c r="T258" s="37" t="s">
        <v>168</v>
      </c>
      <c r="U258" s="32">
        <v>4</v>
      </c>
      <c r="V258" s="34" t="str">
        <f>VLOOKUP(U258,Key!$E$2:$F$9,2,FALSE)</f>
        <v>Commercial</v>
      </c>
      <c r="W258" s="34" t="str">
        <f t="shared" si="6"/>
        <v>Work-Commercial</v>
      </c>
      <c r="X258" s="47">
        <v>200000</v>
      </c>
      <c r="Y258" s="38">
        <v>200</v>
      </c>
      <c r="Z258" s="38">
        <v>6</v>
      </c>
      <c r="AA258" s="32">
        <v>5</v>
      </c>
      <c r="AB258" s="34" t="str">
        <f>VLOOKUP(AA258,Key!$C$20:$D$29,2,FALSE)</f>
        <v>Professional</v>
      </c>
      <c r="AC258" s="32">
        <v>3</v>
      </c>
      <c r="AD258" s="34" t="str">
        <f>VLOOKUP(AC258,Key!$E$20:$F$24,2,FALSE)</f>
        <v>500,000-750,000</v>
      </c>
      <c r="AE258" s="32">
        <v>2</v>
      </c>
      <c r="AF258" s="55">
        <v>2</v>
      </c>
      <c r="AG258" s="55">
        <v>1</v>
      </c>
      <c r="AH258" s="55">
        <v>1</v>
      </c>
      <c r="AI258" s="55">
        <v>1</v>
      </c>
      <c r="AJ258" s="39" t="s">
        <v>104</v>
      </c>
      <c r="AK258" s="40">
        <v>5000</v>
      </c>
      <c r="AL258" s="24"/>
      <c r="AM258" s="24"/>
    </row>
    <row r="259" spans="2:39" hidden="1" x14ac:dyDescent="0.2">
      <c r="B259" s="50">
        <v>43687</v>
      </c>
      <c r="C259" s="35">
        <v>0.60416666666666663</v>
      </c>
      <c r="D259" s="35"/>
      <c r="E259" s="35" t="s">
        <v>111</v>
      </c>
      <c r="F259" s="37">
        <v>2</v>
      </c>
      <c r="G259" s="42" t="str">
        <f>VLOOKUP(F259,Key!$A$17:$B$21,2,FALSE)</f>
        <v>Road Vehicle</v>
      </c>
      <c r="H259" s="36">
        <v>8</v>
      </c>
      <c r="I259" s="43" t="str">
        <f>VLOOKUP(H259,Key!$A$2:$B$13,2,FALSE)</f>
        <v xml:space="preserve">Medium Truck </v>
      </c>
      <c r="J259" s="37" t="s">
        <v>123</v>
      </c>
      <c r="K259" s="13">
        <v>2</v>
      </c>
      <c r="L259" s="45" t="str">
        <f>VLOOKUP(K259,Key!$A$24:$B$29,2,FALSE)</f>
        <v>30-39</v>
      </c>
      <c r="M259" s="44" t="s">
        <v>198</v>
      </c>
      <c r="N259" s="44" t="s">
        <v>167</v>
      </c>
      <c r="O259" s="37" t="s">
        <v>168</v>
      </c>
      <c r="P259" s="39">
        <v>4</v>
      </c>
      <c r="Q259" s="34" t="str">
        <f>VLOOKUP(P259,Key!$E$2:$F$9,2,FALSE)</f>
        <v>Commercial</v>
      </c>
      <c r="R259" s="37" t="s">
        <v>199</v>
      </c>
      <c r="S259" s="32" t="s">
        <v>199</v>
      </c>
      <c r="T259" s="37" t="s">
        <v>168</v>
      </c>
      <c r="U259" s="32">
        <v>4</v>
      </c>
      <c r="V259" s="34" t="str">
        <f>VLOOKUP(U259,Key!$E$2:$F$9,2,FALSE)</f>
        <v>Commercial</v>
      </c>
      <c r="W259" s="34" t="str">
        <f t="shared" si="6"/>
        <v>Commercial-Commercial</v>
      </c>
      <c r="X259" s="47">
        <v>140000</v>
      </c>
      <c r="Y259" s="38">
        <v>210</v>
      </c>
      <c r="Z259" s="38">
        <v>4</v>
      </c>
      <c r="AA259" s="32">
        <v>10</v>
      </c>
      <c r="AB259" s="34" t="str">
        <f>VLOOKUP(AA259,Key!$C$20:$D$29,2,FALSE)</f>
        <v>Other</v>
      </c>
      <c r="AC259" s="32">
        <v>3</v>
      </c>
      <c r="AD259" s="34" t="str">
        <f>VLOOKUP(AC259,Key!$E$20:$F$24,2,FALSE)</f>
        <v>500,000-750,000</v>
      </c>
      <c r="AE259" s="32">
        <v>1</v>
      </c>
      <c r="AF259" s="55">
        <v>1</v>
      </c>
      <c r="AG259" s="55">
        <v>1</v>
      </c>
      <c r="AH259" s="55">
        <v>1</v>
      </c>
      <c r="AI259" s="55">
        <v>1</v>
      </c>
      <c r="AJ259" s="39" t="s">
        <v>104</v>
      </c>
      <c r="AK259" s="40">
        <v>1000</v>
      </c>
      <c r="AL259" s="24"/>
      <c r="AM259" s="24"/>
    </row>
    <row r="260" spans="2:39" hidden="1" x14ac:dyDescent="0.2">
      <c r="B260" s="50">
        <v>43687</v>
      </c>
      <c r="C260" s="35">
        <v>0.75138888888888899</v>
      </c>
      <c r="D260" s="35"/>
      <c r="E260" s="35" t="s">
        <v>111</v>
      </c>
      <c r="F260" s="37">
        <v>2</v>
      </c>
      <c r="G260" s="42" t="str">
        <f>VLOOKUP(F260,Key!$A$17:$B$21,2,FALSE)</f>
        <v>Road Vehicle</v>
      </c>
      <c r="H260" s="36">
        <v>8</v>
      </c>
      <c r="I260" s="43" t="str">
        <f>VLOOKUP(H260,Key!$A$2:$B$13,2,FALSE)</f>
        <v xml:space="preserve">Medium Truck </v>
      </c>
      <c r="J260" s="37" t="s">
        <v>123</v>
      </c>
      <c r="K260" s="37">
        <v>2</v>
      </c>
      <c r="L260" s="45" t="str">
        <f>VLOOKUP(K260,Key!$A$24:$B$29,2,FALSE)</f>
        <v>30-39</v>
      </c>
      <c r="M260" s="37" t="s">
        <v>245</v>
      </c>
      <c r="N260" s="32" t="s">
        <v>245</v>
      </c>
      <c r="O260" s="37" t="s">
        <v>246</v>
      </c>
      <c r="P260" s="39">
        <v>2</v>
      </c>
      <c r="Q260" s="34" t="str">
        <f>VLOOKUP(P260,Key!$E$2:$F$9,2,FALSE)</f>
        <v>Work</v>
      </c>
      <c r="R260" s="37" t="s">
        <v>167</v>
      </c>
      <c r="S260" s="32" t="s">
        <v>167</v>
      </c>
      <c r="T260" s="37" t="s">
        <v>168</v>
      </c>
      <c r="U260" s="32">
        <v>4</v>
      </c>
      <c r="V260" s="34" t="str">
        <f>VLOOKUP(U260,Key!$E$2:$F$9,2,FALSE)</f>
        <v>Commercial</v>
      </c>
      <c r="W260" s="34" t="str">
        <f t="shared" si="6"/>
        <v>Work-Commercial</v>
      </c>
      <c r="X260" s="47">
        <v>340000</v>
      </c>
      <c r="Y260" s="38">
        <v>230</v>
      </c>
      <c r="Z260" s="38">
        <v>5</v>
      </c>
      <c r="AA260" s="32">
        <v>6</v>
      </c>
      <c r="AB260" s="34" t="str">
        <f>VLOOKUP(AA260,Key!$C$20:$D$29,2,FALSE)</f>
        <v>Businessman</v>
      </c>
      <c r="AC260" s="32">
        <v>3</v>
      </c>
      <c r="AD260" s="34" t="str">
        <f>VLOOKUP(AC260,Key!$E$20:$F$24,2,FALSE)</f>
        <v>500,000-750,000</v>
      </c>
      <c r="AE260" s="32">
        <v>2</v>
      </c>
      <c r="AF260" s="55">
        <v>1</v>
      </c>
      <c r="AG260" s="55">
        <v>4</v>
      </c>
      <c r="AH260" s="55">
        <v>3</v>
      </c>
      <c r="AI260" s="55">
        <v>5</v>
      </c>
      <c r="AJ260" s="39" t="s">
        <v>104</v>
      </c>
      <c r="AK260" s="40">
        <v>4000</v>
      </c>
      <c r="AL260" s="24"/>
      <c r="AM260" s="24"/>
    </row>
    <row r="261" spans="2:39" hidden="1" x14ac:dyDescent="0.2">
      <c r="B261" s="50">
        <v>43687</v>
      </c>
      <c r="C261" s="35">
        <v>0.76041666666666663</v>
      </c>
      <c r="D261" s="35"/>
      <c r="E261" s="35" t="s">
        <v>111</v>
      </c>
      <c r="F261" s="37">
        <v>2</v>
      </c>
      <c r="G261" s="42" t="str">
        <f>VLOOKUP(F261,Key!$A$17:$B$21,2,FALSE)</f>
        <v>Road Vehicle</v>
      </c>
      <c r="H261" s="36">
        <v>8</v>
      </c>
      <c r="I261" s="43" t="str">
        <f>VLOOKUP(H261,Key!$A$2:$B$13,2,FALSE)</f>
        <v xml:space="preserve">Medium Truck </v>
      </c>
      <c r="J261" s="37" t="s">
        <v>123</v>
      </c>
      <c r="K261" s="37">
        <v>3</v>
      </c>
      <c r="L261" s="45" t="str">
        <f>VLOOKUP(K261,Key!$A$24:$B$29,2,FALSE)</f>
        <v>40-49</v>
      </c>
      <c r="M261" s="37" t="s">
        <v>169</v>
      </c>
      <c r="N261" s="32" t="s">
        <v>169</v>
      </c>
      <c r="O261" s="37" t="s">
        <v>168</v>
      </c>
      <c r="P261" s="39">
        <v>4</v>
      </c>
      <c r="Q261" s="34" t="str">
        <f>VLOOKUP(P261,Key!$E$2:$F$9,2,FALSE)</f>
        <v>Commercial</v>
      </c>
      <c r="R261" s="37" t="s">
        <v>35</v>
      </c>
      <c r="S261" s="32" t="s">
        <v>174</v>
      </c>
      <c r="T261" s="37" t="s">
        <v>168</v>
      </c>
      <c r="U261" s="32">
        <v>4</v>
      </c>
      <c r="V261" s="34" t="str">
        <f>VLOOKUP(U261,Key!$E$2:$F$9,2,FALSE)</f>
        <v>Commercial</v>
      </c>
      <c r="W261" s="34" t="str">
        <f t="shared" si="6"/>
        <v>Commercial-Commercial</v>
      </c>
      <c r="X261" s="47">
        <v>200000</v>
      </c>
      <c r="Y261" s="38">
        <v>600</v>
      </c>
      <c r="Z261" s="38">
        <v>7</v>
      </c>
      <c r="AA261" s="32">
        <v>10</v>
      </c>
      <c r="AB261" s="34" t="str">
        <f>VLOOKUP(AA261,Key!$C$20:$D$29,2,FALSE)</f>
        <v>Other</v>
      </c>
      <c r="AC261" s="32">
        <v>2</v>
      </c>
      <c r="AD261" s="34" t="str">
        <f>VLOOKUP(AC261,Key!$E$20:$F$24,2,FALSE)</f>
        <v>300,000-500,000</v>
      </c>
      <c r="AE261" s="32">
        <v>1</v>
      </c>
      <c r="AF261" s="55">
        <v>1</v>
      </c>
      <c r="AG261" s="55">
        <v>1</v>
      </c>
      <c r="AH261" s="55">
        <v>1</v>
      </c>
      <c r="AI261" s="55">
        <v>1</v>
      </c>
      <c r="AJ261" s="39" t="s">
        <v>104</v>
      </c>
      <c r="AK261" s="40">
        <v>2000</v>
      </c>
      <c r="AL261" s="24"/>
      <c r="AM261" s="24"/>
    </row>
    <row r="262" spans="2:39" hidden="1" x14ac:dyDescent="0.2">
      <c r="B262" s="50"/>
      <c r="C262" s="35"/>
      <c r="D262" s="35"/>
      <c r="E262" s="35"/>
      <c r="F262" s="37"/>
      <c r="G262" s="42"/>
      <c r="H262" s="36"/>
      <c r="I262" s="43"/>
      <c r="J262" s="37"/>
      <c r="K262" s="37"/>
      <c r="L262" s="45"/>
      <c r="M262" s="37"/>
      <c r="N262" s="32"/>
      <c r="O262" s="37"/>
      <c r="P262" s="39"/>
      <c r="Q262" s="34"/>
      <c r="R262" s="37"/>
      <c r="S262" s="32"/>
      <c r="T262" s="37"/>
      <c r="U262" s="32"/>
      <c r="V262" s="34"/>
      <c r="W262" s="34"/>
      <c r="X262" s="47"/>
      <c r="Y262" s="38"/>
      <c r="Z262" s="38"/>
      <c r="AA262" s="32"/>
      <c r="AB262" s="34"/>
      <c r="AC262" s="32"/>
      <c r="AD262" s="34"/>
      <c r="AE262" s="32"/>
      <c r="AF262" s="55"/>
      <c r="AG262" s="55"/>
      <c r="AH262" s="55"/>
      <c r="AI262" s="55"/>
      <c r="AJ262" s="39"/>
      <c r="AK262" s="40"/>
      <c r="AL262" s="24"/>
      <c r="AM262" s="24"/>
    </row>
    <row r="263" spans="2:39" hidden="1" x14ac:dyDescent="0.2">
      <c r="B263" s="50">
        <v>43689</v>
      </c>
      <c r="C263" s="35">
        <v>0.54583333333333328</v>
      </c>
      <c r="D263" s="35"/>
      <c r="E263" s="35" t="s">
        <v>111</v>
      </c>
      <c r="F263" s="37">
        <v>2</v>
      </c>
      <c r="G263" s="42" t="str">
        <f>VLOOKUP(F263,Key!$A$17:$B$21,2,FALSE)</f>
        <v>Road Vehicle</v>
      </c>
      <c r="H263" s="36">
        <v>4</v>
      </c>
      <c r="I263" s="43" t="str">
        <f>VLOOKUP(H263,Key!$A$2:$B$13,2,FALSE)</f>
        <v>Minibus</v>
      </c>
      <c r="J263" s="37" t="s">
        <v>123</v>
      </c>
      <c r="K263" s="37">
        <v>2</v>
      </c>
      <c r="L263" s="45" t="str">
        <f>VLOOKUP(K263,Key!$A$24:$B$29,2,FALSE)</f>
        <v>30-39</v>
      </c>
      <c r="M263" s="37" t="s">
        <v>247</v>
      </c>
      <c r="N263" s="32" t="s">
        <v>167</v>
      </c>
      <c r="O263" s="37" t="s">
        <v>168</v>
      </c>
      <c r="P263" s="39">
        <v>2</v>
      </c>
      <c r="Q263" s="34" t="str">
        <f>VLOOKUP(P263,Key!$E$2:$F$9,2,FALSE)</f>
        <v>Work</v>
      </c>
      <c r="R263" s="37" t="s">
        <v>179</v>
      </c>
      <c r="S263" s="32" t="s">
        <v>179</v>
      </c>
      <c r="T263" s="37" t="s">
        <v>168</v>
      </c>
      <c r="U263" s="32">
        <v>2</v>
      </c>
      <c r="V263" s="34" t="str">
        <f>VLOOKUP(U263,Key!$E$2:$F$9,2,FALSE)</f>
        <v>Work</v>
      </c>
      <c r="W263" s="34" t="str">
        <f t="shared" ref="W263:W326" si="7">Q263&amp;"-"&amp;V263</f>
        <v>Work-Work</v>
      </c>
      <c r="X263" s="47">
        <v>30000</v>
      </c>
      <c r="Y263" s="38">
        <v>4</v>
      </c>
      <c r="Z263" s="38">
        <v>1</v>
      </c>
      <c r="AA263" s="32">
        <v>10</v>
      </c>
      <c r="AB263" s="34" t="str">
        <f>VLOOKUP(AA263,Key!$C$20:$D$29,2,FALSE)</f>
        <v>Other</v>
      </c>
      <c r="AC263" s="32">
        <v>1</v>
      </c>
      <c r="AD263" s="34" t="str">
        <f>VLOOKUP(AC263,Key!$E$20:$F$24,2,FALSE)</f>
        <v>&lt;300,000</v>
      </c>
      <c r="AE263" s="32">
        <v>1</v>
      </c>
      <c r="AF263" s="55">
        <v>2</v>
      </c>
      <c r="AG263" s="55">
        <v>2</v>
      </c>
      <c r="AH263" s="55">
        <v>2</v>
      </c>
      <c r="AI263" s="55"/>
      <c r="AJ263" s="39" t="s">
        <v>104</v>
      </c>
      <c r="AK263" s="40">
        <v>1000</v>
      </c>
      <c r="AL263" s="24"/>
      <c r="AM263" s="24"/>
    </row>
    <row r="264" spans="2:39" hidden="1" x14ac:dyDescent="0.2">
      <c r="B264" s="50">
        <v>43686</v>
      </c>
      <c r="C264" s="35">
        <v>0.62013888888888891</v>
      </c>
      <c r="D264" s="35"/>
      <c r="E264" s="35" t="s">
        <v>111</v>
      </c>
      <c r="F264" s="37">
        <v>2</v>
      </c>
      <c r="G264" s="42" t="str">
        <f>VLOOKUP(F264,Key!$A$17:$B$21,2,FALSE)</f>
        <v>Road Vehicle</v>
      </c>
      <c r="H264" s="36">
        <v>4</v>
      </c>
      <c r="I264" s="43" t="str">
        <f>VLOOKUP(H264,Key!$A$2:$B$13,2,FALSE)</f>
        <v>Minibus</v>
      </c>
      <c r="J264" s="37" t="s">
        <v>123</v>
      </c>
      <c r="K264" s="37">
        <v>3</v>
      </c>
      <c r="L264" s="45" t="str">
        <f>VLOOKUP(K264,Key!$A$24:$B$29,2,FALSE)</f>
        <v>40-49</v>
      </c>
      <c r="M264" s="37" t="s">
        <v>247</v>
      </c>
      <c r="N264" s="32" t="s">
        <v>167</v>
      </c>
      <c r="O264" s="37" t="s">
        <v>168</v>
      </c>
      <c r="P264" s="39">
        <v>4</v>
      </c>
      <c r="Q264" s="34" t="str">
        <f>VLOOKUP(P264,Key!$E$2:$F$9,2,FALSE)</f>
        <v>Commercial</v>
      </c>
      <c r="R264" s="37" t="s">
        <v>167</v>
      </c>
      <c r="S264" s="32" t="s">
        <v>167</v>
      </c>
      <c r="T264" s="37" t="s">
        <v>168</v>
      </c>
      <c r="U264" s="32">
        <v>4</v>
      </c>
      <c r="V264" s="34" t="str">
        <f>VLOOKUP(U264,Key!$E$2:$F$9,2,FALSE)</f>
        <v>Commercial</v>
      </c>
      <c r="W264" s="34" t="str">
        <f t="shared" si="7"/>
        <v>Commercial-Commercial</v>
      </c>
      <c r="X264" s="47">
        <v>10000</v>
      </c>
      <c r="Y264" s="38">
        <v>5</v>
      </c>
      <c r="Z264" s="38">
        <v>0.3</v>
      </c>
      <c r="AA264" s="32">
        <v>10</v>
      </c>
      <c r="AB264" s="34" t="str">
        <f>VLOOKUP(AA264,Key!$C$20:$D$29,2,FALSE)</f>
        <v>Other</v>
      </c>
      <c r="AC264" s="32">
        <v>1</v>
      </c>
      <c r="AD264" s="34" t="str">
        <f>VLOOKUP(AC264,Key!$E$20:$F$24,2,FALSE)</f>
        <v>&lt;300,000</v>
      </c>
      <c r="AE264" s="32">
        <v>1</v>
      </c>
      <c r="AF264" s="55">
        <v>2</v>
      </c>
      <c r="AG264" s="55">
        <v>1</v>
      </c>
      <c r="AH264" s="55">
        <v>1</v>
      </c>
      <c r="AI264" s="55">
        <v>1</v>
      </c>
      <c r="AJ264" s="39" t="s">
        <v>104</v>
      </c>
      <c r="AK264" s="40">
        <v>1000</v>
      </c>
      <c r="AL264" s="24"/>
      <c r="AM264" s="24"/>
    </row>
    <row r="265" spans="2:39" hidden="1" x14ac:dyDescent="0.2">
      <c r="B265" s="50">
        <v>43686</v>
      </c>
      <c r="C265" s="35">
        <v>0.62013888888888891</v>
      </c>
      <c r="D265" s="35"/>
      <c r="E265" s="35" t="s">
        <v>111</v>
      </c>
      <c r="F265" s="37">
        <v>2</v>
      </c>
      <c r="G265" s="42" t="str">
        <f>VLOOKUP(F265,Key!$A$17:$B$21,2,FALSE)</f>
        <v>Road Vehicle</v>
      </c>
      <c r="H265" s="36">
        <v>4</v>
      </c>
      <c r="I265" s="43" t="str">
        <f>VLOOKUP(H265,Key!$A$2:$B$13,2,FALSE)</f>
        <v>Minibus</v>
      </c>
      <c r="J265" s="37" t="s">
        <v>123</v>
      </c>
      <c r="K265" s="37">
        <v>3</v>
      </c>
      <c r="L265" s="45" t="str">
        <f>VLOOKUP(K265,Key!$A$24:$B$29,2,FALSE)</f>
        <v>40-49</v>
      </c>
      <c r="M265" s="44" t="s">
        <v>167</v>
      </c>
      <c r="N265" s="32" t="s">
        <v>167</v>
      </c>
      <c r="O265" s="37" t="s">
        <v>168</v>
      </c>
      <c r="P265" s="39">
        <v>2</v>
      </c>
      <c r="Q265" s="34" t="str">
        <f>VLOOKUP(P265,Key!$E$2:$F$9,2,FALSE)</f>
        <v>Work</v>
      </c>
      <c r="R265" s="37" t="s">
        <v>182</v>
      </c>
      <c r="S265" s="32" t="s">
        <v>167</v>
      </c>
      <c r="T265" s="37" t="s">
        <v>168</v>
      </c>
      <c r="U265" s="32">
        <v>4</v>
      </c>
      <c r="V265" s="34" t="str">
        <f>VLOOKUP(U265,Key!$E$2:$F$9,2,FALSE)</f>
        <v>Commercial</v>
      </c>
      <c r="W265" s="34" t="str">
        <f t="shared" si="7"/>
        <v>Work-Commercial</v>
      </c>
      <c r="X265" s="47">
        <v>20000</v>
      </c>
      <c r="Y265" s="38">
        <v>5</v>
      </c>
      <c r="Z265" s="38">
        <v>0.5</v>
      </c>
      <c r="AA265" s="32">
        <v>10</v>
      </c>
      <c r="AB265" s="34" t="str">
        <f>VLOOKUP(AA265,Key!$C$20:$D$29,2,FALSE)</f>
        <v>Other</v>
      </c>
      <c r="AC265" s="32">
        <v>1</v>
      </c>
      <c r="AD265" s="34" t="str">
        <f>VLOOKUP(AC265,Key!$E$20:$F$24,2,FALSE)</f>
        <v>&lt;300,000</v>
      </c>
      <c r="AE265" s="32">
        <v>1</v>
      </c>
      <c r="AF265" s="55">
        <v>2</v>
      </c>
      <c r="AG265" s="55">
        <v>1</v>
      </c>
      <c r="AH265" s="55">
        <v>1</v>
      </c>
      <c r="AI265" s="55">
        <v>1</v>
      </c>
      <c r="AJ265" s="39" t="s">
        <v>104</v>
      </c>
      <c r="AK265" s="40"/>
      <c r="AL265" s="24"/>
      <c r="AM265" s="24"/>
    </row>
    <row r="266" spans="2:39" hidden="1" x14ac:dyDescent="0.2">
      <c r="B266" s="50">
        <v>43686</v>
      </c>
      <c r="C266" s="35">
        <v>0.63888888888888895</v>
      </c>
      <c r="D266" s="35"/>
      <c r="E266" s="35" t="s">
        <v>111</v>
      </c>
      <c r="F266" s="37">
        <v>2</v>
      </c>
      <c r="G266" s="42" t="str">
        <f>VLOOKUP(F266,Key!$A$17:$B$21,2,FALSE)</f>
        <v>Road Vehicle</v>
      </c>
      <c r="H266" s="36">
        <v>4</v>
      </c>
      <c r="I266" s="43" t="str">
        <f>VLOOKUP(H266,Key!$A$2:$B$13,2,FALSE)</f>
        <v>Minibus</v>
      </c>
      <c r="J266" s="37" t="s">
        <v>123</v>
      </c>
      <c r="K266" s="37">
        <v>1</v>
      </c>
      <c r="L266" s="45" t="str">
        <f>VLOOKUP(K266,Key!$A$24:$B$29,2,FALSE)</f>
        <v>20-29</v>
      </c>
      <c r="M266" s="37" t="s">
        <v>297</v>
      </c>
      <c r="N266" s="32" t="s">
        <v>167</v>
      </c>
      <c r="O266" s="37" t="s">
        <v>168</v>
      </c>
      <c r="P266" s="39">
        <v>2</v>
      </c>
      <c r="Q266" s="34" t="str">
        <f>VLOOKUP(P266,Key!$E$2:$F$9,2,FALSE)</f>
        <v>Work</v>
      </c>
      <c r="R266" s="37" t="s">
        <v>179</v>
      </c>
      <c r="S266" s="32" t="s">
        <v>179</v>
      </c>
      <c r="T266" s="37" t="s">
        <v>168</v>
      </c>
      <c r="U266" s="32">
        <v>2</v>
      </c>
      <c r="V266" s="34" t="str">
        <f>VLOOKUP(U266,Key!$E$2:$F$9,2,FALSE)</f>
        <v>Work</v>
      </c>
      <c r="W266" s="34" t="str">
        <f t="shared" si="7"/>
        <v>Work-Work</v>
      </c>
      <c r="X266" s="47">
        <v>40000</v>
      </c>
      <c r="Y266" s="38">
        <v>10</v>
      </c>
      <c r="Z266" s="38">
        <v>0.8</v>
      </c>
      <c r="AA266" s="32">
        <v>7</v>
      </c>
      <c r="AB266" s="34" t="str">
        <f>VLOOKUP(AA266,Key!$C$20:$D$29,2,FALSE)</f>
        <v>Farmer</v>
      </c>
      <c r="AC266" s="32">
        <v>1</v>
      </c>
      <c r="AD266" s="34" t="str">
        <f>VLOOKUP(AC266,Key!$E$20:$F$24,2,FALSE)</f>
        <v>&lt;300,000</v>
      </c>
      <c r="AE266" s="32">
        <v>1</v>
      </c>
      <c r="AF266" s="55">
        <v>2</v>
      </c>
      <c r="AG266" s="55">
        <v>2</v>
      </c>
      <c r="AH266" s="55">
        <v>1</v>
      </c>
      <c r="AI266" s="55">
        <v>1</v>
      </c>
      <c r="AJ266" s="39" t="s">
        <v>104</v>
      </c>
      <c r="AK266" s="40">
        <v>1000</v>
      </c>
      <c r="AL266" s="24"/>
      <c r="AM266" s="24"/>
    </row>
    <row r="267" spans="2:39" hidden="1" x14ac:dyDescent="0.2">
      <c r="B267" s="50">
        <v>43686</v>
      </c>
      <c r="C267" s="35">
        <v>0.66597222222222219</v>
      </c>
      <c r="D267" s="35"/>
      <c r="E267" s="35" t="s">
        <v>111</v>
      </c>
      <c r="F267" s="37">
        <v>2</v>
      </c>
      <c r="G267" s="42" t="str">
        <f>VLOOKUP(F267,Key!$A$17:$B$21,2,FALSE)</f>
        <v>Road Vehicle</v>
      </c>
      <c r="H267" s="36">
        <v>4</v>
      </c>
      <c r="I267" s="43" t="str">
        <f>VLOOKUP(H267,Key!$A$2:$B$13,2,FALSE)</f>
        <v>Minibus</v>
      </c>
      <c r="J267" s="37" t="s">
        <v>123</v>
      </c>
      <c r="K267" s="37">
        <v>2</v>
      </c>
      <c r="L267" s="45" t="str">
        <f>VLOOKUP(K267,Key!$A$24:$B$29,2,FALSE)</f>
        <v>30-39</v>
      </c>
      <c r="M267" s="37" t="s">
        <v>247</v>
      </c>
      <c r="N267" s="32" t="s">
        <v>167</v>
      </c>
      <c r="O267" s="37" t="s">
        <v>168</v>
      </c>
      <c r="P267" s="39">
        <v>2</v>
      </c>
      <c r="Q267" s="34" t="str">
        <f>VLOOKUP(P267,Key!$E$2:$F$9,2,FALSE)</f>
        <v>Work</v>
      </c>
      <c r="R267" s="37" t="s">
        <v>179</v>
      </c>
      <c r="S267" s="32" t="s">
        <v>179</v>
      </c>
      <c r="T267" s="37" t="s">
        <v>168</v>
      </c>
      <c r="U267" s="32">
        <v>2</v>
      </c>
      <c r="V267" s="34" t="str">
        <f>VLOOKUP(U267,Key!$E$2:$F$9,2,FALSE)</f>
        <v>Work</v>
      </c>
      <c r="W267" s="34" t="str">
        <f t="shared" si="7"/>
        <v>Work-Work</v>
      </c>
      <c r="X267" s="47">
        <v>20000</v>
      </c>
      <c r="Y267" s="38">
        <v>10</v>
      </c>
      <c r="Z267" s="38">
        <v>1</v>
      </c>
      <c r="AA267" s="32">
        <v>10</v>
      </c>
      <c r="AB267" s="34" t="str">
        <f>VLOOKUP(AA267,Key!$C$20:$D$29,2,FALSE)</f>
        <v>Other</v>
      </c>
      <c r="AC267" s="32">
        <v>1</v>
      </c>
      <c r="AD267" s="34" t="str">
        <f>VLOOKUP(AC267,Key!$E$20:$F$24,2,FALSE)</f>
        <v>&lt;300,000</v>
      </c>
      <c r="AE267" s="32">
        <v>1</v>
      </c>
      <c r="AF267" s="55">
        <v>3</v>
      </c>
      <c r="AG267" s="55"/>
      <c r="AH267" s="55"/>
      <c r="AI267" s="55"/>
      <c r="AJ267" s="39" t="s">
        <v>104</v>
      </c>
      <c r="AK267" s="40">
        <v>1000</v>
      </c>
      <c r="AL267" s="24"/>
      <c r="AM267" s="24"/>
    </row>
    <row r="268" spans="2:39" hidden="1" x14ac:dyDescent="0.2">
      <c r="B268" s="50">
        <v>43688</v>
      </c>
      <c r="C268" s="35">
        <v>0.61111111111111105</v>
      </c>
      <c r="D268" s="35"/>
      <c r="E268" s="35" t="s">
        <v>111</v>
      </c>
      <c r="F268" s="37">
        <v>2</v>
      </c>
      <c r="G268" s="42" t="str">
        <f>VLOOKUP(F268,Key!$A$17:$B$21,2,FALSE)</f>
        <v>Road Vehicle</v>
      </c>
      <c r="H268" s="36">
        <v>4</v>
      </c>
      <c r="I268" s="43" t="str">
        <f>VLOOKUP(H268,Key!$A$2:$B$13,2,FALSE)</f>
        <v>Minibus</v>
      </c>
      <c r="J268" s="37" t="s">
        <v>123</v>
      </c>
      <c r="K268" s="37">
        <v>2</v>
      </c>
      <c r="L268" s="45" t="str">
        <f>VLOOKUP(K268,Key!$A$24:$B$29,2,FALSE)</f>
        <v>30-39</v>
      </c>
      <c r="M268" s="37" t="s">
        <v>247</v>
      </c>
      <c r="N268" s="32" t="s">
        <v>312</v>
      </c>
      <c r="O268" s="37" t="s">
        <v>168</v>
      </c>
      <c r="P268" s="39">
        <v>2</v>
      </c>
      <c r="Q268" s="34" t="str">
        <f>VLOOKUP(P268,Key!$E$2:$F$9,2,FALSE)</f>
        <v>Work</v>
      </c>
      <c r="R268" s="37" t="s">
        <v>170</v>
      </c>
      <c r="S268" s="32" t="s">
        <v>170</v>
      </c>
      <c r="T268" s="37" t="s">
        <v>168</v>
      </c>
      <c r="U268" s="32">
        <v>2</v>
      </c>
      <c r="V268" s="34" t="str">
        <f>VLOOKUP(U268,Key!$E$2:$F$9,2,FALSE)</f>
        <v>Work</v>
      </c>
      <c r="W268" s="34" t="str">
        <f t="shared" si="7"/>
        <v>Work-Work</v>
      </c>
      <c r="X268" s="47">
        <v>30000</v>
      </c>
      <c r="Y268" s="38">
        <v>10</v>
      </c>
      <c r="Z268" s="38">
        <v>1</v>
      </c>
      <c r="AA268" s="32">
        <v>7</v>
      </c>
      <c r="AB268" s="34" t="str">
        <f>VLOOKUP(AA268,Key!$C$20:$D$29,2,FALSE)</f>
        <v>Farmer</v>
      </c>
      <c r="AC268" s="32">
        <v>2</v>
      </c>
      <c r="AD268" s="34" t="str">
        <f>VLOOKUP(AC268,Key!$E$20:$F$24,2,FALSE)</f>
        <v>300,000-500,000</v>
      </c>
      <c r="AE268" s="32"/>
      <c r="AF268" s="55"/>
      <c r="AG268" s="55"/>
      <c r="AH268" s="55"/>
      <c r="AI268" s="55"/>
      <c r="AJ268" s="39" t="s">
        <v>104</v>
      </c>
      <c r="AK268" s="40">
        <v>1000</v>
      </c>
      <c r="AL268" s="24"/>
      <c r="AM268" s="24"/>
    </row>
    <row r="269" spans="2:39" hidden="1" x14ac:dyDescent="0.2">
      <c r="B269" s="50">
        <v>43690</v>
      </c>
      <c r="C269" s="35">
        <v>0.4145833333333333</v>
      </c>
      <c r="D269" s="35"/>
      <c r="E269" s="35" t="s">
        <v>111</v>
      </c>
      <c r="F269" s="37">
        <v>2</v>
      </c>
      <c r="G269" s="42" t="str">
        <f>VLOOKUP(F269,Key!$A$17:$B$21,2,FALSE)</f>
        <v>Road Vehicle</v>
      </c>
      <c r="H269" s="36">
        <v>4</v>
      </c>
      <c r="I269" s="43" t="str">
        <f>VLOOKUP(H269,Key!$A$2:$B$13,2,FALSE)</f>
        <v>Minibus</v>
      </c>
      <c r="J269" s="37" t="s">
        <v>123</v>
      </c>
      <c r="K269" s="37">
        <v>2</v>
      </c>
      <c r="L269" s="45" t="str">
        <f>VLOOKUP(K269,Key!$A$24:$B$29,2,FALSE)</f>
        <v>30-39</v>
      </c>
      <c r="M269" s="37" t="s">
        <v>247</v>
      </c>
      <c r="N269" s="32" t="s">
        <v>167</v>
      </c>
      <c r="O269" s="37" t="s">
        <v>168</v>
      </c>
      <c r="P269" s="39">
        <v>2</v>
      </c>
      <c r="Q269" s="34" t="str">
        <f>VLOOKUP(P269,Key!$E$2:$F$9,2,FALSE)</f>
        <v>Work</v>
      </c>
      <c r="R269" s="37" t="s">
        <v>250</v>
      </c>
      <c r="S269" s="32" t="s">
        <v>170</v>
      </c>
      <c r="T269" s="37" t="s">
        <v>168</v>
      </c>
      <c r="U269" s="32">
        <v>2</v>
      </c>
      <c r="V269" s="34" t="str">
        <f>VLOOKUP(U269,Key!$E$2:$F$9,2,FALSE)</f>
        <v>Work</v>
      </c>
      <c r="W269" s="34" t="str">
        <f t="shared" si="7"/>
        <v>Work-Work</v>
      </c>
      <c r="X269" s="47">
        <v>40000</v>
      </c>
      <c r="Y269" s="38">
        <v>20</v>
      </c>
      <c r="Z269" s="38">
        <v>1</v>
      </c>
      <c r="AA269" s="32">
        <v>10</v>
      </c>
      <c r="AB269" s="34" t="str">
        <f>VLOOKUP(AA269,Key!$C$20:$D$29,2,FALSE)</f>
        <v>Other</v>
      </c>
      <c r="AC269" s="32">
        <v>2</v>
      </c>
      <c r="AD269" s="34" t="str">
        <f>VLOOKUP(AC269,Key!$E$20:$F$24,2,FALSE)</f>
        <v>300,000-500,000</v>
      </c>
      <c r="AE269" s="32">
        <v>1</v>
      </c>
      <c r="AF269" s="55">
        <v>1</v>
      </c>
      <c r="AG269" s="55">
        <v>2</v>
      </c>
      <c r="AH269" s="55">
        <v>1</v>
      </c>
      <c r="AI269" s="55">
        <v>1</v>
      </c>
      <c r="AJ269" s="39" t="s">
        <v>104</v>
      </c>
      <c r="AK269" s="40"/>
      <c r="AL269" s="24"/>
      <c r="AM269" s="24"/>
    </row>
    <row r="270" spans="2:39" hidden="1" x14ac:dyDescent="0.2">
      <c r="B270" s="50">
        <v>43690</v>
      </c>
      <c r="C270" s="35">
        <v>0.59444444444444444</v>
      </c>
      <c r="D270" s="35"/>
      <c r="E270" s="35" t="s">
        <v>111</v>
      </c>
      <c r="F270" s="37">
        <v>2</v>
      </c>
      <c r="G270" s="42" t="str">
        <f>VLOOKUP(F270,Key!$A$17:$B$21,2,FALSE)</f>
        <v>Road Vehicle</v>
      </c>
      <c r="H270" s="36">
        <v>4</v>
      </c>
      <c r="I270" s="43" t="str">
        <f>VLOOKUP(H270,Key!$A$2:$B$13,2,FALSE)</f>
        <v>Minibus</v>
      </c>
      <c r="J270" s="37" t="s">
        <v>123</v>
      </c>
      <c r="K270" s="13">
        <v>2</v>
      </c>
      <c r="L270" s="45" t="str">
        <f>VLOOKUP(K270,Key!$A$24:$B$29,2,FALSE)</f>
        <v>30-39</v>
      </c>
      <c r="M270" s="44" t="s">
        <v>31</v>
      </c>
      <c r="N270" s="44" t="s">
        <v>190</v>
      </c>
      <c r="O270" s="37" t="s">
        <v>168</v>
      </c>
      <c r="P270" s="39">
        <v>2</v>
      </c>
      <c r="Q270" s="34" t="str">
        <f>VLOOKUP(P270,Key!$E$2:$F$9,2,FALSE)</f>
        <v>Work</v>
      </c>
      <c r="R270" s="37" t="s">
        <v>31</v>
      </c>
      <c r="S270" s="32" t="s">
        <v>190</v>
      </c>
      <c r="T270" s="37" t="s">
        <v>168</v>
      </c>
      <c r="U270" s="32">
        <v>4</v>
      </c>
      <c r="V270" s="34" t="str">
        <f>VLOOKUP(U270,Key!$E$2:$F$9,2,FALSE)</f>
        <v>Commercial</v>
      </c>
      <c r="W270" s="34" t="str">
        <f t="shared" si="7"/>
        <v>Work-Commercial</v>
      </c>
      <c r="X270" s="47">
        <v>35000</v>
      </c>
      <c r="Y270" s="38">
        <v>20</v>
      </c>
      <c r="Z270" s="38">
        <v>3</v>
      </c>
      <c r="AA270" s="32">
        <v>6</v>
      </c>
      <c r="AB270" s="34" t="str">
        <f>VLOOKUP(AA270,Key!$C$20:$D$29,2,FALSE)</f>
        <v>Businessman</v>
      </c>
      <c r="AC270" s="32">
        <v>2</v>
      </c>
      <c r="AD270" s="34" t="str">
        <f>VLOOKUP(AC270,Key!$E$20:$F$24,2,FALSE)</f>
        <v>300,000-500,000</v>
      </c>
      <c r="AE270" s="32">
        <v>1</v>
      </c>
      <c r="AF270" s="55">
        <v>2</v>
      </c>
      <c r="AG270" s="55">
        <v>1</v>
      </c>
      <c r="AH270" s="55">
        <v>2</v>
      </c>
      <c r="AI270" s="55">
        <v>2</v>
      </c>
      <c r="AJ270" s="39" t="s">
        <v>104</v>
      </c>
      <c r="AK270" s="40">
        <v>2000</v>
      </c>
      <c r="AL270" s="24"/>
      <c r="AM270" s="24"/>
    </row>
    <row r="271" spans="2:39" hidden="1" x14ac:dyDescent="0.2">
      <c r="B271" s="50">
        <v>43689</v>
      </c>
      <c r="C271" s="35">
        <v>0.55208333333333337</v>
      </c>
      <c r="D271" s="35"/>
      <c r="E271" s="35" t="s">
        <v>111</v>
      </c>
      <c r="F271" s="37">
        <v>2</v>
      </c>
      <c r="G271" s="42" t="str">
        <f>VLOOKUP(F271,Key!$A$17:$B$21,2,FALSE)</f>
        <v>Road Vehicle</v>
      </c>
      <c r="H271" s="36">
        <v>4</v>
      </c>
      <c r="I271" s="43" t="str">
        <f>VLOOKUP(H271,Key!$A$2:$B$13,2,FALSE)</f>
        <v>Minibus</v>
      </c>
      <c r="J271" s="37" t="s">
        <v>123</v>
      </c>
      <c r="K271" s="37">
        <v>2</v>
      </c>
      <c r="L271" s="45" t="str">
        <f>VLOOKUP(K271,Key!$A$24:$B$29,2,FALSE)</f>
        <v>30-39</v>
      </c>
      <c r="M271" s="44" t="s">
        <v>187</v>
      </c>
      <c r="N271" s="44" t="s">
        <v>167</v>
      </c>
      <c r="O271" s="37" t="s">
        <v>168</v>
      </c>
      <c r="P271" s="39">
        <v>2</v>
      </c>
      <c r="Q271" s="34" t="str">
        <f>VLOOKUP(P271,Key!$E$2:$F$9,2,FALSE)</f>
        <v>Work</v>
      </c>
      <c r="R271" s="37" t="s">
        <v>214</v>
      </c>
      <c r="S271" s="32" t="s">
        <v>205</v>
      </c>
      <c r="T271" s="37" t="s">
        <v>168</v>
      </c>
      <c r="U271" s="32">
        <v>2</v>
      </c>
      <c r="V271" s="34" t="str">
        <f>VLOOKUP(U271,Key!$E$2:$F$9,2,FALSE)</f>
        <v>Work</v>
      </c>
      <c r="W271" s="34" t="str">
        <f t="shared" si="7"/>
        <v>Work-Work</v>
      </c>
      <c r="X271" s="47">
        <v>20000</v>
      </c>
      <c r="Y271" s="38">
        <v>30</v>
      </c>
      <c r="Z271" s="38">
        <v>0.7</v>
      </c>
      <c r="AA271" s="32">
        <v>10</v>
      </c>
      <c r="AB271" s="34" t="str">
        <f>VLOOKUP(AA271,Key!$C$20:$D$29,2,FALSE)</f>
        <v>Other</v>
      </c>
      <c r="AC271" s="32">
        <v>2</v>
      </c>
      <c r="AD271" s="34" t="str">
        <f>VLOOKUP(AC271,Key!$E$20:$F$24,2,FALSE)</f>
        <v>300,000-500,000</v>
      </c>
      <c r="AE271" s="32">
        <v>1</v>
      </c>
      <c r="AF271" s="55">
        <v>1</v>
      </c>
      <c r="AG271" s="55">
        <v>1</v>
      </c>
      <c r="AH271" s="55">
        <v>1</v>
      </c>
      <c r="AI271" s="55">
        <v>1</v>
      </c>
      <c r="AJ271" s="39" t="s">
        <v>104</v>
      </c>
      <c r="AK271" s="40">
        <v>1000</v>
      </c>
      <c r="AL271" s="24"/>
      <c r="AM271" s="24"/>
    </row>
    <row r="272" spans="2:39" hidden="1" x14ac:dyDescent="0.2">
      <c r="B272" s="50">
        <v>43689</v>
      </c>
      <c r="C272" s="35">
        <v>0.34652777777777777</v>
      </c>
      <c r="D272" s="35"/>
      <c r="E272" s="35" t="s">
        <v>111</v>
      </c>
      <c r="F272" s="37">
        <v>2</v>
      </c>
      <c r="G272" s="42" t="str">
        <f>VLOOKUP(F272,Key!$A$17:$B$21,2,FALSE)</f>
        <v>Road Vehicle</v>
      </c>
      <c r="H272" s="36">
        <v>4</v>
      </c>
      <c r="I272" s="43" t="str">
        <f>VLOOKUP(H272,Key!$A$2:$B$13,2,FALSE)</f>
        <v>Minibus</v>
      </c>
      <c r="J272" s="37" t="s">
        <v>123</v>
      </c>
      <c r="K272" s="37">
        <v>2</v>
      </c>
      <c r="L272" s="45" t="str">
        <f>VLOOKUP(K272,Key!$A$24:$B$29,2,FALSE)</f>
        <v>30-39</v>
      </c>
      <c r="M272" s="37" t="s">
        <v>187</v>
      </c>
      <c r="N272" s="32" t="s">
        <v>167</v>
      </c>
      <c r="O272" s="37" t="s">
        <v>168</v>
      </c>
      <c r="P272" s="39">
        <v>2</v>
      </c>
      <c r="Q272" s="34" t="str">
        <f>VLOOKUP(P272,Key!$E$2:$F$9,2,FALSE)</f>
        <v>Work</v>
      </c>
      <c r="R272" s="37" t="s">
        <v>214</v>
      </c>
      <c r="S272" s="32" t="s">
        <v>205</v>
      </c>
      <c r="T272" s="37" t="s">
        <v>168</v>
      </c>
      <c r="U272" s="32">
        <v>2</v>
      </c>
      <c r="V272" s="34" t="str">
        <f>VLOOKUP(U272,Key!$E$2:$F$9,2,FALSE)</f>
        <v>Work</v>
      </c>
      <c r="W272" s="34" t="str">
        <f t="shared" si="7"/>
        <v>Work-Work</v>
      </c>
      <c r="X272" s="47">
        <v>20000</v>
      </c>
      <c r="Y272" s="38">
        <v>30</v>
      </c>
      <c r="Z272" s="38">
        <v>0.7</v>
      </c>
      <c r="AA272" s="32">
        <v>10</v>
      </c>
      <c r="AB272" s="34" t="str">
        <f>VLOOKUP(AA272,Key!$C$20:$D$29,2,FALSE)</f>
        <v>Other</v>
      </c>
      <c r="AC272" s="32">
        <v>2</v>
      </c>
      <c r="AD272" s="34" t="str">
        <f>VLOOKUP(AC272,Key!$E$20:$F$24,2,FALSE)</f>
        <v>300,000-500,000</v>
      </c>
      <c r="AE272" s="32">
        <v>1</v>
      </c>
      <c r="AF272" s="55">
        <v>1</v>
      </c>
      <c r="AG272" s="55">
        <v>1</v>
      </c>
      <c r="AH272" s="55">
        <v>1</v>
      </c>
      <c r="AI272" s="55">
        <v>1</v>
      </c>
      <c r="AJ272" s="39" t="s">
        <v>104</v>
      </c>
      <c r="AK272" s="40">
        <v>1000</v>
      </c>
      <c r="AL272" s="24"/>
      <c r="AM272" s="24"/>
    </row>
    <row r="273" spans="1:39" hidden="1" x14ac:dyDescent="0.2">
      <c r="B273" s="50">
        <v>43689</v>
      </c>
      <c r="C273" s="35">
        <v>0.35069444444444442</v>
      </c>
      <c r="D273" s="35"/>
      <c r="E273" s="35" t="s">
        <v>111</v>
      </c>
      <c r="F273" s="37">
        <v>2</v>
      </c>
      <c r="G273" s="42" t="str">
        <f>VLOOKUP(F273,Key!$A$17:$B$21,2,FALSE)</f>
        <v>Road Vehicle</v>
      </c>
      <c r="H273" s="36">
        <v>4</v>
      </c>
      <c r="I273" s="43" t="str">
        <f>VLOOKUP(H273,Key!$A$2:$B$13,2,FALSE)</f>
        <v>Minibus</v>
      </c>
      <c r="J273" s="37" t="s">
        <v>123</v>
      </c>
      <c r="K273" s="37">
        <v>2</v>
      </c>
      <c r="L273" s="45" t="str">
        <f>VLOOKUP(K273,Key!$A$24:$B$29,2,FALSE)</f>
        <v>30-39</v>
      </c>
      <c r="M273" s="37" t="s">
        <v>247</v>
      </c>
      <c r="N273" s="32" t="s">
        <v>167</v>
      </c>
      <c r="O273" s="37" t="s">
        <v>168</v>
      </c>
      <c r="P273" s="39">
        <v>2</v>
      </c>
      <c r="Q273" s="34" t="str">
        <f>VLOOKUP(P273,Key!$E$2:$F$9,2,FALSE)</f>
        <v>Work</v>
      </c>
      <c r="R273" s="37" t="s">
        <v>202</v>
      </c>
      <c r="S273" s="32" t="s">
        <v>179</v>
      </c>
      <c r="T273" s="37" t="s">
        <v>168</v>
      </c>
      <c r="U273" s="32">
        <v>2</v>
      </c>
      <c r="V273" s="34" t="str">
        <f>VLOOKUP(U273,Key!$E$2:$F$9,2,FALSE)</f>
        <v>Work</v>
      </c>
      <c r="W273" s="34" t="str">
        <f t="shared" si="7"/>
        <v>Work-Work</v>
      </c>
      <c r="X273" s="47">
        <v>40000</v>
      </c>
      <c r="Y273" s="38">
        <v>30</v>
      </c>
      <c r="Z273" s="38">
        <v>1</v>
      </c>
      <c r="AA273" s="32">
        <v>6</v>
      </c>
      <c r="AB273" s="34" t="str">
        <f>VLOOKUP(AA273,Key!$C$20:$D$29,2,FALSE)</f>
        <v>Businessman</v>
      </c>
      <c r="AC273" s="32">
        <v>1</v>
      </c>
      <c r="AD273" s="34" t="str">
        <f>VLOOKUP(AC273,Key!$E$20:$F$24,2,FALSE)</f>
        <v>&lt;300,000</v>
      </c>
      <c r="AE273" s="32">
        <v>1</v>
      </c>
      <c r="AF273" s="55">
        <v>1</v>
      </c>
      <c r="AG273" s="55">
        <v>1</v>
      </c>
      <c r="AH273" s="55">
        <v>1</v>
      </c>
      <c r="AI273" s="55">
        <v>1</v>
      </c>
      <c r="AJ273" s="39" t="s">
        <v>104</v>
      </c>
      <c r="AK273" s="40">
        <v>1500</v>
      </c>
      <c r="AL273" s="24"/>
      <c r="AM273" s="24"/>
    </row>
    <row r="274" spans="1:39" hidden="1" x14ac:dyDescent="0.2">
      <c r="B274" s="50">
        <v>43689</v>
      </c>
      <c r="C274" s="35">
        <v>0.31944444444444448</v>
      </c>
      <c r="D274" s="35"/>
      <c r="E274" s="35" t="s">
        <v>111</v>
      </c>
      <c r="F274" s="37">
        <v>2</v>
      </c>
      <c r="G274" s="42" t="str">
        <f>VLOOKUP(F274,Key!$A$17:$B$21,2,FALSE)</f>
        <v>Road Vehicle</v>
      </c>
      <c r="H274" s="36">
        <v>4</v>
      </c>
      <c r="I274" s="43" t="str">
        <f>VLOOKUP(H274,Key!$A$2:$B$13,2,FALSE)</f>
        <v>Minibus</v>
      </c>
      <c r="J274" s="37" t="s">
        <v>123</v>
      </c>
      <c r="K274" s="37">
        <v>4</v>
      </c>
      <c r="L274" s="45" t="str">
        <f>VLOOKUP(K274,Key!$A$24:$B$29,2,FALSE)</f>
        <v>50-59</v>
      </c>
      <c r="M274" s="44" t="s">
        <v>179</v>
      </c>
      <c r="N274" s="32" t="s">
        <v>179</v>
      </c>
      <c r="O274" s="37" t="s">
        <v>168</v>
      </c>
      <c r="P274" s="39">
        <v>2</v>
      </c>
      <c r="Q274" s="34" t="str">
        <f>VLOOKUP(P274,Key!$E$2:$F$9,2,FALSE)</f>
        <v>Work</v>
      </c>
      <c r="R274" s="37" t="s">
        <v>179</v>
      </c>
      <c r="S274" s="32" t="s">
        <v>179</v>
      </c>
      <c r="T274" s="37" t="s">
        <v>168</v>
      </c>
      <c r="U274" s="32">
        <v>4</v>
      </c>
      <c r="V274" s="34" t="str">
        <f>VLOOKUP(U274,Key!$E$2:$F$9,2,FALSE)</f>
        <v>Commercial</v>
      </c>
      <c r="W274" s="34" t="str">
        <f t="shared" si="7"/>
        <v>Work-Commercial</v>
      </c>
      <c r="X274" s="47">
        <v>40000</v>
      </c>
      <c r="Y274" s="38">
        <v>30</v>
      </c>
      <c r="Z274" s="38">
        <v>1.5</v>
      </c>
      <c r="AA274" s="32">
        <v>10</v>
      </c>
      <c r="AB274" s="34" t="str">
        <f>VLOOKUP(AA274,Key!$C$20:$D$29,2,FALSE)</f>
        <v>Other</v>
      </c>
      <c r="AC274" s="32">
        <v>1</v>
      </c>
      <c r="AD274" s="34" t="str">
        <f>VLOOKUP(AC274,Key!$E$20:$F$24,2,FALSE)</f>
        <v>&lt;300,000</v>
      </c>
      <c r="AE274" s="32">
        <v>1</v>
      </c>
      <c r="AF274" s="55">
        <v>1</v>
      </c>
      <c r="AG274" s="55">
        <v>2</v>
      </c>
      <c r="AH274" s="55">
        <v>1</v>
      </c>
      <c r="AI274" s="55">
        <v>1</v>
      </c>
      <c r="AJ274" s="39" t="s">
        <v>104</v>
      </c>
      <c r="AK274" s="40"/>
      <c r="AL274" s="24"/>
      <c r="AM274" s="24"/>
    </row>
    <row r="275" spans="1:39" hidden="1" x14ac:dyDescent="0.2">
      <c r="B275" s="50">
        <v>43689</v>
      </c>
      <c r="C275" s="35">
        <v>0.34027777777777773</v>
      </c>
      <c r="D275" s="35"/>
      <c r="E275" s="35" t="s">
        <v>111</v>
      </c>
      <c r="F275" s="37">
        <v>2</v>
      </c>
      <c r="G275" s="42" t="str">
        <f>VLOOKUP(F275,Key!$A$17:$B$21,2,FALSE)</f>
        <v>Road Vehicle</v>
      </c>
      <c r="H275" s="36">
        <v>4</v>
      </c>
      <c r="I275" s="43" t="str">
        <f>VLOOKUP(H275,Key!$A$2:$B$13,2,FALSE)</f>
        <v>Minibus</v>
      </c>
      <c r="J275" s="37" t="s">
        <v>123</v>
      </c>
      <c r="K275" s="37">
        <v>2</v>
      </c>
      <c r="L275" s="45" t="str">
        <f>VLOOKUP(K275,Key!$A$24:$B$29,2,FALSE)</f>
        <v>30-39</v>
      </c>
      <c r="M275" s="37" t="s">
        <v>228</v>
      </c>
      <c r="N275" s="32" t="s">
        <v>167</v>
      </c>
      <c r="O275" s="37" t="s">
        <v>168</v>
      </c>
      <c r="P275" s="39">
        <v>1</v>
      </c>
      <c r="Q275" s="34" t="str">
        <f>VLOOKUP(P275,Key!$E$2:$F$9,2,FALSE)</f>
        <v>Home</v>
      </c>
      <c r="R275" s="37" t="s">
        <v>258</v>
      </c>
      <c r="S275" s="32" t="s">
        <v>190</v>
      </c>
      <c r="T275" s="37" t="s">
        <v>168</v>
      </c>
      <c r="U275" s="32">
        <v>8</v>
      </c>
      <c r="V275" s="34" t="str">
        <f>VLOOKUP(U275,Key!$E$2:$F$9,2,FALSE)</f>
        <v>Others</v>
      </c>
      <c r="W275" s="34" t="str">
        <f t="shared" si="7"/>
        <v>Home-Others</v>
      </c>
      <c r="X275" s="47">
        <v>30000</v>
      </c>
      <c r="Y275" s="38">
        <v>30</v>
      </c>
      <c r="Z275" s="38">
        <v>2</v>
      </c>
      <c r="AA275" s="32">
        <v>3</v>
      </c>
      <c r="AB275" s="34" t="str">
        <f>VLOOKUP(AA275,Key!$C$20:$D$29,2,FALSE)</f>
        <v>Artisan/Domestic</v>
      </c>
      <c r="AC275" s="32">
        <v>1</v>
      </c>
      <c r="AD275" s="34" t="str">
        <f>VLOOKUP(AC275,Key!$E$20:$F$24,2,FALSE)</f>
        <v>&lt;300,000</v>
      </c>
      <c r="AE275" s="32">
        <v>1</v>
      </c>
      <c r="AF275" s="55">
        <v>1</v>
      </c>
      <c r="AG275" s="55">
        <v>2</v>
      </c>
      <c r="AH275" s="55">
        <v>1</v>
      </c>
      <c r="AI275" s="55">
        <v>1</v>
      </c>
      <c r="AJ275" s="39" t="s">
        <v>104</v>
      </c>
      <c r="AK275" s="40">
        <v>2000</v>
      </c>
      <c r="AL275" s="24"/>
      <c r="AM275" s="24"/>
    </row>
    <row r="276" spans="1:39" hidden="1" x14ac:dyDescent="0.2">
      <c r="B276" s="50">
        <v>43689</v>
      </c>
      <c r="C276" s="35">
        <v>0.58402777777777781</v>
      </c>
      <c r="D276" s="35"/>
      <c r="E276" s="35" t="s">
        <v>111</v>
      </c>
      <c r="F276" s="37">
        <v>2</v>
      </c>
      <c r="G276" s="42" t="str">
        <f>VLOOKUP(F276,Key!$A$17:$B$21,2,FALSE)</f>
        <v>Road Vehicle</v>
      </c>
      <c r="H276" s="36">
        <v>4</v>
      </c>
      <c r="I276" s="43" t="str">
        <f>VLOOKUP(H276,Key!$A$2:$B$13,2,FALSE)</f>
        <v>Minibus</v>
      </c>
      <c r="J276" s="37" t="s">
        <v>123</v>
      </c>
      <c r="K276" s="37">
        <v>4</v>
      </c>
      <c r="L276" s="45" t="str">
        <f>VLOOKUP(K276,Key!$A$24:$B$29,2,FALSE)</f>
        <v>50-59</v>
      </c>
      <c r="M276" s="37" t="s">
        <v>247</v>
      </c>
      <c r="N276" s="32" t="s">
        <v>167</v>
      </c>
      <c r="O276" s="37" t="s">
        <v>168</v>
      </c>
      <c r="P276" s="39">
        <v>2</v>
      </c>
      <c r="Q276" s="34" t="str">
        <f>VLOOKUP(P276,Key!$E$2:$F$9,2,FALSE)</f>
        <v>Work</v>
      </c>
      <c r="R276" s="37" t="s">
        <v>179</v>
      </c>
      <c r="S276" s="32" t="s">
        <v>179</v>
      </c>
      <c r="T276" s="37" t="s">
        <v>168</v>
      </c>
      <c r="U276" s="32">
        <v>2</v>
      </c>
      <c r="V276" s="34" t="str">
        <f>VLOOKUP(U276,Key!$E$2:$F$9,2,FALSE)</f>
        <v>Work</v>
      </c>
      <c r="W276" s="34" t="str">
        <f t="shared" si="7"/>
        <v>Work-Work</v>
      </c>
      <c r="X276" s="47">
        <v>40000</v>
      </c>
      <c r="Y276" s="38">
        <v>35</v>
      </c>
      <c r="Z276" s="38">
        <v>1.2</v>
      </c>
      <c r="AA276" s="32">
        <v>10</v>
      </c>
      <c r="AB276" s="34" t="str">
        <f>VLOOKUP(AA276,Key!$C$20:$D$29,2,FALSE)</f>
        <v>Other</v>
      </c>
      <c r="AC276" s="32">
        <v>1</v>
      </c>
      <c r="AD276" s="34" t="str">
        <f>VLOOKUP(AC276,Key!$E$20:$F$24,2,FALSE)</f>
        <v>&lt;300,000</v>
      </c>
      <c r="AE276" s="32">
        <v>1</v>
      </c>
      <c r="AF276" s="55">
        <v>1</v>
      </c>
      <c r="AG276" s="55">
        <v>1</v>
      </c>
      <c r="AH276" s="55">
        <v>1</v>
      </c>
      <c r="AI276" s="55">
        <v>1</v>
      </c>
      <c r="AJ276" s="39" t="s">
        <v>104</v>
      </c>
      <c r="AK276" s="40">
        <v>1000</v>
      </c>
      <c r="AL276" s="24"/>
      <c r="AM276" s="24"/>
    </row>
    <row r="277" spans="1:39" hidden="1" x14ac:dyDescent="0.2">
      <c r="B277" s="50">
        <v>43686</v>
      </c>
      <c r="C277" s="35">
        <v>0.58333333333333337</v>
      </c>
      <c r="D277" s="35"/>
      <c r="E277" s="35" t="s">
        <v>111</v>
      </c>
      <c r="F277" s="37">
        <v>2</v>
      </c>
      <c r="G277" s="42" t="str">
        <f>VLOOKUP(F277,Key!$A$17:$B$21,2,FALSE)</f>
        <v>Road Vehicle</v>
      </c>
      <c r="H277" s="36">
        <v>4</v>
      </c>
      <c r="I277" s="43" t="str">
        <f>VLOOKUP(H277,Key!$A$2:$B$13,2,FALSE)</f>
        <v>Minibus</v>
      </c>
      <c r="J277" s="37" t="s">
        <v>123</v>
      </c>
      <c r="K277" s="37">
        <v>2</v>
      </c>
      <c r="L277" s="45" t="str">
        <f>VLOOKUP(K277,Key!$A$24:$B$29,2,FALSE)</f>
        <v>30-39</v>
      </c>
      <c r="M277" s="37" t="s">
        <v>256</v>
      </c>
      <c r="N277" s="32" t="s">
        <v>167</v>
      </c>
      <c r="O277" s="37" t="s">
        <v>168</v>
      </c>
      <c r="P277" s="39">
        <v>2</v>
      </c>
      <c r="Q277" s="34" t="str">
        <f>VLOOKUP(P277,Key!$E$2:$F$9,2,FALSE)</f>
        <v>Work</v>
      </c>
      <c r="R277" s="37" t="s">
        <v>179</v>
      </c>
      <c r="S277" s="32" t="s">
        <v>179</v>
      </c>
      <c r="T277" s="37" t="s">
        <v>168</v>
      </c>
      <c r="U277" s="32">
        <v>2</v>
      </c>
      <c r="V277" s="34" t="str">
        <f>VLOOKUP(U277,Key!$E$2:$F$9,2,FALSE)</f>
        <v>Work</v>
      </c>
      <c r="W277" s="34" t="str">
        <f t="shared" si="7"/>
        <v>Work-Work</v>
      </c>
      <c r="X277" s="47">
        <v>40000</v>
      </c>
      <c r="Y277" s="38">
        <v>38</v>
      </c>
      <c r="Z277" s="38">
        <v>1</v>
      </c>
      <c r="AA277" s="32">
        <v>10</v>
      </c>
      <c r="AB277" s="34" t="str">
        <f>VLOOKUP(AA277,Key!$C$20:$D$29,2,FALSE)</f>
        <v>Other</v>
      </c>
      <c r="AC277" s="32">
        <v>2</v>
      </c>
      <c r="AD277" s="34" t="str">
        <f>VLOOKUP(AC277,Key!$E$20:$F$24,2,FALSE)</f>
        <v>300,000-500,000</v>
      </c>
      <c r="AE277" s="32">
        <v>1</v>
      </c>
      <c r="AF277" s="55">
        <v>1</v>
      </c>
      <c r="AG277" s="55">
        <v>1</v>
      </c>
      <c r="AH277" s="55">
        <v>1</v>
      </c>
      <c r="AI277" s="55">
        <v>1</v>
      </c>
      <c r="AJ277" s="39" t="s">
        <v>104</v>
      </c>
      <c r="AK277" s="40">
        <v>1000</v>
      </c>
      <c r="AL277" s="24"/>
      <c r="AM277" s="24"/>
    </row>
    <row r="278" spans="1:39" hidden="1" x14ac:dyDescent="0.2">
      <c r="B278" s="50">
        <v>43686</v>
      </c>
      <c r="C278" s="35">
        <v>0.60416666666666663</v>
      </c>
      <c r="D278" s="35"/>
      <c r="E278" s="35" t="s">
        <v>111</v>
      </c>
      <c r="F278" s="37">
        <v>2</v>
      </c>
      <c r="G278" s="42" t="str">
        <f>VLOOKUP(F278,Key!$A$17:$B$21,2,FALSE)</f>
        <v>Road Vehicle</v>
      </c>
      <c r="H278" s="36">
        <v>4</v>
      </c>
      <c r="I278" s="43" t="str">
        <f>VLOOKUP(H278,Key!$A$2:$B$13,2,FALSE)</f>
        <v>Minibus</v>
      </c>
      <c r="J278" s="37" t="s">
        <v>123</v>
      </c>
      <c r="K278" s="37">
        <v>3</v>
      </c>
      <c r="L278" s="45" t="str">
        <f>VLOOKUP(K278,Key!$A$24:$B$29,2,FALSE)</f>
        <v>40-49</v>
      </c>
      <c r="M278" s="37" t="s">
        <v>349</v>
      </c>
      <c r="N278" s="32" t="s">
        <v>167</v>
      </c>
      <c r="O278" s="37" t="s">
        <v>168</v>
      </c>
      <c r="P278" s="39">
        <v>2</v>
      </c>
      <c r="Q278" s="34" t="str">
        <f>VLOOKUP(P278,Key!$E$2:$F$9,2,FALSE)</f>
        <v>Work</v>
      </c>
      <c r="R278" s="37" t="s">
        <v>179</v>
      </c>
      <c r="S278" s="32" t="s">
        <v>179</v>
      </c>
      <c r="T278" s="37" t="s">
        <v>168</v>
      </c>
      <c r="U278" s="32">
        <v>2</v>
      </c>
      <c r="V278" s="34" t="str">
        <f>VLOOKUP(U278,Key!$E$2:$F$9,2,FALSE)</f>
        <v>Work</v>
      </c>
      <c r="W278" s="34" t="str">
        <f t="shared" si="7"/>
        <v>Work-Work</v>
      </c>
      <c r="X278" s="47">
        <v>25000</v>
      </c>
      <c r="Y278" s="38">
        <v>38</v>
      </c>
      <c r="Z278" s="38">
        <v>1</v>
      </c>
      <c r="AA278" s="32">
        <v>10</v>
      </c>
      <c r="AB278" s="34" t="str">
        <f>VLOOKUP(AA278,Key!$C$20:$D$29,2,FALSE)</f>
        <v>Other</v>
      </c>
      <c r="AC278" s="32">
        <v>2</v>
      </c>
      <c r="AD278" s="34" t="str">
        <f>VLOOKUP(AC278,Key!$E$20:$F$24,2,FALSE)</f>
        <v>300,000-500,000</v>
      </c>
      <c r="AE278" s="32">
        <v>1</v>
      </c>
      <c r="AF278" s="55">
        <v>1</v>
      </c>
      <c r="AG278" s="55">
        <v>2</v>
      </c>
      <c r="AH278" s="55">
        <v>1</v>
      </c>
      <c r="AI278" s="55">
        <v>1</v>
      </c>
      <c r="AJ278" s="39" t="s">
        <v>104</v>
      </c>
      <c r="AK278" s="40">
        <v>1000</v>
      </c>
      <c r="AL278" s="24"/>
      <c r="AM278" s="24"/>
    </row>
    <row r="279" spans="1:39" hidden="1" x14ac:dyDescent="0.2">
      <c r="B279" s="50">
        <v>43686</v>
      </c>
      <c r="C279" s="35">
        <v>0.71875</v>
      </c>
      <c r="D279" s="35"/>
      <c r="E279" s="35" t="s">
        <v>111</v>
      </c>
      <c r="F279" s="37">
        <v>2</v>
      </c>
      <c r="G279" s="42" t="str">
        <f>VLOOKUP(F279,Key!$A$17:$B$21,2,FALSE)</f>
        <v>Road Vehicle</v>
      </c>
      <c r="H279" s="36">
        <v>4</v>
      </c>
      <c r="I279" s="43" t="str">
        <f>VLOOKUP(H279,Key!$A$2:$B$13,2,FALSE)</f>
        <v>Minibus</v>
      </c>
      <c r="J279" s="37" t="s">
        <v>123</v>
      </c>
      <c r="K279" s="37">
        <v>3</v>
      </c>
      <c r="L279" s="45" t="str">
        <f>VLOOKUP(K279,Key!$A$24:$B$29,2,FALSE)</f>
        <v>40-49</v>
      </c>
      <c r="M279" s="37" t="s">
        <v>247</v>
      </c>
      <c r="N279" s="32" t="s">
        <v>167</v>
      </c>
      <c r="O279" s="37" t="s">
        <v>168</v>
      </c>
      <c r="P279" s="39">
        <v>2</v>
      </c>
      <c r="Q279" s="34" t="str">
        <f>VLOOKUP(P279,Key!$E$2:$F$9,2,FALSE)</f>
        <v>Work</v>
      </c>
      <c r="R279" s="37" t="s">
        <v>207</v>
      </c>
      <c r="S279" s="32" t="s">
        <v>205</v>
      </c>
      <c r="T279" s="37" t="s">
        <v>168</v>
      </c>
      <c r="U279" s="32">
        <v>4</v>
      </c>
      <c r="V279" s="34" t="str">
        <f>VLOOKUP(U279,Key!$E$2:$F$9,2,FALSE)</f>
        <v>Commercial</v>
      </c>
      <c r="W279" s="34" t="str">
        <f t="shared" si="7"/>
        <v>Work-Commercial</v>
      </c>
      <c r="X279" s="47">
        <v>70000</v>
      </c>
      <c r="Y279" s="38">
        <v>38</v>
      </c>
      <c r="Z279" s="38">
        <v>2</v>
      </c>
      <c r="AA279" s="32">
        <v>10</v>
      </c>
      <c r="AB279" s="34" t="str">
        <f>VLOOKUP(AA279,Key!$C$20:$D$29,2,FALSE)</f>
        <v>Other</v>
      </c>
      <c r="AC279" s="32">
        <v>2</v>
      </c>
      <c r="AD279" s="34" t="str">
        <f>VLOOKUP(AC279,Key!$E$20:$F$24,2,FALSE)</f>
        <v>300,000-500,000</v>
      </c>
      <c r="AE279" s="32">
        <v>1</v>
      </c>
      <c r="AF279" s="55">
        <v>1</v>
      </c>
      <c r="AG279" s="55">
        <v>2</v>
      </c>
      <c r="AH279" s="55">
        <v>1</v>
      </c>
      <c r="AI279" s="55">
        <v>1</v>
      </c>
      <c r="AJ279" s="39" t="s">
        <v>104</v>
      </c>
      <c r="AK279" s="40">
        <v>2000</v>
      </c>
      <c r="AL279" s="24"/>
      <c r="AM279" s="24"/>
    </row>
    <row r="280" spans="1:39" hidden="1" x14ac:dyDescent="0.2">
      <c r="A280" s="10"/>
      <c r="B280" s="50">
        <v>43686</v>
      </c>
      <c r="C280" s="35">
        <v>0.67152777777777783</v>
      </c>
      <c r="D280" s="35"/>
      <c r="E280" s="35" t="s">
        <v>111</v>
      </c>
      <c r="F280" s="37">
        <v>2</v>
      </c>
      <c r="G280" s="42" t="str">
        <f>VLOOKUP(F280,Key!$A$17:$B$21,2,FALSE)</f>
        <v>Road Vehicle</v>
      </c>
      <c r="H280" s="36">
        <v>4</v>
      </c>
      <c r="I280" s="43" t="str">
        <f>VLOOKUP(H280,Key!$A$2:$B$13,2,FALSE)</f>
        <v>Minibus</v>
      </c>
      <c r="J280" s="37" t="s">
        <v>123</v>
      </c>
      <c r="K280" s="13">
        <v>2</v>
      </c>
      <c r="L280" s="45" t="str">
        <f>VLOOKUP(K280,Key!$A$24:$B$29,2,FALSE)</f>
        <v>30-39</v>
      </c>
      <c r="M280" s="44" t="s">
        <v>179</v>
      </c>
      <c r="N280" s="44" t="s">
        <v>179</v>
      </c>
      <c r="O280" s="37" t="s">
        <v>168</v>
      </c>
      <c r="P280" s="39">
        <v>2</v>
      </c>
      <c r="Q280" s="34" t="str">
        <f>VLOOKUP(P280,Key!$E$2:$F$9,2,FALSE)</f>
        <v>Work</v>
      </c>
      <c r="R280" s="37" t="s">
        <v>179</v>
      </c>
      <c r="S280" s="32" t="s">
        <v>179</v>
      </c>
      <c r="T280" s="37" t="s">
        <v>168</v>
      </c>
      <c r="U280" s="32">
        <v>4</v>
      </c>
      <c r="V280" s="34" t="str">
        <f>VLOOKUP(U280,Key!$E$2:$F$9,2,FALSE)</f>
        <v>Commercial</v>
      </c>
      <c r="W280" s="34" t="str">
        <f t="shared" si="7"/>
        <v>Work-Commercial</v>
      </c>
      <c r="X280" s="47">
        <v>25000</v>
      </c>
      <c r="Y280" s="38">
        <v>40</v>
      </c>
      <c r="Z280" s="38">
        <v>1</v>
      </c>
      <c r="AA280" s="32">
        <v>10</v>
      </c>
      <c r="AB280" s="34" t="str">
        <f>VLOOKUP(AA280,Key!$C$20:$D$29,2,FALSE)</f>
        <v>Other</v>
      </c>
      <c r="AC280" s="32">
        <v>1</v>
      </c>
      <c r="AD280" s="34" t="str">
        <f>VLOOKUP(AC280,Key!$E$20:$F$24,2,FALSE)</f>
        <v>&lt;300,000</v>
      </c>
      <c r="AE280" s="32">
        <v>1</v>
      </c>
      <c r="AF280" s="55">
        <v>1</v>
      </c>
      <c r="AG280" s="55">
        <v>1</v>
      </c>
      <c r="AH280" s="55">
        <v>1</v>
      </c>
      <c r="AI280" s="55">
        <v>1</v>
      </c>
      <c r="AJ280" s="39" t="s">
        <v>104</v>
      </c>
      <c r="AK280" s="40">
        <v>1000</v>
      </c>
      <c r="AL280" s="24"/>
      <c r="AM280" s="24"/>
    </row>
    <row r="281" spans="1:39" hidden="1" x14ac:dyDescent="0.2">
      <c r="B281" s="50">
        <v>43686</v>
      </c>
      <c r="C281" s="35">
        <v>0.58333333333333337</v>
      </c>
      <c r="D281" s="35"/>
      <c r="E281" s="35" t="s">
        <v>111</v>
      </c>
      <c r="F281" s="37">
        <v>2</v>
      </c>
      <c r="G281" s="42" t="str">
        <f>VLOOKUP(F281,Key!$A$17:$B$21,2,FALSE)</f>
        <v>Road Vehicle</v>
      </c>
      <c r="H281" s="36">
        <v>4</v>
      </c>
      <c r="I281" s="43" t="str">
        <f>VLOOKUP(H281,Key!$A$2:$B$13,2,FALSE)</f>
        <v>Minibus</v>
      </c>
      <c r="J281" s="37" t="s">
        <v>123</v>
      </c>
      <c r="K281" s="13">
        <v>1</v>
      </c>
      <c r="L281" s="45" t="str">
        <f>VLOOKUP(K281,Key!$A$24:$B$29,2,FALSE)</f>
        <v>20-29</v>
      </c>
      <c r="M281" s="44" t="s">
        <v>170</v>
      </c>
      <c r="N281" s="32" t="s">
        <v>170</v>
      </c>
      <c r="O281" s="37" t="s">
        <v>168</v>
      </c>
      <c r="P281" s="39">
        <v>1</v>
      </c>
      <c r="Q281" s="34" t="str">
        <f>VLOOKUP(P281,Key!$E$2:$F$9,2,FALSE)</f>
        <v>Home</v>
      </c>
      <c r="R281" s="37" t="s">
        <v>167</v>
      </c>
      <c r="S281" s="32" t="s">
        <v>167</v>
      </c>
      <c r="T281" s="37" t="s">
        <v>168</v>
      </c>
      <c r="U281" s="32">
        <v>2</v>
      </c>
      <c r="V281" s="34" t="str">
        <f>VLOOKUP(U281,Key!$E$2:$F$9,2,FALSE)</f>
        <v>Work</v>
      </c>
      <c r="W281" s="34" t="str">
        <f t="shared" si="7"/>
        <v>Home-Work</v>
      </c>
      <c r="X281" s="47">
        <v>25000</v>
      </c>
      <c r="Y281" s="38">
        <v>40</v>
      </c>
      <c r="Z281" s="38">
        <v>1</v>
      </c>
      <c r="AA281" s="32">
        <v>10</v>
      </c>
      <c r="AB281" s="34" t="str">
        <f>VLOOKUP(AA281,Key!$C$20:$D$29,2,FALSE)</f>
        <v>Other</v>
      </c>
      <c r="AC281" s="32">
        <v>2</v>
      </c>
      <c r="AD281" s="34" t="str">
        <f>VLOOKUP(AC281,Key!$E$20:$F$24,2,FALSE)</f>
        <v>300,000-500,000</v>
      </c>
      <c r="AE281" s="32">
        <v>2</v>
      </c>
      <c r="AF281" s="55">
        <v>3</v>
      </c>
      <c r="AG281" s="55">
        <v>4</v>
      </c>
      <c r="AH281" s="55">
        <v>1</v>
      </c>
      <c r="AI281" s="55">
        <v>5</v>
      </c>
      <c r="AJ281" s="39" t="s">
        <v>104</v>
      </c>
      <c r="AK281" s="40">
        <v>3000</v>
      </c>
      <c r="AL281" s="24"/>
      <c r="AM281" s="24"/>
    </row>
    <row r="282" spans="1:39" hidden="1" x14ac:dyDescent="0.2">
      <c r="B282" s="50">
        <v>43686</v>
      </c>
      <c r="C282" s="35">
        <v>0.60416666666666663</v>
      </c>
      <c r="D282" s="35"/>
      <c r="E282" s="35" t="s">
        <v>111</v>
      </c>
      <c r="F282" s="37">
        <v>2</v>
      </c>
      <c r="G282" s="42" t="str">
        <f>VLOOKUP(F282,Key!$A$17:$B$21,2,FALSE)</f>
        <v>Road Vehicle</v>
      </c>
      <c r="H282" s="36">
        <v>4</v>
      </c>
      <c r="I282" s="43" t="str">
        <f>VLOOKUP(H282,Key!$A$2:$B$13,2,FALSE)</f>
        <v>Minibus</v>
      </c>
      <c r="J282" s="37" t="s">
        <v>123</v>
      </c>
      <c r="K282" s="37">
        <v>1</v>
      </c>
      <c r="L282" s="45" t="str">
        <f>VLOOKUP(K282,Key!$A$24:$B$29,2,FALSE)</f>
        <v>20-29</v>
      </c>
      <c r="M282" s="37" t="s">
        <v>187</v>
      </c>
      <c r="N282" s="32" t="s">
        <v>167</v>
      </c>
      <c r="O282" s="37" t="s">
        <v>168</v>
      </c>
      <c r="P282" s="39">
        <v>2</v>
      </c>
      <c r="Q282" s="34" t="str">
        <f>VLOOKUP(P282,Key!$E$2:$F$9,2,FALSE)</f>
        <v>Work</v>
      </c>
      <c r="R282" s="37" t="s">
        <v>190</v>
      </c>
      <c r="S282" s="32" t="s">
        <v>190</v>
      </c>
      <c r="T282" s="37" t="s">
        <v>168</v>
      </c>
      <c r="U282" s="32">
        <v>2</v>
      </c>
      <c r="V282" s="34" t="str">
        <f>VLOOKUP(U282,Key!$E$2:$F$9,2,FALSE)</f>
        <v>Work</v>
      </c>
      <c r="W282" s="34" t="str">
        <f t="shared" si="7"/>
        <v>Work-Work</v>
      </c>
      <c r="X282" s="47">
        <v>30000</v>
      </c>
      <c r="Y282" s="38">
        <v>40</v>
      </c>
      <c r="Z282" s="38">
        <v>1.5</v>
      </c>
      <c r="AA282" s="32">
        <v>10</v>
      </c>
      <c r="AB282" s="34" t="str">
        <f>VLOOKUP(AA282,Key!$C$20:$D$29,2,FALSE)</f>
        <v>Other</v>
      </c>
      <c r="AC282" s="32">
        <v>1</v>
      </c>
      <c r="AD282" s="34" t="str">
        <f>VLOOKUP(AC282,Key!$E$20:$F$24,2,FALSE)</f>
        <v>&lt;300,000</v>
      </c>
      <c r="AE282" s="32">
        <v>1</v>
      </c>
      <c r="AF282" s="55">
        <v>1</v>
      </c>
      <c r="AG282" s="55">
        <v>1</v>
      </c>
      <c r="AH282" s="55">
        <v>1</v>
      </c>
      <c r="AI282" s="55">
        <v>1</v>
      </c>
      <c r="AJ282" s="39" t="s">
        <v>104</v>
      </c>
      <c r="AK282" s="40"/>
      <c r="AL282" s="24"/>
      <c r="AM282" s="24"/>
    </row>
    <row r="283" spans="1:39" hidden="1" x14ac:dyDescent="0.2">
      <c r="B283" s="50">
        <v>43686</v>
      </c>
      <c r="C283" s="35">
        <v>0.71875</v>
      </c>
      <c r="D283" s="35"/>
      <c r="E283" s="35" t="s">
        <v>111</v>
      </c>
      <c r="F283" s="37">
        <v>2</v>
      </c>
      <c r="G283" s="42" t="str">
        <f>VLOOKUP(F283,Key!$A$17:$B$21,2,FALSE)</f>
        <v>Road Vehicle</v>
      </c>
      <c r="H283" s="36">
        <v>4</v>
      </c>
      <c r="I283" s="43" t="str">
        <f>VLOOKUP(H283,Key!$A$2:$B$13,2,FALSE)</f>
        <v>Minibus</v>
      </c>
      <c r="J283" s="37" t="s">
        <v>123</v>
      </c>
      <c r="K283" s="13">
        <v>2</v>
      </c>
      <c r="L283" s="45" t="str">
        <f>VLOOKUP(K283,Key!$A$24:$B$29,2,FALSE)</f>
        <v>30-39</v>
      </c>
      <c r="M283" s="44" t="s">
        <v>167</v>
      </c>
      <c r="N283" s="44" t="s">
        <v>167</v>
      </c>
      <c r="O283" s="37" t="s">
        <v>168</v>
      </c>
      <c r="P283" s="39">
        <v>2</v>
      </c>
      <c r="Q283" s="34" t="str">
        <f>VLOOKUP(P283,Key!$E$2:$F$9,2,FALSE)</f>
        <v>Work</v>
      </c>
      <c r="R283" s="37" t="s">
        <v>191</v>
      </c>
      <c r="S283" s="32" t="s">
        <v>179</v>
      </c>
      <c r="T283" s="37" t="s">
        <v>168</v>
      </c>
      <c r="U283" s="32">
        <v>4</v>
      </c>
      <c r="V283" s="34" t="str">
        <f>VLOOKUP(U283,Key!$E$2:$F$9,2,FALSE)</f>
        <v>Commercial</v>
      </c>
      <c r="W283" s="34" t="str">
        <f t="shared" si="7"/>
        <v>Work-Commercial</v>
      </c>
      <c r="X283" s="47">
        <v>30000</v>
      </c>
      <c r="Y283" s="38">
        <v>40</v>
      </c>
      <c r="Z283" s="38">
        <v>1.5</v>
      </c>
      <c r="AA283" s="32">
        <v>10</v>
      </c>
      <c r="AB283" s="34" t="str">
        <f>VLOOKUP(AA283,Key!$C$20:$D$29,2,FALSE)</f>
        <v>Other</v>
      </c>
      <c r="AC283" s="32">
        <v>2</v>
      </c>
      <c r="AD283" s="34" t="str">
        <f>VLOOKUP(AC283,Key!$E$20:$F$24,2,FALSE)</f>
        <v>300,000-500,000</v>
      </c>
      <c r="AE283" s="32">
        <v>1</v>
      </c>
      <c r="AF283" s="55">
        <v>2</v>
      </c>
      <c r="AG283" s="55">
        <v>1</v>
      </c>
      <c r="AH283" s="55">
        <v>1</v>
      </c>
      <c r="AI283" s="55">
        <v>1</v>
      </c>
      <c r="AJ283" s="39" t="s">
        <v>104</v>
      </c>
      <c r="AK283" s="40">
        <v>500</v>
      </c>
      <c r="AL283" s="24"/>
      <c r="AM283" s="24"/>
    </row>
    <row r="284" spans="1:39" hidden="1" x14ac:dyDescent="0.2">
      <c r="B284" s="50">
        <v>43686</v>
      </c>
      <c r="C284" s="35">
        <v>0.63680555555555551</v>
      </c>
      <c r="D284" s="35"/>
      <c r="E284" s="35" t="s">
        <v>111</v>
      </c>
      <c r="F284" s="37">
        <v>2</v>
      </c>
      <c r="G284" s="42" t="str">
        <f>VLOOKUP(F284,Key!$A$17:$B$21,2,FALSE)</f>
        <v>Road Vehicle</v>
      </c>
      <c r="H284" s="36">
        <v>4</v>
      </c>
      <c r="I284" s="43" t="str">
        <f>VLOOKUP(H284,Key!$A$2:$B$13,2,FALSE)</f>
        <v>Minibus</v>
      </c>
      <c r="J284" s="37" t="s">
        <v>123</v>
      </c>
      <c r="K284" s="37">
        <v>2</v>
      </c>
      <c r="L284" s="45" t="str">
        <f>VLOOKUP(K284,Key!$A$24:$B$29,2,FALSE)</f>
        <v>30-39</v>
      </c>
      <c r="M284" s="37" t="s">
        <v>179</v>
      </c>
      <c r="N284" s="32" t="s">
        <v>179</v>
      </c>
      <c r="O284" s="37" t="s">
        <v>168</v>
      </c>
      <c r="P284" s="39">
        <v>2</v>
      </c>
      <c r="Q284" s="34" t="str">
        <f>VLOOKUP(P284,Key!$E$2:$F$9,2,FALSE)</f>
        <v>Work</v>
      </c>
      <c r="R284" s="37" t="s">
        <v>352</v>
      </c>
      <c r="S284" s="32" t="s">
        <v>167</v>
      </c>
      <c r="T284" s="37" t="s">
        <v>168</v>
      </c>
      <c r="U284" s="32">
        <v>4</v>
      </c>
      <c r="V284" s="34" t="str">
        <f>VLOOKUP(U284,Key!$E$2:$F$9,2,FALSE)</f>
        <v>Commercial</v>
      </c>
      <c r="W284" s="34" t="str">
        <f t="shared" si="7"/>
        <v>Work-Commercial</v>
      </c>
      <c r="X284" s="47">
        <v>30000</v>
      </c>
      <c r="Y284" s="38">
        <v>40</v>
      </c>
      <c r="Z284" s="38">
        <v>1.5</v>
      </c>
      <c r="AA284" s="32">
        <v>7</v>
      </c>
      <c r="AB284" s="34" t="str">
        <f>VLOOKUP(AA284,Key!$C$20:$D$29,2,FALSE)</f>
        <v>Farmer</v>
      </c>
      <c r="AC284" s="32">
        <v>2</v>
      </c>
      <c r="AD284" s="34" t="str">
        <f>VLOOKUP(AC284,Key!$E$20:$F$24,2,FALSE)</f>
        <v>300,000-500,000</v>
      </c>
      <c r="AE284" s="32">
        <v>1</v>
      </c>
      <c r="AF284" s="55">
        <v>1</v>
      </c>
      <c r="AG284" s="55">
        <v>2</v>
      </c>
      <c r="AH284" s="55">
        <v>1</v>
      </c>
      <c r="AI284" s="55">
        <v>2</v>
      </c>
      <c r="AJ284" s="39" t="s">
        <v>104</v>
      </c>
      <c r="AK284" s="40">
        <v>1000</v>
      </c>
      <c r="AL284" s="24"/>
      <c r="AM284" s="24"/>
    </row>
    <row r="285" spans="1:39" hidden="1" x14ac:dyDescent="0.2">
      <c r="B285" s="50">
        <v>43687</v>
      </c>
      <c r="C285" s="35">
        <v>0.3743055555555555</v>
      </c>
      <c r="D285" s="35"/>
      <c r="E285" s="35" t="s">
        <v>111</v>
      </c>
      <c r="F285" s="37">
        <v>2</v>
      </c>
      <c r="G285" s="42" t="str">
        <f>VLOOKUP(F285,Key!$A$17:$B$21,2,FALSE)</f>
        <v>Road Vehicle</v>
      </c>
      <c r="H285" s="36">
        <v>4</v>
      </c>
      <c r="I285" s="43" t="str">
        <f>VLOOKUP(H285,Key!$A$2:$B$13,2,FALSE)</f>
        <v>Minibus</v>
      </c>
      <c r="J285" s="37" t="s">
        <v>123</v>
      </c>
      <c r="K285" s="13">
        <v>3</v>
      </c>
      <c r="L285" s="45" t="str">
        <f>VLOOKUP(K285,Key!$A$24:$B$29,2,FALSE)</f>
        <v>40-49</v>
      </c>
      <c r="M285" s="44" t="s">
        <v>179</v>
      </c>
      <c r="N285" s="44" t="s">
        <v>179</v>
      </c>
      <c r="O285" s="37" t="s">
        <v>168</v>
      </c>
      <c r="P285" s="39">
        <v>2</v>
      </c>
      <c r="Q285" s="34" t="str">
        <f>VLOOKUP(P285,Key!$E$2:$F$9,2,FALSE)</f>
        <v>Work</v>
      </c>
      <c r="R285" s="37" t="s">
        <v>179</v>
      </c>
      <c r="S285" s="32" t="s">
        <v>179</v>
      </c>
      <c r="T285" s="37" t="s">
        <v>168</v>
      </c>
      <c r="U285" s="32">
        <v>4</v>
      </c>
      <c r="V285" s="34" t="str">
        <f>VLOOKUP(U285,Key!$E$2:$F$9,2,FALSE)</f>
        <v>Commercial</v>
      </c>
      <c r="W285" s="34" t="str">
        <f t="shared" si="7"/>
        <v>Work-Commercial</v>
      </c>
      <c r="X285" s="47">
        <v>40000</v>
      </c>
      <c r="Y285" s="38">
        <v>40</v>
      </c>
      <c r="Z285" s="38">
        <v>1.5</v>
      </c>
      <c r="AA285" s="32">
        <v>10</v>
      </c>
      <c r="AB285" s="34" t="str">
        <f>VLOOKUP(AA285,Key!$C$20:$D$29,2,FALSE)</f>
        <v>Other</v>
      </c>
      <c r="AC285" s="32">
        <v>2</v>
      </c>
      <c r="AD285" s="34" t="str">
        <f>VLOOKUP(AC285,Key!$E$20:$F$24,2,FALSE)</f>
        <v>300,000-500,000</v>
      </c>
      <c r="AE285" s="32">
        <v>1</v>
      </c>
      <c r="AF285" s="55">
        <v>1</v>
      </c>
      <c r="AG285" s="55">
        <v>1</v>
      </c>
      <c r="AH285" s="55">
        <v>1</v>
      </c>
      <c r="AI285" s="55">
        <v>1</v>
      </c>
      <c r="AJ285" s="39" t="s">
        <v>104</v>
      </c>
      <c r="AK285" s="40"/>
      <c r="AL285" s="24"/>
      <c r="AM285" s="24"/>
    </row>
    <row r="286" spans="1:39" hidden="1" x14ac:dyDescent="0.2">
      <c r="B286" s="50">
        <v>43687</v>
      </c>
      <c r="C286" s="35">
        <v>0.38194444444444442</v>
      </c>
      <c r="D286" s="35"/>
      <c r="E286" s="35" t="s">
        <v>111</v>
      </c>
      <c r="F286" s="37">
        <v>2</v>
      </c>
      <c r="G286" s="42" t="str">
        <f>VLOOKUP(F286,Key!$A$17:$B$21,2,FALSE)</f>
        <v>Road Vehicle</v>
      </c>
      <c r="H286" s="36">
        <v>4</v>
      </c>
      <c r="I286" s="43" t="str">
        <f>VLOOKUP(H286,Key!$A$2:$B$13,2,FALSE)</f>
        <v>Minibus</v>
      </c>
      <c r="J286" s="37" t="s">
        <v>123</v>
      </c>
      <c r="K286" s="37">
        <v>3</v>
      </c>
      <c r="L286" s="45" t="str">
        <f>VLOOKUP(K286,Key!$A$24:$B$29,2,FALSE)</f>
        <v>40-49</v>
      </c>
      <c r="M286" s="37" t="s">
        <v>247</v>
      </c>
      <c r="N286" s="32" t="s">
        <v>167</v>
      </c>
      <c r="O286" s="37" t="s">
        <v>168</v>
      </c>
      <c r="P286" s="39">
        <v>2</v>
      </c>
      <c r="Q286" s="34" t="str">
        <f>VLOOKUP(P286,Key!$E$2:$F$9,2,FALSE)</f>
        <v>Work</v>
      </c>
      <c r="R286" s="37" t="s">
        <v>348</v>
      </c>
      <c r="S286" s="32" t="s">
        <v>190</v>
      </c>
      <c r="T286" s="37" t="s">
        <v>168</v>
      </c>
      <c r="U286" s="32">
        <v>2</v>
      </c>
      <c r="V286" s="34" t="str">
        <f>VLOOKUP(U286,Key!$E$2:$F$9,2,FALSE)</f>
        <v>Work</v>
      </c>
      <c r="W286" s="34" t="str">
        <f t="shared" si="7"/>
        <v>Work-Work</v>
      </c>
      <c r="X286" s="47">
        <v>50000</v>
      </c>
      <c r="Y286" s="38">
        <v>40</v>
      </c>
      <c r="Z286" s="38">
        <v>1.5</v>
      </c>
      <c r="AA286" s="32">
        <v>10</v>
      </c>
      <c r="AB286" s="34" t="str">
        <f>VLOOKUP(AA286,Key!$C$20:$D$29,2,FALSE)</f>
        <v>Other</v>
      </c>
      <c r="AC286" s="32">
        <v>2</v>
      </c>
      <c r="AD286" s="34" t="str">
        <f>VLOOKUP(AC286,Key!$E$20:$F$24,2,FALSE)</f>
        <v>300,000-500,000</v>
      </c>
      <c r="AE286" s="32">
        <v>1</v>
      </c>
      <c r="AF286" s="55">
        <v>1</v>
      </c>
      <c r="AG286" s="55">
        <v>2</v>
      </c>
      <c r="AH286" s="55">
        <v>1</v>
      </c>
      <c r="AI286" s="55">
        <v>1</v>
      </c>
      <c r="AJ286" s="39" t="s">
        <v>104</v>
      </c>
      <c r="AK286" s="40">
        <v>1500</v>
      </c>
      <c r="AL286" s="24"/>
      <c r="AM286" s="24"/>
    </row>
    <row r="287" spans="1:39" hidden="1" x14ac:dyDescent="0.2">
      <c r="B287" s="50">
        <v>43687</v>
      </c>
      <c r="C287" s="35">
        <v>0.32430555555555557</v>
      </c>
      <c r="D287" s="35"/>
      <c r="E287" s="35" t="s">
        <v>111</v>
      </c>
      <c r="F287" s="37">
        <v>2</v>
      </c>
      <c r="G287" s="42" t="str">
        <f>VLOOKUP(F287,Key!$A$17:$B$21,2,FALSE)</f>
        <v>Road Vehicle</v>
      </c>
      <c r="H287" s="36">
        <v>4</v>
      </c>
      <c r="I287" s="43" t="str">
        <f>VLOOKUP(H287,Key!$A$2:$B$13,2,FALSE)</f>
        <v>Minibus</v>
      </c>
      <c r="J287" s="37" t="s">
        <v>123</v>
      </c>
      <c r="K287" s="37">
        <v>1</v>
      </c>
      <c r="L287" s="45" t="str">
        <f>VLOOKUP(K287,Key!$A$24:$B$29,2,FALSE)</f>
        <v>20-29</v>
      </c>
      <c r="M287" s="37" t="s">
        <v>350</v>
      </c>
      <c r="N287" s="32" t="s">
        <v>167</v>
      </c>
      <c r="O287" s="37" t="s">
        <v>168</v>
      </c>
      <c r="P287" s="39">
        <v>4</v>
      </c>
      <c r="Q287" s="34" t="str">
        <f>VLOOKUP(P287,Key!$E$2:$F$9,2,FALSE)</f>
        <v>Commercial</v>
      </c>
      <c r="R287" s="37" t="s">
        <v>173</v>
      </c>
      <c r="S287" s="32" t="s">
        <v>173</v>
      </c>
      <c r="T287" s="37" t="s">
        <v>168</v>
      </c>
      <c r="U287" s="32">
        <v>4</v>
      </c>
      <c r="V287" s="34" t="str">
        <f>VLOOKUP(U287,Key!$E$2:$F$9,2,FALSE)</f>
        <v>Commercial</v>
      </c>
      <c r="W287" s="34" t="str">
        <f t="shared" si="7"/>
        <v>Commercial-Commercial</v>
      </c>
      <c r="X287" s="47">
        <v>60000</v>
      </c>
      <c r="Y287" s="38">
        <v>40</v>
      </c>
      <c r="Z287" s="38">
        <v>2</v>
      </c>
      <c r="AA287" s="32">
        <v>10</v>
      </c>
      <c r="AB287" s="34" t="str">
        <f>VLOOKUP(AA287,Key!$C$20:$D$29,2,FALSE)</f>
        <v>Other</v>
      </c>
      <c r="AC287" s="32">
        <v>1</v>
      </c>
      <c r="AD287" s="34" t="str">
        <f>VLOOKUP(AC287,Key!$E$20:$F$24,2,FALSE)</f>
        <v>&lt;300,000</v>
      </c>
      <c r="AE287" s="32">
        <v>1</v>
      </c>
      <c r="AF287" s="55">
        <v>1</v>
      </c>
      <c r="AG287" s="55">
        <v>1</v>
      </c>
      <c r="AH287" s="55">
        <v>1</v>
      </c>
      <c r="AI287" s="55">
        <v>1</v>
      </c>
      <c r="AJ287" s="39" t="s">
        <v>104</v>
      </c>
      <c r="AK287" s="40">
        <v>1000</v>
      </c>
      <c r="AL287" s="24"/>
      <c r="AM287" s="24"/>
    </row>
    <row r="288" spans="1:39" hidden="1" x14ac:dyDescent="0.2">
      <c r="B288" s="50">
        <v>43687</v>
      </c>
      <c r="C288" s="35">
        <v>0.33055555555555555</v>
      </c>
      <c r="D288" s="35"/>
      <c r="E288" s="35" t="s">
        <v>111</v>
      </c>
      <c r="F288" s="37">
        <v>2</v>
      </c>
      <c r="G288" s="42" t="str">
        <f>VLOOKUP(F288,Key!$A$17:$B$21,2,FALSE)</f>
        <v>Road Vehicle</v>
      </c>
      <c r="H288" s="36">
        <v>4</v>
      </c>
      <c r="I288" s="43" t="str">
        <f>VLOOKUP(H288,Key!$A$2:$B$13,2,FALSE)</f>
        <v>Minibus</v>
      </c>
      <c r="J288" s="37" t="s">
        <v>123</v>
      </c>
      <c r="K288" s="37">
        <v>2</v>
      </c>
      <c r="L288" s="45" t="str">
        <f>VLOOKUP(K288,Key!$A$24:$B$29,2,FALSE)</f>
        <v>30-39</v>
      </c>
      <c r="M288" s="37" t="s">
        <v>247</v>
      </c>
      <c r="N288" s="32" t="s">
        <v>167</v>
      </c>
      <c r="O288" s="37" t="s">
        <v>168</v>
      </c>
      <c r="P288" s="39">
        <v>2</v>
      </c>
      <c r="Q288" s="34" t="str">
        <f>VLOOKUP(P288,Key!$E$2:$F$9,2,FALSE)</f>
        <v>Work</v>
      </c>
      <c r="R288" s="37" t="s">
        <v>176</v>
      </c>
      <c r="S288" s="32" t="s">
        <v>176</v>
      </c>
      <c r="T288" s="37" t="s">
        <v>168</v>
      </c>
      <c r="U288" s="32">
        <v>2</v>
      </c>
      <c r="V288" s="34" t="str">
        <f>VLOOKUP(U288,Key!$E$2:$F$9,2,FALSE)</f>
        <v>Work</v>
      </c>
      <c r="W288" s="34" t="str">
        <f t="shared" si="7"/>
        <v>Work-Work</v>
      </c>
      <c r="X288" s="47">
        <v>50000</v>
      </c>
      <c r="Y288" s="38">
        <v>40</v>
      </c>
      <c r="Z288" s="38">
        <v>2</v>
      </c>
      <c r="AA288" s="32">
        <v>10</v>
      </c>
      <c r="AB288" s="34" t="str">
        <f>VLOOKUP(AA288,Key!$C$20:$D$29,2,FALSE)</f>
        <v>Other</v>
      </c>
      <c r="AC288" s="32">
        <v>3</v>
      </c>
      <c r="AD288" s="34" t="str">
        <f>VLOOKUP(AC288,Key!$E$20:$F$24,2,FALSE)</f>
        <v>500,000-750,000</v>
      </c>
      <c r="AE288" s="32">
        <v>1</v>
      </c>
      <c r="AF288" s="55">
        <v>1</v>
      </c>
      <c r="AG288" s="55">
        <v>1</v>
      </c>
      <c r="AH288" s="55">
        <v>1</v>
      </c>
      <c r="AI288" s="55">
        <v>2</v>
      </c>
      <c r="AJ288" s="39" t="s">
        <v>104</v>
      </c>
      <c r="AK288" s="40">
        <v>2000</v>
      </c>
      <c r="AL288" s="24"/>
      <c r="AM288" s="24"/>
    </row>
    <row r="289" spans="2:39" hidden="1" x14ac:dyDescent="0.2">
      <c r="B289" s="50">
        <v>43687</v>
      </c>
      <c r="C289" s="35">
        <v>0.3923611111111111</v>
      </c>
      <c r="D289" s="35"/>
      <c r="E289" s="35" t="s">
        <v>111</v>
      </c>
      <c r="F289" s="37">
        <v>2</v>
      </c>
      <c r="G289" s="42" t="str">
        <f>VLOOKUP(F289,Key!$A$17:$B$21,2,FALSE)</f>
        <v>Road Vehicle</v>
      </c>
      <c r="H289" s="36">
        <v>4</v>
      </c>
      <c r="I289" s="43" t="str">
        <f>VLOOKUP(H289,Key!$A$2:$B$13,2,FALSE)</f>
        <v>Minibus</v>
      </c>
      <c r="J289" s="37" t="s">
        <v>123</v>
      </c>
      <c r="K289" s="37">
        <v>3</v>
      </c>
      <c r="L289" s="45" t="str">
        <f>VLOOKUP(K289,Key!$A$24:$B$29,2,FALSE)</f>
        <v>40-49</v>
      </c>
      <c r="M289" s="37" t="s">
        <v>350</v>
      </c>
      <c r="N289" s="32" t="s">
        <v>167</v>
      </c>
      <c r="O289" s="37" t="s">
        <v>168</v>
      </c>
      <c r="P289" s="39">
        <v>4</v>
      </c>
      <c r="Q289" s="34" t="str">
        <f>VLOOKUP(P289,Key!$E$2:$F$9,2,FALSE)</f>
        <v>Commercial</v>
      </c>
      <c r="R289" s="37" t="s">
        <v>173</v>
      </c>
      <c r="S289" s="32" t="s">
        <v>173</v>
      </c>
      <c r="T289" s="37" t="s">
        <v>168</v>
      </c>
      <c r="U289" s="32">
        <v>4</v>
      </c>
      <c r="V289" s="34" t="str">
        <f>VLOOKUP(U289,Key!$E$2:$F$9,2,FALSE)</f>
        <v>Commercial</v>
      </c>
      <c r="W289" s="34" t="str">
        <f t="shared" si="7"/>
        <v>Commercial-Commercial</v>
      </c>
      <c r="X289" s="47">
        <v>60000</v>
      </c>
      <c r="Y289" s="38">
        <v>40</v>
      </c>
      <c r="Z289" s="38">
        <v>2</v>
      </c>
      <c r="AA289" s="32">
        <v>10</v>
      </c>
      <c r="AB289" s="34" t="str">
        <f>VLOOKUP(AA289,Key!$C$20:$D$29,2,FALSE)</f>
        <v>Other</v>
      </c>
      <c r="AC289" s="32">
        <v>1</v>
      </c>
      <c r="AD289" s="34" t="str">
        <f>VLOOKUP(AC289,Key!$E$20:$F$24,2,FALSE)</f>
        <v>&lt;300,000</v>
      </c>
      <c r="AE289" s="32">
        <v>1</v>
      </c>
      <c r="AF289" s="55">
        <v>1</v>
      </c>
      <c r="AG289" s="55">
        <v>1</v>
      </c>
      <c r="AH289" s="55">
        <v>1</v>
      </c>
      <c r="AI289" s="55">
        <v>1</v>
      </c>
      <c r="AJ289" s="39" t="s">
        <v>104</v>
      </c>
      <c r="AK289" s="40">
        <v>1000</v>
      </c>
      <c r="AL289" s="24"/>
      <c r="AM289" s="24"/>
    </row>
    <row r="290" spans="2:39" hidden="1" x14ac:dyDescent="0.2">
      <c r="B290" s="50">
        <v>43687</v>
      </c>
      <c r="C290" s="35">
        <v>0.39513888888888887</v>
      </c>
      <c r="D290" s="35"/>
      <c r="E290" s="35" t="s">
        <v>111</v>
      </c>
      <c r="F290" s="37">
        <v>2</v>
      </c>
      <c r="G290" s="42" t="str">
        <f>VLOOKUP(F290,Key!$A$17:$B$21,2,FALSE)</f>
        <v>Road Vehicle</v>
      </c>
      <c r="H290" s="36">
        <v>4</v>
      </c>
      <c r="I290" s="43" t="str">
        <f>VLOOKUP(H290,Key!$A$2:$B$13,2,FALSE)</f>
        <v>Minibus</v>
      </c>
      <c r="J290" s="37" t="s">
        <v>123</v>
      </c>
      <c r="K290" s="37">
        <v>2</v>
      </c>
      <c r="L290" s="45" t="str">
        <f>VLOOKUP(K290,Key!$A$24:$B$29,2,FALSE)</f>
        <v>30-39</v>
      </c>
      <c r="M290" s="37" t="s">
        <v>247</v>
      </c>
      <c r="N290" s="32" t="s">
        <v>167</v>
      </c>
      <c r="O290" s="37" t="s">
        <v>168</v>
      </c>
      <c r="P290" s="39">
        <v>2</v>
      </c>
      <c r="Q290" s="34" t="str">
        <f>VLOOKUP(P290,Key!$E$2:$F$9,2,FALSE)</f>
        <v>Work</v>
      </c>
      <c r="R290" s="37" t="s">
        <v>219</v>
      </c>
      <c r="S290" s="32" t="s">
        <v>251</v>
      </c>
      <c r="T290" s="37" t="s">
        <v>168</v>
      </c>
      <c r="U290" s="32">
        <v>2</v>
      </c>
      <c r="V290" s="34" t="str">
        <f>VLOOKUP(U290,Key!$E$2:$F$9,2,FALSE)</f>
        <v>Work</v>
      </c>
      <c r="W290" s="34" t="str">
        <f t="shared" si="7"/>
        <v>Work-Work</v>
      </c>
      <c r="X290" s="47">
        <v>40000</v>
      </c>
      <c r="Y290" s="38">
        <v>42</v>
      </c>
      <c r="Z290" s="38">
        <v>3</v>
      </c>
      <c r="AA290" s="32">
        <v>7</v>
      </c>
      <c r="AB290" s="34" t="str">
        <f>VLOOKUP(AA290,Key!$C$20:$D$29,2,FALSE)</f>
        <v>Farmer</v>
      </c>
      <c r="AC290" s="32">
        <v>1</v>
      </c>
      <c r="AD290" s="34" t="str">
        <f>VLOOKUP(AC290,Key!$E$20:$F$24,2,FALSE)</f>
        <v>&lt;300,000</v>
      </c>
      <c r="AE290" s="32">
        <v>1</v>
      </c>
      <c r="AF290" s="55">
        <v>1</v>
      </c>
      <c r="AG290" s="55">
        <v>1</v>
      </c>
      <c r="AH290" s="55">
        <v>1</v>
      </c>
      <c r="AI290" s="55">
        <v>1</v>
      </c>
      <c r="AJ290" s="39" t="s">
        <v>104</v>
      </c>
      <c r="AK290" s="40">
        <v>1000</v>
      </c>
      <c r="AL290" s="24"/>
      <c r="AM290" s="24"/>
    </row>
    <row r="291" spans="2:39" hidden="1" x14ac:dyDescent="0.2">
      <c r="B291" s="50">
        <v>43687</v>
      </c>
      <c r="C291" s="35">
        <v>0.33680555555555558</v>
      </c>
      <c r="D291" s="35"/>
      <c r="E291" s="35" t="s">
        <v>111</v>
      </c>
      <c r="F291" s="37">
        <v>2</v>
      </c>
      <c r="G291" s="42" t="str">
        <f>VLOOKUP(F291,Key!$A$17:$B$21,2,FALSE)</f>
        <v>Road Vehicle</v>
      </c>
      <c r="H291" s="36">
        <v>4</v>
      </c>
      <c r="I291" s="43" t="str">
        <f>VLOOKUP(H291,Key!$A$2:$B$13,2,FALSE)</f>
        <v>Minibus</v>
      </c>
      <c r="J291" s="37" t="s">
        <v>123</v>
      </c>
      <c r="K291" s="37">
        <v>2</v>
      </c>
      <c r="L291" s="45" t="str">
        <f>VLOOKUP(K291,Key!$A$24:$B$29,2,FALSE)</f>
        <v>30-39</v>
      </c>
      <c r="M291" s="37" t="s">
        <v>256</v>
      </c>
      <c r="N291" s="32" t="s">
        <v>167</v>
      </c>
      <c r="O291" s="37" t="s">
        <v>168</v>
      </c>
      <c r="P291" s="39">
        <v>2</v>
      </c>
      <c r="Q291" s="34" t="str">
        <f>VLOOKUP(P291,Key!$E$2:$F$9,2,FALSE)</f>
        <v>Work</v>
      </c>
      <c r="R291" s="37" t="s">
        <v>251</v>
      </c>
      <c r="S291" s="32" t="s">
        <v>251</v>
      </c>
      <c r="T291" s="37" t="s">
        <v>168</v>
      </c>
      <c r="U291" s="32">
        <v>2</v>
      </c>
      <c r="V291" s="34" t="str">
        <f>VLOOKUP(U291,Key!$E$2:$F$9,2,FALSE)</f>
        <v>Work</v>
      </c>
      <c r="W291" s="34" t="str">
        <f t="shared" si="7"/>
        <v>Work-Work</v>
      </c>
      <c r="X291" s="47">
        <v>40000</v>
      </c>
      <c r="Y291" s="38">
        <v>48</v>
      </c>
      <c r="Z291" s="38">
        <v>2</v>
      </c>
      <c r="AA291" s="32">
        <v>10</v>
      </c>
      <c r="AB291" s="34" t="str">
        <f>VLOOKUP(AA291,Key!$C$20:$D$29,2,FALSE)</f>
        <v>Other</v>
      </c>
      <c r="AC291" s="32">
        <v>2</v>
      </c>
      <c r="AD291" s="34" t="str">
        <f>VLOOKUP(AC291,Key!$E$20:$F$24,2,FALSE)</f>
        <v>300,000-500,000</v>
      </c>
      <c r="AE291" s="32">
        <v>1</v>
      </c>
      <c r="AF291" s="55">
        <v>1</v>
      </c>
      <c r="AG291" s="55">
        <v>1</v>
      </c>
      <c r="AH291" s="55">
        <v>1</v>
      </c>
      <c r="AI291" s="55">
        <v>1</v>
      </c>
      <c r="AJ291" s="39" t="s">
        <v>104</v>
      </c>
      <c r="AK291" s="40"/>
      <c r="AL291" s="24"/>
      <c r="AM291" s="24"/>
    </row>
    <row r="292" spans="2:39" hidden="1" x14ac:dyDescent="0.2">
      <c r="B292" s="50">
        <v>43687</v>
      </c>
      <c r="C292" s="35">
        <v>0.41319444444444442</v>
      </c>
      <c r="D292" s="35"/>
      <c r="E292" s="35" t="s">
        <v>111</v>
      </c>
      <c r="F292" s="37">
        <v>2</v>
      </c>
      <c r="G292" s="42" t="str">
        <f>VLOOKUP(F292,Key!$A$17:$B$21,2,FALSE)</f>
        <v>Road Vehicle</v>
      </c>
      <c r="H292" s="36">
        <v>4</v>
      </c>
      <c r="I292" s="43" t="str">
        <f>VLOOKUP(H292,Key!$A$2:$B$13,2,FALSE)</f>
        <v>Minibus</v>
      </c>
      <c r="J292" s="37" t="s">
        <v>123</v>
      </c>
      <c r="K292" s="37">
        <v>1</v>
      </c>
      <c r="L292" s="45" t="str">
        <f>VLOOKUP(K292,Key!$A$24:$B$29,2,FALSE)</f>
        <v>20-29</v>
      </c>
      <c r="M292" s="44" t="s">
        <v>211</v>
      </c>
      <c r="N292" s="44" t="s">
        <v>167</v>
      </c>
      <c r="O292" s="37" t="s">
        <v>168</v>
      </c>
      <c r="P292" s="39">
        <v>6</v>
      </c>
      <c r="Q292" s="34" t="str">
        <f>VLOOKUP(P292,Key!$E$2:$F$9,2,FALSE)</f>
        <v>Leisure/Social</v>
      </c>
      <c r="R292" s="37" t="s">
        <v>212</v>
      </c>
      <c r="S292" s="32" t="s">
        <v>190</v>
      </c>
      <c r="T292" s="37" t="s">
        <v>168</v>
      </c>
      <c r="U292" s="32">
        <v>1</v>
      </c>
      <c r="V292" s="34" t="str">
        <f>VLOOKUP(U292,Key!$E$2:$F$9,2,FALSE)</f>
        <v>Home</v>
      </c>
      <c r="W292" s="34" t="str">
        <f t="shared" si="7"/>
        <v>Leisure/Social-Home</v>
      </c>
      <c r="X292" s="47">
        <v>20000</v>
      </c>
      <c r="Y292" s="38">
        <v>50</v>
      </c>
      <c r="Z292" s="38">
        <v>1.5</v>
      </c>
      <c r="AA292" s="32">
        <v>6</v>
      </c>
      <c r="AB292" s="34" t="str">
        <f>VLOOKUP(AA292,Key!$C$20:$D$29,2,FALSE)</f>
        <v>Businessman</v>
      </c>
      <c r="AC292" s="32">
        <v>2</v>
      </c>
      <c r="AD292" s="34" t="str">
        <f>VLOOKUP(AC292,Key!$E$20:$F$24,2,FALSE)</f>
        <v>300,000-500,000</v>
      </c>
      <c r="AE292" s="32">
        <v>1</v>
      </c>
      <c r="AF292" s="55">
        <v>1</v>
      </c>
      <c r="AG292" s="55">
        <v>1</v>
      </c>
      <c r="AH292" s="55">
        <v>1</v>
      </c>
      <c r="AI292" s="55">
        <v>1</v>
      </c>
      <c r="AJ292" s="39" t="s">
        <v>104</v>
      </c>
      <c r="AK292" s="40">
        <v>2000</v>
      </c>
      <c r="AL292" s="24"/>
      <c r="AM292" s="24"/>
    </row>
    <row r="293" spans="2:39" hidden="1" x14ac:dyDescent="0.2">
      <c r="B293" s="50">
        <v>43687</v>
      </c>
      <c r="C293" s="35">
        <v>0.31041666666666667</v>
      </c>
      <c r="D293" s="35"/>
      <c r="E293" s="35" t="s">
        <v>111</v>
      </c>
      <c r="F293" s="37">
        <v>2</v>
      </c>
      <c r="G293" s="42" t="str">
        <f>VLOOKUP(F293,Key!$A$17:$B$21,2,FALSE)</f>
        <v>Road Vehicle</v>
      </c>
      <c r="H293" s="36">
        <v>4</v>
      </c>
      <c r="I293" s="43" t="str">
        <f>VLOOKUP(H293,Key!$A$2:$B$13,2,FALSE)</f>
        <v>Minibus</v>
      </c>
      <c r="J293" s="37" t="s">
        <v>123</v>
      </c>
      <c r="K293" s="37">
        <v>3</v>
      </c>
      <c r="L293" s="45" t="str">
        <f>VLOOKUP(K293,Key!$A$24:$B$29,2,FALSE)</f>
        <v>40-49</v>
      </c>
      <c r="M293" s="37" t="s">
        <v>190</v>
      </c>
      <c r="N293" s="32" t="s">
        <v>190</v>
      </c>
      <c r="O293" s="37" t="s">
        <v>168</v>
      </c>
      <c r="P293" s="39">
        <v>2</v>
      </c>
      <c r="Q293" s="34" t="str">
        <f>VLOOKUP(P293,Key!$E$2:$F$9,2,FALSE)</f>
        <v>Work</v>
      </c>
      <c r="R293" s="37" t="s">
        <v>187</v>
      </c>
      <c r="S293" s="32" t="s">
        <v>167</v>
      </c>
      <c r="T293" s="37" t="s">
        <v>168</v>
      </c>
      <c r="U293" s="32">
        <v>2</v>
      </c>
      <c r="V293" s="34" t="str">
        <f>VLOOKUP(U293,Key!$E$2:$F$9,2,FALSE)</f>
        <v>Work</v>
      </c>
      <c r="W293" s="34" t="str">
        <f t="shared" si="7"/>
        <v>Work-Work</v>
      </c>
      <c r="X293" s="47">
        <v>20000</v>
      </c>
      <c r="Y293" s="38">
        <v>50</v>
      </c>
      <c r="Z293" s="38">
        <v>1.5</v>
      </c>
      <c r="AA293" s="32">
        <v>10</v>
      </c>
      <c r="AB293" s="34" t="str">
        <f>VLOOKUP(AA293,Key!$C$20:$D$29,2,FALSE)</f>
        <v>Other</v>
      </c>
      <c r="AC293" s="32">
        <v>2</v>
      </c>
      <c r="AD293" s="34" t="str">
        <f>VLOOKUP(AC293,Key!$E$20:$F$24,2,FALSE)</f>
        <v>300,000-500,000</v>
      </c>
      <c r="AE293" s="32">
        <v>1</v>
      </c>
      <c r="AF293" s="55">
        <v>1</v>
      </c>
      <c r="AG293" s="55">
        <v>1</v>
      </c>
      <c r="AH293" s="55">
        <v>1</v>
      </c>
      <c r="AI293" s="55">
        <v>1</v>
      </c>
      <c r="AJ293" s="39" t="s">
        <v>104</v>
      </c>
      <c r="AK293" s="40">
        <v>3000</v>
      </c>
      <c r="AL293" s="24"/>
      <c r="AM293" s="24"/>
    </row>
    <row r="294" spans="2:39" hidden="1" x14ac:dyDescent="0.2">
      <c r="B294" s="50">
        <v>43687</v>
      </c>
      <c r="C294" s="35">
        <v>0.42430555555555555</v>
      </c>
      <c r="D294" s="35"/>
      <c r="E294" s="35" t="s">
        <v>111</v>
      </c>
      <c r="F294" s="37">
        <v>2</v>
      </c>
      <c r="G294" s="42" t="str">
        <f>VLOOKUP(F294,Key!$A$17:$B$21,2,FALSE)</f>
        <v>Road Vehicle</v>
      </c>
      <c r="H294" s="36">
        <v>4</v>
      </c>
      <c r="I294" s="43" t="str">
        <f>VLOOKUP(H294,Key!$A$2:$B$13,2,FALSE)</f>
        <v>Minibus</v>
      </c>
      <c r="J294" s="37" t="s">
        <v>123</v>
      </c>
      <c r="K294" s="37">
        <v>2</v>
      </c>
      <c r="L294" s="45" t="str">
        <f>VLOOKUP(K294,Key!$A$24:$B$29,2,FALSE)</f>
        <v>30-39</v>
      </c>
      <c r="M294" s="37" t="s">
        <v>247</v>
      </c>
      <c r="N294" s="32" t="s">
        <v>167</v>
      </c>
      <c r="O294" s="37" t="s">
        <v>168</v>
      </c>
      <c r="P294" s="39">
        <v>2</v>
      </c>
      <c r="Q294" s="34" t="str">
        <f>VLOOKUP(P294,Key!$E$2:$F$9,2,FALSE)</f>
        <v>Work</v>
      </c>
      <c r="R294" s="37" t="s">
        <v>219</v>
      </c>
      <c r="S294" s="32" t="s">
        <v>176</v>
      </c>
      <c r="T294" s="37" t="s">
        <v>168</v>
      </c>
      <c r="U294" s="32">
        <v>2</v>
      </c>
      <c r="V294" s="34" t="str">
        <f>VLOOKUP(U294,Key!$E$2:$F$9,2,FALSE)</f>
        <v>Work</v>
      </c>
      <c r="W294" s="34" t="str">
        <f t="shared" si="7"/>
        <v>Work-Work</v>
      </c>
      <c r="X294" s="47">
        <v>50000</v>
      </c>
      <c r="Y294" s="38">
        <v>50</v>
      </c>
      <c r="Z294" s="38">
        <v>2</v>
      </c>
      <c r="AA294" s="32">
        <v>10</v>
      </c>
      <c r="AB294" s="34" t="str">
        <f>VLOOKUP(AA294,Key!$C$20:$D$29,2,FALSE)</f>
        <v>Other</v>
      </c>
      <c r="AC294" s="32">
        <v>1</v>
      </c>
      <c r="AD294" s="34" t="str">
        <f>VLOOKUP(AC294,Key!$E$20:$F$24,2,FALSE)</f>
        <v>&lt;300,000</v>
      </c>
      <c r="AE294" s="32">
        <v>1</v>
      </c>
      <c r="AF294" s="55"/>
      <c r="AG294" s="55">
        <v>1</v>
      </c>
      <c r="AH294" s="55">
        <v>1</v>
      </c>
      <c r="AI294" s="55">
        <v>1</v>
      </c>
      <c r="AJ294" s="39" t="s">
        <v>104</v>
      </c>
      <c r="AK294" s="40">
        <v>3000</v>
      </c>
      <c r="AL294" s="24"/>
      <c r="AM294" s="24"/>
    </row>
    <row r="295" spans="2:39" hidden="1" x14ac:dyDescent="0.2">
      <c r="B295" s="50">
        <v>43687</v>
      </c>
      <c r="C295" s="35">
        <v>0.42986111111111108</v>
      </c>
      <c r="D295" s="35"/>
      <c r="E295" s="35" t="s">
        <v>111</v>
      </c>
      <c r="F295" s="37">
        <v>2</v>
      </c>
      <c r="G295" s="42" t="str">
        <f>VLOOKUP(F295,Key!$A$17:$B$21,2,FALSE)</f>
        <v>Road Vehicle</v>
      </c>
      <c r="H295" s="36">
        <v>4</v>
      </c>
      <c r="I295" s="43" t="str">
        <f>VLOOKUP(H295,Key!$A$2:$B$13,2,FALSE)</f>
        <v>Minibus</v>
      </c>
      <c r="J295" s="37" t="s">
        <v>123</v>
      </c>
      <c r="K295" s="37">
        <v>2</v>
      </c>
      <c r="L295" s="45" t="str">
        <f>VLOOKUP(K295,Key!$A$24:$B$29,2,FALSE)</f>
        <v>30-39</v>
      </c>
      <c r="M295" s="37" t="s">
        <v>247</v>
      </c>
      <c r="N295" s="32" t="s">
        <v>167</v>
      </c>
      <c r="O295" s="37" t="s">
        <v>168</v>
      </c>
      <c r="P295" s="39">
        <v>2</v>
      </c>
      <c r="Q295" s="34" t="str">
        <f>VLOOKUP(P295,Key!$E$2:$F$9,2,FALSE)</f>
        <v>Work</v>
      </c>
      <c r="R295" s="37" t="s">
        <v>205</v>
      </c>
      <c r="S295" s="32" t="s">
        <v>205</v>
      </c>
      <c r="T295" s="37" t="s">
        <v>168</v>
      </c>
      <c r="U295" s="32">
        <v>4</v>
      </c>
      <c r="V295" s="34" t="str">
        <f>VLOOKUP(U295,Key!$E$2:$F$9,2,FALSE)</f>
        <v>Commercial</v>
      </c>
      <c r="W295" s="34" t="str">
        <f t="shared" si="7"/>
        <v>Work-Commercial</v>
      </c>
      <c r="X295" s="47">
        <v>60000</v>
      </c>
      <c r="Y295" s="38">
        <v>50</v>
      </c>
      <c r="Z295" s="38">
        <v>2</v>
      </c>
      <c r="AA295" s="32">
        <v>10</v>
      </c>
      <c r="AB295" s="34" t="str">
        <f>VLOOKUP(AA295,Key!$C$20:$D$29,2,FALSE)</f>
        <v>Other</v>
      </c>
      <c r="AC295" s="32">
        <v>2</v>
      </c>
      <c r="AD295" s="34" t="str">
        <f>VLOOKUP(AC295,Key!$E$20:$F$24,2,FALSE)</f>
        <v>300,000-500,000</v>
      </c>
      <c r="AE295" s="32">
        <v>1</v>
      </c>
      <c r="AF295" s="55">
        <v>1</v>
      </c>
      <c r="AG295" s="55">
        <v>2</v>
      </c>
      <c r="AH295" s="55">
        <v>1</v>
      </c>
      <c r="AI295" s="55">
        <v>1</v>
      </c>
      <c r="AJ295" s="39" t="s">
        <v>104</v>
      </c>
      <c r="AK295" s="40"/>
      <c r="AL295" s="24"/>
      <c r="AM295" s="24"/>
    </row>
    <row r="296" spans="2:39" hidden="1" x14ac:dyDescent="0.2">
      <c r="B296" s="50">
        <v>43687</v>
      </c>
      <c r="C296" s="35">
        <v>0.45277777777777778</v>
      </c>
      <c r="D296" s="35"/>
      <c r="E296" s="35" t="s">
        <v>111</v>
      </c>
      <c r="F296" s="37">
        <v>2</v>
      </c>
      <c r="G296" s="42" t="str">
        <f>VLOOKUP(F296,Key!$A$17:$B$21,2,FALSE)</f>
        <v>Road Vehicle</v>
      </c>
      <c r="H296" s="36">
        <v>4</v>
      </c>
      <c r="I296" s="43" t="str">
        <f>VLOOKUP(H296,Key!$A$2:$B$13,2,FALSE)</f>
        <v>Minibus</v>
      </c>
      <c r="J296" s="37" t="s">
        <v>123</v>
      </c>
      <c r="K296" s="37">
        <v>2</v>
      </c>
      <c r="L296" s="45" t="str">
        <f>VLOOKUP(K296,Key!$A$24:$B$29,2,FALSE)</f>
        <v>30-39</v>
      </c>
      <c r="M296" s="37" t="s">
        <v>247</v>
      </c>
      <c r="N296" s="32" t="s">
        <v>167</v>
      </c>
      <c r="O296" s="37" t="s">
        <v>168</v>
      </c>
      <c r="P296" s="39">
        <v>2</v>
      </c>
      <c r="Q296" s="34" t="str">
        <f>VLOOKUP(P296,Key!$E$2:$F$9,2,FALSE)</f>
        <v>Work</v>
      </c>
      <c r="R296" s="37" t="s">
        <v>232</v>
      </c>
      <c r="S296" s="32" t="s">
        <v>188</v>
      </c>
      <c r="T296" s="37" t="s">
        <v>168</v>
      </c>
      <c r="U296" s="32">
        <v>2</v>
      </c>
      <c r="V296" s="34" t="str">
        <f>VLOOKUP(U296,Key!$E$2:$F$9,2,FALSE)</f>
        <v>Work</v>
      </c>
      <c r="W296" s="34" t="str">
        <f t="shared" si="7"/>
        <v>Work-Work</v>
      </c>
      <c r="X296" s="47">
        <v>60000</v>
      </c>
      <c r="Y296" s="38">
        <v>50</v>
      </c>
      <c r="Z296" s="38">
        <v>3</v>
      </c>
      <c r="AA296" s="32">
        <v>10</v>
      </c>
      <c r="AB296" s="34" t="str">
        <f>VLOOKUP(AA296,Key!$C$20:$D$29,2,FALSE)</f>
        <v>Other</v>
      </c>
      <c r="AC296" s="32">
        <v>1</v>
      </c>
      <c r="AD296" s="34" t="str">
        <f>VLOOKUP(AC296,Key!$E$20:$F$24,2,FALSE)</f>
        <v>&lt;300,000</v>
      </c>
      <c r="AE296" s="32">
        <v>1</v>
      </c>
      <c r="AF296" s="55">
        <v>1</v>
      </c>
      <c r="AG296" s="55">
        <v>1</v>
      </c>
      <c r="AH296" s="55">
        <v>2</v>
      </c>
      <c r="AI296" s="55">
        <v>1</v>
      </c>
      <c r="AJ296" s="39" t="s">
        <v>104</v>
      </c>
      <c r="AK296" s="40">
        <v>5000</v>
      </c>
      <c r="AL296" s="24"/>
      <c r="AM296" s="24"/>
    </row>
    <row r="297" spans="2:39" hidden="1" x14ac:dyDescent="0.2">
      <c r="B297" s="50">
        <v>43687</v>
      </c>
      <c r="C297" s="35">
        <v>0.48958333333333331</v>
      </c>
      <c r="D297" s="35"/>
      <c r="E297" s="35" t="s">
        <v>111</v>
      </c>
      <c r="F297" s="37">
        <v>2</v>
      </c>
      <c r="G297" s="42" t="str">
        <f>VLOOKUP(F297,Key!$A$17:$B$21,2,FALSE)</f>
        <v>Road Vehicle</v>
      </c>
      <c r="H297" s="36">
        <v>4</v>
      </c>
      <c r="I297" s="43" t="str">
        <f>VLOOKUP(H297,Key!$A$2:$B$13,2,FALSE)</f>
        <v>Minibus</v>
      </c>
      <c r="J297" s="37" t="s">
        <v>123</v>
      </c>
      <c r="K297" s="37">
        <v>2</v>
      </c>
      <c r="L297" s="45" t="str">
        <f>VLOOKUP(K297,Key!$A$24:$B$29,2,FALSE)</f>
        <v>30-39</v>
      </c>
      <c r="M297" s="37" t="s">
        <v>265</v>
      </c>
      <c r="N297" s="32" t="s">
        <v>169</v>
      </c>
      <c r="O297" s="37" t="s">
        <v>168</v>
      </c>
      <c r="P297" s="39">
        <v>1</v>
      </c>
      <c r="Q297" s="34" t="str">
        <f>VLOOKUP(P297,Key!$E$2:$F$9,2,FALSE)</f>
        <v>Home</v>
      </c>
      <c r="R297" s="37" t="s">
        <v>266</v>
      </c>
      <c r="S297" s="32" t="s">
        <v>190</v>
      </c>
      <c r="T297" s="37" t="s">
        <v>168</v>
      </c>
      <c r="U297" s="32">
        <v>8</v>
      </c>
      <c r="V297" s="34" t="str">
        <f>VLOOKUP(U297,Key!$E$2:$F$9,2,FALSE)</f>
        <v>Others</v>
      </c>
      <c r="W297" s="34" t="str">
        <f t="shared" si="7"/>
        <v>Home-Others</v>
      </c>
      <c r="X297" s="47">
        <v>60000</v>
      </c>
      <c r="Y297" s="38">
        <v>50</v>
      </c>
      <c r="Z297" s="38">
        <v>3</v>
      </c>
      <c r="AA297" s="32">
        <v>10</v>
      </c>
      <c r="AB297" s="34" t="str">
        <f>VLOOKUP(AA297,Key!$C$20:$D$29,2,FALSE)</f>
        <v>Other</v>
      </c>
      <c r="AC297" s="32">
        <v>3</v>
      </c>
      <c r="AD297" s="34" t="str">
        <f>VLOOKUP(AC297,Key!$E$20:$F$24,2,FALSE)</f>
        <v>500,000-750,000</v>
      </c>
      <c r="AE297" s="32">
        <v>1</v>
      </c>
      <c r="AF297" s="55">
        <v>2</v>
      </c>
      <c r="AG297" s="55">
        <v>1</v>
      </c>
      <c r="AH297" s="55">
        <v>1</v>
      </c>
      <c r="AI297" s="55">
        <v>1</v>
      </c>
      <c r="AJ297" s="39" t="s">
        <v>104</v>
      </c>
      <c r="AK297" s="40">
        <v>5000</v>
      </c>
      <c r="AL297" s="24"/>
      <c r="AM297" s="24"/>
    </row>
    <row r="298" spans="2:39" hidden="1" x14ac:dyDescent="0.2">
      <c r="B298" s="50">
        <v>43687</v>
      </c>
      <c r="C298" s="35">
        <v>0.72569444444444453</v>
      </c>
      <c r="D298" s="35"/>
      <c r="E298" s="35" t="s">
        <v>111</v>
      </c>
      <c r="F298" s="37">
        <v>2</v>
      </c>
      <c r="G298" s="42" t="str">
        <f>VLOOKUP(F298,Key!$A$17:$B$21,2,FALSE)</f>
        <v>Road Vehicle</v>
      </c>
      <c r="H298" s="36">
        <v>4</v>
      </c>
      <c r="I298" s="43" t="str">
        <f>VLOOKUP(H298,Key!$A$2:$B$13,2,FALSE)</f>
        <v>Minibus</v>
      </c>
      <c r="J298" s="37" t="s">
        <v>123</v>
      </c>
      <c r="K298" s="37">
        <v>3</v>
      </c>
      <c r="L298" s="45" t="str">
        <f>VLOOKUP(K298,Key!$A$24:$B$29,2,FALSE)</f>
        <v>40-49</v>
      </c>
      <c r="M298" s="37" t="s">
        <v>350</v>
      </c>
      <c r="N298" s="32" t="s">
        <v>179</v>
      </c>
      <c r="O298" s="37" t="s">
        <v>168</v>
      </c>
      <c r="P298" s="39">
        <v>4</v>
      </c>
      <c r="Q298" s="34" t="str">
        <f>VLOOKUP(P298,Key!$E$2:$F$9,2,FALSE)</f>
        <v>Commercial</v>
      </c>
      <c r="R298" s="37" t="s">
        <v>355</v>
      </c>
      <c r="S298" s="32" t="s">
        <v>176</v>
      </c>
      <c r="T298" s="37" t="s">
        <v>168</v>
      </c>
      <c r="U298" s="32">
        <v>4</v>
      </c>
      <c r="V298" s="34" t="str">
        <f>VLOOKUP(U298,Key!$E$2:$F$9,2,FALSE)</f>
        <v>Commercial</v>
      </c>
      <c r="W298" s="34" t="str">
        <f t="shared" si="7"/>
        <v>Commercial-Commercial</v>
      </c>
      <c r="X298" s="47">
        <v>70000</v>
      </c>
      <c r="Y298" s="38">
        <v>50</v>
      </c>
      <c r="Z298" s="38">
        <v>3</v>
      </c>
      <c r="AA298" s="32">
        <v>10</v>
      </c>
      <c r="AB298" s="34" t="str">
        <f>VLOOKUP(AA298,Key!$C$20:$D$29,2,FALSE)</f>
        <v>Other</v>
      </c>
      <c r="AC298" s="32">
        <v>2</v>
      </c>
      <c r="AD298" s="34" t="str">
        <f>VLOOKUP(AC298,Key!$E$20:$F$24,2,FALSE)</f>
        <v>300,000-500,000</v>
      </c>
      <c r="AE298" s="32">
        <v>1</v>
      </c>
      <c r="AF298" s="55">
        <v>1</v>
      </c>
      <c r="AG298" s="55">
        <v>2</v>
      </c>
      <c r="AH298" s="55">
        <v>1</v>
      </c>
      <c r="AI298" s="55">
        <v>1</v>
      </c>
      <c r="AJ298" s="39" t="s">
        <v>104</v>
      </c>
      <c r="AK298" s="40"/>
      <c r="AL298" s="24"/>
      <c r="AM298" s="24"/>
    </row>
    <row r="299" spans="2:39" x14ac:dyDescent="0.2">
      <c r="B299" s="50">
        <v>43687</v>
      </c>
      <c r="C299" s="35">
        <v>0.32083333333333336</v>
      </c>
      <c r="D299" s="35"/>
      <c r="E299" s="35" t="s">
        <v>111</v>
      </c>
      <c r="F299" s="37">
        <v>2</v>
      </c>
      <c r="G299" s="42" t="str">
        <f>VLOOKUP(F299,Key!$A$17:$B$21,2,FALSE)</f>
        <v>Road Vehicle</v>
      </c>
      <c r="H299" s="36">
        <v>4</v>
      </c>
      <c r="I299" s="43" t="str">
        <f>VLOOKUP(H299,Key!$A$2:$B$13,2,FALSE)</f>
        <v>Minibus</v>
      </c>
      <c r="J299" s="37" t="s">
        <v>123</v>
      </c>
      <c r="K299" s="37">
        <v>1</v>
      </c>
      <c r="L299" s="45" t="str">
        <f>VLOOKUP(K299,Key!$A$24:$B$29,2,FALSE)</f>
        <v>20-29</v>
      </c>
      <c r="M299" s="37" t="s">
        <v>167</v>
      </c>
      <c r="N299" s="32" t="s">
        <v>167</v>
      </c>
      <c r="O299" s="37" t="s">
        <v>168</v>
      </c>
      <c r="P299" s="39">
        <v>2</v>
      </c>
      <c r="Q299" s="34" t="str">
        <f>VLOOKUP(P299,Key!$E$2:$F$9,2,FALSE)</f>
        <v>Work</v>
      </c>
      <c r="R299" s="37" t="s">
        <v>176</v>
      </c>
      <c r="S299" s="32" t="s">
        <v>176</v>
      </c>
      <c r="T299" s="37" t="s">
        <v>168</v>
      </c>
      <c r="U299" s="32">
        <v>4</v>
      </c>
      <c r="V299" s="34" t="str">
        <f>VLOOKUP(U299,Key!$E$2:$F$9,2,FALSE)</f>
        <v>Commercial</v>
      </c>
      <c r="W299" s="34" t="str">
        <f t="shared" si="7"/>
        <v>Work-Commercial</v>
      </c>
      <c r="X299" s="47">
        <v>70000</v>
      </c>
      <c r="Y299" s="38">
        <v>80</v>
      </c>
      <c r="Z299" s="38">
        <v>3</v>
      </c>
      <c r="AA299" s="32">
        <v>10</v>
      </c>
      <c r="AB299" s="34" t="str">
        <f>VLOOKUP(AA299,Key!$C$20:$D$29,2,FALSE)</f>
        <v>Other</v>
      </c>
      <c r="AC299" s="32">
        <v>2</v>
      </c>
      <c r="AD299" s="34" t="str">
        <f>VLOOKUP(AC299,Key!$E$20:$F$24,2,FALSE)</f>
        <v>300,000-500,000</v>
      </c>
      <c r="AE299" s="32">
        <v>3</v>
      </c>
      <c r="AF299" s="55">
        <v>3</v>
      </c>
      <c r="AG299" s="55">
        <v>3</v>
      </c>
      <c r="AH299" s="55">
        <v>3</v>
      </c>
      <c r="AI299" s="55"/>
      <c r="AJ299" s="39" t="s">
        <v>104</v>
      </c>
      <c r="AK299" s="40"/>
      <c r="AL299" s="24"/>
      <c r="AM299" s="24"/>
    </row>
    <row r="300" spans="2:39" x14ac:dyDescent="0.2">
      <c r="B300" s="50">
        <v>43687</v>
      </c>
      <c r="C300" s="35">
        <v>0.35416666666666669</v>
      </c>
      <c r="D300" s="35"/>
      <c r="E300" s="35" t="s">
        <v>111</v>
      </c>
      <c r="F300" s="37">
        <v>2</v>
      </c>
      <c r="G300" s="42" t="str">
        <f>VLOOKUP(F300,Key!$A$17:$B$21,2,FALSE)</f>
        <v>Road Vehicle</v>
      </c>
      <c r="H300" s="36">
        <v>4</v>
      </c>
      <c r="I300" s="43" t="str">
        <f>VLOOKUP(H300,Key!$A$2:$B$13,2,FALSE)</f>
        <v>Minibus</v>
      </c>
      <c r="J300" s="37" t="s">
        <v>123</v>
      </c>
      <c r="K300" s="37">
        <v>1</v>
      </c>
      <c r="L300" s="45" t="str">
        <f>VLOOKUP(K300,Key!$A$24:$B$29,2,FALSE)</f>
        <v>20-29</v>
      </c>
      <c r="M300" s="44" t="s">
        <v>179</v>
      </c>
      <c r="N300" s="44" t="s">
        <v>179</v>
      </c>
      <c r="O300" s="37" t="s">
        <v>168</v>
      </c>
      <c r="P300" s="39">
        <v>2</v>
      </c>
      <c r="Q300" s="34" t="str">
        <f>VLOOKUP(P300,Key!$E$2:$F$9,2,FALSE)</f>
        <v>Work</v>
      </c>
      <c r="R300" s="37" t="s">
        <v>176</v>
      </c>
      <c r="S300" s="32" t="s">
        <v>176</v>
      </c>
      <c r="T300" s="37" t="s">
        <v>168</v>
      </c>
      <c r="U300" s="32">
        <v>2</v>
      </c>
      <c r="V300" s="34" t="str">
        <f>VLOOKUP(U300,Key!$E$2:$F$9,2,FALSE)</f>
        <v>Work</v>
      </c>
      <c r="W300" s="34" t="str">
        <f t="shared" si="7"/>
        <v>Work-Work</v>
      </c>
      <c r="X300" s="47">
        <v>30000</v>
      </c>
      <c r="Y300" s="38">
        <v>100</v>
      </c>
      <c r="Z300" s="38">
        <v>3</v>
      </c>
      <c r="AA300" s="32">
        <v>10</v>
      </c>
      <c r="AB300" s="34" t="str">
        <f>VLOOKUP(AA300,Key!$C$20:$D$29,2,FALSE)</f>
        <v>Other</v>
      </c>
      <c r="AC300" s="32">
        <v>2</v>
      </c>
      <c r="AD300" s="34" t="str">
        <f>VLOOKUP(AC300,Key!$E$20:$F$24,2,FALSE)</f>
        <v>300,000-500,000</v>
      </c>
      <c r="AE300" s="32">
        <v>1</v>
      </c>
      <c r="AF300" s="55">
        <v>1</v>
      </c>
      <c r="AG300" s="55">
        <v>1</v>
      </c>
      <c r="AH300" s="55">
        <v>1</v>
      </c>
      <c r="AI300" s="55">
        <v>1</v>
      </c>
      <c r="AJ300" s="39" t="s">
        <v>104</v>
      </c>
      <c r="AK300" s="40">
        <v>3000</v>
      </c>
      <c r="AL300" s="24"/>
      <c r="AM300" s="24"/>
    </row>
    <row r="301" spans="2:39" x14ac:dyDescent="0.2">
      <c r="B301" s="50">
        <v>43687</v>
      </c>
      <c r="C301" s="35">
        <v>0.40277777777777773</v>
      </c>
      <c r="D301" s="35"/>
      <c r="E301" s="35" t="s">
        <v>111</v>
      </c>
      <c r="F301" s="37">
        <v>2</v>
      </c>
      <c r="G301" s="42" t="str">
        <f>VLOOKUP(F301,Key!$A$17:$B$21,2,FALSE)</f>
        <v>Road Vehicle</v>
      </c>
      <c r="H301" s="36">
        <v>4</v>
      </c>
      <c r="I301" s="43" t="str">
        <f>VLOOKUP(H301,Key!$A$2:$B$13,2,FALSE)</f>
        <v>Minibus</v>
      </c>
      <c r="J301" s="37" t="s">
        <v>123</v>
      </c>
      <c r="K301" s="37">
        <v>1</v>
      </c>
      <c r="L301" s="45" t="str">
        <f>VLOOKUP(K301,Key!$A$24:$B$29,2,FALSE)</f>
        <v>20-29</v>
      </c>
      <c r="M301" s="44" t="s">
        <v>179</v>
      </c>
      <c r="N301" s="44" t="s">
        <v>179</v>
      </c>
      <c r="O301" s="37" t="s">
        <v>168</v>
      </c>
      <c r="P301" s="39">
        <v>2</v>
      </c>
      <c r="Q301" s="34" t="str">
        <f>VLOOKUP(P301,Key!$E$2:$F$9,2,FALSE)</f>
        <v>Work</v>
      </c>
      <c r="R301" s="37" t="s">
        <v>230</v>
      </c>
      <c r="S301" s="32" t="s">
        <v>176</v>
      </c>
      <c r="T301" s="37" t="s">
        <v>168</v>
      </c>
      <c r="U301" s="32">
        <v>2</v>
      </c>
      <c r="V301" s="34" t="str">
        <f>VLOOKUP(U301,Key!$E$2:$F$9,2,FALSE)</f>
        <v>Work</v>
      </c>
      <c r="W301" s="34" t="str">
        <f t="shared" si="7"/>
        <v>Work-Work</v>
      </c>
      <c r="X301" s="47">
        <v>30000</v>
      </c>
      <c r="Y301" s="38">
        <v>100</v>
      </c>
      <c r="Z301" s="38">
        <v>3</v>
      </c>
      <c r="AA301" s="32">
        <v>10</v>
      </c>
      <c r="AB301" s="34" t="str">
        <f>VLOOKUP(AA301,Key!$C$20:$D$29,2,FALSE)</f>
        <v>Other</v>
      </c>
      <c r="AC301" s="32">
        <v>2</v>
      </c>
      <c r="AD301" s="34" t="str">
        <f>VLOOKUP(AC301,Key!$E$20:$F$24,2,FALSE)</f>
        <v>300,000-500,000</v>
      </c>
      <c r="AE301" s="32">
        <v>1</v>
      </c>
      <c r="AF301" s="55">
        <v>1</v>
      </c>
      <c r="AG301" s="55">
        <v>1</v>
      </c>
      <c r="AH301" s="55">
        <v>1</v>
      </c>
      <c r="AI301" s="55">
        <v>1</v>
      </c>
      <c r="AJ301" s="39" t="s">
        <v>104</v>
      </c>
      <c r="AK301" s="40">
        <v>3000</v>
      </c>
      <c r="AL301" s="24"/>
      <c r="AM301" s="24"/>
    </row>
    <row r="302" spans="2:39" x14ac:dyDescent="0.2">
      <c r="B302" s="50">
        <v>43687</v>
      </c>
      <c r="C302" s="35">
        <v>0.3125</v>
      </c>
      <c r="D302" s="35"/>
      <c r="E302" s="35" t="s">
        <v>111</v>
      </c>
      <c r="F302" s="37">
        <v>2</v>
      </c>
      <c r="G302" s="42" t="str">
        <f>VLOOKUP(F302,Key!$A$17:$B$21,2,FALSE)</f>
        <v>Road Vehicle</v>
      </c>
      <c r="H302" s="36">
        <v>4</v>
      </c>
      <c r="I302" s="43" t="str">
        <f>VLOOKUP(H302,Key!$A$2:$B$13,2,FALSE)</f>
        <v>Minibus</v>
      </c>
      <c r="J302" s="37" t="s">
        <v>123</v>
      </c>
      <c r="K302" s="37">
        <v>2</v>
      </c>
      <c r="L302" s="45" t="str">
        <f>VLOOKUP(K302,Key!$A$24:$B$29,2,FALSE)</f>
        <v>30-39</v>
      </c>
      <c r="M302" s="37" t="s">
        <v>167</v>
      </c>
      <c r="N302" s="32" t="s">
        <v>167</v>
      </c>
      <c r="O302" s="37" t="s">
        <v>168</v>
      </c>
      <c r="P302" s="39">
        <v>1</v>
      </c>
      <c r="Q302" s="34" t="str">
        <f>VLOOKUP(P302,Key!$E$2:$F$9,2,FALSE)</f>
        <v>Home</v>
      </c>
      <c r="R302" s="37" t="s">
        <v>173</v>
      </c>
      <c r="S302" s="32" t="s">
        <v>173</v>
      </c>
      <c r="T302" s="37" t="s">
        <v>168</v>
      </c>
      <c r="U302" s="32">
        <v>2</v>
      </c>
      <c r="V302" s="34" t="str">
        <f>VLOOKUP(U302,Key!$E$2:$F$9,2,FALSE)</f>
        <v>Work</v>
      </c>
      <c r="W302" s="34" t="str">
        <f t="shared" si="7"/>
        <v>Home-Work</v>
      </c>
      <c r="X302" s="47">
        <v>40000</v>
      </c>
      <c r="Y302" s="38">
        <v>60</v>
      </c>
      <c r="Z302" s="38">
        <v>1</v>
      </c>
      <c r="AA302" s="32">
        <v>10</v>
      </c>
      <c r="AB302" s="34" t="str">
        <f>VLOOKUP(AA302,Key!$C$20:$D$29,2,FALSE)</f>
        <v>Other</v>
      </c>
      <c r="AC302" s="32">
        <v>2</v>
      </c>
      <c r="AD302" s="34" t="str">
        <f>VLOOKUP(AC302,Key!$E$20:$F$24,2,FALSE)</f>
        <v>300,000-500,000</v>
      </c>
      <c r="AE302" s="32">
        <v>1</v>
      </c>
      <c r="AF302" s="55">
        <v>3</v>
      </c>
      <c r="AG302" s="55">
        <v>5</v>
      </c>
      <c r="AH302" s="55">
        <v>2</v>
      </c>
      <c r="AI302" s="55">
        <v>4</v>
      </c>
      <c r="AJ302" s="39" t="s">
        <v>104</v>
      </c>
      <c r="AK302" s="40"/>
      <c r="AL302" s="24"/>
      <c r="AM302" s="24"/>
    </row>
    <row r="303" spans="2:39" x14ac:dyDescent="0.2">
      <c r="B303" s="50">
        <v>43687</v>
      </c>
      <c r="C303" s="35">
        <v>0.3923611111111111</v>
      </c>
      <c r="D303" s="35"/>
      <c r="E303" s="35" t="s">
        <v>111</v>
      </c>
      <c r="F303" s="37">
        <v>2</v>
      </c>
      <c r="G303" s="42" t="str">
        <f>VLOOKUP(F303,Key!$A$17:$B$21,2,FALSE)</f>
        <v>Road Vehicle</v>
      </c>
      <c r="H303" s="36">
        <v>4</v>
      </c>
      <c r="I303" s="43" t="str">
        <f>VLOOKUP(H303,Key!$A$2:$B$13,2,FALSE)</f>
        <v>Minibus</v>
      </c>
      <c r="J303" s="37" t="s">
        <v>123</v>
      </c>
      <c r="K303" s="37">
        <v>2</v>
      </c>
      <c r="L303" s="45" t="str">
        <f>VLOOKUP(K303,Key!$A$24:$B$29,2,FALSE)</f>
        <v>30-39</v>
      </c>
      <c r="M303" s="37" t="s">
        <v>244</v>
      </c>
      <c r="N303" s="32" t="s">
        <v>173</v>
      </c>
      <c r="O303" s="37" t="s">
        <v>168</v>
      </c>
      <c r="P303" s="39">
        <v>1</v>
      </c>
      <c r="Q303" s="34" t="str">
        <f>VLOOKUP(P303,Key!$E$2:$F$9,2,FALSE)</f>
        <v>Home</v>
      </c>
      <c r="R303" s="37" t="s">
        <v>167</v>
      </c>
      <c r="S303" s="32" t="s">
        <v>167</v>
      </c>
      <c r="T303" s="37" t="s">
        <v>168</v>
      </c>
      <c r="U303" s="32">
        <v>2</v>
      </c>
      <c r="V303" s="34" t="str">
        <f>VLOOKUP(U303,Key!$E$2:$F$9,2,FALSE)</f>
        <v>Work</v>
      </c>
      <c r="W303" s="34" t="str">
        <f t="shared" si="7"/>
        <v>Home-Work</v>
      </c>
      <c r="X303" s="47">
        <v>70000</v>
      </c>
      <c r="Y303" s="38">
        <v>60</v>
      </c>
      <c r="Z303" s="38">
        <v>1.5</v>
      </c>
      <c r="AA303" s="32">
        <v>10</v>
      </c>
      <c r="AB303" s="34" t="str">
        <f>VLOOKUP(AA303,Key!$C$20:$D$29,2,FALSE)</f>
        <v>Other</v>
      </c>
      <c r="AC303" s="32">
        <v>2</v>
      </c>
      <c r="AD303" s="34" t="str">
        <f>VLOOKUP(AC303,Key!$E$20:$F$24,2,FALSE)</f>
        <v>300,000-500,000</v>
      </c>
      <c r="AE303" s="32">
        <v>3</v>
      </c>
      <c r="AF303" s="55">
        <v>4</v>
      </c>
      <c r="AG303" s="55">
        <v>4</v>
      </c>
      <c r="AH303" s="55">
        <v>4</v>
      </c>
      <c r="AI303" s="55">
        <v>4</v>
      </c>
      <c r="AJ303" s="39" t="s">
        <v>104</v>
      </c>
      <c r="AK303" s="40"/>
      <c r="AL303" s="24"/>
      <c r="AM303" s="24"/>
    </row>
    <row r="304" spans="2:39" x14ac:dyDescent="0.2">
      <c r="B304" s="50">
        <v>43686</v>
      </c>
      <c r="C304" s="35">
        <v>0.66319444444444442</v>
      </c>
      <c r="D304" s="35"/>
      <c r="E304" s="35" t="s">
        <v>111</v>
      </c>
      <c r="F304" s="37">
        <v>2</v>
      </c>
      <c r="G304" s="42" t="str">
        <f>VLOOKUP(F304,Key!$A$17:$B$21,2,FALSE)</f>
        <v>Road Vehicle</v>
      </c>
      <c r="H304" s="36">
        <v>4</v>
      </c>
      <c r="I304" s="43" t="str">
        <f>VLOOKUP(H304,Key!$A$2:$B$13,2,FALSE)</f>
        <v>Minibus</v>
      </c>
      <c r="J304" s="37" t="s">
        <v>123</v>
      </c>
      <c r="K304" s="13">
        <v>2</v>
      </c>
      <c r="L304" s="45" t="str">
        <f>VLOOKUP(K304,Key!$A$24:$B$29,2,FALSE)</f>
        <v>30-39</v>
      </c>
      <c r="M304" s="44" t="s">
        <v>189</v>
      </c>
      <c r="N304" s="44" t="s">
        <v>190</v>
      </c>
      <c r="O304" s="37" t="s">
        <v>168</v>
      </c>
      <c r="P304" s="39">
        <v>2</v>
      </c>
      <c r="Q304" s="34" t="str">
        <f>VLOOKUP(P304,Key!$E$2:$F$9,2,FALSE)</f>
        <v>Work</v>
      </c>
      <c r="R304" s="37" t="s">
        <v>179</v>
      </c>
      <c r="S304" s="32" t="s">
        <v>179</v>
      </c>
      <c r="T304" s="37" t="s">
        <v>168</v>
      </c>
      <c r="U304" s="32">
        <v>2</v>
      </c>
      <c r="V304" s="34" t="str">
        <f>VLOOKUP(U304,Key!$E$2:$F$9,2,FALSE)</f>
        <v>Work</v>
      </c>
      <c r="W304" s="34" t="str">
        <f t="shared" si="7"/>
        <v>Work-Work</v>
      </c>
      <c r="X304" s="47">
        <v>40000</v>
      </c>
      <c r="Y304" s="38">
        <v>70</v>
      </c>
      <c r="Z304" s="38">
        <v>2</v>
      </c>
      <c r="AA304" s="32">
        <v>10</v>
      </c>
      <c r="AB304" s="34" t="str">
        <f>VLOOKUP(AA304,Key!$C$20:$D$29,2,FALSE)</f>
        <v>Other</v>
      </c>
      <c r="AC304" s="32">
        <v>1</v>
      </c>
      <c r="AD304" s="34" t="str">
        <f>VLOOKUP(AC304,Key!$E$20:$F$24,2,FALSE)</f>
        <v>&lt;300,000</v>
      </c>
      <c r="AE304" s="32">
        <v>1</v>
      </c>
      <c r="AF304" s="55">
        <v>1</v>
      </c>
      <c r="AG304" s="55">
        <v>2</v>
      </c>
      <c r="AH304" s="55">
        <v>1</v>
      </c>
      <c r="AI304" s="55">
        <v>1</v>
      </c>
      <c r="AJ304" s="39" t="s">
        <v>104</v>
      </c>
      <c r="AK304" s="40">
        <v>2000</v>
      </c>
      <c r="AL304" s="24"/>
      <c r="AM304" s="24"/>
    </row>
    <row r="305" spans="2:39" x14ac:dyDescent="0.2">
      <c r="B305" s="50">
        <v>43686</v>
      </c>
      <c r="C305" s="35">
        <v>0.65416666666666667</v>
      </c>
      <c r="D305" s="35"/>
      <c r="E305" s="35" t="s">
        <v>111</v>
      </c>
      <c r="F305" s="37">
        <v>2</v>
      </c>
      <c r="G305" s="42" t="str">
        <f>VLOOKUP(F305,Key!$A$17:$B$21,2,FALSE)</f>
        <v>Road Vehicle</v>
      </c>
      <c r="H305" s="36">
        <v>4</v>
      </c>
      <c r="I305" s="43" t="str">
        <f>VLOOKUP(H305,Key!$A$2:$B$13,2,FALSE)</f>
        <v>Minibus</v>
      </c>
      <c r="J305" s="37" t="s">
        <v>123</v>
      </c>
      <c r="K305" s="37">
        <v>2</v>
      </c>
      <c r="L305" s="45" t="str">
        <f>VLOOKUP(K305,Key!$A$24:$B$29,2,FALSE)</f>
        <v>30-39</v>
      </c>
      <c r="M305" s="44" t="s">
        <v>228</v>
      </c>
      <c r="N305" s="44" t="s">
        <v>167</v>
      </c>
      <c r="O305" s="37" t="s">
        <v>168</v>
      </c>
      <c r="P305" s="39">
        <v>2</v>
      </c>
      <c r="Q305" s="34" t="str">
        <f>VLOOKUP(P305,Key!$E$2:$F$9,2,FALSE)</f>
        <v>Work</v>
      </c>
      <c r="R305" s="37" t="s">
        <v>201</v>
      </c>
      <c r="S305" s="32" t="s">
        <v>176</v>
      </c>
      <c r="T305" s="37" t="s">
        <v>168</v>
      </c>
      <c r="U305" s="32">
        <v>2</v>
      </c>
      <c r="V305" s="34" t="str">
        <f>VLOOKUP(U305,Key!$E$2:$F$9,2,FALSE)</f>
        <v>Work</v>
      </c>
      <c r="W305" s="34" t="str">
        <f t="shared" si="7"/>
        <v>Work-Work</v>
      </c>
      <c r="X305" s="47">
        <v>30000</v>
      </c>
      <c r="Y305" s="38">
        <v>70</v>
      </c>
      <c r="Z305" s="38">
        <v>2.5</v>
      </c>
      <c r="AA305" s="32">
        <v>10</v>
      </c>
      <c r="AB305" s="34" t="str">
        <f>VLOOKUP(AA305,Key!$C$20:$D$29,2,FALSE)</f>
        <v>Other</v>
      </c>
      <c r="AC305" s="32">
        <v>2</v>
      </c>
      <c r="AD305" s="34" t="str">
        <f>VLOOKUP(AC305,Key!$E$20:$F$24,2,FALSE)</f>
        <v>300,000-500,000</v>
      </c>
      <c r="AE305" s="32">
        <v>1</v>
      </c>
      <c r="AF305" s="55">
        <v>1</v>
      </c>
      <c r="AG305" s="55">
        <v>1</v>
      </c>
      <c r="AH305" s="55">
        <v>1</v>
      </c>
      <c r="AI305" s="55">
        <v>1</v>
      </c>
      <c r="AJ305" s="39" t="s">
        <v>104</v>
      </c>
      <c r="AK305" s="40"/>
      <c r="AL305" s="24"/>
      <c r="AM305" s="24"/>
    </row>
    <row r="306" spans="2:39" x14ac:dyDescent="0.2">
      <c r="B306" s="50">
        <v>43688</v>
      </c>
      <c r="C306" s="35">
        <v>0.69166666666666676</v>
      </c>
      <c r="D306" s="35"/>
      <c r="E306" s="35" t="s">
        <v>111</v>
      </c>
      <c r="F306" s="37">
        <v>2</v>
      </c>
      <c r="G306" s="42" t="str">
        <f>VLOOKUP(F306,Key!$A$17:$B$21,2,FALSE)</f>
        <v>Road Vehicle</v>
      </c>
      <c r="H306" s="36">
        <v>4</v>
      </c>
      <c r="I306" s="43" t="str">
        <f>VLOOKUP(H306,Key!$A$2:$B$13,2,FALSE)</f>
        <v>Minibus</v>
      </c>
      <c r="J306" s="37" t="s">
        <v>123</v>
      </c>
      <c r="K306" s="37">
        <v>2</v>
      </c>
      <c r="L306" s="45" t="str">
        <f>VLOOKUP(K306,Key!$A$24:$B$29,2,FALSE)</f>
        <v>30-39</v>
      </c>
      <c r="M306" s="44" t="s">
        <v>167</v>
      </c>
      <c r="N306" s="44" t="s">
        <v>167</v>
      </c>
      <c r="O306" s="37" t="s">
        <v>168</v>
      </c>
      <c r="P306" s="39">
        <v>2</v>
      </c>
      <c r="Q306" s="34" t="str">
        <f>VLOOKUP(P306,Key!$E$2:$F$9,2,FALSE)</f>
        <v>Work</v>
      </c>
      <c r="R306" s="37" t="s">
        <v>176</v>
      </c>
      <c r="S306" s="32" t="s">
        <v>176</v>
      </c>
      <c r="T306" s="37" t="s">
        <v>168</v>
      </c>
      <c r="U306" s="32">
        <v>2</v>
      </c>
      <c r="V306" s="34" t="str">
        <f>VLOOKUP(U306,Key!$E$2:$F$9,2,FALSE)</f>
        <v>Work</v>
      </c>
      <c r="W306" s="34" t="str">
        <f t="shared" si="7"/>
        <v>Work-Work</v>
      </c>
      <c r="X306" s="47">
        <v>40000</v>
      </c>
      <c r="Y306" s="38">
        <v>70</v>
      </c>
      <c r="Z306" s="38">
        <v>3</v>
      </c>
      <c r="AA306" s="32">
        <v>10</v>
      </c>
      <c r="AB306" s="34" t="str">
        <f>VLOOKUP(AA306,Key!$C$20:$D$29,2,FALSE)</f>
        <v>Other</v>
      </c>
      <c r="AC306" s="32">
        <v>1</v>
      </c>
      <c r="AD306" s="34" t="str">
        <f>VLOOKUP(AC306,Key!$E$20:$F$24,2,FALSE)</f>
        <v>&lt;300,000</v>
      </c>
      <c r="AE306" s="32">
        <v>1</v>
      </c>
      <c r="AF306" s="55">
        <v>1</v>
      </c>
      <c r="AG306" s="55">
        <v>1</v>
      </c>
      <c r="AH306" s="55">
        <v>1</v>
      </c>
      <c r="AI306" s="55">
        <v>1</v>
      </c>
      <c r="AJ306" s="39" t="s">
        <v>104</v>
      </c>
      <c r="AK306" s="40">
        <v>2000</v>
      </c>
      <c r="AL306" s="24"/>
      <c r="AM306" s="24"/>
    </row>
    <row r="307" spans="2:39" x14ac:dyDescent="0.2">
      <c r="B307" s="50">
        <v>43690</v>
      </c>
      <c r="C307" s="35">
        <v>0.375</v>
      </c>
      <c r="D307" s="35"/>
      <c r="E307" s="35" t="s">
        <v>111</v>
      </c>
      <c r="F307" s="37">
        <v>2</v>
      </c>
      <c r="G307" s="42" t="str">
        <f>VLOOKUP(F307,Key!$A$17:$B$21,2,FALSE)</f>
        <v>Road Vehicle</v>
      </c>
      <c r="H307" s="36">
        <v>4</v>
      </c>
      <c r="I307" s="43" t="str">
        <f>VLOOKUP(H307,Key!$A$2:$B$13,2,FALSE)</f>
        <v>Minibus</v>
      </c>
      <c r="J307" s="37" t="s">
        <v>123</v>
      </c>
      <c r="K307" s="37">
        <v>2</v>
      </c>
      <c r="L307" s="45" t="str">
        <f>VLOOKUP(K307,Key!$A$24:$B$29,2,FALSE)</f>
        <v>30-39</v>
      </c>
      <c r="M307" s="44" t="s">
        <v>167</v>
      </c>
      <c r="N307" s="44" t="s">
        <v>167</v>
      </c>
      <c r="O307" s="37" t="s">
        <v>168</v>
      </c>
      <c r="P307" s="39">
        <v>2</v>
      </c>
      <c r="Q307" s="34" t="str">
        <f>VLOOKUP(P307,Key!$E$2:$F$9,2,FALSE)</f>
        <v>Work</v>
      </c>
      <c r="R307" s="37" t="s">
        <v>176</v>
      </c>
      <c r="S307" s="32" t="s">
        <v>176</v>
      </c>
      <c r="T307" s="37" t="s">
        <v>168</v>
      </c>
      <c r="U307" s="32">
        <v>2</v>
      </c>
      <c r="V307" s="34" t="str">
        <f>VLOOKUP(U307,Key!$E$2:$F$9,2,FALSE)</f>
        <v>Work</v>
      </c>
      <c r="W307" s="34" t="str">
        <f t="shared" si="7"/>
        <v>Work-Work</v>
      </c>
      <c r="X307" s="47">
        <v>40000</v>
      </c>
      <c r="Y307" s="38">
        <v>70</v>
      </c>
      <c r="Z307" s="38">
        <v>3</v>
      </c>
      <c r="AA307" s="32">
        <v>10</v>
      </c>
      <c r="AB307" s="34" t="str">
        <f>VLOOKUP(AA307,Key!$C$20:$D$29,2,FALSE)</f>
        <v>Other</v>
      </c>
      <c r="AC307" s="32">
        <v>1</v>
      </c>
      <c r="AD307" s="34" t="str">
        <f>VLOOKUP(AC307,Key!$E$20:$F$24,2,FALSE)</f>
        <v>&lt;300,000</v>
      </c>
      <c r="AE307" s="32">
        <v>1</v>
      </c>
      <c r="AF307" s="55">
        <v>1</v>
      </c>
      <c r="AG307" s="55">
        <v>1</v>
      </c>
      <c r="AH307" s="55">
        <v>1</v>
      </c>
      <c r="AI307" s="55">
        <v>1</v>
      </c>
      <c r="AJ307" s="39" t="s">
        <v>104</v>
      </c>
      <c r="AK307" s="40">
        <v>2000</v>
      </c>
      <c r="AL307" s="24"/>
      <c r="AM307" s="24"/>
    </row>
    <row r="308" spans="2:39" x14ac:dyDescent="0.2">
      <c r="B308" s="50">
        <v>43690</v>
      </c>
      <c r="C308" s="35">
        <v>0.73333333333333339</v>
      </c>
      <c r="D308" s="35"/>
      <c r="E308" s="35" t="s">
        <v>111</v>
      </c>
      <c r="F308" s="37">
        <v>2</v>
      </c>
      <c r="G308" s="42" t="str">
        <f>VLOOKUP(F308,Key!$A$17:$B$21,2,FALSE)</f>
        <v>Road Vehicle</v>
      </c>
      <c r="H308" s="36">
        <v>4</v>
      </c>
      <c r="I308" s="43" t="str">
        <f>VLOOKUP(H308,Key!$A$2:$B$13,2,FALSE)</f>
        <v>Minibus</v>
      </c>
      <c r="J308" s="37" t="s">
        <v>123</v>
      </c>
      <c r="K308" s="37">
        <v>2</v>
      </c>
      <c r="L308" s="45" t="str">
        <f>VLOOKUP(K308,Key!$A$24:$B$29,2,FALSE)</f>
        <v>30-39</v>
      </c>
      <c r="M308" s="37" t="s">
        <v>247</v>
      </c>
      <c r="N308" s="32" t="s">
        <v>167</v>
      </c>
      <c r="O308" s="37" t="s">
        <v>168</v>
      </c>
      <c r="P308" s="39">
        <v>2</v>
      </c>
      <c r="Q308" s="34" t="str">
        <f>VLOOKUP(P308,Key!$E$2:$F$9,2,FALSE)</f>
        <v>Work</v>
      </c>
      <c r="R308" s="37" t="s">
        <v>176</v>
      </c>
      <c r="S308" s="32" t="s">
        <v>176</v>
      </c>
      <c r="T308" s="37" t="s">
        <v>168</v>
      </c>
      <c r="U308" s="32">
        <v>2</v>
      </c>
      <c r="V308" s="34" t="str">
        <f>VLOOKUP(U308,Key!$E$2:$F$9,2,FALSE)</f>
        <v>Work</v>
      </c>
      <c r="W308" s="34" t="str">
        <f t="shared" si="7"/>
        <v>Work-Work</v>
      </c>
      <c r="X308" s="47">
        <v>60000</v>
      </c>
      <c r="Y308" s="38">
        <v>70</v>
      </c>
      <c r="Z308" s="38">
        <v>3</v>
      </c>
      <c r="AA308" s="32">
        <v>10</v>
      </c>
      <c r="AB308" s="34" t="str">
        <f>VLOOKUP(AA308,Key!$C$20:$D$29,2,FALSE)</f>
        <v>Other</v>
      </c>
      <c r="AC308" s="32">
        <v>1</v>
      </c>
      <c r="AD308" s="34" t="str">
        <f>VLOOKUP(AC308,Key!$E$20:$F$24,2,FALSE)</f>
        <v>&lt;300,000</v>
      </c>
      <c r="AE308" s="32">
        <v>1</v>
      </c>
      <c r="AF308" s="55">
        <v>1</v>
      </c>
      <c r="AG308" s="55">
        <v>1</v>
      </c>
      <c r="AH308" s="55">
        <v>2</v>
      </c>
      <c r="AI308" s="55">
        <v>1</v>
      </c>
      <c r="AJ308" s="39" t="s">
        <v>104</v>
      </c>
      <c r="AK308" s="40">
        <v>1000</v>
      </c>
      <c r="AL308" s="24"/>
      <c r="AM308" s="24"/>
    </row>
    <row r="309" spans="2:39" x14ac:dyDescent="0.2">
      <c r="B309" s="50">
        <v>43690</v>
      </c>
      <c r="C309" s="35">
        <v>0.34097222222222223</v>
      </c>
      <c r="D309" s="35"/>
      <c r="E309" s="35" t="s">
        <v>111</v>
      </c>
      <c r="F309" s="37">
        <v>2</v>
      </c>
      <c r="G309" s="42" t="str">
        <f>VLOOKUP(F309,Key!$A$17:$B$21,2,FALSE)</f>
        <v>Road Vehicle</v>
      </c>
      <c r="H309" s="36">
        <v>4</v>
      </c>
      <c r="I309" s="43" t="str">
        <f>VLOOKUP(H309,Key!$A$2:$B$13,2,FALSE)</f>
        <v>Minibus</v>
      </c>
      <c r="J309" s="37" t="s">
        <v>123</v>
      </c>
      <c r="K309" s="37">
        <v>2</v>
      </c>
      <c r="L309" s="45" t="str">
        <f>VLOOKUP(K309,Key!$A$24:$B$29,2,FALSE)</f>
        <v>30-39</v>
      </c>
      <c r="M309" s="37" t="s">
        <v>228</v>
      </c>
      <c r="N309" s="32" t="s">
        <v>167</v>
      </c>
      <c r="O309" s="37" t="s">
        <v>168</v>
      </c>
      <c r="P309" s="39">
        <v>2</v>
      </c>
      <c r="Q309" s="34" t="str">
        <f>VLOOKUP(P309,Key!$E$2:$F$9,2,FALSE)</f>
        <v>Work</v>
      </c>
      <c r="R309" s="37" t="s">
        <v>219</v>
      </c>
      <c r="S309" s="32" t="s">
        <v>176</v>
      </c>
      <c r="T309" s="37" t="s">
        <v>168</v>
      </c>
      <c r="U309" s="32">
        <v>4</v>
      </c>
      <c r="V309" s="34" t="str">
        <f>VLOOKUP(U309,Key!$E$2:$F$9,2,FALSE)</f>
        <v>Commercial</v>
      </c>
      <c r="W309" s="34" t="str">
        <f t="shared" si="7"/>
        <v>Work-Commercial</v>
      </c>
      <c r="X309" s="47">
        <v>30000</v>
      </c>
      <c r="Y309" s="38">
        <v>70</v>
      </c>
      <c r="Z309" s="38">
        <v>3</v>
      </c>
      <c r="AA309" s="32">
        <v>10</v>
      </c>
      <c r="AB309" s="34" t="str">
        <f>VLOOKUP(AA309,Key!$C$20:$D$29,2,FALSE)</f>
        <v>Other</v>
      </c>
      <c r="AC309" s="32">
        <v>1</v>
      </c>
      <c r="AD309" s="34" t="str">
        <f>VLOOKUP(AC309,Key!$E$20:$F$24,2,FALSE)</f>
        <v>&lt;300,000</v>
      </c>
      <c r="AE309" s="32">
        <v>1</v>
      </c>
      <c r="AF309" s="55">
        <v>1</v>
      </c>
      <c r="AG309" s="55">
        <v>1</v>
      </c>
      <c r="AH309" s="55">
        <v>1</v>
      </c>
      <c r="AI309" s="55">
        <v>1</v>
      </c>
      <c r="AJ309" s="39" t="s">
        <v>104</v>
      </c>
      <c r="AK309" s="40">
        <v>1000</v>
      </c>
      <c r="AL309" s="24"/>
      <c r="AM309" s="24"/>
    </row>
    <row r="310" spans="2:39" x14ac:dyDescent="0.2">
      <c r="B310" s="50">
        <v>43689</v>
      </c>
      <c r="C310" s="35">
        <v>0.49652777777777773</v>
      </c>
      <c r="D310" s="35"/>
      <c r="E310" s="35" t="s">
        <v>111</v>
      </c>
      <c r="F310" s="37">
        <v>2</v>
      </c>
      <c r="G310" s="42" t="str">
        <f>VLOOKUP(F310,Key!$A$17:$B$21,2,FALSE)</f>
        <v>Road Vehicle</v>
      </c>
      <c r="H310" s="36">
        <v>4</v>
      </c>
      <c r="I310" s="43" t="str">
        <f>VLOOKUP(H310,Key!$A$2:$B$13,2,FALSE)</f>
        <v>Minibus</v>
      </c>
      <c r="J310" s="37" t="s">
        <v>123</v>
      </c>
      <c r="K310" s="13">
        <v>2</v>
      </c>
      <c r="L310" s="45" t="str">
        <f>VLOOKUP(K310,Key!$A$24:$B$29,2,FALSE)</f>
        <v>30-39</v>
      </c>
      <c r="M310" s="44" t="s">
        <v>189</v>
      </c>
      <c r="N310" s="44" t="s">
        <v>190</v>
      </c>
      <c r="O310" s="37" t="s">
        <v>168</v>
      </c>
      <c r="P310" s="39">
        <v>2</v>
      </c>
      <c r="Q310" s="34" t="str">
        <f>VLOOKUP(P310,Key!$E$2:$F$9,2,FALSE)</f>
        <v>Work</v>
      </c>
      <c r="R310" s="37" t="s">
        <v>179</v>
      </c>
      <c r="S310" s="32" t="s">
        <v>179</v>
      </c>
      <c r="T310" s="37" t="s">
        <v>168</v>
      </c>
      <c r="U310" s="32">
        <v>2</v>
      </c>
      <c r="V310" s="34" t="str">
        <f>VLOOKUP(U310,Key!$E$2:$F$9,2,FALSE)</f>
        <v>Work</v>
      </c>
      <c r="W310" s="34" t="str">
        <f t="shared" si="7"/>
        <v>Work-Work</v>
      </c>
      <c r="X310" s="47">
        <v>40000</v>
      </c>
      <c r="Y310" s="38">
        <v>70</v>
      </c>
      <c r="Z310" s="38"/>
      <c r="AA310" s="32">
        <v>10</v>
      </c>
      <c r="AB310" s="34" t="str">
        <f>VLOOKUP(AA310,Key!$C$20:$D$29,2,FALSE)</f>
        <v>Other</v>
      </c>
      <c r="AC310" s="32">
        <v>1</v>
      </c>
      <c r="AD310" s="34" t="str">
        <f>VLOOKUP(AC310,Key!$E$20:$F$24,2,FALSE)</f>
        <v>&lt;300,000</v>
      </c>
      <c r="AE310" s="32">
        <v>1</v>
      </c>
      <c r="AF310" s="55">
        <v>1</v>
      </c>
      <c r="AG310" s="55">
        <v>2</v>
      </c>
      <c r="AH310" s="55">
        <v>2</v>
      </c>
      <c r="AI310" s="55">
        <v>1</v>
      </c>
      <c r="AJ310" s="39" t="s">
        <v>104</v>
      </c>
      <c r="AK310" s="40"/>
      <c r="AL310" s="24"/>
      <c r="AM310" s="24"/>
    </row>
    <row r="311" spans="2:39" x14ac:dyDescent="0.2">
      <c r="B311" s="50">
        <v>43689</v>
      </c>
      <c r="C311" s="35">
        <v>0.3576388888888889</v>
      </c>
      <c r="D311" s="35"/>
      <c r="E311" s="35" t="s">
        <v>111</v>
      </c>
      <c r="F311" s="37">
        <v>2</v>
      </c>
      <c r="G311" s="42" t="str">
        <f>VLOOKUP(F311,Key!$A$17:$B$21,2,FALSE)</f>
        <v>Road Vehicle</v>
      </c>
      <c r="H311" s="36">
        <v>4</v>
      </c>
      <c r="I311" s="43" t="str">
        <f>VLOOKUP(H311,Key!$A$2:$B$13,2,FALSE)</f>
        <v>Minibus</v>
      </c>
      <c r="J311" s="37" t="s">
        <v>123</v>
      </c>
      <c r="K311" s="37">
        <v>2</v>
      </c>
      <c r="L311" s="45" t="str">
        <f>VLOOKUP(K311,Key!$A$24:$B$29,2,FALSE)</f>
        <v>30-39</v>
      </c>
      <c r="M311" s="37" t="s">
        <v>202</v>
      </c>
      <c r="N311" s="32" t="s">
        <v>179</v>
      </c>
      <c r="O311" s="37" t="s">
        <v>168</v>
      </c>
      <c r="P311" s="39">
        <v>2</v>
      </c>
      <c r="Q311" s="34" t="str">
        <f>VLOOKUP(P311,Key!$E$2:$F$9,2,FALSE)</f>
        <v>Work</v>
      </c>
      <c r="R311" s="37" t="s">
        <v>201</v>
      </c>
      <c r="S311" s="32" t="s">
        <v>176</v>
      </c>
      <c r="T311" s="37" t="s">
        <v>168</v>
      </c>
      <c r="U311" s="32">
        <v>2</v>
      </c>
      <c r="V311" s="34" t="str">
        <f>VLOOKUP(U311,Key!$E$2:$F$9,2,FALSE)</f>
        <v>Work</v>
      </c>
      <c r="W311" s="34" t="str">
        <f t="shared" si="7"/>
        <v>Work-Work</v>
      </c>
      <c r="X311" s="47">
        <v>25000</v>
      </c>
      <c r="Y311" s="38">
        <v>80</v>
      </c>
      <c r="Z311" s="38">
        <v>2.5</v>
      </c>
      <c r="AA311" s="32">
        <v>6</v>
      </c>
      <c r="AB311" s="34" t="str">
        <f>VLOOKUP(AA311,Key!$C$20:$D$29,2,FALSE)</f>
        <v>Businessman</v>
      </c>
      <c r="AC311" s="32">
        <v>5</v>
      </c>
      <c r="AD311" s="34" t="str">
        <f>VLOOKUP(AC311,Key!$E$20:$F$24,2,FALSE)</f>
        <v>&gt;1,000,000</v>
      </c>
      <c r="AE311" s="32">
        <v>1</v>
      </c>
      <c r="AF311" s="55">
        <v>1</v>
      </c>
      <c r="AG311" s="55">
        <v>2</v>
      </c>
      <c r="AH311" s="55">
        <v>1</v>
      </c>
      <c r="AI311" s="55">
        <v>5</v>
      </c>
      <c r="AJ311" s="39" t="s">
        <v>104</v>
      </c>
      <c r="AK311" s="40">
        <v>1500</v>
      </c>
      <c r="AL311" s="24"/>
      <c r="AM311" s="24"/>
    </row>
    <row r="312" spans="2:39" x14ac:dyDescent="0.2">
      <c r="B312" s="50">
        <v>43689</v>
      </c>
      <c r="C312" s="35">
        <v>0.60416666666666663</v>
      </c>
      <c r="D312" s="35"/>
      <c r="E312" s="35" t="s">
        <v>111</v>
      </c>
      <c r="F312" s="37">
        <v>2</v>
      </c>
      <c r="G312" s="42" t="str">
        <f>VLOOKUP(F312,Key!$A$17:$B$21,2,FALSE)</f>
        <v>Road Vehicle</v>
      </c>
      <c r="H312" s="36">
        <v>4</v>
      </c>
      <c r="I312" s="43" t="str">
        <f>VLOOKUP(H312,Key!$A$2:$B$13,2,FALSE)</f>
        <v>Minibus</v>
      </c>
      <c r="J312" s="37" t="s">
        <v>123</v>
      </c>
      <c r="K312" s="37">
        <v>2</v>
      </c>
      <c r="L312" s="45" t="str">
        <f>VLOOKUP(K312,Key!$A$24:$B$29,2,FALSE)</f>
        <v>30-39</v>
      </c>
      <c r="M312" s="37" t="s">
        <v>247</v>
      </c>
      <c r="N312" s="32" t="s">
        <v>167</v>
      </c>
      <c r="O312" s="37" t="s">
        <v>168</v>
      </c>
      <c r="P312" s="39">
        <v>2</v>
      </c>
      <c r="Q312" s="34" t="str">
        <f>VLOOKUP(P312,Key!$E$2:$F$9,2,FALSE)</f>
        <v>Work</v>
      </c>
      <c r="R312" s="37" t="s">
        <v>201</v>
      </c>
      <c r="S312" s="32" t="s">
        <v>176</v>
      </c>
      <c r="T312" s="37" t="s">
        <v>168</v>
      </c>
      <c r="U312" s="32">
        <v>4</v>
      </c>
      <c r="V312" s="34" t="str">
        <f>VLOOKUP(U312,Key!$E$2:$F$9,2,FALSE)</f>
        <v>Commercial</v>
      </c>
      <c r="W312" s="34" t="str">
        <f t="shared" si="7"/>
        <v>Work-Commercial</v>
      </c>
      <c r="X312" s="47">
        <v>30000</v>
      </c>
      <c r="Y312" s="38">
        <v>80</v>
      </c>
      <c r="Z312" s="38">
        <v>2.5</v>
      </c>
      <c r="AA312" s="32">
        <v>6</v>
      </c>
      <c r="AB312" s="34" t="str">
        <f>VLOOKUP(AA312,Key!$C$20:$D$29,2,FALSE)</f>
        <v>Businessman</v>
      </c>
      <c r="AC312" s="32">
        <v>2</v>
      </c>
      <c r="AD312" s="34" t="str">
        <f>VLOOKUP(AC312,Key!$E$20:$F$24,2,FALSE)</f>
        <v>300,000-500,000</v>
      </c>
      <c r="AE312" s="32">
        <v>1</v>
      </c>
      <c r="AF312" s="55">
        <v>1</v>
      </c>
      <c r="AG312" s="55">
        <v>1</v>
      </c>
      <c r="AH312" s="55">
        <v>1</v>
      </c>
      <c r="AI312" s="55">
        <v>1</v>
      </c>
      <c r="AJ312" s="39" t="s">
        <v>104</v>
      </c>
      <c r="AK312" s="40">
        <v>2000</v>
      </c>
      <c r="AL312" s="24"/>
      <c r="AM312" s="24"/>
    </row>
    <row r="313" spans="2:39" x14ac:dyDescent="0.2">
      <c r="B313" s="50">
        <v>43686</v>
      </c>
      <c r="C313" s="35">
        <v>0.67152777777777783</v>
      </c>
      <c r="D313" s="35"/>
      <c r="E313" s="35" t="s">
        <v>111</v>
      </c>
      <c r="F313" s="37">
        <v>2</v>
      </c>
      <c r="G313" s="42" t="str">
        <f>VLOOKUP(F313,Key!$A$17:$B$21,2,FALSE)</f>
        <v>Road Vehicle</v>
      </c>
      <c r="H313" s="36">
        <v>4</v>
      </c>
      <c r="I313" s="43" t="str">
        <f>VLOOKUP(H313,Key!$A$2:$B$13,2,FALSE)</f>
        <v>Minibus</v>
      </c>
      <c r="J313" s="37" t="s">
        <v>123</v>
      </c>
      <c r="K313" s="37">
        <v>2</v>
      </c>
      <c r="L313" s="45" t="str">
        <f>VLOOKUP(K313,Key!$A$24:$B$29,2,FALSE)</f>
        <v>30-39</v>
      </c>
      <c r="M313" s="44" t="s">
        <v>209</v>
      </c>
      <c r="N313" s="44" t="s">
        <v>167</v>
      </c>
      <c r="O313" s="37" t="s">
        <v>168</v>
      </c>
      <c r="P313" s="39">
        <v>2</v>
      </c>
      <c r="Q313" s="34" t="str">
        <f>VLOOKUP(P313,Key!$E$2:$F$9,2,FALSE)</f>
        <v>Work</v>
      </c>
      <c r="R313" s="37" t="s">
        <v>210</v>
      </c>
      <c r="S313" s="32" t="s">
        <v>176</v>
      </c>
      <c r="T313" s="37" t="s">
        <v>168</v>
      </c>
      <c r="U313" s="32">
        <v>2</v>
      </c>
      <c r="V313" s="34" t="str">
        <f>VLOOKUP(U313,Key!$E$2:$F$9,2,FALSE)</f>
        <v>Work</v>
      </c>
      <c r="W313" s="34" t="str">
        <f t="shared" si="7"/>
        <v>Work-Work</v>
      </c>
      <c r="X313" s="47">
        <v>50000</v>
      </c>
      <c r="Y313" s="38">
        <v>80</v>
      </c>
      <c r="Z313" s="38">
        <v>2.5</v>
      </c>
      <c r="AA313" s="32">
        <v>10</v>
      </c>
      <c r="AB313" s="34" t="str">
        <f>VLOOKUP(AA313,Key!$C$20:$D$29,2,FALSE)</f>
        <v>Other</v>
      </c>
      <c r="AC313" s="32">
        <v>2</v>
      </c>
      <c r="AD313" s="34" t="str">
        <f>VLOOKUP(AC313,Key!$E$20:$F$24,2,FALSE)</f>
        <v>300,000-500,000</v>
      </c>
      <c r="AE313" s="32"/>
      <c r="AF313" s="55"/>
      <c r="AG313" s="55"/>
      <c r="AH313" s="55"/>
      <c r="AI313" s="55"/>
      <c r="AJ313" s="39" t="s">
        <v>104</v>
      </c>
      <c r="AK313" s="40">
        <v>2000</v>
      </c>
      <c r="AL313" s="24"/>
      <c r="AM313" s="24"/>
    </row>
    <row r="314" spans="2:39" x14ac:dyDescent="0.2">
      <c r="B314" s="50">
        <v>43686</v>
      </c>
      <c r="C314" s="35">
        <v>0.59027777777777779</v>
      </c>
      <c r="D314" s="35"/>
      <c r="E314" s="35" t="s">
        <v>111</v>
      </c>
      <c r="F314" s="37">
        <v>2</v>
      </c>
      <c r="G314" s="42" t="str">
        <f>VLOOKUP(F314,Key!$A$17:$B$21,2,FALSE)</f>
        <v>Road Vehicle</v>
      </c>
      <c r="H314" s="36">
        <v>4</v>
      </c>
      <c r="I314" s="43" t="str">
        <f>VLOOKUP(H314,Key!$A$2:$B$13,2,FALSE)</f>
        <v>Minibus</v>
      </c>
      <c r="J314" s="37" t="s">
        <v>123</v>
      </c>
      <c r="K314" s="37">
        <v>2</v>
      </c>
      <c r="L314" s="45" t="str">
        <f>VLOOKUP(K314,Key!$A$24:$B$29,2,FALSE)</f>
        <v>30-39</v>
      </c>
      <c r="M314" s="44" t="s">
        <v>167</v>
      </c>
      <c r="N314" s="44" t="s">
        <v>167</v>
      </c>
      <c r="O314" s="37" t="s">
        <v>168</v>
      </c>
      <c r="P314" s="39">
        <v>2</v>
      </c>
      <c r="Q314" s="34" t="str">
        <f>VLOOKUP(P314,Key!$E$2:$F$9,2,FALSE)</f>
        <v>Work</v>
      </c>
      <c r="R314" s="37" t="s">
        <v>210</v>
      </c>
      <c r="S314" s="32" t="s">
        <v>176</v>
      </c>
      <c r="T314" s="37" t="s">
        <v>168</v>
      </c>
      <c r="U314" s="32">
        <v>2</v>
      </c>
      <c r="V314" s="34" t="str">
        <f>VLOOKUP(U314,Key!$E$2:$F$9,2,FALSE)</f>
        <v>Work</v>
      </c>
      <c r="W314" s="34" t="str">
        <f t="shared" si="7"/>
        <v>Work-Work</v>
      </c>
      <c r="X314" s="47">
        <v>50000</v>
      </c>
      <c r="Y314" s="38">
        <v>80</v>
      </c>
      <c r="Z314" s="38">
        <v>2.5</v>
      </c>
      <c r="AA314" s="32">
        <v>10</v>
      </c>
      <c r="AB314" s="34" t="str">
        <f>VLOOKUP(AA314,Key!$C$20:$D$29,2,FALSE)</f>
        <v>Other</v>
      </c>
      <c r="AC314" s="32">
        <v>2</v>
      </c>
      <c r="AD314" s="34" t="str">
        <f>VLOOKUP(AC314,Key!$E$20:$F$24,2,FALSE)</f>
        <v>300,000-500,000</v>
      </c>
      <c r="AE314" s="32"/>
      <c r="AF314" s="55"/>
      <c r="AG314" s="55"/>
      <c r="AH314" s="55"/>
      <c r="AI314" s="55"/>
      <c r="AJ314" s="39" t="s">
        <v>104</v>
      </c>
      <c r="AK314" s="40">
        <v>2000</v>
      </c>
      <c r="AL314" s="24"/>
      <c r="AM314" s="24"/>
    </row>
    <row r="315" spans="2:39" x14ac:dyDescent="0.2">
      <c r="B315" s="50">
        <v>43686</v>
      </c>
      <c r="C315" s="35">
        <v>0.61111111111111105</v>
      </c>
      <c r="D315" s="35"/>
      <c r="E315" s="35" t="s">
        <v>111</v>
      </c>
      <c r="F315" s="37">
        <v>2</v>
      </c>
      <c r="G315" s="42" t="str">
        <f>VLOOKUP(F315,Key!$A$17:$B$21,2,FALSE)</f>
        <v>Road Vehicle</v>
      </c>
      <c r="H315" s="36">
        <v>4</v>
      </c>
      <c r="I315" s="43" t="str">
        <f>VLOOKUP(H315,Key!$A$2:$B$13,2,FALSE)</f>
        <v>Minibus</v>
      </c>
      <c r="J315" s="37" t="s">
        <v>123</v>
      </c>
      <c r="K315" s="37">
        <v>2</v>
      </c>
      <c r="L315" s="45" t="str">
        <f>VLOOKUP(K315,Key!$A$24:$B$29,2,FALSE)</f>
        <v>30-39</v>
      </c>
      <c r="M315" s="37" t="s">
        <v>187</v>
      </c>
      <c r="N315" s="32" t="s">
        <v>167</v>
      </c>
      <c r="O315" s="37" t="s">
        <v>168</v>
      </c>
      <c r="P315" s="39">
        <v>1</v>
      </c>
      <c r="Q315" s="34" t="str">
        <f>VLOOKUP(P315,Key!$E$2:$F$9,2,FALSE)</f>
        <v>Home</v>
      </c>
      <c r="R315" s="37" t="s">
        <v>201</v>
      </c>
      <c r="S315" s="32" t="s">
        <v>176</v>
      </c>
      <c r="T315" s="37" t="s">
        <v>168</v>
      </c>
      <c r="U315" s="32">
        <v>2</v>
      </c>
      <c r="V315" s="34" t="str">
        <f>VLOOKUP(U315,Key!$E$2:$F$9,2,FALSE)</f>
        <v>Work</v>
      </c>
      <c r="W315" s="34" t="str">
        <f t="shared" si="7"/>
        <v>Home-Work</v>
      </c>
      <c r="X315" s="47">
        <v>30000</v>
      </c>
      <c r="Y315" s="38">
        <v>80</v>
      </c>
      <c r="Z315" s="38">
        <v>3</v>
      </c>
      <c r="AA315" s="32">
        <v>6</v>
      </c>
      <c r="AB315" s="34" t="str">
        <f>VLOOKUP(AA315,Key!$C$20:$D$29,2,FALSE)</f>
        <v>Businessman</v>
      </c>
      <c r="AC315" s="32">
        <v>3</v>
      </c>
      <c r="AD315" s="34" t="str">
        <f>VLOOKUP(AC315,Key!$E$20:$F$24,2,FALSE)</f>
        <v>500,000-750,000</v>
      </c>
      <c r="AE315" s="32">
        <v>1</v>
      </c>
      <c r="AF315" s="55">
        <v>1</v>
      </c>
      <c r="AG315" s="55">
        <v>1</v>
      </c>
      <c r="AH315" s="55">
        <v>1</v>
      </c>
      <c r="AI315" s="55">
        <v>3</v>
      </c>
      <c r="AJ315" s="39" t="s">
        <v>104</v>
      </c>
      <c r="AK315" s="40">
        <v>1000</v>
      </c>
      <c r="AL315" s="24"/>
      <c r="AM315" s="24"/>
    </row>
    <row r="316" spans="2:39" x14ac:dyDescent="0.2">
      <c r="B316" s="50">
        <v>43686</v>
      </c>
      <c r="C316" s="35">
        <v>0.66805555555555562</v>
      </c>
      <c r="D316" s="35"/>
      <c r="E316" s="35" t="s">
        <v>111</v>
      </c>
      <c r="F316" s="37">
        <v>2</v>
      </c>
      <c r="G316" s="42" t="str">
        <f>VLOOKUP(F316,Key!$A$17:$B$21,2,FALSE)</f>
        <v>Road Vehicle</v>
      </c>
      <c r="H316" s="36">
        <v>4</v>
      </c>
      <c r="I316" s="43" t="str">
        <f>VLOOKUP(H316,Key!$A$2:$B$13,2,FALSE)</f>
        <v>Minibus</v>
      </c>
      <c r="J316" s="37" t="s">
        <v>123</v>
      </c>
      <c r="K316" s="37">
        <v>2</v>
      </c>
      <c r="L316" s="45" t="str">
        <f>VLOOKUP(K316,Key!$A$24:$B$29,2,FALSE)</f>
        <v>30-39</v>
      </c>
      <c r="M316" s="37" t="s">
        <v>247</v>
      </c>
      <c r="N316" s="32" t="s">
        <v>167</v>
      </c>
      <c r="O316" s="37" t="s">
        <v>168</v>
      </c>
      <c r="P316" s="39">
        <v>2</v>
      </c>
      <c r="Q316" s="34" t="str">
        <f>VLOOKUP(P316,Key!$E$2:$F$9,2,FALSE)</f>
        <v>Work</v>
      </c>
      <c r="R316" s="37" t="s">
        <v>201</v>
      </c>
      <c r="S316" s="32" t="s">
        <v>176</v>
      </c>
      <c r="T316" s="37" t="s">
        <v>168</v>
      </c>
      <c r="U316" s="32">
        <v>2</v>
      </c>
      <c r="V316" s="34" t="str">
        <f>VLOOKUP(U316,Key!$E$2:$F$9,2,FALSE)</f>
        <v>Work</v>
      </c>
      <c r="W316" s="34" t="str">
        <f t="shared" si="7"/>
        <v>Work-Work</v>
      </c>
      <c r="X316" s="47">
        <v>30000</v>
      </c>
      <c r="Y316" s="38">
        <v>80</v>
      </c>
      <c r="Z316" s="38">
        <v>3</v>
      </c>
      <c r="AA316" s="32">
        <v>6</v>
      </c>
      <c r="AB316" s="34" t="str">
        <f>VLOOKUP(AA316,Key!$C$20:$D$29,2,FALSE)</f>
        <v>Businessman</v>
      </c>
      <c r="AC316" s="32">
        <v>5</v>
      </c>
      <c r="AD316" s="34" t="str">
        <f>VLOOKUP(AC316,Key!$E$20:$F$24,2,FALSE)</f>
        <v>&gt;1,000,000</v>
      </c>
      <c r="AE316" s="32">
        <v>1</v>
      </c>
      <c r="AF316" s="55">
        <v>1</v>
      </c>
      <c r="AG316" s="55">
        <v>1</v>
      </c>
      <c r="AH316" s="55">
        <v>1</v>
      </c>
      <c r="AI316" s="55">
        <v>1</v>
      </c>
      <c r="AJ316" s="39" t="s">
        <v>104</v>
      </c>
      <c r="AK316" s="40">
        <v>3000</v>
      </c>
      <c r="AL316" s="24"/>
      <c r="AM316" s="24"/>
    </row>
    <row r="317" spans="2:39" x14ac:dyDescent="0.2">
      <c r="B317" s="50">
        <v>43687</v>
      </c>
      <c r="C317" s="35">
        <v>0.38819444444444445</v>
      </c>
      <c r="D317" s="35"/>
      <c r="E317" s="35" t="s">
        <v>111</v>
      </c>
      <c r="F317" s="37">
        <v>2</v>
      </c>
      <c r="G317" s="42" t="str">
        <f>VLOOKUP(F317,Key!$A$17:$B$21,2,FALSE)</f>
        <v>Road Vehicle</v>
      </c>
      <c r="H317" s="36">
        <v>4</v>
      </c>
      <c r="I317" s="43" t="str">
        <f>VLOOKUP(H317,Key!$A$2:$B$13,2,FALSE)</f>
        <v>Minibus</v>
      </c>
      <c r="J317" s="37" t="s">
        <v>123</v>
      </c>
      <c r="K317" s="37">
        <v>2</v>
      </c>
      <c r="L317" s="45" t="str">
        <f>VLOOKUP(K317,Key!$A$24:$B$29,2,FALSE)</f>
        <v>30-39</v>
      </c>
      <c r="M317" s="37" t="s">
        <v>167</v>
      </c>
      <c r="N317" s="32" t="s">
        <v>167</v>
      </c>
      <c r="O317" s="37" t="s">
        <v>168</v>
      </c>
      <c r="P317" s="39">
        <v>2</v>
      </c>
      <c r="Q317" s="34" t="str">
        <f>VLOOKUP(P317,Key!$E$2:$F$9,2,FALSE)</f>
        <v>Work</v>
      </c>
      <c r="R317" s="37" t="s">
        <v>176</v>
      </c>
      <c r="S317" s="32" t="s">
        <v>176</v>
      </c>
      <c r="T317" s="37" t="s">
        <v>168</v>
      </c>
      <c r="U317" s="32">
        <v>2</v>
      </c>
      <c r="V317" s="34" t="str">
        <f>VLOOKUP(U317,Key!$E$2:$F$9,2,FALSE)</f>
        <v>Work</v>
      </c>
      <c r="W317" s="34" t="str">
        <f t="shared" si="7"/>
        <v>Work-Work</v>
      </c>
      <c r="X317" s="47">
        <v>40000</v>
      </c>
      <c r="Y317" s="38">
        <v>80</v>
      </c>
      <c r="Z317" s="38">
        <v>3.5</v>
      </c>
      <c r="AA317" s="32">
        <v>10</v>
      </c>
      <c r="AB317" s="34" t="str">
        <f>VLOOKUP(AA317,Key!$C$20:$D$29,2,FALSE)</f>
        <v>Other</v>
      </c>
      <c r="AC317" s="32">
        <v>2</v>
      </c>
      <c r="AD317" s="34" t="str">
        <f>VLOOKUP(AC317,Key!$E$20:$F$24,2,FALSE)</f>
        <v>300,000-500,000</v>
      </c>
      <c r="AE317" s="32">
        <v>1</v>
      </c>
      <c r="AF317" s="55">
        <v>3</v>
      </c>
      <c r="AG317" s="55">
        <v>2</v>
      </c>
      <c r="AH317" s="55">
        <v>1</v>
      </c>
      <c r="AI317" s="55">
        <v>3</v>
      </c>
      <c r="AJ317" s="39" t="s">
        <v>104</v>
      </c>
      <c r="AK317" s="40">
        <v>2000</v>
      </c>
      <c r="AL317" s="24"/>
      <c r="AM317" s="24"/>
    </row>
    <row r="318" spans="2:39" x14ac:dyDescent="0.2">
      <c r="B318" s="50">
        <v>43687</v>
      </c>
      <c r="C318" s="35">
        <v>0.33194444444444443</v>
      </c>
      <c r="D318" s="35"/>
      <c r="E318" s="35" t="s">
        <v>111</v>
      </c>
      <c r="F318" s="37">
        <v>2</v>
      </c>
      <c r="G318" s="42" t="str">
        <f>VLOOKUP(F318,Key!$A$17:$B$21,2,FALSE)</f>
        <v>Road Vehicle</v>
      </c>
      <c r="H318" s="36">
        <v>4</v>
      </c>
      <c r="I318" s="43" t="str">
        <f>VLOOKUP(H318,Key!$A$2:$B$13,2,FALSE)</f>
        <v>Minibus</v>
      </c>
      <c r="J318" s="37" t="s">
        <v>123</v>
      </c>
      <c r="K318" s="37">
        <v>2</v>
      </c>
      <c r="L318" s="45" t="str">
        <f>VLOOKUP(K318,Key!$A$24:$B$29,2,FALSE)</f>
        <v>30-39</v>
      </c>
      <c r="M318" s="37" t="s">
        <v>208</v>
      </c>
      <c r="N318" s="32" t="s">
        <v>167</v>
      </c>
      <c r="O318" s="37" t="s">
        <v>168</v>
      </c>
      <c r="P318" s="39">
        <v>1</v>
      </c>
      <c r="Q318" s="34" t="str">
        <f>VLOOKUP(P318,Key!$E$2:$F$9,2,FALSE)</f>
        <v>Home</v>
      </c>
      <c r="R318" s="37" t="s">
        <v>280</v>
      </c>
      <c r="S318" s="32" t="s">
        <v>240</v>
      </c>
      <c r="T318" s="37" t="s">
        <v>168</v>
      </c>
      <c r="U318" s="32">
        <v>6</v>
      </c>
      <c r="V318" s="34" t="str">
        <f>VLOOKUP(U318,Key!$E$2:$F$9,2,FALSE)</f>
        <v>Leisure/Social</v>
      </c>
      <c r="W318" s="34" t="str">
        <f t="shared" si="7"/>
        <v>Home-Leisure/Social</v>
      </c>
      <c r="X318" s="47">
        <v>30000</v>
      </c>
      <c r="Y318" s="38">
        <v>100</v>
      </c>
      <c r="Z318" s="38">
        <v>2</v>
      </c>
      <c r="AA318" s="32">
        <v>5</v>
      </c>
      <c r="AB318" s="34" t="str">
        <f>VLOOKUP(AA318,Key!$C$20:$D$29,2,FALSE)</f>
        <v>Professional</v>
      </c>
      <c r="AC318" s="32">
        <v>4</v>
      </c>
      <c r="AD318" s="34" t="str">
        <f>VLOOKUP(AC318,Key!$E$20:$F$24,2,FALSE)</f>
        <v>750,000-1,000,000</v>
      </c>
      <c r="AE318" s="32">
        <v>1</v>
      </c>
      <c r="AF318" s="55">
        <v>1</v>
      </c>
      <c r="AG318" s="55">
        <v>1</v>
      </c>
      <c r="AH318" s="55">
        <v>1</v>
      </c>
      <c r="AI318" s="55">
        <v>1</v>
      </c>
      <c r="AJ318" s="39" t="s">
        <v>104</v>
      </c>
      <c r="AK318" s="40">
        <v>2000</v>
      </c>
      <c r="AL318" s="24"/>
      <c r="AM318" s="24"/>
    </row>
    <row r="319" spans="2:39" x14ac:dyDescent="0.2">
      <c r="B319" s="50">
        <v>43688</v>
      </c>
      <c r="C319" s="35">
        <v>0.43402777777777773</v>
      </c>
      <c r="D319" s="35"/>
      <c r="E319" s="35" t="s">
        <v>111</v>
      </c>
      <c r="F319" s="37">
        <v>2</v>
      </c>
      <c r="G319" s="42" t="str">
        <f>VLOOKUP(F319,Key!$A$17:$B$21,2,FALSE)</f>
        <v>Road Vehicle</v>
      </c>
      <c r="H319" s="36">
        <v>4</v>
      </c>
      <c r="I319" s="43" t="str">
        <f>VLOOKUP(H319,Key!$A$2:$B$13,2,FALSE)</f>
        <v>Minibus</v>
      </c>
      <c r="J319" s="37" t="s">
        <v>123</v>
      </c>
      <c r="K319" s="13">
        <v>2</v>
      </c>
      <c r="L319" s="45" t="str">
        <f>VLOOKUP(K319,Key!$A$24:$B$29,2,FALSE)</f>
        <v>30-39</v>
      </c>
      <c r="M319" s="44" t="s">
        <v>167</v>
      </c>
      <c r="N319" s="32" t="s">
        <v>167</v>
      </c>
      <c r="O319" s="37" t="s">
        <v>168</v>
      </c>
      <c r="P319" s="39">
        <v>2</v>
      </c>
      <c r="Q319" s="34" t="str">
        <f>VLOOKUP(P319,Key!$E$2:$F$9,2,FALSE)</f>
        <v>Work</v>
      </c>
      <c r="R319" s="37" t="s">
        <v>36</v>
      </c>
      <c r="S319" s="32" t="s">
        <v>36</v>
      </c>
      <c r="T319" s="37" t="s">
        <v>168</v>
      </c>
      <c r="U319" s="32">
        <v>2</v>
      </c>
      <c r="V319" s="34" t="str">
        <f>VLOOKUP(U319,Key!$E$2:$F$9,2,FALSE)</f>
        <v>Work</v>
      </c>
      <c r="W319" s="34" t="str">
        <f t="shared" si="7"/>
        <v>Work-Work</v>
      </c>
      <c r="X319" s="47">
        <v>130000</v>
      </c>
      <c r="Y319" s="38">
        <v>100</v>
      </c>
      <c r="Z319" s="38">
        <v>4</v>
      </c>
      <c r="AA319" s="32">
        <v>10</v>
      </c>
      <c r="AB319" s="34" t="str">
        <f>VLOOKUP(AA319,Key!$C$20:$D$29,2,FALSE)</f>
        <v>Other</v>
      </c>
      <c r="AC319" s="32">
        <v>2</v>
      </c>
      <c r="AD319" s="34" t="str">
        <f>VLOOKUP(AC319,Key!$E$20:$F$24,2,FALSE)</f>
        <v>300,000-500,000</v>
      </c>
      <c r="AE319" s="32">
        <v>1</v>
      </c>
      <c r="AF319" s="55">
        <v>1</v>
      </c>
      <c r="AG319" s="55">
        <v>2</v>
      </c>
      <c r="AH319" s="55">
        <v>1</v>
      </c>
      <c r="AI319" s="55">
        <v>2</v>
      </c>
      <c r="AJ319" s="39" t="s">
        <v>104</v>
      </c>
      <c r="AK319" s="40"/>
      <c r="AL319" s="24"/>
      <c r="AM319" s="24"/>
    </row>
    <row r="320" spans="2:39" x14ac:dyDescent="0.2">
      <c r="B320" s="50">
        <v>43687</v>
      </c>
      <c r="C320" s="35">
        <v>0.42708333333333331</v>
      </c>
      <c r="D320" s="35"/>
      <c r="E320" s="35" t="s">
        <v>111</v>
      </c>
      <c r="F320" s="37">
        <v>2</v>
      </c>
      <c r="G320" s="42" t="str">
        <f>VLOOKUP(F320,Key!$A$17:$B$21,2,FALSE)</f>
        <v>Road Vehicle</v>
      </c>
      <c r="H320" s="36">
        <v>4</v>
      </c>
      <c r="I320" s="43" t="str">
        <f>VLOOKUP(H320,Key!$A$2:$B$13,2,FALSE)</f>
        <v>Minibus</v>
      </c>
      <c r="J320" s="37" t="s">
        <v>123</v>
      </c>
      <c r="K320" s="37">
        <v>3</v>
      </c>
      <c r="L320" s="45" t="str">
        <f>VLOOKUP(K320,Key!$A$24:$B$29,2,FALSE)</f>
        <v>40-49</v>
      </c>
      <c r="M320" s="44" t="s">
        <v>167</v>
      </c>
      <c r="N320" s="44" t="s">
        <v>167</v>
      </c>
      <c r="O320" s="37" t="s">
        <v>168</v>
      </c>
      <c r="P320" s="39">
        <v>2</v>
      </c>
      <c r="Q320" s="34" t="str">
        <f>VLOOKUP(P320,Key!$E$2:$F$9,2,FALSE)</f>
        <v>Work</v>
      </c>
      <c r="R320" s="37" t="s">
        <v>176</v>
      </c>
      <c r="S320" s="32" t="s">
        <v>176</v>
      </c>
      <c r="T320" s="37" t="s">
        <v>168</v>
      </c>
      <c r="U320" s="32">
        <v>2</v>
      </c>
      <c r="V320" s="34" t="str">
        <f>VLOOKUP(U320,Key!$E$2:$F$9,2,FALSE)</f>
        <v>Work</v>
      </c>
      <c r="W320" s="34" t="str">
        <f t="shared" si="7"/>
        <v>Work-Work</v>
      </c>
      <c r="X320" s="47">
        <v>50000</v>
      </c>
      <c r="Y320" s="38">
        <v>68</v>
      </c>
      <c r="Z320" s="38">
        <v>2</v>
      </c>
      <c r="AA320" s="32">
        <v>10</v>
      </c>
      <c r="AB320" s="34" t="str">
        <f>VLOOKUP(AA320,Key!$C$20:$D$29,2,FALSE)</f>
        <v>Other</v>
      </c>
      <c r="AC320" s="32">
        <v>2</v>
      </c>
      <c r="AD320" s="34" t="str">
        <f>VLOOKUP(AC320,Key!$E$20:$F$24,2,FALSE)</f>
        <v>300,000-500,000</v>
      </c>
      <c r="AE320" s="32">
        <v>1</v>
      </c>
      <c r="AF320" s="55">
        <v>1</v>
      </c>
      <c r="AG320" s="55">
        <v>2</v>
      </c>
      <c r="AH320" s="55">
        <v>1</v>
      </c>
      <c r="AI320" s="55">
        <v>1</v>
      </c>
      <c r="AJ320" s="39" t="s">
        <v>104</v>
      </c>
      <c r="AK320" s="40">
        <v>1000</v>
      </c>
      <c r="AL320" s="24"/>
      <c r="AM320" s="24"/>
    </row>
    <row r="321" spans="2:39" x14ac:dyDescent="0.2">
      <c r="B321" s="50">
        <v>43687</v>
      </c>
      <c r="C321" s="35">
        <v>0.67847222222222225</v>
      </c>
      <c r="D321" s="35"/>
      <c r="E321" s="35" t="s">
        <v>111</v>
      </c>
      <c r="F321" s="37">
        <v>2</v>
      </c>
      <c r="G321" s="42" t="str">
        <f>VLOOKUP(F321,Key!$A$17:$B$21,2,FALSE)</f>
        <v>Road Vehicle</v>
      </c>
      <c r="H321" s="36">
        <v>4</v>
      </c>
      <c r="I321" s="43" t="str">
        <f>VLOOKUP(H321,Key!$A$2:$B$13,2,FALSE)</f>
        <v>Minibus</v>
      </c>
      <c r="J321" s="37" t="s">
        <v>123</v>
      </c>
      <c r="K321" s="37">
        <v>3</v>
      </c>
      <c r="L321" s="45" t="str">
        <f>VLOOKUP(K321,Key!$A$24:$B$29,2,FALSE)</f>
        <v>40-49</v>
      </c>
      <c r="M321" s="44" t="s">
        <v>167</v>
      </c>
      <c r="N321" s="44" t="s">
        <v>167</v>
      </c>
      <c r="O321" s="37" t="s">
        <v>168</v>
      </c>
      <c r="P321" s="39">
        <v>2</v>
      </c>
      <c r="Q321" s="34" t="str">
        <f>VLOOKUP(P321,Key!$E$2:$F$9,2,FALSE)</f>
        <v>Work</v>
      </c>
      <c r="R321" s="37" t="s">
        <v>176</v>
      </c>
      <c r="S321" s="32" t="s">
        <v>176</v>
      </c>
      <c r="T321" s="37" t="s">
        <v>168</v>
      </c>
      <c r="U321" s="32">
        <v>2</v>
      </c>
      <c r="V321" s="34" t="str">
        <f>VLOOKUP(U321,Key!$E$2:$F$9,2,FALSE)</f>
        <v>Work</v>
      </c>
      <c r="W321" s="34" t="str">
        <f t="shared" si="7"/>
        <v>Work-Work</v>
      </c>
      <c r="X321" s="47">
        <v>50000</v>
      </c>
      <c r="Y321" s="38">
        <v>68</v>
      </c>
      <c r="Z321" s="38">
        <v>2</v>
      </c>
      <c r="AA321" s="32">
        <v>10</v>
      </c>
      <c r="AB321" s="34" t="str">
        <f>VLOOKUP(AA321,Key!$C$20:$D$29,2,FALSE)</f>
        <v>Other</v>
      </c>
      <c r="AC321" s="32">
        <v>2</v>
      </c>
      <c r="AD321" s="34" t="str">
        <f>VLOOKUP(AC321,Key!$E$20:$F$24,2,FALSE)</f>
        <v>300,000-500,000</v>
      </c>
      <c r="AE321" s="32">
        <v>1</v>
      </c>
      <c r="AF321" s="55">
        <v>1</v>
      </c>
      <c r="AG321" s="55">
        <v>2</v>
      </c>
      <c r="AH321" s="55">
        <v>1</v>
      </c>
      <c r="AI321" s="55">
        <v>1</v>
      </c>
      <c r="AJ321" s="39" t="s">
        <v>104</v>
      </c>
      <c r="AK321" s="40">
        <v>1000</v>
      </c>
      <c r="AL321" s="24"/>
      <c r="AM321" s="24"/>
    </row>
    <row r="322" spans="2:39" x14ac:dyDescent="0.2">
      <c r="B322" s="50">
        <v>43686</v>
      </c>
      <c r="C322" s="35">
        <v>0.66319444444444442</v>
      </c>
      <c r="D322" s="35"/>
      <c r="E322" s="35" t="s">
        <v>111</v>
      </c>
      <c r="F322" s="37">
        <v>2</v>
      </c>
      <c r="G322" s="42" t="str">
        <f>VLOOKUP(F322,Key!$A$17:$B$21,2,FALSE)</f>
        <v>Road Vehicle</v>
      </c>
      <c r="H322" s="36">
        <v>4</v>
      </c>
      <c r="I322" s="43" t="str">
        <f>VLOOKUP(H322,Key!$A$2:$B$13,2,FALSE)</f>
        <v>Minibus</v>
      </c>
      <c r="J322" s="37" t="s">
        <v>123</v>
      </c>
      <c r="K322" s="37">
        <v>3</v>
      </c>
      <c r="L322" s="45" t="str">
        <f>VLOOKUP(K322,Key!$A$24:$B$29,2,FALSE)</f>
        <v>40-49</v>
      </c>
      <c r="M322" s="37" t="s">
        <v>247</v>
      </c>
      <c r="N322" s="32" t="s">
        <v>167</v>
      </c>
      <c r="O322" s="37" t="s">
        <v>168</v>
      </c>
      <c r="P322" s="39">
        <v>2</v>
      </c>
      <c r="Q322" s="34" t="str">
        <f>VLOOKUP(P322,Key!$E$2:$F$9,2,FALSE)</f>
        <v>Work</v>
      </c>
      <c r="R322" s="37" t="s">
        <v>272</v>
      </c>
      <c r="S322" s="32" t="s">
        <v>176</v>
      </c>
      <c r="T322" s="37" t="s">
        <v>168</v>
      </c>
      <c r="U322" s="32">
        <v>4</v>
      </c>
      <c r="V322" s="34" t="str">
        <f>VLOOKUP(U322,Key!$E$2:$F$9,2,FALSE)</f>
        <v>Commercial</v>
      </c>
      <c r="W322" s="34" t="str">
        <f t="shared" si="7"/>
        <v>Work-Commercial</v>
      </c>
      <c r="X322" s="47">
        <v>70000</v>
      </c>
      <c r="Y322" s="38">
        <v>70</v>
      </c>
      <c r="Z322" s="38">
        <v>1</v>
      </c>
      <c r="AA322" s="32">
        <v>10</v>
      </c>
      <c r="AB322" s="34" t="str">
        <f>VLOOKUP(AA322,Key!$C$20:$D$29,2,FALSE)</f>
        <v>Other</v>
      </c>
      <c r="AC322" s="32">
        <v>1</v>
      </c>
      <c r="AD322" s="34" t="str">
        <f>VLOOKUP(AC322,Key!$E$20:$F$24,2,FALSE)</f>
        <v>&lt;300,000</v>
      </c>
      <c r="AE322" s="32">
        <v>1</v>
      </c>
      <c r="AF322" s="55">
        <v>1</v>
      </c>
      <c r="AG322" s="55">
        <v>1</v>
      </c>
      <c r="AH322" s="55">
        <v>2</v>
      </c>
      <c r="AI322" s="55">
        <v>1</v>
      </c>
      <c r="AJ322" s="39" t="s">
        <v>104</v>
      </c>
      <c r="AK322" s="40">
        <v>2000</v>
      </c>
      <c r="AL322" s="24"/>
      <c r="AM322" s="24"/>
    </row>
    <row r="323" spans="2:39" x14ac:dyDescent="0.2">
      <c r="B323" s="50">
        <v>43686</v>
      </c>
      <c r="C323" s="35">
        <v>0.59375</v>
      </c>
      <c r="D323" s="35"/>
      <c r="E323" s="35" t="s">
        <v>111</v>
      </c>
      <c r="F323" s="37">
        <v>2</v>
      </c>
      <c r="G323" s="42" t="str">
        <f>VLOOKUP(F323,Key!$A$17:$B$21,2,FALSE)</f>
        <v>Road Vehicle</v>
      </c>
      <c r="H323" s="36">
        <v>4</v>
      </c>
      <c r="I323" s="43" t="str">
        <f>VLOOKUP(H323,Key!$A$2:$B$13,2,FALSE)</f>
        <v>Minibus</v>
      </c>
      <c r="J323" s="37" t="s">
        <v>123</v>
      </c>
      <c r="K323" s="13">
        <v>3</v>
      </c>
      <c r="L323" s="45" t="str">
        <f>VLOOKUP(K323,Key!$A$24:$B$29,2,FALSE)</f>
        <v>40-49</v>
      </c>
      <c r="M323" s="44" t="s">
        <v>200</v>
      </c>
      <c r="N323" s="44" t="s">
        <v>167</v>
      </c>
      <c r="O323" s="37" t="s">
        <v>168</v>
      </c>
      <c r="P323" s="39">
        <v>2</v>
      </c>
      <c r="Q323" s="34" t="str">
        <f>VLOOKUP(P323,Key!$E$2:$F$9,2,FALSE)</f>
        <v>Work</v>
      </c>
      <c r="R323" s="37" t="s">
        <v>201</v>
      </c>
      <c r="S323" s="32" t="s">
        <v>176</v>
      </c>
      <c r="T323" s="37" t="s">
        <v>168</v>
      </c>
      <c r="U323" s="32">
        <v>2</v>
      </c>
      <c r="V323" s="34" t="str">
        <f>VLOOKUP(U323,Key!$E$2:$F$9,2,FALSE)</f>
        <v>Work</v>
      </c>
      <c r="W323" s="34" t="str">
        <f t="shared" si="7"/>
        <v>Work-Work</v>
      </c>
      <c r="X323" s="47">
        <v>30000</v>
      </c>
      <c r="Y323" s="38">
        <v>70</v>
      </c>
      <c r="Z323" s="38">
        <v>2.5</v>
      </c>
      <c r="AA323" s="32">
        <v>10</v>
      </c>
      <c r="AB323" s="34" t="str">
        <f>VLOOKUP(AA323,Key!$C$20:$D$29,2,FALSE)</f>
        <v>Other</v>
      </c>
      <c r="AC323" s="32">
        <v>2</v>
      </c>
      <c r="AD323" s="34" t="str">
        <f>VLOOKUP(AC323,Key!$E$20:$F$24,2,FALSE)</f>
        <v>300,000-500,000</v>
      </c>
      <c r="AE323" s="32">
        <v>1</v>
      </c>
      <c r="AF323" s="55">
        <v>1</v>
      </c>
      <c r="AG323" s="55">
        <v>1</v>
      </c>
      <c r="AH323" s="55">
        <v>1</v>
      </c>
      <c r="AI323" s="55">
        <v>1</v>
      </c>
      <c r="AJ323" s="39" t="s">
        <v>104</v>
      </c>
      <c r="AK323" s="40"/>
      <c r="AL323" s="24"/>
      <c r="AM323" s="24"/>
    </row>
    <row r="324" spans="2:39" x14ac:dyDescent="0.2">
      <c r="B324" s="50">
        <v>43688</v>
      </c>
      <c r="C324" s="35">
        <v>0.65069444444444446</v>
      </c>
      <c r="D324" s="35"/>
      <c r="E324" s="35" t="s">
        <v>111</v>
      </c>
      <c r="F324" s="37">
        <v>2</v>
      </c>
      <c r="G324" s="42" t="str">
        <f>VLOOKUP(F324,Key!$A$17:$B$21,2,FALSE)</f>
        <v>Road Vehicle</v>
      </c>
      <c r="H324" s="36">
        <v>4</v>
      </c>
      <c r="I324" s="43" t="str">
        <f>VLOOKUP(H324,Key!$A$2:$B$13,2,FALSE)</f>
        <v>Minibus</v>
      </c>
      <c r="J324" s="37" t="s">
        <v>123</v>
      </c>
      <c r="K324" s="37">
        <v>3</v>
      </c>
      <c r="L324" s="45" t="str">
        <f>VLOOKUP(K324,Key!$A$24:$B$29,2,FALSE)</f>
        <v>40-49</v>
      </c>
      <c r="M324" s="37" t="s">
        <v>247</v>
      </c>
      <c r="N324" s="32" t="s">
        <v>167</v>
      </c>
      <c r="O324" s="37" t="s">
        <v>168</v>
      </c>
      <c r="P324" s="39">
        <v>2</v>
      </c>
      <c r="Q324" s="34" t="str">
        <f>VLOOKUP(P324,Key!$E$2:$F$9,2,FALSE)</f>
        <v>Work</v>
      </c>
      <c r="R324" s="37" t="s">
        <v>201</v>
      </c>
      <c r="S324" s="32" t="s">
        <v>176</v>
      </c>
      <c r="T324" s="37" t="s">
        <v>168</v>
      </c>
      <c r="U324" s="32">
        <v>4</v>
      </c>
      <c r="V324" s="34" t="str">
        <f>VLOOKUP(U324,Key!$E$2:$F$9,2,FALSE)</f>
        <v>Commercial</v>
      </c>
      <c r="W324" s="34" t="str">
        <f t="shared" si="7"/>
        <v>Work-Commercial</v>
      </c>
      <c r="X324" s="47">
        <v>40000</v>
      </c>
      <c r="Y324" s="38">
        <v>70</v>
      </c>
      <c r="Z324" s="38">
        <v>2.5</v>
      </c>
      <c r="AA324" s="32">
        <v>6</v>
      </c>
      <c r="AB324" s="34" t="str">
        <f>VLOOKUP(AA324,Key!$C$20:$D$29,2,FALSE)</f>
        <v>Businessman</v>
      </c>
      <c r="AC324" s="32">
        <v>2</v>
      </c>
      <c r="AD324" s="34" t="str">
        <f>VLOOKUP(AC324,Key!$E$20:$F$24,2,FALSE)</f>
        <v>300,000-500,000</v>
      </c>
      <c r="AE324" s="32">
        <v>1</v>
      </c>
      <c r="AF324" s="55">
        <v>1</v>
      </c>
      <c r="AG324" s="55">
        <v>1</v>
      </c>
      <c r="AH324" s="55">
        <v>1</v>
      </c>
      <c r="AI324" s="55">
        <v>1</v>
      </c>
      <c r="AJ324" s="39" t="s">
        <v>104</v>
      </c>
      <c r="AK324" s="40"/>
      <c r="AL324" s="24"/>
      <c r="AM324" s="24"/>
    </row>
    <row r="325" spans="2:39" x14ac:dyDescent="0.2">
      <c r="B325" s="50">
        <v>43690</v>
      </c>
      <c r="C325" s="35">
        <v>0.50069444444444444</v>
      </c>
      <c r="D325" s="35"/>
      <c r="E325" s="35" t="s">
        <v>111</v>
      </c>
      <c r="F325" s="37">
        <v>2</v>
      </c>
      <c r="G325" s="42" t="str">
        <f>VLOOKUP(F325,Key!$A$17:$B$21,2,FALSE)</f>
        <v>Road Vehicle</v>
      </c>
      <c r="H325" s="36">
        <v>4</v>
      </c>
      <c r="I325" s="43" t="str">
        <f>VLOOKUP(H325,Key!$A$2:$B$13,2,FALSE)</f>
        <v>Minibus</v>
      </c>
      <c r="J325" s="37" t="s">
        <v>123</v>
      </c>
      <c r="K325" s="37">
        <v>3</v>
      </c>
      <c r="L325" s="45" t="str">
        <f>VLOOKUP(K325,Key!$A$24:$B$29,2,FALSE)</f>
        <v>40-49</v>
      </c>
      <c r="M325" s="44" t="s">
        <v>167</v>
      </c>
      <c r="N325" s="32" t="s">
        <v>167</v>
      </c>
      <c r="O325" s="37" t="s">
        <v>168</v>
      </c>
      <c r="P325" s="39">
        <v>2</v>
      </c>
      <c r="Q325" s="34" t="str">
        <f>VLOOKUP(P325,Key!$E$2:$F$9,2,FALSE)</f>
        <v>Work</v>
      </c>
      <c r="R325" s="37" t="s">
        <v>176</v>
      </c>
      <c r="S325" s="32" t="s">
        <v>176</v>
      </c>
      <c r="T325" s="37" t="s">
        <v>168</v>
      </c>
      <c r="U325" s="32">
        <v>6</v>
      </c>
      <c r="V325" s="34" t="str">
        <f>VLOOKUP(U325,Key!$E$2:$F$9,2,FALSE)</f>
        <v>Leisure/Social</v>
      </c>
      <c r="W325" s="34" t="str">
        <f t="shared" si="7"/>
        <v>Work-Leisure/Social</v>
      </c>
      <c r="X325" s="47">
        <v>80000</v>
      </c>
      <c r="Y325" s="38">
        <v>70</v>
      </c>
      <c r="Z325" s="38">
        <v>3</v>
      </c>
      <c r="AA325" s="32">
        <v>10</v>
      </c>
      <c r="AB325" s="34" t="str">
        <f>VLOOKUP(AA325,Key!$C$20:$D$29,2,FALSE)</f>
        <v>Other</v>
      </c>
      <c r="AC325" s="32">
        <v>1</v>
      </c>
      <c r="AD325" s="34" t="str">
        <f>VLOOKUP(AC325,Key!$E$20:$F$24,2,FALSE)</f>
        <v>&lt;300,000</v>
      </c>
      <c r="AE325" s="32">
        <v>1</v>
      </c>
      <c r="AF325" s="55">
        <v>2</v>
      </c>
      <c r="AG325" s="55">
        <v>1</v>
      </c>
      <c r="AH325" s="55">
        <v>1</v>
      </c>
      <c r="AI325" s="55">
        <v>2</v>
      </c>
      <c r="AJ325" s="39" t="s">
        <v>104</v>
      </c>
      <c r="AK325" s="40">
        <v>1000</v>
      </c>
      <c r="AL325" s="24"/>
      <c r="AM325" s="24"/>
    </row>
    <row r="326" spans="2:39" x14ac:dyDescent="0.2">
      <c r="B326" s="50">
        <v>43690</v>
      </c>
      <c r="C326" s="35">
        <v>0.3125</v>
      </c>
      <c r="D326" s="35"/>
      <c r="E326" s="35" t="s">
        <v>111</v>
      </c>
      <c r="F326" s="37">
        <v>2</v>
      </c>
      <c r="G326" s="42" t="str">
        <f>VLOOKUP(F326,Key!$A$17:$B$21,2,FALSE)</f>
        <v>Road Vehicle</v>
      </c>
      <c r="H326" s="36">
        <v>4</v>
      </c>
      <c r="I326" s="43" t="str">
        <f>VLOOKUP(H326,Key!$A$2:$B$13,2,FALSE)</f>
        <v>Minibus</v>
      </c>
      <c r="J326" s="37" t="s">
        <v>123</v>
      </c>
      <c r="K326" s="37">
        <v>3</v>
      </c>
      <c r="L326" s="45" t="str">
        <f>VLOOKUP(K326,Key!$A$24:$B$29,2,FALSE)</f>
        <v>40-49</v>
      </c>
      <c r="M326" s="37" t="s">
        <v>187</v>
      </c>
      <c r="N326" s="32" t="s">
        <v>167</v>
      </c>
      <c r="O326" s="37" t="s">
        <v>168</v>
      </c>
      <c r="P326" s="39">
        <v>1</v>
      </c>
      <c r="Q326" s="34" t="str">
        <f>VLOOKUP(P326,Key!$E$2:$F$9,2,FALSE)</f>
        <v>Home</v>
      </c>
      <c r="R326" s="37" t="s">
        <v>218</v>
      </c>
      <c r="S326" s="32" t="s">
        <v>176</v>
      </c>
      <c r="T326" s="37" t="s">
        <v>168</v>
      </c>
      <c r="U326" s="32">
        <v>2</v>
      </c>
      <c r="V326" s="34" t="str">
        <f>VLOOKUP(U326,Key!$E$2:$F$9,2,FALSE)</f>
        <v>Work</v>
      </c>
      <c r="W326" s="34" t="str">
        <f t="shared" si="7"/>
        <v>Home-Work</v>
      </c>
      <c r="X326" s="47">
        <v>25000</v>
      </c>
      <c r="Y326" s="38">
        <v>70</v>
      </c>
      <c r="Z326" s="38">
        <v>3</v>
      </c>
      <c r="AA326" s="32">
        <v>6</v>
      </c>
      <c r="AB326" s="34" t="str">
        <f>VLOOKUP(AA326,Key!$C$20:$D$29,2,FALSE)</f>
        <v>Businessman</v>
      </c>
      <c r="AC326" s="32">
        <v>3</v>
      </c>
      <c r="AD326" s="34" t="str">
        <f>VLOOKUP(AC326,Key!$E$20:$F$24,2,FALSE)</f>
        <v>500,000-750,000</v>
      </c>
      <c r="AE326" s="32">
        <v>1</v>
      </c>
      <c r="AF326" s="55">
        <v>1</v>
      </c>
      <c r="AG326" s="55">
        <v>1</v>
      </c>
      <c r="AH326" s="55">
        <v>1</v>
      </c>
      <c r="AI326" s="55">
        <v>1</v>
      </c>
      <c r="AJ326" s="39" t="s">
        <v>104</v>
      </c>
      <c r="AK326" s="40"/>
      <c r="AL326" s="24"/>
      <c r="AM326" s="24"/>
    </row>
    <row r="327" spans="2:39" x14ac:dyDescent="0.2">
      <c r="B327" s="50">
        <v>43689</v>
      </c>
      <c r="C327" s="35">
        <v>0.5625</v>
      </c>
      <c r="D327" s="35"/>
      <c r="E327" s="35" t="s">
        <v>111</v>
      </c>
      <c r="F327" s="37">
        <v>2</v>
      </c>
      <c r="G327" s="42" t="str">
        <f>VLOOKUP(F327,Key!$A$17:$B$21,2,FALSE)</f>
        <v>Road Vehicle</v>
      </c>
      <c r="H327" s="36">
        <v>4</v>
      </c>
      <c r="I327" s="43" t="str">
        <f>VLOOKUP(H327,Key!$A$2:$B$13,2,FALSE)</f>
        <v>Minibus</v>
      </c>
      <c r="J327" s="37" t="s">
        <v>123</v>
      </c>
      <c r="K327" s="37">
        <v>3</v>
      </c>
      <c r="L327" s="45" t="str">
        <f>VLOOKUP(K327,Key!$A$24:$B$29,2,FALSE)</f>
        <v>40-49</v>
      </c>
      <c r="M327" s="37" t="s">
        <v>247</v>
      </c>
      <c r="N327" s="32" t="s">
        <v>167</v>
      </c>
      <c r="O327" s="37" t="s">
        <v>168</v>
      </c>
      <c r="P327" s="39">
        <v>2</v>
      </c>
      <c r="Q327" s="34" t="str">
        <f>VLOOKUP(P327,Key!$E$2:$F$9,2,FALSE)</f>
        <v>Work</v>
      </c>
      <c r="R327" s="37" t="s">
        <v>218</v>
      </c>
      <c r="S327" s="32" t="s">
        <v>176</v>
      </c>
      <c r="T327" s="37" t="s">
        <v>168</v>
      </c>
      <c r="U327" s="32">
        <v>4</v>
      </c>
      <c r="V327" s="34" t="str">
        <f>VLOOKUP(U327,Key!$E$2:$F$9,2,FALSE)</f>
        <v>Commercial</v>
      </c>
      <c r="W327" s="34" t="str">
        <f t="shared" ref="W327:W374" si="8">Q327&amp;"-"&amp;V327</f>
        <v>Work-Commercial</v>
      </c>
      <c r="X327" s="47">
        <v>30000</v>
      </c>
      <c r="Y327" s="38">
        <v>70</v>
      </c>
      <c r="Z327" s="38">
        <v>3</v>
      </c>
      <c r="AA327" s="32">
        <v>2</v>
      </c>
      <c r="AB327" s="34" t="str">
        <f>VLOOKUP(AA327,Key!$C$20:$D$29,2,FALSE)</f>
        <v>Manual Labour</v>
      </c>
      <c r="AC327" s="32">
        <v>2</v>
      </c>
      <c r="AD327" s="34" t="str">
        <f>VLOOKUP(AC327,Key!$E$20:$F$24,2,FALSE)</f>
        <v>300,000-500,000</v>
      </c>
      <c r="AE327" s="32">
        <v>1</v>
      </c>
      <c r="AF327" s="55">
        <v>1</v>
      </c>
      <c r="AG327" s="55">
        <v>1</v>
      </c>
      <c r="AH327" s="55">
        <v>1</v>
      </c>
      <c r="AI327" s="55">
        <v>1</v>
      </c>
      <c r="AJ327" s="39" t="s">
        <v>104</v>
      </c>
      <c r="AK327" s="40">
        <v>1000</v>
      </c>
      <c r="AL327" s="24"/>
      <c r="AM327" s="24"/>
    </row>
    <row r="328" spans="2:39" x14ac:dyDescent="0.2">
      <c r="B328" s="50">
        <v>43689</v>
      </c>
      <c r="C328" s="35">
        <v>0.44791666666666669</v>
      </c>
      <c r="D328" s="35"/>
      <c r="E328" s="35" t="s">
        <v>111</v>
      </c>
      <c r="F328" s="37">
        <v>2</v>
      </c>
      <c r="G328" s="42" t="str">
        <f>VLOOKUP(F328,Key!$A$17:$B$21,2,FALSE)</f>
        <v>Road Vehicle</v>
      </c>
      <c r="H328" s="36">
        <v>4</v>
      </c>
      <c r="I328" s="43" t="str">
        <f>VLOOKUP(H328,Key!$A$2:$B$13,2,FALSE)</f>
        <v>Minibus</v>
      </c>
      <c r="J328" s="37" t="s">
        <v>123</v>
      </c>
      <c r="K328" s="37">
        <v>3</v>
      </c>
      <c r="L328" s="45" t="str">
        <f>VLOOKUP(K328,Key!$A$24:$B$29,2,FALSE)</f>
        <v>40-49</v>
      </c>
      <c r="M328" s="44" t="s">
        <v>218</v>
      </c>
      <c r="N328" s="44" t="s">
        <v>176</v>
      </c>
      <c r="O328" s="37" t="s">
        <v>168</v>
      </c>
      <c r="P328" s="39">
        <v>2</v>
      </c>
      <c r="Q328" s="34" t="str">
        <f>VLOOKUP(P328,Key!$E$2:$F$9,2,FALSE)</f>
        <v>Work</v>
      </c>
      <c r="R328" s="37" t="s">
        <v>219</v>
      </c>
      <c r="S328" s="32" t="s">
        <v>167</v>
      </c>
      <c r="T328" s="37" t="s">
        <v>168</v>
      </c>
      <c r="U328" s="32">
        <v>2</v>
      </c>
      <c r="V328" s="34" t="str">
        <f>VLOOKUP(U328,Key!$E$2:$F$9,2,FALSE)</f>
        <v>Work</v>
      </c>
      <c r="W328" s="34" t="str">
        <f t="shared" si="8"/>
        <v>Work-Work</v>
      </c>
      <c r="X328" s="47">
        <v>30000</v>
      </c>
      <c r="Y328" s="38">
        <v>75</v>
      </c>
      <c r="Z328" s="38">
        <v>3</v>
      </c>
      <c r="AA328" s="32">
        <v>10</v>
      </c>
      <c r="AB328" s="34" t="str">
        <f>VLOOKUP(AA328,Key!$C$20:$D$29,2,FALSE)</f>
        <v>Other</v>
      </c>
      <c r="AC328" s="32">
        <v>1</v>
      </c>
      <c r="AD328" s="34" t="str">
        <f>VLOOKUP(AC328,Key!$E$20:$F$24,2,FALSE)</f>
        <v>&lt;300,000</v>
      </c>
      <c r="AE328" s="32">
        <v>1</v>
      </c>
      <c r="AF328" s="55">
        <v>1</v>
      </c>
      <c r="AG328" s="55">
        <v>2</v>
      </c>
      <c r="AH328" s="55">
        <v>1</v>
      </c>
      <c r="AI328" s="55">
        <v>2</v>
      </c>
      <c r="AJ328" s="39" t="s">
        <v>104</v>
      </c>
      <c r="AK328" s="40">
        <v>2000</v>
      </c>
      <c r="AL328" s="24"/>
      <c r="AM328" s="24"/>
    </row>
    <row r="329" spans="2:39" x14ac:dyDescent="0.2">
      <c r="B329" s="50">
        <v>43689</v>
      </c>
      <c r="C329" s="35">
        <v>0.44097222222222227</v>
      </c>
      <c r="D329" s="35"/>
      <c r="E329" s="35" t="s">
        <v>111</v>
      </c>
      <c r="F329" s="37">
        <v>2</v>
      </c>
      <c r="G329" s="42" t="str">
        <f>VLOOKUP(F329,Key!$A$17:$B$21,2,FALSE)</f>
        <v>Road Vehicle</v>
      </c>
      <c r="H329" s="36">
        <v>4</v>
      </c>
      <c r="I329" s="43" t="str">
        <f>VLOOKUP(H329,Key!$A$2:$B$13,2,FALSE)</f>
        <v>Minibus</v>
      </c>
      <c r="J329" s="37" t="s">
        <v>123</v>
      </c>
      <c r="K329" s="37">
        <v>3</v>
      </c>
      <c r="L329" s="45" t="str">
        <f>VLOOKUP(K329,Key!$A$24:$B$29,2,FALSE)</f>
        <v>40-49</v>
      </c>
      <c r="M329" s="44" t="s">
        <v>218</v>
      </c>
      <c r="N329" s="44" t="s">
        <v>176</v>
      </c>
      <c r="O329" s="37" t="s">
        <v>168</v>
      </c>
      <c r="P329" s="39">
        <v>2</v>
      </c>
      <c r="Q329" s="34" t="str">
        <f>VLOOKUP(P329,Key!$E$2:$F$9,2,FALSE)</f>
        <v>Work</v>
      </c>
      <c r="R329" s="37" t="s">
        <v>219</v>
      </c>
      <c r="S329" s="32" t="s">
        <v>167</v>
      </c>
      <c r="T329" s="37" t="s">
        <v>168</v>
      </c>
      <c r="U329" s="32">
        <v>2</v>
      </c>
      <c r="V329" s="34" t="str">
        <f>VLOOKUP(U329,Key!$E$2:$F$9,2,FALSE)</f>
        <v>Work</v>
      </c>
      <c r="W329" s="34" t="str">
        <f t="shared" si="8"/>
        <v>Work-Work</v>
      </c>
      <c r="X329" s="47">
        <v>30000</v>
      </c>
      <c r="Y329" s="38">
        <v>75</v>
      </c>
      <c r="Z329" s="38">
        <v>3</v>
      </c>
      <c r="AA329" s="32">
        <v>10</v>
      </c>
      <c r="AB329" s="34" t="str">
        <f>VLOOKUP(AA329,Key!$C$20:$D$29,2,FALSE)</f>
        <v>Other</v>
      </c>
      <c r="AC329" s="32">
        <v>1</v>
      </c>
      <c r="AD329" s="34" t="str">
        <f>VLOOKUP(AC329,Key!$E$20:$F$24,2,FALSE)</f>
        <v>&lt;300,000</v>
      </c>
      <c r="AE329" s="32">
        <v>1</v>
      </c>
      <c r="AF329" s="55">
        <v>1</v>
      </c>
      <c r="AG329" s="55">
        <v>2</v>
      </c>
      <c r="AH329" s="55">
        <v>1</v>
      </c>
      <c r="AI329" s="55">
        <v>2</v>
      </c>
      <c r="AJ329" s="39" t="s">
        <v>104</v>
      </c>
      <c r="AK329" s="40">
        <v>2000</v>
      </c>
      <c r="AL329" s="24"/>
      <c r="AM329" s="24"/>
    </row>
    <row r="330" spans="2:39" x14ac:dyDescent="0.2">
      <c r="B330" s="50">
        <v>43689</v>
      </c>
      <c r="C330" s="35">
        <v>0.40208333333333335</v>
      </c>
      <c r="D330" s="35"/>
      <c r="E330" s="35" t="s">
        <v>111</v>
      </c>
      <c r="F330" s="37">
        <v>2</v>
      </c>
      <c r="G330" s="42" t="str">
        <f>VLOOKUP(F330,Key!$A$17:$B$21,2,FALSE)</f>
        <v>Road Vehicle</v>
      </c>
      <c r="H330" s="36">
        <v>4</v>
      </c>
      <c r="I330" s="43" t="str">
        <f>VLOOKUP(H330,Key!$A$2:$B$13,2,FALSE)</f>
        <v>Minibus</v>
      </c>
      <c r="J330" s="37" t="s">
        <v>123</v>
      </c>
      <c r="K330" s="37">
        <v>3</v>
      </c>
      <c r="L330" s="45" t="str">
        <f>VLOOKUP(K330,Key!$A$24:$B$29,2,FALSE)</f>
        <v>40-49</v>
      </c>
      <c r="M330" s="37" t="s">
        <v>228</v>
      </c>
      <c r="N330" s="32" t="s">
        <v>167</v>
      </c>
      <c r="O330" s="37" t="s">
        <v>168</v>
      </c>
      <c r="P330" s="39">
        <v>2</v>
      </c>
      <c r="Q330" s="34" t="str">
        <f>VLOOKUP(P330,Key!$E$2:$F$9,2,FALSE)</f>
        <v>Work</v>
      </c>
      <c r="R330" s="37" t="s">
        <v>272</v>
      </c>
      <c r="S330" s="32" t="s">
        <v>176</v>
      </c>
      <c r="T330" s="37" t="s">
        <v>168</v>
      </c>
      <c r="U330" s="32">
        <v>2</v>
      </c>
      <c r="V330" s="34" t="str">
        <f>VLOOKUP(U330,Key!$E$2:$F$9,2,FALSE)</f>
        <v>Work</v>
      </c>
      <c r="W330" s="34" t="str">
        <f t="shared" si="8"/>
        <v>Work-Work</v>
      </c>
      <c r="X330" s="47">
        <v>40000</v>
      </c>
      <c r="Y330" s="38">
        <v>80</v>
      </c>
      <c r="Z330" s="38">
        <v>2</v>
      </c>
      <c r="AA330" s="32">
        <v>10</v>
      </c>
      <c r="AB330" s="34" t="str">
        <f>VLOOKUP(AA330,Key!$C$20:$D$29,2,FALSE)</f>
        <v>Other</v>
      </c>
      <c r="AC330" s="32">
        <v>2</v>
      </c>
      <c r="AD330" s="34" t="str">
        <f>VLOOKUP(AC330,Key!$E$20:$F$24,2,FALSE)</f>
        <v>300,000-500,000</v>
      </c>
      <c r="AE330" s="32">
        <v>1</v>
      </c>
      <c r="AF330" s="55">
        <v>1</v>
      </c>
      <c r="AG330" s="55">
        <v>1</v>
      </c>
      <c r="AH330" s="55">
        <v>1</v>
      </c>
      <c r="AI330" s="55">
        <v>1</v>
      </c>
      <c r="AJ330" s="39" t="s">
        <v>104</v>
      </c>
      <c r="AK330" s="40">
        <v>2000</v>
      </c>
      <c r="AL330" s="24"/>
      <c r="AM330" s="24"/>
    </row>
    <row r="331" spans="2:39" x14ac:dyDescent="0.2">
      <c r="B331" s="50">
        <v>43686</v>
      </c>
      <c r="C331" s="35">
        <v>0.59027777777777779</v>
      </c>
      <c r="D331" s="35"/>
      <c r="E331" s="35" t="s">
        <v>111</v>
      </c>
      <c r="F331" s="37">
        <v>2</v>
      </c>
      <c r="G331" s="42" t="str">
        <f>VLOOKUP(F331,Key!$A$17:$B$21,2,FALSE)</f>
        <v>Road Vehicle</v>
      </c>
      <c r="H331" s="36">
        <v>4</v>
      </c>
      <c r="I331" s="43" t="str">
        <f>VLOOKUP(H331,Key!$A$2:$B$13,2,FALSE)</f>
        <v>Minibus</v>
      </c>
      <c r="J331" s="37" t="s">
        <v>123</v>
      </c>
      <c r="K331" s="37">
        <v>3</v>
      </c>
      <c r="L331" s="45" t="str">
        <f>VLOOKUP(K331,Key!$A$24:$B$29,2,FALSE)</f>
        <v>40-49</v>
      </c>
      <c r="M331" s="37" t="s">
        <v>187</v>
      </c>
      <c r="N331" s="32" t="s">
        <v>167</v>
      </c>
      <c r="O331" s="37" t="s">
        <v>168</v>
      </c>
      <c r="P331" s="39">
        <v>1</v>
      </c>
      <c r="Q331" s="34" t="str">
        <f>VLOOKUP(P331,Key!$E$2:$F$9,2,FALSE)</f>
        <v>Home</v>
      </c>
      <c r="R331" s="37" t="s">
        <v>218</v>
      </c>
      <c r="S331" s="32" t="s">
        <v>176</v>
      </c>
      <c r="T331" s="37" t="s">
        <v>168</v>
      </c>
      <c r="U331" s="32">
        <v>2</v>
      </c>
      <c r="V331" s="34" t="str">
        <f>VLOOKUP(U331,Key!$E$2:$F$9,2,FALSE)</f>
        <v>Work</v>
      </c>
      <c r="W331" s="34" t="str">
        <f t="shared" si="8"/>
        <v>Home-Work</v>
      </c>
      <c r="X331" s="47">
        <v>30000</v>
      </c>
      <c r="Y331" s="38">
        <v>80</v>
      </c>
      <c r="Z331" s="38">
        <v>3</v>
      </c>
      <c r="AA331" s="32">
        <v>6</v>
      </c>
      <c r="AB331" s="34" t="str">
        <f>VLOOKUP(AA331,Key!$C$20:$D$29,2,FALSE)</f>
        <v>Businessman</v>
      </c>
      <c r="AC331" s="32">
        <v>2</v>
      </c>
      <c r="AD331" s="34" t="str">
        <f>VLOOKUP(AC331,Key!$E$20:$F$24,2,FALSE)</f>
        <v>300,000-500,000</v>
      </c>
      <c r="AE331" s="32">
        <v>1</v>
      </c>
      <c r="AF331" s="55">
        <v>1</v>
      </c>
      <c r="AG331" s="55">
        <v>3</v>
      </c>
      <c r="AH331" s="55">
        <v>1</v>
      </c>
      <c r="AI331" s="55">
        <v>1</v>
      </c>
      <c r="AJ331" s="39" t="s">
        <v>104</v>
      </c>
      <c r="AK331" s="40"/>
      <c r="AL331" s="24"/>
      <c r="AM331" s="24"/>
    </row>
    <row r="332" spans="2:39" x14ac:dyDescent="0.2">
      <c r="B332" s="50">
        <v>43687</v>
      </c>
      <c r="C332" s="35">
        <v>0.33263888888888887</v>
      </c>
      <c r="D332" s="35"/>
      <c r="E332" s="35" t="s">
        <v>111</v>
      </c>
      <c r="F332" s="37">
        <v>2</v>
      </c>
      <c r="G332" s="42" t="str">
        <f>VLOOKUP(F332,Key!$A$17:$B$21,2,FALSE)</f>
        <v>Road Vehicle</v>
      </c>
      <c r="H332" s="36">
        <v>4</v>
      </c>
      <c r="I332" s="43" t="str">
        <f>VLOOKUP(H332,Key!$A$2:$B$13,2,FALSE)</f>
        <v>Minibus</v>
      </c>
      <c r="J332" s="37" t="s">
        <v>123</v>
      </c>
      <c r="K332" s="37">
        <v>3</v>
      </c>
      <c r="L332" s="45" t="str">
        <f>VLOOKUP(K332,Key!$A$24:$B$29,2,FALSE)</f>
        <v>40-49</v>
      </c>
      <c r="M332" s="37" t="s">
        <v>247</v>
      </c>
      <c r="N332" s="32" t="s">
        <v>167</v>
      </c>
      <c r="O332" s="37" t="s">
        <v>168</v>
      </c>
      <c r="P332" s="39">
        <v>2</v>
      </c>
      <c r="Q332" s="34" t="str">
        <f>VLOOKUP(P332,Key!$E$2:$F$9,2,FALSE)</f>
        <v>Work</v>
      </c>
      <c r="R332" s="37" t="s">
        <v>218</v>
      </c>
      <c r="S332" s="32" t="s">
        <v>176</v>
      </c>
      <c r="T332" s="37" t="s">
        <v>168</v>
      </c>
      <c r="U332" s="32">
        <v>2</v>
      </c>
      <c r="V332" s="34" t="str">
        <f>VLOOKUP(U332,Key!$E$2:$F$9,2,FALSE)</f>
        <v>Work</v>
      </c>
      <c r="W332" s="34" t="str">
        <f t="shared" si="8"/>
        <v>Work-Work</v>
      </c>
      <c r="X332" s="47">
        <v>35000</v>
      </c>
      <c r="Y332" s="38">
        <v>80</v>
      </c>
      <c r="Z332" s="38">
        <v>3.5</v>
      </c>
      <c r="AA332" s="32">
        <v>6</v>
      </c>
      <c r="AB332" s="34" t="str">
        <f>VLOOKUP(AA332,Key!$C$20:$D$29,2,FALSE)</f>
        <v>Businessman</v>
      </c>
      <c r="AC332" s="32">
        <v>3</v>
      </c>
      <c r="AD332" s="34" t="str">
        <f>VLOOKUP(AC332,Key!$E$20:$F$24,2,FALSE)</f>
        <v>500,000-750,000</v>
      </c>
      <c r="AE332" s="32">
        <v>1</v>
      </c>
      <c r="AF332" s="55">
        <v>1</v>
      </c>
      <c r="AG332" s="55">
        <v>1</v>
      </c>
      <c r="AH332" s="55">
        <v>1</v>
      </c>
      <c r="AI332" s="55">
        <v>2</v>
      </c>
      <c r="AJ332" s="39" t="s">
        <v>104</v>
      </c>
      <c r="AK332" s="40">
        <v>2000</v>
      </c>
      <c r="AL332" s="24"/>
      <c r="AM332" s="24"/>
    </row>
    <row r="333" spans="2:39" x14ac:dyDescent="0.2">
      <c r="B333" s="50">
        <v>43687</v>
      </c>
      <c r="C333" s="35">
        <v>0.45763888888888887</v>
      </c>
      <c r="D333" s="35"/>
      <c r="E333" s="35" t="s">
        <v>111</v>
      </c>
      <c r="F333" s="37">
        <v>2</v>
      </c>
      <c r="G333" s="42" t="str">
        <f>VLOOKUP(F333,Key!$A$17:$B$21,2,FALSE)</f>
        <v>Road Vehicle</v>
      </c>
      <c r="H333" s="36">
        <v>4</v>
      </c>
      <c r="I333" s="43" t="str">
        <f>VLOOKUP(H333,Key!$A$2:$B$13,2,FALSE)</f>
        <v>Minibus</v>
      </c>
      <c r="J333" s="37" t="s">
        <v>123</v>
      </c>
      <c r="K333" s="37">
        <v>3</v>
      </c>
      <c r="L333" s="45" t="str">
        <f>VLOOKUP(K333,Key!$A$24:$B$29,2,FALSE)</f>
        <v>40-49</v>
      </c>
      <c r="M333" s="44" t="s">
        <v>179</v>
      </c>
      <c r="N333" s="44" t="s">
        <v>179</v>
      </c>
      <c r="O333" s="37" t="s">
        <v>168</v>
      </c>
      <c r="P333" s="39">
        <v>2</v>
      </c>
      <c r="Q333" s="34" t="str">
        <f>VLOOKUP(P333,Key!$E$2:$F$9,2,FALSE)</f>
        <v>Work</v>
      </c>
      <c r="R333" s="37" t="s">
        <v>201</v>
      </c>
      <c r="S333" s="32" t="s">
        <v>176</v>
      </c>
      <c r="T333" s="37" t="s">
        <v>168</v>
      </c>
      <c r="U333" s="32">
        <v>3</v>
      </c>
      <c r="V333" s="34" t="str">
        <f>VLOOKUP(U333,Key!$E$2:$F$9,2,FALSE)</f>
        <v>Study</v>
      </c>
      <c r="W333" s="34" t="str">
        <f t="shared" si="8"/>
        <v>Work-Study</v>
      </c>
      <c r="X333" s="47">
        <v>30000</v>
      </c>
      <c r="Y333" s="38">
        <v>90</v>
      </c>
      <c r="Z333" s="38">
        <v>3</v>
      </c>
      <c r="AA333" s="32">
        <v>6</v>
      </c>
      <c r="AB333" s="34" t="str">
        <f>VLOOKUP(AA333,Key!$C$20:$D$29,2,FALSE)</f>
        <v>Businessman</v>
      </c>
      <c r="AC333" s="32">
        <v>2</v>
      </c>
      <c r="AD333" s="34" t="str">
        <f>VLOOKUP(AC333,Key!$E$20:$F$24,2,FALSE)</f>
        <v>300,000-500,000</v>
      </c>
      <c r="AE333" s="32">
        <v>2</v>
      </c>
      <c r="AF333" s="55">
        <v>1</v>
      </c>
      <c r="AG333" s="55">
        <v>3</v>
      </c>
      <c r="AH333" s="55">
        <v>1</v>
      </c>
      <c r="AI333" s="55">
        <v>1</v>
      </c>
      <c r="AJ333" s="39" t="s">
        <v>104</v>
      </c>
      <c r="AK333" s="40">
        <v>1000</v>
      </c>
      <c r="AL333" s="24"/>
      <c r="AM333" s="24"/>
    </row>
    <row r="334" spans="2:39" x14ac:dyDescent="0.2">
      <c r="B334" s="50">
        <v>43687</v>
      </c>
      <c r="C334" s="35">
        <v>0.69444444444444453</v>
      </c>
      <c r="D334" s="35"/>
      <c r="E334" s="35" t="s">
        <v>111</v>
      </c>
      <c r="F334" s="37">
        <v>2</v>
      </c>
      <c r="G334" s="42" t="str">
        <f>VLOOKUP(F334,Key!$A$17:$B$21,2,FALSE)</f>
        <v>Road Vehicle</v>
      </c>
      <c r="H334" s="36">
        <v>4</v>
      </c>
      <c r="I334" s="43" t="str">
        <f>VLOOKUP(H334,Key!$A$2:$B$13,2,FALSE)</f>
        <v>Minibus</v>
      </c>
      <c r="J334" s="37" t="s">
        <v>123</v>
      </c>
      <c r="K334" s="37">
        <v>3</v>
      </c>
      <c r="L334" s="45" t="str">
        <f>VLOOKUP(K334,Key!$A$24:$B$29,2,FALSE)</f>
        <v>40-49</v>
      </c>
      <c r="M334" s="37" t="s">
        <v>179</v>
      </c>
      <c r="N334" s="32" t="s">
        <v>179</v>
      </c>
      <c r="O334" s="37" t="s">
        <v>168</v>
      </c>
      <c r="P334" s="39">
        <v>2</v>
      </c>
      <c r="Q334" s="34" t="str">
        <f>VLOOKUP(P334,Key!$E$2:$F$9,2,FALSE)</f>
        <v>Work</v>
      </c>
      <c r="R334" s="37" t="s">
        <v>201</v>
      </c>
      <c r="S334" s="32" t="s">
        <v>176</v>
      </c>
      <c r="T334" s="37" t="s">
        <v>168</v>
      </c>
      <c r="U334" s="32">
        <v>3</v>
      </c>
      <c r="V334" s="34" t="str">
        <f>VLOOKUP(U334,Key!$E$2:$F$9,2,FALSE)</f>
        <v>Study</v>
      </c>
      <c r="W334" s="34" t="str">
        <f t="shared" si="8"/>
        <v>Work-Study</v>
      </c>
      <c r="X334" s="47">
        <v>30000</v>
      </c>
      <c r="Y334" s="38">
        <v>90</v>
      </c>
      <c r="Z334" s="38">
        <v>3</v>
      </c>
      <c r="AA334" s="32">
        <v>6</v>
      </c>
      <c r="AB334" s="34" t="str">
        <f>VLOOKUP(AA334,Key!$C$20:$D$29,2,FALSE)</f>
        <v>Businessman</v>
      </c>
      <c r="AC334" s="32">
        <v>2</v>
      </c>
      <c r="AD334" s="34" t="str">
        <f>VLOOKUP(AC334,Key!$E$20:$F$24,2,FALSE)</f>
        <v>300,000-500,000</v>
      </c>
      <c r="AE334" s="32">
        <v>2</v>
      </c>
      <c r="AF334" s="55">
        <v>1</v>
      </c>
      <c r="AG334" s="55">
        <v>3</v>
      </c>
      <c r="AH334" s="55">
        <v>1</v>
      </c>
      <c r="AI334" s="55">
        <v>1</v>
      </c>
      <c r="AJ334" s="39" t="s">
        <v>104</v>
      </c>
      <c r="AK334" s="40">
        <v>1000</v>
      </c>
      <c r="AL334" s="24"/>
      <c r="AM334" s="24"/>
    </row>
    <row r="335" spans="2:39" x14ac:dyDescent="0.2">
      <c r="B335" s="50">
        <v>43688</v>
      </c>
      <c r="C335" s="35">
        <v>0.58472222222222225</v>
      </c>
      <c r="D335" s="35"/>
      <c r="E335" s="35" t="s">
        <v>111</v>
      </c>
      <c r="F335" s="37">
        <v>2</v>
      </c>
      <c r="G335" s="42" t="str">
        <f>VLOOKUP(F335,Key!$A$17:$B$21,2,FALSE)</f>
        <v>Road Vehicle</v>
      </c>
      <c r="H335" s="36">
        <v>4</v>
      </c>
      <c r="I335" s="43" t="str">
        <f>VLOOKUP(H335,Key!$A$2:$B$13,2,FALSE)</f>
        <v>Minibus</v>
      </c>
      <c r="J335" s="37" t="s">
        <v>123</v>
      </c>
      <c r="K335" s="13">
        <v>3</v>
      </c>
      <c r="L335" s="45" t="str">
        <f>VLOOKUP(K335,Key!$A$24:$B$29,2,FALSE)</f>
        <v>40-49</v>
      </c>
      <c r="M335" s="44" t="s">
        <v>192</v>
      </c>
      <c r="N335" s="44" t="s">
        <v>169</v>
      </c>
      <c r="O335" s="37" t="s">
        <v>168</v>
      </c>
      <c r="P335" s="39">
        <v>6</v>
      </c>
      <c r="Q335" s="34" t="str">
        <f>VLOOKUP(P335,Key!$E$2:$F$9,2,FALSE)</f>
        <v>Leisure/Social</v>
      </c>
      <c r="R335" s="37" t="s">
        <v>176</v>
      </c>
      <c r="S335" s="32" t="s">
        <v>176</v>
      </c>
      <c r="T335" s="37" t="s">
        <v>168</v>
      </c>
      <c r="U335" s="32">
        <v>1</v>
      </c>
      <c r="V335" s="34" t="str">
        <f>VLOOKUP(U335,Key!$E$2:$F$9,2,FALSE)</f>
        <v>Home</v>
      </c>
      <c r="W335" s="34" t="str">
        <f t="shared" si="8"/>
        <v>Leisure/Social-Home</v>
      </c>
      <c r="X335" s="47">
        <v>150000</v>
      </c>
      <c r="Y335" s="38">
        <v>100</v>
      </c>
      <c r="Z335" s="38">
        <v>5</v>
      </c>
      <c r="AA335" s="32">
        <v>6</v>
      </c>
      <c r="AB335" s="34" t="str">
        <f>VLOOKUP(AA335,Key!$C$20:$D$29,2,FALSE)</f>
        <v>Businessman</v>
      </c>
      <c r="AC335" s="32">
        <v>3</v>
      </c>
      <c r="AD335" s="34" t="str">
        <f>VLOOKUP(AC335,Key!$E$20:$F$24,2,FALSE)</f>
        <v>500,000-750,000</v>
      </c>
      <c r="AE335" s="32">
        <v>1</v>
      </c>
      <c r="AF335" s="55">
        <v>2</v>
      </c>
      <c r="AG335" s="55">
        <v>1</v>
      </c>
      <c r="AH335" s="55">
        <v>1</v>
      </c>
      <c r="AI335" s="55">
        <v>1</v>
      </c>
      <c r="AJ335" s="39" t="s">
        <v>104</v>
      </c>
      <c r="AK335" s="40">
        <v>2000</v>
      </c>
      <c r="AL335" s="24"/>
      <c r="AM335" s="24"/>
    </row>
    <row r="336" spans="2:39" x14ac:dyDescent="0.2">
      <c r="B336" s="50">
        <v>43689</v>
      </c>
      <c r="C336" s="35">
        <v>0.5395833333333333</v>
      </c>
      <c r="D336" s="35"/>
      <c r="E336" s="35" t="s">
        <v>111</v>
      </c>
      <c r="F336" s="37">
        <v>2</v>
      </c>
      <c r="G336" s="42" t="str">
        <f>VLOOKUP(F336,Key!$A$17:$B$21,2,FALSE)</f>
        <v>Road Vehicle</v>
      </c>
      <c r="H336" s="36">
        <v>4</v>
      </c>
      <c r="I336" s="43" t="str">
        <f>VLOOKUP(H336,Key!$A$2:$B$13,2,FALSE)</f>
        <v>Minibus</v>
      </c>
      <c r="J336" s="37" t="s">
        <v>123</v>
      </c>
      <c r="K336" s="37">
        <v>4</v>
      </c>
      <c r="L336" s="45" t="str">
        <f>VLOOKUP(K336,Key!$A$24:$B$29,2,FALSE)</f>
        <v>50-59</v>
      </c>
      <c r="M336" s="37" t="s">
        <v>228</v>
      </c>
      <c r="N336" s="32" t="s">
        <v>167</v>
      </c>
      <c r="O336" s="37" t="s">
        <v>168</v>
      </c>
      <c r="P336" s="39">
        <v>2</v>
      </c>
      <c r="Q336" s="34" t="str">
        <f>VLOOKUP(P336,Key!$E$2:$F$9,2,FALSE)</f>
        <v>Work</v>
      </c>
      <c r="R336" s="37" t="s">
        <v>219</v>
      </c>
      <c r="S336" s="32" t="s">
        <v>176</v>
      </c>
      <c r="T336" s="37" t="s">
        <v>168</v>
      </c>
      <c r="U336" s="32">
        <v>2</v>
      </c>
      <c r="V336" s="34" t="str">
        <f>VLOOKUP(U336,Key!$E$2:$F$9,2,FALSE)</f>
        <v>Work</v>
      </c>
      <c r="W336" s="34" t="str">
        <f t="shared" si="8"/>
        <v>Work-Work</v>
      </c>
      <c r="X336" s="47">
        <v>60000</v>
      </c>
      <c r="Y336" s="38">
        <v>70</v>
      </c>
      <c r="Z336" s="38">
        <v>3</v>
      </c>
      <c r="AA336" s="32">
        <v>10</v>
      </c>
      <c r="AB336" s="34" t="str">
        <f>VLOOKUP(AA336,Key!$C$20:$D$29,2,FALSE)</f>
        <v>Other</v>
      </c>
      <c r="AC336" s="32">
        <v>2</v>
      </c>
      <c r="AD336" s="34" t="str">
        <f>VLOOKUP(AC336,Key!$E$20:$F$24,2,FALSE)</f>
        <v>300,000-500,000</v>
      </c>
      <c r="AE336" s="32">
        <v>1</v>
      </c>
      <c r="AF336" s="55">
        <v>1</v>
      </c>
      <c r="AG336" s="55">
        <v>1</v>
      </c>
      <c r="AH336" s="55">
        <v>1</v>
      </c>
      <c r="AI336" s="55">
        <v>1</v>
      </c>
      <c r="AJ336" s="39" t="s">
        <v>104</v>
      </c>
      <c r="AK336" s="40"/>
      <c r="AL336" s="24"/>
      <c r="AM336" s="24"/>
    </row>
    <row r="337" spans="2:39" x14ac:dyDescent="0.2">
      <c r="B337" s="50">
        <v>43686</v>
      </c>
      <c r="C337" s="35">
        <v>0.65277777777777779</v>
      </c>
      <c r="D337" s="35"/>
      <c r="E337" s="35" t="s">
        <v>111</v>
      </c>
      <c r="F337" s="37">
        <v>2</v>
      </c>
      <c r="G337" s="42" t="str">
        <f>VLOOKUP(F337,Key!$A$17:$B$21,2,FALSE)</f>
        <v>Road Vehicle</v>
      </c>
      <c r="H337" s="36">
        <v>4</v>
      </c>
      <c r="I337" s="43" t="str">
        <f>VLOOKUP(H337,Key!$A$2:$B$13,2,FALSE)</f>
        <v>Minibus</v>
      </c>
      <c r="J337" s="37" t="s">
        <v>123</v>
      </c>
      <c r="K337" s="13">
        <v>4</v>
      </c>
      <c r="L337" s="45" t="str">
        <f>VLOOKUP(K337,Key!$A$24:$B$29,2,FALSE)</f>
        <v>50-59</v>
      </c>
      <c r="M337" s="44" t="s">
        <v>28</v>
      </c>
      <c r="N337" s="44" t="s">
        <v>188</v>
      </c>
      <c r="O337" s="37" t="s">
        <v>168</v>
      </c>
      <c r="P337" s="39">
        <v>2</v>
      </c>
      <c r="Q337" s="34" t="str">
        <f>VLOOKUP(P337,Key!$E$2:$F$9,2,FALSE)</f>
        <v>Work</v>
      </c>
      <c r="R337" s="37" t="s">
        <v>179</v>
      </c>
      <c r="S337" s="32" t="s">
        <v>179</v>
      </c>
      <c r="T337" s="37" t="s">
        <v>168</v>
      </c>
      <c r="U337" s="32">
        <v>4</v>
      </c>
      <c r="V337" s="34" t="str">
        <f>VLOOKUP(U337,Key!$E$2:$F$9,2,FALSE)</f>
        <v>Commercial</v>
      </c>
      <c r="W337" s="34" t="str">
        <f t="shared" si="8"/>
        <v>Work-Commercial</v>
      </c>
      <c r="X337" s="47">
        <v>50000</v>
      </c>
      <c r="Y337" s="38">
        <v>80</v>
      </c>
      <c r="Z337" s="38">
        <v>3</v>
      </c>
      <c r="AA337" s="32">
        <v>10</v>
      </c>
      <c r="AB337" s="34" t="str">
        <f>VLOOKUP(AA337,Key!$C$20:$D$29,2,FALSE)</f>
        <v>Other</v>
      </c>
      <c r="AC337" s="32">
        <v>1</v>
      </c>
      <c r="AD337" s="34" t="str">
        <f>VLOOKUP(AC337,Key!$E$20:$F$24,2,FALSE)</f>
        <v>&lt;300,000</v>
      </c>
      <c r="AE337" s="32">
        <v>1</v>
      </c>
      <c r="AF337" s="55">
        <v>1</v>
      </c>
      <c r="AG337" s="55">
        <v>1</v>
      </c>
      <c r="AH337" s="55">
        <v>2</v>
      </c>
      <c r="AI337" s="55">
        <v>1</v>
      </c>
      <c r="AJ337" s="39" t="s">
        <v>104</v>
      </c>
      <c r="AK337" s="40">
        <v>1000</v>
      </c>
      <c r="AL337" s="24"/>
      <c r="AM337" s="24"/>
    </row>
    <row r="338" spans="2:39" x14ac:dyDescent="0.2">
      <c r="B338" s="50">
        <v>43686</v>
      </c>
      <c r="C338" s="35">
        <v>0.66805555555555562</v>
      </c>
      <c r="D338" s="35"/>
      <c r="E338" s="35" t="s">
        <v>111</v>
      </c>
      <c r="F338" s="37">
        <v>2</v>
      </c>
      <c r="G338" s="42" t="str">
        <f>VLOOKUP(F338,Key!$A$17:$B$21,2,FALSE)</f>
        <v>Road Vehicle</v>
      </c>
      <c r="H338" s="36">
        <v>4</v>
      </c>
      <c r="I338" s="43" t="str">
        <f>VLOOKUP(H338,Key!$A$2:$B$13,2,FALSE)</f>
        <v>Minibus</v>
      </c>
      <c r="J338" s="37" t="s">
        <v>123</v>
      </c>
      <c r="K338" s="37">
        <v>4</v>
      </c>
      <c r="L338" s="45" t="str">
        <f>VLOOKUP(K338,Key!$A$24:$B$29,2,FALSE)</f>
        <v>50-59</v>
      </c>
      <c r="M338" s="37" t="s">
        <v>167</v>
      </c>
      <c r="N338" s="32" t="s">
        <v>167</v>
      </c>
      <c r="O338" s="37" t="s">
        <v>168</v>
      </c>
      <c r="P338" s="39">
        <v>2</v>
      </c>
      <c r="Q338" s="34" t="str">
        <f>VLOOKUP(P338,Key!$E$2:$F$9,2,FALSE)</f>
        <v>Work</v>
      </c>
      <c r="R338" s="37" t="s">
        <v>176</v>
      </c>
      <c r="S338" s="32" t="s">
        <v>176</v>
      </c>
      <c r="T338" s="37" t="s">
        <v>168</v>
      </c>
      <c r="U338" s="32">
        <v>2</v>
      </c>
      <c r="V338" s="34" t="str">
        <f>VLOOKUP(U338,Key!$E$2:$F$9,2,FALSE)</f>
        <v>Work</v>
      </c>
      <c r="W338" s="34" t="str">
        <f t="shared" si="8"/>
        <v>Work-Work</v>
      </c>
      <c r="X338" s="47">
        <v>40000</v>
      </c>
      <c r="Y338" s="38">
        <v>80</v>
      </c>
      <c r="Z338" s="38">
        <v>3</v>
      </c>
      <c r="AA338" s="32">
        <v>10</v>
      </c>
      <c r="AB338" s="34" t="str">
        <f>VLOOKUP(AA338,Key!$C$20:$D$29,2,FALSE)</f>
        <v>Other</v>
      </c>
      <c r="AC338" s="32">
        <v>2</v>
      </c>
      <c r="AD338" s="34" t="str">
        <f>VLOOKUP(AC338,Key!$E$20:$F$24,2,FALSE)</f>
        <v>300,000-500,000</v>
      </c>
      <c r="AE338" s="32">
        <v>2</v>
      </c>
      <c r="AF338" s="55">
        <v>3</v>
      </c>
      <c r="AG338" s="55">
        <v>4</v>
      </c>
      <c r="AH338" s="55">
        <v>1</v>
      </c>
      <c r="AI338" s="55">
        <v>5</v>
      </c>
      <c r="AJ338" s="39" t="s">
        <v>104</v>
      </c>
      <c r="AK338" s="40">
        <v>2500</v>
      </c>
      <c r="AL338" s="24"/>
      <c r="AM338" s="24"/>
    </row>
    <row r="339" spans="2:39" x14ac:dyDescent="0.2">
      <c r="B339" s="50">
        <v>43687</v>
      </c>
      <c r="C339" s="35">
        <v>0.60763888888888895</v>
      </c>
      <c r="D339" s="35"/>
      <c r="E339" s="35" t="s">
        <v>111</v>
      </c>
      <c r="F339" s="37">
        <v>2</v>
      </c>
      <c r="G339" s="42" t="str">
        <f>VLOOKUP(F339,Key!$A$17:$B$21,2,FALSE)</f>
        <v>Road Vehicle</v>
      </c>
      <c r="H339" s="36">
        <v>4</v>
      </c>
      <c r="I339" s="43" t="str">
        <f>VLOOKUP(H339,Key!$A$2:$B$13,2,FALSE)</f>
        <v>Minibus</v>
      </c>
      <c r="J339" s="37" t="s">
        <v>123</v>
      </c>
      <c r="K339" s="37">
        <v>4</v>
      </c>
      <c r="L339" s="45" t="str">
        <f>VLOOKUP(K339,Key!$A$24:$B$29,2,FALSE)</f>
        <v>50-59</v>
      </c>
      <c r="M339" s="37" t="s">
        <v>211</v>
      </c>
      <c r="N339" s="32" t="s">
        <v>167</v>
      </c>
      <c r="O339" s="37" t="s">
        <v>168</v>
      </c>
      <c r="P339" s="39">
        <v>2</v>
      </c>
      <c r="Q339" s="34" t="str">
        <f>VLOOKUP(P339,Key!$E$2:$F$9,2,FALSE)</f>
        <v>Work</v>
      </c>
      <c r="R339" s="37" t="s">
        <v>326</v>
      </c>
      <c r="S339" s="32" t="s">
        <v>176</v>
      </c>
      <c r="T339" s="37" t="s">
        <v>168</v>
      </c>
      <c r="U339" s="32">
        <v>2</v>
      </c>
      <c r="V339" s="34" t="str">
        <f>VLOOKUP(U339,Key!$E$2:$F$9,2,FALSE)</f>
        <v>Work</v>
      </c>
      <c r="W339" s="34" t="str">
        <f t="shared" si="8"/>
        <v>Work-Work</v>
      </c>
      <c r="X339" s="47">
        <v>70000</v>
      </c>
      <c r="Y339" s="38">
        <v>100</v>
      </c>
      <c r="Z339" s="38">
        <v>3</v>
      </c>
      <c r="AA339" s="32">
        <v>5</v>
      </c>
      <c r="AB339" s="34" t="str">
        <f>VLOOKUP(AA339,Key!$C$20:$D$29,2,FALSE)</f>
        <v>Professional</v>
      </c>
      <c r="AC339" s="32">
        <v>3</v>
      </c>
      <c r="AD339" s="34" t="str">
        <f>VLOOKUP(AC339,Key!$E$20:$F$24,2,FALSE)</f>
        <v>500,000-750,000</v>
      </c>
      <c r="AE339" s="32">
        <v>1</v>
      </c>
      <c r="AF339" s="55">
        <v>1</v>
      </c>
      <c r="AG339" s="55">
        <v>1</v>
      </c>
      <c r="AH339" s="55">
        <v>1</v>
      </c>
      <c r="AI339" s="55">
        <v>1</v>
      </c>
      <c r="AJ339" s="39" t="s">
        <v>104</v>
      </c>
      <c r="AK339" s="40">
        <v>3000</v>
      </c>
      <c r="AL339" s="24"/>
      <c r="AM339" s="24"/>
    </row>
    <row r="340" spans="2:39" x14ac:dyDescent="0.2">
      <c r="B340" s="50">
        <v>43687</v>
      </c>
      <c r="C340" s="35">
        <v>0.67013888888888884</v>
      </c>
      <c r="D340" s="35"/>
      <c r="E340" s="35" t="s">
        <v>111</v>
      </c>
      <c r="F340" s="37">
        <v>2</v>
      </c>
      <c r="G340" s="42" t="str">
        <f>VLOOKUP(F340,Key!$A$17:$B$21,2,FALSE)</f>
        <v>Road Vehicle</v>
      </c>
      <c r="H340" s="36">
        <v>4</v>
      </c>
      <c r="I340" s="43" t="str">
        <f>VLOOKUP(H340,Key!$A$2:$B$13,2,FALSE)</f>
        <v>Minibus</v>
      </c>
      <c r="J340" s="37" t="s">
        <v>123</v>
      </c>
      <c r="K340" s="37">
        <v>4</v>
      </c>
      <c r="L340" s="45" t="str">
        <f>VLOOKUP(K340,Key!$A$24:$B$29,2,FALSE)</f>
        <v>50-59</v>
      </c>
      <c r="M340" s="37" t="s">
        <v>247</v>
      </c>
      <c r="N340" s="32" t="s">
        <v>173</v>
      </c>
      <c r="O340" s="37" t="s">
        <v>168</v>
      </c>
      <c r="P340" s="39">
        <v>2</v>
      </c>
      <c r="Q340" s="34" t="str">
        <f>VLOOKUP(P340,Key!$E$2:$F$9,2,FALSE)</f>
        <v>Work</v>
      </c>
      <c r="R340" s="37" t="s">
        <v>218</v>
      </c>
      <c r="S340" s="32" t="s">
        <v>176</v>
      </c>
      <c r="T340" s="37" t="s">
        <v>168</v>
      </c>
      <c r="U340" s="32">
        <v>2</v>
      </c>
      <c r="V340" s="34" t="str">
        <f>VLOOKUP(U340,Key!$E$2:$F$9,2,FALSE)</f>
        <v>Work</v>
      </c>
      <c r="W340" s="34" t="str">
        <f t="shared" si="8"/>
        <v>Work-Work</v>
      </c>
      <c r="X340" s="47">
        <v>70000</v>
      </c>
      <c r="Y340" s="38">
        <v>100</v>
      </c>
      <c r="Z340" s="38">
        <v>3.5</v>
      </c>
      <c r="AA340" s="32">
        <v>6</v>
      </c>
      <c r="AB340" s="34" t="str">
        <f>VLOOKUP(AA340,Key!$C$20:$D$29,2,FALSE)</f>
        <v>Businessman</v>
      </c>
      <c r="AC340" s="32">
        <v>4</v>
      </c>
      <c r="AD340" s="34" t="str">
        <f>VLOOKUP(AC340,Key!$E$20:$F$24,2,FALSE)</f>
        <v>750,000-1,000,000</v>
      </c>
      <c r="AE340" s="32">
        <v>1</v>
      </c>
      <c r="AF340" s="55">
        <v>1</v>
      </c>
      <c r="AG340" s="55">
        <v>1</v>
      </c>
      <c r="AH340" s="55">
        <v>1</v>
      </c>
      <c r="AI340" s="55">
        <v>1</v>
      </c>
      <c r="AJ340" s="39" t="s">
        <v>104</v>
      </c>
      <c r="AK340" s="40">
        <v>1500</v>
      </c>
      <c r="AL340" s="24"/>
      <c r="AM340" s="24"/>
    </row>
    <row r="341" spans="2:39" hidden="1" x14ac:dyDescent="0.2">
      <c r="B341" s="50">
        <v>43690</v>
      </c>
      <c r="C341" s="35">
        <v>0.38194444444444442</v>
      </c>
      <c r="D341" s="35"/>
      <c r="E341" s="35" t="s">
        <v>111</v>
      </c>
      <c r="F341" s="37">
        <v>2</v>
      </c>
      <c r="G341" s="42" t="str">
        <f>VLOOKUP(F341,Key!$A$17:$B$21,2,FALSE)</f>
        <v>Road Vehicle</v>
      </c>
      <c r="H341" s="36">
        <v>4</v>
      </c>
      <c r="I341" s="43" t="str">
        <f>VLOOKUP(H341,Key!$A$2:$B$13,2,FALSE)</f>
        <v>Minibus</v>
      </c>
      <c r="J341" s="37" t="s">
        <v>123</v>
      </c>
      <c r="K341" s="37">
        <v>2</v>
      </c>
      <c r="L341" s="45" t="str">
        <f>VLOOKUP(K341,Key!$A$24:$B$29,2,FALSE)</f>
        <v>30-39</v>
      </c>
      <c r="M341" s="37" t="s">
        <v>167</v>
      </c>
      <c r="N341" s="32" t="s">
        <v>167</v>
      </c>
      <c r="O341" s="37" t="s">
        <v>168</v>
      </c>
      <c r="P341" s="39">
        <v>2</v>
      </c>
      <c r="Q341" s="34" t="str">
        <f>VLOOKUP(P341,Key!$E$2:$F$9,2,FALSE)</f>
        <v>Work</v>
      </c>
      <c r="R341" s="37" t="s">
        <v>199</v>
      </c>
      <c r="S341" s="32" t="s">
        <v>199</v>
      </c>
      <c r="T341" s="37" t="s">
        <v>168</v>
      </c>
      <c r="U341" s="32">
        <v>2</v>
      </c>
      <c r="V341" s="34" t="str">
        <f>VLOOKUP(U341,Key!$E$2:$F$9,2,FALSE)</f>
        <v>Work</v>
      </c>
      <c r="W341" s="34" t="str">
        <f t="shared" si="8"/>
        <v>Work-Work</v>
      </c>
      <c r="X341" s="47">
        <v>120000</v>
      </c>
      <c r="Y341" s="38">
        <v>109</v>
      </c>
      <c r="Z341" s="38">
        <v>3</v>
      </c>
      <c r="AA341" s="32">
        <v>10</v>
      </c>
      <c r="AB341" s="34" t="str">
        <f>VLOOKUP(AA341,Key!$C$20:$D$29,2,FALSE)</f>
        <v>Other</v>
      </c>
      <c r="AC341" s="32">
        <v>2</v>
      </c>
      <c r="AD341" s="34" t="str">
        <f>VLOOKUP(AC341,Key!$E$20:$F$24,2,FALSE)</f>
        <v>300,000-500,000</v>
      </c>
      <c r="AE341" s="32">
        <v>2</v>
      </c>
      <c r="AF341" s="55">
        <v>3</v>
      </c>
      <c r="AG341" s="55">
        <v>2</v>
      </c>
      <c r="AH341" s="55">
        <v>3</v>
      </c>
      <c r="AI341" s="55">
        <v>1</v>
      </c>
      <c r="AJ341" s="39" t="s">
        <v>104</v>
      </c>
      <c r="AK341" s="40"/>
      <c r="AL341" s="24"/>
      <c r="AM341" s="24"/>
    </row>
    <row r="342" spans="2:39" hidden="1" x14ac:dyDescent="0.2">
      <c r="B342" s="50">
        <v>43690</v>
      </c>
      <c r="C342" s="35">
        <v>0.64652777777777781</v>
      </c>
      <c r="D342" s="35"/>
      <c r="E342" s="35" t="s">
        <v>111</v>
      </c>
      <c r="F342" s="37">
        <v>2</v>
      </c>
      <c r="G342" s="42" t="str">
        <f>VLOOKUP(F342,Key!$A$17:$B$21,2,FALSE)</f>
        <v>Road Vehicle</v>
      </c>
      <c r="H342" s="36">
        <v>4</v>
      </c>
      <c r="I342" s="43" t="str">
        <f>VLOOKUP(H342,Key!$A$2:$B$13,2,FALSE)</f>
        <v>Minibus</v>
      </c>
      <c r="J342" s="37" t="s">
        <v>123</v>
      </c>
      <c r="K342" s="37">
        <v>3</v>
      </c>
      <c r="L342" s="45" t="str">
        <f>VLOOKUP(K342,Key!$A$24:$B$29,2,FALSE)</f>
        <v>40-49</v>
      </c>
      <c r="M342" s="44" t="s">
        <v>167</v>
      </c>
      <c r="N342" s="32" t="s">
        <v>167</v>
      </c>
      <c r="O342" s="37" t="s">
        <v>168</v>
      </c>
      <c r="P342" s="39">
        <v>2</v>
      </c>
      <c r="Q342" s="34" t="str">
        <f>VLOOKUP(P342,Key!$E$2:$F$9,2,FALSE)</f>
        <v>Work</v>
      </c>
      <c r="R342" s="37" t="s">
        <v>183</v>
      </c>
      <c r="S342" s="32" t="s">
        <v>183</v>
      </c>
      <c r="T342" s="37" t="s">
        <v>168</v>
      </c>
      <c r="U342" s="32">
        <v>2</v>
      </c>
      <c r="V342" s="34" t="str">
        <f>VLOOKUP(U342,Key!$E$2:$F$9,2,FALSE)</f>
        <v>Work</v>
      </c>
      <c r="W342" s="34" t="str">
        <f t="shared" si="8"/>
        <v>Work-Work</v>
      </c>
      <c r="X342" s="47">
        <v>120000</v>
      </c>
      <c r="Y342" s="38">
        <v>110</v>
      </c>
      <c r="Z342" s="38">
        <v>3</v>
      </c>
      <c r="AA342" s="32">
        <v>10</v>
      </c>
      <c r="AB342" s="34" t="str">
        <f>VLOOKUP(AA342,Key!$C$20:$D$29,2,FALSE)</f>
        <v>Other</v>
      </c>
      <c r="AC342" s="32">
        <v>1</v>
      </c>
      <c r="AD342" s="34" t="str">
        <f>VLOOKUP(AC342,Key!$E$20:$F$24,2,FALSE)</f>
        <v>&lt;300,000</v>
      </c>
      <c r="AE342" s="32">
        <v>1</v>
      </c>
      <c r="AF342" s="55">
        <v>1</v>
      </c>
      <c r="AG342" s="55">
        <v>1</v>
      </c>
      <c r="AH342" s="55">
        <v>1</v>
      </c>
      <c r="AI342" s="55">
        <v>1</v>
      </c>
      <c r="AJ342" s="39" t="s">
        <v>104</v>
      </c>
      <c r="AK342" s="40"/>
      <c r="AL342" s="24"/>
      <c r="AM342" s="24"/>
    </row>
    <row r="343" spans="2:39" hidden="1" x14ac:dyDescent="0.2">
      <c r="B343" s="50">
        <v>43690</v>
      </c>
      <c r="C343" s="35">
        <v>0.35138888888888892</v>
      </c>
      <c r="D343" s="35"/>
      <c r="E343" s="35" t="s">
        <v>111</v>
      </c>
      <c r="F343" s="37">
        <v>2</v>
      </c>
      <c r="G343" s="42" t="str">
        <f>VLOOKUP(F343,Key!$A$17:$B$21,2,FALSE)</f>
        <v>Road Vehicle</v>
      </c>
      <c r="H343" s="36">
        <v>4</v>
      </c>
      <c r="I343" s="43" t="str">
        <f>VLOOKUP(H343,Key!$A$2:$B$13,2,FALSE)</f>
        <v>Minibus</v>
      </c>
      <c r="J343" s="37" t="s">
        <v>123</v>
      </c>
      <c r="K343" s="37">
        <v>1</v>
      </c>
      <c r="L343" s="45" t="str">
        <f>VLOOKUP(K343,Key!$A$24:$B$29,2,FALSE)</f>
        <v>20-29</v>
      </c>
      <c r="M343" s="37" t="s">
        <v>167</v>
      </c>
      <c r="N343" s="32" t="s">
        <v>167</v>
      </c>
      <c r="O343" s="37" t="s">
        <v>168</v>
      </c>
      <c r="P343" s="39">
        <v>2</v>
      </c>
      <c r="Q343" s="34" t="str">
        <f>VLOOKUP(P343,Key!$E$2:$F$9,2,FALSE)</f>
        <v>Work</v>
      </c>
      <c r="R343" s="37" t="s">
        <v>199</v>
      </c>
      <c r="S343" s="32" t="s">
        <v>199</v>
      </c>
      <c r="T343" s="37" t="s">
        <v>168</v>
      </c>
      <c r="U343" s="32">
        <v>2</v>
      </c>
      <c r="V343" s="34" t="str">
        <f>VLOOKUP(U343,Key!$E$2:$F$9,2,FALSE)</f>
        <v>Work</v>
      </c>
      <c r="W343" s="34" t="str">
        <f t="shared" si="8"/>
        <v>Work-Work</v>
      </c>
      <c r="X343" s="47">
        <v>110000</v>
      </c>
      <c r="Y343" s="38">
        <v>115</v>
      </c>
      <c r="Z343" s="38">
        <v>2.5</v>
      </c>
      <c r="AA343" s="32">
        <v>10</v>
      </c>
      <c r="AB343" s="34" t="str">
        <f>VLOOKUP(AA343,Key!$C$20:$D$29,2,FALSE)</f>
        <v>Other</v>
      </c>
      <c r="AC343" s="32">
        <v>2</v>
      </c>
      <c r="AD343" s="34" t="str">
        <f>VLOOKUP(AC343,Key!$E$20:$F$24,2,FALSE)</f>
        <v>300,000-500,000</v>
      </c>
      <c r="AE343" s="32">
        <v>3</v>
      </c>
      <c r="AF343" s="55">
        <v>4</v>
      </c>
      <c r="AG343" s="55">
        <v>4</v>
      </c>
      <c r="AH343" s="55">
        <v>3</v>
      </c>
      <c r="AI343" s="55">
        <v>2</v>
      </c>
      <c r="AJ343" s="39" t="s">
        <v>104</v>
      </c>
      <c r="AK343" s="40">
        <v>3000</v>
      </c>
      <c r="AL343" s="24"/>
      <c r="AM343" s="24"/>
    </row>
    <row r="344" spans="2:39" hidden="1" x14ac:dyDescent="0.2">
      <c r="B344" s="50">
        <v>43690</v>
      </c>
      <c r="C344" s="35">
        <v>0.3611111111111111</v>
      </c>
      <c r="D344" s="35"/>
      <c r="E344" s="35" t="s">
        <v>111</v>
      </c>
      <c r="F344" s="37">
        <v>2</v>
      </c>
      <c r="G344" s="42" t="str">
        <f>VLOOKUP(F344,Key!$A$17:$B$21,2,FALSE)</f>
        <v>Road Vehicle</v>
      </c>
      <c r="H344" s="36">
        <v>4</v>
      </c>
      <c r="I344" s="43" t="str">
        <f>VLOOKUP(H344,Key!$A$2:$B$13,2,FALSE)</f>
        <v>Minibus</v>
      </c>
      <c r="J344" s="37" t="s">
        <v>123</v>
      </c>
      <c r="K344" s="37">
        <v>2</v>
      </c>
      <c r="L344" s="45" t="str">
        <f>VLOOKUP(K344,Key!$A$24:$B$29,2,FALSE)</f>
        <v>30-39</v>
      </c>
      <c r="M344" s="37" t="s">
        <v>315</v>
      </c>
      <c r="N344" s="32" t="s">
        <v>179</v>
      </c>
      <c r="O344" s="37" t="s">
        <v>168</v>
      </c>
      <c r="P344" s="39">
        <v>4</v>
      </c>
      <c r="Q344" s="34" t="str">
        <f>VLOOKUP(P344,Key!$E$2:$F$9,2,FALSE)</f>
        <v>Commercial</v>
      </c>
      <c r="R344" s="37" t="s">
        <v>274</v>
      </c>
      <c r="S344" s="32" t="s">
        <v>190</v>
      </c>
      <c r="T344" s="37" t="s">
        <v>168</v>
      </c>
      <c r="U344" s="32">
        <v>2</v>
      </c>
      <c r="V344" s="34" t="str">
        <f>VLOOKUP(U344,Key!$E$2:$F$9,2,FALSE)</f>
        <v>Work</v>
      </c>
      <c r="W344" s="34" t="str">
        <f t="shared" si="8"/>
        <v>Commercial-Work</v>
      </c>
      <c r="X344" s="47">
        <v>100000</v>
      </c>
      <c r="Y344" s="38">
        <v>130</v>
      </c>
      <c r="Z344" s="38">
        <v>3</v>
      </c>
      <c r="AA344" s="32">
        <v>5</v>
      </c>
      <c r="AB344" s="34" t="str">
        <f>VLOOKUP(AA344,Key!$C$20:$D$29,2,FALSE)</f>
        <v>Professional</v>
      </c>
      <c r="AC344" s="32">
        <v>1</v>
      </c>
      <c r="AD344" s="34" t="str">
        <f>VLOOKUP(AC344,Key!$E$20:$F$24,2,FALSE)</f>
        <v>&lt;300,000</v>
      </c>
      <c r="AE344" s="32">
        <v>1</v>
      </c>
      <c r="AF344" s="55">
        <v>1</v>
      </c>
      <c r="AG344" s="55">
        <v>2</v>
      </c>
      <c r="AH344" s="55">
        <v>1</v>
      </c>
      <c r="AI344" s="55">
        <v>2</v>
      </c>
      <c r="AJ344" s="39" t="s">
        <v>104</v>
      </c>
      <c r="AK344" s="40">
        <v>5000</v>
      </c>
      <c r="AL344" s="24"/>
      <c r="AM344" s="24"/>
    </row>
    <row r="345" spans="2:39" hidden="1" x14ac:dyDescent="0.2">
      <c r="B345" s="50">
        <v>43690</v>
      </c>
      <c r="C345" s="35">
        <v>0.35694444444444445</v>
      </c>
      <c r="D345" s="35"/>
      <c r="E345" s="35" t="s">
        <v>111</v>
      </c>
      <c r="F345" s="37">
        <v>2</v>
      </c>
      <c r="G345" s="42" t="str">
        <f>VLOOKUP(F345,Key!$A$17:$B$21,2,FALSE)</f>
        <v>Road Vehicle</v>
      </c>
      <c r="H345" s="36">
        <v>4</v>
      </c>
      <c r="I345" s="43" t="str">
        <f>VLOOKUP(H345,Key!$A$2:$B$13,2,FALSE)</f>
        <v>Minibus</v>
      </c>
      <c r="J345" s="37" t="s">
        <v>123</v>
      </c>
      <c r="K345" s="37">
        <v>2</v>
      </c>
      <c r="L345" s="45" t="str">
        <f>VLOOKUP(K345,Key!$A$24:$B$29,2,FALSE)</f>
        <v>30-39</v>
      </c>
      <c r="M345" s="37" t="s">
        <v>247</v>
      </c>
      <c r="N345" s="32" t="s">
        <v>167</v>
      </c>
      <c r="O345" s="37" t="s">
        <v>168</v>
      </c>
      <c r="P345" s="39">
        <v>2</v>
      </c>
      <c r="Q345" s="34" t="str">
        <f>VLOOKUP(P345,Key!$E$2:$F$9,2,FALSE)</f>
        <v>Work</v>
      </c>
      <c r="R345" s="37" t="s">
        <v>219</v>
      </c>
      <c r="S345" s="32" t="s">
        <v>183</v>
      </c>
      <c r="T345" s="37" t="s">
        <v>168</v>
      </c>
      <c r="U345" s="32">
        <v>4</v>
      </c>
      <c r="V345" s="34" t="str">
        <f>VLOOKUP(U345,Key!$E$2:$F$9,2,FALSE)</f>
        <v>Commercial</v>
      </c>
      <c r="W345" s="34" t="str">
        <f t="shared" si="8"/>
        <v>Work-Commercial</v>
      </c>
      <c r="X345" s="47">
        <v>120000</v>
      </c>
      <c r="Y345" s="38">
        <v>130</v>
      </c>
      <c r="Z345" s="38">
        <v>4</v>
      </c>
      <c r="AA345" s="32">
        <v>10</v>
      </c>
      <c r="AB345" s="34" t="str">
        <f>VLOOKUP(AA345,Key!$C$20:$D$29,2,FALSE)</f>
        <v>Other</v>
      </c>
      <c r="AC345" s="32">
        <v>1</v>
      </c>
      <c r="AD345" s="34" t="str">
        <f>VLOOKUP(AC345,Key!$E$20:$F$24,2,FALSE)</f>
        <v>&lt;300,000</v>
      </c>
      <c r="AE345" s="32">
        <v>1</v>
      </c>
      <c r="AF345" s="55">
        <v>1</v>
      </c>
      <c r="AG345" s="55">
        <v>1</v>
      </c>
      <c r="AH345" s="55">
        <v>1</v>
      </c>
      <c r="AI345" s="55">
        <v>1</v>
      </c>
      <c r="AJ345" s="39" t="s">
        <v>104</v>
      </c>
      <c r="AK345" s="40">
        <v>1000</v>
      </c>
      <c r="AL345" s="24"/>
      <c r="AM345" s="24"/>
    </row>
    <row r="346" spans="2:39" hidden="1" x14ac:dyDescent="0.2">
      <c r="B346" s="50">
        <v>43690</v>
      </c>
      <c r="C346" s="35">
        <v>0.40902777777777777</v>
      </c>
      <c r="D346" s="35"/>
      <c r="E346" s="35" t="s">
        <v>111</v>
      </c>
      <c r="F346" s="37">
        <v>2</v>
      </c>
      <c r="G346" s="42" t="str">
        <f>VLOOKUP(F346,Key!$A$17:$B$21,2,FALSE)</f>
        <v>Road Vehicle</v>
      </c>
      <c r="H346" s="36">
        <v>4</v>
      </c>
      <c r="I346" s="43" t="str">
        <f>VLOOKUP(H346,Key!$A$2:$B$13,2,FALSE)</f>
        <v>Minibus</v>
      </c>
      <c r="J346" s="37" t="s">
        <v>123</v>
      </c>
      <c r="K346" s="37">
        <v>2</v>
      </c>
      <c r="L346" s="45" t="str">
        <f>VLOOKUP(K346,Key!$A$24:$B$29,2,FALSE)</f>
        <v>30-39</v>
      </c>
      <c r="M346" s="37" t="s">
        <v>297</v>
      </c>
      <c r="N346" s="32" t="s">
        <v>167</v>
      </c>
      <c r="O346" s="37" t="s">
        <v>168</v>
      </c>
      <c r="P346" s="39">
        <v>2</v>
      </c>
      <c r="Q346" s="34" t="str">
        <f>VLOOKUP(P346,Key!$E$2:$F$9,2,FALSE)</f>
        <v>Work</v>
      </c>
      <c r="R346" s="37" t="s">
        <v>169</v>
      </c>
      <c r="S346" s="32" t="s">
        <v>169</v>
      </c>
      <c r="T346" s="37" t="s">
        <v>168</v>
      </c>
      <c r="U346" s="32">
        <v>2</v>
      </c>
      <c r="V346" s="34" t="str">
        <f>VLOOKUP(U346,Key!$E$2:$F$9,2,FALSE)</f>
        <v>Work</v>
      </c>
      <c r="W346" s="34" t="str">
        <f t="shared" si="8"/>
        <v>Work-Work</v>
      </c>
      <c r="X346" s="47">
        <v>50000</v>
      </c>
      <c r="Y346" s="38">
        <v>140</v>
      </c>
      <c r="Z346" s="38">
        <v>2</v>
      </c>
      <c r="AA346" s="32">
        <v>10</v>
      </c>
      <c r="AB346" s="34" t="str">
        <f>VLOOKUP(AA346,Key!$C$20:$D$29,2,FALSE)</f>
        <v>Other</v>
      </c>
      <c r="AC346" s="32">
        <v>3</v>
      </c>
      <c r="AD346" s="34" t="str">
        <f>VLOOKUP(AC346,Key!$E$20:$F$24,2,FALSE)</f>
        <v>500,000-750,000</v>
      </c>
      <c r="AE346" s="32">
        <v>2</v>
      </c>
      <c r="AF346" s="55">
        <v>3</v>
      </c>
      <c r="AG346" s="55">
        <v>4</v>
      </c>
      <c r="AH346" s="55">
        <v>1</v>
      </c>
      <c r="AI346" s="55">
        <v>5</v>
      </c>
      <c r="AJ346" s="39" t="s">
        <v>104</v>
      </c>
      <c r="AK346" s="40">
        <v>2000</v>
      </c>
      <c r="AL346" s="24"/>
      <c r="AM346" s="24"/>
    </row>
    <row r="347" spans="2:39" hidden="1" x14ac:dyDescent="0.2">
      <c r="B347" s="50">
        <v>43690</v>
      </c>
      <c r="C347" s="35">
        <v>0.4201388888888889</v>
      </c>
      <c r="D347" s="35"/>
      <c r="E347" s="35" t="s">
        <v>111</v>
      </c>
      <c r="F347" s="37">
        <v>2</v>
      </c>
      <c r="G347" s="42" t="str">
        <f>VLOOKUP(F347,Key!$A$17:$B$21,2,FALSE)</f>
        <v>Road Vehicle</v>
      </c>
      <c r="H347" s="36">
        <v>4</v>
      </c>
      <c r="I347" s="43" t="str">
        <f>VLOOKUP(H347,Key!$A$2:$B$13,2,FALSE)</f>
        <v>Minibus</v>
      </c>
      <c r="J347" s="37" t="s">
        <v>123</v>
      </c>
      <c r="K347" s="37">
        <v>2</v>
      </c>
      <c r="L347" s="45" t="str">
        <f>VLOOKUP(K347,Key!$A$24:$B$29,2,FALSE)</f>
        <v>30-39</v>
      </c>
      <c r="M347" s="37" t="s">
        <v>167</v>
      </c>
      <c r="N347" s="32" t="s">
        <v>167</v>
      </c>
      <c r="O347" s="37" t="s">
        <v>168</v>
      </c>
      <c r="P347" s="39">
        <v>1</v>
      </c>
      <c r="Q347" s="34" t="str">
        <f>VLOOKUP(P347,Key!$E$2:$F$9,2,FALSE)</f>
        <v>Home</v>
      </c>
      <c r="R347" s="37" t="s">
        <v>169</v>
      </c>
      <c r="S347" s="32" t="s">
        <v>169</v>
      </c>
      <c r="T347" s="37" t="s">
        <v>168</v>
      </c>
      <c r="U347" s="32">
        <v>4</v>
      </c>
      <c r="V347" s="34" t="str">
        <f>VLOOKUP(U347,Key!$E$2:$F$9,2,FALSE)</f>
        <v>Commercial</v>
      </c>
      <c r="W347" s="34" t="str">
        <f t="shared" si="8"/>
        <v>Home-Commercial</v>
      </c>
      <c r="X347" s="47">
        <v>50000</v>
      </c>
      <c r="Y347" s="38">
        <v>140</v>
      </c>
      <c r="Z347" s="38">
        <v>2</v>
      </c>
      <c r="AA347" s="32">
        <v>6</v>
      </c>
      <c r="AB347" s="34" t="str">
        <f>VLOOKUP(AA347,Key!$C$20:$D$29,2,FALSE)</f>
        <v>Businessman</v>
      </c>
      <c r="AC347" s="32">
        <v>5</v>
      </c>
      <c r="AD347" s="34" t="str">
        <f>VLOOKUP(AC347,Key!$E$20:$F$24,2,FALSE)</f>
        <v>&gt;1,000,000</v>
      </c>
      <c r="AE347" s="32">
        <v>3</v>
      </c>
      <c r="AF347" s="55">
        <v>2</v>
      </c>
      <c r="AG347" s="55">
        <v>3</v>
      </c>
      <c r="AH347" s="55">
        <v>1</v>
      </c>
      <c r="AI347" s="55">
        <v>4</v>
      </c>
      <c r="AJ347" s="39" t="s">
        <v>104</v>
      </c>
      <c r="AK347" s="40">
        <v>5000</v>
      </c>
      <c r="AL347" s="24"/>
      <c r="AM347" s="24"/>
    </row>
    <row r="348" spans="2:39" hidden="1" x14ac:dyDescent="0.2">
      <c r="B348" s="50">
        <v>43690</v>
      </c>
      <c r="C348" s="35">
        <v>0.4145833333333333</v>
      </c>
      <c r="D348" s="35"/>
      <c r="E348" s="35" t="s">
        <v>111</v>
      </c>
      <c r="F348" s="37">
        <v>2</v>
      </c>
      <c r="G348" s="42" t="str">
        <f>VLOOKUP(F348,Key!$A$17:$B$21,2,FALSE)</f>
        <v>Road Vehicle</v>
      </c>
      <c r="H348" s="36">
        <v>4</v>
      </c>
      <c r="I348" s="43" t="str">
        <f>VLOOKUP(H348,Key!$A$2:$B$13,2,FALSE)</f>
        <v>Minibus</v>
      </c>
      <c r="J348" s="37" t="s">
        <v>123</v>
      </c>
      <c r="K348" s="37">
        <v>2</v>
      </c>
      <c r="L348" s="45" t="str">
        <f>VLOOKUP(K348,Key!$A$24:$B$29,2,FALSE)</f>
        <v>30-39</v>
      </c>
      <c r="M348" s="37" t="s">
        <v>169</v>
      </c>
      <c r="N348" s="32" t="s">
        <v>169</v>
      </c>
      <c r="O348" s="37" t="s">
        <v>168</v>
      </c>
      <c r="P348" s="39">
        <v>2</v>
      </c>
      <c r="Q348" s="34" t="str">
        <f>VLOOKUP(P348,Key!$E$2:$F$9,2,FALSE)</f>
        <v>Work</v>
      </c>
      <c r="R348" s="37" t="s">
        <v>167</v>
      </c>
      <c r="S348" s="32" t="s">
        <v>167</v>
      </c>
      <c r="T348" s="37" t="s">
        <v>168</v>
      </c>
      <c r="U348" s="32">
        <v>2</v>
      </c>
      <c r="V348" s="34" t="str">
        <f>VLOOKUP(U348,Key!$E$2:$F$9,2,FALSE)</f>
        <v>Work</v>
      </c>
      <c r="W348" s="34" t="str">
        <f t="shared" si="8"/>
        <v>Work-Work</v>
      </c>
      <c r="X348" s="47">
        <v>120000</v>
      </c>
      <c r="Y348" s="38">
        <v>140</v>
      </c>
      <c r="Z348" s="38">
        <v>2.5</v>
      </c>
      <c r="AA348" s="32">
        <v>10</v>
      </c>
      <c r="AB348" s="34" t="str">
        <f>VLOOKUP(AA348,Key!$C$20:$D$29,2,FALSE)</f>
        <v>Other</v>
      </c>
      <c r="AC348" s="32">
        <v>2</v>
      </c>
      <c r="AD348" s="34" t="str">
        <f>VLOOKUP(AC348,Key!$E$20:$F$24,2,FALSE)</f>
        <v>300,000-500,000</v>
      </c>
      <c r="AE348" s="32">
        <v>3</v>
      </c>
      <c r="AF348" s="55">
        <v>4</v>
      </c>
      <c r="AG348" s="55">
        <v>3</v>
      </c>
      <c r="AH348" s="55">
        <v>3</v>
      </c>
      <c r="AI348" s="55">
        <v>2</v>
      </c>
      <c r="AJ348" s="39" t="s">
        <v>104</v>
      </c>
      <c r="AK348" s="40"/>
      <c r="AL348" s="24"/>
      <c r="AM348" s="24"/>
    </row>
    <row r="349" spans="2:39" hidden="1" x14ac:dyDescent="0.2">
      <c r="B349" s="50">
        <v>43690</v>
      </c>
      <c r="C349" s="35">
        <v>0.61111111111111105</v>
      </c>
      <c r="D349" s="35"/>
      <c r="E349" s="35" t="s">
        <v>111</v>
      </c>
      <c r="F349" s="37">
        <v>2</v>
      </c>
      <c r="G349" s="42" t="str">
        <f>VLOOKUP(F349,Key!$A$17:$B$21,2,FALSE)</f>
        <v>Road Vehicle</v>
      </c>
      <c r="H349" s="36">
        <v>4</v>
      </c>
      <c r="I349" s="43" t="str">
        <f>VLOOKUP(H349,Key!$A$2:$B$13,2,FALSE)</f>
        <v>Minibus</v>
      </c>
      <c r="J349" s="37" t="s">
        <v>123</v>
      </c>
      <c r="K349" s="37">
        <v>2</v>
      </c>
      <c r="L349" s="45" t="str">
        <f>VLOOKUP(K349,Key!$A$24:$B$29,2,FALSE)</f>
        <v>30-39</v>
      </c>
      <c r="M349" s="37" t="s">
        <v>167</v>
      </c>
      <c r="N349" s="32" t="s">
        <v>167</v>
      </c>
      <c r="O349" s="37" t="s">
        <v>168</v>
      </c>
      <c r="P349" s="39">
        <v>1</v>
      </c>
      <c r="Q349" s="34" t="str">
        <f>VLOOKUP(P349,Key!$E$2:$F$9,2,FALSE)</f>
        <v>Home</v>
      </c>
      <c r="R349" s="37" t="s">
        <v>169</v>
      </c>
      <c r="S349" s="32" t="s">
        <v>169</v>
      </c>
      <c r="T349" s="37" t="s">
        <v>168</v>
      </c>
      <c r="U349" s="32">
        <v>4</v>
      </c>
      <c r="V349" s="34" t="str">
        <f>VLOOKUP(U349,Key!$E$2:$F$9,2,FALSE)</f>
        <v>Commercial</v>
      </c>
      <c r="W349" s="34" t="str">
        <f t="shared" si="8"/>
        <v>Home-Commercial</v>
      </c>
      <c r="X349" s="47">
        <v>60000</v>
      </c>
      <c r="Y349" s="38">
        <v>140</v>
      </c>
      <c r="Z349" s="38">
        <v>3</v>
      </c>
      <c r="AA349" s="32">
        <v>10</v>
      </c>
      <c r="AB349" s="34" t="str">
        <f>VLOOKUP(AA349,Key!$C$20:$D$29,2,FALSE)</f>
        <v>Other</v>
      </c>
      <c r="AC349" s="32">
        <v>3</v>
      </c>
      <c r="AD349" s="34" t="str">
        <f>VLOOKUP(AC349,Key!$E$20:$F$24,2,FALSE)</f>
        <v>500,000-750,000</v>
      </c>
      <c r="AE349" s="32">
        <v>3</v>
      </c>
      <c r="AF349" s="55">
        <v>2</v>
      </c>
      <c r="AG349" s="55">
        <v>3</v>
      </c>
      <c r="AH349" s="55">
        <v>1</v>
      </c>
      <c r="AI349" s="55">
        <v>4</v>
      </c>
      <c r="AJ349" s="39" t="s">
        <v>104</v>
      </c>
      <c r="AK349" s="40">
        <v>3000</v>
      </c>
      <c r="AL349" s="24"/>
      <c r="AM349" s="24"/>
    </row>
    <row r="350" spans="2:39" hidden="1" x14ac:dyDescent="0.2">
      <c r="B350" s="50">
        <v>43689</v>
      </c>
      <c r="C350" s="35">
        <v>0.40972222222222227</v>
      </c>
      <c r="D350" s="35"/>
      <c r="E350" s="35" t="s">
        <v>111</v>
      </c>
      <c r="F350" s="37">
        <v>2</v>
      </c>
      <c r="G350" s="42" t="str">
        <f>VLOOKUP(F350,Key!$A$17:$B$21,2,FALSE)</f>
        <v>Road Vehicle</v>
      </c>
      <c r="H350" s="36">
        <v>4</v>
      </c>
      <c r="I350" s="43" t="str">
        <f>VLOOKUP(H350,Key!$A$2:$B$13,2,FALSE)</f>
        <v>Minibus</v>
      </c>
      <c r="J350" s="37" t="s">
        <v>123</v>
      </c>
      <c r="K350" s="37">
        <v>2</v>
      </c>
      <c r="L350" s="45" t="str">
        <f>VLOOKUP(K350,Key!$A$24:$B$29,2,FALSE)</f>
        <v>30-39</v>
      </c>
      <c r="M350" s="44" t="s">
        <v>173</v>
      </c>
      <c r="N350" s="44" t="s">
        <v>173</v>
      </c>
      <c r="O350" s="37" t="s">
        <v>168</v>
      </c>
      <c r="P350" s="39">
        <v>2</v>
      </c>
      <c r="Q350" s="34" t="str">
        <f>VLOOKUP(P350,Key!$E$2:$F$9,2,FALSE)</f>
        <v>Work</v>
      </c>
      <c r="R350" s="37" t="s">
        <v>176</v>
      </c>
      <c r="S350" s="32" t="s">
        <v>176</v>
      </c>
      <c r="T350" s="37" t="s">
        <v>168</v>
      </c>
      <c r="U350" s="32">
        <v>2</v>
      </c>
      <c r="V350" s="34" t="str">
        <f>VLOOKUP(U350,Key!$E$2:$F$9,2,FALSE)</f>
        <v>Work</v>
      </c>
      <c r="W350" s="34" t="str">
        <f t="shared" si="8"/>
        <v>Work-Work</v>
      </c>
      <c r="X350" s="47">
        <v>80000</v>
      </c>
      <c r="Y350" s="38">
        <v>140</v>
      </c>
      <c r="Z350" s="38">
        <v>4</v>
      </c>
      <c r="AA350" s="32">
        <v>10</v>
      </c>
      <c r="AB350" s="34" t="str">
        <f>VLOOKUP(AA350,Key!$C$20:$D$29,2,FALSE)</f>
        <v>Other</v>
      </c>
      <c r="AC350" s="32">
        <v>1</v>
      </c>
      <c r="AD350" s="34" t="str">
        <f>VLOOKUP(AC350,Key!$E$20:$F$24,2,FALSE)</f>
        <v>&lt;300,000</v>
      </c>
      <c r="AE350" s="32">
        <v>1</v>
      </c>
      <c r="AF350" s="55">
        <v>1</v>
      </c>
      <c r="AG350" s="55">
        <v>2</v>
      </c>
      <c r="AH350" s="55">
        <v>1</v>
      </c>
      <c r="AI350" s="55">
        <v>2</v>
      </c>
      <c r="AJ350" s="39" t="s">
        <v>104</v>
      </c>
      <c r="AK350" s="40"/>
      <c r="AL350" s="24"/>
      <c r="AM350" s="24"/>
    </row>
    <row r="351" spans="2:39" hidden="1" x14ac:dyDescent="0.2">
      <c r="B351" s="50">
        <v>43689</v>
      </c>
      <c r="C351" s="35">
        <v>0.35416666666666669</v>
      </c>
      <c r="D351" s="35"/>
      <c r="E351" s="35" t="s">
        <v>111</v>
      </c>
      <c r="F351" s="37">
        <v>2</v>
      </c>
      <c r="G351" s="42" t="str">
        <f>VLOOKUP(F351,Key!$A$17:$B$21,2,FALSE)</f>
        <v>Road Vehicle</v>
      </c>
      <c r="H351" s="36">
        <v>4</v>
      </c>
      <c r="I351" s="43" t="str">
        <f>VLOOKUP(H351,Key!$A$2:$B$13,2,FALSE)</f>
        <v>Minibus</v>
      </c>
      <c r="J351" s="37" t="s">
        <v>123</v>
      </c>
      <c r="K351" s="37">
        <v>2</v>
      </c>
      <c r="L351" s="45" t="str">
        <f>VLOOKUP(K351,Key!$A$24:$B$29,2,FALSE)</f>
        <v>30-39</v>
      </c>
      <c r="M351" s="44" t="s">
        <v>173</v>
      </c>
      <c r="N351" s="44" t="s">
        <v>173</v>
      </c>
      <c r="O351" s="37" t="s">
        <v>168</v>
      </c>
      <c r="P351" s="39">
        <v>2</v>
      </c>
      <c r="Q351" s="34" t="str">
        <f>VLOOKUP(P351,Key!$E$2:$F$9,2,FALSE)</f>
        <v>Work</v>
      </c>
      <c r="R351" s="37" t="s">
        <v>176</v>
      </c>
      <c r="S351" s="32" t="s">
        <v>176</v>
      </c>
      <c r="T351" s="37" t="s">
        <v>168</v>
      </c>
      <c r="U351" s="32">
        <v>2</v>
      </c>
      <c r="V351" s="34" t="str">
        <f>VLOOKUP(U351,Key!$E$2:$F$9,2,FALSE)</f>
        <v>Work</v>
      </c>
      <c r="W351" s="34" t="str">
        <f t="shared" si="8"/>
        <v>Work-Work</v>
      </c>
      <c r="X351" s="47">
        <v>80000</v>
      </c>
      <c r="Y351" s="38">
        <v>140</v>
      </c>
      <c r="Z351" s="38">
        <v>4</v>
      </c>
      <c r="AA351" s="32">
        <v>10</v>
      </c>
      <c r="AB351" s="34" t="str">
        <f>VLOOKUP(AA351,Key!$C$20:$D$29,2,FALSE)</f>
        <v>Other</v>
      </c>
      <c r="AC351" s="32">
        <v>1</v>
      </c>
      <c r="AD351" s="34" t="str">
        <f>VLOOKUP(AC351,Key!$E$20:$F$24,2,FALSE)</f>
        <v>&lt;300,000</v>
      </c>
      <c r="AE351" s="32">
        <v>1</v>
      </c>
      <c r="AF351" s="55">
        <v>1</v>
      </c>
      <c r="AG351" s="55">
        <v>2</v>
      </c>
      <c r="AH351" s="55">
        <v>1</v>
      </c>
      <c r="AI351" s="55">
        <v>2</v>
      </c>
      <c r="AJ351" s="39" t="s">
        <v>104</v>
      </c>
      <c r="AK351" s="40"/>
      <c r="AL351" s="24"/>
      <c r="AM351" s="24"/>
    </row>
    <row r="352" spans="2:39" hidden="1" x14ac:dyDescent="0.2">
      <c r="B352" s="50">
        <v>43687</v>
      </c>
      <c r="C352" s="35">
        <v>0.61041666666666672</v>
      </c>
      <c r="D352" s="35"/>
      <c r="E352" s="35" t="s">
        <v>111</v>
      </c>
      <c r="F352" s="37">
        <v>2</v>
      </c>
      <c r="G352" s="42" t="str">
        <f>VLOOKUP(F352,Key!$A$17:$B$21,2,FALSE)</f>
        <v>Road Vehicle</v>
      </c>
      <c r="H352" s="36">
        <v>4</v>
      </c>
      <c r="I352" s="43" t="str">
        <f>VLOOKUP(H352,Key!$A$2:$B$13,2,FALSE)</f>
        <v>Minibus</v>
      </c>
      <c r="J352" s="37" t="s">
        <v>123</v>
      </c>
      <c r="K352" s="37">
        <v>3</v>
      </c>
      <c r="L352" s="45" t="str">
        <f>VLOOKUP(K352,Key!$A$24:$B$29,2,FALSE)</f>
        <v>40-49</v>
      </c>
      <c r="M352" s="44" t="s">
        <v>167</v>
      </c>
      <c r="N352" s="32" t="s">
        <v>167</v>
      </c>
      <c r="O352" s="37" t="s">
        <v>168</v>
      </c>
      <c r="P352" s="39">
        <v>2</v>
      </c>
      <c r="Q352" s="34" t="str">
        <f>VLOOKUP(P352,Key!$E$2:$F$9,2,FALSE)</f>
        <v>Work</v>
      </c>
      <c r="R352" s="37" t="s">
        <v>36</v>
      </c>
      <c r="S352" s="32" t="s">
        <v>36</v>
      </c>
      <c r="T352" s="37" t="s">
        <v>168</v>
      </c>
      <c r="U352" s="32">
        <v>2</v>
      </c>
      <c r="V352" s="34" t="str">
        <f>VLOOKUP(U352,Key!$E$2:$F$9,2,FALSE)</f>
        <v>Work</v>
      </c>
      <c r="W352" s="34" t="str">
        <f t="shared" si="8"/>
        <v>Work-Work</v>
      </c>
      <c r="X352" s="47">
        <v>120000</v>
      </c>
      <c r="Y352" s="38">
        <v>150</v>
      </c>
      <c r="Z352" s="38">
        <v>3</v>
      </c>
      <c r="AA352" s="32">
        <v>10</v>
      </c>
      <c r="AB352" s="34" t="str">
        <f>VLOOKUP(AA352,Key!$C$20:$D$29,2,FALSE)</f>
        <v>Other</v>
      </c>
      <c r="AC352" s="32">
        <v>3</v>
      </c>
      <c r="AD352" s="34" t="str">
        <f>VLOOKUP(AC352,Key!$E$20:$F$24,2,FALSE)</f>
        <v>500,000-750,000</v>
      </c>
      <c r="AE352" s="32">
        <v>1</v>
      </c>
      <c r="AF352" s="55">
        <v>1</v>
      </c>
      <c r="AG352" s="55">
        <v>2</v>
      </c>
      <c r="AH352" s="55">
        <v>1</v>
      </c>
      <c r="AI352" s="55">
        <v>1</v>
      </c>
      <c r="AJ352" s="39" t="s">
        <v>104</v>
      </c>
      <c r="AK352" s="40">
        <v>2000</v>
      </c>
      <c r="AL352" s="24"/>
      <c r="AM352" s="24"/>
    </row>
    <row r="353" spans="1:39" hidden="1" x14ac:dyDescent="0.2">
      <c r="B353" s="50">
        <v>43688</v>
      </c>
      <c r="C353" s="35">
        <v>0.63680555555555551</v>
      </c>
      <c r="D353" s="35"/>
      <c r="E353" s="35" t="s">
        <v>111</v>
      </c>
      <c r="F353" s="37">
        <v>2</v>
      </c>
      <c r="G353" s="42" t="str">
        <f>VLOOKUP(F353,Key!$A$17:$B$21,2,FALSE)</f>
        <v>Road Vehicle</v>
      </c>
      <c r="H353" s="36">
        <v>4</v>
      </c>
      <c r="I353" s="43" t="str">
        <f>VLOOKUP(H353,Key!$A$2:$B$13,2,FALSE)</f>
        <v>Minibus</v>
      </c>
      <c r="J353" s="37" t="s">
        <v>123</v>
      </c>
      <c r="K353" s="37">
        <v>3</v>
      </c>
      <c r="L353" s="45" t="str">
        <f>VLOOKUP(K353,Key!$A$24:$B$29,2,FALSE)</f>
        <v>40-49</v>
      </c>
      <c r="M353" s="44" t="s">
        <v>167</v>
      </c>
      <c r="N353" s="32" t="s">
        <v>167</v>
      </c>
      <c r="O353" s="37" t="s">
        <v>168</v>
      </c>
      <c r="P353" s="39">
        <v>2</v>
      </c>
      <c r="Q353" s="34" t="str">
        <f>VLOOKUP(P353,Key!$E$2:$F$9,2,FALSE)</f>
        <v>Work</v>
      </c>
      <c r="R353" s="37" t="s">
        <v>169</v>
      </c>
      <c r="S353" s="32" t="s">
        <v>169</v>
      </c>
      <c r="T353" s="37" t="s">
        <v>168</v>
      </c>
      <c r="U353" s="32">
        <v>2</v>
      </c>
      <c r="V353" s="34" t="str">
        <f>VLOOKUP(U353,Key!$E$2:$F$9,2,FALSE)</f>
        <v>Work</v>
      </c>
      <c r="W353" s="34" t="str">
        <f t="shared" si="8"/>
        <v>Work-Work</v>
      </c>
      <c r="X353" s="47">
        <v>110000</v>
      </c>
      <c r="Y353" s="38">
        <v>150</v>
      </c>
      <c r="Z353" s="38">
        <v>3</v>
      </c>
      <c r="AA353" s="32">
        <v>10</v>
      </c>
      <c r="AB353" s="34" t="str">
        <f>VLOOKUP(AA353,Key!$C$20:$D$29,2,FALSE)</f>
        <v>Other</v>
      </c>
      <c r="AC353" s="32">
        <v>1</v>
      </c>
      <c r="AD353" s="34" t="str">
        <f>VLOOKUP(AC353,Key!$E$20:$F$24,2,FALSE)</f>
        <v>&lt;300,000</v>
      </c>
      <c r="AE353" s="32">
        <v>1</v>
      </c>
      <c r="AF353" s="55">
        <v>1</v>
      </c>
      <c r="AG353" s="55">
        <v>1</v>
      </c>
      <c r="AH353" s="55">
        <v>1</v>
      </c>
      <c r="AI353" s="55">
        <v>1</v>
      </c>
      <c r="AJ353" s="39" t="s">
        <v>104</v>
      </c>
      <c r="AK353" s="40"/>
      <c r="AL353" s="24"/>
      <c r="AM353" s="24"/>
    </row>
    <row r="354" spans="1:39" hidden="1" x14ac:dyDescent="0.2">
      <c r="B354" s="50">
        <v>43690</v>
      </c>
      <c r="C354" s="35">
        <v>0.55069444444444449</v>
      </c>
      <c r="D354" s="35"/>
      <c r="E354" s="35" t="s">
        <v>111</v>
      </c>
      <c r="F354" s="37">
        <v>2</v>
      </c>
      <c r="G354" s="42" t="str">
        <f>VLOOKUP(F354,Key!$A$17:$B$21,2,FALSE)</f>
        <v>Road Vehicle</v>
      </c>
      <c r="H354" s="36">
        <v>4</v>
      </c>
      <c r="I354" s="43" t="str">
        <f>VLOOKUP(H354,Key!$A$2:$B$13,2,FALSE)</f>
        <v>Minibus</v>
      </c>
      <c r="J354" s="37" t="s">
        <v>123</v>
      </c>
      <c r="K354" s="37">
        <v>3</v>
      </c>
      <c r="L354" s="45" t="str">
        <f>VLOOKUP(K354,Key!$A$24:$B$29,2,FALSE)</f>
        <v>40-49</v>
      </c>
      <c r="M354" s="44" t="s">
        <v>173</v>
      </c>
      <c r="N354" s="44" t="s">
        <v>173</v>
      </c>
      <c r="O354" s="37" t="s">
        <v>168</v>
      </c>
      <c r="P354" s="39">
        <v>2</v>
      </c>
      <c r="Q354" s="34" t="str">
        <f>VLOOKUP(P354,Key!$E$2:$F$9,2,FALSE)</f>
        <v>Work</v>
      </c>
      <c r="R354" s="37" t="s">
        <v>176</v>
      </c>
      <c r="S354" s="32" t="s">
        <v>176</v>
      </c>
      <c r="T354" s="37" t="s">
        <v>168</v>
      </c>
      <c r="U354" s="32">
        <v>2</v>
      </c>
      <c r="V354" s="34" t="str">
        <f>VLOOKUP(U354,Key!$E$2:$F$9,2,FALSE)</f>
        <v>Work</v>
      </c>
      <c r="W354" s="34" t="str">
        <f t="shared" si="8"/>
        <v>Work-Work</v>
      </c>
      <c r="X354" s="47">
        <v>60000</v>
      </c>
      <c r="Y354" s="38">
        <v>150</v>
      </c>
      <c r="Z354" s="38">
        <v>3</v>
      </c>
      <c r="AA354" s="32">
        <v>10</v>
      </c>
      <c r="AB354" s="34" t="str">
        <f>VLOOKUP(AA354,Key!$C$20:$D$29,2,FALSE)</f>
        <v>Other</v>
      </c>
      <c r="AC354" s="32">
        <v>2</v>
      </c>
      <c r="AD354" s="34" t="str">
        <f>VLOOKUP(AC354,Key!$E$20:$F$24,2,FALSE)</f>
        <v>300,000-500,000</v>
      </c>
      <c r="AE354" s="32">
        <v>1</v>
      </c>
      <c r="AF354" s="55">
        <v>1</v>
      </c>
      <c r="AG354" s="55">
        <v>1</v>
      </c>
      <c r="AH354" s="55">
        <v>1</v>
      </c>
      <c r="AI354" s="55">
        <v>1</v>
      </c>
      <c r="AJ354" s="39" t="s">
        <v>104</v>
      </c>
      <c r="AK354" s="40">
        <v>1000</v>
      </c>
      <c r="AL354" s="24"/>
      <c r="AM354" s="24"/>
    </row>
    <row r="355" spans="1:39" hidden="1" x14ac:dyDescent="0.2">
      <c r="B355" s="50">
        <v>43690</v>
      </c>
      <c r="C355" s="35">
        <v>0.33263888888888887</v>
      </c>
      <c r="D355" s="35"/>
      <c r="E355" s="35" t="s">
        <v>111</v>
      </c>
      <c r="F355" s="37">
        <v>2</v>
      </c>
      <c r="G355" s="42" t="str">
        <f>VLOOKUP(F355,Key!$A$17:$B$21,2,FALSE)</f>
        <v>Road Vehicle</v>
      </c>
      <c r="H355" s="36">
        <v>4</v>
      </c>
      <c r="I355" s="43" t="str">
        <f>VLOOKUP(H355,Key!$A$2:$B$13,2,FALSE)</f>
        <v>Minibus</v>
      </c>
      <c r="J355" s="37" t="s">
        <v>123</v>
      </c>
      <c r="K355" s="37">
        <v>3</v>
      </c>
      <c r="L355" s="45" t="str">
        <f>VLOOKUP(K355,Key!$A$24:$B$29,2,FALSE)</f>
        <v>40-49</v>
      </c>
      <c r="M355" s="44" t="s">
        <v>173</v>
      </c>
      <c r="N355" s="44" t="s">
        <v>173</v>
      </c>
      <c r="O355" s="37" t="s">
        <v>168</v>
      </c>
      <c r="P355" s="39">
        <v>2</v>
      </c>
      <c r="Q355" s="34" t="str">
        <f>VLOOKUP(P355,Key!$E$2:$F$9,2,FALSE)</f>
        <v>Work</v>
      </c>
      <c r="R355" s="37" t="s">
        <v>230</v>
      </c>
      <c r="S355" s="32" t="s">
        <v>176</v>
      </c>
      <c r="T355" s="37" t="s">
        <v>168</v>
      </c>
      <c r="U355" s="32">
        <v>2</v>
      </c>
      <c r="V355" s="34" t="str">
        <f>VLOOKUP(U355,Key!$E$2:$F$9,2,FALSE)</f>
        <v>Work</v>
      </c>
      <c r="W355" s="34" t="str">
        <f t="shared" si="8"/>
        <v>Work-Work</v>
      </c>
      <c r="X355" s="47">
        <v>60000</v>
      </c>
      <c r="Y355" s="38">
        <v>150</v>
      </c>
      <c r="Z355" s="38">
        <v>3</v>
      </c>
      <c r="AA355" s="32">
        <v>10</v>
      </c>
      <c r="AB355" s="34" t="str">
        <f>VLOOKUP(AA355,Key!$C$20:$D$29,2,FALSE)</f>
        <v>Other</v>
      </c>
      <c r="AC355" s="32">
        <v>2</v>
      </c>
      <c r="AD355" s="34" t="str">
        <f>VLOOKUP(AC355,Key!$E$20:$F$24,2,FALSE)</f>
        <v>300,000-500,000</v>
      </c>
      <c r="AE355" s="32">
        <v>1</v>
      </c>
      <c r="AF355" s="55">
        <v>1</v>
      </c>
      <c r="AG355" s="55">
        <v>1</v>
      </c>
      <c r="AH355" s="55">
        <v>1</v>
      </c>
      <c r="AI355" s="55">
        <v>1</v>
      </c>
      <c r="AJ355" s="39" t="s">
        <v>104</v>
      </c>
      <c r="AK355" s="40">
        <v>1000</v>
      </c>
      <c r="AL355" s="24"/>
      <c r="AM355" s="24"/>
    </row>
    <row r="356" spans="1:39" hidden="1" x14ac:dyDescent="0.2">
      <c r="B356" s="50">
        <v>43690</v>
      </c>
      <c r="C356" s="35">
        <v>0.59097222222222223</v>
      </c>
      <c r="D356" s="35"/>
      <c r="E356" s="35" t="s">
        <v>111</v>
      </c>
      <c r="F356" s="37">
        <v>2</v>
      </c>
      <c r="G356" s="42" t="str">
        <f>VLOOKUP(F356,Key!$A$17:$B$21,2,FALSE)</f>
        <v>Road Vehicle</v>
      </c>
      <c r="H356" s="36">
        <v>4</v>
      </c>
      <c r="I356" s="43" t="str">
        <f>VLOOKUP(H356,Key!$A$2:$B$13,2,FALSE)</f>
        <v>Minibus</v>
      </c>
      <c r="J356" s="37" t="s">
        <v>123</v>
      </c>
      <c r="K356" s="37">
        <v>1</v>
      </c>
      <c r="L356" s="45" t="str">
        <f>VLOOKUP(K356,Key!$A$24:$B$29,2,FALSE)</f>
        <v>20-29</v>
      </c>
      <c r="M356" s="44" t="s">
        <v>167</v>
      </c>
      <c r="N356" s="32" t="s">
        <v>167</v>
      </c>
      <c r="O356" s="37" t="s">
        <v>168</v>
      </c>
      <c r="P356" s="39">
        <v>2</v>
      </c>
      <c r="Q356" s="34" t="str">
        <f>VLOOKUP(P356,Key!$E$2:$F$9,2,FALSE)</f>
        <v>Work</v>
      </c>
      <c r="R356" s="37" t="s">
        <v>36</v>
      </c>
      <c r="S356" s="32" t="s">
        <v>36</v>
      </c>
      <c r="T356" s="37" t="s">
        <v>168</v>
      </c>
      <c r="U356" s="32">
        <v>2</v>
      </c>
      <c r="V356" s="34" t="str">
        <f>VLOOKUP(U356,Key!$E$2:$F$9,2,FALSE)</f>
        <v>Work</v>
      </c>
      <c r="W356" s="34" t="str">
        <f t="shared" si="8"/>
        <v>Work-Work</v>
      </c>
      <c r="X356" s="47">
        <v>150000</v>
      </c>
      <c r="Y356" s="38">
        <v>150</v>
      </c>
      <c r="Z356" s="38">
        <v>4</v>
      </c>
      <c r="AA356" s="32">
        <v>10</v>
      </c>
      <c r="AB356" s="34" t="str">
        <f>VLOOKUP(AA356,Key!$C$20:$D$29,2,FALSE)</f>
        <v>Other</v>
      </c>
      <c r="AC356" s="32">
        <v>2</v>
      </c>
      <c r="AD356" s="34" t="str">
        <f>VLOOKUP(AC356,Key!$E$20:$F$24,2,FALSE)</f>
        <v>300,000-500,000</v>
      </c>
      <c r="AE356" s="32">
        <v>1</v>
      </c>
      <c r="AF356" s="55">
        <v>1</v>
      </c>
      <c r="AG356" s="55">
        <v>1</v>
      </c>
      <c r="AH356" s="55">
        <v>2</v>
      </c>
      <c r="AI356" s="55">
        <v>1</v>
      </c>
      <c r="AJ356" s="39" t="s">
        <v>104</v>
      </c>
      <c r="AK356" s="40">
        <v>2000</v>
      </c>
      <c r="AL356" s="24"/>
      <c r="AM356" s="24"/>
    </row>
    <row r="357" spans="1:39" hidden="1" x14ac:dyDescent="0.2">
      <c r="B357" s="50">
        <v>43689</v>
      </c>
      <c r="C357" s="35">
        <v>0.39930555555555558</v>
      </c>
      <c r="D357" s="35"/>
      <c r="E357" s="35" t="s">
        <v>111</v>
      </c>
      <c r="F357" s="37">
        <v>2</v>
      </c>
      <c r="G357" s="42" t="str">
        <f>VLOOKUP(F357,Key!$A$17:$B$21,2,FALSE)</f>
        <v>Road Vehicle</v>
      </c>
      <c r="H357" s="36">
        <v>4</v>
      </c>
      <c r="I357" s="43" t="str">
        <f>VLOOKUP(H357,Key!$A$2:$B$13,2,FALSE)</f>
        <v>Minibus</v>
      </c>
      <c r="J357" s="37" t="s">
        <v>123</v>
      </c>
      <c r="K357" s="37">
        <v>2</v>
      </c>
      <c r="L357" s="45" t="str">
        <f>VLOOKUP(K357,Key!$A$24:$B$29,2,FALSE)</f>
        <v>30-39</v>
      </c>
      <c r="M357" s="37" t="s">
        <v>167</v>
      </c>
      <c r="N357" s="32" t="s">
        <v>167</v>
      </c>
      <c r="O357" s="37" t="s">
        <v>168</v>
      </c>
      <c r="P357" s="39">
        <v>2</v>
      </c>
      <c r="Q357" s="34" t="str">
        <f>VLOOKUP(P357,Key!$E$2:$F$9,2,FALSE)</f>
        <v>Work</v>
      </c>
      <c r="R357" s="37" t="s">
        <v>169</v>
      </c>
      <c r="S357" s="32" t="s">
        <v>169</v>
      </c>
      <c r="T357" s="37" t="s">
        <v>168</v>
      </c>
      <c r="U357" s="32">
        <v>2</v>
      </c>
      <c r="V357" s="34" t="str">
        <f>VLOOKUP(U357,Key!$E$2:$F$9,2,FALSE)</f>
        <v>Work</v>
      </c>
      <c r="W357" s="34" t="str">
        <f t="shared" si="8"/>
        <v>Work-Work</v>
      </c>
      <c r="X357" s="47">
        <v>110000</v>
      </c>
      <c r="Y357" s="38">
        <v>180</v>
      </c>
      <c r="Z357" s="38">
        <v>3</v>
      </c>
      <c r="AA357" s="32">
        <v>6</v>
      </c>
      <c r="AB357" s="34" t="str">
        <f>VLOOKUP(AA357,Key!$C$20:$D$29,2,FALSE)</f>
        <v>Businessman</v>
      </c>
      <c r="AC357" s="32">
        <v>2</v>
      </c>
      <c r="AD357" s="34" t="str">
        <f>VLOOKUP(AC357,Key!$E$20:$F$24,2,FALSE)</f>
        <v>300,000-500,000</v>
      </c>
      <c r="AE357" s="32">
        <v>1</v>
      </c>
      <c r="AF357" s="55">
        <v>1</v>
      </c>
      <c r="AG357" s="55">
        <v>1</v>
      </c>
      <c r="AH357" s="55">
        <v>1</v>
      </c>
      <c r="AI357" s="55">
        <v>1</v>
      </c>
      <c r="AJ357" s="39" t="s">
        <v>104</v>
      </c>
      <c r="AK357" s="40"/>
      <c r="AL357" s="24"/>
      <c r="AM357" s="24"/>
    </row>
    <row r="358" spans="1:39" hidden="1" x14ac:dyDescent="0.2">
      <c r="B358" s="50">
        <v>43689</v>
      </c>
      <c r="C358" s="35">
        <v>0.44097222222222227</v>
      </c>
      <c r="D358" s="35"/>
      <c r="E358" s="35" t="s">
        <v>111</v>
      </c>
      <c r="F358" s="37">
        <v>2</v>
      </c>
      <c r="G358" s="42" t="str">
        <f>VLOOKUP(F358,Key!$A$17:$B$21,2,FALSE)</f>
        <v>Road Vehicle</v>
      </c>
      <c r="H358" s="36">
        <v>4</v>
      </c>
      <c r="I358" s="43" t="str">
        <f>VLOOKUP(H358,Key!$A$2:$B$13,2,FALSE)</f>
        <v>Minibus</v>
      </c>
      <c r="J358" s="37" t="s">
        <v>123</v>
      </c>
      <c r="K358" s="37">
        <v>3</v>
      </c>
      <c r="L358" s="45" t="str">
        <f>VLOOKUP(K358,Key!$A$24:$B$29,2,FALSE)</f>
        <v>40-49</v>
      </c>
      <c r="M358" s="44" t="s">
        <v>167</v>
      </c>
      <c r="N358" s="32" t="s">
        <v>167</v>
      </c>
      <c r="O358" s="37" t="s">
        <v>168</v>
      </c>
      <c r="P358" s="39">
        <v>2</v>
      </c>
      <c r="Q358" s="34" t="str">
        <f>VLOOKUP(P358,Key!$E$2:$F$9,2,FALSE)</f>
        <v>Work</v>
      </c>
      <c r="R358" s="37" t="s">
        <v>169</v>
      </c>
      <c r="S358" s="32" t="s">
        <v>169</v>
      </c>
      <c r="T358" s="37" t="s">
        <v>168</v>
      </c>
      <c r="U358" s="32">
        <v>4</v>
      </c>
      <c r="V358" s="34" t="str">
        <f>VLOOKUP(U358,Key!$E$2:$F$9,2,FALSE)</f>
        <v>Commercial</v>
      </c>
      <c r="W358" s="34" t="str">
        <f t="shared" si="8"/>
        <v>Work-Commercial</v>
      </c>
      <c r="X358" s="47">
        <v>120000</v>
      </c>
      <c r="Y358" s="38">
        <v>180</v>
      </c>
      <c r="Z358" s="38">
        <v>3</v>
      </c>
      <c r="AA358" s="32">
        <v>10</v>
      </c>
      <c r="AB358" s="34" t="str">
        <f>VLOOKUP(AA358,Key!$C$20:$D$29,2,FALSE)</f>
        <v>Other</v>
      </c>
      <c r="AC358" s="32">
        <v>1</v>
      </c>
      <c r="AD358" s="34" t="str">
        <f>VLOOKUP(AC358,Key!$E$20:$F$24,2,FALSE)</f>
        <v>&lt;300,000</v>
      </c>
      <c r="AE358" s="32">
        <v>1</v>
      </c>
      <c r="AF358" s="55">
        <v>2</v>
      </c>
      <c r="AG358" s="55">
        <v>1</v>
      </c>
      <c r="AH358" s="55">
        <v>1</v>
      </c>
      <c r="AI358" s="55">
        <v>1</v>
      </c>
      <c r="AJ358" s="39" t="s">
        <v>104</v>
      </c>
      <c r="AK358" s="40"/>
      <c r="AL358" s="24"/>
      <c r="AM358" s="24"/>
    </row>
    <row r="359" spans="1:39" hidden="1" x14ac:dyDescent="0.2">
      <c r="A359" s="10"/>
      <c r="B359" s="50">
        <v>43686</v>
      </c>
      <c r="C359" s="35">
        <v>0.59722222222222221</v>
      </c>
      <c r="D359" s="35"/>
      <c r="E359" s="35" t="s">
        <v>111</v>
      </c>
      <c r="F359" s="37">
        <v>2</v>
      </c>
      <c r="G359" s="42" t="str">
        <f>VLOOKUP(F359,Key!$A$17:$B$21,2,FALSE)</f>
        <v>Road Vehicle</v>
      </c>
      <c r="H359" s="36">
        <v>4</v>
      </c>
      <c r="I359" s="43" t="str">
        <f>VLOOKUP(H359,Key!$A$2:$B$13,2,FALSE)</f>
        <v>Minibus</v>
      </c>
      <c r="J359" s="37" t="s">
        <v>123</v>
      </c>
      <c r="K359" s="37">
        <v>5</v>
      </c>
      <c r="L359" s="45" t="str">
        <f>VLOOKUP(K359,Key!$A$24:$B$29,2,FALSE)</f>
        <v>60-69</v>
      </c>
      <c r="M359" s="44" t="s">
        <v>167</v>
      </c>
      <c r="N359" s="32" t="s">
        <v>167</v>
      </c>
      <c r="O359" s="37" t="s">
        <v>168</v>
      </c>
      <c r="P359" s="39">
        <v>2</v>
      </c>
      <c r="Q359" s="34" t="str">
        <f>VLOOKUP(P359,Key!$E$2:$F$9,2,FALSE)</f>
        <v>Work</v>
      </c>
      <c r="R359" s="37" t="s">
        <v>169</v>
      </c>
      <c r="S359" s="32" t="s">
        <v>169</v>
      </c>
      <c r="T359" s="37" t="s">
        <v>168</v>
      </c>
      <c r="U359" s="32">
        <v>4</v>
      </c>
      <c r="V359" s="34" t="str">
        <f>VLOOKUP(U359,Key!$E$2:$F$9,2,FALSE)</f>
        <v>Commercial</v>
      </c>
      <c r="W359" s="34" t="str">
        <f t="shared" si="8"/>
        <v>Work-Commercial</v>
      </c>
      <c r="X359" s="47">
        <v>110000</v>
      </c>
      <c r="Y359" s="38">
        <v>200</v>
      </c>
      <c r="Z359" s="38">
        <v>2</v>
      </c>
      <c r="AA359" s="32">
        <v>10</v>
      </c>
      <c r="AB359" s="34" t="str">
        <f>VLOOKUP(AA359,Key!$C$20:$D$29,2,FALSE)</f>
        <v>Other</v>
      </c>
      <c r="AC359" s="32">
        <v>1</v>
      </c>
      <c r="AD359" s="34" t="str">
        <f>VLOOKUP(AC359,Key!$E$20:$F$24,2,FALSE)</f>
        <v>&lt;300,000</v>
      </c>
      <c r="AE359" s="32">
        <v>1</v>
      </c>
      <c r="AF359" s="55">
        <v>2</v>
      </c>
      <c r="AG359" s="55">
        <v>1</v>
      </c>
      <c r="AH359" s="55">
        <v>1</v>
      </c>
      <c r="AI359" s="55">
        <v>1</v>
      </c>
      <c r="AJ359" s="39" t="s">
        <v>104</v>
      </c>
      <c r="AK359" s="40">
        <v>1000</v>
      </c>
      <c r="AL359" s="24"/>
      <c r="AM359" s="24"/>
    </row>
    <row r="360" spans="1:39" hidden="1" x14ac:dyDescent="0.2">
      <c r="B360" s="50">
        <v>43690</v>
      </c>
      <c r="C360" s="35">
        <v>0.72222222222222221</v>
      </c>
      <c r="D360" s="35"/>
      <c r="E360" s="35" t="s">
        <v>111</v>
      </c>
      <c r="F360" s="37">
        <v>2</v>
      </c>
      <c r="G360" s="42" t="str">
        <f>VLOOKUP(F360,Key!$A$17:$B$21,2,FALSE)</f>
        <v>Road Vehicle</v>
      </c>
      <c r="H360" s="36">
        <v>4</v>
      </c>
      <c r="I360" s="43" t="str">
        <f>VLOOKUP(H360,Key!$A$2:$B$13,2,FALSE)</f>
        <v>Minibus</v>
      </c>
      <c r="J360" s="37" t="s">
        <v>123</v>
      </c>
      <c r="K360" s="37">
        <v>1</v>
      </c>
      <c r="L360" s="45" t="str">
        <f>VLOOKUP(K360,Key!$A$24:$B$29,2,FALSE)</f>
        <v>20-29</v>
      </c>
      <c r="M360" s="37" t="s">
        <v>218</v>
      </c>
      <c r="N360" s="32" t="s">
        <v>176</v>
      </c>
      <c r="O360" s="37" t="s">
        <v>168</v>
      </c>
      <c r="P360" s="39">
        <v>2</v>
      </c>
      <c r="Q360" s="34" t="str">
        <f>VLOOKUP(P360,Key!$E$2:$F$9,2,FALSE)</f>
        <v>Work</v>
      </c>
      <c r="R360" s="37" t="s">
        <v>219</v>
      </c>
      <c r="S360" s="32" t="s">
        <v>169</v>
      </c>
      <c r="T360" s="37" t="s">
        <v>168</v>
      </c>
      <c r="U360" s="32">
        <v>2</v>
      </c>
      <c r="V360" s="34" t="str">
        <f>VLOOKUP(U360,Key!$E$2:$F$9,2,FALSE)</f>
        <v>Work</v>
      </c>
      <c r="W360" s="34" t="str">
        <f t="shared" si="8"/>
        <v>Work-Work</v>
      </c>
      <c r="X360" s="47">
        <v>85000</v>
      </c>
      <c r="Y360" s="38">
        <v>200</v>
      </c>
      <c r="Z360" s="38">
        <v>4</v>
      </c>
      <c r="AA360" s="32">
        <v>6</v>
      </c>
      <c r="AB360" s="34" t="str">
        <f>VLOOKUP(AA360,Key!$C$20:$D$29,2,FALSE)</f>
        <v>Businessman</v>
      </c>
      <c r="AC360" s="32">
        <v>2</v>
      </c>
      <c r="AD360" s="34" t="str">
        <f>VLOOKUP(AC360,Key!$E$20:$F$24,2,FALSE)</f>
        <v>300,000-500,000</v>
      </c>
      <c r="AE360" s="32">
        <v>1</v>
      </c>
      <c r="AF360" s="55">
        <v>1</v>
      </c>
      <c r="AG360" s="55">
        <v>1</v>
      </c>
      <c r="AH360" s="55">
        <v>1</v>
      </c>
      <c r="AI360" s="55">
        <v>1</v>
      </c>
      <c r="AJ360" s="39" t="s">
        <v>104</v>
      </c>
      <c r="AK360" s="40"/>
      <c r="AL360" s="24"/>
      <c r="AM360" s="24"/>
    </row>
    <row r="361" spans="1:39" hidden="1" x14ac:dyDescent="0.2">
      <c r="B361" s="50">
        <v>43686</v>
      </c>
      <c r="C361" s="35">
        <v>0.7368055555555556</v>
      </c>
      <c r="D361" s="35"/>
      <c r="E361" s="35" t="s">
        <v>111</v>
      </c>
      <c r="F361" s="37">
        <v>2</v>
      </c>
      <c r="G361" s="42" t="str">
        <f>VLOOKUP(F361,Key!$A$17:$B$21,2,FALSE)</f>
        <v>Road Vehicle</v>
      </c>
      <c r="H361" s="36">
        <v>4</v>
      </c>
      <c r="I361" s="43" t="str">
        <f>VLOOKUP(H361,Key!$A$2:$B$13,2,FALSE)</f>
        <v>Minibus</v>
      </c>
      <c r="J361" s="37" t="s">
        <v>123</v>
      </c>
      <c r="K361" s="37">
        <v>2</v>
      </c>
      <c r="L361" s="45" t="str">
        <f>VLOOKUP(K361,Key!$A$24:$B$29,2,FALSE)</f>
        <v>30-39</v>
      </c>
      <c r="M361" s="37" t="s">
        <v>247</v>
      </c>
      <c r="N361" s="32" t="s">
        <v>167</v>
      </c>
      <c r="O361" s="37" t="s">
        <v>168</v>
      </c>
      <c r="P361" s="39">
        <v>2</v>
      </c>
      <c r="Q361" s="34" t="str">
        <f>VLOOKUP(P361,Key!$E$2:$F$9,2,FALSE)</f>
        <v>Work</v>
      </c>
      <c r="R361" s="37" t="s">
        <v>219</v>
      </c>
      <c r="S361" s="32" t="s">
        <v>169</v>
      </c>
      <c r="T361" s="37" t="s">
        <v>168</v>
      </c>
      <c r="U361" s="32">
        <v>2</v>
      </c>
      <c r="V361" s="34" t="str">
        <f>VLOOKUP(U361,Key!$E$2:$F$9,2,FALSE)</f>
        <v>Work</v>
      </c>
      <c r="W361" s="34" t="str">
        <f t="shared" si="8"/>
        <v>Work-Work</v>
      </c>
      <c r="X361" s="47">
        <v>130000</v>
      </c>
      <c r="Y361" s="38">
        <v>200</v>
      </c>
      <c r="Z361" s="38">
        <v>4</v>
      </c>
      <c r="AA361" s="32">
        <v>10</v>
      </c>
      <c r="AB361" s="34" t="str">
        <f>VLOOKUP(AA361,Key!$C$20:$D$29,2,FALSE)</f>
        <v>Other</v>
      </c>
      <c r="AC361" s="32">
        <v>1</v>
      </c>
      <c r="AD361" s="34" t="str">
        <f>VLOOKUP(AC361,Key!$E$20:$F$24,2,FALSE)</f>
        <v>&lt;300,000</v>
      </c>
      <c r="AE361" s="32">
        <v>1</v>
      </c>
      <c r="AF361" s="55">
        <v>1</v>
      </c>
      <c r="AG361" s="55">
        <v>1</v>
      </c>
      <c r="AH361" s="55">
        <v>1</v>
      </c>
      <c r="AI361" s="55">
        <v>1</v>
      </c>
      <c r="AJ361" s="39" t="s">
        <v>104</v>
      </c>
      <c r="AK361" s="40">
        <v>2000</v>
      </c>
      <c r="AL361" s="24"/>
      <c r="AM361" s="24"/>
    </row>
    <row r="362" spans="1:39" hidden="1" x14ac:dyDescent="0.2">
      <c r="B362" s="50">
        <v>43686</v>
      </c>
      <c r="C362" s="35">
        <v>0.7416666666666667</v>
      </c>
      <c r="D362" s="35"/>
      <c r="E362" s="35" t="s">
        <v>111</v>
      </c>
      <c r="F362" s="37">
        <v>2</v>
      </c>
      <c r="G362" s="42" t="str">
        <f>VLOOKUP(F362,Key!$A$17:$B$21,2,FALSE)</f>
        <v>Road Vehicle</v>
      </c>
      <c r="H362" s="36">
        <v>4</v>
      </c>
      <c r="I362" s="43" t="str">
        <f>VLOOKUP(H362,Key!$A$2:$B$13,2,FALSE)</f>
        <v>Minibus</v>
      </c>
      <c r="J362" s="37" t="s">
        <v>123</v>
      </c>
      <c r="K362" s="37">
        <v>2</v>
      </c>
      <c r="L362" s="45" t="str">
        <f>VLOOKUP(K362,Key!$A$24:$B$29,2,FALSE)</f>
        <v>30-39</v>
      </c>
      <c r="M362" s="37" t="s">
        <v>167</v>
      </c>
      <c r="N362" s="32" t="s">
        <v>167</v>
      </c>
      <c r="O362" s="37" t="s">
        <v>168</v>
      </c>
      <c r="P362" s="39">
        <v>2</v>
      </c>
      <c r="Q362" s="34" t="str">
        <f>VLOOKUP(P362,Key!$E$2:$F$9,2,FALSE)</f>
        <v>Work</v>
      </c>
      <c r="R362" s="37" t="s">
        <v>199</v>
      </c>
      <c r="S362" s="32" t="s">
        <v>199</v>
      </c>
      <c r="T362" s="37" t="s">
        <v>168</v>
      </c>
      <c r="U362" s="32">
        <v>2</v>
      </c>
      <c r="V362" s="34" t="str">
        <f>VLOOKUP(U362,Key!$E$2:$F$9,2,FALSE)</f>
        <v>Work</v>
      </c>
      <c r="W362" s="34" t="str">
        <f t="shared" si="8"/>
        <v>Work-Work</v>
      </c>
      <c r="X362" s="47">
        <v>140000</v>
      </c>
      <c r="Y362" s="38">
        <v>200</v>
      </c>
      <c r="Z362" s="38">
        <v>4</v>
      </c>
      <c r="AA362" s="32">
        <v>10</v>
      </c>
      <c r="AB362" s="34" t="str">
        <f>VLOOKUP(AA362,Key!$C$20:$D$29,2,FALSE)</f>
        <v>Other</v>
      </c>
      <c r="AC362" s="32">
        <v>1</v>
      </c>
      <c r="AD362" s="34" t="str">
        <f>VLOOKUP(AC362,Key!$E$20:$F$24,2,FALSE)</f>
        <v>&lt;300,000</v>
      </c>
      <c r="AE362" s="32">
        <v>1</v>
      </c>
      <c r="AF362" s="55">
        <v>3</v>
      </c>
      <c r="AG362" s="55">
        <v>1</v>
      </c>
      <c r="AH362" s="55">
        <v>1</v>
      </c>
      <c r="AI362" s="55">
        <v>1</v>
      </c>
      <c r="AJ362" s="39" t="s">
        <v>104</v>
      </c>
      <c r="AK362" s="40">
        <v>1000</v>
      </c>
      <c r="AL362" s="24"/>
      <c r="AM362" s="24"/>
    </row>
    <row r="363" spans="1:39" hidden="1" x14ac:dyDescent="0.2">
      <c r="B363" s="50">
        <v>43686</v>
      </c>
      <c r="C363" s="35">
        <v>0.7368055555555556</v>
      </c>
      <c r="D363" s="35"/>
      <c r="E363" s="35" t="s">
        <v>111</v>
      </c>
      <c r="F363" s="37">
        <v>2</v>
      </c>
      <c r="G363" s="42" t="str">
        <f>VLOOKUP(F363,Key!$A$17:$B$21,2,FALSE)</f>
        <v>Road Vehicle</v>
      </c>
      <c r="H363" s="36">
        <v>4</v>
      </c>
      <c r="I363" s="43" t="str">
        <f>VLOOKUP(H363,Key!$A$2:$B$13,2,FALSE)</f>
        <v>Minibus</v>
      </c>
      <c r="J363" s="37" t="s">
        <v>123</v>
      </c>
      <c r="K363" s="37">
        <v>3</v>
      </c>
      <c r="L363" s="45" t="str">
        <f>VLOOKUP(K363,Key!$A$24:$B$29,2,FALSE)</f>
        <v>40-49</v>
      </c>
      <c r="M363" s="37" t="s">
        <v>247</v>
      </c>
      <c r="N363" s="32" t="s">
        <v>167</v>
      </c>
      <c r="O363" s="37" t="s">
        <v>168</v>
      </c>
      <c r="P363" s="39">
        <v>2</v>
      </c>
      <c r="Q363" s="34" t="str">
        <f>VLOOKUP(P363,Key!$E$2:$F$9,2,FALSE)</f>
        <v>Work</v>
      </c>
      <c r="R363" s="37" t="s">
        <v>219</v>
      </c>
      <c r="S363" s="32" t="s">
        <v>169</v>
      </c>
      <c r="T363" s="37" t="s">
        <v>168</v>
      </c>
      <c r="U363" s="32">
        <v>2</v>
      </c>
      <c r="V363" s="34" t="str">
        <f>VLOOKUP(U363,Key!$E$2:$F$9,2,FALSE)</f>
        <v>Work</v>
      </c>
      <c r="W363" s="34" t="str">
        <f t="shared" si="8"/>
        <v>Work-Work</v>
      </c>
      <c r="X363" s="47">
        <v>120000</v>
      </c>
      <c r="Y363" s="38">
        <v>200</v>
      </c>
      <c r="Z363" s="38">
        <v>4</v>
      </c>
      <c r="AA363" s="32">
        <v>10</v>
      </c>
      <c r="AB363" s="34" t="str">
        <f>VLOOKUP(AA363,Key!$C$20:$D$29,2,FALSE)</f>
        <v>Other</v>
      </c>
      <c r="AC363" s="32">
        <v>2</v>
      </c>
      <c r="AD363" s="34" t="str">
        <f>VLOOKUP(AC363,Key!$E$20:$F$24,2,FALSE)</f>
        <v>300,000-500,000</v>
      </c>
      <c r="AE363" s="32">
        <v>1</v>
      </c>
      <c r="AF363" s="55">
        <v>1</v>
      </c>
      <c r="AG363" s="55">
        <v>1</v>
      </c>
      <c r="AH363" s="55">
        <v>1</v>
      </c>
      <c r="AI363" s="55">
        <v>1</v>
      </c>
      <c r="AJ363" s="39" t="s">
        <v>104</v>
      </c>
      <c r="AK363" s="40"/>
      <c r="AL363" s="24"/>
      <c r="AM363" s="24"/>
    </row>
    <row r="364" spans="1:39" hidden="1" x14ac:dyDescent="0.2">
      <c r="B364" s="50">
        <v>43686</v>
      </c>
      <c r="C364" s="35">
        <v>0.7416666666666667</v>
      </c>
      <c r="D364" s="35"/>
      <c r="E364" s="35" t="s">
        <v>111</v>
      </c>
      <c r="F364" s="37">
        <v>2</v>
      </c>
      <c r="G364" s="42" t="str">
        <f>VLOOKUP(F364,Key!$A$17:$B$21,2,FALSE)</f>
        <v>Road Vehicle</v>
      </c>
      <c r="H364" s="36">
        <v>4</v>
      </c>
      <c r="I364" s="43" t="str">
        <f>VLOOKUP(H364,Key!$A$2:$B$13,2,FALSE)</f>
        <v>Minibus</v>
      </c>
      <c r="J364" s="37" t="s">
        <v>123</v>
      </c>
      <c r="K364" s="37">
        <v>4</v>
      </c>
      <c r="L364" s="45" t="str">
        <f>VLOOKUP(K364,Key!$A$24:$B$29,2,FALSE)</f>
        <v>50-59</v>
      </c>
      <c r="M364" s="37" t="s">
        <v>218</v>
      </c>
      <c r="N364" s="32" t="s">
        <v>176</v>
      </c>
      <c r="O364" s="37" t="s">
        <v>168</v>
      </c>
      <c r="P364" s="39">
        <v>2</v>
      </c>
      <c r="Q364" s="34" t="str">
        <f>VLOOKUP(P364,Key!$E$2:$F$9,2,FALSE)</f>
        <v>Work</v>
      </c>
      <c r="R364" s="37" t="s">
        <v>219</v>
      </c>
      <c r="S364" s="32" t="s">
        <v>169</v>
      </c>
      <c r="T364" s="37" t="s">
        <v>168</v>
      </c>
      <c r="U364" s="32">
        <v>2</v>
      </c>
      <c r="V364" s="34" t="str">
        <f>VLOOKUP(U364,Key!$E$2:$F$9,2,FALSE)</f>
        <v>Work</v>
      </c>
      <c r="W364" s="34" t="str">
        <f t="shared" si="8"/>
        <v>Work-Work</v>
      </c>
      <c r="X364" s="47">
        <v>100000</v>
      </c>
      <c r="Y364" s="38">
        <v>200</v>
      </c>
      <c r="Z364" s="38">
        <v>5</v>
      </c>
      <c r="AA364" s="32">
        <v>6</v>
      </c>
      <c r="AB364" s="34" t="str">
        <f>VLOOKUP(AA364,Key!$C$20:$D$29,2,FALSE)</f>
        <v>Businessman</v>
      </c>
      <c r="AC364" s="32">
        <v>2</v>
      </c>
      <c r="AD364" s="34" t="str">
        <f>VLOOKUP(AC364,Key!$E$20:$F$24,2,FALSE)</f>
        <v>300,000-500,000</v>
      </c>
      <c r="AE364" s="32">
        <v>1</v>
      </c>
      <c r="AF364" s="55">
        <v>1</v>
      </c>
      <c r="AG364" s="55">
        <v>1</v>
      </c>
      <c r="AH364" s="55">
        <v>1</v>
      </c>
      <c r="AI364" s="55">
        <v>1</v>
      </c>
      <c r="AJ364" s="39" t="s">
        <v>104</v>
      </c>
      <c r="AK364" s="40">
        <v>2000</v>
      </c>
      <c r="AL364" s="24"/>
      <c r="AM364" s="24"/>
    </row>
    <row r="365" spans="1:39" hidden="1" x14ac:dyDescent="0.2">
      <c r="B365" s="50">
        <v>43686</v>
      </c>
      <c r="C365" s="35">
        <v>0.63124999999999998</v>
      </c>
      <c r="D365" s="35"/>
      <c r="E365" s="35" t="s">
        <v>111</v>
      </c>
      <c r="F365" s="37">
        <v>2</v>
      </c>
      <c r="G365" s="42" t="str">
        <f>VLOOKUP(F365,Key!$A$17:$B$21,2,FALSE)</f>
        <v>Road Vehicle</v>
      </c>
      <c r="H365" s="36">
        <v>4</v>
      </c>
      <c r="I365" s="43" t="str">
        <f>VLOOKUP(H365,Key!$A$2:$B$13,2,FALSE)</f>
        <v>Minibus</v>
      </c>
      <c r="J365" s="37" t="s">
        <v>123</v>
      </c>
      <c r="K365" s="37">
        <v>3</v>
      </c>
      <c r="L365" s="45" t="str">
        <f>VLOOKUP(K365,Key!$A$24:$B$29,2,FALSE)</f>
        <v>40-49</v>
      </c>
      <c r="M365" s="37" t="s">
        <v>218</v>
      </c>
      <c r="N365" s="32" t="s">
        <v>176</v>
      </c>
      <c r="O365" s="37" t="s">
        <v>168</v>
      </c>
      <c r="P365" s="39">
        <v>2</v>
      </c>
      <c r="Q365" s="34" t="str">
        <f>VLOOKUP(P365,Key!$E$2:$F$9,2,FALSE)</f>
        <v>Work</v>
      </c>
      <c r="R365" s="37" t="s">
        <v>294</v>
      </c>
      <c r="S365" s="32" t="s">
        <v>294</v>
      </c>
      <c r="T365" s="37" t="s">
        <v>168</v>
      </c>
      <c r="U365" s="32">
        <v>2</v>
      </c>
      <c r="V365" s="34" t="str">
        <f>VLOOKUP(U365,Key!$E$2:$F$9,2,FALSE)</f>
        <v>Work</v>
      </c>
      <c r="W365" s="34" t="str">
        <f t="shared" si="8"/>
        <v>Work-Work</v>
      </c>
      <c r="X365" s="47">
        <v>50000</v>
      </c>
      <c r="Y365" s="38">
        <v>200</v>
      </c>
      <c r="Z365" s="38">
        <v>6</v>
      </c>
      <c r="AA365" s="32">
        <v>6</v>
      </c>
      <c r="AB365" s="34" t="str">
        <f>VLOOKUP(AA365,Key!$C$20:$D$29,2,FALSE)</f>
        <v>Businessman</v>
      </c>
      <c r="AC365" s="32">
        <v>2</v>
      </c>
      <c r="AD365" s="34" t="str">
        <f>VLOOKUP(AC365,Key!$E$20:$F$24,2,FALSE)</f>
        <v>300,000-500,000</v>
      </c>
      <c r="AE365" s="32">
        <v>1</v>
      </c>
      <c r="AF365" s="55">
        <v>1</v>
      </c>
      <c r="AG365" s="55">
        <v>1</v>
      </c>
      <c r="AH365" s="55">
        <v>1</v>
      </c>
      <c r="AI365" s="55">
        <v>1</v>
      </c>
      <c r="AJ365" s="39" t="s">
        <v>104</v>
      </c>
      <c r="AK365" s="40"/>
      <c r="AL365" s="24"/>
      <c r="AM365" s="24"/>
    </row>
    <row r="366" spans="1:39" hidden="1" x14ac:dyDescent="0.2">
      <c r="A366" s="10"/>
      <c r="B366" s="50">
        <v>43686</v>
      </c>
      <c r="C366" s="35">
        <v>0.59166666666666667</v>
      </c>
      <c r="D366" s="35"/>
      <c r="E366" s="35" t="s">
        <v>111</v>
      </c>
      <c r="F366" s="37">
        <v>2</v>
      </c>
      <c r="G366" s="42" t="str">
        <f>VLOOKUP(F366,Key!$A$17:$B$21,2,FALSE)</f>
        <v>Road Vehicle</v>
      </c>
      <c r="H366" s="36">
        <v>4</v>
      </c>
      <c r="I366" s="43" t="str">
        <f>VLOOKUP(H366,Key!$A$2:$B$13,2,FALSE)</f>
        <v>Minibus</v>
      </c>
      <c r="J366" s="37" t="s">
        <v>123</v>
      </c>
      <c r="K366" s="37">
        <v>3</v>
      </c>
      <c r="L366" s="45" t="str">
        <f>VLOOKUP(K366,Key!$A$24:$B$29,2,FALSE)</f>
        <v>40-49</v>
      </c>
      <c r="M366" s="37" t="s">
        <v>169</v>
      </c>
      <c r="N366" s="32" t="s">
        <v>169</v>
      </c>
      <c r="O366" s="37" t="s">
        <v>168</v>
      </c>
      <c r="P366" s="39">
        <v>2</v>
      </c>
      <c r="Q366" s="34" t="str">
        <f>VLOOKUP(P366,Key!$E$2:$F$9,2,FALSE)</f>
        <v>Work</v>
      </c>
      <c r="R366" s="37" t="s">
        <v>218</v>
      </c>
      <c r="S366" s="32" t="s">
        <v>176</v>
      </c>
      <c r="T366" s="37" t="s">
        <v>168</v>
      </c>
      <c r="U366" s="32">
        <v>2</v>
      </c>
      <c r="V366" s="34" t="str">
        <f>VLOOKUP(U366,Key!$E$2:$F$9,2,FALSE)</f>
        <v>Work</v>
      </c>
      <c r="W366" s="34" t="str">
        <f t="shared" si="8"/>
        <v>Work-Work</v>
      </c>
      <c r="X366" s="47">
        <v>80000</v>
      </c>
      <c r="Y366" s="38">
        <v>210</v>
      </c>
      <c r="Z366" s="38">
        <v>4</v>
      </c>
      <c r="AA366" s="32">
        <v>6</v>
      </c>
      <c r="AB366" s="34" t="str">
        <f>VLOOKUP(AA366,Key!$C$20:$D$29,2,FALSE)</f>
        <v>Businessman</v>
      </c>
      <c r="AC366" s="32">
        <v>2</v>
      </c>
      <c r="AD366" s="34" t="str">
        <f>VLOOKUP(AC366,Key!$E$20:$F$24,2,FALSE)</f>
        <v>300,000-500,000</v>
      </c>
      <c r="AE366" s="32">
        <v>2</v>
      </c>
      <c r="AF366" s="55">
        <v>1</v>
      </c>
      <c r="AG366" s="55">
        <v>2</v>
      </c>
      <c r="AH366" s="55">
        <v>1</v>
      </c>
      <c r="AI366" s="55">
        <v>1</v>
      </c>
      <c r="AJ366" s="39" t="s">
        <v>104</v>
      </c>
      <c r="AK366" s="40">
        <v>2000</v>
      </c>
      <c r="AL366" s="24"/>
      <c r="AM366" s="24"/>
    </row>
    <row r="367" spans="1:39" hidden="1" x14ac:dyDescent="0.2">
      <c r="B367" s="50">
        <v>43687</v>
      </c>
      <c r="C367" s="35">
        <v>0.63888888888888895</v>
      </c>
      <c r="D367" s="35"/>
      <c r="E367" s="35" t="s">
        <v>111</v>
      </c>
      <c r="F367" s="37">
        <v>2</v>
      </c>
      <c r="G367" s="42" t="str">
        <f>VLOOKUP(F367,Key!$A$17:$B$21,2,FALSE)</f>
        <v>Road Vehicle</v>
      </c>
      <c r="H367" s="36">
        <v>4</v>
      </c>
      <c r="I367" s="43" t="str">
        <f>VLOOKUP(H367,Key!$A$2:$B$13,2,FALSE)</f>
        <v>Minibus</v>
      </c>
      <c r="J367" s="37" t="s">
        <v>123</v>
      </c>
      <c r="K367" s="37">
        <v>3</v>
      </c>
      <c r="L367" s="45" t="str">
        <f>VLOOKUP(K367,Key!$A$24:$B$29,2,FALSE)</f>
        <v>40-49</v>
      </c>
      <c r="M367" s="37" t="s">
        <v>247</v>
      </c>
      <c r="N367" s="32" t="s">
        <v>167</v>
      </c>
      <c r="O367" s="37" t="s">
        <v>168</v>
      </c>
      <c r="P367" s="39">
        <v>2</v>
      </c>
      <c r="Q367" s="34" t="str">
        <f>VLOOKUP(P367,Key!$E$2:$F$9,2,FALSE)</f>
        <v>Work</v>
      </c>
      <c r="R367" s="37" t="s">
        <v>219</v>
      </c>
      <c r="S367" s="32" t="s">
        <v>199</v>
      </c>
      <c r="T367" s="37" t="s">
        <v>168</v>
      </c>
      <c r="U367" s="32">
        <v>2</v>
      </c>
      <c r="V367" s="34" t="str">
        <f>VLOOKUP(U367,Key!$E$2:$F$9,2,FALSE)</f>
        <v>Work</v>
      </c>
      <c r="W367" s="34" t="str">
        <f t="shared" si="8"/>
        <v>Work-Work</v>
      </c>
      <c r="X367" s="47">
        <v>150000</v>
      </c>
      <c r="Y367" s="38">
        <v>220</v>
      </c>
      <c r="Z367" s="38">
        <v>4</v>
      </c>
      <c r="AA367" s="32">
        <v>7</v>
      </c>
      <c r="AB367" s="34" t="str">
        <f>VLOOKUP(AA367,Key!$C$20:$D$29,2,FALSE)</f>
        <v>Farmer</v>
      </c>
      <c r="AC367" s="32">
        <v>1</v>
      </c>
      <c r="AD367" s="34" t="str">
        <f>VLOOKUP(AC367,Key!$E$20:$F$24,2,FALSE)</f>
        <v>&lt;300,000</v>
      </c>
      <c r="AE367" s="32">
        <v>1</v>
      </c>
      <c r="AF367" s="55">
        <v>2</v>
      </c>
      <c r="AG367" s="55">
        <v>1</v>
      </c>
      <c r="AH367" s="55">
        <v>1</v>
      </c>
      <c r="AI367" s="55">
        <v>1</v>
      </c>
      <c r="AJ367" s="39" t="s">
        <v>104</v>
      </c>
      <c r="AK367" s="40"/>
      <c r="AL367" s="24"/>
      <c r="AM367" s="24"/>
    </row>
    <row r="368" spans="1:39" hidden="1" x14ac:dyDescent="0.2">
      <c r="A368" s="10"/>
      <c r="B368" s="50">
        <v>43686</v>
      </c>
      <c r="C368" s="35">
        <v>0.6118055555555556</v>
      </c>
      <c r="D368" s="35"/>
      <c r="E368" s="35" t="s">
        <v>111</v>
      </c>
      <c r="F368" s="37">
        <v>2</v>
      </c>
      <c r="G368" s="42" t="str">
        <f>VLOOKUP(F368,Key!$A$17:$B$21,2,FALSE)</f>
        <v>Road Vehicle</v>
      </c>
      <c r="H368" s="36">
        <v>4</v>
      </c>
      <c r="I368" s="43" t="str">
        <f>VLOOKUP(H368,Key!$A$2:$B$13,2,FALSE)</f>
        <v>Minibus</v>
      </c>
      <c r="J368" s="37" t="s">
        <v>123</v>
      </c>
      <c r="K368" s="37">
        <v>3</v>
      </c>
      <c r="L368" s="45" t="str">
        <f>VLOOKUP(K368,Key!$A$24:$B$29,2,FALSE)</f>
        <v>40-49</v>
      </c>
      <c r="M368" s="44" t="s">
        <v>169</v>
      </c>
      <c r="N368" s="44" t="s">
        <v>169</v>
      </c>
      <c r="O368" s="37" t="s">
        <v>168</v>
      </c>
      <c r="P368" s="39">
        <v>2</v>
      </c>
      <c r="Q368" s="34" t="str">
        <f>VLOOKUP(P368,Key!$E$2:$F$9,2,FALSE)</f>
        <v>Work</v>
      </c>
      <c r="R368" s="37" t="s">
        <v>218</v>
      </c>
      <c r="S368" s="32" t="s">
        <v>176</v>
      </c>
      <c r="T368" s="37" t="s">
        <v>168</v>
      </c>
      <c r="U368" s="32">
        <v>2</v>
      </c>
      <c r="V368" s="34" t="str">
        <f>VLOOKUP(U368,Key!$E$2:$F$9,2,FALSE)</f>
        <v>Work</v>
      </c>
      <c r="W368" s="34" t="str">
        <f t="shared" si="8"/>
        <v>Work-Work</v>
      </c>
      <c r="X368" s="47">
        <v>80000</v>
      </c>
      <c r="Y368" s="38">
        <v>220</v>
      </c>
      <c r="Z368" s="38">
        <v>4</v>
      </c>
      <c r="AA368" s="32">
        <v>6</v>
      </c>
      <c r="AB368" s="34" t="str">
        <f>VLOOKUP(AA368,Key!$C$20:$D$29,2,FALSE)</f>
        <v>Businessman</v>
      </c>
      <c r="AC368" s="32">
        <v>2</v>
      </c>
      <c r="AD368" s="34" t="str">
        <f>VLOOKUP(AC368,Key!$E$20:$F$24,2,FALSE)</f>
        <v>300,000-500,000</v>
      </c>
      <c r="AE368" s="32">
        <v>2</v>
      </c>
      <c r="AF368" s="55">
        <v>1</v>
      </c>
      <c r="AG368" s="55">
        <v>2</v>
      </c>
      <c r="AH368" s="55">
        <v>1</v>
      </c>
      <c r="AI368" s="55">
        <v>1</v>
      </c>
      <c r="AJ368" s="39" t="s">
        <v>104</v>
      </c>
      <c r="AK368" s="40">
        <v>2000</v>
      </c>
      <c r="AL368" s="24"/>
      <c r="AM368" s="24"/>
    </row>
    <row r="369" spans="2:39" hidden="1" x14ac:dyDescent="0.2">
      <c r="B369" s="50">
        <v>43686</v>
      </c>
      <c r="C369" s="35">
        <v>0.625</v>
      </c>
      <c r="D369" s="35"/>
      <c r="E369" s="35" t="s">
        <v>111</v>
      </c>
      <c r="F369" s="37">
        <v>2</v>
      </c>
      <c r="G369" s="42" t="str">
        <f>VLOOKUP(F369,Key!$A$17:$B$21,2,FALSE)</f>
        <v>Road Vehicle</v>
      </c>
      <c r="H369" s="36">
        <v>4</v>
      </c>
      <c r="I369" s="43" t="str">
        <f>VLOOKUP(H369,Key!$A$2:$B$13,2,FALSE)</f>
        <v>Minibus</v>
      </c>
      <c r="J369" s="37" t="s">
        <v>123</v>
      </c>
      <c r="K369" s="37">
        <v>3</v>
      </c>
      <c r="L369" s="45" t="str">
        <f>VLOOKUP(K369,Key!$A$24:$B$29,2,FALSE)</f>
        <v>40-49</v>
      </c>
      <c r="M369" s="37" t="s">
        <v>247</v>
      </c>
      <c r="N369" s="32" t="s">
        <v>169</v>
      </c>
      <c r="O369" s="37" t="s">
        <v>168</v>
      </c>
      <c r="P369" s="39">
        <v>2</v>
      </c>
      <c r="Q369" s="34" t="str">
        <f>VLOOKUP(P369,Key!$E$2:$F$9,2,FALSE)</f>
        <v>Work</v>
      </c>
      <c r="R369" s="37" t="s">
        <v>218</v>
      </c>
      <c r="S369" s="32" t="s">
        <v>176</v>
      </c>
      <c r="T369" s="37" t="s">
        <v>168</v>
      </c>
      <c r="U369" s="32">
        <v>2</v>
      </c>
      <c r="V369" s="34" t="str">
        <f>VLOOKUP(U369,Key!$E$2:$F$9,2,FALSE)</f>
        <v>Work</v>
      </c>
      <c r="W369" s="34" t="str">
        <f t="shared" si="8"/>
        <v>Work-Work</v>
      </c>
      <c r="X369" s="47">
        <v>100000</v>
      </c>
      <c r="Y369" s="38">
        <v>230</v>
      </c>
      <c r="Z369" s="38">
        <v>4</v>
      </c>
      <c r="AA369" s="32">
        <v>6</v>
      </c>
      <c r="AB369" s="34" t="str">
        <f>VLOOKUP(AA369,Key!$C$20:$D$29,2,FALSE)</f>
        <v>Businessman</v>
      </c>
      <c r="AC369" s="32">
        <v>5</v>
      </c>
      <c r="AD369" s="34" t="str">
        <f>VLOOKUP(AC369,Key!$E$20:$F$24,2,FALSE)</f>
        <v>&gt;1,000,000</v>
      </c>
      <c r="AE369" s="32">
        <v>1</v>
      </c>
      <c r="AF369" s="55">
        <v>1</v>
      </c>
      <c r="AG369" s="55">
        <v>2</v>
      </c>
      <c r="AH369" s="55">
        <v>1</v>
      </c>
      <c r="AI369" s="55">
        <v>2</v>
      </c>
      <c r="AJ369" s="39" t="s">
        <v>104</v>
      </c>
      <c r="AK369" s="40">
        <v>1000</v>
      </c>
      <c r="AL369" s="24"/>
      <c r="AM369" s="24"/>
    </row>
    <row r="370" spans="2:39" hidden="1" x14ac:dyDescent="0.2">
      <c r="B370" s="50">
        <v>43690</v>
      </c>
      <c r="C370" s="35">
        <v>0.75486111111111109</v>
      </c>
      <c r="D370" s="35"/>
      <c r="E370" s="35" t="s">
        <v>111</v>
      </c>
      <c r="F370" s="37">
        <v>2</v>
      </c>
      <c r="G370" s="42" t="str">
        <f>VLOOKUP(F370,Key!$A$17:$B$21,2,FALSE)</f>
        <v>Road Vehicle</v>
      </c>
      <c r="H370" s="36">
        <v>4</v>
      </c>
      <c r="I370" s="43" t="str">
        <f>VLOOKUP(H370,Key!$A$2:$B$13,2,FALSE)</f>
        <v>Minibus</v>
      </c>
      <c r="J370" s="37" t="s">
        <v>123</v>
      </c>
      <c r="K370" s="37">
        <v>2</v>
      </c>
      <c r="L370" s="45" t="str">
        <f>VLOOKUP(K370,Key!$A$24:$B$29,2,FALSE)</f>
        <v>30-39</v>
      </c>
      <c r="M370" s="37" t="s">
        <v>167</v>
      </c>
      <c r="N370" s="32" t="s">
        <v>167</v>
      </c>
      <c r="O370" s="37" t="s">
        <v>168</v>
      </c>
      <c r="P370" s="39">
        <v>2</v>
      </c>
      <c r="Q370" s="34" t="str">
        <f>VLOOKUP(P370,Key!$E$2:$F$9,2,FALSE)</f>
        <v>Work</v>
      </c>
      <c r="R370" s="37" t="s">
        <v>199</v>
      </c>
      <c r="S370" s="32" t="s">
        <v>199</v>
      </c>
      <c r="T370" s="37" t="s">
        <v>168</v>
      </c>
      <c r="U370" s="32">
        <v>2</v>
      </c>
      <c r="V370" s="34" t="str">
        <f>VLOOKUP(U370,Key!$E$2:$F$9,2,FALSE)</f>
        <v>Work</v>
      </c>
      <c r="W370" s="34" t="str">
        <f t="shared" si="8"/>
        <v>Work-Work</v>
      </c>
      <c r="X370" s="47">
        <v>60000</v>
      </c>
      <c r="Y370" s="38">
        <v>230</v>
      </c>
      <c r="Z370" s="38">
        <v>5</v>
      </c>
      <c r="AA370" s="32">
        <v>10</v>
      </c>
      <c r="AB370" s="34" t="str">
        <f>VLOOKUP(AA370,Key!$C$20:$D$29,2,FALSE)</f>
        <v>Other</v>
      </c>
      <c r="AC370" s="32">
        <v>2</v>
      </c>
      <c r="AD370" s="34" t="str">
        <f>VLOOKUP(AC370,Key!$E$20:$F$24,2,FALSE)</f>
        <v>300,000-500,000</v>
      </c>
      <c r="AE370" s="32">
        <v>1</v>
      </c>
      <c r="AF370" s="55">
        <v>2</v>
      </c>
      <c r="AG370" s="55">
        <v>3</v>
      </c>
      <c r="AH370" s="55">
        <v>1</v>
      </c>
      <c r="AI370" s="55">
        <v>4</v>
      </c>
      <c r="AJ370" s="39" t="s">
        <v>104</v>
      </c>
      <c r="AK370" s="40">
        <v>1000</v>
      </c>
      <c r="AL370" s="24"/>
      <c r="AM370" s="24"/>
    </row>
    <row r="371" spans="2:39" hidden="1" x14ac:dyDescent="0.2">
      <c r="B371" s="50">
        <v>43690</v>
      </c>
      <c r="C371" s="35">
        <v>0.74305555555555547</v>
      </c>
      <c r="D371" s="35"/>
      <c r="E371" s="35" t="s">
        <v>111</v>
      </c>
      <c r="F371" s="37">
        <v>2</v>
      </c>
      <c r="G371" s="42" t="str">
        <f>VLOOKUP(F371,Key!$A$17:$B$21,2,FALSE)</f>
        <v>Road Vehicle</v>
      </c>
      <c r="H371" s="36">
        <v>4</v>
      </c>
      <c r="I371" s="43" t="str">
        <f>VLOOKUP(H371,Key!$A$2:$B$13,2,FALSE)</f>
        <v>Minibus</v>
      </c>
      <c r="J371" s="37" t="s">
        <v>123</v>
      </c>
      <c r="K371" s="37">
        <v>3</v>
      </c>
      <c r="L371" s="45" t="str">
        <f>VLOOKUP(K371,Key!$A$24:$B$29,2,FALSE)</f>
        <v>40-49</v>
      </c>
      <c r="M371" s="37" t="s">
        <v>247</v>
      </c>
      <c r="N371" s="32" t="s">
        <v>169</v>
      </c>
      <c r="O371" s="37" t="s">
        <v>168</v>
      </c>
      <c r="P371" s="39">
        <v>2</v>
      </c>
      <c r="Q371" s="34" t="str">
        <f>VLOOKUP(P371,Key!$E$2:$F$9,2,FALSE)</f>
        <v>Work</v>
      </c>
      <c r="R371" s="37" t="s">
        <v>218</v>
      </c>
      <c r="S371" s="32" t="s">
        <v>176</v>
      </c>
      <c r="T371" s="37" t="s">
        <v>168</v>
      </c>
      <c r="U371" s="32">
        <v>4</v>
      </c>
      <c r="V371" s="34" t="str">
        <f>VLOOKUP(U371,Key!$E$2:$F$9,2,FALSE)</f>
        <v>Commercial</v>
      </c>
      <c r="W371" s="34" t="str">
        <f t="shared" si="8"/>
        <v>Work-Commercial</v>
      </c>
      <c r="X371" s="47">
        <v>100000</v>
      </c>
      <c r="Y371" s="38">
        <v>230</v>
      </c>
      <c r="Z371" s="38">
        <v>5</v>
      </c>
      <c r="AA371" s="32">
        <v>6</v>
      </c>
      <c r="AB371" s="34" t="str">
        <f>VLOOKUP(AA371,Key!$C$20:$D$29,2,FALSE)</f>
        <v>Businessman</v>
      </c>
      <c r="AC371" s="32">
        <v>2</v>
      </c>
      <c r="AD371" s="34" t="str">
        <f>VLOOKUP(AC371,Key!$E$20:$F$24,2,FALSE)</f>
        <v>300,000-500,000</v>
      </c>
      <c r="AE371" s="32">
        <v>1</v>
      </c>
      <c r="AF371" s="55">
        <v>1</v>
      </c>
      <c r="AG371" s="55">
        <v>1</v>
      </c>
      <c r="AH371" s="55">
        <v>1</v>
      </c>
      <c r="AI371" s="55">
        <v>1</v>
      </c>
      <c r="AJ371" s="39" t="s">
        <v>104</v>
      </c>
      <c r="AK371" s="40">
        <v>2000</v>
      </c>
      <c r="AL371" s="24"/>
      <c r="AM371" s="24"/>
    </row>
    <row r="372" spans="2:39" hidden="1" x14ac:dyDescent="0.2">
      <c r="B372" s="50">
        <v>43686</v>
      </c>
      <c r="C372" s="35">
        <v>0.59513888888888888</v>
      </c>
      <c r="D372" s="35"/>
      <c r="E372" s="35" t="s">
        <v>111</v>
      </c>
      <c r="F372" s="37">
        <v>2</v>
      </c>
      <c r="G372" s="42" t="str">
        <f>VLOOKUP(F372,Key!$A$17:$B$21,2,FALSE)</f>
        <v>Road Vehicle</v>
      </c>
      <c r="H372" s="36">
        <v>4</v>
      </c>
      <c r="I372" s="43" t="str">
        <f>VLOOKUP(H372,Key!$A$2:$B$13,2,FALSE)</f>
        <v>Minibus</v>
      </c>
      <c r="J372" s="37" t="s">
        <v>123</v>
      </c>
      <c r="K372" s="37">
        <v>2</v>
      </c>
      <c r="L372" s="45" t="str">
        <f>VLOOKUP(K372,Key!$A$24:$B$29,2,FALSE)</f>
        <v>30-39</v>
      </c>
      <c r="M372" s="37" t="s">
        <v>167</v>
      </c>
      <c r="N372" s="32" t="s">
        <v>167</v>
      </c>
      <c r="O372" s="37" t="s">
        <v>168</v>
      </c>
      <c r="P372" s="39">
        <v>2</v>
      </c>
      <c r="Q372" s="34" t="str">
        <f>VLOOKUP(P372,Key!$E$2:$F$9,2,FALSE)</f>
        <v>Work</v>
      </c>
      <c r="R372" s="37" t="s">
        <v>169</v>
      </c>
      <c r="S372" s="32" t="s">
        <v>169</v>
      </c>
      <c r="T372" s="37" t="s">
        <v>168</v>
      </c>
      <c r="U372" s="32">
        <v>2</v>
      </c>
      <c r="V372" s="34" t="str">
        <f>VLOOKUP(U372,Key!$E$2:$F$9,2,FALSE)</f>
        <v>Work</v>
      </c>
      <c r="W372" s="34" t="str">
        <f t="shared" si="8"/>
        <v>Work-Work</v>
      </c>
      <c r="X372" s="47">
        <v>120000</v>
      </c>
      <c r="Y372" s="38">
        <v>270</v>
      </c>
      <c r="Z372" s="38">
        <v>5</v>
      </c>
      <c r="AA372" s="32">
        <v>10</v>
      </c>
      <c r="AB372" s="34" t="str">
        <f>VLOOKUP(AA372,Key!$C$20:$D$29,2,FALSE)</f>
        <v>Other</v>
      </c>
      <c r="AC372" s="32">
        <v>1</v>
      </c>
      <c r="AD372" s="34" t="str">
        <f>VLOOKUP(AC372,Key!$E$20:$F$24,2,FALSE)</f>
        <v>&lt;300,000</v>
      </c>
      <c r="AE372" s="32">
        <v>1</v>
      </c>
      <c r="AF372" s="55">
        <v>2</v>
      </c>
      <c r="AG372" s="55">
        <v>1</v>
      </c>
      <c r="AH372" s="55">
        <v>1</v>
      </c>
      <c r="AI372" s="55">
        <v>1</v>
      </c>
      <c r="AJ372" s="39" t="s">
        <v>104</v>
      </c>
      <c r="AK372" s="40"/>
      <c r="AL372" s="24"/>
      <c r="AM372" s="24"/>
    </row>
    <row r="373" spans="2:39" hidden="1" x14ac:dyDescent="0.2">
      <c r="B373" s="50">
        <v>43686</v>
      </c>
      <c r="C373" s="35">
        <v>0.59513888888888888</v>
      </c>
      <c r="D373" s="35"/>
      <c r="E373" s="35" t="s">
        <v>111</v>
      </c>
      <c r="F373" s="37">
        <v>2</v>
      </c>
      <c r="G373" s="42" t="str">
        <f>VLOOKUP(F373,Key!$A$17:$B$21,2,FALSE)</f>
        <v>Road Vehicle</v>
      </c>
      <c r="H373" s="36">
        <v>4</v>
      </c>
      <c r="I373" s="43" t="str">
        <f>VLOOKUP(H373,Key!$A$2:$B$13,2,FALSE)</f>
        <v>Minibus</v>
      </c>
      <c r="J373" s="37" t="s">
        <v>123</v>
      </c>
      <c r="K373" s="37">
        <v>3</v>
      </c>
      <c r="L373" s="45" t="str">
        <f>VLOOKUP(K373,Key!$A$24:$B$29,2,FALSE)</f>
        <v>40-49</v>
      </c>
      <c r="M373" s="37" t="s">
        <v>187</v>
      </c>
      <c r="N373" s="32" t="s">
        <v>167</v>
      </c>
      <c r="O373" s="37" t="s">
        <v>168</v>
      </c>
      <c r="P373" s="39">
        <v>8</v>
      </c>
      <c r="Q373" s="34" t="str">
        <f>VLOOKUP(P373,Key!$E$2:$F$9,2,FALSE)</f>
        <v>Others</v>
      </c>
      <c r="R373" s="37" t="s">
        <v>169</v>
      </c>
      <c r="S373" s="32" t="s">
        <v>169</v>
      </c>
      <c r="T373" s="37" t="s">
        <v>168</v>
      </c>
      <c r="U373" s="32">
        <v>8</v>
      </c>
      <c r="V373" s="34" t="str">
        <f>VLOOKUP(U373,Key!$E$2:$F$9,2,FALSE)</f>
        <v>Others</v>
      </c>
      <c r="W373" s="34" t="str">
        <f t="shared" si="8"/>
        <v>Others-Others</v>
      </c>
      <c r="X373" s="47">
        <v>140000</v>
      </c>
      <c r="Y373" s="38">
        <v>300</v>
      </c>
      <c r="Z373" s="38">
        <v>4</v>
      </c>
      <c r="AA373" s="32">
        <v>7</v>
      </c>
      <c r="AB373" s="34" t="str">
        <f>VLOOKUP(AA373,Key!$C$20:$D$29,2,FALSE)</f>
        <v>Farmer</v>
      </c>
      <c r="AC373" s="32">
        <v>1</v>
      </c>
      <c r="AD373" s="34" t="str">
        <f>VLOOKUP(AC373,Key!$E$20:$F$24,2,FALSE)</f>
        <v>&lt;300,000</v>
      </c>
      <c r="AE373" s="32">
        <v>1</v>
      </c>
      <c r="AF373" s="55">
        <v>2</v>
      </c>
      <c r="AG373" s="55">
        <v>1</v>
      </c>
      <c r="AH373" s="55">
        <v>1</v>
      </c>
      <c r="AI373" s="55">
        <v>1</v>
      </c>
      <c r="AJ373" s="39" t="s">
        <v>104</v>
      </c>
      <c r="AK373" s="40">
        <v>500</v>
      </c>
      <c r="AL373" s="24"/>
      <c r="AM373" s="24"/>
    </row>
    <row r="374" spans="2:39" hidden="1" x14ac:dyDescent="0.2">
      <c r="B374" s="50">
        <v>43686</v>
      </c>
      <c r="C374" s="35">
        <v>0.61736111111111114</v>
      </c>
      <c r="D374" s="35"/>
      <c r="E374" s="35" t="s">
        <v>111</v>
      </c>
      <c r="F374" s="37">
        <v>2</v>
      </c>
      <c r="G374" s="42" t="str">
        <f>VLOOKUP(F374,Key!$A$17:$B$21,2,FALSE)</f>
        <v>Road Vehicle</v>
      </c>
      <c r="H374" s="36">
        <v>4</v>
      </c>
      <c r="I374" s="43" t="str">
        <f>VLOOKUP(H374,Key!$A$2:$B$13,2,FALSE)</f>
        <v>Minibus</v>
      </c>
      <c r="J374" s="37" t="s">
        <v>123</v>
      </c>
      <c r="K374" s="37">
        <v>3</v>
      </c>
      <c r="L374" s="45" t="str">
        <f>VLOOKUP(K374,Key!$A$24:$B$29,2,FALSE)</f>
        <v>40-49</v>
      </c>
      <c r="M374" s="37" t="s">
        <v>247</v>
      </c>
      <c r="N374" s="32" t="s">
        <v>167</v>
      </c>
      <c r="O374" s="37" t="s">
        <v>168</v>
      </c>
      <c r="P374" s="39">
        <v>2</v>
      </c>
      <c r="Q374" s="34" t="str">
        <f>VLOOKUP(P374,Key!$E$2:$F$9,2,FALSE)</f>
        <v>Work</v>
      </c>
      <c r="R374" s="37" t="s">
        <v>249</v>
      </c>
      <c r="S374" s="32" t="s">
        <v>34</v>
      </c>
      <c r="T374" s="37" t="s">
        <v>168</v>
      </c>
      <c r="U374" s="32">
        <v>5</v>
      </c>
      <c r="V374" s="34" t="str">
        <f>VLOOKUP(U374,Key!$E$2:$F$9,2,FALSE)</f>
        <v>Tourism</v>
      </c>
      <c r="W374" s="34" t="str">
        <f t="shared" si="8"/>
        <v>Work-Tourism</v>
      </c>
      <c r="X374" s="47">
        <v>200000</v>
      </c>
      <c r="Y374" s="38">
        <v>4000</v>
      </c>
      <c r="Z374" s="38">
        <v>10</v>
      </c>
      <c r="AA374" s="32">
        <v>10</v>
      </c>
      <c r="AB374" s="34" t="str">
        <f>VLOOKUP(AA374,Key!$C$20:$D$29,2,FALSE)</f>
        <v>Other</v>
      </c>
      <c r="AC374" s="32">
        <v>1</v>
      </c>
      <c r="AD374" s="34" t="str">
        <f>VLOOKUP(AC374,Key!$E$20:$F$24,2,FALSE)</f>
        <v>&lt;300,000</v>
      </c>
      <c r="AE374" s="32">
        <v>1</v>
      </c>
      <c r="AF374" s="55">
        <v>1</v>
      </c>
      <c r="AG374" s="55">
        <v>1</v>
      </c>
      <c r="AH374" s="55">
        <v>1</v>
      </c>
      <c r="AI374" s="55">
        <v>1</v>
      </c>
      <c r="AJ374" s="39" t="s">
        <v>104</v>
      </c>
      <c r="AK374" s="40">
        <v>5000</v>
      </c>
      <c r="AL374" s="24"/>
      <c r="AM374" s="24"/>
    </row>
    <row r="375" spans="2:39" hidden="1" x14ac:dyDescent="0.2">
      <c r="B375" s="50"/>
      <c r="C375" s="35"/>
      <c r="D375" s="35"/>
      <c r="E375" s="35"/>
      <c r="F375" s="37"/>
      <c r="G375" s="42"/>
      <c r="H375" s="36"/>
      <c r="I375" s="43"/>
      <c r="J375" s="37"/>
      <c r="K375" s="37"/>
      <c r="L375" s="45"/>
      <c r="M375" s="37"/>
      <c r="N375" s="32"/>
      <c r="O375" s="37"/>
      <c r="P375" s="39"/>
      <c r="Q375" s="34"/>
      <c r="R375" s="37"/>
      <c r="S375" s="32"/>
      <c r="T375" s="37"/>
      <c r="U375" s="32"/>
      <c r="V375" s="34"/>
      <c r="W375" s="34"/>
      <c r="X375" s="47"/>
      <c r="Y375" s="38"/>
      <c r="Z375" s="38"/>
      <c r="AA375" s="32"/>
      <c r="AB375" s="34"/>
      <c r="AC375" s="32"/>
      <c r="AD375" s="34"/>
      <c r="AE375" s="32"/>
      <c r="AF375" s="55"/>
      <c r="AG375" s="55"/>
      <c r="AH375" s="55"/>
      <c r="AI375" s="55"/>
      <c r="AJ375" s="39"/>
      <c r="AK375" s="40"/>
      <c r="AL375" s="24"/>
      <c r="AM375" s="24"/>
    </row>
    <row r="376" spans="2:39" hidden="1" x14ac:dyDescent="0.2">
      <c r="B376" s="50">
        <v>43686</v>
      </c>
      <c r="C376" s="35">
        <v>0.56736111111111109</v>
      </c>
      <c r="D376" s="35"/>
      <c r="E376" s="35" t="s">
        <v>111</v>
      </c>
      <c r="F376" s="37">
        <v>2</v>
      </c>
      <c r="G376" s="42" t="str">
        <f>VLOOKUP(F376,Key!$A$17:$B$21,2,FALSE)</f>
        <v>Road Vehicle</v>
      </c>
      <c r="H376" s="36">
        <v>3</v>
      </c>
      <c r="I376" s="43" t="str">
        <f>VLOOKUP(H376,Key!$A$2:$B$13,2,FALSE)</f>
        <v>Pickups</v>
      </c>
      <c r="J376" s="37" t="s">
        <v>123</v>
      </c>
      <c r="K376" s="37">
        <v>3</v>
      </c>
      <c r="L376" s="45" t="str">
        <f>VLOOKUP(K376,Key!$A$24:$B$29,2,FALSE)</f>
        <v>40-49</v>
      </c>
      <c r="M376" s="44" t="s">
        <v>202</v>
      </c>
      <c r="N376" s="44" t="s">
        <v>179</v>
      </c>
      <c r="O376" s="37" t="s">
        <v>168</v>
      </c>
      <c r="P376" s="39">
        <v>1</v>
      </c>
      <c r="Q376" s="34" t="str">
        <f>VLOOKUP(P376,Key!$E$2:$F$9,2,FALSE)</f>
        <v>Home</v>
      </c>
      <c r="R376" s="37" t="s">
        <v>203</v>
      </c>
      <c r="S376" s="32" t="s">
        <v>167</v>
      </c>
      <c r="T376" s="37" t="s">
        <v>168</v>
      </c>
      <c r="U376" s="32">
        <v>8</v>
      </c>
      <c r="V376" s="34" t="str">
        <f>VLOOKUP(U376,Key!$E$2:$F$9,2,FALSE)</f>
        <v>Others</v>
      </c>
      <c r="W376" s="34" t="str">
        <f t="shared" ref="W376:W422" si="9">Q376&amp;"-"&amp;V376</f>
        <v>Home-Others</v>
      </c>
      <c r="X376" s="47">
        <v>10000</v>
      </c>
      <c r="Y376" s="38">
        <v>3</v>
      </c>
      <c r="Z376" s="38">
        <v>0.5</v>
      </c>
      <c r="AA376" s="32">
        <v>7</v>
      </c>
      <c r="AB376" s="34" t="str">
        <f>VLOOKUP(AA376,Key!$C$20:$D$29,2,FALSE)</f>
        <v>Farmer</v>
      </c>
      <c r="AC376" s="32">
        <v>3</v>
      </c>
      <c r="AD376" s="34" t="str">
        <f>VLOOKUP(AC376,Key!$E$20:$F$24,2,FALSE)</f>
        <v>500,000-750,000</v>
      </c>
      <c r="AE376" s="32">
        <v>2</v>
      </c>
      <c r="AF376" s="55">
        <v>1</v>
      </c>
      <c r="AG376" s="55">
        <v>2</v>
      </c>
      <c r="AH376" s="55">
        <v>1</v>
      </c>
      <c r="AI376" s="55">
        <v>3</v>
      </c>
      <c r="AJ376" s="39" t="s">
        <v>104</v>
      </c>
      <c r="AK376" s="40"/>
      <c r="AL376" s="24"/>
      <c r="AM376" s="24"/>
    </row>
    <row r="377" spans="2:39" hidden="1" x14ac:dyDescent="0.2">
      <c r="B377" s="50">
        <v>43687</v>
      </c>
      <c r="C377" s="35">
        <v>0.2986111111111111</v>
      </c>
      <c r="D377" s="35"/>
      <c r="E377" s="35" t="s">
        <v>111</v>
      </c>
      <c r="F377" s="37">
        <v>2</v>
      </c>
      <c r="G377" s="42" t="str">
        <f>VLOOKUP(F377,Key!$A$17:$B$21,2,FALSE)</f>
        <v>Road Vehicle</v>
      </c>
      <c r="H377" s="36">
        <v>3</v>
      </c>
      <c r="I377" s="43" t="str">
        <f>VLOOKUP(H377,Key!$A$2:$B$13,2,FALSE)</f>
        <v>Pickups</v>
      </c>
      <c r="J377" s="37" t="s">
        <v>123</v>
      </c>
      <c r="K377" s="13">
        <v>2</v>
      </c>
      <c r="L377" s="45" t="str">
        <f>VLOOKUP(K377,Key!$A$24:$B$29,2,FALSE)</f>
        <v>30-39</v>
      </c>
      <c r="M377" s="44" t="s">
        <v>187</v>
      </c>
      <c r="N377" s="44" t="s">
        <v>167</v>
      </c>
      <c r="O377" s="37" t="s">
        <v>168</v>
      </c>
      <c r="P377" s="39">
        <v>1</v>
      </c>
      <c r="Q377" s="34" t="str">
        <f>VLOOKUP(P377,Key!$E$2:$F$9,2,FALSE)</f>
        <v>Home</v>
      </c>
      <c r="R377" s="37" t="s">
        <v>167</v>
      </c>
      <c r="S377" s="32" t="s">
        <v>167</v>
      </c>
      <c r="T377" s="37" t="s">
        <v>168</v>
      </c>
      <c r="U377" s="32">
        <v>2</v>
      </c>
      <c r="V377" s="34" t="str">
        <f>VLOOKUP(U377,Key!$E$2:$F$9,2,FALSE)</f>
        <v>Work</v>
      </c>
      <c r="W377" s="34" t="str">
        <f t="shared" si="9"/>
        <v>Home-Work</v>
      </c>
      <c r="X377" s="47">
        <v>20000</v>
      </c>
      <c r="Y377" s="38">
        <v>5</v>
      </c>
      <c r="Z377" s="38">
        <v>0.5</v>
      </c>
      <c r="AA377" s="32">
        <v>1</v>
      </c>
      <c r="AB377" s="34" t="str">
        <f>VLOOKUP(AA377,Key!$C$20:$D$29,2,FALSE)</f>
        <v>Unemployed</v>
      </c>
      <c r="AC377" s="32">
        <v>1</v>
      </c>
      <c r="AD377" s="34" t="str">
        <f>VLOOKUP(AC377,Key!$E$20:$F$24,2,FALSE)</f>
        <v>&lt;300,000</v>
      </c>
      <c r="AE377" s="32">
        <v>1</v>
      </c>
      <c r="AF377" s="55">
        <v>1</v>
      </c>
      <c r="AG377" s="55">
        <v>1</v>
      </c>
      <c r="AH377" s="55">
        <v>1</v>
      </c>
      <c r="AI377" s="55">
        <v>1</v>
      </c>
      <c r="AJ377" s="39" t="s">
        <v>104</v>
      </c>
      <c r="AK377" s="40"/>
      <c r="AL377" s="24"/>
      <c r="AM377" s="24"/>
    </row>
    <row r="378" spans="2:39" hidden="1" x14ac:dyDescent="0.2">
      <c r="B378" s="50">
        <v>43688</v>
      </c>
      <c r="C378" s="35">
        <v>0.3888888888888889</v>
      </c>
      <c r="D378" s="35"/>
      <c r="E378" s="35" t="s">
        <v>111</v>
      </c>
      <c r="F378" s="37">
        <v>2</v>
      </c>
      <c r="G378" s="42" t="str">
        <f>VLOOKUP(F378,Key!$A$17:$B$21,2,FALSE)</f>
        <v>Road Vehicle</v>
      </c>
      <c r="H378" s="36">
        <v>3</v>
      </c>
      <c r="I378" s="43" t="str">
        <f>VLOOKUP(H378,Key!$A$2:$B$13,2,FALSE)</f>
        <v>Pickups</v>
      </c>
      <c r="J378" s="37" t="s">
        <v>123</v>
      </c>
      <c r="K378" s="37">
        <v>1</v>
      </c>
      <c r="L378" s="45" t="str">
        <f>VLOOKUP(K378,Key!$A$24:$B$29,2,FALSE)</f>
        <v>20-29</v>
      </c>
      <c r="M378" s="37" t="s">
        <v>313</v>
      </c>
      <c r="N378" s="32" t="s">
        <v>190</v>
      </c>
      <c r="O378" s="37" t="s">
        <v>168</v>
      </c>
      <c r="P378" s="39">
        <v>1</v>
      </c>
      <c r="Q378" s="34" t="str">
        <f>VLOOKUP(P378,Key!$E$2:$F$9,2,FALSE)</f>
        <v>Home</v>
      </c>
      <c r="R378" s="37" t="s">
        <v>216</v>
      </c>
      <c r="S378" s="32" t="s">
        <v>167</v>
      </c>
      <c r="T378" s="37" t="s">
        <v>168</v>
      </c>
      <c r="U378" s="32">
        <v>8</v>
      </c>
      <c r="V378" s="34" t="str">
        <f>VLOOKUP(U378,Key!$E$2:$F$9,2,FALSE)</f>
        <v>Others</v>
      </c>
      <c r="W378" s="34" t="str">
        <f t="shared" si="9"/>
        <v>Home-Others</v>
      </c>
      <c r="X378" s="47">
        <v>40000</v>
      </c>
      <c r="Y378" s="38">
        <v>5</v>
      </c>
      <c r="Z378" s="38">
        <v>2.5</v>
      </c>
      <c r="AA378" s="32">
        <v>4</v>
      </c>
      <c r="AB378" s="34" t="str">
        <f>VLOOKUP(AA378,Key!$C$20:$D$29,2,FALSE)</f>
        <v>Office Worker</v>
      </c>
      <c r="AC378" s="32">
        <v>5</v>
      </c>
      <c r="AD378" s="34" t="str">
        <f>VLOOKUP(AC378,Key!$E$20:$F$24,2,FALSE)</f>
        <v>&gt;1,000,000</v>
      </c>
      <c r="AE378" s="32">
        <v>1</v>
      </c>
      <c r="AF378" s="55">
        <v>1</v>
      </c>
      <c r="AG378" s="55">
        <v>1</v>
      </c>
      <c r="AH378" s="55">
        <v>1</v>
      </c>
      <c r="AI378" s="55">
        <v>1</v>
      </c>
      <c r="AJ378" s="39" t="s">
        <v>104</v>
      </c>
      <c r="AK378" s="40">
        <v>2000</v>
      </c>
      <c r="AL378" s="24"/>
      <c r="AM378" s="24"/>
    </row>
    <row r="379" spans="2:39" hidden="1" x14ac:dyDescent="0.2">
      <c r="B379" s="50">
        <v>43689</v>
      </c>
      <c r="C379" s="35">
        <v>0.52777777777777779</v>
      </c>
      <c r="D379" s="35"/>
      <c r="E379" s="35" t="s">
        <v>111</v>
      </c>
      <c r="F379" s="37">
        <v>2</v>
      </c>
      <c r="G379" s="42" t="str">
        <f>VLOOKUP(F379,Key!$A$17:$B$21,2,FALSE)</f>
        <v>Road Vehicle</v>
      </c>
      <c r="H379" s="36">
        <v>3</v>
      </c>
      <c r="I379" s="43" t="str">
        <f>VLOOKUP(H379,Key!$A$2:$B$13,2,FALSE)</f>
        <v>Pickups</v>
      </c>
      <c r="J379" s="37" t="s">
        <v>123</v>
      </c>
      <c r="K379" s="37">
        <v>3</v>
      </c>
      <c r="L379" s="45" t="str">
        <f>VLOOKUP(K379,Key!$A$24:$B$29,2,FALSE)</f>
        <v>40-49</v>
      </c>
      <c r="M379" s="37" t="s">
        <v>310</v>
      </c>
      <c r="N379" s="32" t="s">
        <v>167</v>
      </c>
      <c r="O379" s="37" t="s">
        <v>168</v>
      </c>
      <c r="P379" s="39">
        <v>2</v>
      </c>
      <c r="Q379" s="34" t="str">
        <f>VLOOKUP(P379,Key!$E$2:$F$9,2,FALSE)</f>
        <v>Work</v>
      </c>
      <c r="R379" s="37" t="s">
        <v>311</v>
      </c>
      <c r="S379" s="32" t="s">
        <v>205</v>
      </c>
      <c r="T379" s="37" t="s">
        <v>168</v>
      </c>
      <c r="U379" s="32">
        <v>1</v>
      </c>
      <c r="V379" s="34" t="str">
        <f>VLOOKUP(U379,Key!$E$2:$F$9,2,FALSE)</f>
        <v>Home</v>
      </c>
      <c r="W379" s="34" t="str">
        <f t="shared" si="9"/>
        <v>Work-Home</v>
      </c>
      <c r="X379" s="47">
        <v>40000</v>
      </c>
      <c r="Y379" s="38">
        <v>10</v>
      </c>
      <c r="Z379" s="38">
        <v>1</v>
      </c>
      <c r="AA379" s="32">
        <v>5</v>
      </c>
      <c r="AB379" s="34" t="str">
        <f>VLOOKUP(AA379,Key!$C$20:$D$29,2,FALSE)</f>
        <v>Professional</v>
      </c>
      <c r="AC379" s="32">
        <v>3</v>
      </c>
      <c r="AD379" s="34" t="str">
        <f>VLOOKUP(AC379,Key!$E$20:$F$24,2,FALSE)</f>
        <v>500,000-750,000</v>
      </c>
      <c r="AE379" s="32">
        <v>1</v>
      </c>
      <c r="AF379" s="55">
        <v>2</v>
      </c>
      <c r="AG379" s="55"/>
      <c r="AH379" s="55"/>
      <c r="AI379" s="55"/>
      <c r="AJ379" s="39" t="s">
        <v>104</v>
      </c>
      <c r="AK379" s="40">
        <v>2000</v>
      </c>
      <c r="AL379" s="24"/>
      <c r="AM379" s="24"/>
    </row>
    <row r="380" spans="2:39" hidden="1" x14ac:dyDescent="0.2">
      <c r="B380" s="50">
        <v>43689</v>
      </c>
      <c r="C380" s="35">
        <v>0.375</v>
      </c>
      <c r="D380" s="35"/>
      <c r="E380" s="35" t="s">
        <v>111</v>
      </c>
      <c r="F380" s="37">
        <v>2</v>
      </c>
      <c r="G380" s="42" t="str">
        <f>VLOOKUP(F380,Key!$A$17:$B$21,2,FALSE)</f>
        <v>Road Vehicle</v>
      </c>
      <c r="H380" s="36">
        <v>3</v>
      </c>
      <c r="I380" s="43" t="str">
        <f>VLOOKUP(H380,Key!$A$2:$B$13,2,FALSE)</f>
        <v>Pickups</v>
      </c>
      <c r="J380" s="37" t="s">
        <v>123</v>
      </c>
      <c r="K380" s="37">
        <v>2</v>
      </c>
      <c r="L380" s="45" t="str">
        <f>VLOOKUP(K380,Key!$A$24:$B$29,2,FALSE)</f>
        <v>30-39</v>
      </c>
      <c r="M380" s="44" t="s">
        <v>167</v>
      </c>
      <c r="N380" s="44" t="s">
        <v>167</v>
      </c>
      <c r="O380" s="37" t="s">
        <v>168</v>
      </c>
      <c r="P380" s="39">
        <v>4</v>
      </c>
      <c r="Q380" s="34" t="str">
        <f>VLOOKUP(P380,Key!$E$2:$F$9,2,FALSE)</f>
        <v>Commercial</v>
      </c>
      <c r="R380" s="37" t="s">
        <v>167</v>
      </c>
      <c r="S380" s="32" t="s">
        <v>167</v>
      </c>
      <c r="T380" s="37" t="s">
        <v>168</v>
      </c>
      <c r="U380" s="32">
        <v>4</v>
      </c>
      <c r="V380" s="34" t="str">
        <f>VLOOKUP(U380,Key!$E$2:$F$9,2,FALSE)</f>
        <v>Commercial</v>
      </c>
      <c r="W380" s="34" t="str">
        <f t="shared" si="9"/>
        <v>Commercial-Commercial</v>
      </c>
      <c r="X380" s="47">
        <v>30000</v>
      </c>
      <c r="Y380" s="38">
        <v>20</v>
      </c>
      <c r="Z380" s="38">
        <v>0.8</v>
      </c>
      <c r="AA380" s="32">
        <v>6</v>
      </c>
      <c r="AB380" s="34" t="str">
        <f>VLOOKUP(AA380,Key!$C$20:$D$29,2,FALSE)</f>
        <v>Businessman</v>
      </c>
      <c r="AC380" s="32">
        <v>2</v>
      </c>
      <c r="AD380" s="34" t="str">
        <f>VLOOKUP(AC380,Key!$E$20:$F$24,2,FALSE)</f>
        <v>300,000-500,000</v>
      </c>
      <c r="AE380" s="32">
        <v>1</v>
      </c>
      <c r="AF380" s="55">
        <v>1</v>
      </c>
      <c r="AG380" s="55">
        <v>1</v>
      </c>
      <c r="AH380" s="55">
        <v>1</v>
      </c>
      <c r="AI380" s="55">
        <v>1</v>
      </c>
      <c r="AJ380" s="39" t="s">
        <v>104</v>
      </c>
      <c r="AK380" s="40"/>
      <c r="AL380" s="24"/>
      <c r="AM380" s="24"/>
    </row>
    <row r="381" spans="2:39" hidden="1" x14ac:dyDescent="0.2">
      <c r="B381" s="50">
        <v>43689</v>
      </c>
      <c r="C381" s="35">
        <v>0.60972222222222217</v>
      </c>
      <c r="D381" s="35"/>
      <c r="E381" s="35" t="s">
        <v>111</v>
      </c>
      <c r="F381" s="37">
        <v>2</v>
      </c>
      <c r="G381" s="42" t="str">
        <f>VLOOKUP(F381,Key!$A$17:$B$21,2,FALSE)</f>
        <v>Road Vehicle</v>
      </c>
      <c r="H381" s="36">
        <v>3</v>
      </c>
      <c r="I381" s="43" t="str">
        <f>VLOOKUP(H381,Key!$A$2:$B$13,2,FALSE)</f>
        <v>Pickups</v>
      </c>
      <c r="J381" s="37" t="s">
        <v>123</v>
      </c>
      <c r="K381" s="37">
        <v>2</v>
      </c>
      <c r="L381" s="45" t="str">
        <f>VLOOKUP(K381,Key!$A$24:$B$29,2,FALSE)</f>
        <v>30-39</v>
      </c>
      <c r="M381" s="37" t="s">
        <v>179</v>
      </c>
      <c r="N381" s="32" t="s">
        <v>179</v>
      </c>
      <c r="O381" s="37" t="s">
        <v>168</v>
      </c>
      <c r="P381" s="39">
        <v>1</v>
      </c>
      <c r="Q381" s="34" t="str">
        <f>VLOOKUP(P381,Key!$E$2:$F$9,2,FALSE)</f>
        <v>Home</v>
      </c>
      <c r="R381" s="37" t="s">
        <v>167</v>
      </c>
      <c r="S381" s="32" t="s">
        <v>167</v>
      </c>
      <c r="T381" s="37" t="s">
        <v>168</v>
      </c>
      <c r="U381" s="32">
        <v>6</v>
      </c>
      <c r="V381" s="34" t="str">
        <f>VLOOKUP(U381,Key!$E$2:$F$9,2,FALSE)</f>
        <v>Leisure/Social</v>
      </c>
      <c r="W381" s="34" t="str">
        <f t="shared" si="9"/>
        <v>Home-Leisure/Social</v>
      </c>
      <c r="X381" s="47">
        <v>30000</v>
      </c>
      <c r="Y381" s="38">
        <v>40</v>
      </c>
      <c r="Z381" s="38">
        <v>1</v>
      </c>
      <c r="AA381" s="32">
        <v>10</v>
      </c>
      <c r="AB381" s="34" t="str">
        <f>VLOOKUP(AA381,Key!$C$20:$D$29,2,FALSE)</f>
        <v>Other</v>
      </c>
      <c r="AC381" s="32">
        <v>2</v>
      </c>
      <c r="AD381" s="34" t="str">
        <f>VLOOKUP(AC381,Key!$E$20:$F$24,2,FALSE)</f>
        <v>300,000-500,000</v>
      </c>
      <c r="AE381" s="32">
        <v>1</v>
      </c>
      <c r="AF381" s="55">
        <v>3</v>
      </c>
      <c r="AG381" s="55">
        <v>4</v>
      </c>
      <c r="AH381" s="55">
        <v>2</v>
      </c>
      <c r="AI381" s="55">
        <v>3</v>
      </c>
      <c r="AJ381" s="39" t="s">
        <v>104</v>
      </c>
      <c r="AK381" s="40">
        <v>2000</v>
      </c>
      <c r="AL381" s="24"/>
      <c r="AM381" s="24"/>
    </row>
    <row r="382" spans="2:39" hidden="1" x14ac:dyDescent="0.2">
      <c r="B382" s="50">
        <v>43686</v>
      </c>
      <c r="C382" s="35">
        <v>0.56736111111111109</v>
      </c>
      <c r="D382" s="35"/>
      <c r="E382" s="35" t="s">
        <v>111</v>
      </c>
      <c r="F382" s="37">
        <v>2</v>
      </c>
      <c r="G382" s="42" t="str">
        <f>VLOOKUP(F382,Key!$A$17:$B$21,2,FALSE)</f>
        <v>Road Vehicle</v>
      </c>
      <c r="H382" s="36">
        <v>3</v>
      </c>
      <c r="I382" s="43" t="str">
        <f>VLOOKUP(H382,Key!$A$2:$B$13,2,FALSE)</f>
        <v>Pickups</v>
      </c>
      <c r="J382" s="37" t="s">
        <v>123</v>
      </c>
      <c r="K382" s="37">
        <v>1</v>
      </c>
      <c r="L382" s="45" t="str">
        <f>VLOOKUP(K382,Key!$A$24:$B$29,2,FALSE)</f>
        <v>20-29</v>
      </c>
      <c r="M382" s="44" t="s">
        <v>187</v>
      </c>
      <c r="N382" s="44" t="s">
        <v>167</v>
      </c>
      <c r="O382" s="37" t="s">
        <v>168</v>
      </c>
      <c r="P382" s="39">
        <v>2</v>
      </c>
      <c r="Q382" s="34" t="str">
        <f>VLOOKUP(P382,Key!$E$2:$F$9,2,FALSE)</f>
        <v>Work</v>
      </c>
      <c r="R382" s="37" t="s">
        <v>206</v>
      </c>
      <c r="S382" s="32" t="s">
        <v>190</v>
      </c>
      <c r="T382" s="37" t="s">
        <v>168</v>
      </c>
      <c r="U382" s="32">
        <v>1</v>
      </c>
      <c r="V382" s="34" t="str">
        <f>VLOOKUP(U382,Key!$E$2:$F$9,2,FALSE)</f>
        <v>Home</v>
      </c>
      <c r="W382" s="34" t="str">
        <f t="shared" si="9"/>
        <v>Work-Home</v>
      </c>
      <c r="X382" s="47">
        <v>30000</v>
      </c>
      <c r="Y382" s="38">
        <v>40</v>
      </c>
      <c r="Z382" s="38">
        <v>1.5</v>
      </c>
      <c r="AA382" s="32">
        <v>6</v>
      </c>
      <c r="AB382" s="34" t="str">
        <f>VLOOKUP(AA382,Key!$C$20:$D$29,2,FALSE)</f>
        <v>Businessman</v>
      </c>
      <c r="AC382" s="32">
        <v>3</v>
      </c>
      <c r="AD382" s="34" t="str">
        <f>VLOOKUP(AC382,Key!$E$20:$F$24,2,FALSE)</f>
        <v>500,000-750,000</v>
      </c>
      <c r="AE382" s="32">
        <v>1</v>
      </c>
      <c r="AF382" s="55">
        <v>1</v>
      </c>
      <c r="AG382" s="55">
        <v>1</v>
      </c>
      <c r="AH382" s="55">
        <v>1</v>
      </c>
      <c r="AI382" s="55">
        <v>1</v>
      </c>
      <c r="AJ382" s="39" t="s">
        <v>104</v>
      </c>
      <c r="AK382" s="40"/>
      <c r="AL382" s="24"/>
      <c r="AM382" s="24"/>
    </row>
    <row r="383" spans="2:39" hidden="1" x14ac:dyDescent="0.2">
      <c r="B383" s="50">
        <v>43686</v>
      </c>
      <c r="C383" s="35">
        <v>0.70763888888888893</v>
      </c>
      <c r="D383" s="35"/>
      <c r="E383" s="35" t="s">
        <v>111</v>
      </c>
      <c r="F383" s="37">
        <v>2</v>
      </c>
      <c r="G383" s="42" t="str">
        <f>VLOOKUP(F383,Key!$A$17:$B$21,2,FALSE)</f>
        <v>Road Vehicle</v>
      </c>
      <c r="H383" s="36">
        <v>3</v>
      </c>
      <c r="I383" s="43" t="str">
        <f>VLOOKUP(H383,Key!$A$2:$B$13,2,FALSE)</f>
        <v>Pickups</v>
      </c>
      <c r="J383" s="37" t="s">
        <v>123</v>
      </c>
      <c r="K383" s="37">
        <v>2</v>
      </c>
      <c r="L383" s="45" t="str">
        <f>VLOOKUP(K383,Key!$A$24:$B$29,2,FALSE)</f>
        <v>30-39</v>
      </c>
      <c r="M383" s="44" t="s">
        <v>187</v>
      </c>
      <c r="N383" s="44" t="s">
        <v>167</v>
      </c>
      <c r="O383" s="37" t="s">
        <v>168</v>
      </c>
      <c r="P383" s="39">
        <v>2</v>
      </c>
      <c r="Q383" s="34" t="str">
        <f>VLOOKUP(P383,Key!$E$2:$F$9,2,FALSE)</f>
        <v>Work</v>
      </c>
      <c r="R383" s="37" t="s">
        <v>229</v>
      </c>
      <c r="S383" s="32" t="s">
        <v>190</v>
      </c>
      <c r="T383" s="37" t="s">
        <v>168</v>
      </c>
      <c r="U383" s="32">
        <v>1</v>
      </c>
      <c r="V383" s="34" t="str">
        <f>VLOOKUP(U383,Key!$E$2:$F$9,2,FALSE)</f>
        <v>Home</v>
      </c>
      <c r="W383" s="34" t="str">
        <f t="shared" si="9"/>
        <v>Work-Home</v>
      </c>
      <c r="X383" s="47">
        <v>30000</v>
      </c>
      <c r="Y383" s="38">
        <v>40</v>
      </c>
      <c r="Z383" s="38">
        <v>1.5</v>
      </c>
      <c r="AA383" s="32">
        <v>6</v>
      </c>
      <c r="AB383" s="34" t="str">
        <f>VLOOKUP(AA383,Key!$C$20:$D$29,2,FALSE)</f>
        <v>Businessman</v>
      </c>
      <c r="AC383" s="32">
        <v>3</v>
      </c>
      <c r="AD383" s="34" t="str">
        <f>VLOOKUP(AC383,Key!$E$20:$F$24,2,FALSE)</f>
        <v>500,000-750,000</v>
      </c>
      <c r="AE383" s="32">
        <v>1</v>
      </c>
      <c r="AF383" s="55">
        <v>1</v>
      </c>
      <c r="AG383" s="55">
        <v>1</v>
      </c>
      <c r="AH383" s="55">
        <v>1</v>
      </c>
      <c r="AI383" s="55">
        <v>1</v>
      </c>
      <c r="AJ383" s="39" t="s">
        <v>104</v>
      </c>
      <c r="AK383" s="40"/>
      <c r="AL383" s="24"/>
      <c r="AM383" s="24"/>
    </row>
    <row r="384" spans="2:39" hidden="1" x14ac:dyDescent="0.2">
      <c r="B384" s="50">
        <v>43687</v>
      </c>
      <c r="C384" s="35">
        <v>0.43958333333333338</v>
      </c>
      <c r="D384" s="35"/>
      <c r="E384" s="35" t="s">
        <v>111</v>
      </c>
      <c r="F384" s="37">
        <v>2</v>
      </c>
      <c r="G384" s="42" t="str">
        <f>VLOOKUP(F384,Key!$A$17:$B$21,2,FALSE)</f>
        <v>Road Vehicle</v>
      </c>
      <c r="H384" s="36">
        <v>3</v>
      </c>
      <c r="I384" s="43" t="str">
        <f>VLOOKUP(H384,Key!$A$2:$B$13,2,FALSE)</f>
        <v>Pickups</v>
      </c>
      <c r="J384" s="37" t="s">
        <v>123</v>
      </c>
      <c r="K384" s="37">
        <v>3</v>
      </c>
      <c r="L384" s="45" t="str">
        <f>VLOOKUP(K384,Key!$A$24:$B$29,2,FALSE)</f>
        <v>40-49</v>
      </c>
      <c r="M384" s="37" t="s">
        <v>203</v>
      </c>
      <c r="N384" s="32" t="s">
        <v>167</v>
      </c>
      <c r="O384" s="37" t="s">
        <v>168</v>
      </c>
      <c r="P384" s="39">
        <v>2</v>
      </c>
      <c r="Q384" s="34" t="str">
        <f>VLOOKUP(P384,Key!$E$2:$F$9,2,FALSE)</f>
        <v>Work</v>
      </c>
      <c r="R384" s="37" t="s">
        <v>189</v>
      </c>
      <c r="S384" s="32" t="s">
        <v>190</v>
      </c>
      <c r="T384" s="37" t="s">
        <v>168</v>
      </c>
      <c r="U384" s="32">
        <v>2</v>
      </c>
      <c r="V384" s="34" t="str">
        <f>VLOOKUP(U384,Key!$E$2:$F$9,2,FALSE)</f>
        <v>Work</v>
      </c>
      <c r="W384" s="34" t="str">
        <f t="shared" si="9"/>
        <v>Work-Work</v>
      </c>
      <c r="X384" s="47">
        <v>25000</v>
      </c>
      <c r="Y384" s="38">
        <v>40</v>
      </c>
      <c r="Z384" s="38">
        <v>2</v>
      </c>
      <c r="AA384" s="32">
        <v>6</v>
      </c>
      <c r="AB384" s="34" t="str">
        <f>VLOOKUP(AA384,Key!$C$20:$D$29,2,FALSE)</f>
        <v>Businessman</v>
      </c>
      <c r="AC384" s="32">
        <v>5</v>
      </c>
      <c r="AD384" s="34" t="str">
        <f>VLOOKUP(AC384,Key!$E$20:$F$24,2,FALSE)</f>
        <v>&gt;1,000,000</v>
      </c>
      <c r="AE384" s="32">
        <v>1</v>
      </c>
      <c r="AF384" s="55">
        <v>1</v>
      </c>
      <c r="AG384" s="55">
        <v>2</v>
      </c>
      <c r="AH384" s="55">
        <v>1</v>
      </c>
      <c r="AI384" s="55">
        <v>2</v>
      </c>
      <c r="AJ384" s="39" t="s">
        <v>104</v>
      </c>
      <c r="AK384" s="40"/>
      <c r="AL384" s="24"/>
      <c r="AM384" s="24"/>
    </row>
    <row r="385" spans="1:39" hidden="1" x14ac:dyDescent="0.2">
      <c r="B385" s="50">
        <v>43687</v>
      </c>
      <c r="C385" s="35">
        <v>0.5625</v>
      </c>
      <c r="D385" s="35"/>
      <c r="E385" s="35" t="s">
        <v>111</v>
      </c>
      <c r="F385" s="37">
        <v>2</v>
      </c>
      <c r="G385" s="42" t="str">
        <f>VLOOKUP(F385,Key!$A$17:$B$21,2,FALSE)</f>
        <v>Road Vehicle</v>
      </c>
      <c r="H385" s="36">
        <v>3</v>
      </c>
      <c r="I385" s="43" t="str">
        <f>VLOOKUP(H385,Key!$A$2:$B$13,2,FALSE)</f>
        <v>Pickups</v>
      </c>
      <c r="J385" s="37" t="s">
        <v>123</v>
      </c>
      <c r="K385" s="37">
        <v>1</v>
      </c>
      <c r="L385" s="45" t="str">
        <f>VLOOKUP(K385,Key!$A$24:$B$29,2,FALSE)</f>
        <v>20-29</v>
      </c>
      <c r="M385" s="37" t="s">
        <v>211</v>
      </c>
      <c r="N385" s="32" t="s">
        <v>179</v>
      </c>
      <c r="O385" s="37" t="s">
        <v>168</v>
      </c>
      <c r="P385" s="39">
        <v>1</v>
      </c>
      <c r="Q385" s="34" t="str">
        <f>VLOOKUP(P385,Key!$E$2:$F$9,2,FALSE)</f>
        <v>Home</v>
      </c>
      <c r="R385" s="37" t="s">
        <v>259</v>
      </c>
      <c r="S385" s="32" t="s">
        <v>176</v>
      </c>
      <c r="T385" s="37" t="s">
        <v>168</v>
      </c>
      <c r="U385" s="32">
        <v>3</v>
      </c>
      <c r="V385" s="34" t="str">
        <f>VLOOKUP(U385,Key!$E$2:$F$9,2,FALSE)</f>
        <v>Study</v>
      </c>
      <c r="W385" s="34" t="str">
        <f t="shared" si="9"/>
        <v>Home-Study</v>
      </c>
      <c r="X385" s="47">
        <v>70000</v>
      </c>
      <c r="Y385" s="38">
        <v>40</v>
      </c>
      <c r="Z385" s="38">
        <v>3</v>
      </c>
      <c r="AA385" s="32">
        <v>5</v>
      </c>
      <c r="AB385" s="34" t="str">
        <f>VLOOKUP(AA385,Key!$C$20:$D$29,2,FALSE)</f>
        <v>Professional</v>
      </c>
      <c r="AC385" s="32">
        <v>3</v>
      </c>
      <c r="AD385" s="34" t="str">
        <f>VLOOKUP(AC385,Key!$E$20:$F$24,2,FALSE)</f>
        <v>500,000-750,000</v>
      </c>
      <c r="AE385" s="32">
        <v>1</v>
      </c>
      <c r="AF385" s="55">
        <v>1</v>
      </c>
      <c r="AG385" s="55">
        <v>1</v>
      </c>
      <c r="AH385" s="55">
        <v>1</v>
      </c>
      <c r="AI385" s="55">
        <v>1</v>
      </c>
      <c r="AJ385" s="39" t="s">
        <v>104</v>
      </c>
      <c r="AK385" s="40">
        <v>1000</v>
      </c>
      <c r="AL385" s="24"/>
      <c r="AM385" s="24"/>
    </row>
    <row r="386" spans="1:39" hidden="1" x14ac:dyDescent="0.2">
      <c r="B386" s="50">
        <v>43688</v>
      </c>
      <c r="C386" s="35">
        <v>0.40277777777777773</v>
      </c>
      <c r="D386" s="35"/>
      <c r="E386" s="35" t="s">
        <v>111</v>
      </c>
      <c r="F386" s="37">
        <v>2</v>
      </c>
      <c r="G386" s="42" t="str">
        <f>VLOOKUP(F386,Key!$A$17:$B$21,2,FALSE)</f>
        <v>Road Vehicle</v>
      </c>
      <c r="H386" s="36">
        <v>3</v>
      </c>
      <c r="I386" s="43" t="str">
        <f>VLOOKUP(H386,Key!$A$2:$B$13,2,FALSE)</f>
        <v>Pickups</v>
      </c>
      <c r="J386" s="37" t="s">
        <v>123</v>
      </c>
      <c r="K386" s="37">
        <v>3</v>
      </c>
      <c r="L386" s="45" t="str">
        <f>VLOOKUP(K386,Key!$A$24:$B$29,2,FALSE)</f>
        <v>40-49</v>
      </c>
      <c r="M386" s="37" t="s">
        <v>179</v>
      </c>
      <c r="N386" s="32" t="s">
        <v>179</v>
      </c>
      <c r="O386" s="37" t="s">
        <v>168</v>
      </c>
      <c r="P386" s="39">
        <v>1</v>
      </c>
      <c r="Q386" s="34" t="str">
        <f>VLOOKUP(P386,Key!$E$2:$F$9,2,FALSE)</f>
        <v>Home</v>
      </c>
      <c r="R386" s="37" t="s">
        <v>167</v>
      </c>
      <c r="S386" s="32" t="s">
        <v>167</v>
      </c>
      <c r="T386" s="37" t="s">
        <v>168</v>
      </c>
      <c r="U386" s="32">
        <v>6</v>
      </c>
      <c r="V386" s="34" t="str">
        <f>VLOOKUP(U386,Key!$E$2:$F$9,2,FALSE)</f>
        <v>Leisure/Social</v>
      </c>
      <c r="W386" s="34" t="str">
        <f t="shared" si="9"/>
        <v>Home-Leisure/Social</v>
      </c>
      <c r="X386" s="47">
        <v>30000</v>
      </c>
      <c r="Y386" s="38">
        <v>42</v>
      </c>
      <c r="Z386" s="38">
        <v>1</v>
      </c>
      <c r="AA386" s="32">
        <v>4</v>
      </c>
      <c r="AB386" s="34" t="str">
        <f>VLOOKUP(AA386,Key!$C$20:$D$29,2,FALSE)</f>
        <v>Office Worker</v>
      </c>
      <c r="AC386" s="32">
        <v>4</v>
      </c>
      <c r="AD386" s="34" t="str">
        <f>VLOOKUP(AC386,Key!$E$20:$F$24,2,FALSE)</f>
        <v>750,000-1,000,000</v>
      </c>
      <c r="AE386" s="32">
        <v>1</v>
      </c>
      <c r="AF386" s="55">
        <v>2</v>
      </c>
      <c r="AG386" s="55">
        <v>3</v>
      </c>
      <c r="AH386" s="55">
        <v>1</v>
      </c>
      <c r="AI386" s="55">
        <v>4</v>
      </c>
      <c r="AJ386" s="39" t="s">
        <v>104</v>
      </c>
      <c r="AK386" s="40">
        <v>3000</v>
      </c>
      <c r="AL386" s="24"/>
      <c r="AM386" s="24"/>
    </row>
    <row r="387" spans="1:39" hidden="1" x14ac:dyDescent="0.2">
      <c r="B387" s="50">
        <v>43688</v>
      </c>
      <c r="C387" s="35">
        <v>0.49305555555555558</v>
      </c>
      <c r="D387" s="35"/>
      <c r="E387" s="35" t="s">
        <v>111</v>
      </c>
      <c r="F387" s="37">
        <v>2</v>
      </c>
      <c r="G387" s="42" t="str">
        <f>VLOOKUP(F387,Key!$A$17:$B$21,2,FALSE)</f>
        <v>Road Vehicle</v>
      </c>
      <c r="H387" s="36">
        <v>3</v>
      </c>
      <c r="I387" s="43" t="str">
        <f>VLOOKUP(H387,Key!$A$2:$B$13,2,FALSE)</f>
        <v>Pickups</v>
      </c>
      <c r="J387" s="37" t="s">
        <v>123</v>
      </c>
      <c r="K387" s="37">
        <v>3</v>
      </c>
      <c r="L387" s="45" t="str">
        <f>VLOOKUP(K387,Key!$A$24:$B$29,2,FALSE)</f>
        <v>40-49</v>
      </c>
      <c r="M387" s="37" t="s">
        <v>239</v>
      </c>
      <c r="N387" s="32" t="s">
        <v>190</v>
      </c>
      <c r="O387" s="37" t="s">
        <v>168</v>
      </c>
      <c r="P387" s="39">
        <v>1</v>
      </c>
      <c r="Q387" s="34" t="str">
        <f>VLOOKUP(P387,Key!$E$2:$F$9,2,FALSE)</f>
        <v>Home</v>
      </c>
      <c r="R387" s="37" t="s">
        <v>203</v>
      </c>
      <c r="S387" s="32" t="s">
        <v>167</v>
      </c>
      <c r="T387" s="37" t="s">
        <v>168</v>
      </c>
      <c r="U387" s="32">
        <v>2</v>
      </c>
      <c r="V387" s="34" t="str">
        <f>VLOOKUP(U387,Key!$E$2:$F$9,2,FALSE)</f>
        <v>Work</v>
      </c>
      <c r="W387" s="34" t="str">
        <f t="shared" si="9"/>
        <v>Home-Work</v>
      </c>
      <c r="X387" s="47">
        <v>30000</v>
      </c>
      <c r="Y387" s="38">
        <v>50</v>
      </c>
      <c r="Z387" s="38">
        <v>1.5</v>
      </c>
      <c r="AA387" s="32">
        <v>6</v>
      </c>
      <c r="AB387" s="34" t="str">
        <f>VLOOKUP(AA387,Key!$C$20:$D$29,2,FALSE)</f>
        <v>Businessman</v>
      </c>
      <c r="AC387" s="32">
        <v>4</v>
      </c>
      <c r="AD387" s="34" t="str">
        <f>VLOOKUP(AC387,Key!$E$20:$F$24,2,FALSE)</f>
        <v>750,000-1,000,000</v>
      </c>
      <c r="AE387" s="32">
        <v>1</v>
      </c>
      <c r="AF387" s="55">
        <v>1</v>
      </c>
      <c r="AG387" s="55">
        <v>1</v>
      </c>
      <c r="AH387" s="55">
        <v>1</v>
      </c>
      <c r="AI387" s="55">
        <v>1</v>
      </c>
      <c r="AJ387" s="39" t="s">
        <v>104</v>
      </c>
      <c r="AK387" s="40">
        <v>2000</v>
      </c>
      <c r="AL387" s="24"/>
      <c r="AM387" s="24"/>
    </row>
    <row r="388" spans="1:39" hidden="1" x14ac:dyDescent="0.2">
      <c r="B388" s="50">
        <v>43688</v>
      </c>
      <c r="C388" s="35">
        <v>0.58750000000000002</v>
      </c>
      <c r="D388" s="35"/>
      <c r="E388" s="35" t="s">
        <v>111</v>
      </c>
      <c r="F388" s="37">
        <v>2</v>
      </c>
      <c r="G388" s="42" t="str">
        <f>VLOOKUP(F388,Key!$A$17:$B$21,2,FALSE)</f>
        <v>Road Vehicle</v>
      </c>
      <c r="H388" s="36">
        <v>3</v>
      </c>
      <c r="I388" s="43" t="str">
        <f>VLOOKUP(H388,Key!$A$2:$B$13,2,FALSE)</f>
        <v>Pickups</v>
      </c>
      <c r="J388" s="37" t="s">
        <v>123</v>
      </c>
      <c r="K388" s="37">
        <v>2</v>
      </c>
      <c r="L388" s="45" t="str">
        <f>VLOOKUP(K388,Key!$A$24:$B$29,2,FALSE)</f>
        <v>30-39</v>
      </c>
      <c r="M388" s="37" t="s">
        <v>217</v>
      </c>
      <c r="N388" s="32" t="s">
        <v>176</v>
      </c>
      <c r="O388" s="37" t="s">
        <v>168</v>
      </c>
      <c r="P388" s="39">
        <v>1</v>
      </c>
      <c r="Q388" s="34" t="str">
        <f>VLOOKUP(P388,Key!$E$2:$F$9,2,FALSE)</f>
        <v>Home</v>
      </c>
      <c r="R388" s="37" t="s">
        <v>261</v>
      </c>
      <c r="S388" s="32" t="s">
        <v>167</v>
      </c>
      <c r="T388" s="37" t="s">
        <v>168</v>
      </c>
      <c r="U388" s="32">
        <v>5</v>
      </c>
      <c r="V388" s="34" t="str">
        <f>VLOOKUP(U388,Key!$E$2:$F$9,2,FALSE)</f>
        <v>Tourism</v>
      </c>
      <c r="W388" s="34" t="str">
        <f t="shared" si="9"/>
        <v>Home-Tourism</v>
      </c>
      <c r="X388" s="47">
        <v>100000</v>
      </c>
      <c r="Y388" s="38">
        <v>50</v>
      </c>
      <c r="Z388" s="38">
        <v>2</v>
      </c>
      <c r="AA388" s="32">
        <v>6</v>
      </c>
      <c r="AB388" s="34" t="str">
        <f>VLOOKUP(AA388,Key!$C$20:$D$29,2,FALSE)</f>
        <v>Businessman</v>
      </c>
      <c r="AC388" s="32">
        <v>4</v>
      </c>
      <c r="AD388" s="34" t="str">
        <f>VLOOKUP(AC388,Key!$E$20:$F$24,2,FALSE)</f>
        <v>750,000-1,000,000</v>
      </c>
      <c r="AE388" s="32">
        <v>1</v>
      </c>
      <c r="AF388" s="55">
        <v>1</v>
      </c>
      <c r="AG388" s="55">
        <v>1</v>
      </c>
      <c r="AH388" s="55">
        <v>1</v>
      </c>
      <c r="AI388" s="55">
        <v>1</v>
      </c>
      <c r="AJ388" s="39" t="s">
        <v>104</v>
      </c>
      <c r="AK388" s="40">
        <v>5000</v>
      </c>
      <c r="AL388" s="24"/>
      <c r="AM388" s="24"/>
    </row>
    <row r="389" spans="1:39" hidden="1" x14ac:dyDescent="0.2">
      <c r="B389" s="50">
        <v>43688</v>
      </c>
      <c r="C389" s="35">
        <v>0.74444444444444446</v>
      </c>
      <c r="D389" s="35"/>
      <c r="E389" s="35" t="s">
        <v>111</v>
      </c>
      <c r="F389" s="37">
        <v>2</v>
      </c>
      <c r="G389" s="42" t="str">
        <f>VLOOKUP(F389,Key!$A$17:$B$21,2,FALSE)</f>
        <v>Road Vehicle</v>
      </c>
      <c r="H389" s="36">
        <v>3</v>
      </c>
      <c r="I389" s="43" t="str">
        <f>VLOOKUP(H389,Key!$A$2:$B$13,2,FALSE)</f>
        <v>Pickups</v>
      </c>
      <c r="J389" s="37" t="s">
        <v>123</v>
      </c>
      <c r="K389" s="37">
        <v>3</v>
      </c>
      <c r="L389" s="45" t="str">
        <f>VLOOKUP(K389,Key!$A$24:$B$29,2,FALSE)</f>
        <v>40-49</v>
      </c>
      <c r="M389" s="37" t="s">
        <v>208</v>
      </c>
      <c r="N389" s="32" t="s">
        <v>167</v>
      </c>
      <c r="O389" s="37" t="s">
        <v>168</v>
      </c>
      <c r="P389" s="39">
        <v>1</v>
      </c>
      <c r="Q389" s="34" t="str">
        <f>VLOOKUP(P389,Key!$E$2:$F$9,2,FALSE)</f>
        <v>Home</v>
      </c>
      <c r="R389" s="37" t="s">
        <v>279</v>
      </c>
      <c r="S389" s="32" t="s">
        <v>190</v>
      </c>
      <c r="T389" s="37" t="s">
        <v>168</v>
      </c>
      <c r="U389" s="32">
        <v>2</v>
      </c>
      <c r="V389" s="34" t="str">
        <f>VLOOKUP(U389,Key!$E$2:$F$9,2,FALSE)</f>
        <v>Work</v>
      </c>
      <c r="W389" s="34" t="str">
        <f t="shared" si="9"/>
        <v>Home-Work</v>
      </c>
      <c r="X389" s="47">
        <v>25000</v>
      </c>
      <c r="Y389" s="38">
        <v>50</v>
      </c>
      <c r="Z389" s="38">
        <v>2</v>
      </c>
      <c r="AA389" s="32">
        <v>7</v>
      </c>
      <c r="AB389" s="34" t="str">
        <f>VLOOKUP(AA389,Key!$C$20:$D$29,2,FALSE)</f>
        <v>Farmer</v>
      </c>
      <c r="AC389" s="32">
        <v>3</v>
      </c>
      <c r="AD389" s="34" t="str">
        <f>VLOOKUP(AC389,Key!$E$20:$F$24,2,FALSE)</f>
        <v>500,000-750,000</v>
      </c>
      <c r="AE389" s="32">
        <v>1</v>
      </c>
      <c r="AF389" s="55">
        <v>1</v>
      </c>
      <c r="AG389" s="55">
        <v>1</v>
      </c>
      <c r="AH389" s="55">
        <v>1</v>
      </c>
      <c r="AI389" s="55">
        <v>1</v>
      </c>
      <c r="AJ389" s="39" t="s">
        <v>104</v>
      </c>
      <c r="AK389" s="40">
        <v>1000</v>
      </c>
      <c r="AL389" s="24"/>
      <c r="AM389" s="24"/>
    </row>
    <row r="390" spans="1:39" hidden="1" x14ac:dyDescent="0.2">
      <c r="B390" s="50">
        <v>43686</v>
      </c>
      <c r="C390" s="35">
        <v>0.69374999999999998</v>
      </c>
      <c r="D390" s="35"/>
      <c r="E390" s="35" t="s">
        <v>111</v>
      </c>
      <c r="F390" s="37">
        <v>2</v>
      </c>
      <c r="G390" s="42" t="str">
        <f>VLOOKUP(F390,Key!$A$17:$B$21,2,FALSE)</f>
        <v>Road Vehicle</v>
      </c>
      <c r="H390" s="36">
        <v>3</v>
      </c>
      <c r="I390" s="43" t="str">
        <f>VLOOKUP(H390,Key!$A$2:$B$13,2,FALSE)</f>
        <v>Pickups</v>
      </c>
      <c r="J390" s="37" t="s">
        <v>123</v>
      </c>
      <c r="K390" s="37">
        <v>5</v>
      </c>
      <c r="L390" s="45" t="str">
        <f>VLOOKUP(K390,Key!$A$24:$B$29,2,FALSE)</f>
        <v>60-69</v>
      </c>
      <c r="M390" s="37" t="s">
        <v>239</v>
      </c>
      <c r="N390" s="32" t="s">
        <v>190</v>
      </c>
      <c r="O390" s="37" t="s">
        <v>168</v>
      </c>
      <c r="P390" s="39">
        <v>1</v>
      </c>
      <c r="Q390" s="34" t="str">
        <f>VLOOKUP(P390,Key!$E$2:$F$9,2,FALSE)</f>
        <v>Home</v>
      </c>
      <c r="R390" s="37" t="s">
        <v>216</v>
      </c>
      <c r="S390" s="32" t="s">
        <v>167</v>
      </c>
      <c r="T390" s="37" t="s">
        <v>168</v>
      </c>
      <c r="U390" s="32">
        <v>2</v>
      </c>
      <c r="V390" s="34" t="str">
        <f>VLOOKUP(U390,Key!$E$2:$F$9,2,FALSE)</f>
        <v>Work</v>
      </c>
      <c r="W390" s="34" t="str">
        <f t="shared" si="9"/>
        <v>Home-Work</v>
      </c>
      <c r="X390" s="47">
        <v>20000</v>
      </c>
      <c r="Y390" s="38">
        <v>50</v>
      </c>
      <c r="Z390" s="38">
        <v>2</v>
      </c>
      <c r="AA390" s="32">
        <v>6</v>
      </c>
      <c r="AB390" s="34" t="str">
        <f>VLOOKUP(AA390,Key!$C$20:$D$29,2,FALSE)</f>
        <v>Businessman</v>
      </c>
      <c r="AC390" s="32">
        <v>3</v>
      </c>
      <c r="AD390" s="34" t="str">
        <f>VLOOKUP(AC390,Key!$E$20:$F$24,2,FALSE)</f>
        <v>500,000-750,000</v>
      </c>
      <c r="AE390" s="32">
        <v>1</v>
      </c>
      <c r="AF390" s="55">
        <v>1</v>
      </c>
      <c r="AG390" s="55">
        <v>1</v>
      </c>
      <c r="AH390" s="55">
        <v>1</v>
      </c>
      <c r="AI390" s="55">
        <v>1</v>
      </c>
      <c r="AJ390" s="39" t="s">
        <v>104</v>
      </c>
      <c r="AK390" s="40">
        <v>2000</v>
      </c>
      <c r="AL390" s="24"/>
      <c r="AM390" s="24"/>
    </row>
    <row r="391" spans="1:39" hidden="1" x14ac:dyDescent="0.2">
      <c r="B391" s="50">
        <v>43686</v>
      </c>
      <c r="C391" s="35">
        <v>0.69374999999999998</v>
      </c>
      <c r="D391" s="35"/>
      <c r="E391" s="35" t="s">
        <v>111</v>
      </c>
      <c r="F391" s="37">
        <v>2</v>
      </c>
      <c r="G391" s="42" t="str">
        <f>VLOOKUP(F391,Key!$A$17:$B$21,2,FALSE)</f>
        <v>Road Vehicle</v>
      </c>
      <c r="H391" s="36">
        <v>3</v>
      </c>
      <c r="I391" s="43" t="str">
        <f>VLOOKUP(H391,Key!$A$2:$B$13,2,FALSE)</f>
        <v>Pickups</v>
      </c>
      <c r="J391" s="37" t="s">
        <v>123</v>
      </c>
      <c r="K391" s="37">
        <v>2</v>
      </c>
      <c r="L391" s="45" t="str">
        <f>VLOOKUP(K391,Key!$A$24:$B$29,2,FALSE)</f>
        <v>30-39</v>
      </c>
      <c r="M391" s="37" t="s">
        <v>190</v>
      </c>
      <c r="N391" s="32" t="s">
        <v>190</v>
      </c>
      <c r="O391" s="37" t="s">
        <v>168</v>
      </c>
      <c r="P391" s="39">
        <v>4</v>
      </c>
      <c r="Q391" s="34" t="str">
        <f>VLOOKUP(P391,Key!$E$2:$F$9,2,FALSE)</f>
        <v>Commercial</v>
      </c>
      <c r="R391" s="37" t="s">
        <v>270</v>
      </c>
      <c r="S391" s="32" t="s">
        <v>271</v>
      </c>
      <c r="T391" s="37" t="s">
        <v>168</v>
      </c>
      <c r="U391" s="32">
        <v>1</v>
      </c>
      <c r="V391" s="34" t="str">
        <f>VLOOKUP(U391,Key!$E$2:$F$9,2,FALSE)</f>
        <v>Home</v>
      </c>
      <c r="W391" s="34" t="str">
        <f t="shared" si="9"/>
        <v>Commercial-Home</v>
      </c>
      <c r="X391" s="47">
        <v>100000</v>
      </c>
      <c r="Y391" s="38">
        <v>50</v>
      </c>
      <c r="Z391" s="38">
        <v>3</v>
      </c>
      <c r="AA391" s="32">
        <v>6</v>
      </c>
      <c r="AB391" s="34" t="str">
        <f>VLOOKUP(AA391,Key!$C$20:$D$29,2,FALSE)</f>
        <v>Businessman</v>
      </c>
      <c r="AC391" s="32">
        <v>2</v>
      </c>
      <c r="AD391" s="34" t="str">
        <f>VLOOKUP(AC391,Key!$E$20:$F$24,2,FALSE)</f>
        <v>300,000-500,000</v>
      </c>
      <c r="AE391" s="32">
        <v>1</v>
      </c>
      <c r="AF391" s="55">
        <v>1</v>
      </c>
      <c r="AG391" s="55">
        <v>1</v>
      </c>
      <c r="AH391" s="55">
        <v>1</v>
      </c>
      <c r="AI391" s="55">
        <v>1</v>
      </c>
      <c r="AJ391" s="39" t="s">
        <v>104</v>
      </c>
      <c r="AK391" s="40">
        <v>1000</v>
      </c>
      <c r="AL391" s="24"/>
      <c r="AM391" s="24"/>
    </row>
    <row r="392" spans="1:39" hidden="1" x14ac:dyDescent="0.2">
      <c r="B392" s="50">
        <v>43687</v>
      </c>
      <c r="C392" s="35">
        <v>0.4236111111111111</v>
      </c>
      <c r="D392" s="35"/>
      <c r="E392" s="35" t="s">
        <v>111</v>
      </c>
      <c r="F392" s="37">
        <v>2</v>
      </c>
      <c r="G392" s="42" t="str">
        <f>VLOOKUP(F392,Key!$A$17:$B$21,2,FALSE)</f>
        <v>Road Vehicle</v>
      </c>
      <c r="H392" s="36">
        <v>3</v>
      </c>
      <c r="I392" s="43" t="str">
        <f>VLOOKUP(H392,Key!$A$2:$B$13,2,FALSE)</f>
        <v>Pickups</v>
      </c>
      <c r="J392" s="37" t="s">
        <v>123</v>
      </c>
      <c r="K392" s="37">
        <v>3</v>
      </c>
      <c r="L392" s="45" t="str">
        <f>VLOOKUP(K392,Key!$A$24:$B$29,2,FALSE)</f>
        <v>40-49</v>
      </c>
      <c r="M392" s="37" t="s">
        <v>314</v>
      </c>
      <c r="N392" s="32" t="s">
        <v>179</v>
      </c>
      <c r="O392" s="37" t="s">
        <v>168</v>
      </c>
      <c r="P392" s="39">
        <v>2</v>
      </c>
      <c r="Q392" s="34" t="str">
        <f>VLOOKUP(P392,Key!$E$2:$F$9,2,FALSE)</f>
        <v>Work</v>
      </c>
      <c r="R392" s="37" t="s">
        <v>216</v>
      </c>
      <c r="S392" s="32" t="s">
        <v>167</v>
      </c>
      <c r="T392" s="37" t="s">
        <v>168</v>
      </c>
      <c r="U392" s="32">
        <v>4</v>
      </c>
      <c r="V392" s="34" t="str">
        <f>VLOOKUP(U392,Key!$E$2:$F$9,2,FALSE)</f>
        <v>Commercial</v>
      </c>
      <c r="W392" s="34" t="str">
        <f t="shared" si="9"/>
        <v>Work-Commercial</v>
      </c>
      <c r="X392" s="47">
        <v>30000</v>
      </c>
      <c r="Y392" s="38">
        <v>50</v>
      </c>
      <c r="Z392" s="38">
        <v>3</v>
      </c>
      <c r="AA392" s="32">
        <v>2</v>
      </c>
      <c r="AB392" s="34" t="str">
        <f>VLOOKUP(AA392,Key!$C$20:$D$29,2,FALSE)</f>
        <v>Manual Labour</v>
      </c>
      <c r="AC392" s="32">
        <v>3</v>
      </c>
      <c r="AD392" s="34" t="str">
        <f>VLOOKUP(AC392,Key!$E$20:$F$24,2,FALSE)</f>
        <v>500,000-750,000</v>
      </c>
      <c r="AE392" s="32">
        <v>1</v>
      </c>
      <c r="AF392" s="55">
        <v>1</v>
      </c>
      <c r="AG392" s="55">
        <v>2</v>
      </c>
      <c r="AH392" s="55">
        <v>1</v>
      </c>
      <c r="AI392" s="55">
        <v>3</v>
      </c>
      <c r="AJ392" s="39" t="s">
        <v>104</v>
      </c>
      <c r="AK392" s="40">
        <v>2000</v>
      </c>
      <c r="AL392" s="24"/>
      <c r="AM392" s="24"/>
    </row>
    <row r="393" spans="1:39" x14ac:dyDescent="0.2">
      <c r="B393" s="50">
        <v>43687</v>
      </c>
      <c r="C393" s="35">
        <v>0.51250000000000007</v>
      </c>
      <c r="D393" s="35"/>
      <c r="E393" s="35" t="s">
        <v>111</v>
      </c>
      <c r="F393" s="37">
        <v>2</v>
      </c>
      <c r="G393" s="42" t="str">
        <f>VLOOKUP(F393,Key!$A$17:$B$21,2,FALSE)</f>
        <v>Road Vehicle</v>
      </c>
      <c r="H393" s="36">
        <v>3</v>
      </c>
      <c r="I393" s="43" t="str">
        <f>VLOOKUP(H393,Key!$A$2:$B$13,2,FALSE)</f>
        <v>Pickups</v>
      </c>
      <c r="J393" s="37" t="s">
        <v>123</v>
      </c>
      <c r="K393" s="37">
        <v>1</v>
      </c>
      <c r="L393" s="45" t="str">
        <f>VLOOKUP(K393,Key!$A$24:$B$29,2,FALSE)</f>
        <v>20-29</v>
      </c>
      <c r="M393" s="37" t="s">
        <v>300</v>
      </c>
      <c r="N393" s="32" t="s">
        <v>300</v>
      </c>
      <c r="O393" s="37" t="s">
        <v>168</v>
      </c>
      <c r="P393" s="39">
        <v>1</v>
      </c>
      <c r="Q393" s="34" t="str">
        <f>VLOOKUP(P393,Key!$E$2:$F$9,2,FALSE)</f>
        <v>Home</v>
      </c>
      <c r="R393" s="37" t="s">
        <v>167</v>
      </c>
      <c r="S393" s="32" t="s">
        <v>167</v>
      </c>
      <c r="T393" s="37" t="s">
        <v>168</v>
      </c>
      <c r="U393" s="32">
        <v>2</v>
      </c>
      <c r="V393" s="34" t="str">
        <f>VLOOKUP(U393,Key!$E$2:$F$9,2,FALSE)</f>
        <v>Work</v>
      </c>
      <c r="W393" s="34" t="str">
        <f t="shared" si="9"/>
        <v>Home-Work</v>
      </c>
      <c r="X393" s="47">
        <v>80000</v>
      </c>
      <c r="Y393" s="38">
        <v>62</v>
      </c>
      <c r="Z393" s="38">
        <v>2</v>
      </c>
      <c r="AA393" s="32">
        <v>5</v>
      </c>
      <c r="AB393" s="34" t="str">
        <f>VLOOKUP(AA393,Key!$C$20:$D$29,2,FALSE)</f>
        <v>Professional</v>
      </c>
      <c r="AC393" s="32">
        <v>2</v>
      </c>
      <c r="AD393" s="34" t="str">
        <f>VLOOKUP(AC393,Key!$E$20:$F$24,2,FALSE)</f>
        <v>300,000-500,000</v>
      </c>
      <c r="AE393" s="32">
        <v>3</v>
      </c>
      <c r="AF393" s="55">
        <v>3</v>
      </c>
      <c r="AG393" s="55">
        <v>3</v>
      </c>
      <c r="AH393" s="55">
        <v>3</v>
      </c>
      <c r="AI393" s="55">
        <v>4</v>
      </c>
      <c r="AJ393" s="39" t="s">
        <v>104</v>
      </c>
      <c r="AK393" s="40">
        <v>2000</v>
      </c>
      <c r="AL393" s="24"/>
      <c r="AM393" s="24"/>
    </row>
    <row r="394" spans="1:39" x14ac:dyDescent="0.2">
      <c r="B394" s="50">
        <v>43688</v>
      </c>
      <c r="C394" s="35">
        <v>0.34513888888888888</v>
      </c>
      <c r="D394" s="35"/>
      <c r="E394" s="35" t="s">
        <v>111</v>
      </c>
      <c r="F394" s="37">
        <v>2</v>
      </c>
      <c r="G394" s="42" t="str">
        <f>VLOOKUP(F394,Key!$A$17:$B$21,2,FALSE)</f>
        <v>Road Vehicle</v>
      </c>
      <c r="H394" s="36">
        <v>3</v>
      </c>
      <c r="I394" s="43" t="str">
        <f>VLOOKUP(H394,Key!$A$2:$B$13,2,FALSE)</f>
        <v>Pickups</v>
      </c>
      <c r="J394" s="37" t="s">
        <v>123</v>
      </c>
      <c r="K394" s="37">
        <v>2</v>
      </c>
      <c r="L394" s="45" t="str">
        <f>VLOOKUP(K394,Key!$A$24:$B$29,2,FALSE)</f>
        <v>30-39</v>
      </c>
      <c r="M394" s="37" t="s">
        <v>176</v>
      </c>
      <c r="N394" s="32" t="s">
        <v>176</v>
      </c>
      <c r="O394" s="37" t="s">
        <v>168</v>
      </c>
      <c r="P394" s="39">
        <v>1</v>
      </c>
      <c r="Q394" s="34" t="str">
        <f>VLOOKUP(P394,Key!$E$2:$F$9,2,FALSE)</f>
        <v>Home</v>
      </c>
      <c r="R394" s="37" t="s">
        <v>167</v>
      </c>
      <c r="S394" s="32" t="s">
        <v>167</v>
      </c>
      <c r="T394" s="37" t="s">
        <v>168</v>
      </c>
      <c r="U394" s="32">
        <v>2</v>
      </c>
      <c r="V394" s="34" t="str">
        <f>VLOOKUP(U394,Key!$E$2:$F$9,2,FALSE)</f>
        <v>Work</v>
      </c>
      <c r="W394" s="34" t="str">
        <f t="shared" si="9"/>
        <v>Home-Work</v>
      </c>
      <c r="X394" s="47">
        <v>60000</v>
      </c>
      <c r="Y394" s="38">
        <v>80</v>
      </c>
      <c r="Z394" s="38">
        <v>3</v>
      </c>
      <c r="AA394" s="32">
        <v>10</v>
      </c>
      <c r="AB394" s="34" t="str">
        <f>VLOOKUP(AA394,Key!$C$20:$D$29,2,FALSE)</f>
        <v>Other</v>
      </c>
      <c r="AC394" s="32">
        <v>2</v>
      </c>
      <c r="AD394" s="34" t="str">
        <f>VLOOKUP(AC394,Key!$E$20:$F$24,2,FALSE)</f>
        <v>300,000-500,000</v>
      </c>
      <c r="AE394" s="32">
        <v>1</v>
      </c>
      <c r="AF394" s="55">
        <v>3</v>
      </c>
      <c r="AG394" s="55">
        <v>4</v>
      </c>
      <c r="AH394" s="55">
        <v>2</v>
      </c>
      <c r="AI394" s="55">
        <v>5</v>
      </c>
      <c r="AJ394" s="39" t="s">
        <v>104</v>
      </c>
      <c r="AK394" s="40">
        <v>2000</v>
      </c>
      <c r="AL394" s="24"/>
      <c r="AM394" s="24"/>
    </row>
    <row r="395" spans="1:39" x14ac:dyDescent="0.2">
      <c r="B395" s="50">
        <v>43688</v>
      </c>
      <c r="C395" s="35">
        <v>0.34930555555555554</v>
      </c>
      <c r="D395" s="35"/>
      <c r="E395" s="35" t="s">
        <v>111</v>
      </c>
      <c r="F395" s="37">
        <v>2</v>
      </c>
      <c r="G395" s="42" t="str">
        <f>VLOOKUP(F395,Key!$A$17:$B$21,2,FALSE)</f>
        <v>Road Vehicle</v>
      </c>
      <c r="H395" s="36">
        <v>3</v>
      </c>
      <c r="I395" s="43" t="str">
        <f>VLOOKUP(H395,Key!$A$2:$B$13,2,FALSE)</f>
        <v>Pickups</v>
      </c>
      <c r="J395" s="37" t="s">
        <v>123</v>
      </c>
      <c r="K395" s="37">
        <v>2</v>
      </c>
      <c r="L395" s="45" t="str">
        <f>VLOOKUP(K395,Key!$A$24:$B$29,2,FALSE)</f>
        <v>30-39</v>
      </c>
      <c r="M395" s="37" t="s">
        <v>330</v>
      </c>
      <c r="N395" s="32" t="s">
        <v>167</v>
      </c>
      <c r="O395" s="37" t="s">
        <v>168</v>
      </c>
      <c r="P395" s="39">
        <v>2</v>
      </c>
      <c r="Q395" s="34" t="str">
        <f>VLOOKUP(P395,Key!$E$2:$F$9,2,FALSE)</f>
        <v>Work</v>
      </c>
      <c r="R395" s="37" t="s">
        <v>176</v>
      </c>
      <c r="S395" s="32" t="s">
        <v>176</v>
      </c>
      <c r="T395" s="37" t="s">
        <v>168</v>
      </c>
      <c r="U395" s="32">
        <v>4</v>
      </c>
      <c r="V395" s="34" t="str">
        <f>VLOOKUP(U395,Key!$E$2:$F$9,2,FALSE)</f>
        <v>Commercial</v>
      </c>
      <c r="W395" s="34" t="str">
        <f t="shared" si="9"/>
        <v>Work-Commercial</v>
      </c>
      <c r="X395" s="47">
        <v>35000</v>
      </c>
      <c r="Y395" s="38">
        <v>80</v>
      </c>
      <c r="Z395" s="38">
        <v>3.5</v>
      </c>
      <c r="AA395" s="32">
        <v>6</v>
      </c>
      <c r="AB395" s="34" t="str">
        <f>VLOOKUP(AA395,Key!$C$20:$D$29,2,FALSE)</f>
        <v>Businessman</v>
      </c>
      <c r="AC395" s="32">
        <v>2</v>
      </c>
      <c r="AD395" s="34" t="str">
        <f>VLOOKUP(AC395,Key!$E$20:$F$24,2,FALSE)</f>
        <v>300,000-500,000</v>
      </c>
      <c r="AE395" s="32">
        <v>2</v>
      </c>
      <c r="AF395" s="55">
        <v>3</v>
      </c>
      <c r="AG395" s="55">
        <v>4</v>
      </c>
      <c r="AH395" s="55">
        <v>1</v>
      </c>
      <c r="AI395" s="55">
        <v>5</v>
      </c>
      <c r="AJ395" s="39" t="s">
        <v>104</v>
      </c>
      <c r="AK395" s="40">
        <v>10000</v>
      </c>
      <c r="AL395" s="24"/>
      <c r="AM395" s="24"/>
    </row>
    <row r="396" spans="1:39" x14ac:dyDescent="0.2">
      <c r="B396" s="50">
        <v>43688</v>
      </c>
      <c r="C396" s="35">
        <v>0.3659722222222222</v>
      </c>
      <c r="D396" s="35"/>
      <c r="E396" s="35" t="s">
        <v>111</v>
      </c>
      <c r="F396" s="37">
        <v>2</v>
      </c>
      <c r="G396" s="42" t="str">
        <f>VLOOKUP(F396,Key!$A$17:$B$21,2,FALSE)</f>
        <v>Road Vehicle</v>
      </c>
      <c r="H396" s="36">
        <v>3</v>
      </c>
      <c r="I396" s="43" t="str">
        <f>VLOOKUP(H396,Key!$A$2:$B$13,2,FALSE)</f>
        <v>Pickups</v>
      </c>
      <c r="J396" s="37" t="s">
        <v>123</v>
      </c>
      <c r="K396" s="13">
        <v>2</v>
      </c>
      <c r="L396" s="45" t="str">
        <f>VLOOKUP(K396,Key!$A$24:$B$29,2,FALSE)</f>
        <v>30-39</v>
      </c>
      <c r="M396" s="44" t="s">
        <v>180</v>
      </c>
      <c r="N396" s="32" t="s">
        <v>176</v>
      </c>
      <c r="O396" s="37" t="s">
        <v>168</v>
      </c>
      <c r="P396" s="39">
        <v>1</v>
      </c>
      <c r="Q396" s="34" t="str">
        <f>VLOOKUP(P396,Key!$E$2:$F$9,2,FALSE)</f>
        <v>Home</v>
      </c>
      <c r="R396" s="37" t="s">
        <v>167</v>
      </c>
      <c r="S396" s="32" t="s">
        <v>167</v>
      </c>
      <c r="T396" s="37" t="s">
        <v>168</v>
      </c>
      <c r="U396" s="32">
        <v>6</v>
      </c>
      <c r="V396" s="34" t="str">
        <f>VLOOKUP(U396,Key!$E$2:$F$9,2,FALSE)</f>
        <v>Leisure/Social</v>
      </c>
      <c r="W396" s="34" t="str">
        <f t="shared" si="9"/>
        <v>Home-Leisure/Social</v>
      </c>
      <c r="X396" s="47">
        <v>70000</v>
      </c>
      <c r="Y396" s="38">
        <v>86</v>
      </c>
      <c r="Z396" s="38">
        <v>4</v>
      </c>
      <c r="AA396" s="32">
        <v>5</v>
      </c>
      <c r="AB396" s="34" t="str">
        <f>VLOOKUP(AA396,Key!$C$20:$D$29,2,FALSE)</f>
        <v>Professional</v>
      </c>
      <c r="AC396" s="32">
        <v>4</v>
      </c>
      <c r="AD396" s="34" t="str">
        <f>VLOOKUP(AC396,Key!$E$20:$F$24,2,FALSE)</f>
        <v>750,000-1,000,000</v>
      </c>
      <c r="AE396" s="32">
        <v>2</v>
      </c>
      <c r="AF396" s="55">
        <v>2</v>
      </c>
      <c r="AG396" s="55">
        <v>3</v>
      </c>
      <c r="AH396" s="55">
        <v>1</v>
      </c>
      <c r="AI396" s="55">
        <v>4</v>
      </c>
      <c r="AJ396" s="39" t="s">
        <v>104</v>
      </c>
      <c r="AK396" s="40">
        <v>10000</v>
      </c>
      <c r="AL396" s="24"/>
      <c r="AM396" s="24"/>
    </row>
    <row r="397" spans="1:39" x14ac:dyDescent="0.2">
      <c r="B397" s="50">
        <v>43690</v>
      </c>
      <c r="C397" s="35">
        <v>0.39583333333333331</v>
      </c>
      <c r="D397" s="35"/>
      <c r="E397" s="35" t="s">
        <v>111</v>
      </c>
      <c r="F397" s="37">
        <v>2</v>
      </c>
      <c r="G397" s="42" t="str">
        <f>VLOOKUP(F397,Key!$A$17:$B$21,2,FALSE)</f>
        <v>Road Vehicle</v>
      </c>
      <c r="H397" s="36">
        <v>3</v>
      </c>
      <c r="I397" s="43" t="str">
        <f>VLOOKUP(H397,Key!$A$2:$B$13,2,FALSE)</f>
        <v>Pickups</v>
      </c>
      <c r="J397" s="37" t="s">
        <v>123</v>
      </c>
      <c r="K397" s="37">
        <v>2</v>
      </c>
      <c r="L397" s="45" t="str">
        <f>VLOOKUP(K397,Key!$A$24:$B$29,2,FALSE)</f>
        <v>30-39</v>
      </c>
      <c r="M397" s="37" t="s">
        <v>208</v>
      </c>
      <c r="N397" s="32" t="s">
        <v>167</v>
      </c>
      <c r="O397" s="37" t="s">
        <v>168</v>
      </c>
      <c r="P397" s="39">
        <v>1</v>
      </c>
      <c r="Q397" s="34" t="str">
        <f>VLOOKUP(P397,Key!$E$2:$F$9,2,FALSE)</f>
        <v>Home</v>
      </c>
      <c r="R397" s="37" t="s">
        <v>279</v>
      </c>
      <c r="S397" s="32" t="s">
        <v>190</v>
      </c>
      <c r="T397" s="37" t="s">
        <v>168</v>
      </c>
      <c r="U397" s="32">
        <v>2</v>
      </c>
      <c r="V397" s="34" t="str">
        <f>VLOOKUP(U397,Key!$E$2:$F$9,2,FALSE)</f>
        <v>Work</v>
      </c>
      <c r="W397" s="34" t="str">
        <f t="shared" si="9"/>
        <v>Home-Work</v>
      </c>
      <c r="X397" s="47">
        <v>50000</v>
      </c>
      <c r="Y397" s="38">
        <v>90</v>
      </c>
      <c r="Z397" s="38">
        <v>3</v>
      </c>
      <c r="AA397" s="32">
        <v>6</v>
      </c>
      <c r="AB397" s="34" t="str">
        <f>VLOOKUP(AA397,Key!$C$20:$D$29,2,FALSE)</f>
        <v>Businessman</v>
      </c>
      <c r="AC397" s="32">
        <v>4</v>
      </c>
      <c r="AD397" s="34" t="str">
        <f>VLOOKUP(AC397,Key!$E$20:$F$24,2,FALSE)</f>
        <v>750,000-1,000,000</v>
      </c>
      <c r="AE397" s="32">
        <v>1</v>
      </c>
      <c r="AF397" s="55">
        <v>1</v>
      </c>
      <c r="AG397" s="55">
        <v>1</v>
      </c>
      <c r="AH397" s="55">
        <v>1</v>
      </c>
      <c r="AI397" s="55">
        <v>1</v>
      </c>
      <c r="AJ397" s="39" t="s">
        <v>104</v>
      </c>
      <c r="AK397" s="40">
        <v>2000</v>
      </c>
      <c r="AL397" s="24"/>
      <c r="AM397" s="24"/>
    </row>
    <row r="398" spans="1:39" x14ac:dyDescent="0.2">
      <c r="B398" s="50">
        <v>43690</v>
      </c>
      <c r="C398" s="35">
        <v>0.60902777777777783</v>
      </c>
      <c r="D398" s="35"/>
      <c r="E398" s="35" t="s">
        <v>111</v>
      </c>
      <c r="F398" s="37">
        <v>2</v>
      </c>
      <c r="G398" s="42" t="str">
        <f>VLOOKUP(F398,Key!$A$17:$B$21,2,FALSE)</f>
        <v>Road Vehicle</v>
      </c>
      <c r="H398" s="36">
        <v>3</v>
      </c>
      <c r="I398" s="43" t="str">
        <f>VLOOKUP(H398,Key!$A$2:$B$13,2,FALSE)</f>
        <v>Pickups</v>
      </c>
      <c r="J398" s="37" t="s">
        <v>123</v>
      </c>
      <c r="K398" s="37">
        <v>2</v>
      </c>
      <c r="L398" s="45" t="str">
        <f>VLOOKUP(K398,Key!$A$24:$B$29,2,FALSE)</f>
        <v>30-39</v>
      </c>
      <c r="M398" s="37" t="s">
        <v>316</v>
      </c>
      <c r="N398" s="32" t="s">
        <v>176</v>
      </c>
      <c r="O398" s="37" t="s">
        <v>168</v>
      </c>
      <c r="P398" s="39">
        <v>2</v>
      </c>
      <c r="Q398" s="34" t="str">
        <f>VLOOKUP(P398,Key!$E$2:$F$9,2,FALSE)</f>
        <v>Work</v>
      </c>
      <c r="R398" s="37" t="s">
        <v>223</v>
      </c>
      <c r="S398" s="32" t="s">
        <v>179</v>
      </c>
      <c r="T398" s="37" t="s">
        <v>168</v>
      </c>
      <c r="U398" s="32">
        <v>3</v>
      </c>
      <c r="V398" s="34" t="str">
        <f>VLOOKUP(U398,Key!$E$2:$F$9,2,FALSE)</f>
        <v>Study</v>
      </c>
      <c r="W398" s="34" t="str">
        <f t="shared" si="9"/>
        <v>Work-Study</v>
      </c>
      <c r="X398" s="47">
        <v>150000</v>
      </c>
      <c r="Y398" s="38">
        <v>100</v>
      </c>
      <c r="Z398" s="38">
        <v>5</v>
      </c>
      <c r="AA398" s="32">
        <v>6</v>
      </c>
      <c r="AB398" s="34" t="str">
        <f>VLOOKUP(AA398,Key!$C$20:$D$29,2,FALSE)</f>
        <v>Businessman</v>
      </c>
      <c r="AC398" s="32">
        <v>2</v>
      </c>
      <c r="AD398" s="34" t="str">
        <f>VLOOKUP(AC398,Key!$E$20:$F$24,2,FALSE)</f>
        <v>300,000-500,000</v>
      </c>
      <c r="AE398" s="32">
        <v>1</v>
      </c>
      <c r="AF398" s="55">
        <v>1</v>
      </c>
      <c r="AG398" s="55">
        <v>1</v>
      </c>
      <c r="AH398" s="55">
        <v>1</v>
      </c>
      <c r="AI398" s="55">
        <v>1</v>
      </c>
      <c r="AJ398" s="39" t="s">
        <v>104</v>
      </c>
      <c r="AK398" s="40">
        <v>2000</v>
      </c>
      <c r="AL398" s="24"/>
      <c r="AM398" s="24"/>
    </row>
    <row r="399" spans="1:39" x14ac:dyDescent="0.2">
      <c r="A399" s="19"/>
      <c r="B399" s="50">
        <v>43687</v>
      </c>
      <c r="C399" s="35">
        <v>0.54027777777777775</v>
      </c>
      <c r="D399" s="35"/>
      <c r="E399" s="35" t="s">
        <v>111</v>
      </c>
      <c r="F399" s="37">
        <v>2</v>
      </c>
      <c r="G399" s="42" t="str">
        <f>VLOOKUP(F399,Key!$A$17:$B$21,2,FALSE)</f>
        <v>Road Vehicle</v>
      </c>
      <c r="H399" s="36">
        <v>3</v>
      </c>
      <c r="I399" s="43" t="str">
        <f>VLOOKUP(H399,Key!$A$2:$B$13,2,FALSE)</f>
        <v>Pickups</v>
      </c>
      <c r="J399" s="37" t="s">
        <v>123</v>
      </c>
      <c r="K399" s="37">
        <v>3</v>
      </c>
      <c r="L399" s="45" t="str">
        <f>VLOOKUP(K399,Key!$A$24:$B$29,2,FALSE)</f>
        <v>40-49</v>
      </c>
      <c r="M399" s="37" t="s">
        <v>298</v>
      </c>
      <c r="N399" s="32" t="s">
        <v>240</v>
      </c>
      <c r="O399" s="37" t="s">
        <v>168</v>
      </c>
      <c r="P399" s="39">
        <v>1</v>
      </c>
      <c r="Q399" s="34" t="str">
        <f>VLOOKUP(P399,Key!$E$2:$F$9,2,FALSE)</f>
        <v>Home</v>
      </c>
      <c r="R399" s="37" t="s">
        <v>216</v>
      </c>
      <c r="S399" s="32" t="s">
        <v>167</v>
      </c>
      <c r="T399" s="37" t="s">
        <v>168</v>
      </c>
      <c r="U399" s="32">
        <v>2</v>
      </c>
      <c r="V399" s="34" t="str">
        <f>VLOOKUP(U399,Key!$E$2:$F$9,2,FALSE)</f>
        <v>Work</v>
      </c>
      <c r="W399" s="34" t="str">
        <f t="shared" si="9"/>
        <v>Home-Work</v>
      </c>
      <c r="X399" s="47">
        <v>50000</v>
      </c>
      <c r="Y399" s="38">
        <v>70</v>
      </c>
      <c r="Z399" s="38">
        <v>2</v>
      </c>
      <c r="AA399" s="32">
        <v>7</v>
      </c>
      <c r="AB399" s="34" t="str">
        <f>VLOOKUP(AA399,Key!$C$20:$D$29,2,FALSE)</f>
        <v>Farmer</v>
      </c>
      <c r="AC399" s="32">
        <v>3</v>
      </c>
      <c r="AD399" s="34" t="str">
        <f>VLOOKUP(AC399,Key!$E$20:$F$24,2,FALSE)</f>
        <v>500,000-750,000</v>
      </c>
      <c r="AE399" s="32">
        <v>1</v>
      </c>
      <c r="AF399" s="55">
        <v>1</v>
      </c>
      <c r="AG399" s="55">
        <v>1</v>
      </c>
      <c r="AH399" s="55">
        <v>1</v>
      </c>
      <c r="AI399" s="55">
        <v>1</v>
      </c>
      <c r="AJ399" s="39" t="s">
        <v>104</v>
      </c>
      <c r="AK399" s="40">
        <v>2000</v>
      </c>
      <c r="AL399" s="24"/>
      <c r="AM399" s="24"/>
    </row>
    <row r="400" spans="1:39" x14ac:dyDescent="0.2">
      <c r="B400" s="50">
        <v>43686</v>
      </c>
      <c r="C400" s="35">
        <v>0.63194444444444442</v>
      </c>
      <c r="D400" s="35"/>
      <c r="E400" s="35" t="s">
        <v>111</v>
      </c>
      <c r="F400" s="37">
        <v>2</v>
      </c>
      <c r="G400" s="42" t="str">
        <f>VLOOKUP(F400,Key!$A$17:$B$21,2,FALSE)</f>
        <v>Road Vehicle</v>
      </c>
      <c r="H400" s="36">
        <v>3</v>
      </c>
      <c r="I400" s="43" t="str">
        <f>VLOOKUP(H400,Key!$A$2:$B$13,2,FALSE)</f>
        <v>Pickups</v>
      </c>
      <c r="J400" s="37" t="s">
        <v>123</v>
      </c>
      <c r="K400" s="37">
        <v>3</v>
      </c>
      <c r="L400" s="45" t="str">
        <f>VLOOKUP(K400,Key!$A$24:$B$29,2,FALSE)</f>
        <v>40-49</v>
      </c>
      <c r="M400" s="37" t="s">
        <v>276</v>
      </c>
      <c r="N400" s="32" t="s">
        <v>167</v>
      </c>
      <c r="O400" s="37" t="s">
        <v>168</v>
      </c>
      <c r="P400" s="39">
        <v>1</v>
      </c>
      <c r="Q400" s="34" t="str">
        <f>VLOOKUP(P400,Key!$E$2:$F$9,2,FALSE)</f>
        <v>Home</v>
      </c>
      <c r="R400" s="37" t="s">
        <v>173</v>
      </c>
      <c r="S400" s="32" t="s">
        <v>173</v>
      </c>
      <c r="T400" s="37" t="s">
        <v>168</v>
      </c>
      <c r="U400" s="32">
        <v>4</v>
      </c>
      <c r="V400" s="34" t="str">
        <f>VLOOKUP(U400,Key!$E$2:$F$9,2,FALSE)</f>
        <v>Commercial</v>
      </c>
      <c r="W400" s="34" t="str">
        <f t="shared" si="9"/>
        <v>Home-Commercial</v>
      </c>
      <c r="X400" s="47">
        <v>40000</v>
      </c>
      <c r="Y400" s="38">
        <v>70</v>
      </c>
      <c r="Z400" s="38">
        <v>2</v>
      </c>
      <c r="AA400" s="32">
        <v>6</v>
      </c>
      <c r="AB400" s="34" t="str">
        <f>VLOOKUP(AA400,Key!$C$20:$D$29,2,FALSE)</f>
        <v>Businessman</v>
      </c>
      <c r="AC400" s="32">
        <v>2</v>
      </c>
      <c r="AD400" s="34" t="str">
        <f>VLOOKUP(AC400,Key!$E$20:$F$24,2,FALSE)</f>
        <v>300,000-500,000</v>
      </c>
      <c r="AE400" s="32">
        <v>1</v>
      </c>
      <c r="AF400" s="55">
        <v>1</v>
      </c>
      <c r="AG400" s="55">
        <v>1</v>
      </c>
      <c r="AH400" s="55">
        <v>1</v>
      </c>
      <c r="AI400" s="55">
        <v>1</v>
      </c>
      <c r="AJ400" s="39" t="s">
        <v>104</v>
      </c>
      <c r="AK400" s="40"/>
      <c r="AL400" s="24"/>
      <c r="AM400" s="24"/>
    </row>
    <row r="401" spans="2:39" x14ac:dyDescent="0.2">
      <c r="B401" s="50">
        <v>43688</v>
      </c>
      <c r="C401" s="35">
        <v>0.33680555555555558</v>
      </c>
      <c r="D401" s="35"/>
      <c r="E401" s="35" t="s">
        <v>111</v>
      </c>
      <c r="F401" s="37">
        <v>2</v>
      </c>
      <c r="G401" s="42" t="str">
        <f>VLOOKUP(F401,Key!$A$17:$B$21,2,FALSE)</f>
        <v>Road Vehicle</v>
      </c>
      <c r="H401" s="36">
        <v>3</v>
      </c>
      <c r="I401" s="43" t="str">
        <f>VLOOKUP(H401,Key!$A$2:$B$13,2,FALSE)</f>
        <v>Pickups</v>
      </c>
      <c r="J401" s="37" t="s">
        <v>123</v>
      </c>
      <c r="K401" s="37">
        <v>3</v>
      </c>
      <c r="L401" s="45" t="str">
        <f>VLOOKUP(K401,Key!$A$24:$B$29,2,FALSE)</f>
        <v>40-49</v>
      </c>
      <c r="M401" s="37" t="s">
        <v>216</v>
      </c>
      <c r="N401" s="32" t="s">
        <v>167</v>
      </c>
      <c r="O401" s="37" t="s">
        <v>168</v>
      </c>
      <c r="P401" s="39">
        <v>2</v>
      </c>
      <c r="Q401" s="34" t="str">
        <f>VLOOKUP(P401,Key!$E$2:$F$9,2,FALSE)</f>
        <v>Work</v>
      </c>
      <c r="R401" s="37" t="s">
        <v>201</v>
      </c>
      <c r="S401" s="32" t="s">
        <v>176</v>
      </c>
      <c r="T401" s="37" t="s">
        <v>168</v>
      </c>
      <c r="U401" s="32">
        <v>2</v>
      </c>
      <c r="V401" s="34" t="str">
        <f>VLOOKUP(U401,Key!$E$2:$F$9,2,FALSE)</f>
        <v>Work</v>
      </c>
      <c r="W401" s="34" t="str">
        <f t="shared" si="9"/>
        <v>Work-Work</v>
      </c>
      <c r="X401" s="47">
        <v>40000</v>
      </c>
      <c r="Y401" s="38">
        <v>70</v>
      </c>
      <c r="Z401" s="38">
        <v>3</v>
      </c>
      <c r="AA401" s="32">
        <v>6</v>
      </c>
      <c r="AB401" s="34" t="str">
        <f>VLOOKUP(AA401,Key!$C$20:$D$29,2,FALSE)</f>
        <v>Businessman</v>
      </c>
      <c r="AC401" s="32">
        <v>3</v>
      </c>
      <c r="AD401" s="34" t="str">
        <f>VLOOKUP(AC401,Key!$E$20:$F$24,2,FALSE)</f>
        <v>500,000-750,000</v>
      </c>
      <c r="AE401" s="32">
        <v>1</v>
      </c>
      <c r="AF401" s="55">
        <v>1</v>
      </c>
      <c r="AG401" s="55">
        <v>2</v>
      </c>
      <c r="AH401" s="55">
        <v>1</v>
      </c>
      <c r="AI401" s="55">
        <v>3</v>
      </c>
      <c r="AJ401" s="39" t="s">
        <v>104</v>
      </c>
      <c r="AK401" s="40">
        <v>5000</v>
      </c>
      <c r="AL401" s="24"/>
      <c r="AM401" s="24"/>
    </row>
    <row r="402" spans="2:39" x14ac:dyDescent="0.2">
      <c r="B402" s="50">
        <v>43690</v>
      </c>
      <c r="C402" s="35">
        <v>0.40902777777777777</v>
      </c>
      <c r="D402" s="35"/>
      <c r="E402" s="35" t="s">
        <v>111</v>
      </c>
      <c r="F402" s="37">
        <v>2</v>
      </c>
      <c r="G402" s="42" t="str">
        <f>VLOOKUP(F402,Key!$A$17:$B$21,2,FALSE)</f>
        <v>Road Vehicle</v>
      </c>
      <c r="H402" s="36">
        <v>3</v>
      </c>
      <c r="I402" s="43" t="str">
        <f>VLOOKUP(H402,Key!$A$2:$B$13,2,FALSE)</f>
        <v>Pickups</v>
      </c>
      <c r="J402" s="37" t="s">
        <v>123</v>
      </c>
      <c r="K402" s="37">
        <v>3</v>
      </c>
      <c r="L402" s="45" t="str">
        <f>VLOOKUP(K402,Key!$A$24:$B$29,2,FALSE)</f>
        <v>40-49</v>
      </c>
      <c r="M402" s="37" t="s">
        <v>331</v>
      </c>
      <c r="N402" s="32" t="s">
        <v>167</v>
      </c>
      <c r="O402" s="37" t="s">
        <v>168</v>
      </c>
      <c r="P402" s="39">
        <v>1</v>
      </c>
      <c r="Q402" s="34" t="str">
        <f>VLOOKUP(P402,Key!$E$2:$F$9,2,FALSE)</f>
        <v>Home</v>
      </c>
      <c r="R402" s="37" t="s">
        <v>332</v>
      </c>
      <c r="S402" s="32" t="s">
        <v>176</v>
      </c>
      <c r="T402" s="37" t="s">
        <v>168</v>
      </c>
      <c r="U402" s="32">
        <v>4</v>
      </c>
      <c r="V402" s="34" t="str">
        <f>VLOOKUP(U402,Key!$E$2:$F$9,2,FALSE)</f>
        <v>Commercial</v>
      </c>
      <c r="W402" s="34" t="str">
        <f t="shared" si="9"/>
        <v>Home-Commercial</v>
      </c>
      <c r="X402" s="47">
        <v>50000</v>
      </c>
      <c r="Y402" s="38">
        <v>90</v>
      </c>
      <c r="Z402" s="38">
        <v>4</v>
      </c>
      <c r="AA402" s="32">
        <v>7</v>
      </c>
      <c r="AB402" s="34" t="str">
        <f>VLOOKUP(AA402,Key!$C$20:$D$29,2,FALSE)</f>
        <v>Farmer</v>
      </c>
      <c r="AC402" s="32">
        <v>5</v>
      </c>
      <c r="AD402" s="34" t="str">
        <f>VLOOKUP(AC402,Key!$E$20:$F$24,2,FALSE)</f>
        <v>&gt;1,000,000</v>
      </c>
      <c r="AE402" s="32">
        <v>1</v>
      </c>
      <c r="AF402" s="55">
        <v>1</v>
      </c>
      <c r="AG402" s="55">
        <v>1</v>
      </c>
      <c r="AH402" s="55">
        <v>1</v>
      </c>
      <c r="AI402" s="55">
        <v>1</v>
      </c>
      <c r="AJ402" s="39" t="s">
        <v>104</v>
      </c>
      <c r="AK402" s="40">
        <v>2000</v>
      </c>
      <c r="AL402" s="24"/>
      <c r="AM402" s="24"/>
    </row>
    <row r="403" spans="2:39" x14ac:dyDescent="0.2">
      <c r="B403" s="50">
        <v>43690</v>
      </c>
      <c r="C403" s="35">
        <v>0.58819444444444446</v>
      </c>
      <c r="D403" s="35"/>
      <c r="E403" s="35" t="s">
        <v>111</v>
      </c>
      <c r="F403" s="37">
        <v>2</v>
      </c>
      <c r="G403" s="42" t="str">
        <f>VLOOKUP(F403,Key!$A$17:$B$21,2,FALSE)</f>
        <v>Road Vehicle</v>
      </c>
      <c r="H403" s="36">
        <v>3</v>
      </c>
      <c r="I403" s="43" t="str">
        <f>VLOOKUP(H403,Key!$A$2:$B$13,2,FALSE)</f>
        <v>Pickups</v>
      </c>
      <c r="J403" s="37" t="s">
        <v>123</v>
      </c>
      <c r="K403" s="37">
        <v>3</v>
      </c>
      <c r="L403" s="45" t="str">
        <f>VLOOKUP(K403,Key!$A$24:$B$29,2,FALSE)</f>
        <v>40-49</v>
      </c>
      <c r="M403" s="37" t="s">
        <v>280</v>
      </c>
      <c r="N403" s="32" t="s">
        <v>190</v>
      </c>
      <c r="O403" s="37" t="s">
        <v>168</v>
      </c>
      <c r="P403" s="39">
        <v>1</v>
      </c>
      <c r="Q403" s="34" t="str">
        <f>VLOOKUP(P403,Key!$E$2:$F$9,2,FALSE)</f>
        <v>Home</v>
      </c>
      <c r="R403" s="37" t="s">
        <v>216</v>
      </c>
      <c r="S403" s="32" t="s">
        <v>167</v>
      </c>
      <c r="T403" s="37" t="s">
        <v>168</v>
      </c>
      <c r="U403" s="32">
        <v>2</v>
      </c>
      <c r="V403" s="34" t="str">
        <f>VLOOKUP(U403,Key!$E$2:$F$9,2,FALSE)</f>
        <v>Work</v>
      </c>
      <c r="W403" s="34" t="str">
        <f t="shared" si="9"/>
        <v>Home-Work</v>
      </c>
      <c r="X403" s="47">
        <v>50000</v>
      </c>
      <c r="Y403" s="38">
        <v>100</v>
      </c>
      <c r="Z403" s="38">
        <v>2</v>
      </c>
      <c r="AA403" s="32">
        <v>7</v>
      </c>
      <c r="AB403" s="34" t="str">
        <f>VLOOKUP(AA403,Key!$C$20:$D$29,2,FALSE)</f>
        <v>Farmer</v>
      </c>
      <c r="AC403" s="32">
        <v>3</v>
      </c>
      <c r="AD403" s="34" t="str">
        <f>VLOOKUP(AC403,Key!$E$20:$F$24,2,FALSE)</f>
        <v>500,000-750,000</v>
      </c>
      <c r="AE403" s="32">
        <v>1</v>
      </c>
      <c r="AF403" s="55">
        <v>1</v>
      </c>
      <c r="AG403" s="55">
        <v>1</v>
      </c>
      <c r="AH403" s="55">
        <v>1</v>
      </c>
      <c r="AI403" s="55">
        <v>1</v>
      </c>
      <c r="AJ403" s="39" t="s">
        <v>104</v>
      </c>
      <c r="AK403" s="40">
        <v>1000</v>
      </c>
      <c r="AL403" s="24"/>
      <c r="AM403" s="24"/>
    </row>
    <row r="404" spans="2:39" x14ac:dyDescent="0.2">
      <c r="B404" s="50">
        <v>43687</v>
      </c>
      <c r="C404" s="35">
        <v>0.4861111111111111</v>
      </c>
      <c r="D404" s="35"/>
      <c r="E404" s="35" t="s">
        <v>111</v>
      </c>
      <c r="F404" s="37">
        <v>2</v>
      </c>
      <c r="G404" s="42" t="str">
        <f>VLOOKUP(F404,Key!$A$17:$B$21,2,FALSE)</f>
        <v>Road Vehicle</v>
      </c>
      <c r="H404" s="36">
        <v>3</v>
      </c>
      <c r="I404" s="43" t="str">
        <f>VLOOKUP(H404,Key!$A$2:$B$13,2,FALSE)</f>
        <v>Pickups</v>
      </c>
      <c r="J404" s="37" t="s">
        <v>123</v>
      </c>
      <c r="K404" s="37">
        <v>4</v>
      </c>
      <c r="L404" s="45" t="str">
        <f>VLOOKUP(K404,Key!$A$24:$B$29,2,FALSE)</f>
        <v>50-59</v>
      </c>
      <c r="M404" s="37" t="s">
        <v>211</v>
      </c>
      <c r="N404" s="32" t="s">
        <v>167</v>
      </c>
      <c r="O404" s="37" t="s">
        <v>168</v>
      </c>
      <c r="P404" s="39">
        <v>1</v>
      </c>
      <c r="Q404" s="34" t="str">
        <f>VLOOKUP(P404,Key!$E$2:$F$9,2,FALSE)</f>
        <v>Home</v>
      </c>
      <c r="R404" s="37" t="s">
        <v>278</v>
      </c>
      <c r="S404" s="32" t="s">
        <v>190</v>
      </c>
      <c r="T404" s="37" t="s">
        <v>168</v>
      </c>
      <c r="U404" s="32">
        <v>4</v>
      </c>
      <c r="V404" s="34" t="str">
        <f>VLOOKUP(U404,Key!$E$2:$F$9,2,FALSE)</f>
        <v>Commercial</v>
      </c>
      <c r="W404" s="34" t="str">
        <f t="shared" si="9"/>
        <v>Home-Commercial</v>
      </c>
      <c r="X404" s="47">
        <v>20000</v>
      </c>
      <c r="Y404" s="38">
        <v>60</v>
      </c>
      <c r="Z404" s="38">
        <v>2</v>
      </c>
      <c r="AA404" s="32">
        <v>6</v>
      </c>
      <c r="AB404" s="34" t="str">
        <f>VLOOKUP(AA404,Key!$C$20:$D$29,2,FALSE)</f>
        <v>Businessman</v>
      </c>
      <c r="AC404" s="32">
        <v>4</v>
      </c>
      <c r="AD404" s="34" t="str">
        <f>VLOOKUP(AC404,Key!$E$20:$F$24,2,FALSE)</f>
        <v>750,000-1,000,000</v>
      </c>
      <c r="AE404" s="32">
        <v>1</v>
      </c>
      <c r="AF404" s="55">
        <v>1</v>
      </c>
      <c r="AG404" s="55">
        <v>1</v>
      </c>
      <c r="AH404" s="55">
        <v>1</v>
      </c>
      <c r="AI404" s="55">
        <v>1</v>
      </c>
      <c r="AJ404" s="39" t="s">
        <v>104</v>
      </c>
      <c r="AK404" s="40"/>
      <c r="AL404" s="24"/>
      <c r="AM404" s="24"/>
    </row>
    <row r="405" spans="2:39" x14ac:dyDescent="0.2">
      <c r="B405" s="50">
        <v>43690</v>
      </c>
      <c r="C405" s="35">
        <v>0.70694444444444438</v>
      </c>
      <c r="D405" s="35"/>
      <c r="E405" s="35" t="s">
        <v>111</v>
      </c>
      <c r="F405" s="37">
        <v>2</v>
      </c>
      <c r="G405" s="42" t="str">
        <f>VLOOKUP(F405,Key!$A$17:$B$21,2,FALSE)</f>
        <v>Road Vehicle</v>
      </c>
      <c r="H405" s="36">
        <v>3</v>
      </c>
      <c r="I405" s="43" t="str">
        <f>VLOOKUP(H405,Key!$A$2:$B$13,2,FALSE)</f>
        <v>Pickups</v>
      </c>
      <c r="J405" s="37" t="s">
        <v>123</v>
      </c>
      <c r="K405" s="37">
        <v>4</v>
      </c>
      <c r="L405" s="45" t="str">
        <f>VLOOKUP(K405,Key!$A$24:$B$29,2,FALSE)</f>
        <v>50-59</v>
      </c>
      <c r="M405" s="44" t="s">
        <v>224</v>
      </c>
      <c r="N405" s="44" t="s">
        <v>173</v>
      </c>
      <c r="O405" s="37" t="s">
        <v>168</v>
      </c>
      <c r="P405" s="39">
        <v>1</v>
      </c>
      <c r="Q405" s="34" t="str">
        <f>VLOOKUP(P405,Key!$E$2:$F$9,2,FALSE)</f>
        <v>Home</v>
      </c>
      <c r="R405" s="37" t="s">
        <v>217</v>
      </c>
      <c r="S405" s="32" t="s">
        <v>176</v>
      </c>
      <c r="T405" s="37" t="s">
        <v>168</v>
      </c>
      <c r="U405" s="32">
        <v>2</v>
      </c>
      <c r="V405" s="34" t="str">
        <f>VLOOKUP(U405,Key!$E$2:$F$9,2,FALSE)</f>
        <v>Work</v>
      </c>
      <c r="W405" s="34" t="str">
        <f t="shared" si="9"/>
        <v>Home-Work</v>
      </c>
      <c r="X405" s="47">
        <v>70000</v>
      </c>
      <c r="Y405" s="38">
        <v>100</v>
      </c>
      <c r="Z405" s="38">
        <v>4</v>
      </c>
      <c r="AA405" s="32">
        <v>6</v>
      </c>
      <c r="AB405" s="34" t="str">
        <f>VLOOKUP(AA405,Key!$C$20:$D$29,2,FALSE)</f>
        <v>Businessman</v>
      </c>
      <c r="AC405" s="32">
        <v>4</v>
      </c>
      <c r="AD405" s="34" t="str">
        <f>VLOOKUP(AC405,Key!$E$20:$F$24,2,FALSE)</f>
        <v>750,000-1,000,000</v>
      </c>
      <c r="AE405" s="32">
        <v>1</v>
      </c>
      <c r="AF405" s="55">
        <v>1</v>
      </c>
      <c r="AG405" s="55">
        <v>1</v>
      </c>
      <c r="AH405" s="55">
        <v>1</v>
      </c>
      <c r="AI405" s="55">
        <v>1</v>
      </c>
      <c r="AJ405" s="39" t="s">
        <v>104</v>
      </c>
      <c r="AK405" s="40">
        <v>2000</v>
      </c>
      <c r="AL405" s="24"/>
      <c r="AM405" s="24"/>
    </row>
    <row r="406" spans="2:39" x14ac:dyDescent="0.2">
      <c r="B406" s="50">
        <v>43690</v>
      </c>
      <c r="C406" s="35">
        <v>0.54305555555555551</v>
      </c>
      <c r="D406" s="35"/>
      <c r="E406" s="35" t="s">
        <v>111</v>
      </c>
      <c r="F406" s="37">
        <v>2</v>
      </c>
      <c r="G406" s="42" t="str">
        <f>VLOOKUP(F406,Key!$A$17:$B$21,2,FALSE)</f>
        <v>Road Vehicle</v>
      </c>
      <c r="H406" s="36">
        <v>3</v>
      </c>
      <c r="I406" s="43" t="str">
        <f>VLOOKUP(H406,Key!$A$2:$B$13,2,FALSE)</f>
        <v>Pickups</v>
      </c>
      <c r="J406" s="37" t="s">
        <v>123</v>
      </c>
      <c r="K406" s="37">
        <v>4</v>
      </c>
      <c r="L406" s="45" t="str">
        <f>VLOOKUP(K406,Key!$A$24:$B$29,2,FALSE)</f>
        <v>50-59</v>
      </c>
      <c r="M406" s="37" t="s">
        <v>234</v>
      </c>
      <c r="N406" s="32" t="s">
        <v>173</v>
      </c>
      <c r="O406" s="37" t="s">
        <v>168</v>
      </c>
      <c r="P406" s="39">
        <v>1</v>
      </c>
      <c r="Q406" s="34" t="str">
        <f>VLOOKUP(P406,Key!$E$2:$F$9,2,FALSE)</f>
        <v>Home</v>
      </c>
      <c r="R406" s="37" t="s">
        <v>217</v>
      </c>
      <c r="S406" s="32" t="s">
        <v>176</v>
      </c>
      <c r="T406" s="37" t="s">
        <v>168</v>
      </c>
      <c r="U406" s="32">
        <v>2</v>
      </c>
      <c r="V406" s="34" t="str">
        <f>VLOOKUP(U406,Key!$E$2:$F$9,2,FALSE)</f>
        <v>Work</v>
      </c>
      <c r="W406" s="34" t="str">
        <f t="shared" si="9"/>
        <v>Home-Work</v>
      </c>
      <c r="X406" s="47">
        <v>70000</v>
      </c>
      <c r="Y406" s="38">
        <v>100</v>
      </c>
      <c r="Z406" s="38">
        <v>4</v>
      </c>
      <c r="AA406" s="32">
        <v>6</v>
      </c>
      <c r="AB406" s="34" t="str">
        <f>VLOOKUP(AA406,Key!$C$20:$D$29,2,FALSE)</f>
        <v>Businessman</v>
      </c>
      <c r="AC406" s="32">
        <v>4</v>
      </c>
      <c r="AD406" s="34" t="str">
        <f>VLOOKUP(AC406,Key!$E$20:$F$24,2,FALSE)</f>
        <v>750,000-1,000,000</v>
      </c>
      <c r="AE406" s="32">
        <v>1</v>
      </c>
      <c r="AF406" s="55">
        <v>1</v>
      </c>
      <c r="AG406" s="55">
        <v>1</v>
      </c>
      <c r="AH406" s="55">
        <v>1</v>
      </c>
      <c r="AI406" s="55">
        <v>1</v>
      </c>
      <c r="AJ406" s="39" t="s">
        <v>104</v>
      </c>
      <c r="AK406" s="40">
        <v>2000</v>
      </c>
      <c r="AL406" s="24"/>
      <c r="AM406" s="24"/>
    </row>
    <row r="407" spans="2:39" hidden="1" x14ac:dyDescent="0.2">
      <c r="B407" s="50">
        <v>43690</v>
      </c>
      <c r="C407" s="35">
        <v>0.63750000000000007</v>
      </c>
      <c r="D407" s="35"/>
      <c r="E407" s="35" t="s">
        <v>111</v>
      </c>
      <c r="F407" s="37">
        <v>2</v>
      </c>
      <c r="G407" s="42" t="str">
        <f>VLOOKUP(F407,Key!$A$17:$B$21,2,FALSE)</f>
        <v>Road Vehicle</v>
      </c>
      <c r="H407" s="36">
        <v>3</v>
      </c>
      <c r="I407" s="43" t="str">
        <f>VLOOKUP(H407,Key!$A$2:$B$13,2,FALSE)</f>
        <v>Pickups</v>
      </c>
      <c r="J407" s="37" t="s">
        <v>123</v>
      </c>
      <c r="K407" s="37">
        <v>3</v>
      </c>
      <c r="L407" s="45" t="str">
        <f>VLOOKUP(K407,Key!$A$24:$B$29,2,FALSE)</f>
        <v>40-49</v>
      </c>
      <c r="M407" s="37" t="s">
        <v>30</v>
      </c>
      <c r="N407" s="32" t="s">
        <v>188</v>
      </c>
      <c r="O407" s="37" t="s">
        <v>168</v>
      </c>
      <c r="P407" s="39">
        <v>1</v>
      </c>
      <c r="Q407" s="34" t="str">
        <f>VLOOKUP(P407,Key!$E$2:$F$9,2,FALSE)</f>
        <v>Home</v>
      </c>
      <c r="R407" s="37" t="s">
        <v>167</v>
      </c>
      <c r="S407" s="32" t="s">
        <v>167</v>
      </c>
      <c r="T407" s="37" t="s">
        <v>168</v>
      </c>
      <c r="U407" s="32">
        <v>5</v>
      </c>
      <c r="V407" s="34" t="str">
        <f>VLOOKUP(U407,Key!$E$2:$F$9,2,FALSE)</f>
        <v>Tourism</v>
      </c>
      <c r="W407" s="34" t="str">
        <f t="shared" si="9"/>
        <v>Home-Tourism</v>
      </c>
      <c r="X407" s="47">
        <v>100000</v>
      </c>
      <c r="Y407" s="38">
        <v>120</v>
      </c>
      <c r="Z407" s="38">
        <v>3</v>
      </c>
      <c r="AA407" s="32">
        <v>5</v>
      </c>
      <c r="AB407" s="34" t="str">
        <f>VLOOKUP(AA407,Key!$C$20:$D$29,2,FALSE)</f>
        <v>Professional</v>
      </c>
      <c r="AC407" s="32">
        <v>5</v>
      </c>
      <c r="AD407" s="34" t="str">
        <f>VLOOKUP(AC407,Key!$E$20:$F$24,2,FALSE)</f>
        <v>&gt;1,000,000</v>
      </c>
      <c r="AE407" s="32">
        <v>1</v>
      </c>
      <c r="AF407" s="55">
        <v>1</v>
      </c>
      <c r="AG407" s="55">
        <v>1</v>
      </c>
      <c r="AH407" s="55">
        <v>1</v>
      </c>
      <c r="AI407" s="55">
        <v>1</v>
      </c>
      <c r="AJ407" s="39" t="s">
        <v>104</v>
      </c>
      <c r="AK407" s="40">
        <v>2000</v>
      </c>
      <c r="AL407" s="24"/>
      <c r="AM407" s="24"/>
    </row>
    <row r="408" spans="2:39" hidden="1" x14ac:dyDescent="0.2">
      <c r="B408" s="50">
        <v>43686</v>
      </c>
      <c r="C408" s="35">
        <v>0.74722222222222223</v>
      </c>
      <c r="D408" s="35"/>
      <c r="E408" s="35" t="s">
        <v>111</v>
      </c>
      <c r="F408" s="37">
        <v>2</v>
      </c>
      <c r="G408" s="42" t="str">
        <f>VLOOKUP(F408,Key!$A$17:$B$21,2,FALSE)</f>
        <v>Road Vehicle</v>
      </c>
      <c r="H408" s="36">
        <v>3</v>
      </c>
      <c r="I408" s="43" t="str">
        <f>VLOOKUP(H408,Key!$A$2:$B$13,2,FALSE)</f>
        <v>Pickups</v>
      </c>
      <c r="J408" s="37" t="s">
        <v>123</v>
      </c>
      <c r="K408" s="37">
        <v>2</v>
      </c>
      <c r="L408" s="45" t="str">
        <f>VLOOKUP(K408,Key!$A$24:$B$29,2,FALSE)</f>
        <v>30-39</v>
      </c>
      <c r="M408" s="37" t="s">
        <v>179</v>
      </c>
      <c r="N408" s="32" t="s">
        <v>179</v>
      </c>
      <c r="O408" s="37" t="s">
        <v>168</v>
      </c>
      <c r="P408" s="39">
        <v>2</v>
      </c>
      <c r="Q408" s="34" t="str">
        <f>VLOOKUP(P408,Key!$E$2:$F$9,2,FALSE)</f>
        <v>Work</v>
      </c>
      <c r="R408" s="37" t="s">
        <v>176</v>
      </c>
      <c r="S408" s="32" t="s">
        <v>176</v>
      </c>
      <c r="T408" s="37" t="s">
        <v>168</v>
      </c>
      <c r="U408" s="32">
        <v>6</v>
      </c>
      <c r="V408" s="34" t="str">
        <f>VLOOKUP(U408,Key!$E$2:$F$9,2,FALSE)</f>
        <v>Leisure/Social</v>
      </c>
      <c r="W408" s="34" t="str">
        <f t="shared" si="9"/>
        <v>Work-Leisure/Social</v>
      </c>
      <c r="X408" s="47">
        <v>70000</v>
      </c>
      <c r="Y408" s="38">
        <v>125</v>
      </c>
      <c r="Z408" s="38">
        <v>4</v>
      </c>
      <c r="AA408" s="32">
        <v>10</v>
      </c>
      <c r="AB408" s="34" t="str">
        <f>VLOOKUP(AA408,Key!$C$20:$D$29,2,FALSE)</f>
        <v>Other</v>
      </c>
      <c r="AC408" s="32">
        <v>2</v>
      </c>
      <c r="AD408" s="34" t="str">
        <f>VLOOKUP(AC408,Key!$E$20:$F$24,2,FALSE)</f>
        <v>300,000-500,000</v>
      </c>
      <c r="AE408" s="32">
        <v>2</v>
      </c>
      <c r="AF408" s="55">
        <v>3</v>
      </c>
      <c r="AG408" s="55">
        <v>2</v>
      </c>
      <c r="AH408" s="55">
        <v>1</v>
      </c>
      <c r="AI408" s="55">
        <v>4</v>
      </c>
      <c r="AJ408" s="39" t="s">
        <v>104</v>
      </c>
      <c r="AK408" s="40">
        <v>5000</v>
      </c>
      <c r="AL408" s="24"/>
      <c r="AM408" s="24"/>
    </row>
    <row r="409" spans="2:39" hidden="1" x14ac:dyDescent="0.2">
      <c r="B409" s="50">
        <v>43686</v>
      </c>
      <c r="C409" s="35">
        <v>0.74722222222222223</v>
      </c>
      <c r="D409" s="35"/>
      <c r="E409" s="35" t="s">
        <v>111</v>
      </c>
      <c r="F409" s="37">
        <v>2</v>
      </c>
      <c r="G409" s="42" t="str">
        <f>VLOOKUP(F409,Key!$A$17:$B$21,2,FALSE)</f>
        <v>Road Vehicle</v>
      </c>
      <c r="H409" s="36">
        <v>3</v>
      </c>
      <c r="I409" s="43" t="str">
        <f>VLOOKUP(H409,Key!$A$2:$B$13,2,FALSE)</f>
        <v>Pickups</v>
      </c>
      <c r="J409" s="37" t="s">
        <v>123</v>
      </c>
      <c r="K409" s="37">
        <v>4</v>
      </c>
      <c r="L409" s="45" t="str">
        <f>VLOOKUP(K409,Key!$A$24:$B$29,2,FALSE)</f>
        <v>50-59</v>
      </c>
      <c r="M409" s="37" t="s">
        <v>173</v>
      </c>
      <c r="N409" s="32" t="s">
        <v>173</v>
      </c>
      <c r="O409" s="37" t="s">
        <v>168</v>
      </c>
      <c r="P409" s="39">
        <v>6</v>
      </c>
      <c r="Q409" s="34" t="str">
        <f>VLOOKUP(P409,Key!$E$2:$F$9,2,FALSE)</f>
        <v>Leisure/Social</v>
      </c>
      <c r="R409" s="37" t="s">
        <v>340</v>
      </c>
      <c r="S409" s="32" t="s">
        <v>179</v>
      </c>
      <c r="T409" s="37" t="s">
        <v>168</v>
      </c>
      <c r="U409" s="32">
        <v>1</v>
      </c>
      <c r="V409" s="34" t="str">
        <f>VLOOKUP(U409,Key!$E$2:$F$9,2,FALSE)</f>
        <v>Home</v>
      </c>
      <c r="W409" s="34" t="str">
        <f t="shared" si="9"/>
        <v>Leisure/Social-Home</v>
      </c>
      <c r="X409" s="47">
        <v>60000</v>
      </c>
      <c r="Y409" s="38">
        <v>150</v>
      </c>
      <c r="Z409" s="38">
        <v>4</v>
      </c>
      <c r="AA409" s="32">
        <v>7</v>
      </c>
      <c r="AB409" s="34" t="str">
        <f>VLOOKUP(AA409,Key!$C$20:$D$29,2,FALSE)</f>
        <v>Farmer</v>
      </c>
      <c r="AC409" s="32">
        <v>4</v>
      </c>
      <c r="AD409" s="34" t="str">
        <f>VLOOKUP(AC409,Key!$E$20:$F$24,2,FALSE)</f>
        <v>750,000-1,000,000</v>
      </c>
      <c r="AE409" s="32">
        <v>1</v>
      </c>
      <c r="AF409" s="55">
        <v>1</v>
      </c>
      <c r="AG409" s="55">
        <v>1</v>
      </c>
      <c r="AH409" s="55">
        <v>1</v>
      </c>
      <c r="AI409" s="55">
        <v>1</v>
      </c>
      <c r="AJ409" s="39" t="s">
        <v>104</v>
      </c>
      <c r="AK409" s="40">
        <v>2000</v>
      </c>
      <c r="AL409" s="24"/>
      <c r="AM409" s="24"/>
    </row>
    <row r="410" spans="2:39" hidden="1" x14ac:dyDescent="0.2">
      <c r="B410" s="50">
        <v>43687</v>
      </c>
      <c r="C410" s="35">
        <v>0.40972222222222227</v>
      </c>
      <c r="D410" s="35"/>
      <c r="E410" s="35" t="s">
        <v>111</v>
      </c>
      <c r="F410" s="37">
        <v>2</v>
      </c>
      <c r="G410" s="42" t="str">
        <f>VLOOKUP(F410,Key!$A$17:$B$21,2,FALSE)</f>
        <v>Road Vehicle</v>
      </c>
      <c r="H410" s="36">
        <v>3</v>
      </c>
      <c r="I410" s="43" t="str">
        <f>VLOOKUP(H410,Key!$A$2:$B$13,2,FALSE)</f>
        <v>Pickups</v>
      </c>
      <c r="J410" s="37" t="s">
        <v>123</v>
      </c>
      <c r="K410" s="37">
        <v>3</v>
      </c>
      <c r="L410" s="45" t="str">
        <f>VLOOKUP(K410,Key!$A$24:$B$29,2,FALSE)</f>
        <v>40-49</v>
      </c>
      <c r="M410" s="37" t="s">
        <v>216</v>
      </c>
      <c r="N410" s="32" t="s">
        <v>179</v>
      </c>
      <c r="O410" s="37" t="s">
        <v>168</v>
      </c>
      <c r="P410" s="39">
        <v>2</v>
      </c>
      <c r="Q410" s="34" t="str">
        <f>VLOOKUP(P410,Key!$E$2:$F$9,2,FALSE)</f>
        <v>Work</v>
      </c>
      <c r="R410" s="37" t="s">
        <v>233</v>
      </c>
      <c r="S410" s="32" t="s">
        <v>176</v>
      </c>
      <c r="T410" s="37" t="s">
        <v>168</v>
      </c>
      <c r="U410" s="32">
        <v>4</v>
      </c>
      <c r="V410" s="34" t="str">
        <f>VLOOKUP(U410,Key!$E$2:$F$9,2,FALSE)</f>
        <v>Commercial</v>
      </c>
      <c r="W410" s="34" t="str">
        <f t="shared" si="9"/>
        <v>Work-Commercial</v>
      </c>
      <c r="X410" s="47">
        <v>110000</v>
      </c>
      <c r="Y410" s="38">
        <v>150</v>
      </c>
      <c r="Z410" s="38">
        <v>5</v>
      </c>
      <c r="AA410" s="32">
        <v>7</v>
      </c>
      <c r="AB410" s="34" t="str">
        <f>VLOOKUP(AA410,Key!$C$20:$D$29,2,FALSE)</f>
        <v>Farmer</v>
      </c>
      <c r="AC410" s="32">
        <v>3</v>
      </c>
      <c r="AD410" s="34" t="str">
        <f>VLOOKUP(AC410,Key!$E$20:$F$24,2,FALSE)</f>
        <v>500,000-750,000</v>
      </c>
      <c r="AE410" s="32">
        <v>1</v>
      </c>
      <c r="AF410" s="55">
        <v>1</v>
      </c>
      <c r="AG410" s="55">
        <v>1</v>
      </c>
      <c r="AH410" s="55">
        <v>1</v>
      </c>
      <c r="AI410" s="55">
        <v>1</v>
      </c>
      <c r="AJ410" s="39" t="s">
        <v>104</v>
      </c>
      <c r="AK410" s="40">
        <v>1000</v>
      </c>
      <c r="AL410" s="24"/>
      <c r="AM410" s="24"/>
    </row>
    <row r="411" spans="2:39" hidden="1" x14ac:dyDescent="0.2">
      <c r="B411" s="50">
        <v>43690</v>
      </c>
      <c r="C411" s="35">
        <v>0.53402777777777777</v>
      </c>
      <c r="D411" s="35"/>
      <c r="E411" s="35" t="s">
        <v>111</v>
      </c>
      <c r="F411" s="37">
        <v>2</v>
      </c>
      <c r="G411" s="42" t="str">
        <f>VLOOKUP(F411,Key!$A$17:$B$21,2,FALSE)</f>
        <v>Road Vehicle</v>
      </c>
      <c r="H411" s="36">
        <v>3</v>
      </c>
      <c r="I411" s="43" t="str">
        <f>VLOOKUP(H411,Key!$A$2:$B$13,2,FALSE)</f>
        <v>Pickups</v>
      </c>
      <c r="J411" s="37" t="s">
        <v>123</v>
      </c>
      <c r="K411" s="37">
        <v>3</v>
      </c>
      <c r="L411" s="45" t="str">
        <f>VLOOKUP(K411,Key!$A$24:$B$29,2,FALSE)</f>
        <v>40-49</v>
      </c>
      <c r="M411" s="44" t="s">
        <v>216</v>
      </c>
      <c r="N411" s="44" t="s">
        <v>179</v>
      </c>
      <c r="O411" s="37" t="s">
        <v>168</v>
      </c>
      <c r="P411" s="39">
        <v>2</v>
      </c>
      <c r="Q411" s="34" t="str">
        <f>VLOOKUP(P411,Key!$E$2:$F$9,2,FALSE)</f>
        <v>Work</v>
      </c>
      <c r="R411" s="37" t="s">
        <v>203</v>
      </c>
      <c r="S411" s="32" t="s">
        <v>176</v>
      </c>
      <c r="T411" s="37" t="s">
        <v>168</v>
      </c>
      <c r="U411" s="32">
        <v>4</v>
      </c>
      <c r="V411" s="34" t="str">
        <f>VLOOKUP(U411,Key!$E$2:$F$9,2,FALSE)</f>
        <v>Commercial</v>
      </c>
      <c r="W411" s="34" t="str">
        <f t="shared" si="9"/>
        <v>Work-Commercial</v>
      </c>
      <c r="X411" s="47">
        <v>110000</v>
      </c>
      <c r="Y411" s="38">
        <v>150</v>
      </c>
      <c r="Z411" s="38">
        <v>6</v>
      </c>
      <c r="AA411" s="32">
        <v>7</v>
      </c>
      <c r="AB411" s="34" t="str">
        <f>VLOOKUP(AA411,Key!$C$20:$D$29,2,FALSE)</f>
        <v>Farmer</v>
      </c>
      <c r="AC411" s="32">
        <v>3</v>
      </c>
      <c r="AD411" s="34" t="str">
        <f>VLOOKUP(AC411,Key!$E$20:$F$24,2,FALSE)</f>
        <v>500,000-750,000</v>
      </c>
      <c r="AE411" s="32">
        <v>1</v>
      </c>
      <c r="AF411" s="55">
        <v>1</v>
      </c>
      <c r="AG411" s="55">
        <v>1</v>
      </c>
      <c r="AH411" s="55">
        <v>1</v>
      </c>
      <c r="AI411" s="55">
        <v>1</v>
      </c>
      <c r="AJ411" s="39" t="s">
        <v>104</v>
      </c>
      <c r="AK411" s="40">
        <v>1000</v>
      </c>
      <c r="AL411" s="24"/>
      <c r="AM411" s="24"/>
    </row>
    <row r="412" spans="2:39" hidden="1" x14ac:dyDescent="0.2">
      <c r="B412" s="50">
        <v>43688</v>
      </c>
      <c r="C412" s="35">
        <v>0.35416666666666669</v>
      </c>
      <c r="D412" s="35"/>
      <c r="E412" s="35" t="s">
        <v>111</v>
      </c>
      <c r="F412" s="37">
        <v>2</v>
      </c>
      <c r="G412" s="42" t="str">
        <f>VLOOKUP(F412,Key!$A$17:$B$21,2,FALSE)</f>
        <v>Road Vehicle</v>
      </c>
      <c r="H412" s="36">
        <v>3</v>
      </c>
      <c r="I412" s="43" t="str">
        <f>VLOOKUP(H412,Key!$A$2:$B$13,2,FALSE)</f>
        <v>Pickups</v>
      </c>
      <c r="J412" s="37" t="s">
        <v>123</v>
      </c>
      <c r="K412" s="37">
        <v>3</v>
      </c>
      <c r="L412" s="45" t="str">
        <f>VLOOKUP(K412,Key!$A$24:$B$29,2,FALSE)</f>
        <v>40-49</v>
      </c>
      <c r="M412" s="37" t="s">
        <v>175</v>
      </c>
      <c r="N412" s="32" t="s">
        <v>175</v>
      </c>
      <c r="O412" s="37" t="s">
        <v>168</v>
      </c>
      <c r="P412" s="39">
        <v>6</v>
      </c>
      <c r="Q412" s="34" t="str">
        <f>VLOOKUP(P412,Key!$E$2:$F$9,2,FALSE)</f>
        <v>Leisure/Social</v>
      </c>
      <c r="R412" s="37" t="s">
        <v>354</v>
      </c>
      <c r="S412" s="32" t="s">
        <v>167</v>
      </c>
      <c r="T412" s="37" t="s">
        <v>168</v>
      </c>
      <c r="U412" s="32">
        <v>4</v>
      </c>
      <c r="V412" s="34" t="str">
        <f>VLOOKUP(U412,Key!$E$2:$F$9,2,FALSE)</f>
        <v>Commercial</v>
      </c>
      <c r="W412" s="34" t="str">
        <f t="shared" si="9"/>
        <v>Leisure/Social-Commercial</v>
      </c>
      <c r="X412" s="47">
        <v>120000</v>
      </c>
      <c r="Y412" s="38">
        <v>170</v>
      </c>
      <c r="Z412" s="38">
        <v>5</v>
      </c>
      <c r="AA412" s="32">
        <v>7</v>
      </c>
      <c r="AB412" s="34" t="str">
        <f>VLOOKUP(AA412,Key!$C$20:$D$29,2,FALSE)</f>
        <v>Farmer</v>
      </c>
      <c r="AC412" s="32">
        <v>1</v>
      </c>
      <c r="AD412" s="34" t="str">
        <f>VLOOKUP(AC412,Key!$E$20:$F$24,2,FALSE)</f>
        <v>&lt;300,000</v>
      </c>
      <c r="AE412" s="32">
        <v>1</v>
      </c>
      <c r="AF412" s="55">
        <v>1</v>
      </c>
      <c r="AG412" s="55">
        <v>1</v>
      </c>
      <c r="AH412" s="55">
        <v>1</v>
      </c>
      <c r="AI412" s="55">
        <v>1</v>
      </c>
      <c r="AJ412" s="39" t="s">
        <v>104</v>
      </c>
      <c r="AK412" s="40"/>
      <c r="AL412" s="24"/>
      <c r="AM412" s="24"/>
    </row>
    <row r="413" spans="2:39" hidden="1" x14ac:dyDescent="0.2">
      <c r="B413" s="50">
        <v>43686</v>
      </c>
      <c r="C413" s="35">
        <v>0.71527777777777779</v>
      </c>
      <c r="D413" s="35"/>
      <c r="E413" s="35" t="s">
        <v>111</v>
      </c>
      <c r="F413" s="37">
        <v>2</v>
      </c>
      <c r="G413" s="42" t="str">
        <f>VLOOKUP(F413,Key!$A$17:$B$21,2,FALSE)</f>
        <v>Road Vehicle</v>
      </c>
      <c r="H413" s="36">
        <v>3</v>
      </c>
      <c r="I413" s="43" t="str">
        <f>VLOOKUP(H413,Key!$A$2:$B$13,2,FALSE)</f>
        <v>Pickups</v>
      </c>
      <c r="J413" s="37" t="s">
        <v>123</v>
      </c>
      <c r="K413" s="37">
        <v>3</v>
      </c>
      <c r="L413" s="45" t="str">
        <f>VLOOKUP(K413,Key!$A$24:$B$29,2,FALSE)</f>
        <v>40-49</v>
      </c>
      <c r="M413" s="37" t="s">
        <v>356</v>
      </c>
      <c r="N413" s="32" t="s">
        <v>357</v>
      </c>
      <c r="O413" s="37" t="s">
        <v>168</v>
      </c>
      <c r="P413" s="39">
        <v>1</v>
      </c>
      <c r="Q413" s="34" t="str">
        <f>VLOOKUP(P413,Key!$E$2:$F$9,2,FALSE)</f>
        <v>Home</v>
      </c>
      <c r="R413" s="37" t="s">
        <v>167</v>
      </c>
      <c r="S413" s="32" t="s">
        <v>167</v>
      </c>
      <c r="T413" s="37" t="s">
        <v>168</v>
      </c>
      <c r="U413" s="32">
        <v>7</v>
      </c>
      <c r="V413" s="34" t="str">
        <f>VLOOKUP(U413,Key!$E$2:$F$9,2,FALSE)</f>
        <v>Hospital</v>
      </c>
      <c r="W413" s="34" t="str">
        <f t="shared" si="9"/>
        <v>Home-Hospital</v>
      </c>
      <c r="X413" s="47">
        <v>150000</v>
      </c>
      <c r="Y413" s="38">
        <v>200</v>
      </c>
      <c r="Z413" s="38">
        <v>4</v>
      </c>
      <c r="AA413" s="32">
        <v>1</v>
      </c>
      <c r="AB413" s="34" t="str">
        <f>VLOOKUP(AA413,Key!$C$20:$D$29,2,FALSE)</f>
        <v>Unemployed</v>
      </c>
      <c r="AC413" s="32">
        <v>1</v>
      </c>
      <c r="AD413" s="34" t="str">
        <f>VLOOKUP(AC413,Key!$E$20:$F$24,2,FALSE)</f>
        <v>&lt;300,000</v>
      </c>
      <c r="AE413" s="32">
        <v>1</v>
      </c>
      <c r="AF413" s="55">
        <v>1</v>
      </c>
      <c r="AG413" s="55">
        <v>1</v>
      </c>
      <c r="AH413" s="55">
        <v>1</v>
      </c>
      <c r="AI413" s="55">
        <v>1</v>
      </c>
      <c r="AJ413" s="39" t="s">
        <v>104</v>
      </c>
      <c r="AK413" s="40"/>
      <c r="AL413" s="24"/>
      <c r="AM413" s="24"/>
    </row>
    <row r="414" spans="2:39" hidden="1" x14ac:dyDescent="0.2">
      <c r="B414" s="50">
        <v>43689</v>
      </c>
      <c r="C414" s="35">
        <v>0.60763888888888895</v>
      </c>
      <c r="D414" s="35"/>
      <c r="E414" s="35" t="s">
        <v>111</v>
      </c>
      <c r="F414" s="37">
        <v>2</v>
      </c>
      <c r="G414" s="42" t="str">
        <f>VLOOKUP(F414,Key!$A$17:$B$21,2,FALSE)</f>
        <v>Road Vehicle</v>
      </c>
      <c r="H414" s="36">
        <v>3</v>
      </c>
      <c r="I414" s="43" t="str">
        <f>VLOOKUP(H414,Key!$A$2:$B$13,2,FALSE)</f>
        <v>Pickups</v>
      </c>
      <c r="J414" s="37" t="s">
        <v>123</v>
      </c>
      <c r="K414" s="37">
        <v>1</v>
      </c>
      <c r="L414" s="45" t="str">
        <f>VLOOKUP(K414,Key!$A$24:$B$29,2,FALSE)</f>
        <v>20-29</v>
      </c>
      <c r="M414" s="37" t="s">
        <v>169</v>
      </c>
      <c r="N414" s="32" t="s">
        <v>169</v>
      </c>
      <c r="O414" s="37" t="s">
        <v>168</v>
      </c>
      <c r="P414" s="39">
        <v>1</v>
      </c>
      <c r="Q414" s="34" t="str">
        <f>VLOOKUP(P414,Key!$E$2:$F$9,2,FALSE)</f>
        <v>Home</v>
      </c>
      <c r="R414" s="37" t="s">
        <v>176</v>
      </c>
      <c r="S414" s="32" t="s">
        <v>176</v>
      </c>
      <c r="T414" s="37" t="s">
        <v>168</v>
      </c>
      <c r="U414" s="32">
        <v>6</v>
      </c>
      <c r="V414" s="34" t="str">
        <f>VLOOKUP(U414,Key!$E$2:$F$9,2,FALSE)</f>
        <v>Leisure/Social</v>
      </c>
      <c r="W414" s="34" t="str">
        <f t="shared" si="9"/>
        <v>Home-Leisure/Social</v>
      </c>
      <c r="X414" s="47">
        <v>100000</v>
      </c>
      <c r="Y414" s="38">
        <v>200</v>
      </c>
      <c r="Z414" s="38">
        <v>6</v>
      </c>
      <c r="AA414" s="32">
        <v>7</v>
      </c>
      <c r="AB414" s="34" t="str">
        <f>VLOOKUP(AA414,Key!$C$20:$D$29,2,FALSE)</f>
        <v>Farmer</v>
      </c>
      <c r="AC414" s="32">
        <v>2</v>
      </c>
      <c r="AD414" s="34" t="str">
        <f>VLOOKUP(AC414,Key!$E$20:$F$24,2,FALSE)</f>
        <v>300,000-500,000</v>
      </c>
      <c r="AE414" s="32">
        <v>2</v>
      </c>
      <c r="AF414" s="55">
        <v>3</v>
      </c>
      <c r="AG414" s="55">
        <v>4</v>
      </c>
      <c r="AH414" s="55">
        <v>1</v>
      </c>
      <c r="AI414" s="55">
        <v>5</v>
      </c>
      <c r="AJ414" s="39" t="s">
        <v>104</v>
      </c>
      <c r="AK414" s="40">
        <v>3000</v>
      </c>
      <c r="AL414" s="24"/>
      <c r="AM414" s="24"/>
    </row>
    <row r="415" spans="2:39" hidden="1" x14ac:dyDescent="0.2">
      <c r="B415" s="50">
        <v>43686</v>
      </c>
      <c r="C415" s="35">
        <v>0.54861111111111105</v>
      </c>
      <c r="D415" s="35"/>
      <c r="E415" s="35" t="s">
        <v>111</v>
      </c>
      <c r="F415" s="37">
        <v>2</v>
      </c>
      <c r="G415" s="42" t="str">
        <f>VLOOKUP(F415,Key!$A$17:$B$21,2,FALSE)</f>
        <v>Road Vehicle</v>
      </c>
      <c r="H415" s="36">
        <v>3</v>
      </c>
      <c r="I415" s="43" t="str">
        <f>VLOOKUP(H415,Key!$A$2:$B$13,2,FALSE)</f>
        <v>Pickups</v>
      </c>
      <c r="J415" s="37" t="s">
        <v>123</v>
      </c>
      <c r="K415" s="37">
        <v>2</v>
      </c>
      <c r="L415" s="45" t="str">
        <f>VLOOKUP(K415,Key!$A$24:$B$29,2,FALSE)</f>
        <v>30-39</v>
      </c>
      <c r="M415" s="37" t="s">
        <v>178</v>
      </c>
      <c r="N415" s="32" t="s">
        <v>178</v>
      </c>
      <c r="O415" s="37" t="s">
        <v>168</v>
      </c>
      <c r="P415" s="39">
        <v>1</v>
      </c>
      <c r="Q415" s="34" t="str">
        <f>VLOOKUP(P415,Key!$E$2:$F$9,2,FALSE)</f>
        <v>Home</v>
      </c>
      <c r="R415" s="37" t="s">
        <v>167</v>
      </c>
      <c r="S415" s="32" t="s">
        <v>167</v>
      </c>
      <c r="T415" s="37" t="s">
        <v>168</v>
      </c>
      <c r="U415" s="32">
        <v>6</v>
      </c>
      <c r="V415" s="34" t="str">
        <f>VLOOKUP(U415,Key!$E$2:$F$9,2,FALSE)</f>
        <v>Leisure/Social</v>
      </c>
      <c r="W415" s="34" t="str">
        <f t="shared" si="9"/>
        <v>Home-Leisure/Social</v>
      </c>
      <c r="X415" s="47">
        <v>110000</v>
      </c>
      <c r="Y415" s="38">
        <v>250</v>
      </c>
      <c r="Z415" s="38">
        <v>5</v>
      </c>
      <c r="AA415" s="32">
        <v>5</v>
      </c>
      <c r="AB415" s="34" t="str">
        <f>VLOOKUP(AA415,Key!$C$20:$D$29,2,FALSE)</f>
        <v>Professional</v>
      </c>
      <c r="AC415" s="32">
        <v>3</v>
      </c>
      <c r="AD415" s="34" t="str">
        <f>VLOOKUP(AC415,Key!$E$20:$F$24,2,FALSE)</f>
        <v>500,000-750,000</v>
      </c>
      <c r="AE415" s="32">
        <v>1</v>
      </c>
      <c r="AF415" s="55">
        <v>3</v>
      </c>
      <c r="AG415" s="55">
        <v>4</v>
      </c>
      <c r="AH415" s="55">
        <v>2</v>
      </c>
      <c r="AI415" s="55">
        <v>4</v>
      </c>
      <c r="AJ415" s="39" t="s">
        <v>104</v>
      </c>
      <c r="AK415" s="40"/>
      <c r="AL415" s="24"/>
      <c r="AM415" s="24"/>
    </row>
    <row r="416" spans="2:39" hidden="1" x14ac:dyDescent="0.2">
      <c r="B416" s="50">
        <v>43686</v>
      </c>
      <c r="C416" s="35">
        <v>0.65833333333333333</v>
      </c>
      <c r="D416" s="35"/>
      <c r="E416" s="35" t="s">
        <v>111</v>
      </c>
      <c r="F416" s="37">
        <v>2</v>
      </c>
      <c r="G416" s="42" t="str">
        <f>VLOOKUP(F416,Key!$A$17:$B$21,2,FALSE)</f>
        <v>Road Vehicle</v>
      </c>
      <c r="H416" s="36">
        <v>3</v>
      </c>
      <c r="I416" s="43" t="str">
        <f>VLOOKUP(H416,Key!$A$2:$B$13,2,FALSE)</f>
        <v>Pickups</v>
      </c>
      <c r="J416" s="37" t="s">
        <v>123</v>
      </c>
      <c r="K416" s="37">
        <v>3</v>
      </c>
      <c r="L416" s="45" t="str">
        <f>VLOOKUP(K416,Key!$A$24:$B$29,2,FALSE)</f>
        <v>40-49</v>
      </c>
      <c r="M416" s="37" t="s">
        <v>236</v>
      </c>
      <c r="N416" s="32" t="s">
        <v>236</v>
      </c>
      <c r="O416" s="37" t="s">
        <v>168</v>
      </c>
      <c r="P416" s="39">
        <v>2</v>
      </c>
      <c r="Q416" s="34" t="str">
        <f>VLOOKUP(P416,Key!$E$2:$F$9,2,FALSE)</f>
        <v>Work</v>
      </c>
      <c r="R416" s="37" t="s">
        <v>222</v>
      </c>
      <c r="S416" s="32" t="s">
        <v>176</v>
      </c>
      <c r="T416" s="37" t="s">
        <v>168</v>
      </c>
      <c r="U416" s="32">
        <v>1</v>
      </c>
      <c r="V416" s="34" t="str">
        <f>VLOOKUP(U416,Key!$E$2:$F$9,2,FALSE)</f>
        <v>Home</v>
      </c>
      <c r="W416" s="34" t="str">
        <f t="shared" si="9"/>
        <v>Work-Home</v>
      </c>
      <c r="X416" s="47">
        <v>150000</v>
      </c>
      <c r="Y416" s="38">
        <v>300</v>
      </c>
      <c r="Z416" s="38">
        <v>7</v>
      </c>
      <c r="AA416" s="32">
        <v>4</v>
      </c>
      <c r="AB416" s="34" t="str">
        <f>VLOOKUP(AA416,Key!$C$20:$D$29,2,FALSE)</f>
        <v>Office Worker</v>
      </c>
      <c r="AC416" s="32">
        <v>5</v>
      </c>
      <c r="AD416" s="34" t="str">
        <f>VLOOKUP(AC416,Key!$E$20:$F$24,2,FALSE)</f>
        <v>&gt;1,000,000</v>
      </c>
      <c r="AE416" s="32">
        <v>1</v>
      </c>
      <c r="AF416" s="55">
        <v>1</v>
      </c>
      <c r="AG416" s="55">
        <v>1</v>
      </c>
      <c r="AH416" s="55">
        <v>1</v>
      </c>
      <c r="AI416" s="55">
        <v>1</v>
      </c>
      <c r="AJ416" s="39" t="s">
        <v>104</v>
      </c>
      <c r="AK416" s="40">
        <v>10000</v>
      </c>
      <c r="AL416" s="24"/>
      <c r="AM416" s="24"/>
    </row>
    <row r="417" spans="2:39" hidden="1" x14ac:dyDescent="0.2">
      <c r="B417" s="50">
        <v>43688</v>
      </c>
      <c r="C417" s="35">
        <v>0.49652777777777773</v>
      </c>
      <c r="D417" s="35"/>
      <c r="E417" s="35" t="s">
        <v>111</v>
      </c>
      <c r="F417" s="37">
        <v>2</v>
      </c>
      <c r="G417" s="42" t="str">
        <f>VLOOKUP(F417,Key!$A$17:$B$21,2,FALSE)</f>
        <v>Road Vehicle</v>
      </c>
      <c r="H417" s="36">
        <v>3</v>
      </c>
      <c r="I417" s="43" t="str">
        <f>VLOOKUP(H417,Key!$A$2:$B$13,2,FALSE)</f>
        <v>Pickups</v>
      </c>
      <c r="J417" s="37" t="s">
        <v>123</v>
      </c>
      <c r="K417" s="13">
        <v>3</v>
      </c>
      <c r="L417" s="45" t="str">
        <f>VLOOKUP(K417,Key!$A$24:$B$29,2,FALSE)</f>
        <v>40-49</v>
      </c>
      <c r="M417" s="44" t="s">
        <v>174</v>
      </c>
      <c r="N417" s="32" t="s">
        <v>174</v>
      </c>
      <c r="O417" s="37" t="s">
        <v>168</v>
      </c>
      <c r="P417" s="39">
        <v>4</v>
      </c>
      <c r="Q417" s="34" t="str">
        <f>VLOOKUP(P417,Key!$E$2:$F$9,2,FALSE)</f>
        <v>Commercial</v>
      </c>
      <c r="R417" s="37" t="s">
        <v>167</v>
      </c>
      <c r="S417" s="32" t="s">
        <v>167</v>
      </c>
      <c r="T417" s="37" t="s">
        <v>168</v>
      </c>
      <c r="U417" s="32">
        <v>1</v>
      </c>
      <c r="V417" s="34" t="str">
        <f>VLOOKUP(U417,Key!$E$2:$F$9,2,FALSE)</f>
        <v>Home</v>
      </c>
      <c r="W417" s="34" t="str">
        <f t="shared" si="9"/>
        <v>Commercial-Home</v>
      </c>
      <c r="X417" s="47">
        <v>400000</v>
      </c>
      <c r="Y417" s="38">
        <v>340</v>
      </c>
      <c r="Z417" s="38">
        <v>8</v>
      </c>
      <c r="AA417" s="32">
        <v>10</v>
      </c>
      <c r="AB417" s="34" t="str">
        <f>VLOOKUP(AA417,Key!$C$20:$D$29,2,FALSE)</f>
        <v>Other</v>
      </c>
      <c r="AC417" s="32">
        <v>2</v>
      </c>
      <c r="AD417" s="34" t="str">
        <f>VLOOKUP(AC417,Key!$E$20:$F$24,2,FALSE)</f>
        <v>300,000-500,000</v>
      </c>
      <c r="AE417" s="32"/>
      <c r="AF417" s="55"/>
      <c r="AG417" s="55"/>
      <c r="AH417" s="55"/>
      <c r="AI417" s="55"/>
      <c r="AJ417" s="39" t="s">
        <v>104</v>
      </c>
      <c r="AK417" s="40">
        <v>10000</v>
      </c>
      <c r="AL417" s="24"/>
      <c r="AM417" s="24"/>
    </row>
    <row r="418" spans="2:39" hidden="1" x14ac:dyDescent="0.2">
      <c r="B418" s="50">
        <v>43690</v>
      </c>
      <c r="C418" s="35">
        <v>0.52430555555555558</v>
      </c>
      <c r="D418" s="35"/>
      <c r="E418" s="35" t="s">
        <v>111</v>
      </c>
      <c r="F418" s="37">
        <v>2</v>
      </c>
      <c r="G418" s="42" t="str">
        <f>VLOOKUP(F418,Key!$A$17:$B$21,2,FALSE)</f>
        <v>Road Vehicle</v>
      </c>
      <c r="H418" s="36">
        <v>3</v>
      </c>
      <c r="I418" s="43" t="str">
        <f>VLOOKUP(H418,Key!$A$2:$B$13,2,FALSE)</f>
        <v>Pickups</v>
      </c>
      <c r="J418" s="37" t="s">
        <v>123</v>
      </c>
      <c r="K418" s="37">
        <v>2</v>
      </c>
      <c r="L418" s="45" t="str">
        <f>VLOOKUP(K418,Key!$A$24:$B$29,2,FALSE)</f>
        <v>30-39</v>
      </c>
      <c r="M418" s="37" t="s">
        <v>167</v>
      </c>
      <c r="N418" s="32" t="s">
        <v>167</v>
      </c>
      <c r="O418" s="37" t="s">
        <v>168</v>
      </c>
      <c r="P418" s="39">
        <v>2</v>
      </c>
      <c r="Q418" s="34" t="str">
        <f>VLOOKUP(P418,Key!$E$2:$F$9,2,FALSE)</f>
        <v>Work</v>
      </c>
      <c r="R418" s="37" t="s">
        <v>241</v>
      </c>
      <c r="S418" s="32" t="s">
        <v>241</v>
      </c>
      <c r="T418" s="37" t="s">
        <v>168</v>
      </c>
      <c r="U418" s="32">
        <v>4</v>
      </c>
      <c r="V418" s="34" t="str">
        <f>VLOOKUP(U418,Key!$E$2:$F$9,2,FALSE)</f>
        <v>Commercial</v>
      </c>
      <c r="W418" s="34" t="str">
        <f t="shared" si="9"/>
        <v>Work-Commercial</v>
      </c>
      <c r="X418" s="47">
        <v>180000</v>
      </c>
      <c r="Y418" s="38">
        <v>350</v>
      </c>
      <c r="Z418" s="38">
        <v>7</v>
      </c>
      <c r="AA418" s="32">
        <v>10</v>
      </c>
      <c r="AB418" s="34" t="str">
        <f>VLOOKUP(AA418,Key!$C$20:$D$29,2,FALSE)</f>
        <v>Other</v>
      </c>
      <c r="AC418" s="32">
        <v>2</v>
      </c>
      <c r="AD418" s="34" t="str">
        <f>VLOOKUP(AC418,Key!$E$20:$F$24,2,FALSE)</f>
        <v>300,000-500,000</v>
      </c>
      <c r="AE418" s="32">
        <v>2</v>
      </c>
      <c r="AF418" s="55">
        <v>3</v>
      </c>
      <c r="AG418" s="55">
        <v>2</v>
      </c>
      <c r="AH418" s="55">
        <v>1</v>
      </c>
      <c r="AI418" s="55">
        <v>5</v>
      </c>
      <c r="AJ418" s="39" t="s">
        <v>104</v>
      </c>
      <c r="AK418" s="40">
        <v>4000</v>
      </c>
      <c r="AL418" s="24"/>
      <c r="AM418" s="24"/>
    </row>
    <row r="419" spans="2:39" hidden="1" x14ac:dyDescent="0.2">
      <c r="B419" s="50">
        <v>43686</v>
      </c>
      <c r="C419" s="35">
        <v>0.57847222222222217</v>
      </c>
      <c r="D419" s="35"/>
      <c r="E419" s="35" t="s">
        <v>111</v>
      </c>
      <c r="F419" s="37">
        <v>2</v>
      </c>
      <c r="G419" s="42" t="str">
        <f>VLOOKUP(F419,Key!$A$17:$B$21,2,FALSE)</f>
        <v>Road Vehicle</v>
      </c>
      <c r="H419" s="36">
        <v>3</v>
      </c>
      <c r="I419" s="43" t="str">
        <f>VLOOKUP(H419,Key!$A$2:$B$13,2,FALSE)</f>
        <v>Pickups</v>
      </c>
      <c r="J419" s="37" t="s">
        <v>123</v>
      </c>
      <c r="K419" s="13">
        <v>2</v>
      </c>
      <c r="L419" s="45" t="str">
        <f>VLOOKUP(K419,Key!$A$24:$B$29,2,FALSE)</f>
        <v>30-39</v>
      </c>
      <c r="M419" s="44" t="s">
        <v>167</v>
      </c>
      <c r="N419" s="32" t="s">
        <v>167</v>
      </c>
      <c r="O419" s="37" t="s">
        <v>168</v>
      </c>
      <c r="P419" s="39">
        <v>2</v>
      </c>
      <c r="Q419" s="34" t="str">
        <f>VLOOKUP(P419,Key!$E$2:$F$9,2,FALSE)</f>
        <v>Work</v>
      </c>
      <c r="R419" s="37" t="s">
        <v>177</v>
      </c>
      <c r="S419" s="32" t="s">
        <v>177</v>
      </c>
      <c r="T419" s="37" t="s">
        <v>168</v>
      </c>
      <c r="U419" s="32">
        <v>4</v>
      </c>
      <c r="V419" s="34" t="str">
        <f>VLOOKUP(U419,Key!$E$2:$F$9,2,FALSE)</f>
        <v>Commercial</v>
      </c>
      <c r="W419" s="34" t="str">
        <f t="shared" si="9"/>
        <v>Work-Commercial</v>
      </c>
      <c r="X419" s="47">
        <v>700000</v>
      </c>
      <c r="Y419" s="38">
        <v>500</v>
      </c>
      <c r="Z419" s="38">
        <v>8</v>
      </c>
      <c r="AA419" s="32">
        <v>5</v>
      </c>
      <c r="AB419" s="34" t="str">
        <f>VLOOKUP(AA419,Key!$C$20:$D$29,2,FALSE)</f>
        <v>Professional</v>
      </c>
      <c r="AC419" s="32">
        <v>3</v>
      </c>
      <c r="AD419" s="34" t="str">
        <f>VLOOKUP(AC419,Key!$E$20:$F$24,2,FALSE)</f>
        <v>500,000-750,000</v>
      </c>
      <c r="AE419" s="32">
        <v>1</v>
      </c>
      <c r="AF419" s="55">
        <v>2</v>
      </c>
      <c r="AG419" s="55">
        <v>3</v>
      </c>
      <c r="AH419" s="55">
        <v>1</v>
      </c>
      <c r="AI419" s="55">
        <v>4</v>
      </c>
      <c r="AJ419" s="39" t="s">
        <v>104</v>
      </c>
      <c r="AK419" s="40"/>
      <c r="AL419" s="24"/>
      <c r="AM419" s="24"/>
    </row>
    <row r="420" spans="2:39" hidden="1" x14ac:dyDescent="0.2">
      <c r="B420" s="50">
        <v>43690</v>
      </c>
      <c r="C420" s="35">
        <v>0.57291666666666663</v>
      </c>
      <c r="D420" s="35"/>
      <c r="E420" s="35" t="s">
        <v>111</v>
      </c>
      <c r="F420" s="37">
        <v>2</v>
      </c>
      <c r="G420" s="42" t="str">
        <f>VLOOKUP(F420,Key!$A$17:$B$21,2,FALSE)</f>
        <v>Road Vehicle</v>
      </c>
      <c r="H420" s="36">
        <v>3</v>
      </c>
      <c r="I420" s="43" t="str">
        <f>VLOOKUP(H420,Key!$A$2:$B$13,2,FALSE)</f>
        <v>Pickups</v>
      </c>
      <c r="J420" s="37" t="s">
        <v>123</v>
      </c>
      <c r="K420" s="37">
        <v>2</v>
      </c>
      <c r="L420" s="45" t="str">
        <f>VLOOKUP(K420,Key!$A$24:$B$29,2,FALSE)</f>
        <v>30-39</v>
      </c>
      <c r="M420" s="37" t="s">
        <v>167</v>
      </c>
      <c r="N420" s="32" t="s">
        <v>167</v>
      </c>
      <c r="O420" s="37" t="s">
        <v>168</v>
      </c>
      <c r="P420" s="39">
        <v>1</v>
      </c>
      <c r="Q420" s="34" t="str">
        <f>VLOOKUP(P420,Key!$E$2:$F$9,2,FALSE)</f>
        <v>Home</v>
      </c>
      <c r="R420" s="37" t="s">
        <v>175</v>
      </c>
      <c r="S420" s="32" t="s">
        <v>175</v>
      </c>
      <c r="T420" s="37" t="s">
        <v>168</v>
      </c>
      <c r="U420" s="32">
        <v>4</v>
      </c>
      <c r="V420" s="34" t="str">
        <f>VLOOKUP(U420,Key!$E$2:$F$9,2,FALSE)</f>
        <v>Commercial</v>
      </c>
      <c r="W420" s="34" t="str">
        <f t="shared" si="9"/>
        <v>Home-Commercial</v>
      </c>
      <c r="X420" s="47">
        <v>240000</v>
      </c>
      <c r="Y420" s="38">
        <v>700</v>
      </c>
      <c r="Z420" s="38">
        <v>10</v>
      </c>
      <c r="AA420" s="32">
        <v>6</v>
      </c>
      <c r="AB420" s="34" t="str">
        <f>VLOOKUP(AA420,Key!$C$20:$D$29,2,FALSE)</f>
        <v>Businessman</v>
      </c>
      <c r="AC420" s="32">
        <v>5</v>
      </c>
      <c r="AD420" s="34" t="str">
        <f>VLOOKUP(AC420,Key!$E$20:$F$24,2,FALSE)</f>
        <v>&gt;1,000,000</v>
      </c>
      <c r="AE420" s="32">
        <v>2</v>
      </c>
      <c r="AF420" s="55">
        <v>3</v>
      </c>
      <c r="AG420" s="55">
        <v>4</v>
      </c>
      <c r="AH420" s="55">
        <v>1</v>
      </c>
      <c r="AI420" s="55"/>
      <c r="AJ420" s="39" t="s">
        <v>104</v>
      </c>
      <c r="AK420" s="40">
        <v>10000</v>
      </c>
      <c r="AL420" s="24"/>
      <c r="AM420" s="24"/>
    </row>
    <row r="421" spans="2:39" hidden="1" x14ac:dyDescent="0.2">
      <c r="B421" s="50">
        <v>43687</v>
      </c>
      <c r="C421" s="35">
        <v>0.70833333333333337</v>
      </c>
      <c r="D421" s="35"/>
      <c r="E421" s="35" t="s">
        <v>111</v>
      </c>
      <c r="F421" s="37">
        <v>2</v>
      </c>
      <c r="G421" s="42" t="str">
        <f>VLOOKUP(F421,Key!$A$17:$B$21,2,FALSE)</f>
        <v>Road Vehicle</v>
      </c>
      <c r="H421" s="36">
        <v>3</v>
      </c>
      <c r="I421" s="43" t="str">
        <f>VLOOKUP(H421,Key!$A$2:$B$13,2,FALSE)</f>
        <v>Pickups</v>
      </c>
      <c r="J421" s="37" t="s">
        <v>123</v>
      </c>
      <c r="K421" s="37">
        <v>4</v>
      </c>
      <c r="L421" s="45" t="str">
        <f>VLOOKUP(K421,Key!$A$24:$B$29,2,FALSE)</f>
        <v>50-59</v>
      </c>
      <c r="M421" s="37" t="s">
        <v>167</v>
      </c>
      <c r="N421" s="32" t="s">
        <v>167</v>
      </c>
      <c r="O421" s="37" t="s">
        <v>168</v>
      </c>
      <c r="P421" s="39">
        <v>2</v>
      </c>
      <c r="Q421" s="34" t="str">
        <f>VLOOKUP(P421,Key!$E$2:$F$9,2,FALSE)</f>
        <v>Work</v>
      </c>
      <c r="R421" s="37" t="s">
        <v>175</v>
      </c>
      <c r="S421" s="32" t="s">
        <v>175</v>
      </c>
      <c r="T421" s="37" t="s">
        <v>168</v>
      </c>
      <c r="U421" s="32">
        <v>6</v>
      </c>
      <c r="V421" s="34" t="str">
        <f>VLOOKUP(U421,Key!$E$2:$F$9,2,FALSE)</f>
        <v>Leisure/Social</v>
      </c>
      <c r="W421" s="34" t="str">
        <f t="shared" si="9"/>
        <v>Work-Leisure/Social</v>
      </c>
      <c r="X421" s="47">
        <v>250000</v>
      </c>
      <c r="Y421" s="38">
        <v>700</v>
      </c>
      <c r="Z421" s="38">
        <v>11</v>
      </c>
      <c r="AA421" s="32">
        <v>5</v>
      </c>
      <c r="AB421" s="34" t="str">
        <f>VLOOKUP(AA421,Key!$C$20:$D$29,2,FALSE)</f>
        <v>Professional</v>
      </c>
      <c r="AC421" s="32">
        <v>5</v>
      </c>
      <c r="AD421" s="34" t="str">
        <f>VLOOKUP(AC421,Key!$E$20:$F$24,2,FALSE)</f>
        <v>&gt;1,000,000</v>
      </c>
      <c r="AE421" s="32">
        <v>2</v>
      </c>
      <c r="AF421" s="55">
        <v>3</v>
      </c>
      <c r="AG421" s="55">
        <v>4</v>
      </c>
      <c r="AH421" s="55">
        <v>1</v>
      </c>
      <c r="AI421" s="55">
        <v>4</v>
      </c>
      <c r="AJ421" s="39" t="s">
        <v>104</v>
      </c>
      <c r="AK421" s="40">
        <v>10000</v>
      </c>
      <c r="AL421" s="24"/>
      <c r="AM421" s="24"/>
    </row>
    <row r="422" spans="2:39" hidden="1" x14ac:dyDescent="0.2">
      <c r="B422" s="50">
        <v>43689</v>
      </c>
      <c r="C422" s="35">
        <v>0.46875</v>
      </c>
      <c r="D422" s="35"/>
      <c r="E422" s="35" t="s">
        <v>111</v>
      </c>
      <c r="F422" s="37">
        <v>2</v>
      </c>
      <c r="G422" s="42" t="str">
        <f>VLOOKUP(F422,Key!$A$17:$B$21,2,FALSE)</f>
        <v>Road Vehicle</v>
      </c>
      <c r="H422" s="36">
        <v>3</v>
      </c>
      <c r="I422" s="43" t="str">
        <f>VLOOKUP(H422,Key!$A$2:$B$13,2,FALSE)</f>
        <v>Pickups</v>
      </c>
      <c r="J422" s="37" t="s">
        <v>123</v>
      </c>
      <c r="K422" s="37">
        <v>3</v>
      </c>
      <c r="L422" s="45" t="str">
        <f>VLOOKUP(K422,Key!$A$24:$B$29,2,FALSE)</f>
        <v>40-49</v>
      </c>
      <c r="M422" s="37" t="s">
        <v>214</v>
      </c>
      <c r="N422" s="32" t="s">
        <v>205</v>
      </c>
      <c r="O422" s="37" t="s">
        <v>168</v>
      </c>
      <c r="P422" s="39">
        <v>1</v>
      </c>
      <c r="Q422" s="34" t="str">
        <f>VLOOKUP(P422,Key!$E$2:$F$9,2,FALSE)</f>
        <v>Home</v>
      </c>
      <c r="R422" s="37" t="s">
        <v>216</v>
      </c>
      <c r="S422" s="32" t="s">
        <v>167</v>
      </c>
      <c r="T422" s="37" t="s">
        <v>168</v>
      </c>
      <c r="U422" s="32">
        <v>8</v>
      </c>
      <c r="V422" s="34" t="str">
        <f>VLOOKUP(U422,Key!$E$2:$F$9,2,FALSE)</f>
        <v>Others</v>
      </c>
      <c r="W422" s="34" t="str">
        <f t="shared" si="9"/>
        <v>Home-Others</v>
      </c>
      <c r="X422" s="47"/>
      <c r="Y422" s="38"/>
      <c r="Z422" s="38"/>
      <c r="AA422" s="32">
        <v>6</v>
      </c>
      <c r="AB422" s="34" t="str">
        <f>VLOOKUP(AA422,Key!$C$20:$D$29,2,FALSE)</f>
        <v>Businessman</v>
      </c>
      <c r="AC422" s="32">
        <v>3</v>
      </c>
      <c r="AD422" s="34" t="str">
        <f>VLOOKUP(AC422,Key!$E$20:$F$24,2,FALSE)</f>
        <v>500,000-750,000</v>
      </c>
      <c r="AE422" s="32">
        <v>1</v>
      </c>
      <c r="AF422" s="55">
        <v>1</v>
      </c>
      <c r="AG422" s="55">
        <v>2</v>
      </c>
      <c r="AH422" s="55">
        <v>1</v>
      </c>
      <c r="AI422" s="55">
        <v>2</v>
      </c>
      <c r="AJ422" s="39" t="s">
        <v>104</v>
      </c>
      <c r="AK422" s="40"/>
      <c r="AL422" s="24"/>
      <c r="AM422" s="24"/>
    </row>
    <row r="423" spans="2:39" hidden="1" x14ac:dyDescent="0.2">
      <c r="B423" s="50"/>
      <c r="C423" s="35"/>
      <c r="D423" s="35"/>
      <c r="E423" s="35"/>
      <c r="F423" s="37"/>
      <c r="G423" s="42"/>
      <c r="H423" s="36"/>
      <c r="I423" s="43"/>
      <c r="J423" s="37"/>
      <c r="K423" s="37"/>
      <c r="L423" s="45"/>
      <c r="M423" s="37"/>
      <c r="N423" s="32"/>
      <c r="O423" s="37"/>
      <c r="P423" s="39"/>
      <c r="Q423" s="34"/>
      <c r="R423" s="37"/>
      <c r="S423" s="32"/>
      <c r="T423" s="37"/>
      <c r="U423" s="32"/>
      <c r="V423" s="34"/>
      <c r="W423" s="34"/>
      <c r="X423" s="47"/>
      <c r="Y423" s="38"/>
      <c r="Z423" s="38"/>
      <c r="AA423" s="32"/>
      <c r="AB423" s="34"/>
      <c r="AC423" s="32"/>
      <c r="AD423" s="34"/>
      <c r="AE423" s="32"/>
      <c r="AF423" s="55"/>
      <c r="AG423" s="55"/>
      <c r="AH423" s="55"/>
      <c r="AI423" s="55"/>
      <c r="AJ423" s="39"/>
      <c r="AK423" s="40"/>
      <c r="AL423" s="24"/>
      <c r="AM423" s="24"/>
    </row>
    <row r="424" spans="2:39" hidden="1" x14ac:dyDescent="0.2">
      <c r="B424" s="50">
        <v>43689</v>
      </c>
      <c r="C424" s="35">
        <v>0.60069444444444442</v>
      </c>
      <c r="D424" s="35"/>
      <c r="E424" s="35" t="s">
        <v>111</v>
      </c>
      <c r="F424" s="37">
        <v>2</v>
      </c>
      <c r="G424" s="42" t="str">
        <f>VLOOKUP(F424,Key!$A$17:$B$21,2,FALSE)</f>
        <v>Road Vehicle</v>
      </c>
      <c r="H424" s="36">
        <v>2</v>
      </c>
      <c r="I424" s="43" t="str">
        <f>VLOOKUP(H424,Key!$A$2:$B$13,2,FALSE)</f>
        <v>Station Wagon</v>
      </c>
      <c r="J424" s="37" t="s">
        <v>123</v>
      </c>
      <c r="K424" s="37">
        <v>4</v>
      </c>
      <c r="L424" s="45" t="str">
        <f>VLOOKUP(K424,Key!$A$24:$B$29,2,FALSE)</f>
        <v>50-59</v>
      </c>
      <c r="M424" s="37" t="s">
        <v>256</v>
      </c>
      <c r="N424" s="32" t="s">
        <v>167</v>
      </c>
      <c r="O424" s="37" t="s">
        <v>168</v>
      </c>
      <c r="P424" s="39">
        <v>8</v>
      </c>
      <c r="Q424" s="34" t="str">
        <f>VLOOKUP(P424,Key!$E$2:$F$9,2,FALSE)</f>
        <v>Others</v>
      </c>
      <c r="R424" s="37" t="s">
        <v>257</v>
      </c>
      <c r="S424" s="32" t="s">
        <v>167</v>
      </c>
      <c r="T424" s="37" t="s">
        <v>168</v>
      </c>
      <c r="U424" s="32">
        <v>2</v>
      </c>
      <c r="V424" s="34" t="str">
        <f>VLOOKUP(U424,Key!$E$2:$F$9,2,FALSE)</f>
        <v>Work</v>
      </c>
      <c r="W424" s="34" t="str">
        <f t="shared" ref="W424:W476" si="10">Q424&amp;"-"&amp;V424</f>
        <v>Others-Work</v>
      </c>
      <c r="X424" s="47">
        <v>20000</v>
      </c>
      <c r="Y424" s="38">
        <v>5</v>
      </c>
      <c r="Z424" s="38">
        <v>0.2</v>
      </c>
      <c r="AA424" s="32">
        <v>5</v>
      </c>
      <c r="AB424" s="34" t="str">
        <f>VLOOKUP(AA424,Key!$C$20:$D$29,2,FALSE)</f>
        <v>Professional</v>
      </c>
      <c r="AC424" s="32">
        <v>2</v>
      </c>
      <c r="AD424" s="34" t="str">
        <f>VLOOKUP(AC424,Key!$E$20:$F$24,2,FALSE)</f>
        <v>300,000-500,000</v>
      </c>
      <c r="AE424" s="32"/>
      <c r="AF424" s="55"/>
      <c r="AG424" s="55"/>
      <c r="AH424" s="55"/>
      <c r="AI424" s="55"/>
      <c r="AJ424" s="39" t="s">
        <v>104</v>
      </c>
      <c r="AK424" s="40">
        <v>1000</v>
      </c>
      <c r="AL424" s="24"/>
      <c r="AM424" s="24"/>
    </row>
    <row r="425" spans="2:39" hidden="1" x14ac:dyDescent="0.2">
      <c r="B425" s="50">
        <v>43687</v>
      </c>
      <c r="C425" s="35">
        <v>0.4375</v>
      </c>
      <c r="D425" s="35"/>
      <c r="E425" s="35" t="s">
        <v>111</v>
      </c>
      <c r="F425" s="37">
        <v>2</v>
      </c>
      <c r="G425" s="42" t="str">
        <f>VLOOKUP(F425,Key!$A$17:$B$21,2,FALSE)</f>
        <v>Road Vehicle</v>
      </c>
      <c r="H425" s="36">
        <v>2</v>
      </c>
      <c r="I425" s="43" t="str">
        <f>VLOOKUP(H425,Key!$A$2:$B$13,2,FALSE)</f>
        <v>Station Wagon</v>
      </c>
      <c r="J425" s="37" t="s">
        <v>123</v>
      </c>
      <c r="K425" s="37">
        <v>3</v>
      </c>
      <c r="L425" s="45" t="str">
        <f>VLOOKUP(K425,Key!$A$24:$B$29,2,FALSE)</f>
        <v>40-49</v>
      </c>
      <c r="M425" s="37" t="s">
        <v>187</v>
      </c>
      <c r="N425" s="32" t="s">
        <v>167</v>
      </c>
      <c r="O425" s="37" t="s">
        <v>168</v>
      </c>
      <c r="P425" s="39">
        <v>1</v>
      </c>
      <c r="Q425" s="34" t="str">
        <f>VLOOKUP(P425,Key!$E$2:$F$9,2,FALSE)</f>
        <v>Home</v>
      </c>
      <c r="R425" s="37" t="s">
        <v>277</v>
      </c>
      <c r="S425" s="32" t="s">
        <v>167</v>
      </c>
      <c r="T425" s="37" t="s">
        <v>168</v>
      </c>
      <c r="U425" s="32">
        <v>6</v>
      </c>
      <c r="V425" s="34" t="str">
        <f>VLOOKUP(U425,Key!$E$2:$F$9,2,FALSE)</f>
        <v>Leisure/Social</v>
      </c>
      <c r="W425" s="34" t="str">
        <f t="shared" si="10"/>
        <v>Home-Leisure/Social</v>
      </c>
      <c r="X425" s="47">
        <v>10000</v>
      </c>
      <c r="Y425" s="38">
        <v>10</v>
      </c>
      <c r="Z425" s="38">
        <v>0.2</v>
      </c>
      <c r="AA425" s="32">
        <v>6</v>
      </c>
      <c r="AB425" s="34" t="str">
        <f>VLOOKUP(AA425,Key!$C$20:$D$29,2,FALSE)</f>
        <v>Businessman</v>
      </c>
      <c r="AC425" s="32">
        <v>5</v>
      </c>
      <c r="AD425" s="34" t="str">
        <f>VLOOKUP(AC425,Key!$E$20:$F$24,2,FALSE)</f>
        <v>&gt;1,000,000</v>
      </c>
      <c r="AE425" s="32">
        <v>2</v>
      </c>
      <c r="AF425" s="55">
        <v>1</v>
      </c>
      <c r="AG425" s="55">
        <v>3</v>
      </c>
      <c r="AH425" s="55">
        <v>1</v>
      </c>
      <c r="AI425" s="55">
        <v>3</v>
      </c>
      <c r="AJ425" s="39" t="s">
        <v>104</v>
      </c>
      <c r="AK425" s="40">
        <v>1000</v>
      </c>
      <c r="AL425" s="24"/>
      <c r="AM425" s="24"/>
    </row>
    <row r="426" spans="2:39" hidden="1" x14ac:dyDescent="0.2">
      <c r="B426" s="50">
        <v>43686</v>
      </c>
      <c r="C426" s="35">
        <v>0.71527777777777779</v>
      </c>
      <c r="D426" s="35"/>
      <c r="E426" s="35" t="s">
        <v>111</v>
      </c>
      <c r="F426" s="37">
        <v>2</v>
      </c>
      <c r="G426" s="42" t="str">
        <f>VLOOKUP(F426,Key!$A$17:$B$21,2,FALSE)</f>
        <v>Road Vehicle</v>
      </c>
      <c r="H426" s="36">
        <v>2</v>
      </c>
      <c r="I426" s="43" t="str">
        <f>VLOOKUP(H426,Key!$A$2:$B$13,2,FALSE)</f>
        <v>Station Wagon</v>
      </c>
      <c r="J426" s="37" t="s">
        <v>123</v>
      </c>
      <c r="K426" s="37">
        <v>3</v>
      </c>
      <c r="L426" s="45" t="str">
        <f>VLOOKUP(K426,Key!$A$24:$B$29,2,FALSE)</f>
        <v>40-49</v>
      </c>
      <c r="M426" s="37" t="s">
        <v>276</v>
      </c>
      <c r="N426" s="32" t="s">
        <v>167</v>
      </c>
      <c r="O426" s="37" t="s">
        <v>168</v>
      </c>
      <c r="P426" s="39">
        <v>1</v>
      </c>
      <c r="Q426" s="34" t="str">
        <f>VLOOKUP(P426,Key!$E$2:$F$9,2,FALSE)</f>
        <v>Home</v>
      </c>
      <c r="R426" s="37" t="s">
        <v>216</v>
      </c>
      <c r="S426" s="32" t="s">
        <v>167</v>
      </c>
      <c r="T426" s="37" t="s">
        <v>168</v>
      </c>
      <c r="U426" s="32">
        <v>2</v>
      </c>
      <c r="V426" s="34" t="str">
        <f>VLOOKUP(U426,Key!$E$2:$F$9,2,FALSE)</f>
        <v>Work</v>
      </c>
      <c r="W426" s="34" t="str">
        <f t="shared" si="10"/>
        <v>Home-Work</v>
      </c>
      <c r="X426" s="47">
        <v>10000</v>
      </c>
      <c r="Y426" s="38">
        <v>10</v>
      </c>
      <c r="Z426" s="38">
        <v>0.3</v>
      </c>
      <c r="AA426" s="32">
        <v>6</v>
      </c>
      <c r="AB426" s="34" t="str">
        <f>VLOOKUP(AA426,Key!$C$20:$D$29,2,FALSE)</f>
        <v>Businessman</v>
      </c>
      <c r="AC426" s="32">
        <v>5</v>
      </c>
      <c r="AD426" s="34" t="str">
        <f>VLOOKUP(AC426,Key!$E$20:$F$24,2,FALSE)</f>
        <v>&gt;1,000,000</v>
      </c>
      <c r="AE426" s="32">
        <v>1</v>
      </c>
      <c r="AF426" s="55">
        <v>1</v>
      </c>
      <c r="AG426" s="55">
        <v>1</v>
      </c>
      <c r="AH426" s="55">
        <v>1</v>
      </c>
      <c r="AI426" s="55">
        <v>1</v>
      </c>
      <c r="AJ426" s="39" t="s">
        <v>104</v>
      </c>
      <c r="AK426" s="40"/>
      <c r="AL426" s="24"/>
      <c r="AM426" s="24"/>
    </row>
    <row r="427" spans="2:39" hidden="1" x14ac:dyDescent="0.2">
      <c r="B427" s="50">
        <v>43686</v>
      </c>
      <c r="C427" s="35">
        <v>0.65763888888888888</v>
      </c>
      <c r="D427" s="35"/>
      <c r="E427" s="35" t="s">
        <v>111</v>
      </c>
      <c r="F427" s="37">
        <v>2</v>
      </c>
      <c r="G427" s="42" t="str">
        <f>VLOOKUP(F427,Key!$A$17:$B$21,2,FALSE)</f>
        <v>Road Vehicle</v>
      </c>
      <c r="H427" s="36">
        <v>2</v>
      </c>
      <c r="I427" s="43" t="str">
        <f>VLOOKUP(H427,Key!$A$2:$B$13,2,FALSE)</f>
        <v>Station Wagon</v>
      </c>
      <c r="J427" s="37" t="s">
        <v>123</v>
      </c>
      <c r="K427" s="37">
        <v>3</v>
      </c>
      <c r="L427" s="45" t="str">
        <f>VLOOKUP(K427,Key!$A$24:$B$29,2,FALSE)</f>
        <v>40-49</v>
      </c>
      <c r="M427" s="44" t="s">
        <v>167</v>
      </c>
      <c r="N427" s="32" t="s">
        <v>167</v>
      </c>
      <c r="O427" s="37" t="s">
        <v>168</v>
      </c>
      <c r="P427" s="39">
        <v>2</v>
      </c>
      <c r="Q427" s="34" t="str">
        <f>VLOOKUP(P427,Key!$E$2:$F$9,2,FALSE)</f>
        <v>Work</v>
      </c>
      <c r="R427" s="37" t="s">
        <v>187</v>
      </c>
      <c r="S427" s="32" t="s">
        <v>167</v>
      </c>
      <c r="T427" s="37" t="s">
        <v>168</v>
      </c>
      <c r="U427" s="32">
        <v>2</v>
      </c>
      <c r="V427" s="34" t="str">
        <f>VLOOKUP(U427,Key!$E$2:$F$9,2,FALSE)</f>
        <v>Work</v>
      </c>
      <c r="W427" s="34" t="str">
        <f t="shared" si="10"/>
        <v>Work-Work</v>
      </c>
      <c r="X427" s="47">
        <v>20000</v>
      </c>
      <c r="Y427" s="38">
        <v>10</v>
      </c>
      <c r="Z427" s="38">
        <v>0.5</v>
      </c>
      <c r="AA427" s="32">
        <v>5</v>
      </c>
      <c r="AB427" s="34" t="str">
        <f>VLOOKUP(AA427,Key!$C$20:$D$29,2,FALSE)</f>
        <v>Professional</v>
      </c>
      <c r="AC427" s="32">
        <v>3</v>
      </c>
      <c r="AD427" s="34" t="str">
        <f>VLOOKUP(AC427,Key!$E$20:$F$24,2,FALSE)</f>
        <v>500,000-750,000</v>
      </c>
      <c r="AE427" s="32">
        <v>1</v>
      </c>
      <c r="AF427" s="55">
        <v>2</v>
      </c>
      <c r="AG427" s="55">
        <v>1</v>
      </c>
      <c r="AH427" s="55">
        <v>1</v>
      </c>
      <c r="AI427" s="55">
        <v>1</v>
      </c>
      <c r="AJ427" s="39" t="s">
        <v>104</v>
      </c>
      <c r="AK427" s="40">
        <v>2000</v>
      </c>
      <c r="AL427" s="24"/>
      <c r="AM427" s="24"/>
    </row>
    <row r="428" spans="2:39" hidden="1" x14ac:dyDescent="0.2">
      <c r="B428" s="50">
        <v>43686</v>
      </c>
      <c r="C428" s="35">
        <v>0.65763888888888888</v>
      </c>
      <c r="D428" s="35"/>
      <c r="E428" s="35" t="s">
        <v>111</v>
      </c>
      <c r="F428" s="37">
        <v>2</v>
      </c>
      <c r="G428" s="42" t="str">
        <f>VLOOKUP(F428,Key!$A$17:$B$21,2,FALSE)</f>
        <v>Road Vehicle</v>
      </c>
      <c r="H428" s="36">
        <v>2</v>
      </c>
      <c r="I428" s="43" t="str">
        <f>VLOOKUP(H428,Key!$A$2:$B$13,2,FALSE)</f>
        <v>Station Wagon</v>
      </c>
      <c r="J428" s="37" t="s">
        <v>123</v>
      </c>
      <c r="K428" s="37">
        <v>2</v>
      </c>
      <c r="L428" s="45" t="str">
        <f>VLOOKUP(K428,Key!$A$24:$B$29,2,FALSE)</f>
        <v>30-39</v>
      </c>
      <c r="M428" s="37" t="s">
        <v>255</v>
      </c>
      <c r="N428" s="32" t="s">
        <v>167</v>
      </c>
      <c r="O428" s="37" t="s">
        <v>168</v>
      </c>
      <c r="P428" s="39">
        <v>2</v>
      </c>
      <c r="Q428" s="34" t="str">
        <f>VLOOKUP(P428,Key!$E$2:$F$9,2,FALSE)</f>
        <v>Work</v>
      </c>
      <c r="R428" s="37" t="s">
        <v>202</v>
      </c>
      <c r="S428" s="32" t="s">
        <v>179</v>
      </c>
      <c r="T428" s="37" t="s">
        <v>168</v>
      </c>
      <c r="U428" s="32">
        <v>1</v>
      </c>
      <c r="V428" s="34" t="str">
        <f>VLOOKUP(U428,Key!$E$2:$F$9,2,FALSE)</f>
        <v>Home</v>
      </c>
      <c r="W428" s="34" t="str">
        <f t="shared" si="10"/>
        <v>Work-Home</v>
      </c>
      <c r="X428" s="47">
        <v>20000</v>
      </c>
      <c r="Y428" s="38">
        <v>15</v>
      </c>
      <c r="Z428" s="38">
        <v>1</v>
      </c>
      <c r="AA428" s="32">
        <v>7</v>
      </c>
      <c r="AB428" s="34" t="str">
        <f>VLOOKUP(AA428,Key!$C$20:$D$29,2,FALSE)</f>
        <v>Farmer</v>
      </c>
      <c r="AC428" s="32">
        <v>1</v>
      </c>
      <c r="AD428" s="34" t="str">
        <f>VLOOKUP(AC428,Key!$E$20:$F$24,2,FALSE)</f>
        <v>&lt;300,000</v>
      </c>
      <c r="AE428" s="32">
        <v>2</v>
      </c>
      <c r="AF428" s="55">
        <v>1</v>
      </c>
      <c r="AG428" s="55">
        <v>1</v>
      </c>
      <c r="AH428" s="55">
        <v>1</v>
      </c>
      <c r="AI428" s="55">
        <v>1</v>
      </c>
      <c r="AJ428" s="39" t="s">
        <v>104</v>
      </c>
      <c r="AK428" s="40">
        <v>1000</v>
      </c>
      <c r="AL428" s="24"/>
      <c r="AM428" s="24"/>
    </row>
    <row r="429" spans="2:39" hidden="1" x14ac:dyDescent="0.2">
      <c r="B429" s="50">
        <v>43687</v>
      </c>
      <c r="C429" s="35">
        <v>0.60625000000000007</v>
      </c>
      <c r="D429" s="35"/>
      <c r="E429" s="35" t="s">
        <v>111</v>
      </c>
      <c r="F429" s="37">
        <v>2</v>
      </c>
      <c r="G429" s="42" t="str">
        <f>VLOOKUP(F429,Key!$A$17:$B$21,2,FALSE)</f>
        <v>Road Vehicle</v>
      </c>
      <c r="H429" s="36">
        <v>2</v>
      </c>
      <c r="I429" s="43" t="str">
        <f>VLOOKUP(H429,Key!$A$2:$B$13,2,FALSE)</f>
        <v>Station Wagon</v>
      </c>
      <c r="J429" s="37" t="s">
        <v>123</v>
      </c>
      <c r="K429" s="37">
        <v>2</v>
      </c>
      <c r="L429" s="45" t="str">
        <f>VLOOKUP(K429,Key!$A$24:$B$29,2,FALSE)</f>
        <v>30-39</v>
      </c>
      <c r="M429" s="37" t="s">
        <v>167</v>
      </c>
      <c r="N429" s="32" t="s">
        <v>167</v>
      </c>
      <c r="O429" s="37" t="s">
        <v>168</v>
      </c>
      <c r="P429" s="39">
        <v>2</v>
      </c>
      <c r="Q429" s="34" t="str">
        <f>VLOOKUP(P429,Key!$E$2:$F$9,2,FALSE)</f>
        <v>Work</v>
      </c>
      <c r="R429" s="37" t="s">
        <v>217</v>
      </c>
      <c r="S429" s="32" t="s">
        <v>176</v>
      </c>
      <c r="T429" s="37" t="s">
        <v>168</v>
      </c>
      <c r="U429" s="32">
        <v>1</v>
      </c>
      <c r="V429" s="34" t="str">
        <f>VLOOKUP(U429,Key!$E$2:$F$9,2,FALSE)</f>
        <v>Home</v>
      </c>
      <c r="W429" s="34" t="str">
        <f t="shared" si="10"/>
        <v>Work-Home</v>
      </c>
      <c r="X429" s="47">
        <v>50000</v>
      </c>
      <c r="Y429" s="38">
        <v>20</v>
      </c>
      <c r="Z429" s="38">
        <v>2</v>
      </c>
      <c r="AA429" s="32">
        <v>4</v>
      </c>
      <c r="AB429" s="34" t="str">
        <f>VLOOKUP(AA429,Key!$C$20:$D$29,2,FALSE)</f>
        <v>Office Worker</v>
      </c>
      <c r="AC429" s="32">
        <v>3</v>
      </c>
      <c r="AD429" s="34" t="str">
        <f>VLOOKUP(AC429,Key!$E$20:$F$24,2,FALSE)</f>
        <v>500,000-750,000</v>
      </c>
      <c r="AE429" s="32">
        <v>4</v>
      </c>
      <c r="AF429" s="55">
        <v>2</v>
      </c>
      <c r="AG429" s="55">
        <v>4</v>
      </c>
      <c r="AH429" s="55">
        <v>4</v>
      </c>
      <c r="AI429" s="55">
        <v>4</v>
      </c>
      <c r="AJ429" s="39" t="s">
        <v>104</v>
      </c>
      <c r="AK429" s="40">
        <v>2000</v>
      </c>
      <c r="AL429" s="24"/>
      <c r="AM429" s="24"/>
    </row>
    <row r="430" spans="2:39" hidden="1" x14ac:dyDescent="0.2">
      <c r="B430" s="50">
        <v>43690</v>
      </c>
      <c r="C430" s="35">
        <v>0.66736111111111107</v>
      </c>
      <c r="D430" s="35"/>
      <c r="E430" s="35" t="s">
        <v>111</v>
      </c>
      <c r="F430" s="37">
        <v>2</v>
      </c>
      <c r="G430" s="42" t="str">
        <f>VLOOKUP(F430,Key!$A$17:$B$21,2,FALSE)</f>
        <v>Road Vehicle</v>
      </c>
      <c r="H430" s="36">
        <v>2</v>
      </c>
      <c r="I430" s="43" t="str">
        <f>VLOOKUP(H430,Key!$A$2:$B$13,2,FALSE)</f>
        <v>Station Wagon</v>
      </c>
      <c r="J430" s="37" t="s">
        <v>123</v>
      </c>
      <c r="K430" s="13">
        <v>2</v>
      </c>
      <c r="L430" s="45" t="str">
        <f>VLOOKUP(K430,Key!$A$24:$B$29,2,FALSE)</f>
        <v>30-39</v>
      </c>
      <c r="M430" s="44" t="s">
        <v>167</v>
      </c>
      <c r="N430" s="44" t="s">
        <v>167</v>
      </c>
      <c r="O430" s="37" t="s">
        <v>168</v>
      </c>
      <c r="P430" s="39">
        <v>2</v>
      </c>
      <c r="Q430" s="34" t="str">
        <f>VLOOKUP(P430,Key!$E$2:$F$9,2,FALSE)</f>
        <v>Work</v>
      </c>
      <c r="R430" s="37" t="s">
        <v>194</v>
      </c>
      <c r="S430" s="32" t="s">
        <v>179</v>
      </c>
      <c r="T430" s="37" t="s">
        <v>168</v>
      </c>
      <c r="U430" s="32">
        <v>2</v>
      </c>
      <c r="V430" s="34" t="str">
        <f>VLOOKUP(U430,Key!$E$2:$F$9,2,FALSE)</f>
        <v>Work</v>
      </c>
      <c r="W430" s="34" t="str">
        <f t="shared" si="10"/>
        <v>Work-Work</v>
      </c>
      <c r="X430" s="47">
        <v>40000</v>
      </c>
      <c r="Y430" s="38">
        <v>30</v>
      </c>
      <c r="Z430" s="38">
        <v>1</v>
      </c>
      <c r="AA430" s="32">
        <v>6</v>
      </c>
      <c r="AB430" s="34" t="str">
        <f>VLOOKUP(AA430,Key!$C$20:$D$29,2,FALSE)</f>
        <v>Businessman</v>
      </c>
      <c r="AC430" s="32">
        <v>2</v>
      </c>
      <c r="AD430" s="34" t="str">
        <f>VLOOKUP(AC430,Key!$E$20:$F$24,2,FALSE)</f>
        <v>300,000-500,000</v>
      </c>
      <c r="AE430" s="32">
        <v>1</v>
      </c>
      <c r="AF430" s="55">
        <v>1</v>
      </c>
      <c r="AG430" s="55">
        <v>1</v>
      </c>
      <c r="AH430" s="55">
        <v>1</v>
      </c>
      <c r="AI430" s="55">
        <v>1</v>
      </c>
      <c r="AJ430" s="39" t="s">
        <v>104</v>
      </c>
      <c r="AK430" s="40">
        <v>1000</v>
      </c>
      <c r="AL430" s="24"/>
      <c r="AM430" s="24"/>
    </row>
    <row r="431" spans="2:39" hidden="1" x14ac:dyDescent="0.2">
      <c r="B431" s="50">
        <v>43689</v>
      </c>
      <c r="C431" s="35">
        <v>0.59027777777777779</v>
      </c>
      <c r="D431" s="35"/>
      <c r="E431" s="35" t="s">
        <v>111</v>
      </c>
      <c r="F431" s="37">
        <v>2</v>
      </c>
      <c r="G431" s="42" t="str">
        <f>VLOOKUP(F431,Key!$A$17:$B$21,2,FALSE)</f>
        <v>Road Vehicle</v>
      </c>
      <c r="H431" s="36">
        <v>2</v>
      </c>
      <c r="I431" s="43" t="str">
        <f>VLOOKUP(H431,Key!$A$2:$B$13,2,FALSE)</f>
        <v>Station Wagon</v>
      </c>
      <c r="J431" s="37" t="s">
        <v>166</v>
      </c>
      <c r="K431" s="37">
        <v>3</v>
      </c>
      <c r="L431" s="45" t="str">
        <f>VLOOKUP(K431,Key!$A$24:$B$29,2,FALSE)</f>
        <v>40-49</v>
      </c>
      <c r="M431" s="37" t="s">
        <v>258</v>
      </c>
      <c r="N431" s="32" t="s">
        <v>190</v>
      </c>
      <c r="O431" s="37" t="s">
        <v>168</v>
      </c>
      <c r="P431" s="39">
        <v>1</v>
      </c>
      <c r="Q431" s="34" t="str">
        <f>VLOOKUP(P431,Key!$E$2:$F$9,2,FALSE)</f>
        <v>Home</v>
      </c>
      <c r="R431" s="37" t="s">
        <v>167</v>
      </c>
      <c r="S431" s="32" t="s">
        <v>167</v>
      </c>
      <c r="T431" s="37" t="s">
        <v>168</v>
      </c>
      <c r="U431" s="32">
        <v>6</v>
      </c>
      <c r="V431" s="34" t="str">
        <f>VLOOKUP(U431,Key!$E$2:$F$9,2,FALSE)</f>
        <v>Leisure/Social</v>
      </c>
      <c r="W431" s="34" t="str">
        <f t="shared" si="10"/>
        <v>Home-Leisure/Social</v>
      </c>
      <c r="X431" s="47">
        <v>50000</v>
      </c>
      <c r="Y431" s="38">
        <v>30</v>
      </c>
      <c r="Z431" s="38">
        <v>2</v>
      </c>
      <c r="AA431" s="32">
        <v>4</v>
      </c>
      <c r="AB431" s="34" t="str">
        <f>VLOOKUP(AA431,Key!$C$20:$D$29,2,FALSE)</f>
        <v>Office Worker</v>
      </c>
      <c r="AC431" s="32">
        <v>5</v>
      </c>
      <c r="AD431" s="34" t="str">
        <f>VLOOKUP(AC431,Key!$E$20:$F$24,2,FALSE)</f>
        <v>&gt;1,000,000</v>
      </c>
      <c r="AE431" s="32">
        <v>1</v>
      </c>
      <c r="AF431" s="55">
        <v>1</v>
      </c>
      <c r="AG431" s="55">
        <v>1</v>
      </c>
      <c r="AH431" s="55">
        <v>1</v>
      </c>
      <c r="AI431" s="55">
        <v>1</v>
      </c>
      <c r="AJ431" s="39" t="s">
        <v>104</v>
      </c>
      <c r="AK431" s="40">
        <v>2000</v>
      </c>
      <c r="AL431" s="24"/>
      <c r="AM431" s="24"/>
    </row>
    <row r="432" spans="2:39" hidden="1" x14ac:dyDescent="0.2">
      <c r="B432" s="50">
        <v>43689</v>
      </c>
      <c r="C432" s="35">
        <v>0.65277777777777779</v>
      </c>
      <c r="D432" s="35"/>
      <c r="E432" s="35" t="s">
        <v>111</v>
      </c>
      <c r="F432" s="37">
        <v>2</v>
      </c>
      <c r="G432" s="42" t="str">
        <f>VLOOKUP(F432,Key!$A$17:$B$21,2,FALSE)</f>
        <v>Road Vehicle</v>
      </c>
      <c r="H432" s="36">
        <v>2</v>
      </c>
      <c r="I432" s="43" t="str">
        <f>VLOOKUP(H432,Key!$A$2:$B$13,2,FALSE)</f>
        <v>Station Wagon</v>
      </c>
      <c r="J432" s="37" t="s">
        <v>123</v>
      </c>
      <c r="K432" s="37">
        <v>4</v>
      </c>
      <c r="L432" s="45" t="str">
        <f>VLOOKUP(K432,Key!$A$24:$B$29,2,FALSE)</f>
        <v>50-59</v>
      </c>
      <c r="M432" s="37" t="s">
        <v>216</v>
      </c>
      <c r="N432" s="32" t="s">
        <v>167</v>
      </c>
      <c r="O432" s="37" t="s">
        <v>168</v>
      </c>
      <c r="P432" s="39">
        <v>2</v>
      </c>
      <c r="Q432" s="34" t="str">
        <f>VLOOKUP(P432,Key!$E$2:$F$9,2,FALSE)</f>
        <v>Work</v>
      </c>
      <c r="R432" s="37" t="s">
        <v>229</v>
      </c>
      <c r="S432" s="32" t="s">
        <v>190</v>
      </c>
      <c r="T432" s="37" t="s">
        <v>168</v>
      </c>
      <c r="U432" s="32">
        <v>1</v>
      </c>
      <c r="V432" s="34" t="str">
        <f>VLOOKUP(U432,Key!$E$2:$F$9,2,FALSE)</f>
        <v>Home</v>
      </c>
      <c r="W432" s="34" t="str">
        <f t="shared" si="10"/>
        <v>Work-Home</v>
      </c>
      <c r="X432" s="47">
        <v>20000</v>
      </c>
      <c r="Y432" s="38">
        <v>40</v>
      </c>
      <c r="Z432" s="38">
        <v>1</v>
      </c>
      <c r="AA432" s="32">
        <v>5</v>
      </c>
      <c r="AB432" s="34" t="str">
        <f>VLOOKUP(AA432,Key!$C$20:$D$29,2,FALSE)</f>
        <v>Professional</v>
      </c>
      <c r="AC432" s="32">
        <v>5</v>
      </c>
      <c r="AD432" s="34" t="str">
        <f>VLOOKUP(AC432,Key!$E$20:$F$24,2,FALSE)</f>
        <v>&gt;1,000,000</v>
      </c>
      <c r="AE432" s="32">
        <v>1</v>
      </c>
      <c r="AF432" s="55">
        <v>1</v>
      </c>
      <c r="AG432" s="55">
        <v>1</v>
      </c>
      <c r="AH432" s="55">
        <v>1</v>
      </c>
      <c r="AI432" s="55">
        <v>1</v>
      </c>
      <c r="AJ432" s="39" t="s">
        <v>104</v>
      </c>
      <c r="AK432" s="40">
        <v>2000</v>
      </c>
      <c r="AL432" s="24"/>
      <c r="AM432" s="24"/>
    </row>
    <row r="433" spans="2:39" hidden="1" x14ac:dyDescent="0.2">
      <c r="B433" s="50">
        <v>43687</v>
      </c>
      <c r="C433" s="35">
        <v>0.34583333333333338</v>
      </c>
      <c r="D433" s="35"/>
      <c r="E433" s="35" t="s">
        <v>111</v>
      </c>
      <c r="F433" s="37">
        <v>2</v>
      </c>
      <c r="G433" s="42" t="str">
        <f>VLOOKUP(F433,Key!$A$17:$B$21,2,FALSE)</f>
        <v>Road Vehicle</v>
      </c>
      <c r="H433" s="36">
        <v>2</v>
      </c>
      <c r="I433" s="43" t="str">
        <f>VLOOKUP(H433,Key!$A$2:$B$13,2,FALSE)</f>
        <v>Station Wagon</v>
      </c>
      <c r="J433" s="37" t="s">
        <v>123</v>
      </c>
      <c r="K433" s="37">
        <v>4</v>
      </c>
      <c r="L433" s="45" t="str">
        <f>VLOOKUP(K433,Key!$A$24:$B$29,2,FALSE)</f>
        <v>50-59</v>
      </c>
      <c r="M433" s="37" t="s">
        <v>167</v>
      </c>
      <c r="N433" s="32" t="s">
        <v>167</v>
      </c>
      <c r="O433" s="37" t="s">
        <v>168</v>
      </c>
      <c r="P433" s="39">
        <v>1</v>
      </c>
      <c r="Q433" s="34" t="str">
        <f>VLOOKUP(P433,Key!$E$2:$F$9,2,FALSE)</f>
        <v>Home</v>
      </c>
      <c r="R433" s="37" t="s">
        <v>167</v>
      </c>
      <c r="S433" s="32" t="s">
        <v>167</v>
      </c>
      <c r="T433" s="37" t="s">
        <v>168</v>
      </c>
      <c r="U433" s="32">
        <v>6</v>
      </c>
      <c r="V433" s="34" t="str">
        <f>VLOOKUP(U433,Key!$E$2:$F$9,2,FALSE)</f>
        <v>Leisure/Social</v>
      </c>
      <c r="W433" s="34" t="str">
        <f t="shared" si="10"/>
        <v>Home-Leisure/Social</v>
      </c>
      <c r="X433" s="47">
        <v>50000</v>
      </c>
      <c r="Y433" s="38">
        <v>40</v>
      </c>
      <c r="Z433" s="38">
        <v>1.5</v>
      </c>
      <c r="AA433" s="32">
        <v>6</v>
      </c>
      <c r="AB433" s="34" t="str">
        <f>VLOOKUP(AA433,Key!$C$20:$D$29,2,FALSE)</f>
        <v>Businessman</v>
      </c>
      <c r="AC433" s="32">
        <v>5</v>
      </c>
      <c r="AD433" s="34" t="str">
        <f>VLOOKUP(AC433,Key!$E$20:$F$24,2,FALSE)</f>
        <v>&gt;1,000,000</v>
      </c>
      <c r="AE433" s="32">
        <v>1</v>
      </c>
      <c r="AF433" s="55">
        <v>1</v>
      </c>
      <c r="AG433" s="55">
        <v>2</v>
      </c>
      <c r="AH433" s="55">
        <v>1</v>
      </c>
      <c r="AI433" s="55">
        <v>3</v>
      </c>
      <c r="AJ433" s="39" t="s">
        <v>104</v>
      </c>
      <c r="AK433" s="40"/>
      <c r="AL433" s="24"/>
      <c r="AM433" s="24"/>
    </row>
    <row r="434" spans="2:39" hidden="1" x14ac:dyDescent="0.2">
      <c r="B434" s="50">
        <v>43688</v>
      </c>
      <c r="C434" s="35">
        <v>0.68263888888888891</v>
      </c>
      <c r="D434" s="35"/>
      <c r="E434" s="35" t="s">
        <v>111</v>
      </c>
      <c r="F434" s="37">
        <v>2</v>
      </c>
      <c r="G434" s="42" t="str">
        <f>VLOOKUP(F434,Key!$A$17:$B$21,2,FALSE)</f>
        <v>Road Vehicle</v>
      </c>
      <c r="H434" s="36">
        <v>2</v>
      </c>
      <c r="I434" s="43" t="str">
        <f>VLOOKUP(H434,Key!$A$2:$B$13,2,FALSE)</f>
        <v>Station Wagon</v>
      </c>
      <c r="J434" s="37" t="s">
        <v>166</v>
      </c>
      <c r="K434" s="13">
        <v>2</v>
      </c>
      <c r="L434" s="45" t="str">
        <f>VLOOKUP(K434,Key!$A$24:$B$29,2,FALSE)</f>
        <v>30-39</v>
      </c>
      <c r="M434" s="44" t="s">
        <v>193</v>
      </c>
      <c r="N434" s="44" t="s">
        <v>176</v>
      </c>
      <c r="O434" s="37" t="s">
        <v>168</v>
      </c>
      <c r="P434" s="39">
        <v>1</v>
      </c>
      <c r="Q434" s="34" t="str">
        <f>VLOOKUP(P434,Key!$E$2:$F$9,2,FALSE)</f>
        <v>Home</v>
      </c>
      <c r="R434" s="37" t="s">
        <v>167</v>
      </c>
      <c r="S434" s="32" t="s">
        <v>167</v>
      </c>
      <c r="T434" s="37" t="s">
        <v>168</v>
      </c>
      <c r="U434" s="32">
        <v>4</v>
      </c>
      <c r="V434" s="34" t="str">
        <f>VLOOKUP(U434,Key!$E$2:$F$9,2,FALSE)</f>
        <v>Commercial</v>
      </c>
      <c r="W434" s="34" t="str">
        <f t="shared" si="10"/>
        <v>Home-Commercial</v>
      </c>
      <c r="X434" s="47">
        <v>40000</v>
      </c>
      <c r="Y434" s="38">
        <v>40</v>
      </c>
      <c r="Z434" s="38">
        <v>2</v>
      </c>
      <c r="AA434" s="32">
        <v>6</v>
      </c>
      <c r="AB434" s="34" t="str">
        <f>VLOOKUP(AA434,Key!$C$20:$D$29,2,FALSE)</f>
        <v>Businessman</v>
      </c>
      <c r="AC434" s="32">
        <v>4</v>
      </c>
      <c r="AD434" s="34" t="str">
        <f>VLOOKUP(AC434,Key!$E$20:$F$24,2,FALSE)</f>
        <v>750,000-1,000,000</v>
      </c>
      <c r="AE434" s="32">
        <v>1</v>
      </c>
      <c r="AF434" s="55">
        <v>2</v>
      </c>
      <c r="AG434" s="55">
        <v>1</v>
      </c>
      <c r="AH434" s="55">
        <v>1</v>
      </c>
      <c r="AI434" s="55">
        <v>1</v>
      </c>
      <c r="AJ434" s="39" t="s">
        <v>104</v>
      </c>
      <c r="AK434" s="40">
        <v>1000</v>
      </c>
      <c r="AL434" s="24"/>
      <c r="AM434" s="24"/>
    </row>
    <row r="435" spans="2:39" hidden="1" x14ac:dyDescent="0.2">
      <c r="B435" s="50">
        <v>43690</v>
      </c>
      <c r="C435" s="35">
        <v>0.40625</v>
      </c>
      <c r="D435" s="35"/>
      <c r="E435" s="35" t="s">
        <v>111</v>
      </c>
      <c r="F435" s="37">
        <v>2</v>
      </c>
      <c r="G435" s="42" t="str">
        <f>VLOOKUP(F435,Key!$A$17:$B$21,2,FALSE)</f>
        <v>Road Vehicle</v>
      </c>
      <c r="H435" s="36">
        <v>2</v>
      </c>
      <c r="I435" s="43" t="str">
        <f>VLOOKUP(H435,Key!$A$2:$B$13,2,FALSE)</f>
        <v>Station Wagon</v>
      </c>
      <c r="J435" s="37" t="s">
        <v>166</v>
      </c>
      <c r="K435" s="37">
        <v>2</v>
      </c>
      <c r="L435" s="45" t="str">
        <f>VLOOKUP(K435,Key!$A$24:$B$29,2,FALSE)</f>
        <v>30-39</v>
      </c>
      <c r="M435" s="37" t="s">
        <v>297</v>
      </c>
      <c r="N435" s="32" t="s">
        <v>167</v>
      </c>
      <c r="O435" s="37" t="s">
        <v>168</v>
      </c>
      <c r="P435" s="39">
        <v>2</v>
      </c>
      <c r="Q435" s="34" t="str">
        <f>VLOOKUP(P435,Key!$E$2:$F$9,2,FALSE)</f>
        <v>Work</v>
      </c>
      <c r="R435" s="37" t="s">
        <v>195</v>
      </c>
      <c r="S435" s="32" t="s">
        <v>190</v>
      </c>
      <c r="T435" s="37" t="s">
        <v>168</v>
      </c>
      <c r="U435" s="32">
        <v>1</v>
      </c>
      <c r="V435" s="34" t="str">
        <f>VLOOKUP(U435,Key!$E$2:$F$9,2,FALSE)</f>
        <v>Home</v>
      </c>
      <c r="W435" s="34" t="str">
        <f t="shared" si="10"/>
        <v>Work-Home</v>
      </c>
      <c r="X435" s="47">
        <v>20000</v>
      </c>
      <c r="Y435" s="38">
        <v>40</v>
      </c>
      <c r="Z435" s="38">
        <v>2</v>
      </c>
      <c r="AA435" s="32">
        <v>4</v>
      </c>
      <c r="AB435" s="34" t="str">
        <f>VLOOKUP(AA435,Key!$C$20:$D$29,2,FALSE)</f>
        <v>Office Worker</v>
      </c>
      <c r="AC435" s="32">
        <v>1</v>
      </c>
      <c r="AD435" s="34" t="str">
        <f>VLOOKUP(AC435,Key!$E$20:$F$24,2,FALSE)</f>
        <v>&lt;300,000</v>
      </c>
      <c r="AE435" s="32">
        <v>1</v>
      </c>
      <c r="AF435" s="55">
        <v>1</v>
      </c>
      <c r="AG435" s="55">
        <v>1</v>
      </c>
      <c r="AH435" s="55">
        <v>1</v>
      </c>
      <c r="AI435" s="55">
        <v>1</v>
      </c>
      <c r="AJ435" s="39" t="s">
        <v>104</v>
      </c>
      <c r="AK435" s="40">
        <v>1000</v>
      </c>
      <c r="AL435" s="24"/>
      <c r="AM435" s="24"/>
    </row>
    <row r="436" spans="2:39" hidden="1" x14ac:dyDescent="0.2">
      <c r="B436" s="50">
        <v>43689</v>
      </c>
      <c r="C436" s="35">
        <v>0.3923611111111111</v>
      </c>
      <c r="D436" s="35"/>
      <c r="E436" s="35" t="s">
        <v>111</v>
      </c>
      <c r="F436" s="37">
        <v>2</v>
      </c>
      <c r="G436" s="42" t="str">
        <f>VLOOKUP(F436,Key!$A$17:$B$21,2,FALSE)</f>
        <v>Road Vehicle</v>
      </c>
      <c r="H436" s="36">
        <v>2</v>
      </c>
      <c r="I436" s="43" t="str">
        <f>VLOOKUP(H436,Key!$A$2:$B$13,2,FALSE)</f>
        <v>Station Wagon</v>
      </c>
      <c r="J436" s="37" t="s">
        <v>166</v>
      </c>
      <c r="K436" s="37">
        <v>4</v>
      </c>
      <c r="L436" s="45" t="str">
        <f>VLOOKUP(K436,Key!$A$24:$B$29,2,FALSE)</f>
        <v>50-59</v>
      </c>
      <c r="M436" s="37" t="s">
        <v>186</v>
      </c>
      <c r="N436" s="32" t="s">
        <v>167</v>
      </c>
      <c r="O436" s="37" t="s">
        <v>168</v>
      </c>
      <c r="P436" s="39">
        <v>2</v>
      </c>
      <c r="Q436" s="34" t="str">
        <f>VLOOKUP(P436,Key!$E$2:$F$9,2,FALSE)</f>
        <v>Work</v>
      </c>
      <c r="R436" s="37" t="s">
        <v>202</v>
      </c>
      <c r="S436" s="32" t="s">
        <v>170</v>
      </c>
      <c r="T436" s="37" t="s">
        <v>168</v>
      </c>
      <c r="U436" s="32">
        <v>1</v>
      </c>
      <c r="V436" s="34" t="str">
        <f>VLOOKUP(U436,Key!$E$2:$F$9,2,FALSE)</f>
        <v>Home</v>
      </c>
      <c r="W436" s="34" t="str">
        <f t="shared" si="10"/>
        <v>Work-Home</v>
      </c>
      <c r="X436" s="47">
        <v>30000</v>
      </c>
      <c r="Y436" s="38">
        <v>40</v>
      </c>
      <c r="Z436" s="38">
        <v>2</v>
      </c>
      <c r="AA436" s="32">
        <v>5</v>
      </c>
      <c r="AB436" s="34" t="str">
        <f>VLOOKUP(AA436,Key!$C$20:$D$29,2,FALSE)</f>
        <v>Professional</v>
      </c>
      <c r="AC436" s="32">
        <v>3</v>
      </c>
      <c r="AD436" s="34" t="str">
        <f>VLOOKUP(AC436,Key!$E$20:$F$24,2,FALSE)</f>
        <v>500,000-750,000</v>
      </c>
      <c r="AE436" s="32">
        <v>1</v>
      </c>
      <c r="AF436" s="55">
        <v>1</v>
      </c>
      <c r="AG436" s="55">
        <v>1</v>
      </c>
      <c r="AH436" s="55">
        <v>1</v>
      </c>
      <c r="AI436" s="55">
        <v>2</v>
      </c>
      <c r="AJ436" s="39" t="s">
        <v>104</v>
      </c>
      <c r="AK436" s="40">
        <v>1000</v>
      </c>
      <c r="AL436" s="24"/>
      <c r="AM436" s="24"/>
    </row>
    <row r="437" spans="2:39" hidden="1" x14ac:dyDescent="0.2">
      <c r="B437" s="50">
        <v>43687</v>
      </c>
      <c r="C437" s="35">
        <v>0.40625</v>
      </c>
      <c r="D437" s="35"/>
      <c r="E437" s="35" t="s">
        <v>111</v>
      </c>
      <c r="F437" s="37">
        <v>2</v>
      </c>
      <c r="G437" s="42" t="str">
        <f>VLOOKUP(F437,Key!$A$17:$B$21,2,FALSE)</f>
        <v>Road Vehicle</v>
      </c>
      <c r="H437" s="36">
        <v>2</v>
      </c>
      <c r="I437" s="43" t="str">
        <f>VLOOKUP(H437,Key!$A$2:$B$13,2,FALSE)</f>
        <v>Station Wagon</v>
      </c>
      <c r="J437" s="37" t="s">
        <v>123</v>
      </c>
      <c r="K437" s="37">
        <v>3</v>
      </c>
      <c r="L437" s="45" t="str">
        <f>VLOOKUP(K437,Key!$A$24:$B$29,2,FALSE)</f>
        <v>40-49</v>
      </c>
      <c r="M437" s="37" t="s">
        <v>253</v>
      </c>
      <c r="N437" s="32" t="s">
        <v>167</v>
      </c>
      <c r="O437" s="37" t="s">
        <v>168</v>
      </c>
      <c r="P437" s="39">
        <v>2</v>
      </c>
      <c r="Q437" s="34" t="str">
        <f>VLOOKUP(P437,Key!$E$2:$F$9,2,FALSE)</f>
        <v>Work</v>
      </c>
      <c r="R437" s="37" t="s">
        <v>205</v>
      </c>
      <c r="S437" s="32" t="s">
        <v>205</v>
      </c>
      <c r="T437" s="37" t="s">
        <v>168</v>
      </c>
      <c r="U437" s="32">
        <v>2</v>
      </c>
      <c r="V437" s="34" t="str">
        <f>VLOOKUP(U437,Key!$E$2:$F$9,2,FALSE)</f>
        <v>Work</v>
      </c>
      <c r="W437" s="34" t="str">
        <f t="shared" si="10"/>
        <v>Work-Work</v>
      </c>
      <c r="X437" s="47">
        <v>40000</v>
      </c>
      <c r="Y437" s="38">
        <v>40</v>
      </c>
      <c r="Z437" s="38">
        <v>2</v>
      </c>
      <c r="AA437" s="32">
        <v>6</v>
      </c>
      <c r="AB437" s="34" t="str">
        <f>VLOOKUP(AA437,Key!$C$20:$D$29,2,FALSE)</f>
        <v>Businessman</v>
      </c>
      <c r="AC437" s="32">
        <v>1</v>
      </c>
      <c r="AD437" s="34" t="str">
        <f>VLOOKUP(AC437,Key!$E$20:$F$24,2,FALSE)</f>
        <v>&lt;300,000</v>
      </c>
      <c r="AE437" s="32">
        <v>1</v>
      </c>
      <c r="AF437" s="55">
        <v>1</v>
      </c>
      <c r="AG437" s="55">
        <v>1</v>
      </c>
      <c r="AH437" s="55">
        <v>1</v>
      </c>
      <c r="AI437" s="55">
        <v>2</v>
      </c>
      <c r="AJ437" s="39" t="s">
        <v>104</v>
      </c>
      <c r="AK437" s="40"/>
      <c r="AL437" s="24"/>
      <c r="AM437" s="24"/>
    </row>
    <row r="438" spans="2:39" hidden="1" x14ac:dyDescent="0.2">
      <c r="B438" s="50">
        <v>43687</v>
      </c>
      <c r="C438" s="35">
        <v>0.33680555555555558</v>
      </c>
      <c r="D438" s="35"/>
      <c r="E438" s="35" t="s">
        <v>111</v>
      </c>
      <c r="F438" s="37">
        <v>2</v>
      </c>
      <c r="G438" s="42" t="str">
        <f>VLOOKUP(F438,Key!$A$17:$B$21,2,FALSE)</f>
        <v>Road Vehicle</v>
      </c>
      <c r="H438" s="36">
        <v>2</v>
      </c>
      <c r="I438" s="43" t="str">
        <f>VLOOKUP(H438,Key!$A$2:$B$13,2,FALSE)</f>
        <v>Station Wagon</v>
      </c>
      <c r="J438" s="37" t="s">
        <v>123</v>
      </c>
      <c r="K438" s="37">
        <v>1</v>
      </c>
      <c r="L438" s="45" t="str">
        <f>VLOOKUP(K438,Key!$A$24:$B$29,2,FALSE)</f>
        <v>20-29</v>
      </c>
      <c r="M438" s="37" t="s">
        <v>337</v>
      </c>
      <c r="N438" s="32" t="s">
        <v>188</v>
      </c>
      <c r="O438" s="37" t="s">
        <v>168</v>
      </c>
      <c r="P438" s="39">
        <v>2</v>
      </c>
      <c r="Q438" s="34" t="str">
        <f>VLOOKUP(P438,Key!$E$2:$F$9,2,FALSE)</f>
        <v>Work</v>
      </c>
      <c r="R438" s="37" t="s">
        <v>167</v>
      </c>
      <c r="S438" s="32" t="s">
        <v>167</v>
      </c>
      <c r="T438" s="37" t="s">
        <v>168</v>
      </c>
      <c r="U438" s="32">
        <v>2</v>
      </c>
      <c r="V438" s="34" t="str">
        <f>VLOOKUP(U438,Key!$E$2:$F$9,2,FALSE)</f>
        <v>Work</v>
      </c>
      <c r="W438" s="34" t="str">
        <f t="shared" si="10"/>
        <v>Work-Work</v>
      </c>
      <c r="X438" s="47">
        <v>70000</v>
      </c>
      <c r="Y438" s="38">
        <v>40</v>
      </c>
      <c r="Z438" s="38">
        <v>2</v>
      </c>
      <c r="AA438" s="32">
        <v>10</v>
      </c>
      <c r="AB438" s="34" t="str">
        <f>VLOOKUP(AA438,Key!$C$20:$D$29,2,FALSE)</f>
        <v>Other</v>
      </c>
      <c r="AC438" s="32">
        <v>1</v>
      </c>
      <c r="AD438" s="34" t="str">
        <f>VLOOKUP(AC438,Key!$E$20:$F$24,2,FALSE)</f>
        <v>&lt;300,000</v>
      </c>
      <c r="AE438" s="32"/>
      <c r="AF438" s="55"/>
      <c r="AG438" s="55"/>
      <c r="AH438" s="55"/>
      <c r="AI438" s="55"/>
      <c r="AJ438" s="39" t="s">
        <v>104</v>
      </c>
      <c r="AK438" s="40">
        <v>2000</v>
      </c>
      <c r="AL438" s="24"/>
      <c r="AM438" s="24"/>
    </row>
    <row r="439" spans="2:39" hidden="1" x14ac:dyDescent="0.2">
      <c r="B439" s="50">
        <v>43687</v>
      </c>
      <c r="C439" s="35">
        <v>0.5229166666666667</v>
      </c>
      <c r="D439" s="35"/>
      <c r="E439" s="35" t="s">
        <v>111</v>
      </c>
      <c r="F439" s="37">
        <v>2</v>
      </c>
      <c r="G439" s="42" t="str">
        <f>VLOOKUP(F439,Key!$A$17:$B$21,2,FALSE)</f>
        <v>Road Vehicle</v>
      </c>
      <c r="H439" s="36">
        <v>2</v>
      </c>
      <c r="I439" s="43" t="str">
        <f>VLOOKUP(H439,Key!$A$2:$B$13,2,FALSE)</f>
        <v>Station Wagon</v>
      </c>
      <c r="J439" s="37" t="s">
        <v>123</v>
      </c>
      <c r="K439" s="37">
        <v>3</v>
      </c>
      <c r="L439" s="45" t="str">
        <f>VLOOKUP(K439,Key!$A$24:$B$29,2,FALSE)</f>
        <v>40-49</v>
      </c>
      <c r="M439" s="37" t="s">
        <v>189</v>
      </c>
      <c r="N439" s="32" t="s">
        <v>190</v>
      </c>
      <c r="O439" s="37" t="s">
        <v>168</v>
      </c>
      <c r="P439" s="39">
        <v>1</v>
      </c>
      <c r="Q439" s="34" t="str">
        <f>VLOOKUP(P439,Key!$E$2:$F$9,2,FALSE)</f>
        <v>Home</v>
      </c>
      <c r="R439" s="37" t="s">
        <v>187</v>
      </c>
      <c r="S439" s="32" t="s">
        <v>167</v>
      </c>
      <c r="T439" s="37" t="s">
        <v>168</v>
      </c>
      <c r="U439" s="32">
        <v>2</v>
      </c>
      <c r="V439" s="34" t="str">
        <f>VLOOKUP(U439,Key!$E$2:$F$9,2,FALSE)</f>
        <v>Work</v>
      </c>
      <c r="W439" s="34" t="str">
        <f t="shared" si="10"/>
        <v>Home-Work</v>
      </c>
      <c r="X439" s="47">
        <v>50000</v>
      </c>
      <c r="Y439" s="38">
        <v>50</v>
      </c>
      <c r="Z439" s="38">
        <v>2</v>
      </c>
      <c r="AA439" s="32">
        <v>6</v>
      </c>
      <c r="AB439" s="34" t="str">
        <f>VLOOKUP(AA439,Key!$C$20:$D$29,2,FALSE)</f>
        <v>Businessman</v>
      </c>
      <c r="AC439" s="32">
        <v>2</v>
      </c>
      <c r="AD439" s="34" t="str">
        <f>VLOOKUP(AC439,Key!$E$20:$F$24,2,FALSE)</f>
        <v>300,000-500,000</v>
      </c>
      <c r="AE439" s="32">
        <v>1</v>
      </c>
      <c r="AF439" s="55">
        <v>1</v>
      </c>
      <c r="AG439" s="55">
        <v>1</v>
      </c>
      <c r="AH439" s="55">
        <v>2</v>
      </c>
      <c r="AI439" s="55">
        <v>1</v>
      </c>
      <c r="AJ439" s="39" t="s">
        <v>104</v>
      </c>
      <c r="AK439" s="40">
        <v>2000</v>
      </c>
      <c r="AL439" s="24"/>
      <c r="AM439" s="24"/>
    </row>
    <row r="440" spans="2:39" x14ac:dyDescent="0.2">
      <c r="B440" s="50">
        <v>43690</v>
      </c>
      <c r="C440" s="35">
        <v>0.68055555555555547</v>
      </c>
      <c r="D440" s="35"/>
      <c r="E440" s="35" t="s">
        <v>111</v>
      </c>
      <c r="F440" s="37">
        <v>2</v>
      </c>
      <c r="G440" s="42" t="str">
        <f>VLOOKUP(F440,Key!$A$17:$B$21,2,FALSE)</f>
        <v>Road Vehicle</v>
      </c>
      <c r="H440" s="36">
        <v>2</v>
      </c>
      <c r="I440" s="43" t="str">
        <f>VLOOKUP(H440,Key!$A$2:$B$13,2,FALSE)</f>
        <v>Station Wagon</v>
      </c>
      <c r="J440" s="37" t="s">
        <v>166</v>
      </c>
      <c r="K440" s="37">
        <v>3</v>
      </c>
      <c r="L440" s="45" t="str">
        <f>VLOOKUP(K440,Key!$A$24:$B$29,2,FALSE)</f>
        <v>40-49</v>
      </c>
      <c r="M440" s="44" t="s">
        <v>216</v>
      </c>
      <c r="N440" s="44" t="s">
        <v>167</v>
      </c>
      <c r="O440" s="37" t="s">
        <v>168</v>
      </c>
      <c r="P440" s="39">
        <v>2</v>
      </c>
      <c r="Q440" s="34" t="str">
        <f>VLOOKUP(P440,Key!$E$2:$F$9,2,FALSE)</f>
        <v>Work</v>
      </c>
      <c r="R440" s="37" t="s">
        <v>217</v>
      </c>
      <c r="S440" s="32" t="s">
        <v>176</v>
      </c>
      <c r="T440" s="37" t="s">
        <v>168</v>
      </c>
      <c r="U440" s="32">
        <v>6</v>
      </c>
      <c r="V440" s="34" t="str">
        <f>VLOOKUP(U440,Key!$E$2:$F$9,2,FALSE)</f>
        <v>Leisure/Social</v>
      </c>
      <c r="W440" s="34" t="str">
        <f t="shared" si="10"/>
        <v>Work-Leisure/Social</v>
      </c>
      <c r="X440" s="47">
        <v>40000</v>
      </c>
      <c r="Y440" s="38">
        <v>70</v>
      </c>
      <c r="Z440" s="38">
        <v>2</v>
      </c>
      <c r="AA440" s="32">
        <v>5</v>
      </c>
      <c r="AB440" s="34" t="str">
        <f>VLOOKUP(AA440,Key!$C$20:$D$29,2,FALSE)</f>
        <v>Professional</v>
      </c>
      <c r="AC440" s="32">
        <v>4</v>
      </c>
      <c r="AD440" s="34" t="str">
        <f>VLOOKUP(AC440,Key!$E$20:$F$24,2,FALSE)</f>
        <v>750,000-1,000,000</v>
      </c>
      <c r="AE440" s="32">
        <v>1</v>
      </c>
      <c r="AF440" s="55">
        <v>1</v>
      </c>
      <c r="AG440" s="55">
        <v>1</v>
      </c>
      <c r="AH440" s="55">
        <v>1</v>
      </c>
      <c r="AI440" s="55">
        <v>1</v>
      </c>
      <c r="AJ440" s="39" t="s">
        <v>104</v>
      </c>
      <c r="AK440" s="40">
        <v>1000</v>
      </c>
      <c r="AL440" s="24"/>
      <c r="AM440" s="24"/>
    </row>
    <row r="441" spans="2:39" x14ac:dyDescent="0.2">
      <c r="B441" s="50">
        <v>43686</v>
      </c>
      <c r="C441" s="35">
        <v>0.64236111111111105</v>
      </c>
      <c r="D441" s="35"/>
      <c r="E441" s="35" t="s">
        <v>111</v>
      </c>
      <c r="F441" s="37">
        <v>2</v>
      </c>
      <c r="G441" s="42" t="str">
        <f>VLOOKUP(F441,Key!$A$17:$B$21,2,FALSE)</f>
        <v>Road Vehicle</v>
      </c>
      <c r="H441" s="36">
        <v>2</v>
      </c>
      <c r="I441" s="43" t="str">
        <f>VLOOKUP(H441,Key!$A$2:$B$13,2,FALSE)</f>
        <v>Station Wagon</v>
      </c>
      <c r="J441" s="37" t="s">
        <v>166</v>
      </c>
      <c r="K441" s="37">
        <v>3</v>
      </c>
      <c r="L441" s="45" t="str">
        <f>VLOOKUP(K441,Key!$A$24:$B$29,2,FALSE)</f>
        <v>40-49</v>
      </c>
      <c r="M441" s="44" t="s">
        <v>216</v>
      </c>
      <c r="N441" s="44" t="s">
        <v>167</v>
      </c>
      <c r="O441" s="37" t="s">
        <v>168</v>
      </c>
      <c r="P441" s="39">
        <v>2</v>
      </c>
      <c r="Q441" s="34" t="str">
        <f>VLOOKUP(P441,Key!$E$2:$F$9,2,FALSE)</f>
        <v>Work</v>
      </c>
      <c r="R441" s="37" t="s">
        <v>217</v>
      </c>
      <c r="S441" s="32" t="s">
        <v>176</v>
      </c>
      <c r="T441" s="37" t="s">
        <v>168</v>
      </c>
      <c r="U441" s="32">
        <v>6</v>
      </c>
      <c r="V441" s="34" t="str">
        <f>VLOOKUP(U441,Key!$E$2:$F$9,2,FALSE)</f>
        <v>Leisure/Social</v>
      </c>
      <c r="W441" s="34" t="str">
        <f t="shared" si="10"/>
        <v>Work-Leisure/Social</v>
      </c>
      <c r="X441" s="47">
        <v>40000</v>
      </c>
      <c r="Y441" s="38">
        <v>70</v>
      </c>
      <c r="Z441" s="38">
        <v>2</v>
      </c>
      <c r="AA441" s="32">
        <v>5</v>
      </c>
      <c r="AB441" s="34" t="str">
        <f>VLOOKUP(AA441,Key!$C$20:$D$29,2,FALSE)</f>
        <v>Professional</v>
      </c>
      <c r="AC441" s="32">
        <v>4</v>
      </c>
      <c r="AD441" s="34" t="str">
        <f>VLOOKUP(AC441,Key!$E$20:$F$24,2,FALSE)</f>
        <v>750,000-1,000,000</v>
      </c>
      <c r="AE441" s="32">
        <v>1</v>
      </c>
      <c r="AF441" s="55">
        <v>1</v>
      </c>
      <c r="AG441" s="55">
        <v>1</v>
      </c>
      <c r="AH441" s="55">
        <v>1</v>
      </c>
      <c r="AI441" s="55">
        <v>1</v>
      </c>
      <c r="AJ441" s="39" t="s">
        <v>104</v>
      </c>
      <c r="AK441" s="40">
        <v>1000</v>
      </c>
      <c r="AL441" s="24"/>
      <c r="AM441" s="24"/>
    </row>
    <row r="442" spans="2:39" x14ac:dyDescent="0.2">
      <c r="B442" s="50">
        <v>43689</v>
      </c>
      <c r="C442" s="35">
        <v>0.57777777777777783</v>
      </c>
      <c r="D442" s="35"/>
      <c r="E442" s="35" t="s">
        <v>111</v>
      </c>
      <c r="F442" s="37">
        <v>2</v>
      </c>
      <c r="G442" s="42" t="str">
        <f>VLOOKUP(F442,Key!$A$17:$B$21,2,FALSE)</f>
        <v>Road Vehicle</v>
      </c>
      <c r="H442" s="36">
        <v>2</v>
      </c>
      <c r="I442" s="43" t="str">
        <f>VLOOKUP(H442,Key!$A$2:$B$13,2,FALSE)</f>
        <v>Station Wagon</v>
      </c>
      <c r="J442" s="37" t="s">
        <v>123</v>
      </c>
      <c r="K442" s="37">
        <v>1</v>
      </c>
      <c r="L442" s="45" t="str">
        <f>VLOOKUP(K442,Key!$A$24:$B$29,2,FALSE)</f>
        <v>20-29</v>
      </c>
      <c r="M442" s="37" t="s">
        <v>176</v>
      </c>
      <c r="N442" s="32" t="s">
        <v>176</v>
      </c>
      <c r="O442" s="37" t="s">
        <v>168</v>
      </c>
      <c r="P442" s="39">
        <v>2</v>
      </c>
      <c r="Q442" s="34" t="str">
        <f>VLOOKUP(P442,Key!$E$2:$F$9,2,FALSE)</f>
        <v>Work</v>
      </c>
      <c r="R442" s="37" t="s">
        <v>167</v>
      </c>
      <c r="S442" s="32" t="s">
        <v>167</v>
      </c>
      <c r="T442" s="37" t="s">
        <v>168</v>
      </c>
      <c r="U442" s="32">
        <v>6</v>
      </c>
      <c r="V442" s="34" t="str">
        <f>VLOOKUP(U442,Key!$E$2:$F$9,2,FALSE)</f>
        <v>Leisure/Social</v>
      </c>
      <c r="W442" s="34" t="str">
        <f t="shared" si="10"/>
        <v>Work-Leisure/Social</v>
      </c>
      <c r="X442" s="47">
        <v>50000</v>
      </c>
      <c r="Y442" s="38">
        <v>80</v>
      </c>
      <c r="Z442" s="38">
        <v>3</v>
      </c>
      <c r="AA442" s="32">
        <v>5</v>
      </c>
      <c r="AB442" s="34" t="str">
        <f>VLOOKUP(AA442,Key!$C$20:$D$29,2,FALSE)</f>
        <v>Professional</v>
      </c>
      <c r="AC442" s="32">
        <v>3</v>
      </c>
      <c r="AD442" s="34" t="str">
        <f>VLOOKUP(AC442,Key!$E$20:$F$24,2,FALSE)</f>
        <v>500,000-750,000</v>
      </c>
      <c r="AE442" s="32">
        <v>3</v>
      </c>
      <c r="AF442" s="55">
        <v>2</v>
      </c>
      <c r="AG442" s="55">
        <v>5</v>
      </c>
      <c r="AH442" s="55">
        <v>1</v>
      </c>
      <c r="AI442" s="55">
        <v>4</v>
      </c>
      <c r="AJ442" s="39" t="s">
        <v>104</v>
      </c>
      <c r="AK442" s="40">
        <v>5000</v>
      </c>
      <c r="AL442" s="24"/>
      <c r="AM442" s="24"/>
    </row>
    <row r="443" spans="2:39" x14ac:dyDescent="0.2">
      <c r="B443" s="50">
        <v>43690</v>
      </c>
      <c r="C443" s="35">
        <v>0.56388888888888888</v>
      </c>
      <c r="D443" s="35"/>
      <c r="E443" s="35" t="s">
        <v>111</v>
      </c>
      <c r="F443" s="37">
        <v>2</v>
      </c>
      <c r="G443" s="42" t="str">
        <f>VLOOKUP(F443,Key!$A$17:$B$21,2,FALSE)</f>
        <v>Road Vehicle</v>
      </c>
      <c r="H443" s="36">
        <v>2</v>
      </c>
      <c r="I443" s="43" t="str">
        <f>VLOOKUP(H443,Key!$A$2:$B$13,2,FALSE)</f>
        <v>Station Wagon</v>
      </c>
      <c r="J443" s="37" t="s">
        <v>123</v>
      </c>
      <c r="K443" s="13">
        <v>2</v>
      </c>
      <c r="L443" s="45" t="str">
        <f>VLOOKUP(K443,Key!$A$24:$B$29,2,FALSE)</f>
        <v>30-39</v>
      </c>
      <c r="M443" s="44" t="s">
        <v>173</v>
      </c>
      <c r="N443" s="32" t="s">
        <v>173</v>
      </c>
      <c r="O443" s="37" t="s">
        <v>168</v>
      </c>
      <c r="P443" s="39">
        <v>2</v>
      </c>
      <c r="Q443" s="34" t="str">
        <f>VLOOKUP(P443,Key!$E$2:$F$9,2,FALSE)</f>
        <v>Work</v>
      </c>
      <c r="R443" s="37" t="s">
        <v>167</v>
      </c>
      <c r="S443" s="32" t="s">
        <v>167</v>
      </c>
      <c r="T443" s="37" t="s">
        <v>168</v>
      </c>
      <c r="U443" s="32">
        <v>4</v>
      </c>
      <c r="V443" s="34" t="str">
        <f>VLOOKUP(U443,Key!$E$2:$F$9,2,FALSE)</f>
        <v>Commercial</v>
      </c>
      <c r="W443" s="34" t="str">
        <f t="shared" si="10"/>
        <v>Work-Commercial</v>
      </c>
      <c r="X443" s="47">
        <v>40000</v>
      </c>
      <c r="Y443" s="38">
        <v>60</v>
      </c>
      <c r="Z443" s="38">
        <v>1</v>
      </c>
      <c r="AA443" s="32">
        <v>5</v>
      </c>
      <c r="AB443" s="34" t="str">
        <f>VLOOKUP(AA443,Key!$C$20:$D$29,2,FALSE)</f>
        <v>Professional</v>
      </c>
      <c r="AC443" s="32">
        <v>4</v>
      </c>
      <c r="AD443" s="34" t="str">
        <f>VLOOKUP(AC443,Key!$E$20:$F$24,2,FALSE)</f>
        <v>750,000-1,000,000</v>
      </c>
      <c r="AE443" s="32">
        <v>2</v>
      </c>
      <c r="AF443" s="55">
        <v>2</v>
      </c>
      <c r="AG443" s="55">
        <v>3</v>
      </c>
      <c r="AH443" s="55">
        <v>1</v>
      </c>
      <c r="AI443" s="55"/>
      <c r="AJ443" s="39" t="s">
        <v>104</v>
      </c>
      <c r="AK443" s="40">
        <v>3000</v>
      </c>
      <c r="AL443" s="24"/>
      <c r="AM443" s="24"/>
    </row>
    <row r="444" spans="2:39" x14ac:dyDescent="0.2">
      <c r="B444" s="50">
        <v>43690</v>
      </c>
      <c r="C444" s="35">
        <v>0.47291666666666665</v>
      </c>
      <c r="D444" s="35"/>
      <c r="E444" s="35" t="s">
        <v>111</v>
      </c>
      <c r="F444" s="37">
        <v>2</v>
      </c>
      <c r="G444" s="42" t="str">
        <f>VLOOKUP(F444,Key!$A$17:$B$21,2,FALSE)</f>
        <v>Road Vehicle</v>
      </c>
      <c r="H444" s="36">
        <v>2</v>
      </c>
      <c r="I444" s="43" t="str">
        <f>VLOOKUP(H444,Key!$A$2:$B$13,2,FALSE)</f>
        <v>Station Wagon</v>
      </c>
      <c r="J444" s="37" t="s">
        <v>123</v>
      </c>
      <c r="K444" s="37">
        <v>2</v>
      </c>
      <c r="L444" s="45" t="str">
        <f>VLOOKUP(K444,Key!$A$24:$B$29,2,FALSE)</f>
        <v>30-39</v>
      </c>
      <c r="M444" s="37" t="s">
        <v>173</v>
      </c>
      <c r="N444" s="32" t="s">
        <v>173</v>
      </c>
      <c r="O444" s="37" t="s">
        <v>168</v>
      </c>
      <c r="P444" s="39">
        <v>1</v>
      </c>
      <c r="Q444" s="34" t="str">
        <f>VLOOKUP(P444,Key!$E$2:$F$9,2,FALSE)</f>
        <v>Home</v>
      </c>
      <c r="R444" s="37" t="s">
        <v>167</v>
      </c>
      <c r="S444" s="32" t="s">
        <v>167</v>
      </c>
      <c r="T444" s="37" t="s">
        <v>168</v>
      </c>
      <c r="U444" s="32">
        <v>2</v>
      </c>
      <c r="V444" s="34" t="str">
        <f>VLOOKUP(U444,Key!$E$2:$F$9,2,FALSE)</f>
        <v>Work</v>
      </c>
      <c r="W444" s="34" t="str">
        <f t="shared" si="10"/>
        <v>Home-Work</v>
      </c>
      <c r="X444" s="47">
        <v>40000</v>
      </c>
      <c r="Y444" s="38">
        <v>60</v>
      </c>
      <c r="Z444" s="38">
        <v>1.5</v>
      </c>
      <c r="AA444" s="32">
        <v>5</v>
      </c>
      <c r="AB444" s="34" t="str">
        <f>VLOOKUP(AA444,Key!$C$20:$D$29,2,FALSE)</f>
        <v>Professional</v>
      </c>
      <c r="AC444" s="32">
        <v>3</v>
      </c>
      <c r="AD444" s="34" t="str">
        <f>VLOOKUP(AC444,Key!$E$20:$F$24,2,FALSE)</f>
        <v>500,000-750,000</v>
      </c>
      <c r="AE444" s="32">
        <v>2</v>
      </c>
      <c r="AF444" s="55">
        <v>2</v>
      </c>
      <c r="AG444" s="55">
        <v>3</v>
      </c>
      <c r="AH444" s="55">
        <v>1</v>
      </c>
      <c r="AI444" s="55">
        <v>4</v>
      </c>
      <c r="AJ444" s="39" t="s">
        <v>104</v>
      </c>
      <c r="AK444" s="40">
        <v>2000</v>
      </c>
      <c r="AL444" s="24"/>
      <c r="AM444" s="24"/>
    </row>
    <row r="445" spans="2:39" x14ac:dyDescent="0.2">
      <c r="B445" s="50">
        <v>43686</v>
      </c>
      <c r="C445" s="35">
        <v>0.64236111111111105</v>
      </c>
      <c r="D445" s="35"/>
      <c r="E445" s="35" t="s">
        <v>111</v>
      </c>
      <c r="F445" s="37">
        <v>2</v>
      </c>
      <c r="G445" s="42" t="str">
        <f>VLOOKUP(F445,Key!$A$17:$B$21,2,FALSE)</f>
        <v>Road Vehicle</v>
      </c>
      <c r="H445" s="36">
        <v>2</v>
      </c>
      <c r="I445" s="43" t="str">
        <f>VLOOKUP(H445,Key!$A$2:$B$13,2,FALSE)</f>
        <v>Station Wagon</v>
      </c>
      <c r="J445" s="37" t="s">
        <v>123</v>
      </c>
      <c r="K445" s="37">
        <v>2</v>
      </c>
      <c r="L445" s="45" t="str">
        <f>VLOOKUP(K445,Key!$A$24:$B$29,2,FALSE)</f>
        <v>30-39</v>
      </c>
      <c r="M445" s="37" t="s">
        <v>254</v>
      </c>
      <c r="N445" s="32" t="s">
        <v>167</v>
      </c>
      <c r="O445" s="37" t="s">
        <v>168</v>
      </c>
      <c r="P445" s="39">
        <v>2</v>
      </c>
      <c r="Q445" s="34" t="str">
        <f>VLOOKUP(P445,Key!$E$2:$F$9,2,FALSE)</f>
        <v>Work</v>
      </c>
      <c r="R445" s="37" t="s">
        <v>36</v>
      </c>
      <c r="S445" s="32" t="s">
        <v>36</v>
      </c>
      <c r="T445" s="37" t="s">
        <v>168</v>
      </c>
      <c r="U445" s="32">
        <v>6</v>
      </c>
      <c r="V445" s="34" t="str">
        <f>VLOOKUP(U445,Key!$E$2:$F$9,2,FALSE)</f>
        <v>Leisure/Social</v>
      </c>
      <c r="W445" s="34" t="str">
        <f t="shared" si="10"/>
        <v>Work-Leisure/Social</v>
      </c>
      <c r="X445" s="47">
        <v>100000</v>
      </c>
      <c r="Y445" s="38">
        <v>70</v>
      </c>
      <c r="Z445" s="38">
        <v>3</v>
      </c>
      <c r="AA445" s="32">
        <v>4</v>
      </c>
      <c r="AB445" s="34" t="str">
        <f>VLOOKUP(AA445,Key!$C$20:$D$29,2,FALSE)</f>
        <v>Office Worker</v>
      </c>
      <c r="AC445" s="32">
        <v>2</v>
      </c>
      <c r="AD445" s="34" t="str">
        <f>VLOOKUP(AC445,Key!$E$20:$F$24,2,FALSE)</f>
        <v>300,000-500,000</v>
      </c>
      <c r="AE445" s="32">
        <v>1</v>
      </c>
      <c r="AF445" s="55">
        <v>1</v>
      </c>
      <c r="AG445" s="55">
        <v>1</v>
      </c>
      <c r="AH445" s="55">
        <v>1</v>
      </c>
      <c r="AI445" s="55">
        <v>1</v>
      </c>
      <c r="AJ445" s="39" t="s">
        <v>104</v>
      </c>
      <c r="AK445" s="40">
        <v>2000</v>
      </c>
      <c r="AL445" s="24"/>
      <c r="AM445" s="24"/>
    </row>
    <row r="446" spans="2:39" x14ac:dyDescent="0.2">
      <c r="B446" s="50">
        <v>43687</v>
      </c>
      <c r="C446" s="35">
        <v>0.59444444444444444</v>
      </c>
      <c r="D446" s="35"/>
      <c r="E446" s="35" t="s">
        <v>111</v>
      </c>
      <c r="F446" s="37">
        <v>2</v>
      </c>
      <c r="G446" s="42" t="str">
        <f>VLOOKUP(F446,Key!$A$17:$B$21,2,FALSE)</f>
        <v>Road Vehicle</v>
      </c>
      <c r="H446" s="36">
        <v>2</v>
      </c>
      <c r="I446" s="43" t="str">
        <f>VLOOKUP(H446,Key!$A$2:$B$13,2,FALSE)</f>
        <v>Station Wagon</v>
      </c>
      <c r="J446" s="37" t="s">
        <v>123</v>
      </c>
      <c r="K446" s="37">
        <v>2</v>
      </c>
      <c r="L446" s="45" t="str">
        <f>VLOOKUP(K446,Key!$A$24:$B$29,2,FALSE)</f>
        <v>30-39</v>
      </c>
      <c r="M446" s="37" t="s">
        <v>176</v>
      </c>
      <c r="N446" s="32" t="s">
        <v>176</v>
      </c>
      <c r="O446" s="37" t="s">
        <v>168</v>
      </c>
      <c r="P446" s="39">
        <v>2</v>
      </c>
      <c r="Q446" s="34" t="str">
        <f>VLOOKUP(P446,Key!$E$2:$F$9,2,FALSE)</f>
        <v>Work</v>
      </c>
      <c r="R446" s="37" t="s">
        <v>167</v>
      </c>
      <c r="S446" s="32" t="s">
        <v>167</v>
      </c>
      <c r="T446" s="37" t="s">
        <v>168</v>
      </c>
      <c r="U446" s="32">
        <v>4</v>
      </c>
      <c r="V446" s="34" t="str">
        <f>VLOOKUP(U446,Key!$E$2:$F$9,2,FALSE)</f>
        <v>Commercial</v>
      </c>
      <c r="W446" s="34" t="str">
        <f t="shared" si="10"/>
        <v>Work-Commercial</v>
      </c>
      <c r="X446" s="47">
        <v>40000</v>
      </c>
      <c r="Y446" s="38">
        <v>75</v>
      </c>
      <c r="Z446" s="38">
        <v>3.5</v>
      </c>
      <c r="AA446" s="32">
        <v>5</v>
      </c>
      <c r="AB446" s="34" t="str">
        <f>VLOOKUP(AA446,Key!$C$20:$D$29,2,FALSE)</f>
        <v>Professional</v>
      </c>
      <c r="AC446" s="32">
        <v>3</v>
      </c>
      <c r="AD446" s="34" t="str">
        <f>VLOOKUP(AC446,Key!$E$20:$F$24,2,FALSE)</f>
        <v>500,000-750,000</v>
      </c>
      <c r="AE446" s="32">
        <v>2</v>
      </c>
      <c r="AF446" s="55">
        <v>3</v>
      </c>
      <c r="AG446" s="55">
        <v>2</v>
      </c>
      <c r="AH446" s="55">
        <v>1</v>
      </c>
      <c r="AI446" s="55">
        <v>4</v>
      </c>
      <c r="AJ446" s="39" t="s">
        <v>104</v>
      </c>
      <c r="AK446" s="40">
        <v>5000</v>
      </c>
      <c r="AL446" s="24"/>
      <c r="AM446" s="24"/>
    </row>
    <row r="447" spans="2:39" x14ac:dyDescent="0.2">
      <c r="B447" s="50">
        <v>43687</v>
      </c>
      <c r="C447" s="35">
        <v>0.74305555555555547</v>
      </c>
      <c r="D447" s="35"/>
      <c r="E447" s="35" t="s">
        <v>111</v>
      </c>
      <c r="F447" s="37">
        <v>2</v>
      </c>
      <c r="G447" s="42" t="str">
        <f>VLOOKUP(F447,Key!$A$17:$B$21,2,FALSE)</f>
        <v>Road Vehicle</v>
      </c>
      <c r="H447" s="36">
        <v>2</v>
      </c>
      <c r="I447" s="43" t="str">
        <f>VLOOKUP(H447,Key!$A$2:$B$13,2,FALSE)</f>
        <v>Station Wagon</v>
      </c>
      <c r="J447" s="37" t="s">
        <v>123</v>
      </c>
      <c r="K447" s="37">
        <v>2</v>
      </c>
      <c r="L447" s="45" t="str">
        <f>VLOOKUP(K447,Key!$A$24:$B$29,2,FALSE)</f>
        <v>30-39</v>
      </c>
      <c r="M447" s="37" t="s">
        <v>176</v>
      </c>
      <c r="N447" s="32" t="s">
        <v>176</v>
      </c>
      <c r="O447" s="37" t="s">
        <v>168</v>
      </c>
      <c r="P447" s="39">
        <v>2</v>
      </c>
      <c r="Q447" s="34" t="str">
        <f>VLOOKUP(P447,Key!$E$2:$F$9,2,FALSE)</f>
        <v>Work</v>
      </c>
      <c r="R447" s="37" t="s">
        <v>167</v>
      </c>
      <c r="S447" s="32" t="s">
        <v>167</v>
      </c>
      <c r="T447" s="37" t="s">
        <v>168</v>
      </c>
      <c r="U447" s="32">
        <v>4</v>
      </c>
      <c r="V447" s="34" t="str">
        <f>VLOOKUP(U447,Key!$E$2:$F$9,2,FALSE)</f>
        <v>Commercial</v>
      </c>
      <c r="W447" s="34" t="str">
        <f t="shared" si="10"/>
        <v>Work-Commercial</v>
      </c>
      <c r="X447" s="47">
        <v>70000</v>
      </c>
      <c r="Y447" s="38">
        <v>80</v>
      </c>
      <c r="Z447" s="38">
        <v>2</v>
      </c>
      <c r="AA447" s="32">
        <v>6</v>
      </c>
      <c r="AB447" s="34" t="str">
        <f>VLOOKUP(AA447,Key!$C$20:$D$29,2,FALSE)</f>
        <v>Businessman</v>
      </c>
      <c r="AC447" s="32">
        <v>4</v>
      </c>
      <c r="AD447" s="34" t="str">
        <f>VLOOKUP(AC447,Key!$E$20:$F$24,2,FALSE)</f>
        <v>750,000-1,000,000</v>
      </c>
      <c r="AE447" s="32">
        <v>2</v>
      </c>
      <c r="AF447" s="55">
        <v>3</v>
      </c>
      <c r="AG447" s="55">
        <v>1</v>
      </c>
      <c r="AH447" s="55">
        <v>1</v>
      </c>
      <c r="AI447" s="55">
        <v>4</v>
      </c>
      <c r="AJ447" s="39" t="s">
        <v>104</v>
      </c>
      <c r="AK447" s="40">
        <v>10000</v>
      </c>
      <c r="AL447" s="24"/>
      <c r="AM447" s="24"/>
    </row>
    <row r="448" spans="2:39" x14ac:dyDescent="0.2">
      <c r="B448" s="50">
        <v>43688</v>
      </c>
      <c r="C448" s="35">
        <v>0.36319444444444443</v>
      </c>
      <c r="D448" s="35"/>
      <c r="E448" s="35" t="s">
        <v>111</v>
      </c>
      <c r="F448" s="37">
        <v>2</v>
      </c>
      <c r="G448" s="42" t="str">
        <f>VLOOKUP(F448,Key!$A$17:$B$21,2,FALSE)</f>
        <v>Road Vehicle</v>
      </c>
      <c r="H448" s="36">
        <v>2</v>
      </c>
      <c r="I448" s="43" t="str">
        <f>VLOOKUP(H448,Key!$A$2:$B$13,2,FALSE)</f>
        <v>Station Wagon</v>
      </c>
      <c r="J448" s="37" t="s">
        <v>123</v>
      </c>
      <c r="K448" s="37">
        <v>2</v>
      </c>
      <c r="L448" s="45" t="str">
        <f>VLOOKUP(K448,Key!$A$24:$B$29,2,FALSE)</f>
        <v>30-39</v>
      </c>
      <c r="M448" s="37" t="s">
        <v>167</v>
      </c>
      <c r="N448" s="32" t="s">
        <v>167</v>
      </c>
      <c r="O448" s="37" t="s">
        <v>168</v>
      </c>
      <c r="P448" s="39">
        <v>4</v>
      </c>
      <c r="Q448" s="34" t="str">
        <f>VLOOKUP(P448,Key!$E$2:$F$9,2,FALSE)</f>
        <v>Commercial</v>
      </c>
      <c r="R448" s="37" t="s">
        <v>176</v>
      </c>
      <c r="S448" s="32" t="s">
        <v>176</v>
      </c>
      <c r="T448" s="37" t="s">
        <v>168</v>
      </c>
      <c r="U448" s="32">
        <v>4</v>
      </c>
      <c r="V448" s="34" t="str">
        <f>VLOOKUP(U448,Key!$E$2:$F$9,2,FALSE)</f>
        <v>Commercial</v>
      </c>
      <c r="W448" s="34" t="str">
        <f t="shared" si="10"/>
        <v>Commercial-Commercial</v>
      </c>
      <c r="X448" s="47">
        <v>80000</v>
      </c>
      <c r="Y448" s="38">
        <v>80</v>
      </c>
      <c r="Z448" s="38">
        <v>2</v>
      </c>
      <c r="AA448" s="32">
        <v>6</v>
      </c>
      <c r="AB448" s="34" t="str">
        <f>VLOOKUP(AA448,Key!$C$20:$D$29,2,FALSE)</f>
        <v>Businessman</v>
      </c>
      <c r="AC448" s="32">
        <v>5</v>
      </c>
      <c r="AD448" s="34" t="str">
        <f>VLOOKUP(AC448,Key!$E$20:$F$24,2,FALSE)</f>
        <v>&gt;1,000,000</v>
      </c>
      <c r="AE448" s="32">
        <v>2</v>
      </c>
      <c r="AF448" s="55">
        <v>2</v>
      </c>
      <c r="AG448" s="55">
        <v>1</v>
      </c>
      <c r="AH448" s="55">
        <v>1</v>
      </c>
      <c r="AI448" s="55">
        <v>3</v>
      </c>
      <c r="AJ448" s="39" t="s">
        <v>104</v>
      </c>
      <c r="AK448" s="40">
        <v>10000</v>
      </c>
      <c r="AL448" s="24"/>
      <c r="AM448" s="24"/>
    </row>
    <row r="449" spans="2:39" x14ac:dyDescent="0.2">
      <c r="B449" s="50">
        <v>43688</v>
      </c>
      <c r="C449" s="35">
        <v>0.46875</v>
      </c>
      <c r="D449" s="35"/>
      <c r="E449" s="35" t="s">
        <v>111</v>
      </c>
      <c r="F449" s="37">
        <v>2</v>
      </c>
      <c r="G449" s="42" t="str">
        <f>VLOOKUP(F449,Key!$A$17:$B$21,2,FALSE)</f>
        <v>Road Vehicle</v>
      </c>
      <c r="H449" s="36">
        <v>2</v>
      </c>
      <c r="I449" s="43" t="str">
        <f>VLOOKUP(H449,Key!$A$2:$B$13,2,FALSE)</f>
        <v>Station Wagon</v>
      </c>
      <c r="J449" s="37" t="s">
        <v>123</v>
      </c>
      <c r="K449" s="37">
        <v>2</v>
      </c>
      <c r="L449" s="45" t="str">
        <f>VLOOKUP(K449,Key!$A$24:$B$29,2,FALSE)</f>
        <v>30-39</v>
      </c>
      <c r="M449" s="37" t="s">
        <v>176</v>
      </c>
      <c r="N449" s="32" t="s">
        <v>176</v>
      </c>
      <c r="O449" s="37" t="s">
        <v>168</v>
      </c>
      <c r="P449" s="39">
        <v>1</v>
      </c>
      <c r="Q449" s="34" t="str">
        <f>VLOOKUP(P449,Key!$E$2:$F$9,2,FALSE)</f>
        <v>Home</v>
      </c>
      <c r="R449" s="37" t="s">
        <v>167</v>
      </c>
      <c r="S449" s="32" t="s">
        <v>167</v>
      </c>
      <c r="T449" s="37" t="s">
        <v>168</v>
      </c>
      <c r="U449" s="32">
        <v>4</v>
      </c>
      <c r="V449" s="34" t="str">
        <f>VLOOKUP(U449,Key!$E$2:$F$9,2,FALSE)</f>
        <v>Commercial</v>
      </c>
      <c r="W449" s="34" t="str">
        <f t="shared" si="10"/>
        <v>Home-Commercial</v>
      </c>
      <c r="X449" s="47">
        <v>50000</v>
      </c>
      <c r="Y449" s="38">
        <v>80</v>
      </c>
      <c r="Z449" s="38">
        <v>2.5</v>
      </c>
      <c r="AA449" s="32">
        <v>6</v>
      </c>
      <c r="AB449" s="34" t="str">
        <f>VLOOKUP(AA449,Key!$C$20:$D$29,2,FALSE)</f>
        <v>Businessman</v>
      </c>
      <c r="AC449" s="32">
        <v>5</v>
      </c>
      <c r="AD449" s="34" t="str">
        <f>VLOOKUP(AC449,Key!$E$20:$F$24,2,FALSE)</f>
        <v>&gt;1,000,000</v>
      </c>
      <c r="AE449" s="32">
        <v>3</v>
      </c>
      <c r="AF449" s="55">
        <v>2</v>
      </c>
      <c r="AG449" s="55">
        <v>4</v>
      </c>
      <c r="AH449" s="55">
        <v>1</v>
      </c>
      <c r="AI449" s="55">
        <v>4</v>
      </c>
      <c r="AJ449" s="39" t="s">
        <v>104</v>
      </c>
      <c r="AK449" s="40">
        <v>10000</v>
      </c>
      <c r="AL449" s="24"/>
      <c r="AM449" s="24"/>
    </row>
    <row r="450" spans="2:39" x14ac:dyDescent="0.2">
      <c r="B450" s="50">
        <v>43690</v>
      </c>
      <c r="C450" s="35">
        <v>0.4909722222222222</v>
      </c>
      <c r="D450" s="35"/>
      <c r="E450" s="35" t="s">
        <v>111</v>
      </c>
      <c r="F450" s="37">
        <v>2</v>
      </c>
      <c r="G450" s="42" t="str">
        <f>VLOOKUP(F450,Key!$A$17:$B$21,2,FALSE)</f>
        <v>Road Vehicle</v>
      </c>
      <c r="H450" s="36">
        <v>2</v>
      </c>
      <c r="I450" s="43" t="str">
        <f>VLOOKUP(H450,Key!$A$2:$B$13,2,FALSE)</f>
        <v>Station Wagon</v>
      </c>
      <c r="J450" s="37" t="s">
        <v>123</v>
      </c>
      <c r="K450" s="37">
        <v>2</v>
      </c>
      <c r="L450" s="45" t="str">
        <f>VLOOKUP(K450,Key!$A$24:$B$29,2,FALSE)</f>
        <v>30-39</v>
      </c>
      <c r="M450" s="37" t="s">
        <v>167</v>
      </c>
      <c r="N450" s="32" t="s">
        <v>167</v>
      </c>
      <c r="O450" s="37" t="s">
        <v>168</v>
      </c>
      <c r="P450" s="39">
        <v>2</v>
      </c>
      <c r="Q450" s="34" t="str">
        <f>VLOOKUP(P450,Key!$E$2:$F$9,2,FALSE)</f>
        <v>Work</v>
      </c>
      <c r="R450" s="37" t="s">
        <v>176</v>
      </c>
      <c r="S450" s="32" t="s">
        <v>176</v>
      </c>
      <c r="T450" s="37" t="s">
        <v>168</v>
      </c>
      <c r="U450" s="32">
        <v>4</v>
      </c>
      <c r="V450" s="34" t="str">
        <f>VLOOKUP(U450,Key!$E$2:$F$9,2,FALSE)</f>
        <v>Commercial</v>
      </c>
      <c r="W450" s="34" t="str">
        <f t="shared" si="10"/>
        <v>Work-Commercial</v>
      </c>
      <c r="X450" s="47">
        <v>60000</v>
      </c>
      <c r="Y450" s="38">
        <v>80</v>
      </c>
      <c r="Z450" s="38">
        <v>3</v>
      </c>
      <c r="AA450" s="32">
        <v>6</v>
      </c>
      <c r="AB450" s="34" t="str">
        <f>VLOOKUP(AA450,Key!$C$20:$D$29,2,FALSE)</f>
        <v>Businessman</v>
      </c>
      <c r="AC450" s="32">
        <v>3</v>
      </c>
      <c r="AD450" s="34" t="str">
        <f>VLOOKUP(AC450,Key!$E$20:$F$24,2,FALSE)</f>
        <v>500,000-750,000</v>
      </c>
      <c r="AE450" s="32">
        <v>2</v>
      </c>
      <c r="AF450" s="55">
        <v>2</v>
      </c>
      <c r="AG450" s="55">
        <v>3</v>
      </c>
      <c r="AH450" s="55">
        <v>1</v>
      </c>
      <c r="AI450" s="55">
        <v>4</v>
      </c>
      <c r="AJ450" s="39" t="s">
        <v>104</v>
      </c>
      <c r="AK450" s="40">
        <v>6000</v>
      </c>
      <c r="AL450" s="24"/>
      <c r="AM450" s="24"/>
    </row>
    <row r="451" spans="2:39" x14ac:dyDescent="0.2">
      <c r="B451" s="50">
        <v>43690</v>
      </c>
      <c r="C451" s="35">
        <v>0.54999999999999993</v>
      </c>
      <c r="D451" s="35"/>
      <c r="E451" s="35" t="s">
        <v>111</v>
      </c>
      <c r="F451" s="37">
        <v>2</v>
      </c>
      <c r="G451" s="42" t="str">
        <f>VLOOKUP(F451,Key!$A$17:$B$21,2,FALSE)</f>
        <v>Road Vehicle</v>
      </c>
      <c r="H451" s="36">
        <v>2</v>
      </c>
      <c r="I451" s="43" t="str">
        <f>VLOOKUP(H451,Key!$A$2:$B$13,2,FALSE)</f>
        <v>Station Wagon</v>
      </c>
      <c r="J451" s="37" t="s">
        <v>123</v>
      </c>
      <c r="K451" s="37">
        <v>2</v>
      </c>
      <c r="L451" s="45" t="str">
        <f>VLOOKUP(K451,Key!$A$24:$B$29,2,FALSE)</f>
        <v>30-39</v>
      </c>
      <c r="M451" s="37" t="s">
        <v>176</v>
      </c>
      <c r="N451" s="32" t="s">
        <v>176</v>
      </c>
      <c r="O451" s="37" t="s">
        <v>168</v>
      </c>
      <c r="P451" s="39">
        <v>1</v>
      </c>
      <c r="Q451" s="34" t="str">
        <f>VLOOKUP(P451,Key!$E$2:$F$9,2,FALSE)</f>
        <v>Home</v>
      </c>
      <c r="R451" s="37" t="s">
        <v>167</v>
      </c>
      <c r="S451" s="32" t="s">
        <v>167</v>
      </c>
      <c r="T451" s="37" t="s">
        <v>168</v>
      </c>
      <c r="U451" s="32">
        <v>6</v>
      </c>
      <c r="V451" s="34" t="str">
        <f>VLOOKUP(U451,Key!$E$2:$F$9,2,FALSE)</f>
        <v>Leisure/Social</v>
      </c>
      <c r="W451" s="34" t="str">
        <f t="shared" si="10"/>
        <v>Home-Leisure/Social</v>
      </c>
      <c r="X451" s="47">
        <v>50000</v>
      </c>
      <c r="Y451" s="38">
        <v>80</v>
      </c>
      <c r="Z451" s="38">
        <v>3</v>
      </c>
      <c r="AA451" s="32">
        <v>6</v>
      </c>
      <c r="AB451" s="34" t="str">
        <f>VLOOKUP(AA451,Key!$C$20:$D$29,2,FALSE)</f>
        <v>Businessman</v>
      </c>
      <c r="AC451" s="32">
        <v>3</v>
      </c>
      <c r="AD451" s="34" t="str">
        <f>VLOOKUP(AC451,Key!$E$20:$F$24,2,FALSE)</f>
        <v>500,000-750,000</v>
      </c>
      <c r="AE451" s="32">
        <v>2</v>
      </c>
      <c r="AF451" s="55">
        <v>3</v>
      </c>
      <c r="AG451" s="55">
        <v>1</v>
      </c>
      <c r="AH451" s="55">
        <v>2</v>
      </c>
      <c r="AI451" s="55">
        <v>3</v>
      </c>
      <c r="AJ451" s="39" t="s">
        <v>104</v>
      </c>
      <c r="AK451" s="40">
        <v>3000</v>
      </c>
      <c r="AL451" s="24"/>
      <c r="AM451" s="24"/>
    </row>
    <row r="452" spans="2:39" x14ac:dyDescent="0.2">
      <c r="B452" s="50">
        <v>43690</v>
      </c>
      <c r="C452" s="35">
        <v>0.45069444444444445</v>
      </c>
      <c r="D452" s="35"/>
      <c r="E452" s="35" t="s">
        <v>111</v>
      </c>
      <c r="F452" s="37">
        <v>2</v>
      </c>
      <c r="G452" s="42" t="str">
        <f>VLOOKUP(F452,Key!$A$17:$B$21,2,FALSE)</f>
        <v>Road Vehicle</v>
      </c>
      <c r="H452" s="36">
        <v>2</v>
      </c>
      <c r="I452" s="43" t="str">
        <f>VLOOKUP(H452,Key!$A$2:$B$13,2,FALSE)</f>
        <v>Station Wagon</v>
      </c>
      <c r="J452" s="37" t="s">
        <v>123</v>
      </c>
      <c r="K452" s="37">
        <v>2</v>
      </c>
      <c r="L452" s="45" t="str">
        <f>VLOOKUP(K452,Key!$A$24:$B$29,2,FALSE)</f>
        <v>30-39</v>
      </c>
      <c r="M452" s="37" t="s">
        <v>167</v>
      </c>
      <c r="N452" s="32" t="s">
        <v>167</v>
      </c>
      <c r="O452" s="37" t="s">
        <v>168</v>
      </c>
      <c r="P452" s="39">
        <v>2</v>
      </c>
      <c r="Q452" s="34" t="str">
        <f>VLOOKUP(P452,Key!$E$2:$F$9,2,FALSE)</f>
        <v>Work</v>
      </c>
      <c r="R452" s="37" t="s">
        <v>176</v>
      </c>
      <c r="S452" s="32" t="s">
        <v>176</v>
      </c>
      <c r="T452" s="37" t="s">
        <v>168</v>
      </c>
      <c r="U452" s="32">
        <v>4</v>
      </c>
      <c r="V452" s="34" t="str">
        <f>VLOOKUP(U452,Key!$E$2:$F$9,2,FALSE)</f>
        <v>Commercial</v>
      </c>
      <c r="W452" s="34" t="str">
        <f t="shared" si="10"/>
        <v>Work-Commercial</v>
      </c>
      <c r="X452" s="47">
        <v>40000</v>
      </c>
      <c r="Y452" s="38">
        <v>80</v>
      </c>
      <c r="Z452" s="38">
        <v>3</v>
      </c>
      <c r="AA452" s="32">
        <v>6</v>
      </c>
      <c r="AB452" s="34" t="str">
        <f>VLOOKUP(AA452,Key!$C$20:$D$29,2,FALSE)</f>
        <v>Businessman</v>
      </c>
      <c r="AC452" s="32">
        <v>4</v>
      </c>
      <c r="AD452" s="34" t="str">
        <f>VLOOKUP(AC452,Key!$E$20:$F$24,2,FALSE)</f>
        <v>750,000-1,000,000</v>
      </c>
      <c r="AE452" s="32">
        <v>2</v>
      </c>
      <c r="AF452" s="55">
        <v>3</v>
      </c>
      <c r="AG452" s="55">
        <v>4</v>
      </c>
      <c r="AH452" s="55">
        <v>1</v>
      </c>
      <c r="AI452" s="55">
        <v>5</v>
      </c>
      <c r="AJ452" s="39" t="s">
        <v>104</v>
      </c>
      <c r="AK452" s="40">
        <v>2000</v>
      </c>
      <c r="AL452" s="24"/>
      <c r="AM452" s="24"/>
    </row>
    <row r="453" spans="2:39" x14ac:dyDescent="0.2">
      <c r="B453" s="50">
        <v>43687</v>
      </c>
      <c r="C453" s="35">
        <v>0.40902777777777777</v>
      </c>
      <c r="D453" s="35"/>
      <c r="E453" s="35" t="s">
        <v>111</v>
      </c>
      <c r="F453" s="37">
        <v>2</v>
      </c>
      <c r="G453" s="42" t="str">
        <f>VLOOKUP(F453,Key!$A$17:$B$21,2,FALSE)</f>
        <v>Road Vehicle</v>
      </c>
      <c r="H453" s="36">
        <v>2</v>
      </c>
      <c r="I453" s="43" t="str">
        <f>VLOOKUP(H453,Key!$A$2:$B$13,2,FALSE)</f>
        <v>Station Wagon</v>
      </c>
      <c r="J453" s="37" t="s">
        <v>123</v>
      </c>
      <c r="K453" s="37">
        <v>2</v>
      </c>
      <c r="L453" s="45" t="str">
        <f>VLOOKUP(K453,Key!$A$24:$B$29,2,FALSE)</f>
        <v>30-39</v>
      </c>
      <c r="M453" s="37" t="s">
        <v>167</v>
      </c>
      <c r="N453" s="32" t="s">
        <v>167</v>
      </c>
      <c r="O453" s="37" t="s">
        <v>168</v>
      </c>
      <c r="P453" s="39">
        <v>2</v>
      </c>
      <c r="Q453" s="34" t="str">
        <f>VLOOKUP(P453,Key!$E$2:$F$9,2,FALSE)</f>
        <v>Work</v>
      </c>
      <c r="R453" s="37" t="s">
        <v>176</v>
      </c>
      <c r="S453" s="32" t="s">
        <v>176</v>
      </c>
      <c r="T453" s="37" t="s">
        <v>168</v>
      </c>
      <c r="U453" s="32">
        <v>2</v>
      </c>
      <c r="V453" s="34" t="str">
        <f>VLOOKUP(U453,Key!$E$2:$F$9,2,FALSE)</f>
        <v>Work</v>
      </c>
      <c r="W453" s="34" t="str">
        <f t="shared" si="10"/>
        <v>Work-Work</v>
      </c>
      <c r="X453" s="47">
        <v>50000</v>
      </c>
      <c r="Y453" s="38">
        <v>80</v>
      </c>
      <c r="Z453" s="38">
        <v>4</v>
      </c>
      <c r="AA453" s="32">
        <v>10</v>
      </c>
      <c r="AB453" s="34" t="str">
        <f>VLOOKUP(AA453,Key!$C$20:$D$29,2,FALSE)</f>
        <v>Other</v>
      </c>
      <c r="AC453" s="32">
        <v>3</v>
      </c>
      <c r="AD453" s="34" t="str">
        <f>VLOOKUP(AC453,Key!$E$20:$F$24,2,FALSE)</f>
        <v>500,000-750,000</v>
      </c>
      <c r="AE453" s="32">
        <v>4</v>
      </c>
      <c r="AF453" s="55">
        <v>3</v>
      </c>
      <c r="AG453" s="55">
        <v>2</v>
      </c>
      <c r="AH453" s="55">
        <v>3</v>
      </c>
      <c r="AI453" s="55"/>
      <c r="AJ453" s="39" t="s">
        <v>104</v>
      </c>
      <c r="AK453" s="40">
        <v>2000</v>
      </c>
      <c r="AL453" s="24"/>
      <c r="AM453" s="24"/>
    </row>
    <row r="454" spans="2:39" x14ac:dyDescent="0.2">
      <c r="B454" s="50">
        <v>43687</v>
      </c>
      <c r="C454" s="35">
        <v>0.56597222222222221</v>
      </c>
      <c r="D454" s="35"/>
      <c r="E454" s="35" t="s">
        <v>111</v>
      </c>
      <c r="F454" s="37">
        <v>2</v>
      </c>
      <c r="G454" s="42" t="str">
        <f>VLOOKUP(F454,Key!$A$17:$B$21,2,FALSE)</f>
        <v>Road Vehicle</v>
      </c>
      <c r="H454" s="36">
        <v>2</v>
      </c>
      <c r="I454" s="43" t="str">
        <f>VLOOKUP(H454,Key!$A$2:$B$13,2,FALSE)</f>
        <v>Station Wagon</v>
      </c>
      <c r="J454" s="37" t="s">
        <v>123</v>
      </c>
      <c r="K454" s="37">
        <v>3</v>
      </c>
      <c r="L454" s="45" t="str">
        <f>VLOOKUP(K454,Key!$A$24:$B$29,2,FALSE)</f>
        <v>40-49</v>
      </c>
      <c r="M454" s="37" t="s">
        <v>167</v>
      </c>
      <c r="N454" s="32" t="s">
        <v>167</v>
      </c>
      <c r="O454" s="37" t="s">
        <v>168</v>
      </c>
      <c r="P454" s="39">
        <v>6</v>
      </c>
      <c r="Q454" s="34" t="str">
        <f>VLOOKUP(P454,Key!$E$2:$F$9,2,FALSE)</f>
        <v>Leisure/Social</v>
      </c>
      <c r="R454" s="37" t="s">
        <v>265</v>
      </c>
      <c r="S454" s="32" t="s">
        <v>265</v>
      </c>
      <c r="T454" s="37" t="s">
        <v>168</v>
      </c>
      <c r="U454" s="32">
        <v>1</v>
      </c>
      <c r="V454" s="34" t="str">
        <f>VLOOKUP(U454,Key!$E$2:$F$9,2,FALSE)</f>
        <v>Home</v>
      </c>
      <c r="W454" s="34" t="str">
        <f t="shared" si="10"/>
        <v>Leisure/Social-Home</v>
      </c>
      <c r="X454" s="47">
        <v>100000</v>
      </c>
      <c r="Y454" s="38">
        <v>70</v>
      </c>
      <c r="Z454" s="38">
        <v>3</v>
      </c>
      <c r="AA454" s="32">
        <v>10</v>
      </c>
      <c r="AB454" s="34" t="str">
        <f>VLOOKUP(AA454,Key!$C$20:$D$29,2,FALSE)</f>
        <v>Other</v>
      </c>
      <c r="AC454" s="32">
        <v>2</v>
      </c>
      <c r="AD454" s="34" t="str">
        <f>VLOOKUP(AC454,Key!$E$20:$F$24,2,FALSE)</f>
        <v>300,000-500,000</v>
      </c>
      <c r="AE454" s="32">
        <v>1</v>
      </c>
      <c r="AF454" s="55">
        <v>1</v>
      </c>
      <c r="AG454" s="55">
        <v>1</v>
      </c>
      <c r="AH454" s="55">
        <v>1</v>
      </c>
      <c r="AI454" s="55">
        <v>1</v>
      </c>
      <c r="AJ454" s="39" t="s">
        <v>104</v>
      </c>
      <c r="AK454" s="40"/>
      <c r="AL454" s="24"/>
      <c r="AM454" s="24"/>
    </row>
    <row r="455" spans="2:39" x14ac:dyDescent="0.2">
      <c r="B455" s="50">
        <v>43687</v>
      </c>
      <c r="C455" s="35">
        <v>0.4381944444444445</v>
      </c>
      <c r="D455" s="35"/>
      <c r="E455" s="35" t="s">
        <v>111</v>
      </c>
      <c r="F455" s="37">
        <v>2</v>
      </c>
      <c r="G455" s="42" t="str">
        <f>VLOOKUP(F455,Key!$A$17:$B$21,2,FALSE)</f>
        <v>Road Vehicle</v>
      </c>
      <c r="H455" s="36">
        <v>2</v>
      </c>
      <c r="I455" s="43" t="str">
        <f>VLOOKUP(H455,Key!$A$2:$B$13,2,FALSE)</f>
        <v>Station Wagon</v>
      </c>
      <c r="J455" s="37" t="s">
        <v>123</v>
      </c>
      <c r="K455" s="37">
        <v>3</v>
      </c>
      <c r="L455" s="45" t="str">
        <f>VLOOKUP(K455,Key!$A$24:$B$29,2,FALSE)</f>
        <v>40-49</v>
      </c>
      <c r="M455" s="37" t="s">
        <v>167</v>
      </c>
      <c r="N455" s="32" t="s">
        <v>167</v>
      </c>
      <c r="O455" s="37" t="s">
        <v>168</v>
      </c>
      <c r="P455" s="39">
        <v>2</v>
      </c>
      <c r="Q455" s="34" t="str">
        <f>VLOOKUP(P455,Key!$E$2:$F$9,2,FALSE)</f>
        <v>Work</v>
      </c>
      <c r="R455" s="37" t="s">
        <v>176</v>
      </c>
      <c r="S455" s="32" t="s">
        <v>176</v>
      </c>
      <c r="T455" s="37" t="s">
        <v>168</v>
      </c>
      <c r="U455" s="32">
        <v>6</v>
      </c>
      <c r="V455" s="34" t="str">
        <f>VLOOKUP(U455,Key!$E$2:$F$9,2,FALSE)</f>
        <v>Leisure/Social</v>
      </c>
      <c r="W455" s="34" t="str">
        <f t="shared" si="10"/>
        <v>Work-Leisure/Social</v>
      </c>
      <c r="X455" s="47">
        <v>80000</v>
      </c>
      <c r="Y455" s="38">
        <v>80</v>
      </c>
      <c r="Z455" s="38">
        <v>3</v>
      </c>
      <c r="AA455" s="32">
        <v>5</v>
      </c>
      <c r="AB455" s="34" t="str">
        <f>VLOOKUP(AA455,Key!$C$20:$D$29,2,FALSE)</f>
        <v>Professional</v>
      </c>
      <c r="AC455" s="32">
        <v>3</v>
      </c>
      <c r="AD455" s="34" t="str">
        <f>VLOOKUP(AC455,Key!$E$20:$F$24,2,FALSE)</f>
        <v>500,000-750,000</v>
      </c>
      <c r="AE455" s="32">
        <v>2</v>
      </c>
      <c r="AF455" s="55">
        <v>3</v>
      </c>
      <c r="AG455" s="55">
        <v>4</v>
      </c>
      <c r="AH455" s="55">
        <v>1</v>
      </c>
      <c r="AI455" s="55">
        <v>5</v>
      </c>
      <c r="AJ455" s="39" t="s">
        <v>104</v>
      </c>
      <c r="AK455" s="40">
        <v>5000</v>
      </c>
      <c r="AL455" s="24"/>
      <c r="AM455" s="24"/>
    </row>
    <row r="456" spans="2:39" x14ac:dyDescent="0.2">
      <c r="B456" s="50">
        <v>43689</v>
      </c>
      <c r="C456" s="35">
        <v>0.57500000000000007</v>
      </c>
      <c r="D456" s="35"/>
      <c r="E456" s="35" t="s">
        <v>111</v>
      </c>
      <c r="F456" s="37">
        <v>2</v>
      </c>
      <c r="G456" s="42" t="str">
        <f>VLOOKUP(F456,Key!$A$17:$B$21,2,FALSE)</f>
        <v>Road Vehicle</v>
      </c>
      <c r="H456" s="36">
        <v>2</v>
      </c>
      <c r="I456" s="43" t="str">
        <f>VLOOKUP(H456,Key!$A$2:$B$13,2,FALSE)</f>
        <v>Station Wagon</v>
      </c>
      <c r="J456" s="37" t="s">
        <v>123</v>
      </c>
      <c r="K456" s="37">
        <v>3</v>
      </c>
      <c r="L456" s="45" t="str">
        <f>VLOOKUP(K456,Key!$A$24:$B$29,2,FALSE)</f>
        <v>40-49</v>
      </c>
      <c r="M456" s="37" t="s">
        <v>167</v>
      </c>
      <c r="N456" s="32" t="s">
        <v>167</v>
      </c>
      <c r="O456" s="37" t="s">
        <v>168</v>
      </c>
      <c r="P456" s="39">
        <v>1</v>
      </c>
      <c r="Q456" s="34" t="str">
        <f>VLOOKUP(P456,Key!$E$2:$F$9,2,FALSE)</f>
        <v>Home</v>
      </c>
      <c r="R456" s="37" t="s">
        <v>176</v>
      </c>
      <c r="S456" s="32" t="s">
        <v>176</v>
      </c>
      <c r="T456" s="37" t="s">
        <v>168</v>
      </c>
      <c r="U456" s="32">
        <v>4</v>
      </c>
      <c r="V456" s="34" t="str">
        <f>VLOOKUP(U456,Key!$E$2:$F$9,2,FALSE)</f>
        <v>Commercial</v>
      </c>
      <c r="W456" s="34" t="str">
        <f t="shared" si="10"/>
        <v>Home-Commercial</v>
      </c>
      <c r="X456" s="47">
        <v>60000</v>
      </c>
      <c r="Y456" s="38">
        <v>80</v>
      </c>
      <c r="Z456" s="38">
        <v>3</v>
      </c>
      <c r="AA456" s="32">
        <v>6</v>
      </c>
      <c r="AB456" s="34" t="str">
        <f>VLOOKUP(AA456,Key!$C$20:$D$29,2,FALSE)</f>
        <v>Businessman</v>
      </c>
      <c r="AC456" s="32">
        <v>2</v>
      </c>
      <c r="AD456" s="34" t="str">
        <f>VLOOKUP(AC456,Key!$E$20:$F$24,2,FALSE)</f>
        <v>300,000-500,000</v>
      </c>
      <c r="AE456" s="32">
        <v>3</v>
      </c>
      <c r="AF456" s="55">
        <v>3</v>
      </c>
      <c r="AG456" s="55">
        <v>2</v>
      </c>
      <c r="AH456" s="55">
        <v>3</v>
      </c>
      <c r="AI456" s="55">
        <v>2</v>
      </c>
      <c r="AJ456" s="39" t="s">
        <v>104</v>
      </c>
      <c r="AK456" s="40">
        <v>2000</v>
      </c>
      <c r="AL456" s="24"/>
      <c r="AM456" s="24"/>
    </row>
    <row r="457" spans="2:39" x14ac:dyDescent="0.2">
      <c r="B457" s="50">
        <v>43687</v>
      </c>
      <c r="C457" s="35">
        <v>0.47569444444444442</v>
      </c>
      <c r="D457" s="35"/>
      <c r="E457" s="35" t="s">
        <v>111</v>
      </c>
      <c r="F457" s="37">
        <v>2</v>
      </c>
      <c r="G457" s="42" t="str">
        <f>VLOOKUP(F457,Key!$A$17:$B$21,2,FALSE)</f>
        <v>Road Vehicle</v>
      </c>
      <c r="H457" s="36">
        <v>2</v>
      </c>
      <c r="I457" s="43" t="str">
        <f>VLOOKUP(H457,Key!$A$2:$B$13,2,FALSE)</f>
        <v>Station Wagon</v>
      </c>
      <c r="J457" s="37" t="s">
        <v>123</v>
      </c>
      <c r="K457" s="37">
        <v>4</v>
      </c>
      <c r="L457" s="45" t="str">
        <f>VLOOKUP(K457,Key!$A$24:$B$29,2,FALSE)</f>
        <v>50-59</v>
      </c>
      <c r="M457" s="37" t="s">
        <v>283</v>
      </c>
      <c r="N457" s="32" t="s">
        <v>188</v>
      </c>
      <c r="O457" s="37" t="s">
        <v>168</v>
      </c>
      <c r="P457" s="39">
        <v>1</v>
      </c>
      <c r="Q457" s="34" t="str">
        <f>VLOOKUP(P457,Key!$E$2:$F$9,2,FALSE)</f>
        <v>Home</v>
      </c>
      <c r="R457" s="37" t="s">
        <v>167</v>
      </c>
      <c r="S457" s="32" t="s">
        <v>167</v>
      </c>
      <c r="T457" s="37" t="s">
        <v>168</v>
      </c>
      <c r="U457" s="32">
        <v>6</v>
      </c>
      <c r="V457" s="34" t="str">
        <f>VLOOKUP(U457,Key!$E$2:$F$9,2,FALSE)</f>
        <v>Leisure/Social</v>
      </c>
      <c r="W457" s="34" t="str">
        <f t="shared" si="10"/>
        <v>Home-Leisure/Social</v>
      </c>
      <c r="X457" s="47">
        <v>50000</v>
      </c>
      <c r="Y457" s="38">
        <v>100</v>
      </c>
      <c r="Z457" s="38">
        <v>2</v>
      </c>
      <c r="AA457" s="32">
        <v>4</v>
      </c>
      <c r="AB457" s="34" t="str">
        <f>VLOOKUP(AA457,Key!$C$20:$D$29,2,FALSE)</f>
        <v>Office Worker</v>
      </c>
      <c r="AC457" s="32">
        <v>5</v>
      </c>
      <c r="AD457" s="34" t="str">
        <f>VLOOKUP(AC457,Key!$E$20:$F$24,2,FALSE)</f>
        <v>&gt;1,000,000</v>
      </c>
      <c r="AE457" s="32">
        <v>1</v>
      </c>
      <c r="AF457" s="55">
        <v>1</v>
      </c>
      <c r="AG457" s="55">
        <v>1</v>
      </c>
      <c r="AH457" s="55">
        <v>1</v>
      </c>
      <c r="AI457" s="55">
        <v>1</v>
      </c>
      <c r="AJ457" s="39" t="s">
        <v>104</v>
      </c>
      <c r="AK457" s="40">
        <v>10000</v>
      </c>
      <c r="AL457" s="24"/>
      <c r="AM457" s="24"/>
    </row>
    <row r="458" spans="2:39" x14ac:dyDescent="0.2">
      <c r="B458" s="50">
        <v>43687</v>
      </c>
      <c r="C458" s="35">
        <v>0.4465277777777778</v>
      </c>
      <c r="D458" s="35"/>
      <c r="E458" s="35" t="s">
        <v>111</v>
      </c>
      <c r="F458" s="37">
        <v>2</v>
      </c>
      <c r="G458" s="42" t="str">
        <f>VLOOKUP(F458,Key!$A$17:$B$21,2,FALSE)</f>
        <v>Road Vehicle</v>
      </c>
      <c r="H458" s="36">
        <v>2</v>
      </c>
      <c r="I458" s="43" t="str">
        <f>VLOOKUP(H458,Key!$A$2:$B$13,2,FALSE)</f>
        <v>Station Wagon</v>
      </c>
      <c r="J458" s="37" t="s">
        <v>123</v>
      </c>
      <c r="K458" s="37">
        <v>5</v>
      </c>
      <c r="L458" s="45" t="str">
        <f>VLOOKUP(K458,Key!$A$24:$B$29,2,FALSE)</f>
        <v>60-69</v>
      </c>
      <c r="M458" s="37" t="s">
        <v>334</v>
      </c>
      <c r="N458" s="32" t="s">
        <v>176</v>
      </c>
      <c r="O458" s="37" t="s">
        <v>168</v>
      </c>
      <c r="P458" s="39">
        <v>1</v>
      </c>
      <c r="Q458" s="34" t="str">
        <f>VLOOKUP(P458,Key!$E$2:$F$9,2,FALSE)</f>
        <v>Home</v>
      </c>
      <c r="R458" s="37" t="s">
        <v>216</v>
      </c>
      <c r="S458" s="32" t="s">
        <v>167</v>
      </c>
      <c r="T458" s="37" t="s">
        <v>168</v>
      </c>
      <c r="U458" s="32">
        <v>6</v>
      </c>
      <c r="V458" s="34" t="str">
        <f>VLOOKUP(U458,Key!$E$2:$F$9,2,FALSE)</f>
        <v>Leisure/Social</v>
      </c>
      <c r="W458" s="34" t="str">
        <f t="shared" si="10"/>
        <v>Home-Leisure/Social</v>
      </c>
      <c r="X458" s="47">
        <v>50000</v>
      </c>
      <c r="Y458" s="38">
        <v>90</v>
      </c>
      <c r="Z458" s="38">
        <v>2.5</v>
      </c>
      <c r="AA458" s="32">
        <v>4</v>
      </c>
      <c r="AB458" s="34" t="str">
        <f>VLOOKUP(AA458,Key!$C$20:$D$29,2,FALSE)</f>
        <v>Office Worker</v>
      </c>
      <c r="AC458" s="32">
        <v>5</v>
      </c>
      <c r="AD458" s="34" t="str">
        <f>VLOOKUP(AC458,Key!$E$20:$F$24,2,FALSE)</f>
        <v>&gt;1,000,000</v>
      </c>
      <c r="AE458" s="32">
        <v>1</v>
      </c>
      <c r="AF458" s="55">
        <v>1</v>
      </c>
      <c r="AG458" s="55">
        <v>1</v>
      </c>
      <c r="AH458" s="55">
        <v>1</v>
      </c>
      <c r="AI458" s="55">
        <v>1</v>
      </c>
      <c r="AJ458" s="39" t="s">
        <v>104</v>
      </c>
      <c r="AK458" s="40">
        <v>10000</v>
      </c>
      <c r="AL458" s="24"/>
      <c r="AM458" s="24"/>
    </row>
    <row r="459" spans="2:39" hidden="1" x14ac:dyDescent="0.2">
      <c r="B459" s="50">
        <v>43687</v>
      </c>
      <c r="C459" s="35">
        <v>0.49652777777777773</v>
      </c>
      <c r="D459" s="35"/>
      <c r="E459" s="35" t="s">
        <v>111</v>
      </c>
      <c r="F459" s="37">
        <v>2</v>
      </c>
      <c r="G459" s="42" t="str">
        <f>VLOOKUP(F459,Key!$A$17:$B$21,2,FALSE)</f>
        <v>Road Vehicle</v>
      </c>
      <c r="H459" s="36">
        <v>2</v>
      </c>
      <c r="I459" s="43" t="str">
        <f>VLOOKUP(H459,Key!$A$2:$B$13,2,FALSE)</f>
        <v>Station Wagon</v>
      </c>
      <c r="J459" s="37" t="s">
        <v>166</v>
      </c>
      <c r="K459" s="37">
        <v>2</v>
      </c>
      <c r="L459" s="45" t="str">
        <f>VLOOKUP(K459,Key!$A$24:$B$29,2,FALSE)</f>
        <v>30-39</v>
      </c>
      <c r="M459" s="37" t="s">
        <v>199</v>
      </c>
      <c r="N459" s="32" t="s">
        <v>199</v>
      </c>
      <c r="O459" s="37" t="s">
        <v>168</v>
      </c>
      <c r="P459" s="39">
        <v>2</v>
      </c>
      <c r="Q459" s="34" t="str">
        <f>VLOOKUP(P459,Key!$E$2:$F$9,2,FALSE)</f>
        <v>Work</v>
      </c>
      <c r="R459" s="37" t="s">
        <v>167</v>
      </c>
      <c r="S459" s="32" t="s">
        <v>167</v>
      </c>
      <c r="T459" s="37" t="s">
        <v>168</v>
      </c>
      <c r="U459" s="32">
        <v>4</v>
      </c>
      <c r="V459" s="34" t="str">
        <f>VLOOKUP(U459,Key!$E$2:$F$9,2,FALSE)</f>
        <v>Commercial</v>
      </c>
      <c r="W459" s="34" t="str">
        <f t="shared" si="10"/>
        <v>Work-Commercial</v>
      </c>
      <c r="X459" s="47">
        <v>55000</v>
      </c>
      <c r="Y459" s="38">
        <v>109</v>
      </c>
      <c r="Z459" s="38">
        <v>4</v>
      </c>
      <c r="AA459" s="32">
        <v>10</v>
      </c>
      <c r="AB459" s="34" t="str">
        <f>VLOOKUP(AA459,Key!$C$20:$D$29,2,FALSE)</f>
        <v>Other</v>
      </c>
      <c r="AC459" s="32">
        <v>2</v>
      </c>
      <c r="AD459" s="34" t="str">
        <f>VLOOKUP(AC459,Key!$E$20:$F$24,2,FALSE)</f>
        <v>300,000-500,000</v>
      </c>
      <c r="AE459" s="32">
        <v>2</v>
      </c>
      <c r="AF459" s="55">
        <v>3</v>
      </c>
      <c r="AG459" s="55">
        <v>2</v>
      </c>
      <c r="AH459" s="55">
        <v>1</v>
      </c>
      <c r="AI459" s="55">
        <v>5</v>
      </c>
      <c r="AJ459" s="39" t="s">
        <v>104</v>
      </c>
      <c r="AK459" s="40">
        <v>4000</v>
      </c>
      <c r="AL459" s="24"/>
      <c r="AM459" s="24"/>
    </row>
    <row r="460" spans="2:39" hidden="1" x14ac:dyDescent="0.2">
      <c r="B460" s="50">
        <v>43687</v>
      </c>
      <c r="C460" s="35">
        <v>0.47222222222222227</v>
      </c>
      <c r="D460" s="35"/>
      <c r="E460" s="35" t="s">
        <v>111</v>
      </c>
      <c r="F460" s="37">
        <v>2</v>
      </c>
      <c r="G460" s="42" t="str">
        <f>VLOOKUP(F460,Key!$A$17:$B$21,2,FALSE)</f>
        <v>Road Vehicle</v>
      </c>
      <c r="H460" s="36">
        <v>2</v>
      </c>
      <c r="I460" s="43" t="str">
        <f>VLOOKUP(H460,Key!$A$2:$B$13,2,FALSE)</f>
        <v>Station Wagon</v>
      </c>
      <c r="J460" s="37" t="s">
        <v>123</v>
      </c>
      <c r="K460" s="37">
        <v>2</v>
      </c>
      <c r="L460" s="45" t="str">
        <f>VLOOKUP(K460,Key!$A$24:$B$29,2,FALSE)</f>
        <v>30-39</v>
      </c>
      <c r="M460" s="37" t="s">
        <v>167</v>
      </c>
      <c r="N460" s="32" t="s">
        <v>167</v>
      </c>
      <c r="O460" s="37" t="s">
        <v>168</v>
      </c>
      <c r="P460" s="39">
        <v>2</v>
      </c>
      <c r="Q460" s="34" t="str">
        <f>VLOOKUP(P460,Key!$E$2:$F$9,2,FALSE)</f>
        <v>Work</v>
      </c>
      <c r="R460" s="37" t="s">
        <v>199</v>
      </c>
      <c r="S460" s="32" t="s">
        <v>199</v>
      </c>
      <c r="T460" s="37" t="s">
        <v>168</v>
      </c>
      <c r="U460" s="32">
        <v>4</v>
      </c>
      <c r="V460" s="34" t="str">
        <f>VLOOKUP(U460,Key!$E$2:$F$9,2,FALSE)</f>
        <v>Commercial</v>
      </c>
      <c r="W460" s="34" t="str">
        <f t="shared" si="10"/>
        <v>Work-Commercial</v>
      </c>
      <c r="X460" s="47">
        <v>50000</v>
      </c>
      <c r="Y460" s="38">
        <v>110</v>
      </c>
      <c r="Z460" s="38">
        <v>4</v>
      </c>
      <c r="AA460" s="32">
        <v>5</v>
      </c>
      <c r="AB460" s="34" t="str">
        <f>VLOOKUP(AA460,Key!$C$20:$D$29,2,FALSE)</f>
        <v>Professional</v>
      </c>
      <c r="AC460" s="32">
        <v>3</v>
      </c>
      <c r="AD460" s="34" t="str">
        <f>VLOOKUP(AC460,Key!$E$20:$F$24,2,FALSE)</f>
        <v>500,000-750,000</v>
      </c>
      <c r="AE460" s="32">
        <v>2</v>
      </c>
      <c r="AF460" s="55">
        <v>3</v>
      </c>
      <c r="AG460" s="55">
        <v>4</v>
      </c>
      <c r="AH460" s="55">
        <v>1</v>
      </c>
      <c r="AI460" s="55">
        <v>5</v>
      </c>
      <c r="AJ460" s="39" t="s">
        <v>104</v>
      </c>
      <c r="AK460" s="40">
        <v>4000</v>
      </c>
      <c r="AL460" s="24"/>
      <c r="AM460" s="24"/>
    </row>
    <row r="461" spans="2:39" hidden="1" x14ac:dyDescent="0.2">
      <c r="B461" s="50">
        <v>43688</v>
      </c>
      <c r="C461" s="35">
        <v>0.54305555555555551</v>
      </c>
      <c r="D461" s="35"/>
      <c r="E461" s="35" t="s">
        <v>111</v>
      </c>
      <c r="F461" s="37">
        <v>2</v>
      </c>
      <c r="G461" s="42" t="str">
        <f>VLOOKUP(F461,Key!$A$17:$B$21,2,FALSE)</f>
        <v>Road Vehicle</v>
      </c>
      <c r="H461" s="36">
        <v>2</v>
      </c>
      <c r="I461" s="43" t="str">
        <f>VLOOKUP(H461,Key!$A$2:$B$13,2,FALSE)</f>
        <v>Station Wagon</v>
      </c>
      <c r="J461" s="37" t="s">
        <v>123</v>
      </c>
      <c r="K461" s="37">
        <v>4</v>
      </c>
      <c r="L461" s="45" t="str">
        <f>VLOOKUP(K461,Key!$A$24:$B$29,2,FALSE)</f>
        <v>50-59</v>
      </c>
      <c r="M461" s="37" t="s">
        <v>199</v>
      </c>
      <c r="N461" s="32" t="s">
        <v>199</v>
      </c>
      <c r="O461" s="37" t="s">
        <v>168</v>
      </c>
      <c r="P461" s="39">
        <v>4</v>
      </c>
      <c r="Q461" s="34" t="str">
        <f>VLOOKUP(P461,Key!$E$2:$F$9,2,FALSE)</f>
        <v>Commercial</v>
      </c>
      <c r="R461" s="37" t="s">
        <v>167</v>
      </c>
      <c r="S461" s="32" t="s">
        <v>167</v>
      </c>
      <c r="T461" s="37" t="s">
        <v>168</v>
      </c>
      <c r="U461" s="32">
        <v>4</v>
      </c>
      <c r="V461" s="34" t="str">
        <f>VLOOKUP(U461,Key!$E$2:$F$9,2,FALSE)</f>
        <v>Commercial</v>
      </c>
      <c r="W461" s="34" t="str">
        <f t="shared" si="10"/>
        <v>Commercial-Commercial</v>
      </c>
      <c r="X461" s="47">
        <v>200000</v>
      </c>
      <c r="Y461" s="38">
        <v>123</v>
      </c>
      <c r="Z461" s="38">
        <v>2</v>
      </c>
      <c r="AA461" s="32">
        <v>6</v>
      </c>
      <c r="AB461" s="34" t="str">
        <f>VLOOKUP(AA461,Key!$C$20:$D$29,2,FALSE)</f>
        <v>Businessman</v>
      </c>
      <c r="AC461" s="32">
        <v>5</v>
      </c>
      <c r="AD461" s="34" t="str">
        <f>VLOOKUP(AC461,Key!$E$20:$F$24,2,FALSE)</f>
        <v>&gt;1,000,000</v>
      </c>
      <c r="AE461" s="32">
        <v>1</v>
      </c>
      <c r="AF461" s="55">
        <v>2</v>
      </c>
      <c r="AG461" s="55">
        <v>1</v>
      </c>
      <c r="AH461" s="55">
        <v>1</v>
      </c>
      <c r="AI461" s="55">
        <v>3</v>
      </c>
      <c r="AJ461" s="39" t="s">
        <v>104</v>
      </c>
      <c r="AK461" s="40">
        <v>10000</v>
      </c>
      <c r="AL461" s="24"/>
      <c r="AM461" s="24"/>
    </row>
    <row r="462" spans="2:39" hidden="1" x14ac:dyDescent="0.2">
      <c r="B462" s="50">
        <v>43688</v>
      </c>
      <c r="C462" s="35">
        <v>0.5625</v>
      </c>
      <c r="D462" s="35"/>
      <c r="E462" s="35" t="s">
        <v>111</v>
      </c>
      <c r="F462" s="37">
        <v>2</v>
      </c>
      <c r="G462" s="42" t="str">
        <f>VLOOKUP(F462,Key!$A$17:$B$21,2,FALSE)</f>
        <v>Road Vehicle</v>
      </c>
      <c r="H462" s="36">
        <v>2</v>
      </c>
      <c r="I462" s="43" t="str">
        <f>VLOOKUP(H462,Key!$A$2:$B$13,2,FALSE)</f>
        <v>Station Wagon</v>
      </c>
      <c r="J462" s="37" t="s">
        <v>123</v>
      </c>
      <c r="K462" s="37">
        <v>2</v>
      </c>
      <c r="L462" s="45" t="str">
        <f>VLOOKUP(K462,Key!$A$24:$B$29,2,FALSE)</f>
        <v>30-39</v>
      </c>
      <c r="M462" s="37" t="s">
        <v>247</v>
      </c>
      <c r="N462" s="32" t="s">
        <v>167</v>
      </c>
      <c r="O462" s="37" t="s">
        <v>168</v>
      </c>
      <c r="P462" s="39">
        <v>2</v>
      </c>
      <c r="Q462" s="34" t="str">
        <f>VLOOKUP(P462,Key!$E$2:$F$9,2,FALSE)</f>
        <v>Work</v>
      </c>
      <c r="R462" s="37" t="s">
        <v>265</v>
      </c>
      <c r="S462" s="32" t="s">
        <v>169</v>
      </c>
      <c r="T462" s="37" t="s">
        <v>168</v>
      </c>
      <c r="U462" s="32">
        <v>2</v>
      </c>
      <c r="V462" s="34" t="str">
        <f>VLOOKUP(U462,Key!$E$2:$F$9,2,FALSE)</f>
        <v>Work</v>
      </c>
      <c r="W462" s="34" t="str">
        <f t="shared" si="10"/>
        <v>Work-Work</v>
      </c>
      <c r="X462" s="47">
        <v>110000</v>
      </c>
      <c r="Y462" s="38">
        <v>140</v>
      </c>
      <c r="Z462" s="38">
        <v>2</v>
      </c>
      <c r="AA462" s="32">
        <v>10</v>
      </c>
      <c r="AB462" s="34" t="str">
        <f>VLOOKUP(AA462,Key!$C$20:$D$29,2,FALSE)</f>
        <v>Other</v>
      </c>
      <c r="AC462" s="32">
        <v>2</v>
      </c>
      <c r="AD462" s="34" t="str">
        <f>VLOOKUP(AC462,Key!$E$20:$F$24,2,FALSE)</f>
        <v>300,000-500,000</v>
      </c>
      <c r="AE462" s="32">
        <v>1</v>
      </c>
      <c r="AF462" s="55">
        <v>2</v>
      </c>
      <c r="AG462" s="55">
        <v>1</v>
      </c>
      <c r="AH462" s="55">
        <v>1</v>
      </c>
      <c r="AI462" s="55">
        <v>1</v>
      </c>
      <c r="AJ462" s="39" t="s">
        <v>104</v>
      </c>
      <c r="AK462" s="40">
        <v>500</v>
      </c>
      <c r="AL462" s="24"/>
      <c r="AM462" s="24"/>
    </row>
    <row r="463" spans="2:39" hidden="1" x14ac:dyDescent="0.2">
      <c r="B463" s="50">
        <v>43688</v>
      </c>
      <c r="C463" s="35">
        <v>0.67013888888888884</v>
      </c>
      <c r="D463" s="35"/>
      <c r="E463" s="35" t="s">
        <v>111</v>
      </c>
      <c r="F463" s="37">
        <v>2</v>
      </c>
      <c r="G463" s="42" t="str">
        <f>VLOOKUP(F463,Key!$A$17:$B$21,2,FALSE)</f>
        <v>Road Vehicle</v>
      </c>
      <c r="H463" s="36">
        <v>2</v>
      </c>
      <c r="I463" s="43" t="str">
        <f>VLOOKUP(H463,Key!$A$2:$B$13,2,FALSE)</f>
        <v>Station Wagon</v>
      </c>
      <c r="J463" s="37" t="s">
        <v>123</v>
      </c>
      <c r="K463" s="37">
        <v>4</v>
      </c>
      <c r="L463" s="45" t="str">
        <f>VLOOKUP(K463,Key!$A$24:$B$29,2,FALSE)</f>
        <v>50-59</v>
      </c>
      <c r="M463" s="44" t="s">
        <v>187</v>
      </c>
      <c r="N463" s="44" t="s">
        <v>167</v>
      </c>
      <c r="O463" s="37" t="s">
        <v>168</v>
      </c>
      <c r="P463" s="39">
        <v>1</v>
      </c>
      <c r="Q463" s="34" t="str">
        <f>VLOOKUP(P463,Key!$E$2:$F$9,2,FALSE)</f>
        <v>Home</v>
      </c>
      <c r="R463" s="37" t="s">
        <v>213</v>
      </c>
      <c r="S463" s="32" t="s">
        <v>30</v>
      </c>
      <c r="T463" s="37" t="s">
        <v>168</v>
      </c>
      <c r="U463" s="32">
        <v>6</v>
      </c>
      <c r="V463" s="34" t="str">
        <f>VLOOKUP(U463,Key!$E$2:$F$9,2,FALSE)</f>
        <v>Leisure/Social</v>
      </c>
      <c r="W463" s="34" t="str">
        <f t="shared" si="10"/>
        <v>Home-Leisure/Social</v>
      </c>
      <c r="X463" s="47">
        <v>40000</v>
      </c>
      <c r="Y463" s="38">
        <v>150</v>
      </c>
      <c r="Z463" s="38">
        <v>3</v>
      </c>
      <c r="AA463" s="32">
        <v>6</v>
      </c>
      <c r="AB463" s="34" t="str">
        <f>VLOOKUP(AA463,Key!$C$20:$D$29,2,FALSE)</f>
        <v>Businessman</v>
      </c>
      <c r="AC463" s="32">
        <v>5</v>
      </c>
      <c r="AD463" s="34" t="str">
        <f>VLOOKUP(AC463,Key!$E$20:$F$24,2,FALSE)</f>
        <v>&gt;1,000,000</v>
      </c>
      <c r="AE463" s="32">
        <v>1</v>
      </c>
      <c r="AF463" s="55">
        <v>1</v>
      </c>
      <c r="AG463" s="55">
        <v>1</v>
      </c>
      <c r="AH463" s="55">
        <v>1</v>
      </c>
      <c r="AI463" s="55">
        <v>1</v>
      </c>
      <c r="AJ463" s="39" t="s">
        <v>104</v>
      </c>
      <c r="AK463" s="40">
        <v>10000</v>
      </c>
      <c r="AL463" s="24"/>
      <c r="AM463" s="24"/>
    </row>
    <row r="464" spans="2:39" hidden="1" x14ac:dyDescent="0.2">
      <c r="B464" s="50">
        <v>43690</v>
      </c>
      <c r="C464" s="35">
        <v>0.62847222222222221</v>
      </c>
      <c r="D464" s="35"/>
      <c r="E464" s="35" t="s">
        <v>111</v>
      </c>
      <c r="F464" s="37">
        <v>2</v>
      </c>
      <c r="G464" s="42" t="str">
        <f>VLOOKUP(F464,Key!$A$17:$B$21,2,FALSE)</f>
        <v>Road Vehicle</v>
      </c>
      <c r="H464" s="36">
        <v>2</v>
      </c>
      <c r="I464" s="43" t="str">
        <f>VLOOKUP(H464,Key!$A$2:$B$13,2,FALSE)</f>
        <v>Station Wagon</v>
      </c>
      <c r="J464" s="37" t="s">
        <v>123</v>
      </c>
      <c r="K464" s="37">
        <v>4</v>
      </c>
      <c r="L464" s="45" t="str">
        <f>VLOOKUP(K464,Key!$A$24:$B$29,2,FALSE)</f>
        <v>50-59</v>
      </c>
      <c r="M464" s="44" t="s">
        <v>187</v>
      </c>
      <c r="N464" s="44" t="s">
        <v>167</v>
      </c>
      <c r="O464" s="37" t="s">
        <v>168</v>
      </c>
      <c r="P464" s="39">
        <v>1</v>
      </c>
      <c r="Q464" s="34" t="str">
        <f>VLOOKUP(P464,Key!$E$2:$F$9,2,FALSE)</f>
        <v>Home</v>
      </c>
      <c r="R464" s="37" t="s">
        <v>213</v>
      </c>
      <c r="S464" s="32" t="s">
        <v>30</v>
      </c>
      <c r="T464" s="37" t="s">
        <v>168</v>
      </c>
      <c r="U464" s="32">
        <v>6</v>
      </c>
      <c r="V464" s="34" t="str">
        <f>VLOOKUP(U464,Key!$E$2:$F$9,2,FALSE)</f>
        <v>Leisure/Social</v>
      </c>
      <c r="W464" s="34" t="str">
        <f t="shared" si="10"/>
        <v>Home-Leisure/Social</v>
      </c>
      <c r="X464" s="47">
        <v>40000</v>
      </c>
      <c r="Y464" s="38">
        <v>150</v>
      </c>
      <c r="Z464" s="38">
        <v>3</v>
      </c>
      <c r="AA464" s="32">
        <v>6</v>
      </c>
      <c r="AB464" s="34" t="str">
        <f>VLOOKUP(AA464,Key!$C$20:$D$29,2,FALSE)</f>
        <v>Businessman</v>
      </c>
      <c r="AC464" s="32">
        <v>5</v>
      </c>
      <c r="AD464" s="34" t="str">
        <f>VLOOKUP(AC464,Key!$E$20:$F$24,2,FALSE)</f>
        <v>&gt;1,000,000</v>
      </c>
      <c r="AE464" s="32">
        <v>1</v>
      </c>
      <c r="AF464" s="55">
        <v>1</v>
      </c>
      <c r="AG464" s="55">
        <v>1</v>
      </c>
      <c r="AH464" s="55">
        <v>1</v>
      </c>
      <c r="AI464" s="55">
        <v>1</v>
      </c>
      <c r="AJ464" s="39" t="s">
        <v>104</v>
      </c>
      <c r="AK464" s="40">
        <v>10000</v>
      </c>
      <c r="AL464" s="24"/>
      <c r="AM464" s="24"/>
    </row>
    <row r="465" spans="2:39" hidden="1" x14ac:dyDescent="0.2">
      <c r="B465" s="50">
        <v>43690</v>
      </c>
      <c r="C465" s="35">
        <v>0.55555555555555558</v>
      </c>
      <c r="D465" s="35"/>
      <c r="E465" s="35" t="s">
        <v>111</v>
      </c>
      <c r="F465" s="37">
        <v>2</v>
      </c>
      <c r="G465" s="42" t="str">
        <f>VLOOKUP(F465,Key!$A$17:$B$21,2,FALSE)</f>
        <v>Road Vehicle</v>
      </c>
      <c r="H465" s="36">
        <v>2</v>
      </c>
      <c r="I465" s="43" t="str">
        <f>VLOOKUP(H465,Key!$A$2:$B$13,2,FALSE)</f>
        <v>Station Wagon</v>
      </c>
      <c r="J465" s="37" t="s">
        <v>123</v>
      </c>
      <c r="K465" s="13">
        <v>2</v>
      </c>
      <c r="L465" s="45" t="str">
        <f>VLOOKUP(K465,Key!$A$24:$B$29,2,FALSE)</f>
        <v>30-39</v>
      </c>
      <c r="M465" s="44" t="s">
        <v>196</v>
      </c>
      <c r="N465" s="44" t="s">
        <v>167</v>
      </c>
      <c r="O465" s="37" t="s">
        <v>168</v>
      </c>
      <c r="P465" s="39">
        <v>2</v>
      </c>
      <c r="Q465" s="34" t="str">
        <f>VLOOKUP(P465,Key!$E$2:$F$9,2,FALSE)</f>
        <v>Work</v>
      </c>
      <c r="R465" s="37" t="s">
        <v>175</v>
      </c>
      <c r="S465" s="32" t="s">
        <v>175</v>
      </c>
      <c r="T465" s="37" t="s">
        <v>168</v>
      </c>
      <c r="U465" s="32">
        <v>4</v>
      </c>
      <c r="V465" s="34" t="str">
        <f>VLOOKUP(U465,Key!$E$2:$F$9,2,FALSE)</f>
        <v>Commercial</v>
      </c>
      <c r="W465" s="34" t="str">
        <f t="shared" si="10"/>
        <v>Work-Commercial</v>
      </c>
      <c r="X465" s="47">
        <v>10000</v>
      </c>
      <c r="Y465" s="38">
        <v>150</v>
      </c>
      <c r="Z465" s="38">
        <v>5</v>
      </c>
      <c r="AA465" s="32">
        <v>10</v>
      </c>
      <c r="AB465" s="34" t="str">
        <f>VLOOKUP(AA465,Key!$C$20:$D$29,2,FALSE)</f>
        <v>Other</v>
      </c>
      <c r="AC465" s="32">
        <v>3</v>
      </c>
      <c r="AD465" s="34" t="str">
        <f>VLOOKUP(AC465,Key!$E$20:$F$24,2,FALSE)</f>
        <v>500,000-750,000</v>
      </c>
      <c r="AE465" s="32">
        <v>1</v>
      </c>
      <c r="AF465" s="55">
        <v>2</v>
      </c>
      <c r="AG465" s="55">
        <v>1</v>
      </c>
      <c r="AH465" s="55">
        <v>1</v>
      </c>
      <c r="AI465" s="55">
        <v>1</v>
      </c>
      <c r="AJ465" s="39" t="s">
        <v>104</v>
      </c>
      <c r="AK465" s="40"/>
      <c r="AL465" s="24"/>
      <c r="AM465" s="24"/>
    </row>
    <row r="466" spans="2:39" hidden="1" x14ac:dyDescent="0.2">
      <c r="B466" s="50">
        <v>43686</v>
      </c>
      <c r="C466" s="35">
        <v>0.66249999999999998</v>
      </c>
      <c r="D466" s="35"/>
      <c r="E466" s="35" t="s">
        <v>111</v>
      </c>
      <c r="F466" s="37">
        <v>2</v>
      </c>
      <c r="G466" s="42" t="str">
        <f>VLOOKUP(F466,Key!$A$17:$B$21,2,FALSE)</f>
        <v>Road Vehicle</v>
      </c>
      <c r="H466" s="36">
        <v>2</v>
      </c>
      <c r="I466" s="43" t="str">
        <f>VLOOKUP(H466,Key!$A$2:$B$13,2,FALSE)</f>
        <v>Station Wagon</v>
      </c>
      <c r="J466" s="37" t="s">
        <v>166</v>
      </c>
      <c r="K466" s="37">
        <v>2</v>
      </c>
      <c r="L466" s="45" t="str">
        <f>VLOOKUP(K466,Key!$A$24:$B$29,2,FALSE)</f>
        <v>30-39</v>
      </c>
      <c r="M466" s="37" t="s">
        <v>199</v>
      </c>
      <c r="N466" s="32" t="s">
        <v>199</v>
      </c>
      <c r="O466" s="37" t="s">
        <v>168</v>
      </c>
      <c r="P466" s="39">
        <v>6</v>
      </c>
      <c r="Q466" s="34" t="str">
        <f>VLOOKUP(P466,Key!$E$2:$F$9,2,FALSE)</f>
        <v>Leisure/Social</v>
      </c>
      <c r="R466" s="37" t="s">
        <v>222</v>
      </c>
      <c r="S466" s="32" t="s">
        <v>176</v>
      </c>
      <c r="T466" s="37" t="s">
        <v>168</v>
      </c>
      <c r="U466" s="32">
        <v>1</v>
      </c>
      <c r="V466" s="34" t="str">
        <f>VLOOKUP(U466,Key!$E$2:$F$9,2,FALSE)</f>
        <v>Home</v>
      </c>
      <c r="W466" s="34" t="str">
        <f t="shared" si="10"/>
        <v>Leisure/Social-Home</v>
      </c>
      <c r="X466" s="47">
        <v>80000</v>
      </c>
      <c r="Y466" s="38">
        <v>200</v>
      </c>
      <c r="Z466" s="38">
        <v>4</v>
      </c>
      <c r="AA466" s="32">
        <v>4</v>
      </c>
      <c r="AB466" s="34" t="str">
        <f>VLOOKUP(AA466,Key!$C$20:$D$29,2,FALSE)</f>
        <v>Office Worker</v>
      </c>
      <c r="AC466" s="32">
        <v>5</v>
      </c>
      <c r="AD466" s="34" t="str">
        <f>VLOOKUP(AC466,Key!$E$20:$F$24,2,FALSE)</f>
        <v>&gt;1,000,000</v>
      </c>
      <c r="AE466" s="32">
        <v>1</v>
      </c>
      <c r="AF466" s="55">
        <v>1</v>
      </c>
      <c r="AG466" s="55">
        <v>1</v>
      </c>
      <c r="AH466" s="55">
        <v>1</v>
      </c>
      <c r="AI466" s="55">
        <v>1</v>
      </c>
      <c r="AJ466" s="39" t="s">
        <v>104</v>
      </c>
      <c r="AK466" s="40">
        <v>5000</v>
      </c>
      <c r="AL466" s="24"/>
      <c r="AM466" s="24"/>
    </row>
    <row r="467" spans="2:39" hidden="1" x14ac:dyDescent="0.2">
      <c r="B467" s="50">
        <v>43687</v>
      </c>
      <c r="C467" s="35">
        <v>0.38680555555555557</v>
      </c>
      <c r="D467" s="35"/>
      <c r="E467" s="35" t="s">
        <v>111</v>
      </c>
      <c r="F467" s="37">
        <v>2</v>
      </c>
      <c r="G467" s="42" t="str">
        <f>VLOOKUP(F467,Key!$A$17:$B$21,2,FALSE)</f>
        <v>Road Vehicle</v>
      </c>
      <c r="H467" s="36">
        <v>2</v>
      </c>
      <c r="I467" s="43" t="str">
        <f>VLOOKUP(H467,Key!$A$2:$B$13,2,FALSE)</f>
        <v>Station Wagon</v>
      </c>
      <c r="J467" s="37" t="s">
        <v>123</v>
      </c>
      <c r="K467" s="37">
        <v>3</v>
      </c>
      <c r="L467" s="45" t="str">
        <f>VLOOKUP(K467,Key!$A$24:$B$29,2,FALSE)</f>
        <v>40-49</v>
      </c>
      <c r="M467" s="37" t="s">
        <v>265</v>
      </c>
      <c r="N467" s="32" t="s">
        <v>169</v>
      </c>
      <c r="O467" s="37" t="s">
        <v>168</v>
      </c>
      <c r="P467" s="39">
        <v>6</v>
      </c>
      <c r="Q467" s="34" t="str">
        <f>VLOOKUP(P467,Key!$E$2:$F$9,2,FALSE)</f>
        <v>Leisure/Social</v>
      </c>
      <c r="R467" s="37" t="s">
        <v>217</v>
      </c>
      <c r="S467" s="32" t="s">
        <v>176</v>
      </c>
      <c r="T467" s="37" t="s">
        <v>168</v>
      </c>
      <c r="U467" s="32">
        <v>1</v>
      </c>
      <c r="V467" s="34" t="str">
        <f>VLOOKUP(U467,Key!$E$2:$F$9,2,FALSE)</f>
        <v>Home</v>
      </c>
      <c r="W467" s="34" t="str">
        <f t="shared" si="10"/>
        <v>Leisure/Social-Home</v>
      </c>
      <c r="X467" s="47">
        <v>120000</v>
      </c>
      <c r="Y467" s="38">
        <v>200</v>
      </c>
      <c r="Z467" s="38">
        <v>4</v>
      </c>
      <c r="AA467" s="32">
        <v>5</v>
      </c>
      <c r="AB467" s="34" t="str">
        <f>VLOOKUP(AA467,Key!$C$20:$D$29,2,FALSE)</f>
        <v>Professional</v>
      </c>
      <c r="AC467" s="32">
        <v>5</v>
      </c>
      <c r="AD467" s="34" t="str">
        <f>VLOOKUP(AC467,Key!$E$20:$F$24,2,FALSE)</f>
        <v>&gt;1,000,000</v>
      </c>
      <c r="AE467" s="32">
        <v>1</v>
      </c>
      <c r="AF467" s="55">
        <v>1</v>
      </c>
      <c r="AG467" s="55">
        <v>1</v>
      </c>
      <c r="AH467" s="55">
        <v>1</v>
      </c>
      <c r="AI467" s="55">
        <v>1</v>
      </c>
      <c r="AJ467" s="39" t="s">
        <v>104</v>
      </c>
      <c r="AK467" s="40">
        <v>5000</v>
      </c>
      <c r="AL467" s="24"/>
      <c r="AM467" s="24"/>
    </row>
    <row r="468" spans="2:39" hidden="1" x14ac:dyDescent="0.2">
      <c r="B468" s="50">
        <v>43690</v>
      </c>
      <c r="C468" s="35">
        <v>0.52916666666666667</v>
      </c>
      <c r="D468" s="35"/>
      <c r="E468" s="35" t="s">
        <v>111</v>
      </c>
      <c r="F468" s="37">
        <v>2</v>
      </c>
      <c r="G468" s="42" t="str">
        <f>VLOOKUP(F468,Key!$A$17:$B$21,2,FALSE)</f>
        <v>Road Vehicle</v>
      </c>
      <c r="H468" s="36">
        <v>2</v>
      </c>
      <c r="I468" s="43" t="str">
        <f>VLOOKUP(H468,Key!$A$2:$B$13,2,FALSE)</f>
        <v>Station Wagon</v>
      </c>
      <c r="J468" s="37" t="s">
        <v>123</v>
      </c>
      <c r="K468" s="37">
        <v>4</v>
      </c>
      <c r="L468" s="45" t="str">
        <f>VLOOKUP(K468,Key!$A$24:$B$29,2,FALSE)</f>
        <v>50-59</v>
      </c>
      <c r="M468" s="37" t="s">
        <v>319</v>
      </c>
      <c r="N468" s="32" t="s">
        <v>320</v>
      </c>
      <c r="O468" s="37" t="s">
        <v>168</v>
      </c>
      <c r="P468" s="39">
        <v>1</v>
      </c>
      <c r="Q468" s="34" t="str">
        <f>VLOOKUP(P468,Key!$E$2:$F$9,2,FALSE)</f>
        <v>Home</v>
      </c>
      <c r="R468" s="37" t="s">
        <v>232</v>
      </c>
      <c r="S468" s="32" t="s">
        <v>188</v>
      </c>
      <c r="T468" s="37" t="s">
        <v>168</v>
      </c>
      <c r="U468" s="32">
        <v>6</v>
      </c>
      <c r="V468" s="34" t="str">
        <f>VLOOKUP(U468,Key!$E$2:$F$9,2,FALSE)</f>
        <v>Leisure/Social</v>
      </c>
      <c r="W468" s="34" t="str">
        <f t="shared" si="10"/>
        <v>Home-Leisure/Social</v>
      </c>
      <c r="X468" s="47">
        <v>150000</v>
      </c>
      <c r="Y468" s="38">
        <v>200</v>
      </c>
      <c r="Z468" s="38">
        <v>4</v>
      </c>
      <c r="AA468" s="32">
        <v>5</v>
      </c>
      <c r="AB468" s="34" t="str">
        <f>VLOOKUP(AA468,Key!$C$20:$D$29,2,FALSE)</f>
        <v>Professional</v>
      </c>
      <c r="AC468" s="32">
        <v>5</v>
      </c>
      <c r="AD468" s="34" t="str">
        <f>VLOOKUP(AC468,Key!$E$20:$F$24,2,FALSE)</f>
        <v>&gt;1,000,000</v>
      </c>
      <c r="AE468" s="32">
        <v>1</v>
      </c>
      <c r="AF468" s="55">
        <v>1</v>
      </c>
      <c r="AG468" s="55">
        <v>2</v>
      </c>
      <c r="AH468" s="55">
        <v>1</v>
      </c>
      <c r="AI468" s="55">
        <v>1</v>
      </c>
      <c r="AJ468" s="39" t="s">
        <v>104</v>
      </c>
      <c r="AK468" s="40">
        <v>10000</v>
      </c>
      <c r="AL468" s="24"/>
      <c r="AM468" s="24"/>
    </row>
    <row r="469" spans="2:39" hidden="1" x14ac:dyDescent="0.2">
      <c r="B469" s="50">
        <v>43688</v>
      </c>
      <c r="C469" s="35">
        <v>0.63958333333333328</v>
      </c>
      <c r="D469" s="35"/>
      <c r="E469" s="35" t="s">
        <v>111</v>
      </c>
      <c r="F469" s="37">
        <v>2</v>
      </c>
      <c r="G469" s="42" t="str">
        <f>VLOOKUP(F469,Key!$A$17:$B$21,2,FALSE)</f>
        <v>Road Vehicle</v>
      </c>
      <c r="H469" s="36">
        <v>2</v>
      </c>
      <c r="I469" s="43" t="str">
        <f>VLOOKUP(H469,Key!$A$2:$B$13,2,FALSE)</f>
        <v>Station Wagon</v>
      </c>
      <c r="J469" s="37" t="s">
        <v>123</v>
      </c>
      <c r="K469" s="37">
        <v>2</v>
      </c>
      <c r="L469" s="45" t="str">
        <f>VLOOKUP(K469,Key!$A$24:$B$29,2,FALSE)</f>
        <v>30-39</v>
      </c>
      <c r="M469" s="37" t="s">
        <v>167</v>
      </c>
      <c r="N469" s="32" t="s">
        <v>167</v>
      </c>
      <c r="O469" s="37" t="s">
        <v>168</v>
      </c>
      <c r="P469" s="39">
        <v>2</v>
      </c>
      <c r="Q469" s="34" t="str">
        <f>VLOOKUP(P469,Key!$E$2:$F$9,2,FALSE)</f>
        <v>Work</v>
      </c>
      <c r="R469" s="37" t="s">
        <v>307</v>
      </c>
      <c r="S469" s="32" t="s">
        <v>308</v>
      </c>
      <c r="T469" s="37" t="s">
        <v>168</v>
      </c>
      <c r="U469" s="32">
        <v>5</v>
      </c>
      <c r="V469" s="34" t="str">
        <f>VLOOKUP(U469,Key!$E$2:$F$9,2,FALSE)</f>
        <v>Tourism</v>
      </c>
      <c r="W469" s="34" t="str">
        <f t="shared" si="10"/>
        <v>Work-Tourism</v>
      </c>
      <c r="X469" s="47">
        <v>150000</v>
      </c>
      <c r="Y469" s="38">
        <v>200</v>
      </c>
      <c r="Z469" s="38">
        <v>4</v>
      </c>
      <c r="AA469" s="32">
        <v>7</v>
      </c>
      <c r="AB469" s="34" t="str">
        <f>VLOOKUP(AA469,Key!$C$20:$D$29,2,FALSE)</f>
        <v>Farmer</v>
      </c>
      <c r="AC469" s="32">
        <v>1</v>
      </c>
      <c r="AD469" s="34" t="str">
        <f>VLOOKUP(AC469,Key!$E$20:$F$24,2,FALSE)</f>
        <v>&lt;300,000</v>
      </c>
      <c r="AE469" s="32">
        <v>4</v>
      </c>
      <c r="AF469" s="55">
        <v>1</v>
      </c>
      <c r="AG469" s="55">
        <v>1</v>
      </c>
      <c r="AH469" s="55">
        <v>2</v>
      </c>
      <c r="AI469" s="55">
        <v>1</v>
      </c>
      <c r="AJ469" s="39" t="s">
        <v>104</v>
      </c>
      <c r="AK469" s="40"/>
      <c r="AL469" s="24"/>
      <c r="AM469" s="24"/>
    </row>
    <row r="470" spans="2:39" hidden="1" x14ac:dyDescent="0.2">
      <c r="B470" s="50">
        <v>43690</v>
      </c>
      <c r="C470" s="35">
        <v>0.69652777777777775</v>
      </c>
      <c r="D470" s="35"/>
      <c r="E470" s="35" t="s">
        <v>111</v>
      </c>
      <c r="F470" s="37">
        <v>2</v>
      </c>
      <c r="G470" s="42" t="str">
        <f>VLOOKUP(F470,Key!$A$17:$B$21,2,FALSE)</f>
        <v>Road Vehicle</v>
      </c>
      <c r="H470" s="36">
        <v>2</v>
      </c>
      <c r="I470" s="43" t="str">
        <f>VLOOKUP(H470,Key!$A$2:$B$13,2,FALSE)</f>
        <v>Station Wagon</v>
      </c>
      <c r="J470" s="37" t="s">
        <v>123</v>
      </c>
      <c r="K470" s="13">
        <v>2</v>
      </c>
      <c r="L470" s="45" t="str">
        <f>VLOOKUP(K470,Key!$A$24:$B$29,2,FALSE)</f>
        <v>30-39</v>
      </c>
      <c r="M470" s="44" t="s">
        <v>178</v>
      </c>
      <c r="N470" s="32" t="s">
        <v>178</v>
      </c>
      <c r="O470" s="37" t="s">
        <v>168</v>
      </c>
      <c r="P470" s="39">
        <v>2</v>
      </c>
      <c r="Q470" s="34" t="str">
        <f>VLOOKUP(P470,Key!$E$2:$F$9,2,FALSE)</f>
        <v>Work</v>
      </c>
      <c r="R470" s="37" t="s">
        <v>167</v>
      </c>
      <c r="S470" s="32" t="s">
        <v>167</v>
      </c>
      <c r="T470" s="37" t="s">
        <v>168</v>
      </c>
      <c r="U470" s="32">
        <v>4</v>
      </c>
      <c r="V470" s="34" t="str">
        <f>VLOOKUP(U470,Key!$E$2:$F$9,2,FALSE)</f>
        <v>Commercial</v>
      </c>
      <c r="W470" s="34" t="str">
        <f t="shared" si="10"/>
        <v>Work-Commercial</v>
      </c>
      <c r="X470" s="47">
        <v>180000</v>
      </c>
      <c r="Y470" s="38">
        <v>220</v>
      </c>
      <c r="Z470" s="38">
        <v>6</v>
      </c>
      <c r="AA470" s="32">
        <v>6</v>
      </c>
      <c r="AB470" s="34" t="str">
        <f>VLOOKUP(AA470,Key!$C$20:$D$29,2,FALSE)</f>
        <v>Businessman</v>
      </c>
      <c r="AC470" s="32">
        <v>5</v>
      </c>
      <c r="AD470" s="34" t="str">
        <f>VLOOKUP(AC470,Key!$E$20:$F$24,2,FALSE)</f>
        <v>&gt;1,000,000</v>
      </c>
      <c r="AE470" s="32">
        <v>2</v>
      </c>
      <c r="AF470" s="55">
        <v>3</v>
      </c>
      <c r="AG470" s="55">
        <v>4</v>
      </c>
      <c r="AH470" s="55">
        <v>1</v>
      </c>
      <c r="AI470" s="55">
        <v>5</v>
      </c>
      <c r="AJ470" s="39" t="s">
        <v>104</v>
      </c>
      <c r="AK470" s="40">
        <v>10000</v>
      </c>
      <c r="AL470" s="24"/>
      <c r="AM470" s="24"/>
    </row>
    <row r="471" spans="2:39" hidden="1" x14ac:dyDescent="0.2">
      <c r="B471" s="50">
        <v>43687</v>
      </c>
      <c r="C471" s="35">
        <v>0.66805555555555562</v>
      </c>
      <c r="D471" s="35"/>
      <c r="E471" s="35" t="s">
        <v>111</v>
      </c>
      <c r="F471" s="37">
        <v>2</v>
      </c>
      <c r="G471" s="42" t="str">
        <f>VLOOKUP(F471,Key!$A$17:$B$21,2,FALSE)</f>
        <v>Road Vehicle</v>
      </c>
      <c r="H471" s="36">
        <v>2</v>
      </c>
      <c r="I471" s="43" t="str">
        <f>VLOOKUP(H471,Key!$A$2:$B$13,2,FALSE)</f>
        <v>Station Wagon</v>
      </c>
      <c r="J471" s="37" t="s">
        <v>123</v>
      </c>
      <c r="K471" s="37">
        <v>4</v>
      </c>
      <c r="L471" s="45" t="str">
        <f>VLOOKUP(K471,Key!$A$24:$B$29,2,FALSE)</f>
        <v>50-59</v>
      </c>
      <c r="M471" s="37" t="s">
        <v>288</v>
      </c>
      <c r="N471" s="32" t="s">
        <v>289</v>
      </c>
      <c r="O471" s="37" t="s">
        <v>168</v>
      </c>
      <c r="P471" s="39">
        <v>1</v>
      </c>
      <c r="Q471" s="34" t="str">
        <f>VLOOKUP(P471,Key!$E$2:$F$9,2,FALSE)</f>
        <v>Home</v>
      </c>
      <c r="R471" s="37" t="s">
        <v>290</v>
      </c>
      <c r="S471" s="32" t="s">
        <v>176</v>
      </c>
      <c r="T471" s="37" t="s">
        <v>168</v>
      </c>
      <c r="U471" s="32">
        <v>7</v>
      </c>
      <c r="V471" s="34" t="str">
        <f>VLOOKUP(U471,Key!$E$2:$F$9,2,FALSE)</f>
        <v>Hospital</v>
      </c>
      <c r="W471" s="34" t="str">
        <f t="shared" si="10"/>
        <v>Home-Hospital</v>
      </c>
      <c r="X471" s="47">
        <v>120000</v>
      </c>
      <c r="Y471" s="38">
        <v>280</v>
      </c>
      <c r="Z471" s="38">
        <v>5</v>
      </c>
      <c r="AA471" s="32">
        <v>5</v>
      </c>
      <c r="AB471" s="34" t="str">
        <f>VLOOKUP(AA471,Key!$C$20:$D$29,2,FALSE)</f>
        <v>Professional</v>
      </c>
      <c r="AC471" s="32">
        <v>4</v>
      </c>
      <c r="AD471" s="34" t="str">
        <f>VLOOKUP(AC471,Key!$E$20:$F$24,2,FALSE)</f>
        <v>750,000-1,000,000</v>
      </c>
      <c r="AE471" s="32">
        <v>1</v>
      </c>
      <c r="AF471" s="55">
        <v>1</v>
      </c>
      <c r="AG471" s="55">
        <v>1</v>
      </c>
      <c r="AH471" s="55">
        <v>1</v>
      </c>
      <c r="AI471" s="55">
        <v>1</v>
      </c>
      <c r="AJ471" s="39" t="s">
        <v>104</v>
      </c>
      <c r="AK471" s="40"/>
      <c r="AL471" s="24"/>
      <c r="AM471" s="24"/>
    </row>
    <row r="472" spans="2:39" hidden="1" x14ac:dyDescent="0.2">
      <c r="B472" s="50">
        <v>43687</v>
      </c>
      <c r="C472" s="35">
        <v>0.54166666666666663</v>
      </c>
      <c r="D472" s="35"/>
      <c r="E472" s="35" t="s">
        <v>111</v>
      </c>
      <c r="F472" s="37">
        <v>2</v>
      </c>
      <c r="G472" s="42" t="str">
        <f>VLOOKUP(F472,Key!$A$17:$B$21,2,FALSE)</f>
        <v>Road Vehicle</v>
      </c>
      <c r="H472" s="36">
        <v>2</v>
      </c>
      <c r="I472" s="43" t="str">
        <f>VLOOKUP(H472,Key!$A$2:$B$13,2,FALSE)</f>
        <v>Station Wagon</v>
      </c>
      <c r="J472" s="37" t="s">
        <v>123</v>
      </c>
      <c r="K472" s="37">
        <v>4</v>
      </c>
      <c r="L472" s="45" t="str">
        <f>VLOOKUP(K472,Key!$A$24:$B$29,2,FALSE)</f>
        <v>50-59</v>
      </c>
      <c r="M472" s="37" t="s">
        <v>336</v>
      </c>
      <c r="N472" s="32" t="s">
        <v>287</v>
      </c>
      <c r="O472" s="37" t="s">
        <v>168</v>
      </c>
      <c r="P472" s="39">
        <v>6</v>
      </c>
      <c r="Q472" s="34" t="str">
        <f>VLOOKUP(P472,Key!$E$2:$F$9,2,FALSE)</f>
        <v>Leisure/Social</v>
      </c>
      <c r="R472" s="37" t="s">
        <v>337</v>
      </c>
      <c r="S472" s="32" t="s">
        <v>188</v>
      </c>
      <c r="T472" s="37" t="s">
        <v>168</v>
      </c>
      <c r="U472" s="32">
        <v>1</v>
      </c>
      <c r="V472" s="34" t="str">
        <f>VLOOKUP(U472,Key!$E$2:$F$9,2,FALSE)</f>
        <v>Home</v>
      </c>
      <c r="W472" s="34" t="str">
        <f t="shared" si="10"/>
        <v>Leisure/Social-Home</v>
      </c>
      <c r="X472" s="47">
        <v>120000</v>
      </c>
      <c r="Y472" s="38">
        <v>300</v>
      </c>
      <c r="Z472" s="38">
        <v>5</v>
      </c>
      <c r="AA472" s="32">
        <v>6</v>
      </c>
      <c r="AB472" s="34" t="str">
        <f>VLOOKUP(AA472,Key!$C$20:$D$29,2,FALSE)</f>
        <v>Businessman</v>
      </c>
      <c r="AC472" s="32">
        <v>5</v>
      </c>
      <c r="AD472" s="34" t="str">
        <f>VLOOKUP(AC472,Key!$E$20:$F$24,2,FALSE)</f>
        <v>&gt;1,000,000</v>
      </c>
      <c r="AE472" s="32">
        <v>1</v>
      </c>
      <c r="AF472" s="55">
        <v>1</v>
      </c>
      <c r="AG472" s="55">
        <v>1</v>
      </c>
      <c r="AH472" s="55">
        <v>1</v>
      </c>
      <c r="AI472" s="55">
        <v>1</v>
      </c>
      <c r="AJ472" s="39" t="s">
        <v>104</v>
      </c>
      <c r="AK472" s="40">
        <v>5000</v>
      </c>
      <c r="AL472" s="24"/>
      <c r="AM472" s="24"/>
    </row>
    <row r="473" spans="2:39" hidden="1" x14ac:dyDescent="0.2">
      <c r="B473" s="50">
        <v>43686</v>
      </c>
      <c r="C473" s="35">
        <v>0.67361111111111116</v>
      </c>
      <c r="D473" s="35"/>
      <c r="E473" s="35" t="s">
        <v>111</v>
      </c>
      <c r="F473" s="37">
        <v>2</v>
      </c>
      <c r="G473" s="42" t="str">
        <f>VLOOKUP(F473,Key!$A$17:$B$21,2,FALSE)</f>
        <v>Road Vehicle</v>
      </c>
      <c r="H473" s="36">
        <v>2</v>
      </c>
      <c r="I473" s="43" t="str">
        <f>VLOOKUP(H473,Key!$A$2:$B$13,2,FALSE)</f>
        <v>Station Wagon</v>
      </c>
      <c r="J473" s="37" t="s">
        <v>123</v>
      </c>
      <c r="K473" s="37">
        <v>3</v>
      </c>
      <c r="L473" s="45" t="str">
        <f>VLOOKUP(K473,Key!$A$24:$B$29,2,FALSE)</f>
        <v>40-49</v>
      </c>
      <c r="M473" s="37" t="s">
        <v>347</v>
      </c>
      <c r="N473" s="32" t="s">
        <v>347</v>
      </c>
      <c r="O473" s="37" t="s">
        <v>168</v>
      </c>
      <c r="P473" s="39">
        <v>4</v>
      </c>
      <c r="Q473" s="34" t="str">
        <f>VLOOKUP(P473,Key!$E$2:$F$9,2,FALSE)</f>
        <v>Commercial</v>
      </c>
      <c r="R473" s="37" t="s">
        <v>329</v>
      </c>
      <c r="S473" s="32" t="s">
        <v>167</v>
      </c>
      <c r="T473" s="37" t="s">
        <v>168</v>
      </c>
      <c r="U473" s="32">
        <v>1</v>
      </c>
      <c r="V473" s="34" t="str">
        <f>VLOOKUP(U473,Key!$E$2:$F$9,2,FALSE)</f>
        <v>Home</v>
      </c>
      <c r="W473" s="34" t="str">
        <f t="shared" si="10"/>
        <v>Commercial-Home</v>
      </c>
      <c r="X473" s="47">
        <v>140000</v>
      </c>
      <c r="Y473" s="38">
        <v>300</v>
      </c>
      <c r="Z473" s="38">
        <v>5</v>
      </c>
      <c r="AA473" s="32">
        <v>6</v>
      </c>
      <c r="AB473" s="34" t="str">
        <f>VLOOKUP(AA473,Key!$C$20:$D$29,2,FALSE)</f>
        <v>Businessman</v>
      </c>
      <c r="AC473" s="32">
        <v>5</v>
      </c>
      <c r="AD473" s="34" t="str">
        <f>VLOOKUP(AC473,Key!$E$20:$F$24,2,FALSE)</f>
        <v>&gt;1,000,000</v>
      </c>
      <c r="AE473" s="32">
        <v>2</v>
      </c>
      <c r="AF473" s="55">
        <v>4</v>
      </c>
      <c r="AG473" s="55">
        <v>3</v>
      </c>
      <c r="AH473" s="55">
        <v>1</v>
      </c>
      <c r="AI473" s="55">
        <v>4</v>
      </c>
      <c r="AJ473" s="39" t="s">
        <v>104</v>
      </c>
      <c r="AK473" s="40">
        <v>10000</v>
      </c>
      <c r="AL473" s="24"/>
      <c r="AM473" s="24"/>
    </row>
    <row r="474" spans="2:39" hidden="1" x14ac:dyDescent="0.2">
      <c r="B474" s="50">
        <v>43686</v>
      </c>
      <c r="C474" s="35">
        <v>0.62152777777777779</v>
      </c>
      <c r="D474" s="35"/>
      <c r="E474" s="35" t="s">
        <v>111</v>
      </c>
      <c r="F474" s="37">
        <v>2</v>
      </c>
      <c r="G474" s="42" t="str">
        <f>VLOOKUP(F474,Key!$A$17:$B$21,2,FALSE)</f>
        <v>Road Vehicle</v>
      </c>
      <c r="H474" s="36">
        <v>2</v>
      </c>
      <c r="I474" s="43" t="str">
        <f>VLOOKUP(H474,Key!$A$2:$B$13,2,FALSE)</f>
        <v>Station Wagon</v>
      </c>
      <c r="J474" s="37" t="s">
        <v>123</v>
      </c>
      <c r="K474" s="37">
        <v>3</v>
      </c>
      <c r="L474" s="45" t="str">
        <f>VLOOKUP(K474,Key!$A$24:$B$29,2,FALSE)</f>
        <v>40-49</v>
      </c>
      <c r="M474" s="37" t="s">
        <v>241</v>
      </c>
      <c r="N474" s="32" t="s">
        <v>241</v>
      </c>
      <c r="O474" s="37" t="s">
        <v>168</v>
      </c>
      <c r="P474" s="39">
        <v>6</v>
      </c>
      <c r="Q474" s="34" t="str">
        <f>VLOOKUP(P474,Key!$E$2:$F$9,2,FALSE)</f>
        <v>Leisure/Social</v>
      </c>
      <c r="R474" s="37" t="s">
        <v>167</v>
      </c>
      <c r="S474" s="32" t="s">
        <v>167</v>
      </c>
      <c r="T474" s="37" t="s">
        <v>168</v>
      </c>
      <c r="U474" s="32">
        <v>2</v>
      </c>
      <c r="V474" s="34" t="str">
        <f>VLOOKUP(U474,Key!$E$2:$F$9,2,FALSE)</f>
        <v>Work</v>
      </c>
      <c r="W474" s="34" t="str">
        <f t="shared" si="10"/>
        <v>Leisure/Social-Work</v>
      </c>
      <c r="X474" s="47">
        <v>200000</v>
      </c>
      <c r="Y474" s="38">
        <v>310</v>
      </c>
      <c r="Z474" s="38">
        <v>7</v>
      </c>
      <c r="AA474" s="32">
        <v>4</v>
      </c>
      <c r="AB474" s="34" t="str">
        <f>VLOOKUP(AA474,Key!$C$20:$D$29,2,FALSE)</f>
        <v>Office Worker</v>
      </c>
      <c r="AC474" s="32">
        <v>4</v>
      </c>
      <c r="AD474" s="34" t="str">
        <f>VLOOKUP(AC474,Key!$E$20:$F$24,2,FALSE)</f>
        <v>750,000-1,000,000</v>
      </c>
      <c r="AE474" s="32">
        <v>1</v>
      </c>
      <c r="AF474" s="55">
        <v>2</v>
      </c>
      <c r="AG474" s="55">
        <v>2</v>
      </c>
      <c r="AH474" s="55">
        <v>1</v>
      </c>
      <c r="AI474" s="55">
        <v>3</v>
      </c>
      <c r="AJ474" s="39" t="s">
        <v>104</v>
      </c>
      <c r="AK474" s="40">
        <v>10000</v>
      </c>
      <c r="AL474" s="24"/>
      <c r="AM474" s="24"/>
    </row>
    <row r="475" spans="2:39" hidden="1" x14ac:dyDescent="0.2">
      <c r="B475" s="50">
        <v>43690</v>
      </c>
      <c r="C475" s="35">
        <v>0.62847222222222221</v>
      </c>
      <c r="D475" s="35"/>
      <c r="E475" s="35" t="s">
        <v>111</v>
      </c>
      <c r="F475" s="37">
        <v>2</v>
      </c>
      <c r="G475" s="42" t="str">
        <f>VLOOKUP(F475,Key!$A$17:$B$21,2,FALSE)</f>
        <v>Road Vehicle</v>
      </c>
      <c r="H475" s="36">
        <v>2</v>
      </c>
      <c r="I475" s="43" t="str">
        <f>VLOOKUP(H475,Key!$A$2:$B$13,2,FALSE)</f>
        <v>Station Wagon</v>
      </c>
      <c r="J475" s="37" t="s">
        <v>123</v>
      </c>
      <c r="K475" s="37">
        <v>2</v>
      </c>
      <c r="L475" s="45" t="str">
        <f>VLOOKUP(K475,Key!$A$24:$B$29,2,FALSE)</f>
        <v>30-39</v>
      </c>
      <c r="M475" s="37" t="s">
        <v>167</v>
      </c>
      <c r="N475" s="32" t="s">
        <v>167</v>
      </c>
      <c r="O475" s="37" t="s">
        <v>168</v>
      </c>
      <c r="P475" s="39">
        <v>1</v>
      </c>
      <c r="Q475" s="34" t="str">
        <f>VLOOKUP(P475,Key!$E$2:$F$9,2,FALSE)</f>
        <v>Home</v>
      </c>
      <c r="R475" s="37" t="s">
        <v>107</v>
      </c>
      <c r="S475" s="32" t="s">
        <v>107</v>
      </c>
      <c r="T475" s="37" t="s">
        <v>168</v>
      </c>
      <c r="U475" s="32">
        <v>4</v>
      </c>
      <c r="V475" s="34" t="str">
        <f>VLOOKUP(U475,Key!$E$2:$F$9,2,FALSE)</f>
        <v>Commercial</v>
      </c>
      <c r="W475" s="34" t="str">
        <f t="shared" si="10"/>
        <v>Home-Commercial</v>
      </c>
      <c r="X475" s="47">
        <v>250000</v>
      </c>
      <c r="Y475" s="38">
        <v>420</v>
      </c>
      <c r="Z475" s="38">
        <v>7</v>
      </c>
      <c r="AA475" s="32">
        <v>5</v>
      </c>
      <c r="AB475" s="34" t="str">
        <f>VLOOKUP(AA475,Key!$C$20:$D$29,2,FALSE)</f>
        <v>Professional</v>
      </c>
      <c r="AC475" s="32">
        <v>4</v>
      </c>
      <c r="AD475" s="34" t="str">
        <f>VLOOKUP(AC475,Key!$E$20:$F$24,2,FALSE)</f>
        <v>750,000-1,000,000</v>
      </c>
      <c r="AE475" s="32">
        <v>2</v>
      </c>
      <c r="AF475" s="55">
        <v>3</v>
      </c>
      <c r="AG475" s="55">
        <v>4</v>
      </c>
      <c r="AH475" s="55">
        <v>1</v>
      </c>
      <c r="AI475" s="55">
        <v>4</v>
      </c>
      <c r="AJ475" s="39" t="s">
        <v>104</v>
      </c>
      <c r="AK475" s="40"/>
      <c r="AL475" s="24"/>
      <c r="AM475" s="24"/>
    </row>
    <row r="476" spans="2:39" hidden="1" x14ac:dyDescent="0.2">
      <c r="B476" s="50">
        <v>43687</v>
      </c>
      <c r="C476" s="35">
        <v>0.35069444444444442</v>
      </c>
      <c r="D476" s="35"/>
      <c r="E476" s="35" t="s">
        <v>111</v>
      </c>
      <c r="F476" s="37">
        <v>2</v>
      </c>
      <c r="G476" s="42" t="str">
        <f>VLOOKUP(F476,Key!$A$17:$B$21,2,FALSE)</f>
        <v>Road Vehicle</v>
      </c>
      <c r="H476" s="36">
        <v>2</v>
      </c>
      <c r="I476" s="43" t="str">
        <f>VLOOKUP(H476,Key!$A$2:$B$13,2,FALSE)</f>
        <v>Station Wagon</v>
      </c>
      <c r="J476" s="37" t="s">
        <v>123</v>
      </c>
      <c r="K476" s="37">
        <v>2</v>
      </c>
      <c r="L476" s="45" t="str">
        <f>VLOOKUP(K476,Key!$A$24:$B$29,2,FALSE)</f>
        <v>30-39</v>
      </c>
      <c r="M476" s="37" t="s">
        <v>175</v>
      </c>
      <c r="N476" s="32" t="s">
        <v>175</v>
      </c>
      <c r="O476" s="37" t="s">
        <v>168</v>
      </c>
      <c r="P476" s="39">
        <v>5</v>
      </c>
      <c r="Q476" s="34" t="str">
        <f>VLOOKUP(P476,Key!$E$2:$F$9,2,FALSE)</f>
        <v>Tourism</v>
      </c>
      <c r="R476" s="37" t="s">
        <v>167</v>
      </c>
      <c r="S476" s="32" t="s">
        <v>167</v>
      </c>
      <c r="T476" s="37" t="s">
        <v>168</v>
      </c>
      <c r="U476" s="32">
        <v>6</v>
      </c>
      <c r="V476" s="34" t="str">
        <f>VLOOKUP(U476,Key!$E$2:$F$9,2,FALSE)</f>
        <v>Leisure/Social</v>
      </c>
      <c r="W476" s="34" t="str">
        <f t="shared" si="10"/>
        <v>Tourism-Leisure/Social</v>
      </c>
      <c r="X476" s="47">
        <v>280000</v>
      </c>
      <c r="Y476" s="38">
        <v>500</v>
      </c>
      <c r="Z476" s="38">
        <v>8</v>
      </c>
      <c r="AA476" s="32">
        <v>6</v>
      </c>
      <c r="AB476" s="34" t="str">
        <f>VLOOKUP(AA476,Key!$C$20:$D$29,2,FALSE)</f>
        <v>Businessman</v>
      </c>
      <c r="AC476" s="32">
        <v>5</v>
      </c>
      <c r="AD476" s="34" t="str">
        <f>VLOOKUP(AC476,Key!$E$20:$F$24,2,FALSE)</f>
        <v>&gt;1,000,000</v>
      </c>
      <c r="AE476" s="32">
        <v>1</v>
      </c>
      <c r="AF476" s="55">
        <v>2</v>
      </c>
      <c r="AG476" s="55">
        <v>3</v>
      </c>
      <c r="AH476" s="55">
        <v>1</v>
      </c>
      <c r="AI476" s="55">
        <v>2</v>
      </c>
      <c r="AJ476" s="39" t="s">
        <v>104</v>
      </c>
      <c r="AK476" s="40">
        <v>5000</v>
      </c>
      <c r="AL476" s="24"/>
      <c r="AM476" s="24"/>
    </row>
    <row r="477" spans="2:39" hidden="1" x14ac:dyDescent="0.2">
      <c r="B477" s="50"/>
      <c r="C477" s="35"/>
      <c r="D477" s="35"/>
      <c r="E477" s="35"/>
      <c r="F477" s="37"/>
      <c r="G477" s="42"/>
      <c r="H477" s="36"/>
      <c r="I477" s="43"/>
      <c r="J477" s="37"/>
      <c r="K477" s="37"/>
      <c r="L477" s="45"/>
      <c r="M477" s="37"/>
      <c r="N477" s="32"/>
      <c r="O477" s="37"/>
      <c r="P477" s="39"/>
      <c r="Q477" s="34"/>
      <c r="R477" s="37"/>
      <c r="S477" s="32"/>
      <c r="T477" s="37"/>
      <c r="U477" s="32"/>
      <c r="V477" s="34"/>
      <c r="W477" s="34"/>
      <c r="X477" s="47"/>
      <c r="Y477" s="38"/>
      <c r="Z477" s="38"/>
      <c r="AA477" s="32"/>
      <c r="AB477" s="34"/>
      <c r="AC477" s="32"/>
      <c r="AD477" s="34"/>
      <c r="AE477" s="32"/>
      <c r="AF477" s="55"/>
      <c r="AG477" s="55"/>
      <c r="AH477" s="55"/>
      <c r="AI477" s="55"/>
      <c r="AJ477" s="39"/>
      <c r="AK477" s="40"/>
      <c r="AL477" s="24"/>
      <c r="AM477" s="24"/>
    </row>
    <row r="478" spans="2:39" x14ac:dyDescent="0.2">
      <c r="B478" s="50">
        <v>43686</v>
      </c>
      <c r="C478" s="35">
        <v>0.70486111111111116</v>
      </c>
      <c r="D478" s="35"/>
      <c r="E478" s="35" t="s">
        <v>111</v>
      </c>
      <c r="F478" s="37">
        <v>2</v>
      </c>
      <c r="G478" s="42" t="str">
        <f>VLOOKUP(F478,Key!$A$17:$B$21,2,FALSE)</f>
        <v>Road Vehicle</v>
      </c>
      <c r="H478" s="36">
        <v>10</v>
      </c>
      <c r="I478" s="43" t="str">
        <f>VLOOKUP(H478,Key!$A$2:$B$13,2,FALSE)</f>
        <v xml:space="preserve">Truck Trailer </v>
      </c>
      <c r="J478" s="37" t="s">
        <v>123</v>
      </c>
      <c r="K478" s="37">
        <v>2</v>
      </c>
      <c r="L478" s="45" t="str">
        <f>VLOOKUP(K478,Key!$A$24:$B$29,2,FALSE)</f>
        <v>30-39</v>
      </c>
      <c r="M478" s="37" t="s">
        <v>167</v>
      </c>
      <c r="N478" s="32" t="s">
        <v>167</v>
      </c>
      <c r="O478" s="37" t="s">
        <v>168</v>
      </c>
      <c r="P478" s="39">
        <v>4</v>
      </c>
      <c r="Q478" s="34" t="str">
        <f>VLOOKUP(P478,Key!$E$2:$F$9,2,FALSE)</f>
        <v>Commercial</v>
      </c>
      <c r="R478" s="37" t="s">
        <v>176</v>
      </c>
      <c r="S478" s="32" t="s">
        <v>176</v>
      </c>
      <c r="T478" s="37" t="s">
        <v>168</v>
      </c>
      <c r="U478" s="32">
        <v>4</v>
      </c>
      <c r="V478" s="34" t="str">
        <f>VLOOKUP(U478,Key!$E$2:$F$9,2,FALSE)</f>
        <v>Commercial</v>
      </c>
      <c r="W478" s="34" t="str">
        <f>Q478&amp;"-"&amp;V478</f>
        <v>Commercial-Commercial</v>
      </c>
      <c r="X478" s="47">
        <v>140000</v>
      </c>
      <c r="Y478" s="38">
        <v>80</v>
      </c>
      <c r="Z478" s="38">
        <v>3</v>
      </c>
      <c r="AA478" s="32">
        <v>6</v>
      </c>
      <c r="AB478" s="34" t="str">
        <f>VLOOKUP(AA478,Key!$C$20:$D$29,2,FALSE)</f>
        <v>Businessman</v>
      </c>
      <c r="AC478" s="32">
        <v>4</v>
      </c>
      <c r="AD478" s="34" t="str">
        <f>VLOOKUP(AC478,Key!$E$20:$F$24,2,FALSE)</f>
        <v>750,000-1,000,000</v>
      </c>
      <c r="AE478" s="32">
        <v>1</v>
      </c>
      <c r="AF478" s="55">
        <v>2</v>
      </c>
      <c r="AG478" s="55">
        <v>1</v>
      </c>
      <c r="AH478" s="55">
        <v>1</v>
      </c>
      <c r="AI478" s="55">
        <v>2</v>
      </c>
      <c r="AJ478" s="39" t="s">
        <v>104</v>
      </c>
      <c r="AK478" s="40">
        <v>10000</v>
      </c>
      <c r="AL478" s="24"/>
      <c r="AM478" s="24"/>
    </row>
    <row r="479" spans="2:39" hidden="1" x14ac:dyDescent="0.2">
      <c r="B479" s="50">
        <v>43690</v>
      </c>
      <c r="C479" s="35">
        <v>0.58819444444444446</v>
      </c>
      <c r="D479" s="35"/>
      <c r="E479" s="35" t="s">
        <v>111</v>
      </c>
      <c r="F479" s="37">
        <v>2</v>
      </c>
      <c r="G479" s="42" t="str">
        <f>VLOOKUP(F479,Key!$A$17:$B$21,2,FALSE)</f>
        <v>Road Vehicle</v>
      </c>
      <c r="H479" s="36">
        <v>10</v>
      </c>
      <c r="I479" s="43" t="str">
        <f>VLOOKUP(H479,Key!$A$2:$B$13,2,FALSE)</f>
        <v xml:space="preserve">Truck Trailer </v>
      </c>
      <c r="J479" s="37" t="s">
        <v>123</v>
      </c>
      <c r="K479" s="37">
        <v>3</v>
      </c>
      <c r="L479" s="45" t="str">
        <f>VLOOKUP(K479,Key!$A$24:$B$29,2,FALSE)</f>
        <v>40-49</v>
      </c>
      <c r="M479" s="37" t="s">
        <v>183</v>
      </c>
      <c r="N479" s="32" t="s">
        <v>183</v>
      </c>
      <c r="O479" s="37" t="s">
        <v>168</v>
      </c>
      <c r="P479" s="39">
        <v>2</v>
      </c>
      <c r="Q479" s="34" t="str">
        <f>VLOOKUP(P479,Key!$E$2:$F$9,2,FALSE)</f>
        <v>Work</v>
      </c>
      <c r="R479" s="37" t="s">
        <v>167</v>
      </c>
      <c r="S479" s="32" t="s">
        <v>167</v>
      </c>
      <c r="T479" s="37" t="s">
        <v>168</v>
      </c>
      <c r="U479" s="32">
        <v>4</v>
      </c>
      <c r="V479" s="34" t="str">
        <f>VLOOKUP(U479,Key!$E$2:$F$9,2,FALSE)</f>
        <v>Commercial</v>
      </c>
      <c r="W479" s="34" t="str">
        <f t="shared" ref="W479:W485" si="11">Q479&amp;"-"&amp;V479</f>
        <v>Work-Commercial</v>
      </c>
      <c r="X479" s="47">
        <v>150000</v>
      </c>
      <c r="Y479" s="38">
        <v>130</v>
      </c>
      <c r="Z479" s="38">
        <v>5</v>
      </c>
      <c r="AA479" s="32">
        <v>10</v>
      </c>
      <c r="AB479" s="34" t="str">
        <f>VLOOKUP(AA479,Key!$C$20:$D$29,2,FALSE)</f>
        <v>Other</v>
      </c>
      <c r="AC479" s="32">
        <v>2</v>
      </c>
      <c r="AD479" s="34" t="str">
        <f>VLOOKUP(AC479,Key!$E$20:$F$24,2,FALSE)</f>
        <v>300,000-500,000</v>
      </c>
      <c r="AE479" s="32">
        <v>3</v>
      </c>
      <c r="AF479" s="55">
        <v>3</v>
      </c>
      <c r="AG479" s="55">
        <v>2</v>
      </c>
      <c r="AH479" s="55">
        <v>3</v>
      </c>
      <c r="AI479" s="55"/>
      <c r="AJ479" s="39" t="s">
        <v>104</v>
      </c>
      <c r="AK479" s="40"/>
      <c r="AL479" s="24"/>
      <c r="AM479" s="24"/>
    </row>
    <row r="480" spans="2:39" hidden="1" x14ac:dyDescent="0.2">
      <c r="B480" s="50">
        <v>43688</v>
      </c>
      <c r="C480" s="35">
        <v>0.61111111111111105</v>
      </c>
      <c r="D480" s="35"/>
      <c r="E480" s="35" t="s">
        <v>111</v>
      </c>
      <c r="F480" s="37">
        <v>2</v>
      </c>
      <c r="G480" s="42" t="str">
        <f>VLOOKUP(F480,Key!$A$17:$B$21,2,FALSE)</f>
        <v>Road Vehicle</v>
      </c>
      <c r="H480" s="36">
        <v>10</v>
      </c>
      <c r="I480" s="43" t="str">
        <f>VLOOKUP(H480,Key!$A$2:$B$13,2,FALSE)</f>
        <v xml:space="preserve">Truck Trailer </v>
      </c>
      <c r="J480" s="37" t="s">
        <v>123</v>
      </c>
      <c r="K480" s="37">
        <v>2</v>
      </c>
      <c r="L480" s="45" t="str">
        <f>VLOOKUP(K480,Key!$A$24:$B$29,2,FALSE)</f>
        <v>30-39</v>
      </c>
      <c r="M480" s="37" t="s">
        <v>245</v>
      </c>
      <c r="N480" s="32" t="s">
        <v>245</v>
      </c>
      <c r="O480" s="37" t="s">
        <v>246</v>
      </c>
      <c r="P480" s="39">
        <v>2</v>
      </c>
      <c r="Q480" s="34" t="str">
        <f>VLOOKUP(P480,Key!$E$2:$F$9,2,FALSE)</f>
        <v>Work</v>
      </c>
      <c r="R480" s="37" t="s">
        <v>167</v>
      </c>
      <c r="S480" s="32" t="s">
        <v>167</v>
      </c>
      <c r="T480" s="37" t="s">
        <v>168</v>
      </c>
      <c r="U480" s="32">
        <v>2</v>
      </c>
      <c r="V480" s="34" t="str">
        <f>VLOOKUP(U480,Key!$E$2:$F$9,2,FALSE)</f>
        <v>Work</v>
      </c>
      <c r="W480" s="34" t="str">
        <f t="shared" si="11"/>
        <v>Work-Work</v>
      </c>
      <c r="X480" s="47">
        <v>400000</v>
      </c>
      <c r="Y480" s="38">
        <v>220</v>
      </c>
      <c r="Z480" s="38">
        <v>5.3</v>
      </c>
      <c r="AA480" s="32">
        <v>10</v>
      </c>
      <c r="AB480" s="34" t="str">
        <f>VLOOKUP(AA480,Key!$C$20:$D$29,2,FALSE)</f>
        <v>Other</v>
      </c>
      <c r="AC480" s="32">
        <v>3</v>
      </c>
      <c r="AD480" s="34" t="str">
        <f>VLOOKUP(AC480,Key!$E$20:$F$24,2,FALSE)</f>
        <v>500,000-750,000</v>
      </c>
      <c r="AE480" s="32">
        <v>3</v>
      </c>
      <c r="AF480" s="55">
        <v>3</v>
      </c>
      <c r="AG480" s="55">
        <v>4</v>
      </c>
      <c r="AH480" s="55">
        <v>4</v>
      </c>
      <c r="AI480" s="55"/>
      <c r="AJ480" s="39" t="s">
        <v>104</v>
      </c>
      <c r="AK480" s="40"/>
      <c r="AL480" s="24"/>
      <c r="AM480" s="24"/>
    </row>
    <row r="481" spans="2:39" hidden="1" x14ac:dyDescent="0.2">
      <c r="B481" s="50">
        <v>43690</v>
      </c>
      <c r="C481" s="35">
        <v>0.57777777777777783</v>
      </c>
      <c r="D481" s="35"/>
      <c r="E481" s="35" t="s">
        <v>111</v>
      </c>
      <c r="F481" s="37">
        <v>2</v>
      </c>
      <c r="G481" s="42" t="str">
        <f>VLOOKUP(F481,Key!$A$17:$B$21,2,FALSE)</f>
        <v>Road Vehicle</v>
      </c>
      <c r="H481" s="36">
        <v>10</v>
      </c>
      <c r="I481" s="43" t="str">
        <f>VLOOKUP(H481,Key!$A$2:$B$13,2,FALSE)</f>
        <v xml:space="preserve">Truck Trailer </v>
      </c>
      <c r="J481" s="37" t="s">
        <v>123</v>
      </c>
      <c r="K481" s="37">
        <v>2</v>
      </c>
      <c r="L481" s="45" t="str">
        <f>VLOOKUP(K481,Key!$A$24:$B$29,2,FALSE)</f>
        <v>30-39</v>
      </c>
      <c r="M481" s="37" t="s">
        <v>183</v>
      </c>
      <c r="N481" s="32" t="s">
        <v>183</v>
      </c>
      <c r="O481" s="37" t="s">
        <v>168</v>
      </c>
      <c r="P481" s="39">
        <v>2</v>
      </c>
      <c r="Q481" s="34" t="str">
        <f>VLOOKUP(P481,Key!$E$2:$F$9,2,FALSE)</f>
        <v>Work</v>
      </c>
      <c r="R481" s="37" t="s">
        <v>176</v>
      </c>
      <c r="S481" s="32" t="s">
        <v>176</v>
      </c>
      <c r="T481" s="37" t="s">
        <v>168</v>
      </c>
      <c r="U481" s="32">
        <v>4</v>
      </c>
      <c r="V481" s="34" t="str">
        <f>VLOOKUP(U481,Key!$E$2:$F$9,2,FALSE)</f>
        <v>Commercial</v>
      </c>
      <c r="W481" s="34" t="str">
        <f t="shared" si="11"/>
        <v>Work-Commercial</v>
      </c>
      <c r="X481" s="47">
        <v>300000</v>
      </c>
      <c r="Y481" s="38">
        <v>220</v>
      </c>
      <c r="Z481" s="38">
        <v>6</v>
      </c>
      <c r="AA481" s="32">
        <v>10</v>
      </c>
      <c r="AB481" s="34" t="str">
        <f>VLOOKUP(AA481,Key!$C$20:$D$29,2,FALSE)</f>
        <v>Other</v>
      </c>
      <c r="AC481" s="32">
        <v>2</v>
      </c>
      <c r="AD481" s="34" t="str">
        <f>VLOOKUP(AC481,Key!$E$20:$F$24,2,FALSE)</f>
        <v>300,000-500,000</v>
      </c>
      <c r="AE481" s="32">
        <v>2</v>
      </c>
      <c r="AF481" s="55">
        <v>3</v>
      </c>
      <c r="AG481" s="55">
        <v>2</v>
      </c>
      <c r="AH481" s="55">
        <v>1</v>
      </c>
      <c r="AI481" s="55">
        <v>4</v>
      </c>
      <c r="AJ481" s="39" t="s">
        <v>104</v>
      </c>
      <c r="AK481" s="40">
        <v>4000</v>
      </c>
      <c r="AL481" s="24"/>
      <c r="AM481" s="24"/>
    </row>
    <row r="482" spans="2:39" hidden="1" x14ac:dyDescent="0.2">
      <c r="B482" s="50">
        <v>43690</v>
      </c>
      <c r="C482" s="35">
        <v>0.6875</v>
      </c>
      <c r="D482" s="35"/>
      <c r="E482" s="35" t="s">
        <v>111</v>
      </c>
      <c r="F482" s="37">
        <v>2</v>
      </c>
      <c r="G482" s="42" t="str">
        <f>VLOOKUP(F482,Key!$A$17:$B$21,2,FALSE)</f>
        <v>Road Vehicle</v>
      </c>
      <c r="H482" s="36">
        <v>10</v>
      </c>
      <c r="I482" s="43" t="str">
        <f>VLOOKUP(H482,Key!$A$2:$B$13,2,FALSE)</f>
        <v xml:space="preserve">Truck Trailer </v>
      </c>
      <c r="J482" s="37" t="s">
        <v>123</v>
      </c>
      <c r="K482" s="37">
        <v>2</v>
      </c>
      <c r="L482" s="45" t="str">
        <f>VLOOKUP(K482,Key!$A$24:$B$29,2,FALSE)</f>
        <v>30-39</v>
      </c>
      <c r="M482" s="37" t="s">
        <v>183</v>
      </c>
      <c r="N482" s="32" t="s">
        <v>183</v>
      </c>
      <c r="O482" s="37" t="s">
        <v>168</v>
      </c>
      <c r="P482" s="39">
        <v>4</v>
      </c>
      <c r="Q482" s="34" t="str">
        <f>VLOOKUP(P482,Key!$E$2:$F$9,2,FALSE)</f>
        <v>Commercial</v>
      </c>
      <c r="R482" s="37" t="s">
        <v>167</v>
      </c>
      <c r="S482" s="32" t="s">
        <v>167</v>
      </c>
      <c r="T482" s="37" t="s">
        <v>168</v>
      </c>
      <c r="U482" s="32">
        <v>2</v>
      </c>
      <c r="V482" s="34" t="str">
        <f>VLOOKUP(U482,Key!$E$2:$F$9,2,FALSE)</f>
        <v>Work</v>
      </c>
      <c r="W482" s="34" t="str">
        <f t="shared" si="11"/>
        <v>Commercial-Work</v>
      </c>
      <c r="X482" s="47">
        <v>200000</v>
      </c>
      <c r="Y482" s="38">
        <v>230</v>
      </c>
      <c r="Z482" s="38">
        <v>4</v>
      </c>
      <c r="AA482" s="32">
        <v>5</v>
      </c>
      <c r="AB482" s="34" t="str">
        <f>VLOOKUP(AA482,Key!$C$20:$D$29,2,FALSE)</f>
        <v>Professional</v>
      </c>
      <c r="AC482" s="32">
        <v>4</v>
      </c>
      <c r="AD482" s="34" t="str">
        <f>VLOOKUP(AC482,Key!$E$20:$F$24,2,FALSE)</f>
        <v>750,000-1,000,000</v>
      </c>
      <c r="AE482" s="32">
        <v>2</v>
      </c>
      <c r="AF482" s="55">
        <v>3</v>
      </c>
      <c r="AG482" s="55">
        <v>4</v>
      </c>
      <c r="AH482" s="55">
        <v>1</v>
      </c>
      <c r="AI482" s="55">
        <v>5</v>
      </c>
      <c r="AJ482" s="39" t="s">
        <v>104</v>
      </c>
      <c r="AK482" s="40">
        <v>5000</v>
      </c>
      <c r="AL482" s="24"/>
      <c r="AM482" s="24"/>
    </row>
    <row r="483" spans="2:39" hidden="1" x14ac:dyDescent="0.2">
      <c r="B483" s="50">
        <v>43686</v>
      </c>
      <c r="C483" s="35">
        <v>0.68125000000000002</v>
      </c>
      <c r="D483" s="35"/>
      <c r="E483" s="35" t="s">
        <v>111</v>
      </c>
      <c r="F483" s="37">
        <v>2</v>
      </c>
      <c r="G483" s="42" t="str">
        <f>VLOOKUP(F483,Key!$A$17:$B$21,2,FALSE)</f>
        <v>Road Vehicle</v>
      </c>
      <c r="H483" s="36">
        <v>10</v>
      </c>
      <c r="I483" s="43" t="str">
        <f>VLOOKUP(H483,Key!$A$2:$B$13,2,FALSE)</f>
        <v xml:space="preserve">Truck Trailer </v>
      </c>
      <c r="J483" s="37" t="s">
        <v>123</v>
      </c>
      <c r="K483" s="37">
        <v>3</v>
      </c>
      <c r="L483" s="45" t="str">
        <f>VLOOKUP(K483,Key!$A$24:$B$29,2,FALSE)</f>
        <v>40-49</v>
      </c>
      <c r="M483" s="37" t="s">
        <v>183</v>
      </c>
      <c r="N483" s="32" t="s">
        <v>183</v>
      </c>
      <c r="O483" s="37" t="s">
        <v>168</v>
      </c>
      <c r="P483" s="39">
        <v>4</v>
      </c>
      <c r="Q483" s="34" t="str">
        <f>VLOOKUP(P483,Key!$E$2:$F$9,2,FALSE)</f>
        <v>Commercial</v>
      </c>
      <c r="R483" s="37" t="s">
        <v>167</v>
      </c>
      <c r="S483" s="32" t="s">
        <v>167</v>
      </c>
      <c r="T483" s="37" t="s">
        <v>168</v>
      </c>
      <c r="U483" s="32">
        <v>4</v>
      </c>
      <c r="V483" s="34" t="str">
        <f>VLOOKUP(U483,Key!$E$2:$F$9,2,FALSE)</f>
        <v>Commercial</v>
      </c>
      <c r="W483" s="34" t="str">
        <f t="shared" si="11"/>
        <v>Commercial-Commercial</v>
      </c>
      <c r="X483" s="47">
        <v>180000</v>
      </c>
      <c r="Y483" s="38">
        <v>230</v>
      </c>
      <c r="Z483" s="38">
        <v>5</v>
      </c>
      <c r="AA483" s="32">
        <v>6</v>
      </c>
      <c r="AB483" s="34" t="str">
        <f>VLOOKUP(AA483,Key!$C$20:$D$29,2,FALSE)</f>
        <v>Businessman</v>
      </c>
      <c r="AC483" s="32">
        <v>5</v>
      </c>
      <c r="AD483" s="34" t="str">
        <f>VLOOKUP(AC483,Key!$E$20:$F$24,2,FALSE)</f>
        <v>&gt;1,000,000</v>
      </c>
      <c r="AE483" s="32">
        <v>2</v>
      </c>
      <c r="AF483" s="55">
        <v>2</v>
      </c>
      <c r="AG483" s="55">
        <v>3</v>
      </c>
      <c r="AH483" s="55">
        <v>1</v>
      </c>
      <c r="AI483" s="55">
        <v>4</v>
      </c>
      <c r="AJ483" s="39" t="s">
        <v>104</v>
      </c>
      <c r="AK483" s="40">
        <v>10000</v>
      </c>
      <c r="AL483" s="24"/>
      <c r="AM483" s="24"/>
    </row>
    <row r="484" spans="2:39" hidden="1" x14ac:dyDescent="0.2">
      <c r="B484" s="50">
        <v>43687</v>
      </c>
      <c r="C484" s="35">
        <v>0.68333333333333324</v>
      </c>
      <c r="D484" s="35"/>
      <c r="E484" s="35" t="s">
        <v>111</v>
      </c>
      <c r="F484" s="37">
        <v>2</v>
      </c>
      <c r="G484" s="42" t="str">
        <f>VLOOKUP(F484,Key!$A$17:$B$21,2,FALSE)</f>
        <v>Road Vehicle</v>
      </c>
      <c r="H484" s="36">
        <v>10</v>
      </c>
      <c r="I484" s="43" t="str">
        <f>VLOOKUP(H484,Key!$A$2:$B$13,2,FALSE)</f>
        <v xml:space="preserve">Truck Trailer </v>
      </c>
      <c r="J484" s="37" t="s">
        <v>123</v>
      </c>
      <c r="K484" s="37">
        <v>2</v>
      </c>
      <c r="L484" s="45" t="str">
        <f>VLOOKUP(K484,Key!$A$24:$B$29,2,FALSE)</f>
        <v>30-39</v>
      </c>
      <c r="M484" s="37" t="s">
        <v>245</v>
      </c>
      <c r="N484" s="32" t="s">
        <v>245</v>
      </c>
      <c r="O484" s="37" t="s">
        <v>246</v>
      </c>
      <c r="P484" s="39">
        <v>2</v>
      </c>
      <c r="Q484" s="34" t="str">
        <f>VLOOKUP(P484,Key!$E$2:$F$9,2,FALSE)</f>
        <v>Work</v>
      </c>
      <c r="R484" s="37" t="s">
        <v>167</v>
      </c>
      <c r="S484" s="32" t="s">
        <v>167</v>
      </c>
      <c r="T484" s="37" t="s">
        <v>168</v>
      </c>
      <c r="U484" s="32">
        <v>4</v>
      </c>
      <c r="V484" s="34" t="str">
        <f>VLOOKUP(U484,Key!$E$2:$F$9,2,FALSE)</f>
        <v>Commercial</v>
      </c>
      <c r="W484" s="34" t="str">
        <f t="shared" si="11"/>
        <v>Work-Commercial</v>
      </c>
      <c r="X484" s="47">
        <v>350000</v>
      </c>
      <c r="Y484" s="38">
        <v>230</v>
      </c>
      <c r="Z484" s="38">
        <v>5</v>
      </c>
      <c r="AA484" s="32">
        <v>6</v>
      </c>
      <c r="AB484" s="34" t="str">
        <f>VLOOKUP(AA484,Key!$C$20:$D$29,2,FALSE)</f>
        <v>Businessman</v>
      </c>
      <c r="AC484" s="32">
        <v>3</v>
      </c>
      <c r="AD484" s="34" t="str">
        <f>VLOOKUP(AC484,Key!$E$20:$F$24,2,FALSE)</f>
        <v>500,000-750,000</v>
      </c>
      <c r="AE484" s="32">
        <v>3</v>
      </c>
      <c r="AF484" s="55">
        <v>2</v>
      </c>
      <c r="AG484" s="55">
        <v>5</v>
      </c>
      <c r="AH484" s="55">
        <v>1</v>
      </c>
      <c r="AI484" s="55">
        <v>4</v>
      </c>
      <c r="AJ484" s="39" t="s">
        <v>104</v>
      </c>
      <c r="AK484" s="40">
        <v>5000</v>
      </c>
      <c r="AL484" s="24"/>
      <c r="AM484" s="24"/>
    </row>
    <row r="485" spans="2:39" hidden="1" x14ac:dyDescent="0.2">
      <c r="B485" s="50">
        <v>43687</v>
      </c>
      <c r="C485" s="35">
        <v>0.65277777777777779</v>
      </c>
      <c r="D485" s="35"/>
      <c r="E485" s="35" t="s">
        <v>111</v>
      </c>
      <c r="F485" s="37">
        <v>2</v>
      </c>
      <c r="G485" s="42" t="str">
        <f>VLOOKUP(F485,Key!$A$17:$B$21,2,FALSE)</f>
        <v>Road Vehicle</v>
      </c>
      <c r="H485" s="36">
        <v>10</v>
      </c>
      <c r="I485" s="43" t="str">
        <f>VLOOKUP(H485,Key!$A$2:$B$13,2,FALSE)</f>
        <v xml:space="preserve">Truck Trailer </v>
      </c>
      <c r="J485" s="37" t="s">
        <v>123</v>
      </c>
      <c r="K485" s="37">
        <v>2</v>
      </c>
      <c r="L485" s="45" t="str">
        <f>VLOOKUP(K485,Key!$A$24:$B$29,2,FALSE)</f>
        <v>30-39</v>
      </c>
      <c r="M485" s="37" t="s">
        <v>167</v>
      </c>
      <c r="N485" s="32" t="s">
        <v>167</v>
      </c>
      <c r="O485" s="37" t="s">
        <v>168</v>
      </c>
      <c r="P485" s="39">
        <v>2</v>
      </c>
      <c r="Q485" s="34" t="str">
        <f>VLOOKUP(P485,Key!$E$2:$F$9,2,FALSE)</f>
        <v>Work</v>
      </c>
      <c r="R485" s="37" t="s">
        <v>304</v>
      </c>
      <c r="S485" s="32" t="s">
        <v>37</v>
      </c>
      <c r="T485" s="37" t="s">
        <v>246</v>
      </c>
      <c r="U485" s="32">
        <v>2</v>
      </c>
      <c r="V485" s="34" t="str">
        <f>VLOOKUP(U485,Key!$E$2:$F$9,2,FALSE)</f>
        <v>Work</v>
      </c>
      <c r="W485" s="34" t="str">
        <f t="shared" si="11"/>
        <v>Work-Work</v>
      </c>
      <c r="X485" s="47">
        <v>400000</v>
      </c>
      <c r="Y485" s="38">
        <v>300</v>
      </c>
      <c r="Z485" s="38">
        <v>6</v>
      </c>
      <c r="AA485" s="32">
        <v>6</v>
      </c>
      <c r="AB485" s="34" t="str">
        <f>VLOOKUP(AA485,Key!$C$20:$D$29,2,FALSE)</f>
        <v>Businessman</v>
      </c>
      <c r="AC485" s="32">
        <v>3</v>
      </c>
      <c r="AD485" s="34" t="str">
        <f>VLOOKUP(AC485,Key!$E$20:$F$24,2,FALSE)</f>
        <v>500,000-750,000</v>
      </c>
      <c r="AE485" s="32">
        <v>1</v>
      </c>
      <c r="AF485" s="55">
        <v>1</v>
      </c>
      <c r="AG485" s="55">
        <v>1</v>
      </c>
      <c r="AH485" s="55">
        <v>1</v>
      </c>
      <c r="AI485" s="55">
        <v>1</v>
      </c>
      <c r="AJ485" s="39" t="s">
        <v>104</v>
      </c>
      <c r="AK485" s="40">
        <v>3000</v>
      </c>
      <c r="AL485" s="24"/>
      <c r="AM485" s="24"/>
    </row>
    <row r="486" spans="2:39" x14ac:dyDescent="0.2">
      <c r="AE486" s="114"/>
      <c r="AF486" s="114"/>
      <c r="AG486" s="114"/>
      <c r="AH486" s="114"/>
      <c r="AI486" s="114"/>
    </row>
    <row r="487" spans="2:39" x14ac:dyDescent="0.2">
      <c r="AD487" s="19" t="s">
        <v>369</v>
      </c>
      <c r="AE487">
        <f>COUNTIF(AE$69:AE$478,"1")</f>
        <v>266</v>
      </c>
      <c r="AF487">
        <f t="shared" ref="AF487:AI487" si="12">COUNTIF(AF$69:AF$478,"1")</f>
        <v>209</v>
      </c>
      <c r="AG487">
        <f t="shared" si="12"/>
        <v>197</v>
      </c>
      <c r="AH487">
        <f t="shared" si="12"/>
        <v>326</v>
      </c>
      <c r="AI487">
        <f t="shared" si="12"/>
        <v>207</v>
      </c>
    </row>
    <row r="488" spans="2:39" x14ac:dyDescent="0.2">
      <c r="AD488" s="19" t="s">
        <v>371</v>
      </c>
      <c r="AE488">
        <f>COUNTIF(AE$69:AE$478,"2")</f>
        <v>89</v>
      </c>
      <c r="AF488">
        <f t="shared" ref="AF488:AI488" si="13">COUNTIF(AF$69:AF$478,"2")</f>
        <v>75</v>
      </c>
      <c r="AG488">
        <f t="shared" si="13"/>
        <v>70</v>
      </c>
      <c r="AH488">
        <f t="shared" si="13"/>
        <v>39</v>
      </c>
      <c r="AI488">
        <f t="shared" si="13"/>
        <v>40</v>
      </c>
    </row>
    <row r="489" spans="2:39" x14ac:dyDescent="0.2">
      <c r="H489" t="s">
        <v>359</v>
      </c>
      <c r="I489" t="s">
        <v>360</v>
      </c>
      <c r="J489" t="s">
        <v>361</v>
      </c>
      <c r="AD489" s="19" t="s">
        <v>372</v>
      </c>
      <c r="AE489">
        <f>COUNTIF(AE$69:AE$478,"3")</f>
        <v>33</v>
      </c>
      <c r="AF489">
        <f t="shared" ref="AF489:AI489" si="14">COUNTIF(AF$69:AF$478,"3")</f>
        <v>96</v>
      </c>
      <c r="AG489">
        <f t="shared" si="14"/>
        <v>44</v>
      </c>
      <c r="AH489">
        <f t="shared" si="14"/>
        <v>19</v>
      </c>
      <c r="AI489">
        <f t="shared" si="14"/>
        <v>36</v>
      </c>
    </row>
    <row r="490" spans="2:39" x14ac:dyDescent="0.2">
      <c r="H490" t="s">
        <v>362</v>
      </c>
      <c r="I490">
        <v>57</v>
      </c>
      <c r="J490" s="56">
        <f>I490/$I$492</f>
        <v>0.12179487179487179</v>
      </c>
      <c r="AD490" s="19" t="s">
        <v>370</v>
      </c>
      <c r="AE490">
        <f>COUNTIF(AE$69:AE$478,"4")</f>
        <v>6</v>
      </c>
      <c r="AF490">
        <f t="shared" ref="AF490:AI490" si="15">COUNTIF(AF$69:AF$478,"4")</f>
        <v>12</v>
      </c>
      <c r="AG490">
        <f t="shared" si="15"/>
        <v>67</v>
      </c>
      <c r="AH490">
        <f t="shared" si="15"/>
        <v>6</v>
      </c>
      <c r="AI490">
        <f t="shared" si="15"/>
        <v>57</v>
      </c>
      <c r="AK490" s="52"/>
    </row>
    <row r="491" spans="2:39" x14ac:dyDescent="0.2">
      <c r="H491" t="s">
        <v>363</v>
      </c>
      <c r="I491">
        <v>411</v>
      </c>
      <c r="J491" s="56">
        <f>I491/$I$492</f>
        <v>0.87820512820512819</v>
      </c>
      <c r="AD491" s="19" t="s">
        <v>373</v>
      </c>
      <c r="AE491">
        <f>COUNTIF(AE$69:AE$478,"5")</f>
        <v>1</v>
      </c>
      <c r="AF491">
        <f t="shared" ref="AF491:AI491" si="16">COUNTIF(AF$69:AF$478,"5")</f>
        <v>1</v>
      </c>
      <c r="AG491">
        <f t="shared" si="16"/>
        <v>13</v>
      </c>
      <c r="AH491">
        <f t="shared" si="16"/>
        <v>0</v>
      </c>
      <c r="AI491">
        <f t="shared" si="16"/>
        <v>42</v>
      </c>
    </row>
    <row r="492" spans="2:39" x14ac:dyDescent="0.2">
      <c r="H492" t="s">
        <v>364</v>
      </c>
      <c r="I492">
        <f>SUM(I490:I491)</f>
        <v>468</v>
      </c>
      <c r="J492" s="56">
        <f>I492/$I$492</f>
        <v>1</v>
      </c>
      <c r="AE492">
        <f>SUBTOTAL(9,AE487:AE491)</f>
        <v>395</v>
      </c>
      <c r="AF492">
        <f t="shared" ref="AF492:AI492" si="17">SUBTOTAL(9,AF487:AF491)</f>
        <v>393</v>
      </c>
      <c r="AG492">
        <f t="shared" si="17"/>
        <v>391</v>
      </c>
      <c r="AH492">
        <f t="shared" si="17"/>
        <v>390</v>
      </c>
      <c r="AI492">
        <f t="shared" si="17"/>
        <v>382</v>
      </c>
    </row>
    <row r="493" spans="2:39" ht="25.5" x14ac:dyDescent="0.2">
      <c r="J493" s="56"/>
      <c r="AE493" s="48" t="s">
        <v>157</v>
      </c>
      <c r="AF493" s="54" t="s">
        <v>158</v>
      </c>
      <c r="AG493" s="54" t="s">
        <v>159</v>
      </c>
      <c r="AH493" s="54" t="s">
        <v>160</v>
      </c>
      <c r="AI493" s="54" t="s">
        <v>161</v>
      </c>
    </row>
    <row r="494" spans="2:39" x14ac:dyDescent="0.2">
      <c r="AD494" s="19" t="s">
        <v>369</v>
      </c>
      <c r="AE494" s="115">
        <f>AE487/AE$492</f>
        <v>0.67341772151898738</v>
      </c>
      <c r="AF494" s="115">
        <f t="shared" ref="AF494:AI494" si="18">AF487/AF$492</f>
        <v>0.53180661577608146</v>
      </c>
      <c r="AG494" s="115">
        <f t="shared" si="18"/>
        <v>0.50383631713554988</v>
      </c>
      <c r="AH494" s="115">
        <f t="shared" si="18"/>
        <v>0.83589743589743593</v>
      </c>
      <c r="AI494" s="115">
        <f t="shared" si="18"/>
        <v>0.54188481675392675</v>
      </c>
    </row>
    <row r="495" spans="2:39" x14ac:dyDescent="0.2">
      <c r="AD495" s="19" t="s">
        <v>371</v>
      </c>
      <c r="AE495" s="115">
        <f t="shared" ref="AE495:AI498" si="19">AE488/AE$492</f>
        <v>0.22531645569620254</v>
      </c>
      <c r="AF495" s="115">
        <f t="shared" si="19"/>
        <v>0.19083969465648856</v>
      </c>
      <c r="AG495" s="115">
        <f t="shared" si="19"/>
        <v>0.17902813299232737</v>
      </c>
      <c r="AH495" s="115">
        <f t="shared" si="19"/>
        <v>0.1</v>
      </c>
      <c r="AI495" s="115">
        <f t="shared" si="19"/>
        <v>0.10471204188481675</v>
      </c>
    </row>
    <row r="496" spans="2:39" ht="15" x14ac:dyDescent="0.25">
      <c r="H496" s="57" t="s">
        <v>365</v>
      </c>
      <c r="I496" s="58" t="s">
        <v>363</v>
      </c>
      <c r="J496" s="58" t="s">
        <v>362</v>
      </c>
      <c r="K496" s="59" t="s">
        <v>366</v>
      </c>
      <c r="L496" s="91" t="s">
        <v>361</v>
      </c>
      <c r="M496" s="91"/>
      <c r="AD496" s="19" t="s">
        <v>372</v>
      </c>
      <c r="AE496" s="115">
        <f t="shared" si="19"/>
        <v>8.3544303797468356E-2</v>
      </c>
      <c r="AF496" s="115">
        <f t="shared" si="19"/>
        <v>0.24427480916030533</v>
      </c>
      <c r="AG496" s="115">
        <f t="shared" si="19"/>
        <v>0.11253196930946291</v>
      </c>
      <c r="AH496" s="115">
        <f t="shared" si="19"/>
        <v>4.8717948717948718E-2</v>
      </c>
      <c r="AI496" s="115">
        <f t="shared" si="19"/>
        <v>9.4240837696335081E-2</v>
      </c>
    </row>
    <row r="497" spans="8:35" x14ac:dyDescent="0.2">
      <c r="H497" s="14"/>
      <c r="I497" s="14"/>
      <c r="J497" s="14"/>
      <c r="K497" s="14"/>
      <c r="L497" s="60" t="s">
        <v>363</v>
      </c>
      <c r="M497" s="60" t="s">
        <v>362</v>
      </c>
      <c r="AD497" s="19" t="s">
        <v>370</v>
      </c>
      <c r="AE497" s="115">
        <f t="shared" si="19"/>
        <v>1.5189873417721518E-2</v>
      </c>
      <c r="AF497" s="115">
        <f t="shared" si="19"/>
        <v>3.0534351145038167E-2</v>
      </c>
      <c r="AG497" s="115">
        <f t="shared" si="19"/>
        <v>0.17135549872122763</v>
      </c>
      <c r="AH497" s="115">
        <f t="shared" si="19"/>
        <v>1.5384615384615385E-2</v>
      </c>
      <c r="AI497" s="115">
        <f t="shared" si="19"/>
        <v>0.14921465968586387</v>
      </c>
    </row>
    <row r="498" spans="8:35" x14ac:dyDescent="0.2">
      <c r="H498" s="24" t="s">
        <v>43</v>
      </c>
      <c r="I498" s="14">
        <v>90</v>
      </c>
      <c r="J498" s="14">
        <v>48</v>
      </c>
      <c r="K498" s="61">
        <f>SUM(I498:J498)</f>
        <v>138</v>
      </c>
      <c r="L498" s="62">
        <f>I498/K498</f>
        <v>0.65217391304347827</v>
      </c>
      <c r="M498" s="62">
        <f>J498/K498</f>
        <v>0.34782608695652173</v>
      </c>
      <c r="AD498" s="19" t="s">
        <v>373</v>
      </c>
      <c r="AE498" s="115">
        <f t="shared" si="19"/>
        <v>2.5316455696202532E-3</v>
      </c>
      <c r="AF498" s="115">
        <f t="shared" si="19"/>
        <v>2.5445292620865142E-3</v>
      </c>
      <c r="AG498" s="115">
        <f t="shared" si="19"/>
        <v>3.3248081841432228E-2</v>
      </c>
      <c r="AH498" s="115">
        <f t="shared" si="19"/>
        <v>0</v>
      </c>
      <c r="AI498" s="115">
        <f t="shared" si="19"/>
        <v>0.1099476439790576</v>
      </c>
    </row>
    <row r="499" spans="8:35" x14ac:dyDescent="0.2">
      <c r="H499" s="24" t="s">
        <v>44</v>
      </c>
      <c r="I499" s="14">
        <v>45</v>
      </c>
      <c r="J499" s="14">
        <v>8</v>
      </c>
      <c r="K499" s="61">
        <f>SUM(I499:J499)</f>
        <v>53</v>
      </c>
      <c r="L499" s="62">
        <f t="shared" ref="L499:L506" si="20">I499/K499</f>
        <v>0.84905660377358494</v>
      </c>
      <c r="M499" s="62">
        <f t="shared" ref="M499:M506" si="21">J499/K499</f>
        <v>0.15094339622641509</v>
      </c>
      <c r="AG499" s="27"/>
    </row>
    <row r="500" spans="8:35" x14ac:dyDescent="0.2">
      <c r="H500" s="24" t="s">
        <v>45</v>
      </c>
      <c r="I500" s="14">
        <v>47</v>
      </c>
      <c r="J500" s="14">
        <v>0</v>
      </c>
      <c r="K500" s="61">
        <f t="shared" ref="K500:K510" si="22">SUM(I500:J500)</f>
        <v>47</v>
      </c>
      <c r="L500" s="62">
        <f t="shared" si="20"/>
        <v>1</v>
      </c>
      <c r="M500" s="62">
        <f t="shared" si="21"/>
        <v>0</v>
      </c>
      <c r="AG500" s="27"/>
    </row>
    <row r="501" spans="8:35" x14ac:dyDescent="0.2">
      <c r="H501" s="24" t="s">
        <v>121</v>
      </c>
      <c r="I501" s="14">
        <v>112</v>
      </c>
      <c r="J501" s="14">
        <v>0</v>
      </c>
      <c r="K501" s="61">
        <f>SUM(I501:J501)</f>
        <v>112</v>
      </c>
      <c r="L501" s="62">
        <f t="shared" si="20"/>
        <v>1</v>
      </c>
      <c r="M501" s="62">
        <f t="shared" si="21"/>
        <v>0</v>
      </c>
      <c r="AG501" s="27"/>
    </row>
    <row r="502" spans="8:35" x14ac:dyDescent="0.2">
      <c r="H502" s="24" t="s">
        <v>46</v>
      </c>
      <c r="I502" s="14">
        <v>34</v>
      </c>
      <c r="J502" s="14">
        <v>0</v>
      </c>
      <c r="K502" s="61">
        <f t="shared" si="22"/>
        <v>34</v>
      </c>
      <c r="L502" s="62">
        <f t="shared" si="20"/>
        <v>1</v>
      </c>
      <c r="M502" s="62">
        <f t="shared" si="21"/>
        <v>0</v>
      </c>
      <c r="AG502" s="27"/>
    </row>
    <row r="503" spans="8:35" x14ac:dyDescent="0.2">
      <c r="H503" s="24" t="s">
        <v>47</v>
      </c>
      <c r="I503" s="14">
        <v>2</v>
      </c>
      <c r="J503" s="14">
        <v>1</v>
      </c>
      <c r="K503" s="61">
        <f t="shared" si="22"/>
        <v>3</v>
      </c>
      <c r="L503" s="62">
        <f t="shared" si="20"/>
        <v>0.66666666666666663</v>
      </c>
      <c r="M503" s="62">
        <f t="shared" si="21"/>
        <v>0.33333333333333331</v>
      </c>
      <c r="AG503" s="27"/>
    </row>
    <row r="504" spans="8:35" x14ac:dyDescent="0.2">
      <c r="H504" s="24" t="s">
        <v>48</v>
      </c>
      <c r="I504" s="14">
        <v>37</v>
      </c>
      <c r="J504" s="14">
        <v>0</v>
      </c>
      <c r="K504" s="61">
        <f t="shared" si="22"/>
        <v>37</v>
      </c>
      <c r="L504" s="62">
        <f t="shared" si="20"/>
        <v>1</v>
      </c>
      <c r="M504" s="62">
        <f t="shared" si="21"/>
        <v>0</v>
      </c>
    </row>
    <row r="505" spans="8:35" x14ac:dyDescent="0.2">
      <c r="H505" s="24" t="s">
        <v>49</v>
      </c>
      <c r="I505" s="14">
        <v>21</v>
      </c>
      <c r="J505" s="14">
        <v>0</v>
      </c>
      <c r="K505" s="61">
        <f t="shared" si="22"/>
        <v>21</v>
      </c>
      <c r="L505" s="62">
        <f t="shared" si="20"/>
        <v>1</v>
      </c>
      <c r="M505" s="62">
        <f t="shared" si="21"/>
        <v>0</v>
      </c>
    </row>
    <row r="506" spans="8:35" x14ac:dyDescent="0.2">
      <c r="H506" s="24" t="s">
        <v>50</v>
      </c>
      <c r="I506" s="14">
        <v>15</v>
      </c>
      <c r="J506" s="14">
        <v>0</v>
      </c>
      <c r="K506" s="61">
        <f t="shared" si="22"/>
        <v>15</v>
      </c>
      <c r="L506" s="62">
        <f t="shared" si="20"/>
        <v>1</v>
      </c>
      <c r="M506" s="62">
        <f t="shared" si="21"/>
        <v>0</v>
      </c>
    </row>
    <row r="507" spans="8:35" x14ac:dyDescent="0.2">
      <c r="H507" s="24" t="s">
        <v>51</v>
      </c>
      <c r="I507" s="14">
        <v>0</v>
      </c>
      <c r="J507" s="14">
        <v>0</v>
      </c>
      <c r="K507" s="61">
        <f t="shared" si="22"/>
        <v>0</v>
      </c>
      <c r="L507" s="62">
        <v>0</v>
      </c>
      <c r="M507" s="62">
        <v>0</v>
      </c>
    </row>
    <row r="508" spans="8:35" x14ac:dyDescent="0.2">
      <c r="H508" s="24" t="s">
        <v>53</v>
      </c>
      <c r="I508" s="14">
        <v>0</v>
      </c>
      <c r="J508" s="14">
        <v>0</v>
      </c>
      <c r="K508" s="61">
        <f t="shared" si="22"/>
        <v>0</v>
      </c>
      <c r="L508" s="62">
        <v>0</v>
      </c>
      <c r="M508" s="62">
        <v>0</v>
      </c>
    </row>
    <row r="509" spans="8:35" x14ac:dyDescent="0.2">
      <c r="H509" s="24" t="s">
        <v>52</v>
      </c>
      <c r="I509" s="14">
        <v>0</v>
      </c>
      <c r="J509" s="14">
        <v>0</v>
      </c>
      <c r="K509" s="61">
        <f t="shared" si="22"/>
        <v>0</v>
      </c>
      <c r="L509" s="62">
        <v>0</v>
      </c>
      <c r="M509" s="62">
        <v>0</v>
      </c>
    </row>
    <row r="510" spans="8:35" x14ac:dyDescent="0.2">
      <c r="H510" s="24" t="s">
        <v>367</v>
      </c>
      <c r="I510" s="14">
        <v>0</v>
      </c>
      <c r="J510" s="14">
        <v>0</v>
      </c>
      <c r="K510" s="61">
        <f t="shared" si="22"/>
        <v>0</v>
      </c>
      <c r="L510" s="62">
        <v>0</v>
      </c>
      <c r="M510" s="62">
        <v>0</v>
      </c>
    </row>
    <row r="511" spans="8:35" x14ac:dyDescent="0.2">
      <c r="T511" s="77"/>
      <c r="U511" s="78"/>
      <c r="V511" s="78"/>
      <c r="W511" s="78"/>
      <c r="X511" s="78"/>
    </row>
    <row r="512" spans="8:35" x14ac:dyDescent="0.2">
      <c r="T512" s="77"/>
      <c r="X512"/>
    </row>
    <row r="513" spans="8:25" x14ac:dyDescent="0.2">
      <c r="H513" s="63" t="s">
        <v>368</v>
      </c>
      <c r="I513" s="64" t="s">
        <v>362</v>
      </c>
      <c r="J513" s="64" t="s">
        <v>363</v>
      </c>
      <c r="K513" s="64" t="s">
        <v>366</v>
      </c>
      <c r="M513" s="63" t="s">
        <v>368</v>
      </c>
      <c r="N513" s="64" t="s">
        <v>362</v>
      </c>
      <c r="O513" s="64" t="s">
        <v>363</v>
      </c>
      <c r="P513" s="64" t="s">
        <v>366</v>
      </c>
      <c r="S513" s="27"/>
    </row>
    <row r="514" spans="8:25" x14ac:dyDescent="0.2">
      <c r="H514" s="24" t="s">
        <v>126</v>
      </c>
      <c r="I514" s="14">
        <v>5</v>
      </c>
      <c r="J514" s="14">
        <v>34</v>
      </c>
      <c r="K514" s="14">
        <f>SUM(I514:J514)</f>
        <v>39</v>
      </c>
      <c r="M514" s="24" t="s">
        <v>126</v>
      </c>
      <c r="N514" s="65">
        <f>I514/$I$520</f>
        <v>0.1</v>
      </c>
      <c r="O514" s="65">
        <f>J514/$J$520</f>
        <v>8.1339712918660281E-2</v>
      </c>
      <c r="P514" s="65">
        <f>K514/$K$520</f>
        <v>8.3333333333333329E-2</v>
      </c>
      <c r="S514" s="27"/>
    </row>
    <row r="515" spans="8:25" x14ac:dyDescent="0.2">
      <c r="H515" s="24" t="s">
        <v>127</v>
      </c>
      <c r="I515" s="14">
        <v>34</v>
      </c>
      <c r="J515" s="14">
        <v>204</v>
      </c>
      <c r="K515" s="14">
        <f t="shared" ref="K515:K520" si="23">SUM(I515:J515)</f>
        <v>238</v>
      </c>
      <c r="M515" s="24" t="s">
        <v>127</v>
      </c>
      <c r="N515" s="65">
        <f t="shared" ref="N515:N520" si="24">I515/$I$520</f>
        <v>0.68</v>
      </c>
      <c r="O515" s="65">
        <f t="shared" ref="O515:O520" si="25">J515/$J$520</f>
        <v>0.48803827751196172</v>
      </c>
      <c r="P515" s="65">
        <f>K515/$K$520</f>
        <v>0.50854700854700852</v>
      </c>
      <c r="S515" s="27"/>
      <c r="Y515" s="49"/>
    </row>
    <row r="516" spans="8:25" x14ac:dyDescent="0.2">
      <c r="H516" s="24" t="s">
        <v>128</v>
      </c>
      <c r="I516" s="14">
        <v>10</v>
      </c>
      <c r="J516" s="14">
        <v>137</v>
      </c>
      <c r="K516" s="14">
        <f>SUM(I516:J516)</f>
        <v>147</v>
      </c>
      <c r="M516" s="24" t="s">
        <v>128</v>
      </c>
      <c r="N516" s="65">
        <f t="shared" si="24"/>
        <v>0.2</v>
      </c>
      <c r="O516" s="65">
        <f t="shared" si="25"/>
        <v>0.32775119617224879</v>
      </c>
      <c r="P516" s="65">
        <f t="shared" ref="P516:P520" si="26">K516/$K$520</f>
        <v>0.3141025641025641</v>
      </c>
      <c r="S516" s="27"/>
    </row>
    <row r="517" spans="8:25" x14ac:dyDescent="0.2">
      <c r="H517" s="24" t="s">
        <v>129</v>
      </c>
      <c r="I517" s="14">
        <v>1</v>
      </c>
      <c r="J517" s="14">
        <v>39</v>
      </c>
      <c r="K517" s="14">
        <f>SUM(I517:J517)</f>
        <v>40</v>
      </c>
      <c r="M517" s="24" t="s">
        <v>129</v>
      </c>
      <c r="N517" s="65">
        <f t="shared" si="24"/>
        <v>0.02</v>
      </c>
      <c r="O517" s="65">
        <f t="shared" si="25"/>
        <v>9.3301435406698566E-2</v>
      </c>
      <c r="P517" s="65">
        <f t="shared" si="26"/>
        <v>8.5470085470085472E-2</v>
      </c>
      <c r="S517" s="27"/>
    </row>
    <row r="518" spans="8:25" x14ac:dyDescent="0.2">
      <c r="H518" s="24" t="s">
        <v>130</v>
      </c>
      <c r="I518" s="14">
        <v>0</v>
      </c>
      <c r="J518" s="14">
        <v>4</v>
      </c>
      <c r="K518" s="14">
        <f>SUM(I518:J518)</f>
        <v>4</v>
      </c>
      <c r="M518" s="24" t="s">
        <v>130</v>
      </c>
      <c r="N518" s="65">
        <f t="shared" si="24"/>
        <v>0</v>
      </c>
      <c r="O518" s="65">
        <f t="shared" si="25"/>
        <v>9.5693779904306216E-3</v>
      </c>
      <c r="P518" s="65">
        <f t="shared" si="26"/>
        <v>8.5470085470085479E-3</v>
      </c>
      <c r="S518" s="27"/>
      <c r="U518" s="69"/>
    </row>
    <row r="519" spans="8:25" x14ac:dyDescent="0.2">
      <c r="H519" s="24" t="s">
        <v>131</v>
      </c>
      <c r="I519" s="14">
        <v>0</v>
      </c>
      <c r="J519" s="14">
        <v>0</v>
      </c>
      <c r="K519" s="14">
        <f t="shared" si="23"/>
        <v>0</v>
      </c>
      <c r="M519" s="24" t="s">
        <v>131</v>
      </c>
      <c r="N519" s="65">
        <f>I519/$I$520</f>
        <v>0</v>
      </c>
      <c r="O519" s="65">
        <f t="shared" si="25"/>
        <v>0</v>
      </c>
      <c r="P519" s="65">
        <f t="shared" si="26"/>
        <v>0</v>
      </c>
      <c r="S519" s="27"/>
    </row>
    <row r="520" spans="8:25" x14ac:dyDescent="0.2">
      <c r="H520" s="64" t="s">
        <v>366</v>
      </c>
      <c r="I520" s="14">
        <f>SUM(I514:I519)</f>
        <v>50</v>
      </c>
      <c r="J520" s="14">
        <f>SUM(J514:J519)</f>
        <v>418</v>
      </c>
      <c r="K520" s="14">
        <f t="shared" si="23"/>
        <v>468</v>
      </c>
      <c r="M520" s="64" t="s">
        <v>366</v>
      </c>
      <c r="N520" s="65">
        <f t="shared" si="24"/>
        <v>1</v>
      </c>
      <c r="O520" s="65">
        <f t="shared" si="25"/>
        <v>1</v>
      </c>
      <c r="P520" s="65">
        <f t="shared" si="26"/>
        <v>1</v>
      </c>
      <c r="S520" s="27"/>
    </row>
    <row r="521" spans="8:25" x14ac:dyDescent="0.2">
      <c r="S521" s="27"/>
    </row>
    <row r="522" spans="8:25" x14ac:dyDescent="0.2">
      <c r="S522" s="27"/>
    </row>
    <row r="523" spans="8:25" x14ac:dyDescent="0.2">
      <c r="S523" s="27"/>
    </row>
    <row r="524" spans="8:25" x14ac:dyDescent="0.2">
      <c r="S524" s="27"/>
    </row>
    <row r="525" spans="8:25" x14ac:dyDescent="0.2">
      <c r="S525" s="68"/>
    </row>
  </sheetData>
  <autoFilter ref="Y8:Y485" xr:uid="{6FD3484F-E228-4E8B-A59E-2553218D4026}">
    <filterColumn colId="0">
      <filters>
        <filter val="100.0"/>
        <filter val="60.0"/>
        <filter val="62.0"/>
        <filter val="65.0"/>
        <filter val="68.0"/>
        <filter val="70.0"/>
        <filter val="75.0"/>
        <filter val="80.0"/>
        <filter val="82.0"/>
        <filter val="85.0"/>
        <filter val="86.0"/>
        <filter val="90.0"/>
      </filters>
    </filterColumn>
  </autoFilter>
  <mergeCells count="40">
    <mergeCell ref="L496:M496"/>
    <mergeCell ref="T511:T512"/>
    <mergeCell ref="U511:X511"/>
    <mergeCell ref="AD6:AD7"/>
    <mergeCell ref="AE6:AI6"/>
    <mergeCell ref="AJ6:AJ7"/>
    <mergeCell ref="AK6:AK7"/>
    <mergeCell ref="AL6:AL7"/>
    <mergeCell ref="AM6:AM7"/>
    <mergeCell ref="X6:X7"/>
    <mergeCell ref="Y6:Y7"/>
    <mergeCell ref="Z6:Z7"/>
    <mergeCell ref="AA6:AA7"/>
    <mergeCell ref="AB6:AB7"/>
    <mergeCell ref="AC6:AC7"/>
    <mergeCell ref="P6:P7"/>
    <mergeCell ref="Q6:Q7"/>
    <mergeCell ref="R6:T6"/>
    <mergeCell ref="U6:U7"/>
    <mergeCell ref="V6:V7"/>
    <mergeCell ref="W6:W7"/>
    <mergeCell ref="H6:H7"/>
    <mergeCell ref="I6:I7"/>
    <mergeCell ref="J6:J7"/>
    <mergeCell ref="K6:K7"/>
    <mergeCell ref="L6:L7"/>
    <mergeCell ref="M6:O6"/>
    <mergeCell ref="B6:B7"/>
    <mergeCell ref="C6:C7"/>
    <mergeCell ref="D6:D7"/>
    <mergeCell ref="E6:E7"/>
    <mergeCell ref="F6:F7"/>
    <mergeCell ref="G6:G7"/>
    <mergeCell ref="C1:AM1"/>
    <mergeCell ref="C2:AM2"/>
    <mergeCell ref="E4:G4"/>
    <mergeCell ref="J4:L4"/>
    <mergeCell ref="O4:P4"/>
    <mergeCell ref="S4:T4"/>
    <mergeCell ref="X4:Y4"/>
  </mergeCells>
  <pageMargins left="0.2" right="0.2" top="0.15" bottom="0.15" header="0.05" footer="0.3"/>
  <pageSetup paperSize="9" scale="5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Jinja</vt:lpstr>
      <vt:lpstr>RSI FORM</vt:lpstr>
      <vt:lpstr>Key</vt:lpstr>
      <vt:lpstr>Jinja (2)</vt:lpstr>
      <vt:lpstr>'Jinja (2)'!Veh_Type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2019-07-30T09:53:06Z</cp:lastPrinted>
  <dcterms:created xsi:type="dcterms:W3CDTF">2010-10-20T14:55:17Z</dcterms:created>
  <dcterms:modified xsi:type="dcterms:W3CDTF">2020-03-17T05:49:36Z</dcterms:modified>
</cp:coreProperties>
</file>