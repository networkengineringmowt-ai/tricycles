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SP_ Data Analysis and Report\SP-DATA\ST1-Kampala\"/>
    </mc:Choice>
  </mc:AlternateContent>
  <xr:revisionPtr revIDLastSave="0" documentId="13_ncr:1_{3E720581-6CB2-4477-B4A3-02CE689E77B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RUA PARK" sheetId="3" r:id="rId1"/>
    <sheet name="RSI FORM" sheetId="4" state="hidden" r:id="rId2"/>
    <sheet name="Key" sheetId="5" r:id="rId3"/>
  </sheets>
  <definedNames>
    <definedName name="_xlnm._FilterDatabase" localSheetId="0" hidden="1">'ARUA PARK'!$B$8:$AT$81</definedName>
    <definedName name="Veh_Type">'ARUA PARK'!$H$8:$H$81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13" i="3" l="1"/>
  <c r="P112" i="3" l="1"/>
  <c r="P114" i="3"/>
  <c r="P115" i="3"/>
  <c r="P116" i="3"/>
  <c r="P117" i="3"/>
  <c r="P111" i="3"/>
  <c r="O112" i="3"/>
  <c r="O113" i="3"/>
  <c r="O114" i="3"/>
  <c r="O115" i="3"/>
  <c r="O116" i="3"/>
  <c r="O117" i="3"/>
  <c r="O111" i="3"/>
  <c r="N112" i="3"/>
  <c r="N113" i="3"/>
  <c r="N114" i="3"/>
  <c r="N115" i="3"/>
  <c r="N116" i="3"/>
  <c r="N117" i="3"/>
  <c r="N111" i="3"/>
  <c r="K114" i="3"/>
  <c r="J117" i="3"/>
  <c r="I117" i="3"/>
  <c r="K112" i="3"/>
  <c r="K113" i="3"/>
  <c r="K115" i="3"/>
  <c r="K116" i="3"/>
  <c r="K111" i="3"/>
  <c r="L11" i="3"/>
  <c r="K117" i="3" l="1"/>
  <c r="K106" i="3" l="1"/>
  <c r="K105" i="3"/>
  <c r="K104" i="3"/>
  <c r="K103" i="3"/>
  <c r="K102" i="3"/>
  <c r="L102" i="3" s="1"/>
  <c r="K101" i="3"/>
  <c r="M101" i="3" s="1"/>
  <c r="K100" i="3"/>
  <c r="M100" i="3" s="1"/>
  <c r="K99" i="3"/>
  <c r="M99" i="3" s="1"/>
  <c r="K98" i="3"/>
  <c r="L98" i="3" s="1"/>
  <c r="K97" i="3"/>
  <c r="L97" i="3" s="1"/>
  <c r="K96" i="3"/>
  <c r="M96" i="3" s="1"/>
  <c r="K95" i="3"/>
  <c r="M95" i="3" s="1"/>
  <c r="K94" i="3"/>
  <c r="L103" i="3" l="1"/>
  <c r="M103" i="3"/>
  <c r="L101" i="3"/>
  <c r="M98" i="3"/>
  <c r="L96" i="3"/>
  <c r="M102" i="3"/>
  <c r="M97" i="3"/>
  <c r="L100" i="3"/>
  <c r="L99" i="3"/>
  <c r="L95" i="3"/>
  <c r="J88" i="3"/>
  <c r="J89" i="3"/>
  <c r="J87" i="3"/>
  <c r="AB31" i="3" l="1"/>
  <c r="AB74" i="3" l="1"/>
  <c r="AD74" i="3"/>
  <c r="AB63" i="3"/>
  <c r="AD63" i="3"/>
  <c r="AB29" i="3"/>
  <c r="AD29" i="3"/>
  <c r="AB30" i="3"/>
  <c r="AD30" i="3"/>
  <c r="AD31" i="3"/>
  <c r="AB64" i="3"/>
  <c r="AD64" i="3"/>
  <c r="AB23" i="3"/>
  <c r="AD23" i="3"/>
  <c r="AB73" i="3"/>
  <c r="AD73" i="3"/>
  <c r="AB70" i="3"/>
  <c r="AD70" i="3"/>
  <c r="AB24" i="3"/>
  <c r="AD24" i="3"/>
  <c r="AB56" i="3"/>
  <c r="AD56" i="3"/>
  <c r="AB39" i="3"/>
  <c r="AD39" i="3"/>
  <c r="AB37" i="3"/>
  <c r="AD37" i="3"/>
  <c r="AB38" i="3"/>
  <c r="AD38" i="3"/>
  <c r="AB75" i="3"/>
  <c r="AD75" i="3"/>
  <c r="AB9" i="3"/>
  <c r="AD9" i="3"/>
  <c r="AB20" i="3"/>
  <c r="AD20" i="3"/>
  <c r="AB12" i="3"/>
  <c r="AD12" i="3"/>
  <c r="AB77" i="3"/>
  <c r="AD77" i="3"/>
  <c r="AB46" i="3"/>
  <c r="AD46" i="3"/>
  <c r="AB57" i="3"/>
  <c r="AD57" i="3"/>
  <c r="AB65" i="3"/>
  <c r="AD65" i="3"/>
  <c r="AB66" i="3"/>
  <c r="AD66" i="3"/>
  <c r="AB34" i="3"/>
  <c r="AD34" i="3"/>
  <c r="AB25" i="3"/>
  <c r="AD25" i="3"/>
  <c r="AB13" i="3"/>
  <c r="AD13" i="3"/>
  <c r="AB16" i="3"/>
  <c r="AD16" i="3"/>
  <c r="AB58" i="3"/>
  <c r="AD58" i="3"/>
  <c r="AB67" i="3"/>
  <c r="AD67" i="3"/>
  <c r="AB17" i="3"/>
  <c r="AD17" i="3"/>
  <c r="AB71" i="3"/>
  <c r="AD71" i="3"/>
  <c r="AB47" i="3"/>
  <c r="AD47" i="3"/>
  <c r="AB68" i="3"/>
  <c r="AD68" i="3"/>
  <c r="AB48" i="3"/>
  <c r="AD48" i="3"/>
  <c r="AB69" i="3"/>
  <c r="AD69" i="3"/>
  <c r="AB14" i="3"/>
  <c r="AD14" i="3"/>
  <c r="AB10" i="3"/>
  <c r="AD10" i="3"/>
  <c r="AB41" i="3"/>
  <c r="AD41" i="3"/>
  <c r="AB49" i="3"/>
  <c r="AD49" i="3"/>
  <c r="AB50" i="3"/>
  <c r="AD50" i="3"/>
  <c r="AB36" i="3"/>
  <c r="AD36" i="3"/>
  <c r="AB80" i="3"/>
  <c r="AD80" i="3"/>
  <c r="AB18" i="3"/>
  <c r="AD18" i="3"/>
  <c r="AB72" i="3"/>
  <c r="AD72" i="3"/>
  <c r="V74" i="3"/>
  <c r="V63" i="3"/>
  <c r="V29" i="3"/>
  <c r="V30" i="3"/>
  <c r="V31" i="3"/>
  <c r="V64" i="3"/>
  <c r="V23" i="3"/>
  <c r="V73" i="3"/>
  <c r="V70" i="3"/>
  <c r="V24" i="3"/>
  <c r="V56" i="3"/>
  <c r="V39" i="3"/>
  <c r="V37" i="3"/>
  <c r="V38" i="3"/>
  <c r="V75" i="3"/>
  <c r="V9" i="3"/>
  <c r="V20" i="3"/>
  <c r="V12" i="3"/>
  <c r="V77" i="3"/>
  <c r="V46" i="3"/>
  <c r="V57" i="3"/>
  <c r="V65" i="3"/>
  <c r="V66" i="3"/>
  <c r="V34" i="3"/>
  <c r="V25" i="3"/>
  <c r="V13" i="3"/>
  <c r="V16" i="3"/>
  <c r="V58" i="3"/>
  <c r="V67" i="3"/>
  <c r="V17" i="3"/>
  <c r="V71" i="3"/>
  <c r="V47" i="3"/>
  <c r="V68" i="3"/>
  <c r="V48" i="3"/>
  <c r="V69" i="3"/>
  <c r="V14" i="3"/>
  <c r="V10" i="3"/>
  <c r="V41" i="3"/>
  <c r="V49" i="3"/>
  <c r="V50" i="3"/>
  <c r="V36" i="3"/>
  <c r="V80" i="3"/>
  <c r="V18" i="3"/>
  <c r="V72" i="3"/>
  <c r="Q74" i="3"/>
  <c r="Q63" i="3"/>
  <c r="Q29" i="3"/>
  <c r="Q30" i="3"/>
  <c r="Q31" i="3"/>
  <c r="Q64" i="3"/>
  <c r="Q23" i="3"/>
  <c r="Q73" i="3"/>
  <c r="Q70" i="3"/>
  <c r="Q24" i="3"/>
  <c r="Q56" i="3"/>
  <c r="Q39" i="3"/>
  <c r="Q37" i="3"/>
  <c r="Q38" i="3"/>
  <c r="Q75" i="3"/>
  <c r="Q9" i="3"/>
  <c r="Q20" i="3"/>
  <c r="Q12" i="3"/>
  <c r="Q77" i="3"/>
  <c r="Q46" i="3"/>
  <c r="Q57" i="3"/>
  <c r="Q65" i="3"/>
  <c r="Q66" i="3"/>
  <c r="Q34" i="3"/>
  <c r="Q25" i="3"/>
  <c r="Q13" i="3"/>
  <c r="Q16" i="3"/>
  <c r="Q58" i="3"/>
  <c r="Q67" i="3"/>
  <c r="Q17" i="3"/>
  <c r="Q71" i="3"/>
  <c r="Q47" i="3"/>
  <c r="Q68" i="3"/>
  <c r="Q48" i="3"/>
  <c r="Q69" i="3"/>
  <c r="Q14" i="3"/>
  <c r="Q10" i="3"/>
  <c r="Q41" i="3"/>
  <c r="Q49" i="3"/>
  <c r="Q50" i="3"/>
  <c r="Q36" i="3"/>
  <c r="Q80" i="3"/>
  <c r="Q18" i="3"/>
  <c r="Q72" i="3"/>
  <c r="L74" i="3"/>
  <c r="L63" i="3"/>
  <c r="L29" i="3"/>
  <c r="L30" i="3"/>
  <c r="L31" i="3"/>
  <c r="L64" i="3"/>
  <c r="L23" i="3"/>
  <c r="L73" i="3"/>
  <c r="L70" i="3"/>
  <c r="L24" i="3"/>
  <c r="L56" i="3"/>
  <c r="L39" i="3"/>
  <c r="L37" i="3"/>
  <c r="L38" i="3"/>
  <c r="L75" i="3"/>
  <c r="L9" i="3"/>
  <c r="L20" i="3"/>
  <c r="L12" i="3"/>
  <c r="L77" i="3"/>
  <c r="L46" i="3"/>
  <c r="L57" i="3"/>
  <c r="L65" i="3"/>
  <c r="L66" i="3"/>
  <c r="L34" i="3"/>
  <c r="L25" i="3"/>
  <c r="L13" i="3"/>
  <c r="L16" i="3"/>
  <c r="L58" i="3"/>
  <c r="L67" i="3"/>
  <c r="L17" i="3"/>
  <c r="L71" i="3"/>
  <c r="L47" i="3"/>
  <c r="L68" i="3"/>
  <c r="L48" i="3"/>
  <c r="L69" i="3"/>
  <c r="L14" i="3"/>
  <c r="L10" i="3"/>
  <c r="L41" i="3"/>
  <c r="L49" i="3"/>
  <c r="L50" i="3"/>
  <c r="L36" i="3"/>
  <c r="L80" i="3"/>
  <c r="L18" i="3"/>
  <c r="L72" i="3"/>
  <c r="I74" i="3"/>
  <c r="I63" i="3"/>
  <c r="I29" i="3"/>
  <c r="I30" i="3"/>
  <c r="I31" i="3"/>
  <c r="I64" i="3"/>
  <c r="I23" i="3"/>
  <c r="I73" i="3"/>
  <c r="I70" i="3"/>
  <c r="I24" i="3"/>
  <c r="I56" i="3"/>
  <c r="I39" i="3"/>
  <c r="I37" i="3"/>
  <c r="I38" i="3"/>
  <c r="I75" i="3"/>
  <c r="I9" i="3"/>
  <c r="I20" i="3"/>
  <c r="I12" i="3"/>
  <c r="I77" i="3"/>
  <c r="I46" i="3"/>
  <c r="I57" i="3"/>
  <c r="I65" i="3"/>
  <c r="I66" i="3"/>
  <c r="I34" i="3"/>
  <c r="I25" i="3"/>
  <c r="I13" i="3"/>
  <c r="I16" i="3"/>
  <c r="I58" i="3"/>
  <c r="I67" i="3"/>
  <c r="I17" i="3"/>
  <c r="I71" i="3"/>
  <c r="I47" i="3"/>
  <c r="I68" i="3"/>
  <c r="I48" i="3"/>
  <c r="I69" i="3"/>
  <c r="I14" i="3"/>
  <c r="I10" i="3"/>
  <c r="I41" i="3"/>
  <c r="I49" i="3"/>
  <c r="I50" i="3"/>
  <c r="I36" i="3"/>
  <c r="I80" i="3"/>
  <c r="I18" i="3"/>
  <c r="I72" i="3"/>
  <c r="G74" i="3"/>
  <c r="G63" i="3"/>
  <c r="G29" i="3"/>
  <c r="G30" i="3"/>
  <c r="G31" i="3"/>
  <c r="G64" i="3"/>
  <c r="G23" i="3"/>
  <c r="G73" i="3"/>
  <c r="G70" i="3"/>
  <c r="G24" i="3"/>
  <c r="G56" i="3"/>
  <c r="G39" i="3"/>
  <c r="G37" i="3"/>
  <c r="G38" i="3"/>
  <c r="G75" i="3"/>
  <c r="G9" i="3"/>
  <c r="G20" i="3"/>
  <c r="G12" i="3"/>
  <c r="G77" i="3"/>
  <c r="G46" i="3"/>
  <c r="G57" i="3"/>
  <c r="G65" i="3"/>
  <c r="G66" i="3"/>
  <c r="G34" i="3"/>
  <c r="G25" i="3"/>
  <c r="G13" i="3"/>
  <c r="G16" i="3"/>
  <c r="G58" i="3"/>
  <c r="G67" i="3"/>
  <c r="G17" i="3"/>
  <c r="G71" i="3"/>
  <c r="G47" i="3"/>
  <c r="G68" i="3"/>
  <c r="G48" i="3"/>
  <c r="G69" i="3"/>
  <c r="G14" i="3"/>
  <c r="G10" i="3"/>
  <c r="G41" i="3"/>
  <c r="G49" i="3"/>
  <c r="G50" i="3"/>
  <c r="G36" i="3"/>
  <c r="G80" i="3"/>
  <c r="G18" i="3"/>
  <c r="G72" i="3"/>
  <c r="AD62" i="3"/>
  <c r="AD11" i="3"/>
  <c r="AD55" i="3"/>
  <c r="AD19" i="3"/>
  <c r="AD54" i="3"/>
  <c r="AD61" i="3"/>
  <c r="AD53" i="3"/>
  <c r="AD60" i="3"/>
  <c r="AD28" i="3"/>
  <c r="AD45" i="3"/>
  <c r="AD76" i="3"/>
  <c r="AD79" i="3"/>
  <c r="AD33" i="3"/>
  <c r="AD43" i="3"/>
  <c r="AD40" i="3"/>
  <c r="AD52" i="3"/>
  <c r="AD27" i="3"/>
  <c r="AD22" i="3"/>
  <c r="AD35" i="3"/>
  <c r="AD32" i="3"/>
  <c r="AD51" i="3"/>
  <c r="AD81" i="3"/>
  <c r="AD44" i="3"/>
  <c r="AD15" i="3"/>
  <c r="AD21" i="3"/>
  <c r="AD26" i="3"/>
  <c r="AD78" i="3"/>
  <c r="AD59" i="3"/>
  <c r="AD42" i="3"/>
  <c r="AD8" i="3"/>
  <c r="AB62" i="3"/>
  <c r="AB11" i="3"/>
  <c r="AB55" i="3"/>
  <c r="AB19" i="3"/>
  <c r="AB54" i="3"/>
  <c r="AB61" i="3"/>
  <c r="AB53" i="3"/>
  <c r="AB60" i="3"/>
  <c r="AB28" i="3"/>
  <c r="AB45" i="3"/>
  <c r="AB76" i="3"/>
  <c r="AB79" i="3"/>
  <c r="AB33" i="3"/>
  <c r="AB43" i="3"/>
  <c r="AB40" i="3"/>
  <c r="AB52" i="3"/>
  <c r="AB27" i="3"/>
  <c r="AB22" i="3"/>
  <c r="AB35" i="3"/>
  <c r="AB32" i="3"/>
  <c r="AB51" i="3"/>
  <c r="AB81" i="3"/>
  <c r="AB44" i="3"/>
  <c r="AB15" i="3"/>
  <c r="AB21" i="3"/>
  <c r="AB26" i="3"/>
  <c r="AB78" i="3"/>
  <c r="AB59" i="3"/>
  <c r="AB42" i="3"/>
  <c r="AB8" i="3"/>
  <c r="L42" i="3"/>
  <c r="L59" i="3"/>
  <c r="L78" i="3"/>
  <c r="L26" i="3"/>
  <c r="L21" i="3"/>
  <c r="L15" i="3"/>
  <c r="L44" i="3"/>
  <c r="L81" i="3"/>
  <c r="L51" i="3"/>
  <c r="L32" i="3"/>
  <c r="L35" i="3"/>
  <c r="L22" i="3"/>
  <c r="L27" i="3"/>
  <c r="L52" i="3"/>
  <c r="L40" i="3"/>
  <c r="L43" i="3"/>
  <c r="L33" i="3"/>
  <c r="L79" i="3"/>
  <c r="L76" i="3"/>
  <c r="L45" i="3"/>
  <c r="L28" i="3"/>
  <c r="L60" i="3"/>
  <c r="L53" i="3"/>
  <c r="L61" i="3"/>
  <c r="L54" i="3"/>
  <c r="L19" i="3"/>
  <c r="L55" i="3"/>
  <c r="L62" i="3"/>
  <c r="I42" i="3"/>
  <c r="I59" i="3"/>
  <c r="I78" i="3"/>
  <c r="I26" i="3"/>
  <c r="I21" i="3"/>
  <c r="I15" i="3"/>
  <c r="I44" i="3"/>
  <c r="I81" i="3"/>
  <c r="I51" i="3"/>
  <c r="I32" i="3"/>
  <c r="I35" i="3"/>
  <c r="I22" i="3"/>
  <c r="I27" i="3"/>
  <c r="I52" i="3"/>
  <c r="I40" i="3"/>
  <c r="I43" i="3"/>
  <c r="I33" i="3"/>
  <c r="I79" i="3"/>
  <c r="I76" i="3"/>
  <c r="I45" i="3"/>
  <c r="I28" i="3"/>
  <c r="I60" i="3"/>
  <c r="I53" i="3"/>
  <c r="I61" i="3"/>
  <c r="I54" i="3"/>
  <c r="I19" i="3"/>
  <c r="I55" i="3"/>
  <c r="I11" i="3"/>
  <c r="I62" i="3"/>
  <c r="G42" i="3"/>
  <c r="G59" i="3"/>
  <c r="G78" i="3"/>
  <c r="G26" i="3"/>
  <c r="G21" i="3"/>
  <c r="G15" i="3"/>
  <c r="G44" i="3"/>
  <c r="G81" i="3"/>
  <c r="G51" i="3"/>
  <c r="G32" i="3"/>
  <c r="G35" i="3"/>
  <c r="G22" i="3"/>
  <c r="G27" i="3"/>
  <c r="G52" i="3"/>
  <c r="G40" i="3"/>
  <c r="G43" i="3"/>
  <c r="G33" i="3"/>
  <c r="G79" i="3"/>
  <c r="G76" i="3"/>
  <c r="G45" i="3"/>
  <c r="G28" i="3"/>
  <c r="G60" i="3"/>
  <c r="G53" i="3"/>
  <c r="G61" i="3"/>
  <c r="G54" i="3"/>
  <c r="G19" i="3"/>
  <c r="G55" i="3"/>
  <c r="G11" i="3"/>
  <c r="G62" i="3"/>
  <c r="L8" i="3"/>
  <c r="I8" i="3"/>
  <c r="G8" i="3"/>
  <c r="W14" i="3" l="1"/>
  <c r="W58" i="3"/>
  <c r="W39" i="3"/>
  <c r="W12" i="3"/>
  <c r="W65" i="3"/>
  <c r="W48" i="3"/>
  <c r="W17" i="3"/>
  <c r="W13" i="3"/>
  <c r="W38" i="3"/>
  <c r="W56" i="3"/>
  <c r="W23" i="3"/>
  <c r="W29" i="3"/>
  <c r="W72" i="3"/>
  <c r="W50" i="3"/>
  <c r="W68" i="3"/>
  <c r="W67" i="3"/>
  <c r="W18" i="3"/>
  <c r="W49" i="3"/>
  <c r="W47" i="3"/>
  <c r="W25" i="3"/>
  <c r="W57" i="3"/>
  <c r="W20" i="3"/>
  <c r="W37" i="3"/>
  <c r="W24" i="3"/>
  <c r="W64" i="3"/>
  <c r="W63" i="3"/>
  <c r="W80" i="3"/>
  <c r="W41" i="3"/>
  <c r="W69" i="3"/>
  <c r="W71" i="3"/>
  <c r="W34" i="3"/>
  <c r="W46" i="3"/>
  <c r="W9" i="3"/>
  <c r="W70" i="3"/>
  <c r="W31" i="3"/>
  <c r="W74" i="3"/>
  <c r="W36" i="3"/>
  <c r="W10" i="3"/>
  <c r="W16" i="3"/>
  <c r="W66" i="3"/>
  <c r="W77" i="3"/>
  <c r="W75" i="3"/>
  <c r="W73" i="3"/>
  <c r="W30" i="3"/>
  <c r="Q62" i="3" l="1"/>
  <c r="V62" i="3"/>
  <c r="W62" i="3" l="1"/>
  <c r="V42" i="3"/>
  <c r="V78" i="3"/>
  <c r="V26" i="3"/>
  <c r="V21" i="3"/>
  <c r="V15" i="3"/>
  <c r="V44" i="3"/>
  <c r="V81" i="3"/>
  <c r="V51" i="3"/>
  <c r="V32" i="3"/>
  <c r="V35" i="3"/>
  <c r="V22" i="3"/>
  <c r="V27" i="3"/>
  <c r="V52" i="3"/>
  <c r="V40" i="3"/>
  <c r="V43" i="3"/>
  <c r="V33" i="3"/>
  <c r="V79" i="3"/>
  <c r="V76" i="3"/>
  <c r="V45" i="3"/>
  <c r="V28" i="3"/>
  <c r="V60" i="3"/>
  <c r="V53" i="3"/>
  <c r="V61" i="3"/>
  <c r="V54" i="3"/>
  <c r="V19" i="3"/>
  <c r="V55" i="3"/>
  <c r="V11" i="3"/>
  <c r="V8" i="3"/>
  <c r="Q59" i="3"/>
  <c r="Q78" i="3"/>
  <c r="Q26" i="3"/>
  <c r="Q21" i="3"/>
  <c r="Q15" i="3"/>
  <c r="Q44" i="3"/>
  <c r="Q81" i="3"/>
  <c r="Q51" i="3"/>
  <c r="Q32" i="3"/>
  <c r="Q35" i="3"/>
  <c r="Q22" i="3"/>
  <c r="Q27" i="3"/>
  <c r="Q52" i="3"/>
  <c r="Q40" i="3"/>
  <c r="Q43" i="3"/>
  <c r="Q33" i="3"/>
  <c r="Q79" i="3"/>
  <c r="Q76" i="3"/>
  <c r="Q45" i="3"/>
  <c r="Q28" i="3"/>
  <c r="Q60" i="3"/>
  <c r="Q53" i="3"/>
  <c r="Q61" i="3"/>
  <c r="Q54" i="3"/>
  <c r="Q19" i="3"/>
  <c r="Q55" i="3"/>
  <c r="Q11" i="3"/>
  <c r="Q8" i="3"/>
  <c r="Q42" i="3"/>
  <c r="V59" i="3"/>
  <c r="W61" i="3" l="1"/>
  <c r="W43" i="3"/>
  <c r="W11" i="3"/>
  <c r="W19" i="3"/>
  <c r="W60" i="3"/>
  <c r="W45" i="3"/>
  <c r="W79" i="3"/>
  <c r="W52" i="3"/>
  <c r="W32" i="3"/>
  <c r="W81" i="3"/>
  <c r="W15" i="3"/>
  <c r="W26" i="3"/>
  <c r="W59" i="3"/>
  <c r="W22" i="3"/>
  <c r="W54" i="3"/>
  <c r="W28" i="3"/>
  <c r="W33" i="3"/>
  <c r="W27" i="3"/>
  <c r="W51" i="3"/>
  <c r="W21" i="3"/>
  <c r="W42" i="3"/>
  <c r="W55" i="3"/>
  <c r="W53" i="3"/>
  <c r="W76" i="3"/>
  <c r="W40" i="3"/>
  <c r="W35" i="3"/>
  <c r="W44" i="3"/>
  <c r="W78" i="3"/>
  <c r="W8" i="3"/>
</calcChain>
</file>

<file path=xl/sharedStrings.xml><?xml version="1.0" encoding="utf-8"?>
<sst xmlns="http://schemas.openxmlformats.org/spreadsheetml/2006/main" count="980" uniqueCount="229">
  <si>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</si>
  <si>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</si>
  <si>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</si>
  <si>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</si>
  <si>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</si>
  <si>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</si>
  <si>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</si>
  <si>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</si>
  <si>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</si>
  <si>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</si>
  <si>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</si>
  <si>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</si>
  <si>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</si>
  <si>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</si>
  <si>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</si>
  <si>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</si>
  <si>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</si>
  <si>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</si>
  <si>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</si>
  <si>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</si>
  <si>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</si>
  <si>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</si>
  <si>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</si>
  <si>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</si>
  <si>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</si>
  <si>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</si>
  <si>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</si>
  <si>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</si>
  <si>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</si>
  <si>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</si>
  <si>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</si>
  <si>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</si>
  <si>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</si>
  <si>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</si>
  <si>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</si>
  <si>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</si>
  <si>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</si>
  <si>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</si>
  <si>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</si>
  <si>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</si>
  <si>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</si>
  <si>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</si>
  <si>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</si>
  <si>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</si>
  <si>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</si>
  <si>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</si>
  <si>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</si>
  <si>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</si>
  <si>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</si>
  <si>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</si>
  <si>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</si>
  <si>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</si>
  <si>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</si>
  <si>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</si>
  <si>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</si>
  <si>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</si>
  <si>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</si>
  <si>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</si>
  <si>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</si>
  <si>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</si>
  <si>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</si>
  <si>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</si>
  <si>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</si>
  <si>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</si>
  <si>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</si>
  <si>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</si>
  <si>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</si>
  <si>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</si>
  <si>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</si>
  <si>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</si>
  <si>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</si>
  <si>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</si>
  <si>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</si>
  <si>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</si>
  <si>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</si>
  <si>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</si>
  <si>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</si>
  <si>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</si>
  <si>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</si>
  <si>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</si>
  <si>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</si>
  <si>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</si>
  <si>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</si>
  <si>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</si>
  <si>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</si>
  <si>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</si>
  <si>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</si>
  <si>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</si>
  <si>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</si>
  <si>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</si>
  <si>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</si>
  <si>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</si>
  <si>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</si>
  <si>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</si>
  <si>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</si>
  <si>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</si>
  <si>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</si>
  <si>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</si>
  <si>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</si>
  <si>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</si>
  <si>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Y</t>
  </si>
  <si>
    <t>Date</t>
  </si>
  <si>
    <t>Town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</si>
  <si>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</si>
  <si>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</si>
  <si>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</si>
  <si>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</si>
  <si>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</si>
  <si>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</si>
  <si>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</si>
  <si>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</si>
  <si>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</si>
  <si>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</si>
  <si>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</si>
  <si>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</si>
  <si>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</si>
  <si>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</si>
  <si>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</si>
  <si>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</si>
  <si>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</si>
  <si>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</si>
  <si>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</si>
  <si>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</si>
  <si>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</si>
  <si>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</si>
  <si>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</si>
  <si>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</si>
  <si>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</si>
  <si>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</si>
  <si>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</si>
  <si>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</si>
  <si>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</si>
  <si>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</si>
  <si>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</si>
  <si>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</si>
  <si>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</si>
  <si>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</si>
  <si>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</si>
  <si>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</si>
  <si>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</si>
  <si>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</si>
  <si>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</si>
  <si>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</si>
  <si>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</si>
  <si>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</si>
  <si>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</si>
  <si>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</si>
  <si>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</si>
  <si>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</si>
  <si>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</si>
  <si>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</si>
  <si>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</si>
  <si>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</si>
  <si>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</si>
  <si>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</si>
  <si>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</si>
  <si>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</si>
  <si>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</si>
  <si>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</si>
  <si>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ARUA</t>
  </si>
  <si>
    <t>NAMULI JULIET</t>
  </si>
  <si>
    <t>DENIS</t>
  </si>
  <si>
    <t>RUTH K</t>
  </si>
  <si>
    <t>KAMPALA</t>
  </si>
  <si>
    <t>UGA</t>
  </si>
  <si>
    <t xml:space="preserve">TOWN </t>
  </si>
  <si>
    <t>HOIMA</t>
  </si>
  <si>
    <t>KYEGWEGWA</t>
  </si>
  <si>
    <t>NSANJI</t>
  </si>
  <si>
    <t>WAKISO</t>
  </si>
  <si>
    <t>MASAKA</t>
  </si>
  <si>
    <t>WANTONI</t>
  </si>
  <si>
    <t>MUKONO</t>
  </si>
  <si>
    <t>MPIGI</t>
  </si>
  <si>
    <t>MBARARA</t>
  </si>
  <si>
    <t>GULU</t>
  </si>
  <si>
    <t>SOROTI</t>
  </si>
  <si>
    <t>LIRA</t>
  </si>
  <si>
    <t>P</t>
  </si>
  <si>
    <t>BUKWELI</t>
  </si>
  <si>
    <t>KAJANSI</t>
  </si>
  <si>
    <t>TOWN</t>
  </si>
  <si>
    <t xml:space="preserve"> 10:44</t>
  </si>
  <si>
    <t>BUWATE</t>
  </si>
  <si>
    <t>KALISIZO</t>
  </si>
  <si>
    <t>BUSIA</t>
  </si>
  <si>
    <t>BUGEMA</t>
  </si>
  <si>
    <t>MBALE</t>
  </si>
  <si>
    <t>ENTEBBE</t>
  </si>
  <si>
    <t>BUWAMA</t>
  </si>
  <si>
    <t>KYOZANGA</t>
  </si>
  <si>
    <t>F</t>
  </si>
  <si>
    <t>BUSUNGU</t>
  </si>
  <si>
    <t>KYANKWANZE</t>
  </si>
  <si>
    <t>KAGEGE</t>
  </si>
  <si>
    <t>NAKASEKE</t>
  </si>
  <si>
    <t>KASESE</t>
  </si>
  <si>
    <t>RUKUNGIRI</t>
  </si>
  <si>
    <t>HOI MA</t>
  </si>
  <si>
    <t>BUSUNJU</t>
  </si>
  <si>
    <t>KAMULI</t>
  </si>
  <si>
    <t>MITYANA</t>
  </si>
  <si>
    <t>KITIMBWA</t>
  </si>
  <si>
    <t>KAYUNGA</t>
  </si>
  <si>
    <t>NANSANA</t>
  </si>
  <si>
    <t>NSAMBYA</t>
  </si>
  <si>
    <t>MUBENDE</t>
  </si>
  <si>
    <t>LUKOYA</t>
  </si>
  <si>
    <t>MASINDI</t>
  </si>
  <si>
    <t>WOBULENZI</t>
  </si>
  <si>
    <t>KAKOGE</t>
  </si>
  <si>
    <t>LUWERO</t>
  </si>
  <si>
    <t>KANONI</t>
  </si>
  <si>
    <t>RAKAI</t>
  </si>
  <si>
    <t>LUKAYA</t>
  </si>
  <si>
    <t>JINJA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</si>
  <si>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</si>
  <si>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</si>
  <si>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</si>
  <si>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</si>
  <si>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</si>
  <si>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</si>
  <si>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</si>
  <si>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</si>
  <si>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</si>
  <si>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</si>
  <si>
    <t>Gender</t>
  </si>
  <si>
    <t>Female Total</t>
  </si>
  <si>
    <t>Male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</si>
</sst>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Fill="1" applyBorder="1" applyAlignment="1">
      <alignment horizontal="center"/>
    </xf>
    <xf numFmtId="9" fontId="0" fillId="0" borderId="2" xfId="0" applyNumberFormat="1" applyBorder="1"/>
    <xf numFmtId="0" fontId="0" fillId="0" borderId="0" xfId="0" applyAlignment="1"/>
    <xf numFmtId="1" fontId="5" fillId="0" borderId="2" xfId="0" applyNumberFormat="1" applyFont="1" applyFill="1" applyBorder="1" applyAlignment="1"/>
    <xf numFmtId="0" fontId="5" fillId="0" borderId="2" xfId="0" applyFont="1" applyBorder="1" applyAlignment="1"/>
    <xf numFmtId="9" fontId="0" fillId="0" borderId="2" xfId="2" applyFont="1" applyFill="1" applyBorder="1" applyAlignment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9" fontId="0" fillId="0" borderId="2" xfId="5" applyFont="1" applyBorder="1"/>
    <xf numFmtId="0" fontId="0" fillId="0" borderId="2" xfId="0" applyBorder="1" applyAlignment="1"/>
    <xf numFmtId="0" fontId="1" fillId="0" borderId="2" xfId="0" applyFont="1" applyBorder="1" applyAlignment="1">
      <alignment horizontal="center" wrapText="1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" xfId="5" builtinId="5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137"/>
  <sheetViews>
    <sheetView tabSelected="1" topLeftCell="A70" zoomScale="75" zoomScaleNormal="75" zoomScaleSheetLayoutView="80" workbookViewId="0">
      <selection activeCell="S115" sqref="S115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10.28515625" customWidth="1"/>
    <col min="9" max="9" width="15.140625" customWidth="1"/>
    <col min="10" max="10" width="11.5703125" customWidth="1"/>
    <col min="11" max="11" width="8.85546875" customWidth="1"/>
    <col min="12" max="12" width="9.7109375" customWidth="1"/>
    <col min="13" max="13" width="12.28515625" style="59" customWidth="1"/>
    <col min="14" max="14" width="12.85546875" customWidth="1"/>
    <col min="15" max="15" width="11" customWidth="1"/>
    <col min="16" max="16" width="8.42578125" style="42" customWidth="1"/>
    <col min="17" max="17" width="11.85546875" customWidth="1"/>
    <col min="18" max="18" width="13.28515625" customWidth="1"/>
    <col min="19" max="19" width="12.28515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50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2:46" s="1" customFormat="1" ht="15.75" x14ac:dyDescent="0.2">
      <c r="C1" s="86" t="s">
        <v>95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6"/>
      <c r="AO1" s="6"/>
      <c r="AP1" s="6"/>
      <c r="AQ1" s="6"/>
      <c r="AR1" s="6"/>
      <c r="AS1" s="6"/>
      <c r="AT1" s="6"/>
    </row>
    <row r="2" spans="2:46" ht="15.75" x14ac:dyDescent="0.2">
      <c r="C2" s="86" t="s">
        <v>104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7"/>
      <c r="AO2" s="7"/>
      <c r="AP2" s="7"/>
      <c r="AQ2" s="7"/>
      <c r="AR2" s="7"/>
      <c r="AS2" s="7"/>
      <c r="AT2" s="7"/>
    </row>
    <row r="3" spans="2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2:46" ht="15" customHeight="1" x14ac:dyDescent="0.2">
      <c r="C4" s="34"/>
      <c r="D4" s="1" t="s">
        <v>102</v>
      </c>
      <c r="E4" s="89" t="s">
        <v>159</v>
      </c>
      <c r="F4" s="90"/>
      <c r="G4" s="91"/>
      <c r="I4" s="46" t="s">
        <v>3</v>
      </c>
      <c r="J4" s="74" t="s">
        <v>160</v>
      </c>
      <c r="K4" s="75"/>
      <c r="L4" s="76"/>
      <c r="N4" s="1" t="s">
        <v>37</v>
      </c>
      <c r="O4" s="74" t="s">
        <v>161</v>
      </c>
      <c r="P4" s="76"/>
      <c r="R4" s="26" t="s">
        <v>6</v>
      </c>
      <c r="S4" s="68" t="s">
        <v>162</v>
      </c>
      <c r="T4" s="69"/>
      <c r="W4" s="27" t="s">
        <v>7</v>
      </c>
      <c r="X4" s="68" t="s">
        <v>103</v>
      </c>
      <c r="Y4" s="69"/>
      <c r="AH4" s="48"/>
      <c r="AI4" s="48"/>
      <c r="AP4" s="10"/>
      <c r="AQ4" s="5"/>
    </row>
    <row r="5" spans="2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7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2:46" ht="30.75" customHeight="1" x14ac:dyDescent="0.2">
      <c r="B6" s="79" t="s">
        <v>101</v>
      </c>
      <c r="C6" s="81" t="s">
        <v>158</v>
      </c>
      <c r="D6" s="72" t="s">
        <v>34</v>
      </c>
      <c r="E6" s="70" t="s">
        <v>157</v>
      </c>
      <c r="F6" s="70" t="s">
        <v>106</v>
      </c>
      <c r="G6" s="70" t="s">
        <v>107</v>
      </c>
      <c r="H6" s="70" t="s">
        <v>9</v>
      </c>
      <c r="I6" s="70" t="s">
        <v>114</v>
      </c>
      <c r="J6" s="72" t="s">
        <v>116</v>
      </c>
      <c r="K6" s="72" t="s">
        <v>118</v>
      </c>
      <c r="L6" s="72" t="s">
        <v>119</v>
      </c>
      <c r="M6" s="83" t="s">
        <v>12</v>
      </c>
      <c r="N6" s="84"/>
      <c r="O6" s="85"/>
      <c r="P6" s="72" t="s">
        <v>15</v>
      </c>
      <c r="Q6" s="72" t="s">
        <v>96</v>
      </c>
      <c r="R6" s="83" t="s">
        <v>17</v>
      </c>
      <c r="S6" s="84"/>
      <c r="T6" s="85"/>
      <c r="U6" s="72" t="s">
        <v>18</v>
      </c>
      <c r="V6" s="72" t="s">
        <v>97</v>
      </c>
      <c r="W6" s="72" t="s">
        <v>98</v>
      </c>
      <c r="X6" s="72" t="s">
        <v>126</v>
      </c>
      <c r="Y6" s="72" t="s">
        <v>127</v>
      </c>
      <c r="Z6" s="72" t="s">
        <v>128</v>
      </c>
      <c r="AA6" s="72" t="s">
        <v>129</v>
      </c>
      <c r="AB6" s="72" t="s">
        <v>130</v>
      </c>
      <c r="AC6" s="72" t="s">
        <v>142</v>
      </c>
      <c r="AD6" s="72" t="s">
        <v>143</v>
      </c>
      <c r="AE6" s="78" t="s">
        <v>150</v>
      </c>
      <c r="AF6" s="78"/>
      <c r="AG6" s="78"/>
      <c r="AH6" s="78"/>
      <c r="AI6" s="78"/>
      <c r="AJ6" s="72" t="s">
        <v>156</v>
      </c>
      <c r="AK6" s="72" t="s">
        <v>99</v>
      </c>
      <c r="AL6" s="70" t="s">
        <v>20</v>
      </c>
      <c r="AM6" s="87" t="s">
        <v>21</v>
      </c>
      <c r="AO6" s="19"/>
    </row>
    <row r="7" spans="2:46" ht="38.25" customHeight="1" x14ac:dyDescent="0.2">
      <c r="B7" s="80"/>
      <c r="C7" s="82"/>
      <c r="D7" s="77"/>
      <c r="E7" s="71"/>
      <c r="F7" s="71"/>
      <c r="G7" s="71"/>
      <c r="H7" s="71"/>
      <c r="I7" s="71"/>
      <c r="J7" s="73"/>
      <c r="K7" s="73"/>
      <c r="L7" s="73"/>
      <c r="M7" s="24" t="s">
        <v>38</v>
      </c>
      <c r="N7" s="23" t="s">
        <v>35</v>
      </c>
      <c r="O7" s="24" t="s">
        <v>36</v>
      </c>
      <c r="P7" s="77"/>
      <c r="Q7" s="77"/>
      <c r="R7" s="23" t="s">
        <v>38</v>
      </c>
      <c r="S7" s="23" t="s">
        <v>35</v>
      </c>
      <c r="T7" s="23" t="s">
        <v>36</v>
      </c>
      <c r="U7" s="77"/>
      <c r="V7" s="77"/>
      <c r="W7" s="77"/>
      <c r="X7" s="77"/>
      <c r="Y7" s="77"/>
      <c r="Z7" s="77"/>
      <c r="AA7" s="77"/>
      <c r="AB7" s="77"/>
      <c r="AC7" s="77"/>
      <c r="AD7" s="77"/>
      <c r="AE7" s="49" t="s">
        <v>151</v>
      </c>
      <c r="AF7" s="49" t="s">
        <v>152</v>
      </c>
      <c r="AG7" s="49" t="s">
        <v>153</v>
      </c>
      <c r="AH7" s="49" t="s">
        <v>154</v>
      </c>
      <c r="AI7" s="49" t="s">
        <v>155</v>
      </c>
      <c r="AJ7" s="77"/>
      <c r="AK7" s="77"/>
      <c r="AL7" s="71"/>
      <c r="AM7" s="88"/>
    </row>
    <row r="8" spans="2:46" s="19" customFormat="1" x14ac:dyDescent="0.2">
      <c r="B8" s="51">
        <v>43771</v>
      </c>
      <c r="C8" s="36">
        <v>0.39166666666666666</v>
      </c>
      <c r="D8" s="36"/>
      <c r="E8" s="36" t="s">
        <v>105</v>
      </c>
      <c r="F8" s="38">
        <v>2</v>
      </c>
      <c r="G8" s="43" t="str">
        <f>VLOOKUP(F8,Key!$A$17:$B$21,2,FALSE)</f>
        <v>Road Vehicle</v>
      </c>
      <c r="H8" s="37">
        <v>9</v>
      </c>
      <c r="I8" s="44" t="str">
        <f>VLOOKUP(H8,Key!$A$2:$B$13,2,FALSE)</f>
        <v xml:space="preserve">Heavy truck </v>
      </c>
      <c r="J8" s="38" t="s">
        <v>117</v>
      </c>
      <c r="K8" s="38">
        <v>2</v>
      </c>
      <c r="L8" s="45" t="str">
        <f>VLOOKUP(K8,Key!$A$24:$B$29,2,FALSE)</f>
        <v>30-39</v>
      </c>
      <c r="M8" s="60" t="s">
        <v>181</v>
      </c>
      <c r="N8" s="33" t="s">
        <v>163</v>
      </c>
      <c r="O8" s="38" t="s">
        <v>164</v>
      </c>
      <c r="P8" s="40">
        <v>2</v>
      </c>
      <c r="Q8" s="35" t="str">
        <f>VLOOKUP(P8,Key!$E$2:$F$9,2,FALSE)</f>
        <v>Work</v>
      </c>
      <c r="R8" s="38" t="s">
        <v>165</v>
      </c>
      <c r="S8" s="33" t="s">
        <v>166</v>
      </c>
      <c r="T8" s="38" t="s">
        <v>164</v>
      </c>
      <c r="U8" s="33">
        <v>2</v>
      </c>
      <c r="V8" s="35" t="str">
        <f>VLOOKUP(U8,Key!$E$2:$F$9,2,FALSE)</f>
        <v>Work</v>
      </c>
      <c r="W8" s="35" t="str">
        <f t="shared" ref="W8:W39" si="0">Q8&amp;"-"&amp;V8</f>
        <v>Work-Work</v>
      </c>
      <c r="X8" s="47">
        <v>200000</v>
      </c>
      <c r="Y8" s="39">
        <v>200</v>
      </c>
      <c r="Z8" s="39">
        <v>3.5</v>
      </c>
      <c r="AA8" s="33">
        <v>6</v>
      </c>
      <c r="AB8" s="35" t="str">
        <f>VLOOKUP(AA8,Key!$C$20:$D$29,2,FALSE)</f>
        <v>Businessman</v>
      </c>
      <c r="AC8" s="33">
        <v>4</v>
      </c>
      <c r="AD8" s="35" t="str">
        <f>VLOOKUP(AC8,Key!$E$20:$F$24,2,FALSE)</f>
        <v>750,000-1,000,000</v>
      </c>
      <c r="AE8" s="33">
        <v>3</v>
      </c>
      <c r="AF8" s="39">
        <v>4</v>
      </c>
      <c r="AG8" s="39">
        <v>5</v>
      </c>
      <c r="AH8" s="39">
        <v>1</v>
      </c>
      <c r="AI8" s="39">
        <v>2</v>
      </c>
      <c r="AJ8" s="40" t="s">
        <v>100</v>
      </c>
      <c r="AK8" s="41">
        <v>3000</v>
      </c>
      <c r="AL8" s="25"/>
      <c r="AM8" s="25"/>
    </row>
    <row r="9" spans="2:46" x14ac:dyDescent="0.2">
      <c r="B9" s="51">
        <v>43771</v>
      </c>
      <c r="C9" s="36">
        <v>0.39444444444444443</v>
      </c>
      <c r="D9" s="36"/>
      <c r="E9" s="36" t="s">
        <v>105</v>
      </c>
      <c r="F9" s="38">
        <v>2</v>
      </c>
      <c r="G9" s="43" t="str">
        <f>VLOOKUP(F9,Key!$A$17:$B$21,2,FALSE)</f>
        <v>Road Vehicle</v>
      </c>
      <c r="H9" s="37">
        <v>9</v>
      </c>
      <c r="I9" s="44" t="str">
        <f>VLOOKUP(H9,Key!$A$2:$B$13,2,FALSE)</f>
        <v xml:space="preserve">Heavy truck </v>
      </c>
      <c r="J9" s="38" t="s">
        <v>117</v>
      </c>
      <c r="K9" s="38">
        <v>2</v>
      </c>
      <c r="L9" s="45" t="str">
        <f>VLOOKUP(K9,Key!$A$24:$B$29,2,FALSE)</f>
        <v>30-39</v>
      </c>
      <c r="M9" s="60" t="s">
        <v>163</v>
      </c>
      <c r="N9" s="33" t="s">
        <v>163</v>
      </c>
      <c r="O9" s="38" t="s">
        <v>164</v>
      </c>
      <c r="P9" s="40">
        <v>1</v>
      </c>
      <c r="Q9" s="35" t="str">
        <f>VLOOKUP(P9,Key!$E$2:$F$9,2,FALSE)</f>
        <v>Home</v>
      </c>
      <c r="R9" s="38" t="s">
        <v>159</v>
      </c>
      <c r="S9" s="33" t="s">
        <v>159</v>
      </c>
      <c r="T9" s="38" t="s">
        <v>164</v>
      </c>
      <c r="U9" s="33">
        <v>2</v>
      </c>
      <c r="V9" s="35" t="str">
        <f>VLOOKUP(U9,Key!$E$2:$F$9,2,FALSE)</f>
        <v>Work</v>
      </c>
      <c r="W9" s="35" t="str">
        <f t="shared" si="0"/>
        <v>Home-Work</v>
      </c>
      <c r="X9" s="33">
        <v>300000</v>
      </c>
      <c r="Y9" s="39">
        <v>500</v>
      </c>
      <c r="Z9" s="39">
        <v>8</v>
      </c>
      <c r="AA9" s="33">
        <v>5</v>
      </c>
      <c r="AB9" s="35" t="str">
        <f>VLOOKUP(AA9,Key!$C$20:$D$29,2,FALSE)</f>
        <v>Professional</v>
      </c>
      <c r="AC9" s="33">
        <v>3</v>
      </c>
      <c r="AD9" s="35" t="str">
        <f>VLOOKUP(AC9,Key!$E$20:$F$24,2,FALSE)</f>
        <v>500,000-750,000</v>
      </c>
      <c r="AE9" s="33">
        <v>4</v>
      </c>
      <c r="AF9" s="39">
        <v>3</v>
      </c>
      <c r="AG9" s="39">
        <v>1</v>
      </c>
      <c r="AH9" s="39">
        <v>2</v>
      </c>
      <c r="AI9" s="39">
        <v>5</v>
      </c>
      <c r="AJ9" s="40" t="s">
        <v>100</v>
      </c>
      <c r="AK9" s="41">
        <v>5000</v>
      </c>
      <c r="AL9" s="25"/>
      <c r="AM9" s="25"/>
    </row>
    <row r="10" spans="2:46" x14ac:dyDescent="0.2">
      <c r="B10" s="51">
        <v>43771</v>
      </c>
      <c r="C10" s="36">
        <v>0.53263888888888888</v>
      </c>
      <c r="D10" s="36"/>
      <c r="E10" s="36" t="s">
        <v>105</v>
      </c>
      <c r="F10" s="38">
        <v>2</v>
      </c>
      <c r="G10" s="43" t="str">
        <f>VLOOKUP(F10,Key!$A$17:$B$21,2,FALSE)</f>
        <v>Road Vehicle</v>
      </c>
      <c r="H10" s="37">
        <v>9</v>
      </c>
      <c r="I10" s="44" t="str">
        <f>VLOOKUP(H10,Key!$A$2:$B$13,2,FALSE)</f>
        <v xml:space="preserve">Heavy truck </v>
      </c>
      <c r="J10" s="38" t="s">
        <v>117</v>
      </c>
      <c r="K10" s="38">
        <v>2</v>
      </c>
      <c r="L10" s="45" t="str">
        <f>VLOOKUP(K10,Key!$A$24:$B$29,2,FALSE)</f>
        <v>30-39</v>
      </c>
      <c r="M10" s="60" t="s">
        <v>163</v>
      </c>
      <c r="N10" s="33" t="s">
        <v>163</v>
      </c>
      <c r="O10" s="38" t="s">
        <v>164</v>
      </c>
      <c r="P10" s="40">
        <v>1</v>
      </c>
      <c r="Q10" s="35" t="str">
        <f>VLOOKUP(P10,Key!$E$2:$F$9,2,FALSE)</f>
        <v>Home</v>
      </c>
      <c r="R10" s="38" t="s">
        <v>212</v>
      </c>
      <c r="S10" s="33" t="s">
        <v>212</v>
      </c>
      <c r="T10" s="38" t="s">
        <v>164</v>
      </c>
      <c r="U10" s="33">
        <v>2</v>
      </c>
      <c r="V10" s="35" t="str">
        <f>VLOOKUP(U10,Key!$E$2:$F$9,2,FALSE)</f>
        <v>Work</v>
      </c>
      <c r="W10" s="35" t="str">
        <f t="shared" si="0"/>
        <v>Home-Work</v>
      </c>
      <c r="X10" s="33">
        <v>65000</v>
      </c>
      <c r="Y10" s="39">
        <v>94</v>
      </c>
      <c r="Z10" s="39">
        <v>3</v>
      </c>
      <c r="AA10" s="33">
        <v>5</v>
      </c>
      <c r="AB10" s="35" t="str">
        <f>VLOOKUP(AA10,Key!$C$20:$D$29,2,FALSE)</f>
        <v>Professional</v>
      </c>
      <c r="AC10" s="33">
        <v>3</v>
      </c>
      <c r="AD10" s="35" t="str">
        <f>VLOOKUP(AC10,Key!$E$20:$F$24,2,FALSE)</f>
        <v>500,000-750,000</v>
      </c>
      <c r="AE10" s="33">
        <v>3</v>
      </c>
      <c r="AF10" s="39">
        <v>2</v>
      </c>
      <c r="AG10" s="39">
        <v>1</v>
      </c>
      <c r="AH10" s="39">
        <v>4</v>
      </c>
      <c r="AI10" s="39">
        <v>5</v>
      </c>
      <c r="AJ10" s="40" t="s">
        <v>100</v>
      </c>
      <c r="AK10" s="41">
        <v>5000</v>
      </c>
      <c r="AL10" s="25"/>
      <c r="AM10" s="25"/>
    </row>
    <row r="11" spans="2:46" ht="15.75" customHeight="1" x14ac:dyDescent="0.2">
      <c r="B11" s="51">
        <v>43771</v>
      </c>
      <c r="C11" s="36">
        <v>0.64930555555555558</v>
      </c>
      <c r="D11" s="36"/>
      <c r="E11" s="36" t="s">
        <v>105</v>
      </c>
      <c r="F11" s="38">
        <v>2</v>
      </c>
      <c r="G11" s="43" t="str">
        <f>VLOOKUP(F11,Key!$A$17:$B$21,2,FALSE)</f>
        <v>Road Vehicle</v>
      </c>
      <c r="H11" s="37">
        <v>9</v>
      </c>
      <c r="I11" s="44" t="str">
        <f>VLOOKUP(H11,Key!$A$2:$B$13,2,FALSE)</f>
        <v xml:space="preserve">Heavy truck </v>
      </c>
      <c r="J11" s="38" t="s">
        <v>117</v>
      </c>
      <c r="K11" s="38">
        <v>3</v>
      </c>
      <c r="L11" s="45" t="str">
        <f>VLOOKUP(K11,Key!$A$24:$B$29,2,FALSE)</f>
        <v>40-49</v>
      </c>
      <c r="M11" s="60" t="s">
        <v>181</v>
      </c>
      <c r="N11" s="33" t="s">
        <v>163</v>
      </c>
      <c r="O11" s="38" t="s">
        <v>164</v>
      </c>
      <c r="P11" s="40">
        <v>2</v>
      </c>
      <c r="Q11" s="35" t="str">
        <f>VLOOKUP(P11,Key!$E$2:$F$9,2,FALSE)</f>
        <v>Work</v>
      </c>
      <c r="R11" s="38" t="s">
        <v>165</v>
      </c>
      <c r="S11" s="33" t="s">
        <v>173</v>
      </c>
      <c r="T11" s="38" t="s">
        <v>164</v>
      </c>
      <c r="U11" s="33">
        <v>2</v>
      </c>
      <c r="V11" s="35" t="str">
        <f>VLOOKUP(U11,Key!$E$2:$F$9,2,FALSE)</f>
        <v>Work</v>
      </c>
      <c r="W11" s="35" t="str">
        <f t="shared" si="0"/>
        <v>Work-Work</v>
      </c>
      <c r="X11" s="47">
        <v>80000</v>
      </c>
      <c r="Y11" s="39"/>
      <c r="Z11" s="39"/>
      <c r="AA11" s="33">
        <v>6</v>
      </c>
      <c r="AB11" s="35" t="str">
        <f>VLOOKUP(AA11,Key!$C$20:$D$29,2,FALSE)</f>
        <v>Businessman</v>
      </c>
      <c r="AC11" s="33">
        <v>4</v>
      </c>
      <c r="AD11" s="35" t="str">
        <f>VLOOKUP(AC11,Key!$E$20:$F$24,2,FALSE)</f>
        <v>750,000-1,000,000</v>
      </c>
      <c r="AE11" s="33">
        <v>1</v>
      </c>
      <c r="AF11" s="39">
        <v>4</v>
      </c>
      <c r="AG11" s="39">
        <v>5</v>
      </c>
      <c r="AH11" s="39">
        <v>2</v>
      </c>
      <c r="AI11" s="39">
        <v>3</v>
      </c>
      <c r="AJ11" s="40" t="s">
        <v>100</v>
      </c>
      <c r="AK11" s="41">
        <v>4000</v>
      </c>
      <c r="AL11" s="25"/>
      <c r="AM11" s="25"/>
    </row>
    <row r="12" spans="2:46" x14ac:dyDescent="0.2">
      <c r="B12" s="51">
        <v>43771</v>
      </c>
      <c r="C12" s="36">
        <v>0.40208333333333335</v>
      </c>
      <c r="D12" s="36"/>
      <c r="E12" s="36" t="s">
        <v>105</v>
      </c>
      <c r="F12" s="38">
        <v>2</v>
      </c>
      <c r="G12" s="43" t="str">
        <f>VLOOKUP(F12,Key!$A$17:$B$21,2,FALSE)</f>
        <v>Road Vehicle</v>
      </c>
      <c r="H12" s="37">
        <v>9</v>
      </c>
      <c r="I12" s="44" t="str">
        <f>VLOOKUP(H12,Key!$A$2:$B$13,2,FALSE)</f>
        <v xml:space="preserve">Heavy truck </v>
      </c>
      <c r="J12" s="38" t="s">
        <v>117</v>
      </c>
      <c r="K12" s="38">
        <v>3</v>
      </c>
      <c r="L12" s="45" t="str">
        <f>VLOOKUP(K12,Key!$A$24:$B$29,2,FALSE)</f>
        <v>40-49</v>
      </c>
      <c r="M12" s="60" t="s">
        <v>163</v>
      </c>
      <c r="N12" s="33" t="s">
        <v>163</v>
      </c>
      <c r="O12" s="38" t="s">
        <v>164</v>
      </c>
      <c r="P12" s="40">
        <v>1</v>
      </c>
      <c r="Q12" s="35" t="str">
        <f>VLOOKUP(P12,Key!$E$2:$F$9,2,FALSE)</f>
        <v>Home</v>
      </c>
      <c r="R12" s="38" t="s">
        <v>166</v>
      </c>
      <c r="S12" s="33" t="s">
        <v>166</v>
      </c>
      <c r="T12" s="38" t="s">
        <v>164</v>
      </c>
      <c r="U12" s="33">
        <v>3</v>
      </c>
      <c r="V12" s="35" t="str">
        <f>VLOOKUP(U12,Key!$E$2:$F$9,2,FALSE)</f>
        <v>Study</v>
      </c>
      <c r="W12" s="35" t="str">
        <f t="shared" si="0"/>
        <v>Home-Study</v>
      </c>
      <c r="X12" s="33">
        <v>200000</v>
      </c>
      <c r="Y12" s="39">
        <v>200</v>
      </c>
      <c r="Z12" s="39">
        <v>4</v>
      </c>
      <c r="AA12" s="33">
        <v>5</v>
      </c>
      <c r="AB12" s="35" t="str">
        <f>VLOOKUP(AA12,Key!$C$20:$D$29,2,FALSE)</f>
        <v>Professional</v>
      </c>
      <c r="AC12" s="33">
        <v>3</v>
      </c>
      <c r="AD12" s="35" t="str">
        <f>VLOOKUP(AC12,Key!$E$20:$F$24,2,FALSE)</f>
        <v>500,000-750,000</v>
      </c>
      <c r="AE12" s="33">
        <v>4</v>
      </c>
      <c r="AF12" s="39">
        <v>3</v>
      </c>
      <c r="AG12" s="39">
        <v>2</v>
      </c>
      <c r="AH12" s="39">
        <v>1</v>
      </c>
      <c r="AI12" s="39">
        <v>5</v>
      </c>
      <c r="AJ12" s="40" t="s">
        <v>100</v>
      </c>
      <c r="AK12" s="41">
        <v>200</v>
      </c>
      <c r="AL12" s="25"/>
      <c r="AM12" s="25"/>
    </row>
    <row r="13" spans="2:46" x14ac:dyDescent="0.2">
      <c r="B13" s="51">
        <v>43771</v>
      </c>
      <c r="C13" s="36">
        <v>0.44027777777777777</v>
      </c>
      <c r="D13" s="36"/>
      <c r="E13" s="36" t="s">
        <v>105</v>
      </c>
      <c r="F13" s="38">
        <v>2</v>
      </c>
      <c r="G13" s="43" t="str">
        <f>VLOOKUP(F13,Key!$A$17:$B$21,2,FALSE)</f>
        <v>Road Vehicle</v>
      </c>
      <c r="H13" s="37">
        <v>9</v>
      </c>
      <c r="I13" s="44" t="str">
        <f>VLOOKUP(H13,Key!$A$2:$B$13,2,FALSE)</f>
        <v xml:space="preserve">Heavy truck </v>
      </c>
      <c r="J13" s="38" t="s">
        <v>117</v>
      </c>
      <c r="K13" s="38">
        <v>3</v>
      </c>
      <c r="L13" s="45" t="str">
        <f>VLOOKUP(K13,Key!$A$24:$B$29,2,FALSE)</f>
        <v>40-49</v>
      </c>
      <c r="M13" s="60" t="s">
        <v>163</v>
      </c>
      <c r="N13" s="33" t="s">
        <v>163</v>
      </c>
      <c r="O13" s="38" t="s">
        <v>164</v>
      </c>
      <c r="P13" s="40">
        <v>2</v>
      </c>
      <c r="Q13" s="35" t="str">
        <f>VLOOKUP(P13,Key!$E$2:$F$9,2,FALSE)</f>
        <v>Work</v>
      </c>
      <c r="R13" s="38" t="s">
        <v>170</v>
      </c>
      <c r="S13" s="33" t="s">
        <v>170</v>
      </c>
      <c r="T13" s="38" t="s">
        <v>164</v>
      </c>
      <c r="U13" s="33">
        <v>1</v>
      </c>
      <c r="V13" s="35" t="str">
        <f>VLOOKUP(U13,Key!$E$2:$F$9,2,FALSE)</f>
        <v>Home</v>
      </c>
      <c r="W13" s="35" t="str">
        <f t="shared" si="0"/>
        <v>Work-Home</v>
      </c>
      <c r="X13" s="33">
        <v>100000</v>
      </c>
      <c r="Y13" s="39">
        <v>127</v>
      </c>
      <c r="Z13" s="39">
        <v>3</v>
      </c>
      <c r="AA13" s="33">
        <v>5</v>
      </c>
      <c r="AB13" s="35" t="str">
        <f>VLOOKUP(AA13,Key!$C$20:$D$29,2,FALSE)</f>
        <v>Professional</v>
      </c>
      <c r="AC13" s="33">
        <v>4</v>
      </c>
      <c r="AD13" s="35" t="str">
        <f>VLOOKUP(AC13,Key!$E$20:$F$24,2,FALSE)</f>
        <v>750,000-1,000,000</v>
      </c>
      <c r="AE13" s="33">
        <v>3</v>
      </c>
      <c r="AF13" s="39">
        <v>5</v>
      </c>
      <c r="AG13" s="39">
        <v>1</v>
      </c>
      <c r="AH13" s="39">
        <v>2</v>
      </c>
      <c r="AI13" s="39">
        <v>3</v>
      </c>
      <c r="AJ13" s="40" t="s">
        <v>100</v>
      </c>
      <c r="AK13" s="41">
        <v>3000</v>
      </c>
      <c r="AL13" s="25"/>
      <c r="AM13" s="25"/>
    </row>
    <row r="14" spans="2:46" x14ac:dyDescent="0.2">
      <c r="B14" s="51">
        <v>43771</v>
      </c>
      <c r="C14" s="36">
        <v>0.53819444444444442</v>
      </c>
      <c r="D14" s="36"/>
      <c r="E14" s="36" t="s">
        <v>105</v>
      </c>
      <c r="F14" s="38">
        <v>2</v>
      </c>
      <c r="G14" s="43" t="str">
        <f>VLOOKUP(F14,Key!$A$17:$B$21,2,FALSE)</f>
        <v>Road Vehicle</v>
      </c>
      <c r="H14" s="37">
        <v>9</v>
      </c>
      <c r="I14" s="44" t="str">
        <f>VLOOKUP(H14,Key!$A$2:$B$13,2,FALSE)</f>
        <v xml:space="preserve">Heavy truck </v>
      </c>
      <c r="J14" s="38" t="s">
        <v>117</v>
      </c>
      <c r="K14" s="38">
        <v>3</v>
      </c>
      <c r="L14" s="45" t="str">
        <f>VLOOKUP(K14,Key!$A$24:$B$29,2,FALSE)</f>
        <v>40-49</v>
      </c>
      <c r="M14" s="60" t="s">
        <v>163</v>
      </c>
      <c r="N14" s="33" t="s">
        <v>163</v>
      </c>
      <c r="O14" s="38" t="s">
        <v>164</v>
      </c>
      <c r="P14" s="40">
        <v>1</v>
      </c>
      <c r="Q14" s="35" t="str">
        <f>VLOOKUP(P14,Key!$E$2:$F$9,2,FALSE)</f>
        <v>Home</v>
      </c>
      <c r="R14" s="38" t="s">
        <v>210</v>
      </c>
      <c r="S14" s="33" t="s">
        <v>211</v>
      </c>
      <c r="T14" s="38" t="s">
        <v>164</v>
      </c>
      <c r="U14" s="33">
        <v>2</v>
      </c>
      <c r="V14" s="35" t="str">
        <f>VLOOKUP(U14,Key!$E$2:$F$9,2,FALSE)</f>
        <v>Work</v>
      </c>
      <c r="W14" s="35" t="str">
        <f t="shared" si="0"/>
        <v>Home-Work</v>
      </c>
      <c r="X14" s="33">
        <v>100000</v>
      </c>
      <c r="Y14" s="39">
        <v>62</v>
      </c>
      <c r="Z14" s="39">
        <v>2</v>
      </c>
      <c r="AA14" s="33">
        <v>5</v>
      </c>
      <c r="AB14" s="35" t="str">
        <f>VLOOKUP(AA14,Key!$C$20:$D$29,2,FALSE)</f>
        <v>Professional</v>
      </c>
      <c r="AC14" s="33">
        <v>3</v>
      </c>
      <c r="AD14" s="35" t="str">
        <f>VLOOKUP(AC14,Key!$E$20:$F$24,2,FALSE)</f>
        <v>500,000-750,000</v>
      </c>
      <c r="AE14" s="33">
        <v>5</v>
      </c>
      <c r="AF14" s="39">
        <v>2</v>
      </c>
      <c r="AG14" s="39">
        <v>1</v>
      </c>
      <c r="AH14" s="39">
        <v>3</v>
      </c>
      <c r="AI14" s="39">
        <v>4</v>
      </c>
      <c r="AJ14" s="40" t="s">
        <v>100</v>
      </c>
      <c r="AK14" s="41"/>
      <c r="AL14" s="25"/>
      <c r="AM14" s="25"/>
    </row>
    <row r="15" spans="2:46" x14ac:dyDescent="0.2">
      <c r="B15" s="51">
        <v>43771</v>
      </c>
      <c r="C15" s="36">
        <v>0.44375000000000003</v>
      </c>
      <c r="D15" s="36"/>
      <c r="E15" s="36" t="s">
        <v>105</v>
      </c>
      <c r="F15" s="38">
        <v>2</v>
      </c>
      <c r="G15" s="43" t="str">
        <f>VLOOKUP(F15,Key!$A$17:$B$21,2,FALSE)</f>
        <v>Road Vehicle</v>
      </c>
      <c r="H15" s="37">
        <v>9</v>
      </c>
      <c r="I15" s="44" t="str">
        <f>VLOOKUP(H15,Key!$A$2:$B$13,2,FALSE)</f>
        <v xml:space="preserve">Heavy truck </v>
      </c>
      <c r="J15" s="38" t="s">
        <v>117</v>
      </c>
      <c r="K15" s="38">
        <v>4</v>
      </c>
      <c r="L15" s="45" t="str">
        <f>VLOOKUP(K15,Key!$A$24:$B$29,2,FALSE)</f>
        <v>50-59</v>
      </c>
      <c r="M15" s="60" t="s">
        <v>181</v>
      </c>
      <c r="N15" s="33" t="s">
        <v>163</v>
      </c>
      <c r="O15" s="38" t="s">
        <v>164</v>
      </c>
      <c r="P15" s="40">
        <v>2</v>
      </c>
      <c r="Q15" s="35" t="str">
        <f>VLOOKUP(P15,Key!$E$2:$F$9,2,FALSE)</f>
        <v>Work</v>
      </c>
      <c r="R15" s="38" t="s">
        <v>165</v>
      </c>
      <c r="S15" s="33" t="s">
        <v>163</v>
      </c>
      <c r="T15" s="38" t="s">
        <v>164</v>
      </c>
      <c r="U15" s="33">
        <v>2</v>
      </c>
      <c r="V15" s="35" t="str">
        <f>VLOOKUP(U15,Key!$E$2:$F$9,2,FALSE)</f>
        <v>Work</v>
      </c>
      <c r="W15" s="35" t="str">
        <f t="shared" si="0"/>
        <v>Work-Work</v>
      </c>
      <c r="X15" s="47">
        <v>280000</v>
      </c>
      <c r="Y15" s="39">
        <v>244</v>
      </c>
      <c r="Z15" s="39">
        <v>5</v>
      </c>
      <c r="AA15" s="33">
        <v>7</v>
      </c>
      <c r="AB15" s="35" t="str">
        <f>VLOOKUP(AA15,Key!$C$20:$D$29,2,FALSE)</f>
        <v>Farmer</v>
      </c>
      <c r="AC15" s="33">
        <v>4</v>
      </c>
      <c r="AD15" s="35" t="str">
        <f>VLOOKUP(AC15,Key!$E$20:$F$24,2,FALSE)</f>
        <v>750,000-1,000,000</v>
      </c>
      <c r="AE15" s="33">
        <v>8</v>
      </c>
      <c r="AF15" s="39">
        <v>3</v>
      </c>
      <c r="AG15" s="39">
        <v>1</v>
      </c>
      <c r="AH15" s="39">
        <v>2</v>
      </c>
      <c r="AI15" s="39">
        <v>4</v>
      </c>
      <c r="AJ15" s="40" t="s">
        <v>100</v>
      </c>
      <c r="AK15" s="41">
        <v>2000</v>
      </c>
      <c r="AL15" s="25"/>
      <c r="AM15" s="25"/>
    </row>
    <row r="16" spans="2:46" x14ac:dyDescent="0.2">
      <c r="B16" s="51">
        <v>43771</v>
      </c>
      <c r="C16" s="36">
        <v>0.61249999999999993</v>
      </c>
      <c r="D16" s="36"/>
      <c r="E16" s="36" t="s">
        <v>105</v>
      </c>
      <c r="F16" s="38">
        <v>2</v>
      </c>
      <c r="G16" s="43" t="str">
        <f>VLOOKUP(F16,Key!$A$17:$B$21,2,FALSE)</f>
        <v>Road Vehicle</v>
      </c>
      <c r="H16" s="37">
        <v>9</v>
      </c>
      <c r="I16" s="44" t="str">
        <f>VLOOKUP(H16,Key!$A$2:$B$13,2,FALSE)</f>
        <v xml:space="preserve">Heavy truck </v>
      </c>
      <c r="J16" s="38" t="s">
        <v>117</v>
      </c>
      <c r="K16" s="38">
        <v>4</v>
      </c>
      <c r="L16" s="45" t="str">
        <f>VLOOKUP(K16,Key!$A$24:$B$29,2,FALSE)</f>
        <v>50-59</v>
      </c>
      <c r="M16" s="60" t="s">
        <v>163</v>
      </c>
      <c r="N16" s="33" t="s">
        <v>163</v>
      </c>
      <c r="O16" s="38" t="s">
        <v>164</v>
      </c>
      <c r="P16" s="40">
        <v>1</v>
      </c>
      <c r="Q16" s="35" t="str">
        <f>VLOOKUP(P16,Key!$E$2:$F$9,2,FALSE)</f>
        <v>Home</v>
      </c>
      <c r="R16" s="38" t="s">
        <v>170</v>
      </c>
      <c r="S16" s="33" t="s">
        <v>170</v>
      </c>
      <c r="T16" s="38" t="s">
        <v>164</v>
      </c>
      <c r="U16" s="33">
        <v>2</v>
      </c>
      <c r="V16" s="35" t="str">
        <f>VLOOKUP(U16,Key!$E$2:$F$9,2,FALSE)</f>
        <v>Work</v>
      </c>
      <c r="W16" s="35" t="str">
        <f t="shared" si="0"/>
        <v>Home-Work</v>
      </c>
      <c r="X16" s="33">
        <v>130000</v>
      </c>
      <c r="Y16" s="39">
        <v>140</v>
      </c>
      <c r="Z16" s="39">
        <v>3</v>
      </c>
      <c r="AA16" s="33">
        <v>5</v>
      </c>
      <c r="AB16" s="35" t="str">
        <f>VLOOKUP(AA16,Key!$C$20:$D$29,2,FALSE)</f>
        <v>Professional</v>
      </c>
      <c r="AC16" s="33">
        <v>4</v>
      </c>
      <c r="AD16" s="35" t="str">
        <f>VLOOKUP(AC16,Key!$E$20:$F$24,2,FALSE)</f>
        <v>750,000-1,000,000</v>
      </c>
      <c r="AE16" s="33">
        <v>5</v>
      </c>
      <c r="AF16" s="39">
        <v>1</v>
      </c>
      <c r="AG16" s="39">
        <v>2</v>
      </c>
      <c r="AH16" s="39">
        <v>3</v>
      </c>
      <c r="AI16" s="39">
        <v>4</v>
      </c>
      <c r="AJ16" s="40" t="s">
        <v>100</v>
      </c>
      <c r="AK16" s="41">
        <v>5000</v>
      </c>
      <c r="AL16" s="25"/>
      <c r="AM16" s="25"/>
    </row>
    <row r="17" spans="2:39" x14ac:dyDescent="0.2">
      <c r="B17" s="51">
        <v>43771</v>
      </c>
      <c r="C17" s="36">
        <v>0.45416666666666666</v>
      </c>
      <c r="D17" s="36"/>
      <c r="E17" s="36" t="s">
        <v>105</v>
      </c>
      <c r="F17" s="38">
        <v>2</v>
      </c>
      <c r="G17" s="43" t="str">
        <f>VLOOKUP(F17,Key!$A$17:$B$21,2,FALSE)</f>
        <v>Road Vehicle</v>
      </c>
      <c r="H17" s="37">
        <v>9</v>
      </c>
      <c r="I17" s="44" t="str">
        <f>VLOOKUP(H17,Key!$A$2:$B$13,2,FALSE)</f>
        <v xml:space="preserve">Heavy truck </v>
      </c>
      <c r="J17" s="38" t="s">
        <v>117</v>
      </c>
      <c r="K17" s="38">
        <v>4</v>
      </c>
      <c r="L17" s="45" t="str">
        <f>VLOOKUP(K17,Key!$A$24:$B$29,2,FALSE)</f>
        <v>50-59</v>
      </c>
      <c r="M17" s="60" t="s">
        <v>163</v>
      </c>
      <c r="N17" s="33" t="s">
        <v>163</v>
      </c>
      <c r="O17" s="38" t="s">
        <v>164</v>
      </c>
      <c r="P17" s="40">
        <v>1</v>
      </c>
      <c r="Q17" s="35" t="str">
        <f>VLOOKUP(P17,Key!$E$2:$F$9,2,FALSE)</f>
        <v>Home</v>
      </c>
      <c r="R17" s="38" t="s">
        <v>175</v>
      </c>
      <c r="S17" s="33" t="s">
        <v>175</v>
      </c>
      <c r="T17" s="38" t="s">
        <v>164</v>
      </c>
      <c r="U17" s="33">
        <v>2</v>
      </c>
      <c r="V17" s="35" t="str">
        <f>VLOOKUP(U17,Key!$E$2:$F$9,2,FALSE)</f>
        <v>Work</v>
      </c>
      <c r="W17" s="35" t="str">
        <f t="shared" si="0"/>
        <v>Home-Work</v>
      </c>
      <c r="X17" s="33">
        <v>280000</v>
      </c>
      <c r="Y17" s="39">
        <v>335</v>
      </c>
      <c r="Z17" s="39">
        <v>6</v>
      </c>
      <c r="AA17" s="33">
        <v>5</v>
      </c>
      <c r="AB17" s="35" t="str">
        <f>VLOOKUP(AA17,Key!$C$20:$D$29,2,FALSE)</f>
        <v>Professional</v>
      </c>
      <c r="AC17" s="33">
        <v>3</v>
      </c>
      <c r="AD17" s="35" t="str">
        <f>VLOOKUP(AC17,Key!$E$20:$F$24,2,FALSE)</f>
        <v>500,000-750,000</v>
      </c>
      <c r="AE17" s="33">
        <v>3</v>
      </c>
      <c r="AF17" s="39">
        <v>1</v>
      </c>
      <c r="AG17" s="39">
        <v>2</v>
      </c>
      <c r="AH17" s="39">
        <v>5</v>
      </c>
      <c r="AI17" s="39">
        <v>4</v>
      </c>
      <c r="AJ17" s="40" t="s">
        <v>100</v>
      </c>
      <c r="AK17" s="41">
        <v>5000</v>
      </c>
      <c r="AL17" s="25"/>
      <c r="AM17" s="25"/>
    </row>
    <row r="18" spans="2:39" x14ac:dyDescent="0.2">
      <c r="B18" s="51">
        <v>43771</v>
      </c>
      <c r="C18" s="36">
        <v>0.65763888888888888</v>
      </c>
      <c r="D18" s="36"/>
      <c r="E18" s="36" t="s">
        <v>105</v>
      </c>
      <c r="F18" s="38">
        <v>2</v>
      </c>
      <c r="G18" s="43" t="str">
        <f>VLOOKUP(F18,Key!$A$17:$B$21,2,FALSE)</f>
        <v>Road Vehicle</v>
      </c>
      <c r="H18" s="37">
        <v>9</v>
      </c>
      <c r="I18" s="44" t="str">
        <f>VLOOKUP(H18,Key!$A$2:$B$13,2,FALSE)</f>
        <v xml:space="preserve">Heavy truck </v>
      </c>
      <c r="J18" s="38" t="s">
        <v>117</v>
      </c>
      <c r="K18" s="38">
        <v>4</v>
      </c>
      <c r="L18" s="45" t="str">
        <f>VLOOKUP(K18,Key!$A$24:$B$29,2,FALSE)</f>
        <v>50-59</v>
      </c>
      <c r="M18" s="60" t="s">
        <v>163</v>
      </c>
      <c r="N18" s="33" t="s">
        <v>163</v>
      </c>
      <c r="O18" s="38" t="s">
        <v>164</v>
      </c>
      <c r="P18" s="40">
        <v>1</v>
      </c>
      <c r="Q18" s="35" t="str">
        <f>VLOOKUP(P18,Key!$E$2:$F$9,2,FALSE)</f>
        <v>Home</v>
      </c>
      <c r="R18" s="38" t="s">
        <v>215</v>
      </c>
      <c r="S18" s="33" t="s">
        <v>215</v>
      </c>
      <c r="T18" s="38" t="s">
        <v>164</v>
      </c>
      <c r="U18" s="33">
        <v>2</v>
      </c>
      <c r="V18" s="35" t="str">
        <f>VLOOKUP(U18,Key!$E$2:$F$9,2,FALSE)</f>
        <v>Work</v>
      </c>
      <c r="W18" s="35" t="str">
        <f t="shared" si="0"/>
        <v>Home-Work</v>
      </c>
      <c r="X18" s="33">
        <v>70000</v>
      </c>
      <c r="Y18" s="39">
        <v>80</v>
      </c>
      <c r="Z18" s="39">
        <v>2.5</v>
      </c>
      <c r="AA18" s="33">
        <v>6</v>
      </c>
      <c r="AB18" s="35" t="str">
        <f>VLOOKUP(AA18,Key!$C$20:$D$29,2,FALSE)</f>
        <v>Businessman</v>
      </c>
      <c r="AC18" s="33">
        <v>2</v>
      </c>
      <c r="AD18" s="35" t="str">
        <f>VLOOKUP(AC18,Key!$E$20:$F$24,2,FALSE)</f>
        <v>300,000-500,000</v>
      </c>
      <c r="AE18" s="33">
        <v>5</v>
      </c>
      <c r="AF18" s="39">
        <v>1</v>
      </c>
      <c r="AG18" s="39">
        <v>2</v>
      </c>
      <c r="AH18" s="39">
        <v>3</v>
      </c>
      <c r="AI18" s="39">
        <v>4</v>
      </c>
      <c r="AJ18" s="40" t="s">
        <v>100</v>
      </c>
      <c r="AK18" s="41">
        <v>5000</v>
      </c>
      <c r="AL18" s="25"/>
      <c r="AM18" s="25"/>
    </row>
    <row r="19" spans="2:39" x14ac:dyDescent="0.2">
      <c r="B19" s="51">
        <v>43771</v>
      </c>
      <c r="C19" s="36">
        <v>0.62013888888888891</v>
      </c>
      <c r="D19" s="36"/>
      <c r="E19" s="36" t="s">
        <v>178</v>
      </c>
      <c r="F19" s="38">
        <v>2</v>
      </c>
      <c r="G19" s="43" t="str">
        <f>VLOOKUP(F19,Key!$A$17:$B$21,2,FALSE)</f>
        <v>Road Vehicle</v>
      </c>
      <c r="H19" s="37">
        <v>6</v>
      </c>
      <c r="I19" s="44" t="str">
        <f>VLOOKUP(H19,Key!$A$2:$B$13,2,FALSE)</f>
        <v>Large Bus</v>
      </c>
      <c r="J19" s="38" t="s">
        <v>191</v>
      </c>
      <c r="K19" s="38">
        <v>2</v>
      </c>
      <c r="L19" s="45" t="str">
        <f>VLOOKUP(K19,Key!$A$24:$B$29,2,FALSE)</f>
        <v>30-39</v>
      </c>
      <c r="M19" s="60" t="s">
        <v>166</v>
      </c>
      <c r="N19" s="33" t="s">
        <v>166</v>
      </c>
      <c r="O19" s="38" t="s">
        <v>164</v>
      </c>
      <c r="P19" s="40">
        <v>1</v>
      </c>
      <c r="Q19" s="35" t="str">
        <f>VLOOKUP(P19,Key!$E$2:$F$9,2,FALSE)</f>
        <v>Home</v>
      </c>
      <c r="R19" s="38" t="s">
        <v>165</v>
      </c>
      <c r="S19" s="33" t="s">
        <v>163</v>
      </c>
      <c r="T19" s="38" t="s">
        <v>164</v>
      </c>
      <c r="U19" s="33">
        <v>1</v>
      </c>
      <c r="V19" s="35" t="str">
        <f>VLOOKUP(U19,Key!$E$2:$F$9,2,FALSE)</f>
        <v>Home</v>
      </c>
      <c r="W19" s="35" t="str">
        <f t="shared" si="0"/>
        <v>Home-Home</v>
      </c>
      <c r="X19" s="47">
        <v>15000</v>
      </c>
      <c r="Y19" s="39">
        <v>201</v>
      </c>
      <c r="Z19" s="39">
        <v>4</v>
      </c>
      <c r="AA19" s="33">
        <v>7</v>
      </c>
      <c r="AB19" s="35" t="str">
        <f>VLOOKUP(AA19,Key!$C$20:$D$29,2,FALSE)</f>
        <v>Farmer</v>
      </c>
      <c r="AC19" s="33">
        <v>2</v>
      </c>
      <c r="AD19" s="35" t="str">
        <f>VLOOKUP(AC19,Key!$E$20:$F$24,2,FALSE)</f>
        <v>300,000-500,000</v>
      </c>
      <c r="AE19" s="33">
        <v>3</v>
      </c>
      <c r="AF19" s="39">
        <v>5</v>
      </c>
      <c r="AG19" s="39">
        <v>4</v>
      </c>
      <c r="AH19" s="39">
        <v>2</v>
      </c>
      <c r="AI19" s="39">
        <v>1</v>
      </c>
      <c r="AJ19" s="40" t="s">
        <v>100</v>
      </c>
      <c r="AK19" s="41">
        <v>1000</v>
      </c>
      <c r="AL19" s="25"/>
      <c r="AM19" s="25"/>
    </row>
    <row r="20" spans="2:39" x14ac:dyDescent="0.2">
      <c r="B20" s="51">
        <v>43771</v>
      </c>
      <c r="C20" s="36">
        <v>0.40833333333333338</v>
      </c>
      <c r="D20" s="36"/>
      <c r="E20" s="36" t="s">
        <v>178</v>
      </c>
      <c r="F20" s="38">
        <v>2</v>
      </c>
      <c r="G20" s="43" t="str">
        <f>VLOOKUP(F20,Key!$A$17:$B$21,2,FALSE)</f>
        <v>Road Vehicle</v>
      </c>
      <c r="H20" s="37">
        <v>6</v>
      </c>
      <c r="I20" s="44" t="str">
        <f>VLOOKUP(H20,Key!$A$2:$B$13,2,FALSE)</f>
        <v>Large Bus</v>
      </c>
      <c r="J20" s="38" t="s">
        <v>191</v>
      </c>
      <c r="K20" s="38">
        <v>2</v>
      </c>
      <c r="L20" s="45" t="str">
        <f>VLOOKUP(K20,Key!$A$24:$B$29,2,FALSE)</f>
        <v>30-39</v>
      </c>
      <c r="M20" s="60" t="s">
        <v>166</v>
      </c>
      <c r="N20" s="33" t="s">
        <v>166</v>
      </c>
      <c r="O20" s="38" t="s">
        <v>164</v>
      </c>
      <c r="P20" s="40">
        <v>1</v>
      </c>
      <c r="Q20" s="35" t="str">
        <f>VLOOKUP(P20,Key!$E$2:$F$9,2,FALSE)</f>
        <v>Home</v>
      </c>
      <c r="R20" s="38" t="s">
        <v>163</v>
      </c>
      <c r="S20" s="33" t="s">
        <v>163</v>
      </c>
      <c r="T20" s="38" t="s">
        <v>164</v>
      </c>
      <c r="U20" s="33">
        <v>2</v>
      </c>
      <c r="V20" s="35" t="str">
        <f>VLOOKUP(U20,Key!$E$2:$F$9,2,FALSE)</f>
        <v>Work</v>
      </c>
      <c r="W20" s="35" t="str">
        <f t="shared" si="0"/>
        <v>Home-Work</v>
      </c>
      <c r="X20" s="33">
        <v>15000</v>
      </c>
      <c r="Y20" s="39">
        <v>201</v>
      </c>
      <c r="Z20" s="39">
        <v>4.5</v>
      </c>
      <c r="AA20" s="33">
        <v>2</v>
      </c>
      <c r="AB20" s="35" t="str">
        <f>VLOOKUP(AA20,Key!$C$20:$D$29,2,FALSE)</f>
        <v>Manual Labour</v>
      </c>
      <c r="AC20" s="33">
        <v>1</v>
      </c>
      <c r="AD20" s="35" t="str">
        <f>VLOOKUP(AC20,Key!$E$20:$F$24,2,FALSE)</f>
        <v>&lt;300,000</v>
      </c>
      <c r="AE20" s="33">
        <v>3</v>
      </c>
      <c r="AF20" s="39">
        <v>2</v>
      </c>
      <c r="AG20" s="39">
        <v>1</v>
      </c>
      <c r="AH20" s="39">
        <v>5</v>
      </c>
      <c r="AI20" s="39">
        <v>4</v>
      </c>
      <c r="AJ20" s="40" t="s">
        <v>100</v>
      </c>
      <c r="AK20" s="41"/>
      <c r="AL20" s="25"/>
      <c r="AM20" s="25"/>
    </row>
    <row r="21" spans="2:39" x14ac:dyDescent="0.2">
      <c r="B21" s="51">
        <v>43771</v>
      </c>
      <c r="C21" s="36">
        <v>0.4236111111111111</v>
      </c>
      <c r="D21" s="36"/>
      <c r="E21" s="36" t="s">
        <v>105</v>
      </c>
      <c r="F21" s="38">
        <v>2</v>
      </c>
      <c r="G21" s="43" t="str">
        <f>VLOOKUP(F21,Key!$A$17:$B$21,2,FALSE)</f>
        <v>Road Vehicle</v>
      </c>
      <c r="H21" s="37">
        <v>6</v>
      </c>
      <c r="I21" s="44" t="str">
        <f>VLOOKUP(H21,Key!$A$2:$B$13,2,FALSE)</f>
        <v>Large Bus</v>
      </c>
      <c r="J21" s="38" t="s">
        <v>117</v>
      </c>
      <c r="K21" s="38">
        <v>2</v>
      </c>
      <c r="L21" s="45" t="str">
        <f>VLOOKUP(K21,Key!$A$24:$B$29,2,FALSE)</f>
        <v>30-39</v>
      </c>
      <c r="M21" s="60" t="s">
        <v>181</v>
      </c>
      <c r="N21" s="33" t="s">
        <v>163</v>
      </c>
      <c r="O21" s="38" t="s">
        <v>164</v>
      </c>
      <c r="P21" s="40">
        <v>2</v>
      </c>
      <c r="Q21" s="35" t="str">
        <f>VLOOKUP(P21,Key!$E$2:$F$9,2,FALSE)</f>
        <v>Work</v>
      </c>
      <c r="R21" s="38" t="s">
        <v>165</v>
      </c>
      <c r="S21" s="33" t="s">
        <v>163</v>
      </c>
      <c r="T21" s="38" t="s">
        <v>164</v>
      </c>
      <c r="U21" s="33">
        <v>2</v>
      </c>
      <c r="V21" s="35" t="str">
        <f>VLOOKUP(U21,Key!$E$2:$F$9,2,FALSE)</f>
        <v>Work</v>
      </c>
      <c r="W21" s="35" t="str">
        <f t="shared" si="0"/>
        <v>Work-Work</v>
      </c>
      <c r="X21" s="47">
        <v>100000</v>
      </c>
      <c r="Y21" s="39">
        <v>66</v>
      </c>
      <c r="Z21" s="39">
        <v>2</v>
      </c>
      <c r="AA21" s="33">
        <v>5</v>
      </c>
      <c r="AB21" s="35" t="str">
        <f>VLOOKUP(AA21,Key!$C$20:$D$29,2,FALSE)</f>
        <v>Professional</v>
      </c>
      <c r="AC21" s="33">
        <v>3</v>
      </c>
      <c r="AD21" s="35" t="str">
        <f>VLOOKUP(AC21,Key!$E$20:$F$24,2,FALSE)</f>
        <v>500,000-750,000</v>
      </c>
      <c r="AE21" s="33">
        <v>4</v>
      </c>
      <c r="AF21" s="39">
        <v>2</v>
      </c>
      <c r="AG21" s="39">
        <v>3</v>
      </c>
      <c r="AH21" s="39">
        <v>5</v>
      </c>
      <c r="AI21" s="39">
        <v>1</v>
      </c>
      <c r="AJ21" s="40" t="s">
        <v>100</v>
      </c>
      <c r="AK21" s="41">
        <v>3000</v>
      </c>
      <c r="AL21" s="25"/>
      <c r="AM21" s="25"/>
    </row>
    <row r="22" spans="2:39" x14ac:dyDescent="0.2">
      <c r="B22" s="51">
        <v>43771</v>
      </c>
      <c r="C22" s="36">
        <v>0.39652777777777781</v>
      </c>
      <c r="D22" s="36"/>
      <c r="E22" s="36" t="s">
        <v>178</v>
      </c>
      <c r="F22" s="38">
        <v>2</v>
      </c>
      <c r="G22" s="43" t="str">
        <f>VLOOKUP(F22,Key!$A$17:$B$21,2,FALSE)</f>
        <v>Road Vehicle</v>
      </c>
      <c r="H22" s="37">
        <v>6</v>
      </c>
      <c r="I22" s="44" t="str">
        <f>VLOOKUP(H22,Key!$A$2:$B$13,2,FALSE)</f>
        <v>Large Bus</v>
      </c>
      <c r="J22" s="38" t="s">
        <v>117</v>
      </c>
      <c r="K22" s="38">
        <v>2</v>
      </c>
      <c r="L22" s="45" t="str">
        <f>VLOOKUP(K22,Key!$A$24:$B$29,2,FALSE)</f>
        <v>30-39</v>
      </c>
      <c r="M22" s="60" t="s">
        <v>181</v>
      </c>
      <c r="N22" s="33" t="s">
        <v>163</v>
      </c>
      <c r="O22" s="38" t="s">
        <v>164</v>
      </c>
      <c r="P22" s="40">
        <v>1</v>
      </c>
      <c r="Q22" s="35" t="str">
        <f>VLOOKUP(P22,Key!$E$2:$F$9,2,FALSE)</f>
        <v>Home</v>
      </c>
      <c r="R22" s="38" t="s">
        <v>179</v>
      </c>
      <c r="S22" s="33" t="s">
        <v>166</v>
      </c>
      <c r="T22" s="38" t="s">
        <v>164</v>
      </c>
      <c r="U22" s="33">
        <v>2</v>
      </c>
      <c r="V22" s="35" t="str">
        <f>VLOOKUP(U22,Key!$E$2:$F$9,2,FALSE)</f>
        <v>Work</v>
      </c>
      <c r="W22" s="35" t="str">
        <f t="shared" si="0"/>
        <v>Home-Work</v>
      </c>
      <c r="X22" s="47">
        <v>15000</v>
      </c>
      <c r="Y22" s="39">
        <v>60</v>
      </c>
      <c r="Z22" s="39">
        <v>3</v>
      </c>
      <c r="AA22" s="33">
        <v>6</v>
      </c>
      <c r="AB22" s="35" t="str">
        <f>VLOOKUP(AA22,Key!$C$20:$D$29,2,FALSE)</f>
        <v>Businessman</v>
      </c>
      <c r="AC22" s="33">
        <v>3</v>
      </c>
      <c r="AD22" s="35" t="str">
        <f>VLOOKUP(AC22,Key!$E$20:$F$24,2,FALSE)</f>
        <v>500,000-750,000</v>
      </c>
      <c r="AE22" s="33"/>
      <c r="AF22" s="39"/>
      <c r="AG22" s="39"/>
      <c r="AH22" s="39"/>
      <c r="AI22" s="39"/>
      <c r="AJ22" s="40" t="s">
        <v>100</v>
      </c>
      <c r="AK22" s="41">
        <v>1000</v>
      </c>
      <c r="AL22" s="25"/>
      <c r="AM22" s="25"/>
    </row>
    <row r="23" spans="2:39" x14ac:dyDescent="0.2">
      <c r="B23" s="51">
        <v>43771</v>
      </c>
      <c r="C23" s="36">
        <v>0.62708333333333333</v>
      </c>
      <c r="D23" s="36"/>
      <c r="E23" s="36" t="s">
        <v>105</v>
      </c>
      <c r="F23" s="38">
        <v>2</v>
      </c>
      <c r="G23" s="43" t="str">
        <f>VLOOKUP(F23,Key!$A$17:$B$21,2,FALSE)</f>
        <v>Road Vehicle</v>
      </c>
      <c r="H23" s="37">
        <v>6</v>
      </c>
      <c r="I23" s="44" t="str">
        <f>VLOOKUP(H23,Key!$A$2:$B$13,2,FALSE)</f>
        <v>Large Bus</v>
      </c>
      <c r="J23" s="38" t="s">
        <v>117</v>
      </c>
      <c r="K23" s="38">
        <v>2</v>
      </c>
      <c r="L23" s="45" t="str">
        <f>VLOOKUP(K23,Key!$A$24:$B$29,2,FALSE)</f>
        <v>30-39</v>
      </c>
      <c r="M23" s="60" t="s">
        <v>163</v>
      </c>
      <c r="N23" s="33" t="s">
        <v>163</v>
      </c>
      <c r="O23" s="38" t="s">
        <v>164</v>
      </c>
      <c r="P23" s="40">
        <v>1</v>
      </c>
      <c r="Q23" s="35" t="str">
        <f>VLOOKUP(P23,Key!$E$2:$F$9,2,FALSE)</f>
        <v>Home</v>
      </c>
      <c r="R23" s="38" t="s">
        <v>166</v>
      </c>
      <c r="S23" s="33" t="s">
        <v>198</v>
      </c>
      <c r="T23" s="38" t="s">
        <v>164</v>
      </c>
      <c r="U23" s="33">
        <v>2</v>
      </c>
      <c r="V23" s="35" t="str">
        <f>VLOOKUP(U23,Key!$E$2:$F$9,2,FALSE)</f>
        <v>Work</v>
      </c>
      <c r="W23" s="35" t="str">
        <f t="shared" si="0"/>
        <v>Home-Work</v>
      </c>
      <c r="X23" s="33">
        <v>200000</v>
      </c>
      <c r="Y23" s="39">
        <v>200</v>
      </c>
      <c r="Z23" s="39">
        <v>4</v>
      </c>
      <c r="AA23" s="33">
        <v>5</v>
      </c>
      <c r="AB23" s="35" t="str">
        <f>VLOOKUP(AA23,Key!$C$20:$D$29,2,FALSE)</f>
        <v>Professional</v>
      </c>
      <c r="AC23" s="33">
        <v>4</v>
      </c>
      <c r="AD23" s="35" t="str">
        <f>VLOOKUP(AC23,Key!$E$20:$F$24,2,FALSE)</f>
        <v>750,000-1,000,000</v>
      </c>
      <c r="AE23" s="33">
        <v>5</v>
      </c>
      <c r="AF23" s="39">
        <v>2</v>
      </c>
      <c r="AG23" s="39">
        <v>1</v>
      </c>
      <c r="AH23" s="39">
        <v>3</v>
      </c>
      <c r="AI23" s="39">
        <v>4</v>
      </c>
      <c r="AJ23" s="40" t="s">
        <v>100</v>
      </c>
      <c r="AK23" s="41">
        <v>1000</v>
      </c>
      <c r="AL23" s="25"/>
      <c r="AM23" s="25"/>
    </row>
    <row r="24" spans="2:39" x14ac:dyDescent="0.2">
      <c r="B24" s="51">
        <v>43771</v>
      </c>
      <c r="C24" s="36">
        <v>0.64930555555555558</v>
      </c>
      <c r="D24" s="36"/>
      <c r="E24" s="36" t="s">
        <v>178</v>
      </c>
      <c r="F24" s="38">
        <v>2</v>
      </c>
      <c r="G24" s="43" t="str">
        <f>VLOOKUP(F24,Key!$A$17:$B$21,2,FALSE)</f>
        <v>Road Vehicle</v>
      </c>
      <c r="H24" s="37">
        <v>6</v>
      </c>
      <c r="I24" s="44" t="str">
        <f>VLOOKUP(H24,Key!$A$2:$B$13,2,FALSE)</f>
        <v>Large Bus</v>
      </c>
      <c r="J24" s="38" t="s">
        <v>117</v>
      </c>
      <c r="K24" s="38">
        <v>3</v>
      </c>
      <c r="L24" s="45" t="str">
        <f>VLOOKUP(K24,Key!$A$24:$B$29,2,FALSE)</f>
        <v>40-49</v>
      </c>
      <c r="M24" s="60" t="s">
        <v>163</v>
      </c>
      <c r="N24" s="33" t="s">
        <v>163</v>
      </c>
      <c r="O24" s="38" t="s">
        <v>164</v>
      </c>
      <c r="P24" s="40">
        <v>1</v>
      </c>
      <c r="Q24" s="35" t="str">
        <f>VLOOKUP(P24,Key!$E$2:$F$9,2,FALSE)</f>
        <v>Home</v>
      </c>
      <c r="R24" s="38" t="s">
        <v>200</v>
      </c>
      <c r="S24" s="33" t="s">
        <v>200</v>
      </c>
      <c r="T24" s="38" t="s">
        <v>164</v>
      </c>
      <c r="U24" s="33">
        <v>2</v>
      </c>
      <c r="V24" s="35" t="str">
        <f>VLOOKUP(U24,Key!$E$2:$F$9,2,FALSE)</f>
        <v>Work</v>
      </c>
      <c r="W24" s="35" t="str">
        <f t="shared" si="0"/>
        <v>Home-Work</v>
      </c>
      <c r="X24" s="33"/>
      <c r="Y24" s="39">
        <v>141</v>
      </c>
      <c r="Z24" s="39">
        <v>3</v>
      </c>
      <c r="AA24" s="33">
        <v>6</v>
      </c>
      <c r="AB24" s="35" t="str">
        <f>VLOOKUP(AA24,Key!$C$20:$D$29,2,FALSE)</f>
        <v>Businessman</v>
      </c>
      <c r="AC24" s="33">
        <v>3</v>
      </c>
      <c r="AD24" s="35" t="str">
        <f>VLOOKUP(AC24,Key!$E$20:$F$24,2,FALSE)</f>
        <v>500,000-750,000</v>
      </c>
      <c r="AE24" s="33"/>
      <c r="AF24" s="39"/>
      <c r="AG24" s="39"/>
      <c r="AH24" s="39"/>
      <c r="AI24" s="39"/>
      <c r="AJ24" s="40" t="s">
        <v>100</v>
      </c>
      <c r="AK24" s="41">
        <v>3000</v>
      </c>
      <c r="AL24" s="25"/>
      <c r="AM24" s="25"/>
    </row>
    <row r="25" spans="2:39" x14ac:dyDescent="0.2">
      <c r="B25" s="51">
        <v>43771</v>
      </c>
      <c r="C25" s="36">
        <v>0.45</v>
      </c>
      <c r="D25" s="36"/>
      <c r="E25" s="36" t="s">
        <v>105</v>
      </c>
      <c r="F25" s="38">
        <v>2</v>
      </c>
      <c r="G25" s="43" t="str">
        <f>VLOOKUP(F25,Key!$A$17:$B$21,2,FALSE)</f>
        <v>Road Vehicle</v>
      </c>
      <c r="H25" s="37">
        <v>6</v>
      </c>
      <c r="I25" s="44" t="str">
        <f>VLOOKUP(H25,Key!$A$2:$B$13,2,FALSE)</f>
        <v>Large Bus</v>
      </c>
      <c r="J25" s="38" t="s">
        <v>117</v>
      </c>
      <c r="K25" s="38">
        <v>4</v>
      </c>
      <c r="L25" s="45" t="str">
        <f>VLOOKUP(K25,Key!$A$24:$B$29,2,FALSE)</f>
        <v>50-59</v>
      </c>
      <c r="M25" s="60" t="s">
        <v>163</v>
      </c>
      <c r="N25" s="33" t="s">
        <v>163</v>
      </c>
      <c r="O25" s="38" t="s">
        <v>164</v>
      </c>
      <c r="P25" s="40">
        <v>1</v>
      </c>
      <c r="Q25" s="35" t="str">
        <f>VLOOKUP(P25,Key!$E$2:$F$9,2,FALSE)</f>
        <v>Home</v>
      </c>
      <c r="R25" s="38" t="s">
        <v>208</v>
      </c>
      <c r="S25" s="33" t="s">
        <v>208</v>
      </c>
      <c r="T25" s="38" t="s">
        <v>164</v>
      </c>
      <c r="U25" s="33">
        <v>2</v>
      </c>
      <c r="V25" s="35" t="str">
        <f>VLOOKUP(U25,Key!$E$2:$F$9,2,FALSE)</f>
        <v>Work</v>
      </c>
      <c r="W25" s="35" t="str">
        <f t="shared" si="0"/>
        <v>Home-Work</v>
      </c>
      <c r="X25" s="33">
        <v>300000</v>
      </c>
      <c r="Y25" s="39">
        <v>213</v>
      </c>
      <c r="Z25" s="39">
        <v>5</v>
      </c>
      <c r="AA25" s="33">
        <v>5</v>
      </c>
      <c r="AB25" s="35" t="str">
        <f>VLOOKUP(AA25,Key!$C$20:$D$29,2,FALSE)</f>
        <v>Professional</v>
      </c>
      <c r="AC25" s="33">
        <v>3</v>
      </c>
      <c r="AD25" s="35" t="str">
        <f>VLOOKUP(AC25,Key!$E$20:$F$24,2,FALSE)</f>
        <v>500,000-750,000</v>
      </c>
      <c r="AE25" s="33">
        <v>3</v>
      </c>
      <c r="AF25" s="39">
        <v>2</v>
      </c>
      <c r="AG25" s="39">
        <v>1</v>
      </c>
      <c r="AH25" s="39">
        <v>4</v>
      </c>
      <c r="AI25" s="39">
        <v>5</v>
      </c>
      <c r="AJ25" s="40" t="s">
        <v>100</v>
      </c>
      <c r="AK25" s="41">
        <v>1000</v>
      </c>
      <c r="AL25" s="25"/>
      <c r="AM25" s="25"/>
    </row>
    <row r="26" spans="2:39" x14ac:dyDescent="0.2">
      <c r="B26" s="51">
        <v>43771</v>
      </c>
      <c r="C26" s="36">
        <v>0.41388888888888892</v>
      </c>
      <c r="D26" s="36"/>
      <c r="E26" s="36" t="s">
        <v>105</v>
      </c>
      <c r="F26" s="38">
        <v>2</v>
      </c>
      <c r="G26" s="43" t="str">
        <f>VLOOKUP(F26,Key!$A$17:$B$21,2,FALSE)</f>
        <v>Road Vehicle</v>
      </c>
      <c r="H26" s="37">
        <v>7</v>
      </c>
      <c r="I26" s="44" t="str">
        <f>VLOOKUP(H26,Key!$A$2:$B$13,2,FALSE)</f>
        <v xml:space="preserve">Light Truck </v>
      </c>
      <c r="J26" s="38" t="s">
        <v>117</v>
      </c>
      <c r="K26" s="38">
        <v>2</v>
      </c>
      <c r="L26" s="45" t="str">
        <f>VLOOKUP(K26,Key!$A$24:$B$29,2,FALSE)</f>
        <v>30-39</v>
      </c>
      <c r="M26" s="60" t="s">
        <v>181</v>
      </c>
      <c r="N26" s="33" t="s">
        <v>163</v>
      </c>
      <c r="O26" s="38" t="s">
        <v>164</v>
      </c>
      <c r="P26" s="40">
        <v>2</v>
      </c>
      <c r="Q26" s="35" t="str">
        <f>VLOOKUP(P26,Key!$E$2:$F$9,2,FALSE)</f>
        <v>Work</v>
      </c>
      <c r="R26" s="38" t="s">
        <v>171</v>
      </c>
      <c r="S26" s="33" t="s">
        <v>172</v>
      </c>
      <c r="T26" s="38" t="s">
        <v>164</v>
      </c>
      <c r="U26" s="33">
        <v>2</v>
      </c>
      <c r="V26" s="35" t="str">
        <f>VLOOKUP(U26,Key!$E$2:$F$9,2,FALSE)</f>
        <v>Work</v>
      </c>
      <c r="W26" s="35" t="str">
        <f t="shared" si="0"/>
        <v>Work-Work</v>
      </c>
      <c r="X26" s="47">
        <v>40000</v>
      </c>
      <c r="Y26" s="39">
        <v>2.5</v>
      </c>
      <c r="Z26" s="39">
        <v>1.5</v>
      </c>
      <c r="AA26" s="33">
        <v>5</v>
      </c>
      <c r="AB26" s="35" t="str">
        <f>VLOOKUP(AA26,Key!$C$20:$D$29,2,FALSE)</f>
        <v>Professional</v>
      </c>
      <c r="AC26" s="33">
        <v>3</v>
      </c>
      <c r="AD26" s="35" t="str">
        <f>VLOOKUP(AC26,Key!$E$20:$F$24,2,FALSE)</f>
        <v>500,000-750,000</v>
      </c>
      <c r="AE26" s="33">
        <v>5</v>
      </c>
      <c r="AF26" s="39">
        <v>3</v>
      </c>
      <c r="AG26" s="39">
        <v>4</v>
      </c>
      <c r="AH26" s="39">
        <v>2</v>
      </c>
      <c r="AI26" s="39">
        <v>1</v>
      </c>
      <c r="AJ26" s="40" t="s">
        <v>100</v>
      </c>
      <c r="AK26" s="41">
        <v>4000</v>
      </c>
      <c r="AL26" s="25"/>
      <c r="AM26" s="25"/>
    </row>
    <row r="27" spans="2:39" x14ac:dyDescent="0.2">
      <c r="B27" s="51">
        <v>43771</v>
      </c>
      <c r="C27" s="36">
        <v>0.50624999999999998</v>
      </c>
      <c r="D27" s="36"/>
      <c r="E27" s="36" t="s">
        <v>105</v>
      </c>
      <c r="F27" s="38">
        <v>2</v>
      </c>
      <c r="G27" s="43" t="str">
        <f>VLOOKUP(F27,Key!$A$17:$B$21,2,FALSE)</f>
        <v>Road Vehicle</v>
      </c>
      <c r="H27" s="37">
        <v>7</v>
      </c>
      <c r="I27" s="44" t="str">
        <f>VLOOKUP(H27,Key!$A$2:$B$13,2,FALSE)</f>
        <v xml:space="preserve">Light Truck </v>
      </c>
      <c r="J27" s="38" t="s">
        <v>117</v>
      </c>
      <c r="K27" s="38">
        <v>2</v>
      </c>
      <c r="L27" s="45" t="str">
        <f>VLOOKUP(K27,Key!$A$24:$B$29,2,FALSE)</f>
        <v>30-39</v>
      </c>
      <c r="M27" s="60" t="s">
        <v>181</v>
      </c>
      <c r="N27" s="33" t="s">
        <v>163</v>
      </c>
      <c r="O27" s="38" t="s">
        <v>164</v>
      </c>
      <c r="P27" s="40">
        <v>2</v>
      </c>
      <c r="Q27" s="35" t="str">
        <f>VLOOKUP(P27,Key!$E$2:$F$9,2,FALSE)</f>
        <v>Work</v>
      </c>
      <c r="R27" s="38" t="s">
        <v>180</v>
      </c>
      <c r="S27" s="33" t="s">
        <v>169</v>
      </c>
      <c r="T27" s="38" t="s">
        <v>164</v>
      </c>
      <c r="U27" s="33">
        <v>2</v>
      </c>
      <c r="V27" s="35" t="str">
        <f>VLOOKUP(U27,Key!$E$2:$F$9,2,FALSE)</f>
        <v>Work</v>
      </c>
      <c r="W27" s="35" t="str">
        <f t="shared" si="0"/>
        <v>Work-Work</v>
      </c>
      <c r="X27" s="47">
        <v>35000</v>
      </c>
      <c r="Y27" s="39">
        <v>17</v>
      </c>
      <c r="Z27" s="39">
        <v>1</v>
      </c>
      <c r="AA27" s="33">
        <v>5</v>
      </c>
      <c r="AB27" s="35" t="str">
        <f>VLOOKUP(AA27,Key!$C$20:$D$29,2,FALSE)</f>
        <v>Professional</v>
      </c>
      <c r="AC27" s="33"/>
      <c r="AD27" s="35" t="e">
        <f>VLOOKUP(AC27,Key!$E$20:$F$24,2,FALSE)</f>
        <v>#N/A</v>
      </c>
      <c r="AE27" s="33">
        <v>1</v>
      </c>
      <c r="AF27" s="39">
        <v>2</v>
      </c>
      <c r="AG27" s="39">
        <v>3</v>
      </c>
      <c r="AH27" s="39">
        <v>4</v>
      </c>
      <c r="AI27" s="39">
        <v>5</v>
      </c>
      <c r="AJ27" s="40" t="s">
        <v>100</v>
      </c>
      <c r="AK27" s="41">
        <v>3000</v>
      </c>
      <c r="AL27" s="25"/>
      <c r="AM27" s="25"/>
    </row>
    <row r="28" spans="2:39" x14ac:dyDescent="0.2">
      <c r="B28" s="51">
        <v>43771</v>
      </c>
      <c r="C28" s="36">
        <v>0.5708333333333333</v>
      </c>
      <c r="D28" s="36"/>
      <c r="E28" s="36" t="s">
        <v>105</v>
      </c>
      <c r="F28" s="38">
        <v>2</v>
      </c>
      <c r="G28" s="43" t="str">
        <f>VLOOKUP(F28,Key!$A$17:$B$21,2,FALSE)</f>
        <v>Road Vehicle</v>
      </c>
      <c r="H28" s="37">
        <v>7</v>
      </c>
      <c r="I28" s="44" t="str">
        <f>VLOOKUP(H28,Key!$A$2:$B$13,2,FALSE)</f>
        <v xml:space="preserve">Light Truck </v>
      </c>
      <c r="J28" s="38" t="s">
        <v>117</v>
      </c>
      <c r="K28" s="38">
        <v>2</v>
      </c>
      <c r="L28" s="45" t="str">
        <f>VLOOKUP(K28,Key!$A$24:$B$29,2,FALSE)</f>
        <v>30-39</v>
      </c>
      <c r="M28" s="60" t="s">
        <v>163</v>
      </c>
      <c r="N28" s="33" t="s">
        <v>163</v>
      </c>
      <c r="O28" s="38" t="s">
        <v>164</v>
      </c>
      <c r="P28" s="40">
        <v>1</v>
      </c>
      <c r="Q28" s="35" t="str">
        <f>VLOOKUP(P28,Key!$E$2:$F$9,2,FALSE)</f>
        <v>Home</v>
      </c>
      <c r="R28" s="38" t="s">
        <v>187</v>
      </c>
      <c r="S28" s="33" t="s">
        <v>187</v>
      </c>
      <c r="T28" s="38" t="s">
        <v>164</v>
      </c>
      <c r="U28" s="33">
        <v>2</v>
      </c>
      <c r="V28" s="35" t="str">
        <f>VLOOKUP(U28,Key!$E$2:$F$9,2,FALSE)</f>
        <v>Work</v>
      </c>
      <c r="W28" s="35" t="str">
        <f t="shared" si="0"/>
        <v>Home-Work</v>
      </c>
      <c r="X28" s="47">
        <v>240000</v>
      </c>
      <c r="Y28" s="39">
        <v>256</v>
      </c>
      <c r="Z28" s="39">
        <v>5</v>
      </c>
      <c r="AA28" s="33">
        <v>5</v>
      </c>
      <c r="AB28" s="35" t="str">
        <f>VLOOKUP(AA28,Key!$C$20:$D$29,2,FALSE)</f>
        <v>Professional</v>
      </c>
      <c r="AC28" s="33">
        <v>4</v>
      </c>
      <c r="AD28" s="35" t="str">
        <f>VLOOKUP(AC28,Key!$E$20:$F$24,2,FALSE)</f>
        <v>750,000-1,000,000</v>
      </c>
      <c r="AE28" s="33">
        <v>3</v>
      </c>
      <c r="AF28" s="39">
        <v>2</v>
      </c>
      <c r="AG28" s="39">
        <v>1</v>
      </c>
      <c r="AH28" s="39">
        <v>5</v>
      </c>
      <c r="AI28" s="39">
        <v>4</v>
      </c>
      <c r="AJ28" s="40" t="s">
        <v>100</v>
      </c>
      <c r="AK28" s="41">
        <v>3000</v>
      </c>
      <c r="AL28" s="25"/>
      <c r="AM28" s="25"/>
    </row>
    <row r="29" spans="2:39" x14ac:dyDescent="0.2">
      <c r="B29" s="51">
        <v>43771</v>
      </c>
      <c r="C29" s="36">
        <v>0.6972222222222223</v>
      </c>
      <c r="D29" s="36"/>
      <c r="E29" s="36" t="s">
        <v>105</v>
      </c>
      <c r="F29" s="38">
        <v>2</v>
      </c>
      <c r="G29" s="43" t="str">
        <f>VLOOKUP(F29,Key!$A$17:$B$21,2,FALSE)</f>
        <v>Road Vehicle</v>
      </c>
      <c r="H29" s="37">
        <v>7</v>
      </c>
      <c r="I29" s="44" t="str">
        <f>VLOOKUP(H29,Key!$A$2:$B$13,2,FALSE)</f>
        <v xml:space="preserve">Light Truck </v>
      </c>
      <c r="J29" s="38" t="s">
        <v>117</v>
      </c>
      <c r="K29" s="38">
        <v>2</v>
      </c>
      <c r="L29" s="45" t="str">
        <f>VLOOKUP(K29,Key!$A$24:$B$29,2,FALSE)</f>
        <v>30-39</v>
      </c>
      <c r="M29" s="60" t="s">
        <v>163</v>
      </c>
      <c r="N29" s="33" t="s">
        <v>163</v>
      </c>
      <c r="O29" s="38" t="s">
        <v>164</v>
      </c>
      <c r="P29" s="40">
        <v>1</v>
      </c>
      <c r="Q29" s="35" t="str">
        <f>VLOOKUP(P29,Key!$E$2:$F$9,2,FALSE)</f>
        <v>Home</v>
      </c>
      <c r="R29" s="38" t="s">
        <v>194</v>
      </c>
      <c r="S29" s="33" t="s">
        <v>195</v>
      </c>
      <c r="T29" s="38" t="s">
        <v>164</v>
      </c>
      <c r="U29" s="33">
        <v>1</v>
      </c>
      <c r="V29" s="35" t="str">
        <f>VLOOKUP(U29,Key!$E$2:$F$9,2,FALSE)</f>
        <v>Home</v>
      </c>
      <c r="W29" s="35" t="str">
        <f t="shared" si="0"/>
        <v>Home-Home</v>
      </c>
      <c r="X29" s="33">
        <v>130000</v>
      </c>
      <c r="Y29" s="39">
        <v>150</v>
      </c>
      <c r="Z29" s="39">
        <v>4</v>
      </c>
      <c r="AA29" s="33">
        <v>5</v>
      </c>
      <c r="AB29" s="35" t="str">
        <f>VLOOKUP(AA29,Key!$C$20:$D$29,2,FALSE)</f>
        <v>Professional</v>
      </c>
      <c r="AC29" s="33">
        <v>3</v>
      </c>
      <c r="AD29" s="35" t="str">
        <f>VLOOKUP(AC29,Key!$E$20:$F$24,2,FALSE)</f>
        <v>500,000-750,000</v>
      </c>
      <c r="AE29" s="33">
        <v>3</v>
      </c>
      <c r="AF29" s="39">
        <v>1</v>
      </c>
      <c r="AG29" s="39">
        <v>5</v>
      </c>
      <c r="AH29" s="39">
        <v>2</v>
      </c>
      <c r="AI29" s="39">
        <v>4</v>
      </c>
      <c r="AJ29" s="40" t="s">
        <v>100</v>
      </c>
      <c r="AK29" s="41">
        <v>4000</v>
      </c>
      <c r="AL29" s="25"/>
      <c r="AM29" s="25"/>
    </row>
    <row r="30" spans="2:39" x14ac:dyDescent="0.2">
      <c r="B30" s="51">
        <v>43771</v>
      </c>
      <c r="C30" s="36">
        <v>0.70972222222222225</v>
      </c>
      <c r="D30" s="36"/>
      <c r="E30" s="36" t="s">
        <v>105</v>
      </c>
      <c r="F30" s="38">
        <v>2</v>
      </c>
      <c r="G30" s="43" t="str">
        <f>VLOOKUP(F30,Key!$A$17:$B$21,2,FALSE)</f>
        <v>Road Vehicle</v>
      </c>
      <c r="H30" s="37">
        <v>7</v>
      </c>
      <c r="I30" s="44" t="str">
        <f>VLOOKUP(H30,Key!$A$2:$B$13,2,FALSE)</f>
        <v xml:space="preserve">Light Truck </v>
      </c>
      <c r="J30" s="38" t="s">
        <v>117</v>
      </c>
      <c r="K30" s="38">
        <v>2</v>
      </c>
      <c r="L30" s="45" t="str">
        <f>VLOOKUP(K30,Key!$A$24:$B$29,2,FALSE)</f>
        <v>30-39</v>
      </c>
      <c r="M30" s="60" t="s">
        <v>163</v>
      </c>
      <c r="N30" s="33" t="s">
        <v>163</v>
      </c>
      <c r="O30" s="38" t="s">
        <v>164</v>
      </c>
      <c r="P30" s="40">
        <v>1</v>
      </c>
      <c r="Q30" s="35" t="str">
        <f>VLOOKUP(P30,Key!$E$2:$F$9,2,FALSE)</f>
        <v>Home</v>
      </c>
      <c r="R30" s="38" t="s">
        <v>173</v>
      </c>
      <c r="S30" s="33" t="s">
        <v>173</v>
      </c>
      <c r="T30" s="38" t="s">
        <v>164</v>
      </c>
      <c r="U30" s="33">
        <v>2</v>
      </c>
      <c r="V30" s="35" t="str">
        <f>VLOOKUP(U30,Key!$E$2:$F$9,2,FALSE)</f>
        <v>Work</v>
      </c>
      <c r="W30" s="35" t="str">
        <f t="shared" si="0"/>
        <v>Home-Work</v>
      </c>
      <c r="X30" s="33">
        <v>5000</v>
      </c>
      <c r="Y30" s="39">
        <v>35</v>
      </c>
      <c r="Z30" s="39">
        <v>2</v>
      </c>
      <c r="AA30" s="33">
        <v>2</v>
      </c>
      <c r="AB30" s="35" t="str">
        <f>VLOOKUP(AA30,Key!$C$20:$D$29,2,FALSE)</f>
        <v>Manual Labour</v>
      </c>
      <c r="AC30" s="33">
        <v>3</v>
      </c>
      <c r="AD30" s="35" t="str">
        <f>VLOOKUP(AC30,Key!$E$20:$F$24,2,FALSE)</f>
        <v>500,000-750,000</v>
      </c>
      <c r="AE30" s="33">
        <v>3</v>
      </c>
      <c r="AF30" s="39">
        <v>1</v>
      </c>
      <c r="AG30" s="39">
        <v>2</v>
      </c>
      <c r="AH30" s="39">
        <v>5</v>
      </c>
      <c r="AI30" s="39">
        <v>4</v>
      </c>
      <c r="AJ30" s="40" t="s">
        <v>100</v>
      </c>
      <c r="AK30" s="41">
        <v>5000</v>
      </c>
      <c r="AL30" s="25"/>
      <c r="AM30" s="25"/>
    </row>
    <row r="31" spans="2:39" x14ac:dyDescent="0.2">
      <c r="B31" s="51">
        <v>43771</v>
      </c>
      <c r="C31" s="36">
        <v>0.73541666666666661</v>
      </c>
      <c r="D31" s="36"/>
      <c r="E31" s="36" t="s">
        <v>105</v>
      </c>
      <c r="F31" s="38">
        <v>2</v>
      </c>
      <c r="G31" s="43" t="str">
        <f>VLOOKUP(F31,Key!$A$17:$B$21,2,FALSE)</f>
        <v>Road Vehicle</v>
      </c>
      <c r="H31" s="37">
        <v>7</v>
      </c>
      <c r="I31" s="44" t="str">
        <f>VLOOKUP(H31,Key!$A$2:$B$13,2,FALSE)</f>
        <v xml:space="preserve">Light Truck </v>
      </c>
      <c r="J31" s="38" t="s">
        <v>117</v>
      </c>
      <c r="K31" s="38">
        <v>2</v>
      </c>
      <c r="L31" s="45" t="str">
        <f>VLOOKUP(K31,Key!$A$24:$B$29,2,FALSE)</f>
        <v>30-39</v>
      </c>
      <c r="M31" s="60" t="s">
        <v>181</v>
      </c>
      <c r="N31" s="33" t="s">
        <v>163</v>
      </c>
      <c r="O31" s="38" t="s">
        <v>164</v>
      </c>
      <c r="P31" s="40">
        <v>2</v>
      </c>
      <c r="Q31" s="35" t="str">
        <f>VLOOKUP(P31,Key!$E$2:$F$9,2,FALSE)</f>
        <v>Work</v>
      </c>
      <c r="R31" s="38" t="s">
        <v>165</v>
      </c>
      <c r="S31" s="33" t="s">
        <v>196</v>
      </c>
      <c r="T31" s="38" t="s">
        <v>164</v>
      </c>
      <c r="U31" s="33">
        <v>2</v>
      </c>
      <c r="V31" s="35" t="str">
        <f>VLOOKUP(U31,Key!$E$2:$F$9,2,FALSE)</f>
        <v>Work</v>
      </c>
      <c r="W31" s="35" t="str">
        <f t="shared" si="0"/>
        <v>Work-Work</v>
      </c>
      <c r="X31" s="33">
        <v>300000</v>
      </c>
      <c r="Y31" s="39">
        <v>370</v>
      </c>
      <c r="Z31" s="39">
        <v>6</v>
      </c>
      <c r="AA31" s="33">
        <v>5</v>
      </c>
      <c r="AB31" s="35" t="str">
        <f>VLOOKUP(AA31,Key!$C$20:$D$29,2,FALSE)</f>
        <v>Professional</v>
      </c>
      <c r="AC31" s="33">
        <v>4</v>
      </c>
      <c r="AD31" s="35" t="str">
        <f>VLOOKUP(AC31,Key!$E$20:$F$24,2,FALSE)</f>
        <v>750,000-1,000,000</v>
      </c>
      <c r="AE31" s="33">
        <v>1</v>
      </c>
      <c r="AF31" s="39">
        <v>2</v>
      </c>
      <c r="AG31" s="39">
        <v>5</v>
      </c>
      <c r="AH31" s="39">
        <v>4</v>
      </c>
      <c r="AI31" s="39">
        <v>3</v>
      </c>
      <c r="AJ31" s="40" t="s">
        <v>100</v>
      </c>
      <c r="AK31" s="41">
        <v>4000</v>
      </c>
      <c r="AL31" s="25"/>
      <c r="AM31" s="25"/>
    </row>
    <row r="32" spans="2:39" x14ac:dyDescent="0.2">
      <c r="B32" s="51">
        <v>43771</v>
      </c>
      <c r="C32" s="36">
        <v>0.46666666666666662</v>
      </c>
      <c r="D32" s="36"/>
      <c r="E32" s="36" t="s">
        <v>105</v>
      </c>
      <c r="F32" s="38">
        <v>2</v>
      </c>
      <c r="G32" s="43" t="str">
        <f>VLOOKUP(F32,Key!$A$17:$B$21,2,FALSE)</f>
        <v>Road Vehicle</v>
      </c>
      <c r="H32" s="37">
        <v>7</v>
      </c>
      <c r="I32" s="44" t="str">
        <f>VLOOKUP(H32,Key!$A$2:$B$13,2,FALSE)</f>
        <v xml:space="preserve">Light Truck </v>
      </c>
      <c r="J32" s="38" t="s">
        <v>117</v>
      </c>
      <c r="K32" s="38">
        <v>3</v>
      </c>
      <c r="L32" s="45" t="str">
        <f>VLOOKUP(K32,Key!$A$24:$B$29,2,FALSE)</f>
        <v>40-49</v>
      </c>
      <c r="M32" s="60" t="s">
        <v>163</v>
      </c>
      <c r="N32" s="33" t="s">
        <v>163</v>
      </c>
      <c r="O32" s="38" t="s">
        <v>164</v>
      </c>
      <c r="P32" s="40">
        <v>1</v>
      </c>
      <c r="Q32" s="35" t="str">
        <f>VLOOKUP(P32,Key!$E$2:$F$9,2,FALSE)</f>
        <v>Home</v>
      </c>
      <c r="R32" s="38" t="s">
        <v>176</v>
      </c>
      <c r="S32" s="33" t="s">
        <v>176</v>
      </c>
      <c r="T32" s="38" t="s">
        <v>164</v>
      </c>
      <c r="U32" s="33">
        <v>2</v>
      </c>
      <c r="V32" s="35" t="str">
        <f>VLOOKUP(U32,Key!$E$2:$F$9,2,FALSE)</f>
        <v>Work</v>
      </c>
      <c r="W32" s="35" t="str">
        <f t="shared" si="0"/>
        <v>Home-Work</v>
      </c>
      <c r="X32" s="47">
        <v>270000</v>
      </c>
      <c r="Y32" s="39">
        <v>323</v>
      </c>
      <c r="Z32" s="39">
        <v>5</v>
      </c>
      <c r="AA32" s="33">
        <v>5</v>
      </c>
      <c r="AB32" s="35" t="str">
        <f>VLOOKUP(AA32,Key!$C$20:$D$29,2,FALSE)</f>
        <v>Professional</v>
      </c>
      <c r="AC32" s="33">
        <v>4</v>
      </c>
      <c r="AD32" s="35" t="str">
        <f>VLOOKUP(AC32,Key!$E$20:$F$24,2,FALSE)</f>
        <v>750,000-1,000,000</v>
      </c>
      <c r="AE32" s="33">
        <v>5</v>
      </c>
      <c r="AF32" s="39">
        <v>4</v>
      </c>
      <c r="AG32" s="39">
        <v>1</v>
      </c>
      <c r="AH32" s="39">
        <v>2</v>
      </c>
      <c r="AI32" s="39">
        <v>3</v>
      </c>
      <c r="AJ32" s="40" t="s">
        <v>100</v>
      </c>
      <c r="AK32" s="41">
        <v>3000</v>
      </c>
      <c r="AL32" s="25"/>
      <c r="AM32" s="25"/>
    </row>
    <row r="33" spans="2:39" x14ac:dyDescent="0.2">
      <c r="B33" s="51">
        <v>43771</v>
      </c>
      <c r="C33" s="36">
        <v>0.52916666666666667</v>
      </c>
      <c r="D33" s="36"/>
      <c r="E33" s="36" t="s">
        <v>105</v>
      </c>
      <c r="F33" s="38">
        <v>2</v>
      </c>
      <c r="G33" s="43" t="str">
        <f>VLOOKUP(F33,Key!$A$17:$B$21,2,FALSE)</f>
        <v>Road Vehicle</v>
      </c>
      <c r="H33" s="37">
        <v>7</v>
      </c>
      <c r="I33" s="44" t="str">
        <f>VLOOKUP(H33,Key!$A$2:$B$13,2,FALSE)</f>
        <v xml:space="preserve">Light Truck </v>
      </c>
      <c r="J33" s="38" t="s">
        <v>117</v>
      </c>
      <c r="K33" s="38">
        <v>3</v>
      </c>
      <c r="L33" s="45" t="str">
        <f>VLOOKUP(K33,Key!$A$24:$B$29,2,FALSE)</f>
        <v>40-49</v>
      </c>
      <c r="M33" s="60" t="s">
        <v>163</v>
      </c>
      <c r="N33" s="33" t="s">
        <v>163</v>
      </c>
      <c r="O33" s="38" t="s">
        <v>164</v>
      </c>
      <c r="P33" s="40">
        <v>1</v>
      </c>
      <c r="Q33" s="35" t="str">
        <f>VLOOKUP(P33,Key!$E$2:$F$9,2,FALSE)</f>
        <v>Home</v>
      </c>
      <c r="R33" s="38" t="s">
        <v>183</v>
      </c>
      <c r="S33" s="33" t="s">
        <v>169</v>
      </c>
      <c r="T33" s="38" t="s">
        <v>164</v>
      </c>
      <c r="U33" s="33">
        <v>2</v>
      </c>
      <c r="V33" s="35" t="str">
        <f>VLOOKUP(U33,Key!$E$2:$F$9,2,FALSE)</f>
        <v>Work</v>
      </c>
      <c r="W33" s="35" t="str">
        <f t="shared" si="0"/>
        <v>Home-Work</v>
      </c>
      <c r="X33" s="47">
        <v>15000</v>
      </c>
      <c r="Y33" s="39">
        <v>16</v>
      </c>
      <c r="Z33" s="39">
        <v>0.8</v>
      </c>
      <c r="AA33" s="33">
        <v>5</v>
      </c>
      <c r="AB33" s="35" t="str">
        <f>VLOOKUP(AA33,Key!$C$20:$D$29,2,FALSE)</f>
        <v>Professional</v>
      </c>
      <c r="AC33" s="33">
        <v>4</v>
      </c>
      <c r="AD33" s="35" t="str">
        <f>VLOOKUP(AC33,Key!$E$20:$F$24,2,FALSE)</f>
        <v>750,000-1,000,000</v>
      </c>
      <c r="AE33" s="33">
        <v>5</v>
      </c>
      <c r="AF33" s="39">
        <v>3</v>
      </c>
      <c r="AG33" s="39">
        <v>1</v>
      </c>
      <c r="AH33" s="39">
        <v>2</v>
      </c>
      <c r="AI33" s="39">
        <v>4</v>
      </c>
      <c r="AJ33" s="40" t="s">
        <v>100</v>
      </c>
      <c r="AK33" s="41">
        <v>1000</v>
      </c>
      <c r="AL33" s="25"/>
      <c r="AM33" s="25"/>
    </row>
    <row r="34" spans="2:39" x14ac:dyDescent="0.2">
      <c r="B34" s="51">
        <v>43771</v>
      </c>
      <c r="C34" s="36">
        <v>0.60833333333333328</v>
      </c>
      <c r="D34" s="36"/>
      <c r="E34" s="36" t="s">
        <v>105</v>
      </c>
      <c r="F34" s="38">
        <v>2</v>
      </c>
      <c r="G34" s="43" t="str">
        <f>VLOOKUP(F34,Key!$A$17:$B$21,2,FALSE)</f>
        <v>Road Vehicle</v>
      </c>
      <c r="H34" s="37">
        <v>7</v>
      </c>
      <c r="I34" s="44" t="str">
        <f>VLOOKUP(H34,Key!$A$2:$B$13,2,FALSE)</f>
        <v xml:space="preserve">Light Truck </v>
      </c>
      <c r="J34" s="38" t="s">
        <v>117</v>
      </c>
      <c r="K34" s="38">
        <v>3</v>
      </c>
      <c r="L34" s="45" t="str">
        <f>VLOOKUP(K34,Key!$A$24:$B$29,2,FALSE)</f>
        <v>40-49</v>
      </c>
      <c r="M34" s="60" t="s">
        <v>163</v>
      </c>
      <c r="N34" s="33" t="s">
        <v>163</v>
      </c>
      <c r="O34" s="38" t="s">
        <v>164</v>
      </c>
      <c r="P34" s="40">
        <v>1</v>
      </c>
      <c r="Q34" s="35" t="str">
        <f>VLOOKUP(P34,Key!$E$2:$F$9,2,FALSE)</f>
        <v>Home</v>
      </c>
      <c r="R34" s="38" t="s">
        <v>200</v>
      </c>
      <c r="S34" s="33" t="s">
        <v>200</v>
      </c>
      <c r="T34" s="38" t="s">
        <v>164</v>
      </c>
      <c r="U34" s="33">
        <v>2</v>
      </c>
      <c r="V34" s="35" t="str">
        <f>VLOOKUP(U34,Key!$E$2:$F$9,2,FALSE)</f>
        <v>Work</v>
      </c>
      <c r="W34" s="35" t="str">
        <f t="shared" si="0"/>
        <v>Home-Work</v>
      </c>
      <c r="X34" s="33">
        <v>170000</v>
      </c>
      <c r="Y34" s="39">
        <v>140</v>
      </c>
      <c r="Z34" s="39">
        <v>3</v>
      </c>
      <c r="AA34" s="33">
        <v>5</v>
      </c>
      <c r="AB34" s="35" t="str">
        <f>VLOOKUP(AA34,Key!$C$20:$D$29,2,FALSE)</f>
        <v>Professional</v>
      </c>
      <c r="AC34" s="33">
        <v>4</v>
      </c>
      <c r="AD34" s="35" t="str">
        <f>VLOOKUP(AC34,Key!$E$20:$F$24,2,FALSE)</f>
        <v>750,000-1,000,000</v>
      </c>
      <c r="AE34" s="33">
        <v>5</v>
      </c>
      <c r="AF34" s="39">
        <v>2</v>
      </c>
      <c r="AG34" s="39">
        <v>1</v>
      </c>
      <c r="AH34" s="39">
        <v>3</v>
      </c>
      <c r="AI34" s="39">
        <v>4</v>
      </c>
      <c r="AJ34" s="40" t="s">
        <v>100</v>
      </c>
      <c r="AK34" s="41">
        <v>5000</v>
      </c>
      <c r="AL34" s="25"/>
      <c r="AM34" s="25"/>
    </row>
    <row r="35" spans="2:39" x14ac:dyDescent="0.2">
      <c r="B35" s="51">
        <v>43771</v>
      </c>
      <c r="C35" s="36">
        <v>0.50069444444444444</v>
      </c>
      <c r="D35" s="36"/>
      <c r="E35" s="36" t="s">
        <v>105</v>
      </c>
      <c r="F35" s="38">
        <v>2</v>
      </c>
      <c r="G35" s="43" t="str">
        <f>VLOOKUP(F35,Key!$A$17:$B$21,2,FALSE)</f>
        <v>Road Vehicle</v>
      </c>
      <c r="H35" s="37">
        <v>7</v>
      </c>
      <c r="I35" s="44" t="str">
        <f>VLOOKUP(H35,Key!$A$2:$B$13,2,FALSE)</f>
        <v xml:space="preserve">Light Truck </v>
      </c>
      <c r="J35" s="38" t="s">
        <v>117</v>
      </c>
      <c r="K35" s="38">
        <v>5</v>
      </c>
      <c r="L35" s="45" t="str">
        <f>VLOOKUP(K35,Key!$A$24:$B$29,2,FALSE)</f>
        <v>60-69</v>
      </c>
      <c r="M35" s="60" t="s">
        <v>163</v>
      </c>
      <c r="N35" s="33" t="s">
        <v>163</v>
      </c>
      <c r="O35" s="38" t="s">
        <v>164</v>
      </c>
      <c r="P35" s="40">
        <v>1</v>
      </c>
      <c r="Q35" s="35" t="str">
        <f>VLOOKUP(P35,Key!$E$2:$F$9,2,FALSE)</f>
        <v>Home</v>
      </c>
      <c r="R35" s="38" t="s">
        <v>177</v>
      </c>
      <c r="S35" s="33" t="s">
        <v>177</v>
      </c>
      <c r="T35" s="38" t="s">
        <v>164</v>
      </c>
      <c r="U35" s="33">
        <v>2</v>
      </c>
      <c r="V35" s="35" t="str">
        <f>VLOOKUP(U35,Key!$E$2:$F$9,2,FALSE)</f>
        <v>Work</v>
      </c>
      <c r="W35" s="35" t="str">
        <f t="shared" si="0"/>
        <v>Home-Work</v>
      </c>
      <c r="X35" s="47">
        <v>280000</v>
      </c>
      <c r="Y35" s="39">
        <v>330</v>
      </c>
      <c r="Z35" s="39">
        <v>6</v>
      </c>
      <c r="AA35" s="33">
        <v>5</v>
      </c>
      <c r="AB35" s="35" t="str">
        <f>VLOOKUP(AA35,Key!$C$20:$D$29,2,FALSE)</f>
        <v>Professional</v>
      </c>
      <c r="AC35" s="33">
        <v>4</v>
      </c>
      <c r="AD35" s="35" t="str">
        <f>VLOOKUP(AC35,Key!$E$20:$F$24,2,FALSE)</f>
        <v>750,000-1,000,000</v>
      </c>
      <c r="AE35" s="33">
        <v>3</v>
      </c>
      <c r="AF35" s="39">
        <v>5</v>
      </c>
      <c r="AG35" s="39">
        <v>1</v>
      </c>
      <c r="AH35" s="39">
        <v>2</v>
      </c>
      <c r="AI35" s="39">
        <v>3</v>
      </c>
      <c r="AJ35" s="40" t="s">
        <v>100</v>
      </c>
      <c r="AK35" s="41">
        <v>3000</v>
      </c>
      <c r="AL35" s="25"/>
      <c r="AM35" s="25"/>
    </row>
    <row r="36" spans="2:39" x14ac:dyDescent="0.2">
      <c r="B36" s="51">
        <v>43771</v>
      </c>
      <c r="C36" s="36">
        <v>0.49374999999999997</v>
      </c>
      <c r="D36" s="36"/>
      <c r="E36" s="36" t="s">
        <v>105</v>
      </c>
      <c r="F36" s="38">
        <v>2</v>
      </c>
      <c r="G36" s="43" t="str">
        <f>VLOOKUP(F36,Key!$A$17:$B$21,2,FALSE)</f>
        <v>Road Vehicle</v>
      </c>
      <c r="H36" s="37">
        <v>7</v>
      </c>
      <c r="I36" s="44" t="str">
        <f>VLOOKUP(H36,Key!$A$2:$B$13,2,FALSE)</f>
        <v xml:space="preserve">Light Truck </v>
      </c>
      <c r="J36" s="38" t="s">
        <v>117</v>
      </c>
      <c r="K36" s="38">
        <v>5</v>
      </c>
      <c r="L36" s="45" t="str">
        <f>VLOOKUP(K36,Key!$A$24:$B$29,2,FALSE)</f>
        <v>60-69</v>
      </c>
      <c r="M36" s="60" t="s">
        <v>163</v>
      </c>
      <c r="N36" s="33" t="s">
        <v>163</v>
      </c>
      <c r="O36" s="38" t="s">
        <v>164</v>
      </c>
      <c r="P36" s="40">
        <v>1</v>
      </c>
      <c r="Q36" s="35" t="str">
        <f>VLOOKUP(P36,Key!$E$2:$F$9,2,FALSE)</f>
        <v>Home</v>
      </c>
      <c r="R36" s="38" t="s">
        <v>176</v>
      </c>
      <c r="S36" s="33" t="s">
        <v>176</v>
      </c>
      <c r="T36" s="38" t="s">
        <v>164</v>
      </c>
      <c r="U36" s="33">
        <v>2</v>
      </c>
      <c r="V36" s="35" t="str">
        <f>VLOOKUP(U36,Key!$E$2:$F$9,2,FALSE)</f>
        <v>Work</v>
      </c>
      <c r="W36" s="35" t="str">
        <f t="shared" si="0"/>
        <v>Home-Work</v>
      </c>
      <c r="X36" s="33">
        <v>240000</v>
      </c>
      <c r="Y36" s="39">
        <v>290</v>
      </c>
      <c r="Z36" s="39">
        <v>8</v>
      </c>
      <c r="AA36" s="33">
        <v>5</v>
      </c>
      <c r="AB36" s="35" t="str">
        <f>VLOOKUP(AA36,Key!$C$20:$D$29,2,FALSE)</f>
        <v>Professional</v>
      </c>
      <c r="AC36" s="33">
        <v>4</v>
      </c>
      <c r="AD36" s="35" t="str">
        <f>VLOOKUP(AC36,Key!$E$20:$F$24,2,FALSE)</f>
        <v>750,000-1,000,000</v>
      </c>
      <c r="AE36" s="33">
        <v>3</v>
      </c>
      <c r="AF36" s="39">
        <v>5</v>
      </c>
      <c r="AG36" s="39">
        <v>1</v>
      </c>
      <c r="AH36" s="39">
        <v>2</v>
      </c>
      <c r="AI36" s="39">
        <v>4</v>
      </c>
      <c r="AJ36" s="40" t="s">
        <v>100</v>
      </c>
      <c r="AK36" s="41">
        <v>2000</v>
      </c>
      <c r="AL36" s="25"/>
      <c r="AM36" s="25"/>
    </row>
    <row r="37" spans="2:39" x14ac:dyDescent="0.2">
      <c r="B37" s="51">
        <v>43771</v>
      </c>
      <c r="C37" s="36">
        <v>0.58680555555555558</v>
      </c>
      <c r="D37" s="36"/>
      <c r="E37" s="36" t="s">
        <v>178</v>
      </c>
      <c r="F37" s="38">
        <v>2</v>
      </c>
      <c r="G37" s="43" t="str">
        <f>VLOOKUP(F37,Key!$A$17:$B$21,2,FALSE)</f>
        <v>Road Vehicle</v>
      </c>
      <c r="H37" s="37">
        <v>5</v>
      </c>
      <c r="I37" s="44" t="str">
        <f>VLOOKUP(H37,Key!$A$2:$B$13,2,FALSE)</f>
        <v xml:space="preserve">Medium bus </v>
      </c>
      <c r="J37" s="38" t="s">
        <v>117</v>
      </c>
      <c r="K37" s="38">
        <v>1</v>
      </c>
      <c r="L37" s="45" t="str">
        <f>VLOOKUP(K37,Key!$A$24:$B$29,2,FALSE)</f>
        <v>20-29</v>
      </c>
      <c r="M37" s="60" t="s">
        <v>202</v>
      </c>
      <c r="N37" s="33" t="s">
        <v>203</v>
      </c>
      <c r="O37" s="38" t="s">
        <v>164</v>
      </c>
      <c r="P37" s="40">
        <v>1</v>
      </c>
      <c r="Q37" s="35" t="str">
        <f>VLOOKUP(P37,Key!$E$2:$F$9,2,FALSE)</f>
        <v>Home</v>
      </c>
      <c r="R37" s="38" t="s">
        <v>163</v>
      </c>
      <c r="S37" s="33" t="s">
        <v>163</v>
      </c>
      <c r="T37" s="38" t="s">
        <v>164</v>
      </c>
      <c r="U37" s="33">
        <v>4</v>
      </c>
      <c r="V37" s="35" t="str">
        <f>VLOOKUP(U37,Key!$E$2:$F$9,2,FALSE)</f>
        <v>Commercial</v>
      </c>
      <c r="W37" s="35" t="str">
        <f t="shared" si="0"/>
        <v>Home-Commercial</v>
      </c>
      <c r="X37" s="33">
        <v>6000</v>
      </c>
      <c r="Y37" s="39">
        <v>36</v>
      </c>
      <c r="Z37" s="39">
        <v>2</v>
      </c>
      <c r="AA37" s="33">
        <v>6</v>
      </c>
      <c r="AB37" s="35" t="str">
        <f>VLOOKUP(AA37,Key!$C$20:$D$29,2,FALSE)</f>
        <v>Businessman</v>
      </c>
      <c r="AC37" s="33">
        <v>3</v>
      </c>
      <c r="AD37" s="35" t="str">
        <f>VLOOKUP(AC37,Key!$E$20:$F$24,2,FALSE)</f>
        <v>500,000-750,000</v>
      </c>
      <c r="AE37" s="33">
        <v>5</v>
      </c>
      <c r="AF37" s="39">
        <v>2</v>
      </c>
      <c r="AG37" s="39">
        <v>1</v>
      </c>
      <c r="AH37" s="39">
        <v>3</v>
      </c>
      <c r="AI37" s="39">
        <v>4</v>
      </c>
      <c r="AJ37" s="40" t="s">
        <v>100</v>
      </c>
      <c r="AK37" s="41">
        <v>5000</v>
      </c>
      <c r="AL37" s="25"/>
      <c r="AM37" s="25"/>
    </row>
    <row r="38" spans="2:39" x14ac:dyDescent="0.2">
      <c r="B38" s="51">
        <v>43771</v>
      </c>
      <c r="C38" s="36">
        <v>0.59375</v>
      </c>
      <c r="D38" s="36"/>
      <c r="E38" s="36" t="s">
        <v>105</v>
      </c>
      <c r="F38" s="38">
        <v>2</v>
      </c>
      <c r="G38" s="43" t="str">
        <f>VLOOKUP(F38,Key!$A$17:$B$21,2,FALSE)</f>
        <v>Road Vehicle</v>
      </c>
      <c r="H38" s="37">
        <v>5</v>
      </c>
      <c r="I38" s="44" t="str">
        <f>VLOOKUP(H38,Key!$A$2:$B$13,2,FALSE)</f>
        <v xml:space="preserve">Medium bus </v>
      </c>
      <c r="J38" s="38" t="s">
        <v>117</v>
      </c>
      <c r="K38" s="38">
        <v>1</v>
      </c>
      <c r="L38" s="45" t="str">
        <f>VLOOKUP(K38,Key!$A$24:$B$29,2,FALSE)</f>
        <v>20-29</v>
      </c>
      <c r="M38" s="60" t="s">
        <v>159</v>
      </c>
      <c r="N38" s="33" t="s">
        <v>159</v>
      </c>
      <c r="O38" s="38" t="s">
        <v>164</v>
      </c>
      <c r="P38" s="40">
        <v>1</v>
      </c>
      <c r="Q38" s="35" t="str">
        <f>VLOOKUP(P38,Key!$E$2:$F$9,2,FALSE)</f>
        <v>Home</v>
      </c>
      <c r="R38" s="38" t="s">
        <v>163</v>
      </c>
      <c r="S38" s="33" t="s">
        <v>163</v>
      </c>
      <c r="T38" s="38" t="s">
        <v>164</v>
      </c>
      <c r="U38" s="33">
        <v>4</v>
      </c>
      <c r="V38" s="35" t="str">
        <f>VLOOKUP(U38,Key!$E$2:$F$9,2,FALSE)</f>
        <v>Commercial</v>
      </c>
      <c r="W38" s="35" t="str">
        <f t="shared" si="0"/>
        <v>Home-Commercial</v>
      </c>
      <c r="X38" s="33">
        <v>300000</v>
      </c>
      <c r="Y38" s="39">
        <v>500</v>
      </c>
      <c r="Z38" s="39">
        <v>7</v>
      </c>
      <c r="AA38" s="33">
        <v>5</v>
      </c>
      <c r="AB38" s="35" t="str">
        <f>VLOOKUP(AA38,Key!$C$20:$D$29,2,FALSE)</f>
        <v>Professional</v>
      </c>
      <c r="AC38" s="33">
        <v>2</v>
      </c>
      <c r="AD38" s="35" t="str">
        <f>VLOOKUP(AC38,Key!$E$20:$F$24,2,FALSE)</f>
        <v>300,000-500,000</v>
      </c>
      <c r="AE38" s="33">
        <v>5</v>
      </c>
      <c r="AF38" s="39">
        <v>4</v>
      </c>
      <c r="AG38" s="39">
        <v>1</v>
      </c>
      <c r="AH38" s="39">
        <v>2</v>
      </c>
      <c r="AI38" s="39">
        <v>3</v>
      </c>
      <c r="AJ38" s="40" t="s">
        <v>100</v>
      </c>
      <c r="AK38" s="41"/>
      <c r="AL38" s="25"/>
      <c r="AM38" s="25"/>
    </row>
    <row r="39" spans="2:39" x14ac:dyDescent="0.2">
      <c r="B39" s="51">
        <v>43771</v>
      </c>
      <c r="C39" s="36">
        <v>0.47430555555555554</v>
      </c>
      <c r="D39" s="36"/>
      <c r="E39" s="36" t="s">
        <v>105</v>
      </c>
      <c r="F39" s="38">
        <v>2</v>
      </c>
      <c r="G39" s="43" t="str">
        <f>VLOOKUP(F39,Key!$A$17:$B$21,2,FALSE)</f>
        <v>Road Vehicle</v>
      </c>
      <c r="H39" s="37">
        <v>5</v>
      </c>
      <c r="I39" s="44" t="str">
        <f>VLOOKUP(H39,Key!$A$2:$B$13,2,FALSE)</f>
        <v xml:space="preserve">Medium bus </v>
      </c>
      <c r="J39" s="38" t="s">
        <v>117</v>
      </c>
      <c r="K39" s="38">
        <v>2</v>
      </c>
      <c r="L39" s="45" t="str">
        <f>VLOOKUP(K39,Key!$A$24:$B$29,2,FALSE)</f>
        <v>30-39</v>
      </c>
      <c r="M39" s="60" t="s">
        <v>163</v>
      </c>
      <c r="N39" s="33" t="s">
        <v>163</v>
      </c>
      <c r="O39" s="38" t="s">
        <v>164</v>
      </c>
      <c r="P39" s="40">
        <v>1</v>
      </c>
      <c r="Q39" s="35" t="str">
        <f>VLOOKUP(P39,Key!$E$2:$F$9,2,FALSE)</f>
        <v>Home</v>
      </c>
      <c r="R39" s="38" t="s">
        <v>166</v>
      </c>
      <c r="S39" s="33" t="s">
        <v>166</v>
      </c>
      <c r="T39" s="38" t="s">
        <v>164</v>
      </c>
      <c r="U39" s="33">
        <v>2</v>
      </c>
      <c r="V39" s="35" t="str">
        <f>VLOOKUP(U39,Key!$E$2:$F$9,2,FALSE)</f>
        <v>Work</v>
      </c>
      <c r="W39" s="35" t="str">
        <f t="shared" si="0"/>
        <v>Home-Work</v>
      </c>
      <c r="X39" s="33">
        <v>200000</v>
      </c>
      <c r="Y39" s="39">
        <v>201</v>
      </c>
      <c r="Z39" s="39">
        <v>4.5</v>
      </c>
      <c r="AA39" s="33">
        <v>5</v>
      </c>
      <c r="AB39" s="35" t="str">
        <f>VLOOKUP(AA39,Key!$C$20:$D$29,2,FALSE)</f>
        <v>Professional</v>
      </c>
      <c r="AC39" s="33">
        <v>3</v>
      </c>
      <c r="AD39" s="35" t="str">
        <f>VLOOKUP(AC39,Key!$E$20:$F$24,2,FALSE)</f>
        <v>500,000-750,000</v>
      </c>
      <c r="AE39" s="33">
        <v>3</v>
      </c>
      <c r="AF39" s="39">
        <v>1</v>
      </c>
      <c r="AG39" s="39">
        <v>5</v>
      </c>
      <c r="AH39" s="39">
        <v>2</v>
      </c>
      <c r="AI39" s="39">
        <v>4</v>
      </c>
      <c r="AJ39" s="40" t="s">
        <v>100</v>
      </c>
      <c r="AK39" s="41">
        <v>3000</v>
      </c>
      <c r="AL39" s="25"/>
      <c r="AM39" s="25"/>
    </row>
    <row r="40" spans="2:39" x14ac:dyDescent="0.2">
      <c r="B40" s="51">
        <v>43771</v>
      </c>
      <c r="C40" s="36" t="s">
        <v>182</v>
      </c>
      <c r="D40" s="36"/>
      <c r="E40" s="36" t="s">
        <v>105</v>
      </c>
      <c r="F40" s="38">
        <v>2</v>
      </c>
      <c r="G40" s="43" t="str">
        <f>VLOOKUP(F40,Key!$A$17:$B$21,2,FALSE)</f>
        <v>Road Vehicle</v>
      </c>
      <c r="H40" s="37">
        <v>5</v>
      </c>
      <c r="I40" s="44" t="str">
        <f>VLOOKUP(H40,Key!$A$2:$B$13,2,FALSE)</f>
        <v xml:space="preserve">Medium bus </v>
      </c>
      <c r="J40" s="38" t="s">
        <v>117</v>
      </c>
      <c r="K40" s="38">
        <v>3</v>
      </c>
      <c r="L40" s="45" t="str">
        <f>VLOOKUP(K40,Key!$A$24:$B$29,2,FALSE)</f>
        <v>40-49</v>
      </c>
      <c r="M40" s="60" t="s">
        <v>181</v>
      </c>
      <c r="N40" s="33" t="s">
        <v>163</v>
      </c>
      <c r="O40" s="38" t="s">
        <v>164</v>
      </c>
      <c r="P40" s="40">
        <v>2</v>
      </c>
      <c r="Q40" s="35" t="str">
        <f>VLOOKUP(P40,Key!$E$2:$F$9,2,FALSE)</f>
        <v>Work</v>
      </c>
      <c r="R40" s="38" t="s">
        <v>172</v>
      </c>
      <c r="S40" s="33" t="s">
        <v>172</v>
      </c>
      <c r="T40" s="38" t="s">
        <v>164</v>
      </c>
      <c r="U40" s="33">
        <v>2</v>
      </c>
      <c r="V40" s="35" t="str">
        <f>VLOOKUP(U40,Key!$E$2:$F$9,2,FALSE)</f>
        <v>Work</v>
      </c>
      <c r="W40" s="35" t="str">
        <f t="shared" ref="W40:W71" si="1">Q40&amp;"-"&amp;V40</f>
        <v>Work-Work</v>
      </c>
      <c r="X40" s="47">
        <v>70000</v>
      </c>
      <c r="Y40" s="39">
        <v>15</v>
      </c>
      <c r="Z40" s="39">
        <v>3</v>
      </c>
      <c r="AA40" s="33">
        <v>6</v>
      </c>
      <c r="AB40" s="35" t="str">
        <f>VLOOKUP(AA40,Key!$C$20:$D$29,2,FALSE)</f>
        <v>Businessman</v>
      </c>
      <c r="AC40" s="33">
        <v>4</v>
      </c>
      <c r="AD40" s="35" t="str">
        <f>VLOOKUP(AC40,Key!$E$20:$F$24,2,FALSE)</f>
        <v>750,000-1,000,000</v>
      </c>
      <c r="AE40" s="33">
        <v>3</v>
      </c>
      <c r="AF40" s="39">
        <v>4</v>
      </c>
      <c r="AG40" s="39">
        <v>5</v>
      </c>
      <c r="AH40" s="39">
        <v>2</v>
      </c>
      <c r="AI40" s="39">
        <v>1</v>
      </c>
      <c r="AJ40" s="40" t="s">
        <v>100</v>
      </c>
      <c r="AK40" s="41">
        <v>2000</v>
      </c>
      <c r="AL40" s="25"/>
      <c r="AM40" s="25"/>
    </row>
    <row r="41" spans="2:39" x14ac:dyDescent="0.2">
      <c r="B41" s="51">
        <v>43771</v>
      </c>
      <c r="C41" s="36">
        <v>0.52500000000000002</v>
      </c>
      <c r="D41" s="36"/>
      <c r="E41" s="36" t="s">
        <v>105</v>
      </c>
      <c r="F41" s="38">
        <v>2</v>
      </c>
      <c r="G41" s="43" t="str">
        <f>VLOOKUP(F41,Key!$A$17:$B$21,2,FALSE)</f>
        <v>Road Vehicle</v>
      </c>
      <c r="H41" s="37">
        <v>5</v>
      </c>
      <c r="I41" s="44" t="str">
        <f>VLOOKUP(H41,Key!$A$2:$B$13,2,FALSE)</f>
        <v xml:space="preserve">Medium bus </v>
      </c>
      <c r="J41" s="38" t="s">
        <v>117</v>
      </c>
      <c r="K41" s="38">
        <v>3</v>
      </c>
      <c r="L41" s="45" t="str">
        <f>VLOOKUP(K41,Key!$A$24:$B$29,2,FALSE)</f>
        <v>40-49</v>
      </c>
      <c r="M41" s="60" t="s">
        <v>163</v>
      </c>
      <c r="N41" s="33" t="s">
        <v>163</v>
      </c>
      <c r="O41" s="38" t="s">
        <v>164</v>
      </c>
      <c r="P41" s="40">
        <v>1</v>
      </c>
      <c r="Q41" s="35" t="str">
        <f>VLOOKUP(P41,Key!$E$2:$F$9,2,FALSE)</f>
        <v>Home</v>
      </c>
      <c r="R41" s="38" t="s">
        <v>173</v>
      </c>
      <c r="S41" s="33" t="s">
        <v>173</v>
      </c>
      <c r="T41" s="38" t="s">
        <v>164</v>
      </c>
      <c r="U41" s="33">
        <v>2</v>
      </c>
      <c r="V41" s="35" t="str">
        <f>VLOOKUP(U41,Key!$E$2:$F$9,2,FALSE)</f>
        <v>Work</v>
      </c>
      <c r="W41" s="35" t="str">
        <f t="shared" si="1"/>
        <v>Home-Work</v>
      </c>
      <c r="X41" s="33">
        <v>40000</v>
      </c>
      <c r="Y41" s="39">
        <v>39</v>
      </c>
      <c r="Z41" s="39">
        <v>2</v>
      </c>
      <c r="AA41" s="33">
        <v>5</v>
      </c>
      <c r="AB41" s="35" t="str">
        <f>VLOOKUP(AA41,Key!$C$20:$D$29,2,FALSE)</f>
        <v>Professional</v>
      </c>
      <c r="AC41" s="33">
        <v>3</v>
      </c>
      <c r="AD41" s="35" t="str">
        <f>VLOOKUP(AC41,Key!$E$20:$F$24,2,FALSE)</f>
        <v>500,000-750,000</v>
      </c>
      <c r="AE41" s="33">
        <v>3</v>
      </c>
      <c r="AF41" s="39">
        <v>1</v>
      </c>
      <c r="AG41" s="39">
        <v>2</v>
      </c>
      <c r="AH41" s="39">
        <v>5</v>
      </c>
      <c r="AI41" s="39">
        <v>4</v>
      </c>
      <c r="AJ41" s="40" t="s">
        <v>100</v>
      </c>
      <c r="AK41" s="41">
        <v>2000</v>
      </c>
      <c r="AL41" s="25"/>
      <c r="AM41" s="25"/>
    </row>
    <row r="42" spans="2:39" x14ac:dyDescent="0.2">
      <c r="B42" s="51">
        <v>43771</v>
      </c>
      <c r="C42" s="36">
        <v>0.40625</v>
      </c>
      <c r="D42" s="36"/>
      <c r="E42" s="36" t="s">
        <v>105</v>
      </c>
      <c r="F42" s="38">
        <v>2</v>
      </c>
      <c r="G42" s="43" t="str">
        <f>VLOOKUP(F42,Key!$A$17:$B$21,2,FALSE)</f>
        <v>Road Vehicle</v>
      </c>
      <c r="H42" s="37">
        <v>5</v>
      </c>
      <c r="I42" s="44" t="str">
        <f>VLOOKUP(H42,Key!$A$2:$B$13,2,FALSE)</f>
        <v xml:space="preserve">Medium bus </v>
      </c>
      <c r="J42" s="38" t="s">
        <v>117</v>
      </c>
      <c r="K42" s="38">
        <v>4</v>
      </c>
      <c r="L42" s="45" t="str">
        <f>VLOOKUP(K42,Key!$A$24:$B$29,2,FALSE)</f>
        <v>50-59</v>
      </c>
      <c r="M42" s="60" t="s">
        <v>163</v>
      </c>
      <c r="N42" s="33" t="s">
        <v>163</v>
      </c>
      <c r="O42" s="38" t="s">
        <v>164</v>
      </c>
      <c r="P42" s="40">
        <v>2</v>
      </c>
      <c r="Q42" s="35" t="str">
        <f>VLOOKUP(P42,Key!$E$2:$F$9,2,FALSE)</f>
        <v>Work</v>
      </c>
      <c r="R42" s="38" t="s">
        <v>167</v>
      </c>
      <c r="S42" s="33" t="s">
        <v>167</v>
      </c>
      <c r="T42" s="38" t="s">
        <v>164</v>
      </c>
      <c r="U42" s="33">
        <v>2</v>
      </c>
      <c r="V42" s="35" t="str">
        <f>VLOOKUP(U42,Key!$E$2:$F$9,2,FALSE)</f>
        <v>Work</v>
      </c>
      <c r="W42" s="35" t="str">
        <f t="shared" si="1"/>
        <v>Work-Work</v>
      </c>
      <c r="X42" s="47">
        <v>165000</v>
      </c>
      <c r="Y42" s="39">
        <v>192</v>
      </c>
      <c r="Z42" s="39">
        <v>4</v>
      </c>
      <c r="AA42" s="33">
        <v>5</v>
      </c>
      <c r="AB42" s="35" t="str">
        <f>VLOOKUP(AA42,Key!$C$20:$D$29,2,FALSE)</f>
        <v>Professional</v>
      </c>
      <c r="AC42" s="33">
        <v>4</v>
      </c>
      <c r="AD42" s="35" t="str">
        <f>VLOOKUP(AC42,Key!$E$20:$F$24,2,FALSE)</f>
        <v>750,000-1,000,000</v>
      </c>
      <c r="AE42" s="33">
        <v>3</v>
      </c>
      <c r="AF42" s="39">
        <v>4</v>
      </c>
      <c r="AG42" s="39">
        <v>5</v>
      </c>
      <c r="AH42" s="39">
        <v>1</v>
      </c>
      <c r="AI42" s="39">
        <v>2</v>
      </c>
      <c r="AJ42" s="40" t="s">
        <v>100</v>
      </c>
      <c r="AK42" s="41">
        <v>4000</v>
      </c>
      <c r="AL42" s="25"/>
      <c r="AM42" s="25"/>
    </row>
    <row r="43" spans="2:39" x14ac:dyDescent="0.2">
      <c r="B43" s="51">
        <v>43771</v>
      </c>
      <c r="C43" s="36">
        <v>0.52361111111111114</v>
      </c>
      <c r="D43" s="36"/>
      <c r="E43" s="36" t="s">
        <v>105</v>
      </c>
      <c r="F43" s="38">
        <v>2</v>
      </c>
      <c r="G43" s="43" t="str">
        <f>VLOOKUP(F43,Key!$A$17:$B$21,2,FALSE)</f>
        <v>Road Vehicle</v>
      </c>
      <c r="H43" s="37">
        <v>8</v>
      </c>
      <c r="I43" s="44" t="str">
        <f>VLOOKUP(H43,Key!$A$2:$B$13,2,FALSE)</f>
        <v xml:space="preserve">Medium Truck </v>
      </c>
      <c r="J43" s="38" t="s">
        <v>117</v>
      </c>
      <c r="K43" s="38">
        <v>1</v>
      </c>
      <c r="L43" s="45" t="str">
        <f>VLOOKUP(K43,Key!$A$24:$B$29,2,FALSE)</f>
        <v>20-29</v>
      </c>
      <c r="M43" s="60" t="s">
        <v>163</v>
      </c>
      <c r="N43" s="33" t="s">
        <v>163</v>
      </c>
      <c r="O43" s="38" t="s">
        <v>164</v>
      </c>
      <c r="P43" s="40">
        <v>1</v>
      </c>
      <c r="Q43" s="35" t="str">
        <f>VLOOKUP(P43,Key!$E$2:$F$9,2,FALSE)</f>
        <v>Home</v>
      </c>
      <c r="R43" s="38" t="s">
        <v>175</v>
      </c>
      <c r="S43" s="33" t="s">
        <v>175</v>
      </c>
      <c r="T43" s="38" t="s">
        <v>164</v>
      </c>
      <c r="U43" s="33">
        <v>2</v>
      </c>
      <c r="V43" s="35" t="str">
        <f>VLOOKUP(U43,Key!$E$2:$F$9,2,FALSE)</f>
        <v>Work</v>
      </c>
      <c r="W43" s="35" t="str">
        <f t="shared" si="1"/>
        <v>Home-Work</v>
      </c>
      <c r="X43" s="47">
        <v>250000</v>
      </c>
      <c r="Y43" s="39">
        <v>335</v>
      </c>
      <c r="Z43" s="39">
        <v>5</v>
      </c>
      <c r="AA43" s="33">
        <v>5</v>
      </c>
      <c r="AB43" s="35" t="str">
        <f>VLOOKUP(AA43,Key!$C$20:$D$29,2,FALSE)</f>
        <v>Professional</v>
      </c>
      <c r="AC43" s="33">
        <v>4</v>
      </c>
      <c r="AD43" s="35" t="str">
        <f>VLOOKUP(AC43,Key!$E$20:$F$24,2,FALSE)</f>
        <v>750,000-1,000,000</v>
      </c>
      <c r="AE43" s="33">
        <v>5</v>
      </c>
      <c r="AF43" s="39">
        <v>2</v>
      </c>
      <c r="AG43" s="39">
        <v>1</v>
      </c>
      <c r="AH43" s="39">
        <v>3</v>
      </c>
      <c r="AI43" s="39">
        <v>4</v>
      </c>
      <c r="AJ43" s="40" t="s">
        <v>100</v>
      </c>
      <c r="AK43" s="41">
        <v>3000</v>
      </c>
      <c r="AL43" s="25"/>
      <c r="AM43" s="25"/>
    </row>
    <row r="44" spans="2:39" x14ac:dyDescent="0.2">
      <c r="B44" s="51">
        <v>43771</v>
      </c>
      <c r="C44" s="36">
        <v>0.45555555555555555</v>
      </c>
      <c r="D44" s="36"/>
      <c r="E44" s="36" t="s">
        <v>105</v>
      </c>
      <c r="F44" s="38">
        <v>2</v>
      </c>
      <c r="G44" s="43" t="str">
        <f>VLOOKUP(F44,Key!$A$17:$B$21,2,FALSE)</f>
        <v>Road Vehicle</v>
      </c>
      <c r="H44" s="37">
        <v>8</v>
      </c>
      <c r="I44" s="44" t="str">
        <f>VLOOKUP(H44,Key!$A$2:$B$13,2,FALSE)</f>
        <v xml:space="preserve">Medium Truck </v>
      </c>
      <c r="J44" s="38" t="s">
        <v>117</v>
      </c>
      <c r="K44" s="38">
        <v>2</v>
      </c>
      <c r="L44" s="45" t="str">
        <f>VLOOKUP(K44,Key!$A$24:$B$29,2,FALSE)</f>
        <v>30-39</v>
      </c>
      <c r="M44" s="60" t="s">
        <v>181</v>
      </c>
      <c r="N44" s="33" t="s">
        <v>163</v>
      </c>
      <c r="O44" s="38" t="s">
        <v>164</v>
      </c>
      <c r="P44" s="40">
        <v>2</v>
      </c>
      <c r="Q44" s="35" t="str">
        <f>VLOOKUP(P44,Key!$E$2:$F$9,2,FALSE)</f>
        <v>Work</v>
      </c>
      <c r="R44" s="38" t="s">
        <v>173</v>
      </c>
      <c r="S44" s="33" t="s">
        <v>173</v>
      </c>
      <c r="T44" s="38" t="s">
        <v>164</v>
      </c>
      <c r="U44" s="33">
        <v>2</v>
      </c>
      <c r="V44" s="35" t="str">
        <f>VLOOKUP(U44,Key!$E$2:$F$9,2,FALSE)</f>
        <v>Work</v>
      </c>
      <c r="W44" s="35" t="str">
        <f t="shared" si="1"/>
        <v>Work-Work</v>
      </c>
      <c r="X44" s="47">
        <v>45000</v>
      </c>
      <c r="Y44" s="39">
        <v>39</v>
      </c>
      <c r="Z44" s="39">
        <v>2</v>
      </c>
      <c r="AA44" s="33">
        <v>5</v>
      </c>
      <c r="AB44" s="35" t="str">
        <f>VLOOKUP(AA44,Key!$C$20:$D$29,2,FALSE)</f>
        <v>Professional</v>
      </c>
      <c r="AC44" s="33">
        <v>3</v>
      </c>
      <c r="AD44" s="35" t="str">
        <f>VLOOKUP(AC44,Key!$E$20:$F$24,2,FALSE)</f>
        <v>500,000-750,000</v>
      </c>
      <c r="AE44" s="33">
        <v>3</v>
      </c>
      <c r="AF44" s="39">
        <v>2</v>
      </c>
      <c r="AG44" s="39">
        <v>4</v>
      </c>
      <c r="AH44" s="39">
        <v>1</v>
      </c>
      <c r="AI44" s="39">
        <v>5</v>
      </c>
      <c r="AJ44" s="40" t="s">
        <v>100</v>
      </c>
      <c r="AK44" s="41">
        <v>1000</v>
      </c>
      <c r="AL44" s="25"/>
      <c r="AM44" s="25"/>
    </row>
    <row r="45" spans="2:39" x14ac:dyDescent="0.2">
      <c r="B45" s="51">
        <v>43771</v>
      </c>
      <c r="C45" s="36">
        <v>0.56180555555555556</v>
      </c>
      <c r="D45" s="36"/>
      <c r="E45" s="36" t="s">
        <v>105</v>
      </c>
      <c r="F45" s="38">
        <v>2</v>
      </c>
      <c r="G45" s="43" t="str">
        <f>VLOOKUP(F45,Key!$A$17:$B$21,2,FALSE)</f>
        <v>Road Vehicle</v>
      </c>
      <c r="H45" s="37">
        <v>8</v>
      </c>
      <c r="I45" s="44" t="str">
        <f>VLOOKUP(H45,Key!$A$2:$B$13,2,FALSE)</f>
        <v xml:space="preserve">Medium Truck </v>
      </c>
      <c r="J45" s="38" t="s">
        <v>117</v>
      </c>
      <c r="K45" s="38">
        <v>2</v>
      </c>
      <c r="L45" s="45" t="str">
        <f>VLOOKUP(K45,Key!$A$24:$B$29,2,FALSE)</f>
        <v>30-39</v>
      </c>
      <c r="M45" s="60" t="s">
        <v>163</v>
      </c>
      <c r="N45" s="33" t="s">
        <v>163</v>
      </c>
      <c r="O45" s="38" t="s">
        <v>164</v>
      </c>
      <c r="P45" s="40">
        <v>1</v>
      </c>
      <c r="Q45" s="35" t="str">
        <f>VLOOKUP(P45,Key!$E$2:$F$9,2,FALSE)</f>
        <v>Home</v>
      </c>
      <c r="R45" s="38" t="s">
        <v>186</v>
      </c>
      <c r="S45" s="33" t="s">
        <v>186</v>
      </c>
      <c r="T45" s="38" t="s">
        <v>164</v>
      </c>
      <c r="U45" s="33">
        <v>2</v>
      </c>
      <c r="V45" s="35" t="str">
        <f>VLOOKUP(U45,Key!$E$2:$F$9,2,FALSE)</f>
        <v>Work</v>
      </c>
      <c r="W45" s="35" t="str">
        <f t="shared" si="1"/>
        <v>Home-Work</v>
      </c>
      <c r="X45" s="47">
        <v>270000</v>
      </c>
      <c r="Y45" s="39">
        <v>259</v>
      </c>
      <c r="Z45" s="39">
        <v>4</v>
      </c>
      <c r="AA45" s="33">
        <v>5</v>
      </c>
      <c r="AB45" s="35" t="str">
        <f>VLOOKUP(AA45,Key!$C$20:$D$29,2,FALSE)</f>
        <v>Professional</v>
      </c>
      <c r="AC45" s="33">
        <v>4</v>
      </c>
      <c r="AD45" s="35" t="str">
        <f>VLOOKUP(AC45,Key!$E$20:$F$24,2,FALSE)</f>
        <v>750,000-1,000,000</v>
      </c>
      <c r="AE45" s="33">
        <v>5</v>
      </c>
      <c r="AF45" s="39">
        <v>4</v>
      </c>
      <c r="AG45" s="39">
        <v>2</v>
      </c>
      <c r="AH45" s="39">
        <v>1</v>
      </c>
      <c r="AI45" s="39">
        <v>3</v>
      </c>
      <c r="AJ45" s="40" t="s">
        <v>100</v>
      </c>
      <c r="AK45" s="41">
        <v>10000</v>
      </c>
      <c r="AL45" s="25"/>
      <c r="AM45" s="25"/>
    </row>
    <row r="46" spans="2:39" x14ac:dyDescent="0.2">
      <c r="B46" s="51">
        <v>43771</v>
      </c>
      <c r="C46" s="36">
        <v>0.41666666666666669</v>
      </c>
      <c r="D46" s="36"/>
      <c r="E46" s="36" t="s">
        <v>105</v>
      </c>
      <c r="F46" s="38">
        <v>2</v>
      </c>
      <c r="G46" s="43" t="str">
        <f>VLOOKUP(F46,Key!$A$17:$B$21,2,FALSE)</f>
        <v>Road Vehicle</v>
      </c>
      <c r="H46" s="37">
        <v>8</v>
      </c>
      <c r="I46" s="44" t="str">
        <f>VLOOKUP(H46,Key!$A$2:$B$13,2,FALSE)</f>
        <v xml:space="preserve">Medium Truck </v>
      </c>
      <c r="J46" s="38" t="s">
        <v>117</v>
      </c>
      <c r="K46" s="38">
        <v>2</v>
      </c>
      <c r="L46" s="45" t="str">
        <f>VLOOKUP(K46,Key!$A$24:$B$29,2,FALSE)</f>
        <v>30-39</v>
      </c>
      <c r="M46" s="60" t="s">
        <v>163</v>
      </c>
      <c r="N46" s="33" t="s">
        <v>163</v>
      </c>
      <c r="O46" s="38" t="s">
        <v>164</v>
      </c>
      <c r="P46" s="40">
        <v>1</v>
      </c>
      <c r="Q46" s="35" t="str">
        <f>VLOOKUP(P46,Key!$E$2:$F$9,2,FALSE)</f>
        <v>Home</v>
      </c>
      <c r="R46" s="38" t="s">
        <v>200</v>
      </c>
      <c r="S46" s="33" t="s">
        <v>200</v>
      </c>
      <c r="T46" s="38" t="s">
        <v>164</v>
      </c>
      <c r="U46" s="33">
        <v>2</v>
      </c>
      <c r="V46" s="35" t="str">
        <f>VLOOKUP(U46,Key!$E$2:$F$9,2,FALSE)</f>
        <v>Work</v>
      </c>
      <c r="W46" s="35" t="str">
        <f t="shared" si="1"/>
        <v>Home-Work</v>
      </c>
      <c r="X46" s="33">
        <v>180000</v>
      </c>
      <c r="Y46" s="39">
        <v>141</v>
      </c>
      <c r="Z46" s="39">
        <v>3.5</v>
      </c>
      <c r="AA46" s="33">
        <v>5</v>
      </c>
      <c r="AB46" s="35" t="str">
        <f>VLOOKUP(AA46,Key!$C$20:$D$29,2,FALSE)</f>
        <v>Professional</v>
      </c>
      <c r="AC46" s="33">
        <v>4</v>
      </c>
      <c r="AD46" s="35" t="str">
        <f>VLOOKUP(AC46,Key!$E$20:$F$24,2,FALSE)</f>
        <v>750,000-1,000,000</v>
      </c>
      <c r="AE46" s="33">
        <v>4</v>
      </c>
      <c r="AF46" s="39">
        <v>3</v>
      </c>
      <c r="AG46" s="39">
        <v>1</v>
      </c>
      <c r="AH46" s="39">
        <v>2</v>
      </c>
      <c r="AI46" s="39">
        <v>5</v>
      </c>
      <c r="AJ46" s="40" t="s">
        <v>100</v>
      </c>
      <c r="AK46" s="41">
        <v>3000</v>
      </c>
      <c r="AL46" s="25"/>
      <c r="AM46" s="25"/>
    </row>
    <row r="47" spans="2:39" x14ac:dyDescent="0.2">
      <c r="B47" s="51">
        <v>43771</v>
      </c>
      <c r="C47" s="36">
        <v>0.57361111111111118</v>
      </c>
      <c r="D47" s="36"/>
      <c r="E47" s="36" t="s">
        <v>105</v>
      </c>
      <c r="F47" s="38">
        <v>2</v>
      </c>
      <c r="G47" s="43" t="str">
        <f>VLOOKUP(F47,Key!$A$17:$B$21,2,FALSE)</f>
        <v>Road Vehicle</v>
      </c>
      <c r="H47" s="37">
        <v>8</v>
      </c>
      <c r="I47" s="44" t="str">
        <f>VLOOKUP(H47,Key!$A$2:$B$13,2,FALSE)</f>
        <v xml:space="preserve">Medium Truck </v>
      </c>
      <c r="J47" s="38" t="s">
        <v>117</v>
      </c>
      <c r="K47" s="38">
        <v>2</v>
      </c>
      <c r="L47" s="45" t="str">
        <f>VLOOKUP(K47,Key!$A$24:$B$29,2,FALSE)</f>
        <v>30-39</v>
      </c>
      <c r="M47" s="60" t="s">
        <v>163</v>
      </c>
      <c r="N47" s="33" t="s">
        <v>163</v>
      </c>
      <c r="O47" s="38" t="s">
        <v>164</v>
      </c>
      <c r="P47" s="40">
        <v>1</v>
      </c>
      <c r="Q47" s="35" t="str">
        <f>VLOOKUP(P47,Key!$E$2:$F$9,2,FALSE)</f>
        <v>Home</v>
      </c>
      <c r="R47" s="38" t="s">
        <v>203</v>
      </c>
      <c r="S47" s="33" t="s">
        <v>203</v>
      </c>
      <c r="T47" s="38" t="s">
        <v>164</v>
      </c>
      <c r="U47" s="33">
        <v>2</v>
      </c>
      <c r="V47" s="35" t="str">
        <f>VLOOKUP(U47,Key!$E$2:$F$9,2,FALSE)</f>
        <v>Work</v>
      </c>
      <c r="W47" s="35" t="str">
        <f t="shared" si="1"/>
        <v>Home-Work</v>
      </c>
      <c r="X47" s="33">
        <v>40000</v>
      </c>
      <c r="Y47" s="39">
        <v>36</v>
      </c>
      <c r="Z47" s="39">
        <v>2</v>
      </c>
      <c r="AA47" s="33">
        <v>5</v>
      </c>
      <c r="AB47" s="35" t="str">
        <f>VLOOKUP(AA47,Key!$C$20:$D$29,2,FALSE)</f>
        <v>Professional</v>
      </c>
      <c r="AC47" s="33">
        <v>4</v>
      </c>
      <c r="AD47" s="35" t="str">
        <f>VLOOKUP(AC47,Key!$E$20:$F$24,2,FALSE)</f>
        <v>750,000-1,000,000</v>
      </c>
      <c r="AE47" s="33">
        <v>3</v>
      </c>
      <c r="AF47" s="39">
        <v>1</v>
      </c>
      <c r="AG47" s="39">
        <v>2</v>
      </c>
      <c r="AH47" s="39">
        <v>4</v>
      </c>
      <c r="AI47" s="39">
        <v>5</v>
      </c>
      <c r="AJ47" s="40" t="s">
        <v>100</v>
      </c>
      <c r="AK47" s="41">
        <v>3000</v>
      </c>
      <c r="AL47" s="25"/>
      <c r="AM47" s="25"/>
    </row>
    <row r="48" spans="2:39" x14ac:dyDescent="0.2">
      <c r="B48" s="51">
        <v>43771</v>
      </c>
      <c r="C48" s="36">
        <v>0.55694444444444446</v>
      </c>
      <c r="D48" s="36"/>
      <c r="E48" s="36" t="s">
        <v>105</v>
      </c>
      <c r="F48" s="38">
        <v>2</v>
      </c>
      <c r="G48" s="43" t="str">
        <f>VLOOKUP(F48,Key!$A$17:$B$21,2,FALSE)</f>
        <v>Road Vehicle</v>
      </c>
      <c r="H48" s="37">
        <v>8</v>
      </c>
      <c r="I48" s="44" t="str">
        <f>VLOOKUP(H48,Key!$A$2:$B$13,2,FALSE)</f>
        <v xml:space="preserve">Medium Truck </v>
      </c>
      <c r="J48" s="38" t="s">
        <v>117</v>
      </c>
      <c r="K48" s="38">
        <v>2</v>
      </c>
      <c r="L48" s="45" t="str">
        <f>VLOOKUP(K48,Key!$A$24:$B$29,2,FALSE)</f>
        <v>30-39</v>
      </c>
      <c r="M48" s="60" t="s">
        <v>163</v>
      </c>
      <c r="N48" s="33" t="s">
        <v>163</v>
      </c>
      <c r="O48" s="38" t="s">
        <v>164</v>
      </c>
      <c r="P48" s="40">
        <v>1</v>
      </c>
      <c r="Q48" s="35" t="str">
        <f>VLOOKUP(P48,Key!$E$2:$F$9,2,FALSE)</f>
        <v>Home</v>
      </c>
      <c r="R48" s="38" t="s">
        <v>209</v>
      </c>
      <c r="S48" s="33" t="s">
        <v>209</v>
      </c>
      <c r="T48" s="38" t="s">
        <v>164</v>
      </c>
      <c r="U48" s="33">
        <v>4</v>
      </c>
      <c r="V48" s="35" t="str">
        <f>VLOOKUP(U48,Key!$E$2:$F$9,2,FALSE)</f>
        <v>Commercial</v>
      </c>
      <c r="W48" s="35" t="str">
        <f t="shared" si="1"/>
        <v>Home-Commercial</v>
      </c>
      <c r="X48" s="33">
        <v>60000</v>
      </c>
      <c r="Y48" s="39">
        <v>49</v>
      </c>
      <c r="Z48" s="39">
        <v>2</v>
      </c>
      <c r="AA48" s="33">
        <v>5</v>
      </c>
      <c r="AB48" s="35" t="str">
        <f>VLOOKUP(AA48,Key!$C$20:$D$29,2,FALSE)</f>
        <v>Professional</v>
      </c>
      <c r="AC48" s="33">
        <v>4</v>
      </c>
      <c r="AD48" s="35" t="str">
        <f>VLOOKUP(AC48,Key!$E$20:$F$24,2,FALSE)</f>
        <v>750,000-1,000,000</v>
      </c>
      <c r="AE48" s="33">
        <v>4</v>
      </c>
      <c r="AF48" s="39">
        <v>1</v>
      </c>
      <c r="AG48" s="39">
        <v>3</v>
      </c>
      <c r="AH48" s="39">
        <v>2</v>
      </c>
      <c r="AI48" s="39">
        <v>5</v>
      </c>
      <c r="AJ48" s="40" t="s">
        <v>100</v>
      </c>
      <c r="AK48" s="41">
        <v>3000</v>
      </c>
      <c r="AL48" s="25"/>
      <c r="AM48" s="25"/>
    </row>
    <row r="49" spans="2:39" x14ac:dyDescent="0.2">
      <c r="B49" s="51">
        <v>43771</v>
      </c>
      <c r="C49" s="36">
        <v>0.51180555555555551</v>
      </c>
      <c r="D49" s="36"/>
      <c r="E49" s="36" t="s">
        <v>105</v>
      </c>
      <c r="F49" s="38">
        <v>2</v>
      </c>
      <c r="G49" s="43" t="str">
        <f>VLOOKUP(F49,Key!$A$17:$B$21,2,FALSE)</f>
        <v>Road Vehicle</v>
      </c>
      <c r="H49" s="37">
        <v>8</v>
      </c>
      <c r="I49" s="44" t="str">
        <f>VLOOKUP(H49,Key!$A$2:$B$13,2,FALSE)</f>
        <v xml:space="preserve">Medium Truck </v>
      </c>
      <c r="J49" s="38" t="s">
        <v>117</v>
      </c>
      <c r="K49" s="38">
        <v>2</v>
      </c>
      <c r="L49" s="45" t="str">
        <f>VLOOKUP(K49,Key!$A$24:$B$29,2,FALSE)</f>
        <v>30-39</v>
      </c>
      <c r="M49" s="60" t="s">
        <v>163</v>
      </c>
      <c r="N49" s="33" t="s">
        <v>163</v>
      </c>
      <c r="O49" s="38" t="s">
        <v>164</v>
      </c>
      <c r="P49" s="40">
        <v>1</v>
      </c>
      <c r="Q49" s="35" t="str">
        <f>VLOOKUP(P49,Key!$E$2:$F$9,2,FALSE)</f>
        <v>Home</v>
      </c>
      <c r="R49" s="38" t="s">
        <v>213</v>
      </c>
      <c r="S49" s="33" t="s">
        <v>213</v>
      </c>
      <c r="T49" s="38" t="s">
        <v>164</v>
      </c>
      <c r="U49" s="33">
        <v>1</v>
      </c>
      <c r="V49" s="35" t="str">
        <f>VLOOKUP(U49,Key!$E$2:$F$9,2,FALSE)</f>
        <v>Home</v>
      </c>
      <c r="W49" s="35" t="str">
        <f t="shared" si="1"/>
        <v>Home-Home</v>
      </c>
      <c r="X49" s="33">
        <v>170000</v>
      </c>
      <c r="Y49" s="39">
        <v>190</v>
      </c>
      <c r="Z49" s="39">
        <v>4</v>
      </c>
      <c r="AA49" s="33">
        <v>5</v>
      </c>
      <c r="AB49" s="35" t="str">
        <f>VLOOKUP(AA49,Key!$C$20:$D$29,2,FALSE)</f>
        <v>Professional</v>
      </c>
      <c r="AC49" s="33">
        <v>4</v>
      </c>
      <c r="AD49" s="35" t="str">
        <f>VLOOKUP(AC49,Key!$E$20:$F$24,2,FALSE)</f>
        <v>750,000-1,000,000</v>
      </c>
      <c r="AE49" s="33">
        <v>3</v>
      </c>
      <c r="AF49" s="39">
        <v>1</v>
      </c>
      <c r="AG49" s="39">
        <v>2</v>
      </c>
      <c r="AH49" s="39">
        <v>5</v>
      </c>
      <c r="AI49" s="39">
        <v>4</v>
      </c>
      <c r="AJ49" s="40" t="s">
        <v>100</v>
      </c>
      <c r="AK49" s="41">
        <v>3000</v>
      </c>
      <c r="AL49" s="25"/>
      <c r="AM49" s="25"/>
    </row>
    <row r="50" spans="2:39" x14ac:dyDescent="0.2">
      <c r="B50" s="51">
        <v>43771</v>
      </c>
      <c r="C50" s="36">
        <v>0.50277777777777777</v>
      </c>
      <c r="D50" s="36"/>
      <c r="E50" s="36" t="s">
        <v>105</v>
      </c>
      <c r="F50" s="38">
        <v>2</v>
      </c>
      <c r="G50" s="43" t="str">
        <f>VLOOKUP(F50,Key!$A$17:$B$21,2,FALSE)</f>
        <v>Road Vehicle</v>
      </c>
      <c r="H50" s="37">
        <v>8</v>
      </c>
      <c r="I50" s="44" t="str">
        <f>VLOOKUP(H50,Key!$A$2:$B$13,2,FALSE)</f>
        <v xml:space="preserve">Medium Truck </v>
      </c>
      <c r="J50" s="38" t="s">
        <v>117</v>
      </c>
      <c r="K50" s="38">
        <v>2</v>
      </c>
      <c r="L50" s="45" t="str">
        <f>VLOOKUP(K50,Key!$A$24:$B$29,2,FALSE)</f>
        <v>30-39</v>
      </c>
      <c r="M50" s="60" t="s">
        <v>163</v>
      </c>
      <c r="N50" s="33" t="s">
        <v>163</v>
      </c>
      <c r="O50" s="38" t="s">
        <v>164</v>
      </c>
      <c r="P50" s="40">
        <v>1</v>
      </c>
      <c r="Q50" s="35" t="str">
        <f>VLOOKUP(P50,Key!$E$2:$F$9,2,FALSE)</f>
        <v>Home</v>
      </c>
      <c r="R50" s="38" t="s">
        <v>214</v>
      </c>
      <c r="S50" s="33" t="s">
        <v>214</v>
      </c>
      <c r="T50" s="38" t="s">
        <v>164</v>
      </c>
      <c r="U50" s="33">
        <v>2</v>
      </c>
      <c r="V50" s="35" t="str">
        <f>VLOOKUP(U50,Key!$E$2:$F$9,2,FALSE)</f>
        <v>Work</v>
      </c>
      <c r="W50" s="35" t="str">
        <f t="shared" si="1"/>
        <v>Home-Work</v>
      </c>
      <c r="X50" s="33">
        <v>110000</v>
      </c>
      <c r="Y50" s="39">
        <v>101</v>
      </c>
      <c r="Z50" s="39">
        <v>3.5</v>
      </c>
      <c r="AA50" s="33">
        <v>5</v>
      </c>
      <c r="AB50" s="35" t="str">
        <f>VLOOKUP(AA50,Key!$C$20:$D$29,2,FALSE)</f>
        <v>Professional</v>
      </c>
      <c r="AC50" s="33">
        <v>3</v>
      </c>
      <c r="AD50" s="35" t="str">
        <f>VLOOKUP(AC50,Key!$E$20:$F$24,2,FALSE)</f>
        <v>500,000-750,000</v>
      </c>
      <c r="AE50" s="33">
        <v>3</v>
      </c>
      <c r="AF50" s="39">
        <v>5</v>
      </c>
      <c r="AG50" s="39">
        <v>1</v>
      </c>
      <c r="AH50" s="39">
        <v>2</v>
      </c>
      <c r="AI50" s="39">
        <v>3</v>
      </c>
      <c r="AJ50" s="40" t="s">
        <v>100</v>
      </c>
      <c r="AK50" s="41">
        <v>4000</v>
      </c>
      <c r="AL50" s="25"/>
      <c r="AM50" s="25"/>
    </row>
    <row r="51" spans="2:39" x14ac:dyDescent="0.2">
      <c r="B51" s="51">
        <v>43771</v>
      </c>
      <c r="C51" s="36">
        <v>0.46666666666666662</v>
      </c>
      <c r="D51" s="36"/>
      <c r="E51" s="36" t="s">
        <v>105</v>
      </c>
      <c r="F51" s="38">
        <v>2</v>
      </c>
      <c r="G51" s="43" t="str">
        <f>VLOOKUP(F51,Key!$A$17:$B$21,2,FALSE)</f>
        <v>Road Vehicle</v>
      </c>
      <c r="H51" s="37">
        <v>8</v>
      </c>
      <c r="I51" s="44" t="str">
        <f>VLOOKUP(H51,Key!$A$2:$B$13,2,FALSE)</f>
        <v xml:space="preserve">Medium Truck </v>
      </c>
      <c r="J51" s="38" t="s">
        <v>117</v>
      </c>
      <c r="K51" s="38">
        <v>3</v>
      </c>
      <c r="L51" s="45" t="str">
        <f>VLOOKUP(K51,Key!$A$24:$B$29,2,FALSE)</f>
        <v>40-49</v>
      </c>
      <c r="M51" s="60" t="s">
        <v>181</v>
      </c>
      <c r="N51" s="33" t="s">
        <v>163</v>
      </c>
      <c r="O51" s="38" t="s">
        <v>164</v>
      </c>
      <c r="P51" s="40">
        <v>2</v>
      </c>
      <c r="Q51" s="35" t="str">
        <f>VLOOKUP(P51,Key!$E$2:$F$9,2,FALSE)</f>
        <v>Work</v>
      </c>
      <c r="R51" s="38" t="s">
        <v>165</v>
      </c>
      <c r="S51" s="33" t="s">
        <v>175</v>
      </c>
      <c r="T51" s="38" t="s">
        <v>164</v>
      </c>
      <c r="U51" s="33">
        <v>2</v>
      </c>
      <c r="V51" s="35" t="str">
        <f>VLOOKUP(U51,Key!$E$2:$F$9,2,FALSE)</f>
        <v>Work</v>
      </c>
      <c r="W51" s="35" t="str">
        <f t="shared" si="1"/>
        <v>Work-Work</v>
      </c>
      <c r="X51" s="47">
        <v>220000</v>
      </c>
      <c r="Y51" s="39">
        <v>266</v>
      </c>
      <c r="Z51" s="39">
        <v>6</v>
      </c>
      <c r="AA51" s="33">
        <v>5</v>
      </c>
      <c r="AB51" s="35" t="str">
        <f>VLOOKUP(AA51,Key!$C$20:$D$29,2,FALSE)</f>
        <v>Professional</v>
      </c>
      <c r="AC51" s="33"/>
      <c r="AD51" s="35" t="e">
        <f>VLOOKUP(AC51,Key!$E$20:$F$24,2,FALSE)</f>
        <v>#N/A</v>
      </c>
      <c r="AE51" s="33">
        <v>1</v>
      </c>
      <c r="AF51" s="39">
        <v>2</v>
      </c>
      <c r="AG51" s="39">
        <v>3</v>
      </c>
      <c r="AH51" s="39">
        <v>3</v>
      </c>
      <c r="AI51" s="39">
        <v>4</v>
      </c>
      <c r="AJ51" s="40" t="s">
        <v>100</v>
      </c>
      <c r="AK51" s="41">
        <v>1000</v>
      </c>
      <c r="AL51" s="25"/>
      <c r="AM51" s="25"/>
    </row>
    <row r="52" spans="2:39" x14ac:dyDescent="0.2">
      <c r="B52" s="51">
        <v>43771</v>
      </c>
      <c r="C52" s="36">
        <v>0.37916666666666665</v>
      </c>
      <c r="D52" s="36"/>
      <c r="E52" s="36" t="s">
        <v>105</v>
      </c>
      <c r="F52" s="38">
        <v>2</v>
      </c>
      <c r="G52" s="43" t="str">
        <f>VLOOKUP(F52,Key!$A$17:$B$21,2,FALSE)</f>
        <v>Road Vehicle</v>
      </c>
      <c r="H52" s="37">
        <v>8</v>
      </c>
      <c r="I52" s="44" t="str">
        <f>VLOOKUP(H52,Key!$A$2:$B$13,2,FALSE)</f>
        <v xml:space="preserve">Medium Truck </v>
      </c>
      <c r="J52" s="38" t="s">
        <v>117</v>
      </c>
      <c r="K52" s="38">
        <v>3</v>
      </c>
      <c r="L52" s="45" t="str">
        <f>VLOOKUP(K52,Key!$A$24:$B$29,2,FALSE)</f>
        <v>40-49</v>
      </c>
      <c r="M52" s="60" t="s">
        <v>181</v>
      </c>
      <c r="N52" s="33" t="s">
        <v>163</v>
      </c>
      <c r="O52" s="38" t="s">
        <v>164</v>
      </c>
      <c r="P52" s="40">
        <v>2</v>
      </c>
      <c r="Q52" s="35" t="str">
        <f>VLOOKUP(P52,Key!$E$2:$F$9,2,FALSE)</f>
        <v>Work</v>
      </c>
      <c r="R52" s="38" t="s">
        <v>173</v>
      </c>
      <c r="S52" s="33" t="s">
        <v>173</v>
      </c>
      <c r="T52" s="38" t="s">
        <v>164</v>
      </c>
      <c r="U52" s="33">
        <v>2</v>
      </c>
      <c r="V52" s="35" t="str">
        <f>VLOOKUP(U52,Key!$E$2:$F$9,2,FALSE)</f>
        <v>Work</v>
      </c>
      <c r="W52" s="35" t="str">
        <f t="shared" si="1"/>
        <v>Work-Work</v>
      </c>
      <c r="X52" s="47">
        <v>40000</v>
      </c>
      <c r="Y52" s="39">
        <v>20</v>
      </c>
      <c r="Z52" s="39">
        <v>2</v>
      </c>
      <c r="AA52" s="33">
        <v>5</v>
      </c>
      <c r="AB52" s="35" t="str">
        <f>VLOOKUP(AA52,Key!$C$20:$D$29,2,FALSE)</f>
        <v>Professional</v>
      </c>
      <c r="AC52" s="33"/>
      <c r="AD52" s="35" t="e">
        <f>VLOOKUP(AC52,Key!$E$20:$F$24,2,FALSE)</f>
        <v>#N/A</v>
      </c>
      <c r="AE52" s="33">
        <v>1</v>
      </c>
      <c r="AF52" s="39">
        <v>4</v>
      </c>
      <c r="AG52" s="39">
        <v>5</v>
      </c>
      <c r="AH52" s="39">
        <v>3</v>
      </c>
      <c r="AI52" s="39">
        <v>4</v>
      </c>
      <c r="AJ52" s="40" t="s">
        <v>100</v>
      </c>
      <c r="AK52" s="41">
        <v>4000</v>
      </c>
      <c r="AL52" s="25"/>
      <c r="AM52" s="25"/>
    </row>
    <row r="53" spans="2:39" x14ac:dyDescent="0.2">
      <c r="B53" s="51">
        <v>43771</v>
      </c>
      <c r="C53" s="36">
        <v>0.59027777777777779</v>
      </c>
      <c r="D53" s="36"/>
      <c r="E53" s="36" t="s">
        <v>105</v>
      </c>
      <c r="F53" s="38">
        <v>2</v>
      </c>
      <c r="G53" s="43" t="str">
        <f>VLOOKUP(F53,Key!$A$17:$B$21,2,FALSE)</f>
        <v>Road Vehicle</v>
      </c>
      <c r="H53" s="37">
        <v>8</v>
      </c>
      <c r="I53" s="44" t="str">
        <f>VLOOKUP(H53,Key!$A$2:$B$13,2,FALSE)</f>
        <v xml:space="preserve">Medium Truck </v>
      </c>
      <c r="J53" s="38" t="s">
        <v>117</v>
      </c>
      <c r="K53" s="38">
        <v>3</v>
      </c>
      <c r="L53" s="45" t="str">
        <f>VLOOKUP(K53,Key!$A$24:$B$29,2,FALSE)</f>
        <v>40-49</v>
      </c>
      <c r="M53" s="60" t="s">
        <v>163</v>
      </c>
      <c r="N53" s="33" t="s">
        <v>163</v>
      </c>
      <c r="O53" s="38" t="s">
        <v>164</v>
      </c>
      <c r="P53" s="40">
        <v>1</v>
      </c>
      <c r="Q53" s="35" t="str">
        <f>VLOOKUP(P53,Key!$E$2:$F$9,2,FALSE)</f>
        <v>Home</v>
      </c>
      <c r="R53" s="38" t="s">
        <v>188</v>
      </c>
      <c r="S53" s="33" t="s">
        <v>169</v>
      </c>
      <c r="T53" s="38" t="s">
        <v>164</v>
      </c>
      <c r="U53" s="33">
        <v>2</v>
      </c>
      <c r="V53" s="35" t="str">
        <f>VLOOKUP(U53,Key!$E$2:$F$9,2,FALSE)</f>
        <v>Work</v>
      </c>
      <c r="W53" s="35" t="str">
        <f t="shared" si="1"/>
        <v>Home-Work</v>
      </c>
      <c r="X53" s="47">
        <v>50000</v>
      </c>
      <c r="Y53" s="39">
        <v>36</v>
      </c>
      <c r="Z53" s="39">
        <v>1.5</v>
      </c>
      <c r="AA53" s="33">
        <v>5</v>
      </c>
      <c r="AB53" s="35" t="str">
        <f>VLOOKUP(AA53,Key!$C$20:$D$29,2,FALSE)</f>
        <v>Professional</v>
      </c>
      <c r="AC53" s="33">
        <v>4</v>
      </c>
      <c r="AD53" s="35" t="str">
        <f>VLOOKUP(AC53,Key!$E$20:$F$24,2,FALSE)</f>
        <v>750,000-1,000,000</v>
      </c>
      <c r="AE53" s="33">
        <v>3</v>
      </c>
      <c r="AF53" s="39">
        <v>1</v>
      </c>
      <c r="AG53" s="39">
        <v>2</v>
      </c>
      <c r="AH53" s="39">
        <v>5</v>
      </c>
      <c r="AI53" s="39">
        <v>4</v>
      </c>
      <c r="AJ53" s="40" t="s">
        <v>100</v>
      </c>
      <c r="AK53" s="41">
        <v>2000</v>
      </c>
      <c r="AL53" s="25"/>
      <c r="AM53" s="25"/>
    </row>
    <row r="54" spans="2:39" x14ac:dyDescent="0.2">
      <c r="B54" s="51">
        <v>43771</v>
      </c>
      <c r="C54" s="36">
        <v>0.61736111111111114</v>
      </c>
      <c r="D54" s="36"/>
      <c r="E54" s="36" t="s">
        <v>105</v>
      </c>
      <c r="F54" s="38">
        <v>2</v>
      </c>
      <c r="G54" s="43" t="str">
        <f>VLOOKUP(F54,Key!$A$17:$B$21,2,FALSE)</f>
        <v>Road Vehicle</v>
      </c>
      <c r="H54" s="37">
        <v>8</v>
      </c>
      <c r="I54" s="44" t="str">
        <f>VLOOKUP(H54,Key!$A$2:$B$13,2,FALSE)</f>
        <v xml:space="preserve">Medium Truck </v>
      </c>
      <c r="J54" s="38" t="s">
        <v>117</v>
      </c>
      <c r="K54" s="38">
        <v>3</v>
      </c>
      <c r="L54" s="45" t="str">
        <f>VLOOKUP(K54,Key!$A$24:$B$29,2,FALSE)</f>
        <v>40-49</v>
      </c>
      <c r="M54" s="60" t="s">
        <v>163</v>
      </c>
      <c r="N54" s="33" t="s">
        <v>163</v>
      </c>
      <c r="O54" s="38" t="s">
        <v>164</v>
      </c>
      <c r="P54" s="40">
        <v>1</v>
      </c>
      <c r="Q54" s="35" t="str">
        <f>VLOOKUP(P54,Key!$E$2:$F$9,2,FALSE)</f>
        <v>Home</v>
      </c>
      <c r="R54" s="38" t="s">
        <v>190</v>
      </c>
      <c r="S54" s="33" t="s">
        <v>170</v>
      </c>
      <c r="T54" s="38" t="s">
        <v>164</v>
      </c>
      <c r="U54" s="33">
        <v>2</v>
      </c>
      <c r="V54" s="35" t="str">
        <f>VLOOKUP(U54,Key!$E$2:$F$9,2,FALSE)</f>
        <v>Work</v>
      </c>
      <c r="W54" s="35" t="str">
        <f t="shared" si="1"/>
        <v>Home-Work</v>
      </c>
      <c r="X54" s="47">
        <v>120000</v>
      </c>
      <c r="Y54" s="39">
        <v>184</v>
      </c>
      <c r="Z54" s="39">
        <v>4</v>
      </c>
      <c r="AA54" s="33">
        <v>5</v>
      </c>
      <c r="AB54" s="35" t="str">
        <f>VLOOKUP(AA54,Key!$C$20:$D$29,2,FALSE)</f>
        <v>Professional</v>
      </c>
      <c r="AC54" s="33">
        <v>4</v>
      </c>
      <c r="AD54" s="35" t="str">
        <f>VLOOKUP(AC54,Key!$E$20:$F$24,2,FALSE)</f>
        <v>750,000-1,000,000</v>
      </c>
      <c r="AE54" s="33">
        <v>3</v>
      </c>
      <c r="AF54" s="39">
        <v>1</v>
      </c>
      <c r="AG54" s="39">
        <v>2</v>
      </c>
      <c r="AH54" s="39">
        <v>4</v>
      </c>
      <c r="AI54" s="39">
        <v>5</v>
      </c>
      <c r="AJ54" s="40" t="s">
        <v>100</v>
      </c>
      <c r="AK54" s="41">
        <v>5000</v>
      </c>
      <c r="AL54" s="25"/>
      <c r="AM54" s="25"/>
    </row>
    <row r="55" spans="2:39" x14ac:dyDescent="0.2">
      <c r="B55" s="51">
        <v>43771</v>
      </c>
      <c r="C55" s="36">
        <v>0.63402777777777775</v>
      </c>
      <c r="D55" s="36"/>
      <c r="E55" s="36" t="s">
        <v>105</v>
      </c>
      <c r="F55" s="38">
        <v>2</v>
      </c>
      <c r="G55" s="43" t="str">
        <f>VLOOKUP(F55,Key!$A$17:$B$21,2,FALSE)</f>
        <v>Road Vehicle</v>
      </c>
      <c r="H55" s="37">
        <v>8</v>
      </c>
      <c r="I55" s="44" t="str">
        <f>VLOOKUP(H55,Key!$A$2:$B$13,2,FALSE)</f>
        <v xml:space="preserve">Medium Truck </v>
      </c>
      <c r="J55" s="38" t="s">
        <v>117</v>
      </c>
      <c r="K55" s="38">
        <v>3</v>
      </c>
      <c r="L55" s="45" t="str">
        <f>VLOOKUP(K55,Key!$A$24:$B$29,2,FALSE)</f>
        <v>40-49</v>
      </c>
      <c r="M55" s="60" t="s">
        <v>192</v>
      </c>
      <c r="N55" s="33" t="s">
        <v>169</v>
      </c>
      <c r="O55" s="38" t="s">
        <v>164</v>
      </c>
      <c r="P55" s="40">
        <v>2</v>
      </c>
      <c r="Q55" s="35" t="str">
        <f>VLOOKUP(P55,Key!$E$2:$F$9,2,FALSE)</f>
        <v>Work</v>
      </c>
      <c r="R55" s="38" t="s">
        <v>165</v>
      </c>
      <c r="S55" s="33" t="s">
        <v>163</v>
      </c>
      <c r="T55" s="38" t="s">
        <v>164</v>
      </c>
      <c r="U55" s="33">
        <v>2</v>
      </c>
      <c r="V55" s="35" t="str">
        <f>VLOOKUP(U55,Key!$E$2:$F$9,2,FALSE)</f>
        <v>Work</v>
      </c>
      <c r="W55" s="35" t="str">
        <f t="shared" si="1"/>
        <v>Work-Work</v>
      </c>
      <c r="X55" s="47">
        <v>40000</v>
      </c>
      <c r="Y55" s="39">
        <v>34</v>
      </c>
      <c r="Z55" s="39">
        <v>1</v>
      </c>
      <c r="AA55" s="33">
        <v>6</v>
      </c>
      <c r="AB55" s="35" t="str">
        <f>VLOOKUP(AA55,Key!$C$20:$D$29,2,FALSE)</f>
        <v>Businessman</v>
      </c>
      <c r="AC55" s="33">
        <v>4</v>
      </c>
      <c r="AD55" s="35" t="str">
        <f>VLOOKUP(AC55,Key!$E$20:$F$24,2,FALSE)</f>
        <v>750,000-1,000,000</v>
      </c>
      <c r="AE55" s="33">
        <v>5</v>
      </c>
      <c r="AF55" s="39">
        <v>4</v>
      </c>
      <c r="AG55" s="39">
        <v>1</v>
      </c>
      <c r="AH55" s="39">
        <v>2</v>
      </c>
      <c r="AI55" s="39">
        <v>3</v>
      </c>
      <c r="AJ55" s="40" t="s">
        <v>100</v>
      </c>
      <c r="AK55" s="41">
        <v>5000</v>
      </c>
      <c r="AL55" s="25"/>
      <c r="AM55" s="25"/>
    </row>
    <row r="56" spans="2:39" x14ac:dyDescent="0.2">
      <c r="B56" s="51">
        <v>43771</v>
      </c>
      <c r="C56" s="36">
        <v>0.48194444444444445</v>
      </c>
      <c r="D56" s="36"/>
      <c r="E56" s="36" t="s">
        <v>105</v>
      </c>
      <c r="F56" s="38">
        <v>2</v>
      </c>
      <c r="G56" s="43" t="str">
        <f>VLOOKUP(F56,Key!$A$17:$B$21,2,FALSE)</f>
        <v>Road Vehicle</v>
      </c>
      <c r="H56" s="37">
        <v>8</v>
      </c>
      <c r="I56" s="44" t="str">
        <f>VLOOKUP(H56,Key!$A$2:$B$13,2,FALSE)</f>
        <v xml:space="preserve">Medium Truck </v>
      </c>
      <c r="J56" s="38" t="s">
        <v>117</v>
      </c>
      <c r="K56" s="38">
        <v>3</v>
      </c>
      <c r="L56" s="45" t="str">
        <f>VLOOKUP(K56,Key!$A$24:$B$29,2,FALSE)</f>
        <v>40-49</v>
      </c>
      <c r="M56" s="60" t="s">
        <v>163</v>
      </c>
      <c r="N56" s="33" t="s">
        <v>163</v>
      </c>
      <c r="O56" s="38" t="s">
        <v>164</v>
      </c>
      <c r="P56" s="40">
        <v>1</v>
      </c>
      <c r="Q56" s="35" t="str">
        <f>VLOOKUP(P56,Key!$E$2:$F$9,2,FALSE)</f>
        <v>Home</v>
      </c>
      <c r="R56" s="38" t="s">
        <v>201</v>
      </c>
      <c r="S56" s="33" t="s">
        <v>201</v>
      </c>
      <c r="T56" s="38" t="s">
        <v>164</v>
      </c>
      <c r="U56" s="33">
        <v>2</v>
      </c>
      <c r="V56" s="35" t="str">
        <f>VLOOKUP(U56,Key!$E$2:$F$9,2,FALSE)</f>
        <v>Work</v>
      </c>
      <c r="W56" s="35" t="str">
        <f t="shared" si="1"/>
        <v>Home-Work</v>
      </c>
      <c r="X56" s="33">
        <v>70000</v>
      </c>
      <c r="Y56" s="39">
        <v>70</v>
      </c>
      <c r="Z56" s="39">
        <v>2</v>
      </c>
      <c r="AA56" s="33">
        <v>5</v>
      </c>
      <c r="AB56" s="35" t="str">
        <f>VLOOKUP(AA56,Key!$C$20:$D$29,2,FALSE)</f>
        <v>Professional</v>
      </c>
      <c r="AC56" s="33">
        <v>3</v>
      </c>
      <c r="AD56" s="35" t="str">
        <f>VLOOKUP(AC56,Key!$E$20:$F$24,2,FALSE)</f>
        <v>500,000-750,000</v>
      </c>
      <c r="AE56" s="33">
        <v>3</v>
      </c>
      <c r="AF56" s="39">
        <v>1</v>
      </c>
      <c r="AG56" s="39">
        <v>2</v>
      </c>
      <c r="AH56" s="39">
        <v>5</v>
      </c>
      <c r="AI56" s="39">
        <v>4</v>
      </c>
      <c r="AJ56" s="40" t="s">
        <v>100</v>
      </c>
      <c r="AK56" s="41">
        <v>1000</v>
      </c>
      <c r="AL56" s="25"/>
      <c r="AM56" s="25"/>
    </row>
    <row r="57" spans="2:39" x14ac:dyDescent="0.2">
      <c r="B57" s="51">
        <v>43771</v>
      </c>
      <c r="C57" s="36">
        <v>0.43263888888888885</v>
      </c>
      <c r="D57" s="36"/>
      <c r="E57" s="36" t="s">
        <v>105</v>
      </c>
      <c r="F57" s="38">
        <v>2</v>
      </c>
      <c r="G57" s="43" t="str">
        <f>VLOOKUP(F57,Key!$A$17:$B$21,2,FALSE)</f>
        <v>Road Vehicle</v>
      </c>
      <c r="H57" s="37">
        <v>8</v>
      </c>
      <c r="I57" s="44" t="str">
        <f>VLOOKUP(H57,Key!$A$2:$B$13,2,FALSE)</f>
        <v xml:space="preserve">Medium Truck </v>
      </c>
      <c r="J57" s="38" t="s">
        <v>117</v>
      </c>
      <c r="K57" s="38">
        <v>3</v>
      </c>
      <c r="L57" s="45" t="str">
        <f>VLOOKUP(K57,Key!$A$24:$B$29,2,FALSE)</f>
        <v>40-49</v>
      </c>
      <c r="M57" s="60" t="s">
        <v>163</v>
      </c>
      <c r="N57" s="33" t="s">
        <v>163</v>
      </c>
      <c r="O57" s="38" t="s">
        <v>164</v>
      </c>
      <c r="P57" s="40">
        <v>1</v>
      </c>
      <c r="Q57" s="35" t="str">
        <f>VLOOKUP(P57,Key!$E$2:$F$9,2,FALSE)</f>
        <v>Home</v>
      </c>
      <c r="R57" s="38" t="s">
        <v>206</v>
      </c>
      <c r="S57" s="33" t="s">
        <v>206</v>
      </c>
      <c r="T57" s="38" t="s">
        <v>164</v>
      </c>
      <c r="U57" s="33">
        <v>2</v>
      </c>
      <c r="V57" s="35" t="str">
        <f>VLOOKUP(U57,Key!$E$2:$F$9,2,FALSE)</f>
        <v>Work</v>
      </c>
      <c r="W57" s="35" t="str">
        <f t="shared" si="1"/>
        <v>Home-Work</v>
      </c>
      <c r="X57" s="33">
        <v>200000</v>
      </c>
      <c r="Y57" s="39">
        <v>154</v>
      </c>
      <c r="Z57" s="39">
        <v>3</v>
      </c>
      <c r="AA57" s="33">
        <v>5</v>
      </c>
      <c r="AB57" s="35" t="str">
        <f>VLOOKUP(AA57,Key!$C$20:$D$29,2,FALSE)</f>
        <v>Professional</v>
      </c>
      <c r="AC57" s="33">
        <v>3</v>
      </c>
      <c r="AD57" s="35" t="str">
        <f>VLOOKUP(AC57,Key!$E$20:$F$24,2,FALSE)</f>
        <v>500,000-750,000</v>
      </c>
      <c r="AE57" s="33"/>
      <c r="AF57" s="39"/>
      <c r="AG57" s="39"/>
      <c r="AH57" s="39"/>
      <c r="AI57" s="39"/>
      <c r="AJ57" s="40" t="s">
        <v>100</v>
      </c>
      <c r="AK57" s="41">
        <v>3000</v>
      </c>
      <c r="AL57" s="25"/>
      <c r="AM57" s="25"/>
    </row>
    <row r="58" spans="2:39" x14ac:dyDescent="0.2">
      <c r="B58" s="51">
        <v>43771</v>
      </c>
      <c r="C58" s="36">
        <v>0.61805555555555558</v>
      </c>
      <c r="D58" s="36"/>
      <c r="E58" s="36" t="s">
        <v>105</v>
      </c>
      <c r="F58" s="38">
        <v>2</v>
      </c>
      <c r="G58" s="43" t="str">
        <f>VLOOKUP(F58,Key!$A$17:$B$21,2,FALSE)</f>
        <v>Road Vehicle</v>
      </c>
      <c r="H58" s="37">
        <v>8</v>
      </c>
      <c r="I58" s="44" t="str">
        <f>VLOOKUP(H58,Key!$A$2:$B$13,2,FALSE)</f>
        <v xml:space="preserve">Medium Truck </v>
      </c>
      <c r="J58" s="38" t="s">
        <v>117</v>
      </c>
      <c r="K58" s="38">
        <v>3</v>
      </c>
      <c r="L58" s="45" t="str">
        <f>VLOOKUP(K58,Key!$A$24:$B$29,2,FALSE)</f>
        <v>40-49</v>
      </c>
      <c r="M58" s="60" t="s">
        <v>163</v>
      </c>
      <c r="N58" s="33" t="s">
        <v>163</v>
      </c>
      <c r="O58" s="38" t="s">
        <v>164</v>
      </c>
      <c r="P58" s="40">
        <v>1</v>
      </c>
      <c r="Q58" s="35" t="str">
        <f>VLOOKUP(P58,Key!$E$2:$F$9,2,FALSE)</f>
        <v>Home</v>
      </c>
      <c r="R58" s="38" t="s">
        <v>175</v>
      </c>
      <c r="S58" s="33" t="s">
        <v>175</v>
      </c>
      <c r="T58" s="38" t="s">
        <v>164</v>
      </c>
      <c r="U58" s="33">
        <v>2</v>
      </c>
      <c r="V58" s="35" t="str">
        <f>VLOOKUP(U58,Key!$E$2:$F$9,2,FALSE)</f>
        <v>Work</v>
      </c>
      <c r="W58" s="35" t="str">
        <f t="shared" si="1"/>
        <v>Home-Work</v>
      </c>
      <c r="X58" s="33">
        <v>250000</v>
      </c>
      <c r="Y58" s="39">
        <v>353</v>
      </c>
      <c r="Z58" s="39">
        <v>5</v>
      </c>
      <c r="AA58" s="33">
        <v>5</v>
      </c>
      <c r="AB58" s="35" t="str">
        <f>VLOOKUP(AA58,Key!$C$20:$D$29,2,FALSE)</f>
        <v>Professional</v>
      </c>
      <c r="AC58" s="33">
        <v>5</v>
      </c>
      <c r="AD58" s="35" t="str">
        <f>VLOOKUP(AC58,Key!$E$20:$F$24,2,FALSE)</f>
        <v>&gt;1,000,000</v>
      </c>
      <c r="AE58" s="33">
        <v>4</v>
      </c>
      <c r="AF58" s="39">
        <v>2</v>
      </c>
      <c r="AG58" s="39">
        <v>3</v>
      </c>
      <c r="AH58" s="39">
        <v>1</v>
      </c>
      <c r="AI58" s="39">
        <v>5</v>
      </c>
      <c r="AJ58" s="40" t="s">
        <v>100</v>
      </c>
      <c r="AK58" s="41">
        <v>2000</v>
      </c>
      <c r="AL58" s="25"/>
      <c r="AM58" s="25"/>
    </row>
    <row r="59" spans="2:39" x14ac:dyDescent="0.2">
      <c r="B59" s="51">
        <v>43771</v>
      </c>
      <c r="C59" s="36">
        <v>0.36041666666666666</v>
      </c>
      <c r="D59" s="36"/>
      <c r="E59" s="36" t="s">
        <v>105</v>
      </c>
      <c r="F59" s="38">
        <v>2</v>
      </c>
      <c r="G59" s="43" t="str">
        <f>VLOOKUP(F59,Key!$A$17:$B$21,2,FALSE)</f>
        <v>Road Vehicle</v>
      </c>
      <c r="H59" s="37">
        <v>8</v>
      </c>
      <c r="I59" s="44" t="str">
        <f>VLOOKUP(H59,Key!$A$2:$B$13,2,FALSE)</f>
        <v xml:space="preserve">Medium Truck </v>
      </c>
      <c r="J59" s="38" t="s">
        <v>117</v>
      </c>
      <c r="K59" s="38">
        <v>4</v>
      </c>
      <c r="L59" s="45" t="str">
        <f>VLOOKUP(K59,Key!$A$24:$B$29,2,FALSE)</f>
        <v>50-59</v>
      </c>
      <c r="M59" s="60" t="s">
        <v>163</v>
      </c>
      <c r="N59" s="33" t="s">
        <v>163</v>
      </c>
      <c r="O59" s="38" t="s">
        <v>164</v>
      </c>
      <c r="P59" s="40">
        <v>1</v>
      </c>
      <c r="Q59" s="35" t="str">
        <f>VLOOKUP(P59,Key!$E$2:$F$9,2,FALSE)</f>
        <v>Home</v>
      </c>
      <c r="R59" s="38" t="s">
        <v>168</v>
      </c>
      <c r="S59" s="33" t="s">
        <v>169</v>
      </c>
      <c r="T59" s="38" t="s">
        <v>164</v>
      </c>
      <c r="U59" s="33">
        <v>2</v>
      </c>
      <c r="V59" s="35" t="str">
        <f>VLOOKUP(U59,Key!$E$2:$F$9,2,FALSE)</f>
        <v>Work</v>
      </c>
      <c r="W59" s="35" t="str">
        <f t="shared" si="1"/>
        <v>Home-Work</v>
      </c>
      <c r="X59" s="47">
        <v>25000</v>
      </c>
      <c r="Y59" s="39">
        <v>18</v>
      </c>
      <c r="Z59" s="39">
        <v>1.5</v>
      </c>
      <c r="AA59" s="33">
        <v>5</v>
      </c>
      <c r="AB59" s="35" t="str">
        <f>VLOOKUP(AA59,Key!$C$20:$D$29,2,FALSE)</f>
        <v>Professional</v>
      </c>
      <c r="AC59" s="33">
        <v>4</v>
      </c>
      <c r="AD59" s="35" t="str">
        <f>VLOOKUP(AC59,Key!$E$20:$F$24,2,FALSE)</f>
        <v>750,000-1,000,000</v>
      </c>
      <c r="AE59" s="33">
        <v>3</v>
      </c>
      <c r="AF59" s="39">
        <v>2</v>
      </c>
      <c r="AG59" s="39">
        <v>1</v>
      </c>
      <c r="AH59" s="39">
        <v>4</v>
      </c>
      <c r="AI59" s="39">
        <v>5</v>
      </c>
      <c r="AJ59" s="40" t="s">
        <v>100</v>
      </c>
      <c r="AK59" s="41">
        <v>5000</v>
      </c>
      <c r="AL59" s="25"/>
      <c r="AM59" s="25"/>
    </row>
    <row r="60" spans="2:39" x14ac:dyDescent="0.2">
      <c r="B60" s="51">
        <v>43771</v>
      </c>
      <c r="C60" s="36">
        <v>0.54305555555555551</v>
      </c>
      <c r="D60" s="36"/>
      <c r="E60" s="36" t="s">
        <v>105</v>
      </c>
      <c r="F60" s="38">
        <v>2</v>
      </c>
      <c r="G60" s="43" t="str">
        <f>VLOOKUP(F60,Key!$A$17:$B$21,2,FALSE)</f>
        <v>Road Vehicle</v>
      </c>
      <c r="H60" s="37">
        <v>8</v>
      </c>
      <c r="I60" s="44" t="str">
        <f>VLOOKUP(H60,Key!$A$2:$B$13,2,FALSE)</f>
        <v xml:space="preserve">Medium Truck </v>
      </c>
      <c r="J60" s="38" t="s">
        <v>117</v>
      </c>
      <c r="K60" s="38">
        <v>4</v>
      </c>
      <c r="L60" s="45" t="str">
        <f>VLOOKUP(K60,Key!$A$24:$B$29,2,FALSE)</f>
        <v>50-59</v>
      </c>
      <c r="M60" s="60" t="s">
        <v>163</v>
      </c>
      <c r="N60" s="33" t="s">
        <v>163</v>
      </c>
      <c r="O60" s="38" t="s">
        <v>164</v>
      </c>
      <c r="P60" s="40">
        <v>1</v>
      </c>
      <c r="Q60" s="35" t="str">
        <f>VLOOKUP(P60,Key!$E$2:$F$9,2,FALSE)</f>
        <v>Home</v>
      </c>
      <c r="R60" s="38" t="s">
        <v>170</v>
      </c>
      <c r="S60" s="33" t="s">
        <v>170</v>
      </c>
      <c r="T60" s="38" t="s">
        <v>164</v>
      </c>
      <c r="U60" s="33">
        <v>2</v>
      </c>
      <c r="V60" s="35" t="str">
        <f>VLOOKUP(U60,Key!$E$2:$F$9,2,FALSE)</f>
        <v>Work</v>
      </c>
      <c r="W60" s="35" t="str">
        <f t="shared" si="1"/>
        <v>Home-Work</v>
      </c>
      <c r="X60" s="47">
        <v>170000</v>
      </c>
      <c r="Y60" s="39">
        <v>131</v>
      </c>
      <c r="Z60" s="39">
        <v>3</v>
      </c>
      <c r="AA60" s="33">
        <v>9</v>
      </c>
      <c r="AB60" s="35" t="str">
        <f>VLOOKUP(AA60,Key!$C$20:$D$29,2,FALSE)</f>
        <v>Retired</v>
      </c>
      <c r="AC60" s="33">
        <v>4</v>
      </c>
      <c r="AD60" s="35" t="str">
        <f>VLOOKUP(AC60,Key!$E$20:$F$24,2,FALSE)</f>
        <v>750,000-1,000,000</v>
      </c>
      <c r="AE60" s="33">
        <v>3</v>
      </c>
      <c r="AF60" s="39">
        <v>1</v>
      </c>
      <c r="AG60" s="39">
        <v>5</v>
      </c>
      <c r="AH60" s="39">
        <v>2</v>
      </c>
      <c r="AI60" s="39">
        <v>4</v>
      </c>
      <c r="AJ60" s="40" t="s">
        <v>100</v>
      </c>
      <c r="AK60" s="41">
        <v>5000</v>
      </c>
      <c r="AL60" s="25"/>
      <c r="AM60" s="25"/>
    </row>
    <row r="61" spans="2:39" x14ac:dyDescent="0.2">
      <c r="B61" s="51">
        <v>43771</v>
      </c>
      <c r="C61" s="36">
        <v>0.60347222222222219</v>
      </c>
      <c r="D61" s="36"/>
      <c r="E61" s="36" t="s">
        <v>105</v>
      </c>
      <c r="F61" s="38">
        <v>2</v>
      </c>
      <c r="G61" s="43" t="str">
        <f>VLOOKUP(F61,Key!$A$17:$B$21,2,FALSE)</f>
        <v>Road Vehicle</v>
      </c>
      <c r="H61" s="37">
        <v>8</v>
      </c>
      <c r="I61" s="44" t="str">
        <f>VLOOKUP(H61,Key!$A$2:$B$13,2,FALSE)</f>
        <v xml:space="preserve">Medium Truck </v>
      </c>
      <c r="J61" s="38" t="s">
        <v>117</v>
      </c>
      <c r="K61" s="38">
        <v>4</v>
      </c>
      <c r="L61" s="45" t="str">
        <f>VLOOKUP(K61,Key!$A$24:$B$29,2,FALSE)</f>
        <v>50-59</v>
      </c>
      <c r="M61" s="60" t="s">
        <v>163</v>
      </c>
      <c r="N61" s="33" t="s">
        <v>163</v>
      </c>
      <c r="O61" s="38" t="s">
        <v>164</v>
      </c>
      <c r="P61" s="40">
        <v>1</v>
      </c>
      <c r="Q61" s="35" t="str">
        <f>VLOOKUP(P61,Key!$E$2:$F$9,2,FALSE)</f>
        <v>Home</v>
      </c>
      <c r="R61" s="38" t="s">
        <v>189</v>
      </c>
      <c r="S61" s="33" t="s">
        <v>170</v>
      </c>
      <c r="T61" s="38" t="s">
        <v>164</v>
      </c>
      <c r="U61" s="33">
        <v>2</v>
      </c>
      <c r="V61" s="35" t="str">
        <f>VLOOKUP(U61,Key!$E$2:$F$9,2,FALSE)</f>
        <v>Work</v>
      </c>
      <c r="W61" s="35" t="str">
        <f t="shared" si="1"/>
        <v>Home-Work</v>
      </c>
      <c r="X61" s="47">
        <v>170000</v>
      </c>
      <c r="Y61" s="39">
        <v>132</v>
      </c>
      <c r="Z61" s="39">
        <v>3</v>
      </c>
      <c r="AA61" s="33">
        <v>5</v>
      </c>
      <c r="AB61" s="35" t="str">
        <f>VLOOKUP(AA61,Key!$C$20:$D$29,2,FALSE)</f>
        <v>Professional</v>
      </c>
      <c r="AC61" s="33">
        <v>4</v>
      </c>
      <c r="AD61" s="35" t="str">
        <f>VLOOKUP(AC61,Key!$E$20:$F$24,2,FALSE)</f>
        <v>750,000-1,000,000</v>
      </c>
      <c r="AE61" s="33">
        <v>3</v>
      </c>
      <c r="AF61" s="39">
        <v>1</v>
      </c>
      <c r="AG61" s="39">
        <v>2</v>
      </c>
      <c r="AH61" s="39">
        <v>3</v>
      </c>
      <c r="AI61" s="39">
        <v>4</v>
      </c>
      <c r="AJ61" s="40" t="s">
        <v>100</v>
      </c>
      <c r="AK61" s="41">
        <v>1000</v>
      </c>
      <c r="AL61" s="25"/>
      <c r="AM61" s="25"/>
    </row>
    <row r="62" spans="2:39" x14ac:dyDescent="0.2">
      <c r="B62" s="51">
        <v>43771</v>
      </c>
      <c r="C62" s="36">
        <v>0.66597222222222219</v>
      </c>
      <c r="D62" s="36"/>
      <c r="E62" s="36" t="s">
        <v>105</v>
      </c>
      <c r="F62" s="38">
        <v>2</v>
      </c>
      <c r="G62" s="43" t="str">
        <f>VLOOKUP(F62,Key!$A$17:$B$21,2,FALSE)</f>
        <v>Road Vehicle</v>
      </c>
      <c r="H62" s="37">
        <v>8</v>
      </c>
      <c r="I62" s="44" t="str">
        <f>VLOOKUP(H62,Key!$A$2:$B$13,2,FALSE)</f>
        <v xml:space="preserve">Medium Truck </v>
      </c>
      <c r="J62" s="38" t="s">
        <v>117</v>
      </c>
      <c r="K62" s="38">
        <v>4</v>
      </c>
      <c r="L62" s="45" t="str">
        <f>VLOOKUP(K62,Key!$A$24:$B$29,2,FALSE)</f>
        <v>50-59</v>
      </c>
      <c r="M62" s="60" t="s">
        <v>181</v>
      </c>
      <c r="N62" s="33" t="s">
        <v>163</v>
      </c>
      <c r="O62" s="38" t="s">
        <v>164</v>
      </c>
      <c r="P62" s="40">
        <v>2</v>
      </c>
      <c r="Q62" s="35" t="str">
        <f>VLOOKUP(P62,Key!$E$2:$F$9,2,FALSE)</f>
        <v>Work</v>
      </c>
      <c r="R62" s="38" t="s">
        <v>159</v>
      </c>
      <c r="S62" s="33" t="s">
        <v>159</v>
      </c>
      <c r="T62" s="38" t="s">
        <v>164</v>
      </c>
      <c r="U62" s="33">
        <v>2</v>
      </c>
      <c r="V62" s="35" t="str">
        <f>VLOOKUP(U62,Key!$E$2:$F$9,2,FALSE)</f>
        <v>Work</v>
      </c>
      <c r="W62" s="35" t="str">
        <f t="shared" si="1"/>
        <v>Work-Work</v>
      </c>
      <c r="X62" s="47">
        <v>200000</v>
      </c>
      <c r="Y62" s="39">
        <v>500</v>
      </c>
      <c r="Z62" s="39">
        <v>6</v>
      </c>
      <c r="AA62" s="33">
        <v>5</v>
      </c>
      <c r="AB62" s="35" t="str">
        <f>VLOOKUP(AA62,Key!$C$20:$D$29,2,FALSE)</f>
        <v>Professional</v>
      </c>
      <c r="AC62" s="33">
        <v>4</v>
      </c>
      <c r="AD62" s="35" t="str">
        <f>VLOOKUP(AC62,Key!$E$20:$F$24,2,FALSE)</f>
        <v>750,000-1,000,000</v>
      </c>
      <c r="AE62" s="33">
        <v>3</v>
      </c>
      <c r="AF62" s="39">
        <v>1</v>
      </c>
      <c r="AG62" s="39">
        <v>2</v>
      </c>
      <c r="AH62" s="39">
        <v>5</v>
      </c>
      <c r="AI62" s="39">
        <v>4</v>
      </c>
      <c r="AJ62" s="40" t="s">
        <v>100</v>
      </c>
      <c r="AK62" s="41">
        <v>5000</v>
      </c>
      <c r="AL62" s="25"/>
      <c r="AM62" s="25"/>
    </row>
    <row r="63" spans="2:39" x14ac:dyDescent="0.2">
      <c r="B63" s="51">
        <v>43771</v>
      </c>
      <c r="C63" s="36">
        <v>0.68888888888888899</v>
      </c>
      <c r="D63" s="36"/>
      <c r="E63" s="36" t="s">
        <v>105</v>
      </c>
      <c r="F63" s="38">
        <v>2</v>
      </c>
      <c r="G63" s="43" t="str">
        <f>VLOOKUP(F63,Key!$A$17:$B$21,2,FALSE)</f>
        <v>Road Vehicle</v>
      </c>
      <c r="H63" s="37">
        <v>8</v>
      </c>
      <c r="I63" s="44" t="str">
        <f>VLOOKUP(H63,Key!$A$2:$B$13,2,FALSE)</f>
        <v xml:space="preserve">Medium Truck </v>
      </c>
      <c r="J63" s="38" t="s">
        <v>117</v>
      </c>
      <c r="K63" s="38">
        <v>4</v>
      </c>
      <c r="L63" s="45" t="str">
        <f>VLOOKUP(K63,Key!$A$24:$B$29,2,FALSE)</f>
        <v>50-59</v>
      </c>
      <c r="M63" s="60" t="s">
        <v>163</v>
      </c>
      <c r="N63" s="33" t="s">
        <v>163</v>
      </c>
      <c r="O63" s="38" t="s">
        <v>164</v>
      </c>
      <c r="P63" s="40">
        <v>1</v>
      </c>
      <c r="Q63" s="35" t="str">
        <f>VLOOKUP(P63,Key!$E$2:$F$9,2,FALSE)</f>
        <v>Home</v>
      </c>
      <c r="R63" s="38"/>
      <c r="S63" s="33"/>
      <c r="T63" s="38" t="s">
        <v>164</v>
      </c>
      <c r="U63" s="33">
        <v>2</v>
      </c>
      <c r="V63" s="35" t="str">
        <f>VLOOKUP(U63,Key!$E$2:$F$9,2,FALSE)</f>
        <v>Work</v>
      </c>
      <c r="W63" s="35" t="str">
        <f t="shared" si="1"/>
        <v>Home-Work</v>
      </c>
      <c r="X63" s="33">
        <v>20000</v>
      </c>
      <c r="Y63" s="39">
        <v>28</v>
      </c>
      <c r="Z63" s="39">
        <v>1.5</v>
      </c>
      <c r="AA63" s="33">
        <v>5</v>
      </c>
      <c r="AB63" s="35" t="str">
        <f>VLOOKUP(AA63,Key!$C$20:$D$29,2,FALSE)</f>
        <v>Professional</v>
      </c>
      <c r="AC63" s="33">
        <v>4</v>
      </c>
      <c r="AD63" s="35" t="str">
        <f>VLOOKUP(AC63,Key!$E$20:$F$24,2,FALSE)</f>
        <v>750,000-1,000,000</v>
      </c>
      <c r="AE63" s="33">
        <v>5</v>
      </c>
      <c r="AF63" s="39">
        <v>2</v>
      </c>
      <c r="AG63" s="39">
        <v>1</v>
      </c>
      <c r="AH63" s="39">
        <v>3</v>
      </c>
      <c r="AI63" s="39">
        <v>4</v>
      </c>
      <c r="AJ63" s="40" t="s">
        <v>100</v>
      </c>
      <c r="AK63" s="41">
        <v>5000</v>
      </c>
      <c r="AL63" s="25"/>
      <c r="AM63" s="25"/>
    </row>
    <row r="64" spans="2:39" x14ac:dyDescent="0.2">
      <c r="B64" s="51">
        <v>43771</v>
      </c>
      <c r="C64" s="36">
        <v>0.75624999999999998</v>
      </c>
      <c r="D64" s="36"/>
      <c r="E64" s="36" t="s">
        <v>105</v>
      </c>
      <c r="F64" s="38">
        <v>2</v>
      </c>
      <c r="G64" s="43" t="str">
        <f>VLOOKUP(F64,Key!$A$17:$B$21,2,FALSE)</f>
        <v>Road Vehicle</v>
      </c>
      <c r="H64" s="37">
        <v>8</v>
      </c>
      <c r="I64" s="44" t="str">
        <f>VLOOKUP(H64,Key!$A$2:$B$13,2,FALSE)</f>
        <v xml:space="preserve">Medium Truck </v>
      </c>
      <c r="J64" s="38" t="s">
        <v>117</v>
      </c>
      <c r="K64" s="38">
        <v>4</v>
      </c>
      <c r="L64" s="45" t="str">
        <f>VLOOKUP(K64,Key!$A$24:$B$29,2,FALSE)</f>
        <v>50-59</v>
      </c>
      <c r="M64" s="60" t="s">
        <v>181</v>
      </c>
      <c r="N64" s="33" t="s">
        <v>163</v>
      </c>
      <c r="O64" s="38" t="s">
        <v>164</v>
      </c>
      <c r="P64" s="40">
        <v>2</v>
      </c>
      <c r="Q64" s="35" t="str">
        <f>VLOOKUP(P64,Key!$E$2:$F$9,2,FALSE)</f>
        <v>Work</v>
      </c>
      <c r="R64" s="38" t="s">
        <v>165</v>
      </c>
      <c r="S64" s="33" t="s">
        <v>197</v>
      </c>
      <c r="T64" s="38" t="s">
        <v>164</v>
      </c>
      <c r="U64" s="33">
        <v>2</v>
      </c>
      <c r="V64" s="35" t="str">
        <f>VLOOKUP(U64,Key!$E$2:$F$9,2,FALSE)</f>
        <v>Work</v>
      </c>
      <c r="W64" s="35" t="str">
        <f t="shared" si="1"/>
        <v>Work-Work</v>
      </c>
      <c r="X64" s="33">
        <v>800000</v>
      </c>
      <c r="Y64" s="39">
        <v>353</v>
      </c>
      <c r="Z64" s="39">
        <v>6</v>
      </c>
      <c r="AA64" s="33">
        <v>5</v>
      </c>
      <c r="AB64" s="35" t="str">
        <f>VLOOKUP(AA64,Key!$C$20:$D$29,2,FALSE)</f>
        <v>Professional</v>
      </c>
      <c r="AC64" s="33">
        <v>3</v>
      </c>
      <c r="AD64" s="35" t="str">
        <f>VLOOKUP(AC64,Key!$E$20:$F$24,2,FALSE)</f>
        <v>500,000-750,000</v>
      </c>
      <c r="AE64" s="33"/>
      <c r="AF64" s="39"/>
      <c r="AG64" s="39"/>
      <c r="AH64" s="39"/>
      <c r="AI64" s="39"/>
      <c r="AJ64" s="40" t="s">
        <v>100</v>
      </c>
      <c r="AK64" s="41">
        <v>8000</v>
      </c>
      <c r="AL64" s="25"/>
      <c r="AM64" s="25"/>
    </row>
    <row r="65" spans="2:39" x14ac:dyDescent="0.2">
      <c r="B65" s="51">
        <v>43771</v>
      </c>
      <c r="C65" s="36">
        <v>0.42569444444444443</v>
      </c>
      <c r="D65" s="36"/>
      <c r="E65" s="36" t="s">
        <v>105</v>
      </c>
      <c r="F65" s="38">
        <v>2</v>
      </c>
      <c r="G65" s="43" t="str">
        <f>VLOOKUP(F65,Key!$A$17:$B$21,2,FALSE)</f>
        <v>Road Vehicle</v>
      </c>
      <c r="H65" s="37">
        <v>8</v>
      </c>
      <c r="I65" s="44" t="str">
        <f>VLOOKUP(H65,Key!$A$2:$B$13,2,FALSE)</f>
        <v xml:space="preserve">Medium Truck </v>
      </c>
      <c r="J65" s="38" t="s">
        <v>117</v>
      </c>
      <c r="K65" s="38">
        <v>4</v>
      </c>
      <c r="L65" s="45" t="str">
        <f>VLOOKUP(K65,Key!$A$24:$B$29,2,FALSE)</f>
        <v>50-59</v>
      </c>
      <c r="M65" s="60" t="s">
        <v>163</v>
      </c>
      <c r="N65" s="33" t="s">
        <v>163</v>
      </c>
      <c r="O65" s="38" t="s">
        <v>164</v>
      </c>
      <c r="P65" s="40">
        <v>1</v>
      </c>
      <c r="Q65" s="35" t="str">
        <f>VLOOKUP(P65,Key!$E$2:$F$9,2,FALSE)</f>
        <v>Home</v>
      </c>
      <c r="R65" s="38" t="s">
        <v>207</v>
      </c>
      <c r="S65" s="33" t="s">
        <v>207</v>
      </c>
      <c r="T65" s="38" t="s">
        <v>164</v>
      </c>
      <c r="U65" s="33">
        <v>2</v>
      </c>
      <c r="V65" s="35" t="str">
        <f>VLOOKUP(U65,Key!$E$2:$F$9,2,FALSE)</f>
        <v>Work</v>
      </c>
      <c r="W65" s="35" t="str">
        <f t="shared" si="1"/>
        <v>Home-Work</v>
      </c>
      <c r="X65" s="33">
        <v>130000</v>
      </c>
      <c r="Y65" s="39">
        <v>102</v>
      </c>
      <c r="Z65" s="39">
        <v>3.5</v>
      </c>
      <c r="AA65" s="33">
        <v>5</v>
      </c>
      <c r="AB65" s="35" t="str">
        <f>VLOOKUP(AA65,Key!$C$20:$D$29,2,FALSE)</f>
        <v>Professional</v>
      </c>
      <c r="AC65" s="33">
        <v>3</v>
      </c>
      <c r="AD65" s="35" t="str">
        <f>VLOOKUP(AC65,Key!$E$20:$F$24,2,FALSE)</f>
        <v>500,000-750,000</v>
      </c>
      <c r="AE65" s="33">
        <v>3</v>
      </c>
      <c r="AF65" s="39">
        <v>5</v>
      </c>
      <c r="AG65" s="39">
        <v>1</v>
      </c>
      <c r="AH65" s="39">
        <v>2</v>
      </c>
      <c r="AI65" s="39">
        <v>4</v>
      </c>
      <c r="AJ65" s="40" t="s">
        <v>100</v>
      </c>
      <c r="AK65" s="41">
        <v>3000</v>
      </c>
      <c r="AL65" s="25"/>
      <c r="AM65" s="25"/>
    </row>
    <row r="66" spans="2:39" x14ac:dyDescent="0.2">
      <c r="B66" s="51">
        <v>43771</v>
      </c>
      <c r="C66" s="36">
        <v>0.6</v>
      </c>
      <c r="D66" s="36"/>
      <c r="E66" s="36" t="s">
        <v>105</v>
      </c>
      <c r="F66" s="38">
        <v>2</v>
      </c>
      <c r="G66" s="43" t="str">
        <f>VLOOKUP(F66,Key!$A$17:$B$21,2,FALSE)</f>
        <v>Road Vehicle</v>
      </c>
      <c r="H66" s="37">
        <v>8</v>
      </c>
      <c r="I66" s="44" t="str">
        <f>VLOOKUP(H66,Key!$A$2:$B$13,2,FALSE)</f>
        <v xml:space="preserve">Medium Truck </v>
      </c>
      <c r="J66" s="38" t="s">
        <v>117</v>
      </c>
      <c r="K66" s="38">
        <v>4</v>
      </c>
      <c r="L66" s="45" t="str">
        <f>VLOOKUP(K66,Key!$A$24:$B$29,2,FALSE)</f>
        <v>50-59</v>
      </c>
      <c r="M66" s="60" t="s">
        <v>163</v>
      </c>
      <c r="N66" s="33" t="s">
        <v>163</v>
      </c>
      <c r="O66" s="38" t="s">
        <v>164</v>
      </c>
      <c r="P66" s="40">
        <v>1</v>
      </c>
      <c r="Q66" s="35" t="str">
        <f>VLOOKUP(P66,Key!$E$2:$F$9,2,FALSE)</f>
        <v>Home</v>
      </c>
      <c r="R66" s="38" t="s">
        <v>166</v>
      </c>
      <c r="S66" s="33" t="s">
        <v>166</v>
      </c>
      <c r="T66" s="38" t="s">
        <v>164</v>
      </c>
      <c r="U66" s="33">
        <v>2</v>
      </c>
      <c r="V66" s="35" t="str">
        <f>VLOOKUP(U66,Key!$E$2:$F$9,2,FALSE)</f>
        <v>Work</v>
      </c>
      <c r="W66" s="35" t="str">
        <f t="shared" si="1"/>
        <v>Home-Work</v>
      </c>
      <c r="X66" s="33">
        <v>200000</v>
      </c>
      <c r="Y66" s="39">
        <v>240</v>
      </c>
      <c r="Z66" s="39">
        <v>5</v>
      </c>
      <c r="AA66" s="33">
        <v>6</v>
      </c>
      <c r="AB66" s="35" t="str">
        <f>VLOOKUP(AA66,Key!$C$20:$D$29,2,FALSE)</f>
        <v>Businessman</v>
      </c>
      <c r="AC66" s="33">
        <v>4</v>
      </c>
      <c r="AD66" s="35" t="str">
        <f>VLOOKUP(AC66,Key!$E$20:$F$24,2,FALSE)</f>
        <v>750,000-1,000,000</v>
      </c>
      <c r="AE66" s="33">
        <v>3</v>
      </c>
      <c r="AF66" s="39">
        <v>1</v>
      </c>
      <c r="AG66" s="39">
        <v>2</v>
      </c>
      <c r="AH66" s="39">
        <v>3</v>
      </c>
      <c r="AI66" s="39">
        <v>5</v>
      </c>
      <c r="AJ66" s="40" t="s">
        <v>100</v>
      </c>
      <c r="AK66" s="41">
        <v>5000</v>
      </c>
      <c r="AL66" s="25"/>
      <c r="AM66" s="25"/>
    </row>
    <row r="67" spans="2:39" x14ac:dyDescent="0.2">
      <c r="B67" s="51">
        <v>43771</v>
      </c>
      <c r="C67" s="36">
        <v>0.4604166666666667</v>
      </c>
      <c r="D67" s="36"/>
      <c r="E67" s="36" t="s">
        <v>105</v>
      </c>
      <c r="F67" s="38">
        <v>2</v>
      </c>
      <c r="G67" s="43" t="str">
        <f>VLOOKUP(F67,Key!$A$17:$B$21,2,FALSE)</f>
        <v>Road Vehicle</v>
      </c>
      <c r="H67" s="37">
        <v>8</v>
      </c>
      <c r="I67" s="44" t="str">
        <f>VLOOKUP(H67,Key!$A$2:$B$13,2,FALSE)</f>
        <v xml:space="preserve">Medium Truck </v>
      </c>
      <c r="J67" s="38" t="s">
        <v>117</v>
      </c>
      <c r="K67" s="38">
        <v>4</v>
      </c>
      <c r="L67" s="45" t="str">
        <f>VLOOKUP(K67,Key!$A$24:$B$29,2,FALSE)</f>
        <v>50-59</v>
      </c>
      <c r="M67" s="60" t="s">
        <v>163</v>
      </c>
      <c r="N67" s="33" t="s">
        <v>163</v>
      </c>
      <c r="O67" s="38" t="s">
        <v>164</v>
      </c>
      <c r="P67" s="40">
        <v>1</v>
      </c>
      <c r="Q67" s="35" t="str">
        <f>VLOOKUP(P67,Key!$E$2:$F$9,2,FALSE)</f>
        <v>Home</v>
      </c>
      <c r="R67" s="38" t="s">
        <v>174</v>
      </c>
      <c r="S67" s="33" t="s">
        <v>174</v>
      </c>
      <c r="T67" s="38" t="s">
        <v>164</v>
      </c>
      <c r="U67" s="33">
        <v>2</v>
      </c>
      <c r="V67" s="35" t="str">
        <f>VLOOKUP(U67,Key!$E$2:$F$9,2,FALSE)</f>
        <v>Work</v>
      </c>
      <c r="W67" s="35" t="str">
        <f t="shared" si="1"/>
        <v>Home-Work</v>
      </c>
      <c r="X67" s="33">
        <v>280000</v>
      </c>
      <c r="Y67" s="39">
        <v>280</v>
      </c>
      <c r="Z67" s="39">
        <v>5</v>
      </c>
      <c r="AA67" s="33">
        <v>5</v>
      </c>
      <c r="AB67" s="35" t="str">
        <f>VLOOKUP(AA67,Key!$C$20:$D$29,2,FALSE)</f>
        <v>Professional</v>
      </c>
      <c r="AC67" s="33">
        <v>3</v>
      </c>
      <c r="AD67" s="35" t="str">
        <f>VLOOKUP(AC67,Key!$E$20:$F$24,2,FALSE)</f>
        <v>500,000-750,000</v>
      </c>
      <c r="AE67" s="33">
        <v>3</v>
      </c>
      <c r="AF67" s="39">
        <v>5</v>
      </c>
      <c r="AG67" s="39">
        <v>1</v>
      </c>
      <c r="AH67" s="39">
        <v>2</v>
      </c>
      <c r="AI67" s="39">
        <v>3</v>
      </c>
      <c r="AJ67" s="40" t="s">
        <v>100</v>
      </c>
      <c r="AK67" s="41"/>
      <c r="AL67" s="25"/>
      <c r="AM67" s="25"/>
    </row>
    <row r="68" spans="2:39" x14ac:dyDescent="0.2">
      <c r="B68" s="51">
        <v>43771</v>
      </c>
      <c r="C68" s="36">
        <v>0.56597222222222221</v>
      </c>
      <c r="D68" s="36"/>
      <c r="E68" s="36" t="s">
        <v>105</v>
      </c>
      <c r="F68" s="38">
        <v>2</v>
      </c>
      <c r="G68" s="43" t="str">
        <f>VLOOKUP(F68,Key!$A$17:$B$21,2,FALSE)</f>
        <v>Road Vehicle</v>
      </c>
      <c r="H68" s="37">
        <v>8</v>
      </c>
      <c r="I68" s="44" t="str">
        <f>VLOOKUP(H68,Key!$A$2:$B$13,2,FALSE)</f>
        <v xml:space="preserve">Medium Truck </v>
      </c>
      <c r="J68" s="38" t="s">
        <v>117</v>
      </c>
      <c r="K68" s="38">
        <v>4</v>
      </c>
      <c r="L68" s="45" t="str">
        <f>VLOOKUP(K68,Key!$A$24:$B$29,2,FALSE)</f>
        <v>50-59</v>
      </c>
      <c r="M68" s="60" t="s">
        <v>163</v>
      </c>
      <c r="N68" s="33" t="s">
        <v>163</v>
      </c>
      <c r="O68" s="38" t="s">
        <v>164</v>
      </c>
      <c r="P68" s="40">
        <v>1</v>
      </c>
      <c r="Q68" s="35" t="str">
        <f>VLOOKUP(P68,Key!$E$2:$F$9,2,FALSE)</f>
        <v>Home</v>
      </c>
      <c r="R68" s="38" t="s">
        <v>199</v>
      </c>
      <c r="S68" s="33" t="s">
        <v>201</v>
      </c>
      <c r="T68" s="38" t="s">
        <v>164</v>
      </c>
      <c r="U68" s="33">
        <v>2</v>
      </c>
      <c r="V68" s="35" t="str">
        <f>VLOOKUP(U68,Key!$E$2:$F$9,2,FALSE)</f>
        <v>Work</v>
      </c>
      <c r="W68" s="35" t="str">
        <f t="shared" si="1"/>
        <v>Home-Work</v>
      </c>
      <c r="X68" s="33">
        <v>50000</v>
      </c>
      <c r="Y68" s="39">
        <v>34</v>
      </c>
      <c r="Z68" s="39">
        <v>2</v>
      </c>
      <c r="AA68" s="33">
        <v>5</v>
      </c>
      <c r="AB68" s="35" t="str">
        <f>VLOOKUP(AA68,Key!$C$20:$D$29,2,FALSE)</f>
        <v>Professional</v>
      </c>
      <c r="AC68" s="33">
        <v>4</v>
      </c>
      <c r="AD68" s="35" t="str">
        <f>VLOOKUP(AC68,Key!$E$20:$F$24,2,FALSE)</f>
        <v>750,000-1,000,000</v>
      </c>
      <c r="AE68" s="33">
        <v>5</v>
      </c>
      <c r="AF68" s="39">
        <v>4</v>
      </c>
      <c r="AG68" s="39">
        <v>1</v>
      </c>
      <c r="AH68" s="39">
        <v>2</v>
      </c>
      <c r="AI68" s="39">
        <v>3</v>
      </c>
      <c r="AJ68" s="40" t="s">
        <v>100</v>
      </c>
      <c r="AK68" s="41">
        <v>5000</v>
      </c>
      <c r="AL68" s="25"/>
      <c r="AM68" s="25"/>
    </row>
    <row r="69" spans="2:39" x14ac:dyDescent="0.2">
      <c r="B69" s="51">
        <v>43771</v>
      </c>
      <c r="C69" s="36">
        <v>0.54513888888888895</v>
      </c>
      <c r="D69" s="36"/>
      <c r="E69" s="36" t="s">
        <v>105</v>
      </c>
      <c r="F69" s="38">
        <v>2</v>
      </c>
      <c r="G69" s="43" t="str">
        <f>VLOOKUP(F69,Key!$A$17:$B$21,2,FALSE)</f>
        <v>Road Vehicle</v>
      </c>
      <c r="H69" s="37">
        <v>8</v>
      </c>
      <c r="I69" s="44" t="str">
        <f>VLOOKUP(H69,Key!$A$2:$B$13,2,FALSE)</f>
        <v xml:space="preserve">Medium Truck </v>
      </c>
      <c r="J69" s="38" t="s">
        <v>117</v>
      </c>
      <c r="K69" s="38">
        <v>4</v>
      </c>
      <c r="L69" s="45" t="str">
        <f>VLOOKUP(K69,Key!$A$24:$B$29,2,FALSE)</f>
        <v>50-59</v>
      </c>
      <c r="M69" s="60" t="s">
        <v>163</v>
      </c>
      <c r="N69" s="33" t="s">
        <v>163</v>
      </c>
      <c r="O69" s="38" t="s">
        <v>164</v>
      </c>
      <c r="P69" s="40">
        <v>1</v>
      </c>
      <c r="Q69" s="35" t="str">
        <f>VLOOKUP(P69,Key!$E$2:$F$9,2,FALSE)</f>
        <v>Home</v>
      </c>
      <c r="R69" s="38" t="s">
        <v>188</v>
      </c>
      <c r="S69" s="33" t="s">
        <v>169</v>
      </c>
      <c r="T69" s="38" t="s">
        <v>164</v>
      </c>
      <c r="U69" s="33">
        <v>2</v>
      </c>
      <c r="V69" s="35" t="str">
        <f>VLOOKUP(U69,Key!$E$2:$F$9,2,FALSE)</f>
        <v>Work</v>
      </c>
      <c r="W69" s="35" t="str">
        <f t="shared" si="1"/>
        <v>Home-Work</v>
      </c>
      <c r="X69" s="33">
        <v>50000</v>
      </c>
      <c r="Y69" s="39">
        <v>36</v>
      </c>
      <c r="Z69" s="39">
        <v>1</v>
      </c>
      <c r="AA69" s="33">
        <v>5</v>
      </c>
      <c r="AB69" s="35" t="str">
        <f>VLOOKUP(AA69,Key!$C$20:$D$29,2,FALSE)</f>
        <v>Professional</v>
      </c>
      <c r="AC69" s="33">
        <v>4</v>
      </c>
      <c r="AD69" s="35" t="str">
        <f>VLOOKUP(AC69,Key!$E$20:$F$24,2,FALSE)</f>
        <v>750,000-1,000,000</v>
      </c>
      <c r="AE69" s="33">
        <v>3</v>
      </c>
      <c r="AF69" s="39">
        <v>1</v>
      </c>
      <c r="AG69" s="39">
        <v>4</v>
      </c>
      <c r="AH69" s="39">
        <v>5</v>
      </c>
      <c r="AI69" s="39">
        <v>2</v>
      </c>
      <c r="AJ69" s="40" t="s">
        <v>100</v>
      </c>
      <c r="AK69" s="41">
        <v>3000</v>
      </c>
      <c r="AL69" s="25"/>
      <c r="AM69" s="25"/>
    </row>
    <row r="70" spans="2:39" x14ac:dyDescent="0.2">
      <c r="B70" s="51">
        <v>43771</v>
      </c>
      <c r="C70" s="36">
        <v>0.64027777777777783</v>
      </c>
      <c r="D70" s="36"/>
      <c r="E70" s="36" t="s">
        <v>178</v>
      </c>
      <c r="F70" s="38">
        <v>2</v>
      </c>
      <c r="G70" s="43" t="str">
        <f>VLOOKUP(F70,Key!$A$17:$B$21,2,FALSE)</f>
        <v>Road Vehicle</v>
      </c>
      <c r="H70" s="37">
        <v>4</v>
      </c>
      <c r="I70" s="44" t="str">
        <f>VLOOKUP(H70,Key!$A$2:$B$13,2,FALSE)</f>
        <v>Minibus</v>
      </c>
      <c r="J70" s="38" t="s">
        <v>191</v>
      </c>
      <c r="K70" s="38">
        <v>1</v>
      </c>
      <c r="L70" s="45" t="str">
        <f>VLOOKUP(K70,Key!$A$24:$B$29,2,FALSE)</f>
        <v>20-29</v>
      </c>
      <c r="M70" s="60" t="s">
        <v>199</v>
      </c>
      <c r="N70" s="33" t="s">
        <v>169</v>
      </c>
      <c r="O70" s="38" t="s">
        <v>164</v>
      </c>
      <c r="P70" s="40">
        <v>2</v>
      </c>
      <c r="Q70" s="35" t="str">
        <f>VLOOKUP(P70,Key!$E$2:$F$9,2,FALSE)</f>
        <v>Work</v>
      </c>
      <c r="R70" s="38" t="s">
        <v>163</v>
      </c>
      <c r="S70" s="33" t="s">
        <v>163</v>
      </c>
      <c r="T70" s="38" t="s">
        <v>164</v>
      </c>
      <c r="U70" s="33">
        <v>1</v>
      </c>
      <c r="V70" s="35" t="str">
        <f>VLOOKUP(U70,Key!$E$2:$F$9,2,FALSE)</f>
        <v>Home</v>
      </c>
      <c r="W70" s="35" t="str">
        <f t="shared" si="1"/>
        <v>Work-Home</v>
      </c>
      <c r="X70" s="33">
        <v>4000</v>
      </c>
      <c r="Y70" s="39">
        <v>34</v>
      </c>
      <c r="Z70" s="39">
        <v>1.5</v>
      </c>
      <c r="AA70" s="33">
        <v>6</v>
      </c>
      <c r="AB70" s="35" t="str">
        <f>VLOOKUP(AA70,Key!$C$20:$D$29,2,FALSE)</f>
        <v>Businessman</v>
      </c>
      <c r="AC70" s="33">
        <v>3</v>
      </c>
      <c r="AD70" s="35" t="str">
        <f>VLOOKUP(AC70,Key!$E$20:$F$24,2,FALSE)</f>
        <v>500,000-750,000</v>
      </c>
      <c r="AE70" s="33">
        <v>4</v>
      </c>
      <c r="AF70" s="39">
        <v>2</v>
      </c>
      <c r="AG70" s="39">
        <v>1</v>
      </c>
      <c r="AH70" s="39">
        <v>3</v>
      </c>
      <c r="AI70" s="39">
        <v>5</v>
      </c>
      <c r="AJ70" s="40" t="s">
        <v>100</v>
      </c>
      <c r="AK70" s="41"/>
      <c r="AL70" s="25"/>
      <c r="AM70" s="25"/>
    </row>
    <row r="71" spans="2:39" x14ac:dyDescent="0.2">
      <c r="B71" s="51">
        <v>43771</v>
      </c>
      <c r="C71" s="36">
        <v>0.57708333333333328</v>
      </c>
      <c r="D71" s="36"/>
      <c r="E71" s="36" t="s">
        <v>178</v>
      </c>
      <c r="F71" s="38">
        <v>2</v>
      </c>
      <c r="G71" s="43" t="str">
        <f>VLOOKUP(F71,Key!$A$17:$B$21,2,FALSE)</f>
        <v>Road Vehicle</v>
      </c>
      <c r="H71" s="37">
        <v>4</v>
      </c>
      <c r="I71" s="44" t="str">
        <f>VLOOKUP(H71,Key!$A$2:$B$13,2,FALSE)</f>
        <v>Minibus</v>
      </c>
      <c r="J71" s="38" t="s">
        <v>191</v>
      </c>
      <c r="K71" s="38">
        <v>1</v>
      </c>
      <c r="L71" s="45" t="str">
        <f>VLOOKUP(K71,Key!$A$24:$B$29,2,FALSE)</f>
        <v>20-29</v>
      </c>
      <c r="M71" s="60" t="s">
        <v>199</v>
      </c>
      <c r="N71" s="33" t="s">
        <v>169</v>
      </c>
      <c r="O71" s="38" t="s">
        <v>164</v>
      </c>
      <c r="P71" s="40">
        <v>1</v>
      </c>
      <c r="Q71" s="35" t="str">
        <f>VLOOKUP(P71,Key!$E$2:$F$9,2,FALSE)</f>
        <v>Home</v>
      </c>
      <c r="R71" s="38" t="s">
        <v>163</v>
      </c>
      <c r="S71" s="33" t="s">
        <v>163</v>
      </c>
      <c r="T71" s="38" t="s">
        <v>164</v>
      </c>
      <c r="U71" s="33">
        <v>4</v>
      </c>
      <c r="V71" s="35" t="str">
        <f>VLOOKUP(U71,Key!$E$2:$F$9,2,FALSE)</f>
        <v>Commercial</v>
      </c>
      <c r="W71" s="35" t="str">
        <f t="shared" si="1"/>
        <v>Home-Commercial</v>
      </c>
      <c r="X71" s="33">
        <v>4000</v>
      </c>
      <c r="Y71" s="39">
        <v>34</v>
      </c>
      <c r="Z71" s="39">
        <v>2</v>
      </c>
      <c r="AA71" s="33">
        <v>5</v>
      </c>
      <c r="AB71" s="35" t="str">
        <f>VLOOKUP(AA71,Key!$C$20:$D$29,2,FALSE)</f>
        <v>Professional</v>
      </c>
      <c r="AC71" s="33">
        <v>4</v>
      </c>
      <c r="AD71" s="35" t="str">
        <f>VLOOKUP(AC71,Key!$E$20:$F$24,2,FALSE)</f>
        <v>750,000-1,000,000</v>
      </c>
      <c r="AE71" s="33">
        <v>4</v>
      </c>
      <c r="AF71" s="39">
        <v>1</v>
      </c>
      <c r="AG71" s="39">
        <v>2</v>
      </c>
      <c r="AH71" s="39">
        <v>3</v>
      </c>
      <c r="AI71" s="39">
        <v>5</v>
      </c>
      <c r="AJ71" s="40" t="s">
        <v>100</v>
      </c>
      <c r="AK71" s="41">
        <v>3000</v>
      </c>
      <c r="AL71" s="25"/>
      <c r="AM71" s="25"/>
    </row>
    <row r="72" spans="2:39" x14ac:dyDescent="0.2">
      <c r="B72" s="51">
        <v>43771</v>
      </c>
      <c r="C72" s="36">
        <v>0.67499999999999993</v>
      </c>
      <c r="D72" s="36"/>
      <c r="E72" s="36" t="s">
        <v>178</v>
      </c>
      <c r="F72" s="38">
        <v>2</v>
      </c>
      <c r="G72" s="43" t="str">
        <f>VLOOKUP(F72,Key!$A$17:$B$21,2,FALSE)</f>
        <v>Road Vehicle</v>
      </c>
      <c r="H72" s="37">
        <v>4</v>
      </c>
      <c r="I72" s="44" t="str">
        <f>VLOOKUP(H72,Key!$A$2:$B$13,2,FALSE)</f>
        <v>Minibus</v>
      </c>
      <c r="J72" s="38" t="s">
        <v>191</v>
      </c>
      <c r="K72" s="38">
        <v>1</v>
      </c>
      <c r="L72" s="45" t="str">
        <f>VLOOKUP(K72,Key!$A$24:$B$29,2,FALSE)</f>
        <v>20-29</v>
      </c>
      <c r="M72" s="60" t="s">
        <v>163</v>
      </c>
      <c r="N72" s="33" t="s">
        <v>163</v>
      </c>
      <c r="O72" s="38" t="s">
        <v>164</v>
      </c>
      <c r="P72" s="40">
        <v>1</v>
      </c>
      <c r="Q72" s="35" t="str">
        <f>VLOOKUP(P72,Key!$E$2:$F$9,2,FALSE)</f>
        <v>Home</v>
      </c>
      <c r="R72" s="38" t="s">
        <v>200</v>
      </c>
      <c r="S72" s="33" t="s">
        <v>200</v>
      </c>
      <c r="T72" s="38" t="s">
        <v>164</v>
      </c>
      <c r="U72" s="33">
        <v>5</v>
      </c>
      <c r="V72" s="35" t="str">
        <f>VLOOKUP(U72,Key!$E$2:$F$9,2,FALSE)</f>
        <v>Tourism</v>
      </c>
      <c r="W72" s="35" t="str">
        <f t="shared" ref="W72:W103" si="2">Q72&amp;"-"&amp;V72</f>
        <v>Home-Tourism</v>
      </c>
      <c r="X72" s="33">
        <v>8000</v>
      </c>
      <c r="Y72" s="39">
        <v>141</v>
      </c>
      <c r="Z72" s="39">
        <v>2</v>
      </c>
      <c r="AA72" s="33">
        <v>6</v>
      </c>
      <c r="AB72" s="35" t="str">
        <f>VLOOKUP(AA72,Key!$C$20:$D$29,2,FALSE)</f>
        <v>Businessman</v>
      </c>
      <c r="AC72" s="33">
        <v>3</v>
      </c>
      <c r="AD72" s="35" t="str">
        <f>VLOOKUP(AC72,Key!$E$20:$F$24,2,FALSE)</f>
        <v>500,000-750,000</v>
      </c>
      <c r="AE72" s="33">
        <v>3</v>
      </c>
      <c r="AF72" s="39">
        <v>4</v>
      </c>
      <c r="AG72" s="39">
        <v>1</v>
      </c>
      <c r="AH72" s="39">
        <v>2</v>
      </c>
      <c r="AI72" s="39">
        <v>5</v>
      </c>
      <c r="AJ72" s="40" t="s">
        <v>100</v>
      </c>
      <c r="AK72" s="41">
        <v>3000</v>
      </c>
      <c r="AL72" s="25"/>
      <c r="AM72" s="25"/>
    </row>
    <row r="73" spans="2:39" x14ac:dyDescent="0.2">
      <c r="B73" s="51">
        <v>43771</v>
      </c>
      <c r="C73" s="36">
        <v>0.63472222222222219</v>
      </c>
      <c r="D73" s="36"/>
      <c r="E73" s="36" t="s">
        <v>178</v>
      </c>
      <c r="F73" s="38">
        <v>2</v>
      </c>
      <c r="G73" s="43" t="str">
        <f>VLOOKUP(F73,Key!$A$17:$B$21,2,FALSE)</f>
        <v>Road Vehicle</v>
      </c>
      <c r="H73" s="37">
        <v>4</v>
      </c>
      <c r="I73" s="44" t="str">
        <f>VLOOKUP(H73,Key!$A$2:$B$13,2,FALSE)</f>
        <v>Minibus</v>
      </c>
      <c r="J73" s="38" t="s">
        <v>117</v>
      </c>
      <c r="K73" s="38">
        <v>2</v>
      </c>
      <c r="L73" s="45" t="str">
        <f>VLOOKUP(K73,Key!$A$24:$B$29,2,FALSE)</f>
        <v>30-39</v>
      </c>
      <c r="M73" s="60" t="s">
        <v>163</v>
      </c>
      <c r="N73" s="33" t="s">
        <v>163</v>
      </c>
      <c r="O73" s="38" t="s">
        <v>164</v>
      </c>
      <c r="P73" s="40">
        <v>4</v>
      </c>
      <c r="Q73" s="35" t="str">
        <f>VLOOKUP(P73,Key!$E$2:$F$9,2,FALSE)</f>
        <v>Commercial</v>
      </c>
      <c r="R73" s="38" t="s">
        <v>166</v>
      </c>
      <c r="S73" s="33" t="s">
        <v>166</v>
      </c>
      <c r="T73" s="38" t="s">
        <v>164</v>
      </c>
      <c r="U73" s="33">
        <v>1</v>
      </c>
      <c r="V73" s="35" t="str">
        <f>VLOOKUP(U73,Key!$E$2:$F$9,2,FALSE)</f>
        <v>Home</v>
      </c>
      <c r="W73" s="35" t="str">
        <f t="shared" si="2"/>
        <v>Commercial-Home</v>
      </c>
      <c r="X73" s="33">
        <v>15000</v>
      </c>
      <c r="Y73" s="39">
        <v>200</v>
      </c>
      <c r="Z73" s="39">
        <v>4</v>
      </c>
      <c r="AA73" s="33">
        <v>6</v>
      </c>
      <c r="AB73" s="35" t="str">
        <f>VLOOKUP(AA73,Key!$C$20:$D$29,2,FALSE)</f>
        <v>Businessman</v>
      </c>
      <c r="AC73" s="33">
        <v>3</v>
      </c>
      <c r="AD73" s="35" t="str">
        <f>VLOOKUP(AC73,Key!$E$20:$F$24,2,FALSE)</f>
        <v>500,000-750,000</v>
      </c>
      <c r="AE73" s="33">
        <v>5</v>
      </c>
      <c r="AF73" s="39">
        <v>1</v>
      </c>
      <c r="AG73" s="39">
        <v>2</v>
      </c>
      <c r="AH73" s="39">
        <v>3</v>
      </c>
      <c r="AI73" s="39">
        <v>4</v>
      </c>
      <c r="AJ73" s="40" t="s">
        <v>100</v>
      </c>
      <c r="AK73" s="41">
        <v>1000</v>
      </c>
      <c r="AL73" s="25"/>
      <c r="AM73" s="25"/>
    </row>
    <row r="74" spans="2:39" x14ac:dyDescent="0.2">
      <c r="B74" s="51">
        <v>43771</v>
      </c>
      <c r="C74" s="36">
        <v>0.67708333333333337</v>
      </c>
      <c r="D74" s="36"/>
      <c r="E74" s="36" t="s">
        <v>105</v>
      </c>
      <c r="F74" s="38">
        <v>2</v>
      </c>
      <c r="G74" s="43" t="str">
        <f>VLOOKUP(F74,Key!$A$17:$B$21,2,FALSE)</f>
        <v>Road Vehicle</v>
      </c>
      <c r="H74" s="37">
        <v>3</v>
      </c>
      <c r="I74" s="44" t="str">
        <f>VLOOKUP(H74,Key!$A$2:$B$13,2,FALSE)</f>
        <v>Pickups</v>
      </c>
      <c r="J74" s="38" t="s">
        <v>117</v>
      </c>
      <c r="K74" s="38">
        <v>2</v>
      </c>
      <c r="L74" s="45" t="str">
        <f>VLOOKUP(K74,Key!$A$24:$B$29,2,FALSE)</f>
        <v>30-39</v>
      </c>
      <c r="M74" s="60" t="s">
        <v>163</v>
      </c>
      <c r="N74" s="33" t="s">
        <v>163</v>
      </c>
      <c r="O74" s="38" t="s">
        <v>164</v>
      </c>
      <c r="P74" s="40">
        <v>1</v>
      </c>
      <c r="Q74" s="35" t="str">
        <f>VLOOKUP(P74,Key!$E$2:$F$9,2,FALSE)</f>
        <v>Home</v>
      </c>
      <c r="R74" s="38" t="s">
        <v>193</v>
      </c>
      <c r="S74" s="33" t="s">
        <v>193</v>
      </c>
      <c r="T74" s="38" t="s">
        <v>164</v>
      </c>
      <c r="U74" s="33">
        <v>2</v>
      </c>
      <c r="V74" s="35" t="str">
        <f>VLOOKUP(U74,Key!$E$2:$F$9,2,FALSE)</f>
        <v>Work</v>
      </c>
      <c r="W74" s="35" t="str">
        <f t="shared" si="2"/>
        <v>Home-Work</v>
      </c>
      <c r="X74" s="47">
        <v>150000</v>
      </c>
      <c r="Y74" s="39">
        <v>152</v>
      </c>
      <c r="Z74" s="39">
        <v>3</v>
      </c>
      <c r="AA74" s="33">
        <v>5</v>
      </c>
      <c r="AB74" s="35" t="str">
        <f>VLOOKUP(AA74,Key!$C$20:$D$29,2,FALSE)</f>
        <v>Professional</v>
      </c>
      <c r="AC74" s="33">
        <v>4</v>
      </c>
      <c r="AD74" s="35" t="str">
        <f>VLOOKUP(AC74,Key!$E$20:$F$24,2,FALSE)</f>
        <v>750,000-1,000,000</v>
      </c>
      <c r="AE74" s="33">
        <v>5</v>
      </c>
      <c r="AF74" s="39">
        <v>1</v>
      </c>
      <c r="AG74" s="39">
        <v>2</v>
      </c>
      <c r="AH74" s="39">
        <v>4</v>
      </c>
      <c r="AI74" s="39">
        <v>5</v>
      </c>
      <c r="AJ74" s="40" t="s">
        <v>100</v>
      </c>
      <c r="AK74" s="41">
        <v>5000</v>
      </c>
      <c r="AL74" s="25"/>
      <c r="AM74" s="25"/>
    </row>
    <row r="75" spans="2:39" x14ac:dyDescent="0.2">
      <c r="B75" s="51">
        <v>43771</v>
      </c>
      <c r="C75" s="36">
        <v>0.39583333333333331</v>
      </c>
      <c r="D75" s="36"/>
      <c r="E75" s="36" t="s">
        <v>105</v>
      </c>
      <c r="F75" s="38">
        <v>2</v>
      </c>
      <c r="G75" s="43" t="str">
        <f>VLOOKUP(F75,Key!$A$17:$B$21,2,FALSE)</f>
        <v>Road Vehicle</v>
      </c>
      <c r="H75" s="37">
        <v>3</v>
      </c>
      <c r="I75" s="44" t="str">
        <f>VLOOKUP(H75,Key!$A$2:$B$13,2,FALSE)</f>
        <v>Pickups</v>
      </c>
      <c r="J75" s="38" t="s">
        <v>117</v>
      </c>
      <c r="K75" s="38">
        <v>2</v>
      </c>
      <c r="L75" s="45" t="str">
        <f>VLOOKUP(K75,Key!$A$24:$B$29,2,FALSE)</f>
        <v>30-39</v>
      </c>
      <c r="M75" s="60" t="s">
        <v>204</v>
      </c>
      <c r="N75" s="33" t="s">
        <v>163</v>
      </c>
      <c r="O75" s="38" t="s">
        <v>164</v>
      </c>
      <c r="P75" s="40">
        <v>1</v>
      </c>
      <c r="Q75" s="35" t="str">
        <f>VLOOKUP(P75,Key!$E$2:$F$9,2,FALSE)</f>
        <v>Home</v>
      </c>
      <c r="R75" s="38" t="s">
        <v>205</v>
      </c>
      <c r="S75" s="33" t="s">
        <v>163</v>
      </c>
      <c r="T75" s="38" t="s">
        <v>164</v>
      </c>
      <c r="U75" s="33">
        <v>2</v>
      </c>
      <c r="V75" s="35" t="str">
        <f>VLOOKUP(U75,Key!$E$2:$F$9,2,FALSE)</f>
        <v>Work</v>
      </c>
      <c r="W75" s="35" t="str">
        <f t="shared" si="2"/>
        <v>Home-Work</v>
      </c>
      <c r="X75" s="33">
        <v>10000</v>
      </c>
      <c r="Y75" s="39">
        <v>10</v>
      </c>
      <c r="Z75" s="39">
        <v>1</v>
      </c>
      <c r="AA75" s="33">
        <v>5</v>
      </c>
      <c r="AB75" s="35" t="str">
        <f>VLOOKUP(AA75,Key!$C$20:$D$29,2,FALSE)</f>
        <v>Professional</v>
      </c>
      <c r="AC75" s="33">
        <v>1</v>
      </c>
      <c r="AD75" s="35" t="str">
        <f>VLOOKUP(AC75,Key!$E$20:$F$24,2,FALSE)</f>
        <v>&lt;300,000</v>
      </c>
      <c r="AE75" s="33">
        <v>4</v>
      </c>
      <c r="AF75" s="39">
        <v>3</v>
      </c>
      <c r="AG75" s="39">
        <v>1</v>
      </c>
      <c r="AH75" s="39">
        <v>2</v>
      </c>
      <c r="AI75" s="39">
        <v>5</v>
      </c>
      <c r="AJ75" s="40" t="s">
        <v>100</v>
      </c>
      <c r="AK75" s="41"/>
      <c r="AL75" s="25"/>
      <c r="AM75" s="25"/>
    </row>
    <row r="76" spans="2:39" x14ac:dyDescent="0.2">
      <c r="B76" s="51">
        <v>43771</v>
      </c>
      <c r="C76" s="36">
        <v>0.5444444444444444</v>
      </c>
      <c r="D76" s="36"/>
      <c r="E76" s="36" t="s">
        <v>105</v>
      </c>
      <c r="F76" s="38">
        <v>2</v>
      </c>
      <c r="G76" s="43" t="str">
        <f>VLOOKUP(F76,Key!$A$17:$B$21,2,FALSE)</f>
        <v>Road Vehicle</v>
      </c>
      <c r="H76" s="37">
        <v>2</v>
      </c>
      <c r="I76" s="44" t="str">
        <f>VLOOKUP(H76,Key!$A$2:$B$13,2,FALSE)</f>
        <v>Station Wagon</v>
      </c>
      <c r="J76" s="38" t="s">
        <v>117</v>
      </c>
      <c r="K76" s="38">
        <v>3</v>
      </c>
      <c r="L76" s="45" t="str">
        <f>VLOOKUP(K76,Key!$A$24:$B$29,2,FALSE)</f>
        <v>40-49</v>
      </c>
      <c r="M76" s="60" t="s">
        <v>163</v>
      </c>
      <c r="N76" s="33" t="s">
        <v>163</v>
      </c>
      <c r="O76" s="38" t="s">
        <v>164</v>
      </c>
      <c r="P76" s="40">
        <v>1</v>
      </c>
      <c r="Q76" s="35" t="str">
        <f>VLOOKUP(P76,Key!$E$2:$F$9,2,FALSE)</f>
        <v>Home</v>
      </c>
      <c r="R76" s="38" t="s">
        <v>185</v>
      </c>
      <c r="S76" s="33" t="s">
        <v>185</v>
      </c>
      <c r="T76" s="38" t="s">
        <v>164</v>
      </c>
      <c r="U76" s="33">
        <v>2</v>
      </c>
      <c r="V76" s="35" t="str">
        <f>VLOOKUP(U76,Key!$E$2:$F$9,2,FALSE)</f>
        <v>Work</v>
      </c>
      <c r="W76" s="35" t="str">
        <f t="shared" si="2"/>
        <v>Home-Work</v>
      </c>
      <c r="X76" s="47">
        <v>220000</v>
      </c>
      <c r="Y76" s="39">
        <v>229</v>
      </c>
      <c r="Z76" s="39">
        <v>4</v>
      </c>
      <c r="AA76" s="33">
        <v>5</v>
      </c>
      <c r="AB76" s="35" t="str">
        <f>VLOOKUP(AA76,Key!$C$20:$D$29,2,FALSE)</f>
        <v>Professional</v>
      </c>
      <c r="AC76" s="33">
        <v>4</v>
      </c>
      <c r="AD76" s="35" t="str">
        <f>VLOOKUP(AC76,Key!$E$20:$F$24,2,FALSE)</f>
        <v>750,000-1,000,000</v>
      </c>
      <c r="AE76" s="33">
        <v>3</v>
      </c>
      <c r="AF76" s="39">
        <v>5</v>
      </c>
      <c r="AG76" s="39">
        <v>1</v>
      </c>
      <c r="AH76" s="39">
        <v>2</v>
      </c>
      <c r="AI76" s="39">
        <v>5</v>
      </c>
      <c r="AJ76" s="40" t="s">
        <v>100</v>
      </c>
      <c r="AK76" s="41">
        <v>4000</v>
      </c>
      <c r="AL76" s="25"/>
      <c r="AM76" s="25"/>
    </row>
    <row r="77" spans="2:39" x14ac:dyDescent="0.2">
      <c r="B77" s="51">
        <v>43771</v>
      </c>
      <c r="C77" s="36">
        <v>0.41250000000000003</v>
      </c>
      <c r="D77" s="36"/>
      <c r="E77" s="36" t="s">
        <v>105</v>
      </c>
      <c r="F77" s="38">
        <v>2</v>
      </c>
      <c r="G77" s="43" t="str">
        <f>VLOOKUP(F77,Key!$A$17:$B$21,2,FALSE)</f>
        <v>Road Vehicle</v>
      </c>
      <c r="H77" s="37">
        <v>10</v>
      </c>
      <c r="I77" s="44" t="str">
        <f>VLOOKUP(H77,Key!$A$2:$B$13,2,FALSE)</f>
        <v xml:space="preserve">Truck Trailer </v>
      </c>
      <c r="J77" s="38" t="s">
        <v>117</v>
      </c>
      <c r="K77" s="38">
        <v>3</v>
      </c>
      <c r="L77" s="45" t="str">
        <f>VLOOKUP(K77,Key!$A$24:$B$29,2,FALSE)</f>
        <v>40-49</v>
      </c>
      <c r="M77" s="60" t="s">
        <v>163</v>
      </c>
      <c r="N77" s="33" t="s">
        <v>163</v>
      </c>
      <c r="O77" s="38" t="s">
        <v>164</v>
      </c>
      <c r="P77" s="40">
        <v>1</v>
      </c>
      <c r="Q77" s="35" t="str">
        <f>VLOOKUP(P77,Key!$E$2:$F$9,2,FALSE)</f>
        <v>Home</v>
      </c>
      <c r="R77" s="38" t="s">
        <v>199</v>
      </c>
      <c r="S77" s="33" t="s">
        <v>169</v>
      </c>
      <c r="T77" s="38" t="s">
        <v>164</v>
      </c>
      <c r="U77" s="33">
        <v>2</v>
      </c>
      <c r="V77" s="35" t="str">
        <f>VLOOKUP(U77,Key!$E$2:$F$9,2,FALSE)</f>
        <v>Work</v>
      </c>
      <c r="W77" s="35" t="str">
        <f t="shared" si="2"/>
        <v>Home-Work</v>
      </c>
      <c r="X77" s="33">
        <v>50000</v>
      </c>
      <c r="Y77" s="39">
        <v>34</v>
      </c>
      <c r="Z77" s="39">
        <v>2</v>
      </c>
      <c r="AA77" s="33">
        <v>5</v>
      </c>
      <c r="AB77" s="35" t="str">
        <f>VLOOKUP(AA77,Key!$C$20:$D$29,2,FALSE)</f>
        <v>Professional</v>
      </c>
      <c r="AC77" s="33">
        <v>4</v>
      </c>
      <c r="AD77" s="35" t="str">
        <f>VLOOKUP(AC77,Key!$E$20:$F$24,2,FALSE)</f>
        <v>750,000-1,000,000</v>
      </c>
      <c r="AE77" s="33">
        <v>4</v>
      </c>
      <c r="AF77" s="39">
        <v>1</v>
      </c>
      <c r="AG77" s="39">
        <v>2</v>
      </c>
      <c r="AH77" s="39">
        <v>5</v>
      </c>
      <c r="AI77" s="39">
        <v>3</v>
      </c>
      <c r="AJ77" s="40" t="s">
        <v>100</v>
      </c>
      <c r="AK77" s="41">
        <v>1000</v>
      </c>
      <c r="AL77" s="25"/>
      <c r="AM77" s="25"/>
    </row>
    <row r="78" spans="2:39" x14ac:dyDescent="0.2">
      <c r="B78" s="51">
        <v>43771</v>
      </c>
      <c r="C78" s="36">
        <v>0.37777777777777777</v>
      </c>
      <c r="D78" s="36"/>
      <c r="E78" s="36" t="s">
        <v>105</v>
      </c>
      <c r="F78" s="38">
        <v>2</v>
      </c>
      <c r="G78" s="43" t="str">
        <f>VLOOKUP(F78,Key!$A$17:$B$21,2,FALSE)</f>
        <v>Road Vehicle</v>
      </c>
      <c r="H78" s="37">
        <v>10</v>
      </c>
      <c r="I78" s="44" t="str">
        <f>VLOOKUP(H78,Key!$A$2:$B$13,2,FALSE)</f>
        <v xml:space="preserve">Truck Trailer </v>
      </c>
      <c r="J78" s="38" t="s">
        <v>117</v>
      </c>
      <c r="K78" s="38">
        <v>4</v>
      </c>
      <c r="L78" s="45" t="str">
        <f>VLOOKUP(K78,Key!$A$24:$B$29,2,FALSE)</f>
        <v>50-59</v>
      </c>
      <c r="M78" s="60" t="s">
        <v>163</v>
      </c>
      <c r="N78" s="33" t="s">
        <v>163</v>
      </c>
      <c r="O78" s="38" t="s">
        <v>164</v>
      </c>
      <c r="P78" s="40">
        <v>1</v>
      </c>
      <c r="Q78" s="35" t="str">
        <f>VLOOKUP(P78,Key!$E$2:$F$9,2,FALSE)</f>
        <v>Home</v>
      </c>
      <c r="R78" s="38" t="s">
        <v>170</v>
      </c>
      <c r="S78" s="33" t="s">
        <v>170</v>
      </c>
      <c r="T78" s="38" t="s">
        <v>164</v>
      </c>
      <c r="U78" s="33">
        <v>2</v>
      </c>
      <c r="V78" s="35" t="str">
        <f>VLOOKUP(U78,Key!$E$2:$F$9,2,FALSE)</f>
        <v>Work</v>
      </c>
      <c r="W78" s="35" t="str">
        <f t="shared" si="2"/>
        <v>Home-Work</v>
      </c>
      <c r="X78" s="47">
        <v>130000</v>
      </c>
      <c r="Y78" s="39">
        <v>127</v>
      </c>
      <c r="Z78" s="39">
        <v>3</v>
      </c>
      <c r="AA78" s="33">
        <v>5</v>
      </c>
      <c r="AB78" s="35" t="str">
        <f>VLOOKUP(AA78,Key!$C$20:$D$29,2,FALSE)</f>
        <v>Professional</v>
      </c>
      <c r="AC78" s="33">
        <v>4</v>
      </c>
      <c r="AD78" s="35" t="str">
        <f>VLOOKUP(AC78,Key!$E$20:$F$24,2,FALSE)</f>
        <v>750,000-1,000,000</v>
      </c>
      <c r="AE78" s="33">
        <v>3</v>
      </c>
      <c r="AF78" s="39">
        <v>1</v>
      </c>
      <c r="AG78" s="39">
        <v>2</v>
      </c>
      <c r="AH78" s="39">
        <v>5</v>
      </c>
      <c r="AI78" s="39">
        <v>4</v>
      </c>
      <c r="AJ78" s="40" t="s">
        <v>100</v>
      </c>
      <c r="AK78" s="41">
        <v>5000</v>
      </c>
      <c r="AL78" s="25"/>
      <c r="AM78" s="25"/>
    </row>
    <row r="79" spans="2:39" x14ac:dyDescent="0.2">
      <c r="B79" s="51">
        <v>43771</v>
      </c>
      <c r="C79" s="36">
        <v>0.53611111111111109</v>
      </c>
      <c r="D79" s="36"/>
      <c r="E79" s="36" t="s">
        <v>105</v>
      </c>
      <c r="F79" s="38">
        <v>2</v>
      </c>
      <c r="G79" s="43" t="str">
        <f>VLOOKUP(F79,Key!$A$17:$B$21,2,FALSE)</f>
        <v>Road Vehicle</v>
      </c>
      <c r="H79" s="37">
        <v>10</v>
      </c>
      <c r="I79" s="44" t="str">
        <f>VLOOKUP(H79,Key!$A$2:$B$13,2,FALSE)</f>
        <v xml:space="preserve">Truck Trailer </v>
      </c>
      <c r="J79" s="38" t="s">
        <v>117</v>
      </c>
      <c r="K79" s="38">
        <v>4</v>
      </c>
      <c r="L79" s="45" t="str">
        <f>VLOOKUP(K79,Key!$A$24:$B$29,2,FALSE)</f>
        <v>50-59</v>
      </c>
      <c r="M79" s="60" t="s">
        <v>163</v>
      </c>
      <c r="N79" s="33" t="s">
        <v>163</v>
      </c>
      <c r="O79" s="38" t="s">
        <v>164</v>
      </c>
      <c r="P79" s="40">
        <v>1</v>
      </c>
      <c r="Q79" s="35" t="str">
        <f>VLOOKUP(P79,Key!$E$2:$F$9,2,FALSE)</f>
        <v>Home</v>
      </c>
      <c r="R79" s="38" t="s">
        <v>184</v>
      </c>
      <c r="S79" s="33" t="s">
        <v>184</v>
      </c>
      <c r="T79" s="38" t="s">
        <v>164</v>
      </c>
      <c r="U79" s="33">
        <v>2</v>
      </c>
      <c r="V79" s="35" t="str">
        <f>VLOOKUP(U79,Key!$E$2:$F$9,2,FALSE)</f>
        <v>Work</v>
      </c>
      <c r="W79" s="35" t="str">
        <f t="shared" si="2"/>
        <v>Home-Work</v>
      </c>
      <c r="X79" s="47">
        <v>160000</v>
      </c>
      <c r="Y79" s="39">
        <v>462</v>
      </c>
      <c r="Z79" s="39">
        <v>3</v>
      </c>
      <c r="AA79" s="33">
        <v>5</v>
      </c>
      <c r="AB79" s="35" t="str">
        <f>VLOOKUP(AA79,Key!$C$20:$D$29,2,FALSE)</f>
        <v>Professional</v>
      </c>
      <c r="AC79" s="33">
        <v>4</v>
      </c>
      <c r="AD79" s="35" t="str">
        <f>VLOOKUP(AC79,Key!$E$20:$F$24,2,FALSE)</f>
        <v>750,000-1,000,000</v>
      </c>
      <c r="AE79" s="33">
        <v>4</v>
      </c>
      <c r="AF79" s="39">
        <v>1</v>
      </c>
      <c r="AG79" s="39">
        <v>2</v>
      </c>
      <c r="AH79" s="39">
        <v>5</v>
      </c>
      <c r="AI79" s="39">
        <v>4</v>
      </c>
      <c r="AJ79" s="40" t="s">
        <v>100</v>
      </c>
      <c r="AK79" s="41">
        <v>5000</v>
      </c>
      <c r="AL79" s="25"/>
      <c r="AM79" s="25"/>
    </row>
    <row r="80" spans="2:39" x14ac:dyDescent="0.2">
      <c r="B80" s="51">
        <v>43771</v>
      </c>
      <c r="C80" s="36">
        <v>0.48888888888888887</v>
      </c>
      <c r="D80" s="36"/>
      <c r="E80" s="36" t="s">
        <v>105</v>
      </c>
      <c r="F80" s="38">
        <v>2</v>
      </c>
      <c r="G80" s="43" t="str">
        <f>VLOOKUP(F80,Key!$A$17:$B$21,2,FALSE)</f>
        <v>Road Vehicle</v>
      </c>
      <c r="H80" s="37">
        <v>10</v>
      </c>
      <c r="I80" s="44" t="str">
        <f>VLOOKUP(H80,Key!$A$2:$B$13,2,FALSE)</f>
        <v xml:space="preserve">Truck Trailer </v>
      </c>
      <c r="J80" s="38" t="s">
        <v>117</v>
      </c>
      <c r="K80" s="38">
        <v>4</v>
      </c>
      <c r="L80" s="45" t="str">
        <f>VLOOKUP(K80,Key!$A$24:$B$29,2,FALSE)</f>
        <v>50-59</v>
      </c>
      <c r="M80" s="60" t="s">
        <v>163</v>
      </c>
      <c r="N80" s="33" t="s">
        <v>163</v>
      </c>
      <c r="O80" s="38" t="s">
        <v>164</v>
      </c>
      <c r="P80" s="40">
        <v>1</v>
      </c>
      <c r="Q80" s="35" t="str">
        <f>VLOOKUP(P80,Key!$E$2:$F$9,2,FALSE)</f>
        <v>Home</v>
      </c>
      <c r="R80" s="38" t="s">
        <v>215</v>
      </c>
      <c r="S80" s="33" t="s">
        <v>215</v>
      </c>
      <c r="T80" s="38" t="s">
        <v>164</v>
      </c>
      <c r="U80" s="33">
        <v>2</v>
      </c>
      <c r="V80" s="35" t="str">
        <f>VLOOKUP(U80,Key!$E$2:$F$9,2,FALSE)</f>
        <v>Work</v>
      </c>
      <c r="W80" s="35" t="str">
        <f t="shared" si="2"/>
        <v>Home-Work</v>
      </c>
      <c r="X80" s="33">
        <v>80000</v>
      </c>
      <c r="Y80" s="39">
        <v>80</v>
      </c>
      <c r="Z80" s="39">
        <v>3</v>
      </c>
      <c r="AA80" s="33">
        <v>5</v>
      </c>
      <c r="AB80" s="35" t="str">
        <f>VLOOKUP(AA80,Key!$C$20:$D$29,2,FALSE)</f>
        <v>Professional</v>
      </c>
      <c r="AC80" s="33">
        <v>4</v>
      </c>
      <c r="AD80" s="35" t="str">
        <f>VLOOKUP(AC80,Key!$E$20:$F$24,2,FALSE)</f>
        <v>750,000-1,000,000</v>
      </c>
      <c r="AE80" s="33">
        <v>5</v>
      </c>
      <c r="AF80" s="39">
        <v>1</v>
      </c>
      <c r="AG80" s="39">
        <v>2</v>
      </c>
      <c r="AH80" s="39">
        <v>3</v>
      </c>
      <c r="AI80" s="39">
        <v>4</v>
      </c>
      <c r="AJ80" s="40" t="s">
        <v>100</v>
      </c>
      <c r="AK80" s="41">
        <v>5000</v>
      </c>
      <c r="AL80" s="25"/>
      <c r="AM80" s="25"/>
    </row>
    <row r="81" spans="2:39" x14ac:dyDescent="0.2">
      <c r="B81" s="51">
        <v>43771</v>
      </c>
      <c r="C81" s="36">
        <v>0.45694444444444443</v>
      </c>
      <c r="D81" s="36"/>
      <c r="E81" s="36" t="s">
        <v>105</v>
      </c>
      <c r="F81" s="38">
        <v>2</v>
      </c>
      <c r="G81" s="43" t="str">
        <f>VLOOKUP(F81,Key!$A$17:$B$21,2,FALSE)</f>
        <v>Road Vehicle</v>
      </c>
      <c r="H81" s="37">
        <v>10</v>
      </c>
      <c r="I81" s="44" t="str">
        <f>VLOOKUP(H81,Key!$A$2:$B$13,2,FALSE)</f>
        <v xml:space="preserve">Truck Trailer </v>
      </c>
      <c r="J81" s="38" t="s">
        <v>117</v>
      </c>
      <c r="K81" s="38">
        <v>4</v>
      </c>
      <c r="L81" s="45" t="str">
        <f>VLOOKUP(K81,Key!$A$24:$B$29,2,FALSE)</f>
        <v>50-59</v>
      </c>
      <c r="M81" s="60" t="s">
        <v>181</v>
      </c>
      <c r="N81" s="33" t="s">
        <v>163</v>
      </c>
      <c r="O81" s="38" t="s">
        <v>164</v>
      </c>
      <c r="P81" s="40">
        <v>2</v>
      </c>
      <c r="Q81" s="35" t="str">
        <f>VLOOKUP(P81,Key!$E$2:$F$9,2,FALSE)</f>
        <v>Work</v>
      </c>
      <c r="R81" s="38" t="s">
        <v>165</v>
      </c>
      <c r="S81" s="33" t="s">
        <v>174</v>
      </c>
      <c r="T81" s="38" t="s">
        <v>164</v>
      </c>
      <c r="U81" s="33">
        <v>2</v>
      </c>
      <c r="V81" s="35" t="str">
        <f>VLOOKUP(U81,Key!$E$2:$F$9,2,FALSE)</f>
        <v>Work</v>
      </c>
      <c r="W81" s="35" t="str">
        <f t="shared" si="2"/>
        <v>Work-Work</v>
      </c>
      <c r="X81" s="47">
        <v>300000</v>
      </c>
      <c r="Y81" s="39">
        <v>160</v>
      </c>
      <c r="Z81" s="39">
        <v>6</v>
      </c>
      <c r="AA81" s="33">
        <v>5</v>
      </c>
      <c r="AB81" s="35" t="str">
        <f>VLOOKUP(AA81,Key!$C$20:$D$29,2,FALSE)</f>
        <v>Professional</v>
      </c>
      <c r="AC81" s="33"/>
      <c r="AD81" s="35" t="e">
        <f>VLOOKUP(AC81,Key!$E$20:$F$24,2,FALSE)</f>
        <v>#N/A</v>
      </c>
      <c r="AE81" s="33">
        <v>1</v>
      </c>
      <c r="AF81" s="39">
        <v>2</v>
      </c>
      <c r="AG81" s="39">
        <v>2</v>
      </c>
      <c r="AH81" s="39">
        <v>4</v>
      </c>
      <c r="AI81" s="39"/>
      <c r="AJ81" s="40" t="s">
        <v>100</v>
      </c>
      <c r="AK81" s="41">
        <v>3000</v>
      </c>
      <c r="AL81" s="25"/>
      <c r="AM81" s="25"/>
    </row>
    <row r="86" spans="2:39" x14ac:dyDescent="0.2">
      <c r="H86" s="14" t="s">
        <v>216</v>
      </c>
      <c r="I86" s="14" t="s">
        <v>217</v>
      </c>
      <c r="J86" s="14" t="s">
        <v>218</v>
      </c>
    </row>
    <row r="87" spans="2:39" x14ac:dyDescent="0.2">
      <c r="H87" s="14" t="s">
        <v>219</v>
      </c>
      <c r="I87" s="14">
        <v>5</v>
      </c>
      <c r="J87" s="58">
        <f>I87/$I$89</f>
        <v>6.7567567567567571E-2</v>
      </c>
    </row>
    <row r="88" spans="2:39" x14ac:dyDescent="0.2">
      <c r="H88" s="14" t="s">
        <v>220</v>
      </c>
      <c r="I88" s="14">
        <v>69</v>
      </c>
      <c r="J88" s="58">
        <f>I88/$I$89</f>
        <v>0.93243243243243246</v>
      </c>
    </row>
    <row r="89" spans="2:39" x14ac:dyDescent="0.2">
      <c r="H89" s="14" t="s">
        <v>221</v>
      </c>
      <c r="I89" s="14">
        <v>74</v>
      </c>
      <c r="J89" s="58">
        <f t="shared" ref="J89" si="3">I89/$I$89</f>
        <v>1</v>
      </c>
    </row>
    <row r="92" spans="2:39" ht="15" x14ac:dyDescent="0.25">
      <c r="H92" s="52" t="s">
        <v>222</v>
      </c>
      <c r="I92" s="53" t="s">
        <v>220</v>
      </c>
      <c r="J92" s="53" t="s">
        <v>219</v>
      </c>
      <c r="K92" s="54" t="s">
        <v>223</v>
      </c>
      <c r="L92" s="67" t="s">
        <v>218</v>
      </c>
      <c r="M92" s="67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2:39" x14ac:dyDescent="0.2">
      <c r="H93" s="14"/>
      <c r="I93" s="14"/>
      <c r="J93" s="14"/>
      <c r="K93" s="14"/>
      <c r="L93" s="55" t="s">
        <v>220</v>
      </c>
      <c r="M93" s="61" t="s">
        <v>219</v>
      </c>
    </row>
    <row r="94" spans="2:39" x14ac:dyDescent="0.2">
      <c r="H94" s="25" t="s">
        <v>39</v>
      </c>
      <c r="I94" s="14">
        <v>0</v>
      </c>
      <c r="J94" s="14">
        <v>0</v>
      </c>
      <c r="K94" s="56">
        <f>SUM(I94:J94)</f>
        <v>0</v>
      </c>
      <c r="L94" s="57">
        <v>0</v>
      </c>
      <c r="M94" s="62">
        <v>0</v>
      </c>
    </row>
    <row r="95" spans="2:39" x14ac:dyDescent="0.2">
      <c r="H95" s="25" t="s">
        <v>40</v>
      </c>
      <c r="I95" s="14">
        <v>1</v>
      </c>
      <c r="J95" s="14">
        <v>0</v>
      </c>
      <c r="K95" s="56">
        <f>SUM(I95:J95)</f>
        <v>1</v>
      </c>
      <c r="L95" s="57">
        <f t="shared" ref="L95:L102" si="4">I95/K95</f>
        <v>1</v>
      </c>
      <c r="M95" s="62">
        <f t="shared" ref="M95:M102" si="5">J95/K95</f>
        <v>0</v>
      </c>
    </row>
    <row r="96" spans="2:39" x14ac:dyDescent="0.2">
      <c r="H96" s="25" t="s">
        <v>41</v>
      </c>
      <c r="I96" s="14">
        <v>2</v>
      </c>
      <c r="J96" s="14">
        <v>0</v>
      </c>
      <c r="K96" s="56">
        <f t="shared" ref="K96:K106" si="6">SUM(I96:J96)</f>
        <v>2</v>
      </c>
      <c r="L96" s="57">
        <f t="shared" si="4"/>
        <v>1</v>
      </c>
      <c r="M96" s="62">
        <f t="shared" si="5"/>
        <v>0</v>
      </c>
    </row>
    <row r="97" spans="8:16" x14ac:dyDescent="0.2">
      <c r="H97" s="25" t="s">
        <v>115</v>
      </c>
      <c r="I97" s="14">
        <v>1</v>
      </c>
      <c r="J97" s="14">
        <v>3</v>
      </c>
      <c r="K97" s="56">
        <f>SUM(I97:J97)</f>
        <v>4</v>
      </c>
      <c r="L97" s="57">
        <f t="shared" si="4"/>
        <v>0.25</v>
      </c>
      <c r="M97" s="62">
        <f t="shared" si="5"/>
        <v>0.75</v>
      </c>
    </row>
    <row r="98" spans="8:16" x14ac:dyDescent="0.2">
      <c r="H98" s="25" t="s">
        <v>42</v>
      </c>
      <c r="I98" s="14">
        <v>6</v>
      </c>
      <c r="J98" s="14">
        <v>0</v>
      </c>
      <c r="K98" s="56">
        <f t="shared" si="6"/>
        <v>6</v>
      </c>
      <c r="L98" s="57">
        <f t="shared" si="4"/>
        <v>1</v>
      </c>
      <c r="M98" s="62">
        <f t="shared" si="5"/>
        <v>0</v>
      </c>
    </row>
    <row r="99" spans="8:16" x14ac:dyDescent="0.2">
      <c r="H99" s="25" t="s">
        <v>43</v>
      </c>
      <c r="I99" s="14">
        <v>5</v>
      </c>
      <c r="J99" s="14">
        <v>2</v>
      </c>
      <c r="K99" s="56">
        <f t="shared" si="6"/>
        <v>7</v>
      </c>
      <c r="L99" s="57">
        <f t="shared" si="4"/>
        <v>0.7142857142857143</v>
      </c>
      <c r="M99" s="62">
        <f t="shared" si="5"/>
        <v>0.2857142857142857</v>
      </c>
    </row>
    <row r="100" spans="8:16" x14ac:dyDescent="0.2">
      <c r="H100" s="25" t="s">
        <v>44</v>
      </c>
      <c r="I100" s="14">
        <v>11</v>
      </c>
      <c r="J100" s="14">
        <v>0</v>
      </c>
      <c r="K100" s="56">
        <f t="shared" si="6"/>
        <v>11</v>
      </c>
      <c r="L100" s="57">
        <f t="shared" si="4"/>
        <v>1</v>
      </c>
      <c r="M100" s="62">
        <f t="shared" si="5"/>
        <v>0</v>
      </c>
    </row>
    <row r="101" spans="8:16" x14ac:dyDescent="0.2">
      <c r="H101" s="25" t="s">
        <v>45</v>
      </c>
      <c r="I101" s="14">
        <v>27</v>
      </c>
      <c r="J101" s="14">
        <v>0</v>
      </c>
      <c r="K101" s="56">
        <f t="shared" si="6"/>
        <v>27</v>
      </c>
      <c r="L101" s="57">
        <f t="shared" si="4"/>
        <v>1</v>
      </c>
      <c r="M101" s="62">
        <f t="shared" si="5"/>
        <v>0</v>
      </c>
    </row>
    <row r="102" spans="8:16" x14ac:dyDescent="0.2">
      <c r="H102" s="25" t="s">
        <v>46</v>
      </c>
      <c r="I102" s="14">
        <v>11</v>
      </c>
      <c r="J102" s="14">
        <v>0</v>
      </c>
      <c r="K102" s="56">
        <f t="shared" si="6"/>
        <v>11</v>
      </c>
      <c r="L102" s="57">
        <f t="shared" si="4"/>
        <v>1</v>
      </c>
      <c r="M102" s="62">
        <f t="shared" si="5"/>
        <v>0</v>
      </c>
    </row>
    <row r="103" spans="8:16" x14ac:dyDescent="0.2">
      <c r="H103" s="25" t="s">
        <v>47</v>
      </c>
      <c r="I103" s="14">
        <v>5</v>
      </c>
      <c r="J103" s="14">
        <v>0</v>
      </c>
      <c r="K103" s="56">
        <f t="shared" si="6"/>
        <v>5</v>
      </c>
      <c r="L103" s="57">
        <f t="shared" ref="L103" si="7">I103/K103</f>
        <v>1</v>
      </c>
      <c r="M103" s="62">
        <f>J103/K103</f>
        <v>0</v>
      </c>
    </row>
    <row r="104" spans="8:16" x14ac:dyDescent="0.2">
      <c r="H104" s="25" t="s">
        <v>49</v>
      </c>
      <c r="I104" s="14">
        <v>0</v>
      </c>
      <c r="J104" s="14">
        <v>0</v>
      </c>
      <c r="K104" s="56">
        <f t="shared" si="6"/>
        <v>0</v>
      </c>
      <c r="L104" s="57">
        <v>0</v>
      </c>
      <c r="M104" s="62">
        <v>0</v>
      </c>
    </row>
    <row r="105" spans="8:16" x14ac:dyDescent="0.2">
      <c r="H105" s="25" t="s">
        <v>48</v>
      </c>
      <c r="I105" s="14">
        <v>0</v>
      </c>
      <c r="J105" s="14">
        <v>0</v>
      </c>
      <c r="K105" s="56">
        <f t="shared" si="6"/>
        <v>0</v>
      </c>
      <c r="L105" s="57">
        <v>0</v>
      </c>
      <c r="M105" s="62">
        <v>0</v>
      </c>
    </row>
    <row r="106" spans="8:16" x14ac:dyDescent="0.2">
      <c r="H106" s="25" t="s">
        <v>224</v>
      </c>
      <c r="I106" s="14">
        <v>0</v>
      </c>
      <c r="J106" s="14">
        <v>0</v>
      </c>
      <c r="K106" s="56">
        <f t="shared" si="6"/>
        <v>0</v>
      </c>
      <c r="L106" s="57">
        <v>0</v>
      </c>
      <c r="M106" s="62">
        <v>0</v>
      </c>
    </row>
    <row r="110" spans="8:16" x14ac:dyDescent="0.2">
      <c r="H110" s="63" t="s">
        <v>225</v>
      </c>
      <c r="I110" s="64" t="s">
        <v>219</v>
      </c>
      <c r="J110" s="64" t="s">
        <v>220</v>
      </c>
      <c r="K110" s="64" t="s">
        <v>223</v>
      </c>
      <c r="M110" s="63" t="s">
        <v>225</v>
      </c>
      <c r="N110" s="64" t="s">
        <v>219</v>
      </c>
      <c r="O110" s="64" t="s">
        <v>220</v>
      </c>
      <c r="P110" s="64" t="s">
        <v>223</v>
      </c>
    </row>
    <row r="111" spans="8:16" x14ac:dyDescent="0.2">
      <c r="H111" s="25" t="s">
        <v>120</v>
      </c>
      <c r="I111" s="14">
        <v>3</v>
      </c>
      <c r="J111" s="14">
        <v>3</v>
      </c>
      <c r="K111" s="14">
        <f>SUM(I111:J111)</f>
        <v>6</v>
      </c>
      <c r="M111" s="25" t="s">
        <v>120</v>
      </c>
      <c r="N111" s="65">
        <f>I111/$I$117</f>
        <v>0.6</v>
      </c>
      <c r="O111" s="65">
        <f>J111/$J$117</f>
        <v>4.2253521126760563E-2</v>
      </c>
      <c r="P111" s="65">
        <f>K111/$K$117</f>
        <v>7.8947368421052627E-2</v>
      </c>
    </row>
    <row r="112" spans="8:16" x14ac:dyDescent="0.2">
      <c r="H112" s="25" t="s">
        <v>121</v>
      </c>
      <c r="I112" s="14">
        <v>2</v>
      </c>
      <c r="J112" s="14">
        <v>23</v>
      </c>
      <c r="K112" s="14">
        <f t="shared" ref="K112:K117" si="8">SUM(I112:J112)</f>
        <v>25</v>
      </c>
      <c r="M112" s="25" t="s">
        <v>121</v>
      </c>
      <c r="N112" s="65">
        <f t="shared" ref="N112:N117" si="9">I112/$I$117</f>
        <v>0.4</v>
      </c>
      <c r="O112" s="65">
        <f t="shared" ref="O112:O117" si="10">J112/$J$117</f>
        <v>0.323943661971831</v>
      </c>
      <c r="P112" s="65">
        <f t="shared" ref="P112:P117" si="11">K112/$K$117</f>
        <v>0.32894736842105265</v>
      </c>
    </row>
    <row r="113" spans="7:22" x14ac:dyDescent="0.2">
      <c r="H113" s="25" t="s">
        <v>122</v>
      </c>
      <c r="I113" s="14">
        <v>0</v>
      </c>
      <c r="J113" s="14">
        <v>20</v>
      </c>
      <c r="K113" s="14">
        <f>SUM(I113:J113)</f>
        <v>20</v>
      </c>
      <c r="M113" s="25" t="s">
        <v>122</v>
      </c>
      <c r="N113" s="65">
        <f t="shared" si="9"/>
        <v>0</v>
      </c>
      <c r="O113" s="65">
        <f t="shared" si="10"/>
        <v>0.28169014084507044</v>
      </c>
      <c r="P113" s="65">
        <f>K113/$K$117</f>
        <v>0.26315789473684209</v>
      </c>
    </row>
    <row r="114" spans="7:22" x14ac:dyDescent="0.2">
      <c r="H114" s="25" t="s">
        <v>123</v>
      </c>
      <c r="I114" s="14">
        <v>0</v>
      </c>
      <c r="J114" s="14">
        <v>23</v>
      </c>
      <c r="K114" s="14">
        <f>SUM(I114:J114)</f>
        <v>23</v>
      </c>
      <c r="M114" s="25" t="s">
        <v>123</v>
      </c>
      <c r="N114" s="65">
        <f t="shared" si="9"/>
        <v>0</v>
      </c>
      <c r="O114" s="65">
        <f t="shared" si="10"/>
        <v>0.323943661971831</v>
      </c>
      <c r="P114" s="65">
        <f t="shared" si="11"/>
        <v>0.30263157894736842</v>
      </c>
    </row>
    <row r="115" spans="7:22" x14ac:dyDescent="0.2">
      <c r="H115" s="25" t="s">
        <v>124</v>
      </c>
      <c r="I115" s="14">
        <v>0</v>
      </c>
      <c r="J115" s="14">
        <v>2</v>
      </c>
      <c r="K115" s="14">
        <f t="shared" si="8"/>
        <v>2</v>
      </c>
      <c r="M115" s="25" t="s">
        <v>124</v>
      </c>
      <c r="N115" s="65">
        <f t="shared" si="9"/>
        <v>0</v>
      </c>
      <c r="O115" s="65">
        <f t="shared" si="10"/>
        <v>2.8169014084507043E-2</v>
      </c>
      <c r="P115" s="65">
        <f t="shared" si="11"/>
        <v>2.6315789473684209E-2</v>
      </c>
    </row>
    <row r="116" spans="7:22" x14ac:dyDescent="0.2">
      <c r="H116" s="25" t="s">
        <v>125</v>
      </c>
      <c r="I116" s="14">
        <v>0</v>
      </c>
      <c r="J116" s="14">
        <v>0</v>
      </c>
      <c r="K116" s="14">
        <f t="shared" si="8"/>
        <v>0</v>
      </c>
      <c r="M116" s="25" t="s">
        <v>125</v>
      </c>
      <c r="N116" s="65">
        <f t="shared" si="9"/>
        <v>0</v>
      </c>
      <c r="O116" s="65">
        <f t="shared" si="10"/>
        <v>0</v>
      </c>
      <c r="P116" s="65">
        <f t="shared" si="11"/>
        <v>0</v>
      </c>
    </row>
    <row r="117" spans="7:22" x14ac:dyDescent="0.2">
      <c r="H117" s="64" t="s">
        <v>223</v>
      </c>
      <c r="I117" s="14">
        <f>SUM(I111:I116)</f>
        <v>5</v>
      </c>
      <c r="J117" s="14">
        <f>SUM(J111:J116)</f>
        <v>71</v>
      </c>
      <c r="K117" s="14">
        <f t="shared" si="8"/>
        <v>76</v>
      </c>
      <c r="M117" s="64" t="s">
        <v>223</v>
      </c>
      <c r="N117" s="65">
        <f t="shared" si="9"/>
        <v>1</v>
      </c>
      <c r="O117" s="65">
        <f t="shared" si="10"/>
        <v>1</v>
      </c>
      <c r="P117" s="65">
        <f t="shared" si="11"/>
        <v>1</v>
      </c>
    </row>
    <row r="118" spans="7:22" x14ac:dyDescent="0.2">
      <c r="H118" s="28"/>
    </row>
    <row r="119" spans="7:22" x14ac:dyDescent="0.2">
      <c r="H119" s="28"/>
    </row>
    <row r="120" spans="7:22" x14ac:dyDescent="0.2">
      <c r="H120" s="28"/>
    </row>
    <row r="121" spans="7:22" x14ac:dyDescent="0.2">
      <c r="H121" s="28"/>
    </row>
    <row r="122" spans="7:22" x14ac:dyDescent="0.2">
      <c r="G122" s="14" t="s">
        <v>226</v>
      </c>
      <c r="H122" s="25" t="s">
        <v>225</v>
      </c>
      <c r="I122" s="25" t="s">
        <v>39</v>
      </c>
      <c r="J122" s="25" t="s">
        <v>40</v>
      </c>
      <c r="K122" s="25" t="s">
        <v>41</v>
      </c>
      <c r="L122" s="25" t="s">
        <v>115</v>
      </c>
      <c r="M122" s="25" t="s">
        <v>42</v>
      </c>
      <c r="N122" s="25" t="s">
        <v>43</v>
      </c>
      <c r="O122" s="25" t="s">
        <v>44</v>
      </c>
      <c r="P122" s="25" t="s">
        <v>45</v>
      </c>
      <c r="Q122" s="25" t="s">
        <v>46</v>
      </c>
      <c r="R122" s="25" t="s">
        <v>47</v>
      </c>
      <c r="S122" s="25" t="s">
        <v>49</v>
      </c>
      <c r="T122" s="25" t="s">
        <v>48</v>
      </c>
      <c r="U122" s="33" t="s">
        <v>224</v>
      </c>
      <c r="V122" s="33" t="s">
        <v>223</v>
      </c>
    </row>
    <row r="123" spans="7:22" x14ac:dyDescent="0.2">
      <c r="G123" s="14" t="s">
        <v>219</v>
      </c>
      <c r="H123" s="25" t="s">
        <v>120</v>
      </c>
      <c r="I123" s="14">
        <v>0</v>
      </c>
      <c r="J123" s="14"/>
      <c r="K123" s="14"/>
      <c r="L123" s="14"/>
      <c r="M123" s="66"/>
      <c r="N123" s="14"/>
      <c r="O123" s="14"/>
      <c r="P123" s="56"/>
      <c r="Q123" s="14"/>
      <c r="R123" s="14"/>
      <c r="S123" s="14"/>
      <c r="T123" s="14"/>
      <c r="U123" s="14"/>
      <c r="V123" s="14"/>
    </row>
    <row r="124" spans="7:22" x14ac:dyDescent="0.2">
      <c r="G124" s="14"/>
      <c r="H124" s="25" t="s">
        <v>121</v>
      </c>
      <c r="I124" s="14"/>
      <c r="J124" s="14"/>
      <c r="K124" s="14"/>
      <c r="L124" s="14"/>
      <c r="M124" s="66"/>
      <c r="N124" s="14"/>
      <c r="O124" s="14"/>
      <c r="P124" s="56"/>
      <c r="Q124" s="14"/>
      <c r="R124" s="14"/>
      <c r="S124" s="14"/>
      <c r="T124" s="14"/>
      <c r="U124" s="14"/>
      <c r="V124" s="14"/>
    </row>
    <row r="125" spans="7:22" x14ac:dyDescent="0.2">
      <c r="G125" s="14"/>
      <c r="H125" s="25" t="s">
        <v>122</v>
      </c>
      <c r="I125" s="14"/>
      <c r="J125" s="14"/>
      <c r="K125" s="14"/>
      <c r="L125" s="14"/>
      <c r="M125" s="66"/>
      <c r="N125" s="14"/>
      <c r="O125" s="14"/>
      <c r="P125" s="56"/>
      <c r="Q125" s="14"/>
      <c r="R125" s="14"/>
      <c r="S125" s="14"/>
      <c r="T125" s="14"/>
      <c r="U125" s="14"/>
      <c r="V125" s="14"/>
    </row>
    <row r="126" spans="7:22" x14ac:dyDescent="0.2">
      <c r="G126" s="14"/>
      <c r="H126" s="25" t="s">
        <v>123</v>
      </c>
      <c r="I126" s="14"/>
      <c r="J126" s="14"/>
      <c r="K126" s="14"/>
      <c r="L126" s="14"/>
      <c r="M126" s="66"/>
      <c r="N126" s="14"/>
      <c r="O126" s="14"/>
      <c r="P126" s="56"/>
      <c r="Q126" s="14"/>
      <c r="R126" s="14"/>
      <c r="S126" s="14"/>
      <c r="T126" s="14"/>
      <c r="U126" s="14"/>
      <c r="V126" s="14"/>
    </row>
    <row r="127" spans="7:22" x14ac:dyDescent="0.2">
      <c r="G127" s="14"/>
      <c r="H127" s="25" t="s">
        <v>124</v>
      </c>
      <c r="I127" s="14"/>
      <c r="J127" s="14"/>
      <c r="K127" s="14"/>
      <c r="L127" s="14"/>
      <c r="M127" s="66"/>
      <c r="N127" s="14"/>
      <c r="O127" s="14"/>
      <c r="P127" s="56"/>
      <c r="Q127" s="14"/>
      <c r="R127" s="14"/>
      <c r="S127" s="14"/>
      <c r="T127" s="14"/>
      <c r="U127" s="14"/>
      <c r="V127" s="14"/>
    </row>
    <row r="128" spans="7:22" x14ac:dyDescent="0.2">
      <c r="G128" s="14"/>
      <c r="H128" s="25" t="s">
        <v>125</v>
      </c>
      <c r="I128" s="14"/>
      <c r="J128" s="14"/>
      <c r="K128" s="14"/>
      <c r="L128" s="14"/>
      <c r="M128" s="66"/>
      <c r="N128" s="14"/>
      <c r="O128" s="14"/>
      <c r="P128" s="56"/>
      <c r="Q128" s="14"/>
      <c r="R128" s="14"/>
      <c r="S128" s="14"/>
      <c r="T128" s="14"/>
      <c r="U128" s="14"/>
      <c r="V128" s="14"/>
    </row>
    <row r="129" spans="7:22" x14ac:dyDescent="0.2">
      <c r="G129" s="14" t="s">
        <v>227</v>
      </c>
      <c r="H129" s="14"/>
      <c r="I129" s="14"/>
      <c r="J129" s="14"/>
      <c r="K129" s="14"/>
      <c r="L129" s="14"/>
      <c r="M129" s="66"/>
      <c r="N129" s="14"/>
      <c r="O129" s="14"/>
      <c r="P129" s="56"/>
      <c r="Q129" s="14"/>
      <c r="R129" s="14"/>
      <c r="S129" s="14"/>
      <c r="T129" s="14"/>
      <c r="U129" s="14"/>
      <c r="V129" s="14"/>
    </row>
    <row r="130" spans="7:22" x14ac:dyDescent="0.2">
      <c r="G130" s="14" t="s">
        <v>220</v>
      </c>
      <c r="H130" s="25" t="s">
        <v>120</v>
      </c>
      <c r="I130" s="14"/>
      <c r="J130" s="14"/>
      <c r="K130" s="14"/>
      <c r="L130" s="14"/>
      <c r="M130" s="66"/>
      <c r="N130" s="14"/>
      <c r="O130" s="14"/>
      <c r="P130" s="56"/>
      <c r="Q130" s="14"/>
      <c r="R130" s="14"/>
      <c r="S130" s="14"/>
      <c r="T130" s="14"/>
      <c r="U130" s="14"/>
      <c r="V130" s="14"/>
    </row>
    <row r="131" spans="7:22" x14ac:dyDescent="0.2">
      <c r="G131" s="14"/>
      <c r="H131" s="25" t="s">
        <v>121</v>
      </c>
      <c r="I131" s="14"/>
      <c r="J131" s="14"/>
      <c r="K131" s="14"/>
      <c r="L131" s="14"/>
      <c r="M131" s="66"/>
      <c r="N131" s="14"/>
      <c r="O131" s="14"/>
      <c r="P131" s="56"/>
      <c r="Q131" s="14"/>
      <c r="R131" s="14"/>
      <c r="S131" s="14"/>
      <c r="T131" s="14"/>
      <c r="U131" s="14"/>
      <c r="V131" s="14"/>
    </row>
    <row r="132" spans="7:22" x14ac:dyDescent="0.2">
      <c r="G132" s="14"/>
      <c r="H132" s="25" t="s">
        <v>122</v>
      </c>
      <c r="I132" s="14"/>
      <c r="J132" s="14"/>
      <c r="K132" s="14"/>
      <c r="L132" s="14"/>
      <c r="M132" s="66"/>
      <c r="N132" s="14"/>
      <c r="O132" s="14"/>
      <c r="P132" s="56"/>
      <c r="Q132" s="14"/>
      <c r="R132" s="14"/>
      <c r="S132" s="14"/>
      <c r="T132" s="14"/>
      <c r="U132" s="14"/>
      <c r="V132" s="14"/>
    </row>
    <row r="133" spans="7:22" x14ac:dyDescent="0.2">
      <c r="G133" s="14"/>
      <c r="H133" s="25" t="s">
        <v>123</v>
      </c>
      <c r="I133" s="14"/>
      <c r="J133" s="14"/>
      <c r="K133" s="14"/>
      <c r="L133" s="14"/>
      <c r="M133" s="66"/>
      <c r="N133" s="14"/>
      <c r="O133" s="14"/>
      <c r="P133" s="56"/>
      <c r="Q133" s="14"/>
      <c r="R133" s="14"/>
      <c r="S133" s="14"/>
      <c r="T133" s="14"/>
      <c r="U133" s="14"/>
      <c r="V133" s="14"/>
    </row>
    <row r="134" spans="7:22" x14ac:dyDescent="0.2">
      <c r="G134" s="14"/>
      <c r="H134" s="25" t="s">
        <v>124</v>
      </c>
      <c r="I134" s="14"/>
      <c r="J134" s="14"/>
      <c r="K134" s="14"/>
      <c r="L134" s="14"/>
      <c r="M134" s="66"/>
      <c r="N134" s="14"/>
      <c r="O134" s="14"/>
      <c r="P134" s="56"/>
      <c r="Q134" s="14"/>
      <c r="R134" s="14"/>
      <c r="S134" s="14"/>
      <c r="T134" s="14"/>
      <c r="U134" s="14"/>
      <c r="V134" s="14"/>
    </row>
    <row r="135" spans="7:22" x14ac:dyDescent="0.2">
      <c r="G135" s="14"/>
      <c r="H135" s="25" t="s">
        <v>125</v>
      </c>
      <c r="I135" s="14"/>
      <c r="J135" s="14"/>
      <c r="K135" s="14"/>
      <c r="L135" s="14"/>
      <c r="M135" s="66"/>
      <c r="N135" s="14"/>
      <c r="O135" s="14"/>
      <c r="P135" s="56"/>
      <c r="Q135" s="14"/>
      <c r="R135" s="14"/>
      <c r="S135" s="14"/>
      <c r="T135" s="14"/>
      <c r="U135" s="14"/>
      <c r="V135" s="14"/>
    </row>
    <row r="136" spans="7:22" x14ac:dyDescent="0.2">
      <c r="G136" s="14" t="s">
        <v>228</v>
      </c>
      <c r="H136" s="14"/>
      <c r="I136" s="14"/>
      <c r="J136" s="14"/>
      <c r="K136" s="14"/>
      <c r="L136" s="14"/>
      <c r="M136" s="66"/>
      <c r="N136" s="14"/>
      <c r="O136" s="14"/>
      <c r="P136" s="56"/>
      <c r="Q136" s="14"/>
      <c r="R136" s="14"/>
      <c r="S136" s="14"/>
      <c r="T136" s="14"/>
      <c r="U136" s="14"/>
      <c r="V136" s="14"/>
    </row>
    <row r="137" spans="7:22" x14ac:dyDescent="0.2">
      <c r="G137" s="14" t="s">
        <v>223</v>
      </c>
      <c r="H137" s="14"/>
      <c r="I137" s="14"/>
      <c r="J137" s="14"/>
      <c r="K137" s="14"/>
      <c r="L137" s="14"/>
      <c r="M137" s="66"/>
      <c r="N137" s="14"/>
      <c r="O137" s="14"/>
      <c r="P137" s="56"/>
      <c r="Q137" s="14"/>
      <c r="R137" s="14"/>
      <c r="S137" s="14"/>
      <c r="T137" s="14"/>
      <c r="U137" s="14"/>
      <c r="V137" s="14"/>
    </row>
  </sheetData>
  <sortState ref="B8:AT81">
    <sortCondition ref="I8:I81"/>
    <sortCondition ref="J8:J81"/>
    <sortCondition ref="L8:L81"/>
  </sortState>
  <mergeCells count="38"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Y6:Y7"/>
    <mergeCell ref="AB6:AB7"/>
    <mergeCell ref="AC6:AC7"/>
    <mergeCell ref="AD6:AD7"/>
    <mergeCell ref="AE6:AI6"/>
    <mergeCell ref="B6:B7"/>
    <mergeCell ref="C6:C7"/>
    <mergeCell ref="H6:H7"/>
    <mergeCell ref="P6:P7"/>
    <mergeCell ref="R6:T6"/>
    <mergeCell ref="U6:U7"/>
    <mergeCell ref="L92:M92"/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96" t="s">
        <v>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96" t="s">
        <v>1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79" t="s">
        <v>8</v>
      </c>
      <c r="C7" s="70" t="s">
        <v>9</v>
      </c>
      <c r="D7" s="70" t="s">
        <v>10</v>
      </c>
      <c r="E7" s="70" t="s">
        <v>11</v>
      </c>
      <c r="F7" s="70" t="s">
        <v>12</v>
      </c>
      <c r="G7" s="70"/>
      <c r="H7" s="70" t="s">
        <v>15</v>
      </c>
      <c r="I7" s="70" t="s">
        <v>16</v>
      </c>
      <c r="J7" s="70" t="s">
        <v>17</v>
      </c>
      <c r="K7" s="70"/>
      <c r="L7" s="70" t="s">
        <v>18</v>
      </c>
      <c r="M7" s="70" t="s">
        <v>19</v>
      </c>
      <c r="N7" s="70" t="s">
        <v>20</v>
      </c>
      <c r="O7" s="87" t="s">
        <v>21</v>
      </c>
      <c r="P7" s="92" t="s">
        <v>27</v>
      </c>
      <c r="Q7" s="93"/>
    </row>
    <row r="8" spans="2:25" ht="24.75" customHeight="1" thickBot="1" x14ac:dyDescent="0.25">
      <c r="B8" s="97"/>
      <c r="C8" s="98"/>
      <c r="D8" s="98"/>
      <c r="E8" s="98"/>
      <c r="F8" s="18" t="s">
        <v>13</v>
      </c>
      <c r="G8" s="18" t="s">
        <v>14</v>
      </c>
      <c r="H8" s="98"/>
      <c r="I8" s="98"/>
      <c r="J8" s="18" t="s">
        <v>13</v>
      </c>
      <c r="K8" s="18" t="s">
        <v>14</v>
      </c>
      <c r="L8" s="98"/>
      <c r="M8" s="98"/>
      <c r="N8" s="98"/>
      <c r="O8" s="99"/>
      <c r="P8" s="94"/>
      <c r="Q8" s="95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>
      <selection activeCell="B2" sqref="B2:B13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50</v>
      </c>
      <c r="E1" s="29"/>
      <c r="F1" s="30" t="s">
        <v>67</v>
      </c>
      <c r="G1" s="31"/>
      <c r="H1" s="31" t="s">
        <v>75</v>
      </c>
      <c r="I1" s="31"/>
      <c r="J1" s="31" t="s">
        <v>82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39</v>
      </c>
      <c r="C2" s="10">
        <v>1</v>
      </c>
      <c r="D2" s="28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8" t="s">
        <v>40</v>
      </c>
      <c r="C3" s="10">
        <v>2</v>
      </c>
      <c r="D3" s="28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8" t="s">
        <v>41</v>
      </c>
      <c r="C4" s="10">
        <v>3</v>
      </c>
      <c r="D4" s="28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8" t="s">
        <v>115</v>
      </c>
      <c r="C5" s="10">
        <v>4</v>
      </c>
      <c r="D5" s="28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2" t="s">
        <v>86</v>
      </c>
    </row>
    <row r="6" spans="1:15" x14ac:dyDescent="0.2">
      <c r="A6">
        <v>5</v>
      </c>
      <c r="B6" s="28" t="s">
        <v>42</v>
      </c>
      <c r="C6" s="10">
        <v>5</v>
      </c>
      <c r="D6" s="28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8" t="s">
        <v>43</v>
      </c>
      <c r="C7" s="10">
        <v>6</v>
      </c>
      <c r="D7" s="28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8" t="s">
        <v>44</v>
      </c>
      <c r="C8" s="10">
        <v>7</v>
      </c>
      <c r="D8" s="28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8" t="s">
        <v>45</v>
      </c>
      <c r="C9" s="10">
        <v>8</v>
      </c>
      <c r="D9" s="28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8" t="s">
        <v>46</v>
      </c>
      <c r="C10" s="10">
        <v>9</v>
      </c>
      <c r="D10" s="28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8" t="s">
        <v>47</v>
      </c>
      <c r="C11" s="10">
        <v>10</v>
      </c>
      <c r="D11" s="28" t="s">
        <v>60</v>
      </c>
      <c r="E11" s="10"/>
      <c r="I11">
        <v>10</v>
      </c>
      <c r="J11" s="32" t="s">
        <v>92</v>
      </c>
    </row>
    <row r="12" spans="1:15" x14ac:dyDescent="0.2">
      <c r="A12">
        <v>11</v>
      </c>
      <c r="B12" s="28" t="s">
        <v>49</v>
      </c>
      <c r="C12" s="10">
        <v>11</v>
      </c>
      <c r="D12" s="28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8" t="s">
        <v>48</v>
      </c>
      <c r="C13" s="10">
        <v>12</v>
      </c>
      <c r="D13" s="28" t="s">
        <v>62</v>
      </c>
      <c r="E13" s="10"/>
      <c r="I13">
        <v>12</v>
      </c>
      <c r="J13" s="19" t="s">
        <v>94</v>
      </c>
    </row>
    <row r="14" spans="1:15" x14ac:dyDescent="0.2"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1"/>
      <c r="B16" s="29" t="s">
        <v>108</v>
      </c>
      <c r="C16" s="10">
        <v>15</v>
      </c>
      <c r="D16" s="19" t="s">
        <v>65</v>
      </c>
    </row>
    <row r="17" spans="1:6" x14ac:dyDescent="0.2">
      <c r="A17">
        <v>1</v>
      </c>
      <c r="B17" s="28" t="s">
        <v>109</v>
      </c>
      <c r="C17" s="10">
        <v>16</v>
      </c>
      <c r="D17" s="19" t="s">
        <v>66</v>
      </c>
    </row>
    <row r="18" spans="1:6" x14ac:dyDescent="0.2">
      <c r="A18">
        <v>2</v>
      </c>
      <c r="B18" s="28" t="s">
        <v>110</v>
      </c>
    </row>
    <row r="19" spans="1:6" x14ac:dyDescent="0.2">
      <c r="A19">
        <v>3</v>
      </c>
      <c r="B19" s="28" t="s">
        <v>111</v>
      </c>
      <c r="D19" s="1" t="s">
        <v>131</v>
      </c>
      <c r="F19" s="1" t="s">
        <v>144</v>
      </c>
    </row>
    <row r="20" spans="1:6" x14ac:dyDescent="0.2">
      <c r="A20">
        <v>4</v>
      </c>
      <c r="B20" s="28" t="s">
        <v>112</v>
      </c>
      <c r="C20">
        <v>1</v>
      </c>
      <c r="D20" s="19" t="s">
        <v>132</v>
      </c>
      <c r="E20">
        <v>1</v>
      </c>
      <c r="F20" s="19" t="s">
        <v>145</v>
      </c>
    </row>
    <row r="21" spans="1:6" x14ac:dyDescent="0.2">
      <c r="A21">
        <v>5</v>
      </c>
      <c r="B21" s="28" t="s">
        <v>113</v>
      </c>
      <c r="C21">
        <v>2</v>
      </c>
      <c r="D21" s="19" t="s">
        <v>133</v>
      </c>
      <c r="E21">
        <v>2</v>
      </c>
      <c r="F21" s="19" t="s">
        <v>146</v>
      </c>
    </row>
    <row r="22" spans="1:6" x14ac:dyDescent="0.2">
      <c r="C22">
        <v>3</v>
      </c>
      <c r="D22" s="19" t="s">
        <v>134</v>
      </c>
      <c r="E22">
        <v>3</v>
      </c>
      <c r="F22" s="19" t="s">
        <v>147</v>
      </c>
    </row>
    <row r="23" spans="1:6" x14ac:dyDescent="0.2">
      <c r="B23" s="29" t="s">
        <v>118</v>
      </c>
      <c r="C23">
        <v>4</v>
      </c>
      <c r="D23" s="19" t="s">
        <v>135</v>
      </c>
      <c r="E23">
        <v>4</v>
      </c>
      <c r="F23" s="19" t="s">
        <v>148</v>
      </c>
    </row>
    <row r="24" spans="1:6" x14ac:dyDescent="0.2">
      <c r="A24">
        <v>1</v>
      </c>
      <c r="B24" s="19" t="s">
        <v>120</v>
      </c>
      <c r="C24">
        <v>5</v>
      </c>
      <c r="D24" s="19" t="s">
        <v>136</v>
      </c>
      <c r="E24">
        <v>5</v>
      </c>
      <c r="F24" s="19" t="s">
        <v>149</v>
      </c>
    </row>
    <row r="25" spans="1:6" x14ac:dyDescent="0.2">
      <c r="A25">
        <v>2</v>
      </c>
      <c r="B25" s="19" t="s">
        <v>121</v>
      </c>
      <c r="C25">
        <v>6</v>
      </c>
      <c r="D25" s="19" t="s">
        <v>137</v>
      </c>
    </row>
    <row r="26" spans="1:6" x14ac:dyDescent="0.2">
      <c r="A26">
        <v>3</v>
      </c>
      <c r="B26" s="19" t="s">
        <v>122</v>
      </c>
      <c r="C26">
        <v>7</v>
      </c>
      <c r="D26" s="19" t="s">
        <v>138</v>
      </c>
    </row>
    <row r="27" spans="1:6" x14ac:dyDescent="0.2">
      <c r="A27">
        <v>4</v>
      </c>
      <c r="B27" s="19" t="s">
        <v>123</v>
      </c>
      <c r="C27">
        <v>8</v>
      </c>
      <c r="D27" s="19" t="s">
        <v>139</v>
      </c>
    </row>
    <row r="28" spans="1:6" x14ac:dyDescent="0.2">
      <c r="A28">
        <v>5</v>
      </c>
      <c r="B28" s="19" t="s">
        <v>124</v>
      </c>
      <c r="C28">
        <v>9</v>
      </c>
      <c r="D28" s="19" t="s">
        <v>140</v>
      </c>
    </row>
    <row r="29" spans="1:6" x14ac:dyDescent="0.2">
      <c r="A29">
        <v>6</v>
      </c>
      <c r="B29" s="19" t="s">
        <v>125</v>
      </c>
      <c r="C29">
        <v>10</v>
      </c>
      <c r="D29" s="1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ARUA PARK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2020-02-06T11:09:47Z</dcterms:modified>
</cp:coreProperties>
</file>