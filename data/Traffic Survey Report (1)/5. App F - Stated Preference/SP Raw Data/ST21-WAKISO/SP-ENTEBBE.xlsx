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3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ING FOLDER\Steward Consultant\SP-DATA\Report\SP-DATA\ST21-WAKISO\"/>
    </mc:Choice>
  </mc:AlternateContent>
  <xr:revisionPtr revIDLastSave="0" documentId="13_ncr:1_{DE5032BF-B2D6-47F6-AEFE-5D3086B84400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ENTEBBE" sheetId="3" r:id="rId1"/>
    <sheet name="RSI FORM" sheetId="4" state="hidden" r:id="rId2"/>
    <sheet name="Key" sheetId="5" r:id="rId3"/>
  </sheets>
  <definedNames>
    <definedName name="_xlnm._FilterDatabase" localSheetId="0" hidden="1">ENTEBBE!$C$8:$AM$104</definedName>
    <definedName name="Veh_Type">ENTEBBE!$H$8:$H$245</definedName>
    <definedName name="zones">#REF!</definedName>
    <definedName name="Zones_Ndeke">#REF!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282" i="3" l="1"/>
  <c r="P278" i="3" s="1"/>
  <c r="J282" i="3"/>
  <c r="O282" i="3" s="1"/>
  <c r="L281" i="3"/>
  <c r="L280" i="3"/>
  <c r="L279" i="3"/>
  <c r="L278" i="3"/>
  <c r="L277" i="3"/>
  <c r="L276" i="3"/>
  <c r="P282" i="3" l="1"/>
  <c r="P281" i="3"/>
  <c r="P279" i="3"/>
  <c r="P276" i="3"/>
  <c r="P277" i="3"/>
  <c r="O281" i="3"/>
  <c r="O280" i="3"/>
  <c r="O279" i="3"/>
  <c r="O278" i="3"/>
  <c r="P280" i="3"/>
  <c r="O277" i="3"/>
  <c r="O276" i="3"/>
  <c r="L282" i="3"/>
  <c r="Q279" i="3" s="1"/>
  <c r="L272" i="3"/>
  <c r="Q276" i="3" l="1"/>
  <c r="Q281" i="3"/>
  <c r="Q277" i="3"/>
  <c r="Q282" i="3"/>
  <c r="Q278" i="3"/>
  <c r="Q280" i="3"/>
  <c r="M264" i="3"/>
  <c r="M265" i="3"/>
  <c r="M266" i="3"/>
  <c r="M267" i="3"/>
  <c r="M268" i="3"/>
  <c r="M269" i="3"/>
  <c r="N264" i="3"/>
  <c r="N265" i="3"/>
  <c r="N266" i="3"/>
  <c r="N267" i="3"/>
  <c r="N268" i="3"/>
  <c r="N269" i="3"/>
  <c r="M260" i="3"/>
  <c r="L271" i="3"/>
  <c r="L270" i="3"/>
  <c r="L269" i="3"/>
  <c r="L268" i="3"/>
  <c r="L267" i="3"/>
  <c r="L266" i="3"/>
  <c r="L265" i="3"/>
  <c r="L264" i="3"/>
  <c r="L263" i="3"/>
  <c r="N263" i="3" s="1"/>
  <c r="L262" i="3"/>
  <c r="M262" i="3" s="1"/>
  <c r="N261" i="3"/>
  <c r="M261" i="3"/>
  <c r="L261" i="3"/>
  <c r="L260" i="3"/>
  <c r="N260" i="3" s="1"/>
  <c r="N262" i="3" l="1"/>
  <c r="M263" i="3"/>
  <c r="K253" i="3"/>
  <c r="K254" i="3"/>
  <c r="K252" i="3"/>
  <c r="J254" i="3"/>
  <c r="I39" i="3" l="1"/>
  <c r="I132" i="3"/>
  <c r="I67" i="3"/>
  <c r="I131" i="3"/>
  <c r="I164" i="3"/>
  <c r="I223" i="3"/>
  <c r="AD56" i="3"/>
  <c r="L14" i="3"/>
  <c r="I25" i="3"/>
  <c r="I99" i="3" l="1"/>
  <c r="I90" i="3"/>
  <c r="Q232" i="3"/>
  <c r="I195" i="3"/>
  <c r="AB145" i="3" l="1"/>
  <c r="AD145" i="3"/>
  <c r="AB204" i="3"/>
  <c r="AD204" i="3"/>
  <c r="AB146" i="3"/>
  <c r="AD146" i="3"/>
  <c r="AB216" i="3"/>
  <c r="AD216" i="3"/>
  <c r="AB120" i="3"/>
  <c r="AD120" i="3"/>
  <c r="AB232" i="3"/>
  <c r="AD232" i="3"/>
  <c r="AB240" i="3"/>
  <c r="AD240" i="3"/>
  <c r="AB121" i="3"/>
  <c r="AD121" i="3"/>
  <c r="AB97" i="3"/>
  <c r="AD97" i="3"/>
  <c r="AB248" i="3"/>
  <c r="AD248" i="3"/>
  <c r="AB202" i="3"/>
  <c r="AD202" i="3"/>
  <c r="AB217" i="3"/>
  <c r="AD217" i="3"/>
  <c r="AB218" i="3"/>
  <c r="AD218" i="3"/>
  <c r="AB239" i="3"/>
  <c r="AD239" i="3"/>
  <c r="AB122" i="3"/>
  <c r="AD122" i="3"/>
  <c r="AB147" i="3"/>
  <c r="AD147" i="3"/>
  <c r="AB148" i="3"/>
  <c r="AD148" i="3"/>
  <c r="AB110" i="3"/>
  <c r="AD110" i="3"/>
  <c r="AB207" i="3"/>
  <c r="AD207" i="3"/>
  <c r="AB98" i="3"/>
  <c r="AD98" i="3"/>
  <c r="AB233" i="3"/>
  <c r="AD233" i="3"/>
  <c r="AB123" i="3"/>
  <c r="AD123" i="3"/>
  <c r="AB247" i="3"/>
  <c r="AD247" i="3"/>
  <c r="AB235" i="3"/>
  <c r="AD235" i="3"/>
  <c r="AB90" i="3"/>
  <c r="AD90" i="3"/>
  <c r="AB190" i="3"/>
  <c r="AD190" i="3"/>
  <c r="AB99" i="3"/>
  <c r="AD99" i="3"/>
  <c r="AB234" i="3"/>
  <c r="AD234" i="3"/>
  <c r="AB245" i="3"/>
  <c r="AD245" i="3"/>
  <c r="AB149" i="3"/>
  <c r="AD149" i="3"/>
  <c r="AB236" i="3"/>
  <c r="AD236" i="3"/>
  <c r="AB150" i="3"/>
  <c r="AD150" i="3"/>
  <c r="AB151" i="3"/>
  <c r="AD151" i="3"/>
  <c r="AB124" i="3"/>
  <c r="AD124" i="3"/>
  <c r="AB188" i="3"/>
  <c r="AD188" i="3"/>
  <c r="AB229" i="3"/>
  <c r="AD229" i="3"/>
  <c r="AB125" i="3"/>
  <c r="AD125" i="3"/>
  <c r="AB152" i="3"/>
  <c r="AD152" i="3"/>
  <c r="AB20" i="3"/>
  <c r="AD20" i="3"/>
  <c r="AB89" i="3"/>
  <c r="AD89" i="3"/>
  <c r="AB48" i="3"/>
  <c r="AD48" i="3"/>
  <c r="AB21" i="3"/>
  <c r="AD21" i="3"/>
  <c r="AB49" i="3"/>
  <c r="AD49" i="3"/>
  <c r="AB8" i="3"/>
  <c r="AD8" i="3"/>
  <c r="AB22" i="3"/>
  <c r="AD22" i="3"/>
  <c r="AB23" i="3"/>
  <c r="AD23" i="3"/>
  <c r="AB24" i="3"/>
  <c r="AD24" i="3"/>
  <c r="AB86" i="3"/>
  <c r="AD86" i="3"/>
  <c r="AB50" i="3"/>
  <c r="AD50" i="3"/>
  <c r="AB25" i="3"/>
  <c r="AD25" i="3"/>
  <c r="AB112" i="3"/>
  <c r="AD112" i="3"/>
  <c r="AB51" i="3"/>
  <c r="AD51" i="3"/>
  <c r="AB246" i="3"/>
  <c r="AD246" i="3"/>
  <c r="AB100" i="3"/>
  <c r="AD100" i="3"/>
  <c r="AB196" i="3"/>
  <c r="AD196" i="3"/>
  <c r="AB9" i="3"/>
  <c r="AD9" i="3"/>
  <c r="AB101" i="3"/>
  <c r="AD101" i="3"/>
  <c r="AB10" i="3"/>
  <c r="AD10" i="3"/>
  <c r="AB153" i="3"/>
  <c r="AD153" i="3"/>
  <c r="AB205" i="3"/>
  <c r="AD205" i="3"/>
  <c r="AB11" i="3"/>
  <c r="AD11" i="3"/>
  <c r="AB12" i="3"/>
  <c r="AD12" i="3"/>
  <c r="AB102" i="3"/>
  <c r="AD102" i="3"/>
  <c r="AB203" i="3"/>
  <c r="AD203" i="3"/>
  <c r="AB114" i="3"/>
  <c r="AD114" i="3"/>
  <c r="AB187" i="3"/>
  <c r="AD187" i="3"/>
  <c r="AB13" i="3"/>
  <c r="AD13" i="3"/>
  <c r="AB14" i="3"/>
  <c r="AD14" i="3"/>
  <c r="AB111" i="3"/>
  <c r="AD111" i="3"/>
  <c r="AB15" i="3"/>
  <c r="AD15" i="3"/>
  <c r="AB154" i="3"/>
  <c r="AD154" i="3"/>
  <c r="AB103" i="3"/>
  <c r="AD103" i="3"/>
  <c r="AB191" i="3"/>
  <c r="AD191" i="3"/>
  <c r="AB26" i="3"/>
  <c r="AD26" i="3"/>
  <c r="AB16" i="3"/>
  <c r="AD16" i="3"/>
  <c r="AB238" i="3"/>
  <c r="AD238" i="3"/>
  <c r="AB27" i="3"/>
  <c r="AD27" i="3"/>
  <c r="AB200" i="3"/>
  <c r="AD200" i="3"/>
  <c r="AB104" i="3"/>
  <c r="AD104" i="3"/>
  <c r="AB155" i="3"/>
  <c r="AD155" i="3"/>
  <c r="AB113" i="3"/>
  <c r="AD113" i="3"/>
  <c r="AB115" i="3"/>
  <c r="AD115" i="3"/>
  <c r="AB201" i="3"/>
  <c r="AD201" i="3"/>
  <c r="AB87" i="3"/>
  <c r="AD87" i="3"/>
  <c r="AB52" i="3"/>
  <c r="AD52" i="3"/>
  <c r="AB105" i="3"/>
  <c r="AD105" i="3"/>
  <c r="AB28" i="3"/>
  <c r="AD28" i="3"/>
  <c r="AB197" i="3"/>
  <c r="AD197" i="3"/>
  <c r="AB156" i="3"/>
  <c r="AD156" i="3"/>
  <c r="AB53" i="3"/>
  <c r="AD53" i="3"/>
  <c r="AB106" i="3"/>
  <c r="AD106" i="3"/>
  <c r="AB219" i="3"/>
  <c r="AD219" i="3"/>
  <c r="AB157" i="3"/>
  <c r="AD157" i="3"/>
  <c r="AB158" i="3"/>
  <c r="AD158" i="3"/>
  <c r="AB107" i="3"/>
  <c r="AD107" i="3"/>
  <c r="AB108" i="3"/>
  <c r="AD108" i="3"/>
  <c r="AB206" i="3"/>
  <c r="AD206" i="3"/>
  <c r="AB54" i="3"/>
  <c r="AD54" i="3"/>
  <c r="AB17" i="3"/>
  <c r="AD17" i="3"/>
  <c r="AB109" i="3"/>
  <c r="AD109" i="3"/>
  <c r="AB55" i="3"/>
  <c r="AD55" i="3"/>
  <c r="AB56" i="3"/>
  <c r="AB57" i="3"/>
  <c r="AD57" i="3"/>
  <c r="AB220" i="3"/>
  <c r="AD220" i="3"/>
  <c r="AB126" i="3"/>
  <c r="AD126" i="3"/>
  <c r="AB159" i="3"/>
  <c r="AD159" i="3"/>
  <c r="AB210" i="3"/>
  <c r="AD210" i="3"/>
  <c r="AB221" i="3"/>
  <c r="AD221" i="3"/>
  <c r="AB58" i="3"/>
  <c r="AD58" i="3"/>
  <c r="AB211" i="3"/>
  <c r="AD211" i="3"/>
  <c r="AB160" i="3"/>
  <c r="AD160" i="3"/>
  <c r="AB59" i="3"/>
  <c r="AD59" i="3"/>
  <c r="AB30" i="3"/>
  <c r="AD30" i="3"/>
  <c r="AB161" i="3"/>
  <c r="AD161" i="3"/>
  <c r="AB162" i="3"/>
  <c r="AD162" i="3"/>
  <c r="AB163" i="3"/>
  <c r="AD163" i="3"/>
  <c r="AB222" i="3"/>
  <c r="AD222" i="3"/>
  <c r="AB223" i="3"/>
  <c r="AD223" i="3"/>
  <c r="AB127" i="3"/>
  <c r="AD127" i="3"/>
  <c r="AB164" i="3"/>
  <c r="AD164" i="3"/>
  <c r="AB212" i="3"/>
  <c r="AD212" i="3"/>
  <c r="AB165" i="3"/>
  <c r="AD165" i="3"/>
  <c r="AB31" i="3"/>
  <c r="AD31" i="3"/>
  <c r="AB60" i="3"/>
  <c r="AD60" i="3"/>
  <c r="AB128" i="3"/>
  <c r="AD128" i="3"/>
  <c r="AB166" i="3"/>
  <c r="AD166" i="3"/>
  <c r="AB61" i="3"/>
  <c r="AD61" i="3"/>
  <c r="AB62" i="3"/>
  <c r="AD62" i="3"/>
  <c r="AB63" i="3"/>
  <c r="AD63" i="3"/>
  <c r="AB32" i="3"/>
  <c r="AD32" i="3"/>
  <c r="AB167" i="3"/>
  <c r="AD167" i="3"/>
  <c r="AB129" i="3"/>
  <c r="AD129" i="3"/>
  <c r="AB224" i="3"/>
  <c r="AD224" i="3"/>
  <c r="AB213" i="3"/>
  <c r="AD213" i="3"/>
  <c r="AB64" i="3"/>
  <c r="AD64" i="3"/>
  <c r="AB65" i="3"/>
  <c r="AD65" i="3"/>
  <c r="AB225" i="3"/>
  <c r="AD225" i="3"/>
  <c r="AB33" i="3"/>
  <c r="AD33" i="3"/>
  <c r="AB130" i="3"/>
  <c r="AD130" i="3"/>
  <c r="AB34" i="3"/>
  <c r="AD34" i="3"/>
  <c r="AB226" i="3"/>
  <c r="AD226" i="3"/>
  <c r="AB35" i="3"/>
  <c r="AD35" i="3"/>
  <c r="AB66" i="3"/>
  <c r="AD66" i="3"/>
  <c r="AB227" i="3"/>
  <c r="AD227" i="3"/>
  <c r="AB241" i="3"/>
  <c r="AD241" i="3"/>
  <c r="AB131" i="3"/>
  <c r="AD131" i="3"/>
  <c r="AB67" i="3"/>
  <c r="AD67" i="3"/>
  <c r="AB168" i="3"/>
  <c r="AD168" i="3"/>
  <c r="AB169" i="3"/>
  <c r="AD169" i="3"/>
  <c r="AB68" i="3"/>
  <c r="AD68" i="3"/>
  <c r="AB132" i="3"/>
  <c r="AD132" i="3"/>
  <c r="AB36" i="3"/>
  <c r="AD36" i="3"/>
  <c r="AB37" i="3"/>
  <c r="AD37" i="3"/>
  <c r="AB29" i="3"/>
  <c r="AD29" i="3"/>
  <c r="AB170" i="3"/>
  <c r="AD170" i="3"/>
  <c r="AB69" i="3"/>
  <c r="AD69" i="3"/>
  <c r="AB116" i="3"/>
  <c r="AD116" i="3"/>
  <c r="AB171" i="3"/>
  <c r="AD171" i="3"/>
  <c r="AB70" i="3"/>
  <c r="AD70" i="3"/>
  <c r="AB38" i="3"/>
  <c r="AD38" i="3"/>
  <c r="AB133" i="3"/>
  <c r="AD133" i="3"/>
  <c r="AB39" i="3"/>
  <c r="AD39" i="3"/>
  <c r="AB134" i="3"/>
  <c r="AD134" i="3"/>
  <c r="AB172" i="3"/>
  <c r="AD172" i="3"/>
  <c r="AB173" i="3"/>
  <c r="AD173" i="3"/>
  <c r="AB135" i="3"/>
  <c r="AD135" i="3"/>
  <c r="AB88" i="3"/>
  <c r="AD88" i="3"/>
  <c r="AB71" i="3"/>
  <c r="AD71" i="3"/>
  <c r="AB242" i="3"/>
  <c r="AD242" i="3"/>
  <c r="AB72" i="3"/>
  <c r="AD72" i="3"/>
  <c r="AB174" i="3"/>
  <c r="AD174" i="3"/>
  <c r="AB136" i="3"/>
  <c r="AD136" i="3"/>
  <c r="AB137" i="3"/>
  <c r="AD137" i="3"/>
  <c r="AB175" i="3"/>
  <c r="AD175" i="3"/>
  <c r="AB73" i="3"/>
  <c r="AD73" i="3"/>
  <c r="AB138" i="3"/>
  <c r="AD138" i="3"/>
  <c r="AB40" i="3"/>
  <c r="AD40" i="3"/>
  <c r="AB139" i="3"/>
  <c r="AD139" i="3"/>
  <c r="AB41" i="3"/>
  <c r="AD41" i="3"/>
  <c r="AB42" i="3"/>
  <c r="AD42" i="3"/>
  <c r="AB43" i="3"/>
  <c r="AD43" i="3"/>
  <c r="AB44" i="3"/>
  <c r="AD44" i="3"/>
  <c r="AB140" i="3"/>
  <c r="AD140" i="3"/>
  <c r="AB74" i="3"/>
  <c r="AD74" i="3"/>
  <c r="AB228" i="3"/>
  <c r="AD228" i="3"/>
  <c r="AB176" i="3"/>
  <c r="AD176" i="3"/>
  <c r="AB18" i="3"/>
  <c r="AD18" i="3"/>
  <c r="AB45" i="3"/>
  <c r="AD45" i="3"/>
  <c r="AB177" i="3"/>
  <c r="AD177" i="3"/>
  <c r="AB75" i="3"/>
  <c r="AD75" i="3"/>
  <c r="AB76" i="3"/>
  <c r="AD76" i="3"/>
  <c r="AB178" i="3"/>
  <c r="AD178" i="3"/>
  <c r="AB77" i="3"/>
  <c r="AD77" i="3"/>
  <c r="AB46" i="3"/>
  <c r="AD46" i="3"/>
  <c r="AB179" i="3"/>
  <c r="AD179" i="3"/>
  <c r="AB78" i="3"/>
  <c r="AD78" i="3"/>
  <c r="AB79" i="3"/>
  <c r="AD79" i="3"/>
  <c r="AB80" i="3"/>
  <c r="AD80" i="3"/>
  <c r="AB180" i="3"/>
  <c r="AD180" i="3"/>
  <c r="AB81" i="3"/>
  <c r="AD81" i="3"/>
  <c r="AB181" i="3"/>
  <c r="AD181" i="3"/>
  <c r="AB82" i="3"/>
  <c r="AD82" i="3"/>
  <c r="AB182" i="3"/>
  <c r="AD182" i="3"/>
  <c r="AB83" i="3"/>
  <c r="AD83" i="3"/>
  <c r="AB84" i="3"/>
  <c r="AD84" i="3"/>
  <c r="AB183" i="3"/>
  <c r="AD183" i="3"/>
  <c r="AB184" i="3"/>
  <c r="AD184" i="3"/>
  <c r="AB85" i="3"/>
  <c r="AD85" i="3"/>
  <c r="AB185" i="3"/>
  <c r="AD185" i="3"/>
  <c r="AB186" i="3"/>
  <c r="AD186" i="3"/>
  <c r="AB47" i="3"/>
  <c r="AD47" i="3"/>
  <c r="V145" i="3"/>
  <c r="V204" i="3"/>
  <c r="V146" i="3"/>
  <c r="V216" i="3"/>
  <c r="V120" i="3"/>
  <c r="V232" i="3"/>
  <c r="V240" i="3"/>
  <c r="V121" i="3"/>
  <c r="V97" i="3"/>
  <c r="V248" i="3"/>
  <c r="V202" i="3"/>
  <c r="V217" i="3"/>
  <c r="V218" i="3"/>
  <c r="V239" i="3"/>
  <c r="V122" i="3"/>
  <c r="V147" i="3"/>
  <c r="V148" i="3"/>
  <c r="V110" i="3"/>
  <c r="V207" i="3"/>
  <c r="V98" i="3"/>
  <c r="V233" i="3"/>
  <c r="V123" i="3"/>
  <c r="V247" i="3"/>
  <c r="V235" i="3"/>
  <c r="V90" i="3"/>
  <c r="V190" i="3"/>
  <c r="V99" i="3"/>
  <c r="V234" i="3"/>
  <c r="V245" i="3"/>
  <c r="V149" i="3"/>
  <c r="V236" i="3"/>
  <c r="V150" i="3"/>
  <c r="V151" i="3"/>
  <c r="V124" i="3"/>
  <c r="V188" i="3"/>
  <c r="V229" i="3"/>
  <c r="V125" i="3"/>
  <c r="V152" i="3"/>
  <c r="V20" i="3"/>
  <c r="V89" i="3"/>
  <c r="V48" i="3"/>
  <c r="V21" i="3"/>
  <c r="V49" i="3"/>
  <c r="V8" i="3"/>
  <c r="V22" i="3"/>
  <c r="V23" i="3"/>
  <c r="V24" i="3"/>
  <c r="V86" i="3"/>
  <c r="V50" i="3"/>
  <c r="V25" i="3"/>
  <c r="V112" i="3"/>
  <c r="V51" i="3"/>
  <c r="V246" i="3"/>
  <c r="V100" i="3"/>
  <c r="V196" i="3"/>
  <c r="V9" i="3"/>
  <c r="V101" i="3"/>
  <c r="V10" i="3"/>
  <c r="V153" i="3"/>
  <c r="V205" i="3"/>
  <c r="V11" i="3"/>
  <c r="V12" i="3"/>
  <c r="V102" i="3"/>
  <c r="V203" i="3"/>
  <c r="V114" i="3"/>
  <c r="V187" i="3"/>
  <c r="V13" i="3"/>
  <c r="V14" i="3"/>
  <c r="V111" i="3"/>
  <c r="V15" i="3"/>
  <c r="V154" i="3"/>
  <c r="V103" i="3"/>
  <c r="V191" i="3"/>
  <c r="V26" i="3"/>
  <c r="V16" i="3"/>
  <c r="V238" i="3"/>
  <c r="V27" i="3"/>
  <c r="V200" i="3"/>
  <c r="V104" i="3"/>
  <c r="V155" i="3"/>
  <c r="V113" i="3"/>
  <c r="V115" i="3"/>
  <c r="V201" i="3"/>
  <c r="V87" i="3"/>
  <c r="V52" i="3"/>
  <c r="V105" i="3"/>
  <c r="V28" i="3"/>
  <c r="V197" i="3"/>
  <c r="V156" i="3"/>
  <c r="V53" i="3"/>
  <c r="V106" i="3"/>
  <c r="V219" i="3"/>
  <c r="V157" i="3"/>
  <c r="V158" i="3"/>
  <c r="V107" i="3"/>
  <c r="V108" i="3"/>
  <c r="V206" i="3"/>
  <c r="V54" i="3"/>
  <c r="V17" i="3"/>
  <c r="V109" i="3"/>
  <c r="V55" i="3"/>
  <c r="V56" i="3"/>
  <c r="V57" i="3"/>
  <c r="V220" i="3"/>
  <c r="V126" i="3"/>
  <c r="V159" i="3"/>
  <c r="V210" i="3"/>
  <c r="V221" i="3"/>
  <c r="V58" i="3"/>
  <c r="V211" i="3"/>
  <c r="V160" i="3"/>
  <c r="V59" i="3"/>
  <c r="V30" i="3"/>
  <c r="V161" i="3"/>
  <c r="V162" i="3"/>
  <c r="V163" i="3"/>
  <c r="V222" i="3"/>
  <c r="V223" i="3"/>
  <c r="V127" i="3"/>
  <c r="V164" i="3"/>
  <c r="V212" i="3"/>
  <c r="V165" i="3"/>
  <c r="V31" i="3"/>
  <c r="V60" i="3"/>
  <c r="V128" i="3"/>
  <c r="V166" i="3"/>
  <c r="V61" i="3"/>
  <c r="V62" i="3"/>
  <c r="V63" i="3"/>
  <c r="V32" i="3"/>
  <c r="V167" i="3"/>
  <c r="V129" i="3"/>
  <c r="V224" i="3"/>
  <c r="V213" i="3"/>
  <c r="V64" i="3"/>
  <c r="V65" i="3"/>
  <c r="V225" i="3"/>
  <c r="V33" i="3"/>
  <c r="V130" i="3"/>
  <c r="V34" i="3"/>
  <c r="V226" i="3"/>
  <c r="V35" i="3"/>
  <c r="V66" i="3"/>
  <c r="V227" i="3"/>
  <c r="V241" i="3"/>
  <c r="V131" i="3"/>
  <c r="V67" i="3"/>
  <c r="V168" i="3"/>
  <c r="V169" i="3"/>
  <c r="V68" i="3"/>
  <c r="V132" i="3"/>
  <c r="V36" i="3"/>
  <c r="V37" i="3"/>
  <c r="V29" i="3"/>
  <c r="V170" i="3"/>
  <c r="V69" i="3"/>
  <c r="V116" i="3"/>
  <c r="V171" i="3"/>
  <c r="V70" i="3"/>
  <c r="V38" i="3"/>
  <c r="V133" i="3"/>
  <c r="V39" i="3"/>
  <c r="V134" i="3"/>
  <c r="V172" i="3"/>
  <c r="V173" i="3"/>
  <c r="V135" i="3"/>
  <c r="V88" i="3"/>
  <c r="V71" i="3"/>
  <c r="V242" i="3"/>
  <c r="V72" i="3"/>
  <c r="V174" i="3"/>
  <c r="V136" i="3"/>
  <c r="V137" i="3"/>
  <c r="V175" i="3"/>
  <c r="V73" i="3"/>
  <c r="V138" i="3"/>
  <c r="V40" i="3"/>
  <c r="V139" i="3"/>
  <c r="V41" i="3"/>
  <c r="V42" i="3"/>
  <c r="V43" i="3"/>
  <c r="V44" i="3"/>
  <c r="V140" i="3"/>
  <c r="V74" i="3"/>
  <c r="V228" i="3"/>
  <c r="V176" i="3"/>
  <c r="V18" i="3"/>
  <c r="V45" i="3"/>
  <c r="V177" i="3"/>
  <c r="V75" i="3"/>
  <c r="V76" i="3"/>
  <c r="V178" i="3"/>
  <c r="V77" i="3"/>
  <c r="V46" i="3"/>
  <c r="V179" i="3"/>
  <c r="V78" i="3"/>
  <c r="V79" i="3"/>
  <c r="V80" i="3"/>
  <c r="V180" i="3"/>
  <c r="V81" i="3"/>
  <c r="V181" i="3"/>
  <c r="V82" i="3"/>
  <c r="V182" i="3"/>
  <c r="V83" i="3"/>
  <c r="V84" i="3"/>
  <c r="V183" i="3"/>
  <c r="V184" i="3"/>
  <c r="V85" i="3"/>
  <c r="V185" i="3"/>
  <c r="V186" i="3"/>
  <c r="V47" i="3"/>
  <c r="Q145" i="3"/>
  <c r="Q204" i="3"/>
  <c r="Q146" i="3"/>
  <c r="Q216" i="3"/>
  <c r="Q120" i="3"/>
  <c r="Q240" i="3"/>
  <c r="Q121" i="3"/>
  <c r="Q97" i="3"/>
  <c r="Q248" i="3"/>
  <c r="Q202" i="3"/>
  <c r="Q217" i="3"/>
  <c r="W217" i="3" s="1"/>
  <c r="Q218" i="3"/>
  <c r="Q239" i="3"/>
  <c r="Q122" i="3"/>
  <c r="Q147" i="3"/>
  <c r="Q148" i="3"/>
  <c r="Q110" i="3"/>
  <c r="Q207" i="3"/>
  <c r="Q98" i="3"/>
  <c r="Q233" i="3"/>
  <c r="Q123" i="3"/>
  <c r="Q247" i="3"/>
  <c r="Q235" i="3"/>
  <c r="Q90" i="3"/>
  <c r="Q190" i="3"/>
  <c r="Q99" i="3"/>
  <c r="Q234" i="3"/>
  <c r="W234" i="3" s="1"/>
  <c r="Q245" i="3"/>
  <c r="Q149" i="3"/>
  <c r="Q236" i="3"/>
  <c r="Q150" i="3"/>
  <c r="Q151" i="3"/>
  <c r="Q124" i="3"/>
  <c r="Q188" i="3"/>
  <c r="Q229" i="3"/>
  <c r="W229" i="3" s="1"/>
  <c r="Q125" i="3"/>
  <c r="Q152" i="3"/>
  <c r="Q20" i="3"/>
  <c r="Q89" i="3"/>
  <c r="Q48" i="3"/>
  <c r="Q21" i="3"/>
  <c r="Q49" i="3"/>
  <c r="Q8" i="3"/>
  <c r="Q22" i="3"/>
  <c r="Q23" i="3"/>
  <c r="Q24" i="3"/>
  <c r="Q86" i="3"/>
  <c r="Q50" i="3"/>
  <c r="Q25" i="3"/>
  <c r="Q112" i="3"/>
  <c r="Q51" i="3"/>
  <c r="Q246" i="3"/>
  <c r="Q100" i="3"/>
  <c r="Q196" i="3"/>
  <c r="Q9" i="3"/>
  <c r="Q101" i="3"/>
  <c r="Q10" i="3"/>
  <c r="Q153" i="3"/>
  <c r="Q205" i="3"/>
  <c r="Q11" i="3"/>
  <c r="Q12" i="3"/>
  <c r="Q102" i="3"/>
  <c r="Q203" i="3"/>
  <c r="Q114" i="3"/>
  <c r="Q187" i="3"/>
  <c r="Q13" i="3"/>
  <c r="Q14" i="3"/>
  <c r="Q111" i="3"/>
  <c r="Q15" i="3"/>
  <c r="Q154" i="3"/>
  <c r="Q103" i="3"/>
  <c r="Q191" i="3"/>
  <c r="Q26" i="3"/>
  <c r="Q16" i="3"/>
  <c r="Q238" i="3"/>
  <c r="Q27" i="3"/>
  <c r="Q200" i="3"/>
  <c r="Q104" i="3"/>
  <c r="Q155" i="3"/>
  <c r="Q113" i="3"/>
  <c r="Q115" i="3"/>
  <c r="Q201" i="3"/>
  <c r="Q87" i="3"/>
  <c r="Q52" i="3"/>
  <c r="Q105" i="3"/>
  <c r="Q28" i="3"/>
  <c r="Q197" i="3"/>
  <c r="Q156" i="3"/>
  <c r="Q53" i="3"/>
  <c r="Q106" i="3"/>
  <c r="Q219" i="3"/>
  <c r="Q157" i="3"/>
  <c r="Q158" i="3"/>
  <c r="Q107" i="3"/>
  <c r="Q108" i="3"/>
  <c r="Q206" i="3"/>
  <c r="Q54" i="3"/>
  <c r="Q17" i="3"/>
  <c r="Q109" i="3"/>
  <c r="Q55" i="3"/>
  <c r="Q56" i="3"/>
  <c r="Q57" i="3"/>
  <c r="Q220" i="3"/>
  <c r="W220" i="3" s="1"/>
  <c r="Q126" i="3"/>
  <c r="Q159" i="3"/>
  <c r="Q210" i="3"/>
  <c r="Q221" i="3"/>
  <c r="Q58" i="3"/>
  <c r="Q211" i="3"/>
  <c r="Q160" i="3"/>
  <c r="Q59" i="3"/>
  <c r="Q30" i="3"/>
  <c r="Q161" i="3"/>
  <c r="Q162" i="3"/>
  <c r="Q163" i="3"/>
  <c r="Q222" i="3"/>
  <c r="Q223" i="3"/>
  <c r="Q127" i="3"/>
  <c r="Q164" i="3"/>
  <c r="W164" i="3" s="1"/>
  <c r="Q212" i="3"/>
  <c r="Q165" i="3"/>
  <c r="Q31" i="3"/>
  <c r="Q60" i="3"/>
  <c r="Q128" i="3"/>
  <c r="Q166" i="3"/>
  <c r="Q61" i="3"/>
  <c r="Q62" i="3"/>
  <c r="Q63" i="3"/>
  <c r="Q32" i="3"/>
  <c r="Q167" i="3"/>
  <c r="Q129" i="3"/>
  <c r="Q224" i="3"/>
  <c r="Q213" i="3"/>
  <c r="Q64" i="3"/>
  <c r="Q65" i="3"/>
  <c r="Q225" i="3"/>
  <c r="Q33" i="3"/>
  <c r="Q130" i="3"/>
  <c r="Q34" i="3"/>
  <c r="Q226" i="3"/>
  <c r="Q35" i="3"/>
  <c r="Q66" i="3"/>
  <c r="Q227" i="3"/>
  <c r="Q241" i="3"/>
  <c r="Q131" i="3"/>
  <c r="Q67" i="3"/>
  <c r="Q168" i="3"/>
  <c r="Q169" i="3"/>
  <c r="Q68" i="3"/>
  <c r="Q132" i="3"/>
  <c r="Q36" i="3"/>
  <c r="Q37" i="3"/>
  <c r="Q29" i="3"/>
  <c r="Q170" i="3"/>
  <c r="Q69" i="3"/>
  <c r="Q116" i="3"/>
  <c r="Q171" i="3"/>
  <c r="Q70" i="3"/>
  <c r="Q38" i="3"/>
  <c r="Q133" i="3"/>
  <c r="Q39" i="3"/>
  <c r="Q134" i="3"/>
  <c r="Q172" i="3"/>
  <c r="Q173" i="3"/>
  <c r="Q135" i="3"/>
  <c r="Q88" i="3"/>
  <c r="Q71" i="3"/>
  <c r="Q242" i="3"/>
  <c r="Q72" i="3"/>
  <c r="Q174" i="3"/>
  <c r="Q136" i="3"/>
  <c r="Q137" i="3"/>
  <c r="Q175" i="3"/>
  <c r="Q73" i="3"/>
  <c r="Q138" i="3"/>
  <c r="Q40" i="3"/>
  <c r="Q139" i="3"/>
  <c r="Q41" i="3"/>
  <c r="Q42" i="3"/>
  <c r="Q43" i="3"/>
  <c r="Q44" i="3"/>
  <c r="Q140" i="3"/>
  <c r="Q74" i="3"/>
  <c r="Q228" i="3"/>
  <c r="Q176" i="3"/>
  <c r="Q18" i="3"/>
  <c r="Q45" i="3"/>
  <c r="Q177" i="3"/>
  <c r="Q75" i="3"/>
  <c r="Q76" i="3"/>
  <c r="Q178" i="3"/>
  <c r="Q77" i="3"/>
  <c r="Q46" i="3"/>
  <c r="Q179" i="3"/>
  <c r="Q78" i="3"/>
  <c r="Q79" i="3"/>
  <c r="Q80" i="3"/>
  <c r="Q180" i="3"/>
  <c r="Q81" i="3"/>
  <c r="Q181" i="3"/>
  <c r="Q82" i="3"/>
  <c r="Q182" i="3"/>
  <c r="Q83" i="3"/>
  <c r="Q84" i="3"/>
  <c r="Q183" i="3"/>
  <c r="Q184" i="3"/>
  <c r="Q85" i="3"/>
  <c r="Q185" i="3"/>
  <c r="Q186" i="3"/>
  <c r="Q47" i="3"/>
  <c r="L145" i="3"/>
  <c r="L204" i="3"/>
  <c r="L146" i="3"/>
  <c r="L216" i="3"/>
  <c r="L120" i="3"/>
  <c r="L232" i="3"/>
  <c r="L240" i="3"/>
  <c r="L121" i="3"/>
  <c r="L97" i="3"/>
  <c r="L248" i="3"/>
  <c r="L202" i="3"/>
  <c r="L217" i="3"/>
  <c r="L218" i="3"/>
  <c r="L239" i="3"/>
  <c r="L122" i="3"/>
  <c r="L147" i="3"/>
  <c r="L148" i="3"/>
  <c r="L110" i="3"/>
  <c r="L207" i="3"/>
  <c r="L98" i="3"/>
  <c r="L233" i="3"/>
  <c r="L123" i="3"/>
  <c r="L247" i="3"/>
  <c r="L235" i="3"/>
  <c r="L90" i="3"/>
  <c r="L190" i="3"/>
  <c r="L99" i="3"/>
  <c r="L234" i="3"/>
  <c r="L245" i="3"/>
  <c r="L149" i="3"/>
  <c r="L236" i="3"/>
  <c r="L150" i="3"/>
  <c r="L151" i="3"/>
  <c r="L124" i="3"/>
  <c r="L188" i="3"/>
  <c r="L229" i="3"/>
  <c r="L125" i="3"/>
  <c r="L152" i="3"/>
  <c r="L20" i="3"/>
  <c r="L89" i="3"/>
  <c r="L48" i="3"/>
  <c r="L21" i="3"/>
  <c r="L49" i="3"/>
  <c r="L8" i="3"/>
  <c r="L22" i="3"/>
  <c r="L23" i="3"/>
  <c r="L24" i="3"/>
  <c r="L86" i="3"/>
  <c r="L50" i="3"/>
  <c r="L25" i="3"/>
  <c r="L112" i="3"/>
  <c r="L51" i="3"/>
  <c r="L246" i="3"/>
  <c r="L100" i="3"/>
  <c r="L196" i="3"/>
  <c r="L9" i="3"/>
  <c r="L101" i="3"/>
  <c r="L10" i="3"/>
  <c r="L153" i="3"/>
  <c r="L205" i="3"/>
  <c r="L11" i="3"/>
  <c r="L12" i="3"/>
  <c r="L102" i="3"/>
  <c r="L203" i="3"/>
  <c r="L114" i="3"/>
  <c r="L187" i="3"/>
  <c r="L13" i="3"/>
  <c r="L111" i="3"/>
  <c r="L15" i="3"/>
  <c r="L154" i="3"/>
  <c r="L103" i="3"/>
  <c r="L191" i="3"/>
  <c r="L26" i="3"/>
  <c r="L16" i="3"/>
  <c r="L238" i="3"/>
  <c r="L27" i="3"/>
  <c r="L200" i="3"/>
  <c r="L104" i="3"/>
  <c r="L155" i="3"/>
  <c r="L113" i="3"/>
  <c r="L115" i="3"/>
  <c r="L201" i="3"/>
  <c r="L87" i="3"/>
  <c r="L52" i="3"/>
  <c r="L105" i="3"/>
  <c r="L28" i="3"/>
  <c r="L197" i="3"/>
  <c r="L156" i="3"/>
  <c r="L53" i="3"/>
  <c r="L106" i="3"/>
  <c r="L219" i="3"/>
  <c r="L157" i="3"/>
  <c r="L158" i="3"/>
  <c r="L107" i="3"/>
  <c r="L108" i="3"/>
  <c r="L206" i="3"/>
  <c r="L54" i="3"/>
  <c r="L17" i="3"/>
  <c r="L109" i="3"/>
  <c r="L55" i="3"/>
  <c r="L56" i="3"/>
  <c r="L57" i="3"/>
  <c r="L220" i="3"/>
  <c r="L126" i="3"/>
  <c r="L159" i="3"/>
  <c r="L210" i="3"/>
  <c r="L221" i="3"/>
  <c r="L58" i="3"/>
  <c r="L211" i="3"/>
  <c r="L160" i="3"/>
  <c r="L59" i="3"/>
  <c r="L30" i="3"/>
  <c r="L161" i="3"/>
  <c r="L162" i="3"/>
  <c r="L163" i="3"/>
  <c r="L222" i="3"/>
  <c r="L223" i="3"/>
  <c r="L127" i="3"/>
  <c r="L164" i="3"/>
  <c r="L212" i="3"/>
  <c r="L165" i="3"/>
  <c r="L31" i="3"/>
  <c r="L60" i="3"/>
  <c r="L128" i="3"/>
  <c r="L166" i="3"/>
  <c r="L61" i="3"/>
  <c r="L62" i="3"/>
  <c r="L63" i="3"/>
  <c r="L32" i="3"/>
  <c r="L167" i="3"/>
  <c r="L129" i="3"/>
  <c r="L224" i="3"/>
  <c r="L213" i="3"/>
  <c r="L64" i="3"/>
  <c r="L65" i="3"/>
  <c r="L225" i="3"/>
  <c r="L33" i="3"/>
  <c r="L130" i="3"/>
  <c r="L34" i="3"/>
  <c r="L226" i="3"/>
  <c r="L35" i="3"/>
  <c r="L66" i="3"/>
  <c r="L227" i="3"/>
  <c r="L241" i="3"/>
  <c r="L131" i="3"/>
  <c r="L67" i="3"/>
  <c r="L168" i="3"/>
  <c r="L169" i="3"/>
  <c r="L68" i="3"/>
  <c r="L132" i="3"/>
  <c r="L36" i="3"/>
  <c r="L37" i="3"/>
  <c r="L29" i="3"/>
  <c r="L170" i="3"/>
  <c r="L69" i="3"/>
  <c r="L116" i="3"/>
  <c r="L171" i="3"/>
  <c r="L70" i="3"/>
  <c r="L38" i="3"/>
  <c r="L133" i="3"/>
  <c r="L39" i="3"/>
  <c r="L134" i="3"/>
  <c r="L172" i="3"/>
  <c r="L173" i="3"/>
  <c r="L135" i="3"/>
  <c r="L88" i="3"/>
  <c r="L71" i="3"/>
  <c r="L242" i="3"/>
  <c r="L72" i="3"/>
  <c r="L174" i="3"/>
  <c r="L136" i="3"/>
  <c r="L137" i="3"/>
  <c r="L175" i="3"/>
  <c r="L73" i="3"/>
  <c r="L138" i="3"/>
  <c r="L40" i="3"/>
  <c r="L139" i="3"/>
  <c r="L41" i="3"/>
  <c r="L42" i="3"/>
  <c r="L43" i="3"/>
  <c r="L44" i="3"/>
  <c r="L140" i="3"/>
  <c r="L74" i="3"/>
  <c r="L228" i="3"/>
  <c r="L176" i="3"/>
  <c r="L18" i="3"/>
  <c r="L45" i="3"/>
  <c r="L177" i="3"/>
  <c r="L75" i="3"/>
  <c r="L76" i="3"/>
  <c r="L178" i="3"/>
  <c r="L77" i="3"/>
  <c r="L46" i="3"/>
  <c r="L179" i="3"/>
  <c r="L78" i="3"/>
  <c r="L79" i="3"/>
  <c r="L80" i="3"/>
  <c r="L180" i="3"/>
  <c r="L81" i="3"/>
  <c r="L181" i="3"/>
  <c r="L82" i="3"/>
  <c r="L182" i="3"/>
  <c r="L83" i="3"/>
  <c r="L84" i="3"/>
  <c r="L183" i="3"/>
  <c r="L184" i="3"/>
  <c r="L85" i="3"/>
  <c r="L185" i="3"/>
  <c r="L186" i="3"/>
  <c r="L47" i="3"/>
  <c r="I145" i="3"/>
  <c r="I204" i="3"/>
  <c r="I146" i="3"/>
  <c r="I216" i="3"/>
  <c r="I120" i="3"/>
  <c r="I232" i="3"/>
  <c r="I240" i="3"/>
  <c r="I121" i="3"/>
  <c r="I97" i="3"/>
  <c r="I248" i="3"/>
  <c r="I202" i="3"/>
  <c r="I217" i="3"/>
  <c r="I218" i="3"/>
  <c r="I239" i="3"/>
  <c r="I122" i="3"/>
  <c r="I147" i="3"/>
  <c r="I148" i="3"/>
  <c r="I110" i="3"/>
  <c r="I207" i="3"/>
  <c r="I98" i="3"/>
  <c r="I233" i="3"/>
  <c r="I123" i="3"/>
  <c r="I247" i="3"/>
  <c r="I235" i="3"/>
  <c r="I190" i="3"/>
  <c r="I234" i="3"/>
  <c r="I245" i="3"/>
  <c r="I149" i="3"/>
  <c r="I236" i="3"/>
  <c r="I150" i="3"/>
  <c r="I151" i="3"/>
  <c r="I124" i="3"/>
  <c r="I188" i="3"/>
  <c r="I229" i="3"/>
  <c r="I125" i="3"/>
  <c r="I152" i="3"/>
  <c r="I20" i="3"/>
  <c r="I89" i="3"/>
  <c r="I48" i="3"/>
  <c r="I21" i="3"/>
  <c r="I49" i="3"/>
  <c r="I8" i="3"/>
  <c r="I22" i="3"/>
  <c r="I23" i="3"/>
  <c r="I24" i="3"/>
  <c r="I86" i="3"/>
  <c r="I50" i="3"/>
  <c r="I112" i="3"/>
  <c r="I51" i="3"/>
  <c r="I246" i="3"/>
  <c r="I100" i="3"/>
  <c r="I196" i="3"/>
  <c r="I9" i="3"/>
  <c r="I101" i="3"/>
  <c r="I10" i="3"/>
  <c r="I153" i="3"/>
  <c r="I205" i="3"/>
  <c r="I11" i="3"/>
  <c r="I12" i="3"/>
  <c r="I102" i="3"/>
  <c r="I203" i="3"/>
  <c r="I114" i="3"/>
  <c r="I187" i="3"/>
  <c r="I13" i="3"/>
  <c r="I14" i="3"/>
  <c r="I111" i="3"/>
  <c r="I15" i="3"/>
  <c r="I154" i="3"/>
  <c r="I103" i="3"/>
  <c r="I191" i="3"/>
  <c r="I26" i="3"/>
  <c r="I16" i="3"/>
  <c r="I238" i="3"/>
  <c r="I27" i="3"/>
  <c r="I200" i="3"/>
  <c r="I104" i="3"/>
  <c r="I155" i="3"/>
  <c r="I113" i="3"/>
  <c r="I115" i="3"/>
  <c r="I201" i="3"/>
  <c r="I87" i="3"/>
  <c r="I52" i="3"/>
  <c r="I105" i="3"/>
  <c r="I28" i="3"/>
  <c r="I197" i="3"/>
  <c r="I156" i="3"/>
  <c r="I53" i="3"/>
  <c r="I106" i="3"/>
  <c r="I219" i="3"/>
  <c r="I157" i="3"/>
  <c r="I158" i="3"/>
  <c r="I107" i="3"/>
  <c r="I108" i="3"/>
  <c r="I206" i="3"/>
  <c r="I54" i="3"/>
  <c r="I17" i="3"/>
  <c r="I109" i="3"/>
  <c r="I55" i="3"/>
  <c r="I56" i="3"/>
  <c r="I57" i="3"/>
  <c r="I220" i="3"/>
  <c r="I126" i="3"/>
  <c r="I159" i="3"/>
  <c r="I210" i="3"/>
  <c r="I221" i="3"/>
  <c r="I58" i="3"/>
  <c r="I211" i="3"/>
  <c r="I160" i="3"/>
  <c r="I59" i="3"/>
  <c r="I30" i="3"/>
  <c r="I161" i="3"/>
  <c r="I162" i="3"/>
  <c r="I163" i="3"/>
  <c r="I222" i="3"/>
  <c r="I127" i="3"/>
  <c r="I212" i="3"/>
  <c r="I165" i="3"/>
  <c r="I31" i="3"/>
  <c r="I60" i="3"/>
  <c r="I128" i="3"/>
  <c r="I166" i="3"/>
  <c r="I61" i="3"/>
  <c r="I62" i="3"/>
  <c r="I63" i="3"/>
  <c r="I32" i="3"/>
  <c r="I167" i="3"/>
  <c r="I129" i="3"/>
  <c r="I224" i="3"/>
  <c r="I213" i="3"/>
  <c r="I64" i="3"/>
  <c r="I65" i="3"/>
  <c r="I225" i="3"/>
  <c r="I33" i="3"/>
  <c r="I130" i="3"/>
  <c r="I34" i="3"/>
  <c r="I226" i="3"/>
  <c r="I35" i="3"/>
  <c r="I66" i="3"/>
  <c r="I227" i="3"/>
  <c r="I241" i="3"/>
  <c r="I168" i="3"/>
  <c r="I169" i="3"/>
  <c r="I68" i="3"/>
  <c r="I36" i="3"/>
  <c r="I37" i="3"/>
  <c r="I29" i="3"/>
  <c r="I170" i="3"/>
  <c r="I69" i="3"/>
  <c r="I116" i="3"/>
  <c r="I171" i="3"/>
  <c r="I70" i="3"/>
  <c r="I38" i="3"/>
  <c r="I133" i="3"/>
  <c r="I134" i="3"/>
  <c r="I172" i="3"/>
  <c r="I173" i="3"/>
  <c r="I135" i="3"/>
  <c r="I88" i="3"/>
  <c r="I71" i="3"/>
  <c r="I242" i="3"/>
  <c r="I72" i="3"/>
  <c r="I174" i="3"/>
  <c r="I136" i="3"/>
  <c r="I137" i="3"/>
  <c r="I175" i="3"/>
  <c r="I73" i="3"/>
  <c r="I138" i="3"/>
  <c r="I40" i="3"/>
  <c r="I139" i="3"/>
  <c r="I41" i="3"/>
  <c r="I42" i="3"/>
  <c r="I43" i="3"/>
  <c r="I44" i="3"/>
  <c r="I140" i="3"/>
  <c r="I74" i="3"/>
  <c r="I228" i="3"/>
  <c r="I176" i="3"/>
  <c r="I18" i="3"/>
  <c r="I45" i="3"/>
  <c r="I177" i="3"/>
  <c r="I75" i="3"/>
  <c r="I76" i="3"/>
  <c r="I178" i="3"/>
  <c r="I77" i="3"/>
  <c r="I46" i="3"/>
  <c r="I179" i="3"/>
  <c r="I78" i="3"/>
  <c r="I79" i="3"/>
  <c r="I80" i="3"/>
  <c r="I180" i="3"/>
  <c r="I81" i="3"/>
  <c r="I181" i="3"/>
  <c r="I82" i="3"/>
  <c r="I182" i="3"/>
  <c r="I83" i="3"/>
  <c r="I84" i="3"/>
  <c r="I183" i="3"/>
  <c r="I184" i="3"/>
  <c r="I85" i="3"/>
  <c r="I185" i="3"/>
  <c r="I186" i="3"/>
  <c r="I47" i="3"/>
  <c r="G145" i="3"/>
  <c r="G204" i="3"/>
  <c r="G146" i="3"/>
  <c r="G216" i="3"/>
  <c r="G120" i="3"/>
  <c r="G232" i="3"/>
  <c r="G240" i="3"/>
  <c r="G121" i="3"/>
  <c r="G97" i="3"/>
  <c r="G248" i="3"/>
  <c r="G202" i="3"/>
  <c r="G217" i="3"/>
  <c r="G218" i="3"/>
  <c r="G239" i="3"/>
  <c r="G122" i="3"/>
  <c r="G147" i="3"/>
  <c r="G148" i="3"/>
  <c r="G110" i="3"/>
  <c r="G207" i="3"/>
  <c r="G98" i="3"/>
  <c r="G233" i="3"/>
  <c r="G123" i="3"/>
  <c r="G247" i="3"/>
  <c r="G235" i="3"/>
  <c r="G90" i="3"/>
  <c r="G190" i="3"/>
  <c r="G99" i="3"/>
  <c r="G234" i="3"/>
  <c r="G245" i="3"/>
  <c r="G149" i="3"/>
  <c r="G236" i="3"/>
  <c r="G150" i="3"/>
  <c r="G151" i="3"/>
  <c r="G124" i="3"/>
  <c r="G188" i="3"/>
  <c r="G229" i="3"/>
  <c r="G125" i="3"/>
  <c r="G152" i="3"/>
  <c r="G20" i="3"/>
  <c r="G89" i="3"/>
  <c r="G48" i="3"/>
  <c r="G21" i="3"/>
  <c r="G49" i="3"/>
  <c r="G8" i="3"/>
  <c r="G22" i="3"/>
  <c r="G23" i="3"/>
  <c r="G24" i="3"/>
  <c r="G86" i="3"/>
  <c r="G50" i="3"/>
  <c r="G25" i="3"/>
  <c r="G112" i="3"/>
  <c r="G51" i="3"/>
  <c r="G246" i="3"/>
  <c r="G100" i="3"/>
  <c r="G196" i="3"/>
  <c r="G9" i="3"/>
  <c r="G101" i="3"/>
  <c r="G10" i="3"/>
  <c r="G153" i="3"/>
  <c r="G205" i="3"/>
  <c r="G11" i="3"/>
  <c r="G12" i="3"/>
  <c r="G102" i="3"/>
  <c r="G203" i="3"/>
  <c r="G114" i="3"/>
  <c r="G187" i="3"/>
  <c r="G13" i="3"/>
  <c r="G14" i="3"/>
  <c r="G111" i="3"/>
  <c r="G15" i="3"/>
  <c r="G154" i="3"/>
  <c r="G103" i="3"/>
  <c r="G191" i="3"/>
  <c r="G26" i="3"/>
  <c r="G16" i="3"/>
  <c r="G238" i="3"/>
  <c r="G27" i="3"/>
  <c r="G200" i="3"/>
  <c r="G104" i="3"/>
  <c r="G155" i="3"/>
  <c r="G113" i="3"/>
  <c r="G115" i="3"/>
  <c r="G201" i="3"/>
  <c r="G87" i="3"/>
  <c r="G52" i="3"/>
  <c r="G105" i="3"/>
  <c r="G28" i="3"/>
  <c r="G197" i="3"/>
  <c r="G156" i="3"/>
  <c r="G53" i="3"/>
  <c r="G106" i="3"/>
  <c r="G219" i="3"/>
  <c r="G157" i="3"/>
  <c r="G158" i="3"/>
  <c r="G107" i="3"/>
  <c r="G108" i="3"/>
  <c r="G206" i="3"/>
  <c r="G54" i="3"/>
  <c r="G17" i="3"/>
  <c r="G109" i="3"/>
  <c r="G55" i="3"/>
  <c r="G56" i="3"/>
  <c r="G57" i="3"/>
  <c r="G220" i="3"/>
  <c r="G126" i="3"/>
  <c r="G159" i="3"/>
  <c r="G210" i="3"/>
  <c r="G221" i="3"/>
  <c r="G58" i="3"/>
  <c r="G211" i="3"/>
  <c r="G160" i="3"/>
  <c r="G59" i="3"/>
  <c r="G30" i="3"/>
  <c r="G161" i="3"/>
  <c r="G162" i="3"/>
  <c r="G163" i="3"/>
  <c r="G222" i="3"/>
  <c r="G223" i="3"/>
  <c r="G127" i="3"/>
  <c r="G164" i="3"/>
  <c r="G212" i="3"/>
  <c r="G165" i="3"/>
  <c r="G31" i="3"/>
  <c r="G60" i="3"/>
  <c r="G128" i="3"/>
  <c r="G166" i="3"/>
  <c r="G61" i="3"/>
  <c r="G62" i="3"/>
  <c r="G63" i="3"/>
  <c r="G32" i="3"/>
  <c r="G167" i="3"/>
  <c r="G129" i="3"/>
  <c r="G224" i="3"/>
  <c r="G213" i="3"/>
  <c r="G64" i="3"/>
  <c r="G65" i="3"/>
  <c r="G225" i="3"/>
  <c r="G33" i="3"/>
  <c r="G130" i="3"/>
  <c r="G34" i="3"/>
  <c r="G226" i="3"/>
  <c r="G35" i="3"/>
  <c r="G66" i="3"/>
  <c r="G227" i="3"/>
  <c r="G241" i="3"/>
  <c r="G131" i="3"/>
  <c r="G67" i="3"/>
  <c r="G168" i="3"/>
  <c r="G169" i="3"/>
  <c r="G68" i="3"/>
  <c r="G132" i="3"/>
  <c r="G36" i="3"/>
  <c r="G37" i="3"/>
  <c r="G29" i="3"/>
  <c r="G170" i="3"/>
  <c r="G69" i="3"/>
  <c r="G116" i="3"/>
  <c r="G171" i="3"/>
  <c r="G70" i="3"/>
  <c r="G38" i="3"/>
  <c r="G133" i="3"/>
  <c r="G39" i="3"/>
  <c r="G134" i="3"/>
  <c r="G172" i="3"/>
  <c r="G173" i="3"/>
  <c r="G135" i="3"/>
  <c r="G88" i="3"/>
  <c r="G71" i="3"/>
  <c r="G242" i="3"/>
  <c r="G72" i="3"/>
  <c r="G174" i="3"/>
  <c r="G136" i="3"/>
  <c r="G137" i="3"/>
  <c r="G175" i="3"/>
  <c r="G73" i="3"/>
  <c r="G138" i="3"/>
  <c r="G40" i="3"/>
  <c r="G139" i="3"/>
  <c r="G41" i="3"/>
  <c r="G42" i="3"/>
  <c r="G43" i="3"/>
  <c r="G44" i="3"/>
  <c r="G140" i="3"/>
  <c r="G74" i="3"/>
  <c r="G228" i="3"/>
  <c r="G176" i="3"/>
  <c r="G18" i="3"/>
  <c r="G45" i="3"/>
  <c r="G177" i="3"/>
  <c r="G75" i="3"/>
  <c r="G76" i="3"/>
  <c r="G178" i="3"/>
  <c r="G77" i="3"/>
  <c r="G46" i="3"/>
  <c r="G179" i="3"/>
  <c r="G78" i="3"/>
  <c r="G79" i="3"/>
  <c r="G80" i="3"/>
  <c r="G180" i="3"/>
  <c r="G81" i="3"/>
  <c r="G181" i="3"/>
  <c r="G82" i="3"/>
  <c r="G182" i="3"/>
  <c r="G83" i="3"/>
  <c r="G84" i="3"/>
  <c r="G183" i="3"/>
  <c r="G184" i="3"/>
  <c r="G85" i="3"/>
  <c r="G185" i="3"/>
  <c r="G186" i="3"/>
  <c r="G47" i="3"/>
  <c r="AD144" i="3"/>
  <c r="AD195" i="3"/>
  <c r="AD119" i="3"/>
  <c r="AD143" i="3"/>
  <c r="AD96" i="3"/>
  <c r="AD209" i="3"/>
  <c r="AD95" i="3"/>
  <c r="AD118" i="3"/>
  <c r="AD194" i="3"/>
  <c r="AD193" i="3"/>
  <c r="AD94" i="3"/>
  <c r="AD215" i="3"/>
  <c r="AD192" i="3"/>
  <c r="AD93" i="3"/>
  <c r="AD231" i="3"/>
  <c r="AD214" i="3"/>
  <c r="AD244" i="3"/>
  <c r="AD19" i="3"/>
  <c r="AD208" i="3"/>
  <c r="AD189" i="3"/>
  <c r="AD142" i="3"/>
  <c r="AD230" i="3"/>
  <c r="AD92" i="3"/>
  <c r="AD117" i="3"/>
  <c r="AD243" i="3"/>
  <c r="AD199" i="3"/>
  <c r="AD237" i="3"/>
  <c r="AD91" i="3"/>
  <c r="AD198" i="3"/>
  <c r="AD141" i="3"/>
  <c r="AB144" i="3"/>
  <c r="AB195" i="3"/>
  <c r="AB119" i="3"/>
  <c r="AB143" i="3"/>
  <c r="AB96" i="3"/>
  <c r="AB209" i="3"/>
  <c r="AB95" i="3"/>
  <c r="AB118" i="3"/>
  <c r="AB194" i="3"/>
  <c r="AB193" i="3"/>
  <c r="AB94" i="3"/>
  <c r="AB215" i="3"/>
  <c r="AB192" i="3"/>
  <c r="AB93" i="3"/>
  <c r="AB231" i="3"/>
  <c r="AB214" i="3"/>
  <c r="AB244" i="3"/>
  <c r="AB19" i="3"/>
  <c r="AB208" i="3"/>
  <c r="AB189" i="3"/>
  <c r="AB142" i="3"/>
  <c r="AB230" i="3"/>
  <c r="AB92" i="3"/>
  <c r="AB117" i="3"/>
  <c r="AB243" i="3"/>
  <c r="AB199" i="3"/>
  <c r="AB237" i="3"/>
  <c r="AB91" i="3"/>
  <c r="AB198" i="3"/>
  <c r="AB141" i="3"/>
  <c r="L198" i="3"/>
  <c r="L91" i="3"/>
  <c r="L237" i="3"/>
  <c r="L199" i="3"/>
  <c r="L243" i="3"/>
  <c r="L117" i="3"/>
  <c r="L92" i="3"/>
  <c r="L230" i="3"/>
  <c r="L142" i="3"/>
  <c r="L189" i="3"/>
  <c r="L208" i="3"/>
  <c r="L19" i="3"/>
  <c r="L244" i="3"/>
  <c r="L214" i="3"/>
  <c r="L231" i="3"/>
  <c r="L93" i="3"/>
  <c r="L192" i="3"/>
  <c r="L215" i="3"/>
  <c r="L94" i="3"/>
  <c r="L193" i="3"/>
  <c r="L194" i="3"/>
  <c r="L118" i="3"/>
  <c r="L95" i="3"/>
  <c r="L209" i="3"/>
  <c r="L96" i="3"/>
  <c r="L143" i="3"/>
  <c r="L119" i="3"/>
  <c r="L195" i="3"/>
  <c r="L144" i="3"/>
  <c r="I198" i="3"/>
  <c r="I91" i="3"/>
  <c r="I237" i="3"/>
  <c r="I199" i="3"/>
  <c r="I243" i="3"/>
  <c r="I117" i="3"/>
  <c r="I92" i="3"/>
  <c r="I230" i="3"/>
  <c r="I142" i="3"/>
  <c r="I189" i="3"/>
  <c r="I208" i="3"/>
  <c r="I19" i="3"/>
  <c r="I244" i="3"/>
  <c r="I214" i="3"/>
  <c r="I231" i="3"/>
  <c r="I93" i="3"/>
  <c r="I192" i="3"/>
  <c r="I215" i="3"/>
  <c r="I94" i="3"/>
  <c r="I193" i="3"/>
  <c r="I194" i="3"/>
  <c r="I118" i="3"/>
  <c r="I95" i="3"/>
  <c r="I209" i="3"/>
  <c r="I96" i="3"/>
  <c r="I143" i="3"/>
  <c r="I119" i="3"/>
  <c r="I144" i="3"/>
  <c r="G198" i="3"/>
  <c r="G91" i="3"/>
  <c r="G237" i="3"/>
  <c r="G199" i="3"/>
  <c r="G243" i="3"/>
  <c r="G117" i="3"/>
  <c r="G92" i="3"/>
  <c r="G230" i="3"/>
  <c r="G142" i="3"/>
  <c r="G189" i="3"/>
  <c r="G208" i="3"/>
  <c r="G19" i="3"/>
  <c r="G244" i="3"/>
  <c r="G214" i="3"/>
  <c r="G231" i="3"/>
  <c r="G93" i="3"/>
  <c r="G192" i="3"/>
  <c r="G215" i="3"/>
  <c r="G94" i="3"/>
  <c r="G193" i="3"/>
  <c r="G194" i="3"/>
  <c r="G118" i="3"/>
  <c r="G95" i="3"/>
  <c r="G209" i="3"/>
  <c r="G96" i="3"/>
  <c r="G143" i="3"/>
  <c r="G119" i="3"/>
  <c r="G195" i="3"/>
  <c r="G144" i="3"/>
  <c r="L141" i="3"/>
  <c r="I141" i="3"/>
  <c r="G141" i="3"/>
  <c r="W116" i="3" l="1"/>
  <c r="W200" i="3"/>
  <c r="W26" i="3"/>
  <c r="W15" i="3"/>
  <c r="W184" i="3"/>
  <c r="W182" i="3"/>
  <c r="W180" i="3"/>
  <c r="W179" i="3"/>
  <c r="W76" i="3"/>
  <c r="W18" i="3"/>
  <c r="W140" i="3"/>
  <c r="W41" i="3"/>
  <c r="W73" i="3"/>
  <c r="W174" i="3"/>
  <c r="W88" i="3"/>
  <c r="W134" i="3"/>
  <c r="W70" i="3"/>
  <c r="W69" i="3"/>
  <c r="W36" i="3"/>
  <c r="W168" i="3"/>
  <c r="W227" i="3"/>
  <c r="W34" i="3"/>
  <c r="W65" i="3"/>
  <c r="W129" i="3"/>
  <c r="W62" i="3"/>
  <c r="W60" i="3"/>
  <c r="W223" i="3"/>
  <c r="W161" i="3"/>
  <c r="W211" i="3"/>
  <c r="W159" i="3"/>
  <c r="W56" i="3"/>
  <c r="W54" i="3"/>
  <c r="W158" i="3"/>
  <c r="W53" i="3"/>
  <c r="W105" i="3"/>
  <c r="W115" i="3"/>
  <c r="W14" i="3"/>
  <c r="W13" i="3"/>
  <c r="W102" i="3"/>
  <c r="W205" i="3"/>
  <c r="W124" i="3"/>
  <c r="W149" i="3"/>
  <c r="W190" i="3"/>
  <c r="W123" i="3"/>
  <c r="W110" i="3"/>
  <c r="W239" i="3"/>
  <c r="W202" i="3"/>
  <c r="W240" i="3"/>
  <c r="W146" i="3"/>
  <c r="W222" i="3"/>
  <c r="W30" i="3"/>
  <c r="W58" i="3"/>
  <c r="W126" i="3"/>
  <c r="W9" i="3"/>
  <c r="W51" i="3"/>
  <c r="W86" i="3"/>
  <c r="W8" i="3"/>
  <c r="W89" i="3"/>
  <c r="W151" i="3"/>
  <c r="W245" i="3"/>
  <c r="W183" i="3"/>
  <c r="W82" i="3"/>
  <c r="W80" i="3"/>
  <c r="W46" i="3"/>
  <c r="W75" i="3"/>
  <c r="W176" i="3"/>
  <c r="W44" i="3"/>
  <c r="W139" i="3"/>
  <c r="W175" i="3"/>
  <c r="W72" i="3"/>
  <c r="W135" i="3"/>
  <c r="W39" i="3"/>
  <c r="W171" i="3"/>
  <c r="W170" i="3"/>
  <c r="W132" i="3"/>
  <c r="W67" i="3"/>
  <c r="W66" i="3"/>
  <c r="W130" i="3"/>
  <c r="W64" i="3"/>
  <c r="W167" i="3"/>
  <c r="W61" i="3"/>
  <c r="W31" i="3"/>
  <c r="W163" i="3"/>
  <c r="W59" i="3"/>
  <c r="W221" i="3"/>
  <c r="W55" i="3"/>
  <c r="W206" i="3"/>
  <c r="W157" i="3"/>
  <c r="W156" i="3"/>
  <c r="W52" i="3"/>
  <c r="W113" i="3"/>
  <c r="W27" i="3"/>
  <c r="W191" i="3"/>
  <c r="W111" i="3"/>
  <c r="W187" i="3"/>
  <c r="W12" i="3"/>
  <c r="W153" i="3"/>
  <c r="W196" i="3"/>
  <c r="W112" i="3"/>
  <c r="W24" i="3"/>
  <c r="W49" i="3"/>
  <c r="W20" i="3"/>
  <c r="W150" i="3"/>
  <c r="W90" i="3"/>
  <c r="W233" i="3"/>
  <c r="W148" i="3"/>
  <c r="W218" i="3"/>
  <c r="W248" i="3"/>
  <c r="W232" i="3"/>
  <c r="W204" i="3"/>
  <c r="W84" i="3"/>
  <c r="W181" i="3"/>
  <c r="W79" i="3"/>
  <c r="W77" i="3"/>
  <c r="W177" i="3"/>
  <c r="W228" i="3"/>
  <c r="W43" i="3"/>
  <c r="W40" i="3"/>
  <c r="W137" i="3"/>
  <c r="W242" i="3"/>
  <c r="W173" i="3"/>
  <c r="W133" i="3"/>
  <c r="W29" i="3"/>
  <c r="W68" i="3"/>
  <c r="W131" i="3"/>
  <c r="W35" i="3"/>
  <c r="W33" i="3"/>
  <c r="W213" i="3"/>
  <c r="W32" i="3"/>
  <c r="W166" i="3"/>
  <c r="W165" i="3"/>
  <c r="W127" i="3"/>
  <c r="W162" i="3"/>
  <c r="W160" i="3"/>
  <c r="W210" i="3"/>
  <c r="W109" i="3"/>
  <c r="W108" i="3"/>
  <c r="W219" i="3"/>
  <c r="W197" i="3"/>
  <c r="W87" i="3"/>
  <c r="W155" i="3"/>
  <c r="W238" i="3"/>
  <c r="W103" i="3"/>
  <c r="W114" i="3"/>
  <c r="W11" i="3"/>
  <c r="W10" i="3"/>
  <c r="W100" i="3"/>
  <c r="W25" i="3"/>
  <c r="W23" i="3"/>
  <c r="W21" i="3"/>
  <c r="W152" i="3"/>
  <c r="W188" i="3"/>
  <c r="W236" i="3"/>
  <c r="W235" i="3"/>
  <c r="W98" i="3"/>
  <c r="W147" i="3"/>
  <c r="W97" i="3"/>
  <c r="W120" i="3"/>
  <c r="W145" i="3"/>
  <c r="W85" i="3"/>
  <c r="W83" i="3"/>
  <c r="W81" i="3"/>
  <c r="W78" i="3"/>
  <c r="W178" i="3"/>
  <c r="W45" i="3"/>
  <c r="W74" i="3"/>
  <c r="W42" i="3"/>
  <c r="W138" i="3"/>
  <c r="W136" i="3"/>
  <c r="W71" i="3"/>
  <c r="W172" i="3"/>
  <c r="W38" i="3"/>
  <c r="W37" i="3"/>
  <c r="W169" i="3"/>
  <c r="W241" i="3"/>
  <c r="W226" i="3"/>
  <c r="W225" i="3"/>
  <c r="W224" i="3"/>
  <c r="W63" i="3"/>
  <c r="W128" i="3"/>
  <c r="W212" i="3"/>
  <c r="W57" i="3"/>
  <c r="W17" i="3"/>
  <c r="W107" i="3"/>
  <c r="W106" i="3"/>
  <c r="W28" i="3"/>
  <c r="W201" i="3"/>
  <c r="W104" i="3"/>
  <c r="W16" i="3"/>
  <c r="W154" i="3"/>
  <c r="W203" i="3"/>
  <c r="W101" i="3"/>
  <c r="W246" i="3"/>
  <c r="W50" i="3"/>
  <c r="W22" i="3"/>
  <c r="W48" i="3"/>
  <c r="W125" i="3"/>
  <c r="W99" i="3"/>
  <c r="W247" i="3"/>
  <c r="W207" i="3"/>
  <c r="W122" i="3"/>
  <c r="W121" i="3"/>
  <c r="W216" i="3"/>
  <c r="W47" i="3"/>
  <c r="W186" i="3"/>
  <c r="W185" i="3"/>
  <c r="Q144" i="3" l="1"/>
  <c r="V144" i="3"/>
  <c r="W144" i="3" l="1"/>
  <c r="V198" i="3"/>
  <c r="V237" i="3"/>
  <c r="V199" i="3"/>
  <c r="V243" i="3"/>
  <c r="V117" i="3"/>
  <c r="V92" i="3"/>
  <c r="V230" i="3"/>
  <c r="V142" i="3"/>
  <c r="V189" i="3"/>
  <c r="V208" i="3"/>
  <c r="V19" i="3"/>
  <c r="V244" i="3"/>
  <c r="V214" i="3"/>
  <c r="V231" i="3"/>
  <c r="V93" i="3"/>
  <c r="V192" i="3"/>
  <c r="V215" i="3"/>
  <c r="V94" i="3"/>
  <c r="V193" i="3"/>
  <c r="V194" i="3"/>
  <c r="V118" i="3"/>
  <c r="V95" i="3"/>
  <c r="V209" i="3"/>
  <c r="V96" i="3"/>
  <c r="V143" i="3"/>
  <c r="V119" i="3"/>
  <c r="V195" i="3"/>
  <c r="V141" i="3"/>
  <c r="Q91" i="3"/>
  <c r="Q237" i="3"/>
  <c r="Q199" i="3"/>
  <c r="Q243" i="3"/>
  <c r="Q117" i="3"/>
  <c r="Q92" i="3"/>
  <c r="Q230" i="3"/>
  <c r="Q142" i="3"/>
  <c r="Q189" i="3"/>
  <c r="Q208" i="3"/>
  <c r="Q19" i="3"/>
  <c r="Q244" i="3"/>
  <c r="Q214" i="3"/>
  <c r="Q231" i="3"/>
  <c r="Q93" i="3"/>
  <c r="Q192" i="3"/>
  <c r="Q215" i="3"/>
  <c r="Q94" i="3"/>
  <c r="Q193" i="3"/>
  <c r="Q194" i="3"/>
  <c r="Q118" i="3"/>
  <c r="Q95" i="3"/>
  <c r="Q209" i="3"/>
  <c r="Q96" i="3"/>
  <c r="Q143" i="3"/>
  <c r="Q119" i="3"/>
  <c r="Q195" i="3"/>
  <c r="Q141" i="3"/>
  <c r="Q198" i="3"/>
  <c r="V91" i="3"/>
  <c r="W209" i="3" l="1"/>
  <c r="W93" i="3"/>
  <c r="W195" i="3"/>
  <c r="W143" i="3"/>
  <c r="W118" i="3"/>
  <c r="W193" i="3"/>
  <c r="W215" i="3"/>
  <c r="W214" i="3"/>
  <c r="W189" i="3"/>
  <c r="W230" i="3"/>
  <c r="W117" i="3"/>
  <c r="W199" i="3"/>
  <c r="W91" i="3"/>
  <c r="W19" i="3"/>
  <c r="W96" i="3"/>
  <c r="W194" i="3"/>
  <c r="W192" i="3"/>
  <c r="W244" i="3"/>
  <c r="W142" i="3"/>
  <c r="W243" i="3"/>
  <c r="W198" i="3"/>
  <c r="W119" i="3"/>
  <c r="W95" i="3"/>
  <c r="W94" i="3"/>
  <c r="W231" i="3"/>
  <c r="W208" i="3"/>
  <c r="W92" i="3"/>
  <c r="W237" i="3"/>
  <c r="W141" i="3"/>
</calcChain>
</file>

<file path=xl/sharedStrings.xml><?xml version="1.0" encoding="utf-8"?>
<sst xmlns="http://schemas.openxmlformats.org/spreadsheetml/2006/main" count="2452" uniqueCount="296">
  <si>
    <t>Feasibility Study and Detailed Design of Kampala - Jinja Highway</t>
  </si>
  <si>
    <t>Roadside OD Interview Survey</t>
  </si>
  <si>
    <t>Date:</t>
  </si>
  <si>
    <t>Interviewer:</t>
  </si>
  <si>
    <t>Survey Station:</t>
  </si>
  <si>
    <t>Direction:</t>
  </si>
  <si>
    <t>Coded By:</t>
  </si>
  <si>
    <t>Chkd By:</t>
  </si>
  <si>
    <t>Time Period</t>
  </si>
  <si>
    <t>Veh_Type</t>
  </si>
  <si>
    <t>Veh_Other</t>
  </si>
  <si>
    <t>Occupancy</t>
  </si>
  <si>
    <t>Origin_Address</t>
  </si>
  <si>
    <t>Village/Town</t>
  </si>
  <si>
    <t>City/Country</t>
  </si>
  <si>
    <t>Origin_Purpose</t>
  </si>
  <si>
    <t>Origin_other</t>
  </si>
  <si>
    <t>Destination_Address</t>
  </si>
  <si>
    <t>Destination_Purpose</t>
  </si>
  <si>
    <t>Destination_Other</t>
  </si>
  <si>
    <t>Origin_Zone</t>
  </si>
  <si>
    <t>Dest_Zone</t>
  </si>
  <si>
    <t>AM</t>
  </si>
  <si>
    <t>Bukoto</t>
  </si>
  <si>
    <t>Kla, Ug</t>
  </si>
  <si>
    <t>Kla</t>
  </si>
  <si>
    <t>Blank</t>
  </si>
  <si>
    <t>WTP</t>
  </si>
  <si>
    <t>Bweyogerere</t>
  </si>
  <si>
    <t>Bweyogerere-Kireka</t>
  </si>
  <si>
    <t>Entebbe</t>
  </si>
  <si>
    <t>Kiwanga</t>
  </si>
  <si>
    <t>Yes</t>
  </si>
  <si>
    <t>Vehicle Type</t>
  </si>
  <si>
    <t>Veh_Reg_No.</t>
  </si>
  <si>
    <t>District</t>
  </si>
  <si>
    <t>Country</t>
  </si>
  <si>
    <t>Supervisor:</t>
  </si>
  <si>
    <t>Village or Town</t>
  </si>
  <si>
    <t>Car</t>
  </si>
  <si>
    <t>Station Wagon</t>
  </si>
  <si>
    <t>Pickups</t>
  </si>
  <si>
    <t xml:space="preserve">Medium bus </t>
  </si>
  <si>
    <t>Large Bus</t>
  </si>
  <si>
    <t xml:space="preserve">Light Truck </t>
  </si>
  <si>
    <t xml:space="preserve">Medium Truck </t>
  </si>
  <si>
    <t xml:space="preserve">Heavy truck </t>
  </si>
  <si>
    <t xml:space="preserve">Truck Trailer </t>
  </si>
  <si>
    <t>Tractors</t>
  </si>
  <si>
    <t>Motor cycles</t>
  </si>
  <si>
    <t>Establishment Type</t>
  </si>
  <si>
    <t xml:space="preserve">Residential </t>
  </si>
  <si>
    <t>Office</t>
  </si>
  <si>
    <t>Factory</t>
  </si>
  <si>
    <t>Educational Facility</t>
  </si>
  <si>
    <t>Hospital</t>
  </si>
  <si>
    <t>Bus / Taxi Park</t>
  </si>
  <si>
    <t>Wholesale shopping</t>
  </si>
  <si>
    <t>Boda boda stage</t>
  </si>
  <si>
    <t>Farm</t>
  </si>
  <si>
    <t>Construction Site</t>
  </si>
  <si>
    <t>Retail Shop/Market</t>
  </si>
  <si>
    <t>Warehouse</t>
  </si>
  <si>
    <t>Harbour</t>
  </si>
  <si>
    <t>Timber Centre</t>
  </si>
  <si>
    <t>Quarry</t>
  </si>
  <si>
    <t>Others (to be specified)</t>
  </si>
  <si>
    <t>Origin / Destination Purpose</t>
  </si>
  <si>
    <t>Home</t>
  </si>
  <si>
    <t>Work</t>
  </si>
  <si>
    <t>Study</t>
  </si>
  <si>
    <t>Commercial</t>
  </si>
  <si>
    <t>Tourism</t>
  </si>
  <si>
    <t>Leisure/Social</t>
  </si>
  <si>
    <t>Others</t>
  </si>
  <si>
    <t>Trip Frequency</t>
  </si>
  <si>
    <t>more than 2 times every day</t>
  </si>
  <si>
    <t>Daily (Up and Down)</t>
  </si>
  <si>
    <t>2/3 times a week</t>
  </si>
  <si>
    <t>Once a week</t>
  </si>
  <si>
    <t>Once a month</t>
  </si>
  <si>
    <t>Once in a while</t>
  </si>
  <si>
    <t>Goods Type</t>
  </si>
  <si>
    <t>Food crop (Maize,rice,wheat etc)</t>
  </si>
  <si>
    <t>Cash Crops (coffee,tea etc)</t>
  </si>
  <si>
    <t>Perishable (fish,milk,tea etc)</t>
  </si>
  <si>
    <t>Construction Material (cement,
gravel,stones,gravel,pipes)</t>
  </si>
  <si>
    <t>Metal/machinery</t>
  </si>
  <si>
    <t>Forestry products (timber &amp; charcoal)</t>
  </si>
  <si>
    <t>Fuels (any petroleum products)</t>
  </si>
  <si>
    <t>Chemical Products (fertilizer,paints)</t>
  </si>
  <si>
    <t>Livestock (cows,goats,camel etc)</t>
  </si>
  <si>
    <t>Household retail products 
(beverage,oil,sugar,salt,flour)</t>
  </si>
  <si>
    <t>Empty</t>
  </si>
  <si>
    <t>Others (Pl specify)</t>
  </si>
  <si>
    <t>Consultancy services for Preparation of Expressway Development Master Plan (EDMP) for Uganda</t>
  </si>
  <si>
    <t>Origin-Purpose Desc</t>
  </si>
  <si>
    <t>Destination_Purpose Desc</t>
  </si>
  <si>
    <t>Journey_Purpose</t>
  </si>
  <si>
    <t>Pay How Much? (UGX)</t>
  </si>
  <si>
    <t>Y</t>
  </si>
  <si>
    <t>Date</t>
  </si>
  <si>
    <t>Town</t>
  </si>
  <si>
    <t>Deo B. M</t>
  </si>
  <si>
    <t>Stated Preferance Survey</t>
  </si>
  <si>
    <t>D</t>
  </si>
  <si>
    <t>Mode No.</t>
  </si>
  <si>
    <t>Mode Description</t>
  </si>
  <si>
    <t>Mode Number</t>
  </si>
  <si>
    <t>Walking/Cycling</t>
  </si>
  <si>
    <t>Road Vehicle</t>
  </si>
  <si>
    <t>Rail</t>
  </si>
  <si>
    <t>Water/Ferry</t>
  </si>
  <si>
    <t>Air</t>
  </si>
  <si>
    <t>Veh_Type Desc</t>
  </si>
  <si>
    <t>Minibus</t>
  </si>
  <si>
    <t>Gender (M/F)</t>
  </si>
  <si>
    <t>M</t>
  </si>
  <si>
    <t>Age Bracket No.</t>
  </si>
  <si>
    <t>Age Bracket Desc.</t>
  </si>
  <si>
    <t>20-29</t>
  </si>
  <si>
    <t>30-39</t>
  </si>
  <si>
    <t>40-49</t>
  </si>
  <si>
    <t>50-59</t>
  </si>
  <si>
    <t>60-69</t>
  </si>
  <si>
    <t>70-</t>
  </si>
  <si>
    <t>Cost of Trip (UGX)</t>
  </si>
  <si>
    <t>Journey Dist (Km)</t>
  </si>
  <si>
    <t>Journey Time (Hrs)</t>
  </si>
  <si>
    <t>Profession No.</t>
  </si>
  <si>
    <t>Profession Desc.</t>
  </si>
  <si>
    <t>Profession</t>
  </si>
  <si>
    <t>Unemployed</t>
  </si>
  <si>
    <t>Manual Labour</t>
  </si>
  <si>
    <t>Artisan/Domestic</t>
  </si>
  <si>
    <t>Office Worker</t>
  </si>
  <si>
    <t>Professional</t>
  </si>
  <si>
    <t>Businessman</t>
  </si>
  <si>
    <t>Farmer</t>
  </si>
  <si>
    <t>Student</t>
  </si>
  <si>
    <t>Retired</t>
  </si>
  <si>
    <t>Other</t>
  </si>
  <si>
    <t>Monthly Income No.</t>
  </si>
  <si>
    <t xml:space="preserve">Monthly Income </t>
  </si>
  <si>
    <t>Monthly Income</t>
  </si>
  <si>
    <t>&lt;300,000</t>
  </si>
  <si>
    <t>300,000-500,000</t>
  </si>
  <si>
    <t>500,000-750,000</t>
  </si>
  <si>
    <t>750,000-1,000,000</t>
  </si>
  <si>
    <t>&gt;1,000,000</t>
  </si>
  <si>
    <t>Rank of Issues NOT OK with Journey</t>
  </si>
  <si>
    <t>Journey Time</t>
  </si>
  <si>
    <t>Cost of Journey</t>
  </si>
  <si>
    <t>Comfort</t>
  </si>
  <si>
    <t>Safety</t>
  </si>
  <si>
    <t>Reliability</t>
  </si>
  <si>
    <t>Would You Use Xpressways? Y/N</t>
  </si>
  <si>
    <t>Driver or Passenger? D/P</t>
  </si>
  <si>
    <t>Time (24-h format)</t>
  </si>
  <si>
    <t>Dennis.</t>
  </si>
  <si>
    <t>STEPHEN .N</t>
  </si>
  <si>
    <t>ENTEBBE</t>
  </si>
  <si>
    <t>DENIS,DOWMDA,CLAIRE,ANNA</t>
  </si>
  <si>
    <t>P</t>
  </si>
  <si>
    <t>KITORO</t>
  </si>
  <si>
    <t>WAKISO</t>
  </si>
  <si>
    <t>UG</t>
  </si>
  <si>
    <t>ZANA</t>
  </si>
  <si>
    <t>F</t>
  </si>
  <si>
    <t>AIRPORT</t>
  </si>
  <si>
    <t>KAMPALA CITY</t>
  </si>
  <si>
    <t>KAMPALA</t>
  </si>
  <si>
    <t>NAKAWA</t>
  </si>
  <si>
    <t>LAKE VICTORIA</t>
  </si>
  <si>
    <t>KIBUYE</t>
  </si>
  <si>
    <t>KAJJANSI</t>
  </si>
  <si>
    <t>MUKONO</t>
  </si>
  <si>
    <t>MUKONO TOWN</t>
  </si>
  <si>
    <t>BWEBAJJA</t>
  </si>
  <si>
    <t>KABALAGALA</t>
  </si>
  <si>
    <t>LIDO BEACH</t>
  </si>
  <si>
    <t>LUBOWA</t>
  </si>
  <si>
    <t>SPINA BEACH</t>
  </si>
  <si>
    <t>JINJA TOWN</t>
  </si>
  <si>
    <t>JINJA</t>
  </si>
  <si>
    <t>MENGO</t>
  </si>
  <si>
    <t>MAKINDYE</t>
  </si>
  <si>
    <t>NTINDA</t>
  </si>
  <si>
    <t>NAMASUBA</t>
  </si>
  <si>
    <t>LWEZA</t>
  </si>
  <si>
    <t>KAWEMPE</t>
  </si>
  <si>
    <t>ENTEBBE TOWN</t>
  </si>
  <si>
    <t>KITENDE</t>
  </si>
  <si>
    <t>NATETE</t>
  </si>
  <si>
    <t>MBALE TOWN</t>
  </si>
  <si>
    <t>MBALE</t>
  </si>
  <si>
    <t>NAJANANKUMBI</t>
  </si>
  <si>
    <t>NAKASERO</t>
  </si>
  <si>
    <t>KAZINGA</t>
  </si>
  <si>
    <t>NKUMBA</t>
  </si>
  <si>
    <t>NSAMBYA</t>
  </si>
  <si>
    <t>NKUMBER</t>
  </si>
  <si>
    <t>MUNYONYO</t>
  </si>
  <si>
    <t>GERONGE</t>
  </si>
  <si>
    <t>NAJJANAKUMBI</t>
  </si>
  <si>
    <t>SSEGUKU</t>
  </si>
  <si>
    <t>KASEHYI</t>
  </si>
  <si>
    <t>OLD TAXI PARK</t>
  </si>
  <si>
    <t>KITALA</t>
  </si>
  <si>
    <t>KIREKA</t>
  </si>
  <si>
    <t>BULOBA</t>
  </si>
  <si>
    <t>GABA</t>
  </si>
  <si>
    <t>BUSEGA</t>
  </si>
  <si>
    <t>p</t>
  </si>
  <si>
    <t>NEW TAXI PARK</t>
  </si>
  <si>
    <t>VICTORIA MALL</t>
  </si>
  <si>
    <t>ERO BEACH</t>
  </si>
  <si>
    <t>KATWE</t>
  </si>
  <si>
    <t>OWINO</t>
  </si>
  <si>
    <t>MATUGGA</t>
  </si>
  <si>
    <t>MBARARA</t>
  </si>
  <si>
    <t>KIBULI</t>
  </si>
  <si>
    <t>ENTEBBE REFERAL HOSPITA</t>
  </si>
  <si>
    <t>SEETA</t>
  </si>
  <si>
    <t>BUGOLOBI</t>
  </si>
  <si>
    <t>ENTEBBE STAGE</t>
  </si>
  <si>
    <t>LUWEERO</t>
  </si>
  <si>
    <t>ENTEBBE PARK</t>
  </si>
  <si>
    <t>SONDE</t>
  </si>
  <si>
    <t>ENTEBBE BEACH</t>
  </si>
  <si>
    <t>MITYANA</t>
  </si>
  <si>
    <t>MIYTANA</t>
  </si>
  <si>
    <t>MUKWANO INDUSTRY</t>
  </si>
  <si>
    <t>KOLOLO</t>
  </si>
  <si>
    <t xml:space="preserve">NDEEBA </t>
  </si>
  <si>
    <t>NANSANA</t>
  </si>
  <si>
    <t>PETROL STATION</t>
  </si>
  <si>
    <t xml:space="preserve">ENTEBBE </t>
  </si>
  <si>
    <t>MASAKA</t>
  </si>
  <si>
    <t>ZOO</t>
  </si>
  <si>
    <t>MBALALA</t>
  </si>
  <si>
    <t>NAKIWOGO</t>
  </si>
  <si>
    <t>SSESE</t>
  </si>
  <si>
    <t>ST.STEPHEN</t>
  </si>
  <si>
    <t>BAITA</t>
  </si>
  <si>
    <t>BUGONGA</t>
  </si>
  <si>
    <t>KAWUKU</t>
  </si>
  <si>
    <t>KINYARWANDA</t>
  </si>
  <si>
    <t>FREEDOMCITY</t>
  </si>
  <si>
    <t>MANALA</t>
  </si>
  <si>
    <t>TAXIPARK</t>
  </si>
  <si>
    <t>KISENYI</t>
  </si>
  <si>
    <t>FAITH MIRACLE CHURCH</t>
  </si>
  <si>
    <t>KIWATU</t>
  </si>
  <si>
    <t>KATABI</t>
  </si>
  <si>
    <t>KABOJJA</t>
  </si>
  <si>
    <t>BATABATA</t>
  </si>
  <si>
    <t>BAITA ABABIRI</t>
  </si>
  <si>
    <t>KIWAFFU</t>
  </si>
  <si>
    <t>GANDA CITY</t>
  </si>
  <si>
    <t>GARUGA</t>
  </si>
  <si>
    <t>SEGUUKU</t>
  </si>
  <si>
    <t>LUNGUJJA</t>
  </si>
  <si>
    <t>KISUBI</t>
  </si>
  <si>
    <t>TAXI PARK</t>
  </si>
  <si>
    <t>SHOPRITE</t>
  </si>
  <si>
    <t>ST. JUDE CHURCH</t>
  </si>
  <si>
    <t>CENTRAL PARK</t>
  </si>
  <si>
    <t>GAYAZA</t>
  </si>
  <si>
    <t>KASENYI</t>
  </si>
  <si>
    <t>KASANGATI</t>
  </si>
  <si>
    <t>JINJA BEACH</t>
  </si>
  <si>
    <t>GARENGE</t>
  </si>
  <si>
    <t>MPALA</t>
  </si>
  <si>
    <t>KITUBULU</t>
  </si>
  <si>
    <t>KITARA</t>
  </si>
  <si>
    <t>ENTEEBE</t>
  </si>
  <si>
    <t>GONGA</t>
  </si>
  <si>
    <t>15:000</t>
  </si>
  <si>
    <t>15:013</t>
  </si>
  <si>
    <t>CITY PARK</t>
  </si>
  <si>
    <t>BUJJUKO</t>
  </si>
  <si>
    <t>MPIGI</t>
  </si>
  <si>
    <t>GAABA</t>
  </si>
  <si>
    <t>FIRM FOUNDATION</t>
  </si>
  <si>
    <t>POLICE STATION</t>
  </si>
  <si>
    <t>Row Label</t>
  </si>
  <si>
    <t>Count of Gender</t>
  </si>
  <si>
    <t>Percentage</t>
  </si>
  <si>
    <t>Female</t>
  </si>
  <si>
    <t>Male</t>
  </si>
  <si>
    <t>Grand Total</t>
  </si>
  <si>
    <t>Modes</t>
  </si>
  <si>
    <t>Total</t>
  </si>
  <si>
    <t>Bicycle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</si>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</sst>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64" formatCode="_(* #,##0.00_);_(* \(#,##0.00\);_(* &quot;-&quot;??_);_(@_)"/>
    <numFmt numFmtId="165" formatCode="h:mm;@"/>
    <numFmt numFmtId="166" formatCode="0.0"/>
    <numFmt numFmtId="167" formatCode="_(* #,##0_);_(* \(#,##0\);_(* &quot;-&quot;??_);_(@_)"/>
    <numFmt numFmtId="168" formatCode="yyyy\-mm\-dd;@"/>
  </numFmts>
  <fonts count="12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u/>
      <sz val="11"/>
      <name val="Arial"/>
      <family val="2"/>
    </font>
    <font>
      <b/>
      <sz val="9"/>
      <name val="Arial"/>
      <family val="2"/>
    </font>
    <font>
      <sz val="10"/>
      <color rgb="FFFF0000"/>
      <name val="Arial"/>
      <family val="2"/>
    </font>
    <font>
      <sz val="10"/>
      <name val="Times New Roman"/>
      <family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164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0" fillId="0" borderId="0"/>
    <xf numFmtId="41" fontId="11" fillId="0" borderId="0" applyFont="0" applyFill="0" applyBorder="0" applyAlignment="0" applyProtection="0"/>
  </cellStyleXfs>
  <cellXfs count="96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1" xfId="0" applyBorder="1"/>
    <xf numFmtId="0" fontId="4" fillId="0" borderId="0" xfId="0" applyFont="1" applyBorder="1" applyAlignment="1">
      <alignment horizontal="left" vertical="center"/>
    </xf>
    <xf numFmtId="0" fontId="0" fillId="0" borderId="0" xfId="0" applyBorder="1"/>
    <xf numFmtId="1" fontId="5" fillId="0" borderId="2" xfId="0" applyNumberFormat="1" applyFont="1" applyBorder="1"/>
    <xf numFmtId="1" fontId="0" fillId="0" borderId="2" xfId="0" applyNumberFormat="1" applyBorder="1"/>
    <xf numFmtId="1" fontId="5" fillId="0" borderId="2" xfId="0" applyNumberFormat="1" applyFont="1" applyBorder="1" applyAlignment="1">
      <alignment horizontal="center"/>
    </xf>
    <xf numFmtId="0" fontId="0" fillId="0" borderId="2" xfId="0" applyBorder="1"/>
    <xf numFmtId="1" fontId="5" fillId="0" borderId="3" xfId="0" applyNumberFormat="1" applyFont="1" applyBorder="1"/>
    <xf numFmtId="1" fontId="0" fillId="0" borderId="3" xfId="0" applyNumberFormat="1" applyBorder="1"/>
    <xf numFmtId="1" fontId="5" fillId="0" borderId="3" xfId="0" applyNumberFormat="1" applyFont="1" applyBorder="1" applyAlignment="1">
      <alignment horizontal="center"/>
    </xf>
    <xf numFmtId="1" fontId="1" fillId="0" borderId="4" xfId="0" applyNumberFormat="1" applyFont="1" applyBorder="1" applyAlignment="1">
      <alignment vertical="center" wrapText="1"/>
    </xf>
    <xf numFmtId="0" fontId="5" fillId="0" borderId="0" xfId="0" applyFont="1"/>
    <xf numFmtId="14" fontId="4" fillId="0" borderId="1" xfId="0" applyNumberFormat="1" applyFont="1" applyBorder="1" applyAlignment="1">
      <alignment vertical="center"/>
    </xf>
    <xf numFmtId="1" fontId="9" fillId="0" borderId="2" xfId="0" applyNumberFormat="1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 wrapText="1"/>
    </xf>
    <xf numFmtId="1" fontId="1" fillId="0" borderId="8" xfId="0" applyNumberFormat="1" applyFont="1" applyBorder="1" applyAlignment="1">
      <alignment vertical="center" wrapText="1"/>
    </xf>
    <xf numFmtId="0" fontId="5" fillId="0" borderId="2" xfId="0" applyFont="1" applyBorder="1"/>
    <xf numFmtId="0" fontId="8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right" vertical="center"/>
    </xf>
    <xf numFmtId="0" fontId="5" fillId="0" borderId="0" xfId="0" applyFont="1" applyBorder="1"/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5" fillId="0" borderId="0" xfId="0" applyFont="1" applyAlignment="1"/>
    <xf numFmtId="0" fontId="5" fillId="0" borderId="2" xfId="0" applyFont="1" applyFill="1" applyBorder="1"/>
    <xf numFmtId="0" fontId="3" fillId="0" borderId="0" xfId="0" applyFont="1" applyAlignment="1">
      <alignment horizontal="center" vertical="center"/>
    </xf>
    <xf numFmtId="0" fontId="5" fillId="2" borderId="2" xfId="0" applyFont="1" applyFill="1" applyBorder="1"/>
    <xf numFmtId="165" fontId="5" fillId="0" borderId="2" xfId="0" applyNumberFormat="1" applyFont="1" applyFill="1" applyBorder="1" applyAlignment="1">
      <alignment horizontal="center"/>
    </xf>
    <xf numFmtId="1" fontId="5" fillId="0" borderId="2" xfId="0" applyNumberFormat="1" applyFont="1" applyFill="1" applyBorder="1" applyAlignment="1">
      <alignment horizontal="center" wrapText="1"/>
    </xf>
    <xf numFmtId="1" fontId="5" fillId="0" borderId="2" xfId="0" applyNumberFormat="1" applyFont="1" applyFill="1" applyBorder="1" applyAlignment="1">
      <alignment horizontal="center"/>
    </xf>
    <xf numFmtId="166" fontId="5" fillId="0" borderId="2" xfId="0" applyNumberFormat="1" applyFont="1" applyFill="1" applyBorder="1"/>
    <xf numFmtId="0" fontId="5" fillId="0" borderId="2" xfId="0" applyFont="1" applyFill="1" applyBorder="1" applyAlignment="1">
      <alignment horizontal="center"/>
    </xf>
    <xf numFmtId="167" fontId="5" fillId="0" borderId="2" xfId="1" applyNumberFormat="1" applyFont="1" applyFill="1" applyBorder="1"/>
    <xf numFmtId="0" fontId="0" fillId="0" borderId="0" xfId="0" applyAlignment="1">
      <alignment horizontal="center"/>
    </xf>
    <xf numFmtId="165" fontId="5" fillId="2" borderId="2" xfId="0" applyNumberFormat="1" applyFont="1" applyFill="1" applyBorder="1" applyAlignment="1">
      <alignment horizontal="left"/>
    </xf>
    <xf numFmtId="1" fontId="5" fillId="2" borderId="2" xfId="0" applyNumberFormat="1" applyFont="1" applyFill="1" applyBorder="1" applyAlignment="1">
      <alignment horizontal="left" wrapText="1"/>
    </xf>
    <xf numFmtId="1" fontId="5" fillId="0" borderId="2" xfId="0" applyNumberFormat="1" applyFont="1" applyFill="1" applyBorder="1" applyAlignment="1">
      <alignment horizontal="left"/>
    </xf>
    <xf numFmtId="1" fontId="5" fillId="2" borderId="2" xfId="0" applyNumberFormat="1" applyFont="1" applyFill="1" applyBorder="1" applyAlignment="1">
      <alignment horizontal="center"/>
    </xf>
    <xf numFmtId="0" fontId="1" fillId="0" borderId="0" xfId="0" applyFont="1" applyAlignment="1">
      <alignment horizontal="left"/>
    </xf>
    <xf numFmtId="41" fontId="5" fillId="0" borderId="2" xfId="4" applyFont="1" applyFill="1" applyBorder="1"/>
    <xf numFmtId="0" fontId="4" fillId="3" borderId="0" xfId="0" applyFont="1" applyFill="1" applyBorder="1" applyAlignment="1">
      <alignment horizontal="left" vertical="center"/>
    </xf>
    <xf numFmtId="1" fontId="1" fillId="0" borderId="2" xfId="0" applyNumberFormat="1" applyFont="1" applyBorder="1" applyAlignment="1">
      <alignment vertical="center" wrapText="1"/>
    </xf>
    <xf numFmtId="0" fontId="0" fillId="0" borderId="0" xfId="0" applyFill="1"/>
    <xf numFmtId="168" fontId="5" fillId="0" borderId="2" xfId="0" applyNumberFormat="1" applyFont="1" applyBorder="1"/>
    <xf numFmtId="9" fontId="0" fillId="0" borderId="0" xfId="0" applyNumberFormat="1"/>
    <xf numFmtId="0" fontId="3" fillId="0" borderId="2" xfId="0" applyFont="1" applyBorder="1"/>
    <xf numFmtId="0" fontId="3" fillId="0" borderId="2" xfId="0" applyFont="1" applyBorder="1" applyAlignment="1">
      <alignment horizontal="right"/>
    </xf>
    <xf numFmtId="0" fontId="1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9" fontId="0" fillId="0" borderId="2" xfId="2" applyFont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2" xfId="0" applyFont="1" applyBorder="1"/>
    <xf numFmtId="9" fontId="0" fillId="0" borderId="2" xfId="2" applyFont="1" applyFill="1" applyBorder="1"/>
    <xf numFmtId="0" fontId="2" fillId="0" borderId="0" xfId="0" applyFont="1" applyAlignment="1">
      <alignment horizontal="center" vertical="center"/>
    </xf>
    <xf numFmtId="1" fontId="1" fillId="0" borderId="11" xfId="0" applyNumberFormat="1" applyFont="1" applyBorder="1" applyAlignment="1">
      <alignment horizontal="center" vertical="center" wrapText="1"/>
    </xf>
    <xf numFmtId="1" fontId="1" fillId="0" borderId="3" xfId="0" applyNumberFormat="1" applyFont="1" applyBorder="1" applyAlignment="1">
      <alignment horizontal="center" vertical="center" wrapText="1"/>
    </xf>
    <xf numFmtId="1" fontId="1" fillId="0" borderId="9" xfId="0" applyNumberFormat="1" applyFont="1" applyBorder="1" applyAlignment="1">
      <alignment horizontal="center" vertical="center" wrapText="1"/>
    </xf>
    <xf numFmtId="1" fontId="1" fillId="0" borderId="8" xfId="0" applyNumberFormat="1" applyFont="1" applyBorder="1" applyAlignment="1">
      <alignment horizontal="center" vertical="center" wrapText="1"/>
    </xf>
    <xf numFmtId="1" fontId="1" fillId="0" borderId="10" xfId="0" applyNumberFormat="1" applyFont="1" applyBorder="1" applyAlignment="1">
      <alignment horizontal="center" vertical="center" wrapText="1"/>
    </xf>
    <xf numFmtId="1" fontId="1" fillId="0" borderId="0" xfId="0" applyNumberFormat="1" applyFont="1" applyBorder="1" applyAlignment="1">
      <alignment horizontal="center" vertical="center" wrapText="1"/>
    </xf>
    <xf numFmtId="0" fontId="8" fillId="3" borderId="21" xfId="0" applyFont="1" applyFill="1" applyBorder="1" applyAlignment="1">
      <alignment horizontal="left" vertical="center"/>
    </xf>
    <xf numFmtId="0" fontId="8" fillId="3" borderId="22" xfId="0" applyFont="1" applyFill="1" applyBorder="1" applyAlignment="1">
      <alignment horizontal="left" vertical="center"/>
    </xf>
    <xf numFmtId="0" fontId="8" fillId="3" borderId="23" xfId="0" applyFont="1" applyFill="1" applyBorder="1" applyAlignment="1">
      <alignment horizontal="left" vertical="center"/>
    </xf>
    <xf numFmtId="1" fontId="1" fillId="0" borderId="19" xfId="0" applyNumberFormat="1" applyFont="1" applyBorder="1" applyAlignment="1">
      <alignment horizontal="center" vertical="center" wrapText="1"/>
    </xf>
    <xf numFmtId="1" fontId="1" fillId="0" borderId="20" xfId="0" applyNumberFormat="1" applyFont="1" applyBorder="1" applyAlignment="1">
      <alignment horizontal="center" vertical="center" wrapText="1"/>
    </xf>
    <xf numFmtId="1" fontId="1" fillId="0" borderId="18" xfId="0" applyNumberFormat="1" applyFont="1" applyBorder="1" applyAlignment="1">
      <alignment horizontal="center" vertical="center" wrapText="1"/>
    </xf>
    <xf numFmtId="1" fontId="1" fillId="0" borderId="7" xfId="0" applyNumberFormat="1" applyFont="1" applyBorder="1" applyAlignment="1">
      <alignment horizontal="center" vertical="center" wrapText="1"/>
    </xf>
    <xf numFmtId="1" fontId="1" fillId="0" borderId="2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wrapText="1"/>
    </xf>
    <xf numFmtId="1" fontId="1" fillId="0" borderId="12" xfId="0" applyNumberFormat="1" applyFont="1" applyBorder="1" applyAlignment="1">
      <alignment horizontal="center" vertical="center" wrapText="1"/>
    </xf>
    <xf numFmtId="1" fontId="1" fillId="0" borderId="13" xfId="0" applyNumberFormat="1" applyFont="1" applyBorder="1" applyAlignment="1">
      <alignment horizontal="center" vertical="center" wrapText="1"/>
    </xf>
    <xf numFmtId="1" fontId="1" fillId="0" borderId="24" xfId="0" applyNumberFormat="1" applyFont="1" applyBorder="1" applyAlignment="1">
      <alignment horizontal="center" vertical="center" wrapText="1"/>
    </xf>
    <xf numFmtId="1" fontId="1" fillId="0" borderId="25" xfId="0" applyNumberFormat="1" applyFont="1" applyBorder="1" applyAlignment="1">
      <alignment horizontal="center" vertical="center" wrapText="1"/>
    </xf>
    <xf numFmtId="0" fontId="4" fillId="3" borderId="21" xfId="0" applyFont="1" applyFill="1" applyBorder="1" applyAlignment="1">
      <alignment horizontal="left" vertical="center"/>
    </xf>
    <xf numFmtId="0" fontId="4" fillId="3" borderId="23" xfId="0" applyFont="1" applyFill="1" applyBorder="1" applyAlignment="1">
      <alignment horizontal="left" vertical="center"/>
    </xf>
    <xf numFmtId="0" fontId="5" fillId="3" borderId="21" xfId="0" applyFont="1" applyFill="1" applyBorder="1" applyAlignment="1">
      <alignment horizontal="left"/>
    </xf>
    <xf numFmtId="0" fontId="5" fillId="3" borderId="22" xfId="0" applyFont="1" applyFill="1" applyBorder="1" applyAlignment="1">
      <alignment horizontal="left"/>
    </xf>
    <xf numFmtId="0" fontId="5" fillId="3" borderId="23" xfId="0" applyFont="1" applyFill="1" applyBorder="1" applyAlignment="1">
      <alignment horizontal="left"/>
    </xf>
    <xf numFmtId="1" fontId="1" fillId="0" borderId="14" xfId="0" applyNumberFormat="1" applyFont="1" applyBorder="1" applyAlignment="1">
      <alignment horizontal="center" vertical="center" wrapText="1"/>
    </xf>
    <xf numFmtId="1" fontId="1" fillId="0" borderId="15" xfId="0" applyNumberFormat="1" applyFont="1" applyBorder="1" applyAlignment="1">
      <alignment horizontal="center" vertical="center" wrapText="1"/>
    </xf>
    <xf numFmtId="1" fontId="1" fillId="0" borderId="16" xfId="0" applyNumberFormat="1" applyFont="1" applyBorder="1" applyAlignment="1">
      <alignment horizontal="center" vertical="center" wrapText="1"/>
    </xf>
    <xf numFmtId="1" fontId="1" fillId="0" borderId="6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" fontId="1" fillId="0" borderId="17" xfId="0" applyNumberFormat="1" applyFont="1" applyBorder="1" applyAlignment="1">
      <alignment horizontal="center" vertical="center" wrapText="1"/>
    </xf>
    <xf numFmtId="1" fontId="1" fillId="0" borderId="4" xfId="0" applyNumberFormat="1" applyFont="1" applyBorder="1" applyAlignment="1">
      <alignment horizontal="center" vertical="center" wrapText="1"/>
    </xf>
    <xf numFmtId="1" fontId="1" fillId="0" borderId="5" xfId="0" applyNumberFormat="1" applyFont="1" applyBorder="1" applyAlignment="1">
      <alignment horizontal="center" vertical="center" wrapText="1"/>
    </xf>
  </cellXfs>
  <cellStyles count="5">
    <cellStyle name="Comma" xfId="1" builtinId="3"/>
    <cellStyle name="Comma [0]" xfId="4" builtinId="6"/>
    <cellStyle name="Normal" xfId="0" builtinId="0"/>
    <cellStyle name="Normal 2" xfId="3" xr:uid="{00000000-0005-0000-0000-000003000000}"/>
    <cellStyle name="Percent 2" xfId="2" xr:uid="{00000000-0005-0000-0000-000004000000}"/>
  </cellStyles>
  <dxfs count="0"/>
  <tableStyles count="0" defaultTableStyle="TableStyleMedium9" defaultPivotStyle="PivotStyleLight16"/>
  <colors>
    <mruColors>
      <color rgb="FFFFFF99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282"/>
  <sheetViews>
    <sheetView tabSelected="1" topLeftCell="A259" zoomScale="75" zoomScaleNormal="75" zoomScaleSheetLayoutView="80" workbookViewId="0">
      <selection activeCell="N285" sqref="N285"/>
    </sheetView>
  </sheetViews>
  <sheetFormatPr defaultRowHeight="12.75" x14ac:dyDescent="0.2"/>
  <cols>
    <col min="1" max="1" width="2.7109375" customWidth="1"/>
    <col min="2" max="2" width="12.140625" customWidth="1"/>
    <col min="3" max="3" width="7.28515625" customWidth="1"/>
    <col min="4" max="4" width="11.5703125" customWidth="1"/>
    <col min="5" max="6" width="10.28515625" customWidth="1"/>
    <col min="7" max="7" width="13.140625" customWidth="1"/>
    <col min="8" max="8" width="9.7109375" customWidth="1"/>
    <col min="9" max="9" width="14.28515625" bestFit="1" customWidth="1"/>
    <col min="10" max="10" width="16" bestFit="1" customWidth="1"/>
    <col min="11" max="11" width="14" bestFit="1" customWidth="1"/>
    <col min="12" max="12" width="14.5703125" bestFit="1" customWidth="1"/>
    <col min="13" max="13" width="15.28515625" customWidth="1"/>
    <col min="14" max="14" width="12.85546875" customWidth="1"/>
    <col min="15" max="15" width="9.42578125" customWidth="1"/>
    <col min="16" max="16" width="8.42578125" style="42" customWidth="1"/>
    <col min="17" max="17" width="11.85546875" customWidth="1"/>
    <col min="18" max="18" width="15.7109375" customWidth="1"/>
    <col min="19" max="19" width="12.28515625" customWidth="1"/>
    <col min="20" max="20" width="12.140625" customWidth="1"/>
    <col min="21" max="21" width="9.28515625" customWidth="1"/>
    <col min="22" max="22" width="12.7109375" customWidth="1"/>
    <col min="23" max="23" width="15.7109375" customWidth="1"/>
    <col min="24" max="24" width="11.5703125" style="51" customWidth="1"/>
    <col min="25" max="25" width="9.28515625" customWidth="1"/>
    <col min="26" max="26" width="9.42578125" customWidth="1"/>
    <col min="27" max="27" width="9.28515625" customWidth="1"/>
    <col min="28" max="28" width="12.85546875" customWidth="1"/>
    <col min="29" max="29" width="9.42578125" customWidth="1"/>
    <col min="30" max="30" width="17.42578125" customWidth="1"/>
    <col min="31" max="31" width="11.140625" customWidth="1"/>
    <col min="32" max="32" width="11" customWidth="1"/>
    <col min="33" max="34" width="10.7109375" customWidth="1"/>
    <col min="35" max="35" width="12.28515625" customWidth="1"/>
    <col min="36" max="36" width="10.5703125" customWidth="1"/>
    <col min="37" max="37" width="10.7109375" customWidth="1"/>
    <col min="38" max="38" width="8.42578125" customWidth="1"/>
    <col min="39" max="39" width="8" customWidth="1"/>
  </cols>
  <sheetData>
    <row r="1" spans="1:46" s="1" customFormat="1" ht="15.75" x14ac:dyDescent="0.2">
      <c r="C1" s="63" t="s">
        <v>95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"/>
      <c r="AO1" s="6"/>
      <c r="AP1" s="6"/>
      <c r="AQ1" s="6"/>
      <c r="AR1" s="6"/>
      <c r="AS1" s="6"/>
      <c r="AT1" s="6"/>
    </row>
    <row r="2" spans="1:46" ht="15.75" x14ac:dyDescent="0.2">
      <c r="C2" s="63" t="s">
        <v>104</v>
      </c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7"/>
      <c r="AO2" s="7"/>
      <c r="AP2" s="7"/>
      <c r="AQ2" s="7"/>
      <c r="AR2" s="7"/>
      <c r="AS2" s="7"/>
      <c r="AT2" s="7"/>
    </row>
    <row r="3" spans="1:46" ht="15" x14ac:dyDescent="0.2">
      <c r="C3" s="2"/>
      <c r="D3" s="2"/>
      <c r="E3" s="34"/>
      <c r="F3" s="34"/>
      <c r="G3" s="34"/>
      <c r="H3" s="2"/>
      <c r="I3" s="34"/>
      <c r="J3" s="2"/>
      <c r="K3" s="34"/>
      <c r="L3" s="34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34"/>
      <c r="Y3" s="2"/>
      <c r="Z3" s="2"/>
      <c r="AA3" s="2"/>
      <c r="AB3" s="34"/>
      <c r="AC3" s="34"/>
      <c r="AD3" s="34"/>
      <c r="AE3" s="2"/>
      <c r="AF3" s="2"/>
      <c r="AG3" s="2"/>
      <c r="AH3" s="34"/>
      <c r="AI3" s="34"/>
      <c r="AJ3" s="2"/>
      <c r="AK3" s="2"/>
      <c r="AL3" s="2"/>
      <c r="AM3" s="2"/>
    </row>
    <row r="4" spans="1:46" ht="15" customHeight="1" x14ac:dyDescent="0.2">
      <c r="C4" s="34"/>
      <c r="D4" s="1" t="s">
        <v>102</v>
      </c>
      <c r="E4" s="70" t="s">
        <v>161</v>
      </c>
      <c r="F4" s="71"/>
      <c r="G4" s="72"/>
      <c r="I4" s="47" t="s">
        <v>3</v>
      </c>
      <c r="J4" s="85" t="s">
        <v>162</v>
      </c>
      <c r="K4" s="86"/>
      <c r="L4" s="87"/>
      <c r="N4" s="1" t="s">
        <v>37</v>
      </c>
      <c r="O4" s="85" t="s">
        <v>159</v>
      </c>
      <c r="P4" s="87"/>
      <c r="R4" s="26" t="s">
        <v>6</v>
      </c>
      <c r="S4" s="83" t="s">
        <v>160</v>
      </c>
      <c r="T4" s="84"/>
      <c r="W4" s="27" t="s">
        <v>7</v>
      </c>
      <c r="X4" s="83" t="s">
        <v>103</v>
      </c>
      <c r="Y4" s="84"/>
      <c r="AH4" s="49"/>
      <c r="AI4" s="49"/>
      <c r="AP4" s="10"/>
      <c r="AQ4" s="5"/>
    </row>
    <row r="5" spans="1:46" ht="15" customHeight="1" thickBot="1" x14ac:dyDescent="0.25">
      <c r="C5" s="2"/>
      <c r="D5" s="2"/>
      <c r="E5" s="34"/>
      <c r="F5" s="34"/>
      <c r="G5" s="34"/>
      <c r="H5" s="2"/>
      <c r="I5" s="34"/>
      <c r="J5" s="22"/>
      <c r="K5" s="22"/>
      <c r="L5" s="22"/>
      <c r="M5" s="2"/>
      <c r="N5" s="2"/>
      <c r="P5" s="2"/>
      <c r="Q5" s="2"/>
      <c r="R5" s="5"/>
      <c r="S5" s="2"/>
      <c r="T5" s="2"/>
      <c r="U5" s="2"/>
      <c r="V5" s="2"/>
      <c r="W5" s="2"/>
      <c r="X5" s="34"/>
      <c r="Y5" s="2"/>
      <c r="Z5" s="2"/>
      <c r="AA5" s="2"/>
      <c r="AB5" s="34"/>
      <c r="AC5" s="34"/>
      <c r="AD5" s="34"/>
      <c r="AE5" s="2"/>
      <c r="AF5" s="2"/>
      <c r="AG5" s="2"/>
      <c r="AH5" s="34"/>
      <c r="AI5" s="34"/>
      <c r="AJ5" s="2"/>
      <c r="AK5" s="2"/>
      <c r="AL5" s="2"/>
      <c r="AM5" s="2"/>
    </row>
    <row r="6" spans="1:46" ht="30.75" customHeight="1" x14ac:dyDescent="0.2">
      <c r="B6" s="79" t="s">
        <v>101</v>
      </c>
      <c r="C6" s="81" t="s">
        <v>158</v>
      </c>
      <c r="D6" s="64" t="s">
        <v>34</v>
      </c>
      <c r="E6" s="66" t="s">
        <v>157</v>
      </c>
      <c r="F6" s="66" t="s">
        <v>106</v>
      </c>
      <c r="G6" s="66" t="s">
        <v>107</v>
      </c>
      <c r="H6" s="66" t="s">
        <v>9</v>
      </c>
      <c r="I6" s="66" t="s">
        <v>114</v>
      </c>
      <c r="J6" s="64" t="s">
        <v>116</v>
      </c>
      <c r="K6" s="64" t="s">
        <v>118</v>
      </c>
      <c r="L6" s="64" t="s">
        <v>119</v>
      </c>
      <c r="M6" s="73" t="s">
        <v>12</v>
      </c>
      <c r="N6" s="74"/>
      <c r="O6" s="75"/>
      <c r="P6" s="64" t="s">
        <v>15</v>
      </c>
      <c r="Q6" s="64" t="s">
        <v>96</v>
      </c>
      <c r="R6" s="73" t="s">
        <v>17</v>
      </c>
      <c r="S6" s="74"/>
      <c r="T6" s="75"/>
      <c r="U6" s="64" t="s">
        <v>18</v>
      </c>
      <c r="V6" s="64" t="s">
        <v>97</v>
      </c>
      <c r="W6" s="64" t="s">
        <v>98</v>
      </c>
      <c r="X6" s="64" t="s">
        <v>126</v>
      </c>
      <c r="Y6" s="64" t="s">
        <v>127</v>
      </c>
      <c r="Z6" s="64" t="s">
        <v>128</v>
      </c>
      <c r="AA6" s="64" t="s">
        <v>129</v>
      </c>
      <c r="AB6" s="64" t="s">
        <v>130</v>
      </c>
      <c r="AC6" s="64" t="s">
        <v>142</v>
      </c>
      <c r="AD6" s="64" t="s">
        <v>143</v>
      </c>
      <c r="AE6" s="77" t="s">
        <v>150</v>
      </c>
      <c r="AF6" s="77"/>
      <c r="AG6" s="77"/>
      <c r="AH6" s="77"/>
      <c r="AI6" s="77"/>
      <c r="AJ6" s="64" t="s">
        <v>156</v>
      </c>
      <c r="AK6" s="64" t="s">
        <v>99</v>
      </c>
      <c r="AL6" s="66" t="s">
        <v>20</v>
      </c>
      <c r="AM6" s="68" t="s">
        <v>21</v>
      </c>
      <c r="AO6" s="19"/>
    </row>
    <row r="7" spans="1:46" ht="38.25" customHeight="1" x14ac:dyDescent="0.2">
      <c r="B7" s="80"/>
      <c r="C7" s="82"/>
      <c r="D7" s="65"/>
      <c r="E7" s="67"/>
      <c r="F7" s="67"/>
      <c r="G7" s="67"/>
      <c r="H7" s="67"/>
      <c r="I7" s="67"/>
      <c r="J7" s="76"/>
      <c r="K7" s="76"/>
      <c r="L7" s="76"/>
      <c r="M7" s="23" t="s">
        <v>38</v>
      </c>
      <c r="N7" s="23" t="s">
        <v>35</v>
      </c>
      <c r="O7" s="24" t="s">
        <v>36</v>
      </c>
      <c r="P7" s="65"/>
      <c r="Q7" s="65"/>
      <c r="R7" s="23" t="s">
        <v>38</v>
      </c>
      <c r="S7" s="23" t="s">
        <v>35</v>
      </c>
      <c r="T7" s="23" t="s">
        <v>36</v>
      </c>
      <c r="U7" s="65"/>
      <c r="V7" s="65"/>
      <c r="W7" s="65"/>
      <c r="X7" s="65"/>
      <c r="Y7" s="65"/>
      <c r="Z7" s="65"/>
      <c r="AA7" s="65"/>
      <c r="AB7" s="65"/>
      <c r="AC7" s="65"/>
      <c r="AD7" s="65"/>
      <c r="AE7" s="50" t="s">
        <v>151</v>
      </c>
      <c r="AF7" s="50" t="s">
        <v>152</v>
      </c>
      <c r="AG7" s="50" t="s">
        <v>153</v>
      </c>
      <c r="AH7" s="50" t="s">
        <v>154</v>
      </c>
      <c r="AI7" s="50" t="s">
        <v>155</v>
      </c>
      <c r="AJ7" s="65"/>
      <c r="AK7" s="65"/>
      <c r="AL7" s="67"/>
      <c r="AM7" s="69"/>
    </row>
    <row r="8" spans="1:46" s="19" customFormat="1" x14ac:dyDescent="0.2">
      <c r="A8"/>
      <c r="B8" s="52">
        <v>43765</v>
      </c>
      <c r="C8" s="36">
        <v>0.6430555555555556</v>
      </c>
      <c r="D8" s="36"/>
      <c r="E8" s="36" t="s">
        <v>105</v>
      </c>
      <c r="F8" s="38">
        <v>2</v>
      </c>
      <c r="G8" s="43" t="str">
        <f>VLOOKUP(F8,Key!$A$17:$B$21,2,FALSE)</f>
        <v>Road Vehicle</v>
      </c>
      <c r="H8" s="37">
        <v>1</v>
      </c>
      <c r="I8" s="44" t="str">
        <f>VLOOKUP(H8,Key!$A$2:$B$13,2,FALSE)</f>
        <v>Car</v>
      </c>
      <c r="J8" s="38" t="s">
        <v>168</v>
      </c>
      <c r="K8" s="38">
        <v>1</v>
      </c>
      <c r="L8" s="46" t="str">
        <f>VLOOKUP(K8,Key!$A$24:$B$29,2,FALSE)</f>
        <v>20-29</v>
      </c>
      <c r="M8" s="38" t="s">
        <v>169</v>
      </c>
      <c r="N8" s="33" t="s">
        <v>165</v>
      </c>
      <c r="O8" s="38" t="s">
        <v>166</v>
      </c>
      <c r="P8" s="40">
        <v>2</v>
      </c>
      <c r="Q8" s="35" t="str">
        <f>VLOOKUP(P8,Key!$E$2:$F$9,2,FALSE)</f>
        <v>Work</v>
      </c>
      <c r="R8" s="38" t="s">
        <v>175</v>
      </c>
      <c r="S8" s="33" t="s">
        <v>165</v>
      </c>
      <c r="T8" s="38" t="s">
        <v>166</v>
      </c>
      <c r="U8" s="33">
        <v>1</v>
      </c>
      <c r="V8" s="35" t="str">
        <f>VLOOKUP(U8,Key!$E$2:$F$9,2,FALSE)</f>
        <v>Home</v>
      </c>
      <c r="W8" s="35" t="str">
        <f t="shared" ref="W8:W71" si="0">Q8&amp;"-"&amp;V8</f>
        <v>Work-Home</v>
      </c>
      <c r="X8" s="33">
        <v>10000</v>
      </c>
      <c r="Y8" s="39">
        <v>31</v>
      </c>
      <c r="Z8" s="39">
        <v>0.5</v>
      </c>
      <c r="AA8" s="33">
        <v>4</v>
      </c>
      <c r="AB8" s="35" t="str">
        <f>VLOOKUP(AA8,Key!$C$20:$D$29,2,FALSE)</f>
        <v>Office Worker</v>
      </c>
      <c r="AC8" s="33">
        <v>2</v>
      </c>
      <c r="AD8" s="35" t="str">
        <f>VLOOKUP(AC8,Key!$E$20:$F$24,2,FALSE)</f>
        <v>300,000-500,000</v>
      </c>
      <c r="AE8" s="33">
        <v>1</v>
      </c>
      <c r="AF8" s="39">
        <v>1</v>
      </c>
      <c r="AG8" s="39">
        <v>1</v>
      </c>
      <c r="AH8" s="39">
        <v>1</v>
      </c>
      <c r="AI8" s="39">
        <v>1</v>
      </c>
      <c r="AJ8" s="40" t="s">
        <v>100</v>
      </c>
      <c r="AK8" s="41">
        <v>3000</v>
      </c>
      <c r="AL8" s="25"/>
      <c r="AM8" s="25"/>
      <c r="AN8"/>
      <c r="AO8"/>
      <c r="AP8"/>
      <c r="AQ8"/>
      <c r="AR8"/>
      <c r="AS8"/>
      <c r="AT8"/>
    </row>
    <row r="9" spans="1:46" x14ac:dyDescent="0.2">
      <c r="B9" s="52">
        <v>43765</v>
      </c>
      <c r="C9" s="36">
        <v>0.58333333333333337</v>
      </c>
      <c r="D9" s="36"/>
      <c r="E9" s="36" t="s">
        <v>105</v>
      </c>
      <c r="F9" s="38">
        <v>2</v>
      </c>
      <c r="G9" s="43" t="str">
        <f>VLOOKUP(F9,Key!$A$17:$B$21,2,FALSE)</f>
        <v>Road Vehicle</v>
      </c>
      <c r="H9" s="37">
        <v>1</v>
      </c>
      <c r="I9" s="44" t="str">
        <f>VLOOKUP(H9,Key!$A$2:$B$13,2,FALSE)</f>
        <v>Car</v>
      </c>
      <c r="J9" s="38" t="s">
        <v>168</v>
      </c>
      <c r="K9" s="38">
        <v>1</v>
      </c>
      <c r="L9" s="46" t="str">
        <f>VLOOKUP(K9,Key!$A$24:$B$29,2,FALSE)</f>
        <v>20-29</v>
      </c>
      <c r="M9" s="38" t="s">
        <v>217</v>
      </c>
      <c r="N9" s="33" t="s">
        <v>171</v>
      </c>
      <c r="O9" s="38" t="s">
        <v>166</v>
      </c>
      <c r="P9" s="40">
        <v>2</v>
      </c>
      <c r="Q9" s="35" t="str">
        <f>VLOOKUP(P9,Key!$E$2:$F$9,2,FALSE)</f>
        <v>Work</v>
      </c>
      <c r="R9" s="38" t="s">
        <v>164</v>
      </c>
      <c r="S9" s="33" t="s">
        <v>165</v>
      </c>
      <c r="T9" s="38" t="s">
        <v>166</v>
      </c>
      <c r="U9" s="33">
        <v>2</v>
      </c>
      <c r="V9" s="35" t="str">
        <f>VLOOKUP(U9,Key!$E$2:$F$9,2,FALSE)</f>
        <v>Work</v>
      </c>
      <c r="W9" s="35" t="str">
        <f t="shared" si="0"/>
        <v>Work-Work</v>
      </c>
      <c r="X9" s="33">
        <v>25000</v>
      </c>
      <c r="Y9" s="39">
        <v>38</v>
      </c>
      <c r="Z9" s="39">
        <v>2</v>
      </c>
      <c r="AA9" s="33">
        <v>6</v>
      </c>
      <c r="AB9" s="35" t="str">
        <f>VLOOKUP(AA9,Key!$C$20:$D$29,2,FALSE)</f>
        <v>Businessman</v>
      </c>
      <c r="AC9" s="33">
        <v>2</v>
      </c>
      <c r="AD9" s="35" t="str">
        <f>VLOOKUP(AC9,Key!$E$20:$F$24,2,FALSE)</f>
        <v>300,000-500,000</v>
      </c>
      <c r="AE9" s="33">
        <v>1</v>
      </c>
      <c r="AF9" s="39">
        <v>1</v>
      </c>
      <c r="AG9" s="39">
        <v>1</v>
      </c>
      <c r="AH9" s="39">
        <v>2</v>
      </c>
      <c r="AI9" s="39">
        <v>1</v>
      </c>
      <c r="AJ9" s="40" t="s">
        <v>100</v>
      </c>
      <c r="AK9" s="41">
        <v>5000</v>
      </c>
      <c r="AL9" s="25"/>
      <c r="AM9" s="25"/>
    </row>
    <row r="10" spans="1:46" x14ac:dyDescent="0.2">
      <c r="B10" s="52">
        <v>43765</v>
      </c>
      <c r="C10" s="36">
        <v>0.55833333333333335</v>
      </c>
      <c r="D10" s="36"/>
      <c r="E10" s="36" t="s">
        <v>105</v>
      </c>
      <c r="F10" s="38">
        <v>2</v>
      </c>
      <c r="G10" s="43" t="str">
        <f>VLOOKUP(F10,Key!$A$17:$B$21,2,FALSE)</f>
        <v>Road Vehicle</v>
      </c>
      <c r="H10" s="37">
        <v>1</v>
      </c>
      <c r="I10" s="44" t="str">
        <f>VLOOKUP(H10,Key!$A$2:$B$13,2,FALSE)</f>
        <v>Car</v>
      </c>
      <c r="J10" s="38" t="s">
        <v>168</v>
      </c>
      <c r="K10" s="38">
        <v>1</v>
      </c>
      <c r="L10" s="46" t="str">
        <f>VLOOKUP(K10,Key!$A$24:$B$29,2,FALSE)</f>
        <v>20-29</v>
      </c>
      <c r="M10" s="38" t="s">
        <v>186</v>
      </c>
      <c r="N10" s="33" t="s">
        <v>171</v>
      </c>
      <c r="O10" s="38" t="s">
        <v>166</v>
      </c>
      <c r="P10" s="40">
        <v>1</v>
      </c>
      <c r="Q10" s="35" t="str">
        <f>VLOOKUP(P10,Key!$E$2:$F$9,2,FALSE)</f>
        <v>Home</v>
      </c>
      <c r="R10" s="38" t="s">
        <v>216</v>
      </c>
      <c r="S10" s="33" t="s">
        <v>165</v>
      </c>
      <c r="T10" s="38" t="s">
        <v>166</v>
      </c>
      <c r="U10" s="33">
        <v>6</v>
      </c>
      <c r="V10" s="35" t="str">
        <f>VLOOKUP(U10,Key!$E$2:$F$9,2,FALSE)</f>
        <v>Leisure/Social</v>
      </c>
      <c r="W10" s="35" t="str">
        <f t="shared" si="0"/>
        <v>Home-Leisure/Social</v>
      </c>
      <c r="X10" s="33">
        <v>40000</v>
      </c>
      <c r="Y10" s="39">
        <v>38</v>
      </c>
      <c r="Z10" s="39">
        <v>2</v>
      </c>
      <c r="AA10" s="33">
        <v>4</v>
      </c>
      <c r="AB10" s="35" t="str">
        <f>VLOOKUP(AA10,Key!$C$20:$D$29,2,FALSE)</f>
        <v>Office Worker</v>
      </c>
      <c r="AC10" s="33">
        <v>3</v>
      </c>
      <c r="AD10" s="35" t="str">
        <f>VLOOKUP(AC10,Key!$E$20:$F$24,2,FALSE)</f>
        <v>500,000-750,000</v>
      </c>
      <c r="AE10" s="33">
        <v>5</v>
      </c>
      <c r="AF10" s="39">
        <v>1</v>
      </c>
      <c r="AG10" s="39">
        <v>1</v>
      </c>
      <c r="AH10" s="39">
        <v>5</v>
      </c>
      <c r="AI10" s="39">
        <v>1</v>
      </c>
      <c r="AJ10" s="40" t="s">
        <v>100</v>
      </c>
      <c r="AK10" s="41">
        <v>2000</v>
      </c>
      <c r="AL10" s="25"/>
      <c r="AM10" s="25"/>
    </row>
    <row r="11" spans="1:46" x14ac:dyDescent="0.2">
      <c r="B11" s="52">
        <v>43765</v>
      </c>
      <c r="C11" s="36">
        <v>0.5229166666666667</v>
      </c>
      <c r="D11" s="36"/>
      <c r="E11" s="36" t="s">
        <v>105</v>
      </c>
      <c r="F11" s="38">
        <v>2</v>
      </c>
      <c r="G11" s="43" t="str">
        <f>VLOOKUP(F11,Key!$A$17:$B$21,2,FALSE)</f>
        <v>Road Vehicle</v>
      </c>
      <c r="H11" s="37">
        <v>1</v>
      </c>
      <c r="I11" s="44" t="str">
        <f>VLOOKUP(H11,Key!$A$2:$B$13,2,FALSE)</f>
        <v>Car</v>
      </c>
      <c r="J11" s="38" t="s">
        <v>168</v>
      </c>
      <c r="K11" s="38">
        <v>1</v>
      </c>
      <c r="L11" s="46" t="str">
        <f>VLOOKUP(K11,Key!$A$24:$B$29,2,FALSE)</f>
        <v>20-29</v>
      </c>
      <c r="M11" s="38" t="s">
        <v>200</v>
      </c>
      <c r="N11" s="33" t="s">
        <v>171</v>
      </c>
      <c r="O11" s="38" t="s">
        <v>166</v>
      </c>
      <c r="P11" s="40">
        <v>1</v>
      </c>
      <c r="Q11" s="35" t="str">
        <f>VLOOKUP(P11,Key!$E$2:$F$9,2,FALSE)</f>
        <v>Home</v>
      </c>
      <c r="R11" s="38" t="s">
        <v>164</v>
      </c>
      <c r="S11" s="33" t="s">
        <v>165</v>
      </c>
      <c r="T11" s="38" t="s">
        <v>166</v>
      </c>
      <c r="U11" s="33">
        <v>1</v>
      </c>
      <c r="V11" s="35" t="str">
        <f>VLOOKUP(U11,Key!$E$2:$F$9,2,FALSE)</f>
        <v>Home</v>
      </c>
      <c r="W11" s="35" t="str">
        <f t="shared" si="0"/>
        <v>Home-Home</v>
      </c>
      <c r="X11" s="33">
        <v>33000</v>
      </c>
      <c r="Y11" s="39">
        <v>37</v>
      </c>
      <c r="Z11" s="39">
        <v>1</v>
      </c>
      <c r="AA11" s="33">
        <v>6</v>
      </c>
      <c r="AB11" s="35" t="str">
        <f>VLOOKUP(AA11,Key!$C$20:$D$29,2,FALSE)</f>
        <v>Businessman</v>
      </c>
      <c r="AC11" s="33">
        <v>4</v>
      </c>
      <c r="AD11" s="35" t="str">
        <f>VLOOKUP(AC11,Key!$E$20:$F$24,2,FALSE)</f>
        <v>750,000-1,000,000</v>
      </c>
      <c r="AE11" s="33">
        <v>1</v>
      </c>
      <c r="AF11" s="39">
        <v>4</v>
      </c>
      <c r="AG11" s="39">
        <v>1</v>
      </c>
      <c r="AH11" s="39">
        <v>1</v>
      </c>
      <c r="AI11" s="39">
        <v>1</v>
      </c>
      <c r="AJ11" s="40" t="s">
        <v>100</v>
      </c>
      <c r="AK11" s="41"/>
      <c r="AL11" s="25"/>
      <c r="AM11" s="25"/>
    </row>
    <row r="12" spans="1:46" x14ac:dyDescent="0.2">
      <c r="B12" s="52">
        <v>43765</v>
      </c>
      <c r="C12" s="36">
        <v>0.53125</v>
      </c>
      <c r="D12" s="36"/>
      <c r="E12" s="36" t="s">
        <v>105</v>
      </c>
      <c r="F12" s="38">
        <v>2</v>
      </c>
      <c r="G12" s="43" t="str">
        <f>VLOOKUP(F12,Key!$A$17:$B$21,2,FALSE)</f>
        <v>Road Vehicle</v>
      </c>
      <c r="H12" s="37">
        <v>1</v>
      </c>
      <c r="I12" s="44" t="str">
        <f>VLOOKUP(H12,Key!$A$2:$B$13,2,FALSE)</f>
        <v>Car</v>
      </c>
      <c r="J12" s="38" t="s">
        <v>168</v>
      </c>
      <c r="K12" s="38">
        <v>1</v>
      </c>
      <c r="L12" s="46" t="str">
        <f>VLOOKUP(K12,Key!$A$24:$B$29,2,FALSE)</f>
        <v>20-29</v>
      </c>
      <c r="M12" s="38" t="s">
        <v>221</v>
      </c>
      <c r="N12" s="33" t="s">
        <v>171</v>
      </c>
      <c r="O12" s="38" t="s">
        <v>166</v>
      </c>
      <c r="P12" s="40">
        <v>7</v>
      </c>
      <c r="Q12" s="35" t="str">
        <f>VLOOKUP(P12,Key!$E$2:$F$9,2,FALSE)</f>
        <v>Hospital</v>
      </c>
      <c r="R12" s="38" t="s">
        <v>222</v>
      </c>
      <c r="S12" s="33" t="s">
        <v>165</v>
      </c>
      <c r="T12" s="38" t="s">
        <v>166</v>
      </c>
      <c r="U12" s="33">
        <v>7</v>
      </c>
      <c r="V12" s="35" t="str">
        <f>VLOOKUP(U12,Key!$E$2:$F$9,2,FALSE)</f>
        <v>Hospital</v>
      </c>
      <c r="W12" s="35" t="str">
        <f t="shared" si="0"/>
        <v>Hospital-Hospital</v>
      </c>
      <c r="X12" s="33">
        <v>100000</v>
      </c>
      <c r="Y12" s="39">
        <v>38</v>
      </c>
      <c r="Z12" s="39">
        <v>2.5</v>
      </c>
      <c r="AA12" s="33">
        <v>5</v>
      </c>
      <c r="AB12" s="35" t="str">
        <f>VLOOKUP(AA12,Key!$C$20:$D$29,2,FALSE)</f>
        <v>Professional</v>
      </c>
      <c r="AC12" s="33">
        <v>3</v>
      </c>
      <c r="AD12" s="35" t="str">
        <f>VLOOKUP(AC12,Key!$E$20:$F$24,2,FALSE)</f>
        <v>500,000-750,000</v>
      </c>
      <c r="AE12" s="33">
        <v>1</v>
      </c>
      <c r="AF12" s="39">
        <v>4</v>
      </c>
      <c r="AG12" s="39">
        <v>1</v>
      </c>
      <c r="AH12" s="39">
        <v>1</v>
      </c>
      <c r="AI12" s="39">
        <v>1</v>
      </c>
      <c r="AJ12" s="40" t="s">
        <v>100</v>
      </c>
      <c r="AK12" s="41">
        <v>4000</v>
      </c>
      <c r="AL12" s="25"/>
      <c r="AM12" s="25"/>
    </row>
    <row r="13" spans="1:46" x14ac:dyDescent="0.2">
      <c r="B13" s="52">
        <v>43765</v>
      </c>
      <c r="C13" s="36">
        <v>0.49861111111111112</v>
      </c>
      <c r="D13" s="36"/>
      <c r="E13" s="36" t="s">
        <v>105</v>
      </c>
      <c r="F13" s="38">
        <v>2</v>
      </c>
      <c r="G13" s="43" t="str">
        <f>VLOOKUP(F13,Key!$A$17:$B$21,2,FALSE)</f>
        <v>Road Vehicle</v>
      </c>
      <c r="H13" s="37">
        <v>1</v>
      </c>
      <c r="I13" s="44" t="str">
        <f>VLOOKUP(H13,Key!$A$2:$B$13,2,FALSE)</f>
        <v>Car</v>
      </c>
      <c r="J13" s="38" t="s">
        <v>168</v>
      </c>
      <c r="K13" s="38">
        <v>1</v>
      </c>
      <c r="L13" s="46" t="str">
        <f>VLOOKUP(K13,Key!$A$24:$B$29,2,FALSE)</f>
        <v>20-29</v>
      </c>
      <c r="M13" s="38" t="s">
        <v>224</v>
      </c>
      <c r="N13" s="33" t="s">
        <v>171</v>
      </c>
      <c r="O13" s="38" t="s">
        <v>166</v>
      </c>
      <c r="P13" s="40">
        <v>1</v>
      </c>
      <c r="Q13" s="35" t="str">
        <f>VLOOKUP(P13,Key!$E$2:$F$9,2,FALSE)</f>
        <v>Home</v>
      </c>
      <c r="R13" s="38" t="s">
        <v>225</v>
      </c>
      <c r="S13" s="33" t="s">
        <v>165</v>
      </c>
      <c r="T13" s="38" t="s">
        <v>166</v>
      </c>
      <c r="U13" s="33">
        <v>6</v>
      </c>
      <c r="V13" s="35" t="str">
        <f>VLOOKUP(U13,Key!$E$2:$F$9,2,FALSE)</f>
        <v>Leisure/Social</v>
      </c>
      <c r="W13" s="35" t="str">
        <f t="shared" si="0"/>
        <v>Home-Leisure/Social</v>
      </c>
      <c r="X13" s="33">
        <v>60000</v>
      </c>
      <c r="Y13" s="39">
        <v>80</v>
      </c>
      <c r="Z13" s="39">
        <v>2</v>
      </c>
      <c r="AA13" s="33">
        <v>5</v>
      </c>
      <c r="AB13" s="35" t="str">
        <f>VLOOKUP(AA13,Key!$C$20:$D$29,2,FALSE)</f>
        <v>Professional</v>
      </c>
      <c r="AC13" s="33">
        <v>2</v>
      </c>
      <c r="AD13" s="35" t="str">
        <f>VLOOKUP(AC13,Key!$E$20:$F$24,2,FALSE)</f>
        <v>300,000-500,000</v>
      </c>
      <c r="AE13" s="33">
        <v>1</v>
      </c>
      <c r="AF13" s="39">
        <v>1</v>
      </c>
      <c r="AG13" s="39">
        <v>5</v>
      </c>
      <c r="AH13" s="39">
        <v>1</v>
      </c>
      <c r="AI13" s="39">
        <v>2</v>
      </c>
      <c r="AJ13" s="40" t="s">
        <v>100</v>
      </c>
      <c r="AK13" s="41">
        <v>2000</v>
      </c>
      <c r="AL13" s="25"/>
      <c r="AM13" s="25"/>
    </row>
    <row r="14" spans="1:46" x14ac:dyDescent="0.2">
      <c r="B14" s="52">
        <v>43765</v>
      </c>
      <c r="C14" s="36">
        <v>0.4861111111111111</v>
      </c>
      <c r="D14" s="36"/>
      <c r="E14" s="36" t="s">
        <v>105</v>
      </c>
      <c r="F14" s="38">
        <v>2</v>
      </c>
      <c r="G14" s="43" t="str">
        <f>VLOOKUP(F14,Key!$A$17:$B$21,2,FALSE)</f>
        <v>Road Vehicle</v>
      </c>
      <c r="H14" s="37">
        <v>1</v>
      </c>
      <c r="I14" s="44" t="str">
        <f>VLOOKUP(H14,Key!$A$2:$B$13,2,FALSE)</f>
        <v>Car</v>
      </c>
      <c r="J14" s="38" t="s">
        <v>168</v>
      </c>
      <c r="K14" s="38">
        <v>1</v>
      </c>
      <c r="L14" s="46" t="str">
        <f>VLOOKUP(K14,Key!$A$24:$B$29,2,FALSE)</f>
        <v>20-29</v>
      </c>
      <c r="M14" s="38" t="s">
        <v>170</v>
      </c>
      <c r="N14" s="33" t="s">
        <v>171</v>
      </c>
      <c r="O14" s="38" t="s">
        <v>166</v>
      </c>
      <c r="P14" s="40">
        <v>1</v>
      </c>
      <c r="Q14" s="35" t="str">
        <f>VLOOKUP(P14,Key!$E$2:$F$9,2,FALSE)</f>
        <v>Home</v>
      </c>
      <c r="R14" s="38" t="s">
        <v>191</v>
      </c>
      <c r="S14" s="33" t="s">
        <v>165</v>
      </c>
      <c r="T14" s="38" t="s">
        <v>166</v>
      </c>
      <c r="U14" s="33">
        <v>1</v>
      </c>
      <c r="V14" s="35" t="str">
        <f>VLOOKUP(U14,Key!$E$2:$F$9,2,FALSE)</f>
        <v>Home</v>
      </c>
      <c r="W14" s="35" t="str">
        <f t="shared" si="0"/>
        <v>Home-Home</v>
      </c>
      <c r="X14" s="33">
        <v>30000</v>
      </c>
      <c r="Y14" s="39">
        <v>36</v>
      </c>
      <c r="Z14" s="39">
        <v>1</v>
      </c>
      <c r="AA14" s="33">
        <v>6</v>
      </c>
      <c r="AB14" s="35" t="str">
        <f>VLOOKUP(AA14,Key!$C$20:$D$29,2,FALSE)</f>
        <v>Businessman</v>
      </c>
      <c r="AC14" s="33">
        <v>3</v>
      </c>
      <c r="AD14" s="35" t="str">
        <f>VLOOKUP(AC14,Key!$E$20:$F$24,2,FALSE)</f>
        <v>500,000-750,000</v>
      </c>
      <c r="AE14" s="33">
        <v>1</v>
      </c>
      <c r="AF14" s="39">
        <v>1</v>
      </c>
      <c r="AG14" s="39">
        <v>1</v>
      </c>
      <c r="AH14" s="39">
        <v>1</v>
      </c>
      <c r="AI14" s="39">
        <v>1</v>
      </c>
      <c r="AJ14" s="40" t="s">
        <v>100</v>
      </c>
      <c r="AK14" s="41">
        <v>1000</v>
      </c>
      <c r="AL14" s="25"/>
      <c r="AM14" s="25"/>
    </row>
    <row r="15" spans="1:46" x14ac:dyDescent="0.2">
      <c r="B15" s="52">
        <v>43765</v>
      </c>
      <c r="C15" s="36">
        <v>0.48541666666666666</v>
      </c>
      <c r="D15" s="36"/>
      <c r="E15" s="36" t="s">
        <v>105</v>
      </c>
      <c r="F15" s="38">
        <v>2</v>
      </c>
      <c r="G15" s="43" t="str">
        <f>VLOOKUP(F15,Key!$A$17:$B$21,2,FALSE)</f>
        <v>Road Vehicle</v>
      </c>
      <c r="H15" s="37">
        <v>1</v>
      </c>
      <c r="I15" s="44" t="str">
        <f>VLOOKUP(H15,Key!$A$2:$B$13,2,FALSE)</f>
        <v>Car</v>
      </c>
      <c r="J15" s="38" t="s">
        <v>168</v>
      </c>
      <c r="K15" s="38">
        <v>1</v>
      </c>
      <c r="L15" s="46" t="str">
        <f>VLOOKUP(K15,Key!$A$24:$B$29,2,FALSE)</f>
        <v>20-29</v>
      </c>
      <c r="M15" s="38" t="s">
        <v>226</v>
      </c>
      <c r="N15" s="33" t="s">
        <v>226</v>
      </c>
      <c r="O15" s="38" t="s">
        <v>166</v>
      </c>
      <c r="P15" s="40">
        <v>1</v>
      </c>
      <c r="Q15" s="35" t="str">
        <f>VLOOKUP(P15,Key!$E$2:$F$9,2,FALSE)</f>
        <v>Home</v>
      </c>
      <c r="R15" s="38" t="s">
        <v>191</v>
      </c>
      <c r="S15" s="33" t="s">
        <v>165</v>
      </c>
      <c r="T15" s="38" t="s">
        <v>166</v>
      </c>
      <c r="U15" s="33">
        <v>1</v>
      </c>
      <c r="V15" s="35" t="str">
        <f>VLOOKUP(U15,Key!$E$2:$F$9,2,FALSE)</f>
        <v>Home</v>
      </c>
      <c r="W15" s="35" t="str">
        <f t="shared" si="0"/>
        <v>Home-Home</v>
      </c>
      <c r="X15" s="33">
        <v>100000</v>
      </c>
      <c r="Y15" s="39">
        <v>180</v>
      </c>
      <c r="Z15" s="39">
        <v>2</v>
      </c>
      <c r="AA15" s="33">
        <v>5</v>
      </c>
      <c r="AB15" s="35" t="str">
        <f>VLOOKUP(AA15,Key!$C$20:$D$29,2,FALSE)</f>
        <v>Professional</v>
      </c>
      <c r="AC15" s="33">
        <v>3</v>
      </c>
      <c r="AD15" s="35" t="str">
        <f>VLOOKUP(AC15,Key!$E$20:$F$24,2,FALSE)</f>
        <v>500,000-750,000</v>
      </c>
      <c r="AE15" s="33">
        <v>1</v>
      </c>
      <c r="AF15" s="39">
        <v>1</v>
      </c>
      <c r="AG15" s="39">
        <v>5</v>
      </c>
      <c r="AH15" s="39">
        <v>1</v>
      </c>
      <c r="AI15" s="39">
        <v>2</v>
      </c>
      <c r="AJ15" s="40" t="s">
        <v>100</v>
      </c>
      <c r="AK15" s="41">
        <v>5000</v>
      </c>
      <c r="AL15" s="25"/>
      <c r="AM15" s="25"/>
    </row>
    <row r="16" spans="1:46" x14ac:dyDescent="0.2">
      <c r="B16" s="52">
        <v>43765</v>
      </c>
      <c r="C16" s="36">
        <v>0.45694444444444443</v>
      </c>
      <c r="D16" s="36"/>
      <c r="E16" s="36" t="s">
        <v>105</v>
      </c>
      <c r="F16" s="38">
        <v>2</v>
      </c>
      <c r="G16" s="43" t="str">
        <f>VLOOKUP(F16,Key!$A$17:$B$21,2,FALSE)</f>
        <v>Road Vehicle</v>
      </c>
      <c r="H16" s="37">
        <v>1</v>
      </c>
      <c r="I16" s="44" t="str">
        <f>VLOOKUP(H16,Key!$A$2:$B$13,2,FALSE)</f>
        <v>Car</v>
      </c>
      <c r="J16" s="38" t="s">
        <v>168</v>
      </c>
      <c r="K16" s="38">
        <v>1</v>
      </c>
      <c r="L16" s="46" t="str">
        <f>VLOOKUP(K16,Key!$A$24:$B$29,2,FALSE)</f>
        <v>20-29</v>
      </c>
      <c r="M16" s="38" t="s">
        <v>230</v>
      </c>
      <c r="N16" s="33" t="s">
        <v>231</v>
      </c>
      <c r="O16" s="38" t="s">
        <v>166</v>
      </c>
      <c r="P16" s="40">
        <v>1</v>
      </c>
      <c r="Q16" s="35" t="str">
        <f>VLOOKUP(P16,Key!$E$2:$F$9,2,FALSE)</f>
        <v>Home</v>
      </c>
      <c r="R16" s="38" t="s">
        <v>191</v>
      </c>
      <c r="S16" s="33" t="s">
        <v>165</v>
      </c>
      <c r="T16" s="38" t="s">
        <v>166</v>
      </c>
      <c r="U16" s="33">
        <v>1</v>
      </c>
      <c r="V16" s="35" t="str">
        <f>VLOOKUP(U16,Key!$E$2:$F$9,2,FALSE)</f>
        <v>Home</v>
      </c>
      <c r="W16" s="35" t="str">
        <f t="shared" si="0"/>
        <v>Home-Home</v>
      </c>
      <c r="X16" s="33">
        <v>100000</v>
      </c>
      <c r="Y16" s="39">
        <v>50</v>
      </c>
      <c r="Z16" s="39">
        <v>2</v>
      </c>
      <c r="AA16" s="33">
        <v>5</v>
      </c>
      <c r="AB16" s="35" t="str">
        <f>VLOOKUP(AA16,Key!$C$20:$D$29,2,FALSE)</f>
        <v>Professional</v>
      </c>
      <c r="AC16" s="33">
        <v>1</v>
      </c>
      <c r="AD16" s="35" t="str">
        <f>VLOOKUP(AC16,Key!$E$20:$F$24,2,FALSE)</f>
        <v>&lt;300,000</v>
      </c>
      <c r="AE16" s="33">
        <v>1</v>
      </c>
      <c r="AF16" s="39">
        <v>2</v>
      </c>
      <c r="AG16" s="39">
        <v>1</v>
      </c>
      <c r="AH16" s="39">
        <v>1</v>
      </c>
      <c r="AI16" s="39">
        <v>1</v>
      </c>
      <c r="AJ16" s="40" t="s">
        <v>100</v>
      </c>
      <c r="AK16" s="41"/>
      <c r="AL16" s="25"/>
      <c r="AM16" s="25"/>
    </row>
    <row r="17" spans="2:39" x14ac:dyDescent="0.2">
      <c r="B17" s="52">
        <v>43765</v>
      </c>
      <c r="C17" s="36">
        <v>0.65347222222222223</v>
      </c>
      <c r="D17" s="36"/>
      <c r="E17" s="36" t="s">
        <v>163</v>
      </c>
      <c r="F17" s="38">
        <v>2</v>
      </c>
      <c r="G17" s="43" t="str">
        <f>VLOOKUP(F17,Key!$A$17:$B$21,2,FALSE)</f>
        <v>Road Vehicle</v>
      </c>
      <c r="H17" s="37">
        <v>1</v>
      </c>
      <c r="I17" s="44" t="str">
        <f>VLOOKUP(H17,Key!$A$2:$B$13,2,FALSE)</f>
        <v>Car</v>
      </c>
      <c r="J17" s="38" t="s">
        <v>168</v>
      </c>
      <c r="K17" s="38">
        <v>1</v>
      </c>
      <c r="L17" s="46" t="str">
        <f>VLOOKUP(K17,Key!$A$24:$B$29,2,FALSE)</f>
        <v>20-29</v>
      </c>
      <c r="M17" s="38" t="s">
        <v>241</v>
      </c>
      <c r="N17" s="33" t="s">
        <v>165</v>
      </c>
      <c r="O17" s="38" t="s">
        <v>166</v>
      </c>
      <c r="P17" s="40">
        <v>1</v>
      </c>
      <c r="Q17" s="35" t="str">
        <f>VLOOKUP(P17,Key!$E$2:$F$9,2,FALSE)</f>
        <v>Home</v>
      </c>
      <c r="R17" s="38" t="s">
        <v>215</v>
      </c>
      <c r="S17" s="33" t="s">
        <v>165</v>
      </c>
      <c r="T17" s="38" t="s">
        <v>166</v>
      </c>
      <c r="U17" s="33">
        <v>6</v>
      </c>
      <c r="V17" s="35" t="str">
        <f>VLOOKUP(U17,Key!$E$2:$F$9,2,FALSE)</f>
        <v>Leisure/Social</v>
      </c>
      <c r="W17" s="35" t="str">
        <f t="shared" si="0"/>
        <v>Home-Leisure/Social</v>
      </c>
      <c r="X17" s="33">
        <v>2000</v>
      </c>
      <c r="Y17" s="39"/>
      <c r="Z17" s="39">
        <v>0.1</v>
      </c>
      <c r="AA17" s="33">
        <v>6</v>
      </c>
      <c r="AB17" s="35" t="str">
        <f>VLOOKUP(AA17,Key!$C$20:$D$29,2,FALSE)</f>
        <v>Businessman</v>
      </c>
      <c r="AC17" s="33">
        <v>2</v>
      </c>
      <c r="AD17" s="35" t="str">
        <f>VLOOKUP(AC17,Key!$E$20:$F$24,2,FALSE)</f>
        <v>300,000-500,000</v>
      </c>
      <c r="AE17" s="33">
        <v>3</v>
      </c>
      <c r="AF17" s="39">
        <v>2</v>
      </c>
      <c r="AG17" s="39">
        <v>1</v>
      </c>
      <c r="AH17" s="39">
        <v>1</v>
      </c>
      <c r="AI17" s="39">
        <v>5</v>
      </c>
      <c r="AJ17" s="40" t="s">
        <v>100</v>
      </c>
      <c r="AK17" s="41">
        <v>1000</v>
      </c>
      <c r="AL17" s="25"/>
      <c r="AM17" s="25"/>
    </row>
    <row r="18" spans="2:39" x14ac:dyDescent="0.2">
      <c r="B18" s="52">
        <v>43765</v>
      </c>
      <c r="C18" s="36">
        <v>0.60555555555555551</v>
      </c>
      <c r="D18" s="36"/>
      <c r="E18" s="36" t="s">
        <v>105</v>
      </c>
      <c r="F18" s="38">
        <v>2</v>
      </c>
      <c r="G18" s="43" t="str">
        <f>VLOOKUP(F18,Key!$A$17:$B$21,2,FALSE)</f>
        <v>Road Vehicle</v>
      </c>
      <c r="H18" s="37">
        <v>1</v>
      </c>
      <c r="I18" s="44" t="str">
        <f>VLOOKUP(H18,Key!$A$2:$B$13,2,FALSE)</f>
        <v>Car</v>
      </c>
      <c r="J18" s="38" t="s">
        <v>168</v>
      </c>
      <c r="K18" s="38">
        <v>1</v>
      </c>
      <c r="L18" s="46" t="str">
        <f>VLOOKUP(K18,Key!$A$24:$B$29,2,FALSE)</f>
        <v>20-29</v>
      </c>
      <c r="M18" s="38" t="s">
        <v>272</v>
      </c>
      <c r="N18" s="33" t="s">
        <v>165</v>
      </c>
      <c r="O18" s="38" t="s">
        <v>166</v>
      </c>
      <c r="P18" s="40">
        <v>1</v>
      </c>
      <c r="Q18" s="35" t="str">
        <f>VLOOKUP(P18,Key!$E$2:$F$9,2,FALSE)</f>
        <v>Home</v>
      </c>
      <c r="R18" s="38" t="s">
        <v>161</v>
      </c>
      <c r="S18" s="33" t="s">
        <v>165</v>
      </c>
      <c r="T18" s="38" t="s">
        <v>166</v>
      </c>
      <c r="U18" s="33">
        <v>6</v>
      </c>
      <c r="V18" s="35" t="str">
        <f>VLOOKUP(U18,Key!$E$2:$F$9,2,FALSE)</f>
        <v>Leisure/Social</v>
      </c>
      <c r="W18" s="35" t="str">
        <f t="shared" si="0"/>
        <v>Home-Leisure/Social</v>
      </c>
      <c r="X18" s="33"/>
      <c r="Y18" s="39"/>
      <c r="Z18" s="39"/>
      <c r="AA18" s="33">
        <v>8</v>
      </c>
      <c r="AB18" s="35" t="str">
        <f>VLOOKUP(AA18,Key!$C$20:$D$29,2,FALSE)</f>
        <v>Student</v>
      </c>
      <c r="AC18" s="33">
        <v>1</v>
      </c>
      <c r="AD18" s="35" t="str">
        <f>VLOOKUP(AC18,Key!$E$20:$F$24,2,FALSE)</f>
        <v>&lt;300,000</v>
      </c>
      <c r="AE18" s="33">
        <v>2</v>
      </c>
      <c r="AF18" s="39">
        <v>3</v>
      </c>
      <c r="AG18" s="39">
        <v>4</v>
      </c>
      <c r="AH18" s="39">
        <v>1</v>
      </c>
      <c r="AI18" s="39">
        <v>5</v>
      </c>
      <c r="AJ18" s="40" t="s">
        <v>100</v>
      </c>
      <c r="AK18" s="41">
        <v>2000</v>
      </c>
      <c r="AL18" s="25"/>
      <c r="AM18" s="25"/>
    </row>
    <row r="19" spans="2:39" x14ac:dyDescent="0.2">
      <c r="B19" s="52">
        <v>43765</v>
      </c>
      <c r="C19" s="36">
        <v>0.39444444444444443</v>
      </c>
      <c r="D19" s="36"/>
      <c r="E19" s="36" t="s">
        <v>105</v>
      </c>
      <c r="F19" s="38">
        <v>2</v>
      </c>
      <c r="G19" s="43" t="str">
        <f>VLOOKUP(F19,Key!$A$17:$B$21,2,FALSE)</f>
        <v>Road Vehicle</v>
      </c>
      <c r="H19" s="37">
        <v>1</v>
      </c>
      <c r="I19" s="44" t="str">
        <f>VLOOKUP(H19,Key!$A$2:$B$13,2,FALSE)</f>
        <v>Car</v>
      </c>
      <c r="J19" s="38" t="s">
        <v>117</v>
      </c>
      <c r="K19" s="38">
        <v>1</v>
      </c>
      <c r="L19" s="46" t="str">
        <f>VLOOKUP(K19,Key!$A$24:$B$29,2,FALSE)</f>
        <v>20-29</v>
      </c>
      <c r="M19" s="45" t="s">
        <v>167</v>
      </c>
      <c r="N19" s="33" t="s">
        <v>165</v>
      </c>
      <c r="O19" s="38" t="s">
        <v>166</v>
      </c>
      <c r="P19" s="40">
        <v>2</v>
      </c>
      <c r="Q19" s="35" t="str">
        <f>VLOOKUP(P19,Key!$E$2:$F$9,2,FALSE)</f>
        <v>Work</v>
      </c>
      <c r="R19" s="38" t="s">
        <v>169</v>
      </c>
      <c r="S19" s="33" t="s">
        <v>165</v>
      </c>
      <c r="T19" s="38" t="s">
        <v>166</v>
      </c>
      <c r="U19" s="33">
        <v>2</v>
      </c>
      <c r="V19" s="35" t="str">
        <f>VLOOKUP(U19,Key!$E$2:$F$9,2,FALSE)</f>
        <v>Work</v>
      </c>
      <c r="W19" s="35" t="str">
        <f t="shared" si="0"/>
        <v>Work-Work</v>
      </c>
      <c r="X19" s="48">
        <v>25000</v>
      </c>
      <c r="Y19" s="39">
        <v>33</v>
      </c>
      <c r="Z19" s="39">
        <v>0.5</v>
      </c>
      <c r="AA19" s="33">
        <v>4</v>
      </c>
      <c r="AB19" s="35" t="str">
        <f>VLOOKUP(AA19,Key!$C$20:$D$29,2,FALSE)</f>
        <v>Office Worker</v>
      </c>
      <c r="AC19" s="33">
        <v>4</v>
      </c>
      <c r="AD19" s="35" t="str">
        <f>VLOOKUP(AC19,Key!$E$20:$F$24,2,FALSE)</f>
        <v>750,000-1,000,000</v>
      </c>
      <c r="AE19" s="33">
        <v>1</v>
      </c>
      <c r="AF19" s="39">
        <v>1</v>
      </c>
      <c r="AG19" s="39">
        <v>1</v>
      </c>
      <c r="AH19" s="39">
        <v>1</v>
      </c>
      <c r="AI19" s="39">
        <v>1</v>
      </c>
      <c r="AJ19" s="40" t="s">
        <v>100</v>
      </c>
      <c r="AK19" s="41">
        <v>1000</v>
      </c>
      <c r="AL19" s="25"/>
      <c r="AM19" s="25"/>
    </row>
    <row r="20" spans="2:39" x14ac:dyDescent="0.2">
      <c r="B20" s="52">
        <v>43765</v>
      </c>
      <c r="C20" s="36">
        <v>0.36527777777777781</v>
      </c>
      <c r="D20" s="36"/>
      <c r="E20" s="36" t="s">
        <v>105</v>
      </c>
      <c r="F20" s="38">
        <v>2</v>
      </c>
      <c r="G20" s="43" t="str">
        <f>VLOOKUP(F20,Key!$A$17:$B$21,2,FALSE)</f>
        <v>Road Vehicle</v>
      </c>
      <c r="H20" s="37">
        <v>1</v>
      </c>
      <c r="I20" s="44" t="str">
        <f>VLOOKUP(H20,Key!$A$2:$B$13,2,FALSE)</f>
        <v>Car</v>
      </c>
      <c r="J20" s="38" t="s">
        <v>117</v>
      </c>
      <c r="K20" s="38">
        <v>1</v>
      </c>
      <c r="L20" s="46" t="str">
        <f>VLOOKUP(K20,Key!$A$24:$B$29,2,FALSE)</f>
        <v>20-29</v>
      </c>
      <c r="M20" s="38" t="s">
        <v>192</v>
      </c>
      <c r="N20" s="33" t="s">
        <v>165</v>
      </c>
      <c r="O20" s="38" t="s">
        <v>166</v>
      </c>
      <c r="P20" s="40">
        <v>1</v>
      </c>
      <c r="Q20" s="35" t="str">
        <f>VLOOKUP(P20,Key!$E$2:$F$9,2,FALSE)</f>
        <v>Home</v>
      </c>
      <c r="R20" s="38" t="s">
        <v>191</v>
      </c>
      <c r="S20" s="33" t="s">
        <v>165</v>
      </c>
      <c r="T20" s="38" t="s">
        <v>166</v>
      </c>
      <c r="U20" s="33">
        <v>1</v>
      </c>
      <c r="V20" s="35" t="str">
        <f>VLOOKUP(U20,Key!$E$2:$F$9,2,FALSE)</f>
        <v>Home</v>
      </c>
      <c r="W20" s="35" t="str">
        <f t="shared" si="0"/>
        <v>Home-Home</v>
      </c>
      <c r="X20" s="33">
        <v>10000</v>
      </c>
      <c r="Y20" s="39">
        <v>20</v>
      </c>
      <c r="Z20" s="39">
        <v>0.9</v>
      </c>
      <c r="AA20" s="33">
        <v>5</v>
      </c>
      <c r="AB20" s="35" t="str">
        <f>VLOOKUP(AA20,Key!$C$20:$D$29,2,FALSE)</f>
        <v>Professional</v>
      </c>
      <c r="AC20" s="33">
        <v>2</v>
      </c>
      <c r="AD20" s="35" t="str">
        <f>VLOOKUP(AC20,Key!$E$20:$F$24,2,FALSE)</f>
        <v>300,000-500,000</v>
      </c>
      <c r="AE20" s="33">
        <v>1</v>
      </c>
      <c r="AF20" s="39">
        <v>1</v>
      </c>
      <c r="AG20" s="39">
        <v>1</v>
      </c>
      <c r="AH20" s="39">
        <v>1</v>
      </c>
      <c r="AI20" s="39">
        <v>1</v>
      </c>
      <c r="AJ20" s="40" t="s">
        <v>100</v>
      </c>
      <c r="AK20" s="41">
        <v>2000</v>
      </c>
      <c r="AL20" s="25"/>
      <c r="AM20" s="25"/>
    </row>
    <row r="21" spans="2:39" x14ac:dyDescent="0.2">
      <c r="B21" s="52">
        <v>43765</v>
      </c>
      <c r="C21" s="36">
        <v>0.34027777777777773</v>
      </c>
      <c r="D21" s="36"/>
      <c r="E21" s="36" t="s">
        <v>105</v>
      </c>
      <c r="F21" s="38">
        <v>2</v>
      </c>
      <c r="G21" s="43" t="str">
        <f>VLOOKUP(F21,Key!$A$17:$B$21,2,FALSE)</f>
        <v>Road Vehicle</v>
      </c>
      <c r="H21" s="37">
        <v>1</v>
      </c>
      <c r="I21" s="44" t="str">
        <f>VLOOKUP(H21,Key!$A$2:$B$13,2,FALSE)</f>
        <v>Car</v>
      </c>
      <c r="J21" s="38" t="s">
        <v>117</v>
      </c>
      <c r="K21" s="38">
        <v>1</v>
      </c>
      <c r="L21" s="46" t="str">
        <f>VLOOKUP(K21,Key!$A$24:$B$29,2,FALSE)</f>
        <v>20-29</v>
      </c>
      <c r="M21" s="38" t="s">
        <v>200</v>
      </c>
      <c r="N21" s="33" t="s">
        <v>171</v>
      </c>
      <c r="O21" s="38" t="s">
        <v>166</v>
      </c>
      <c r="P21" s="40">
        <v>1</v>
      </c>
      <c r="Q21" s="35" t="str">
        <f>VLOOKUP(P21,Key!$E$2:$F$9,2,FALSE)</f>
        <v>Home</v>
      </c>
      <c r="R21" s="38" t="s">
        <v>208</v>
      </c>
      <c r="S21" s="33" t="s">
        <v>165</v>
      </c>
      <c r="T21" s="38" t="s">
        <v>166</v>
      </c>
      <c r="U21" s="33">
        <v>1</v>
      </c>
      <c r="V21" s="35" t="str">
        <f>VLOOKUP(U21,Key!$E$2:$F$9,2,FALSE)</f>
        <v>Home</v>
      </c>
      <c r="W21" s="35" t="str">
        <f t="shared" si="0"/>
        <v>Home-Home</v>
      </c>
      <c r="X21" s="33">
        <v>20000</v>
      </c>
      <c r="Y21" s="39">
        <v>35</v>
      </c>
      <c r="Z21" s="39">
        <v>1</v>
      </c>
      <c r="AA21" s="33">
        <v>5</v>
      </c>
      <c r="AB21" s="35" t="str">
        <f>VLOOKUP(AA21,Key!$C$20:$D$29,2,FALSE)</f>
        <v>Professional</v>
      </c>
      <c r="AC21" s="33">
        <v>2</v>
      </c>
      <c r="AD21" s="35" t="str">
        <f>VLOOKUP(AC21,Key!$E$20:$F$24,2,FALSE)</f>
        <v>300,000-500,000</v>
      </c>
      <c r="AE21" s="33">
        <v>1</v>
      </c>
      <c r="AF21" s="39">
        <v>1</v>
      </c>
      <c r="AG21" s="39">
        <v>1</v>
      </c>
      <c r="AH21" s="39">
        <v>1</v>
      </c>
      <c r="AI21" s="39">
        <v>1</v>
      </c>
      <c r="AJ21" s="40" t="s">
        <v>100</v>
      </c>
      <c r="AK21" s="41">
        <v>2000</v>
      </c>
      <c r="AL21" s="25"/>
      <c r="AM21" s="25"/>
    </row>
    <row r="22" spans="2:39" x14ac:dyDescent="0.2">
      <c r="B22" s="52">
        <v>43765</v>
      </c>
      <c r="C22" s="36">
        <v>0.65208333333333335</v>
      </c>
      <c r="D22" s="36"/>
      <c r="E22" s="36" t="s">
        <v>105</v>
      </c>
      <c r="F22" s="38">
        <v>2</v>
      </c>
      <c r="G22" s="43" t="str">
        <f>VLOOKUP(F22,Key!$A$17:$B$21,2,FALSE)</f>
        <v>Road Vehicle</v>
      </c>
      <c r="H22" s="37">
        <v>1</v>
      </c>
      <c r="I22" s="44" t="str">
        <f>VLOOKUP(H22,Key!$A$2:$B$13,2,FALSE)</f>
        <v>Car</v>
      </c>
      <c r="J22" s="38" t="s">
        <v>117</v>
      </c>
      <c r="K22" s="38">
        <v>1</v>
      </c>
      <c r="L22" s="46" t="str">
        <f>VLOOKUP(K22,Key!$A$24:$B$29,2,FALSE)</f>
        <v>20-29</v>
      </c>
      <c r="M22" s="38" t="s">
        <v>209</v>
      </c>
      <c r="N22" s="33" t="s">
        <v>165</v>
      </c>
      <c r="O22" s="38" t="s">
        <v>166</v>
      </c>
      <c r="P22" s="40">
        <v>1</v>
      </c>
      <c r="Q22" s="35" t="str">
        <f>VLOOKUP(P22,Key!$E$2:$F$9,2,FALSE)</f>
        <v>Home</v>
      </c>
      <c r="R22" s="38" t="s">
        <v>191</v>
      </c>
      <c r="S22" s="33" t="s">
        <v>165</v>
      </c>
      <c r="T22" s="38" t="s">
        <v>166</v>
      </c>
      <c r="U22" s="33">
        <v>1</v>
      </c>
      <c r="V22" s="35" t="str">
        <f>VLOOKUP(U22,Key!$E$2:$F$9,2,FALSE)</f>
        <v>Home</v>
      </c>
      <c r="W22" s="35" t="str">
        <f t="shared" si="0"/>
        <v>Home-Home</v>
      </c>
      <c r="X22" s="33">
        <v>130000</v>
      </c>
      <c r="Y22" s="39">
        <v>48</v>
      </c>
      <c r="Z22" s="39">
        <v>2</v>
      </c>
      <c r="AA22" s="33">
        <v>4</v>
      </c>
      <c r="AB22" s="35" t="str">
        <f>VLOOKUP(AA22,Key!$C$20:$D$29,2,FALSE)</f>
        <v>Office Worker</v>
      </c>
      <c r="AC22" s="33">
        <v>2</v>
      </c>
      <c r="AD22" s="35" t="str">
        <f>VLOOKUP(AC22,Key!$E$20:$F$24,2,FALSE)</f>
        <v>300,000-500,000</v>
      </c>
      <c r="AE22" s="33">
        <v>4</v>
      </c>
      <c r="AF22" s="39">
        <v>1</v>
      </c>
      <c r="AG22" s="39">
        <v>5</v>
      </c>
      <c r="AH22" s="39">
        <v>1</v>
      </c>
      <c r="AI22" s="39">
        <v>1</v>
      </c>
      <c r="AJ22" s="40" t="s">
        <v>100</v>
      </c>
      <c r="AK22" s="41">
        <v>3000</v>
      </c>
      <c r="AL22" s="25"/>
      <c r="AM22" s="25"/>
    </row>
    <row r="23" spans="2:39" x14ac:dyDescent="0.2">
      <c r="B23" s="52">
        <v>43765</v>
      </c>
      <c r="C23" s="36">
        <v>0.62847222222222221</v>
      </c>
      <c r="D23" s="36"/>
      <c r="E23" s="36" t="s">
        <v>105</v>
      </c>
      <c r="F23" s="38">
        <v>2</v>
      </c>
      <c r="G23" s="43" t="str">
        <f>VLOOKUP(F23,Key!$A$17:$B$21,2,FALSE)</f>
        <v>Road Vehicle</v>
      </c>
      <c r="H23" s="37">
        <v>1</v>
      </c>
      <c r="I23" s="44" t="str">
        <f>VLOOKUP(H23,Key!$A$2:$B$13,2,FALSE)</f>
        <v>Car</v>
      </c>
      <c r="J23" s="38" t="s">
        <v>117</v>
      </c>
      <c r="K23" s="38">
        <v>1</v>
      </c>
      <c r="L23" s="46" t="str">
        <f>VLOOKUP(K23,Key!$A$24:$B$29,2,FALSE)</f>
        <v>20-29</v>
      </c>
      <c r="M23" s="38" t="s">
        <v>210</v>
      </c>
      <c r="N23" s="33" t="s">
        <v>165</v>
      </c>
      <c r="O23" s="38" t="s">
        <v>166</v>
      </c>
      <c r="P23" s="40">
        <v>1</v>
      </c>
      <c r="Q23" s="35" t="str">
        <f>VLOOKUP(P23,Key!$E$2:$F$9,2,FALSE)</f>
        <v>Home</v>
      </c>
      <c r="R23" s="38" t="s">
        <v>191</v>
      </c>
      <c r="S23" s="33" t="s">
        <v>165</v>
      </c>
      <c r="T23" s="38" t="s">
        <v>166</v>
      </c>
      <c r="U23" s="33">
        <v>1</v>
      </c>
      <c r="V23" s="35" t="str">
        <f>VLOOKUP(U23,Key!$E$2:$F$9,2,FALSE)</f>
        <v>Home</v>
      </c>
      <c r="W23" s="35" t="str">
        <f t="shared" si="0"/>
        <v>Home-Home</v>
      </c>
      <c r="X23" s="33">
        <v>100000</v>
      </c>
      <c r="Y23" s="39"/>
      <c r="Z23" s="39">
        <v>3</v>
      </c>
      <c r="AA23" s="33">
        <v>5</v>
      </c>
      <c r="AB23" s="35" t="str">
        <f>VLOOKUP(AA23,Key!$C$20:$D$29,2,FALSE)</f>
        <v>Professional</v>
      </c>
      <c r="AC23" s="33">
        <v>2</v>
      </c>
      <c r="AD23" s="35" t="str">
        <f>VLOOKUP(AC23,Key!$E$20:$F$24,2,FALSE)</f>
        <v>300,000-500,000</v>
      </c>
      <c r="AE23" s="33">
        <v>5</v>
      </c>
      <c r="AF23" s="39">
        <v>4</v>
      </c>
      <c r="AG23" s="39">
        <v>1</v>
      </c>
      <c r="AH23" s="39">
        <v>1</v>
      </c>
      <c r="AI23" s="39">
        <v>1</v>
      </c>
      <c r="AJ23" s="40" t="s">
        <v>100</v>
      </c>
      <c r="AK23" s="41">
        <v>15000</v>
      </c>
      <c r="AL23" s="25"/>
      <c r="AM23" s="25"/>
    </row>
    <row r="24" spans="2:39" x14ac:dyDescent="0.2">
      <c r="B24" s="52">
        <v>43765</v>
      </c>
      <c r="C24" s="36">
        <v>0.61041666666666672</v>
      </c>
      <c r="D24" s="36"/>
      <c r="E24" s="36" t="s">
        <v>105</v>
      </c>
      <c r="F24" s="38">
        <v>2</v>
      </c>
      <c r="G24" s="43" t="str">
        <f>VLOOKUP(F24,Key!$A$17:$B$21,2,FALSE)</f>
        <v>Road Vehicle</v>
      </c>
      <c r="H24" s="37">
        <v>1</v>
      </c>
      <c r="I24" s="44" t="str">
        <f>VLOOKUP(H24,Key!$A$2:$B$13,2,FALSE)</f>
        <v>Car</v>
      </c>
      <c r="J24" s="38" t="s">
        <v>117</v>
      </c>
      <c r="K24" s="38">
        <v>1</v>
      </c>
      <c r="L24" s="46" t="str">
        <f>VLOOKUP(K24,Key!$A$24:$B$29,2,FALSE)</f>
        <v>20-29</v>
      </c>
      <c r="M24" s="38" t="s">
        <v>209</v>
      </c>
      <c r="N24" s="33" t="s">
        <v>165</v>
      </c>
      <c r="O24" s="38" t="s">
        <v>166</v>
      </c>
      <c r="P24" s="40">
        <v>1</v>
      </c>
      <c r="Q24" s="35" t="str">
        <f>VLOOKUP(P24,Key!$E$2:$F$9,2,FALSE)</f>
        <v>Home</v>
      </c>
      <c r="R24" s="38" t="s">
        <v>191</v>
      </c>
      <c r="S24" s="33" t="s">
        <v>165</v>
      </c>
      <c r="T24" s="38" t="s">
        <v>166</v>
      </c>
      <c r="U24" s="33">
        <v>1</v>
      </c>
      <c r="V24" s="35" t="str">
        <f>VLOOKUP(U24,Key!$E$2:$F$9,2,FALSE)</f>
        <v>Home</v>
      </c>
      <c r="W24" s="35" t="str">
        <f t="shared" si="0"/>
        <v>Home-Home</v>
      </c>
      <c r="X24" s="33">
        <v>130000</v>
      </c>
      <c r="Y24" s="39">
        <v>48</v>
      </c>
      <c r="Z24" s="39">
        <v>2</v>
      </c>
      <c r="AA24" s="33">
        <v>4</v>
      </c>
      <c r="AB24" s="35" t="str">
        <f>VLOOKUP(AA24,Key!$C$20:$D$29,2,FALSE)</f>
        <v>Office Worker</v>
      </c>
      <c r="AC24" s="33">
        <v>2</v>
      </c>
      <c r="AD24" s="35" t="str">
        <f>VLOOKUP(AC24,Key!$E$20:$F$24,2,FALSE)</f>
        <v>300,000-500,000</v>
      </c>
      <c r="AE24" s="33">
        <v>4</v>
      </c>
      <c r="AF24" s="39">
        <v>1</v>
      </c>
      <c r="AG24" s="39">
        <v>5</v>
      </c>
      <c r="AH24" s="39">
        <v>1</v>
      </c>
      <c r="AI24" s="39">
        <v>1</v>
      </c>
      <c r="AJ24" s="40" t="s">
        <v>100</v>
      </c>
      <c r="AK24" s="41">
        <v>3000</v>
      </c>
      <c r="AL24" s="25"/>
      <c r="AM24" s="25"/>
    </row>
    <row r="25" spans="2:39" x14ac:dyDescent="0.2">
      <c r="B25" s="52">
        <v>43765</v>
      </c>
      <c r="C25" s="36">
        <v>0.56666666666666665</v>
      </c>
      <c r="D25" s="36"/>
      <c r="E25" s="36" t="s">
        <v>105</v>
      </c>
      <c r="F25" s="38">
        <v>2</v>
      </c>
      <c r="G25" s="43" t="str">
        <f>VLOOKUP(F25,Key!$A$17:$B$21,2,FALSE)</f>
        <v>Road Vehicle</v>
      </c>
      <c r="H25" s="37">
        <v>1</v>
      </c>
      <c r="I25" s="44" t="str">
        <f>VLOOKUP(H25,Key!$A$2:$B$13,2,FALSE)</f>
        <v>Car</v>
      </c>
      <c r="J25" s="38" t="s">
        <v>117</v>
      </c>
      <c r="K25" s="38">
        <v>1</v>
      </c>
      <c r="L25" s="46" t="str">
        <f>VLOOKUP(K25,Key!$A$24:$B$29,2,FALSE)</f>
        <v>20-29</v>
      </c>
      <c r="M25" s="38" t="s">
        <v>193</v>
      </c>
      <c r="N25" s="33" t="s">
        <v>171</v>
      </c>
      <c r="O25" s="38" t="s">
        <v>166</v>
      </c>
      <c r="P25" s="40">
        <v>1</v>
      </c>
      <c r="Q25" s="35" t="str">
        <f>VLOOKUP(P25,Key!$E$2:$F$9,2,FALSE)</f>
        <v>Home</v>
      </c>
      <c r="R25" s="38" t="s">
        <v>164</v>
      </c>
      <c r="S25" s="33" t="s">
        <v>165</v>
      </c>
      <c r="T25" s="38" t="s">
        <v>166</v>
      </c>
      <c r="U25" s="33">
        <v>1</v>
      </c>
      <c r="V25" s="35" t="str">
        <f>VLOOKUP(U25,Key!$E$2:$F$9,2,FALSE)</f>
        <v>Home</v>
      </c>
      <c r="W25" s="35" t="str">
        <f t="shared" si="0"/>
        <v>Home-Home</v>
      </c>
      <c r="X25" s="33">
        <v>50000</v>
      </c>
      <c r="Y25" s="39">
        <v>39</v>
      </c>
      <c r="Z25" s="39">
        <v>1</v>
      </c>
      <c r="AA25" s="33">
        <v>5</v>
      </c>
      <c r="AB25" s="35" t="str">
        <f>VLOOKUP(AA25,Key!$C$20:$D$29,2,FALSE)</f>
        <v>Professional</v>
      </c>
      <c r="AC25" s="33">
        <v>1</v>
      </c>
      <c r="AD25" s="35" t="str">
        <f>VLOOKUP(AC25,Key!$E$20:$F$24,2,FALSE)</f>
        <v>&lt;300,000</v>
      </c>
      <c r="AE25" s="33">
        <v>1</v>
      </c>
      <c r="AF25" s="39">
        <v>1</v>
      </c>
      <c r="AG25" s="39">
        <v>1</v>
      </c>
      <c r="AH25" s="39">
        <v>1</v>
      </c>
      <c r="AI25" s="39">
        <v>1</v>
      </c>
      <c r="AJ25" s="40" t="s">
        <v>100</v>
      </c>
      <c r="AK25" s="41">
        <v>1000</v>
      </c>
      <c r="AL25" s="25"/>
      <c r="AM25" s="25"/>
    </row>
    <row r="26" spans="2:39" x14ac:dyDescent="0.2">
      <c r="B26" s="52">
        <v>43765</v>
      </c>
      <c r="C26" s="36">
        <v>0.47222222222222227</v>
      </c>
      <c r="D26" s="36"/>
      <c r="E26" s="36" t="s">
        <v>105</v>
      </c>
      <c r="F26" s="38">
        <v>2</v>
      </c>
      <c r="G26" s="43" t="str">
        <f>VLOOKUP(F26,Key!$A$17:$B$21,2,FALSE)</f>
        <v>Road Vehicle</v>
      </c>
      <c r="H26" s="37">
        <v>1</v>
      </c>
      <c r="I26" s="44" t="str">
        <f>VLOOKUP(H26,Key!$A$2:$B$13,2,FALSE)</f>
        <v>Car</v>
      </c>
      <c r="J26" s="38" t="s">
        <v>117</v>
      </c>
      <c r="K26" s="38">
        <v>1</v>
      </c>
      <c r="L26" s="46" t="str">
        <f>VLOOKUP(K26,Key!$A$24:$B$29,2,FALSE)</f>
        <v>20-29</v>
      </c>
      <c r="M26" s="38" t="s">
        <v>200</v>
      </c>
      <c r="N26" s="33" t="s">
        <v>171</v>
      </c>
      <c r="O26" s="38" t="s">
        <v>166</v>
      </c>
      <c r="P26" s="40">
        <v>2</v>
      </c>
      <c r="Q26" s="35" t="str">
        <f>VLOOKUP(P26,Key!$E$2:$F$9,2,FALSE)</f>
        <v>Work</v>
      </c>
      <c r="R26" s="38" t="s">
        <v>169</v>
      </c>
      <c r="S26" s="33" t="s">
        <v>165</v>
      </c>
      <c r="T26" s="38" t="s">
        <v>166</v>
      </c>
      <c r="U26" s="33">
        <v>2</v>
      </c>
      <c r="V26" s="35" t="str">
        <f>VLOOKUP(U26,Key!$E$2:$F$9,2,FALSE)</f>
        <v>Work</v>
      </c>
      <c r="W26" s="35" t="str">
        <f t="shared" si="0"/>
        <v>Work-Work</v>
      </c>
      <c r="X26" s="33">
        <v>50000</v>
      </c>
      <c r="Y26" s="39">
        <v>45</v>
      </c>
      <c r="Z26" s="39">
        <v>1</v>
      </c>
      <c r="AA26" s="33">
        <v>6</v>
      </c>
      <c r="AB26" s="35" t="str">
        <f>VLOOKUP(AA26,Key!$C$20:$D$29,2,FALSE)</f>
        <v>Businessman</v>
      </c>
      <c r="AC26" s="33">
        <v>5</v>
      </c>
      <c r="AD26" s="35" t="str">
        <f>VLOOKUP(AC26,Key!$E$20:$F$24,2,FALSE)</f>
        <v>&gt;1,000,000</v>
      </c>
      <c r="AE26" s="33">
        <v>1</v>
      </c>
      <c r="AF26" s="39">
        <v>2</v>
      </c>
      <c r="AG26" s="39">
        <v>4</v>
      </c>
      <c r="AH26" s="39">
        <v>1</v>
      </c>
      <c r="AI26" s="39">
        <v>1</v>
      </c>
      <c r="AJ26" s="40" t="s">
        <v>100</v>
      </c>
      <c r="AK26" s="41">
        <v>2000</v>
      </c>
      <c r="AL26" s="25"/>
      <c r="AM26" s="25"/>
    </row>
    <row r="27" spans="2:39" x14ac:dyDescent="0.2">
      <c r="B27" s="52">
        <v>43765</v>
      </c>
      <c r="C27" s="36">
        <v>0.45277777777777778</v>
      </c>
      <c r="D27" s="36"/>
      <c r="E27" s="36" t="s">
        <v>105</v>
      </c>
      <c r="F27" s="38">
        <v>2</v>
      </c>
      <c r="G27" s="43" t="str">
        <f>VLOOKUP(F27,Key!$A$17:$B$21,2,FALSE)</f>
        <v>Road Vehicle</v>
      </c>
      <c r="H27" s="37">
        <v>1</v>
      </c>
      <c r="I27" s="44" t="str">
        <f>VLOOKUP(H27,Key!$A$2:$B$13,2,FALSE)</f>
        <v>Car</v>
      </c>
      <c r="J27" s="38" t="s">
        <v>117</v>
      </c>
      <c r="K27" s="38">
        <v>1</v>
      </c>
      <c r="L27" s="46" t="str">
        <f>VLOOKUP(K27,Key!$A$24:$B$29,2,FALSE)</f>
        <v>20-29</v>
      </c>
      <c r="M27" s="38" t="s">
        <v>174</v>
      </c>
      <c r="N27" s="33" t="s">
        <v>171</v>
      </c>
      <c r="O27" s="38" t="s">
        <v>166</v>
      </c>
      <c r="P27" s="40">
        <v>1</v>
      </c>
      <c r="Q27" s="35" t="str">
        <f>VLOOKUP(P27,Key!$E$2:$F$9,2,FALSE)</f>
        <v>Home</v>
      </c>
      <c r="R27" s="38" t="s">
        <v>191</v>
      </c>
      <c r="S27" s="33" t="s">
        <v>165</v>
      </c>
      <c r="T27" s="38" t="s">
        <v>166</v>
      </c>
      <c r="U27" s="33">
        <v>7</v>
      </c>
      <c r="V27" s="35" t="str">
        <f>VLOOKUP(U27,Key!$E$2:$F$9,2,FALSE)</f>
        <v>Hospital</v>
      </c>
      <c r="W27" s="35" t="str">
        <f t="shared" si="0"/>
        <v>Home-Hospital</v>
      </c>
      <c r="X27" s="33">
        <v>20000</v>
      </c>
      <c r="Y27" s="39">
        <v>47</v>
      </c>
      <c r="Z27" s="39">
        <v>0.5</v>
      </c>
      <c r="AA27" s="33">
        <v>5</v>
      </c>
      <c r="AB27" s="35" t="str">
        <f>VLOOKUP(AA27,Key!$C$20:$D$29,2,FALSE)</f>
        <v>Professional</v>
      </c>
      <c r="AC27" s="33">
        <v>3</v>
      </c>
      <c r="AD27" s="35" t="str">
        <f>VLOOKUP(AC27,Key!$E$20:$F$24,2,FALSE)</f>
        <v>500,000-750,000</v>
      </c>
      <c r="AE27" s="33">
        <v>1</v>
      </c>
      <c r="AF27" s="39">
        <v>1</v>
      </c>
      <c r="AG27" s="39">
        <v>1</v>
      </c>
      <c r="AH27" s="39">
        <v>1</v>
      </c>
      <c r="AI27" s="39">
        <v>1</v>
      </c>
      <c r="AJ27" s="40" t="s">
        <v>100</v>
      </c>
      <c r="AK27" s="41">
        <v>400</v>
      </c>
      <c r="AL27" s="25"/>
      <c r="AM27" s="25"/>
    </row>
    <row r="28" spans="2:39" x14ac:dyDescent="0.2">
      <c r="B28" s="52">
        <v>43765</v>
      </c>
      <c r="C28" s="36">
        <v>0.3125</v>
      </c>
      <c r="D28" s="36"/>
      <c r="E28" s="36" t="s">
        <v>105</v>
      </c>
      <c r="F28" s="38">
        <v>2</v>
      </c>
      <c r="G28" s="43" t="str">
        <f>VLOOKUP(F28,Key!$A$17:$B$21,2,FALSE)</f>
        <v>Road Vehicle</v>
      </c>
      <c r="H28" s="37">
        <v>1</v>
      </c>
      <c r="I28" s="44" t="str">
        <f>VLOOKUP(H28,Key!$A$2:$B$13,2,FALSE)</f>
        <v>Car</v>
      </c>
      <c r="J28" s="38" t="s">
        <v>117</v>
      </c>
      <c r="K28" s="38">
        <v>1</v>
      </c>
      <c r="L28" s="46" t="str">
        <f>VLOOKUP(K28,Key!$A$24:$B$29,2,FALSE)</f>
        <v>20-29</v>
      </c>
      <c r="M28" s="38" t="s">
        <v>235</v>
      </c>
      <c r="N28" s="33" t="s">
        <v>165</v>
      </c>
      <c r="O28" s="38" t="s">
        <v>166</v>
      </c>
      <c r="P28" s="40">
        <v>1</v>
      </c>
      <c r="Q28" s="35" t="str">
        <f>VLOOKUP(P28,Key!$E$2:$F$9,2,FALSE)</f>
        <v>Home</v>
      </c>
      <c r="R28" s="38" t="s">
        <v>191</v>
      </c>
      <c r="S28" s="33" t="s">
        <v>165</v>
      </c>
      <c r="T28" s="38" t="s">
        <v>166</v>
      </c>
      <c r="U28" s="33">
        <v>1</v>
      </c>
      <c r="V28" s="35" t="str">
        <f>VLOOKUP(U28,Key!$E$2:$F$9,2,FALSE)</f>
        <v>Home</v>
      </c>
      <c r="W28" s="35" t="str">
        <f t="shared" si="0"/>
        <v>Home-Home</v>
      </c>
      <c r="X28" s="33">
        <v>30000</v>
      </c>
      <c r="Y28" s="39">
        <v>80</v>
      </c>
      <c r="Z28" s="39">
        <v>2</v>
      </c>
      <c r="AA28" s="33">
        <v>5</v>
      </c>
      <c r="AB28" s="35" t="str">
        <f>VLOOKUP(AA28,Key!$C$20:$D$29,2,FALSE)</f>
        <v>Professional</v>
      </c>
      <c r="AC28" s="33">
        <v>4</v>
      </c>
      <c r="AD28" s="35" t="str">
        <f>VLOOKUP(AC28,Key!$E$20:$F$24,2,FALSE)</f>
        <v>750,000-1,000,000</v>
      </c>
      <c r="AE28" s="33">
        <v>1</v>
      </c>
      <c r="AF28" s="39">
        <v>5</v>
      </c>
      <c r="AG28" s="39">
        <v>1</v>
      </c>
      <c r="AH28" s="39">
        <v>1</v>
      </c>
      <c r="AI28" s="39">
        <v>1</v>
      </c>
      <c r="AJ28" s="40" t="s">
        <v>100</v>
      </c>
      <c r="AK28" s="41">
        <v>3000</v>
      </c>
      <c r="AL28" s="25"/>
      <c r="AM28" s="25"/>
    </row>
    <row r="29" spans="2:39" x14ac:dyDescent="0.2">
      <c r="B29" s="52">
        <v>43765</v>
      </c>
      <c r="C29" s="36">
        <v>0.33888888888888885</v>
      </c>
      <c r="D29" s="36"/>
      <c r="E29" s="36" t="s">
        <v>105</v>
      </c>
      <c r="F29" s="38">
        <v>2</v>
      </c>
      <c r="G29" s="43" t="str">
        <f>VLOOKUP(F29,Key!$A$17:$B$21,2,FALSE)</f>
        <v>Road Vehicle</v>
      </c>
      <c r="H29" s="37">
        <v>1</v>
      </c>
      <c r="I29" s="44" t="str">
        <f>VLOOKUP(H29,Key!$A$2:$B$13,2,FALSE)</f>
        <v>Car</v>
      </c>
      <c r="J29" s="38" t="s">
        <v>117</v>
      </c>
      <c r="K29" s="38">
        <v>1</v>
      </c>
      <c r="L29" s="46" t="str">
        <f>VLOOKUP(K29,Key!$A$24:$B$29,2,FALSE)</f>
        <v>20-29</v>
      </c>
      <c r="M29" s="38" t="s">
        <v>251</v>
      </c>
      <c r="N29" s="33" t="s">
        <v>165</v>
      </c>
      <c r="O29" s="38" t="s">
        <v>166</v>
      </c>
      <c r="P29" s="40">
        <v>4</v>
      </c>
      <c r="Q29" s="35" t="str">
        <f>VLOOKUP(P29,Key!$E$2:$F$9,2,FALSE)</f>
        <v>Commercial</v>
      </c>
      <c r="R29" s="38" t="s">
        <v>256</v>
      </c>
      <c r="S29" s="33" t="s">
        <v>165</v>
      </c>
      <c r="T29" s="38" t="s">
        <v>166</v>
      </c>
      <c r="U29" s="33">
        <v>6</v>
      </c>
      <c r="V29" s="35" t="str">
        <f>VLOOKUP(U29,Key!$E$2:$F$9,2,FALSE)</f>
        <v>Leisure/Social</v>
      </c>
      <c r="W29" s="35" t="str">
        <f t="shared" si="0"/>
        <v>Commercial-Leisure/Social</v>
      </c>
      <c r="X29" s="33">
        <v>25000</v>
      </c>
      <c r="Y29" s="39">
        <v>36</v>
      </c>
      <c r="Z29" s="39">
        <v>0.7</v>
      </c>
      <c r="AA29" s="33">
        <v>2</v>
      </c>
      <c r="AB29" s="35" t="str">
        <f>VLOOKUP(AA29,Key!$C$20:$D$29,2,FALSE)</f>
        <v>Manual Labour</v>
      </c>
      <c r="AC29" s="33">
        <v>1</v>
      </c>
      <c r="AD29" s="35" t="str">
        <f>VLOOKUP(AC29,Key!$E$20:$F$24,2,FALSE)</f>
        <v>&lt;300,000</v>
      </c>
      <c r="AE29" s="33">
        <v>1</v>
      </c>
      <c r="AF29" s="39">
        <v>4</v>
      </c>
      <c r="AG29" s="39">
        <v>3</v>
      </c>
      <c r="AH29" s="39">
        <v>2</v>
      </c>
      <c r="AI29" s="39">
        <v>5</v>
      </c>
      <c r="AJ29" s="40" t="s">
        <v>100</v>
      </c>
      <c r="AK29" s="41">
        <v>2000</v>
      </c>
      <c r="AL29" s="25"/>
      <c r="AM29" s="25"/>
    </row>
    <row r="30" spans="2:39" x14ac:dyDescent="0.2">
      <c r="B30" s="52">
        <v>43765</v>
      </c>
      <c r="C30" s="36">
        <v>0.70833333333333337</v>
      </c>
      <c r="D30" s="36"/>
      <c r="E30" s="36" t="s">
        <v>163</v>
      </c>
      <c r="F30" s="38">
        <v>2</v>
      </c>
      <c r="G30" s="43" t="str">
        <f>VLOOKUP(F30,Key!$A$17:$B$21,2,FALSE)</f>
        <v>Road Vehicle</v>
      </c>
      <c r="H30" s="37">
        <v>4</v>
      </c>
      <c r="I30" s="44" t="str">
        <f>VLOOKUP(H30,Key!$A$2:$B$13,2,FALSE)</f>
        <v>Minibus</v>
      </c>
      <c r="J30" s="38" t="s">
        <v>168</v>
      </c>
      <c r="K30" s="38">
        <v>1</v>
      </c>
      <c r="L30" s="46" t="str">
        <f>VLOOKUP(K30,Key!$A$24:$B$29,2,FALSE)</f>
        <v>20-29</v>
      </c>
      <c r="M30" s="38" t="s">
        <v>249</v>
      </c>
      <c r="N30" s="33" t="s">
        <v>165</v>
      </c>
      <c r="O30" s="38" t="s">
        <v>166</v>
      </c>
      <c r="P30" s="40">
        <v>2</v>
      </c>
      <c r="Q30" s="35" t="str">
        <f>VLOOKUP(P30,Key!$E$2:$F$9,2,FALSE)</f>
        <v>Work</v>
      </c>
      <c r="R30" s="38" t="s">
        <v>241</v>
      </c>
      <c r="S30" s="33" t="s">
        <v>165</v>
      </c>
      <c r="T30" s="38" t="s">
        <v>166</v>
      </c>
      <c r="U30" s="33">
        <v>1</v>
      </c>
      <c r="V30" s="35" t="str">
        <f>VLOOKUP(U30,Key!$E$2:$F$9,2,FALSE)</f>
        <v>Home</v>
      </c>
      <c r="W30" s="35" t="str">
        <f t="shared" si="0"/>
        <v>Work-Home</v>
      </c>
      <c r="X30" s="33">
        <v>2000</v>
      </c>
      <c r="Y30" s="39"/>
      <c r="Z30" s="39">
        <v>0.2</v>
      </c>
      <c r="AA30" s="33">
        <v>2</v>
      </c>
      <c r="AB30" s="35" t="str">
        <f>VLOOKUP(AA30,Key!$C$20:$D$29,2,FALSE)</f>
        <v>Manual Labour</v>
      </c>
      <c r="AC30" s="33">
        <v>1</v>
      </c>
      <c r="AD30" s="35" t="str">
        <f>VLOOKUP(AC30,Key!$E$20:$F$24,2,FALSE)</f>
        <v>&lt;300,000</v>
      </c>
      <c r="AE30" s="33">
        <v>2</v>
      </c>
      <c r="AF30" s="39">
        <v>4</v>
      </c>
      <c r="AG30" s="39">
        <v>3</v>
      </c>
      <c r="AH30" s="39">
        <v>1</v>
      </c>
      <c r="AI30" s="39">
        <v>5</v>
      </c>
      <c r="AJ30" s="40" t="s">
        <v>100</v>
      </c>
      <c r="AK30" s="41">
        <v>100</v>
      </c>
      <c r="AL30" s="25"/>
      <c r="AM30" s="25"/>
    </row>
    <row r="31" spans="2:39" x14ac:dyDescent="0.2">
      <c r="B31" s="52">
        <v>43765</v>
      </c>
      <c r="C31" s="36">
        <v>0.31805555555555554</v>
      </c>
      <c r="D31" s="36"/>
      <c r="E31" s="36" t="s">
        <v>163</v>
      </c>
      <c r="F31" s="38">
        <v>2</v>
      </c>
      <c r="G31" s="43" t="str">
        <f>VLOOKUP(F31,Key!$A$17:$B$21,2,FALSE)</f>
        <v>Road Vehicle</v>
      </c>
      <c r="H31" s="37">
        <v>4</v>
      </c>
      <c r="I31" s="44" t="str">
        <f>VLOOKUP(H31,Key!$A$2:$B$13,2,FALSE)</f>
        <v>Minibus</v>
      </c>
      <c r="J31" s="38" t="s">
        <v>168</v>
      </c>
      <c r="K31" s="38">
        <v>1</v>
      </c>
      <c r="L31" s="46" t="str">
        <f>VLOOKUP(K31,Key!$A$24:$B$29,2,FALSE)</f>
        <v>20-29</v>
      </c>
      <c r="M31" s="38" t="s">
        <v>252</v>
      </c>
      <c r="N31" s="33" t="s">
        <v>165</v>
      </c>
      <c r="O31" s="38" t="s">
        <v>166</v>
      </c>
      <c r="P31" s="40">
        <v>8</v>
      </c>
      <c r="Q31" s="35" t="str">
        <f>VLOOKUP(P31,Key!$E$2:$F$9,2,FALSE)</f>
        <v>Others</v>
      </c>
      <c r="R31" s="38" t="s">
        <v>208</v>
      </c>
      <c r="S31" s="33" t="s">
        <v>165</v>
      </c>
      <c r="T31" s="38" t="s">
        <v>166</v>
      </c>
      <c r="U31" s="33">
        <v>1</v>
      </c>
      <c r="V31" s="35" t="str">
        <f>VLOOKUP(U31,Key!$E$2:$F$9,2,FALSE)</f>
        <v>Home</v>
      </c>
      <c r="W31" s="35" t="str">
        <f t="shared" si="0"/>
        <v>Others-Home</v>
      </c>
      <c r="X31" s="33">
        <v>2000</v>
      </c>
      <c r="Y31" s="39"/>
      <c r="Z31" s="39">
        <v>0.1</v>
      </c>
      <c r="AA31" s="33">
        <v>6</v>
      </c>
      <c r="AB31" s="35" t="str">
        <f>VLOOKUP(AA31,Key!$C$20:$D$29,2,FALSE)</f>
        <v>Businessman</v>
      </c>
      <c r="AC31" s="33">
        <v>3</v>
      </c>
      <c r="AD31" s="35" t="str">
        <f>VLOOKUP(AC31,Key!$E$20:$F$24,2,FALSE)</f>
        <v>500,000-750,000</v>
      </c>
      <c r="AE31" s="33">
        <v>4</v>
      </c>
      <c r="AF31" s="39">
        <v>5</v>
      </c>
      <c r="AG31" s="39">
        <v>2</v>
      </c>
      <c r="AH31" s="39">
        <v>1</v>
      </c>
      <c r="AI31" s="39">
        <v>3</v>
      </c>
      <c r="AJ31" s="40" t="s">
        <v>100</v>
      </c>
      <c r="AK31" s="41">
        <v>500</v>
      </c>
      <c r="AL31" s="25"/>
      <c r="AM31" s="25"/>
    </row>
    <row r="32" spans="2:39" x14ac:dyDescent="0.2">
      <c r="B32" s="52">
        <v>43765</v>
      </c>
      <c r="C32" s="36">
        <v>0.55277777777777781</v>
      </c>
      <c r="D32" s="36"/>
      <c r="E32" s="36" t="s">
        <v>163</v>
      </c>
      <c r="F32" s="38">
        <v>2</v>
      </c>
      <c r="G32" s="43" t="str">
        <f>VLOOKUP(F32,Key!$A$17:$B$21,2,FALSE)</f>
        <v>Road Vehicle</v>
      </c>
      <c r="H32" s="37">
        <v>4</v>
      </c>
      <c r="I32" s="44" t="str">
        <f>VLOOKUP(H32,Key!$A$2:$B$13,2,FALSE)</f>
        <v>Minibus</v>
      </c>
      <c r="J32" s="38" t="s">
        <v>168</v>
      </c>
      <c r="K32" s="38">
        <v>1</v>
      </c>
      <c r="L32" s="46" t="str">
        <f>VLOOKUP(K32,Key!$A$24:$B$29,2,FALSE)</f>
        <v>20-29</v>
      </c>
      <c r="M32" s="38" t="s">
        <v>164</v>
      </c>
      <c r="N32" s="33" t="s">
        <v>165</v>
      </c>
      <c r="O32" s="38" t="s">
        <v>166</v>
      </c>
      <c r="P32" s="40">
        <v>1</v>
      </c>
      <c r="Q32" s="35" t="str">
        <f>VLOOKUP(P32,Key!$E$2:$F$9,2,FALSE)</f>
        <v>Home</v>
      </c>
      <c r="R32" s="38" t="s">
        <v>199</v>
      </c>
      <c r="S32" s="33" t="s">
        <v>165</v>
      </c>
      <c r="T32" s="38" t="s">
        <v>166</v>
      </c>
      <c r="U32" s="33">
        <v>3</v>
      </c>
      <c r="V32" s="35" t="str">
        <f>VLOOKUP(U32,Key!$E$2:$F$9,2,FALSE)</f>
        <v>Study</v>
      </c>
      <c r="W32" s="35" t="str">
        <f t="shared" si="0"/>
        <v>Home-Study</v>
      </c>
      <c r="X32" s="33">
        <v>100</v>
      </c>
      <c r="Y32" s="39">
        <v>10</v>
      </c>
      <c r="Z32" s="39">
        <v>0.3</v>
      </c>
      <c r="AA32" s="33">
        <v>8</v>
      </c>
      <c r="AB32" s="35" t="str">
        <f>VLOOKUP(AA32,Key!$C$20:$D$29,2,FALSE)</f>
        <v>Student</v>
      </c>
      <c r="AC32" s="33">
        <v>1</v>
      </c>
      <c r="AD32" s="35" t="str">
        <f>VLOOKUP(AC32,Key!$E$20:$F$24,2,FALSE)</f>
        <v>&lt;300,000</v>
      </c>
      <c r="AE32" s="33">
        <v>4</v>
      </c>
      <c r="AF32" s="39">
        <v>5</v>
      </c>
      <c r="AG32" s="39">
        <v>2</v>
      </c>
      <c r="AH32" s="39">
        <v>1</v>
      </c>
      <c r="AI32" s="39">
        <v>3</v>
      </c>
      <c r="AJ32" s="40" t="s">
        <v>100</v>
      </c>
      <c r="AK32" s="41">
        <v>1000</v>
      </c>
      <c r="AL32" s="25"/>
      <c r="AM32" s="25"/>
    </row>
    <row r="33" spans="2:39" x14ac:dyDescent="0.2">
      <c r="B33" s="52">
        <v>43765</v>
      </c>
      <c r="C33" s="36">
        <v>0.48541666666666666</v>
      </c>
      <c r="D33" s="36"/>
      <c r="E33" s="36" t="s">
        <v>163</v>
      </c>
      <c r="F33" s="38">
        <v>2</v>
      </c>
      <c r="G33" s="43" t="str">
        <f>VLOOKUP(F33,Key!$A$17:$B$21,2,FALSE)</f>
        <v>Road Vehicle</v>
      </c>
      <c r="H33" s="37">
        <v>4</v>
      </c>
      <c r="I33" s="44" t="str">
        <f>VLOOKUP(H33,Key!$A$2:$B$13,2,FALSE)</f>
        <v>Minibus</v>
      </c>
      <c r="J33" s="38" t="s">
        <v>168</v>
      </c>
      <c r="K33" s="38">
        <v>1</v>
      </c>
      <c r="L33" s="46" t="str">
        <f>VLOOKUP(K33,Key!$A$24:$B$29,2,FALSE)</f>
        <v>20-29</v>
      </c>
      <c r="M33" s="38" t="s">
        <v>164</v>
      </c>
      <c r="N33" s="33" t="s">
        <v>165</v>
      </c>
      <c r="O33" s="38" t="s">
        <v>166</v>
      </c>
      <c r="P33" s="40">
        <v>6</v>
      </c>
      <c r="Q33" s="35" t="str">
        <f>VLOOKUP(P33,Key!$E$2:$F$9,2,FALSE)</f>
        <v>Leisure/Social</v>
      </c>
      <c r="R33" s="38" t="s">
        <v>167</v>
      </c>
      <c r="S33" s="33" t="s">
        <v>165</v>
      </c>
      <c r="T33" s="38" t="s">
        <v>166</v>
      </c>
      <c r="U33" s="33">
        <v>1</v>
      </c>
      <c r="V33" s="35" t="str">
        <f>VLOOKUP(U33,Key!$E$2:$F$9,2,FALSE)</f>
        <v>Home</v>
      </c>
      <c r="W33" s="35" t="str">
        <f t="shared" si="0"/>
        <v>Leisure/Social-Home</v>
      </c>
      <c r="X33" s="33">
        <v>2500</v>
      </c>
      <c r="Y33" s="39"/>
      <c r="Z33" s="39">
        <v>0.9</v>
      </c>
      <c r="AA33" s="33">
        <v>8</v>
      </c>
      <c r="AB33" s="35" t="str">
        <f>VLOOKUP(AA33,Key!$C$20:$D$29,2,FALSE)</f>
        <v>Student</v>
      </c>
      <c r="AC33" s="33">
        <v>1</v>
      </c>
      <c r="AD33" s="35" t="str">
        <f>VLOOKUP(AC33,Key!$E$20:$F$24,2,FALSE)</f>
        <v>&lt;300,000</v>
      </c>
      <c r="AE33" s="33">
        <v>2</v>
      </c>
      <c r="AF33" s="39">
        <v>4</v>
      </c>
      <c r="AG33" s="39">
        <v>3</v>
      </c>
      <c r="AH33" s="39">
        <v>1</v>
      </c>
      <c r="AI33" s="39">
        <v>5</v>
      </c>
      <c r="AJ33" s="40" t="s">
        <v>100</v>
      </c>
      <c r="AK33" s="41">
        <v>500</v>
      </c>
      <c r="AL33" s="25"/>
      <c r="AM33" s="25"/>
    </row>
    <row r="34" spans="2:39" x14ac:dyDescent="0.2">
      <c r="B34" s="52">
        <v>43765</v>
      </c>
      <c r="C34" s="36">
        <v>0.45902777777777781</v>
      </c>
      <c r="D34" s="36"/>
      <c r="E34" s="36" t="s">
        <v>163</v>
      </c>
      <c r="F34" s="38">
        <v>2</v>
      </c>
      <c r="G34" s="43" t="str">
        <f>VLOOKUP(F34,Key!$A$17:$B$21,2,FALSE)</f>
        <v>Road Vehicle</v>
      </c>
      <c r="H34" s="37">
        <v>4</v>
      </c>
      <c r="I34" s="44" t="str">
        <f>VLOOKUP(H34,Key!$A$2:$B$13,2,FALSE)</f>
        <v>Minibus</v>
      </c>
      <c r="J34" s="38" t="s">
        <v>168</v>
      </c>
      <c r="K34" s="38">
        <v>1</v>
      </c>
      <c r="L34" s="46" t="str">
        <f>VLOOKUP(K34,Key!$A$24:$B$29,2,FALSE)</f>
        <v>20-29</v>
      </c>
      <c r="M34" s="38" t="s">
        <v>164</v>
      </c>
      <c r="N34" s="33" t="s">
        <v>165</v>
      </c>
      <c r="O34" s="38" t="s">
        <v>166</v>
      </c>
      <c r="P34" s="40">
        <v>6</v>
      </c>
      <c r="Q34" s="35" t="str">
        <f>VLOOKUP(P34,Key!$E$2:$F$9,2,FALSE)</f>
        <v>Leisure/Social</v>
      </c>
      <c r="R34" s="38" t="s">
        <v>261</v>
      </c>
      <c r="S34" s="33" t="s">
        <v>165</v>
      </c>
      <c r="T34" s="38" t="s">
        <v>166</v>
      </c>
      <c r="U34" s="33">
        <v>1</v>
      </c>
      <c r="V34" s="35" t="str">
        <f>VLOOKUP(U34,Key!$E$2:$F$9,2,FALSE)</f>
        <v>Home</v>
      </c>
      <c r="W34" s="35" t="str">
        <f t="shared" si="0"/>
        <v>Leisure/Social-Home</v>
      </c>
      <c r="X34" s="33">
        <v>3000</v>
      </c>
      <c r="Y34" s="39">
        <v>20</v>
      </c>
      <c r="Z34" s="39">
        <v>0.8</v>
      </c>
      <c r="AA34" s="33">
        <v>1</v>
      </c>
      <c r="AB34" s="35" t="str">
        <f>VLOOKUP(AA34,Key!$C$20:$D$29,2,FALSE)</f>
        <v>Unemployed</v>
      </c>
      <c r="AC34" s="33">
        <v>1</v>
      </c>
      <c r="AD34" s="35" t="str">
        <f>VLOOKUP(AC34,Key!$E$20:$F$24,2,FALSE)</f>
        <v>&lt;300,000</v>
      </c>
      <c r="AE34" s="33">
        <v>5</v>
      </c>
      <c r="AF34" s="39">
        <v>2</v>
      </c>
      <c r="AG34" s="39">
        <v>4</v>
      </c>
      <c r="AH34" s="39">
        <v>1</v>
      </c>
      <c r="AI34" s="39">
        <v>3</v>
      </c>
      <c r="AJ34" s="40" t="s">
        <v>100</v>
      </c>
      <c r="AK34" s="41">
        <v>200</v>
      </c>
      <c r="AL34" s="25"/>
      <c r="AM34" s="25"/>
    </row>
    <row r="35" spans="2:39" x14ac:dyDescent="0.2">
      <c r="B35" s="52">
        <v>43765</v>
      </c>
      <c r="C35" s="36">
        <v>0.46875</v>
      </c>
      <c r="D35" s="36"/>
      <c r="E35" s="36" t="s">
        <v>163</v>
      </c>
      <c r="F35" s="38">
        <v>1</v>
      </c>
      <c r="G35" s="43" t="str">
        <f>VLOOKUP(F35,Key!$A$17:$B$21,2,FALSE)</f>
        <v>Walking/Cycling</v>
      </c>
      <c r="H35" s="37">
        <v>4</v>
      </c>
      <c r="I35" s="44" t="str">
        <f>VLOOKUP(H35,Key!$A$2:$B$13,2,FALSE)</f>
        <v>Minibus</v>
      </c>
      <c r="J35" s="38" t="s">
        <v>168</v>
      </c>
      <c r="K35" s="38">
        <v>1</v>
      </c>
      <c r="L35" s="46" t="str">
        <f>VLOOKUP(K35,Key!$A$24:$B$29,2,FALSE)</f>
        <v>20-29</v>
      </c>
      <c r="M35" s="38" t="s">
        <v>241</v>
      </c>
      <c r="N35" s="33" t="s">
        <v>165</v>
      </c>
      <c r="O35" s="38" t="s">
        <v>166</v>
      </c>
      <c r="P35" s="40">
        <v>1</v>
      </c>
      <c r="Q35" s="35" t="str">
        <f>VLOOKUP(P35,Key!$E$2:$F$9,2,FALSE)</f>
        <v>Home</v>
      </c>
      <c r="R35" s="38" t="s">
        <v>262</v>
      </c>
      <c r="S35" s="33" t="s">
        <v>171</v>
      </c>
      <c r="T35" s="38" t="s">
        <v>166</v>
      </c>
      <c r="U35" s="33">
        <v>2</v>
      </c>
      <c r="V35" s="35" t="str">
        <f>VLOOKUP(U35,Key!$E$2:$F$9,2,FALSE)</f>
        <v>Work</v>
      </c>
      <c r="W35" s="35" t="str">
        <f t="shared" si="0"/>
        <v>Home-Work</v>
      </c>
      <c r="X35" s="33">
        <v>6000</v>
      </c>
      <c r="Y35" s="39"/>
      <c r="Z35" s="39">
        <v>2</v>
      </c>
      <c r="AA35" s="33">
        <v>3</v>
      </c>
      <c r="AB35" s="35" t="str">
        <f>VLOOKUP(AA35,Key!$C$20:$D$29,2,FALSE)</f>
        <v>Artisan/Domestic</v>
      </c>
      <c r="AC35" s="33">
        <v>1</v>
      </c>
      <c r="AD35" s="35" t="str">
        <f>VLOOKUP(AC35,Key!$E$20:$F$24,2,FALSE)</f>
        <v>&lt;300,000</v>
      </c>
      <c r="AE35" s="33">
        <v>4</v>
      </c>
      <c r="AF35" s="39">
        <v>3</v>
      </c>
      <c r="AG35" s="39">
        <v>2</v>
      </c>
      <c r="AH35" s="39">
        <v>1</v>
      </c>
      <c r="AI35" s="39">
        <v>5</v>
      </c>
      <c r="AJ35" s="40" t="s">
        <v>100</v>
      </c>
      <c r="AK35" s="41"/>
      <c r="AL35" s="25"/>
      <c r="AM35" s="25"/>
    </row>
    <row r="36" spans="2:39" x14ac:dyDescent="0.2">
      <c r="B36" s="52">
        <v>43765</v>
      </c>
      <c r="C36" s="36">
        <v>0.32291666666666669</v>
      </c>
      <c r="D36" s="36"/>
      <c r="E36" s="36" t="s">
        <v>163</v>
      </c>
      <c r="F36" s="38">
        <v>2</v>
      </c>
      <c r="G36" s="43" t="str">
        <f>VLOOKUP(F36,Key!$A$17:$B$21,2,FALSE)</f>
        <v>Road Vehicle</v>
      </c>
      <c r="H36" s="37">
        <v>4</v>
      </c>
      <c r="I36" s="44" t="str">
        <f>VLOOKUP(H36,Key!$A$2:$B$13,2,FALSE)</f>
        <v>Minibus</v>
      </c>
      <c r="J36" s="38" t="s">
        <v>168</v>
      </c>
      <c r="K36" s="38">
        <v>1</v>
      </c>
      <c r="L36" s="46" t="str">
        <f>VLOOKUP(K36,Key!$A$24:$B$29,2,FALSE)</f>
        <v>20-29</v>
      </c>
      <c r="M36" s="38" t="s">
        <v>164</v>
      </c>
      <c r="N36" s="33" t="s">
        <v>165</v>
      </c>
      <c r="O36" s="38" t="s">
        <v>166</v>
      </c>
      <c r="P36" s="40">
        <v>1</v>
      </c>
      <c r="Q36" s="35" t="str">
        <f>VLOOKUP(P36,Key!$E$2:$F$9,2,FALSE)</f>
        <v>Home</v>
      </c>
      <c r="R36" s="38" t="s">
        <v>261</v>
      </c>
      <c r="S36" s="33" t="s">
        <v>165</v>
      </c>
      <c r="T36" s="38" t="s">
        <v>166</v>
      </c>
      <c r="U36" s="33">
        <v>6</v>
      </c>
      <c r="V36" s="35" t="str">
        <f>VLOOKUP(U36,Key!$E$2:$F$9,2,FALSE)</f>
        <v>Leisure/Social</v>
      </c>
      <c r="W36" s="35" t="str">
        <f t="shared" si="0"/>
        <v>Home-Leisure/Social</v>
      </c>
      <c r="X36" s="33">
        <v>2000</v>
      </c>
      <c r="Y36" s="39">
        <v>30</v>
      </c>
      <c r="Z36" s="39">
        <v>0.5</v>
      </c>
      <c r="AA36" s="33">
        <v>2</v>
      </c>
      <c r="AB36" s="35" t="str">
        <f>VLOOKUP(AA36,Key!$C$20:$D$29,2,FALSE)</f>
        <v>Manual Labour</v>
      </c>
      <c r="AC36" s="33">
        <v>1</v>
      </c>
      <c r="AD36" s="35" t="str">
        <f>VLOOKUP(AC36,Key!$E$20:$F$24,2,FALSE)</f>
        <v>&lt;300,000</v>
      </c>
      <c r="AE36" s="33">
        <v>1</v>
      </c>
      <c r="AF36" s="39">
        <v>3</v>
      </c>
      <c r="AG36" s="39">
        <v>4</v>
      </c>
      <c r="AH36" s="39">
        <v>2</v>
      </c>
      <c r="AI36" s="39">
        <v>5</v>
      </c>
      <c r="AJ36" s="40" t="s">
        <v>100</v>
      </c>
      <c r="AK36" s="41">
        <v>1500</v>
      </c>
      <c r="AL36" s="25"/>
      <c r="AM36" s="25"/>
    </row>
    <row r="37" spans="2:39" x14ac:dyDescent="0.2">
      <c r="B37" s="52">
        <v>43765</v>
      </c>
      <c r="C37" s="36">
        <v>0.32777777777777778</v>
      </c>
      <c r="D37" s="36"/>
      <c r="E37" s="36" t="s">
        <v>163</v>
      </c>
      <c r="F37" s="38">
        <v>2</v>
      </c>
      <c r="G37" s="43" t="str">
        <f>VLOOKUP(F37,Key!$A$17:$B$21,2,FALSE)</f>
        <v>Road Vehicle</v>
      </c>
      <c r="H37" s="37">
        <v>4</v>
      </c>
      <c r="I37" s="44" t="str">
        <f>VLOOKUP(H37,Key!$A$2:$B$13,2,FALSE)</f>
        <v>Minibus</v>
      </c>
      <c r="J37" s="38" t="s">
        <v>168</v>
      </c>
      <c r="K37" s="38">
        <v>1</v>
      </c>
      <c r="L37" s="46" t="str">
        <f>VLOOKUP(K37,Key!$A$24:$B$29,2,FALSE)</f>
        <v>20-29</v>
      </c>
      <c r="M37" s="38" t="s">
        <v>191</v>
      </c>
      <c r="N37" s="33" t="s">
        <v>165</v>
      </c>
      <c r="O37" s="38" t="s">
        <v>166</v>
      </c>
      <c r="P37" s="40">
        <v>1</v>
      </c>
      <c r="Q37" s="35" t="str">
        <f>VLOOKUP(P37,Key!$E$2:$F$9,2,FALSE)</f>
        <v>Home</v>
      </c>
      <c r="R37" s="38" t="s">
        <v>266</v>
      </c>
      <c r="S37" s="33" t="s">
        <v>165</v>
      </c>
      <c r="T37" s="38" t="s">
        <v>166</v>
      </c>
      <c r="U37" s="33">
        <v>8</v>
      </c>
      <c r="V37" s="35" t="str">
        <f>VLOOKUP(U37,Key!$E$2:$F$9,2,FALSE)</f>
        <v>Others</v>
      </c>
      <c r="W37" s="35" t="str">
        <f t="shared" si="0"/>
        <v>Home-Others</v>
      </c>
      <c r="X37" s="33">
        <v>1000</v>
      </c>
      <c r="Y37" s="39">
        <v>0.5</v>
      </c>
      <c r="Z37" s="39">
        <v>0.1</v>
      </c>
      <c r="AA37" s="33">
        <v>10</v>
      </c>
      <c r="AB37" s="35" t="str">
        <f>VLOOKUP(AA37,Key!$C$20:$D$29,2,FALSE)</f>
        <v>Other</v>
      </c>
      <c r="AC37" s="33">
        <v>2</v>
      </c>
      <c r="AD37" s="35" t="str">
        <f>VLOOKUP(AC37,Key!$E$20:$F$24,2,FALSE)</f>
        <v>300,000-500,000</v>
      </c>
      <c r="AE37" s="33">
        <v>1</v>
      </c>
      <c r="AF37" s="39">
        <v>5</v>
      </c>
      <c r="AG37" s="39">
        <v>4</v>
      </c>
      <c r="AH37" s="39">
        <v>2</v>
      </c>
      <c r="AI37" s="39">
        <v>3</v>
      </c>
      <c r="AJ37" s="40" t="s">
        <v>100</v>
      </c>
      <c r="AK37" s="41">
        <v>2000</v>
      </c>
      <c r="AL37" s="25"/>
      <c r="AM37" s="25"/>
    </row>
    <row r="38" spans="2:39" x14ac:dyDescent="0.2">
      <c r="B38" s="52">
        <v>43765</v>
      </c>
      <c r="C38" s="36">
        <v>0.38194444444444442</v>
      </c>
      <c r="D38" s="36"/>
      <c r="E38" s="36" t="s">
        <v>163</v>
      </c>
      <c r="F38" s="38">
        <v>2</v>
      </c>
      <c r="G38" s="43" t="str">
        <f>VLOOKUP(F38,Key!$A$17:$B$21,2,FALSE)</f>
        <v>Road Vehicle</v>
      </c>
      <c r="H38" s="37">
        <v>4</v>
      </c>
      <c r="I38" s="44" t="str">
        <f>VLOOKUP(H38,Key!$A$2:$B$13,2,FALSE)</f>
        <v>Minibus</v>
      </c>
      <c r="J38" s="38" t="s">
        <v>168</v>
      </c>
      <c r="K38" s="38">
        <v>1</v>
      </c>
      <c r="L38" s="46" t="str">
        <f>VLOOKUP(K38,Key!$A$24:$B$29,2,FALSE)</f>
        <v>20-29</v>
      </c>
      <c r="M38" s="38" t="s">
        <v>247</v>
      </c>
      <c r="N38" s="33" t="s">
        <v>165</v>
      </c>
      <c r="O38" s="38" t="s">
        <v>166</v>
      </c>
      <c r="P38" s="40">
        <v>1</v>
      </c>
      <c r="Q38" s="35" t="str">
        <f>VLOOKUP(P38,Key!$E$2:$F$9,2,FALSE)</f>
        <v>Home</v>
      </c>
      <c r="R38" s="38" t="s">
        <v>270</v>
      </c>
      <c r="S38" s="33" t="s">
        <v>165</v>
      </c>
      <c r="T38" s="38" t="s">
        <v>166</v>
      </c>
      <c r="U38" s="33">
        <v>6</v>
      </c>
      <c r="V38" s="35" t="str">
        <f>VLOOKUP(U38,Key!$E$2:$F$9,2,FALSE)</f>
        <v>Leisure/Social</v>
      </c>
      <c r="W38" s="35" t="str">
        <f t="shared" si="0"/>
        <v>Home-Leisure/Social</v>
      </c>
      <c r="X38" s="33">
        <v>6000</v>
      </c>
      <c r="Y38" s="39"/>
      <c r="Z38" s="39">
        <v>3</v>
      </c>
      <c r="AA38" s="33">
        <v>2</v>
      </c>
      <c r="AB38" s="35" t="str">
        <f>VLOOKUP(AA38,Key!$C$20:$D$29,2,FALSE)</f>
        <v>Manual Labour</v>
      </c>
      <c r="AC38" s="33">
        <v>1</v>
      </c>
      <c r="AD38" s="35" t="str">
        <f>VLOOKUP(AC38,Key!$E$20:$F$24,2,FALSE)</f>
        <v>&lt;300,000</v>
      </c>
      <c r="AE38" s="33">
        <v>1</v>
      </c>
      <c r="AF38" s="39">
        <v>2</v>
      </c>
      <c r="AG38" s="39">
        <v>3</v>
      </c>
      <c r="AH38" s="39">
        <v>4</v>
      </c>
      <c r="AI38" s="39">
        <v>5</v>
      </c>
      <c r="AJ38" s="40" t="s">
        <v>100</v>
      </c>
      <c r="AK38" s="41">
        <v>1000</v>
      </c>
      <c r="AL38" s="25"/>
      <c r="AM38" s="25"/>
    </row>
    <row r="39" spans="2:39" x14ac:dyDescent="0.2">
      <c r="B39" s="52">
        <v>43765</v>
      </c>
      <c r="C39" s="36">
        <v>0.38541666666666669</v>
      </c>
      <c r="D39" s="36"/>
      <c r="E39" s="36" t="s">
        <v>163</v>
      </c>
      <c r="F39" s="38">
        <v>2</v>
      </c>
      <c r="G39" s="43" t="str">
        <f>VLOOKUP(F39,Key!$A$17:$B$21,2,FALSE)</f>
        <v>Road Vehicle</v>
      </c>
      <c r="H39" s="37">
        <v>4</v>
      </c>
      <c r="I39" s="44" t="str">
        <f>VLOOKUP(H39,Key!$A$2:$B$13,2,FALSE)</f>
        <v>Minibus</v>
      </c>
      <c r="J39" s="38" t="s">
        <v>168</v>
      </c>
      <c r="K39" s="38">
        <v>1</v>
      </c>
      <c r="L39" s="46" t="str">
        <f>VLOOKUP(K39,Key!$A$24:$B$29,2,FALSE)</f>
        <v>20-29</v>
      </c>
      <c r="M39" s="38" t="s">
        <v>269</v>
      </c>
      <c r="N39" s="33" t="s">
        <v>165</v>
      </c>
      <c r="O39" s="38" t="s">
        <v>166</v>
      </c>
      <c r="P39" s="40">
        <v>4</v>
      </c>
      <c r="Q39" s="35" t="str">
        <f>VLOOKUP(P39,Key!$E$2:$F$9,2,FALSE)</f>
        <v>Commercial</v>
      </c>
      <c r="R39" s="38" t="s">
        <v>271</v>
      </c>
      <c r="S39" s="33" t="s">
        <v>184</v>
      </c>
      <c r="T39" s="38" t="s">
        <v>166</v>
      </c>
      <c r="U39" s="33">
        <v>6</v>
      </c>
      <c r="V39" s="35" t="str">
        <f>VLOOKUP(U39,Key!$E$2:$F$9,2,FALSE)</f>
        <v>Leisure/Social</v>
      </c>
      <c r="W39" s="35" t="str">
        <f t="shared" si="0"/>
        <v>Commercial-Leisure/Social</v>
      </c>
      <c r="X39" s="33">
        <v>10000</v>
      </c>
      <c r="Y39" s="39"/>
      <c r="Z39" s="39">
        <v>5</v>
      </c>
      <c r="AA39" s="33">
        <v>2</v>
      </c>
      <c r="AB39" s="35" t="str">
        <f>VLOOKUP(AA39,Key!$C$20:$D$29,2,FALSE)</f>
        <v>Manual Labour</v>
      </c>
      <c r="AC39" s="33">
        <v>1</v>
      </c>
      <c r="AD39" s="35" t="str">
        <f>VLOOKUP(AC39,Key!$E$20:$F$24,2,FALSE)</f>
        <v>&lt;300,000</v>
      </c>
      <c r="AE39" s="33">
        <v>1</v>
      </c>
      <c r="AF39" s="39">
        <v>1</v>
      </c>
      <c r="AG39" s="39">
        <v>2</v>
      </c>
      <c r="AH39" s="39">
        <v>5</v>
      </c>
      <c r="AI39" s="39">
        <v>4</v>
      </c>
      <c r="AJ39" s="40" t="s">
        <v>100</v>
      </c>
      <c r="AK39" s="41">
        <v>2000</v>
      </c>
      <c r="AL39" s="25"/>
      <c r="AM39" s="25"/>
    </row>
    <row r="40" spans="2:39" x14ac:dyDescent="0.2">
      <c r="B40" s="52">
        <v>43765</v>
      </c>
      <c r="C40" s="36">
        <v>0.51041666666666663</v>
      </c>
      <c r="D40" s="36"/>
      <c r="E40" s="36" t="s">
        <v>163</v>
      </c>
      <c r="F40" s="38">
        <v>2</v>
      </c>
      <c r="G40" s="43" t="str">
        <f>VLOOKUP(F40,Key!$A$17:$B$21,2,FALSE)</f>
        <v>Road Vehicle</v>
      </c>
      <c r="H40" s="37">
        <v>4</v>
      </c>
      <c r="I40" s="44" t="str">
        <f>VLOOKUP(H40,Key!$A$2:$B$13,2,FALSE)</f>
        <v>Minibus</v>
      </c>
      <c r="J40" s="38" t="s">
        <v>168</v>
      </c>
      <c r="K40" s="38">
        <v>1</v>
      </c>
      <c r="L40" s="46" t="str">
        <f>VLOOKUP(K40,Key!$A$24:$B$29,2,FALSE)</f>
        <v>20-29</v>
      </c>
      <c r="M40" s="38" t="s">
        <v>161</v>
      </c>
      <c r="N40" s="33" t="s">
        <v>165</v>
      </c>
      <c r="O40" s="38" t="s">
        <v>166</v>
      </c>
      <c r="P40" s="40">
        <v>1</v>
      </c>
      <c r="Q40" s="35" t="str">
        <f>VLOOKUP(P40,Key!$E$2:$F$9,2,FALSE)</f>
        <v>Home</v>
      </c>
      <c r="R40" s="38" t="s">
        <v>235</v>
      </c>
      <c r="S40" s="33" t="s">
        <v>165</v>
      </c>
      <c r="T40" s="38" t="s">
        <v>166</v>
      </c>
      <c r="U40" s="33">
        <v>6</v>
      </c>
      <c r="V40" s="35" t="str">
        <f>VLOOKUP(U40,Key!$E$2:$F$9,2,FALSE)</f>
        <v>Leisure/Social</v>
      </c>
      <c r="W40" s="35" t="str">
        <f t="shared" si="0"/>
        <v>Home-Leisure/Social</v>
      </c>
      <c r="X40" s="33">
        <v>5500</v>
      </c>
      <c r="Y40" s="39">
        <v>52</v>
      </c>
      <c r="Z40" s="39">
        <v>1.5</v>
      </c>
      <c r="AA40" s="33">
        <v>2</v>
      </c>
      <c r="AB40" s="35" t="str">
        <f>VLOOKUP(AA40,Key!$C$20:$D$29,2,FALSE)</f>
        <v>Manual Labour</v>
      </c>
      <c r="AC40" s="33">
        <v>1</v>
      </c>
      <c r="AD40" s="35" t="str">
        <f>VLOOKUP(AC40,Key!$E$20:$F$24,2,FALSE)</f>
        <v>&lt;300,000</v>
      </c>
      <c r="AE40" s="33">
        <v>2</v>
      </c>
      <c r="AF40" s="39">
        <v>3</v>
      </c>
      <c r="AG40" s="39">
        <v>4</v>
      </c>
      <c r="AH40" s="39">
        <v>1</v>
      </c>
      <c r="AI40" s="39">
        <v>5</v>
      </c>
      <c r="AJ40" s="40" t="s">
        <v>100</v>
      </c>
      <c r="AK40" s="41">
        <v>3000</v>
      </c>
      <c r="AL40" s="25"/>
      <c r="AM40" s="25"/>
    </row>
    <row r="41" spans="2:39" x14ac:dyDescent="0.2">
      <c r="B41" s="52">
        <v>43765</v>
      </c>
      <c r="C41" s="36">
        <v>0.52777777777777779</v>
      </c>
      <c r="D41" s="36"/>
      <c r="E41" s="36" t="s">
        <v>163</v>
      </c>
      <c r="F41" s="38">
        <v>2</v>
      </c>
      <c r="G41" s="43" t="str">
        <f>VLOOKUP(F41,Key!$A$17:$B$21,2,FALSE)</f>
        <v>Road Vehicle</v>
      </c>
      <c r="H41" s="37">
        <v>4</v>
      </c>
      <c r="I41" s="44" t="str">
        <f>VLOOKUP(H41,Key!$A$2:$B$13,2,FALSE)</f>
        <v>Minibus</v>
      </c>
      <c r="J41" s="38" t="s">
        <v>168</v>
      </c>
      <c r="K41" s="38">
        <v>1</v>
      </c>
      <c r="L41" s="46" t="str">
        <f>VLOOKUP(K41,Key!$A$24:$B$29,2,FALSE)</f>
        <v>20-29</v>
      </c>
      <c r="M41" s="38" t="s">
        <v>161</v>
      </c>
      <c r="N41" s="33" t="s">
        <v>165</v>
      </c>
      <c r="O41" s="38" t="s">
        <v>166</v>
      </c>
      <c r="P41" s="40">
        <v>1</v>
      </c>
      <c r="Q41" s="35" t="str">
        <f>VLOOKUP(P41,Key!$E$2:$F$9,2,FALSE)</f>
        <v>Home</v>
      </c>
      <c r="R41" s="38" t="s">
        <v>202</v>
      </c>
      <c r="S41" s="33" t="s">
        <v>165</v>
      </c>
      <c r="T41" s="38" t="s">
        <v>166</v>
      </c>
      <c r="U41" s="33">
        <v>6</v>
      </c>
      <c r="V41" s="35" t="str">
        <f>VLOOKUP(U41,Key!$E$2:$F$9,2,FALSE)</f>
        <v>Leisure/Social</v>
      </c>
      <c r="W41" s="35" t="str">
        <f t="shared" si="0"/>
        <v>Home-Leisure/Social</v>
      </c>
      <c r="X41" s="33">
        <v>8000</v>
      </c>
      <c r="Y41" s="39"/>
      <c r="Z41" s="39">
        <v>2</v>
      </c>
      <c r="AA41" s="33">
        <v>2</v>
      </c>
      <c r="AB41" s="35" t="str">
        <f>VLOOKUP(AA41,Key!$C$20:$D$29,2,FALSE)</f>
        <v>Manual Labour</v>
      </c>
      <c r="AC41" s="33">
        <v>1</v>
      </c>
      <c r="AD41" s="35" t="str">
        <f>VLOOKUP(AC41,Key!$E$20:$F$24,2,FALSE)</f>
        <v>&lt;300,000</v>
      </c>
      <c r="AE41" s="33">
        <v>2</v>
      </c>
      <c r="AF41" s="39">
        <v>5</v>
      </c>
      <c r="AG41" s="39">
        <v>4</v>
      </c>
      <c r="AH41" s="39">
        <v>1</v>
      </c>
      <c r="AI41" s="39">
        <v>3</v>
      </c>
      <c r="AJ41" s="40" t="s">
        <v>100</v>
      </c>
      <c r="AK41" s="41">
        <v>1000</v>
      </c>
      <c r="AL41" s="25"/>
      <c r="AM41" s="25"/>
    </row>
    <row r="42" spans="2:39" x14ac:dyDescent="0.2">
      <c r="B42" s="52">
        <v>43765</v>
      </c>
      <c r="C42" s="36">
        <v>0.53611111111111109</v>
      </c>
      <c r="D42" s="36"/>
      <c r="E42" s="36" t="s">
        <v>163</v>
      </c>
      <c r="F42" s="38">
        <v>2</v>
      </c>
      <c r="G42" s="43" t="str">
        <f>VLOOKUP(F42,Key!$A$17:$B$21,2,FALSE)</f>
        <v>Road Vehicle</v>
      </c>
      <c r="H42" s="37">
        <v>4</v>
      </c>
      <c r="I42" s="44" t="str">
        <f>VLOOKUP(H42,Key!$A$2:$B$13,2,FALSE)</f>
        <v>Minibus</v>
      </c>
      <c r="J42" s="38" t="s">
        <v>168</v>
      </c>
      <c r="K42" s="38">
        <v>1</v>
      </c>
      <c r="L42" s="46" t="str">
        <f>VLOOKUP(K42,Key!$A$24:$B$29,2,FALSE)</f>
        <v>20-29</v>
      </c>
      <c r="M42" s="38" t="s">
        <v>161</v>
      </c>
      <c r="N42" s="33" t="s">
        <v>165</v>
      </c>
      <c r="O42" s="38" t="s">
        <v>166</v>
      </c>
      <c r="P42" s="40">
        <v>1</v>
      </c>
      <c r="Q42" s="35" t="str">
        <f>VLOOKUP(P42,Key!$E$2:$F$9,2,FALSE)</f>
        <v>Home</v>
      </c>
      <c r="R42" s="38" t="s">
        <v>199</v>
      </c>
      <c r="S42" s="33" t="s">
        <v>165</v>
      </c>
      <c r="T42" s="38" t="s">
        <v>166</v>
      </c>
      <c r="U42" s="33">
        <v>6</v>
      </c>
      <c r="V42" s="35" t="str">
        <f>VLOOKUP(U42,Key!$E$2:$F$9,2,FALSE)</f>
        <v>Leisure/Social</v>
      </c>
      <c r="W42" s="35" t="str">
        <f t="shared" si="0"/>
        <v>Home-Leisure/Social</v>
      </c>
      <c r="X42" s="33">
        <v>1000</v>
      </c>
      <c r="Y42" s="39">
        <v>8</v>
      </c>
      <c r="Z42" s="39">
        <v>0.1</v>
      </c>
      <c r="AA42" s="33">
        <v>6</v>
      </c>
      <c r="AB42" s="35" t="str">
        <f>VLOOKUP(AA42,Key!$C$20:$D$29,2,FALSE)</f>
        <v>Businessman</v>
      </c>
      <c r="AC42" s="33">
        <v>2</v>
      </c>
      <c r="AD42" s="35" t="str">
        <f>VLOOKUP(AC42,Key!$E$20:$F$24,2,FALSE)</f>
        <v>300,000-500,000</v>
      </c>
      <c r="AE42" s="33">
        <v>2</v>
      </c>
      <c r="AF42" s="39">
        <v>1</v>
      </c>
      <c r="AG42" s="39">
        <v>3</v>
      </c>
      <c r="AH42" s="39">
        <v>4</v>
      </c>
      <c r="AI42" s="39">
        <v>5</v>
      </c>
      <c r="AJ42" s="40" t="s">
        <v>100</v>
      </c>
      <c r="AK42" s="41">
        <v>1000</v>
      </c>
      <c r="AL42" s="25"/>
      <c r="AM42" s="25"/>
    </row>
    <row r="43" spans="2:39" x14ac:dyDescent="0.2">
      <c r="B43" s="52">
        <v>43765</v>
      </c>
      <c r="C43" s="36">
        <v>0.53333333333333333</v>
      </c>
      <c r="D43" s="36"/>
      <c r="E43" s="36" t="s">
        <v>163</v>
      </c>
      <c r="F43" s="38">
        <v>2</v>
      </c>
      <c r="G43" s="43" t="str">
        <f>VLOOKUP(F43,Key!$A$17:$B$21,2,FALSE)</f>
        <v>Road Vehicle</v>
      </c>
      <c r="H43" s="37">
        <v>4</v>
      </c>
      <c r="I43" s="44" t="str">
        <f>VLOOKUP(H43,Key!$A$2:$B$13,2,FALSE)</f>
        <v>Minibus</v>
      </c>
      <c r="J43" s="38" t="s">
        <v>168</v>
      </c>
      <c r="K43" s="38">
        <v>1</v>
      </c>
      <c r="L43" s="46" t="str">
        <f>VLOOKUP(K43,Key!$A$24:$B$29,2,FALSE)</f>
        <v>20-29</v>
      </c>
      <c r="M43" s="38" t="s">
        <v>161</v>
      </c>
      <c r="N43" s="33" t="s">
        <v>165</v>
      </c>
      <c r="O43" s="38" t="s">
        <v>166</v>
      </c>
      <c r="P43" s="40">
        <v>1</v>
      </c>
      <c r="Q43" s="35" t="str">
        <f>VLOOKUP(P43,Key!$E$2:$F$9,2,FALSE)</f>
        <v>Home</v>
      </c>
      <c r="R43" s="38" t="s">
        <v>202</v>
      </c>
      <c r="S43" s="33" t="s">
        <v>165</v>
      </c>
      <c r="T43" s="38" t="s">
        <v>166</v>
      </c>
      <c r="U43" s="33">
        <v>6</v>
      </c>
      <c r="V43" s="35" t="str">
        <f>VLOOKUP(U43,Key!$E$2:$F$9,2,FALSE)</f>
        <v>Leisure/Social</v>
      </c>
      <c r="W43" s="35" t="str">
        <f t="shared" si="0"/>
        <v>Home-Leisure/Social</v>
      </c>
      <c r="X43" s="33">
        <v>8000</v>
      </c>
      <c r="Y43" s="39"/>
      <c r="Z43" s="39">
        <v>2</v>
      </c>
      <c r="AA43" s="33">
        <v>8</v>
      </c>
      <c r="AB43" s="35" t="str">
        <f>VLOOKUP(AA43,Key!$C$20:$D$29,2,FALSE)</f>
        <v>Student</v>
      </c>
      <c r="AC43" s="33">
        <v>1</v>
      </c>
      <c r="AD43" s="35" t="str">
        <f>VLOOKUP(AC43,Key!$E$20:$F$24,2,FALSE)</f>
        <v>&lt;300,000</v>
      </c>
      <c r="AE43" s="33">
        <v>2</v>
      </c>
      <c r="AF43" s="39">
        <v>1</v>
      </c>
      <c r="AG43" s="39">
        <v>5</v>
      </c>
      <c r="AH43" s="39">
        <v>4</v>
      </c>
      <c r="AI43" s="39">
        <v>3</v>
      </c>
      <c r="AJ43" s="40" t="s">
        <v>100</v>
      </c>
      <c r="AK43" s="41">
        <v>1000</v>
      </c>
      <c r="AL43" s="25"/>
      <c r="AM43" s="25"/>
    </row>
    <row r="44" spans="2:39" x14ac:dyDescent="0.2">
      <c r="B44" s="52">
        <v>43765</v>
      </c>
      <c r="C44" s="36">
        <v>0.54166666666666663</v>
      </c>
      <c r="D44" s="36"/>
      <c r="E44" s="36" t="s">
        <v>163</v>
      </c>
      <c r="F44" s="38">
        <v>2</v>
      </c>
      <c r="G44" s="43" t="str">
        <f>VLOOKUP(F44,Key!$A$17:$B$21,2,FALSE)</f>
        <v>Road Vehicle</v>
      </c>
      <c r="H44" s="37">
        <v>4</v>
      </c>
      <c r="I44" s="44" t="str">
        <f>VLOOKUP(H44,Key!$A$2:$B$13,2,FALSE)</f>
        <v>Minibus</v>
      </c>
      <c r="J44" s="38" t="s">
        <v>168</v>
      </c>
      <c r="K44" s="38">
        <v>1</v>
      </c>
      <c r="L44" s="46" t="str">
        <f>VLOOKUP(K44,Key!$A$24:$B$29,2,FALSE)</f>
        <v>20-29</v>
      </c>
      <c r="M44" s="38" t="s">
        <v>161</v>
      </c>
      <c r="N44" s="33" t="s">
        <v>165</v>
      </c>
      <c r="O44" s="38" t="s">
        <v>166</v>
      </c>
      <c r="P44" s="40">
        <v>1</v>
      </c>
      <c r="Q44" s="35" t="str">
        <f>VLOOKUP(P44,Key!$E$2:$F$9,2,FALSE)</f>
        <v>Home</v>
      </c>
      <c r="R44" s="38" t="s">
        <v>199</v>
      </c>
      <c r="S44" s="33" t="s">
        <v>165</v>
      </c>
      <c r="T44" s="38" t="s">
        <v>166</v>
      </c>
      <c r="U44" s="33">
        <v>4</v>
      </c>
      <c r="V44" s="35" t="str">
        <f>VLOOKUP(U44,Key!$E$2:$F$9,2,FALSE)</f>
        <v>Commercial</v>
      </c>
      <c r="W44" s="35" t="str">
        <f t="shared" si="0"/>
        <v>Home-Commercial</v>
      </c>
      <c r="X44" s="33">
        <v>1000</v>
      </c>
      <c r="Y44" s="39">
        <v>20</v>
      </c>
      <c r="Z44" s="39">
        <v>0.1</v>
      </c>
      <c r="AA44" s="33">
        <v>8</v>
      </c>
      <c r="AB44" s="35" t="str">
        <f>VLOOKUP(AA44,Key!$C$20:$D$29,2,FALSE)</f>
        <v>Student</v>
      </c>
      <c r="AC44" s="33">
        <v>2</v>
      </c>
      <c r="AD44" s="35" t="str">
        <f>VLOOKUP(AC44,Key!$E$20:$F$24,2,FALSE)</f>
        <v>300,000-500,000</v>
      </c>
      <c r="AE44" s="33">
        <v>1</v>
      </c>
      <c r="AF44" s="39">
        <v>2</v>
      </c>
      <c r="AG44" s="39">
        <v>3</v>
      </c>
      <c r="AH44" s="39">
        <v>4</v>
      </c>
      <c r="AI44" s="39">
        <v>5</v>
      </c>
      <c r="AJ44" s="40" t="s">
        <v>100</v>
      </c>
      <c r="AK44" s="41">
        <v>1000</v>
      </c>
      <c r="AL44" s="25"/>
      <c r="AM44" s="25"/>
    </row>
    <row r="45" spans="2:39" x14ac:dyDescent="0.2">
      <c r="B45" s="52">
        <v>43765</v>
      </c>
      <c r="C45" s="36">
        <v>0.60972222222222217</v>
      </c>
      <c r="D45" s="36"/>
      <c r="E45" s="36" t="s">
        <v>163</v>
      </c>
      <c r="F45" s="38">
        <v>2</v>
      </c>
      <c r="G45" s="43" t="str">
        <f>VLOOKUP(F45,Key!$A$17:$B$21,2,FALSE)</f>
        <v>Road Vehicle</v>
      </c>
      <c r="H45" s="37">
        <v>4</v>
      </c>
      <c r="I45" s="44" t="str">
        <f>VLOOKUP(H45,Key!$A$2:$B$13,2,FALSE)</f>
        <v>Minibus</v>
      </c>
      <c r="J45" s="38" t="s">
        <v>168</v>
      </c>
      <c r="K45" s="38">
        <v>1</v>
      </c>
      <c r="L45" s="46" t="str">
        <f>VLOOKUP(K45,Key!$A$24:$B$29,2,FALSE)</f>
        <v>20-29</v>
      </c>
      <c r="M45" s="38" t="s">
        <v>247</v>
      </c>
      <c r="N45" s="33" t="s">
        <v>165</v>
      </c>
      <c r="O45" s="38" t="s">
        <v>166</v>
      </c>
      <c r="P45" s="40">
        <v>1</v>
      </c>
      <c r="Q45" s="35" t="str">
        <f>VLOOKUP(P45,Key!$E$2:$F$9,2,FALSE)</f>
        <v>Home</v>
      </c>
      <c r="R45" s="38" t="s">
        <v>161</v>
      </c>
      <c r="S45" s="33" t="s">
        <v>165</v>
      </c>
      <c r="T45" s="38" t="s">
        <v>166</v>
      </c>
      <c r="U45" s="33">
        <v>6</v>
      </c>
      <c r="V45" s="35" t="str">
        <f>VLOOKUP(U45,Key!$E$2:$F$9,2,FALSE)</f>
        <v>Leisure/Social</v>
      </c>
      <c r="W45" s="35" t="str">
        <f t="shared" si="0"/>
        <v>Home-Leisure/Social</v>
      </c>
      <c r="X45" s="33">
        <v>1000</v>
      </c>
      <c r="Y45" s="39">
        <v>1</v>
      </c>
      <c r="Z45" s="39">
        <v>0.3</v>
      </c>
      <c r="AA45" s="33">
        <v>8</v>
      </c>
      <c r="AB45" s="35" t="str">
        <f>VLOOKUP(AA45,Key!$C$20:$D$29,2,FALSE)</f>
        <v>Student</v>
      </c>
      <c r="AC45" s="33">
        <v>1</v>
      </c>
      <c r="AD45" s="35" t="str">
        <f>VLOOKUP(AC45,Key!$E$20:$F$24,2,FALSE)</f>
        <v>&lt;300,000</v>
      </c>
      <c r="AE45" s="33">
        <v>1</v>
      </c>
      <c r="AF45" s="39">
        <v>2</v>
      </c>
      <c r="AG45" s="39">
        <v>5</v>
      </c>
      <c r="AH45" s="39">
        <v>3</v>
      </c>
      <c r="AI45" s="39">
        <v>4</v>
      </c>
      <c r="AJ45" s="40" t="s">
        <v>100</v>
      </c>
      <c r="AK45" s="41">
        <v>1000</v>
      </c>
      <c r="AL45" s="25"/>
      <c r="AM45" s="25"/>
    </row>
    <row r="46" spans="2:39" x14ac:dyDescent="0.2">
      <c r="B46" s="52">
        <v>43765</v>
      </c>
      <c r="C46" s="36">
        <v>0.6430555555555556</v>
      </c>
      <c r="D46" s="36"/>
      <c r="E46" s="36" t="s">
        <v>163</v>
      </c>
      <c r="F46" s="38">
        <v>2</v>
      </c>
      <c r="G46" s="43" t="str">
        <f>VLOOKUP(F46,Key!$A$17:$B$21,2,FALSE)</f>
        <v>Road Vehicle</v>
      </c>
      <c r="H46" s="37">
        <v>4</v>
      </c>
      <c r="I46" s="44" t="str">
        <f>VLOOKUP(H46,Key!$A$2:$B$13,2,FALSE)</f>
        <v>Minibus</v>
      </c>
      <c r="J46" s="38" t="s">
        <v>168</v>
      </c>
      <c r="K46" s="38">
        <v>1</v>
      </c>
      <c r="L46" s="46" t="str">
        <f>VLOOKUP(K46,Key!$A$24:$B$29,2,FALSE)</f>
        <v>20-29</v>
      </c>
      <c r="M46" s="38" t="s">
        <v>241</v>
      </c>
      <c r="N46" s="33" t="s">
        <v>165</v>
      </c>
      <c r="O46" s="38" t="s">
        <v>166</v>
      </c>
      <c r="P46" s="40">
        <v>1</v>
      </c>
      <c r="Q46" s="35" t="str">
        <f>VLOOKUP(P46,Key!$E$2:$F$9,2,FALSE)</f>
        <v>Home</v>
      </c>
      <c r="R46" s="38" t="s">
        <v>269</v>
      </c>
      <c r="S46" s="33" t="s">
        <v>165</v>
      </c>
      <c r="T46" s="38" t="s">
        <v>166</v>
      </c>
      <c r="U46" s="33">
        <v>6</v>
      </c>
      <c r="V46" s="35" t="str">
        <f>VLOOKUP(U46,Key!$E$2:$F$9,2,FALSE)</f>
        <v>Leisure/Social</v>
      </c>
      <c r="W46" s="35" t="str">
        <f t="shared" si="0"/>
        <v>Home-Leisure/Social</v>
      </c>
      <c r="X46" s="33">
        <v>3000</v>
      </c>
      <c r="Y46" s="39">
        <v>26</v>
      </c>
      <c r="Z46" s="39">
        <v>0.3</v>
      </c>
      <c r="AA46" s="33">
        <v>2</v>
      </c>
      <c r="AB46" s="35" t="str">
        <f>VLOOKUP(AA46,Key!$C$20:$D$29,2,FALSE)</f>
        <v>Manual Labour</v>
      </c>
      <c r="AC46" s="33">
        <v>1</v>
      </c>
      <c r="AD46" s="35" t="str">
        <f>VLOOKUP(AC46,Key!$E$20:$F$24,2,FALSE)</f>
        <v>&lt;300,000</v>
      </c>
      <c r="AE46" s="33">
        <v>2</v>
      </c>
      <c r="AF46" s="39">
        <v>3</v>
      </c>
      <c r="AG46" s="39">
        <v>4</v>
      </c>
      <c r="AH46" s="39">
        <v>1</v>
      </c>
      <c r="AI46" s="39">
        <v>5</v>
      </c>
      <c r="AJ46" s="40" t="s">
        <v>100</v>
      </c>
      <c r="AK46" s="41"/>
      <c r="AL46" s="25"/>
      <c r="AM46" s="25"/>
    </row>
    <row r="47" spans="2:39" x14ac:dyDescent="0.2">
      <c r="B47" s="52">
        <v>43765</v>
      </c>
      <c r="C47" s="36">
        <v>0.76041666666666663</v>
      </c>
      <c r="D47" s="36"/>
      <c r="E47" s="36" t="s">
        <v>105</v>
      </c>
      <c r="F47" s="38">
        <v>2</v>
      </c>
      <c r="G47" s="43" t="str">
        <f>VLOOKUP(F47,Key!$A$17:$B$21,2,FALSE)</f>
        <v>Road Vehicle</v>
      </c>
      <c r="H47" s="37">
        <v>4</v>
      </c>
      <c r="I47" s="44" t="str">
        <f>VLOOKUP(H47,Key!$A$2:$B$13,2,FALSE)</f>
        <v>Minibus</v>
      </c>
      <c r="J47" s="38" t="s">
        <v>168</v>
      </c>
      <c r="K47" s="38">
        <v>1</v>
      </c>
      <c r="L47" s="46" t="str">
        <f>VLOOKUP(K47,Key!$A$24:$B$29,2,FALSE)</f>
        <v>20-29</v>
      </c>
      <c r="M47" s="38" t="s">
        <v>257</v>
      </c>
      <c r="N47" s="33" t="s">
        <v>165</v>
      </c>
      <c r="O47" s="38" t="s">
        <v>166</v>
      </c>
      <c r="P47" s="40">
        <v>2</v>
      </c>
      <c r="Q47" s="35" t="str">
        <f>VLOOKUP(P47,Key!$E$2:$F$9,2,FALSE)</f>
        <v>Work</v>
      </c>
      <c r="R47" s="38" t="s">
        <v>285</v>
      </c>
      <c r="S47" s="33" t="s">
        <v>165</v>
      </c>
      <c r="T47" s="38" t="s">
        <v>166</v>
      </c>
      <c r="U47" s="33">
        <v>2</v>
      </c>
      <c r="V47" s="35" t="str">
        <f>VLOOKUP(U47,Key!$E$2:$F$9,2,FALSE)</f>
        <v>Work</v>
      </c>
      <c r="W47" s="35" t="str">
        <f t="shared" si="0"/>
        <v>Work-Work</v>
      </c>
      <c r="X47" s="33">
        <v>1000</v>
      </c>
      <c r="Y47" s="39">
        <v>1</v>
      </c>
      <c r="Z47" s="39">
        <v>0.1</v>
      </c>
      <c r="AA47" s="33">
        <v>5</v>
      </c>
      <c r="AB47" s="35" t="str">
        <f>VLOOKUP(AA47,Key!$C$20:$D$29,2,FALSE)</f>
        <v>Professional</v>
      </c>
      <c r="AC47" s="33">
        <v>2</v>
      </c>
      <c r="AD47" s="35" t="str">
        <f>VLOOKUP(AC47,Key!$E$20:$F$24,2,FALSE)</f>
        <v>300,000-500,000</v>
      </c>
      <c r="AE47" s="33">
        <v>1</v>
      </c>
      <c r="AF47" s="39">
        <v>2</v>
      </c>
      <c r="AG47" s="39">
        <v>5</v>
      </c>
      <c r="AH47" s="39">
        <v>5</v>
      </c>
      <c r="AI47" s="39">
        <v>4</v>
      </c>
      <c r="AJ47" s="40" t="s">
        <v>100</v>
      </c>
      <c r="AK47" s="41">
        <v>1000</v>
      </c>
      <c r="AL47" s="25"/>
      <c r="AM47" s="25"/>
    </row>
    <row r="48" spans="2:39" x14ac:dyDescent="0.2">
      <c r="B48" s="52">
        <v>43765</v>
      </c>
      <c r="C48" s="36">
        <v>0.34722222222222227</v>
      </c>
      <c r="D48" s="36"/>
      <c r="E48" s="36" t="s">
        <v>163</v>
      </c>
      <c r="F48" s="38">
        <v>2</v>
      </c>
      <c r="G48" s="43" t="str">
        <f>VLOOKUP(F48,Key!$A$17:$B$21,2,FALSE)</f>
        <v>Road Vehicle</v>
      </c>
      <c r="H48" s="37">
        <v>4</v>
      </c>
      <c r="I48" s="44" t="str">
        <f>VLOOKUP(H48,Key!$A$2:$B$13,2,FALSE)</f>
        <v>Minibus</v>
      </c>
      <c r="J48" s="38" t="s">
        <v>117</v>
      </c>
      <c r="K48" s="38">
        <v>1</v>
      </c>
      <c r="L48" s="46" t="str">
        <f>VLOOKUP(K48,Key!$A$24:$B$29,2,FALSE)</f>
        <v>20-29</v>
      </c>
      <c r="M48" s="38" t="s">
        <v>207</v>
      </c>
      <c r="N48" s="33" t="s">
        <v>171</v>
      </c>
      <c r="O48" s="38" t="s">
        <v>166</v>
      </c>
      <c r="P48" s="40">
        <v>2</v>
      </c>
      <c r="Q48" s="35" t="str">
        <f>VLOOKUP(P48,Key!$E$2:$F$9,2,FALSE)</f>
        <v>Work</v>
      </c>
      <c r="R48" s="38" t="s">
        <v>191</v>
      </c>
      <c r="S48" s="33" t="s">
        <v>165</v>
      </c>
      <c r="T48" s="38" t="s">
        <v>166</v>
      </c>
      <c r="U48" s="33">
        <v>2</v>
      </c>
      <c r="V48" s="35" t="str">
        <f>VLOOKUP(U48,Key!$E$2:$F$9,2,FALSE)</f>
        <v>Work</v>
      </c>
      <c r="W48" s="35" t="str">
        <f t="shared" si="0"/>
        <v>Work-Work</v>
      </c>
      <c r="X48" s="33">
        <v>38000</v>
      </c>
      <c r="Y48" s="39">
        <v>36</v>
      </c>
      <c r="Z48" s="39">
        <v>2</v>
      </c>
      <c r="AA48" s="33">
        <v>5</v>
      </c>
      <c r="AB48" s="35" t="str">
        <f>VLOOKUP(AA48,Key!$C$20:$D$29,2,FALSE)</f>
        <v>Professional</v>
      </c>
      <c r="AC48" s="33">
        <v>3</v>
      </c>
      <c r="AD48" s="35" t="str">
        <f>VLOOKUP(AC48,Key!$E$20:$F$24,2,FALSE)</f>
        <v>500,000-750,000</v>
      </c>
      <c r="AE48" s="33">
        <v>1</v>
      </c>
      <c r="AF48" s="39">
        <v>1</v>
      </c>
      <c r="AG48" s="39">
        <v>1</v>
      </c>
      <c r="AH48" s="39">
        <v>1</v>
      </c>
      <c r="AI48" s="39">
        <v>1</v>
      </c>
      <c r="AJ48" s="40" t="s">
        <v>100</v>
      </c>
      <c r="AK48" s="41">
        <v>10000</v>
      </c>
      <c r="AL48" s="25"/>
      <c r="AM48" s="25"/>
    </row>
    <row r="49" spans="1:39" x14ac:dyDescent="0.2">
      <c r="B49" s="52">
        <v>43765</v>
      </c>
      <c r="C49" s="36">
        <v>0.6479166666666667</v>
      </c>
      <c r="D49" s="36"/>
      <c r="E49" s="36" t="s">
        <v>105</v>
      </c>
      <c r="F49" s="38">
        <v>2</v>
      </c>
      <c r="G49" s="43" t="str">
        <f>VLOOKUP(F49,Key!$A$17:$B$21,2,FALSE)</f>
        <v>Road Vehicle</v>
      </c>
      <c r="H49" s="37">
        <v>4</v>
      </c>
      <c r="I49" s="44" t="str">
        <f>VLOOKUP(H49,Key!$A$2:$B$13,2,FALSE)</f>
        <v>Minibus</v>
      </c>
      <c r="J49" s="38" t="s">
        <v>117</v>
      </c>
      <c r="K49" s="38">
        <v>1</v>
      </c>
      <c r="L49" s="46" t="str">
        <f>VLOOKUP(K49,Key!$A$24:$B$29,2,FALSE)</f>
        <v>20-29</v>
      </c>
      <c r="M49" s="38" t="s">
        <v>207</v>
      </c>
      <c r="N49" s="33" t="s">
        <v>171</v>
      </c>
      <c r="O49" s="38" t="s">
        <v>166</v>
      </c>
      <c r="P49" s="40">
        <v>2</v>
      </c>
      <c r="Q49" s="35" t="str">
        <f>VLOOKUP(P49,Key!$E$2:$F$9,2,FALSE)</f>
        <v>Work</v>
      </c>
      <c r="R49" s="38" t="s">
        <v>191</v>
      </c>
      <c r="S49" s="33" t="s">
        <v>165</v>
      </c>
      <c r="T49" s="38" t="s">
        <v>166</v>
      </c>
      <c r="U49" s="33">
        <v>2</v>
      </c>
      <c r="V49" s="35" t="str">
        <f>VLOOKUP(U49,Key!$E$2:$F$9,2,FALSE)</f>
        <v>Work</v>
      </c>
      <c r="W49" s="35" t="str">
        <f t="shared" si="0"/>
        <v>Work-Work</v>
      </c>
      <c r="X49" s="33">
        <v>30000</v>
      </c>
      <c r="Y49" s="39">
        <v>36</v>
      </c>
      <c r="Z49" s="39">
        <v>1</v>
      </c>
      <c r="AA49" s="33">
        <v>5</v>
      </c>
      <c r="AB49" s="35" t="str">
        <f>VLOOKUP(AA49,Key!$C$20:$D$29,2,FALSE)</f>
        <v>Professional</v>
      </c>
      <c r="AC49" s="33">
        <v>1</v>
      </c>
      <c r="AD49" s="35" t="str">
        <f>VLOOKUP(AC49,Key!$E$20:$F$24,2,FALSE)</f>
        <v>&lt;300,000</v>
      </c>
      <c r="AE49" s="33">
        <v>1</v>
      </c>
      <c r="AF49" s="39">
        <v>5</v>
      </c>
      <c r="AG49" s="39">
        <v>1</v>
      </c>
      <c r="AH49" s="39">
        <v>1</v>
      </c>
      <c r="AI49" s="39">
        <v>1</v>
      </c>
      <c r="AJ49" s="40" t="s">
        <v>100</v>
      </c>
      <c r="AK49" s="41">
        <v>5000</v>
      </c>
      <c r="AL49" s="25"/>
      <c r="AM49" s="25"/>
    </row>
    <row r="50" spans="1:39" x14ac:dyDescent="0.2">
      <c r="B50" s="52">
        <v>43765</v>
      </c>
      <c r="C50" s="36">
        <v>0.56111111111111112</v>
      </c>
      <c r="D50" s="36"/>
      <c r="E50" s="36" t="s">
        <v>105</v>
      </c>
      <c r="F50" s="38">
        <v>2</v>
      </c>
      <c r="G50" s="43" t="str">
        <f>VLOOKUP(F50,Key!$A$17:$B$21,2,FALSE)</f>
        <v>Road Vehicle</v>
      </c>
      <c r="H50" s="37">
        <v>4</v>
      </c>
      <c r="I50" s="44" t="str">
        <f>VLOOKUP(H50,Key!$A$2:$B$13,2,FALSE)</f>
        <v>Minibus</v>
      </c>
      <c r="J50" s="38" t="s">
        <v>117</v>
      </c>
      <c r="K50" s="38">
        <v>1</v>
      </c>
      <c r="L50" s="46" t="str">
        <f>VLOOKUP(K50,Key!$A$24:$B$29,2,FALSE)</f>
        <v>20-29</v>
      </c>
      <c r="M50" s="38" t="s">
        <v>207</v>
      </c>
      <c r="N50" s="33" t="s">
        <v>171</v>
      </c>
      <c r="O50" s="38" t="s">
        <v>166</v>
      </c>
      <c r="P50" s="40">
        <v>2</v>
      </c>
      <c r="Q50" s="35" t="str">
        <f>VLOOKUP(P50,Key!$E$2:$F$9,2,FALSE)</f>
        <v>Work</v>
      </c>
      <c r="R50" s="38" t="s">
        <v>191</v>
      </c>
      <c r="S50" s="33" t="s">
        <v>165</v>
      </c>
      <c r="T50" s="38" t="s">
        <v>166</v>
      </c>
      <c r="U50" s="33">
        <v>2</v>
      </c>
      <c r="V50" s="35" t="str">
        <f>VLOOKUP(U50,Key!$E$2:$F$9,2,FALSE)</f>
        <v>Work</v>
      </c>
      <c r="W50" s="35" t="str">
        <f t="shared" si="0"/>
        <v>Work-Work</v>
      </c>
      <c r="X50" s="33">
        <v>20000</v>
      </c>
      <c r="Y50" s="39">
        <v>37</v>
      </c>
      <c r="Z50" s="39">
        <v>2</v>
      </c>
      <c r="AA50" s="33">
        <v>5</v>
      </c>
      <c r="AB50" s="35" t="str">
        <f>VLOOKUP(AA50,Key!$C$20:$D$29,2,FALSE)</f>
        <v>Professional</v>
      </c>
      <c r="AC50" s="33">
        <v>1</v>
      </c>
      <c r="AD50" s="35" t="str">
        <f>VLOOKUP(AC50,Key!$E$20:$F$24,2,FALSE)</f>
        <v>&lt;300,000</v>
      </c>
      <c r="AE50" s="33">
        <v>5</v>
      </c>
      <c r="AF50" s="39">
        <v>1</v>
      </c>
      <c r="AG50" s="39">
        <v>5</v>
      </c>
      <c r="AH50" s="39">
        <v>1</v>
      </c>
      <c r="AI50" s="39">
        <v>1</v>
      </c>
      <c r="AJ50" s="40" t="s">
        <v>100</v>
      </c>
      <c r="AK50" s="41">
        <v>1100</v>
      </c>
      <c r="AL50" s="25"/>
      <c r="AM50" s="25"/>
    </row>
    <row r="51" spans="1:39" x14ac:dyDescent="0.2">
      <c r="B51" s="52">
        <v>43765</v>
      </c>
      <c r="C51" s="36">
        <v>0.57222222222222219</v>
      </c>
      <c r="D51" s="36"/>
      <c r="E51" s="36" t="s">
        <v>213</v>
      </c>
      <c r="F51" s="38">
        <v>2</v>
      </c>
      <c r="G51" s="43" t="str">
        <f>VLOOKUP(F51,Key!$A$17:$B$21,2,FALSE)</f>
        <v>Road Vehicle</v>
      </c>
      <c r="H51" s="37">
        <v>4</v>
      </c>
      <c r="I51" s="44" t="str">
        <f>VLOOKUP(H51,Key!$A$2:$B$13,2,FALSE)</f>
        <v>Minibus</v>
      </c>
      <c r="J51" s="38" t="s">
        <v>117</v>
      </c>
      <c r="K51" s="38">
        <v>1</v>
      </c>
      <c r="L51" s="46" t="str">
        <f>VLOOKUP(K51,Key!$A$24:$B$29,2,FALSE)</f>
        <v>20-29</v>
      </c>
      <c r="M51" s="38" t="s">
        <v>214</v>
      </c>
      <c r="N51" s="33" t="s">
        <v>171</v>
      </c>
      <c r="O51" s="38" t="s">
        <v>166</v>
      </c>
      <c r="P51" s="40">
        <v>2</v>
      </c>
      <c r="Q51" s="35" t="str">
        <f>VLOOKUP(P51,Key!$E$2:$F$9,2,FALSE)</f>
        <v>Work</v>
      </c>
      <c r="R51" s="38" t="s">
        <v>191</v>
      </c>
      <c r="S51" s="33" t="s">
        <v>165</v>
      </c>
      <c r="T51" s="38" t="s">
        <v>166</v>
      </c>
      <c r="U51" s="33">
        <v>2</v>
      </c>
      <c r="V51" s="35" t="str">
        <f>VLOOKUP(U51,Key!$E$2:$F$9,2,FALSE)</f>
        <v>Work</v>
      </c>
      <c r="W51" s="35" t="str">
        <f t="shared" si="0"/>
        <v>Work-Work</v>
      </c>
      <c r="X51" s="33">
        <v>50000</v>
      </c>
      <c r="Y51" s="39">
        <v>37</v>
      </c>
      <c r="Z51" s="39">
        <v>2</v>
      </c>
      <c r="AA51" s="33">
        <v>6</v>
      </c>
      <c r="AB51" s="35" t="str">
        <f>VLOOKUP(AA51,Key!$C$20:$D$29,2,FALSE)</f>
        <v>Businessman</v>
      </c>
      <c r="AC51" s="33">
        <v>2</v>
      </c>
      <c r="AD51" s="35" t="str">
        <f>VLOOKUP(AC51,Key!$E$20:$F$24,2,FALSE)</f>
        <v>300,000-500,000</v>
      </c>
      <c r="AE51" s="33">
        <v>1</v>
      </c>
      <c r="AF51" s="39">
        <v>4</v>
      </c>
      <c r="AG51" s="39">
        <v>1</v>
      </c>
      <c r="AH51" s="39">
        <v>1</v>
      </c>
      <c r="AI51" s="39">
        <v>1</v>
      </c>
      <c r="AJ51" s="40" t="s">
        <v>100</v>
      </c>
      <c r="AK51" s="41">
        <v>6000</v>
      </c>
      <c r="AL51" s="25"/>
      <c r="AM51" s="25"/>
    </row>
    <row r="52" spans="1:39" x14ac:dyDescent="0.2">
      <c r="A52" s="10"/>
      <c r="B52" s="52">
        <v>43765</v>
      </c>
      <c r="C52" s="36">
        <v>0.3298611111111111</v>
      </c>
      <c r="D52" s="36"/>
      <c r="E52" s="36" t="s">
        <v>163</v>
      </c>
      <c r="F52" s="38">
        <v>2</v>
      </c>
      <c r="G52" s="43" t="str">
        <f>VLOOKUP(F52,Key!$A$17:$B$21,2,FALSE)</f>
        <v>Road Vehicle</v>
      </c>
      <c r="H52" s="37">
        <v>4</v>
      </c>
      <c r="I52" s="44" t="str">
        <f>VLOOKUP(H52,Key!$A$2:$B$13,2,FALSE)</f>
        <v>Minibus</v>
      </c>
      <c r="J52" s="38" t="s">
        <v>117</v>
      </c>
      <c r="K52" s="38">
        <v>1</v>
      </c>
      <c r="L52" s="46" t="str">
        <f>VLOOKUP(K52,Key!$A$24:$B$29,2,FALSE)</f>
        <v>20-29</v>
      </c>
      <c r="M52" s="38" t="s">
        <v>207</v>
      </c>
      <c r="N52" s="33" t="s">
        <v>171</v>
      </c>
      <c r="O52" s="38" t="s">
        <v>166</v>
      </c>
      <c r="P52" s="40">
        <v>1</v>
      </c>
      <c r="Q52" s="35" t="str">
        <f>VLOOKUP(P52,Key!$E$2:$F$9,2,FALSE)</f>
        <v>Home</v>
      </c>
      <c r="R52" s="38" t="s">
        <v>164</v>
      </c>
      <c r="S52" s="33" t="s">
        <v>165</v>
      </c>
      <c r="T52" s="38" t="s">
        <v>166</v>
      </c>
      <c r="U52" s="33">
        <v>2</v>
      </c>
      <c r="V52" s="35" t="str">
        <f>VLOOKUP(U52,Key!$E$2:$F$9,2,FALSE)</f>
        <v>Work</v>
      </c>
      <c r="W52" s="35" t="str">
        <f t="shared" si="0"/>
        <v>Home-Work</v>
      </c>
      <c r="X52" s="33">
        <v>3000</v>
      </c>
      <c r="Y52" s="39">
        <v>40</v>
      </c>
      <c r="Z52" s="39">
        <v>2</v>
      </c>
      <c r="AA52" s="33">
        <v>4</v>
      </c>
      <c r="AB52" s="35" t="str">
        <f>VLOOKUP(AA52,Key!$C$20:$D$29,2,FALSE)</f>
        <v>Office Worker</v>
      </c>
      <c r="AC52" s="33">
        <v>1</v>
      </c>
      <c r="AD52" s="35" t="str">
        <f>VLOOKUP(AC52,Key!$E$20:$F$24,2,FALSE)</f>
        <v>&lt;300,000</v>
      </c>
      <c r="AE52" s="33">
        <v>1</v>
      </c>
      <c r="AF52" s="39">
        <v>1</v>
      </c>
      <c r="AG52" s="39">
        <v>1</v>
      </c>
      <c r="AH52" s="39">
        <v>2</v>
      </c>
      <c r="AI52" s="39">
        <v>1</v>
      </c>
      <c r="AJ52" s="40" t="s">
        <v>100</v>
      </c>
      <c r="AK52" s="41">
        <v>5000</v>
      </c>
      <c r="AL52" s="25"/>
      <c r="AM52" s="25"/>
    </row>
    <row r="53" spans="1:39" x14ac:dyDescent="0.2">
      <c r="B53" s="52">
        <v>43765</v>
      </c>
      <c r="C53" s="36">
        <v>0.30208333333333331</v>
      </c>
      <c r="D53" s="36"/>
      <c r="E53" s="36" t="s">
        <v>105</v>
      </c>
      <c r="F53" s="38">
        <v>2</v>
      </c>
      <c r="G53" s="43" t="str">
        <f>VLOOKUP(F53,Key!$A$17:$B$21,2,FALSE)</f>
        <v>Road Vehicle</v>
      </c>
      <c r="H53" s="37">
        <v>4</v>
      </c>
      <c r="I53" s="44" t="str">
        <f>VLOOKUP(H53,Key!$A$2:$B$13,2,FALSE)</f>
        <v>Minibus</v>
      </c>
      <c r="J53" s="38" t="s">
        <v>117</v>
      </c>
      <c r="K53" s="38">
        <v>1</v>
      </c>
      <c r="L53" s="46" t="str">
        <f>VLOOKUP(K53,Key!$A$24:$B$29,2,FALSE)</f>
        <v>20-29</v>
      </c>
      <c r="M53" s="38" t="s">
        <v>214</v>
      </c>
      <c r="N53" s="33" t="s">
        <v>171</v>
      </c>
      <c r="O53" s="38" t="s">
        <v>166</v>
      </c>
      <c r="P53" s="40">
        <v>2</v>
      </c>
      <c r="Q53" s="35" t="str">
        <f>VLOOKUP(P53,Key!$E$2:$F$9,2,FALSE)</f>
        <v>Work</v>
      </c>
      <c r="R53" s="38" t="s">
        <v>236</v>
      </c>
      <c r="S53" s="33" t="s">
        <v>165</v>
      </c>
      <c r="T53" s="38" t="s">
        <v>166</v>
      </c>
      <c r="U53" s="33">
        <v>2</v>
      </c>
      <c r="V53" s="35" t="str">
        <f>VLOOKUP(U53,Key!$E$2:$F$9,2,FALSE)</f>
        <v>Work</v>
      </c>
      <c r="W53" s="35" t="str">
        <f t="shared" si="0"/>
        <v>Work-Work</v>
      </c>
      <c r="X53" s="33">
        <v>20000</v>
      </c>
      <c r="Y53" s="39">
        <v>36</v>
      </c>
      <c r="Z53" s="39">
        <v>2</v>
      </c>
      <c r="AA53" s="33">
        <v>5</v>
      </c>
      <c r="AB53" s="35" t="str">
        <f>VLOOKUP(AA53,Key!$C$20:$D$29,2,FALSE)</f>
        <v>Professional</v>
      </c>
      <c r="AC53" s="33">
        <v>1</v>
      </c>
      <c r="AD53" s="35" t="str">
        <f>VLOOKUP(AC53,Key!$E$20:$F$24,2,FALSE)</f>
        <v>&lt;300,000</v>
      </c>
      <c r="AE53" s="33">
        <v>1</v>
      </c>
      <c r="AF53" s="39">
        <v>1</v>
      </c>
      <c r="AG53" s="39">
        <v>1</v>
      </c>
      <c r="AH53" s="39">
        <v>2</v>
      </c>
      <c r="AI53" s="39">
        <v>1</v>
      </c>
      <c r="AJ53" s="40" t="s">
        <v>100</v>
      </c>
      <c r="AK53" s="41">
        <v>4000</v>
      </c>
      <c r="AL53" s="25"/>
      <c r="AM53" s="25"/>
    </row>
    <row r="54" spans="1:39" x14ac:dyDescent="0.2">
      <c r="B54" s="52">
        <v>43765</v>
      </c>
      <c r="C54" s="36">
        <v>0.375</v>
      </c>
      <c r="D54" s="36"/>
      <c r="E54" s="36" t="s">
        <v>105</v>
      </c>
      <c r="F54" s="38">
        <v>2</v>
      </c>
      <c r="G54" s="43" t="str">
        <f>VLOOKUP(F54,Key!$A$17:$B$21,2,FALSE)</f>
        <v>Road Vehicle</v>
      </c>
      <c r="H54" s="37">
        <v>4</v>
      </c>
      <c r="I54" s="44" t="str">
        <f>VLOOKUP(H54,Key!$A$2:$B$13,2,FALSE)</f>
        <v>Minibus</v>
      </c>
      <c r="J54" s="38" t="s">
        <v>117</v>
      </c>
      <c r="K54" s="38">
        <v>1</v>
      </c>
      <c r="L54" s="46" t="str">
        <f>VLOOKUP(K54,Key!$A$24:$B$29,2,FALSE)</f>
        <v>20-29</v>
      </c>
      <c r="M54" s="38" t="s">
        <v>240</v>
      </c>
      <c r="N54" s="33" t="s">
        <v>176</v>
      </c>
      <c r="O54" s="38" t="s">
        <v>166</v>
      </c>
      <c r="P54" s="40">
        <v>1</v>
      </c>
      <c r="Q54" s="35" t="str">
        <f>VLOOKUP(P54,Key!$E$2:$F$9,2,FALSE)</f>
        <v>Home</v>
      </c>
      <c r="R54" s="38" t="s">
        <v>169</v>
      </c>
      <c r="S54" s="33" t="s">
        <v>165</v>
      </c>
      <c r="T54" s="38" t="s">
        <v>166</v>
      </c>
      <c r="U54" s="33">
        <v>2</v>
      </c>
      <c r="V54" s="35" t="str">
        <f>VLOOKUP(U54,Key!$E$2:$F$9,2,FALSE)</f>
        <v>Work</v>
      </c>
      <c r="W54" s="35" t="str">
        <f t="shared" si="0"/>
        <v>Home-Work</v>
      </c>
      <c r="X54" s="33">
        <v>100000</v>
      </c>
      <c r="Y54" s="39">
        <v>85</v>
      </c>
      <c r="Z54" s="39">
        <v>4</v>
      </c>
      <c r="AA54" s="33">
        <v>4</v>
      </c>
      <c r="AB54" s="35" t="str">
        <f>VLOOKUP(AA54,Key!$C$20:$D$29,2,FALSE)</f>
        <v>Office Worker</v>
      </c>
      <c r="AC54" s="33">
        <v>2</v>
      </c>
      <c r="AD54" s="35" t="str">
        <f>VLOOKUP(AC54,Key!$E$20:$F$24,2,FALSE)</f>
        <v>300,000-500,000</v>
      </c>
      <c r="AE54" s="33">
        <v>5</v>
      </c>
      <c r="AF54" s="39">
        <v>4</v>
      </c>
      <c r="AG54" s="39">
        <v>1</v>
      </c>
      <c r="AH54" s="39">
        <v>1</v>
      </c>
      <c r="AI54" s="39">
        <v>1</v>
      </c>
      <c r="AJ54" s="40" t="s">
        <v>100</v>
      </c>
      <c r="AK54" s="41">
        <v>4000</v>
      </c>
      <c r="AL54" s="25"/>
      <c r="AM54" s="25"/>
    </row>
    <row r="55" spans="1:39" x14ac:dyDescent="0.2">
      <c r="B55" s="52">
        <v>43765</v>
      </c>
      <c r="C55" s="36">
        <v>0.68541666666666667</v>
      </c>
      <c r="D55" s="36"/>
      <c r="E55" s="36" t="s">
        <v>163</v>
      </c>
      <c r="F55" s="38">
        <v>2</v>
      </c>
      <c r="G55" s="43" t="str">
        <f>VLOOKUP(F55,Key!$A$17:$B$21,2,FALSE)</f>
        <v>Road Vehicle</v>
      </c>
      <c r="H55" s="37">
        <v>4</v>
      </c>
      <c r="I55" s="44" t="str">
        <f>VLOOKUP(H55,Key!$A$2:$B$13,2,FALSE)</f>
        <v>Minibus</v>
      </c>
      <c r="J55" s="38" t="s">
        <v>117</v>
      </c>
      <c r="K55" s="38">
        <v>1</v>
      </c>
      <c r="L55" s="46" t="str">
        <f>VLOOKUP(K55,Key!$A$24:$B$29,2,FALSE)</f>
        <v>20-29</v>
      </c>
      <c r="M55" s="38" t="s">
        <v>242</v>
      </c>
      <c r="N55" s="33" t="s">
        <v>165</v>
      </c>
      <c r="O55" s="38" t="s">
        <v>166</v>
      </c>
      <c r="P55" s="40">
        <v>6</v>
      </c>
      <c r="Q55" s="35" t="str">
        <f>VLOOKUP(P55,Key!$E$2:$F$9,2,FALSE)</f>
        <v>Leisure/Social</v>
      </c>
      <c r="R55" s="38" t="s">
        <v>235</v>
      </c>
      <c r="S55" s="33" t="s">
        <v>165</v>
      </c>
      <c r="T55" s="38" t="s">
        <v>166</v>
      </c>
      <c r="U55" s="33">
        <v>1</v>
      </c>
      <c r="V55" s="35" t="str">
        <f>VLOOKUP(U55,Key!$E$2:$F$9,2,FALSE)</f>
        <v>Home</v>
      </c>
      <c r="W55" s="35" t="str">
        <f t="shared" si="0"/>
        <v>Leisure/Social-Home</v>
      </c>
      <c r="X55" s="33">
        <v>2000</v>
      </c>
      <c r="Y55" s="39">
        <v>50</v>
      </c>
      <c r="Z55" s="39">
        <v>2</v>
      </c>
      <c r="AA55" s="33">
        <v>4</v>
      </c>
      <c r="AB55" s="35" t="str">
        <f>VLOOKUP(AA55,Key!$C$20:$D$29,2,FALSE)</f>
        <v>Office Worker</v>
      </c>
      <c r="AC55" s="33">
        <v>3</v>
      </c>
      <c r="AD55" s="35" t="str">
        <f>VLOOKUP(AC55,Key!$E$20:$F$24,2,FALSE)</f>
        <v>500,000-750,000</v>
      </c>
      <c r="AE55" s="33">
        <v>5</v>
      </c>
      <c r="AF55" s="39">
        <v>2</v>
      </c>
      <c r="AG55" s="39">
        <v>4</v>
      </c>
      <c r="AH55" s="39">
        <v>1</v>
      </c>
      <c r="AI55" s="39">
        <v>3</v>
      </c>
      <c r="AJ55" s="40" t="s">
        <v>100</v>
      </c>
      <c r="AK55" s="41">
        <v>500</v>
      </c>
      <c r="AL55" s="25"/>
      <c r="AM55" s="25"/>
    </row>
    <row r="56" spans="1:39" x14ac:dyDescent="0.2">
      <c r="B56" s="52">
        <v>43765</v>
      </c>
      <c r="C56" s="36">
        <v>0.69374999999999998</v>
      </c>
      <c r="D56" s="36"/>
      <c r="E56" s="36" t="s">
        <v>163</v>
      </c>
      <c r="F56" s="38">
        <v>2</v>
      </c>
      <c r="G56" s="43" t="str">
        <f>VLOOKUP(F56,Key!$A$17:$B$21,2,FALSE)</f>
        <v>Road Vehicle</v>
      </c>
      <c r="H56" s="37">
        <v>4</v>
      </c>
      <c r="I56" s="44" t="str">
        <f>VLOOKUP(H56,Key!$A$2:$B$13,2,FALSE)</f>
        <v>Minibus</v>
      </c>
      <c r="J56" s="38" t="s">
        <v>117</v>
      </c>
      <c r="K56" s="38">
        <v>1</v>
      </c>
      <c r="L56" s="46" t="str">
        <f>VLOOKUP(K56,Key!$A$24:$B$29,2,FALSE)</f>
        <v>20-29</v>
      </c>
      <c r="M56" s="38" t="s">
        <v>243</v>
      </c>
      <c r="N56" s="33" t="s">
        <v>165</v>
      </c>
      <c r="O56" s="38" t="s">
        <v>166</v>
      </c>
      <c r="P56" s="40">
        <v>8</v>
      </c>
      <c r="Q56" s="35" t="str">
        <f>VLOOKUP(P56,Key!$E$2:$F$9,2,FALSE)</f>
        <v>Others</v>
      </c>
      <c r="R56" s="38" t="s">
        <v>244</v>
      </c>
      <c r="S56" s="33" t="s">
        <v>165</v>
      </c>
      <c r="T56" s="38" t="s">
        <v>166</v>
      </c>
      <c r="U56" s="33">
        <v>1</v>
      </c>
      <c r="V56" s="35" t="str">
        <f>VLOOKUP(U56,Key!$E$2:$F$9,2,FALSE)</f>
        <v>Home</v>
      </c>
      <c r="W56" s="35" t="str">
        <f t="shared" si="0"/>
        <v>Others-Home</v>
      </c>
      <c r="X56" s="33">
        <v>1000</v>
      </c>
      <c r="Y56" s="39">
        <v>6</v>
      </c>
      <c r="Z56" s="39">
        <v>0.1</v>
      </c>
      <c r="AA56" s="33">
        <v>4</v>
      </c>
      <c r="AB56" s="35" t="str">
        <f>VLOOKUP(AA56,Key!$C$20:$D$29,2,FALSE)</f>
        <v>Office Worker</v>
      </c>
      <c r="AC56" s="33">
        <v>2</v>
      </c>
      <c r="AD56" s="35" t="str">
        <f>VLOOKUP(AC56,Key!$E$20:$F$24,2,FALSE)</f>
        <v>300,000-500,000</v>
      </c>
      <c r="AE56" s="33">
        <v>5</v>
      </c>
      <c r="AF56" s="39">
        <v>4</v>
      </c>
      <c r="AG56" s="39">
        <v>1</v>
      </c>
      <c r="AH56" s="39">
        <v>3</v>
      </c>
      <c r="AI56" s="39">
        <v>2</v>
      </c>
      <c r="AJ56" s="40" t="s">
        <v>100</v>
      </c>
      <c r="AK56" s="41">
        <v>500</v>
      </c>
      <c r="AL56" s="25"/>
      <c r="AM56" s="25"/>
    </row>
    <row r="57" spans="1:39" x14ac:dyDescent="0.2">
      <c r="B57" s="52">
        <v>43765</v>
      </c>
      <c r="C57" s="36">
        <v>0.64444444444444449</v>
      </c>
      <c r="D57" s="36"/>
      <c r="E57" s="36" t="s">
        <v>163</v>
      </c>
      <c r="F57" s="38">
        <v>2</v>
      </c>
      <c r="G57" s="43" t="str">
        <f>VLOOKUP(F57,Key!$A$17:$B$21,2,FALSE)</f>
        <v>Road Vehicle</v>
      </c>
      <c r="H57" s="37">
        <v>4</v>
      </c>
      <c r="I57" s="44" t="str">
        <f>VLOOKUP(H57,Key!$A$2:$B$13,2,FALSE)</f>
        <v>Minibus</v>
      </c>
      <c r="J57" s="38" t="s">
        <v>117</v>
      </c>
      <c r="K57" s="38">
        <v>1</v>
      </c>
      <c r="L57" s="46" t="str">
        <f>VLOOKUP(K57,Key!$A$24:$B$29,2,FALSE)</f>
        <v>20-29</v>
      </c>
      <c r="M57" s="38" t="s">
        <v>164</v>
      </c>
      <c r="N57" s="33" t="s">
        <v>165</v>
      </c>
      <c r="O57" s="38" t="s">
        <v>166</v>
      </c>
      <c r="P57" s="40">
        <v>6</v>
      </c>
      <c r="Q57" s="35" t="str">
        <f>VLOOKUP(P57,Key!$E$2:$F$9,2,FALSE)</f>
        <v>Leisure/Social</v>
      </c>
      <c r="R57" s="38" t="s">
        <v>181</v>
      </c>
      <c r="S57" s="33" t="s">
        <v>165</v>
      </c>
      <c r="T57" s="38" t="s">
        <v>166</v>
      </c>
      <c r="U57" s="33">
        <v>1</v>
      </c>
      <c r="V57" s="35" t="str">
        <f>VLOOKUP(U57,Key!$E$2:$F$9,2,FALSE)</f>
        <v>Home</v>
      </c>
      <c r="W57" s="35" t="str">
        <f t="shared" si="0"/>
        <v>Leisure/Social-Home</v>
      </c>
      <c r="X57" s="33">
        <v>2000</v>
      </c>
      <c r="Y57" s="39">
        <v>20</v>
      </c>
      <c r="Z57" s="39">
        <v>0.7</v>
      </c>
      <c r="AA57" s="33">
        <v>2</v>
      </c>
      <c r="AB57" s="35" t="str">
        <f>VLOOKUP(AA57,Key!$C$20:$D$29,2,FALSE)</f>
        <v>Manual Labour</v>
      </c>
      <c r="AC57" s="33">
        <v>2</v>
      </c>
      <c r="AD57" s="35" t="str">
        <f>VLOOKUP(AC57,Key!$E$20:$F$24,2,FALSE)</f>
        <v>300,000-500,000</v>
      </c>
      <c r="AE57" s="33">
        <v>3</v>
      </c>
      <c r="AF57" s="39">
        <v>3</v>
      </c>
      <c r="AG57" s="39">
        <v>4</v>
      </c>
      <c r="AH57" s="39">
        <v>1</v>
      </c>
      <c r="AI57" s="39">
        <v>5</v>
      </c>
      <c r="AJ57" s="40" t="s">
        <v>100</v>
      </c>
      <c r="AK57" s="41"/>
      <c r="AL57" s="25"/>
      <c r="AM57" s="25"/>
    </row>
    <row r="58" spans="1:39" x14ac:dyDescent="0.2">
      <c r="B58" s="52">
        <v>43765</v>
      </c>
      <c r="C58" s="36">
        <v>0.43124999999999997</v>
      </c>
      <c r="D58" s="36"/>
      <c r="E58" s="36" t="s">
        <v>163</v>
      </c>
      <c r="F58" s="38">
        <v>2</v>
      </c>
      <c r="G58" s="43" t="str">
        <f>VLOOKUP(F58,Key!$A$17:$B$21,2,FALSE)</f>
        <v>Road Vehicle</v>
      </c>
      <c r="H58" s="37">
        <v>4</v>
      </c>
      <c r="I58" s="44" t="str">
        <f>VLOOKUP(H58,Key!$A$2:$B$13,2,FALSE)</f>
        <v>Minibus</v>
      </c>
      <c r="J58" s="38" t="s">
        <v>117</v>
      </c>
      <c r="K58" s="38">
        <v>1</v>
      </c>
      <c r="L58" s="46" t="str">
        <f>VLOOKUP(K58,Key!$A$24:$B$29,2,FALSE)</f>
        <v>20-29</v>
      </c>
      <c r="M58" s="38" t="s">
        <v>169</v>
      </c>
      <c r="N58" s="33" t="s">
        <v>165</v>
      </c>
      <c r="O58" s="38" t="s">
        <v>166</v>
      </c>
      <c r="P58" s="40">
        <v>2</v>
      </c>
      <c r="Q58" s="35" t="str">
        <f>VLOOKUP(P58,Key!$E$2:$F$9,2,FALSE)</f>
        <v>Work</v>
      </c>
      <c r="R58" s="38" t="s">
        <v>200</v>
      </c>
      <c r="S58" s="33" t="s">
        <v>171</v>
      </c>
      <c r="T58" s="38" t="s">
        <v>166</v>
      </c>
      <c r="U58" s="33">
        <v>1</v>
      </c>
      <c r="V58" s="35" t="str">
        <f>VLOOKUP(U58,Key!$E$2:$F$9,2,FALSE)</f>
        <v>Home</v>
      </c>
      <c r="W58" s="35" t="str">
        <f t="shared" si="0"/>
        <v>Work-Home</v>
      </c>
      <c r="X58" s="33">
        <v>5000</v>
      </c>
      <c r="Y58" s="39"/>
      <c r="Z58" s="39">
        <v>1.5</v>
      </c>
      <c r="AA58" s="33">
        <v>10</v>
      </c>
      <c r="AB58" s="35" t="str">
        <f>VLOOKUP(AA58,Key!$C$20:$D$29,2,FALSE)</f>
        <v>Other</v>
      </c>
      <c r="AC58" s="33">
        <v>1</v>
      </c>
      <c r="AD58" s="35" t="str">
        <f>VLOOKUP(AC58,Key!$E$20:$F$24,2,FALSE)</f>
        <v>&lt;300,000</v>
      </c>
      <c r="AE58" s="33">
        <v>1</v>
      </c>
      <c r="AF58" s="39">
        <v>5</v>
      </c>
      <c r="AG58" s="39">
        <v>3</v>
      </c>
      <c r="AH58" s="39">
        <v>2</v>
      </c>
      <c r="AI58" s="39">
        <v>4</v>
      </c>
      <c r="AJ58" s="40" t="s">
        <v>100</v>
      </c>
      <c r="AK58" s="41">
        <v>500</v>
      </c>
      <c r="AL58" s="25"/>
      <c r="AM58" s="25"/>
    </row>
    <row r="59" spans="1:39" x14ac:dyDescent="0.2">
      <c r="B59" s="52">
        <v>43765</v>
      </c>
      <c r="C59" s="36">
        <v>0.38125000000000003</v>
      </c>
      <c r="D59" s="36"/>
      <c r="E59" s="36" t="s">
        <v>163</v>
      </c>
      <c r="F59" s="38">
        <v>2</v>
      </c>
      <c r="G59" s="43" t="str">
        <f>VLOOKUP(F59,Key!$A$17:$B$21,2,FALSE)</f>
        <v>Road Vehicle</v>
      </c>
      <c r="H59" s="37">
        <v>4</v>
      </c>
      <c r="I59" s="44" t="str">
        <f>VLOOKUP(H59,Key!$A$2:$B$13,2,FALSE)</f>
        <v>Minibus</v>
      </c>
      <c r="J59" s="38" t="s">
        <v>117</v>
      </c>
      <c r="K59" s="38">
        <v>1</v>
      </c>
      <c r="L59" s="46" t="str">
        <f>VLOOKUP(K59,Key!$A$24:$B$29,2,FALSE)</f>
        <v>20-29</v>
      </c>
      <c r="M59" s="38" t="s">
        <v>247</v>
      </c>
      <c r="N59" s="33" t="s">
        <v>165</v>
      </c>
      <c r="O59" s="38" t="s">
        <v>166</v>
      </c>
      <c r="P59" s="40">
        <v>1</v>
      </c>
      <c r="Q59" s="35" t="str">
        <f>VLOOKUP(P59,Key!$E$2:$F$9,2,FALSE)</f>
        <v>Home</v>
      </c>
      <c r="R59" s="38" t="s">
        <v>248</v>
      </c>
      <c r="S59" s="33" t="s">
        <v>165</v>
      </c>
      <c r="T59" s="38" t="s">
        <v>166</v>
      </c>
      <c r="U59" s="33">
        <v>6</v>
      </c>
      <c r="V59" s="35" t="str">
        <f>VLOOKUP(U59,Key!$E$2:$F$9,2,FALSE)</f>
        <v>Leisure/Social</v>
      </c>
      <c r="W59" s="35" t="str">
        <f t="shared" si="0"/>
        <v>Home-Leisure/Social</v>
      </c>
      <c r="X59" s="33">
        <v>3000</v>
      </c>
      <c r="Y59" s="39">
        <v>30</v>
      </c>
      <c r="Z59" s="39">
        <v>0.9</v>
      </c>
      <c r="AA59" s="33">
        <v>4</v>
      </c>
      <c r="AB59" s="35" t="str">
        <f>VLOOKUP(AA59,Key!$C$20:$D$29,2,FALSE)</f>
        <v>Office Worker</v>
      </c>
      <c r="AC59" s="33">
        <v>3</v>
      </c>
      <c r="AD59" s="35" t="str">
        <f>VLOOKUP(AC59,Key!$E$20:$F$24,2,FALSE)</f>
        <v>500,000-750,000</v>
      </c>
      <c r="AE59" s="33">
        <v>2</v>
      </c>
      <c r="AF59" s="39">
        <v>4</v>
      </c>
      <c r="AG59" s="39">
        <v>3</v>
      </c>
      <c r="AH59" s="39">
        <v>1</v>
      </c>
      <c r="AI59" s="39">
        <v>5</v>
      </c>
      <c r="AJ59" s="40" t="s">
        <v>100</v>
      </c>
      <c r="AK59" s="41">
        <v>2000</v>
      </c>
      <c r="AL59" s="25"/>
      <c r="AM59" s="25"/>
    </row>
    <row r="60" spans="1:39" x14ac:dyDescent="0.2">
      <c r="B60" s="52">
        <v>43765</v>
      </c>
      <c r="C60" s="36">
        <v>0.30833333333333335</v>
      </c>
      <c r="D60" s="36"/>
      <c r="E60" s="36" t="s">
        <v>105</v>
      </c>
      <c r="F60" s="38">
        <v>2</v>
      </c>
      <c r="G60" s="43" t="str">
        <f>VLOOKUP(F60,Key!$A$17:$B$21,2,FALSE)</f>
        <v>Road Vehicle</v>
      </c>
      <c r="H60" s="37">
        <v>4</v>
      </c>
      <c r="I60" s="44" t="str">
        <f>VLOOKUP(H60,Key!$A$2:$B$13,2,FALSE)</f>
        <v>Minibus</v>
      </c>
      <c r="J60" s="38" t="s">
        <v>117</v>
      </c>
      <c r="K60" s="38">
        <v>1</v>
      </c>
      <c r="L60" s="46" t="str">
        <f>VLOOKUP(K60,Key!$A$24:$B$29,2,FALSE)</f>
        <v>20-29</v>
      </c>
      <c r="M60" s="38" t="s">
        <v>164</v>
      </c>
      <c r="N60" s="33" t="s">
        <v>165</v>
      </c>
      <c r="O60" s="38" t="s">
        <v>166</v>
      </c>
      <c r="P60" s="40">
        <v>2</v>
      </c>
      <c r="Q60" s="35" t="str">
        <f>VLOOKUP(P60,Key!$E$2:$F$9,2,FALSE)</f>
        <v>Work</v>
      </c>
      <c r="R60" s="38" t="s">
        <v>170</v>
      </c>
      <c r="S60" s="33" t="s">
        <v>171</v>
      </c>
      <c r="T60" s="38" t="s">
        <v>166</v>
      </c>
      <c r="U60" s="33">
        <v>2</v>
      </c>
      <c r="V60" s="35" t="str">
        <f>VLOOKUP(U60,Key!$E$2:$F$9,2,FALSE)</f>
        <v>Work</v>
      </c>
      <c r="W60" s="35" t="str">
        <f t="shared" si="0"/>
        <v>Work-Work</v>
      </c>
      <c r="X60" s="33">
        <v>15000</v>
      </c>
      <c r="Y60" s="39">
        <v>40</v>
      </c>
      <c r="Z60" s="39">
        <v>10</v>
      </c>
      <c r="AA60" s="33">
        <v>10</v>
      </c>
      <c r="AB60" s="35" t="str">
        <f>VLOOKUP(AA60,Key!$C$20:$D$29,2,FALSE)</f>
        <v>Other</v>
      </c>
      <c r="AC60" s="33">
        <v>3</v>
      </c>
      <c r="AD60" s="35" t="str">
        <f>VLOOKUP(AC60,Key!$E$20:$F$24,2,FALSE)</f>
        <v>500,000-750,000</v>
      </c>
      <c r="AE60" s="33">
        <v>5</v>
      </c>
      <c r="AF60" s="39">
        <v>1</v>
      </c>
      <c r="AG60" s="39">
        <v>3</v>
      </c>
      <c r="AH60" s="39">
        <v>2</v>
      </c>
      <c r="AI60" s="39">
        <v>4</v>
      </c>
      <c r="AJ60" s="40" t="s">
        <v>100</v>
      </c>
      <c r="AK60" s="41">
        <v>2000</v>
      </c>
      <c r="AL60" s="25"/>
      <c r="AM60" s="25"/>
    </row>
    <row r="61" spans="1:39" x14ac:dyDescent="0.2">
      <c r="B61" s="52">
        <v>43765</v>
      </c>
      <c r="C61" s="36">
        <v>0.29791666666666666</v>
      </c>
      <c r="D61" s="36"/>
      <c r="E61" s="36" t="s">
        <v>163</v>
      </c>
      <c r="F61" s="38">
        <v>2</v>
      </c>
      <c r="G61" s="43" t="str">
        <f>VLOOKUP(F61,Key!$A$17:$B$21,2,FALSE)</f>
        <v>Road Vehicle</v>
      </c>
      <c r="H61" s="37">
        <v>4</v>
      </c>
      <c r="I61" s="44" t="str">
        <f>VLOOKUP(H61,Key!$A$2:$B$13,2,FALSE)</f>
        <v>Minibus</v>
      </c>
      <c r="J61" s="38" t="s">
        <v>117</v>
      </c>
      <c r="K61" s="38">
        <v>1</v>
      </c>
      <c r="L61" s="46" t="str">
        <f>VLOOKUP(K61,Key!$A$24:$B$29,2,FALSE)</f>
        <v>20-29</v>
      </c>
      <c r="M61" s="38" t="s">
        <v>164</v>
      </c>
      <c r="N61" s="33" t="s">
        <v>165</v>
      </c>
      <c r="O61" s="38" t="s">
        <v>166</v>
      </c>
      <c r="P61" s="40">
        <v>1</v>
      </c>
      <c r="Q61" s="35" t="str">
        <f>VLOOKUP(P61,Key!$E$2:$F$9,2,FALSE)</f>
        <v>Home</v>
      </c>
      <c r="R61" s="38" t="s">
        <v>251</v>
      </c>
      <c r="S61" s="33" t="s">
        <v>165</v>
      </c>
      <c r="T61" s="38" t="s">
        <v>166</v>
      </c>
      <c r="U61" s="33">
        <v>2</v>
      </c>
      <c r="V61" s="35" t="str">
        <f>VLOOKUP(U61,Key!$E$2:$F$9,2,FALSE)</f>
        <v>Work</v>
      </c>
      <c r="W61" s="35" t="str">
        <f t="shared" si="0"/>
        <v>Home-Work</v>
      </c>
      <c r="X61" s="33">
        <v>1500</v>
      </c>
      <c r="Y61" s="39"/>
      <c r="Z61" s="39">
        <v>0.1</v>
      </c>
      <c r="AA61" s="33">
        <v>2</v>
      </c>
      <c r="AB61" s="35" t="str">
        <f>VLOOKUP(AA61,Key!$C$20:$D$29,2,FALSE)</f>
        <v>Manual Labour</v>
      </c>
      <c r="AC61" s="33">
        <v>1</v>
      </c>
      <c r="AD61" s="35" t="str">
        <f>VLOOKUP(AC61,Key!$E$20:$F$24,2,FALSE)</f>
        <v>&lt;300,000</v>
      </c>
      <c r="AE61" s="33">
        <v>2</v>
      </c>
      <c r="AF61" s="39">
        <v>1</v>
      </c>
      <c r="AG61" s="39">
        <v>4</v>
      </c>
      <c r="AH61" s="39">
        <v>5</v>
      </c>
      <c r="AI61" s="39">
        <v>3</v>
      </c>
      <c r="AJ61" s="40" t="s">
        <v>100</v>
      </c>
      <c r="AK61" s="41"/>
      <c r="AL61" s="25"/>
      <c r="AM61" s="25"/>
    </row>
    <row r="62" spans="1:39" x14ac:dyDescent="0.2">
      <c r="B62" s="52">
        <v>43765</v>
      </c>
      <c r="C62" s="36">
        <v>0.30277777777777776</v>
      </c>
      <c r="D62" s="36"/>
      <c r="E62" s="36" t="s">
        <v>163</v>
      </c>
      <c r="F62" s="38">
        <v>2</v>
      </c>
      <c r="G62" s="43" t="str">
        <f>VLOOKUP(F62,Key!$A$17:$B$21,2,FALSE)</f>
        <v>Road Vehicle</v>
      </c>
      <c r="H62" s="37">
        <v>4</v>
      </c>
      <c r="I62" s="44" t="str">
        <f>VLOOKUP(H62,Key!$A$2:$B$13,2,FALSE)</f>
        <v>Minibus</v>
      </c>
      <c r="J62" s="38" t="s">
        <v>117</v>
      </c>
      <c r="K62" s="38">
        <v>1</v>
      </c>
      <c r="L62" s="46" t="str">
        <f>VLOOKUP(K62,Key!$A$24:$B$29,2,FALSE)</f>
        <v>20-29</v>
      </c>
      <c r="M62" s="38" t="s">
        <v>164</v>
      </c>
      <c r="N62" s="33" t="s">
        <v>165</v>
      </c>
      <c r="O62" s="38" t="s">
        <v>166</v>
      </c>
      <c r="P62" s="40">
        <v>1</v>
      </c>
      <c r="Q62" s="35" t="str">
        <f>VLOOKUP(P62,Key!$E$2:$F$9,2,FALSE)</f>
        <v>Home</v>
      </c>
      <c r="R62" s="38" t="s">
        <v>255</v>
      </c>
      <c r="S62" s="33" t="s">
        <v>165</v>
      </c>
      <c r="T62" s="38" t="s">
        <v>166</v>
      </c>
      <c r="U62" s="33">
        <v>8</v>
      </c>
      <c r="V62" s="35" t="str">
        <f>VLOOKUP(U62,Key!$E$2:$F$9,2,FALSE)</f>
        <v>Others</v>
      </c>
      <c r="W62" s="35" t="str">
        <f t="shared" si="0"/>
        <v>Home-Others</v>
      </c>
      <c r="X62" s="33">
        <v>3000</v>
      </c>
      <c r="Y62" s="39"/>
      <c r="Z62" s="39">
        <v>0.9</v>
      </c>
      <c r="AA62" s="33">
        <v>4</v>
      </c>
      <c r="AB62" s="35" t="str">
        <f>VLOOKUP(AA62,Key!$C$20:$D$29,2,FALSE)</f>
        <v>Office Worker</v>
      </c>
      <c r="AC62" s="33">
        <v>3</v>
      </c>
      <c r="AD62" s="35" t="str">
        <f>VLOOKUP(AC62,Key!$E$20:$F$24,2,FALSE)</f>
        <v>500,000-750,000</v>
      </c>
      <c r="AE62" s="33">
        <v>2</v>
      </c>
      <c r="AF62" s="39">
        <v>3</v>
      </c>
      <c r="AG62" s="39">
        <v>1</v>
      </c>
      <c r="AH62" s="39">
        <v>1</v>
      </c>
      <c r="AI62" s="39">
        <v>1</v>
      </c>
      <c r="AJ62" s="40" t="s">
        <v>100</v>
      </c>
      <c r="AK62" s="41">
        <v>3000</v>
      </c>
      <c r="AL62" s="25"/>
      <c r="AM62" s="25"/>
    </row>
    <row r="63" spans="1:39" x14ac:dyDescent="0.2">
      <c r="B63" s="52">
        <v>43765</v>
      </c>
      <c r="C63" s="36">
        <v>0.55625000000000002</v>
      </c>
      <c r="D63" s="36"/>
      <c r="E63" s="36" t="s">
        <v>105</v>
      </c>
      <c r="F63" s="38">
        <v>2</v>
      </c>
      <c r="G63" s="43" t="str">
        <f>VLOOKUP(F63,Key!$A$17:$B$21,2,FALSE)</f>
        <v>Road Vehicle</v>
      </c>
      <c r="H63" s="37">
        <v>4</v>
      </c>
      <c r="I63" s="44" t="str">
        <f>VLOOKUP(H63,Key!$A$2:$B$13,2,FALSE)</f>
        <v>Minibus</v>
      </c>
      <c r="J63" s="38" t="s">
        <v>117</v>
      </c>
      <c r="K63" s="38">
        <v>1</v>
      </c>
      <c r="L63" s="46" t="str">
        <f>VLOOKUP(K63,Key!$A$24:$B$29,2,FALSE)</f>
        <v>20-29</v>
      </c>
      <c r="M63" s="38" t="s">
        <v>250</v>
      </c>
      <c r="N63" s="33" t="s">
        <v>165</v>
      </c>
      <c r="O63" s="38" t="s">
        <v>166</v>
      </c>
      <c r="P63" s="40">
        <v>2</v>
      </c>
      <c r="Q63" s="35" t="str">
        <f>VLOOKUP(P63,Key!$E$2:$F$9,2,FALSE)</f>
        <v>Work</v>
      </c>
      <c r="R63" s="38" t="s">
        <v>170</v>
      </c>
      <c r="S63" s="33" t="s">
        <v>171</v>
      </c>
      <c r="T63" s="38" t="s">
        <v>166</v>
      </c>
      <c r="U63" s="33">
        <v>2</v>
      </c>
      <c r="V63" s="35" t="str">
        <f>VLOOKUP(U63,Key!$E$2:$F$9,2,FALSE)</f>
        <v>Work</v>
      </c>
      <c r="W63" s="35" t="str">
        <f t="shared" si="0"/>
        <v>Work-Work</v>
      </c>
      <c r="X63" s="33">
        <v>35000</v>
      </c>
      <c r="Y63" s="39">
        <v>40</v>
      </c>
      <c r="Z63" s="39">
        <v>1.5</v>
      </c>
      <c r="AA63" s="33">
        <v>10</v>
      </c>
      <c r="AB63" s="35" t="str">
        <f>VLOOKUP(AA63,Key!$C$20:$D$29,2,FALSE)</f>
        <v>Other</v>
      </c>
      <c r="AC63" s="33">
        <v>3</v>
      </c>
      <c r="AD63" s="35" t="str">
        <f>VLOOKUP(AC63,Key!$E$20:$F$24,2,FALSE)</f>
        <v>500,000-750,000</v>
      </c>
      <c r="AE63" s="33">
        <v>3</v>
      </c>
      <c r="AF63" s="39">
        <v>1</v>
      </c>
      <c r="AG63" s="39">
        <v>5</v>
      </c>
      <c r="AH63" s="39">
        <v>4</v>
      </c>
      <c r="AI63" s="39">
        <v>2</v>
      </c>
      <c r="AJ63" s="40" t="s">
        <v>100</v>
      </c>
      <c r="AK63" s="41">
        <v>2000</v>
      </c>
      <c r="AL63" s="25"/>
      <c r="AM63" s="25"/>
    </row>
    <row r="64" spans="1:39" x14ac:dyDescent="0.2">
      <c r="B64" s="52">
        <v>43765</v>
      </c>
      <c r="C64" s="36">
        <v>0.5083333333333333</v>
      </c>
      <c r="D64" s="36"/>
      <c r="E64" s="36" t="s">
        <v>163</v>
      </c>
      <c r="F64" s="38">
        <v>2</v>
      </c>
      <c r="G64" s="43" t="str">
        <f>VLOOKUP(F64,Key!$A$17:$B$21,2,FALSE)</f>
        <v>Road Vehicle</v>
      </c>
      <c r="H64" s="37">
        <v>4</v>
      </c>
      <c r="I64" s="44" t="str">
        <f>VLOOKUP(H64,Key!$A$2:$B$13,2,FALSE)</f>
        <v>Minibus</v>
      </c>
      <c r="J64" s="38" t="s">
        <v>117</v>
      </c>
      <c r="K64" s="38">
        <v>1</v>
      </c>
      <c r="L64" s="46" t="str">
        <f>VLOOKUP(K64,Key!$A$24:$B$29,2,FALSE)</f>
        <v>20-29</v>
      </c>
      <c r="M64" s="38" t="s">
        <v>164</v>
      </c>
      <c r="N64" s="33" t="s">
        <v>165</v>
      </c>
      <c r="O64" s="38" t="s">
        <v>166</v>
      </c>
      <c r="P64" s="40">
        <v>6</v>
      </c>
      <c r="Q64" s="35" t="str">
        <f>VLOOKUP(P64,Key!$E$2:$F$9,2,FALSE)</f>
        <v>Leisure/Social</v>
      </c>
      <c r="R64" s="38" t="s">
        <v>192</v>
      </c>
      <c r="S64" s="33" t="s">
        <v>165</v>
      </c>
      <c r="T64" s="38" t="s">
        <v>166</v>
      </c>
      <c r="U64" s="33">
        <v>1</v>
      </c>
      <c r="V64" s="35" t="str">
        <f>VLOOKUP(U64,Key!$E$2:$F$9,2,FALSE)</f>
        <v>Home</v>
      </c>
      <c r="W64" s="35" t="str">
        <f t="shared" si="0"/>
        <v>Leisure/Social-Home</v>
      </c>
      <c r="X64" s="33">
        <v>2000</v>
      </c>
      <c r="Y64" s="39">
        <v>25</v>
      </c>
      <c r="Z64" s="39">
        <v>0.8</v>
      </c>
      <c r="AA64" s="33">
        <v>1</v>
      </c>
      <c r="AB64" s="35" t="str">
        <f>VLOOKUP(AA64,Key!$C$20:$D$29,2,FALSE)</f>
        <v>Unemployed</v>
      </c>
      <c r="AC64" s="33">
        <v>1</v>
      </c>
      <c r="AD64" s="35" t="str">
        <f>VLOOKUP(AC64,Key!$E$20:$F$24,2,FALSE)</f>
        <v>&lt;300,000</v>
      </c>
      <c r="AE64" s="33">
        <v>2</v>
      </c>
      <c r="AF64" s="39">
        <v>3</v>
      </c>
      <c r="AG64" s="39">
        <v>4</v>
      </c>
      <c r="AH64" s="39">
        <v>1</v>
      </c>
      <c r="AI64" s="39">
        <v>5</v>
      </c>
      <c r="AJ64" s="40" t="s">
        <v>100</v>
      </c>
      <c r="AK64" s="41">
        <v>1500</v>
      </c>
      <c r="AL64" s="25"/>
      <c r="AM64" s="25"/>
    </row>
    <row r="65" spans="2:39" x14ac:dyDescent="0.2">
      <c r="B65" s="52">
        <v>43765</v>
      </c>
      <c r="C65" s="36">
        <v>0.4993055555555555</v>
      </c>
      <c r="D65" s="36"/>
      <c r="E65" s="36" t="s">
        <v>163</v>
      </c>
      <c r="F65" s="38">
        <v>2</v>
      </c>
      <c r="G65" s="43" t="str">
        <f>VLOOKUP(F65,Key!$A$17:$B$21,2,FALSE)</f>
        <v>Road Vehicle</v>
      </c>
      <c r="H65" s="37">
        <v>4</v>
      </c>
      <c r="I65" s="44" t="str">
        <f>VLOOKUP(H65,Key!$A$2:$B$13,2,FALSE)</f>
        <v>Minibus</v>
      </c>
      <c r="J65" s="38" t="s">
        <v>117</v>
      </c>
      <c r="K65" s="38">
        <v>1</v>
      </c>
      <c r="L65" s="46" t="str">
        <f>VLOOKUP(K65,Key!$A$24:$B$29,2,FALSE)</f>
        <v>20-29</v>
      </c>
      <c r="M65" s="38" t="s">
        <v>258</v>
      </c>
      <c r="N65" s="33" t="s">
        <v>165</v>
      </c>
      <c r="O65" s="38" t="s">
        <v>166</v>
      </c>
      <c r="P65" s="40">
        <v>1</v>
      </c>
      <c r="Q65" s="35" t="str">
        <f>VLOOKUP(P65,Key!$E$2:$F$9,2,FALSE)</f>
        <v>Home</v>
      </c>
      <c r="R65" s="38" t="s">
        <v>259</v>
      </c>
      <c r="S65" s="33" t="s">
        <v>171</v>
      </c>
      <c r="T65" s="38" t="s">
        <v>166</v>
      </c>
      <c r="U65" s="33">
        <v>6</v>
      </c>
      <c r="V65" s="35" t="str">
        <f>VLOOKUP(U65,Key!$E$2:$F$9,2,FALSE)</f>
        <v>Leisure/Social</v>
      </c>
      <c r="W65" s="35" t="str">
        <f t="shared" si="0"/>
        <v>Home-Leisure/Social</v>
      </c>
      <c r="X65" s="33">
        <v>5000</v>
      </c>
      <c r="Y65" s="39">
        <v>48</v>
      </c>
      <c r="Z65" s="39">
        <v>1.5</v>
      </c>
      <c r="AA65" s="33">
        <v>1</v>
      </c>
      <c r="AB65" s="35" t="str">
        <f>VLOOKUP(AA65,Key!$C$20:$D$29,2,FALSE)</f>
        <v>Unemployed</v>
      </c>
      <c r="AC65" s="33">
        <v>1</v>
      </c>
      <c r="AD65" s="35" t="str">
        <f>VLOOKUP(AC65,Key!$E$20:$F$24,2,FALSE)</f>
        <v>&lt;300,000</v>
      </c>
      <c r="AE65" s="33">
        <v>3</v>
      </c>
      <c r="AF65" s="39">
        <v>5</v>
      </c>
      <c r="AG65" s="39">
        <v>1</v>
      </c>
      <c r="AH65" s="39">
        <v>4</v>
      </c>
      <c r="AI65" s="39">
        <v>2</v>
      </c>
      <c r="AJ65" s="40" t="s">
        <v>100</v>
      </c>
      <c r="AK65" s="41">
        <v>3000</v>
      </c>
      <c r="AL65" s="25"/>
      <c r="AM65" s="25"/>
    </row>
    <row r="66" spans="2:39" x14ac:dyDescent="0.2">
      <c r="B66" s="52">
        <v>43765</v>
      </c>
      <c r="C66" s="36">
        <v>0.47083333333333338</v>
      </c>
      <c r="D66" s="36"/>
      <c r="E66" s="36" t="s">
        <v>163</v>
      </c>
      <c r="F66" s="38">
        <v>2</v>
      </c>
      <c r="G66" s="43" t="str">
        <f>VLOOKUP(F66,Key!$A$17:$B$21,2,FALSE)</f>
        <v>Road Vehicle</v>
      </c>
      <c r="H66" s="37">
        <v>4</v>
      </c>
      <c r="I66" s="44" t="str">
        <f>VLOOKUP(H66,Key!$A$2:$B$13,2,FALSE)</f>
        <v>Minibus</v>
      </c>
      <c r="J66" s="38" t="s">
        <v>117</v>
      </c>
      <c r="K66" s="38">
        <v>1</v>
      </c>
      <c r="L66" s="46" t="str">
        <f>VLOOKUP(K66,Key!$A$24:$B$29,2,FALSE)</f>
        <v>20-29</v>
      </c>
      <c r="M66" s="38" t="s">
        <v>164</v>
      </c>
      <c r="N66" s="33" t="s">
        <v>165</v>
      </c>
      <c r="O66" s="38" t="s">
        <v>166</v>
      </c>
      <c r="P66" s="40">
        <v>6</v>
      </c>
      <c r="Q66" s="35" t="str">
        <f>VLOOKUP(P66,Key!$E$2:$F$9,2,FALSE)</f>
        <v>Leisure/Social</v>
      </c>
      <c r="R66" s="38" t="s">
        <v>212</v>
      </c>
      <c r="S66" s="33" t="s">
        <v>171</v>
      </c>
      <c r="T66" s="38" t="s">
        <v>166</v>
      </c>
      <c r="U66" s="33">
        <v>1</v>
      </c>
      <c r="V66" s="35" t="str">
        <f>VLOOKUP(U66,Key!$E$2:$F$9,2,FALSE)</f>
        <v>Home</v>
      </c>
      <c r="W66" s="35" t="str">
        <f t="shared" si="0"/>
        <v>Leisure/Social-Home</v>
      </c>
      <c r="X66" s="33">
        <v>5000</v>
      </c>
      <c r="Y66" s="39">
        <v>36</v>
      </c>
      <c r="Z66" s="39">
        <v>0.9</v>
      </c>
      <c r="AA66" s="33">
        <v>1</v>
      </c>
      <c r="AB66" s="35" t="str">
        <f>VLOOKUP(AA66,Key!$C$20:$D$29,2,FALSE)</f>
        <v>Unemployed</v>
      </c>
      <c r="AC66" s="33">
        <v>1</v>
      </c>
      <c r="AD66" s="35" t="str">
        <f>VLOOKUP(AC66,Key!$E$20:$F$24,2,FALSE)</f>
        <v>&lt;300,000</v>
      </c>
      <c r="AE66" s="33">
        <v>5</v>
      </c>
      <c r="AF66" s="39">
        <v>1</v>
      </c>
      <c r="AG66" s="39">
        <v>4</v>
      </c>
      <c r="AH66" s="39">
        <v>2</v>
      </c>
      <c r="AI66" s="39">
        <v>3</v>
      </c>
      <c r="AJ66" s="40" t="s">
        <v>100</v>
      </c>
      <c r="AK66" s="41">
        <v>100</v>
      </c>
      <c r="AL66" s="25"/>
      <c r="AM66" s="25"/>
    </row>
    <row r="67" spans="2:39" x14ac:dyDescent="0.2">
      <c r="B67" s="52">
        <v>43765</v>
      </c>
      <c r="C67" s="36">
        <v>0.30555555555555552</v>
      </c>
      <c r="D67" s="36"/>
      <c r="E67" s="36" t="s">
        <v>105</v>
      </c>
      <c r="F67" s="38">
        <v>2</v>
      </c>
      <c r="G67" s="43" t="str">
        <f>VLOOKUP(F67,Key!$A$17:$B$21,2,FALSE)</f>
        <v>Road Vehicle</v>
      </c>
      <c r="H67" s="37">
        <v>4</v>
      </c>
      <c r="I67" s="44" t="str">
        <f>VLOOKUP(H67,Key!$A$2:$B$13,2,FALSE)</f>
        <v>Minibus</v>
      </c>
      <c r="J67" s="38" t="s">
        <v>117</v>
      </c>
      <c r="K67" s="38">
        <v>1</v>
      </c>
      <c r="L67" s="46" t="str">
        <f>VLOOKUP(K67,Key!$A$24:$B$29,2,FALSE)</f>
        <v>20-29</v>
      </c>
      <c r="M67" s="38" t="s">
        <v>161</v>
      </c>
      <c r="N67" s="33" t="s">
        <v>165</v>
      </c>
      <c r="O67" s="38" t="s">
        <v>166</v>
      </c>
      <c r="P67" s="40">
        <v>2</v>
      </c>
      <c r="Q67" s="35" t="str">
        <f>VLOOKUP(P67,Key!$E$2:$F$9,2,FALSE)</f>
        <v>Work</v>
      </c>
      <c r="R67" s="38" t="s">
        <v>264</v>
      </c>
      <c r="S67" s="33" t="s">
        <v>171</v>
      </c>
      <c r="T67" s="38" t="s">
        <v>166</v>
      </c>
      <c r="U67" s="33">
        <v>2</v>
      </c>
      <c r="V67" s="35" t="str">
        <f>VLOOKUP(U67,Key!$E$2:$F$9,2,FALSE)</f>
        <v>Work</v>
      </c>
      <c r="W67" s="35" t="str">
        <f t="shared" si="0"/>
        <v>Work-Work</v>
      </c>
      <c r="X67" s="33">
        <v>40000</v>
      </c>
      <c r="Y67" s="39">
        <v>30</v>
      </c>
      <c r="Z67" s="39">
        <v>1</v>
      </c>
      <c r="AA67" s="33">
        <v>2</v>
      </c>
      <c r="AB67" s="35" t="str">
        <f>VLOOKUP(AA67,Key!$C$20:$D$29,2,FALSE)</f>
        <v>Manual Labour</v>
      </c>
      <c r="AC67" s="33">
        <v>1</v>
      </c>
      <c r="AD67" s="35" t="str">
        <f>VLOOKUP(AC67,Key!$E$20:$F$24,2,FALSE)</f>
        <v>&lt;300,000</v>
      </c>
      <c r="AE67" s="33">
        <v>1</v>
      </c>
      <c r="AF67" s="39">
        <v>3</v>
      </c>
      <c r="AG67" s="39">
        <v>5</v>
      </c>
      <c r="AH67" s="39">
        <v>4</v>
      </c>
      <c r="AI67" s="39">
        <v>2</v>
      </c>
      <c r="AJ67" s="40" t="s">
        <v>100</v>
      </c>
      <c r="AK67" s="41">
        <v>2000</v>
      </c>
      <c r="AL67" s="25"/>
      <c r="AM67" s="25"/>
    </row>
    <row r="68" spans="2:39" x14ac:dyDescent="0.2">
      <c r="B68" s="52">
        <v>43765</v>
      </c>
      <c r="C68" s="36">
        <v>0.31388888888888888</v>
      </c>
      <c r="D68" s="36"/>
      <c r="E68" s="36" t="s">
        <v>105</v>
      </c>
      <c r="F68" s="38">
        <v>2</v>
      </c>
      <c r="G68" s="43" t="str">
        <f>VLOOKUP(F68,Key!$A$17:$B$21,2,FALSE)</f>
        <v>Road Vehicle</v>
      </c>
      <c r="H68" s="37">
        <v>4</v>
      </c>
      <c r="I68" s="44" t="str">
        <f>VLOOKUP(H68,Key!$A$2:$B$13,2,FALSE)</f>
        <v>Minibus</v>
      </c>
      <c r="J68" s="38" t="s">
        <v>117</v>
      </c>
      <c r="K68" s="38">
        <v>1</v>
      </c>
      <c r="L68" s="46" t="str">
        <f>VLOOKUP(K68,Key!$A$24:$B$29,2,FALSE)</f>
        <v>20-29</v>
      </c>
      <c r="M68" s="38" t="s">
        <v>164</v>
      </c>
      <c r="N68" s="33" t="s">
        <v>165</v>
      </c>
      <c r="O68" s="38" t="s">
        <v>166</v>
      </c>
      <c r="P68" s="40">
        <v>2</v>
      </c>
      <c r="Q68" s="35" t="str">
        <f>VLOOKUP(P68,Key!$E$2:$F$9,2,FALSE)</f>
        <v>Work</v>
      </c>
      <c r="R68" s="38" t="s">
        <v>265</v>
      </c>
      <c r="S68" s="33" t="s">
        <v>171</v>
      </c>
      <c r="T68" s="38" t="s">
        <v>166</v>
      </c>
      <c r="U68" s="33">
        <v>2</v>
      </c>
      <c r="V68" s="35" t="str">
        <f>VLOOKUP(U68,Key!$E$2:$F$9,2,FALSE)</f>
        <v>Work</v>
      </c>
      <c r="W68" s="35" t="str">
        <f t="shared" si="0"/>
        <v>Work-Work</v>
      </c>
      <c r="X68" s="33">
        <v>35000</v>
      </c>
      <c r="Y68" s="39">
        <v>46</v>
      </c>
      <c r="Z68" s="39">
        <v>1.5</v>
      </c>
      <c r="AA68" s="33">
        <v>2</v>
      </c>
      <c r="AB68" s="35" t="str">
        <f>VLOOKUP(AA68,Key!$C$20:$D$29,2,FALSE)</f>
        <v>Manual Labour</v>
      </c>
      <c r="AC68" s="33">
        <v>1</v>
      </c>
      <c r="AD68" s="35" t="str">
        <f>VLOOKUP(AC68,Key!$E$20:$F$24,2,FALSE)</f>
        <v>&lt;300,000</v>
      </c>
      <c r="AE68" s="33">
        <v>1</v>
      </c>
      <c r="AF68" s="39">
        <v>2</v>
      </c>
      <c r="AG68" s="39">
        <v>3</v>
      </c>
      <c r="AH68" s="39">
        <v>5</v>
      </c>
      <c r="AI68" s="39">
        <v>4</v>
      </c>
      <c r="AJ68" s="40" t="s">
        <v>100</v>
      </c>
      <c r="AK68" s="41">
        <v>2000</v>
      </c>
      <c r="AL68" s="25"/>
      <c r="AM68" s="25"/>
    </row>
    <row r="69" spans="2:39" x14ac:dyDescent="0.2">
      <c r="B69" s="52">
        <v>43765</v>
      </c>
      <c r="C69" s="36">
        <v>0.3527777777777778</v>
      </c>
      <c r="D69" s="36"/>
      <c r="E69" s="36" t="s">
        <v>105</v>
      </c>
      <c r="F69" s="38">
        <v>2</v>
      </c>
      <c r="G69" s="43" t="str">
        <f>VLOOKUP(F69,Key!$A$17:$B$21,2,FALSE)</f>
        <v>Road Vehicle</v>
      </c>
      <c r="H69" s="37">
        <v>4</v>
      </c>
      <c r="I69" s="44" t="str">
        <f>VLOOKUP(H69,Key!$A$2:$B$13,2,FALSE)</f>
        <v>Minibus</v>
      </c>
      <c r="J69" s="38" t="s">
        <v>117</v>
      </c>
      <c r="K69" s="38">
        <v>1</v>
      </c>
      <c r="L69" s="46" t="str">
        <f>VLOOKUP(K69,Key!$A$24:$B$29,2,FALSE)</f>
        <v>20-29</v>
      </c>
      <c r="M69" s="38" t="s">
        <v>161</v>
      </c>
      <c r="N69" s="33" t="s">
        <v>165</v>
      </c>
      <c r="O69" s="38" t="s">
        <v>166</v>
      </c>
      <c r="P69" s="40">
        <v>2</v>
      </c>
      <c r="Q69" s="35" t="str">
        <f>VLOOKUP(P69,Key!$E$2:$F$9,2,FALSE)</f>
        <v>Work</v>
      </c>
      <c r="R69" s="38" t="s">
        <v>267</v>
      </c>
      <c r="S69" s="33" t="s">
        <v>171</v>
      </c>
      <c r="T69" s="38" t="s">
        <v>166</v>
      </c>
      <c r="U69" s="33">
        <v>2</v>
      </c>
      <c r="V69" s="35" t="str">
        <f>VLOOKUP(U69,Key!$E$2:$F$9,2,FALSE)</f>
        <v>Work</v>
      </c>
      <c r="W69" s="35" t="str">
        <f t="shared" si="0"/>
        <v>Work-Work</v>
      </c>
      <c r="X69" s="33">
        <v>40000</v>
      </c>
      <c r="Y69" s="39">
        <v>46</v>
      </c>
      <c r="Z69" s="39">
        <v>1</v>
      </c>
      <c r="AA69" s="33">
        <v>2</v>
      </c>
      <c r="AB69" s="35" t="str">
        <f>VLOOKUP(AA69,Key!$C$20:$D$29,2,FALSE)</f>
        <v>Manual Labour</v>
      </c>
      <c r="AC69" s="33">
        <v>1</v>
      </c>
      <c r="AD69" s="35" t="str">
        <f>VLOOKUP(AC69,Key!$E$20:$F$24,2,FALSE)</f>
        <v>&lt;300,000</v>
      </c>
      <c r="AE69" s="33">
        <v>1</v>
      </c>
      <c r="AF69" s="39">
        <v>4</v>
      </c>
      <c r="AG69" s="39">
        <v>2</v>
      </c>
      <c r="AH69" s="39">
        <v>3</v>
      </c>
      <c r="AI69" s="39">
        <v>5</v>
      </c>
      <c r="AJ69" s="40" t="s">
        <v>100</v>
      </c>
      <c r="AK69" s="41"/>
      <c r="AL69" s="25"/>
      <c r="AM69" s="25"/>
    </row>
    <row r="70" spans="2:39" x14ac:dyDescent="0.2">
      <c r="B70" s="52">
        <v>43765</v>
      </c>
      <c r="C70" s="36">
        <v>0.36944444444444446</v>
      </c>
      <c r="D70" s="36"/>
      <c r="E70" s="36" t="s">
        <v>163</v>
      </c>
      <c r="F70" s="38">
        <v>2</v>
      </c>
      <c r="G70" s="43" t="str">
        <f>VLOOKUP(F70,Key!$A$17:$B$21,2,FALSE)</f>
        <v>Road Vehicle</v>
      </c>
      <c r="H70" s="37">
        <v>4</v>
      </c>
      <c r="I70" s="44" t="str">
        <f>VLOOKUP(H70,Key!$A$2:$B$13,2,FALSE)</f>
        <v>Minibus</v>
      </c>
      <c r="J70" s="38" t="s">
        <v>117</v>
      </c>
      <c r="K70" s="38">
        <v>1</v>
      </c>
      <c r="L70" s="46" t="str">
        <f>VLOOKUP(K70,Key!$A$24:$B$29,2,FALSE)</f>
        <v>20-29</v>
      </c>
      <c r="M70" s="38" t="s">
        <v>164</v>
      </c>
      <c r="N70" s="33" t="s">
        <v>165</v>
      </c>
      <c r="O70" s="38" t="s">
        <v>166</v>
      </c>
      <c r="P70" s="40">
        <v>1</v>
      </c>
      <c r="Q70" s="35" t="str">
        <f>VLOOKUP(P70,Key!$E$2:$F$9,2,FALSE)</f>
        <v>Home</v>
      </c>
      <c r="R70" s="38" t="s">
        <v>270</v>
      </c>
      <c r="S70" s="33" t="s">
        <v>165</v>
      </c>
      <c r="T70" s="38" t="s">
        <v>166</v>
      </c>
      <c r="U70" s="33">
        <v>6</v>
      </c>
      <c r="V70" s="35" t="str">
        <f>VLOOKUP(U70,Key!$E$2:$F$9,2,FALSE)</f>
        <v>Leisure/Social</v>
      </c>
      <c r="W70" s="35" t="str">
        <f t="shared" si="0"/>
        <v>Home-Leisure/Social</v>
      </c>
      <c r="X70" s="33">
        <v>6000</v>
      </c>
      <c r="Y70" s="39"/>
      <c r="Z70" s="39">
        <v>3</v>
      </c>
      <c r="AA70" s="33">
        <v>2</v>
      </c>
      <c r="AB70" s="35" t="str">
        <f>VLOOKUP(AA70,Key!$C$20:$D$29,2,FALSE)</f>
        <v>Manual Labour</v>
      </c>
      <c r="AC70" s="33">
        <v>1</v>
      </c>
      <c r="AD70" s="35" t="str">
        <f>VLOOKUP(AC70,Key!$E$20:$F$24,2,FALSE)</f>
        <v>&lt;300,000</v>
      </c>
      <c r="AE70" s="33">
        <v>1</v>
      </c>
      <c r="AF70" s="39">
        <v>3</v>
      </c>
      <c r="AG70" s="39">
        <v>4</v>
      </c>
      <c r="AH70" s="39">
        <v>2</v>
      </c>
      <c r="AI70" s="39">
        <v>5</v>
      </c>
      <c r="AJ70" s="40" t="s">
        <v>100</v>
      </c>
      <c r="AK70" s="41">
        <v>1000</v>
      </c>
      <c r="AL70" s="25"/>
      <c r="AM70" s="25"/>
    </row>
    <row r="71" spans="2:39" x14ac:dyDescent="0.2">
      <c r="B71" s="52">
        <v>43765</v>
      </c>
      <c r="C71" s="36">
        <v>0.44166666666666665</v>
      </c>
      <c r="D71" s="36"/>
      <c r="E71" s="36" t="s">
        <v>163</v>
      </c>
      <c r="F71" s="38">
        <v>2</v>
      </c>
      <c r="G71" s="43" t="str">
        <f>VLOOKUP(F71,Key!$A$17:$B$21,2,FALSE)</f>
        <v>Road Vehicle</v>
      </c>
      <c r="H71" s="37">
        <v>4</v>
      </c>
      <c r="I71" s="44" t="str">
        <f>VLOOKUP(H71,Key!$A$2:$B$13,2,FALSE)</f>
        <v>Minibus</v>
      </c>
      <c r="J71" s="38" t="s">
        <v>117</v>
      </c>
      <c r="K71" s="38">
        <v>1</v>
      </c>
      <c r="L71" s="46" t="str">
        <f>VLOOKUP(K71,Key!$A$24:$B$29,2,FALSE)</f>
        <v>20-29</v>
      </c>
      <c r="M71" s="38" t="s">
        <v>161</v>
      </c>
      <c r="N71" s="33" t="s">
        <v>165</v>
      </c>
      <c r="O71" s="38" t="s">
        <v>166</v>
      </c>
      <c r="P71" s="40">
        <v>1</v>
      </c>
      <c r="Q71" s="35" t="str">
        <f>VLOOKUP(P71,Key!$E$2:$F$9,2,FALSE)</f>
        <v>Home</v>
      </c>
      <c r="R71" s="38" t="s">
        <v>273</v>
      </c>
      <c r="S71" s="33" t="s">
        <v>165</v>
      </c>
      <c r="T71" s="38" t="s">
        <v>166</v>
      </c>
      <c r="U71" s="33">
        <v>8</v>
      </c>
      <c r="V71" s="35" t="str">
        <f>VLOOKUP(U71,Key!$E$2:$F$9,2,FALSE)</f>
        <v>Others</v>
      </c>
      <c r="W71" s="35" t="str">
        <f t="shared" si="0"/>
        <v>Home-Others</v>
      </c>
      <c r="X71" s="33">
        <v>1000</v>
      </c>
      <c r="Y71" s="39">
        <v>8</v>
      </c>
      <c r="Z71" s="39">
        <v>0.1</v>
      </c>
      <c r="AA71" s="33">
        <v>10</v>
      </c>
      <c r="AB71" s="35" t="str">
        <f>VLOOKUP(AA71,Key!$C$20:$D$29,2,FALSE)</f>
        <v>Other</v>
      </c>
      <c r="AC71" s="33">
        <v>1</v>
      </c>
      <c r="AD71" s="35" t="str">
        <f>VLOOKUP(AC71,Key!$E$20:$F$24,2,FALSE)</f>
        <v>&lt;300,000</v>
      </c>
      <c r="AE71" s="33">
        <v>1</v>
      </c>
      <c r="AF71" s="39">
        <v>1</v>
      </c>
      <c r="AG71" s="39">
        <v>1</v>
      </c>
      <c r="AH71" s="39">
        <v>1</v>
      </c>
      <c r="AI71" s="39">
        <v>1</v>
      </c>
      <c r="AJ71" s="40" t="s">
        <v>100</v>
      </c>
      <c r="AK71" s="41">
        <v>2000</v>
      </c>
      <c r="AL71" s="25"/>
      <c r="AM71" s="25"/>
    </row>
    <row r="72" spans="2:39" x14ac:dyDescent="0.2">
      <c r="B72" s="52">
        <v>43765</v>
      </c>
      <c r="C72" s="36">
        <v>0.46875</v>
      </c>
      <c r="D72" s="36"/>
      <c r="E72" s="36" t="s">
        <v>105</v>
      </c>
      <c r="F72" s="38">
        <v>2</v>
      </c>
      <c r="G72" s="43" t="str">
        <f>VLOOKUP(F72,Key!$A$17:$B$21,2,FALSE)</f>
        <v>Road Vehicle</v>
      </c>
      <c r="H72" s="37">
        <v>4</v>
      </c>
      <c r="I72" s="44" t="str">
        <f>VLOOKUP(H72,Key!$A$2:$B$13,2,FALSE)</f>
        <v>Minibus</v>
      </c>
      <c r="J72" s="38" t="s">
        <v>117</v>
      </c>
      <c r="K72" s="38">
        <v>1</v>
      </c>
      <c r="L72" s="46" t="str">
        <f>VLOOKUP(K72,Key!$A$24:$B$29,2,FALSE)</f>
        <v>20-29</v>
      </c>
      <c r="M72" s="38" t="s">
        <v>164</v>
      </c>
      <c r="N72" s="33" t="s">
        <v>165</v>
      </c>
      <c r="O72" s="38" t="s">
        <v>166</v>
      </c>
      <c r="P72" s="40">
        <v>2</v>
      </c>
      <c r="Q72" s="35" t="str">
        <f>VLOOKUP(P72,Key!$E$2:$F$9,2,FALSE)</f>
        <v>Work</v>
      </c>
      <c r="R72" s="38" t="s">
        <v>267</v>
      </c>
      <c r="S72" s="33" t="s">
        <v>171</v>
      </c>
      <c r="T72" s="38" t="s">
        <v>166</v>
      </c>
      <c r="U72" s="33">
        <v>2</v>
      </c>
      <c r="V72" s="35" t="str">
        <f>VLOOKUP(U72,Key!$E$2:$F$9,2,FALSE)</f>
        <v>Work</v>
      </c>
      <c r="W72" s="35" t="str">
        <f t="shared" ref="W72:W135" si="1">Q72&amp;"-"&amp;V72</f>
        <v>Work-Work</v>
      </c>
      <c r="X72" s="33">
        <v>40000</v>
      </c>
      <c r="Y72" s="39">
        <v>36</v>
      </c>
      <c r="Z72" s="39">
        <v>0.1</v>
      </c>
      <c r="AA72" s="33">
        <v>2</v>
      </c>
      <c r="AB72" s="35" t="str">
        <f>VLOOKUP(AA72,Key!$C$20:$D$29,2,FALSE)</f>
        <v>Manual Labour</v>
      </c>
      <c r="AC72" s="33">
        <v>1</v>
      </c>
      <c r="AD72" s="35" t="str">
        <f>VLOOKUP(AC72,Key!$E$20:$F$24,2,FALSE)</f>
        <v>&lt;300,000</v>
      </c>
      <c r="AE72" s="33">
        <v>1</v>
      </c>
      <c r="AF72" s="39">
        <v>2</v>
      </c>
      <c r="AG72" s="39">
        <v>5</v>
      </c>
      <c r="AH72" s="39">
        <v>3</v>
      </c>
      <c r="AI72" s="39">
        <v>4</v>
      </c>
      <c r="AJ72" s="40" t="s">
        <v>100</v>
      </c>
      <c r="AK72" s="41"/>
      <c r="AL72" s="25"/>
      <c r="AM72" s="25"/>
    </row>
    <row r="73" spans="2:39" x14ac:dyDescent="0.2">
      <c r="B73" s="52">
        <v>43765</v>
      </c>
      <c r="C73" s="36">
        <v>0.49305555555555558</v>
      </c>
      <c r="D73" s="36"/>
      <c r="E73" s="36" t="s">
        <v>163</v>
      </c>
      <c r="F73" s="38">
        <v>2</v>
      </c>
      <c r="G73" s="43" t="str">
        <f>VLOOKUP(F73,Key!$A$17:$B$21,2,FALSE)</f>
        <v>Road Vehicle</v>
      </c>
      <c r="H73" s="37">
        <v>4</v>
      </c>
      <c r="I73" s="44" t="str">
        <f>VLOOKUP(H73,Key!$A$2:$B$13,2,FALSE)</f>
        <v>Minibus</v>
      </c>
      <c r="J73" s="38" t="s">
        <v>117</v>
      </c>
      <c r="K73" s="38">
        <v>1</v>
      </c>
      <c r="L73" s="46" t="str">
        <f>VLOOKUP(K73,Key!$A$24:$B$29,2,FALSE)</f>
        <v>20-29</v>
      </c>
      <c r="M73" s="38" t="s">
        <v>258</v>
      </c>
      <c r="N73" s="33" t="s">
        <v>165</v>
      </c>
      <c r="O73" s="38" t="s">
        <v>166</v>
      </c>
      <c r="P73" s="40">
        <v>1</v>
      </c>
      <c r="Q73" s="35" t="str">
        <f>VLOOKUP(P73,Key!$E$2:$F$9,2,FALSE)</f>
        <v>Home</v>
      </c>
      <c r="R73" s="38" t="s">
        <v>267</v>
      </c>
      <c r="S73" s="33" t="s">
        <v>171</v>
      </c>
      <c r="T73" s="38" t="s">
        <v>166</v>
      </c>
      <c r="U73" s="33">
        <v>6</v>
      </c>
      <c r="V73" s="35" t="str">
        <f>VLOOKUP(U73,Key!$E$2:$F$9,2,FALSE)</f>
        <v>Leisure/Social</v>
      </c>
      <c r="W73" s="35" t="str">
        <f t="shared" si="1"/>
        <v>Home-Leisure/Social</v>
      </c>
      <c r="X73" s="33">
        <v>4000</v>
      </c>
      <c r="Y73" s="39">
        <v>32</v>
      </c>
      <c r="Z73" s="39">
        <v>0.3</v>
      </c>
      <c r="AA73" s="33">
        <v>2</v>
      </c>
      <c r="AB73" s="35" t="str">
        <f>VLOOKUP(AA73,Key!$C$20:$D$29,2,FALSE)</f>
        <v>Manual Labour</v>
      </c>
      <c r="AC73" s="33">
        <v>1</v>
      </c>
      <c r="AD73" s="35" t="str">
        <f>VLOOKUP(AC73,Key!$E$20:$F$24,2,FALSE)</f>
        <v>&lt;300,000</v>
      </c>
      <c r="AE73" s="33">
        <v>1</v>
      </c>
      <c r="AF73" s="39">
        <v>3</v>
      </c>
      <c r="AG73" s="39">
        <v>4</v>
      </c>
      <c r="AH73" s="39">
        <v>2</v>
      </c>
      <c r="AI73" s="39">
        <v>5</v>
      </c>
      <c r="AJ73" s="40" t="s">
        <v>100</v>
      </c>
      <c r="AK73" s="41"/>
      <c r="AL73" s="25"/>
      <c r="AM73" s="25"/>
    </row>
    <row r="74" spans="2:39" x14ac:dyDescent="0.2">
      <c r="B74" s="52">
        <v>43765</v>
      </c>
      <c r="C74" s="36">
        <v>0.58124999999999993</v>
      </c>
      <c r="D74" s="36"/>
      <c r="E74" s="36" t="s">
        <v>163</v>
      </c>
      <c r="F74" s="38">
        <v>2</v>
      </c>
      <c r="G74" s="43" t="str">
        <f>VLOOKUP(F74,Key!$A$17:$B$21,2,FALSE)</f>
        <v>Road Vehicle</v>
      </c>
      <c r="H74" s="37">
        <v>4</v>
      </c>
      <c r="I74" s="44" t="str">
        <f>VLOOKUP(H74,Key!$A$2:$B$13,2,FALSE)</f>
        <v>Minibus</v>
      </c>
      <c r="J74" s="38" t="s">
        <v>117</v>
      </c>
      <c r="K74" s="38">
        <v>1</v>
      </c>
      <c r="L74" s="46" t="str">
        <f>VLOOKUP(K74,Key!$A$24:$B$29,2,FALSE)</f>
        <v>20-29</v>
      </c>
      <c r="M74" s="38" t="s">
        <v>192</v>
      </c>
      <c r="N74" s="33" t="s">
        <v>165</v>
      </c>
      <c r="O74" s="38" t="s">
        <v>166</v>
      </c>
      <c r="P74" s="40">
        <v>1</v>
      </c>
      <c r="Q74" s="35" t="str">
        <f>VLOOKUP(P74,Key!$E$2:$F$9,2,FALSE)</f>
        <v>Home</v>
      </c>
      <c r="R74" s="38" t="s">
        <v>161</v>
      </c>
      <c r="S74" s="33" t="s">
        <v>165</v>
      </c>
      <c r="T74" s="38" t="s">
        <v>166</v>
      </c>
      <c r="U74" s="33">
        <v>6</v>
      </c>
      <c r="V74" s="35" t="str">
        <f>VLOOKUP(U74,Key!$E$2:$F$9,2,FALSE)</f>
        <v>Leisure/Social</v>
      </c>
      <c r="W74" s="35" t="str">
        <f t="shared" si="1"/>
        <v>Home-Leisure/Social</v>
      </c>
      <c r="X74" s="33">
        <v>2000</v>
      </c>
      <c r="Y74" s="39"/>
      <c r="Z74" s="39">
        <v>30</v>
      </c>
      <c r="AA74" s="33">
        <v>5</v>
      </c>
      <c r="AB74" s="35" t="str">
        <f>VLOOKUP(AA74,Key!$C$20:$D$29,2,FALSE)</f>
        <v>Professional</v>
      </c>
      <c r="AC74" s="33">
        <v>1</v>
      </c>
      <c r="AD74" s="35" t="str">
        <f>VLOOKUP(AC74,Key!$E$20:$F$24,2,FALSE)</f>
        <v>&lt;300,000</v>
      </c>
      <c r="AE74" s="33">
        <v>1</v>
      </c>
      <c r="AF74" s="39">
        <v>2</v>
      </c>
      <c r="AG74" s="39">
        <v>3</v>
      </c>
      <c r="AH74" s="39">
        <v>4</v>
      </c>
      <c r="AI74" s="39">
        <v>5</v>
      </c>
      <c r="AJ74" s="40" t="s">
        <v>100</v>
      </c>
      <c r="AK74" s="41"/>
      <c r="AL74" s="25"/>
      <c r="AM74" s="25"/>
    </row>
    <row r="75" spans="2:39" x14ac:dyDescent="0.2">
      <c r="B75" s="52">
        <v>43765</v>
      </c>
      <c r="C75" s="36">
        <v>0.62083333333333335</v>
      </c>
      <c r="D75" s="36"/>
      <c r="E75" s="36" t="s">
        <v>105</v>
      </c>
      <c r="F75" s="38">
        <v>2</v>
      </c>
      <c r="G75" s="43" t="str">
        <f>VLOOKUP(F75,Key!$A$17:$B$21,2,FALSE)</f>
        <v>Road Vehicle</v>
      </c>
      <c r="H75" s="37">
        <v>4</v>
      </c>
      <c r="I75" s="44" t="str">
        <f>VLOOKUP(H75,Key!$A$2:$B$13,2,FALSE)</f>
        <v>Minibus</v>
      </c>
      <c r="J75" s="38" t="s">
        <v>117</v>
      </c>
      <c r="K75" s="38">
        <v>1</v>
      </c>
      <c r="L75" s="46" t="str">
        <f>VLOOKUP(K75,Key!$A$24:$B$29,2,FALSE)</f>
        <v>20-29</v>
      </c>
      <c r="M75" s="38" t="s">
        <v>161</v>
      </c>
      <c r="N75" s="33" t="s">
        <v>165</v>
      </c>
      <c r="O75" s="38" t="s">
        <v>166</v>
      </c>
      <c r="P75" s="40">
        <v>1</v>
      </c>
      <c r="Q75" s="35" t="str">
        <f>VLOOKUP(P75,Key!$E$2:$F$9,2,FALSE)</f>
        <v>Home</v>
      </c>
      <c r="R75" s="38" t="s">
        <v>269</v>
      </c>
      <c r="S75" s="33" t="s">
        <v>165</v>
      </c>
      <c r="T75" s="38" t="s">
        <v>166</v>
      </c>
      <c r="U75" s="33">
        <v>6</v>
      </c>
      <c r="V75" s="35" t="str">
        <f>VLOOKUP(U75,Key!$E$2:$F$9,2,FALSE)</f>
        <v>Leisure/Social</v>
      </c>
      <c r="W75" s="35" t="str">
        <f t="shared" si="1"/>
        <v>Home-Leisure/Social</v>
      </c>
      <c r="X75" s="33">
        <v>2000</v>
      </c>
      <c r="Y75" s="39">
        <v>8</v>
      </c>
      <c r="Z75" s="39">
        <v>0.2</v>
      </c>
      <c r="AA75" s="33">
        <v>5</v>
      </c>
      <c r="AB75" s="35" t="str">
        <f>VLOOKUP(AA75,Key!$C$20:$D$29,2,FALSE)</f>
        <v>Professional</v>
      </c>
      <c r="AC75" s="33">
        <v>1</v>
      </c>
      <c r="AD75" s="35" t="str">
        <f>VLOOKUP(AC75,Key!$E$20:$F$24,2,FALSE)</f>
        <v>&lt;300,000</v>
      </c>
      <c r="AE75" s="33">
        <v>1</v>
      </c>
      <c r="AF75" s="39">
        <v>5</v>
      </c>
      <c r="AG75" s="39">
        <v>4</v>
      </c>
      <c r="AH75" s="39">
        <v>2</v>
      </c>
      <c r="AI75" s="39">
        <v>3</v>
      </c>
      <c r="AJ75" s="40" t="s">
        <v>100</v>
      </c>
      <c r="AK75" s="41">
        <v>2000</v>
      </c>
      <c r="AL75" s="25"/>
      <c r="AM75" s="25"/>
    </row>
    <row r="76" spans="2:39" x14ac:dyDescent="0.2">
      <c r="B76" s="52">
        <v>43765</v>
      </c>
      <c r="C76" s="36" t="s">
        <v>278</v>
      </c>
      <c r="D76" s="36"/>
      <c r="E76" s="36" t="s">
        <v>105</v>
      </c>
      <c r="F76" s="38">
        <v>2</v>
      </c>
      <c r="G76" s="43" t="str">
        <f>VLOOKUP(F76,Key!$A$17:$B$21,2,FALSE)</f>
        <v>Road Vehicle</v>
      </c>
      <c r="H76" s="37">
        <v>4</v>
      </c>
      <c r="I76" s="44" t="str">
        <f>VLOOKUP(H76,Key!$A$2:$B$13,2,FALSE)</f>
        <v>Minibus</v>
      </c>
      <c r="J76" s="38" t="s">
        <v>117</v>
      </c>
      <c r="K76" s="38">
        <v>1</v>
      </c>
      <c r="L76" s="46" t="str">
        <f>VLOOKUP(K76,Key!$A$24:$B$29,2,FALSE)</f>
        <v>20-29</v>
      </c>
      <c r="M76" s="38" t="s">
        <v>164</v>
      </c>
      <c r="N76" s="33" t="s">
        <v>165</v>
      </c>
      <c r="O76" s="38" t="s">
        <v>166</v>
      </c>
      <c r="P76" s="40">
        <v>2</v>
      </c>
      <c r="Q76" s="35" t="str">
        <f>VLOOKUP(P76,Key!$E$2:$F$9,2,FALSE)</f>
        <v>Work</v>
      </c>
      <c r="R76" s="38" t="s">
        <v>264</v>
      </c>
      <c r="S76" s="33" t="s">
        <v>171</v>
      </c>
      <c r="T76" s="38" t="s">
        <v>166</v>
      </c>
      <c r="U76" s="33">
        <v>2</v>
      </c>
      <c r="V76" s="35" t="str">
        <f>VLOOKUP(U76,Key!$E$2:$F$9,2,FALSE)</f>
        <v>Work</v>
      </c>
      <c r="W76" s="35" t="str">
        <f t="shared" si="1"/>
        <v>Work-Work</v>
      </c>
      <c r="X76" s="33">
        <v>35000</v>
      </c>
      <c r="Y76" s="39">
        <v>36</v>
      </c>
      <c r="Z76" s="39">
        <v>1</v>
      </c>
      <c r="AA76" s="33">
        <v>2</v>
      </c>
      <c r="AB76" s="35" t="str">
        <f>VLOOKUP(AA76,Key!$C$20:$D$29,2,FALSE)</f>
        <v>Manual Labour</v>
      </c>
      <c r="AC76" s="33">
        <v>1</v>
      </c>
      <c r="AD76" s="35" t="str">
        <f>VLOOKUP(AC76,Key!$E$20:$F$24,2,FALSE)</f>
        <v>&lt;300,000</v>
      </c>
      <c r="AE76" s="33">
        <v>3</v>
      </c>
      <c r="AF76" s="39">
        <v>2</v>
      </c>
      <c r="AG76" s="39">
        <v>4</v>
      </c>
      <c r="AH76" s="39">
        <v>1</v>
      </c>
      <c r="AI76" s="39">
        <v>5</v>
      </c>
      <c r="AJ76" s="40" t="s">
        <v>100</v>
      </c>
      <c r="AK76" s="41">
        <v>2000</v>
      </c>
      <c r="AL76" s="25"/>
      <c r="AM76" s="25"/>
    </row>
    <row r="77" spans="2:39" x14ac:dyDescent="0.2">
      <c r="B77" s="52">
        <v>43765</v>
      </c>
      <c r="C77" s="36" t="s">
        <v>279</v>
      </c>
      <c r="D77" s="36"/>
      <c r="E77" s="36" t="s">
        <v>105</v>
      </c>
      <c r="F77" s="38">
        <v>2</v>
      </c>
      <c r="G77" s="43" t="str">
        <f>VLOOKUP(F77,Key!$A$17:$B$21,2,FALSE)</f>
        <v>Road Vehicle</v>
      </c>
      <c r="H77" s="37">
        <v>4</v>
      </c>
      <c r="I77" s="44" t="str">
        <f>VLOOKUP(H77,Key!$A$2:$B$13,2,FALSE)</f>
        <v>Minibus</v>
      </c>
      <c r="J77" s="38" t="s">
        <v>117</v>
      </c>
      <c r="K77" s="38">
        <v>1</v>
      </c>
      <c r="L77" s="46" t="str">
        <f>VLOOKUP(K77,Key!$A$24:$B$29,2,FALSE)</f>
        <v>20-29</v>
      </c>
      <c r="M77" s="38" t="s">
        <v>164</v>
      </c>
      <c r="N77" s="33" t="s">
        <v>165</v>
      </c>
      <c r="O77" s="38" t="s">
        <v>166</v>
      </c>
      <c r="P77" s="40">
        <v>2</v>
      </c>
      <c r="Q77" s="35" t="str">
        <f>VLOOKUP(P77,Key!$E$2:$F$9,2,FALSE)</f>
        <v>Work</v>
      </c>
      <c r="R77" s="38" t="s">
        <v>280</v>
      </c>
      <c r="S77" s="33" t="s">
        <v>171</v>
      </c>
      <c r="T77" s="38" t="s">
        <v>166</v>
      </c>
      <c r="U77" s="33">
        <v>2</v>
      </c>
      <c r="V77" s="35" t="str">
        <f>VLOOKUP(U77,Key!$E$2:$F$9,2,FALSE)</f>
        <v>Work</v>
      </c>
      <c r="W77" s="35" t="str">
        <f t="shared" si="1"/>
        <v>Work-Work</v>
      </c>
      <c r="X77" s="33">
        <v>35000</v>
      </c>
      <c r="Y77" s="39"/>
      <c r="Z77" s="39">
        <v>1</v>
      </c>
      <c r="AA77" s="33">
        <v>2</v>
      </c>
      <c r="AB77" s="35" t="str">
        <f>VLOOKUP(AA77,Key!$C$20:$D$29,2,FALSE)</f>
        <v>Manual Labour</v>
      </c>
      <c r="AC77" s="33">
        <v>1</v>
      </c>
      <c r="AD77" s="35" t="str">
        <f>VLOOKUP(AC77,Key!$E$20:$F$24,2,FALSE)</f>
        <v>&lt;300,000</v>
      </c>
      <c r="AE77" s="33">
        <v>3</v>
      </c>
      <c r="AF77" s="39">
        <v>1</v>
      </c>
      <c r="AG77" s="39">
        <v>4</v>
      </c>
      <c r="AH77" s="39">
        <v>2</v>
      </c>
      <c r="AI77" s="39">
        <v>5</v>
      </c>
      <c r="AJ77" s="40" t="s">
        <v>100</v>
      </c>
      <c r="AK77" s="41"/>
      <c r="AL77" s="25"/>
      <c r="AM77" s="25"/>
    </row>
    <row r="78" spans="2:39" x14ac:dyDescent="0.2">
      <c r="B78" s="52">
        <v>43765</v>
      </c>
      <c r="C78" s="36">
        <v>0.72222222222222221</v>
      </c>
      <c r="D78" s="36"/>
      <c r="E78" s="36" t="s">
        <v>105</v>
      </c>
      <c r="F78" s="38">
        <v>2</v>
      </c>
      <c r="G78" s="43" t="str">
        <f>VLOOKUP(F78,Key!$A$17:$B$21,2,FALSE)</f>
        <v>Road Vehicle</v>
      </c>
      <c r="H78" s="37">
        <v>4</v>
      </c>
      <c r="I78" s="44" t="str">
        <f>VLOOKUP(H78,Key!$A$2:$B$13,2,FALSE)</f>
        <v>Minibus</v>
      </c>
      <c r="J78" s="38" t="s">
        <v>117</v>
      </c>
      <c r="K78" s="38">
        <v>1</v>
      </c>
      <c r="L78" s="46" t="str">
        <f>VLOOKUP(K78,Key!$A$24:$B$29,2,FALSE)</f>
        <v>20-29</v>
      </c>
      <c r="M78" s="38" t="s">
        <v>164</v>
      </c>
      <c r="N78" s="33" t="s">
        <v>165</v>
      </c>
      <c r="O78" s="38" t="s">
        <v>166</v>
      </c>
      <c r="P78" s="40">
        <v>2</v>
      </c>
      <c r="Q78" s="35" t="str">
        <f>VLOOKUP(P78,Key!$E$2:$F$9,2,FALSE)</f>
        <v>Work</v>
      </c>
      <c r="R78" s="38" t="s">
        <v>170</v>
      </c>
      <c r="S78" s="33" t="s">
        <v>171</v>
      </c>
      <c r="T78" s="38" t="s">
        <v>166</v>
      </c>
      <c r="U78" s="33">
        <v>2</v>
      </c>
      <c r="V78" s="35" t="str">
        <f>VLOOKUP(U78,Key!$E$2:$F$9,2,FALSE)</f>
        <v>Work</v>
      </c>
      <c r="W78" s="35" t="str">
        <f t="shared" si="1"/>
        <v>Work-Work</v>
      </c>
      <c r="X78" s="33">
        <v>35000</v>
      </c>
      <c r="Y78" s="39">
        <v>36</v>
      </c>
      <c r="Z78" s="39">
        <v>1</v>
      </c>
      <c r="AA78" s="33">
        <v>2</v>
      </c>
      <c r="AB78" s="35" t="str">
        <f>VLOOKUP(AA78,Key!$C$20:$D$29,2,FALSE)</f>
        <v>Manual Labour</v>
      </c>
      <c r="AC78" s="33">
        <v>1</v>
      </c>
      <c r="AD78" s="35" t="str">
        <f>VLOOKUP(AC78,Key!$E$20:$F$24,2,FALSE)</f>
        <v>&lt;300,000</v>
      </c>
      <c r="AE78" s="33">
        <v>1</v>
      </c>
      <c r="AF78" s="39">
        <v>2</v>
      </c>
      <c r="AG78" s="39">
        <v>3</v>
      </c>
      <c r="AH78" s="39">
        <v>4</v>
      </c>
      <c r="AI78" s="39">
        <v>5</v>
      </c>
      <c r="AJ78" s="40" t="s">
        <v>100</v>
      </c>
      <c r="AK78" s="41"/>
      <c r="AL78" s="25"/>
      <c r="AM78" s="25"/>
    </row>
    <row r="79" spans="2:39" x14ac:dyDescent="0.2">
      <c r="B79" s="52">
        <v>43765</v>
      </c>
      <c r="C79" s="36">
        <v>0.72569444444444453</v>
      </c>
      <c r="D79" s="36"/>
      <c r="E79" s="36" t="s">
        <v>105</v>
      </c>
      <c r="F79" s="38">
        <v>2</v>
      </c>
      <c r="G79" s="43" t="str">
        <f>VLOOKUP(F79,Key!$A$17:$B$21,2,FALSE)</f>
        <v>Road Vehicle</v>
      </c>
      <c r="H79" s="37">
        <v>4</v>
      </c>
      <c r="I79" s="44" t="str">
        <f>VLOOKUP(H79,Key!$A$2:$B$13,2,FALSE)</f>
        <v>Minibus</v>
      </c>
      <c r="J79" s="38" t="s">
        <v>117</v>
      </c>
      <c r="K79" s="38">
        <v>1</v>
      </c>
      <c r="L79" s="46" t="str">
        <f>VLOOKUP(K79,Key!$A$24:$B$29,2,FALSE)</f>
        <v>20-29</v>
      </c>
      <c r="M79" s="38" t="s">
        <v>164</v>
      </c>
      <c r="N79" s="33" t="s">
        <v>165</v>
      </c>
      <c r="O79" s="38" t="s">
        <v>166</v>
      </c>
      <c r="P79" s="40">
        <v>2</v>
      </c>
      <c r="Q79" s="35" t="str">
        <f>VLOOKUP(P79,Key!$E$2:$F$9,2,FALSE)</f>
        <v>Work</v>
      </c>
      <c r="R79" s="38" t="s">
        <v>267</v>
      </c>
      <c r="S79" s="33" t="s">
        <v>171</v>
      </c>
      <c r="T79" s="38" t="s">
        <v>166</v>
      </c>
      <c r="U79" s="33">
        <v>2</v>
      </c>
      <c r="V79" s="35" t="str">
        <f>VLOOKUP(U79,Key!$E$2:$F$9,2,FALSE)</f>
        <v>Work</v>
      </c>
      <c r="W79" s="35" t="str">
        <f t="shared" si="1"/>
        <v>Work-Work</v>
      </c>
      <c r="X79" s="33">
        <v>40000</v>
      </c>
      <c r="Y79" s="39">
        <v>36</v>
      </c>
      <c r="Z79" s="39">
        <v>1</v>
      </c>
      <c r="AA79" s="33">
        <v>2</v>
      </c>
      <c r="AB79" s="35" t="str">
        <f>VLOOKUP(AA79,Key!$C$20:$D$29,2,FALSE)</f>
        <v>Manual Labour</v>
      </c>
      <c r="AC79" s="33">
        <v>1</v>
      </c>
      <c r="AD79" s="35" t="str">
        <f>VLOOKUP(AC79,Key!$E$20:$F$24,2,FALSE)</f>
        <v>&lt;300,000</v>
      </c>
      <c r="AE79" s="33">
        <v>3</v>
      </c>
      <c r="AF79" s="39">
        <v>1</v>
      </c>
      <c r="AG79" s="39">
        <v>4</v>
      </c>
      <c r="AH79" s="39">
        <v>2</v>
      </c>
      <c r="AI79" s="39">
        <v>5</v>
      </c>
      <c r="AJ79" s="40" t="s">
        <v>100</v>
      </c>
      <c r="AK79" s="41"/>
      <c r="AL79" s="25"/>
      <c r="AM79" s="25"/>
    </row>
    <row r="80" spans="2:39" x14ac:dyDescent="0.2">
      <c r="B80" s="52">
        <v>43765</v>
      </c>
      <c r="C80" s="36">
        <v>0.6958333333333333</v>
      </c>
      <c r="D80" s="36"/>
      <c r="E80" s="36" t="s">
        <v>105</v>
      </c>
      <c r="F80" s="38">
        <v>2</v>
      </c>
      <c r="G80" s="43" t="str">
        <f>VLOOKUP(F80,Key!$A$17:$B$21,2,FALSE)</f>
        <v>Road Vehicle</v>
      </c>
      <c r="H80" s="37">
        <v>4</v>
      </c>
      <c r="I80" s="44" t="str">
        <f>VLOOKUP(H80,Key!$A$2:$B$13,2,FALSE)</f>
        <v>Minibus</v>
      </c>
      <c r="J80" s="38" t="s">
        <v>117</v>
      </c>
      <c r="K80" s="38">
        <v>1</v>
      </c>
      <c r="L80" s="46" t="str">
        <f>VLOOKUP(K80,Key!$A$24:$B$29,2,FALSE)</f>
        <v>20-29</v>
      </c>
      <c r="M80" s="38" t="s">
        <v>268</v>
      </c>
      <c r="N80" s="33" t="s">
        <v>165</v>
      </c>
      <c r="O80" s="38" t="s">
        <v>166</v>
      </c>
      <c r="P80" s="40">
        <v>2</v>
      </c>
      <c r="Q80" s="35" t="str">
        <f>VLOOKUP(P80,Key!$E$2:$F$9,2,FALSE)</f>
        <v>Work</v>
      </c>
      <c r="R80" s="38" t="s">
        <v>269</v>
      </c>
      <c r="S80" s="33" t="s">
        <v>165</v>
      </c>
      <c r="T80" s="38" t="s">
        <v>166</v>
      </c>
      <c r="U80" s="33">
        <v>2</v>
      </c>
      <c r="V80" s="35" t="str">
        <f>VLOOKUP(U80,Key!$E$2:$F$9,2,FALSE)</f>
        <v>Work</v>
      </c>
      <c r="W80" s="35" t="str">
        <f t="shared" si="1"/>
        <v>Work-Work</v>
      </c>
      <c r="X80" s="33">
        <v>60000</v>
      </c>
      <c r="Y80" s="39"/>
      <c r="Z80" s="39">
        <v>3</v>
      </c>
      <c r="AA80" s="33">
        <v>2</v>
      </c>
      <c r="AB80" s="35" t="str">
        <f>VLOOKUP(AA80,Key!$C$20:$D$29,2,FALSE)</f>
        <v>Manual Labour</v>
      </c>
      <c r="AC80" s="33">
        <v>1</v>
      </c>
      <c r="AD80" s="35" t="str">
        <f>VLOOKUP(AC80,Key!$E$20:$F$24,2,FALSE)</f>
        <v>&lt;300,000</v>
      </c>
      <c r="AE80" s="33">
        <v>3</v>
      </c>
      <c r="AF80" s="39">
        <v>1</v>
      </c>
      <c r="AG80" s="39">
        <v>4</v>
      </c>
      <c r="AH80" s="39">
        <v>2</v>
      </c>
      <c r="AI80" s="39">
        <v>5</v>
      </c>
      <c r="AJ80" s="40" t="s">
        <v>100</v>
      </c>
      <c r="AK80" s="41">
        <v>2000</v>
      </c>
      <c r="AL80" s="25"/>
      <c r="AM80" s="25"/>
    </row>
    <row r="81" spans="2:39" x14ac:dyDescent="0.2">
      <c r="B81" s="52">
        <v>43765</v>
      </c>
      <c r="C81" s="36">
        <v>0.68541666666666667</v>
      </c>
      <c r="D81" s="36"/>
      <c r="E81" s="36" t="s">
        <v>105</v>
      </c>
      <c r="F81" s="38">
        <v>2</v>
      </c>
      <c r="G81" s="43" t="str">
        <f>VLOOKUP(F81,Key!$A$17:$B$21,2,FALSE)</f>
        <v>Road Vehicle</v>
      </c>
      <c r="H81" s="37">
        <v>4</v>
      </c>
      <c r="I81" s="44" t="str">
        <f>VLOOKUP(H81,Key!$A$2:$B$13,2,FALSE)</f>
        <v>Minibus</v>
      </c>
      <c r="J81" s="38" t="s">
        <v>117</v>
      </c>
      <c r="K81" s="38">
        <v>1</v>
      </c>
      <c r="L81" s="46" t="str">
        <f>VLOOKUP(K81,Key!$A$24:$B$29,2,FALSE)</f>
        <v>20-29</v>
      </c>
      <c r="M81" s="38" t="s">
        <v>164</v>
      </c>
      <c r="N81" s="33" t="s">
        <v>165</v>
      </c>
      <c r="O81" s="38" t="s">
        <v>166</v>
      </c>
      <c r="P81" s="40">
        <v>2</v>
      </c>
      <c r="Q81" s="35" t="str">
        <f>VLOOKUP(P81,Key!$E$2:$F$9,2,FALSE)</f>
        <v>Work</v>
      </c>
      <c r="R81" s="38" t="s">
        <v>170</v>
      </c>
      <c r="S81" s="33" t="s">
        <v>171</v>
      </c>
      <c r="T81" s="38" t="s">
        <v>166</v>
      </c>
      <c r="U81" s="33">
        <v>2</v>
      </c>
      <c r="V81" s="35" t="str">
        <f>VLOOKUP(U81,Key!$E$2:$F$9,2,FALSE)</f>
        <v>Work</v>
      </c>
      <c r="W81" s="35" t="str">
        <f t="shared" si="1"/>
        <v>Work-Work</v>
      </c>
      <c r="X81" s="33">
        <v>40000</v>
      </c>
      <c r="Y81" s="39">
        <v>36</v>
      </c>
      <c r="Z81" s="39">
        <v>1.3</v>
      </c>
      <c r="AA81" s="33">
        <v>2</v>
      </c>
      <c r="AB81" s="35" t="str">
        <f>VLOOKUP(AA81,Key!$C$20:$D$29,2,FALSE)</f>
        <v>Manual Labour</v>
      </c>
      <c r="AC81" s="33">
        <v>1</v>
      </c>
      <c r="AD81" s="35" t="str">
        <f>VLOOKUP(AC81,Key!$E$20:$F$24,2,FALSE)</f>
        <v>&lt;300,000</v>
      </c>
      <c r="AE81" s="33">
        <v>2</v>
      </c>
      <c r="AF81" s="39">
        <v>1</v>
      </c>
      <c r="AG81" s="39">
        <v>5</v>
      </c>
      <c r="AH81" s="39">
        <v>3</v>
      </c>
      <c r="AI81" s="39">
        <v>4</v>
      </c>
      <c r="AJ81" s="40" t="s">
        <v>100</v>
      </c>
      <c r="AK81" s="41"/>
      <c r="AL81" s="25"/>
      <c r="AM81" s="25"/>
    </row>
    <row r="82" spans="2:39" x14ac:dyDescent="0.2">
      <c r="B82" s="52">
        <v>43765</v>
      </c>
      <c r="C82" s="36">
        <v>0.67361111111111116</v>
      </c>
      <c r="D82" s="36"/>
      <c r="E82" s="36" t="s">
        <v>105</v>
      </c>
      <c r="F82" s="38">
        <v>2</v>
      </c>
      <c r="G82" s="43" t="str">
        <f>VLOOKUP(F82,Key!$A$17:$B$21,2,FALSE)</f>
        <v>Road Vehicle</v>
      </c>
      <c r="H82" s="37">
        <v>4</v>
      </c>
      <c r="I82" s="44" t="str">
        <f>VLOOKUP(H82,Key!$A$2:$B$13,2,FALSE)</f>
        <v>Minibus</v>
      </c>
      <c r="J82" s="38" t="s">
        <v>117</v>
      </c>
      <c r="K82" s="38">
        <v>1</v>
      </c>
      <c r="L82" s="46" t="str">
        <f>VLOOKUP(K82,Key!$A$24:$B$29,2,FALSE)</f>
        <v>20-29</v>
      </c>
      <c r="M82" s="38" t="s">
        <v>164</v>
      </c>
      <c r="N82" s="33" t="s">
        <v>165</v>
      </c>
      <c r="O82" s="38" t="s">
        <v>166</v>
      </c>
      <c r="P82" s="40">
        <v>2</v>
      </c>
      <c r="Q82" s="35" t="str">
        <f>VLOOKUP(P82,Key!$E$2:$F$9,2,FALSE)</f>
        <v>Work</v>
      </c>
      <c r="R82" s="38" t="s">
        <v>281</v>
      </c>
      <c r="S82" s="33" t="s">
        <v>282</v>
      </c>
      <c r="T82" s="38" t="s">
        <v>166</v>
      </c>
      <c r="U82" s="33">
        <v>2</v>
      </c>
      <c r="V82" s="35" t="str">
        <f>VLOOKUP(U82,Key!$E$2:$F$9,2,FALSE)</f>
        <v>Work</v>
      </c>
      <c r="W82" s="35" t="str">
        <f t="shared" si="1"/>
        <v>Work-Work</v>
      </c>
      <c r="X82" s="33">
        <v>50000</v>
      </c>
      <c r="Y82" s="39">
        <v>62</v>
      </c>
      <c r="Z82" s="39">
        <v>2</v>
      </c>
      <c r="AA82" s="33">
        <v>2</v>
      </c>
      <c r="AB82" s="35" t="str">
        <f>VLOOKUP(AA82,Key!$C$20:$D$29,2,FALSE)</f>
        <v>Manual Labour</v>
      </c>
      <c r="AC82" s="33">
        <v>1</v>
      </c>
      <c r="AD82" s="35" t="str">
        <f>VLOOKUP(AC82,Key!$E$20:$F$24,2,FALSE)</f>
        <v>&lt;300,000</v>
      </c>
      <c r="AE82" s="33">
        <v>2</v>
      </c>
      <c r="AF82" s="39">
        <v>3</v>
      </c>
      <c r="AG82" s="39">
        <v>4</v>
      </c>
      <c r="AH82" s="39">
        <v>1</v>
      </c>
      <c r="AI82" s="39">
        <v>5</v>
      </c>
      <c r="AJ82" s="40" t="s">
        <v>100</v>
      </c>
      <c r="AK82" s="41"/>
      <c r="AL82" s="25"/>
      <c r="AM82" s="25"/>
    </row>
    <row r="83" spans="2:39" x14ac:dyDescent="0.2">
      <c r="B83" s="52">
        <v>43765</v>
      </c>
      <c r="C83" s="36">
        <v>0.65902777777777777</v>
      </c>
      <c r="D83" s="36"/>
      <c r="E83" s="36" t="s">
        <v>105</v>
      </c>
      <c r="F83" s="38">
        <v>2</v>
      </c>
      <c r="G83" s="43" t="str">
        <f>VLOOKUP(F83,Key!$A$17:$B$21,2,FALSE)</f>
        <v>Road Vehicle</v>
      </c>
      <c r="H83" s="37">
        <v>4</v>
      </c>
      <c r="I83" s="44" t="str">
        <f>VLOOKUP(H83,Key!$A$2:$B$13,2,FALSE)</f>
        <v>Minibus</v>
      </c>
      <c r="J83" s="38" t="s">
        <v>117</v>
      </c>
      <c r="K83" s="38">
        <v>1</v>
      </c>
      <c r="L83" s="46" t="str">
        <f>VLOOKUP(K83,Key!$A$24:$B$29,2,FALSE)</f>
        <v>20-29</v>
      </c>
      <c r="M83" s="38" t="s">
        <v>164</v>
      </c>
      <c r="N83" s="33" t="s">
        <v>165</v>
      </c>
      <c r="O83" s="38" t="s">
        <v>166</v>
      </c>
      <c r="P83" s="40">
        <v>2</v>
      </c>
      <c r="Q83" s="35" t="str">
        <f>VLOOKUP(P83,Key!$E$2:$F$9,2,FALSE)</f>
        <v>Work</v>
      </c>
      <c r="R83" s="38" t="s">
        <v>283</v>
      </c>
      <c r="S83" s="33" t="s">
        <v>165</v>
      </c>
      <c r="T83" s="38" t="s">
        <v>166</v>
      </c>
      <c r="U83" s="33">
        <v>2</v>
      </c>
      <c r="V83" s="35" t="str">
        <f>VLOOKUP(U83,Key!$E$2:$F$9,2,FALSE)</f>
        <v>Work</v>
      </c>
      <c r="W83" s="35" t="str">
        <f t="shared" si="1"/>
        <v>Work-Work</v>
      </c>
      <c r="X83" s="33">
        <v>60000</v>
      </c>
      <c r="Y83" s="39">
        <v>72</v>
      </c>
      <c r="Z83" s="39">
        <v>2.5</v>
      </c>
      <c r="AA83" s="33">
        <v>2</v>
      </c>
      <c r="AB83" s="35" t="str">
        <f>VLOOKUP(AA83,Key!$C$20:$D$29,2,FALSE)</f>
        <v>Manual Labour</v>
      </c>
      <c r="AC83" s="33">
        <v>1</v>
      </c>
      <c r="AD83" s="35" t="str">
        <f>VLOOKUP(AC83,Key!$E$20:$F$24,2,FALSE)</f>
        <v>&lt;300,000</v>
      </c>
      <c r="AE83" s="33">
        <v>1</v>
      </c>
      <c r="AF83" s="39">
        <v>2</v>
      </c>
      <c r="AG83" s="39">
        <v>3</v>
      </c>
      <c r="AH83" s="39">
        <v>4</v>
      </c>
      <c r="AI83" s="39">
        <v>5</v>
      </c>
      <c r="AJ83" s="40" t="s">
        <v>100</v>
      </c>
      <c r="AK83" s="41"/>
      <c r="AL83" s="25"/>
      <c r="AM83" s="25"/>
    </row>
    <row r="84" spans="2:39" x14ac:dyDescent="0.2">
      <c r="B84" s="52">
        <v>43765</v>
      </c>
      <c r="C84" s="36">
        <v>0.66527777777777775</v>
      </c>
      <c r="D84" s="36"/>
      <c r="E84" s="36" t="s">
        <v>105</v>
      </c>
      <c r="F84" s="38">
        <v>2</v>
      </c>
      <c r="G84" s="43" t="str">
        <f>VLOOKUP(F84,Key!$A$17:$B$21,2,FALSE)</f>
        <v>Road Vehicle</v>
      </c>
      <c r="H84" s="37">
        <v>4</v>
      </c>
      <c r="I84" s="44" t="str">
        <f>VLOOKUP(H84,Key!$A$2:$B$13,2,FALSE)</f>
        <v>Minibus</v>
      </c>
      <c r="J84" s="38" t="s">
        <v>117</v>
      </c>
      <c r="K84" s="38">
        <v>1</v>
      </c>
      <c r="L84" s="46" t="str">
        <f>VLOOKUP(K84,Key!$A$24:$B$29,2,FALSE)</f>
        <v>20-29</v>
      </c>
      <c r="M84" s="38" t="s">
        <v>164</v>
      </c>
      <c r="N84" s="33" t="s">
        <v>165</v>
      </c>
      <c r="O84" s="38" t="s">
        <v>166</v>
      </c>
      <c r="P84" s="40">
        <v>2</v>
      </c>
      <c r="Q84" s="35" t="str">
        <f>VLOOKUP(P84,Key!$E$2:$F$9,2,FALSE)</f>
        <v>Work</v>
      </c>
      <c r="R84" s="38" t="s">
        <v>165</v>
      </c>
      <c r="S84" s="33" t="s">
        <v>165</v>
      </c>
      <c r="T84" s="38" t="s">
        <v>166</v>
      </c>
      <c r="U84" s="33">
        <v>2</v>
      </c>
      <c r="V84" s="35" t="str">
        <f>VLOOKUP(U84,Key!$E$2:$F$9,2,FALSE)</f>
        <v>Work</v>
      </c>
      <c r="W84" s="35" t="str">
        <f t="shared" si="1"/>
        <v>Work-Work</v>
      </c>
      <c r="X84" s="33">
        <v>55000</v>
      </c>
      <c r="Y84" s="39">
        <v>57</v>
      </c>
      <c r="Z84" s="39">
        <v>0.9</v>
      </c>
      <c r="AA84" s="33">
        <v>2</v>
      </c>
      <c r="AB84" s="35" t="str">
        <f>VLOOKUP(AA84,Key!$C$20:$D$29,2,FALSE)</f>
        <v>Manual Labour</v>
      </c>
      <c r="AC84" s="33">
        <v>1</v>
      </c>
      <c r="AD84" s="35" t="str">
        <f>VLOOKUP(AC84,Key!$E$20:$F$24,2,FALSE)</f>
        <v>&lt;300,000</v>
      </c>
      <c r="AE84" s="33">
        <v>4</v>
      </c>
      <c r="AF84" s="39">
        <v>1</v>
      </c>
      <c r="AG84" s="39">
        <v>3</v>
      </c>
      <c r="AH84" s="39">
        <v>2</v>
      </c>
      <c r="AI84" s="39">
        <v>5</v>
      </c>
      <c r="AJ84" s="40" t="s">
        <v>100</v>
      </c>
      <c r="AK84" s="41"/>
      <c r="AL84" s="25"/>
      <c r="AM84" s="25"/>
    </row>
    <row r="85" spans="2:39" x14ac:dyDescent="0.2">
      <c r="B85" s="52">
        <v>43765</v>
      </c>
      <c r="C85" s="36">
        <v>0.70138888888888884</v>
      </c>
      <c r="D85" s="36"/>
      <c r="E85" s="36" t="s">
        <v>105</v>
      </c>
      <c r="F85" s="38">
        <v>2</v>
      </c>
      <c r="G85" s="43" t="str">
        <f>VLOOKUP(F85,Key!$A$17:$B$21,2,FALSE)</f>
        <v>Road Vehicle</v>
      </c>
      <c r="H85" s="37">
        <v>4</v>
      </c>
      <c r="I85" s="44" t="str">
        <f>VLOOKUP(H85,Key!$A$2:$B$13,2,FALSE)</f>
        <v>Minibus</v>
      </c>
      <c r="J85" s="38" t="s">
        <v>117</v>
      </c>
      <c r="K85" s="38">
        <v>1</v>
      </c>
      <c r="L85" s="46" t="str">
        <f>VLOOKUP(K85,Key!$A$24:$B$29,2,FALSE)</f>
        <v>20-29</v>
      </c>
      <c r="M85" s="38" t="s">
        <v>164</v>
      </c>
      <c r="N85" s="33" t="s">
        <v>165</v>
      </c>
      <c r="O85" s="38" t="s">
        <v>166</v>
      </c>
      <c r="P85" s="40">
        <v>2</v>
      </c>
      <c r="Q85" s="35" t="str">
        <f>VLOOKUP(P85,Key!$E$2:$F$9,2,FALSE)</f>
        <v>Work</v>
      </c>
      <c r="R85" s="38" t="s">
        <v>264</v>
      </c>
      <c r="S85" s="33" t="s">
        <v>171</v>
      </c>
      <c r="T85" s="38" t="s">
        <v>166</v>
      </c>
      <c r="U85" s="33">
        <v>2</v>
      </c>
      <c r="V85" s="35" t="str">
        <f>VLOOKUP(U85,Key!$E$2:$F$9,2,FALSE)</f>
        <v>Work</v>
      </c>
      <c r="W85" s="35" t="str">
        <f t="shared" si="1"/>
        <v>Work-Work</v>
      </c>
      <c r="X85" s="33">
        <v>35000</v>
      </c>
      <c r="Y85" s="39">
        <v>36</v>
      </c>
      <c r="Z85" s="39">
        <v>1</v>
      </c>
      <c r="AA85" s="33">
        <v>2</v>
      </c>
      <c r="AB85" s="35" t="str">
        <f>VLOOKUP(AA85,Key!$C$20:$D$29,2,FALSE)</f>
        <v>Manual Labour</v>
      </c>
      <c r="AC85" s="33">
        <v>1</v>
      </c>
      <c r="AD85" s="35" t="str">
        <f>VLOOKUP(AC85,Key!$E$20:$F$24,2,FALSE)</f>
        <v>&lt;300,000</v>
      </c>
      <c r="AE85" s="33">
        <v>1</v>
      </c>
      <c r="AF85" s="39">
        <v>2</v>
      </c>
      <c r="AG85" s="39">
        <v>3</v>
      </c>
      <c r="AH85" s="39">
        <v>4</v>
      </c>
      <c r="AI85" s="39">
        <v>5</v>
      </c>
      <c r="AJ85" s="40" t="s">
        <v>100</v>
      </c>
      <c r="AK85" s="41">
        <v>2000</v>
      </c>
      <c r="AL85" s="25"/>
      <c r="AM85" s="25"/>
    </row>
    <row r="86" spans="2:39" x14ac:dyDescent="0.2">
      <c r="B86" s="52">
        <v>43765</v>
      </c>
      <c r="C86" s="36">
        <v>0.62430555555555556</v>
      </c>
      <c r="D86" s="36"/>
      <c r="E86" s="36" t="s">
        <v>105</v>
      </c>
      <c r="F86" s="38">
        <v>2</v>
      </c>
      <c r="G86" s="43" t="str">
        <f>VLOOKUP(F86,Key!$A$17:$B$21,2,FALSE)</f>
        <v>Road Vehicle</v>
      </c>
      <c r="H86" s="37">
        <v>3</v>
      </c>
      <c r="I86" s="44" t="str">
        <f>VLOOKUP(H86,Key!$A$2:$B$13,2,FALSE)</f>
        <v>Pickups</v>
      </c>
      <c r="J86" s="38" t="s">
        <v>168</v>
      </c>
      <c r="K86" s="38">
        <v>1</v>
      </c>
      <c r="L86" s="46" t="str">
        <f>VLOOKUP(K86,Key!$A$24:$B$29,2,FALSE)</f>
        <v>20-29</v>
      </c>
      <c r="M86" s="38" t="s">
        <v>211</v>
      </c>
      <c r="N86" s="33" t="s">
        <v>171</v>
      </c>
      <c r="O86" s="38" t="s">
        <v>166</v>
      </c>
      <c r="P86" s="40">
        <v>1</v>
      </c>
      <c r="Q86" s="35" t="str">
        <f>VLOOKUP(P86,Key!$E$2:$F$9,2,FALSE)</f>
        <v>Home</v>
      </c>
      <c r="R86" s="38" t="s">
        <v>169</v>
      </c>
      <c r="S86" s="33" t="s">
        <v>165</v>
      </c>
      <c r="T86" s="38" t="s">
        <v>166</v>
      </c>
      <c r="U86" s="33">
        <v>2</v>
      </c>
      <c r="V86" s="35" t="str">
        <f>VLOOKUP(U86,Key!$E$2:$F$9,2,FALSE)</f>
        <v>Work</v>
      </c>
      <c r="W86" s="35" t="str">
        <f t="shared" si="1"/>
        <v>Home-Work</v>
      </c>
      <c r="X86" s="33">
        <v>150000</v>
      </c>
      <c r="Y86" s="39">
        <v>45</v>
      </c>
      <c r="Z86" s="39">
        <v>3.5</v>
      </c>
      <c r="AA86" s="33">
        <v>5</v>
      </c>
      <c r="AB86" s="35" t="str">
        <f>VLOOKUP(AA86,Key!$C$20:$D$29,2,FALSE)</f>
        <v>Professional</v>
      </c>
      <c r="AC86" s="33">
        <v>2</v>
      </c>
      <c r="AD86" s="35" t="str">
        <f>VLOOKUP(AC86,Key!$E$20:$F$24,2,FALSE)</f>
        <v>300,000-500,000</v>
      </c>
      <c r="AE86" s="33">
        <v>5</v>
      </c>
      <c r="AF86" s="39">
        <v>1</v>
      </c>
      <c r="AG86" s="39">
        <v>4</v>
      </c>
      <c r="AH86" s="39">
        <v>1</v>
      </c>
      <c r="AI86" s="39">
        <v>1</v>
      </c>
      <c r="AJ86" s="40" t="s">
        <v>100</v>
      </c>
      <c r="AK86" s="41">
        <v>4000</v>
      </c>
      <c r="AL86" s="25"/>
      <c r="AM86" s="25"/>
    </row>
    <row r="87" spans="2:39" x14ac:dyDescent="0.2">
      <c r="B87" s="52">
        <v>43765</v>
      </c>
      <c r="C87" s="36">
        <v>0.4236111111111111</v>
      </c>
      <c r="D87" s="36"/>
      <c r="E87" s="36" t="s">
        <v>105</v>
      </c>
      <c r="F87" s="38">
        <v>2</v>
      </c>
      <c r="G87" s="43" t="str">
        <f>VLOOKUP(F87,Key!$A$17:$B$21,2,FALSE)</f>
        <v>Road Vehicle</v>
      </c>
      <c r="H87" s="37">
        <v>2</v>
      </c>
      <c r="I87" s="44" t="str">
        <f>VLOOKUP(H87,Key!$A$2:$B$13,2,FALSE)</f>
        <v>Station Wagon</v>
      </c>
      <c r="J87" s="38" t="s">
        <v>168</v>
      </c>
      <c r="K87" s="38">
        <v>1</v>
      </c>
      <c r="L87" s="46" t="str">
        <f>VLOOKUP(K87,Key!$A$24:$B$29,2,FALSE)</f>
        <v>20-29</v>
      </c>
      <c r="M87" s="38" t="s">
        <v>212</v>
      </c>
      <c r="N87" s="33" t="s">
        <v>165</v>
      </c>
      <c r="O87" s="38" t="s">
        <v>166</v>
      </c>
      <c r="P87" s="40">
        <v>1</v>
      </c>
      <c r="Q87" s="35" t="str">
        <f>VLOOKUP(P87,Key!$E$2:$F$9,2,FALSE)</f>
        <v>Home</v>
      </c>
      <c r="R87" s="38" t="s">
        <v>169</v>
      </c>
      <c r="S87" s="33" t="s">
        <v>165</v>
      </c>
      <c r="T87" s="38" t="s">
        <v>166</v>
      </c>
      <c r="U87" s="33">
        <v>2</v>
      </c>
      <c r="V87" s="35" t="str">
        <f>VLOOKUP(U87,Key!$E$2:$F$9,2,FALSE)</f>
        <v>Work</v>
      </c>
      <c r="W87" s="35" t="str">
        <f t="shared" si="1"/>
        <v>Home-Work</v>
      </c>
      <c r="X87" s="33">
        <v>30000</v>
      </c>
      <c r="Y87" s="39">
        <v>35</v>
      </c>
      <c r="Z87" s="39">
        <v>1</v>
      </c>
      <c r="AA87" s="33">
        <v>4</v>
      </c>
      <c r="AB87" s="35" t="str">
        <f>VLOOKUP(AA87,Key!$C$20:$D$29,2,FALSE)</f>
        <v>Office Worker</v>
      </c>
      <c r="AC87" s="33">
        <v>3</v>
      </c>
      <c r="AD87" s="35" t="str">
        <f>VLOOKUP(AC87,Key!$E$20:$F$24,2,FALSE)</f>
        <v>500,000-750,000</v>
      </c>
      <c r="AE87" s="33">
        <v>1</v>
      </c>
      <c r="AF87" s="39">
        <v>1</v>
      </c>
      <c r="AG87" s="39">
        <v>1</v>
      </c>
      <c r="AH87" s="39">
        <v>1</v>
      </c>
      <c r="AI87" s="39">
        <v>1</v>
      </c>
      <c r="AJ87" s="40" t="s">
        <v>100</v>
      </c>
      <c r="AK87" s="41">
        <v>10000</v>
      </c>
      <c r="AL87" s="25"/>
      <c r="AM87" s="25"/>
    </row>
    <row r="88" spans="2:39" x14ac:dyDescent="0.2">
      <c r="B88" s="52">
        <v>43765</v>
      </c>
      <c r="C88" s="36">
        <v>0.43402777777777773</v>
      </c>
      <c r="D88" s="36"/>
      <c r="E88" s="36" t="s">
        <v>163</v>
      </c>
      <c r="F88" s="38">
        <v>2</v>
      </c>
      <c r="G88" s="43" t="str">
        <f>VLOOKUP(F88,Key!$A$17:$B$21,2,FALSE)</f>
        <v>Road Vehicle</v>
      </c>
      <c r="H88" s="37">
        <v>2</v>
      </c>
      <c r="I88" s="44" t="str">
        <f>VLOOKUP(H88,Key!$A$2:$B$13,2,FALSE)</f>
        <v>Station Wagon</v>
      </c>
      <c r="J88" s="38" t="s">
        <v>168</v>
      </c>
      <c r="K88" s="38">
        <v>1</v>
      </c>
      <c r="L88" s="46" t="str">
        <f>VLOOKUP(K88,Key!$A$24:$B$29,2,FALSE)</f>
        <v>20-29</v>
      </c>
      <c r="M88" s="38" t="s">
        <v>161</v>
      </c>
      <c r="N88" s="33" t="s">
        <v>165</v>
      </c>
      <c r="O88" s="38" t="s">
        <v>166</v>
      </c>
      <c r="P88" s="40">
        <v>4</v>
      </c>
      <c r="Q88" s="35" t="str">
        <f>VLOOKUP(P88,Key!$E$2:$F$9,2,FALSE)</f>
        <v>Commercial</v>
      </c>
      <c r="R88" s="38" t="s">
        <v>269</v>
      </c>
      <c r="S88" s="33" t="s">
        <v>165</v>
      </c>
      <c r="T88" s="38" t="s">
        <v>166</v>
      </c>
      <c r="U88" s="33">
        <v>6</v>
      </c>
      <c r="V88" s="35" t="str">
        <f>VLOOKUP(U88,Key!$E$2:$F$9,2,FALSE)</f>
        <v>Leisure/Social</v>
      </c>
      <c r="W88" s="35" t="str">
        <f t="shared" si="1"/>
        <v>Commercial-Leisure/Social</v>
      </c>
      <c r="X88" s="33">
        <v>1000</v>
      </c>
      <c r="Y88" s="39">
        <v>8</v>
      </c>
      <c r="Z88" s="39">
        <v>0.1</v>
      </c>
      <c r="AA88" s="33">
        <v>2</v>
      </c>
      <c r="AB88" s="35" t="str">
        <f>VLOOKUP(AA88,Key!$C$20:$D$29,2,FALSE)</f>
        <v>Manual Labour</v>
      </c>
      <c r="AC88" s="33">
        <v>1</v>
      </c>
      <c r="AD88" s="35" t="str">
        <f>VLOOKUP(AC88,Key!$E$20:$F$24,2,FALSE)</f>
        <v>&lt;300,000</v>
      </c>
      <c r="AE88" s="33">
        <v>1</v>
      </c>
      <c r="AF88" s="39">
        <v>2</v>
      </c>
      <c r="AG88" s="39">
        <v>4</v>
      </c>
      <c r="AH88" s="39">
        <v>3</v>
      </c>
      <c r="AI88" s="39">
        <v>5</v>
      </c>
      <c r="AJ88" s="40" t="s">
        <v>100</v>
      </c>
      <c r="AK88" s="41">
        <v>2000</v>
      </c>
      <c r="AL88" s="25"/>
      <c r="AM88" s="25"/>
    </row>
    <row r="89" spans="2:39" x14ac:dyDescent="0.2">
      <c r="B89" s="52">
        <v>43765</v>
      </c>
      <c r="C89" s="36">
        <v>0.3576388888888889</v>
      </c>
      <c r="D89" s="36"/>
      <c r="E89" s="36" t="s">
        <v>105</v>
      </c>
      <c r="F89" s="38">
        <v>2</v>
      </c>
      <c r="G89" s="43" t="str">
        <f>VLOOKUP(F89,Key!$A$17:$B$21,2,FALSE)</f>
        <v>Road Vehicle</v>
      </c>
      <c r="H89" s="37">
        <v>2</v>
      </c>
      <c r="I89" s="44" t="str">
        <f>VLOOKUP(H89,Key!$A$2:$B$13,2,FALSE)</f>
        <v>Station Wagon</v>
      </c>
      <c r="J89" s="38" t="s">
        <v>117</v>
      </c>
      <c r="K89" s="38">
        <v>1</v>
      </c>
      <c r="L89" s="46" t="str">
        <f>VLOOKUP(K89,Key!$A$24:$B$29,2,FALSE)</f>
        <v>20-29</v>
      </c>
      <c r="M89" s="38" t="s">
        <v>175</v>
      </c>
      <c r="N89" s="33" t="s">
        <v>165</v>
      </c>
      <c r="O89" s="38" t="s">
        <v>166</v>
      </c>
      <c r="P89" s="40">
        <v>2</v>
      </c>
      <c r="Q89" s="35" t="str">
        <f>VLOOKUP(P89,Key!$E$2:$F$9,2,FALSE)</f>
        <v>Work</v>
      </c>
      <c r="R89" s="38" t="s">
        <v>169</v>
      </c>
      <c r="S89" s="33" t="s">
        <v>165</v>
      </c>
      <c r="T89" s="38" t="s">
        <v>166</v>
      </c>
      <c r="U89" s="33">
        <v>1</v>
      </c>
      <c r="V89" s="35" t="str">
        <f>VLOOKUP(U89,Key!$E$2:$F$9,2,FALSE)</f>
        <v>Home</v>
      </c>
      <c r="W89" s="35" t="str">
        <f t="shared" si="1"/>
        <v>Work-Home</v>
      </c>
      <c r="X89" s="33">
        <v>15000</v>
      </c>
      <c r="Y89" s="39">
        <v>28</v>
      </c>
      <c r="Z89" s="39">
        <v>0.5</v>
      </c>
      <c r="AA89" s="33">
        <v>4</v>
      </c>
      <c r="AB89" s="35" t="str">
        <f>VLOOKUP(AA89,Key!$C$20:$D$29,2,FALSE)</f>
        <v>Office Worker</v>
      </c>
      <c r="AC89" s="33">
        <v>2</v>
      </c>
      <c r="AD89" s="35" t="str">
        <f>VLOOKUP(AC89,Key!$E$20:$F$24,2,FALSE)</f>
        <v>300,000-500,000</v>
      </c>
      <c r="AE89" s="33">
        <v>1</v>
      </c>
      <c r="AF89" s="39">
        <v>1</v>
      </c>
      <c r="AG89" s="39">
        <v>1</v>
      </c>
      <c r="AH89" s="39">
        <v>1</v>
      </c>
      <c r="AI89" s="39">
        <v>1</v>
      </c>
      <c r="AJ89" s="40" t="s">
        <v>100</v>
      </c>
      <c r="AK89" s="41">
        <v>9000</v>
      </c>
      <c r="AL89" s="25"/>
      <c r="AM89" s="25"/>
    </row>
    <row r="90" spans="2:39" x14ac:dyDescent="0.2">
      <c r="B90" s="52">
        <v>43765</v>
      </c>
      <c r="C90" s="36">
        <v>0.71388888888888891</v>
      </c>
      <c r="D90" s="36"/>
      <c r="E90" s="36" t="s">
        <v>105</v>
      </c>
      <c r="F90" s="38">
        <v>2</v>
      </c>
      <c r="G90" s="43" t="str">
        <f>VLOOKUP(F90,Key!$A$17:$B$21,2,FALSE)</f>
        <v>Road Vehicle</v>
      </c>
      <c r="H90" s="37">
        <v>1</v>
      </c>
      <c r="I90" s="44" t="str">
        <f>VLOOKUP(H90,Key!$A$2:$B$13,2,FALSE)</f>
        <v>Car</v>
      </c>
      <c r="J90" s="38" t="s">
        <v>168</v>
      </c>
      <c r="K90" s="38">
        <v>2</v>
      </c>
      <c r="L90" s="46" t="str">
        <f>VLOOKUP(K90,Key!$A$24:$B$29,2,FALSE)</f>
        <v>30-39</v>
      </c>
      <c r="M90" s="38" t="s">
        <v>170</v>
      </c>
      <c r="N90" s="33" t="s">
        <v>171</v>
      </c>
      <c r="O90" s="38" t="s">
        <v>166</v>
      </c>
      <c r="P90" s="40">
        <v>1</v>
      </c>
      <c r="Q90" s="35" t="str">
        <f>VLOOKUP(P90,Key!$E$2:$F$9,2,FALSE)</f>
        <v>Home</v>
      </c>
      <c r="R90" s="38" t="s">
        <v>191</v>
      </c>
      <c r="S90" s="33" t="s">
        <v>165</v>
      </c>
      <c r="T90" s="38" t="s">
        <v>166</v>
      </c>
      <c r="U90" s="33">
        <v>2</v>
      </c>
      <c r="V90" s="35" t="str">
        <f>VLOOKUP(U90,Key!$E$2:$F$9,2,FALSE)</f>
        <v>Work</v>
      </c>
      <c r="W90" s="35" t="str">
        <f t="shared" si="1"/>
        <v>Home-Work</v>
      </c>
      <c r="X90" s="33">
        <v>30000</v>
      </c>
      <c r="Y90" s="39">
        <v>38</v>
      </c>
      <c r="Z90" s="39">
        <v>1.5</v>
      </c>
      <c r="AA90" s="33">
        <v>6</v>
      </c>
      <c r="AB90" s="35" t="str">
        <f>VLOOKUP(AA90,Key!$C$20:$D$29,2,FALSE)</f>
        <v>Businessman</v>
      </c>
      <c r="AC90" s="33">
        <v>3</v>
      </c>
      <c r="AD90" s="35" t="str">
        <f>VLOOKUP(AC90,Key!$E$20:$F$24,2,FALSE)</f>
        <v>500,000-750,000</v>
      </c>
      <c r="AE90" s="33">
        <v>5</v>
      </c>
      <c r="AF90" s="39">
        <v>1</v>
      </c>
      <c r="AG90" s="39">
        <v>2</v>
      </c>
      <c r="AH90" s="39">
        <v>1</v>
      </c>
      <c r="AI90" s="39">
        <v>2</v>
      </c>
      <c r="AJ90" s="40" t="s">
        <v>100</v>
      </c>
      <c r="AK90" s="41">
        <v>1000</v>
      </c>
      <c r="AL90" s="25"/>
      <c r="AM90" s="25"/>
    </row>
    <row r="91" spans="2:39" x14ac:dyDescent="0.2">
      <c r="B91" s="52">
        <v>43765</v>
      </c>
      <c r="C91" s="36">
        <v>0.31597222222222221</v>
      </c>
      <c r="D91" s="36"/>
      <c r="E91" s="36" t="s">
        <v>163</v>
      </c>
      <c r="F91" s="38">
        <v>2</v>
      </c>
      <c r="G91" s="43" t="str">
        <f>VLOOKUP(F91,Key!$A$17:$B$21,2,FALSE)</f>
        <v>Road Vehicle</v>
      </c>
      <c r="H91" s="37">
        <v>1</v>
      </c>
      <c r="I91" s="44" t="str">
        <f>VLOOKUP(H91,Key!$A$2:$B$13,2,FALSE)</f>
        <v>Car</v>
      </c>
      <c r="J91" s="38" t="s">
        <v>117</v>
      </c>
      <c r="K91" s="38">
        <v>2</v>
      </c>
      <c r="L91" s="46" t="str">
        <f>VLOOKUP(K91,Key!$A$24:$B$29,2,FALSE)</f>
        <v>30-39</v>
      </c>
      <c r="M91" s="45" t="s">
        <v>170</v>
      </c>
      <c r="N91" s="33" t="s">
        <v>171</v>
      </c>
      <c r="O91" s="38" t="s">
        <v>166</v>
      </c>
      <c r="P91" s="40">
        <v>2</v>
      </c>
      <c r="Q91" s="35" t="str">
        <f>VLOOKUP(P91,Key!$E$2:$F$9,2,FALSE)</f>
        <v>Work</v>
      </c>
      <c r="R91" s="38" t="s">
        <v>164</v>
      </c>
      <c r="S91" s="33" t="s">
        <v>165</v>
      </c>
      <c r="T91" s="38" t="s">
        <v>166</v>
      </c>
      <c r="U91" s="33">
        <v>1</v>
      </c>
      <c r="V91" s="35" t="str">
        <f>VLOOKUP(U91,Key!$E$2:$F$9,2,FALSE)</f>
        <v>Home</v>
      </c>
      <c r="W91" s="35" t="str">
        <f t="shared" si="1"/>
        <v>Work-Home</v>
      </c>
      <c r="X91" s="48">
        <v>3000</v>
      </c>
      <c r="Y91" s="39">
        <v>36</v>
      </c>
      <c r="Z91" s="39">
        <v>1</v>
      </c>
      <c r="AA91" s="33">
        <v>6</v>
      </c>
      <c r="AB91" s="35" t="str">
        <f>VLOOKUP(AA91,Key!$C$20:$D$29,2,FALSE)</f>
        <v>Businessman</v>
      </c>
      <c r="AC91" s="33">
        <v>3</v>
      </c>
      <c r="AD91" s="35" t="str">
        <f>VLOOKUP(AC91,Key!$E$20:$F$24,2,FALSE)</f>
        <v>500,000-750,000</v>
      </c>
      <c r="AE91" s="33">
        <v>2</v>
      </c>
      <c r="AF91" s="39">
        <v>1</v>
      </c>
      <c r="AG91" s="39">
        <v>1</v>
      </c>
      <c r="AH91" s="39">
        <v>1</v>
      </c>
      <c r="AI91" s="39">
        <v>2</v>
      </c>
      <c r="AJ91" s="40" t="s">
        <v>100</v>
      </c>
      <c r="AK91" s="41">
        <v>1000</v>
      </c>
      <c r="AL91" s="25"/>
      <c r="AM91" s="25"/>
    </row>
    <row r="92" spans="2:39" x14ac:dyDescent="0.2">
      <c r="B92" s="52">
        <v>43765</v>
      </c>
      <c r="C92" s="36">
        <v>0.3527777777777778</v>
      </c>
      <c r="D92" s="36"/>
      <c r="E92" s="36" t="s">
        <v>105</v>
      </c>
      <c r="F92" s="38">
        <v>2</v>
      </c>
      <c r="G92" s="43" t="str">
        <f>VLOOKUP(F92,Key!$A$17:$B$21,2,FALSE)</f>
        <v>Road Vehicle</v>
      </c>
      <c r="H92" s="37">
        <v>1</v>
      </c>
      <c r="I92" s="44" t="str">
        <f>VLOOKUP(H92,Key!$A$2:$B$13,2,FALSE)</f>
        <v>Car</v>
      </c>
      <c r="J92" s="38" t="s">
        <v>117</v>
      </c>
      <c r="K92" s="38">
        <v>2</v>
      </c>
      <c r="L92" s="46" t="str">
        <f>VLOOKUP(K92,Key!$A$24:$B$29,2,FALSE)</f>
        <v>30-39</v>
      </c>
      <c r="M92" s="45" t="s">
        <v>164</v>
      </c>
      <c r="N92" s="33" t="s">
        <v>165</v>
      </c>
      <c r="O92" s="38" t="s">
        <v>166</v>
      </c>
      <c r="P92" s="40">
        <v>1</v>
      </c>
      <c r="Q92" s="35" t="str">
        <f>VLOOKUP(P92,Key!$E$2:$F$9,2,FALSE)</f>
        <v>Home</v>
      </c>
      <c r="R92" s="38" t="s">
        <v>177</v>
      </c>
      <c r="S92" s="33" t="s">
        <v>176</v>
      </c>
      <c r="T92" s="38" t="s">
        <v>166</v>
      </c>
      <c r="U92" s="33">
        <v>2</v>
      </c>
      <c r="V92" s="35" t="str">
        <f>VLOOKUP(U92,Key!$E$2:$F$9,2,FALSE)</f>
        <v>Work</v>
      </c>
      <c r="W92" s="35" t="str">
        <f t="shared" si="1"/>
        <v>Home-Work</v>
      </c>
      <c r="X92" s="48">
        <v>70000</v>
      </c>
      <c r="Y92" s="39">
        <v>150</v>
      </c>
      <c r="Z92" s="39">
        <v>3.5</v>
      </c>
      <c r="AA92" s="33">
        <v>4</v>
      </c>
      <c r="AB92" s="35" t="str">
        <f>VLOOKUP(AA92,Key!$C$20:$D$29,2,FALSE)</f>
        <v>Office Worker</v>
      </c>
      <c r="AC92" s="33">
        <v>3</v>
      </c>
      <c r="AD92" s="35" t="str">
        <f>VLOOKUP(AC92,Key!$E$20:$F$24,2,FALSE)</f>
        <v>500,000-750,000</v>
      </c>
      <c r="AE92" s="33">
        <v>5</v>
      </c>
      <c r="AF92" s="39">
        <v>1</v>
      </c>
      <c r="AG92" s="39">
        <v>2</v>
      </c>
      <c r="AH92" s="39">
        <v>2</v>
      </c>
      <c r="AI92" s="39">
        <v>1</v>
      </c>
      <c r="AJ92" s="40" t="s">
        <v>100</v>
      </c>
      <c r="AK92" s="41">
        <v>1000</v>
      </c>
      <c r="AL92" s="25"/>
      <c r="AM92" s="25"/>
    </row>
    <row r="93" spans="2:39" x14ac:dyDescent="0.2">
      <c r="B93" s="52">
        <v>43765</v>
      </c>
      <c r="C93" s="36">
        <v>0.48055555555555557</v>
      </c>
      <c r="D93" s="36"/>
      <c r="E93" s="36" t="s">
        <v>105</v>
      </c>
      <c r="F93" s="38">
        <v>2</v>
      </c>
      <c r="G93" s="43" t="str">
        <f>VLOOKUP(F93,Key!$A$17:$B$21,2,FALSE)</f>
        <v>Road Vehicle</v>
      </c>
      <c r="H93" s="37">
        <v>1</v>
      </c>
      <c r="I93" s="44" t="str">
        <f>VLOOKUP(H93,Key!$A$2:$B$13,2,FALSE)</f>
        <v>Car</v>
      </c>
      <c r="J93" s="38" t="s">
        <v>117</v>
      </c>
      <c r="K93" s="38">
        <v>2</v>
      </c>
      <c r="L93" s="46" t="str">
        <f>VLOOKUP(K93,Key!$A$24:$B$29,2,FALSE)</f>
        <v>30-39</v>
      </c>
      <c r="M93" s="45" t="s">
        <v>170</v>
      </c>
      <c r="N93" s="33" t="s">
        <v>171</v>
      </c>
      <c r="O93" s="38" t="s">
        <v>166</v>
      </c>
      <c r="P93" s="40">
        <v>1</v>
      </c>
      <c r="Q93" s="35" t="str">
        <f>VLOOKUP(P93,Key!$E$2:$F$9,2,FALSE)</f>
        <v>Home</v>
      </c>
      <c r="R93" s="38" t="s">
        <v>161</v>
      </c>
      <c r="S93" s="33" t="s">
        <v>165</v>
      </c>
      <c r="T93" s="38" t="s">
        <v>166</v>
      </c>
      <c r="U93" s="33">
        <v>2</v>
      </c>
      <c r="V93" s="35" t="str">
        <f>VLOOKUP(U93,Key!$E$2:$F$9,2,FALSE)</f>
        <v>Work</v>
      </c>
      <c r="W93" s="35" t="str">
        <f t="shared" si="1"/>
        <v>Home-Work</v>
      </c>
      <c r="X93" s="48">
        <v>3000</v>
      </c>
      <c r="Y93" s="39">
        <v>37</v>
      </c>
      <c r="Z93" s="39">
        <v>1</v>
      </c>
      <c r="AA93" s="33">
        <v>6</v>
      </c>
      <c r="AB93" s="35" t="str">
        <f>VLOOKUP(AA93,Key!$C$20:$D$29,2,FALSE)</f>
        <v>Businessman</v>
      </c>
      <c r="AC93" s="33">
        <v>4</v>
      </c>
      <c r="AD93" s="35" t="str">
        <f>VLOOKUP(AC93,Key!$E$20:$F$24,2,FALSE)</f>
        <v>750,000-1,000,000</v>
      </c>
      <c r="AE93" s="33">
        <v>2</v>
      </c>
      <c r="AF93" s="39">
        <v>1</v>
      </c>
      <c r="AG93" s="39">
        <v>2</v>
      </c>
      <c r="AH93" s="39">
        <v>1</v>
      </c>
      <c r="AI93" s="39">
        <v>2</v>
      </c>
      <c r="AJ93" s="40" t="s">
        <v>100</v>
      </c>
      <c r="AK93" s="41">
        <v>1000</v>
      </c>
      <c r="AL93" s="25"/>
      <c r="AM93" s="25"/>
    </row>
    <row r="94" spans="2:39" x14ac:dyDescent="0.2">
      <c r="B94" s="52">
        <v>43765</v>
      </c>
      <c r="C94" s="36">
        <v>0.45277777777777778</v>
      </c>
      <c r="D94" s="36"/>
      <c r="E94" s="36" t="s">
        <v>163</v>
      </c>
      <c r="F94" s="38">
        <v>2</v>
      </c>
      <c r="G94" s="43" t="str">
        <f>VLOOKUP(F94,Key!$A$17:$B$21,2,FALSE)</f>
        <v>Road Vehicle</v>
      </c>
      <c r="H94" s="37">
        <v>1</v>
      </c>
      <c r="I94" s="44" t="str">
        <f>VLOOKUP(H94,Key!$A$2:$B$13,2,FALSE)</f>
        <v>Car</v>
      </c>
      <c r="J94" s="38" t="s">
        <v>117</v>
      </c>
      <c r="K94" s="38">
        <v>2</v>
      </c>
      <c r="L94" s="46" t="str">
        <f>VLOOKUP(K94,Key!$A$24:$B$29,2,FALSE)</f>
        <v>30-39</v>
      </c>
      <c r="M94" s="45" t="s">
        <v>161</v>
      </c>
      <c r="N94" s="33" t="s">
        <v>165</v>
      </c>
      <c r="O94" s="38" t="s">
        <v>166</v>
      </c>
      <c r="P94" s="40">
        <v>1</v>
      </c>
      <c r="Q94" s="35" t="str">
        <f>VLOOKUP(P94,Key!$E$2:$F$9,2,FALSE)</f>
        <v>Home</v>
      </c>
      <c r="R94" s="38" t="s">
        <v>170</v>
      </c>
      <c r="S94" s="33" t="s">
        <v>171</v>
      </c>
      <c r="T94" s="38" t="s">
        <v>166</v>
      </c>
      <c r="U94" s="33">
        <v>2</v>
      </c>
      <c r="V94" s="35" t="str">
        <f>VLOOKUP(U94,Key!$E$2:$F$9,2,FALSE)</f>
        <v>Work</v>
      </c>
      <c r="W94" s="35" t="str">
        <f t="shared" si="1"/>
        <v>Home-Work</v>
      </c>
      <c r="X94" s="48">
        <v>3000</v>
      </c>
      <c r="Y94" s="39">
        <v>36</v>
      </c>
      <c r="Z94" s="39">
        <v>1.5</v>
      </c>
      <c r="AA94" s="33">
        <v>4</v>
      </c>
      <c r="AB94" s="35" t="str">
        <f>VLOOKUP(AA94,Key!$C$20:$D$29,2,FALSE)</f>
        <v>Office Worker</v>
      </c>
      <c r="AC94" s="33">
        <v>2</v>
      </c>
      <c r="AD94" s="35" t="str">
        <f>VLOOKUP(AC94,Key!$E$20:$F$24,2,FALSE)</f>
        <v>300,000-500,000</v>
      </c>
      <c r="AE94" s="33">
        <v>5</v>
      </c>
      <c r="AF94" s="39">
        <v>2</v>
      </c>
      <c r="AG94" s="39">
        <v>2</v>
      </c>
      <c r="AH94" s="39">
        <v>2</v>
      </c>
      <c r="AI94" s="39">
        <v>2</v>
      </c>
      <c r="AJ94" s="40" t="s">
        <v>100</v>
      </c>
      <c r="AK94" s="41">
        <v>1000</v>
      </c>
      <c r="AL94" s="25"/>
      <c r="AM94" s="25"/>
    </row>
    <row r="95" spans="2:39" x14ac:dyDescent="0.2">
      <c r="B95" s="52">
        <v>43765</v>
      </c>
      <c r="C95" s="36">
        <v>0.42986111111111108</v>
      </c>
      <c r="D95" s="36"/>
      <c r="E95" s="36" t="s">
        <v>105</v>
      </c>
      <c r="F95" s="38">
        <v>2</v>
      </c>
      <c r="G95" s="43" t="str">
        <f>VLOOKUP(F95,Key!$A$17:$B$21,2,FALSE)</f>
        <v>Road Vehicle</v>
      </c>
      <c r="H95" s="37">
        <v>1</v>
      </c>
      <c r="I95" s="44" t="str">
        <f>VLOOKUP(H95,Key!$A$2:$B$13,2,FALSE)</f>
        <v>Car</v>
      </c>
      <c r="J95" s="38" t="s">
        <v>117</v>
      </c>
      <c r="K95" s="38">
        <v>2</v>
      </c>
      <c r="L95" s="46" t="str">
        <f>VLOOKUP(K95,Key!$A$24:$B$29,2,FALSE)</f>
        <v>30-39</v>
      </c>
      <c r="M95" s="38" t="s">
        <v>189</v>
      </c>
      <c r="N95" s="33" t="s">
        <v>165</v>
      </c>
      <c r="O95" s="38" t="s">
        <v>166</v>
      </c>
      <c r="P95" s="40">
        <v>1</v>
      </c>
      <c r="Q95" s="35" t="str">
        <f>VLOOKUP(P95,Key!$E$2:$F$9,2,FALSE)</f>
        <v>Home</v>
      </c>
      <c r="R95" s="38" t="s">
        <v>180</v>
      </c>
      <c r="S95" s="33" t="s">
        <v>165</v>
      </c>
      <c r="T95" s="38" t="s">
        <v>166</v>
      </c>
      <c r="U95" s="33">
        <v>6</v>
      </c>
      <c r="V95" s="35" t="str">
        <f>VLOOKUP(U95,Key!$E$2:$F$9,2,FALSE)</f>
        <v>Leisure/Social</v>
      </c>
      <c r="W95" s="35" t="str">
        <f t="shared" si="1"/>
        <v>Home-Leisure/Social</v>
      </c>
      <c r="X95" s="48">
        <v>20000</v>
      </c>
      <c r="Y95" s="39">
        <v>29</v>
      </c>
      <c r="Z95" s="39">
        <v>0.6</v>
      </c>
      <c r="AA95" s="33">
        <v>4</v>
      </c>
      <c r="AB95" s="35" t="str">
        <f>VLOOKUP(AA95,Key!$C$20:$D$29,2,FALSE)</f>
        <v>Office Worker</v>
      </c>
      <c r="AC95" s="33">
        <v>3</v>
      </c>
      <c r="AD95" s="35" t="str">
        <f>VLOOKUP(AC95,Key!$E$20:$F$24,2,FALSE)</f>
        <v>500,000-750,000</v>
      </c>
      <c r="AE95" s="33">
        <v>1</v>
      </c>
      <c r="AF95" s="39">
        <v>2</v>
      </c>
      <c r="AG95" s="39">
        <v>2</v>
      </c>
      <c r="AH95" s="39">
        <v>1</v>
      </c>
      <c r="AI95" s="39">
        <v>2</v>
      </c>
      <c r="AJ95" s="40" t="s">
        <v>100</v>
      </c>
      <c r="AK95" s="41">
        <v>1000</v>
      </c>
      <c r="AL95" s="25"/>
      <c r="AM95" s="25"/>
    </row>
    <row r="96" spans="2:39" x14ac:dyDescent="0.2">
      <c r="B96" s="52">
        <v>43765</v>
      </c>
      <c r="C96" s="36">
        <v>0.44861111111111113</v>
      </c>
      <c r="D96" s="36"/>
      <c r="E96" s="36" t="s">
        <v>163</v>
      </c>
      <c r="F96" s="38">
        <v>2</v>
      </c>
      <c r="G96" s="43" t="str">
        <f>VLOOKUP(F96,Key!$A$17:$B$21,2,FALSE)</f>
        <v>Road Vehicle</v>
      </c>
      <c r="H96" s="37">
        <v>1</v>
      </c>
      <c r="I96" s="44" t="str">
        <f>VLOOKUP(H96,Key!$A$2:$B$13,2,FALSE)</f>
        <v>Car</v>
      </c>
      <c r="J96" s="38" t="s">
        <v>117</v>
      </c>
      <c r="K96" s="38">
        <v>2</v>
      </c>
      <c r="L96" s="46" t="str">
        <f>VLOOKUP(K96,Key!$A$24:$B$29,2,FALSE)</f>
        <v>30-39</v>
      </c>
      <c r="M96" s="38" t="s">
        <v>192</v>
      </c>
      <c r="N96" s="33" t="s">
        <v>165</v>
      </c>
      <c r="O96" s="38" t="s">
        <v>166</v>
      </c>
      <c r="P96" s="40">
        <v>1</v>
      </c>
      <c r="Q96" s="35" t="str">
        <f>VLOOKUP(P96,Key!$E$2:$F$9,2,FALSE)</f>
        <v>Home</v>
      </c>
      <c r="R96" s="38" t="s">
        <v>182</v>
      </c>
      <c r="S96" s="33" t="s">
        <v>165</v>
      </c>
      <c r="T96" s="38" t="s">
        <v>166</v>
      </c>
      <c r="U96" s="33">
        <v>6</v>
      </c>
      <c r="V96" s="35" t="str">
        <f>VLOOKUP(U96,Key!$E$2:$F$9,2,FALSE)</f>
        <v>Leisure/Social</v>
      </c>
      <c r="W96" s="35" t="str">
        <f t="shared" si="1"/>
        <v>Home-Leisure/Social</v>
      </c>
      <c r="X96" s="48">
        <v>2000</v>
      </c>
      <c r="Y96" s="39">
        <v>20</v>
      </c>
      <c r="Z96" s="39">
        <v>0.9</v>
      </c>
      <c r="AA96" s="33">
        <v>6</v>
      </c>
      <c r="AB96" s="35" t="str">
        <f>VLOOKUP(AA96,Key!$C$20:$D$29,2,FALSE)</f>
        <v>Businessman</v>
      </c>
      <c r="AC96" s="33">
        <v>2</v>
      </c>
      <c r="AD96" s="35" t="str">
        <f>VLOOKUP(AC96,Key!$E$20:$F$24,2,FALSE)</f>
        <v>300,000-500,000</v>
      </c>
      <c r="AE96" s="33">
        <v>1</v>
      </c>
      <c r="AF96" s="39">
        <v>1</v>
      </c>
      <c r="AG96" s="39">
        <v>2</v>
      </c>
      <c r="AH96" s="39">
        <v>1</v>
      </c>
      <c r="AI96" s="39">
        <v>1</v>
      </c>
      <c r="AJ96" s="40" t="s">
        <v>100</v>
      </c>
      <c r="AK96" s="41">
        <v>500</v>
      </c>
      <c r="AL96" s="25"/>
      <c r="AM96" s="25"/>
    </row>
    <row r="97" spans="1:39" x14ac:dyDescent="0.2">
      <c r="B97" s="52">
        <v>43765</v>
      </c>
      <c r="C97" s="36">
        <v>0.63194444444444442</v>
      </c>
      <c r="D97" s="36"/>
      <c r="E97" s="36" t="s">
        <v>105</v>
      </c>
      <c r="F97" s="38">
        <v>2</v>
      </c>
      <c r="G97" s="43" t="str">
        <f>VLOOKUP(F97,Key!$A$17:$B$21,2,FALSE)</f>
        <v>Road Vehicle</v>
      </c>
      <c r="H97" s="37">
        <v>1</v>
      </c>
      <c r="I97" s="44" t="str">
        <f>VLOOKUP(H97,Key!$A$2:$B$13,2,FALSE)</f>
        <v>Car</v>
      </c>
      <c r="J97" s="38" t="s">
        <v>117</v>
      </c>
      <c r="K97" s="38">
        <v>2</v>
      </c>
      <c r="L97" s="46" t="str">
        <f>VLOOKUP(K97,Key!$A$24:$B$29,2,FALSE)</f>
        <v>30-39</v>
      </c>
      <c r="M97" s="38" t="s">
        <v>169</v>
      </c>
      <c r="N97" s="33" t="s">
        <v>165</v>
      </c>
      <c r="O97" s="38" t="s">
        <v>166</v>
      </c>
      <c r="P97" s="40">
        <v>1</v>
      </c>
      <c r="Q97" s="35" t="str">
        <f>VLOOKUP(P97,Key!$E$2:$F$9,2,FALSE)</f>
        <v>Home</v>
      </c>
      <c r="R97" s="38" t="s">
        <v>197</v>
      </c>
      <c r="S97" s="33" t="s">
        <v>171</v>
      </c>
      <c r="T97" s="38" t="s">
        <v>166</v>
      </c>
      <c r="U97" s="33">
        <v>1</v>
      </c>
      <c r="V97" s="35" t="str">
        <f>VLOOKUP(U97,Key!$E$2:$F$9,2,FALSE)</f>
        <v>Home</v>
      </c>
      <c r="W97" s="35" t="str">
        <f t="shared" si="1"/>
        <v>Home-Home</v>
      </c>
      <c r="X97" s="33">
        <v>50000</v>
      </c>
      <c r="Y97" s="39">
        <v>39</v>
      </c>
      <c r="Z97" s="39">
        <v>2</v>
      </c>
      <c r="AA97" s="33">
        <v>4</v>
      </c>
      <c r="AB97" s="35" t="str">
        <f>VLOOKUP(AA97,Key!$C$20:$D$29,2,FALSE)</f>
        <v>Office Worker</v>
      </c>
      <c r="AC97" s="33">
        <v>4</v>
      </c>
      <c r="AD97" s="35" t="str">
        <f>VLOOKUP(AC97,Key!$E$20:$F$24,2,FALSE)</f>
        <v>750,000-1,000,000</v>
      </c>
      <c r="AE97" s="33">
        <v>5</v>
      </c>
      <c r="AF97" s="39">
        <v>2</v>
      </c>
      <c r="AG97" s="39">
        <v>3</v>
      </c>
      <c r="AH97" s="39">
        <v>2</v>
      </c>
      <c r="AI97" s="39">
        <v>1</v>
      </c>
      <c r="AJ97" s="40" t="s">
        <v>100</v>
      </c>
      <c r="AK97" s="41">
        <v>1000</v>
      </c>
      <c r="AL97" s="25"/>
      <c r="AM97" s="25"/>
    </row>
    <row r="98" spans="1:39" x14ac:dyDescent="0.2">
      <c r="B98" s="52">
        <v>43765</v>
      </c>
      <c r="C98" s="36">
        <v>0.7006944444444444</v>
      </c>
      <c r="D98" s="36"/>
      <c r="E98" s="36" t="s">
        <v>105</v>
      </c>
      <c r="F98" s="38">
        <v>2</v>
      </c>
      <c r="G98" s="43" t="str">
        <f>VLOOKUP(F98,Key!$A$17:$B$21,2,FALSE)</f>
        <v>Road Vehicle</v>
      </c>
      <c r="H98" s="37">
        <v>1</v>
      </c>
      <c r="I98" s="44" t="str">
        <f>VLOOKUP(H98,Key!$A$2:$B$13,2,FALSE)</f>
        <v>Car</v>
      </c>
      <c r="J98" s="38" t="s">
        <v>117</v>
      </c>
      <c r="K98" s="38">
        <v>2</v>
      </c>
      <c r="L98" s="46" t="str">
        <f>VLOOKUP(K98,Key!$A$24:$B$29,2,FALSE)</f>
        <v>30-39</v>
      </c>
      <c r="M98" s="38" t="s">
        <v>170</v>
      </c>
      <c r="N98" s="33" t="s">
        <v>171</v>
      </c>
      <c r="O98" s="38" t="s">
        <v>166</v>
      </c>
      <c r="P98" s="40">
        <v>2</v>
      </c>
      <c r="Q98" s="35" t="str">
        <f>VLOOKUP(P98,Key!$E$2:$F$9,2,FALSE)</f>
        <v>Work</v>
      </c>
      <c r="R98" s="38" t="s">
        <v>191</v>
      </c>
      <c r="S98" s="33" t="s">
        <v>165</v>
      </c>
      <c r="T98" s="38" t="s">
        <v>166</v>
      </c>
      <c r="U98" s="33">
        <v>1</v>
      </c>
      <c r="V98" s="35" t="str">
        <f>VLOOKUP(U98,Key!$E$2:$F$9,2,FALSE)</f>
        <v>Home</v>
      </c>
      <c r="W98" s="35" t="str">
        <f t="shared" si="1"/>
        <v>Work-Home</v>
      </c>
      <c r="X98" s="33">
        <v>40000</v>
      </c>
      <c r="Y98" s="39">
        <v>38</v>
      </c>
      <c r="Z98" s="39">
        <v>1.5</v>
      </c>
      <c r="AA98" s="33">
        <v>4</v>
      </c>
      <c r="AB98" s="35" t="str">
        <f>VLOOKUP(AA98,Key!$C$20:$D$29,2,FALSE)</f>
        <v>Office Worker</v>
      </c>
      <c r="AC98" s="33">
        <v>2</v>
      </c>
      <c r="AD98" s="35" t="str">
        <f>VLOOKUP(AC98,Key!$E$20:$F$24,2,FALSE)</f>
        <v>300,000-500,000</v>
      </c>
      <c r="AE98" s="33">
        <v>2</v>
      </c>
      <c r="AF98" s="39">
        <v>1</v>
      </c>
      <c r="AG98" s="39">
        <v>2</v>
      </c>
      <c r="AH98" s="39">
        <v>1</v>
      </c>
      <c r="AI98" s="39">
        <v>2</v>
      </c>
      <c r="AJ98" s="40" t="s">
        <v>100</v>
      </c>
      <c r="AK98" s="41">
        <v>500</v>
      </c>
      <c r="AL98" s="25"/>
      <c r="AM98" s="25"/>
    </row>
    <row r="99" spans="1:39" x14ac:dyDescent="0.2">
      <c r="B99" s="52">
        <v>43765</v>
      </c>
      <c r="C99" s="36">
        <v>0.72916666666666663</v>
      </c>
      <c r="D99" s="36"/>
      <c r="E99" s="36" t="s">
        <v>105</v>
      </c>
      <c r="F99" s="38">
        <v>2</v>
      </c>
      <c r="G99" s="43" t="str">
        <f>VLOOKUP(F99,Key!$A$17:$B$21,2,FALSE)</f>
        <v>Road Vehicle</v>
      </c>
      <c r="H99" s="37">
        <v>1</v>
      </c>
      <c r="I99" s="44" t="str">
        <f>VLOOKUP(H99,Key!$A$2:$B$13,2,FALSE)</f>
        <v>Car</v>
      </c>
      <c r="J99" s="38" t="s">
        <v>117</v>
      </c>
      <c r="K99" s="38">
        <v>2</v>
      </c>
      <c r="L99" s="46" t="str">
        <f>VLOOKUP(K99,Key!$A$24:$B$29,2,FALSE)</f>
        <v>30-39</v>
      </c>
      <c r="M99" s="38" t="s">
        <v>180</v>
      </c>
      <c r="N99" s="33" t="s">
        <v>165</v>
      </c>
      <c r="O99" s="38" t="s">
        <v>166</v>
      </c>
      <c r="P99" s="40">
        <v>6</v>
      </c>
      <c r="Q99" s="35" t="str">
        <f>VLOOKUP(P99,Key!$E$2:$F$9,2,FALSE)</f>
        <v>Leisure/Social</v>
      </c>
      <c r="R99" s="38" t="s">
        <v>187</v>
      </c>
      <c r="S99" s="33" t="s">
        <v>171</v>
      </c>
      <c r="T99" s="38" t="s">
        <v>166</v>
      </c>
      <c r="U99" s="33">
        <v>1</v>
      </c>
      <c r="V99" s="35" t="str">
        <f>VLOOKUP(U99,Key!$E$2:$F$9,2,FALSE)</f>
        <v>Home</v>
      </c>
      <c r="W99" s="35" t="str">
        <f t="shared" si="1"/>
        <v>Leisure/Social-Home</v>
      </c>
      <c r="X99" s="33">
        <v>50000</v>
      </c>
      <c r="Y99" s="39">
        <v>40</v>
      </c>
      <c r="Z99" s="39">
        <v>2</v>
      </c>
      <c r="AA99" s="33">
        <v>4</v>
      </c>
      <c r="AB99" s="35" t="str">
        <f>VLOOKUP(AA99,Key!$C$20:$D$29,2,FALSE)</f>
        <v>Office Worker</v>
      </c>
      <c r="AC99" s="33">
        <v>4</v>
      </c>
      <c r="AD99" s="35" t="str">
        <f>VLOOKUP(AC99,Key!$E$20:$F$24,2,FALSE)</f>
        <v>750,000-1,000,000</v>
      </c>
      <c r="AE99" s="33">
        <v>1</v>
      </c>
      <c r="AF99" s="39">
        <v>2</v>
      </c>
      <c r="AG99" s="39">
        <v>1</v>
      </c>
      <c r="AH99" s="39">
        <v>2</v>
      </c>
      <c r="AI99" s="39">
        <v>1</v>
      </c>
      <c r="AJ99" s="40" t="s">
        <v>100</v>
      </c>
      <c r="AK99" s="41">
        <v>500</v>
      </c>
      <c r="AL99" s="25"/>
      <c r="AM99" s="25"/>
    </row>
    <row r="100" spans="1:39" x14ac:dyDescent="0.2">
      <c r="A100" s="10"/>
      <c r="B100" s="52">
        <v>43765</v>
      </c>
      <c r="C100" s="36">
        <v>0.55555555555555558</v>
      </c>
      <c r="D100" s="36"/>
      <c r="E100" s="36" t="s">
        <v>105</v>
      </c>
      <c r="F100" s="38">
        <v>2</v>
      </c>
      <c r="G100" s="43" t="str">
        <f>VLOOKUP(F100,Key!$A$17:$B$21,2,FALSE)</f>
        <v>Road Vehicle</v>
      </c>
      <c r="H100" s="37">
        <v>1</v>
      </c>
      <c r="I100" s="44" t="str">
        <f>VLOOKUP(H100,Key!$A$2:$B$13,2,FALSE)</f>
        <v>Car</v>
      </c>
      <c r="J100" s="38" t="s">
        <v>117</v>
      </c>
      <c r="K100" s="38">
        <v>2</v>
      </c>
      <c r="L100" s="46" t="str">
        <f>VLOOKUP(K100,Key!$A$24:$B$29,2,FALSE)</f>
        <v>30-39</v>
      </c>
      <c r="M100" s="38" t="s">
        <v>175</v>
      </c>
      <c r="N100" s="33" t="s">
        <v>165</v>
      </c>
      <c r="O100" s="38" t="s">
        <v>166</v>
      </c>
      <c r="P100" s="40">
        <v>2</v>
      </c>
      <c r="Q100" s="35" t="str">
        <f>VLOOKUP(P100,Key!$E$2:$F$9,2,FALSE)</f>
        <v>Work</v>
      </c>
      <c r="R100" s="38" t="s">
        <v>191</v>
      </c>
      <c r="S100" s="33" t="s">
        <v>165</v>
      </c>
      <c r="T100" s="38" t="s">
        <v>166</v>
      </c>
      <c r="U100" s="33">
        <v>1</v>
      </c>
      <c r="V100" s="35" t="str">
        <f>VLOOKUP(U100,Key!$E$2:$F$9,2,FALSE)</f>
        <v>Home</v>
      </c>
      <c r="W100" s="35" t="str">
        <f t="shared" si="1"/>
        <v>Work-Home</v>
      </c>
      <c r="X100" s="33">
        <v>15000</v>
      </c>
      <c r="Y100" s="39">
        <v>15</v>
      </c>
      <c r="Z100" s="39">
        <v>0.8</v>
      </c>
      <c r="AA100" s="33">
        <v>5</v>
      </c>
      <c r="AB100" s="35" t="str">
        <f>VLOOKUP(AA100,Key!$C$20:$D$29,2,FALSE)</f>
        <v>Professional</v>
      </c>
      <c r="AC100" s="33">
        <v>2</v>
      </c>
      <c r="AD100" s="35" t="str">
        <f>VLOOKUP(AC100,Key!$E$20:$F$24,2,FALSE)</f>
        <v>300,000-500,000</v>
      </c>
      <c r="AE100" s="33">
        <v>1</v>
      </c>
      <c r="AF100" s="39">
        <v>1</v>
      </c>
      <c r="AG100" s="39">
        <v>4</v>
      </c>
      <c r="AH100" s="39">
        <v>1</v>
      </c>
      <c r="AI100" s="39">
        <v>1</v>
      </c>
      <c r="AJ100" s="40" t="s">
        <v>100</v>
      </c>
      <c r="AK100" s="41">
        <v>2500</v>
      </c>
      <c r="AL100" s="25"/>
      <c r="AM100" s="25"/>
    </row>
    <row r="101" spans="1:39" x14ac:dyDescent="0.2">
      <c r="A101" s="10"/>
      <c r="B101" s="52">
        <v>43765</v>
      </c>
      <c r="C101" s="36">
        <v>0.5541666666666667</v>
      </c>
      <c r="D101" s="36"/>
      <c r="E101" s="36" t="s">
        <v>105</v>
      </c>
      <c r="F101" s="38">
        <v>2</v>
      </c>
      <c r="G101" s="43" t="str">
        <f>VLOOKUP(F101,Key!$A$17:$B$21,2,FALSE)</f>
        <v>Road Vehicle</v>
      </c>
      <c r="H101" s="37">
        <v>1</v>
      </c>
      <c r="I101" s="44" t="str">
        <f>VLOOKUP(H101,Key!$A$2:$B$13,2,FALSE)</f>
        <v>Car</v>
      </c>
      <c r="J101" s="38" t="s">
        <v>117</v>
      </c>
      <c r="K101" s="38">
        <v>2</v>
      </c>
      <c r="L101" s="46" t="str">
        <f>VLOOKUP(K101,Key!$A$24:$B$29,2,FALSE)</f>
        <v>30-39</v>
      </c>
      <c r="M101" s="38" t="s">
        <v>218</v>
      </c>
      <c r="N101" s="33" t="s">
        <v>171</v>
      </c>
      <c r="O101" s="38" t="s">
        <v>166</v>
      </c>
      <c r="P101" s="40">
        <v>2</v>
      </c>
      <c r="Q101" s="35" t="str">
        <f>VLOOKUP(P101,Key!$E$2:$F$9,2,FALSE)</f>
        <v>Work</v>
      </c>
      <c r="R101" s="38" t="s">
        <v>191</v>
      </c>
      <c r="S101" s="33" t="s">
        <v>165</v>
      </c>
      <c r="T101" s="38" t="s">
        <v>166</v>
      </c>
      <c r="U101" s="33">
        <v>1</v>
      </c>
      <c r="V101" s="35" t="str">
        <f>VLOOKUP(U101,Key!$E$2:$F$9,2,FALSE)</f>
        <v>Home</v>
      </c>
      <c r="W101" s="35" t="str">
        <f t="shared" si="1"/>
        <v>Work-Home</v>
      </c>
      <c r="X101" s="33">
        <v>20000</v>
      </c>
      <c r="Y101" s="39">
        <v>36</v>
      </c>
      <c r="Z101" s="39">
        <v>1</v>
      </c>
      <c r="AA101" s="33">
        <v>6</v>
      </c>
      <c r="AB101" s="35" t="str">
        <f>VLOOKUP(AA101,Key!$C$20:$D$29,2,FALSE)</f>
        <v>Businessman</v>
      </c>
      <c r="AC101" s="33">
        <v>3</v>
      </c>
      <c r="AD101" s="35" t="str">
        <f>VLOOKUP(AC101,Key!$E$20:$F$24,2,FALSE)</f>
        <v>500,000-750,000</v>
      </c>
      <c r="AE101" s="33">
        <v>1</v>
      </c>
      <c r="AF101" s="39">
        <v>1</v>
      </c>
      <c r="AG101" s="39">
        <v>1</v>
      </c>
      <c r="AH101" s="39">
        <v>1</v>
      </c>
      <c r="AI101" s="39">
        <v>1</v>
      </c>
      <c r="AJ101" s="40" t="s">
        <v>100</v>
      </c>
      <c r="AK101" s="41">
        <v>1000</v>
      </c>
      <c r="AL101" s="25"/>
      <c r="AM101" s="25"/>
    </row>
    <row r="102" spans="1:39" x14ac:dyDescent="0.2">
      <c r="B102" s="52">
        <v>43765</v>
      </c>
      <c r="C102" s="36">
        <v>0.51041666666666663</v>
      </c>
      <c r="D102" s="36"/>
      <c r="E102" s="36" t="s">
        <v>105</v>
      </c>
      <c r="F102" s="38">
        <v>2</v>
      </c>
      <c r="G102" s="43" t="str">
        <f>VLOOKUP(F102,Key!$A$17:$B$21,2,FALSE)</f>
        <v>Road Vehicle</v>
      </c>
      <c r="H102" s="37">
        <v>1</v>
      </c>
      <c r="I102" s="44" t="str">
        <f>VLOOKUP(H102,Key!$A$2:$B$13,2,FALSE)</f>
        <v>Car</v>
      </c>
      <c r="J102" s="38" t="s">
        <v>117</v>
      </c>
      <c r="K102" s="38">
        <v>2</v>
      </c>
      <c r="L102" s="46" t="str">
        <f>VLOOKUP(K102,Key!$A$24:$B$29,2,FALSE)</f>
        <v>30-39</v>
      </c>
      <c r="M102" s="38" t="s">
        <v>223</v>
      </c>
      <c r="N102" s="33" t="s">
        <v>176</v>
      </c>
      <c r="O102" s="38" t="s">
        <v>166</v>
      </c>
      <c r="P102" s="40">
        <v>1</v>
      </c>
      <c r="Q102" s="35" t="str">
        <f>VLOOKUP(P102,Key!$E$2:$F$9,2,FALSE)</f>
        <v>Home</v>
      </c>
      <c r="R102" s="38" t="s">
        <v>169</v>
      </c>
      <c r="S102" s="33" t="s">
        <v>165</v>
      </c>
      <c r="T102" s="38" t="s">
        <v>166</v>
      </c>
      <c r="U102" s="33">
        <v>1</v>
      </c>
      <c r="V102" s="35" t="str">
        <f>VLOOKUP(U102,Key!$E$2:$F$9,2,FALSE)</f>
        <v>Home</v>
      </c>
      <c r="W102" s="35" t="str">
        <f t="shared" si="1"/>
        <v>Home-Home</v>
      </c>
      <c r="X102" s="33">
        <v>150000</v>
      </c>
      <c r="Y102" s="39">
        <v>42</v>
      </c>
      <c r="Z102" s="39">
        <v>3</v>
      </c>
      <c r="AA102" s="33">
        <v>5</v>
      </c>
      <c r="AB102" s="35" t="str">
        <f>VLOOKUP(AA102,Key!$C$20:$D$29,2,FALSE)</f>
        <v>Professional</v>
      </c>
      <c r="AC102" s="33">
        <v>2</v>
      </c>
      <c r="AD102" s="35" t="str">
        <f>VLOOKUP(AC102,Key!$E$20:$F$24,2,FALSE)</f>
        <v>300,000-500,000</v>
      </c>
      <c r="AE102" s="33">
        <v>5</v>
      </c>
      <c r="AF102" s="39">
        <v>1</v>
      </c>
      <c r="AG102" s="39">
        <v>4</v>
      </c>
      <c r="AH102" s="39">
        <v>1</v>
      </c>
      <c r="AI102" s="39">
        <v>2</v>
      </c>
      <c r="AJ102" s="40" t="s">
        <v>100</v>
      </c>
      <c r="AK102" s="41">
        <v>5000</v>
      </c>
      <c r="AL102" s="25"/>
      <c r="AM102" s="25"/>
    </row>
    <row r="103" spans="1:39" x14ac:dyDescent="0.2">
      <c r="B103" s="52">
        <v>43765</v>
      </c>
      <c r="C103" s="36">
        <v>0.47569444444444442</v>
      </c>
      <c r="D103" s="36"/>
      <c r="E103" s="36" t="s">
        <v>105</v>
      </c>
      <c r="F103" s="38">
        <v>2</v>
      </c>
      <c r="G103" s="43" t="str">
        <f>VLOOKUP(F103,Key!$A$17:$B$21,2,FALSE)</f>
        <v>Road Vehicle</v>
      </c>
      <c r="H103" s="37">
        <v>1</v>
      </c>
      <c r="I103" s="44" t="str">
        <f>VLOOKUP(H103,Key!$A$2:$B$13,2,FALSE)</f>
        <v>Car</v>
      </c>
      <c r="J103" s="38" t="s">
        <v>117</v>
      </c>
      <c r="K103" s="38">
        <v>2</v>
      </c>
      <c r="L103" s="46" t="str">
        <f>VLOOKUP(K103,Key!$A$24:$B$29,2,FALSE)</f>
        <v>30-39</v>
      </c>
      <c r="M103" s="38" t="s">
        <v>187</v>
      </c>
      <c r="N103" s="33" t="s">
        <v>171</v>
      </c>
      <c r="O103" s="38" t="s">
        <v>166</v>
      </c>
      <c r="P103" s="40">
        <v>1</v>
      </c>
      <c r="Q103" s="35" t="str">
        <f>VLOOKUP(P103,Key!$E$2:$F$9,2,FALSE)</f>
        <v>Home</v>
      </c>
      <c r="R103" s="38" t="s">
        <v>164</v>
      </c>
      <c r="S103" s="33" t="s">
        <v>165</v>
      </c>
      <c r="T103" s="38" t="s">
        <v>166</v>
      </c>
      <c r="U103" s="33">
        <v>2</v>
      </c>
      <c r="V103" s="35" t="str">
        <f>VLOOKUP(U103,Key!$E$2:$F$9,2,FALSE)</f>
        <v>Work</v>
      </c>
      <c r="W103" s="35" t="str">
        <f t="shared" si="1"/>
        <v>Home-Work</v>
      </c>
      <c r="X103" s="33">
        <v>50000</v>
      </c>
      <c r="Y103" s="39">
        <v>150</v>
      </c>
      <c r="Z103" s="39">
        <v>3</v>
      </c>
      <c r="AA103" s="33">
        <v>5</v>
      </c>
      <c r="AB103" s="35" t="str">
        <f>VLOOKUP(AA103,Key!$C$20:$D$29,2,FALSE)</f>
        <v>Professional</v>
      </c>
      <c r="AC103" s="33">
        <v>2</v>
      </c>
      <c r="AD103" s="35" t="str">
        <f>VLOOKUP(AC103,Key!$E$20:$F$24,2,FALSE)</f>
        <v>300,000-500,000</v>
      </c>
      <c r="AE103" s="33">
        <v>1</v>
      </c>
      <c r="AF103" s="39">
        <v>5</v>
      </c>
      <c r="AG103" s="39">
        <v>1</v>
      </c>
      <c r="AH103" s="39">
        <v>1</v>
      </c>
      <c r="AI103" s="39">
        <v>2</v>
      </c>
      <c r="AJ103" s="40" t="s">
        <v>100</v>
      </c>
      <c r="AK103" s="41"/>
      <c r="AL103" s="25"/>
      <c r="AM103" s="25"/>
    </row>
    <row r="104" spans="1:39" ht="12" customHeight="1" x14ac:dyDescent="0.2">
      <c r="B104" s="52">
        <v>43765</v>
      </c>
      <c r="C104" s="36">
        <v>0.44166666666666665</v>
      </c>
      <c r="D104" s="36"/>
      <c r="E104" s="36" t="s">
        <v>105</v>
      </c>
      <c r="F104" s="38">
        <v>2</v>
      </c>
      <c r="G104" s="43" t="str">
        <f>VLOOKUP(F104,Key!$A$17:$B$21,2,FALSE)</f>
        <v>Road Vehicle</v>
      </c>
      <c r="H104" s="37">
        <v>1</v>
      </c>
      <c r="I104" s="44" t="str">
        <f>VLOOKUP(H104,Key!$A$2:$B$13,2,FALSE)</f>
        <v>Car</v>
      </c>
      <c r="J104" s="38" t="s">
        <v>117</v>
      </c>
      <c r="K104" s="38">
        <v>2</v>
      </c>
      <c r="L104" s="46" t="str">
        <f>VLOOKUP(K104,Key!$A$24:$B$29,2,FALSE)</f>
        <v>30-39</v>
      </c>
      <c r="M104" s="38" t="s">
        <v>233</v>
      </c>
      <c r="N104" s="33" t="s">
        <v>171</v>
      </c>
      <c r="O104" s="38" t="s">
        <v>166</v>
      </c>
      <c r="P104" s="40">
        <v>1</v>
      </c>
      <c r="Q104" s="35" t="str">
        <f>VLOOKUP(P104,Key!$E$2:$F$9,2,FALSE)</f>
        <v>Home</v>
      </c>
      <c r="R104" s="38" t="s">
        <v>191</v>
      </c>
      <c r="S104" s="33" t="s">
        <v>165</v>
      </c>
      <c r="T104" s="38" t="s">
        <v>166</v>
      </c>
      <c r="U104" s="33">
        <v>7</v>
      </c>
      <c r="V104" s="35" t="str">
        <f>VLOOKUP(U104,Key!$E$2:$F$9,2,FALSE)</f>
        <v>Hospital</v>
      </c>
      <c r="W104" s="35" t="str">
        <f t="shared" si="1"/>
        <v>Home-Hospital</v>
      </c>
      <c r="X104" s="33">
        <v>50000</v>
      </c>
      <c r="Y104" s="39">
        <v>100</v>
      </c>
      <c r="Z104" s="39">
        <v>1.5</v>
      </c>
      <c r="AA104" s="33">
        <v>5</v>
      </c>
      <c r="AB104" s="35" t="str">
        <f>VLOOKUP(AA104,Key!$C$20:$D$29,2,FALSE)</f>
        <v>Professional</v>
      </c>
      <c r="AC104" s="33">
        <v>2</v>
      </c>
      <c r="AD104" s="35" t="str">
        <f>VLOOKUP(AC104,Key!$E$20:$F$24,2,FALSE)</f>
        <v>300,000-500,000</v>
      </c>
      <c r="AE104" s="33">
        <v>1</v>
      </c>
      <c r="AF104" s="39">
        <v>1</v>
      </c>
      <c r="AG104" s="39">
        <v>1</v>
      </c>
      <c r="AH104" s="39">
        <v>1</v>
      </c>
      <c r="AI104" s="39">
        <v>1</v>
      </c>
      <c r="AJ104" s="40" t="s">
        <v>100</v>
      </c>
      <c r="AK104" s="41">
        <v>4000</v>
      </c>
      <c r="AL104" s="25"/>
      <c r="AM104" s="25"/>
    </row>
    <row r="105" spans="1:39" x14ac:dyDescent="0.2">
      <c r="B105" s="52">
        <v>43765</v>
      </c>
      <c r="C105" s="36">
        <v>0.33333333333333331</v>
      </c>
      <c r="D105" s="36"/>
      <c r="E105" s="36" t="s">
        <v>105</v>
      </c>
      <c r="F105" s="38">
        <v>2</v>
      </c>
      <c r="G105" s="43" t="str">
        <f>VLOOKUP(F105,Key!$A$17:$B$21,2,FALSE)</f>
        <v>Road Vehicle</v>
      </c>
      <c r="H105" s="37">
        <v>1</v>
      </c>
      <c r="I105" s="44" t="str">
        <f>VLOOKUP(H105,Key!$A$2:$B$13,2,FALSE)</f>
        <v>Car</v>
      </c>
      <c r="J105" s="38" t="s">
        <v>117</v>
      </c>
      <c r="K105" s="38">
        <v>2</v>
      </c>
      <c r="L105" s="46" t="str">
        <f>VLOOKUP(K105,Key!$A$24:$B$29,2,FALSE)</f>
        <v>30-39</v>
      </c>
      <c r="M105" s="38" t="s">
        <v>175</v>
      </c>
      <c r="N105" s="33" t="s">
        <v>165</v>
      </c>
      <c r="O105" s="38" t="s">
        <v>166</v>
      </c>
      <c r="P105" s="40">
        <v>1</v>
      </c>
      <c r="Q105" s="35" t="str">
        <f>VLOOKUP(P105,Key!$E$2:$F$9,2,FALSE)</f>
        <v>Home</v>
      </c>
      <c r="R105" s="38" t="s">
        <v>169</v>
      </c>
      <c r="S105" s="33" t="s">
        <v>165</v>
      </c>
      <c r="T105" s="38" t="s">
        <v>166</v>
      </c>
      <c r="U105" s="33">
        <v>2</v>
      </c>
      <c r="V105" s="35" t="str">
        <f>VLOOKUP(U105,Key!$E$2:$F$9,2,FALSE)</f>
        <v>Work</v>
      </c>
      <c r="W105" s="35" t="str">
        <f t="shared" si="1"/>
        <v>Home-Work</v>
      </c>
      <c r="X105" s="33">
        <v>15000</v>
      </c>
      <c r="Y105" s="39">
        <v>15</v>
      </c>
      <c r="Z105" s="39">
        <v>0.8</v>
      </c>
      <c r="AA105" s="33">
        <v>5</v>
      </c>
      <c r="AB105" s="35" t="str">
        <f>VLOOKUP(AA105,Key!$C$20:$D$29,2,FALSE)</f>
        <v>Professional</v>
      </c>
      <c r="AC105" s="33">
        <v>2</v>
      </c>
      <c r="AD105" s="35" t="str">
        <f>VLOOKUP(AC105,Key!$E$20:$F$24,2,FALSE)</f>
        <v>300,000-500,000</v>
      </c>
      <c r="AE105" s="33">
        <v>1</v>
      </c>
      <c r="AF105" s="39">
        <v>1</v>
      </c>
      <c r="AG105" s="39">
        <v>2</v>
      </c>
      <c r="AH105" s="39">
        <v>1</v>
      </c>
      <c r="AI105" s="39">
        <v>1</v>
      </c>
      <c r="AJ105" s="40" t="s">
        <v>100</v>
      </c>
      <c r="AK105" s="41">
        <v>10000</v>
      </c>
      <c r="AL105" s="25"/>
      <c r="AM105" s="25"/>
    </row>
    <row r="106" spans="1:39" x14ac:dyDescent="0.2">
      <c r="B106" s="52">
        <v>43765</v>
      </c>
      <c r="C106" s="36">
        <v>0.59375</v>
      </c>
      <c r="D106" s="36"/>
      <c r="E106" s="36" t="s">
        <v>105</v>
      </c>
      <c r="F106" s="38">
        <v>2</v>
      </c>
      <c r="G106" s="43" t="str">
        <f>VLOOKUP(F106,Key!$A$17:$B$21,2,FALSE)</f>
        <v>Road Vehicle</v>
      </c>
      <c r="H106" s="37">
        <v>1</v>
      </c>
      <c r="I106" s="44" t="str">
        <f>VLOOKUP(H106,Key!$A$2:$B$13,2,FALSE)</f>
        <v>Car</v>
      </c>
      <c r="J106" s="38" t="s">
        <v>117</v>
      </c>
      <c r="K106" s="38">
        <v>2</v>
      </c>
      <c r="L106" s="46" t="str">
        <f>VLOOKUP(K106,Key!$A$24:$B$29,2,FALSE)</f>
        <v>30-39</v>
      </c>
      <c r="M106" s="38" t="s">
        <v>164</v>
      </c>
      <c r="N106" s="33" t="s">
        <v>165</v>
      </c>
      <c r="O106" s="38" t="s">
        <v>166</v>
      </c>
      <c r="P106" s="40">
        <v>2</v>
      </c>
      <c r="Q106" s="35" t="str">
        <f>VLOOKUP(P106,Key!$E$2:$F$9,2,FALSE)</f>
        <v>Work</v>
      </c>
      <c r="R106" s="38" t="s">
        <v>174</v>
      </c>
      <c r="S106" s="33" t="s">
        <v>171</v>
      </c>
      <c r="T106" s="38" t="s">
        <v>166</v>
      </c>
      <c r="U106" s="33">
        <v>1</v>
      </c>
      <c r="V106" s="35" t="str">
        <f>VLOOKUP(U106,Key!$E$2:$F$9,2,FALSE)</f>
        <v>Home</v>
      </c>
      <c r="W106" s="35" t="str">
        <f t="shared" si="1"/>
        <v>Work-Home</v>
      </c>
      <c r="X106" s="33">
        <v>30000</v>
      </c>
      <c r="Y106" s="39">
        <v>38</v>
      </c>
      <c r="Z106" s="39">
        <v>1</v>
      </c>
      <c r="AA106" s="33">
        <v>5</v>
      </c>
      <c r="AB106" s="35" t="str">
        <f>VLOOKUP(AA106,Key!$C$20:$D$29,2,FALSE)</f>
        <v>Professional</v>
      </c>
      <c r="AC106" s="33">
        <v>1</v>
      </c>
      <c r="AD106" s="35" t="str">
        <f>VLOOKUP(AC106,Key!$E$20:$F$24,2,FALSE)</f>
        <v>&lt;300,000</v>
      </c>
      <c r="AE106" s="33">
        <v>5</v>
      </c>
      <c r="AF106" s="39">
        <v>1</v>
      </c>
      <c r="AG106" s="39">
        <v>5</v>
      </c>
      <c r="AH106" s="39">
        <v>1</v>
      </c>
      <c r="AI106" s="39">
        <v>1</v>
      </c>
      <c r="AJ106" s="40" t="s">
        <v>100</v>
      </c>
      <c r="AK106" s="41">
        <v>1000</v>
      </c>
      <c r="AL106" s="25"/>
      <c r="AM106" s="25"/>
    </row>
    <row r="107" spans="1:39" x14ac:dyDescent="0.2">
      <c r="B107" s="52">
        <v>43765</v>
      </c>
      <c r="C107" s="36">
        <v>0.4055555555555555</v>
      </c>
      <c r="D107" s="36"/>
      <c r="E107" s="36" t="s">
        <v>105</v>
      </c>
      <c r="F107" s="38">
        <v>2</v>
      </c>
      <c r="G107" s="43" t="str">
        <f>VLOOKUP(F107,Key!$A$17:$B$21,2,FALSE)</f>
        <v>Road Vehicle</v>
      </c>
      <c r="H107" s="37">
        <v>1</v>
      </c>
      <c r="I107" s="44" t="str">
        <f>VLOOKUP(H107,Key!$A$2:$B$13,2,FALSE)</f>
        <v>Car</v>
      </c>
      <c r="J107" s="38" t="s">
        <v>117</v>
      </c>
      <c r="K107" s="38">
        <v>2</v>
      </c>
      <c r="L107" s="46" t="str">
        <f>VLOOKUP(K107,Key!$A$24:$B$29,2,FALSE)</f>
        <v>30-39</v>
      </c>
      <c r="M107" s="38" t="s">
        <v>238</v>
      </c>
      <c r="N107" s="33" t="s">
        <v>238</v>
      </c>
      <c r="O107" s="38" t="s">
        <v>166</v>
      </c>
      <c r="P107" s="40">
        <v>1</v>
      </c>
      <c r="Q107" s="35" t="str">
        <f>VLOOKUP(P107,Key!$E$2:$F$9,2,FALSE)</f>
        <v>Home</v>
      </c>
      <c r="R107" s="38" t="s">
        <v>161</v>
      </c>
      <c r="S107" s="33" t="s">
        <v>165</v>
      </c>
      <c r="T107" s="38" t="s">
        <v>166</v>
      </c>
      <c r="U107" s="33">
        <v>1</v>
      </c>
      <c r="V107" s="35" t="str">
        <f>VLOOKUP(U107,Key!$E$2:$F$9,2,FALSE)</f>
        <v>Home</v>
      </c>
      <c r="W107" s="35" t="str">
        <f t="shared" si="1"/>
        <v>Home-Home</v>
      </c>
      <c r="X107" s="33">
        <v>130000</v>
      </c>
      <c r="Y107" s="39">
        <v>200</v>
      </c>
      <c r="Z107" s="39">
        <v>4</v>
      </c>
      <c r="AA107" s="33">
        <v>4</v>
      </c>
      <c r="AB107" s="35" t="str">
        <f>VLOOKUP(AA107,Key!$C$20:$D$29,2,FALSE)</f>
        <v>Office Worker</v>
      </c>
      <c r="AC107" s="33">
        <v>2</v>
      </c>
      <c r="AD107" s="35" t="str">
        <f>VLOOKUP(AC107,Key!$E$20:$F$24,2,FALSE)</f>
        <v>300,000-500,000</v>
      </c>
      <c r="AE107" s="33">
        <v>1</v>
      </c>
      <c r="AF107" s="39">
        <v>4</v>
      </c>
      <c r="AG107" s="39">
        <v>1</v>
      </c>
      <c r="AH107" s="39">
        <v>1</v>
      </c>
      <c r="AI107" s="39">
        <v>1</v>
      </c>
      <c r="AJ107" s="40" t="s">
        <v>100</v>
      </c>
      <c r="AK107" s="41">
        <v>1000</v>
      </c>
      <c r="AL107" s="25"/>
      <c r="AM107" s="25"/>
    </row>
    <row r="108" spans="1:39" x14ac:dyDescent="0.2">
      <c r="B108" s="52">
        <v>43765</v>
      </c>
      <c r="C108" s="36">
        <v>0.41319444444444442</v>
      </c>
      <c r="D108" s="36"/>
      <c r="E108" s="36" t="s">
        <v>105</v>
      </c>
      <c r="F108" s="38">
        <v>2</v>
      </c>
      <c r="G108" s="43" t="str">
        <f>VLOOKUP(F108,Key!$A$17:$B$21,2,FALSE)</f>
        <v>Road Vehicle</v>
      </c>
      <c r="H108" s="37">
        <v>1</v>
      </c>
      <c r="I108" s="44" t="str">
        <f>VLOOKUP(H108,Key!$A$2:$B$13,2,FALSE)</f>
        <v>Car</v>
      </c>
      <c r="J108" s="38" t="s">
        <v>117</v>
      </c>
      <c r="K108" s="38">
        <v>2</v>
      </c>
      <c r="L108" s="46" t="str">
        <f>VLOOKUP(K108,Key!$A$24:$B$29,2,FALSE)</f>
        <v>30-39</v>
      </c>
      <c r="M108" s="38" t="s">
        <v>200</v>
      </c>
      <c r="N108" s="33" t="s">
        <v>171</v>
      </c>
      <c r="O108" s="38" t="s">
        <v>166</v>
      </c>
      <c r="P108" s="40">
        <v>1</v>
      </c>
      <c r="Q108" s="35" t="str">
        <f>VLOOKUP(P108,Key!$E$2:$F$9,2,FALSE)</f>
        <v>Home</v>
      </c>
      <c r="R108" s="38" t="s">
        <v>208</v>
      </c>
      <c r="S108" s="33" t="s">
        <v>165</v>
      </c>
      <c r="T108" s="38" t="s">
        <v>166</v>
      </c>
      <c r="U108" s="33">
        <v>1</v>
      </c>
      <c r="V108" s="35" t="str">
        <f>VLOOKUP(U108,Key!$E$2:$F$9,2,FALSE)</f>
        <v>Home</v>
      </c>
      <c r="W108" s="35" t="str">
        <f t="shared" si="1"/>
        <v>Home-Home</v>
      </c>
      <c r="X108" s="33">
        <v>36000</v>
      </c>
      <c r="Y108" s="39">
        <v>15</v>
      </c>
      <c r="Z108" s="39">
        <v>0.5</v>
      </c>
      <c r="AA108" s="33">
        <v>5</v>
      </c>
      <c r="AB108" s="35" t="str">
        <f>VLOOKUP(AA108,Key!$C$20:$D$29,2,FALSE)</f>
        <v>Professional</v>
      </c>
      <c r="AC108" s="33">
        <v>2</v>
      </c>
      <c r="AD108" s="35" t="str">
        <f>VLOOKUP(AC108,Key!$E$20:$F$24,2,FALSE)</f>
        <v>300,000-500,000</v>
      </c>
      <c r="AE108" s="33">
        <v>1</v>
      </c>
      <c r="AF108" s="39">
        <v>1</v>
      </c>
      <c r="AG108" s="39">
        <v>1</v>
      </c>
      <c r="AH108" s="39">
        <v>1</v>
      </c>
      <c r="AI108" s="39">
        <v>1</v>
      </c>
      <c r="AJ108" s="40" t="s">
        <v>100</v>
      </c>
      <c r="AK108" s="41">
        <v>1000</v>
      </c>
      <c r="AL108" s="25"/>
      <c r="AM108" s="25"/>
    </row>
    <row r="109" spans="1:39" x14ac:dyDescent="0.2">
      <c r="B109" s="52">
        <v>43765</v>
      </c>
      <c r="C109" s="36">
        <v>0.66597222222222219</v>
      </c>
      <c r="D109" s="36"/>
      <c r="E109" s="36" t="s">
        <v>163</v>
      </c>
      <c r="F109" s="38">
        <v>2</v>
      </c>
      <c r="G109" s="43" t="str">
        <f>VLOOKUP(F109,Key!$A$17:$B$21,2,FALSE)</f>
        <v>Road Vehicle</v>
      </c>
      <c r="H109" s="37">
        <v>1</v>
      </c>
      <c r="I109" s="44" t="str">
        <f>VLOOKUP(H109,Key!$A$2:$B$13,2,FALSE)</f>
        <v>Car</v>
      </c>
      <c r="J109" s="38" t="s">
        <v>117</v>
      </c>
      <c r="K109" s="38">
        <v>2</v>
      </c>
      <c r="L109" s="46" t="str">
        <f>VLOOKUP(K109,Key!$A$24:$B$29,2,FALSE)</f>
        <v>30-39</v>
      </c>
      <c r="M109" s="38" t="s">
        <v>241</v>
      </c>
      <c r="N109" s="33" t="s">
        <v>165</v>
      </c>
      <c r="O109" s="38" t="s">
        <v>166</v>
      </c>
      <c r="P109" s="40">
        <v>6</v>
      </c>
      <c r="Q109" s="35" t="str">
        <f>VLOOKUP(P109,Key!$E$2:$F$9,2,FALSE)</f>
        <v>Leisure/Social</v>
      </c>
      <c r="R109" s="38" t="s">
        <v>178</v>
      </c>
      <c r="S109" s="33" t="s">
        <v>165</v>
      </c>
      <c r="T109" s="38" t="s">
        <v>166</v>
      </c>
      <c r="U109" s="33">
        <v>1</v>
      </c>
      <c r="V109" s="35" t="str">
        <f>VLOOKUP(U109,Key!$E$2:$F$9,2,FALSE)</f>
        <v>Home</v>
      </c>
      <c r="W109" s="35" t="str">
        <f t="shared" si="1"/>
        <v>Leisure/Social-Home</v>
      </c>
      <c r="X109" s="33">
        <v>2500</v>
      </c>
      <c r="Y109" s="39">
        <v>20</v>
      </c>
      <c r="Z109" s="39">
        <v>0.5</v>
      </c>
      <c r="AA109" s="33">
        <v>4</v>
      </c>
      <c r="AB109" s="35" t="str">
        <f>VLOOKUP(AA109,Key!$C$20:$D$29,2,FALSE)</f>
        <v>Office Worker</v>
      </c>
      <c r="AC109" s="33">
        <v>2</v>
      </c>
      <c r="AD109" s="35" t="str">
        <f>VLOOKUP(AC109,Key!$E$20:$F$24,2,FALSE)</f>
        <v>300,000-500,000</v>
      </c>
      <c r="AE109" s="33">
        <v>3</v>
      </c>
      <c r="AF109" s="39">
        <v>3</v>
      </c>
      <c r="AG109" s="39">
        <v>4</v>
      </c>
      <c r="AH109" s="39">
        <v>1</v>
      </c>
      <c r="AI109" s="39">
        <v>2</v>
      </c>
      <c r="AJ109" s="40" t="s">
        <v>100</v>
      </c>
      <c r="AK109" s="41">
        <v>500</v>
      </c>
      <c r="AL109" s="25"/>
      <c r="AM109" s="25"/>
    </row>
    <row r="110" spans="1:39" x14ac:dyDescent="0.2">
      <c r="B110" s="52">
        <v>43765</v>
      </c>
      <c r="C110" s="36">
        <v>0.69236111111111109</v>
      </c>
      <c r="D110" s="36"/>
      <c r="E110" s="36" t="s">
        <v>163</v>
      </c>
      <c r="F110" s="38">
        <v>2</v>
      </c>
      <c r="G110" s="43" t="str">
        <f>VLOOKUP(F110,Key!$A$17:$B$21,2,FALSE)</f>
        <v>Road Vehicle</v>
      </c>
      <c r="H110" s="37">
        <v>6</v>
      </c>
      <c r="I110" s="44" t="str">
        <f>VLOOKUP(H110,Key!$A$2:$B$13,2,FALSE)</f>
        <v>Large Bus</v>
      </c>
      <c r="J110" s="38" t="s">
        <v>168</v>
      </c>
      <c r="K110" s="38">
        <v>2</v>
      </c>
      <c r="L110" s="46" t="str">
        <f>VLOOKUP(K110,Key!$A$24:$B$29,2,FALSE)</f>
        <v>30-39</v>
      </c>
      <c r="M110" s="38" t="s">
        <v>200</v>
      </c>
      <c r="N110" s="33" t="s">
        <v>171</v>
      </c>
      <c r="O110" s="38" t="s">
        <v>166</v>
      </c>
      <c r="P110" s="40">
        <v>1</v>
      </c>
      <c r="Q110" s="35" t="str">
        <f>VLOOKUP(P110,Key!$E$2:$F$9,2,FALSE)</f>
        <v>Home</v>
      </c>
      <c r="R110" s="38" t="s">
        <v>180</v>
      </c>
      <c r="S110" s="33" t="s">
        <v>165</v>
      </c>
      <c r="T110" s="38" t="s">
        <v>166</v>
      </c>
      <c r="U110" s="33">
        <v>6</v>
      </c>
      <c r="V110" s="35" t="str">
        <f>VLOOKUP(U110,Key!$E$2:$F$9,2,FALSE)</f>
        <v>Leisure/Social</v>
      </c>
      <c r="W110" s="35" t="str">
        <f t="shared" si="1"/>
        <v>Home-Leisure/Social</v>
      </c>
      <c r="X110" s="33">
        <v>10000</v>
      </c>
      <c r="Y110" s="39">
        <v>40</v>
      </c>
      <c r="Z110" s="39">
        <v>2</v>
      </c>
      <c r="AA110" s="33">
        <v>6</v>
      </c>
      <c r="AB110" s="35" t="str">
        <f>VLOOKUP(AA110,Key!$C$20:$D$29,2,FALSE)</f>
        <v>Businessman</v>
      </c>
      <c r="AC110" s="33">
        <v>3</v>
      </c>
      <c r="AD110" s="35" t="str">
        <f>VLOOKUP(AC110,Key!$E$20:$F$24,2,FALSE)</f>
        <v>500,000-750,000</v>
      </c>
      <c r="AE110" s="33">
        <v>2</v>
      </c>
      <c r="AF110" s="39">
        <v>2</v>
      </c>
      <c r="AG110" s="39">
        <v>1</v>
      </c>
      <c r="AH110" s="39">
        <v>1</v>
      </c>
      <c r="AI110" s="39">
        <v>2</v>
      </c>
      <c r="AJ110" s="40" t="s">
        <v>100</v>
      </c>
      <c r="AK110" s="41">
        <v>1000</v>
      </c>
      <c r="AL110" s="25"/>
      <c r="AM110" s="25"/>
    </row>
    <row r="111" spans="1:39" x14ac:dyDescent="0.2">
      <c r="B111" s="52">
        <v>43765</v>
      </c>
      <c r="C111" s="36">
        <v>0.47986111111111113</v>
      </c>
      <c r="D111" s="36"/>
      <c r="E111" s="36" t="s">
        <v>105</v>
      </c>
      <c r="F111" s="38">
        <v>2</v>
      </c>
      <c r="G111" s="43" t="str">
        <f>VLOOKUP(F111,Key!$A$17:$B$21,2,FALSE)</f>
        <v>Road Vehicle</v>
      </c>
      <c r="H111" s="37">
        <v>6</v>
      </c>
      <c r="I111" s="44" t="str">
        <f>VLOOKUP(H111,Key!$A$2:$B$13,2,FALSE)</f>
        <v>Large Bus</v>
      </c>
      <c r="J111" s="38" t="s">
        <v>117</v>
      </c>
      <c r="K111" s="38">
        <v>2</v>
      </c>
      <c r="L111" s="46" t="str">
        <f>VLOOKUP(K111,Key!$A$24:$B$29,2,FALSE)</f>
        <v>30-39</v>
      </c>
      <c r="M111" s="38" t="s">
        <v>170</v>
      </c>
      <c r="N111" s="33" t="s">
        <v>171</v>
      </c>
      <c r="O111" s="38" t="s">
        <v>166</v>
      </c>
      <c r="P111" s="40">
        <v>2</v>
      </c>
      <c r="Q111" s="35" t="str">
        <f>VLOOKUP(P111,Key!$E$2:$F$9,2,FALSE)</f>
        <v>Work</v>
      </c>
      <c r="R111" s="38" t="s">
        <v>191</v>
      </c>
      <c r="S111" s="33" t="s">
        <v>165</v>
      </c>
      <c r="T111" s="38" t="s">
        <v>166</v>
      </c>
      <c r="U111" s="33">
        <v>2</v>
      </c>
      <c r="V111" s="35" t="str">
        <f>VLOOKUP(U111,Key!$E$2:$F$9,2,FALSE)</f>
        <v>Work</v>
      </c>
      <c r="W111" s="35" t="str">
        <f t="shared" si="1"/>
        <v>Work-Work</v>
      </c>
      <c r="X111" s="33">
        <v>200000</v>
      </c>
      <c r="Y111" s="39">
        <v>48</v>
      </c>
      <c r="Z111" s="39">
        <v>1</v>
      </c>
      <c r="AA111" s="33">
        <v>5</v>
      </c>
      <c r="AB111" s="35" t="str">
        <f>VLOOKUP(AA111,Key!$C$20:$D$29,2,FALSE)</f>
        <v>Professional</v>
      </c>
      <c r="AC111" s="33">
        <v>4</v>
      </c>
      <c r="AD111" s="35" t="str">
        <f>VLOOKUP(AC111,Key!$E$20:$F$24,2,FALSE)</f>
        <v>750,000-1,000,000</v>
      </c>
      <c r="AE111" s="33">
        <v>1</v>
      </c>
      <c r="AF111" s="39">
        <v>5</v>
      </c>
      <c r="AG111" s="39">
        <v>1</v>
      </c>
      <c r="AH111" s="39">
        <v>1</v>
      </c>
      <c r="AI111" s="39">
        <v>1</v>
      </c>
      <c r="AJ111" s="40" t="s">
        <v>100</v>
      </c>
      <c r="AK111" s="41">
        <v>10000</v>
      </c>
      <c r="AL111" s="25"/>
      <c r="AM111" s="25"/>
    </row>
    <row r="112" spans="1:39" x14ac:dyDescent="0.2">
      <c r="B112" s="52">
        <v>43765</v>
      </c>
      <c r="C112" s="36">
        <v>0.57777777777777783</v>
      </c>
      <c r="D112" s="36"/>
      <c r="E112" s="36" t="s">
        <v>105</v>
      </c>
      <c r="F112" s="38">
        <v>2</v>
      </c>
      <c r="G112" s="43" t="str">
        <f>VLOOKUP(F112,Key!$A$17:$B$21,2,FALSE)</f>
        <v>Road Vehicle</v>
      </c>
      <c r="H112" s="37">
        <v>7</v>
      </c>
      <c r="I112" s="44" t="str">
        <f>VLOOKUP(H112,Key!$A$2:$B$13,2,FALSE)</f>
        <v xml:space="preserve">Light Truck </v>
      </c>
      <c r="J112" s="38" t="s">
        <v>117</v>
      </c>
      <c r="K112" s="38">
        <v>2</v>
      </c>
      <c r="L112" s="46" t="str">
        <f>VLOOKUP(K112,Key!$A$24:$B$29,2,FALSE)</f>
        <v>30-39</v>
      </c>
      <c r="M112" s="38" t="s">
        <v>212</v>
      </c>
      <c r="N112" s="33" t="s">
        <v>165</v>
      </c>
      <c r="O112" s="38" t="s">
        <v>166</v>
      </c>
      <c r="P112" s="40">
        <v>2</v>
      </c>
      <c r="Q112" s="35" t="str">
        <f>VLOOKUP(P112,Key!$E$2:$F$9,2,FALSE)</f>
        <v>Work</v>
      </c>
      <c r="R112" s="38" t="s">
        <v>191</v>
      </c>
      <c r="S112" s="33" t="s">
        <v>165</v>
      </c>
      <c r="T112" s="38" t="s">
        <v>166</v>
      </c>
      <c r="U112" s="33">
        <v>2</v>
      </c>
      <c r="V112" s="35" t="str">
        <f>VLOOKUP(U112,Key!$E$2:$F$9,2,FALSE)</f>
        <v>Work</v>
      </c>
      <c r="W112" s="35" t="str">
        <f t="shared" si="1"/>
        <v>Work-Work</v>
      </c>
      <c r="X112" s="33">
        <v>150000</v>
      </c>
      <c r="Y112" s="39">
        <v>30</v>
      </c>
      <c r="Z112" s="39">
        <v>1</v>
      </c>
      <c r="AA112" s="33">
        <v>5</v>
      </c>
      <c r="AB112" s="35" t="str">
        <f>VLOOKUP(AA112,Key!$C$20:$D$29,2,FALSE)</f>
        <v>Professional</v>
      </c>
      <c r="AC112" s="33">
        <v>2</v>
      </c>
      <c r="AD112" s="35" t="str">
        <f>VLOOKUP(AC112,Key!$E$20:$F$24,2,FALSE)</f>
        <v>300,000-500,000</v>
      </c>
      <c r="AE112" s="33">
        <v>1</v>
      </c>
      <c r="AF112" s="39">
        <v>5</v>
      </c>
      <c r="AG112" s="39">
        <v>1</v>
      </c>
      <c r="AH112" s="39">
        <v>1</v>
      </c>
      <c r="AI112" s="39">
        <v>1</v>
      </c>
      <c r="AJ112" s="40" t="s">
        <v>100</v>
      </c>
      <c r="AK112" s="41">
        <v>1000</v>
      </c>
      <c r="AL112" s="25"/>
      <c r="AM112" s="25"/>
    </row>
    <row r="113" spans="1:39" x14ac:dyDescent="0.2">
      <c r="B113" s="52">
        <v>43765</v>
      </c>
      <c r="C113" s="36">
        <v>0.42777777777777781</v>
      </c>
      <c r="D113" s="36"/>
      <c r="E113" s="36" t="s">
        <v>105</v>
      </c>
      <c r="F113" s="38">
        <v>2</v>
      </c>
      <c r="G113" s="43" t="str">
        <f>VLOOKUP(F113,Key!$A$17:$B$21,2,FALSE)</f>
        <v>Road Vehicle</v>
      </c>
      <c r="H113" s="37">
        <v>7</v>
      </c>
      <c r="I113" s="44" t="str">
        <f>VLOOKUP(H113,Key!$A$2:$B$13,2,FALSE)</f>
        <v xml:space="preserve">Light Truck </v>
      </c>
      <c r="J113" s="38" t="s">
        <v>117</v>
      </c>
      <c r="K113" s="38">
        <v>2</v>
      </c>
      <c r="L113" s="46" t="str">
        <f>VLOOKUP(K113,Key!$A$24:$B$29,2,FALSE)</f>
        <v>30-39</v>
      </c>
      <c r="M113" s="38" t="s">
        <v>232</v>
      </c>
      <c r="N113" s="33" t="s">
        <v>171</v>
      </c>
      <c r="O113" s="38" t="s">
        <v>166</v>
      </c>
      <c r="P113" s="40">
        <v>2</v>
      </c>
      <c r="Q113" s="35" t="str">
        <f>VLOOKUP(P113,Key!$E$2:$F$9,2,FALSE)</f>
        <v>Work</v>
      </c>
      <c r="R113" s="38" t="s">
        <v>191</v>
      </c>
      <c r="S113" s="33" t="s">
        <v>165</v>
      </c>
      <c r="T113" s="38" t="s">
        <v>166</v>
      </c>
      <c r="U113" s="33">
        <v>2</v>
      </c>
      <c r="V113" s="35" t="str">
        <f>VLOOKUP(U113,Key!$E$2:$F$9,2,FALSE)</f>
        <v>Work</v>
      </c>
      <c r="W113" s="35" t="str">
        <f t="shared" si="1"/>
        <v>Work-Work</v>
      </c>
      <c r="X113" s="33">
        <v>350000</v>
      </c>
      <c r="Y113" s="39">
        <v>48</v>
      </c>
      <c r="Z113" s="39">
        <v>2</v>
      </c>
      <c r="AA113" s="33">
        <v>5</v>
      </c>
      <c r="AB113" s="35" t="str">
        <f>VLOOKUP(AA113,Key!$C$20:$D$29,2,FALSE)</f>
        <v>Professional</v>
      </c>
      <c r="AC113" s="33">
        <v>3</v>
      </c>
      <c r="AD113" s="35" t="str">
        <f>VLOOKUP(AC113,Key!$E$20:$F$24,2,FALSE)</f>
        <v>500,000-750,000</v>
      </c>
      <c r="AE113" s="33">
        <v>1</v>
      </c>
      <c r="AF113" s="39">
        <v>5</v>
      </c>
      <c r="AG113" s="39">
        <v>1</v>
      </c>
      <c r="AH113" s="39">
        <v>1</v>
      </c>
      <c r="AI113" s="39">
        <v>1</v>
      </c>
      <c r="AJ113" s="40" t="s">
        <v>100</v>
      </c>
      <c r="AK113" s="41">
        <v>5000</v>
      </c>
      <c r="AL113" s="25"/>
      <c r="AM113" s="25"/>
    </row>
    <row r="114" spans="1:39" x14ac:dyDescent="0.2">
      <c r="B114" s="52">
        <v>43765</v>
      </c>
      <c r="C114" s="36">
        <v>0.50347222222222221</v>
      </c>
      <c r="D114" s="36"/>
      <c r="E114" s="36" t="s">
        <v>163</v>
      </c>
      <c r="F114" s="38">
        <v>2</v>
      </c>
      <c r="G114" s="43" t="str">
        <f>VLOOKUP(F114,Key!$A$17:$B$21,2,FALSE)</f>
        <v>Road Vehicle</v>
      </c>
      <c r="H114" s="37">
        <v>5</v>
      </c>
      <c r="I114" s="44" t="str">
        <f>VLOOKUP(H114,Key!$A$2:$B$13,2,FALSE)</f>
        <v xml:space="preserve">Medium bus </v>
      </c>
      <c r="J114" s="38" t="s">
        <v>117</v>
      </c>
      <c r="K114" s="38">
        <v>2</v>
      </c>
      <c r="L114" s="46" t="str">
        <f>VLOOKUP(K114,Key!$A$24:$B$29,2,FALSE)</f>
        <v>30-39</v>
      </c>
      <c r="M114" s="38" t="s">
        <v>183</v>
      </c>
      <c r="N114" s="33" t="s">
        <v>184</v>
      </c>
      <c r="O114" s="38" t="s">
        <v>166</v>
      </c>
      <c r="P114" s="40">
        <v>1</v>
      </c>
      <c r="Q114" s="35" t="str">
        <f>VLOOKUP(P114,Key!$E$2:$F$9,2,FALSE)</f>
        <v>Home</v>
      </c>
      <c r="R114" s="38" t="s">
        <v>191</v>
      </c>
      <c r="S114" s="33" t="s">
        <v>165</v>
      </c>
      <c r="T114" s="38" t="s">
        <v>166</v>
      </c>
      <c r="U114" s="33">
        <v>6</v>
      </c>
      <c r="V114" s="35" t="str">
        <f>VLOOKUP(U114,Key!$E$2:$F$9,2,FALSE)</f>
        <v>Leisure/Social</v>
      </c>
      <c r="W114" s="35" t="str">
        <f t="shared" si="1"/>
        <v>Home-Leisure/Social</v>
      </c>
      <c r="X114" s="33">
        <v>300000</v>
      </c>
      <c r="Y114" s="39">
        <v>250</v>
      </c>
      <c r="Z114" s="39">
        <v>4</v>
      </c>
      <c r="AA114" s="33">
        <v>5</v>
      </c>
      <c r="AB114" s="35" t="str">
        <f>VLOOKUP(AA114,Key!$C$20:$D$29,2,FALSE)</f>
        <v>Professional</v>
      </c>
      <c r="AC114" s="33">
        <v>4</v>
      </c>
      <c r="AD114" s="35" t="str">
        <f>VLOOKUP(AC114,Key!$E$20:$F$24,2,FALSE)</f>
        <v>750,000-1,000,000</v>
      </c>
      <c r="AE114" s="33">
        <v>5</v>
      </c>
      <c r="AF114" s="39">
        <v>1</v>
      </c>
      <c r="AG114" s="39">
        <v>5</v>
      </c>
      <c r="AH114" s="39">
        <v>1</v>
      </c>
      <c r="AI114" s="39">
        <v>1</v>
      </c>
      <c r="AJ114" s="40" t="s">
        <v>100</v>
      </c>
      <c r="AK114" s="41">
        <v>5000</v>
      </c>
      <c r="AL114" s="25"/>
      <c r="AM114" s="25"/>
    </row>
    <row r="115" spans="1:39" x14ac:dyDescent="0.2">
      <c r="B115" s="52">
        <v>43765</v>
      </c>
      <c r="C115" s="36">
        <v>0.43402777777777773</v>
      </c>
      <c r="D115" s="36"/>
      <c r="E115" s="36" t="s">
        <v>105</v>
      </c>
      <c r="F115" s="38">
        <v>2</v>
      </c>
      <c r="G115" s="43" t="str">
        <f>VLOOKUP(F115,Key!$A$17:$B$21,2,FALSE)</f>
        <v>Road Vehicle</v>
      </c>
      <c r="H115" s="37">
        <v>5</v>
      </c>
      <c r="I115" s="44" t="str">
        <f>VLOOKUP(H115,Key!$A$2:$B$13,2,FALSE)</f>
        <v xml:space="preserve">Medium bus </v>
      </c>
      <c r="J115" s="38" t="s">
        <v>117</v>
      </c>
      <c r="K115" s="38">
        <v>2</v>
      </c>
      <c r="L115" s="46" t="str">
        <f>VLOOKUP(K115,Key!$A$24:$B$29,2,FALSE)</f>
        <v>30-39</v>
      </c>
      <c r="M115" s="38" t="s">
        <v>234</v>
      </c>
      <c r="N115" s="33" t="s">
        <v>171</v>
      </c>
      <c r="O115" s="38" t="s">
        <v>166</v>
      </c>
      <c r="P115" s="40">
        <v>2</v>
      </c>
      <c r="Q115" s="35" t="str">
        <f>VLOOKUP(P115,Key!$E$2:$F$9,2,FALSE)</f>
        <v>Work</v>
      </c>
      <c r="R115" s="38" t="s">
        <v>191</v>
      </c>
      <c r="S115" s="33" t="s">
        <v>165</v>
      </c>
      <c r="T115" s="38" t="s">
        <v>166</v>
      </c>
      <c r="U115" s="33">
        <v>2</v>
      </c>
      <c r="V115" s="35" t="str">
        <f>VLOOKUP(U115,Key!$E$2:$F$9,2,FALSE)</f>
        <v>Work</v>
      </c>
      <c r="W115" s="35" t="str">
        <f t="shared" si="1"/>
        <v>Work-Work</v>
      </c>
      <c r="X115" s="33">
        <v>100000</v>
      </c>
      <c r="Y115" s="39">
        <v>50</v>
      </c>
      <c r="Z115" s="39">
        <v>1</v>
      </c>
      <c r="AA115" s="33">
        <v>5</v>
      </c>
      <c r="AB115" s="35" t="str">
        <f>VLOOKUP(AA115,Key!$C$20:$D$29,2,FALSE)</f>
        <v>Professional</v>
      </c>
      <c r="AC115" s="33">
        <v>2</v>
      </c>
      <c r="AD115" s="35" t="str">
        <f>VLOOKUP(AC115,Key!$E$20:$F$24,2,FALSE)</f>
        <v>300,000-500,000</v>
      </c>
      <c r="AE115" s="33">
        <v>2</v>
      </c>
      <c r="AF115" s="39">
        <v>5</v>
      </c>
      <c r="AG115" s="39">
        <v>1</v>
      </c>
      <c r="AH115" s="39">
        <v>1</v>
      </c>
      <c r="AI115" s="39">
        <v>1</v>
      </c>
      <c r="AJ115" s="40" t="s">
        <v>100</v>
      </c>
      <c r="AK115" s="41"/>
      <c r="AL115" s="25"/>
      <c r="AM115" s="25"/>
    </row>
    <row r="116" spans="1:39" x14ac:dyDescent="0.2">
      <c r="B116" s="52">
        <v>43765</v>
      </c>
      <c r="C116" s="36">
        <v>0.36458333333333331</v>
      </c>
      <c r="D116" s="36"/>
      <c r="E116" s="36" t="s">
        <v>105</v>
      </c>
      <c r="F116" s="38">
        <v>2</v>
      </c>
      <c r="G116" s="43" t="str">
        <f>VLOOKUP(F116,Key!$A$17:$B$21,2,FALSE)</f>
        <v>Road Vehicle</v>
      </c>
      <c r="H116" s="37">
        <v>5</v>
      </c>
      <c r="I116" s="44" t="str">
        <f>VLOOKUP(H116,Key!$A$2:$B$13,2,FALSE)</f>
        <v xml:space="preserve">Medium bus </v>
      </c>
      <c r="J116" s="38" t="s">
        <v>117</v>
      </c>
      <c r="K116" s="38">
        <v>2</v>
      </c>
      <c r="L116" s="46" t="str">
        <f>VLOOKUP(K116,Key!$A$24:$B$29,2,FALSE)</f>
        <v>30-39</v>
      </c>
      <c r="M116" s="38" t="s">
        <v>268</v>
      </c>
      <c r="N116" s="33" t="s">
        <v>165</v>
      </c>
      <c r="O116" s="38" t="s">
        <v>166</v>
      </c>
      <c r="P116" s="40">
        <v>8</v>
      </c>
      <c r="Q116" s="35" t="str">
        <f>VLOOKUP(P116,Key!$E$2:$F$9,2,FALSE)</f>
        <v>Others</v>
      </c>
      <c r="R116" s="38" t="s">
        <v>269</v>
      </c>
      <c r="S116" s="33" t="s">
        <v>165</v>
      </c>
      <c r="T116" s="38" t="s">
        <v>166</v>
      </c>
      <c r="U116" s="33">
        <v>5</v>
      </c>
      <c r="V116" s="35" t="str">
        <f>VLOOKUP(U116,Key!$E$2:$F$9,2,FALSE)</f>
        <v>Tourism</v>
      </c>
      <c r="W116" s="35" t="str">
        <f t="shared" si="1"/>
        <v>Others-Tourism</v>
      </c>
      <c r="X116" s="33">
        <v>60000</v>
      </c>
      <c r="Y116" s="39">
        <v>2.5</v>
      </c>
      <c r="Z116" s="39">
        <v>5</v>
      </c>
      <c r="AA116" s="33">
        <v>2</v>
      </c>
      <c r="AB116" s="35" t="str">
        <f>VLOOKUP(AA116,Key!$C$20:$D$29,2,FALSE)</f>
        <v>Manual Labour</v>
      </c>
      <c r="AC116" s="33">
        <v>1</v>
      </c>
      <c r="AD116" s="35" t="str">
        <f>VLOOKUP(AC116,Key!$E$20:$F$24,2,FALSE)</f>
        <v>&lt;300,000</v>
      </c>
      <c r="AE116" s="33">
        <v>3</v>
      </c>
      <c r="AF116" s="39">
        <v>4</v>
      </c>
      <c r="AG116" s="39">
        <v>2</v>
      </c>
      <c r="AH116" s="39">
        <v>1</v>
      </c>
      <c r="AI116" s="39">
        <v>5</v>
      </c>
      <c r="AJ116" s="40" t="s">
        <v>100</v>
      </c>
      <c r="AK116" s="41">
        <v>2000</v>
      </c>
      <c r="AL116" s="25"/>
      <c r="AM116" s="25"/>
    </row>
    <row r="117" spans="1:39" x14ac:dyDescent="0.2">
      <c r="B117" s="52">
        <v>43765</v>
      </c>
      <c r="C117" s="36">
        <v>0.34027777777777773</v>
      </c>
      <c r="D117" s="36"/>
      <c r="E117" s="36" t="s">
        <v>163</v>
      </c>
      <c r="F117" s="38">
        <v>2</v>
      </c>
      <c r="G117" s="43" t="str">
        <f>VLOOKUP(F117,Key!$A$17:$B$21,2,FALSE)</f>
        <v>Road Vehicle</v>
      </c>
      <c r="H117" s="37">
        <v>4</v>
      </c>
      <c r="I117" s="44" t="str">
        <f>VLOOKUP(H117,Key!$A$2:$B$13,2,FALSE)</f>
        <v>Minibus</v>
      </c>
      <c r="J117" s="38" t="s">
        <v>168</v>
      </c>
      <c r="K117" s="38">
        <v>2</v>
      </c>
      <c r="L117" s="46" t="str">
        <f>VLOOKUP(K117,Key!$A$24:$B$29,2,FALSE)</f>
        <v>30-39</v>
      </c>
      <c r="M117" s="45" t="s">
        <v>169</v>
      </c>
      <c r="N117" s="33" t="s">
        <v>165</v>
      </c>
      <c r="O117" s="38" t="s">
        <v>166</v>
      </c>
      <c r="P117" s="40">
        <v>1</v>
      </c>
      <c r="Q117" s="35" t="str">
        <f>VLOOKUP(P117,Key!$E$2:$F$9,2,FALSE)</f>
        <v>Home</v>
      </c>
      <c r="R117" s="38" t="s">
        <v>175</v>
      </c>
      <c r="S117" s="33" t="s">
        <v>165</v>
      </c>
      <c r="T117" s="38" t="s">
        <v>166</v>
      </c>
      <c r="U117" s="33">
        <v>2</v>
      </c>
      <c r="V117" s="35" t="str">
        <f>VLOOKUP(U117,Key!$E$2:$F$9,2,FALSE)</f>
        <v>Work</v>
      </c>
      <c r="W117" s="35" t="str">
        <f t="shared" si="1"/>
        <v>Home-Work</v>
      </c>
      <c r="X117" s="48">
        <v>2000</v>
      </c>
      <c r="Y117" s="39">
        <v>25</v>
      </c>
      <c r="Z117" s="39">
        <v>0.5</v>
      </c>
      <c r="AA117" s="33">
        <v>6</v>
      </c>
      <c r="AB117" s="35" t="str">
        <f>VLOOKUP(AA117,Key!$C$20:$D$29,2,FALSE)</f>
        <v>Businessman</v>
      </c>
      <c r="AC117" s="33">
        <v>1</v>
      </c>
      <c r="AD117" s="35" t="str">
        <f>VLOOKUP(AC117,Key!$E$20:$F$24,2,FALSE)</f>
        <v>&lt;300,000</v>
      </c>
      <c r="AE117" s="33">
        <v>1</v>
      </c>
      <c r="AF117" s="39">
        <v>2</v>
      </c>
      <c r="AG117" s="39">
        <v>1</v>
      </c>
      <c r="AH117" s="39">
        <v>2</v>
      </c>
      <c r="AI117" s="39">
        <v>1</v>
      </c>
      <c r="AJ117" s="40" t="s">
        <v>100</v>
      </c>
      <c r="AK117" s="41">
        <v>500</v>
      </c>
      <c r="AL117" s="25"/>
      <c r="AM117" s="25"/>
    </row>
    <row r="118" spans="1:39" x14ac:dyDescent="0.2">
      <c r="B118" s="52">
        <v>43765</v>
      </c>
      <c r="C118" s="36">
        <v>0.42152777777777778</v>
      </c>
      <c r="D118" s="36"/>
      <c r="E118" s="36" t="s">
        <v>163</v>
      </c>
      <c r="F118" s="38">
        <v>2</v>
      </c>
      <c r="G118" s="43" t="str">
        <f>VLOOKUP(F118,Key!$A$17:$B$21,2,FALSE)</f>
        <v>Road Vehicle</v>
      </c>
      <c r="H118" s="37">
        <v>4</v>
      </c>
      <c r="I118" s="44" t="str">
        <f>VLOOKUP(H118,Key!$A$2:$B$13,2,FALSE)</f>
        <v>Minibus</v>
      </c>
      <c r="J118" s="38" t="s">
        <v>168</v>
      </c>
      <c r="K118" s="38">
        <v>2</v>
      </c>
      <c r="L118" s="46" t="str">
        <f>VLOOKUP(K118,Key!$A$24:$B$29,2,FALSE)</f>
        <v>30-39</v>
      </c>
      <c r="M118" s="45" t="s">
        <v>164</v>
      </c>
      <c r="N118" s="33" t="s">
        <v>165</v>
      </c>
      <c r="O118" s="38" t="s">
        <v>166</v>
      </c>
      <c r="P118" s="40">
        <v>1</v>
      </c>
      <c r="Q118" s="35" t="str">
        <f>VLOOKUP(P118,Key!$E$2:$F$9,2,FALSE)</f>
        <v>Home</v>
      </c>
      <c r="R118" s="38" t="s">
        <v>188</v>
      </c>
      <c r="S118" s="33" t="s">
        <v>165</v>
      </c>
      <c r="T118" s="38" t="s">
        <v>166</v>
      </c>
      <c r="U118" s="33">
        <v>2</v>
      </c>
      <c r="V118" s="35" t="str">
        <f>VLOOKUP(U118,Key!$E$2:$F$9,2,FALSE)</f>
        <v>Work</v>
      </c>
      <c r="W118" s="35" t="str">
        <f t="shared" si="1"/>
        <v>Home-Work</v>
      </c>
      <c r="X118" s="48">
        <v>3000</v>
      </c>
      <c r="Y118" s="39">
        <v>34</v>
      </c>
      <c r="Z118" s="39">
        <v>1</v>
      </c>
      <c r="AA118" s="33">
        <v>6</v>
      </c>
      <c r="AB118" s="35" t="str">
        <f>VLOOKUP(AA118,Key!$C$20:$D$29,2,FALSE)</f>
        <v>Businessman</v>
      </c>
      <c r="AC118" s="33">
        <v>1</v>
      </c>
      <c r="AD118" s="35" t="str">
        <f>VLOOKUP(AC118,Key!$E$20:$F$24,2,FALSE)</f>
        <v>&lt;300,000</v>
      </c>
      <c r="AE118" s="33">
        <v>2</v>
      </c>
      <c r="AF118" s="39">
        <v>2</v>
      </c>
      <c r="AG118" s="39">
        <v>3</v>
      </c>
      <c r="AH118" s="39">
        <v>2</v>
      </c>
      <c r="AI118" s="39">
        <v>1</v>
      </c>
      <c r="AJ118" s="40" t="s">
        <v>100</v>
      </c>
      <c r="AK118" s="41">
        <v>500</v>
      </c>
      <c r="AL118" s="25"/>
      <c r="AM118" s="25"/>
    </row>
    <row r="119" spans="1:39" x14ac:dyDescent="0.2">
      <c r="B119" s="52">
        <v>43765</v>
      </c>
      <c r="C119" s="36">
        <v>0.5131944444444444</v>
      </c>
      <c r="D119" s="36"/>
      <c r="E119" s="36" t="s">
        <v>105</v>
      </c>
      <c r="F119" s="38">
        <v>2</v>
      </c>
      <c r="G119" s="43" t="str">
        <f>VLOOKUP(F119,Key!$A$17:$B$21,2,FALSE)</f>
        <v>Road Vehicle</v>
      </c>
      <c r="H119" s="37">
        <v>4</v>
      </c>
      <c r="I119" s="44" t="str">
        <f>VLOOKUP(H119,Key!$A$2:$B$13,2,FALSE)</f>
        <v>Minibus</v>
      </c>
      <c r="J119" s="38" t="s">
        <v>168</v>
      </c>
      <c r="K119" s="38">
        <v>2</v>
      </c>
      <c r="L119" s="46" t="str">
        <f>VLOOKUP(K119,Key!$A$24:$B$29,2,FALSE)</f>
        <v>30-39</v>
      </c>
      <c r="M119" s="38" t="s">
        <v>167</v>
      </c>
      <c r="N119" s="33" t="s">
        <v>165</v>
      </c>
      <c r="O119" s="38" t="s">
        <v>166</v>
      </c>
      <c r="P119" s="40">
        <v>1</v>
      </c>
      <c r="Q119" s="35" t="str">
        <f>VLOOKUP(P119,Key!$E$2:$F$9,2,FALSE)</f>
        <v>Home</v>
      </c>
      <c r="R119" s="38" t="s">
        <v>180</v>
      </c>
      <c r="S119" s="33" t="s">
        <v>165</v>
      </c>
      <c r="T119" s="38" t="s">
        <v>166</v>
      </c>
      <c r="U119" s="33">
        <v>6</v>
      </c>
      <c r="V119" s="35" t="str">
        <f>VLOOKUP(U119,Key!$E$2:$F$9,2,FALSE)</f>
        <v>Leisure/Social</v>
      </c>
      <c r="W119" s="35" t="str">
        <f t="shared" si="1"/>
        <v>Home-Leisure/Social</v>
      </c>
      <c r="X119" s="48">
        <v>40000</v>
      </c>
      <c r="Y119" s="39">
        <v>39</v>
      </c>
      <c r="Z119" s="39">
        <v>1</v>
      </c>
      <c r="AA119" s="33">
        <v>6</v>
      </c>
      <c r="AB119" s="35" t="str">
        <f>VLOOKUP(AA119,Key!$C$20:$D$29,2,FALSE)</f>
        <v>Businessman</v>
      </c>
      <c r="AC119" s="33">
        <v>3</v>
      </c>
      <c r="AD119" s="35" t="str">
        <f>VLOOKUP(AC119,Key!$E$20:$F$24,2,FALSE)</f>
        <v>500,000-750,000</v>
      </c>
      <c r="AE119" s="33">
        <v>1</v>
      </c>
      <c r="AF119" s="39">
        <v>1</v>
      </c>
      <c r="AG119" s="39">
        <v>2</v>
      </c>
      <c r="AH119" s="39">
        <v>1</v>
      </c>
      <c r="AI119" s="39">
        <v>2</v>
      </c>
      <c r="AJ119" s="40" t="s">
        <v>100</v>
      </c>
      <c r="AK119" s="41">
        <v>1000</v>
      </c>
      <c r="AL119" s="25"/>
      <c r="AM119" s="25"/>
    </row>
    <row r="120" spans="1:39" x14ac:dyDescent="0.2">
      <c r="B120" s="52">
        <v>43765</v>
      </c>
      <c r="C120" s="36">
        <v>0.60277777777777775</v>
      </c>
      <c r="D120" s="36"/>
      <c r="E120" s="36" t="s">
        <v>163</v>
      </c>
      <c r="F120" s="38">
        <v>2</v>
      </c>
      <c r="G120" s="43" t="str">
        <f>VLOOKUP(F120,Key!$A$17:$B$21,2,FALSE)</f>
        <v>Road Vehicle</v>
      </c>
      <c r="H120" s="37">
        <v>4</v>
      </c>
      <c r="I120" s="44" t="str">
        <f>VLOOKUP(H120,Key!$A$2:$B$13,2,FALSE)</f>
        <v>Minibus</v>
      </c>
      <c r="J120" s="38" t="s">
        <v>168</v>
      </c>
      <c r="K120" s="38">
        <v>2</v>
      </c>
      <c r="L120" s="46" t="str">
        <f>VLOOKUP(K120,Key!$A$24:$B$29,2,FALSE)</f>
        <v>30-39</v>
      </c>
      <c r="M120" s="38" t="s">
        <v>170</v>
      </c>
      <c r="N120" s="33" t="s">
        <v>171</v>
      </c>
      <c r="O120" s="38" t="s">
        <v>166</v>
      </c>
      <c r="P120" s="40">
        <v>1</v>
      </c>
      <c r="Q120" s="35" t="str">
        <f>VLOOKUP(P120,Key!$E$2:$F$9,2,FALSE)</f>
        <v>Home</v>
      </c>
      <c r="R120" s="38" t="s">
        <v>180</v>
      </c>
      <c r="S120" s="33" t="s">
        <v>165</v>
      </c>
      <c r="T120" s="38" t="s">
        <v>166</v>
      </c>
      <c r="U120" s="33">
        <v>1</v>
      </c>
      <c r="V120" s="35" t="str">
        <f>VLOOKUP(U120,Key!$E$2:$F$9,2,FALSE)</f>
        <v>Home</v>
      </c>
      <c r="W120" s="35" t="str">
        <f t="shared" si="1"/>
        <v>Home-Home</v>
      </c>
      <c r="X120" s="33">
        <v>3000</v>
      </c>
      <c r="Y120" s="39">
        <v>37</v>
      </c>
      <c r="Z120" s="39">
        <v>1.5</v>
      </c>
      <c r="AA120" s="33">
        <v>6</v>
      </c>
      <c r="AB120" s="35" t="str">
        <f>VLOOKUP(AA120,Key!$C$20:$D$29,2,FALSE)</f>
        <v>Businessman</v>
      </c>
      <c r="AC120" s="33">
        <v>1</v>
      </c>
      <c r="AD120" s="35" t="str">
        <f>VLOOKUP(AC120,Key!$E$20:$F$24,2,FALSE)</f>
        <v>&lt;300,000</v>
      </c>
      <c r="AE120" s="33">
        <v>4</v>
      </c>
      <c r="AF120" s="39">
        <v>1</v>
      </c>
      <c r="AG120" s="39">
        <v>1</v>
      </c>
      <c r="AH120" s="39">
        <v>2</v>
      </c>
      <c r="AI120" s="39">
        <v>1</v>
      </c>
      <c r="AJ120" s="40" t="s">
        <v>100</v>
      </c>
      <c r="AK120" s="41">
        <v>5000</v>
      </c>
      <c r="AL120" s="25"/>
      <c r="AM120" s="25"/>
    </row>
    <row r="121" spans="1:39" x14ac:dyDescent="0.2">
      <c r="B121" s="52">
        <v>43765</v>
      </c>
      <c r="C121" s="36">
        <v>0.62152777777777779</v>
      </c>
      <c r="D121" s="36"/>
      <c r="E121" s="36" t="s">
        <v>163</v>
      </c>
      <c r="F121" s="38">
        <v>2</v>
      </c>
      <c r="G121" s="43" t="str">
        <f>VLOOKUP(F121,Key!$A$17:$B$21,2,FALSE)</f>
        <v>Road Vehicle</v>
      </c>
      <c r="H121" s="37">
        <v>4</v>
      </c>
      <c r="I121" s="44" t="str">
        <f>VLOOKUP(H121,Key!$A$2:$B$13,2,FALSE)</f>
        <v>Minibus</v>
      </c>
      <c r="J121" s="38" t="s">
        <v>168</v>
      </c>
      <c r="K121" s="38">
        <v>2</v>
      </c>
      <c r="L121" s="46" t="str">
        <f>VLOOKUP(K121,Key!$A$24:$B$29,2,FALSE)</f>
        <v>30-39</v>
      </c>
      <c r="M121" s="38" t="s">
        <v>196</v>
      </c>
      <c r="N121" s="33" t="s">
        <v>171</v>
      </c>
      <c r="O121" s="38" t="s">
        <v>166</v>
      </c>
      <c r="P121" s="40">
        <v>1</v>
      </c>
      <c r="Q121" s="35" t="str">
        <f>VLOOKUP(P121,Key!$E$2:$F$9,2,FALSE)</f>
        <v>Home</v>
      </c>
      <c r="R121" s="38" t="s">
        <v>182</v>
      </c>
      <c r="S121" s="33" t="s">
        <v>165</v>
      </c>
      <c r="T121" s="38" t="s">
        <v>166</v>
      </c>
      <c r="U121" s="33">
        <v>6</v>
      </c>
      <c r="V121" s="35" t="str">
        <f>VLOOKUP(U121,Key!$E$2:$F$9,2,FALSE)</f>
        <v>Leisure/Social</v>
      </c>
      <c r="W121" s="35" t="str">
        <f t="shared" si="1"/>
        <v>Home-Leisure/Social</v>
      </c>
      <c r="X121" s="33">
        <v>3000</v>
      </c>
      <c r="Y121" s="39">
        <v>36</v>
      </c>
      <c r="Z121" s="39">
        <v>1.5</v>
      </c>
      <c r="AA121" s="33">
        <v>4</v>
      </c>
      <c r="AB121" s="35" t="str">
        <f>VLOOKUP(AA121,Key!$C$20:$D$29,2,FALSE)</f>
        <v>Office Worker</v>
      </c>
      <c r="AC121" s="33">
        <v>3</v>
      </c>
      <c r="AD121" s="35" t="str">
        <f>VLOOKUP(AC121,Key!$E$20:$F$24,2,FALSE)</f>
        <v>500,000-750,000</v>
      </c>
      <c r="AE121" s="33">
        <v>5</v>
      </c>
      <c r="AF121" s="39">
        <v>2</v>
      </c>
      <c r="AG121" s="39">
        <v>1</v>
      </c>
      <c r="AH121" s="39">
        <v>2</v>
      </c>
      <c r="AI121" s="39">
        <v>1</v>
      </c>
      <c r="AJ121" s="40" t="s">
        <v>100</v>
      </c>
      <c r="AK121" s="41">
        <v>500</v>
      </c>
      <c r="AL121" s="25"/>
      <c r="AM121" s="25"/>
    </row>
    <row r="122" spans="1:39" x14ac:dyDescent="0.2">
      <c r="B122" s="52">
        <v>43765</v>
      </c>
      <c r="C122" s="36">
        <v>0.67152777777777783</v>
      </c>
      <c r="D122" s="36"/>
      <c r="E122" s="36" t="s">
        <v>163</v>
      </c>
      <c r="F122" s="38">
        <v>2</v>
      </c>
      <c r="G122" s="43" t="str">
        <f>VLOOKUP(F122,Key!$A$17:$B$21,2,FALSE)</f>
        <v>Road Vehicle</v>
      </c>
      <c r="H122" s="37">
        <v>4</v>
      </c>
      <c r="I122" s="44" t="str">
        <f>VLOOKUP(H122,Key!$A$2:$B$13,2,FALSE)</f>
        <v>Minibus</v>
      </c>
      <c r="J122" s="38" t="s">
        <v>168</v>
      </c>
      <c r="K122" s="38">
        <v>2</v>
      </c>
      <c r="L122" s="46" t="str">
        <f>VLOOKUP(K122,Key!$A$24:$B$29,2,FALSE)</f>
        <v>30-39</v>
      </c>
      <c r="M122" s="38" t="s">
        <v>170</v>
      </c>
      <c r="N122" s="33" t="s">
        <v>171</v>
      </c>
      <c r="O122" s="38" t="s">
        <v>166</v>
      </c>
      <c r="P122" s="40">
        <v>2</v>
      </c>
      <c r="Q122" s="35" t="str">
        <f>VLOOKUP(P122,Key!$E$2:$F$9,2,FALSE)</f>
        <v>Work</v>
      </c>
      <c r="R122" s="38" t="s">
        <v>191</v>
      </c>
      <c r="S122" s="33" t="s">
        <v>165</v>
      </c>
      <c r="T122" s="38" t="s">
        <v>166</v>
      </c>
      <c r="U122" s="33">
        <v>1</v>
      </c>
      <c r="V122" s="35" t="str">
        <f>VLOOKUP(U122,Key!$E$2:$F$9,2,FALSE)</f>
        <v>Home</v>
      </c>
      <c r="W122" s="35" t="str">
        <f t="shared" si="1"/>
        <v>Work-Home</v>
      </c>
      <c r="X122" s="33">
        <v>3000</v>
      </c>
      <c r="Y122" s="39">
        <v>38</v>
      </c>
      <c r="Z122" s="39">
        <v>2</v>
      </c>
      <c r="AA122" s="33">
        <v>6</v>
      </c>
      <c r="AB122" s="35" t="str">
        <f>VLOOKUP(AA122,Key!$C$20:$D$29,2,FALSE)</f>
        <v>Businessman</v>
      </c>
      <c r="AC122" s="33">
        <v>2</v>
      </c>
      <c r="AD122" s="35" t="str">
        <f>VLOOKUP(AC122,Key!$E$20:$F$24,2,FALSE)</f>
        <v>300,000-500,000</v>
      </c>
      <c r="AE122" s="33">
        <v>5</v>
      </c>
      <c r="AF122" s="39">
        <v>1</v>
      </c>
      <c r="AG122" s="39">
        <v>1</v>
      </c>
      <c r="AH122" s="39">
        <v>2</v>
      </c>
      <c r="AI122" s="39">
        <v>2</v>
      </c>
      <c r="AJ122" s="40" t="s">
        <v>100</v>
      </c>
      <c r="AK122" s="41">
        <v>500</v>
      </c>
      <c r="AL122" s="25"/>
      <c r="AM122" s="25"/>
    </row>
    <row r="123" spans="1:39" x14ac:dyDescent="0.2">
      <c r="B123" s="52">
        <v>43765</v>
      </c>
      <c r="C123" s="36">
        <v>0.70486111111111116</v>
      </c>
      <c r="D123" s="36"/>
      <c r="E123" s="36" t="s">
        <v>163</v>
      </c>
      <c r="F123" s="38">
        <v>2</v>
      </c>
      <c r="G123" s="43" t="str">
        <f>VLOOKUP(F123,Key!$A$17:$B$21,2,FALSE)</f>
        <v>Road Vehicle</v>
      </c>
      <c r="H123" s="37">
        <v>4</v>
      </c>
      <c r="I123" s="44" t="str">
        <f>VLOOKUP(H123,Key!$A$2:$B$13,2,FALSE)</f>
        <v>Minibus</v>
      </c>
      <c r="J123" s="38" t="s">
        <v>168</v>
      </c>
      <c r="K123" s="38">
        <v>2</v>
      </c>
      <c r="L123" s="46" t="str">
        <f>VLOOKUP(K123,Key!$A$24:$B$29,2,FALSE)</f>
        <v>30-39</v>
      </c>
      <c r="M123" s="38" t="s">
        <v>189</v>
      </c>
      <c r="N123" s="33" t="s">
        <v>165</v>
      </c>
      <c r="O123" s="38" t="s">
        <v>166</v>
      </c>
      <c r="P123" s="40">
        <v>2</v>
      </c>
      <c r="Q123" s="35" t="str">
        <f>VLOOKUP(P123,Key!$E$2:$F$9,2,FALSE)</f>
        <v>Work</v>
      </c>
      <c r="R123" s="38" t="s">
        <v>169</v>
      </c>
      <c r="S123" s="33" t="s">
        <v>165</v>
      </c>
      <c r="T123" s="38" t="s">
        <v>166</v>
      </c>
      <c r="U123" s="33">
        <v>1</v>
      </c>
      <c r="V123" s="35" t="str">
        <f>VLOOKUP(U123,Key!$E$2:$F$9,2,FALSE)</f>
        <v>Home</v>
      </c>
      <c r="W123" s="35" t="str">
        <f t="shared" si="1"/>
        <v>Work-Home</v>
      </c>
      <c r="X123" s="33">
        <v>2000</v>
      </c>
      <c r="Y123" s="39">
        <v>28</v>
      </c>
      <c r="Z123" s="39">
        <v>0.9</v>
      </c>
      <c r="AA123" s="33">
        <v>4</v>
      </c>
      <c r="AB123" s="35" t="str">
        <f>VLOOKUP(AA123,Key!$C$20:$D$29,2,FALSE)</f>
        <v>Office Worker</v>
      </c>
      <c r="AC123" s="33">
        <v>1</v>
      </c>
      <c r="AD123" s="35" t="str">
        <f>VLOOKUP(AC123,Key!$E$20:$F$24,2,FALSE)</f>
        <v>&lt;300,000</v>
      </c>
      <c r="AE123" s="33">
        <v>2</v>
      </c>
      <c r="AF123" s="39">
        <v>1</v>
      </c>
      <c r="AG123" s="39">
        <v>2</v>
      </c>
      <c r="AH123" s="39">
        <v>1</v>
      </c>
      <c r="AI123" s="39">
        <v>2</v>
      </c>
      <c r="AJ123" s="40" t="s">
        <v>100</v>
      </c>
      <c r="AK123" s="41">
        <v>500</v>
      </c>
      <c r="AL123" s="25"/>
      <c r="AM123" s="25"/>
    </row>
    <row r="124" spans="1:39" x14ac:dyDescent="0.2">
      <c r="B124" s="52">
        <v>43765</v>
      </c>
      <c r="C124" s="36">
        <v>0.78125</v>
      </c>
      <c r="D124" s="36"/>
      <c r="E124" s="36" t="s">
        <v>163</v>
      </c>
      <c r="F124" s="38">
        <v>2</v>
      </c>
      <c r="G124" s="43" t="str">
        <f>VLOOKUP(F124,Key!$A$17:$B$21,2,FALSE)</f>
        <v>Road Vehicle</v>
      </c>
      <c r="H124" s="37">
        <v>4</v>
      </c>
      <c r="I124" s="44" t="str">
        <f>VLOOKUP(H124,Key!$A$2:$B$13,2,FALSE)</f>
        <v>Minibus</v>
      </c>
      <c r="J124" s="38" t="s">
        <v>168</v>
      </c>
      <c r="K124" s="38">
        <v>2</v>
      </c>
      <c r="L124" s="46" t="str">
        <f>VLOOKUP(K124,Key!$A$24:$B$29,2,FALSE)</f>
        <v>30-39</v>
      </c>
      <c r="M124" s="38" t="s">
        <v>205</v>
      </c>
      <c r="N124" s="33" t="s">
        <v>165</v>
      </c>
      <c r="O124" s="38" t="s">
        <v>166</v>
      </c>
      <c r="P124" s="40">
        <v>2</v>
      </c>
      <c r="Q124" s="35" t="str">
        <f>VLOOKUP(P124,Key!$E$2:$F$9,2,FALSE)</f>
        <v>Work</v>
      </c>
      <c r="R124" s="38" t="s">
        <v>191</v>
      </c>
      <c r="S124" s="33" t="s">
        <v>165</v>
      </c>
      <c r="T124" s="38" t="s">
        <v>166</v>
      </c>
      <c r="U124" s="33">
        <v>1</v>
      </c>
      <c r="V124" s="35" t="str">
        <f>VLOOKUP(U124,Key!$E$2:$F$9,2,FALSE)</f>
        <v>Home</v>
      </c>
      <c r="W124" s="35" t="str">
        <f t="shared" si="1"/>
        <v>Work-Home</v>
      </c>
      <c r="X124" s="33">
        <v>2500</v>
      </c>
      <c r="Y124" s="39">
        <v>26</v>
      </c>
      <c r="Z124" s="39">
        <v>0.7</v>
      </c>
      <c r="AA124" s="33">
        <v>6</v>
      </c>
      <c r="AB124" s="35" t="str">
        <f>VLOOKUP(AA124,Key!$C$20:$D$29,2,FALSE)</f>
        <v>Businessman</v>
      </c>
      <c r="AC124" s="33">
        <v>4</v>
      </c>
      <c r="AD124" s="35" t="str">
        <f>VLOOKUP(AC124,Key!$E$20:$F$24,2,FALSE)</f>
        <v>750,000-1,000,000</v>
      </c>
      <c r="AE124" s="33">
        <v>1</v>
      </c>
      <c r="AF124" s="39">
        <v>1</v>
      </c>
      <c r="AG124" s="39">
        <v>1</v>
      </c>
      <c r="AH124" s="39">
        <v>1</v>
      </c>
      <c r="AI124" s="39">
        <v>1</v>
      </c>
      <c r="AJ124" s="40" t="s">
        <v>100</v>
      </c>
      <c r="AK124" s="41">
        <v>1000</v>
      </c>
      <c r="AL124" s="25"/>
      <c r="AM124" s="25"/>
    </row>
    <row r="125" spans="1:39" x14ac:dyDescent="0.2">
      <c r="B125" s="52">
        <v>43765</v>
      </c>
      <c r="C125" s="36">
        <v>0.79166666666666663</v>
      </c>
      <c r="D125" s="36"/>
      <c r="E125" s="36" t="s">
        <v>105</v>
      </c>
      <c r="F125" s="38">
        <v>2</v>
      </c>
      <c r="G125" s="43" t="str">
        <f>VLOOKUP(F125,Key!$A$17:$B$21,2,FALSE)</f>
        <v>Road Vehicle</v>
      </c>
      <c r="H125" s="37">
        <v>4</v>
      </c>
      <c r="I125" s="44" t="str">
        <f>VLOOKUP(H125,Key!$A$2:$B$13,2,FALSE)</f>
        <v>Minibus</v>
      </c>
      <c r="J125" s="38" t="s">
        <v>168</v>
      </c>
      <c r="K125" s="38">
        <v>2</v>
      </c>
      <c r="L125" s="46" t="str">
        <f>VLOOKUP(K125,Key!$A$24:$B$29,2,FALSE)</f>
        <v>30-39</v>
      </c>
      <c r="M125" s="38" t="s">
        <v>170</v>
      </c>
      <c r="N125" s="33" t="s">
        <v>171</v>
      </c>
      <c r="O125" s="38" t="s">
        <v>166</v>
      </c>
      <c r="P125" s="40">
        <v>2</v>
      </c>
      <c r="Q125" s="35" t="str">
        <f>VLOOKUP(P125,Key!$E$2:$F$9,2,FALSE)</f>
        <v>Work</v>
      </c>
      <c r="R125" s="38" t="s">
        <v>191</v>
      </c>
      <c r="S125" s="33" t="s">
        <v>165</v>
      </c>
      <c r="T125" s="38" t="s">
        <v>166</v>
      </c>
      <c r="U125" s="33">
        <v>1</v>
      </c>
      <c r="V125" s="35" t="str">
        <f>VLOOKUP(U125,Key!$E$2:$F$9,2,FALSE)</f>
        <v>Home</v>
      </c>
      <c r="W125" s="35" t="str">
        <f t="shared" si="1"/>
        <v>Work-Home</v>
      </c>
      <c r="X125" s="33">
        <v>40000</v>
      </c>
      <c r="Y125" s="39">
        <v>40</v>
      </c>
      <c r="Z125" s="39">
        <v>2</v>
      </c>
      <c r="AA125" s="33">
        <v>5</v>
      </c>
      <c r="AB125" s="35" t="str">
        <f>VLOOKUP(AA125,Key!$C$20:$D$29,2,FALSE)</f>
        <v>Professional</v>
      </c>
      <c r="AC125" s="33">
        <v>3</v>
      </c>
      <c r="AD125" s="35" t="str">
        <f>VLOOKUP(AC125,Key!$E$20:$F$24,2,FALSE)</f>
        <v>500,000-750,000</v>
      </c>
      <c r="AE125" s="33">
        <v>5</v>
      </c>
      <c r="AF125" s="39">
        <v>1</v>
      </c>
      <c r="AG125" s="39">
        <v>2</v>
      </c>
      <c r="AH125" s="39">
        <v>2</v>
      </c>
      <c r="AI125" s="39">
        <v>1</v>
      </c>
      <c r="AJ125" s="40" t="s">
        <v>100</v>
      </c>
      <c r="AK125" s="41">
        <v>1000</v>
      </c>
      <c r="AL125" s="25"/>
      <c r="AM125" s="25"/>
    </row>
    <row r="126" spans="1:39" x14ac:dyDescent="0.2">
      <c r="A126" s="10"/>
      <c r="B126" s="52">
        <v>43765</v>
      </c>
      <c r="C126" s="36">
        <v>0.63263888888888886</v>
      </c>
      <c r="D126" s="36"/>
      <c r="E126" s="36" t="s">
        <v>163</v>
      </c>
      <c r="F126" s="38">
        <v>2</v>
      </c>
      <c r="G126" s="43" t="str">
        <f>VLOOKUP(F126,Key!$A$17:$B$21,2,FALSE)</f>
        <v>Road Vehicle</v>
      </c>
      <c r="H126" s="37">
        <v>4</v>
      </c>
      <c r="I126" s="44" t="str">
        <f>VLOOKUP(H126,Key!$A$2:$B$13,2,FALSE)</f>
        <v>Minibus</v>
      </c>
      <c r="J126" s="38" t="s">
        <v>168</v>
      </c>
      <c r="K126" s="38">
        <v>2</v>
      </c>
      <c r="L126" s="46" t="str">
        <f>VLOOKUP(K126,Key!$A$24:$B$29,2,FALSE)</f>
        <v>30-39</v>
      </c>
      <c r="M126" s="38" t="s">
        <v>242</v>
      </c>
      <c r="N126" s="33" t="s">
        <v>165</v>
      </c>
      <c r="O126" s="38" t="s">
        <v>166</v>
      </c>
      <c r="P126" s="40">
        <v>6</v>
      </c>
      <c r="Q126" s="35" t="str">
        <f>VLOOKUP(P126,Key!$E$2:$F$9,2,FALSE)</f>
        <v>Leisure/Social</v>
      </c>
      <c r="R126" s="38" t="s">
        <v>188</v>
      </c>
      <c r="S126" s="33" t="s">
        <v>165</v>
      </c>
      <c r="T126" s="38" t="s">
        <v>166</v>
      </c>
      <c r="U126" s="33">
        <v>6</v>
      </c>
      <c r="V126" s="35" t="str">
        <f>VLOOKUP(U126,Key!$E$2:$F$9,2,FALSE)</f>
        <v>Leisure/Social</v>
      </c>
      <c r="W126" s="35" t="str">
        <f t="shared" si="1"/>
        <v>Leisure/Social-Leisure/Social</v>
      </c>
      <c r="X126" s="33">
        <v>4000</v>
      </c>
      <c r="Y126" s="39"/>
      <c r="Z126" s="39">
        <v>0.5</v>
      </c>
      <c r="AA126" s="33">
        <v>6</v>
      </c>
      <c r="AB126" s="35" t="str">
        <f>VLOOKUP(AA126,Key!$C$20:$D$29,2,FALSE)</f>
        <v>Businessman</v>
      </c>
      <c r="AC126" s="33">
        <v>2</v>
      </c>
      <c r="AD126" s="35" t="str">
        <f>VLOOKUP(AC126,Key!$E$20:$F$24,2,FALSE)</f>
        <v>300,000-500,000</v>
      </c>
      <c r="AE126" s="33">
        <v>5</v>
      </c>
      <c r="AF126" s="39">
        <v>4</v>
      </c>
      <c r="AG126" s="39">
        <v>1</v>
      </c>
      <c r="AH126" s="39">
        <v>2</v>
      </c>
      <c r="AI126" s="39">
        <v>3</v>
      </c>
      <c r="AJ126" s="40" t="s">
        <v>100</v>
      </c>
      <c r="AK126" s="41">
        <v>500</v>
      </c>
      <c r="AL126" s="25"/>
      <c r="AM126" s="25"/>
    </row>
    <row r="127" spans="1:39" x14ac:dyDescent="0.2">
      <c r="B127" s="52">
        <v>43765</v>
      </c>
      <c r="C127" s="36">
        <v>0.34583333333333338</v>
      </c>
      <c r="D127" s="36"/>
      <c r="E127" s="36" t="s">
        <v>163</v>
      </c>
      <c r="F127" s="38">
        <v>2</v>
      </c>
      <c r="G127" s="43" t="str">
        <f>VLOOKUP(F127,Key!$A$17:$B$21,2,FALSE)</f>
        <v>Road Vehicle</v>
      </c>
      <c r="H127" s="37">
        <v>4</v>
      </c>
      <c r="I127" s="44" t="str">
        <f>VLOOKUP(H127,Key!$A$2:$B$13,2,FALSE)</f>
        <v>Minibus</v>
      </c>
      <c r="J127" s="38" t="s">
        <v>168</v>
      </c>
      <c r="K127" s="38">
        <v>2</v>
      </c>
      <c r="L127" s="46" t="str">
        <f>VLOOKUP(K127,Key!$A$24:$B$29,2,FALSE)</f>
        <v>30-39</v>
      </c>
      <c r="M127" s="38" t="s">
        <v>164</v>
      </c>
      <c r="N127" s="33" t="s">
        <v>165</v>
      </c>
      <c r="O127" s="38" t="s">
        <v>166</v>
      </c>
      <c r="P127" s="40">
        <v>1</v>
      </c>
      <c r="Q127" s="35" t="str">
        <f>VLOOKUP(P127,Key!$E$2:$F$9,2,FALSE)</f>
        <v>Home</v>
      </c>
      <c r="R127" s="38" t="s">
        <v>170</v>
      </c>
      <c r="S127" s="33" t="s">
        <v>171</v>
      </c>
      <c r="T127" s="38" t="s">
        <v>166</v>
      </c>
      <c r="U127" s="33">
        <v>6</v>
      </c>
      <c r="V127" s="35" t="str">
        <f>VLOOKUP(U127,Key!$E$2:$F$9,2,FALSE)</f>
        <v>Leisure/Social</v>
      </c>
      <c r="W127" s="35" t="str">
        <f t="shared" si="1"/>
        <v>Home-Leisure/Social</v>
      </c>
      <c r="X127" s="33">
        <v>3000</v>
      </c>
      <c r="Y127" s="39"/>
      <c r="Z127" s="39">
        <v>1</v>
      </c>
      <c r="AA127" s="33">
        <v>4</v>
      </c>
      <c r="AB127" s="35" t="str">
        <f>VLOOKUP(AA127,Key!$C$20:$D$29,2,FALSE)</f>
        <v>Office Worker</v>
      </c>
      <c r="AC127" s="33">
        <v>2</v>
      </c>
      <c r="AD127" s="35" t="str">
        <f>VLOOKUP(AC127,Key!$E$20:$F$24,2,FALSE)</f>
        <v>300,000-500,000</v>
      </c>
      <c r="AE127" s="33">
        <v>2</v>
      </c>
      <c r="AF127" s="39">
        <v>3</v>
      </c>
      <c r="AG127" s="39">
        <v>4</v>
      </c>
      <c r="AH127" s="39">
        <v>1</v>
      </c>
      <c r="AI127" s="39">
        <v>5</v>
      </c>
      <c r="AJ127" s="40" t="s">
        <v>100</v>
      </c>
      <c r="AK127" s="41">
        <v>600</v>
      </c>
      <c r="AL127" s="25"/>
      <c r="AM127" s="25"/>
    </row>
    <row r="128" spans="1:39" x14ac:dyDescent="0.2">
      <c r="B128" s="52">
        <v>43765</v>
      </c>
      <c r="C128" s="36">
        <v>0.71458333333333324</v>
      </c>
      <c r="D128" s="36"/>
      <c r="E128" s="36" t="s">
        <v>163</v>
      </c>
      <c r="F128" s="38">
        <v>2</v>
      </c>
      <c r="G128" s="43" t="str">
        <f>VLOOKUP(F128,Key!$A$17:$B$21,2,FALSE)</f>
        <v>Road Vehicle</v>
      </c>
      <c r="H128" s="37">
        <v>4</v>
      </c>
      <c r="I128" s="44" t="str">
        <f>VLOOKUP(H128,Key!$A$2:$B$13,2,FALSE)</f>
        <v>Minibus</v>
      </c>
      <c r="J128" s="38" t="s">
        <v>168</v>
      </c>
      <c r="K128" s="38">
        <v>2</v>
      </c>
      <c r="L128" s="46" t="str">
        <f>VLOOKUP(K128,Key!$A$24:$B$29,2,FALSE)</f>
        <v>30-39</v>
      </c>
      <c r="M128" s="38" t="s">
        <v>253</v>
      </c>
      <c r="N128" s="33" t="s">
        <v>165</v>
      </c>
      <c r="O128" s="38" t="s">
        <v>166</v>
      </c>
      <c r="P128" s="40">
        <v>6</v>
      </c>
      <c r="Q128" s="35" t="str">
        <f>VLOOKUP(P128,Key!$E$2:$F$9,2,FALSE)</f>
        <v>Leisure/Social</v>
      </c>
      <c r="R128" s="38" t="s">
        <v>172</v>
      </c>
      <c r="S128" s="33" t="s">
        <v>171</v>
      </c>
      <c r="T128" s="38" t="s">
        <v>166</v>
      </c>
      <c r="U128" s="33">
        <v>1</v>
      </c>
      <c r="V128" s="35" t="str">
        <f>VLOOKUP(U128,Key!$E$2:$F$9,2,FALSE)</f>
        <v>Home</v>
      </c>
      <c r="W128" s="35" t="str">
        <f t="shared" si="1"/>
        <v>Leisure/Social-Home</v>
      </c>
      <c r="X128" s="33">
        <v>4000</v>
      </c>
      <c r="Y128" s="39"/>
      <c r="Z128" s="39">
        <v>2</v>
      </c>
      <c r="AA128" s="33">
        <v>4</v>
      </c>
      <c r="AB128" s="35" t="str">
        <f>VLOOKUP(AA128,Key!$C$20:$D$29,2,FALSE)</f>
        <v>Office Worker</v>
      </c>
      <c r="AC128" s="33">
        <v>3</v>
      </c>
      <c r="AD128" s="35" t="str">
        <f>VLOOKUP(AC128,Key!$E$20:$F$24,2,FALSE)</f>
        <v>500,000-750,000</v>
      </c>
      <c r="AE128" s="33">
        <v>5</v>
      </c>
      <c r="AF128" s="39">
        <v>1</v>
      </c>
      <c r="AG128" s="39">
        <v>3</v>
      </c>
      <c r="AH128" s="39">
        <v>4</v>
      </c>
      <c r="AI128" s="39">
        <v>2</v>
      </c>
      <c r="AJ128" s="40" t="s">
        <v>100</v>
      </c>
      <c r="AK128" s="41">
        <v>4000</v>
      </c>
      <c r="AL128" s="25"/>
      <c r="AM128" s="25"/>
    </row>
    <row r="129" spans="1:46" x14ac:dyDescent="0.2">
      <c r="B129" s="52">
        <v>43765</v>
      </c>
      <c r="C129" s="36">
        <v>0.53749999999999998</v>
      </c>
      <c r="D129" s="36"/>
      <c r="E129" s="36" t="s">
        <v>163</v>
      </c>
      <c r="F129" s="38">
        <v>2</v>
      </c>
      <c r="G129" s="43" t="str">
        <f>VLOOKUP(F129,Key!$A$17:$B$21,2,FALSE)</f>
        <v>Road Vehicle</v>
      </c>
      <c r="H129" s="37">
        <v>4</v>
      </c>
      <c r="I129" s="44" t="str">
        <f>VLOOKUP(H129,Key!$A$2:$B$13,2,FALSE)</f>
        <v>Minibus</v>
      </c>
      <c r="J129" s="38" t="s">
        <v>168</v>
      </c>
      <c r="K129" s="38">
        <v>2</v>
      </c>
      <c r="L129" s="46" t="str">
        <f>VLOOKUP(K129,Key!$A$24:$B$29,2,FALSE)</f>
        <v>30-39</v>
      </c>
      <c r="M129" s="38" t="s">
        <v>164</v>
      </c>
      <c r="N129" s="33" t="s">
        <v>165</v>
      </c>
      <c r="O129" s="38" t="s">
        <v>166</v>
      </c>
      <c r="P129" s="40">
        <v>1</v>
      </c>
      <c r="Q129" s="35" t="str">
        <f>VLOOKUP(P129,Key!$E$2:$F$9,2,FALSE)</f>
        <v>Home</v>
      </c>
      <c r="R129" s="38" t="s">
        <v>256</v>
      </c>
      <c r="S129" s="33" t="s">
        <v>165</v>
      </c>
      <c r="T129" s="38" t="s">
        <v>166</v>
      </c>
      <c r="U129" s="33">
        <v>6</v>
      </c>
      <c r="V129" s="35" t="str">
        <f>VLOOKUP(U129,Key!$E$2:$F$9,2,FALSE)</f>
        <v>Leisure/Social</v>
      </c>
      <c r="W129" s="35" t="str">
        <f t="shared" si="1"/>
        <v>Home-Leisure/Social</v>
      </c>
      <c r="X129" s="33">
        <v>3000</v>
      </c>
      <c r="Y129" s="39"/>
      <c r="Z129" s="39">
        <v>1</v>
      </c>
      <c r="AA129" s="33">
        <v>6</v>
      </c>
      <c r="AB129" s="35" t="str">
        <f>VLOOKUP(AA129,Key!$C$20:$D$29,2,FALSE)</f>
        <v>Businessman</v>
      </c>
      <c r="AC129" s="33">
        <v>1</v>
      </c>
      <c r="AD129" s="35" t="str">
        <f>VLOOKUP(AC129,Key!$E$20:$F$24,2,FALSE)</f>
        <v>&lt;300,000</v>
      </c>
      <c r="AE129" s="33">
        <v>3</v>
      </c>
      <c r="AF129" s="39">
        <v>4</v>
      </c>
      <c r="AG129" s="39">
        <v>5</v>
      </c>
      <c r="AH129" s="39">
        <v>1</v>
      </c>
      <c r="AI129" s="39">
        <v>2</v>
      </c>
      <c r="AJ129" s="40" t="s">
        <v>100</v>
      </c>
      <c r="AK129" s="41"/>
      <c r="AL129" s="25"/>
      <c r="AM129" s="25"/>
    </row>
    <row r="130" spans="1:46" x14ac:dyDescent="0.2">
      <c r="B130" s="52">
        <v>43765</v>
      </c>
      <c r="C130" s="36">
        <v>0.46458333333333335</v>
      </c>
      <c r="D130" s="36"/>
      <c r="E130" s="36" t="s">
        <v>163</v>
      </c>
      <c r="F130" s="38">
        <v>2</v>
      </c>
      <c r="G130" s="43" t="str">
        <f>VLOOKUP(F130,Key!$A$17:$B$21,2,FALSE)</f>
        <v>Road Vehicle</v>
      </c>
      <c r="H130" s="37">
        <v>4</v>
      </c>
      <c r="I130" s="44" t="str">
        <f>VLOOKUP(H130,Key!$A$2:$B$13,2,FALSE)</f>
        <v>Minibus</v>
      </c>
      <c r="J130" s="38" t="s">
        <v>168</v>
      </c>
      <c r="K130" s="38">
        <v>2</v>
      </c>
      <c r="L130" s="46" t="str">
        <f>VLOOKUP(K130,Key!$A$24:$B$29,2,FALSE)</f>
        <v>30-39</v>
      </c>
      <c r="M130" s="38" t="s">
        <v>258</v>
      </c>
      <c r="N130" s="33" t="s">
        <v>165</v>
      </c>
      <c r="O130" s="38" t="s">
        <v>166</v>
      </c>
      <c r="P130" s="40">
        <v>6</v>
      </c>
      <c r="Q130" s="35" t="str">
        <f>VLOOKUP(P130,Key!$E$2:$F$9,2,FALSE)</f>
        <v>Leisure/Social</v>
      </c>
      <c r="R130" s="38" t="s">
        <v>260</v>
      </c>
      <c r="S130" s="33" t="s">
        <v>165</v>
      </c>
      <c r="T130" s="38" t="s">
        <v>166</v>
      </c>
      <c r="U130" s="33">
        <v>1</v>
      </c>
      <c r="V130" s="35" t="str">
        <f>VLOOKUP(U130,Key!$E$2:$F$9,2,FALSE)</f>
        <v>Home</v>
      </c>
      <c r="W130" s="35" t="str">
        <f t="shared" si="1"/>
        <v>Leisure/Social-Home</v>
      </c>
      <c r="X130" s="33">
        <v>3000</v>
      </c>
      <c r="Y130" s="39">
        <v>12</v>
      </c>
      <c r="Z130" s="39">
        <v>0.7</v>
      </c>
      <c r="AA130" s="33">
        <v>4</v>
      </c>
      <c r="AB130" s="35" t="str">
        <f>VLOOKUP(AA130,Key!$C$20:$D$29,2,FALSE)</f>
        <v>Office Worker</v>
      </c>
      <c r="AC130" s="33">
        <v>2</v>
      </c>
      <c r="AD130" s="35" t="str">
        <f>VLOOKUP(AC130,Key!$E$20:$F$24,2,FALSE)</f>
        <v>300,000-500,000</v>
      </c>
      <c r="AE130" s="33">
        <v>3</v>
      </c>
      <c r="AF130" s="39">
        <v>2</v>
      </c>
      <c r="AG130" s="39">
        <v>1</v>
      </c>
      <c r="AH130" s="39">
        <v>4</v>
      </c>
      <c r="AI130" s="39">
        <v>5</v>
      </c>
      <c r="AJ130" s="40" t="s">
        <v>100</v>
      </c>
      <c r="AK130" s="41">
        <v>1000</v>
      </c>
      <c r="AL130" s="25"/>
      <c r="AM130" s="25"/>
    </row>
    <row r="131" spans="1:46" x14ac:dyDescent="0.2">
      <c r="B131" s="52">
        <v>43765</v>
      </c>
      <c r="C131" s="36">
        <v>0.59444444444444444</v>
      </c>
      <c r="D131" s="36"/>
      <c r="E131" s="36" t="s">
        <v>163</v>
      </c>
      <c r="F131" s="38">
        <v>2</v>
      </c>
      <c r="G131" s="43" t="str">
        <f>VLOOKUP(F131,Key!$A$17:$B$21,2,FALSE)</f>
        <v>Road Vehicle</v>
      </c>
      <c r="H131" s="37">
        <v>4</v>
      </c>
      <c r="I131" s="44" t="str">
        <f>VLOOKUP(H131,Key!$A$2:$B$13,2,FALSE)</f>
        <v>Minibus</v>
      </c>
      <c r="J131" s="38" t="s">
        <v>168</v>
      </c>
      <c r="K131" s="38">
        <v>2</v>
      </c>
      <c r="L131" s="46" t="str">
        <f>VLOOKUP(K131,Key!$A$24:$B$29,2,FALSE)</f>
        <v>30-39</v>
      </c>
      <c r="M131" s="38" t="s">
        <v>243</v>
      </c>
      <c r="N131" s="33" t="s">
        <v>165</v>
      </c>
      <c r="O131" s="38" t="s">
        <v>166</v>
      </c>
      <c r="P131" s="40">
        <v>8</v>
      </c>
      <c r="Q131" s="35" t="str">
        <f>VLOOKUP(P131,Key!$E$2:$F$9,2,FALSE)</f>
        <v>Others</v>
      </c>
      <c r="R131" s="38" t="s">
        <v>260</v>
      </c>
      <c r="S131" s="33" t="s">
        <v>165</v>
      </c>
      <c r="T131" s="38" t="s">
        <v>166</v>
      </c>
      <c r="U131" s="33">
        <v>1</v>
      </c>
      <c r="V131" s="35" t="str">
        <f>VLOOKUP(U131,Key!$E$2:$F$9,2,FALSE)</f>
        <v>Home</v>
      </c>
      <c r="W131" s="35" t="str">
        <f t="shared" si="1"/>
        <v>Others-Home</v>
      </c>
      <c r="X131" s="33">
        <v>2000</v>
      </c>
      <c r="Y131" s="39"/>
      <c r="Z131" s="39">
        <v>0.3</v>
      </c>
      <c r="AA131" s="33">
        <v>5</v>
      </c>
      <c r="AB131" s="35" t="str">
        <f>VLOOKUP(AA131,Key!$C$20:$D$29,2,FALSE)</f>
        <v>Professional</v>
      </c>
      <c r="AC131" s="33">
        <v>2</v>
      </c>
      <c r="AD131" s="35" t="str">
        <f>VLOOKUP(AC131,Key!$E$20:$F$24,2,FALSE)</f>
        <v>300,000-500,000</v>
      </c>
      <c r="AE131" s="33">
        <v>3</v>
      </c>
      <c r="AF131" s="39">
        <v>4</v>
      </c>
      <c r="AG131" s="39">
        <v>1</v>
      </c>
      <c r="AH131" s="39">
        <v>2</v>
      </c>
      <c r="AI131" s="39">
        <v>5</v>
      </c>
      <c r="AJ131" s="40" t="s">
        <v>100</v>
      </c>
      <c r="AK131" s="41">
        <v>1500</v>
      </c>
      <c r="AL131" s="25"/>
      <c r="AM131" s="25"/>
    </row>
    <row r="132" spans="1:46" x14ac:dyDescent="0.2">
      <c r="B132" s="52">
        <v>43765</v>
      </c>
      <c r="C132" s="36">
        <v>0.32013888888888892</v>
      </c>
      <c r="D132" s="36"/>
      <c r="E132" s="36" t="s">
        <v>163</v>
      </c>
      <c r="F132" s="38">
        <v>2</v>
      </c>
      <c r="G132" s="43" t="str">
        <f>VLOOKUP(F132,Key!$A$17:$B$21,2,FALSE)</f>
        <v>Road Vehicle</v>
      </c>
      <c r="H132" s="37">
        <v>4</v>
      </c>
      <c r="I132" s="44" t="str">
        <f>VLOOKUP(H132,Key!$A$2:$B$13,2,FALSE)</f>
        <v>Minibus</v>
      </c>
      <c r="J132" s="38" t="s">
        <v>168</v>
      </c>
      <c r="K132" s="38">
        <v>2</v>
      </c>
      <c r="L132" s="46" t="str">
        <f>VLOOKUP(K132,Key!$A$24:$B$29,2,FALSE)</f>
        <v>30-39</v>
      </c>
      <c r="M132" s="38" t="s">
        <v>254</v>
      </c>
      <c r="N132" s="33" t="s">
        <v>165</v>
      </c>
      <c r="O132" s="38" t="s">
        <v>166</v>
      </c>
      <c r="P132" s="40">
        <v>1</v>
      </c>
      <c r="Q132" s="35" t="str">
        <f>VLOOKUP(P132,Key!$E$2:$F$9,2,FALSE)</f>
        <v>Home</v>
      </c>
      <c r="R132" s="38" t="s">
        <v>170</v>
      </c>
      <c r="S132" s="33" t="s">
        <v>171</v>
      </c>
      <c r="T132" s="38" t="s">
        <v>166</v>
      </c>
      <c r="U132" s="33">
        <v>6</v>
      </c>
      <c r="V132" s="35" t="str">
        <f>VLOOKUP(U132,Key!$E$2:$F$9,2,FALSE)</f>
        <v>Leisure/Social</v>
      </c>
      <c r="W132" s="35" t="str">
        <f t="shared" si="1"/>
        <v>Home-Leisure/Social</v>
      </c>
      <c r="X132" s="33">
        <v>4000</v>
      </c>
      <c r="Y132" s="39">
        <v>46</v>
      </c>
      <c r="Z132" s="39">
        <v>1.5</v>
      </c>
      <c r="AA132" s="33">
        <v>6</v>
      </c>
      <c r="AB132" s="35" t="str">
        <f>VLOOKUP(AA132,Key!$C$20:$D$29,2,FALSE)</f>
        <v>Businessman</v>
      </c>
      <c r="AC132" s="33">
        <v>2</v>
      </c>
      <c r="AD132" s="35" t="str">
        <f>VLOOKUP(AC132,Key!$E$20:$F$24,2,FALSE)</f>
        <v>300,000-500,000</v>
      </c>
      <c r="AE132" s="33">
        <v>4</v>
      </c>
      <c r="AF132" s="39">
        <v>1</v>
      </c>
      <c r="AG132" s="39">
        <v>3</v>
      </c>
      <c r="AH132" s="39">
        <v>2</v>
      </c>
      <c r="AI132" s="39">
        <v>5</v>
      </c>
      <c r="AJ132" s="40" t="s">
        <v>100</v>
      </c>
      <c r="AK132" s="41">
        <v>2000</v>
      </c>
      <c r="AL132" s="25"/>
      <c r="AM132" s="25"/>
    </row>
    <row r="133" spans="1:46" x14ac:dyDescent="0.2">
      <c r="B133" s="52">
        <v>43765</v>
      </c>
      <c r="C133" s="36">
        <v>0.39444444444444443</v>
      </c>
      <c r="D133" s="36"/>
      <c r="E133" s="36" t="s">
        <v>105</v>
      </c>
      <c r="F133" s="38">
        <v>2</v>
      </c>
      <c r="G133" s="43" t="str">
        <f>VLOOKUP(F133,Key!$A$17:$B$21,2,FALSE)</f>
        <v>Road Vehicle</v>
      </c>
      <c r="H133" s="37">
        <v>4</v>
      </c>
      <c r="I133" s="44" t="str">
        <f>VLOOKUP(H133,Key!$A$2:$B$13,2,FALSE)</f>
        <v>Minibus</v>
      </c>
      <c r="J133" s="38" t="s">
        <v>168</v>
      </c>
      <c r="K133" s="38">
        <v>2</v>
      </c>
      <c r="L133" s="46" t="str">
        <f>VLOOKUP(K133,Key!$A$24:$B$29,2,FALSE)</f>
        <v>30-39</v>
      </c>
      <c r="M133" s="38" t="s">
        <v>164</v>
      </c>
      <c r="N133" s="33" t="s">
        <v>165</v>
      </c>
      <c r="O133" s="38" t="s">
        <v>166</v>
      </c>
      <c r="P133" s="40">
        <v>2</v>
      </c>
      <c r="Q133" s="35" t="str">
        <f>VLOOKUP(P133,Key!$E$2:$F$9,2,FALSE)</f>
        <v>Work</v>
      </c>
      <c r="R133" s="38" t="s">
        <v>260</v>
      </c>
      <c r="S133" s="33" t="s">
        <v>165</v>
      </c>
      <c r="T133" s="38" t="s">
        <v>166</v>
      </c>
      <c r="U133" s="33">
        <v>6</v>
      </c>
      <c r="V133" s="35" t="str">
        <f>VLOOKUP(U133,Key!$E$2:$F$9,2,FALSE)</f>
        <v>Leisure/Social</v>
      </c>
      <c r="W133" s="35" t="str">
        <f t="shared" si="1"/>
        <v>Work-Leisure/Social</v>
      </c>
      <c r="X133" s="33">
        <v>70000</v>
      </c>
      <c r="Y133" s="39"/>
      <c r="Z133" s="39">
        <v>1</v>
      </c>
      <c r="AA133" s="33">
        <v>2</v>
      </c>
      <c r="AB133" s="35" t="str">
        <f>VLOOKUP(AA133,Key!$C$20:$D$29,2,FALSE)</f>
        <v>Manual Labour</v>
      </c>
      <c r="AC133" s="33">
        <v>2</v>
      </c>
      <c r="AD133" s="35" t="str">
        <f>VLOOKUP(AC133,Key!$E$20:$F$24,2,FALSE)</f>
        <v>300,000-500,000</v>
      </c>
      <c r="AE133" s="33">
        <v>1</v>
      </c>
      <c r="AF133" s="39">
        <v>2</v>
      </c>
      <c r="AG133" s="39">
        <v>3</v>
      </c>
      <c r="AH133" s="39">
        <v>4</v>
      </c>
      <c r="AI133" s="39">
        <v>5</v>
      </c>
      <c r="AJ133" s="40" t="s">
        <v>100</v>
      </c>
      <c r="AK133" s="41"/>
      <c r="AL133" s="25"/>
      <c r="AM133" s="25"/>
    </row>
    <row r="134" spans="1:46" x14ac:dyDescent="0.2">
      <c r="B134" s="52">
        <v>43765</v>
      </c>
      <c r="C134" s="36">
        <v>0.40625</v>
      </c>
      <c r="D134" s="36"/>
      <c r="E134" s="36" t="s">
        <v>163</v>
      </c>
      <c r="F134" s="38">
        <v>2</v>
      </c>
      <c r="G134" s="43" t="str">
        <f>VLOOKUP(F134,Key!$A$17:$B$21,2,FALSE)</f>
        <v>Road Vehicle</v>
      </c>
      <c r="H134" s="37">
        <v>4</v>
      </c>
      <c r="I134" s="44" t="str">
        <f>VLOOKUP(H134,Key!$A$2:$B$13,2,FALSE)</f>
        <v>Minibus</v>
      </c>
      <c r="J134" s="38" t="s">
        <v>168</v>
      </c>
      <c r="K134" s="38">
        <v>2</v>
      </c>
      <c r="L134" s="46" t="str">
        <f>VLOOKUP(K134,Key!$A$24:$B$29,2,FALSE)</f>
        <v>30-39</v>
      </c>
      <c r="M134" s="38" t="s">
        <v>161</v>
      </c>
      <c r="N134" s="33" t="s">
        <v>165</v>
      </c>
      <c r="O134" s="38" t="s">
        <v>166</v>
      </c>
      <c r="P134" s="40">
        <v>1</v>
      </c>
      <c r="Q134" s="35" t="str">
        <f>VLOOKUP(P134,Key!$E$2:$F$9,2,FALSE)</f>
        <v>Home</v>
      </c>
      <c r="R134" s="38" t="s">
        <v>208</v>
      </c>
      <c r="S134" s="33" t="s">
        <v>165</v>
      </c>
      <c r="T134" s="38" t="s">
        <v>166</v>
      </c>
      <c r="U134" s="33">
        <v>2</v>
      </c>
      <c r="V134" s="35" t="str">
        <f>VLOOKUP(U134,Key!$E$2:$F$9,2,FALSE)</f>
        <v>Work</v>
      </c>
      <c r="W134" s="35" t="str">
        <f t="shared" si="1"/>
        <v>Home-Work</v>
      </c>
      <c r="X134" s="33">
        <v>15000</v>
      </c>
      <c r="Y134" s="39">
        <v>18</v>
      </c>
      <c r="Z134" s="39">
        <v>0.1</v>
      </c>
      <c r="AA134" s="33">
        <v>2</v>
      </c>
      <c r="AB134" s="35" t="str">
        <f>VLOOKUP(AA134,Key!$C$20:$D$29,2,FALSE)</f>
        <v>Manual Labour</v>
      </c>
      <c r="AC134" s="33">
        <v>1</v>
      </c>
      <c r="AD134" s="35" t="str">
        <f>VLOOKUP(AC134,Key!$E$20:$F$24,2,FALSE)</f>
        <v>&lt;300,000</v>
      </c>
      <c r="AE134" s="33">
        <v>3</v>
      </c>
      <c r="AF134" s="39">
        <v>1</v>
      </c>
      <c r="AG134" s="39">
        <v>4</v>
      </c>
      <c r="AH134" s="39">
        <v>2</v>
      </c>
      <c r="AI134" s="39">
        <v>5</v>
      </c>
      <c r="AJ134" s="40" t="s">
        <v>100</v>
      </c>
      <c r="AK134" s="41">
        <v>1000</v>
      </c>
      <c r="AL134" s="25"/>
      <c r="AM134" s="25"/>
    </row>
    <row r="135" spans="1:46" x14ac:dyDescent="0.2">
      <c r="B135" s="52">
        <v>43765</v>
      </c>
      <c r="C135" s="36">
        <v>0.4291666666666667</v>
      </c>
      <c r="D135" s="36"/>
      <c r="E135" s="36" t="s">
        <v>105</v>
      </c>
      <c r="F135" s="38">
        <v>2</v>
      </c>
      <c r="G135" s="43" t="str">
        <f>VLOOKUP(F135,Key!$A$17:$B$21,2,FALSE)</f>
        <v>Road Vehicle</v>
      </c>
      <c r="H135" s="37">
        <v>4</v>
      </c>
      <c r="I135" s="44" t="str">
        <f>VLOOKUP(H135,Key!$A$2:$B$13,2,FALSE)</f>
        <v>Minibus</v>
      </c>
      <c r="J135" s="38" t="s">
        <v>168</v>
      </c>
      <c r="K135" s="38">
        <v>2</v>
      </c>
      <c r="L135" s="46" t="str">
        <f>VLOOKUP(K135,Key!$A$24:$B$29,2,FALSE)</f>
        <v>30-39</v>
      </c>
      <c r="M135" s="38" t="s">
        <v>247</v>
      </c>
      <c r="N135" s="33" t="s">
        <v>165</v>
      </c>
      <c r="O135" s="38" t="s">
        <v>166</v>
      </c>
      <c r="P135" s="40">
        <v>1</v>
      </c>
      <c r="Q135" s="35" t="str">
        <f>VLOOKUP(P135,Key!$E$2:$F$9,2,FALSE)</f>
        <v>Home</v>
      </c>
      <c r="R135" s="38" t="s">
        <v>263</v>
      </c>
      <c r="S135" s="33" t="s">
        <v>165</v>
      </c>
      <c r="T135" s="38" t="s">
        <v>166</v>
      </c>
      <c r="U135" s="33">
        <v>8</v>
      </c>
      <c r="V135" s="35" t="str">
        <f>VLOOKUP(U135,Key!$E$2:$F$9,2,FALSE)</f>
        <v>Others</v>
      </c>
      <c r="W135" s="35" t="str">
        <f t="shared" si="1"/>
        <v>Home-Others</v>
      </c>
      <c r="X135" s="33">
        <v>2000</v>
      </c>
      <c r="Y135" s="39">
        <v>20</v>
      </c>
      <c r="Z135" s="39">
        <v>0.3</v>
      </c>
      <c r="AA135" s="33">
        <v>2</v>
      </c>
      <c r="AB135" s="35" t="str">
        <f>VLOOKUP(AA135,Key!$C$20:$D$29,2,FALSE)</f>
        <v>Manual Labour</v>
      </c>
      <c r="AC135" s="33">
        <v>1</v>
      </c>
      <c r="AD135" s="35" t="str">
        <f>VLOOKUP(AC135,Key!$E$20:$F$24,2,FALSE)</f>
        <v>&lt;300,000</v>
      </c>
      <c r="AE135" s="33">
        <v>5</v>
      </c>
      <c r="AF135" s="39">
        <v>1</v>
      </c>
      <c r="AG135" s="39">
        <v>3</v>
      </c>
      <c r="AH135" s="39">
        <v>2</v>
      </c>
      <c r="AI135" s="39">
        <v>4</v>
      </c>
      <c r="AJ135" s="40" t="s">
        <v>100</v>
      </c>
      <c r="AK135" s="41">
        <v>1000</v>
      </c>
      <c r="AL135" s="25"/>
      <c r="AM135" s="25"/>
    </row>
    <row r="136" spans="1:46" x14ac:dyDescent="0.2">
      <c r="B136" s="52">
        <v>43765</v>
      </c>
      <c r="C136" s="36">
        <v>0.4861111111111111</v>
      </c>
      <c r="D136" s="36"/>
      <c r="E136" s="36" t="s">
        <v>163</v>
      </c>
      <c r="F136" s="38">
        <v>2</v>
      </c>
      <c r="G136" s="43" t="str">
        <f>VLOOKUP(F136,Key!$A$17:$B$21,2,FALSE)</f>
        <v>Road Vehicle</v>
      </c>
      <c r="H136" s="37">
        <v>4</v>
      </c>
      <c r="I136" s="44" t="str">
        <f>VLOOKUP(H136,Key!$A$2:$B$13,2,FALSE)</f>
        <v>Minibus</v>
      </c>
      <c r="J136" s="38" t="s">
        <v>168</v>
      </c>
      <c r="K136" s="38">
        <v>2</v>
      </c>
      <c r="L136" s="46" t="str">
        <f>VLOOKUP(K136,Key!$A$24:$B$29,2,FALSE)</f>
        <v>30-39</v>
      </c>
      <c r="M136" s="38" t="s">
        <v>241</v>
      </c>
      <c r="N136" s="33" t="s">
        <v>165</v>
      </c>
      <c r="O136" s="38" t="s">
        <v>166</v>
      </c>
      <c r="P136" s="40">
        <v>1</v>
      </c>
      <c r="Q136" s="35" t="str">
        <f>VLOOKUP(P136,Key!$E$2:$F$9,2,FALSE)</f>
        <v>Home</v>
      </c>
      <c r="R136" s="38" t="s">
        <v>263</v>
      </c>
      <c r="S136" s="33" t="s">
        <v>165</v>
      </c>
      <c r="T136" s="38" t="s">
        <v>166</v>
      </c>
      <c r="U136" s="33">
        <v>2</v>
      </c>
      <c r="V136" s="35" t="str">
        <f>VLOOKUP(U136,Key!$E$2:$F$9,2,FALSE)</f>
        <v>Work</v>
      </c>
      <c r="W136" s="35" t="str">
        <f t="shared" ref="W136:W199" si="2">Q136&amp;"-"&amp;V136</f>
        <v>Home-Work</v>
      </c>
      <c r="X136" s="33">
        <v>2000</v>
      </c>
      <c r="Y136" s="39">
        <v>28</v>
      </c>
      <c r="Z136" s="39">
        <v>0.1</v>
      </c>
      <c r="AA136" s="33">
        <v>2</v>
      </c>
      <c r="AB136" s="35" t="str">
        <f>VLOOKUP(AA136,Key!$C$20:$D$29,2,FALSE)</f>
        <v>Manual Labour</v>
      </c>
      <c r="AC136" s="33">
        <v>1</v>
      </c>
      <c r="AD136" s="35" t="str">
        <f>VLOOKUP(AC136,Key!$E$20:$F$24,2,FALSE)</f>
        <v>&lt;300,000</v>
      </c>
      <c r="AE136" s="33">
        <v>1</v>
      </c>
      <c r="AF136" s="39">
        <v>2</v>
      </c>
      <c r="AG136" s="39">
        <v>5</v>
      </c>
      <c r="AH136" s="39">
        <v>3</v>
      </c>
      <c r="AI136" s="39">
        <v>4</v>
      </c>
      <c r="AJ136" s="40" t="s">
        <v>100</v>
      </c>
      <c r="AK136" s="41"/>
      <c r="AL136" s="25"/>
      <c r="AM136" s="25"/>
    </row>
    <row r="137" spans="1:46" x14ac:dyDescent="0.2">
      <c r="B137" s="52">
        <v>43765</v>
      </c>
      <c r="C137" s="36">
        <v>0.47569444444444442</v>
      </c>
      <c r="D137" s="36"/>
      <c r="E137" s="36" t="s">
        <v>105</v>
      </c>
      <c r="F137" s="38">
        <v>2</v>
      </c>
      <c r="G137" s="43" t="str">
        <f>VLOOKUP(F137,Key!$A$17:$B$21,2,FALSE)</f>
        <v>Road Vehicle</v>
      </c>
      <c r="H137" s="37">
        <v>4</v>
      </c>
      <c r="I137" s="44" t="str">
        <f>VLOOKUP(H137,Key!$A$2:$B$13,2,FALSE)</f>
        <v>Minibus</v>
      </c>
      <c r="J137" s="38" t="s">
        <v>168</v>
      </c>
      <c r="K137" s="38">
        <v>2</v>
      </c>
      <c r="L137" s="46" t="str">
        <f>VLOOKUP(K137,Key!$A$24:$B$29,2,FALSE)</f>
        <v>30-39</v>
      </c>
      <c r="M137" s="38" t="s">
        <v>164</v>
      </c>
      <c r="N137" s="33" t="s">
        <v>165</v>
      </c>
      <c r="O137" s="38" t="s">
        <v>166</v>
      </c>
      <c r="P137" s="40">
        <v>2</v>
      </c>
      <c r="Q137" s="35" t="str">
        <f>VLOOKUP(P137,Key!$E$2:$F$9,2,FALSE)</f>
        <v>Work</v>
      </c>
      <c r="R137" s="38" t="s">
        <v>267</v>
      </c>
      <c r="S137" s="33" t="s">
        <v>171</v>
      </c>
      <c r="T137" s="38" t="s">
        <v>166</v>
      </c>
      <c r="U137" s="33">
        <v>2</v>
      </c>
      <c r="V137" s="35" t="str">
        <f>VLOOKUP(U137,Key!$E$2:$F$9,2,FALSE)</f>
        <v>Work</v>
      </c>
      <c r="W137" s="35" t="str">
        <f t="shared" si="2"/>
        <v>Work-Work</v>
      </c>
      <c r="X137" s="33">
        <v>35000</v>
      </c>
      <c r="Y137" s="39">
        <v>38</v>
      </c>
      <c r="Z137" s="39">
        <v>1</v>
      </c>
      <c r="AA137" s="33">
        <v>2</v>
      </c>
      <c r="AB137" s="35" t="str">
        <f>VLOOKUP(AA137,Key!$C$20:$D$29,2,FALSE)</f>
        <v>Manual Labour</v>
      </c>
      <c r="AC137" s="33">
        <v>1</v>
      </c>
      <c r="AD137" s="35" t="str">
        <f>VLOOKUP(AC137,Key!$E$20:$F$24,2,FALSE)</f>
        <v>&lt;300,000</v>
      </c>
      <c r="AE137" s="33">
        <v>5</v>
      </c>
      <c r="AF137" s="39">
        <v>3</v>
      </c>
      <c r="AG137" s="39">
        <v>4</v>
      </c>
      <c r="AH137" s="39">
        <v>2</v>
      </c>
      <c r="AI137" s="39">
        <v>1</v>
      </c>
      <c r="AJ137" s="40" t="s">
        <v>100</v>
      </c>
      <c r="AK137" s="41">
        <v>1000</v>
      </c>
      <c r="AL137" s="25"/>
      <c r="AM137" s="25"/>
    </row>
    <row r="138" spans="1:46" x14ac:dyDescent="0.2">
      <c r="B138" s="52">
        <v>43765</v>
      </c>
      <c r="C138" s="36">
        <v>0.51527777777777783</v>
      </c>
      <c r="D138" s="36"/>
      <c r="E138" s="36" t="s">
        <v>163</v>
      </c>
      <c r="F138" s="38">
        <v>2</v>
      </c>
      <c r="G138" s="43" t="str">
        <f>VLOOKUP(F138,Key!$A$17:$B$21,2,FALSE)</f>
        <v>Road Vehicle</v>
      </c>
      <c r="H138" s="37">
        <v>4</v>
      </c>
      <c r="I138" s="44" t="str">
        <f>VLOOKUP(H138,Key!$A$2:$B$13,2,FALSE)</f>
        <v>Minibus</v>
      </c>
      <c r="J138" s="38" t="s">
        <v>168</v>
      </c>
      <c r="K138" s="38">
        <v>2</v>
      </c>
      <c r="L138" s="46" t="str">
        <f>VLOOKUP(K138,Key!$A$24:$B$29,2,FALSE)</f>
        <v>30-39</v>
      </c>
      <c r="M138" s="38" t="s">
        <v>269</v>
      </c>
      <c r="N138" s="33" t="s">
        <v>165</v>
      </c>
      <c r="O138" s="38" t="s">
        <v>166</v>
      </c>
      <c r="P138" s="40">
        <v>1</v>
      </c>
      <c r="Q138" s="35" t="str">
        <f>VLOOKUP(P138,Key!$E$2:$F$9,2,FALSE)</f>
        <v>Home</v>
      </c>
      <c r="R138" s="38" t="s">
        <v>267</v>
      </c>
      <c r="S138" s="33" t="s">
        <v>171</v>
      </c>
      <c r="T138" s="38" t="s">
        <v>166</v>
      </c>
      <c r="U138" s="33">
        <v>4</v>
      </c>
      <c r="V138" s="35" t="str">
        <f>VLOOKUP(U138,Key!$E$2:$F$9,2,FALSE)</f>
        <v>Commercial</v>
      </c>
      <c r="W138" s="35" t="str">
        <f t="shared" si="2"/>
        <v>Home-Commercial</v>
      </c>
      <c r="X138" s="33">
        <v>4000</v>
      </c>
      <c r="Y138" s="39">
        <v>46</v>
      </c>
      <c r="Z138" s="39">
        <v>1</v>
      </c>
      <c r="AA138" s="33">
        <v>4</v>
      </c>
      <c r="AB138" s="35" t="str">
        <f>VLOOKUP(AA138,Key!$C$20:$D$29,2,FALSE)</f>
        <v>Office Worker</v>
      </c>
      <c r="AC138" s="33">
        <v>1</v>
      </c>
      <c r="AD138" s="35" t="str">
        <f>VLOOKUP(AC138,Key!$E$20:$F$24,2,FALSE)</f>
        <v>&lt;300,000</v>
      </c>
      <c r="AE138" s="33">
        <v>1</v>
      </c>
      <c r="AF138" s="39">
        <v>2</v>
      </c>
      <c r="AG138" s="39">
        <v>5</v>
      </c>
      <c r="AH138" s="39">
        <v>3</v>
      </c>
      <c r="AI138" s="39">
        <v>4</v>
      </c>
      <c r="AJ138" s="40" t="s">
        <v>100</v>
      </c>
      <c r="AK138" s="41">
        <v>1000</v>
      </c>
      <c r="AL138" s="25"/>
      <c r="AM138" s="25"/>
    </row>
    <row r="139" spans="1:46" x14ac:dyDescent="0.2">
      <c r="B139" s="52">
        <v>43765</v>
      </c>
      <c r="C139" s="36">
        <v>0.52152777777777781</v>
      </c>
      <c r="D139" s="36"/>
      <c r="E139" s="36" t="s">
        <v>163</v>
      </c>
      <c r="F139" s="38">
        <v>2</v>
      </c>
      <c r="G139" s="43" t="str">
        <f>VLOOKUP(F139,Key!$A$17:$B$21,2,FALSE)</f>
        <v>Road Vehicle</v>
      </c>
      <c r="H139" s="37">
        <v>4</v>
      </c>
      <c r="I139" s="44" t="str">
        <f>VLOOKUP(H139,Key!$A$2:$B$13,2,FALSE)</f>
        <v>Minibus</v>
      </c>
      <c r="J139" s="38" t="s">
        <v>168</v>
      </c>
      <c r="K139" s="38">
        <v>2</v>
      </c>
      <c r="L139" s="46" t="str">
        <f>VLOOKUP(K139,Key!$A$24:$B$29,2,FALSE)</f>
        <v>30-39</v>
      </c>
      <c r="M139" s="38" t="s">
        <v>269</v>
      </c>
      <c r="N139" s="33" t="s">
        <v>165</v>
      </c>
      <c r="O139" s="38" t="s">
        <v>166</v>
      </c>
      <c r="P139" s="40">
        <v>1</v>
      </c>
      <c r="Q139" s="35" t="str">
        <f>VLOOKUP(P139,Key!$E$2:$F$9,2,FALSE)</f>
        <v>Home</v>
      </c>
      <c r="R139" s="38" t="s">
        <v>170</v>
      </c>
      <c r="S139" s="33" t="s">
        <v>171</v>
      </c>
      <c r="T139" s="38" t="s">
        <v>166</v>
      </c>
      <c r="U139" s="33">
        <v>4</v>
      </c>
      <c r="V139" s="35" t="str">
        <f>VLOOKUP(U139,Key!$E$2:$F$9,2,FALSE)</f>
        <v>Commercial</v>
      </c>
      <c r="W139" s="35" t="str">
        <f t="shared" si="2"/>
        <v>Home-Commercial</v>
      </c>
      <c r="X139" s="33">
        <v>4000</v>
      </c>
      <c r="Y139" s="39">
        <v>36</v>
      </c>
      <c r="Z139" s="39">
        <v>1</v>
      </c>
      <c r="AA139" s="33">
        <v>6</v>
      </c>
      <c r="AB139" s="35" t="str">
        <f>VLOOKUP(AA139,Key!$C$20:$D$29,2,FALSE)</f>
        <v>Businessman</v>
      </c>
      <c r="AC139" s="33">
        <v>2</v>
      </c>
      <c r="AD139" s="35" t="str">
        <f>VLOOKUP(AC139,Key!$E$20:$F$24,2,FALSE)</f>
        <v>300,000-500,000</v>
      </c>
      <c r="AE139" s="33">
        <v>1</v>
      </c>
      <c r="AF139" s="39">
        <v>3</v>
      </c>
      <c r="AG139" s="39">
        <v>4</v>
      </c>
      <c r="AH139" s="39">
        <v>2</v>
      </c>
      <c r="AI139" s="39">
        <v>5</v>
      </c>
      <c r="AJ139" s="40" t="s">
        <v>100</v>
      </c>
      <c r="AK139" s="41">
        <v>1000</v>
      </c>
      <c r="AL139" s="25"/>
      <c r="AM139" s="25"/>
    </row>
    <row r="140" spans="1:46" x14ac:dyDescent="0.2">
      <c r="B140" s="52">
        <v>43765</v>
      </c>
      <c r="C140" s="36">
        <v>0.59722222222222221</v>
      </c>
      <c r="D140" s="36"/>
      <c r="E140" s="36" t="s">
        <v>163</v>
      </c>
      <c r="F140" s="38">
        <v>2</v>
      </c>
      <c r="G140" s="43" t="str">
        <f>VLOOKUP(F140,Key!$A$17:$B$21,2,FALSE)</f>
        <v>Road Vehicle</v>
      </c>
      <c r="H140" s="37">
        <v>4</v>
      </c>
      <c r="I140" s="44" t="str">
        <f>VLOOKUP(H140,Key!$A$2:$B$13,2,FALSE)</f>
        <v>Minibus</v>
      </c>
      <c r="J140" s="38" t="s">
        <v>168</v>
      </c>
      <c r="K140" s="38">
        <v>2</v>
      </c>
      <c r="L140" s="46" t="str">
        <f>VLOOKUP(K140,Key!$A$24:$B$29,2,FALSE)</f>
        <v>30-39</v>
      </c>
      <c r="M140" s="38" t="s">
        <v>276</v>
      </c>
      <c r="N140" s="33" t="s">
        <v>165</v>
      </c>
      <c r="O140" s="38" t="s">
        <v>166</v>
      </c>
      <c r="P140" s="40">
        <v>1</v>
      </c>
      <c r="Q140" s="35" t="str">
        <f>VLOOKUP(P140,Key!$E$2:$F$9,2,FALSE)</f>
        <v>Home</v>
      </c>
      <c r="R140" s="38" t="s">
        <v>275</v>
      </c>
      <c r="S140" s="33" t="s">
        <v>165</v>
      </c>
      <c r="T140" s="38" t="s">
        <v>166</v>
      </c>
      <c r="U140" s="33">
        <v>6</v>
      </c>
      <c r="V140" s="35" t="str">
        <f>VLOOKUP(U140,Key!$E$2:$F$9,2,FALSE)</f>
        <v>Leisure/Social</v>
      </c>
      <c r="W140" s="35" t="str">
        <f t="shared" si="2"/>
        <v>Home-Leisure/Social</v>
      </c>
      <c r="X140" s="33">
        <v>15000</v>
      </c>
      <c r="Y140" s="39">
        <v>18</v>
      </c>
      <c r="Z140" s="39">
        <v>0.1</v>
      </c>
      <c r="AA140" s="33">
        <v>6</v>
      </c>
      <c r="AB140" s="35" t="str">
        <f>VLOOKUP(AA140,Key!$C$20:$D$29,2,FALSE)</f>
        <v>Businessman</v>
      </c>
      <c r="AC140" s="33">
        <v>3</v>
      </c>
      <c r="AD140" s="35" t="str">
        <f>VLOOKUP(AC140,Key!$E$20:$F$24,2,FALSE)</f>
        <v>500,000-750,000</v>
      </c>
      <c r="AE140" s="33">
        <v>2</v>
      </c>
      <c r="AF140" s="39">
        <v>1</v>
      </c>
      <c r="AG140" s="39">
        <v>5</v>
      </c>
      <c r="AH140" s="39">
        <v>3</v>
      </c>
      <c r="AI140" s="39">
        <v>4</v>
      </c>
      <c r="AJ140" s="40" t="s">
        <v>100</v>
      </c>
      <c r="AK140" s="41">
        <v>1000</v>
      </c>
      <c r="AL140" s="25"/>
      <c r="AM140" s="25"/>
    </row>
    <row r="141" spans="1:46" x14ac:dyDescent="0.2">
      <c r="A141" s="19"/>
      <c r="B141" s="52">
        <v>43765</v>
      </c>
      <c r="C141" s="36">
        <v>0.30486111111111108</v>
      </c>
      <c r="D141" s="36"/>
      <c r="E141" s="36" t="s">
        <v>163</v>
      </c>
      <c r="F141" s="38">
        <v>2</v>
      </c>
      <c r="G141" s="43" t="str">
        <f>VLOOKUP(F141,Key!$A$17:$B$21,2,FALSE)</f>
        <v>Road Vehicle</v>
      </c>
      <c r="H141" s="37">
        <v>4</v>
      </c>
      <c r="I141" s="44" t="str">
        <f>VLOOKUP(H141,Key!$A$2:$B$13,2,FALSE)</f>
        <v>Minibus</v>
      </c>
      <c r="J141" s="38" t="s">
        <v>117</v>
      </c>
      <c r="K141" s="38">
        <v>2</v>
      </c>
      <c r="L141" s="46" t="str">
        <f>VLOOKUP(K141,Key!$A$24:$B$29,2,FALSE)</f>
        <v>30-39</v>
      </c>
      <c r="M141" s="45" t="s">
        <v>164</v>
      </c>
      <c r="N141" s="33" t="s">
        <v>165</v>
      </c>
      <c r="O141" s="38" t="s">
        <v>166</v>
      </c>
      <c r="P141" s="40">
        <v>1</v>
      </c>
      <c r="Q141" s="35" t="str">
        <f>VLOOKUP(P141,Key!$E$2:$F$9,2,FALSE)</f>
        <v>Home</v>
      </c>
      <c r="R141" s="38" t="s">
        <v>167</v>
      </c>
      <c r="S141" s="33" t="s">
        <v>165</v>
      </c>
      <c r="T141" s="38" t="s">
        <v>166</v>
      </c>
      <c r="U141" s="33">
        <v>2</v>
      </c>
      <c r="V141" s="35" t="str">
        <f>VLOOKUP(U141,Key!$E$2:$F$9,2,FALSE)</f>
        <v>Work</v>
      </c>
      <c r="W141" s="35" t="str">
        <f t="shared" si="2"/>
        <v>Home-Work</v>
      </c>
      <c r="X141" s="48">
        <v>2500</v>
      </c>
      <c r="Y141" s="39">
        <v>30</v>
      </c>
      <c r="Z141" s="39">
        <v>0.8</v>
      </c>
      <c r="AA141" s="33">
        <v>6</v>
      </c>
      <c r="AB141" s="35" t="str">
        <f>VLOOKUP(AA141,Key!$C$20:$D$29,2,FALSE)</f>
        <v>Businessman</v>
      </c>
      <c r="AC141" s="33">
        <v>1</v>
      </c>
      <c r="AD141" s="35" t="str">
        <f>VLOOKUP(AC141,Key!$E$20:$F$24,2,FALSE)</f>
        <v>&lt;300,000</v>
      </c>
      <c r="AE141" s="33">
        <v>2</v>
      </c>
      <c r="AF141" s="39">
        <v>1</v>
      </c>
      <c r="AG141" s="39">
        <v>2</v>
      </c>
      <c r="AH141" s="39">
        <v>1</v>
      </c>
      <c r="AI141" s="39">
        <v>2</v>
      </c>
      <c r="AJ141" s="40" t="s">
        <v>100</v>
      </c>
      <c r="AK141" s="41">
        <v>500</v>
      </c>
      <c r="AL141" s="25"/>
      <c r="AM141" s="25"/>
      <c r="AN141" s="19"/>
      <c r="AO141" s="19"/>
      <c r="AP141" s="19"/>
      <c r="AQ141" s="19"/>
      <c r="AR141" s="19"/>
      <c r="AS141" s="19"/>
      <c r="AT141" s="19"/>
    </row>
    <row r="142" spans="1:46" x14ac:dyDescent="0.2">
      <c r="A142" s="14"/>
      <c r="B142" s="52">
        <v>43765</v>
      </c>
      <c r="C142" s="36">
        <v>0.36736111111111108</v>
      </c>
      <c r="D142" s="36"/>
      <c r="E142" s="36" t="s">
        <v>163</v>
      </c>
      <c r="F142" s="38">
        <v>2</v>
      </c>
      <c r="G142" s="43" t="str">
        <f>VLOOKUP(F142,Key!$A$17:$B$21,2,FALSE)</f>
        <v>Road Vehicle</v>
      </c>
      <c r="H142" s="37">
        <v>4</v>
      </c>
      <c r="I142" s="44" t="str">
        <f>VLOOKUP(H142,Key!$A$2:$B$13,2,FALSE)</f>
        <v>Minibus</v>
      </c>
      <c r="J142" s="38" t="s">
        <v>117</v>
      </c>
      <c r="K142" s="38">
        <v>2</v>
      </c>
      <c r="L142" s="46" t="str">
        <f>VLOOKUP(K142,Key!$A$24:$B$29,2,FALSE)</f>
        <v>30-39</v>
      </c>
      <c r="M142" s="45" t="s">
        <v>161</v>
      </c>
      <c r="N142" s="33" t="s">
        <v>165</v>
      </c>
      <c r="O142" s="38" t="s">
        <v>166</v>
      </c>
      <c r="P142" s="40">
        <v>1</v>
      </c>
      <c r="Q142" s="35" t="str">
        <f>VLOOKUP(P142,Key!$E$2:$F$9,2,FALSE)</f>
        <v>Home</v>
      </c>
      <c r="R142" s="38" t="s">
        <v>175</v>
      </c>
      <c r="S142" s="33" t="s">
        <v>165</v>
      </c>
      <c r="T142" s="38" t="s">
        <v>166</v>
      </c>
      <c r="U142" s="33">
        <v>2</v>
      </c>
      <c r="V142" s="35" t="str">
        <f>VLOOKUP(U142,Key!$E$2:$F$9,2,FALSE)</f>
        <v>Work</v>
      </c>
      <c r="W142" s="35" t="str">
        <f t="shared" si="2"/>
        <v>Home-Work</v>
      </c>
      <c r="X142" s="48">
        <v>2000</v>
      </c>
      <c r="Y142" s="39">
        <v>25</v>
      </c>
      <c r="Z142" s="39">
        <v>0.5</v>
      </c>
      <c r="AA142" s="33">
        <v>6</v>
      </c>
      <c r="AB142" s="35" t="str">
        <f>VLOOKUP(AA142,Key!$C$20:$D$29,2,FALSE)</f>
        <v>Businessman</v>
      </c>
      <c r="AC142" s="33">
        <v>1</v>
      </c>
      <c r="AD142" s="35" t="str">
        <f>VLOOKUP(AC142,Key!$E$20:$F$24,2,FALSE)</f>
        <v>&lt;300,000</v>
      </c>
      <c r="AE142" s="33">
        <v>1</v>
      </c>
      <c r="AF142" s="39">
        <v>1</v>
      </c>
      <c r="AG142" s="39">
        <v>1</v>
      </c>
      <c r="AH142" s="39">
        <v>2</v>
      </c>
      <c r="AI142" s="39">
        <v>1</v>
      </c>
      <c r="AJ142" s="40" t="s">
        <v>100</v>
      </c>
      <c r="AK142" s="41">
        <v>5000</v>
      </c>
      <c r="AL142" s="25"/>
      <c r="AM142" s="25"/>
    </row>
    <row r="143" spans="1:46" x14ac:dyDescent="0.2">
      <c r="A143" s="14"/>
      <c r="B143" s="52">
        <v>43765</v>
      </c>
      <c r="C143" s="36">
        <v>0.50555555555555554</v>
      </c>
      <c r="D143" s="36"/>
      <c r="E143" s="36" t="s">
        <v>163</v>
      </c>
      <c r="F143" s="38">
        <v>2</v>
      </c>
      <c r="G143" s="43" t="str">
        <f>VLOOKUP(F143,Key!$A$17:$B$21,2,FALSE)</f>
        <v>Road Vehicle</v>
      </c>
      <c r="H143" s="37">
        <v>4</v>
      </c>
      <c r="I143" s="44" t="str">
        <f>VLOOKUP(H143,Key!$A$2:$B$13,2,FALSE)</f>
        <v>Minibus</v>
      </c>
      <c r="J143" s="38" t="s">
        <v>117</v>
      </c>
      <c r="K143" s="38">
        <v>2</v>
      </c>
      <c r="L143" s="46" t="str">
        <f>VLOOKUP(K143,Key!$A$24:$B$29,2,FALSE)</f>
        <v>30-39</v>
      </c>
      <c r="M143" s="38" t="s">
        <v>170</v>
      </c>
      <c r="N143" s="33" t="s">
        <v>171</v>
      </c>
      <c r="O143" s="38" t="s">
        <v>166</v>
      </c>
      <c r="P143" s="40">
        <v>1</v>
      </c>
      <c r="Q143" s="35" t="str">
        <f>VLOOKUP(P143,Key!$E$2:$F$9,2,FALSE)</f>
        <v>Home</v>
      </c>
      <c r="R143" s="38" t="s">
        <v>180</v>
      </c>
      <c r="S143" s="33" t="s">
        <v>165</v>
      </c>
      <c r="T143" s="38" t="s">
        <v>166</v>
      </c>
      <c r="U143" s="33">
        <v>6</v>
      </c>
      <c r="V143" s="35" t="str">
        <f>VLOOKUP(U143,Key!$E$2:$F$9,2,FALSE)</f>
        <v>Leisure/Social</v>
      </c>
      <c r="W143" s="35" t="str">
        <f t="shared" si="2"/>
        <v>Home-Leisure/Social</v>
      </c>
      <c r="X143" s="48">
        <v>4000</v>
      </c>
      <c r="Y143" s="39">
        <v>39</v>
      </c>
      <c r="Z143" s="39">
        <v>1.5</v>
      </c>
      <c r="AA143" s="33">
        <v>6</v>
      </c>
      <c r="AB143" s="35" t="str">
        <f>VLOOKUP(AA143,Key!$C$20:$D$29,2,FALSE)</f>
        <v>Businessman</v>
      </c>
      <c r="AC143" s="33">
        <v>4</v>
      </c>
      <c r="AD143" s="35" t="str">
        <f>VLOOKUP(AC143,Key!$E$20:$F$24,2,FALSE)</f>
        <v>750,000-1,000,000</v>
      </c>
      <c r="AE143" s="33">
        <v>2</v>
      </c>
      <c r="AF143" s="39">
        <v>1</v>
      </c>
      <c r="AG143" s="39">
        <v>2</v>
      </c>
      <c r="AH143" s="39">
        <v>1</v>
      </c>
      <c r="AI143" s="39">
        <v>2</v>
      </c>
      <c r="AJ143" s="40" t="s">
        <v>100</v>
      </c>
      <c r="AK143" s="41">
        <v>1000</v>
      </c>
      <c r="AL143" s="25"/>
      <c r="AM143" s="25"/>
    </row>
    <row r="144" spans="1:46" x14ac:dyDescent="0.2">
      <c r="A144" s="14"/>
      <c r="B144" s="52">
        <v>43765</v>
      </c>
      <c r="C144" s="36">
        <v>0.53125</v>
      </c>
      <c r="D144" s="36"/>
      <c r="E144" s="36" t="s">
        <v>163</v>
      </c>
      <c r="F144" s="38">
        <v>2</v>
      </c>
      <c r="G144" s="43" t="str">
        <f>VLOOKUP(F144,Key!$A$17:$B$21,2,FALSE)</f>
        <v>Road Vehicle</v>
      </c>
      <c r="H144" s="37">
        <v>4</v>
      </c>
      <c r="I144" s="44" t="str">
        <f>VLOOKUP(H144,Key!$A$2:$B$13,2,FALSE)</f>
        <v>Minibus</v>
      </c>
      <c r="J144" s="38" t="s">
        <v>117</v>
      </c>
      <c r="K144" s="38">
        <v>2</v>
      </c>
      <c r="L144" s="46" t="str">
        <f>VLOOKUP(K144,Key!$A$24:$B$29,2,FALSE)</f>
        <v>30-39</v>
      </c>
      <c r="M144" s="38" t="s">
        <v>170</v>
      </c>
      <c r="N144" s="33" t="s">
        <v>171</v>
      </c>
      <c r="O144" s="38" t="s">
        <v>166</v>
      </c>
      <c r="P144" s="40">
        <v>2</v>
      </c>
      <c r="Q144" s="35" t="str">
        <f>VLOOKUP(P144,Key!$E$2:$F$9,2,FALSE)</f>
        <v>Work</v>
      </c>
      <c r="R144" s="38" t="s">
        <v>164</v>
      </c>
      <c r="S144" s="33" t="s">
        <v>165</v>
      </c>
      <c r="T144" s="38" t="s">
        <v>166</v>
      </c>
      <c r="U144" s="33">
        <v>1</v>
      </c>
      <c r="V144" s="35" t="str">
        <f>VLOOKUP(U144,Key!$E$2:$F$9,2,FALSE)</f>
        <v>Home</v>
      </c>
      <c r="W144" s="35" t="str">
        <f t="shared" si="2"/>
        <v>Work-Home</v>
      </c>
      <c r="X144" s="48">
        <v>3000</v>
      </c>
      <c r="Y144" s="39">
        <v>38</v>
      </c>
      <c r="Z144" s="39">
        <v>1</v>
      </c>
      <c r="AA144" s="33">
        <v>6</v>
      </c>
      <c r="AB144" s="35" t="str">
        <f>VLOOKUP(AA144,Key!$C$20:$D$29,2,FALSE)</f>
        <v>Businessman</v>
      </c>
      <c r="AC144" s="33">
        <v>1</v>
      </c>
      <c r="AD144" s="35" t="str">
        <f>VLOOKUP(AC144,Key!$E$20:$F$24,2,FALSE)</f>
        <v>&lt;300,000</v>
      </c>
      <c r="AE144" s="33">
        <v>5</v>
      </c>
      <c r="AF144" s="39">
        <v>2</v>
      </c>
      <c r="AG144" s="39">
        <v>1</v>
      </c>
      <c r="AH144" s="39">
        <v>2</v>
      </c>
      <c r="AI144" s="39">
        <v>1</v>
      </c>
      <c r="AJ144" s="40" t="s">
        <v>100</v>
      </c>
      <c r="AK144" s="41">
        <v>500</v>
      </c>
      <c r="AL144" s="25"/>
      <c r="AM144" s="25"/>
    </row>
    <row r="145" spans="1:39" x14ac:dyDescent="0.2">
      <c r="B145" s="52">
        <v>43765</v>
      </c>
      <c r="C145" s="36">
        <v>0.54027777777777775</v>
      </c>
      <c r="D145" s="36"/>
      <c r="E145" s="36" t="s">
        <v>163</v>
      </c>
      <c r="F145" s="38">
        <v>2</v>
      </c>
      <c r="G145" s="43" t="str">
        <f>VLOOKUP(F145,Key!$A$17:$B$21,2,FALSE)</f>
        <v>Road Vehicle</v>
      </c>
      <c r="H145" s="37">
        <v>4</v>
      </c>
      <c r="I145" s="44" t="str">
        <f>VLOOKUP(H145,Key!$A$2:$B$13,2,FALSE)</f>
        <v>Minibus</v>
      </c>
      <c r="J145" s="38" t="s">
        <v>117</v>
      </c>
      <c r="K145" s="38">
        <v>2</v>
      </c>
      <c r="L145" s="46" t="str">
        <f>VLOOKUP(K145,Key!$A$24:$B$29,2,FALSE)</f>
        <v>30-39</v>
      </c>
      <c r="M145" s="38" t="s">
        <v>193</v>
      </c>
      <c r="N145" s="33" t="s">
        <v>171</v>
      </c>
      <c r="O145" s="38" t="s">
        <v>166</v>
      </c>
      <c r="P145" s="40">
        <v>2</v>
      </c>
      <c r="Q145" s="35" t="str">
        <f>VLOOKUP(P145,Key!$E$2:$F$9,2,FALSE)</f>
        <v>Work</v>
      </c>
      <c r="R145" s="38" t="s">
        <v>191</v>
      </c>
      <c r="S145" s="33" t="s">
        <v>165</v>
      </c>
      <c r="T145" s="38" t="s">
        <v>166</v>
      </c>
      <c r="U145" s="33">
        <v>2</v>
      </c>
      <c r="V145" s="35" t="str">
        <f>VLOOKUP(U145,Key!$E$2:$F$9,2,FALSE)</f>
        <v>Work</v>
      </c>
      <c r="W145" s="35" t="str">
        <f t="shared" si="2"/>
        <v>Work-Work</v>
      </c>
      <c r="X145" s="48">
        <v>4000</v>
      </c>
      <c r="Y145" s="39">
        <v>40</v>
      </c>
      <c r="Z145" s="39">
        <v>1.5</v>
      </c>
      <c r="AA145" s="33">
        <v>6</v>
      </c>
      <c r="AB145" s="35" t="str">
        <f>VLOOKUP(AA145,Key!$C$20:$D$29,2,FALSE)</f>
        <v>Businessman</v>
      </c>
      <c r="AC145" s="33">
        <v>3</v>
      </c>
      <c r="AD145" s="35" t="str">
        <f>VLOOKUP(AC145,Key!$E$20:$F$24,2,FALSE)</f>
        <v>500,000-750,000</v>
      </c>
      <c r="AE145" s="33">
        <v>1</v>
      </c>
      <c r="AF145" s="39">
        <v>1</v>
      </c>
      <c r="AG145" s="39">
        <v>2</v>
      </c>
      <c r="AH145" s="39">
        <v>1</v>
      </c>
      <c r="AI145" s="39">
        <v>1</v>
      </c>
      <c r="AJ145" s="40" t="s">
        <v>100</v>
      </c>
      <c r="AK145" s="41">
        <v>500</v>
      </c>
      <c r="AL145" s="25"/>
      <c r="AM145" s="25"/>
    </row>
    <row r="146" spans="1:39" x14ac:dyDescent="0.2">
      <c r="B146" s="52">
        <v>43765</v>
      </c>
      <c r="C146" s="36">
        <v>0.58333333333333337</v>
      </c>
      <c r="D146" s="36"/>
      <c r="E146" s="36" t="s">
        <v>105</v>
      </c>
      <c r="F146" s="38">
        <v>2</v>
      </c>
      <c r="G146" s="43" t="str">
        <f>VLOOKUP(F146,Key!$A$17:$B$21,2,FALSE)</f>
        <v>Road Vehicle</v>
      </c>
      <c r="H146" s="37">
        <v>4</v>
      </c>
      <c r="I146" s="44" t="str">
        <f>VLOOKUP(H146,Key!$A$2:$B$13,2,FALSE)</f>
        <v>Minibus</v>
      </c>
      <c r="J146" s="38" t="s">
        <v>117</v>
      </c>
      <c r="K146" s="38">
        <v>2</v>
      </c>
      <c r="L146" s="46" t="str">
        <f>VLOOKUP(K146,Key!$A$24:$B$29,2,FALSE)</f>
        <v>30-39</v>
      </c>
      <c r="M146" s="38" t="s">
        <v>164</v>
      </c>
      <c r="N146" s="33" t="s">
        <v>165</v>
      </c>
      <c r="O146" s="38" t="s">
        <v>166</v>
      </c>
      <c r="P146" s="40">
        <v>2</v>
      </c>
      <c r="Q146" s="35" t="str">
        <f>VLOOKUP(P146,Key!$E$2:$F$9,2,FALSE)</f>
        <v>Work</v>
      </c>
      <c r="R146" s="38" t="s">
        <v>170</v>
      </c>
      <c r="S146" s="33" t="s">
        <v>171</v>
      </c>
      <c r="T146" s="38" t="s">
        <v>166</v>
      </c>
      <c r="U146" s="33">
        <v>2</v>
      </c>
      <c r="V146" s="35" t="str">
        <f>VLOOKUP(U146,Key!$E$2:$F$9,2,FALSE)</f>
        <v>Work</v>
      </c>
      <c r="W146" s="35" t="str">
        <f t="shared" si="2"/>
        <v>Work-Work</v>
      </c>
      <c r="X146" s="33">
        <v>15000</v>
      </c>
      <c r="Y146" s="39">
        <v>35</v>
      </c>
      <c r="Z146" s="39">
        <v>1</v>
      </c>
      <c r="AA146" s="33">
        <v>5</v>
      </c>
      <c r="AB146" s="35" t="str">
        <f>VLOOKUP(AA146,Key!$C$20:$D$29,2,FALSE)</f>
        <v>Professional</v>
      </c>
      <c r="AC146" s="33">
        <v>4</v>
      </c>
      <c r="AD146" s="35" t="str">
        <f>VLOOKUP(AC146,Key!$E$20:$F$24,2,FALSE)</f>
        <v>750,000-1,000,000</v>
      </c>
      <c r="AE146" s="33">
        <v>2</v>
      </c>
      <c r="AF146" s="39">
        <v>1</v>
      </c>
      <c r="AG146" s="39">
        <v>2</v>
      </c>
      <c r="AH146" s="39">
        <v>1</v>
      </c>
      <c r="AI146" s="39">
        <v>2</v>
      </c>
      <c r="AJ146" s="40" t="s">
        <v>100</v>
      </c>
      <c r="AK146" s="41">
        <v>500</v>
      </c>
      <c r="AL146" s="25"/>
      <c r="AM146" s="25"/>
    </row>
    <row r="147" spans="1:39" x14ac:dyDescent="0.2">
      <c r="B147" s="52">
        <v>43765</v>
      </c>
      <c r="C147" s="36">
        <v>0.68055555555555547</v>
      </c>
      <c r="D147" s="36"/>
      <c r="E147" s="36" t="s">
        <v>163</v>
      </c>
      <c r="F147" s="38">
        <v>2</v>
      </c>
      <c r="G147" s="43" t="str">
        <f>VLOOKUP(F147,Key!$A$17:$B$21,2,FALSE)</f>
        <v>Road Vehicle</v>
      </c>
      <c r="H147" s="37">
        <v>4</v>
      </c>
      <c r="I147" s="44" t="str">
        <f>VLOOKUP(H147,Key!$A$2:$B$13,2,FALSE)</f>
        <v>Minibus</v>
      </c>
      <c r="J147" s="38" t="s">
        <v>117</v>
      </c>
      <c r="K147" s="38">
        <v>2</v>
      </c>
      <c r="L147" s="46" t="str">
        <f>VLOOKUP(K147,Key!$A$24:$B$29,2,FALSE)</f>
        <v>30-39</v>
      </c>
      <c r="M147" s="38" t="s">
        <v>161</v>
      </c>
      <c r="N147" s="33" t="s">
        <v>165</v>
      </c>
      <c r="O147" s="38" t="s">
        <v>166</v>
      </c>
      <c r="P147" s="40">
        <v>1</v>
      </c>
      <c r="Q147" s="35" t="str">
        <f>VLOOKUP(P147,Key!$E$2:$F$9,2,FALSE)</f>
        <v>Home</v>
      </c>
      <c r="R147" s="38" t="s">
        <v>199</v>
      </c>
      <c r="S147" s="33" t="s">
        <v>165</v>
      </c>
      <c r="T147" s="38" t="s">
        <v>166</v>
      </c>
      <c r="U147" s="33">
        <v>3</v>
      </c>
      <c r="V147" s="35" t="str">
        <f>VLOOKUP(U147,Key!$E$2:$F$9,2,FALSE)</f>
        <v>Study</v>
      </c>
      <c r="W147" s="35" t="str">
        <f t="shared" si="2"/>
        <v>Home-Study</v>
      </c>
      <c r="X147" s="33">
        <v>1000</v>
      </c>
      <c r="Y147" s="39">
        <v>8</v>
      </c>
      <c r="Z147" s="39">
        <v>0.1</v>
      </c>
      <c r="AA147" s="33">
        <v>8</v>
      </c>
      <c r="AB147" s="35" t="str">
        <f>VLOOKUP(AA147,Key!$C$20:$D$29,2,FALSE)</f>
        <v>Student</v>
      </c>
      <c r="AC147" s="33">
        <v>1</v>
      </c>
      <c r="AD147" s="35" t="str">
        <f>VLOOKUP(AC147,Key!$E$20:$F$24,2,FALSE)</f>
        <v>&lt;300,000</v>
      </c>
      <c r="AE147" s="33">
        <v>1</v>
      </c>
      <c r="AF147" s="39">
        <v>1</v>
      </c>
      <c r="AG147" s="39">
        <v>1</v>
      </c>
      <c r="AH147" s="39">
        <v>1</v>
      </c>
      <c r="AI147" s="39">
        <v>2</v>
      </c>
      <c r="AJ147" s="40" t="s">
        <v>100</v>
      </c>
      <c r="AK147" s="41">
        <v>500</v>
      </c>
      <c r="AL147" s="25"/>
      <c r="AM147" s="25"/>
    </row>
    <row r="148" spans="1:39" x14ac:dyDescent="0.2">
      <c r="B148" s="52">
        <v>43765</v>
      </c>
      <c r="C148" s="36">
        <v>0.68402777777777779</v>
      </c>
      <c r="D148" s="36"/>
      <c r="E148" s="36" t="s">
        <v>105</v>
      </c>
      <c r="F148" s="38">
        <v>2</v>
      </c>
      <c r="G148" s="43" t="str">
        <f>VLOOKUP(F148,Key!$A$17:$B$21,2,FALSE)</f>
        <v>Road Vehicle</v>
      </c>
      <c r="H148" s="37">
        <v>4</v>
      </c>
      <c r="I148" s="44" t="str">
        <f>VLOOKUP(H148,Key!$A$2:$B$13,2,FALSE)</f>
        <v>Minibus</v>
      </c>
      <c r="J148" s="38" t="s">
        <v>117</v>
      </c>
      <c r="K148" s="38">
        <v>2</v>
      </c>
      <c r="L148" s="46" t="str">
        <f>VLOOKUP(K148,Key!$A$24:$B$29,2,FALSE)</f>
        <v>30-39</v>
      </c>
      <c r="M148" s="38" t="s">
        <v>164</v>
      </c>
      <c r="N148" s="33" t="s">
        <v>165</v>
      </c>
      <c r="O148" s="38" t="s">
        <v>166</v>
      </c>
      <c r="P148" s="40">
        <v>2</v>
      </c>
      <c r="Q148" s="35" t="str">
        <f>VLOOKUP(P148,Key!$E$2:$F$9,2,FALSE)</f>
        <v>Work</v>
      </c>
      <c r="R148" s="38" t="s">
        <v>170</v>
      </c>
      <c r="S148" s="33" t="s">
        <v>171</v>
      </c>
      <c r="T148" s="38" t="s">
        <v>166</v>
      </c>
      <c r="U148" s="33">
        <v>2</v>
      </c>
      <c r="V148" s="35" t="str">
        <f>VLOOKUP(U148,Key!$E$2:$F$9,2,FALSE)</f>
        <v>Work</v>
      </c>
      <c r="W148" s="35" t="str">
        <f t="shared" si="2"/>
        <v>Work-Work</v>
      </c>
      <c r="X148" s="33">
        <v>35000</v>
      </c>
      <c r="Y148" s="39">
        <v>40</v>
      </c>
      <c r="Z148" s="39">
        <v>1.5</v>
      </c>
      <c r="AA148" s="33">
        <v>2</v>
      </c>
      <c r="AB148" s="35" t="str">
        <f>VLOOKUP(AA148,Key!$C$20:$D$29,2,FALSE)</f>
        <v>Manual Labour</v>
      </c>
      <c r="AC148" s="33">
        <v>4</v>
      </c>
      <c r="AD148" s="35" t="str">
        <f>VLOOKUP(AC148,Key!$E$20:$F$24,2,FALSE)</f>
        <v>750,000-1,000,000</v>
      </c>
      <c r="AE148" s="33">
        <v>2</v>
      </c>
      <c r="AF148" s="39">
        <v>1</v>
      </c>
      <c r="AG148" s="39">
        <v>1</v>
      </c>
      <c r="AH148" s="39">
        <v>1</v>
      </c>
      <c r="AI148" s="39">
        <v>2</v>
      </c>
      <c r="AJ148" s="40" t="s">
        <v>100</v>
      </c>
      <c r="AK148" s="41">
        <v>1000</v>
      </c>
      <c r="AL148" s="25"/>
      <c r="AM148" s="25"/>
    </row>
    <row r="149" spans="1:39" x14ac:dyDescent="0.2">
      <c r="B149" s="52">
        <v>43765</v>
      </c>
      <c r="C149" s="36">
        <v>0.74791666666666667</v>
      </c>
      <c r="D149" s="36"/>
      <c r="E149" s="36" t="s">
        <v>163</v>
      </c>
      <c r="F149" s="38">
        <v>2</v>
      </c>
      <c r="G149" s="43" t="str">
        <f>VLOOKUP(F149,Key!$A$17:$B$21,2,FALSE)</f>
        <v>Road Vehicle</v>
      </c>
      <c r="H149" s="37">
        <v>4</v>
      </c>
      <c r="I149" s="44" t="str">
        <f>VLOOKUP(H149,Key!$A$2:$B$13,2,FALSE)</f>
        <v>Minibus</v>
      </c>
      <c r="J149" s="38" t="s">
        <v>117</v>
      </c>
      <c r="K149" s="38">
        <v>2</v>
      </c>
      <c r="L149" s="46" t="str">
        <f>VLOOKUP(K149,Key!$A$24:$B$29,2,FALSE)</f>
        <v>30-39</v>
      </c>
      <c r="M149" s="38" t="s">
        <v>175</v>
      </c>
      <c r="N149" s="33" t="s">
        <v>165</v>
      </c>
      <c r="O149" s="38" t="s">
        <v>166</v>
      </c>
      <c r="P149" s="40">
        <v>2</v>
      </c>
      <c r="Q149" s="35" t="str">
        <f>VLOOKUP(P149,Key!$E$2:$F$9,2,FALSE)</f>
        <v>Work</v>
      </c>
      <c r="R149" s="38" t="s">
        <v>191</v>
      </c>
      <c r="S149" s="33" t="s">
        <v>165</v>
      </c>
      <c r="T149" s="38" t="s">
        <v>166</v>
      </c>
      <c r="U149" s="33">
        <v>1</v>
      </c>
      <c r="V149" s="35" t="str">
        <f>VLOOKUP(U149,Key!$E$2:$F$9,2,FALSE)</f>
        <v>Home</v>
      </c>
      <c r="W149" s="35" t="str">
        <f t="shared" si="2"/>
        <v>Work-Home</v>
      </c>
      <c r="X149" s="33">
        <v>2000</v>
      </c>
      <c r="Y149" s="39">
        <v>27</v>
      </c>
      <c r="Z149" s="39">
        <v>0.4</v>
      </c>
      <c r="AA149" s="33">
        <v>4</v>
      </c>
      <c r="AB149" s="35" t="str">
        <f>VLOOKUP(AA149,Key!$C$20:$D$29,2,FALSE)</f>
        <v>Office Worker</v>
      </c>
      <c r="AC149" s="33">
        <v>3</v>
      </c>
      <c r="AD149" s="35" t="str">
        <f>VLOOKUP(AC149,Key!$E$20:$F$24,2,FALSE)</f>
        <v>500,000-750,000</v>
      </c>
      <c r="AE149" s="33">
        <v>1</v>
      </c>
      <c r="AF149" s="39">
        <v>1</v>
      </c>
      <c r="AG149" s="39">
        <v>2</v>
      </c>
      <c r="AH149" s="39">
        <v>1</v>
      </c>
      <c r="AI149" s="39">
        <v>2</v>
      </c>
      <c r="AJ149" s="40" t="s">
        <v>100</v>
      </c>
      <c r="AK149" s="41">
        <v>5000</v>
      </c>
      <c r="AL149" s="25"/>
      <c r="AM149" s="25"/>
    </row>
    <row r="150" spans="1:39" x14ac:dyDescent="0.2">
      <c r="B150" s="52">
        <v>43765</v>
      </c>
      <c r="C150" s="36">
        <v>0.75694444444444453</v>
      </c>
      <c r="D150" s="36"/>
      <c r="E150" s="36" t="s">
        <v>163</v>
      </c>
      <c r="F150" s="38">
        <v>2</v>
      </c>
      <c r="G150" s="43" t="str">
        <f>VLOOKUP(F150,Key!$A$17:$B$21,2,FALSE)</f>
        <v>Road Vehicle</v>
      </c>
      <c r="H150" s="37">
        <v>4</v>
      </c>
      <c r="I150" s="44" t="str">
        <f>VLOOKUP(H150,Key!$A$2:$B$13,2,FALSE)</f>
        <v>Minibus</v>
      </c>
      <c r="J150" s="38" t="s">
        <v>117</v>
      </c>
      <c r="K150" s="38">
        <v>2</v>
      </c>
      <c r="L150" s="46" t="str">
        <f>VLOOKUP(K150,Key!$A$24:$B$29,2,FALSE)</f>
        <v>30-39</v>
      </c>
      <c r="M150" s="38" t="s">
        <v>170</v>
      </c>
      <c r="N150" s="33" t="s">
        <v>171</v>
      </c>
      <c r="O150" s="38" t="s">
        <v>166</v>
      </c>
      <c r="P150" s="40">
        <v>2</v>
      </c>
      <c r="Q150" s="35" t="str">
        <f>VLOOKUP(P150,Key!$E$2:$F$9,2,FALSE)</f>
        <v>Work</v>
      </c>
      <c r="R150" s="38" t="s">
        <v>203</v>
      </c>
      <c r="S150" s="33" t="s">
        <v>165</v>
      </c>
      <c r="T150" s="38" t="s">
        <v>166</v>
      </c>
      <c r="U150" s="33">
        <v>1</v>
      </c>
      <c r="V150" s="35" t="str">
        <f>VLOOKUP(U150,Key!$E$2:$F$9,2,FALSE)</f>
        <v>Home</v>
      </c>
      <c r="W150" s="35" t="str">
        <f t="shared" si="2"/>
        <v>Work-Home</v>
      </c>
      <c r="X150" s="33">
        <v>3000</v>
      </c>
      <c r="Y150" s="39">
        <v>39</v>
      </c>
      <c r="Z150" s="39">
        <v>1.5</v>
      </c>
      <c r="AA150" s="33">
        <v>4</v>
      </c>
      <c r="AB150" s="35" t="str">
        <f>VLOOKUP(AA150,Key!$C$20:$D$29,2,FALSE)</f>
        <v>Office Worker</v>
      </c>
      <c r="AC150" s="33">
        <v>2</v>
      </c>
      <c r="AD150" s="35" t="str">
        <f>VLOOKUP(AC150,Key!$E$20:$F$24,2,FALSE)</f>
        <v>300,000-500,000</v>
      </c>
      <c r="AE150" s="33">
        <v>2</v>
      </c>
      <c r="AF150" s="39">
        <v>1</v>
      </c>
      <c r="AG150" s="39">
        <v>2</v>
      </c>
      <c r="AH150" s="39">
        <v>1</v>
      </c>
      <c r="AI150" s="39">
        <v>2</v>
      </c>
      <c r="AJ150" s="40" t="s">
        <v>100</v>
      </c>
      <c r="AK150" s="41">
        <v>5000</v>
      </c>
      <c r="AL150" s="25"/>
      <c r="AM150" s="25"/>
    </row>
    <row r="151" spans="1:39" x14ac:dyDescent="0.2">
      <c r="B151" s="52">
        <v>43765</v>
      </c>
      <c r="C151" s="36">
        <v>0.77569444444444446</v>
      </c>
      <c r="D151" s="36"/>
      <c r="E151" s="36" t="s">
        <v>163</v>
      </c>
      <c r="F151" s="38">
        <v>2</v>
      </c>
      <c r="G151" s="43" t="str">
        <f>VLOOKUP(F151,Key!$A$17:$B$21,2,FALSE)</f>
        <v>Road Vehicle</v>
      </c>
      <c r="H151" s="37">
        <v>4</v>
      </c>
      <c r="I151" s="44" t="str">
        <f>VLOOKUP(H151,Key!$A$2:$B$13,2,FALSE)</f>
        <v>Minibus</v>
      </c>
      <c r="J151" s="38" t="s">
        <v>117</v>
      </c>
      <c r="K151" s="38">
        <v>2</v>
      </c>
      <c r="L151" s="46" t="str">
        <f>VLOOKUP(K151,Key!$A$24:$B$29,2,FALSE)</f>
        <v>30-39</v>
      </c>
      <c r="M151" s="38" t="s">
        <v>170</v>
      </c>
      <c r="N151" s="33" t="s">
        <v>171</v>
      </c>
      <c r="O151" s="38" t="s">
        <v>166</v>
      </c>
      <c r="P151" s="40">
        <v>2</v>
      </c>
      <c r="Q151" s="35" t="str">
        <f>VLOOKUP(P151,Key!$E$2:$F$9,2,FALSE)</f>
        <v>Work</v>
      </c>
      <c r="R151" s="38" t="s">
        <v>191</v>
      </c>
      <c r="S151" s="33" t="s">
        <v>165</v>
      </c>
      <c r="T151" s="38" t="s">
        <v>166</v>
      </c>
      <c r="U151" s="33">
        <v>1</v>
      </c>
      <c r="V151" s="35" t="str">
        <f>VLOOKUP(U151,Key!$E$2:$F$9,2,FALSE)</f>
        <v>Home</v>
      </c>
      <c r="W151" s="35" t="str">
        <f t="shared" si="2"/>
        <v>Work-Home</v>
      </c>
      <c r="X151" s="33">
        <v>3000</v>
      </c>
      <c r="Y151" s="39">
        <v>39</v>
      </c>
      <c r="Z151" s="39">
        <v>2</v>
      </c>
      <c r="AA151" s="33">
        <v>4</v>
      </c>
      <c r="AB151" s="35" t="str">
        <f>VLOOKUP(AA151,Key!$C$20:$D$29,2,FALSE)</f>
        <v>Office Worker</v>
      </c>
      <c r="AC151" s="33">
        <v>3</v>
      </c>
      <c r="AD151" s="35" t="str">
        <f>VLOOKUP(AC151,Key!$E$20:$F$24,2,FALSE)</f>
        <v>500,000-750,000</v>
      </c>
      <c r="AE151" s="33">
        <v>5</v>
      </c>
      <c r="AF151" s="39">
        <v>1</v>
      </c>
      <c r="AG151" s="39">
        <v>1</v>
      </c>
      <c r="AH151" s="39">
        <v>1</v>
      </c>
      <c r="AI151" s="39">
        <v>1</v>
      </c>
      <c r="AJ151" s="40" t="s">
        <v>100</v>
      </c>
      <c r="AK151" s="41">
        <v>1000</v>
      </c>
      <c r="AL151" s="25"/>
      <c r="AM151" s="25"/>
    </row>
    <row r="152" spans="1:39" x14ac:dyDescent="0.2">
      <c r="B152" s="52">
        <v>43765</v>
      </c>
      <c r="C152" s="36">
        <v>0.79027777777777775</v>
      </c>
      <c r="D152" s="36"/>
      <c r="E152" s="36" t="s">
        <v>163</v>
      </c>
      <c r="F152" s="38">
        <v>2</v>
      </c>
      <c r="G152" s="43" t="str">
        <f>VLOOKUP(F152,Key!$A$17:$B$21,2,FALSE)</f>
        <v>Road Vehicle</v>
      </c>
      <c r="H152" s="37">
        <v>4</v>
      </c>
      <c r="I152" s="44" t="str">
        <f>VLOOKUP(H152,Key!$A$2:$B$13,2,FALSE)</f>
        <v>Minibus</v>
      </c>
      <c r="J152" s="38" t="s">
        <v>117</v>
      </c>
      <c r="K152" s="38">
        <v>2</v>
      </c>
      <c r="L152" s="46" t="str">
        <f>VLOOKUP(K152,Key!$A$24:$B$29,2,FALSE)</f>
        <v>30-39</v>
      </c>
      <c r="M152" s="38" t="s">
        <v>170</v>
      </c>
      <c r="N152" s="33" t="s">
        <v>171</v>
      </c>
      <c r="O152" s="38" t="s">
        <v>166</v>
      </c>
      <c r="P152" s="40">
        <v>1</v>
      </c>
      <c r="Q152" s="35" t="str">
        <f>VLOOKUP(P152,Key!$E$2:$F$9,2,FALSE)</f>
        <v>Home</v>
      </c>
      <c r="R152" s="38" t="s">
        <v>191</v>
      </c>
      <c r="S152" s="33" t="s">
        <v>165</v>
      </c>
      <c r="T152" s="38" t="s">
        <v>166</v>
      </c>
      <c r="U152" s="33">
        <v>2</v>
      </c>
      <c r="V152" s="35" t="str">
        <f>VLOOKUP(U152,Key!$E$2:$F$9,2,FALSE)</f>
        <v>Work</v>
      </c>
      <c r="W152" s="35" t="str">
        <f t="shared" si="2"/>
        <v>Home-Work</v>
      </c>
      <c r="X152" s="33">
        <v>3000</v>
      </c>
      <c r="Y152" s="39">
        <v>39</v>
      </c>
      <c r="Z152" s="39">
        <v>2</v>
      </c>
      <c r="AA152" s="33">
        <v>6</v>
      </c>
      <c r="AB152" s="35" t="str">
        <f>VLOOKUP(AA152,Key!$C$20:$D$29,2,FALSE)</f>
        <v>Businessman</v>
      </c>
      <c r="AC152" s="33">
        <v>3</v>
      </c>
      <c r="AD152" s="35" t="str">
        <f>VLOOKUP(AC152,Key!$E$20:$F$24,2,FALSE)</f>
        <v>500,000-750,000</v>
      </c>
      <c r="AE152" s="33">
        <v>5</v>
      </c>
      <c r="AF152" s="39">
        <v>2</v>
      </c>
      <c r="AG152" s="39">
        <v>1</v>
      </c>
      <c r="AH152" s="39">
        <v>2</v>
      </c>
      <c r="AI152" s="39">
        <v>1</v>
      </c>
      <c r="AJ152" s="40" t="s">
        <v>100</v>
      </c>
      <c r="AK152" s="41">
        <v>1000</v>
      </c>
      <c r="AL152" s="25"/>
      <c r="AM152" s="25"/>
    </row>
    <row r="153" spans="1:39" x14ac:dyDescent="0.2">
      <c r="B153" s="52">
        <v>43765</v>
      </c>
      <c r="C153" s="36">
        <v>0.5395833333333333</v>
      </c>
      <c r="D153" s="36"/>
      <c r="E153" s="36" t="s">
        <v>105</v>
      </c>
      <c r="F153" s="38">
        <v>2</v>
      </c>
      <c r="G153" s="43" t="str">
        <f>VLOOKUP(F153,Key!$A$17:$B$21,2,FALSE)</f>
        <v>Road Vehicle</v>
      </c>
      <c r="H153" s="37">
        <v>4</v>
      </c>
      <c r="I153" s="44" t="str">
        <f>VLOOKUP(H153,Key!$A$2:$B$13,2,FALSE)</f>
        <v>Minibus</v>
      </c>
      <c r="J153" s="38" t="s">
        <v>117</v>
      </c>
      <c r="K153" s="38">
        <v>2</v>
      </c>
      <c r="L153" s="46" t="str">
        <f>VLOOKUP(K153,Key!$A$24:$B$29,2,FALSE)</f>
        <v>30-39</v>
      </c>
      <c r="M153" s="38" t="s">
        <v>219</v>
      </c>
      <c r="N153" s="33" t="s">
        <v>165</v>
      </c>
      <c r="O153" s="38" t="s">
        <v>166</v>
      </c>
      <c r="P153" s="40">
        <v>1</v>
      </c>
      <c r="Q153" s="35" t="str">
        <f>VLOOKUP(P153,Key!$E$2:$F$9,2,FALSE)</f>
        <v>Home</v>
      </c>
      <c r="R153" s="38" t="s">
        <v>169</v>
      </c>
      <c r="S153" s="33" t="s">
        <v>165</v>
      </c>
      <c r="T153" s="38" t="s">
        <v>166</v>
      </c>
      <c r="U153" s="33">
        <v>2</v>
      </c>
      <c r="V153" s="35" t="str">
        <f>VLOOKUP(U153,Key!$E$2:$F$9,2,FALSE)</f>
        <v>Work</v>
      </c>
      <c r="W153" s="35" t="str">
        <f t="shared" si="2"/>
        <v>Home-Work</v>
      </c>
      <c r="X153" s="33">
        <v>80000</v>
      </c>
      <c r="Y153" s="39">
        <v>50</v>
      </c>
      <c r="Z153" s="39">
        <v>3</v>
      </c>
      <c r="AA153" s="33">
        <v>4</v>
      </c>
      <c r="AB153" s="35" t="str">
        <f>VLOOKUP(AA153,Key!$C$20:$D$29,2,FALSE)</f>
        <v>Office Worker</v>
      </c>
      <c r="AC153" s="33">
        <v>2</v>
      </c>
      <c r="AD153" s="35" t="str">
        <f>VLOOKUP(AC153,Key!$E$20:$F$24,2,FALSE)</f>
        <v>300,000-500,000</v>
      </c>
      <c r="AE153" s="33">
        <v>5</v>
      </c>
      <c r="AF153" s="39">
        <v>2</v>
      </c>
      <c r="AG153" s="39">
        <v>1</v>
      </c>
      <c r="AH153" s="39">
        <v>2</v>
      </c>
      <c r="AI153" s="39">
        <v>1</v>
      </c>
      <c r="AJ153" s="40" t="s">
        <v>100</v>
      </c>
      <c r="AK153" s="41">
        <v>10000</v>
      </c>
      <c r="AL153" s="25"/>
      <c r="AM153" s="25"/>
    </row>
    <row r="154" spans="1:39" x14ac:dyDescent="0.2">
      <c r="A154" s="10"/>
      <c r="B154" s="52">
        <v>43765</v>
      </c>
      <c r="C154" s="36">
        <v>0.4694444444444445</v>
      </c>
      <c r="D154" s="36"/>
      <c r="E154" s="36" t="s">
        <v>105</v>
      </c>
      <c r="F154" s="38">
        <v>2</v>
      </c>
      <c r="G154" s="43" t="str">
        <f>VLOOKUP(F154,Key!$A$17:$B$21,2,FALSE)</f>
        <v>Road Vehicle</v>
      </c>
      <c r="H154" s="37">
        <v>4</v>
      </c>
      <c r="I154" s="44" t="str">
        <f>VLOOKUP(H154,Key!$A$2:$B$13,2,FALSE)</f>
        <v>Minibus</v>
      </c>
      <c r="J154" s="38" t="s">
        <v>117</v>
      </c>
      <c r="K154" s="38">
        <v>2</v>
      </c>
      <c r="L154" s="46" t="str">
        <f>VLOOKUP(K154,Key!$A$24:$B$29,2,FALSE)</f>
        <v>30-39</v>
      </c>
      <c r="M154" s="38" t="s">
        <v>207</v>
      </c>
      <c r="N154" s="33" t="s">
        <v>171</v>
      </c>
      <c r="O154" s="38" t="s">
        <v>166</v>
      </c>
      <c r="P154" s="40">
        <v>2</v>
      </c>
      <c r="Q154" s="35" t="str">
        <f>VLOOKUP(P154,Key!$E$2:$F$9,2,FALSE)</f>
        <v>Work</v>
      </c>
      <c r="R154" s="38" t="s">
        <v>227</v>
      </c>
      <c r="S154" s="33" t="s">
        <v>165</v>
      </c>
      <c r="T154" s="38" t="s">
        <v>166</v>
      </c>
      <c r="U154" s="33">
        <v>2</v>
      </c>
      <c r="V154" s="35" t="str">
        <f>VLOOKUP(U154,Key!$E$2:$F$9,2,FALSE)</f>
        <v>Work</v>
      </c>
      <c r="W154" s="35" t="str">
        <f t="shared" si="2"/>
        <v>Work-Work</v>
      </c>
      <c r="X154" s="33">
        <v>15000</v>
      </c>
      <c r="Y154" s="39">
        <v>45</v>
      </c>
      <c r="Z154" s="39">
        <v>2</v>
      </c>
      <c r="AA154" s="33">
        <v>5</v>
      </c>
      <c r="AB154" s="35" t="str">
        <f>VLOOKUP(AA154,Key!$C$20:$D$29,2,FALSE)</f>
        <v>Professional</v>
      </c>
      <c r="AC154" s="33">
        <v>2</v>
      </c>
      <c r="AD154" s="35" t="str">
        <f>VLOOKUP(AC154,Key!$E$20:$F$24,2,FALSE)</f>
        <v>300,000-500,000</v>
      </c>
      <c r="AE154" s="33">
        <v>1</v>
      </c>
      <c r="AF154" s="39">
        <v>2</v>
      </c>
      <c r="AG154" s="39">
        <v>5</v>
      </c>
      <c r="AH154" s="39">
        <v>1</v>
      </c>
      <c r="AI154" s="39">
        <v>1</v>
      </c>
      <c r="AJ154" s="40" t="s">
        <v>100</v>
      </c>
      <c r="AK154" s="41">
        <v>2000</v>
      </c>
      <c r="AL154" s="25"/>
      <c r="AM154" s="25"/>
    </row>
    <row r="155" spans="1:39" x14ac:dyDescent="0.2">
      <c r="A155" s="10"/>
      <c r="B155" s="52">
        <v>43765</v>
      </c>
      <c r="C155" s="36">
        <v>0.44513888888888892</v>
      </c>
      <c r="D155" s="36"/>
      <c r="E155" s="36" t="s">
        <v>105</v>
      </c>
      <c r="F155" s="38">
        <v>2</v>
      </c>
      <c r="G155" s="43" t="str">
        <f>VLOOKUP(F155,Key!$A$17:$B$21,2,FALSE)</f>
        <v>Road Vehicle</v>
      </c>
      <c r="H155" s="37">
        <v>4</v>
      </c>
      <c r="I155" s="44" t="str">
        <f>VLOOKUP(H155,Key!$A$2:$B$13,2,FALSE)</f>
        <v>Minibus</v>
      </c>
      <c r="J155" s="38" t="s">
        <v>117</v>
      </c>
      <c r="K155" s="38">
        <v>2</v>
      </c>
      <c r="L155" s="46" t="str">
        <f>VLOOKUP(K155,Key!$A$24:$B$29,2,FALSE)</f>
        <v>30-39</v>
      </c>
      <c r="M155" s="38" t="s">
        <v>190</v>
      </c>
      <c r="N155" s="33" t="s">
        <v>171</v>
      </c>
      <c r="O155" s="38" t="s">
        <v>166</v>
      </c>
      <c r="P155" s="40">
        <v>2</v>
      </c>
      <c r="Q155" s="35" t="str">
        <f>VLOOKUP(P155,Key!$E$2:$F$9,2,FALSE)</f>
        <v>Work</v>
      </c>
      <c r="R155" s="38" t="s">
        <v>191</v>
      </c>
      <c r="S155" s="33" t="s">
        <v>165</v>
      </c>
      <c r="T155" s="38" t="s">
        <v>166</v>
      </c>
      <c r="U155" s="33">
        <v>2</v>
      </c>
      <c r="V155" s="35" t="str">
        <f>VLOOKUP(U155,Key!$E$2:$F$9,2,FALSE)</f>
        <v>Work</v>
      </c>
      <c r="W155" s="35" t="str">
        <f t="shared" si="2"/>
        <v>Work-Work</v>
      </c>
      <c r="X155" s="33">
        <v>70000</v>
      </c>
      <c r="Y155" s="39"/>
      <c r="Z155" s="39">
        <v>2</v>
      </c>
      <c r="AA155" s="33">
        <v>6</v>
      </c>
      <c r="AB155" s="35" t="str">
        <f>VLOOKUP(AA155,Key!$C$20:$D$29,2,FALSE)</f>
        <v>Businessman</v>
      </c>
      <c r="AC155" s="33">
        <v>3</v>
      </c>
      <c r="AD155" s="35" t="str">
        <f>VLOOKUP(AC155,Key!$E$20:$F$24,2,FALSE)</f>
        <v>500,000-750,000</v>
      </c>
      <c r="AE155" s="33">
        <v>1</v>
      </c>
      <c r="AF155" s="39">
        <v>1</v>
      </c>
      <c r="AG155" s="39">
        <v>1</v>
      </c>
      <c r="AH155" s="39">
        <v>1</v>
      </c>
      <c r="AI155" s="39">
        <v>1</v>
      </c>
      <c r="AJ155" s="40" t="s">
        <v>100</v>
      </c>
      <c r="AK155" s="41">
        <v>1000</v>
      </c>
      <c r="AL155" s="25"/>
      <c r="AM155" s="25"/>
    </row>
    <row r="156" spans="1:39" x14ac:dyDescent="0.2">
      <c r="B156" s="52">
        <v>43765</v>
      </c>
      <c r="C156" s="36">
        <v>0.29722222222222222</v>
      </c>
      <c r="D156" s="36"/>
      <c r="E156" s="36" t="s">
        <v>163</v>
      </c>
      <c r="F156" s="38">
        <v>2</v>
      </c>
      <c r="G156" s="43" t="str">
        <f>VLOOKUP(F156,Key!$A$17:$B$21,2,FALSE)</f>
        <v>Road Vehicle</v>
      </c>
      <c r="H156" s="37">
        <v>4</v>
      </c>
      <c r="I156" s="44" t="str">
        <f>VLOOKUP(H156,Key!$A$2:$B$13,2,FALSE)</f>
        <v>Minibus</v>
      </c>
      <c r="J156" s="38" t="s">
        <v>117</v>
      </c>
      <c r="K156" s="38">
        <v>2</v>
      </c>
      <c r="L156" s="46" t="str">
        <f>VLOOKUP(K156,Key!$A$24:$B$29,2,FALSE)</f>
        <v>30-39</v>
      </c>
      <c r="M156" s="38" t="s">
        <v>207</v>
      </c>
      <c r="N156" s="33" t="s">
        <v>171</v>
      </c>
      <c r="O156" s="38" t="s">
        <v>166</v>
      </c>
      <c r="P156" s="40">
        <v>1</v>
      </c>
      <c r="Q156" s="35" t="str">
        <f>VLOOKUP(P156,Key!$E$2:$F$9,2,FALSE)</f>
        <v>Home</v>
      </c>
      <c r="R156" s="38" t="s">
        <v>164</v>
      </c>
      <c r="S156" s="33" t="s">
        <v>165</v>
      </c>
      <c r="T156" s="38" t="s">
        <v>166</v>
      </c>
      <c r="U156" s="33">
        <v>2</v>
      </c>
      <c r="V156" s="35" t="str">
        <f>VLOOKUP(U156,Key!$E$2:$F$9,2,FALSE)</f>
        <v>Work</v>
      </c>
      <c r="W156" s="35" t="str">
        <f t="shared" si="2"/>
        <v>Home-Work</v>
      </c>
      <c r="X156" s="33">
        <v>3500</v>
      </c>
      <c r="Y156" s="39">
        <v>100</v>
      </c>
      <c r="Z156" s="39">
        <v>1</v>
      </c>
      <c r="AA156" s="33">
        <v>4</v>
      </c>
      <c r="AB156" s="35" t="str">
        <f>VLOOKUP(AA156,Key!$C$20:$D$29,2,FALSE)</f>
        <v>Office Worker</v>
      </c>
      <c r="AC156" s="33">
        <v>2</v>
      </c>
      <c r="AD156" s="35" t="str">
        <f>VLOOKUP(AC156,Key!$E$20:$F$24,2,FALSE)</f>
        <v>300,000-500,000</v>
      </c>
      <c r="AE156" s="33">
        <v>1</v>
      </c>
      <c r="AF156" s="39">
        <v>1</v>
      </c>
      <c r="AG156" s="39">
        <v>1</v>
      </c>
      <c r="AH156" s="39">
        <v>1</v>
      </c>
      <c r="AI156" s="39">
        <v>1</v>
      </c>
      <c r="AJ156" s="40" t="s">
        <v>100</v>
      </c>
      <c r="AK156" s="41">
        <v>5000</v>
      </c>
      <c r="AL156" s="25"/>
      <c r="AM156" s="25"/>
    </row>
    <row r="157" spans="1:39" x14ac:dyDescent="0.2">
      <c r="B157" s="52">
        <v>43765</v>
      </c>
      <c r="C157" s="36">
        <v>0.39583333333333331</v>
      </c>
      <c r="D157" s="36"/>
      <c r="E157" s="36" t="s">
        <v>105</v>
      </c>
      <c r="F157" s="38">
        <v>2</v>
      </c>
      <c r="G157" s="43" t="str">
        <f>VLOOKUP(F157,Key!$A$17:$B$21,2,FALSE)</f>
        <v>Road Vehicle</v>
      </c>
      <c r="H157" s="37">
        <v>4</v>
      </c>
      <c r="I157" s="44" t="str">
        <f>VLOOKUP(H157,Key!$A$2:$B$13,2,FALSE)</f>
        <v>Minibus</v>
      </c>
      <c r="J157" s="38" t="s">
        <v>117</v>
      </c>
      <c r="K157" s="38">
        <v>2</v>
      </c>
      <c r="L157" s="46" t="str">
        <f>VLOOKUP(K157,Key!$A$24:$B$29,2,FALSE)</f>
        <v>30-39</v>
      </c>
      <c r="M157" s="38" t="s">
        <v>174</v>
      </c>
      <c r="N157" s="33" t="s">
        <v>171</v>
      </c>
      <c r="O157" s="38" t="s">
        <v>166</v>
      </c>
      <c r="P157" s="40">
        <v>7</v>
      </c>
      <c r="Q157" s="35" t="str">
        <f>VLOOKUP(P157,Key!$E$2:$F$9,2,FALSE)</f>
        <v>Hospital</v>
      </c>
      <c r="R157" s="38" t="s">
        <v>237</v>
      </c>
      <c r="S157" s="33" t="s">
        <v>165</v>
      </c>
      <c r="T157" s="38" t="s">
        <v>166</v>
      </c>
      <c r="U157" s="33">
        <v>7</v>
      </c>
      <c r="V157" s="35" t="str">
        <f>VLOOKUP(U157,Key!$E$2:$F$9,2,FALSE)</f>
        <v>Hospital</v>
      </c>
      <c r="W157" s="35" t="str">
        <f t="shared" si="2"/>
        <v>Hospital-Hospital</v>
      </c>
      <c r="X157" s="33">
        <v>100000</v>
      </c>
      <c r="Y157" s="39"/>
      <c r="Z157" s="39"/>
      <c r="AA157" s="33">
        <v>5</v>
      </c>
      <c r="AB157" s="35" t="str">
        <f>VLOOKUP(AA157,Key!$C$20:$D$29,2,FALSE)</f>
        <v>Professional</v>
      </c>
      <c r="AC157" s="33">
        <v>1</v>
      </c>
      <c r="AD157" s="35" t="str">
        <f>VLOOKUP(AC157,Key!$E$20:$F$24,2,FALSE)</f>
        <v>&lt;300,000</v>
      </c>
      <c r="AE157" s="33">
        <v>1</v>
      </c>
      <c r="AF157" s="39">
        <v>5</v>
      </c>
      <c r="AG157" s="39">
        <v>1</v>
      </c>
      <c r="AH157" s="39">
        <v>1</v>
      </c>
      <c r="AI157" s="39">
        <v>1</v>
      </c>
      <c r="AJ157" s="40" t="s">
        <v>100</v>
      </c>
      <c r="AK157" s="41">
        <v>4000</v>
      </c>
      <c r="AL157" s="25"/>
      <c r="AM157" s="25"/>
    </row>
    <row r="158" spans="1:39" x14ac:dyDescent="0.2">
      <c r="B158" s="52">
        <v>43765</v>
      </c>
      <c r="C158" s="36">
        <v>0.3888888888888889</v>
      </c>
      <c r="D158" s="36"/>
      <c r="E158" s="36" t="s">
        <v>105</v>
      </c>
      <c r="F158" s="38">
        <v>2</v>
      </c>
      <c r="G158" s="43" t="str">
        <f>VLOOKUP(F158,Key!$A$17:$B$21,2,FALSE)</f>
        <v>Road Vehicle</v>
      </c>
      <c r="H158" s="37">
        <v>4</v>
      </c>
      <c r="I158" s="44" t="str">
        <f>VLOOKUP(H158,Key!$A$2:$B$13,2,FALSE)</f>
        <v>Minibus</v>
      </c>
      <c r="J158" s="38" t="s">
        <v>117</v>
      </c>
      <c r="K158" s="38">
        <v>2</v>
      </c>
      <c r="L158" s="46" t="str">
        <f>VLOOKUP(K158,Key!$A$24:$B$29,2,FALSE)</f>
        <v>30-39</v>
      </c>
      <c r="M158" s="38" t="s">
        <v>230</v>
      </c>
      <c r="N158" s="33" t="s">
        <v>231</v>
      </c>
      <c r="O158" s="38" t="s">
        <v>166</v>
      </c>
      <c r="P158" s="40">
        <v>2</v>
      </c>
      <c r="Q158" s="35" t="str">
        <f>VLOOKUP(P158,Key!$E$2:$F$9,2,FALSE)</f>
        <v>Work</v>
      </c>
      <c r="R158" s="38" t="s">
        <v>169</v>
      </c>
      <c r="S158" s="33" t="s">
        <v>165</v>
      </c>
      <c r="T158" s="38" t="s">
        <v>166</v>
      </c>
      <c r="U158" s="33">
        <v>2</v>
      </c>
      <c r="V158" s="35" t="str">
        <f>VLOOKUP(U158,Key!$E$2:$F$9,2,FALSE)</f>
        <v>Work</v>
      </c>
      <c r="W158" s="35" t="str">
        <f t="shared" si="2"/>
        <v>Work-Work</v>
      </c>
      <c r="X158" s="33">
        <v>90000</v>
      </c>
      <c r="Y158" s="39">
        <v>84</v>
      </c>
      <c r="Z158" s="39">
        <v>3</v>
      </c>
      <c r="AA158" s="33">
        <v>5</v>
      </c>
      <c r="AB158" s="35" t="str">
        <f>VLOOKUP(AA158,Key!$C$20:$D$29,2,FALSE)</f>
        <v>Professional</v>
      </c>
      <c r="AC158" s="33">
        <v>2</v>
      </c>
      <c r="AD158" s="35" t="str">
        <f>VLOOKUP(AC158,Key!$E$20:$F$24,2,FALSE)</f>
        <v>300,000-500,000</v>
      </c>
      <c r="AE158" s="33">
        <v>5</v>
      </c>
      <c r="AF158" s="39">
        <v>1</v>
      </c>
      <c r="AG158" s="39">
        <v>1</v>
      </c>
      <c r="AH158" s="39">
        <v>1</v>
      </c>
      <c r="AI158" s="39">
        <v>1</v>
      </c>
      <c r="AJ158" s="40" t="s">
        <v>100</v>
      </c>
      <c r="AK158" s="41">
        <v>4000</v>
      </c>
      <c r="AL158" s="25"/>
      <c r="AM158" s="25"/>
    </row>
    <row r="159" spans="1:39" x14ac:dyDescent="0.2">
      <c r="A159" s="10"/>
      <c r="B159" s="52">
        <v>43765</v>
      </c>
      <c r="C159" s="36">
        <v>0.62430555555555556</v>
      </c>
      <c r="D159" s="36"/>
      <c r="E159" s="36" t="s">
        <v>163</v>
      </c>
      <c r="F159" s="38">
        <v>2</v>
      </c>
      <c r="G159" s="43" t="str">
        <f>VLOOKUP(F159,Key!$A$17:$B$21,2,FALSE)</f>
        <v>Road Vehicle</v>
      </c>
      <c r="H159" s="37">
        <v>4</v>
      </c>
      <c r="I159" s="44" t="str">
        <f>VLOOKUP(H159,Key!$A$2:$B$13,2,FALSE)</f>
        <v>Minibus</v>
      </c>
      <c r="J159" s="38" t="s">
        <v>117</v>
      </c>
      <c r="K159" s="38">
        <v>2</v>
      </c>
      <c r="L159" s="46" t="str">
        <f>VLOOKUP(K159,Key!$A$24:$B$29,2,FALSE)</f>
        <v>30-39</v>
      </c>
      <c r="M159" s="38" t="s">
        <v>241</v>
      </c>
      <c r="N159" s="33" t="s">
        <v>165</v>
      </c>
      <c r="O159" s="38" t="s">
        <v>166</v>
      </c>
      <c r="P159" s="40">
        <v>1</v>
      </c>
      <c r="Q159" s="35" t="str">
        <f>VLOOKUP(P159,Key!$E$2:$F$9,2,FALSE)</f>
        <v>Home</v>
      </c>
      <c r="R159" s="38" t="s">
        <v>191</v>
      </c>
      <c r="S159" s="33" t="s">
        <v>165</v>
      </c>
      <c r="T159" s="38" t="s">
        <v>166</v>
      </c>
      <c r="U159" s="33">
        <v>8</v>
      </c>
      <c r="V159" s="35" t="str">
        <f>VLOOKUP(U159,Key!$E$2:$F$9,2,FALSE)</f>
        <v>Others</v>
      </c>
      <c r="W159" s="35" t="str">
        <f t="shared" si="2"/>
        <v>Home-Others</v>
      </c>
      <c r="X159" s="33">
        <v>3000</v>
      </c>
      <c r="Y159" s="39"/>
      <c r="Z159" s="39">
        <v>1.5</v>
      </c>
      <c r="AA159" s="33">
        <v>5</v>
      </c>
      <c r="AB159" s="35" t="str">
        <f>VLOOKUP(AA159,Key!$C$20:$D$29,2,FALSE)</f>
        <v>Professional</v>
      </c>
      <c r="AC159" s="33">
        <v>3</v>
      </c>
      <c r="AD159" s="35" t="str">
        <f>VLOOKUP(AC159,Key!$E$20:$F$24,2,FALSE)</f>
        <v>500,000-750,000</v>
      </c>
      <c r="AE159" s="33">
        <v>2</v>
      </c>
      <c r="AF159" s="39">
        <v>5</v>
      </c>
      <c r="AG159" s="39">
        <v>4</v>
      </c>
      <c r="AH159" s="39">
        <v>1</v>
      </c>
      <c r="AI159" s="39">
        <v>3</v>
      </c>
      <c r="AJ159" s="40" t="s">
        <v>100</v>
      </c>
      <c r="AK159" s="41">
        <v>500</v>
      </c>
      <c r="AL159" s="25"/>
      <c r="AM159" s="25"/>
    </row>
    <row r="160" spans="1:39" x14ac:dyDescent="0.2">
      <c r="B160" s="52">
        <v>43765</v>
      </c>
      <c r="C160" s="36">
        <v>0.38750000000000001</v>
      </c>
      <c r="D160" s="36"/>
      <c r="E160" s="36" t="s">
        <v>163</v>
      </c>
      <c r="F160" s="38">
        <v>2</v>
      </c>
      <c r="G160" s="43" t="str">
        <f>VLOOKUP(F160,Key!$A$17:$B$21,2,FALSE)</f>
        <v>Road Vehicle</v>
      </c>
      <c r="H160" s="37">
        <v>4</v>
      </c>
      <c r="I160" s="44" t="str">
        <f>VLOOKUP(H160,Key!$A$2:$B$13,2,FALSE)</f>
        <v>Minibus</v>
      </c>
      <c r="J160" s="38" t="s">
        <v>117</v>
      </c>
      <c r="K160" s="38">
        <v>2</v>
      </c>
      <c r="L160" s="46" t="str">
        <f>VLOOKUP(K160,Key!$A$24:$B$29,2,FALSE)</f>
        <v>30-39</v>
      </c>
      <c r="M160" s="38" t="s">
        <v>164</v>
      </c>
      <c r="N160" s="33" t="s">
        <v>165</v>
      </c>
      <c r="O160" s="38" t="s">
        <v>166</v>
      </c>
      <c r="P160" s="40">
        <v>1</v>
      </c>
      <c r="Q160" s="35" t="str">
        <f>VLOOKUP(P160,Key!$E$2:$F$9,2,FALSE)</f>
        <v>Home</v>
      </c>
      <c r="R160" s="38" t="s">
        <v>223</v>
      </c>
      <c r="S160" s="33" t="s">
        <v>176</v>
      </c>
      <c r="T160" s="38" t="s">
        <v>166</v>
      </c>
      <c r="U160" s="33">
        <v>6</v>
      </c>
      <c r="V160" s="35" t="str">
        <f>VLOOKUP(U160,Key!$E$2:$F$9,2,FALSE)</f>
        <v>Leisure/Social</v>
      </c>
      <c r="W160" s="35" t="str">
        <f t="shared" si="2"/>
        <v>Home-Leisure/Social</v>
      </c>
      <c r="X160" s="33">
        <v>6000</v>
      </c>
      <c r="Y160" s="39">
        <v>60</v>
      </c>
      <c r="Z160" s="39">
        <v>2</v>
      </c>
      <c r="AA160" s="33">
        <v>4</v>
      </c>
      <c r="AB160" s="35" t="str">
        <f>VLOOKUP(AA160,Key!$C$20:$D$29,2,FALSE)</f>
        <v>Office Worker</v>
      </c>
      <c r="AC160" s="33">
        <v>3</v>
      </c>
      <c r="AD160" s="35" t="str">
        <f>VLOOKUP(AC160,Key!$E$20:$F$24,2,FALSE)</f>
        <v>500,000-750,000</v>
      </c>
      <c r="AE160" s="33">
        <v>3</v>
      </c>
      <c r="AF160" s="39">
        <v>2</v>
      </c>
      <c r="AG160" s="39">
        <v>4</v>
      </c>
      <c r="AH160" s="39">
        <v>1</v>
      </c>
      <c r="AI160" s="39">
        <v>5</v>
      </c>
      <c r="AJ160" s="40" t="s">
        <v>100</v>
      </c>
      <c r="AK160" s="41">
        <v>1500</v>
      </c>
      <c r="AL160" s="25"/>
      <c r="AM160" s="25"/>
    </row>
    <row r="161" spans="2:39" x14ac:dyDescent="0.2">
      <c r="B161" s="52">
        <v>43765</v>
      </c>
      <c r="C161" s="36">
        <v>0.70000000000000007</v>
      </c>
      <c r="D161" s="36"/>
      <c r="E161" s="36" t="s">
        <v>163</v>
      </c>
      <c r="F161" s="38">
        <v>2</v>
      </c>
      <c r="G161" s="43" t="str">
        <f>VLOOKUP(F161,Key!$A$17:$B$21,2,FALSE)</f>
        <v>Road Vehicle</v>
      </c>
      <c r="H161" s="37">
        <v>4</v>
      </c>
      <c r="I161" s="44" t="str">
        <f>VLOOKUP(H161,Key!$A$2:$B$13,2,FALSE)</f>
        <v>Minibus</v>
      </c>
      <c r="J161" s="38" t="s">
        <v>117</v>
      </c>
      <c r="K161" s="38">
        <v>2</v>
      </c>
      <c r="L161" s="46" t="str">
        <f>VLOOKUP(K161,Key!$A$24:$B$29,2,FALSE)</f>
        <v>30-39</v>
      </c>
      <c r="M161" s="38" t="s">
        <v>164</v>
      </c>
      <c r="N161" s="33" t="s">
        <v>165</v>
      </c>
      <c r="O161" s="38" t="s">
        <v>166</v>
      </c>
      <c r="P161" s="40">
        <v>1</v>
      </c>
      <c r="Q161" s="35" t="str">
        <f>VLOOKUP(P161,Key!$E$2:$F$9,2,FALSE)</f>
        <v>Home</v>
      </c>
      <c r="R161" s="38" t="s">
        <v>179</v>
      </c>
      <c r="S161" s="33" t="s">
        <v>171</v>
      </c>
      <c r="T161" s="38" t="s">
        <v>166</v>
      </c>
      <c r="U161" s="33">
        <v>6</v>
      </c>
      <c r="V161" s="35" t="str">
        <f>VLOOKUP(U161,Key!$E$2:$F$9,2,FALSE)</f>
        <v>Leisure/Social</v>
      </c>
      <c r="W161" s="35" t="str">
        <f t="shared" si="2"/>
        <v>Home-Leisure/Social</v>
      </c>
      <c r="X161" s="33">
        <v>5000</v>
      </c>
      <c r="Y161" s="39"/>
      <c r="Z161" s="39">
        <v>2</v>
      </c>
      <c r="AA161" s="33">
        <v>6</v>
      </c>
      <c r="AB161" s="35" t="str">
        <f>VLOOKUP(AA161,Key!$C$20:$D$29,2,FALSE)</f>
        <v>Businessman</v>
      </c>
      <c r="AC161" s="33">
        <v>2</v>
      </c>
      <c r="AD161" s="35" t="str">
        <f>VLOOKUP(AC161,Key!$E$20:$F$24,2,FALSE)</f>
        <v>300,000-500,000</v>
      </c>
      <c r="AE161" s="33">
        <v>5</v>
      </c>
      <c r="AF161" s="39">
        <v>4</v>
      </c>
      <c r="AG161" s="39">
        <v>1</v>
      </c>
      <c r="AH161" s="39">
        <v>2</v>
      </c>
      <c r="AI161" s="39">
        <v>3</v>
      </c>
      <c r="AJ161" s="40" t="s">
        <v>100</v>
      </c>
      <c r="AK161" s="41">
        <v>1000</v>
      </c>
      <c r="AL161" s="25"/>
      <c r="AM161" s="25"/>
    </row>
    <row r="162" spans="2:39" x14ac:dyDescent="0.2">
      <c r="B162" s="52">
        <v>43765</v>
      </c>
      <c r="C162" s="36">
        <v>0.37291666666666662</v>
      </c>
      <c r="D162" s="36"/>
      <c r="E162" s="36" t="s">
        <v>105</v>
      </c>
      <c r="F162" s="38">
        <v>2</v>
      </c>
      <c r="G162" s="43" t="str">
        <f>VLOOKUP(F162,Key!$A$17:$B$21,2,FALSE)</f>
        <v>Road Vehicle</v>
      </c>
      <c r="H162" s="37">
        <v>4</v>
      </c>
      <c r="I162" s="44" t="str">
        <f>VLOOKUP(H162,Key!$A$2:$B$13,2,FALSE)</f>
        <v>Minibus</v>
      </c>
      <c r="J162" s="38" t="s">
        <v>117</v>
      </c>
      <c r="K162" s="38">
        <v>2</v>
      </c>
      <c r="L162" s="46" t="str">
        <f>VLOOKUP(K162,Key!$A$24:$B$29,2,FALSE)</f>
        <v>30-39</v>
      </c>
      <c r="M162" s="38" t="s">
        <v>164</v>
      </c>
      <c r="N162" s="33" t="s">
        <v>165</v>
      </c>
      <c r="O162" s="38" t="s">
        <v>166</v>
      </c>
      <c r="P162" s="40">
        <v>2</v>
      </c>
      <c r="Q162" s="35" t="str">
        <f>VLOOKUP(P162,Key!$E$2:$F$9,2,FALSE)</f>
        <v>Work</v>
      </c>
      <c r="R162" s="38" t="s">
        <v>170</v>
      </c>
      <c r="S162" s="33" t="s">
        <v>171</v>
      </c>
      <c r="T162" s="38" t="s">
        <v>166</v>
      </c>
      <c r="U162" s="33">
        <v>2</v>
      </c>
      <c r="V162" s="35" t="str">
        <f>VLOOKUP(U162,Key!$E$2:$F$9,2,FALSE)</f>
        <v>Work</v>
      </c>
      <c r="W162" s="35" t="str">
        <f t="shared" si="2"/>
        <v>Work-Work</v>
      </c>
      <c r="X162" s="33">
        <v>50000</v>
      </c>
      <c r="Y162" s="39">
        <v>45</v>
      </c>
      <c r="Z162" s="39">
        <v>1.1000000000000001</v>
      </c>
      <c r="AA162" s="33">
        <v>10</v>
      </c>
      <c r="AB162" s="35" t="str">
        <f>VLOOKUP(AA162,Key!$C$20:$D$29,2,FALSE)</f>
        <v>Other</v>
      </c>
      <c r="AC162" s="33">
        <v>2</v>
      </c>
      <c r="AD162" s="35" t="str">
        <f>VLOOKUP(AC162,Key!$E$20:$F$24,2,FALSE)</f>
        <v>300,000-500,000</v>
      </c>
      <c r="AE162" s="33">
        <v>2</v>
      </c>
      <c r="AF162" s="39">
        <v>3</v>
      </c>
      <c r="AG162" s="39">
        <v>1</v>
      </c>
      <c r="AH162" s="39">
        <v>4</v>
      </c>
      <c r="AI162" s="39">
        <v>5</v>
      </c>
      <c r="AJ162" s="40" t="s">
        <v>100</v>
      </c>
      <c r="AK162" s="41">
        <v>1000</v>
      </c>
      <c r="AL162" s="25"/>
      <c r="AM162" s="25"/>
    </row>
    <row r="163" spans="2:39" x14ac:dyDescent="0.2">
      <c r="B163" s="52">
        <v>43765</v>
      </c>
      <c r="C163" s="36">
        <v>0.3666666666666667</v>
      </c>
      <c r="D163" s="36"/>
      <c r="E163" s="36" t="s">
        <v>163</v>
      </c>
      <c r="F163" s="38">
        <v>2</v>
      </c>
      <c r="G163" s="43" t="str">
        <f>VLOOKUP(F163,Key!$A$17:$B$21,2,FALSE)</f>
        <v>Road Vehicle</v>
      </c>
      <c r="H163" s="37">
        <v>4</v>
      </c>
      <c r="I163" s="44" t="str">
        <f>VLOOKUP(H163,Key!$A$2:$B$13,2,FALSE)</f>
        <v>Minibus</v>
      </c>
      <c r="J163" s="38" t="s">
        <v>117</v>
      </c>
      <c r="K163" s="38">
        <v>2</v>
      </c>
      <c r="L163" s="46" t="str">
        <f>VLOOKUP(K163,Key!$A$24:$B$29,2,FALSE)</f>
        <v>30-39</v>
      </c>
      <c r="M163" s="38" t="s">
        <v>169</v>
      </c>
      <c r="N163" s="33" t="s">
        <v>165</v>
      </c>
      <c r="O163" s="38" t="s">
        <v>166</v>
      </c>
      <c r="P163" s="40">
        <v>4</v>
      </c>
      <c r="Q163" s="35" t="str">
        <f>VLOOKUP(P163,Key!$E$2:$F$9,2,FALSE)</f>
        <v>Commercial</v>
      </c>
      <c r="R163" s="38" t="s">
        <v>204</v>
      </c>
      <c r="S163" s="33" t="s">
        <v>171</v>
      </c>
      <c r="T163" s="38" t="s">
        <v>166</v>
      </c>
      <c r="U163" s="33">
        <v>1</v>
      </c>
      <c r="V163" s="35" t="str">
        <f>VLOOKUP(U163,Key!$E$2:$F$9,2,FALSE)</f>
        <v>Home</v>
      </c>
      <c r="W163" s="35" t="str">
        <f t="shared" si="2"/>
        <v>Commercial-Home</v>
      </c>
      <c r="X163" s="33">
        <v>4000</v>
      </c>
      <c r="Y163" s="39"/>
      <c r="Z163" s="39">
        <v>1</v>
      </c>
      <c r="AA163" s="33">
        <v>5</v>
      </c>
      <c r="AB163" s="35" t="str">
        <f>VLOOKUP(AA163,Key!$C$20:$D$29,2,FALSE)</f>
        <v>Professional</v>
      </c>
      <c r="AC163" s="33">
        <v>3</v>
      </c>
      <c r="AD163" s="35" t="str">
        <f>VLOOKUP(AC163,Key!$E$20:$F$24,2,FALSE)</f>
        <v>500,000-750,000</v>
      </c>
      <c r="AE163" s="33">
        <v>1</v>
      </c>
      <c r="AF163" s="39">
        <v>5</v>
      </c>
      <c r="AG163" s="39">
        <v>3</v>
      </c>
      <c r="AH163" s="39">
        <v>2</v>
      </c>
      <c r="AI163" s="39">
        <v>4</v>
      </c>
      <c r="AJ163" s="40" t="s">
        <v>100</v>
      </c>
      <c r="AK163" s="41">
        <v>3000</v>
      </c>
      <c r="AL163" s="25"/>
      <c r="AM163" s="25"/>
    </row>
    <row r="164" spans="2:39" x14ac:dyDescent="0.2">
      <c r="B164" s="52">
        <v>43765</v>
      </c>
      <c r="C164" s="36">
        <v>0.34097222222222223</v>
      </c>
      <c r="D164" s="36"/>
      <c r="E164" s="36" t="s">
        <v>105</v>
      </c>
      <c r="F164" s="38">
        <v>2</v>
      </c>
      <c r="G164" s="43" t="str">
        <f>VLOOKUP(F164,Key!$A$17:$B$21,2,FALSE)</f>
        <v>Road Vehicle</v>
      </c>
      <c r="H164" s="37">
        <v>4</v>
      </c>
      <c r="I164" s="44" t="str">
        <f>VLOOKUP(H164,Key!$A$2:$B$13,2,FALSE)</f>
        <v>Minibus</v>
      </c>
      <c r="J164" s="38" t="s">
        <v>117</v>
      </c>
      <c r="K164" s="38">
        <v>2</v>
      </c>
      <c r="L164" s="46" t="str">
        <f>VLOOKUP(K164,Key!$A$24:$B$29,2,FALSE)</f>
        <v>30-39</v>
      </c>
      <c r="M164" s="38" t="s">
        <v>164</v>
      </c>
      <c r="N164" s="33" t="s">
        <v>165</v>
      </c>
      <c r="O164" s="38" t="s">
        <v>166</v>
      </c>
      <c r="P164" s="40">
        <v>2</v>
      </c>
      <c r="Q164" s="35" t="str">
        <f>VLOOKUP(P164,Key!$E$2:$F$9,2,FALSE)</f>
        <v>Work</v>
      </c>
      <c r="R164" s="38" t="s">
        <v>170</v>
      </c>
      <c r="S164" s="33" t="s">
        <v>171</v>
      </c>
      <c r="T164" s="38" t="s">
        <v>166</v>
      </c>
      <c r="U164" s="33">
        <v>2</v>
      </c>
      <c r="V164" s="35" t="str">
        <f>VLOOKUP(U164,Key!$E$2:$F$9,2,FALSE)</f>
        <v>Work</v>
      </c>
      <c r="W164" s="35" t="str">
        <f t="shared" si="2"/>
        <v>Work-Work</v>
      </c>
      <c r="X164" s="33">
        <v>30000</v>
      </c>
      <c r="Y164" s="39">
        <v>50</v>
      </c>
      <c r="Z164" s="39">
        <v>1.5</v>
      </c>
      <c r="AA164" s="33">
        <v>10</v>
      </c>
      <c r="AB164" s="35" t="str">
        <f>VLOOKUP(AA164,Key!$C$20:$D$29,2,FALSE)</f>
        <v>Other</v>
      </c>
      <c r="AC164" s="33">
        <v>1</v>
      </c>
      <c r="AD164" s="35" t="str">
        <f>VLOOKUP(AC164,Key!$E$20:$F$24,2,FALSE)</f>
        <v>&lt;300,000</v>
      </c>
      <c r="AE164" s="33">
        <v>1</v>
      </c>
      <c r="AF164" s="39">
        <v>2</v>
      </c>
      <c r="AG164" s="39">
        <v>5</v>
      </c>
      <c r="AH164" s="39">
        <v>4</v>
      </c>
      <c r="AI164" s="39">
        <v>3</v>
      </c>
      <c r="AJ164" s="40" t="s">
        <v>100</v>
      </c>
      <c r="AK164" s="41">
        <v>1500</v>
      </c>
      <c r="AL164" s="25"/>
      <c r="AM164" s="25"/>
    </row>
    <row r="165" spans="2:39" x14ac:dyDescent="0.2">
      <c r="B165" s="52">
        <v>43765</v>
      </c>
      <c r="C165" s="36">
        <v>0.32500000000000001</v>
      </c>
      <c r="D165" s="36"/>
      <c r="E165" s="36" t="s">
        <v>163</v>
      </c>
      <c r="F165" s="38">
        <v>2</v>
      </c>
      <c r="G165" s="43" t="str">
        <f>VLOOKUP(F165,Key!$A$17:$B$21,2,FALSE)</f>
        <v>Road Vehicle</v>
      </c>
      <c r="H165" s="37">
        <v>4</v>
      </c>
      <c r="I165" s="44" t="str">
        <f>VLOOKUP(H165,Key!$A$2:$B$13,2,FALSE)</f>
        <v>Minibus</v>
      </c>
      <c r="J165" s="38" t="s">
        <v>117</v>
      </c>
      <c r="K165" s="38">
        <v>2</v>
      </c>
      <c r="L165" s="46" t="str">
        <f>VLOOKUP(K165,Key!$A$24:$B$29,2,FALSE)</f>
        <v>30-39</v>
      </c>
      <c r="M165" s="38" t="s">
        <v>164</v>
      </c>
      <c r="N165" s="33" t="s">
        <v>165</v>
      </c>
      <c r="O165" s="38" t="s">
        <v>166</v>
      </c>
      <c r="P165" s="40">
        <v>2</v>
      </c>
      <c r="Q165" s="35" t="str">
        <f>VLOOKUP(P165,Key!$E$2:$F$9,2,FALSE)</f>
        <v>Work</v>
      </c>
      <c r="R165" s="38" t="s">
        <v>170</v>
      </c>
      <c r="S165" s="33" t="s">
        <v>171</v>
      </c>
      <c r="T165" s="38" t="s">
        <v>166</v>
      </c>
      <c r="U165" s="33">
        <v>8</v>
      </c>
      <c r="V165" s="35" t="str">
        <f>VLOOKUP(U165,Key!$E$2:$F$9,2,FALSE)</f>
        <v>Others</v>
      </c>
      <c r="W165" s="35" t="str">
        <f t="shared" si="2"/>
        <v>Work-Others</v>
      </c>
      <c r="X165" s="33">
        <v>3000</v>
      </c>
      <c r="Y165" s="39"/>
      <c r="Z165" s="39">
        <v>1</v>
      </c>
      <c r="AA165" s="33">
        <v>6</v>
      </c>
      <c r="AB165" s="35" t="str">
        <f>VLOOKUP(AA165,Key!$C$20:$D$29,2,FALSE)</f>
        <v>Businessman</v>
      </c>
      <c r="AC165" s="33">
        <v>2</v>
      </c>
      <c r="AD165" s="35" t="str">
        <f>VLOOKUP(AC165,Key!$E$20:$F$24,2,FALSE)</f>
        <v>300,000-500,000</v>
      </c>
      <c r="AE165" s="33">
        <v>1</v>
      </c>
      <c r="AF165" s="39">
        <v>3</v>
      </c>
      <c r="AG165" s="39">
        <v>4</v>
      </c>
      <c r="AH165" s="39">
        <v>2</v>
      </c>
      <c r="AI165" s="39">
        <v>5</v>
      </c>
      <c r="AJ165" s="40" t="s">
        <v>100</v>
      </c>
      <c r="AK165" s="41">
        <v>500</v>
      </c>
      <c r="AL165" s="25"/>
      <c r="AM165" s="25"/>
    </row>
    <row r="166" spans="2:39" x14ac:dyDescent="0.2">
      <c r="B166" s="52">
        <v>43765</v>
      </c>
      <c r="C166" s="36">
        <v>0.73333333333333339</v>
      </c>
      <c r="D166" s="36"/>
      <c r="E166" s="36" t="s">
        <v>163</v>
      </c>
      <c r="F166" s="38">
        <v>2</v>
      </c>
      <c r="G166" s="43" t="str">
        <f>VLOOKUP(F166,Key!$A$17:$B$21,2,FALSE)</f>
        <v>Road Vehicle</v>
      </c>
      <c r="H166" s="37">
        <v>4</v>
      </c>
      <c r="I166" s="44" t="str">
        <f>VLOOKUP(H166,Key!$A$2:$B$13,2,FALSE)</f>
        <v>Minibus</v>
      </c>
      <c r="J166" s="38" t="s">
        <v>117</v>
      </c>
      <c r="K166" s="38">
        <v>2</v>
      </c>
      <c r="L166" s="46" t="str">
        <f>VLOOKUP(K166,Key!$A$24:$B$29,2,FALSE)</f>
        <v>30-39</v>
      </c>
      <c r="M166" s="38" t="s">
        <v>164</v>
      </c>
      <c r="N166" s="33" t="s">
        <v>165</v>
      </c>
      <c r="O166" s="38" t="s">
        <v>166</v>
      </c>
      <c r="P166" s="40">
        <v>2</v>
      </c>
      <c r="Q166" s="35" t="str">
        <f>VLOOKUP(P166,Key!$E$2:$F$9,2,FALSE)</f>
        <v>Work</v>
      </c>
      <c r="R166" s="38" t="s">
        <v>254</v>
      </c>
      <c r="S166" s="33" t="s">
        <v>165</v>
      </c>
      <c r="T166" s="38" t="s">
        <v>166</v>
      </c>
      <c r="U166" s="33">
        <v>1</v>
      </c>
      <c r="V166" s="35" t="str">
        <f>VLOOKUP(U166,Key!$E$2:$F$9,2,FALSE)</f>
        <v>Home</v>
      </c>
      <c r="W166" s="35" t="str">
        <f t="shared" si="2"/>
        <v>Work-Home</v>
      </c>
      <c r="X166" s="33">
        <v>1000</v>
      </c>
      <c r="Y166" s="39">
        <v>6</v>
      </c>
      <c r="Z166" s="39">
        <v>0.2</v>
      </c>
      <c r="AA166" s="33">
        <v>6</v>
      </c>
      <c r="AB166" s="35" t="str">
        <f>VLOOKUP(AA166,Key!$C$20:$D$29,2,FALSE)</f>
        <v>Businessman</v>
      </c>
      <c r="AC166" s="33">
        <v>3</v>
      </c>
      <c r="AD166" s="35" t="str">
        <f>VLOOKUP(AC166,Key!$E$20:$F$24,2,FALSE)</f>
        <v>500,000-750,000</v>
      </c>
      <c r="AE166" s="33">
        <v>5</v>
      </c>
      <c r="AF166" s="39">
        <v>3</v>
      </c>
      <c r="AG166" s="39">
        <v>4</v>
      </c>
      <c r="AH166" s="39">
        <v>1</v>
      </c>
      <c r="AI166" s="39">
        <v>2</v>
      </c>
      <c r="AJ166" s="40" t="s">
        <v>100</v>
      </c>
      <c r="AK166" s="41">
        <v>500</v>
      </c>
      <c r="AL166" s="25"/>
      <c r="AM166" s="25"/>
    </row>
    <row r="167" spans="2:39" x14ac:dyDescent="0.2">
      <c r="B167" s="52">
        <v>43765</v>
      </c>
      <c r="C167" s="36">
        <v>0.54236111111111118</v>
      </c>
      <c r="D167" s="36"/>
      <c r="E167" s="36" t="s">
        <v>105</v>
      </c>
      <c r="F167" s="38">
        <v>2</v>
      </c>
      <c r="G167" s="43" t="str">
        <f>VLOOKUP(F167,Key!$A$17:$B$21,2,FALSE)</f>
        <v>Road Vehicle</v>
      </c>
      <c r="H167" s="37">
        <v>4</v>
      </c>
      <c r="I167" s="44" t="str">
        <f>VLOOKUP(H167,Key!$A$2:$B$13,2,FALSE)</f>
        <v>Minibus</v>
      </c>
      <c r="J167" s="38" t="s">
        <v>117</v>
      </c>
      <c r="K167" s="38">
        <v>2</v>
      </c>
      <c r="L167" s="46" t="str">
        <f>VLOOKUP(K167,Key!$A$24:$B$29,2,FALSE)</f>
        <v>30-39</v>
      </c>
      <c r="M167" s="38" t="s">
        <v>164</v>
      </c>
      <c r="N167" s="33" t="s">
        <v>165</v>
      </c>
      <c r="O167" s="38" t="s">
        <v>166</v>
      </c>
      <c r="P167" s="40">
        <v>2</v>
      </c>
      <c r="Q167" s="35" t="str">
        <f>VLOOKUP(P167,Key!$E$2:$F$9,2,FALSE)</f>
        <v>Work</v>
      </c>
      <c r="R167" s="38" t="s">
        <v>167</v>
      </c>
      <c r="S167" s="33" t="s">
        <v>165</v>
      </c>
      <c r="T167" s="38" t="s">
        <v>166</v>
      </c>
      <c r="U167" s="33">
        <v>2</v>
      </c>
      <c r="V167" s="35" t="str">
        <f>VLOOKUP(U167,Key!$E$2:$F$9,2,FALSE)</f>
        <v>Work</v>
      </c>
      <c r="W167" s="35" t="str">
        <f t="shared" si="2"/>
        <v>Work-Work</v>
      </c>
      <c r="X167" s="33">
        <v>10000</v>
      </c>
      <c r="Y167" s="39">
        <v>30</v>
      </c>
      <c r="Z167" s="39">
        <v>0.9</v>
      </c>
      <c r="AA167" s="33">
        <v>10</v>
      </c>
      <c r="AB167" s="35" t="str">
        <f>VLOOKUP(AA167,Key!$C$20:$D$29,2,FALSE)</f>
        <v>Other</v>
      </c>
      <c r="AC167" s="33">
        <v>2</v>
      </c>
      <c r="AD167" s="35" t="str">
        <f>VLOOKUP(AC167,Key!$E$20:$F$24,2,FALSE)</f>
        <v>300,000-500,000</v>
      </c>
      <c r="AE167" s="33">
        <v>1</v>
      </c>
      <c r="AF167" s="39">
        <v>2</v>
      </c>
      <c r="AG167" s="39">
        <v>5</v>
      </c>
      <c r="AH167" s="39">
        <v>4</v>
      </c>
      <c r="AI167" s="39">
        <v>3</v>
      </c>
      <c r="AJ167" s="40" t="s">
        <v>100</v>
      </c>
      <c r="AK167" s="41">
        <v>1000</v>
      </c>
      <c r="AL167" s="25"/>
      <c r="AM167" s="25"/>
    </row>
    <row r="168" spans="2:39" x14ac:dyDescent="0.2">
      <c r="B168" s="52">
        <v>43765</v>
      </c>
      <c r="C168" s="36">
        <v>0.31111111111111112</v>
      </c>
      <c r="D168" s="36"/>
      <c r="E168" s="36" t="s">
        <v>105</v>
      </c>
      <c r="F168" s="38">
        <v>2</v>
      </c>
      <c r="G168" s="43" t="str">
        <f>VLOOKUP(F168,Key!$A$17:$B$21,2,FALSE)</f>
        <v>Road Vehicle</v>
      </c>
      <c r="H168" s="37">
        <v>4</v>
      </c>
      <c r="I168" s="44" t="str">
        <f>VLOOKUP(H168,Key!$A$2:$B$13,2,FALSE)</f>
        <v>Minibus</v>
      </c>
      <c r="J168" s="38" t="s">
        <v>117</v>
      </c>
      <c r="K168" s="38">
        <v>2</v>
      </c>
      <c r="L168" s="46" t="str">
        <f>VLOOKUP(K168,Key!$A$24:$B$29,2,FALSE)</f>
        <v>30-39</v>
      </c>
      <c r="M168" s="38" t="s">
        <v>161</v>
      </c>
      <c r="N168" s="33" t="s">
        <v>165</v>
      </c>
      <c r="O168" s="38" t="s">
        <v>166</v>
      </c>
      <c r="P168" s="40">
        <v>2</v>
      </c>
      <c r="Q168" s="35" t="str">
        <f>VLOOKUP(P168,Key!$E$2:$F$9,2,FALSE)</f>
        <v>Work</v>
      </c>
      <c r="R168" s="38" t="s">
        <v>207</v>
      </c>
      <c r="S168" s="33" t="s">
        <v>171</v>
      </c>
      <c r="T168" s="38" t="s">
        <v>166</v>
      </c>
      <c r="U168" s="33">
        <v>2</v>
      </c>
      <c r="V168" s="35" t="str">
        <f>VLOOKUP(U168,Key!$E$2:$F$9,2,FALSE)</f>
        <v>Work</v>
      </c>
      <c r="W168" s="35" t="str">
        <f t="shared" si="2"/>
        <v>Work-Work</v>
      </c>
      <c r="X168" s="33">
        <v>40000</v>
      </c>
      <c r="Y168" s="39">
        <v>36</v>
      </c>
      <c r="Z168" s="39">
        <v>1.5</v>
      </c>
      <c r="AA168" s="33">
        <v>1</v>
      </c>
      <c r="AB168" s="35" t="str">
        <f>VLOOKUP(AA168,Key!$C$20:$D$29,2,FALSE)</f>
        <v>Unemployed</v>
      </c>
      <c r="AC168" s="33">
        <v>1</v>
      </c>
      <c r="AD168" s="35" t="str">
        <f>VLOOKUP(AC168,Key!$E$20:$F$24,2,FALSE)</f>
        <v>&lt;300,000</v>
      </c>
      <c r="AE168" s="33">
        <v>2</v>
      </c>
      <c r="AF168" s="39">
        <v>3</v>
      </c>
      <c r="AG168" s="39">
        <v>4</v>
      </c>
      <c r="AH168" s="39">
        <v>1</v>
      </c>
      <c r="AI168" s="39">
        <v>5</v>
      </c>
      <c r="AJ168" s="40" t="s">
        <v>100</v>
      </c>
      <c r="AK168" s="41">
        <v>3000</v>
      </c>
      <c r="AL168" s="25"/>
      <c r="AM168" s="25"/>
    </row>
    <row r="169" spans="2:39" x14ac:dyDescent="0.2">
      <c r="B169" s="52">
        <v>43765</v>
      </c>
      <c r="C169" s="36">
        <v>0.31805555555555554</v>
      </c>
      <c r="D169" s="36"/>
      <c r="E169" s="36" t="s">
        <v>105</v>
      </c>
      <c r="F169" s="38">
        <v>2</v>
      </c>
      <c r="G169" s="43" t="str">
        <f>VLOOKUP(F169,Key!$A$17:$B$21,2,FALSE)</f>
        <v>Road Vehicle</v>
      </c>
      <c r="H169" s="37">
        <v>4</v>
      </c>
      <c r="I169" s="44" t="str">
        <f>VLOOKUP(H169,Key!$A$2:$B$13,2,FALSE)</f>
        <v>Minibus</v>
      </c>
      <c r="J169" s="38" t="s">
        <v>117</v>
      </c>
      <c r="K169" s="38">
        <v>2</v>
      </c>
      <c r="L169" s="46" t="str">
        <f>VLOOKUP(K169,Key!$A$24:$B$29,2,FALSE)</f>
        <v>30-39</v>
      </c>
      <c r="M169" s="38" t="s">
        <v>164</v>
      </c>
      <c r="N169" s="33" t="s">
        <v>165</v>
      </c>
      <c r="O169" s="38" t="s">
        <v>166</v>
      </c>
      <c r="P169" s="40">
        <v>2</v>
      </c>
      <c r="Q169" s="35" t="str">
        <f>VLOOKUP(P169,Key!$E$2:$F$9,2,FALSE)</f>
        <v>Work</v>
      </c>
      <c r="R169" s="38" t="s">
        <v>265</v>
      </c>
      <c r="S169" s="33" t="s">
        <v>171</v>
      </c>
      <c r="T169" s="38" t="s">
        <v>166</v>
      </c>
      <c r="U169" s="33">
        <v>2</v>
      </c>
      <c r="V169" s="35" t="str">
        <f>VLOOKUP(U169,Key!$E$2:$F$9,2,FALSE)</f>
        <v>Work</v>
      </c>
      <c r="W169" s="35" t="str">
        <f t="shared" si="2"/>
        <v>Work-Work</v>
      </c>
      <c r="X169" s="33">
        <v>35000</v>
      </c>
      <c r="Y169" s="39">
        <v>46</v>
      </c>
      <c r="Z169" s="39">
        <v>1</v>
      </c>
      <c r="AA169" s="33">
        <v>2</v>
      </c>
      <c r="AB169" s="35" t="str">
        <f>VLOOKUP(AA169,Key!$C$20:$D$29,2,FALSE)</f>
        <v>Manual Labour</v>
      </c>
      <c r="AC169" s="33">
        <v>1</v>
      </c>
      <c r="AD169" s="35" t="str">
        <f>VLOOKUP(AC169,Key!$E$20:$F$24,2,FALSE)</f>
        <v>&lt;300,000</v>
      </c>
      <c r="AE169" s="33">
        <v>1</v>
      </c>
      <c r="AF169" s="39">
        <v>2</v>
      </c>
      <c r="AG169" s="39">
        <v>3</v>
      </c>
      <c r="AH169" s="39">
        <v>5</v>
      </c>
      <c r="AI169" s="39">
        <v>4</v>
      </c>
      <c r="AJ169" s="40" t="s">
        <v>100</v>
      </c>
      <c r="AK169" s="41">
        <v>2000</v>
      </c>
      <c r="AL169" s="25"/>
      <c r="AM169" s="25"/>
    </row>
    <row r="170" spans="2:39" x14ac:dyDescent="0.2">
      <c r="B170" s="52">
        <v>43765</v>
      </c>
      <c r="C170" s="36">
        <v>0.34722222222222227</v>
      </c>
      <c r="D170" s="36"/>
      <c r="E170" s="36" t="s">
        <v>105</v>
      </c>
      <c r="F170" s="38">
        <v>2</v>
      </c>
      <c r="G170" s="43" t="str">
        <f>VLOOKUP(F170,Key!$A$17:$B$21,2,FALSE)</f>
        <v>Road Vehicle</v>
      </c>
      <c r="H170" s="37">
        <v>4</v>
      </c>
      <c r="I170" s="44" t="str">
        <f>VLOOKUP(H170,Key!$A$2:$B$13,2,FALSE)</f>
        <v>Minibus</v>
      </c>
      <c r="J170" s="38" t="s">
        <v>117</v>
      </c>
      <c r="K170" s="38">
        <v>2</v>
      </c>
      <c r="L170" s="46" t="str">
        <f>VLOOKUP(K170,Key!$A$24:$B$29,2,FALSE)</f>
        <v>30-39</v>
      </c>
      <c r="M170" s="38" t="s">
        <v>164</v>
      </c>
      <c r="N170" s="33" t="s">
        <v>165</v>
      </c>
      <c r="O170" s="38" t="s">
        <v>166</v>
      </c>
      <c r="P170" s="40">
        <v>2</v>
      </c>
      <c r="Q170" s="35" t="str">
        <f>VLOOKUP(P170,Key!$E$2:$F$9,2,FALSE)</f>
        <v>Work</v>
      </c>
      <c r="R170" s="38" t="s">
        <v>207</v>
      </c>
      <c r="S170" s="33" t="s">
        <v>171</v>
      </c>
      <c r="T170" s="38" t="s">
        <v>166</v>
      </c>
      <c r="U170" s="33">
        <v>2</v>
      </c>
      <c r="V170" s="35" t="str">
        <f>VLOOKUP(U170,Key!$E$2:$F$9,2,FALSE)</f>
        <v>Work</v>
      </c>
      <c r="W170" s="35" t="str">
        <f t="shared" si="2"/>
        <v>Work-Work</v>
      </c>
      <c r="X170" s="33">
        <v>35000</v>
      </c>
      <c r="Y170" s="39">
        <v>46</v>
      </c>
      <c r="Z170" s="39">
        <v>0.9</v>
      </c>
      <c r="AA170" s="33">
        <v>1</v>
      </c>
      <c r="AB170" s="35" t="str">
        <f>VLOOKUP(AA170,Key!$C$20:$D$29,2,FALSE)</f>
        <v>Unemployed</v>
      </c>
      <c r="AC170" s="33">
        <v>2</v>
      </c>
      <c r="AD170" s="35" t="str">
        <f>VLOOKUP(AC170,Key!$E$20:$F$24,2,FALSE)</f>
        <v>300,000-500,000</v>
      </c>
      <c r="AE170" s="33">
        <v>2</v>
      </c>
      <c r="AF170" s="39">
        <v>3</v>
      </c>
      <c r="AG170" s="39">
        <v>4</v>
      </c>
      <c r="AH170" s="39">
        <v>1</v>
      </c>
      <c r="AI170" s="39">
        <v>5</v>
      </c>
      <c r="AJ170" s="40" t="s">
        <v>100</v>
      </c>
      <c r="AK170" s="41">
        <v>2000</v>
      </c>
      <c r="AL170" s="25"/>
      <c r="AM170" s="25"/>
    </row>
    <row r="171" spans="2:39" x14ac:dyDescent="0.2">
      <c r="B171" s="52">
        <v>43765</v>
      </c>
      <c r="C171" s="36">
        <v>0.35972222222222222</v>
      </c>
      <c r="D171" s="36"/>
      <c r="E171" s="36" t="s">
        <v>105</v>
      </c>
      <c r="F171" s="38">
        <v>2</v>
      </c>
      <c r="G171" s="43" t="str">
        <f>VLOOKUP(F171,Key!$A$17:$B$21,2,FALSE)</f>
        <v>Road Vehicle</v>
      </c>
      <c r="H171" s="37">
        <v>4</v>
      </c>
      <c r="I171" s="44" t="str">
        <f>VLOOKUP(H171,Key!$A$2:$B$13,2,FALSE)</f>
        <v>Minibus</v>
      </c>
      <c r="J171" s="38" t="s">
        <v>117</v>
      </c>
      <c r="K171" s="38">
        <v>2</v>
      </c>
      <c r="L171" s="46" t="str">
        <f>VLOOKUP(K171,Key!$A$24:$B$29,2,FALSE)</f>
        <v>30-39</v>
      </c>
      <c r="M171" s="38" t="s">
        <v>269</v>
      </c>
      <c r="N171" s="33" t="s">
        <v>165</v>
      </c>
      <c r="O171" s="38" t="s">
        <v>166</v>
      </c>
      <c r="P171" s="40">
        <v>2</v>
      </c>
      <c r="Q171" s="35" t="str">
        <f>VLOOKUP(P171,Key!$E$2:$F$9,2,FALSE)</f>
        <v>Work</v>
      </c>
      <c r="R171" s="38" t="s">
        <v>267</v>
      </c>
      <c r="S171" s="33" t="s">
        <v>171</v>
      </c>
      <c r="T171" s="38" t="s">
        <v>166</v>
      </c>
      <c r="U171" s="33">
        <v>2</v>
      </c>
      <c r="V171" s="35" t="str">
        <f>VLOOKUP(U171,Key!$E$2:$F$9,2,FALSE)</f>
        <v>Work</v>
      </c>
      <c r="W171" s="35" t="str">
        <f t="shared" si="2"/>
        <v>Work-Work</v>
      </c>
      <c r="X171" s="33">
        <v>40000</v>
      </c>
      <c r="Y171" s="39">
        <v>46</v>
      </c>
      <c r="Z171" s="39">
        <v>1.5</v>
      </c>
      <c r="AA171" s="33">
        <v>2</v>
      </c>
      <c r="AB171" s="35" t="str">
        <f>VLOOKUP(AA171,Key!$C$20:$D$29,2,FALSE)</f>
        <v>Manual Labour</v>
      </c>
      <c r="AC171" s="33">
        <v>1</v>
      </c>
      <c r="AD171" s="35" t="str">
        <f>VLOOKUP(AC171,Key!$E$20:$F$24,2,FALSE)</f>
        <v>&lt;300,000</v>
      </c>
      <c r="AE171" s="33">
        <v>4</v>
      </c>
      <c r="AF171" s="39">
        <v>2</v>
      </c>
      <c r="AG171" s="39">
        <v>3</v>
      </c>
      <c r="AH171" s="39">
        <v>1</v>
      </c>
      <c r="AI171" s="39">
        <v>5</v>
      </c>
      <c r="AJ171" s="40" t="s">
        <v>100</v>
      </c>
      <c r="AK171" s="41">
        <v>1000</v>
      </c>
      <c r="AL171" s="25"/>
      <c r="AM171" s="25"/>
    </row>
    <row r="172" spans="2:39" x14ac:dyDescent="0.2">
      <c r="B172" s="52">
        <v>43765</v>
      </c>
      <c r="C172" s="36">
        <v>0.41388888888888892</v>
      </c>
      <c r="D172" s="36"/>
      <c r="E172" s="36" t="s">
        <v>163</v>
      </c>
      <c r="F172" s="38">
        <v>2</v>
      </c>
      <c r="G172" s="43" t="str">
        <f>VLOOKUP(F172,Key!$A$17:$B$21,2,FALSE)</f>
        <v>Road Vehicle</v>
      </c>
      <c r="H172" s="37">
        <v>4</v>
      </c>
      <c r="I172" s="44" t="str">
        <f>VLOOKUP(H172,Key!$A$2:$B$13,2,FALSE)</f>
        <v>Minibus</v>
      </c>
      <c r="J172" s="38" t="s">
        <v>117</v>
      </c>
      <c r="K172" s="38">
        <v>2</v>
      </c>
      <c r="L172" s="46" t="str">
        <f>VLOOKUP(K172,Key!$A$24:$B$29,2,FALSE)</f>
        <v>30-39</v>
      </c>
      <c r="M172" s="38" t="s">
        <v>272</v>
      </c>
      <c r="N172" s="33" t="s">
        <v>165</v>
      </c>
      <c r="O172" s="38" t="s">
        <v>166</v>
      </c>
      <c r="P172" s="40">
        <v>1</v>
      </c>
      <c r="Q172" s="35" t="str">
        <f>VLOOKUP(P172,Key!$E$2:$F$9,2,FALSE)</f>
        <v>Home</v>
      </c>
      <c r="R172" s="38" t="s">
        <v>192</v>
      </c>
      <c r="S172" s="33" t="s">
        <v>165</v>
      </c>
      <c r="T172" s="38" t="s">
        <v>166</v>
      </c>
      <c r="U172" s="33">
        <v>6</v>
      </c>
      <c r="V172" s="35" t="str">
        <f>VLOOKUP(U172,Key!$E$2:$F$9,2,FALSE)</f>
        <v>Leisure/Social</v>
      </c>
      <c r="W172" s="35" t="str">
        <f t="shared" si="2"/>
        <v>Home-Leisure/Social</v>
      </c>
      <c r="X172" s="33">
        <v>1000</v>
      </c>
      <c r="Y172" s="39">
        <v>18</v>
      </c>
      <c r="Z172" s="39">
        <v>0.5</v>
      </c>
      <c r="AA172" s="33">
        <v>2</v>
      </c>
      <c r="AB172" s="35" t="str">
        <f>VLOOKUP(AA172,Key!$C$20:$D$29,2,FALSE)</f>
        <v>Manual Labour</v>
      </c>
      <c r="AC172" s="33">
        <v>1</v>
      </c>
      <c r="AD172" s="35" t="str">
        <f>VLOOKUP(AC172,Key!$E$20:$F$24,2,FALSE)</f>
        <v>&lt;300,000</v>
      </c>
      <c r="AE172" s="33">
        <v>1</v>
      </c>
      <c r="AF172" s="39">
        <v>2</v>
      </c>
      <c r="AG172" s="39">
        <v>3</v>
      </c>
      <c r="AH172" s="39">
        <v>4</v>
      </c>
      <c r="AI172" s="39">
        <v>5</v>
      </c>
      <c r="AJ172" s="40" t="s">
        <v>100</v>
      </c>
      <c r="AK172" s="41"/>
      <c r="AL172" s="25"/>
      <c r="AM172" s="25"/>
    </row>
    <row r="173" spans="2:39" x14ac:dyDescent="0.2">
      <c r="B173" s="52">
        <v>43765</v>
      </c>
      <c r="C173" s="36">
        <v>0.4236111111111111</v>
      </c>
      <c r="D173" s="36"/>
      <c r="E173" s="36" t="s">
        <v>163</v>
      </c>
      <c r="F173" s="38">
        <v>2</v>
      </c>
      <c r="G173" s="43" t="str">
        <f>VLOOKUP(F173,Key!$A$17:$B$21,2,FALSE)</f>
        <v>Road Vehicle</v>
      </c>
      <c r="H173" s="37">
        <v>4</v>
      </c>
      <c r="I173" s="44" t="str">
        <f>VLOOKUP(H173,Key!$A$2:$B$13,2,FALSE)</f>
        <v>Minibus</v>
      </c>
      <c r="J173" s="38" t="s">
        <v>117</v>
      </c>
      <c r="K173" s="38">
        <v>2</v>
      </c>
      <c r="L173" s="46" t="str">
        <f>VLOOKUP(K173,Key!$A$24:$B$29,2,FALSE)</f>
        <v>30-39</v>
      </c>
      <c r="M173" s="38" t="s">
        <v>161</v>
      </c>
      <c r="N173" s="33" t="s">
        <v>165</v>
      </c>
      <c r="O173" s="38" t="s">
        <v>166</v>
      </c>
      <c r="P173" s="40">
        <v>1</v>
      </c>
      <c r="Q173" s="35" t="str">
        <f>VLOOKUP(P173,Key!$E$2:$F$9,2,FALSE)</f>
        <v>Home</v>
      </c>
      <c r="R173" s="38" t="s">
        <v>208</v>
      </c>
      <c r="S173" s="33" t="s">
        <v>165</v>
      </c>
      <c r="T173" s="38" t="s">
        <v>166</v>
      </c>
      <c r="U173" s="33">
        <v>6</v>
      </c>
      <c r="V173" s="35" t="str">
        <f>VLOOKUP(U173,Key!$E$2:$F$9,2,FALSE)</f>
        <v>Leisure/Social</v>
      </c>
      <c r="W173" s="35" t="str">
        <f t="shared" si="2"/>
        <v>Home-Leisure/Social</v>
      </c>
      <c r="X173" s="33">
        <v>1000</v>
      </c>
      <c r="Y173" s="39">
        <v>15</v>
      </c>
      <c r="Z173" s="39">
        <v>0.1</v>
      </c>
      <c r="AA173" s="33">
        <v>2</v>
      </c>
      <c r="AB173" s="35" t="str">
        <f>VLOOKUP(AA173,Key!$C$20:$D$29,2,FALSE)</f>
        <v>Manual Labour</v>
      </c>
      <c r="AC173" s="33">
        <v>1</v>
      </c>
      <c r="AD173" s="35" t="str">
        <f>VLOOKUP(AC173,Key!$E$20:$F$24,2,FALSE)</f>
        <v>&lt;300,000</v>
      </c>
      <c r="AE173" s="33">
        <v>2</v>
      </c>
      <c r="AF173" s="39">
        <v>3</v>
      </c>
      <c r="AG173" s="39">
        <v>4</v>
      </c>
      <c r="AH173" s="39">
        <v>1</v>
      </c>
      <c r="AI173" s="39">
        <v>5</v>
      </c>
      <c r="AJ173" s="40" t="s">
        <v>100</v>
      </c>
      <c r="AK173" s="41">
        <v>1000</v>
      </c>
      <c r="AL173" s="25"/>
      <c r="AM173" s="25"/>
    </row>
    <row r="174" spans="2:39" x14ac:dyDescent="0.2">
      <c r="B174" s="52">
        <v>43765</v>
      </c>
      <c r="C174" s="36">
        <v>0.45694444444444443</v>
      </c>
      <c r="D174" s="36"/>
      <c r="E174" s="36" t="s">
        <v>105</v>
      </c>
      <c r="F174" s="38">
        <v>2</v>
      </c>
      <c r="G174" s="43" t="str">
        <f>VLOOKUP(F174,Key!$A$17:$B$21,2,FALSE)</f>
        <v>Road Vehicle</v>
      </c>
      <c r="H174" s="37">
        <v>4</v>
      </c>
      <c r="I174" s="44" t="str">
        <f>VLOOKUP(H174,Key!$A$2:$B$13,2,FALSE)</f>
        <v>Minibus</v>
      </c>
      <c r="J174" s="38" t="s">
        <v>117</v>
      </c>
      <c r="K174" s="38">
        <v>2</v>
      </c>
      <c r="L174" s="46" t="str">
        <f>VLOOKUP(K174,Key!$A$24:$B$29,2,FALSE)</f>
        <v>30-39</v>
      </c>
      <c r="M174" s="38" t="s">
        <v>161</v>
      </c>
      <c r="N174" s="33" t="s">
        <v>165</v>
      </c>
      <c r="O174" s="38" t="s">
        <v>166</v>
      </c>
      <c r="P174" s="40">
        <v>2</v>
      </c>
      <c r="Q174" s="35" t="str">
        <f>VLOOKUP(P174,Key!$E$2:$F$9,2,FALSE)</f>
        <v>Work</v>
      </c>
      <c r="R174" s="38" t="s">
        <v>207</v>
      </c>
      <c r="S174" s="33" t="s">
        <v>171</v>
      </c>
      <c r="T174" s="38" t="s">
        <v>166</v>
      </c>
      <c r="U174" s="33">
        <v>2</v>
      </c>
      <c r="V174" s="35" t="str">
        <f>VLOOKUP(U174,Key!$E$2:$F$9,2,FALSE)</f>
        <v>Work</v>
      </c>
      <c r="W174" s="35" t="str">
        <f t="shared" si="2"/>
        <v>Work-Work</v>
      </c>
      <c r="X174" s="33">
        <v>35000</v>
      </c>
      <c r="Y174" s="39">
        <v>36</v>
      </c>
      <c r="Z174" s="39">
        <v>1</v>
      </c>
      <c r="AA174" s="33">
        <v>1</v>
      </c>
      <c r="AB174" s="35" t="str">
        <f>VLOOKUP(AA174,Key!$C$20:$D$29,2,FALSE)</f>
        <v>Unemployed</v>
      </c>
      <c r="AC174" s="33">
        <v>2</v>
      </c>
      <c r="AD174" s="35" t="str">
        <f>VLOOKUP(AC174,Key!$E$20:$F$24,2,FALSE)</f>
        <v>300,000-500,000</v>
      </c>
      <c r="AE174" s="33">
        <v>2</v>
      </c>
      <c r="AF174" s="39">
        <v>1</v>
      </c>
      <c r="AG174" s="39">
        <v>5</v>
      </c>
      <c r="AH174" s="39">
        <v>3</v>
      </c>
      <c r="AI174" s="39">
        <v>4</v>
      </c>
      <c r="AJ174" s="40" t="s">
        <v>100</v>
      </c>
      <c r="AK174" s="41"/>
      <c r="AL174" s="25"/>
      <c r="AM174" s="25"/>
    </row>
    <row r="175" spans="2:39" x14ac:dyDescent="0.2">
      <c r="B175" s="52">
        <v>43765</v>
      </c>
      <c r="C175" s="36">
        <v>0.5</v>
      </c>
      <c r="D175" s="36"/>
      <c r="E175" s="36" t="s">
        <v>163</v>
      </c>
      <c r="F175" s="38">
        <v>2</v>
      </c>
      <c r="G175" s="43" t="str">
        <f>VLOOKUP(F175,Key!$A$17:$B$21,2,FALSE)</f>
        <v>Road Vehicle</v>
      </c>
      <c r="H175" s="37">
        <v>4</v>
      </c>
      <c r="I175" s="44" t="str">
        <f>VLOOKUP(H175,Key!$A$2:$B$13,2,FALSE)</f>
        <v>Minibus</v>
      </c>
      <c r="J175" s="38" t="s">
        <v>117</v>
      </c>
      <c r="K175" s="38">
        <v>2</v>
      </c>
      <c r="L175" s="46" t="str">
        <f>VLOOKUP(K175,Key!$A$24:$B$29,2,FALSE)</f>
        <v>30-39</v>
      </c>
      <c r="M175" s="38" t="s">
        <v>164</v>
      </c>
      <c r="N175" s="33" t="s">
        <v>165</v>
      </c>
      <c r="O175" s="38" t="s">
        <v>166</v>
      </c>
      <c r="P175" s="40">
        <v>1</v>
      </c>
      <c r="Q175" s="35" t="str">
        <f>VLOOKUP(P175,Key!$E$2:$F$9,2,FALSE)</f>
        <v>Home</v>
      </c>
      <c r="R175" s="38" t="s">
        <v>275</v>
      </c>
      <c r="S175" s="33" t="s">
        <v>171</v>
      </c>
      <c r="T175" s="38" t="s">
        <v>166</v>
      </c>
      <c r="U175" s="33">
        <v>4</v>
      </c>
      <c r="V175" s="35" t="str">
        <f>VLOOKUP(U175,Key!$E$2:$F$9,2,FALSE)</f>
        <v>Commercial</v>
      </c>
      <c r="W175" s="35" t="str">
        <f t="shared" si="2"/>
        <v>Home-Commercial</v>
      </c>
      <c r="X175" s="33">
        <v>35000</v>
      </c>
      <c r="Y175" s="39">
        <v>36</v>
      </c>
      <c r="Z175" s="39">
        <v>0.9</v>
      </c>
      <c r="AA175" s="33">
        <v>6</v>
      </c>
      <c r="AB175" s="35" t="str">
        <f>VLOOKUP(AA175,Key!$C$20:$D$29,2,FALSE)</f>
        <v>Businessman</v>
      </c>
      <c r="AC175" s="33">
        <v>2</v>
      </c>
      <c r="AD175" s="35" t="str">
        <f>VLOOKUP(AC175,Key!$E$20:$F$24,2,FALSE)</f>
        <v>300,000-500,000</v>
      </c>
      <c r="AE175" s="33">
        <v>1</v>
      </c>
      <c r="AF175" s="39">
        <v>2</v>
      </c>
      <c r="AG175" s="39">
        <v>3</v>
      </c>
      <c r="AH175" s="39">
        <v>4</v>
      </c>
      <c r="AI175" s="39">
        <v>5</v>
      </c>
      <c r="AJ175" s="40" t="s">
        <v>100</v>
      </c>
      <c r="AK175" s="41">
        <v>1000</v>
      </c>
      <c r="AL175" s="25"/>
      <c r="AM175" s="25"/>
    </row>
    <row r="176" spans="2:39" x14ac:dyDescent="0.2">
      <c r="B176" s="52">
        <v>43765</v>
      </c>
      <c r="C176" s="36">
        <v>0.60347222222222219</v>
      </c>
      <c r="D176" s="36"/>
      <c r="E176" s="36" t="s">
        <v>105</v>
      </c>
      <c r="F176" s="38">
        <v>2</v>
      </c>
      <c r="G176" s="43" t="str">
        <f>VLOOKUP(F176,Key!$A$17:$B$21,2,FALSE)</f>
        <v>Road Vehicle</v>
      </c>
      <c r="H176" s="37">
        <v>4</v>
      </c>
      <c r="I176" s="44" t="str">
        <f>VLOOKUP(H176,Key!$A$2:$B$13,2,FALSE)</f>
        <v>Minibus</v>
      </c>
      <c r="J176" s="38" t="s">
        <v>117</v>
      </c>
      <c r="K176" s="38">
        <v>2</v>
      </c>
      <c r="L176" s="46" t="str">
        <f>VLOOKUP(K176,Key!$A$24:$B$29,2,FALSE)</f>
        <v>30-39</v>
      </c>
      <c r="M176" s="38" t="s">
        <v>161</v>
      </c>
      <c r="N176" s="33" t="s">
        <v>165</v>
      </c>
      <c r="O176" s="38" t="s">
        <v>166</v>
      </c>
      <c r="P176" s="40">
        <v>1</v>
      </c>
      <c r="Q176" s="35" t="str">
        <f>VLOOKUP(P176,Key!$E$2:$F$9,2,FALSE)</f>
        <v>Home</v>
      </c>
      <c r="R176" s="38" t="s">
        <v>267</v>
      </c>
      <c r="S176" s="33" t="s">
        <v>165</v>
      </c>
      <c r="T176" s="38" t="s">
        <v>166</v>
      </c>
      <c r="U176" s="33">
        <v>4</v>
      </c>
      <c r="V176" s="35" t="str">
        <f>VLOOKUP(U176,Key!$E$2:$F$9,2,FALSE)</f>
        <v>Commercial</v>
      </c>
      <c r="W176" s="35" t="str">
        <f t="shared" si="2"/>
        <v>Home-Commercial</v>
      </c>
      <c r="X176" s="33">
        <v>40000</v>
      </c>
      <c r="Y176" s="39">
        <v>36</v>
      </c>
      <c r="Z176" s="39">
        <v>1</v>
      </c>
      <c r="AA176" s="33">
        <v>6</v>
      </c>
      <c r="AB176" s="35" t="str">
        <f>VLOOKUP(AA176,Key!$C$20:$D$29,2,FALSE)</f>
        <v>Businessman</v>
      </c>
      <c r="AC176" s="33">
        <v>2</v>
      </c>
      <c r="AD176" s="35" t="str">
        <f>VLOOKUP(AC176,Key!$E$20:$F$24,2,FALSE)</f>
        <v>300,000-500,000</v>
      </c>
      <c r="AE176" s="33">
        <v>2</v>
      </c>
      <c r="AF176" s="39">
        <v>1</v>
      </c>
      <c r="AG176" s="39">
        <v>4</v>
      </c>
      <c r="AH176" s="39">
        <v>3</v>
      </c>
      <c r="AI176" s="39">
        <v>5</v>
      </c>
      <c r="AJ176" s="40" t="s">
        <v>100</v>
      </c>
      <c r="AK176" s="41">
        <v>1000</v>
      </c>
      <c r="AL176" s="25"/>
      <c r="AM176" s="25"/>
    </row>
    <row r="177" spans="2:39" x14ac:dyDescent="0.2">
      <c r="B177" s="52">
        <v>43765</v>
      </c>
      <c r="C177" s="36">
        <v>0.6166666666666667</v>
      </c>
      <c r="D177" s="36"/>
      <c r="E177" s="36" t="s">
        <v>105</v>
      </c>
      <c r="F177" s="38">
        <v>2</v>
      </c>
      <c r="G177" s="43" t="str">
        <f>VLOOKUP(F177,Key!$A$17:$B$21,2,FALSE)</f>
        <v>Road Vehicle</v>
      </c>
      <c r="H177" s="37">
        <v>4</v>
      </c>
      <c r="I177" s="44" t="str">
        <f>VLOOKUP(H177,Key!$A$2:$B$13,2,FALSE)</f>
        <v>Minibus</v>
      </c>
      <c r="J177" s="38" t="s">
        <v>117</v>
      </c>
      <c r="K177" s="38">
        <v>2</v>
      </c>
      <c r="L177" s="46" t="str">
        <f>VLOOKUP(K177,Key!$A$24:$B$29,2,FALSE)</f>
        <v>30-39</v>
      </c>
      <c r="M177" s="38" t="s">
        <v>164</v>
      </c>
      <c r="N177" s="33" t="s">
        <v>165</v>
      </c>
      <c r="O177" s="38" t="s">
        <v>166</v>
      </c>
      <c r="P177" s="40">
        <v>2</v>
      </c>
      <c r="Q177" s="35" t="str">
        <f>VLOOKUP(P177,Key!$E$2:$F$9,2,FALSE)</f>
        <v>Work</v>
      </c>
      <c r="R177" s="38" t="s">
        <v>207</v>
      </c>
      <c r="S177" s="33" t="s">
        <v>171</v>
      </c>
      <c r="T177" s="38" t="s">
        <v>166</v>
      </c>
      <c r="U177" s="33">
        <v>2</v>
      </c>
      <c r="V177" s="35" t="str">
        <f>VLOOKUP(U177,Key!$E$2:$F$9,2,FALSE)</f>
        <v>Work</v>
      </c>
      <c r="W177" s="35" t="str">
        <f t="shared" si="2"/>
        <v>Work-Work</v>
      </c>
      <c r="X177" s="33">
        <v>35000</v>
      </c>
      <c r="Y177" s="39">
        <v>36</v>
      </c>
      <c r="Z177" s="39">
        <v>0.9</v>
      </c>
      <c r="AA177" s="33">
        <v>2</v>
      </c>
      <c r="AB177" s="35" t="str">
        <f>VLOOKUP(AA177,Key!$C$20:$D$29,2,FALSE)</f>
        <v>Manual Labour</v>
      </c>
      <c r="AC177" s="33">
        <v>1</v>
      </c>
      <c r="AD177" s="35" t="str">
        <f>VLOOKUP(AC177,Key!$E$20:$F$24,2,FALSE)</f>
        <v>&lt;300,000</v>
      </c>
      <c r="AE177" s="33">
        <v>1</v>
      </c>
      <c r="AF177" s="39">
        <v>2</v>
      </c>
      <c r="AG177" s="39">
        <v>3</v>
      </c>
      <c r="AH177" s="39">
        <v>4</v>
      </c>
      <c r="AI177" s="39">
        <v>5</v>
      </c>
      <c r="AJ177" s="40" t="s">
        <v>100</v>
      </c>
      <c r="AK177" s="41"/>
      <c r="AL177" s="25"/>
      <c r="AM177" s="25"/>
    </row>
    <row r="178" spans="2:39" x14ac:dyDescent="0.2">
      <c r="B178" s="52">
        <v>43765</v>
      </c>
      <c r="C178" s="36">
        <v>0.63055555555555554</v>
      </c>
      <c r="D178" s="36"/>
      <c r="E178" s="36" t="s">
        <v>105</v>
      </c>
      <c r="F178" s="38">
        <v>2</v>
      </c>
      <c r="G178" s="43" t="str">
        <f>VLOOKUP(F178,Key!$A$17:$B$21,2,FALSE)</f>
        <v>Road Vehicle</v>
      </c>
      <c r="H178" s="37">
        <v>4</v>
      </c>
      <c r="I178" s="44" t="str">
        <f>VLOOKUP(H178,Key!$A$2:$B$13,2,FALSE)</f>
        <v>Minibus</v>
      </c>
      <c r="J178" s="38" t="s">
        <v>117</v>
      </c>
      <c r="K178" s="38">
        <v>2</v>
      </c>
      <c r="L178" s="46" t="str">
        <f>VLOOKUP(K178,Key!$A$24:$B$29,2,FALSE)</f>
        <v>30-39</v>
      </c>
      <c r="M178" s="38" t="s">
        <v>161</v>
      </c>
      <c r="N178" s="33" t="s">
        <v>165</v>
      </c>
      <c r="O178" s="38" t="s">
        <v>166</v>
      </c>
      <c r="P178" s="40">
        <v>2</v>
      </c>
      <c r="Q178" s="35" t="str">
        <f>VLOOKUP(P178,Key!$E$2:$F$9,2,FALSE)</f>
        <v>Work</v>
      </c>
      <c r="R178" s="38" t="s">
        <v>267</v>
      </c>
      <c r="S178" s="33" t="s">
        <v>171</v>
      </c>
      <c r="T178" s="38" t="s">
        <v>166</v>
      </c>
      <c r="U178" s="33">
        <v>2</v>
      </c>
      <c r="V178" s="35" t="str">
        <f>VLOOKUP(U178,Key!$E$2:$F$9,2,FALSE)</f>
        <v>Work</v>
      </c>
      <c r="W178" s="35" t="str">
        <f t="shared" si="2"/>
        <v>Work-Work</v>
      </c>
      <c r="X178" s="33">
        <v>35000</v>
      </c>
      <c r="Y178" s="39">
        <v>38</v>
      </c>
      <c r="Z178" s="39">
        <v>1</v>
      </c>
      <c r="AA178" s="33">
        <v>2</v>
      </c>
      <c r="AB178" s="35" t="str">
        <f>VLOOKUP(AA178,Key!$C$20:$D$29,2,FALSE)</f>
        <v>Manual Labour</v>
      </c>
      <c r="AC178" s="33">
        <v>1</v>
      </c>
      <c r="AD178" s="35" t="str">
        <f>VLOOKUP(AC178,Key!$E$20:$F$24,2,FALSE)</f>
        <v>&lt;300,000</v>
      </c>
      <c r="AE178" s="33">
        <v>1</v>
      </c>
      <c r="AF178" s="39">
        <v>2</v>
      </c>
      <c r="AG178" s="39">
        <v>3</v>
      </c>
      <c r="AH178" s="39">
        <v>5</v>
      </c>
      <c r="AI178" s="39">
        <v>4</v>
      </c>
      <c r="AJ178" s="40" t="s">
        <v>100</v>
      </c>
      <c r="AK178" s="41">
        <v>1000</v>
      </c>
      <c r="AL178" s="25"/>
      <c r="AM178" s="25"/>
    </row>
    <row r="179" spans="2:39" x14ac:dyDescent="0.2">
      <c r="B179" s="52">
        <v>43765</v>
      </c>
      <c r="C179" s="36">
        <v>0.64722222222222225</v>
      </c>
      <c r="D179" s="36"/>
      <c r="E179" s="36" t="s">
        <v>105</v>
      </c>
      <c r="F179" s="38">
        <v>2</v>
      </c>
      <c r="G179" s="43" t="str">
        <f>VLOOKUP(F179,Key!$A$17:$B$21,2,FALSE)</f>
        <v>Road Vehicle</v>
      </c>
      <c r="H179" s="37">
        <v>4</v>
      </c>
      <c r="I179" s="44" t="str">
        <f>VLOOKUP(H179,Key!$A$2:$B$13,2,FALSE)</f>
        <v>Minibus</v>
      </c>
      <c r="J179" s="38" t="s">
        <v>117</v>
      </c>
      <c r="K179" s="38">
        <v>2</v>
      </c>
      <c r="L179" s="46" t="str">
        <f>VLOOKUP(K179,Key!$A$24:$B$29,2,FALSE)</f>
        <v>30-39</v>
      </c>
      <c r="M179" s="38" t="s">
        <v>207</v>
      </c>
      <c r="N179" s="33" t="s">
        <v>171</v>
      </c>
      <c r="O179" s="38" t="s">
        <v>166</v>
      </c>
      <c r="P179" s="40">
        <v>2</v>
      </c>
      <c r="Q179" s="35" t="str">
        <f>VLOOKUP(P179,Key!$E$2:$F$9,2,FALSE)</f>
        <v>Work</v>
      </c>
      <c r="R179" s="38" t="s">
        <v>164</v>
      </c>
      <c r="S179" s="33" t="s">
        <v>165</v>
      </c>
      <c r="T179" s="38" t="s">
        <v>166</v>
      </c>
      <c r="U179" s="33">
        <v>2</v>
      </c>
      <c r="V179" s="35" t="str">
        <f>VLOOKUP(U179,Key!$E$2:$F$9,2,FALSE)</f>
        <v>Work</v>
      </c>
      <c r="W179" s="35" t="str">
        <f t="shared" si="2"/>
        <v>Work-Work</v>
      </c>
      <c r="X179" s="33">
        <v>40000</v>
      </c>
      <c r="Y179" s="39">
        <v>36</v>
      </c>
      <c r="Z179" s="39">
        <v>0.9</v>
      </c>
      <c r="AA179" s="33">
        <v>1</v>
      </c>
      <c r="AB179" s="35" t="str">
        <f>VLOOKUP(AA179,Key!$C$20:$D$29,2,FALSE)</f>
        <v>Unemployed</v>
      </c>
      <c r="AC179" s="33">
        <v>2</v>
      </c>
      <c r="AD179" s="35" t="str">
        <f>VLOOKUP(AC179,Key!$E$20:$F$24,2,FALSE)</f>
        <v>300,000-500,000</v>
      </c>
      <c r="AE179" s="33">
        <v>1</v>
      </c>
      <c r="AF179" s="39">
        <v>3</v>
      </c>
      <c r="AG179" s="39">
        <v>4</v>
      </c>
      <c r="AH179" s="39">
        <v>2</v>
      </c>
      <c r="AI179" s="39">
        <v>5</v>
      </c>
      <c r="AJ179" s="40" t="s">
        <v>100</v>
      </c>
      <c r="AK179" s="41">
        <v>1000</v>
      </c>
      <c r="AL179" s="25"/>
      <c r="AM179" s="25"/>
    </row>
    <row r="180" spans="2:39" x14ac:dyDescent="0.2">
      <c r="B180" s="52">
        <v>43765</v>
      </c>
      <c r="C180" s="36">
        <v>0.69444444444444453</v>
      </c>
      <c r="D180" s="36"/>
      <c r="E180" s="36" t="s">
        <v>105</v>
      </c>
      <c r="F180" s="38">
        <v>2</v>
      </c>
      <c r="G180" s="43" t="str">
        <f>VLOOKUP(F180,Key!$A$17:$B$21,2,FALSE)</f>
        <v>Road Vehicle</v>
      </c>
      <c r="H180" s="37">
        <v>4</v>
      </c>
      <c r="I180" s="44" t="str">
        <f>VLOOKUP(H180,Key!$A$2:$B$13,2,FALSE)</f>
        <v>Minibus</v>
      </c>
      <c r="J180" s="38" t="s">
        <v>117</v>
      </c>
      <c r="K180" s="38">
        <v>2</v>
      </c>
      <c r="L180" s="46" t="str">
        <f>VLOOKUP(K180,Key!$A$24:$B$29,2,FALSE)</f>
        <v>30-39</v>
      </c>
      <c r="M180" s="38" t="s">
        <v>170</v>
      </c>
      <c r="N180" s="33" t="s">
        <v>171</v>
      </c>
      <c r="O180" s="38" t="s">
        <v>166</v>
      </c>
      <c r="P180" s="40">
        <v>2</v>
      </c>
      <c r="Q180" s="35" t="str">
        <f>VLOOKUP(P180,Key!$E$2:$F$9,2,FALSE)</f>
        <v>Work</v>
      </c>
      <c r="R180" s="38" t="s">
        <v>161</v>
      </c>
      <c r="S180" s="33" t="s">
        <v>165</v>
      </c>
      <c r="T180" s="38" t="s">
        <v>166</v>
      </c>
      <c r="U180" s="33">
        <v>2</v>
      </c>
      <c r="V180" s="35" t="str">
        <f>VLOOKUP(U180,Key!$E$2:$F$9,2,FALSE)</f>
        <v>Work</v>
      </c>
      <c r="W180" s="35" t="str">
        <f t="shared" si="2"/>
        <v>Work-Work</v>
      </c>
      <c r="X180" s="33">
        <v>40000</v>
      </c>
      <c r="Y180" s="39">
        <v>36</v>
      </c>
      <c r="Z180" s="39">
        <v>0.9</v>
      </c>
      <c r="AA180" s="33">
        <v>2</v>
      </c>
      <c r="AB180" s="35" t="str">
        <f>VLOOKUP(AA180,Key!$C$20:$D$29,2,FALSE)</f>
        <v>Manual Labour</v>
      </c>
      <c r="AC180" s="33">
        <v>1</v>
      </c>
      <c r="AD180" s="35" t="str">
        <f>VLOOKUP(AC180,Key!$E$20:$F$24,2,FALSE)</f>
        <v>&lt;300,000</v>
      </c>
      <c r="AE180" s="33">
        <v>1</v>
      </c>
      <c r="AF180" s="39">
        <v>2</v>
      </c>
      <c r="AG180" s="39">
        <v>3</v>
      </c>
      <c r="AH180" s="39">
        <v>4</v>
      </c>
      <c r="AI180" s="39">
        <v>5</v>
      </c>
      <c r="AJ180" s="40" t="s">
        <v>100</v>
      </c>
      <c r="AK180" s="41"/>
      <c r="AL180" s="25"/>
      <c r="AM180" s="25"/>
    </row>
    <row r="181" spans="2:39" x14ac:dyDescent="0.2">
      <c r="B181" s="52">
        <v>43765</v>
      </c>
      <c r="C181" s="36">
        <v>0.69305555555555554</v>
      </c>
      <c r="D181" s="36"/>
      <c r="E181" s="36" t="s">
        <v>105</v>
      </c>
      <c r="F181" s="38">
        <v>2</v>
      </c>
      <c r="G181" s="43" t="str">
        <f>VLOOKUP(F181,Key!$A$17:$B$21,2,FALSE)</f>
        <v>Road Vehicle</v>
      </c>
      <c r="H181" s="37">
        <v>4</v>
      </c>
      <c r="I181" s="44" t="str">
        <f>VLOOKUP(H181,Key!$A$2:$B$13,2,FALSE)</f>
        <v>Minibus</v>
      </c>
      <c r="J181" s="38" t="s">
        <v>117</v>
      </c>
      <c r="K181" s="38">
        <v>2</v>
      </c>
      <c r="L181" s="46" t="str">
        <f>VLOOKUP(K181,Key!$A$24:$B$29,2,FALSE)</f>
        <v>30-39</v>
      </c>
      <c r="M181" s="38" t="s">
        <v>164</v>
      </c>
      <c r="N181" s="33" t="s">
        <v>165</v>
      </c>
      <c r="O181" s="38" t="s">
        <v>166</v>
      </c>
      <c r="P181" s="40">
        <v>2</v>
      </c>
      <c r="Q181" s="35" t="str">
        <f>VLOOKUP(P181,Key!$E$2:$F$9,2,FALSE)</f>
        <v>Work</v>
      </c>
      <c r="R181" s="38" t="s">
        <v>170</v>
      </c>
      <c r="S181" s="33" t="s">
        <v>171</v>
      </c>
      <c r="T181" s="38" t="s">
        <v>166</v>
      </c>
      <c r="U181" s="33">
        <v>2</v>
      </c>
      <c r="V181" s="35" t="str">
        <f>VLOOKUP(U181,Key!$E$2:$F$9,2,FALSE)</f>
        <v>Work</v>
      </c>
      <c r="W181" s="35" t="str">
        <f t="shared" si="2"/>
        <v>Work-Work</v>
      </c>
      <c r="X181" s="33">
        <v>35000</v>
      </c>
      <c r="Y181" s="39">
        <v>36</v>
      </c>
      <c r="Z181" s="39">
        <v>1</v>
      </c>
      <c r="AA181" s="33">
        <v>2</v>
      </c>
      <c r="AB181" s="35" t="str">
        <f>VLOOKUP(AA181,Key!$C$20:$D$29,2,FALSE)</f>
        <v>Manual Labour</v>
      </c>
      <c r="AC181" s="33">
        <v>2</v>
      </c>
      <c r="AD181" s="35" t="str">
        <f>VLOOKUP(AC181,Key!$E$20:$F$24,2,FALSE)</f>
        <v>300,000-500,000</v>
      </c>
      <c r="AE181" s="33">
        <v>1</v>
      </c>
      <c r="AF181" s="39">
        <v>2</v>
      </c>
      <c r="AG181" s="39">
        <v>3</v>
      </c>
      <c r="AH181" s="39">
        <v>4</v>
      </c>
      <c r="AI181" s="39">
        <v>5</v>
      </c>
      <c r="AJ181" s="40" t="s">
        <v>100</v>
      </c>
      <c r="AK181" s="41"/>
      <c r="AL181" s="25"/>
      <c r="AM181" s="25"/>
    </row>
    <row r="182" spans="2:39" x14ac:dyDescent="0.2">
      <c r="B182" s="52">
        <v>43765</v>
      </c>
      <c r="C182" s="36">
        <v>0.6791666666666667</v>
      </c>
      <c r="D182" s="36"/>
      <c r="E182" s="36" t="s">
        <v>105</v>
      </c>
      <c r="F182" s="38">
        <v>2</v>
      </c>
      <c r="G182" s="43" t="str">
        <f>VLOOKUP(F182,Key!$A$17:$B$21,2,FALSE)</f>
        <v>Road Vehicle</v>
      </c>
      <c r="H182" s="37">
        <v>4</v>
      </c>
      <c r="I182" s="44" t="str">
        <f>VLOOKUP(H182,Key!$A$2:$B$13,2,FALSE)</f>
        <v>Minibus</v>
      </c>
      <c r="J182" s="38" t="s">
        <v>117</v>
      </c>
      <c r="K182" s="38">
        <v>2</v>
      </c>
      <c r="L182" s="46" t="str">
        <f>VLOOKUP(K182,Key!$A$24:$B$29,2,FALSE)</f>
        <v>30-39</v>
      </c>
      <c r="M182" s="38" t="s">
        <v>164</v>
      </c>
      <c r="N182" s="33" t="s">
        <v>165</v>
      </c>
      <c r="O182" s="38" t="s">
        <v>166</v>
      </c>
      <c r="P182" s="40">
        <v>2</v>
      </c>
      <c r="Q182" s="35" t="str">
        <f>VLOOKUP(P182,Key!$E$2:$F$9,2,FALSE)</f>
        <v>Work</v>
      </c>
      <c r="R182" s="38" t="s">
        <v>165</v>
      </c>
      <c r="S182" s="33" t="s">
        <v>165</v>
      </c>
      <c r="T182" s="38" t="s">
        <v>166</v>
      </c>
      <c r="U182" s="33">
        <v>2</v>
      </c>
      <c r="V182" s="35" t="str">
        <f>VLOOKUP(U182,Key!$E$2:$F$9,2,FALSE)</f>
        <v>Work</v>
      </c>
      <c r="W182" s="35" t="str">
        <f t="shared" si="2"/>
        <v>Work-Work</v>
      </c>
      <c r="X182" s="33">
        <v>55000</v>
      </c>
      <c r="Y182" s="39">
        <v>58</v>
      </c>
      <c r="Z182" s="39">
        <v>2</v>
      </c>
      <c r="AA182" s="33">
        <v>2</v>
      </c>
      <c r="AB182" s="35" t="str">
        <f>VLOOKUP(AA182,Key!$C$20:$D$29,2,FALSE)</f>
        <v>Manual Labour</v>
      </c>
      <c r="AC182" s="33">
        <v>1</v>
      </c>
      <c r="AD182" s="35" t="str">
        <f>VLOOKUP(AC182,Key!$E$20:$F$24,2,FALSE)</f>
        <v>&lt;300,000</v>
      </c>
      <c r="AE182" s="33">
        <v>2</v>
      </c>
      <c r="AF182" s="39">
        <v>3</v>
      </c>
      <c r="AG182" s="39">
        <v>5</v>
      </c>
      <c r="AH182" s="39">
        <v>4</v>
      </c>
      <c r="AI182" s="39">
        <v>1</v>
      </c>
      <c r="AJ182" s="40" t="s">
        <v>100</v>
      </c>
      <c r="AK182" s="41"/>
      <c r="AL182" s="25"/>
      <c r="AM182" s="25"/>
    </row>
    <row r="183" spans="2:39" x14ac:dyDescent="0.2">
      <c r="B183" s="52">
        <v>43765</v>
      </c>
      <c r="C183" s="36">
        <v>0.66111111111111109</v>
      </c>
      <c r="D183" s="36"/>
      <c r="E183" s="36" t="s">
        <v>105</v>
      </c>
      <c r="F183" s="38">
        <v>2</v>
      </c>
      <c r="G183" s="43" t="str">
        <f>VLOOKUP(F183,Key!$A$17:$B$21,2,FALSE)</f>
        <v>Road Vehicle</v>
      </c>
      <c r="H183" s="37">
        <v>4</v>
      </c>
      <c r="I183" s="44" t="str">
        <f>VLOOKUP(H183,Key!$A$2:$B$13,2,FALSE)</f>
        <v>Minibus</v>
      </c>
      <c r="J183" s="38" t="s">
        <v>117</v>
      </c>
      <c r="K183" s="38">
        <v>2</v>
      </c>
      <c r="L183" s="46" t="str">
        <f>VLOOKUP(K183,Key!$A$24:$B$29,2,FALSE)</f>
        <v>30-39</v>
      </c>
      <c r="M183" s="38" t="s">
        <v>164</v>
      </c>
      <c r="N183" s="33" t="s">
        <v>165</v>
      </c>
      <c r="O183" s="38" t="s">
        <v>166</v>
      </c>
      <c r="P183" s="40">
        <v>2</v>
      </c>
      <c r="Q183" s="35" t="str">
        <f>VLOOKUP(P183,Key!$E$2:$F$9,2,FALSE)</f>
        <v>Work</v>
      </c>
      <c r="R183" s="38" t="s">
        <v>264</v>
      </c>
      <c r="S183" s="33" t="s">
        <v>171</v>
      </c>
      <c r="T183" s="38" t="s">
        <v>166</v>
      </c>
      <c r="U183" s="33">
        <v>2</v>
      </c>
      <c r="V183" s="35" t="str">
        <f>VLOOKUP(U183,Key!$E$2:$F$9,2,FALSE)</f>
        <v>Work</v>
      </c>
      <c r="W183" s="35" t="str">
        <f t="shared" si="2"/>
        <v>Work-Work</v>
      </c>
      <c r="X183" s="33">
        <v>35000</v>
      </c>
      <c r="Y183" s="39">
        <v>36</v>
      </c>
      <c r="Z183" s="39">
        <v>1</v>
      </c>
      <c r="AA183" s="33">
        <v>2</v>
      </c>
      <c r="AB183" s="35" t="str">
        <f>VLOOKUP(AA183,Key!$C$20:$D$29,2,FALSE)</f>
        <v>Manual Labour</v>
      </c>
      <c r="AC183" s="33">
        <v>1</v>
      </c>
      <c r="AD183" s="35" t="str">
        <f>VLOOKUP(AC183,Key!$E$20:$F$24,2,FALSE)</f>
        <v>&lt;300,000</v>
      </c>
      <c r="AE183" s="33">
        <v>1</v>
      </c>
      <c r="AF183" s="39">
        <v>2</v>
      </c>
      <c r="AG183" s="39">
        <v>3</v>
      </c>
      <c r="AH183" s="39">
        <v>4</v>
      </c>
      <c r="AI183" s="39">
        <v>5</v>
      </c>
      <c r="AJ183" s="40" t="s">
        <v>100</v>
      </c>
      <c r="AK183" s="41">
        <v>2000</v>
      </c>
      <c r="AL183" s="25"/>
      <c r="AM183" s="25"/>
    </row>
    <row r="184" spans="2:39" x14ac:dyDescent="0.2">
      <c r="B184" s="52">
        <v>43765</v>
      </c>
      <c r="C184" s="36">
        <v>0.65625</v>
      </c>
      <c r="D184" s="36"/>
      <c r="E184" s="36" t="s">
        <v>105</v>
      </c>
      <c r="F184" s="38">
        <v>2</v>
      </c>
      <c r="G184" s="43" t="str">
        <f>VLOOKUP(F184,Key!$A$17:$B$21,2,FALSE)</f>
        <v>Road Vehicle</v>
      </c>
      <c r="H184" s="37">
        <v>4</v>
      </c>
      <c r="I184" s="44" t="str">
        <f>VLOOKUP(H184,Key!$A$2:$B$13,2,FALSE)</f>
        <v>Minibus</v>
      </c>
      <c r="J184" s="38" t="s">
        <v>117</v>
      </c>
      <c r="K184" s="38">
        <v>2</v>
      </c>
      <c r="L184" s="46" t="str">
        <f>VLOOKUP(K184,Key!$A$24:$B$29,2,FALSE)</f>
        <v>30-39</v>
      </c>
      <c r="M184" s="38" t="s">
        <v>207</v>
      </c>
      <c r="N184" s="33" t="s">
        <v>171</v>
      </c>
      <c r="O184" s="38" t="s">
        <v>166</v>
      </c>
      <c r="P184" s="40">
        <v>2</v>
      </c>
      <c r="Q184" s="35" t="str">
        <f>VLOOKUP(P184,Key!$E$2:$F$9,2,FALSE)</f>
        <v>Work</v>
      </c>
      <c r="R184" s="38" t="s">
        <v>164</v>
      </c>
      <c r="S184" s="33" t="s">
        <v>165</v>
      </c>
      <c r="T184" s="38" t="s">
        <v>166</v>
      </c>
      <c r="U184" s="33">
        <v>2</v>
      </c>
      <c r="V184" s="35" t="str">
        <f>VLOOKUP(U184,Key!$E$2:$F$9,2,FALSE)</f>
        <v>Work</v>
      </c>
      <c r="W184" s="35" t="str">
        <f t="shared" si="2"/>
        <v>Work-Work</v>
      </c>
      <c r="X184" s="33">
        <v>35000</v>
      </c>
      <c r="Y184" s="39">
        <v>39</v>
      </c>
      <c r="Z184" s="39">
        <v>1</v>
      </c>
      <c r="AA184" s="33">
        <v>2</v>
      </c>
      <c r="AB184" s="35" t="str">
        <f>VLOOKUP(AA184,Key!$C$20:$D$29,2,FALSE)</f>
        <v>Manual Labour</v>
      </c>
      <c r="AC184" s="33">
        <v>2</v>
      </c>
      <c r="AD184" s="35" t="str">
        <f>VLOOKUP(AC184,Key!$E$20:$F$24,2,FALSE)</f>
        <v>300,000-500,000</v>
      </c>
      <c r="AE184" s="33">
        <v>1</v>
      </c>
      <c r="AF184" s="39">
        <v>2</v>
      </c>
      <c r="AG184" s="39">
        <v>3</v>
      </c>
      <c r="AH184" s="39">
        <v>4</v>
      </c>
      <c r="AI184" s="39">
        <v>5</v>
      </c>
      <c r="AJ184" s="40" t="s">
        <v>100</v>
      </c>
      <c r="AK184" s="41">
        <v>2000</v>
      </c>
      <c r="AL184" s="25"/>
      <c r="AM184" s="25"/>
    </row>
    <row r="185" spans="2:39" x14ac:dyDescent="0.2">
      <c r="B185" s="52">
        <v>43765</v>
      </c>
      <c r="C185" s="36">
        <v>0.70277777777777783</v>
      </c>
      <c r="D185" s="36"/>
      <c r="E185" s="36" t="s">
        <v>105</v>
      </c>
      <c r="F185" s="38">
        <v>2</v>
      </c>
      <c r="G185" s="43" t="str">
        <f>VLOOKUP(F185,Key!$A$17:$B$21,2,FALSE)</f>
        <v>Road Vehicle</v>
      </c>
      <c r="H185" s="37">
        <v>4</v>
      </c>
      <c r="I185" s="44" t="str">
        <f>VLOOKUP(H185,Key!$A$2:$B$13,2,FALSE)</f>
        <v>Minibus</v>
      </c>
      <c r="J185" s="38" t="s">
        <v>117</v>
      </c>
      <c r="K185" s="38">
        <v>2</v>
      </c>
      <c r="L185" s="46" t="str">
        <f>VLOOKUP(K185,Key!$A$24:$B$29,2,FALSE)</f>
        <v>30-39</v>
      </c>
      <c r="M185" s="38" t="s">
        <v>164</v>
      </c>
      <c r="N185" s="33" t="s">
        <v>165</v>
      </c>
      <c r="O185" s="38" t="s">
        <v>166</v>
      </c>
      <c r="P185" s="40">
        <v>2</v>
      </c>
      <c r="Q185" s="35" t="str">
        <f>VLOOKUP(P185,Key!$E$2:$F$9,2,FALSE)</f>
        <v>Work</v>
      </c>
      <c r="R185" s="38" t="s">
        <v>207</v>
      </c>
      <c r="S185" s="33" t="s">
        <v>171</v>
      </c>
      <c r="T185" s="38" t="s">
        <v>166</v>
      </c>
      <c r="U185" s="33">
        <v>2</v>
      </c>
      <c r="V185" s="35" t="str">
        <f>VLOOKUP(U185,Key!$E$2:$F$9,2,FALSE)</f>
        <v>Work</v>
      </c>
      <c r="W185" s="35" t="str">
        <f t="shared" si="2"/>
        <v>Work-Work</v>
      </c>
      <c r="X185" s="33">
        <v>40000</v>
      </c>
      <c r="Y185" s="39">
        <v>36</v>
      </c>
      <c r="Z185" s="39">
        <v>1</v>
      </c>
      <c r="AA185" s="33">
        <v>1</v>
      </c>
      <c r="AB185" s="35" t="str">
        <f>VLOOKUP(AA185,Key!$C$20:$D$29,2,FALSE)</f>
        <v>Unemployed</v>
      </c>
      <c r="AC185" s="33">
        <v>2</v>
      </c>
      <c r="AD185" s="35" t="str">
        <f>VLOOKUP(AC185,Key!$E$20:$F$24,2,FALSE)</f>
        <v>300,000-500,000</v>
      </c>
      <c r="AE185" s="33">
        <v>1</v>
      </c>
      <c r="AF185" s="39">
        <v>2</v>
      </c>
      <c r="AG185" s="39">
        <v>5</v>
      </c>
      <c r="AH185" s="39">
        <v>4</v>
      </c>
      <c r="AI185" s="39">
        <v>3</v>
      </c>
      <c r="AJ185" s="40" t="s">
        <v>100</v>
      </c>
      <c r="AK185" s="41">
        <v>1000</v>
      </c>
      <c r="AL185" s="25"/>
      <c r="AM185" s="25"/>
    </row>
    <row r="186" spans="2:39" x14ac:dyDescent="0.2">
      <c r="B186" s="52">
        <v>43765</v>
      </c>
      <c r="C186" s="36">
        <v>0.70694444444444438</v>
      </c>
      <c r="D186" s="36"/>
      <c r="E186" s="36" t="s">
        <v>105</v>
      </c>
      <c r="F186" s="38">
        <v>2</v>
      </c>
      <c r="G186" s="43" t="str">
        <f>VLOOKUP(F186,Key!$A$17:$B$21,2,FALSE)</f>
        <v>Road Vehicle</v>
      </c>
      <c r="H186" s="37">
        <v>4</v>
      </c>
      <c r="I186" s="44" t="str">
        <f>VLOOKUP(H186,Key!$A$2:$B$13,2,FALSE)</f>
        <v>Minibus</v>
      </c>
      <c r="J186" s="38" t="s">
        <v>117</v>
      </c>
      <c r="K186" s="38">
        <v>2</v>
      </c>
      <c r="L186" s="46" t="str">
        <f>VLOOKUP(K186,Key!$A$24:$B$29,2,FALSE)</f>
        <v>30-39</v>
      </c>
      <c r="M186" s="38" t="s">
        <v>284</v>
      </c>
      <c r="N186" s="33" t="s">
        <v>165</v>
      </c>
      <c r="O186" s="38" t="s">
        <v>166</v>
      </c>
      <c r="P186" s="40">
        <v>2</v>
      </c>
      <c r="Q186" s="35" t="str">
        <f>VLOOKUP(P186,Key!$E$2:$F$9,2,FALSE)</f>
        <v>Work</v>
      </c>
      <c r="R186" s="38" t="s">
        <v>164</v>
      </c>
      <c r="S186" s="33" t="s">
        <v>165</v>
      </c>
      <c r="T186" s="38" t="s">
        <v>166</v>
      </c>
      <c r="U186" s="33">
        <v>2</v>
      </c>
      <c r="V186" s="35" t="str">
        <f>VLOOKUP(U186,Key!$E$2:$F$9,2,FALSE)</f>
        <v>Work</v>
      </c>
      <c r="W186" s="35" t="str">
        <f t="shared" si="2"/>
        <v>Work-Work</v>
      </c>
      <c r="X186" s="33">
        <v>10000</v>
      </c>
      <c r="Y186" s="39">
        <v>0.5</v>
      </c>
      <c r="Z186" s="39">
        <v>0.1</v>
      </c>
      <c r="AA186" s="33">
        <v>2</v>
      </c>
      <c r="AB186" s="35" t="str">
        <f>VLOOKUP(AA186,Key!$C$20:$D$29,2,FALSE)</f>
        <v>Manual Labour</v>
      </c>
      <c r="AC186" s="33">
        <v>2</v>
      </c>
      <c r="AD186" s="35" t="str">
        <f>VLOOKUP(AC186,Key!$E$20:$F$24,2,FALSE)</f>
        <v>300,000-500,000</v>
      </c>
      <c r="AE186" s="33">
        <v>1</v>
      </c>
      <c r="AF186" s="39">
        <v>3</v>
      </c>
      <c r="AG186" s="39">
        <v>4</v>
      </c>
      <c r="AH186" s="39">
        <v>2</v>
      </c>
      <c r="AI186" s="39">
        <v>5</v>
      </c>
      <c r="AJ186" s="40" t="s">
        <v>100</v>
      </c>
      <c r="AK186" s="41">
        <v>1000</v>
      </c>
      <c r="AL186" s="25"/>
      <c r="AM186" s="25"/>
    </row>
    <row r="187" spans="2:39" x14ac:dyDescent="0.2">
      <c r="B187" s="52">
        <v>43765</v>
      </c>
      <c r="C187" s="36">
        <v>0.5</v>
      </c>
      <c r="D187" s="36"/>
      <c r="E187" s="36" t="s">
        <v>105</v>
      </c>
      <c r="F187" s="38">
        <v>2</v>
      </c>
      <c r="G187" s="43" t="str">
        <f>VLOOKUP(F187,Key!$A$17:$B$21,2,FALSE)</f>
        <v>Road Vehicle</v>
      </c>
      <c r="H187" s="37">
        <v>3</v>
      </c>
      <c r="I187" s="44" t="str">
        <f>VLOOKUP(H187,Key!$A$2:$B$13,2,FALSE)</f>
        <v>Pickups</v>
      </c>
      <c r="J187" s="38" t="s">
        <v>168</v>
      </c>
      <c r="K187" s="38">
        <v>2</v>
      </c>
      <c r="L187" s="46" t="str">
        <f>VLOOKUP(K187,Key!$A$24:$B$29,2,FALSE)</f>
        <v>30-39</v>
      </c>
      <c r="M187" s="38" t="s">
        <v>202</v>
      </c>
      <c r="N187" s="33" t="s">
        <v>171</v>
      </c>
      <c r="O187" s="38" t="s">
        <v>166</v>
      </c>
      <c r="P187" s="40">
        <v>1</v>
      </c>
      <c r="Q187" s="35" t="str">
        <f>VLOOKUP(P187,Key!$E$2:$F$9,2,FALSE)</f>
        <v>Home</v>
      </c>
      <c r="R187" s="38" t="s">
        <v>215</v>
      </c>
      <c r="S187" s="33" t="s">
        <v>165</v>
      </c>
      <c r="T187" s="38" t="s">
        <v>166</v>
      </c>
      <c r="U187" s="33">
        <v>8</v>
      </c>
      <c r="V187" s="35" t="str">
        <f>VLOOKUP(U187,Key!$E$2:$F$9,2,FALSE)</f>
        <v>Others</v>
      </c>
      <c r="W187" s="35" t="str">
        <f t="shared" si="2"/>
        <v>Home-Others</v>
      </c>
      <c r="X187" s="33">
        <v>40000</v>
      </c>
      <c r="Y187" s="39">
        <v>45</v>
      </c>
      <c r="Z187" s="39">
        <v>1</v>
      </c>
      <c r="AA187" s="33">
        <v>5</v>
      </c>
      <c r="AB187" s="35" t="str">
        <f>VLOOKUP(AA187,Key!$C$20:$D$29,2,FALSE)</f>
        <v>Professional</v>
      </c>
      <c r="AC187" s="33">
        <v>5</v>
      </c>
      <c r="AD187" s="35" t="str">
        <f>VLOOKUP(AC187,Key!$E$20:$F$24,2,FALSE)</f>
        <v>&gt;1,000,000</v>
      </c>
      <c r="AE187" s="33">
        <v>1</v>
      </c>
      <c r="AF187" s="39">
        <v>1</v>
      </c>
      <c r="AG187" s="39">
        <v>1</v>
      </c>
      <c r="AH187" s="39">
        <v>1</v>
      </c>
      <c r="AI187" s="39">
        <v>1</v>
      </c>
      <c r="AJ187" s="40" t="s">
        <v>100</v>
      </c>
      <c r="AK187" s="41"/>
      <c r="AL187" s="25"/>
      <c r="AM187" s="25"/>
    </row>
    <row r="188" spans="2:39" x14ac:dyDescent="0.2">
      <c r="B188" s="52">
        <v>43765</v>
      </c>
      <c r="C188" s="36">
        <v>0.78472222222222221</v>
      </c>
      <c r="D188" s="36"/>
      <c r="E188" s="36" t="s">
        <v>105</v>
      </c>
      <c r="F188" s="38">
        <v>2</v>
      </c>
      <c r="G188" s="43" t="str">
        <f>VLOOKUP(F188,Key!$A$17:$B$21,2,FALSE)</f>
        <v>Road Vehicle</v>
      </c>
      <c r="H188" s="37">
        <v>3</v>
      </c>
      <c r="I188" s="44" t="str">
        <f>VLOOKUP(H188,Key!$A$2:$B$13,2,FALSE)</f>
        <v>Pickups</v>
      </c>
      <c r="J188" s="38" t="s">
        <v>117</v>
      </c>
      <c r="K188" s="38">
        <v>2</v>
      </c>
      <c r="L188" s="46" t="str">
        <f>VLOOKUP(K188,Key!$A$24:$B$29,2,FALSE)</f>
        <v>30-39</v>
      </c>
      <c r="M188" s="38" t="s">
        <v>161</v>
      </c>
      <c r="N188" s="33" t="s">
        <v>165</v>
      </c>
      <c r="O188" s="38" t="s">
        <v>166</v>
      </c>
      <c r="P188" s="40">
        <v>2</v>
      </c>
      <c r="Q188" s="35" t="str">
        <f>VLOOKUP(P188,Key!$E$2:$F$9,2,FALSE)</f>
        <v>Work</v>
      </c>
      <c r="R188" s="38" t="s">
        <v>206</v>
      </c>
      <c r="S188" s="33" t="s">
        <v>165</v>
      </c>
      <c r="T188" s="38" t="s">
        <v>166</v>
      </c>
      <c r="U188" s="33">
        <v>1</v>
      </c>
      <c r="V188" s="35" t="str">
        <f>VLOOKUP(U188,Key!$E$2:$F$9,2,FALSE)</f>
        <v>Home</v>
      </c>
      <c r="W188" s="35" t="str">
        <f t="shared" si="2"/>
        <v>Work-Home</v>
      </c>
      <c r="X188" s="33">
        <v>40000</v>
      </c>
      <c r="Y188" s="39">
        <v>38</v>
      </c>
      <c r="Z188" s="39">
        <v>2</v>
      </c>
      <c r="AA188" s="33">
        <v>6</v>
      </c>
      <c r="AB188" s="35" t="str">
        <f>VLOOKUP(AA188,Key!$C$20:$D$29,2,FALSE)</f>
        <v>Businessman</v>
      </c>
      <c r="AC188" s="33">
        <v>4</v>
      </c>
      <c r="AD188" s="35" t="str">
        <f>VLOOKUP(AC188,Key!$E$20:$F$24,2,FALSE)</f>
        <v>750,000-1,000,000</v>
      </c>
      <c r="AE188" s="33">
        <v>1</v>
      </c>
      <c r="AF188" s="39">
        <v>1</v>
      </c>
      <c r="AG188" s="39">
        <v>2</v>
      </c>
      <c r="AH188" s="39">
        <v>2</v>
      </c>
      <c r="AI188" s="39">
        <v>2</v>
      </c>
      <c r="AJ188" s="40" t="s">
        <v>100</v>
      </c>
      <c r="AK188" s="41">
        <v>1000</v>
      </c>
      <c r="AL188" s="25"/>
      <c r="AM188" s="25"/>
    </row>
    <row r="189" spans="2:39" x14ac:dyDescent="0.2">
      <c r="B189" s="52">
        <v>43765</v>
      </c>
      <c r="C189" s="36">
        <v>0.38194444444444442</v>
      </c>
      <c r="D189" s="36"/>
      <c r="E189" s="36" t="s">
        <v>105</v>
      </c>
      <c r="F189" s="38">
        <v>2</v>
      </c>
      <c r="G189" s="43" t="str">
        <f>VLOOKUP(F189,Key!$A$17:$B$21,2,FALSE)</f>
        <v>Road Vehicle</v>
      </c>
      <c r="H189" s="37">
        <v>2</v>
      </c>
      <c r="I189" s="44" t="str">
        <f>VLOOKUP(H189,Key!$A$2:$B$13,2,FALSE)</f>
        <v>Station Wagon</v>
      </c>
      <c r="J189" s="38" t="s">
        <v>168</v>
      </c>
      <c r="K189" s="38">
        <v>2</v>
      </c>
      <c r="L189" s="46" t="str">
        <f>VLOOKUP(K189,Key!$A$24:$B$29,2,FALSE)</f>
        <v>30-39</v>
      </c>
      <c r="M189" s="45" t="s">
        <v>179</v>
      </c>
      <c r="N189" s="33" t="s">
        <v>171</v>
      </c>
      <c r="O189" s="38" t="s">
        <v>166</v>
      </c>
      <c r="P189" s="40">
        <v>1</v>
      </c>
      <c r="Q189" s="35" t="str">
        <f>VLOOKUP(P189,Key!$E$2:$F$9,2,FALSE)</f>
        <v>Home</v>
      </c>
      <c r="R189" s="38" t="s">
        <v>180</v>
      </c>
      <c r="S189" s="33" t="s">
        <v>165</v>
      </c>
      <c r="T189" s="38" t="s">
        <v>166</v>
      </c>
      <c r="U189" s="33">
        <v>6</v>
      </c>
      <c r="V189" s="35" t="str">
        <f>VLOOKUP(U189,Key!$E$2:$F$9,2,FALSE)</f>
        <v>Leisure/Social</v>
      </c>
      <c r="W189" s="35" t="str">
        <f t="shared" si="2"/>
        <v>Home-Leisure/Social</v>
      </c>
      <c r="X189" s="48">
        <v>50000</v>
      </c>
      <c r="Y189" s="39">
        <v>39</v>
      </c>
      <c r="Z189" s="39">
        <v>1</v>
      </c>
      <c r="AA189" s="33">
        <v>4</v>
      </c>
      <c r="AB189" s="35" t="str">
        <f>VLOOKUP(AA189,Key!$C$20:$D$29,2,FALSE)</f>
        <v>Office Worker</v>
      </c>
      <c r="AC189" s="33">
        <v>4</v>
      </c>
      <c r="AD189" s="35" t="str">
        <f>VLOOKUP(AC189,Key!$E$20:$F$24,2,FALSE)</f>
        <v>750,000-1,000,000</v>
      </c>
      <c r="AE189" s="33">
        <v>5</v>
      </c>
      <c r="AF189" s="39">
        <v>1</v>
      </c>
      <c r="AG189" s="39">
        <v>2</v>
      </c>
      <c r="AH189" s="39">
        <v>1</v>
      </c>
      <c r="AI189" s="39">
        <v>2</v>
      </c>
      <c r="AJ189" s="40" t="s">
        <v>100</v>
      </c>
      <c r="AK189" s="41">
        <v>1000</v>
      </c>
      <c r="AL189" s="25"/>
      <c r="AM189" s="25"/>
    </row>
    <row r="190" spans="2:39" x14ac:dyDescent="0.2">
      <c r="B190" s="52">
        <v>43765</v>
      </c>
      <c r="C190" s="36">
        <v>0.72638888888888886</v>
      </c>
      <c r="D190" s="36"/>
      <c r="E190" s="36" t="s">
        <v>105</v>
      </c>
      <c r="F190" s="38">
        <v>2</v>
      </c>
      <c r="G190" s="43" t="str">
        <f>VLOOKUP(F190,Key!$A$17:$B$21,2,FALSE)</f>
        <v>Road Vehicle</v>
      </c>
      <c r="H190" s="37">
        <v>2</v>
      </c>
      <c r="I190" s="44" t="str">
        <f>VLOOKUP(H190,Key!$A$2:$B$13,2,FALSE)</f>
        <v>Station Wagon</v>
      </c>
      <c r="J190" s="38" t="s">
        <v>168</v>
      </c>
      <c r="K190" s="38">
        <v>2</v>
      </c>
      <c r="L190" s="46" t="str">
        <f>VLOOKUP(K190,Key!$A$24:$B$29,2,FALSE)</f>
        <v>30-39</v>
      </c>
      <c r="M190" s="38" t="s">
        <v>161</v>
      </c>
      <c r="N190" s="33" t="s">
        <v>165</v>
      </c>
      <c r="O190" s="38" t="s">
        <v>166</v>
      </c>
      <c r="P190" s="40">
        <v>1</v>
      </c>
      <c r="Q190" s="35" t="str">
        <f>VLOOKUP(P190,Key!$E$2:$F$9,2,FALSE)</f>
        <v>Home</v>
      </c>
      <c r="R190" s="38" t="s">
        <v>194</v>
      </c>
      <c r="S190" s="33" t="s">
        <v>195</v>
      </c>
      <c r="T190" s="38" t="s">
        <v>166</v>
      </c>
      <c r="U190" s="33">
        <v>2</v>
      </c>
      <c r="V190" s="35" t="str">
        <f>VLOOKUP(U190,Key!$E$2:$F$9,2,FALSE)</f>
        <v>Work</v>
      </c>
      <c r="W190" s="35" t="str">
        <f t="shared" si="2"/>
        <v>Home-Work</v>
      </c>
      <c r="X190" s="33">
        <v>200000</v>
      </c>
      <c r="Y190" s="39">
        <v>300</v>
      </c>
      <c r="Z190" s="39">
        <v>1</v>
      </c>
      <c r="AA190" s="33">
        <v>5</v>
      </c>
      <c r="AB190" s="35" t="str">
        <f>VLOOKUP(AA190,Key!$C$20:$D$29,2,FALSE)</f>
        <v>Professional</v>
      </c>
      <c r="AC190" s="33">
        <v>5</v>
      </c>
      <c r="AD190" s="35" t="str">
        <f>VLOOKUP(AC190,Key!$E$20:$F$24,2,FALSE)</f>
        <v>&gt;1,000,000</v>
      </c>
      <c r="AE190" s="33">
        <v>5</v>
      </c>
      <c r="AF190" s="39">
        <v>2</v>
      </c>
      <c r="AG190" s="39">
        <v>1</v>
      </c>
      <c r="AH190" s="39">
        <v>1</v>
      </c>
      <c r="AI190" s="39">
        <v>2</v>
      </c>
      <c r="AJ190" s="40" t="s">
        <v>100</v>
      </c>
      <c r="AK190" s="41">
        <v>5000</v>
      </c>
      <c r="AL190" s="25"/>
      <c r="AM190" s="25"/>
    </row>
    <row r="191" spans="2:39" x14ac:dyDescent="0.2">
      <c r="B191" s="52">
        <v>43765</v>
      </c>
      <c r="C191" s="36">
        <v>0.46388888888888885</v>
      </c>
      <c r="D191" s="36"/>
      <c r="E191" s="36" t="s">
        <v>105</v>
      </c>
      <c r="F191" s="38">
        <v>2</v>
      </c>
      <c r="G191" s="43" t="str">
        <f>VLOOKUP(F191,Key!$A$17:$B$21,2,FALSE)</f>
        <v>Road Vehicle</v>
      </c>
      <c r="H191" s="37">
        <v>2</v>
      </c>
      <c r="I191" s="44" t="str">
        <f>VLOOKUP(H191,Key!$A$2:$B$13,2,FALSE)</f>
        <v>Station Wagon</v>
      </c>
      <c r="J191" s="38" t="s">
        <v>168</v>
      </c>
      <c r="K191" s="38">
        <v>2</v>
      </c>
      <c r="L191" s="46" t="str">
        <f>VLOOKUP(K191,Key!$A$24:$B$29,2,FALSE)</f>
        <v>30-39</v>
      </c>
      <c r="M191" s="38" t="s">
        <v>228</v>
      </c>
      <c r="N191" s="33" t="s">
        <v>165</v>
      </c>
      <c r="O191" s="38" t="s">
        <v>166</v>
      </c>
      <c r="P191" s="40">
        <v>1</v>
      </c>
      <c r="Q191" s="35" t="str">
        <f>VLOOKUP(P191,Key!$E$2:$F$9,2,FALSE)</f>
        <v>Home</v>
      </c>
      <c r="R191" s="38" t="s">
        <v>229</v>
      </c>
      <c r="S191" s="33" t="s">
        <v>165</v>
      </c>
      <c r="T191" s="38" t="s">
        <v>166</v>
      </c>
      <c r="U191" s="33">
        <v>6</v>
      </c>
      <c r="V191" s="35" t="str">
        <f>VLOOKUP(U191,Key!$E$2:$F$9,2,FALSE)</f>
        <v>Leisure/Social</v>
      </c>
      <c r="W191" s="35" t="str">
        <f t="shared" si="2"/>
        <v>Home-Leisure/Social</v>
      </c>
      <c r="X191" s="33">
        <v>80000</v>
      </c>
      <c r="Y191" s="39">
        <v>120</v>
      </c>
      <c r="Z191" s="39">
        <v>3</v>
      </c>
      <c r="AA191" s="33">
        <v>6</v>
      </c>
      <c r="AB191" s="35" t="str">
        <f>VLOOKUP(AA191,Key!$C$20:$D$29,2,FALSE)</f>
        <v>Businessman</v>
      </c>
      <c r="AC191" s="33">
        <v>4</v>
      </c>
      <c r="AD191" s="35" t="str">
        <f>VLOOKUP(AC191,Key!$E$20:$F$24,2,FALSE)</f>
        <v>750,000-1,000,000</v>
      </c>
      <c r="AE191" s="33">
        <v>5</v>
      </c>
      <c r="AF191" s="39">
        <v>5</v>
      </c>
      <c r="AG191" s="39">
        <v>2</v>
      </c>
      <c r="AH191" s="39">
        <v>5</v>
      </c>
      <c r="AI191" s="39">
        <v>1</v>
      </c>
      <c r="AJ191" s="40" t="s">
        <v>100</v>
      </c>
      <c r="AK191" s="41">
        <v>1000</v>
      </c>
      <c r="AL191" s="25"/>
      <c r="AM191" s="25"/>
    </row>
    <row r="192" spans="2:39" x14ac:dyDescent="0.2">
      <c r="B192" s="52">
        <v>43765</v>
      </c>
      <c r="C192" s="36">
        <v>0.47222222222222227</v>
      </c>
      <c r="D192" s="36"/>
      <c r="E192" s="36" t="s">
        <v>105</v>
      </c>
      <c r="F192" s="38">
        <v>2</v>
      </c>
      <c r="G192" s="43" t="str">
        <f>VLOOKUP(F192,Key!$A$17:$B$21,2,FALSE)</f>
        <v>Road Vehicle</v>
      </c>
      <c r="H192" s="37">
        <v>2</v>
      </c>
      <c r="I192" s="44" t="str">
        <f>VLOOKUP(H192,Key!$A$2:$B$13,2,FALSE)</f>
        <v>Station Wagon</v>
      </c>
      <c r="J192" s="38" t="s">
        <v>117</v>
      </c>
      <c r="K192" s="38">
        <v>2</v>
      </c>
      <c r="L192" s="46" t="str">
        <f>VLOOKUP(K192,Key!$A$24:$B$29,2,FALSE)</f>
        <v>30-39</v>
      </c>
      <c r="M192" s="45" t="s">
        <v>175</v>
      </c>
      <c r="N192" s="33" t="s">
        <v>165</v>
      </c>
      <c r="O192" s="38" t="s">
        <v>166</v>
      </c>
      <c r="P192" s="40">
        <v>1</v>
      </c>
      <c r="Q192" s="35" t="str">
        <f>VLOOKUP(P192,Key!$E$2:$F$9,2,FALSE)</f>
        <v>Home</v>
      </c>
      <c r="R192" s="38" t="s">
        <v>169</v>
      </c>
      <c r="S192" s="33" t="s">
        <v>165</v>
      </c>
      <c r="T192" s="38" t="s">
        <v>166</v>
      </c>
      <c r="U192" s="33">
        <v>6</v>
      </c>
      <c r="V192" s="35" t="str">
        <f>VLOOKUP(U192,Key!$E$2:$F$9,2,FALSE)</f>
        <v>Leisure/Social</v>
      </c>
      <c r="W192" s="35" t="str">
        <f t="shared" si="2"/>
        <v>Home-Leisure/Social</v>
      </c>
      <c r="X192" s="48">
        <v>20000</v>
      </c>
      <c r="Y192" s="39">
        <v>29</v>
      </c>
      <c r="Z192" s="39">
        <v>0.3</v>
      </c>
      <c r="AA192" s="33">
        <v>6</v>
      </c>
      <c r="AB192" s="35" t="str">
        <f>VLOOKUP(AA192,Key!$C$20:$D$29,2,FALSE)</f>
        <v>Businessman</v>
      </c>
      <c r="AC192" s="33">
        <v>4</v>
      </c>
      <c r="AD192" s="35" t="str">
        <f>VLOOKUP(AC192,Key!$E$20:$F$24,2,FALSE)</f>
        <v>750,000-1,000,000</v>
      </c>
      <c r="AE192" s="33">
        <v>1</v>
      </c>
      <c r="AF192" s="39">
        <v>2</v>
      </c>
      <c r="AG192" s="39">
        <v>1</v>
      </c>
      <c r="AH192" s="39">
        <v>2</v>
      </c>
      <c r="AI192" s="39">
        <v>2</v>
      </c>
      <c r="AJ192" s="40" t="s">
        <v>100</v>
      </c>
      <c r="AK192" s="41">
        <v>1000</v>
      </c>
      <c r="AL192" s="25"/>
      <c r="AM192" s="25"/>
    </row>
    <row r="193" spans="1:39" x14ac:dyDescent="0.2">
      <c r="B193" s="52">
        <v>43765</v>
      </c>
      <c r="C193" s="36">
        <v>0.40902777777777777</v>
      </c>
      <c r="D193" s="36"/>
      <c r="E193" s="36" t="s">
        <v>105</v>
      </c>
      <c r="F193" s="38">
        <v>2</v>
      </c>
      <c r="G193" s="43" t="str">
        <f>VLOOKUP(F193,Key!$A$17:$B$21,2,FALSE)</f>
        <v>Road Vehicle</v>
      </c>
      <c r="H193" s="37">
        <v>2</v>
      </c>
      <c r="I193" s="44" t="str">
        <f>VLOOKUP(H193,Key!$A$2:$B$13,2,FALSE)</f>
        <v>Station Wagon</v>
      </c>
      <c r="J193" s="38" t="s">
        <v>117</v>
      </c>
      <c r="K193" s="38">
        <v>2</v>
      </c>
      <c r="L193" s="46" t="str">
        <f>VLOOKUP(K193,Key!$A$24:$B$29,2,FALSE)</f>
        <v>30-39</v>
      </c>
      <c r="M193" s="45" t="s">
        <v>186</v>
      </c>
      <c r="N193" s="33" t="s">
        <v>165</v>
      </c>
      <c r="O193" s="38" t="s">
        <v>166</v>
      </c>
      <c r="P193" s="40">
        <v>1</v>
      </c>
      <c r="Q193" s="35" t="str">
        <f>VLOOKUP(P193,Key!$E$2:$F$9,2,FALSE)</f>
        <v>Home</v>
      </c>
      <c r="R193" s="38" t="s">
        <v>170</v>
      </c>
      <c r="S193" s="33" t="s">
        <v>171</v>
      </c>
      <c r="T193" s="38" t="s">
        <v>166</v>
      </c>
      <c r="U193" s="33">
        <v>2</v>
      </c>
      <c r="V193" s="35" t="str">
        <f>VLOOKUP(U193,Key!$E$2:$F$9,2,FALSE)</f>
        <v>Work</v>
      </c>
      <c r="W193" s="35" t="str">
        <f t="shared" si="2"/>
        <v>Home-Work</v>
      </c>
      <c r="X193" s="48">
        <v>50000</v>
      </c>
      <c r="Y193" s="39">
        <v>42</v>
      </c>
      <c r="Z193" s="39">
        <v>1.5</v>
      </c>
      <c r="AA193" s="33">
        <v>6</v>
      </c>
      <c r="AB193" s="35" t="str">
        <f>VLOOKUP(AA193,Key!$C$20:$D$29,2,FALSE)</f>
        <v>Businessman</v>
      </c>
      <c r="AC193" s="33">
        <v>4</v>
      </c>
      <c r="AD193" s="35" t="str">
        <f>VLOOKUP(AC193,Key!$E$20:$F$24,2,FALSE)</f>
        <v>750,000-1,000,000</v>
      </c>
      <c r="AE193" s="33">
        <v>5</v>
      </c>
      <c r="AF193" s="39">
        <v>2</v>
      </c>
      <c r="AG193" s="39">
        <v>1</v>
      </c>
      <c r="AH193" s="39">
        <v>2</v>
      </c>
      <c r="AI193" s="39">
        <v>1</v>
      </c>
      <c r="AJ193" s="40" t="s">
        <v>100</v>
      </c>
      <c r="AK193" s="41">
        <v>1000</v>
      </c>
      <c r="AL193" s="25"/>
      <c r="AM193" s="25"/>
    </row>
    <row r="194" spans="1:39" x14ac:dyDescent="0.2">
      <c r="B194" s="52">
        <v>43765</v>
      </c>
      <c r="C194" s="36">
        <v>0.4145833333333333</v>
      </c>
      <c r="D194" s="36"/>
      <c r="E194" s="36" t="s">
        <v>105</v>
      </c>
      <c r="F194" s="38">
        <v>2</v>
      </c>
      <c r="G194" s="43" t="str">
        <f>VLOOKUP(F194,Key!$A$17:$B$21,2,FALSE)</f>
        <v>Road Vehicle</v>
      </c>
      <c r="H194" s="37">
        <v>2</v>
      </c>
      <c r="I194" s="44" t="str">
        <f>VLOOKUP(H194,Key!$A$2:$B$13,2,FALSE)</f>
        <v>Station Wagon</v>
      </c>
      <c r="J194" s="38" t="s">
        <v>117</v>
      </c>
      <c r="K194" s="38">
        <v>2</v>
      </c>
      <c r="L194" s="46" t="str">
        <f>VLOOKUP(K194,Key!$A$24:$B$29,2,FALSE)</f>
        <v>30-39</v>
      </c>
      <c r="M194" s="45" t="s">
        <v>187</v>
      </c>
      <c r="N194" s="33" t="s">
        <v>171</v>
      </c>
      <c r="O194" s="38" t="s">
        <v>166</v>
      </c>
      <c r="P194" s="40">
        <v>1</v>
      </c>
      <c r="Q194" s="35" t="str">
        <f>VLOOKUP(P194,Key!$E$2:$F$9,2,FALSE)</f>
        <v>Home</v>
      </c>
      <c r="R194" s="38" t="s">
        <v>180</v>
      </c>
      <c r="S194" s="33" t="s">
        <v>165</v>
      </c>
      <c r="T194" s="38" t="s">
        <v>166</v>
      </c>
      <c r="U194" s="33">
        <v>6</v>
      </c>
      <c r="V194" s="35" t="str">
        <f>VLOOKUP(U194,Key!$E$2:$F$9,2,FALSE)</f>
        <v>Leisure/Social</v>
      </c>
      <c r="W194" s="35" t="str">
        <f t="shared" si="2"/>
        <v>Home-Leisure/Social</v>
      </c>
      <c r="X194" s="48">
        <v>70000</v>
      </c>
      <c r="Y194" s="39">
        <v>100</v>
      </c>
      <c r="Z194" s="39">
        <v>1.5</v>
      </c>
      <c r="AA194" s="33">
        <v>4</v>
      </c>
      <c r="AB194" s="35" t="str">
        <f>VLOOKUP(AA194,Key!$C$20:$D$29,2,FALSE)</f>
        <v>Office Worker</v>
      </c>
      <c r="AC194" s="33">
        <v>4</v>
      </c>
      <c r="AD194" s="35" t="str">
        <f>VLOOKUP(AC194,Key!$E$20:$F$24,2,FALSE)</f>
        <v>750,000-1,000,000</v>
      </c>
      <c r="AE194" s="33">
        <v>5</v>
      </c>
      <c r="AF194" s="39">
        <v>1</v>
      </c>
      <c r="AG194" s="39">
        <v>2</v>
      </c>
      <c r="AH194" s="39">
        <v>2</v>
      </c>
      <c r="AI194" s="39">
        <v>1</v>
      </c>
      <c r="AJ194" s="40" t="s">
        <v>100</v>
      </c>
      <c r="AK194" s="41">
        <v>1000</v>
      </c>
      <c r="AL194" s="25"/>
      <c r="AM194" s="25"/>
    </row>
    <row r="195" spans="1:39" x14ac:dyDescent="0.2">
      <c r="B195" s="52">
        <v>43765</v>
      </c>
      <c r="C195" s="36">
        <v>0.52083333333333337</v>
      </c>
      <c r="D195" s="36"/>
      <c r="E195" s="36" t="s">
        <v>105</v>
      </c>
      <c r="F195" s="38">
        <v>2</v>
      </c>
      <c r="G195" s="43" t="str">
        <f>VLOOKUP(F195,Key!$A$17:$B$21,2,FALSE)</f>
        <v>Road Vehicle</v>
      </c>
      <c r="H195" s="37">
        <v>2</v>
      </c>
      <c r="I195" s="44" t="str">
        <f>VLOOKUP(H195,Key!$A$2:$B$13,2,FALSE)</f>
        <v>Station Wagon</v>
      </c>
      <c r="J195" s="38" t="s">
        <v>117</v>
      </c>
      <c r="K195" s="38">
        <v>2</v>
      </c>
      <c r="L195" s="46" t="str">
        <f>VLOOKUP(K195,Key!$A$24:$B$29,2,FALSE)</f>
        <v>30-39</v>
      </c>
      <c r="M195" s="38" t="s">
        <v>189</v>
      </c>
      <c r="N195" s="33" t="s">
        <v>165</v>
      </c>
      <c r="O195" s="38" t="s">
        <v>166</v>
      </c>
      <c r="P195" s="40">
        <v>1</v>
      </c>
      <c r="Q195" s="35" t="str">
        <f>VLOOKUP(P195,Key!$E$2:$F$9,2,FALSE)</f>
        <v>Home</v>
      </c>
      <c r="R195" s="38" t="s">
        <v>169</v>
      </c>
      <c r="S195" s="33" t="s">
        <v>165</v>
      </c>
      <c r="T195" s="38" t="s">
        <v>166</v>
      </c>
      <c r="U195" s="33">
        <v>5</v>
      </c>
      <c r="V195" s="35" t="str">
        <f>VLOOKUP(U195,Key!$E$2:$F$9,2,FALSE)</f>
        <v>Tourism</v>
      </c>
      <c r="W195" s="35" t="str">
        <f t="shared" si="2"/>
        <v>Home-Tourism</v>
      </c>
      <c r="X195" s="48">
        <v>30000</v>
      </c>
      <c r="Y195" s="39">
        <v>29</v>
      </c>
      <c r="Z195" s="39">
        <v>0.9</v>
      </c>
      <c r="AA195" s="33">
        <v>4</v>
      </c>
      <c r="AB195" s="35" t="str">
        <f>VLOOKUP(AA195,Key!$C$20:$D$29,2,FALSE)</f>
        <v>Office Worker</v>
      </c>
      <c r="AC195" s="33">
        <v>4</v>
      </c>
      <c r="AD195" s="35" t="str">
        <f>VLOOKUP(AC195,Key!$E$20:$F$24,2,FALSE)</f>
        <v>750,000-1,000,000</v>
      </c>
      <c r="AE195" s="33">
        <v>2</v>
      </c>
      <c r="AF195" s="39">
        <v>2</v>
      </c>
      <c r="AG195" s="39">
        <v>1</v>
      </c>
      <c r="AH195" s="39">
        <v>2</v>
      </c>
      <c r="AI195" s="39">
        <v>1</v>
      </c>
      <c r="AJ195" s="40" t="s">
        <v>100</v>
      </c>
      <c r="AK195" s="41">
        <v>500</v>
      </c>
      <c r="AL195" s="25"/>
      <c r="AM195" s="25"/>
    </row>
    <row r="196" spans="1:39" x14ac:dyDescent="0.2">
      <c r="A196" s="10"/>
      <c r="B196" s="52">
        <v>43765</v>
      </c>
      <c r="C196" s="36">
        <v>0.56666666666666665</v>
      </c>
      <c r="D196" s="36"/>
      <c r="E196" s="36" t="s">
        <v>105</v>
      </c>
      <c r="F196" s="38">
        <v>2</v>
      </c>
      <c r="G196" s="43" t="str">
        <f>VLOOKUP(F196,Key!$A$17:$B$21,2,FALSE)</f>
        <v>Road Vehicle</v>
      </c>
      <c r="H196" s="37">
        <v>2</v>
      </c>
      <c r="I196" s="44" t="str">
        <f>VLOOKUP(H196,Key!$A$2:$B$13,2,FALSE)</f>
        <v>Station Wagon</v>
      </c>
      <c r="J196" s="38" t="s">
        <v>117</v>
      </c>
      <c r="K196" s="38">
        <v>2</v>
      </c>
      <c r="L196" s="46" t="str">
        <f>VLOOKUP(K196,Key!$A$24:$B$29,2,FALSE)</f>
        <v>30-39</v>
      </c>
      <c r="M196" s="38" t="s">
        <v>189</v>
      </c>
      <c r="N196" s="33" t="s">
        <v>165</v>
      </c>
      <c r="O196" s="38" t="s">
        <v>166</v>
      </c>
      <c r="P196" s="40">
        <v>1</v>
      </c>
      <c r="Q196" s="35" t="str">
        <f>VLOOKUP(P196,Key!$E$2:$F$9,2,FALSE)</f>
        <v>Home</v>
      </c>
      <c r="R196" s="38" t="s">
        <v>216</v>
      </c>
      <c r="S196" s="33" t="s">
        <v>165</v>
      </c>
      <c r="T196" s="38" t="s">
        <v>166</v>
      </c>
      <c r="U196" s="33">
        <v>6</v>
      </c>
      <c r="V196" s="35" t="str">
        <f>VLOOKUP(U196,Key!$E$2:$F$9,2,FALSE)</f>
        <v>Leisure/Social</v>
      </c>
      <c r="W196" s="35" t="str">
        <f t="shared" si="2"/>
        <v>Home-Leisure/Social</v>
      </c>
      <c r="X196" s="33">
        <v>10000</v>
      </c>
      <c r="Y196" s="39">
        <v>30</v>
      </c>
      <c r="Z196" s="39">
        <v>0.8</v>
      </c>
      <c r="AA196" s="33">
        <v>6</v>
      </c>
      <c r="AB196" s="35" t="str">
        <f>VLOOKUP(AA196,Key!$C$20:$D$29,2,FALSE)</f>
        <v>Businessman</v>
      </c>
      <c r="AC196" s="33">
        <v>2</v>
      </c>
      <c r="AD196" s="35" t="str">
        <f>VLOOKUP(AC196,Key!$E$20:$F$24,2,FALSE)</f>
        <v>300,000-500,000</v>
      </c>
      <c r="AE196" s="33">
        <v>1</v>
      </c>
      <c r="AF196" s="39">
        <v>1</v>
      </c>
      <c r="AG196" s="39">
        <v>1</v>
      </c>
      <c r="AH196" s="39">
        <v>5</v>
      </c>
      <c r="AI196" s="39">
        <v>1</v>
      </c>
      <c r="AJ196" s="40" t="s">
        <v>100</v>
      </c>
      <c r="AK196" s="41">
        <v>2000</v>
      </c>
      <c r="AL196" s="25"/>
      <c r="AM196" s="25"/>
    </row>
    <row r="197" spans="1:39" x14ac:dyDescent="0.2">
      <c r="B197" s="52">
        <v>43765</v>
      </c>
      <c r="C197" s="36">
        <v>0.32083333333333336</v>
      </c>
      <c r="D197" s="36"/>
      <c r="E197" s="36" t="s">
        <v>105</v>
      </c>
      <c r="F197" s="38">
        <v>2</v>
      </c>
      <c r="G197" s="43" t="str">
        <f>VLOOKUP(F197,Key!$A$17:$B$21,2,FALSE)</f>
        <v>Road Vehicle</v>
      </c>
      <c r="H197" s="37">
        <v>2</v>
      </c>
      <c r="I197" s="44" t="str">
        <f>VLOOKUP(H197,Key!$A$2:$B$13,2,FALSE)</f>
        <v>Station Wagon</v>
      </c>
      <c r="J197" s="38" t="s">
        <v>117</v>
      </c>
      <c r="K197" s="38">
        <v>2</v>
      </c>
      <c r="L197" s="46" t="str">
        <f>VLOOKUP(K197,Key!$A$24:$B$29,2,FALSE)</f>
        <v>30-39</v>
      </c>
      <c r="M197" s="38" t="s">
        <v>202</v>
      </c>
      <c r="N197" s="33" t="s">
        <v>171</v>
      </c>
      <c r="O197" s="38" t="s">
        <v>166</v>
      </c>
      <c r="P197" s="40">
        <v>1</v>
      </c>
      <c r="Q197" s="35" t="str">
        <f>VLOOKUP(P197,Key!$E$2:$F$9,2,FALSE)</f>
        <v>Home</v>
      </c>
      <c r="R197" s="38" t="s">
        <v>169</v>
      </c>
      <c r="S197" s="33" t="s">
        <v>165</v>
      </c>
      <c r="T197" s="38" t="s">
        <v>166</v>
      </c>
      <c r="U197" s="33">
        <v>2</v>
      </c>
      <c r="V197" s="35" t="str">
        <f>VLOOKUP(U197,Key!$E$2:$F$9,2,FALSE)</f>
        <v>Work</v>
      </c>
      <c r="W197" s="35" t="str">
        <f t="shared" si="2"/>
        <v>Home-Work</v>
      </c>
      <c r="X197" s="33">
        <v>30000</v>
      </c>
      <c r="Y197" s="39">
        <v>40</v>
      </c>
      <c r="Z197" s="39">
        <v>1</v>
      </c>
      <c r="AA197" s="33">
        <v>4</v>
      </c>
      <c r="AB197" s="35" t="str">
        <f>VLOOKUP(AA197,Key!$C$20:$D$29,2,FALSE)</f>
        <v>Office Worker</v>
      </c>
      <c r="AC197" s="33">
        <v>2</v>
      </c>
      <c r="AD197" s="35" t="str">
        <f>VLOOKUP(AC197,Key!$E$20:$F$24,2,FALSE)</f>
        <v>300,000-500,000</v>
      </c>
      <c r="AE197" s="33">
        <v>1</v>
      </c>
      <c r="AF197" s="39">
        <v>1</v>
      </c>
      <c r="AG197" s="39">
        <v>1</v>
      </c>
      <c r="AH197" s="39">
        <v>1</v>
      </c>
      <c r="AI197" s="39">
        <v>1</v>
      </c>
      <c r="AJ197" s="40" t="s">
        <v>100</v>
      </c>
      <c r="AK197" s="41">
        <v>9000</v>
      </c>
      <c r="AL197" s="25"/>
      <c r="AM197" s="25"/>
    </row>
    <row r="198" spans="1:39" x14ac:dyDescent="0.2">
      <c r="B198" s="52">
        <v>43765</v>
      </c>
      <c r="C198" s="36">
        <v>0.31111111111111112</v>
      </c>
      <c r="D198" s="36"/>
      <c r="E198" s="36" t="s">
        <v>105</v>
      </c>
      <c r="F198" s="38">
        <v>2</v>
      </c>
      <c r="G198" s="43" t="str">
        <f>VLOOKUP(F198,Key!$A$17:$B$21,2,FALSE)</f>
        <v>Road Vehicle</v>
      </c>
      <c r="H198" s="37">
        <v>1</v>
      </c>
      <c r="I198" s="44" t="str">
        <f>VLOOKUP(H198,Key!$A$2:$B$13,2,FALSE)</f>
        <v>Car</v>
      </c>
      <c r="J198" s="38" t="s">
        <v>168</v>
      </c>
      <c r="K198" s="38">
        <v>3</v>
      </c>
      <c r="L198" s="46" t="str">
        <f>VLOOKUP(K198,Key!$A$24:$B$29,2,FALSE)</f>
        <v>40-49</v>
      </c>
      <c r="M198" s="45" t="s">
        <v>169</v>
      </c>
      <c r="N198" s="33" t="s">
        <v>165</v>
      </c>
      <c r="O198" s="38" t="s">
        <v>166</v>
      </c>
      <c r="P198" s="40">
        <v>2</v>
      </c>
      <c r="Q198" s="35" t="str">
        <f>VLOOKUP(P198,Key!$E$2:$F$9,2,FALSE)</f>
        <v>Work</v>
      </c>
      <c r="R198" s="38" t="s">
        <v>170</v>
      </c>
      <c r="S198" s="33" t="s">
        <v>171</v>
      </c>
      <c r="T198" s="38" t="s">
        <v>166</v>
      </c>
      <c r="U198" s="33">
        <v>1</v>
      </c>
      <c r="V198" s="35" t="str">
        <f>VLOOKUP(U198,Key!$E$2:$F$9,2,FALSE)</f>
        <v>Home</v>
      </c>
      <c r="W198" s="35" t="str">
        <f t="shared" si="2"/>
        <v>Work-Home</v>
      </c>
      <c r="X198" s="48">
        <v>40000</v>
      </c>
      <c r="Y198" s="39">
        <v>36</v>
      </c>
      <c r="Z198" s="39">
        <v>0.8</v>
      </c>
      <c r="AA198" s="33">
        <v>4</v>
      </c>
      <c r="AB198" s="35" t="str">
        <f>VLOOKUP(AA198,Key!$C$20:$D$29,2,FALSE)</f>
        <v>Office Worker</v>
      </c>
      <c r="AC198" s="33">
        <v>4</v>
      </c>
      <c r="AD198" s="35" t="str">
        <f>VLOOKUP(AC198,Key!$E$20:$F$24,2,FALSE)</f>
        <v>750,000-1,000,000</v>
      </c>
      <c r="AE198" s="33">
        <v>1</v>
      </c>
      <c r="AF198" s="39">
        <v>2</v>
      </c>
      <c r="AG198" s="39">
        <v>1</v>
      </c>
      <c r="AH198" s="39">
        <v>1</v>
      </c>
      <c r="AI198" s="39">
        <v>2</v>
      </c>
      <c r="AJ198" s="40" t="s">
        <v>100</v>
      </c>
      <c r="AK198" s="41">
        <v>500</v>
      </c>
      <c r="AL198" s="25"/>
      <c r="AM198" s="25"/>
    </row>
    <row r="199" spans="1:39" x14ac:dyDescent="0.2">
      <c r="B199" s="52">
        <v>43765</v>
      </c>
      <c r="C199" s="36">
        <v>0.3298611111111111</v>
      </c>
      <c r="D199" s="36"/>
      <c r="E199" s="36" t="s">
        <v>105</v>
      </c>
      <c r="F199" s="38">
        <v>2</v>
      </c>
      <c r="G199" s="43" t="str">
        <f>VLOOKUP(F199,Key!$A$17:$B$21,2,FALSE)</f>
        <v>Road Vehicle</v>
      </c>
      <c r="H199" s="37">
        <v>1</v>
      </c>
      <c r="I199" s="44" t="str">
        <f>VLOOKUP(H199,Key!$A$2:$B$13,2,FALSE)</f>
        <v>Car</v>
      </c>
      <c r="J199" s="38" t="s">
        <v>117</v>
      </c>
      <c r="K199" s="38">
        <v>3</v>
      </c>
      <c r="L199" s="46" t="str">
        <f>VLOOKUP(K199,Key!$A$24:$B$29,2,FALSE)</f>
        <v>40-49</v>
      </c>
      <c r="M199" s="45" t="s">
        <v>172</v>
      </c>
      <c r="N199" s="33" t="s">
        <v>171</v>
      </c>
      <c r="O199" s="38" t="s">
        <v>166</v>
      </c>
      <c r="P199" s="40">
        <v>1</v>
      </c>
      <c r="Q199" s="35" t="str">
        <f>VLOOKUP(P199,Key!$E$2:$F$9,2,FALSE)</f>
        <v>Home</v>
      </c>
      <c r="R199" s="38" t="s">
        <v>173</v>
      </c>
      <c r="S199" s="33" t="s">
        <v>165</v>
      </c>
      <c r="T199" s="38" t="s">
        <v>166</v>
      </c>
      <c r="U199" s="33">
        <v>2</v>
      </c>
      <c r="V199" s="35" t="str">
        <f>VLOOKUP(U199,Key!$E$2:$F$9,2,FALSE)</f>
        <v>Work</v>
      </c>
      <c r="W199" s="35" t="str">
        <f t="shared" si="2"/>
        <v>Home-Work</v>
      </c>
      <c r="X199" s="48">
        <v>50000</v>
      </c>
      <c r="Y199" s="39">
        <v>100</v>
      </c>
      <c r="Z199" s="39">
        <v>1</v>
      </c>
      <c r="AA199" s="33">
        <v>4</v>
      </c>
      <c r="AB199" s="35" t="str">
        <f>VLOOKUP(AA199,Key!$C$20:$D$29,2,FALSE)</f>
        <v>Office Worker</v>
      </c>
      <c r="AC199" s="33">
        <v>3</v>
      </c>
      <c r="AD199" s="35" t="str">
        <f>VLOOKUP(AC199,Key!$E$20:$F$24,2,FALSE)</f>
        <v>500,000-750,000</v>
      </c>
      <c r="AE199" s="33">
        <v>5</v>
      </c>
      <c r="AF199" s="39">
        <v>2</v>
      </c>
      <c r="AG199" s="39">
        <v>1</v>
      </c>
      <c r="AH199" s="39">
        <v>2</v>
      </c>
      <c r="AI199" s="39">
        <v>1</v>
      </c>
      <c r="AJ199" s="40" t="s">
        <v>100</v>
      </c>
      <c r="AK199" s="41">
        <v>1000</v>
      </c>
      <c r="AL199" s="25"/>
      <c r="AM199" s="25"/>
    </row>
    <row r="200" spans="1:39" x14ac:dyDescent="0.2">
      <c r="B200" s="52">
        <v>43765</v>
      </c>
      <c r="C200" s="36">
        <v>0.44861111111111113</v>
      </c>
      <c r="D200" s="36"/>
      <c r="E200" s="36" t="s">
        <v>163</v>
      </c>
      <c r="F200" s="38">
        <v>2</v>
      </c>
      <c r="G200" s="43" t="str">
        <f>VLOOKUP(F200,Key!$A$17:$B$21,2,FALSE)</f>
        <v>Road Vehicle</v>
      </c>
      <c r="H200" s="37">
        <v>1</v>
      </c>
      <c r="I200" s="44" t="str">
        <f>VLOOKUP(H200,Key!$A$2:$B$13,2,FALSE)</f>
        <v>Car</v>
      </c>
      <c r="J200" s="38" t="s">
        <v>117</v>
      </c>
      <c r="K200" s="38">
        <v>3</v>
      </c>
      <c r="L200" s="46" t="str">
        <f>VLOOKUP(K200,Key!$A$24:$B$29,2,FALSE)</f>
        <v>40-49</v>
      </c>
      <c r="M200" s="38" t="s">
        <v>199</v>
      </c>
      <c r="N200" s="33" t="s">
        <v>165</v>
      </c>
      <c r="O200" s="38" t="s">
        <v>166</v>
      </c>
      <c r="P200" s="40">
        <v>3</v>
      </c>
      <c r="Q200" s="35" t="str">
        <f>VLOOKUP(P200,Key!$E$2:$F$9,2,FALSE)</f>
        <v>Study</v>
      </c>
      <c r="R200" s="38" t="s">
        <v>191</v>
      </c>
      <c r="S200" s="33" t="s">
        <v>165</v>
      </c>
      <c r="T200" s="38" t="s">
        <v>166</v>
      </c>
      <c r="U200" s="33">
        <v>2</v>
      </c>
      <c r="V200" s="35" t="str">
        <f>VLOOKUP(U200,Key!$E$2:$F$9,2,FALSE)</f>
        <v>Work</v>
      </c>
      <c r="W200" s="35" t="str">
        <f t="shared" ref="W200:W263" si="3">Q200&amp;"-"&amp;V200</f>
        <v>Study-Work</v>
      </c>
      <c r="X200" s="33">
        <v>1000</v>
      </c>
      <c r="Y200" s="39">
        <v>20</v>
      </c>
      <c r="Z200" s="39">
        <v>0.3</v>
      </c>
      <c r="AA200" s="33">
        <v>5</v>
      </c>
      <c r="AB200" s="35" t="str">
        <f>VLOOKUP(AA200,Key!$C$20:$D$29,2,FALSE)</f>
        <v>Professional</v>
      </c>
      <c r="AC200" s="33">
        <v>3</v>
      </c>
      <c r="AD200" s="35" t="str">
        <f>VLOOKUP(AC200,Key!$E$20:$F$24,2,FALSE)</f>
        <v>500,000-750,000</v>
      </c>
      <c r="AE200" s="33">
        <v>1</v>
      </c>
      <c r="AF200" s="39">
        <v>1</v>
      </c>
      <c r="AG200" s="39">
        <v>2</v>
      </c>
      <c r="AH200" s="39">
        <v>1</v>
      </c>
      <c r="AI200" s="39">
        <v>1</v>
      </c>
      <c r="AJ200" s="40" t="s">
        <v>100</v>
      </c>
      <c r="AK200" s="41">
        <v>2000</v>
      </c>
      <c r="AL200" s="25"/>
      <c r="AM200" s="25"/>
    </row>
    <row r="201" spans="1:39" x14ac:dyDescent="0.2">
      <c r="B201" s="52">
        <v>43765</v>
      </c>
      <c r="C201" s="36">
        <v>0.41666666666666669</v>
      </c>
      <c r="D201" s="36"/>
      <c r="E201" s="36" t="s">
        <v>105</v>
      </c>
      <c r="F201" s="38">
        <v>2</v>
      </c>
      <c r="G201" s="43" t="str">
        <f>VLOOKUP(F201,Key!$A$17:$B$21,2,FALSE)</f>
        <v>Road Vehicle</v>
      </c>
      <c r="H201" s="37">
        <v>1</v>
      </c>
      <c r="I201" s="44" t="str">
        <f>VLOOKUP(H201,Key!$A$2:$B$13,2,FALSE)</f>
        <v>Car</v>
      </c>
      <c r="J201" s="38" t="s">
        <v>117</v>
      </c>
      <c r="K201" s="38">
        <v>3</v>
      </c>
      <c r="L201" s="46" t="str">
        <f>VLOOKUP(K201,Key!$A$24:$B$29,2,FALSE)</f>
        <v>40-49</v>
      </c>
      <c r="M201" s="38" t="s">
        <v>172</v>
      </c>
      <c r="N201" s="33" t="s">
        <v>171</v>
      </c>
      <c r="O201" s="38" t="s">
        <v>166</v>
      </c>
      <c r="P201" s="40">
        <v>2</v>
      </c>
      <c r="Q201" s="35" t="str">
        <f>VLOOKUP(P201,Key!$E$2:$F$9,2,FALSE)</f>
        <v>Work</v>
      </c>
      <c r="R201" s="38" t="s">
        <v>191</v>
      </c>
      <c r="S201" s="33" t="s">
        <v>165</v>
      </c>
      <c r="T201" s="38" t="s">
        <v>166</v>
      </c>
      <c r="U201" s="33">
        <v>2</v>
      </c>
      <c r="V201" s="35" t="str">
        <f>VLOOKUP(U201,Key!$E$2:$F$9,2,FALSE)</f>
        <v>Work</v>
      </c>
      <c r="W201" s="35" t="str">
        <f t="shared" si="3"/>
        <v>Work-Work</v>
      </c>
      <c r="X201" s="33">
        <v>35000</v>
      </c>
      <c r="Y201" s="39">
        <v>90</v>
      </c>
      <c r="Z201" s="39">
        <v>2</v>
      </c>
      <c r="AA201" s="33">
        <v>4</v>
      </c>
      <c r="AB201" s="35" t="str">
        <f>VLOOKUP(AA201,Key!$C$20:$D$29,2,FALSE)</f>
        <v>Office Worker</v>
      </c>
      <c r="AC201" s="33">
        <v>3</v>
      </c>
      <c r="AD201" s="35" t="str">
        <f>VLOOKUP(AC201,Key!$E$20:$F$24,2,FALSE)</f>
        <v>500,000-750,000</v>
      </c>
      <c r="AE201" s="33">
        <v>1</v>
      </c>
      <c r="AF201" s="39">
        <v>5</v>
      </c>
      <c r="AG201" s="39">
        <v>1</v>
      </c>
      <c r="AH201" s="39">
        <v>1</v>
      </c>
      <c r="AI201" s="39">
        <v>2</v>
      </c>
      <c r="AJ201" s="40" t="s">
        <v>100</v>
      </c>
      <c r="AK201" s="41">
        <v>4000</v>
      </c>
      <c r="AL201" s="25"/>
      <c r="AM201" s="25"/>
    </row>
    <row r="202" spans="1:39" x14ac:dyDescent="0.2">
      <c r="B202" s="52">
        <v>43765</v>
      </c>
      <c r="C202" s="36">
        <v>0.64097222222222217</v>
      </c>
      <c r="D202" s="36"/>
      <c r="E202" s="36" t="s">
        <v>105</v>
      </c>
      <c r="F202" s="38">
        <v>2</v>
      </c>
      <c r="G202" s="43" t="str">
        <f>VLOOKUP(F202,Key!$A$17:$B$21,2,FALSE)</f>
        <v>Road Vehicle</v>
      </c>
      <c r="H202" s="37">
        <v>9</v>
      </c>
      <c r="I202" s="44" t="str">
        <f>VLOOKUP(H202,Key!$A$2:$B$13,2,FALSE)</f>
        <v xml:space="preserve">Heavy truck </v>
      </c>
      <c r="J202" s="38" t="s">
        <v>117</v>
      </c>
      <c r="K202" s="38">
        <v>3</v>
      </c>
      <c r="L202" s="46" t="str">
        <f>VLOOKUP(K202,Key!$A$24:$B$29,2,FALSE)</f>
        <v>40-49</v>
      </c>
      <c r="M202" s="38" t="s">
        <v>169</v>
      </c>
      <c r="N202" s="33" t="s">
        <v>165</v>
      </c>
      <c r="O202" s="38" t="s">
        <v>166</v>
      </c>
      <c r="P202" s="40">
        <v>2</v>
      </c>
      <c r="Q202" s="35" t="str">
        <f>VLOOKUP(P202,Key!$E$2:$F$9,2,FALSE)</f>
        <v>Work</v>
      </c>
      <c r="R202" s="38" t="s">
        <v>172</v>
      </c>
      <c r="S202" s="33" t="s">
        <v>171</v>
      </c>
      <c r="T202" s="38" t="s">
        <v>166</v>
      </c>
      <c r="U202" s="33">
        <v>2</v>
      </c>
      <c r="V202" s="35" t="str">
        <f>VLOOKUP(U202,Key!$E$2:$F$9,2,FALSE)</f>
        <v>Work</v>
      </c>
      <c r="W202" s="35" t="str">
        <f t="shared" si="3"/>
        <v>Work-Work</v>
      </c>
      <c r="X202" s="33">
        <v>80000</v>
      </c>
      <c r="Y202" s="39">
        <v>70</v>
      </c>
      <c r="Z202" s="39">
        <v>4</v>
      </c>
      <c r="AA202" s="33">
        <v>2</v>
      </c>
      <c r="AB202" s="35" t="str">
        <f>VLOOKUP(AA202,Key!$C$20:$D$29,2,FALSE)</f>
        <v>Manual Labour</v>
      </c>
      <c r="AC202" s="33">
        <v>5</v>
      </c>
      <c r="AD202" s="35" t="str">
        <f>VLOOKUP(AC202,Key!$E$20:$F$24,2,FALSE)</f>
        <v>&gt;1,000,000</v>
      </c>
      <c r="AE202" s="33">
        <v>2</v>
      </c>
      <c r="AF202" s="39">
        <v>1</v>
      </c>
      <c r="AG202" s="39">
        <v>2</v>
      </c>
      <c r="AH202" s="39">
        <v>1</v>
      </c>
      <c r="AI202" s="39">
        <v>2</v>
      </c>
      <c r="AJ202" s="40" t="s">
        <v>100</v>
      </c>
      <c r="AK202" s="41">
        <v>1000</v>
      </c>
      <c r="AL202" s="25"/>
      <c r="AM202" s="25"/>
    </row>
    <row r="203" spans="1:39" x14ac:dyDescent="0.2">
      <c r="B203" s="52">
        <v>43765</v>
      </c>
      <c r="C203" s="36">
        <v>0.51597222222222217</v>
      </c>
      <c r="D203" s="36"/>
      <c r="E203" s="36" t="s">
        <v>105</v>
      </c>
      <c r="F203" s="38">
        <v>2</v>
      </c>
      <c r="G203" s="43" t="str">
        <f>VLOOKUP(F203,Key!$A$17:$B$21,2,FALSE)</f>
        <v>Road Vehicle</v>
      </c>
      <c r="H203" s="37">
        <v>9</v>
      </c>
      <c r="I203" s="44" t="str">
        <f>VLOOKUP(H203,Key!$A$2:$B$13,2,FALSE)</f>
        <v xml:space="preserve">Heavy truck </v>
      </c>
      <c r="J203" s="38" t="s">
        <v>117</v>
      </c>
      <c r="K203" s="38">
        <v>3</v>
      </c>
      <c r="L203" s="46" t="str">
        <f>VLOOKUP(K203,Key!$A$24:$B$29,2,FALSE)</f>
        <v>40-49</v>
      </c>
      <c r="M203" s="38" t="s">
        <v>190</v>
      </c>
      <c r="N203" s="33" t="s">
        <v>171</v>
      </c>
      <c r="O203" s="38" t="s">
        <v>166</v>
      </c>
      <c r="P203" s="40">
        <v>2</v>
      </c>
      <c r="Q203" s="35" t="str">
        <f>VLOOKUP(P203,Key!$E$2:$F$9,2,FALSE)</f>
        <v>Work</v>
      </c>
      <c r="R203" s="38" t="s">
        <v>161</v>
      </c>
      <c r="S203" s="33" t="s">
        <v>165</v>
      </c>
      <c r="T203" s="38" t="s">
        <v>166</v>
      </c>
      <c r="U203" s="33">
        <v>2</v>
      </c>
      <c r="V203" s="35" t="str">
        <f>VLOOKUP(U203,Key!$E$2:$F$9,2,FALSE)</f>
        <v>Work</v>
      </c>
      <c r="W203" s="35" t="str">
        <f t="shared" si="3"/>
        <v>Work-Work</v>
      </c>
      <c r="X203" s="33">
        <v>280000</v>
      </c>
      <c r="Y203" s="39">
        <v>50</v>
      </c>
      <c r="Z203" s="39">
        <v>2</v>
      </c>
      <c r="AA203" s="33">
        <v>5</v>
      </c>
      <c r="AB203" s="35" t="str">
        <f>VLOOKUP(AA203,Key!$C$20:$D$29,2,FALSE)</f>
        <v>Professional</v>
      </c>
      <c r="AC203" s="33">
        <v>4</v>
      </c>
      <c r="AD203" s="35" t="str">
        <f>VLOOKUP(AC203,Key!$E$20:$F$24,2,FALSE)</f>
        <v>750,000-1,000,000</v>
      </c>
      <c r="AE203" s="33">
        <v>1</v>
      </c>
      <c r="AF203" s="39">
        <v>1</v>
      </c>
      <c r="AG203" s="39">
        <v>1</v>
      </c>
      <c r="AH203" s="39">
        <v>4</v>
      </c>
      <c r="AI203" s="39">
        <v>1</v>
      </c>
      <c r="AJ203" s="40" t="s">
        <v>100</v>
      </c>
      <c r="AK203" s="41">
        <v>1000</v>
      </c>
      <c r="AL203" s="25"/>
      <c r="AM203" s="25"/>
    </row>
    <row r="204" spans="1:39" x14ac:dyDescent="0.2">
      <c r="B204" s="52">
        <v>43765</v>
      </c>
      <c r="C204" s="36">
        <v>0.54861111111111105</v>
      </c>
      <c r="D204" s="36"/>
      <c r="E204" s="36" t="s">
        <v>105</v>
      </c>
      <c r="F204" s="38">
        <v>2</v>
      </c>
      <c r="G204" s="43" t="str">
        <f>VLOOKUP(F204,Key!$A$17:$B$21,2,FALSE)</f>
        <v>Road Vehicle</v>
      </c>
      <c r="H204" s="37">
        <v>6</v>
      </c>
      <c r="I204" s="44" t="str">
        <f>VLOOKUP(H204,Key!$A$2:$B$13,2,FALSE)</f>
        <v>Large Bus</v>
      </c>
      <c r="J204" s="38" t="s">
        <v>117</v>
      </c>
      <c r="K204" s="38">
        <v>3</v>
      </c>
      <c r="L204" s="46" t="str">
        <f>VLOOKUP(K204,Key!$A$24:$B$29,2,FALSE)</f>
        <v>40-49</v>
      </c>
      <c r="M204" s="38" t="s">
        <v>170</v>
      </c>
      <c r="N204" s="33" t="s">
        <v>171</v>
      </c>
      <c r="O204" s="38" t="s">
        <v>166</v>
      </c>
      <c r="P204" s="40">
        <v>6</v>
      </c>
      <c r="Q204" s="35" t="str">
        <f>VLOOKUP(P204,Key!$E$2:$F$9,2,FALSE)</f>
        <v>Leisure/Social</v>
      </c>
      <c r="R204" s="38" t="s">
        <v>182</v>
      </c>
      <c r="S204" s="33" t="s">
        <v>165</v>
      </c>
      <c r="T204" s="38" t="s">
        <v>166</v>
      </c>
      <c r="U204" s="33">
        <v>5</v>
      </c>
      <c r="V204" s="35" t="str">
        <f>VLOOKUP(U204,Key!$E$2:$F$9,2,FALSE)</f>
        <v>Tourism</v>
      </c>
      <c r="W204" s="35" t="str">
        <f t="shared" si="3"/>
        <v>Leisure/Social-Tourism</v>
      </c>
      <c r="X204" s="33">
        <v>500000</v>
      </c>
      <c r="Y204" s="39">
        <v>40</v>
      </c>
      <c r="Z204" s="39">
        <v>3</v>
      </c>
      <c r="AA204" s="33">
        <v>10</v>
      </c>
      <c r="AB204" s="35" t="str">
        <f>VLOOKUP(AA204,Key!$C$20:$D$29,2,FALSE)</f>
        <v>Other</v>
      </c>
      <c r="AC204" s="33">
        <v>5</v>
      </c>
      <c r="AD204" s="35" t="str">
        <f>VLOOKUP(AC204,Key!$E$20:$F$24,2,FALSE)</f>
        <v>&gt;1,000,000</v>
      </c>
      <c r="AE204" s="33">
        <v>1</v>
      </c>
      <c r="AF204" s="39">
        <v>1</v>
      </c>
      <c r="AG204" s="39">
        <v>1</v>
      </c>
      <c r="AH204" s="39">
        <v>1</v>
      </c>
      <c r="AI204" s="39">
        <v>1</v>
      </c>
      <c r="AJ204" s="40" t="s">
        <v>100</v>
      </c>
      <c r="AK204" s="41">
        <v>10000</v>
      </c>
      <c r="AL204" s="25"/>
      <c r="AM204" s="25"/>
    </row>
    <row r="205" spans="1:39" x14ac:dyDescent="0.2">
      <c r="B205" s="52">
        <v>43765</v>
      </c>
      <c r="C205" s="36">
        <v>0.54861111111111105</v>
      </c>
      <c r="D205" s="36"/>
      <c r="E205" s="36" t="s">
        <v>105</v>
      </c>
      <c r="F205" s="38">
        <v>2</v>
      </c>
      <c r="G205" s="43" t="str">
        <f>VLOOKUP(F205,Key!$A$17:$B$21,2,FALSE)</f>
        <v>Road Vehicle</v>
      </c>
      <c r="H205" s="37">
        <v>6</v>
      </c>
      <c r="I205" s="44" t="str">
        <f>VLOOKUP(H205,Key!$A$2:$B$13,2,FALSE)</f>
        <v>Large Bus</v>
      </c>
      <c r="J205" s="38" t="s">
        <v>117</v>
      </c>
      <c r="K205" s="38">
        <v>3</v>
      </c>
      <c r="L205" s="46" t="str">
        <f>VLOOKUP(K205,Key!$A$24:$B$29,2,FALSE)</f>
        <v>40-49</v>
      </c>
      <c r="M205" s="38" t="s">
        <v>220</v>
      </c>
      <c r="N205" s="33" t="s">
        <v>220</v>
      </c>
      <c r="O205" s="38" t="s">
        <v>166</v>
      </c>
      <c r="P205" s="40">
        <v>1</v>
      </c>
      <c r="Q205" s="35" t="str">
        <f>VLOOKUP(P205,Key!$E$2:$F$9,2,FALSE)</f>
        <v>Home</v>
      </c>
      <c r="R205" s="38" t="s">
        <v>191</v>
      </c>
      <c r="S205" s="33" t="s">
        <v>165</v>
      </c>
      <c r="T205" s="38" t="s">
        <v>166</v>
      </c>
      <c r="U205" s="33">
        <v>1</v>
      </c>
      <c r="V205" s="35" t="str">
        <f>VLOOKUP(U205,Key!$E$2:$F$9,2,FALSE)</f>
        <v>Home</v>
      </c>
      <c r="W205" s="35" t="str">
        <f t="shared" si="3"/>
        <v>Home-Home</v>
      </c>
      <c r="X205" s="33">
        <v>400000</v>
      </c>
      <c r="Y205" s="39">
        <v>480</v>
      </c>
      <c r="Z205" s="39">
        <v>5</v>
      </c>
      <c r="AA205" s="33">
        <v>4</v>
      </c>
      <c r="AB205" s="35" t="str">
        <f>VLOOKUP(AA205,Key!$C$20:$D$29,2,FALSE)</f>
        <v>Office Worker</v>
      </c>
      <c r="AC205" s="33">
        <v>2</v>
      </c>
      <c r="AD205" s="35" t="str">
        <f>VLOOKUP(AC205,Key!$E$20:$F$24,2,FALSE)</f>
        <v>300,000-500,000</v>
      </c>
      <c r="AE205" s="33">
        <v>5</v>
      </c>
      <c r="AF205" s="39">
        <v>4</v>
      </c>
      <c r="AG205" s="39">
        <v>1</v>
      </c>
      <c r="AH205" s="39">
        <v>1</v>
      </c>
      <c r="AI205" s="39">
        <v>1</v>
      </c>
      <c r="AJ205" s="40" t="s">
        <v>100</v>
      </c>
      <c r="AK205" s="41">
        <v>8000</v>
      </c>
      <c r="AL205" s="25"/>
      <c r="AM205" s="25"/>
    </row>
    <row r="206" spans="1:39" x14ac:dyDescent="0.2">
      <c r="B206" s="52">
        <v>43765</v>
      </c>
      <c r="C206" s="36">
        <v>0.38194444444444442</v>
      </c>
      <c r="D206" s="36"/>
      <c r="E206" s="36" t="s">
        <v>163</v>
      </c>
      <c r="F206" s="38">
        <v>2</v>
      </c>
      <c r="G206" s="43" t="str">
        <f>VLOOKUP(F206,Key!$A$17:$B$21,2,FALSE)</f>
        <v>Road Vehicle</v>
      </c>
      <c r="H206" s="37">
        <v>5</v>
      </c>
      <c r="I206" s="44" t="str">
        <f>VLOOKUP(H206,Key!$A$2:$B$13,2,FALSE)</f>
        <v xml:space="preserve">Medium bus </v>
      </c>
      <c r="J206" s="38" t="s">
        <v>117</v>
      </c>
      <c r="K206" s="38">
        <v>3</v>
      </c>
      <c r="L206" s="46" t="str">
        <f>VLOOKUP(K206,Key!$A$24:$B$29,2,FALSE)</f>
        <v>40-49</v>
      </c>
      <c r="M206" s="38" t="s">
        <v>223</v>
      </c>
      <c r="N206" s="33" t="s">
        <v>176</v>
      </c>
      <c r="O206" s="38" t="s">
        <v>166</v>
      </c>
      <c r="P206" s="40">
        <v>3</v>
      </c>
      <c r="Q206" s="35" t="str">
        <f>VLOOKUP(P206,Key!$E$2:$F$9,2,FALSE)</f>
        <v>Study</v>
      </c>
      <c r="R206" s="38" t="s">
        <v>239</v>
      </c>
      <c r="S206" s="33" t="s">
        <v>165</v>
      </c>
      <c r="T206" s="38" t="s">
        <v>166</v>
      </c>
      <c r="U206" s="33">
        <v>5</v>
      </c>
      <c r="V206" s="35" t="str">
        <f>VLOOKUP(U206,Key!$E$2:$F$9,2,FALSE)</f>
        <v>Tourism</v>
      </c>
      <c r="W206" s="35" t="str">
        <f t="shared" si="3"/>
        <v>Study-Tourism</v>
      </c>
      <c r="X206" s="33">
        <v>400000</v>
      </c>
      <c r="Y206" s="39">
        <v>65</v>
      </c>
      <c r="Z206" s="39">
        <v>3.5</v>
      </c>
      <c r="AA206" s="33">
        <v>7</v>
      </c>
      <c r="AB206" s="35" t="str">
        <f>VLOOKUP(AA206,Key!$C$20:$D$29,2,FALSE)</f>
        <v>Farmer</v>
      </c>
      <c r="AC206" s="33">
        <v>2</v>
      </c>
      <c r="AD206" s="35" t="str">
        <f>VLOOKUP(AC206,Key!$E$20:$F$24,2,FALSE)</f>
        <v>300,000-500,000</v>
      </c>
      <c r="AE206" s="33">
        <v>1</v>
      </c>
      <c r="AF206" s="39">
        <v>1</v>
      </c>
      <c r="AG206" s="39">
        <v>1</v>
      </c>
      <c r="AH206" s="39">
        <v>1</v>
      </c>
      <c r="AI206" s="39">
        <v>1</v>
      </c>
      <c r="AJ206" s="40" t="s">
        <v>100</v>
      </c>
      <c r="AK206" s="41">
        <v>1000</v>
      </c>
      <c r="AL206" s="25"/>
      <c r="AM206" s="25"/>
    </row>
    <row r="207" spans="1:39" x14ac:dyDescent="0.2">
      <c r="B207" s="52">
        <v>43765</v>
      </c>
      <c r="C207" s="36">
        <v>0.6958333333333333</v>
      </c>
      <c r="D207" s="36"/>
      <c r="E207" s="36" t="s">
        <v>105</v>
      </c>
      <c r="F207" s="38">
        <v>2</v>
      </c>
      <c r="G207" s="43" t="str">
        <f>VLOOKUP(F207,Key!$A$17:$B$21,2,FALSE)</f>
        <v>Road Vehicle</v>
      </c>
      <c r="H207" s="37">
        <v>8</v>
      </c>
      <c r="I207" s="44" t="str">
        <f>VLOOKUP(H207,Key!$A$2:$B$13,2,FALSE)</f>
        <v xml:space="preserve">Medium Truck </v>
      </c>
      <c r="J207" s="38" t="s">
        <v>117</v>
      </c>
      <c r="K207" s="38">
        <v>3</v>
      </c>
      <c r="L207" s="46" t="str">
        <f>VLOOKUP(K207,Key!$A$24:$B$29,2,FALSE)</f>
        <v>40-49</v>
      </c>
      <c r="M207" s="38" t="s">
        <v>190</v>
      </c>
      <c r="N207" s="33" t="s">
        <v>171</v>
      </c>
      <c r="O207" s="38" t="s">
        <v>166</v>
      </c>
      <c r="P207" s="40">
        <v>2</v>
      </c>
      <c r="Q207" s="35" t="str">
        <f>VLOOKUP(P207,Key!$E$2:$F$9,2,FALSE)</f>
        <v>Work</v>
      </c>
      <c r="R207" s="38" t="s">
        <v>164</v>
      </c>
      <c r="S207" s="33" t="s">
        <v>165</v>
      </c>
      <c r="T207" s="38" t="s">
        <v>166</v>
      </c>
      <c r="U207" s="33">
        <v>2</v>
      </c>
      <c r="V207" s="35" t="str">
        <f>VLOOKUP(U207,Key!$E$2:$F$9,2,FALSE)</f>
        <v>Work</v>
      </c>
      <c r="W207" s="35" t="str">
        <f t="shared" si="3"/>
        <v>Work-Work</v>
      </c>
      <c r="X207" s="33">
        <v>100000</v>
      </c>
      <c r="Y207" s="39">
        <v>59</v>
      </c>
      <c r="Z207" s="39">
        <v>3</v>
      </c>
      <c r="AA207" s="33">
        <v>2</v>
      </c>
      <c r="AB207" s="35" t="str">
        <f>VLOOKUP(AA207,Key!$C$20:$D$29,2,FALSE)</f>
        <v>Manual Labour</v>
      </c>
      <c r="AC207" s="33">
        <v>4</v>
      </c>
      <c r="AD207" s="35" t="str">
        <f>VLOOKUP(AC207,Key!$E$20:$F$24,2,FALSE)</f>
        <v>750,000-1,000,000</v>
      </c>
      <c r="AE207" s="33">
        <v>4</v>
      </c>
      <c r="AF207" s="39">
        <v>1</v>
      </c>
      <c r="AG207" s="39">
        <v>2</v>
      </c>
      <c r="AH207" s="39">
        <v>1</v>
      </c>
      <c r="AI207" s="39">
        <v>2</v>
      </c>
      <c r="AJ207" s="40" t="s">
        <v>100</v>
      </c>
      <c r="AK207" s="41">
        <v>1000</v>
      </c>
      <c r="AL207" s="25"/>
      <c r="AM207" s="25"/>
    </row>
    <row r="208" spans="1:39" x14ac:dyDescent="0.2">
      <c r="B208" s="52">
        <v>43765</v>
      </c>
      <c r="C208" s="36">
        <v>0.37291666666666662</v>
      </c>
      <c r="D208" s="36"/>
      <c r="E208" s="36" t="s">
        <v>163</v>
      </c>
      <c r="F208" s="38">
        <v>2</v>
      </c>
      <c r="G208" s="43" t="str">
        <f>VLOOKUP(F208,Key!$A$17:$B$21,2,FALSE)</f>
        <v>Road Vehicle</v>
      </c>
      <c r="H208" s="37">
        <v>4</v>
      </c>
      <c r="I208" s="44" t="str">
        <f>VLOOKUP(H208,Key!$A$2:$B$13,2,FALSE)</f>
        <v>Minibus</v>
      </c>
      <c r="J208" s="38" t="s">
        <v>168</v>
      </c>
      <c r="K208" s="38">
        <v>3</v>
      </c>
      <c r="L208" s="46" t="str">
        <f>VLOOKUP(K208,Key!$A$24:$B$29,2,FALSE)</f>
        <v>40-49</v>
      </c>
      <c r="M208" s="45" t="s">
        <v>181</v>
      </c>
      <c r="N208" s="33" t="s">
        <v>165</v>
      </c>
      <c r="O208" s="38" t="s">
        <v>166</v>
      </c>
      <c r="P208" s="40">
        <v>1</v>
      </c>
      <c r="Q208" s="35" t="str">
        <f>VLOOKUP(P208,Key!$E$2:$F$9,2,FALSE)</f>
        <v>Home</v>
      </c>
      <c r="R208" s="38" t="s">
        <v>182</v>
      </c>
      <c r="S208" s="33" t="s">
        <v>165</v>
      </c>
      <c r="T208" s="38" t="s">
        <v>166</v>
      </c>
      <c r="U208" s="33">
        <v>6</v>
      </c>
      <c r="V208" s="35" t="str">
        <f>VLOOKUP(U208,Key!$E$2:$F$9,2,FALSE)</f>
        <v>Leisure/Social</v>
      </c>
      <c r="W208" s="35" t="str">
        <f t="shared" si="3"/>
        <v>Home-Leisure/Social</v>
      </c>
      <c r="X208" s="48">
        <v>3000</v>
      </c>
      <c r="Y208" s="39">
        <v>30</v>
      </c>
      <c r="Z208" s="39">
        <v>0.9</v>
      </c>
      <c r="AA208" s="33">
        <v>6</v>
      </c>
      <c r="AB208" s="35" t="str">
        <f>VLOOKUP(AA208,Key!$C$20:$D$29,2,FALSE)</f>
        <v>Businessman</v>
      </c>
      <c r="AC208" s="33">
        <v>1</v>
      </c>
      <c r="AD208" s="35" t="str">
        <f>VLOOKUP(AC208,Key!$E$20:$F$24,2,FALSE)</f>
        <v>&lt;300,000</v>
      </c>
      <c r="AE208" s="33">
        <v>2</v>
      </c>
      <c r="AF208" s="39">
        <v>2</v>
      </c>
      <c r="AG208" s="39">
        <v>3</v>
      </c>
      <c r="AH208" s="39">
        <v>1</v>
      </c>
      <c r="AI208" s="39">
        <v>1</v>
      </c>
      <c r="AJ208" s="40" t="s">
        <v>100</v>
      </c>
      <c r="AK208" s="41">
        <v>500</v>
      </c>
      <c r="AL208" s="25"/>
      <c r="AM208" s="25"/>
    </row>
    <row r="209" spans="1:39" x14ac:dyDescent="0.2">
      <c r="B209" s="52">
        <v>43765</v>
      </c>
      <c r="C209" s="36">
        <v>0.4375</v>
      </c>
      <c r="D209" s="36"/>
      <c r="E209" s="36" t="s">
        <v>163</v>
      </c>
      <c r="F209" s="38">
        <v>2</v>
      </c>
      <c r="G209" s="43" t="str">
        <f>VLOOKUP(F209,Key!$A$17:$B$21,2,FALSE)</f>
        <v>Road Vehicle</v>
      </c>
      <c r="H209" s="37">
        <v>4</v>
      </c>
      <c r="I209" s="44" t="str">
        <f>VLOOKUP(H209,Key!$A$2:$B$13,2,FALSE)</f>
        <v>Minibus</v>
      </c>
      <c r="J209" s="38" t="s">
        <v>168</v>
      </c>
      <c r="K209" s="38">
        <v>3</v>
      </c>
      <c r="L209" s="46" t="str">
        <f>VLOOKUP(K209,Key!$A$24:$B$29,2,FALSE)</f>
        <v>40-49</v>
      </c>
      <c r="M209" s="38" t="s">
        <v>190</v>
      </c>
      <c r="N209" s="33" t="s">
        <v>171</v>
      </c>
      <c r="O209" s="38" t="s">
        <v>166</v>
      </c>
      <c r="P209" s="40">
        <v>2</v>
      </c>
      <c r="Q209" s="35" t="str">
        <f>VLOOKUP(P209,Key!$E$2:$F$9,2,FALSE)</f>
        <v>Work</v>
      </c>
      <c r="R209" s="38" t="s">
        <v>191</v>
      </c>
      <c r="S209" s="33" t="s">
        <v>165</v>
      </c>
      <c r="T209" s="38" t="s">
        <v>166</v>
      </c>
      <c r="U209" s="33">
        <v>2</v>
      </c>
      <c r="V209" s="35" t="str">
        <f>VLOOKUP(U209,Key!$E$2:$F$9,2,FALSE)</f>
        <v>Work</v>
      </c>
      <c r="W209" s="35" t="str">
        <f t="shared" si="3"/>
        <v>Work-Work</v>
      </c>
      <c r="X209" s="48">
        <v>5000</v>
      </c>
      <c r="Y209" s="39">
        <v>100</v>
      </c>
      <c r="Z209" s="39">
        <v>2</v>
      </c>
      <c r="AA209" s="33">
        <v>6</v>
      </c>
      <c r="AB209" s="35" t="str">
        <f>VLOOKUP(AA209,Key!$C$20:$D$29,2,FALSE)</f>
        <v>Businessman</v>
      </c>
      <c r="AC209" s="33">
        <v>3</v>
      </c>
      <c r="AD209" s="35" t="str">
        <f>VLOOKUP(AC209,Key!$E$20:$F$24,2,FALSE)</f>
        <v>500,000-750,000</v>
      </c>
      <c r="AE209" s="33">
        <v>5</v>
      </c>
      <c r="AF209" s="39">
        <v>2</v>
      </c>
      <c r="AG209" s="39"/>
      <c r="AH209" s="39">
        <v>1</v>
      </c>
      <c r="AI209" s="39">
        <v>1</v>
      </c>
      <c r="AJ209" s="40" t="s">
        <v>100</v>
      </c>
      <c r="AK209" s="41">
        <v>1000</v>
      </c>
      <c r="AL209" s="25"/>
      <c r="AM209" s="25"/>
    </row>
    <row r="210" spans="1:39" x14ac:dyDescent="0.2">
      <c r="A210" s="10"/>
      <c r="B210" s="52">
        <v>43765</v>
      </c>
      <c r="C210" s="36">
        <v>0.6166666666666667</v>
      </c>
      <c r="D210" s="36"/>
      <c r="E210" s="36" t="s">
        <v>163</v>
      </c>
      <c r="F210" s="38">
        <v>2</v>
      </c>
      <c r="G210" s="43" t="str">
        <f>VLOOKUP(F210,Key!$A$17:$B$21,2,FALSE)</f>
        <v>Road Vehicle</v>
      </c>
      <c r="H210" s="37">
        <v>4</v>
      </c>
      <c r="I210" s="44" t="str">
        <f>VLOOKUP(H210,Key!$A$2:$B$13,2,FALSE)</f>
        <v>Minibus</v>
      </c>
      <c r="J210" s="38" t="s">
        <v>168</v>
      </c>
      <c r="K210" s="38">
        <v>3</v>
      </c>
      <c r="L210" s="46" t="str">
        <f>VLOOKUP(K210,Key!$A$24:$B$29,2,FALSE)</f>
        <v>40-49</v>
      </c>
      <c r="M210" s="38" t="s">
        <v>223</v>
      </c>
      <c r="N210" s="33" t="s">
        <v>176</v>
      </c>
      <c r="O210" s="38" t="s">
        <v>166</v>
      </c>
      <c r="P210" s="40">
        <v>1</v>
      </c>
      <c r="Q210" s="35" t="str">
        <f>VLOOKUP(P210,Key!$E$2:$F$9,2,FALSE)</f>
        <v>Home</v>
      </c>
      <c r="R210" s="38" t="s">
        <v>242</v>
      </c>
      <c r="S210" s="33" t="s">
        <v>165</v>
      </c>
      <c r="T210" s="38" t="s">
        <v>166</v>
      </c>
      <c r="U210" s="33">
        <v>6</v>
      </c>
      <c r="V210" s="35" t="str">
        <f>VLOOKUP(U210,Key!$E$2:$F$9,2,FALSE)</f>
        <v>Leisure/Social</v>
      </c>
      <c r="W210" s="35" t="str">
        <f t="shared" si="3"/>
        <v>Home-Leisure/Social</v>
      </c>
      <c r="X210" s="33">
        <v>7000</v>
      </c>
      <c r="Y210" s="39"/>
      <c r="Z210" s="39">
        <v>2.5</v>
      </c>
      <c r="AA210" s="33">
        <v>6</v>
      </c>
      <c r="AB210" s="35" t="str">
        <f>VLOOKUP(AA210,Key!$C$20:$D$29,2,FALSE)</f>
        <v>Businessman</v>
      </c>
      <c r="AC210" s="33">
        <v>3</v>
      </c>
      <c r="AD210" s="35" t="str">
        <f>VLOOKUP(AC210,Key!$E$20:$F$24,2,FALSE)</f>
        <v>500,000-750,000</v>
      </c>
      <c r="AE210" s="33">
        <v>2</v>
      </c>
      <c r="AF210" s="39">
        <v>4</v>
      </c>
      <c r="AG210" s="39">
        <v>5</v>
      </c>
      <c r="AH210" s="39">
        <v>1</v>
      </c>
      <c r="AI210" s="39">
        <v>3</v>
      </c>
      <c r="AJ210" s="40" t="s">
        <v>100</v>
      </c>
      <c r="AK210" s="41">
        <v>300</v>
      </c>
      <c r="AL210" s="25"/>
      <c r="AM210" s="25"/>
    </row>
    <row r="211" spans="1:39" x14ac:dyDescent="0.2">
      <c r="B211" s="52">
        <v>43765</v>
      </c>
      <c r="C211" s="36">
        <v>0.3972222222222222</v>
      </c>
      <c r="D211" s="36"/>
      <c r="E211" s="36" t="s">
        <v>163</v>
      </c>
      <c r="F211" s="38">
        <v>2</v>
      </c>
      <c r="G211" s="43" t="str">
        <f>VLOOKUP(F211,Key!$A$17:$B$21,2,FALSE)</f>
        <v>Road Vehicle</v>
      </c>
      <c r="H211" s="37">
        <v>4</v>
      </c>
      <c r="I211" s="44" t="str">
        <f>VLOOKUP(H211,Key!$A$2:$B$13,2,FALSE)</f>
        <v>Minibus</v>
      </c>
      <c r="J211" s="38" t="s">
        <v>168</v>
      </c>
      <c r="K211" s="38">
        <v>3</v>
      </c>
      <c r="L211" s="46" t="str">
        <f>VLOOKUP(K211,Key!$A$24:$B$29,2,FALSE)</f>
        <v>40-49</v>
      </c>
      <c r="M211" s="38" t="s">
        <v>245</v>
      </c>
      <c r="N211" s="33" t="s">
        <v>165</v>
      </c>
      <c r="O211" s="38" t="s">
        <v>166</v>
      </c>
      <c r="P211" s="40">
        <v>1</v>
      </c>
      <c r="Q211" s="35" t="str">
        <f>VLOOKUP(P211,Key!$E$2:$F$9,2,FALSE)</f>
        <v>Home</v>
      </c>
      <c r="R211" s="38" t="s">
        <v>246</v>
      </c>
      <c r="S211" s="33" t="s">
        <v>165</v>
      </c>
      <c r="T211" s="38" t="s">
        <v>166</v>
      </c>
      <c r="U211" s="33">
        <v>6</v>
      </c>
      <c r="V211" s="35" t="str">
        <f>VLOOKUP(U211,Key!$E$2:$F$9,2,FALSE)</f>
        <v>Leisure/Social</v>
      </c>
      <c r="W211" s="35" t="str">
        <f t="shared" si="3"/>
        <v>Home-Leisure/Social</v>
      </c>
      <c r="X211" s="33">
        <v>2500</v>
      </c>
      <c r="Y211" s="39"/>
      <c r="Z211" s="39">
        <v>0.4</v>
      </c>
      <c r="AA211" s="33">
        <v>6</v>
      </c>
      <c r="AB211" s="35" t="str">
        <f>VLOOKUP(AA211,Key!$C$20:$D$29,2,FALSE)</f>
        <v>Businessman</v>
      </c>
      <c r="AC211" s="33">
        <v>2</v>
      </c>
      <c r="AD211" s="35" t="str">
        <f>VLOOKUP(AC211,Key!$E$20:$F$24,2,FALSE)</f>
        <v>300,000-500,000</v>
      </c>
      <c r="AE211" s="33">
        <v>3</v>
      </c>
      <c r="AF211" s="39">
        <v>4</v>
      </c>
      <c r="AG211" s="39">
        <v>2</v>
      </c>
      <c r="AH211" s="39">
        <v>1</v>
      </c>
      <c r="AI211" s="39">
        <v>5</v>
      </c>
      <c r="AJ211" s="40" t="s">
        <v>100</v>
      </c>
      <c r="AK211" s="41">
        <v>500</v>
      </c>
      <c r="AL211" s="25"/>
      <c r="AM211" s="25"/>
    </row>
    <row r="212" spans="1:39" x14ac:dyDescent="0.2">
      <c r="B212" s="52">
        <v>43765</v>
      </c>
      <c r="C212" s="36">
        <v>0.33263888888888887</v>
      </c>
      <c r="D212" s="36"/>
      <c r="E212" s="36" t="s">
        <v>163</v>
      </c>
      <c r="F212" s="38">
        <v>2</v>
      </c>
      <c r="G212" s="43" t="str">
        <f>VLOOKUP(F212,Key!$A$17:$B$21,2,FALSE)</f>
        <v>Road Vehicle</v>
      </c>
      <c r="H212" s="37">
        <v>4</v>
      </c>
      <c r="I212" s="44" t="str">
        <f>VLOOKUP(H212,Key!$A$2:$B$13,2,FALSE)</f>
        <v>Minibus</v>
      </c>
      <c r="J212" s="38" t="s">
        <v>168</v>
      </c>
      <c r="K212" s="38">
        <v>3</v>
      </c>
      <c r="L212" s="46" t="str">
        <f>VLOOKUP(K212,Key!$A$24:$B$29,2,FALSE)</f>
        <v>40-49</v>
      </c>
      <c r="M212" s="38" t="s">
        <v>164</v>
      </c>
      <c r="N212" s="33" t="s">
        <v>165</v>
      </c>
      <c r="O212" s="38" t="s">
        <v>166</v>
      </c>
      <c r="P212" s="40">
        <v>1</v>
      </c>
      <c r="Q212" s="35" t="str">
        <f>VLOOKUP(P212,Key!$E$2:$F$9,2,FALSE)</f>
        <v>Home</v>
      </c>
      <c r="R212" s="38" t="s">
        <v>208</v>
      </c>
      <c r="S212" s="33" t="s">
        <v>165</v>
      </c>
      <c r="T212" s="38" t="s">
        <v>166</v>
      </c>
      <c r="U212" s="33">
        <v>6</v>
      </c>
      <c r="V212" s="35" t="str">
        <f>VLOOKUP(U212,Key!$E$2:$F$9,2,FALSE)</f>
        <v>Leisure/Social</v>
      </c>
      <c r="W212" s="35" t="str">
        <f t="shared" si="3"/>
        <v>Home-Leisure/Social</v>
      </c>
      <c r="X212" s="33">
        <v>1500</v>
      </c>
      <c r="Y212" s="39"/>
      <c r="Z212" s="39">
        <v>0.3</v>
      </c>
      <c r="AA212" s="33">
        <v>6</v>
      </c>
      <c r="AB212" s="35" t="str">
        <f>VLOOKUP(AA212,Key!$C$20:$D$29,2,FALSE)</f>
        <v>Businessman</v>
      </c>
      <c r="AC212" s="33">
        <v>3</v>
      </c>
      <c r="AD212" s="35" t="str">
        <f>VLOOKUP(AC212,Key!$E$20:$F$24,2,FALSE)</f>
        <v>500,000-750,000</v>
      </c>
      <c r="AE212" s="33">
        <v>3</v>
      </c>
      <c r="AF212" s="39">
        <v>4</v>
      </c>
      <c r="AG212" s="39">
        <v>2</v>
      </c>
      <c r="AH212" s="39">
        <v>1</v>
      </c>
      <c r="AI212" s="39">
        <v>5</v>
      </c>
      <c r="AJ212" s="40" t="s">
        <v>100</v>
      </c>
      <c r="AK212" s="41">
        <v>1000</v>
      </c>
      <c r="AL212" s="25"/>
      <c r="AM212" s="25"/>
    </row>
    <row r="213" spans="1:39" x14ac:dyDescent="0.2">
      <c r="B213" s="52">
        <v>43765</v>
      </c>
      <c r="C213" s="36">
        <v>0.52361111111111114</v>
      </c>
      <c r="D213" s="36"/>
      <c r="E213" s="36" t="s">
        <v>163</v>
      </c>
      <c r="F213" s="38">
        <v>2</v>
      </c>
      <c r="G213" s="43" t="str">
        <f>VLOOKUP(F213,Key!$A$17:$B$21,2,FALSE)</f>
        <v>Road Vehicle</v>
      </c>
      <c r="H213" s="37">
        <v>4</v>
      </c>
      <c r="I213" s="44" t="str">
        <f>VLOOKUP(H213,Key!$A$2:$B$13,2,FALSE)</f>
        <v>Minibus</v>
      </c>
      <c r="J213" s="38" t="s">
        <v>168</v>
      </c>
      <c r="K213" s="38">
        <v>3</v>
      </c>
      <c r="L213" s="46" t="str">
        <f>VLOOKUP(K213,Key!$A$24:$B$29,2,FALSE)</f>
        <v>40-49</v>
      </c>
      <c r="M213" s="38" t="s">
        <v>164</v>
      </c>
      <c r="N213" s="33" t="s">
        <v>165</v>
      </c>
      <c r="O213" s="38" t="s">
        <v>166</v>
      </c>
      <c r="P213" s="40">
        <v>8</v>
      </c>
      <c r="Q213" s="35" t="str">
        <f>VLOOKUP(P213,Key!$E$2:$F$9,2,FALSE)</f>
        <v>Others</v>
      </c>
      <c r="R213" s="38" t="s">
        <v>257</v>
      </c>
      <c r="S213" s="33" t="s">
        <v>165</v>
      </c>
      <c r="T213" s="38" t="s">
        <v>166</v>
      </c>
      <c r="U213" s="33">
        <v>1</v>
      </c>
      <c r="V213" s="35" t="str">
        <f>VLOOKUP(U213,Key!$E$2:$F$9,2,FALSE)</f>
        <v>Home</v>
      </c>
      <c r="W213" s="35" t="str">
        <f t="shared" si="3"/>
        <v>Others-Home</v>
      </c>
      <c r="X213" s="33">
        <v>1000</v>
      </c>
      <c r="Y213" s="39">
        <v>6</v>
      </c>
      <c r="Z213" s="39">
        <v>0.1</v>
      </c>
      <c r="AA213" s="33">
        <v>4</v>
      </c>
      <c r="AB213" s="35" t="str">
        <f>VLOOKUP(AA213,Key!$C$20:$D$29,2,FALSE)</f>
        <v>Office Worker</v>
      </c>
      <c r="AC213" s="33">
        <v>4</v>
      </c>
      <c r="AD213" s="35" t="str">
        <f>VLOOKUP(AC213,Key!$E$20:$F$24,2,FALSE)</f>
        <v>750,000-1,000,000</v>
      </c>
      <c r="AE213" s="33">
        <v>2</v>
      </c>
      <c r="AF213" s="39">
        <v>4</v>
      </c>
      <c r="AG213" s="39">
        <v>1</v>
      </c>
      <c r="AH213" s="39">
        <v>3</v>
      </c>
      <c r="AI213" s="39">
        <v>5</v>
      </c>
      <c r="AJ213" s="40" t="s">
        <v>100</v>
      </c>
      <c r="AK213" s="41">
        <v>5000</v>
      </c>
      <c r="AL213" s="25"/>
      <c r="AM213" s="25"/>
    </row>
    <row r="214" spans="1:39" x14ac:dyDescent="0.2">
      <c r="B214" s="52">
        <v>43765</v>
      </c>
      <c r="C214" s="36">
        <v>0.4770833333333333</v>
      </c>
      <c r="D214" s="36"/>
      <c r="E214" s="36" t="s">
        <v>163</v>
      </c>
      <c r="F214" s="38">
        <v>2</v>
      </c>
      <c r="G214" s="43" t="str">
        <f>VLOOKUP(F214,Key!$A$17:$B$21,2,FALSE)</f>
        <v>Road Vehicle</v>
      </c>
      <c r="H214" s="37">
        <v>4</v>
      </c>
      <c r="I214" s="44" t="str">
        <f>VLOOKUP(H214,Key!$A$2:$B$13,2,FALSE)</f>
        <v>Minibus</v>
      </c>
      <c r="J214" s="38" t="s">
        <v>117</v>
      </c>
      <c r="K214" s="38">
        <v>3</v>
      </c>
      <c r="L214" s="46" t="str">
        <f>VLOOKUP(K214,Key!$A$24:$B$29,2,FALSE)</f>
        <v>40-49</v>
      </c>
      <c r="M214" s="45" t="s">
        <v>164</v>
      </c>
      <c r="N214" s="33" t="s">
        <v>165</v>
      </c>
      <c r="O214" s="38" t="s">
        <v>166</v>
      </c>
      <c r="P214" s="40">
        <v>1</v>
      </c>
      <c r="Q214" s="35" t="str">
        <f>VLOOKUP(P214,Key!$E$2:$F$9,2,FALSE)</f>
        <v>Home</v>
      </c>
      <c r="R214" s="38" t="s">
        <v>170</v>
      </c>
      <c r="S214" s="33" t="s">
        <v>171</v>
      </c>
      <c r="T214" s="38" t="s">
        <v>166</v>
      </c>
      <c r="U214" s="33">
        <v>2</v>
      </c>
      <c r="V214" s="35" t="str">
        <f>VLOOKUP(U214,Key!$E$2:$F$9,2,FALSE)</f>
        <v>Work</v>
      </c>
      <c r="W214" s="35" t="str">
        <f t="shared" si="3"/>
        <v>Home-Work</v>
      </c>
      <c r="X214" s="48">
        <v>3000</v>
      </c>
      <c r="Y214" s="39">
        <v>38</v>
      </c>
      <c r="Z214" s="39">
        <v>1</v>
      </c>
      <c r="AA214" s="33">
        <v>6</v>
      </c>
      <c r="AB214" s="35" t="str">
        <f>VLOOKUP(AA214,Key!$C$20:$D$29,2,FALSE)</f>
        <v>Businessman</v>
      </c>
      <c r="AC214" s="33">
        <v>1</v>
      </c>
      <c r="AD214" s="35" t="str">
        <f>VLOOKUP(AC214,Key!$E$20:$F$24,2,FALSE)</f>
        <v>&lt;300,000</v>
      </c>
      <c r="AE214" s="33">
        <v>2</v>
      </c>
      <c r="AF214" s="39">
        <v>1</v>
      </c>
      <c r="AG214" s="39">
        <v>1</v>
      </c>
      <c r="AH214" s="39">
        <v>2</v>
      </c>
      <c r="AI214" s="39">
        <v>1</v>
      </c>
      <c r="AJ214" s="40" t="s">
        <v>100</v>
      </c>
      <c r="AK214" s="41">
        <v>500</v>
      </c>
      <c r="AL214" s="25"/>
      <c r="AM214" s="25"/>
    </row>
    <row r="215" spans="1:39" x14ac:dyDescent="0.2">
      <c r="B215" s="52">
        <v>43765</v>
      </c>
      <c r="C215" s="36">
        <v>0.4597222222222222</v>
      </c>
      <c r="D215" s="36"/>
      <c r="E215" s="36" t="s">
        <v>163</v>
      </c>
      <c r="F215" s="38">
        <v>2</v>
      </c>
      <c r="G215" s="43" t="str">
        <f>VLOOKUP(F215,Key!$A$17:$B$21,2,FALSE)</f>
        <v>Road Vehicle</v>
      </c>
      <c r="H215" s="37">
        <v>4</v>
      </c>
      <c r="I215" s="44" t="str">
        <f>VLOOKUP(H215,Key!$A$2:$B$13,2,FALSE)</f>
        <v>Minibus</v>
      </c>
      <c r="J215" s="38" t="s">
        <v>117</v>
      </c>
      <c r="K215" s="38">
        <v>3</v>
      </c>
      <c r="L215" s="46" t="str">
        <f>VLOOKUP(K215,Key!$A$24:$B$29,2,FALSE)</f>
        <v>40-49</v>
      </c>
      <c r="M215" s="45" t="s">
        <v>185</v>
      </c>
      <c r="N215" s="33" t="s">
        <v>171</v>
      </c>
      <c r="O215" s="38" t="s">
        <v>166</v>
      </c>
      <c r="P215" s="40">
        <v>1</v>
      </c>
      <c r="Q215" s="35" t="str">
        <f>VLOOKUP(P215,Key!$E$2:$F$9,2,FALSE)</f>
        <v>Home</v>
      </c>
      <c r="R215" s="38" t="s">
        <v>180</v>
      </c>
      <c r="S215" s="33" t="s">
        <v>165</v>
      </c>
      <c r="T215" s="38" t="s">
        <v>166</v>
      </c>
      <c r="U215" s="33">
        <v>6</v>
      </c>
      <c r="V215" s="35" t="str">
        <f>VLOOKUP(U215,Key!$E$2:$F$9,2,FALSE)</f>
        <v>Leisure/Social</v>
      </c>
      <c r="W215" s="35" t="str">
        <f t="shared" si="3"/>
        <v>Home-Leisure/Social</v>
      </c>
      <c r="X215" s="48">
        <v>4000</v>
      </c>
      <c r="Y215" s="39">
        <v>39</v>
      </c>
      <c r="Z215" s="39">
        <v>1.5</v>
      </c>
      <c r="AA215" s="33">
        <v>6</v>
      </c>
      <c r="AB215" s="35" t="str">
        <f>VLOOKUP(AA215,Key!$C$20:$D$29,2,FALSE)</f>
        <v>Businessman</v>
      </c>
      <c r="AC215" s="33">
        <v>3</v>
      </c>
      <c r="AD215" s="35" t="str">
        <f>VLOOKUP(AC215,Key!$E$20:$F$24,2,FALSE)</f>
        <v>500,000-750,000</v>
      </c>
      <c r="AE215" s="33">
        <v>5</v>
      </c>
      <c r="AF215" s="39">
        <v>2</v>
      </c>
      <c r="AG215" s="39">
        <v>2</v>
      </c>
      <c r="AH215" s="39">
        <v>2</v>
      </c>
      <c r="AI215" s="39">
        <v>2</v>
      </c>
      <c r="AJ215" s="40" t="s">
        <v>100</v>
      </c>
      <c r="AK215" s="41">
        <v>1000</v>
      </c>
      <c r="AL215" s="25"/>
      <c r="AM215" s="25"/>
    </row>
    <row r="216" spans="1:39" x14ac:dyDescent="0.2">
      <c r="B216" s="52">
        <v>43765</v>
      </c>
      <c r="C216" s="36">
        <v>0.59375</v>
      </c>
      <c r="D216" s="36"/>
      <c r="E216" s="36" t="s">
        <v>163</v>
      </c>
      <c r="F216" s="38">
        <v>2</v>
      </c>
      <c r="G216" s="43" t="str">
        <f>VLOOKUP(F216,Key!$A$17:$B$21,2,FALSE)</f>
        <v>Road Vehicle</v>
      </c>
      <c r="H216" s="37">
        <v>4</v>
      </c>
      <c r="I216" s="44" t="str">
        <f>VLOOKUP(H216,Key!$A$2:$B$13,2,FALSE)</f>
        <v>Minibus</v>
      </c>
      <c r="J216" s="38" t="s">
        <v>117</v>
      </c>
      <c r="K216" s="38">
        <v>3</v>
      </c>
      <c r="L216" s="46" t="str">
        <f>VLOOKUP(K216,Key!$A$24:$B$29,2,FALSE)</f>
        <v>40-49</v>
      </c>
      <c r="M216" s="38" t="s">
        <v>164</v>
      </c>
      <c r="N216" s="33" t="s">
        <v>165</v>
      </c>
      <c r="O216" s="38" t="s">
        <v>166</v>
      </c>
      <c r="P216" s="40">
        <v>1</v>
      </c>
      <c r="Q216" s="35" t="str">
        <f>VLOOKUP(P216,Key!$E$2:$F$9,2,FALSE)</f>
        <v>Home</v>
      </c>
      <c r="R216" s="38" t="s">
        <v>170</v>
      </c>
      <c r="S216" s="33" t="s">
        <v>171</v>
      </c>
      <c r="T216" s="38" t="s">
        <v>166</v>
      </c>
      <c r="U216" s="33">
        <v>2</v>
      </c>
      <c r="V216" s="35" t="str">
        <f>VLOOKUP(U216,Key!$E$2:$F$9,2,FALSE)</f>
        <v>Work</v>
      </c>
      <c r="W216" s="35" t="str">
        <f t="shared" si="3"/>
        <v>Home-Work</v>
      </c>
      <c r="X216" s="33">
        <v>3000</v>
      </c>
      <c r="Y216" s="39">
        <v>18</v>
      </c>
      <c r="Z216" s="39">
        <v>1</v>
      </c>
      <c r="AA216" s="33">
        <v>6</v>
      </c>
      <c r="AB216" s="35" t="str">
        <f>VLOOKUP(AA216,Key!$C$20:$D$29,2,FALSE)</f>
        <v>Businessman</v>
      </c>
      <c r="AC216" s="33">
        <v>1</v>
      </c>
      <c r="AD216" s="35" t="str">
        <f>VLOOKUP(AC216,Key!$E$20:$F$24,2,FALSE)</f>
        <v>&lt;300,000</v>
      </c>
      <c r="AE216" s="33">
        <v>2</v>
      </c>
      <c r="AF216" s="39">
        <v>1</v>
      </c>
      <c r="AG216" s="39">
        <v>2</v>
      </c>
      <c r="AH216" s="39">
        <v>1</v>
      </c>
      <c r="AI216" s="39">
        <v>2</v>
      </c>
      <c r="AJ216" s="40" t="s">
        <v>100</v>
      </c>
      <c r="AK216" s="41">
        <v>500</v>
      </c>
      <c r="AL216" s="25"/>
      <c r="AM216" s="25"/>
    </row>
    <row r="217" spans="1:39" x14ac:dyDescent="0.2">
      <c r="B217" s="52">
        <v>43765</v>
      </c>
      <c r="C217" s="36">
        <v>0.65208333333333335</v>
      </c>
      <c r="D217" s="36"/>
      <c r="E217" s="36" t="s">
        <v>163</v>
      </c>
      <c r="F217" s="38">
        <v>2</v>
      </c>
      <c r="G217" s="43" t="str">
        <f>VLOOKUP(F217,Key!$A$17:$B$21,2,FALSE)</f>
        <v>Road Vehicle</v>
      </c>
      <c r="H217" s="37">
        <v>4</v>
      </c>
      <c r="I217" s="44" t="str">
        <f>VLOOKUP(H217,Key!$A$2:$B$13,2,FALSE)</f>
        <v>Minibus</v>
      </c>
      <c r="J217" s="38" t="s">
        <v>117</v>
      </c>
      <c r="K217" s="38">
        <v>3</v>
      </c>
      <c r="L217" s="46" t="str">
        <f>VLOOKUP(K217,Key!$A$24:$B$29,2,FALSE)</f>
        <v>40-49</v>
      </c>
      <c r="M217" s="38" t="s">
        <v>170</v>
      </c>
      <c r="N217" s="33" t="s">
        <v>171</v>
      </c>
      <c r="O217" s="38" t="s">
        <v>166</v>
      </c>
      <c r="P217" s="40">
        <v>2</v>
      </c>
      <c r="Q217" s="35" t="str">
        <f>VLOOKUP(P217,Key!$E$2:$F$9,2,FALSE)</f>
        <v>Work</v>
      </c>
      <c r="R217" s="38" t="s">
        <v>164</v>
      </c>
      <c r="S217" s="33" t="s">
        <v>165</v>
      </c>
      <c r="T217" s="38" t="s">
        <v>166</v>
      </c>
      <c r="U217" s="33">
        <v>1</v>
      </c>
      <c r="V217" s="35" t="str">
        <f>VLOOKUP(U217,Key!$E$2:$F$9,2,FALSE)</f>
        <v>Home</v>
      </c>
      <c r="W217" s="35" t="str">
        <f t="shared" si="3"/>
        <v>Work-Home</v>
      </c>
      <c r="X217" s="33">
        <v>3000</v>
      </c>
      <c r="Y217" s="39">
        <v>38</v>
      </c>
      <c r="Z217" s="39">
        <v>1.5</v>
      </c>
      <c r="AA217" s="33">
        <v>5</v>
      </c>
      <c r="AB217" s="35" t="str">
        <f>VLOOKUP(AA217,Key!$C$20:$D$29,2,FALSE)</f>
        <v>Professional</v>
      </c>
      <c r="AC217" s="33">
        <v>3</v>
      </c>
      <c r="AD217" s="35" t="str">
        <f>VLOOKUP(AC217,Key!$E$20:$F$24,2,FALSE)</f>
        <v>500,000-750,000</v>
      </c>
      <c r="AE217" s="33">
        <v>5</v>
      </c>
      <c r="AF217" s="39">
        <v>1</v>
      </c>
      <c r="AG217" s="39">
        <v>1</v>
      </c>
      <c r="AH217" s="39">
        <v>2</v>
      </c>
      <c r="AI217" s="39">
        <v>1</v>
      </c>
      <c r="AJ217" s="40" t="s">
        <v>100</v>
      </c>
      <c r="AK217" s="41">
        <v>500</v>
      </c>
      <c r="AL217" s="25"/>
      <c r="AM217" s="25"/>
    </row>
    <row r="218" spans="1:39" x14ac:dyDescent="0.2">
      <c r="B218" s="52">
        <v>43765</v>
      </c>
      <c r="C218" s="36">
        <v>0.65763888888888888</v>
      </c>
      <c r="D218" s="36"/>
      <c r="E218" s="36" t="s">
        <v>163</v>
      </c>
      <c r="F218" s="38">
        <v>2</v>
      </c>
      <c r="G218" s="43" t="str">
        <f>VLOOKUP(F218,Key!$A$17:$B$21,2,FALSE)</f>
        <v>Road Vehicle</v>
      </c>
      <c r="H218" s="37">
        <v>4</v>
      </c>
      <c r="I218" s="44" t="str">
        <f>VLOOKUP(H218,Key!$A$2:$B$13,2,FALSE)</f>
        <v>Minibus</v>
      </c>
      <c r="J218" s="38" t="s">
        <v>117</v>
      </c>
      <c r="K218" s="38">
        <v>3</v>
      </c>
      <c r="L218" s="46" t="str">
        <f>VLOOKUP(K218,Key!$A$24:$B$29,2,FALSE)</f>
        <v>40-49</v>
      </c>
      <c r="M218" s="38" t="s">
        <v>170</v>
      </c>
      <c r="N218" s="33" t="s">
        <v>171</v>
      </c>
      <c r="O218" s="38" t="s">
        <v>166</v>
      </c>
      <c r="P218" s="40">
        <v>2</v>
      </c>
      <c r="Q218" s="35" t="str">
        <f>VLOOKUP(P218,Key!$E$2:$F$9,2,FALSE)</f>
        <v>Work</v>
      </c>
      <c r="R218" s="38" t="s">
        <v>191</v>
      </c>
      <c r="S218" s="33" t="s">
        <v>165</v>
      </c>
      <c r="T218" s="38" t="s">
        <v>166</v>
      </c>
      <c r="U218" s="33">
        <v>1</v>
      </c>
      <c r="V218" s="35" t="str">
        <f>VLOOKUP(U218,Key!$E$2:$F$9,2,FALSE)</f>
        <v>Home</v>
      </c>
      <c r="W218" s="35" t="str">
        <f t="shared" si="3"/>
        <v>Work-Home</v>
      </c>
      <c r="X218" s="33">
        <v>3000</v>
      </c>
      <c r="Y218" s="39">
        <v>39</v>
      </c>
      <c r="Z218" s="39">
        <v>1.5</v>
      </c>
      <c r="AA218" s="33">
        <v>6</v>
      </c>
      <c r="AB218" s="35" t="str">
        <f>VLOOKUP(AA218,Key!$C$20:$D$29,2,FALSE)</f>
        <v>Businessman</v>
      </c>
      <c r="AC218" s="33">
        <v>2</v>
      </c>
      <c r="AD218" s="35" t="str">
        <f>VLOOKUP(AC218,Key!$E$20:$F$24,2,FALSE)</f>
        <v>300,000-500,000</v>
      </c>
      <c r="AE218" s="33">
        <v>2</v>
      </c>
      <c r="AF218" s="39">
        <v>1</v>
      </c>
      <c r="AG218" s="39">
        <v>1</v>
      </c>
      <c r="AH218" s="39">
        <v>2</v>
      </c>
      <c r="AI218" s="39">
        <v>1</v>
      </c>
      <c r="AJ218" s="40" t="s">
        <v>100</v>
      </c>
      <c r="AK218" s="41">
        <v>1000</v>
      </c>
      <c r="AL218" s="25"/>
      <c r="AM218" s="25"/>
    </row>
    <row r="219" spans="1:39" x14ac:dyDescent="0.2">
      <c r="B219" s="52">
        <v>43765</v>
      </c>
      <c r="C219" s="36">
        <v>0.58402777777777781</v>
      </c>
      <c r="D219" s="36"/>
      <c r="E219" s="36" t="s">
        <v>105</v>
      </c>
      <c r="F219" s="38">
        <v>2</v>
      </c>
      <c r="G219" s="43" t="str">
        <f>VLOOKUP(F219,Key!$A$17:$B$21,2,FALSE)</f>
        <v>Road Vehicle</v>
      </c>
      <c r="H219" s="37">
        <v>4</v>
      </c>
      <c r="I219" s="44" t="str">
        <f>VLOOKUP(H219,Key!$A$2:$B$13,2,FALSE)</f>
        <v>Minibus</v>
      </c>
      <c r="J219" s="38" t="s">
        <v>117</v>
      </c>
      <c r="K219" s="38">
        <v>3</v>
      </c>
      <c r="L219" s="46" t="str">
        <f>VLOOKUP(K219,Key!$A$24:$B$29,2,FALSE)</f>
        <v>40-49</v>
      </c>
      <c r="M219" s="38" t="s">
        <v>227</v>
      </c>
      <c r="N219" s="33" t="s">
        <v>165</v>
      </c>
      <c r="O219" s="38" t="s">
        <v>166</v>
      </c>
      <c r="P219" s="40">
        <v>2</v>
      </c>
      <c r="Q219" s="35" t="str">
        <f>VLOOKUP(P219,Key!$E$2:$F$9,2,FALSE)</f>
        <v>Work</v>
      </c>
      <c r="R219" s="38" t="s">
        <v>207</v>
      </c>
      <c r="S219" s="33" t="s">
        <v>171</v>
      </c>
      <c r="T219" s="38" t="s">
        <v>166</v>
      </c>
      <c r="U219" s="33">
        <v>2</v>
      </c>
      <c r="V219" s="35" t="str">
        <f>VLOOKUP(U219,Key!$E$2:$F$9,2,FALSE)</f>
        <v>Work</v>
      </c>
      <c r="W219" s="35" t="str">
        <f t="shared" si="3"/>
        <v>Work-Work</v>
      </c>
      <c r="X219" s="33">
        <v>25000</v>
      </c>
      <c r="Y219" s="39">
        <v>36</v>
      </c>
      <c r="Z219" s="39">
        <v>2</v>
      </c>
      <c r="AA219" s="33">
        <v>5</v>
      </c>
      <c r="AB219" s="35" t="str">
        <f>VLOOKUP(AA219,Key!$C$20:$D$29,2,FALSE)</f>
        <v>Professional</v>
      </c>
      <c r="AC219" s="33">
        <v>1</v>
      </c>
      <c r="AD219" s="35" t="str">
        <f>VLOOKUP(AC219,Key!$E$20:$F$24,2,FALSE)</f>
        <v>&lt;300,000</v>
      </c>
      <c r="AE219" s="33">
        <v>5</v>
      </c>
      <c r="AF219" s="39">
        <v>1</v>
      </c>
      <c r="AG219" s="39">
        <v>4</v>
      </c>
      <c r="AH219" s="39">
        <v>1</v>
      </c>
      <c r="AI219" s="39">
        <v>1</v>
      </c>
      <c r="AJ219" s="40" t="s">
        <v>100</v>
      </c>
      <c r="AK219" s="41">
        <v>1000</v>
      </c>
      <c r="AL219" s="25"/>
      <c r="AM219" s="25"/>
    </row>
    <row r="220" spans="1:39" x14ac:dyDescent="0.2">
      <c r="B220" s="52">
        <v>43765</v>
      </c>
      <c r="C220" s="36">
        <v>0.63958333333333328</v>
      </c>
      <c r="D220" s="36"/>
      <c r="E220" s="36" t="s">
        <v>163</v>
      </c>
      <c r="F220" s="38">
        <v>2</v>
      </c>
      <c r="G220" s="43" t="str">
        <f>VLOOKUP(F220,Key!$A$17:$B$21,2,FALSE)</f>
        <v>Road Vehicle</v>
      </c>
      <c r="H220" s="37">
        <v>4</v>
      </c>
      <c r="I220" s="44" t="str">
        <f>VLOOKUP(H220,Key!$A$2:$B$13,2,FALSE)</f>
        <v>Minibus</v>
      </c>
      <c r="J220" s="38" t="s">
        <v>117</v>
      </c>
      <c r="K220" s="38">
        <v>3</v>
      </c>
      <c r="L220" s="46" t="str">
        <f>VLOOKUP(K220,Key!$A$24:$B$29,2,FALSE)</f>
        <v>40-49</v>
      </c>
      <c r="M220" s="38" t="s">
        <v>164</v>
      </c>
      <c r="N220" s="33" t="s">
        <v>165</v>
      </c>
      <c r="O220" s="38" t="s">
        <v>166</v>
      </c>
      <c r="P220" s="40">
        <v>1</v>
      </c>
      <c r="Q220" s="35" t="str">
        <f>VLOOKUP(P220,Key!$E$2:$F$9,2,FALSE)</f>
        <v>Home</v>
      </c>
      <c r="R220" s="38" t="s">
        <v>215</v>
      </c>
      <c r="S220" s="33" t="s">
        <v>165</v>
      </c>
      <c r="T220" s="38" t="s">
        <v>166</v>
      </c>
      <c r="U220" s="33">
        <v>6</v>
      </c>
      <c r="V220" s="35" t="str">
        <f>VLOOKUP(U220,Key!$E$2:$F$9,2,FALSE)</f>
        <v>Leisure/Social</v>
      </c>
      <c r="W220" s="35" t="str">
        <f t="shared" si="3"/>
        <v>Home-Leisure/Social</v>
      </c>
      <c r="X220" s="33">
        <v>2000</v>
      </c>
      <c r="Y220" s="39"/>
      <c r="Z220" s="39">
        <v>0.1</v>
      </c>
      <c r="AA220" s="33">
        <v>2</v>
      </c>
      <c r="AB220" s="35" t="str">
        <f>VLOOKUP(AA220,Key!$C$20:$D$29,2,FALSE)</f>
        <v>Manual Labour</v>
      </c>
      <c r="AC220" s="33">
        <v>2</v>
      </c>
      <c r="AD220" s="35" t="str">
        <f>VLOOKUP(AC220,Key!$E$20:$F$24,2,FALSE)</f>
        <v>300,000-500,000</v>
      </c>
      <c r="AE220" s="33">
        <v>2</v>
      </c>
      <c r="AF220" s="39">
        <v>5</v>
      </c>
      <c r="AG220" s="39">
        <v>4</v>
      </c>
      <c r="AH220" s="39">
        <v>1</v>
      </c>
      <c r="AI220" s="39">
        <v>3</v>
      </c>
      <c r="AJ220" s="40" t="s">
        <v>100</v>
      </c>
      <c r="AK220" s="41">
        <v>100</v>
      </c>
      <c r="AL220" s="25"/>
      <c r="AM220" s="25"/>
    </row>
    <row r="221" spans="1:39" x14ac:dyDescent="0.2">
      <c r="B221" s="52">
        <v>43765</v>
      </c>
      <c r="C221" s="36">
        <v>0.58611111111111114</v>
      </c>
      <c r="D221" s="36"/>
      <c r="E221" s="36" t="s">
        <v>105</v>
      </c>
      <c r="F221" s="38">
        <v>2</v>
      </c>
      <c r="G221" s="43" t="str">
        <f>VLOOKUP(F221,Key!$A$17:$B$21,2,FALSE)</f>
        <v>Road Vehicle</v>
      </c>
      <c r="H221" s="37">
        <v>4</v>
      </c>
      <c r="I221" s="44" t="str">
        <f>VLOOKUP(H221,Key!$A$2:$B$13,2,FALSE)</f>
        <v>Minibus</v>
      </c>
      <c r="J221" s="38" t="s">
        <v>117</v>
      </c>
      <c r="K221" s="38">
        <v>3</v>
      </c>
      <c r="L221" s="46" t="str">
        <f>VLOOKUP(K221,Key!$A$24:$B$29,2,FALSE)</f>
        <v>40-49</v>
      </c>
      <c r="M221" s="38" t="s">
        <v>164</v>
      </c>
      <c r="N221" s="33" t="s">
        <v>165</v>
      </c>
      <c r="O221" s="38" t="s">
        <v>166</v>
      </c>
      <c r="P221" s="40">
        <v>2</v>
      </c>
      <c r="Q221" s="35" t="str">
        <f>VLOOKUP(P221,Key!$E$2:$F$9,2,FALSE)</f>
        <v>Work</v>
      </c>
      <c r="R221" s="38" t="s">
        <v>191</v>
      </c>
      <c r="S221" s="33" t="s">
        <v>165</v>
      </c>
      <c r="T221" s="38" t="s">
        <v>166</v>
      </c>
      <c r="U221" s="33">
        <v>2</v>
      </c>
      <c r="V221" s="35" t="str">
        <f>VLOOKUP(U221,Key!$E$2:$F$9,2,FALSE)</f>
        <v>Work</v>
      </c>
      <c r="W221" s="35" t="str">
        <f t="shared" si="3"/>
        <v>Work-Work</v>
      </c>
      <c r="X221" s="33">
        <v>1000</v>
      </c>
      <c r="Y221" s="39">
        <v>3</v>
      </c>
      <c r="Z221" s="39">
        <v>0.1</v>
      </c>
      <c r="AA221" s="33">
        <v>10</v>
      </c>
      <c r="AB221" s="35" t="str">
        <f>VLOOKUP(AA221,Key!$C$20:$D$29,2,FALSE)</f>
        <v>Other</v>
      </c>
      <c r="AC221" s="33">
        <v>2</v>
      </c>
      <c r="AD221" s="35" t="str">
        <f>VLOOKUP(AC221,Key!$E$20:$F$24,2,FALSE)</f>
        <v>300,000-500,000</v>
      </c>
      <c r="AE221" s="33">
        <v>3</v>
      </c>
      <c r="AF221" s="39">
        <v>2</v>
      </c>
      <c r="AG221" s="39">
        <v>5</v>
      </c>
      <c r="AH221" s="39">
        <v>1</v>
      </c>
      <c r="AI221" s="39">
        <v>4</v>
      </c>
      <c r="AJ221" s="40" t="s">
        <v>100</v>
      </c>
      <c r="AK221" s="41"/>
      <c r="AL221" s="25"/>
      <c r="AM221" s="25"/>
    </row>
    <row r="222" spans="1:39" x14ac:dyDescent="0.2">
      <c r="B222" s="52">
        <v>43765</v>
      </c>
      <c r="C222" s="36">
        <v>0.36041666666666666</v>
      </c>
      <c r="D222" s="36"/>
      <c r="E222" s="36" t="s">
        <v>105</v>
      </c>
      <c r="F222" s="38">
        <v>2</v>
      </c>
      <c r="G222" s="43" t="str">
        <f>VLOOKUP(F222,Key!$A$17:$B$21,2,FALSE)</f>
        <v>Road Vehicle</v>
      </c>
      <c r="H222" s="37">
        <v>4</v>
      </c>
      <c r="I222" s="44" t="str">
        <f>VLOOKUP(H222,Key!$A$2:$B$13,2,FALSE)</f>
        <v>Minibus</v>
      </c>
      <c r="J222" s="38" t="s">
        <v>117</v>
      </c>
      <c r="K222" s="38">
        <v>3</v>
      </c>
      <c r="L222" s="46" t="str">
        <f>VLOOKUP(K222,Key!$A$24:$B$29,2,FALSE)</f>
        <v>40-49</v>
      </c>
      <c r="M222" s="38" t="s">
        <v>250</v>
      </c>
      <c r="N222" s="33" t="s">
        <v>165</v>
      </c>
      <c r="O222" s="38" t="s">
        <v>166</v>
      </c>
      <c r="P222" s="40">
        <v>2</v>
      </c>
      <c r="Q222" s="35" t="str">
        <f>VLOOKUP(P222,Key!$E$2:$F$9,2,FALSE)</f>
        <v>Work</v>
      </c>
      <c r="R222" s="38" t="s">
        <v>207</v>
      </c>
      <c r="S222" s="33" t="s">
        <v>171</v>
      </c>
      <c r="T222" s="38" t="s">
        <v>166</v>
      </c>
      <c r="U222" s="33">
        <v>2</v>
      </c>
      <c r="V222" s="35" t="str">
        <f>VLOOKUP(U222,Key!$E$2:$F$9,2,FALSE)</f>
        <v>Work</v>
      </c>
      <c r="W222" s="35" t="str">
        <f t="shared" si="3"/>
        <v>Work-Work</v>
      </c>
      <c r="X222" s="33">
        <v>20000</v>
      </c>
      <c r="Y222" s="39">
        <v>40</v>
      </c>
      <c r="Z222" s="39">
        <v>1</v>
      </c>
      <c r="AA222" s="33">
        <v>10</v>
      </c>
      <c r="AB222" s="35" t="str">
        <f>VLOOKUP(AA222,Key!$C$20:$D$29,2,FALSE)</f>
        <v>Other</v>
      </c>
      <c r="AC222" s="33">
        <v>1</v>
      </c>
      <c r="AD222" s="35" t="str">
        <f>VLOOKUP(AC222,Key!$E$20:$F$24,2,FALSE)</f>
        <v>&lt;300,000</v>
      </c>
      <c r="AE222" s="33">
        <v>1</v>
      </c>
      <c r="AF222" s="39">
        <v>2</v>
      </c>
      <c r="AG222" s="39">
        <v>5</v>
      </c>
      <c r="AH222" s="39">
        <v>4</v>
      </c>
      <c r="AI222" s="39">
        <v>3</v>
      </c>
      <c r="AJ222" s="40" t="s">
        <v>100</v>
      </c>
      <c r="AK222" s="41">
        <v>500</v>
      </c>
      <c r="AL222" s="25"/>
      <c r="AM222" s="25"/>
    </row>
    <row r="223" spans="1:39" x14ac:dyDescent="0.2">
      <c r="B223" s="52">
        <v>43765</v>
      </c>
      <c r="C223" s="36">
        <v>0.35347222222222219</v>
      </c>
      <c r="D223" s="36"/>
      <c r="E223" s="36" t="s">
        <v>163</v>
      </c>
      <c r="F223" s="38">
        <v>2</v>
      </c>
      <c r="G223" s="43" t="str">
        <f>VLOOKUP(F223,Key!$A$17:$B$21,2,FALSE)</f>
        <v>Road Vehicle</v>
      </c>
      <c r="H223" s="37">
        <v>4</v>
      </c>
      <c r="I223" s="44" t="str">
        <f>VLOOKUP(H223,Key!$A$2:$B$13,2,FALSE)</f>
        <v>Minibus</v>
      </c>
      <c r="J223" s="38" t="s">
        <v>117</v>
      </c>
      <c r="K223" s="38">
        <v>3</v>
      </c>
      <c r="L223" s="46" t="str">
        <f>VLOOKUP(K223,Key!$A$24:$B$29,2,FALSE)</f>
        <v>40-49</v>
      </c>
      <c r="M223" s="38" t="s">
        <v>164</v>
      </c>
      <c r="N223" s="33" t="s">
        <v>165</v>
      </c>
      <c r="O223" s="38" t="s">
        <v>166</v>
      </c>
      <c r="P223" s="40">
        <v>1</v>
      </c>
      <c r="Q223" s="35" t="str">
        <f>VLOOKUP(P223,Key!$E$2:$F$9,2,FALSE)</f>
        <v>Home</v>
      </c>
      <c r="R223" s="38" t="s">
        <v>251</v>
      </c>
      <c r="S223" s="33" t="s">
        <v>165</v>
      </c>
      <c r="T223" s="38" t="s">
        <v>166</v>
      </c>
      <c r="U223" s="33">
        <v>6</v>
      </c>
      <c r="V223" s="35" t="str">
        <f>VLOOKUP(U223,Key!$E$2:$F$9,2,FALSE)</f>
        <v>Leisure/Social</v>
      </c>
      <c r="W223" s="35" t="str">
        <f t="shared" si="3"/>
        <v>Home-Leisure/Social</v>
      </c>
      <c r="X223" s="33">
        <v>1000</v>
      </c>
      <c r="Y223" s="39"/>
      <c r="Z223" s="39">
        <v>0.2</v>
      </c>
      <c r="AA223" s="33">
        <v>5</v>
      </c>
      <c r="AB223" s="35" t="str">
        <f>VLOOKUP(AA223,Key!$C$20:$D$29,2,FALSE)</f>
        <v>Professional</v>
      </c>
      <c r="AC223" s="33">
        <v>4</v>
      </c>
      <c r="AD223" s="35" t="str">
        <f>VLOOKUP(AC223,Key!$E$20:$F$24,2,FALSE)</f>
        <v>750,000-1,000,000</v>
      </c>
      <c r="AE223" s="33">
        <v>1</v>
      </c>
      <c r="AF223" s="39">
        <v>4</v>
      </c>
      <c r="AG223" s="39">
        <v>3</v>
      </c>
      <c r="AH223" s="39">
        <v>2</v>
      </c>
      <c r="AI223" s="39">
        <v>5</v>
      </c>
      <c r="AJ223" s="40" t="s">
        <v>100</v>
      </c>
      <c r="AK223" s="41">
        <v>3000</v>
      </c>
      <c r="AL223" s="25"/>
      <c r="AM223" s="25"/>
    </row>
    <row r="224" spans="1:39" x14ac:dyDescent="0.2">
      <c r="B224" s="52">
        <v>43765</v>
      </c>
      <c r="C224" s="36">
        <v>0.53333333333333333</v>
      </c>
      <c r="D224" s="36"/>
      <c r="E224" s="36" t="s">
        <v>163</v>
      </c>
      <c r="F224" s="38">
        <v>2</v>
      </c>
      <c r="G224" s="43" t="str">
        <f>VLOOKUP(F224,Key!$A$17:$B$21,2,FALSE)</f>
        <v>Road Vehicle</v>
      </c>
      <c r="H224" s="37">
        <v>4</v>
      </c>
      <c r="I224" s="44" t="str">
        <f>VLOOKUP(H224,Key!$A$2:$B$13,2,FALSE)</f>
        <v>Minibus</v>
      </c>
      <c r="J224" s="38" t="s">
        <v>117</v>
      </c>
      <c r="K224" s="38">
        <v>3</v>
      </c>
      <c r="L224" s="46" t="str">
        <f>VLOOKUP(K224,Key!$A$24:$B$29,2,FALSE)</f>
        <v>40-49</v>
      </c>
      <c r="M224" s="38" t="s">
        <v>164</v>
      </c>
      <c r="N224" s="33" t="s">
        <v>165</v>
      </c>
      <c r="O224" s="38" t="s">
        <v>166</v>
      </c>
      <c r="P224" s="40">
        <v>1</v>
      </c>
      <c r="Q224" s="35" t="str">
        <f>VLOOKUP(P224,Key!$E$2:$F$9,2,FALSE)</f>
        <v>Home</v>
      </c>
      <c r="R224" s="38" t="s">
        <v>181</v>
      </c>
      <c r="S224" s="33" t="s">
        <v>165</v>
      </c>
      <c r="T224" s="38" t="s">
        <v>166</v>
      </c>
      <c r="U224" s="33">
        <v>6</v>
      </c>
      <c r="V224" s="35" t="str">
        <f>VLOOKUP(U224,Key!$E$2:$F$9,2,FALSE)</f>
        <v>Leisure/Social</v>
      </c>
      <c r="W224" s="35" t="str">
        <f t="shared" si="3"/>
        <v>Home-Leisure/Social</v>
      </c>
      <c r="X224" s="33">
        <v>2000</v>
      </c>
      <c r="Y224" s="39">
        <v>18</v>
      </c>
      <c r="Z224" s="39">
        <v>0.5</v>
      </c>
      <c r="AA224" s="33">
        <v>6</v>
      </c>
      <c r="AB224" s="35" t="str">
        <f>VLOOKUP(AA224,Key!$C$20:$D$29,2,FALSE)</f>
        <v>Businessman</v>
      </c>
      <c r="AC224" s="33">
        <v>3</v>
      </c>
      <c r="AD224" s="35" t="str">
        <f>VLOOKUP(AC224,Key!$E$20:$F$24,2,FALSE)</f>
        <v>500,000-750,000</v>
      </c>
      <c r="AE224" s="33">
        <v>3</v>
      </c>
      <c r="AF224" s="39">
        <v>5</v>
      </c>
      <c r="AG224" s="39">
        <v>2</v>
      </c>
      <c r="AH224" s="39">
        <v>1</v>
      </c>
      <c r="AI224" s="39">
        <v>4</v>
      </c>
      <c r="AJ224" s="40" t="s">
        <v>100</v>
      </c>
      <c r="AK224" s="41">
        <v>1000</v>
      </c>
      <c r="AL224" s="25"/>
      <c r="AM224" s="25"/>
    </row>
    <row r="225" spans="2:39" x14ac:dyDescent="0.2">
      <c r="B225" s="52">
        <v>43765</v>
      </c>
      <c r="C225" s="36">
        <v>0.49374999999999997</v>
      </c>
      <c r="D225" s="36"/>
      <c r="E225" s="36" t="s">
        <v>163</v>
      </c>
      <c r="F225" s="38">
        <v>2</v>
      </c>
      <c r="G225" s="43" t="str">
        <f>VLOOKUP(F225,Key!$A$17:$B$21,2,FALSE)</f>
        <v>Road Vehicle</v>
      </c>
      <c r="H225" s="37">
        <v>4</v>
      </c>
      <c r="I225" s="44" t="str">
        <f>VLOOKUP(H225,Key!$A$2:$B$13,2,FALSE)</f>
        <v>Minibus</v>
      </c>
      <c r="J225" s="38" t="s">
        <v>117</v>
      </c>
      <c r="K225" s="38">
        <v>3</v>
      </c>
      <c r="L225" s="46" t="str">
        <f>VLOOKUP(K225,Key!$A$24:$B$29,2,FALSE)</f>
        <v>40-49</v>
      </c>
      <c r="M225" s="38" t="s">
        <v>164</v>
      </c>
      <c r="N225" s="33" t="s">
        <v>165</v>
      </c>
      <c r="O225" s="38" t="s">
        <v>166</v>
      </c>
      <c r="P225" s="40">
        <v>1</v>
      </c>
      <c r="Q225" s="35" t="str">
        <f>VLOOKUP(P225,Key!$E$2:$F$9,2,FALSE)</f>
        <v>Home</v>
      </c>
      <c r="R225" s="38" t="s">
        <v>189</v>
      </c>
      <c r="S225" s="33" t="s">
        <v>165</v>
      </c>
      <c r="T225" s="38" t="s">
        <v>166</v>
      </c>
      <c r="U225" s="33">
        <v>6</v>
      </c>
      <c r="V225" s="35" t="str">
        <f>VLOOKUP(U225,Key!$E$2:$F$9,2,FALSE)</f>
        <v>Leisure/Social</v>
      </c>
      <c r="W225" s="35" t="str">
        <f t="shared" si="3"/>
        <v>Home-Leisure/Social</v>
      </c>
      <c r="X225" s="33">
        <v>2000</v>
      </c>
      <c r="Y225" s="39">
        <v>27</v>
      </c>
      <c r="Z225" s="39">
        <v>0.5</v>
      </c>
      <c r="AA225" s="33">
        <v>5</v>
      </c>
      <c r="AB225" s="35" t="str">
        <f>VLOOKUP(AA225,Key!$C$20:$D$29,2,FALSE)</f>
        <v>Professional</v>
      </c>
      <c r="AC225" s="33">
        <v>2</v>
      </c>
      <c r="AD225" s="35" t="str">
        <f>VLOOKUP(AC225,Key!$E$20:$F$24,2,FALSE)</f>
        <v>300,000-500,000</v>
      </c>
      <c r="AE225" s="33">
        <v>2</v>
      </c>
      <c r="AF225" s="39">
        <v>6</v>
      </c>
      <c r="AG225" s="39">
        <v>4</v>
      </c>
      <c r="AH225" s="39">
        <v>1</v>
      </c>
      <c r="AI225" s="39">
        <v>5</v>
      </c>
      <c r="AJ225" s="40" t="s">
        <v>100</v>
      </c>
      <c r="AK225" s="41">
        <v>1000</v>
      </c>
      <c r="AL225" s="25"/>
      <c r="AM225" s="25"/>
    </row>
    <row r="226" spans="2:39" x14ac:dyDescent="0.2">
      <c r="B226" s="52">
        <v>43765</v>
      </c>
      <c r="C226" s="36">
        <v>0.46249999999999997</v>
      </c>
      <c r="D226" s="36"/>
      <c r="E226" s="36" t="s">
        <v>163</v>
      </c>
      <c r="F226" s="38">
        <v>2</v>
      </c>
      <c r="G226" s="43" t="str">
        <f>VLOOKUP(F226,Key!$A$17:$B$21,2,FALSE)</f>
        <v>Road Vehicle</v>
      </c>
      <c r="H226" s="37">
        <v>4</v>
      </c>
      <c r="I226" s="44" t="str">
        <f>VLOOKUP(H226,Key!$A$2:$B$13,2,FALSE)</f>
        <v>Minibus</v>
      </c>
      <c r="J226" s="38" t="s">
        <v>117</v>
      </c>
      <c r="K226" s="38">
        <v>3</v>
      </c>
      <c r="L226" s="46" t="str">
        <f>VLOOKUP(K226,Key!$A$24:$B$29,2,FALSE)</f>
        <v>40-49</v>
      </c>
      <c r="M226" s="38" t="s">
        <v>241</v>
      </c>
      <c r="N226" s="33" t="s">
        <v>165</v>
      </c>
      <c r="O226" s="38" t="s">
        <v>166</v>
      </c>
      <c r="P226" s="40">
        <v>1</v>
      </c>
      <c r="Q226" s="35" t="str">
        <f>VLOOKUP(P226,Key!$E$2:$F$9,2,FALSE)</f>
        <v>Home</v>
      </c>
      <c r="R226" s="38" t="s">
        <v>254</v>
      </c>
      <c r="S226" s="33" t="s">
        <v>165</v>
      </c>
      <c r="T226" s="38" t="s">
        <v>166</v>
      </c>
      <c r="U226" s="33">
        <v>6</v>
      </c>
      <c r="V226" s="35" t="str">
        <f>VLOOKUP(U226,Key!$E$2:$F$9,2,FALSE)</f>
        <v>Leisure/Social</v>
      </c>
      <c r="W226" s="35" t="str">
        <f t="shared" si="3"/>
        <v>Home-Leisure/Social</v>
      </c>
      <c r="X226" s="33">
        <v>1000</v>
      </c>
      <c r="Y226" s="39"/>
      <c r="Z226" s="39">
        <v>0.1</v>
      </c>
      <c r="AA226" s="33">
        <v>4</v>
      </c>
      <c r="AB226" s="35" t="str">
        <f>VLOOKUP(AA226,Key!$C$20:$D$29,2,FALSE)</f>
        <v>Office Worker</v>
      </c>
      <c r="AC226" s="33">
        <v>3</v>
      </c>
      <c r="AD226" s="35" t="str">
        <f>VLOOKUP(AC226,Key!$E$20:$F$24,2,FALSE)</f>
        <v>500,000-750,000</v>
      </c>
      <c r="AE226" s="33">
        <v>3</v>
      </c>
      <c r="AF226" s="39">
        <v>2</v>
      </c>
      <c r="AG226" s="39">
        <v>4</v>
      </c>
      <c r="AH226" s="39">
        <v>1</v>
      </c>
      <c r="AI226" s="39">
        <v>5</v>
      </c>
      <c r="AJ226" s="40" t="s">
        <v>100</v>
      </c>
      <c r="AK226" s="41"/>
      <c r="AL226" s="25"/>
      <c r="AM226" s="25"/>
    </row>
    <row r="227" spans="2:39" x14ac:dyDescent="0.2">
      <c r="B227" s="52">
        <v>43765</v>
      </c>
      <c r="C227" s="36">
        <v>0.47430555555555554</v>
      </c>
      <c r="D227" s="36"/>
      <c r="E227" s="36" t="s">
        <v>163</v>
      </c>
      <c r="F227" s="38">
        <v>2</v>
      </c>
      <c r="G227" s="43" t="str">
        <f>VLOOKUP(F227,Key!$A$17:$B$21,2,FALSE)</f>
        <v>Road Vehicle</v>
      </c>
      <c r="H227" s="37">
        <v>4</v>
      </c>
      <c r="I227" s="44" t="str">
        <f>VLOOKUP(H227,Key!$A$2:$B$13,2,FALSE)</f>
        <v>Minibus</v>
      </c>
      <c r="J227" s="38" t="s">
        <v>117</v>
      </c>
      <c r="K227" s="38">
        <v>3</v>
      </c>
      <c r="L227" s="46" t="str">
        <f>VLOOKUP(K227,Key!$A$24:$B$29,2,FALSE)</f>
        <v>40-49</v>
      </c>
      <c r="M227" s="38" t="s">
        <v>245</v>
      </c>
      <c r="N227" s="33" t="s">
        <v>165</v>
      </c>
      <c r="O227" s="38" t="s">
        <v>166</v>
      </c>
      <c r="P227" s="40">
        <v>1</v>
      </c>
      <c r="Q227" s="35" t="str">
        <f>VLOOKUP(P227,Key!$E$2:$F$9,2,FALSE)</f>
        <v>Home</v>
      </c>
      <c r="R227" s="38" t="s">
        <v>263</v>
      </c>
      <c r="S227" s="33" t="s">
        <v>165</v>
      </c>
      <c r="T227" s="38" t="s">
        <v>166</v>
      </c>
      <c r="U227" s="33">
        <v>8</v>
      </c>
      <c r="V227" s="35" t="str">
        <f>VLOOKUP(U227,Key!$E$2:$F$9,2,FALSE)</f>
        <v>Others</v>
      </c>
      <c r="W227" s="35" t="str">
        <f t="shared" si="3"/>
        <v>Home-Others</v>
      </c>
      <c r="X227" s="33">
        <v>2500</v>
      </c>
      <c r="Y227" s="39">
        <v>19</v>
      </c>
      <c r="Z227" s="39">
        <v>0.3</v>
      </c>
      <c r="AA227" s="33">
        <v>4</v>
      </c>
      <c r="AB227" s="35" t="str">
        <f>VLOOKUP(AA227,Key!$C$20:$D$29,2,FALSE)</f>
        <v>Office Worker</v>
      </c>
      <c r="AC227" s="33">
        <v>3</v>
      </c>
      <c r="AD227" s="35" t="str">
        <f>VLOOKUP(AC227,Key!$E$20:$F$24,2,FALSE)</f>
        <v>500,000-750,000</v>
      </c>
      <c r="AE227" s="33">
        <v>4</v>
      </c>
      <c r="AF227" s="39">
        <v>2</v>
      </c>
      <c r="AG227" s="39">
        <v>1</v>
      </c>
      <c r="AH227" s="39">
        <v>3</v>
      </c>
      <c r="AI227" s="39">
        <v>5</v>
      </c>
      <c r="AJ227" s="40" t="s">
        <v>100</v>
      </c>
      <c r="AK227" s="41">
        <v>1000</v>
      </c>
      <c r="AL227" s="25"/>
      <c r="AM227" s="25"/>
    </row>
    <row r="228" spans="2:39" x14ac:dyDescent="0.2">
      <c r="B228" s="52">
        <v>43765</v>
      </c>
      <c r="C228" s="36">
        <v>0.60277777777777775</v>
      </c>
      <c r="D228" s="36"/>
      <c r="E228" s="36" t="s">
        <v>105</v>
      </c>
      <c r="F228" s="38">
        <v>2</v>
      </c>
      <c r="G228" s="43" t="str">
        <f>VLOOKUP(F228,Key!$A$17:$B$21,2,FALSE)</f>
        <v>Road Vehicle</v>
      </c>
      <c r="H228" s="37">
        <v>4</v>
      </c>
      <c r="I228" s="44" t="str">
        <f>VLOOKUP(H228,Key!$A$2:$B$13,2,FALSE)</f>
        <v>Minibus</v>
      </c>
      <c r="J228" s="38" t="s">
        <v>117</v>
      </c>
      <c r="K228" s="38">
        <v>3</v>
      </c>
      <c r="L228" s="46" t="str">
        <f>VLOOKUP(K228,Key!$A$24:$B$29,2,FALSE)</f>
        <v>40-49</v>
      </c>
      <c r="M228" s="38" t="s">
        <v>161</v>
      </c>
      <c r="N228" s="33" t="s">
        <v>165</v>
      </c>
      <c r="O228" s="38" t="s">
        <v>166</v>
      </c>
      <c r="P228" s="40">
        <v>1</v>
      </c>
      <c r="Q228" s="35" t="str">
        <f>VLOOKUP(P228,Key!$E$2:$F$9,2,FALSE)</f>
        <v>Home</v>
      </c>
      <c r="R228" s="38" t="s">
        <v>277</v>
      </c>
      <c r="S228" s="33" t="s">
        <v>165</v>
      </c>
      <c r="T228" s="38" t="s">
        <v>166</v>
      </c>
      <c r="U228" s="33">
        <v>6</v>
      </c>
      <c r="V228" s="35" t="str">
        <f>VLOOKUP(U228,Key!$E$2:$F$9,2,FALSE)</f>
        <v>Leisure/Social</v>
      </c>
      <c r="W228" s="35" t="str">
        <f t="shared" si="3"/>
        <v>Home-Leisure/Social</v>
      </c>
      <c r="X228" s="33">
        <v>2000</v>
      </c>
      <c r="Y228" s="39">
        <v>48</v>
      </c>
      <c r="Z228" s="39">
        <v>0.3</v>
      </c>
      <c r="AA228" s="33">
        <v>2</v>
      </c>
      <c r="AB228" s="35" t="str">
        <f>VLOOKUP(AA228,Key!$C$20:$D$29,2,FALSE)</f>
        <v>Manual Labour</v>
      </c>
      <c r="AC228" s="33">
        <v>1</v>
      </c>
      <c r="AD228" s="35" t="str">
        <f>VLOOKUP(AC228,Key!$E$20:$F$24,2,FALSE)</f>
        <v>&lt;300,000</v>
      </c>
      <c r="AE228" s="33">
        <v>2</v>
      </c>
      <c r="AF228" s="39">
        <v>3</v>
      </c>
      <c r="AG228" s="39">
        <v>4</v>
      </c>
      <c r="AH228" s="39">
        <v>1</v>
      </c>
      <c r="AI228" s="39">
        <v>5</v>
      </c>
      <c r="AJ228" s="40" t="s">
        <v>100</v>
      </c>
      <c r="AK228" s="41">
        <v>1000</v>
      </c>
      <c r="AL228" s="25"/>
      <c r="AM228" s="25"/>
    </row>
    <row r="229" spans="2:39" x14ac:dyDescent="0.2">
      <c r="B229" s="52">
        <v>43765</v>
      </c>
      <c r="C229" s="36">
        <v>0.78819444444444453</v>
      </c>
      <c r="D229" s="36"/>
      <c r="E229" s="36" t="s">
        <v>105</v>
      </c>
      <c r="F229" s="38">
        <v>2</v>
      </c>
      <c r="G229" s="43" t="str">
        <f>VLOOKUP(F229,Key!$A$17:$B$21,2,FALSE)</f>
        <v>Road Vehicle</v>
      </c>
      <c r="H229" s="37">
        <v>3</v>
      </c>
      <c r="I229" s="44" t="str">
        <f>VLOOKUP(H229,Key!$A$2:$B$13,2,FALSE)</f>
        <v>Pickups</v>
      </c>
      <c r="J229" s="38" t="s">
        <v>117</v>
      </c>
      <c r="K229" s="38">
        <v>3</v>
      </c>
      <c r="L229" s="46" t="str">
        <f>VLOOKUP(K229,Key!$A$24:$B$29,2,FALSE)</f>
        <v>40-49</v>
      </c>
      <c r="M229" s="38" t="s">
        <v>161</v>
      </c>
      <c r="N229" s="33" t="s">
        <v>165</v>
      </c>
      <c r="O229" s="38" t="s">
        <v>166</v>
      </c>
      <c r="P229" s="40">
        <v>2</v>
      </c>
      <c r="Q229" s="35" t="str">
        <f>VLOOKUP(P229,Key!$E$2:$F$9,2,FALSE)</f>
        <v>Work</v>
      </c>
      <c r="R229" s="38" t="s">
        <v>167</v>
      </c>
      <c r="S229" s="33" t="s">
        <v>165</v>
      </c>
      <c r="T229" s="38" t="s">
        <v>166</v>
      </c>
      <c r="U229" s="33">
        <v>1</v>
      </c>
      <c r="V229" s="35" t="str">
        <f>VLOOKUP(U229,Key!$E$2:$F$9,2,FALSE)</f>
        <v>Home</v>
      </c>
      <c r="W229" s="35" t="str">
        <f t="shared" si="3"/>
        <v>Work-Home</v>
      </c>
      <c r="X229" s="33">
        <v>30000</v>
      </c>
      <c r="Y229" s="39">
        <v>30</v>
      </c>
      <c r="Z229" s="39">
        <v>0.5</v>
      </c>
      <c r="AA229" s="33">
        <v>6</v>
      </c>
      <c r="AB229" s="35" t="str">
        <f>VLOOKUP(AA229,Key!$C$20:$D$29,2,FALSE)</f>
        <v>Businessman</v>
      </c>
      <c r="AC229" s="33">
        <v>4</v>
      </c>
      <c r="AD229" s="35" t="str">
        <f>VLOOKUP(AC229,Key!$E$20:$F$24,2,FALSE)</f>
        <v>750,000-1,000,000</v>
      </c>
      <c r="AE229" s="33">
        <v>1</v>
      </c>
      <c r="AF229" s="39">
        <v>2</v>
      </c>
      <c r="AG229" s="39">
        <v>1</v>
      </c>
      <c r="AH229" s="39">
        <v>2</v>
      </c>
      <c r="AI229" s="39">
        <v>1</v>
      </c>
      <c r="AJ229" s="40" t="s">
        <v>100</v>
      </c>
      <c r="AK229" s="41">
        <v>500</v>
      </c>
      <c r="AL229" s="25"/>
      <c r="AM229" s="25"/>
    </row>
    <row r="230" spans="2:39" x14ac:dyDescent="0.2">
      <c r="B230" s="52">
        <v>43765</v>
      </c>
      <c r="C230" s="36">
        <v>0.35972222222222222</v>
      </c>
      <c r="D230" s="36"/>
      <c r="E230" s="36" t="s">
        <v>105</v>
      </c>
      <c r="F230" s="38">
        <v>2</v>
      </c>
      <c r="G230" s="43" t="str">
        <f>VLOOKUP(F230,Key!$A$17:$B$21,2,FALSE)</f>
        <v>Road Vehicle</v>
      </c>
      <c r="H230" s="37">
        <v>2</v>
      </c>
      <c r="I230" s="44" t="str">
        <f>VLOOKUP(H230,Key!$A$2:$B$13,2,FALSE)</f>
        <v>Station Wagon</v>
      </c>
      <c r="J230" s="38" t="s">
        <v>168</v>
      </c>
      <c r="K230" s="38">
        <v>3</v>
      </c>
      <c r="L230" s="46" t="str">
        <f>VLOOKUP(K230,Key!$A$24:$B$29,2,FALSE)</f>
        <v>40-49</v>
      </c>
      <c r="M230" s="45" t="s">
        <v>161</v>
      </c>
      <c r="N230" s="33" t="s">
        <v>165</v>
      </c>
      <c r="O230" s="38" t="s">
        <v>166</v>
      </c>
      <c r="P230" s="40">
        <v>2</v>
      </c>
      <c r="Q230" s="35" t="str">
        <f>VLOOKUP(P230,Key!$E$2:$F$9,2,FALSE)</f>
        <v>Work</v>
      </c>
      <c r="R230" s="38" t="s">
        <v>178</v>
      </c>
      <c r="S230" s="33" t="s">
        <v>165</v>
      </c>
      <c r="T230" s="38" t="s">
        <v>166</v>
      </c>
      <c r="U230" s="33">
        <v>2</v>
      </c>
      <c r="V230" s="35" t="str">
        <f>VLOOKUP(U230,Key!$E$2:$F$9,2,FALSE)</f>
        <v>Work</v>
      </c>
      <c r="W230" s="35" t="str">
        <f t="shared" si="3"/>
        <v>Work-Work</v>
      </c>
      <c r="X230" s="48">
        <v>1500</v>
      </c>
      <c r="Y230" s="39">
        <v>15</v>
      </c>
      <c r="Z230" s="39">
        <v>0.3</v>
      </c>
      <c r="AA230" s="33">
        <v>6</v>
      </c>
      <c r="AB230" s="35" t="str">
        <f>VLOOKUP(AA230,Key!$C$20:$D$29,2,FALSE)</f>
        <v>Businessman</v>
      </c>
      <c r="AC230" s="33">
        <v>3</v>
      </c>
      <c r="AD230" s="35" t="str">
        <f>VLOOKUP(AC230,Key!$E$20:$F$24,2,FALSE)</f>
        <v>500,000-750,000</v>
      </c>
      <c r="AE230" s="33">
        <v>1</v>
      </c>
      <c r="AF230" s="39">
        <v>2</v>
      </c>
      <c r="AG230" s="39">
        <v>1</v>
      </c>
      <c r="AH230" s="39">
        <v>2</v>
      </c>
      <c r="AI230" s="39">
        <v>1</v>
      </c>
      <c r="AJ230" s="40" t="s">
        <v>100</v>
      </c>
      <c r="AK230" s="41">
        <v>5000</v>
      </c>
      <c r="AL230" s="25"/>
      <c r="AM230" s="25"/>
    </row>
    <row r="231" spans="2:39" x14ac:dyDescent="0.2">
      <c r="B231" s="52">
        <v>43765</v>
      </c>
      <c r="C231" s="36">
        <v>0.4916666666666667</v>
      </c>
      <c r="D231" s="36"/>
      <c r="E231" s="36" t="s">
        <v>105</v>
      </c>
      <c r="F231" s="38">
        <v>2</v>
      </c>
      <c r="G231" s="43" t="str">
        <f>VLOOKUP(F231,Key!$A$17:$B$21,2,FALSE)</f>
        <v>Road Vehicle</v>
      </c>
      <c r="H231" s="37">
        <v>2</v>
      </c>
      <c r="I231" s="44" t="str">
        <f>VLOOKUP(H231,Key!$A$2:$B$13,2,FALSE)</f>
        <v>Station Wagon</v>
      </c>
      <c r="J231" s="38" t="s">
        <v>168</v>
      </c>
      <c r="K231" s="38">
        <v>3</v>
      </c>
      <c r="L231" s="46" t="str">
        <f>VLOOKUP(K231,Key!$A$24:$B$29,2,FALSE)</f>
        <v>40-49</v>
      </c>
      <c r="M231" s="45" t="s">
        <v>161</v>
      </c>
      <c r="N231" s="33" t="s">
        <v>165</v>
      </c>
      <c r="O231" s="38" t="s">
        <v>166</v>
      </c>
      <c r="P231" s="40">
        <v>2</v>
      </c>
      <c r="Q231" s="35" t="str">
        <f>VLOOKUP(P231,Key!$E$2:$F$9,2,FALSE)</f>
        <v>Work</v>
      </c>
      <c r="R231" s="38" t="s">
        <v>183</v>
      </c>
      <c r="S231" s="33" t="s">
        <v>184</v>
      </c>
      <c r="T231" s="38" t="s">
        <v>166</v>
      </c>
      <c r="U231" s="33">
        <v>2</v>
      </c>
      <c r="V231" s="35" t="str">
        <f>VLOOKUP(U231,Key!$E$2:$F$9,2,FALSE)</f>
        <v>Work</v>
      </c>
      <c r="W231" s="35" t="str">
        <f t="shared" si="3"/>
        <v>Work-Work</v>
      </c>
      <c r="X231" s="48">
        <v>80000</v>
      </c>
      <c r="Y231" s="39">
        <v>200</v>
      </c>
      <c r="Z231" s="39">
        <v>4</v>
      </c>
      <c r="AA231" s="33">
        <v>4</v>
      </c>
      <c r="AB231" s="35" t="str">
        <f>VLOOKUP(AA231,Key!$C$20:$D$29,2,FALSE)</f>
        <v>Office Worker</v>
      </c>
      <c r="AC231" s="33">
        <v>3</v>
      </c>
      <c r="AD231" s="35" t="str">
        <f>VLOOKUP(AC231,Key!$E$20:$F$24,2,FALSE)</f>
        <v>500,000-750,000</v>
      </c>
      <c r="AE231" s="33">
        <v>5</v>
      </c>
      <c r="AF231" s="39">
        <v>2</v>
      </c>
      <c r="AG231" s="39">
        <v>1</v>
      </c>
      <c r="AH231" s="39">
        <v>1</v>
      </c>
      <c r="AI231" s="39">
        <v>2</v>
      </c>
      <c r="AJ231" s="40" t="s">
        <v>100</v>
      </c>
      <c r="AK231" s="41">
        <v>1000</v>
      </c>
      <c r="AL231" s="25"/>
      <c r="AM231" s="25"/>
    </row>
    <row r="232" spans="2:39" x14ac:dyDescent="0.2">
      <c r="B232" s="52">
        <v>43765</v>
      </c>
      <c r="C232" s="36">
        <v>0.60833333333333328</v>
      </c>
      <c r="D232" s="36"/>
      <c r="E232" s="36" t="s">
        <v>105</v>
      </c>
      <c r="F232" s="38">
        <v>2</v>
      </c>
      <c r="G232" s="43" t="str">
        <f>VLOOKUP(F232,Key!$A$17:$B$21,2,FALSE)</f>
        <v>Road Vehicle</v>
      </c>
      <c r="H232" s="37">
        <v>2</v>
      </c>
      <c r="I232" s="44" t="str">
        <f>VLOOKUP(H232,Key!$A$2:$B$13,2,FALSE)</f>
        <v>Station Wagon</v>
      </c>
      <c r="J232" s="38" t="s">
        <v>168</v>
      </c>
      <c r="K232" s="38">
        <v>3</v>
      </c>
      <c r="L232" s="46" t="str">
        <f>VLOOKUP(K232,Key!$A$24:$B$29,2,FALSE)</f>
        <v>40-49</v>
      </c>
      <c r="M232" s="38" t="s">
        <v>161</v>
      </c>
      <c r="N232" s="33" t="s">
        <v>165</v>
      </c>
      <c r="O232" s="38" t="s">
        <v>166</v>
      </c>
      <c r="P232" s="40">
        <v>2</v>
      </c>
      <c r="Q232" s="35" t="str">
        <f>VLOOKUP(P232,Key!$E$2:$F$9,2,FALSE)</f>
        <v>Work</v>
      </c>
      <c r="R232" s="38" t="s">
        <v>194</v>
      </c>
      <c r="S232" s="33" t="s">
        <v>195</v>
      </c>
      <c r="T232" s="38" t="s">
        <v>166</v>
      </c>
      <c r="U232" s="33">
        <v>2</v>
      </c>
      <c r="V232" s="35" t="str">
        <f>VLOOKUP(U232,Key!$E$2:$F$9,2,FALSE)</f>
        <v>Work</v>
      </c>
      <c r="W232" s="35" t="str">
        <f t="shared" si="3"/>
        <v>Work-Work</v>
      </c>
      <c r="X232" s="33">
        <v>150000</v>
      </c>
      <c r="Y232" s="39">
        <v>400</v>
      </c>
      <c r="Z232" s="39">
        <v>10</v>
      </c>
      <c r="AA232" s="33">
        <v>5</v>
      </c>
      <c r="AB232" s="35" t="str">
        <f>VLOOKUP(AA232,Key!$C$20:$D$29,2,FALSE)</f>
        <v>Professional</v>
      </c>
      <c r="AC232" s="33">
        <v>4</v>
      </c>
      <c r="AD232" s="35" t="str">
        <f>VLOOKUP(AC232,Key!$E$20:$F$24,2,FALSE)</f>
        <v>750,000-1,000,000</v>
      </c>
      <c r="AE232" s="33">
        <v>5</v>
      </c>
      <c r="AF232" s="39">
        <v>1</v>
      </c>
      <c r="AG232" s="39">
        <v>2</v>
      </c>
      <c r="AH232" s="39">
        <v>2</v>
      </c>
      <c r="AI232" s="39">
        <v>1</v>
      </c>
      <c r="AJ232" s="40" t="s">
        <v>100</v>
      </c>
      <c r="AK232" s="41">
        <v>1000</v>
      </c>
      <c r="AL232" s="25"/>
      <c r="AM232" s="25"/>
    </row>
    <row r="233" spans="2:39" x14ac:dyDescent="0.2">
      <c r="B233" s="52">
        <v>43765</v>
      </c>
      <c r="C233" s="36">
        <v>0.70138888888888884</v>
      </c>
      <c r="D233" s="36"/>
      <c r="E233" s="36" t="s">
        <v>163</v>
      </c>
      <c r="F233" s="38">
        <v>2</v>
      </c>
      <c r="G233" s="43" t="str">
        <f>VLOOKUP(F233,Key!$A$17:$B$21,2,FALSE)</f>
        <v>Road Vehicle</v>
      </c>
      <c r="H233" s="37">
        <v>2</v>
      </c>
      <c r="I233" s="44" t="str">
        <f>VLOOKUP(H233,Key!$A$2:$B$13,2,FALSE)</f>
        <v>Station Wagon</v>
      </c>
      <c r="J233" s="38" t="s">
        <v>168</v>
      </c>
      <c r="K233" s="38">
        <v>3</v>
      </c>
      <c r="L233" s="46" t="str">
        <f>VLOOKUP(K233,Key!$A$24:$B$29,2,FALSE)</f>
        <v>40-49</v>
      </c>
      <c r="M233" s="38" t="s">
        <v>164</v>
      </c>
      <c r="N233" s="33" t="s">
        <v>165</v>
      </c>
      <c r="O233" s="38" t="s">
        <v>166</v>
      </c>
      <c r="P233" s="40">
        <v>1</v>
      </c>
      <c r="Q233" s="35" t="str">
        <f>VLOOKUP(P233,Key!$E$2:$F$9,2,FALSE)</f>
        <v>Home</v>
      </c>
      <c r="R233" s="38" t="s">
        <v>170</v>
      </c>
      <c r="S233" s="33" t="s">
        <v>171</v>
      </c>
      <c r="T233" s="38" t="s">
        <v>166</v>
      </c>
      <c r="U233" s="33">
        <v>2</v>
      </c>
      <c r="V233" s="35" t="str">
        <f>VLOOKUP(U233,Key!$E$2:$F$9,2,FALSE)</f>
        <v>Work</v>
      </c>
      <c r="W233" s="35" t="str">
        <f t="shared" si="3"/>
        <v>Home-Work</v>
      </c>
      <c r="X233" s="33">
        <v>8000</v>
      </c>
      <c r="Y233" s="39">
        <v>39</v>
      </c>
      <c r="Z233" s="39">
        <v>1.5</v>
      </c>
      <c r="AA233" s="33">
        <v>6</v>
      </c>
      <c r="AB233" s="35" t="str">
        <f>VLOOKUP(AA233,Key!$C$20:$D$29,2,FALSE)</f>
        <v>Businessman</v>
      </c>
      <c r="AC233" s="33">
        <v>1</v>
      </c>
      <c r="AD233" s="35" t="str">
        <f>VLOOKUP(AC233,Key!$E$20:$F$24,2,FALSE)</f>
        <v>&lt;300,000</v>
      </c>
      <c r="AE233" s="33">
        <v>2</v>
      </c>
      <c r="AF233" s="39">
        <v>1</v>
      </c>
      <c r="AG233" s="39">
        <v>2</v>
      </c>
      <c r="AH233" s="39">
        <v>1</v>
      </c>
      <c r="AI233" s="39">
        <v>2</v>
      </c>
      <c r="AJ233" s="40" t="s">
        <v>100</v>
      </c>
      <c r="AK233" s="41">
        <v>1000</v>
      </c>
      <c r="AL233" s="25"/>
      <c r="AM233" s="25"/>
    </row>
    <row r="234" spans="2:39" x14ac:dyDescent="0.2">
      <c r="B234" s="52">
        <v>43765</v>
      </c>
      <c r="C234" s="36">
        <v>0.73263888888888884</v>
      </c>
      <c r="D234" s="36"/>
      <c r="E234" s="36" t="s">
        <v>105</v>
      </c>
      <c r="F234" s="38">
        <v>2</v>
      </c>
      <c r="G234" s="43" t="str">
        <f>VLOOKUP(F234,Key!$A$17:$B$21,2,FALSE)</f>
        <v>Road Vehicle</v>
      </c>
      <c r="H234" s="37">
        <v>2</v>
      </c>
      <c r="I234" s="44" t="str">
        <f>VLOOKUP(H234,Key!$A$2:$B$13,2,FALSE)</f>
        <v>Station Wagon</v>
      </c>
      <c r="J234" s="38" t="s">
        <v>168</v>
      </c>
      <c r="K234" s="38">
        <v>3</v>
      </c>
      <c r="L234" s="46" t="str">
        <f>VLOOKUP(K234,Key!$A$24:$B$29,2,FALSE)</f>
        <v>40-49</v>
      </c>
      <c r="M234" s="38" t="s">
        <v>202</v>
      </c>
      <c r="N234" s="33" t="s">
        <v>171</v>
      </c>
      <c r="O234" s="38" t="s">
        <v>166</v>
      </c>
      <c r="P234" s="40">
        <v>2</v>
      </c>
      <c r="Q234" s="35" t="str">
        <f>VLOOKUP(P234,Key!$E$2:$F$9,2,FALSE)</f>
        <v>Work</v>
      </c>
      <c r="R234" s="38" t="s">
        <v>191</v>
      </c>
      <c r="S234" s="33" t="s">
        <v>165</v>
      </c>
      <c r="T234" s="38" t="s">
        <v>166</v>
      </c>
      <c r="U234" s="33">
        <v>1</v>
      </c>
      <c r="V234" s="35" t="str">
        <f>VLOOKUP(U234,Key!$E$2:$F$9,2,FALSE)</f>
        <v>Home</v>
      </c>
      <c r="W234" s="35" t="str">
        <f t="shared" si="3"/>
        <v>Work-Home</v>
      </c>
      <c r="X234" s="33">
        <v>50000</v>
      </c>
      <c r="Y234" s="39">
        <v>80</v>
      </c>
      <c r="Z234" s="39">
        <v>3</v>
      </c>
      <c r="AA234" s="33">
        <v>4</v>
      </c>
      <c r="AB234" s="35" t="str">
        <f>VLOOKUP(AA234,Key!$C$20:$D$29,2,FALSE)</f>
        <v>Office Worker</v>
      </c>
      <c r="AC234" s="33">
        <v>3</v>
      </c>
      <c r="AD234" s="35" t="str">
        <f>VLOOKUP(AC234,Key!$E$20:$F$24,2,FALSE)</f>
        <v>500,000-750,000</v>
      </c>
      <c r="AE234" s="33">
        <v>2</v>
      </c>
      <c r="AF234" s="39">
        <v>1</v>
      </c>
      <c r="AG234" s="39">
        <v>2</v>
      </c>
      <c r="AH234" s="39">
        <v>1</v>
      </c>
      <c r="AI234" s="39">
        <v>2</v>
      </c>
      <c r="AJ234" s="40" t="s">
        <v>100</v>
      </c>
      <c r="AK234" s="41">
        <v>1000</v>
      </c>
      <c r="AL234" s="25"/>
      <c r="AM234" s="25"/>
    </row>
    <row r="235" spans="2:39" x14ac:dyDescent="0.2">
      <c r="B235" s="52">
        <v>43765</v>
      </c>
      <c r="C235" s="36">
        <v>0.70833333333333337</v>
      </c>
      <c r="D235" s="36"/>
      <c r="E235" s="36" t="s">
        <v>105</v>
      </c>
      <c r="F235" s="38">
        <v>2</v>
      </c>
      <c r="G235" s="43" t="str">
        <f>VLOOKUP(F235,Key!$A$17:$B$21,2,FALSE)</f>
        <v>Road Vehicle</v>
      </c>
      <c r="H235" s="37">
        <v>2</v>
      </c>
      <c r="I235" s="44" t="str">
        <f>VLOOKUP(H235,Key!$A$2:$B$13,2,FALSE)</f>
        <v>Station Wagon</v>
      </c>
      <c r="J235" s="38" t="s">
        <v>117</v>
      </c>
      <c r="K235" s="38">
        <v>3</v>
      </c>
      <c r="L235" s="46" t="str">
        <f>VLOOKUP(K235,Key!$A$24:$B$29,2,FALSE)</f>
        <v>40-49</v>
      </c>
      <c r="M235" s="38" t="s">
        <v>201</v>
      </c>
      <c r="N235" s="33" t="s">
        <v>165</v>
      </c>
      <c r="O235" s="38" t="s">
        <v>166</v>
      </c>
      <c r="P235" s="40">
        <v>3</v>
      </c>
      <c r="Q235" s="35" t="str">
        <f>VLOOKUP(P235,Key!$E$2:$F$9,2,FALSE)</f>
        <v>Study</v>
      </c>
      <c r="R235" s="38" t="s">
        <v>191</v>
      </c>
      <c r="S235" s="33" t="s">
        <v>165</v>
      </c>
      <c r="T235" s="38" t="s">
        <v>166</v>
      </c>
      <c r="U235" s="33">
        <v>1</v>
      </c>
      <c r="V235" s="35" t="str">
        <f>VLOOKUP(U235,Key!$E$2:$F$9,2,FALSE)</f>
        <v>Home</v>
      </c>
      <c r="W235" s="35" t="str">
        <f t="shared" si="3"/>
        <v>Study-Home</v>
      </c>
      <c r="X235" s="33">
        <v>10000</v>
      </c>
      <c r="Y235" s="39">
        <v>8</v>
      </c>
      <c r="Z235" s="39">
        <v>0.1</v>
      </c>
      <c r="AA235" s="33">
        <v>6</v>
      </c>
      <c r="AB235" s="35" t="str">
        <f>VLOOKUP(AA235,Key!$C$20:$D$29,2,FALSE)</f>
        <v>Businessman</v>
      </c>
      <c r="AC235" s="33">
        <v>1</v>
      </c>
      <c r="AD235" s="35" t="str">
        <f>VLOOKUP(AC235,Key!$E$20:$F$24,2,FALSE)</f>
        <v>&lt;300,000</v>
      </c>
      <c r="AE235" s="33">
        <v>1</v>
      </c>
      <c r="AF235" s="39">
        <v>2</v>
      </c>
      <c r="AG235" s="39">
        <v>1</v>
      </c>
      <c r="AH235" s="39">
        <v>2</v>
      </c>
      <c r="AI235" s="39">
        <v>2</v>
      </c>
      <c r="AJ235" s="40" t="s">
        <v>100</v>
      </c>
      <c r="AK235" s="41">
        <v>1000</v>
      </c>
      <c r="AL235" s="25"/>
      <c r="AM235" s="25"/>
    </row>
    <row r="236" spans="2:39" x14ac:dyDescent="0.2">
      <c r="B236" s="52">
        <v>43765</v>
      </c>
      <c r="C236" s="36">
        <v>0.75</v>
      </c>
      <c r="D236" s="36"/>
      <c r="E236" s="36" t="s">
        <v>105</v>
      </c>
      <c r="F236" s="38">
        <v>2</v>
      </c>
      <c r="G236" s="43" t="str">
        <f>VLOOKUP(F236,Key!$A$17:$B$21,2,FALSE)</f>
        <v>Road Vehicle</v>
      </c>
      <c r="H236" s="37">
        <v>2</v>
      </c>
      <c r="I236" s="44" t="str">
        <f>VLOOKUP(H236,Key!$A$2:$B$13,2,FALSE)</f>
        <v>Station Wagon</v>
      </c>
      <c r="J236" s="38" t="s">
        <v>117</v>
      </c>
      <c r="K236" s="38">
        <v>3</v>
      </c>
      <c r="L236" s="46" t="str">
        <f>VLOOKUP(K236,Key!$A$24:$B$29,2,FALSE)</f>
        <v>40-49</v>
      </c>
      <c r="M236" s="38" t="s">
        <v>182</v>
      </c>
      <c r="N236" s="33" t="s">
        <v>165</v>
      </c>
      <c r="O236" s="38" t="s">
        <v>166</v>
      </c>
      <c r="P236" s="40">
        <v>6</v>
      </c>
      <c r="Q236" s="35" t="str">
        <f>VLOOKUP(P236,Key!$E$2:$F$9,2,FALSE)</f>
        <v>Leisure/Social</v>
      </c>
      <c r="R236" s="38" t="s">
        <v>204</v>
      </c>
      <c r="S236" s="33" t="s">
        <v>171</v>
      </c>
      <c r="T236" s="38" t="s">
        <v>166</v>
      </c>
      <c r="U236" s="33">
        <v>1</v>
      </c>
      <c r="V236" s="35" t="str">
        <f>VLOOKUP(U236,Key!$E$2:$F$9,2,FALSE)</f>
        <v>Home</v>
      </c>
      <c r="W236" s="35" t="str">
        <f t="shared" si="3"/>
        <v>Leisure/Social-Home</v>
      </c>
      <c r="X236" s="33">
        <v>40000</v>
      </c>
      <c r="Y236" s="39">
        <v>30</v>
      </c>
      <c r="Z236" s="39">
        <v>1</v>
      </c>
      <c r="AA236" s="33">
        <v>6</v>
      </c>
      <c r="AB236" s="35" t="str">
        <f>VLOOKUP(AA236,Key!$C$20:$D$29,2,FALSE)</f>
        <v>Businessman</v>
      </c>
      <c r="AC236" s="33">
        <v>2</v>
      </c>
      <c r="AD236" s="35" t="str">
        <f>VLOOKUP(AC236,Key!$E$20:$F$24,2,FALSE)</f>
        <v>300,000-500,000</v>
      </c>
      <c r="AE236" s="33">
        <v>4</v>
      </c>
      <c r="AF236" s="39">
        <v>2</v>
      </c>
      <c r="AG236" s="39">
        <v>1</v>
      </c>
      <c r="AH236" s="39">
        <v>1</v>
      </c>
      <c r="AI236" s="39">
        <v>2</v>
      </c>
      <c r="AJ236" s="40">
        <v>2</v>
      </c>
      <c r="AK236" s="41">
        <v>1000</v>
      </c>
      <c r="AL236" s="25"/>
      <c r="AM236" s="25"/>
    </row>
    <row r="237" spans="2:39" x14ac:dyDescent="0.2">
      <c r="B237" s="52">
        <v>43765</v>
      </c>
      <c r="C237" s="36">
        <v>0.3215277777777778</v>
      </c>
      <c r="D237" s="36"/>
      <c r="E237" s="36" t="s">
        <v>105</v>
      </c>
      <c r="F237" s="38">
        <v>2</v>
      </c>
      <c r="G237" s="43" t="str">
        <f>VLOOKUP(F237,Key!$A$17:$B$21,2,FALSE)</f>
        <v>Road Vehicle</v>
      </c>
      <c r="H237" s="37">
        <v>1</v>
      </c>
      <c r="I237" s="44" t="str">
        <f>VLOOKUP(H237,Key!$A$2:$B$13,2,FALSE)</f>
        <v>Car</v>
      </c>
      <c r="J237" s="38" t="s">
        <v>117</v>
      </c>
      <c r="K237" s="38">
        <v>4</v>
      </c>
      <c r="L237" s="46" t="str">
        <f>VLOOKUP(K237,Key!$A$24:$B$29,2,FALSE)</f>
        <v>50-59</v>
      </c>
      <c r="M237" s="45" t="s">
        <v>167</v>
      </c>
      <c r="N237" s="33" t="s">
        <v>165</v>
      </c>
      <c r="O237" s="38" t="s">
        <v>166</v>
      </c>
      <c r="P237" s="40">
        <v>1</v>
      </c>
      <c r="Q237" s="35" t="str">
        <f>VLOOKUP(P237,Key!$E$2:$F$9,2,FALSE)</f>
        <v>Home</v>
      </c>
      <c r="R237" s="38" t="s">
        <v>169</v>
      </c>
      <c r="S237" s="33" t="s">
        <v>165</v>
      </c>
      <c r="T237" s="38" t="s">
        <v>166</v>
      </c>
      <c r="U237" s="33">
        <v>5</v>
      </c>
      <c r="V237" s="35" t="str">
        <f>VLOOKUP(U237,Key!$E$2:$F$9,2,FALSE)</f>
        <v>Tourism</v>
      </c>
      <c r="W237" s="35" t="str">
        <f t="shared" si="3"/>
        <v>Home-Tourism</v>
      </c>
      <c r="X237" s="48">
        <v>30000</v>
      </c>
      <c r="Y237" s="39">
        <v>30</v>
      </c>
      <c r="Z237" s="39">
        <v>0.6</v>
      </c>
      <c r="AA237" s="33">
        <v>6</v>
      </c>
      <c r="AB237" s="35" t="str">
        <f>VLOOKUP(AA237,Key!$C$20:$D$29,2,FALSE)</f>
        <v>Businessman</v>
      </c>
      <c r="AC237" s="33">
        <v>4</v>
      </c>
      <c r="AD237" s="35" t="str">
        <f>VLOOKUP(AC237,Key!$E$20:$F$24,2,FALSE)</f>
        <v>750,000-1,000,000</v>
      </c>
      <c r="AE237" s="33">
        <v>1</v>
      </c>
      <c r="AF237" s="39">
        <v>1</v>
      </c>
      <c r="AG237" s="39">
        <v>2</v>
      </c>
      <c r="AH237" s="39">
        <v>1</v>
      </c>
      <c r="AI237" s="39">
        <v>1</v>
      </c>
      <c r="AJ237" s="40" t="s">
        <v>100</v>
      </c>
      <c r="AK237" s="41">
        <v>1000</v>
      </c>
      <c r="AL237" s="25"/>
      <c r="AM237" s="25"/>
    </row>
    <row r="238" spans="2:39" x14ac:dyDescent="0.2">
      <c r="B238" s="52">
        <v>43765</v>
      </c>
      <c r="C238" s="36">
        <v>0.4458333333333333</v>
      </c>
      <c r="D238" s="36"/>
      <c r="E238" s="36" t="s">
        <v>105</v>
      </c>
      <c r="F238" s="38">
        <v>2</v>
      </c>
      <c r="G238" s="43" t="str">
        <f>VLOOKUP(F238,Key!$A$17:$B$21,2,FALSE)</f>
        <v>Road Vehicle</v>
      </c>
      <c r="H238" s="37">
        <v>9</v>
      </c>
      <c r="I238" s="44" t="str">
        <f>VLOOKUP(H238,Key!$A$2:$B$13,2,FALSE)</f>
        <v xml:space="preserve">Heavy truck </v>
      </c>
      <c r="J238" s="38" t="s">
        <v>117</v>
      </c>
      <c r="K238" s="38">
        <v>4</v>
      </c>
      <c r="L238" s="46" t="str">
        <f>VLOOKUP(K238,Key!$A$24:$B$29,2,FALSE)</f>
        <v>50-59</v>
      </c>
      <c r="M238" s="38" t="s">
        <v>232</v>
      </c>
      <c r="N238" s="33" t="s">
        <v>171</v>
      </c>
      <c r="O238" s="38" t="s">
        <v>166</v>
      </c>
      <c r="P238" s="40">
        <v>2</v>
      </c>
      <c r="Q238" s="35" t="str">
        <f>VLOOKUP(P238,Key!$E$2:$F$9,2,FALSE)</f>
        <v>Work</v>
      </c>
      <c r="R238" s="38" t="s">
        <v>191</v>
      </c>
      <c r="S238" s="33" t="s">
        <v>165</v>
      </c>
      <c r="T238" s="38" t="s">
        <v>166</v>
      </c>
      <c r="U238" s="33">
        <v>2</v>
      </c>
      <c r="V238" s="35" t="str">
        <f>VLOOKUP(U238,Key!$E$2:$F$9,2,FALSE)</f>
        <v>Work</v>
      </c>
      <c r="W238" s="35" t="str">
        <f t="shared" si="3"/>
        <v>Work-Work</v>
      </c>
      <c r="X238" s="33">
        <v>300000</v>
      </c>
      <c r="Y238" s="39">
        <v>45</v>
      </c>
      <c r="Z238" s="39">
        <v>1</v>
      </c>
      <c r="AA238" s="33">
        <v>5</v>
      </c>
      <c r="AB238" s="35" t="str">
        <f>VLOOKUP(AA238,Key!$C$20:$D$29,2,FALSE)</f>
        <v>Professional</v>
      </c>
      <c r="AC238" s="33">
        <v>4</v>
      </c>
      <c r="AD238" s="35" t="str">
        <f>VLOOKUP(AC238,Key!$E$20:$F$24,2,FALSE)</f>
        <v>750,000-1,000,000</v>
      </c>
      <c r="AE238" s="33">
        <v>1</v>
      </c>
      <c r="AF238" s="39">
        <v>5</v>
      </c>
      <c r="AG238" s="39">
        <v>1</v>
      </c>
      <c r="AH238" s="39">
        <v>1</v>
      </c>
      <c r="AI238" s="39">
        <v>1</v>
      </c>
      <c r="AJ238" s="40" t="s">
        <v>100</v>
      </c>
      <c r="AK238" s="41">
        <v>5000</v>
      </c>
      <c r="AL238" s="25"/>
      <c r="AM238" s="25"/>
    </row>
    <row r="239" spans="2:39" x14ac:dyDescent="0.2">
      <c r="B239" s="52">
        <v>43765</v>
      </c>
      <c r="C239" s="36">
        <v>0.6645833333333333</v>
      </c>
      <c r="D239" s="36"/>
      <c r="E239" s="36" t="s">
        <v>105</v>
      </c>
      <c r="F239" s="38">
        <v>2</v>
      </c>
      <c r="G239" s="43" t="str">
        <f>VLOOKUP(F239,Key!$A$17:$B$21,2,FALSE)</f>
        <v>Road Vehicle</v>
      </c>
      <c r="H239" s="37">
        <v>8</v>
      </c>
      <c r="I239" s="44" t="str">
        <f>VLOOKUP(H239,Key!$A$2:$B$13,2,FALSE)</f>
        <v xml:space="preserve">Medium Truck </v>
      </c>
      <c r="J239" s="38" t="s">
        <v>117</v>
      </c>
      <c r="K239" s="38">
        <v>4</v>
      </c>
      <c r="L239" s="46" t="str">
        <f>VLOOKUP(K239,Key!$A$24:$B$29,2,FALSE)</f>
        <v>50-59</v>
      </c>
      <c r="M239" s="38" t="s">
        <v>198</v>
      </c>
      <c r="N239" s="33" t="s">
        <v>176</v>
      </c>
      <c r="O239" s="38" t="s">
        <v>166</v>
      </c>
      <c r="P239" s="40">
        <v>2</v>
      </c>
      <c r="Q239" s="35" t="str">
        <f>VLOOKUP(P239,Key!$E$2:$F$9,2,FALSE)</f>
        <v>Work</v>
      </c>
      <c r="R239" s="38" t="s">
        <v>169</v>
      </c>
      <c r="S239" s="33" t="s">
        <v>165</v>
      </c>
      <c r="T239" s="38" t="s">
        <v>166</v>
      </c>
      <c r="U239" s="33">
        <v>2</v>
      </c>
      <c r="V239" s="35" t="str">
        <f>VLOOKUP(U239,Key!$E$2:$F$9,2,FALSE)</f>
        <v>Work</v>
      </c>
      <c r="W239" s="35" t="str">
        <f t="shared" si="3"/>
        <v>Work-Work</v>
      </c>
      <c r="X239" s="33">
        <v>180000</v>
      </c>
      <c r="Y239" s="39">
        <v>150</v>
      </c>
      <c r="Z239" s="39">
        <v>8</v>
      </c>
      <c r="AA239" s="33">
        <v>2</v>
      </c>
      <c r="AB239" s="35" t="str">
        <f>VLOOKUP(AA239,Key!$C$20:$D$29,2,FALSE)</f>
        <v>Manual Labour</v>
      </c>
      <c r="AC239" s="33">
        <v>4</v>
      </c>
      <c r="AD239" s="35" t="str">
        <f>VLOOKUP(AC239,Key!$E$20:$F$24,2,FALSE)</f>
        <v>750,000-1,000,000</v>
      </c>
      <c r="AE239" s="33">
        <v>5</v>
      </c>
      <c r="AF239" s="39">
        <v>2</v>
      </c>
      <c r="AG239" s="39">
        <v>1</v>
      </c>
      <c r="AH239" s="39">
        <v>1</v>
      </c>
      <c r="AI239" s="39">
        <v>2</v>
      </c>
      <c r="AJ239" s="40" t="s">
        <v>100</v>
      </c>
      <c r="AK239" s="41">
        <v>1000</v>
      </c>
      <c r="AL239" s="25"/>
      <c r="AM239" s="25"/>
    </row>
    <row r="240" spans="2:39" x14ac:dyDescent="0.2">
      <c r="B240" s="52">
        <v>43765</v>
      </c>
      <c r="C240" s="36">
        <v>0.61597222222222225</v>
      </c>
      <c r="D240" s="36"/>
      <c r="E240" s="36" t="s">
        <v>163</v>
      </c>
      <c r="F240" s="38">
        <v>2</v>
      </c>
      <c r="G240" s="43" t="str">
        <f>VLOOKUP(F240,Key!$A$17:$B$21,2,FALSE)</f>
        <v>Road Vehicle</v>
      </c>
      <c r="H240" s="37">
        <v>4</v>
      </c>
      <c r="I240" s="44" t="str">
        <f>VLOOKUP(H240,Key!$A$2:$B$13,2,FALSE)</f>
        <v>Minibus</v>
      </c>
      <c r="J240" s="38" t="s">
        <v>117</v>
      </c>
      <c r="K240" s="38">
        <v>4</v>
      </c>
      <c r="L240" s="46" t="str">
        <f>VLOOKUP(K240,Key!$A$24:$B$29,2,FALSE)</f>
        <v>50-59</v>
      </c>
      <c r="M240" s="38" t="s">
        <v>164</v>
      </c>
      <c r="N240" s="33" t="s">
        <v>165</v>
      </c>
      <c r="O240" s="38" t="s">
        <v>166</v>
      </c>
      <c r="P240" s="40">
        <v>1</v>
      </c>
      <c r="Q240" s="35" t="str">
        <f>VLOOKUP(P240,Key!$E$2:$F$9,2,FALSE)</f>
        <v>Home</v>
      </c>
      <c r="R240" s="38" t="s">
        <v>167</v>
      </c>
      <c r="S240" s="33" t="s">
        <v>165</v>
      </c>
      <c r="T240" s="38" t="s">
        <v>166</v>
      </c>
      <c r="U240" s="33">
        <v>2</v>
      </c>
      <c r="V240" s="35" t="str">
        <f>VLOOKUP(U240,Key!$E$2:$F$9,2,FALSE)</f>
        <v>Work</v>
      </c>
      <c r="W240" s="35" t="str">
        <f t="shared" si="3"/>
        <v>Home-Work</v>
      </c>
      <c r="X240" s="33">
        <v>2500</v>
      </c>
      <c r="Y240" s="39">
        <v>30</v>
      </c>
      <c r="Z240" s="39">
        <v>0.8</v>
      </c>
      <c r="AA240" s="33">
        <v>6</v>
      </c>
      <c r="AB240" s="35" t="str">
        <f>VLOOKUP(AA240,Key!$C$20:$D$29,2,FALSE)</f>
        <v>Businessman</v>
      </c>
      <c r="AC240" s="33">
        <v>2</v>
      </c>
      <c r="AD240" s="35" t="str">
        <f>VLOOKUP(AC240,Key!$E$20:$F$24,2,FALSE)</f>
        <v>300,000-500,000</v>
      </c>
      <c r="AE240" s="33">
        <v>1</v>
      </c>
      <c r="AF240" s="39">
        <v>2</v>
      </c>
      <c r="AG240" s="39">
        <v>2</v>
      </c>
      <c r="AH240" s="39">
        <v>1</v>
      </c>
      <c r="AI240" s="39">
        <v>2</v>
      </c>
      <c r="AJ240" s="40" t="s">
        <v>100</v>
      </c>
      <c r="AK240" s="41">
        <v>1000</v>
      </c>
      <c r="AL240" s="25"/>
      <c r="AM240" s="25"/>
    </row>
    <row r="241" spans="2:39" x14ac:dyDescent="0.2">
      <c r="B241" s="52">
        <v>43765</v>
      </c>
      <c r="C241" s="36">
        <v>0.60277777777777775</v>
      </c>
      <c r="D241" s="36"/>
      <c r="E241" s="36" t="s">
        <v>163</v>
      </c>
      <c r="F241" s="38">
        <v>2</v>
      </c>
      <c r="G241" s="43" t="str">
        <f>VLOOKUP(F241,Key!$A$17:$B$21,2,FALSE)</f>
        <v>Road Vehicle</v>
      </c>
      <c r="H241" s="37">
        <v>4</v>
      </c>
      <c r="I241" s="44" t="str">
        <f>VLOOKUP(H241,Key!$A$2:$B$13,2,FALSE)</f>
        <v>Minibus</v>
      </c>
      <c r="J241" s="38" t="s">
        <v>117</v>
      </c>
      <c r="K241" s="38">
        <v>4</v>
      </c>
      <c r="L241" s="46" t="str">
        <f>VLOOKUP(K241,Key!$A$24:$B$29,2,FALSE)</f>
        <v>50-59</v>
      </c>
      <c r="M241" s="38" t="s">
        <v>164</v>
      </c>
      <c r="N241" s="33" t="s">
        <v>165</v>
      </c>
      <c r="O241" s="38" t="s">
        <v>166</v>
      </c>
      <c r="P241" s="40">
        <v>8</v>
      </c>
      <c r="Q241" s="35" t="str">
        <f>VLOOKUP(P241,Key!$E$2:$F$9,2,FALSE)</f>
        <v>Others</v>
      </c>
      <c r="R241" s="38" t="s">
        <v>187</v>
      </c>
      <c r="S241" s="33" t="s">
        <v>171</v>
      </c>
      <c r="T241" s="38" t="s">
        <v>166</v>
      </c>
      <c r="U241" s="33">
        <v>1</v>
      </c>
      <c r="V241" s="35" t="str">
        <f>VLOOKUP(U241,Key!$E$2:$F$9,2,FALSE)</f>
        <v>Home</v>
      </c>
      <c r="W241" s="35" t="str">
        <f t="shared" si="3"/>
        <v>Others-Home</v>
      </c>
      <c r="X241" s="33">
        <v>5000</v>
      </c>
      <c r="Y241" s="39">
        <v>40</v>
      </c>
      <c r="Z241" s="39">
        <v>2</v>
      </c>
      <c r="AA241" s="33">
        <v>6</v>
      </c>
      <c r="AB241" s="35" t="str">
        <f>VLOOKUP(AA241,Key!$C$20:$D$29,2,FALSE)</f>
        <v>Businessman</v>
      </c>
      <c r="AC241" s="33">
        <v>3</v>
      </c>
      <c r="AD241" s="35" t="str">
        <f>VLOOKUP(AC241,Key!$E$20:$F$24,2,FALSE)</f>
        <v>500,000-750,000</v>
      </c>
      <c r="AE241" s="33">
        <v>2</v>
      </c>
      <c r="AF241" s="39">
        <v>5</v>
      </c>
      <c r="AG241" s="39">
        <v>3</v>
      </c>
      <c r="AH241" s="39">
        <v>1</v>
      </c>
      <c r="AI241" s="39">
        <v>4</v>
      </c>
      <c r="AJ241" s="40" t="s">
        <v>100</v>
      </c>
      <c r="AK241" s="41">
        <v>2000</v>
      </c>
      <c r="AL241" s="25"/>
      <c r="AM241" s="25"/>
    </row>
    <row r="242" spans="2:39" x14ac:dyDescent="0.2">
      <c r="B242" s="52">
        <v>43765</v>
      </c>
      <c r="C242" s="36">
        <v>0.45</v>
      </c>
      <c r="D242" s="36"/>
      <c r="E242" s="36" t="s">
        <v>163</v>
      </c>
      <c r="F242" s="38">
        <v>2</v>
      </c>
      <c r="G242" s="43" t="str">
        <f>VLOOKUP(F242,Key!$A$17:$B$21,2,FALSE)</f>
        <v>Road Vehicle</v>
      </c>
      <c r="H242" s="37">
        <v>4</v>
      </c>
      <c r="I242" s="44" t="str">
        <f>VLOOKUP(H242,Key!$A$2:$B$13,2,FALSE)</f>
        <v>Minibus</v>
      </c>
      <c r="J242" s="38" t="s">
        <v>117</v>
      </c>
      <c r="K242" s="38">
        <v>4</v>
      </c>
      <c r="L242" s="46" t="str">
        <f>VLOOKUP(K242,Key!$A$24:$B$29,2,FALSE)</f>
        <v>50-59</v>
      </c>
      <c r="M242" s="38" t="s">
        <v>274</v>
      </c>
      <c r="N242" s="33" t="s">
        <v>165</v>
      </c>
      <c r="O242" s="38" t="s">
        <v>166</v>
      </c>
      <c r="P242" s="40">
        <v>1</v>
      </c>
      <c r="Q242" s="35" t="str">
        <f>VLOOKUP(P242,Key!$E$2:$F$9,2,FALSE)</f>
        <v>Home</v>
      </c>
      <c r="R242" s="38" t="s">
        <v>199</v>
      </c>
      <c r="S242" s="33" t="s">
        <v>165</v>
      </c>
      <c r="T242" s="38" t="s">
        <v>166</v>
      </c>
      <c r="U242" s="33">
        <v>2</v>
      </c>
      <c r="V242" s="35" t="str">
        <f>VLOOKUP(U242,Key!$E$2:$F$9,2,FALSE)</f>
        <v>Work</v>
      </c>
      <c r="W242" s="35" t="str">
        <f t="shared" si="3"/>
        <v>Home-Work</v>
      </c>
      <c r="X242" s="33">
        <v>2000</v>
      </c>
      <c r="Y242" s="39">
        <v>20</v>
      </c>
      <c r="Z242" s="39">
        <v>0.1</v>
      </c>
      <c r="AA242" s="33">
        <v>5</v>
      </c>
      <c r="AB242" s="35" t="str">
        <f>VLOOKUP(AA242,Key!$C$20:$D$29,2,FALSE)</f>
        <v>Professional</v>
      </c>
      <c r="AC242" s="33">
        <v>3</v>
      </c>
      <c r="AD242" s="35" t="str">
        <f>VLOOKUP(AC242,Key!$E$20:$F$24,2,FALSE)</f>
        <v>500,000-750,000</v>
      </c>
      <c r="AE242" s="33">
        <v>1</v>
      </c>
      <c r="AF242" s="39">
        <v>1</v>
      </c>
      <c r="AG242" s="39">
        <v>1</v>
      </c>
      <c r="AH242" s="39">
        <v>1</v>
      </c>
      <c r="AI242" s="39">
        <v>1</v>
      </c>
      <c r="AJ242" s="40" t="s">
        <v>100</v>
      </c>
      <c r="AK242" s="41">
        <v>5000</v>
      </c>
      <c r="AL242" s="25"/>
      <c r="AM242" s="25"/>
    </row>
    <row r="243" spans="2:39" x14ac:dyDescent="0.2">
      <c r="B243" s="52">
        <v>43765</v>
      </c>
      <c r="C243" s="36">
        <v>0.33333333333333331</v>
      </c>
      <c r="D243" s="36"/>
      <c r="E243" s="36" t="s">
        <v>105</v>
      </c>
      <c r="F243" s="38">
        <v>2</v>
      </c>
      <c r="G243" s="43" t="str">
        <f>VLOOKUP(F243,Key!$A$17:$B$21,2,FALSE)</f>
        <v>Road Vehicle</v>
      </c>
      <c r="H243" s="37">
        <v>3</v>
      </c>
      <c r="I243" s="44" t="str">
        <f>VLOOKUP(H243,Key!$A$2:$B$13,2,FALSE)</f>
        <v>Pickups</v>
      </c>
      <c r="J243" s="38" t="s">
        <v>117</v>
      </c>
      <c r="K243" s="38">
        <v>4</v>
      </c>
      <c r="L243" s="46" t="str">
        <f>VLOOKUP(K243,Key!$A$24:$B$29,2,FALSE)</f>
        <v>50-59</v>
      </c>
      <c r="M243" s="45" t="s">
        <v>161</v>
      </c>
      <c r="N243" s="33" t="s">
        <v>165</v>
      </c>
      <c r="O243" s="38" t="s">
        <v>166</v>
      </c>
      <c r="P243" s="40">
        <v>1</v>
      </c>
      <c r="Q243" s="35" t="str">
        <f>VLOOKUP(P243,Key!$E$2:$F$9,2,FALSE)</f>
        <v>Home</v>
      </c>
      <c r="R243" s="38" t="s">
        <v>174</v>
      </c>
      <c r="S243" s="33" t="s">
        <v>171</v>
      </c>
      <c r="T243" s="38" t="s">
        <v>166</v>
      </c>
      <c r="U243" s="33">
        <v>2</v>
      </c>
      <c r="V243" s="35" t="str">
        <f>VLOOKUP(U243,Key!$E$2:$F$9,2,FALSE)</f>
        <v>Work</v>
      </c>
      <c r="W243" s="35" t="str">
        <f t="shared" si="3"/>
        <v>Home-Work</v>
      </c>
      <c r="X243" s="48">
        <v>40000</v>
      </c>
      <c r="Y243" s="39">
        <v>34</v>
      </c>
      <c r="Z243" s="39">
        <v>0.5</v>
      </c>
      <c r="AA243" s="33">
        <v>4</v>
      </c>
      <c r="AB243" s="35" t="str">
        <f>VLOOKUP(AA243,Key!$C$20:$D$29,2,FALSE)</f>
        <v>Office Worker</v>
      </c>
      <c r="AC243" s="33">
        <v>4</v>
      </c>
      <c r="AD243" s="35" t="str">
        <f>VLOOKUP(AC243,Key!$E$20:$F$24,2,FALSE)</f>
        <v>750,000-1,000,000</v>
      </c>
      <c r="AE243" s="33">
        <v>2</v>
      </c>
      <c r="AF243" s="39">
        <v>1</v>
      </c>
      <c r="AG243" s="39">
        <v>2</v>
      </c>
      <c r="AH243" s="39">
        <v>2</v>
      </c>
      <c r="AI243" s="39">
        <v>1</v>
      </c>
      <c r="AJ243" s="40" t="s">
        <v>100</v>
      </c>
      <c r="AK243" s="41">
        <v>1000</v>
      </c>
      <c r="AL243" s="25"/>
      <c r="AM243" s="25"/>
    </row>
    <row r="244" spans="2:39" x14ac:dyDescent="0.2">
      <c r="B244" s="52">
        <v>43765</v>
      </c>
      <c r="C244" s="36">
        <v>0.39999999999999997</v>
      </c>
      <c r="D244" s="36"/>
      <c r="E244" s="36" t="s">
        <v>105</v>
      </c>
      <c r="F244" s="38">
        <v>2</v>
      </c>
      <c r="G244" s="43" t="str">
        <f>VLOOKUP(F244,Key!$A$17:$B$21,2,FALSE)</f>
        <v>Road Vehicle</v>
      </c>
      <c r="H244" s="37">
        <v>3</v>
      </c>
      <c r="I244" s="44" t="str">
        <f>VLOOKUP(H244,Key!$A$2:$B$13,2,FALSE)</f>
        <v>Pickups</v>
      </c>
      <c r="J244" s="38" t="s">
        <v>117</v>
      </c>
      <c r="K244" s="38">
        <v>4</v>
      </c>
      <c r="L244" s="46" t="str">
        <f>VLOOKUP(K244,Key!$A$24:$B$29,2,FALSE)</f>
        <v>50-59</v>
      </c>
      <c r="M244" s="45" t="s">
        <v>161</v>
      </c>
      <c r="N244" s="33" t="s">
        <v>165</v>
      </c>
      <c r="O244" s="38" t="s">
        <v>166</v>
      </c>
      <c r="P244" s="40">
        <v>1</v>
      </c>
      <c r="Q244" s="35" t="str">
        <f>VLOOKUP(P244,Key!$E$2:$F$9,2,FALSE)</f>
        <v>Home</v>
      </c>
      <c r="R244" s="38" t="s">
        <v>180</v>
      </c>
      <c r="S244" s="33" t="s">
        <v>165</v>
      </c>
      <c r="T244" s="38" t="s">
        <v>166</v>
      </c>
      <c r="U244" s="33">
        <v>6</v>
      </c>
      <c r="V244" s="35" t="str">
        <f>VLOOKUP(U244,Key!$E$2:$F$9,2,FALSE)</f>
        <v>Leisure/Social</v>
      </c>
      <c r="W244" s="35" t="str">
        <f t="shared" si="3"/>
        <v>Home-Leisure/Social</v>
      </c>
      <c r="X244" s="48">
        <v>35000</v>
      </c>
      <c r="Y244" s="39">
        <v>32</v>
      </c>
      <c r="Z244" s="39">
        <v>0.5</v>
      </c>
      <c r="AA244" s="33">
        <v>6</v>
      </c>
      <c r="AB244" s="35" t="str">
        <f>VLOOKUP(AA244,Key!$C$20:$D$29,2,FALSE)</f>
        <v>Businessman</v>
      </c>
      <c r="AC244" s="33">
        <v>4</v>
      </c>
      <c r="AD244" s="35" t="str">
        <f>VLOOKUP(AC244,Key!$E$20:$F$24,2,FALSE)</f>
        <v>750,000-1,000,000</v>
      </c>
      <c r="AE244" s="33">
        <v>2</v>
      </c>
      <c r="AF244" s="39">
        <v>1</v>
      </c>
      <c r="AG244" s="39">
        <v>1</v>
      </c>
      <c r="AH244" s="39">
        <v>2</v>
      </c>
      <c r="AI244" s="39">
        <v>1</v>
      </c>
      <c r="AJ244" s="40" t="s">
        <v>100</v>
      </c>
      <c r="AK244" s="41">
        <v>500</v>
      </c>
      <c r="AL244" s="25"/>
      <c r="AM244" s="25"/>
    </row>
    <row r="245" spans="2:39" x14ac:dyDescent="0.2">
      <c r="B245" s="52">
        <v>43765</v>
      </c>
      <c r="C245" s="36">
        <v>0.73958333333333337</v>
      </c>
      <c r="D245" s="36"/>
      <c r="E245" s="36" t="s">
        <v>105</v>
      </c>
      <c r="F245" s="38">
        <v>2</v>
      </c>
      <c r="G245" s="43" t="str">
        <f>VLOOKUP(F245,Key!$A$17:$B$21,2,FALSE)</f>
        <v>Road Vehicle</v>
      </c>
      <c r="H245" s="37">
        <v>2</v>
      </c>
      <c r="I245" s="44" t="str">
        <f>VLOOKUP(H245,Key!$A$2:$B$13,2,FALSE)</f>
        <v>Station Wagon</v>
      </c>
      <c r="J245" s="38" t="s">
        <v>117</v>
      </c>
      <c r="K245" s="38">
        <v>4</v>
      </c>
      <c r="L245" s="46" t="str">
        <f>VLOOKUP(K245,Key!$A$24:$B$29,2,FALSE)</f>
        <v>50-59</v>
      </c>
      <c r="M245" s="38" t="s">
        <v>192</v>
      </c>
      <c r="N245" s="33" t="s">
        <v>165</v>
      </c>
      <c r="O245" s="38" t="s">
        <v>166</v>
      </c>
      <c r="P245" s="40">
        <v>2</v>
      </c>
      <c r="Q245" s="35" t="str">
        <f>VLOOKUP(P245,Key!$E$2:$F$9,2,FALSE)</f>
        <v>Work</v>
      </c>
      <c r="R245" s="38" t="s">
        <v>203</v>
      </c>
      <c r="S245" s="33" t="s">
        <v>165</v>
      </c>
      <c r="T245" s="38" t="s">
        <v>166</v>
      </c>
      <c r="U245" s="33">
        <v>1</v>
      </c>
      <c r="V245" s="35" t="str">
        <f>VLOOKUP(U245,Key!$E$2:$F$9,2,FALSE)</f>
        <v>Home</v>
      </c>
      <c r="W245" s="35" t="str">
        <f t="shared" si="3"/>
        <v>Work-Home</v>
      </c>
      <c r="X245" s="33">
        <v>20000</v>
      </c>
      <c r="Y245" s="39">
        <v>25</v>
      </c>
      <c r="Z245" s="39">
        <v>0.3</v>
      </c>
      <c r="AA245" s="33">
        <v>4</v>
      </c>
      <c r="AB245" s="35" t="str">
        <f>VLOOKUP(AA245,Key!$C$20:$D$29,2,FALSE)</f>
        <v>Office Worker</v>
      </c>
      <c r="AC245" s="33">
        <v>3</v>
      </c>
      <c r="AD245" s="35" t="str">
        <f>VLOOKUP(AC245,Key!$E$20:$F$24,2,FALSE)</f>
        <v>500,000-750,000</v>
      </c>
      <c r="AE245" s="33">
        <v>2</v>
      </c>
      <c r="AF245" s="39">
        <v>1</v>
      </c>
      <c r="AG245" s="39">
        <v>2</v>
      </c>
      <c r="AH245" s="39">
        <v>1</v>
      </c>
      <c r="AI245" s="39">
        <v>2</v>
      </c>
      <c r="AJ245" s="40" t="s">
        <v>100</v>
      </c>
      <c r="AK245" s="41">
        <v>1000</v>
      </c>
      <c r="AL245" s="25"/>
      <c r="AM245" s="25"/>
    </row>
    <row r="246" spans="2:39" x14ac:dyDescent="0.2">
      <c r="B246" s="52">
        <v>43765</v>
      </c>
      <c r="C246" s="36">
        <v>0.54861111111111105</v>
      </c>
      <c r="D246" s="36"/>
      <c r="E246" s="36" t="s">
        <v>105</v>
      </c>
      <c r="F246" s="38">
        <v>2</v>
      </c>
      <c r="G246" s="43" t="str">
        <f>VLOOKUP(F246,Key!$A$17:$B$21,2,FALSE)</f>
        <v>Road Vehicle</v>
      </c>
      <c r="H246" s="37">
        <v>2</v>
      </c>
      <c r="I246" s="44" t="str">
        <f>VLOOKUP(H246,Key!$A$2:$B$13,2,FALSE)</f>
        <v>Station Wagon</v>
      </c>
      <c r="J246" s="38" t="s">
        <v>117</v>
      </c>
      <c r="K246" s="38">
        <v>4</v>
      </c>
      <c r="L246" s="46" t="str">
        <f>VLOOKUP(K246,Key!$A$24:$B$29,2,FALSE)</f>
        <v>50-59</v>
      </c>
      <c r="M246" s="38" t="s">
        <v>215</v>
      </c>
      <c r="N246" s="33" t="s">
        <v>165</v>
      </c>
      <c r="O246" s="38" t="s">
        <v>166</v>
      </c>
      <c r="P246" s="40">
        <v>8</v>
      </c>
      <c r="Q246" s="35" t="str">
        <f>VLOOKUP(P246,Key!$E$2:$F$9,2,FALSE)</f>
        <v>Others</v>
      </c>
      <c r="R246" s="38" t="s">
        <v>169</v>
      </c>
      <c r="S246" s="33" t="s">
        <v>165</v>
      </c>
      <c r="T246" s="38" t="s">
        <v>166</v>
      </c>
      <c r="U246" s="33">
        <v>2</v>
      </c>
      <c r="V246" s="35" t="str">
        <f>VLOOKUP(U246,Key!$E$2:$F$9,2,FALSE)</f>
        <v>Work</v>
      </c>
      <c r="W246" s="35" t="str">
        <f t="shared" si="3"/>
        <v>Others-Work</v>
      </c>
      <c r="X246" s="33">
        <v>5000</v>
      </c>
      <c r="Y246" s="39">
        <v>2</v>
      </c>
      <c r="Z246" s="39">
        <v>0.1</v>
      </c>
      <c r="AA246" s="33">
        <v>4</v>
      </c>
      <c r="AB246" s="35" t="str">
        <f>VLOOKUP(AA246,Key!$C$20:$D$29,2,FALSE)</f>
        <v>Office Worker</v>
      </c>
      <c r="AC246" s="33">
        <v>2</v>
      </c>
      <c r="AD246" s="35" t="str">
        <f>VLOOKUP(AC246,Key!$E$20:$F$24,2,FALSE)</f>
        <v>300,000-500,000</v>
      </c>
      <c r="AE246" s="33">
        <v>1</v>
      </c>
      <c r="AF246" s="39">
        <v>1</v>
      </c>
      <c r="AG246" s="39">
        <v>1</v>
      </c>
      <c r="AH246" s="39">
        <v>1</v>
      </c>
      <c r="AI246" s="39">
        <v>1</v>
      </c>
      <c r="AJ246" s="40" t="s">
        <v>100</v>
      </c>
      <c r="AK246" s="41">
        <v>1500</v>
      </c>
      <c r="AL246" s="25"/>
      <c r="AM246" s="25"/>
    </row>
    <row r="247" spans="2:39" x14ac:dyDescent="0.2">
      <c r="B247" s="52">
        <v>43765</v>
      </c>
      <c r="C247" s="36">
        <v>0.70763888888888893</v>
      </c>
      <c r="D247" s="36"/>
      <c r="E247" s="36" t="s">
        <v>105</v>
      </c>
      <c r="F247" s="38">
        <v>2</v>
      </c>
      <c r="G247" s="43" t="str">
        <f>VLOOKUP(F247,Key!$A$17:$B$21,2,FALSE)</f>
        <v>Road Vehicle</v>
      </c>
      <c r="H247" s="37">
        <v>10</v>
      </c>
      <c r="I247" s="44" t="str">
        <f>VLOOKUP(H247,Key!$A$2:$B$13,2,FALSE)</f>
        <v xml:space="preserve">Truck Trailer </v>
      </c>
      <c r="J247" s="38" t="s">
        <v>117</v>
      </c>
      <c r="K247" s="38">
        <v>4</v>
      </c>
      <c r="L247" s="46" t="str">
        <f>VLOOKUP(K247,Key!$A$24:$B$29,2,FALSE)</f>
        <v>50-59</v>
      </c>
      <c r="M247" s="38" t="s">
        <v>169</v>
      </c>
      <c r="N247" s="33" t="s">
        <v>165</v>
      </c>
      <c r="O247" s="38" t="s">
        <v>166</v>
      </c>
      <c r="P247" s="40">
        <v>2</v>
      </c>
      <c r="Q247" s="35" t="str">
        <f>VLOOKUP(P247,Key!$E$2:$F$9,2,FALSE)</f>
        <v>Work</v>
      </c>
      <c r="R247" s="38" t="s">
        <v>172</v>
      </c>
      <c r="S247" s="33" t="s">
        <v>171</v>
      </c>
      <c r="T247" s="38" t="s">
        <v>166</v>
      </c>
      <c r="U247" s="33">
        <v>2</v>
      </c>
      <c r="V247" s="35" t="str">
        <f>VLOOKUP(U247,Key!$E$2:$F$9,2,FALSE)</f>
        <v>Work</v>
      </c>
      <c r="W247" s="35" t="str">
        <f t="shared" si="3"/>
        <v>Work-Work</v>
      </c>
      <c r="X247" s="33">
        <v>100000</v>
      </c>
      <c r="Y247" s="39">
        <v>100</v>
      </c>
      <c r="Z247" s="39">
        <v>10</v>
      </c>
      <c r="AA247" s="33">
        <v>2</v>
      </c>
      <c r="AB247" s="35" t="str">
        <f>VLOOKUP(AA247,Key!$C$20:$D$29,2,FALSE)</f>
        <v>Manual Labour</v>
      </c>
      <c r="AC247" s="33">
        <v>5</v>
      </c>
      <c r="AD247" s="35" t="str">
        <f>VLOOKUP(AC247,Key!$E$20:$F$24,2,FALSE)</f>
        <v>&gt;1,000,000</v>
      </c>
      <c r="AE247" s="33">
        <v>5</v>
      </c>
      <c r="AF247" s="39">
        <v>2</v>
      </c>
      <c r="AG247" s="39">
        <v>1</v>
      </c>
      <c r="AH247" s="39">
        <v>2</v>
      </c>
      <c r="AI247" s="39">
        <v>1</v>
      </c>
      <c r="AJ247" s="40" t="s">
        <v>100</v>
      </c>
      <c r="AK247" s="41">
        <v>1000</v>
      </c>
      <c r="AL247" s="25"/>
      <c r="AM247" s="25"/>
    </row>
    <row r="248" spans="2:39" x14ac:dyDescent="0.2">
      <c r="B248" s="52">
        <v>43765</v>
      </c>
      <c r="C248" s="36">
        <v>0.63541666666666663</v>
      </c>
      <c r="D248" s="36"/>
      <c r="E248" s="36" t="s">
        <v>163</v>
      </c>
      <c r="F248" s="38">
        <v>2</v>
      </c>
      <c r="G248" s="43" t="str">
        <f>VLOOKUP(F248,Key!$A$17:$B$21,2,FALSE)</f>
        <v>Road Vehicle</v>
      </c>
      <c r="H248" s="37">
        <v>4</v>
      </c>
      <c r="I248" s="44" t="str">
        <f>VLOOKUP(H248,Key!$A$2:$B$13,2,FALSE)</f>
        <v>Minibus</v>
      </c>
      <c r="J248" s="38" t="s">
        <v>117</v>
      </c>
      <c r="K248" s="38">
        <v>5</v>
      </c>
      <c r="L248" s="46" t="str">
        <f>VLOOKUP(K248,Key!$A$24:$B$29,2,FALSE)</f>
        <v>60-69</v>
      </c>
      <c r="M248" s="38" t="s">
        <v>170</v>
      </c>
      <c r="N248" s="33" t="s">
        <v>171</v>
      </c>
      <c r="O248" s="38" t="s">
        <v>166</v>
      </c>
      <c r="P248" s="40">
        <v>2</v>
      </c>
      <c r="Q248" s="35" t="str">
        <f>VLOOKUP(P248,Key!$E$2:$F$9,2,FALSE)</f>
        <v>Work</v>
      </c>
      <c r="R248" s="38" t="s">
        <v>191</v>
      </c>
      <c r="S248" s="33" t="s">
        <v>165</v>
      </c>
      <c r="T248" s="38" t="s">
        <v>166</v>
      </c>
      <c r="U248" s="33">
        <v>1</v>
      </c>
      <c r="V248" s="35" t="str">
        <f>VLOOKUP(U248,Key!$E$2:$F$9,2,FALSE)</f>
        <v>Home</v>
      </c>
      <c r="W248" s="35" t="str">
        <f t="shared" si="3"/>
        <v>Work-Home</v>
      </c>
      <c r="X248" s="33">
        <v>3000</v>
      </c>
      <c r="Y248" s="39">
        <v>36</v>
      </c>
      <c r="Z248" s="39">
        <v>2</v>
      </c>
      <c r="AA248" s="33">
        <v>6</v>
      </c>
      <c r="AB248" s="35" t="str">
        <f>VLOOKUP(AA248,Key!$C$20:$D$29,2,FALSE)</f>
        <v>Businessman</v>
      </c>
      <c r="AC248" s="33">
        <v>4</v>
      </c>
      <c r="AD248" s="35" t="str">
        <f>VLOOKUP(AC248,Key!$E$20:$F$24,2,FALSE)</f>
        <v>750,000-1,000,000</v>
      </c>
      <c r="AE248" s="33">
        <v>5</v>
      </c>
      <c r="AF248" s="39">
        <v>2</v>
      </c>
      <c r="AG248" s="39">
        <v>1</v>
      </c>
      <c r="AH248" s="39">
        <v>1</v>
      </c>
      <c r="AI248" s="39">
        <v>2</v>
      </c>
      <c r="AJ248" s="40" t="s">
        <v>100</v>
      </c>
      <c r="AK248" s="41">
        <v>5000</v>
      </c>
      <c r="AL248" s="25"/>
      <c r="AM248" s="25"/>
    </row>
    <row r="251" spans="2:39" x14ac:dyDescent="0.2">
      <c r="I251" t="s">
        <v>286</v>
      </c>
      <c r="J251" t="s">
        <v>287</v>
      </c>
      <c r="K251" t="s">
        <v>288</v>
      </c>
    </row>
    <row r="252" spans="2:39" x14ac:dyDescent="0.2">
      <c r="I252" t="s">
        <v>289</v>
      </c>
      <c r="J252">
        <v>74</v>
      </c>
      <c r="K252" s="53">
        <f>J252/$J$254</f>
        <v>0.30705394190871371</v>
      </c>
    </row>
    <row r="253" spans="2:39" x14ac:dyDescent="0.2">
      <c r="I253" t="s">
        <v>290</v>
      </c>
      <c r="J253">
        <v>167</v>
      </c>
      <c r="K253" s="53">
        <f t="shared" ref="K253:K254" si="4">J253/$J$254</f>
        <v>0.69294605809128629</v>
      </c>
    </row>
    <row r="254" spans="2:39" x14ac:dyDescent="0.2">
      <c r="I254" t="s">
        <v>291</v>
      </c>
      <c r="J254">
        <f>SUM(J252:J253)</f>
        <v>241</v>
      </c>
      <c r="K254" s="53">
        <f t="shared" si="4"/>
        <v>1</v>
      </c>
    </row>
    <row r="258" spans="9:14" ht="15" x14ac:dyDescent="0.25">
      <c r="I258" s="54" t="s">
        <v>292</v>
      </c>
      <c r="J258" s="55" t="s">
        <v>290</v>
      </c>
      <c r="K258" s="55" t="s">
        <v>289</v>
      </c>
      <c r="L258" s="56" t="s">
        <v>293</v>
      </c>
      <c r="M258" s="78" t="s">
        <v>288</v>
      </c>
      <c r="N258" s="78"/>
    </row>
    <row r="259" spans="9:14" x14ac:dyDescent="0.2">
      <c r="I259" s="14"/>
      <c r="J259" s="14"/>
      <c r="K259" s="14"/>
      <c r="L259" s="14"/>
      <c r="M259" s="57" t="s">
        <v>290</v>
      </c>
      <c r="N259" s="57" t="s">
        <v>289</v>
      </c>
    </row>
    <row r="260" spans="9:14" x14ac:dyDescent="0.2">
      <c r="I260" s="25" t="s">
        <v>39</v>
      </c>
      <c r="J260" s="14">
        <v>34</v>
      </c>
      <c r="K260" s="14">
        <v>13</v>
      </c>
      <c r="L260" s="58">
        <f>SUM(J260:K260)</f>
        <v>47</v>
      </c>
      <c r="M260" s="59">
        <f>J260/L260</f>
        <v>0.72340425531914898</v>
      </c>
      <c r="N260" s="59">
        <f>K260/L260</f>
        <v>0.27659574468085107</v>
      </c>
    </row>
    <row r="261" spans="9:14" x14ac:dyDescent="0.2">
      <c r="I261" s="25" t="s">
        <v>40</v>
      </c>
      <c r="J261" s="14">
        <v>11</v>
      </c>
      <c r="K261" s="14">
        <v>10</v>
      </c>
      <c r="L261" s="58">
        <f t="shared" ref="L261:L272" si="5">SUM(J261:K261)</f>
        <v>21</v>
      </c>
      <c r="M261" s="59">
        <f t="shared" ref="M261:M269" si="6">J261/L261</f>
        <v>0.52380952380952384</v>
      </c>
      <c r="N261" s="59">
        <f t="shared" ref="N261:N262" si="7">K261/L261</f>
        <v>0.47619047619047616</v>
      </c>
    </row>
    <row r="262" spans="9:14" x14ac:dyDescent="0.2">
      <c r="I262" s="25" t="s">
        <v>41</v>
      </c>
      <c r="J262" s="14">
        <v>4</v>
      </c>
      <c r="K262" s="14">
        <v>2</v>
      </c>
      <c r="L262" s="58">
        <f t="shared" si="5"/>
        <v>6</v>
      </c>
      <c r="M262" s="59">
        <f t="shared" si="6"/>
        <v>0.66666666666666663</v>
      </c>
      <c r="N262" s="59">
        <f t="shared" si="7"/>
        <v>0.33333333333333331</v>
      </c>
    </row>
    <row r="263" spans="9:14" x14ac:dyDescent="0.2">
      <c r="I263" s="25" t="s">
        <v>115</v>
      </c>
      <c r="J263" s="14">
        <v>103</v>
      </c>
      <c r="K263" s="14">
        <v>48</v>
      </c>
      <c r="L263" s="58">
        <f t="shared" si="5"/>
        <v>151</v>
      </c>
      <c r="M263" s="59">
        <f t="shared" si="6"/>
        <v>0.68211920529801329</v>
      </c>
      <c r="N263" s="59">
        <f>K263/L263</f>
        <v>0.31788079470198677</v>
      </c>
    </row>
    <row r="264" spans="9:14" x14ac:dyDescent="0.2">
      <c r="I264" s="25" t="s">
        <v>42</v>
      </c>
      <c r="J264" s="14">
        <v>5</v>
      </c>
      <c r="K264" s="14">
        <v>0</v>
      </c>
      <c r="L264" s="58">
        <f t="shared" si="5"/>
        <v>5</v>
      </c>
      <c r="M264" s="59">
        <f t="shared" si="6"/>
        <v>1</v>
      </c>
      <c r="N264" s="59">
        <f t="shared" ref="N264:N269" si="8">K264/L264</f>
        <v>0</v>
      </c>
    </row>
    <row r="265" spans="9:14" x14ac:dyDescent="0.2">
      <c r="I265" s="25" t="s">
        <v>43</v>
      </c>
      <c r="J265" s="14">
        <v>3</v>
      </c>
      <c r="K265" s="14">
        <v>1</v>
      </c>
      <c r="L265" s="58">
        <f t="shared" si="5"/>
        <v>4</v>
      </c>
      <c r="M265" s="59">
        <f t="shared" si="6"/>
        <v>0.75</v>
      </c>
      <c r="N265" s="59">
        <f t="shared" si="8"/>
        <v>0.25</v>
      </c>
    </row>
    <row r="266" spans="9:14" x14ac:dyDescent="0.2">
      <c r="I266" s="25" t="s">
        <v>44</v>
      </c>
      <c r="J266" s="14">
        <v>3</v>
      </c>
      <c r="K266" s="14">
        <v>0</v>
      </c>
      <c r="L266" s="58">
        <f t="shared" si="5"/>
        <v>3</v>
      </c>
      <c r="M266" s="59">
        <f t="shared" si="6"/>
        <v>1</v>
      </c>
      <c r="N266" s="59">
        <f t="shared" si="8"/>
        <v>0</v>
      </c>
    </row>
    <row r="267" spans="9:14" x14ac:dyDescent="0.2">
      <c r="I267" s="25" t="s">
        <v>45</v>
      </c>
      <c r="J267" s="14">
        <v>2</v>
      </c>
      <c r="K267" s="14">
        <v>0</v>
      </c>
      <c r="L267" s="58">
        <f t="shared" si="5"/>
        <v>2</v>
      </c>
      <c r="M267" s="59">
        <f t="shared" si="6"/>
        <v>1</v>
      </c>
      <c r="N267" s="59">
        <f t="shared" si="8"/>
        <v>0</v>
      </c>
    </row>
    <row r="268" spans="9:14" x14ac:dyDescent="0.2">
      <c r="I268" s="25" t="s">
        <v>46</v>
      </c>
      <c r="J268" s="14">
        <v>3</v>
      </c>
      <c r="K268" s="14">
        <v>0</v>
      </c>
      <c r="L268" s="58">
        <f>SUM(J268:K268)</f>
        <v>3</v>
      </c>
      <c r="M268" s="59">
        <f t="shared" si="6"/>
        <v>1</v>
      </c>
      <c r="N268" s="59">
        <f t="shared" si="8"/>
        <v>0</v>
      </c>
    </row>
    <row r="269" spans="9:14" x14ac:dyDescent="0.2">
      <c r="I269" s="25" t="s">
        <v>47</v>
      </c>
      <c r="J269" s="14">
        <v>1</v>
      </c>
      <c r="K269" s="14">
        <v>0</v>
      </c>
      <c r="L269" s="58">
        <f t="shared" si="5"/>
        <v>1</v>
      </c>
      <c r="M269" s="59">
        <f t="shared" si="6"/>
        <v>1</v>
      </c>
      <c r="N269" s="59">
        <f t="shared" si="8"/>
        <v>0</v>
      </c>
    </row>
    <row r="270" spans="9:14" x14ac:dyDescent="0.2">
      <c r="I270" s="25" t="s">
        <v>49</v>
      </c>
      <c r="J270" s="14">
        <v>0</v>
      </c>
      <c r="K270" s="14">
        <v>0</v>
      </c>
      <c r="L270" s="58">
        <f t="shared" si="5"/>
        <v>0</v>
      </c>
      <c r="M270" s="59">
        <v>0</v>
      </c>
      <c r="N270" s="59">
        <v>0</v>
      </c>
    </row>
    <row r="271" spans="9:14" x14ac:dyDescent="0.2">
      <c r="I271" s="25" t="s">
        <v>48</v>
      </c>
      <c r="J271" s="14">
        <v>0</v>
      </c>
      <c r="K271" s="14">
        <v>0</v>
      </c>
      <c r="L271" s="58">
        <f t="shared" si="5"/>
        <v>0</v>
      </c>
      <c r="M271" s="59">
        <v>0</v>
      </c>
      <c r="N271" s="59">
        <v>0</v>
      </c>
    </row>
    <row r="272" spans="9:14" x14ac:dyDescent="0.2">
      <c r="I272" s="25" t="s">
        <v>294</v>
      </c>
      <c r="J272" s="14">
        <v>0</v>
      </c>
      <c r="K272" s="14">
        <v>0</v>
      </c>
      <c r="L272" s="58">
        <f t="shared" si="5"/>
        <v>0</v>
      </c>
      <c r="M272" s="59">
        <v>0</v>
      </c>
      <c r="N272" s="59">
        <v>0</v>
      </c>
    </row>
    <row r="275" spans="9:17" x14ac:dyDescent="0.2">
      <c r="I275" s="60" t="s">
        <v>295</v>
      </c>
      <c r="J275" s="61" t="s">
        <v>289</v>
      </c>
      <c r="K275" s="61" t="s">
        <v>290</v>
      </c>
      <c r="L275" s="61" t="s">
        <v>293</v>
      </c>
      <c r="N275" s="60" t="s">
        <v>295</v>
      </c>
      <c r="O275" s="61" t="s">
        <v>289</v>
      </c>
      <c r="P275" s="61" t="s">
        <v>290</v>
      </c>
      <c r="Q275" s="61" t="s">
        <v>293</v>
      </c>
    </row>
    <row r="276" spans="9:17" x14ac:dyDescent="0.2">
      <c r="I276" s="25" t="s">
        <v>120</v>
      </c>
      <c r="J276" s="14">
        <v>32</v>
      </c>
      <c r="K276" s="14">
        <v>50</v>
      </c>
      <c r="L276" s="14">
        <f>SUM(J276:K276)</f>
        <v>82</v>
      </c>
      <c r="N276" s="25" t="s">
        <v>120</v>
      </c>
      <c r="O276" s="62">
        <f>J276/$J$282</f>
        <v>0.43243243243243246</v>
      </c>
      <c r="P276" s="62">
        <f>K276/$K$282</f>
        <v>0.29940119760479039</v>
      </c>
      <c r="Q276" s="62">
        <f>L276/$L$282</f>
        <v>0.34024896265560167</v>
      </c>
    </row>
    <row r="277" spans="9:17" x14ac:dyDescent="0.2">
      <c r="I277" s="25" t="s">
        <v>121</v>
      </c>
      <c r="J277" s="14">
        <v>30</v>
      </c>
      <c r="K277" s="14">
        <v>78</v>
      </c>
      <c r="L277" s="14">
        <f t="shared" ref="L277" si="9">SUM(J277:K277)</f>
        <v>108</v>
      </c>
      <c r="N277" s="25" t="s">
        <v>121</v>
      </c>
      <c r="O277" s="62">
        <f t="shared" ref="O277:O282" si="10">J277/$J$282</f>
        <v>0.40540540540540543</v>
      </c>
      <c r="P277" s="62">
        <f t="shared" ref="P277:P282" si="11">K277/$K$282</f>
        <v>0.46706586826347307</v>
      </c>
      <c r="Q277" s="62">
        <f t="shared" ref="Q277:Q282" si="12">L277/$L$282</f>
        <v>0.44813278008298757</v>
      </c>
    </row>
    <row r="278" spans="9:17" x14ac:dyDescent="0.2">
      <c r="I278" s="25" t="s">
        <v>122</v>
      </c>
      <c r="J278" s="14">
        <v>12</v>
      </c>
      <c r="K278" s="14">
        <v>27</v>
      </c>
      <c r="L278" s="14">
        <f>SUM(J278:K278)</f>
        <v>39</v>
      </c>
      <c r="N278" s="25" t="s">
        <v>122</v>
      </c>
      <c r="O278" s="62">
        <f t="shared" si="10"/>
        <v>0.16216216216216217</v>
      </c>
      <c r="P278" s="62">
        <f t="shared" si="11"/>
        <v>0.16167664670658682</v>
      </c>
      <c r="Q278" s="62">
        <f t="shared" si="12"/>
        <v>0.16182572614107885</v>
      </c>
    </row>
    <row r="279" spans="9:17" x14ac:dyDescent="0.2">
      <c r="I279" s="25" t="s">
        <v>123</v>
      </c>
      <c r="J279" s="14">
        <v>0</v>
      </c>
      <c r="K279" s="14">
        <v>11</v>
      </c>
      <c r="L279" s="14">
        <f>SUM(J279:K279)</f>
        <v>11</v>
      </c>
      <c r="N279" s="25" t="s">
        <v>123</v>
      </c>
      <c r="O279" s="62">
        <f t="shared" si="10"/>
        <v>0</v>
      </c>
      <c r="P279" s="62">
        <f t="shared" si="11"/>
        <v>6.5868263473053898E-2</v>
      </c>
      <c r="Q279" s="62">
        <f t="shared" si="12"/>
        <v>4.5643153526970952E-2</v>
      </c>
    </row>
    <row r="280" spans="9:17" x14ac:dyDescent="0.2">
      <c r="I280" s="25" t="s">
        <v>124</v>
      </c>
      <c r="J280" s="14">
        <v>0</v>
      </c>
      <c r="K280" s="14">
        <v>1</v>
      </c>
      <c r="L280" s="14">
        <f t="shared" ref="L280:L281" si="13">SUM(J280:K280)</f>
        <v>1</v>
      </c>
      <c r="N280" s="25" t="s">
        <v>124</v>
      </c>
      <c r="O280" s="62">
        <f t="shared" si="10"/>
        <v>0</v>
      </c>
      <c r="P280" s="62">
        <f t="shared" si="11"/>
        <v>5.9880239520958087E-3</v>
      </c>
      <c r="Q280" s="62">
        <f>L280/$L$282</f>
        <v>4.1493775933609959E-3</v>
      </c>
    </row>
    <row r="281" spans="9:17" x14ac:dyDescent="0.2">
      <c r="I281" s="25" t="s">
        <v>125</v>
      </c>
      <c r="J281" s="14">
        <v>0</v>
      </c>
      <c r="K281" s="14">
        <v>0</v>
      </c>
      <c r="L281" s="14">
        <f t="shared" si="13"/>
        <v>0</v>
      </c>
      <c r="N281" s="25" t="s">
        <v>125</v>
      </c>
      <c r="O281" s="62">
        <f t="shared" si="10"/>
        <v>0</v>
      </c>
      <c r="P281" s="62">
        <f t="shared" si="11"/>
        <v>0</v>
      </c>
      <c r="Q281" s="62">
        <f t="shared" si="12"/>
        <v>0</v>
      </c>
    </row>
    <row r="282" spans="9:17" x14ac:dyDescent="0.2">
      <c r="I282" s="61" t="s">
        <v>293</v>
      </c>
      <c r="J282" s="14">
        <f>SUM(J276:J281)</f>
        <v>74</v>
      </c>
      <c r="K282" s="14">
        <f>SUM(K276:K281)</f>
        <v>167</v>
      </c>
      <c r="L282" s="14">
        <f>SUM(L276:L281)</f>
        <v>241</v>
      </c>
      <c r="N282" s="61" t="s">
        <v>293</v>
      </c>
      <c r="O282" s="62">
        <f t="shared" si="10"/>
        <v>1</v>
      </c>
      <c r="P282" s="62">
        <f t="shared" si="11"/>
        <v>1</v>
      </c>
      <c r="Q282" s="62">
        <f t="shared" si="12"/>
        <v>1</v>
      </c>
    </row>
  </sheetData>
  <sortState ref="A8:AT248">
    <sortCondition ref="L8:L248"/>
  </sortState>
  <mergeCells count="38">
    <mergeCell ref="X4:Y4"/>
    <mergeCell ref="E6:E7"/>
    <mergeCell ref="F6:F7"/>
    <mergeCell ref="G6:G7"/>
    <mergeCell ref="I6:I7"/>
    <mergeCell ref="K6:K7"/>
    <mergeCell ref="L6:L7"/>
    <mergeCell ref="J4:L4"/>
    <mergeCell ref="O4:P4"/>
    <mergeCell ref="X6:X7"/>
    <mergeCell ref="S4:T4"/>
    <mergeCell ref="Y6:Y7"/>
    <mergeCell ref="AC6:AC7"/>
    <mergeCell ref="AD6:AD7"/>
    <mergeCell ref="AE6:AI6"/>
    <mergeCell ref="M258:N258"/>
    <mergeCell ref="B6:B7"/>
    <mergeCell ref="C6:C7"/>
    <mergeCell ref="H6:H7"/>
    <mergeCell ref="P6:P7"/>
    <mergeCell ref="R6:T6"/>
    <mergeCell ref="U6:U7"/>
    <mergeCell ref="C1:AM1"/>
    <mergeCell ref="C2:AM2"/>
    <mergeCell ref="D6:D7"/>
    <mergeCell ref="AL6:AL7"/>
    <mergeCell ref="AM6:AM7"/>
    <mergeCell ref="AA6:AA7"/>
    <mergeCell ref="AJ6:AJ7"/>
    <mergeCell ref="AK6:AK7"/>
    <mergeCell ref="E4:G4"/>
    <mergeCell ref="Z6:Z7"/>
    <mergeCell ref="Q6:Q7"/>
    <mergeCell ref="V6:V7"/>
    <mergeCell ref="W6:W7"/>
    <mergeCell ref="M6:O6"/>
    <mergeCell ref="J6:J7"/>
    <mergeCell ref="AB6:AB7"/>
  </mergeCells>
  <pageMargins left="0.2" right="0.2" top="0.15" bottom="0.15" header="0.05" footer="0.3"/>
  <pageSetup paperSize="9" scale="5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Y1489"/>
  <sheetViews>
    <sheetView workbookViewId="0">
      <selection activeCell="O4" sqref="O4"/>
    </sheetView>
  </sheetViews>
  <sheetFormatPr defaultRowHeight="12.75" x14ac:dyDescent="0.2"/>
  <cols>
    <col min="1" max="1" width="2.7109375" customWidth="1"/>
    <col min="2" max="2" width="7.28515625" customWidth="1"/>
    <col min="3" max="3" width="9.7109375" customWidth="1"/>
    <col min="4" max="4" width="10.28515625" customWidth="1"/>
    <col min="5" max="5" width="10.85546875" customWidth="1"/>
    <col min="6" max="6" width="13.140625" customWidth="1"/>
    <col min="7" max="7" width="12.28515625" customWidth="1"/>
    <col min="8" max="8" width="8.42578125" customWidth="1"/>
    <col min="9" max="9" width="12.7109375" bestFit="1" customWidth="1"/>
    <col min="10" max="10" width="12.7109375" customWidth="1"/>
    <col min="11" max="11" width="17" bestFit="1" customWidth="1"/>
    <col min="12" max="12" width="10.85546875" customWidth="1"/>
    <col min="13" max="13" width="12.85546875" customWidth="1"/>
    <col min="14" max="15" width="8" customWidth="1"/>
    <col min="16" max="16" width="6.28515625" customWidth="1"/>
  </cols>
  <sheetData>
    <row r="1" spans="2:25" s="1" customFormat="1" ht="15.75" x14ac:dyDescent="0.2">
      <c r="B1" s="92" t="s">
        <v>0</v>
      </c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6"/>
      <c r="R1" s="6"/>
      <c r="S1" s="6"/>
      <c r="T1" s="6"/>
      <c r="U1" s="6"/>
      <c r="V1" s="6"/>
      <c r="W1" s="6"/>
      <c r="X1" s="6"/>
      <c r="Y1" s="6"/>
    </row>
    <row r="2" spans="2:25" ht="15" x14ac:dyDescent="0.2">
      <c r="B2" s="92" t="s">
        <v>1</v>
      </c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7"/>
      <c r="R2" s="7"/>
      <c r="S2" s="7"/>
      <c r="T2" s="7"/>
      <c r="U2" s="7"/>
      <c r="V2" s="7"/>
      <c r="W2" s="7"/>
      <c r="X2" s="7"/>
      <c r="Y2" s="7"/>
    </row>
    <row r="3" spans="2:25" ht="15" x14ac:dyDescent="0.2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2:25" x14ac:dyDescent="0.2">
      <c r="B4" s="3" t="s">
        <v>2</v>
      </c>
      <c r="C4" s="20">
        <v>40465</v>
      </c>
      <c r="D4" s="5" t="s">
        <v>3</v>
      </c>
      <c r="E4" s="8"/>
      <c r="F4" s="4"/>
      <c r="G4" s="3" t="s">
        <v>4</v>
      </c>
      <c r="H4" s="4" t="s">
        <v>28</v>
      </c>
      <c r="I4" s="4"/>
      <c r="J4" s="3" t="s">
        <v>5</v>
      </c>
      <c r="K4" s="4" t="s">
        <v>29</v>
      </c>
      <c r="L4" s="9" t="s">
        <v>6</v>
      </c>
      <c r="M4" s="4"/>
      <c r="N4" s="5" t="s">
        <v>7</v>
      </c>
      <c r="O4" s="4"/>
      <c r="P4" s="5"/>
      <c r="Q4" s="10"/>
      <c r="R4" s="5"/>
      <c r="S4" s="5"/>
      <c r="T4" s="10"/>
      <c r="U4" s="10"/>
      <c r="V4" s="5"/>
    </row>
    <row r="5" spans="2:25" ht="15" x14ac:dyDescent="0.2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2:25" ht="13.5" thickBot="1" x14ac:dyDescent="0.25"/>
    <row r="7" spans="2:25" ht="30.75" customHeight="1" x14ac:dyDescent="0.2">
      <c r="B7" s="79" t="s">
        <v>8</v>
      </c>
      <c r="C7" s="66" t="s">
        <v>9</v>
      </c>
      <c r="D7" s="66" t="s">
        <v>10</v>
      </c>
      <c r="E7" s="66" t="s">
        <v>11</v>
      </c>
      <c r="F7" s="66" t="s">
        <v>12</v>
      </c>
      <c r="G7" s="66"/>
      <c r="H7" s="66" t="s">
        <v>15</v>
      </c>
      <c r="I7" s="66" t="s">
        <v>16</v>
      </c>
      <c r="J7" s="66" t="s">
        <v>17</v>
      </c>
      <c r="K7" s="66"/>
      <c r="L7" s="66" t="s">
        <v>18</v>
      </c>
      <c r="M7" s="66" t="s">
        <v>19</v>
      </c>
      <c r="N7" s="66" t="s">
        <v>20</v>
      </c>
      <c r="O7" s="68" t="s">
        <v>21</v>
      </c>
      <c r="P7" s="88" t="s">
        <v>27</v>
      </c>
      <c r="Q7" s="89"/>
    </row>
    <row r="8" spans="2:25" ht="24.75" customHeight="1" thickBot="1" x14ac:dyDescent="0.25">
      <c r="B8" s="93"/>
      <c r="C8" s="94"/>
      <c r="D8" s="94"/>
      <c r="E8" s="94"/>
      <c r="F8" s="18" t="s">
        <v>13</v>
      </c>
      <c r="G8" s="18" t="s">
        <v>14</v>
      </c>
      <c r="H8" s="94"/>
      <c r="I8" s="94"/>
      <c r="J8" s="18" t="s">
        <v>13</v>
      </c>
      <c r="K8" s="18" t="s">
        <v>14</v>
      </c>
      <c r="L8" s="94"/>
      <c r="M8" s="94"/>
      <c r="N8" s="94"/>
      <c r="O8" s="95"/>
      <c r="P8" s="90"/>
      <c r="Q8" s="91"/>
    </row>
    <row r="9" spans="2:25" x14ac:dyDescent="0.2">
      <c r="B9" s="15" t="s">
        <v>22</v>
      </c>
      <c r="C9" s="16">
        <v>3</v>
      </c>
      <c r="D9" s="16"/>
      <c r="E9" s="16">
        <v>2</v>
      </c>
      <c r="F9" s="15" t="s">
        <v>30</v>
      </c>
      <c r="G9" s="17" t="s">
        <v>24</v>
      </c>
      <c r="H9" s="16">
        <v>1</v>
      </c>
      <c r="I9" s="16"/>
      <c r="J9" s="15" t="s">
        <v>25</v>
      </c>
      <c r="K9" s="17" t="s">
        <v>24</v>
      </c>
      <c r="L9" s="16">
        <v>2</v>
      </c>
      <c r="M9" s="16"/>
      <c r="N9" s="15" t="s">
        <v>26</v>
      </c>
      <c r="O9" s="15" t="s">
        <v>26</v>
      </c>
      <c r="P9" s="15" t="s">
        <v>32</v>
      </c>
      <c r="Q9" s="15">
        <v>3000</v>
      </c>
    </row>
    <row r="10" spans="2:25" s="19" customFormat="1" x14ac:dyDescent="0.2">
      <c r="B10" s="11" t="s">
        <v>22</v>
      </c>
      <c r="C10" s="11">
        <v>1</v>
      </c>
      <c r="D10" s="11"/>
      <c r="E10" s="11">
        <v>1</v>
      </c>
      <c r="F10" s="11" t="s">
        <v>31</v>
      </c>
      <c r="G10" s="21" t="s">
        <v>24</v>
      </c>
      <c r="H10" s="11">
        <v>1</v>
      </c>
      <c r="I10" s="11"/>
      <c r="J10" s="11" t="s">
        <v>25</v>
      </c>
      <c r="K10" s="13" t="s">
        <v>24</v>
      </c>
      <c r="L10" s="11">
        <v>2</v>
      </c>
      <c r="M10" s="11"/>
      <c r="N10" s="11" t="s">
        <v>26</v>
      </c>
      <c r="O10" s="11" t="s">
        <v>26</v>
      </c>
      <c r="P10" s="11" t="s">
        <v>32</v>
      </c>
      <c r="Q10" s="11">
        <v>2000</v>
      </c>
    </row>
    <row r="11" spans="2:25" x14ac:dyDescent="0.2">
      <c r="B11" s="11" t="s">
        <v>22</v>
      </c>
      <c r="C11" s="12"/>
      <c r="D11" s="12"/>
      <c r="E11" s="12">
        <v>1</v>
      </c>
      <c r="F11" s="11" t="s">
        <v>23</v>
      </c>
      <c r="G11" s="13" t="s">
        <v>24</v>
      </c>
      <c r="H11" s="12">
        <v>3</v>
      </c>
      <c r="I11" s="12"/>
      <c r="J11" s="11" t="s">
        <v>25</v>
      </c>
      <c r="K11" s="13" t="s">
        <v>24</v>
      </c>
      <c r="L11" s="12">
        <v>1</v>
      </c>
      <c r="M11" s="12"/>
      <c r="N11" s="11" t="s">
        <v>26</v>
      </c>
      <c r="O11" s="11" t="s">
        <v>26</v>
      </c>
      <c r="P11" s="11"/>
      <c r="Q11" s="14"/>
    </row>
    <row r="12" spans="2:25" x14ac:dyDescent="0.2">
      <c r="B12" s="11" t="s">
        <v>22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4"/>
    </row>
    <row r="13" spans="2:25" x14ac:dyDescent="0.2">
      <c r="B13" s="11" t="s">
        <v>22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4"/>
    </row>
    <row r="14" spans="2:25" x14ac:dyDescent="0.2">
      <c r="B14" s="11" t="s">
        <v>22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4"/>
    </row>
    <row r="15" spans="2:25" x14ac:dyDescent="0.2">
      <c r="B15" s="11" t="s">
        <v>22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4"/>
    </row>
    <row r="16" spans="2:25" x14ac:dyDescent="0.2">
      <c r="B16" s="11" t="s">
        <v>22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4"/>
    </row>
    <row r="17" spans="2:17" x14ac:dyDescent="0.2">
      <c r="B17" s="11" t="s">
        <v>22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4"/>
    </row>
    <row r="18" spans="2:17" x14ac:dyDescent="0.2">
      <c r="B18" s="11" t="s">
        <v>22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4"/>
    </row>
    <row r="19" spans="2:17" x14ac:dyDescent="0.2">
      <c r="B19" s="11" t="s">
        <v>22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4"/>
    </row>
    <row r="20" spans="2:17" x14ac:dyDescent="0.2">
      <c r="B20" s="11" t="s">
        <v>22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4"/>
    </row>
    <row r="21" spans="2:17" x14ac:dyDescent="0.2">
      <c r="B21" s="11" t="s">
        <v>22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4"/>
    </row>
    <row r="22" spans="2:17" x14ac:dyDescent="0.2">
      <c r="B22" s="11" t="s">
        <v>22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4"/>
    </row>
    <row r="23" spans="2:17" x14ac:dyDescent="0.2">
      <c r="B23" s="11" t="s">
        <v>22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4"/>
    </row>
    <row r="24" spans="2:17" x14ac:dyDescent="0.2">
      <c r="B24" s="11" t="s">
        <v>22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4"/>
    </row>
    <row r="25" spans="2:17" x14ac:dyDescent="0.2">
      <c r="B25" s="11" t="s">
        <v>22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4"/>
    </row>
    <row r="26" spans="2:17" x14ac:dyDescent="0.2">
      <c r="B26" s="11" t="s">
        <v>22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4"/>
    </row>
    <row r="27" spans="2:17" x14ac:dyDescent="0.2">
      <c r="B27" s="11" t="s">
        <v>22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4"/>
    </row>
    <row r="28" spans="2:17" x14ac:dyDescent="0.2">
      <c r="B28" s="11" t="s">
        <v>22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4"/>
    </row>
    <row r="29" spans="2:17" x14ac:dyDescent="0.2">
      <c r="B29" s="11" t="s">
        <v>22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4"/>
    </row>
    <row r="30" spans="2:17" x14ac:dyDescent="0.2">
      <c r="B30" s="11" t="s">
        <v>22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4"/>
    </row>
    <row r="31" spans="2:17" x14ac:dyDescent="0.2">
      <c r="B31" s="11" t="s">
        <v>22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4"/>
    </row>
    <row r="32" spans="2:17" x14ac:dyDescent="0.2">
      <c r="B32" s="11" t="s">
        <v>22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4"/>
    </row>
    <row r="33" spans="2:17" x14ac:dyDescent="0.2">
      <c r="B33" s="11" t="s">
        <v>22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4"/>
    </row>
    <row r="34" spans="2:17" x14ac:dyDescent="0.2">
      <c r="B34" s="11" t="s">
        <v>22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4"/>
    </row>
    <row r="35" spans="2:17" x14ac:dyDescent="0.2">
      <c r="B35" s="11" t="s">
        <v>22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4"/>
    </row>
    <row r="36" spans="2:17" x14ac:dyDescent="0.2">
      <c r="B36" s="11" t="s">
        <v>22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4"/>
    </row>
    <row r="37" spans="2:17" x14ac:dyDescent="0.2">
      <c r="B37" s="11" t="s">
        <v>22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4"/>
    </row>
    <row r="38" spans="2:17" x14ac:dyDescent="0.2">
      <c r="B38" s="11" t="s">
        <v>22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4"/>
    </row>
    <row r="39" spans="2:17" x14ac:dyDescent="0.2">
      <c r="B39" s="11" t="s">
        <v>22</v>
      </c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4"/>
    </row>
    <row r="40" spans="2:17" x14ac:dyDescent="0.2">
      <c r="B40" s="11" t="s">
        <v>22</v>
      </c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4"/>
    </row>
    <row r="41" spans="2:17" x14ac:dyDescent="0.2">
      <c r="B41" s="11" t="s">
        <v>22</v>
      </c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4"/>
    </row>
    <row r="42" spans="2:17" x14ac:dyDescent="0.2">
      <c r="B42" s="11" t="s">
        <v>22</v>
      </c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4"/>
    </row>
    <row r="43" spans="2:17" x14ac:dyDescent="0.2">
      <c r="B43" s="11" t="s">
        <v>22</v>
      </c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4"/>
    </row>
    <row r="44" spans="2:17" x14ac:dyDescent="0.2">
      <c r="B44" s="11" t="s">
        <v>22</v>
      </c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4"/>
    </row>
    <row r="45" spans="2:17" x14ac:dyDescent="0.2">
      <c r="B45" s="11" t="s">
        <v>22</v>
      </c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4"/>
    </row>
    <row r="46" spans="2:17" x14ac:dyDescent="0.2">
      <c r="B46" s="11" t="s">
        <v>22</v>
      </c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4"/>
    </row>
    <row r="47" spans="2:17" x14ac:dyDescent="0.2">
      <c r="B47" s="11" t="s">
        <v>22</v>
      </c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4"/>
    </row>
    <row r="48" spans="2:17" x14ac:dyDescent="0.2">
      <c r="B48" s="11" t="s">
        <v>22</v>
      </c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4"/>
    </row>
    <row r="49" spans="2:17" x14ac:dyDescent="0.2">
      <c r="B49" s="11" t="s">
        <v>22</v>
      </c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4"/>
    </row>
    <row r="50" spans="2:17" x14ac:dyDescent="0.2">
      <c r="B50" s="11" t="s">
        <v>22</v>
      </c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4"/>
    </row>
    <row r="51" spans="2:17" x14ac:dyDescent="0.2">
      <c r="B51" s="11" t="s">
        <v>22</v>
      </c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4"/>
    </row>
    <row r="52" spans="2:17" x14ac:dyDescent="0.2">
      <c r="B52" s="11" t="s">
        <v>22</v>
      </c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4"/>
    </row>
    <row r="53" spans="2:17" x14ac:dyDescent="0.2">
      <c r="B53" s="11" t="s">
        <v>22</v>
      </c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4"/>
    </row>
    <row r="54" spans="2:17" x14ac:dyDescent="0.2"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4"/>
    </row>
    <row r="55" spans="2:17" x14ac:dyDescent="0.2"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4"/>
    </row>
    <row r="56" spans="2:17" x14ac:dyDescent="0.2"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4"/>
    </row>
    <row r="57" spans="2:17" x14ac:dyDescent="0.2"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4"/>
    </row>
    <row r="58" spans="2:17" x14ac:dyDescent="0.2"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4"/>
    </row>
    <row r="59" spans="2:17" x14ac:dyDescent="0.2"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4"/>
    </row>
    <row r="60" spans="2:17" x14ac:dyDescent="0.2"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4"/>
    </row>
    <row r="61" spans="2:17" x14ac:dyDescent="0.2"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4"/>
    </row>
    <row r="62" spans="2:17" x14ac:dyDescent="0.2"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4"/>
    </row>
    <row r="63" spans="2:17" x14ac:dyDescent="0.2"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4"/>
    </row>
    <row r="64" spans="2:17" x14ac:dyDescent="0.2"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4"/>
    </row>
    <row r="65" spans="2:17" x14ac:dyDescent="0.2"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4"/>
    </row>
    <row r="66" spans="2:17" x14ac:dyDescent="0.2"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4"/>
    </row>
    <row r="67" spans="2:17" x14ac:dyDescent="0.2"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4"/>
    </row>
    <row r="68" spans="2:17" x14ac:dyDescent="0.2"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4"/>
    </row>
    <row r="69" spans="2:17" x14ac:dyDescent="0.2"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4"/>
    </row>
    <row r="70" spans="2:17" x14ac:dyDescent="0.2"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4"/>
    </row>
    <row r="71" spans="2:17" x14ac:dyDescent="0.2"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4"/>
    </row>
    <row r="72" spans="2:17" x14ac:dyDescent="0.2"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4"/>
    </row>
    <row r="73" spans="2:17" x14ac:dyDescent="0.2"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4"/>
    </row>
    <row r="74" spans="2:17" x14ac:dyDescent="0.2"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4"/>
    </row>
    <row r="75" spans="2:17" x14ac:dyDescent="0.2"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4"/>
    </row>
    <row r="76" spans="2:17" x14ac:dyDescent="0.2"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4"/>
    </row>
    <row r="77" spans="2:17" x14ac:dyDescent="0.2"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4"/>
    </row>
    <row r="78" spans="2:17" x14ac:dyDescent="0.2"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4"/>
    </row>
    <row r="79" spans="2:17" x14ac:dyDescent="0.2"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4"/>
    </row>
    <row r="80" spans="2:17" x14ac:dyDescent="0.2"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4"/>
    </row>
    <row r="81" spans="2:17" x14ac:dyDescent="0.2"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4"/>
    </row>
    <row r="82" spans="2:17" x14ac:dyDescent="0.2"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4"/>
    </row>
    <row r="83" spans="2:17" x14ac:dyDescent="0.2"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4"/>
    </row>
    <row r="84" spans="2:17" x14ac:dyDescent="0.2"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4"/>
    </row>
    <row r="85" spans="2:17" x14ac:dyDescent="0.2"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4"/>
    </row>
    <row r="86" spans="2:17" x14ac:dyDescent="0.2"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4"/>
    </row>
    <row r="87" spans="2:17" x14ac:dyDescent="0.2"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4"/>
    </row>
    <row r="88" spans="2:17" x14ac:dyDescent="0.2"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4"/>
    </row>
    <row r="89" spans="2:17" x14ac:dyDescent="0.2"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4"/>
    </row>
    <row r="90" spans="2:17" x14ac:dyDescent="0.2"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4"/>
    </row>
    <row r="91" spans="2:17" x14ac:dyDescent="0.2"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4"/>
    </row>
    <row r="92" spans="2:17" x14ac:dyDescent="0.2"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4"/>
    </row>
    <row r="93" spans="2:17" x14ac:dyDescent="0.2"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4"/>
    </row>
    <row r="94" spans="2:17" x14ac:dyDescent="0.2"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4"/>
    </row>
    <row r="95" spans="2:17" x14ac:dyDescent="0.2"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4"/>
    </row>
    <row r="96" spans="2:17" x14ac:dyDescent="0.2"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4"/>
    </row>
    <row r="97" spans="2:17" x14ac:dyDescent="0.2"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4"/>
    </row>
    <row r="98" spans="2:17" x14ac:dyDescent="0.2"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4"/>
    </row>
    <row r="99" spans="2:17" x14ac:dyDescent="0.2"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4"/>
    </row>
    <row r="100" spans="2:17" x14ac:dyDescent="0.2"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4"/>
    </row>
    <row r="101" spans="2:17" x14ac:dyDescent="0.2"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4"/>
    </row>
    <row r="102" spans="2:17" x14ac:dyDescent="0.2"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4"/>
    </row>
    <row r="103" spans="2:17" x14ac:dyDescent="0.2"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4"/>
    </row>
    <row r="104" spans="2:17" x14ac:dyDescent="0.2"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4"/>
    </row>
    <row r="105" spans="2:17" x14ac:dyDescent="0.2"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4"/>
    </row>
    <row r="106" spans="2:17" x14ac:dyDescent="0.2"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4"/>
    </row>
    <row r="107" spans="2:17" x14ac:dyDescent="0.2"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4"/>
    </row>
    <row r="108" spans="2:17" x14ac:dyDescent="0.2"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4"/>
    </row>
    <row r="109" spans="2:17" x14ac:dyDescent="0.2"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4"/>
    </row>
    <row r="110" spans="2:17" x14ac:dyDescent="0.2"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4"/>
    </row>
    <row r="111" spans="2:17" x14ac:dyDescent="0.2"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4"/>
    </row>
    <row r="112" spans="2:17" x14ac:dyDescent="0.2"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4"/>
    </row>
    <row r="113" spans="2:17" x14ac:dyDescent="0.2"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4"/>
    </row>
    <row r="114" spans="2:17" x14ac:dyDescent="0.2"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4"/>
    </row>
    <row r="115" spans="2:17" x14ac:dyDescent="0.2"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4"/>
    </row>
    <row r="116" spans="2:17" x14ac:dyDescent="0.2"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4"/>
    </row>
    <row r="117" spans="2:17" x14ac:dyDescent="0.2"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4"/>
    </row>
    <row r="118" spans="2:17" x14ac:dyDescent="0.2"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4"/>
    </row>
    <row r="119" spans="2:17" x14ac:dyDescent="0.2"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4"/>
    </row>
    <row r="120" spans="2:17" x14ac:dyDescent="0.2"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4"/>
    </row>
    <row r="121" spans="2:17" x14ac:dyDescent="0.2"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4"/>
    </row>
    <row r="122" spans="2:17" x14ac:dyDescent="0.2"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4"/>
    </row>
    <row r="123" spans="2:17" x14ac:dyDescent="0.2"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4"/>
    </row>
    <row r="124" spans="2:17" x14ac:dyDescent="0.2"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4"/>
    </row>
    <row r="125" spans="2:17" x14ac:dyDescent="0.2"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4"/>
    </row>
    <row r="126" spans="2:17" x14ac:dyDescent="0.2"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4"/>
    </row>
    <row r="127" spans="2:17" x14ac:dyDescent="0.2"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4"/>
    </row>
    <row r="128" spans="2:17" x14ac:dyDescent="0.2"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4"/>
    </row>
    <row r="129" spans="2:17" x14ac:dyDescent="0.2"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4"/>
    </row>
    <row r="130" spans="2:17" x14ac:dyDescent="0.2"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4"/>
    </row>
    <row r="131" spans="2:17" x14ac:dyDescent="0.2"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4"/>
    </row>
    <row r="132" spans="2:17" x14ac:dyDescent="0.2"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4"/>
    </row>
    <row r="133" spans="2:17" x14ac:dyDescent="0.2"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4"/>
    </row>
    <row r="134" spans="2:17" x14ac:dyDescent="0.2"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4"/>
    </row>
    <row r="135" spans="2:17" x14ac:dyDescent="0.2"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4"/>
    </row>
    <row r="136" spans="2:17" x14ac:dyDescent="0.2"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4"/>
    </row>
    <row r="137" spans="2:17" x14ac:dyDescent="0.2"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4"/>
    </row>
    <row r="138" spans="2:17" x14ac:dyDescent="0.2"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4"/>
    </row>
    <row r="139" spans="2:17" x14ac:dyDescent="0.2"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4"/>
    </row>
    <row r="140" spans="2:17" x14ac:dyDescent="0.2"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4"/>
    </row>
    <row r="141" spans="2:17" x14ac:dyDescent="0.2"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4"/>
    </row>
    <row r="142" spans="2:17" x14ac:dyDescent="0.2"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4"/>
    </row>
    <row r="143" spans="2:17" x14ac:dyDescent="0.2"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4"/>
    </row>
    <row r="144" spans="2:17" x14ac:dyDescent="0.2"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4"/>
    </row>
    <row r="145" spans="2:17" x14ac:dyDescent="0.2"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4"/>
    </row>
    <row r="146" spans="2:17" x14ac:dyDescent="0.2"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4"/>
    </row>
    <row r="147" spans="2:17" x14ac:dyDescent="0.2"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4"/>
    </row>
    <row r="148" spans="2:17" x14ac:dyDescent="0.2"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4"/>
    </row>
    <row r="149" spans="2:17" x14ac:dyDescent="0.2"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4"/>
    </row>
    <row r="150" spans="2:17" x14ac:dyDescent="0.2"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4"/>
    </row>
    <row r="151" spans="2:17" x14ac:dyDescent="0.2"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4"/>
    </row>
    <row r="152" spans="2:17" x14ac:dyDescent="0.2"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4"/>
    </row>
    <row r="153" spans="2:17" x14ac:dyDescent="0.2"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4"/>
    </row>
    <row r="154" spans="2:17" x14ac:dyDescent="0.2"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4"/>
    </row>
    <row r="155" spans="2:17" x14ac:dyDescent="0.2"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4"/>
    </row>
    <row r="156" spans="2:17" x14ac:dyDescent="0.2"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4"/>
    </row>
    <row r="157" spans="2:17" x14ac:dyDescent="0.2"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4"/>
    </row>
    <row r="158" spans="2:17" x14ac:dyDescent="0.2"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4"/>
    </row>
    <row r="159" spans="2:17" x14ac:dyDescent="0.2"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4"/>
    </row>
    <row r="160" spans="2:17" x14ac:dyDescent="0.2"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4"/>
    </row>
    <row r="161" spans="2:17" x14ac:dyDescent="0.2"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4"/>
    </row>
    <row r="162" spans="2:17" x14ac:dyDescent="0.2"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4"/>
    </row>
    <row r="163" spans="2:17" x14ac:dyDescent="0.2"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4"/>
    </row>
    <row r="164" spans="2:17" x14ac:dyDescent="0.2"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4"/>
    </row>
    <row r="165" spans="2:17" x14ac:dyDescent="0.2"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4"/>
    </row>
    <row r="166" spans="2:17" x14ac:dyDescent="0.2"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4"/>
    </row>
    <row r="167" spans="2:17" x14ac:dyDescent="0.2"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4"/>
    </row>
    <row r="168" spans="2:17" x14ac:dyDescent="0.2"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4"/>
    </row>
    <row r="169" spans="2:17" x14ac:dyDescent="0.2"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4"/>
    </row>
    <row r="170" spans="2:17" x14ac:dyDescent="0.2"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4"/>
    </row>
    <row r="171" spans="2:17" x14ac:dyDescent="0.2"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4"/>
    </row>
    <row r="172" spans="2:17" x14ac:dyDescent="0.2"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4"/>
    </row>
    <row r="173" spans="2:17" x14ac:dyDescent="0.2"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4"/>
    </row>
    <row r="174" spans="2:17" x14ac:dyDescent="0.2"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4"/>
    </row>
    <row r="175" spans="2:17" x14ac:dyDescent="0.2"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4"/>
    </row>
    <row r="176" spans="2:17" x14ac:dyDescent="0.2"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4"/>
    </row>
    <row r="177" spans="2:17" x14ac:dyDescent="0.2"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4"/>
    </row>
    <row r="178" spans="2:17" x14ac:dyDescent="0.2"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4"/>
    </row>
    <row r="179" spans="2:17" x14ac:dyDescent="0.2"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4"/>
    </row>
    <row r="180" spans="2:17" x14ac:dyDescent="0.2"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4"/>
    </row>
    <row r="181" spans="2:17" x14ac:dyDescent="0.2"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4"/>
    </row>
    <row r="182" spans="2:17" x14ac:dyDescent="0.2"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4"/>
    </row>
    <row r="183" spans="2:17" x14ac:dyDescent="0.2"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4"/>
    </row>
    <row r="184" spans="2:17" x14ac:dyDescent="0.2"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4"/>
    </row>
    <row r="185" spans="2:17" x14ac:dyDescent="0.2"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4"/>
    </row>
    <row r="186" spans="2:17" x14ac:dyDescent="0.2"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4"/>
    </row>
    <row r="187" spans="2:17" x14ac:dyDescent="0.2"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4"/>
    </row>
    <row r="188" spans="2:17" x14ac:dyDescent="0.2"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4"/>
    </row>
    <row r="189" spans="2:17" x14ac:dyDescent="0.2"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4"/>
    </row>
    <row r="190" spans="2:17" x14ac:dyDescent="0.2"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4"/>
    </row>
    <row r="191" spans="2:17" x14ac:dyDescent="0.2"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4"/>
    </row>
    <row r="192" spans="2:17" x14ac:dyDescent="0.2"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4"/>
    </row>
    <row r="193" spans="2:17" x14ac:dyDescent="0.2"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4"/>
    </row>
    <row r="194" spans="2:17" x14ac:dyDescent="0.2"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4"/>
    </row>
    <row r="195" spans="2:17" x14ac:dyDescent="0.2"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4"/>
    </row>
    <row r="196" spans="2:17" x14ac:dyDescent="0.2"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4"/>
    </row>
    <row r="197" spans="2:17" x14ac:dyDescent="0.2"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4"/>
    </row>
    <row r="198" spans="2:17" x14ac:dyDescent="0.2"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4"/>
    </row>
    <row r="199" spans="2:17" x14ac:dyDescent="0.2"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4"/>
    </row>
    <row r="200" spans="2:17" x14ac:dyDescent="0.2"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4"/>
    </row>
    <row r="201" spans="2:17" x14ac:dyDescent="0.2"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4"/>
    </row>
    <row r="202" spans="2:17" x14ac:dyDescent="0.2"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4"/>
    </row>
    <row r="203" spans="2:17" x14ac:dyDescent="0.2"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4"/>
    </row>
    <row r="204" spans="2:17" x14ac:dyDescent="0.2"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4"/>
    </row>
    <row r="205" spans="2:17" x14ac:dyDescent="0.2"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4"/>
    </row>
    <row r="206" spans="2:17" x14ac:dyDescent="0.2"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4"/>
    </row>
    <row r="207" spans="2:17" x14ac:dyDescent="0.2"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4"/>
    </row>
    <row r="208" spans="2:17" x14ac:dyDescent="0.2"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4"/>
    </row>
    <row r="209" spans="2:17" x14ac:dyDescent="0.2"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4"/>
    </row>
    <row r="210" spans="2:17" x14ac:dyDescent="0.2"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4"/>
    </row>
    <row r="211" spans="2:17" x14ac:dyDescent="0.2"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4"/>
    </row>
    <row r="212" spans="2:17" x14ac:dyDescent="0.2"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4"/>
    </row>
    <row r="213" spans="2:17" x14ac:dyDescent="0.2"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4"/>
    </row>
    <row r="214" spans="2:17" x14ac:dyDescent="0.2"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4"/>
    </row>
    <row r="215" spans="2:17" x14ac:dyDescent="0.2"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4"/>
    </row>
    <row r="216" spans="2:17" x14ac:dyDescent="0.2"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4"/>
    </row>
    <row r="217" spans="2:17" x14ac:dyDescent="0.2"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4"/>
    </row>
    <row r="218" spans="2:17" x14ac:dyDescent="0.2"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4"/>
    </row>
    <row r="219" spans="2:17" x14ac:dyDescent="0.2"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4"/>
    </row>
    <row r="220" spans="2:17" x14ac:dyDescent="0.2"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4"/>
    </row>
    <row r="221" spans="2:17" x14ac:dyDescent="0.2"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4"/>
    </row>
    <row r="222" spans="2:17" x14ac:dyDescent="0.2"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4"/>
    </row>
    <row r="223" spans="2:17" x14ac:dyDescent="0.2"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4"/>
    </row>
    <row r="224" spans="2:17" x14ac:dyDescent="0.2"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4"/>
    </row>
    <row r="225" spans="2:17" x14ac:dyDescent="0.2"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4"/>
    </row>
    <row r="226" spans="2:17" x14ac:dyDescent="0.2"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4"/>
    </row>
    <row r="227" spans="2:17" x14ac:dyDescent="0.2"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4"/>
    </row>
    <row r="228" spans="2:17" x14ac:dyDescent="0.2"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4"/>
    </row>
    <row r="229" spans="2:17" x14ac:dyDescent="0.2"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4"/>
    </row>
    <row r="230" spans="2:17" x14ac:dyDescent="0.2"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4"/>
    </row>
    <row r="231" spans="2:17" x14ac:dyDescent="0.2"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4"/>
    </row>
    <row r="232" spans="2:17" x14ac:dyDescent="0.2"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4"/>
    </row>
    <row r="233" spans="2:17" x14ac:dyDescent="0.2"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4"/>
    </row>
    <row r="234" spans="2:17" x14ac:dyDescent="0.2"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4"/>
    </row>
    <row r="235" spans="2:17" x14ac:dyDescent="0.2"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4"/>
    </row>
    <row r="236" spans="2:17" x14ac:dyDescent="0.2"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4"/>
    </row>
    <row r="237" spans="2:17" x14ac:dyDescent="0.2"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4"/>
    </row>
    <row r="238" spans="2:17" x14ac:dyDescent="0.2"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4"/>
    </row>
    <row r="239" spans="2:17" x14ac:dyDescent="0.2"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4"/>
    </row>
    <row r="240" spans="2:17" x14ac:dyDescent="0.2"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4"/>
    </row>
    <row r="241" spans="2:17" x14ac:dyDescent="0.2"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4"/>
    </row>
    <row r="242" spans="2:17" x14ac:dyDescent="0.2"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4"/>
    </row>
    <row r="243" spans="2:17" x14ac:dyDescent="0.2"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4"/>
    </row>
    <row r="244" spans="2:17" x14ac:dyDescent="0.2"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4"/>
    </row>
    <row r="245" spans="2:17" x14ac:dyDescent="0.2"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4"/>
    </row>
    <row r="246" spans="2:17" x14ac:dyDescent="0.2"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4"/>
    </row>
    <row r="247" spans="2:17" x14ac:dyDescent="0.2"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4"/>
    </row>
    <row r="248" spans="2:17" x14ac:dyDescent="0.2"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4"/>
    </row>
    <row r="249" spans="2:17" x14ac:dyDescent="0.2"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4"/>
    </row>
    <row r="250" spans="2:17" x14ac:dyDescent="0.2"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4"/>
    </row>
    <row r="251" spans="2:17" x14ac:dyDescent="0.2"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4"/>
    </row>
    <row r="252" spans="2:17" x14ac:dyDescent="0.2"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4"/>
    </row>
    <row r="253" spans="2:17" x14ac:dyDescent="0.2"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4"/>
    </row>
    <row r="254" spans="2:17" x14ac:dyDescent="0.2"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4"/>
    </row>
    <row r="255" spans="2:17" x14ac:dyDescent="0.2"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4"/>
    </row>
    <row r="256" spans="2:17" x14ac:dyDescent="0.2"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4"/>
    </row>
    <row r="257" spans="2:17" x14ac:dyDescent="0.2"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4"/>
    </row>
    <row r="258" spans="2:17" x14ac:dyDescent="0.2"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4"/>
    </row>
    <row r="259" spans="2:17" x14ac:dyDescent="0.2"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4"/>
    </row>
    <row r="260" spans="2:17" x14ac:dyDescent="0.2"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4"/>
    </row>
    <row r="261" spans="2:17" x14ac:dyDescent="0.2"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4"/>
    </row>
    <row r="262" spans="2:17" x14ac:dyDescent="0.2"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4"/>
    </row>
    <row r="263" spans="2:17" x14ac:dyDescent="0.2"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4"/>
    </row>
    <row r="264" spans="2:17" x14ac:dyDescent="0.2"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4"/>
    </row>
    <row r="265" spans="2:17" x14ac:dyDescent="0.2"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4"/>
    </row>
    <row r="266" spans="2:17" x14ac:dyDescent="0.2"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4"/>
    </row>
    <row r="267" spans="2:17" x14ac:dyDescent="0.2"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4"/>
    </row>
    <row r="268" spans="2:17" x14ac:dyDescent="0.2"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4"/>
    </row>
    <row r="269" spans="2:17" x14ac:dyDescent="0.2"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4"/>
    </row>
    <row r="270" spans="2:17" x14ac:dyDescent="0.2"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4"/>
    </row>
    <row r="271" spans="2:17" x14ac:dyDescent="0.2"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4"/>
    </row>
    <row r="272" spans="2:17" x14ac:dyDescent="0.2"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4"/>
    </row>
    <row r="273" spans="2:17" x14ac:dyDescent="0.2"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4"/>
    </row>
    <row r="274" spans="2:17" x14ac:dyDescent="0.2"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4"/>
    </row>
    <row r="275" spans="2:17" x14ac:dyDescent="0.2"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4"/>
    </row>
    <row r="276" spans="2:17" x14ac:dyDescent="0.2"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4"/>
    </row>
    <row r="277" spans="2:17" x14ac:dyDescent="0.2"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4"/>
    </row>
    <row r="278" spans="2:17" x14ac:dyDescent="0.2"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4"/>
    </row>
    <row r="279" spans="2:17" x14ac:dyDescent="0.2"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4"/>
    </row>
    <row r="280" spans="2:17" x14ac:dyDescent="0.2"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4"/>
    </row>
    <row r="281" spans="2:17" x14ac:dyDescent="0.2"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4"/>
    </row>
    <row r="282" spans="2:17" x14ac:dyDescent="0.2"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4"/>
    </row>
    <row r="283" spans="2:17" x14ac:dyDescent="0.2"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4"/>
    </row>
    <row r="284" spans="2:17" x14ac:dyDescent="0.2"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4"/>
    </row>
    <row r="285" spans="2:17" x14ac:dyDescent="0.2"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4"/>
    </row>
    <row r="286" spans="2:17" x14ac:dyDescent="0.2"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4"/>
    </row>
    <row r="287" spans="2:17" x14ac:dyDescent="0.2"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4"/>
    </row>
    <row r="288" spans="2:17" x14ac:dyDescent="0.2"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4"/>
    </row>
    <row r="289" spans="2:17" x14ac:dyDescent="0.2"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4"/>
    </row>
    <row r="290" spans="2:17" x14ac:dyDescent="0.2"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4"/>
    </row>
    <row r="291" spans="2:17" x14ac:dyDescent="0.2"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4"/>
    </row>
    <row r="292" spans="2:17" x14ac:dyDescent="0.2"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4"/>
    </row>
    <row r="293" spans="2:17" x14ac:dyDescent="0.2"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4"/>
    </row>
    <row r="294" spans="2:17" x14ac:dyDescent="0.2"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4"/>
    </row>
    <row r="295" spans="2:17" x14ac:dyDescent="0.2"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4"/>
    </row>
    <row r="296" spans="2:17" x14ac:dyDescent="0.2"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4"/>
    </row>
    <row r="297" spans="2:17" x14ac:dyDescent="0.2"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4"/>
    </row>
    <row r="298" spans="2:17" x14ac:dyDescent="0.2"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4"/>
    </row>
    <row r="299" spans="2:17" x14ac:dyDescent="0.2"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4"/>
    </row>
    <row r="300" spans="2:17" x14ac:dyDescent="0.2"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4"/>
    </row>
    <row r="301" spans="2:17" x14ac:dyDescent="0.2"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4"/>
    </row>
    <row r="302" spans="2:17" x14ac:dyDescent="0.2"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4"/>
    </row>
    <row r="303" spans="2:17" x14ac:dyDescent="0.2"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4"/>
    </row>
    <row r="304" spans="2:17" x14ac:dyDescent="0.2"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4"/>
    </row>
    <row r="305" spans="2:17" x14ac:dyDescent="0.2"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4"/>
    </row>
    <row r="306" spans="2:17" x14ac:dyDescent="0.2"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4"/>
    </row>
    <row r="307" spans="2:17" x14ac:dyDescent="0.2"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4"/>
    </row>
    <row r="308" spans="2:17" x14ac:dyDescent="0.2"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4"/>
    </row>
    <row r="309" spans="2:17" x14ac:dyDescent="0.2"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4"/>
    </row>
    <row r="310" spans="2:17" x14ac:dyDescent="0.2"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4"/>
    </row>
    <row r="311" spans="2:17" x14ac:dyDescent="0.2"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4"/>
    </row>
    <row r="312" spans="2:17" x14ac:dyDescent="0.2"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4"/>
    </row>
    <row r="313" spans="2:17" x14ac:dyDescent="0.2"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4"/>
    </row>
    <row r="314" spans="2:17" x14ac:dyDescent="0.2"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4"/>
    </row>
    <row r="315" spans="2:17" x14ac:dyDescent="0.2"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4"/>
    </row>
    <row r="316" spans="2:17" x14ac:dyDescent="0.2"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4"/>
    </row>
    <row r="317" spans="2:17" x14ac:dyDescent="0.2"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4"/>
    </row>
    <row r="318" spans="2:17" x14ac:dyDescent="0.2"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4"/>
    </row>
    <row r="319" spans="2:17" x14ac:dyDescent="0.2"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4"/>
    </row>
    <row r="320" spans="2:17" x14ac:dyDescent="0.2"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4"/>
    </row>
    <row r="321" spans="2:17" x14ac:dyDescent="0.2"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4"/>
    </row>
    <row r="322" spans="2:17" x14ac:dyDescent="0.2"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4"/>
    </row>
    <row r="323" spans="2:17" x14ac:dyDescent="0.2"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4"/>
    </row>
    <row r="324" spans="2:17" x14ac:dyDescent="0.2"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4"/>
    </row>
    <row r="325" spans="2:17" x14ac:dyDescent="0.2"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4"/>
    </row>
    <row r="326" spans="2:17" x14ac:dyDescent="0.2"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4"/>
    </row>
    <row r="327" spans="2:17" x14ac:dyDescent="0.2"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4"/>
    </row>
    <row r="328" spans="2:17" x14ac:dyDescent="0.2"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4"/>
    </row>
    <row r="329" spans="2:17" x14ac:dyDescent="0.2"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4"/>
    </row>
    <row r="330" spans="2:17" x14ac:dyDescent="0.2"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4"/>
    </row>
    <row r="331" spans="2:17" x14ac:dyDescent="0.2"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4"/>
    </row>
    <row r="332" spans="2:17" x14ac:dyDescent="0.2"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4"/>
    </row>
    <row r="333" spans="2:17" x14ac:dyDescent="0.2"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4"/>
    </row>
    <row r="334" spans="2:17" x14ac:dyDescent="0.2"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4"/>
    </row>
    <row r="335" spans="2:17" x14ac:dyDescent="0.2"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4"/>
    </row>
    <row r="336" spans="2:17" x14ac:dyDescent="0.2"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4"/>
    </row>
    <row r="337" spans="2:17" x14ac:dyDescent="0.2"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4"/>
    </row>
    <row r="338" spans="2:17" x14ac:dyDescent="0.2"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4"/>
    </row>
    <row r="339" spans="2:17" x14ac:dyDescent="0.2"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4"/>
    </row>
    <row r="340" spans="2:17" x14ac:dyDescent="0.2"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4"/>
    </row>
    <row r="341" spans="2:17" x14ac:dyDescent="0.2"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4"/>
    </row>
    <row r="342" spans="2:17" x14ac:dyDescent="0.2"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4"/>
    </row>
    <row r="343" spans="2:17" x14ac:dyDescent="0.2"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4"/>
    </row>
    <row r="344" spans="2:17" x14ac:dyDescent="0.2"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4"/>
    </row>
    <row r="345" spans="2:17" x14ac:dyDescent="0.2"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4"/>
    </row>
    <row r="346" spans="2:17" x14ac:dyDescent="0.2"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4"/>
    </row>
    <row r="347" spans="2:17" x14ac:dyDescent="0.2"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4"/>
    </row>
    <row r="348" spans="2:17" x14ac:dyDescent="0.2"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4"/>
    </row>
    <row r="349" spans="2:17" x14ac:dyDescent="0.2"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4"/>
    </row>
    <row r="350" spans="2:17" x14ac:dyDescent="0.2"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4"/>
    </row>
    <row r="351" spans="2:17" x14ac:dyDescent="0.2"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4"/>
    </row>
    <row r="352" spans="2:17" x14ac:dyDescent="0.2"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4"/>
    </row>
    <row r="353" spans="2:17" x14ac:dyDescent="0.2"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4"/>
    </row>
    <row r="354" spans="2:17" x14ac:dyDescent="0.2"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4"/>
    </row>
    <row r="355" spans="2:17" x14ac:dyDescent="0.2"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4"/>
    </row>
    <row r="356" spans="2:17" x14ac:dyDescent="0.2"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4"/>
    </row>
    <row r="357" spans="2:17" x14ac:dyDescent="0.2"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4"/>
    </row>
    <row r="358" spans="2:17" x14ac:dyDescent="0.2"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4"/>
    </row>
    <row r="359" spans="2:17" x14ac:dyDescent="0.2"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4"/>
    </row>
    <row r="360" spans="2:17" x14ac:dyDescent="0.2"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4"/>
    </row>
    <row r="361" spans="2:17" x14ac:dyDescent="0.2"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4"/>
    </row>
    <row r="362" spans="2:17" x14ac:dyDescent="0.2"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4"/>
    </row>
    <row r="363" spans="2:17" x14ac:dyDescent="0.2"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4"/>
    </row>
    <row r="364" spans="2:17" x14ac:dyDescent="0.2"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4"/>
    </row>
    <row r="365" spans="2:17" x14ac:dyDescent="0.2"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4"/>
    </row>
    <row r="366" spans="2:17" x14ac:dyDescent="0.2"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4"/>
    </row>
    <row r="367" spans="2:17" x14ac:dyDescent="0.2"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4"/>
    </row>
    <row r="368" spans="2:17" x14ac:dyDescent="0.2"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4"/>
    </row>
    <row r="369" spans="2:17" x14ac:dyDescent="0.2"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4"/>
    </row>
    <row r="370" spans="2:17" x14ac:dyDescent="0.2"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4"/>
    </row>
    <row r="371" spans="2:17" x14ac:dyDescent="0.2"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4"/>
    </row>
    <row r="372" spans="2:17" x14ac:dyDescent="0.2"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4"/>
    </row>
    <row r="373" spans="2:17" x14ac:dyDescent="0.2"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4"/>
    </row>
    <row r="374" spans="2:17" x14ac:dyDescent="0.2"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4"/>
    </row>
    <row r="375" spans="2:17" x14ac:dyDescent="0.2"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4"/>
    </row>
    <row r="376" spans="2:17" x14ac:dyDescent="0.2"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4"/>
    </row>
    <row r="377" spans="2:17" x14ac:dyDescent="0.2"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4"/>
    </row>
    <row r="378" spans="2:17" x14ac:dyDescent="0.2"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4"/>
    </row>
    <row r="379" spans="2:17" x14ac:dyDescent="0.2"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4"/>
    </row>
    <row r="380" spans="2:17" x14ac:dyDescent="0.2"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4"/>
    </row>
    <row r="381" spans="2:17" x14ac:dyDescent="0.2"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4"/>
    </row>
    <row r="382" spans="2:17" x14ac:dyDescent="0.2"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4"/>
    </row>
    <row r="383" spans="2:17" x14ac:dyDescent="0.2"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4"/>
    </row>
    <row r="384" spans="2:17" x14ac:dyDescent="0.2"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4"/>
    </row>
    <row r="385" spans="2:17" x14ac:dyDescent="0.2"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4"/>
    </row>
    <row r="386" spans="2:17" x14ac:dyDescent="0.2"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4"/>
    </row>
    <row r="387" spans="2:17" x14ac:dyDescent="0.2"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4"/>
    </row>
    <row r="388" spans="2:17" x14ac:dyDescent="0.2"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4"/>
    </row>
    <row r="389" spans="2:17" x14ac:dyDescent="0.2"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4"/>
    </row>
    <row r="390" spans="2:17" x14ac:dyDescent="0.2"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4"/>
    </row>
    <row r="391" spans="2:17" x14ac:dyDescent="0.2"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4"/>
    </row>
    <row r="392" spans="2:17" x14ac:dyDescent="0.2"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4"/>
    </row>
    <row r="393" spans="2:17" x14ac:dyDescent="0.2"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4"/>
    </row>
    <row r="394" spans="2:17" x14ac:dyDescent="0.2"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4"/>
    </row>
    <row r="395" spans="2:17" x14ac:dyDescent="0.2"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4"/>
    </row>
    <row r="396" spans="2:17" x14ac:dyDescent="0.2"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4"/>
    </row>
    <row r="397" spans="2:17" x14ac:dyDescent="0.2"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4"/>
    </row>
    <row r="398" spans="2:17" x14ac:dyDescent="0.2"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4"/>
    </row>
    <row r="399" spans="2:17" x14ac:dyDescent="0.2"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4"/>
    </row>
    <row r="400" spans="2:17" x14ac:dyDescent="0.2"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4"/>
    </row>
    <row r="401" spans="2:17" x14ac:dyDescent="0.2"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4"/>
    </row>
    <row r="402" spans="2:17" x14ac:dyDescent="0.2"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4"/>
    </row>
    <row r="403" spans="2:17" x14ac:dyDescent="0.2"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4"/>
    </row>
    <row r="404" spans="2:17" x14ac:dyDescent="0.2"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4"/>
    </row>
    <row r="405" spans="2:17" x14ac:dyDescent="0.2"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4"/>
    </row>
    <row r="406" spans="2:17" x14ac:dyDescent="0.2"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4"/>
    </row>
    <row r="407" spans="2:17" x14ac:dyDescent="0.2"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4"/>
    </row>
    <row r="408" spans="2:17" x14ac:dyDescent="0.2"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4"/>
    </row>
    <row r="409" spans="2:17" x14ac:dyDescent="0.2"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4"/>
    </row>
    <row r="410" spans="2:17" x14ac:dyDescent="0.2"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4"/>
    </row>
    <row r="411" spans="2:17" x14ac:dyDescent="0.2"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4"/>
    </row>
    <row r="412" spans="2:17" x14ac:dyDescent="0.2"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4"/>
    </row>
    <row r="413" spans="2:17" x14ac:dyDescent="0.2"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4"/>
    </row>
    <row r="414" spans="2:17" x14ac:dyDescent="0.2"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4"/>
    </row>
    <row r="415" spans="2:17" x14ac:dyDescent="0.2"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4"/>
    </row>
    <row r="416" spans="2:17" x14ac:dyDescent="0.2"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4"/>
    </row>
    <row r="417" spans="2:17" x14ac:dyDescent="0.2"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4"/>
    </row>
    <row r="418" spans="2:17" x14ac:dyDescent="0.2"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4"/>
    </row>
    <row r="419" spans="2:17" x14ac:dyDescent="0.2"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4"/>
    </row>
    <row r="420" spans="2:17" x14ac:dyDescent="0.2"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4"/>
    </row>
    <row r="421" spans="2:17" x14ac:dyDescent="0.2"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4"/>
    </row>
    <row r="422" spans="2:17" x14ac:dyDescent="0.2"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4"/>
    </row>
    <row r="423" spans="2:17" x14ac:dyDescent="0.2"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4"/>
    </row>
    <row r="424" spans="2:17" x14ac:dyDescent="0.2"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4"/>
    </row>
    <row r="425" spans="2:17" x14ac:dyDescent="0.2"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4"/>
    </row>
    <row r="426" spans="2:17" x14ac:dyDescent="0.2"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4"/>
    </row>
    <row r="427" spans="2:17" x14ac:dyDescent="0.2"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4"/>
    </row>
    <row r="428" spans="2:17" x14ac:dyDescent="0.2"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4"/>
    </row>
    <row r="429" spans="2:17" x14ac:dyDescent="0.2"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4"/>
    </row>
    <row r="430" spans="2:17" x14ac:dyDescent="0.2"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4"/>
    </row>
    <row r="431" spans="2:17" x14ac:dyDescent="0.2"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4"/>
    </row>
    <row r="432" spans="2:17" x14ac:dyDescent="0.2"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4"/>
    </row>
    <row r="433" spans="2:17" x14ac:dyDescent="0.2"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4"/>
    </row>
    <row r="434" spans="2:17" x14ac:dyDescent="0.2"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4"/>
    </row>
    <row r="435" spans="2:17" x14ac:dyDescent="0.2"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4"/>
    </row>
    <row r="436" spans="2:17" x14ac:dyDescent="0.2"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4"/>
    </row>
    <row r="437" spans="2:17" x14ac:dyDescent="0.2"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4"/>
    </row>
    <row r="438" spans="2:17" x14ac:dyDescent="0.2"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4"/>
    </row>
    <row r="439" spans="2:17" x14ac:dyDescent="0.2"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4"/>
    </row>
    <row r="440" spans="2:17" x14ac:dyDescent="0.2"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4"/>
    </row>
    <row r="441" spans="2:17" x14ac:dyDescent="0.2"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4"/>
    </row>
    <row r="442" spans="2:17" x14ac:dyDescent="0.2"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4"/>
    </row>
    <row r="443" spans="2:17" x14ac:dyDescent="0.2"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4"/>
    </row>
    <row r="444" spans="2:17" x14ac:dyDescent="0.2"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4"/>
    </row>
    <row r="445" spans="2:17" x14ac:dyDescent="0.2"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4"/>
    </row>
    <row r="446" spans="2:17" x14ac:dyDescent="0.2"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4"/>
    </row>
    <row r="447" spans="2:17" x14ac:dyDescent="0.2"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4"/>
    </row>
    <row r="448" spans="2:17" x14ac:dyDescent="0.2"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4"/>
    </row>
    <row r="449" spans="2:17" x14ac:dyDescent="0.2"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4"/>
    </row>
    <row r="450" spans="2:17" x14ac:dyDescent="0.2"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4"/>
    </row>
    <row r="451" spans="2:17" x14ac:dyDescent="0.2"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4"/>
    </row>
    <row r="452" spans="2:17" x14ac:dyDescent="0.2"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4"/>
    </row>
    <row r="453" spans="2:17" x14ac:dyDescent="0.2"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4"/>
    </row>
    <row r="454" spans="2:17" x14ac:dyDescent="0.2"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4"/>
    </row>
    <row r="455" spans="2:17" x14ac:dyDescent="0.2"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4"/>
    </row>
    <row r="456" spans="2:17" x14ac:dyDescent="0.2"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4"/>
    </row>
    <row r="457" spans="2:17" x14ac:dyDescent="0.2"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4"/>
    </row>
    <row r="458" spans="2:17" x14ac:dyDescent="0.2"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4"/>
    </row>
    <row r="459" spans="2:17" x14ac:dyDescent="0.2"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4"/>
    </row>
    <row r="460" spans="2:17" x14ac:dyDescent="0.2"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4"/>
    </row>
    <row r="461" spans="2:17" x14ac:dyDescent="0.2"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4"/>
    </row>
    <row r="462" spans="2:17" x14ac:dyDescent="0.2"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4"/>
    </row>
    <row r="463" spans="2:17" x14ac:dyDescent="0.2"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4"/>
    </row>
    <row r="464" spans="2:17" x14ac:dyDescent="0.2"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4"/>
    </row>
    <row r="465" spans="2:17" x14ac:dyDescent="0.2"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4"/>
    </row>
    <row r="466" spans="2:17" x14ac:dyDescent="0.2"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4"/>
    </row>
    <row r="467" spans="2:17" x14ac:dyDescent="0.2"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4"/>
    </row>
    <row r="468" spans="2:17" x14ac:dyDescent="0.2"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4"/>
    </row>
    <row r="469" spans="2:17" x14ac:dyDescent="0.2"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4"/>
    </row>
    <row r="470" spans="2:17" x14ac:dyDescent="0.2"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4"/>
    </row>
    <row r="471" spans="2:17" x14ac:dyDescent="0.2"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4"/>
    </row>
    <row r="472" spans="2:17" x14ac:dyDescent="0.2"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4"/>
    </row>
    <row r="473" spans="2:17" x14ac:dyDescent="0.2"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4"/>
    </row>
    <row r="474" spans="2:17" x14ac:dyDescent="0.2"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4"/>
    </row>
    <row r="475" spans="2:17" x14ac:dyDescent="0.2"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4"/>
    </row>
    <row r="476" spans="2:17" x14ac:dyDescent="0.2"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4"/>
    </row>
    <row r="477" spans="2:17" x14ac:dyDescent="0.2"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4"/>
    </row>
    <row r="478" spans="2:17" x14ac:dyDescent="0.2"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4"/>
    </row>
    <row r="479" spans="2:17" x14ac:dyDescent="0.2"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4"/>
    </row>
    <row r="480" spans="2:17" x14ac:dyDescent="0.2"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4"/>
    </row>
    <row r="481" spans="2:17" x14ac:dyDescent="0.2"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4"/>
    </row>
    <row r="482" spans="2:17" x14ac:dyDescent="0.2"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4"/>
    </row>
    <row r="483" spans="2:17" x14ac:dyDescent="0.2"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4"/>
    </row>
    <row r="484" spans="2:17" x14ac:dyDescent="0.2"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4"/>
    </row>
    <row r="485" spans="2:17" x14ac:dyDescent="0.2"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4"/>
    </row>
    <row r="486" spans="2:17" x14ac:dyDescent="0.2"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4"/>
    </row>
    <row r="487" spans="2:17" x14ac:dyDescent="0.2"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4"/>
    </row>
    <row r="488" spans="2:17" x14ac:dyDescent="0.2"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4"/>
    </row>
    <row r="489" spans="2:17" x14ac:dyDescent="0.2"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4"/>
    </row>
    <row r="490" spans="2:17" x14ac:dyDescent="0.2"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4"/>
    </row>
    <row r="491" spans="2:17" x14ac:dyDescent="0.2"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4"/>
    </row>
    <row r="492" spans="2:17" x14ac:dyDescent="0.2"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4"/>
    </row>
    <row r="493" spans="2:17" x14ac:dyDescent="0.2"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4"/>
    </row>
    <row r="494" spans="2:17" x14ac:dyDescent="0.2"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4"/>
    </row>
    <row r="495" spans="2:17" x14ac:dyDescent="0.2"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4"/>
    </row>
    <row r="496" spans="2:17" x14ac:dyDescent="0.2"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4"/>
    </row>
    <row r="497" spans="2:17" x14ac:dyDescent="0.2"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4"/>
    </row>
    <row r="498" spans="2:17" x14ac:dyDescent="0.2"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4"/>
    </row>
    <row r="499" spans="2:17" x14ac:dyDescent="0.2"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4"/>
    </row>
    <row r="500" spans="2:17" x14ac:dyDescent="0.2"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4"/>
    </row>
    <row r="501" spans="2:17" x14ac:dyDescent="0.2"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4"/>
    </row>
    <row r="502" spans="2:17" x14ac:dyDescent="0.2"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4"/>
    </row>
    <row r="503" spans="2:17" x14ac:dyDescent="0.2"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4"/>
    </row>
    <row r="504" spans="2:17" x14ac:dyDescent="0.2"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4"/>
    </row>
    <row r="505" spans="2:17" x14ac:dyDescent="0.2"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4"/>
    </row>
    <row r="506" spans="2:17" x14ac:dyDescent="0.2"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4"/>
    </row>
    <row r="507" spans="2:17" x14ac:dyDescent="0.2"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4"/>
    </row>
    <row r="508" spans="2:17" x14ac:dyDescent="0.2"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4"/>
    </row>
    <row r="509" spans="2:17" x14ac:dyDescent="0.2"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4"/>
    </row>
    <row r="510" spans="2:17" x14ac:dyDescent="0.2"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4"/>
    </row>
    <row r="511" spans="2:17" x14ac:dyDescent="0.2"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4"/>
    </row>
    <row r="512" spans="2:17" x14ac:dyDescent="0.2"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4"/>
    </row>
    <row r="513" spans="2:17" x14ac:dyDescent="0.2"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4"/>
    </row>
    <row r="514" spans="2:17" x14ac:dyDescent="0.2"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4"/>
    </row>
    <row r="515" spans="2:17" x14ac:dyDescent="0.2"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4"/>
    </row>
    <row r="516" spans="2:17" x14ac:dyDescent="0.2"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4"/>
    </row>
    <row r="517" spans="2:17" x14ac:dyDescent="0.2"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4"/>
    </row>
    <row r="518" spans="2:17" x14ac:dyDescent="0.2"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4"/>
    </row>
    <row r="519" spans="2:17" x14ac:dyDescent="0.2"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4"/>
    </row>
    <row r="520" spans="2:17" x14ac:dyDescent="0.2"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4"/>
    </row>
    <row r="521" spans="2:17" x14ac:dyDescent="0.2"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4"/>
    </row>
    <row r="522" spans="2:17" x14ac:dyDescent="0.2"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4"/>
    </row>
    <row r="523" spans="2:17" x14ac:dyDescent="0.2"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4"/>
    </row>
    <row r="524" spans="2:17" x14ac:dyDescent="0.2"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4"/>
    </row>
    <row r="525" spans="2:17" x14ac:dyDescent="0.2"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4"/>
    </row>
    <row r="526" spans="2:17" x14ac:dyDescent="0.2"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4"/>
    </row>
    <row r="527" spans="2:17" x14ac:dyDescent="0.2"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4"/>
    </row>
    <row r="528" spans="2:17" x14ac:dyDescent="0.2"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4"/>
    </row>
    <row r="529" spans="2:17" x14ac:dyDescent="0.2"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4"/>
    </row>
    <row r="530" spans="2:17" x14ac:dyDescent="0.2"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4"/>
    </row>
    <row r="531" spans="2:17" x14ac:dyDescent="0.2"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4"/>
    </row>
    <row r="532" spans="2:17" x14ac:dyDescent="0.2"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4"/>
    </row>
    <row r="533" spans="2:17" x14ac:dyDescent="0.2"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4"/>
    </row>
    <row r="534" spans="2:17" x14ac:dyDescent="0.2"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4"/>
    </row>
    <row r="535" spans="2:17" x14ac:dyDescent="0.2"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4"/>
    </row>
    <row r="536" spans="2:17" x14ac:dyDescent="0.2"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4"/>
    </row>
    <row r="537" spans="2:17" x14ac:dyDescent="0.2"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4"/>
    </row>
    <row r="538" spans="2:17" x14ac:dyDescent="0.2"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4"/>
    </row>
    <row r="539" spans="2:17" x14ac:dyDescent="0.2"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4"/>
    </row>
    <row r="540" spans="2:17" x14ac:dyDescent="0.2"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4"/>
    </row>
    <row r="541" spans="2:17" x14ac:dyDescent="0.2"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4"/>
    </row>
    <row r="542" spans="2:17" x14ac:dyDescent="0.2"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4"/>
    </row>
    <row r="543" spans="2:17" x14ac:dyDescent="0.2"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4"/>
    </row>
    <row r="544" spans="2:17" x14ac:dyDescent="0.2"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4"/>
    </row>
    <row r="545" spans="2:17" x14ac:dyDescent="0.2"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4"/>
    </row>
    <row r="546" spans="2:17" x14ac:dyDescent="0.2"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4"/>
    </row>
    <row r="547" spans="2:17" x14ac:dyDescent="0.2"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4"/>
    </row>
    <row r="548" spans="2:17" x14ac:dyDescent="0.2"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4"/>
    </row>
    <row r="549" spans="2:17" x14ac:dyDescent="0.2"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4"/>
    </row>
    <row r="550" spans="2:17" x14ac:dyDescent="0.2"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4"/>
    </row>
    <row r="551" spans="2:17" x14ac:dyDescent="0.2"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4"/>
    </row>
    <row r="552" spans="2:17" x14ac:dyDescent="0.2"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4"/>
    </row>
    <row r="553" spans="2:17" x14ac:dyDescent="0.2"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4"/>
    </row>
    <row r="554" spans="2:17" x14ac:dyDescent="0.2"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4"/>
    </row>
    <row r="555" spans="2:17" x14ac:dyDescent="0.2"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4"/>
    </row>
    <row r="556" spans="2:17" x14ac:dyDescent="0.2"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4"/>
    </row>
    <row r="557" spans="2:17" x14ac:dyDescent="0.2"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4"/>
    </row>
    <row r="558" spans="2:17" x14ac:dyDescent="0.2"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4"/>
    </row>
    <row r="559" spans="2:17" x14ac:dyDescent="0.2"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4"/>
    </row>
    <row r="560" spans="2:17" x14ac:dyDescent="0.2"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4"/>
    </row>
    <row r="561" spans="2:17" x14ac:dyDescent="0.2"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4"/>
    </row>
    <row r="562" spans="2:17" x14ac:dyDescent="0.2"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4"/>
    </row>
    <row r="563" spans="2:17" x14ac:dyDescent="0.2"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4"/>
    </row>
    <row r="564" spans="2:17" x14ac:dyDescent="0.2"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4"/>
    </row>
    <row r="565" spans="2:17" x14ac:dyDescent="0.2"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4"/>
    </row>
    <row r="566" spans="2:17" x14ac:dyDescent="0.2"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4"/>
    </row>
    <row r="567" spans="2:17" x14ac:dyDescent="0.2"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4"/>
    </row>
    <row r="568" spans="2:17" x14ac:dyDescent="0.2"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4"/>
    </row>
    <row r="569" spans="2:17" x14ac:dyDescent="0.2"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4"/>
    </row>
    <row r="570" spans="2:17" x14ac:dyDescent="0.2"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4"/>
    </row>
    <row r="571" spans="2:17" x14ac:dyDescent="0.2"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4"/>
    </row>
    <row r="572" spans="2:17" x14ac:dyDescent="0.2"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4"/>
    </row>
    <row r="573" spans="2:17" x14ac:dyDescent="0.2"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4"/>
    </row>
    <row r="574" spans="2:17" x14ac:dyDescent="0.2"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4"/>
    </row>
    <row r="575" spans="2:17" x14ac:dyDescent="0.2"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4"/>
    </row>
    <row r="576" spans="2:17" x14ac:dyDescent="0.2"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4"/>
    </row>
    <row r="577" spans="2:17" x14ac:dyDescent="0.2"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4"/>
    </row>
    <row r="578" spans="2:17" x14ac:dyDescent="0.2"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4"/>
    </row>
    <row r="579" spans="2:17" x14ac:dyDescent="0.2"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4"/>
    </row>
    <row r="580" spans="2:17" x14ac:dyDescent="0.2"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4"/>
    </row>
    <row r="581" spans="2:17" x14ac:dyDescent="0.2"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4"/>
    </row>
    <row r="582" spans="2:17" x14ac:dyDescent="0.2"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4"/>
    </row>
    <row r="583" spans="2:17" x14ac:dyDescent="0.2"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4"/>
    </row>
    <row r="584" spans="2:17" x14ac:dyDescent="0.2"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4"/>
    </row>
    <row r="585" spans="2:17" x14ac:dyDescent="0.2"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4"/>
    </row>
    <row r="586" spans="2:17" x14ac:dyDescent="0.2"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4"/>
    </row>
    <row r="587" spans="2:17" x14ac:dyDescent="0.2"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4"/>
    </row>
    <row r="588" spans="2:17" x14ac:dyDescent="0.2"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4"/>
    </row>
    <row r="589" spans="2:17" x14ac:dyDescent="0.2"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4"/>
    </row>
    <row r="590" spans="2:17" x14ac:dyDescent="0.2"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4"/>
    </row>
    <row r="591" spans="2:17" x14ac:dyDescent="0.2"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4"/>
    </row>
    <row r="592" spans="2:17" x14ac:dyDescent="0.2"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4"/>
    </row>
    <row r="593" spans="2:17" x14ac:dyDescent="0.2"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4"/>
    </row>
    <row r="594" spans="2:17" x14ac:dyDescent="0.2"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4"/>
    </row>
    <row r="595" spans="2:17" x14ac:dyDescent="0.2"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4"/>
    </row>
    <row r="596" spans="2:17" x14ac:dyDescent="0.2"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4"/>
    </row>
    <row r="597" spans="2:17" x14ac:dyDescent="0.2"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4"/>
    </row>
    <row r="598" spans="2:17" x14ac:dyDescent="0.2"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4"/>
    </row>
    <row r="599" spans="2:17" x14ac:dyDescent="0.2"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4"/>
    </row>
    <row r="600" spans="2:17" x14ac:dyDescent="0.2"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4"/>
    </row>
    <row r="601" spans="2:17" x14ac:dyDescent="0.2"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4"/>
    </row>
    <row r="602" spans="2:17" x14ac:dyDescent="0.2"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4"/>
    </row>
    <row r="603" spans="2:17" x14ac:dyDescent="0.2"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4"/>
    </row>
    <row r="604" spans="2:17" x14ac:dyDescent="0.2"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4"/>
    </row>
    <row r="605" spans="2:17" x14ac:dyDescent="0.2"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4"/>
    </row>
    <row r="606" spans="2:17" x14ac:dyDescent="0.2"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4"/>
    </row>
    <row r="607" spans="2:17" x14ac:dyDescent="0.2"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4"/>
    </row>
    <row r="608" spans="2:17" x14ac:dyDescent="0.2"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4"/>
    </row>
    <row r="609" spans="2:17" x14ac:dyDescent="0.2"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4"/>
    </row>
    <row r="610" spans="2:17" x14ac:dyDescent="0.2"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4"/>
    </row>
    <row r="611" spans="2:17" x14ac:dyDescent="0.2"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4"/>
    </row>
    <row r="612" spans="2:17" x14ac:dyDescent="0.2"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4"/>
    </row>
    <row r="613" spans="2:17" x14ac:dyDescent="0.2"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4"/>
    </row>
    <row r="614" spans="2:17" x14ac:dyDescent="0.2"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4"/>
    </row>
    <row r="615" spans="2:17" x14ac:dyDescent="0.2"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4"/>
    </row>
    <row r="616" spans="2:17" x14ac:dyDescent="0.2"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4"/>
    </row>
    <row r="617" spans="2:17" x14ac:dyDescent="0.2"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4"/>
    </row>
    <row r="618" spans="2:17" x14ac:dyDescent="0.2"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4"/>
    </row>
    <row r="619" spans="2:17" x14ac:dyDescent="0.2"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4"/>
    </row>
    <row r="620" spans="2:17" x14ac:dyDescent="0.2"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4"/>
    </row>
    <row r="621" spans="2:17" x14ac:dyDescent="0.2"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4"/>
    </row>
    <row r="622" spans="2:17" x14ac:dyDescent="0.2"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4"/>
    </row>
    <row r="623" spans="2:17" x14ac:dyDescent="0.2"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4"/>
    </row>
    <row r="624" spans="2:17" x14ac:dyDescent="0.2"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4"/>
    </row>
    <row r="625" spans="2:17" x14ac:dyDescent="0.2"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4"/>
    </row>
    <row r="626" spans="2:17" x14ac:dyDescent="0.2"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4"/>
    </row>
    <row r="627" spans="2:17" x14ac:dyDescent="0.2"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4"/>
    </row>
    <row r="628" spans="2:17" x14ac:dyDescent="0.2"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4"/>
    </row>
    <row r="629" spans="2:17" x14ac:dyDescent="0.2"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4"/>
    </row>
    <row r="630" spans="2:17" x14ac:dyDescent="0.2"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4"/>
    </row>
    <row r="631" spans="2:17" x14ac:dyDescent="0.2"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4"/>
    </row>
    <row r="632" spans="2:17" x14ac:dyDescent="0.2"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4"/>
    </row>
    <row r="633" spans="2:17" x14ac:dyDescent="0.2"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4"/>
    </row>
    <row r="634" spans="2:17" x14ac:dyDescent="0.2"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4"/>
    </row>
    <row r="635" spans="2:17" x14ac:dyDescent="0.2"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4"/>
    </row>
    <row r="636" spans="2:17" x14ac:dyDescent="0.2"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4"/>
    </row>
    <row r="637" spans="2:17" x14ac:dyDescent="0.2"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4"/>
    </row>
    <row r="638" spans="2:17" x14ac:dyDescent="0.2"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4"/>
    </row>
    <row r="639" spans="2:17" x14ac:dyDescent="0.2"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4"/>
    </row>
    <row r="640" spans="2:17" x14ac:dyDescent="0.2"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4"/>
    </row>
    <row r="641" spans="2:17" x14ac:dyDescent="0.2"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4"/>
    </row>
    <row r="642" spans="2:17" x14ac:dyDescent="0.2"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4"/>
    </row>
    <row r="643" spans="2:17" x14ac:dyDescent="0.2"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4"/>
    </row>
    <row r="644" spans="2:17" x14ac:dyDescent="0.2"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4"/>
    </row>
    <row r="645" spans="2:17" x14ac:dyDescent="0.2"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4"/>
    </row>
    <row r="646" spans="2:17" x14ac:dyDescent="0.2"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4"/>
    </row>
    <row r="647" spans="2:17" x14ac:dyDescent="0.2"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4"/>
    </row>
    <row r="648" spans="2:17" x14ac:dyDescent="0.2"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4"/>
    </row>
    <row r="649" spans="2:17" x14ac:dyDescent="0.2"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4"/>
    </row>
    <row r="650" spans="2:17" x14ac:dyDescent="0.2"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4"/>
    </row>
    <row r="651" spans="2:17" x14ac:dyDescent="0.2"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4"/>
    </row>
    <row r="652" spans="2:17" x14ac:dyDescent="0.2"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4"/>
    </row>
    <row r="653" spans="2:17" x14ac:dyDescent="0.2"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4"/>
    </row>
    <row r="654" spans="2:17" x14ac:dyDescent="0.2"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4"/>
    </row>
    <row r="655" spans="2:17" x14ac:dyDescent="0.2"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4"/>
    </row>
    <row r="656" spans="2:17" x14ac:dyDescent="0.2"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4"/>
    </row>
    <row r="657" spans="2:17" x14ac:dyDescent="0.2"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4"/>
    </row>
    <row r="658" spans="2:17" x14ac:dyDescent="0.2"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4"/>
    </row>
    <row r="659" spans="2:17" x14ac:dyDescent="0.2"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4"/>
    </row>
    <row r="660" spans="2:17" x14ac:dyDescent="0.2"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4"/>
    </row>
    <row r="661" spans="2:17" x14ac:dyDescent="0.2"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4"/>
    </row>
    <row r="662" spans="2:17" x14ac:dyDescent="0.2"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4"/>
    </row>
    <row r="663" spans="2:17" x14ac:dyDescent="0.2"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4"/>
    </row>
    <row r="664" spans="2:17" x14ac:dyDescent="0.2"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4"/>
    </row>
    <row r="665" spans="2:17" x14ac:dyDescent="0.2"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4"/>
    </row>
    <row r="666" spans="2:17" x14ac:dyDescent="0.2"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4"/>
    </row>
    <row r="667" spans="2:17" x14ac:dyDescent="0.2"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4"/>
    </row>
    <row r="668" spans="2:17" x14ac:dyDescent="0.2"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4"/>
    </row>
    <row r="669" spans="2:17" x14ac:dyDescent="0.2"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4"/>
    </row>
    <row r="670" spans="2:17" x14ac:dyDescent="0.2"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4"/>
    </row>
    <row r="671" spans="2:17" x14ac:dyDescent="0.2"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4"/>
    </row>
    <row r="672" spans="2:17" x14ac:dyDescent="0.2"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4"/>
    </row>
    <row r="673" spans="2:17" x14ac:dyDescent="0.2"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4"/>
    </row>
    <row r="674" spans="2:17" x14ac:dyDescent="0.2"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4"/>
    </row>
    <row r="675" spans="2:17" x14ac:dyDescent="0.2"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4"/>
    </row>
    <row r="676" spans="2:17" x14ac:dyDescent="0.2"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4"/>
    </row>
    <row r="677" spans="2:17" x14ac:dyDescent="0.2"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4"/>
    </row>
    <row r="678" spans="2:17" x14ac:dyDescent="0.2"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4"/>
    </row>
    <row r="679" spans="2:17" x14ac:dyDescent="0.2"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4"/>
    </row>
    <row r="680" spans="2:17" x14ac:dyDescent="0.2"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4"/>
    </row>
    <row r="681" spans="2:17" x14ac:dyDescent="0.2"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4"/>
    </row>
    <row r="682" spans="2:17" x14ac:dyDescent="0.2"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4"/>
    </row>
    <row r="683" spans="2:17" x14ac:dyDescent="0.2"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4"/>
    </row>
    <row r="684" spans="2:17" x14ac:dyDescent="0.2"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4"/>
    </row>
    <row r="685" spans="2:17" x14ac:dyDescent="0.2"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4"/>
    </row>
    <row r="686" spans="2:17" x14ac:dyDescent="0.2"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4"/>
    </row>
    <row r="687" spans="2:17" x14ac:dyDescent="0.2"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4"/>
    </row>
    <row r="688" spans="2:17" x14ac:dyDescent="0.2"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4"/>
    </row>
    <row r="689" spans="2:17" x14ac:dyDescent="0.2"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4"/>
    </row>
    <row r="690" spans="2:17" x14ac:dyDescent="0.2"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4"/>
    </row>
    <row r="691" spans="2:17" x14ac:dyDescent="0.2"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4"/>
    </row>
    <row r="692" spans="2:17" x14ac:dyDescent="0.2"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4"/>
    </row>
    <row r="693" spans="2:17" x14ac:dyDescent="0.2"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4"/>
    </row>
    <row r="694" spans="2:17" x14ac:dyDescent="0.2"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4"/>
    </row>
    <row r="695" spans="2:17" x14ac:dyDescent="0.2"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4"/>
    </row>
    <row r="696" spans="2:17" x14ac:dyDescent="0.2"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4"/>
    </row>
    <row r="697" spans="2:17" x14ac:dyDescent="0.2"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4"/>
    </row>
    <row r="698" spans="2:17" x14ac:dyDescent="0.2"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4"/>
    </row>
    <row r="699" spans="2:17" x14ac:dyDescent="0.2"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4"/>
    </row>
    <row r="700" spans="2:17" x14ac:dyDescent="0.2"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4"/>
    </row>
    <row r="701" spans="2:17" x14ac:dyDescent="0.2"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4"/>
    </row>
    <row r="702" spans="2:17" x14ac:dyDescent="0.2"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4"/>
    </row>
    <row r="703" spans="2:17" x14ac:dyDescent="0.2"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4"/>
    </row>
    <row r="704" spans="2:17" x14ac:dyDescent="0.2"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4"/>
    </row>
    <row r="705" spans="2:17" x14ac:dyDescent="0.2"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4"/>
    </row>
    <row r="706" spans="2:17" x14ac:dyDescent="0.2"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4"/>
    </row>
    <row r="707" spans="2:17" x14ac:dyDescent="0.2"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4"/>
    </row>
    <row r="708" spans="2:17" x14ac:dyDescent="0.2"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4"/>
    </row>
    <row r="709" spans="2:17" x14ac:dyDescent="0.2"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4"/>
    </row>
    <row r="710" spans="2:17" x14ac:dyDescent="0.2"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4"/>
    </row>
    <row r="711" spans="2:17" x14ac:dyDescent="0.2"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4"/>
    </row>
    <row r="712" spans="2:17" x14ac:dyDescent="0.2"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4"/>
    </row>
    <row r="713" spans="2:17" x14ac:dyDescent="0.2"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4"/>
    </row>
    <row r="714" spans="2:17" x14ac:dyDescent="0.2"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4"/>
    </row>
    <row r="715" spans="2:17" x14ac:dyDescent="0.2"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4"/>
    </row>
    <row r="716" spans="2:17" x14ac:dyDescent="0.2"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4"/>
    </row>
    <row r="717" spans="2:17" x14ac:dyDescent="0.2"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4"/>
    </row>
    <row r="718" spans="2:17" x14ac:dyDescent="0.2"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4"/>
    </row>
    <row r="719" spans="2:17" x14ac:dyDescent="0.2"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4"/>
    </row>
    <row r="720" spans="2:17" x14ac:dyDescent="0.2"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4"/>
    </row>
    <row r="721" spans="2:17" x14ac:dyDescent="0.2"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4"/>
    </row>
    <row r="722" spans="2:17" x14ac:dyDescent="0.2"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4"/>
    </row>
    <row r="723" spans="2:17" x14ac:dyDescent="0.2"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4"/>
    </row>
    <row r="724" spans="2:17" x14ac:dyDescent="0.2"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4"/>
    </row>
    <row r="725" spans="2:17" x14ac:dyDescent="0.2"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4"/>
    </row>
    <row r="726" spans="2:17" x14ac:dyDescent="0.2"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4"/>
    </row>
    <row r="727" spans="2:17" x14ac:dyDescent="0.2"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4"/>
    </row>
    <row r="728" spans="2:17" x14ac:dyDescent="0.2"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4"/>
    </row>
    <row r="729" spans="2:17" x14ac:dyDescent="0.2"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4"/>
    </row>
    <row r="730" spans="2:17" x14ac:dyDescent="0.2"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4"/>
    </row>
    <row r="731" spans="2:17" x14ac:dyDescent="0.2"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4"/>
    </row>
    <row r="732" spans="2:17" x14ac:dyDescent="0.2"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4"/>
    </row>
    <row r="733" spans="2:17" x14ac:dyDescent="0.2"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4"/>
    </row>
    <row r="734" spans="2:17" x14ac:dyDescent="0.2"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4"/>
    </row>
    <row r="735" spans="2:17" x14ac:dyDescent="0.2"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4"/>
    </row>
    <row r="736" spans="2:17" x14ac:dyDescent="0.2"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4"/>
    </row>
    <row r="737" spans="2:17" x14ac:dyDescent="0.2"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4"/>
    </row>
    <row r="738" spans="2:17" x14ac:dyDescent="0.2"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4"/>
    </row>
    <row r="739" spans="2:17" x14ac:dyDescent="0.2"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4"/>
    </row>
    <row r="740" spans="2:17" x14ac:dyDescent="0.2"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4"/>
    </row>
    <row r="741" spans="2:17" x14ac:dyDescent="0.2"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4"/>
    </row>
    <row r="742" spans="2:17" x14ac:dyDescent="0.2"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4"/>
    </row>
    <row r="743" spans="2:17" x14ac:dyDescent="0.2"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4"/>
    </row>
    <row r="744" spans="2:17" x14ac:dyDescent="0.2"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4"/>
    </row>
    <row r="745" spans="2:17" x14ac:dyDescent="0.2"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4"/>
    </row>
    <row r="746" spans="2:17" x14ac:dyDescent="0.2"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4"/>
    </row>
    <row r="747" spans="2:17" x14ac:dyDescent="0.2"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4"/>
    </row>
    <row r="748" spans="2:17" x14ac:dyDescent="0.2"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4"/>
    </row>
    <row r="749" spans="2:17" x14ac:dyDescent="0.2"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4"/>
    </row>
    <row r="750" spans="2:17" x14ac:dyDescent="0.2"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4"/>
    </row>
    <row r="751" spans="2:17" x14ac:dyDescent="0.2"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4"/>
    </row>
    <row r="752" spans="2:17" x14ac:dyDescent="0.2"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4"/>
    </row>
    <row r="753" spans="2:17" x14ac:dyDescent="0.2"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4"/>
    </row>
    <row r="754" spans="2:17" x14ac:dyDescent="0.2"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4"/>
    </row>
    <row r="755" spans="2:17" x14ac:dyDescent="0.2"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4"/>
    </row>
    <row r="756" spans="2:17" x14ac:dyDescent="0.2"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4"/>
    </row>
    <row r="757" spans="2:17" x14ac:dyDescent="0.2"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4"/>
    </row>
    <row r="758" spans="2:17" x14ac:dyDescent="0.2"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4"/>
    </row>
    <row r="759" spans="2:17" x14ac:dyDescent="0.2"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4"/>
    </row>
    <row r="760" spans="2:17" x14ac:dyDescent="0.2"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4"/>
    </row>
    <row r="761" spans="2:17" x14ac:dyDescent="0.2"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4"/>
    </row>
    <row r="762" spans="2:17" x14ac:dyDescent="0.2"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4"/>
    </row>
    <row r="763" spans="2:17" x14ac:dyDescent="0.2"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4"/>
    </row>
    <row r="764" spans="2:17" x14ac:dyDescent="0.2"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4"/>
    </row>
    <row r="765" spans="2:17" x14ac:dyDescent="0.2"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4"/>
    </row>
    <row r="766" spans="2:17" x14ac:dyDescent="0.2"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4"/>
    </row>
    <row r="767" spans="2:17" x14ac:dyDescent="0.2"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4"/>
    </row>
    <row r="768" spans="2:17" x14ac:dyDescent="0.2"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4"/>
    </row>
    <row r="769" spans="2:17" x14ac:dyDescent="0.2"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4"/>
    </row>
    <row r="770" spans="2:17" x14ac:dyDescent="0.2"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4"/>
    </row>
    <row r="771" spans="2:17" x14ac:dyDescent="0.2"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4"/>
    </row>
    <row r="772" spans="2:17" x14ac:dyDescent="0.2"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4"/>
    </row>
    <row r="773" spans="2:17" x14ac:dyDescent="0.2"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4"/>
    </row>
    <row r="774" spans="2:17" x14ac:dyDescent="0.2"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4"/>
    </row>
    <row r="775" spans="2:17" x14ac:dyDescent="0.2"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4"/>
    </row>
    <row r="776" spans="2:17" x14ac:dyDescent="0.2"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4"/>
    </row>
    <row r="777" spans="2:17" x14ac:dyDescent="0.2"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4"/>
    </row>
    <row r="778" spans="2:17" x14ac:dyDescent="0.2"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4"/>
    </row>
    <row r="779" spans="2:17" x14ac:dyDescent="0.2"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4"/>
    </row>
    <row r="780" spans="2:17" x14ac:dyDescent="0.2"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4"/>
    </row>
    <row r="781" spans="2:17" x14ac:dyDescent="0.2"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4"/>
    </row>
    <row r="782" spans="2:17" x14ac:dyDescent="0.2"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4"/>
    </row>
    <row r="783" spans="2:17" x14ac:dyDescent="0.2"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4"/>
    </row>
    <row r="784" spans="2:17" x14ac:dyDescent="0.2"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4"/>
    </row>
    <row r="785" spans="2:17" x14ac:dyDescent="0.2"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4"/>
    </row>
    <row r="786" spans="2:17" x14ac:dyDescent="0.2"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4"/>
    </row>
    <row r="787" spans="2:17" x14ac:dyDescent="0.2"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4"/>
    </row>
    <row r="788" spans="2:17" x14ac:dyDescent="0.2"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4"/>
    </row>
    <row r="789" spans="2:17" x14ac:dyDescent="0.2"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4"/>
    </row>
    <row r="790" spans="2:17" x14ac:dyDescent="0.2"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4"/>
    </row>
    <row r="791" spans="2:17" x14ac:dyDescent="0.2"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4"/>
    </row>
    <row r="792" spans="2:17" x14ac:dyDescent="0.2"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4"/>
    </row>
    <row r="793" spans="2:17" x14ac:dyDescent="0.2"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4"/>
    </row>
    <row r="794" spans="2:17" x14ac:dyDescent="0.2"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4"/>
    </row>
    <row r="795" spans="2:17" x14ac:dyDescent="0.2"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4"/>
    </row>
    <row r="796" spans="2:17" x14ac:dyDescent="0.2"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4"/>
    </row>
    <row r="797" spans="2:17" x14ac:dyDescent="0.2"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4"/>
    </row>
    <row r="798" spans="2:17" x14ac:dyDescent="0.2"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4"/>
    </row>
    <row r="799" spans="2:17" x14ac:dyDescent="0.2"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4"/>
    </row>
    <row r="800" spans="2:17" x14ac:dyDescent="0.2"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4"/>
    </row>
    <row r="801" spans="2:17" x14ac:dyDescent="0.2"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4"/>
    </row>
    <row r="802" spans="2:17" x14ac:dyDescent="0.2"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4"/>
    </row>
    <row r="803" spans="2:17" x14ac:dyDescent="0.2"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4"/>
    </row>
    <row r="804" spans="2:17" x14ac:dyDescent="0.2"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4"/>
    </row>
    <row r="805" spans="2:17" x14ac:dyDescent="0.2"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4"/>
    </row>
    <row r="806" spans="2:17" x14ac:dyDescent="0.2"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4"/>
    </row>
    <row r="807" spans="2:17" x14ac:dyDescent="0.2"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4"/>
    </row>
    <row r="808" spans="2:17" x14ac:dyDescent="0.2"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4"/>
    </row>
    <row r="809" spans="2:17" x14ac:dyDescent="0.2"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4"/>
    </row>
    <row r="810" spans="2:17" x14ac:dyDescent="0.2"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4"/>
    </row>
    <row r="811" spans="2:17" x14ac:dyDescent="0.2"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4"/>
    </row>
    <row r="812" spans="2:17" x14ac:dyDescent="0.2"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4"/>
    </row>
    <row r="813" spans="2:17" x14ac:dyDescent="0.2"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4"/>
    </row>
    <row r="814" spans="2:17" x14ac:dyDescent="0.2"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4"/>
    </row>
    <row r="815" spans="2:17" x14ac:dyDescent="0.2"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4"/>
    </row>
    <row r="816" spans="2:17" x14ac:dyDescent="0.2"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4"/>
    </row>
    <row r="817" spans="2:17" x14ac:dyDescent="0.2"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4"/>
    </row>
    <row r="818" spans="2:17" x14ac:dyDescent="0.2"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4"/>
    </row>
    <row r="819" spans="2:17" x14ac:dyDescent="0.2"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4"/>
    </row>
    <row r="820" spans="2:17" x14ac:dyDescent="0.2"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4"/>
    </row>
    <row r="821" spans="2:17" x14ac:dyDescent="0.2"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4"/>
    </row>
    <row r="822" spans="2:17" x14ac:dyDescent="0.2"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4"/>
    </row>
    <row r="823" spans="2:17" x14ac:dyDescent="0.2"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4"/>
    </row>
    <row r="824" spans="2:17" x14ac:dyDescent="0.2"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4"/>
    </row>
    <row r="825" spans="2:17" x14ac:dyDescent="0.2"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4"/>
    </row>
    <row r="826" spans="2:17" x14ac:dyDescent="0.2"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4"/>
    </row>
    <row r="827" spans="2:17" x14ac:dyDescent="0.2"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4"/>
    </row>
    <row r="828" spans="2:17" x14ac:dyDescent="0.2"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4"/>
    </row>
    <row r="829" spans="2:17" x14ac:dyDescent="0.2"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4"/>
    </row>
    <row r="830" spans="2:17" x14ac:dyDescent="0.2"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4"/>
    </row>
    <row r="831" spans="2:17" x14ac:dyDescent="0.2"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4"/>
    </row>
    <row r="832" spans="2:17" x14ac:dyDescent="0.2"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4"/>
    </row>
    <row r="833" spans="2:17" x14ac:dyDescent="0.2"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4"/>
    </row>
    <row r="834" spans="2:17" x14ac:dyDescent="0.2"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4"/>
    </row>
    <row r="835" spans="2:17" x14ac:dyDescent="0.2"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4"/>
    </row>
    <row r="836" spans="2:17" x14ac:dyDescent="0.2"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4"/>
    </row>
    <row r="837" spans="2:17" x14ac:dyDescent="0.2"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4"/>
    </row>
    <row r="838" spans="2:17" x14ac:dyDescent="0.2"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4"/>
    </row>
    <row r="839" spans="2:17" x14ac:dyDescent="0.2"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4"/>
    </row>
    <row r="840" spans="2:17" x14ac:dyDescent="0.2"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4"/>
    </row>
    <row r="841" spans="2:17" x14ac:dyDescent="0.2"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4"/>
    </row>
    <row r="842" spans="2:17" x14ac:dyDescent="0.2"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4"/>
    </row>
    <row r="843" spans="2:17" x14ac:dyDescent="0.2"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4"/>
    </row>
    <row r="844" spans="2:17" x14ac:dyDescent="0.2"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4"/>
    </row>
    <row r="845" spans="2:17" x14ac:dyDescent="0.2"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4"/>
    </row>
    <row r="846" spans="2:17" x14ac:dyDescent="0.2"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4"/>
    </row>
    <row r="847" spans="2:17" x14ac:dyDescent="0.2"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4"/>
    </row>
    <row r="848" spans="2:17" x14ac:dyDescent="0.2"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4"/>
    </row>
    <row r="849" spans="2:17" x14ac:dyDescent="0.2"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4"/>
    </row>
    <row r="850" spans="2:17" x14ac:dyDescent="0.2"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4"/>
    </row>
    <row r="851" spans="2:17" x14ac:dyDescent="0.2"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4"/>
    </row>
    <row r="852" spans="2:17" x14ac:dyDescent="0.2"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4"/>
    </row>
    <row r="853" spans="2:17" x14ac:dyDescent="0.2"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4"/>
    </row>
    <row r="854" spans="2:17" x14ac:dyDescent="0.2"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4"/>
    </row>
    <row r="855" spans="2:17" x14ac:dyDescent="0.2"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4"/>
    </row>
    <row r="856" spans="2:17" x14ac:dyDescent="0.2"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4"/>
    </row>
    <row r="857" spans="2:17" x14ac:dyDescent="0.2"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4"/>
    </row>
    <row r="858" spans="2:17" x14ac:dyDescent="0.2"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4"/>
    </row>
    <row r="859" spans="2:17" x14ac:dyDescent="0.2"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4"/>
    </row>
    <row r="860" spans="2:17" x14ac:dyDescent="0.2"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4"/>
    </row>
    <row r="861" spans="2:17" x14ac:dyDescent="0.2"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4"/>
    </row>
    <row r="862" spans="2:17" x14ac:dyDescent="0.2"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4"/>
    </row>
    <row r="863" spans="2:17" x14ac:dyDescent="0.2"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4"/>
    </row>
    <row r="864" spans="2:17" x14ac:dyDescent="0.2"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4"/>
    </row>
    <row r="865" spans="2:17" x14ac:dyDescent="0.2"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4"/>
    </row>
    <row r="866" spans="2:17" x14ac:dyDescent="0.2"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4"/>
    </row>
    <row r="867" spans="2:17" x14ac:dyDescent="0.2"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4"/>
    </row>
    <row r="868" spans="2:17" x14ac:dyDescent="0.2"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4"/>
    </row>
    <row r="869" spans="2:17" x14ac:dyDescent="0.2"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4"/>
    </row>
    <row r="870" spans="2:17" x14ac:dyDescent="0.2"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4"/>
    </row>
    <row r="871" spans="2:17" x14ac:dyDescent="0.2"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4"/>
    </row>
    <row r="872" spans="2:17" x14ac:dyDescent="0.2"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4"/>
    </row>
    <row r="873" spans="2:17" x14ac:dyDescent="0.2"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4"/>
    </row>
    <row r="874" spans="2:17" x14ac:dyDescent="0.2"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4"/>
    </row>
    <row r="875" spans="2:17" x14ac:dyDescent="0.2"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4"/>
    </row>
    <row r="876" spans="2:17" x14ac:dyDescent="0.2"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4"/>
    </row>
    <row r="877" spans="2:17" x14ac:dyDescent="0.2"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4"/>
    </row>
    <row r="878" spans="2:17" x14ac:dyDescent="0.2"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4"/>
    </row>
    <row r="879" spans="2:17" x14ac:dyDescent="0.2"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4"/>
    </row>
    <row r="880" spans="2:17" x14ac:dyDescent="0.2"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4"/>
    </row>
    <row r="881" spans="2:17" x14ac:dyDescent="0.2"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4"/>
    </row>
    <row r="882" spans="2:17" x14ac:dyDescent="0.2"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4"/>
    </row>
    <row r="883" spans="2:17" x14ac:dyDescent="0.2"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4"/>
    </row>
    <row r="884" spans="2:17" x14ac:dyDescent="0.2"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4"/>
    </row>
    <row r="885" spans="2:17" x14ac:dyDescent="0.2"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4"/>
    </row>
    <row r="886" spans="2:17" x14ac:dyDescent="0.2"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4"/>
    </row>
    <row r="887" spans="2:17" x14ac:dyDescent="0.2"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4"/>
    </row>
    <row r="888" spans="2:17" x14ac:dyDescent="0.2"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4"/>
    </row>
    <row r="889" spans="2:17" x14ac:dyDescent="0.2"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4"/>
    </row>
    <row r="890" spans="2:17" x14ac:dyDescent="0.2"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4"/>
    </row>
    <row r="891" spans="2:17" x14ac:dyDescent="0.2"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4"/>
    </row>
    <row r="892" spans="2:17" x14ac:dyDescent="0.2"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4"/>
    </row>
    <row r="893" spans="2:17" x14ac:dyDescent="0.2"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4"/>
    </row>
    <row r="894" spans="2:17" x14ac:dyDescent="0.2"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4"/>
    </row>
    <row r="895" spans="2:17" x14ac:dyDescent="0.2"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4"/>
    </row>
    <row r="896" spans="2:17" x14ac:dyDescent="0.2"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4"/>
    </row>
    <row r="897" spans="2:17" x14ac:dyDescent="0.2"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4"/>
    </row>
    <row r="898" spans="2:17" x14ac:dyDescent="0.2"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4"/>
    </row>
    <row r="899" spans="2:17" x14ac:dyDescent="0.2"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4"/>
    </row>
    <row r="900" spans="2:17" x14ac:dyDescent="0.2"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4"/>
    </row>
    <row r="901" spans="2:17" x14ac:dyDescent="0.2"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4"/>
    </row>
    <row r="902" spans="2:17" x14ac:dyDescent="0.2"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4"/>
    </row>
    <row r="903" spans="2:17" x14ac:dyDescent="0.2"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4"/>
    </row>
    <row r="904" spans="2:17" x14ac:dyDescent="0.2"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4"/>
    </row>
    <row r="905" spans="2:17" x14ac:dyDescent="0.2"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4"/>
    </row>
    <row r="906" spans="2:17" x14ac:dyDescent="0.2"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4"/>
    </row>
    <row r="907" spans="2:17" x14ac:dyDescent="0.2"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4"/>
    </row>
    <row r="908" spans="2:17" x14ac:dyDescent="0.2"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4"/>
    </row>
    <row r="909" spans="2:17" x14ac:dyDescent="0.2"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4"/>
    </row>
    <row r="910" spans="2:17" x14ac:dyDescent="0.2"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4"/>
    </row>
    <row r="911" spans="2:17" x14ac:dyDescent="0.2"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4"/>
    </row>
    <row r="912" spans="2:17" x14ac:dyDescent="0.2"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4"/>
    </row>
    <row r="913" spans="2:17" x14ac:dyDescent="0.2"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4"/>
    </row>
    <row r="914" spans="2:17" x14ac:dyDescent="0.2"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4"/>
    </row>
    <row r="915" spans="2:17" x14ac:dyDescent="0.2"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4"/>
    </row>
    <row r="916" spans="2:17" x14ac:dyDescent="0.2"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4"/>
    </row>
    <row r="917" spans="2:17" x14ac:dyDescent="0.2"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4"/>
    </row>
    <row r="918" spans="2:17" x14ac:dyDescent="0.2"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4"/>
    </row>
    <row r="919" spans="2:17" x14ac:dyDescent="0.2"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4"/>
    </row>
    <row r="920" spans="2:17" x14ac:dyDescent="0.2"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4"/>
    </row>
    <row r="921" spans="2:17" x14ac:dyDescent="0.2"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4"/>
    </row>
    <row r="922" spans="2:17" x14ac:dyDescent="0.2"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4"/>
    </row>
    <row r="923" spans="2:17" x14ac:dyDescent="0.2"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4"/>
    </row>
    <row r="924" spans="2:17" x14ac:dyDescent="0.2"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4"/>
    </row>
    <row r="925" spans="2:17" x14ac:dyDescent="0.2"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4"/>
    </row>
    <row r="926" spans="2:17" x14ac:dyDescent="0.2"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4"/>
    </row>
    <row r="927" spans="2:17" x14ac:dyDescent="0.2"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4"/>
    </row>
    <row r="928" spans="2:17" x14ac:dyDescent="0.2"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4"/>
    </row>
    <row r="929" spans="2:17" x14ac:dyDescent="0.2"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4"/>
    </row>
    <row r="930" spans="2:17" x14ac:dyDescent="0.2"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4"/>
    </row>
    <row r="931" spans="2:17" x14ac:dyDescent="0.2"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4"/>
    </row>
    <row r="932" spans="2:17" x14ac:dyDescent="0.2"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4"/>
    </row>
    <row r="933" spans="2:17" x14ac:dyDescent="0.2"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4"/>
    </row>
    <row r="934" spans="2:17" x14ac:dyDescent="0.2"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4"/>
    </row>
    <row r="935" spans="2:17" x14ac:dyDescent="0.2"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4"/>
    </row>
    <row r="936" spans="2:17" x14ac:dyDescent="0.2"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4"/>
    </row>
    <row r="937" spans="2:17" x14ac:dyDescent="0.2"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4"/>
    </row>
    <row r="938" spans="2:17" x14ac:dyDescent="0.2"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4"/>
    </row>
    <row r="939" spans="2:17" x14ac:dyDescent="0.2"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4"/>
    </row>
    <row r="940" spans="2:17" x14ac:dyDescent="0.2"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4"/>
    </row>
    <row r="941" spans="2:17" x14ac:dyDescent="0.2"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4"/>
    </row>
    <row r="942" spans="2:17" x14ac:dyDescent="0.2"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4"/>
    </row>
    <row r="943" spans="2:17" x14ac:dyDescent="0.2"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4"/>
    </row>
    <row r="944" spans="2:17" x14ac:dyDescent="0.2"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4"/>
    </row>
    <row r="945" spans="2:17" x14ac:dyDescent="0.2"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4"/>
    </row>
    <row r="946" spans="2:17" x14ac:dyDescent="0.2"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4"/>
    </row>
    <row r="947" spans="2:17" x14ac:dyDescent="0.2"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4"/>
    </row>
    <row r="948" spans="2:17" x14ac:dyDescent="0.2"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4"/>
    </row>
    <row r="949" spans="2:17" x14ac:dyDescent="0.2"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4"/>
    </row>
    <row r="950" spans="2:17" x14ac:dyDescent="0.2"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4"/>
    </row>
    <row r="951" spans="2:17" x14ac:dyDescent="0.2"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4"/>
    </row>
    <row r="952" spans="2:17" x14ac:dyDescent="0.2"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4"/>
    </row>
    <row r="953" spans="2:17" x14ac:dyDescent="0.2"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4"/>
    </row>
    <row r="954" spans="2:17" x14ac:dyDescent="0.2"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4"/>
    </row>
    <row r="955" spans="2:17" x14ac:dyDescent="0.2"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4"/>
    </row>
    <row r="956" spans="2:17" x14ac:dyDescent="0.2"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4"/>
    </row>
    <row r="957" spans="2:17" x14ac:dyDescent="0.2"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4"/>
    </row>
    <row r="958" spans="2:17" x14ac:dyDescent="0.2"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4"/>
    </row>
    <row r="959" spans="2:17" x14ac:dyDescent="0.2"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4"/>
    </row>
    <row r="960" spans="2:17" x14ac:dyDescent="0.2"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4"/>
    </row>
    <row r="961" spans="2:17" x14ac:dyDescent="0.2"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4"/>
    </row>
    <row r="962" spans="2:17" x14ac:dyDescent="0.2"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4"/>
    </row>
    <row r="963" spans="2:17" x14ac:dyDescent="0.2"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4"/>
    </row>
    <row r="964" spans="2:17" x14ac:dyDescent="0.2"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4"/>
    </row>
    <row r="965" spans="2:17" x14ac:dyDescent="0.2"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4"/>
    </row>
    <row r="966" spans="2:17" x14ac:dyDescent="0.2"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4"/>
    </row>
    <row r="967" spans="2:17" x14ac:dyDescent="0.2"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4"/>
    </row>
    <row r="968" spans="2:17" x14ac:dyDescent="0.2"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4"/>
    </row>
    <row r="969" spans="2:17" x14ac:dyDescent="0.2"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4"/>
    </row>
    <row r="970" spans="2:17" x14ac:dyDescent="0.2"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4"/>
    </row>
    <row r="971" spans="2:17" x14ac:dyDescent="0.2"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4"/>
    </row>
    <row r="972" spans="2:17" x14ac:dyDescent="0.2"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4"/>
    </row>
    <row r="973" spans="2:17" x14ac:dyDescent="0.2"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4"/>
    </row>
    <row r="974" spans="2:17" x14ac:dyDescent="0.2"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4"/>
    </row>
    <row r="975" spans="2:17" x14ac:dyDescent="0.2"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4"/>
    </row>
    <row r="976" spans="2:17" x14ac:dyDescent="0.2"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4"/>
    </row>
    <row r="977" spans="2:17" x14ac:dyDescent="0.2"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4"/>
    </row>
    <row r="978" spans="2:17" x14ac:dyDescent="0.2"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4"/>
    </row>
    <row r="979" spans="2:17" x14ac:dyDescent="0.2"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4"/>
    </row>
    <row r="980" spans="2:17" x14ac:dyDescent="0.2"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4"/>
    </row>
    <row r="981" spans="2:17" x14ac:dyDescent="0.2"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4"/>
    </row>
    <row r="982" spans="2:17" x14ac:dyDescent="0.2"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4"/>
    </row>
    <row r="983" spans="2:17" x14ac:dyDescent="0.2"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4"/>
    </row>
    <row r="984" spans="2:17" x14ac:dyDescent="0.2"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4"/>
    </row>
    <row r="985" spans="2:17" x14ac:dyDescent="0.2"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4"/>
    </row>
    <row r="986" spans="2:17" x14ac:dyDescent="0.2"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4"/>
    </row>
    <row r="987" spans="2:17" x14ac:dyDescent="0.2"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4"/>
    </row>
    <row r="988" spans="2:17" x14ac:dyDescent="0.2"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4"/>
    </row>
    <row r="989" spans="2:17" x14ac:dyDescent="0.2"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4"/>
    </row>
    <row r="990" spans="2:17" x14ac:dyDescent="0.2"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4"/>
    </row>
    <row r="991" spans="2:17" x14ac:dyDescent="0.2"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4"/>
    </row>
    <row r="992" spans="2:17" x14ac:dyDescent="0.2"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4"/>
    </row>
    <row r="993" spans="2:17" x14ac:dyDescent="0.2"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4"/>
    </row>
    <row r="994" spans="2:17" x14ac:dyDescent="0.2"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4"/>
    </row>
    <row r="995" spans="2:17" x14ac:dyDescent="0.2"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4"/>
    </row>
    <row r="996" spans="2:17" x14ac:dyDescent="0.2"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4"/>
    </row>
    <row r="997" spans="2:17" x14ac:dyDescent="0.2"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4"/>
    </row>
    <row r="998" spans="2:17" x14ac:dyDescent="0.2"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4"/>
    </row>
    <row r="999" spans="2:17" x14ac:dyDescent="0.2"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4"/>
    </row>
    <row r="1000" spans="2:17" x14ac:dyDescent="0.2"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4"/>
    </row>
    <row r="1001" spans="2:17" x14ac:dyDescent="0.2"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4"/>
    </row>
    <row r="1002" spans="2:17" x14ac:dyDescent="0.2"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4"/>
    </row>
    <row r="1003" spans="2:17" x14ac:dyDescent="0.2"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4"/>
    </row>
    <row r="1004" spans="2:17" x14ac:dyDescent="0.2"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4"/>
    </row>
    <row r="1005" spans="2:17" x14ac:dyDescent="0.2">
      <c r="B1005" s="12"/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4"/>
    </row>
    <row r="1006" spans="2:17" x14ac:dyDescent="0.2">
      <c r="B1006" s="12"/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4"/>
    </row>
    <row r="1007" spans="2:17" x14ac:dyDescent="0.2">
      <c r="B1007" s="12"/>
      <c r="C1007" s="12"/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4"/>
    </row>
    <row r="1008" spans="2:17" x14ac:dyDescent="0.2">
      <c r="B1008" s="12"/>
      <c r="C1008" s="12"/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4"/>
    </row>
    <row r="1009" spans="2:17" x14ac:dyDescent="0.2">
      <c r="B1009" s="12"/>
      <c r="C1009" s="12"/>
      <c r="D1009" s="12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4"/>
    </row>
    <row r="1010" spans="2:17" x14ac:dyDescent="0.2">
      <c r="B1010" s="12"/>
      <c r="C1010" s="12"/>
      <c r="D1010" s="12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4"/>
    </row>
    <row r="1011" spans="2:17" x14ac:dyDescent="0.2">
      <c r="B1011" s="12"/>
      <c r="C1011" s="12"/>
      <c r="D1011" s="12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4"/>
    </row>
    <row r="1012" spans="2:17" x14ac:dyDescent="0.2">
      <c r="B1012" s="12"/>
      <c r="C1012" s="12"/>
      <c r="D1012" s="12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4"/>
    </row>
    <row r="1013" spans="2:17" x14ac:dyDescent="0.2">
      <c r="B1013" s="12"/>
      <c r="C1013" s="12"/>
      <c r="D1013" s="12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4"/>
    </row>
    <row r="1014" spans="2:17" x14ac:dyDescent="0.2">
      <c r="B1014" s="12"/>
      <c r="C1014" s="12"/>
      <c r="D1014" s="12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4"/>
    </row>
    <row r="1015" spans="2:17" x14ac:dyDescent="0.2">
      <c r="B1015" s="12"/>
      <c r="C1015" s="12"/>
      <c r="D1015" s="12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4"/>
    </row>
    <row r="1016" spans="2:17" x14ac:dyDescent="0.2">
      <c r="B1016" s="12"/>
      <c r="C1016" s="12"/>
      <c r="D1016" s="12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4"/>
    </row>
    <row r="1017" spans="2:17" x14ac:dyDescent="0.2">
      <c r="B1017" s="12"/>
      <c r="C1017" s="12"/>
      <c r="D1017" s="12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4"/>
    </row>
    <row r="1018" spans="2:17" x14ac:dyDescent="0.2">
      <c r="B1018" s="12"/>
      <c r="C1018" s="12"/>
      <c r="D1018" s="12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4"/>
    </row>
    <row r="1019" spans="2:17" x14ac:dyDescent="0.2">
      <c r="B1019" s="12"/>
      <c r="C1019" s="12"/>
      <c r="D1019" s="12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4"/>
    </row>
    <row r="1020" spans="2:17" x14ac:dyDescent="0.2">
      <c r="B1020" s="12"/>
      <c r="C1020" s="12"/>
      <c r="D1020" s="12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4"/>
    </row>
    <row r="1021" spans="2:17" x14ac:dyDescent="0.2">
      <c r="B1021" s="12"/>
      <c r="C1021" s="12"/>
      <c r="D1021" s="12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4"/>
    </row>
    <row r="1022" spans="2:17" x14ac:dyDescent="0.2">
      <c r="B1022" s="12"/>
      <c r="C1022" s="12"/>
      <c r="D1022" s="12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4"/>
    </row>
    <row r="1023" spans="2:17" x14ac:dyDescent="0.2">
      <c r="B1023" s="12"/>
      <c r="C1023" s="12"/>
      <c r="D1023" s="12"/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4"/>
    </row>
    <row r="1024" spans="2:17" x14ac:dyDescent="0.2">
      <c r="B1024" s="12"/>
      <c r="C1024" s="12"/>
      <c r="D1024" s="12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4"/>
    </row>
    <row r="1025" spans="2:17" x14ac:dyDescent="0.2">
      <c r="B1025" s="12"/>
      <c r="C1025" s="12"/>
      <c r="D1025" s="12"/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4"/>
    </row>
    <row r="1026" spans="2:17" x14ac:dyDescent="0.2">
      <c r="B1026" s="12"/>
      <c r="C1026" s="12"/>
      <c r="D1026" s="12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4"/>
    </row>
    <row r="1027" spans="2:17" x14ac:dyDescent="0.2">
      <c r="B1027" s="12"/>
      <c r="C1027" s="12"/>
      <c r="D1027" s="12"/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4"/>
    </row>
    <row r="1028" spans="2:17" x14ac:dyDescent="0.2">
      <c r="B1028" s="12"/>
      <c r="C1028" s="12"/>
      <c r="D1028" s="12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4"/>
    </row>
    <row r="1029" spans="2:17" x14ac:dyDescent="0.2">
      <c r="B1029" s="12"/>
      <c r="C1029" s="12"/>
      <c r="D1029" s="12"/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4"/>
    </row>
    <row r="1030" spans="2:17" x14ac:dyDescent="0.2">
      <c r="B1030" s="12"/>
      <c r="C1030" s="12"/>
      <c r="D1030" s="12"/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4"/>
    </row>
    <row r="1031" spans="2:17" x14ac:dyDescent="0.2">
      <c r="B1031" s="12"/>
      <c r="C1031" s="12"/>
      <c r="D1031" s="12"/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4"/>
    </row>
    <row r="1032" spans="2:17" x14ac:dyDescent="0.2">
      <c r="B1032" s="12"/>
      <c r="C1032" s="12"/>
      <c r="D1032" s="12"/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4"/>
    </row>
    <row r="1033" spans="2:17" x14ac:dyDescent="0.2">
      <c r="B1033" s="12"/>
      <c r="C1033" s="12"/>
      <c r="D1033" s="12"/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4"/>
    </row>
    <row r="1034" spans="2:17" x14ac:dyDescent="0.2">
      <c r="B1034" s="12"/>
      <c r="C1034" s="12"/>
      <c r="D1034" s="12"/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4"/>
    </row>
    <row r="1035" spans="2:17" x14ac:dyDescent="0.2">
      <c r="B1035" s="12"/>
      <c r="C1035" s="12"/>
      <c r="D1035" s="12"/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4"/>
    </row>
    <row r="1036" spans="2:17" x14ac:dyDescent="0.2">
      <c r="B1036" s="12"/>
      <c r="C1036" s="12"/>
      <c r="D1036" s="12"/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4"/>
    </row>
    <row r="1037" spans="2:17" x14ac:dyDescent="0.2">
      <c r="B1037" s="12"/>
      <c r="C1037" s="12"/>
      <c r="D1037" s="12"/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4"/>
    </row>
    <row r="1038" spans="2:17" x14ac:dyDescent="0.2">
      <c r="B1038" s="12"/>
      <c r="C1038" s="12"/>
      <c r="D1038" s="12"/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4"/>
    </row>
    <row r="1039" spans="2:17" x14ac:dyDescent="0.2">
      <c r="B1039" s="12"/>
      <c r="C1039" s="12"/>
      <c r="D1039" s="12"/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4"/>
    </row>
    <row r="1040" spans="2:17" x14ac:dyDescent="0.2">
      <c r="B1040" s="12"/>
      <c r="C1040" s="12"/>
      <c r="D1040" s="12"/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4"/>
    </row>
    <row r="1041" spans="2:17" x14ac:dyDescent="0.2">
      <c r="B1041" s="12"/>
      <c r="C1041" s="12"/>
      <c r="D1041" s="12"/>
      <c r="E1041" s="12"/>
      <c r="F1041" s="12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4"/>
    </row>
    <row r="1042" spans="2:17" x14ac:dyDescent="0.2">
      <c r="B1042" s="12"/>
      <c r="C1042" s="12"/>
      <c r="D1042" s="12"/>
      <c r="E1042" s="12"/>
      <c r="F1042" s="12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14"/>
    </row>
    <row r="1043" spans="2:17" x14ac:dyDescent="0.2">
      <c r="B1043" s="12"/>
      <c r="C1043" s="12"/>
      <c r="D1043" s="12"/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4"/>
    </row>
    <row r="1044" spans="2:17" x14ac:dyDescent="0.2">
      <c r="B1044" s="12"/>
      <c r="C1044" s="12"/>
      <c r="D1044" s="12"/>
      <c r="E1044" s="12"/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4"/>
    </row>
    <row r="1045" spans="2:17" x14ac:dyDescent="0.2">
      <c r="B1045" s="12"/>
      <c r="C1045" s="12"/>
      <c r="D1045" s="12"/>
      <c r="E1045" s="12"/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4"/>
    </row>
    <row r="1046" spans="2:17" x14ac:dyDescent="0.2">
      <c r="B1046" s="12"/>
      <c r="C1046" s="12"/>
      <c r="D1046" s="12"/>
      <c r="E1046" s="12"/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4"/>
    </row>
    <row r="1047" spans="2:17" x14ac:dyDescent="0.2">
      <c r="B1047" s="12"/>
      <c r="C1047" s="12"/>
      <c r="D1047" s="12"/>
      <c r="E1047" s="12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4"/>
    </row>
    <row r="1048" spans="2:17" x14ac:dyDescent="0.2">
      <c r="B1048" s="12"/>
      <c r="C1048" s="12"/>
      <c r="D1048" s="12"/>
      <c r="E1048" s="12"/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4"/>
    </row>
    <row r="1049" spans="2:17" x14ac:dyDescent="0.2">
      <c r="B1049" s="12"/>
      <c r="C1049" s="12"/>
      <c r="D1049" s="12"/>
      <c r="E1049" s="12"/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14"/>
    </row>
    <row r="1050" spans="2:17" x14ac:dyDescent="0.2">
      <c r="B1050" s="12"/>
      <c r="C1050" s="12"/>
      <c r="D1050" s="12"/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4"/>
    </row>
    <row r="1051" spans="2:17" x14ac:dyDescent="0.2">
      <c r="B1051" s="12"/>
      <c r="C1051" s="12"/>
      <c r="D1051" s="12"/>
      <c r="E1051" s="12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4"/>
    </row>
    <row r="1052" spans="2:17" x14ac:dyDescent="0.2">
      <c r="B1052" s="12"/>
      <c r="C1052" s="12"/>
      <c r="D1052" s="12"/>
      <c r="E1052" s="12"/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  <c r="Q1052" s="14"/>
    </row>
    <row r="1053" spans="2:17" x14ac:dyDescent="0.2">
      <c r="B1053" s="12"/>
      <c r="C1053" s="12"/>
      <c r="D1053" s="12"/>
      <c r="E1053" s="12"/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4"/>
    </row>
    <row r="1054" spans="2:17" x14ac:dyDescent="0.2">
      <c r="B1054" s="12"/>
      <c r="C1054" s="12"/>
      <c r="D1054" s="12"/>
      <c r="E1054" s="12"/>
      <c r="F1054" s="12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  <c r="Q1054" s="14"/>
    </row>
    <row r="1055" spans="2:17" x14ac:dyDescent="0.2">
      <c r="B1055" s="12"/>
      <c r="C1055" s="12"/>
      <c r="D1055" s="12"/>
      <c r="E1055" s="12"/>
      <c r="F1055" s="12"/>
      <c r="G1055" s="12"/>
      <c r="H1055" s="12"/>
      <c r="I1055" s="12"/>
      <c r="J1055" s="12"/>
      <c r="K1055" s="12"/>
      <c r="L1055" s="12"/>
      <c r="M1055" s="12"/>
      <c r="N1055" s="12"/>
      <c r="O1055" s="12"/>
      <c r="P1055" s="12"/>
      <c r="Q1055" s="14"/>
    </row>
    <row r="1056" spans="2:17" x14ac:dyDescent="0.2">
      <c r="B1056" s="12"/>
      <c r="C1056" s="12"/>
      <c r="D1056" s="12"/>
      <c r="E1056" s="12"/>
      <c r="F1056" s="12"/>
      <c r="G1056" s="12"/>
      <c r="H1056" s="12"/>
      <c r="I1056" s="12"/>
      <c r="J1056" s="12"/>
      <c r="K1056" s="12"/>
      <c r="L1056" s="12"/>
      <c r="M1056" s="12"/>
      <c r="N1056" s="12"/>
      <c r="O1056" s="12"/>
      <c r="P1056" s="12"/>
      <c r="Q1056" s="14"/>
    </row>
    <row r="1057" spans="2:17" x14ac:dyDescent="0.2">
      <c r="B1057" s="12"/>
      <c r="C1057" s="12"/>
      <c r="D1057" s="12"/>
      <c r="E1057" s="12"/>
      <c r="F1057" s="12"/>
      <c r="G1057" s="12"/>
      <c r="H1057" s="12"/>
      <c r="I1057" s="12"/>
      <c r="J1057" s="12"/>
      <c r="K1057" s="12"/>
      <c r="L1057" s="12"/>
      <c r="M1057" s="12"/>
      <c r="N1057" s="12"/>
      <c r="O1057" s="12"/>
      <c r="P1057" s="12"/>
      <c r="Q1057" s="14"/>
    </row>
    <row r="1058" spans="2:17" x14ac:dyDescent="0.2">
      <c r="B1058" s="12"/>
      <c r="C1058" s="12"/>
      <c r="D1058" s="12"/>
      <c r="E1058" s="12"/>
      <c r="F1058" s="12"/>
      <c r="G1058" s="12"/>
      <c r="H1058" s="12"/>
      <c r="I1058" s="12"/>
      <c r="J1058" s="12"/>
      <c r="K1058" s="12"/>
      <c r="L1058" s="12"/>
      <c r="M1058" s="12"/>
      <c r="N1058" s="12"/>
      <c r="O1058" s="12"/>
      <c r="P1058" s="12"/>
      <c r="Q1058" s="14"/>
    </row>
    <row r="1059" spans="2:17" x14ac:dyDescent="0.2">
      <c r="B1059" s="12"/>
      <c r="C1059" s="12"/>
      <c r="D1059" s="12"/>
      <c r="E1059" s="12"/>
      <c r="F1059" s="12"/>
      <c r="G1059" s="12"/>
      <c r="H1059" s="12"/>
      <c r="I1059" s="12"/>
      <c r="J1059" s="12"/>
      <c r="K1059" s="12"/>
      <c r="L1059" s="12"/>
      <c r="M1059" s="12"/>
      <c r="N1059" s="12"/>
      <c r="O1059" s="12"/>
      <c r="P1059" s="12"/>
      <c r="Q1059" s="14"/>
    </row>
    <row r="1060" spans="2:17" x14ac:dyDescent="0.2">
      <c r="B1060" s="12"/>
      <c r="C1060" s="12"/>
      <c r="D1060" s="12"/>
      <c r="E1060" s="12"/>
      <c r="F1060" s="12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  <c r="Q1060" s="14"/>
    </row>
    <row r="1061" spans="2:17" x14ac:dyDescent="0.2">
      <c r="B1061" s="12"/>
      <c r="C1061" s="12"/>
      <c r="D1061" s="12"/>
      <c r="E1061" s="12"/>
      <c r="F1061" s="12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  <c r="Q1061" s="14"/>
    </row>
    <row r="1062" spans="2:17" x14ac:dyDescent="0.2">
      <c r="B1062" s="12"/>
      <c r="C1062" s="12"/>
      <c r="D1062" s="12"/>
      <c r="E1062" s="12"/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  <c r="Q1062" s="14"/>
    </row>
    <row r="1063" spans="2:17" x14ac:dyDescent="0.2">
      <c r="B1063" s="12"/>
      <c r="C1063" s="12"/>
      <c r="D1063" s="12"/>
      <c r="E1063" s="12"/>
      <c r="F1063" s="12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  <c r="Q1063" s="14"/>
    </row>
    <row r="1064" spans="2:17" x14ac:dyDescent="0.2">
      <c r="B1064" s="12"/>
      <c r="C1064" s="12"/>
      <c r="D1064" s="12"/>
      <c r="E1064" s="12"/>
      <c r="F1064" s="12"/>
      <c r="G1064" s="12"/>
      <c r="H1064" s="12"/>
      <c r="I1064" s="12"/>
      <c r="J1064" s="12"/>
      <c r="K1064" s="12"/>
      <c r="L1064" s="12"/>
      <c r="M1064" s="12"/>
      <c r="N1064" s="12"/>
      <c r="O1064" s="12"/>
      <c r="P1064" s="12"/>
      <c r="Q1064" s="14"/>
    </row>
    <row r="1065" spans="2:17" x14ac:dyDescent="0.2">
      <c r="B1065" s="12"/>
      <c r="C1065" s="12"/>
      <c r="D1065" s="12"/>
      <c r="E1065" s="12"/>
      <c r="F1065" s="12"/>
      <c r="G1065" s="12"/>
      <c r="H1065" s="12"/>
      <c r="I1065" s="12"/>
      <c r="J1065" s="12"/>
      <c r="K1065" s="12"/>
      <c r="L1065" s="12"/>
      <c r="M1065" s="12"/>
      <c r="N1065" s="12"/>
      <c r="O1065" s="12"/>
      <c r="P1065" s="12"/>
      <c r="Q1065" s="14"/>
    </row>
    <row r="1066" spans="2:17" x14ac:dyDescent="0.2">
      <c r="B1066" s="12"/>
      <c r="C1066" s="12"/>
      <c r="D1066" s="12"/>
      <c r="E1066" s="12"/>
      <c r="F1066" s="12"/>
      <c r="G1066" s="12"/>
      <c r="H1066" s="12"/>
      <c r="I1066" s="12"/>
      <c r="J1066" s="12"/>
      <c r="K1066" s="12"/>
      <c r="L1066" s="12"/>
      <c r="M1066" s="12"/>
      <c r="N1066" s="12"/>
      <c r="O1066" s="12"/>
      <c r="P1066" s="12"/>
      <c r="Q1066" s="14"/>
    </row>
    <row r="1067" spans="2:17" x14ac:dyDescent="0.2">
      <c r="B1067" s="12"/>
      <c r="C1067" s="12"/>
      <c r="D1067" s="12"/>
      <c r="E1067" s="12"/>
      <c r="F1067" s="12"/>
      <c r="G1067" s="12"/>
      <c r="H1067" s="12"/>
      <c r="I1067" s="12"/>
      <c r="J1067" s="12"/>
      <c r="K1067" s="12"/>
      <c r="L1067" s="12"/>
      <c r="M1067" s="12"/>
      <c r="N1067" s="12"/>
      <c r="O1067" s="12"/>
      <c r="P1067" s="12"/>
      <c r="Q1067" s="14"/>
    </row>
    <row r="1068" spans="2:17" x14ac:dyDescent="0.2">
      <c r="B1068" s="12"/>
      <c r="C1068" s="12"/>
      <c r="D1068" s="12"/>
      <c r="E1068" s="12"/>
      <c r="F1068" s="12"/>
      <c r="G1068" s="12"/>
      <c r="H1068" s="12"/>
      <c r="I1068" s="12"/>
      <c r="J1068" s="12"/>
      <c r="K1068" s="12"/>
      <c r="L1068" s="12"/>
      <c r="M1068" s="12"/>
      <c r="N1068" s="12"/>
      <c r="O1068" s="12"/>
      <c r="P1068" s="12"/>
      <c r="Q1068" s="14"/>
    </row>
    <row r="1069" spans="2:17" x14ac:dyDescent="0.2">
      <c r="B1069" s="12"/>
      <c r="C1069" s="12"/>
      <c r="D1069" s="12"/>
      <c r="E1069" s="12"/>
      <c r="F1069" s="12"/>
      <c r="G1069" s="12"/>
      <c r="H1069" s="12"/>
      <c r="I1069" s="12"/>
      <c r="J1069" s="12"/>
      <c r="K1069" s="12"/>
      <c r="L1069" s="12"/>
      <c r="M1069" s="12"/>
      <c r="N1069" s="12"/>
      <c r="O1069" s="12"/>
      <c r="P1069" s="12"/>
      <c r="Q1069" s="14"/>
    </row>
    <row r="1070" spans="2:17" x14ac:dyDescent="0.2">
      <c r="B1070" s="12"/>
      <c r="C1070" s="12"/>
      <c r="D1070" s="12"/>
      <c r="E1070" s="12"/>
      <c r="F1070" s="12"/>
      <c r="G1070" s="12"/>
      <c r="H1070" s="12"/>
      <c r="I1070" s="12"/>
      <c r="J1070" s="12"/>
      <c r="K1070" s="12"/>
      <c r="L1070" s="12"/>
      <c r="M1070" s="12"/>
      <c r="N1070" s="12"/>
      <c r="O1070" s="12"/>
      <c r="P1070" s="12"/>
      <c r="Q1070" s="14"/>
    </row>
    <row r="1071" spans="2:17" x14ac:dyDescent="0.2">
      <c r="B1071" s="12"/>
      <c r="C1071" s="12"/>
      <c r="D1071" s="12"/>
      <c r="E1071" s="12"/>
      <c r="F1071" s="12"/>
      <c r="G1071" s="12"/>
      <c r="H1071" s="12"/>
      <c r="I1071" s="12"/>
      <c r="J1071" s="12"/>
      <c r="K1071" s="12"/>
      <c r="L1071" s="12"/>
      <c r="M1071" s="12"/>
      <c r="N1071" s="12"/>
      <c r="O1071" s="12"/>
      <c r="P1071" s="12"/>
      <c r="Q1071" s="14"/>
    </row>
    <row r="1072" spans="2:17" x14ac:dyDescent="0.2">
      <c r="B1072" s="12"/>
      <c r="C1072" s="12"/>
      <c r="D1072" s="12"/>
      <c r="E1072" s="12"/>
      <c r="F1072" s="12"/>
      <c r="G1072" s="12"/>
      <c r="H1072" s="12"/>
      <c r="I1072" s="12"/>
      <c r="J1072" s="12"/>
      <c r="K1072" s="12"/>
      <c r="L1072" s="12"/>
      <c r="M1072" s="12"/>
      <c r="N1072" s="12"/>
      <c r="O1072" s="12"/>
      <c r="P1072" s="12"/>
      <c r="Q1072" s="14"/>
    </row>
    <row r="1073" spans="2:17" x14ac:dyDescent="0.2">
      <c r="B1073" s="12"/>
      <c r="C1073" s="12"/>
      <c r="D1073" s="12"/>
      <c r="E1073" s="12"/>
      <c r="F1073" s="12"/>
      <c r="G1073" s="12"/>
      <c r="H1073" s="12"/>
      <c r="I1073" s="12"/>
      <c r="J1073" s="12"/>
      <c r="K1073" s="12"/>
      <c r="L1073" s="12"/>
      <c r="M1073" s="12"/>
      <c r="N1073" s="12"/>
      <c r="O1073" s="12"/>
      <c r="P1073" s="12"/>
      <c r="Q1073" s="14"/>
    </row>
    <row r="1074" spans="2:17" x14ac:dyDescent="0.2">
      <c r="B1074" s="12"/>
      <c r="C1074" s="12"/>
      <c r="D1074" s="12"/>
      <c r="E1074" s="12"/>
      <c r="F1074" s="12"/>
      <c r="G1074" s="12"/>
      <c r="H1074" s="12"/>
      <c r="I1074" s="12"/>
      <c r="J1074" s="12"/>
      <c r="K1074" s="12"/>
      <c r="L1074" s="12"/>
      <c r="M1074" s="12"/>
      <c r="N1074" s="12"/>
      <c r="O1074" s="12"/>
      <c r="P1074" s="12"/>
      <c r="Q1074" s="14"/>
    </row>
    <row r="1075" spans="2:17" x14ac:dyDescent="0.2">
      <c r="B1075" s="12"/>
      <c r="C1075" s="12"/>
      <c r="D1075" s="12"/>
      <c r="E1075" s="12"/>
      <c r="F1075" s="12"/>
      <c r="G1075" s="12"/>
      <c r="H1075" s="12"/>
      <c r="I1075" s="12"/>
      <c r="J1075" s="12"/>
      <c r="K1075" s="12"/>
      <c r="L1075" s="12"/>
      <c r="M1075" s="12"/>
      <c r="N1075" s="12"/>
      <c r="O1075" s="12"/>
      <c r="P1075" s="12"/>
      <c r="Q1075" s="14"/>
    </row>
    <row r="1076" spans="2:17" x14ac:dyDescent="0.2">
      <c r="B1076" s="12"/>
      <c r="C1076" s="12"/>
      <c r="D1076" s="12"/>
      <c r="E1076" s="12"/>
      <c r="F1076" s="12"/>
      <c r="G1076" s="12"/>
      <c r="H1076" s="12"/>
      <c r="I1076" s="12"/>
      <c r="J1076" s="12"/>
      <c r="K1076" s="12"/>
      <c r="L1076" s="12"/>
      <c r="M1076" s="12"/>
      <c r="N1076" s="12"/>
      <c r="O1076" s="12"/>
      <c r="P1076" s="12"/>
      <c r="Q1076" s="14"/>
    </row>
    <row r="1077" spans="2:17" x14ac:dyDescent="0.2">
      <c r="B1077" s="12"/>
      <c r="C1077" s="12"/>
      <c r="D1077" s="12"/>
      <c r="E1077" s="12"/>
      <c r="F1077" s="12"/>
      <c r="G1077" s="12"/>
      <c r="H1077" s="12"/>
      <c r="I1077" s="12"/>
      <c r="J1077" s="12"/>
      <c r="K1077" s="12"/>
      <c r="L1077" s="12"/>
      <c r="M1077" s="12"/>
      <c r="N1077" s="12"/>
      <c r="O1077" s="12"/>
      <c r="P1077" s="12"/>
      <c r="Q1077" s="14"/>
    </row>
    <row r="1078" spans="2:17" x14ac:dyDescent="0.2">
      <c r="B1078" s="12"/>
      <c r="C1078" s="12"/>
      <c r="D1078" s="12"/>
      <c r="E1078" s="12"/>
      <c r="F1078" s="12"/>
      <c r="G1078" s="12"/>
      <c r="H1078" s="12"/>
      <c r="I1078" s="12"/>
      <c r="J1078" s="12"/>
      <c r="K1078" s="12"/>
      <c r="L1078" s="12"/>
      <c r="M1078" s="12"/>
      <c r="N1078" s="12"/>
      <c r="O1078" s="12"/>
      <c r="P1078" s="12"/>
      <c r="Q1078" s="14"/>
    </row>
    <row r="1079" spans="2:17" x14ac:dyDescent="0.2">
      <c r="B1079" s="12"/>
      <c r="C1079" s="12"/>
      <c r="D1079" s="12"/>
      <c r="E1079" s="12"/>
      <c r="F1079" s="12"/>
      <c r="G1079" s="12"/>
      <c r="H1079" s="12"/>
      <c r="I1079" s="12"/>
      <c r="J1079" s="12"/>
      <c r="K1079" s="12"/>
      <c r="L1079" s="12"/>
      <c r="M1079" s="12"/>
      <c r="N1079" s="12"/>
      <c r="O1079" s="12"/>
      <c r="P1079" s="12"/>
      <c r="Q1079" s="14"/>
    </row>
    <row r="1080" spans="2:17" x14ac:dyDescent="0.2">
      <c r="B1080" s="12"/>
      <c r="C1080" s="12"/>
      <c r="D1080" s="12"/>
      <c r="E1080" s="12"/>
      <c r="F1080" s="12"/>
      <c r="G1080" s="12"/>
      <c r="H1080" s="12"/>
      <c r="I1080" s="12"/>
      <c r="J1080" s="12"/>
      <c r="K1080" s="12"/>
      <c r="L1080" s="12"/>
      <c r="M1080" s="12"/>
      <c r="N1080" s="12"/>
      <c r="O1080" s="12"/>
      <c r="P1080" s="12"/>
      <c r="Q1080" s="14"/>
    </row>
    <row r="1081" spans="2:17" x14ac:dyDescent="0.2">
      <c r="B1081" s="12"/>
      <c r="C1081" s="12"/>
      <c r="D1081" s="12"/>
      <c r="E1081" s="12"/>
      <c r="F1081" s="12"/>
      <c r="G1081" s="12"/>
      <c r="H1081" s="12"/>
      <c r="I1081" s="12"/>
      <c r="J1081" s="12"/>
      <c r="K1081" s="12"/>
      <c r="L1081" s="12"/>
      <c r="M1081" s="12"/>
      <c r="N1081" s="12"/>
      <c r="O1081" s="12"/>
      <c r="P1081" s="12"/>
      <c r="Q1081" s="14"/>
    </row>
    <row r="1082" spans="2:17" x14ac:dyDescent="0.2">
      <c r="B1082" s="12"/>
      <c r="C1082" s="12"/>
      <c r="D1082" s="12"/>
      <c r="E1082" s="12"/>
      <c r="F1082" s="12"/>
      <c r="G1082" s="12"/>
      <c r="H1082" s="12"/>
      <c r="I1082" s="12"/>
      <c r="J1082" s="12"/>
      <c r="K1082" s="12"/>
      <c r="L1082" s="12"/>
      <c r="M1082" s="12"/>
      <c r="N1082" s="12"/>
      <c r="O1082" s="12"/>
      <c r="P1082" s="12"/>
      <c r="Q1082" s="14"/>
    </row>
    <row r="1083" spans="2:17" x14ac:dyDescent="0.2">
      <c r="B1083" s="12"/>
      <c r="C1083" s="12"/>
      <c r="D1083" s="12"/>
      <c r="E1083" s="12"/>
      <c r="F1083" s="12"/>
      <c r="G1083" s="12"/>
      <c r="H1083" s="12"/>
      <c r="I1083" s="12"/>
      <c r="J1083" s="12"/>
      <c r="K1083" s="12"/>
      <c r="L1083" s="12"/>
      <c r="M1083" s="12"/>
      <c r="N1083" s="12"/>
      <c r="O1083" s="12"/>
      <c r="P1083" s="12"/>
      <c r="Q1083" s="14"/>
    </row>
    <row r="1084" spans="2:17" x14ac:dyDescent="0.2">
      <c r="B1084" s="12"/>
      <c r="C1084" s="12"/>
      <c r="D1084" s="12"/>
      <c r="E1084" s="12"/>
      <c r="F1084" s="12"/>
      <c r="G1084" s="12"/>
      <c r="H1084" s="12"/>
      <c r="I1084" s="12"/>
      <c r="J1084" s="12"/>
      <c r="K1084" s="12"/>
      <c r="L1084" s="12"/>
      <c r="M1084" s="12"/>
      <c r="N1084" s="12"/>
      <c r="O1084" s="12"/>
      <c r="P1084" s="12"/>
      <c r="Q1084" s="14"/>
    </row>
    <row r="1085" spans="2:17" x14ac:dyDescent="0.2">
      <c r="B1085" s="12"/>
      <c r="C1085" s="12"/>
      <c r="D1085" s="12"/>
      <c r="E1085" s="12"/>
      <c r="F1085" s="12"/>
      <c r="G1085" s="12"/>
      <c r="H1085" s="12"/>
      <c r="I1085" s="12"/>
      <c r="J1085" s="12"/>
      <c r="K1085" s="12"/>
      <c r="L1085" s="12"/>
      <c r="M1085" s="12"/>
      <c r="N1085" s="12"/>
      <c r="O1085" s="12"/>
      <c r="P1085" s="12"/>
      <c r="Q1085" s="14"/>
    </row>
    <row r="1086" spans="2:17" x14ac:dyDescent="0.2">
      <c r="B1086" s="12"/>
      <c r="C1086" s="12"/>
      <c r="D1086" s="12"/>
      <c r="E1086" s="12"/>
      <c r="F1086" s="12"/>
      <c r="G1086" s="12"/>
      <c r="H1086" s="12"/>
      <c r="I1086" s="12"/>
      <c r="J1086" s="12"/>
      <c r="K1086" s="12"/>
      <c r="L1086" s="12"/>
      <c r="M1086" s="12"/>
      <c r="N1086" s="12"/>
      <c r="O1086" s="12"/>
      <c r="P1086" s="12"/>
      <c r="Q1086" s="14"/>
    </row>
    <row r="1087" spans="2:17" x14ac:dyDescent="0.2">
      <c r="B1087" s="12"/>
      <c r="C1087" s="12"/>
      <c r="D1087" s="12"/>
      <c r="E1087" s="12"/>
      <c r="F1087" s="12"/>
      <c r="G1087" s="12"/>
      <c r="H1087" s="12"/>
      <c r="I1087" s="12"/>
      <c r="J1087" s="12"/>
      <c r="K1087" s="12"/>
      <c r="L1087" s="12"/>
      <c r="M1087" s="12"/>
      <c r="N1087" s="12"/>
      <c r="O1087" s="12"/>
      <c r="P1087" s="12"/>
      <c r="Q1087" s="14"/>
    </row>
    <row r="1088" spans="2:17" x14ac:dyDescent="0.2">
      <c r="B1088" s="12"/>
      <c r="C1088" s="12"/>
      <c r="D1088" s="12"/>
      <c r="E1088" s="12"/>
      <c r="F1088" s="12"/>
      <c r="G1088" s="12"/>
      <c r="H1088" s="12"/>
      <c r="I1088" s="12"/>
      <c r="J1088" s="12"/>
      <c r="K1088" s="12"/>
      <c r="L1088" s="12"/>
      <c r="M1088" s="12"/>
      <c r="N1088" s="12"/>
      <c r="O1088" s="12"/>
      <c r="P1088" s="12"/>
      <c r="Q1088" s="14"/>
    </row>
    <row r="1089" spans="2:17" x14ac:dyDescent="0.2">
      <c r="B1089" s="12"/>
      <c r="C1089" s="12"/>
      <c r="D1089" s="12"/>
      <c r="E1089" s="12"/>
      <c r="F1089" s="12"/>
      <c r="G1089" s="12"/>
      <c r="H1089" s="12"/>
      <c r="I1089" s="12"/>
      <c r="J1089" s="12"/>
      <c r="K1089" s="12"/>
      <c r="L1089" s="12"/>
      <c r="M1089" s="12"/>
      <c r="N1089" s="12"/>
      <c r="O1089" s="12"/>
      <c r="P1089" s="12"/>
      <c r="Q1089" s="14"/>
    </row>
    <row r="1090" spans="2:17" x14ac:dyDescent="0.2">
      <c r="B1090" s="12"/>
      <c r="C1090" s="12"/>
      <c r="D1090" s="12"/>
      <c r="E1090" s="12"/>
      <c r="F1090" s="12"/>
      <c r="G1090" s="12"/>
      <c r="H1090" s="12"/>
      <c r="I1090" s="12"/>
      <c r="J1090" s="12"/>
      <c r="K1090" s="12"/>
      <c r="L1090" s="12"/>
      <c r="M1090" s="12"/>
      <c r="N1090" s="12"/>
      <c r="O1090" s="12"/>
      <c r="P1090" s="12"/>
      <c r="Q1090" s="14"/>
    </row>
    <row r="1091" spans="2:17" x14ac:dyDescent="0.2">
      <c r="B1091" s="12"/>
      <c r="C1091" s="12"/>
      <c r="D1091" s="12"/>
      <c r="E1091" s="12"/>
      <c r="F1091" s="12"/>
      <c r="G1091" s="12"/>
      <c r="H1091" s="12"/>
      <c r="I1091" s="12"/>
      <c r="J1091" s="12"/>
      <c r="K1091" s="12"/>
      <c r="L1091" s="12"/>
      <c r="M1091" s="12"/>
      <c r="N1091" s="12"/>
      <c r="O1091" s="12"/>
      <c r="P1091" s="12"/>
      <c r="Q1091" s="14"/>
    </row>
    <row r="1092" spans="2:17" x14ac:dyDescent="0.2">
      <c r="B1092" s="12"/>
      <c r="C1092" s="12"/>
      <c r="D1092" s="12"/>
      <c r="E1092" s="12"/>
      <c r="F1092" s="12"/>
      <c r="G1092" s="12"/>
      <c r="H1092" s="12"/>
      <c r="I1092" s="12"/>
      <c r="J1092" s="12"/>
      <c r="K1092" s="12"/>
      <c r="L1092" s="12"/>
      <c r="M1092" s="12"/>
      <c r="N1092" s="12"/>
      <c r="O1092" s="12"/>
      <c r="P1092" s="12"/>
      <c r="Q1092" s="14"/>
    </row>
    <row r="1093" spans="2:17" x14ac:dyDescent="0.2">
      <c r="B1093" s="12"/>
      <c r="C1093" s="12"/>
      <c r="D1093" s="12"/>
      <c r="E1093" s="12"/>
      <c r="F1093" s="12"/>
      <c r="G1093" s="12"/>
      <c r="H1093" s="12"/>
      <c r="I1093" s="12"/>
      <c r="J1093" s="12"/>
      <c r="K1093" s="12"/>
      <c r="L1093" s="12"/>
      <c r="M1093" s="12"/>
      <c r="N1093" s="12"/>
      <c r="O1093" s="12"/>
      <c r="P1093" s="12"/>
      <c r="Q1093" s="14"/>
    </row>
    <row r="1094" spans="2:17" x14ac:dyDescent="0.2">
      <c r="B1094" s="12"/>
      <c r="C1094" s="12"/>
      <c r="D1094" s="12"/>
      <c r="E1094" s="12"/>
      <c r="F1094" s="12"/>
      <c r="G1094" s="12"/>
      <c r="H1094" s="12"/>
      <c r="I1094" s="12"/>
      <c r="J1094" s="12"/>
      <c r="K1094" s="12"/>
      <c r="L1094" s="12"/>
      <c r="M1094" s="12"/>
      <c r="N1094" s="12"/>
      <c r="O1094" s="12"/>
      <c r="P1094" s="12"/>
      <c r="Q1094" s="14"/>
    </row>
    <row r="1095" spans="2:17" x14ac:dyDescent="0.2">
      <c r="B1095" s="12"/>
      <c r="C1095" s="12"/>
      <c r="D1095" s="12"/>
      <c r="E1095" s="12"/>
      <c r="F1095" s="12"/>
      <c r="G1095" s="12"/>
      <c r="H1095" s="12"/>
      <c r="I1095" s="12"/>
      <c r="J1095" s="12"/>
      <c r="K1095" s="12"/>
      <c r="L1095" s="12"/>
      <c r="M1095" s="12"/>
      <c r="N1095" s="12"/>
      <c r="O1095" s="12"/>
      <c r="P1095" s="12"/>
      <c r="Q1095" s="14"/>
    </row>
    <row r="1096" spans="2:17" x14ac:dyDescent="0.2">
      <c r="B1096" s="12"/>
      <c r="C1096" s="12"/>
      <c r="D1096" s="12"/>
      <c r="E1096" s="12"/>
      <c r="F1096" s="12"/>
      <c r="G1096" s="12"/>
      <c r="H1096" s="12"/>
      <c r="I1096" s="12"/>
      <c r="J1096" s="12"/>
      <c r="K1096" s="12"/>
      <c r="L1096" s="12"/>
      <c r="M1096" s="12"/>
      <c r="N1096" s="12"/>
      <c r="O1096" s="12"/>
      <c r="P1096" s="12"/>
      <c r="Q1096" s="14"/>
    </row>
    <row r="1097" spans="2:17" x14ac:dyDescent="0.2">
      <c r="B1097" s="12"/>
      <c r="C1097" s="12"/>
      <c r="D1097" s="12"/>
      <c r="E1097" s="12"/>
      <c r="F1097" s="12"/>
      <c r="G1097" s="12"/>
      <c r="H1097" s="12"/>
      <c r="I1097" s="12"/>
      <c r="J1097" s="12"/>
      <c r="K1097" s="12"/>
      <c r="L1097" s="12"/>
      <c r="M1097" s="12"/>
      <c r="N1097" s="12"/>
      <c r="O1097" s="12"/>
      <c r="P1097" s="12"/>
      <c r="Q1097" s="14"/>
    </row>
    <row r="1098" spans="2:17" x14ac:dyDescent="0.2">
      <c r="B1098" s="12"/>
      <c r="C1098" s="12"/>
      <c r="D1098" s="12"/>
      <c r="E1098" s="12"/>
      <c r="F1098" s="12"/>
      <c r="G1098" s="12"/>
      <c r="H1098" s="12"/>
      <c r="I1098" s="12"/>
      <c r="J1098" s="12"/>
      <c r="K1098" s="12"/>
      <c r="L1098" s="12"/>
      <c r="M1098" s="12"/>
      <c r="N1098" s="12"/>
      <c r="O1098" s="12"/>
      <c r="P1098" s="12"/>
      <c r="Q1098" s="14"/>
    </row>
    <row r="1099" spans="2:17" x14ac:dyDescent="0.2">
      <c r="B1099" s="12"/>
      <c r="C1099" s="12"/>
      <c r="D1099" s="12"/>
      <c r="E1099" s="12"/>
      <c r="F1099" s="12"/>
      <c r="G1099" s="12"/>
      <c r="H1099" s="12"/>
      <c r="I1099" s="12"/>
      <c r="J1099" s="12"/>
      <c r="K1099" s="12"/>
      <c r="L1099" s="12"/>
      <c r="M1099" s="12"/>
      <c r="N1099" s="12"/>
      <c r="O1099" s="12"/>
      <c r="P1099" s="12"/>
      <c r="Q1099" s="14"/>
    </row>
    <row r="1100" spans="2:17" x14ac:dyDescent="0.2">
      <c r="B1100" s="12"/>
      <c r="C1100" s="12"/>
      <c r="D1100" s="12"/>
      <c r="E1100" s="12"/>
      <c r="F1100" s="12"/>
      <c r="G1100" s="12"/>
      <c r="H1100" s="12"/>
      <c r="I1100" s="12"/>
      <c r="J1100" s="12"/>
      <c r="K1100" s="12"/>
      <c r="L1100" s="12"/>
      <c r="M1100" s="12"/>
      <c r="N1100" s="12"/>
      <c r="O1100" s="12"/>
      <c r="P1100" s="12"/>
      <c r="Q1100" s="14"/>
    </row>
    <row r="1101" spans="2:17" x14ac:dyDescent="0.2">
      <c r="B1101" s="12"/>
      <c r="C1101" s="12"/>
      <c r="D1101" s="12"/>
      <c r="E1101" s="12"/>
      <c r="F1101" s="12"/>
      <c r="G1101" s="12"/>
      <c r="H1101" s="12"/>
      <c r="I1101" s="12"/>
      <c r="J1101" s="12"/>
      <c r="K1101" s="12"/>
      <c r="L1101" s="12"/>
      <c r="M1101" s="12"/>
      <c r="N1101" s="12"/>
      <c r="O1101" s="12"/>
      <c r="P1101" s="12"/>
      <c r="Q1101" s="14"/>
    </row>
    <row r="1102" spans="2:17" x14ac:dyDescent="0.2">
      <c r="B1102" s="12"/>
      <c r="C1102" s="12"/>
      <c r="D1102" s="12"/>
      <c r="E1102" s="12"/>
      <c r="F1102" s="12"/>
      <c r="G1102" s="12"/>
      <c r="H1102" s="12"/>
      <c r="I1102" s="12"/>
      <c r="J1102" s="12"/>
      <c r="K1102" s="12"/>
      <c r="L1102" s="12"/>
      <c r="M1102" s="12"/>
      <c r="N1102" s="12"/>
      <c r="O1102" s="12"/>
      <c r="P1102" s="12"/>
      <c r="Q1102" s="14"/>
    </row>
    <row r="1103" spans="2:17" x14ac:dyDescent="0.2">
      <c r="B1103" s="12"/>
      <c r="C1103" s="12"/>
      <c r="D1103" s="12"/>
      <c r="E1103" s="12"/>
      <c r="F1103" s="12"/>
      <c r="G1103" s="12"/>
      <c r="H1103" s="12"/>
      <c r="I1103" s="12"/>
      <c r="J1103" s="12"/>
      <c r="K1103" s="12"/>
      <c r="L1103" s="12"/>
      <c r="M1103" s="12"/>
      <c r="N1103" s="12"/>
      <c r="O1103" s="12"/>
      <c r="P1103" s="12"/>
      <c r="Q1103" s="14"/>
    </row>
    <row r="1104" spans="2:17" x14ac:dyDescent="0.2">
      <c r="B1104" s="12"/>
      <c r="C1104" s="12"/>
      <c r="D1104" s="12"/>
      <c r="E1104" s="12"/>
      <c r="F1104" s="12"/>
      <c r="G1104" s="12"/>
      <c r="H1104" s="12"/>
      <c r="I1104" s="12"/>
      <c r="J1104" s="12"/>
      <c r="K1104" s="12"/>
      <c r="L1104" s="12"/>
      <c r="M1104" s="12"/>
      <c r="N1104" s="12"/>
      <c r="O1104" s="12"/>
      <c r="P1104" s="12"/>
      <c r="Q1104" s="14"/>
    </row>
    <row r="1105" spans="2:17" x14ac:dyDescent="0.2">
      <c r="B1105" s="12"/>
      <c r="C1105" s="12"/>
      <c r="D1105" s="12"/>
      <c r="E1105" s="12"/>
      <c r="F1105" s="12"/>
      <c r="G1105" s="12"/>
      <c r="H1105" s="12"/>
      <c r="I1105" s="12"/>
      <c r="J1105" s="12"/>
      <c r="K1105" s="12"/>
      <c r="L1105" s="12"/>
      <c r="M1105" s="12"/>
      <c r="N1105" s="12"/>
      <c r="O1105" s="12"/>
      <c r="P1105" s="12"/>
      <c r="Q1105" s="14"/>
    </row>
    <row r="1106" spans="2:17" x14ac:dyDescent="0.2">
      <c r="B1106" s="12"/>
      <c r="C1106" s="12"/>
      <c r="D1106" s="12"/>
      <c r="E1106" s="12"/>
      <c r="F1106" s="12"/>
      <c r="G1106" s="12"/>
      <c r="H1106" s="12"/>
      <c r="I1106" s="12"/>
      <c r="J1106" s="12"/>
      <c r="K1106" s="12"/>
      <c r="L1106" s="12"/>
      <c r="M1106" s="12"/>
      <c r="N1106" s="12"/>
      <c r="O1106" s="12"/>
      <c r="P1106" s="12"/>
      <c r="Q1106" s="14"/>
    </row>
    <row r="1107" spans="2:17" x14ac:dyDescent="0.2">
      <c r="B1107" s="12"/>
      <c r="C1107" s="12"/>
      <c r="D1107" s="12"/>
      <c r="E1107" s="12"/>
      <c r="F1107" s="12"/>
      <c r="G1107" s="12"/>
      <c r="H1107" s="12"/>
      <c r="I1107" s="12"/>
      <c r="J1107" s="12"/>
      <c r="K1107" s="12"/>
      <c r="L1107" s="12"/>
      <c r="M1107" s="12"/>
      <c r="N1107" s="12"/>
      <c r="O1107" s="12"/>
      <c r="P1107" s="12"/>
      <c r="Q1107" s="14"/>
    </row>
    <row r="1108" spans="2:17" x14ac:dyDescent="0.2">
      <c r="B1108" s="12"/>
      <c r="C1108" s="12"/>
      <c r="D1108" s="12"/>
      <c r="E1108" s="12"/>
      <c r="F1108" s="12"/>
      <c r="G1108" s="12"/>
      <c r="H1108" s="12"/>
      <c r="I1108" s="12"/>
      <c r="J1108" s="12"/>
      <c r="K1108" s="12"/>
      <c r="L1108" s="12"/>
      <c r="M1108" s="12"/>
      <c r="N1108" s="12"/>
      <c r="O1108" s="12"/>
      <c r="P1108" s="12"/>
      <c r="Q1108" s="14"/>
    </row>
    <row r="1109" spans="2:17" x14ac:dyDescent="0.2">
      <c r="B1109" s="12"/>
      <c r="C1109" s="12"/>
      <c r="D1109" s="12"/>
      <c r="E1109" s="12"/>
      <c r="F1109" s="12"/>
      <c r="G1109" s="12"/>
      <c r="H1109" s="12"/>
      <c r="I1109" s="12"/>
      <c r="J1109" s="12"/>
      <c r="K1109" s="12"/>
      <c r="L1109" s="12"/>
      <c r="M1109" s="12"/>
      <c r="N1109" s="12"/>
      <c r="O1109" s="12"/>
      <c r="P1109" s="12"/>
      <c r="Q1109" s="14"/>
    </row>
    <row r="1110" spans="2:17" x14ac:dyDescent="0.2">
      <c r="B1110" s="12"/>
      <c r="C1110" s="12"/>
      <c r="D1110" s="12"/>
      <c r="E1110" s="12"/>
      <c r="F1110" s="12"/>
      <c r="G1110" s="12"/>
      <c r="H1110" s="12"/>
      <c r="I1110" s="12"/>
      <c r="J1110" s="12"/>
      <c r="K1110" s="12"/>
      <c r="L1110" s="12"/>
      <c r="M1110" s="12"/>
      <c r="N1110" s="12"/>
      <c r="O1110" s="12"/>
      <c r="P1110" s="12"/>
      <c r="Q1110" s="14"/>
    </row>
    <row r="1111" spans="2:17" x14ac:dyDescent="0.2">
      <c r="B1111" s="12"/>
      <c r="C1111" s="12"/>
      <c r="D1111" s="12"/>
      <c r="E1111" s="12"/>
      <c r="F1111" s="12"/>
      <c r="G1111" s="12"/>
      <c r="H1111" s="12"/>
      <c r="I1111" s="12"/>
      <c r="J1111" s="12"/>
      <c r="K1111" s="12"/>
      <c r="L1111" s="12"/>
      <c r="M1111" s="12"/>
      <c r="N1111" s="12"/>
      <c r="O1111" s="12"/>
      <c r="P1111" s="12"/>
      <c r="Q1111" s="14"/>
    </row>
    <row r="1112" spans="2:17" x14ac:dyDescent="0.2">
      <c r="B1112" s="12"/>
      <c r="C1112" s="12"/>
      <c r="D1112" s="12"/>
      <c r="E1112" s="12"/>
      <c r="F1112" s="12"/>
      <c r="G1112" s="12"/>
      <c r="H1112" s="12"/>
      <c r="I1112" s="12"/>
      <c r="J1112" s="12"/>
      <c r="K1112" s="12"/>
      <c r="L1112" s="12"/>
      <c r="M1112" s="12"/>
      <c r="N1112" s="12"/>
      <c r="O1112" s="12"/>
      <c r="P1112" s="12"/>
      <c r="Q1112" s="14"/>
    </row>
    <row r="1113" spans="2:17" x14ac:dyDescent="0.2">
      <c r="B1113" s="12"/>
      <c r="C1113" s="12"/>
      <c r="D1113" s="12"/>
      <c r="E1113" s="12"/>
      <c r="F1113" s="12"/>
      <c r="G1113" s="12"/>
      <c r="H1113" s="12"/>
      <c r="I1113" s="12"/>
      <c r="J1113" s="12"/>
      <c r="K1113" s="12"/>
      <c r="L1113" s="12"/>
      <c r="M1113" s="12"/>
      <c r="N1113" s="12"/>
      <c r="O1113" s="12"/>
      <c r="P1113" s="12"/>
      <c r="Q1113" s="14"/>
    </row>
    <row r="1114" spans="2:17" x14ac:dyDescent="0.2">
      <c r="B1114" s="12"/>
      <c r="C1114" s="12"/>
      <c r="D1114" s="12"/>
      <c r="E1114" s="12"/>
      <c r="F1114" s="12"/>
      <c r="G1114" s="12"/>
      <c r="H1114" s="12"/>
      <c r="I1114" s="12"/>
      <c r="J1114" s="12"/>
      <c r="K1114" s="12"/>
      <c r="L1114" s="12"/>
      <c r="M1114" s="12"/>
      <c r="N1114" s="12"/>
      <c r="O1114" s="12"/>
      <c r="P1114" s="12"/>
      <c r="Q1114" s="14"/>
    </row>
    <row r="1115" spans="2:17" x14ac:dyDescent="0.2">
      <c r="B1115" s="12"/>
      <c r="C1115" s="12"/>
      <c r="D1115" s="12"/>
      <c r="E1115" s="12"/>
      <c r="F1115" s="12"/>
      <c r="G1115" s="12"/>
      <c r="H1115" s="12"/>
      <c r="I1115" s="12"/>
      <c r="J1115" s="12"/>
      <c r="K1115" s="12"/>
      <c r="L1115" s="12"/>
      <c r="M1115" s="12"/>
      <c r="N1115" s="12"/>
      <c r="O1115" s="12"/>
      <c r="P1115" s="12"/>
      <c r="Q1115" s="14"/>
    </row>
    <row r="1116" spans="2:17" x14ac:dyDescent="0.2">
      <c r="B1116" s="12"/>
      <c r="C1116" s="12"/>
      <c r="D1116" s="12"/>
      <c r="E1116" s="12"/>
      <c r="F1116" s="12"/>
      <c r="G1116" s="12"/>
      <c r="H1116" s="12"/>
      <c r="I1116" s="12"/>
      <c r="J1116" s="12"/>
      <c r="K1116" s="12"/>
      <c r="L1116" s="12"/>
      <c r="M1116" s="12"/>
      <c r="N1116" s="12"/>
      <c r="O1116" s="12"/>
      <c r="P1116" s="12"/>
      <c r="Q1116" s="14"/>
    </row>
    <row r="1117" spans="2:17" x14ac:dyDescent="0.2">
      <c r="B1117" s="12"/>
      <c r="C1117" s="12"/>
      <c r="D1117" s="12"/>
      <c r="E1117" s="12"/>
      <c r="F1117" s="12"/>
      <c r="G1117" s="12"/>
      <c r="H1117" s="12"/>
      <c r="I1117" s="12"/>
      <c r="J1117" s="12"/>
      <c r="K1117" s="12"/>
      <c r="L1117" s="12"/>
      <c r="M1117" s="12"/>
      <c r="N1117" s="12"/>
      <c r="O1117" s="12"/>
      <c r="P1117" s="12"/>
      <c r="Q1117" s="14"/>
    </row>
    <row r="1118" spans="2:17" x14ac:dyDescent="0.2">
      <c r="B1118" s="12"/>
      <c r="C1118" s="12"/>
      <c r="D1118" s="12"/>
      <c r="E1118" s="12"/>
      <c r="F1118" s="12"/>
      <c r="G1118" s="12"/>
      <c r="H1118" s="12"/>
      <c r="I1118" s="12"/>
      <c r="J1118" s="12"/>
      <c r="K1118" s="12"/>
      <c r="L1118" s="12"/>
      <c r="M1118" s="12"/>
      <c r="N1118" s="12"/>
      <c r="O1118" s="12"/>
      <c r="P1118" s="12"/>
      <c r="Q1118" s="14"/>
    </row>
    <row r="1119" spans="2:17" x14ac:dyDescent="0.2">
      <c r="B1119" s="12"/>
      <c r="C1119" s="12"/>
      <c r="D1119" s="12"/>
      <c r="E1119" s="12"/>
      <c r="F1119" s="12"/>
      <c r="G1119" s="12"/>
      <c r="H1119" s="12"/>
      <c r="I1119" s="12"/>
      <c r="J1119" s="12"/>
      <c r="K1119" s="12"/>
      <c r="L1119" s="12"/>
      <c r="M1119" s="12"/>
      <c r="N1119" s="12"/>
      <c r="O1119" s="12"/>
      <c r="P1119" s="12"/>
      <c r="Q1119" s="14"/>
    </row>
    <row r="1120" spans="2:17" x14ac:dyDescent="0.2">
      <c r="B1120" s="12"/>
      <c r="C1120" s="12"/>
      <c r="D1120" s="12"/>
      <c r="E1120" s="12"/>
      <c r="F1120" s="12"/>
      <c r="G1120" s="12"/>
      <c r="H1120" s="12"/>
      <c r="I1120" s="12"/>
      <c r="J1120" s="12"/>
      <c r="K1120" s="12"/>
      <c r="L1120" s="12"/>
      <c r="M1120" s="12"/>
      <c r="N1120" s="12"/>
      <c r="O1120" s="12"/>
      <c r="P1120" s="12"/>
      <c r="Q1120" s="14"/>
    </row>
    <row r="1121" spans="2:17" x14ac:dyDescent="0.2">
      <c r="B1121" s="12"/>
      <c r="C1121" s="12"/>
      <c r="D1121" s="12"/>
      <c r="E1121" s="12"/>
      <c r="F1121" s="12"/>
      <c r="G1121" s="12"/>
      <c r="H1121" s="12"/>
      <c r="I1121" s="12"/>
      <c r="J1121" s="12"/>
      <c r="K1121" s="12"/>
      <c r="L1121" s="12"/>
      <c r="M1121" s="12"/>
      <c r="N1121" s="12"/>
      <c r="O1121" s="12"/>
      <c r="P1121" s="12"/>
      <c r="Q1121" s="14"/>
    </row>
    <row r="1122" spans="2:17" x14ac:dyDescent="0.2">
      <c r="B1122" s="12"/>
      <c r="C1122" s="12"/>
      <c r="D1122" s="12"/>
      <c r="E1122" s="12"/>
      <c r="F1122" s="12"/>
      <c r="G1122" s="12"/>
      <c r="H1122" s="12"/>
      <c r="I1122" s="12"/>
      <c r="J1122" s="12"/>
      <c r="K1122" s="12"/>
      <c r="L1122" s="12"/>
      <c r="M1122" s="12"/>
      <c r="N1122" s="12"/>
      <c r="O1122" s="12"/>
      <c r="P1122" s="12"/>
      <c r="Q1122" s="14"/>
    </row>
    <row r="1123" spans="2:17" x14ac:dyDescent="0.2">
      <c r="B1123" s="12"/>
      <c r="C1123" s="12"/>
      <c r="D1123" s="12"/>
      <c r="E1123" s="12"/>
      <c r="F1123" s="12"/>
      <c r="G1123" s="12"/>
      <c r="H1123" s="12"/>
      <c r="I1123" s="12"/>
      <c r="J1123" s="12"/>
      <c r="K1123" s="12"/>
      <c r="L1123" s="12"/>
      <c r="M1123" s="12"/>
      <c r="N1123" s="12"/>
      <c r="O1123" s="12"/>
      <c r="P1123" s="12"/>
      <c r="Q1123" s="14"/>
    </row>
    <row r="1124" spans="2:17" x14ac:dyDescent="0.2">
      <c r="B1124" s="12"/>
      <c r="C1124" s="12"/>
      <c r="D1124" s="12"/>
      <c r="E1124" s="12"/>
      <c r="F1124" s="12"/>
      <c r="G1124" s="12"/>
      <c r="H1124" s="12"/>
      <c r="I1124" s="12"/>
      <c r="J1124" s="12"/>
      <c r="K1124" s="12"/>
      <c r="L1124" s="12"/>
      <c r="M1124" s="12"/>
      <c r="N1124" s="12"/>
      <c r="O1124" s="12"/>
      <c r="P1124" s="12"/>
      <c r="Q1124" s="14"/>
    </row>
    <row r="1125" spans="2:17" x14ac:dyDescent="0.2">
      <c r="B1125" s="12"/>
      <c r="C1125" s="12"/>
      <c r="D1125" s="12"/>
      <c r="E1125" s="12"/>
      <c r="F1125" s="12"/>
      <c r="G1125" s="12"/>
      <c r="H1125" s="12"/>
      <c r="I1125" s="12"/>
      <c r="J1125" s="12"/>
      <c r="K1125" s="12"/>
      <c r="L1125" s="12"/>
      <c r="M1125" s="12"/>
      <c r="N1125" s="12"/>
      <c r="O1125" s="12"/>
      <c r="P1125" s="12"/>
      <c r="Q1125" s="14"/>
    </row>
    <row r="1126" spans="2:17" x14ac:dyDescent="0.2">
      <c r="B1126" s="12"/>
      <c r="C1126" s="12"/>
      <c r="D1126" s="12"/>
      <c r="E1126" s="12"/>
      <c r="F1126" s="12"/>
      <c r="G1126" s="12"/>
      <c r="H1126" s="12"/>
      <c r="I1126" s="12"/>
      <c r="J1126" s="12"/>
      <c r="K1126" s="12"/>
      <c r="L1126" s="12"/>
      <c r="M1126" s="12"/>
      <c r="N1126" s="12"/>
      <c r="O1126" s="12"/>
      <c r="P1126" s="12"/>
      <c r="Q1126" s="14"/>
    </row>
    <row r="1127" spans="2:17" x14ac:dyDescent="0.2">
      <c r="B1127" s="12"/>
      <c r="C1127" s="12"/>
      <c r="D1127" s="12"/>
      <c r="E1127" s="12"/>
      <c r="F1127" s="12"/>
      <c r="G1127" s="12"/>
      <c r="H1127" s="12"/>
      <c r="I1127" s="12"/>
      <c r="J1127" s="12"/>
      <c r="K1127" s="12"/>
      <c r="L1127" s="12"/>
      <c r="M1127" s="12"/>
      <c r="N1127" s="12"/>
      <c r="O1127" s="12"/>
      <c r="P1127" s="12"/>
      <c r="Q1127" s="14"/>
    </row>
    <row r="1128" spans="2:17" x14ac:dyDescent="0.2">
      <c r="B1128" s="12"/>
      <c r="C1128" s="12"/>
      <c r="D1128" s="12"/>
      <c r="E1128" s="12"/>
      <c r="F1128" s="12"/>
      <c r="G1128" s="12"/>
      <c r="H1128" s="12"/>
      <c r="I1128" s="12"/>
      <c r="J1128" s="12"/>
      <c r="K1128" s="12"/>
      <c r="L1128" s="12"/>
      <c r="M1128" s="12"/>
      <c r="N1128" s="12"/>
      <c r="O1128" s="12"/>
      <c r="P1128" s="12"/>
      <c r="Q1128" s="14"/>
    </row>
    <row r="1129" spans="2:17" x14ac:dyDescent="0.2">
      <c r="B1129" s="12"/>
      <c r="C1129" s="12"/>
      <c r="D1129" s="12"/>
      <c r="E1129" s="12"/>
      <c r="F1129" s="12"/>
      <c r="G1129" s="12"/>
      <c r="H1129" s="12"/>
      <c r="I1129" s="12"/>
      <c r="J1129" s="12"/>
      <c r="K1129" s="12"/>
      <c r="L1129" s="12"/>
      <c r="M1129" s="12"/>
      <c r="N1129" s="12"/>
      <c r="O1129" s="12"/>
      <c r="P1129" s="12"/>
      <c r="Q1129" s="14"/>
    </row>
    <row r="1130" spans="2:17" x14ac:dyDescent="0.2">
      <c r="B1130" s="12"/>
      <c r="C1130" s="12"/>
      <c r="D1130" s="12"/>
      <c r="E1130" s="12"/>
      <c r="F1130" s="12"/>
      <c r="G1130" s="12"/>
      <c r="H1130" s="12"/>
      <c r="I1130" s="12"/>
      <c r="J1130" s="12"/>
      <c r="K1130" s="12"/>
      <c r="L1130" s="12"/>
      <c r="M1130" s="12"/>
      <c r="N1130" s="12"/>
      <c r="O1130" s="12"/>
      <c r="P1130" s="12"/>
      <c r="Q1130" s="14"/>
    </row>
    <row r="1131" spans="2:17" x14ac:dyDescent="0.2">
      <c r="B1131" s="12"/>
      <c r="C1131" s="12"/>
      <c r="D1131" s="12"/>
      <c r="E1131" s="12"/>
      <c r="F1131" s="12"/>
      <c r="G1131" s="12"/>
      <c r="H1131" s="12"/>
      <c r="I1131" s="12"/>
      <c r="J1131" s="12"/>
      <c r="K1131" s="12"/>
      <c r="L1131" s="12"/>
      <c r="M1131" s="12"/>
      <c r="N1131" s="12"/>
      <c r="O1131" s="12"/>
      <c r="P1131" s="12"/>
      <c r="Q1131" s="14"/>
    </row>
    <row r="1132" spans="2:17" x14ac:dyDescent="0.2">
      <c r="B1132" s="12"/>
      <c r="C1132" s="12"/>
      <c r="D1132" s="12"/>
      <c r="E1132" s="12"/>
      <c r="F1132" s="12"/>
      <c r="G1132" s="12"/>
      <c r="H1132" s="12"/>
      <c r="I1132" s="12"/>
      <c r="J1132" s="12"/>
      <c r="K1132" s="12"/>
      <c r="L1132" s="12"/>
      <c r="M1132" s="12"/>
      <c r="N1132" s="12"/>
      <c r="O1132" s="12"/>
      <c r="P1132" s="12"/>
      <c r="Q1132" s="14"/>
    </row>
    <row r="1133" spans="2:17" x14ac:dyDescent="0.2">
      <c r="B1133" s="12"/>
      <c r="C1133" s="12"/>
      <c r="D1133" s="12"/>
      <c r="E1133" s="12"/>
      <c r="F1133" s="12"/>
      <c r="G1133" s="12"/>
      <c r="H1133" s="12"/>
      <c r="I1133" s="12"/>
      <c r="J1133" s="12"/>
      <c r="K1133" s="12"/>
      <c r="L1133" s="12"/>
      <c r="M1133" s="12"/>
      <c r="N1133" s="12"/>
      <c r="O1133" s="12"/>
      <c r="P1133" s="12"/>
      <c r="Q1133" s="14"/>
    </row>
    <row r="1134" spans="2:17" x14ac:dyDescent="0.2">
      <c r="B1134" s="12"/>
      <c r="C1134" s="12"/>
      <c r="D1134" s="12"/>
      <c r="E1134" s="12"/>
      <c r="F1134" s="12"/>
      <c r="G1134" s="12"/>
      <c r="H1134" s="12"/>
      <c r="I1134" s="12"/>
      <c r="J1134" s="12"/>
      <c r="K1134" s="12"/>
      <c r="L1134" s="12"/>
      <c r="M1134" s="12"/>
      <c r="N1134" s="12"/>
      <c r="O1134" s="12"/>
      <c r="P1134" s="12"/>
      <c r="Q1134" s="14"/>
    </row>
    <row r="1135" spans="2:17" x14ac:dyDescent="0.2">
      <c r="B1135" s="12"/>
      <c r="C1135" s="12"/>
      <c r="D1135" s="12"/>
      <c r="E1135" s="12"/>
      <c r="F1135" s="12"/>
      <c r="G1135" s="12"/>
      <c r="H1135" s="12"/>
      <c r="I1135" s="12"/>
      <c r="J1135" s="12"/>
      <c r="K1135" s="12"/>
      <c r="L1135" s="12"/>
      <c r="M1135" s="12"/>
      <c r="N1135" s="12"/>
      <c r="O1135" s="12"/>
      <c r="P1135" s="12"/>
      <c r="Q1135" s="14"/>
    </row>
    <row r="1136" spans="2:17" x14ac:dyDescent="0.2">
      <c r="B1136" s="12"/>
      <c r="C1136" s="12"/>
      <c r="D1136" s="12"/>
      <c r="E1136" s="12"/>
      <c r="F1136" s="12"/>
      <c r="G1136" s="12"/>
      <c r="H1136" s="12"/>
      <c r="I1136" s="12"/>
      <c r="J1136" s="12"/>
      <c r="K1136" s="12"/>
      <c r="L1136" s="12"/>
      <c r="M1136" s="12"/>
      <c r="N1136" s="12"/>
      <c r="O1136" s="12"/>
      <c r="P1136" s="12"/>
      <c r="Q1136" s="14"/>
    </row>
    <row r="1137" spans="2:17" x14ac:dyDescent="0.2">
      <c r="B1137" s="12"/>
      <c r="C1137" s="12"/>
      <c r="D1137" s="12"/>
      <c r="E1137" s="12"/>
      <c r="F1137" s="12"/>
      <c r="G1137" s="12"/>
      <c r="H1137" s="12"/>
      <c r="I1137" s="12"/>
      <c r="J1137" s="12"/>
      <c r="K1137" s="12"/>
      <c r="L1137" s="12"/>
      <c r="M1137" s="12"/>
      <c r="N1137" s="12"/>
      <c r="O1137" s="12"/>
      <c r="P1137" s="12"/>
      <c r="Q1137" s="14"/>
    </row>
    <row r="1138" spans="2:17" x14ac:dyDescent="0.2">
      <c r="B1138" s="12"/>
      <c r="C1138" s="12"/>
      <c r="D1138" s="12"/>
      <c r="E1138" s="12"/>
      <c r="F1138" s="12"/>
      <c r="G1138" s="12"/>
      <c r="H1138" s="12"/>
      <c r="I1138" s="12"/>
      <c r="J1138" s="12"/>
      <c r="K1138" s="12"/>
      <c r="L1138" s="12"/>
      <c r="M1138" s="12"/>
      <c r="N1138" s="12"/>
      <c r="O1138" s="12"/>
      <c r="P1138" s="12"/>
      <c r="Q1138" s="14"/>
    </row>
    <row r="1139" spans="2:17" x14ac:dyDescent="0.2">
      <c r="B1139" s="12"/>
      <c r="C1139" s="12"/>
      <c r="D1139" s="12"/>
      <c r="E1139" s="12"/>
      <c r="F1139" s="12"/>
      <c r="G1139" s="12"/>
      <c r="H1139" s="12"/>
      <c r="I1139" s="12"/>
      <c r="J1139" s="12"/>
      <c r="K1139" s="12"/>
      <c r="L1139" s="12"/>
      <c r="M1139" s="12"/>
      <c r="N1139" s="12"/>
      <c r="O1139" s="12"/>
      <c r="P1139" s="12"/>
      <c r="Q1139" s="14"/>
    </row>
    <row r="1140" spans="2:17" x14ac:dyDescent="0.2">
      <c r="B1140" s="12"/>
      <c r="C1140" s="12"/>
      <c r="D1140" s="12"/>
      <c r="E1140" s="12"/>
      <c r="F1140" s="12"/>
      <c r="G1140" s="12"/>
      <c r="H1140" s="12"/>
      <c r="I1140" s="12"/>
      <c r="J1140" s="12"/>
      <c r="K1140" s="12"/>
      <c r="L1140" s="12"/>
      <c r="M1140" s="12"/>
      <c r="N1140" s="12"/>
      <c r="O1140" s="12"/>
      <c r="P1140" s="12"/>
      <c r="Q1140" s="14"/>
    </row>
    <row r="1141" spans="2:17" x14ac:dyDescent="0.2">
      <c r="B1141" s="12"/>
      <c r="C1141" s="12"/>
      <c r="D1141" s="12"/>
      <c r="E1141" s="12"/>
      <c r="F1141" s="12"/>
      <c r="G1141" s="12"/>
      <c r="H1141" s="12"/>
      <c r="I1141" s="12"/>
      <c r="J1141" s="12"/>
      <c r="K1141" s="12"/>
      <c r="L1141" s="12"/>
      <c r="M1141" s="12"/>
      <c r="N1141" s="12"/>
      <c r="O1141" s="12"/>
      <c r="P1141" s="12"/>
      <c r="Q1141" s="14"/>
    </row>
    <row r="1142" spans="2:17" x14ac:dyDescent="0.2">
      <c r="B1142" s="12"/>
      <c r="C1142" s="12"/>
      <c r="D1142" s="12"/>
      <c r="E1142" s="12"/>
      <c r="F1142" s="12"/>
      <c r="G1142" s="12"/>
      <c r="H1142" s="12"/>
      <c r="I1142" s="12"/>
      <c r="J1142" s="12"/>
      <c r="K1142" s="12"/>
      <c r="L1142" s="12"/>
      <c r="M1142" s="12"/>
      <c r="N1142" s="12"/>
      <c r="O1142" s="12"/>
      <c r="P1142" s="12"/>
      <c r="Q1142" s="14"/>
    </row>
    <row r="1143" spans="2:17" x14ac:dyDescent="0.2">
      <c r="B1143" s="12"/>
      <c r="C1143" s="12"/>
      <c r="D1143" s="12"/>
      <c r="E1143" s="12"/>
      <c r="F1143" s="12"/>
      <c r="G1143" s="12"/>
      <c r="H1143" s="12"/>
      <c r="I1143" s="12"/>
      <c r="J1143" s="12"/>
      <c r="K1143" s="12"/>
      <c r="L1143" s="12"/>
      <c r="M1143" s="12"/>
      <c r="N1143" s="12"/>
      <c r="O1143" s="12"/>
      <c r="P1143" s="12"/>
      <c r="Q1143" s="14"/>
    </row>
    <row r="1144" spans="2:17" x14ac:dyDescent="0.2">
      <c r="B1144" s="12"/>
      <c r="C1144" s="12"/>
      <c r="D1144" s="12"/>
      <c r="E1144" s="12"/>
      <c r="F1144" s="12"/>
      <c r="G1144" s="12"/>
      <c r="H1144" s="12"/>
      <c r="I1144" s="12"/>
      <c r="J1144" s="12"/>
      <c r="K1144" s="12"/>
      <c r="L1144" s="12"/>
      <c r="M1144" s="12"/>
      <c r="N1144" s="12"/>
      <c r="O1144" s="12"/>
      <c r="P1144" s="12"/>
      <c r="Q1144" s="14"/>
    </row>
    <row r="1145" spans="2:17" x14ac:dyDescent="0.2">
      <c r="B1145" s="12"/>
      <c r="C1145" s="12"/>
      <c r="D1145" s="12"/>
      <c r="E1145" s="12"/>
      <c r="F1145" s="12"/>
      <c r="G1145" s="12"/>
      <c r="H1145" s="12"/>
      <c r="I1145" s="12"/>
      <c r="J1145" s="12"/>
      <c r="K1145" s="12"/>
      <c r="L1145" s="12"/>
      <c r="M1145" s="12"/>
      <c r="N1145" s="12"/>
      <c r="O1145" s="12"/>
      <c r="P1145" s="12"/>
      <c r="Q1145" s="14"/>
    </row>
    <row r="1146" spans="2:17" x14ac:dyDescent="0.2">
      <c r="B1146" s="12"/>
      <c r="C1146" s="12"/>
      <c r="D1146" s="12"/>
      <c r="E1146" s="12"/>
      <c r="F1146" s="12"/>
      <c r="G1146" s="12"/>
      <c r="H1146" s="12"/>
      <c r="I1146" s="12"/>
      <c r="J1146" s="12"/>
      <c r="K1146" s="12"/>
      <c r="L1146" s="12"/>
      <c r="M1146" s="12"/>
      <c r="N1146" s="12"/>
      <c r="O1146" s="12"/>
      <c r="P1146" s="12"/>
      <c r="Q1146" s="14"/>
    </row>
    <row r="1147" spans="2:17" x14ac:dyDescent="0.2">
      <c r="B1147" s="12"/>
      <c r="C1147" s="12"/>
      <c r="D1147" s="12"/>
      <c r="E1147" s="12"/>
      <c r="F1147" s="12"/>
      <c r="G1147" s="12"/>
      <c r="H1147" s="12"/>
      <c r="I1147" s="12"/>
      <c r="J1147" s="12"/>
      <c r="K1147" s="12"/>
      <c r="L1147" s="12"/>
      <c r="M1147" s="12"/>
      <c r="N1147" s="12"/>
      <c r="O1147" s="12"/>
      <c r="P1147" s="12"/>
      <c r="Q1147" s="14"/>
    </row>
    <row r="1148" spans="2:17" x14ac:dyDescent="0.2">
      <c r="B1148" s="12"/>
      <c r="C1148" s="12"/>
      <c r="D1148" s="12"/>
      <c r="E1148" s="12"/>
      <c r="F1148" s="12"/>
      <c r="G1148" s="12"/>
      <c r="H1148" s="12"/>
      <c r="I1148" s="12"/>
      <c r="J1148" s="12"/>
      <c r="K1148" s="12"/>
      <c r="L1148" s="12"/>
      <c r="M1148" s="12"/>
      <c r="N1148" s="12"/>
      <c r="O1148" s="12"/>
      <c r="P1148" s="12"/>
      <c r="Q1148" s="14"/>
    </row>
    <row r="1149" spans="2:17" x14ac:dyDescent="0.2">
      <c r="B1149" s="12"/>
      <c r="C1149" s="12"/>
      <c r="D1149" s="12"/>
      <c r="E1149" s="12"/>
      <c r="F1149" s="12"/>
      <c r="G1149" s="12"/>
      <c r="H1149" s="12"/>
      <c r="I1149" s="12"/>
      <c r="J1149" s="12"/>
      <c r="K1149" s="12"/>
      <c r="L1149" s="12"/>
      <c r="M1149" s="12"/>
      <c r="N1149" s="12"/>
      <c r="O1149" s="12"/>
      <c r="P1149" s="12"/>
      <c r="Q1149" s="14"/>
    </row>
    <row r="1150" spans="2:17" x14ac:dyDescent="0.2">
      <c r="B1150" s="12"/>
      <c r="C1150" s="12"/>
      <c r="D1150" s="12"/>
      <c r="E1150" s="12"/>
      <c r="F1150" s="12"/>
      <c r="G1150" s="12"/>
      <c r="H1150" s="12"/>
      <c r="I1150" s="12"/>
      <c r="J1150" s="12"/>
      <c r="K1150" s="12"/>
      <c r="L1150" s="12"/>
      <c r="M1150" s="12"/>
      <c r="N1150" s="12"/>
      <c r="O1150" s="12"/>
      <c r="P1150" s="12"/>
      <c r="Q1150" s="14"/>
    </row>
    <row r="1151" spans="2:17" x14ac:dyDescent="0.2">
      <c r="B1151" s="12"/>
      <c r="C1151" s="12"/>
      <c r="D1151" s="12"/>
      <c r="E1151" s="12"/>
      <c r="F1151" s="12"/>
      <c r="G1151" s="12"/>
      <c r="H1151" s="12"/>
      <c r="I1151" s="12"/>
      <c r="J1151" s="12"/>
      <c r="K1151" s="12"/>
      <c r="L1151" s="12"/>
      <c r="M1151" s="12"/>
      <c r="N1151" s="12"/>
      <c r="O1151" s="12"/>
      <c r="P1151" s="12"/>
      <c r="Q1151" s="14"/>
    </row>
    <row r="1152" spans="2:17" x14ac:dyDescent="0.2">
      <c r="B1152" s="12"/>
      <c r="C1152" s="12"/>
      <c r="D1152" s="12"/>
      <c r="E1152" s="12"/>
      <c r="F1152" s="12"/>
      <c r="G1152" s="12"/>
      <c r="H1152" s="12"/>
      <c r="I1152" s="12"/>
      <c r="J1152" s="12"/>
      <c r="K1152" s="12"/>
      <c r="L1152" s="12"/>
      <c r="M1152" s="12"/>
      <c r="N1152" s="12"/>
      <c r="O1152" s="12"/>
      <c r="P1152" s="12"/>
      <c r="Q1152" s="14"/>
    </row>
    <row r="1153" spans="2:17" x14ac:dyDescent="0.2">
      <c r="B1153" s="12"/>
      <c r="C1153" s="12"/>
      <c r="D1153" s="12"/>
      <c r="E1153" s="12"/>
      <c r="F1153" s="12"/>
      <c r="G1153" s="12"/>
      <c r="H1153" s="12"/>
      <c r="I1153" s="12"/>
      <c r="J1153" s="12"/>
      <c r="K1153" s="12"/>
      <c r="L1153" s="12"/>
      <c r="M1153" s="12"/>
      <c r="N1153" s="12"/>
      <c r="O1153" s="12"/>
      <c r="P1153" s="12"/>
      <c r="Q1153" s="14"/>
    </row>
    <row r="1154" spans="2:17" x14ac:dyDescent="0.2">
      <c r="B1154" s="12"/>
      <c r="C1154" s="12"/>
      <c r="D1154" s="12"/>
      <c r="E1154" s="12"/>
      <c r="F1154" s="12"/>
      <c r="G1154" s="12"/>
      <c r="H1154" s="12"/>
      <c r="I1154" s="12"/>
      <c r="J1154" s="12"/>
      <c r="K1154" s="12"/>
      <c r="L1154" s="12"/>
      <c r="M1154" s="12"/>
      <c r="N1154" s="12"/>
      <c r="O1154" s="12"/>
      <c r="P1154" s="12"/>
      <c r="Q1154" s="14"/>
    </row>
    <row r="1155" spans="2:17" x14ac:dyDescent="0.2">
      <c r="B1155" s="12"/>
      <c r="C1155" s="12"/>
      <c r="D1155" s="12"/>
      <c r="E1155" s="12"/>
      <c r="F1155" s="12"/>
      <c r="G1155" s="12"/>
      <c r="H1155" s="12"/>
      <c r="I1155" s="12"/>
      <c r="J1155" s="12"/>
      <c r="K1155" s="12"/>
      <c r="L1155" s="12"/>
      <c r="M1155" s="12"/>
      <c r="N1155" s="12"/>
      <c r="O1155" s="12"/>
      <c r="P1155" s="12"/>
      <c r="Q1155" s="14"/>
    </row>
    <row r="1156" spans="2:17" x14ac:dyDescent="0.2">
      <c r="B1156" s="12"/>
      <c r="C1156" s="12"/>
      <c r="D1156" s="12"/>
      <c r="E1156" s="12"/>
      <c r="F1156" s="12"/>
      <c r="G1156" s="12"/>
      <c r="H1156" s="12"/>
      <c r="I1156" s="12"/>
      <c r="J1156" s="12"/>
      <c r="K1156" s="12"/>
      <c r="L1156" s="12"/>
      <c r="M1156" s="12"/>
      <c r="N1156" s="12"/>
      <c r="O1156" s="12"/>
      <c r="P1156" s="12"/>
      <c r="Q1156" s="14"/>
    </row>
    <row r="1157" spans="2:17" x14ac:dyDescent="0.2">
      <c r="B1157" s="12"/>
      <c r="C1157" s="12"/>
      <c r="D1157" s="12"/>
      <c r="E1157" s="12"/>
      <c r="F1157" s="12"/>
      <c r="G1157" s="12"/>
      <c r="H1157" s="12"/>
      <c r="I1157" s="12"/>
      <c r="J1157" s="12"/>
      <c r="K1157" s="12"/>
      <c r="L1157" s="12"/>
      <c r="M1157" s="12"/>
      <c r="N1157" s="12"/>
      <c r="O1157" s="12"/>
      <c r="P1157" s="12"/>
      <c r="Q1157" s="14"/>
    </row>
    <row r="1158" spans="2:17" x14ac:dyDescent="0.2">
      <c r="B1158" s="12"/>
      <c r="C1158" s="12"/>
      <c r="D1158" s="12"/>
      <c r="E1158" s="12"/>
      <c r="F1158" s="12"/>
      <c r="G1158" s="12"/>
      <c r="H1158" s="12"/>
      <c r="I1158" s="12"/>
      <c r="J1158" s="12"/>
      <c r="K1158" s="12"/>
      <c r="L1158" s="12"/>
      <c r="M1158" s="12"/>
      <c r="N1158" s="12"/>
      <c r="O1158" s="12"/>
      <c r="P1158" s="12"/>
      <c r="Q1158" s="14"/>
    </row>
    <row r="1159" spans="2:17" x14ac:dyDescent="0.2">
      <c r="B1159" s="12"/>
      <c r="C1159" s="12"/>
      <c r="D1159" s="12"/>
      <c r="E1159" s="12"/>
      <c r="F1159" s="12"/>
      <c r="G1159" s="12"/>
      <c r="H1159" s="12"/>
      <c r="I1159" s="12"/>
      <c r="J1159" s="12"/>
      <c r="K1159" s="12"/>
      <c r="L1159" s="12"/>
      <c r="M1159" s="12"/>
      <c r="N1159" s="12"/>
      <c r="O1159" s="12"/>
      <c r="P1159" s="12"/>
      <c r="Q1159" s="14"/>
    </row>
    <row r="1160" spans="2:17" x14ac:dyDescent="0.2">
      <c r="B1160" s="12"/>
      <c r="C1160" s="12"/>
      <c r="D1160" s="12"/>
      <c r="E1160" s="12"/>
      <c r="F1160" s="12"/>
      <c r="G1160" s="12"/>
      <c r="H1160" s="12"/>
      <c r="I1160" s="12"/>
      <c r="J1160" s="12"/>
      <c r="K1160" s="12"/>
      <c r="L1160" s="12"/>
      <c r="M1160" s="12"/>
      <c r="N1160" s="12"/>
      <c r="O1160" s="12"/>
      <c r="P1160" s="12"/>
      <c r="Q1160" s="14"/>
    </row>
    <row r="1161" spans="2:17" x14ac:dyDescent="0.2">
      <c r="B1161" s="12"/>
      <c r="C1161" s="12"/>
      <c r="D1161" s="12"/>
      <c r="E1161" s="12"/>
      <c r="F1161" s="12"/>
      <c r="G1161" s="12"/>
      <c r="H1161" s="12"/>
      <c r="I1161" s="12"/>
      <c r="J1161" s="12"/>
      <c r="K1161" s="12"/>
      <c r="L1161" s="12"/>
      <c r="M1161" s="12"/>
      <c r="N1161" s="12"/>
      <c r="O1161" s="12"/>
      <c r="P1161" s="12"/>
      <c r="Q1161" s="14"/>
    </row>
    <row r="1162" spans="2:17" x14ac:dyDescent="0.2">
      <c r="B1162" s="12"/>
      <c r="C1162" s="12"/>
      <c r="D1162" s="12"/>
      <c r="E1162" s="12"/>
      <c r="F1162" s="12"/>
      <c r="G1162" s="12"/>
      <c r="H1162" s="12"/>
      <c r="I1162" s="12"/>
      <c r="J1162" s="12"/>
      <c r="K1162" s="12"/>
      <c r="L1162" s="12"/>
      <c r="M1162" s="12"/>
      <c r="N1162" s="12"/>
      <c r="O1162" s="12"/>
      <c r="P1162" s="12"/>
      <c r="Q1162" s="14"/>
    </row>
    <row r="1163" spans="2:17" x14ac:dyDescent="0.2">
      <c r="B1163" s="12"/>
      <c r="C1163" s="12"/>
      <c r="D1163" s="12"/>
      <c r="E1163" s="12"/>
      <c r="F1163" s="12"/>
      <c r="G1163" s="12"/>
      <c r="H1163" s="12"/>
      <c r="I1163" s="12"/>
      <c r="J1163" s="12"/>
      <c r="K1163" s="12"/>
      <c r="L1163" s="12"/>
      <c r="M1163" s="12"/>
      <c r="N1163" s="12"/>
      <c r="O1163" s="12"/>
      <c r="P1163" s="12"/>
      <c r="Q1163" s="14"/>
    </row>
    <row r="1164" spans="2:17" x14ac:dyDescent="0.2">
      <c r="B1164" s="12"/>
      <c r="C1164" s="12"/>
      <c r="D1164" s="12"/>
      <c r="E1164" s="12"/>
      <c r="F1164" s="12"/>
      <c r="G1164" s="12"/>
      <c r="H1164" s="12"/>
      <c r="I1164" s="12"/>
      <c r="J1164" s="12"/>
      <c r="K1164" s="12"/>
      <c r="L1164" s="12"/>
      <c r="M1164" s="12"/>
      <c r="N1164" s="12"/>
      <c r="O1164" s="12"/>
      <c r="P1164" s="12"/>
      <c r="Q1164" s="14"/>
    </row>
    <row r="1165" spans="2:17" x14ac:dyDescent="0.2">
      <c r="B1165" s="12"/>
      <c r="C1165" s="12"/>
      <c r="D1165" s="12"/>
      <c r="E1165" s="12"/>
      <c r="F1165" s="12"/>
      <c r="G1165" s="12"/>
      <c r="H1165" s="12"/>
      <c r="I1165" s="12"/>
      <c r="J1165" s="12"/>
      <c r="K1165" s="12"/>
      <c r="L1165" s="12"/>
      <c r="M1165" s="12"/>
      <c r="N1165" s="12"/>
      <c r="O1165" s="12"/>
      <c r="P1165" s="12"/>
      <c r="Q1165" s="14"/>
    </row>
    <row r="1166" spans="2:17" x14ac:dyDescent="0.2">
      <c r="B1166" s="12"/>
      <c r="C1166" s="12"/>
      <c r="D1166" s="12"/>
      <c r="E1166" s="12"/>
      <c r="F1166" s="12"/>
      <c r="G1166" s="12"/>
      <c r="H1166" s="12"/>
      <c r="I1166" s="12"/>
      <c r="J1166" s="12"/>
      <c r="K1166" s="12"/>
      <c r="L1166" s="12"/>
      <c r="M1166" s="12"/>
      <c r="N1166" s="12"/>
      <c r="O1166" s="12"/>
      <c r="P1166" s="12"/>
      <c r="Q1166" s="14"/>
    </row>
    <row r="1167" spans="2:17" x14ac:dyDescent="0.2">
      <c r="B1167" s="12"/>
      <c r="C1167" s="12"/>
      <c r="D1167" s="12"/>
      <c r="E1167" s="12"/>
      <c r="F1167" s="12"/>
      <c r="G1167" s="12"/>
      <c r="H1167" s="12"/>
      <c r="I1167" s="12"/>
      <c r="J1167" s="12"/>
      <c r="K1167" s="12"/>
      <c r="L1167" s="12"/>
      <c r="M1167" s="12"/>
      <c r="N1167" s="12"/>
      <c r="O1167" s="12"/>
      <c r="P1167" s="12"/>
      <c r="Q1167" s="14"/>
    </row>
    <row r="1168" spans="2:17" x14ac:dyDescent="0.2">
      <c r="B1168" s="12"/>
      <c r="C1168" s="12"/>
      <c r="D1168" s="12"/>
      <c r="E1168" s="12"/>
      <c r="F1168" s="12"/>
      <c r="G1168" s="12"/>
      <c r="H1168" s="12"/>
      <c r="I1168" s="12"/>
      <c r="J1168" s="12"/>
      <c r="K1168" s="12"/>
      <c r="L1168" s="12"/>
      <c r="M1168" s="12"/>
      <c r="N1168" s="12"/>
      <c r="O1168" s="12"/>
      <c r="P1168" s="12"/>
      <c r="Q1168" s="14"/>
    </row>
    <row r="1169" spans="2:17" x14ac:dyDescent="0.2">
      <c r="B1169" s="12"/>
      <c r="C1169" s="12"/>
      <c r="D1169" s="12"/>
      <c r="E1169" s="12"/>
      <c r="F1169" s="12"/>
      <c r="G1169" s="12"/>
      <c r="H1169" s="12"/>
      <c r="I1169" s="12"/>
      <c r="J1169" s="12"/>
      <c r="K1169" s="12"/>
      <c r="L1169" s="12"/>
      <c r="M1169" s="12"/>
      <c r="N1169" s="12"/>
      <c r="O1169" s="12"/>
      <c r="P1169" s="12"/>
      <c r="Q1169" s="14"/>
    </row>
    <row r="1170" spans="2:17" x14ac:dyDescent="0.2">
      <c r="B1170" s="12"/>
      <c r="C1170" s="12"/>
      <c r="D1170" s="12"/>
      <c r="E1170" s="12"/>
      <c r="F1170" s="12"/>
      <c r="G1170" s="12"/>
      <c r="H1170" s="12"/>
      <c r="I1170" s="12"/>
      <c r="J1170" s="12"/>
      <c r="K1170" s="12"/>
      <c r="L1170" s="12"/>
      <c r="M1170" s="12"/>
      <c r="N1170" s="12"/>
      <c r="O1170" s="12"/>
      <c r="P1170" s="12"/>
      <c r="Q1170" s="14"/>
    </row>
    <row r="1171" spans="2:17" x14ac:dyDescent="0.2">
      <c r="B1171" s="12"/>
      <c r="C1171" s="12"/>
      <c r="D1171" s="12"/>
      <c r="E1171" s="12"/>
      <c r="F1171" s="12"/>
      <c r="G1171" s="12"/>
      <c r="H1171" s="12"/>
      <c r="I1171" s="12"/>
      <c r="J1171" s="12"/>
      <c r="K1171" s="12"/>
      <c r="L1171" s="12"/>
      <c r="M1171" s="12"/>
      <c r="N1171" s="12"/>
      <c r="O1171" s="12"/>
      <c r="P1171" s="12"/>
      <c r="Q1171" s="14"/>
    </row>
    <row r="1172" spans="2:17" x14ac:dyDescent="0.2">
      <c r="B1172" s="12"/>
      <c r="C1172" s="12"/>
      <c r="D1172" s="12"/>
      <c r="E1172" s="12"/>
      <c r="F1172" s="12"/>
      <c r="G1172" s="12"/>
      <c r="H1172" s="12"/>
      <c r="I1172" s="12"/>
      <c r="J1172" s="12"/>
      <c r="K1172" s="12"/>
      <c r="L1172" s="12"/>
      <c r="M1172" s="12"/>
      <c r="N1172" s="12"/>
      <c r="O1172" s="12"/>
      <c r="P1172" s="12"/>
      <c r="Q1172" s="14"/>
    </row>
    <row r="1173" spans="2:17" x14ac:dyDescent="0.2">
      <c r="B1173" s="12"/>
      <c r="C1173" s="12"/>
      <c r="D1173" s="12"/>
      <c r="E1173" s="12"/>
      <c r="F1173" s="12"/>
      <c r="G1173" s="12"/>
      <c r="H1173" s="12"/>
      <c r="I1173" s="12"/>
      <c r="J1173" s="12"/>
      <c r="K1173" s="12"/>
      <c r="L1173" s="12"/>
      <c r="M1173" s="12"/>
      <c r="N1173" s="12"/>
      <c r="O1173" s="12"/>
      <c r="P1173" s="12"/>
      <c r="Q1173" s="14"/>
    </row>
    <row r="1174" spans="2:17" x14ac:dyDescent="0.2">
      <c r="B1174" s="12"/>
      <c r="C1174" s="12"/>
      <c r="D1174" s="12"/>
      <c r="E1174" s="12"/>
      <c r="F1174" s="12"/>
      <c r="G1174" s="12"/>
      <c r="H1174" s="12"/>
      <c r="I1174" s="12"/>
      <c r="J1174" s="12"/>
      <c r="K1174" s="12"/>
      <c r="L1174" s="12"/>
      <c r="M1174" s="12"/>
      <c r="N1174" s="12"/>
      <c r="O1174" s="12"/>
      <c r="P1174" s="12"/>
      <c r="Q1174" s="14"/>
    </row>
    <row r="1175" spans="2:17" x14ac:dyDescent="0.2">
      <c r="B1175" s="12"/>
      <c r="C1175" s="12"/>
      <c r="D1175" s="12"/>
      <c r="E1175" s="12"/>
      <c r="F1175" s="12"/>
      <c r="G1175" s="12"/>
      <c r="H1175" s="12"/>
      <c r="I1175" s="12"/>
      <c r="J1175" s="12"/>
      <c r="K1175" s="12"/>
      <c r="L1175" s="12"/>
      <c r="M1175" s="12"/>
      <c r="N1175" s="12"/>
      <c r="O1175" s="12"/>
      <c r="P1175" s="12"/>
      <c r="Q1175" s="14"/>
    </row>
    <row r="1176" spans="2:17" x14ac:dyDescent="0.2">
      <c r="B1176" s="12"/>
      <c r="C1176" s="12"/>
      <c r="D1176" s="12"/>
      <c r="E1176" s="12"/>
      <c r="F1176" s="12"/>
      <c r="G1176" s="12"/>
      <c r="H1176" s="12"/>
      <c r="I1176" s="12"/>
      <c r="J1176" s="12"/>
      <c r="K1176" s="12"/>
      <c r="L1176" s="12"/>
      <c r="M1176" s="12"/>
      <c r="N1176" s="12"/>
      <c r="O1176" s="12"/>
      <c r="P1176" s="12"/>
      <c r="Q1176" s="14"/>
    </row>
    <row r="1177" spans="2:17" x14ac:dyDescent="0.2">
      <c r="B1177" s="12"/>
      <c r="C1177" s="12"/>
      <c r="D1177" s="12"/>
      <c r="E1177" s="12"/>
      <c r="F1177" s="12"/>
      <c r="G1177" s="12"/>
      <c r="H1177" s="12"/>
      <c r="I1177" s="12"/>
      <c r="J1177" s="12"/>
      <c r="K1177" s="12"/>
      <c r="L1177" s="12"/>
      <c r="M1177" s="12"/>
      <c r="N1177" s="12"/>
      <c r="O1177" s="12"/>
      <c r="P1177" s="12"/>
      <c r="Q1177" s="14"/>
    </row>
    <row r="1178" spans="2:17" x14ac:dyDescent="0.2">
      <c r="B1178" s="12"/>
      <c r="C1178" s="12"/>
      <c r="D1178" s="12"/>
      <c r="E1178" s="12"/>
      <c r="F1178" s="12"/>
      <c r="G1178" s="12"/>
      <c r="H1178" s="12"/>
      <c r="I1178" s="12"/>
      <c r="J1178" s="12"/>
      <c r="K1178" s="12"/>
      <c r="L1178" s="12"/>
      <c r="M1178" s="12"/>
      <c r="N1178" s="12"/>
      <c r="O1178" s="12"/>
      <c r="P1178" s="12"/>
      <c r="Q1178" s="14"/>
    </row>
    <row r="1179" spans="2:17" x14ac:dyDescent="0.2">
      <c r="B1179" s="12"/>
      <c r="C1179" s="12"/>
      <c r="D1179" s="12"/>
      <c r="E1179" s="12"/>
      <c r="F1179" s="12"/>
      <c r="G1179" s="12"/>
      <c r="H1179" s="12"/>
      <c r="I1179" s="12"/>
      <c r="J1179" s="12"/>
      <c r="K1179" s="12"/>
      <c r="L1179" s="12"/>
      <c r="M1179" s="12"/>
      <c r="N1179" s="12"/>
      <c r="O1179" s="12"/>
      <c r="P1179" s="12"/>
      <c r="Q1179" s="14"/>
    </row>
    <row r="1180" spans="2:17" x14ac:dyDescent="0.2">
      <c r="B1180" s="12"/>
      <c r="C1180" s="12"/>
      <c r="D1180" s="12"/>
      <c r="E1180" s="12"/>
      <c r="F1180" s="12"/>
      <c r="G1180" s="12"/>
      <c r="H1180" s="12"/>
      <c r="I1180" s="12"/>
      <c r="J1180" s="12"/>
      <c r="K1180" s="12"/>
      <c r="L1180" s="12"/>
      <c r="M1180" s="12"/>
      <c r="N1180" s="12"/>
      <c r="O1180" s="12"/>
      <c r="P1180" s="12"/>
      <c r="Q1180" s="14"/>
    </row>
    <row r="1181" spans="2:17" x14ac:dyDescent="0.2">
      <c r="B1181" s="12"/>
      <c r="C1181" s="12"/>
      <c r="D1181" s="12"/>
      <c r="E1181" s="12"/>
      <c r="F1181" s="12"/>
      <c r="G1181" s="12"/>
      <c r="H1181" s="12"/>
      <c r="I1181" s="12"/>
      <c r="J1181" s="12"/>
      <c r="K1181" s="12"/>
      <c r="L1181" s="12"/>
      <c r="M1181" s="12"/>
      <c r="N1181" s="12"/>
      <c r="O1181" s="12"/>
      <c r="P1181" s="12"/>
      <c r="Q1181" s="14"/>
    </row>
    <row r="1182" spans="2:17" x14ac:dyDescent="0.2">
      <c r="B1182" s="12"/>
      <c r="C1182" s="12"/>
      <c r="D1182" s="12"/>
      <c r="E1182" s="12"/>
      <c r="F1182" s="12"/>
      <c r="G1182" s="12"/>
      <c r="H1182" s="12"/>
      <c r="I1182" s="12"/>
      <c r="J1182" s="12"/>
      <c r="K1182" s="12"/>
      <c r="L1182" s="12"/>
      <c r="M1182" s="12"/>
      <c r="N1182" s="12"/>
      <c r="O1182" s="12"/>
      <c r="P1182" s="12"/>
      <c r="Q1182" s="14"/>
    </row>
    <row r="1183" spans="2:17" x14ac:dyDescent="0.2">
      <c r="B1183" s="12"/>
      <c r="C1183" s="12"/>
      <c r="D1183" s="12"/>
      <c r="E1183" s="12"/>
      <c r="F1183" s="12"/>
      <c r="G1183" s="12"/>
      <c r="H1183" s="12"/>
      <c r="I1183" s="12"/>
      <c r="J1183" s="12"/>
      <c r="K1183" s="12"/>
      <c r="L1183" s="12"/>
      <c r="M1183" s="12"/>
      <c r="N1183" s="12"/>
      <c r="O1183" s="12"/>
      <c r="P1183" s="12"/>
      <c r="Q1183" s="14"/>
    </row>
    <row r="1184" spans="2:17" x14ac:dyDescent="0.2">
      <c r="B1184" s="12"/>
      <c r="C1184" s="12"/>
      <c r="D1184" s="12"/>
      <c r="E1184" s="12"/>
      <c r="F1184" s="12"/>
      <c r="G1184" s="12"/>
      <c r="H1184" s="12"/>
      <c r="I1184" s="12"/>
      <c r="J1184" s="12"/>
      <c r="K1184" s="12"/>
      <c r="L1184" s="12"/>
      <c r="M1184" s="12"/>
      <c r="N1184" s="12"/>
      <c r="O1184" s="12"/>
      <c r="P1184" s="12"/>
      <c r="Q1184" s="14"/>
    </row>
    <row r="1185" spans="2:17" x14ac:dyDescent="0.2">
      <c r="B1185" s="12"/>
      <c r="C1185" s="12"/>
      <c r="D1185" s="12"/>
      <c r="E1185" s="12"/>
      <c r="F1185" s="12"/>
      <c r="G1185" s="12"/>
      <c r="H1185" s="12"/>
      <c r="I1185" s="12"/>
      <c r="J1185" s="12"/>
      <c r="K1185" s="12"/>
      <c r="L1185" s="12"/>
      <c r="M1185" s="12"/>
      <c r="N1185" s="12"/>
      <c r="O1185" s="12"/>
      <c r="P1185" s="12"/>
      <c r="Q1185" s="14"/>
    </row>
    <row r="1186" spans="2:17" x14ac:dyDescent="0.2">
      <c r="B1186" s="12"/>
      <c r="C1186" s="12"/>
      <c r="D1186" s="12"/>
      <c r="E1186" s="12"/>
      <c r="F1186" s="12"/>
      <c r="G1186" s="12"/>
      <c r="H1186" s="12"/>
      <c r="I1186" s="12"/>
      <c r="J1186" s="12"/>
      <c r="K1186" s="12"/>
      <c r="L1186" s="12"/>
      <c r="M1186" s="12"/>
      <c r="N1186" s="12"/>
      <c r="O1186" s="12"/>
      <c r="P1186" s="12"/>
      <c r="Q1186" s="14"/>
    </row>
    <row r="1187" spans="2:17" x14ac:dyDescent="0.2">
      <c r="B1187" s="12"/>
      <c r="C1187" s="12"/>
      <c r="D1187" s="12"/>
      <c r="E1187" s="12"/>
      <c r="F1187" s="12"/>
      <c r="G1187" s="12"/>
      <c r="H1187" s="12"/>
      <c r="I1187" s="12"/>
      <c r="J1187" s="12"/>
      <c r="K1187" s="12"/>
      <c r="L1187" s="12"/>
      <c r="M1187" s="12"/>
      <c r="N1187" s="12"/>
      <c r="O1187" s="12"/>
      <c r="P1187" s="12"/>
      <c r="Q1187" s="14"/>
    </row>
    <row r="1188" spans="2:17" x14ac:dyDescent="0.2">
      <c r="B1188" s="12"/>
      <c r="C1188" s="12"/>
      <c r="D1188" s="12"/>
      <c r="E1188" s="12"/>
      <c r="F1188" s="12"/>
      <c r="G1188" s="12"/>
      <c r="H1188" s="12"/>
      <c r="I1188" s="12"/>
      <c r="J1188" s="12"/>
      <c r="K1188" s="12"/>
      <c r="L1188" s="12"/>
      <c r="M1188" s="12"/>
      <c r="N1188" s="12"/>
      <c r="O1188" s="12"/>
      <c r="P1188" s="12"/>
      <c r="Q1188" s="14"/>
    </row>
    <row r="1189" spans="2:17" x14ac:dyDescent="0.2">
      <c r="B1189" s="12"/>
      <c r="C1189" s="12"/>
      <c r="D1189" s="12"/>
      <c r="E1189" s="12"/>
      <c r="F1189" s="12"/>
      <c r="G1189" s="12"/>
      <c r="H1189" s="12"/>
      <c r="I1189" s="12"/>
      <c r="J1189" s="12"/>
      <c r="K1189" s="12"/>
      <c r="L1189" s="12"/>
      <c r="M1189" s="12"/>
      <c r="N1189" s="12"/>
      <c r="O1189" s="12"/>
      <c r="P1189" s="12"/>
      <c r="Q1189" s="14"/>
    </row>
    <row r="1190" spans="2:17" x14ac:dyDescent="0.2">
      <c r="B1190" s="12"/>
      <c r="C1190" s="12"/>
      <c r="D1190" s="12"/>
      <c r="E1190" s="12"/>
      <c r="F1190" s="12"/>
      <c r="G1190" s="12"/>
      <c r="H1190" s="12"/>
      <c r="I1190" s="12"/>
      <c r="J1190" s="12"/>
      <c r="K1190" s="12"/>
      <c r="L1190" s="12"/>
      <c r="M1190" s="12"/>
      <c r="N1190" s="12"/>
      <c r="O1190" s="12"/>
      <c r="P1190" s="12"/>
      <c r="Q1190" s="14"/>
    </row>
    <row r="1191" spans="2:17" x14ac:dyDescent="0.2">
      <c r="B1191" s="12"/>
      <c r="C1191" s="12"/>
      <c r="D1191" s="12"/>
      <c r="E1191" s="12"/>
      <c r="F1191" s="12"/>
      <c r="G1191" s="12"/>
      <c r="H1191" s="12"/>
      <c r="I1191" s="12"/>
      <c r="J1191" s="12"/>
      <c r="K1191" s="12"/>
      <c r="L1191" s="12"/>
      <c r="M1191" s="12"/>
      <c r="N1191" s="12"/>
      <c r="O1191" s="12"/>
      <c r="P1191" s="12"/>
      <c r="Q1191" s="14"/>
    </row>
    <row r="1192" spans="2:17" x14ac:dyDescent="0.2">
      <c r="B1192" s="12"/>
      <c r="C1192" s="12"/>
      <c r="D1192" s="12"/>
      <c r="E1192" s="12"/>
      <c r="F1192" s="12"/>
      <c r="G1192" s="12"/>
      <c r="H1192" s="12"/>
      <c r="I1192" s="12"/>
      <c r="J1192" s="12"/>
      <c r="K1192" s="12"/>
      <c r="L1192" s="12"/>
      <c r="M1192" s="12"/>
      <c r="N1192" s="12"/>
      <c r="O1192" s="12"/>
      <c r="P1192" s="12"/>
      <c r="Q1192" s="14"/>
    </row>
    <row r="1193" spans="2:17" x14ac:dyDescent="0.2">
      <c r="B1193" s="12"/>
      <c r="C1193" s="12"/>
      <c r="D1193" s="12"/>
      <c r="E1193" s="12"/>
      <c r="F1193" s="12"/>
      <c r="G1193" s="12"/>
      <c r="H1193" s="12"/>
      <c r="I1193" s="12"/>
      <c r="J1193" s="12"/>
      <c r="K1193" s="12"/>
      <c r="L1193" s="12"/>
      <c r="M1193" s="12"/>
      <c r="N1193" s="12"/>
      <c r="O1193" s="12"/>
      <c r="P1193" s="12"/>
      <c r="Q1193" s="14"/>
    </row>
    <row r="1194" spans="2:17" x14ac:dyDescent="0.2">
      <c r="B1194" s="12"/>
      <c r="C1194" s="12"/>
      <c r="D1194" s="12"/>
      <c r="E1194" s="12"/>
      <c r="F1194" s="12"/>
      <c r="G1194" s="12"/>
      <c r="H1194" s="12"/>
      <c r="I1194" s="12"/>
      <c r="J1194" s="12"/>
      <c r="K1194" s="12"/>
      <c r="L1194" s="12"/>
      <c r="M1194" s="12"/>
      <c r="N1194" s="12"/>
      <c r="O1194" s="12"/>
      <c r="P1194" s="12"/>
      <c r="Q1194" s="14"/>
    </row>
    <row r="1195" spans="2:17" x14ac:dyDescent="0.2">
      <c r="B1195" s="12"/>
      <c r="C1195" s="12"/>
      <c r="D1195" s="12"/>
      <c r="E1195" s="12"/>
      <c r="F1195" s="12"/>
      <c r="G1195" s="12"/>
      <c r="H1195" s="12"/>
      <c r="I1195" s="12"/>
      <c r="J1195" s="12"/>
      <c r="K1195" s="12"/>
      <c r="L1195" s="12"/>
      <c r="M1195" s="12"/>
      <c r="N1195" s="12"/>
      <c r="O1195" s="12"/>
      <c r="P1195" s="12"/>
      <c r="Q1195" s="14"/>
    </row>
    <row r="1196" spans="2:17" x14ac:dyDescent="0.2">
      <c r="B1196" s="12"/>
      <c r="C1196" s="12"/>
      <c r="D1196" s="12"/>
      <c r="E1196" s="12"/>
      <c r="F1196" s="12"/>
      <c r="G1196" s="12"/>
      <c r="H1196" s="12"/>
      <c r="I1196" s="12"/>
      <c r="J1196" s="12"/>
      <c r="K1196" s="12"/>
      <c r="L1196" s="12"/>
      <c r="M1196" s="12"/>
      <c r="N1196" s="12"/>
      <c r="O1196" s="12"/>
      <c r="P1196" s="12"/>
      <c r="Q1196" s="14"/>
    </row>
    <row r="1197" spans="2:17" x14ac:dyDescent="0.2">
      <c r="B1197" s="12"/>
      <c r="C1197" s="12"/>
      <c r="D1197" s="12"/>
      <c r="E1197" s="12"/>
      <c r="F1197" s="12"/>
      <c r="G1197" s="12"/>
      <c r="H1197" s="12"/>
      <c r="I1197" s="12"/>
      <c r="J1197" s="12"/>
      <c r="K1197" s="12"/>
      <c r="L1197" s="12"/>
      <c r="M1197" s="12"/>
      <c r="N1197" s="12"/>
      <c r="O1197" s="12"/>
      <c r="P1197" s="12"/>
      <c r="Q1197" s="14"/>
    </row>
    <row r="1198" spans="2:17" x14ac:dyDescent="0.2">
      <c r="B1198" s="12"/>
      <c r="C1198" s="12"/>
      <c r="D1198" s="12"/>
      <c r="E1198" s="12"/>
      <c r="F1198" s="12"/>
      <c r="G1198" s="12"/>
      <c r="H1198" s="12"/>
      <c r="I1198" s="12"/>
      <c r="J1198" s="12"/>
      <c r="K1198" s="12"/>
      <c r="L1198" s="12"/>
      <c r="M1198" s="12"/>
      <c r="N1198" s="12"/>
      <c r="O1198" s="12"/>
      <c r="P1198" s="12"/>
      <c r="Q1198" s="14"/>
    </row>
    <row r="1199" spans="2:17" x14ac:dyDescent="0.2">
      <c r="B1199" s="12"/>
      <c r="C1199" s="12"/>
      <c r="D1199" s="12"/>
      <c r="E1199" s="12"/>
      <c r="F1199" s="12"/>
      <c r="G1199" s="12"/>
      <c r="H1199" s="12"/>
      <c r="I1199" s="12"/>
      <c r="J1199" s="12"/>
      <c r="K1199" s="12"/>
      <c r="L1199" s="12"/>
      <c r="M1199" s="12"/>
      <c r="N1199" s="12"/>
      <c r="O1199" s="12"/>
      <c r="P1199" s="12"/>
      <c r="Q1199" s="14"/>
    </row>
    <row r="1200" spans="2:17" x14ac:dyDescent="0.2">
      <c r="B1200" s="12"/>
      <c r="C1200" s="12"/>
      <c r="D1200" s="12"/>
      <c r="E1200" s="12"/>
      <c r="F1200" s="12"/>
      <c r="G1200" s="12"/>
      <c r="H1200" s="12"/>
      <c r="I1200" s="12"/>
      <c r="J1200" s="12"/>
      <c r="K1200" s="12"/>
      <c r="L1200" s="12"/>
      <c r="M1200" s="12"/>
      <c r="N1200" s="12"/>
      <c r="O1200" s="12"/>
      <c r="P1200" s="12"/>
      <c r="Q1200" s="14"/>
    </row>
    <row r="1201" spans="2:17" x14ac:dyDescent="0.2">
      <c r="B1201" s="12"/>
      <c r="C1201" s="12"/>
      <c r="D1201" s="12"/>
      <c r="E1201" s="12"/>
      <c r="F1201" s="12"/>
      <c r="G1201" s="12"/>
      <c r="H1201" s="12"/>
      <c r="I1201" s="12"/>
      <c r="J1201" s="12"/>
      <c r="K1201" s="12"/>
      <c r="L1201" s="12"/>
      <c r="M1201" s="12"/>
      <c r="N1201" s="12"/>
      <c r="O1201" s="12"/>
      <c r="P1201" s="12"/>
      <c r="Q1201" s="14"/>
    </row>
    <row r="1202" spans="2:17" x14ac:dyDescent="0.2">
      <c r="B1202" s="12"/>
      <c r="C1202" s="12"/>
      <c r="D1202" s="12"/>
      <c r="E1202" s="12"/>
      <c r="F1202" s="12"/>
      <c r="G1202" s="12"/>
      <c r="H1202" s="12"/>
      <c r="I1202" s="12"/>
      <c r="J1202" s="12"/>
      <c r="K1202" s="12"/>
      <c r="L1202" s="12"/>
      <c r="M1202" s="12"/>
      <c r="N1202" s="12"/>
      <c r="O1202" s="12"/>
      <c r="P1202" s="12"/>
      <c r="Q1202" s="14"/>
    </row>
    <row r="1203" spans="2:17" x14ac:dyDescent="0.2">
      <c r="B1203" s="12"/>
      <c r="C1203" s="12"/>
      <c r="D1203" s="12"/>
      <c r="E1203" s="12"/>
      <c r="F1203" s="12"/>
      <c r="G1203" s="12"/>
      <c r="H1203" s="12"/>
      <c r="I1203" s="12"/>
      <c r="J1203" s="12"/>
      <c r="K1203" s="12"/>
      <c r="L1203" s="12"/>
      <c r="M1203" s="12"/>
      <c r="N1203" s="12"/>
      <c r="O1203" s="12"/>
      <c r="P1203" s="12"/>
      <c r="Q1203" s="14"/>
    </row>
    <row r="1204" spans="2:17" x14ac:dyDescent="0.2">
      <c r="B1204" s="12"/>
      <c r="C1204" s="12"/>
      <c r="D1204" s="12"/>
      <c r="E1204" s="12"/>
      <c r="F1204" s="12"/>
      <c r="G1204" s="12"/>
      <c r="H1204" s="12"/>
      <c r="I1204" s="12"/>
      <c r="J1204" s="12"/>
      <c r="K1204" s="12"/>
      <c r="L1204" s="12"/>
      <c r="M1204" s="12"/>
      <c r="N1204" s="12"/>
      <c r="O1204" s="12"/>
      <c r="P1204" s="12"/>
      <c r="Q1204" s="14"/>
    </row>
    <row r="1205" spans="2:17" x14ac:dyDescent="0.2">
      <c r="B1205" s="12"/>
      <c r="C1205" s="12"/>
      <c r="D1205" s="12"/>
      <c r="E1205" s="12"/>
      <c r="F1205" s="12"/>
      <c r="G1205" s="12"/>
      <c r="H1205" s="12"/>
      <c r="I1205" s="12"/>
      <c r="J1205" s="12"/>
      <c r="K1205" s="12"/>
      <c r="L1205" s="12"/>
      <c r="M1205" s="12"/>
      <c r="N1205" s="12"/>
      <c r="O1205" s="12"/>
      <c r="P1205" s="12"/>
      <c r="Q1205" s="14"/>
    </row>
    <row r="1206" spans="2:17" x14ac:dyDescent="0.2">
      <c r="B1206" s="12"/>
      <c r="C1206" s="12"/>
      <c r="D1206" s="12"/>
      <c r="E1206" s="12"/>
      <c r="F1206" s="12"/>
      <c r="G1206" s="12"/>
      <c r="H1206" s="12"/>
      <c r="I1206" s="12"/>
      <c r="J1206" s="12"/>
      <c r="K1206" s="12"/>
      <c r="L1206" s="12"/>
      <c r="M1206" s="12"/>
      <c r="N1206" s="12"/>
      <c r="O1206" s="12"/>
      <c r="P1206" s="12"/>
      <c r="Q1206" s="14"/>
    </row>
    <row r="1207" spans="2:17" x14ac:dyDescent="0.2">
      <c r="B1207" s="12"/>
      <c r="C1207" s="12"/>
      <c r="D1207" s="12"/>
      <c r="E1207" s="12"/>
      <c r="F1207" s="12"/>
      <c r="G1207" s="12"/>
      <c r="H1207" s="12"/>
      <c r="I1207" s="12"/>
      <c r="J1207" s="12"/>
      <c r="K1207" s="12"/>
      <c r="L1207" s="12"/>
      <c r="M1207" s="12"/>
      <c r="N1207" s="12"/>
      <c r="O1207" s="12"/>
      <c r="P1207" s="12"/>
      <c r="Q1207" s="14"/>
    </row>
    <row r="1208" spans="2:17" x14ac:dyDescent="0.2">
      <c r="B1208" s="12"/>
      <c r="C1208" s="12"/>
      <c r="D1208" s="12"/>
      <c r="E1208" s="12"/>
      <c r="F1208" s="12"/>
      <c r="G1208" s="12"/>
      <c r="H1208" s="12"/>
      <c r="I1208" s="12"/>
      <c r="J1208" s="12"/>
      <c r="K1208" s="12"/>
      <c r="L1208" s="12"/>
      <c r="M1208" s="12"/>
      <c r="N1208" s="12"/>
      <c r="O1208" s="12"/>
      <c r="P1208" s="12"/>
      <c r="Q1208" s="14"/>
    </row>
    <row r="1209" spans="2:17" x14ac:dyDescent="0.2">
      <c r="B1209" s="12"/>
      <c r="C1209" s="12"/>
      <c r="D1209" s="12"/>
      <c r="E1209" s="12"/>
      <c r="F1209" s="12"/>
      <c r="G1209" s="12"/>
      <c r="H1209" s="12"/>
      <c r="I1209" s="12"/>
      <c r="J1209" s="12"/>
      <c r="K1209" s="12"/>
      <c r="L1209" s="12"/>
      <c r="M1209" s="12"/>
      <c r="N1209" s="12"/>
      <c r="O1209" s="12"/>
      <c r="P1209" s="12"/>
      <c r="Q1209" s="14"/>
    </row>
    <row r="1210" spans="2:17" x14ac:dyDescent="0.2">
      <c r="B1210" s="12"/>
      <c r="C1210" s="12"/>
      <c r="D1210" s="12"/>
      <c r="E1210" s="12"/>
      <c r="F1210" s="12"/>
      <c r="G1210" s="12"/>
      <c r="H1210" s="12"/>
      <c r="I1210" s="12"/>
      <c r="J1210" s="12"/>
      <c r="K1210" s="12"/>
      <c r="L1210" s="12"/>
      <c r="M1210" s="12"/>
      <c r="N1210" s="12"/>
      <c r="O1210" s="12"/>
      <c r="P1210" s="12"/>
      <c r="Q1210" s="14"/>
    </row>
    <row r="1211" spans="2:17" x14ac:dyDescent="0.2">
      <c r="B1211" s="12"/>
      <c r="C1211" s="12"/>
      <c r="D1211" s="12"/>
      <c r="E1211" s="12"/>
      <c r="F1211" s="12"/>
      <c r="G1211" s="12"/>
      <c r="H1211" s="12"/>
      <c r="I1211" s="12"/>
      <c r="J1211" s="12"/>
      <c r="K1211" s="12"/>
      <c r="L1211" s="12"/>
      <c r="M1211" s="12"/>
      <c r="N1211" s="12"/>
      <c r="O1211" s="12"/>
      <c r="P1211" s="12"/>
      <c r="Q1211" s="14"/>
    </row>
    <row r="1212" spans="2:17" x14ac:dyDescent="0.2">
      <c r="B1212" s="12"/>
      <c r="C1212" s="12"/>
      <c r="D1212" s="12"/>
      <c r="E1212" s="12"/>
      <c r="F1212" s="12"/>
      <c r="G1212" s="12"/>
      <c r="H1212" s="12"/>
      <c r="I1212" s="12"/>
      <c r="J1212" s="12"/>
      <c r="K1212" s="12"/>
      <c r="L1212" s="12"/>
      <c r="M1212" s="12"/>
      <c r="N1212" s="12"/>
      <c r="O1212" s="12"/>
      <c r="P1212" s="12"/>
      <c r="Q1212" s="14"/>
    </row>
    <row r="1213" spans="2:17" x14ac:dyDescent="0.2">
      <c r="B1213" s="12"/>
      <c r="C1213" s="12"/>
      <c r="D1213" s="12"/>
      <c r="E1213" s="12"/>
      <c r="F1213" s="12"/>
      <c r="G1213" s="12"/>
      <c r="H1213" s="12"/>
      <c r="I1213" s="12"/>
      <c r="J1213" s="12"/>
      <c r="K1213" s="12"/>
      <c r="L1213" s="12"/>
      <c r="M1213" s="12"/>
      <c r="N1213" s="12"/>
      <c r="O1213" s="12"/>
      <c r="P1213" s="12"/>
      <c r="Q1213" s="14"/>
    </row>
    <row r="1214" spans="2:17" x14ac:dyDescent="0.2">
      <c r="B1214" s="12"/>
      <c r="C1214" s="12"/>
      <c r="D1214" s="12"/>
      <c r="E1214" s="12"/>
      <c r="F1214" s="12"/>
      <c r="G1214" s="12"/>
      <c r="H1214" s="12"/>
      <c r="I1214" s="12"/>
      <c r="J1214" s="12"/>
      <c r="K1214" s="12"/>
      <c r="L1214" s="12"/>
      <c r="M1214" s="12"/>
      <c r="N1214" s="12"/>
      <c r="O1214" s="12"/>
      <c r="P1214" s="12"/>
      <c r="Q1214" s="14"/>
    </row>
    <row r="1215" spans="2:17" x14ac:dyDescent="0.2">
      <c r="B1215" s="12"/>
      <c r="C1215" s="12"/>
      <c r="D1215" s="12"/>
      <c r="E1215" s="12"/>
      <c r="F1215" s="12"/>
      <c r="G1215" s="12"/>
      <c r="H1215" s="12"/>
      <c r="I1215" s="12"/>
      <c r="J1215" s="12"/>
      <c r="K1215" s="12"/>
      <c r="L1215" s="12"/>
      <c r="M1215" s="12"/>
      <c r="N1215" s="12"/>
      <c r="O1215" s="12"/>
      <c r="P1215" s="12"/>
      <c r="Q1215" s="14"/>
    </row>
    <row r="1216" spans="2:17" x14ac:dyDescent="0.2">
      <c r="B1216" s="12"/>
      <c r="C1216" s="12"/>
      <c r="D1216" s="12"/>
      <c r="E1216" s="12"/>
      <c r="F1216" s="12"/>
      <c r="G1216" s="12"/>
      <c r="H1216" s="12"/>
      <c r="I1216" s="12"/>
      <c r="J1216" s="12"/>
      <c r="K1216" s="12"/>
      <c r="L1216" s="12"/>
      <c r="M1216" s="12"/>
      <c r="N1216" s="12"/>
      <c r="O1216" s="12"/>
      <c r="P1216" s="12"/>
      <c r="Q1216" s="14"/>
    </row>
    <row r="1217" spans="2:17" x14ac:dyDescent="0.2">
      <c r="B1217" s="12"/>
      <c r="C1217" s="12"/>
      <c r="D1217" s="12"/>
      <c r="E1217" s="12"/>
      <c r="F1217" s="12"/>
      <c r="G1217" s="12"/>
      <c r="H1217" s="12"/>
      <c r="I1217" s="12"/>
      <c r="J1217" s="12"/>
      <c r="K1217" s="12"/>
      <c r="L1217" s="12"/>
      <c r="M1217" s="12"/>
      <c r="N1217" s="12"/>
      <c r="O1217" s="12"/>
      <c r="P1217" s="12"/>
      <c r="Q1217" s="14"/>
    </row>
    <row r="1218" spans="2:17" x14ac:dyDescent="0.2">
      <c r="B1218" s="12"/>
      <c r="C1218" s="12"/>
      <c r="D1218" s="12"/>
      <c r="E1218" s="12"/>
      <c r="F1218" s="12"/>
      <c r="G1218" s="12"/>
      <c r="H1218" s="12"/>
      <c r="I1218" s="12"/>
      <c r="J1218" s="12"/>
      <c r="K1218" s="12"/>
      <c r="L1218" s="12"/>
      <c r="M1218" s="12"/>
      <c r="N1218" s="12"/>
      <c r="O1218" s="12"/>
      <c r="P1218" s="12"/>
      <c r="Q1218" s="14"/>
    </row>
    <row r="1219" spans="2:17" x14ac:dyDescent="0.2">
      <c r="B1219" s="12"/>
      <c r="C1219" s="12"/>
      <c r="D1219" s="12"/>
      <c r="E1219" s="12"/>
      <c r="F1219" s="12"/>
      <c r="G1219" s="12"/>
      <c r="H1219" s="12"/>
      <c r="I1219" s="12"/>
      <c r="J1219" s="12"/>
      <c r="K1219" s="12"/>
      <c r="L1219" s="12"/>
      <c r="M1219" s="12"/>
      <c r="N1219" s="12"/>
      <c r="O1219" s="12"/>
      <c r="P1219" s="12"/>
      <c r="Q1219" s="14"/>
    </row>
    <row r="1220" spans="2:17" x14ac:dyDescent="0.2">
      <c r="B1220" s="12"/>
      <c r="C1220" s="12"/>
      <c r="D1220" s="12"/>
      <c r="E1220" s="12"/>
      <c r="F1220" s="12"/>
      <c r="G1220" s="12"/>
      <c r="H1220" s="12"/>
      <c r="I1220" s="12"/>
      <c r="J1220" s="12"/>
      <c r="K1220" s="12"/>
      <c r="L1220" s="12"/>
      <c r="M1220" s="12"/>
      <c r="N1220" s="12"/>
      <c r="O1220" s="12"/>
      <c r="P1220" s="12"/>
      <c r="Q1220" s="14"/>
    </row>
    <row r="1221" spans="2:17" x14ac:dyDescent="0.2">
      <c r="B1221" s="12"/>
      <c r="C1221" s="12"/>
      <c r="D1221" s="12"/>
      <c r="E1221" s="12"/>
      <c r="F1221" s="12"/>
      <c r="G1221" s="12"/>
      <c r="H1221" s="12"/>
      <c r="I1221" s="12"/>
      <c r="J1221" s="12"/>
      <c r="K1221" s="12"/>
      <c r="L1221" s="12"/>
      <c r="M1221" s="12"/>
      <c r="N1221" s="12"/>
      <c r="O1221" s="12"/>
      <c r="P1221" s="12"/>
      <c r="Q1221" s="14"/>
    </row>
    <row r="1222" spans="2:17" x14ac:dyDescent="0.2">
      <c r="B1222" s="12"/>
      <c r="C1222" s="12"/>
      <c r="D1222" s="12"/>
      <c r="E1222" s="12"/>
      <c r="F1222" s="12"/>
      <c r="G1222" s="12"/>
      <c r="H1222" s="12"/>
      <c r="I1222" s="12"/>
      <c r="J1222" s="12"/>
      <c r="K1222" s="12"/>
      <c r="L1222" s="12"/>
      <c r="M1222" s="12"/>
      <c r="N1222" s="12"/>
      <c r="O1222" s="12"/>
      <c r="P1222" s="12"/>
      <c r="Q1222" s="14"/>
    </row>
    <row r="1223" spans="2:17" x14ac:dyDescent="0.2">
      <c r="B1223" s="12"/>
      <c r="C1223" s="12"/>
      <c r="D1223" s="12"/>
      <c r="E1223" s="12"/>
      <c r="F1223" s="12"/>
      <c r="G1223" s="12"/>
      <c r="H1223" s="12"/>
      <c r="I1223" s="12"/>
      <c r="J1223" s="12"/>
      <c r="K1223" s="12"/>
      <c r="L1223" s="12"/>
      <c r="M1223" s="12"/>
      <c r="N1223" s="12"/>
      <c r="O1223" s="12"/>
      <c r="P1223" s="12"/>
      <c r="Q1223" s="14"/>
    </row>
    <row r="1224" spans="2:17" x14ac:dyDescent="0.2">
      <c r="B1224" s="12"/>
      <c r="C1224" s="12"/>
      <c r="D1224" s="12"/>
      <c r="E1224" s="12"/>
      <c r="F1224" s="12"/>
      <c r="G1224" s="12"/>
      <c r="H1224" s="12"/>
      <c r="I1224" s="12"/>
      <c r="J1224" s="12"/>
      <c r="K1224" s="12"/>
      <c r="L1224" s="12"/>
      <c r="M1224" s="12"/>
      <c r="N1224" s="12"/>
      <c r="O1224" s="12"/>
      <c r="P1224" s="12"/>
      <c r="Q1224" s="14"/>
    </row>
    <row r="1225" spans="2:17" x14ac:dyDescent="0.2">
      <c r="B1225" s="12"/>
      <c r="C1225" s="12"/>
      <c r="D1225" s="12"/>
      <c r="E1225" s="12"/>
      <c r="F1225" s="12"/>
      <c r="G1225" s="12"/>
      <c r="H1225" s="12"/>
      <c r="I1225" s="12"/>
      <c r="J1225" s="12"/>
      <c r="K1225" s="12"/>
      <c r="L1225" s="12"/>
      <c r="M1225" s="12"/>
      <c r="N1225" s="12"/>
      <c r="O1225" s="12"/>
      <c r="P1225" s="12"/>
      <c r="Q1225" s="14"/>
    </row>
    <row r="1226" spans="2:17" x14ac:dyDescent="0.2">
      <c r="B1226" s="12"/>
      <c r="C1226" s="12"/>
      <c r="D1226" s="12"/>
      <c r="E1226" s="12"/>
      <c r="F1226" s="12"/>
      <c r="G1226" s="12"/>
      <c r="H1226" s="12"/>
      <c r="I1226" s="12"/>
      <c r="J1226" s="12"/>
      <c r="K1226" s="12"/>
      <c r="L1226" s="12"/>
      <c r="M1226" s="12"/>
      <c r="N1226" s="12"/>
      <c r="O1226" s="12"/>
      <c r="P1226" s="12"/>
      <c r="Q1226" s="14"/>
    </row>
    <row r="1227" spans="2:17" x14ac:dyDescent="0.2">
      <c r="B1227" s="12"/>
      <c r="C1227" s="12"/>
      <c r="D1227" s="12"/>
      <c r="E1227" s="12"/>
      <c r="F1227" s="12"/>
      <c r="G1227" s="12"/>
      <c r="H1227" s="12"/>
      <c r="I1227" s="12"/>
      <c r="J1227" s="12"/>
      <c r="K1227" s="12"/>
      <c r="L1227" s="12"/>
      <c r="M1227" s="12"/>
      <c r="N1227" s="12"/>
      <c r="O1227" s="12"/>
      <c r="P1227" s="12"/>
      <c r="Q1227" s="14"/>
    </row>
    <row r="1228" spans="2:17" x14ac:dyDescent="0.2">
      <c r="B1228" s="12"/>
      <c r="C1228" s="12"/>
      <c r="D1228" s="12"/>
      <c r="E1228" s="12"/>
      <c r="F1228" s="12"/>
      <c r="G1228" s="12"/>
      <c r="H1228" s="12"/>
      <c r="I1228" s="12"/>
      <c r="J1228" s="12"/>
      <c r="K1228" s="12"/>
      <c r="L1228" s="12"/>
      <c r="M1228" s="12"/>
      <c r="N1228" s="12"/>
      <c r="O1228" s="12"/>
      <c r="P1228" s="12"/>
      <c r="Q1228" s="14"/>
    </row>
    <row r="1229" spans="2:17" x14ac:dyDescent="0.2">
      <c r="B1229" s="12"/>
      <c r="C1229" s="12"/>
      <c r="D1229" s="12"/>
      <c r="E1229" s="12"/>
      <c r="F1229" s="12"/>
      <c r="G1229" s="12"/>
      <c r="H1229" s="12"/>
      <c r="I1229" s="12"/>
      <c r="J1229" s="12"/>
      <c r="K1229" s="12"/>
      <c r="L1229" s="12"/>
      <c r="M1229" s="12"/>
      <c r="N1229" s="12"/>
      <c r="O1229" s="12"/>
      <c r="P1229" s="12"/>
      <c r="Q1229" s="14"/>
    </row>
    <row r="1230" spans="2:17" x14ac:dyDescent="0.2">
      <c r="B1230" s="12"/>
      <c r="C1230" s="12"/>
      <c r="D1230" s="12"/>
      <c r="E1230" s="12"/>
      <c r="F1230" s="12"/>
      <c r="G1230" s="12"/>
      <c r="H1230" s="12"/>
      <c r="I1230" s="12"/>
      <c r="J1230" s="12"/>
      <c r="K1230" s="12"/>
      <c r="L1230" s="12"/>
      <c r="M1230" s="12"/>
      <c r="N1230" s="12"/>
      <c r="O1230" s="12"/>
      <c r="P1230" s="12"/>
      <c r="Q1230" s="14"/>
    </row>
    <row r="1231" spans="2:17" x14ac:dyDescent="0.2">
      <c r="B1231" s="12"/>
      <c r="C1231" s="12"/>
      <c r="D1231" s="12"/>
      <c r="E1231" s="12"/>
      <c r="F1231" s="12"/>
      <c r="G1231" s="12"/>
      <c r="H1231" s="12"/>
      <c r="I1231" s="12"/>
      <c r="J1231" s="12"/>
      <c r="K1231" s="12"/>
      <c r="L1231" s="12"/>
      <c r="M1231" s="12"/>
      <c r="N1231" s="12"/>
      <c r="O1231" s="12"/>
      <c r="P1231" s="12"/>
      <c r="Q1231" s="14"/>
    </row>
    <row r="1232" spans="2:17" x14ac:dyDescent="0.2">
      <c r="B1232" s="12"/>
      <c r="C1232" s="12"/>
      <c r="D1232" s="12"/>
      <c r="E1232" s="12"/>
      <c r="F1232" s="12"/>
      <c r="G1232" s="12"/>
      <c r="H1232" s="12"/>
      <c r="I1232" s="12"/>
      <c r="J1232" s="12"/>
      <c r="K1232" s="12"/>
      <c r="L1232" s="12"/>
      <c r="M1232" s="12"/>
      <c r="N1232" s="12"/>
      <c r="O1232" s="12"/>
      <c r="P1232" s="12"/>
      <c r="Q1232" s="14"/>
    </row>
    <row r="1233" spans="2:17" x14ac:dyDescent="0.2">
      <c r="B1233" s="12"/>
      <c r="C1233" s="12"/>
      <c r="D1233" s="12"/>
      <c r="E1233" s="12"/>
      <c r="F1233" s="12"/>
      <c r="G1233" s="12"/>
      <c r="H1233" s="12"/>
      <c r="I1233" s="12"/>
      <c r="J1233" s="12"/>
      <c r="K1233" s="12"/>
      <c r="L1233" s="12"/>
      <c r="M1233" s="12"/>
      <c r="N1233" s="12"/>
      <c r="O1233" s="12"/>
      <c r="P1233" s="12"/>
      <c r="Q1233" s="14"/>
    </row>
    <row r="1234" spans="2:17" x14ac:dyDescent="0.2">
      <c r="B1234" s="12"/>
      <c r="C1234" s="12"/>
      <c r="D1234" s="12"/>
      <c r="E1234" s="12"/>
      <c r="F1234" s="12"/>
      <c r="G1234" s="12"/>
      <c r="H1234" s="12"/>
      <c r="I1234" s="12"/>
      <c r="J1234" s="12"/>
      <c r="K1234" s="12"/>
      <c r="L1234" s="12"/>
      <c r="M1234" s="12"/>
      <c r="N1234" s="12"/>
      <c r="O1234" s="12"/>
      <c r="P1234" s="12"/>
      <c r="Q1234" s="14"/>
    </row>
    <row r="1235" spans="2:17" x14ac:dyDescent="0.2">
      <c r="B1235" s="12"/>
      <c r="C1235" s="12"/>
      <c r="D1235" s="12"/>
      <c r="E1235" s="12"/>
      <c r="F1235" s="12"/>
      <c r="G1235" s="12"/>
      <c r="H1235" s="12"/>
      <c r="I1235" s="12"/>
      <c r="J1235" s="12"/>
      <c r="K1235" s="12"/>
      <c r="L1235" s="12"/>
      <c r="M1235" s="12"/>
      <c r="N1235" s="12"/>
      <c r="O1235" s="12"/>
      <c r="P1235" s="12"/>
      <c r="Q1235" s="14"/>
    </row>
    <row r="1236" spans="2:17" x14ac:dyDescent="0.2">
      <c r="B1236" s="12"/>
      <c r="C1236" s="12"/>
      <c r="D1236" s="12"/>
      <c r="E1236" s="12"/>
      <c r="F1236" s="12"/>
      <c r="G1236" s="12"/>
      <c r="H1236" s="12"/>
      <c r="I1236" s="12"/>
      <c r="J1236" s="12"/>
      <c r="K1236" s="12"/>
      <c r="L1236" s="12"/>
      <c r="M1236" s="12"/>
      <c r="N1236" s="12"/>
      <c r="O1236" s="12"/>
      <c r="P1236" s="12"/>
      <c r="Q1236" s="14"/>
    </row>
    <row r="1237" spans="2:17" x14ac:dyDescent="0.2">
      <c r="B1237" s="12"/>
      <c r="C1237" s="12"/>
      <c r="D1237" s="12"/>
      <c r="E1237" s="12"/>
      <c r="F1237" s="12"/>
      <c r="G1237" s="12"/>
      <c r="H1237" s="12"/>
      <c r="I1237" s="12"/>
      <c r="J1237" s="12"/>
      <c r="K1237" s="12"/>
      <c r="L1237" s="12"/>
      <c r="M1237" s="12"/>
      <c r="N1237" s="12"/>
      <c r="O1237" s="12"/>
      <c r="P1237" s="12"/>
      <c r="Q1237" s="14"/>
    </row>
    <row r="1238" spans="2:17" x14ac:dyDescent="0.2">
      <c r="B1238" s="12"/>
      <c r="C1238" s="12"/>
      <c r="D1238" s="12"/>
      <c r="E1238" s="12"/>
      <c r="F1238" s="12"/>
      <c r="G1238" s="12"/>
      <c r="H1238" s="12"/>
      <c r="I1238" s="12"/>
      <c r="J1238" s="12"/>
      <c r="K1238" s="12"/>
      <c r="L1238" s="12"/>
      <c r="M1238" s="12"/>
      <c r="N1238" s="12"/>
      <c r="O1238" s="12"/>
      <c r="P1238" s="12"/>
      <c r="Q1238" s="14"/>
    </row>
    <row r="1239" spans="2:17" x14ac:dyDescent="0.2">
      <c r="B1239" s="12"/>
      <c r="C1239" s="12"/>
      <c r="D1239" s="12"/>
      <c r="E1239" s="12"/>
      <c r="F1239" s="12"/>
      <c r="G1239" s="12"/>
      <c r="H1239" s="12"/>
      <c r="I1239" s="12"/>
      <c r="J1239" s="12"/>
      <c r="K1239" s="12"/>
      <c r="L1239" s="12"/>
      <c r="M1239" s="12"/>
      <c r="N1239" s="12"/>
      <c r="O1239" s="12"/>
      <c r="P1239" s="12"/>
      <c r="Q1239" s="14"/>
    </row>
    <row r="1240" spans="2:17" x14ac:dyDescent="0.2">
      <c r="B1240" s="12"/>
      <c r="C1240" s="12"/>
      <c r="D1240" s="12"/>
      <c r="E1240" s="12"/>
      <c r="F1240" s="12"/>
      <c r="G1240" s="12"/>
      <c r="H1240" s="12"/>
      <c r="I1240" s="12"/>
      <c r="J1240" s="12"/>
      <c r="K1240" s="12"/>
      <c r="L1240" s="12"/>
      <c r="M1240" s="12"/>
      <c r="N1240" s="12"/>
      <c r="O1240" s="12"/>
      <c r="P1240" s="12"/>
      <c r="Q1240" s="14"/>
    </row>
    <row r="1241" spans="2:17" x14ac:dyDescent="0.2">
      <c r="B1241" s="12"/>
      <c r="C1241" s="12"/>
      <c r="D1241" s="12"/>
      <c r="E1241" s="12"/>
      <c r="F1241" s="12"/>
      <c r="G1241" s="12"/>
      <c r="H1241" s="12"/>
      <c r="I1241" s="12"/>
      <c r="J1241" s="12"/>
      <c r="K1241" s="12"/>
      <c r="L1241" s="12"/>
      <c r="M1241" s="12"/>
      <c r="N1241" s="12"/>
      <c r="O1241" s="12"/>
      <c r="P1241" s="12"/>
      <c r="Q1241" s="14"/>
    </row>
    <row r="1242" spans="2:17" x14ac:dyDescent="0.2">
      <c r="B1242" s="12"/>
      <c r="C1242" s="12"/>
      <c r="D1242" s="12"/>
      <c r="E1242" s="12"/>
      <c r="F1242" s="12"/>
      <c r="G1242" s="12"/>
      <c r="H1242" s="12"/>
      <c r="I1242" s="12"/>
      <c r="J1242" s="12"/>
      <c r="K1242" s="12"/>
      <c r="L1242" s="12"/>
      <c r="M1242" s="12"/>
      <c r="N1242" s="12"/>
      <c r="O1242" s="12"/>
      <c r="P1242" s="12"/>
      <c r="Q1242" s="14"/>
    </row>
    <row r="1243" spans="2:17" x14ac:dyDescent="0.2">
      <c r="B1243" s="12"/>
      <c r="C1243" s="12"/>
      <c r="D1243" s="12"/>
      <c r="E1243" s="12"/>
      <c r="F1243" s="12"/>
      <c r="G1243" s="12"/>
      <c r="H1243" s="12"/>
      <c r="I1243" s="12"/>
      <c r="J1243" s="12"/>
      <c r="K1243" s="12"/>
      <c r="L1243" s="12"/>
      <c r="M1243" s="12"/>
      <c r="N1243" s="12"/>
      <c r="O1243" s="12"/>
      <c r="P1243" s="12"/>
      <c r="Q1243" s="14"/>
    </row>
    <row r="1244" spans="2:17" x14ac:dyDescent="0.2">
      <c r="B1244" s="12"/>
      <c r="C1244" s="12"/>
      <c r="D1244" s="12"/>
      <c r="E1244" s="12"/>
      <c r="F1244" s="12"/>
      <c r="G1244" s="12"/>
      <c r="H1244" s="12"/>
      <c r="I1244" s="12"/>
      <c r="J1244" s="12"/>
      <c r="K1244" s="12"/>
      <c r="L1244" s="12"/>
      <c r="M1244" s="12"/>
      <c r="N1244" s="12"/>
      <c r="O1244" s="12"/>
      <c r="P1244" s="12"/>
      <c r="Q1244" s="14"/>
    </row>
    <row r="1245" spans="2:17" x14ac:dyDescent="0.2">
      <c r="B1245" s="12"/>
      <c r="C1245" s="12"/>
      <c r="D1245" s="12"/>
      <c r="E1245" s="12"/>
      <c r="F1245" s="12"/>
      <c r="G1245" s="12"/>
      <c r="H1245" s="12"/>
      <c r="I1245" s="12"/>
      <c r="J1245" s="12"/>
      <c r="K1245" s="12"/>
      <c r="L1245" s="12"/>
      <c r="M1245" s="12"/>
      <c r="N1245" s="12"/>
      <c r="O1245" s="12"/>
      <c r="P1245" s="12"/>
      <c r="Q1245" s="14"/>
    </row>
    <row r="1246" spans="2:17" x14ac:dyDescent="0.2">
      <c r="B1246" s="12"/>
      <c r="C1246" s="12"/>
      <c r="D1246" s="12"/>
      <c r="E1246" s="12"/>
      <c r="F1246" s="12"/>
      <c r="G1246" s="12"/>
      <c r="H1246" s="12"/>
      <c r="I1246" s="12"/>
      <c r="J1246" s="12"/>
      <c r="K1246" s="12"/>
      <c r="L1246" s="12"/>
      <c r="M1246" s="12"/>
      <c r="N1246" s="12"/>
      <c r="O1246" s="12"/>
      <c r="P1246" s="12"/>
      <c r="Q1246" s="14"/>
    </row>
    <row r="1247" spans="2:17" x14ac:dyDescent="0.2">
      <c r="B1247" s="12"/>
      <c r="C1247" s="12"/>
      <c r="D1247" s="12"/>
      <c r="E1247" s="12"/>
      <c r="F1247" s="12"/>
      <c r="G1247" s="12"/>
      <c r="H1247" s="12"/>
      <c r="I1247" s="12"/>
      <c r="J1247" s="12"/>
      <c r="K1247" s="12"/>
      <c r="L1247" s="12"/>
      <c r="M1247" s="12"/>
      <c r="N1247" s="12"/>
      <c r="O1247" s="12"/>
      <c r="P1247" s="12"/>
      <c r="Q1247" s="14"/>
    </row>
    <row r="1248" spans="2:17" x14ac:dyDescent="0.2">
      <c r="B1248" s="12"/>
      <c r="C1248" s="12"/>
      <c r="D1248" s="12"/>
      <c r="E1248" s="12"/>
      <c r="F1248" s="12"/>
      <c r="G1248" s="12"/>
      <c r="H1248" s="12"/>
      <c r="I1248" s="12"/>
      <c r="J1248" s="12"/>
      <c r="K1248" s="12"/>
      <c r="L1248" s="12"/>
      <c r="M1248" s="12"/>
      <c r="N1248" s="12"/>
      <c r="O1248" s="12"/>
      <c r="P1248" s="12"/>
      <c r="Q1248" s="14"/>
    </row>
    <row r="1249" spans="2:17" x14ac:dyDescent="0.2">
      <c r="B1249" s="12"/>
      <c r="C1249" s="12"/>
      <c r="D1249" s="12"/>
      <c r="E1249" s="12"/>
      <c r="F1249" s="12"/>
      <c r="G1249" s="12"/>
      <c r="H1249" s="12"/>
      <c r="I1249" s="12"/>
      <c r="J1249" s="12"/>
      <c r="K1249" s="12"/>
      <c r="L1249" s="12"/>
      <c r="M1249" s="12"/>
      <c r="N1249" s="12"/>
      <c r="O1249" s="12"/>
      <c r="P1249" s="12"/>
      <c r="Q1249" s="14"/>
    </row>
    <row r="1250" spans="2:17" x14ac:dyDescent="0.2">
      <c r="B1250" s="12"/>
      <c r="C1250" s="12"/>
      <c r="D1250" s="12"/>
      <c r="E1250" s="12"/>
      <c r="F1250" s="12"/>
      <c r="G1250" s="12"/>
      <c r="H1250" s="12"/>
      <c r="I1250" s="12"/>
      <c r="J1250" s="12"/>
      <c r="K1250" s="12"/>
      <c r="L1250" s="12"/>
      <c r="M1250" s="12"/>
      <c r="N1250" s="12"/>
      <c r="O1250" s="12"/>
      <c r="P1250" s="12"/>
      <c r="Q1250" s="14"/>
    </row>
    <row r="1251" spans="2:17" x14ac:dyDescent="0.2">
      <c r="B1251" s="12"/>
      <c r="C1251" s="12"/>
      <c r="D1251" s="12"/>
      <c r="E1251" s="12"/>
      <c r="F1251" s="12"/>
      <c r="G1251" s="12"/>
      <c r="H1251" s="12"/>
      <c r="I1251" s="12"/>
      <c r="J1251" s="12"/>
      <c r="K1251" s="12"/>
      <c r="L1251" s="12"/>
      <c r="M1251" s="12"/>
      <c r="N1251" s="12"/>
      <c r="O1251" s="12"/>
      <c r="P1251" s="12"/>
      <c r="Q1251" s="14"/>
    </row>
    <row r="1252" spans="2:17" x14ac:dyDescent="0.2">
      <c r="B1252" s="12"/>
      <c r="C1252" s="12"/>
      <c r="D1252" s="12"/>
      <c r="E1252" s="12"/>
      <c r="F1252" s="12"/>
      <c r="G1252" s="12"/>
      <c r="H1252" s="12"/>
      <c r="I1252" s="12"/>
      <c r="J1252" s="12"/>
      <c r="K1252" s="12"/>
      <c r="L1252" s="12"/>
      <c r="M1252" s="12"/>
      <c r="N1252" s="12"/>
      <c r="O1252" s="12"/>
      <c r="P1252" s="12"/>
      <c r="Q1252" s="14"/>
    </row>
    <row r="1253" spans="2:17" x14ac:dyDescent="0.2">
      <c r="B1253" s="12"/>
      <c r="C1253" s="12"/>
      <c r="D1253" s="12"/>
      <c r="E1253" s="12"/>
      <c r="F1253" s="12"/>
      <c r="G1253" s="12"/>
      <c r="H1253" s="12"/>
      <c r="I1253" s="12"/>
      <c r="J1253" s="12"/>
      <c r="K1253" s="12"/>
      <c r="L1253" s="12"/>
      <c r="M1253" s="12"/>
      <c r="N1253" s="12"/>
      <c r="O1253" s="12"/>
      <c r="P1253" s="12"/>
      <c r="Q1253" s="14"/>
    </row>
    <row r="1254" spans="2:17" x14ac:dyDescent="0.2">
      <c r="B1254" s="12"/>
      <c r="C1254" s="12"/>
      <c r="D1254" s="12"/>
      <c r="E1254" s="12"/>
      <c r="F1254" s="12"/>
      <c r="G1254" s="12"/>
      <c r="H1254" s="12"/>
      <c r="I1254" s="12"/>
      <c r="J1254" s="12"/>
      <c r="K1254" s="12"/>
      <c r="L1254" s="12"/>
      <c r="M1254" s="12"/>
      <c r="N1254" s="12"/>
      <c r="O1254" s="12"/>
      <c r="P1254" s="12"/>
      <c r="Q1254" s="14"/>
    </row>
    <row r="1255" spans="2:17" x14ac:dyDescent="0.2">
      <c r="B1255" s="12"/>
      <c r="C1255" s="12"/>
      <c r="D1255" s="12"/>
      <c r="E1255" s="12"/>
      <c r="F1255" s="12"/>
      <c r="G1255" s="12"/>
      <c r="H1255" s="12"/>
      <c r="I1255" s="12"/>
      <c r="J1255" s="12"/>
      <c r="K1255" s="12"/>
      <c r="L1255" s="12"/>
      <c r="M1255" s="12"/>
      <c r="N1255" s="12"/>
      <c r="O1255" s="12"/>
      <c r="P1255" s="12"/>
      <c r="Q1255" s="14"/>
    </row>
    <row r="1256" spans="2:17" x14ac:dyDescent="0.2">
      <c r="B1256" s="12"/>
      <c r="C1256" s="12"/>
      <c r="D1256" s="12"/>
      <c r="E1256" s="12"/>
      <c r="F1256" s="12"/>
      <c r="G1256" s="12"/>
      <c r="H1256" s="12"/>
      <c r="I1256" s="12"/>
      <c r="J1256" s="12"/>
      <c r="K1256" s="12"/>
      <c r="L1256" s="12"/>
      <c r="M1256" s="12"/>
      <c r="N1256" s="12"/>
      <c r="O1256" s="12"/>
      <c r="P1256" s="12"/>
      <c r="Q1256" s="14"/>
    </row>
    <row r="1257" spans="2:17" x14ac:dyDescent="0.2">
      <c r="B1257" s="12"/>
      <c r="C1257" s="12"/>
      <c r="D1257" s="12"/>
      <c r="E1257" s="12"/>
      <c r="F1257" s="12"/>
      <c r="G1257" s="12"/>
      <c r="H1257" s="12"/>
      <c r="I1257" s="12"/>
      <c r="J1257" s="12"/>
      <c r="K1257" s="12"/>
      <c r="L1257" s="12"/>
      <c r="M1257" s="12"/>
      <c r="N1257" s="12"/>
      <c r="O1257" s="12"/>
      <c r="P1257" s="12"/>
      <c r="Q1257" s="14"/>
    </row>
    <row r="1258" spans="2:17" x14ac:dyDescent="0.2">
      <c r="B1258" s="12"/>
      <c r="C1258" s="12"/>
      <c r="D1258" s="12"/>
      <c r="E1258" s="12"/>
      <c r="F1258" s="12"/>
      <c r="G1258" s="12"/>
      <c r="H1258" s="12"/>
      <c r="I1258" s="12"/>
      <c r="J1258" s="12"/>
      <c r="K1258" s="12"/>
      <c r="L1258" s="12"/>
      <c r="M1258" s="12"/>
      <c r="N1258" s="12"/>
      <c r="O1258" s="12"/>
      <c r="P1258" s="12"/>
      <c r="Q1258" s="14"/>
    </row>
    <row r="1259" spans="2:17" x14ac:dyDescent="0.2">
      <c r="B1259" s="12"/>
      <c r="C1259" s="12"/>
      <c r="D1259" s="12"/>
      <c r="E1259" s="12"/>
      <c r="F1259" s="12"/>
      <c r="G1259" s="12"/>
      <c r="H1259" s="12"/>
      <c r="I1259" s="12"/>
      <c r="J1259" s="12"/>
      <c r="K1259" s="12"/>
      <c r="L1259" s="12"/>
      <c r="M1259" s="12"/>
      <c r="N1259" s="12"/>
      <c r="O1259" s="12"/>
      <c r="P1259" s="12"/>
      <c r="Q1259" s="14"/>
    </row>
    <row r="1260" spans="2:17" x14ac:dyDescent="0.2">
      <c r="B1260" s="12"/>
      <c r="C1260" s="12"/>
      <c r="D1260" s="12"/>
      <c r="E1260" s="12"/>
      <c r="F1260" s="12"/>
      <c r="G1260" s="12"/>
      <c r="H1260" s="12"/>
      <c r="I1260" s="12"/>
      <c r="J1260" s="12"/>
      <c r="K1260" s="12"/>
      <c r="L1260" s="12"/>
      <c r="M1260" s="12"/>
      <c r="N1260" s="12"/>
      <c r="O1260" s="12"/>
      <c r="P1260" s="12"/>
      <c r="Q1260" s="14"/>
    </row>
    <row r="1261" spans="2:17" x14ac:dyDescent="0.2">
      <c r="B1261" s="12"/>
      <c r="C1261" s="12"/>
      <c r="D1261" s="12"/>
      <c r="E1261" s="12"/>
      <c r="F1261" s="12"/>
      <c r="G1261" s="12"/>
      <c r="H1261" s="12"/>
      <c r="I1261" s="12"/>
      <c r="J1261" s="12"/>
      <c r="K1261" s="12"/>
      <c r="L1261" s="12"/>
      <c r="M1261" s="12"/>
      <c r="N1261" s="12"/>
      <c r="O1261" s="12"/>
      <c r="P1261" s="12"/>
      <c r="Q1261" s="14"/>
    </row>
    <row r="1262" spans="2:17" x14ac:dyDescent="0.2">
      <c r="B1262" s="12"/>
      <c r="C1262" s="12"/>
      <c r="D1262" s="12"/>
      <c r="E1262" s="12"/>
      <c r="F1262" s="12"/>
      <c r="G1262" s="12"/>
      <c r="H1262" s="12"/>
      <c r="I1262" s="12"/>
      <c r="J1262" s="12"/>
      <c r="K1262" s="12"/>
      <c r="L1262" s="12"/>
      <c r="M1262" s="12"/>
      <c r="N1262" s="12"/>
      <c r="O1262" s="12"/>
      <c r="P1262" s="12"/>
      <c r="Q1262" s="14"/>
    </row>
    <row r="1263" spans="2:17" x14ac:dyDescent="0.2">
      <c r="B1263" s="12"/>
      <c r="C1263" s="12"/>
      <c r="D1263" s="12"/>
      <c r="E1263" s="12"/>
      <c r="F1263" s="12"/>
      <c r="G1263" s="12"/>
      <c r="H1263" s="12"/>
      <c r="I1263" s="12"/>
      <c r="J1263" s="12"/>
      <c r="K1263" s="12"/>
      <c r="L1263" s="12"/>
      <c r="M1263" s="12"/>
      <c r="N1263" s="12"/>
      <c r="O1263" s="12"/>
      <c r="P1263" s="12"/>
      <c r="Q1263" s="14"/>
    </row>
    <row r="1264" spans="2:17" x14ac:dyDescent="0.2">
      <c r="B1264" s="12"/>
      <c r="C1264" s="12"/>
      <c r="D1264" s="12"/>
      <c r="E1264" s="12"/>
      <c r="F1264" s="12"/>
      <c r="G1264" s="12"/>
      <c r="H1264" s="12"/>
      <c r="I1264" s="12"/>
      <c r="J1264" s="12"/>
      <c r="K1264" s="12"/>
      <c r="L1264" s="12"/>
      <c r="M1264" s="12"/>
      <c r="N1264" s="12"/>
      <c r="O1264" s="12"/>
      <c r="P1264" s="12"/>
      <c r="Q1264" s="14"/>
    </row>
    <row r="1265" spans="2:17" x14ac:dyDescent="0.2">
      <c r="B1265" s="12"/>
      <c r="C1265" s="12"/>
      <c r="D1265" s="12"/>
      <c r="E1265" s="12"/>
      <c r="F1265" s="12"/>
      <c r="G1265" s="12"/>
      <c r="H1265" s="12"/>
      <c r="I1265" s="12"/>
      <c r="J1265" s="12"/>
      <c r="K1265" s="12"/>
      <c r="L1265" s="12"/>
      <c r="M1265" s="12"/>
      <c r="N1265" s="12"/>
      <c r="O1265" s="12"/>
      <c r="P1265" s="12"/>
      <c r="Q1265" s="14"/>
    </row>
    <row r="1266" spans="2:17" x14ac:dyDescent="0.2">
      <c r="B1266" s="12"/>
      <c r="C1266" s="12"/>
      <c r="D1266" s="12"/>
      <c r="E1266" s="12"/>
      <c r="F1266" s="12"/>
      <c r="G1266" s="12"/>
      <c r="H1266" s="12"/>
      <c r="I1266" s="12"/>
      <c r="J1266" s="12"/>
      <c r="K1266" s="12"/>
      <c r="L1266" s="12"/>
      <c r="M1266" s="12"/>
      <c r="N1266" s="12"/>
      <c r="O1266" s="12"/>
      <c r="P1266" s="12"/>
      <c r="Q1266" s="14"/>
    </row>
    <row r="1267" spans="2:17" x14ac:dyDescent="0.2">
      <c r="B1267" s="12"/>
      <c r="C1267" s="12"/>
      <c r="D1267" s="12"/>
      <c r="E1267" s="12"/>
      <c r="F1267" s="12"/>
      <c r="G1267" s="12"/>
      <c r="H1267" s="12"/>
      <c r="I1267" s="12"/>
      <c r="J1267" s="12"/>
      <c r="K1267" s="12"/>
      <c r="L1267" s="12"/>
      <c r="M1267" s="12"/>
      <c r="N1267" s="12"/>
      <c r="O1267" s="12"/>
      <c r="P1267" s="12"/>
      <c r="Q1267" s="14"/>
    </row>
    <row r="1268" spans="2:17" x14ac:dyDescent="0.2">
      <c r="B1268" s="12"/>
      <c r="C1268" s="12"/>
      <c r="D1268" s="12"/>
      <c r="E1268" s="12"/>
      <c r="F1268" s="12"/>
      <c r="G1268" s="12"/>
      <c r="H1268" s="12"/>
      <c r="I1268" s="12"/>
      <c r="J1268" s="12"/>
      <c r="K1268" s="12"/>
      <c r="L1268" s="12"/>
      <c r="M1268" s="12"/>
      <c r="N1268" s="12"/>
      <c r="O1268" s="12"/>
      <c r="P1268" s="12"/>
      <c r="Q1268" s="14"/>
    </row>
    <row r="1269" spans="2:17" x14ac:dyDescent="0.2">
      <c r="B1269" s="12"/>
      <c r="C1269" s="12"/>
      <c r="D1269" s="12"/>
      <c r="E1269" s="12"/>
      <c r="F1269" s="12"/>
      <c r="G1269" s="12"/>
      <c r="H1269" s="12"/>
      <c r="I1269" s="12"/>
      <c r="J1269" s="12"/>
      <c r="K1269" s="12"/>
      <c r="L1269" s="12"/>
      <c r="M1269" s="12"/>
      <c r="N1269" s="12"/>
      <c r="O1269" s="12"/>
      <c r="P1269" s="12"/>
      <c r="Q1269" s="14"/>
    </row>
    <row r="1270" spans="2:17" x14ac:dyDescent="0.2">
      <c r="B1270" s="12"/>
      <c r="C1270" s="12"/>
      <c r="D1270" s="12"/>
      <c r="E1270" s="12"/>
      <c r="F1270" s="12"/>
      <c r="G1270" s="12"/>
      <c r="H1270" s="12"/>
      <c r="I1270" s="12"/>
      <c r="J1270" s="12"/>
      <c r="K1270" s="12"/>
      <c r="L1270" s="12"/>
      <c r="M1270" s="12"/>
      <c r="N1270" s="12"/>
      <c r="O1270" s="12"/>
      <c r="P1270" s="12"/>
      <c r="Q1270" s="14"/>
    </row>
    <row r="1271" spans="2:17" x14ac:dyDescent="0.2">
      <c r="B1271" s="12"/>
      <c r="C1271" s="12"/>
      <c r="D1271" s="12"/>
      <c r="E1271" s="12"/>
      <c r="F1271" s="12"/>
      <c r="G1271" s="12"/>
      <c r="H1271" s="12"/>
      <c r="I1271" s="12"/>
      <c r="J1271" s="12"/>
      <c r="K1271" s="12"/>
      <c r="L1271" s="12"/>
      <c r="M1271" s="12"/>
      <c r="N1271" s="12"/>
      <c r="O1271" s="12"/>
      <c r="P1271" s="12"/>
      <c r="Q1271" s="14"/>
    </row>
    <row r="1272" spans="2:17" x14ac:dyDescent="0.2">
      <c r="B1272" s="12"/>
      <c r="C1272" s="12"/>
      <c r="D1272" s="12"/>
      <c r="E1272" s="12"/>
      <c r="F1272" s="12"/>
      <c r="G1272" s="12"/>
      <c r="H1272" s="12"/>
      <c r="I1272" s="12"/>
      <c r="J1272" s="12"/>
      <c r="K1272" s="12"/>
      <c r="L1272" s="12"/>
      <c r="M1272" s="12"/>
      <c r="N1272" s="12"/>
      <c r="O1272" s="12"/>
      <c r="P1272" s="12"/>
      <c r="Q1272" s="14"/>
    </row>
    <row r="1273" spans="2:17" x14ac:dyDescent="0.2">
      <c r="B1273" s="12"/>
      <c r="C1273" s="12"/>
      <c r="D1273" s="12"/>
      <c r="E1273" s="12"/>
      <c r="F1273" s="12"/>
      <c r="G1273" s="12"/>
      <c r="H1273" s="12"/>
      <c r="I1273" s="12"/>
      <c r="J1273" s="12"/>
      <c r="K1273" s="12"/>
      <c r="L1273" s="12"/>
      <c r="M1273" s="12"/>
      <c r="N1273" s="12"/>
      <c r="O1273" s="12"/>
      <c r="P1273" s="12"/>
      <c r="Q1273" s="14"/>
    </row>
    <row r="1274" spans="2:17" x14ac:dyDescent="0.2">
      <c r="B1274" s="12"/>
      <c r="C1274" s="12"/>
      <c r="D1274" s="12"/>
      <c r="E1274" s="12"/>
      <c r="F1274" s="12"/>
      <c r="G1274" s="12"/>
      <c r="H1274" s="12"/>
      <c r="I1274" s="12"/>
      <c r="J1274" s="12"/>
      <c r="K1274" s="12"/>
      <c r="L1274" s="12"/>
      <c r="M1274" s="12"/>
      <c r="N1274" s="12"/>
      <c r="O1274" s="12"/>
      <c r="P1274" s="12"/>
      <c r="Q1274" s="14"/>
    </row>
    <row r="1275" spans="2:17" x14ac:dyDescent="0.2">
      <c r="B1275" s="12"/>
      <c r="C1275" s="12"/>
      <c r="D1275" s="12"/>
      <c r="E1275" s="12"/>
      <c r="F1275" s="12"/>
      <c r="G1275" s="12"/>
      <c r="H1275" s="12"/>
      <c r="I1275" s="12"/>
      <c r="J1275" s="12"/>
      <c r="K1275" s="12"/>
      <c r="L1275" s="12"/>
      <c r="M1275" s="12"/>
      <c r="N1275" s="12"/>
      <c r="O1275" s="12"/>
      <c r="P1275" s="12"/>
      <c r="Q1275" s="14"/>
    </row>
    <row r="1276" spans="2:17" x14ac:dyDescent="0.2">
      <c r="B1276" s="12"/>
      <c r="C1276" s="12"/>
      <c r="D1276" s="12"/>
      <c r="E1276" s="12"/>
      <c r="F1276" s="12"/>
      <c r="G1276" s="12"/>
      <c r="H1276" s="12"/>
      <c r="I1276" s="12"/>
      <c r="J1276" s="12"/>
      <c r="K1276" s="12"/>
      <c r="L1276" s="12"/>
      <c r="M1276" s="12"/>
      <c r="N1276" s="12"/>
      <c r="O1276" s="12"/>
      <c r="P1276" s="12"/>
      <c r="Q1276" s="14"/>
    </row>
    <row r="1277" spans="2:17" x14ac:dyDescent="0.2">
      <c r="B1277" s="12"/>
      <c r="C1277" s="12"/>
      <c r="D1277" s="12"/>
      <c r="E1277" s="12"/>
      <c r="F1277" s="12"/>
      <c r="G1277" s="12"/>
      <c r="H1277" s="12"/>
      <c r="I1277" s="12"/>
      <c r="J1277" s="12"/>
      <c r="K1277" s="12"/>
      <c r="L1277" s="12"/>
      <c r="M1277" s="12"/>
      <c r="N1277" s="12"/>
      <c r="O1277" s="12"/>
      <c r="P1277" s="12"/>
      <c r="Q1277" s="14"/>
    </row>
    <row r="1278" spans="2:17" x14ac:dyDescent="0.2">
      <c r="B1278" s="12"/>
      <c r="C1278" s="12"/>
      <c r="D1278" s="12"/>
      <c r="E1278" s="12"/>
      <c r="F1278" s="12"/>
      <c r="G1278" s="12"/>
      <c r="H1278" s="12"/>
      <c r="I1278" s="12"/>
      <c r="J1278" s="12"/>
      <c r="K1278" s="12"/>
      <c r="L1278" s="12"/>
      <c r="M1278" s="12"/>
      <c r="N1278" s="12"/>
      <c r="O1278" s="12"/>
      <c r="P1278" s="12"/>
      <c r="Q1278" s="14"/>
    </row>
    <row r="1279" spans="2:17" x14ac:dyDescent="0.2">
      <c r="B1279" s="12"/>
      <c r="C1279" s="12"/>
      <c r="D1279" s="12"/>
      <c r="E1279" s="12"/>
      <c r="F1279" s="12"/>
      <c r="G1279" s="12"/>
      <c r="H1279" s="12"/>
      <c r="I1279" s="12"/>
      <c r="J1279" s="12"/>
      <c r="K1279" s="12"/>
      <c r="L1279" s="12"/>
      <c r="M1279" s="12"/>
      <c r="N1279" s="12"/>
      <c r="O1279" s="12"/>
      <c r="P1279" s="12"/>
      <c r="Q1279" s="14"/>
    </row>
    <row r="1280" spans="2:17" x14ac:dyDescent="0.2">
      <c r="B1280" s="12"/>
      <c r="C1280" s="12"/>
      <c r="D1280" s="12"/>
      <c r="E1280" s="12"/>
      <c r="F1280" s="12"/>
      <c r="G1280" s="12"/>
      <c r="H1280" s="12"/>
      <c r="I1280" s="12"/>
      <c r="J1280" s="12"/>
      <c r="K1280" s="12"/>
      <c r="L1280" s="12"/>
      <c r="M1280" s="12"/>
      <c r="N1280" s="12"/>
      <c r="O1280" s="12"/>
      <c r="P1280" s="12"/>
      <c r="Q1280" s="14"/>
    </row>
    <row r="1281" spans="2:17" x14ac:dyDescent="0.2">
      <c r="B1281" s="12"/>
      <c r="C1281" s="12"/>
      <c r="D1281" s="12"/>
      <c r="E1281" s="12"/>
      <c r="F1281" s="12"/>
      <c r="G1281" s="12"/>
      <c r="H1281" s="12"/>
      <c r="I1281" s="12"/>
      <c r="J1281" s="12"/>
      <c r="K1281" s="12"/>
      <c r="L1281" s="12"/>
      <c r="M1281" s="12"/>
      <c r="N1281" s="12"/>
      <c r="O1281" s="12"/>
      <c r="P1281" s="12"/>
      <c r="Q1281" s="14"/>
    </row>
    <row r="1282" spans="2:17" x14ac:dyDescent="0.2">
      <c r="B1282" s="12"/>
      <c r="C1282" s="12"/>
      <c r="D1282" s="12"/>
      <c r="E1282" s="12"/>
      <c r="F1282" s="12"/>
      <c r="G1282" s="12"/>
      <c r="H1282" s="12"/>
      <c r="I1282" s="12"/>
      <c r="J1282" s="12"/>
      <c r="K1282" s="12"/>
      <c r="L1282" s="12"/>
      <c r="M1282" s="12"/>
      <c r="N1282" s="12"/>
      <c r="O1282" s="12"/>
      <c r="P1282" s="12"/>
      <c r="Q1282" s="14"/>
    </row>
    <row r="1283" spans="2:17" x14ac:dyDescent="0.2">
      <c r="B1283" s="12"/>
      <c r="C1283" s="12"/>
      <c r="D1283" s="12"/>
      <c r="E1283" s="12"/>
      <c r="F1283" s="12"/>
      <c r="G1283" s="12"/>
      <c r="H1283" s="12"/>
      <c r="I1283" s="12"/>
      <c r="J1283" s="12"/>
      <c r="K1283" s="12"/>
      <c r="L1283" s="12"/>
      <c r="M1283" s="12"/>
      <c r="N1283" s="12"/>
      <c r="O1283" s="12"/>
      <c r="P1283" s="12"/>
      <c r="Q1283" s="14"/>
    </row>
    <row r="1284" spans="2:17" x14ac:dyDescent="0.2">
      <c r="B1284" s="12"/>
      <c r="C1284" s="12"/>
      <c r="D1284" s="12"/>
      <c r="E1284" s="12"/>
      <c r="F1284" s="12"/>
      <c r="G1284" s="12"/>
      <c r="H1284" s="12"/>
      <c r="I1284" s="12"/>
      <c r="J1284" s="12"/>
      <c r="K1284" s="12"/>
      <c r="L1284" s="12"/>
      <c r="M1284" s="12"/>
      <c r="N1284" s="12"/>
      <c r="O1284" s="12"/>
      <c r="P1284" s="12"/>
      <c r="Q1284" s="14"/>
    </row>
    <row r="1285" spans="2:17" x14ac:dyDescent="0.2">
      <c r="B1285" s="12"/>
      <c r="C1285" s="12"/>
      <c r="D1285" s="12"/>
      <c r="E1285" s="12"/>
      <c r="F1285" s="12"/>
      <c r="G1285" s="12"/>
      <c r="H1285" s="12"/>
      <c r="I1285" s="12"/>
      <c r="J1285" s="12"/>
      <c r="K1285" s="12"/>
      <c r="L1285" s="12"/>
      <c r="M1285" s="12"/>
      <c r="N1285" s="12"/>
      <c r="O1285" s="12"/>
      <c r="P1285" s="12"/>
      <c r="Q1285" s="14"/>
    </row>
    <row r="1286" spans="2:17" x14ac:dyDescent="0.2">
      <c r="B1286" s="12"/>
      <c r="C1286" s="12"/>
      <c r="D1286" s="12"/>
      <c r="E1286" s="12"/>
      <c r="F1286" s="12"/>
      <c r="G1286" s="12"/>
      <c r="H1286" s="12"/>
      <c r="I1286" s="12"/>
      <c r="J1286" s="12"/>
      <c r="K1286" s="12"/>
      <c r="L1286" s="12"/>
      <c r="M1286" s="12"/>
      <c r="N1286" s="12"/>
      <c r="O1286" s="12"/>
      <c r="P1286" s="12"/>
      <c r="Q1286" s="14"/>
    </row>
    <row r="1287" spans="2:17" x14ac:dyDescent="0.2">
      <c r="B1287" s="12"/>
      <c r="C1287" s="12"/>
      <c r="D1287" s="12"/>
      <c r="E1287" s="12"/>
      <c r="F1287" s="12"/>
      <c r="G1287" s="12"/>
      <c r="H1287" s="12"/>
      <c r="I1287" s="12"/>
      <c r="J1287" s="12"/>
      <c r="K1287" s="12"/>
      <c r="L1287" s="12"/>
      <c r="M1287" s="12"/>
      <c r="N1287" s="12"/>
      <c r="O1287" s="12"/>
      <c r="P1287" s="12"/>
      <c r="Q1287" s="14"/>
    </row>
    <row r="1288" spans="2:17" x14ac:dyDescent="0.2">
      <c r="B1288" s="12"/>
      <c r="C1288" s="12"/>
      <c r="D1288" s="12"/>
      <c r="E1288" s="12"/>
      <c r="F1288" s="12"/>
      <c r="G1288" s="12"/>
      <c r="H1288" s="12"/>
      <c r="I1288" s="12"/>
      <c r="J1288" s="12"/>
      <c r="K1288" s="12"/>
      <c r="L1288" s="12"/>
      <c r="M1288" s="12"/>
      <c r="N1288" s="12"/>
      <c r="O1288" s="12"/>
      <c r="P1288" s="12"/>
      <c r="Q1288" s="14"/>
    </row>
    <row r="1289" spans="2:17" x14ac:dyDescent="0.2">
      <c r="B1289" s="12"/>
      <c r="C1289" s="12"/>
      <c r="D1289" s="12"/>
      <c r="E1289" s="12"/>
      <c r="F1289" s="12"/>
      <c r="G1289" s="12"/>
      <c r="H1289" s="12"/>
      <c r="I1289" s="12"/>
      <c r="J1289" s="12"/>
      <c r="K1289" s="12"/>
      <c r="L1289" s="12"/>
      <c r="M1289" s="12"/>
      <c r="N1289" s="12"/>
      <c r="O1289" s="12"/>
      <c r="P1289" s="12"/>
      <c r="Q1289" s="14"/>
    </row>
    <row r="1290" spans="2:17" x14ac:dyDescent="0.2">
      <c r="B1290" s="12"/>
      <c r="C1290" s="12"/>
      <c r="D1290" s="12"/>
      <c r="E1290" s="12"/>
      <c r="F1290" s="12"/>
      <c r="G1290" s="12"/>
      <c r="H1290" s="12"/>
      <c r="I1290" s="12"/>
      <c r="J1290" s="12"/>
      <c r="K1290" s="12"/>
      <c r="L1290" s="12"/>
      <c r="M1290" s="12"/>
      <c r="N1290" s="12"/>
      <c r="O1290" s="12"/>
      <c r="P1290" s="12"/>
      <c r="Q1290" s="14"/>
    </row>
    <row r="1291" spans="2:17" x14ac:dyDescent="0.2">
      <c r="B1291" s="12"/>
      <c r="C1291" s="12"/>
      <c r="D1291" s="12"/>
      <c r="E1291" s="12"/>
      <c r="F1291" s="12"/>
      <c r="G1291" s="12"/>
      <c r="H1291" s="12"/>
      <c r="I1291" s="12"/>
      <c r="J1291" s="12"/>
      <c r="K1291" s="12"/>
      <c r="L1291" s="12"/>
      <c r="M1291" s="12"/>
      <c r="N1291" s="12"/>
      <c r="O1291" s="12"/>
      <c r="P1291" s="12"/>
      <c r="Q1291" s="14"/>
    </row>
    <row r="1292" spans="2:17" x14ac:dyDescent="0.2">
      <c r="B1292" s="12"/>
      <c r="C1292" s="12"/>
      <c r="D1292" s="12"/>
      <c r="E1292" s="12"/>
      <c r="F1292" s="12"/>
      <c r="G1292" s="12"/>
      <c r="H1292" s="12"/>
      <c r="I1292" s="12"/>
      <c r="J1292" s="12"/>
      <c r="K1292" s="12"/>
      <c r="L1292" s="12"/>
      <c r="M1292" s="12"/>
      <c r="N1292" s="12"/>
      <c r="O1292" s="12"/>
      <c r="P1292" s="12"/>
      <c r="Q1292" s="14"/>
    </row>
    <row r="1293" spans="2:17" x14ac:dyDescent="0.2">
      <c r="B1293" s="12"/>
      <c r="C1293" s="12"/>
      <c r="D1293" s="12"/>
      <c r="E1293" s="12"/>
      <c r="F1293" s="12"/>
      <c r="G1293" s="12"/>
      <c r="H1293" s="12"/>
      <c r="I1293" s="12"/>
      <c r="J1293" s="12"/>
      <c r="K1293" s="12"/>
      <c r="L1293" s="12"/>
      <c r="M1293" s="12"/>
      <c r="N1293" s="12"/>
      <c r="O1293" s="12"/>
      <c r="P1293" s="12"/>
      <c r="Q1293" s="14"/>
    </row>
    <row r="1294" spans="2:17" x14ac:dyDescent="0.2">
      <c r="B1294" s="12"/>
      <c r="C1294" s="12"/>
      <c r="D1294" s="12"/>
      <c r="E1294" s="12"/>
      <c r="F1294" s="12"/>
      <c r="G1294" s="12"/>
      <c r="H1294" s="12"/>
      <c r="I1294" s="12"/>
      <c r="J1294" s="12"/>
      <c r="K1294" s="12"/>
      <c r="L1294" s="12"/>
      <c r="M1294" s="12"/>
      <c r="N1294" s="12"/>
      <c r="O1294" s="12"/>
      <c r="P1294" s="12"/>
      <c r="Q1294" s="14"/>
    </row>
    <row r="1295" spans="2:17" x14ac:dyDescent="0.2">
      <c r="B1295" s="12"/>
      <c r="C1295" s="12"/>
      <c r="D1295" s="12"/>
      <c r="E1295" s="12"/>
      <c r="F1295" s="12"/>
      <c r="G1295" s="12"/>
      <c r="H1295" s="12"/>
      <c r="I1295" s="12"/>
      <c r="J1295" s="12"/>
      <c r="K1295" s="12"/>
      <c r="L1295" s="12"/>
      <c r="M1295" s="12"/>
      <c r="N1295" s="12"/>
      <c r="O1295" s="12"/>
      <c r="P1295" s="12"/>
      <c r="Q1295" s="14"/>
    </row>
    <row r="1296" spans="2:17" x14ac:dyDescent="0.2">
      <c r="B1296" s="12"/>
      <c r="C1296" s="12"/>
      <c r="D1296" s="12"/>
      <c r="E1296" s="12"/>
      <c r="F1296" s="12"/>
      <c r="G1296" s="12"/>
      <c r="H1296" s="12"/>
      <c r="I1296" s="12"/>
      <c r="J1296" s="12"/>
      <c r="K1296" s="12"/>
      <c r="L1296" s="12"/>
      <c r="M1296" s="12"/>
      <c r="N1296" s="12"/>
      <c r="O1296" s="12"/>
      <c r="P1296" s="12"/>
      <c r="Q1296" s="14"/>
    </row>
    <row r="1297" spans="2:17" x14ac:dyDescent="0.2">
      <c r="B1297" s="12"/>
      <c r="C1297" s="12"/>
      <c r="D1297" s="12"/>
      <c r="E1297" s="12"/>
      <c r="F1297" s="12"/>
      <c r="G1297" s="12"/>
      <c r="H1297" s="12"/>
      <c r="I1297" s="12"/>
      <c r="J1297" s="12"/>
      <c r="K1297" s="12"/>
      <c r="L1297" s="12"/>
      <c r="M1297" s="12"/>
      <c r="N1297" s="12"/>
      <c r="O1297" s="12"/>
      <c r="P1297" s="12"/>
      <c r="Q1297" s="14"/>
    </row>
    <row r="1298" spans="2:17" x14ac:dyDescent="0.2">
      <c r="B1298" s="12"/>
      <c r="C1298" s="12"/>
      <c r="D1298" s="12"/>
      <c r="E1298" s="12"/>
      <c r="F1298" s="12"/>
      <c r="G1298" s="12"/>
      <c r="H1298" s="12"/>
      <c r="I1298" s="12"/>
      <c r="J1298" s="12"/>
      <c r="K1298" s="12"/>
      <c r="L1298" s="12"/>
      <c r="M1298" s="12"/>
      <c r="N1298" s="12"/>
      <c r="O1298" s="12"/>
      <c r="P1298" s="12"/>
      <c r="Q1298" s="14"/>
    </row>
    <row r="1299" spans="2:17" x14ac:dyDescent="0.2">
      <c r="B1299" s="12"/>
      <c r="C1299" s="12"/>
      <c r="D1299" s="12"/>
      <c r="E1299" s="12"/>
      <c r="F1299" s="12"/>
      <c r="G1299" s="12"/>
      <c r="H1299" s="12"/>
      <c r="I1299" s="12"/>
      <c r="J1299" s="12"/>
      <c r="K1299" s="12"/>
      <c r="L1299" s="12"/>
      <c r="M1299" s="12"/>
      <c r="N1299" s="12"/>
      <c r="O1299" s="12"/>
      <c r="P1299" s="12"/>
      <c r="Q1299" s="14"/>
    </row>
    <row r="1300" spans="2:17" x14ac:dyDescent="0.2">
      <c r="B1300" s="12"/>
      <c r="C1300" s="12"/>
      <c r="D1300" s="12"/>
      <c r="E1300" s="12"/>
      <c r="F1300" s="12"/>
      <c r="G1300" s="12"/>
      <c r="H1300" s="12"/>
      <c r="I1300" s="12"/>
      <c r="J1300" s="12"/>
      <c r="K1300" s="12"/>
      <c r="L1300" s="12"/>
      <c r="M1300" s="12"/>
      <c r="N1300" s="12"/>
      <c r="O1300" s="12"/>
      <c r="P1300" s="12"/>
      <c r="Q1300" s="14"/>
    </row>
    <row r="1301" spans="2:17" x14ac:dyDescent="0.2">
      <c r="B1301" s="12"/>
      <c r="C1301" s="12"/>
      <c r="D1301" s="12"/>
      <c r="E1301" s="12"/>
      <c r="F1301" s="12"/>
      <c r="G1301" s="12"/>
      <c r="H1301" s="12"/>
      <c r="I1301" s="12"/>
      <c r="J1301" s="12"/>
      <c r="K1301" s="12"/>
      <c r="L1301" s="12"/>
      <c r="M1301" s="12"/>
      <c r="N1301" s="12"/>
      <c r="O1301" s="12"/>
      <c r="P1301" s="12"/>
      <c r="Q1301" s="14"/>
    </row>
    <row r="1302" spans="2:17" x14ac:dyDescent="0.2">
      <c r="B1302" s="12"/>
      <c r="C1302" s="12"/>
      <c r="D1302" s="12"/>
      <c r="E1302" s="12"/>
      <c r="F1302" s="12"/>
      <c r="G1302" s="12"/>
      <c r="H1302" s="12"/>
      <c r="I1302" s="12"/>
      <c r="J1302" s="12"/>
      <c r="K1302" s="12"/>
      <c r="L1302" s="12"/>
      <c r="M1302" s="12"/>
      <c r="N1302" s="12"/>
      <c r="O1302" s="12"/>
      <c r="P1302" s="12"/>
      <c r="Q1302" s="14"/>
    </row>
    <row r="1303" spans="2:17" x14ac:dyDescent="0.2">
      <c r="B1303" s="12"/>
      <c r="C1303" s="12"/>
      <c r="D1303" s="12"/>
      <c r="E1303" s="12"/>
      <c r="F1303" s="12"/>
      <c r="G1303" s="12"/>
      <c r="H1303" s="12"/>
      <c r="I1303" s="12"/>
      <c r="J1303" s="12"/>
      <c r="K1303" s="12"/>
      <c r="L1303" s="12"/>
      <c r="M1303" s="12"/>
      <c r="N1303" s="12"/>
      <c r="O1303" s="12"/>
      <c r="P1303" s="12"/>
      <c r="Q1303" s="14"/>
    </row>
    <row r="1304" spans="2:17" x14ac:dyDescent="0.2">
      <c r="B1304" s="12"/>
      <c r="C1304" s="12"/>
      <c r="D1304" s="12"/>
      <c r="E1304" s="12"/>
      <c r="F1304" s="12"/>
      <c r="G1304" s="12"/>
      <c r="H1304" s="12"/>
      <c r="I1304" s="12"/>
      <c r="J1304" s="12"/>
      <c r="K1304" s="12"/>
      <c r="L1304" s="12"/>
      <c r="M1304" s="12"/>
      <c r="N1304" s="12"/>
      <c r="O1304" s="12"/>
      <c r="P1304" s="12"/>
      <c r="Q1304" s="14"/>
    </row>
    <row r="1305" spans="2:17" x14ac:dyDescent="0.2">
      <c r="B1305" s="12"/>
      <c r="C1305" s="12"/>
      <c r="D1305" s="12"/>
      <c r="E1305" s="12"/>
      <c r="F1305" s="12"/>
      <c r="G1305" s="12"/>
      <c r="H1305" s="12"/>
      <c r="I1305" s="12"/>
      <c r="J1305" s="12"/>
      <c r="K1305" s="12"/>
      <c r="L1305" s="12"/>
      <c r="M1305" s="12"/>
      <c r="N1305" s="12"/>
      <c r="O1305" s="12"/>
      <c r="P1305" s="12"/>
      <c r="Q1305" s="14"/>
    </row>
    <row r="1306" spans="2:17" x14ac:dyDescent="0.2">
      <c r="B1306" s="12"/>
      <c r="C1306" s="12"/>
      <c r="D1306" s="12"/>
      <c r="E1306" s="12"/>
      <c r="F1306" s="12"/>
      <c r="G1306" s="12"/>
      <c r="H1306" s="12"/>
      <c r="I1306" s="12"/>
      <c r="J1306" s="12"/>
      <c r="K1306" s="12"/>
      <c r="L1306" s="12"/>
      <c r="M1306" s="12"/>
      <c r="N1306" s="12"/>
      <c r="O1306" s="12"/>
      <c r="P1306" s="12"/>
      <c r="Q1306" s="14"/>
    </row>
    <row r="1307" spans="2:17" x14ac:dyDescent="0.2">
      <c r="B1307" s="14"/>
      <c r="C1307" s="14"/>
      <c r="D1307" s="14"/>
      <c r="E1307" s="14"/>
      <c r="F1307" s="14"/>
      <c r="G1307" s="14"/>
      <c r="H1307" s="14"/>
      <c r="I1307" s="14"/>
      <c r="J1307" s="14"/>
      <c r="K1307" s="14"/>
      <c r="L1307" s="14"/>
      <c r="M1307" s="14"/>
      <c r="N1307" s="14"/>
      <c r="O1307" s="14"/>
      <c r="P1307" s="14"/>
      <c r="Q1307" s="14"/>
    </row>
    <row r="1308" spans="2:17" x14ac:dyDescent="0.2">
      <c r="B1308" s="14"/>
      <c r="C1308" s="14"/>
      <c r="D1308" s="14"/>
      <c r="E1308" s="14"/>
      <c r="F1308" s="14"/>
      <c r="G1308" s="14"/>
      <c r="H1308" s="14"/>
      <c r="I1308" s="14"/>
      <c r="J1308" s="14"/>
      <c r="K1308" s="14"/>
      <c r="L1308" s="14"/>
      <c r="M1308" s="14"/>
      <c r="N1308" s="14"/>
      <c r="O1308" s="14"/>
      <c r="P1308" s="14"/>
      <c r="Q1308" s="14"/>
    </row>
    <row r="1309" spans="2:17" x14ac:dyDescent="0.2">
      <c r="B1309" s="14"/>
      <c r="C1309" s="14"/>
      <c r="D1309" s="14"/>
      <c r="E1309" s="14"/>
      <c r="F1309" s="14"/>
      <c r="G1309" s="14"/>
      <c r="H1309" s="14"/>
      <c r="I1309" s="14"/>
      <c r="J1309" s="14"/>
      <c r="K1309" s="14"/>
      <c r="L1309" s="14"/>
      <c r="M1309" s="14"/>
      <c r="N1309" s="14"/>
      <c r="O1309" s="14"/>
      <c r="P1309" s="14"/>
      <c r="Q1309" s="14"/>
    </row>
    <row r="1310" spans="2:17" x14ac:dyDescent="0.2">
      <c r="B1310" s="14"/>
      <c r="C1310" s="14"/>
      <c r="D1310" s="14"/>
      <c r="E1310" s="14"/>
      <c r="F1310" s="14"/>
      <c r="G1310" s="14"/>
      <c r="H1310" s="14"/>
      <c r="I1310" s="14"/>
      <c r="J1310" s="14"/>
      <c r="K1310" s="14"/>
      <c r="L1310" s="14"/>
      <c r="M1310" s="14"/>
      <c r="N1310" s="14"/>
      <c r="O1310" s="14"/>
      <c r="P1310" s="14"/>
      <c r="Q1310" s="14"/>
    </row>
    <row r="1311" spans="2:17" x14ac:dyDescent="0.2">
      <c r="B1311" s="14"/>
      <c r="C1311" s="14"/>
      <c r="D1311" s="14"/>
      <c r="E1311" s="14"/>
      <c r="F1311" s="14"/>
      <c r="G1311" s="14"/>
      <c r="H1311" s="14"/>
      <c r="I1311" s="14"/>
      <c r="J1311" s="14"/>
      <c r="K1311" s="14"/>
      <c r="L1311" s="14"/>
      <c r="M1311" s="14"/>
      <c r="N1311" s="14"/>
      <c r="O1311" s="14"/>
      <c r="P1311" s="14"/>
      <c r="Q1311" s="14"/>
    </row>
    <row r="1312" spans="2:17" x14ac:dyDescent="0.2">
      <c r="B1312" s="14"/>
      <c r="C1312" s="14"/>
      <c r="D1312" s="14"/>
      <c r="E1312" s="14"/>
      <c r="F1312" s="14"/>
      <c r="G1312" s="14"/>
      <c r="H1312" s="14"/>
      <c r="I1312" s="14"/>
      <c r="J1312" s="14"/>
      <c r="K1312" s="14"/>
      <c r="L1312" s="14"/>
      <c r="M1312" s="14"/>
      <c r="N1312" s="14"/>
      <c r="O1312" s="14"/>
      <c r="P1312" s="14"/>
      <c r="Q1312" s="14"/>
    </row>
    <row r="1313" spans="2:17" x14ac:dyDescent="0.2">
      <c r="B1313" s="14"/>
      <c r="C1313" s="14"/>
      <c r="D1313" s="14"/>
      <c r="E1313" s="14"/>
      <c r="F1313" s="14"/>
      <c r="G1313" s="14"/>
      <c r="H1313" s="14"/>
      <c r="I1313" s="14"/>
      <c r="J1313" s="14"/>
      <c r="K1313" s="14"/>
      <c r="L1313" s="14"/>
      <c r="M1313" s="14"/>
      <c r="N1313" s="14"/>
      <c r="O1313" s="14"/>
      <c r="P1313" s="14"/>
      <c r="Q1313" s="14"/>
    </row>
    <row r="1314" spans="2:17" x14ac:dyDescent="0.2">
      <c r="B1314" s="14"/>
      <c r="C1314" s="14"/>
      <c r="D1314" s="14"/>
      <c r="E1314" s="14"/>
      <c r="F1314" s="14"/>
      <c r="G1314" s="14"/>
      <c r="H1314" s="14"/>
      <c r="I1314" s="14"/>
      <c r="J1314" s="14"/>
      <c r="K1314" s="14"/>
      <c r="L1314" s="14"/>
      <c r="M1314" s="14"/>
      <c r="N1314" s="14"/>
      <c r="O1314" s="14"/>
      <c r="P1314" s="14"/>
      <c r="Q1314" s="14"/>
    </row>
    <row r="1315" spans="2:17" x14ac:dyDescent="0.2">
      <c r="B1315" s="14"/>
      <c r="C1315" s="14"/>
      <c r="D1315" s="14"/>
      <c r="E1315" s="14"/>
      <c r="F1315" s="14"/>
      <c r="G1315" s="14"/>
      <c r="H1315" s="14"/>
      <c r="I1315" s="14"/>
      <c r="J1315" s="14"/>
      <c r="K1315" s="14"/>
      <c r="L1315" s="14"/>
      <c r="M1315" s="14"/>
      <c r="N1315" s="14"/>
      <c r="O1315" s="14"/>
      <c r="P1315" s="14"/>
      <c r="Q1315" s="14"/>
    </row>
    <row r="1316" spans="2:17" x14ac:dyDescent="0.2">
      <c r="B1316" s="14"/>
      <c r="C1316" s="14"/>
      <c r="D1316" s="14"/>
      <c r="E1316" s="14"/>
      <c r="F1316" s="14"/>
      <c r="G1316" s="14"/>
      <c r="H1316" s="14"/>
      <c r="I1316" s="14"/>
      <c r="J1316" s="14"/>
      <c r="K1316" s="14"/>
      <c r="L1316" s="14"/>
      <c r="M1316" s="14"/>
      <c r="N1316" s="14"/>
      <c r="O1316" s="14"/>
      <c r="P1316" s="14"/>
      <c r="Q1316" s="14"/>
    </row>
    <row r="1317" spans="2:17" x14ac:dyDescent="0.2">
      <c r="B1317" s="14"/>
      <c r="C1317" s="14"/>
      <c r="D1317" s="14"/>
      <c r="E1317" s="14"/>
      <c r="F1317" s="14"/>
      <c r="G1317" s="14"/>
      <c r="H1317" s="14"/>
      <c r="I1317" s="14"/>
      <c r="J1317" s="14"/>
      <c r="K1317" s="14"/>
      <c r="L1317" s="14"/>
      <c r="M1317" s="14"/>
      <c r="N1317" s="14"/>
      <c r="O1317" s="14"/>
      <c r="P1317" s="14"/>
      <c r="Q1317" s="14"/>
    </row>
    <row r="1318" spans="2:17" x14ac:dyDescent="0.2">
      <c r="B1318" s="14"/>
      <c r="C1318" s="14"/>
      <c r="D1318" s="14"/>
      <c r="E1318" s="14"/>
      <c r="F1318" s="14"/>
      <c r="G1318" s="14"/>
      <c r="H1318" s="14"/>
      <c r="I1318" s="14"/>
      <c r="J1318" s="14"/>
      <c r="K1318" s="14"/>
      <c r="L1318" s="14"/>
      <c r="M1318" s="14"/>
      <c r="N1318" s="14"/>
      <c r="O1318" s="14"/>
      <c r="P1318" s="14"/>
      <c r="Q1318" s="14"/>
    </row>
    <row r="1319" spans="2:17" x14ac:dyDescent="0.2">
      <c r="B1319" s="14"/>
      <c r="C1319" s="14"/>
      <c r="D1319" s="14"/>
      <c r="E1319" s="14"/>
      <c r="F1319" s="14"/>
      <c r="G1319" s="14"/>
      <c r="H1319" s="14"/>
      <c r="I1319" s="14"/>
      <c r="J1319" s="14"/>
      <c r="K1319" s="14"/>
      <c r="L1319" s="14"/>
      <c r="M1319" s="14"/>
      <c r="N1319" s="14"/>
      <c r="O1319" s="14"/>
      <c r="P1319" s="14"/>
      <c r="Q1319" s="14"/>
    </row>
    <row r="1320" spans="2:17" x14ac:dyDescent="0.2">
      <c r="B1320" s="14"/>
      <c r="C1320" s="14"/>
      <c r="D1320" s="14"/>
      <c r="E1320" s="14"/>
      <c r="F1320" s="14"/>
      <c r="G1320" s="14"/>
      <c r="H1320" s="14"/>
      <c r="I1320" s="14"/>
      <c r="J1320" s="14"/>
      <c r="K1320" s="14"/>
      <c r="L1320" s="14"/>
      <c r="M1320" s="14"/>
      <c r="N1320" s="14"/>
      <c r="O1320" s="14"/>
      <c r="P1320" s="14"/>
      <c r="Q1320" s="14"/>
    </row>
    <row r="1321" spans="2:17" x14ac:dyDescent="0.2">
      <c r="B1321" s="14"/>
      <c r="C1321" s="14"/>
      <c r="D1321" s="14"/>
      <c r="E1321" s="14"/>
      <c r="F1321" s="14"/>
      <c r="G1321" s="14"/>
      <c r="H1321" s="14"/>
      <c r="I1321" s="14"/>
      <c r="J1321" s="14"/>
      <c r="K1321" s="14"/>
      <c r="L1321" s="14"/>
      <c r="M1321" s="14"/>
      <c r="N1321" s="14"/>
      <c r="O1321" s="14"/>
      <c r="P1321" s="14"/>
      <c r="Q1321" s="14"/>
    </row>
    <row r="1322" spans="2:17" x14ac:dyDescent="0.2">
      <c r="B1322" s="14"/>
      <c r="C1322" s="14"/>
      <c r="D1322" s="14"/>
      <c r="E1322" s="14"/>
      <c r="F1322" s="14"/>
      <c r="G1322" s="14"/>
      <c r="H1322" s="14"/>
      <c r="I1322" s="14"/>
      <c r="J1322" s="14"/>
      <c r="K1322" s="14"/>
      <c r="L1322" s="14"/>
      <c r="M1322" s="14"/>
      <c r="N1322" s="14"/>
      <c r="O1322" s="14"/>
      <c r="P1322" s="14"/>
      <c r="Q1322" s="14"/>
    </row>
    <row r="1323" spans="2:17" x14ac:dyDescent="0.2">
      <c r="B1323" s="14"/>
      <c r="C1323" s="14"/>
      <c r="D1323" s="14"/>
      <c r="E1323" s="14"/>
      <c r="F1323" s="14"/>
      <c r="G1323" s="14"/>
      <c r="H1323" s="14"/>
      <c r="I1323" s="14"/>
      <c r="J1323" s="14"/>
      <c r="K1323" s="14"/>
      <c r="L1323" s="14"/>
      <c r="M1323" s="14"/>
      <c r="N1323" s="14"/>
      <c r="O1323" s="14"/>
      <c r="P1323" s="14"/>
      <c r="Q1323" s="14"/>
    </row>
    <row r="1324" spans="2:17" x14ac:dyDescent="0.2">
      <c r="B1324" s="14"/>
      <c r="C1324" s="14"/>
      <c r="D1324" s="14"/>
      <c r="E1324" s="14"/>
      <c r="F1324" s="14"/>
      <c r="G1324" s="14"/>
      <c r="H1324" s="14"/>
      <c r="I1324" s="14"/>
      <c r="J1324" s="14"/>
      <c r="K1324" s="14"/>
      <c r="L1324" s="14"/>
      <c r="M1324" s="14"/>
      <c r="N1324" s="14"/>
      <c r="O1324" s="14"/>
      <c r="P1324" s="14"/>
      <c r="Q1324" s="14"/>
    </row>
    <row r="1325" spans="2:17" x14ac:dyDescent="0.2">
      <c r="B1325" s="14"/>
      <c r="C1325" s="14"/>
      <c r="D1325" s="14"/>
      <c r="E1325" s="14"/>
      <c r="F1325" s="14"/>
      <c r="G1325" s="14"/>
      <c r="H1325" s="14"/>
      <c r="I1325" s="14"/>
      <c r="J1325" s="14"/>
      <c r="K1325" s="14"/>
      <c r="L1325" s="14"/>
      <c r="M1325" s="14"/>
      <c r="N1325" s="14"/>
      <c r="O1325" s="14"/>
      <c r="P1325" s="14"/>
      <c r="Q1325" s="14"/>
    </row>
    <row r="1326" spans="2:17" x14ac:dyDescent="0.2">
      <c r="B1326" s="14"/>
      <c r="C1326" s="14"/>
      <c r="D1326" s="14"/>
      <c r="E1326" s="14"/>
      <c r="F1326" s="14"/>
      <c r="G1326" s="14"/>
      <c r="H1326" s="14"/>
      <c r="I1326" s="14"/>
      <c r="J1326" s="14"/>
      <c r="K1326" s="14"/>
      <c r="L1326" s="14"/>
      <c r="M1326" s="14"/>
      <c r="N1326" s="14"/>
      <c r="O1326" s="14"/>
      <c r="P1326" s="14"/>
      <c r="Q1326" s="14"/>
    </row>
    <row r="1327" spans="2:17" x14ac:dyDescent="0.2">
      <c r="B1327" s="14"/>
      <c r="C1327" s="14"/>
      <c r="D1327" s="14"/>
      <c r="E1327" s="14"/>
      <c r="F1327" s="14"/>
      <c r="G1327" s="14"/>
      <c r="H1327" s="14"/>
      <c r="I1327" s="14"/>
      <c r="J1327" s="14"/>
      <c r="K1327" s="14"/>
      <c r="L1327" s="14"/>
      <c r="M1327" s="14"/>
      <c r="N1327" s="14"/>
      <c r="O1327" s="14"/>
      <c r="P1327" s="14"/>
      <c r="Q1327" s="14"/>
    </row>
    <row r="1328" spans="2:17" x14ac:dyDescent="0.2">
      <c r="B1328" s="14"/>
      <c r="C1328" s="14"/>
      <c r="D1328" s="14"/>
      <c r="E1328" s="14"/>
      <c r="F1328" s="14"/>
      <c r="G1328" s="14"/>
      <c r="H1328" s="14"/>
      <c r="I1328" s="14"/>
      <c r="J1328" s="14"/>
      <c r="K1328" s="14"/>
      <c r="L1328" s="14"/>
      <c r="M1328" s="14"/>
      <c r="N1328" s="14"/>
      <c r="O1328" s="14"/>
      <c r="P1328" s="14"/>
      <c r="Q1328" s="14"/>
    </row>
    <row r="1329" spans="2:17" x14ac:dyDescent="0.2">
      <c r="B1329" s="14"/>
      <c r="C1329" s="14"/>
      <c r="D1329" s="14"/>
      <c r="E1329" s="14"/>
      <c r="F1329" s="14"/>
      <c r="G1329" s="14"/>
      <c r="H1329" s="14"/>
      <c r="I1329" s="14"/>
      <c r="J1329" s="14"/>
      <c r="K1329" s="14"/>
      <c r="L1329" s="14"/>
      <c r="M1329" s="14"/>
      <c r="N1329" s="14"/>
      <c r="O1329" s="14"/>
      <c r="P1329" s="14"/>
      <c r="Q1329" s="14"/>
    </row>
    <row r="1330" spans="2:17" x14ac:dyDescent="0.2">
      <c r="B1330" s="14"/>
      <c r="C1330" s="14"/>
      <c r="D1330" s="14"/>
      <c r="E1330" s="14"/>
      <c r="F1330" s="14"/>
      <c r="G1330" s="14"/>
      <c r="H1330" s="14"/>
      <c r="I1330" s="14"/>
      <c r="J1330" s="14"/>
      <c r="K1330" s="14"/>
      <c r="L1330" s="14"/>
      <c r="M1330" s="14"/>
      <c r="N1330" s="14"/>
      <c r="O1330" s="14"/>
      <c r="P1330" s="14"/>
      <c r="Q1330" s="14"/>
    </row>
    <row r="1331" spans="2:17" x14ac:dyDescent="0.2">
      <c r="B1331" s="14"/>
      <c r="C1331" s="14"/>
      <c r="D1331" s="14"/>
      <c r="E1331" s="14"/>
      <c r="F1331" s="14"/>
      <c r="G1331" s="14"/>
      <c r="H1331" s="14"/>
      <c r="I1331" s="14"/>
      <c r="J1331" s="14"/>
      <c r="K1331" s="14"/>
      <c r="L1331" s="14"/>
      <c r="M1331" s="14"/>
      <c r="N1331" s="14"/>
      <c r="O1331" s="14"/>
      <c r="P1331" s="14"/>
      <c r="Q1331" s="14"/>
    </row>
    <row r="1332" spans="2:17" x14ac:dyDescent="0.2">
      <c r="B1332" s="14"/>
      <c r="C1332" s="14"/>
      <c r="D1332" s="14"/>
      <c r="E1332" s="14"/>
      <c r="F1332" s="14"/>
      <c r="G1332" s="14"/>
      <c r="H1332" s="14"/>
      <c r="I1332" s="14"/>
      <c r="J1332" s="14"/>
      <c r="K1332" s="14"/>
      <c r="L1332" s="14"/>
      <c r="M1332" s="14"/>
      <c r="N1332" s="14"/>
      <c r="O1332" s="14"/>
      <c r="P1332" s="14"/>
      <c r="Q1332" s="14"/>
    </row>
    <row r="1333" spans="2:17" x14ac:dyDescent="0.2">
      <c r="B1333" s="14"/>
      <c r="C1333" s="14"/>
      <c r="D1333" s="14"/>
      <c r="E1333" s="14"/>
      <c r="F1333" s="14"/>
      <c r="G1333" s="14"/>
      <c r="H1333" s="14"/>
      <c r="I1333" s="14"/>
      <c r="J1333" s="14"/>
      <c r="K1333" s="14"/>
      <c r="L1333" s="14"/>
      <c r="M1333" s="14"/>
      <c r="N1333" s="14"/>
      <c r="O1333" s="14"/>
      <c r="P1333" s="14"/>
      <c r="Q1333" s="14"/>
    </row>
    <row r="1334" spans="2:17" x14ac:dyDescent="0.2">
      <c r="B1334" s="14"/>
      <c r="C1334" s="14"/>
      <c r="D1334" s="14"/>
      <c r="E1334" s="14"/>
      <c r="F1334" s="14"/>
      <c r="G1334" s="14"/>
      <c r="H1334" s="14"/>
      <c r="I1334" s="14"/>
      <c r="J1334" s="14"/>
      <c r="K1334" s="14"/>
      <c r="L1334" s="14"/>
      <c r="M1334" s="14"/>
      <c r="N1334" s="14"/>
      <c r="O1334" s="14"/>
      <c r="P1334" s="14"/>
      <c r="Q1334" s="14"/>
    </row>
    <row r="1335" spans="2:17" x14ac:dyDescent="0.2">
      <c r="B1335" s="14"/>
      <c r="C1335" s="14"/>
      <c r="D1335" s="14"/>
      <c r="E1335" s="14"/>
      <c r="F1335" s="14"/>
      <c r="G1335" s="14"/>
      <c r="H1335" s="14"/>
      <c r="I1335" s="14"/>
      <c r="J1335" s="14"/>
      <c r="K1335" s="14"/>
      <c r="L1335" s="14"/>
      <c r="M1335" s="14"/>
      <c r="N1335" s="14"/>
      <c r="O1335" s="14"/>
      <c r="P1335" s="14"/>
      <c r="Q1335" s="14"/>
    </row>
    <row r="1336" spans="2:17" x14ac:dyDescent="0.2">
      <c r="B1336" s="14"/>
      <c r="C1336" s="14"/>
      <c r="D1336" s="14"/>
      <c r="E1336" s="14"/>
      <c r="F1336" s="14"/>
      <c r="G1336" s="14"/>
      <c r="H1336" s="14"/>
      <c r="I1336" s="14"/>
      <c r="J1336" s="14"/>
      <c r="K1336" s="14"/>
      <c r="L1336" s="14"/>
      <c r="M1336" s="14"/>
      <c r="N1336" s="14"/>
      <c r="O1336" s="14"/>
      <c r="P1336" s="14"/>
      <c r="Q1336" s="14"/>
    </row>
    <row r="1337" spans="2:17" x14ac:dyDescent="0.2">
      <c r="B1337" s="14"/>
      <c r="C1337" s="14"/>
      <c r="D1337" s="14"/>
      <c r="E1337" s="14"/>
      <c r="F1337" s="14"/>
      <c r="G1337" s="14"/>
      <c r="H1337" s="14"/>
      <c r="I1337" s="14"/>
      <c r="J1337" s="14"/>
      <c r="K1337" s="14"/>
      <c r="L1337" s="14"/>
      <c r="M1337" s="14"/>
      <c r="N1337" s="14"/>
      <c r="O1337" s="14"/>
      <c r="P1337" s="14"/>
      <c r="Q1337" s="14"/>
    </row>
    <row r="1338" spans="2:17" x14ac:dyDescent="0.2">
      <c r="B1338" s="14"/>
      <c r="C1338" s="14"/>
      <c r="D1338" s="14"/>
      <c r="E1338" s="14"/>
      <c r="F1338" s="14"/>
      <c r="G1338" s="14"/>
      <c r="H1338" s="14"/>
      <c r="I1338" s="14"/>
      <c r="J1338" s="14"/>
      <c r="K1338" s="14"/>
      <c r="L1338" s="14"/>
      <c r="M1338" s="14"/>
      <c r="N1338" s="14"/>
      <c r="O1338" s="14"/>
      <c r="P1338" s="14"/>
      <c r="Q1338" s="14"/>
    </row>
    <row r="1339" spans="2:17" x14ac:dyDescent="0.2">
      <c r="B1339" s="14"/>
      <c r="C1339" s="14"/>
      <c r="D1339" s="14"/>
      <c r="E1339" s="14"/>
      <c r="F1339" s="14"/>
      <c r="G1339" s="14"/>
      <c r="H1339" s="14"/>
      <c r="I1339" s="14"/>
      <c r="J1339" s="14"/>
      <c r="K1339" s="14"/>
      <c r="L1339" s="14"/>
      <c r="M1339" s="14"/>
      <c r="N1339" s="14"/>
      <c r="O1339" s="14"/>
      <c r="P1339" s="14"/>
      <c r="Q1339" s="14"/>
    </row>
    <row r="1340" spans="2:17" x14ac:dyDescent="0.2">
      <c r="B1340" s="14"/>
      <c r="C1340" s="14"/>
      <c r="D1340" s="14"/>
      <c r="E1340" s="14"/>
      <c r="F1340" s="14"/>
      <c r="G1340" s="14"/>
      <c r="H1340" s="14"/>
      <c r="I1340" s="14"/>
      <c r="J1340" s="14"/>
      <c r="K1340" s="14"/>
      <c r="L1340" s="14"/>
      <c r="M1340" s="14"/>
      <c r="N1340" s="14"/>
      <c r="O1340" s="14"/>
      <c r="P1340" s="14"/>
      <c r="Q1340" s="14"/>
    </row>
    <row r="1341" spans="2:17" x14ac:dyDescent="0.2">
      <c r="B1341" s="14"/>
      <c r="C1341" s="14"/>
      <c r="D1341" s="14"/>
      <c r="E1341" s="14"/>
      <c r="F1341" s="14"/>
      <c r="G1341" s="14"/>
      <c r="H1341" s="14"/>
      <c r="I1341" s="14"/>
      <c r="J1341" s="14"/>
      <c r="K1341" s="14"/>
      <c r="L1341" s="14"/>
      <c r="M1341" s="14"/>
      <c r="N1341" s="14"/>
      <c r="O1341" s="14"/>
      <c r="P1341" s="14"/>
      <c r="Q1341" s="14"/>
    </row>
    <row r="1342" spans="2:17" x14ac:dyDescent="0.2">
      <c r="B1342" s="14"/>
      <c r="C1342" s="14"/>
      <c r="D1342" s="14"/>
      <c r="E1342" s="14"/>
      <c r="F1342" s="14"/>
      <c r="G1342" s="14"/>
      <c r="H1342" s="14"/>
      <c r="I1342" s="14"/>
      <c r="J1342" s="14"/>
      <c r="K1342" s="14"/>
      <c r="L1342" s="14"/>
      <c r="M1342" s="14"/>
      <c r="N1342" s="14"/>
      <c r="O1342" s="14"/>
      <c r="P1342" s="14"/>
      <c r="Q1342" s="14"/>
    </row>
    <row r="1343" spans="2:17" x14ac:dyDescent="0.2">
      <c r="B1343" s="14"/>
      <c r="C1343" s="14"/>
      <c r="D1343" s="14"/>
      <c r="E1343" s="14"/>
      <c r="F1343" s="14"/>
      <c r="G1343" s="14"/>
      <c r="H1343" s="14"/>
      <c r="I1343" s="14"/>
      <c r="J1343" s="14"/>
      <c r="K1343" s="14"/>
      <c r="L1343" s="14"/>
      <c r="M1343" s="14"/>
      <c r="N1343" s="14"/>
      <c r="O1343" s="14"/>
      <c r="P1343" s="14"/>
      <c r="Q1343" s="14"/>
    </row>
    <row r="1344" spans="2:17" x14ac:dyDescent="0.2">
      <c r="B1344" s="14"/>
      <c r="C1344" s="14"/>
      <c r="D1344" s="14"/>
      <c r="E1344" s="14"/>
      <c r="F1344" s="14"/>
      <c r="G1344" s="14"/>
      <c r="H1344" s="14"/>
      <c r="I1344" s="14"/>
      <c r="J1344" s="14"/>
      <c r="K1344" s="14"/>
      <c r="L1344" s="14"/>
      <c r="M1344" s="14"/>
      <c r="N1344" s="14"/>
      <c r="O1344" s="14"/>
      <c r="P1344" s="14"/>
      <c r="Q1344" s="14"/>
    </row>
    <row r="1345" spans="2:17" x14ac:dyDescent="0.2">
      <c r="B1345" s="14"/>
      <c r="C1345" s="14"/>
      <c r="D1345" s="14"/>
      <c r="E1345" s="14"/>
      <c r="F1345" s="14"/>
      <c r="G1345" s="14"/>
      <c r="H1345" s="14"/>
      <c r="I1345" s="14"/>
      <c r="J1345" s="14"/>
      <c r="K1345" s="14"/>
      <c r="L1345" s="14"/>
      <c r="M1345" s="14"/>
      <c r="N1345" s="14"/>
      <c r="O1345" s="14"/>
      <c r="P1345" s="14"/>
      <c r="Q1345" s="14"/>
    </row>
    <row r="1346" spans="2:17" x14ac:dyDescent="0.2">
      <c r="B1346" s="14"/>
      <c r="C1346" s="14"/>
      <c r="D1346" s="14"/>
      <c r="E1346" s="14"/>
      <c r="F1346" s="14"/>
      <c r="G1346" s="14"/>
      <c r="H1346" s="14"/>
      <c r="I1346" s="14"/>
      <c r="J1346" s="14"/>
      <c r="K1346" s="14"/>
      <c r="L1346" s="14"/>
      <c r="M1346" s="14"/>
      <c r="N1346" s="14"/>
      <c r="O1346" s="14"/>
      <c r="P1346" s="14"/>
      <c r="Q1346" s="14"/>
    </row>
    <row r="1347" spans="2:17" x14ac:dyDescent="0.2">
      <c r="B1347" s="14"/>
      <c r="C1347" s="14"/>
      <c r="D1347" s="14"/>
      <c r="E1347" s="14"/>
      <c r="F1347" s="14"/>
      <c r="G1347" s="14"/>
      <c r="H1347" s="14"/>
      <c r="I1347" s="14"/>
      <c r="J1347" s="14"/>
      <c r="K1347" s="14"/>
      <c r="L1347" s="14"/>
      <c r="M1347" s="14"/>
      <c r="N1347" s="14"/>
      <c r="O1347" s="14"/>
      <c r="P1347" s="14"/>
      <c r="Q1347" s="14"/>
    </row>
    <row r="1348" spans="2:17" x14ac:dyDescent="0.2">
      <c r="B1348" s="14"/>
      <c r="C1348" s="14"/>
      <c r="D1348" s="14"/>
      <c r="E1348" s="14"/>
      <c r="F1348" s="14"/>
      <c r="G1348" s="14"/>
      <c r="H1348" s="14"/>
      <c r="I1348" s="14"/>
      <c r="J1348" s="14"/>
      <c r="K1348" s="14"/>
      <c r="L1348" s="14"/>
      <c r="M1348" s="14"/>
      <c r="N1348" s="14"/>
      <c r="O1348" s="14"/>
      <c r="P1348" s="14"/>
      <c r="Q1348" s="14"/>
    </row>
    <row r="1349" spans="2:17" x14ac:dyDescent="0.2">
      <c r="B1349" s="14"/>
      <c r="C1349" s="14"/>
      <c r="D1349" s="14"/>
      <c r="E1349" s="14"/>
      <c r="F1349" s="14"/>
      <c r="G1349" s="14"/>
      <c r="H1349" s="14"/>
      <c r="I1349" s="14"/>
      <c r="J1349" s="14"/>
      <c r="K1349" s="14"/>
      <c r="L1349" s="14"/>
      <c r="M1349" s="14"/>
      <c r="N1349" s="14"/>
      <c r="O1349" s="14"/>
      <c r="P1349" s="14"/>
      <c r="Q1349" s="14"/>
    </row>
    <row r="1350" spans="2:17" x14ac:dyDescent="0.2">
      <c r="B1350" s="14"/>
      <c r="C1350" s="14"/>
      <c r="D1350" s="14"/>
      <c r="E1350" s="14"/>
      <c r="F1350" s="14"/>
      <c r="G1350" s="14"/>
      <c r="H1350" s="14"/>
      <c r="I1350" s="14"/>
      <c r="J1350" s="14"/>
      <c r="K1350" s="14"/>
      <c r="L1350" s="14"/>
      <c r="M1350" s="14"/>
      <c r="N1350" s="14"/>
      <c r="O1350" s="14"/>
      <c r="P1350" s="14"/>
      <c r="Q1350" s="14"/>
    </row>
    <row r="1351" spans="2:17" x14ac:dyDescent="0.2">
      <c r="B1351" s="14"/>
      <c r="C1351" s="14"/>
      <c r="D1351" s="14"/>
      <c r="E1351" s="14"/>
      <c r="F1351" s="14"/>
      <c r="G1351" s="14"/>
      <c r="H1351" s="14"/>
      <c r="I1351" s="14"/>
      <c r="J1351" s="14"/>
      <c r="K1351" s="14"/>
      <c r="L1351" s="14"/>
      <c r="M1351" s="14"/>
      <c r="N1351" s="14"/>
      <c r="O1351" s="14"/>
      <c r="P1351" s="14"/>
      <c r="Q1351" s="14"/>
    </row>
    <row r="1352" spans="2:17" x14ac:dyDescent="0.2">
      <c r="B1352" s="14"/>
      <c r="C1352" s="14"/>
      <c r="D1352" s="14"/>
      <c r="E1352" s="14"/>
      <c r="F1352" s="14"/>
      <c r="G1352" s="14"/>
      <c r="H1352" s="14"/>
      <c r="I1352" s="14"/>
      <c r="J1352" s="14"/>
      <c r="K1352" s="14"/>
      <c r="L1352" s="14"/>
      <c r="M1352" s="14"/>
      <c r="N1352" s="14"/>
      <c r="O1352" s="14"/>
      <c r="P1352" s="14"/>
      <c r="Q1352" s="14"/>
    </row>
    <row r="1353" spans="2:17" x14ac:dyDescent="0.2">
      <c r="B1353" s="14"/>
      <c r="C1353" s="14"/>
      <c r="D1353" s="14"/>
      <c r="E1353" s="14"/>
      <c r="F1353" s="14"/>
      <c r="G1353" s="14"/>
      <c r="H1353" s="14"/>
      <c r="I1353" s="14"/>
      <c r="J1353" s="14"/>
      <c r="K1353" s="14"/>
      <c r="L1353" s="14"/>
      <c r="M1353" s="14"/>
      <c r="N1353" s="14"/>
      <c r="O1353" s="14"/>
      <c r="P1353" s="14"/>
      <c r="Q1353" s="14"/>
    </row>
    <row r="1354" spans="2:17" x14ac:dyDescent="0.2">
      <c r="B1354" s="14"/>
      <c r="C1354" s="14"/>
      <c r="D1354" s="14"/>
      <c r="E1354" s="14"/>
      <c r="F1354" s="14"/>
      <c r="G1354" s="14"/>
      <c r="H1354" s="14"/>
      <c r="I1354" s="14"/>
      <c r="J1354" s="14"/>
      <c r="K1354" s="14"/>
      <c r="L1354" s="14"/>
      <c r="M1354" s="14"/>
      <c r="N1354" s="14"/>
      <c r="O1354" s="14"/>
      <c r="P1354" s="14"/>
      <c r="Q1354" s="14"/>
    </row>
    <row r="1355" spans="2:17" x14ac:dyDescent="0.2">
      <c r="B1355" s="14"/>
      <c r="C1355" s="14"/>
      <c r="D1355" s="14"/>
      <c r="E1355" s="14"/>
      <c r="F1355" s="14"/>
      <c r="G1355" s="14"/>
      <c r="H1355" s="14"/>
      <c r="I1355" s="14"/>
      <c r="J1355" s="14"/>
      <c r="K1355" s="14"/>
      <c r="L1355" s="14"/>
      <c r="M1355" s="14"/>
      <c r="N1355" s="14"/>
      <c r="O1355" s="14"/>
      <c r="P1355" s="14"/>
      <c r="Q1355" s="14"/>
    </row>
    <row r="1356" spans="2:17" x14ac:dyDescent="0.2">
      <c r="B1356" s="14"/>
      <c r="C1356" s="14"/>
      <c r="D1356" s="14"/>
      <c r="E1356" s="14"/>
      <c r="F1356" s="14"/>
      <c r="G1356" s="14"/>
      <c r="H1356" s="14"/>
      <c r="I1356" s="14"/>
      <c r="J1356" s="14"/>
      <c r="K1356" s="14"/>
      <c r="L1356" s="14"/>
      <c r="M1356" s="14"/>
      <c r="N1356" s="14"/>
      <c r="O1356" s="14"/>
      <c r="P1356" s="14"/>
      <c r="Q1356" s="14"/>
    </row>
    <row r="1357" spans="2:17" x14ac:dyDescent="0.2">
      <c r="B1357" s="14"/>
      <c r="C1357" s="14"/>
      <c r="D1357" s="14"/>
      <c r="E1357" s="14"/>
      <c r="F1357" s="14"/>
      <c r="G1357" s="14"/>
      <c r="H1357" s="14"/>
      <c r="I1357" s="14"/>
      <c r="J1357" s="14"/>
      <c r="K1357" s="14"/>
      <c r="L1357" s="14"/>
      <c r="M1357" s="14"/>
      <c r="N1357" s="14"/>
      <c r="O1357" s="14"/>
      <c r="P1357" s="14"/>
      <c r="Q1357" s="14"/>
    </row>
    <row r="1358" spans="2:17" x14ac:dyDescent="0.2">
      <c r="B1358" s="14"/>
      <c r="C1358" s="14"/>
      <c r="D1358" s="14"/>
      <c r="E1358" s="14"/>
      <c r="F1358" s="14"/>
      <c r="G1358" s="14"/>
      <c r="H1358" s="14"/>
      <c r="I1358" s="14"/>
      <c r="J1358" s="14"/>
      <c r="K1358" s="14"/>
      <c r="L1358" s="14"/>
      <c r="M1358" s="14"/>
      <c r="N1358" s="14"/>
      <c r="O1358" s="14"/>
      <c r="P1358" s="14"/>
      <c r="Q1358" s="14"/>
    </row>
    <row r="1359" spans="2:17" x14ac:dyDescent="0.2">
      <c r="B1359" s="14"/>
      <c r="C1359" s="14"/>
      <c r="D1359" s="14"/>
      <c r="E1359" s="14"/>
      <c r="F1359" s="14"/>
      <c r="G1359" s="14"/>
      <c r="H1359" s="14"/>
      <c r="I1359" s="14"/>
      <c r="J1359" s="14"/>
      <c r="K1359" s="14"/>
      <c r="L1359" s="14"/>
      <c r="M1359" s="14"/>
      <c r="N1359" s="14"/>
      <c r="O1359" s="14"/>
      <c r="P1359" s="14"/>
      <c r="Q1359" s="14"/>
    </row>
    <row r="1360" spans="2:17" x14ac:dyDescent="0.2">
      <c r="B1360" s="14"/>
      <c r="C1360" s="14"/>
      <c r="D1360" s="14"/>
      <c r="E1360" s="14"/>
      <c r="F1360" s="14"/>
      <c r="G1360" s="14"/>
      <c r="H1360" s="14"/>
      <c r="I1360" s="14"/>
      <c r="J1360" s="14"/>
      <c r="K1360" s="14"/>
      <c r="L1360" s="14"/>
      <c r="M1360" s="14"/>
      <c r="N1360" s="14"/>
      <c r="O1360" s="14"/>
      <c r="P1360" s="14"/>
      <c r="Q1360" s="14"/>
    </row>
    <row r="1361" spans="2:17" x14ac:dyDescent="0.2">
      <c r="B1361" s="14"/>
      <c r="C1361" s="14"/>
      <c r="D1361" s="14"/>
      <c r="E1361" s="14"/>
      <c r="F1361" s="14"/>
      <c r="G1361" s="14"/>
      <c r="H1361" s="14"/>
      <c r="I1361" s="14"/>
      <c r="J1361" s="14"/>
      <c r="K1361" s="14"/>
      <c r="L1361" s="14"/>
      <c r="M1361" s="14"/>
      <c r="N1361" s="14"/>
      <c r="O1361" s="14"/>
      <c r="P1361" s="14"/>
      <c r="Q1361" s="14"/>
    </row>
    <row r="1362" spans="2:17" x14ac:dyDescent="0.2">
      <c r="B1362" s="14"/>
      <c r="C1362" s="14"/>
      <c r="D1362" s="14"/>
      <c r="E1362" s="14"/>
      <c r="F1362" s="14"/>
      <c r="G1362" s="14"/>
      <c r="H1362" s="14"/>
      <c r="I1362" s="14"/>
      <c r="J1362" s="14"/>
      <c r="K1362" s="14"/>
      <c r="L1362" s="14"/>
      <c r="M1362" s="14"/>
      <c r="N1362" s="14"/>
      <c r="O1362" s="14"/>
      <c r="P1362" s="14"/>
      <c r="Q1362" s="14"/>
    </row>
    <row r="1363" spans="2:17" x14ac:dyDescent="0.2">
      <c r="B1363" s="14"/>
      <c r="C1363" s="14"/>
      <c r="D1363" s="14"/>
      <c r="E1363" s="14"/>
      <c r="F1363" s="14"/>
      <c r="G1363" s="14"/>
      <c r="H1363" s="14"/>
      <c r="I1363" s="14"/>
      <c r="J1363" s="14"/>
      <c r="K1363" s="14"/>
      <c r="L1363" s="14"/>
      <c r="M1363" s="14"/>
      <c r="N1363" s="14"/>
      <c r="O1363" s="14"/>
      <c r="P1363" s="14"/>
      <c r="Q1363" s="14"/>
    </row>
    <row r="1364" spans="2:17" x14ac:dyDescent="0.2">
      <c r="B1364" s="14"/>
      <c r="C1364" s="14"/>
      <c r="D1364" s="14"/>
      <c r="E1364" s="14"/>
      <c r="F1364" s="14"/>
      <c r="G1364" s="14"/>
      <c r="H1364" s="14"/>
      <c r="I1364" s="14"/>
      <c r="J1364" s="14"/>
      <c r="K1364" s="14"/>
      <c r="L1364" s="14"/>
      <c r="M1364" s="14"/>
      <c r="N1364" s="14"/>
      <c r="O1364" s="14"/>
      <c r="P1364" s="14"/>
      <c r="Q1364" s="14"/>
    </row>
    <row r="1365" spans="2:17" x14ac:dyDescent="0.2">
      <c r="B1365" s="14"/>
      <c r="C1365" s="14"/>
      <c r="D1365" s="14"/>
      <c r="E1365" s="14"/>
      <c r="F1365" s="14"/>
      <c r="G1365" s="14"/>
      <c r="H1365" s="14"/>
      <c r="I1365" s="14"/>
      <c r="J1365" s="14"/>
      <c r="K1365" s="14"/>
      <c r="L1365" s="14"/>
      <c r="M1365" s="14"/>
      <c r="N1365" s="14"/>
      <c r="O1365" s="14"/>
      <c r="P1365" s="14"/>
      <c r="Q1365" s="14"/>
    </row>
    <row r="1366" spans="2:17" x14ac:dyDescent="0.2">
      <c r="B1366" s="14"/>
      <c r="C1366" s="14"/>
      <c r="D1366" s="14"/>
      <c r="E1366" s="14"/>
      <c r="F1366" s="14"/>
      <c r="G1366" s="14"/>
      <c r="H1366" s="14"/>
      <c r="I1366" s="14"/>
      <c r="J1366" s="14"/>
      <c r="K1366" s="14"/>
      <c r="L1366" s="14"/>
      <c r="M1366" s="14"/>
      <c r="N1366" s="14"/>
      <c r="O1366" s="14"/>
      <c r="P1366" s="14"/>
      <c r="Q1366" s="14"/>
    </row>
    <row r="1367" spans="2:17" x14ac:dyDescent="0.2">
      <c r="B1367" s="14"/>
      <c r="C1367" s="14"/>
      <c r="D1367" s="14"/>
      <c r="E1367" s="14"/>
      <c r="F1367" s="14"/>
      <c r="G1367" s="14"/>
      <c r="H1367" s="14"/>
      <c r="I1367" s="14"/>
      <c r="J1367" s="14"/>
      <c r="K1367" s="14"/>
      <c r="L1367" s="14"/>
      <c r="M1367" s="14"/>
      <c r="N1367" s="14"/>
      <c r="O1367" s="14"/>
      <c r="P1367" s="14"/>
      <c r="Q1367" s="14"/>
    </row>
    <row r="1368" spans="2:17" x14ac:dyDescent="0.2">
      <c r="B1368" s="14"/>
      <c r="C1368" s="14"/>
      <c r="D1368" s="14"/>
      <c r="E1368" s="14"/>
      <c r="F1368" s="14"/>
      <c r="G1368" s="14"/>
      <c r="H1368" s="14"/>
      <c r="I1368" s="14"/>
      <c r="J1368" s="14"/>
      <c r="K1368" s="14"/>
      <c r="L1368" s="14"/>
      <c r="M1368" s="14"/>
      <c r="N1368" s="14"/>
      <c r="O1368" s="14"/>
      <c r="P1368" s="14"/>
      <c r="Q1368" s="14"/>
    </row>
    <row r="1369" spans="2:17" x14ac:dyDescent="0.2">
      <c r="B1369" s="14"/>
      <c r="C1369" s="14"/>
      <c r="D1369" s="14"/>
      <c r="E1369" s="14"/>
      <c r="F1369" s="14"/>
      <c r="G1369" s="14"/>
      <c r="H1369" s="14"/>
      <c r="I1369" s="14"/>
      <c r="J1369" s="14"/>
      <c r="K1369" s="14"/>
      <c r="L1369" s="14"/>
      <c r="M1369" s="14"/>
      <c r="N1369" s="14"/>
      <c r="O1369" s="14"/>
      <c r="P1369" s="14"/>
      <c r="Q1369" s="14"/>
    </row>
    <row r="1370" spans="2:17" x14ac:dyDescent="0.2">
      <c r="B1370" s="14"/>
      <c r="C1370" s="14"/>
      <c r="D1370" s="14"/>
      <c r="E1370" s="14"/>
      <c r="F1370" s="14"/>
      <c r="G1370" s="14"/>
      <c r="H1370" s="14"/>
      <c r="I1370" s="14"/>
      <c r="J1370" s="14"/>
      <c r="K1370" s="14"/>
      <c r="L1370" s="14"/>
      <c r="M1370" s="14"/>
      <c r="N1370" s="14"/>
      <c r="O1370" s="14"/>
      <c r="P1370" s="14"/>
      <c r="Q1370" s="14"/>
    </row>
    <row r="1371" spans="2:17" x14ac:dyDescent="0.2">
      <c r="B1371" s="14"/>
      <c r="C1371" s="14"/>
      <c r="D1371" s="14"/>
      <c r="E1371" s="14"/>
      <c r="F1371" s="14"/>
      <c r="G1371" s="14"/>
      <c r="H1371" s="14"/>
      <c r="I1371" s="14"/>
      <c r="J1371" s="14"/>
      <c r="K1371" s="14"/>
      <c r="L1371" s="14"/>
      <c r="M1371" s="14"/>
      <c r="N1371" s="14"/>
      <c r="O1371" s="14"/>
      <c r="P1371" s="14"/>
      <c r="Q1371" s="14"/>
    </row>
    <row r="1372" spans="2:17" x14ac:dyDescent="0.2">
      <c r="B1372" s="14"/>
      <c r="C1372" s="14"/>
      <c r="D1372" s="14"/>
      <c r="E1372" s="14"/>
      <c r="F1372" s="14"/>
      <c r="G1372" s="14"/>
      <c r="H1372" s="14"/>
      <c r="I1372" s="14"/>
      <c r="J1372" s="14"/>
      <c r="K1372" s="14"/>
      <c r="L1372" s="14"/>
      <c r="M1372" s="14"/>
      <c r="N1372" s="14"/>
      <c r="O1372" s="14"/>
      <c r="P1372" s="14"/>
      <c r="Q1372" s="14"/>
    </row>
    <row r="1373" spans="2:17" x14ac:dyDescent="0.2">
      <c r="B1373" s="14"/>
      <c r="C1373" s="14"/>
      <c r="D1373" s="14"/>
      <c r="E1373" s="14"/>
      <c r="F1373" s="14"/>
      <c r="G1373" s="14"/>
      <c r="H1373" s="14"/>
      <c r="I1373" s="14"/>
      <c r="J1373" s="14"/>
      <c r="K1373" s="14"/>
      <c r="L1373" s="14"/>
      <c r="M1373" s="14"/>
      <c r="N1373" s="14"/>
      <c r="O1373" s="14"/>
      <c r="P1373" s="14"/>
      <c r="Q1373" s="14"/>
    </row>
    <row r="1374" spans="2:17" x14ac:dyDescent="0.2">
      <c r="B1374" s="14"/>
      <c r="C1374" s="14"/>
      <c r="D1374" s="14"/>
      <c r="E1374" s="14"/>
      <c r="F1374" s="14"/>
      <c r="G1374" s="14"/>
      <c r="H1374" s="14"/>
      <c r="I1374" s="14"/>
      <c r="J1374" s="14"/>
      <c r="K1374" s="14"/>
      <c r="L1374" s="14"/>
      <c r="M1374" s="14"/>
      <c r="N1374" s="14"/>
      <c r="O1374" s="14"/>
      <c r="P1374" s="14"/>
      <c r="Q1374" s="14"/>
    </row>
    <row r="1375" spans="2:17" x14ac:dyDescent="0.2">
      <c r="B1375" s="14"/>
      <c r="C1375" s="14"/>
      <c r="D1375" s="14"/>
      <c r="E1375" s="14"/>
      <c r="F1375" s="14"/>
      <c r="G1375" s="14"/>
      <c r="H1375" s="14"/>
      <c r="I1375" s="14"/>
      <c r="J1375" s="14"/>
      <c r="K1375" s="14"/>
      <c r="L1375" s="14"/>
      <c r="M1375" s="14"/>
      <c r="N1375" s="14"/>
      <c r="O1375" s="14"/>
      <c r="P1375" s="14"/>
      <c r="Q1375" s="14"/>
    </row>
    <row r="1376" spans="2:17" x14ac:dyDescent="0.2">
      <c r="B1376" s="14"/>
      <c r="C1376" s="14"/>
      <c r="D1376" s="14"/>
      <c r="E1376" s="14"/>
      <c r="F1376" s="14"/>
      <c r="G1376" s="14"/>
      <c r="H1376" s="14"/>
      <c r="I1376" s="14"/>
      <c r="J1376" s="14"/>
      <c r="K1376" s="14"/>
      <c r="L1376" s="14"/>
      <c r="M1376" s="14"/>
      <c r="N1376" s="14"/>
      <c r="O1376" s="14"/>
      <c r="P1376" s="14"/>
      <c r="Q1376" s="14"/>
    </row>
    <row r="1377" spans="2:17" x14ac:dyDescent="0.2">
      <c r="B1377" s="14"/>
      <c r="C1377" s="14"/>
      <c r="D1377" s="14"/>
      <c r="E1377" s="14"/>
      <c r="F1377" s="14"/>
      <c r="G1377" s="14"/>
      <c r="H1377" s="14"/>
      <c r="I1377" s="14"/>
      <c r="J1377" s="14"/>
      <c r="K1377" s="14"/>
      <c r="L1377" s="14"/>
      <c r="M1377" s="14"/>
      <c r="N1377" s="14"/>
      <c r="O1377" s="14"/>
      <c r="P1377" s="14"/>
      <c r="Q1377" s="14"/>
    </row>
    <row r="1378" spans="2:17" x14ac:dyDescent="0.2">
      <c r="B1378" s="14"/>
      <c r="C1378" s="14"/>
      <c r="D1378" s="14"/>
      <c r="E1378" s="14"/>
      <c r="F1378" s="14"/>
      <c r="G1378" s="14"/>
      <c r="H1378" s="14"/>
      <c r="I1378" s="14"/>
      <c r="J1378" s="14"/>
      <c r="K1378" s="14"/>
      <c r="L1378" s="14"/>
      <c r="M1378" s="14"/>
      <c r="N1378" s="14"/>
      <c r="O1378" s="14"/>
      <c r="P1378" s="14"/>
      <c r="Q1378" s="14"/>
    </row>
    <row r="1379" spans="2:17" x14ac:dyDescent="0.2">
      <c r="B1379" s="14"/>
      <c r="C1379" s="14"/>
      <c r="D1379" s="14"/>
      <c r="E1379" s="14"/>
      <c r="F1379" s="14"/>
      <c r="G1379" s="14"/>
      <c r="H1379" s="14"/>
      <c r="I1379" s="14"/>
      <c r="J1379" s="14"/>
      <c r="K1379" s="14"/>
      <c r="L1379" s="14"/>
      <c r="M1379" s="14"/>
      <c r="N1379" s="14"/>
      <c r="O1379" s="14"/>
      <c r="P1379" s="14"/>
      <c r="Q1379" s="14"/>
    </row>
    <row r="1380" spans="2:17" x14ac:dyDescent="0.2">
      <c r="B1380" s="14"/>
      <c r="C1380" s="14"/>
      <c r="D1380" s="14"/>
      <c r="E1380" s="14"/>
      <c r="F1380" s="14"/>
      <c r="G1380" s="14"/>
      <c r="H1380" s="14"/>
      <c r="I1380" s="14"/>
      <c r="J1380" s="14"/>
      <c r="K1380" s="14"/>
      <c r="L1380" s="14"/>
      <c r="M1380" s="14"/>
      <c r="N1380" s="14"/>
      <c r="O1380" s="14"/>
      <c r="P1380" s="14"/>
      <c r="Q1380" s="14"/>
    </row>
    <row r="1381" spans="2:17" x14ac:dyDescent="0.2">
      <c r="B1381" s="14"/>
      <c r="C1381" s="14"/>
      <c r="D1381" s="14"/>
      <c r="E1381" s="14"/>
      <c r="F1381" s="14"/>
      <c r="G1381" s="14"/>
      <c r="H1381" s="14"/>
      <c r="I1381" s="14"/>
      <c r="J1381" s="14"/>
      <c r="K1381" s="14"/>
      <c r="L1381" s="14"/>
      <c r="M1381" s="14"/>
      <c r="N1381" s="14"/>
      <c r="O1381" s="14"/>
      <c r="P1381" s="14"/>
      <c r="Q1381" s="14"/>
    </row>
    <row r="1382" spans="2:17" x14ac:dyDescent="0.2">
      <c r="B1382" s="14"/>
      <c r="C1382" s="14"/>
      <c r="D1382" s="14"/>
      <c r="E1382" s="14"/>
      <c r="F1382" s="14"/>
      <c r="G1382" s="14"/>
      <c r="H1382" s="14"/>
      <c r="I1382" s="14"/>
      <c r="J1382" s="14"/>
      <c r="K1382" s="14"/>
      <c r="L1382" s="14"/>
      <c r="M1382" s="14"/>
      <c r="N1382" s="14"/>
      <c r="O1382" s="14"/>
      <c r="P1382" s="14"/>
      <c r="Q1382" s="14"/>
    </row>
    <row r="1383" spans="2:17" x14ac:dyDescent="0.2">
      <c r="B1383" s="14"/>
      <c r="C1383" s="14"/>
      <c r="D1383" s="14"/>
      <c r="E1383" s="14"/>
      <c r="F1383" s="14"/>
      <c r="G1383" s="14"/>
      <c r="H1383" s="14"/>
      <c r="I1383" s="14"/>
      <c r="J1383" s="14"/>
      <c r="K1383" s="14"/>
      <c r="L1383" s="14"/>
      <c r="M1383" s="14"/>
      <c r="N1383" s="14"/>
      <c r="O1383" s="14"/>
      <c r="P1383" s="14"/>
      <c r="Q1383" s="14"/>
    </row>
    <row r="1384" spans="2:17" x14ac:dyDescent="0.2">
      <c r="B1384" s="14"/>
      <c r="C1384" s="14"/>
      <c r="D1384" s="14"/>
      <c r="E1384" s="14"/>
      <c r="F1384" s="14"/>
      <c r="G1384" s="14"/>
      <c r="H1384" s="14"/>
      <c r="I1384" s="14"/>
      <c r="J1384" s="14"/>
      <c r="K1384" s="14"/>
      <c r="L1384" s="14"/>
      <c r="M1384" s="14"/>
      <c r="N1384" s="14"/>
      <c r="O1384" s="14"/>
      <c r="P1384" s="14"/>
      <c r="Q1384" s="14"/>
    </row>
    <row r="1385" spans="2:17" x14ac:dyDescent="0.2">
      <c r="B1385" s="14"/>
      <c r="C1385" s="14"/>
      <c r="D1385" s="14"/>
      <c r="E1385" s="14"/>
      <c r="F1385" s="14"/>
      <c r="G1385" s="14"/>
      <c r="H1385" s="14"/>
      <c r="I1385" s="14"/>
      <c r="J1385" s="14"/>
      <c r="K1385" s="14"/>
      <c r="L1385" s="14"/>
      <c r="M1385" s="14"/>
      <c r="N1385" s="14"/>
      <c r="O1385" s="14"/>
      <c r="P1385" s="14"/>
      <c r="Q1385" s="14"/>
    </row>
    <row r="1386" spans="2:17" x14ac:dyDescent="0.2">
      <c r="B1386" s="14"/>
      <c r="C1386" s="14"/>
      <c r="D1386" s="14"/>
      <c r="E1386" s="14"/>
      <c r="F1386" s="14"/>
      <c r="G1386" s="14"/>
      <c r="H1386" s="14"/>
      <c r="I1386" s="14"/>
      <c r="J1386" s="14"/>
      <c r="K1386" s="14"/>
      <c r="L1386" s="14"/>
      <c r="M1386" s="14"/>
      <c r="N1386" s="14"/>
      <c r="O1386" s="14"/>
      <c r="P1386" s="14"/>
      <c r="Q1386" s="14"/>
    </row>
    <row r="1387" spans="2:17" x14ac:dyDescent="0.2">
      <c r="B1387" s="14"/>
      <c r="C1387" s="14"/>
      <c r="D1387" s="14"/>
      <c r="E1387" s="14"/>
      <c r="F1387" s="14"/>
      <c r="G1387" s="14"/>
      <c r="H1387" s="14"/>
      <c r="I1387" s="14"/>
      <c r="J1387" s="14"/>
      <c r="K1387" s="14"/>
      <c r="L1387" s="14"/>
      <c r="M1387" s="14"/>
      <c r="N1387" s="14"/>
      <c r="O1387" s="14"/>
      <c r="P1387" s="14"/>
      <c r="Q1387" s="14"/>
    </row>
    <row r="1388" spans="2:17" x14ac:dyDescent="0.2">
      <c r="B1388" s="14"/>
      <c r="C1388" s="14"/>
      <c r="D1388" s="14"/>
      <c r="E1388" s="14"/>
      <c r="F1388" s="14"/>
      <c r="G1388" s="14"/>
      <c r="H1388" s="14"/>
      <c r="I1388" s="14"/>
      <c r="J1388" s="14"/>
      <c r="K1388" s="14"/>
      <c r="L1388" s="14"/>
      <c r="M1388" s="14"/>
      <c r="N1388" s="14"/>
      <c r="O1388" s="14"/>
      <c r="P1388" s="14"/>
      <c r="Q1388" s="14"/>
    </row>
    <row r="1389" spans="2:17" x14ac:dyDescent="0.2">
      <c r="B1389" s="14"/>
      <c r="C1389" s="14"/>
      <c r="D1389" s="14"/>
      <c r="E1389" s="14"/>
      <c r="F1389" s="14"/>
      <c r="G1389" s="14"/>
      <c r="H1389" s="14"/>
      <c r="I1389" s="14"/>
      <c r="J1389" s="14"/>
      <c r="K1389" s="14"/>
      <c r="L1389" s="14"/>
      <c r="M1389" s="14"/>
      <c r="N1389" s="14"/>
      <c r="O1389" s="14"/>
      <c r="P1389" s="14"/>
      <c r="Q1389" s="14"/>
    </row>
    <row r="1390" spans="2:17" x14ac:dyDescent="0.2">
      <c r="B1390" s="14"/>
      <c r="C1390" s="14"/>
      <c r="D1390" s="14"/>
      <c r="E1390" s="14"/>
      <c r="F1390" s="14"/>
      <c r="G1390" s="14"/>
      <c r="H1390" s="14"/>
      <c r="I1390" s="14"/>
      <c r="J1390" s="14"/>
      <c r="K1390" s="14"/>
      <c r="L1390" s="14"/>
      <c r="M1390" s="14"/>
      <c r="N1390" s="14"/>
      <c r="O1390" s="14"/>
      <c r="P1390" s="14"/>
      <c r="Q1390" s="14"/>
    </row>
    <row r="1391" spans="2:17" x14ac:dyDescent="0.2">
      <c r="B1391" s="14"/>
      <c r="C1391" s="14"/>
      <c r="D1391" s="14"/>
      <c r="E1391" s="14"/>
      <c r="F1391" s="14"/>
      <c r="G1391" s="14"/>
      <c r="H1391" s="14"/>
      <c r="I1391" s="14"/>
      <c r="J1391" s="14"/>
      <c r="K1391" s="14"/>
      <c r="L1391" s="14"/>
      <c r="M1391" s="14"/>
      <c r="N1391" s="14"/>
      <c r="O1391" s="14"/>
      <c r="P1391" s="14"/>
      <c r="Q1391" s="14"/>
    </row>
    <row r="1392" spans="2:17" x14ac:dyDescent="0.2">
      <c r="B1392" s="14"/>
      <c r="C1392" s="14"/>
      <c r="D1392" s="14"/>
      <c r="E1392" s="14"/>
      <c r="F1392" s="14"/>
      <c r="G1392" s="14"/>
      <c r="H1392" s="14"/>
      <c r="I1392" s="14"/>
      <c r="J1392" s="14"/>
      <c r="K1392" s="14"/>
      <c r="L1392" s="14"/>
      <c r="M1392" s="14"/>
      <c r="N1392" s="14"/>
      <c r="O1392" s="14"/>
      <c r="P1392" s="14"/>
      <c r="Q1392" s="14"/>
    </row>
    <row r="1393" spans="2:17" x14ac:dyDescent="0.2">
      <c r="B1393" s="14"/>
      <c r="C1393" s="14"/>
      <c r="D1393" s="14"/>
      <c r="E1393" s="14"/>
      <c r="F1393" s="14"/>
      <c r="G1393" s="14"/>
      <c r="H1393" s="14"/>
      <c r="I1393" s="14"/>
      <c r="J1393" s="14"/>
      <c r="K1393" s="14"/>
      <c r="L1393" s="14"/>
      <c r="M1393" s="14"/>
      <c r="N1393" s="14"/>
      <c r="O1393" s="14"/>
      <c r="P1393" s="14"/>
      <c r="Q1393" s="14"/>
    </row>
    <row r="1394" spans="2:17" x14ac:dyDescent="0.2">
      <c r="B1394" s="14"/>
      <c r="C1394" s="14"/>
      <c r="D1394" s="14"/>
      <c r="E1394" s="14"/>
      <c r="F1394" s="14"/>
      <c r="G1394" s="14"/>
      <c r="H1394" s="14"/>
      <c r="I1394" s="14"/>
      <c r="J1394" s="14"/>
      <c r="K1394" s="14"/>
      <c r="L1394" s="14"/>
      <c r="M1394" s="14"/>
      <c r="N1394" s="14"/>
      <c r="O1394" s="14"/>
      <c r="P1394" s="14"/>
      <c r="Q1394" s="14"/>
    </row>
    <row r="1395" spans="2:17" x14ac:dyDescent="0.2">
      <c r="B1395" s="14"/>
      <c r="C1395" s="14"/>
      <c r="D1395" s="14"/>
      <c r="E1395" s="14"/>
      <c r="F1395" s="14"/>
      <c r="G1395" s="14"/>
      <c r="H1395" s="14"/>
      <c r="I1395" s="14"/>
      <c r="J1395" s="14"/>
      <c r="K1395" s="14"/>
      <c r="L1395" s="14"/>
      <c r="M1395" s="14"/>
      <c r="N1395" s="14"/>
      <c r="O1395" s="14"/>
      <c r="P1395" s="14"/>
      <c r="Q1395" s="14"/>
    </row>
    <row r="1396" spans="2:17" x14ac:dyDescent="0.2">
      <c r="B1396" s="14"/>
      <c r="C1396" s="14"/>
      <c r="D1396" s="14"/>
      <c r="E1396" s="14"/>
      <c r="F1396" s="14"/>
      <c r="G1396" s="14"/>
      <c r="H1396" s="14"/>
      <c r="I1396" s="14"/>
      <c r="J1396" s="14"/>
      <c r="K1396" s="14"/>
      <c r="L1396" s="14"/>
      <c r="M1396" s="14"/>
      <c r="N1396" s="14"/>
      <c r="O1396" s="14"/>
      <c r="P1396" s="14"/>
      <c r="Q1396" s="14"/>
    </row>
    <row r="1397" spans="2:17" x14ac:dyDescent="0.2">
      <c r="B1397" s="14"/>
      <c r="C1397" s="14"/>
      <c r="D1397" s="14"/>
      <c r="E1397" s="14"/>
      <c r="F1397" s="14"/>
      <c r="G1397" s="14"/>
      <c r="H1397" s="14"/>
      <c r="I1397" s="14"/>
      <c r="J1397" s="14"/>
      <c r="K1397" s="14"/>
      <c r="L1397" s="14"/>
      <c r="M1397" s="14"/>
      <c r="N1397" s="14"/>
      <c r="O1397" s="14"/>
      <c r="P1397" s="14"/>
      <c r="Q1397" s="14"/>
    </row>
    <row r="1398" spans="2:17" x14ac:dyDescent="0.2">
      <c r="B1398" s="14"/>
      <c r="C1398" s="14"/>
      <c r="D1398" s="14"/>
      <c r="E1398" s="14"/>
      <c r="F1398" s="14"/>
      <c r="G1398" s="14"/>
      <c r="H1398" s="14"/>
      <c r="I1398" s="14"/>
      <c r="J1398" s="14"/>
      <c r="K1398" s="14"/>
      <c r="L1398" s="14"/>
      <c r="M1398" s="14"/>
      <c r="N1398" s="14"/>
      <c r="O1398" s="14"/>
      <c r="P1398" s="14"/>
      <c r="Q1398" s="14"/>
    </row>
    <row r="1399" spans="2:17" x14ac:dyDescent="0.2">
      <c r="B1399" s="14"/>
      <c r="C1399" s="14"/>
      <c r="D1399" s="14"/>
      <c r="E1399" s="14"/>
      <c r="F1399" s="14"/>
      <c r="G1399" s="14"/>
      <c r="H1399" s="14"/>
      <c r="I1399" s="14"/>
      <c r="J1399" s="14"/>
      <c r="K1399" s="14"/>
      <c r="L1399" s="14"/>
      <c r="M1399" s="14"/>
      <c r="N1399" s="14"/>
      <c r="O1399" s="14"/>
      <c r="P1399" s="14"/>
      <c r="Q1399" s="14"/>
    </row>
    <row r="1400" spans="2:17" x14ac:dyDescent="0.2">
      <c r="B1400" s="14"/>
      <c r="C1400" s="14"/>
      <c r="D1400" s="14"/>
      <c r="E1400" s="14"/>
      <c r="F1400" s="14"/>
      <c r="G1400" s="14"/>
      <c r="H1400" s="14"/>
      <c r="I1400" s="14"/>
      <c r="J1400" s="14"/>
      <c r="K1400" s="14"/>
      <c r="L1400" s="14"/>
      <c r="M1400" s="14"/>
      <c r="N1400" s="14"/>
      <c r="O1400" s="14"/>
      <c r="P1400" s="14"/>
      <c r="Q1400" s="14"/>
    </row>
    <row r="1401" spans="2:17" x14ac:dyDescent="0.2">
      <c r="B1401" s="14"/>
      <c r="C1401" s="14"/>
      <c r="D1401" s="14"/>
      <c r="E1401" s="14"/>
      <c r="F1401" s="14"/>
      <c r="G1401" s="14"/>
      <c r="H1401" s="14"/>
      <c r="I1401" s="14"/>
      <c r="J1401" s="14"/>
      <c r="K1401" s="14"/>
      <c r="L1401" s="14"/>
      <c r="M1401" s="14"/>
      <c r="N1401" s="14"/>
      <c r="O1401" s="14"/>
      <c r="P1401" s="14"/>
      <c r="Q1401" s="14"/>
    </row>
    <row r="1402" spans="2:17" x14ac:dyDescent="0.2">
      <c r="B1402" s="14"/>
      <c r="C1402" s="14"/>
      <c r="D1402" s="14"/>
      <c r="E1402" s="14"/>
      <c r="F1402" s="14"/>
      <c r="G1402" s="14"/>
      <c r="H1402" s="14"/>
      <c r="I1402" s="14"/>
      <c r="J1402" s="14"/>
      <c r="K1402" s="14"/>
      <c r="L1402" s="14"/>
      <c r="M1402" s="14"/>
      <c r="N1402" s="14"/>
      <c r="O1402" s="14"/>
      <c r="P1402" s="14"/>
      <c r="Q1402" s="14"/>
    </row>
    <row r="1403" spans="2:17" x14ac:dyDescent="0.2">
      <c r="B1403" s="14"/>
      <c r="C1403" s="14"/>
      <c r="D1403" s="14"/>
      <c r="E1403" s="14"/>
      <c r="F1403" s="14"/>
      <c r="G1403" s="14"/>
      <c r="H1403" s="14"/>
      <c r="I1403" s="14"/>
      <c r="J1403" s="14"/>
      <c r="K1403" s="14"/>
      <c r="L1403" s="14"/>
      <c r="M1403" s="14"/>
      <c r="N1403" s="14"/>
      <c r="O1403" s="14"/>
      <c r="P1403" s="14"/>
      <c r="Q1403" s="14"/>
    </row>
    <row r="1404" spans="2:17" x14ac:dyDescent="0.2">
      <c r="B1404" s="14"/>
      <c r="C1404" s="14"/>
      <c r="D1404" s="14"/>
      <c r="E1404" s="14"/>
      <c r="F1404" s="14"/>
      <c r="G1404" s="14"/>
      <c r="H1404" s="14"/>
      <c r="I1404" s="14"/>
      <c r="J1404" s="14"/>
      <c r="K1404" s="14"/>
      <c r="L1404" s="14"/>
      <c r="M1404" s="14"/>
      <c r="N1404" s="14"/>
      <c r="O1404" s="14"/>
      <c r="P1404" s="14"/>
      <c r="Q1404" s="14"/>
    </row>
    <row r="1405" spans="2:17" x14ac:dyDescent="0.2">
      <c r="B1405" s="14"/>
      <c r="C1405" s="14"/>
      <c r="D1405" s="14"/>
      <c r="E1405" s="14"/>
      <c r="F1405" s="14"/>
      <c r="G1405" s="14"/>
      <c r="H1405" s="14"/>
      <c r="I1405" s="14"/>
      <c r="J1405" s="14"/>
      <c r="K1405" s="14"/>
      <c r="L1405" s="14"/>
      <c r="M1405" s="14"/>
      <c r="N1405" s="14"/>
      <c r="O1405" s="14"/>
      <c r="P1405" s="14"/>
      <c r="Q1405" s="14"/>
    </row>
    <row r="1406" spans="2:17" x14ac:dyDescent="0.2">
      <c r="B1406" s="14"/>
      <c r="C1406" s="14"/>
      <c r="D1406" s="14"/>
      <c r="E1406" s="14"/>
      <c r="F1406" s="14"/>
      <c r="G1406" s="14"/>
      <c r="H1406" s="14"/>
      <c r="I1406" s="14"/>
      <c r="J1406" s="14"/>
      <c r="K1406" s="14"/>
      <c r="L1406" s="14"/>
      <c r="M1406" s="14"/>
      <c r="N1406" s="14"/>
      <c r="O1406" s="14"/>
      <c r="P1406" s="14"/>
      <c r="Q1406" s="14"/>
    </row>
    <row r="1407" spans="2:17" x14ac:dyDescent="0.2">
      <c r="B1407" s="14"/>
      <c r="C1407" s="14"/>
      <c r="D1407" s="14"/>
      <c r="E1407" s="14"/>
      <c r="F1407" s="14"/>
      <c r="G1407" s="14"/>
      <c r="H1407" s="14"/>
      <c r="I1407" s="14"/>
      <c r="J1407" s="14"/>
      <c r="K1407" s="14"/>
      <c r="L1407" s="14"/>
      <c r="M1407" s="14"/>
      <c r="N1407" s="14"/>
      <c r="O1407" s="14"/>
      <c r="P1407" s="14"/>
      <c r="Q1407" s="14"/>
    </row>
    <row r="1408" spans="2:17" x14ac:dyDescent="0.2">
      <c r="B1408" s="14"/>
      <c r="C1408" s="14"/>
      <c r="D1408" s="14"/>
      <c r="E1408" s="14"/>
      <c r="F1408" s="14"/>
      <c r="G1408" s="14"/>
      <c r="H1408" s="14"/>
      <c r="I1408" s="14"/>
      <c r="J1408" s="14"/>
      <c r="K1408" s="14"/>
      <c r="L1408" s="14"/>
      <c r="M1408" s="14"/>
      <c r="N1408" s="14"/>
      <c r="O1408" s="14"/>
      <c r="P1408" s="14"/>
      <c r="Q1408" s="14"/>
    </row>
    <row r="1409" spans="2:17" x14ac:dyDescent="0.2">
      <c r="B1409" s="14"/>
      <c r="C1409" s="14"/>
      <c r="D1409" s="14"/>
      <c r="E1409" s="14"/>
      <c r="F1409" s="14"/>
      <c r="G1409" s="14"/>
      <c r="H1409" s="14"/>
      <c r="I1409" s="14"/>
      <c r="J1409" s="14"/>
      <c r="K1409" s="14"/>
      <c r="L1409" s="14"/>
      <c r="M1409" s="14"/>
      <c r="N1409" s="14"/>
      <c r="O1409" s="14"/>
      <c r="P1409" s="14"/>
      <c r="Q1409" s="14"/>
    </row>
    <row r="1410" spans="2:17" x14ac:dyDescent="0.2">
      <c r="B1410" s="14"/>
      <c r="C1410" s="14"/>
      <c r="D1410" s="14"/>
      <c r="E1410" s="14"/>
      <c r="F1410" s="14"/>
      <c r="G1410" s="14"/>
      <c r="H1410" s="14"/>
      <c r="I1410" s="14"/>
      <c r="J1410" s="14"/>
      <c r="K1410" s="14"/>
      <c r="L1410" s="14"/>
      <c r="M1410" s="14"/>
      <c r="N1410" s="14"/>
      <c r="O1410" s="14"/>
      <c r="P1410" s="14"/>
      <c r="Q1410" s="14"/>
    </row>
    <row r="1411" spans="2:17" x14ac:dyDescent="0.2">
      <c r="B1411" s="14"/>
      <c r="C1411" s="14"/>
      <c r="D1411" s="14"/>
      <c r="E1411" s="14"/>
      <c r="F1411" s="14"/>
      <c r="G1411" s="14"/>
      <c r="H1411" s="14"/>
      <c r="I1411" s="14"/>
      <c r="J1411" s="14"/>
      <c r="K1411" s="14"/>
      <c r="L1411" s="14"/>
      <c r="M1411" s="14"/>
      <c r="N1411" s="14"/>
      <c r="O1411" s="14"/>
      <c r="P1411" s="14"/>
      <c r="Q1411" s="14"/>
    </row>
    <row r="1412" spans="2:17" x14ac:dyDescent="0.2">
      <c r="B1412" s="14"/>
      <c r="C1412" s="14"/>
      <c r="D1412" s="14"/>
      <c r="E1412" s="14"/>
      <c r="F1412" s="14"/>
      <c r="G1412" s="14"/>
      <c r="H1412" s="14"/>
      <c r="I1412" s="14"/>
      <c r="J1412" s="14"/>
      <c r="K1412" s="14"/>
      <c r="L1412" s="14"/>
      <c r="M1412" s="14"/>
      <c r="N1412" s="14"/>
      <c r="O1412" s="14"/>
      <c r="P1412" s="14"/>
      <c r="Q1412" s="14"/>
    </row>
    <row r="1413" spans="2:17" x14ac:dyDescent="0.2">
      <c r="B1413" s="14"/>
      <c r="C1413" s="14"/>
      <c r="D1413" s="14"/>
      <c r="E1413" s="14"/>
      <c r="F1413" s="14"/>
      <c r="G1413" s="14"/>
      <c r="H1413" s="14"/>
      <c r="I1413" s="14"/>
      <c r="J1413" s="14"/>
      <c r="K1413" s="14"/>
      <c r="L1413" s="14"/>
      <c r="M1413" s="14"/>
      <c r="N1413" s="14"/>
      <c r="O1413" s="14"/>
      <c r="P1413" s="14"/>
      <c r="Q1413" s="14"/>
    </row>
    <row r="1414" spans="2:17" x14ac:dyDescent="0.2">
      <c r="B1414" s="14"/>
      <c r="C1414" s="14"/>
      <c r="D1414" s="14"/>
      <c r="E1414" s="14"/>
      <c r="F1414" s="14"/>
      <c r="G1414" s="14"/>
      <c r="H1414" s="14"/>
      <c r="I1414" s="14"/>
      <c r="J1414" s="14"/>
      <c r="K1414" s="14"/>
      <c r="L1414" s="14"/>
      <c r="M1414" s="14"/>
      <c r="N1414" s="14"/>
      <c r="O1414" s="14"/>
      <c r="P1414" s="14"/>
      <c r="Q1414" s="14"/>
    </row>
    <row r="1415" spans="2:17" x14ac:dyDescent="0.2">
      <c r="B1415" s="14"/>
      <c r="C1415" s="14"/>
      <c r="D1415" s="14"/>
      <c r="E1415" s="14"/>
      <c r="F1415" s="14"/>
      <c r="G1415" s="14"/>
      <c r="H1415" s="14"/>
      <c r="I1415" s="14"/>
      <c r="J1415" s="14"/>
      <c r="K1415" s="14"/>
      <c r="L1415" s="14"/>
      <c r="M1415" s="14"/>
      <c r="N1415" s="14"/>
      <c r="O1415" s="14"/>
      <c r="P1415" s="14"/>
      <c r="Q1415" s="14"/>
    </row>
    <row r="1416" spans="2:17" x14ac:dyDescent="0.2">
      <c r="B1416" s="14"/>
      <c r="C1416" s="14"/>
      <c r="D1416" s="14"/>
      <c r="E1416" s="14"/>
      <c r="F1416" s="14"/>
      <c r="G1416" s="14"/>
      <c r="H1416" s="14"/>
      <c r="I1416" s="14"/>
      <c r="J1416" s="14"/>
      <c r="K1416" s="14"/>
      <c r="L1416" s="14"/>
      <c r="M1416" s="14"/>
      <c r="N1416" s="14"/>
      <c r="O1416" s="14"/>
      <c r="P1416" s="14"/>
      <c r="Q1416" s="14"/>
    </row>
    <row r="1417" spans="2:17" x14ac:dyDescent="0.2">
      <c r="B1417" s="14"/>
      <c r="C1417" s="14"/>
      <c r="D1417" s="14"/>
      <c r="E1417" s="14"/>
      <c r="F1417" s="14"/>
      <c r="G1417" s="14"/>
      <c r="H1417" s="14"/>
      <c r="I1417" s="14"/>
      <c r="J1417" s="14"/>
      <c r="K1417" s="14"/>
      <c r="L1417" s="14"/>
      <c r="M1417" s="14"/>
      <c r="N1417" s="14"/>
      <c r="O1417" s="14"/>
      <c r="P1417" s="14"/>
      <c r="Q1417" s="14"/>
    </row>
    <row r="1418" spans="2:17" x14ac:dyDescent="0.2">
      <c r="B1418" s="14"/>
      <c r="C1418" s="14"/>
      <c r="D1418" s="14"/>
      <c r="E1418" s="14"/>
      <c r="F1418" s="14"/>
      <c r="G1418" s="14"/>
      <c r="H1418" s="14"/>
      <c r="I1418" s="14"/>
      <c r="J1418" s="14"/>
      <c r="K1418" s="14"/>
      <c r="L1418" s="14"/>
      <c r="M1418" s="14"/>
      <c r="N1418" s="14"/>
      <c r="O1418" s="14"/>
      <c r="P1418" s="14"/>
      <c r="Q1418" s="14"/>
    </row>
    <row r="1419" spans="2:17" x14ac:dyDescent="0.2">
      <c r="B1419" s="14"/>
      <c r="C1419" s="14"/>
      <c r="D1419" s="14"/>
      <c r="E1419" s="14"/>
      <c r="F1419" s="14"/>
      <c r="G1419" s="14"/>
      <c r="H1419" s="14"/>
      <c r="I1419" s="14"/>
      <c r="J1419" s="14"/>
      <c r="K1419" s="14"/>
      <c r="L1419" s="14"/>
      <c r="M1419" s="14"/>
      <c r="N1419" s="14"/>
      <c r="O1419" s="14"/>
      <c r="P1419" s="14"/>
      <c r="Q1419" s="14"/>
    </row>
    <row r="1420" spans="2:17" x14ac:dyDescent="0.2">
      <c r="B1420" s="14"/>
      <c r="C1420" s="14"/>
      <c r="D1420" s="14"/>
      <c r="E1420" s="14"/>
      <c r="F1420" s="14"/>
      <c r="G1420" s="14"/>
      <c r="H1420" s="14"/>
      <c r="I1420" s="14"/>
      <c r="J1420" s="14"/>
      <c r="K1420" s="14"/>
      <c r="L1420" s="14"/>
      <c r="M1420" s="14"/>
      <c r="N1420" s="14"/>
      <c r="O1420" s="14"/>
      <c r="P1420" s="14"/>
      <c r="Q1420" s="14"/>
    </row>
    <row r="1421" spans="2:17" x14ac:dyDescent="0.2">
      <c r="B1421" s="14"/>
      <c r="C1421" s="14"/>
      <c r="D1421" s="14"/>
      <c r="E1421" s="14"/>
      <c r="F1421" s="14"/>
      <c r="G1421" s="14"/>
      <c r="H1421" s="14"/>
      <c r="I1421" s="14"/>
      <c r="J1421" s="14"/>
      <c r="K1421" s="14"/>
      <c r="L1421" s="14"/>
      <c r="M1421" s="14"/>
      <c r="N1421" s="14"/>
      <c r="O1421" s="14"/>
      <c r="P1421" s="14"/>
      <c r="Q1421" s="14"/>
    </row>
    <row r="1422" spans="2:17" x14ac:dyDescent="0.2">
      <c r="B1422" s="14"/>
      <c r="C1422" s="14"/>
      <c r="D1422" s="14"/>
      <c r="E1422" s="14"/>
      <c r="F1422" s="14"/>
      <c r="G1422" s="14"/>
      <c r="H1422" s="14"/>
      <c r="I1422" s="14"/>
      <c r="J1422" s="14"/>
      <c r="K1422" s="14"/>
      <c r="L1422" s="14"/>
      <c r="M1422" s="14"/>
      <c r="N1422" s="14"/>
      <c r="O1422" s="14"/>
      <c r="P1422" s="14"/>
      <c r="Q1422" s="14"/>
    </row>
    <row r="1423" spans="2:17" x14ac:dyDescent="0.2">
      <c r="B1423" s="14"/>
      <c r="C1423" s="14"/>
      <c r="D1423" s="14"/>
      <c r="E1423" s="14"/>
      <c r="F1423" s="14"/>
      <c r="G1423" s="14"/>
      <c r="H1423" s="14"/>
      <c r="I1423" s="14"/>
      <c r="J1423" s="14"/>
      <c r="K1423" s="14"/>
      <c r="L1423" s="14"/>
      <c r="M1423" s="14"/>
      <c r="N1423" s="14"/>
      <c r="O1423" s="14"/>
      <c r="P1423" s="14"/>
      <c r="Q1423" s="14"/>
    </row>
    <row r="1424" spans="2:17" x14ac:dyDescent="0.2">
      <c r="B1424" s="14"/>
      <c r="C1424" s="14"/>
      <c r="D1424" s="14"/>
      <c r="E1424" s="14"/>
      <c r="F1424" s="14"/>
      <c r="G1424" s="14"/>
      <c r="H1424" s="14"/>
      <c r="I1424" s="14"/>
      <c r="J1424" s="14"/>
      <c r="K1424" s="14"/>
      <c r="L1424" s="14"/>
      <c r="M1424" s="14"/>
      <c r="N1424" s="14"/>
      <c r="O1424" s="14"/>
      <c r="P1424" s="14"/>
      <c r="Q1424" s="14"/>
    </row>
    <row r="1425" spans="2:17" x14ac:dyDescent="0.2">
      <c r="B1425" s="14"/>
      <c r="C1425" s="14"/>
      <c r="D1425" s="14"/>
      <c r="E1425" s="14"/>
      <c r="F1425" s="14"/>
      <c r="G1425" s="14"/>
      <c r="H1425" s="14"/>
      <c r="I1425" s="14"/>
      <c r="J1425" s="14"/>
      <c r="K1425" s="14"/>
      <c r="L1425" s="14"/>
      <c r="M1425" s="14"/>
      <c r="N1425" s="14"/>
      <c r="O1425" s="14"/>
      <c r="P1425" s="14"/>
      <c r="Q1425" s="14"/>
    </row>
    <row r="1426" spans="2:17" x14ac:dyDescent="0.2">
      <c r="B1426" s="14"/>
      <c r="C1426" s="14"/>
      <c r="D1426" s="14"/>
      <c r="E1426" s="14"/>
      <c r="F1426" s="14"/>
      <c r="G1426" s="14"/>
      <c r="H1426" s="14"/>
      <c r="I1426" s="14"/>
      <c r="J1426" s="14"/>
      <c r="K1426" s="14"/>
      <c r="L1426" s="14"/>
      <c r="M1426" s="14"/>
      <c r="N1426" s="14"/>
      <c r="O1426" s="14"/>
      <c r="P1426" s="14"/>
      <c r="Q1426" s="14"/>
    </row>
    <row r="1427" spans="2:17" x14ac:dyDescent="0.2">
      <c r="B1427" s="14"/>
      <c r="C1427" s="14"/>
      <c r="D1427" s="14"/>
      <c r="E1427" s="14"/>
      <c r="F1427" s="14"/>
      <c r="G1427" s="14"/>
      <c r="H1427" s="14"/>
      <c r="I1427" s="14"/>
      <c r="J1427" s="14"/>
      <c r="K1427" s="14"/>
      <c r="L1427" s="14"/>
      <c r="M1427" s="14"/>
      <c r="N1427" s="14"/>
      <c r="O1427" s="14"/>
      <c r="P1427" s="14"/>
      <c r="Q1427" s="14"/>
    </row>
    <row r="1428" spans="2:17" x14ac:dyDescent="0.2">
      <c r="B1428" s="14"/>
      <c r="C1428" s="14"/>
      <c r="D1428" s="14"/>
      <c r="E1428" s="14"/>
      <c r="F1428" s="14"/>
      <c r="G1428" s="14"/>
      <c r="H1428" s="14"/>
      <c r="I1428" s="14"/>
      <c r="J1428" s="14"/>
      <c r="K1428" s="14"/>
      <c r="L1428" s="14"/>
      <c r="M1428" s="14"/>
      <c r="N1428" s="14"/>
      <c r="O1428" s="14"/>
      <c r="P1428" s="14"/>
      <c r="Q1428" s="14"/>
    </row>
    <row r="1429" spans="2:17" x14ac:dyDescent="0.2">
      <c r="B1429" s="14"/>
      <c r="C1429" s="14"/>
      <c r="D1429" s="14"/>
      <c r="E1429" s="14"/>
      <c r="F1429" s="14"/>
      <c r="G1429" s="14"/>
      <c r="H1429" s="14"/>
      <c r="I1429" s="14"/>
      <c r="J1429" s="14"/>
      <c r="K1429" s="14"/>
      <c r="L1429" s="14"/>
      <c r="M1429" s="14"/>
      <c r="N1429" s="14"/>
      <c r="O1429" s="14"/>
      <c r="P1429" s="14"/>
      <c r="Q1429" s="14"/>
    </row>
    <row r="1430" spans="2:17" x14ac:dyDescent="0.2">
      <c r="B1430" s="14"/>
      <c r="C1430" s="14"/>
      <c r="D1430" s="14"/>
      <c r="E1430" s="14"/>
      <c r="F1430" s="14"/>
      <c r="G1430" s="14"/>
      <c r="H1430" s="14"/>
      <c r="I1430" s="14"/>
      <c r="J1430" s="14"/>
      <c r="K1430" s="14"/>
      <c r="L1430" s="14"/>
      <c r="M1430" s="14"/>
      <c r="N1430" s="14"/>
      <c r="O1430" s="14"/>
      <c r="P1430" s="14"/>
      <c r="Q1430" s="14"/>
    </row>
    <row r="1431" spans="2:17" x14ac:dyDescent="0.2">
      <c r="B1431" s="14"/>
      <c r="C1431" s="14"/>
      <c r="D1431" s="14"/>
      <c r="E1431" s="14"/>
      <c r="F1431" s="14"/>
      <c r="G1431" s="14"/>
      <c r="H1431" s="14"/>
      <c r="I1431" s="14"/>
      <c r="J1431" s="14"/>
      <c r="K1431" s="14"/>
      <c r="L1431" s="14"/>
      <c r="M1431" s="14"/>
      <c r="N1431" s="14"/>
      <c r="O1431" s="14"/>
      <c r="P1431" s="14"/>
      <c r="Q1431" s="14"/>
    </row>
    <row r="1432" spans="2:17" x14ac:dyDescent="0.2">
      <c r="B1432" s="14"/>
      <c r="C1432" s="14"/>
      <c r="D1432" s="14"/>
      <c r="E1432" s="14"/>
      <c r="F1432" s="14"/>
      <c r="G1432" s="14"/>
      <c r="H1432" s="14"/>
      <c r="I1432" s="14"/>
      <c r="J1432" s="14"/>
      <c r="K1432" s="14"/>
      <c r="L1432" s="14"/>
      <c r="M1432" s="14"/>
      <c r="N1432" s="14"/>
      <c r="O1432" s="14"/>
      <c r="P1432" s="14"/>
      <c r="Q1432" s="14"/>
    </row>
    <row r="1433" spans="2:17" x14ac:dyDescent="0.2">
      <c r="B1433" s="14"/>
      <c r="C1433" s="14"/>
      <c r="D1433" s="14"/>
      <c r="E1433" s="14"/>
      <c r="F1433" s="14"/>
      <c r="G1433" s="14"/>
      <c r="H1433" s="14"/>
      <c r="I1433" s="14"/>
      <c r="J1433" s="14"/>
      <c r="K1433" s="14"/>
      <c r="L1433" s="14"/>
      <c r="M1433" s="14"/>
      <c r="N1433" s="14"/>
      <c r="O1433" s="14"/>
      <c r="P1433" s="14"/>
      <c r="Q1433" s="14"/>
    </row>
    <row r="1434" spans="2:17" x14ac:dyDescent="0.2">
      <c r="B1434" s="14"/>
      <c r="C1434" s="14"/>
      <c r="D1434" s="14"/>
      <c r="E1434" s="14"/>
      <c r="F1434" s="14"/>
      <c r="G1434" s="14"/>
      <c r="H1434" s="14"/>
      <c r="I1434" s="14"/>
      <c r="J1434" s="14"/>
      <c r="K1434" s="14"/>
      <c r="L1434" s="14"/>
      <c r="M1434" s="14"/>
      <c r="N1434" s="14"/>
      <c r="O1434" s="14"/>
      <c r="P1434" s="14"/>
      <c r="Q1434" s="14"/>
    </row>
    <row r="1435" spans="2:17" x14ac:dyDescent="0.2">
      <c r="B1435" s="14"/>
      <c r="C1435" s="14"/>
      <c r="D1435" s="14"/>
      <c r="E1435" s="14"/>
      <c r="F1435" s="14"/>
      <c r="G1435" s="14"/>
      <c r="H1435" s="14"/>
      <c r="I1435" s="14"/>
      <c r="J1435" s="14"/>
      <c r="K1435" s="14"/>
      <c r="L1435" s="14"/>
      <c r="M1435" s="14"/>
      <c r="N1435" s="14"/>
      <c r="O1435" s="14"/>
      <c r="P1435" s="14"/>
      <c r="Q1435" s="14"/>
    </row>
    <row r="1436" spans="2:17" x14ac:dyDescent="0.2">
      <c r="B1436" s="14"/>
      <c r="C1436" s="14"/>
      <c r="D1436" s="14"/>
      <c r="E1436" s="14"/>
      <c r="F1436" s="14"/>
      <c r="G1436" s="14"/>
      <c r="H1436" s="14"/>
      <c r="I1436" s="14"/>
      <c r="J1436" s="14"/>
      <c r="K1436" s="14"/>
      <c r="L1436" s="14"/>
      <c r="M1436" s="14"/>
      <c r="N1436" s="14"/>
      <c r="O1436" s="14"/>
      <c r="P1436" s="14"/>
      <c r="Q1436" s="14"/>
    </row>
    <row r="1437" spans="2:17" x14ac:dyDescent="0.2">
      <c r="B1437" s="14"/>
      <c r="C1437" s="14"/>
      <c r="D1437" s="14"/>
      <c r="E1437" s="14"/>
      <c r="F1437" s="14"/>
      <c r="G1437" s="14"/>
      <c r="H1437" s="14"/>
      <c r="I1437" s="14"/>
      <c r="J1437" s="14"/>
      <c r="K1437" s="14"/>
      <c r="L1437" s="14"/>
      <c r="M1437" s="14"/>
      <c r="N1437" s="14"/>
      <c r="O1437" s="14"/>
      <c r="P1437" s="14"/>
      <c r="Q1437" s="14"/>
    </row>
    <row r="1438" spans="2:17" x14ac:dyDescent="0.2">
      <c r="B1438" s="14"/>
      <c r="C1438" s="14"/>
      <c r="D1438" s="14"/>
      <c r="E1438" s="14"/>
      <c r="F1438" s="14"/>
      <c r="G1438" s="14"/>
      <c r="H1438" s="14"/>
      <c r="I1438" s="14"/>
      <c r="J1438" s="14"/>
      <c r="K1438" s="14"/>
      <c r="L1438" s="14"/>
      <c r="M1438" s="14"/>
      <c r="N1438" s="14"/>
      <c r="O1438" s="14"/>
      <c r="P1438" s="14"/>
      <c r="Q1438" s="14"/>
    </row>
    <row r="1439" spans="2:17" x14ac:dyDescent="0.2">
      <c r="B1439" s="14"/>
      <c r="C1439" s="14"/>
      <c r="D1439" s="14"/>
      <c r="E1439" s="14"/>
      <c r="F1439" s="14"/>
      <c r="G1439" s="14"/>
      <c r="H1439" s="14"/>
      <c r="I1439" s="14"/>
      <c r="J1439" s="14"/>
      <c r="K1439" s="14"/>
      <c r="L1439" s="14"/>
      <c r="M1439" s="14"/>
      <c r="N1439" s="14"/>
      <c r="O1439" s="14"/>
      <c r="P1439" s="14"/>
      <c r="Q1439" s="14"/>
    </row>
    <row r="1440" spans="2:17" x14ac:dyDescent="0.2">
      <c r="B1440" s="14"/>
      <c r="C1440" s="14"/>
      <c r="D1440" s="14"/>
      <c r="E1440" s="14"/>
      <c r="F1440" s="14"/>
      <c r="G1440" s="14"/>
      <c r="H1440" s="14"/>
      <c r="I1440" s="14"/>
      <c r="J1440" s="14"/>
      <c r="K1440" s="14"/>
      <c r="L1440" s="14"/>
      <c r="M1440" s="14"/>
      <c r="N1440" s="14"/>
      <c r="O1440" s="14"/>
      <c r="P1440" s="14"/>
      <c r="Q1440" s="14"/>
    </row>
    <row r="1441" spans="2:17" x14ac:dyDescent="0.2">
      <c r="B1441" s="14"/>
      <c r="C1441" s="14"/>
      <c r="D1441" s="14"/>
      <c r="E1441" s="14"/>
      <c r="F1441" s="14"/>
      <c r="G1441" s="14"/>
      <c r="H1441" s="14"/>
      <c r="I1441" s="14"/>
      <c r="J1441" s="14"/>
      <c r="K1441" s="14"/>
      <c r="L1441" s="14"/>
      <c r="M1441" s="14"/>
      <c r="N1441" s="14"/>
      <c r="O1441" s="14"/>
      <c r="P1441" s="14"/>
      <c r="Q1441" s="14"/>
    </row>
    <row r="1442" spans="2:17" x14ac:dyDescent="0.2">
      <c r="B1442" s="14"/>
      <c r="C1442" s="14"/>
      <c r="D1442" s="14"/>
      <c r="E1442" s="14"/>
      <c r="F1442" s="14"/>
      <c r="G1442" s="14"/>
      <c r="H1442" s="14"/>
      <c r="I1442" s="14"/>
      <c r="J1442" s="14"/>
      <c r="K1442" s="14"/>
      <c r="L1442" s="14"/>
      <c r="M1442" s="14"/>
      <c r="N1442" s="14"/>
      <c r="O1442" s="14"/>
      <c r="P1442" s="14"/>
      <c r="Q1442" s="14"/>
    </row>
    <row r="1443" spans="2:17" x14ac:dyDescent="0.2">
      <c r="B1443" s="14"/>
      <c r="C1443" s="14"/>
      <c r="D1443" s="14"/>
      <c r="E1443" s="14"/>
      <c r="F1443" s="14"/>
      <c r="G1443" s="14"/>
      <c r="H1443" s="14"/>
      <c r="I1443" s="14"/>
      <c r="J1443" s="14"/>
      <c r="K1443" s="14"/>
      <c r="L1443" s="14"/>
      <c r="M1443" s="14"/>
      <c r="N1443" s="14"/>
      <c r="O1443" s="14"/>
      <c r="P1443" s="14"/>
      <c r="Q1443" s="14"/>
    </row>
    <row r="1444" spans="2:17" x14ac:dyDescent="0.2">
      <c r="B1444" s="14"/>
      <c r="C1444" s="14"/>
      <c r="D1444" s="14"/>
      <c r="E1444" s="14"/>
      <c r="F1444" s="14"/>
      <c r="G1444" s="14"/>
      <c r="H1444" s="14"/>
      <c r="I1444" s="14"/>
      <c r="J1444" s="14"/>
      <c r="K1444" s="14"/>
      <c r="L1444" s="14"/>
      <c r="M1444" s="14"/>
      <c r="N1444" s="14"/>
      <c r="O1444" s="14"/>
      <c r="P1444" s="14"/>
      <c r="Q1444" s="14"/>
    </row>
    <row r="1445" spans="2:17" x14ac:dyDescent="0.2">
      <c r="B1445" s="14"/>
      <c r="C1445" s="14"/>
      <c r="D1445" s="14"/>
      <c r="E1445" s="14"/>
      <c r="F1445" s="14"/>
      <c r="G1445" s="14"/>
      <c r="H1445" s="14"/>
      <c r="I1445" s="14"/>
      <c r="J1445" s="14"/>
      <c r="K1445" s="14"/>
      <c r="L1445" s="14"/>
      <c r="M1445" s="14"/>
      <c r="N1445" s="14"/>
      <c r="O1445" s="14"/>
      <c r="P1445" s="14"/>
      <c r="Q1445" s="14"/>
    </row>
    <row r="1446" spans="2:17" x14ac:dyDescent="0.2">
      <c r="B1446" s="14"/>
      <c r="C1446" s="14"/>
      <c r="D1446" s="14"/>
      <c r="E1446" s="14"/>
      <c r="F1446" s="14"/>
      <c r="G1446" s="14"/>
      <c r="H1446" s="14"/>
      <c r="I1446" s="14"/>
      <c r="J1446" s="14"/>
      <c r="K1446" s="14"/>
      <c r="L1446" s="14"/>
      <c r="M1446" s="14"/>
      <c r="N1446" s="14"/>
      <c r="O1446" s="14"/>
      <c r="P1446" s="14"/>
      <c r="Q1446" s="14"/>
    </row>
    <row r="1447" spans="2:17" x14ac:dyDescent="0.2">
      <c r="B1447" s="14"/>
      <c r="C1447" s="14"/>
      <c r="D1447" s="14"/>
      <c r="E1447" s="14"/>
      <c r="F1447" s="14"/>
      <c r="G1447" s="14"/>
      <c r="H1447" s="14"/>
      <c r="I1447" s="14"/>
      <c r="J1447" s="14"/>
      <c r="K1447" s="14"/>
      <c r="L1447" s="14"/>
      <c r="M1447" s="14"/>
      <c r="N1447" s="14"/>
      <c r="O1447" s="14"/>
      <c r="P1447" s="14"/>
      <c r="Q1447" s="14"/>
    </row>
    <row r="1448" spans="2:17" x14ac:dyDescent="0.2">
      <c r="B1448" s="14"/>
      <c r="C1448" s="14"/>
      <c r="D1448" s="14"/>
      <c r="E1448" s="14"/>
      <c r="F1448" s="14"/>
      <c r="G1448" s="14"/>
      <c r="H1448" s="14"/>
      <c r="I1448" s="14"/>
      <c r="J1448" s="14"/>
      <c r="K1448" s="14"/>
      <c r="L1448" s="14"/>
      <c r="M1448" s="14"/>
      <c r="N1448" s="14"/>
      <c r="O1448" s="14"/>
      <c r="P1448" s="14"/>
      <c r="Q1448" s="14"/>
    </row>
    <row r="1449" spans="2:17" x14ac:dyDescent="0.2">
      <c r="B1449" s="14"/>
      <c r="C1449" s="14"/>
      <c r="D1449" s="14"/>
      <c r="E1449" s="14"/>
      <c r="F1449" s="14"/>
      <c r="G1449" s="14"/>
      <c r="H1449" s="14"/>
      <c r="I1449" s="14"/>
      <c r="J1449" s="14"/>
      <c r="K1449" s="14"/>
      <c r="L1449" s="14"/>
      <c r="M1449" s="14"/>
      <c r="N1449" s="14"/>
      <c r="O1449" s="14"/>
      <c r="P1449" s="14"/>
      <c r="Q1449" s="14"/>
    </row>
    <row r="1450" spans="2:17" x14ac:dyDescent="0.2">
      <c r="B1450" s="14"/>
      <c r="C1450" s="14"/>
      <c r="D1450" s="14"/>
      <c r="E1450" s="14"/>
      <c r="F1450" s="14"/>
      <c r="G1450" s="14"/>
      <c r="H1450" s="14"/>
      <c r="I1450" s="14"/>
      <c r="J1450" s="14"/>
      <c r="K1450" s="14"/>
      <c r="L1450" s="14"/>
      <c r="M1450" s="14"/>
      <c r="N1450" s="14"/>
      <c r="O1450" s="14"/>
      <c r="P1450" s="14"/>
      <c r="Q1450" s="14"/>
    </row>
    <row r="1451" spans="2:17" x14ac:dyDescent="0.2">
      <c r="B1451" s="14"/>
      <c r="C1451" s="14"/>
      <c r="D1451" s="14"/>
      <c r="E1451" s="14"/>
      <c r="F1451" s="14"/>
      <c r="G1451" s="14"/>
      <c r="H1451" s="14"/>
      <c r="I1451" s="14"/>
      <c r="J1451" s="14"/>
      <c r="K1451" s="14"/>
      <c r="L1451" s="14"/>
      <c r="M1451" s="14"/>
      <c r="N1451" s="14"/>
      <c r="O1451" s="14"/>
      <c r="P1451" s="14"/>
      <c r="Q1451" s="14"/>
    </row>
    <row r="1452" spans="2:17" x14ac:dyDescent="0.2">
      <c r="B1452" s="14"/>
      <c r="C1452" s="14"/>
      <c r="D1452" s="14"/>
      <c r="E1452" s="14"/>
      <c r="F1452" s="14"/>
      <c r="G1452" s="14"/>
      <c r="H1452" s="14"/>
      <c r="I1452" s="14"/>
      <c r="J1452" s="14"/>
      <c r="K1452" s="14"/>
      <c r="L1452" s="14"/>
      <c r="M1452" s="14"/>
      <c r="N1452" s="14"/>
      <c r="O1452" s="14"/>
      <c r="P1452" s="14"/>
      <c r="Q1452" s="14"/>
    </row>
    <row r="1453" spans="2:17" x14ac:dyDescent="0.2">
      <c r="B1453" s="14"/>
      <c r="C1453" s="14"/>
      <c r="D1453" s="14"/>
      <c r="E1453" s="14"/>
      <c r="F1453" s="14"/>
      <c r="G1453" s="14"/>
      <c r="H1453" s="14"/>
      <c r="I1453" s="14"/>
      <c r="J1453" s="14"/>
      <c r="K1453" s="14"/>
      <c r="L1453" s="14"/>
      <c r="M1453" s="14"/>
      <c r="N1453" s="14"/>
      <c r="O1453" s="14"/>
      <c r="P1453" s="14"/>
      <c r="Q1453" s="14"/>
    </row>
    <row r="1454" spans="2:17" x14ac:dyDescent="0.2">
      <c r="B1454" s="14"/>
      <c r="C1454" s="14"/>
      <c r="D1454" s="14"/>
      <c r="E1454" s="14"/>
      <c r="F1454" s="14"/>
      <c r="G1454" s="14"/>
      <c r="H1454" s="14"/>
      <c r="I1454" s="14"/>
      <c r="J1454" s="14"/>
      <c r="K1454" s="14"/>
      <c r="L1454" s="14"/>
      <c r="M1454" s="14"/>
      <c r="N1454" s="14"/>
      <c r="O1454" s="14"/>
      <c r="P1454" s="14"/>
      <c r="Q1454" s="14"/>
    </row>
    <row r="1455" spans="2:17" x14ac:dyDescent="0.2">
      <c r="B1455" s="14"/>
      <c r="C1455" s="14"/>
      <c r="D1455" s="14"/>
      <c r="E1455" s="14"/>
      <c r="F1455" s="14"/>
      <c r="G1455" s="14"/>
      <c r="H1455" s="14"/>
      <c r="I1455" s="14"/>
      <c r="J1455" s="14"/>
      <c r="K1455" s="14"/>
      <c r="L1455" s="14"/>
      <c r="M1455" s="14"/>
      <c r="N1455" s="14"/>
      <c r="O1455" s="14"/>
      <c r="P1455" s="14"/>
      <c r="Q1455" s="14"/>
    </row>
    <row r="1456" spans="2:17" x14ac:dyDescent="0.2">
      <c r="B1456" s="14"/>
      <c r="C1456" s="14"/>
      <c r="D1456" s="14"/>
      <c r="E1456" s="14"/>
      <c r="F1456" s="14"/>
      <c r="G1456" s="14"/>
      <c r="H1456" s="14"/>
      <c r="I1456" s="14"/>
      <c r="J1456" s="14"/>
      <c r="K1456" s="14"/>
      <c r="L1456" s="14"/>
      <c r="M1456" s="14"/>
      <c r="N1456" s="14"/>
      <c r="O1456" s="14"/>
      <c r="P1456" s="14"/>
      <c r="Q1456" s="14"/>
    </row>
    <row r="1457" spans="2:17" x14ac:dyDescent="0.2">
      <c r="B1457" s="14"/>
      <c r="C1457" s="14"/>
      <c r="D1457" s="14"/>
      <c r="E1457" s="14"/>
      <c r="F1457" s="14"/>
      <c r="G1457" s="14"/>
      <c r="H1457" s="14"/>
      <c r="I1457" s="14"/>
      <c r="J1457" s="14"/>
      <c r="K1457" s="14"/>
      <c r="L1457" s="14"/>
      <c r="M1457" s="14"/>
      <c r="N1457" s="14"/>
      <c r="O1457" s="14"/>
      <c r="P1457" s="14"/>
      <c r="Q1457" s="14"/>
    </row>
    <row r="1458" spans="2:17" x14ac:dyDescent="0.2">
      <c r="B1458" s="14"/>
      <c r="C1458" s="14"/>
      <c r="D1458" s="14"/>
      <c r="E1458" s="14"/>
      <c r="F1458" s="14"/>
      <c r="G1458" s="14"/>
      <c r="H1458" s="14"/>
      <c r="I1458" s="14"/>
      <c r="J1458" s="14"/>
      <c r="K1458" s="14"/>
      <c r="L1458" s="14"/>
      <c r="M1458" s="14"/>
      <c r="N1458" s="14"/>
      <c r="O1458" s="14"/>
      <c r="P1458" s="14"/>
      <c r="Q1458" s="14"/>
    </row>
    <row r="1459" spans="2:17" x14ac:dyDescent="0.2">
      <c r="B1459" s="14"/>
      <c r="C1459" s="14"/>
      <c r="D1459" s="14"/>
      <c r="E1459" s="14"/>
      <c r="F1459" s="14"/>
      <c r="G1459" s="14"/>
      <c r="H1459" s="14"/>
      <c r="I1459" s="14"/>
      <c r="J1459" s="14"/>
      <c r="K1459" s="14"/>
      <c r="L1459" s="14"/>
      <c r="M1459" s="14"/>
      <c r="N1459" s="14"/>
      <c r="O1459" s="14"/>
      <c r="P1459" s="14"/>
      <c r="Q1459" s="14"/>
    </row>
    <row r="1460" spans="2:17" x14ac:dyDescent="0.2">
      <c r="B1460" s="14"/>
      <c r="C1460" s="14"/>
      <c r="D1460" s="14"/>
      <c r="E1460" s="14"/>
      <c r="F1460" s="14"/>
      <c r="G1460" s="14"/>
      <c r="H1460" s="14"/>
      <c r="I1460" s="14"/>
      <c r="J1460" s="14"/>
      <c r="K1460" s="14"/>
      <c r="L1460" s="14"/>
      <c r="M1460" s="14"/>
      <c r="N1460" s="14"/>
      <c r="O1460" s="14"/>
      <c r="P1460" s="14"/>
      <c r="Q1460" s="14"/>
    </row>
    <row r="1461" spans="2:17" x14ac:dyDescent="0.2">
      <c r="B1461" s="14"/>
      <c r="C1461" s="14"/>
      <c r="D1461" s="14"/>
      <c r="E1461" s="14"/>
      <c r="F1461" s="14"/>
      <c r="G1461" s="14"/>
      <c r="H1461" s="14"/>
      <c r="I1461" s="14"/>
      <c r="J1461" s="14"/>
      <c r="K1461" s="14"/>
      <c r="L1461" s="14"/>
      <c r="M1461" s="14"/>
      <c r="N1461" s="14"/>
      <c r="O1461" s="14"/>
      <c r="P1461" s="14"/>
      <c r="Q1461" s="14"/>
    </row>
    <row r="1462" spans="2:17" x14ac:dyDescent="0.2">
      <c r="B1462" s="14"/>
      <c r="C1462" s="14"/>
      <c r="D1462" s="14"/>
      <c r="E1462" s="14"/>
      <c r="F1462" s="14"/>
      <c r="G1462" s="14"/>
      <c r="H1462" s="14"/>
      <c r="I1462" s="14"/>
      <c r="J1462" s="14"/>
      <c r="K1462" s="14"/>
      <c r="L1462" s="14"/>
      <c r="M1462" s="14"/>
      <c r="N1462" s="14"/>
      <c r="O1462" s="14"/>
      <c r="P1462" s="14"/>
      <c r="Q1462" s="14"/>
    </row>
    <row r="1463" spans="2:17" x14ac:dyDescent="0.2">
      <c r="B1463" s="14"/>
      <c r="C1463" s="14"/>
      <c r="D1463" s="14"/>
      <c r="E1463" s="14"/>
      <c r="F1463" s="14"/>
      <c r="G1463" s="14"/>
      <c r="H1463" s="14"/>
      <c r="I1463" s="14"/>
      <c r="J1463" s="14"/>
      <c r="K1463" s="14"/>
      <c r="L1463" s="14"/>
      <c r="M1463" s="14"/>
      <c r="N1463" s="14"/>
      <c r="O1463" s="14"/>
      <c r="P1463" s="14"/>
      <c r="Q1463" s="14"/>
    </row>
    <row r="1464" spans="2:17" x14ac:dyDescent="0.2">
      <c r="B1464" s="14"/>
      <c r="C1464" s="14"/>
      <c r="D1464" s="14"/>
      <c r="E1464" s="14"/>
      <c r="F1464" s="14"/>
      <c r="G1464" s="14"/>
      <c r="H1464" s="14"/>
      <c r="I1464" s="14"/>
      <c r="J1464" s="14"/>
      <c r="K1464" s="14"/>
      <c r="L1464" s="14"/>
      <c r="M1464" s="14"/>
      <c r="N1464" s="14"/>
      <c r="O1464" s="14"/>
      <c r="P1464" s="14"/>
      <c r="Q1464" s="14"/>
    </row>
    <row r="1465" spans="2:17" x14ac:dyDescent="0.2">
      <c r="B1465" s="14"/>
      <c r="C1465" s="14"/>
      <c r="D1465" s="14"/>
      <c r="E1465" s="14"/>
      <c r="F1465" s="14"/>
      <c r="G1465" s="14"/>
      <c r="H1465" s="14"/>
      <c r="I1465" s="14"/>
      <c r="J1465" s="14"/>
      <c r="K1465" s="14"/>
      <c r="L1465" s="14"/>
      <c r="M1465" s="14"/>
      <c r="N1465" s="14"/>
      <c r="O1465" s="14"/>
      <c r="P1465" s="14"/>
      <c r="Q1465" s="14"/>
    </row>
    <row r="1466" spans="2:17" x14ac:dyDescent="0.2">
      <c r="B1466" s="14"/>
      <c r="C1466" s="14"/>
      <c r="D1466" s="14"/>
      <c r="E1466" s="14"/>
      <c r="F1466" s="14"/>
      <c r="G1466" s="14"/>
      <c r="H1466" s="14"/>
      <c r="I1466" s="14"/>
      <c r="J1466" s="14"/>
      <c r="K1466" s="14"/>
      <c r="L1466" s="14"/>
      <c r="M1466" s="14"/>
      <c r="N1466" s="14"/>
      <c r="O1466" s="14"/>
      <c r="P1466" s="14"/>
      <c r="Q1466" s="14"/>
    </row>
    <row r="1467" spans="2:17" x14ac:dyDescent="0.2">
      <c r="B1467" s="14"/>
      <c r="C1467" s="14"/>
      <c r="D1467" s="14"/>
      <c r="E1467" s="14"/>
      <c r="F1467" s="14"/>
      <c r="G1467" s="14"/>
      <c r="H1467" s="14"/>
      <c r="I1467" s="14"/>
      <c r="J1467" s="14"/>
      <c r="K1467" s="14"/>
      <c r="L1467" s="14"/>
      <c r="M1467" s="14"/>
      <c r="N1467" s="14"/>
      <c r="O1467" s="14"/>
      <c r="P1467" s="14"/>
      <c r="Q1467" s="14"/>
    </row>
    <row r="1468" spans="2:17" x14ac:dyDescent="0.2">
      <c r="B1468" s="14"/>
      <c r="C1468" s="14"/>
      <c r="D1468" s="14"/>
      <c r="E1468" s="14"/>
      <c r="F1468" s="14"/>
      <c r="G1468" s="14"/>
      <c r="H1468" s="14"/>
      <c r="I1468" s="14"/>
      <c r="J1468" s="14"/>
      <c r="K1468" s="14"/>
      <c r="L1468" s="14"/>
      <c r="M1468" s="14"/>
      <c r="N1468" s="14"/>
      <c r="O1468" s="14"/>
      <c r="P1468" s="14"/>
      <c r="Q1468" s="14"/>
    </row>
    <row r="1469" spans="2:17" x14ac:dyDescent="0.2">
      <c r="B1469" s="14"/>
      <c r="C1469" s="14"/>
      <c r="D1469" s="14"/>
      <c r="E1469" s="14"/>
      <c r="F1469" s="14"/>
      <c r="G1469" s="14"/>
      <c r="H1469" s="14"/>
      <c r="I1469" s="14"/>
      <c r="J1469" s="14"/>
      <c r="K1469" s="14"/>
      <c r="L1469" s="14"/>
      <c r="M1469" s="14"/>
      <c r="N1469" s="14"/>
      <c r="O1469" s="14"/>
      <c r="P1469" s="14"/>
      <c r="Q1469" s="14"/>
    </row>
    <row r="1470" spans="2:17" x14ac:dyDescent="0.2">
      <c r="B1470" s="14"/>
      <c r="C1470" s="14"/>
      <c r="D1470" s="14"/>
      <c r="E1470" s="14"/>
      <c r="F1470" s="14"/>
      <c r="G1470" s="14"/>
      <c r="H1470" s="14"/>
      <c r="I1470" s="14"/>
      <c r="J1470" s="14"/>
      <c r="K1470" s="14"/>
      <c r="L1470" s="14"/>
      <c r="M1470" s="14"/>
      <c r="N1470" s="14"/>
      <c r="O1470" s="14"/>
      <c r="P1470" s="14"/>
      <c r="Q1470" s="14"/>
    </row>
    <row r="1471" spans="2:17" x14ac:dyDescent="0.2">
      <c r="B1471" s="14"/>
      <c r="C1471" s="14"/>
      <c r="D1471" s="14"/>
      <c r="E1471" s="14"/>
      <c r="F1471" s="14"/>
      <c r="G1471" s="14"/>
      <c r="H1471" s="14"/>
      <c r="I1471" s="14"/>
      <c r="J1471" s="14"/>
      <c r="K1471" s="14"/>
      <c r="L1471" s="14"/>
      <c r="M1471" s="14"/>
      <c r="N1471" s="14"/>
      <c r="O1471" s="14"/>
      <c r="P1471" s="14"/>
      <c r="Q1471" s="14"/>
    </row>
    <row r="1472" spans="2:17" x14ac:dyDescent="0.2">
      <c r="B1472" s="14"/>
      <c r="C1472" s="14"/>
      <c r="D1472" s="14"/>
      <c r="E1472" s="14"/>
      <c r="F1472" s="14"/>
      <c r="G1472" s="14"/>
      <c r="H1472" s="14"/>
      <c r="I1472" s="14"/>
      <c r="J1472" s="14"/>
      <c r="K1472" s="14"/>
      <c r="L1472" s="14"/>
      <c r="M1472" s="14"/>
      <c r="N1472" s="14"/>
      <c r="O1472" s="14"/>
      <c r="P1472" s="14"/>
      <c r="Q1472" s="14"/>
    </row>
    <row r="1473" spans="2:17" x14ac:dyDescent="0.2">
      <c r="B1473" s="14"/>
      <c r="C1473" s="14"/>
      <c r="D1473" s="14"/>
      <c r="E1473" s="14"/>
      <c r="F1473" s="14"/>
      <c r="G1473" s="14"/>
      <c r="H1473" s="14"/>
      <c r="I1473" s="14"/>
      <c r="J1473" s="14"/>
      <c r="K1473" s="14"/>
      <c r="L1473" s="14"/>
      <c r="M1473" s="14"/>
      <c r="N1473" s="14"/>
      <c r="O1473" s="14"/>
      <c r="P1473" s="14"/>
      <c r="Q1473" s="14"/>
    </row>
    <row r="1474" spans="2:17" x14ac:dyDescent="0.2">
      <c r="B1474" s="14"/>
      <c r="C1474" s="14"/>
      <c r="D1474" s="14"/>
      <c r="E1474" s="14"/>
      <c r="F1474" s="14"/>
      <c r="G1474" s="14"/>
      <c r="H1474" s="14"/>
      <c r="I1474" s="14"/>
      <c r="J1474" s="14"/>
      <c r="K1474" s="14"/>
      <c r="L1474" s="14"/>
      <c r="M1474" s="14"/>
      <c r="N1474" s="14"/>
      <c r="O1474" s="14"/>
      <c r="P1474" s="14"/>
      <c r="Q1474" s="14"/>
    </row>
    <row r="1475" spans="2:17" x14ac:dyDescent="0.2">
      <c r="B1475" s="14"/>
      <c r="C1475" s="14"/>
      <c r="D1475" s="14"/>
      <c r="E1475" s="14"/>
      <c r="F1475" s="14"/>
      <c r="G1475" s="14"/>
      <c r="H1475" s="14"/>
      <c r="I1475" s="14"/>
      <c r="J1475" s="14"/>
      <c r="K1475" s="14"/>
      <c r="L1475" s="14"/>
      <c r="M1475" s="14"/>
      <c r="N1475" s="14"/>
      <c r="O1475" s="14"/>
      <c r="P1475" s="14"/>
      <c r="Q1475" s="14"/>
    </row>
    <row r="1476" spans="2:17" x14ac:dyDescent="0.2">
      <c r="B1476" s="14"/>
      <c r="C1476" s="14"/>
      <c r="D1476" s="14"/>
      <c r="E1476" s="14"/>
      <c r="F1476" s="14"/>
      <c r="G1476" s="14"/>
      <c r="H1476" s="14"/>
      <c r="I1476" s="14"/>
      <c r="J1476" s="14"/>
      <c r="K1476" s="14"/>
      <c r="L1476" s="14"/>
      <c r="M1476" s="14"/>
      <c r="N1476" s="14"/>
      <c r="O1476" s="14"/>
      <c r="P1476" s="14"/>
      <c r="Q1476" s="14"/>
    </row>
    <row r="1477" spans="2:17" x14ac:dyDescent="0.2">
      <c r="B1477" s="14"/>
      <c r="C1477" s="14"/>
      <c r="D1477" s="14"/>
      <c r="E1477" s="14"/>
      <c r="F1477" s="14"/>
      <c r="G1477" s="14"/>
      <c r="H1477" s="14"/>
      <c r="I1477" s="14"/>
      <c r="J1477" s="14"/>
      <c r="K1477" s="14"/>
      <c r="L1477" s="14"/>
      <c r="M1477" s="14"/>
      <c r="N1477" s="14"/>
      <c r="O1477" s="14"/>
      <c r="P1477" s="14"/>
      <c r="Q1477" s="14"/>
    </row>
    <row r="1478" spans="2:17" x14ac:dyDescent="0.2">
      <c r="B1478" s="14"/>
      <c r="C1478" s="14"/>
      <c r="D1478" s="14"/>
      <c r="E1478" s="14"/>
      <c r="F1478" s="14"/>
      <c r="G1478" s="14"/>
      <c r="H1478" s="14"/>
      <c r="I1478" s="14"/>
      <c r="J1478" s="14"/>
      <c r="K1478" s="14"/>
      <c r="L1478" s="14"/>
      <c r="M1478" s="14"/>
      <c r="N1478" s="14"/>
      <c r="O1478" s="14"/>
      <c r="P1478" s="14"/>
      <c r="Q1478" s="14"/>
    </row>
    <row r="1479" spans="2:17" x14ac:dyDescent="0.2">
      <c r="B1479" s="14"/>
      <c r="C1479" s="14"/>
      <c r="D1479" s="14"/>
      <c r="E1479" s="14"/>
      <c r="F1479" s="14"/>
      <c r="G1479" s="14"/>
      <c r="H1479" s="14"/>
      <c r="I1479" s="14"/>
      <c r="J1479" s="14"/>
      <c r="K1479" s="14"/>
      <c r="L1479" s="14"/>
      <c r="M1479" s="14"/>
      <c r="N1479" s="14"/>
      <c r="O1479" s="14"/>
      <c r="P1479" s="14"/>
      <c r="Q1479" s="14"/>
    </row>
    <row r="1480" spans="2:17" x14ac:dyDescent="0.2">
      <c r="B1480" s="14"/>
      <c r="C1480" s="14"/>
      <c r="D1480" s="14"/>
      <c r="E1480" s="14"/>
      <c r="F1480" s="14"/>
      <c r="G1480" s="14"/>
      <c r="H1480" s="14"/>
      <c r="I1480" s="14"/>
      <c r="J1480" s="14"/>
      <c r="K1480" s="14"/>
      <c r="L1480" s="14"/>
      <c r="M1480" s="14"/>
      <c r="N1480" s="14"/>
      <c r="O1480" s="14"/>
      <c r="P1480" s="14"/>
      <c r="Q1480" s="14"/>
    </row>
    <row r="1481" spans="2:17" x14ac:dyDescent="0.2">
      <c r="B1481" s="14"/>
      <c r="C1481" s="14"/>
      <c r="D1481" s="14"/>
      <c r="E1481" s="14"/>
      <c r="F1481" s="14"/>
      <c r="G1481" s="14"/>
      <c r="H1481" s="14"/>
      <c r="I1481" s="14"/>
      <c r="J1481" s="14"/>
      <c r="K1481" s="14"/>
      <c r="L1481" s="14"/>
      <c r="M1481" s="14"/>
      <c r="N1481" s="14"/>
      <c r="O1481" s="14"/>
      <c r="P1481" s="14"/>
      <c r="Q1481" s="14"/>
    </row>
    <row r="1482" spans="2:17" x14ac:dyDescent="0.2">
      <c r="B1482" s="14"/>
      <c r="C1482" s="14"/>
      <c r="D1482" s="14"/>
      <c r="E1482" s="14"/>
      <c r="F1482" s="14"/>
      <c r="G1482" s="14"/>
      <c r="H1482" s="14"/>
      <c r="I1482" s="14"/>
      <c r="J1482" s="14"/>
      <c r="K1482" s="14"/>
      <c r="L1482" s="14"/>
      <c r="M1482" s="14"/>
      <c r="N1482" s="14"/>
      <c r="O1482" s="14"/>
      <c r="P1482" s="14"/>
      <c r="Q1482" s="14"/>
    </row>
    <row r="1483" spans="2:17" x14ac:dyDescent="0.2">
      <c r="B1483" s="14"/>
      <c r="C1483" s="14"/>
      <c r="D1483" s="14"/>
      <c r="E1483" s="14"/>
      <c r="F1483" s="14"/>
      <c r="G1483" s="14"/>
      <c r="H1483" s="14"/>
      <c r="I1483" s="14"/>
      <c r="J1483" s="14"/>
      <c r="K1483" s="14"/>
      <c r="L1483" s="14"/>
      <c r="M1483" s="14"/>
      <c r="N1483" s="14"/>
      <c r="O1483" s="14"/>
      <c r="P1483" s="14"/>
      <c r="Q1483" s="14"/>
    </row>
    <row r="1484" spans="2:17" x14ac:dyDescent="0.2">
      <c r="B1484" s="14"/>
      <c r="C1484" s="14"/>
      <c r="D1484" s="14"/>
      <c r="E1484" s="14"/>
      <c r="F1484" s="14"/>
      <c r="G1484" s="14"/>
      <c r="H1484" s="14"/>
      <c r="I1484" s="14"/>
      <c r="J1484" s="14"/>
      <c r="K1484" s="14"/>
      <c r="L1484" s="14"/>
      <c r="M1484" s="14"/>
      <c r="N1484" s="14"/>
      <c r="O1484" s="14"/>
      <c r="P1484" s="14"/>
      <c r="Q1484" s="14"/>
    </row>
    <row r="1485" spans="2:17" x14ac:dyDescent="0.2">
      <c r="B1485" s="14"/>
      <c r="C1485" s="14"/>
      <c r="D1485" s="14"/>
      <c r="E1485" s="14"/>
      <c r="F1485" s="14"/>
      <c r="G1485" s="14"/>
      <c r="H1485" s="14"/>
      <c r="I1485" s="14"/>
      <c r="J1485" s="14"/>
      <c r="K1485" s="14"/>
      <c r="L1485" s="14"/>
      <c r="M1485" s="14"/>
      <c r="N1485" s="14"/>
      <c r="O1485" s="14"/>
      <c r="P1485" s="14"/>
      <c r="Q1485" s="14"/>
    </row>
    <row r="1486" spans="2:17" x14ac:dyDescent="0.2">
      <c r="B1486" s="14"/>
      <c r="C1486" s="14"/>
      <c r="D1486" s="14"/>
      <c r="E1486" s="14"/>
      <c r="F1486" s="14"/>
      <c r="G1486" s="14"/>
      <c r="H1486" s="14"/>
      <c r="I1486" s="14"/>
      <c r="J1486" s="14"/>
      <c r="K1486" s="14"/>
      <c r="L1486" s="14"/>
      <c r="M1486" s="14"/>
      <c r="N1486" s="14"/>
      <c r="O1486" s="14"/>
      <c r="P1486" s="14"/>
      <c r="Q1486" s="14"/>
    </row>
    <row r="1487" spans="2:17" x14ac:dyDescent="0.2">
      <c r="B1487" s="14"/>
      <c r="C1487" s="14"/>
      <c r="D1487" s="14"/>
      <c r="E1487" s="14"/>
      <c r="F1487" s="14"/>
      <c r="G1487" s="14"/>
      <c r="H1487" s="14"/>
      <c r="I1487" s="14"/>
      <c r="J1487" s="14"/>
      <c r="K1487" s="14"/>
      <c r="L1487" s="14"/>
      <c r="M1487" s="14"/>
      <c r="N1487" s="14"/>
      <c r="O1487" s="14"/>
      <c r="P1487" s="14"/>
      <c r="Q1487" s="14"/>
    </row>
    <row r="1488" spans="2:17" x14ac:dyDescent="0.2">
      <c r="B1488" s="14"/>
      <c r="C1488" s="14"/>
      <c r="D1488" s="14"/>
      <c r="E1488" s="14"/>
      <c r="F1488" s="14"/>
      <c r="G1488" s="14"/>
      <c r="H1488" s="14"/>
      <c r="I1488" s="14"/>
      <c r="J1488" s="14"/>
      <c r="K1488" s="14"/>
      <c r="L1488" s="14"/>
      <c r="M1488" s="14"/>
      <c r="N1488" s="14"/>
      <c r="O1488" s="14"/>
      <c r="P1488" s="14"/>
      <c r="Q1488" s="14"/>
    </row>
    <row r="1489" spans="2:17" x14ac:dyDescent="0.2">
      <c r="B1489" s="14"/>
      <c r="C1489" s="14"/>
      <c r="D1489" s="14"/>
      <c r="E1489" s="14"/>
      <c r="F1489" s="14"/>
      <c r="G1489" s="14"/>
      <c r="H1489" s="14"/>
      <c r="I1489" s="14"/>
      <c r="J1489" s="14"/>
      <c r="K1489" s="14"/>
      <c r="L1489" s="14"/>
      <c r="M1489" s="14"/>
      <c r="N1489" s="14"/>
      <c r="O1489" s="14"/>
      <c r="P1489" s="14"/>
      <c r="Q1489" s="14"/>
    </row>
  </sheetData>
  <mergeCells count="15">
    <mergeCell ref="P7:Q8"/>
    <mergeCell ref="B1:P1"/>
    <mergeCell ref="B2:P2"/>
    <mergeCell ref="B7:B8"/>
    <mergeCell ref="C7:C8"/>
    <mergeCell ref="D7:D8"/>
    <mergeCell ref="E7:E8"/>
    <mergeCell ref="F7:G7"/>
    <mergeCell ref="H7:H8"/>
    <mergeCell ref="I7:I8"/>
    <mergeCell ref="J7:K7"/>
    <mergeCell ref="L7:L8"/>
    <mergeCell ref="M7:M8"/>
    <mergeCell ref="N7:N8"/>
    <mergeCell ref="O7:O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9"/>
  <sheetViews>
    <sheetView topLeftCell="A13" workbookViewId="0">
      <selection activeCell="F19" sqref="F19"/>
    </sheetView>
  </sheetViews>
  <sheetFormatPr defaultRowHeight="12.75" x14ac:dyDescent="0.2"/>
  <cols>
    <col min="1" max="1" width="4.28515625" customWidth="1"/>
    <col min="2" max="2" width="25.5703125" bestFit="1" customWidth="1"/>
    <col min="3" max="3" width="4.5703125" customWidth="1"/>
    <col min="4" max="4" width="23.28515625" bestFit="1" customWidth="1"/>
    <col min="5" max="5" width="4.5703125" customWidth="1"/>
    <col min="6" max="6" width="18.42578125" customWidth="1"/>
    <col min="7" max="7" width="4.85546875" customWidth="1"/>
    <col min="8" max="8" width="24.28515625" customWidth="1"/>
    <col min="9" max="9" width="5.140625" customWidth="1"/>
    <col min="10" max="10" width="47.85546875" customWidth="1"/>
  </cols>
  <sheetData>
    <row r="1" spans="1:15" ht="30.75" customHeight="1" x14ac:dyDescent="0.2">
      <c r="A1" s="31"/>
      <c r="B1" s="29" t="s">
        <v>33</v>
      </c>
      <c r="C1" s="29"/>
      <c r="D1" s="29" t="s">
        <v>50</v>
      </c>
      <c r="E1" s="29"/>
      <c r="F1" s="30" t="s">
        <v>67</v>
      </c>
      <c r="G1" s="31"/>
      <c r="H1" s="31" t="s">
        <v>75</v>
      </c>
      <c r="I1" s="31"/>
      <c r="J1" s="31" t="s">
        <v>82</v>
      </c>
      <c r="K1" s="31"/>
      <c r="L1" s="31"/>
      <c r="M1" s="31"/>
      <c r="N1" s="31"/>
      <c r="O1" s="31"/>
    </row>
    <row r="2" spans="1:15" x14ac:dyDescent="0.2">
      <c r="A2">
        <v>1</v>
      </c>
      <c r="B2" s="28" t="s">
        <v>39</v>
      </c>
      <c r="C2" s="10">
        <v>1</v>
      </c>
      <c r="D2" s="28" t="s">
        <v>51</v>
      </c>
      <c r="E2" s="10">
        <v>1</v>
      </c>
      <c r="F2" t="s">
        <v>68</v>
      </c>
      <c r="G2">
        <v>1</v>
      </c>
      <c r="H2" s="19" t="s">
        <v>76</v>
      </c>
      <c r="I2">
        <v>1</v>
      </c>
      <c r="J2" s="19" t="s">
        <v>83</v>
      </c>
    </row>
    <row r="3" spans="1:15" x14ac:dyDescent="0.2">
      <c r="A3">
        <v>2</v>
      </c>
      <c r="B3" s="28" t="s">
        <v>40</v>
      </c>
      <c r="C3" s="10">
        <v>2</v>
      </c>
      <c r="D3" s="28" t="s">
        <v>52</v>
      </c>
      <c r="E3" s="10">
        <v>2</v>
      </c>
      <c r="F3" t="s">
        <v>69</v>
      </c>
      <c r="G3">
        <v>2</v>
      </c>
      <c r="H3" s="19" t="s">
        <v>77</v>
      </c>
      <c r="I3">
        <v>2</v>
      </c>
      <c r="J3" s="19" t="s">
        <v>84</v>
      </c>
    </row>
    <row r="4" spans="1:15" x14ac:dyDescent="0.2">
      <c r="A4">
        <v>3</v>
      </c>
      <c r="B4" s="28" t="s">
        <v>41</v>
      </c>
      <c r="C4" s="10">
        <v>3</v>
      </c>
      <c r="D4" s="28" t="s">
        <v>53</v>
      </c>
      <c r="E4" s="10">
        <v>3</v>
      </c>
      <c r="F4" t="s">
        <v>70</v>
      </c>
      <c r="G4">
        <v>3</v>
      </c>
      <c r="H4" s="19" t="s">
        <v>78</v>
      </c>
      <c r="I4">
        <v>3</v>
      </c>
      <c r="J4" s="19" t="s">
        <v>85</v>
      </c>
    </row>
    <row r="5" spans="1:15" x14ac:dyDescent="0.2">
      <c r="A5">
        <v>4</v>
      </c>
      <c r="B5" s="28" t="s">
        <v>115</v>
      </c>
      <c r="C5" s="10">
        <v>4</v>
      </c>
      <c r="D5" s="28" t="s">
        <v>54</v>
      </c>
      <c r="E5" s="10">
        <v>4</v>
      </c>
      <c r="F5" t="s">
        <v>71</v>
      </c>
      <c r="G5">
        <v>4</v>
      </c>
      <c r="H5" s="19" t="s">
        <v>79</v>
      </c>
      <c r="I5">
        <v>4</v>
      </c>
      <c r="J5" s="32" t="s">
        <v>86</v>
      </c>
    </row>
    <row r="6" spans="1:15" x14ac:dyDescent="0.2">
      <c r="A6">
        <v>5</v>
      </c>
      <c r="B6" s="28" t="s">
        <v>42</v>
      </c>
      <c r="C6" s="10">
        <v>5</v>
      </c>
      <c r="D6" s="28" t="s">
        <v>55</v>
      </c>
      <c r="E6" s="10">
        <v>5</v>
      </c>
      <c r="F6" t="s">
        <v>72</v>
      </c>
      <c r="G6">
        <v>5</v>
      </c>
      <c r="H6" s="19" t="s">
        <v>80</v>
      </c>
      <c r="I6">
        <v>5</v>
      </c>
      <c r="J6" s="19" t="s">
        <v>87</v>
      </c>
    </row>
    <row r="7" spans="1:15" x14ac:dyDescent="0.2">
      <c r="A7">
        <v>6</v>
      </c>
      <c r="B7" s="28" t="s">
        <v>43</v>
      </c>
      <c r="C7" s="10">
        <v>6</v>
      </c>
      <c r="D7" s="28" t="s">
        <v>56</v>
      </c>
      <c r="E7" s="10">
        <v>6</v>
      </c>
      <c r="F7" t="s">
        <v>73</v>
      </c>
      <c r="G7">
        <v>6</v>
      </c>
      <c r="H7" s="19" t="s">
        <v>81</v>
      </c>
      <c r="I7">
        <v>6</v>
      </c>
      <c r="J7" s="19" t="s">
        <v>88</v>
      </c>
    </row>
    <row r="8" spans="1:15" x14ac:dyDescent="0.2">
      <c r="A8">
        <v>7</v>
      </c>
      <c r="B8" s="28" t="s">
        <v>44</v>
      </c>
      <c r="C8" s="10">
        <v>7</v>
      </c>
      <c r="D8" s="28" t="s">
        <v>57</v>
      </c>
      <c r="E8" s="10">
        <v>7</v>
      </c>
      <c r="F8" t="s">
        <v>55</v>
      </c>
      <c r="I8">
        <v>7</v>
      </c>
      <c r="J8" s="19" t="s">
        <v>89</v>
      </c>
    </row>
    <row r="9" spans="1:15" x14ac:dyDescent="0.2">
      <c r="A9">
        <v>8</v>
      </c>
      <c r="B9" s="28" t="s">
        <v>45</v>
      </c>
      <c r="C9" s="10">
        <v>8</v>
      </c>
      <c r="D9" s="28" t="s">
        <v>58</v>
      </c>
      <c r="E9" s="10">
        <v>8</v>
      </c>
      <c r="F9" t="s">
        <v>74</v>
      </c>
      <c r="I9">
        <v>8</v>
      </c>
      <c r="J9" s="19" t="s">
        <v>90</v>
      </c>
    </row>
    <row r="10" spans="1:15" x14ac:dyDescent="0.2">
      <c r="A10">
        <v>9</v>
      </c>
      <c r="B10" s="28" t="s">
        <v>46</v>
      </c>
      <c r="C10" s="10">
        <v>9</v>
      </c>
      <c r="D10" s="28" t="s">
        <v>59</v>
      </c>
      <c r="E10" s="10"/>
      <c r="I10">
        <v>9</v>
      </c>
      <c r="J10" s="19" t="s">
        <v>91</v>
      </c>
    </row>
    <row r="11" spans="1:15" x14ac:dyDescent="0.2">
      <c r="A11">
        <v>10</v>
      </c>
      <c r="B11" s="28" t="s">
        <v>47</v>
      </c>
      <c r="C11" s="10">
        <v>10</v>
      </c>
      <c r="D11" s="28" t="s">
        <v>60</v>
      </c>
      <c r="E11" s="10"/>
      <c r="I11">
        <v>10</v>
      </c>
      <c r="J11" s="32" t="s">
        <v>92</v>
      </c>
    </row>
    <row r="12" spans="1:15" x14ac:dyDescent="0.2">
      <c r="A12">
        <v>11</v>
      </c>
      <c r="B12" s="28" t="s">
        <v>49</v>
      </c>
      <c r="C12" s="10">
        <v>11</v>
      </c>
      <c r="D12" s="28" t="s">
        <v>61</v>
      </c>
      <c r="E12" s="10"/>
      <c r="I12">
        <v>11</v>
      </c>
      <c r="J12" s="19" t="s">
        <v>93</v>
      </c>
    </row>
    <row r="13" spans="1:15" x14ac:dyDescent="0.2">
      <c r="A13">
        <v>12</v>
      </c>
      <c r="B13" s="28" t="s">
        <v>48</v>
      </c>
      <c r="C13" s="10">
        <v>12</v>
      </c>
      <c r="D13" s="28" t="s">
        <v>62</v>
      </c>
      <c r="E13" s="10"/>
      <c r="I13">
        <v>12</v>
      </c>
      <c r="J13" s="19" t="s">
        <v>94</v>
      </c>
    </row>
    <row r="14" spans="1:15" x14ac:dyDescent="0.2">
      <c r="C14" s="10">
        <v>13</v>
      </c>
      <c r="D14" s="19" t="s">
        <v>63</v>
      </c>
    </row>
    <row r="15" spans="1:15" x14ac:dyDescent="0.2">
      <c r="B15" s="1"/>
      <c r="C15" s="10">
        <v>14</v>
      </c>
      <c r="D15" s="19" t="s">
        <v>64</v>
      </c>
    </row>
    <row r="16" spans="1:15" x14ac:dyDescent="0.2">
      <c r="A16" s="31"/>
      <c r="B16" s="29" t="s">
        <v>108</v>
      </c>
      <c r="C16" s="10">
        <v>15</v>
      </c>
      <c r="D16" s="19" t="s">
        <v>65</v>
      </c>
    </row>
    <row r="17" spans="1:6" x14ac:dyDescent="0.2">
      <c r="A17">
        <v>1</v>
      </c>
      <c r="B17" s="28" t="s">
        <v>109</v>
      </c>
      <c r="C17" s="10">
        <v>16</v>
      </c>
      <c r="D17" s="19" t="s">
        <v>66</v>
      </c>
    </row>
    <row r="18" spans="1:6" x14ac:dyDescent="0.2">
      <c r="A18">
        <v>2</v>
      </c>
      <c r="B18" s="28" t="s">
        <v>110</v>
      </c>
    </row>
    <row r="19" spans="1:6" x14ac:dyDescent="0.2">
      <c r="A19">
        <v>3</v>
      </c>
      <c r="B19" s="28" t="s">
        <v>111</v>
      </c>
      <c r="D19" s="1" t="s">
        <v>131</v>
      </c>
      <c r="F19" s="1" t="s">
        <v>144</v>
      </c>
    </row>
    <row r="20" spans="1:6" x14ac:dyDescent="0.2">
      <c r="A20">
        <v>4</v>
      </c>
      <c r="B20" s="28" t="s">
        <v>112</v>
      </c>
      <c r="C20">
        <v>1</v>
      </c>
      <c r="D20" s="19" t="s">
        <v>132</v>
      </c>
      <c r="E20">
        <v>1</v>
      </c>
      <c r="F20" s="19" t="s">
        <v>145</v>
      </c>
    </row>
    <row r="21" spans="1:6" x14ac:dyDescent="0.2">
      <c r="A21">
        <v>5</v>
      </c>
      <c r="B21" s="28" t="s">
        <v>113</v>
      </c>
      <c r="C21">
        <v>2</v>
      </c>
      <c r="D21" s="19" t="s">
        <v>133</v>
      </c>
      <c r="E21">
        <v>2</v>
      </c>
      <c r="F21" s="19" t="s">
        <v>146</v>
      </c>
    </row>
    <row r="22" spans="1:6" x14ac:dyDescent="0.2">
      <c r="C22">
        <v>3</v>
      </c>
      <c r="D22" s="19" t="s">
        <v>134</v>
      </c>
      <c r="E22">
        <v>3</v>
      </c>
      <c r="F22" s="19" t="s">
        <v>147</v>
      </c>
    </row>
    <row r="23" spans="1:6" x14ac:dyDescent="0.2">
      <c r="B23" s="29" t="s">
        <v>118</v>
      </c>
      <c r="C23">
        <v>4</v>
      </c>
      <c r="D23" s="19" t="s">
        <v>135</v>
      </c>
      <c r="E23">
        <v>4</v>
      </c>
      <c r="F23" s="19" t="s">
        <v>148</v>
      </c>
    </row>
    <row r="24" spans="1:6" x14ac:dyDescent="0.2">
      <c r="A24">
        <v>1</v>
      </c>
      <c r="B24" s="19" t="s">
        <v>120</v>
      </c>
      <c r="C24">
        <v>5</v>
      </c>
      <c r="D24" s="19" t="s">
        <v>136</v>
      </c>
      <c r="E24">
        <v>5</v>
      </c>
      <c r="F24" s="19" t="s">
        <v>149</v>
      </c>
    </row>
    <row r="25" spans="1:6" x14ac:dyDescent="0.2">
      <c r="A25">
        <v>2</v>
      </c>
      <c r="B25" s="19" t="s">
        <v>121</v>
      </c>
      <c r="C25">
        <v>6</v>
      </c>
      <c r="D25" s="19" t="s">
        <v>137</v>
      </c>
    </row>
    <row r="26" spans="1:6" x14ac:dyDescent="0.2">
      <c r="A26">
        <v>3</v>
      </c>
      <c r="B26" s="19" t="s">
        <v>122</v>
      </c>
      <c r="C26">
        <v>7</v>
      </c>
      <c r="D26" s="19" t="s">
        <v>138</v>
      </c>
    </row>
    <row r="27" spans="1:6" x14ac:dyDescent="0.2">
      <c r="A27">
        <v>4</v>
      </c>
      <c r="B27" s="19" t="s">
        <v>123</v>
      </c>
      <c r="C27">
        <v>8</v>
      </c>
      <c r="D27" s="19" t="s">
        <v>139</v>
      </c>
    </row>
    <row r="28" spans="1:6" x14ac:dyDescent="0.2">
      <c r="A28">
        <v>5</v>
      </c>
      <c r="B28" s="19" t="s">
        <v>124</v>
      </c>
      <c r="C28">
        <v>9</v>
      </c>
      <c r="D28" s="19" t="s">
        <v>140</v>
      </c>
    </row>
    <row r="29" spans="1:6" x14ac:dyDescent="0.2">
      <c r="A29">
        <v>6</v>
      </c>
      <c r="B29" s="19" t="s">
        <v>125</v>
      </c>
      <c r="C29">
        <v>10</v>
      </c>
      <c r="D29" s="19" t="s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ENTEBBE</vt:lpstr>
      <vt:lpstr>RSI FORM</vt:lpstr>
      <vt:lpstr>Key</vt:lpstr>
      <vt:lpstr>Veh_Type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steward consultancy</dc:creator>
  <cp:lastModifiedBy>K-BENZ</cp:lastModifiedBy>
  <cp:lastPrinted>2019-07-30T09:53:06Z</cp:lastPrinted>
  <dcterms:created xsi:type="dcterms:W3CDTF">2010-10-20T14:55:17Z</dcterms:created>
  <dcterms:modified xsi:type="dcterms:W3CDTF">2020-01-30T13:17:19Z</dcterms:modified>
</cp:coreProperties>
</file>