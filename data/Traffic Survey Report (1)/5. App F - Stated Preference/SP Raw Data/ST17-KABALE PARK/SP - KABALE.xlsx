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3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ING FOLDER\Steward Consultant\SP-DATA\Report\SP-DATA\ST17-KABALE PARK\"/>
    </mc:Choice>
  </mc:AlternateContent>
  <xr:revisionPtr revIDLastSave="0" documentId="13_ncr:1_{2EF7E5D2-F784-4B9A-BF99-B45427CB3BDC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KABALE" sheetId="3" r:id="rId1"/>
    <sheet name="RSI FORM" sheetId="4" state="hidden" r:id="rId2"/>
    <sheet name="Key" sheetId="5" r:id="rId3"/>
  </sheets>
  <definedNames>
    <definedName name="_xlnm._FilterDatabase" localSheetId="0" hidden="1">KABALE!$C$8:$AM$104</definedName>
    <definedName name="Veh_Type">KABALE!$H$8:$H$245</definedName>
    <definedName name="zones">#REF!</definedName>
    <definedName name="Zones_Ndeke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10" i="3" l="1"/>
  <c r="P309" i="3" s="1"/>
  <c r="J310" i="3"/>
  <c r="O310" i="3" s="1"/>
  <c r="L309" i="3"/>
  <c r="L308" i="3"/>
  <c r="L307" i="3"/>
  <c r="L306" i="3"/>
  <c r="L305" i="3"/>
  <c r="L304" i="3"/>
  <c r="O308" i="3" l="1"/>
  <c r="O307" i="3"/>
  <c r="O309" i="3"/>
  <c r="O306" i="3"/>
  <c r="P306" i="3"/>
  <c r="P305" i="3"/>
  <c r="P304" i="3"/>
  <c r="P308" i="3"/>
  <c r="P307" i="3"/>
  <c r="O305" i="3"/>
  <c r="O304" i="3"/>
  <c r="P310" i="3"/>
  <c r="L310" i="3"/>
  <c r="Q308" i="3" s="1"/>
  <c r="L300" i="3"/>
  <c r="Q305" i="3" l="1"/>
  <c r="Q310" i="3"/>
  <c r="Q307" i="3"/>
  <c r="Q309" i="3"/>
  <c r="Q304" i="3"/>
  <c r="Q306" i="3"/>
  <c r="L299" i="3"/>
  <c r="L298" i="3"/>
  <c r="L297" i="3"/>
  <c r="L296" i="3"/>
  <c r="M296" i="3" s="1"/>
  <c r="L295" i="3"/>
  <c r="N295" i="3" s="1"/>
  <c r="L294" i="3"/>
  <c r="M294" i="3" s="1"/>
  <c r="L293" i="3"/>
  <c r="N293" i="3" s="1"/>
  <c r="L292" i="3"/>
  <c r="L291" i="3"/>
  <c r="N291" i="3" s="1"/>
  <c r="L290" i="3"/>
  <c r="M290" i="3" s="1"/>
  <c r="L289" i="3"/>
  <c r="M289" i="3" s="1"/>
  <c r="L288" i="3"/>
  <c r="N288" i="3" s="1"/>
  <c r="M295" i="3" l="1"/>
  <c r="N289" i="3"/>
  <c r="N296" i="3"/>
  <c r="N290" i="3"/>
  <c r="M293" i="3"/>
  <c r="M288" i="3"/>
  <c r="M291" i="3"/>
  <c r="N294" i="3"/>
  <c r="K282" i="3"/>
  <c r="K283" i="3"/>
  <c r="K281" i="3"/>
  <c r="J283" i="3"/>
  <c r="V135" i="3" l="1"/>
  <c r="AB135" i="3"/>
  <c r="AD135" i="3"/>
  <c r="G135" i="3" l="1"/>
  <c r="I135" i="3"/>
  <c r="L135" i="3"/>
  <c r="Q135" i="3"/>
  <c r="W135" i="3" s="1"/>
  <c r="G10" i="3"/>
  <c r="I10" i="3"/>
  <c r="L10" i="3"/>
  <c r="Q10" i="3"/>
  <c r="V10" i="3"/>
  <c r="AB10" i="3"/>
  <c r="AD10" i="3"/>
  <c r="G201" i="3"/>
  <c r="I201" i="3"/>
  <c r="L201" i="3"/>
  <c r="Q201" i="3"/>
  <c r="V201" i="3"/>
  <c r="AB201" i="3"/>
  <c r="AD201" i="3"/>
  <c r="G134" i="3"/>
  <c r="I134" i="3"/>
  <c r="L134" i="3"/>
  <c r="Q134" i="3"/>
  <c r="V134" i="3"/>
  <c r="AB134" i="3"/>
  <c r="AD134" i="3"/>
  <c r="G100" i="3"/>
  <c r="I100" i="3"/>
  <c r="L100" i="3"/>
  <c r="Q100" i="3"/>
  <c r="V100" i="3"/>
  <c r="AB100" i="3"/>
  <c r="AD100" i="3"/>
  <c r="G202" i="3"/>
  <c r="I202" i="3"/>
  <c r="L202" i="3"/>
  <c r="Q202" i="3"/>
  <c r="V202" i="3"/>
  <c r="G170" i="3"/>
  <c r="I170" i="3"/>
  <c r="L170" i="3"/>
  <c r="Q170" i="3"/>
  <c r="V170" i="3"/>
  <c r="AB170" i="3"/>
  <c r="AD170" i="3"/>
  <c r="G207" i="3"/>
  <c r="I207" i="3"/>
  <c r="L207" i="3"/>
  <c r="Q207" i="3"/>
  <c r="V207" i="3"/>
  <c r="AB207" i="3"/>
  <c r="AD207" i="3"/>
  <c r="G8" i="3"/>
  <c r="I8" i="3"/>
  <c r="L8" i="3"/>
  <c r="Q8" i="3"/>
  <c r="V8" i="3"/>
  <c r="AB8" i="3"/>
  <c r="AD8" i="3"/>
  <c r="G262" i="3"/>
  <c r="I262" i="3"/>
  <c r="L262" i="3"/>
  <c r="Q262" i="3"/>
  <c r="V262" i="3"/>
  <c r="AB262" i="3"/>
  <c r="AD262" i="3"/>
  <c r="G212" i="3"/>
  <c r="I212" i="3"/>
  <c r="L212" i="3"/>
  <c r="Q212" i="3"/>
  <c r="V212" i="3"/>
  <c r="AB212" i="3"/>
  <c r="AD212" i="3"/>
  <c r="G13" i="3"/>
  <c r="I13" i="3"/>
  <c r="L13" i="3"/>
  <c r="Q13" i="3"/>
  <c r="V13" i="3"/>
  <c r="AB13" i="3"/>
  <c r="AD13" i="3"/>
  <c r="G235" i="3"/>
  <c r="I235" i="3"/>
  <c r="L235" i="3"/>
  <c r="Q235" i="3"/>
  <c r="V235" i="3"/>
  <c r="AB235" i="3"/>
  <c r="AD235" i="3"/>
  <c r="G136" i="3"/>
  <c r="I136" i="3"/>
  <c r="L136" i="3"/>
  <c r="Q136" i="3"/>
  <c r="V136" i="3"/>
  <c r="AB136" i="3"/>
  <c r="AD136" i="3"/>
  <c r="G133" i="3"/>
  <c r="I133" i="3"/>
  <c r="L133" i="3"/>
  <c r="Q133" i="3"/>
  <c r="V133" i="3"/>
  <c r="AB133" i="3"/>
  <c r="AD133" i="3"/>
  <c r="G233" i="3"/>
  <c r="I233" i="3"/>
  <c r="L233" i="3"/>
  <c r="Q233" i="3"/>
  <c r="V233" i="3"/>
  <c r="AB233" i="3"/>
  <c r="AD233" i="3"/>
  <c r="G203" i="3"/>
  <c r="I203" i="3"/>
  <c r="L203" i="3"/>
  <c r="Q203" i="3"/>
  <c r="V203" i="3"/>
  <c r="W203" i="3" s="1"/>
  <c r="AB203" i="3"/>
  <c r="AD203" i="3"/>
  <c r="G263" i="3"/>
  <c r="I263" i="3"/>
  <c r="L263" i="3"/>
  <c r="Q263" i="3"/>
  <c r="V263" i="3"/>
  <c r="AB263" i="3"/>
  <c r="AD263" i="3"/>
  <c r="G208" i="3"/>
  <c r="I208" i="3"/>
  <c r="L208" i="3"/>
  <c r="Q208" i="3"/>
  <c r="V208" i="3"/>
  <c r="AB208" i="3"/>
  <c r="AD208" i="3"/>
  <c r="G54" i="3"/>
  <c r="I54" i="3"/>
  <c r="L54" i="3"/>
  <c r="Q54" i="3"/>
  <c r="V54" i="3"/>
  <c r="AB54" i="3"/>
  <c r="AD54" i="3"/>
  <c r="G55" i="3"/>
  <c r="I55" i="3"/>
  <c r="L55" i="3"/>
  <c r="Q55" i="3"/>
  <c r="V55" i="3"/>
  <c r="AB55" i="3"/>
  <c r="AD55" i="3"/>
  <c r="G213" i="3"/>
  <c r="I213" i="3"/>
  <c r="L213" i="3"/>
  <c r="Q213" i="3"/>
  <c r="V213" i="3"/>
  <c r="AB213" i="3"/>
  <c r="AD213" i="3"/>
  <c r="G234" i="3"/>
  <c r="I234" i="3"/>
  <c r="L234" i="3"/>
  <c r="Q234" i="3"/>
  <c r="V234" i="3"/>
  <c r="AB234" i="3"/>
  <c r="AD234" i="3"/>
  <c r="G171" i="3"/>
  <c r="I171" i="3"/>
  <c r="L171" i="3"/>
  <c r="Q171" i="3"/>
  <c r="V171" i="3"/>
  <c r="AB171" i="3"/>
  <c r="AD171" i="3"/>
  <c r="G56" i="3"/>
  <c r="I56" i="3"/>
  <c r="L56" i="3"/>
  <c r="Q56" i="3"/>
  <c r="V56" i="3"/>
  <c r="AB56" i="3"/>
  <c r="AD56" i="3"/>
  <c r="G101" i="3"/>
  <c r="I101" i="3"/>
  <c r="L101" i="3"/>
  <c r="Q101" i="3"/>
  <c r="V101" i="3"/>
  <c r="AB101" i="3"/>
  <c r="AD101" i="3"/>
  <c r="G102" i="3"/>
  <c r="I102" i="3"/>
  <c r="L102" i="3"/>
  <c r="Q102" i="3"/>
  <c r="V102" i="3"/>
  <c r="AB102" i="3"/>
  <c r="AD102" i="3"/>
  <c r="G264" i="3"/>
  <c r="I264" i="3"/>
  <c r="L264" i="3"/>
  <c r="Q264" i="3"/>
  <c r="V264" i="3"/>
  <c r="AB264" i="3"/>
  <c r="AD264" i="3"/>
  <c r="G16" i="3"/>
  <c r="I16" i="3"/>
  <c r="L16" i="3"/>
  <c r="Q16" i="3"/>
  <c r="V16" i="3"/>
  <c r="AB16" i="3"/>
  <c r="AD16" i="3"/>
  <c r="G247" i="3"/>
  <c r="I247" i="3"/>
  <c r="L247" i="3"/>
  <c r="Q247" i="3"/>
  <c r="V247" i="3"/>
  <c r="AB247" i="3"/>
  <c r="AD247" i="3"/>
  <c r="G265" i="3"/>
  <c r="I265" i="3"/>
  <c r="L265" i="3"/>
  <c r="Q265" i="3"/>
  <c r="V265" i="3"/>
  <c r="AB265" i="3"/>
  <c r="AD265" i="3"/>
  <c r="G57" i="3"/>
  <c r="I57" i="3"/>
  <c r="L57" i="3"/>
  <c r="Q57" i="3"/>
  <c r="V57" i="3"/>
  <c r="AB57" i="3"/>
  <c r="AD57" i="3"/>
  <c r="G214" i="3"/>
  <c r="I214" i="3"/>
  <c r="L214" i="3"/>
  <c r="Q214" i="3"/>
  <c r="V214" i="3"/>
  <c r="W214" i="3" s="1"/>
  <c r="AB214" i="3"/>
  <c r="AD214" i="3"/>
  <c r="G172" i="3"/>
  <c r="I172" i="3"/>
  <c r="L172" i="3"/>
  <c r="Q172" i="3"/>
  <c r="V172" i="3"/>
  <c r="AB172" i="3"/>
  <c r="AD172" i="3"/>
  <c r="G103" i="3"/>
  <c r="I103" i="3"/>
  <c r="L103" i="3"/>
  <c r="Q103" i="3"/>
  <c r="V103" i="3"/>
  <c r="AB103" i="3"/>
  <c r="AD103" i="3"/>
  <c r="G58" i="3"/>
  <c r="I58" i="3"/>
  <c r="L58" i="3"/>
  <c r="Q58" i="3"/>
  <c r="V58" i="3"/>
  <c r="AB58" i="3"/>
  <c r="AD58" i="3"/>
  <c r="G59" i="3"/>
  <c r="I59" i="3"/>
  <c r="L59" i="3"/>
  <c r="Q59" i="3"/>
  <c r="V59" i="3"/>
  <c r="AB59" i="3"/>
  <c r="AD59" i="3"/>
  <c r="G215" i="3"/>
  <c r="I215" i="3"/>
  <c r="L215" i="3"/>
  <c r="Q215" i="3"/>
  <c r="V215" i="3"/>
  <c r="AB215" i="3"/>
  <c r="AD215" i="3"/>
  <c r="G60" i="3"/>
  <c r="I60" i="3"/>
  <c r="L60" i="3"/>
  <c r="Q60" i="3"/>
  <c r="V60" i="3"/>
  <c r="AB60" i="3"/>
  <c r="AD60" i="3"/>
  <c r="G104" i="3"/>
  <c r="I104" i="3"/>
  <c r="L104" i="3"/>
  <c r="Q104" i="3"/>
  <c r="V104" i="3"/>
  <c r="AB104" i="3"/>
  <c r="AD104" i="3"/>
  <c r="G61" i="3"/>
  <c r="I61" i="3"/>
  <c r="L61" i="3"/>
  <c r="Q61" i="3"/>
  <c r="V61" i="3"/>
  <c r="AB61" i="3"/>
  <c r="AD61" i="3"/>
  <c r="G62" i="3"/>
  <c r="I62" i="3"/>
  <c r="L62" i="3"/>
  <c r="Q62" i="3"/>
  <c r="V62" i="3"/>
  <c r="AB62" i="3"/>
  <c r="AD62" i="3"/>
  <c r="G63" i="3"/>
  <c r="L63" i="3"/>
  <c r="Q63" i="3"/>
  <c r="V63" i="3"/>
  <c r="AB63" i="3"/>
  <c r="AD63" i="3"/>
  <c r="G105" i="3"/>
  <c r="I105" i="3"/>
  <c r="L105" i="3"/>
  <c r="Q105" i="3"/>
  <c r="V105" i="3"/>
  <c r="AB105" i="3"/>
  <c r="AD105" i="3"/>
  <c r="G64" i="3"/>
  <c r="L64" i="3"/>
  <c r="Q64" i="3"/>
  <c r="V64" i="3"/>
  <c r="AB64" i="3"/>
  <c r="AD64" i="3"/>
  <c r="G65" i="3"/>
  <c r="I65" i="3"/>
  <c r="L65" i="3"/>
  <c r="Q65" i="3"/>
  <c r="V65" i="3"/>
  <c r="AB65" i="3"/>
  <c r="AD65" i="3"/>
  <c r="G106" i="3"/>
  <c r="I106" i="3"/>
  <c r="L106" i="3"/>
  <c r="Q106" i="3"/>
  <c r="V106" i="3"/>
  <c r="AB106" i="3"/>
  <c r="AD106" i="3"/>
  <c r="G107" i="3"/>
  <c r="I107" i="3"/>
  <c r="L107" i="3"/>
  <c r="Q107" i="3"/>
  <c r="V107" i="3"/>
  <c r="AB107" i="3"/>
  <c r="AD107" i="3"/>
  <c r="G66" i="3"/>
  <c r="I66" i="3"/>
  <c r="L66" i="3"/>
  <c r="Q66" i="3"/>
  <c r="V66" i="3"/>
  <c r="AB66" i="3"/>
  <c r="AD66" i="3"/>
  <c r="G67" i="3"/>
  <c r="I67" i="3"/>
  <c r="L67" i="3"/>
  <c r="Q67" i="3"/>
  <c r="V67" i="3"/>
  <c r="AB67" i="3"/>
  <c r="AD67" i="3"/>
  <c r="G68" i="3"/>
  <c r="I68" i="3"/>
  <c r="L68" i="3"/>
  <c r="Q68" i="3"/>
  <c r="V68" i="3"/>
  <c r="AB68" i="3"/>
  <c r="AD68" i="3"/>
  <c r="G108" i="3"/>
  <c r="I108" i="3"/>
  <c r="L108" i="3"/>
  <c r="Q108" i="3"/>
  <c r="V108" i="3"/>
  <c r="AB108" i="3"/>
  <c r="AD108" i="3"/>
  <c r="G109" i="3"/>
  <c r="I109" i="3"/>
  <c r="L109" i="3"/>
  <c r="Q109" i="3"/>
  <c r="V109" i="3"/>
  <c r="AB109" i="3"/>
  <c r="AD109" i="3"/>
  <c r="G69" i="3"/>
  <c r="I69" i="3"/>
  <c r="L69" i="3"/>
  <c r="Q69" i="3"/>
  <c r="V69" i="3"/>
  <c r="AB69" i="3"/>
  <c r="AD69" i="3"/>
  <c r="G70" i="3"/>
  <c r="I70" i="3"/>
  <c r="L70" i="3"/>
  <c r="Q70" i="3"/>
  <c r="V70" i="3"/>
  <c r="AB70" i="3"/>
  <c r="AD70" i="3"/>
  <c r="G71" i="3"/>
  <c r="I71" i="3"/>
  <c r="L71" i="3"/>
  <c r="Q71" i="3"/>
  <c r="V71" i="3"/>
  <c r="AB71" i="3"/>
  <c r="AD71" i="3"/>
  <c r="G72" i="3"/>
  <c r="I72" i="3"/>
  <c r="L72" i="3"/>
  <c r="Q72" i="3"/>
  <c r="V72" i="3"/>
  <c r="AB72" i="3"/>
  <c r="AD72" i="3"/>
  <c r="G110" i="3"/>
  <c r="I110" i="3"/>
  <c r="L110" i="3"/>
  <c r="Q110" i="3"/>
  <c r="V110" i="3"/>
  <c r="AB110" i="3"/>
  <c r="AD110" i="3"/>
  <c r="G137" i="3"/>
  <c r="I137" i="3"/>
  <c r="L137" i="3"/>
  <c r="Q137" i="3"/>
  <c r="V137" i="3"/>
  <c r="AB137" i="3"/>
  <c r="AD137" i="3"/>
  <c r="G209" i="3"/>
  <c r="I209" i="3"/>
  <c r="L209" i="3"/>
  <c r="Q209" i="3"/>
  <c r="V209" i="3"/>
  <c r="AB209" i="3"/>
  <c r="AD209" i="3"/>
  <c r="G268" i="3"/>
  <c r="I268" i="3"/>
  <c r="L268" i="3"/>
  <c r="Q268" i="3"/>
  <c r="V268" i="3"/>
  <c r="AB268" i="3"/>
  <c r="AD268" i="3"/>
  <c r="G73" i="3"/>
  <c r="I73" i="3"/>
  <c r="L73" i="3"/>
  <c r="Q73" i="3"/>
  <c r="V73" i="3"/>
  <c r="AB73" i="3"/>
  <c r="AD73" i="3"/>
  <c r="G37" i="3"/>
  <c r="I37" i="3"/>
  <c r="L37" i="3"/>
  <c r="Q37" i="3"/>
  <c r="V37" i="3"/>
  <c r="AB37" i="3"/>
  <c r="AD37" i="3"/>
  <c r="G173" i="3"/>
  <c r="I173" i="3"/>
  <c r="L173" i="3"/>
  <c r="Q173" i="3"/>
  <c r="V173" i="3"/>
  <c r="AB173" i="3"/>
  <c r="AD173" i="3"/>
  <c r="G174" i="3"/>
  <c r="I174" i="3"/>
  <c r="L174" i="3"/>
  <c r="Q174" i="3"/>
  <c r="V174" i="3"/>
  <c r="AB174" i="3"/>
  <c r="AD174" i="3"/>
  <c r="G175" i="3"/>
  <c r="I175" i="3"/>
  <c r="L175" i="3"/>
  <c r="Q175" i="3"/>
  <c r="V175" i="3"/>
  <c r="AB175" i="3"/>
  <c r="AD175" i="3"/>
  <c r="G216" i="3"/>
  <c r="I216" i="3"/>
  <c r="L216" i="3"/>
  <c r="Q216" i="3"/>
  <c r="V216" i="3"/>
  <c r="AB216" i="3"/>
  <c r="AD216" i="3"/>
  <c r="G17" i="3"/>
  <c r="I17" i="3"/>
  <c r="L17" i="3"/>
  <c r="Q17" i="3"/>
  <c r="V17" i="3"/>
  <c r="AB17" i="3"/>
  <c r="AD17" i="3"/>
  <c r="G111" i="3"/>
  <c r="I111" i="3"/>
  <c r="L111" i="3"/>
  <c r="Q111" i="3"/>
  <c r="V111" i="3"/>
  <c r="AB111" i="3"/>
  <c r="AD111" i="3"/>
  <c r="G14" i="3"/>
  <c r="I14" i="3"/>
  <c r="L14" i="3"/>
  <c r="Q14" i="3"/>
  <c r="V14" i="3"/>
  <c r="AB14" i="3"/>
  <c r="AD14" i="3"/>
  <c r="G217" i="3"/>
  <c r="I217" i="3"/>
  <c r="L217" i="3"/>
  <c r="Q217" i="3"/>
  <c r="V217" i="3"/>
  <c r="AB217" i="3"/>
  <c r="AD217" i="3"/>
  <c r="G236" i="3"/>
  <c r="I236" i="3"/>
  <c r="L236" i="3"/>
  <c r="Q236" i="3"/>
  <c r="V236" i="3"/>
  <c r="AB236" i="3"/>
  <c r="AD236" i="3"/>
  <c r="G11" i="3"/>
  <c r="I11" i="3"/>
  <c r="L11" i="3"/>
  <c r="Q11" i="3"/>
  <c r="V11" i="3"/>
  <c r="AB11" i="3"/>
  <c r="AD11" i="3"/>
  <c r="G248" i="3"/>
  <c r="I248" i="3"/>
  <c r="L248" i="3"/>
  <c r="Q248" i="3"/>
  <c r="V248" i="3"/>
  <c r="AB248" i="3"/>
  <c r="AD248" i="3"/>
  <c r="G112" i="3"/>
  <c r="I112" i="3"/>
  <c r="L112" i="3"/>
  <c r="Q112" i="3"/>
  <c r="V112" i="3"/>
  <c r="AB112" i="3"/>
  <c r="AD112" i="3"/>
  <c r="G18" i="3"/>
  <c r="I18" i="3"/>
  <c r="L18" i="3"/>
  <c r="Q18" i="3"/>
  <c r="V18" i="3"/>
  <c r="AB18" i="3"/>
  <c r="AD18" i="3"/>
  <c r="G12" i="3"/>
  <c r="I12" i="3"/>
  <c r="L12" i="3"/>
  <c r="Q12" i="3"/>
  <c r="V12" i="3"/>
  <c r="AB12" i="3"/>
  <c r="AD12" i="3"/>
  <c r="G210" i="3"/>
  <c r="I210" i="3"/>
  <c r="L210" i="3"/>
  <c r="Q210" i="3"/>
  <c r="V210" i="3"/>
  <c r="AB210" i="3"/>
  <c r="AD210" i="3"/>
  <c r="G19" i="3"/>
  <c r="I19" i="3"/>
  <c r="L19" i="3"/>
  <c r="Q19" i="3"/>
  <c r="V19" i="3"/>
  <c r="W19" i="3" s="1"/>
  <c r="AB19" i="3"/>
  <c r="AD19" i="3"/>
  <c r="G237" i="3"/>
  <c r="I237" i="3"/>
  <c r="L237" i="3"/>
  <c r="Q237" i="3"/>
  <c r="V237" i="3"/>
  <c r="AB237" i="3"/>
  <c r="AD237" i="3"/>
  <c r="G138" i="3"/>
  <c r="I138" i="3"/>
  <c r="L138" i="3"/>
  <c r="Q138" i="3"/>
  <c r="V138" i="3"/>
  <c r="AB138" i="3"/>
  <c r="AD138" i="3"/>
  <c r="G139" i="3"/>
  <c r="I139" i="3"/>
  <c r="L139" i="3"/>
  <c r="Q139" i="3"/>
  <c r="V139" i="3"/>
  <c r="AB139" i="3"/>
  <c r="AD139" i="3"/>
  <c r="G140" i="3"/>
  <c r="I140" i="3"/>
  <c r="L140" i="3"/>
  <c r="Q140" i="3"/>
  <c r="V140" i="3"/>
  <c r="AB140" i="3"/>
  <c r="AD140" i="3"/>
  <c r="G266" i="3"/>
  <c r="I266" i="3"/>
  <c r="L266" i="3"/>
  <c r="Q266" i="3"/>
  <c r="V266" i="3"/>
  <c r="AB266" i="3"/>
  <c r="AD266" i="3"/>
  <c r="G249" i="3"/>
  <c r="I249" i="3"/>
  <c r="L249" i="3"/>
  <c r="Q249" i="3"/>
  <c r="V249" i="3"/>
  <c r="AB249" i="3"/>
  <c r="AD249" i="3"/>
  <c r="G176" i="3"/>
  <c r="I176" i="3"/>
  <c r="L176" i="3"/>
  <c r="Q176" i="3"/>
  <c r="V176" i="3"/>
  <c r="AB176" i="3"/>
  <c r="AD176" i="3"/>
  <c r="G250" i="3"/>
  <c r="I250" i="3"/>
  <c r="L250" i="3"/>
  <c r="Q250" i="3"/>
  <c r="V250" i="3"/>
  <c r="AB250" i="3"/>
  <c r="AD250" i="3"/>
  <c r="G141" i="3"/>
  <c r="I141" i="3"/>
  <c r="L141" i="3"/>
  <c r="Q141" i="3"/>
  <c r="V141" i="3"/>
  <c r="AB141" i="3"/>
  <c r="AD141" i="3"/>
  <c r="G113" i="3"/>
  <c r="I113" i="3"/>
  <c r="L113" i="3"/>
  <c r="Q113" i="3"/>
  <c r="V113" i="3"/>
  <c r="AB113" i="3"/>
  <c r="AD113" i="3"/>
  <c r="G218" i="3"/>
  <c r="I218" i="3"/>
  <c r="L218" i="3"/>
  <c r="Q218" i="3"/>
  <c r="V218" i="3"/>
  <c r="AB218" i="3"/>
  <c r="AD218" i="3"/>
  <c r="G269" i="3"/>
  <c r="I269" i="3"/>
  <c r="L269" i="3"/>
  <c r="Q269" i="3"/>
  <c r="V269" i="3"/>
  <c r="AB269" i="3"/>
  <c r="AD269" i="3"/>
  <c r="G238" i="3"/>
  <c r="I238" i="3"/>
  <c r="L238" i="3"/>
  <c r="Q238" i="3"/>
  <c r="V238" i="3"/>
  <c r="AB238" i="3"/>
  <c r="AD238" i="3"/>
  <c r="G38" i="3"/>
  <c r="I38" i="3"/>
  <c r="L38" i="3"/>
  <c r="Q38" i="3"/>
  <c r="V38" i="3"/>
  <c r="AB38" i="3"/>
  <c r="AD38" i="3"/>
  <c r="G177" i="3"/>
  <c r="I177" i="3"/>
  <c r="L177" i="3"/>
  <c r="Q177" i="3"/>
  <c r="V177" i="3"/>
  <c r="AB177" i="3"/>
  <c r="AD177" i="3"/>
  <c r="G142" i="3"/>
  <c r="I142" i="3"/>
  <c r="L142" i="3"/>
  <c r="Q142" i="3"/>
  <c r="V142" i="3"/>
  <c r="W142" i="3" s="1"/>
  <c r="AB142" i="3"/>
  <c r="AD142" i="3"/>
  <c r="G15" i="3"/>
  <c r="I15" i="3"/>
  <c r="L15" i="3"/>
  <c r="Q15" i="3"/>
  <c r="V15" i="3"/>
  <c r="AB15" i="3"/>
  <c r="AD15" i="3"/>
  <c r="G178" i="3"/>
  <c r="I178" i="3"/>
  <c r="L178" i="3"/>
  <c r="Q178" i="3"/>
  <c r="V178" i="3"/>
  <c r="AB178" i="3"/>
  <c r="AD178" i="3"/>
  <c r="G74" i="3"/>
  <c r="I74" i="3"/>
  <c r="L74" i="3"/>
  <c r="Q74" i="3"/>
  <c r="V74" i="3"/>
  <c r="AB74" i="3"/>
  <c r="AD74" i="3"/>
  <c r="G143" i="3"/>
  <c r="I143" i="3"/>
  <c r="L143" i="3"/>
  <c r="Q143" i="3"/>
  <c r="V143" i="3"/>
  <c r="AB143" i="3"/>
  <c r="AD143" i="3"/>
  <c r="G179" i="3"/>
  <c r="I179" i="3"/>
  <c r="L179" i="3"/>
  <c r="Q179" i="3"/>
  <c r="V179" i="3"/>
  <c r="AB179" i="3"/>
  <c r="AD179" i="3"/>
  <c r="G144" i="3"/>
  <c r="I144" i="3"/>
  <c r="L144" i="3"/>
  <c r="Q144" i="3"/>
  <c r="V144" i="3"/>
  <c r="AB144" i="3"/>
  <c r="AD144" i="3"/>
  <c r="G270" i="3"/>
  <c r="I270" i="3"/>
  <c r="L270" i="3"/>
  <c r="Q270" i="3"/>
  <c r="V270" i="3"/>
  <c r="AB270" i="3"/>
  <c r="AD270" i="3"/>
  <c r="G271" i="3"/>
  <c r="I271" i="3"/>
  <c r="L271" i="3"/>
  <c r="Q271" i="3"/>
  <c r="V271" i="3"/>
  <c r="W271" i="3" s="1"/>
  <c r="AB271" i="3"/>
  <c r="AD271" i="3"/>
  <c r="G39" i="3"/>
  <c r="I39" i="3"/>
  <c r="L39" i="3"/>
  <c r="Q39" i="3"/>
  <c r="V39" i="3"/>
  <c r="AB39" i="3"/>
  <c r="AD39" i="3"/>
  <c r="G40" i="3"/>
  <c r="I40" i="3"/>
  <c r="L40" i="3"/>
  <c r="Q40" i="3"/>
  <c r="V40" i="3"/>
  <c r="AB40" i="3"/>
  <c r="AD40" i="3"/>
  <c r="G20" i="3"/>
  <c r="I20" i="3"/>
  <c r="L20" i="3"/>
  <c r="Q20" i="3"/>
  <c r="V20" i="3"/>
  <c r="AB20" i="3"/>
  <c r="AD20" i="3"/>
  <c r="G180" i="3"/>
  <c r="I180" i="3"/>
  <c r="L180" i="3"/>
  <c r="Q180" i="3"/>
  <c r="V180" i="3"/>
  <c r="AB180" i="3"/>
  <c r="AD180" i="3"/>
  <c r="G21" i="3"/>
  <c r="I21" i="3"/>
  <c r="L21" i="3"/>
  <c r="Q21" i="3"/>
  <c r="V21" i="3"/>
  <c r="AB21" i="3"/>
  <c r="AD21" i="3"/>
  <c r="G145" i="3"/>
  <c r="I145" i="3"/>
  <c r="L145" i="3"/>
  <c r="Q145" i="3"/>
  <c r="V145" i="3"/>
  <c r="AB145" i="3"/>
  <c r="AD145" i="3"/>
  <c r="G146" i="3"/>
  <c r="I146" i="3"/>
  <c r="L146" i="3"/>
  <c r="Q146" i="3"/>
  <c r="V146" i="3"/>
  <c r="AB146" i="3"/>
  <c r="AD146" i="3"/>
  <c r="G41" i="3"/>
  <c r="I41" i="3"/>
  <c r="L41" i="3"/>
  <c r="Q41" i="3"/>
  <c r="V41" i="3"/>
  <c r="W41" i="3" s="1"/>
  <c r="AB41" i="3"/>
  <c r="AD41" i="3"/>
  <c r="G251" i="3"/>
  <c r="I251" i="3"/>
  <c r="L251" i="3"/>
  <c r="Q251" i="3"/>
  <c r="V251" i="3"/>
  <c r="AB251" i="3"/>
  <c r="AD251" i="3"/>
  <c r="G22" i="3"/>
  <c r="I22" i="3"/>
  <c r="L22" i="3"/>
  <c r="Q22" i="3"/>
  <c r="V22" i="3"/>
  <c r="AB22" i="3"/>
  <c r="AD22" i="3"/>
  <c r="I181" i="3"/>
  <c r="L181" i="3"/>
  <c r="Q181" i="3"/>
  <c r="V181" i="3"/>
  <c r="AB181" i="3"/>
  <c r="AD181" i="3"/>
  <c r="G23" i="3"/>
  <c r="I23" i="3"/>
  <c r="L23" i="3"/>
  <c r="Q23" i="3"/>
  <c r="V23" i="3"/>
  <c r="AB23" i="3"/>
  <c r="AD23" i="3"/>
  <c r="G147" i="3"/>
  <c r="I147" i="3"/>
  <c r="L147" i="3"/>
  <c r="Q147" i="3"/>
  <c r="V147" i="3"/>
  <c r="AB147" i="3"/>
  <c r="AD147" i="3"/>
  <c r="G148" i="3"/>
  <c r="I148" i="3"/>
  <c r="L148" i="3"/>
  <c r="Q148" i="3"/>
  <c r="V148" i="3"/>
  <c r="AB148" i="3"/>
  <c r="AD148" i="3"/>
  <c r="G149" i="3"/>
  <c r="I149" i="3"/>
  <c r="L149" i="3"/>
  <c r="Q149" i="3"/>
  <c r="V149" i="3"/>
  <c r="AB149" i="3"/>
  <c r="AD149" i="3"/>
  <c r="G252" i="3"/>
  <c r="I252" i="3"/>
  <c r="L252" i="3"/>
  <c r="Q252" i="3"/>
  <c r="V252" i="3"/>
  <c r="AB252" i="3"/>
  <c r="AD252" i="3"/>
  <c r="G272" i="3"/>
  <c r="I272" i="3"/>
  <c r="L272" i="3"/>
  <c r="Q272" i="3"/>
  <c r="V272" i="3"/>
  <c r="AB272" i="3"/>
  <c r="AD272" i="3"/>
  <c r="G150" i="3"/>
  <c r="I150" i="3"/>
  <c r="L150" i="3"/>
  <c r="Q150" i="3"/>
  <c r="V150" i="3"/>
  <c r="AB150" i="3"/>
  <c r="AD150" i="3"/>
  <c r="G42" i="3"/>
  <c r="I42" i="3"/>
  <c r="L42" i="3"/>
  <c r="Q42" i="3"/>
  <c r="V42" i="3"/>
  <c r="AB42" i="3"/>
  <c r="AD42" i="3"/>
  <c r="G24" i="3"/>
  <c r="I24" i="3"/>
  <c r="L24" i="3"/>
  <c r="Q24" i="3"/>
  <c r="V24" i="3"/>
  <c r="AB24" i="3"/>
  <c r="AD24" i="3"/>
  <c r="G43" i="3"/>
  <c r="I43" i="3"/>
  <c r="L43" i="3"/>
  <c r="Q43" i="3"/>
  <c r="V43" i="3"/>
  <c r="AB43" i="3"/>
  <c r="AD43" i="3"/>
  <c r="G44" i="3"/>
  <c r="I44" i="3"/>
  <c r="L44" i="3"/>
  <c r="Q44" i="3"/>
  <c r="V44" i="3"/>
  <c r="AB44" i="3"/>
  <c r="AD44" i="3"/>
  <c r="G45" i="3"/>
  <c r="I45" i="3"/>
  <c r="L45" i="3"/>
  <c r="Q45" i="3"/>
  <c r="V45" i="3"/>
  <c r="AB45" i="3"/>
  <c r="AD45" i="3"/>
  <c r="G273" i="3"/>
  <c r="I273" i="3"/>
  <c r="L273" i="3"/>
  <c r="Q273" i="3"/>
  <c r="V273" i="3"/>
  <c r="AB273" i="3"/>
  <c r="AD273" i="3"/>
  <c r="G182" i="3"/>
  <c r="I182" i="3"/>
  <c r="L182" i="3"/>
  <c r="Q182" i="3"/>
  <c r="V182" i="3"/>
  <c r="AB182" i="3"/>
  <c r="AD182" i="3"/>
  <c r="I25" i="3"/>
  <c r="L25" i="3"/>
  <c r="Q25" i="3"/>
  <c r="V25" i="3"/>
  <c r="AB25" i="3"/>
  <c r="AD25" i="3"/>
  <c r="G26" i="3"/>
  <c r="I26" i="3"/>
  <c r="L26" i="3"/>
  <c r="Q26" i="3"/>
  <c r="V26" i="3"/>
  <c r="AB26" i="3"/>
  <c r="AD26" i="3"/>
  <c r="G253" i="3"/>
  <c r="I253" i="3"/>
  <c r="L253" i="3"/>
  <c r="Q253" i="3"/>
  <c r="V253" i="3"/>
  <c r="AB253" i="3"/>
  <c r="AD253" i="3"/>
  <c r="G239" i="3"/>
  <c r="I239" i="3"/>
  <c r="L239" i="3"/>
  <c r="Q239" i="3"/>
  <c r="V239" i="3"/>
  <c r="AB239" i="3"/>
  <c r="AD239" i="3"/>
  <c r="G27" i="3"/>
  <c r="I27" i="3"/>
  <c r="L27" i="3"/>
  <c r="Q27" i="3"/>
  <c r="V27" i="3"/>
  <c r="AB27" i="3"/>
  <c r="AD27" i="3"/>
  <c r="G219" i="3"/>
  <c r="I219" i="3"/>
  <c r="L219" i="3"/>
  <c r="Q219" i="3"/>
  <c r="V219" i="3"/>
  <c r="AB219" i="3"/>
  <c r="AD219" i="3"/>
  <c r="G28" i="3"/>
  <c r="I28" i="3"/>
  <c r="L28" i="3"/>
  <c r="Q28" i="3"/>
  <c r="V28" i="3"/>
  <c r="AB28" i="3"/>
  <c r="AD28" i="3"/>
  <c r="G240" i="3"/>
  <c r="I240" i="3"/>
  <c r="L240" i="3"/>
  <c r="Q240" i="3"/>
  <c r="V240" i="3"/>
  <c r="AB240" i="3"/>
  <c r="AD240" i="3"/>
  <c r="G183" i="3"/>
  <c r="I183" i="3"/>
  <c r="L183" i="3"/>
  <c r="Q183" i="3"/>
  <c r="V183" i="3"/>
  <c r="AB183" i="3"/>
  <c r="AD183" i="3"/>
  <c r="G114" i="3"/>
  <c r="I114" i="3"/>
  <c r="L114" i="3"/>
  <c r="Q114" i="3"/>
  <c r="V114" i="3"/>
  <c r="AB114" i="3"/>
  <c r="AD114" i="3"/>
  <c r="G151" i="3"/>
  <c r="I151" i="3"/>
  <c r="L151" i="3"/>
  <c r="Q151" i="3"/>
  <c r="V151" i="3"/>
  <c r="AB151" i="3"/>
  <c r="AD151" i="3"/>
  <c r="G220" i="3"/>
  <c r="I220" i="3"/>
  <c r="L220" i="3"/>
  <c r="Q220" i="3"/>
  <c r="V220" i="3"/>
  <c r="AB220" i="3"/>
  <c r="AD220" i="3"/>
  <c r="G75" i="3"/>
  <c r="I75" i="3"/>
  <c r="L75" i="3"/>
  <c r="Q75" i="3"/>
  <c r="V75" i="3"/>
  <c r="AB75" i="3"/>
  <c r="AD75" i="3"/>
  <c r="G115" i="3"/>
  <c r="I115" i="3"/>
  <c r="L115" i="3"/>
  <c r="Q115" i="3"/>
  <c r="V115" i="3"/>
  <c r="AD115" i="3"/>
  <c r="G76" i="3"/>
  <c r="I76" i="3"/>
  <c r="L76" i="3"/>
  <c r="Q76" i="3"/>
  <c r="V76" i="3"/>
  <c r="AB76" i="3"/>
  <c r="AD76" i="3"/>
  <c r="G77" i="3"/>
  <c r="I77" i="3"/>
  <c r="L77" i="3"/>
  <c r="Q77" i="3"/>
  <c r="V77" i="3"/>
  <c r="AD77" i="3"/>
  <c r="G78" i="3"/>
  <c r="I78" i="3"/>
  <c r="L78" i="3"/>
  <c r="Q78" i="3"/>
  <c r="V78" i="3"/>
  <c r="AB78" i="3"/>
  <c r="AD78" i="3"/>
  <c r="G116" i="3"/>
  <c r="I116" i="3"/>
  <c r="L116" i="3"/>
  <c r="Q116" i="3"/>
  <c r="V116" i="3"/>
  <c r="AB116" i="3"/>
  <c r="AD116" i="3"/>
  <c r="G79" i="3"/>
  <c r="I79" i="3"/>
  <c r="L79" i="3"/>
  <c r="Q79" i="3"/>
  <c r="V79" i="3"/>
  <c r="AB79" i="3"/>
  <c r="AD79" i="3"/>
  <c r="G221" i="3"/>
  <c r="I221" i="3"/>
  <c r="L221" i="3"/>
  <c r="Q221" i="3"/>
  <c r="V221" i="3"/>
  <c r="AB221" i="3"/>
  <c r="AD221" i="3"/>
  <c r="G80" i="3"/>
  <c r="I80" i="3"/>
  <c r="L80" i="3"/>
  <c r="Q80" i="3"/>
  <c r="V80" i="3"/>
  <c r="AB80" i="3"/>
  <c r="AD80" i="3"/>
  <c r="G117" i="3"/>
  <c r="I117" i="3"/>
  <c r="L117" i="3"/>
  <c r="Q117" i="3"/>
  <c r="V117" i="3"/>
  <c r="AB117" i="3"/>
  <c r="AD117" i="3"/>
  <c r="G81" i="3"/>
  <c r="I81" i="3"/>
  <c r="L81" i="3"/>
  <c r="Q81" i="3"/>
  <c r="V81" i="3"/>
  <c r="AB81" i="3"/>
  <c r="AD81" i="3"/>
  <c r="G118" i="3"/>
  <c r="I118" i="3"/>
  <c r="L118" i="3"/>
  <c r="Q118" i="3"/>
  <c r="V118" i="3"/>
  <c r="AB118" i="3"/>
  <c r="AD118" i="3"/>
  <c r="G82" i="3"/>
  <c r="I82" i="3"/>
  <c r="L82" i="3"/>
  <c r="Q82" i="3"/>
  <c r="V82" i="3"/>
  <c r="AB82" i="3"/>
  <c r="AD82" i="3"/>
  <c r="G119" i="3"/>
  <c r="I119" i="3"/>
  <c r="L119" i="3"/>
  <c r="Q119" i="3"/>
  <c r="V119" i="3"/>
  <c r="AB119" i="3"/>
  <c r="AD119" i="3"/>
  <c r="G120" i="3"/>
  <c r="I120" i="3"/>
  <c r="L120" i="3"/>
  <c r="Q120" i="3"/>
  <c r="V120" i="3"/>
  <c r="AB120" i="3"/>
  <c r="AD120" i="3"/>
  <c r="G184" i="3"/>
  <c r="I184" i="3"/>
  <c r="L184" i="3"/>
  <c r="Q184" i="3"/>
  <c r="V184" i="3"/>
  <c r="AB184" i="3"/>
  <c r="AD184" i="3"/>
  <c r="G152" i="3"/>
  <c r="I152" i="3"/>
  <c r="L152" i="3"/>
  <c r="Q152" i="3"/>
  <c r="V152" i="3"/>
  <c r="AB152" i="3"/>
  <c r="AD152" i="3"/>
  <c r="G222" i="3"/>
  <c r="I222" i="3"/>
  <c r="L222" i="3"/>
  <c r="Q222" i="3"/>
  <c r="V222" i="3"/>
  <c r="AB222" i="3"/>
  <c r="AD222" i="3"/>
  <c r="G83" i="3"/>
  <c r="I83" i="3"/>
  <c r="L83" i="3"/>
  <c r="Q83" i="3"/>
  <c r="V83" i="3"/>
  <c r="AB83" i="3"/>
  <c r="AD83" i="3"/>
  <c r="G84" i="3"/>
  <c r="I84" i="3"/>
  <c r="L84" i="3"/>
  <c r="Q84" i="3"/>
  <c r="V84" i="3"/>
  <c r="AB84" i="3"/>
  <c r="AD84" i="3"/>
  <c r="G121" i="3"/>
  <c r="I121" i="3"/>
  <c r="L121" i="3"/>
  <c r="Q121" i="3"/>
  <c r="V121" i="3"/>
  <c r="AB121" i="3"/>
  <c r="AD121" i="3"/>
  <c r="G85" i="3"/>
  <c r="I85" i="3"/>
  <c r="L85" i="3"/>
  <c r="Q85" i="3"/>
  <c r="V85" i="3"/>
  <c r="AB85" i="3"/>
  <c r="AD85" i="3"/>
  <c r="G122" i="3"/>
  <c r="I122" i="3"/>
  <c r="L122" i="3"/>
  <c r="Q122" i="3"/>
  <c r="V122" i="3"/>
  <c r="W122" i="3" s="1"/>
  <c r="AB122" i="3"/>
  <c r="AD122" i="3"/>
  <c r="G254" i="3"/>
  <c r="I254" i="3"/>
  <c r="L254" i="3"/>
  <c r="Q254" i="3"/>
  <c r="V254" i="3"/>
  <c r="AB254" i="3"/>
  <c r="AD254" i="3"/>
  <c r="G153" i="3"/>
  <c r="I153" i="3"/>
  <c r="L153" i="3"/>
  <c r="Q153" i="3"/>
  <c r="V153" i="3"/>
  <c r="AB153" i="3"/>
  <c r="AD153" i="3"/>
  <c r="G86" i="3"/>
  <c r="I86" i="3"/>
  <c r="L86" i="3"/>
  <c r="Q86" i="3"/>
  <c r="V86" i="3"/>
  <c r="AB86" i="3"/>
  <c r="AD86" i="3"/>
  <c r="G87" i="3"/>
  <c r="I87" i="3"/>
  <c r="L87" i="3"/>
  <c r="Q87" i="3"/>
  <c r="V87" i="3"/>
  <c r="AB87" i="3"/>
  <c r="AD87" i="3"/>
  <c r="G211" i="3"/>
  <c r="I211" i="3"/>
  <c r="L211" i="3"/>
  <c r="Q211" i="3"/>
  <c r="V211" i="3"/>
  <c r="AB211" i="3"/>
  <c r="AD211" i="3"/>
  <c r="G123" i="3"/>
  <c r="I123" i="3"/>
  <c r="L123" i="3"/>
  <c r="Q123" i="3"/>
  <c r="V123" i="3"/>
  <c r="AB123" i="3"/>
  <c r="AD123" i="3"/>
  <c r="G223" i="3"/>
  <c r="I223" i="3"/>
  <c r="L223" i="3"/>
  <c r="Q223" i="3"/>
  <c r="V223" i="3"/>
  <c r="AB223" i="3"/>
  <c r="AD223" i="3"/>
  <c r="G88" i="3"/>
  <c r="I88" i="3"/>
  <c r="L88" i="3"/>
  <c r="Q88" i="3"/>
  <c r="V88" i="3"/>
  <c r="AB88" i="3"/>
  <c r="AD88" i="3"/>
  <c r="G224" i="3"/>
  <c r="I224" i="3"/>
  <c r="L224" i="3"/>
  <c r="Q224" i="3"/>
  <c r="V224" i="3"/>
  <c r="AB224" i="3"/>
  <c r="AD224" i="3"/>
  <c r="G124" i="3"/>
  <c r="I124" i="3"/>
  <c r="L124" i="3"/>
  <c r="Q124" i="3"/>
  <c r="V124" i="3"/>
  <c r="AB124" i="3"/>
  <c r="AD124" i="3"/>
  <c r="G225" i="3"/>
  <c r="I225" i="3"/>
  <c r="L225" i="3"/>
  <c r="Q225" i="3"/>
  <c r="V225" i="3"/>
  <c r="AB225" i="3"/>
  <c r="AD225" i="3"/>
  <c r="G89" i="3"/>
  <c r="I89" i="3"/>
  <c r="L89" i="3"/>
  <c r="Q89" i="3"/>
  <c r="V89" i="3"/>
  <c r="AB89" i="3"/>
  <c r="AD89" i="3"/>
  <c r="G125" i="3"/>
  <c r="I125" i="3"/>
  <c r="L125" i="3"/>
  <c r="Q125" i="3"/>
  <c r="V125" i="3"/>
  <c r="AB125" i="3"/>
  <c r="AD125" i="3"/>
  <c r="G90" i="3"/>
  <c r="I90" i="3"/>
  <c r="L90" i="3"/>
  <c r="Q90" i="3"/>
  <c r="V90" i="3"/>
  <c r="AB90" i="3"/>
  <c r="AD90" i="3"/>
  <c r="G226" i="3"/>
  <c r="I226" i="3"/>
  <c r="L226" i="3"/>
  <c r="Q226" i="3"/>
  <c r="V226" i="3"/>
  <c r="AB226" i="3"/>
  <c r="AD226" i="3"/>
  <c r="G91" i="3"/>
  <c r="I91" i="3"/>
  <c r="L91" i="3"/>
  <c r="Q91" i="3"/>
  <c r="V91" i="3"/>
  <c r="W91" i="3" s="1"/>
  <c r="AB91" i="3"/>
  <c r="AD91" i="3"/>
  <c r="G29" i="3"/>
  <c r="I29" i="3"/>
  <c r="L29" i="3"/>
  <c r="Q29" i="3"/>
  <c r="V29" i="3"/>
  <c r="AB29" i="3"/>
  <c r="AD29" i="3"/>
  <c r="G255" i="3"/>
  <c r="I255" i="3"/>
  <c r="L255" i="3"/>
  <c r="Q255" i="3"/>
  <c r="V255" i="3"/>
  <c r="AB255" i="3"/>
  <c r="AD255" i="3"/>
  <c r="G30" i="3"/>
  <c r="I30" i="3"/>
  <c r="L30" i="3"/>
  <c r="Q30" i="3"/>
  <c r="V30" i="3"/>
  <c r="AB30" i="3"/>
  <c r="AD30" i="3"/>
  <c r="G241" i="3"/>
  <c r="I241" i="3"/>
  <c r="L241" i="3"/>
  <c r="Q241" i="3"/>
  <c r="V241" i="3"/>
  <c r="AB241" i="3"/>
  <c r="AD241" i="3"/>
  <c r="G274" i="3"/>
  <c r="I274" i="3"/>
  <c r="L274" i="3"/>
  <c r="Q274" i="3"/>
  <c r="V274" i="3"/>
  <c r="AB274" i="3"/>
  <c r="AD274" i="3"/>
  <c r="G154" i="3"/>
  <c r="I154" i="3"/>
  <c r="L154" i="3"/>
  <c r="Q154" i="3"/>
  <c r="V154" i="3"/>
  <c r="AB154" i="3"/>
  <c r="AD154" i="3"/>
  <c r="G155" i="3"/>
  <c r="I155" i="3"/>
  <c r="L155" i="3"/>
  <c r="Q155" i="3"/>
  <c r="V155" i="3"/>
  <c r="AB155" i="3"/>
  <c r="AD155" i="3"/>
  <c r="G46" i="3"/>
  <c r="I46" i="3"/>
  <c r="L46" i="3"/>
  <c r="Q46" i="3"/>
  <c r="V46" i="3"/>
  <c r="AB46" i="3"/>
  <c r="AD46" i="3"/>
  <c r="G156" i="3"/>
  <c r="I156" i="3"/>
  <c r="L156" i="3"/>
  <c r="Q156" i="3"/>
  <c r="V156" i="3"/>
  <c r="AB156" i="3"/>
  <c r="AD156" i="3"/>
  <c r="G47" i="3"/>
  <c r="I47" i="3"/>
  <c r="L47" i="3"/>
  <c r="Q47" i="3"/>
  <c r="V47" i="3"/>
  <c r="AB47" i="3"/>
  <c r="AD47" i="3"/>
  <c r="I256" i="3"/>
  <c r="L256" i="3"/>
  <c r="Q256" i="3"/>
  <c r="V256" i="3"/>
  <c r="AB256" i="3"/>
  <c r="AD256" i="3"/>
  <c r="G185" i="3"/>
  <c r="I185" i="3"/>
  <c r="L185" i="3"/>
  <c r="Q185" i="3"/>
  <c r="V185" i="3"/>
  <c r="AB185" i="3"/>
  <c r="AD185" i="3"/>
  <c r="G157" i="3"/>
  <c r="I157" i="3"/>
  <c r="L157" i="3"/>
  <c r="Q157" i="3"/>
  <c r="V157" i="3"/>
  <c r="AB157" i="3"/>
  <c r="AD157" i="3"/>
  <c r="G158" i="3"/>
  <c r="I158" i="3"/>
  <c r="L158" i="3"/>
  <c r="Q158" i="3"/>
  <c r="V158" i="3"/>
  <c r="AB158" i="3"/>
  <c r="AD158" i="3"/>
  <c r="G267" i="3"/>
  <c r="I267" i="3"/>
  <c r="L267" i="3"/>
  <c r="Q267" i="3"/>
  <c r="V267" i="3"/>
  <c r="AB267" i="3"/>
  <c r="AD267" i="3"/>
  <c r="G48" i="3"/>
  <c r="I48" i="3"/>
  <c r="L48" i="3"/>
  <c r="Q48" i="3"/>
  <c r="V48" i="3"/>
  <c r="AB48" i="3"/>
  <c r="AD48" i="3"/>
  <c r="G275" i="3"/>
  <c r="I275" i="3"/>
  <c r="L275" i="3"/>
  <c r="Q275" i="3"/>
  <c r="V275" i="3"/>
  <c r="AB275" i="3"/>
  <c r="AD275" i="3"/>
  <c r="G227" i="3"/>
  <c r="I227" i="3"/>
  <c r="L227" i="3"/>
  <c r="Q227" i="3"/>
  <c r="V227" i="3"/>
  <c r="AB227" i="3"/>
  <c r="AD227" i="3"/>
  <c r="G49" i="3"/>
  <c r="I49" i="3"/>
  <c r="L49" i="3"/>
  <c r="Q49" i="3"/>
  <c r="V49" i="3"/>
  <c r="AB49" i="3"/>
  <c r="AD49" i="3"/>
  <c r="G31" i="3"/>
  <c r="I31" i="3"/>
  <c r="L31" i="3"/>
  <c r="Q31" i="3"/>
  <c r="V31" i="3"/>
  <c r="AB31" i="3"/>
  <c r="AD31" i="3"/>
  <c r="G276" i="3"/>
  <c r="I276" i="3"/>
  <c r="L276" i="3"/>
  <c r="Q276" i="3"/>
  <c r="V276" i="3"/>
  <c r="AB276" i="3"/>
  <c r="AD276" i="3"/>
  <c r="G242" i="3"/>
  <c r="I242" i="3"/>
  <c r="L242" i="3"/>
  <c r="Q242" i="3"/>
  <c r="V242" i="3"/>
  <c r="AB242" i="3"/>
  <c r="AD242" i="3"/>
  <c r="G243" i="3"/>
  <c r="I243" i="3"/>
  <c r="L243" i="3"/>
  <c r="Q243" i="3"/>
  <c r="V243" i="3"/>
  <c r="AB243" i="3"/>
  <c r="AD243" i="3"/>
  <c r="G186" i="3"/>
  <c r="I186" i="3"/>
  <c r="L186" i="3"/>
  <c r="Q186" i="3"/>
  <c r="V186" i="3"/>
  <c r="AB186" i="3"/>
  <c r="AD186" i="3"/>
  <c r="G32" i="3"/>
  <c r="I32" i="3"/>
  <c r="L32" i="3"/>
  <c r="Q32" i="3"/>
  <c r="V32" i="3"/>
  <c r="AB32" i="3"/>
  <c r="AD32" i="3"/>
  <c r="G187" i="3"/>
  <c r="I187" i="3"/>
  <c r="L187" i="3"/>
  <c r="Q187" i="3"/>
  <c r="V187" i="3"/>
  <c r="AB187" i="3"/>
  <c r="AD187" i="3"/>
  <c r="G188" i="3"/>
  <c r="I188" i="3"/>
  <c r="L188" i="3"/>
  <c r="Q188" i="3"/>
  <c r="V188" i="3"/>
  <c r="AB188" i="3"/>
  <c r="AD188" i="3"/>
  <c r="G189" i="3"/>
  <c r="I189" i="3"/>
  <c r="L189" i="3"/>
  <c r="Q189" i="3"/>
  <c r="V189" i="3"/>
  <c r="AB189" i="3"/>
  <c r="AD189" i="3"/>
  <c r="G257" i="3"/>
  <c r="I257" i="3"/>
  <c r="L257" i="3"/>
  <c r="Q257" i="3"/>
  <c r="V257" i="3"/>
  <c r="AB257" i="3"/>
  <c r="AD257" i="3"/>
  <c r="G244" i="3"/>
  <c r="I244" i="3"/>
  <c r="L244" i="3"/>
  <c r="Q244" i="3"/>
  <c r="V244" i="3"/>
  <c r="AB244" i="3"/>
  <c r="AD244" i="3"/>
  <c r="G33" i="3"/>
  <c r="I33" i="3"/>
  <c r="L33" i="3"/>
  <c r="Q33" i="3"/>
  <c r="V33" i="3"/>
  <c r="AB33" i="3"/>
  <c r="AD33" i="3"/>
  <c r="G258" i="3"/>
  <c r="I258" i="3"/>
  <c r="L258" i="3"/>
  <c r="Q258" i="3"/>
  <c r="V258" i="3"/>
  <c r="AB258" i="3"/>
  <c r="AD258" i="3"/>
  <c r="G245" i="3"/>
  <c r="I245" i="3"/>
  <c r="L245" i="3"/>
  <c r="Q245" i="3"/>
  <c r="V245" i="3"/>
  <c r="AB245" i="3"/>
  <c r="AD245" i="3"/>
  <c r="G50" i="3"/>
  <c r="I50" i="3"/>
  <c r="L50" i="3"/>
  <c r="Q50" i="3"/>
  <c r="V50" i="3"/>
  <c r="AB50" i="3"/>
  <c r="AD50" i="3"/>
  <c r="G159" i="3"/>
  <c r="I159" i="3"/>
  <c r="L159" i="3"/>
  <c r="Q159" i="3"/>
  <c r="V159" i="3"/>
  <c r="AB159" i="3"/>
  <c r="AD159" i="3"/>
  <c r="G259" i="3"/>
  <c r="I259" i="3"/>
  <c r="L259" i="3"/>
  <c r="Q259" i="3"/>
  <c r="V259" i="3"/>
  <c r="AB259" i="3"/>
  <c r="AD259" i="3"/>
  <c r="G246" i="3"/>
  <c r="I246" i="3"/>
  <c r="L246" i="3"/>
  <c r="Q246" i="3"/>
  <c r="V246" i="3"/>
  <c r="AB246" i="3"/>
  <c r="AD246" i="3"/>
  <c r="G160" i="3"/>
  <c r="I160" i="3"/>
  <c r="L160" i="3"/>
  <c r="Q160" i="3"/>
  <c r="V160" i="3"/>
  <c r="AB160" i="3"/>
  <c r="AD160" i="3"/>
  <c r="G190" i="3"/>
  <c r="I190" i="3"/>
  <c r="L190" i="3"/>
  <c r="Q190" i="3"/>
  <c r="V190" i="3"/>
  <c r="AB190" i="3"/>
  <c r="AD190" i="3"/>
  <c r="I34" i="3"/>
  <c r="L34" i="3"/>
  <c r="Q34" i="3"/>
  <c r="V34" i="3"/>
  <c r="AB34" i="3"/>
  <c r="AD34" i="3"/>
  <c r="G92" i="3"/>
  <c r="I92" i="3"/>
  <c r="L92" i="3"/>
  <c r="Q92" i="3"/>
  <c r="V92" i="3"/>
  <c r="AB92" i="3"/>
  <c r="AD92" i="3"/>
  <c r="G126" i="3"/>
  <c r="I126" i="3"/>
  <c r="L126" i="3"/>
  <c r="Q126" i="3"/>
  <c r="V126" i="3"/>
  <c r="AB126" i="3"/>
  <c r="AD126" i="3"/>
  <c r="G161" i="3"/>
  <c r="I161" i="3"/>
  <c r="L161" i="3"/>
  <c r="Q161" i="3"/>
  <c r="V161" i="3"/>
  <c r="AB161" i="3"/>
  <c r="AD161" i="3"/>
  <c r="G191" i="3"/>
  <c r="I191" i="3"/>
  <c r="L191" i="3"/>
  <c r="Q191" i="3"/>
  <c r="V191" i="3"/>
  <c r="AB191" i="3"/>
  <c r="AD191" i="3"/>
  <c r="G162" i="3"/>
  <c r="I162" i="3"/>
  <c r="L162" i="3"/>
  <c r="Q162" i="3"/>
  <c r="V162" i="3"/>
  <c r="AB162" i="3"/>
  <c r="AD162" i="3"/>
  <c r="G192" i="3"/>
  <c r="I192" i="3"/>
  <c r="L192" i="3"/>
  <c r="Q192" i="3"/>
  <c r="V192" i="3"/>
  <c r="AB192" i="3"/>
  <c r="AD192" i="3"/>
  <c r="G163" i="3"/>
  <c r="I163" i="3"/>
  <c r="L163" i="3"/>
  <c r="Q163" i="3"/>
  <c r="V163" i="3"/>
  <c r="AB163" i="3"/>
  <c r="AD163" i="3"/>
  <c r="G193" i="3"/>
  <c r="I193" i="3"/>
  <c r="L193" i="3"/>
  <c r="Q193" i="3"/>
  <c r="V193" i="3"/>
  <c r="AB193" i="3"/>
  <c r="AD193" i="3"/>
  <c r="G164" i="3"/>
  <c r="I164" i="3"/>
  <c r="L164" i="3"/>
  <c r="Q164" i="3"/>
  <c r="V164" i="3"/>
  <c r="AB164" i="3"/>
  <c r="AD164" i="3"/>
  <c r="G165" i="3"/>
  <c r="I165" i="3"/>
  <c r="L165" i="3"/>
  <c r="Q165" i="3"/>
  <c r="V165" i="3"/>
  <c r="AB165" i="3"/>
  <c r="AD165" i="3"/>
  <c r="G194" i="3"/>
  <c r="I194" i="3"/>
  <c r="L194" i="3"/>
  <c r="Q194" i="3"/>
  <c r="V194" i="3"/>
  <c r="AB194" i="3"/>
  <c r="AD194" i="3"/>
  <c r="G166" i="3"/>
  <c r="I166" i="3"/>
  <c r="L166" i="3"/>
  <c r="Q166" i="3"/>
  <c r="V166" i="3"/>
  <c r="AB166" i="3"/>
  <c r="AD166" i="3"/>
  <c r="G195" i="3"/>
  <c r="I195" i="3"/>
  <c r="L195" i="3"/>
  <c r="Q195" i="3"/>
  <c r="V195" i="3"/>
  <c r="AB195" i="3"/>
  <c r="AD195" i="3"/>
  <c r="G260" i="3"/>
  <c r="I260" i="3"/>
  <c r="L260" i="3"/>
  <c r="Q260" i="3"/>
  <c r="V260" i="3"/>
  <c r="AB260" i="3"/>
  <c r="AD260" i="3"/>
  <c r="G35" i="3"/>
  <c r="I35" i="3"/>
  <c r="L35" i="3"/>
  <c r="Q35" i="3"/>
  <c r="V35" i="3"/>
  <c r="AB35" i="3"/>
  <c r="AD35" i="3"/>
  <c r="G196" i="3"/>
  <c r="I196" i="3"/>
  <c r="L196" i="3"/>
  <c r="Q196" i="3"/>
  <c r="V196" i="3"/>
  <c r="AB196" i="3"/>
  <c r="AD196" i="3"/>
  <c r="G93" i="3"/>
  <c r="I93" i="3"/>
  <c r="L93" i="3"/>
  <c r="Q93" i="3"/>
  <c r="V93" i="3"/>
  <c r="AB93" i="3"/>
  <c r="AD93" i="3"/>
  <c r="G94" i="3"/>
  <c r="I94" i="3"/>
  <c r="L94" i="3"/>
  <c r="Q94" i="3"/>
  <c r="V94" i="3"/>
  <c r="AB94" i="3"/>
  <c r="AD94" i="3"/>
  <c r="G228" i="3"/>
  <c r="I228" i="3"/>
  <c r="L228" i="3"/>
  <c r="Q228" i="3"/>
  <c r="V228" i="3"/>
  <c r="AB228" i="3"/>
  <c r="AD228" i="3"/>
  <c r="G127" i="3"/>
  <c r="I127" i="3"/>
  <c r="L127" i="3"/>
  <c r="Q127" i="3"/>
  <c r="V127" i="3"/>
  <c r="AB127" i="3"/>
  <c r="AD127" i="3"/>
  <c r="G128" i="3"/>
  <c r="I128" i="3"/>
  <c r="L128" i="3"/>
  <c r="Q128" i="3"/>
  <c r="V128" i="3"/>
  <c r="AB128" i="3"/>
  <c r="AD128" i="3"/>
  <c r="G95" i="3"/>
  <c r="I95" i="3"/>
  <c r="L95" i="3"/>
  <c r="Q95" i="3"/>
  <c r="V95" i="3"/>
  <c r="AB95" i="3"/>
  <c r="AD95" i="3"/>
  <c r="G129" i="3"/>
  <c r="I129" i="3"/>
  <c r="L129" i="3"/>
  <c r="Q129" i="3"/>
  <c r="V129" i="3"/>
  <c r="AB129" i="3"/>
  <c r="AD129" i="3"/>
  <c r="G229" i="3"/>
  <c r="I229" i="3"/>
  <c r="L229" i="3"/>
  <c r="Q229" i="3"/>
  <c r="V229" i="3"/>
  <c r="AB229" i="3"/>
  <c r="AD229" i="3"/>
  <c r="G230" i="3"/>
  <c r="I230" i="3"/>
  <c r="L230" i="3"/>
  <c r="Q230" i="3"/>
  <c r="V230" i="3"/>
  <c r="AB230" i="3"/>
  <c r="AD230" i="3"/>
  <c r="G96" i="3"/>
  <c r="I96" i="3"/>
  <c r="L96" i="3"/>
  <c r="Q96" i="3"/>
  <c r="V96" i="3"/>
  <c r="AB96" i="3"/>
  <c r="AD96" i="3"/>
  <c r="G231" i="3"/>
  <c r="I231" i="3"/>
  <c r="L231" i="3"/>
  <c r="Q231" i="3"/>
  <c r="V231" i="3"/>
  <c r="AB231" i="3"/>
  <c r="AD231" i="3"/>
  <c r="G97" i="3"/>
  <c r="I97" i="3"/>
  <c r="L97" i="3"/>
  <c r="Q97" i="3"/>
  <c r="V97" i="3"/>
  <c r="AB97" i="3"/>
  <c r="AD97" i="3"/>
  <c r="G130" i="3"/>
  <c r="I130" i="3"/>
  <c r="L130" i="3"/>
  <c r="Q130" i="3"/>
  <c r="V130" i="3"/>
  <c r="AB130" i="3"/>
  <c r="AD130" i="3"/>
  <c r="G131" i="3"/>
  <c r="I131" i="3"/>
  <c r="L131" i="3"/>
  <c r="Q131" i="3"/>
  <c r="V131" i="3"/>
  <c r="AB131" i="3"/>
  <c r="AD131" i="3"/>
  <c r="G197" i="3"/>
  <c r="I197" i="3"/>
  <c r="L197" i="3"/>
  <c r="Q197" i="3"/>
  <c r="V197" i="3"/>
  <c r="AB197" i="3"/>
  <c r="AD197" i="3"/>
  <c r="G167" i="3"/>
  <c r="I167" i="3"/>
  <c r="L167" i="3"/>
  <c r="Q167" i="3"/>
  <c r="V167" i="3"/>
  <c r="AB167" i="3"/>
  <c r="AD167" i="3"/>
  <c r="G198" i="3"/>
  <c r="I198" i="3"/>
  <c r="L198" i="3"/>
  <c r="Q198" i="3"/>
  <c r="V198" i="3"/>
  <c r="AB198" i="3"/>
  <c r="AD198" i="3"/>
  <c r="G168" i="3"/>
  <c r="I168" i="3"/>
  <c r="L168" i="3"/>
  <c r="Q168" i="3"/>
  <c r="V168" i="3"/>
  <c r="AB168" i="3"/>
  <c r="AD168" i="3"/>
  <c r="G199" i="3"/>
  <c r="I199" i="3"/>
  <c r="L199" i="3"/>
  <c r="Q199" i="3"/>
  <c r="V199" i="3"/>
  <c r="AB199" i="3"/>
  <c r="AD199" i="3"/>
  <c r="G169" i="3"/>
  <c r="I169" i="3"/>
  <c r="L169" i="3"/>
  <c r="Q169" i="3"/>
  <c r="V169" i="3"/>
  <c r="AB169" i="3"/>
  <c r="AD169" i="3"/>
  <c r="G132" i="3"/>
  <c r="I132" i="3"/>
  <c r="L132" i="3"/>
  <c r="Q132" i="3"/>
  <c r="V132" i="3"/>
  <c r="AB132" i="3"/>
  <c r="AD132" i="3"/>
  <c r="G98" i="3"/>
  <c r="I98" i="3"/>
  <c r="L98" i="3"/>
  <c r="Q98" i="3"/>
  <c r="V98" i="3"/>
  <c r="AB98" i="3"/>
  <c r="AD98" i="3"/>
  <c r="G204" i="3"/>
  <c r="I204" i="3"/>
  <c r="L204" i="3"/>
  <c r="Q204" i="3"/>
  <c r="V204" i="3"/>
  <c r="AB204" i="3"/>
  <c r="AD204" i="3"/>
  <c r="G9" i="3"/>
  <c r="I9" i="3"/>
  <c r="L9" i="3"/>
  <c r="Q9" i="3"/>
  <c r="V9" i="3"/>
  <c r="AB9" i="3"/>
  <c r="AD9" i="3"/>
  <c r="G51" i="3"/>
  <c r="I51" i="3"/>
  <c r="L51" i="3"/>
  <c r="Q51" i="3"/>
  <c r="V51" i="3"/>
  <c r="AB51" i="3"/>
  <c r="AD51" i="3"/>
  <c r="G232" i="3"/>
  <c r="I232" i="3"/>
  <c r="L232" i="3"/>
  <c r="Q232" i="3"/>
  <c r="V232" i="3"/>
  <c r="AB232" i="3"/>
  <c r="AD232" i="3"/>
  <c r="G99" i="3"/>
  <c r="I99" i="3"/>
  <c r="L99" i="3"/>
  <c r="Q99" i="3"/>
  <c r="V99" i="3"/>
  <c r="AB99" i="3"/>
  <c r="AD99" i="3"/>
  <c r="G205" i="3"/>
  <c r="I205" i="3"/>
  <c r="L205" i="3"/>
  <c r="Q205" i="3"/>
  <c r="V205" i="3"/>
  <c r="AB205" i="3"/>
  <c r="AD205" i="3"/>
  <c r="G53" i="3"/>
  <c r="I53" i="3"/>
  <c r="L53" i="3"/>
  <c r="Q53" i="3"/>
  <c r="V53" i="3"/>
  <c r="AB53" i="3"/>
  <c r="AD53" i="3"/>
  <c r="G206" i="3"/>
  <c r="I206" i="3"/>
  <c r="L206" i="3"/>
  <c r="Q206" i="3"/>
  <c r="V206" i="3"/>
  <c r="AB206" i="3"/>
  <c r="AD206" i="3"/>
  <c r="G261" i="3"/>
  <c r="I261" i="3"/>
  <c r="L261" i="3"/>
  <c r="Q261" i="3"/>
  <c r="V261" i="3"/>
  <c r="AB261" i="3"/>
  <c r="AD261" i="3"/>
  <c r="G200" i="3"/>
  <c r="I200" i="3"/>
  <c r="L200" i="3"/>
  <c r="Q200" i="3"/>
  <c r="V200" i="3"/>
  <c r="AB200" i="3"/>
  <c r="AD200" i="3"/>
  <c r="G52" i="3"/>
  <c r="I52" i="3"/>
  <c r="L52" i="3"/>
  <c r="Q52" i="3"/>
  <c r="V52" i="3"/>
  <c r="AB52" i="3"/>
  <c r="AD52" i="3"/>
  <c r="G36" i="3"/>
  <c r="I36" i="3"/>
  <c r="L36" i="3"/>
  <c r="Q36" i="3"/>
  <c r="V36" i="3"/>
  <c r="AB36" i="3"/>
  <c r="AD36" i="3"/>
  <c r="W241" i="3" l="1"/>
  <c r="W89" i="3"/>
  <c r="W87" i="3"/>
  <c r="W81" i="3"/>
  <c r="W25" i="3"/>
  <c r="W180" i="3"/>
  <c r="W143" i="3"/>
  <c r="W112" i="3"/>
  <c r="W59" i="3"/>
  <c r="W154" i="3"/>
  <c r="W121" i="3"/>
  <c r="W82" i="3"/>
  <c r="W78" i="3"/>
  <c r="W145" i="3"/>
  <c r="W109" i="3"/>
  <c r="W249" i="3"/>
  <c r="W111" i="3"/>
  <c r="W153" i="3"/>
  <c r="W152" i="3"/>
  <c r="W80" i="3"/>
  <c r="W174" i="3"/>
  <c r="W103" i="3"/>
  <c r="W102" i="3"/>
  <c r="W255" i="3"/>
  <c r="W76" i="3"/>
  <c r="W273" i="3"/>
  <c r="W44" i="3"/>
  <c r="W24" i="3"/>
  <c r="W23" i="3"/>
  <c r="W181" i="3"/>
  <c r="W63" i="3"/>
  <c r="W90" i="3"/>
  <c r="W124" i="3"/>
  <c r="W88" i="3"/>
  <c r="W123" i="3"/>
  <c r="W83" i="3"/>
  <c r="W120" i="3"/>
  <c r="W79" i="3"/>
  <c r="W75" i="3"/>
  <c r="W151" i="3"/>
  <c r="W183" i="3"/>
  <c r="W28" i="3"/>
  <c r="W27" i="3"/>
  <c r="W253" i="3"/>
  <c r="W150" i="3"/>
  <c r="W252" i="3"/>
  <c r="W148" i="3"/>
  <c r="W22" i="3"/>
  <c r="W40" i="3"/>
  <c r="W144" i="3"/>
  <c r="W178" i="3"/>
  <c r="W38" i="3"/>
  <c r="W269" i="3"/>
  <c r="W113" i="3"/>
  <c r="W250" i="3"/>
  <c r="W140" i="3"/>
  <c r="W138" i="3"/>
  <c r="W12" i="3"/>
  <c r="W11" i="3"/>
  <c r="W217" i="3"/>
  <c r="W216" i="3"/>
  <c r="W37" i="3"/>
  <c r="W268" i="3"/>
  <c r="W137" i="3"/>
  <c r="W72" i="3"/>
  <c r="W70" i="3"/>
  <c r="W68" i="3"/>
  <c r="W66" i="3"/>
  <c r="W106" i="3"/>
  <c r="W64" i="3"/>
  <c r="W61" i="3"/>
  <c r="W60" i="3"/>
  <c r="W265" i="3"/>
  <c r="W16" i="3"/>
  <c r="W56" i="3"/>
  <c r="W234" i="3"/>
  <c r="W55" i="3"/>
  <c r="W208" i="3"/>
  <c r="W52" i="3"/>
  <c r="W261" i="3"/>
  <c r="W53" i="3"/>
  <c r="W99" i="3"/>
  <c r="W51" i="3"/>
  <c r="W204" i="3"/>
  <c r="W132" i="3"/>
  <c r="W199" i="3"/>
  <c r="W198" i="3"/>
  <c r="W197" i="3"/>
  <c r="W130" i="3"/>
  <c r="W231" i="3"/>
  <c r="W230" i="3"/>
  <c r="W129" i="3"/>
  <c r="W128" i="3"/>
  <c r="W228" i="3"/>
  <c r="W93" i="3"/>
  <c r="W35" i="3"/>
  <c r="W195" i="3"/>
  <c r="W194" i="3"/>
  <c r="W164" i="3"/>
  <c r="W163" i="3"/>
  <c r="W162" i="3"/>
  <c r="W161" i="3"/>
  <c r="W92" i="3"/>
  <c r="W190" i="3"/>
  <c r="W246" i="3"/>
  <c r="W159" i="3"/>
  <c r="W245" i="3"/>
  <c r="W33" i="3"/>
  <c r="W257" i="3"/>
  <c r="W188" i="3"/>
  <c r="W32" i="3"/>
  <c r="W243" i="3"/>
  <c r="W276" i="3"/>
  <c r="W49" i="3"/>
  <c r="W275" i="3"/>
  <c r="W267" i="3"/>
  <c r="W157" i="3"/>
  <c r="W256" i="3"/>
  <c r="W156" i="3"/>
  <c r="W155" i="3"/>
  <c r="W274" i="3"/>
  <c r="W30" i="3"/>
  <c r="W29" i="3"/>
  <c r="W226" i="3"/>
  <c r="W125" i="3"/>
  <c r="W225" i="3"/>
  <c r="W224" i="3"/>
  <c r="W133" i="3"/>
  <c r="W235" i="3"/>
  <c r="W8" i="3"/>
  <c r="W100" i="3"/>
  <c r="W201" i="3"/>
  <c r="W212" i="3"/>
  <c r="W170" i="3"/>
  <c r="W36" i="3"/>
  <c r="W200" i="3"/>
  <c r="W206" i="3"/>
  <c r="W205" i="3"/>
  <c r="W232" i="3"/>
  <c r="W9" i="3"/>
  <c r="W98" i="3"/>
  <c r="W169" i="3"/>
  <c r="W168" i="3"/>
  <c r="W167" i="3"/>
  <c r="W131" i="3"/>
  <c r="W97" i="3"/>
  <c r="W96" i="3"/>
  <c r="W229" i="3"/>
  <c r="W95" i="3"/>
  <c r="W127" i="3"/>
  <c r="W94" i="3"/>
  <c r="W196" i="3"/>
  <c r="W260" i="3"/>
  <c r="W166" i="3"/>
  <c r="W165" i="3"/>
  <c r="W193" i="3"/>
  <c r="W192" i="3"/>
  <c r="W191" i="3"/>
  <c r="W126" i="3"/>
  <c r="W34" i="3"/>
  <c r="W160" i="3"/>
  <c r="W259" i="3"/>
  <c r="W50" i="3"/>
  <c r="W258" i="3"/>
  <c r="W244" i="3"/>
  <c r="W189" i="3"/>
  <c r="W187" i="3"/>
  <c r="W186" i="3"/>
  <c r="W242" i="3"/>
  <c r="W31" i="3"/>
  <c r="W227" i="3"/>
  <c r="W48" i="3"/>
  <c r="W158" i="3"/>
  <c r="W185" i="3"/>
  <c r="W47" i="3"/>
  <c r="W46" i="3"/>
  <c r="W223" i="3"/>
  <c r="W211" i="3"/>
  <c r="W86" i="3"/>
  <c r="W254" i="3"/>
  <c r="W85" i="3"/>
  <c r="W84" i="3"/>
  <c r="W222" i="3"/>
  <c r="W184" i="3"/>
  <c r="W119" i="3"/>
  <c r="W118" i="3"/>
  <c r="W117" i="3"/>
  <c r="W221" i="3"/>
  <c r="W116" i="3"/>
  <c r="W77" i="3"/>
  <c r="W115" i="3"/>
  <c r="W220" i="3"/>
  <c r="W114" i="3"/>
  <c r="W240" i="3"/>
  <c r="W219" i="3"/>
  <c r="W239" i="3"/>
  <c r="W26" i="3"/>
  <c r="W182" i="3"/>
  <c r="W45" i="3"/>
  <c r="W43" i="3"/>
  <c r="W42" i="3"/>
  <c r="W272" i="3"/>
  <c r="W149" i="3"/>
  <c r="W147" i="3"/>
  <c r="W251" i="3"/>
  <c r="W146" i="3"/>
  <c r="W21" i="3"/>
  <c r="W20" i="3"/>
  <c r="W39" i="3"/>
  <c r="W270" i="3"/>
  <c r="W179" i="3"/>
  <c r="W74" i="3"/>
  <c r="W15" i="3"/>
  <c r="W177" i="3"/>
  <c r="W238" i="3"/>
  <c r="W218" i="3"/>
  <c r="W141" i="3"/>
  <c r="W176" i="3"/>
  <c r="W266" i="3"/>
  <c r="W139" i="3"/>
  <c r="W237" i="3"/>
  <c r="W210" i="3"/>
  <c r="W18" i="3"/>
  <c r="W248" i="3"/>
  <c r="W236" i="3"/>
  <c r="W14" i="3"/>
  <c r="W17" i="3"/>
  <c r="W175" i="3"/>
  <c r="W173" i="3"/>
  <c r="W73" i="3"/>
  <c r="W209" i="3"/>
  <c r="W110" i="3"/>
  <c r="W71" i="3"/>
  <c r="W69" i="3"/>
  <c r="W108" i="3"/>
  <c r="W67" i="3"/>
  <c r="W107" i="3"/>
  <c r="W65" i="3"/>
  <c r="W105" i="3"/>
  <c r="W62" i="3"/>
  <c r="W104" i="3"/>
  <c r="W215" i="3"/>
  <c r="W58" i="3"/>
  <c r="W172" i="3"/>
  <c r="W57" i="3"/>
  <c r="W247" i="3"/>
  <c r="W264" i="3"/>
  <c r="W101" i="3"/>
  <c r="W171" i="3"/>
  <c r="W213" i="3"/>
  <c r="W54" i="3"/>
  <c r="W263" i="3"/>
  <c r="W233" i="3"/>
  <c r="W136" i="3"/>
  <c r="W13" i="3"/>
  <c r="W262" i="3"/>
  <c r="W207" i="3"/>
  <c r="W202" i="3"/>
  <c r="W134" i="3"/>
  <c r="W10" i="3"/>
</calcChain>
</file>

<file path=xl/sharedStrings.xml><?xml version="1.0" encoding="utf-8"?>
<sst xmlns="http://schemas.openxmlformats.org/spreadsheetml/2006/main" count="3053" uniqueCount="373">
  <si>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</si>
  <si>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</si>
  <si>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</si>
  <si>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</si>
  <si>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</si>
  <si>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</si>
  <si>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</si>
  <si>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</si>
  <si>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</si>
  <si>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</si>
  <si>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</si>
  <si>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</si>
  <si>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</si>
  <si>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</si>
  <si>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</si>
  <si>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</si>
  <si>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</si>
  <si>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</si>
  <si>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</si>
  <si>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</si>
  <si>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</si>
  <si>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</si>
  <si>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</si>
  <si>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</si>
  <si>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</si>
  <si>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</si>
  <si>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</si>
  <si>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</si>
  <si>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</si>
  <si>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</si>
  <si>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</si>
  <si>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</si>
  <si>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</si>
  <si>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</si>
  <si>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Rwanda</t>
  </si>
  <si>
    <t>DRC</t>
  </si>
  <si>
    <t>Veh_Reg_No.</t>
  </si>
  <si>
    <t>District</t>
  </si>
  <si>
    <t>Country</t>
  </si>
  <si>
    <t>Supervisor:</t>
  </si>
  <si>
    <t>Village or Town</t>
  </si>
  <si>
    <t>Car</t>
  </si>
  <si>
    <t>Station Wagon</t>
  </si>
  <si>
    <t>Pickups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</si>
  <si>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</si>
  <si>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</si>
  <si>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</si>
  <si>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</si>
  <si>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</si>
  <si>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</si>
  <si>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</si>
  <si>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</si>
  <si>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</si>
  <si>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</si>
  <si>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</si>
  <si>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</si>
  <si>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</si>
  <si>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</si>
  <si>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</si>
  <si>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</si>
  <si>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</si>
  <si>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</si>
  <si>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</si>
  <si>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</si>
  <si>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</si>
  <si>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</si>
  <si>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</si>
  <si>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</si>
  <si>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</si>
  <si>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</si>
  <si>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</si>
  <si>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</si>
  <si>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</si>
  <si>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</si>
  <si>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</si>
  <si>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</si>
  <si>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</si>
  <si>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</si>
  <si>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</si>
  <si>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</si>
  <si>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</si>
  <si>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</si>
  <si>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</si>
  <si>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</si>
  <si>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</si>
  <si>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</si>
  <si>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</si>
  <si>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</si>
  <si>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</si>
  <si>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</si>
  <si>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</si>
  <si>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</si>
  <si>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</si>
  <si>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</si>
  <si>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</si>
  <si>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</si>
  <si>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</si>
  <si>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</si>
  <si>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</si>
  <si>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</si>
  <si>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</si>
  <si>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Pay How Much? (UGX)</t>
  </si>
  <si>
    <t>Date</t>
  </si>
  <si>
    <t>Town</t>
  </si>
  <si>
    <t>Deo B. M</t>
  </si>
  <si>
    <t>Stated Preferance Survey</t>
  </si>
  <si>
    <t>Mode No.</t>
  </si>
  <si>
    <t>Mode Description</t>
  </si>
  <si>
    <t>Mode Number</t>
  </si>
  <si>
    <t>Walking/Cycling</t>
  </si>
  <si>
    <t>Road Vehicle</t>
  </si>
  <si>
    <t>Rail</t>
  </si>
  <si>
    <t>Water/Ferry</t>
  </si>
  <si>
    <t>Air</t>
  </si>
  <si>
    <t>Veh_Type Desc</t>
  </si>
  <si>
    <t>Minibus</t>
  </si>
  <si>
    <t>Gender (M/F)</t>
  </si>
  <si>
    <t>Age Bracket No.</t>
  </si>
  <si>
    <t>Age Bracket Desc.</t>
  </si>
  <si>
    <t>20-29</t>
  </si>
  <si>
    <t>30-39</t>
  </si>
  <si>
    <t>40-49</t>
  </si>
  <si>
    <t>50-59</t>
  </si>
  <si>
    <t>60-69</t>
  </si>
  <si>
    <t>70-</t>
  </si>
  <si>
    <t>Cost of Trip (UGX)</t>
  </si>
  <si>
    <t>Journey Dist (Km)</t>
  </si>
  <si>
    <t>Journey Time (Hrs)</t>
  </si>
  <si>
    <t>Profession No.</t>
  </si>
  <si>
    <t>Profession Desc.</t>
  </si>
  <si>
    <t>Profession</t>
  </si>
  <si>
    <t>Unemployed</t>
  </si>
  <si>
    <t>Manual Labour</t>
  </si>
  <si>
    <t>Artisan/Domestic</t>
  </si>
  <si>
    <t>Office Worker</t>
  </si>
  <si>
    <t>Professional</t>
  </si>
  <si>
    <t>Businessman</t>
  </si>
  <si>
    <t>Farmer</t>
  </si>
  <si>
    <t>Student</t>
  </si>
  <si>
    <t>Retired</t>
  </si>
  <si>
    <t>Other</t>
  </si>
  <si>
    <t>Monthly Income No.</t>
  </si>
  <si>
    <t xml:space="preserve">Monthly Income </t>
  </si>
  <si>
    <t>Monthly Income</t>
  </si>
  <si>
    <t>&lt;300,000</t>
  </si>
  <si>
    <t>300,000-500,000</t>
  </si>
  <si>
    <t>500,000-750,000</t>
  </si>
  <si>
    <t>750,000-1,000,000</t>
  </si>
  <si>
    <t>&gt;1,000,000</t>
  </si>
  <si>
    <t>Rank of Issues NOT OK with Journey</t>
  </si>
  <si>
    <t>Journey Time</t>
  </si>
  <si>
    <t>Cost of Journey</t>
  </si>
  <si>
    <t>Comfort</t>
  </si>
  <si>
    <t>Safety</t>
  </si>
  <si>
    <t>Reliability</t>
  </si>
  <si>
    <t>Would You Use Xpressways? Y/N</t>
  </si>
  <si>
    <t>Driver or Passenger? D/P</t>
  </si>
  <si>
    <t>Time (24-h format)</t>
  </si>
  <si>
    <t>DENIS</t>
  </si>
  <si>
    <t>UG</t>
  </si>
  <si>
    <t>Y</t>
  </si>
  <si>
    <t>KABALE</t>
  </si>
  <si>
    <t>FLAVIA</t>
  </si>
  <si>
    <t>21.10.19</t>
  </si>
  <si>
    <t>P</t>
  </si>
  <si>
    <t>F</t>
  </si>
  <si>
    <t>RUBANDA TOWN</t>
  </si>
  <si>
    <t>RUBANDA</t>
  </si>
  <si>
    <t>KABALE TOWN</t>
  </si>
  <si>
    <t>KISORO TOWN</t>
  </si>
  <si>
    <t>KISORO</t>
  </si>
  <si>
    <t>KAMPALA TOWN</t>
  </si>
  <si>
    <t>KAMPALA</t>
  </si>
  <si>
    <t>D</t>
  </si>
  <si>
    <t>M</t>
  </si>
  <si>
    <t>KINONI</t>
  </si>
  <si>
    <t>UAD 108R</t>
  </si>
  <si>
    <t>KIZIRIZI</t>
  </si>
  <si>
    <t>KIGALI TOWN</t>
  </si>
  <si>
    <t>KIGALI</t>
  </si>
  <si>
    <t>NAIROBI TOWN</t>
  </si>
  <si>
    <t>NAIROBI</t>
  </si>
  <si>
    <t>UAG371X</t>
  </si>
  <si>
    <t>NTUNGAMO TOWN</t>
  </si>
  <si>
    <t>NTUNGAMO</t>
  </si>
  <si>
    <t>MBARARA TOWN</t>
  </si>
  <si>
    <t>MBARARA</t>
  </si>
  <si>
    <t>UAQ 039B</t>
  </si>
  <si>
    <t>KATUNA</t>
  </si>
  <si>
    <t>UG 0461R</t>
  </si>
  <si>
    <t>KAZIRA</t>
  </si>
  <si>
    <t>UAP 781N</t>
  </si>
  <si>
    <t>MASAKA TOWN</t>
  </si>
  <si>
    <t>MASAKA</t>
  </si>
  <si>
    <t>KASHERERE</t>
  </si>
  <si>
    <t>UAT 109S</t>
  </si>
  <si>
    <t>UBF 910A</t>
  </si>
  <si>
    <t>GORILLA CAMP</t>
  </si>
  <si>
    <t>UBB 776S</t>
  </si>
  <si>
    <t>UBE 709R</t>
  </si>
  <si>
    <t>LUKINDA</t>
  </si>
  <si>
    <t>UBA 002P</t>
  </si>
  <si>
    <t>KISIRIZI</t>
  </si>
  <si>
    <t>UAX 410K</t>
  </si>
  <si>
    <t>GISENYI</t>
  </si>
  <si>
    <t>MAKERERE</t>
  </si>
  <si>
    <t>KIREKA</t>
  </si>
  <si>
    <t>KAMWOKYA</t>
  </si>
  <si>
    <t>UAH 783T</t>
  </si>
  <si>
    <t>MUNYONYO</t>
  </si>
  <si>
    <t>GGABA</t>
  </si>
  <si>
    <t>KYANIKA TOWN</t>
  </si>
  <si>
    <t>UAZ 962C</t>
  </si>
  <si>
    <t>MUKONO TOWN</t>
  </si>
  <si>
    <t>MUKONO</t>
  </si>
  <si>
    <t>MASAJJA</t>
  </si>
  <si>
    <t>WAKISO</t>
  </si>
  <si>
    <t>GOMA</t>
  </si>
  <si>
    <t>UAV 309X</t>
  </si>
  <si>
    <t>LUGOGO</t>
  </si>
  <si>
    <t>SEETA</t>
  </si>
  <si>
    <t>KAWEMPE</t>
  </si>
  <si>
    <t>UAY 783A</t>
  </si>
  <si>
    <t>BUSABALA</t>
  </si>
  <si>
    <t>KOLOLO</t>
  </si>
  <si>
    <t>MAKINDYE</t>
  </si>
  <si>
    <t>UBA 059Y</t>
  </si>
  <si>
    <t>HOIMA TOWN</t>
  </si>
  <si>
    <t>HOIMA</t>
  </si>
  <si>
    <t>UAM 749V</t>
  </si>
  <si>
    <t>FORTPORTAL TOWN</t>
  </si>
  <si>
    <t>FORTPORTAL</t>
  </si>
  <si>
    <t>ISINGIRO TOWN</t>
  </si>
  <si>
    <t>ISINGIRO</t>
  </si>
  <si>
    <t>UAR 717C</t>
  </si>
  <si>
    <t>UAN 181F</t>
  </si>
  <si>
    <t>SIR APOLLO</t>
  </si>
  <si>
    <t>UAR 371K</t>
  </si>
  <si>
    <t>KITWE</t>
  </si>
  <si>
    <t>22.10.19</t>
  </si>
  <si>
    <t>JULIUS.R, KAYONDO DRAKE, JOHN.N</t>
  </si>
  <si>
    <t>BUSEGA</t>
  </si>
  <si>
    <t>UAX 751Y</t>
  </si>
  <si>
    <t>UAX 296X</t>
  </si>
  <si>
    <t>RUKUNGIRI TOWN</t>
  </si>
  <si>
    <t>RUKUNGIRI</t>
  </si>
  <si>
    <t>ISHAKA TOWN</t>
  </si>
  <si>
    <t>ISHAKA</t>
  </si>
  <si>
    <t>UBC 556E</t>
  </si>
  <si>
    <t>RUKINDO</t>
  </si>
  <si>
    <t>KIBALE</t>
  </si>
  <si>
    <t>UAF 575F</t>
  </si>
  <si>
    <t>UAH 160Q</t>
  </si>
  <si>
    <t>MUKIGUGWE</t>
  </si>
  <si>
    <t>UAE 566Q</t>
  </si>
  <si>
    <t>RISINJI</t>
  </si>
  <si>
    <t>NYENDO</t>
  </si>
  <si>
    <t>KARUGUUZA</t>
  </si>
  <si>
    <t>UBF 388Y</t>
  </si>
  <si>
    <t>KAGADI TOWN</t>
  </si>
  <si>
    <t>KAGADI</t>
  </si>
  <si>
    <t>UAV 473X</t>
  </si>
  <si>
    <t>IBANDA TOWN</t>
  </si>
  <si>
    <t>IBANDA</t>
  </si>
  <si>
    <t>UBB 454W</t>
  </si>
  <si>
    <t>KASINZI</t>
  </si>
  <si>
    <t>LUBAALE</t>
  </si>
  <si>
    <t>MUKO</t>
  </si>
  <si>
    <t>UAY 566Y</t>
  </si>
  <si>
    <t>UAA 588V</t>
  </si>
  <si>
    <t>KAMWENGE TOWN</t>
  </si>
  <si>
    <t>KAMWENGE</t>
  </si>
  <si>
    <t>UAX 513Q</t>
  </si>
  <si>
    <t>UAU 731B</t>
  </si>
  <si>
    <t>BWINDI TOWN</t>
  </si>
  <si>
    <t>BWINDI</t>
  </si>
  <si>
    <t>UAS 006S</t>
  </si>
  <si>
    <t>MUNANUKA</t>
  </si>
  <si>
    <t>UAY 513G</t>
  </si>
  <si>
    <t>UBE 291K</t>
  </si>
  <si>
    <t>UAF 068X</t>
  </si>
  <si>
    <t>LUBANYA</t>
  </si>
  <si>
    <t>MAKUNGUGUDE</t>
  </si>
  <si>
    <t>UBB 545W</t>
  </si>
  <si>
    <t>UBF 068X</t>
  </si>
  <si>
    <t>UBE 119P</t>
  </si>
  <si>
    <t>UBB 797U</t>
  </si>
  <si>
    <t>KAMENZI TOWN</t>
  </si>
  <si>
    <t>KAMENZI</t>
  </si>
  <si>
    <t>UAN 179A</t>
  </si>
  <si>
    <t>NATEETE</t>
  </si>
  <si>
    <t>KINAWA</t>
  </si>
  <si>
    <t>NAKAWUKA</t>
  </si>
  <si>
    <t>KYOTERA</t>
  </si>
  <si>
    <t>BIZIRI TOWN</t>
  </si>
  <si>
    <t>BIZIRI</t>
  </si>
  <si>
    <t>UAF 795X</t>
  </si>
  <si>
    <t>UBE 453T</t>
  </si>
  <si>
    <t>BWAISE</t>
  </si>
  <si>
    <t>KAJJANSI</t>
  </si>
  <si>
    <t>ENTEBBE</t>
  </si>
  <si>
    <t>KAGAABA TOWN</t>
  </si>
  <si>
    <t>KAGABA</t>
  </si>
  <si>
    <t>KAGAABA</t>
  </si>
  <si>
    <t>UAV 799V</t>
  </si>
  <si>
    <t>UAZ 672E</t>
  </si>
  <si>
    <t xml:space="preserve">KITWE </t>
  </si>
  <si>
    <t>LUKAYA</t>
  </si>
  <si>
    <t>KITALA</t>
  </si>
  <si>
    <t>UAP 745F</t>
  </si>
  <si>
    <t>NANSANA</t>
  </si>
  <si>
    <t>KIBULI</t>
  </si>
  <si>
    <t>KITINTALE</t>
  </si>
  <si>
    <t>UAM 419R</t>
  </si>
  <si>
    <t>NAMUNUKA TOWN</t>
  </si>
  <si>
    <t>NAMUNUKA</t>
  </si>
  <si>
    <t>LYANTONDE</t>
  </si>
  <si>
    <t>LYANTONDE TOWN</t>
  </si>
  <si>
    <t>UAX 309X</t>
  </si>
  <si>
    <t>UAX 859G</t>
  </si>
  <si>
    <t>UAM 823W</t>
  </si>
  <si>
    <t>23.10.19</t>
  </si>
  <si>
    <t>LUBALA</t>
  </si>
  <si>
    <t>MITOMA TOWN</t>
  </si>
  <si>
    <t>MITOMA</t>
  </si>
  <si>
    <t>KASESE TOWN</t>
  </si>
  <si>
    <t>KASESE</t>
  </si>
  <si>
    <t>BUSHENYI TOWN</t>
  </si>
  <si>
    <t>BUSHENYI</t>
  </si>
  <si>
    <t>LUBIIRI</t>
  </si>
  <si>
    <t>UAP 050Q</t>
  </si>
  <si>
    <t>UAZ 562X</t>
  </si>
  <si>
    <t>UAQ 302J</t>
  </si>
  <si>
    <t>UAM 810Z</t>
  </si>
  <si>
    <t>KABUYANDA TOWN</t>
  </si>
  <si>
    <t>KABUYANDA</t>
  </si>
  <si>
    <t>UAS 136V</t>
  </si>
  <si>
    <t>UAM 807C</t>
  </si>
  <si>
    <t>NAKIGUGWE</t>
  </si>
  <si>
    <t>UAX 587B</t>
  </si>
  <si>
    <t>KAHIHI TOWN</t>
  </si>
  <si>
    <t>KAHIHI</t>
  </si>
  <si>
    <t>BUTOGOTA TOWN</t>
  </si>
  <si>
    <t>LUZIRA</t>
  </si>
  <si>
    <t>UAS 989T</t>
  </si>
  <si>
    <t>UAG 917R</t>
  </si>
  <si>
    <t>UAQ 755R</t>
  </si>
  <si>
    <t>UAT 700G</t>
  </si>
  <si>
    <t>UBE 083C</t>
  </si>
  <si>
    <t>UBF 472U</t>
  </si>
  <si>
    <t>LUBAALE TOWN</t>
  </si>
  <si>
    <t>UAR 322R</t>
  </si>
  <si>
    <t>UBE 711N</t>
  </si>
  <si>
    <t>UG 0443M</t>
  </si>
  <si>
    <t>UAX 023K</t>
  </si>
  <si>
    <t>MAKIGUGWE</t>
  </si>
  <si>
    <t>UBD 911A</t>
  </si>
  <si>
    <t>UG 4113T</t>
  </si>
  <si>
    <t>UBB 413X</t>
  </si>
  <si>
    <t>L. BUNYONYI</t>
  </si>
  <si>
    <t>NYAMUNONGA</t>
  </si>
  <si>
    <t>KANUNGU</t>
  </si>
  <si>
    <t>KISIIZI TOWN</t>
  </si>
  <si>
    <t>Row Label</t>
  </si>
  <si>
    <t>Count of Gender</t>
  </si>
  <si>
    <t>Percentage</t>
  </si>
  <si>
    <t>Female</t>
  </si>
  <si>
    <t>Male</t>
  </si>
  <si>
    <t>Grand Total</t>
  </si>
  <si>
    <t>Modes</t>
  </si>
  <si>
    <t>Total</t>
  </si>
  <si>
    <t>Bicycle</t>
  </si>
  <si>
    <t>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</si>
</sst>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yyyy\-mm\-dd;@"/>
  </numFmts>
  <fonts count="12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0"/>
      <color rgb="FF00B0F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</cellStyleXfs>
  <cellXfs count="98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0" fontId="5" fillId="0" borderId="2" xfId="0" applyFont="1" applyFill="1" applyBorder="1"/>
    <xf numFmtId="0" fontId="3" fillId="0" borderId="0" xfId="0" applyFont="1" applyAlignment="1">
      <alignment horizontal="center" vertical="center"/>
    </xf>
    <xf numFmtId="0" fontId="5" fillId="2" borderId="2" xfId="0" applyFont="1" applyFill="1" applyBorder="1"/>
    <xf numFmtId="165" fontId="5" fillId="0" borderId="2" xfId="0" applyNumberFormat="1" applyFont="1" applyFill="1" applyBorder="1" applyAlignment="1">
      <alignment horizontal="center"/>
    </xf>
    <xf numFmtId="1" fontId="5" fillId="0" borderId="2" xfId="0" applyNumberFormat="1" applyFont="1" applyFill="1" applyBorder="1" applyAlignment="1">
      <alignment horizontal="center" wrapText="1"/>
    </xf>
    <xf numFmtId="1" fontId="5" fillId="0" borderId="2" xfId="0" applyNumberFormat="1" applyFont="1" applyFill="1" applyBorder="1" applyAlignment="1">
      <alignment horizontal="center"/>
    </xf>
    <xf numFmtId="166" fontId="5" fillId="0" borderId="2" xfId="0" applyNumberFormat="1" applyFont="1" applyFill="1" applyBorder="1"/>
    <xf numFmtId="0" fontId="5" fillId="0" borderId="2" xfId="0" applyFont="1" applyFill="1" applyBorder="1" applyAlignment="1">
      <alignment horizontal="center"/>
    </xf>
    <xf numFmtId="167" fontId="5" fillId="0" borderId="2" xfId="1" applyNumberFormat="1" applyFont="1" applyFill="1" applyBorder="1"/>
    <xf numFmtId="0" fontId="0" fillId="0" borderId="0" xfId="0" applyAlignment="1">
      <alignment horizontal="center"/>
    </xf>
    <xf numFmtId="165" fontId="5" fillId="2" borderId="2" xfId="0" applyNumberFormat="1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horizontal="left" wrapText="1"/>
    </xf>
    <xf numFmtId="1" fontId="5" fillId="2" borderId="2" xfId="0" applyNumberFormat="1" applyFont="1" applyFill="1" applyBorder="1" applyAlignment="1">
      <alignment horizontal="center"/>
    </xf>
    <xf numFmtId="0" fontId="1" fillId="0" borderId="0" xfId="0" applyFont="1" applyAlignment="1">
      <alignment horizontal="left"/>
    </xf>
    <xf numFmtId="0" fontId="4" fillId="3" borderId="0" xfId="0" applyFont="1" applyFill="1" applyBorder="1" applyAlignment="1">
      <alignment horizontal="left" vertical="center"/>
    </xf>
    <xf numFmtId="1" fontId="1" fillId="0" borderId="2" xfId="0" applyNumberFormat="1" applyFont="1" applyBorder="1" applyAlignment="1">
      <alignment vertical="center" wrapText="1"/>
    </xf>
    <xf numFmtId="0" fontId="0" fillId="0" borderId="0" xfId="0" applyFill="1"/>
    <xf numFmtId="168" fontId="5" fillId="0" borderId="2" xfId="0" applyNumberFormat="1" applyFont="1" applyBorder="1"/>
    <xf numFmtId="3" fontId="5" fillId="0" borderId="2" xfId="0" applyNumberFormat="1" applyFont="1" applyFill="1" applyBorder="1"/>
    <xf numFmtId="168" fontId="9" fillId="0" borderId="2" xfId="0" applyNumberFormat="1" applyFont="1" applyBorder="1"/>
    <xf numFmtId="168" fontId="11" fillId="0" borderId="2" xfId="0" applyNumberFormat="1" applyFont="1" applyBorder="1"/>
    <xf numFmtId="9" fontId="0" fillId="0" borderId="0" xfId="0" applyNumberFormat="1"/>
    <xf numFmtId="0" fontId="3" fillId="0" borderId="2" xfId="0" applyFont="1" applyBorder="1"/>
    <xf numFmtId="0" fontId="3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9" fontId="0" fillId="0" borderId="2" xfId="2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left" vertical="center"/>
    </xf>
    <xf numFmtId="0" fontId="8" fillId="3" borderId="22" xfId="0" applyFont="1" applyFill="1" applyBorder="1" applyAlignment="1">
      <alignment horizontal="left" vertical="center"/>
    </xf>
    <xf numFmtId="0" fontId="8" fillId="3" borderId="23" xfId="0" applyFont="1" applyFill="1" applyBorder="1" applyAlignment="1">
      <alignment horizontal="left" vertical="center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24" xfId="0" applyNumberFormat="1" applyFont="1" applyBorder="1" applyAlignment="1">
      <alignment horizontal="center" vertical="center" wrapText="1"/>
    </xf>
    <xf numFmtId="1" fontId="1" fillId="0" borderId="25" xfId="0" applyNumberFormat="1" applyFont="1" applyBorder="1" applyAlignment="1">
      <alignment horizontal="center" vertical="center" wrapText="1"/>
    </xf>
    <xf numFmtId="0" fontId="4" fillId="3" borderId="21" xfId="0" applyFont="1" applyFill="1" applyBorder="1" applyAlignment="1">
      <alignment horizontal="left" vertical="center"/>
    </xf>
    <xf numFmtId="0" fontId="4" fillId="3" borderId="23" xfId="0" applyFont="1" applyFill="1" applyBorder="1" applyAlignment="1">
      <alignment horizontal="left" vertical="center"/>
    </xf>
    <xf numFmtId="0" fontId="5" fillId="3" borderId="21" xfId="0" applyFont="1" applyFill="1" applyBorder="1" applyAlignment="1">
      <alignment horizontal="left"/>
    </xf>
    <xf numFmtId="0" fontId="5" fillId="3" borderId="22" xfId="0" applyFont="1" applyFill="1" applyBorder="1" applyAlignment="1">
      <alignment horizontal="left"/>
    </xf>
    <xf numFmtId="0" fontId="5" fillId="3" borderId="23" xfId="0" applyFont="1" applyFill="1" applyBorder="1" applyAlignment="1">
      <alignment horizontal="left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1" fillId="0" borderId="2" xfId="0" applyFont="1" applyFill="1" applyBorder="1" applyAlignment="1">
      <alignment vertical="center"/>
    </xf>
    <xf numFmtId="0" fontId="1" fillId="0" borderId="2" xfId="0" applyFont="1" applyFill="1" applyBorder="1"/>
    <xf numFmtId="0" fontId="0" fillId="0" borderId="2" xfId="0" applyFill="1" applyBorder="1"/>
    <xf numFmtId="9" fontId="0" fillId="0" borderId="2" xfId="2" applyFont="1" applyFill="1" applyBorder="1"/>
  </cellXfs>
  <cellStyles count="4">
    <cellStyle name="Comma" xfId="1" builtinId="3"/>
    <cellStyle name="Normal" xfId="0" builtinId="0"/>
    <cellStyle name="Normal 2" xfId="3" xr:uid="{00000000-0005-0000-0000-000002000000}"/>
    <cellStyle name="Percent 2" xfId="2" xr:uid="{00000000-0005-0000-0000-000003000000}"/>
  </cellStyles>
  <dxfs count="0"/>
  <tableStyles count="0" defaultTableStyle="TableStyleMedium9" defaultPivotStyle="PivotStyleLight16"/>
  <colors>
    <mruColors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310"/>
  <sheetViews>
    <sheetView tabSelected="1" topLeftCell="A283" zoomScale="75" zoomScaleNormal="75" zoomScaleSheetLayoutView="80" workbookViewId="0">
      <selection activeCell="S312" sqref="S312"/>
    </sheetView>
  </sheetViews>
  <sheetFormatPr defaultRowHeight="12.75" x14ac:dyDescent="0.2"/>
  <cols>
    <col min="1" max="1" width="2.7109375" customWidth="1"/>
    <col min="2" max="2" width="12.140625" customWidth="1"/>
    <col min="3" max="3" width="7.28515625" customWidth="1"/>
    <col min="4" max="4" width="11.5703125" customWidth="1"/>
    <col min="5" max="6" width="10.28515625" customWidth="1"/>
    <col min="7" max="7" width="13.140625" customWidth="1"/>
    <col min="8" max="8" width="9.7109375" customWidth="1"/>
    <col min="9" max="9" width="13.7109375" customWidth="1"/>
    <col min="10" max="10" width="11.5703125" customWidth="1"/>
    <col min="11" max="11" width="8.85546875" customWidth="1"/>
    <col min="12" max="12" width="9.7109375" customWidth="1"/>
    <col min="13" max="13" width="15.28515625" customWidth="1"/>
    <col min="14" max="14" width="12.85546875" customWidth="1"/>
    <col min="15" max="15" width="9.42578125" customWidth="1"/>
    <col min="16" max="16" width="8.42578125" style="42" customWidth="1"/>
    <col min="17" max="17" width="11.85546875" customWidth="1"/>
    <col min="18" max="18" width="15.7109375" customWidth="1"/>
    <col min="19" max="19" width="12.28515625" customWidth="1"/>
    <col min="20" max="20" width="12.140625" customWidth="1"/>
    <col min="21" max="21" width="9.28515625" customWidth="1"/>
    <col min="22" max="22" width="12.7109375" customWidth="1"/>
    <col min="23" max="23" width="15.7109375" customWidth="1"/>
    <col min="24" max="24" width="11.5703125" style="49" customWidth="1"/>
    <col min="25" max="25" width="9.28515625" customWidth="1"/>
    <col min="26" max="26" width="9.42578125" customWidth="1"/>
    <col min="27" max="27" width="9.28515625" customWidth="1"/>
    <col min="28" max="28" width="12.85546875" customWidth="1"/>
    <col min="29" max="29" width="9.42578125" customWidth="1"/>
    <col min="30" max="30" width="17.42578125" customWidth="1"/>
    <col min="31" max="31" width="11.140625" customWidth="1"/>
    <col min="32" max="32" width="11" customWidth="1"/>
    <col min="33" max="34" width="10.7109375" customWidth="1"/>
    <col min="35" max="35" width="12.28515625" customWidth="1"/>
    <col min="36" max="36" width="10.5703125" customWidth="1"/>
    <col min="37" max="37" width="10.7109375" customWidth="1"/>
    <col min="38" max="38" width="8.42578125" customWidth="1"/>
    <col min="39" max="39" width="8" customWidth="1"/>
  </cols>
  <sheetData>
    <row r="1" spans="1:46" s="1" customFormat="1" ht="15.75" x14ac:dyDescent="0.2">
      <c r="C1" s="61" t="s">
        <v>97</v>
      </c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"/>
      <c r="AO1" s="6"/>
      <c r="AP1" s="6"/>
      <c r="AQ1" s="6"/>
      <c r="AR1" s="6"/>
      <c r="AS1" s="6"/>
      <c r="AT1" s="6"/>
    </row>
    <row r="2" spans="1:46" ht="15.75" x14ac:dyDescent="0.2">
      <c r="C2" s="61" t="s">
        <v>105</v>
      </c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7"/>
      <c r="AO2" s="7"/>
      <c r="AP2" s="7"/>
      <c r="AQ2" s="7"/>
      <c r="AR2" s="7"/>
      <c r="AS2" s="7"/>
      <c r="AT2" s="7"/>
    </row>
    <row r="3" spans="1:46" ht="15" x14ac:dyDescent="0.2">
      <c r="C3" s="2"/>
      <c r="D3" s="2"/>
      <c r="E3" s="34"/>
      <c r="F3" s="34"/>
      <c r="G3" s="34"/>
      <c r="H3" s="2"/>
      <c r="I3" s="34"/>
      <c r="J3" s="2"/>
      <c r="K3" s="34"/>
      <c r="L3" s="34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34"/>
      <c r="Y3" s="2"/>
      <c r="Z3" s="2"/>
      <c r="AA3" s="2"/>
      <c r="AB3" s="34"/>
      <c r="AC3" s="34"/>
      <c r="AD3" s="34"/>
      <c r="AE3" s="2"/>
      <c r="AF3" s="2"/>
      <c r="AG3" s="2"/>
      <c r="AH3" s="34"/>
      <c r="AI3" s="34"/>
      <c r="AJ3" s="2"/>
      <c r="AK3" s="2"/>
      <c r="AL3" s="2"/>
      <c r="AM3" s="2"/>
    </row>
    <row r="4" spans="1:46" ht="15" customHeight="1" x14ac:dyDescent="0.2">
      <c r="C4" s="34"/>
      <c r="D4" s="1" t="s">
        <v>103</v>
      </c>
      <c r="E4" s="68" t="s">
        <v>161</v>
      </c>
      <c r="F4" s="69"/>
      <c r="G4" s="70"/>
      <c r="I4" s="46" t="s">
        <v>3</v>
      </c>
      <c r="J4" s="83" t="s">
        <v>240</v>
      </c>
      <c r="K4" s="84"/>
      <c r="L4" s="85"/>
      <c r="N4" s="1" t="s">
        <v>39</v>
      </c>
      <c r="O4" s="83" t="s">
        <v>158</v>
      </c>
      <c r="P4" s="85"/>
      <c r="R4" s="26" t="s">
        <v>6</v>
      </c>
      <c r="S4" s="81" t="s">
        <v>162</v>
      </c>
      <c r="T4" s="82"/>
      <c r="W4" s="27" t="s">
        <v>7</v>
      </c>
      <c r="X4" s="81" t="s">
        <v>104</v>
      </c>
      <c r="Y4" s="82"/>
      <c r="AH4" s="47"/>
      <c r="AI4" s="47"/>
      <c r="AP4" s="10"/>
      <c r="AQ4" s="5"/>
    </row>
    <row r="5" spans="1:46" ht="15" customHeight="1" thickBot="1" x14ac:dyDescent="0.25">
      <c r="C5" s="2"/>
      <c r="D5" s="2"/>
      <c r="E5" s="34"/>
      <c r="F5" s="34"/>
      <c r="G5" s="34"/>
      <c r="H5" s="2"/>
      <c r="I5" s="34"/>
      <c r="J5" s="22"/>
      <c r="K5" s="22"/>
      <c r="L5" s="22"/>
      <c r="M5" s="2"/>
      <c r="N5" s="2"/>
      <c r="P5" s="2"/>
      <c r="Q5" s="2"/>
      <c r="R5" s="5"/>
      <c r="S5" s="2"/>
      <c r="T5" s="2"/>
      <c r="U5" s="2"/>
      <c r="V5" s="2"/>
      <c r="W5" s="2"/>
      <c r="X5" s="34"/>
      <c r="Y5" s="2"/>
      <c r="Z5" s="2"/>
      <c r="AA5" s="2"/>
      <c r="AB5" s="34"/>
      <c r="AC5" s="34"/>
      <c r="AD5" s="34"/>
      <c r="AE5" s="2"/>
      <c r="AF5" s="2"/>
      <c r="AG5" s="2"/>
      <c r="AH5" s="34"/>
      <c r="AI5" s="34"/>
      <c r="AJ5" s="2"/>
      <c r="AK5" s="2"/>
      <c r="AL5" s="2"/>
      <c r="AM5" s="2"/>
    </row>
    <row r="6" spans="1:46" ht="30.75" customHeight="1" x14ac:dyDescent="0.2">
      <c r="B6" s="77" t="s">
        <v>102</v>
      </c>
      <c r="C6" s="79" t="s">
        <v>157</v>
      </c>
      <c r="D6" s="62" t="s">
        <v>36</v>
      </c>
      <c r="E6" s="64" t="s">
        <v>156</v>
      </c>
      <c r="F6" s="64" t="s">
        <v>106</v>
      </c>
      <c r="G6" s="64" t="s">
        <v>107</v>
      </c>
      <c r="H6" s="64" t="s">
        <v>9</v>
      </c>
      <c r="I6" s="64" t="s">
        <v>114</v>
      </c>
      <c r="J6" s="62" t="s">
        <v>116</v>
      </c>
      <c r="K6" s="62" t="s">
        <v>117</v>
      </c>
      <c r="L6" s="62" t="s">
        <v>118</v>
      </c>
      <c r="M6" s="71" t="s">
        <v>12</v>
      </c>
      <c r="N6" s="72"/>
      <c r="O6" s="73"/>
      <c r="P6" s="62" t="s">
        <v>15</v>
      </c>
      <c r="Q6" s="62" t="s">
        <v>98</v>
      </c>
      <c r="R6" s="71" t="s">
        <v>17</v>
      </c>
      <c r="S6" s="72"/>
      <c r="T6" s="73"/>
      <c r="U6" s="62" t="s">
        <v>18</v>
      </c>
      <c r="V6" s="62" t="s">
        <v>99</v>
      </c>
      <c r="W6" s="62" t="s">
        <v>100</v>
      </c>
      <c r="X6" s="62" t="s">
        <v>125</v>
      </c>
      <c r="Y6" s="62" t="s">
        <v>126</v>
      </c>
      <c r="Z6" s="62" t="s">
        <v>127</v>
      </c>
      <c r="AA6" s="62" t="s">
        <v>128</v>
      </c>
      <c r="AB6" s="62" t="s">
        <v>129</v>
      </c>
      <c r="AC6" s="62" t="s">
        <v>141</v>
      </c>
      <c r="AD6" s="62" t="s">
        <v>142</v>
      </c>
      <c r="AE6" s="75" t="s">
        <v>149</v>
      </c>
      <c r="AF6" s="75"/>
      <c r="AG6" s="75"/>
      <c r="AH6" s="75"/>
      <c r="AI6" s="75"/>
      <c r="AJ6" s="62" t="s">
        <v>155</v>
      </c>
      <c r="AK6" s="62" t="s">
        <v>101</v>
      </c>
      <c r="AL6" s="64" t="s">
        <v>20</v>
      </c>
      <c r="AM6" s="66" t="s">
        <v>21</v>
      </c>
      <c r="AO6" s="19"/>
    </row>
    <row r="7" spans="1:46" ht="38.25" customHeight="1" x14ac:dyDescent="0.2">
      <c r="B7" s="78"/>
      <c r="C7" s="80"/>
      <c r="D7" s="63"/>
      <c r="E7" s="65"/>
      <c r="F7" s="65"/>
      <c r="G7" s="65"/>
      <c r="H7" s="65"/>
      <c r="I7" s="65"/>
      <c r="J7" s="74"/>
      <c r="K7" s="74"/>
      <c r="L7" s="74"/>
      <c r="M7" s="23" t="s">
        <v>40</v>
      </c>
      <c r="N7" s="23" t="s">
        <v>37</v>
      </c>
      <c r="O7" s="24" t="s">
        <v>38</v>
      </c>
      <c r="P7" s="63"/>
      <c r="Q7" s="63"/>
      <c r="R7" s="23" t="s">
        <v>40</v>
      </c>
      <c r="S7" s="23" t="s">
        <v>37</v>
      </c>
      <c r="T7" s="23" t="s">
        <v>38</v>
      </c>
      <c r="U7" s="63"/>
      <c r="V7" s="63"/>
      <c r="W7" s="63"/>
      <c r="X7" s="63"/>
      <c r="Y7" s="63"/>
      <c r="Z7" s="63"/>
      <c r="AA7" s="63"/>
      <c r="AB7" s="63"/>
      <c r="AC7" s="63"/>
      <c r="AD7" s="63"/>
      <c r="AE7" s="48" t="s">
        <v>150</v>
      </c>
      <c r="AF7" s="48" t="s">
        <v>151</v>
      </c>
      <c r="AG7" s="48" t="s">
        <v>152</v>
      </c>
      <c r="AH7" s="48" t="s">
        <v>153</v>
      </c>
      <c r="AI7" s="48" t="s">
        <v>154</v>
      </c>
      <c r="AJ7" s="63"/>
      <c r="AK7" s="63"/>
      <c r="AL7" s="65"/>
      <c r="AM7" s="67"/>
    </row>
    <row r="8" spans="1:46" s="19" customFormat="1" x14ac:dyDescent="0.2">
      <c r="A8"/>
      <c r="B8" s="50" t="s">
        <v>163</v>
      </c>
      <c r="C8" s="36">
        <v>0.69652777777777775</v>
      </c>
      <c r="D8" s="36"/>
      <c r="E8" s="36" t="s">
        <v>164</v>
      </c>
      <c r="F8" s="38">
        <v>2</v>
      </c>
      <c r="G8" s="43" t="str">
        <f>VLOOKUP(F8,Key!$A$17:$B$21,2,FALSE)</f>
        <v>Road Vehicle</v>
      </c>
      <c r="H8" s="37">
        <v>1</v>
      </c>
      <c r="I8" s="44" t="str">
        <f>VLOOKUP(H8,Key!$A$2:$B$13,2,FALSE)</f>
        <v>Car</v>
      </c>
      <c r="J8" s="38" t="s">
        <v>165</v>
      </c>
      <c r="K8" s="38">
        <v>1</v>
      </c>
      <c r="L8" s="45" t="str">
        <f>VLOOKUP(K8,Key!$A$24:$B$29,2,FALSE)</f>
        <v>20-29</v>
      </c>
      <c r="M8" s="38" t="s">
        <v>166</v>
      </c>
      <c r="N8" s="33" t="s">
        <v>167</v>
      </c>
      <c r="O8" s="38" t="s">
        <v>159</v>
      </c>
      <c r="P8" s="40">
        <v>2</v>
      </c>
      <c r="Q8" s="35" t="str">
        <f>VLOOKUP(P8,Key!$E$2:$F$9,2,FALSE)</f>
        <v>Work</v>
      </c>
      <c r="R8" s="38" t="s">
        <v>168</v>
      </c>
      <c r="S8" s="33" t="s">
        <v>161</v>
      </c>
      <c r="T8" s="38" t="s">
        <v>159</v>
      </c>
      <c r="U8" s="33">
        <v>1</v>
      </c>
      <c r="V8" s="35" t="str">
        <f>VLOOKUP(U8,Key!$E$2:$F$9,2,FALSE)</f>
        <v>Home</v>
      </c>
      <c r="W8" s="35" t="str">
        <f>Q8&amp;"-"&amp;V8</f>
        <v>Work-Home</v>
      </c>
      <c r="X8" s="51">
        <v>6000</v>
      </c>
      <c r="Y8" s="39">
        <v>46</v>
      </c>
      <c r="Z8" s="39">
        <v>0.66</v>
      </c>
      <c r="AA8" s="33">
        <v>4</v>
      </c>
      <c r="AB8" s="35" t="str">
        <f>VLOOKUP(AA8,Key!$C$20:$D$29,2,FALSE)</f>
        <v>Office Worker</v>
      </c>
      <c r="AC8" s="33">
        <v>5</v>
      </c>
      <c r="AD8" s="35" t="str">
        <f>VLOOKUP(AC8,Key!$E$20:$F$24,2,FALSE)</f>
        <v>&gt;1,000,000</v>
      </c>
      <c r="AE8" s="33">
        <v>1</v>
      </c>
      <c r="AF8" s="39">
        <v>1</v>
      </c>
      <c r="AG8" s="39">
        <v>1</v>
      </c>
      <c r="AH8" s="39">
        <v>1</v>
      </c>
      <c r="AI8" s="39">
        <v>1</v>
      </c>
      <c r="AJ8" s="40" t="s">
        <v>160</v>
      </c>
      <c r="AK8" s="41">
        <v>1000</v>
      </c>
      <c r="AL8" s="25"/>
      <c r="AM8" s="25"/>
      <c r="AN8"/>
      <c r="AO8"/>
      <c r="AP8"/>
      <c r="AQ8"/>
      <c r="AR8"/>
      <c r="AS8"/>
      <c r="AT8"/>
    </row>
    <row r="9" spans="1:46" x14ac:dyDescent="0.2">
      <c r="B9" s="50" t="s">
        <v>321</v>
      </c>
      <c r="C9" s="36">
        <v>0.2986111111111111</v>
      </c>
      <c r="D9" s="36" t="s">
        <v>354</v>
      </c>
      <c r="E9" s="36" t="s">
        <v>173</v>
      </c>
      <c r="F9" s="38">
        <v>2</v>
      </c>
      <c r="G9" s="43" t="str">
        <f>VLOOKUP(F9,Key!$A$17:$B$21,2,FALSE)</f>
        <v>Road Vehicle</v>
      </c>
      <c r="H9" s="37">
        <v>1</v>
      </c>
      <c r="I9" s="44" t="str">
        <f>VLOOKUP(H9,Key!$A$2:$B$13,2,FALSE)</f>
        <v>Car</v>
      </c>
      <c r="J9" s="38" t="s">
        <v>165</v>
      </c>
      <c r="K9" s="38">
        <v>1</v>
      </c>
      <c r="L9" s="45" t="str">
        <f>VLOOKUP(K9,Key!$A$24:$B$29,2,FALSE)</f>
        <v>20-29</v>
      </c>
      <c r="M9" s="38" t="s">
        <v>168</v>
      </c>
      <c r="N9" s="33" t="s">
        <v>161</v>
      </c>
      <c r="O9" s="38" t="s">
        <v>159</v>
      </c>
      <c r="P9" s="40">
        <v>1</v>
      </c>
      <c r="Q9" s="35" t="str">
        <f>VLOOKUP(P9,Key!$E$2:$F$9,2,FALSE)</f>
        <v>Home</v>
      </c>
      <c r="R9" s="38" t="s">
        <v>188</v>
      </c>
      <c r="S9" s="33" t="s">
        <v>161</v>
      </c>
      <c r="T9" s="38" t="s">
        <v>159</v>
      </c>
      <c r="U9" s="33">
        <v>2</v>
      </c>
      <c r="V9" s="35" t="str">
        <f>VLOOKUP(U9,Key!$E$2:$F$9,2,FALSE)</f>
        <v>Work</v>
      </c>
      <c r="W9" s="35" t="str">
        <f>Q9&amp;"-"&amp;V9</f>
        <v>Home-Work</v>
      </c>
      <c r="X9" s="51">
        <v>20000</v>
      </c>
      <c r="Y9" s="39">
        <v>20</v>
      </c>
      <c r="Z9" s="39">
        <v>0.5</v>
      </c>
      <c r="AA9" s="33">
        <v>6</v>
      </c>
      <c r="AB9" s="35" t="str">
        <f>VLOOKUP(AA9,Key!$C$20:$D$29,2,FALSE)</f>
        <v>Businessman</v>
      </c>
      <c r="AC9" s="33">
        <v>3</v>
      </c>
      <c r="AD9" s="35" t="str">
        <f>VLOOKUP(AC9,Key!$E$20:$F$24,2,FALSE)</f>
        <v>500,000-750,000</v>
      </c>
      <c r="AE9" s="33">
        <v>2</v>
      </c>
      <c r="AF9" s="39">
        <v>2</v>
      </c>
      <c r="AG9" s="39">
        <v>2</v>
      </c>
      <c r="AH9" s="39">
        <v>2</v>
      </c>
      <c r="AI9" s="39">
        <v>2</v>
      </c>
      <c r="AJ9" s="40" t="s">
        <v>160</v>
      </c>
      <c r="AK9" s="41">
        <v>2000</v>
      </c>
      <c r="AL9" s="25"/>
      <c r="AM9" s="25"/>
    </row>
    <row r="10" spans="1:46" x14ac:dyDescent="0.2">
      <c r="B10" s="50" t="s">
        <v>163</v>
      </c>
      <c r="C10" s="36">
        <v>0.75208333333333333</v>
      </c>
      <c r="D10" s="36"/>
      <c r="E10" s="36" t="s">
        <v>164</v>
      </c>
      <c r="F10" s="38">
        <v>2</v>
      </c>
      <c r="G10" s="43" t="str">
        <f>VLOOKUP(F10,Key!$A$17:$B$21,2,FALSE)</f>
        <v>Road Vehicle</v>
      </c>
      <c r="H10" s="37">
        <v>6</v>
      </c>
      <c r="I10" s="44" t="str">
        <f>VLOOKUP(H10,Key!$A$2:$B$13,2,FALSE)</f>
        <v>Large Bus</v>
      </c>
      <c r="J10" s="38" t="s">
        <v>165</v>
      </c>
      <c r="K10" s="38">
        <v>1</v>
      </c>
      <c r="L10" s="45" t="str">
        <f>VLOOKUP(K10,Key!$A$24:$B$29,2,FALSE)</f>
        <v>20-29</v>
      </c>
      <c r="M10" s="38" t="s">
        <v>169</v>
      </c>
      <c r="N10" s="33" t="s">
        <v>170</v>
      </c>
      <c r="O10" s="38" t="s">
        <v>159</v>
      </c>
      <c r="P10" s="40">
        <v>1</v>
      </c>
      <c r="Q10" s="35" t="str">
        <f>VLOOKUP(P10,Key!$E$2:$F$9,2,FALSE)</f>
        <v>Home</v>
      </c>
      <c r="R10" s="38" t="s">
        <v>171</v>
      </c>
      <c r="S10" s="33" t="s">
        <v>172</v>
      </c>
      <c r="T10" s="38" t="s">
        <v>159</v>
      </c>
      <c r="U10" s="33">
        <v>2</v>
      </c>
      <c r="V10" s="35" t="str">
        <f>VLOOKUP(U10,Key!$E$2:$F$9,2,FALSE)</f>
        <v>Work</v>
      </c>
      <c r="W10" s="35" t="str">
        <f>Q10&amp;"-"&amp;V10</f>
        <v>Home-Work</v>
      </c>
      <c r="X10" s="51">
        <v>60000</v>
      </c>
      <c r="Y10" s="39">
        <v>490</v>
      </c>
      <c r="Z10" s="39">
        <v>14</v>
      </c>
      <c r="AA10" s="33">
        <v>4</v>
      </c>
      <c r="AB10" s="35" t="str">
        <f>VLOOKUP(AA10,Key!$C$20:$D$29,2,FALSE)</f>
        <v>Office Worker</v>
      </c>
      <c r="AC10" s="33">
        <v>3</v>
      </c>
      <c r="AD10" s="35" t="str">
        <f>VLOOKUP(AC10,Key!$E$20:$F$24,2,FALSE)</f>
        <v>500,000-750,000</v>
      </c>
      <c r="AE10" s="33">
        <v>1</v>
      </c>
      <c r="AF10" s="39">
        <v>1</v>
      </c>
      <c r="AG10" s="39">
        <v>1</v>
      </c>
      <c r="AH10" s="39">
        <v>1</v>
      </c>
      <c r="AI10" s="39">
        <v>1</v>
      </c>
      <c r="AJ10" s="40" t="s">
        <v>160</v>
      </c>
      <c r="AK10" s="41">
        <v>2000</v>
      </c>
      <c r="AL10" s="25"/>
      <c r="AM10" s="25"/>
    </row>
    <row r="11" spans="1:46" x14ac:dyDescent="0.2">
      <c r="B11" s="50" t="s">
        <v>163</v>
      </c>
      <c r="C11" s="36">
        <v>0.65</v>
      </c>
      <c r="D11" s="36"/>
      <c r="E11" s="36" t="s">
        <v>164</v>
      </c>
      <c r="F11" s="38">
        <v>2</v>
      </c>
      <c r="G11" s="43" t="str">
        <f>VLOOKUP(F11,Key!$A$17:$B$21,2,FALSE)</f>
        <v>Road Vehicle</v>
      </c>
      <c r="H11" s="37">
        <v>6</v>
      </c>
      <c r="I11" s="44" t="str">
        <f>VLOOKUP(H11,Key!$A$2:$B$13,2,FALSE)</f>
        <v>Large Bus</v>
      </c>
      <c r="J11" s="38" t="s">
        <v>165</v>
      </c>
      <c r="K11" s="38">
        <v>1</v>
      </c>
      <c r="L11" s="45" t="str">
        <f>VLOOKUP(K11,Key!$A$24:$B$29,2,FALSE)</f>
        <v>20-29</v>
      </c>
      <c r="M11" s="38" t="s">
        <v>169</v>
      </c>
      <c r="N11" s="33" t="s">
        <v>170</v>
      </c>
      <c r="O11" s="38" t="s">
        <v>159</v>
      </c>
      <c r="P11" s="40">
        <v>1</v>
      </c>
      <c r="Q11" s="35" t="str">
        <f>VLOOKUP(P11,Key!$E$2:$F$9,2,FALSE)</f>
        <v>Home</v>
      </c>
      <c r="R11" s="38" t="s">
        <v>171</v>
      </c>
      <c r="S11" s="33" t="s">
        <v>172</v>
      </c>
      <c r="T11" s="38" t="s">
        <v>159</v>
      </c>
      <c r="U11" s="33">
        <v>3</v>
      </c>
      <c r="V11" s="35" t="str">
        <f>VLOOKUP(U11,Key!$E$2:$F$9,2,FALSE)</f>
        <v>Study</v>
      </c>
      <c r="W11" s="35" t="str">
        <f>Q11&amp;"-"&amp;V11</f>
        <v>Home-Study</v>
      </c>
      <c r="X11" s="51">
        <v>40000</v>
      </c>
      <c r="Y11" s="39">
        <v>410</v>
      </c>
      <c r="Z11" s="39">
        <v>4</v>
      </c>
      <c r="AA11" s="33">
        <v>1</v>
      </c>
      <c r="AB11" s="35" t="str">
        <f>VLOOKUP(AA11,Key!$C$20:$D$29,2,FALSE)</f>
        <v>Unemployed</v>
      </c>
      <c r="AC11" s="33">
        <v>1</v>
      </c>
      <c r="AD11" s="35" t="str">
        <f>VLOOKUP(AC11,Key!$E$20:$F$24,2,FALSE)</f>
        <v>&lt;300,000</v>
      </c>
      <c r="AE11" s="33">
        <v>5</v>
      </c>
      <c r="AF11" s="39">
        <v>1</v>
      </c>
      <c r="AG11" s="39">
        <v>1</v>
      </c>
      <c r="AH11" s="39">
        <v>1</v>
      </c>
      <c r="AI11" s="39">
        <v>5</v>
      </c>
      <c r="AJ11" s="40" t="s">
        <v>160</v>
      </c>
      <c r="AK11" s="41">
        <v>0</v>
      </c>
      <c r="AL11" s="25"/>
      <c r="AM11" s="25"/>
    </row>
    <row r="12" spans="1:46" x14ac:dyDescent="0.2">
      <c r="B12" s="50" t="s">
        <v>163</v>
      </c>
      <c r="C12" s="36">
        <v>0.62986111111111109</v>
      </c>
      <c r="D12" s="36"/>
      <c r="E12" s="36" t="s">
        <v>164</v>
      </c>
      <c r="F12" s="38">
        <v>2</v>
      </c>
      <c r="G12" s="43" t="str">
        <f>VLOOKUP(F12,Key!$A$17:$B$21,2,FALSE)</f>
        <v>Road Vehicle</v>
      </c>
      <c r="H12" s="37">
        <v>6</v>
      </c>
      <c r="I12" s="44" t="str">
        <f>VLOOKUP(H12,Key!$A$2:$B$13,2,FALSE)</f>
        <v>Large Bus</v>
      </c>
      <c r="J12" s="38" t="s">
        <v>165</v>
      </c>
      <c r="K12" s="38">
        <v>1</v>
      </c>
      <c r="L12" s="45" t="str">
        <f>VLOOKUP(K12,Key!$A$24:$B$29,2,FALSE)</f>
        <v>20-29</v>
      </c>
      <c r="M12" s="38" t="s">
        <v>168</v>
      </c>
      <c r="N12" s="33" t="s">
        <v>161</v>
      </c>
      <c r="O12" s="38" t="s">
        <v>159</v>
      </c>
      <c r="P12" s="40">
        <v>1</v>
      </c>
      <c r="Q12" s="35" t="str">
        <f>VLOOKUP(P12,Key!$E$2:$F$9,2,FALSE)</f>
        <v>Home</v>
      </c>
      <c r="R12" s="38" t="s">
        <v>185</v>
      </c>
      <c r="S12" s="33" t="s">
        <v>186</v>
      </c>
      <c r="T12" s="38" t="s">
        <v>159</v>
      </c>
      <c r="U12" s="33">
        <v>3</v>
      </c>
      <c r="V12" s="35" t="str">
        <f>VLOOKUP(U12,Key!$E$2:$F$9,2,FALSE)</f>
        <v>Study</v>
      </c>
      <c r="W12" s="35" t="str">
        <f>Q12&amp;"-"&amp;V12</f>
        <v>Home-Study</v>
      </c>
      <c r="X12" s="51">
        <v>15000</v>
      </c>
      <c r="Y12" s="39">
        <v>137</v>
      </c>
      <c r="Z12" s="39">
        <v>2</v>
      </c>
      <c r="AA12" s="33">
        <v>1</v>
      </c>
      <c r="AB12" s="35" t="str">
        <f>VLOOKUP(AA12,Key!$C$20:$D$29,2,FALSE)</f>
        <v>Unemployed</v>
      </c>
      <c r="AC12" s="33">
        <v>1</v>
      </c>
      <c r="AD12" s="35" t="str">
        <f>VLOOKUP(AC12,Key!$E$20:$F$24,2,FALSE)</f>
        <v>&lt;300,000</v>
      </c>
      <c r="AE12" s="33">
        <v>1</v>
      </c>
      <c r="AF12" s="39">
        <v>1</v>
      </c>
      <c r="AG12" s="39">
        <v>1</v>
      </c>
      <c r="AH12" s="39">
        <v>1</v>
      </c>
      <c r="AI12" s="39">
        <v>1</v>
      </c>
      <c r="AJ12" s="40" t="s">
        <v>160</v>
      </c>
      <c r="AK12" s="41">
        <v>0</v>
      </c>
      <c r="AL12" s="25"/>
      <c r="AM12" s="25"/>
    </row>
    <row r="13" spans="1:46" x14ac:dyDescent="0.2">
      <c r="B13" s="50" t="s">
        <v>163</v>
      </c>
      <c r="C13" s="36">
        <v>0.68819444444444444</v>
      </c>
      <c r="D13" s="36"/>
      <c r="E13" s="36" t="s">
        <v>164</v>
      </c>
      <c r="F13" s="38">
        <v>2</v>
      </c>
      <c r="G13" s="43" t="str">
        <f>VLOOKUP(F13,Key!$A$17:$B$21,2,FALSE)</f>
        <v>Road Vehicle</v>
      </c>
      <c r="H13" s="37">
        <v>6</v>
      </c>
      <c r="I13" s="44" t="str">
        <f>VLOOKUP(H13,Key!$A$2:$B$13,2,FALSE)</f>
        <v>Large Bus</v>
      </c>
      <c r="J13" s="38" t="s">
        <v>174</v>
      </c>
      <c r="K13" s="38">
        <v>1</v>
      </c>
      <c r="L13" s="45" t="str">
        <f>VLOOKUP(K13,Key!$A$24:$B$29,2,FALSE)</f>
        <v>20-29</v>
      </c>
      <c r="M13" s="38" t="s">
        <v>169</v>
      </c>
      <c r="N13" s="33" t="s">
        <v>170</v>
      </c>
      <c r="O13" s="38" t="s">
        <v>159</v>
      </c>
      <c r="P13" s="40">
        <v>3</v>
      </c>
      <c r="Q13" s="35" t="str">
        <f>VLOOKUP(P13,Key!$E$2:$F$9,2,FALSE)</f>
        <v>Study</v>
      </c>
      <c r="R13" s="38" t="s">
        <v>171</v>
      </c>
      <c r="S13" s="33" t="s">
        <v>172</v>
      </c>
      <c r="T13" s="38" t="s">
        <v>159</v>
      </c>
      <c r="U13" s="33">
        <v>3</v>
      </c>
      <c r="V13" s="35" t="str">
        <f>VLOOKUP(U13,Key!$E$2:$F$9,2,FALSE)</f>
        <v>Study</v>
      </c>
      <c r="W13" s="35" t="str">
        <f>Q13&amp;"-"&amp;V13</f>
        <v>Study-Study</v>
      </c>
      <c r="X13" s="51">
        <v>30000</v>
      </c>
      <c r="Y13" s="39">
        <v>487</v>
      </c>
      <c r="Z13" s="39">
        <v>14</v>
      </c>
      <c r="AA13" s="33">
        <v>8</v>
      </c>
      <c r="AB13" s="35" t="str">
        <f>VLOOKUP(AA13,Key!$C$20:$D$29,2,FALSE)</f>
        <v>Student</v>
      </c>
      <c r="AC13" s="33">
        <v>1</v>
      </c>
      <c r="AD13" s="35" t="str">
        <f>VLOOKUP(AC13,Key!$E$20:$F$24,2,FALSE)</f>
        <v>&lt;300,000</v>
      </c>
      <c r="AE13" s="33">
        <v>1</v>
      </c>
      <c r="AF13" s="39">
        <v>1</v>
      </c>
      <c r="AG13" s="39">
        <v>1</v>
      </c>
      <c r="AH13" s="39">
        <v>1</v>
      </c>
      <c r="AI13" s="39">
        <v>1</v>
      </c>
      <c r="AJ13" s="40" t="s">
        <v>160</v>
      </c>
      <c r="AK13" s="41">
        <v>0</v>
      </c>
      <c r="AL13" s="25"/>
      <c r="AM13" s="25"/>
    </row>
    <row r="14" spans="1:46" x14ac:dyDescent="0.2">
      <c r="B14" s="50" t="s">
        <v>163</v>
      </c>
      <c r="C14" s="36">
        <v>0.66111111111111109</v>
      </c>
      <c r="D14" s="36"/>
      <c r="E14" s="36" t="s">
        <v>164</v>
      </c>
      <c r="F14" s="38">
        <v>2</v>
      </c>
      <c r="G14" s="43" t="str">
        <f>VLOOKUP(F14,Key!$A$17:$B$21,2,FALSE)</f>
        <v>Road Vehicle</v>
      </c>
      <c r="H14" s="37">
        <v>6</v>
      </c>
      <c r="I14" s="44" t="str">
        <f>VLOOKUP(H14,Key!$A$2:$B$13,2,FALSE)</f>
        <v>Large Bus</v>
      </c>
      <c r="J14" s="38" t="s">
        <v>174</v>
      </c>
      <c r="K14" s="38">
        <v>1</v>
      </c>
      <c r="L14" s="45" t="str">
        <f>VLOOKUP(K14,Key!$A$24:$B$29,2,FALSE)</f>
        <v>20-29</v>
      </c>
      <c r="M14" s="38" t="s">
        <v>168</v>
      </c>
      <c r="N14" s="33" t="s">
        <v>161</v>
      </c>
      <c r="O14" s="38" t="s">
        <v>159</v>
      </c>
      <c r="P14" s="40">
        <v>1</v>
      </c>
      <c r="Q14" s="35" t="str">
        <f>VLOOKUP(P14,Key!$E$2:$F$9,2,FALSE)</f>
        <v>Home</v>
      </c>
      <c r="R14" s="38" t="s">
        <v>171</v>
      </c>
      <c r="S14" s="33" t="s">
        <v>172</v>
      </c>
      <c r="T14" s="38" t="s">
        <v>159</v>
      </c>
      <c r="U14" s="33">
        <v>3</v>
      </c>
      <c r="V14" s="35" t="str">
        <f>VLOOKUP(U14,Key!$E$2:$F$9,2,FALSE)</f>
        <v>Study</v>
      </c>
      <c r="W14" s="35" t="str">
        <f>Q14&amp;"-"&amp;V14</f>
        <v>Home-Study</v>
      </c>
      <c r="X14" s="51">
        <v>30000</v>
      </c>
      <c r="Y14" s="39">
        <v>396</v>
      </c>
      <c r="Z14" s="39">
        <v>4</v>
      </c>
      <c r="AA14" s="33">
        <v>1</v>
      </c>
      <c r="AB14" s="35" t="str">
        <f>VLOOKUP(AA14,Key!$C$20:$D$29,2,FALSE)</f>
        <v>Unemployed</v>
      </c>
      <c r="AC14" s="33">
        <v>1</v>
      </c>
      <c r="AD14" s="35" t="str">
        <f>VLOOKUP(AC14,Key!$E$20:$F$24,2,FALSE)</f>
        <v>&lt;300,000</v>
      </c>
      <c r="AE14" s="33">
        <v>5</v>
      </c>
      <c r="AF14" s="39">
        <v>1</v>
      </c>
      <c r="AG14" s="39">
        <v>1</v>
      </c>
      <c r="AH14" s="39">
        <v>1</v>
      </c>
      <c r="AI14" s="39">
        <v>5</v>
      </c>
      <c r="AJ14" s="40" t="s">
        <v>160</v>
      </c>
      <c r="AK14" s="41">
        <v>0</v>
      </c>
      <c r="AL14" s="25"/>
      <c r="AM14" s="25"/>
    </row>
    <row r="15" spans="1:46" x14ac:dyDescent="0.2">
      <c r="B15" s="50" t="s">
        <v>239</v>
      </c>
      <c r="C15" s="36">
        <v>0.45624999999999999</v>
      </c>
      <c r="D15" s="36" t="s">
        <v>261</v>
      </c>
      <c r="E15" s="36" t="s">
        <v>173</v>
      </c>
      <c r="F15" s="38">
        <v>2</v>
      </c>
      <c r="G15" s="43" t="str">
        <f>VLOOKUP(F15,Key!$A$17:$B$21,2,FALSE)</f>
        <v>Road Vehicle</v>
      </c>
      <c r="H15" s="37">
        <v>7</v>
      </c>
      <c r="I15" s="44" t="str">
        <f>VLOOKUP(H15,Key!$A$2:$B$13,2,FALSE)</f>
        <v xml:space="preserve">Light Truck </v>
      </c>
      <c r="J15" s="38" t="s">
        <v>174</v>
      </c>
      <c r="K15" s="38">
        <v>1</v>
      </c>
      <c r="L15" s="45" t="str">
        <f>VLOOKUP(K15,Key!$A$24:$B$29,2,FALSE)</f>
        <v>20-29</v>
      </c>
      <c r="M15" s="38" t="s">
        <v>168</v>
      </c>
      <c r="N15" s="33" t="s">
        <v>161</v>
      </c>
      <c r="O15" s="38" t="s">
        <v>159</v>
      </c>
      <c r="P15" s="40">
        <v>4</v>
      </c>
      <c r="Q15" s="35" t="str">
        <f>VLOOKUP(P15,Key!$E$2:$F$9,2,FALSE)</f>
        <v>Commercial</v>
      </c>
      <c r="R15" s="38" t="s">
        <v>262</v>
      </c>
      <c r="S15" s="33" t="s">
        <v>263</v>
      </c>
      <c r="T15" s="38" t="s">
        <v>159</v>
      </c>
      <c r="U15" s="33">
        <v>4</v>
      </c>
      <c r="V15" s="35" t="str">
        <f>VLOOKUP(U15,Key!$E$2:$F$9,2,FALSE)</f>
        <v>Commercial</v>
      </c>
      <c r="W15" s="35" t="str">
        <f>Q15&amp;"-"&amp;V15</f>
        <v>Commercial-Commercial</v>
      </c>
      <c r="X15" s="51">
        <v>50000</v>
      </c>
      <c r="Y15" s="39">
        <v>150</v>
      </c>
      <c r="Z15" s="39">
        <v>2</v>
      </c>
      <c r="AA15" s="33">
        <v>5</v>
      </c>
      <c r="AB15" s="35" t="str">
        <f>VLOOKUP(AA15,Key!$C$20:$D$29,2,FALSE)</f>
        <v>Professional</v>
      </c>
      <c r="AC15" s="33">
        <v>2</v>
      </c>
      <c r="AD15" s="35" t="str">
        <f>VLOOKUP(AC15,Key!$E$20:$F$24,2,FALSE)</f>
        <v>300,000-500,000</v>
      </c>
      <c r="AE15" s="33">
        <v>5</v>
      </c>
      <c r="AF15" s="39">
        <v>5</v>
      </c>
      <c r="AG15" s="39">
        <v>5</v>
      </c>
      <c r="AH15" s="39">
        <v>1</v>
      </c>
      <c r="AI15" s="39">
        <v>1</v>
      </c>
      <c r="AJ15" s="40" t="s">
        <v>160</v>
      </c>
      <c r="AK15" s="41">
        <v>2000</v>
      </c>
      <c r="AL15" s="25"/>
      <c r="AM15" s="25"/>
    </row>
    <row r="16" spans="1:46" x14ac:dyDescent="0.2">
      <c r="B16" s="50" t="s">
        <v>163</v>
      </c>
      <c r="C16" s="36">
        <v>0.64027777777777783</v>
      </c>
      <c r="D16" s="36"/>
      <c r="E16" s="36" t="s">
        <v>164</v>
      </c>
      <c r="F16" s="38">
        <v>2</v>
      </c>
      <c r="G16" s="43" t="str">
        <f>VLOOKUP(F16,Key!$A$17:$B$21,2,FALSE)</f>
        <v>Road Vehicle</v>
      </c>
      <c r="H16" s="37">
        <v>4</v>
      </c>
      <c r="I16" s="44" t="str">
        <f>VLOOKUP(H16,Key!$A$2:$B$13,2,FALSE)</f>
        <v>Minibus</v>
      </c>
      <c r="J16" s="38" t="s">
        <v>165</v>
      </c>
      <c r="K16" s="38">
        <v>1</v>
      </c>
      <c r="L16" s="45" t="str">
        <f>VLOOKUP(K16,Key!$A$24:$B$29,2,FALSE)</f>
        <v>20-29</v>
      </c>
      <c r="M16" s="38" t="s">
        <v>202</v>
      </c>
      <c r="N16" s="33" t="s">
        <v>161</v>
      </c>
      <c r="O16" s="38" t="s">
        <v>159</v>
      </c>
      <c r="P16" s="40">
        <v>2</v>
      </c>
      <c r="Q16" s="35" t="str">
        <f>VLOOKUP(P16,Key!$E$2:$F$9,2,FALSE)</f>
        <v>Work</v>
      </c>
      <c r="R16" s="38" t="s">
        <v>168</v>
      </c>
      <c r="S16" s="33" t="s">
        <v>161</v>
      </c>
      <c r="T16" s="38" t="s">
        <v>159</v>
      </c>
      <c r="U16" s="33">
        <v>1</v>
      </c>
      <c r="V16" s="35" t="str">
        <f>VLOOKUP(U16,Key!$E$2:$F$9,2,FALSE)</f>
        <v>Home</v>
      </c>
      <c r="W16" s="35" t="str">
        <f>Q16&amp;"-"&amp;V16</f>
        <v>Work-Home</v>
      </c>
      <c r="X16" s="51">
        <v>7000</v>
      </c>
      <c r="Y16" s="39">
        <v>46</v>
      </c>
      <c r="Z16" s="39">
        <v>1</v>
      </c>
      <c r="AA16" s="33">
        <v>4</v>
      </c>
      <c r="AB16" s="35" t="str">
        <f>VLOOKUP(AA16,Key!$C$20:$D$29,2,FALSE)</f>
        <v>Office Worker</v>
      </c>
      <c r="AC16" s="33">
        <v>3</v>
      </c>
      <c r="AD16" s="35" t="str">
        <f>VLOOKUP(AC16,Key!$E$20:$F$24,2,FALSE)</f>
        <v>500,000-750,000</v>
      </c>
      <c r="AE16" s="33">
        <v>2</v>
      </c>
      <c r="AF16" s="39">
        <v>2</v>
      </c>
      <c r="AG16" s="39">
        <v>2</v>
      </c>
      <c r="AH16" s="39">
        <v>4</v>
      </c>
      <c r="AI16" s="39">
        <v>4</v>
      </c>
      <c r="AJ16" s="40" t="s">
        <v>160</v>
      </c>
      <c r="AK16" s="41">
        <v>0</v>
      </c>
      <c r="AL16" s="25"/>
      <c r="AM16" s="25"/>
    </row>
    <row r="17" spans="1:39" x14ac:dyDescent="0.2">
      <c r="B17" s="50" t="s">
        <v>163</v>
      </c>
      <c r="C17" s="36">
        <v>0.67291666666666661</v>
      </c>
      <c r="D17" s="36"/>
      <c r="E17" s="36" t="s">
        <v>164</v>
      </c>
      <c r="F17" s="38">
        <v>2</v>
      </c>
      <c r="G17" s="43" t="str">
        <f>VLOOKUP(F17,Key!$A$17:$B$21,2,FALSE)</f>
        <v>Road Vehicle</v>
      </c>
      <c r="H17" s="37">
        <v>4</v>
      </c>
      <c r="I17" s="44" t="str">
        <f>VLOOKUP(H17,Key!$A$2:$B$13,2,FALSE)</f>
        <v>Minibus</v>
      </c>
      <c r="J17" s="38" t="s">
        <v>165</v>
      </c>
      <c r="K17" s="38">
        <v>1</v>
      </c>
      <c r="L17" s="45" t="str">
        <f>VLOOKUP(K17,Key!$A$24:$B$29,2,FALSE)</f>
        <v>20-29</v>
      </c>
      <c r="M17" s="38" t="s">
        <v>168</v>
      </c>
      <c r="N17" s="33" t="s">
        <v>161</v>
      </c>
      <c r="O17" s="38" t="s">
        <v>159</v>
      </c>
      <c r="P17" s="40">
        <v>1</v>
      </c>
      <c r="Q17" s="35" t="str">
        <f>VLOOKUP(P17,Key!$E$2:$F$9,2,FALSE)</f>
        <v>Home</v>
      </c>
      <c r="R17" s="38" t="s">
        <v>236</v>
      </c>
      <c r="S17" s="33" t="s">
        <v>172</v>
      </c>
      <c r="T17" s="38" t="s">
        <v>159</v>
      </c>
      <c r="U17" s="33">
        <v>3</v>
      </c>
      <c r="V17" s="35" t="str">
        <f>VLOOKUP(U17,Key!$E$2:$F$9,2,FALSE)</f>
        <v>Study</v>
      </c>
      <c r="W17" s="35" t="str">
        <f>Q17&amp;"-"&amp;V17</f>
        <v>Home-Study</v>
      </c>
      <c r="X17" s="51">
        <v>40000</v>
      </c>
      <c r="Y17" s="39">
        <v>369</v>
      </c>
      <c r="Z17" s="39">
        <v>5</v>
      </c>
      <c r="AA17" s="33">
        <v>1</v>
      </c>
      <c r="AB17" s="35" t="str">
        <f>VLOOKUP(AA17,Key!$C$20:$D$29,2,FALSE)</f>
        <v>Unemployed</v>
      </c>
      <c r="AC17" s="33">
        <v>1</v>
      </c>
      <c r="AD17" s="35" t="str">
        <f>VLOOKUP(AC17,Key!$E$20:$F$24,2,FALSE)</f>
        <v>&lt;300,000</v>
      </c>
      <c r="AE17" s="33">
        <v>1</v>
      </c>
      <c r="AF17" s="39">
        <v>1</v>
      </c>
      <c r="AG17" s="39">
        <v>5</v>
      </c>
      <c r="AH17" s="39">
        <v>5</v>
      </c>
      <c r="AI17" s="39">
        <v>1</v>
      </c>
      <c r="AJ17" s="40" t="s">
        <v>160</v>
      </c>
      <c r="AK17" s="41">
        <v>0</v>
      </c>
      <c r="AL17" s="25"/>
      <c r="AM17" s="25"/>
    </row>
    <row r="18" spans="1:39" x14ac:dyDescent="0.2">
      <c r="B18" s="50" t="s">
        <v>163</v>
      </c>
      <c r="C18" s="36">
        <v>0.63541666666666663</v>
      </c>
      <c r="D18" s="36"/>
      <c r="E18" s="36" t="s">
        <v>164</v>
      </c>
      <c r="F18" s="38">
        <v>2</v>
      </c>
      <c r="G18" s="43" t="str">
        <f>VLOOKUP(F18,Key!$A$17:$B$21,2,FALSE)</f>
        <v>Road Vehicle</v>
      </c>
      <c r="H18" s="37">
        <v>4</v>
      </c>
      <c r="I18" s="44" t="str">
        <f>VLOOKUP(H18,Key!$A$2:$B$13,2,FALSE)</f>
        <v>Minibus</v>
      </c>
      <c r="J18" s="38" t="s">
        <v>165</v>
      </c>
      <c r="K18" s="38">
        <v>1</v>
      </c>
      <c r="L18" s="45" t="str">
        <f>VLOOKUP(K18,Key!$A$24:$B$29,2,FALSE)</f>
        <v>20-29</v>
      </c>
      <c r="M18" s="38" t="s">
        <v>168</v>
      </c>
      <c r="N18" s="33" t="s">
        <v>161</v>
      </c>
      <c r="O18" s="38" t="s">
        <v>159</v>
      </c>
      <c r="P18" s="40">
        <v>1</v>
      </c>
      <c r="Q18" s="35" t="str">
        <f>VLOOKUP(P18,Key!$E$2:$F$9,2,FALSE)</f>
        <v>Home</v>
      </c>
      <c r="R18" s="38" t="s">
        <v>192</v>
      </c>
      <c r="S18" s="33" t="s">
        <v>193</v>
      </c>
      <c r="T18" s="38" t="s">
        <v>159</v>
      </c>
      <c r="U18" s="33">
        <v>6</v>
      </c>
      <c r="V18" s="35" t="str">
        <f>VLOOKUP(U18,Key!$E$2:$F$9,2,FALSE)</f>
        <v>Leisure/Social</v>
      </c>
      <c r="W18" s="35" t="str">
        <f>Q18&amp;"-"&amp;V18</f>
        <v>Home-Leisure/Social</v>
      </c>
      <c r="X18" s="51">
        <v>20000</v>
      </c>
      <c r="Y18" s="39">
        <v>390</v>
      </c>
      <c r="Z18" s="39">
        <v>3</v>
      </c>
      <c r="AA18" s="33">
        <v>6</v>
      </c>
      <c r="AB18" s="35" t="str">
        <f>VLOOKUP(AA18,Key!$C$20:$D$29,2,FALSE)</f>
        <v>Businessman</v>
      </c>
      <c r="AC18" s="33">
        <v>2</v>
      </c>
      <c r="AD18" s="35" t="str">
        <f>VLOOKUP(AC18,Key!$E$20:$F$24,2,FALSE)</f>
        <v>300,000-500,000</v>
      </c>
      <c r="AE18" s="33">
        <v>1</v>
      </c>
      <c r="AF18" s="39">
        <v>1</v>
      </c>
      <c r="AG18" s="39">
        <v>1</v>
      </c>
      <c r="AH18" s="39">
        <v>1</v>
      </c>
      <c r="AI18" s="39">
        <v>1</v>
      </c>
      <c r="AJ18" s="40" t="s">
        <v>160</v>
      </c>
      <c r="AK18" s="41">
        <v>2000</v>
      </c>
      <c r="AL18" s="25"/>
      <c r="AM18" s="25"/>
    </row>
    <row r="19" spans="1:39" x14ac:dyDescent="0.2">
      <c r="B19" s="50" t="s">
        <v>239</v>
      </c>
      <c r="C19" s="36">
        <v>0.36736111111111108</v>
      </c>
      <c r="D19" s="36" t="s">
        <v>242</v>
      </c>
      <c r="E19" s="36" t="s">
        <v>173</v>
      </c>
      <c r="F19" s="38">
        <v>2</v>
      </c>
      <c r="G19" s="43" t="str">
        <f>VLOOKUP(F19,Key!$A$17:$B$21,2,FALSE)</f>
        <v>Road Vehicle</v>
      </c>
      <c r="H19" s="37">
        <v>4</v>
      </c>
      <c r="I19" s="44" t="str">
        <f>VLOOKUP(H19,Key!$A$2:$B$13,2,FALSE)</f>
        <v>Minibus</v>
      </c>
      <c r="J19" s="38" t="s">
        <v>165</v>
      </c>
      <c r="K19" s="38">
        <v>1</v>
      </c>
      <c r="L19" s="45" t="str">
        <f>VLOOKUP(K19,Key!$A$24:$B$29,2,FALSE)</f>
        <v>20-29</v>
      </c>
      <c r="M19" s="38" t="s">
        <v>168</v>
      </c>
      <c r="N19" s="33" t="s">
        <v>161</v>
      </c>
      <c r="O19" s="38" t="s">
        <v>159</v>
      </c>
      <c r="P19" s="40">
        <v>4</v>
      </c>
      <c r="Q19" s="35" t="str">
        <f>VLOOKUP(P19,Key!$E$2:$F$9,2,FALSE)</f>
        <v>Commercial</v>
      </c>
      <c r="R19" s="38" t="s">
        <v>183</v>
      </c>
      <c r="S19" s="33" t="s">
        <v>184</v>
      </c>
      <c r="T19" s="38" t="s">
        <v>159</v>
      </c>
      <c r="U19" s="33">
        <v>4</v>
      </c>
      <c r="V19" s="35" t="str">
        <f>VLOOKUP(U19,Key!$E$2:$F$9,2,FALSE)</f>
        <v>Commercial</v>
      </c>
      <c r="W19" s="35" t="str">
        <f>Q19&amp;"-"&amp;V19</f>
        <v>Commercial-Commercial</v>
      </c>
      <c r="X19" s="51">
        <v>30000</v>
      </c>
      <c r="Y19" s="39">
        <v>96</v>
      </c>
      <c r="Z19" s="39">
        <v>2</v>
      </c>
      <c r="AA19" s="33">
        <v>5</v>
      </c>
      <c r="AB19" s="35" t="str">
        <f>VLOOKUP(AA19,Key!$C$20:$D$29,2,FALSE)</f>
        <v>Professional</v>
      </c>
      <c r="AC19" s="33">
        <v>2</v>
      </c>
      <c r="AD19" s="35" t="str">
        <f>VLOOKUP(AC19,Key!$E$20:$F$24,2,FALSE)</f>
        <v>300,000-500,000</v>
      </c>
      <c r="AE19" s="33">
        <v>5</v>
      </c>
      <c r="AF19" s="39">
        <v>5</v>
      </c>
      <c r="AG19" s="39">
        <v>5</v>
      </c>
      <c r="AH19" s="39">
        <v>3</v>
      </c>
      <c r="AI19" s="39">
        <v>5</v>
      </c>
      <c r="AJ19" s="40" t="s">
        <v>160</v>
      </c>
      <c r="AK19" s="41">
        <v>2000</v>
      </c>
      <c r="AL19" s="25"/>
      <c r="AM19" s="25"/>
    </row>
    <row r="20" spans="1:39" x14ac:dyDescent="0.2">
      <c r="B20" s="50" t="s">
        <v>239</v>
      </c>
      <c r="C20" s="36">
        <v>0.52500000000000002</v>
      </c>
      <c r="D20" s="36"/>
      <c r="E20" s="36" t="s">
        <v>164</v>
      </c>
      <c r="F20" s="38">
        <v>2</v>
      </c>
      <c r="G20" s="43" t="str">
        <f>VLOOKUP(F20,Key!$A$17:$B$21,2,FALSE)</f>
        <v>Road Vehicle</v>
      </c>
      <c r="H20" s="37">
        <v>4</v>
      </c>
      <c r="I20" s="44" t="str">
        <f>VLOOKUP(H20,Key!$A$2:$B$13,2,FALSE)</f>
        <v>Minibus</v>
      </c>
      <c r="J20" s="38" t="s">
        <v>165</v>
      </c>
      <c r="K20" s="38">
        <v>1</v>
      </c>
      <c r="L20" s="45" t="str">
        <f>VLOOKUP(K20,Key!$A$24:$B$29,2,FALSE)</f>
        <v>20-29</v>
      </c>
      <c r="M20" s="38" t="s">
        <v>253</v>
      </c>
      <c r="N20" s="33" t="s">
        <v>161</v>
      </c>
      <c r="O20" s="38" t="s">
        <v>159</v>
      </c>
      <c r="P20" s="40">
        <v>1</v>
      </c>
      <c r="Q20" s="35" t="str">
        <f>VLOOKUP(P20,Key!$E$2:$F$9,2,FALSE)</f>
        <v>Home</v>
      </c>
      <c r="R20" s="38" t="s">
        <v>168</v>
      </c>
      <c r="S20" s="33" t="s">
        <v>161</v>
      </c>
      <c r="T20" s="38" t="s">
        <v>159</v>
      </c>
      <c r="U20" s="33">
        <v>3</v>
      </c>
      <c r="V20" s="35" t="str">
        <f>VLOOKUP(U20,Key!$E$2:$F$9,2,FALSE)</f>
        <v>Study</v>
      </c>
      <c r="W20" s="35" t="str">
        <f>Q20&amp;"-"&amp;V20</f>
        <v>Home-Study</v>
      </c>
      <c r="X20" s="51">
        <v>3000</v>
      </c>
      <c r="Y20" s="39">
        <v>3</v>
      </c>
      <c r="Z20" s="39">
        <v>0.28000000000000003</v>
      </c>
      <c r="AA20" s="33">
        <v>1</v>
      </c>
      <c r="AB20" s="35" t="str">
        <f>VLOOKUP(AA20,Key!$C$20:$D$29,2,FALSE)</f>
        <v>Unemployed</v>
      </c>
      <c r="AC20" s="33">
        <v>1</v>
      </c>
      <c r="AD20" s="35" t="str">
        <f>VLOOKUP(AC20,Key!$E$20:$F$24,2,FALSE)</f>
        <v>&lt;300,000</v>
      </c>
      <c r="AE20" s="33">
        <v>1</v>
      </c>
      <c r="AF20" s="39">
        <v>1</v>
      </c>
      <c r="AG20" s="39">
        <v>5</v>
      </c>
      <c r="AH20" s="39">
        <v>5</v>
      </c>
      <c r="AI20" s="39">
        <v>1</v>
      </c>
      <c r="AJ20" s="40" t="s">
        <v>160</v>
      </c>
      <c r="AK20" s="41">
        <v>0</v>
      </c>
      <c r="AL20" s="25"/>
      <c r="AM20" s="25"/>
    </row>
    <row r="21" spans="1:39" x14ac:dyDescent="0.2">
      <c r="B21" s="50" t="s">
        <v>239</v>
      </c>
      <c r="C21" s="36">
        <v>0.5395833333333333</v>
      </c>
      <c r="D21" s="36"/>
      <c r="E21" s="36" t="s">
        <v>164</v>
      </c>
      <c r="F21" s="38">
        <v>2</v>
      </c>
      <c r="G21" s="43" t="str">
        <f>VLOOKUP(F21,Key!$A$17:$B$21,2,FALSE)</f>
        <v>Road Vehicle</v>
      </c>
      <c r="H21" s="37">
        <v>4</v>
      </c>
      <c r="I21" s="44" t="str">
        <f>VLOOKUP(H21,Key!$A$2:$B$13,2,FALSE)</f>
        <v>Minibus</v>
      </c>
      <c r="J21" s="38" t="s">
        <v>165</v>
      </c>
      <c r="K21" s="38">
        <v>1</v>
      </c>
      <c r="L21" s="45" t="str">
        <f>VLOOKUP(K21,Key!$A$24:$B$29,2,FALSE)</f>
        <v>20-29</v>
      </c>
      <c r="M21" s="38" t="s">
        <v>188</v>
      </c>
      <c r="N21" s="33" t="s">
        <v>161</v>
      </c>
      <c r="O21" s="38" t="s">
        <v>159</v>
      </c>
      <c r="P21" s="40">
        <v>1</v>
      </c>
      <c r="Q21" s="35" t="str">
        <f>VLOOKUP(P21,Key!$E$2:$F$9,2,FALSE)</f>
        <v>Home</v>
      </c>
      <c r="R21" s="38" t="s">
        <v>168</v>
      </c>
      <c r="S21" s="33" t="s">
        <v>161</v>
      </c>
      <c r="T21" s="38" t="s">
        <v>159</v>
      </c>
      <c r="U21" s="33">
        <v>4</v>
      </c>
      <c r="V21" s="35" t="str">
        <f>VLOOKUP(U21,Key!$E$2:$F$9,2,FALSE)</f>
        <v>Commercial</v>
      </c>
      <c r="W21" s="35" t="str">
        <f>Q21&amp;"-"&amp;V21</f>
        <v>Home-Commercial</v>
      </c>
      <c r="X21" s="51">
        <v>4000</v>
      </c>
      <c r="Y21" s="39">
        <v>3</v>
      </c>
      <c r="Z21" s="39">
        <v>0.3</v>
      </c>
      <c r="AA21" s="33">
        <v>5</v>
      </c>
      <c r="AB21" s="35" t="str">
        <f>VLOOKUP(AA21,Key!$C$20:$D$29,2,FALSE)</f>
        <v>Professional</v>
      </c>
      <c r="AC21" s="33">
        <v>1</v>
      </c>
      <c r="AD21" s="35" t="str">
        <f>VLOOKUP(AC21,Key!$E$20:$F$24,2,FALSE)</f>
        <v>&lt;300,000</v>
      </c>
      <c r="AE21" s="33">
        <v>1</v>
      </c>
      <c r="AF21" s="39">
        <v>1</v>
      </c>
      <c r="AG21" s="39">
        <v>1</v>
      </c>
      <c r="AH21" s="39">
        <v>1</v>
      </c>
      <c r="AI21" s="39">
        <v>5</v>
      </c>
      <c r="AJ21" s="40" t="s">
        <v>160</v>
      </c>
      <c r="AK21" s="41">
        <v>1000</v>
      </c>
      <c r="AL21" s="25"/>
      <c r="AM21" s="25"/>
    </row>
    <row r="22" spans="1:39" x14ac:dyDescent="0.2">
      <c r="B22" s="50" t="s">
        <v>239</v>
      </c>
      <c r="C22" s="36">
        <v>0.56874999999999998</v>
      </c>
      <c r="D22" s="36"/>
      <c r="E22" s="36" t="s">
        <v>164</v>
      </c>
      <c r="F22" s="38">
        <v>2</v>
      </c>
      <c r="G22" s="43" t="str">
        <f>VLOOKUP(F22,Key!$A$17:$B$21,2,FALSE)</f>
        <v>Road Vehicle</v>
      </c>
      <c r="H22" s="37">
        <v>4</v>
      </c>
      <c r="I22" s="44" t="str">
        <f>VLOOKUP(H22,Key!$A$2:$B$13,2,FALSE)</f>
        <v>Minibus</v>
      </c>
      <c r="J22" s="38" t="s">
        <v>165</v>
      </c>
      <c r="K22" s="38">
        <v>1</v>
      </c>
      <c r="L22" s="45" t="str">
        <f>VLOOKUP(K22,Key!$A$24:$B$29,2,FALSE)</f>
        <v>20-29</v>
      </c>
      <c r="M22" s="38" t="s">
        <v>168</v>
      </c>
      <c r="N22" s="33" t="s">
        <v>161</v>
      </c>
      <c r="O22" s="38" t="s">
        <v>159</v>
      </c>
      <c r="P22" s="40">
        <v>1</v>
      </c>
      <c r="Q22" s="35" t="str">
        <f>VLOOKUP(P22,Key!$E$2:$F$9,2,FALSE)</f>
        <v>Home</v>
      </c>
      <c r="R22" s="38" t="s">
        <v>259</v>
      </c>
      <c r="S22" s="33" t="s">
        <v>260</v>
      </c>
      <c r="T22" s="38" t="s">
        <v>159</v>
      </c>
      <c r="U22" s="33">
        <v>1</v>
      </c>
      <c r="V22" s="35" t="str">
        <f>VLOOKUP(U22,Key!$E$2:$F$9,2,FALSE)</f>
        <v>Home</v>
      </c>
      <c r="W22" s="35" t="str">
        <f>Q22&amp;"-"&amp;V22</f>
        <v>Home-Home</v>
      </c>
      <c r="X22" s="51">
        <v>40000</v>
      </c>
      <c r="Y22" s="39">
        <v>370</v>
      </c>
      <c r="Z22" s="39">
        <v>4</v>
      </c>
      <c r="AA22" s="33">
        <v>1</v>
      </c>
      <c r="AB22" s="35" t="str">
        <f>VLOOKUP(AA22,Key!$C$20:$D$29,2,FALSE)</f>
        <v>Unemployed</v>
      </c>
      <c r="AC22" s="33">
        <v>1</v>
      </c>
      <c r="AD22" s="35" t="str">
        <f>VLOOKUP(AC22,Key!$E$20:$F$24,2,FALSE)</f>
        <v>&lt;300,000</v>
      </c>
      <c r="AE22" s="33">
        <v>5</v>
      </c>
      <c r="AF22" s="39">
        <v>5</v>
      </c>
      <c r="AG22" s="39">
        <v>5</v>
      </c>
      <c r="AH22" s="39">
        <v>5</v>
      </c>
      <c r="AI22" s="39">
        <v>5</v>
      </c>
      <c r="AJ22" s="40" t="s">
        <v>160</v>
      </c>
      <c r="AK22" s="41">
        <v>0</v>
      </c>
      <c r="AL22" s="25"/>
      <c r="AM22" s="25"/>
    </row>
    <row r="23" spans="1:39" x14ac:dyDescent="0.2">
      <c r="B23" s="50" t="s">
        <v>239</v>
      </c>
      <c r="C23" s="36">
        <v>0.59652777777777777</v>
      </c>
      <c r="D23" s="36"/>
      <c r="E23" s="36" t="s">
        <v>164</v>
      </c>
      <c r="F23" s="38">
        <v>2</v>
      </c>
      <c r="G23" s="43" t="str">
        <f>VLOOKUP(F23,Key!$A$17:$B$21,2,FALSE)</f>
        <v>Road Vehicle</v>
      </c>
      <c r="H23" s="37">
        <v>4</v>
      </c>
      <c r="I23" s="44" t="str">
        <f>VLOOKUP(H23,Key!$A$2:$B$13,2,FALSE)</f>
        <v>Minibus</v>
      </c>
      <c r="J23" s="38" t="s">
        <v>165</v>
      </c>
      <c r="K23" s="38">
        <v>1</v>
      </c>
      <c r="L23" s="45" t="str">
        <f>VLOOKUP(K23,Key!$A$24:$B$29,2,FALSE)</f>
        <v>20-29</v>
      </c>
      <c r="M23" s="38" t="s">
        <v>200</v>
      </c>
      <c r="N23" s="33" t="s">
        <v>161</v>
      </c>
      <c r="O23" s="38" t="s">
        <v>159</v>
      </c>
      <c r="P23" s="40">
        <v>1</v>
      </c>
      <c r="Q23" s="35" t="str">
        <f>VLOOKUP(P23,Key!$E$2:$F$9,2,FALSE)</f>
        <v>Home</v>
      </c>
      <c r="R23" s="38" t="s">
        <v>168</v>
      </c>
      <c r="S23" s="33" t="s">
        <v>161</v>
      </c>
      <c r="T23" s="38" t="s">
        <v>159</v>
      </c>
      <c r="U23" s="33">
        <v>2</v>
      </c>
      <c r="V23" s="35" t="str">
        <f>VLOOKUP(U23,Key!$E$2:$F$9,2,FALSE)</f>
        <v>Work</v>
      </c>
      <c r="W23" s="35" t="str">
        <f>Q23&amp;"-"&amp;V23</f>
        <v>Home-Work</v>
      </c>
      <c r="X23" s="51">
        <v>10000</v>
      </c>
      <c r="Y23" s="39">
        <v>3</v>
      </c>
      <c r="Z23" s="39">
        <v>0.28000000000000003</v>
      </c>
      <c r="AA23" s="33">
        <v>5</v>
      </c>
      <c r="AB23" s="35" t="str">
        <f>VLOOKUP(AA23,Key!$C$20:$D$29,2,FALSE)</f>
        <v>Professional</v>
      </c>
      <c r="AC23" s="33">
        <v>2</v>
      </c>
      <c r="AD23" s="35" t="str">
        <f>VLOOKUP(AC23,Key!$E$20:$F$24,2,FALSE)</f>
        <v>300,000-500,000</v>
      </c>
      <c r="AE23" s="33">
        <v>1</v>
      </c>
      <c r="AF23" s="39">
        <v>1</v>
      </c>
      <c r="AG23" s="39">
        <v>5</v>
      </c>
      <c r="AH23" s="39">
        <v>5</v>
      </c>
      <c r="AI23" s="39">
        <v>5</v>
      </c>
      <c r="AJ23" s="40" t="s">
        <v>160</v>
      </c>
      <c r="AK23" s="41">
        <v>3000</v>
      </c>
      <c r="AL23" s="25"/>
      <c r="AM23" s="25"/>
    </row>
    <row r="24" spans="1:39" x14ac:dyDescent="0.2">
      <c r="B24" s="50" t="s">
        <v>239</v>
      </c>
      <c r="C24" s="36">
        <v>0.65069444444444446</v>
      </c>
      <c r="D24" s="36"/>
      <c r="E24" s="36" t="s">
        <v>164</v>
      </c>
      <c r="F24" s="38">
        <v>2</v>
      </c>
      <c r="G24" s="43" t="str">
        <f>VLOOKUP(F24,Key!$A$17:$B$21,2,FALSE)</f>
        <v>Road Vehicle</v>
      </c>
      <c r="H24" s="37">
        <v>4</v>
      </c>
      <c r="I24" s="44" t="str">
        <f>VLOOKUP(H24,Key!$A$2:$B$13,2,FALSE)</f>
        <v>Minibus</v>
      </c>
      <c r="J24" s="38" t="s">
        <v>165</v>
      </c>
      <c r="K24" s="38">
        <v>1</v>
      </c>
      <c r="L24" s="45" t="str">
        <f>VLOOKUP(K24,Key!$A$24:$B$29,2,FALSE)</f>
        <v>20-29</v>
      </c>
      <c r="M24" s="38" t="s">
        <v>168</v>
      </c>
      <c r="N24" s="33" t="s">
        <v>161</v>
      </c>
      <c r="O24" s="38" t="s">
        <v>159</v>
      </c>
      <c r="P24" s="40">
        <v>1</v>
      </c>
      <c r="Q24" s="35" t="str">
        <f>VLOOKUP(P24,Key!$E$2:$F$9,2,FALSE)</f>
        <v>Home</v>
      </c>
      <c r="R24" s="38" t="s">
        <v>185</v>
      </c>
      <c r="S24" s="33" t="s">
        <v>186</v>
      </c>
      <c r="T24" s="38" t="s">
        <v>159</v>
      </c>
      <c r="U24" s="33">
        <v>7</v>
      </c>
      <c r="V24" s="35" t="str">
        <f>VLOOKUP(U24,Key!$E$2:$F$9,2,FALSE)</f>
        <v>Hospital</v>
      </c>
      <c r="W24" s="35" t="str">
        <f>Q24&amp;"-"&amp;V24</f>
        <v>Home-Hospital</v>
      </c>
      <c r="X24" s="51">
        <v>15000</v>
      </c>
      <c r="Y24" s="39">
        <v>136</v>
      </c>
      <c r="Z24" s="39">
        <v>2</v>
      </c>
      <c r="AA24" s="33">
        <v>1</v>
      </c>
      <c r="AB24" s="35" t="str">
        <f>VLOOKUP(AA24,Key!$C$20:$D$29,2,FALSE)</f>
        <v>Unemployed</v>
      </c>
      <c r="AC24" s="33">
        <v>1</v>
      </c>
      <c r="AD24" s="35" t="str">
        <f>VLOOKUP(AC24,Key!$E$20:$F$24,2,FALSE)</f>
        <v>&lt;300,000</v>
      </c>
      <c r="AE24" s="33">
        <v>5</v>
      </c>
      <c r="AF24" s="39">
        <v>1</v>
      </c>
      <c r="AG24" s="39">
        <v>1</v>
      </c>
      <c r="AH24" s="39">
        <v>1</v>
      </c>
      <c r="AI24" s="39">
        <v>1</v>
      </c>
      <c r="AJ24" s="40" t="s">
        <v>160</v>
      </c>
      <c r="AK24" s="41">
        <v>0</v>
      </c>
      <c r="AL24" s="25"/>
      <c r="AM24" s="25"/>
    </row>
    <row r="25" spans="1:39" x14ac:dyDescent="0.2">
      <c r="B25" s="50" t="s">
        <v>239</v>
      </c>
      <c r="C25" s="36">
        <v>0.72013888888888899</v>
      </c>
      <c r="D25" s="36"/>
      <c r="E25" s="36" t="s">
        <v>164</v>
      </c>
      <c r="F25" s="38">
        <v>2</v>
      </c>
      <c r="G25" s="43" t="s">
        <v>110</v>
      </c>
      <c r="H25" s="37">
        <v>4</v>
      </c>
      <c r="I25" s="44" t="str">
        <f>VLOOKUP(H25,Key!$A$2:$B$13,2,FALSE)</f>
        <v>Minibus</v>
      </c>
      <c r="J25" s="38" t="s">
        <v>165</v>
      </c>
      <c r="K25" s="38">
        <v>1</v>
      </c>
      <c r="L25" s="45" t="str">
        <f>VLOOKUP(K25,Key!$A$24:$B$29,2,FALSE)</f>
        <v>20-29</v>
      </c>
      <c r="M25" s="38" t="s">
        <v>168</v>
      </c>
      <c r="N25" s="33" t="s">
        <v>161</v>
      </c>
      <c r="O25" s="38" t="s">
        <v>159</v>
      </c>
      <c r="P25" s="40">
        <v>1</v>
      </c>
      <c r="Q25" s="35" t="str">
        <f>VLOOKUP(P25,Key!$E$2:$F$9,2,FALSE)</f>
        <v>Home</v>
      </c>
      <c r="R25" s="38" t="s">
        <v>185</v>
      </c>
      <c r="S25" s="33" t="s">
        <v>186</v>
      </c>
      <c r="T25" s="38" t="s">
        <v>159</v>
      </c>
      <c r="U25" s="33">
        <v>6</v>
      </c>
      <c r="V25" s="35" t="str">
        <f>VLOOKUP(U25,Key!$E$2:$F$9,2,FALSE)</f>
        <v>Leisure/Social</v>
      </c>
      <c r="W25" s="35" t="str">
        <f>Q25&amp;"-"&amp;V25</f>
        <v>Home-Leisure/Social</v>
      </c>
      <c r="X25" s="51">
        <v>15000</v>
      </c>
      <c r="Y25" s="39">
        <v>136</v>
      </c>
      <c r="Z25" s="39">
        <v>3</v>
      </c>
      <c r="AA25" s="33">
        <v>1</v>
      </c>
      <c r="AB25" s="35" t="str">
        <f>VLOOKUP(AA25,Key!$C$20:$D$29,2,FALSE)</f>
        <v>Unemployed</v>
      </c>
      <c r="AC25" s="33">
        <v>1</v>
      </c>
      <c r="AD25" s="35" t="str">
        <f>VLOOKUP(AC25,Key!$E$20:$F$24,2,FALSE)</f>
        <v>&lt;300,000</v>
      </c>
      <c r="AE25" s="33">
        <v>1</v>
      </c>
      <c r="AF25" s="39">
        <v>1</v>
      </c>
      <c r="AG25" s="39">
        <v>1</v>
      </c>
      <c r="AH25" s="39">
        <v>1</v>
      </c>
      <c r="AI25" s="39">
        <v>1</v>
      </c>
      <c r="AJ25" s="40" t="s">
        <v>160</v>
      </c>
      <c r="AK25" s="41">
        <v>2000</v>
      </c>
      <c r="AL25" s="25"/>
      <c r="AM25" s="25"/>
    </row>
    <row r="26" spans="1:39" x14ac:dyDescent="0.2">
      <c r="B26" s="50" t="s">
        <v>239</v>
      </c>
      <c r="C26" s="36">
        <v>0.73055555555555562</v>
      </c>
      <c r="D26" s="36"/>
      <c r="E26" s="36" t="s">
        <v>164</v>
      </c>
      <c r="F26" s="38">
        <v>2</v>
      </c>
      <c r="G26" s="43" t="str">
        <f>VLOOKUP(F26,Key!$A$17:$B$21,2,FALSE)</f>
        <v>Road Vehicle</v>
      </c>
      <c r="H26" s="37">
        <v>4</v>
      </c>
      <c r="I26" s="44" t="str">
        <f>VLOOKUP(H26,Key!$A$2:$B$13,2,FALSE)</f>
        <v>Minibus</v>
      </c>
      <c r="J26" s="38" t="s">
        <v>165</v>
      </c>
      <c r="K26" s="38">
        <v>1</v>
      </c>
      <c r="L26" s="45" t="str">
        <f>VLOOKUP(K26,Key!$A$24:$B$29,2,FALSE)</f>
        <v>20-29</v>
      </c>
      <c r="M26" s="38" t="s">
        <v>168</v>
      </c>
      <c r="N26" s="33" t="s">
        <v>161</v>
      </c>
      <c r="O26" s="38" t="s">
        <v>159</v>
      </c>
      <c r="P26" s="40">
        <v>1</v>
      </c>
      <c r="Q26" s="35" t="str">
        <f>VLOOKUP(P26,Key!$E$2:$F$9,2,FALSE)</f>
        <v>Home</v>
      </c>
      <c r="R26" s="38" t="s">
        <v>183</v>
      </c>
      <c r="S26" s="33" t="s">
        <v>184</v>
      </c>
      <c r="T26" s="38" t="s">
        <v>159</v>
      </c>
      <c r="U26" s="33">
        <v>6</v>
      </c>
      <c r="V26" s="35" t="str">
        <f>VLOOKUP(U26,Key!$E$2:$F$9,2,FALSE)</f>
        <v>Leisure/Social</v>
      </c>
      <c r="W26" s="35" t="str">
        <f>Q26&amp;"-"&amp;V26</f>
        <v>Home-Leisure/Social</v>
      </c>
      <c r="X26" s="51">
        <v>7000</v>
      </c>
      <c r="Y26" s="39">
        <v>76</v>
      </c>
      <c r="Z26" s="39">
        <v>1</v>
      </c>
      <c r="AA26" s="33">
        <v>1</v>
      </c>
      <c r="AB26" s="35" t="str">
        <f>VLOOKUP(AA26,Key!$C$20:$D$29,2,FALSE)</f>
        <v>Unemployed</v>
      </c>
      <c r="AC26" s="33">
        <v>1</v>
      </c>
      <c r="AD26" s="35" t="str">
        <f>VLOOKUP(AC26,Key!$E$20:$F$24,2,FALSE)</f>
        <v>&lt;300,000</v>
      </c>
      <c r="AE26" s="33">
        <v>1</v>
      </c>
      <c r="AF26" s="39">
        <v>1</v>
      </c>
      <c r="AG26" s="39">
        <v>1</v>
      </c>
      <c r="AH26" s="39">
        <v>1</v>
      </c>
      <c r="AI26" s="39">
        <v>1</v>
      </c>
      <c r="AJ26" s="40" t="s">
        <v>160</v>
      </c>
      <c r="AK26" s="41">
        <v>0</v>
      </c>
      <c r="AL26" s="25"/>
      <c r="AM26" s="25"/>
    </row>
    <row r="27" spans="1:39" x14ac:dyDescent="0.2">
      <c r="B27" s="50" t="s">
        <v>239</v>
      </c>
      <c r="C27" s="36">
        <v>0.75624999999999998</v>
      </c>
      <c r="D27" s="36"/>
      <c r="E27" s="36" t="s">
        <v>164</v>
      </c>
      <c r="F27" s="38">
        <v>2</v>
      </c>
      <c r="G27" s="43" t="str">
        <f>VLOOKUP(F27,Key!$A$17:$B$21,2,FALSE)</f>
        <v>Road Vehicle</v>
      </c>
      <c r="H27" s="37">
        <v>4</v>
      </c>
      <c r="I27" s="44" t="str">
        <f>VLOOKUP(H27,Key!$A$2:$B$13,2,FALSE)</f>
        <v>Minibus</v>
      </c>
      <c r="J27" s="38" t="s">
        <v>165</v>
      </c>
      <c r="K27" s="38">
        <v>1</v>
      </c>
      <c r="L27" s="45" t="str">
        <f>VLOOKUP(K27,Key!$A$24:$B$29,2,FALSE)</f>
        <v>20-29</v>
      </c>
      <c r="M27" s="38" t="s">
        <v>168</v>
      </c>
      <c r="N27" s="33" t="s">
        <v>161</v>
      </c>
      <c r="O27" s="38" t="s">
        <v>159</v>
      </c>
      <c r="P27" s="40">
        <v>1</v>
      </c>
      <c r="Q27" s="35" t="str">
        <f>VLOOKUP(P27,Key!$E$2:$F$9,2,FALSE)</f>
        <v>Home</v>
      </c>
      <c r="R27" s="38" t="s">
        <v>185</v>
      </c>
      <c r="S27" s="33" t="s">
        <v>186</v>
      </c>
      <c r="T27" s="38" t="s">
        <v>159</v>
      </c>
      <c r="U27" s="33">
        <v>3</v>
      </c>
      <c r="V27" s="35" t="str">
        <f>VLOOKUP(U27,Key!$E$2:$F$9,2,FALSE)</f>
        <v>Study</v>
      </c>
      <c r="W27" s="35" t="str">
        <f>Q27&amp;"-"&amp;V27</f>
        <v>Home-Study</v>
      </c>
      <c r="X27" s="51">
        <v>15000</v>
      </c>
      <c r="Y27" s="39">
        <v>136</v>
      </c>
      <c r="Z27" s="39">
        <v>1.5</v>
      </c>
      <c r="AA27" s="33">
        <v>1</v>
      </c>
      <c r="AB27" s="35" t="str">
        <f>VLOOKUP(AA27,Key!$C$20:$D$29,2,FALSE)</f>
        <v>Unemployed</v>
      </c>
      <c r="AC27" s="33">
        <v>1</v>
      </c>
      <c r="AD27" s="35" t="str">
        <f>VLOOKUP(AC27,Key!$E$20:$F$24,2,FALSE)</f>
        <v>&lt;300,000</v>
      </c>
      <c r="AE27" s="33">
        <v>1</v>
      </c>
      <c r="AF27" s="39">
        <v>1</v>
      </c>
      <c r="AG27" s="39">
        <v>1</v>
      </c>
      <c r="AH27" s="39">
        <v>1</v>
      </c>
      <c r="AI27" s="39">
        <v>1</v>
      </c>
      <c r="AJ27" s="40" t="s">
        <v>160</v>
      </c>
      <c r="AK27" s="41">
        <v>0</v>
      </c>
      <c r="AL27" s="25"/>
      <c r="AM27" s="25"/>
    </row>
    <row r="28" spans="1:39" x14ac:dyDescent="0.2">
      <c r="A28" s="10"/>
      <c r="B28" s="50" t="s">
        <v>239</v>
      </c>
      <c r="C28" s="36">
        <v>0.77708333333333324</v>
      </c>
      <c r="D28" s="36"/>
      <c r="E28" s="36" t="s">
        <v>164</v>
      </c>
      <c r="F28" s="38">
        <v>2</v>
      </c>
      <c r="G28" s="43" t="str">
        <f>VLOOKUP(F28,Key!$A$17:$B$21,2,FALSE)</f>
        <v>Road Vehicle</v>
      </c>
      <c r="H28" s="37">
        <v>4</v>
      </c>
      <c r="I28" s="44" t="str">
        <f>VLOOKUP(H28,Key!$A$2:$B$13,2,FALSE)</f>
        <v>Minibus</v>
      </c>
      <c r="J28" s="38" t="s">
        <v>165</v>
      </c>
      <c r="K28" s="38">
        <v>1</v>
      </c>
      <c r="L28" s="45" t="str">
        <f>VLOOKUP(K28,Key!$A$24:$B$29,2,FALSE)</f>
        <v>20-29</v>
      </c>
      <c r="M28" s="38" t="s">
        <v>168</v>
      </c>
      <c r="N28" s="33" t="s">
        <v>161</v>
      </c>
      <c r="O28" s="38" t="s">
        <v>159</v>
      </c>
      <c r="P28" s="40">
        <v>4</v>
      </c>
      <c r="Q28" s="35" t="str">
        <f>VLOOKUP(P28,Key!$E$2:$F$9,2,FALSE)</f>
        <v>Commercial</v>
      </c>
      <c r="R28" s="38" t="s">
        <v>227</v>
      </c>
      <c r="S28" s="33" t="s">
        <v>228</v>
      </c>
      <c r="T28" s="38" t="s">
        <v>159</v>
      </c>
      <c r="U28" s="33">
        <v>4</v>
      </c>
      <c r="V28" s="35" t="str">
        <f>VLOOKUP(U28,Key!$E$2:$F$9,2,FALSE)</f>
        <v>Commercial</v>
      </c>
      <c r="W28" s="35" t="str">
        <f>Q28&amp;"-"&amp;V28</f>
        <v>Commercial-Commercial</v>
      </c>
      <c r="X28" s="51">
        <v>50000</v>
      </c>
      <c r="Y28" s="39">
        <v>470</v>
      </c>
      <c r="Z28" s="39">
        <v>4</v>
      </c>
      <c r="AA28" s="33">
        <v>7</v>
      </c>
      <c r="AB28" s="35" t="str">
        <f>VLOOKUP(AA28,Key!$C$20:$D$29,2,FALSE)</f>
        <v>Farmer</v>
      </c>
      <c r="AC28" s="33">
        <v>2</v>
      </c>
      <c r="AD28" s="35" t="str">
        <f>VLOOKUP(AC28,Key!$E$20:$F$24,2,FALSE)</f>
        <v>300,000-500,000</v>
      </c>
      <c r="AE28" s="33">
        <v>1</v>
      </c>
      <c r="AF28" s="39">
        <v>1</v>
      </c>
      <c r="AG28" s="39">
        <v>5</v>
      </c>
      <c r="AH28" s="39">
        <v>5</v>
      </c>
      <c r="AI28" s="39">
        <v>5</v>
      </c>
      <c r="AJ28" s="40" t="s">
        <v>160</v>
      </c>
      <c r="AK28" s="41">
        <v>2000</v>
      </c>
      <c r="AL28" s="25"/>
      <c r="AM28" s="25"/>
    </row>
    <row r="29" spans="1:39" x14ac:dyDescent="0.2">
      <c r="B29" s="53" t="s">
        <v>321</v>
      </c>
      <c r="C29" s="36">
        <v>0.66111111111111109</v>
      </c>
      <c r="D29" s="36"/>
      <c r="E29" s="36" t="s">
        <v>164</v>
      </c>
      <c r="F29" s="38">
        <v>2</v>
      </c>
      <c r="G29" s="43" t="str">
        <f>VLOOKUP(F29,Key!$A$17:$B$21,2,FALSE)</f>
        <v>Road Vehicle</v>
      </c>
      <c r="H29" s="37">
        <v>4</v>
      </c>
      <c r="I29" s="44" t="str">
        <f>VLOOKUP(H29,Key!$A$2:$B$13,2,FALSE)</f>
        <v>Minibus</v>
      </c>
      <c r="J29" s="38" t="s">
        <v>165</v>
      </c>
      <c r="K29" s="38">
        <v>1</v>
      </c>
      <c r="L29" s="45" t="str">
        <f>VLOOKUP(K29,Key!$A$24:$B$29,2,FALSE)</f>
        <v>20-29</v>
      </c>
      <c r="M29" s="38" t="s">
        <v>274</v>
      </c>
      <c r="N29" s="33" t="s">
        <v>275</v>
      </c>
      <c r="O29" s="38" t="s">
        <v>159</v>
      </c>
      <c r="P29" s="40">
        <v>1</v>
      </c>
      <c r="Q29" s="35" t="str">
        <f>VLOOKUP(P29,Key!$E$2:$F$9,2,FALSE)</f>
        <v>Home</v>
      </c>
      <c r="R29" s="38" t="s">
        <v>168</v>
      </c>
      <c r="S29" s="33" t="s">
        <v>161</v>
      </c>
      <c r="T29" s="38" t="s">
        <v>159</v>
      </c>
      <c r="U29" s="33">
        <v>6</v>
      </c>
      <c r="V29" s="35" t="str">
        <f>VLOOKUP(U29,Key!$E$2:$F$9,2,FALSE)</f>
        <v>Leisure/Social</v>
      </c>
      <c r="W29" s="35" t="str">
        <f>Q29&amp;"-"&amp;V29</f>
        <v>Home-Leisure/Social</v>
      </c>
      <c r="X29" s="51">
        <v>40000</v>
      </c>
      <c r="Y29" s="39">
        <v>340</v>
      </c>
      <c r="Z29" s="39">
        <v>4</v>
      </c>
      <c r="AA29" s="33">
        <v>6</v>
      </c>
      <c r="AB29" s="35" t="str">
        <f>VLOOKUP(AA29,Key!$C$20:$D$29,2,FALSE)</f>
        <v>Businessman</v>
      </c>
      <c r="AC29" s="33">
        <v>2</v>
      </c>
      <c r="AD29" s="35" t="str">
        <f>VLOOKUP(AC29,Key!$E$20:$F$24,2,FALSE)</f>
        <v>300,000-500,000</v>
      </c>
      <c r="AE29" s="33">
        <v>1</v>
      </c>
      <c r="AF29" s="39">
        <v>1</v>
      </c>
      <c r="AG29" s="39">
        <v>1</v>
      </c>
      <c r="AH29" s="39">
        <v>1</v>
      </c>
      <c r="AI29" s="39">
        <v>1</v>
      </c>
      <c r="AJ29" s="40" t="s">
        <v>160</v>
      </c>
      <c r="AK29" s="41">
        <v>3000</v>
      </c>
      <c r="AL29" s="25"/>
      <c r="AM29" s="25"/>
    </row>
    <row r="30" spans="1:39" x14ac:dyDescent="0.2">
      <c r="B30" s="50" t="s">
        <v>321</v>
      </c>
      <c r="C30" s="36">
        <v>0.30277777777777776</v>
      </c>
      <c r="D30" s="36"/>
      <c r="E30" s="36" t="s">
        <v>164</v>
      </c>
      <c r="F30" s="38">
        <v>2</v>
      </c>
      <c r="G30" s="43" t="str">
        <f>VLOOKUP(F30,Key!$A$17:$B$21,2,FALSE)</f>
        <v>Road Vehicle</v>
      </c>
      <c r="H30" s="37">
        <v>4</v>
      </c>
      <c r="I30" s="44" t="str">
        <f>VLOOKUP(H30,Key!$A$2:$B$13,2,FALSE)</f>
        <v>Minibus</v>
      </c>
      <c r="J30" s="38" t="s">
        <v>165</v>
      </c>
      <c r="K30" s="38">
        <v>1</v>
      </c>
      <c r="L30" s="45" t="str">
        <f>VLOOKUP(K30,Key!$A$24:$B$29,2,FALSE)</f>
        <v>20-29</v>
      </c>
      <c r="M30" s="38" t="s">
        <v>168</v>
      </c>
      <c r="N30" s="33" t="s">
        <v>161</v>
      </c>
      <c r="O30" s="38" t="s">
        <v>159</v>
      </c>
      <c r="P30" s="40">
        <v>1</v>
      </c>
      <c r="Q30" s="35" t="str">
        <f>VLOOKUP(P30,Key!$E$2:$F$9,2,FALSE)</f>
        <v>Home</v>
      </c>
      <c r="R30" s="38" t="s">
        <v>171</v>
      </c>
      <c r="S30" s="33" t="s">
        <v>172</v>
      </c>
      <c r="T30" s="38" t="s">
        <v>159</v>
      </c>
      <c r="U30" s="33">
        <v>3</v>
      </c>
      <c r="V30" s="35" t="str">
        <f>VLOOKUP(U30,Key!$E$2:$F$9,2,FALSE)</f>
        <v>Study</v>
      </c>
      <c r="W30" s="35" t="str">
        <f>Q30&amp;"-"&amp;V30</f>
        <v>Home-Study</v>
      </c>
      <c r="X30" s="51">
        <v>30000</v>
      </c>
      <c r="Y30" s="39">
        <v>480</v>
      </c>
      <c r="Z30" s="39">
        <v>4</v>
      </c>
      <c r="AA30" s="33">
        <v>1</v>
      </c>
      <c r="AB30" s="35" t="str">
        <f>VLOOKUP(AA30,Key!$C$20:$D$29,2,FALSE)</f>
        <v>Unemployed</v>
      </c>
      <c r="AC30" s="33">
        <v>1</v>
      </c>
      <c r="AD30" s="35" t="str">
        <f>VLOOKUP(AC30,Key!$E$20:$F$24,2,FALSE)</f>
        <v>&lt;300,000</v>
      </c>
      <c r="AE30" s="33">
        <v>1</v>
      </c>
      <c r="AF30" s="39">
        <v>1</v>
      </c>
      <c r="AG30" s="39">
        <v>1</v>
      </c>
      <c r="AH30" s="39">
        <v>1</v>
      </c>
      <c r="AI30" s="39">
        <v>1</v>
      </c>
      <c r="AJ30" s="40" t="s">
        <v>160</v>
      </c>
      <c r="AK30" s="41">
        <v>0</v>
      </c>
      <c r="AL30" s="25"/>
      <c r="AM30" s="25"/>
    </row>
    <row r="31" spans="1:39" x14ac:dyDescent="0.2">
      <c r="B31" s="50" t="s">
        <v>321</v>
      </c>
      <c r="C31" s="36">
        <v>0.4284722222222222</v>
      </c>
      <c r="D31" s="36"/>
      <c r="E31" s="36" t="s">
        <v>164</v>
      </c>
      <c r="F31" s="38">
        <v>2</v>
      </c>
      <c r="G31" s="43" t="str">
        <f>VLOOKUP(F31,Key!$A$17:$B$21,2,FALSE)</f>
        <v>Road Vehicle</v>
      </c>
      <c r="H31" s="37">
        <v>4</v>
      </c>
      <c r="I31" s="44" t="str">
        <f>VLOOKUP(H31,Key!$A$2:$B$13,2,FALSE)</f>
        <v>Minibus</v>
      </c>
      <c r="J31" s="38" t="s">
        <v>165</v>
      </c>
      <c r="K31" s="38">
        <v>1</v>
      </c>
      <c r="L31" s="45" t="str">
        <f>VLOOKUP(K31,Key!$A$24:$B$29,2,FALSE)</f>
        <v>20-29</v>
      </c>
      <c r="M31" s="38" t="s">
        <v>322</v>
      </c>
      <c r="N31" s="33" t="s">
        <v>161</v>
      </c>
      <c r="O31" s="38" t="s">
        <v>159</v>
      </c>
      <c r="P31" s="40">
        <v>1</v>
      </c>
      <c r="Q31" s="35" t="str">
        <f>VLOOKUP(P31,Key!$E$2:$F$9,2,FALSE)</f>
        <v>Home</v>
      </c>
      <c r="R31" s="38" t="s">
        <v>168</v>
      </c>
      <c r="S31" s="33" t="s">
        <v>161</v>
      </c>
      <c r="T31" s="38" t="s">
        <v>159</v>
      </c>
      <c r="U31" s="33">
        <v>2</v>
      </c>
      <c r="V31" s="35" t="str">
        <f>VLOOKUP(U31,Key!$E$2:$F$9,2,FALSE)</f>
        <v>Work</v>
      </c>
      <c r="W31" s="35" t="str">
        <f>Q31&amp;"-"&amp;V31</f>
        <v>Home-Work</v>
      </c>
      <c r="X31" s="51">
        <v>5000</v>
      </c>
      <c r="Y31" s="39">
        <v>40</v>
      </c>
      <c r="Z31" s="39">
        <v>1</v>
      </c>
      <c r="AA31" s="33">
        <v>7</v>
      </c>
      <c r="AB31" s="35" t="str">
        <f>VLOOKUP(AA31,Key!$C$20:$D$29,2,FALSE)</f>
        <v>Farmer</v>
      </c>
      <c r="AC31" s="33">
        <v>2</v>
      </c>
      <c r="AD31" s="35" t="str">
        <f>VLOOKUP(AC31,Key!$E$20:$F$24,2,FALSE)</f>
        <v>300,000-500,000</v>
      </c>
      <c r="AE31" s="33">
        <v>1</v>
      </c>
      <c r="AF31" s="39">
        <v>1</v>
      </c>
      <c r="AG31" s="39">
        <v>5</v>
      </c>
      <c r="AH31" s="39">
        <v>5</v>
      </c>
      <c r="AI31" s="39">
        <v>1</v>
      </c>
      <c r="AJ31" s="40" t="s">
        <v>160</v>
      </c>
      <c r="AK31" s="41">
        <v>1000</v>
      </c>
      <c r="AL31" s="25"/>
      <c r="AM31" s="25"/>
    </row>
    <row r="32" spans="1:39" x14ac:dyDescent="0.2">
      <c r="B32" s="50" t="s">
        <v>321</v>
      </c>
      <c r="C32" s="36">
        <v>0.46736111111111112</v>
      </c>
      <c r="D32" s="36"/>
      <c r="E32" s="36" t="s">
        <v>164</v>
      </c>
      <c r="F32" s="38">
        <v>2</v>
      </c>
      <c r="G32" s="43" t="str">
        <f>VLOOKUP(F32,Key!$A$17:$B$21,2,FALSE)</f>
        <v>Road Vehicle</v>
      </c>
      <c r="H32" s="37">
        <v>4</v>
      </c>
      <c r="I32" s="44" t="str">
        <f>VLOOKUP(H32,Key!$A$2:$B$13,2,FALSE)</f>
        <v>Minibus</v>
      </c>
      <c r="J32" s="38" t="s">
        <v>165</v>
      </c>
      <c r="K32" s="38">
        <v>1</v>
      </c>
      <c r="L32" s="45" t="str">
        <f>VLOOKUP(K32,Key!$A$24:$B$29,2,FALSE)</f>
        <v>20-29</v>
      </c>
      <c r="M32" s="38" t="s">
        <v>168</v>
      </c>
      <c r="N32" s="33" t="s">
        <v>161</v>
      </c>
      <c r="O32" s="38" t="s">
        <v>159</v>
      </c>
      <c r="P32" s="40">
        <v>1</v>
      </c>
      <c r="Q32" s="35" t="str">
        <f>VLOOKUP(P32,Key!$E$2:$F$9,2,FALSE)</f>
        <v>Home</v>
      </c>
      <c r="R32" s="38" t="s">
        <v>227</v>
      </c>
      <c r="S32" s="33" t="s">
        <v>228</v>
      </c>
      <c r="T32" s="38" t="s">
        <v>159</v>
      </c>
      <c r="U32" s="33">
        <v>3</v>
      </c>
      <c r="V32" s="35" t="str">
        <f>VLOOKUP(U32,Key!$E$2:$F$9,2,FALSE)</f>
        <v>Study</v>
      </c>
      <c r="W32" s="35" t="str">
        <f>Q32&amp;"-"&amp;V32</f>
        <v>Home-Study</v>
      </c>
      <c r="X32" s="51">
        <v>50000</v>
      </c>
      <c r="Y32" s="39">
        <v>450</v>
      </c>
      <c r="Z32" s="39">
        <v>7</v>
      </c>
      <c r="AA32" s="33">
        <v>1</v>
      </c>
      <c r="AB32" s="35" t="str">
        <f>VLOOKUP(AA32,Key!$C$20:$D$29,2,FALSE)</f>
        <v>Unemployed</v>
      </c>
      <c r="AC32" s="33">
        <v>1</v>
      </c>
      <c r="AD32" s="35" t="str">
        <f>VLOOKUP(AC32,Key!$E$20:$F$24,2,FALSE)</f>
        <v>&lt;300,000</v>
      </c>
      <c r="AE32" s="33">
        <v>5</v>
      </c>
      <c r="AF32" s="39">
        <v>5</v>
      </c>
      <c r="AG32" s="39">
        <v>1</v>
      </c>
      <c r="AH32" s="39">
        <v>1</v>
      </c>
      <c r="AI32" s="39">
        <v>5</v>
      </c>
      <c r="AJ32" s="40" t="s">
        <v>160</v>
      </c>
      <c r="AK32" s="41">
        <v>0</v>
      </c>
      <c r="AL32" s="25"/>
      <c r="AM32" s="25"/>
    </row>
    <row r="33" spans="2:39" x14ac:dyDescent="0.2">
      <c r="B33" s="50" t="s">
        <v>321</v>
      </c>
      <c r="C33" s="36">
        <v>0.50486111111111109</v>
      </c>
      <c r="D33" s="36"/>
      <c r="E33" s="36" t="s">
        <v>164</v>
      </c>
      <c r="F33" s="38">
        <v>2</v>
      </c>
      <c r="G33" s="43" t="str">
        <f>VLOOKUP(F33,Key!$A$17:$B$21,2,FALSE)</f>
        <v>Road Vehicle</v>
      </c>
      <c r="H33" s="37">
        <v>4</v>
      </c>
      <c r="I33" s="44" t="str">
        <f>VLOOKUP(H33,Key!$A$2:$B$13,2,FALSE)</f>
        <v>Minibus</v>
      </c>
      <c r="J33" s="38" t="s">
        <v>165</v>
      </c>
      <c r="K33" s="38">
        <v>1</v>
      </c>
      <c r="L33" s="45" t="str">
        <f>VLOOKUP(K33,Key!$A$24:$B$29,2,FALSE)</f>
        <v>20-29</v>
      </c>
      <c r="M33" s="38" t="s">
        <v>168</v>
      </c>
      <c r="N33" s="33" t="s">
        <v>161</v>
      </c>
      <c r="O33" s="38" t="s">
        <v>159</v>
      </c>
      <c r="P33" s="40">
        <v>1</v>
      </c>
      <c r="Q33" s="35" t="str">
        <f>VLOOKUP(P33,Key!$E$2:$F$9,2,FALSE)</f>
        <v>Home</v>
      </c>
      <c r="R33" s="38" t="s">
        <v>327</v>
      </c>
      <c r="S33" s="33" t="s">
        <v>328</v>
      </c>
      <c r="T33" s="38" t="s">
        <v>159</v>
      </c>
      <c r="U33" s="33">
        <v>1</v>
      </c>
      <c r="V33" s="35" t="str">
        <f>VLOOKUP(U33,Key!$E$2:$F$9,2,FALSE)</f>
        <v>Home</v>
      </c>
      <c r="W33" s="35" t="str">
        <f>Q33&amp;"-"&amp;V33</f>
        <v>Home-Home</v>
      </c>
      <c r="X33" s="51">
        <v>3000</v>
      </c>
      <c r="Y33" s="39">
        <v>47</v>
      </c>
      <c r="Z33" s="39">
        <v>0.8</v>
      </c>
      <c r="AA33" s="33">
        <v>6</v>
      </c>
      <c r="AB33" s="35" t="str">
        <f>VLOOKUP(AA33,Key!$C$20:$D$29,2,FALSE)</f>
        <v>Businessman</v>
      </c>
      <c r="AC33" s="33">
        <v>1</v>
      </c>
      <c r="AD33" s="35" t="str">
        <f>VLOOKUP(AC33,Key!$E$20:$F$24,2,FALSE)</f>
        <v>&lt;300,000</v>
      </c>
      <c r="AE33" s="33">
        <v>2</v>
      </c>
      <c r="AF33" s="39">
        <v>2</v>
      </c>
      <c r="AG33" s="39">
        <v>2</v>
      </c>
      <c r="AH33" s="39">
        <v>2</v>
      </c>
      <c r="AI33" s="39">
        <v>2</v>
      </c>
      <c r="AJ33" s="40" t="s">
        <v>160</v>
      </c>
      <c r="AK33" s="41">
        <v>0</v>
      </c>
      <c r="AL33" s="25"/>
      <c r="AM33" s="25"/>
    </row>
    <row r="34" spans="2:39" x14ac:dyDescent="0.2">
      <c r="B34" s="50" t="s">
        <v>321</v>
      </c>
      <c r="C34" s="36">
        <v>0.64722222222222225</v>
      </c>
      <c r="D34" s="36"/>
      <c r="E34" s="36" t="s">
        <v>164</v>
      </c>
      <c r="F34" s="38">
        <v>2</v>
      </c>
      <c r="G34" s="43" t="s">
        <v>110</v>
      </c>
      <c r="H34" s="37">
        <v>4</v>
      </c>
      <c r="I34" s="44" t="str">
        <f>VLOOKUP(H34,Key!$A$2:$B$13,2,FALSE)</f>
        <v>Minibus</v>
      </c>
      <c r="J34" s="38" t="s">
        <v>165</v>
      </c>
      <c r="K34" s="38">
        <v>1</v>
      </c>
      <c r="L34" s="45" t="str">
        <f>VLOOKUP(K34,Key!$A$24:$B$29,2,FALSE)</f>
        <v>20-29</v>
      </c>
      <c r="M34" s="38" t="s">
        <v>168</v>
      </c>
      <c r="N34" s="33" t="s">
        <v>161</v>
      </c>
      <c r="O34" s="38" t="s">
        <v>159</v>
      </c>
      <c r="P34" s="40">
        <v>1</v>
      </c>
      <c r="Q34" s="35" t="str">
        <f>VLOOKUP(P34,Key!$E$2:$F$9,2,FALSE)</f>
        <v>Home</v>
      </c>
      <c r="R34" s="38" t="s">
        <v>246</v>
      </c>
      <c r="S34" s="33" t="s">
        <v>247</v>
      </c>
      <c r="T34" s="38" t="s">
        <v>159</v>
      </c>
      <c r="U34" s="33">
        <v>4</v>
      </c>
      <c r="V34" s="35" t="str">
        <f>VLOOKUP(U34,Key!$E$2:$F$9,2,FALSE)</f>
        <v>Commercial</v>
      </c>
      <c r="W34" s="35" t="str">
        <f>Q34&amp;"-"&amp;V34</f>
        <v>Home-Commercial</v>
      </c>
      <c r="X34" s="51">
        <v>25000</v>
      </c>
      <c r="Y34" s="39">
        <v>250</v>
      </c>
      <c r="Z34" s="39">
        <v>3</v>
      </c>
      <c r="AA34" s="33">
        <v>2</v>
      </c>
      <c r="AB34" s="35" t="str">
        <f>VLOOKUP(AA34,Key!$C$20:$D$29,2,FALSE)</f>
        <v>Manual Labour</v>
      </c>
      <c r="AC34" s="33">
        <v>2</v>
      </c>
      <c r="AD34" s="35" t="str">
        <f>VLOOKUP(AC34,Key!$E$20:$F$24,2,FALSE)</f>
        <v>300,000-500,000</v>
      </c>
      <c r="AE34" s="33">
        <v>1</v>
      </c>
      <c r="AF34" s="39">
        <v>5</v>
      </c>
      <c r="AG34" s="39">
        <v>5</v>
      </c>
      <c r="AH34" s="39">
        <v>1</v>
      </c>
      <c r="AI34" s="39">
        <v>5</v>
      </c>
      <c r="AJ34" s="40" t="s">
        <v>160</v>
      </c>
      <c r="AK34" s="41">
        <v>1000</v>
      </c>
      <c r="AL34" s="25"/>
      <c r="AM34" s="25"/>
    </row>
    <row r="35" spans="2:39" x14ac:dyDescent="0.2">
      <c r="B35" s="50" t="s">
        <v>321</v>
      </c>
      <c r="C35" s="36">
        <v>0.4777777777777778</v>
      </c>
      <c r="D35" s="36"/>
      <c r="E35" s="36" t="s">
        <v>164</v>
      </c>
      <c r="F35" s="38">
        <v>2</v>
      </c>
      <c r="G35" s="43" t="str">
        <f>VLOOKUP(F35,Key!$A$17:$B$21,2,FALSE)</f>
        <v>Road Vehicle</v>
      </c>
      <c r="H35" s="37">
        <v>4</v>
      </c>
      <c r="I35" s="44" t="str">
        <f>VLOOKUP(H35,Key!$A$2:$B$13,2,FALSE)</f>
        <v>Minibus</v>
      </c>
      <c r="J35" s="38" t="s">
        <v>165</v>
      </c>
      <c r="K35" s="38">
        <v>1</v>
      </c>
      <c r="L35" s="45" t="str">
        <f>VLOOKUP(K35,Key!$A$24:$B$29,2,FALSE)</f>
        <v>20-29</v>
      </c>
      <c r="M35" s="38" t="s">
        <v>168</v>
      </c>
      <c r="N35" s="33" t="s">
        <v>161</v>
      </c>
      <c r="O35" s="38" t="s">
        <v>159</v>
      </c>
      <c r="P35" s="40">
        <v>2</v>
      </c>
      <c r="Q35" s="35" t="str">
        <f>VLOOKUP(P35,Key!$E$2:$F$9,2,FALSE)</f>
        <v>Work</v>
      </c>
      <c r="R35" s="38" t="s">
        <v>338</v>
      </c>
      <c r="S35" s="33" t="s">
        <v>161</v>
      </c>
      <c r="T35" s="38" t="s">
        <v>159</v>
      </c>
      <c r="U35" s="33">
        <v>1</v>
      </c>
      <c r="V35" s="35" t="str">
        <f>VLOOKUP(U35,Key!$E$2:$F$9,2,FALSE)</f>
        <v>Home</v>
      </c>
      <c r="W35" s="35" t="str">
        <f>Q35&amp;"-"&amp;V35</f>
        <v>Work-Home</v>
      </c>
      <c r="X35" s="51">
        <v>3000</v>
      </c>
      <c r="Y35" s="39">
        <v>12</v>
      </c>
      <c r="Z35" s="39">
        <v>0.66</v>
      </c>
      <c r="AA35" s="33">
        <v>7</v>
      </c>
      <c r="AB35" s="35" t="str">
        <f>VLOOKUP(AA35,Key!$C$20:$D$29,2,FALSE)</f>
        <v>Farmer</v>
      </c>
      <c r="AC35" s="33">
        <v>1</v>
      </c>
      <c r="AD35" s="35" t="str">
        <f>VLOOKUP(AC35,Key!$E$20:$F$24,2,FALSE)</f>
        <v>&lt;300,000</v>
      </c>
      <c r="AE35" s="33">
        <v>5</v>
      </c>
      <c r="AF35" s="39">
        <v>4</v>
      </c>
      <c r="AG35" s="39">
        <v>2</v>
      </c>
      <c r="AH35" s="39">
        <v>2</v>
      </c>
      <c r="AI35" s="39">
        <v>2</v>
      </c>
      <c r="AJ35" s="40" t="s">
        <v>160</v>
      </c>
      <c r="AK35" s="41">
        <v>0</v>
      </c>
      <c r="AL35" s="25"/>
      <c r="AM35" s="25"/>
    </row>
    <row r="36" spans="2:39" x14ac:dyDescent="0.2">
      <c r="B36" s="50" t="s">
        <v>321</v>
      </c>
      <c r="C36" s="36">
        <v>0.37708333333333338</v>
      </c>
      <c r="D36" s="36"/>
      <c r="E36" s="36" t="s">
        <v>173</v>
      </c>
      <c r="F36" s="38">
        <v>2</v>
      </c>
      <c r="G36" s="43" t="str">
        <f>VLOOKUP(F36,Key!$A$17:$B$21,2,FALSE)</f>
        <v>Road Vehicle</v>
      </c>
      <c r="H36" s="37">
        <v>4</v>
      </c>
      <c r="I36" s="44" t="str">
        <f>VLOOKUP(H36,Key!$A$2:$B$13,2,FALSE)</f>
        <v>Minibus</v>
      </c>
      <c r="J36" s="38" t="s">
        <v>165</v>
      </c>
      <c r="K36" s="38">
        <v>1</v>
      </c>
      <c r="L36" s="45" t="str">
        <f>VLOOKUP(K36,Key!$A$24:$B$29,2,FALSE)</f>
        <v>20-29</v>
      </c>
      <c r="M36" s="38" t="s">
        <v>169</v>
      </c>
      <c r="N36" s="33" t="s">
        <v>170</v>
      </c>
      <c r="O36" s="38" t="s">
        <v>159</v>
      </c>
      <c r="P36" s="40">
        <v>2</v>
      </c>
      <c r="Q36" s="35" t="str">
        <f>VLOOKUP(P36,Key!$E$2:$F$9,2,FALSE)</f>
        <v>Work</v>
      </c>
      <c r="R36" s="38" t="s">
        <v>171</v>
      </c>
      <c r="S36" s="33" t="s">
        <v>172</v>
      </c>
      <c r="T36" s="38" t="s">
        <v>159</v>
      </c>
      <c r="U36" s="33">
        <v>2</v>
      </c>
      <c r="V36" s="35" t="str">
        <f>VLOOKUP(U36,Key!$E$2:$F$9,2,FALSE)</f>
        <v>Work</v>
      </c>
      <c r="W36" s="35" t="str">
        <f>Q36&amp;"-"&amp;V36</f>
        <v>Work-Work</v>
      </c>
      <c r="X36" s="51">
        <v>400000</v>
      </c>
      <c r="Y36" s="39">
        <v>480</v>
      </c>
      <c r="Z36" s="39">
        <v>13</v>
      </c>
      <c r="AA36" s="33">
        <v>5</v>
      </c>
      <c r="AB36" s="35" t="str">
        <f>VLOOKUP(AA36,Key!$C$20:$D$29,2,FALSE)</f>
        <v>Professional</v>
      </c>
      <c r="AC36" s="33">
        <v>5</v>
      </c>
      <c r="AD36" s="35" t="str">
        <f>VLOOKUP(AC36,Key!$E$20:$F$24,2,FALSE)</f>
        <v>&gt;1,000,000</v>
      </c>
      <c r="AE36" s="33">
        <v>1</v>
      </c>
      <c r="AF36" s="39">
        <v>1</v>
      </c>
      <c r="AG36" s="39">
        <v>1</v>
      </c>
      <c r="AH36" s="39">
        <v>1</v>
      </c>
      <c r="AI36" s="39">
        <v>1</v>
      </c>
      <c r="AJ36" s="40" t="s">
        <v>160</v>
      </c>
      <c r="AK36" s="41">
        <v>1000</v>
      </c>
      <c r="AL36" s="25"/>
      <c r="AM36" s="25"/>
    </row>
    <row r="37" spans="2:39" x14ac:dyDescent="0.2">
      <c r="B37" s="50" t="s">
        <v>163</v>
      </c>
      <c r="C37" s="36">
        <v>0.73888888888888893</v>
      </c>
      <c r="D37" s="36" t="s">
        <v>229</v>
      </c>
      <c r="E37" s="36" t="s">
        <v>173</v>
      </c>
      <c r="F37" s="38">
        <v>2</v>
      </c>
      <c r="G37" s="43" t="str">
        <f>VLOOKUP(F37,Key!$A$17:$B$21,2,FALSE)</f>
        <v>Road Vehicle</v>
      </c>
      <c r="H37" s="37">
        <v>4</v>
      </c>
      <c r="I37" s="44" t="str">
        <f>VLOOKUP(H37,Key!$A$2:$B$13,2,FALSE)</f>
        <v>Minibus</v>
      </c>
      <c r="J37" s="38" t="s">
        <v>174</v>
      </c>
      <c r="K37" s="38">
        <v>1</v>
      </c>
      <c r="L37" s="45" t="str">
        <f>VLOOKUP(K37,Key!$A$24:$B$29,2,FALSE)</f>
        <v>20-29</v>
      </c>
      <c r="M37" s="38" t="s">
        <v>168</v>
      </c>
      <c r="N37" s="33" t="s">
        <v>161</v>
      </c>
      <c r="O37" s="38" t="s">
        <v>159</v>
      </c>
      <c r="P37" s="40">
        <v>4</v>
      </c>
      <c r="Q37" s="35" t="str">
        <f>VLOOKUP(P37,Key!$E$2:$F$9,2,FALSE)</f>
        <v>Commercial</v>
      </c>
      <c r="R37" s="38" t="s">
        <v>230</v>
      </c>
      <c r="S37" s="33" t="s">
        <v>231</v>
      </c>
      <c r="T37" s="38" t="s">
        <v>159</v>
      </c>
      <c r="U37" s="33">
        <v>4</v>
      </c>
      <c r="V37" s="35" t="str">
        <f>VLOOKUP(U37,Key!$E$2:$F$9,2,FALSE)</f>
        <v>Commercial</v>
      </c>
      <c r="W37" s="35" t="str">
        <f>Q37&amp;"-"&amp;V37</f>
        <v>Commercial-Commercial</v>
      </c>
      <c r="X37" s="51">
        <v>100000</v>
      </c>
      <c r="Y37" s="39">
        <v>370</v>
      </c>
      <c r="Z37" s="39">
        <v>4</v>
      </c>
      <c r="AA37" s="33">
        <v>5</v>
      </c>
      <c r="AB37" s="35" t="str">
        <f>VLOOKUP(AA37,Key!$C$20:$D$29,2,FALSE)</f>
        <v>Professional</v>
      </c>
      <c r="AC37" s="33">
        <v>2</v>
      </c>
      <c r="AD37" s="35" t="str">
        <f>VLOOKUP(AC37,Key!$E$20:$F$24,2,FALSE)</f>
        <v>300,000-500,000</v>
      </c>
      <c r="AE37" s="33">
        <v>4</v>
      </c>
      <c r="AF37" s="39">
        <v>5</v>
      </c>
      <c r="AG37" s="39">
        <v>1</v>
      </c>
      <c r="AH37" s="39">
        <v>1</v>
      </c>
      <c r="AI37" s="39">
        <v>1</v>
      </c>
      <c r="AJ37" s="40" t="s">
        <v>160</v>
      </c>
      <c r="AK37" s="41">
        <v>2000</v>
      </c>
      <c r="AL37" s="25"/>
      <c r="AM37" s="25"/>
    </row>
    <row r="38" spans="2:39" x14ac:dyDescent="0.2">
      <c r="B38" s="50" t="s">
        <v>239</v>
      </c>
      <c r="C38" s="36">
        <v>0.44236111111111115</v>
      </c>
      <c r="D38" s="36"/>
      <c r="E38" s="36" t="s">
        <v>164</v>
      </c>
      <c r="F38" s="38">
        <v>2</v>
      </c>
      <c r="G38" s="43" t="str">
        <f>VLOOKUP(F38,Key!$A$17:$B$21,2,FALSE)</f>
        <v>Road Vehicle</v>
      </c>
      <c r="H38" s="37">
        <v>4</v>
      </c>
      <c r="I38" s="44" t="str">
        <f>VLOOKUP(H38,Key!$A$2:$B$13,2,FALSE)</f>
        <v>Minibus</v>
      </c>
      <c r="J38" s="38" t="s">
        <v>174</v>
      </c>
      <c r="K38" s="38">
        <v>1</v>
      </c>
      <c r="L38" s="45" t="str">
        <f>VLOOKUP(K38,Key!$A$24:$B$29,2,FALSE)</f>
        <v>20-29</v>
      </c>
      <c r="M38" s="38" t="s">
        <v>168</v>
      </c>
      <c r="N38" s="33" t="s">
        <v>161</v>
      </c>
      <c r="O38" s="38" t="s">
        <v>159</v>
      </c>
      <c r="P38" s="40">
        <v>1</v>
      </c>
      <c r="Q38" s="35" t="str">
        <f>VLOOKUP(P38,Key!$E$2:$F$9,2,FALSE)</f>
        <v>Home</v>
      </c>
      <c r="R38" s="38" t="s">
        <v>257</v>
      </c>
      <c r="S38" s="33" t="s">
        <v>250</v>
      </c>
      <c r="T38" s="38" t="s">
        <v>159</v>
      </c>
      <c r="U38" s="33">
        <v>1</v>
      </c>
      <c r="V38" s="35" t="str">
        <f>VLOOKUP(U38,Key!$E$2:$F$9,2,FALSE)</f>
        <v>Home</v>
      </c>
      <c r="W38" s="35" t="str">
        <f>Q38&amp;"-"&amp;V38</f>
        <v>Home-Home</v>
      </c>
      <c r="X38" s="51">
        <v>50000</v>
      </c>
      <c r="Y38" s="39">
        <v>300</v>
      </c>
      <c r="Z38" s="39">
        <v>5</v>
      </c>
      <c r="AA38" s="33">
        <v>1</v>
      </c>
      <c r="AB38" s="35" t="str">
        <f>VLOOKUP(AA38,Key!$C$20:$D$29,2,FALSE)</f>
        <v>Unemployed</v>
      </c>
      <c r="AC38" s="33">
        <v>1</v>
      </c>
      <c r="AD38" s="35" t="str">
        <f>VLOOKUP(AC38,Key!$E$20:$F$24,2,FALSE)</f>
        <v>&lt;300,000</v>
      </c>
      <c r="AE38" s="33">
        <v>5</v>
      </c>
      <c r="AF38" s="39">
        <v>5</v>
      </c>
      <c r="AG38" s="39">
        <v>1</v>
      </c>
      <c r="AH38" s="39">
        <v>5</v>
      </c>
      <c r="AI38" s="39">
        <v>5</v>
      </c>
      <c r="AJ38" s="40" t="s">
        <v>160</v>
      </c>
      <c r="AK38" s="41">
        <v>0</v>
      </c>
      <c r="AL38" s="25"/>
      <c r="AM38" s="25"/>
    </row>
    <row r="39" spans="2:39" x14ac:dyDescent="0.2">
      <c r="B39" s="50" t="s">
        <v>239</v>
      </c>
      <c r="C39" s="36">
        <v>0.51666666666666672</v>
      </c>
      <c r="D39" s="36"/>
      <c r="E39" s="36" t="s">
        <v>164</v>
      </c>
      <c r="F39" s="38">
        <v>2</v>
      </c>
      <c r="G39" s="43" t="str">
        <f>VLOOKUP(F39,Key!$A$17:$B$21,2,FALSE)</f>
        <v>Road Vehicle</v>
      </c>
      <c r="H39" s="37">
        <v>4</v>
      </c>
      <c r="I39" s="44" t="str">
        <f>VLOOKUP(H39,Key!$A$2:$B$13,2,FALSE)</f>
        <v>Minibus</v>
      </c>
      <c r="J39" s="38" t="s">
        <v>174</v>
      </c>
      <c r="K39" s="38">
        <v>1</v>
      </c>
      <c r="L39" s="45" t="str">
        <f>VLOOKUP(K39,Key!$A$24:$B$29,2,FALSE)</f>
        <v>20-29</v>
      </c>
      <c r="M39" s="38" t="s">
        <v>168</v>
      </c>
      <c r="N39" s="33" t="s">
        <v>161</v>
      </c>
      <c r="O39" s="38" t="s">
        <v>159</v>
      </c>
      <c r="P39" s="40">
        <v>1</v>
      </c>
      <c r="Q39" s="35" t="str">
        <f>VLOOKUP(P39,Key!$E$2:$F$9,2,FALSE)</f>
        <v>Home</v>
      </c>
      <c r="R39" s="38" t="s">
        <v>185</v>
      </c>
      <c r="S39" s="33" t="s">
        <v>186</v>
      </c>
      <c r="T39" s="38" t="s">
        <v>159</v>
      </c>
      <c r="U39" s="33">
        <v>3</v>
      </c>
      <c r="V39" s="35" t="str">
        <f>VLOOKUP(U39,Key!$E$2:$F$9,2,FALSE)</f>
        <v>Study</v>
      </c>
      <c r="W39" s="35" t="str">
        <f>Q39&amp;"-"&amp;V39</f>
        <v>Home-Study</v>
      </c>
      <c r="X39" s="51">
        <v>15000</v>
      </c>
      <c r="Y39" s="39">
        <v>136</v>
      </c>
      <c r="Z39" s="39">
        <v>2</v>
      </c>
      <c r="AA39" s="33">
        <v>1</v>
      </c>
      <c r="AB39" s="35" t="str">
        <f>VLOOKUP(AA39,Key!$C$20:$D$29,2,FALSE)</f>
        <v>Unemployed</v>
      </c>
      <c r="AC39" s="33">
        <v>1</v>
      </c>
      <c r="AD39" s="35" t="str">
        <f>VLOOKUP(AC39,Key!$E$20:$F$24,2,FALSE)</f>
        <v>&lt;300,000</v>
      </c>
      <c r="AE39" s="33">
        <v>1</v>
      </c>
      <c r="AF39" s="39">
        <v>1</v>
      </c>
      <c r="AG39" s="39">
        <v>1</v>
      </c>
      <c r="AH39" s="39">
        <v>1</v>
      </c>
      <c r="AI39" s="39">
        <v>1</v>
      </c>
      <c r="AJ39" s="40" t="s">
        <v>160</v>
      </c>
      <c r="AK39" s="41">
        <v>0</v>
      </c>
      <c r="AL39" s="25"/>
      <c r="AM39" s="25"/>
    </row>
    <row r="40" spans="2:39" x14ac:dyDescent="0.2">
      <c r="B40" s="50" t="s">
        <v>239</v>
      </c>
      <c r="C40" s="36">
        <v>0.52152777777777781</v>
      </c>
      <c r="D40" s="36"/>
      <c r="E40" s="36" t="s">
        <v>164</v>
      </c>
      <c r="F40" s="38">
        <v>2</v>
      </c>
      <c r="G40" s="43" t="str">
        <f>VLOOKUP(F40,Key!$A$17:$B$21,2,FALSE)</f>
        <v>Road Vehicle</v>
      </c>
      <c r="H40" s="37">
        <v>4</v>
      </c>
      <c r="I40" s="44" t="str">
        <f>VLOOKUP(H40,Key!$A$2:$B$13,2,FALSE)</f>
        <v>Minibus</v>
      </c>
      <c r="J40" s="38" t="s">
        <v>174</v>
      </c>
      <c r="K40" s="38">
        <v>1</v>
      </c>
      <c r="L40" s="45" t="str">
        <f>VLOOKUP(K40,Key!$A$24:$B$29,2,FALSE)</f>
        <v>20-29</v>
      </c>
      <c r="M40" s="38" t="s">
        <v>168</v>
      </c>
      <c r="N40" s="33" t="s">
        <v>161</v>
      </c>
      <c r="O40" s="38" t="s">
        <v>159</v>
      </c>
      <c r="P40" s="40">
        <v>1</v>
      </c>
      <c r="Q40" s="35" t="str">
        <f>VLOOKUP(P40,Key!$E$2:$F$9,2,FALSE)</f>
        <v>Home</v>
      </c>
      <c r="R40" s="38" t="s">
        <v>270</v>
      </c>
      <c r="S40" s="33" t="s">
        <v>271</v>
      </c>
      <c r="T40" s="38" t="s">
        <v>159</v>
      </c>
      <c r="U40" s="33">
        <v>6</v>
      </c>
      <c r="V40" s="35" t="str">
        <f>VLOOKUP(U40,Key!$E$2:$F$9,2,FALSE)</f>
        <v>Leisure/Social</v>
      </c>
      <c r="W40" s="35" t="str">
        <f>Q40&amp;"-"&amp;V40</f>
        <v>Home-Leisure/Social</v>
      </c>
      <c r="X40" s="51">
        <v>30000</v>
      </c>
      <c r="Y40" s="39">
        <v>470</v>
      </c>
      <c r="Z40" s="39">
        <v>5</v>
      </c>
      <c r="AA40" s="33">
        <v>1</v>
      </c>
      <c r="AB40" s="35" t="str">
        <f>VLOOKUP(AA40,Key!$C$20:$D$29,2,FALSE)</f>
        <v>Unemployed</v>
      </c>
      <c r="AC40" s="33">
        <v>1</v>
      </c>
      <c r="AD40" s="35" t="str">
        <f>VLOOKUP(AC40,Key!$E$20:$F$24,2,FALSE)</f>
        <v>&lt;300,000</v>
      </c>
      <c r="AE40" s="33">
        <v>5</v>
      </c>
      <c r="AF40" s="39">
        <v>5</v>
      </c>
      <c r="AG40" s="39">
        <v>5</v>
      </c>
      <c r="AH40" s="39">
        <v>5</v>
      </c>
      <c r="AI40" s="39">
        <v>1</v>
      </c>
      <c r="AJ40" s="40" t="s">
        <v>160</v>
      </c>
      <c r="AK40" s="41">
        <v>0</v>
      </c>
      <c r="AL40" s="25"/>
      <c r="AM40" s="25"/>
    </row>
    <row r="41" spans="2:39" x14ac:dyDescent="0.2">
      <c r="B41" s="50" t="s">
        <v>239</v>
      </c>
      <c r="C41" s="36">
        <v>0.56319444444444444</v>
      </c>
      <c r="D41" s="36"/>
      <c r="E41" s="36" t="s">
        <v>164</v>
      </c>
      <c r="F41" s="38">
        <v>2</v>
      </c>
      <c r="G41" s="43" t="str">
        <f>VLOOKUP(F41,Key!$A$17:$B$21,2,FALSE)</f>
        <v>Road Vehicle</v>
      </c>
      <c r="H41" s="37">
        <v>4</v>
      </c>
      <c r="I41" s="44" t="str">
        <f>VLOOKUP(H41,Key!$A$2:$B$13,2,FALSE)</f>
        <v>Minibus</v>
      </c>
      <c r="J41" s="38" t="s">
        <v>174</v>
      </c>
      <c r="K41" s="38">
        <v>1</v>
      </c>
      <c r="L41" s="45" t="str">
        <f>VLOOKUP(K41,Key!$A$24:$B$29,2,FALSE)</f>
        <v>20-29</v>
      </c>
      <c r="M41" s="38" t="s">
        <v>168</v>
      </c>
      <c r="N41" s="33" t="s">
        <v>161</v>
      </c>
      <c r="O41" s="38" t="s">
        <v>159</v>
      </c>
      <c r="P41" s="40">
        <v>1</v>
      </c>
      <c r="Q41" s="35" t="str">
        <f>VLOOKUP(P41,Key!$E$2:$F$9,2,FALSE)</f>
        <v>Home</v>
      </c>
      <c r="R41" s="38" t="s">
        <v>185</v>
      </c>
      <c r="S41" s="33" t="s">
        <v>186</v>
      </c>
      <c r="T41" s="38" t="s">
        <v>159</v>
      </c>
      <c r="U41" s="33">
        <v>7</v>
      </c>
      <c r="V41" s="35" t="str">
        <f>VLOOKUP(U41,Key!$E$2:$F$9,2,FALSE)</f>
        <v>Hospital</v>
      </c>
      <c r="W41" s="35" t="str">
        <f>Q41&amp;"-"&amp;V41</f>
        <v>Home-Hospital</v>
      </c>
      <c r="X41" s="51">
        <v>15000</v>
      </c>
      <c r="Y41" s="39">
        <v>137</v>
      </c>
      <c r="Z41" s="39">
        <v>2.5</v>
      </c>
      <c r="AA41" s="33">
        <v>1</v>
      </c>
      <c r="AB41" s="35" t="str">
        <f>VLOOKUP(AA41,Key!$C$20:$D$29,2,FALSE)</f>
        <v>Unemployed</v>
      </c>
      <c r="AC41" s="33">
        <v>1</v>
      </c>
      <c r="AD41" s="35" t="str">
        <f>VLOOKUP(AC41,Key!$E$20:$F$24,2,FALSE)</f>
        <v>&lt;300,000</v>
      </c>
      <c r="AE41" s="33">
        <v>5</v>
      </c>
      <c r="AF41" s="39">
        <v>1</v>
      </c>
      <c r="AG41" s="39">
        <v>1</v>
      </c>
      <c r="AH41" s="39">
        <v>1</v>
      </c>
      <c r="AI41" s="39">
        <v>1</v>
      </c>
      <c r="AJ41" s="40" t="s">
        <v>160</v>
      </c>
      <c r="AK41" s="41">
        <v>500</v>
      </c>
      <c r="AL41" s="25"/>
      <c r="AM41" s="25"/>
    </row>
    <row r="42" spans="2:39" x14ac:dyDescent="0.2">
      <c r="B42" s="50" t="s">
        <v>239</v>
      </c>
      <c r="C42" s="36">
        <v>0.6430555555555556</v>
      </c>
      <c r="D42" s="36" t="s">
        <v>279</v>
      </c>
      <c r="E42" s="36" t="s">
        <v>173</v>
      </c>
      <c r="F42" s="38">
        <v>2</v>
      </c>
      <c r="G42" s="43" t="str">
        <f>VLOOKUP(F42,Key!$A$17:$B$21,2,FALSE)</f>
        <v>Road Vehicle</v>
      </c>
      <c r="H42" s="37">
        <v>4</v>
      </c>
      <c r="I42" s="44" t="str">
        <f>VLOOKUP(H42,Key!$A$2:$B$13,2,FALSE)</f>
        <v>Minibus</v>
      </c>
      <c r="J42" s="38" t="s">
        <v>174</v>
      </c>
      <c r="K42" s="38">
        <v>1</v>
      </c>
      <c r="L42" s="45" t="str">
        <f>VLOOKUP(K42,Key!$A$24:$B$29,2,FALSE)</f>
        <v>20-29</v>
      </c>
      <c r="M42" s="38" t="s">
        <v>168</v>
      </c>
      <c r="N42" s="33" t="s">
        <v>161</v>
      </c>
      <c r="O42" s="38" t="s">
        <v>159</v>
      </c>
      <c r="P42" s="40">
        <v>4</v>
      </c>
      <c r="Q42" s="35" t="str">
        <f>VLOOKUP(P42,Key!$E$2:$F$9,2,FALSE)</f>
        <v>Commercial</v>
      </c>
      <c r="R42" s="38" t="s">
        <v>185</v>
      </c>
      <c r="S42" s="33" t="s">
        <v>186</v>
      </c>
      <c r="T42" s="38" t="s">
        <v>159</v>
      </c>
      <c r="U42" s="33">
        <v>4</v>
      </c>
      <c r="V42" s="35" t="str">
        <f>VLOOKUP(U42,Key!$E$2:$F$9,2,FALSE)</f>
        <v>Commercial</v>
      </c>
      <c r="W42" s="35" t="str">
        <f>Q42&amp;"-"&amp;V42</f>
        <v>Commercial-Commercial</v>
      </c>
      <c r="X42" s="51">
        <v>10000</v>
      </c>
      <c r="Y42" s="39">
        <v>136</v>
      </c>
      <c r="Z42" s="39">
        <v>3</v>
      </c>
      <c r="AA42" s="33">
        <v>5</v>
      </c>
      <c r="AB42" s="35" t="str">
        <f>VLOOKUP(AA42,Key!$C$20:$D$29,2,FALSE)</f>
        <v>Professional</v>
      </c>
      <c r="AC42" s="33">
        <v>2</v>
      </c>
      <c r="AD42" s="35" t="str">
        <f>VLOOKUP(AC42,Key!$E$20:$F$24,2,FALSE)</f>
        <v>300,000-500,000</v>
      </c>
      <c r="AE42" s="33">
        <v>1</v>
      </c>
      <c r="AF42" s="39">
        <v>1</v>
      </c>
      <c r="AG42" s="39">
        <v>1</v>
      </c>
      <c r="AH42" s="39">
        <v>1</v>
      </c>
      <c r="AI42" s="39">
        <v>5</v>
      </c>
      <c r="AJ42" s="40" t="s">
        <v>160</v>
      </c>
      <c r="AK42" s="41">
        <v>1000</v>
      </c>
      <c r="AL42" s="25"/>
      <c r="AM42" s="25"/>
    </row>
    <row r="43" spans="2:39" x14ac:dyDescent="0.2">
      <c r="B43" s="50" t="s">
        <v>239</v>
      </c>
      <c r="C43" s="36">
        <v>0.65763888888888888</v>
      </c>
      <c r="D43" s="36"/>
      <c r="E43" s="36" t="s">
        <v>164</v>
      </c>
      <c r="F43" s="38">
        <v>2</v>
      </c>
      <c r="G43" s="43" t="str">
        <f>VLOOKUP(F43,Key!$A$17:$B$21,2,FALSE)</f>
        <v>Road Vehicle</v>
      </c>
      <c r="H43" s="37">
        <v>4</v>
      </c>
      <c r="I43" s="44" t="str">
        <f>VLOOKUP(H43,Key!$A$2:$B$13,2,FALSE)</f>
        <v>Minibus</v>
      </c>
      <c r="J43" s="38" t="s">
        <v>174</v>
      </c>
      <c r="K43" s="38">
        <v>1</v>
      </c>
      <c r="L43" s="45" t="str">
        <f>VLOOKUP(K43,Key!$A$24:$B$29,2,FALSE)</f>
        <v>20-29</v>
      </c>
      <c r="M43" s="38" t="s">
        <v>168</v>
      </c>
      <c r="N43" s="33" t="s">
        <v>161</v>
      </c>
      <c r="O43" s="38" t="s">
        <v>159</v>
      </c>
      <c r="P43" s="40">
        <v>1</v>
      </c>
      <c r="Q43" s="35" t="str">
        <f>VLOOKUP(P43,Key!$E$2:$F$9,2,FALSE)</f>
        <v>Home</v>
      </c>
      <c r="R43" s="38" t="s">
        <v>246</v>
      </c>
      <c r="S43" s="33" t="s">
        <v>247</v>
      </c>
      <c r="T43" s="38" t="s">
        <v>159</v>
      </c>
      <c r="U43" s="33">
        <v>6</v>
      </c>
      <c r="V43" s="35" t="str">
        <f>VLOOKUP(U43,Key!$E$2:$F$9,2,FALSE)</f>
        <v>Leisure/Social</v>
      </c>
      <c r="W43" s="35" t="str">
        <f>Q43&amp;"-"&amp;V43</f>
        <v>Home-Leisure/Social</v>
      </c>
      <c r="X43" s="51">
        <v>25000</v>
      </c>
      <c r="Y43" s="39">
        <v>137</v>
      </c>
      <c r="Z43" s="39">
        <v>2.5</v>
      </c>
      <c r="AA43" s="33">
        <v>1</v>
      </c>
      <c r="AB43" s="35" t="str">
        <f>VLOOKUP(AA43,Key!$C$20:$D$29,2,FALSE)</f>
        <v>Unemployed</v>
      </c>
      <c r="AC43" s="33">
        <v>1</v>
      </c>
      <c r="AD43" s="35" t="str">
        <f>VLOOKUP(AC43,Key!$E$20:$F$24,2,FALSE)</f>
        <v>&lt;300,000</v>
      </c>
      <c r="AE43" s="33">
        <v>5</v>
      </c>
      <c r="AF43" s="39">
        <v>1</v>
      </c>
      <c r="AG43" s="39">
        <v>1</v>
      </c>
      <c r="AH43" s="39">
        <v>1</v>
      </c>
      <c r="AI43" s="39">
        <v>1</v>
      </c>
      <c r="AJ43" s="40" t="s">
        <v>160</v>
      </c>
      <c r="AK43" s="41">
        <v>0</v>
      </c>
      <c r="AL43" s="25"/>
      <c r="AM43" s="25"/>
    </row>
    <row r="44" spans="2:39" x14ac:dyDescent="0.2">
      <c r="B44" s="50" t="s">
        <v>239</v>
      </c>
      <c r="C44" s="36">
        <v>0.66597222222222219</v>
      </c>
      <c r="D44" s="36"/>
      <c r="E44" s="36" t="s">
        <v>164</v>
      </c>
      <c r="F44" s="38">
        <v>2</v>
      </c>
      <c r="G44" s="43" t="str">
        <f>VLOOKUP(F44,Key!$A$17:$B$21,2,FALSE)</f>
        <v>Road Vehicle</v>
      </c>
      <c r="H44" s="37">
        <v>4</v>
      </c>
      <c r="I44" s="44" t="str">
        <f>VLOOKUP(H44,Key!$A$2:$B$13,2,FALSE)</f>
        <v>Minibus</v>
      </c>
      <c r="J44" s="38" t="s">
        <v>174</v>
      </c>
      <c r="K44" s="38">
        <v>1</v>
      </c>
      <c r="L44" s="45" t="str">
        <f>VLOOKUP(K44,Key!$A$24:$B$29,2,FALSE)</f>
        <v>20-29</v>
      </c>
      <c r="M44" s="38" t="s">
        <v>168</v>
      </c>
      <c r="N44" s="33" t="s">
        <v>161</v>
      </c>
      <c r="O44" s="38" t="s">
        <v>159</v>
      </c>
      <c r="P44" s="40">
        <v>1</v>
      </c>
      <c r="Q44" s="35" t="str">
        <f>VLOOKUP(P44,Key!$E$2:$F$9,2,FALSE)</f>
        <v>Home</v>
      </c>
      <c r="R44" s="38" t="s">
        <v>185</v>
      </c>
      <c r="S44" s="33" t="s">
        <v>186</v>
      </c>
      <c r="T44" s="38" t="s">
        <v>159</v>
      </c>
      <c r="U44" s="33">
        <v>3</v>
      </c>
      <c r="V44" s="35" t="str">
        <f>VLOOKUP(U44,Key!$E$2:$F$9,2,FALSE)</f>
        <v>Study</v>
      </c>
      <c r="W44" s="35" t="str">
        <f>Q44&amp;"-"&amp;V44</f>
        <v>Home-Study</v>
      </c>
      <c r="X44" s="51">
        <v>15000</v>
      </c>
      <c r="Y44" s="39">
        <v>136</v>
      </c>
      <c r="Z44" s="39">
        <v>2</v>
      </c>
      <c r="AA44" s="33">
        <v>1</v>
      </c>
      <c r="AB44" s="35" t="str">
        <f>VLOOKUP(AA44,Key!$C$20:$D$29,2,FALSE)</f>
        <v>Unemployed</v>
      </c>
      <c r="AC44" s="33">
        <v>1</v>
      </c>
      <c r="AD44" s="35" t="str">
        <f>VLOOKUP(AC44,Key!$E$20:$F$24,2,FALSE)</f>
        <v>&lt;300,000</v>
      </c>
      <c r="AE44" s="33">
        <v>1</v>
      </c>
      <c r="AF44" s="39">
        <v>1</v>
      </c>
      <c r="AG44" s="39">
        <v>1</v>
      </c>
      <c r="AH44" s="39">
        <v>1</v>
      </c>
      <c r="AI44" s="39">
        <v>1</v>
      </c>
      <c r="AJ44" s="40" t="s">
        <v>160</v>
      </c>
      <c r="AK44" s="41">
        <v>0</v>
      </c>
      <c r="AL44" s="25"/>
      <c r="AM44" s="25"/>
    </row>
    <row r="45" spans="2:39" x14ac:dyDescent="0.2">
      <c r="B45" s="50" t="s">
        <v>239</v>
      </c>
      <c r="C45" s="36">
        <v>0.67708333333333337</v>
      </c>
      <c r="D45" s="36"/>
      <c r="E45" s="36" t="s">
        <v>164</v>
      </c>
      <c r="F45" s="38">
        <v>2</v>
      </c>
      <c r="G45" s="43" t="str">
        <f>VLOOKUP(F45,Key!$A$17:$B$21,2,FALSE)</f>
        <v>Road Vehicle</v>
      </c>
      <c r="H45" s="37">
        <v>4</v>
      </c>
      <c r="I45" s="44" t="str">
        <f>VLOOKUP(H45,Key!$A$2:$B$13,2,FALSE)</f>
        <v>Minibus</v>
      </c>
      <c r="J45" s="38" t="s">
        <v>174</v>
      </c>
      <c r="K45" s="38">
        <v>1</v>
      </c>
      <c r="L45" s="45" t="str">
        <f>VLOOKUP(K45,Key!$A$24:$B$29,2,FALSE)</f>
        <v>20-29</v>
      </c>
      <c r="M45" s="38" t="s">
        <v>168</v>
      </c>
      <c r="N45" s="33" t="s">
        <v>161</v>
      </c>
      <c r="O45" s="38" t="s">
        <v>159</v>
      </c>
      <c r="P45" s="40">
        <v>1</v>
      </c>
      <c r="Q45" s="35" t="str">
        <f>VLOOKUP(P45,Key!$E$2:$F$9,2,FALSE)</f>
        <v>Home</v>
      </c>
      <c r="R45" s="38" t="s">
        <v>185</v>
      </c>
      <c r="S45" s="33" t="s">
        <v>186</v>
      </c>
      <c r="T45" s="38" t="s">
        <v>159</v>
      </c>
      <c r="U45" s="33">
        <v>7</v>
      </c>
      <c r="V45" s="35" t="str">
        <f>VLOOKUP(U45,Key!$E$2:$F$9,2,FALSE)</f>
        <v>Hospital</v>
      </c>
      <c r="W45" s="35" t="str">
        <f>Q45&amp;"-"&amp;V45</f>
        <v>Home-Hospital</v>
      </c>
      <c r="X45" s="51">
        <v>15000</v>
      </c>
      <c r="Y45" s="39">
        <v>133</v>
      </c>
      <c r="Z45" s="39">
        <v>2</v>
      </c>
      <c r="AA45" s="33">
        <v>1</v>
      </c>
      <c r="AB45" s="35" t="str">
        <f>VLOOKUP(AA45,Key!$C$20:$D$29,2,FALSE)</f>
        <v>Unemployed</v>
      </c>
      <c r="AC45" s="33">
        <v>1</v>
      </c>
      <c r="AD45" s="35" t="str">
        <f>VLOOKUP(AC45,Key!$E$20:$F$24,2,FALSE)</f>
        <v>&lt;300,000</v>
      </c>
      <c r="AE45" s="33">
        <v>1</v>
      </c>
      <c r="AF45" s="39">
        <v>1</v>
      </c>
      <c r="AG45" s="39">
        <v>1</v>
      </c>
      <c r="AH45" s="39">
        <v>1</v>
      </c>
      <c r="AI45" s="39">
        <v>1</v>
      </c>
      <c r="AJ45" s="40" t="s">
        <v>160</v>
      </c>
      <c r="AK45" s="41">
        <v>0</v>
      </c>
      <c r="AL45" s="25"/>
      <c r="AM45" s="25"/>
    </row>
    <row r="46" spans="2:39" x14ac:dyDescent="0.2">
      <c r="B46" s="50" t="s">
        <v>321</v>
      </c>
      <c r="C46" s="36">
        <v>0.3444444444444445</v>
      </c>
      <c r="D46" s="36"/>
      <c r="E46" s="36" t="s">
        <v>164</v>
      </c>
      <c r="F46" s="38">
        <v>2</v>
      </c>
      <c r="G46" s="43" t="str">
        <f>VLOOKUP(F46,Key!$A$17:$B$21,2,FALSE)</f>
        <v>Road Vehicle</v>
      </c>
      <c r="H46" s="37">
        <v>4</v>
      </c>
      <c r="I46" s="44" t="str">
        <f>VLOOKUP(H46,Key!$A$2:$B$13,2,FALSE)</f>
        <v>Minibus</v>
      </c>
      <c r="J46" s="38" t="s">
        <v>174</v>
      </c>
      <c r="K46" s="38">
        <v>1</v>
      </c>
      <c r="L46" s="45" t="str">
        <f>VLOOKUP(K46,Key!$A$24:$B$29,2,FALSE)</f>
        <v>20-29</v>
      </c>
      <c r="M46" s="38" t="s">
        <v>253</v>
      </c>
      <c r="N46" s="33" t="s">
        <v>161</v>
      </c>
      <c r="O46" s="38" t="s">
        <v>159</v>
      </c>
      <c r="P46" s="40">
        <v>1</v>
      </c>
      <c r="Q46" s="35" t="str">
        <f>VLOOKUP(P46,Key!$E$2:$F$9,2,FALSE)</f>
        <v>Home</v>
      </c>
      <c r="R46" s="38" t="s">
        <v>168</v>
      </c>
      <c r="S46" s="33" t="s">
        <v>161</v>
      </c>
      <c r="T46" s="38" t="s">
        <v>159</v>
      </c>
      <c r="U46" s="33">
        <v>3</v>
      </c>
      <c r="V46" s="35" t="str">
        <f>VLOOKUP(U46,Key!$E$2:$F$9,2,FALSE)</f>
        <v>Study</v>
      </c>
      <c r="W46" s="35" t="str">
        <f>Q46&amp;"-"&amp;V46</f>
        <v>Home-Study</v>
      </c>
      <c r="X46" s="51">
        <v>2000</v>
      </c>
      <c r="Y46" s="39">
        <v>23</v>
      </c>
      <c r="Z46" s="39">
        <v>0.57999999999999996</v>
      </c>
      <c r="AA46" s="33">
        <v>1</v>
      </c>
      <c r="AB46" s="35" t="str">
        <f>VLOOKUP(AA46,Key!$C$20:$D$29,2,FALSE)</f>
        <v>Unemployed</v>
      </c>
      <c r="AC46" s="33">
        <v>1</v>
      </c>
      <c r="AD46" s="35" t="str">
        <f>VLOOKUP(AC46,Key!$E$20:$F$24,2,FALSE)</f>
        <v>&lt;300,000</v>
      </c>
      <c r="AE46" s="33">
        <v>1</v>
      </c>
      <c r="AF46" s="39">
        <v>1</v>
      </c>
      <c r="AG46" s="39">
        <v>1</v>
      </c>
      <c r="AH46" s="39">
        <v>2</v>
      </c>
      <c r="AI46" s="39">
        <v>2</v>
      </c>
      <c r="AJ46" s="40" t="s">
        <v>160</v>
      </c>
      <c r="AK46" s="41">
        <v>0</v>
      </c>
      <c r="AL46" s="25"/>
      <c r="AM46" s="25"/>
    </row>
    <row r="47" spans="2:39" x14ac:dyDescent="0.2">
      <c r="B47" s="50" t="s">
        <v>321</v>
      </c>
      <c r="C47" s="36">
        <v>0.35555555555555557</v>
      </c>
      <c r="D47" s="36"/>
      <c r="E47" s="36" t="s">
        <v>164</v>
      </c>
      <c r="F47" s="38">
        <v>2</v>
      </c>
      <c r="G47" s="43" t="str">
        <f>VLOOKUP(F47,Key!$A$17:$B$21,2,FALSE)</f>
        <v>Road Vehicle</v>
      </c>
      <c r="H47" s="37">
        <v>4</v>
      </c>
      <c r="I47" s="44" t="str">
        <f>VLOOKUP(H47,Key!$A$2:$B$13,2,FALSE)</f>
        <v>Minibus</v>
      </c>
      <c r="J47" s="38" t="s">
        <v>174</v>
      </c>
      <c r="K47" s="38">
        <v>1</v>
      </c>
      <c r="L47" s="45" t="str">
        <f>VLOOKUP(K47,Key!$A$24:$B$29,2,FALSE)</f>
        <v>20-29</v>
      </c>
      <c r="M47" s="38" t="s">
        <v>168</v>
      </c>
      <c r="N47" s="33" t="s">
        <v>161</v>
      </c>
      <c r="O47" s="38" t="s">
        <v>159</v>
      </c>
      <c r="P47" s="40">
        <v>1</v>
      </c>
      <c r="Q47" s="35" t="str">
        <f>VLOOKUP(P47,Key!$E$2:$F$9,2,FALSE)</f>
        <v>Home</v>
      </c>
      <c r="R47" s="38" t="s">
        <v>185</v>
      </c>
      <c r="S47" s="33" t="s">
        <v>186</v>
      </c>
      <c r="T47" s="38" t="s">
        <v>159</v>
      </c>
      <c r="U47" s="33">
        <v>3</v>
      </c>
      <c r="V47" s="35" t="str">
        <f>VLOOKUP(U47,Key!$E$2:$F$9,2,FALSE)</f>
        <v>Study</v>
      </c>
      <c r="W47" s="35" t="str">
        <f>Q47&amp;"-"&amp;V47</f>
        <v>Home-Study</v>
      </c>
      <c r="X47" s="51">
        <v>15000</v>
      </c>
      <c r="Y47" s="39">
        <v>197</v>
      </c>
      <c r="Z47" s="39">
        <v>2</v>
      </c>
      <c r="AA47" s="33">
        <v>1</v>
      </c>
      <c r="AB47" s="35" t="str">
        <f>VLOOKUP(AA47,Key!$C$20:$D$29,2,FALSE)</f>
        <v>Unemployed</v>
      </c>
      <c r="AC47" s="33">
        <v>1</v>
      </c>
      <c r="AD47" s="35" t="str">
        <f>VLOOKUP(AC47,Key!$E$20:$F$24,2,FALSE)</f>
        <v>&lt;300,000</v>
      </c>
      <c r="AE47" s="33">
        <v>1</v>
      </c>
      <c r="AF47" s="39">
        <v>1</v>
      </c>
      <c r="AG47" s="39">
        <v>1</v>
      </c>
      <c r="AH47" s="39">
        <v>1</v>
      </c>
      <c r="AI47" s="39">
        <v>1</v>
      </c>
      <c r="AJ47" s="40" t="s">
        <v>160</v>
      </c>
      <c r="AK47" s="41">
        <v>0</v>
      </c>
      <c r="AL47" s="25"/>
      <c r="AM47" s="25"/>
    </row>
    <row r="48" spans="2:39" x14ac:dyDescent="0.2">
      <c r="B48" s="50" t="s">
        <v>321</v>
      </c>
      <c r="C48" s="36">
        <v>0.39583333333333331</v>
      </c>
      <c r="D48" s="36"/>
      <c r="E48" s="36" t="s">
        <v>164</v>
      </c>
      <c r="F48" s="38">
        <v>2</v>
      </c>
      <c r="G48" s="43" t="str">
        <f>VLOOKUP(F48,Key!$A$17:$B$21,2,FALSE)</f>
        <v>Road Vehicle</v>
      </c>
      <c r="H48" s="37">
        <v>4</v>
      </c>
      <c r="I48" s="44" t="str">
        <f>VLOOKUP(H48,Key!$A$2:$B$13,2,FALSE)</f>
        <v>Minibus</v>
      </c>
      <c r="J48" s="38" t="s">
        <v>174</v>
      </c>
      <c r="K48" s="38">
        <v>1</v>
      </c>
      <c r="L48" s="45" t="str">
        <f>VLOOKUP(K48,Key!$A$24:$B$29,2,FALSE)</f>
        <v>20-29</v>
      </c>
      <c r="M48" s="38" t="s">
        <v>168</v>
      </c>
      <c r="N48" s="33" t="s">
        <v>161</v>
      </c>
      <c r="O48" s="38" t="s">
        <v>159</v>
      </c>
      <c r="P48" s="40">
        <v>1</v>
      </c>
      <c r="Q48" s="35" t="str">
        <f>VLOOKUP(P48,Key!$E$2:$F$9,2,FALSE)</f>
        <v>Home</v>
      </c>
      <c r="R48" s="38" t="s">
        <v>301</v>
      </c>
      <c r="S48" s="33" t="s">
        <v>161</v>
      </c>
      <c r="T48" s="38" t="s">
        <v>159</v>
      </c>
      <c r="U48" s="33">
        <v>2</v>
      </c>
      <c r="V48" s="35" t="str">
        <f>VLOOKUP(U48,Key!$E$2:$F$9,2,FALSE)</f>
        <v>Work</v>
      </c>
      <c r="W48" s="35" t="str">
        <f>Q48&amp;"-"&amp;V48</f>
        <v>Home-Work</v>
      </c>
      <c r="X48" s="51">
        <v>10000</v>
      </c>
      <c r="Y48" s="39">
        <v>40</v>
      </c>
      <c r="Z48" s="39">
        <v>0.56000000000000005</v>
      </c>
      <c r="AA48" s="33">
        <v>2</v>
      </c>
      <c r="AB48" s="35" t="str">
        <f>VLOOKUP(AA48,Key!$C$20:$D$29,2,FALSE)</f>
        <v>Manual Labour</v>
      </c>
      <c r="AC48" s="33">
        <v>2</v>
      </c>
      <c r="AD48" s="35" t="str">
        <f>VLOOKUP(AC48,Key!$E$20:$F$24,2,FALSE)</f>
        <v>300,000-500,000</v>
      </c>
      <c r="AE48" s="33">
        <v>4</v>
      </c>
      <c r="AF48" s="39">
        <v>1</v>
      </c>
      <c r="AG48" s="39">
        <v>1</v>
      </c>
      <c r="AH48" s="39">
        <v>1</v>
      </c>
      <c r="AI48" s="39">
        <v>5</v>
      </c>
      <c r="AJ48" s="40" t="s">
        <v>160</v>
      </c>
      <c r="AK48" s="41">
        <v>1000</v>
      </c>
      <c r="AL48" s="25"/>
      <c r="AM48" s="25"/>
    </row>
    <row r="49" spans="2:39" x14ac:dyDescent="0.2">
      <c r="B49" s="50" t="s">
        <v>321</v>
      </c>
      <c r="C49" s="36">
        <v>0.41666666666666669</v>
      </c>
      <c r="D49" s="36"/>
      <c r="E49" s="36" t="s">
        <v>164</v>
      </c>
      <c r="F49" s="38">
        <v>2</v>
      </c>
      <c r="G49" s="43" t="str">
        <f>VLOOKUP(F49,Key!$A$17:$B$21,2,FALSE)</f>
        <v>Road Vehicle</v>
      </c>
      <c r="H49" s="37">
        <v>4</v>
      </c>
      <c r="I49" s="44" t="str">
        <f>VLOOKUP(H49,Key!$A$2:$B$13,2,FALSE)</f>
        <v>Minibus</v>
      </c>
      <c r="J49" s="38" t="s">
        <v>174</v>
      </c>
      <c r="K49" s="38">
        <v>1</v>
      </c>
      <c r="L49" s="45" t="str">
        <f>VLOOKUP(K49,Key!$A$24:$B$29,2,FALSE)</f>
        <v>20-29</v>
      </c>
      <c r="M49" s="38" t="s">
        <v>168</v>
      </c>
      <c r="N49" s="33" t="s">
        <v>161</v>
      </c>
      <c r="O49" s="38" t="s">
        <v>159</v>
      </c>
      <c r="P49" s="40">
        <v>1</v>
      </c>
      <c r="Q49" s="35" t="str">
        <f>VLOOKUP(P49,Key!$E$2:$F$9,2,FALSE)</f>
        <v>Home</v>
      </c>
      <c r="R49" s="38" t="s">
        <v>171</v>
      </c>
      <c r="S49" s="33" t="s">
        <v>172</v>
      </c>
      <c r="T49" s="38" t="s">
        <v>159</v>
      </c>
      <c r="U49" s="33">
        <v>6</v>
      </c>
      <c r="V49" s="35" t="str">
        <f>VLOOKUP(U49,Key!$E$2:$F$9,2,FALSE)</f>
        <v>Leisure/Social</v>
      </c>
      <c r="W49" s="35" t="str">
        <f>Q49&amp;"-"&amp;V49</f>
        <v>Home-Leisure/Social</v>
      </c>
      <c r="X49" s="51">
        <v>30000</v>
      </c>
      <c r="Y49" s="39">
        <v>388</v>
      </c>
      <c r="Z49" s="39">
        <v>4</v>
      </c>
      <c r="AA49" s="33">
        <v>2</v>
      </c>
      <c r="AB49" s="35" t="str">
        <f>VLOOKUP(AA49,Key!$C$20:$D$29,2,FALSE)</f>
        <v>Manual Labour</v>
      </c>
      <c r="AC49" s="33">
        <v>2</v>
      </c>
      <c r="AD49" s="35" t="str">
        <f>VLOOKUP(AC49,Key!$E$20:$F$24,2,FALSE)</f>
        <v>300,000-500,000</v>
      </c>
      <c r="AE49" s="33">
        <v>1</v>
      </c>
      <c r="AF49" s="39">
        <v>1</v>
      </c>
      <c r="AG49" s="39">
        <v>1</v>
      </c>
      <c r="AH49" s="39">
        <v>1</v>
      </c>
      <c r="AI49" s="39">
        <v>1</v>
      </c>
      <c r="AJ49" s="40" t="s">
        <v>160</v>
      </c>
      <c r="AK49" s="41">
        <v>0</v>
      </c>
      <c r="AL49" s="25"/>
      <c r="AM49" s="25"/>
    </row>
    <row r="50" spans="2:39" x14ac:dyDescent="0.2">
      <c r="B50" s="50" t="s">
        <v>321</v>
      </c>
      <c r="C50" s="36">
        <v>0.54861111111111105</v>
      </c>
      <c r="D50" s="36"/>
      <c r="E50" s="36" t="s">
        <v>164</v>
      </c>
      <c r="F50" s="38">
        <v>2</v>
      </c>
      <c r="G50" s="43" t="str">
        <f>VLOOKUP(F50,Key!$A$17:$B$21,2,FALSE)</f>
        <v>Road Vehicle</v>
      </c>
      <c r="H50" s="37">
        <v>4</v>
      </c>
      <c r="I50" s="44" t="str">
        <f>VLOOKUP(H50,Key!$A$2:$B$13,2,FALSE)</f>
        <v>Minibus</v>
      </c>
      <c r="J50" s="38" t="s">
        <v>174</v>
      </c>
      <c r="K50" s="38">
        <v>1</v>
      </c>
      <c r="L50" s="45" t="str">
        <f>VLOOKUP(K50,Key!$A$24:$B$29,2,FALSE)</f>
        <v>20-29</v>
      </c>
      <c r="M50" s="38" t="s">
        <v>168</v>
      </c>
      <c r="N50" s="33" t="s">
        <v>161</v>
      </c>
      <c r="O50" s="38" t="s">
        <v>159</v>
      </c>
      <c r="P50" s="40">
        <v>1</v>
      </c>
      <c r="Q50" s="35" t="str">
        <f>VLOOKUP(P50,Key!$E$2:$F$9,2,FALSE)</f>
        <v>Home</v>
      </c>
      <c r="R50" s="38" t="s">
        <v>185</v>
      </c>
      <c r="S50" s="33" t="s">
        <v>186</v>
      </c>
      <c r="T50" s="38" t="s">
        <v>159</v>
      </c>
      <c r="U50" s="33">
        <v>2</v>
      </c>
      <c r="V50" s="35" t="str">
        <f>VLOOKUP(U50,Key!$E$2:$F$9,2,FALSE)</f>
        <v>Work</v>
      </c>
      <c r="W50" s="35" t="str">
        <f>Q50&amp;"-"&amp;V50</f>
        <v>Home-Work</v>
      </c>
      <c r="X50" s="51">
        <v>15000</v>
      </c>
      <c r="Y50" s="39">
        <v>150</v>
      </c>
      <c r="Z50" s="39">
        <v>1.5</v>
      </c>
      <c r="AA50" s="33">
        <v>4</v>
      </c>
      <c r="AB50" s="35" t="str">
        <f>VLOOKUP(AA50,Key!$C$20:$D$29,2,FALSE)</f>
        <v>Office Worker</v>
      </c>
      <c r="AC50" s="33">
        <v>3</v>
      </c>
      <c r="AD50" s="35" t="str">
        <f>VLOOKUP(AC50,Key!$E$20:$F$24,2,FALSE)</f>
        <v>500,000-750,000</v>
      </c>
      <c r="AE50" s="33">
        <v>1</v>
      </c>
      <c r="AF50" s="39">
        <v>1</v>
      </c>
      <c r="AG50" s="39">
        <v>1</v>
      </c>
      <c r="AH50" s="39">
        <v>1</v>
      </c>
      <c r="AI50" s="39">
        <v>1</v>
      </c>
      <c r="AJ50" s="40" t="s">
        <v>160</v>
      </c>
      <c r="AK50" s="41">
        <v>3000</v>
      </c>
      <c r="AL50" s="25"/>
      <c r="AM50" s="25"/>
    </row>
    <row r="51" spans="2:39" x14ac:dyDescent="0.2">
      <c r="B51" s="50" t="s">
        <v>321</v>
      </c>
      <c r="C51" s="36">
        <v>0.3</v>
      </c>
      <c r="D51" s="36"/>
      <c r="E51" s="36" t="s">
        <v>164</v>
      </c>
      <c r="F51" s="38">
        <v>2</v>
      </c>
      <c r="G51" s="43" t="str">
        <f>VLOOKUP(F51,Key!$A$17:$B$21,2,FALSE)</f>
        <v>Road Vehicle</v>
      </c>
      <c r="H51" s="37">
        <v>4</v>
      </c>
      <c r="I51" s="44" t="str">
        <f>VLOOKUP(H51,Key!$A$2:$B$13,2,FALSE)</f>
        <v>Minibus</v>
      </c>
      <c r="J51" s="38" t="s">
        <v>174</v>
      </c>
      <c r="K51" s="38">
        <v>1</v>
      </c>
      <c r="L51" s="45" t="str">
        <f>VLOOKUP(K51,Key!$A$24:$B$29,2,FALSE)</f>
        <v>20-29</v>
      </c>
      <c r="M51" s="38" t="s">
        <v>355</v>
      </c>
      <c r="N51" s="33" t="s">
        <v>161</v>
      </c>
      <c r="O51" s="38" t="s">
        <v>159</v>
      </c>
      <c r="P51" s="40">
        <v>1</v>
      </c>
      <c r="Q51" s="35" t="str">
        <f>VLOOKUP(P51,Key!$E$2:$F$9,2,FALSE)</f>
        <v>Home</v>
      </c>
      <c r="R51" s="38" t="s">
        <v>168</v>
      </c>
      <c r="S51" s="33" t="s">
        <v>161</v>
      </c>
      <c r="T51" s="38" t="s">
        <v>159</v>
      </c>
      <c r="U51" s="33">
        <v>2</v>
      </c>
      <c r="V51" s="35" t="str">
        <f>VLOOKUP(U51,Key!$E$2:$F$9,2,FALSE)</f>
        <v>Work</v>
      </c>
      <c r="W51" s="35" t="str">
        <f>Q51&amp;"-"&amp;V51</f>
        <v>Home-Work</v>
      </c>
      <c r="X51" s="51">
        <v>4000</v>
      </c>
      <c r="Y51" s="39">
        <v>18</v>
      </c>
      <c r="Z51" s="39">
        <v>0.66</v>
      </c>
      <c r="AA51" s="33">
        <v>7</v>
      </c>
      <c r="AB51" s="35" t="str">
        <f>VLOOKUP(AA51,Key!$C$20:$D$29,2,FALSE)</f>
        <v>Farmer</v>
      </c>
      <c r="AC51" s="33">
        <v>2</v>
      </c>
      <c r="AD51" s="35" t="str">
        <f>VLOOKUP(AC51,Key!$E$20:$F$24,2,FALSE)</f>
        <v>300,000-500,000</v>
      </c>
      <c r="AE51" s="33">
        <v>3</v>
      </c>
      <c r="AF51" s="39">
        <v>2</v>
      </c>
      <c r="AG51" s="39">
        <v>2</v>
      </c>
      <c r="AH51" s="39">
        <v>3</v>
      </c>
      <c r="AI51" s="39">
        <v>2</v>
      </c>
      <c r="AJ51" s="40" t="s">
        <v>160</v>
      </c>
      <c r="AK51" s="41">
        <v>1000</v>
      </c>
      <c r="AL51" s="25"/>
      <c r="AM51" s="25"/>
    </row>
    <row r="52" spans="2:39" x14ac:dyDescent="0.2">
      <c r="B52" s="50" t="s">
        <v>321</v>
      </c>
      <c r="C52" s="36">
        <v>0.36388888888888887</v>
      </c>
      <c r="D52" s="36"/>
      <c r="E52" s="36" t="s">
        <v>164</v>
      </c>
      <c r="F52" s="38">
        <v>2</v>
      </c>
      <c r="G52" s="43" t="str">
        <f>VLOOKUP(F52,Key!$A$17:$B$21,2,FALSE)</f>
        <v>Road Vehicle</v>
      </c>
      <c r="H52" s="37">
        <v>3</v>
      </c>
      <c r="I52" s="44" t="str">
        <f>VLOOKUP(H52,Key!$A$2:$B$13,2,FALSE)</f>
        <v>Pickups</v>
      </c>
      <c r="J52" s="38" t="s">
        <v>174</v>
      </c>
      <c r="K52" s="38">
        <v>1</v>
      </c>
      <c r="L52" s="45" t="str">
        <f>VLOOKUP(K52,Key!$A$24:$B$29,2,FALSE)</f>
        <v>20-29</v>
      </c>
      <c r="M52" s="38" t="s">
        <v>360</v>
      </c>
      <c r="N52" s="33" t="s">
        <v>161</v>
      </c>
      <c r="O52" s="38" t="s">
        <v>159</v>
      </c>
      <c r="P52" s="40">
        <v>1</v>
      </c>
      <c r="Q52" s="35" t="str">
        <f>VLOOKUP(P52,Key!$E$2:$F$9,2,FALSE)</f>
        <v>Home</v>
      </c>
      <c r="R52" s="38" t="s">
        <v>168</v>
      </c>
      <c r="S52" s="33" t="s">
        <v>161</v>
      </c>
      <c r="T52" s="38" t="s">
        <v>159</v>
      </c>
      <c r="U52" s="33">
        <v>2</v>
      </c>
      <c r="V52" s="35" t="str">
        <f>VLOOKUP(U52,Key!$E$2:$F$9,2,FALSE)</f>
        <v>Work</v>
      </c>
      <c r="W52" s="35" t="str">
        <f>Q52&amp;"-"&amp;V52</f>
        <v>Home-Work</v>
      </c>
      <c r="X52" s="51">
        <v>2000</v>
      </c>
      <c r="Y52" s="39">
        <v>11</v>
      </c>
      <c r="Z52" s="39">
        <v>0.33</v>
      </c>
      <c r="AA52" s="33">
        <v>6</v>
      </c>
      <c r="AB52" s="35" t="str">
        <f>VLOOKUP(AA52,Key!$C$20:$D$29,2,FALSE)</f>
        <v>Businessman</v>
      </c>
      <c r="AC52" s="33">
        <v>4</v>
      </c>
      <c r="AD52" s="35" t="str">
        <f>VLOOKUP(AC52,Key!$E$20:$F$24,2,FALSE)</f>
        <v>750,000-1,000,000</v>
      </c>
      <c r="AE52" s="33">
        <v>4</v>
      </c>
      <c r="AF52" s="39">
        <v>2</v>
      </c>
      <c r="AG52" s="39">
        <v>2</v>
      </c>
      <c r="AH52" s="39">
        <v>2</v>
      </c>
      <c r="AI52" s="39">
        <v>2</v>
      </c>
      <c r="AJ52" s="40" t="s">
        <v>160</v>
      </c>
      <c r="AK52" s="41">
        <v>1000</v>
      </c>
      <c r="AL52" s="25"/>
      <c r="AM52" s="25"/>
    </row>
    <row r="53" spans="2:39" x14ac:dyDescent="0.2">
      <c r="B53" s="50" t="s">
        <v>321</v>
      </c>
      <c r="C53" s="36">
        <v>0.3430555555555555</v>
      </c>
      <c r="D53" s="36"/>
      <c r="E53" s="36" t="s">
        <v>164</v>
      </c>
      <c r="F53" s="38">
        <v>2</v>
      </c>
      <c r="G53" s="43" t="str">
        <f>VLOOKUP(F53,Key!$A$17:$B$21,2,FALSE)</f>
        <v>Road Vehicle</v>
      </c>
      <c r="H53" s="37">
        <v>2</v>
      </c>
      <c r="I53" s="44" t="str">
        <f>VLOOKUP(H53,Key!$A$2:$B$13,2,FALSE)</f>
        <v>Station Wagon</v>
      </c>
      <c r="J53" s="38" t="s">
        <v>174</v>
      </c>
      <c r="K53" s="38">
        <v>1</v>
      </c>
      <c r="L53" s="45" t="str">
        <f>VLOOKUP(K53,Key!$A$24:$B$29,2,FALSE)</f>
        <v>20-29</v>
      </c>
      <c r="M53" s="38" t="s">
        <v>169</v>
      </c>
      <c r="N53" s="33" t="s">
        <v>170</v>
      </c>
      <c r="O53" s="38" t="s">
        <v>159</v>
      </c>
      <c r="P53" s="40">
        <v>5</v>
      </c>
      <c r="Q53" s="35" t="str">
        <f>VLOOKUP(P53,Key!$E$2:$F$9,2,FALSE)</f>
        <v>Tourism</v>
      </c>
      <c r="R53" s="38" t="s">
        <v>168</v>
      </c>
      <c r="S53" s="33" t="s">
        <v>161</v>
      </c>
      <c r="T53" s="38" t="s">
        <v>159</v>
      </c>
      <c r="U53" s="33">
        <v>1</v>
      </c>
      <c r="V53" s="35" t="str">
        <f>VLOOKUP(U53,Key!$E$2:$F$9,2,FALSE)</f>
        <v>Home</v>
      </c>
      <c r="W53" s="35" t="str">
        <f>Q53&amp;"-"&amp;V53</f>
        <v>Tourism-Home</v>
      </c>
      <c r="X53" s="33"/>
      <c r="Y53" s="39">
        <v>61</v>
      </c>
      <c r="Z53" s="39">
        <v>1</v>
      </c>
      <c r="AA53" s="33">
        <v>10</v>
      </c>
      <c r="AB53" s="35" t="str">
        <f>VLOOKUP(AA53,Key!$C$20:$D$29,2,FALSE)</f>
        <v>Other</v>
      </c>
      <c r="AC53" s="33">
        <v>5</v>
      </c>
      <c r="AD53" s="35" t="str">
        <f>VLOOKUP(AC53,Key!$E$20:$F$24,2,FALSE)</f>
        <v>&gt;1,000,000</v>
      </c>
      <c r="AE53" s="33">
        <v>1</v>
      </c>
      <c r="AF53" s="39">
        <v>1</v>
      </c>
      <c r="AG53" s="39">
        <v>1</v>
      </c>
      <c r="AH53" s="39">
        <v>1</v>
      </c>
      <c r="AI53" s="39">
        <v>1</v>
      </c>
      <c r="AJ53" s="40" t="s">
        <v>160</v>
      </c>
      <c r="AK53" s="41">
        <v>0</v>
      </c>
      <c r="AL53" s="25"/>
      <c r="AM53" s="25"/>
    </row>
    <row r="54" spans="2:39" x14ac:dyDescent="0.2">
      <c r="B54" s="50" t="s">
        <v>163</v>
      </c>
      <c r="C54" s="36">
        <v>0.66736111111111107</v>
      </c>
      <c r="D54" s="36"/>
      <c r="E54" s="36" t="s">
        <v>164</v>
      </c>
      <c r="F54" s="38">
        <v>2</v>
      </c>
      <c r="G54" s="43" t="str">
        <f>VLOOKUP(F54,Key!$A$17:$B$21,2,FALSE)</f>
        <v>Road Vehicle</v>
      </c>
      <c r="H54" s="37">
        <v>6</v>
      </c>
      <c r="I54" s="44" t="str">
        <f>VLOOKUP(H54,Key!$A$2:$B$13,2,FALSE)</f>
        <v>Large Bus</v>
      </c>
      <c r="J54" s="38" t="s">
        <v>165</v>
      </c>
      <c r="K54" s="38">
        <v>2</v>
      </c>
      <c r="L54" s="45" t="str">
        <f>VLOOKUP(K54,Key!$A$24:$B$29,2,FALSE)</f>
        <v>30-39</v>
      </c>
      <c r="M54" s="38" t="s">
        <v>166</v>
      </c>
      <c r="N54" s="33" t="s">
        <v>167</v>
      </c>
      <c r="O54" s="38" t="s">
        <v>159</v>
      </c>
      <c r="P54" s="40">
        <v>1</v>
      </c>
      <c r="Q54" s="35" t="str">
        <f>VLOOKUP(P54,Key!$E$2:$F$9,2,FALSE)</f>
        <v>Home</v>
      </c>
      <c r="R54" s="38" t="s">
        <v>171</v>
      </c>
      <c r="S54" s="33" t="s">
        <v>172</v>
      </c>
      <c r="T54" s="38" t="s">
        <v>159</v>
      </c>
      <c r="U54" s="33">
        <v>2</v>
      </c>
      <c r="V54" s="35" t="str">
        <f>VLOOKUP(U54,Key!$E$2:$F$9,2,FALSE)</f>
        <v>Work</v>
      </c>
      <c r="W54" s="35" t="str">
        <f>Q54&amp;"-"&amp;V54</f>
        <v>Home-Work</v>
      </c>
      <c r="X54" s="51">
        <v>30000</v>
      </c>
      <c r="Y54" s="39">
        <v>436</v>
      </c>
      <c r="Z54" s="39">
        <v>13</v>
      </c>
      <c r="AA54" s="33">
        <v>6</v>
      </c>
      <c r="AB54" s="35" t="str">
        <f>VLOOKUP(AA54,Key!$C$20:$D$29,2,FALSE)</f>
        <v>Businessman</v>
      </c>
      <c r="AC54" s="33">
        <v>4</v>
      </c>
      <c r="AD54" s="35" t="str">
        <f>VLOOKUP(AC54,Key!$E$20:$F$24,2,FALSE)</f>
        <v>750,000-1,000,000</v>
      </c>
      <c r="AE54" s="33">
        <v>1</v>
      </c>
      <c r="AF54" s="39">
        <v>1</v>
      </c>
      <c r="AG54" s="39">
        <v>1</v>
      </c>
      <c r="AH54" s="39">
        <v>1</v>
      </c>
      <c r="AI54" s="39">
        <v>1</v>
      </c>
      <c r="AJ54" s="40" t="s">
        <v>160</v>
      </c>
      <c r="AK54" s="41">
        <v>1000</v>
      </c>
      <c r="AL54" s="25"/>
      <c r="AM54" s="25"/>
    </row>
    <row r="55" spans="2:39" x14ac:dyDescent="0.2">
      <c r="B55" s="50" t="s">
        <v>163</v>
      </c>
      <c r="C55" s="36">
        <v>0.66666666666666663</v>
      </c>
      <c r="D55" s="36"/>
      <c r="E55" s="36" t="s">
        <v>164</v>
      </c>
      <c r="F55" s="38">
        <v>2</v>
      </c>
      <c r="G55" s="43" t="str">
        <f>VLOOKUP(F55,Key!$A$17:$B$21,2,FALSE)</f>
        <v>Road Vehicle</v>
      </c>
      <c r="H55" s="37">
        <v>6</v>
      </c>
      <c r="I55" s="44" t="str">
        <f>VLOOKUP(H55,Key!$A$2:$B$13,2,FALSE)</f>
        <v>Large Bus</v>
      </c>
      <c r="J55" s="38" t="s">
        <v>165</v>
      </c>
      <c r="K55" s="38">
        <v>2</v>
      </c>
      <c r="L55" s="45" t="str">
        <f>VLOOKUP(K55,Key!$A$24:$B$29,2,FALSE)</f>
        <v>30-39</v>
      </c>
      <c r="M55" s="38" t="s">
        <v>168</v>
      </c>
      <c r="N55" s="33" t="s">
        <v>161</v>
      </c>
      <c r="O55" s="38" t="s">
        <v>159</v>
      </c>
      <c r="P55" s="40">
        <v>2</v>
      </c>
      <c r="Q55" s="35" t="str">
        <f>VLOOKUP(P55,Key!$E$2:$F$9,2,FALSE)</f>
        <v>Work</v>
      </c>
      <c r="R55" s="38" t="s">
        <v>171</v>
      </c>
      <c r="S55" s="33" t="s">
        <v>172</v>
      </c>
      <c r="T55" s="38" t="s">
        <v>159</v>
      </c>
      <c r="U55" s="33">
        <v>2</v>
      </c>
      <c r="V55" s="35" t="str">
        <f>VLOOKUP(U55,Key!$E$2:$F$9,2,FALSE)</f>
        <v>Work</v>
      </c>
      <c r="W55" s="35" t="str">
        <f>Q55&amp;"-"&amp;V55</f>
        <v>Work-Work</v>
      </c>
      <c r="X55" s="51">
        <v>30000</v>
      </c>
      <c r="Y55" s="39">
        <v>399</v>
      </c>
      <c r="Z55" s="39">
        <v>14</v>
      </c>
      <c r="AA55" s="33">
        <v>5</v>
      </c>
      <c r="AB55" s="35" t="str">
        <f>VLOOKUP(AA55,Key!$C$20:$D$29,2,FALSE)</f>
        <v>Professional</v>
      </c>
      <c r="AC55" s="33">
        <v>3</v>
      </c>
      <c r="AD55" s="35" t="str">
        <f>VLOOKUP(AC55,Key!$E$20:$F$24,2,FALSE)</f>
        <v>500,000-750,000</v>
      </c>
      <c r="AE55" s="33">
        <v>1</v>
      </c>
      <c r="AF55" s="39">
        <v>1</v>
      </c>
      <c r="AG55" s="39">
        <v>1</v>
      </c>
      <c r="AH55" s="39">
        <v>1</v>
      </c>
      <c r="AI55" s="39">
        <v>1</v>
      </c>
      <c r="AJ55" s="40" t="s">
        <v>160</v>
      </c>
      <c r="AK55" s="41">
        <v>2000</v>
      </c>
      <c r="AL55" s="25"/>
      <c r="AM55" s="25"/>
    </row>
    <row r="56" spans="2:39" x14ac:dyDescent="0.2">
      <c r="B56" s="50" t="s">
        <v>163</v>
      </c>
      <c r="C56" s="36">
        <v>0.64861111111111114</v>
      </c>
      <c r="D56" s="36"/>
      <c r="E56" s="36" t="s">
        <v>164</v>
      </c>
      <c r="F56" s="38">
        <v>2</v>
      </c>
      <c r="G56" s="43" t="str">
        <f>VLOOKUP(F56,Key!$A$17:$B$21,2,FALSE)</f>
        <v>Road Vehicle</v>
      </c>
      <c r="H56" s="37">
        <v>6</v>
      </c>
      <c r="I56" s="44" t="str">
        <f>VLOOKUP(H56,Key!$A$2:$B$13,2,FALSE)</f>
        <v>Large Bus</v>
      </c>
      <c r="J56" s="38" t="s">
        <v>165</v>
      </c>
      <c r="K56" s="38">
        <v>2</v>
      </c>
      <c r="L56" s="45" t="str">
        <f>VLOOKUP(K56,Key!$A$24:$B$29,2,FALSE)</f>
        <v>30-39</v>
      </c>
      <c r="M56" s="38" t="s">
        <v>168</v>
      </c>
      <c r="N56" s="33" t="s">
        <v>161</v>
      </c>
      <c r="O56" s="38" t="s">
        <v>159</v>
      </c>
      <c r="P56" s="40">
        <v>2</v>
      </c>
      <c r="Q56" s="35" t="str">
        <f>VLOOKUP(P56,Key!$E$2:$F$9,2,FALSE)</f>
        <v>Work</v>
      </c>
      <c r="R56" s="38" t="s">
        <v>183</v>
      </c>
      <c r="S56" s="33" t="s">
        <v>184</v>
      </c>
      <c r="T56" s="38" t="s">
        <v>159</v>
      </c>
      <c r="U56" s="33">
        <v>2</v>
      </c>
      <c r="V56" s="35" t="str">
        <f>VLOOKUP(U56,Key!$E$2:$F$9,2,FALSE)</f>
        <v>Work</v>
      </c>
      <c r="W56" s="35" t="str">
        <f>Q56&amp;"-"&amp;V56</f>
        <v>Work-Work</v>
      </c>
      <c r="X56" s="51">
        <v>7000</v>
      </c>
      <c r="Y56" s="39">
        <v>74</v>
      </c>
      <c r="Z56" s="39">
        <v>1</v>
      </c>
      <c r="AA56" s="33">
        <v>7</v>
      </c>
      <c r="AB56" s="35" t="str">
        <f>VLOOKUP(AA56,Key!$C$20:$D$29,2,FALSE)</f>
        <v>Farmer</v>
      </c>
      <c r="AC56" s="33">
        <v>4</v>
      </c>
      <c r="AD56" s="35" t="str">
        <f>VLOOKUP(AC56,Key!$E$20:$F$24,2,FALSE)</f>
        <v>750,000-1,000,000</v>
      </c>
      <c r="AE56" s="33">
        <v>1</v>
      </c>
      <c r="AF56" s="39">
        <v>1</v>
      </c>
      <c r="AG56" s="39">
        <v>1</v>
      </c>
      <c r="AH56" s="39">
        <v>1</v>
      </c>
      <c r="AI56" s="39">
        <v>1</v>
      </c>
      <c r="AJ56" s="40" t="s">
        <v>160</v>
      </c>
      <c r="AK56" s="41">
        <v>2000</v>
      </c>
      <c r="AL56" s="25"/>
      <c r="AM56" s="25"/>
    </row>
    <row r="57" spans="2:39" x14ac:dyDescent="0.2">
      <c r="B57" s="50" t="s">
        <v>163</v>
      </c>
      <c r="C57" s="36">
        <v>0.59861111111111109</v>
      </c>
      <c r="D57" s="36"/>
      <c r="E57" s="36" t="s">
        <v>164</v>
      </c>
      <c r="F57" s="38">
        <v>2</v>
      </c>
      <c r="G57" s="43" t="str">
        <f>VLOOKUP(F57,Key!$A$17:$B$21,2,FALSE)</f>
        <v>Road Vehicle</v>
      </c>
      <c r="H57" s="37">
        <v>6</v>
      </c>
      <c r="I57" s="44" t="str">
        <f>VLOOKUP(H57,Key!$A$2:$B$13,2,FALSE)</f>
        <v>Large Bus</v>
      </c>
      <c r="J57" s="38" t="s">
        <v>165</v>
      </c>
      <c r="K57" s="38">
        <v>2</v>
      </c>
      <c r="L57" s="45" t="str">
        <f>VLOOKUP(K57,Key!$A$24:$B$29,2,FALSE)</f>
        <v>30-39</v>
      </c>
      <c r="M57" s="38" t="s">
        <v>188</v>
      </c>
      <c r="N57" s="33" t="s">
        <v>161</v>
      </c>
      <c r="O57" s="38" t="s">
        <v>159</v>
      </c>
      <c r="P57" s="40">
        <v>1</v>
      </c>
      <c r="Q57" s="35" t="str">
        <f>VLOOKUP(P57,Key!$E$2:$F$9,2,FALSE)</f>
        <v>Home</v>
      </c>
      <c r="R57" s="38" t="s">
        <v>171</v>
      </c>
      <c r="S57" s="33" t="s">
        <v>172</v>
      </c>
      <c r="T57" s="38" t="s">
        <v>159</v>
      </c>
      <c r="U57" s="33">
        <v>4</v>
      </c>
      <c r="V57" s="35" t="str">
        <f>VLOOKUP(U57,Key!$E$2:$F$9,2,FALSE)</f>
        <v>Commercial</v>
      </c>
      <c r="W57" s="35" t="str">
        <f>Q57&amp;"-"&amp;V57</f>
        <v>Home-Commercial</v>
      </c>
      <c r="X57" s="51">
        <v>30000</v>
      </c>
      <c r="Y57" s="39">
        <v>420</v>
      </c>
      <c r="Z57" s="39">
        <v>14</v>
      </c>
      <c r="AA57" s="33">
        <v>6</v>
      </c>
      <c r="AB57" s="35" t="str">
        <f>VLOOKUP(AA57,Key!$C$20:$D$29,2,FALSE)</f>
        <v>Businessman</v>
      </c>
      <c r="AC57" s="33">
        <v>3</v>
      </c>
      <c r="AD57" s="35" t="str">
        <f>VLOOKUP(AC57,Key!$E$20:$F$24,2,FALSE)</f>
        <v>500,000-750,000</v>
      </c>
      <c r="AE57" s="33">
        <v>3</v>
      </c>
      <c r="AF57" s="39">
        <v>2</v>
      </c>
      <c r="AG57" s="39">
        <v>3</v>
      </c>
      <c r="AH57" s="39">
        <v>2</v>
      </c>
      <c r="AI57" s="39">
        <v>2</v>
      </c>
      <c r="AJ57" s="40" t="s">
        <v>160</v>
      </c>
      <c r="AK57" s="41">
        <v>2000</v>
      </c>
      <c r="AL57" s="25"/>
      <c r="AM57" s="25"/>
    </row>
    <row r="58" spans="2:39" x14ac:dyDescent="0.2">
      <c r="B58" s="50" t="s">
        <v>163</v>
      </c>
      <c r="C58" s="36">
        <v>0.63055555555555554</v>
      </c>
      <c r="D58" s="36"/>
      <c r="E58" s="36" t="s">
        <v>164</v>
      </c>
      <c r="F58" s="38">
        <v>2</v>
      </c>
      <c r="G58" s="43" t="str">
        <f>VLOOKUP(F58,Key!$A$17:$B$21,2,FALSE)</f>
        <v>Road Vehicle</v>
      </c>
      <c r="H58" s="37">
        <v>6</v>
      </c>
      <c r="I58" s="44" t="str">
        <f>VLOOKUP(H58,Key!$A$2:$B$13,2,FALSE)</f>
        <v>Large Bus</v>
      </c>
      <c r="J58" s="38" t="s">
        <v>165</v>
      </c>
      <c r="K58" s="38">
        <v>2</v>
      </c>
      <c r="L58" s="45" t="str">
        <f>VLOOKUP(K58,Key!$A$24:$B$29,2,FALSE)</f>
        <v>30-39</v>
      </c>
      <c r="M58" s="38" t="s">
        <v>204</v>
      </c>
      <c r="N58" s="33" t="s">
        <v>161</v>
      </c>
      <c r="O58" s="38" t="s">
        <v>159</v>
      </c>
      <c r="P58" s="40">
        <v>1</v>
      </c>
      <c r="Q58" s="35" t="str">
        <f>VLOOKUP(P58,Key!$E$2:$F$9,2,FALSE)</f>
        <v>Home</v>
      </c>
      <c r="R58" s="38" t="s">
        <v>206</v>
      </c>
      <c r="S58" s="33" t="s">
        <v>172</v>
      </c>
      <c r="T58" s="38" t="s">
        <v>159</v>
      </c>
      <c r="U58" s="33">
        <v>2</v>
      </c>
      <c r="V58" s="35" t="str">
        <f>VLOOKUP(U58,Key!$E$2:$F$9,2,FALSE)</f>
        <v>Work</v>
      </c>
      <c r="W58" s="35" t="str">
        <f>Q58&amp;"-"&amp;V58</f>
        <v>Home-Work</v>
      </c>
      <c r="X58" s="51">
        <v>40000</v>
      </c>
      <c r="Y58" s="39">
        <v>250</v>
      </c>
      <c r="Z58" s="39">
        <v>6</v>
      </c>
      <c r="AA58" s="33">
        <v>6</v>
      </c>
      <c r="AB58" s="35" t="str">
        <f>VLOOKUP(AA58,Key!$C$20:$D$29,2,FALSE)</f>
        <v>Businessman</v>
      </c>
      <c r="AC58" s="33">
        <v>1</v>
      </c>
      <c r="AD58" s="35" t="str">
        <f>VLOOKUP(AC58,Key!$E$20:$F$24,2,FALSE)</f>
        <v>&lt;300,000</v>
      </c>
      <c r="AE58" s="33">
        <v>2</v>
      </c>
      <c r="AF58" s="39">
        <v>2</v>
      </c>
      <c r="AG58" s="39">
        <v>4</v>
      </c>
      <c r="AH58" s="39">
        <v>2</v>
      </c>
      <c r="AI58" s="39">
        <v>2</v>
      </c>
      <c r="AJ58" s="40" t="s">
        <v>160</v>
      </c>
      <c r="AK58" s="41">
        <v>0</v>
      </c>
      <c r="AL58" s="25"/>
      <c r="AM58" s="25"/>
    </row>
    <row r="59" spans="2:39" x14ac:dyDescent="0.2">
      <c r="B59" s="50" t="s">
        <v>163</v>
      </c>
      <c r="C59" s="36">
        <v>0.69444444444444453</v>
      </c>
      <c r="D59" s="36"/>
      <c r="E59" s="36" t="s">
        <v>164</v>
      </c>
      <c r="F59" s="38">
        <v>2</v>
      </c>
      <c r="G59" s="43" t="str">
        <f>VLOOKUP(F59,Key!$A$17:$B$21,2,FALSE)</f>
        <v>Road Vehicle</v>
      </c>
      <c r="H59" s="37">
        <v>6</v>
      </c>
      <c r="I59" s="44" t="str">
        <f>VLOOKUP(H59,Key!$A$2:$B$13,2,FALSE)</f>
        <v>Large Bus</v>
      </c>
      <c r="J59" s="38" t="s">
        <v>165</v>
      </c>
      <c r="K59" s="38">
        <v>2</v>
      </c>
      <c r="L59" s="45" t="str">
        <f>VLOOKUP(K59,Key!$A$24:$B$29,2,FALSE)</f>
        <v>30-39</v>
      </c>
      <c r="M59" s="38" t="s">
        <v>204</v>
      </c>
      <c r="N59" s="33" t="s">
        <v>161</v>
      </c>
      <c r="O59" s="38" t="s">
        <v>159</v>
      </c>
      <c r="P59" s="40">
        <v>2</v>
      </c>
      <c r="Q59" s="35" t="str">
        <f>VLOOKUP(P59,Key!$E$2:$F$9,2,FALSE)</f>
        <v>Work</v>
      </c>
      <c r="R59" s="38" t="s">
        <v>207</v>
      </c>
      <c r="S59" s="33" t="s">
        <v>172</v>
      </c>
      <c r="T59" s="38" t="s">
        <v>159</v>
      </c>
      <c r="U59" s="33">
        <v>8</v>
      </c>
      <c r="V59" s="35" t="str">
        <f>VLOOKUP(U59,Key!$E$2:$F$9,2,FALSE)</f>
        <v>Others</v>
      </c>
      <c r="W59" s="35" t="str">
        <f>Q59&amp;"-"&amp;V59</f>
        <v>Work-Others</v>
      </c>
      <c r="X59" s="51">
        <v>40000</v>
      </c>
      <c r="Y59" s="39">
        <v>250</v>
      </c>
      <c r="Z59" s="39">
        <v>6</v>
      </c>
      <c r="AA59" s="33">
        <v>6</v>
      </c>
      <c r="AB59" s="35" t="str">
        <f>VLOOKUP(AA59,Key!$C$20:$D$29,2,FALSE)</f>
        <v>Businessman</v>
      </c>
      <c r="AC59" s="33">
        <v>1</v>
      </c>
      <c r="AD59" s="35" t="str">
        <f>VLOOKUP(AC59,Key!$E$20:$F$24,2,FALSE)</f>
        <v>&lt;300,000</v>
      </c>
      <c r="AE59" s="33">
        <v>2</v>
      </c>
      <c r="AF59" s="39">
        <v>4</v>
      </c>
      <c r="AG59" s="39">
        <v>1</v>
      </c>
      <c r="AH59" s="39">
        <v>2</v>
      </c>
      <c r="AI59" s="39">
        <v>1</v>
      </c>
      <c r="AJ59" s="40" t="s">
        <v>160</v>
      </c>
      <c r="AK59" s="41">
        <v>0</v>
      </c>
      <c r="AL59" s="25"/>
      <c r="AM59" s="25"/>
    </row>
    <row r="60" spans="2:39" x14ac:dyDescent="0.2">
      <c r="B60" s="50" t="s">
        <v>163</v>
      </c>
      <c r="C60" s="36"/>
      <c r="D60" s="36"/>
      <c r="E60" s="36" t="s">
        <v>164</v>
      </c>
      <c r="F60" s="38">
        <v>2</v>
      </c>
      <c r="G60" s="43" t="str">
        <f>VLOOKUP(F60,Key!$A$17:$B$21,2,FALSE)</f>
        <v>Road Vehicle</v>
      </c>
      <c r="H60" s="37">
        <v>6</v>
      </c>
      <c r="I60" s="44" t="str">
        <f>VLOOKUP(H60,Key!$A$2:$B$13,2,FALSE)</f>
        <v>Large Bus</v>
      </c>
      <c r="J60" s="38" t="s">
        <v>165</v>
      </c>
      <c r="K60" s="38">
        <v>2</v>
      </c>
      <c r="L60" s="45" t="str">
        <f>VLOOKUP(K60,Key!$A$24:$B$29,2,FALSE)</f>
        <v>30-39</v>
      </c>
      <c r="M60" s="38" t="s">
        <v>178</v>
      </c>
      <c r="N60" s="33" t="s">
        <v>179</v>
      </c>
      <c r="O60" s="38" t="s">
        <v>34</v>
      </c>
      <c r="P60" s="40">
        <v>1</v>
      </c>
      <c r="Q60" s="35" t="str">
        <f>VLOOKUP(P60,Key!$E$2:$F$9,2,FALSE)</f>
        <v>Home</v>
      </c>
      <c r="R60" s="38" t="s">
        <v>206</v>
      </c>
      <c r="S60" s="33" t="s">
        <v>172</v>
      </c>
      <c r="T60" s="38" t="s">
        <v>159</v>
      </c>
      <c r="U60" s="33">
        <v>2</v>
      </c>
      <c r="V60" s="35" t="str">
        <f>VLOOKUP(U60,Key!$E$2:$F$9,2,FALSE)</f>
        <v>Work</v>
      </c>
      <c r="W60" s="35" t="str">
        <f>Q60&amp;"-"&amp;V60</f>
        <v>Home-Work</v>
      </c>
      <c r="X60" s="51">
        <v>40000</v>
      </c>
      <c r="Y60" s="39">
        <v>250</v>
      </c>
      <c r="Z60" s="39">
        <v>6</v>
      </c>
      <c r="AA60" s="33">
        <v>6</v>
      </c>
      <c r="AB60" s="35" t="str">
        <f>VLOOKUP(AA60,Key!$C$20:$D$29,2,FALSE)</f>
        <v>Businessman</v>
      </c>
      <c r="AC60" s="33">
        <v>1</v>
      </c>
      <c r="AD60" s="35" t="str">
        <f>VLOOKUP(AC60,Key!$E$20:$F$24,2,FALSE)</f>
        <v>&lt;300,000</v>
      </c>
      <c r="AE60" s="33">
        <v>2</v>
      </c>
      <c r="AF60" s="39">
        <v>4</v>
      </c>
      <c r="AG60" s="39">
        <v>1</v>
      </c>
      <c r="AH60" s="39">
        <v>2</v>
      </c>
      <c r="AI60" s="39">
        <v>2</v>
      </c>
      <c r="AJ60" s="40" t="s">
        <v>160</v>
      </c>
      <c r="AK60" s="41">
        <v>0</v>
      </c>
      <c r="AL60" s="25"/>
      <c r="AM60" s="25"/>
    </row>
    <row r="61" spans="2:39" x14ac:dyDescent="0.2">
      <c r="B61" s="50" t="s">
        <v>163</v>
      </c>
      <c r="C61" s="36">
        <v>0.77638888888888891</v>
      </c>
      <c r="D61" s="36"/>
      <c r="E61" s="36" t="s">
        <v>164</v>
      </c>
      <c r="F61" s="38">
        <v>2</v>
      </c>
      <c r="G61" s="43" t="str">
        <f>VLOOKUP(F61,Key!$A$17:$B$21,2,FALSE)</f>
        <v>Road Vehicle</v>
      </c>
      <c r="H61" s="37">
        <v>6</v>
      </c>
      <c r="I61" s="44" t="str">
        <f>VLOOKUP(H61,Key!$A$2:$B$13,2,FALSE)</f>
        <v>Large Bus</v>
      </c>
      <c r="J61" s="38" t="s">
        <v>165</v>
      </c>
      <c r="K61" s="38">
        <v>2</v>
      </c>
      <c r="L61" s="45" t="str">
        <f>VLOOKUP(K61,Key!$A$24:$B$29,2,FALSE)</f>
        <v>30-39</v>
      </c>
      <c r="M61" s="38" t="s">
        <v>178</v>
      </c>
      <c r="N61" s="33" t="s">
        <v>179</v>
      </c>
      <c r="O61" s="38" t="s">
        <v>34</v>
      </c>
      <c r="P61" s="40">
        <v>1</v>
      </c>
      <c r="Q61" s="35" t="str">
        <f>VLOOKUP(P61,Key!$E$2:$F$9,2,FALSE)</f>
        <v>Home</v>
      </c>
      <c r="R61" s="38" t="s">
        <v>209</v>
      </c>
      <c r="S61" s="33" t="s">
        <v>172</v>
      </c>
      <c r="T61" s="38" t="s">
        <v>159</v>
      </c>
      <c r="U61" s="33">
        <v>8</v>
      </c>
      <c r="V61" s="35" t="str">
        <f>VLOOKUP(U61,Key!$E$2:$F$9,2,FALSE)</f>
        <v>Others</v>
      </c>
      <c r="W61" s="35" t="str">
        <f>Q61&amp;"-"&amp;V61</f>
        <v>Home-Others</v>
      </c>
      <c r="X61" s="51">
        <v>40000</v>
      </c>
      <c r="Y61" s="39">
        <v>250</v>
      </c>
      <c r="Z61" s="39">
        <v>6</v>
      </c>
      <c r="AA61" s="33">
        <v>6</v>
      </c>
      <c r="AB61" s="35" t="str">
        <f>VLOOKUP(AA61,Key!$C$20:$D$29,2,FALSE)</f>
        <v>Businessman</v>
      </c>
      <c r="AC61" s="33">
        <v>1</v>
      </c>
      <c r="AD61" s="35" t="str">
        <f>VLOOKUP(AC61,Key!$E$20:$F$24,2,FALSE)</f>
        <v>&lt;300,000</v>
      </c>
      <c r="AE61" s="33">
        <v>5</v>
      </c>
      <c r="AF61" s="39">
        <v>4</v>
      </c>
      <c r="AG61" s="39">
        <v>5</v>
      </c>
      <c r="AH61" s="39">
        <v>2</v>
      </c>
      <c r="AI61" s="39">
        <v>5</v>
      </c>
      <c r="AJ61" s="40" t="s">
        <v>160</v>
      </c>
      <c r="AK61" s="41">
        <v>0</v>
      </c>
      <c r="AL61" s="25"/>
      <c r="AM61" s="25"/>
    </row>
    <row r="62" spans="2:39" x14ac:dyDescent="0.2">
      <c r="B62" s="50" t="s">
        <v>163</v>
      </c>
      <c r="C62" s="36">
        <v>0.78402777777777777</v>
      </c>
      <c r="D62" s="36"/>
      <c r="E62" s="36" t="s">
        <v>164</v>
      </c>
      <c r="F62" s="38">
        <v>2</v>
      </c>
      <c r="G62" s="43" t="str">
        <f>VLOOKUP(F62,Key!$A$17:$B$21,2,FALSE)</f>
        <v>Road Vehicle</v>
      </c>
      <c r="H62" s="37">
        <v>6</v>
      </c>
      <c r="I62" s="44" t="str">
        <f>VLOOKUP(H62,Key!$A$2:$B$13,2,FALSE)</f>
        <v>Large Bus</v>
      </c>
      <c r="J62" s="38" t="s">
        <v>165</v>
      </c>
      <c r="K62" s="38">
        <v>2</v>
      </c>
      <c r="L62" s="45" t="str">
        <f>VLOOKUP(K62,Key!$A$24:$B$29,2,FALSE)</f>
        <v>30-39</v>
      </c>
      <c r="M62" s="38" t="s">
        <v>178</v>
      </c>
      <c r="N62" s="33" t="s">
        <v>179</v>
      </c>
      <c r="O62" s="38" t="s">
        <v>34</v>
      </c>
      <c r="P62" s="40">
        <v>1</v>
      </c>
      <c r="Q62" s="35" t="str">
        <f>VLOOKUP(P62,Key!$E$2:$F$9,2,FALSE)</f>
        <v>Home</v>
      </c>
      <c r="R62" s="38" t="s">
        <v>210</v>
      </c>
      <c r="S62" s="33" t="s">
        <v>172</v>
      </c>
      <c r="T62" s="38" t="s">
        <v>159</v>
      </c>
      <c r="U62" s="33">
        <v>2</v>
      </c>
      <c r="V62" s="35" t="str">
        <f>VLOOKUP(U62,Key!$E$2:$F$9,2,FALSE)</f>
        <v>Work</v>
      </c>
      <c r="W62" s="35" t="str">
        <f>Q62&amp;"-"&amp;V62</f>
        <v>Home-Work</v>
      </c>
      <c r="X62" s="51">
        <v>40000</v>
      </c>
      <c r="Y62" s="39">
        <v>250</v>
      </c>
      <c r="Z62" s="39">
        <v>6</v>
      </c>
      <c r="AA62" s="33">
        <v>6</v>
      </c>
      <c r="AB62" s="35" t="str">
        <f>VLOOKUP(AA62,Key!$C$20:$D$29,2,FALSE)</f>
        <v>Businessman</v>
      </c>
      <c r="AC62" s="33">
        <v>1</v>
      </c>
      <c r="AD62" s="35" t="str">
        <f>VLOOKUP(AC62,Key!$E$20:$F$24,2,FALSE)</f>
        <v>&lt;300,000</v>
      </c>
      <c r="AE62" s="33">
        <v>5</v>
      </c>
      <c r="AF62" s="39">
        <v>4</v>
      </c>
      <c r="AG62" s="39">
        <v>2</v>
      </c>
      <c r="AH62" s="39">
        <v>2</v>
      </c>
      <c r="AI62" s="39">
        <v>2</v>
      </c>
      <c r="AJ62" s="40" t="s">
        <v>160</v>
      </c>
      <c r="AK62" s="41">
        <v>0</v>
      </c>
      <c r="AL62" s="25"/>
      <c r="AM62" s="25"/>
    </row>
    <row r="63" spans="2:39" x14ac:dyDescent="0.2">
      <c r="B63" s="50" t="s">
        <v>163</v>
      </c>
      <c r="C63" s="36">
        <v>0.77083333333333337</v>
      </c>
      <c r="D63" s="36"/>
      <c r="E63" s="36" t="s">
        <v>164</v>
      </c>
      <c r="F63" s="38">
        <v>2</v>
      </c>
      <c r="G63" s="43" t="str">
        <f>VLOOKUP(F63,Key!$A$17:$B$21,2,FALSE)</f>
        <v>Road Vehicle</v>
      </c>
      <c r="H63" s="37">
        <v>6</v>
      </c>
      <c r="I63" s="44" t="s">
        <v>45</v>
      </c>
      <c r="J63" s="38" t="s">
        <v>165</v>
      </c>
      <c r="K63" s="38">
        <v>2</v>
      </c>
      <c r="L63" s="45" t="str">
        <f>VLOOKUP(K63,Key!$A$24:$B$29,2,FALSE)</f>
        <v>30-39</v>
      </c>
      <c r="M63" s="38" t="s">
        <v>211</v>
      </c>
      <c r="N63" s="33" t="s">
        <v>170</v>
      </c>
      <c r="O63" s="38" t="s">
        <v>159</v>
      </c>
      <c r="P63" s="40">
        <v>1</v>
      </c>
      <c r="Q63" s="35" t="str">
        <f>VLOOKUP(P63,Key!$E$2:$F$9,2,FALSE)</f>
        <v>Home</v>
      </c>
      <c r="R63" s="38" t="s">
        <v>171</v>
      </c>
      <c r="S63" s="33" t="s">
        <v>172</v>
      </c>
      <c r="T63" s="38" t="s">
        <v>159</v>
      </c>
      <c r="U63" s="33">
        <v>2</v>
      </c>
      <c r="V63" s="35" t="str">
        <f>VLOOKUP(U63,Key!$E$2:$F$9,2,FALSE)</f>
        <v>Work</v>
      </c>
      <c r="W63" s="35" t="str">
        <f>Q63&amp;"-"&amp;V63</f>
        <v>Home-Work</v>
      </c>
      <c r="X63" s="51">
        <v>40000</v>
      </c>
      <c r="Y63" s="39">
        <v>250</v>
      </c>
      <c r="Z63" s="39">
        <v>6</v>
      </c>
      <c r="AA63" s="33">
        <v>6</v>
      </c>
      <c r="AB63" s="35" t="str">
        <f>VLOOKUP(AA63,Key!$C$20:$D$29,2,FALSE)</f>
        <v>Businessman</v>
      </c>
      <c r="AC63" s="33">
        <v>1</v>
      </c>
      <c r="AD63" s="35" t="str">
        <f>VLOOKUP(AC63,Key!$E$20:$F$24,2,FALSE)</f>
        <v>&lt;300,000</v>
      </c>
      <c r="AE63" s="33">
        <v>2</v>
      </c>
      <c r="AF63" s="39">
        <v>2</v>
      </c>
      <c r="AG63" s="39">
        <v>4</v>
      </c>
      <c r="AH63" s="39">
        <v>5</v>
      </c>
      <c r="AI63" s="39">
        <v>5</v>
      </c>
      <c r="AJ63" s="40" t="s">
        <v>160</v>
      </c>
      <c r="AK63" s="41">
        <v>0</v>
      </c>
      <c r="AL63" s="25"/>
      <c r="AM63" s="25"/>
    </row>
    <row r="64" spans="2:39" x14ac:dyDescent="0.2">
      <c r="B64" s="50" t="s">
        <v>163</v>
      </c>
      <c r="C64" s="36">
        <v>0.75624999999999998</v>
      </c>
      <c r="D64" s="36"/>
      <c r="E64" s="36" t="s">
        <v>164</v>
      </c>
      <c r="F64" s="38">
        <v>2</v>
      </c>
      <c r="G64" s="43" t="str">
        <f>VLOOKUP(F64,Key!$A$17:$B$21,2,FALSE)</f>
        <v>Road Vehicle</v>
      </c>
      <c r="H64" s="37">
        <v>6</v>
      </c>
      <c r="I64" s="44" t="s">
        <v>45</v>
      </c>
      <c r="J64" s="38" t="s">
        <v>165</v>
      </c>
      <c r="K64" s="38">
        <v>2</v>
      </c>
      <c r="L64" s="45" t="str">
        <f>VLOOKUP(K64,Key!$A$24:$B$29,2,FALSE)</f>
        <v>30-39</v>
      </c>
      <c r="M64" s="38" t="s">
        <v>211</v>
      </c>
      <c r="N64" s="33" t="s">
        <v>170</v>
      </c>
      <c r="O64" s="38" t="s">
        <v>159</v>
      </c>
      <c r="P64" s="40">
        <v>1</v>
      </c>
      <c r="Q64" s="35" t="str">
        <f>VLOOKUP(P64,Key!$E$2:$F$9,2,FALSE)</f>
        <v>Home</v>
      </c>
      <c r="R64" s="38" t="s">
        <v>213</v>
      </c>
      <c r="S64" s="33" t="s">
        <v>214</v>
      </c>
      <c r="T64" s="38" t="s">
        <v>159</v>
      </c>
      <c r="U64" s="33">
        <v>8</v>
      </c>
      <c r="V64" s="35" t="str">
        <f>VLOOKUP(U64,Key!$E$2:$F$9,2,FALSE)</f>
        <v>Others</v>
      </c>
      <c r="W64" s="35" t="str">
        <f>Q64&amp;"-"&amp;V64</f>
        <v>Home-Others</v>
      </c>
      <c r="X64" s="51">
        <v>40000</v>
      </c>
      <c r="Y64" s="39">
        <v>250</v>
      </c>
      <c r="Z64" s="39">
        <v>6</v>
      </c>
      <c r="AA64" s="33">
        <v>6</v>
      </c>
      <c r="AB64" s="35" t="str">
        <f>VLOOKUP(AA64,Key!$C$20:$D$29,2,FALSE)</f>
        <v>Businessman</v>
      </c>
      <c r="AC64" s="33">
        <v>1</v>
      </c>
      <c r="AD64" s="35" t="str">
        <f>VLOOKUP(AC64,Key!$E$20:$F$24,2,FALSE)</f>
        <v>&lt;300,000</v>
      </c>
      <c r="AE64" s="33">
        <v>2</v>
      </c>
      <c r="AF64" s="39">
        <v>2</v>
      </c>
      <c r="AG64" s="39">
        <v>2</v>
      </c>
      <c r="AH64" s="39">
        <v>2</v>
      </c>
      <c r="AI64" s="39">
        <v>2</v>
      </c>
      <c r="AJ64" s="40" t="s">
        <v>160</v>
      </c>
      <c r="AK64" s="41">
        <v>0</v>
      </c>
      <c r="AL64" s="25"/>
      <c r="AM64" s="25"/>
    </row>
    <row r="65" spans="2:39" x14ac:dyDescent="0.2">
      <c r="B65" s="50" t="s">
        <v>163</v>
      </c>
      <c r="C65" s="36">
        <v>0.7631944444444444</v>
      </c>
      <c r="D65" s="36"/>
      <c r="E65" s="36" t="s">
        <v>164</v>
      </c>
      <c r="F65" s="38">
        <v>2</v>
      </c>
      <c r="G65" s="43" t="str">
        <f>VLOOKUP(F65,Key!$A$17:$B$21,2,FALSE)</f>
        <v>Road Vehicle</v>
      </c>
      <c r="H65" s="37">
        <v>6</v>
      </c>
      <c r="I65" s="44" t="str">
        <f>VLOOKUP(H65,Key!$A$2:$B$13,2,FALSE)</f>
        <v>Large Bus</v>
      </c>
      <c r="J65" s="38" t="s">
        <v>165</v>
      </c>
      <c r="K65" s="38">
        <v>2</v>
      </c>
      <c r="L65" s="45" t="str">
        <f>VLOOKUP(K65,Key!$A$24:$B$29,2,FALSE)</f>
        <v>30-39</v>
      </c>
      <c r="M65" s="38" t="s">
        <v>211</v>
      </c>
      <c r="N65" s="33" t="s">
        <v>170</v>
      </c>
      <c r="O65" s="38" t="s">
        <v>159</v>
      </c>
      <c r="P65" s="40">
        <v>1</v>
      </c>
      <c r="Q65" s="35" t="str">
        <f>VLOOKUP(P65,Key!$E$2:$F$9,2,FALSE)</f>
        <v>Home</v>
      </c>
      <c r="R65" s="38" t="s">
        <v>215</v>
      </c>
      <c r="S65" s="33" t="s">
        <v>216</v>
      </c>
      <c r="T65" s="38" t="s">
        <v>159</v>
      </c>
      <c r="U65" s="33">
        <v>2</v>
      </c>
      <c r="V65" s="35" t="str">
        <f>VLOOKUP(U65,Key!$E$2:$F$9,2,FALSE)</f>
        <v>Work</v>
      </c>
      <c r="W65" s="35" t="str">
        <f>Q65&amp;"-"&amp;V65</f>
        <v>Home-Work</v>
      </c>
      <c r="X65" s="51">
        <v>40000</v>
      </c>
      <c r="Y65" s="39">
        <v>250</v>
      </c>
      <c r="Z65" s="39">
        <v>6</v>
      </c>
      <c r="AA65" s="33">
        <v>6</v>
      </c>
      <c r="AB65" s="35" t="str">
        <f>VLOOKUP(AA65,Key!$C$20:$D$29,2,FALSE)</f>
        <v>Businessman</v>
      </c>
      <c r="AC65" s="33">
        <v>1</v>
      </c>
      <c r="AD65" s="35" t="str">
        <f>VLOOKUP(AC65,Key!$E$20:$F$24,2,FALSE)</f>
        <v>&lt;300,000</v>
      </c>
      <c r="AE65" s="33">
        <v>5</v>
      </c>
      <c r="AF65" s="39">
        <v>4</v>
      </c>
      <c r="AG65" s="39">
        <v>4</v>
      </c>
      <c r="AH65" s="39">
        <v>5</v>
      </c>
      <c r="AI65" s="39">
        <v>5</v>
      </c>
      <c r="AJ65" s="40" t="s">
        <v>160</v>
      </c>
      <c r="AK65" s="41">
        <v>0</v>
      </c>
      <c r="AL65" s="25"/>
      <c r="AM65" s="25"/>
    </row>
    <row r="66" spans="2:39" x14ac:dyDescent="0.2">
      <c r="B66" s="50" t="s">
        <v>163</v>
      </c>
      <c r="C66" s="36">
        <v>0.73611111111111116</v>
      </c>
      <c r="D66" s="36"/>
      <c r="E66" s="36" t="s">
        <v>164</v>
      </c>
      <c r="F66" s="38">
        <v>2</v>
      </c>
      <c r="G66" s="43" t="str">
        <f>VLOOKUP(F66,Key!$A$17:$B$21,2,FALSE)</f>
        <v>Road Vehicle</v>
      </c>
      <c r="H66" s="37">
        <v>6</v>
      </c>
      <c r="I66" s="44" t="str">
        <f>VLOOKUP(H66,Key!$A$2:$B$13,2,FALSE)</f>
        <v>Large Bus</v>
      </c>
      <c r="J66" s="38" t="s">
        <v>165</v>
      </c>
      <c r="K66" s="38">
        <v>2</v>
      </c>
      <c r="L66" s="45" t="str">
        <f>VLOOKUP(K66,Key!$A$24:$B$29,2,FALSE)</f>
        <v>30-39</v>
      </c>
      <c r="M66" s="38" t="s">
        <v>204</v>
      </c>
      <c r="N66" s="33" t="s">
        <v>161</v>
      </c>
      <c r="O66" s="38" t="s">
        <v>159</v>
      </c>
      <c r="P66" s="40">
        <v>1</v>
      </c>
      <c r="Q66" s="35" t="str">
        <f>VLOOKUP(P66,Key!$E$2:$F$9,2,FALSE)</f>
        <v>Home</v>
      </c>
      <c r="R66" s="38" t="s">
        <v>219</v>
      </c>
      <c r="S66" s="33" t="s">
        <v>172</v>
      </c>
      <c r="T66" s="38" t="s">
        <v>159</v>
      </c>
      <c r="U66" s="33">
        <v>8</v>
      </c>
      <c r="V66" s="35" t="str">
        <f>VLOOKUP(U66,Key!$E$2:$F$9,2,FALSE)</f>
        <v>Others</v>
      </c>
      <c r="W66" s="35" t="str">
        <f>Q66&amp;"-"&amp;V66</f>
        <v>Home-Others</v>
      </c>
      <c r="X66" s="51">
        <v>40000</v>
      </c>
      <c r="Y66" s="39">
        <v>250</v>
      </c>
      <c r="Z66" s="39">
        <v>6</v>
      </c>
      <c r="AA66" s="33">
        <v>6</v>
      </c>
      <c r="AB66" s="35" t="str">
        <f>VLOOKUP(AA66,Key!$C$20:$D$29,2,FALSE)</f>
        <v>Businessman</v>
      </c>
      <c r="AC66" s="33">
        <v>1</v>
      </c>
      <c r="AD66" s="35" t="str">
        <f>VLOOKUP(AC66,Key!$E$20:$F$24,2,FALSE)</f>
        <v>&lt;300,000</v>
      </c>
      <c r="AE66" s="33">
        <v>2</v>
      </c>
      <c r="AF66" s="39">
        <v>2</v>
      </c>
      <c r="AG66" s="39">
        <v>2</v>
      </c>
      <c r="AH66" s="39">
        <v>2</v>
      </c>
      <c r="AI66" s="39">
        <v>2</v>
      </c>
      <c r="AJ66" s="40" t="s">
        <v>160</v>
      </c>
      <c r="AK66" s="41">
        <v>0</v>
      </c>
      <c r="AL66" s="25"/>
      <c r="AM66" s="25"/>
    </row>
    <row r="67" spans="2:39" x14ac:dyDescent="0.2">
      <c r="B67" s="50" t="s">
        <v>163</v>
      </c>
      <c r="C67" s="36">
        <v>0.73819444444444438</v>
      </c>
      <c r="D67" s="36"/>
      <c r="E67" s="36" t="s">
        <v>164</v>
      </c>
      <c r="F67" s="38">
        <v>2</v>
      </c>
      <c r="G67" s="43" t="str">
        <f>VLOOKUP(F67,Key!$A$17:$B$21,2,FALSE)</f>
        <v>Road Vehicle</v>
      </c>
      <c r="H67" s="37">
        <v>6</v>
      </c>
      <c r="I67" s="44" t="str">
        <f>VLOOKUP(H67,Key!$A$2:$B$13,2,FALSE)</f>
        <v>Large Bus</v>
      </c>
      <c r="J67" s="38" t="s">
        <v>165</v>
      </c>
      <c r="K67" s="38">
        <v>2</v>
      </c>
      <c r="L67" s="45" t="str">
        <f>VLOOKUP(K67,Key!$A$24:$B$29,2,FALSE)</f>
        <v>30-39</v>
      </c>
      <c r="M67" s="38" t="s">
        <v>204</v>
      </c>
      <c r="N67" s="33" t="s">
        <v>161</v>
      </c>
      <c r="O67" s="38" t="s">
        <v>159</v>
      </c>
      <c r="P67" s="40">
        <v>1</v>
      </c>
      <c r="Q67" s="35" t="str">
        <f>VLOOKUP(P67,Key!$E$2:$F$9,2,FALSE)</f>
        <v>Home</v>
      </c>
      <c r="R67" s="38" t="s">
        <v>220</v>
      </c>
      <c r="S67" s="33" t="s">
        <v>214</v>
      </c>
      <c r="T67" s="38" t="s">
        <v>159</v>
      </c>
      <c r="U67" s="33">
        <v>2</v>
      </c>
      <c r="V67" s="35" t="str">
        <f>VLOOKUP(U67,Key!$E$2:$F$9,2,FALSE)</f>
        <v>Work</v>
      </c>
      <c r="W67" s="35" t="str">
        <f>Q67&amp;"-"&amp;V67</f>
        <v>Home-Work</v>
      </c>
      <c r="X67" s="51">
        <v>40000</v>
      </c>
      <c r="Y67" s="39">
        <v>250</v>
      </c>
      <c r="Z67" s="39">
        <v>6</v>
      </c>
      <c r="AA67" s="33">
        <v>6</v>
      </c>
      <c r="AB67" s="35" t="str">
        <f>VLOOKUP(AA67,Key!$C$20:$D$29,2,FALSE)</f>
        <v>Businessman</v>
      </c>
      <c r="AC67" s="33">
        <v>1</v>
      </c>
      <c r="AD67" s="35" t="str">
        <f>VLOOKUP(AC67,Key!$E$20:$F$24,2,FALSE)</f>
        <v>&lt;300,000</v>
      </c>
      <c r="AE67" s="33">
        <v>5</v>
      </c>
      <c r="AF67" s="39">
        <v>4</v>
      </c>
      <c r="AG67" s="39">
        <v>5</v>
      </c>
      <c r="AH67" s="39">
        <v>2</v>
      </c>
      <c r="AI67" s="39">
        <v>5</v>
      </c>
      <c r="AJ67" s="40" t="s">
        <v>160</v>
      </c>
      <c r="AK67" s="41">
        <v>0</v>
      </c>
      <c r="AL67" s="25"/>
      <c r="AM67" s="25"/>
    </row>
    <row r="68" spans="2:39" x14ac:dyDescent="0.2">
      <c r="B68" s="50" t="s">
        <v>163</v>
      </c>
      <c r="C68" s="36">
        <v>0.72569444444444453</v>
      </c>
      <c r="D68" s="36"/>
      <c r="E68" s="36" t="s">
        <v>164</v>
      </c>
      <c r="F68" s="38">
        <v>2</v>
      </c>
      <c r="G68" s="43" t="str">
        <f>VLOOKUP(F68,Key!$A$17:$B$21,2,FALSE)</f>
        <v>Road Vehicle</v>
      </c>
      <c r="H68" s="37">
        <v>6</v>
      </c>
      <c r="I68" s="44" t="str">
        <f>VLOOKUP(H68,Key!$A$2:$B$13,2,FALSE)</f>
        <v>Large Bus</v>
      </c>
      <c r="J68" s="38" t="s">
        <v>165</v>
      </c>
      <c r="K68" s="38">
        <v>2</v>
      </c>
      <c r="L68" s="45" t="str">
        <f>VLOOKUP(K68,Key!$A$24:$B$29,2,FALSE)</f>
        <v>30-39</v>
      </c>
      <c r="M68" s="38" t="s">
        <v>217</v>
      </c>
      <c r="N68" s="33" t="s">
        <v>217</v>
      </c>
      <c r="O68" s="38" t="s">
        <v>159</v>
      </c>
      <c r="P68" s="40">
        <v>1</v>
      </c>
      <c r="Q68" s="35" t="str">
        <f>VLOOKUP(P68,Key!$E$2:$F$9,2,FALSE)</f>
        <v>Home</v>
      </c>
      <c r="R68" s="38" t="s">
        <v>221</v>
      </c>
      <c r="S68" s="33" t="s">
        <v>216</v>
      </c>
      <c r="T68" s="38" t="s">
        <v>159</v>
      </c>
      <c r="U68" s="33">
        <v>2</v>
      </c>
      <c r="V68" s="35" t="str">
        <f>VLOOKUP(U68,Key!$E$2:$F$9,2,FALSE)</f>
        <v>Work</v>
      </c>
      <c r="W68" s="35" t="str">
        <f>Q68&amp;"-"&amp;V68</f>
        <v>Home-Work</v>
      </c>
      <c r="X68" s="51">
        <v>50000</v>
      </c>
      <c r="Y68" s="39">
        <v>300</v>
      </c>
      <c r="Z68" s="39">
        <v>7</v>
      </c>
      <c r="AA68" s="33">
        <v>6</v>
      </c>
      <c r="AB68" s="35" t="str">
        <f>VLOOKUP(AA68,Key!$C$20:$D$29,2,FALSE)</f>
        <v>Businessman</v>
      </c>
      <c r="AC68" s="33">
        <v>1</v>
      </c>
      <c r="AD68" s="35" t="str">
        <f>VLOOKUP(AC68,Key!$E$20:$F$24,2,FALSE)</f>
        <v>&lt;300,000</v>
      </c>
      <c r="AE68" s="33">
        <v>5</v>
      </c>
      <c r="AF68" s="39">
        <v>4</v>
      </c>
      <c r="AG68" s="39">
        <v>2</v>
      </c>
      <c r="AH68" s="39">
        <v>2</v>
      </c>
      <c r="AI68" s="39">
        <v>1</v>
      </c>
      <c r="AJ68" s="40" t="s">
        <v>160</v>
      </c>
      <c r="AK68" s="41">
        <v>0</v>
      </c>
      <c r="AL68" s="25"/>
      <c r="AM68" s="25"/>
    </row>
    <row r="69" spans="2:39" x14ac:dyDescent="0.2">
      <c r="B69" s="50" t="s">
        <v>163</v>
      </c>
      <c r="C69" s="36">
        <v>0.72083333333333333</v>
      </c>
      <c r="D69" s="36"/>
      <c r="E69" s="36" t="s">
        <v>164</v>
      </c>
      <c r="F69" s="38">
        <v>2</v>
      </c>
      <c r="G69" s="43" t="str">
        <f>VLOOKUP(F69,Key!$A$17:$B$21,2,FALSE)</f>
        <v>Road Vehicle</v>
      </c>
      <c r="H69" s="37">
        <v>6</v>
      </c>
      <c r="I69" s="44" t="str">
        <f>VLOOKUP(H69,Key!$A$2:$B$13,2,FALSE)</f>
        <v>Large Bus</v>
      </c>
      <c r="J69" s="38" t="s">
        <v>165</v>
      </c>
      <c r="K69" s="38">
        <v>2</v>
      </c>
      <c r="L69" s="45" t="str">
        <f>VLOOKUP(K69,Key!$A$24:$B$29,2,FALSE)</f>
        <v>30-39</v>
      </c>
      <c r="M69" s="38" t="s">
        <v>217</v>
      </c>
      <c r="N69" s="33" t="s">
        <v>217</v>
      </c>
      <c r="O69" s="38" t="s">
        <v>35</v>
      </c>
      <c r="P69" s="40">
        <v>2</v>
      </c>
      <c r="Q69" s="35" t="str">
        <f>VLOOKUP(P69,Key!$E$2:$F$9,2,FALSE)</f>
        <v>Work</v>
      </c>
      <c r="R69" s="38" t="s">
        <v>224</v>
      </c>
      <c r="S69" s="33" t="s">
        <v>172</v>
      </c>
      <c r="T69" s="38" t="s">
        <v>159</v>
      </c>
      <c r="U69" s="33">
        <v>8</v>
      </c>
      <c r="V69" s="35" t="str">
        <f>VLOOKUP(U69,Key!$E$2:$F$9,2,FALSE)</f>
        <v>Others</v>
      </c>
      <c r="W69" s="35" t="str">
        <f>Q69&amp;"-"&amp;V69</f>
        <v>Work-Others</v>
      </c>
      <c r="X69" s="51">
        <v>50000</v>
      </c>
      <c r="Y69" s="39">
        <v>300</v>
      </c>
      <c r="Z69" s="39">
        <v>7</v>
      </c>
      <c r="AA69" s="33">
        <v>6</v>
      </c>
      <c r="AB69" s="35" t="str">
        <f>VLOOKUP(AA69,Key!$C$20:$D$29,2,FALSE)</f>
        <v>Businessman</v>
      </c>
      <c r="AC69" s="33">
        <v>1</v>
      </c>
      <c r="AD69" s="35" t="str">
        <f>VLOOKUP(AC69,Key!$E$20:$F$24,2,FALSE)</f>
        <v>&lt;300,000</v>
      </c>
      <c r="AE69" s="33">
        <v>5</v>
      </c>
      <c r="AF69" s="39">
        <v>4</v>
      </c>
      <c r="AG69" s="39">
        <v>2</v>
      </c>
      <c r="AH69" s="39">
        <v>2</v>
      </c>
      <c r="AI69" s="39">
        <v>1</v>
      </c>
      <c r="AJ69" s="40" t="s">
        <v>160</v>
      </c>
      <c r="AK69" s="41">
        <v>0</v>
      </c>
      <c r="AL69" s="25"/>
      <c r="AM69" s="25"/>
    </row>
    <row r="70" spans="2:39" x14ac:dyDescent="0.2">
      <c r="B70" s="50" t="s">
        <v>163</v>
      </c>
      <c r="C70" s="36">
        <v>0.65486111111111112</v>
      </c>
      <c r="D70" s="36"/>
      <c r="E70" s="36" t="s">
        <v>164</v>
      </c>
      <c r="F70" s="38">
        <v>2</v>
      </c>
      <c r="G70" s="43" t="str">
        <f>VLOOKUP(F70,Key!$A$17:$B$21,2,FALSE)</f>
        <v>Road Vehicle</v>
      </c>
      <c r="H70" s="37">
        <v>6</v>
      </c>
      <c r="I70" s="44" t="str">
        <f>VLOOKUP(H70,Key!$A$2:$B$13,2,FALSE)</f>
        <v>Large Bus</v>
      </c>
      <c r="J70" s="38" t="s">
        <v>165</v>
      </c>
      <c r="K70" s="38">
        <v>2</v>
      </c>
      <c r="L70" s="45" t="str">
        <f>VLOOKUP(K70,Key!$A$24:$B$29,2,FALSE)</f>
        <v>30-39</v>
      </c>
      <c r="M70" s="38" t="s">
        <v>217</v>
      </c>
      <c r="N70" s="33" t="s">
        <v>217</v>
      </c>
      <c r="O70" s="38" t="s">
        <v>35</v>
      </c>
      <c r="P70" s="40">
        <v>2</v>
      </c>
      <c r="Q70" s="35" t="str">
        <f>VLOOKUP(P70,Key!$E$2:$F$9,2,FALSE)</f>
        <v>Work</v>
      </c>
      <c r="R70" s="38" t="s">
        <v>220</v>
      </c>
      <c r="S70" s="33" t="s">
        <v>214</v>
      </c>
      <c r="T70" s="38" t="s">
        <v>159</v>
      </c>
      <c r="U70" s="33">
        <v>3</v>
      </c>
      <c r="V70" s="35" t="str">
        <f>VLOOKUP(U70,Key!$E$2:$F$9,2,FALSE)</f>
        <v>Study</v>
      </c>
      <c r="W70" s="35" t="str">
        <f>Q70&amp;"-"&amp;V70</f>
        <v>Work-Study</v>
      </c>
      <c r="X70" s="51">
        <v>50000</v>
      </c>
      <c r="Y70" s="39">
        <v>300</v>
      </c>
      <c r="Z70" s="39">
        <v>6</v>
      </c>
      <c r="AA70" s="33">
        <v>6</v>
      </c>
      <c r="AB70" s="35" t="str">
        <f>VLOOKUP(AA70,Key!$C$20:$D$29,2,FALSE)</f>
        <v>Businessman</v>
      </c>
      <c r="AC70" s="33">
        <v>1</v>
      </c>
      <c r="AD70" s="35" t="str">
        <f>VLOOKUP(AC70,Key!$E$20:$F$24,2,FALSE)</f>
        <v>&lt;300,000</v>
      </c>
      <c r="AE70" s="33">
        <v>5</v>
      </c>
      <c r="AF70" s="39">
        <v>5</v>
      </c>
      <c r="AG70" s="39">
        <v>5</v>
      </c>
      <c r="AH70" s="39">
        <v>1</v>
      </c>
      <c r="AI70" s="39">
        <v>1</v>
      </c>
      <c r="AJ70" s="40" t="s">
        <v>160</v>
      </c>
      <c r="AK70" s="41">
        <v>0</v>
      </c>
      <c r="AL70" s="25"/>
      <c r="AM70" s="25"/>
    </row>
    <row r="71" spans="2:39" x14ac:dyDescent="0.2">
      <c r="B71" s="50" t="s">
        <v>163</v>
      </c>
      <c r="C71" s="36">
        <v>0.6479166666666667</v>
      </c>
      <c r="D71" s="36"/>
      <c r="E71" s="36" t="s">
        <v>164</v>
      </c>
      <c r="F71" s="38">
        <v>2</v>
      </c>
      <c r="G71" s="43" t="str">
        <f>VLOOKUP(F71,Key!$A$17:$B$21,2,FALSE)</f>
        <v>Road Vehicle</v>
      </c>
      <c r="H71" s="37">
        <v>6</v>
      </c>
      <c r="I71" s="44" t="str">
        <f>VLOOKUP(H71,Key!$A$2:$B$13,2,FALSE)</f>
        <v>Large Bus</v>
      </c>
      <c r="J71" s="38" t="s">
        <v>165</v>
      </c>
      <c r="K71" s="38">
        <v>2</v>
      </c>
      <c r="L71" s="45" t="str">
        <f>VLOOKUP(K71,Key!$A$24:$B$29,2,FALSE)</f>
        <v>30-39</v>
      </c>
      <c r="M71" s="38" t="s">
        <v>217</v>
      </c>
      <c r="N71" s="33" t="s">
        <v>217</v>
      </c>
      <c r="O71" s="38" t="s">
        <v>35</v>
      </c>
      <c r="P71" s="40">
        <v>2</v>
      </c>
      <c r="Q71" s="35" t="str">
        <f>VLOOKUP(P71,Key!$E$2:$F$9,2,FALSE)</f>
        <v>Work</v>
      </c>
      <c r="R71" s="38" t="s">
        <v>225</v>
      </c>
      <c r="S71" s="33" t="s">
        <v>172</v>
      </c>
      <c r="T71" s="38" t="s">
        <v>159</v>
      </c>
      <c r="U71" s="33">
        <v>3</v>
      </c>
      <c r="V71" s="35" t="str">
        <f>VLOOKUP(U71,Key!$E$2:$F$9,2,FALSE)</f>
        <v>Study</v>
      </c>
      <c r="W71" s="35" t="str">
        <f>Q71&amp;"-"&amp;V71</f>
        <v>Work-Study</v>
      </c>
      <c r="X71" s="51">
        <v>50000</v>
      </c>
      <c r="Y71" s="39">
        <v>3000</v>
      </c>
      <c r="Z71" s="39">
        <v>7</v>
      </c>
      <c r="AA71" s="33">
        <v>8</v>
      </c>
      <c r="AB71" s="35" t="str">
        <f>VLOOKUP(AA71,Key!$C$20:$D$29,2,FALSE)</f>
        <v>Student</v>
      </c>
      <c r="AC71" s="33">
        <v>1</v>
      </c>
      <c r="AD71" s="35" t="str">
        <f>VLOOKUP(AC71,Key!$E$20:$F$24,2,FALSE)</f>
        <v>&lt;300,000</v>
      </c>
      <c r="AE71" s="33">
        <v>2</v>
      </c>
      <c r="AF71" s="39">
        <v>4</v>
      </c>
      <c r="AG71" s="39">
        <v>1</v>
      </c>
      <c r="AH71" s="39">
        <v>2</v>
      </c>
      <c r="AI71" s="39">
        <v>1</v>
      </c>
      <c r="AJ71" s="40" t="s">
        <v>160</v>
      </c>
      <c r="AK71" s="41">
        <v>0</v>
      </c>
      <c r="AL71" s="25"/>
      <c r="AM71" s="25"/>
    </row>
    <row r="72" spans="2:39" x14ac:dyDescent="0.2">
      <c r="B72" s="50" t="s">
        <v>163</v>
      </c>
      <c r="C72" s="36">
        <v>0.66736111111111107</v>
      </c>
      <c r="D72" s="36"/>
      <c r="E72" s="36" t="s">
        <v>164</v>
      </c>
      <c r="F72" s="38">
        <v>2</v>
      </c>
      <c r="G72" s="43" t="str">
        <f>VLOOKUP(F72,Key!$A$17:$B$21,2,FALSE)</f>
        <v>Road Vehicle</v>
      </c>
      <c r="H72" s="37">
        <v>6</v>
      </c>
      <c r="I72" s="44" t="str">
        <f>VLOOKUP(H72,Key!$A$2:$B$13,2,FALSE)</f>
        <v>Large Bus</v>
      </c>
      <c r="J72" s="38" t="s">
        <v>165</v>
      </c>
      <c r="K72" s="38">
        <v>2</v>
      </c>
      <c r="L72" s="45" t="str">
        <f>VLOOKUP(K72,Key!$A$24:$B$29,2,FALSE)</f>
        <v>30-39</v>
      </c>
      <c r="M72" s="38" t="s">
        <v>211</v>
      </c>
      <c r="N72" s="33" t="s">
        <v>170</v>
      </c>
      <c r="O72" s="38" t="s">
        <v>159</v>
      </c>
      <c r="P72" s="40">
        <v>2</v>
      </c>
      <c r="Q72" s="35" t="str">
        <f>VLOOKUP(P72,Key!$E$2:$F$9,2,FALSE)</f>
        <v>Work</v>
      </c>
      <c r="R72" s="38" t="s">
        <v>171</v>
      </c>
      <c r="S72" s="33" t="s">
        <v>172</v>
      </c>
      <c r="T72" s="38" t="s">
        <v>159</v>
      </c>
      <c r="U72" s="33">
        <v>1</v>
      </c>
      <c r="V72" s="35" t="str">
        <f>VLOOKUP(U72,Key!$E$2:$F$9,2,FALSE)</f>
        <v>Home</v>
      </c>
      <c r="W72" s="35" t="str">
        <f>Q72&amp;"-"&amp;V72</f>
        <v>Work-Home</v>
      </c>
      <c r="X72" s="51">
        <v>40000</v>
      </c>
      <c r="Y72" s="39">
        <v>250</v>
      </c>
      <c r="Z72" s="39">
        <v>6</v>
      </c>
      <c r="AA72" s="33">
        <v>6</v>
      </c>
      <c r="AB72" s="35" t="str">
        <f>VLOOKUP(AA72,Key!$C$20:$D$29,2,FALSE)</f>
        <v>Businessman</v>
      </c>
      <c r="AC72" s="33">
        <v>1</v>
      </c>
      <c r="AD72" s="35" t="str">
        <f>VLOOKUP(AC72,Key!$E$20:$F$24,2,FALSE)</f>
        <v>&lt;300,000</v>
      </c>
      <c r="AE72" s="33">
        <v>5</v>
      </c>
      <c r="AF72" s="39">
        <v>4</v>
      </c>
      <c r="AG72" s="39">
        <v>2</v>
      </c>
      <c r="AH72" s="39">
        <v>2</v>
      </c>
      <c r="AI72" s="39">
        <v>2</v>
      </c>
      <c r="AJ72" s="40" t="s">
        <v>160</v>
      </c>
      <c r="AK72" s="41">
        <v>0</v>
      </c>
      <c r="AL72" s="25"/>
      <c r="AM72" s="25"/>
    </row>
    <row r="73" spans="2:39" x14ac:dyDescent="0.2">
      <c r="B73" s="50" t="s">
        <v>163</v>
      </c>
      <c r="C73" s="36">
        <v>0.75208333333333333</v>
      </c>
      <c r="D73" s="36"/>
      <c r="E73" s="36" t="s">
        <v>164</v>
      </c>
      <c r="F73" s="38">
        <v>2</v>
      </c>
      <c r="G73" s="43" t="str">
        <f>VLOOKUP(F73,Key!$A$17:$B$21,2,FALSE)</f>
        <v>Road Vehicle</v>
      </c>
      <c r="H73" s="37">
        <v>6</v>
      </c>
      <c r="I73" s="44" t="str">
        <f>VLOOKUP(H73,Key!$A$2:$B$13,2,FALSE)</f>
        <v>Large Bus</v>
      </c>
      <c r="J73" s="38" t="s">
        <v>165</v>
      </c>
      <c r="K73" s="38">
        <v>2</v>
      </c>
      <c r="L73" s="45" t="str">
        <f>VLOOKUP(K73,Key!$A$24:$B$29,2,FALSE)</f>
        <v>30-39</v>
      </c>
      <c r="M73" s="38" t="s">
        <v>169</v>
      </c>
      <c r="N73" s="33" t="s">
        <v>170</v>
      </c>
      <c r="O73" s="38" t="s">
        <v>159</v>
      </c>
      <c r="P73" s="40">
        <v>1</v>
      </c>
      <c r="Q73" s="35" t="str">
        <f>VLOOKUP(P73,Key!$E$2:$F$9,2,FALSE)</f>
        <v>Home</v>
      </c>
      <c r="R73" s="38" t="s">
        <v>185</v>
      </c>
      <c r="S73" s="33" t="s">
        <v>186</v>
      </c>
      <c r="T73" s="38" t="s">
        <v>159</v>
      </c>
      <c r="U73" s="33">
        <v>4</v>
      </c>
      <c r="V73" s="35" t="str">
        <f>VLOOKUP(U73,Key!$E$2:$F$9,2,FALSE)</f>
        <v>Commercial</v>
      </c>
      <c r="W73" s="35" t="str">
        <f>Q73&amp;"-"&amp;V73</f>
        <v>Home-Commercial</v>
      </c>
      <c r="X73" s="51">
        <v>25000</v>
      </c>
      <c r="Y73" s="39">
        <v>240</v>
      </c>
      <c r="Z73" s="39">
        <v>3</v>
      </c>
      <c r="AA73" s="33">
        <v>6</v>
      </c>
      <c r="AB73" s="35" t="str">
        <f>VLOOKUP(AA73,Key!$C$20:$D$29,2,FALSE)</f>
        <v>Businessman</v>
      </c>
      <c r="AC73" s="33">
        <v>2</v>
      </c>
      <c r="AD73" s="35" t="str">
        <f>VLOOKUP(AC73,Key!$E$20:$F$24,2,FALSE)</f>
        <v>300,000-500,000</v>
      </c>
      <c r="AE73" s="33">
        <v>1</v>
      </c>
      <c r="AF73" s="39">
        <v>1</v>
      </c>
      <c r="AG73" s="39">
        <v>1</v>
      </c>
      <c r="AH73" s="39">
        <v>1</v>
      </c>
      <c r="AI73" s="39">
        <v>5</v>
      </c>
      <c r="AJ73" s="40" t="s">
        <v>160</v>
      </c>
      <c r="AK73" s="41">
        <v>2000</v>
      </c>
      <c r="AL73" s="25"/>
      <c r="AM73" s="25"/>
    </row>
    <row r="74" spans="2:39" x14ac:dyDescent="0.2">
      <c r="B74" s="50" t="s">
        <v>239</v>
      </c>
      <c r="C74" s="36">
        <v>0.47152777777777777</v>
      </c>
      <c r="D74" s="36" t="s">
        <v>264</v>
      </c>
      <c r="E74" s="36" t="s">
        <v>173</v>
      </c>
      <c r="F74" s="38">
        <v>2</v>
      </c>
      <c r="G74" s="43" t="str">
        <f>VLOOKUP(F74,Key!$A$17:$B$21,2,FALSE)</f>
        <v>Road Vehicle</v>
      </c>
      <c r="H74" s="37">
        <v>6</v>
      </c>
      <c r="I74" s="44" t="str">
        <f>VLOOKUP(H74,Key!$A$2:$B$13,2,FALSE)</f>
        <v>Large Bus</v>
      </c>
      <c r="J74" s="38" t="s">
        <v>165</v>
      </c>
      <c r="K74" s="38">
        <v>2</v>
      </c>
      <c r="L74" s="45" t="str">
        <f>VLOOKUP(K74,Key!$A$24:$B$29,2,FALSE)</f>
        <v>30-39</v>
      </c>
      <c r="M74" s="38" t="s">
        <v>265</v>
      </c>
      <c r="N74" s="33" t="s">
        <v>161</v>
      </c>
      <c r="O74" s="38" t="s">
        <v>159</v>
      </c>
      <c r="P74" s="40">
        <v>1</v>
      </c>
      <c r="Q74" s="35" t="str">
        <f>VLOOKUP(P74,Key!$E$2:$F$9,2,FALSE)</f>
        <v>Home</v>
      </c>
      <c r="R74" s="38" t="s">
        <v>168</v>
      </c>
      <c r="S74" s="33" t="s">
        <v>161</v>
      </c>
      <c r="T74" s="38" t="s">
        <v>159</v>
      </c>
      <c r="U74" s="33">
        <v>2</v>
      </c>
      <c r="V74" s="35" t="str">
        <f>VLOOKUP(U74,Key!$E$2:$F$9,2,FALSE)</f>
        <v>Work</v>
      </c>
      <c r="W74" s="35" t="str">
        <f>Q74&amp;"-"&amp;V74</f>
        <v>Home-Work</v>
      </c>
      <c r="X74" s="51">
        <v>30000</v>
      </c>
      <c r="Y74" s="39">
        <v>40</v>
      </c>
      <c r="Z74" s="39">
        <v>0.33</v>
      </c>
      <c r="AA74" s="33">
        <v>4</v>
      </c>
      <c r="AB74" s="35" t="str">
        <f>VLOOKUP(AA74,Key!$C$20:$D$29,2,FALSE)</f>
        <v>Office Worker</v>
      </c>
      <c r="AC74" s="33">
        <v>3</v>
      </c>
      <c r="AD74" s="35" t="str">
        <f>VLOOKUP(AC74,Key!$E$20:$F$24,2,FALSE)</f>
        <v>500,000-750,000</v>
      </c>
      <c r="AE74" s="33">
        <v>1</v>
      </c>
      <c r="AF74" s="39">
        <v>1</v>
      </c>
      <c r="AG74" s="39">
        <v>1</v>
      </c>
      <c r="AH74" s="39">
        <v>5</v>
      </c>
      <c r="AI74" s="39">
        <v>5</v>
      </c>
      <c r="AJ74" s="40" t="s">
        <v>160</v>
      </c>
      <c r="AK74" s="41">
        <v>1000</v>
      </c>
      <c r="AL74" s="25"/>
      <c r="AM74" s="25"/>
    </row>
    <row r="75" spans="2:39" x14ac:dyDescent="0.2">
      <c r="B75" s="50" t="s">
        <v>239</v>
      </c>
      <c r="C75" s="36">
        <v>0.57638888888888895</v>
      </c>
      <c r="D75" s="36"/>
      <c r="E75" s="36" t="s">
        <v>164</v>
      </c>
      <c r="F75" s="38">
        <v>2</v>
      </c>
      <c r="G75" s="43" t="str">
        <f>VLOOKUP(F75,Key!$A$17:$B$21,2,FALSE)</f>
        <v>Road Vehicle</v>
      </c>
      <c r="H75" s="37">
        <v>6</v>
      </c>
      <c r="I75" s="44" t="str">
        <f>VLOOKUP(H75,Key!$A$2:$B$13,2,FALSE)</f>
        <v>Large Bus</v>
      </c>
      <c r="J75" s="38" t="s">
        <v>165</v>
      </c>
      <c r="K75" s="38">
        <v>2</v>
      </c>
      <c r="L75" s="45" t="str">
        <f>VLOOKUP(K75,Key!$A$24:$B$29,2,FALSE)</f>
        <v>30-39</v>
      </c>
      <c r="M75" s="38" t="s">
        <v>362</v>
      </c>
      <c r="N75" s="33" t="s">
        <v>245</v>
      </c>
      <c r="O75" s="38" t="s">
        <v>159</v>
      </c>
      <c r="P75" s="40">
        <v>1</v>
      </c>
      <c r="Q75" s="35" t="str">
        <f>VLOOKUP(P75,Key!$E$2:$F$9,2,FALSE)</f>
        <v>Home</v>
      </c>
      <c r="R75" s="38" t="s">
        <v>290</v>
      </c>
      <c r="S75" s="33" t="s">
        <v>172</v>
      </c>
      <c r="T75" s="38" t="s">
        <v>159</v>
      </c>
      <c r="U75" s="33">
        <v>2</v>
      </c>
      <c r="V75" s="35" t="str">
        <f>VLOOKUP(U75,Key!$E$2:$F$9,2,FALSE)</f>
        <v>Work</v>
      </c>
      <c r="W75" s="35" t="str">
        <f>Q75&amp;"-"&amp;V75</f>
        <v>Home-Work</v>
      </c>
      <c r="X75" s="51">
        <v>30000</v>
      </c>
      <c r="Y75" s="39">
        <v>150</v>
      </c>
      <c r="Z75" s="39">
        <v>4</v>
      </c>
      <c r="AA75" s="33">
        <v>6</v>
      </c>
      <c r="AB75" s="35" t="str">
        <f>VLOOKUP(AA75,Key!$C$20:$D$29,2,FALSE)</f>
        <v>Businessman</v>
      </c>
      <c r="AC75" s="33">
        <v>1</v>
      </c>
      <c r="AD75" s="35" t="str">
        <f>VLOOKUP(AC75,Key!$E$20:$F$24,2,FALSE)</f>
        <v>&lt;300,000</v>
      </c>
      <c r="AE75" s="33">
        <v>5</v>
      </c>
      <c r="AF75" s="39">
        <v>5</v>
      </c>
      <c r="AG75" s="39">
        <v>5</v>
      </c>
      <c r="AH75" s="39">
        <v>5</v>
      </c>
      <c r="AI75" s="39">
        <v>5</v>
      </c>
      <c r="AJ75" s="40" t="s">
        <v>160</v>
      </c>
      <c r="AK75" s="41">
        <v>0</v>
      </c>
      <c r="AL75" s="25"/>
      <c r="AM75" s="25"/>
    </row>
    <row r="76" spans="2:39" x14ac:dyDescent="0.2">
      <c r="B76" s="50" t="s">
        <v>239</v>
      </c>
      <c r="C76" s="36">
        <v>0.55763888888888891</v>
      </c>
      <c r="D76" s="36"/>
      <c r="E76" s="36" t="s">
        <v>164</v>
      </c>
      <c r="F76" s="38">
        <v>2</v>
      </c>
      <c r="G76" s="43" t="str">
        <f>VLOOKUP(F76,Key!$A$17:$B$21,2,FALSE)</f>
        <v>Road Vehicle</v>
      </c>
      <c r="H76" s="37">
        <v>6</v>
      </c>
      <c r="I76" s="44" t="str">
        <f>VLOOKUP(H76,Key!$A$2:$B$13,2,FALSE)</f>
        <v>Large Bus</v>
      </c>
      <c r="J76" s="38" t="s">
        <v>165</v>
      </c>
      <c r="K76" s="38">
        <v>2</v>
      </c>
      <c r="L76" s="45" t="str">
        <f>VLOOKUP(K76,Key!$A$24:$B$29,2,FALSE)</f>
        <v>30-39</v>
      </c>
      <c r="M76" s="38" t="s">
        <v>362</v>
      </c>
      <c r="N76" s="33" t="s">
        <v>245</v>
      </c>
      <c r="O76" s="38" t="s">
        <v>159</v>
      </c>
      <c r="P76" s="40">
        <v>1</v>
      </c>
      <c r="Q76" s="35" t="str">
        <f>VLOOKUP(P76,Key!$E$2:$F$9,2,FALSE)</f>
        <v>Home</v>
      </c>
      <c r="R76" s="38" t="s">
        <v>292</v>
      </c>
      <c r="S76" s="33" t="s">
        <v>216</v>
      </c>
      <c r="T76" s="38" t="s">
        <v>159</v>
      </c>
      <c r="U76" s="33">
        <v>8</v>
      </c>
      <c r="V76" s="35" t="str">
        <f>VLOOKUP(U76,Key!$E$2:$F$9,2,FALSE)</f>
        <v>Others</v>
      </c>
      <c r="W76" s="35" t="str">
        <f>Q76&amp;"-"&amp;V76</f>
        <v>Home-Others</v>
      </c>
      <c r="X76" s="51">
        <v>30000</v>
      </c>
      <c r="Y76" s="39">
        <v>150</v>
      </c>
      <c r="Z76" s="39">
        <v>4</v>
      </c>
      <c r="AA76" s="33">
        <v>10</v>
      </c>
      <c r="AB76" s="35" t="str">
        <f>VLOOKUP(AA76,Key!$C$20:$D$29,2,FALSE)</f>
        <v>Other</v>
      </c>
      <c r="AC76" s="33">
        <v>1</v>
      </c>
      <c r="AD76" s="35" t="str">
        <f>VLOOKUP(AC76,Key!$E$20:$F$24,2,FALSE)</f>
        <v>&lt;300,000</v>
      </c>
      <c r="AE76" s="33">
        <v>5</v>
      </c>
      <c r="AF76" s="39">
        <v>5</v>
      </c>
      <c r="AG76" s="39">
        <v>5</v>
      </c>
      <c r="AH76" s="39">
        <v>1</v>
      </c>
      <c r="AI76" s="39">
        <v>2</v>
      </c>
      <c r="AJ76" s="40" t="s">
        <v>160</v>
      </c>
      <c r="AK76" s="41">
        <v>0</v>
      </c>
      <c r="AL76" s="25"/>
      <c r="AM76" s="25"/>
    </row>
    <row r="77" spans="2:39" x14ac:dyDescent="0.2">
      <c r="B77" s="50" t="s">
        <v>239</v>
      </c>
      <c r="C77" s="36">
        <v>0.52777777777777779</v>
      </c>
      <c r="D77" s="36"/>
      <c r="E77" s="36" t="s">
        <v>164</v>
      </c>
      <c r="F77" s="38">
        <v>2</v>
      </c>
      <c r="G77" s="43" t="str">
        <f>VLOOKUP(F77,Key!$A$17:$B$21,2,FALSE)</f>
        <v>Road Vehicle</v>
      </c>
      <c r="H77" s="37">
        <v>6</v>
      </c>
      <c r="I77" s="44" t="str">
        <f>VLOOKUP(H77,Key!$A$2:$B$13,2,FALSE)</f>
        <v>Large Bus</v>
      </c>
      <c r="J77" s="38" t="s">
        <v>165</v>
      </c>
      <c r="K77" s="38">
        <v>2</v>
      </c>
      <c r="L77" s="45" t="str">
        <f>VLOOKUP(K77,Key!$A$24:$B$29,2,FALSE)</f>
        <v>30-39</v>
      </c>
      <c r="M77" s="38" t="s">
        <v>168</v>
      </c>
      <c r="N77" s="33" t="s">
        <v>161</v>
      </c>
      <c r="O77" s="38" t="s">
        <v>159</v>
      </c>
      <c r="P77" s="40">
        <v>1</v>
      </c>
      <c r="Q77" s="35" t="str">
        <f>VLOOKUP(P77,Key!$E$2:$F$9,2,FALSE)</f>
        <v>Home</v>
      </c>
      <c r="R77" s="38" t="s">
        <v>175</v>
      </c>
      <c r="S77" s="33" t="s">
        <v>193</v>
      </c>
      <c r="T77" s="38" t="s">
        <v>159</v>
      </c>
      <c r="U77" s="33">
        <v>2</v>
      </c>
      <c r="V77" s="35" t="str">
        <f>VLOOKUP(U77,Key!$E$2:$F$9,2,FALSE)</f>
        <v>Work</v>
      </c>
      <c r="W77" s="35" t="str">
        <f>Q77&amp;"-"&amp;V77</f>
        <v>Home-Work</v>
      </c>
      <c r="X77" s="51">
        <v>20000</v>
      </c>
      <c r="Y77" s="39">
        <v>270</v>
      </c>
      <c r="Z77" s="39">
        <v>3</v>
      </c>
      <c r="AA77" s="33">
        <v>6</v>
      </c>
      <c r="AB77" s="35" t="s">
        <v>136</v>
      </c>
      <c r="AC77" s="33">
        <v>1</v>
      </c>
      <c r="AD77" s="35" t="str">
        <f>VLOOKUP(AC77,Key!$E$20:$F$24,2,FALSE)</f>
        <v>&lt;300,000</v>
      </c>
      <c r="AE77" s="33">
        <v>2</v>
      </c>
      <c r="AF77" s="39">
        <v>2</v>
      </c>
      <c r="AG77" s="39">
        <v>2</v>
      </c>
      <c r="AH77" s="39">
        <v>2</v>
      </c>
      <c r="AI77" s="39">
        <v>2</v>
      </c>
      <c r="AJ77" s="40" t="s">
        <v>160</v>
      </c>
      <c r="AK77" s="41">
        <v>0</v>
      </c>
      <c r="AL77" s="25"/>
      <c r="AM77" s="25"/>
    </row>
    <row r="78" spans="2:39" x14ac:dyDescent="0.2">
      <c r="B78" s="50" t="s">
        <v>239</v>
      </c>
      <c r="C78" s="36">
        <v>0.53611111111111109</v>
      </c>
      <c r="D78" s="36"/>
      <c r="E78" s="36" t="s">
        <v>164</v>
      </c>
      <c r="F78" s="38">
        <v>2</v>
      </c>
      <c r="G78" s="43" t="str">
        <f>VLOOKUP(F78,Key!$A$17:$B$21,2,FALSE)</f>
        <v>Road Vehicle</v>
      </c>
      <c r="H78" s="37">
        <v>6</v>
      </c>
      <c r="I78" s="44" t="str">
        <f>VLOOKUP(H78,Key!$A$2:$B$13,2,FALSE)</f>
        <v>Large Bus</v>
      </c>
      <c r="J78" s="38" t="s">
        <v>165</v>
      </c>
      <c r="K78" s="38">
        <v>2</v>
      </c>
      <c r="L78" s="45" t="str">
        <f>VLOOKUP(K78,Key!$A$24:$B$29,2,FALSE)</f>
        <v>30-39</v>
      </c>
      <c r="M78" s="38" t="s">
        <v>168</v>
      </c>
      <c r="N78" s="33" t="s">
        <v>161</v>
      </c>
      <c r="O78" s="38" t="s">
        <v>159</v>
      </c>
      <c r="P78" s="40">
        <v>2</v>
      </c>
      <c r="Q78" s="35" t="str">
        <f>VLOOKUP(P78,Key!$E$2:$F$9,2,FALSE)</f>
        <v>Work</v>
      </c>
      <c r="R78" s="38" t="s">
        <v>293</v>
      </c>
      <c r="S78" s="33" t="s">
        <v>193</v>
      </c>
      <c r="T78" s="38" t="s">
        <v>159</v>
      </c>
      <c r="U78" s="33">
        <v>1</v>
      </c>
      <c r="V78" s="35" t="str">
        <f>VLOOKUP(U78,Key!$E$2:$F$9,2,FALSE)</f>
        <v>Home</v>
      </c>
      <c r="W78" s="35" t="str">
        <f>Q78&amp;"-"&amp;V78</f>
        <v>Work-Home</v>
      </c>
      <c r="X78" s="51">
        <v>20000</v>
      </c>
      <c r="Y78" s="39">
        <v>270</v>
      </c>
      <c r="Z78" s="39">
        <v>3</v>
      </c>
      <c r="AA78" s="33">
        <v>6</v>
      </c>
      <c r="AB78" s="35" t="str">
        <f>VLOOKUP(AA78,Key!$C$20:$D$29,2,FALSE)</f>
        <v>Businessman</v>
      </c>
      <c r="AC78" s="33">
        <v>1</v>
      </c>
      <c r="AD78" s="35" t="str">
        <f>VLOOKUP(AC78,Key!$E$20:$F$24,2,FALSE)</f>
        <v>&lt;300,000</v>
      </c>
      <c r="AE78" s="33">
        <v>5</v>
      </c>
      <c r="AF78" s="39">
        <v>4</v>
      </c>
      <c r="AG78" s="39">
        <v>2</v>
      </c>
      <c r="AH78" s="39">
        <v>2</v>
      </c>
      <c r="AI78" s="39">
        <v>2</v>
      </c>
      <c r="AJ78" s="40" t="s">
        <v>160</v>
      </c>
      <c r="AK78" s="41">
        <v>0</v>
      </c>
      <c r="AL78" s="25"/>
      <c r="AM78" s="25"/>
    </row>
    <row r="79" spans="2:39" x14ac:dyDescent="0.2">
      <c r="B79" s="50" t="s">
        <v>239</v>
      </c>
      <c r="C79" s="36">
        <v>0.51944444444444449</v>
      </c>
      <c r="D79" s="36"/>
      <c r="E79" s="36" t="s">
        <v>164</v>
      </c>
      <c r="F79" s="38">
        <v>2</v>
      </c>
      <c r="G79" s="43" t="str">
        <f>VLOOKUP(F79,Key!$A$17:$B$21,2,FALSE)</f>
        <v>Road Vehicle</v>
      </c>
      <c r="H79" s="37">
        <v>6</v>
      </c>
      <c r="I79" s="44" t="str">
        <f>VLOOKUP(H79,Key!$A$2:$B$13,2,FALSE)</f>
        <v>Large Bus</v>
      </c>
      <c r="J79" s="38" t="s">
        <v>165</v>
      </c>
      <c r="K79" s="38">
        <v>2</v>
      </c>
      <c r="L79" s="45" t="str">
        <f>VLOOKUP(K79,Key!$A$24:$B$29,2,FALSE)</f>
        <v>30-39</v>
      </c>
      <c r="M79" s="38" t="s">
        <v>168</v>
      </c>
      <c r="N79" s="33" t="s">
        <v>161</v>
      </c>
      <c r="O79" s="38" t="s">
        <v>159</v>
      </c>
      <c r="P79" s="40">
        <v>2</v>
      </c>
      <c r="Q79" s="35" t="str">
        <f>VLOOKUP(P79,Key!$E$2:$F$9,2,FALSE)</f>
        <v>Work</v>
      </c>
      <c r="R79" s="38" t="s">
        <v>294</v>
      </c>
      <c r="S79" s="33" t="s">
        <v>295</v>
      </c>
      <c r="T79" s="38" t="s">
        <v>159</v>
      </c>
      <c r="U79" s="33">
        <v>1</v>
      </c>
      <c r="V79" s="35" t="str">
        <f>VLOOKUP(U79,Key!$E$2:$F$9,2,FALSE)</f>
        <v>Home</v>
      </c>
      <c r="W79" s="35" t="str">
        <f>Q79&amp;"-"&amp;V79</f>
        <v>Work-Home</v>
      </c>
      <c r="X79" s="51">
        <v>20000</v>
      </c>
      <c r="Y79" s="39">
        <v>260</v>
      </c>
      <c r="Z79" s="39">
        <v>3</v>
      </c>
      <c r="AA79" s="33">
        <v>6</v>
      </c>
      <c r="AB79" s="35" t="str">
        <f>VLOOKUP(AA79,Key!$C$20:$D$29,2,FALSE)</f>
        <v>Businessman</v>
      </c>
      <c r="AC79" s="33">
        <v>1</v>
      </c>
      <c r="AD79" s="35" t="str">
        <f>VLOOKUP(AC79,Key!$E$20:$F$24,2,FALSE)</f>
        <v>&lt;300,000</v>
      </c>
      <c r="AE79" s="33">
        <v>5</v>
      </c>
      <c r="AF79" s="39">
        <v>4</v>
      </c>
      <c r="AG79" s="39">
        <v>5</v>
      </c>
      <c r="AH79" s="39">
        <v>1</v>
      </c>
      <c r="AI79" s="39">
        <v>5</v>
      </c>
      <c r="AJ79" s="40" t="s">
        <v>160</v>
      </c>
      <c r="AK79" s="41">
        <v>0</v>
      </c>
      <c r="AL79" s="25"/>
      <c r="AM79" s="25"/>
    </row>
    <row r="80" spans="2:39" x14ac:dyDescent="0.2">
      <c r="B80" s="50" t="s">
        <v>239</v>
      </c>
      <c r="C80" s="36">
        <v>0.50624999999999998</v>
      </c>
      <c r="D80" s="36"/>
      <c r="E80" s="36" t="s">
        <v>164</v>
      </c>
      <c r="F80" s="38">
        <v>2</v>
      </c>
      <c r="G80" s="43" t="str">
        <f>VLOOKUP(F80,Key!$A$17:$B$21,2,FALSE)</f>
        <v>Road Vehicle</v>
      </c>
      <c r="H80" s="37">
        <v>6</v>
      </c>
      <c r="I80" s="44" t="str">
        <f>VLOOKUP(H80,Key!$A$2:$B$13,2,FALSE)</f>
        <v>Large Bus</v>
      </c>
      <c r="J80" s="38" t="s">
        <v>165</v>
      </c>
      <c r="K80" s="38">
        <v>2</v>
      </c>
      <c r="L80" s="45" t="str">
        <f>VLOOKUP(K80,Key!$A$24:$B$29,2,FALSE)</f>
        <v>30-39</v>
      </c>
      <c r="M80" s="38" t="s">
        <v>168</v>
      </c>
      <c r="N80" s="33" t="s">
        <v>161</v>
      </c>
      <c r="O80" s="38" t="s">
        <v>159</v>
      </c>
      <c r="P80" s="40">
        <v>1</v>
      </c>
      <c r="Q80" s="35" t="str">
        <f>VLOOKUP(P80,Key!$E$2:$F$9,2,FALSE)</f>
        <v>Home</v>
      </c>
      <c r="R80" s="38" t="s">
        <v>298</v>
      </c>
      <c r="S80" s="33" t="s">
        <v>172</v>
      </c>
      <c r="T80" s="38" t="s">
        <v>159</v>
      </c>
      <c r="U80" s="33">
        <v>2</v>
      </c>
      <c r="V80" s="35" t="str">
        <f>VLOOKUP(U80,Key!$E$2:$F$9,2,FALSE)</f>
        <v>Work</v>
      </c>
      <c r="W80" s="35" t="str">
        <f>Q80&amp;"-"&amp;V80</f>
        <v>Home-Work</v>
      </c>
      <c r="X80" s="51">
        <v>30000</v>
      </c>
      <c r="Y80" s="39">
        <v>390</v>
      </c>
      <c r="Z80" s="39">
        <v>4.5</v>
      </c>
      <c r="AA80" s="33">
        <v>6</v>
      </c>
      <c r="AB80" s="35" t="str">
        <f>VLOOKUP(AA80,Key!$C$20:$D$29,2,FALSE)</f>
        <v>Businessman</v>
      </c>
      <c r="AC80" s="33">
        <v>1</v>
      </c>
      <c r="AD80" s="35" t="str">
        <f>VLOOKUP(AC80,Key!$E$20:$F$24,2,FALSE)</f>
        <v>&lt;300,000</v>
      </c>
      <c r="AE80" s="33">
        <v>2</v>
      </c>
      <c r="AF80" s="39">
        <v>2</v>
      </c>
      <c r="AG80" s="39">
        <v>4</v>
      </c>
      <c r="AH80" s="39">
        <v>2</v>
      </c>
      <c r="AI80" s="39">
        <v>1</v>
      </c>
      <c r="AJ80" s="40" t="s">
        <v>160</v>
      </c>
      <c r="AK80" s="41">
        <v>0</v>
      </c>
      <c r="AL80" s="25"/>
      <c r="AM80" s="25"/>
    </row>
    <row r="81" spans="2:39" x14ac:dyDescent="0.2">
      <c r="B81" s="50" t="s">
        <v>239</v>
      </c>
      <c r="C81" s="36">
        <v>0.48958333333333331</v>
      </c>
      <c r="D81" s="36"/>
      <c r="E81" s="36" t="s">
        <v>164</v>
      </c>
      <c r="F81" s="38">
        <v>2</v>
      </c>
      <c r="G81" s="43" t="str">
        <f>VLOOKUP(F81,Key!$A$17:$B$21,2,FALSE)</f>
        <v>Road Vehicle</v>
      </c>
      <c r="H81" s="37">
        <v>6</v>
      </c>
      <c r="I81" s="44" t="str">
        <f>VLOOKUP(H81,Key!$A$2:$B$13,2,FALSE)</f>
        <v>Large Bus</v>
      </c>
      <c r="J81" s="38" t="s">
        <v>165</v>
      </c>
      <c r="K81" s="38">
        <v>2</v>
      </c>
      <c r="L81" s="45" t="str">
        <f>VLOOKUP(K81,Key!$A$24:$B$29,2,FALSE)</f>
        <v>30-39</v>
      </c>
      <c r="M81" s="38" t="s">
        <v>168</v>
      </c>
      <c r="N81" s="33" t="s">
        <v>161</v>
      </c>
      <c r="O81" s="38" t="s">
        <v>159</v>
      </c>
      <c r="P81" s="40">
        <v>1</v>
      </c>
      <c r="Q81" s="35" t="str">
        <f>VLOOKUP(P81,Key!$E$2:$F$9,2,FALSE)</f>
        <v>Home</v>
      </c>
      <c r="R81" s="38" t="s">
        <v>300</v>
      </c>
      <c r="S81" s="33" t="s">
        <v>216</v>
      </c>
      <c r="T81" s="38" t="s">
        <v>159</v>
      </c>
      <c r="U81" s="33">
        <v>2</v>
      </c>
      <c r="V81" s="35" t="str">
        <f>VLOOKUP(U81,Key!$E$2:$F$9,2,FALSE)</f>
        <v>Work</v>
      </c>
      <c r="W81" s="35" t="str">
        <f>Q81&amp;"-"&amp;V81</f>
        <v>Home-Work</v>
      </c>
      <c r="X81" s="51">
        <v>30000</v>
      </c>
      <c r="Y81" s="39">
        <v>390</v>
      </c>
      <c r="Z81" s="39">
        <v>4.5</v>
      </c>
      <c r="AA81" s="33">
        <v>6</v>
      </c>
      <c r="AB81" s="35" t="str">
        <f>VLOOKUP(AA81,Key!$C$20:$D$29,2,FALSE)</f>
        <v>Businessman</v>
      </c>
      <c r="AC81" s="33">
        <v>1</v>
      </c>
      <c r="AD81" s="35" t="str">
        <f>VLOOKUP(AC81,Key!$E$20:$F$24,2,FALSE)</f>
        <v>&lt;300,000</v>
      </c>
      <c r="AE81" s="33">
        <v>5</v>
      </c>
      <c r="AF81" s="39">
        <v>4</v>
      </c>
      <c r="AG81" s="39">
        <v>5</v>
      </c>
      <c r="AH81" s="39">
        <v>2</v>
      </c>
      <c r="AI81" s="39">
        <v>5</v>
      </c>
      <c r="AJ81" s="40" t="s">
        <v>160</v>
      </c>
      <c r="AK81" s="41">
        <v>0</v>
      </c>
      <c r="AL81" s="25"/>
      <c r="AM81" s="25"/>
    </row>
    <row r="82" spans="2:39" x14ac:dyDescent="0.2">
      <c r="B82" s="50" t="s">
        <v>239</v>
      </c>
      <c r="C82" s="36">
        <v>0.47222222222222227</v>
      </c>
      <c r="D82" s="36"/>
      <c r="E82" s="36" t="s">
        <v>164</v>
      </c>
      <c r="F82" s="38">
        <v>2</v>
      </c>
      <c r="G82" s="43" t="str">
        <f>VLOOKUP(F82,Key!$A$17:$B$21,2,FALSE)</f>
        <v>Road Vehicle</v>
      </c>
      <c r="H82" s="37">
        <v>6</v>
      </c>
      <c r="I82" s="44" t="str">
        <f>VLOOKUP(H82,Key!$A$2:$B$13,2,FALSE)</f>
        <v>Large Bus</v>
      </c>
      <c r="J82" s="38" t="s">
        <v>165</v>
      </c>
      <c r="K82" s="38">
        <v>2</v>
      </c>
      <c r="L82" s="45" t="str">
        <f>VLOOKUP(K82,Key!$A$24:$B$29,2,FALSE)</f>
        <v>30-39</v>
      </c>
      <c r="M82" s="38" t="s">
        <v>168</v>
      </c>
      <c r="N82" s="33" t="s">
        <v>161</v>
      </c>
      <c r="O82" s="38" t="s">
        <v>159</v>
      </c>
      <c r="P82" s="40">
        <v>2</v>
      </c>
      <c r="Q82" s="35" t="str">
        <f>VLOOKUP(P82,Key!$E$2:$F$9,2,FALSE)</f>
        <v>Work</v>
      </c>
      <c r="R82" s="38" t="s">
        <v>301</v>
      </c>
      <c r="S82" s="33" t="s">
        <v>303</v>
      </c>
      <c r="T82" s="38" t="s">
        <v>159</v>
      </c>
      <c r="U82" s="33">
        <v>1</v>
      </c>
      <c r="V82" s="35" t="str">
        <f>VLOOKUP(U82,Key!$E$2:$F$9,2,FALSE)</f>
        <v>Home</v>
      </c>
      <c r="W82" s="35" t="str">
        <f>Q82&amp;"-"&amp;V82</f>
        <v>Work-Home</v>
      </c>
      <c r="X82" s="51">
        <v>10000</v>
      </c>
      <c r="Y82" s="39">
        <v>90</v>
      </c>
      <c r="Z82" s="39">
        <v>2</v>
      </c>
      <c r="AA82" s="33">
        <v>6</v>
      </c>
      <c r="AB82" s="35" t="str">
        <f>VLOOKUP(AA82,Key!$C$20:$D$29,2,FALSE)</f>
        <v>Businessman</v>
      </c>
      <c r="AC82" s="33">
        <v>1</v>
      </c>
      <c r="AD82" s="35" t="str">
        <f>VLOOKUP(AC82,Key!$E$20:$F$24,2,FALSE)</f>
        <v>&lt;300,000</v>
      </c>
      <c r="AE82" s="33">
        <v>2</v>
      </c>
      <c r="AF82" s="39">
        <v>1</v>
      </c>
      <c r="AG82" s="39">
        <v>2</v>
      </c>
      <c r="AH82" s="39">
        <v>2</v>
      </c>
      <c r="AI82" s="39">
        <v>1</v>
      </c>
      <c r="AJ82" s="40" t="s">
        <v>160</v>
      </c>
      <c r="AK82" s="41">
        <v>0</v>
      </c>
      <c r="AL82" s="25"/>
      <c r="AM82" s="25"/>
    </row>
    <row r="83" spans="2:39" x14ac:dyDescent="0.2">
      <c r="B83" s="50" t="s">
        <v>239</v>
      </c>
      <c r="C83" s="36">
        <v>0.37152777777777773</v>
      </c>
      <c r="D83" s="36"/>
      <c r="E83" s="36" t="s">
        <v>164</v>
      </c>
      <c r="F83" s="38">
        <v>2</v>
      </c>
      <c r="G83" s="43" t="str">
        <f>VLOOKUP(F83,Key!$A$17:$B$21,2,FALSE)</f>
        <v>Road Vehicle</v>
      </c>
      <c r="H83" s="37">
        <v>6</v>
      </c>
      <c r="I83" s="44" t="str">
        <f>VLOOKUP(H83,Key!$A$2:$B$13,2,FALSE)</f>
        <v>Large Bus</v>
      </c>
      <c r="J83" s="38" t="s">
        <v>165</v>
      </c>
      <c r="K83" s="38">
        <v>2</v>
      </c>
      <c r="L83" s="45" t="str">
        <f>VLOOKUP(K83,Key!$A$24:$B$29,2,FALSE)</f>
        <v>30-39</v>
      </c>
      <c r="M83" s="38" t="s">
        <v>362</v>
      </c>
      <c r="N83" s="33" t="s">
        <v>245</v>
      </c>
      <c r="O83" s="38" t="s">
        <v>159</v>
      </c>
      <c r="P83" s="40">
        <v>1</v>
      </c>
      <c r="Q83" s="35" t="str">
        <f>VLOOKUP(P83,Key!$E$2:$F$9,2,FALSE)</f>
        <v>Home</v>
      </c>
      <c r="R83" s="38" t="s">
        <v>300</v>
      </c>
      <c r="S83" s="33" t="s">
        <v>216</v>
      </c>
      <c r="T83" s="38" t="s">
        <v>159</v>
      </c>
      <c r="U83" s="33">
        <v>2</v>
      </c>
      <c r="V83" s="35" t="str">
        <f>VLOOKUP(U83,Key!$E$2:$F$9,2,FALSE)</f>
        <v>Work</v>
      </c>
      <c r="W83" s="35" t="str">
        <f>Q83&amp;"-"&amp;V83</f>
        <v>Home-Work</v>
      </c>
      <c r="X83" s="51">
        <v>30000</v>
      </c>
      <c r="Y83" s="39">
        <v>150</v>
      </c>
      <c r="Z83" s="39">
        <v>4</v>
      </c>
      <c r="AA83" s="33">
        <v>6</v>
      </c>
      <c r="AB83" s="35" t="str">
        <f>VLOOKUP(AA83,Key!$C$20:$D$29,2,FALSE)</f>
        <v>Businessman</v>
      </c>
      <c r="AC83" s="33">
        <v>1</v>
      </c>
      <c r="AD83" s="35" t="str">
        <f>VLOOKUP(AC83,Key!$E$20:$F$24,2,FALSE)</f>
        <v>&lt;300,000</v>
      </c>
      <c r="AE83" s="33">
        <v>2</v>
      </c>
      <c r="AF83" s="39">
        <v>4</v>
      </c>
      <c r="AG83" s="39">
        <v>1</v>
      </c>
      <c r="AH83" s="39">
        <v>2</v>
      </c>
      <c r="AI83" s="39">
        <v>1</v>
      </c>
      <c r="AJ83" s="40" t="s">
        <v>160</v>
      </c>
      <c r="AK83" s="41">
        <v>0</v>
      </c>
      <c r="AL83" s="25"/>
      <c r="AM83" s="25"/>
    </row>
    <row r="84" spans="2:39" x14ac:dyDescent="0.2">
      <c r="B84" s="50" t="s">
        <v>239</v>
      </c>
      <c r="C84" s="36">
        <v>0.38125000000000003</v>
      </c>
      <c r="D84" s="36"/>
      <c r="E84" s="36" t="s">
        <v>164</v>
      </c>
      <c r="F84" s="38">
        <v>2</v>
      </c>
      <c r="G84" s="43" t="str">
        <f>VLOOKUP(F84,Key!$A$17:$B$21,2,FALSE)</f>
        <v>Road Vehicle</v>
      </c>
      <c r="H84" s="37">
        <v>6</v>
      </c>
      <c r="I84" s="44" t="str">
        <f>VLOOKUP(H84,Key!$A$2:$B$13,2,FALSE)</f>
        <v>Large Bus</v>
      </c>
      <c r="J84" s="38" t="s">
        <v>165</v>
      </c>
      <c r="K84" s="38">
        <v>2</v>
      </c>
      <c r="L84" s="45" t="str">
        <f>VLOOKUP(K84,Key!$A$24:$B$29,2,FALSE)</f>
        <v>30-39</v>
      </c>
      <c r="M84" s="38" t="s">
        <v>168</v>
      </c>
      <c r="N84" s="33" t="s">
        <v>161</v>
      </c>
      <c r="O84" s="38" t="s">
        <v>159</v>
      </c>
      <c r="P84" s="40">
        <v>1</v>
      </c>
      <c r="Q84" s="35" t="str">
        <f>VLOOKUP(P84,Key!$E$2:$F$9,2,FALSE)</f>
        <v>Home</v>
      </c>
      <c r="R84" s="38" t="s">
        <v>307</v>
      </c>
      <c r="S84" s="33" t="s">
        <v>193</v>
      </c>
      <c r="T84" s="38" t="s">
        <v>159</v>
      </c>
      <c r="U84" s="33">
        <v>2</v>
      </c>
      <c r="V84" s="35" t="str">
        <f>VLOOKUP(U84,Key!$E$2:$F$9,2,FALSE)</f>
        <v>Work</v>
      </c>
      <c r="W84" s="35" t="str">
        <f>Q84&amp;"-"&amp;V84</f>
        <v>Home-Work</v>
      </c>
      <c r="X84" s="51">
        <v>20000</v>
      </c>
      <c r="Y84" s="39">
        <v>270</v>
      </c>
      <c r="Z84" s="39">
        <v>3</v>
      </c>
      <c r="AA84" s="33">
        <v>6</v>
      </c>
      <c r="AB84" s="35" t="str">
        <f>VLOOKUP(AA84,Key!$C$20:$D$29,2,FALSE)</f>
        <v>Businessman</v>
      </c>
      <c r="AC84" s="33">
        <v>1</v>
      </c>
      <c r="AD84" s="35" t="str">
        <f>VLOOKUP(AC84,Key!$E$20:$F$24,2,FALSE)</f>
        <v>&lt;300,000</v>
      </c>
      <c r="AE84" s="33">
        <v>5</v>
      </c>
      <c r="AF84" s="39">
        <v>4</v>
      </c>
      <c r="AG84" s="39">
        <v>2</v>
      </c>
      <c r="AH84" s="39">
        <v>2</v>
      </c>
      <c r="AI84" s="39">
        <v>2</v>
      </c>
      <c r="AJ84" s="40" t="s">
        <v>160</v>
      </c>
      <c r="AK84" s="41">
        <v>0</v>
      </c>
      <c r="AL84" s="25"/>
      <c r="AM84" s="25"/>
    </row>
    <row r="85" spans="2:39" x14ac:dyDescent="0.2">
      <c r="B85" s="50" t="s">
        <v>239</v>
      </c>
      <c r="C85" s="36">
        <v>0.41041666666666665</v>
      </c>
      <c r="D85" s="36"/>
      <c r="E85" s="36" t="s">
        <v>164</v>
      </c>
      <c r="F85" s="38">
        <v>2</v>
      </c>
      <c r="G85" s="43" t="str">
        <f>VLOOKUP(F85,Key!$A$17:$B$21,2,FALSE)</f>
        <v>Road Vehicle</v>
      </c>
      <c r="H85" s="37">
        <v>6</v>
      </c>
      <c r="I85" s="44" t="str">
        <f>VLOOKUP(H85,Key!$A$2:$B$13,2,FALSE)</f>
        <v>Large Bus</v>
      </c>
      <c r="J85" s="38" t="s">
        <v>165</v>
      </c>
      <c r="K85" s="38">
        <v>2</v>
      </c>
      <c r="L85" s="45" t="str">
        <f>VLOOKUP(K85,Key!$A$24:$B$29,2,FALSE)</f>
        <v>30-39</v>
      </c>
      <c r="M85" s="38" t="s">
        <v>362</v>
      </c>
      <c r="N85" s="33" t="s">
        <v>245</v>
      </c>
      <c r="O85" s="38" t="s">
        <v>159</v>
      </c>
      <c r="P85" s="40">
        <v>1</v>
      </c>
      <c r="Q85" s="35" t="str">
        <f>VLOOKUP(P85,Key!$E$2:$F$9,2,FALSE)</f>
        <v>Home</v>
      </c>
      <c r="R85" s="38" t="s">
        <v>308</v>
      </c>
      <c r="S85" s="33" t="s">
        <v>216</v>
      </c>
      <c r="T85" s="38" t="s">
        <v>159</v>
      </c>
      <c r="U85" s="33">
        <v>2</v>
      </c>
      <c r="V85" s="35" t="str">
        <f>VLOOKUP(U85,Key!$E$2:$F$9,2,FALSE)</f>
        <v>Work</v>
      </c>
      <c r="W85" s="35" t="str">
        <f>Q85&amp;"-"&amp;V85</f>
        <v>Home-Work</v>
      </c>
      <c r="X85" s="51">
        <v>30000</v>
      </c>
      <c r="Y85" s="39">
        <v>150</v>
      </c>
      <c r="Z85" s="39">
        <v>4</v>
      </c>
      <c r="AA85" s="33">
        <v>6</v>
      </c>
      <c r="AB85" s="35" t="str">
        <f>VLOOKUP(AA85,Key!$C$20:$D$29,2,FALSE)</f>
        <v>Businessman</v>
      </c>
      <c r="AC85" s="33">
        <v>1</v>
      </c>
      <c r="AD85" s="35" t="str">
        <f>VLOOKUP(AC85,Key!$E$20:$F$24,2,FALSE)</f>
        <v>&lt;300,000</v>
      </c>
      <c r="AE85" s="33">
        <v>2</v>
      </c>
      <c r="AF85" s="39">
        <v>2</v>
      </c>
      <c r="AG85" s="39">
        <v>2</v>
      </c>
      <c r="AH85" s="39">
        <v>2</v>
      </c>
      <c r="AI85" s="39">
        <v>2</v>
      </c>
      <c r="AJ85" s="40" t="s">
        <v>160</v>
      </c>
      <c r="AK85" s="41">
        <v>0</v>
      </c>
      <c r="AL85" s="25"/>
      <c r="AM85" s="25"/>
    </row>
    <row r="86" spans="2:39" x14ac:dyDescent="0.2">
      <c r="B86" s="50" t="s">
        <v>239</v>
      </c>
      <c r="C86" s="36">
        <v>0.67499999999999993</v>
      </c>
      <c r="D86" s="36"/>
      <c r="E86" s="36" t="s">
        <v>164</v>
      </c>
      <c r="F86" s="38">
        <v>2</v>
      </c>
      <c r="G86" s="43" t="str">
        <f>VLOOKUP(F86,Key!$A$17:$B$21,2,FALSE)</f>
        <v>Road Vehicle</v>
      </c>
      <c r="H86" s="37">
        <v>6</v>
      </c>
      <c r="I86" s="44" t="str">
        <f>VLOOKUP(H86,Key!$A$2:$B$13,2,FALSE)</f>
        <v>Large Bus</v>
      </c>
      <c r="J86" s="38" t="s">
        <v>165</v>
      </c>
      <c r="K86" s="38">
        <v>2</v>
      </c>
      <c r="L86" s="45" t="str">
        <f>VLOOKUP(K86,Key!$A$24:$B$29,2,FALSE)</f>
        <v>30-39</v>
      </c>
      <c r="M86" s="38" t="s">
        <v>169</v>
      </c>
      <c r="N86" s="33" t="s">
        <v>170</v>
      </c>
      <c r="O86" s="38" t="s">
        <v>159</v>
      </c>
      <c r="P86" s="40">
        <v>1</v>
      </c>
      <c r="Q86" s="35" t="str">
        <f>VLOOKUP(P86,Key!$E$2:$F$9,2,FALSE)</f>
        <v>Home</v>
      </c>
      <c r="R86" s="38" t="s">
        <v>310</v>
      </c>
      <c r="S86" s="33" t="s">
        <v>216</v>
      </c>
      <c r="T86" s="38" t="s">
        <v>159</v>
      </c>
      <c r="U86" s="33">
        <v>2</v>
      </c>
      <c r="V86" s="35" t="str">
        <f>VLOOKUP(U86,Key!$E$2:$F$9,2,FALSE)</f>
        <v>Work</v>
      </c>
      <c r="W86" s="35" t="str">
        <f>Q86&amp;"-"&amp;V86</f>
        <v>Home-Work</v>
      </c>
      <c r="X86" s="51">
        <v>30000</v>
      </c>
      <c r="Y86" s="39">
        <v>200</v>
      </c>
      <c r="Z86" s="39">
        <v>4.5</v>
      </c>
      <c r="AA86" s="33">
        <v>6</v>
      </c>
      <c r="AB86" s="35" t="str">
        <f>VLOOKUP(AA86,Key!$C$20:$D$29,2,FALSE)</f>
        <v>Businessman</v>
      </c>
      <c r="AC86" s="33">
        <v>1</v>
      </c>
      <c r="AD86" s="35" t="str">
        <f>VLOOKUP(AC86,Key!$E$20:$F$24,2,FALSE)</f>
        <v>&lt;300,000</v>
      </c>
      <c r="AE86" s="33">
        <v>5</v>
      </c>
      <c r="AF86" s="39">
        <v>5</v>
      </c>
      <c r="AG86" s="39">
        <v>5</v>
      </c>
      <c r="AH86" s="39">
        <v>5</v>
      </c>
      <c r="AI86" s="39">
        <v>5</v>
      </c>
      <c r="AJ86" s="40" t="s">
        <v>160</v>
      </c>
      <c r="AK86" s="41">
        <v>0</v>
      </c>
      <c r="AL86" s="25"/>
      <c r="AM86" s="25"/>
    </row>
    <row r="87" spans="2:39" x14ac:dyDescent="0.2">
      <c r="B87" s="50" t="s">
        <v>239</v>
      </c>
      <c r="C87" s="36">
        <v>0.68055555555555547</v>
      </c>
      <c r="D87" s="36"/>
      <c r="E87" s="36" t="s">
        <v>164</v>
      </c>
      <c r="F87" s="38">
        <v>2</v>
      </c>
      <c r="G87" s="43" t="str">
        <f>VLOOKUP(F87,Key!$A$17:$B$21,2,FALSE)</f>
        <v>Road Vehicle</v>
      </c>
      <c r="H87" s="37">
        <v>6</v>
      </c>
      <c r="I87" s="44" t="str">
        <f>VLOOKUP(H87,Key!$A$2:$B$13,2,FALSE)</f>
        <v>Large Bus</v>
      </c>
      <c r="J87" s="38" t="s">
        <v>165</v>
      </c>
      <c r="K87" s="38">
        <v>2</v>
      </c>
      <c r="L87" s="45" t="str">
        <f>VLOOKUP(K87,Key!$A$24:$B$29,2,FALSE)</f>
        <v>30-39</v>
      </c>
      <c r="M87" s="38" t="s">
        <v>169</v>
      </c>
      <c r="N87" s="33" t="s">
        <v>170</v>
      </c>
      <c r="O87" s="38" t="s">
        <v>159</v>
      </c>
      <c r="P87" s="40">
        <v>1</v>
      </c>
      <c r="Q87" s="35" t="str">
        <f>VLOOKUP(P87,Key!$E$2:$F$9,2,FALSE)</f>
        <v>Home</v>
      </c>
      <c r="R87" s="38" t="s">
        <v>311</v>
      </c>
      <c r="S87" s="33" t="s">
        <v>172</v>
      </c>
      <c r="T87" s="38" t="s">
        <v>159</v>
      </c>
      <c r="U87" s="33">
        <v>8</v>
      </c>
      <c r="V87" s="35" t="str">
        <f>VLOOKUP(U87,Key!$E$2:$F$9,2,FALSE)</f>
        <v>Others</v>
      </c>
      <c r="W87" s="35" t="str">
        <f>Q87&amp;"-"&amp;V87</f>
        <v>Home-Others</v>
      </c>
      <c r="X87" s="51">
        <v>30000</v>
      </c>
      <c r="Y87" s="39">
        <v>200</v>
      </c>
      <c r="Z87" s="39">
        <v>4.5</v>
      </c>
      <c r="AA87" s="33">
        <v>6</v>
      </c>
      <c r="AB87" s="35" t="str">
        <f>VLOOKUP(AA87,Key!$C$20:$D$29,2,FALSE)</f>
        <v>Businessman</v>
      </c>
      <c r="AC87" s="33">
        <v>1</v>
      </c>
      <c r="AD87" s="35" t="str">
        <f>VLOOKUP(AC87,Key!$E$20:$F$24,2,FALSE)</f>
        <v>&lt;300,000</v>
      </c>
      <c r="AE87" s="33">
        <v>5</v>
      </c>
      <c r="AF87" s="39">
        <v>2</v>
      </c>
      <c r="AG87" s="39">
        <v>1</v>
      </c>
      <c r="AH87" s="39">
        <v>1</v>
      </c>
      <c r="AI87" s="39">
        <v>2</v>
      </c>
      <c r="AJ87" s="40" t="s">
        <v>160</v>
      </c>
      <c r="AK87" s="41">
        <v>0</v>
      </c>
      <c r="AL87" s="25"/>
      <c r="AM87" s="25"/>
    </row>
    <row r="88" spans="2:39" x14ac:dyDescent="0.2">
      <c r="B88" s="50" t="s">
        <v>239</v>
      </c>
      <c r="C88" s="36">
        <v>0.6166666666666667</v>
      </c>
      <c r="D88" s="36"/>
      <c r="E88" s="36" t="s">
        <v>164</v>
      </c>
      <c r="F88" s="38">
        <v>2</v>
      </c>
      <c r="G88" s="43" t="str">
        <f>VLOOKUP(F88,Key!$A$17:$B$21,2,FALSE)</f>
        <v>Road Vehicle</v>
      </c>
      <c r="H88" s="37">
        <v>6</v>
      </c>
      <c r="I88" s="44" t="str">
        <f>VLOOKUP(H88,Key!$A$2:$B$13,2,FALSE)</f>
        <v>Large Bus</v>
      </c>
      <c r="J88" s="38" t="s">
        <v>165</v>
      </c>
      <c r="K88" s="38">
        <v>2</v>
      </c>
      <c r="L88" s="45" t="str">
        <f>VLOOKUP(K88,Key!$A$24:$B$29,2,FALSE)</f>
        <v>30-39</v>
      </c>
      <c r="M88" s="38" t="s">
        <v>168</v>
      </c>
      <c r="N88" s="33" t="s">
        <v>161</v>
      </c>
      <c r="O88" s="38" t="s">
        <v>159</v>
      </c>
      <c r="P88" s="40">
        <v>1</v>
      </c>
      <c r="Q88" s="35" t="str">
        <f>VLOOKUP(P88,Key!$E$2:$F$9,2,FALSE)</f>
        <v>Home</v>
      </c>
      <c r="R88" s="38" t="s">
        <v>314</v>
      </c>
      <c r="S88" s="33" t="s">
        <v>315</v>
      </c>
      <c r="T88" s="38" t="s">
        <v>159</v>
      </c>
      <c r="U88" s="33">
        <v>2</v>
      </c>
      <c r="V88" s="35" t="str">
        <f>VLOOKUP(U88,Key!$E$2:$F$9,2,FALSE)</f>
        <v>Work</v>
      </c>
      <c r="W88" s="35" t="str">
        <f>Q88&amp;"-"&amp;V88</f>
        <v>Home-Work</v>
      </c>
      <c r="X88" s="51">
        <v>10000</v>
      </c>
      <c r="Y88" s="39">
        <v>90</v>
      </c>
      <c r="Z88" s="39">
        <v>2</v>
      </c>
      <c r="AA88" s="33">
        <v>6</v>
      </c>
      <c r="AB88" s="35" t="str">
        <f>VLOOKUP(AA88,Key!$C$20:$D$29,2,FALSE)</f>
        <v>Businessman</v>
      </c>
      <c r="AC88" s="33">
        <v>1</v>
      </c>
      <c r="AD88" s="35" t="str">
        <f>VLOOKUP(AC88,Key!$E$20:$F$24,2,FALSE)</f>
        <v>&lt;300,000</v>
      </c>
      <c r="AE88" s="33">
        <v>2</v>
      </c>
      <c r="AF88" s="39">
        <v>4</v>
      </c>
      <c r="AG88" s="39">
        <v>1</v>
      </c>
      <c r="AH88" s="39">
        <v>2</v>
      </c>
      <c r="AI88" s="39">
        <v>1</v>
      </c>
      <c r="AJ88" s="40" t="s">
        <v>160</v>
      </c>
      <c r="AK88" s="41">
        <v>0</v>
      </c>
      <c r="AL88" s="25"/>
      <c r="AM88" s="25"/>
    </row>
    <row r="89" spans="2:39" x14ac:dyDescent="0.2">
      <c r="B89" s="50" t="s">
        <v>239</v>
      </c>
      <c r="C89" s="36">
        <v>0.68611111111111101</v>
      </c>
      <c r="D89" s="36"/>
      <c r="E89" s="36" t="s">
        <v>164</v>
      </c>
      <c r="F89" s="38">
        <v>2</v>
      </c>
      <c r="G89" s="43" t="str">
        <f>VLOOKUP(F89,Key!$A$17:$B$21,2,FALSE)</f>
        <v>Road Vehicle</v>
      </c>
      <c r="H89" s="37">
        <v>6</v>
      </c>
      <c r="I89" s="44" t="str">
        <f>VLOOKUP(H89,Key!$A$2:$B$13,2,FALSE)</f>
        <v>Large Bus</v>
      </c>
      <c r="J89" s="38" t="s">
        <v>165</v>
      </c>
      <c r="K89" s="38">
        <v>2</v>
      </c>
      <c r="L89" s="45" t="str">
        <f>VLOOKUP(K89,Key!$A$24:$B$29,2,FALSE)</f>
        <v>30-39</v>
      </c>
      <c r="M89" s="38" t="s">
        <v>168</v>
      </c>
      <c r="N89" s="33" t="s">
        <v>161</v>
      </c>
      <c r="O89" s="38" t="s">
        <v>159</v>
      </c>
      <c r="P89" s="40">
        <v>2</v>
      </c>
      <c r="Q89" s="35" t="str">
        <f>VLOOKUP(P89,Key!$E$2:$F$9,2,FALSE)</f>
        <v>Work</v>
      </c>
      <c r="R89" s="38" t="s">
        <v>246</v>
      </c>
      <c r="S89" s="33" t="s">
        <v>247</v>
      </c>
      <c r="T89" s="38" t="s">
        <v>159</v>
      </c>
      <c r="U89" s="33">
        <v>8</v>
      </c>
      <c r="V89" s="35" t="str">
        <f>VLOOKUP(U89,Key!$E$2:$F$9,2,FALSE)</f>
        <v>Others</v>
      </c>
      <c r="W89" s="35" t="str">
        <f>Q89&amp;"-"&amp;V89</f>
        <v>Work-Others</v>
      </c>
      <c r="X89" s="51">
        <v>25000</v>
      </c>
      <c r="Y89" s="39">
        <v>330</v>
      </c>
      <c r="Z89" s="39">
        <v>4</v>
      </c>
      <c r="AA89" s="33">
        <v>6</v>
      </c>
      <c r="AB89" s="35" t="str">
        <f>VLOOKUP(AA89,Key!$C$20:$D$29,2,FALSE)</f>
        <v>Businessman</v>
      </c>
      <c r="AC89" s="33">
        <v>1</v>
      </c>
      <c r="AD89" s="35" t="str">
        <f>VLOOKUP(AC89,Key!$E$20:$F$24,2,FALSE)</f>
        <v>&lt;300,000</v>
      </c>
      <c r="AE89" s="33">
        <v>5</v>
      </c>
      <c r="AF89" s="39">
        <v>2</v>
      </c>
      <c r="AG89" s="39">
        <v>2</v>
      </c>
      <c r="AH89" s="39">
        <v>2</v>
      </c>
      <c r="AI89" s="39">
        <v>2</v>
      </c>
      <c r="AJ89" s="40" t="s">
        <v>160</v>
      </c>
      <c r="AK89" s="41">
        <v>0</v>
      </c>
      <c r="AL89" s="25"/>
      <c r="AM89" s="25"/>
    </row>
    <row r="90" spans="2:39" x14ac:dyDescent="0.2">
      <c r="B90" s="50" t="s">
        <v>239</v>
      </c>
      <c r="C90" s="36">
        <v>0.66666666666666663</v>
      </c>
      <c r="D90" s="36"/>
      <c r="E90" s="36" t="s">
        <v>164</v>
      </c>
      <c r="F90" s="38">
        <v>2</v>
      </c>
      <c r="G90" s="43" t="str">
        <f>VLOOKUP(F90,Key!$A$17:$B$21,2,FALSE)</f>
        <v>Road Vehicle</v>
      </c>
      <c r="H90" s="37">
        <v>6</v>
      </c>
      <c r="I90" s="44" t="str">
        <f>VLOOKUP(H90,Key!$A$2:$B$13,2,FALSE)</f>
        <v>Large Bus</v>
      </c>
      <c r="J90" s="38" t="s">
        <v>165</v>
      </c>
      <c r="K90" s="38">
        <v>2</v>
      </c>
      <c r="L90" s="45" t="str">
        <f>VLOOKUP(K90,Key!$A$24:$B$29,2,FALSE)</f>
        <v>30-39</v>
      </c>
      <c r="M90" s="38" t="s">
        <v>168</v>
      </c>
      <c r="N90" s="33" t="s">
        <v>161</v>
      </c>
      <c r="O90" s="38" t="s">
        <v>159</v>
      </c>
      <c r="P90" s="40">
        <v>1</v>
      </c>
      <c r="Q90" s="35" t="str">
        <f>VLOOKUP(P90,Key!$E$2:$F$9,2,FALSE)</f>
        <v>Home</v>
      </c>
      <c r="R90" s="38" t="s">
        <v>227</v>
      </c>
      <c r="S90" s="33" t="s">
        <v>228</v>
      </c>
      <c r="T90" s="38" t="s">
        <v>159</v>
      </c>
      <c r="U90" s="33">
        <v>2</v>
      </c>
      <c r="V90" s="35" t="str">
        <f>VLOOKUP(U90,Key!$E$2:$F$9,2,FALSE)</f>
        <v>Work</v>
      </c>
      <c r="W90" s="35" t="str">
        <f>Q90&amp;"-"&amp;V90</f>
        <v>Home-Work</v>
      </c>
      <c r="X90" s="51">
        <v>50000</v>
      </c>
      <c r="Y90" s="39">
        <v>800</v>
      </c>
      <c r="Z90" s="39">
        <v>12</v>
      </c>
      <c r="AA90" s="33">
        <v>6</v>
      </c>
      <c r="AB90" s="35" t="str">
        <f>VLOOKUP(AA90,Key!$C$20:$D$29,2,FALSE)</f>
        <v>Businessman</v>
      </c>
      <c r="AC90" s="33">
        <v>1</v>
      </c>
      <c r="AD90" s="35" t="str">
        <f>VLOOKUP(AC90,Key!$E$20:$F$24,2,FALSE)</f>
        <v>&lt;300,000</v>
      </c>
      <c r="AE90" s="33">
        <v>5</v>
      </c>
      <c r="AF90" s="39">
        <v>5</v>
      </c>
      <c r="AG90" s="39">
        <v>2</v>
      </c>
      <c r="AH90" s="39">
        <v>2</v>
      </c>
      <c r="AI90" s="39">
        <v>2</v>
      </c>
      <c r="AJ90" s="40" t="s">
        <v>160</v>
      </c>
      <c r="AK90" s="41">
        <v>0</v>
      </c>
      <c r="AL90" s="25"/>
      <c r="AM90" s="25"/>
    </row>
    <row r="91" spans="2:39" x14ac:dyDescent="0.2">
      <c r="B91" s="50" t="s">
        <v>239</v>
      </c>
      <c r="C91" s="36">
        <v>0.64444444444444449</v>
      </c>
      <c r="D91" s="36"/>
      <c r="E91" s="36" t="s">
        <v>164</v>
      </c>
      <c r="F91" s="38">
        <v>2</v>
      </c>
      <c r="G91" s="43" t="str">
        <f>VLOOKUP(F91,Key!$A$17:$B$21,2,FALSE)</f>
        <v>Road Vehicle</v>
      </c>
      <c r="H91" s="37">
        <v>6</v>
      </c>
      <c r="I91" s="44" t="str">
        <f>VLOOKUP(H91,Key!$A$2:$B$13,2,FALSE)</f>
        <v>Large Bus</v>
      </c>
      <c r="J91" s="38" t="s">
        <v>165</v>
      </c>
      <c r="K91" s="38">
        <v>2</v>
      </c>
      <c r="L91" s="45" t="str">
        <f>VLOOKUP(K91,Key!$A$24:$B$29,2,FALSE)</f>
        <v>30-39</v>
      </c>
      <c r="M91" s="38" t="s">
        <v>168</v>
      </c>
      <c r="N91" s="33" t="s">
        <v>161</v>
      </c>
      <c r="O91" s="38" t="s">
        <v>159</v>
      </c>
      <c r="P91" s="40">
        <v>2</v>
      </c>
      <c r="Q91" s="35" t="str">
        <f>VLOOKUP(P91,Key!$E$2:$F$9,2,FALSE)</f>
        <v>Work</v>
      </c>
      <c r="R91" s="38" t="s">
        <v>185</v>
      </c>
      <c r="S91" s="33" t="s">
        <v>186</v>
      </c>
      <c r="T91" s="38" t="s">
        <v>159</v>
      </c>
      <c r="U91" s="33">
        <v>1</v>
      </c>
      <c r="V91" s="35" t="str">
        <f>VLOOKUP(U91,Key!$E$2:$F$9,2,FALSE)</f>
        <v>Home</v>
      </c>
      <c r="W91" s="35" t="str">
        <f>Q91&amp;"-"&amp;V91</f>
        <v>Work-Home</v>
      </c>
      <c r="X91" s="51">
        <v>15000</v>
      </c>
      <c r="Y91" s="39">
        <v>135</v>
      </c>
      <c r="Z91" s="39">
        <v>2.5</v>
      </c>
      <c r="AA91" s="33">
        <v>6</v>
      </c>
      <c r="AB91" s="35" t="str">
        <f>VLOOKUP(AA91,Key!$C$20:$D$29,2,FALSE)</f>
        <v>Businessman</v>
      </c>
      <c r="AC91" s="33">
        <v>1</v>
      </c>
      <c r="AD91" s="35" t="str">
        <f>VLOOKUP(AC91,Key!$E$20:$F$24,2,FALSE)</f>
        <v>&lt;300,000</v>
      </c>
      <c r="AE91" s="33">
        <v>2</v>
      </c>
      <c r="AF91" s="39">
        <v>2</v>
      </c>
      <c r="AG91" s="39">
        <v>2</v>
      </c>
      <c r="AH91" s="39">
        <v>2</v>
      </c>
      <c r="AI91" s="39">
        <v>2</v>
      </c>
      <c r="AJ91" s="40" t="s">
        <v>160</v>
      </c>
      <c r="AK91" s="41">
        <v>0</v>
      </c>
      <c r="AL91" s="25"/>
      <c r="AM91" s="25"/>
    </row>
    <row r="92" spans="2:39" x14ac:dyDescent="0.2">
      <c r="B92" s="50" t="s">
        <v>321</v>
      </c>
      <c r="C92" s="36">
        <v>0.62430555555555556</v>
      </c>
      <c r="D92" s="36"/>
      <c r="E92" s="36" t="s">
        <v>164</v>
      </c>
      <c r="F92" s="38">
        <v>2</v>
      </c>
      <c r="G92" s="43" t="str">
        <f>VLOOKUP(F92,Key!$A$17:$B$21,2,FALSE)</f>
        <v>Road Vehicle</v>
      </c>
      <c r="H92" s="37">
        <v>6</v>
      </c>
      <c r="I92" s="44" t="str">
        <f>VLOOKUP(H92,Key!$A$2:$B$13,2,FALSE)</f>
        <v>Large Bus</v>
      </c>
      <c r="J92" s="38" t="s">
        <v>165</v>
      </c>
      <c r="K92" s="38">
        <v>2</v>
      </c>
      <c r="L92" s="45" t="str">
        <f>VLOOKUP(K92,Key!$A$24:$B$29,2,FALSE)</f>
        <v>30-39</v>
      </c>
      <c r="M92" s="38" t="s">
        <v>188</v>
      </c>
      <c r="N92" s="33" t="s">
        <v>161</v>
      </c>
      <c r="O92" s="38" t="s">
        <v>159</v>
      </c>
      <c r="P92" s="40">
        <v>2</v>
      </c>
      <c r="Q92" s="35" t="str">
        <f>VLOOKUP(P92,Key!$E$2:$F$9,2,FALSE)</f>
        <v>Work</v>
      </c>
      <c r="R92" s="38" t="s">
        <v>329</v>
      </c>
      <c r="S92" s="33" t="s">
        <v>172</v>
      </c>
      <c r="T92" s="38" t="s">
        <v>159</v>
      </c>
      <c r="U92" s="33">
        <v>1</v>
      </c>
      <c r="V92" s="35" t="str">
        <f>VLOOKUP(U92,Key!$E$2:$F$9,2,FALSE)</f>
        <v>Home</v>
      </c>
      <c r="W92" s="35" t="str">
        <f>Q92&amp;"-"&amp;V92</f>
        <v>Work-Home</v>
      </c>
      <c r="X92" s="51">
        <v>30000</v>
      </c>
      <c r="Y92" s="39">
        <v>120</v>
      </c>
      <c r="Z92" s="39">
        <v>2</v>
      </c>
      <c r="AA92" s="33">
        <v>6</v>
      </c>
      <c r="AB92" s="35" t="str">
        <f>VLOOKUP(AA92,Key!$C$20:$D$29,2,FALSE)</f>
        <v>Businessman</v>
      </c>
      <c r="AC92" s="33">
        <v>1</v>
      </c>
      <c r="AD92" s="35" t="str">
        <f>VLOOKUP(AC92,Key!$E$20:$F$24,2,FALSE)</f>
        <v>&lt;300,000</v>
      </c>
      <c r="AE92" s="33">
        <v>5</v>
      </c>
      <c r="AF92" s="39">
        <v>4</v>
      </c>
      <c r="AG92" s="39">
        <v>2</v>
      </c>
      <c r="AH92" s="39">
        <v>2</v>
      </c>
      <c r="AI92" s="39">
        <v>2</v>
      </c>
      <c r="AJ92" s="40" t="s">
        <v>160</v>
      </c>
      <c r="AK92" s="41">
        <v>0</v>
      </c>
      <c r="AL92" s="25"/>
      <c r="AM92" s="25"/>
    </row>
    <row r="93" spans="2:39" x14ac:dyDescent="0.2">
      <c r="B93" s="50" t="s">
        <v>321</v>
      </c>
      <c r="C93" s="36">
        <v>0.43055555555555558</v>
      </c>
      <c r="D93" s="36"/>
      <c r="E93" s="36" t="s">
        <v>164</v>
      </c>
      <c r="F93" s="38">
        <v>2</v>
      </c>
      <c r="G93" s="43" t="str">
        <f>VLOOKUP(F93,Key!$A$17:$B$21,2,FALSE)</f>
        <v>Road Vehicle</v>
      </c>
      <c r="H93" s="37">
        <v>6</v>
      </c>
      <c r="I93" s="44" t="str">
        <f>VLOOKUP(H93,Key!$A$2:$B$13,2,FALSE)</f>
        <v>Large Bus</v>
      </c>
      <c r="J93" s="38" t="s">
        <v>165</v>
      </c>
      <c r="K93" s="38">
        <v>2</v>
      </c>
      <c r="L93" s="45" t="str">
        <f>VLOOKUP(K93,Key!$A$24:$B$29,2,FALSE)</f>
        <v>30-39</v>
      </c>
      <c r="M93" s="38" t="s">
        <v>340</v>
      </c>
      <c r="N93" s="33" t="s">
        <v>341</v>
      </c>
      <c r="O93" s="38" t="s">
        <v>159</v>
      </c>
      <c r="P93" s="40">
        <v>2</v>
      </c>
      <c r="Q93" s="35" t="str">
        <f>VLOOKUP(P93,Key!$E$2:$F$9,2,FALSE)</f>
        <v>Work</v>
      </c>
      <c r="R93" s="38" t="s">
        <v>171</v>
      </c>
      <c r="S93" s="33" t="s">
        <v>172</v>
      </c>
      <c r="T93" s="38" t="s">
        <v>159</v>
      </c>
      <c r="U93" s="33">
        <v>1</v>
      </c>
      <c r="V93" s="35" t="str">
        <f>VLOOKUP(U93,Key!$E$2:$F$9,2,FALSE)</f>
        <v>Home</v>
      </c>
      <c r="W93" s="35" t="str">
        <f>Q93&amp;"-"&amp;V93</f>
        <v>Work-Home</v>
      </c>
      <c r="X93" s="51">
        <v>40000</v>
      </c>
      <c r="Y93" s="39">
        <v>340</v>
      </c>
      <c r="Z93" s="39">
        <v>6</v>
      </c>
      <c r="AA93" s="33">
        <v>6</v>
      </c>
      <c r="AB93" s="35" t="str">
        <f>VLOOKUP(AA93,Key!$C$20:$D$29,2,FALSE)</f>
        <v>Businessman</v>
      </c>
      <c r="AC93" s="33">
        <v>1</v>
      </c>
      <c r="AD93" s="35" t="str">
        <f>VLOOKUP(AC93,Key!$E$20:$F$24,2,FALSE)</f>
        <v>&lt;300,000</v>
      </c>
      <c r="AE93" s="33">
        <v>2</v>
      </c>
      <c r="AF93" s="39">
        <v>4</v>
      </c>
      <c r="AG93" s="39">
        <v>1</v>
      </c>
      <c r="AH93" s="39">
        <v>2</v>
      </c>
      <c r="AI93" s="39">
        <v>2</v>
      </c>
      <c r="AJ93" s="40" t="s">
        <v>160</v>
      </c>
      <c r="AK93" s="41">
        <v>0</v>
      </c>
      <c r="AL93" s="25"/>
      <c r="AM93" s="25"/>
    </row>
    <row r="94" spans="2:39" x14ac:dyDescent="0.2">
      <c r="B94" s="50" t="s">
        <v>321</v>
      </c>
      <c r="C94" s="36">
        <v>0.4375</v>
      </c>
      <c r="D94" s="36"/>
      <c r="E94" s="36" t="s">
        <v>164</v>
      </c>
      <c r="F94" s="38">
        <v>2</v>
      </c>
      <c r="G94" s="43" t="str">
        <f>VLOOKUP(F94,Key!$A$17:$B$21,2,FALSE)</f>
        <v>Road Vehicle</v>
      </c>
      <c r="H94" s="37">
        <v>6</v>
      </c>
      <c r="I94" s="44" t="str">
        <f>VLOOKUP(H94,Key!$A$2:$B$13,2,FALSE)</f>
        <v>Large Bus</v>
      </c>
      <c r="J94" s="38" t="s">
        <v>165</v>
      </c>
      <c r="K94" s="38">
        <v>2</v>
      </c>
      <c r="L94" s="45" t="str">
        <f>VLOOKUP(K94,Key!$A$24:$B$29,2,FALSE)</f>
        <v>30-39</v>
      </c>
      <c r="M94" s="38" t="s">
        <v>342</v>
      </c>
      <c r="N94" s="33" t="s">
        <v>361</v>
      </c>
      <c r="O94" s="38" t="s">
        <v>159</v>
      </c>
      <c r="P94" s="40">
        <v>2</v>
      </c>
      <c r="Q94" s="35" t="str">
        <f>VLOOKUP(P94,Key!$E$2:$F$9,2,FALSE)</f>
        <v>Work</v>
      </c>
      <c r="R94" s="38" t="s">
        <v>343</v>
      </c>
      <c r="S94" s="33" t="s">
        <v>172</v>
      </c>
      <c r="T94" s="38" t="s">
        <v>159</v>
      </c>
      <c r="U94" s="33">
        <v>1</v>
      </c>
      <c r="V94" s="35" t="str">
        <f>VLOOKUP(U94,Key!$E$2:$F$9,2,FALSE)</f>
        <v>Home</v>
      </c>
      <c r="W94" s="35" t="str">
        <f>Q94&amp;"-"&amp;V94</f>
        <v>Work-Home</v>
      </c>
      <c r="X94" s="51">
        <v>40000</v>
      </c>
      <c r="Y94" s="39">
        <v>340</v>
      </c>
      <c r="Z94" s="39">
        <v>6</v>
      </c>
      <c r="AA94" s="33">
        <v>6</v>
      </c>
      <c r="AB94" s="35" t="str">
        <f>VLOOKUP(AA94,Key!$C$20:$D$29,2,FALSE)</f>
        <v>Businessman</v>
      </c>
      <c r="AC94" s="33">
        <v>1</v>
      </c>
      <c r="AD94" s="35" t="str">
        <f>VLOOKUP(AC94,Key!$E$20:$F$24,2,FALSE)</f>
        <v>&lt;300,000</v>
      </c>
      <c r="AE94" s="33">
        <v>2</v>
      </c>
      <c r="AF94" s="39">
        <v>2</v>
      </c>
      <c r="AG94" s="39">
        <v>2</v>
      </c>
      <c r="AH94" s="39">
        <v>2</v>
      </c>
      <c r="AI94" s="39">
        <v>2</v>
      </c>
      <c r="AJ94" s="40" t="s">
        <v>160</v>
      </c>
      <c r="AK94" s="41">
        <v>0</v>
      </c>
      <c r="AL94" s="25"/>
      <c r="AM94" s="25"/>
    </row>
    <row r="95" spans="2:39" x14ac:dyDescent="0.2">
      <c r="B95" s="50" t="s">
        <v>321</v>
      </c>
      <c r="C95" s="36">
        <v>0.40277777777777773</v>
      </c>
      <c r="D95" s="36"/>
      <c r="E95" s="36" t="s">
        <v>164</v>
      </c>
      <c r="F95" s="38">
        <v>2</v>
      </c>
      <c r="G95" s="43" t="str">
        <f>VLOOKUP(F95,Key!$A$17:$B$21,2,FALSE)</f>
        <v>Road Vehicle</v>
      </c>
      <c r="H95" s="37">
        <v>6</v>
      </c>
      <c r="I95" s="44" t="str">
        <f>VLOOKUP(H95,Key!$A$2:$B$13,2,FALSE)</f>
        <v>Large Bus</v>
      </c>
      <c r="J95" s="38" t="s">
        <v>165</v>
      </c>
      <c r="K95" s="38">
        <v>2</v>
      </c>
      <c r="L95" s="45" t="str">
        <f>VLOOKUP(K95,Key!$A$24:$B$29,2,FALSE)</f>
        <v>30-39</v>
      </c>
      <c r="M95" s="38" t="s">
        <v>168</v>
      </c>
      <c r="N95" s="33" t="s">
        <v>161</v>
      </c>
      <c r="O95" s="38" t="s">
        <v>159</v>
      </c>
      <c r="P95" s="40">
        <v>1</v>
      </c>
      <c r="Q95" s="35" t="str">
        <f>VLOOKUP(P95,Key!$E$2:$F$9,2,FALSE)</f>
        <v>Home</v>
      </c>
      <c r="R95" s="38" t="s">
        <v>192</v>
      </c>
      <c r="S95" s="33" t="s">
        <v>193</v>
      </c>
      <c r="T95" s="38" t="s">
        <v>159</v>
      </c>
      <c r="U95" s="33">
        <v>2</v>
      </c>
      <c r="V95" s="35" t="str">
        <f>VLOOKUP(U95,Key!$E$2:$F$9,2,FALSE)</f>
        <v>Work</v>
      </c>
      <c r="W95" s="35" t="str">
        <f>Q95&amp;"-"&amp;V95</f>
        <v>Home-Work</v>
      </c>
      <c r="X95" s="51">
        <v>20000</v>
      </c>
      <c r="Y95" s="39">
        <v>320</v>
      </c>
      <c r="Z95" s="39">
        <v>3</v>
      </c>
      <c r="AA95" s="33">
        <v>6</v>
      </c>
      <c r="AB95" s="35" t="str">
        <f>VLOOKUP(AA95,Key!$C$20:$D$29,2,FALSE)</f>
        <v>Businessman</v>
      </c>
      <c r="AC95" s="33">
        <v>1</v>
      </c>
      <c r="AD95" s="35" t="str">
        <f>VLOOKUP(AC95,Key!$E$20:$F$24,2,FALSE)</f>
        <v>&lt;300,000</v>
      </c>
      <c r="AE95" s="33">
        <v>2</v>
      </c>
      <c r="AF95" s="39">
        <v>2</v>
      </c>
      <c r="AG95" s="39">
        <v>2</v>
      </c>
      <c r="AH95" s="39">
        <v>2</v>
      </c>
      <c r="AI95" s="39">
        <v>2</v>
      </c>
      <c r="AJ95" s="40" t="s">
        <v>160</v>
      </c>
      <c r="AK95" s="41">
        <v>0</v>
      </c>
      <c r="AL95" s="25"/>
      <c r="AM95" s="25"/>
    </row>
    <row r="96" spans="2:39" x14ac:dyDescent="0.2">
      <c r="B96" s="50" t="s">
        <v>321</v>
      </c>
      <c r="C96" s="36">
        <v>0.3611111111111111</v>
      </c>
      <c r="D96" s="36"/>
      <c r="E96" s="36" t="s">
        <v>164</v>
      </c>
      <c r="F96" s="38">
        <v>2</v>
      </c>
      <c r="G96" s="43" t="str">
        <f>VLOOKUP(F96,Key!$A$17:$B$21,2,FALSE)</f>
        <v>Road Vehicle</v>
      </c>
      <c r="H96" s="37">
        <v>6</v>
      </c>
      <c r="I96" s="44" t="str">
        <f>VLOOKUP(H96,Key!$A$2:$B$13,2,FALSE)</f>
        <v>Large Bus</v>
      </c>
      <c r="J96" s="38" t="s">
        <v>165</v>
      </c>
      <c r="K96" s="38">
        <v>2</v>
      </c>
      <c r="L96" s="45" t="str">
        <f>VLOOKUP(K96,Key!$A$24:$B$29,2,FALSE)</f>
        <v>30-39</v>
      </c>
      <c r="M96" s="38" t="s">
        <v>168</v>
      </c>
      <c r="N96" s="33" t="s">
        <v>161</v>
      </c>
      <c r="O96" s="38" t="s">
        <v>159</v>
      </c>
      <c r="P96" s="40">
        <v>2</v>
      </c>
      <c r="Q96" s="35" t="str">
        <f>VLOOKUP(P96,Key!$E$2:$F$9,2,FALSE)</f>
        <v>Work</v>
      </c>
      <c r="R96" s="38" t="s">
        <v>259</v>
      </c>
      <c r="S96" s="33" t="s">
        <v>260</v>
      </c>
      <c r="T96" s="38" t="s">
        <v>159</v>
      </c>
      <c r="U96" s="33">
        <v>1</v>
      </c>
      <c r="V96" s="35" t="str">
        <f>VLOOKUP(U96,Key!$E$2:$F$9,2,FALSE)</f>
        <v>Home</v>
      </c>
      <c r="W96" s="35" t="str">
        <f>Q96&amp;"-"&amp;V96</f>
        <v>Work-Home</v>
      </c>
      <c r="X96" s="51">
        <v>40000</v>
      </c>
      <c r="Y96" s="39">
        <v>360</v>
      </c>
      <c r="Z96" s="39">
        <v>6</v>
      </c>
      <c r="AA96" s="33">
        <v>6</v>
      </c>
      <c r="AB96" s="35" t="str">
        <f>VLOOKUP(AA96,Key!$C$20:$D$29,2,FALSE)</f>
        <v>Businessman</v>
      </c>
      <c r="AC96" s="33">
        <v>1</v>
      </c>
      <c r="AD96" s="35" t="str">
        <f>VLOOKUP(AC96,Key!$E$20:$F$24,2,FALSE)</f>
        <v>&lt;300,000</v>
      </c>
      <c r="AE96" s="33">
        <v>2</v>
      </c>
      <c r="AF96" s="39">
        <v>4</v>
      </c>
      <c r="AG96" s="39">
        <v>1</v>
      </c>
      <c r="AH96" s="39">
        <v>2</v>
      </c>
      <c r="AI96" s="39">
        <v>1</v>
      </c>
      <c r="AJ96" s="40" t="s">
        <v>160</v>
      </c>
      <c r="AK96" s="41">
        <v>0</v>
      </c>
      <c r="AL96" s="25"/>
      <c r="AM96" s="25"/>
    </row>
    <row r="97" spans="1:39" x14ac:dyDescent="0.2">
      <c r="B97" s="50" t="s">
        <v>321</v>
      </c>
      <c r="C97" s="36">
        <v>0.35416666666666669</v>
      </c>
      <c r="D97" s="36"/>
      <c r="E97" s="36" t="s">
        <v>164</v>
      </c>
      <c r="F97" s="38">
        <v>2</v>
      </c>
      <c r="G97" s="43" t="str">
        <f>VLOOKUP(F97,Key!$A$17:$B$21,2,FALSE)</f>
        <v>Road Vehicle</v>
      </c>
      <c r="H97" s="37">
        <v>6</v>
      </c>
      <c r="I97" s="44" t="str">
        <f>VLOOKUP(H97,Key!$A$2:$B$13,2,FALSE)</f>
        <v>Large Bus</v>
      </c>
      <c r="J97" s="38" t="s">
        <v>165</v>
      </c>
      <c r="K97" s="38">
        <v>2</v>
      </c>
      <c r="L97" s="45" t="str">
        <f>VLOOKUP(K97,Key!$A$24:$B$29,2,FALSE)</f>
        <v>30-39</v>
      </c>
      <c r="M97" s="38" t="s">
        <v>168</v>
      </c>
      <c r="N97" s="33" t="s">
        <v>161</v>
      </c>
      <c r="O97" s="38" t="s">
        <v>159</v>
      </c>
      <c r="P97" s="40">
        <v>1</v>
      </c>
      <c r="Q97" s="35" t="str">
        <f>VLOOKUP(P97,Key!$E$2:$F$9,2,FALSE)</f>
        <v>Home</v>
      </c>
      <c r="R97" s="38" t="s">
        <v>230</v>
      </c>
      <c r="S97" s="33" t="s">
        <v>231</v>
      </c>
      <c r="T97" s="38" t="s">
        <v>159</v>
      </c>
      <c r="U97" s="33">
        <v>8</v>
      </c>
      <c r="V97" s="35" t="str">
        <f>VLOOKUP(U97,Key!$E$2:$F$9,2,FALSE)</f>
        <v>Others</v>
      </c>
      <c r="W97" s="35" t="str">
        <f>Q97&amp;"-"&amp;V97</f>
        <v>Home-Others</v>
      </c>
      <c r="X97" s="51">
        <v>30000</v>
      </c>
      <c r="Y97" s="39">
        <v>320</v>
      </c>
      <c r="Z97" s="39">
        <v>5</v>
      </c>
      <c r="AA97" s="33">
        <v>6</v>
      </c>
      <c r="AB97" s="35" t="str">
        <f>VLOOKUP(AA97,Key!$C$20:$D$29,2,FALSE)</f>
        <v>Businessman</v>
      </c>
      <c r="AC97" s="33">
        <v>1</v>
      </c>
      <c r="AD97" s="35" t="str">
        <f>VLOOKUP(AC97,Key!$E$20:$F$24,2,FALSE)</f>
        <v>&lt;300,000</v>
      </c>
      <c r="AE97" s="33">
        <v>5</v>
      </c>
      <c r="AF97" s="39">
        <v>2</v>
      </c>
      <c r="AG97" s="39">
        <v>2</v>
      </c>
      <c r="AH97" s="39">
        <v>2</v>
      </c>
      <c r="AI97" s="39">
        <v>2</v>
      </c>
      <c r="AJ97" s="40" t="s">
        <v>160</v>
      </c>
      <c r="AK97" s="41">
        <v>0</v>
      </c>
      <c r="AL97" s="25"/>
      <c r="AM97" s="25"/>
    </row>
    <row r="98" spans="1:39" x14ac:dyDescent="0.2">
      <c r="B98" s="50" t="s">
        <v>321</v>
      </c>
      <c r="C98" s="36">
        <v>0.29583333333333334</v>
      </c>
      <c r="D98" s="36"/>
      <c r="E98" s="36" t="s">
        <v>164</v>
      </c>
      <c r="F98" s="38">
        <v>2</v>
      </c>
      <c r="G98" s="43" t="str">
        <f>VLOOKUP(F98,Key!$A$17:$B$21,2,FALSE)</f>
        <v>Road Vehicle</v>
      </c>
      <c r="H98" s="37">
        <v>6</v>
      </c>
      <c r="I98" s="44" t="str">
        <f>VLOOKUP(H98,Key!$A$2:$B$13,2,FALSE)</f>
        <v>Large Bus</v>
      </c>
      <c r="J98" s="38" t="s">
        <v>165</v>
      </c>
      <c r="K98" s="38">
        <v>2</v>
      </c>
      <c r="L98" s="45" t="str">
        <f>VLOOKUP(K98,Key!$A$24:$B$29,2,FALSE)</f>
        <v>30-39</v>
      </c>
      <c r="M98" s="38" t="s">
        <v>169</v>
      </c>
      <c r="N98" s="33" t="s">
        <v>170</v>
      </c>
      <c r="O98" s="38" t="s">
        <v>159</v>
      </c>
      <c r="P98" s="40">
        <v>1</v>
      </c>
      <c r="Q98" s="35" t="str">
        <f>VLOOKUP(P98,Key!$E$2:$F$9,2,FALSE)</f>
        <v>Home</v>
      </c>
      <c r="R98" s="38" t="s">
        <v>171</v>
      </c>
      <c r="S98" s="33" t="s">
        <v>172</v>
      </c>
      <c r="T98" s="38" t="s">
        <v>159</v>
      </c>
      <c r="U98" s="33">
        <v>7</v>
      </c>
      <c r="V98" s="35" t="str">
        <f>VLOOKUP(U98,Key!$E$2:$F$9,2,FALSE)</f>
        <v>Hospital</v>
      </c>
      <c r="W98" s="35" t="str">
        <f>Q98&amp;"-"&amp;V98</f>
        <v>Home-Hospital</v>
      </c>
      <c r="X98" s="51">
        <v>30000</v>
      </c>
      <c r="Y98" s="39">
        <v>480</v>
      </c>
      <c r="Z98" s="39">
        <v>12</v>
      </c>
      <c r="AA98" s="33">
        <v>6</v>
      </c>
      <c r="AB98" s="35" t="str">
        <f>VLOOKUP(AA98,Key!$C$20:$D$29,2,FALSE)</f>
        <v>Businessman</v>
      </c>
      <c r="AC98" s="33">
        <v>3</v>
      </c>
      <c r="AD98" s="35" t="str">
        <f>VLOOKUP(AC98,Key!$E$20:$F$24,2,FALSE)</f>
        <v>500,000-750,000</v>
      </c>
      <c r="AE98" s="33">
        <v>2</v>
      </c>
      <c r="AF98" s="39">
        <v>1</v>
      </c>
      <c r="AG98" s="39">
        <v>1</v>
      </c>
      <c r="AH98" s="39">
        <v>1</v>
      </c>
      <c r="AI98" s="39">
        <v>1</v>
      </c>
      <c r="AJ98" s="40" t="s">
        <v>160</v>
      </c>
      <c r="AK98" s="41">
        <v>3000</v>
      </c>
      <c r="AL98" s="25"/>
      <c r="AM98" s="25"/>
    </row>
    <row r="99" spans="1:39" x14ac:dyDescent="0.2">
      <c r="B99" s="50" t="s">
        <v>321</v>
      </c>
      <c r="C99" s="36">
        <v>0.31041666666666667</v>
      </c>
      <c r="D99" s="36"/>
      <c r="E99" s="36" t="s">
        <v>164</v>
      </c>
      <c r="F99" s="38">
        <v>2</v>
      </c>
      <c r="G99" s="43" t="str">
        <f>VLOOKUP(F99,Key!$A$17:$B$21,2,FALSE)</f>
        <v>Road Vehicle</v>
      </c>
      <c r="H99" s="37">
        <v>6</v>
      </c>
      <c r="I99" s="44" t="str">
        <f>VLOOKUP(H99,Key!$A$2:$B$13,2,FALSE)</f>
        <v>Large Bus</v>
      </c>
      <c r="J99" s="38" t="s">
        <v>165</v>
      </c>
      <c r="K99" s="38">
        <v>2</v>
      </c>
      <c r="L99" s="45" t="str">
        <f>VLOOKUP(K99,Key!$A$24:$B$29,2,FALSE)</f>
        <v>30-39</v>
      </c>
      <c r="M99" s="38" t="s">
        <v>168</v>
      </c>
      <c r="N99" s="33" t="s">
        <v>161</v>
      </c>
      <c r="O99" s="38" t="s">
        <v>159</v>
      </c>
      <c r="P99" s="40">
        <v>1</v>
      </c>
      <c r="Q99" s="35" t="str">
        <f>VLOOKUP(P99,Key!$E$2:$F$9,2,FALSE)</f>
        <v>Home</v>
      </c>
      <c r="R99" s="38" t="s">
        <v>230</v>
      </c>
      <c r="S99" s="33" t="s">
        <v>231</v>
      </c>
      <c r="T99" s="38" t="s">
        <v>159</v>
      </c>
      <c r="U99" s="33">
        <v>4</v>
      </c>
      <c r="V99" s="35" t="str">
        <f>VLOOKUP(U99,Key!$E$2:$F$9,2,FALSE)</f>
        <v>Commercial</v>
      </c>
      <c r="W99" s="35" t="str">
        <f>Q99&amp;"-"&amp;V99</f>
        <v>Home-Commercial</v>
      </c>
      <c r="X99" s="51">
        <v>30000</v>
      </c>
      <c r="Y99" s="39">
        <v>400</v>
      </c>
      <c r="Z99" s="39">
        <v>8</v>
      </c>
      <c r="AA99" s="33">
        <v>6</v>
      </c>
      <c r="AB99" s="35" t="str">
        <f>VLOOKUP(AA99,Key!$C$20:$D$29,2,FALSE)</f>
        <v>Businessman</v>
      </c>
      <c r="AC99" s="33">
        <v>3</v>
      </c>
      <c r="AD99" s="35" t="str">
        <f>VLOOKUP(AC99,Key!$E$20:$F$24,2,FALSE)</f>
        <v>500,000-750,000</v>
      </c>
      <c r="AE99" s="33">
        <v>1</v>
      </c>
      <c r="AF99" s="39">
        <v>1</v>
      </c>
      <c r="AG99" s="39">
        <v>1</v>
      </c>
      <c r="AH99" s="39">
        <v>1</v>
      </c>
      <c r="AI99" s="39">
        <v>1</v>
      </c>
      <c r="AJ99" s="40" t="s">
        <v>160</v>
      </c>
      <c r="AK99" s="41">
        <v>2000</v>
      </c>
      <c r="AL99" s="25"/>
      <c r="AM99" s="25"/>
    </row>
    <row r="100" spans="1:39" x14ac:dyDescent="0.2">
      <c r="A100" s="10"/>
      <c r="B100" s="50" t="s">
        <v>163</v>
      </c>
      <c r="C100" s="36">
        <v>0.71944444444444444</v>
      </c>
      <c r="D100" s="36"/>
      <c r="E100" s="36" t="s">
        <v>164</v>
      </c>
      <c r="F100" s="38">
        <v>2</v>
      </c>
      <c r="G100" s="43" t="str">
        <f>VLOOKUP(F100,Key!$A$17:$B$21,2,FALSE)</f>
        <v>Road Vehicle</v>
      </c>
      <c r="H100" s="37">
        <v>6</v>
      </c>
      <c r="I100" s="44" t="str">
        <f>VLOOKUP(H100,Key!$A$2:$B$13,2,FALSE)</f>
        <v>Large Bus</v>
      </c>
      <c r="J100" s="38" t="s">
        <v>174</v>
      </c>
      <c r="K100" s="38">
        <v>2</v>
      </c>
      <c r="L100" s="45" t="str">
        <f>VLOOKUP(K100,Key!$A$24:$B$29,2,FALSE)</f>
        <v>30-39</v>
      </c>
      <c r="M100" s="38" t="s">
        <v>178</v>
      </c>
      <c r="N100" s="33" t="s">
        <v>179</v>
      </c>
      <c r="O100" s="38" t="s">
        <v>159</v>
      </c>
      <c r="P100" s="40">
        <v>1</v>
      </c>
      <c r="Q100" s="35" t="str">
        <f>VLOOKUP(P100,Key!$E$2:$F$9,2,FALSE)</f>
        <v>Home</v>
      </c>
      <c r="R100" s="38" t="s">
        <v>180</v>
      </c>
      <c r="S100" s="33" t="s">
        <v>181</v>
      </c>
      <c r="T100" s="38" t="s">
        <v>159</v>
      </c>
      <c r="U100" s="33">
        <v>6</v>
      </c>
      <c r="V100" s="35" t="str">
        <f>VLOOKUP(U100,Key!$E$2:$F$9,2,FALSE)</f>
        <v>Leisure/Social</v>
      </c>
      <c r="W100" s="35" t="str">
        <f>Q100&amp;"-"&amp;V100</f>
        <v>Home-Leisure/Social</v>
      </c>
      <c r="X100" s="51">
        <v>234000</v>
      </c>
      <c r="Y100" s="39">
        <v>1500</v>
      </c>
      <c r="Z100" s="39">
        <v>30</v>
      </c>
      <c r="AA100" s="33">
        <v>5</v>
      </c>
      <c r="AB100" s="35" t="str">
        <f>VLOOKUP(AA100,Key!$C$20:$D$29,2,FALSE)</f>
        <v>Professional</v>
      </c>
      <c r="AC100" s="33">
        <v>5</v>
      </c>
      <c r="AD100" s="35" t="str">
        <f>VLOOKUP(AC100,Key!$E$20:$F$24,2,FALSE)</f>
        <v>&gt;1,000,000</v>
      </c>
      <c r="AE100" s="33">
        <v>2</v>
      </c>
      <c r="AF100" s="39">
        <v>2</v>
      </c>
      <c r="AG100" s="39">
        <v>1</v>
      </c>
      <c r="AH100" s="39">
        <v>1</v>
      </c>
      <c r="AI100" s="39">
        <v>1</v>
      </c>
      <c r="AJ100" s="40" t="s">
        <v>160</v>
      </c>
      <c r="AK100" s="41">
        <v>0</v>
      </c>
      <c r="AL100" s="25"/>
      <c r="AM100" s="25"/>
    </row>
    <row r="101" spans="1:39" x14ac:dyDescent="0.2">
      <c r="B101" s="50" t="s">
        <v>163</v>
      </c>
      <c r="C101" s="36">
        <v>0.6479166666666667</v>
      </c>
      <c r="D101" s="36"/>
      <c r="E101" s="36" t="s">
        <v>164</v>
      </c>
      <c r="F101" s="38">
        <v>2</v>
      </c>
      <c r="G101" s="43" t="str">
        <f>VLOOKUP(F101,Key!$A$17:$B$21,2,FALSE)</f>
        <v>Road Vehicle</v>
      </c>
      <c r="H101" s="37">
        <v>6</v>
      </c>
      <c r="I101" s="44" t="str">
        <f>VLOOKUP(H101,Key!$A$2:$B$13,2,FALSE)</f>
        <v>Large Bus</v>
      </c>
      <c r="J101" s="38" t="s">
        <v>174</v>
      </c>
      <c r="K101" s="38">
        <v>2</v>
      </c>
      <c r="L101" s="45" t="str">
        <f>VLOOKUP(K101,Key!$A$24:$B$29,2,FALSE)</f>
        <v>30-39</v>
      </c>
      <c r="M101" s="38" t="s">
        <v>166</v>
      </c>
      <c r="N101" s="33" t="s">
        <v>167</v>
      </c>
      <c r="O101" s="38" t="s">
        <v>159</v>
      </c>
      <c r="P101" s="40">
        <v>1</v>
      </c>
      <c r="Q101" s="35" t="str">
        <f>VLOOKUP(P101,Key!$E$2:$F$9,2,FALSE)</f>
        <v>Home</v>
      </c>
      <c r="R101" s="38" t="s">
        <v>171</v>
      </c>
      <c r="S101" s="33" t="s">
        <v>172</v>
      </c>
      <c r="T101" s="38" t="s">
        <v>159</v>
      </c>
      <c r="U101" s="33">
        <v>2</v>
      </c>
      <c r="V101" s="35" t="str">
        <f>VLOOKUP(U101,Key!$E$2:$F$9,2,FALSE)</f>
        <v>Work</v>
      </c>
      <c r="W101" s="35" t="str">
        <f>Q101&amp;"-"&amp;V101</f>
        <v>Home-Work</v>
      </c>
      <c r="X101" s="51">
        <v>60000</v>
      </c>
      <c r="Y101" s="39">
        <v>420</v>
      </c>
      <c r="Z101" s="39">
        <v>13</v>
      </c>
      <c r="AA101" s="33">
        <v>5</v>
      </c>
      <c r="AB101" s="35" t="str">
        <f>VLOOKUP(AA101,Key!$C$20:$D$29,2,FALSE)</f>
        <v>Professional</v>
      </c>
      <c r="AC101" s="33">
        <v>4</v>
      </c>
      <c r="AD101" s="35" t="str">
        <f>VLOOKUP(AC101,Key!$E$20:$F$24,2,FALSE)</f>
        <v>750,000-1,000,000</v>
      </c>
      <c r="AE101" s="33">
        <v>2</v>
      </c>
      <c r="AF101" s="39">
        <v>3</v>
      </c>
      <c r="AG101" s="39">
        <v>3</v>
      </c>
      <c r="AH101" s="39">
        <v>4</v>
      </c>
      <c r="AI101" s="39">
        <v>3</v>
      </c>
      <c r="AJ101" s="40" t="s">
        <v>160</v>
      </c>
      <c r="AK101" s="41">
        <v>2000</v>
      </c>
      <c r="AL101" s="25"/>
      <c r="AM101" s="25"/>
    </row>
    <row r="102" spans="1:39" x14ac:dyDescent="0.2">
      <c r="B102" s="50" t="s">
        <v>163</v>
      </c>
      <c r="C102" s="36">
        <v>0.64652777777777781</v>
      </c>
      <c r="D102" s="36"/>
      <c r="E102" s="36" t="s">
        <v>164</v>
      </c>
      <c r="F102" s="38">
        <v>2</v>
      </c>
      <c r="G102" s="43" t="str">
        <f>VLOOKUP(F102,Key!$A$17:$B$21,2,FALSE)</f>
        <v>Road Vehicle</v>
      </c>
      <c r="H102" s="37">
        <v>6</v>
      </c>
      <c r="I102" s="44" t="str">
        <f>VLOOKUP(H102,Key!$A$2:$B$13,2,FALSE)</f>
        <v>Large Bus</v>
      </c>
      <c r="J102" s="38" t="s">
        <v>174</v>
      </c>
      <c r="K102" s="38">
        <v>2</v>
      </c>
      <c r="L102" s="45" t="str">
        <f>VLOOKUP(K102,Key!$A$24:$B$29,2,FALSE)</f>
        <v>30-39</v>
      </c>
      <c r="M102" s="38" t="s">
        <v>169</v>
      </c>
      <c r="N102" s="33" t="s">
        <v>170</v>
      </c>
      <c r="O102" s="38" t="s">
        <v>159</v>
      </c>
      <c r="P102" s="40">
        <v>1</v>
      </c>
      <c r="Q102" s="35" t="str">
        <f>VLOOKUP(P102,Key!$E$2:$F$9,2,FALSE)</f>
        <v>Home</v>
      </c>
      <c r="R102" s="38" t="s">
        <v>171</v>
      </c>
      <c r="S102" s="33" t="s">
        <v>172</v>
      </c>
      <c r="T102" s="38" t="s">
        <v>159</v>
      </c>
      <c r="U102" s="33">
        <v>4</v>
      </c>
      <c r="V102" s="35" t="str">
        <f>VLOOKUP(U102,Key!$E$2:$F$9,2,FALSE)</f>
        <v>Commercial</v>
      </c>
      <c r="W102" s="35" t="str">
        <f>Q102&amp;"-"&amp;V102</f>
        <v>Home-Commercial</v>
      </c>
      <c r="X102" s="51">
        <v>60000</v>
      </c>
      <c r="Y102" s="39">
        <v>430</v>
      </c>
      <c r="Z102" s="39">
        <v>13</v>
      </c>
      <c r="AA102" s="33">
        <v>6</v>
      </c>
      <c r="AB102" s="35" t="str">
        <f>VLOOKUP(AA102,Key!$C$20:$D$29,2,FALSE)</f>
        <v>Businessman</v>
      </c>
      <c r="AC102" s="33">
        <v>3</v>
      </c>
      <c r="AD102" s="35" t="str">
        <f>VLOOKUP(AC102,Key!$E$20:$F$24,2,FALSE)</f>
        <v>500,000-750,000</v>
      </c>
      <c r="AE102" s="33">
        <v>3</v>
      </c>
      <c r="AF102" s="39">
        <v>3</v>
      </c>
      <c r="AG102" s="39">
        <v>2</v>
      </c>
      <c r="AH102" s="39">
        <v>4</v>
      </c>
      <c r="AI102" s="39">
        <v>3</v>
      </c>
      <c r="AJ102" s="40" t="s">
        <v>160</v>
      </c>
      <c r="AK102" s="41">
        <v>3000</v>
      </c>
      <c r="AL102" s="25"/>
      <c r="AM102" s="25"/>
    </row>
    <row r="103" spans="1:39" x14ac:dyDescent="0.2">
      <c r="B103" s="50" t="s">
        <v>163</v>
      </c>
      <c r="C103" s="36">
        <v>0.64444444444444449</v>
      </c>
      <c r="D103" s="36"/>
      <c r="E103" s="36" t="s">
        <v>164</v>
      </c>
      <c r="F103" s="38">
        <v>2</v>
      </c>
      <c r="G103" s="43" t="str">
        <f>VLOOKUP(F103,Key!$A$17:$B$21,2,FALSE)</f>
        <v>Road Vehicle</v>
      </c>
      <c r="H103" s="37">
        <v>6</v>
      </c>
      <c r="I103" s="44" t="str">
        <f>VLOOKUP(H103,Key!$A$2:$B$13,2,FALSE)</f>
        <v>Large Bus</v>
      </c>
      <c r="J103" s="38" t="s">
        <v>174</v>
      </c>
      <c r="K103" s="38">
        <v>2</v>
      </c>
      <c r="L103" s="45" t="str">
        <f>VLOOKUP(K103,Key!$A$24:$B$29,2,FALSE)</f>
        <v>30-39</v>
      </c>
      <c r="M103" s="38" t="s">
        <v>204</v>
      </c>
      <c r="N103" s="33" t="s">
        <v>161</v>
      </c>
      <c r="O103" s="38" t="s">
        <v>159</v>
      </c>
      <c r="P103" s="40">
        <v>2</v>
      </c>
      <c r="Q103" s="35" t="str">
        <f>VLOOKUP(P103,Key!$E$2:$F$9,2,FALSE)</f>
        <v>Work</v>
      </c>
      <c r="R103" s="38" t="s">
        <v>205</v>
      </c>
      <c r="S103" s="33" t="s">
        <v>172</v>
      </c>
      <c r="T103" s="38" t="s">
        <v>159</v>
      </c>
      <c r="U103" s="33">
        <v>8</v>
      </c>
      <c r="V103" s="35" t="str">
        <f>VLOOKUP(U103,Key!$E$2:$F$9,2,FALSE)</f>
        <v>Others</v>
      </c>
      <c r="W103" s="35" t="str">
        <f>Q103&amp;"-"&amp;V103</f>
        <v>Work-Others</v>
      </c>
      <c r="X103" s="51">
        <v>40000</v>
      </c>
      <c r="Y103" s="39">
        <v>250</v>
      </c>
      <c r="Z103" s="39">
        <v>6</v>
      </c>
      <c r="AA103" s="33">
        <v>7</v>
      </c>
      <c r="AB103" s="35" t="str">
        <f>VLOOKUP(AA103,Key!$C$20:$D$29,2,FALSE)</f>
        <v>Farmer</v>
      </c>
      <c r="AC103" s="33">
        <v>1</v>
      </c>
      <c r="AD103" s="35" t="str">
        <f>VLOOKUP(AC103,Key!$E$20:$F$24,2,FALSE)</f>
        <v>&lt;300,000</v>
      </c>
      <c r="AE103" s="33">
        <v>5</v>
      </c>
      <c r="AF103" s="39">
        <v>4</v>
      </c>
      <c r="AG103" s="39">
        <v>2</v>
      </c>
      <c r="AH103" s="39">
        <v>2</v>
      </c>
      <c r="AI103" s="39">
        <v>2</v>
      </c>
      <c r="AJ103" s="40" t="s">
        <v>160</v>
      </c>
      <c r="AK103" s="41">
        <v>0</v>
      </c>
      <c r="AL103" s="25"/>
      <c r="AM103" s="25"/>
    </row>
    <row r="104" spans="1:39" ht="12" customHeight="1" x14ac:dyDescent="0.2">
      <c r="B104" s="50" t="s">
        <v>163</v>
      </c>
      <c r="C104" s="36">
        <v>0.78472222222222221</v>
      </c>
      <c r="D104" s="36"/>
      <c r="E104" s="36" t="s">
        <v>164</v>
      </c>
      <c r="F104" s="38">
        <v>2</v>
      </c>
      <c r="G104" s="43" t="str">
        <f>VLOOKUP(F104,Key!$A$17:$B$21,2,FALSE)</f>
        <v>Road Vehicle</v>
      </c>
      <c r="H104" s="37">
        <v>6</v>
      </c>
      <c r="I104" s="44" t="str">
        <f>VLOOKUP(H104,Key!$A$2:$B$13,2,FALSE)</f>
        <v>Large Bus</v>
      </c>
      <c r="J104" s="38" t="s">
        <v>174</v>
      </c>
      <c r="K104" s="38">
        <v>2</v>
      </c>
      <c r="L104" s="45" t="str">
        <f>VLOOKUP(K104,Key!$A$24:$B$29,2,FALSE)</f>
        <v>30-39</v>
      </c>
      <c r="M104" s="38" t="s">
        <v>178</v>
      </c>
      <c r="N104" s="33" t="s">
        <v>179</v>
      </c>
      <c r="O104" s="38" t="s">
        <v>34</v>
      </c>
      <c r="P104" s="40">
        <v>2</v>
      </c>
      <c r="Q104" s="35" t="str">
        <f>VLOOKUP(P104,Key!$E$2:$F$9,2,FALSE)</f>
        <v>Work</v>
      </c>
      <c r="R104" s="38" t="s">
        <v>171</v>
      </c>
      <c r="S104" s="33" t="s">
        <v>172</v>
      </c>
      <c r="T104" s="38" t="s">
        <v>159</v>
      </c>
      <c r="U104" s="33">
        <v>3</v>
      </c>
      <c r="V104" s="35" t="str">
        <f>VLOOKUP(U104,Key!$E$2:$F$9,2,FALSE)</f>
        <v>Study</v>
      </c>
      <c r="W104" s="35" t="str">
        <f>Q104&amp;"-"&amp;V104</f>
        <v>Work-Study</v>
      </c>
      <c r="X104" s="51">
        <v>40000</v>
      </c>
      <c r="Y104" s="39">
        <v>250</v>
      </c>
      <c r="Z104" s="39">
        <v>6</v>
      </c>
      <c r="AA104" s="33">
        <v>8</v>
      </c>
      <c r="AB104" s="35" t="str">
        <f>VLOOKUP(AA104,Key!$C$20:$D$29,2,FALSE)</f>
        <v>Student</v>
      </c>
      <c r="AC104" s="33">
        <v>1</v>
      </c>
      <c r="AD104" s="35" t="str">
        <f>VLOOKUP(AC104,Key!$E$20:$F$24,2,FALSE)</f>
        <v>&lt;300,000</v>
      </c>
      <c r="AE104" s="33">
        <v>5</v>
      </c>
      <c r="AF104" s="39">
        <v>4</v>
      </c>
      <c r="AG104" s="39">
        <v>2</v>
      </c>
      <c r="AH104" s="39">
        <v>5</v>
      </c>
      <c r="AI104" s="39">
        <v>2</v>
      </c>
      <c r="AJ104" s="40" t="s">
        <v>160</v>
      </c>
      <c r="AK104" s="41">
        <v>0</v>
      </c>
      <c r="AL104" s="25"/>
      <c r="AM104" s="25"/>
    </row>
    <row r="105" spans="1:39" x14ac:dyDescent="0.2">
      <c r="B105" s="50" t="s">
        <v>163</v>
      </c>
      <c r="C105" s="36">
        <v>0.76597222222222217</v>
      </c>
      <c r="D105" s="36" t="s">
        <v>212</v>
      </c>
      <c r="E105" s="36" t="s">
        <v>173</v>
      </c>
      <c r="F105" s="38">
        <v>2</v>
      </c>
      <c r="G105" s="43" t="str">
        <f>VLOOKUP(F105,Key!$A$17:$B$21,2,FALSE)</f>
        <v>Road Vehicle</v>
      </c>
      <c r="H105" s="37">
        <v>6</v>
      </c>
      <c r="I105" s="44" t="str">
        <f>VLOOKUP(H105,Key!$A$2:$B$13,2,FALSE)</f>
        <v>Large Bus</v>
      </c>
      <c r="J105" s="38" t="s">
        <v>174</v>
      </c>
      <c r="K105" s="38">
        <v>2</v>
      </c>
      <c r="L105" s="45" t="str">
        <f>VLOOKUP(K105,Key!$A$24:$B$29,2,FALSE)</f>
        <v>30-39</v>
      </c>
      <c r="M105" s="38" t="s">
        <v>178</v>
      </c>
      <c r="N105" s="33" t="s">
        <v>179</v>
      </c>
      <c r="O105" s="38" t="s">
        <v>159</v>
      </c>
      <c r="P105" s="40">
        <v>2</v>
      </c>
      <c r="Q105" s="35" t="str">
        <f>VLOOKUP(P105,Key!$E$2:$F$9,2,FALSE)</f>
        <v>Work</v>
      </c>
      <c r="R105" s="38" t="s">
        <v>171</v>
      </c>
      <c r="S105" s="33" t="s">
        <v>172</v>
      </c>
      <c r="T105" s="38" t="s">
        <v>159</v>
      </c>
      <c r="U105" s="33">
        <v>8</v>
      </c>
      <c r="V105" s="35" t="str">
        <f>VLOOKUP(U105,Key!$E$2:$F$9,2,FALSE)</f>
        <v>Others</v>
      </c>
      <c r="W105" s="35" t="str">
        <f>Q105&amp;"-"&amp;V105</f>
        <v>Work-Others</v>
      </c>
      <c r="X105" s="51">
        <v>200000</v>
      </c>
      <c r="Y105" s="39">
        <v>250</v>
      </c>
      <c r="Z105" s="39">
        <v>6</v>
      </c>
      <c r="AA105" s="33">
        <v>5</v>
      </c>
      <c r="AB105" s="35" t="str">
        <f>VLOOKUP(AA105,Key!$C$20:$D$29,2,FALSE)</f>
        <v>Professional</v>
      </c>
      <c r="AC105" s="33">
        <v>2</v>
      </c>
      <c r="AD105" s="35" t="str">
        <f>VLOOKUP(AC105,Key!$E$20:$F$24,2,FALSE)</f>
        <v>300,000-500,000</v>
      </c>
      <c r="AE105" s="33">
        <v>5</v>
      </c>
      <c r="AF105" s="39">
        <v>4</v>
      </c>
      <c r="AG105" s="39">
        <v>5</v>
      </c>
      <c r="AH105" s="39">
        <v>5</v>
      </c>
      <c r="AI105" s="39">
        <v>5</v>
      </c>
      <c r="AJ105" s="40" t="s">
        <v>160</v>
      </c>
      <c r="AK105" s="41">
        <v>3000</v>
      </c>
      <c r="AL105" s="25"/>
      <c r="AM105" s="25"/>
    </row>
    <row r="106" spans="1:39" x14ac:dyDescent="0.2">
      <c r="B106" s="50" t="s">
        <v>163</v>
      </c>
      <c r="C106" s="36">
        <v>0.74305555555555547</v>
      </c>
      <c r="D106" s="36"/>
      <c r="E106" s="36" t="s">
        <v>173</v>
      </c>
      <c r="F106" s="38">
        <v>2</v>
      </c>
      <c r="G106" s="43" t="str">
        <f>VLOOKUP(F106,Key!$A$17:$B$21,2,FALSE)</f>
        <v>Road Vehicle</v>
      </c>
      <c r="H106" s="37">
        <v>6</v>
      </c>
      <c r="I106" s="44" t="str">
        <f>VLOOKUP(H106,Key!$A$2:$B$13,2,FALSE)</f>
        <v>Large Bus</v>
      </c>
      <c r="J106" s="38" t="s">
        <v>174</v>
      </c>
      <c r="K106" s="38">
        <v>2</v>
      </c>
      <c r="L106" s="45" t="str">
        <f>VLOOKUP(K106,Key!$A$24:$B$29,2,FALSE)</f>
        <v>30-39</v>
      </c>
      <c r="M106" s="38" t="s">
        <v>217</v>
      </c>
      <c r="N106" s="33" t="s">
        <v>217</v>
      </c>
      <c r="O106" s="38" t="s">
        <v>159</v>
      </c>
      <c r="P106" s="40">
        <v>2</v>
      </c>
      <c r="Q106" s="35" t="str">
        <f>VLOOKUP(P106,Key!$E$2:$F$9,2,FALSE)</f>
        <v>Work</v>
      </c>
      <c r="R106" s="38" t="s">
        <v>171</v>
      </c>
      <c r="S106" s="33" t="s">
        <v>172</v>
      </c>
      <c r="T106" s="38" t="s">
        <v>159</v>
      </c>
      <c r="U106" s="33">
        <v>8</v>
      </c>
      <c r="V106" s="35" t="str">
        <f>VLOOKUP(U106,Key!$E$2:$F$9,2,FALSE)</f>
        <v>Others</v>
      </c>
      <c r="W106" s="35" t="str">
        <f>Q106&amp;"-"&amp;V106</f>
        <v>Work-Others</v>
      </c>
      <c r="X106" s="51">
        <v>200000</v>
      </c>
      <c r="Y106" s="39">
        <v>3000</v>
      </c>
      <c r="Z106" s="39">
        <v>6</v>
      </c>
      <c r="AA106" s="33">
        <v>5</v>
      </c>
      <c r="AB106" s="35" t="str">
        <f>VLOOKUP(AA106,Key!$C$20:$D$29,2,FALSE)</f>
        <v>Professional</v>
      </c>
      <c r="AC106" s="33">
        <v>2</v>
      </c>
      <c r="AD106" s="35" t="str">
        <f>VLOOKUP(AC106,Key!$E$20:$F$24,2,FALSE)</f>
        <v>300,000-500,000</v>
      </c>
      <c r="AE106" s="33">
        <v>5</v>
      </c>
      <c r="AF106" s="39">
        <v>1</v>
      </c>
      <c r="AG106" s="39">
        <v>4</v>
      </c>
      <c r="AH106" s="39">
        <v>2</v>
      </c>
      <c r="AI106" s="39">
        <v>1</v>
      </c>
      <c r="AJ106" s="40" t="s">
        <v>160</v>
      </c>
      <c r="AK106" s="41">
        <v>2000</v>
      </c>
      <c r="AL106" s="25"/>
      <c r="AM106" s="25"/>
    </row>
    <row r="107" spans="1:39" x14ac:dyDescent="0.2">
      <c r="B107" s="50" t="s">
        <v>163</v>
      </c>
      <c r="C107" s="36">
        <v>0.75</v>
      </c>
      <c r="D107" s="36" t="s">
        <v>218</v>
      </c>
      <c r="E107" s="36" t="s">
        <v>173</v>
      </c>
      <c r="F107" s="38">
        <v>2</v>
      </c>
      <c r="G107" s="43" t="str">
        <f>VLOOKUP(F107,Key!$A$17:$B$21,2,FALSE)</f>
        <v>Road Vehicle</v>
      </c>
      <c r="H107" s="37">
        <v>6</v>
      </c>
      <c r="I107" s="44" t="str">
        <f>VLOOKUP(H107,Key!$A$2:$B$13,2,FALSE)</f>
        <v>Large Bus</v>
      </c>
      <c r="J107" s="38" t="s">
        <v>174</v>
      </c>
      <c r="K107" s="38">
        <v>2</v>
      </c>
      <c r="L107" s="45" t="str">
        <f>VLOOKUP(K107,Key!$A$24:$B$29,2,FALSE)</f>
        <v>30-39</v>
      </c>
      <c r="M107" s="38" t="s">
        <v>169</v>
      </c>
      <c r="N107" s="33" t="s">
        <v>170</v>
      </c>
      <c r="O107" s="38" t="s">
        <v>159</v>
      </c>
      <c r="P107" s="40">
        <v>2</v>
      </c>
      <c r="Q107" s="35" t="str">
        <f>VLOOKUP(P107,Key!$E$2:$F$9,2,FALSE)</f>
        <v>Work</v>
      </c>
      <c r="R107" s="38" t="s">
        <v>171</v>
      </c>
      <c r="S107" s="33" t="s">
        <v>172</v>
      </c>
      <c r="T107" s="38" t="s">
        <v>159</v>
      </c>
      <c r="U107" s="33">
        <v>2</v>
      </c>
      <c r="V107" s="35" t="str">
        <f>VLOOKUP(U107,Key!$E$2:$F$9,2,FALSE)</f>
        <v>Work</v>
      </c>
      <c r="W107" s="35" t="str">
        <f>Q107&amp;"-"&amp;V107</f>
        <v>Work-Work</v>
      </c>
      <c r="X107" s="51">
        <v>200000</v>
      </c>
      <c r="Y107" s="39">
        <v>200</v>
      </c>
      <c r="Z107" s="39">
        <v>4.5</v>
      </c>
      <c r="AA107" s="33">
        <v>10</v>
      </c>
      <c r="AB107" s="35" t="str">
        <f>VLOOKUP(AA107,Key!$C$20:$D$29,2,FALSE)</f>
        <v>Other</v>
      </c>
      <c r="AC107" s="33">
        <v>2</v>
      </c>
      <c r="AD107" s="35" t="str">
        <f>VLOOKUP(AC107,Key!$E$20:$F$24,2,FALSE)</f>
        <v>300,000-500,000</v>
      </c>
      <c r="AE107" s="33">
        <v>5</v>
      </c>
      <c r="AF107" s="39">
        <v>2</v>
      </c>
      <c r="AG107" s="39">
        <v>1</v>
      </c>
      <c r="AH107" s="39">
        <v>1</v>
      </c>
      <c r="AI107" s="39">
        <v>2</v>
      </c>
      <c r="AJ107" s="40" t="s">
        <v>160</v>
      </c>
      <c r="AK107" s="41">
        <v>2000</v>
      </c>
      <c r="AL107" s="25"/>
      <c r="AM107" s="25"/>
    </row>
    <row r="108" spans="1:39" x14ac:dyDescent="0.2">
      <c r="B108" s="50" t="s">
        <v>163</v>
      </c>
      <c r="C108" s="36">
        <v>0.73125000000000007</v>
      </c>
      <c r="D108" s="36" t="s">
        <v>222</v>
      </c>
      <c r="E108" s="36" t="s">
        <v>173</v>
      </c>
      <c r="F108" s="38">
        <v>2</v>
      </c>
      <c r="G108" s="43" t="str">
        <f>VLOOKUP(F108,Key!$A$17:$B$21,2,FALSE)</f>
        <v>Road Vehicle</v>
      </c>
      <c r="H108" s="37">
        <v>6</v>
      </c>
      <c r="I108" s="44" t="str">
        <f>VLOOKUP(H108,Key!$A$2:$B$13,2,FALSE)</f>
        <v>Large Bus</v>
      </c>
      <c r="J108" s="38" t="s">
        <v>174</v>
      </c>
      <c r="K108" s="38">
        <v>2</v>
      </c>
      <c r="L108" s="45" t="str">
        <f>VLOOKUP(K108,Key!$A$24:$B$29,2,FALSE)</f>
        <v>30-39</v>
      </c>
      <c r="M108" s="38" t="s">
        <v>211</v>
      </c>
      <c r="N108" s="33" t="s">
        <v>170</v>
      </c>
      <c r="O108" s="38" t="s">
        <v>159</v>
      </c>
      <c r="P108" s="40">
        <v>2</v>
      </c>
      <c r="Q108" s="35" t="str">
        <f>VLOOKUP(P108,Key!$E$2:$F$9,2,FALSE)</f>
        <v>Work</v>
      </c>
      <c r="R108" s="38" t="s">
        <v>171</v>
      </c>
      <c r="S108" s="33" t="s">
        <v>172</v>
      </c>
      <c r="T108" s="38" t="s">
        <v>159</v>
      </c>
      <c r="U108" s="33">
        <v>8</v>
      </c>
      <c r="V108" s="35" t="str">
        <f>VLOOKUP(U108,Key!$E$2:$F$9,2,FALSE)</f>
        <v>Others</v>
      </c>
      <c r="W108" s="35" t="str">
        <f>Q108&amp;"-"&amp;V108</f>
        <v>Work-Others</v>
      </c>
      <c r="X108" s="51">
        <v>200000</v>
      </c>
      <c r="Y108" s="39">
        <v>250</v>
      </c>
      <c r="Z108" s="39">
        <v>6</v>
      </c>
      <c r="AA108" s="33">
        <v>5</v>
      </c>
      <c r="AB108" s="35" t="str">
        <f>VLOOKUP(AA108,Key!$C$20:$D$29,2,FALSE)</f>
        <v>Professional</v>
      </c>
      <c r="AC108" s="33">
        <v>2</v>
      </c>
      <c r="AD108" s="35" t="str">
        <f>VLOOKUP(AC108,Key!$E$20:$F$24,2,FALSE)</f>
        <v>300,000-500,000</v>
      </c>
      <c r="AE108" s="33">
        <v>5</v>
      </c>
      <c r="AF108" s="39">
        <v>4</v>
      </c>
      <c r="AG108" s="39">
        <v>1</v>
      </c>
      <c r="AH108" s="39">
        <v>2</v>
      </c>
      <c r="AI108" s="39">
        <v>2</v>
      </c>
      <c r="AJ108" s="40" t="s">
        <v>160</v>
      </c>
      <c r="AK108" s="41">
        <v>3000</v>
      </c>
      <c r="AL108" s="25"/>
      <c r="AM108" s="25"/>
    </row>
    <row r="109" spans="1:39" x14ac:dyDescent="0.2">
      <c r="B109" s="50" t="s">
        <v>163</v>
      </c>
      <c r="C109" s="36">
        <v>0.70972222222222225</v>
      </c>
      <c r="D109" s="36"/>
      <c r="E109" s="36" t="s">
        <v>164</v>
      </c>
      <c r="F109" s="38">
        <v>2</v>
      </c>
      <c r="G109" s="43" t="str">
        <f>VLOOKUP(F109,Key!$A$17:$B$21,2,FALSE)</f>
        <v>Road Vehicle</v>
      </c>
      <c r="H109" s="37">
        <v>6</v>
      </c>
      <c r="I109" s="44" t="str">
        <f>VLOOKUP(H109,Key!$A$2:$B$13,2,FALSE)</f>
        <v>Large Bus</v>
      </c>
      <c r="J109" s="38" t="s">
        <v>174</v>
      </c>
      <c r="K109" s="38">
        <v>2</v>
      </c>
      <c r="L109" s="45" t="str">
        <f>VLOOKUP(K109,Key!$A$24:$B$29,2,FALSE)</f>
        <v>30-39</v>
      </c>
      <c r="M109" s="38" t="s">
        <v>217</v>
      </c>
      <c r="N109" s="33" t="s">
        <v>217</v>
      </c>
      <c r="O109" s="38" t="s">
        <v>35</v>
      </c>
      <c r="P109" s="40">
        <v>1</v>
      </c>
      <c r="Q109" s="35" t="str">
        <f>VLOOKUP(P109,Key!$E$2:$F$9,2,FALSE)</f>
        <v>Home</v>
      </c>
      <c r="R109" s="38" t="s">
        <v>223</v>
      </c>
      <c r="S109" s="33" t="s">
        <v>216</v>
      </c>
      <c r="T109" s="38" t="s">
        <v>159</v>
      </c>
      <c r="U109" s="33">
        <v>8</v>
      </c>
      <c r="V109" s="35" t="str">
        <f>VLOOKUP(U109,Key!$E$2:$F$9,2,FALSE)</f>
        <v>Others</v>
      </c>
      <c r="W109" s="35" t="str">
        <f>Q109&amp;"-"&amp;V109</f>
        <v>Home-Others</v>
      </c>
      <c r="X109" s="51">
        <v>50000</v>
      </c>
      <c r="Y109" s="39">
        <v>300</v>
      </c>
      <c r="Z109" s="39">
        <v>7</v>
      </c>
      <c r="AA109" s="33">
        <v>6</v>
      </c>
      <c r="AB109" s="35" t="str">
        <f>VLOOKUP(AA109,Key!$C$20:$D$29,2,FALSE)</f>
        <v>Businessman</v>
      </c>
      <c r="AC109" s="33">
        <v>1</v>
      </c>
      <c r="AD109" s="35" t="str">
        <f>VLOOKUP(AC109,Key!$E$20:$F$24,2,FALSE)</f>
        <v>&lt;300,000</v>
      </c>
      <c r="AE109" s="33">
        <v>5</v>
      </c>
      <c r="AF109" s="39">
        <v>5</v>
      </c>
      <c r="AG109" s="39">
        <v>5</v>
      </c>
      <c r="AH109" s="39">
        <v>5</v>
      </c>
      <c r="AI109" s="39">
        <v>5</v>
      </c>
      <c r="AJ109" s="40" t="s">
        <v>160</v>
      </c>
      <c r="AK109" s="41">
        <v>0</v>
      </c>
      <c r="AL109" s="25"/>
      <c r="AM109" s="25"/>
    </row>
    <row r="110" spans="1:39" x14ac:dyDescent="0.2">
      <c r="B110" s="50" t="s">
        <v>163</v>
      </c>
      <c r="C110" s="36">
        <v>0.66180555555555554</v>
      </c>
      <c r="D110" s="36"/>
      <c r="E110" s="36" t="s">
        <v>164</v>
      </c>
      <c r="F110" s="38">
        <v>2</v>
      </c>
      <c r="G110" s="43" t="str">
        <f>VLOOKUP(F110,Key!$A$17:$B$21,2,FALSE)</f>
        <v>Road Vehicle</v>
      </c>
      <c r="H110" s="37">
        <v>6</v>
      </c>
      <c r="I110" s="44" t="str">
        <f>VLOOKUP(H110,Key!$A$2:$B$13,2,FALSE)</f>
        <v>Large Bus</v>
      </c>
      <c r="J110" s="38" t="s">
        <v>174</v>
      </c>
      <c r="K110" s="38">
        <v>2</v>
      </c>
      <c r="L110" s="45" t="str">
        <f>VLOOKUP(K110,Key!$A$24:$B$29,2,FALSE)</f>
        <v>30-39</v>
      </c>
      <c r="M110" s="38" t="s">
        <v>211</v>
      </c>
      <c r="N110" s="33" t="s">
        <v>170</v>
      </c>
      <c r="O110" s="38" t="s">
        <v>159</v>
      </c>
      <c r="P110" s="40">
        <v>1</v>
      </c>
      <c r="Q110" s="35" t="str">
        <f>VLOOKUP(P110,Key!$E$2:$F$9,2,FALSE)</f>
        <v>Home</v>
      </c>
      <c r="R110" s="38" t="s">
        <v>171</v>
      </c>
      <c r="S110" s="33" t="s">
        <v>172</v>
      </c>
      <c r="T110" s="38" t="s">
        <v>159</v>
      </c>
      <c r="U110" s="33">
        <v>2</v>
      </c>
      <c r="V110" s="35" t="str">
        <f>VLOOKUP(U110,Key!$E$2:$F$9,2,FALSE)</f>
        <v>Work</v>
      </c>
      <c r="W110" s="35" t="str">
        <f>Q110&amp;"-"&amp;V110</f>
        <v>Home-Work</v>
      </c>
      <c r="X110" s="51">
        <v>40000</v>
      </c>
      <c r="Y110" s="39">
        <v>250</v>
      </c>
      <c r="Z110" s="39">
        <v>6</v>
      </c>
      <c r="AA110" s="33">
        <v>6</v>
      </c>
      <c r="AB110" s="35" t="str">
        <f>VLOOKUP(AA110,Key!$C$20:$D$29,2,FALSE)</f>
        <v>Businessman</v>
      </c>
      <c r="AC110" s="33">
        <v>1</v>
      </c>
      <c r="AD110" s="35" t="str">
        <f>VLOOKUP(AC110,Key!$E$20:$F$24,2,FALSE)</f>
        <v>&lt;300,000</v>
      </c>
      <c r="AE110" s="33">
        <v>2</v>
      </c>
      <c r="AF110" s="39">
        <v>2</v>
      </c>
      <c r="AG110" s="39">
        <v>2</v>
      </c>
      <c r="AH110" s="39">
        <v>2</v>
      </c>
      <c r="AI110" s="39">
        <v>2</v>
      </c>
      <c r="AJ110" s="40" t="s">
        <v>160</v>
      </c>
      <c r="AK110" s="41">
        <v>0</v>
      </c>
      <c r="AL110" s="25"/>
      <c r="AM110" s="25"/>
    </row>
    <row r="111" spans="1:39" x14ac:dyDescent="0.2">
      <c r="B111" s="50" t="s">
        <v>163</v>
      </c>
      <c r="C111" s="36">
        <v>0.66597222222222219</v>
      </c>
      <c r="D111" s="36" t="s">
        <v>237</v>
      </c>
      <c r="E111" s="36" t="s">
        <v>173</v>
      </c>
      <c r="F111" s="38">
        <v>2</v>
      </c>
      <c r="G111" s="43" t="str">
        <f>VLOOKUP(F111,Key!$A$17:$B$21,2,FALSE)</f>
        <v>Road Vehicle</v>
      </c>
      <c r="H111" s="37">
        <v>6</v>
      </c>
      <c r="I111" s="44" t="str">
        <f>VLOOKUP(H111,Key!$A$2:$B$13,2,FALSE)</f>
        <v>Large Bus</v>
      </c>
      <c r="J111" s="38" t="s">
        <v>174</v>
      </c>
      <c r="K111" s="38">
        <v>2</v>
      </c>
      <c r="L111" s="45" t="str">
        <f>VLOOKUP(K111,Key!$A$24:$B$29,2,FALSE)</f>
        <v>30-39</v>
      </c>
      <c r="M111" s="38" t="s">
        <v>168</v>
      </c>
      <c r="N111" s="33" t="s">
        <v>161</v>
      </c>
      <c r="O111" s="38" t="s">
        <v>159</v>
      </c>
      <c r="P111" s="40">
        <v>4</v>
      </c>
      <c r="Q111" s="35" t="str">
        <f>VLOOKUP(P111,Key!$E$2:$F$9,2,FALSE)</f>
        <v>Commercial</v>
      </c>
      <c r="R111" s="38" t="s">
        <v>171</v>
      </c>
      <c r="S111" s="33" t="s">
        <v>172</v>
      </c>
      <c r="T111" s="38" t="s">
        <v>159</v>
      </c>
      <c r="U111" s="33">
        <v>4</v>
      </c>
      <c r="V111" s="35" t="str">
        <f>VLOOKUP(U111,Key!$E$2:$F$9,2,FALSE)</f>
        <v>Commercial</v>
      </c>
      <c r="W111" s="35" t="str">
        <f>Q111&amp;"-"&amp;V111</f>
        <v>Commercial-Commercial</v>
      </c>
      <c r="X111" s="51">
        <v>300000</v>
      </c>
      <c r="Y111" s="39">
        <v>399</v>
      </c>
      <c r="Z111" s="39">
        <v>5</v>
      </c>
      <c r="AA111" s="33">
        <v>5</v>
      </c>
      <c r="AB111" s="35" t="str">
        <f>VLOOKUP(AA111,Key!$C$20:$D$29,2,FALSE)</f>
        <v>Professional</v>
      </c>
      <c r="AC111" s="33">
        <v>2</v>
      </c>
      <c r="AD111" s="35" t="str">
        <f>VLOOKUP(AC111,Key!$E$20:$F$24,2,FALSE)</f>
        <v>300,000-500,000</v>
      </c>
      <c r="AE111" s="33">
        <v>5</v>
      </c>
      <c r="AF111" s="39">
        <v>1</v>
      </c>
      <c r="AG111" s="39">
        <v>5</v>
      </c>
      <c r="AH111" s="39">
        <v>5</v>
      </c>
      <c r="AI111" s="39">
        <v>1</v>
      </c>
      <c r="AJ111" s="40" t="s">
        <v>160</v>
      </c>
      <c r="AK111" s="41">
        <v>0</v>
      </c>
      <c r="AL111" s="25"/>
      <c r="AM111" s="25"/>
    </row>
    <row r="112" spans="1:39" x14ac:dyDescent="0.2">
      <c r="B112" s="50" t="s">
        <v>163</v>
      </c>
      <c r="C112" s="36">
        <v>0.6381944444444444</v>
      </c>
      <c r="D112" s="36"/>
      <c r="E112" s="36" t="s">
        <v>164</v>
      </c>
      <c r="F112" s="38">
        <v>2</v>
      </c>
      <c r="G112" s="43" t="str">
        <f>VLOOKUP(F112,Key!$A$17:$B$21,2,FALSE)</f>
        <v>Road Vehicle</v>
      </c>
      <c r="H112" s="37">
        <v>6</v>
      </c>
      <c r="I112" s="44" t="str">
        <f>VLOOKUP(H112,Key!$A$2:$B$13,2,FALSE)</f>
        <v>Large Bus</v>
      </c>
      <c r="J112" s="38" t="s">
        <v>174</v>
      </c>
      <c r="K112" s="38">
        <v>2</v>
      </c>
      <c r="L112" s="45" t="str">
        <f>VLOOKUP(K112,Key!$A$24:$B$29,2,FALSE)</f>
        <v>30-39</v>
      </c>
      <c r="M112" s="38" t="s">
        <v>168</v>
      </c>
      <c r="N112" s="33" t="s">
        <v>161</v>
      </c>
      <c r="O112" s="38" t="s">
        <v>159</v>
      </c>
      <c r="P112" s="40">
        <v>1</v>
      </c>
      <c r="Q112" s="35" t="str">
        <f>VLOOKUP(P112,Key!$E$2:$F$9,2,FALSE)</f>
        <v>Home</v>
      </c>
      <c r="R112" s="38" t="s">
        <v>171</v>
      </c>
      <c r="S112" s="33" t="s">
        <v>172</v>
      </c>
      <c r="T112" s="38" t="s">
        <v>159</v>
      </c>
      <c r="U112" s="33">
        <v>4</v>
      </c>
      <c r="V112" s="35" t="str">
        <f>VLOOKUP(U112,Key!$E$2:$F$9,2,FALSE)</f>
        <v>Commercial</v>
      </c>
      <c r="W112" s="35" t="str">
        <f>Q112&amp;"-"&amp;V112</f>
        <v>Home-Commercial</v>
      </c>
      <c r="X112" s="51">
        <v>45000</v>
      </c>
      <c r="Y112" s="39">
        <v>369</v>
      </c>
      <c r="Z112" s="39">
        <v>4</v>
      </c>
      <c r="AA112" s="33">
        <v>6</v>
      </c>
      <c r="AB112" s="35" t="str">
        <f>VLOOKUP(AA112,Key!$C$20:$D$29,2,FALSE)</f>
        <v>Businessman</v>
      </c>
      <c r="AC112" s="33">
        <v>3</v>
      </c>
      <c r="AD112" s="35" t="str">
        <f>VLOOKUP(AC112,Key!$E$20:$F$24,2,FALSE)</f>
        <v>500,000-750,000</v>
      </c>
      <c r="AE112" s="33">
        <v>5</v>
      </c>
      <c r="AF112" s="39">
        <v>1</v>
      </c>
      <c r="AG112" s="39">
        <v>1</v>
      </c>
      <c r="AH112" s="39">
        <v>1</v>
      </c>
      <c r="AI112" s="39">
        <v>1</v>
      </c>
      <c r="AJ112" s="40" t="s">
        <v>160</v>
      </c>
      <c r="AK112" s="41">
        <v>1000</v>
      </c>
      <c r="AL112" s="25"/>
      <c r="AM112" s="25"/>
    </row>
    <row r="113" spans="2:39" x14ac:dyDescent="0.2">
      <c r="B113" s="50" t="s">
        <v>239</v>
      </c>
      <c r="C113" s="36">
        <v>0.41180555555555554</v>
      </c>
      <c r="D113" s="36" t="s">
        <v>254</v>
      </c>
      <c r="E113" s="36" t="s">
        <v>173</v>
      </c>
      <c r="F113" s="38">
        <v>2</v>
      </c>
      <c r="G113" s="43" t="str">
        <f>VLOOKUP(F113,Key!$A$17:$B$21,2,FALSE)</f>
        <v>Road Vehicle</v>
      </c>
      <c r="H113" s="37">
        <v>6</v>
      </c>
      <c r="I113" s="44" t="str">
        <f>VLOOKUP(H113,Key!$A$2:$B$13,2,FALSE)</f>
        <v>Large Bus</v>
      </c>
      <c r="J113" s="38" t="s">
        <v>174</v>
      </c>
      <c r="K113" s="38">
        <v>2</v>
      </c>
      <c r="L113" s="45" t="str">
        <f>VLOOKUP(K113,Key!$A$24:$B$29,2,FALSE)</f>
        <v>30-39</v>
      </c>
      <c r="M113" s="38" t="s">
        <v>169</v>
      </c>
      <c r="N113" s="33" t="s">
        <v>170</v>
      </c>
      <c r="O113" s="38" t="s">
        <v>159</v>
      </c>
      <c r="P113" s="40">
        <v>4</v>
      </c>
      <c r="Q113" s="35" t="str">
        <f>VLOOKUP(P113,Key!$E$2:$F$9,2,FALSE)</f>
        <v>Commercial</v>
      </c>
      <c r="R113" s="38" t="s">
        <v>171</v>
      </c>
      <c r="S113" s="33" t="s">
        <v>172</v>
      </c>
      <c r="T113" s="38" t="s">
        <v>159</v>
      </c>
      <c r="U113" s="33">
        <v>4</v>
      </c>
      <c r="V113" s="35" t="str">
        <f>VLOOKUP(U113,Key!$E$2:$F$9,2,FALSE)</f>
        <v>Commercial</v>
      </c>
      <c r="W113" s="35" t="str">
        <f>Q113&amp;"-"&amp;V113</f>
        <v>Commercial-Commercial</v>
      </c>
      <c r="X113" s="51">
        <v>100000</v>
      </c>
      <c r="Y113" s="39">
        <v>360</v>
      </c>
      <c r="Z113" s="39">
        <v>5</v>
      </c>
      <c r="AA113" s="33">
        <v>5</v>
      </c>
      <c r="AB113" s="35" t="str">
        <f>VLOOKUP(AA113,Key!$C$20:$D$29,2,FALSE)</f>
        <v>Professional</v>
      </c>
      <c r="AC113" s="33">
        <v>2</v>
      </c>
      <c r="AD113" s="35" t="str">
        <f>VLOOKUP(AC113,Key!$E$20:$F$24,2,FALSE)</f>
        <v>300,000-500,000</v>
      </c>
      <c r="AE113" s="33">
        <v>1</v>
      </c>
      <c r="AF113" s="39">
        <v>1</v>
      </c>
      <c r="AG113" s="39">
        <v>1</v>
      </c>
      <c r="AH113" s="39">
        <v>1</v>
      </c>
      <c r="AI113" s="39">
        <v>1</v>
      </c>
      <c r="AJ113" s="40" t="s">
        <v>160</v>
      </c>
      <c r="AK113" s="41">
        <v>5000</v>
      </c>
      <c r="AL113" s="25"/>
      <c r="AM113" s="25"/>
    </row>
    <row r="114" spans="2:39" x14ac:dyDescent="0.2">
      <c r="B114" s="50" t="s">
        <v>239</v>
      </c>
      <c r="C114" s="36">
        <v>0.58958333333333335</v>
      </c>
      <c r="D114" s="36" t="s">
        <v>286</v>
      </c>
      <c r="E114" s="36" t="s">
        <v>173</v>
      </c>
      <c r="F114" s="38">
        <v>2</v>
      </c>
      <c r="G114" s="43" t="str">
        <f>VLOOKUP(F114,Key!$A$17:$B$21,2,FALSE)</f>
        <v>Road Vehicle</v>
      </c>
      <c r="H114" s="37">
        <v>6</v>
      </c>
      <c r="I114" s="44" t="str">
        <f>VLOOKUP(H114,Key!$A$2:$B$13,2,FALSE)</f>
        <v>Large Bus</v>
      </c>
      <c r="J114" s="38" t="s">
        <v>174</v>
      </c>
      <c r="K114" s="38">
        <v>2</v>
      </c>
      <c r="L114" s="45" t="str">
        <f>VLOOKUP(K114,Key!$A$24:$B$29,2,FALSE)</f>
        <v>30-39</v>
      </c>
      <c r="M114" s="38" t="s">
        <v>168</v>
      </c>
      <c r="N114" s="33" t="s">
        <v>161</v>
      </c>
      <c r="O114" s="38" t="s">
        <v>159</v>
      </c>
      <c r="P114" s="40">
        <v>2</v>
      </c>
      <c r="Q114" s="35" t="str">
        <f>VLOOKUP(P114,Key!$E$2:$F$9,2,FALSE)</f>
        <v>Work</v>
      </c>
      <c r="R114" s="38" t="s">
        <v>287</v>
      </c>
      <c r="S114" s="33" t="s">
        <v>288</v>
      </c>
      <c r="T114" s="38" t="s">
        <v>159</v>
      </c>
      <c r="U114" s="33">
        <v>8</v>
      </c>
      <c r="V114" s="35" t="str">
        <f>VLOOKUP(U114,Key!$E$2:$F$9,2,FALSE)</f>
        <v>Others</v>
      </c>
      <c r="W114" s="35" t="str">
        <f>Q114&amp;"-"&amp;V114</f>
        <v>Work-Others</v>
      </c>
      <c r="X114" s="51">
        <v>100000</v>
      </c>
      <c r="Y114" s="39">
        <v>90</v>
      </c>
      <c r="Z114" s="39">
        <v>2</v>
      </c>
      <c r="AA114" s="33">
        <v>5</v>
      </c>
      <c r="AB114" s="35" t="str">
        <f>VLOOKUP(AA114,Key!$C$20:$D$29,2,FALSE)</f>
        <v>Professional</v>
      </c>
      <c r="AC114" s="33">
        <v>2</v>
      </c>
      <c r="AD114" s="35" t="str">
        <f>VLOOKUP(AC114,Key!$E$20:$F$24,2,FALSE)</f>
        <v>300,000-500,000</v>
      </c>
      <c r="AE114" s="33">
        <v>5</v>
      </c>
      <c r="AF114" s="39">
        <v>5</v>
      </c>
      <c r="AG114" s="39">
        <v>5</v>
      </c>
      <c r="AH114" s="39">
        <v>5</v>
      </c>
      <c r="AI114" s="39">
        <v>5</v>
      </c>
      <c r="AJ114" s="40" t="s">
        <v>160</v>
      </c>
      <c r="AK114" s="41">
        <v>1000</v>
      </c>
      <c r="AL114" s="25"/>
      <c r="AM114" s="25"/>
    </row>
    <row r="115" spans="2:39" x14ac:dyDescent="0.2">
      <c r="B115" s="50" t="s">
        <v>239</v>
      </c>
      <c r="C115" s="36">
        <v>0.54236111111111118</v>
      </c>
      <c r="D115" s="36"/>
      <c r="E115" s="36" t="s">
        <v>164</v>
      </c>
      <c r="F115" s="38">
        <v>2</v>
      </c>
      <c r="G115" s="43" t="str">
        <f>VLOOKUP(F115,Key!$A$17:$B$21,2,FALSE)</f>
        <v>Road Vehicle</v>
      </c>
      <c r="H115" s="37">
        <v>6</v>
      </c>
      <c r="I115" s="44" t="str">
        <f>VLOOKUP(H115,Key!$A$2:$B$13,2,FALSE)</f>
        <v>Large Bus</v>
      </c>
      <c r="J115" s="38" t="s">
        <v>174</v>
      </c>
      <c r="K115" s="38">
        <v>2</v>
      </c>
      <c r="L115" s="45" t="str">
        <f>VLOOKUP(K115,Key!$A$24:$B$29,2,FALSE)</f>
        <v>30-39</v>
      </c>
      <c r="M115" s="38" t="s">
        <v>362</v>
      </c>
      <c r="N115" s="33" t="s">
        <v>245</v>
      </c>
      <c r="O115" s="38" t="s">
        <v>159</v>
      </c>
      <c r="P115" s="40">
        <v>1</v>
      </c>
      <c r="Q115" s="35" t="str">
        <f>VLOOKUP(P115,Key!$E$2:$F$9,2,FALSE)</f>
        <v>Home</v>
      </c>
      <c r="R115" s="38" t="s">
        <v>291</v>
      </c>
      <c r="S115" s="33" t="s">
        <v>216</v>
      </c>
      <c r="T115" s="38" t="s">
        <v>159</v>
      </c>
      <c r="U115" s="33">
        <v>2</v>
      </c>
      <c r="V115" s="35" t="str">
        <f>VLOOKUP(U115,Key!$E$2:$F$9,2,FALSE)</f>
        <v>Work</v>
      </c>
      <c r="W115" s="35" t="str">
        <f>Q115&amp;"-"&amp;V115</f>
        <v>Home-Work</v>
      </c>
      <c r="X115" s="51">
        <v>30000</v>
      </c>
      <c r="Y115" s="39">
        <v>150</v>
      </c>
      <c r="Z115" s="39">
        <v>4</v>
      </c>
      <c r="AA115" s="33">
        <v>6</v>
      </c>
      <c r="AB115" s="35" t="s">
        <v>136</v>
      </c>
      <c r="AC115" s="33">
        <v>1</v>
      </c>
      <c r="AD115" s="35" t="str">
        <f>VLOOKUP(AC115,Key!$E$20:$F$24,2,FALSE)</f>
        <v>&lt;300,000</v>
      </c>
      <c r="AE115" s="33">
        <v>5</v>
      </c>
      <c r="AF115" s="39">
        <v>4</v>
      </c>
      <c r="AG115" s="39">
        <v>5</v>
      </c>
      <c r="AH115" s="39">
        <v>5</v>
      </c>
      <c r="AI115" s="39">
        <v>5</v>
      </c>
      <c r="AJ115" s="40" t="s">
        <v>160</v>
      </c>
      <c r="AK115" s="41">
        <v>0</v>
      </c>
      <c r="AL115" s="25"/>
      <c r="AM115" s="25"/>
    </row>
    <row r="116" spans="2:39" x14ac:dyDescent="0.2">
      <c r="B116" s="50" t="s">
        <v>239</v>
      </c>
      <c r="C116" s="36">
        <v>0.5131944444444444</v>
      </c>
      <c r="D116" s="36" t="s">
        <v>296</v>
      </c>
      <c r="E116" s="36" t="s">
        <v>173</v>
      </c>
      <c r="F116" s="38">
        <v>2</v>
      </c>
      <c r="G116" s="43" t="str">
        <f>VLOOKUP(F116,Key!$A$17:$B$21,2,FALSE)</f>
        <v>Road Vehicle</v>
      </c>
      <c r="H116" s="37">
        <v>6</v>
      </c>
      <c r="I116" s="44" t="str">
        <f>VLOOKUP(H116,Key!$A$2:$B$13,2,FALSE)</f>
        <v>Large Bus</v>
      </c>
      <c r="J116" s="38" t="s">
        <v>174</v>
      </c>
      <c r="K116" s="38">
        <v>2</v>
      </c>
      <c r="L116" s="45" t="str">
        <f>VLOOKUP(K116,Key!$A$24:$B$29,2,FALSE)</f>
        <v>30-39</v>
      </c>
      <c r="M116" s="38" t="s">
        <v>168</v>
      </c>
      <c r="N116" s="33" t="s">
        <v>161</v>
      </c>
      <c r="O116" s="38" t="s">
        <v>159</v>
      </c>
      <c r="P116" s="40">
        <v>1</v>
      </c>
      <c r="Q116" s="35" t="str">
        <f>VLOOKUP(P116,Key!$E$2:$F$9,2,FALSE)</f>
        <v>Home</v>
      </c>
      <c r="R116" s="38" t="s">
        <v>294</v>
      </c>
      <c r="S116" s="33" t="s">
        <v>295</v>
      </c>
      <c r="T116" s="38" t="s">
        <v>159</v>
      </c>
      <c r="U116" s="33">
        <v>8</v>
      </c>
      <c r="V116" s="35" t="str">
        <f>VLOOKUP(U116,Key!$E$2:$F$9,2,FALSE)</f>
        <v>Others</v>
      </c>
      <c r="W116" s="35" t="str">
        <f>Q116&amp;"-"&amp;V116</f>
        <v>Home-Others</v>
      </c>
      <c r="X116" s="51">
        <v>100000</v>
      </c>
      <c r="Y116" s="39">
        <v>260</v>
      </c>
      <c r="Z116" s="39">
        <v>3</v>
      </c>
      <c r="AA116" s="33">
        <v>5</v>
      </c>
      <c r="AB116" s="35" t="str">
        <f>VLOOKUP(AA116,Key!$C$20:$D$29,2,FALSE)</f>
        <v>Professional</v>
      </c>
      <c r="AC116" s="33">
        <v>1</v>
      </c>
      <c r="AD116" s="35" t="str">
        <f>VLOOKUP(AC116,Key!$E$20:$F$24,2,FALSE)</f>
        <v>&lt;300,000</v>
      </c>
      <c r="AE116" s="33">
        <v>5</v>
      </c>
      <c r="AF116" s="39">
        <v>4</v>
      </c>
      <c r="AG116" s="39">
        <v>2</v>
      </c>
      <c r="AH116" s="39">
        <v>2</v>
      </c>
      <c r="AI116" s="39">
        <v>2</v>
      </c>
      <c r="AJ116" s="40" t="s">
        <v>160</v>
      </c>
      <c r="AK116" s="41">
        <v>1000</v>
      </c>
      <c r="AL116" s="25"/>
      <c r="AM116" s="25"/>
    </row>
    <row r="117" spans="2:39" x14ac:dyDescent="0.2">
      <c r="B117" s="50" t="s">
        <v>239</v>
      </c>
      <c r="C117" s="36">
        <v>0.47916666666666669</v>
      </c>
      <c r="D117" s="36"/>
      <c r="E117" s="36" t="s">
        <v>164</v>
      </c>
      <c r="F117" s="38">
        <v>2</v>
      </c>
      <c r="G117" s="43" t="str">
        <f>VLOOKUP(F117,Key!$A$17:$B$21,2,FALSE)</f>
        <v>Road Vehicle</v>
      </c>
      <c r="H117" s="37">
        <v>6</v>
      </c>
      <c r="I117" s="44" t="str">
        <f>VLOOKUP(H117,Key!$A$2:$B$13,2,FALSE)</f>
        <v>Large Bus</v>
      </c>
      <c r="J117" s="38" t="s">
        <v>174</v>
      </c>
      <c r="K117" s="38">
        <v>2</v>
      </c>
      <c r="L117" s="45" t="str">
        <f>VLOOKUP(K117,Key!$A$24:$B$29,2,FALSE)</f>
        <v>30-39</v>
      </c>
      <c r="M117" s="38" t="s">
        <v>168</v>
      </c>
      <c r="N117" s="33" t="s">
        <v>161</v>
      </c>
      <c r="O117" s="38" t="s">
        <v>159</v>
      </c>
      <c r="P117" s="40">
        <v>1</v>
      </c>
      <c r="Q117" s="35" t="str">
        <f>VLOOKUP(P117,Key!$E$2:$F$9,2,FALSE)</f>
        <v>Home</v>
      </c>
      <c r="R117" s="38" t="s">
        <v>299</v>
      </c>
      <c r="S117" s="33" t="s">
        <v>216</v>
      </c>
      <c r="T117" s="38" t="s">
        <v>159</v>
      </c>
      <c r="U117" s="33">
        <v>2</v>
      </c>
      <c r="V117" s="35" t="str">
        <f>VLOOKUP(U117,Key!$E$2:$F$9,2,FALSE)</f>
        <v>Work</v>
      </c>
      <c r="W117" s="35" t="str">
        <f>Q117&amp;"-"&amp;V117</f>
        <v>Home-Work</v>
      </c>
      <c r="X117" s="51">
        <v>30000</v>
      </c>
      <c r="Y117" s="39">
        <v>390</v>
      </c>
      <c r="Z117" s="39">
        <v>4.5</v>
      </c>
      <c r="AA117" s="33">
        <v>6</v>
      </c>
      <c r="AB117" s="35" t="str">
        <f>VLOOKUP(AA117,Key!$C$20:$D$29,2,FALSE)</f>
        <v>Businessman</v>
      </c>
      <c r="AC117" s="33">
        <v>1</v>
      </c>
      <c r="AD117" s="35" t="str">
        <f>VLOOKUP(AC117,Key!$E$20:$F$24,2,FALSE)</f>
        <v>&lt;300,000</v>
      </c>
      <c r="AE117" s="33">
        <v>5</v>
      </c>
      <c r="AF117" s="39">
        <v>2</v>
      </c>
      <c r="AG117" s="39">
        <v>2</v>
      </c>
      <c r="AH117" s="39">
        <v>5</v>
      </c>
      <c r="AI117" s="39">
        <v>2</v>
      </c>
      <c r="AJ117" s="40" t="s">
        <v>160</v>
      </c>
      <c r="AK117" s="41">
        <v>0</v>
      </c>
      <c r="AL117" s="25"/>
      <c r="AM117" s="25"/>
    </row>
    <row r="118" spans="2:39" x14ac:dyDescent="0.2">
      <c r="B118" s="50" t="s">
        <v>239</v>
      </c>
      <c r="C118" s="36">
        <v>0.46527777777777773</v>
      </c>
      <c r="D118" s="36" t="s">
        <v>297</v>
      </c>
      <c r="E118" s="36" t="s">
        <v>173</v>
      </c>
      <c r="F118" s="38">
        <v>2</v>
      </c>
      <c r="G118" s="43" t="str">
        <f>VLOOKUP(F118,Key!$A$17:$B$21,2,FALSE)</f>
        <v>Road Vehicle</v>
      </c>
      <c r="H118" s="37">
        <v>6</v>
      </c>
      <c r="I118" s="44" t="str">
        <f>VLOOKUP(H118,Key!$A$2:$B$13,2,FALSE)</f>
        <v>Large Bus</v>
      </c>
      <c r="J118" s="38" t="s">
        <v>174</v>
      </c>
      <c r="K118" s="38">
        <v>2</v>
      </c>
      <c r="L118" s="45" t="str">
        <f>VLOOKUP(K118,Key!$A$24:$B$29,2,FALSE)</f>
        <v>30-39</v>
      </c>
      <c r="M118" s="38" t="s">
        <v>168</v>
      </c>
      <c r="N118" s="33" t="s">
        <v>161</v>
      </c>
      <c r="O118" s="38" t="s">
        <v>159</v>
      </c>
      <c r="P118" s="40">
        <v>2</v>
      </c>
      <c r="Q118" s="35" t="str">
        <f>VLOOKUP(P118,Key!$E$2:$F$9,2,FALSE)</f>
        <v>Work</v>
      </c>
      <c r="R118" s="38" t="s">
        <v>301</v>
      </c>
      <c r="S118" s="33" t="s">
        <v>302</v>
      </c>
      <c r="T118" s="38" t="s">
        <v>159</v>
      </c>
      <c r="U118" s="33">
        <v>2</v>
      </c>
      <c r="V118" s="35" t="str">
        <f>VLOOKUP(U118,Key!$E$2:$F$9,2,FALSE)</f>
        <v>Work</v>
      </c>
      <c r="W118" s="35" t="str">
        <f>Q118&amp;"-"&amp;V118</f>
        <v>Work-Work</v>
      </c>
      <c r="X118" s="51">
        <v>100000</v>
      </c>
      <c r="Y118" s="39">
        <v>90</v>
      </c>
      <c r="Z118" s="39">
        <v>2</v>
      </c>
      <c r="AA118" s="33">
        <v>5</v>
      </c>
      <c r="AB118" s="35" t="str">
        <f>VLOOKUP(AA118,Key!$C$20:$D$29,2,FALSE)</f>
        <v>Professional</v>
      </c>
      <c r="AC118" s="33">
        <v>2</v>
      </c>
      <c r="AD118" s="35" t="str">
        <f>VLOOKUP(AC118,Key!$E$20:$F$24,2,FALSE)</f>
        <v>300,000-500,000</v>
      </c>
      <c r="AE118" s="33">
        <v>5</v>
      </c>
      <c r="AF118" s="39">
        <v>5</v>
      </c>
      <c r="AG118" s="39">
        <v>2</v>
      </c>
      <c r="AH118" s="39">
        <v>2</v>
      </c>
      <c r="AI118" s="39">
        <v>2</v>
      </c>
      <c r="AJ118" s="40" t="s">
        <v>160</v>
      </c>
      <c r="AK118" s="41">
        <v>1000</v>
      </c>
      <c r="AL118" s="25"/>
      <c r="AM118" s="25"/>
    </row>
    <row r="119" spans="2:39" x14ac:dyDescent="0.2">
      <c r="B119" s="50" t="s">
        <v>239</v>
      </c>
      <c r="C119" s="36">
        <v>0.4548611111111111</v>
      </c>
      <c r="D119" s="36" t="s">
        <v>304</v>
      </c>
      <c r="E119" s="36" t="s">
        <v>173</v>
      </c>
      <c r="F119" s="38">
        <v>2</v>
      </c>
      <c r="G119" s="43" t="str">
        <f>VLOOKUP(F119,Key!$A$17:$B$21,2,FALSE)</f>
        <v>Road Vehicle</v>
      </c>
      <c r="H119" s="37">
        <v>6</v>
      </c>
      <c r="I119" s="44" t="str">
        <f>VLOOKUP(H119,Key!$A$2:$B$13,2,FALSE)</f>
        <v>Large Bus</v>
      </c>
      <c r="J119" s="38" t="s">
        <v>174</v>
      </c>
      <c r="K119" s="38">
        <v>2</v>
      </c>
      <c r="L119" s="45" t="str">
        <f>VLOOKUP(K119,Key!$A$24:$B$29,2,FALSE)</f>
        <v>30-39</v>
      </c>
      <c r="M119" s="38" t="s">
        <v>168</v>
      </c>
      <c r="N119" s="33" t="s">
        <v>161</v>
      </c>
      <c r="O119" s="38" t="s">
        <v>159</v>
      </c>
      <c r="P119" s="40">
        <v>2</v>
      </c>
      <c r="Q119" s="35" t="str">
        <f>VLOOKUP(P119,Key!$E$2:$F$9,2,FALSE)</f>
        <v>Work</v>
      </c>
      <c r="R119" s="38" t="s">
        <v>262</v>
      </c>
      <c r="S119" s="33" t="s">
        <v>263</v>
      </c>
      <c r="T119" s="38" t="s">
        <v>159</v>
      </c>
      <c r="U119" s="33">
        <v>8</v>
      </c>
      <c r="V119" s="35" t="str">
        <f>VLOOKUP(U119,Key!$E$2:$F$9,2,FALSE)</f>
        <v>Others</v>
      </c>
      <c r="W119" s="35" t="str">
        <f>Q119&amp;"-"&amp;V119</f>
        <v>Work-Others</v>
      </c>
      <c r="X119" s="51">
        <v>150000</v>
      </c>
      <c r="Y119" s="39">
        <v>300</v>
      </c>
      <c r="Z119" s="39">
        <v>3.5</v>
      </c>
      <c r="AA119" s="33">
        <v>10</v>
      </c>
      <c r="AB119" s="35" t="str">
        <f>VLOOKUP(AA119,Key!$C$20:$D$29,2,FALSE)</f>
        <v>Other</v>
      </c>
      <c r="AC119" s="33">
        <v>2</v>
      </c>
      <c r="AD119" s="35" t="str">
        <f>VLOOKUP(AC119,Key!$E$20:$F$24,2,FALSE)</f>
        <v>300,000-500,000</v>
      </c>
      <c r="AE119" s="33">
        <v>5</v>
      </c>
      <c r="AF119" s="39">
        <v>5</v>
      </c>
      <c r="AG119" s="39">
        <v>2</v>
      </c>
      <c r="AH119" s="39">
        <v>2</v>
      </c>
      <c r="AI119" s="39">
        <v>2</v>
      </c>
      <c r="AJ119" s="40" t="s">
        <v>160</v>
      </c>
      <c r="AK119" s="41">
        <v>2000</v>
      </c>
      <c r="AL119" s="25"/>
      <c r="AM119" s="25"/>
    </row>
    <row r="120" spans="2:39" x14ac:dyDescent="0.2">
      <c r="B120" s="50" t="s">
        <v>239</v>
      </c>
      <c r="C120" s="36">
        <v>0.45833333333333331</v>
      </c>
      <c r="D120" s="36"/>
      <c r="E120" s="36" t="s">
        <v>164</v>
      </c>
      <c r="F120" s="38">
        <v>2</v>
      </c>
      <c r="G120" s="43" t="str">
        <f>VLOOKUP(F120,Key!$A$17:$B$21,2,FALSE)</f>
        <v>Road Vehicle</v>
      </c>
      <c r="H120" s="37">
        <v>6</v>
      </c>
      <c r="I120" s="44" t="str">
        <f>VLOOKUP(H120,Key!$A$2:$B$13,2,FALSE)</f>
        <v>Large Bus</v>
      </c>
      <c r="J120" s="38" t="s">
        <v>174</v>
      </c>
      <c r="K120" s="38">
        <v>2</v>
      </c>
      <c r="L120" s="45" t="str">
        <f>VLOOKUP(K120,Key!$A$24:$B$29,2,FALSE)</f>
        <v>30-39</v>
      </c>
      <c r="M120" s="38" t="s">
        <v>168</v>
      </c>
      <c r="N120" s="33" t="s">
        <v>161</v>
      </c>
      <c r="O120" s="38" t="s">
        <v>159</v>
      </c>
      <c r="P120" s="40">
        <v>2</v>
      </c>
      <c r="Q120" s="35" t="str">
        <f>VLOOKUP(P120,Key!$E$2:$F$9,2,FALSE)</f>
        <v>Work</v>
      </c>
      <c r="R120" s="38" t="s">
        <v>262</v>
      </c>
      <c r="S120" s="33" t="s">
        <v>263</v>
      </c>
      <c r="T120" s="38" t="s">
        <v>159</v>
      </c>
      <c r="U120" s="33">
        <v>1</v>
      </c>
      <c r="V120" s="35" t="str">
        <f>VLOOKUP(U120,Key!$E$2:$F$9,2,FALSE)</f>
        <v>Home</v>
      </c>
      <c r="W120" s="35" t="str">
        <f>Q120&amp;"-"&amp;V120</f>
        <v>Work-Home</v>
      </c>
      <c r="X120" s="51">
        <v>25000</v>
      </c>
      <c r="Y120" s="39">
        <v>300</v>
      </c>
      <c r="Z120" s="39">
        <v>3.5</v>
      </c>
      <c r="AA120" s="33">
        <v>6</v>
      </c>
      <c r="AB120" s="35" t="str">
        <f>VLOOKUP(AA120,Key!$C$20:$D$29,2,FALSE)</f>
        <v>Businessman</v>
      </c>
      <c r="AC120" s="33">
        <v>1</v>
      </c>
      <c r="AD120" s="35" t="str">
        <f>VLOOKUP(AC120,Key!$E$20:$F$24,2,FALSE)</f>
        <v>&lt;300,000</v>
      </c>
      <c r="AE120" s="33">
        <v>2</v>
      </c>
      <c r="AF120" s="39">
        <v>4</v>
      </c>
      <c r="AG120" s="39">
        <v>2</v>
      </c>
      <c r="AH120" s="39">
        <v>2</v>
      </c>
      <c r="AI120" s="39">
        <v>2</v>
      </c>
      <c r="AJ120" s="40" t="s">
        <v>160</v>
      </c>
      <c r="AK120" s="41">
        <v>0</v>
      </c>
      <c r="AL120" s="25"/>
      <c r="AM120" s="25"/>
    </row>
    <row r="121" spans="2:39" x14ac:dyDescent="0.2">
      <c r="B121" s="50" t="s">
        <v>239</v>
      </c>
      <c r="C121" s="36">
        <v>0.39166666666666666</v>
      </c>
      <c r="D121" s="36"/>
      <c r="E121" s="36" t="s">
        <v>164</v>
      </c>
      <c r="F121" s="38">
        <v>2</v>
      </c>
      <c r="G121" s="43" t="str">
        <f>VLOOKUP(F121,Key!$A$17:$B$21,2,FALSE)</f>
        <v>Road Vehicle</v>
      </c>
      <c r="H121" s="37">
        <v>6</v>
      </c>
      <c r="I121" s="44" t="str">
        <f>VLOOKUP(H121,Key!$A$2:$B$13,2,FALSE)</f>
        <v>Large Bus</v>
      </c>
      <c r="J121" s="38" t="s">
        <v>174</v>
      </c>
      <c r="K121" s="38">
        <v>2</v>
      </c>
      <c r="L121" s="45" t="str">
        <f>VLOOKUP(K121,Key!$A$24:$B$29,2,FALSE)</f>
        <v>30-39</v>
      </c>
      <c r="M121" s="38" t="s">
        <v>168</v>
      </c>
      <c r="N121" s="33" t="s">
        <v>161</v>
      </c>
      <c r="O121" s="38" t="s">
        <v>159</v>
      </c>
      <c r="P121" s="40">
        <v>1</v>
      </c>
      <c r="Q121" s="35" t="str">
        <f>VLOOKUP(P121,Key!$E$2:$F$9,2,FALSE)</f>
        <v>Home</v>
      </c>
      <c r="R121" s="38" t="s">
        <v>192</v>
      </c>
      <c r="S121" s="33" t="s">
        <v>193</v>
      </c>
      <c r="T121" s="38" t="s">
        <v>159</v>
      </c>
      <c r="U121" s="33">
        <v>2</v>
      </c>
      <c r="V121" s="35" t="str">
        <f>VLOOKUP(U121,Key!$E$2:$F$9,2,FALSE)</f>
        <v>Work</v>
      </c>
      <c r="W121" s="35" t="str">
        <f>Q121&amp;"-"&amp;V121</f>
        <v>Home-Work</v>
      </c>
      <c r="X121" s="51">
        <v>20000</v>
      </c>
      <c r="Y121" s="39">
        <v>270</v>
      </c>
      <c r="Z121" s="39">
        <v>3</v>
      </c>
      <c r="AA121" s="33">
        <v>6</v>
      </c>
      <c r="AB121" s="35" t="str">
        <f>VLOOKUP(AA121,Key!$C$20:$D$29,2,FALSE)</f>
        <v>Businessman</v>
      </c>
      <c r="AC121" s="33">
        <v>1</v>
      </c>
      <c r="AD121" s="35" t="str">
        <f>VLOOKUP(AC121,Key!$E$20:$F$24,2,FALSE)</f>
        <v>&lt;300,000</v>
      </c>
      <c r="AE121" s="33">
        <v>2</v>
      </c>
      <c r="AF121" s="39">
        <v>2</v>
      </c>
      <c r="AG121" s="39">
        <v>2</v>
      </c>
      <c r="AH121" s="39">
        <v>2</v>
      </c>
      <c r="AI121" s="39">
        <v>2</v>
      </c>
      <c r="AJ121" s="40" t="s">
        <v>160</v>
      </c>
      <c r="AK121" s="41">
        <v>0</v>
      </c>
      <c r="AL121" s="25"/>
      <c r="AM121" s="25"/>
    </row>
    <row r="122" spans="2:39" x14ac:dyDescent="0.2">
      <c r="B122" s="50" t="s">
        <v>239</v>
      </c>
      <c r="C122" s="36">
        <v>0.3979166666666667</v>
      </c>
      <c r="D122" s="36"/>
      <c r="E122" s="36" t="s">
        <v>164</v>
      </c>
      <c r="F122" s="38">
        <v>2</v>
      </c>
      <c r="G122" s="43" t="str">
        <f>VLOOKUP(F122,Key!$A$17:$B$21,2,FALSE)</f>
        <v>Road Vehicle</v>
      </c>
      <c r="H122" s="37">
        <v>6</v>
      </c>
      <c r="I122" s="44" t="str">
        <f>VLOOKUP(H122,Key!$A$2:$B$13,2,FALSE)</f>
        <v>Large Bus</v>
      </c>
      <c r="J122" s="38" t="s">
        <v>174</v>
      </c>
      <c r="K122" s="38">
        <v>2</v>
      </c>
      <c r="L122" s="45" t="str">
        <f>VLOOKUP(K122,Key!$A$24:$B$29,2,FALSE)</f>
        <v>30-39</v>
      </c>
      <c r="M122" s="38" t="s">
        <v>362</v>
      </c>
      <c r="N122" s="33" t="s">
        <v>245</v>
      </c>
      <c r="O122" s="38" t="s">
        <v>159</v>
      </c>
      <c r="P122" s="40">
        <v>1</v>
      </c>
      <c r="Q122" s="35" t="str">
        <f>VLOOKUP(P122,Key!$E$2:$F$9,2,FALSE)</f>
        <v>Home</v>
      </c>
      <c r="R122" s="38" t="s">
        <v>205</v>
      </c>
      <c r="S122" s="33" t="s">
        <v>172</v>
      </c>
      <c r="T122" s="38" t="s">
        <v>159</v>
      </c>
      <c r="U122" s="33">
        <v>3</v>
      </c>
      <c r="V122" s="35" t="str">
        <f>VLOOKUP(U122,Key!$E$2:$F$9,2,FALSE)</f>
        <v>Study</v>
      </c>
      <c r="W122" s="35" t="str">
        <f>Q122&amp;"-"&amp;V122</f>
        <v>Home-Study</v>
      </c>
      <c r="X122" s="51">
        <v>30000</v>
      </c>
      <c r="Y122" s="39">
        <v>150</v>
      </c>
      <c r="Z122" s="39">
        <v>4</v>
      </c>
      <c r="AA122" s="33">
        <v>8</v>
      </c>
      <c r="AB122" s="35" t="str">
        <f>VLOOKUP(AA122,Key!$C$20:$D$29,2,FALSE)</f>
        <v>Student</v>
      </c>
      <c r="AC122" s="33">
        <v>1</v>
      </c>
      <c r="AD122" s="35" t="str">
        <f>VLOOKUP(AC122,Key!$E$20:$F$24,2,FALSE)</f>
        <v>&lt;300,000</v>
      </c>
      <c r="AE122" s="33">
        <v>5</v>
      </c>
      <c r="AF122" s="39">
        <v>4</v>
      </c>
      <c r="AG122" s="39">
        <v>2</v>
      </c>
      <c r="AH122" s="39">
        <v>2</v>
      </c>
      <c r="AI122" s="39">
        <v>2</v>
      </c>
      <c r="AJ122" s="40" t="s">
        <v>160</v>
      </c>
      <c r="AK122" s="41">
        <v>0</v>
      </c>
      <c r="AL122" s="25"/>
      <c r="AM122" s="25"/>
    </row>
    <row r="123" spans="2:39" x14ac:dyDescent="0.2">
      <c r="B123" s="50" t="s">
        <v>239</v>
      </c>
      <c r="C123" s="36">
        <v>0.68958333333333333</v>
      </c>
      <c r="D123" s="36"/>
      <c r="E123" s="36" t="s">
        <v>164</v>
      </c>
      <c r="F123" s="38">
        <v>2</v>
      </c>
      <c r="G123" s="43" t="str">
        <f>VLOOKUP(F123,Key!$A$17:$B$21,2,FALSE)</f>
        <v>Road Vehicle</v>
      </c>
      <c r="H123" s="37">
        <v>6</v>
      </c>
      <c r="I123" s="44" t="str">
        <f>VLOOKUP(H123,Key!$A$2:$B$13,2,FALSE)</f>
        <v>Large Bus</v>
      </c>
      <c r="J123" s="38" t="s">
        <v>174</v>
      </c>
      <c r="K123" s="38">
        <v>2</v>
      </c>
      <c r="L123" s="45" t="str">
        <f>VLOOKUP(K123,Key!$A$24:$B$29,2,FALSE)</f>
        <v>30-39</v>
      </c>
      <c r="M123" s="38" t="s">
        <v>169</v>
      </c>
      <c r="N123" s="33" t="s">
        <v>170</v>
      </c>
      <c r="O123" s="38" t="s">
        <v>159</v>
      </c>
      <c r="P123" s="40">
        <v>1</v>
      </c>
      <c r="Q123" s="35" t="str">
        <f>VLOOKUP(P123,Key!$E$2:$F$9,2,FALSE)</f>
        <v>Home</v>
      </c>
      <c r="R123" s="38" t="s">
        <v>206</v>
      </c>
      <c r="S123" s="33" t="s">
        <v>172</v>
      </c>
      <c r="T123" s="38" t="s">
        <v>159</v>
      </c>
      <c r="U123" s="33">
        <v>2</v>
      </c>
      <c r="V123" s="35" t="str">
        <f>VLOOKUP(U123,Key!$E$2:$F$9,2,FALSE)</f>
        <v>Work</v>
      </c>
      <c r="W123" s="35" t="str">
        <f>Q123&amp;"-"&amp;V123</f>
        <v>Home-Work</v>
      </c>
      <c r="X123" s="51">
        <v>30000</v>
      </c>
      <c r="Y123" s="39">
        <v>200</v>
      </c>
      <c r="Z123" s="39">
        <v>4.5</v>
      </c>
      <c r="AA123" s="33">
        <v>6</v>
      </c>
      <c r="AB123" s="35" t="str">
        <f>VLOOKUP(AA123,Key!$C$20:$D$29,2,FALSE)</f>
        <v>Businessman</v>
      </c>
      <c r="AC123" s="33">
        <v>1</v>
      </c>
      <c r="AD123" s="35" t="str">
        <f>VLOOKUP(AC123,Key!$E$20:$F$24,2,FALSE)</f>
        <v>&lt;300,000</v>
      </c>
      <c r="AE123" s="33">
        <v>5</v>
      </c>
      <c r="AF123" s="39">
        <v>5</v>
      </c>
      <c r="AG123" s="39">
        <v>5</v>
      </c>
      <c r="AH123" s="39">
        <v>5</v>
      </c>
      <c r="AI123" s="39">
        <v>5</v>
      </c>
      <c r="AJ123" s="40" t="s">
        <v>160</v>
      </c>
      <c r="AK123" s="41">
        <v>0</v>
      </c>
      <c r="AL123" s="25"/>
      <c r="AM123" s="25"/>
    </row>
    <row r="124" spans="2:39" x14ac:dyDescent="0.2">
      <c r="B124" s="50" t="s">
        <v>239</v>
      </c>
      <c r="C124" s="36">
        <v>0.70833333333333337</v>
      </c>
      <c r="D124" s="36"/>
      <c r="E124" s="36" t="s">
        <v>164</v>
      </c>
      <c r="F124" s="38">
        <v>2</v>
      </c>
      <c r="G124" s="43" t="str">
        <f>VLOOKUP(F124,Key!$A$17:$B$21,2,FALSE)</f>
        <v>Road Vehicle</v>
      </c>
      <c r="H124" s="37">
        <v>6</v>
      </c>
      <c r="I124" s="44" t="str">
        <f>VLOOKUP(H124,Key!$A$2:$B$13,2,FALSE)</f>
        <v>Large Bus</v>
      </c>
      <c r="J124" s="38" t="s">
        <v>174</v>
      </c>
      <c r="K124" s="38">
        <v>2</v>
      </c>
      <c r="L124" s="45" t="str">
        <f>VLOOKUP(K124,Key!$A$24:$B$29,2,FALSE)</f>
        <v>30-39</v>
      </c>
      <c r="M124" s="38" t="s">
        <v>168</v>
      </c>
      <c r="N124" s="33" t="s">
        <v>161</v>
      </c>
      <c r="O124" s="38" t="s">
        <v>159</v>
      </c>
      <c r="P124" s="40">
        <v>2</v>
      </c>
      <c r="Q124" s="35" t="str">
        <f>VLOOKUP(P124,Key!$E$2:$F$9,2,FALSE)</f>
        <v>Work</v>
      </c>
      <c r="R124" s="38" t="s">
        <v>317</v>
      </c>
      <c r="S124" s="33" t="s">
        <v>316</v>
      </c>
      <c r="T124" s="38" t="s">
        <v>159</v>
      </c>
      <c r="U124" s="33">
        <v>8</v>
      </c>
      <c r="V124" s="35" t="str">
        <f>VLOOKUP(U124,Key!$E$2:$F$9,2,FALSE)</f>
        <v>Others</v>
      </c>
      <c r="W124" s="35" t="str">
        <f>Q124&amp;"-"&amp;V124</f>
        <v>Work-Others</v>
      </c>
      <c r="X124" s="51">
        <v>20000</v>
      </c>
      <c r="Y124" s="39">
        <v>270</v>
      </c>
      <c r="Z124" s="39">
        <v>3</v>
      </c>
      <c r="AA124" s="33">
        <v>6</v>
      </c>
      <c r="AB124" s="35" t="str">
        <f>VLOOKUP(AA124,Key!$C$20:$D$29,2,FALSE)</f>
        <v>Businessman</v>
      </c>
      <c r="AC124" s="33">
        <v>1</v>
      </c>
      <c r="AD124" s="35" t="str">
        <f>VLOOKUP(AC124,Key!$E$20:$F$24,2,FALSE)</f>
        <v>&lt;300,000</v>
      </c>
      <c r="AE124" s="33">
        <v>2</v>
      </c>
      <c r="AF124" s="39">
        <v>4</v>
      </c>
      <c r="AG124" s="39">
        <v>2</v>
      </c>
      <c r="AH124" s="39">
        <v>2</v>
      </c>
      <c r="AI124" s="39">
        <v>1</v>
      </c>
      <c r="AJ124" s="40" t="s">
        <v>160</v>
      </c>
      <c r="AK124" s="41">
        <v>0</v>
      </c>
      <c r="AL124" s="25"/>
      <c r="AM124" s="25"/>
    </row>
    <row r="125" spans="2:39" x14ac:dyDescent="0.2">
      <c r="B125" s="50" t="s">
        <v>239</v>
      </c>
      <c r="C125" s="36">
        <v>0.65833333333333333</v>
      </c>
      <c r="D125" s="36" t="s">
        <v>319</v>
      </c>
      <c r="E125" s="36" t="s">
        <v>173</v>
      </c>
      <c r="F125" s="38">
        <v>2</v>
      </c>
      <c r="G125" s="43" t="str">
        <f>VLOOKUP(F125,Key!$A$17:$B$21,2,FALSE)</f>
        <v>Road Vehicle</v>
      </c>
      <c r="H125" s="37">
        <v>6</v>
      </c>
      <c r="I125" s="44" t="str">
        <f>VLOOKUP(H125,Key!$A$2:$B$13,2,FALSE)</f>
        <v>Large Bus</v>
      </c>
      <c r="J125" s="38" t="s">
        <v>174</v>
      </c>
      <c r="K125" s="38">
        <v>2</v>
      </c>
      <c r="L125" s="45" t="str">
        <f>VLOOKUP(K125,Key!$A$24:$B$29,2,FALSE)</f>
        <v>30-39</v>
      </c>
      <c r="M125" s="38" t="s">
        <v>168</v>
      </c>
      <c r="N125" s="33" t="s">
        <v>161</v>
      </c>
      <c r="O125" s="38" t="s">
        <v>159</v>
      </c>
      <c r="P125" s="40">
        <v>2</v>
      </c>
      <c r="Q125" s="35" t="str">
        <f>VLOOKUP(P125,Key!$E$2:$F$9,2,FALSE)</f>
        <v>Work</v>
      </c>
      <c r="R125" s="38" t="s">
        <v>227</v>
      </c>
      <c r="S125" s="33" t="s">
        <v>228</v>
      </c>
      <c r="T125" s="38" t="s">
        <v>159</v>
      </c>
      <c r="U125" s="33">
        <v>2</v>
      </c>
      <c r="V125" s="35" t="str">
        <f>VLOOKUP(U125,Key!$E$2:$F$9,2,FALSE)</f>
        <v>Work</v>
      </c>
      <c r="W125" s="35" t="str">
        <f>Q125&amp;"-"&amp;V125</f>
        <v>Work-Work</v>
      </c>
      <c r="X125" s="51">
        <v>300000</v>
      </c>
      <c r="Y125" s="39">
        <v>800</v>
      </c>
      <c r="Z125" s="39">
        <v>12</v>
      </c>
      <c r="AA125" s="33">
        <v>5</v>
      </c>
      <c r="AB125" s="35" t="str">
        <f>VLOOKUP(AA125,Key!$C$20:$D$29,2,FALSE)</f>
        <v>Professional</v>
      </c>
      <c r="AC125" s="33">
        <v>3</v>
      </c>
      <c r="AD125" s="35" t="str">
        <f>VLOOKUP(AC125,Key!$E$20:$F$24,2,FALSE)</f>
        <v>500,000-750,000</v>
      </c>
      <c r="AE125" s="33">
        <v>5</v>
      </c>
      <c r="AF125" s="39">
        <v>5</v>
      </c>
      <c r="AG125" s="39">
        <v>5</v>
      </c>
      <c r="AH125" s="39">
        <v>5</v>
      </c>
      <c r="AI125" s="39">
        <v>5</v>
      </c>
      <c r="AJ125" s="40" t="s">
        <v>160</v>
      </c>
      <c r="AK125" s="41">
        <v>5000</v>
      </c>
      <c r="AL125" s="25"/>
      <c r="AM125" s="25"/>
    </row>
    <row r="126" spans="2:39" x14ac:dyDescent="0.2">
      <c r="B126" s="50" t="s">
        <v>321</v>
      </c>
      <c r="C126" s="36">
        <v>0.61249999999999993</v>
      </c>
      <c r="D126" s="36" t="s">
        <v>330</v>
      </c>
      <c r="E126" s="36" t="s">
        <v>173</v>
      </c>
      <c r="F126" s="38">
        <v>2</v>
      </c>
      <c r="G126" s="43" t="str">
        <f>VLOOKUP(F126,Key!$A$17:$B$21,2,FALSE)</f>
        <v>Road Vehicle</v>
      </c>
      <c r="H126" s="37">
        <v>6</v>
      </c>
      <c r="I126" s="44" t="str">
        <f>VLOOKUP(H126,Key!$A$2:$B$13,2,FALSE)</f>
        <v>Large Bus</v>
      </c>
      <c r="J126" s="38" t="s">
        <v>174</v>
      </c>
      <c r="K126" s="38">
        <v>2</v>
      </c>
      <c r="L126" s="45" t="str">
        <f>VLOOKUP(K126,Key!$A$24:$B$29,2,FALSE)</f>
        <v>30-39</v>
      </c>
      <c r="M126" s="38" t="s">
        <v>188</v>
      </c>
      <c r="N126" s="33" t="s">
        <v>161</v>
      </c>
      <c r="O126" s="38" t="s">
        <v>159</v>
      </c>
      <c r="P126" s="40">
        <v>2</v>
      </c>
      <c r="Q126" s="35" t="str">
        <f>VLOOKUP(P126,Key!$E$2:$F$9,2,FALSE)</f>
        <v>Work</v>
      </c>
      <c r="R126" s="38" t="s">
        <v>171</v>
      </c>
      <c r="S126" s="33" t="s">
        <v>172</v>
      </c>
      <c r="T126" s="38" t="s">
        <v>159</v>
      </c>
      <c r="U126" s="33">
        <v>8</v>
      </c>
      <c r="V126" s="35" t="str">
        <f>VLOOKUP(U126,Key!$E$2:$F$9,2,FALSE)</f>
        <v>Others</v>
      </c>
      <c r="W126" s="35" t="str">
        <f>Q126&amp;"-"&amp;V126</f>
        <v>Work-Others</v>
      </c>
      <c r="X126" s="51">
        <v>100000</v>
      </c>
      <c r="Y126" s="39">
        <v>120</v>
      </c>
      <c r="Z126" s="39">
        <v>4</v>
      </c>
      <c r="AA126" s="33">
        <v>10</v>
      </c>
      <c r="AB126" s="35" t="str">
        <f>VLOOKUP(AA126,Key!$C$20:$D$29,2,FALSE)</f>
        <v>Other</v>
      </c>
      <c r="AC126" s="33">
        <v>2</v>
      </c>
      <c r="AD126" s="35" t="str">
        <f>VLOOKUP(AC126,Key!$E$20:$F$24,2,FALSE)</f>
        <v>300,000-500,000</v>
      </c>
      <c r="AE126" s="33">
        <v>5</v>
      </c>
      <c r="AF126" s="39">
        <v>4</v>
      </c>
      <c r="AG126" s="39">
        <v>5</v>
      </c>
      <c r="AH126" s="39">
        <v>5</v>
      </c>
      <c r="AI126" s="39">
        <v>5</v>
      </c>
      <c r="AJ126" s="40" t="s">
        <v>160</v>
      </c>
      <c r="AK126" s="41">
        <v>2000</v>
      </c>
      <c r="AL126" s="25"/>
      <c r="AM126" s="25"/>
    </row>
    <row r="127" spans="2:39" x14ac:dyDescent="0.2">
      <c r="B127" s="50" t="s">
        <v>321</v>
      </c>
      <c r="C127" s="36">
        <v>0.4236111111111111</v>
      </c>
      <c r="D127" s="36" t="s">
        <v>344</v>
      </c>
      <c r="E127" s="36" t="s">
        <v>173</v>
      </c>
      <c r="F127" s="38">
        <v>2</v>
      </c>
      <c r="G127" s="43" t="str">
        <f>VLOOKUP(F127,Key!$A$17:$B$21,2,FALSE)</f>
        <v>Road Vehicle</v>
      </c>
      <c r="H127" s="37">
        <v>6</v>
      </c>
      <c r="I127" s="44" t="str">
        <f>VLOOKUP(H127,Key!$A$2:$B$13,2,FALSE)</f>
        <v>Large Bus</v>
      </c>
      <c r="J127" s="38" t="s">
        <v>174</v>
      </c>
      <c r="K127" s="38">
        <v>2</v>
      </c>
      <c r="L127" s="45" t="str">
        <f>VLOOKUP(K127,Key!$A$24:$B$29,2,FALSE)</f>
        <v>30-39</v>
      </c>
      <c r="M127" s="38" t="s">
        <v>340</v>
      </c>
      <c r="N127" s="33" t="s">
        <v>341</v>
      </c>
      <c r="O127" s="38" t="s">
        <v>159</v>
      </c>
      <c r="P127" s="40">
        <v>2</v>
      </c>
      <c r="Q127" s="35" t="str">
        <f>VLOOKUP(P127,Key!$E$2:$F$9,2,FALSE)</f>
        <v>Work</v>
      </c>
      <c r="R127" s="38" t="s">
        <v>171</v>
      </c>
      <c r="S127" s="33" t="s">
        <v>172</v>
      </c>
      <c r="T127" s="38" t="s">
        <v>159</v>
      </c>
      <c r="U127" s="33">
        <v>8</v>
      </c>
      <c r="V127" s="35" t="str">
        <f>VLOOKUP(U127,Key!$E$2:$F$9,2,FALSE)</f>
        <v>Others</v>
      </c>
      <c r="W127" s="35" t="str">
        <f>Q127&amp;"-"&amp;V127</f>
        <v>Work-Others</v>
      </c>
      <c r="X127" s="51">
        <v>200000</v>
      </c>
      <c r="Y127" s="39">
        <v>340</v>
      </c>
      <c r="Z127" s="39">
        <v>6</v>
      </c>
      <c r="AA127" s="33">
        <v>5</v>
      </c>
      <c r="AB127" s="35" t="str">
        <f>VLOOKUP(AA127,Key!$C$20:$D$29,2,FALSE)</f>
        <v>Professional</v>
      </c>
      <c r="AC127" s="33">
        <v>2</v>
      </c>
      <c r="AD127" s="35" t="str">
        <f>VLOOKUP(AC127,Key!$E$20:$F$24,2,FALSE)</f>
        <v>300,000-500,000</v>
      </c>
      <c r="AE127" s="33">
        <v>5</v>
      </c>
      <c r="AF127" s="39">
        <v>4</v>
      </c>
      <c r="AG127" s="39">
        <v>2</v>
      </c>
      <c r="AH127" s="39">
        <v>2</v>
      </c>
      <c r="AI127" s="39">
        <v>2</v>
      </c>
      <c r="AJ127" s="40" t="s">
        <v>160</v>
      </c>
      <c r="AK127" s="41">
        <v>2000</v>
      </c>
      <c r="AL127" s="25"/>
      <c r="AM127" s="25"/>
    </row>
    <row r="128" spans="2:39" x14ac:dyDescent="0.2">
      <c r="B128" s="50" t="s">
        <v>321</v>
      </c>
      <c r="C128" s="36">
        <v>0.39583333333333331</v>
      </c>
      <c r="D128" s="36" t="s">
        <v>345</v>
      </c>
      <c r="E128" s="36" t="s">
        <v>173</v>
      </c>
      <c r="F128" s="38">
        <v>2</v>
      </c>
      <c r="G128" s="43" t="str">
        <f>VLOOKUP(F128,Key!$A$17:$B$21,2,FALSE)</f>
        <v>Road Vehicle</v>
      </c>
      <c r="H128" s="37">
        <v>6</v>
      </c>
      <c r="I128" s="44" t="str">
        <f>VLOOKUP(H128,Key!$A$2:$B$13,2,FALSE)</f>
        <v>Large Bus</v>
      </c>
      <c r="J128" s="38" t="s">
        <v>174</v>
      </c>
      <c r="K128" s="38">
        <v>2</v>
      </c>
      <c r="L128" s="45" t="str">
        <f>VLOOKUP(K128,Key!$A$24:$B$29,2,FALSE)</f>
        <v>30-39</v>
      </c>
      <c r="M128" s="38" t="s">
        <v>168</v>
      </c>
      <c r="N128" s="33" t="s">
        <v>161</v>
      </c>
      <c r="O128" s="38" t="s">
        <v>159</v>
      </c>
      <c r="P128" s="40">
        <v>2</v>
      </c>
      <c r="Q128" s="35" t="str">
        <f>VLOOKUP(P128,Key!$E$2:$F$9,2,FALSE)</f>
        <v>Work</v>
      </c>
      <c r="R128" s="38" t="s">
        <v>192</v>
      </c>
      <c r="S128" s="33" t="s">
        <v>193</v>
      </c>
      <c r="T128" s="38" t="s">
        <v>159</v>
      </c>
      <c r="U128" s="33">
        <v>8</v>
      </c>
      <c r="V128" s="35" t="str">
        <f>VLOOKUP(U128,Key!$E$2:$F$9,2,FALSE)</f>
        <v>Others</v>
      </c>
      <c r="W128" s="35" t="str">
        <f>Q128&amp;"-"&amp;V128</f>
        <v>Work-Others</v>
      </c>
      <c r="X128" s="51">
        <v>80000</v>
      </c>
      <c r="Y128" s="39">
        <v>320</v>
      </c>
      <c r="Z128" s="39">
        <v>3</v>
      </c>
      <c r="AA128" s="33">
        <v>5</v>
      </c>
      <c r="AB128" s="35" t="str">
        <f>VLOOKUP(AA128,Key!$C$20:$D$29,2,FALSE)</f>
        <v>Professional</v>
      </c>
      <c r="AC128" s="33">
        <v>2</v>
      </c>
      <c r="AD128" s="35" t="str">
        <f>VLOOKUP(AC128,Key!$E$20:$F$24,2,FALSE)</f>
        <v>300,000-500,000</v>
      </c>
      <c r="AE128" s="33">
        <v>5</v>
      </c>
      <c r="AF128" s="39">
        <v>4</v>
      </c>
      <c r="AG128" s="39">
        <v>5</v>
      </c>
      <c r="AH128" s="39">
        <v>5</v>
      </c>
      <c r="AI128" s="39">
        <v>5</v>
      </c>
      <c r="AJ128" s="40" t="s">
        <v>160</v>
      </c>
      <c r="AK128" s="41">
        <v>2000</v>
      </c>
      <c r="AL128" s="25"/>
      <c r="AM128" s="25"/>
    </row>
    <row r="129" spans="1:46" x14ac:dyDescent="0.2">
      <c r="B129" s="50" t="s">
        <v>321</v>
      </c>
      <c r="C129" s="36">
        <v>0.37013888888888885</v>
      </c>
      <c r="D129" s="36" t="s">
        <v>346</v>
      </c>
      <c r="E129" s="36" t="s">
        <v>173</v>
      </c>
      <c r="F129" s="38">
        <v>2</v>
      </c>
      <c r="G129" s="43" t="str">
        <f>VLOOKUP(F129,Key!$A$17:$B$21,2,FALSE)</f>
        <v>Road Vehicle</v>
      </c>
      <c r="H129" s="37">
        <v>6</v>
      </c>
      <c r="I129" s="44" t="str">
        <f>VLOOKUP(H129,Key!$A$2:$B$13,2,FALSE)</f>
        <v>Large Bus</v>
      </c>
      <c r="J129" s="38" t="s">
        <v>174</v>
      </c>
      <c r="K129" s="38">
        <v>2</v>
      </c>
      <c r="L129" s="45" t="str">
        <f>VLOOKUP(K129,Key!$A$24:$B$29,2,FALSE)</f>
        <v>30-39</v>
      </c>
      <c r="M129" s="38" t="s">
        <v>168</v>
      </c>
      <c r="N129" s="33" t="s">
        <v>161</v>
      </c>
      <c r="O129" s="38" t="s">
        <v>159</v>
      </c>
      <c r="P129" s="40">
        <v>2</v>
      </c>
      <c r="Q129" s="35" t="str">
        <f>VLOOKUP(P129,Key!$E$2:$F$9,2,FALSE)</f>
        <v>Work</v>
      </c>
      <c r="R129" s="38" t="s">
        <v>227</v>
      </c>
      <c r="S129" s="33" t="s">
        <v>228</v>
      </c>
      <c r="T129" s="38" t="s">
        <v>159</v>
      </c>
      <c r="U129" s="33">
        <v>8</v>
      </c>
      <c r="V129" s="35" t="str">
        <f>VLOOKUP(U129,Key!$E$2:$F$9,2,FALSE)</f>
        <v>Others</v>
      </c>
      <c r="W129" s="35" t="str">
        <f>Q129&amp;"-"&amp;V129</f>
        <v>Work-Others</v>
      </c>
      <c r="X129" s="51">
        <v>200000</v>
      </c>
      <c r="Y129" s="39">
        <v>600</v>
      </c>
      <c r="Z129" s="39">
        <v>8</v>
      </c>
      <c r="AA129" s="33">
        <v>10</v>
      </c>
      <c r="AB129" s="35" t="str">
        <f>VLOOKUP(AA129,Key!$C$20:$D$29,2,FALSE)</f>
        <v>Other</v>
      </c>
      <c r="AC129" s="33">
        <v>2</v>
      </c>
      <c r="AD129" s="35" t="str">
        <f>VLOOKUP(AC129,Key!$E$20:$F$24,2,FALSE)</f>
        <v>300,000-500,000</v>
      </c>
      <c r="AE129" s="33">
        <v>5</v>
      </c>
      <c r="AF129" s="39">
        <v>4</v>
      </c>
      <c r="AG129" s="39">
        <v>2</v>
      </c>
      <c r="AH129" s="39">
        <v>2</v>
      </c>
      <c r="AI129" s="39">
        <v>2</v>
      </c>
      <c r="AJ129" s="40" t="s">
        <v>160</v>
      </c>
      <c r="AK129" s="41">
        <v>2000</v>
      </c>
      <c r="AL129" s="25"/>
      <c r="AM129" s="25"/>
    </row>
    <row r="130" spans="1:46" x14ac:dyDescent="0.2">
      <c r="B130" s="50" t="s">
        <v>321</v>
      </c>
      <c r="C130" s="36">
        <v>0.33333333333333331</v>
      </c>
      <c r="D130" s="36" t="s">
        <v>305</v>
      </c>
      <c r="E130" s="36" t="s">
        <v>173</v>
      </c>
      <c r="F130" s="38">
        <v>2</v>
      </c>
      <c r="G130" s="43" t="str">
        <f>VLOOKUP(F130,Key!$A$17:$B$21,2,FALSE)</f>
        <v>Road Vehicle</v>
      </c>
      <c r="H130" s="37">
        <v>6</v>
      </c>
      <c r="I130" s="44" t="str">
        <f>VLOOKUP(H130,Key!$A$2:$B$13,2,FALSE)</f>
        <v>Large Bus</v>
      </c>
      <c r="J130" s="38" t="s">
        <v>174</v>
      </c>
      <c r="K130" s="38">
        <v>2</v>
      </c>
      <c r="L130" s="45" t="str">
        <f>VLOOKUP(K130,Key!$A$24:$B$29,2,FALSE)</f>
        <v>30-39</v>
      </c>
      <c r="M130" s="38" t="s">
        <v>168</v>
      </c>
      <c r="N130" s="33" t="s">
        <v>161</v>
      </c>
      <c r="O130" s="38" t="s">
        <v>159</v>
      </c>
      <c r="P130" s="40">
        <v>2</v>
      </c>
      <c r="Q130" s="35" t="str">
        <f>VLOOKUP(P130,Key!$E$2:$F$9,2,FALSE)</f>
        <v>Work</v>
      </c>
      <c r="R130" s="38" t="s">
        <v>270</v>
      </c>
      <c r="S130" s="33" t="s">
        <v>271</v>
      </c>
      <c r="T130" s="38" t="s">
        <v>159</v>
      </c>
      <c r="U130" s="33">
        <v>8</v>
      </c>
      <c r="V130" s="35" t="str">
        <f>VLOOKUP(U130,Key!$E$2:$F$9,2,FALSE)</f>
        <v>Others</v>
      </c>
      <c r="W130" s="35" t="str">
        <f>Q130&amp;"-"&amp;V130</f>
        <v>Work-Others</v>
      </c>
      <c r="X130" s="51">
        <v>200000</v>
      </c>
      <c r="Y130" s="39">
        <v>320</v>
      </c>
      <c r="Z130" s="39">
        <v>5</v>
      </c>
      <c r="AA130" s="33">
        <v>5</v>
      </c>
      <c r="AB130" s="35" t="str">
        <f>VLOOKUP(AA130,Key!$C$20:$D$29,2,FALSE)</f>
        <v>Professional</v>
      </c>
      <c r="AC130" s="33">
        <v>2</v>
      </c>
      <c r="AD130" s="35" t="str">
        <f>VLOOKUP(AC130,Key!$E$20:$F$24,2,FALSE)</f>
        <v>300,000-500,000</v>
      </c>
      <c r="AE130" s="33">
        <v>5</v>
      </c>
      <c r="AF130" s="39">
        <v>4</v>
      </c>
      <c r="AG130" s="39">
        <v>5</v>
      </c>
      <c r="AH130" s="39">
        <v>5</v>
      </c>
      <c r="AI130" s="39">
        <v>5</v>
      </c>
      <c r="AJ130" s="40" t="s">
        <v>160</v>
      </c>
      <c r="AK130" s="41">
        <v>2000</v>
      </c>
      <c r="AL130" s="25"/>
      <c r="AM130" s="25"/>
    </row>
    <row r="131" spans="1:46" x14ac:dyDescent="0.2">
      <c r="B131" s="50" t="s">
        <v>321</v>
      </c>
      <c r="C131" s="36">
        <v>0.34652777777777777</v>
      </c>
      <c r="D131" s="36"/>
      <c r="E131" s="36" t="s">
        <v>164</v>
      </c>
      <c r="F131" s="38">
        <v>2</v>
      </c>
      <c r="G131" s="43" t="str">
        <f>VLOOKUP(F131,Key!$A$17:$B$21,2,FALSE)</f>
        <v>Road Vehicle</v>
      </c>
      <c r="H131" s="37">
        <v>6</v>
      </c>
      <c r="I131" s="44" t="str">
        <f>VLOOKUP(H131,Key!$A$2:$B$13,2,FALSE)</f>
        <v>Large Bus</v>
      </c>
      <c r="J131" s="38" t="s">
        <v>174</v>
      </c>
      <c r="K131" s="38">
        <v>2</v>
      </c>
      <c r="L131" s="45" t="str">
        <f>VLOOKUP(K131,Key!$A$24:$B$29,2,FALSE)</f>
        <v>30-39</v>
      </c>
      <c r="M131" s="38" t="s">
        <v>168</v>
      </c>
      <c r="N131" s="33" t="s">
        <v>161</v>
      </c>
      <c r="O131" s="38" t="s">
        <v>159</v>
      </c>
      <c r="P131" s="40">
        <v>1</v>
      </c>
      <c r="Q131" s="35" t="str">
        <f>VLOOKUP(P131,Key!$E$2:$F$9,2,FALSE)</f>
        <v>Home</v>
      </c>
      <c r="R131" s="38" t="s">
        <v>270</v>
      </c>
      <c r="S131" s="33" t="s">
        <v>271</v>
      </c>
      <c r="T131" s="38" t="s">
        <v>159</v>
      </c>
      <c r="U131" s="33">
        <v>8</v>
      </c>
      <c r="V131" s="35" t="str">
        <f>VLOOKUP(U131,Key!$E$2:$F$9,2,FALSE)</f>
        <v>Others</v>
      </c>
      <c r="W131" s="35" t="str">
        <f>Q131&amp;"-"&amp;V131</f>
        <v>Home-Others</v>
      </c>
      <c r="X131" s="51">
        <v>30000</v>
      </c>
      <c r="Y131" s="39">
        <v>320</v>
      </c>
      <c r="Z131" s="39">
        <v>5</v>
      </c>
      <c r="AA131" s="33">
        <v>6</v>
      </c>
      <c r="AB131" s="35" t="str">
        <f>VLOOKUP(AA131,Key!$C$20:$D$29,2,FALSE)</f>
        <v>Businessman</v>
      </c>
      <c r="AC131" s="33">
        <v>1</v>
      </c>
      <c r="AD131" s="35" t="str">
        <f>VLOOKUP(AC131,Key!$E$20:$F$24,2,FALSE)</f>
        <v>&lt;300,000</v>
      </c>
      <c r="AE131" s="33">
        <v>2</v>
      </c>
      <c r="AF131" s="39">
        <v>2</v>
      </c>
      <c r="AG131" s="39">
        <v>2</v>
      </c>
      <c r="AH131" s="39">
        <v>2</v>
      </c>
      <c r="AI131" s="39">
        <v>2</v>
      </c>
      <c r="AJ131" s="40" t="s">
        <v>160</v>
      </c>
      <c r="AK131" s="41">
        <v>0</v>
      </c>
      <c r="AL131" s="25"/>
      <c r="AM131" s="25"/>
    </row>
    <row r="132" spans="1:46" x14ac:dyDescent="0.2">
      <c r="B132" s="50" t="s">
        <v>321</v>
      </c>
      <c r="C132" s="36">
        <v>0.29444444444444445</v>
      </c>
      <c r="D132" s="36" t="s">
        <v>352</v>
      </c>
      <c r="E132" s="36" t="s">
        <v>173</v>
      </c>
      <c r="F132" s="38">
        <v>2</v>
      </c>
      <c r="G132" s="43" t="str">
        <f>VLOOKUP(F132,Key!$A$17:$B$21,2,FALSE)</f>
        <v>Road Vehicle</v>
      </c>
      <c r="H132" s="37">
        <v>6</v>
      </c>
      <c r="I132" s="44" t="str">
        <f>VLOOKUP(H132,Key!$A$2:$B$13,2,FALSE)</f>
        <v>Large Bus</v>
      </c>
      <c r="J132" s="38" t="s">
        <v>174</v>
      </c>
      <c r="K132" s="38">
        <v>2</v>
      </c>
      <c r="L132" s="45" t="str">
        <f>VLOOKUP(K132,Key!$A$24:$B$29,2,FALSE)</f>
        <v>30-39</v>
      </c>
      <c r="M132" s="38" t="s">
        <v>169</v>
      </c>
      <c r="N132" s="33" t="s">
        <v>170</v>
      </c>
      <c r="O132" s="38" t="s">
        <v>159</v>
      </c>
      <c r="P132" s="40">
        <v>2</v>
      </c>
      <c r="Q132" s="35" t="str">
        <f>VLOOKUP(P132,Key!$E$2:$F$9,2,FALSE)</f>
        <v>Work</v>
      </c>
      <c r="R132" s="38" t="s">
        <v>171</v>
      </c>
      <c r="S132" s="33" t="s">
        <v>172</v>
      </c>
      <c r="T132" s="38" t="s">
        <v>159</v>
      </c>
      <c r="U132" s="33">
        <v>2</v>
      </c>
      <c r="V132" s="35" t="str">
        <f>VLOOKUP(U132,Key!$E$2:$F$9,2,FALSE)</f>
        <v>Work</v>
      </c>
      <c r="W132" s="35" t="str">
        <f>Q132&amp;"-"&amp;V132</f>
        <v>Work-Work</v>
      </c>
      <c r="X132" s="51">
        <v>380000</v>
      </c>
      <c r="Y132" s="39">
        <v>480</v>
      </c>
      <c r="Z132" s="39">
        <v>12</v>
      </c>
      <c r="AA132" s="33">
        <v>5</v>
      </c>
      <c r="AB132" s="35" t="str">
        <f>VLOOKUP(AA132,Key!$C$20:$D$29,2,FALSE)</f>
        <v>Professional</v>
      </c>
      <c r="AC132" s="33">
        <v>5</v>
      </c>
      <c r="AD132" s="35" t="str">
        <f>VLOOKUP(AC132,Key!$E$20:$F$24,2,FALSE)</f>
        <v>&gt;1,000,000</v>
      </c>
      <c r="AE132" s="33">
        <v>2</v>
      </c>
      <c r="AF132" s="39">
        <v>1</v>
      </c>
      <c r="AG132" s="39">
        <v>2</v>
      </c>
      <c r="AH132" s="39">
        <v>2</v>
      </c>
      <c r="AI132" s="39">
        <v>1</v>
      </c>
      <c r="AJ132" s="40" t="s">
        <v>160</v>
      </c>
      <c r="AK132" s="41">
        <v>5000</v>
      </c>
      <c r="AL132" s="25"/>
      <c r="AM132" s="25"/>
    </row>
    <row r="133" spans="1:46" x14ac:dyDescent="0.2">
      <c r="B133" s="50" t="s">
        <v>163</v>
      </c>
      <c r="C133" s="36">
        <v>0.6777777777777777</v>
      </c>
      <c r="D133" s="36"/>
      <c r="E133" s="36" t="s">
        <v>164</v>
      </c>
      <c r="F133" s="38">
        <v>2</v>
      </c>
      <c r="G133" s="43" t="str">
        <f>VLOOKUP(F133,Key!$A$17:$B$21,2,FALSE)</f>
        <v>Road Vehicle</v>
      </c>
      <c r="H133" s="37">
        <v>7</v>
      </c>
      <c r="I133" s="44" t="str">
        <f>VLOOKUP(H133,Key!$A$2:$B$13,2,FALSE)</f>
        <v xml:space="preserve">Light Truck </v>
      </c>
      <c r="J133" s="38" t="s">
        <v>165</v>
      </c>
      <c r="K133" s="38">
        <v>2</v>
      </c>
      <c r="L133" s="45" t="str">
        <f>VLOOKUP(K133,Key!$A$24:$B$29,2,FALSE)</f>
        <v>30-39</v>
      </c>
      <c r="M133" s="38" t="s">
        <v>169</v>
      </c>
      <c r="N133" s="33" t="s">
        <v>170</v>
      </c>
      <c r="O133" s="38" t="s">
        <v>159</v>
      </c>
      <c r="P133" s="40">
        <v>2</v>
      </c>
      <c r="Q133" s="35" t="str">
        <f>VLOOKUP(P133,Key!$E$2:$F$9,2,FALSE)</f>
        <v>Work</v>
      </c>
      <c r="R133" s="38" t="s">
        <v>185</v>
      </c>
      <c r="S133" s="33" t="s">
        <v>186</v>
      </c>
      <c r="T133" s="38" t="s">
        <v>159</v>
      </c>
      <c r="U133" s="33">
        <v>4</v>
      </c>
      <c r="V133" s="35" t="str">
        <f>VLOOKUP(U133,Key!$E$2:$F$9,2,FALSE)</f>
        <v>Commercial</v>
      </c>
      <c r="W133" s="35" t="str">
        <f>Q133&amp;"-"&amp;V133</f>
        <v>Work-Commercial</v>
      </c>
      <c r="X133" s="51">
        <v>30000</v>
      </c>
      <c r="Y133" s="39">
        <v>280</v>
      </c>
      <c r="Z133" s="39">
        <v>6</v>
      </c>
      <c r="AA133" s="33">
        <v>6</v>
      </c>
      <c r="AB133" s="35" t="str">
        <f>VLOOKUP(AA133,Key!$C$20:$D$29,2,FALSE)</f>
        <v>Businessman</v>
      </c>
      <c r="AC133" s="33">
        <v>3</v>
      </c>
      <c r="AD133" s="35" t="str">
        <f>VLOOKUP(AC133,Key!$E$20:$F$24,2,FALSE)</f>
        <v>500,000-750,000</v>
      </c>
      <c r="AE133" s="33">
        <v>2</v>
      </c>
      <c r="AF133" s="39">
        <v>2</v>
      </c>
      <c r="AG133" s="39">
        <v>3</v>
      </c>
      <c r="AH133" s="39">
        <v>2</v>
      </c>
      <c r="AI133" s="39">
        <v>2</v>
      </c>
      <c r="AJ133" s="40" t="s">
        <v>160</v>
      </c>
      <c r="AK133" s="41">
        <v>0</v>
      </c>
      <c r="AL133" s="25"/>
      <c r="AM133" s="25"/>
    </row>
    <row r="134" spans="1:46" x14ac:dyDescent="0.2">
      <c r="B134" s="50" t="s">
        <v>163</v>
      </c>
      <c r="C134" s="36">
        <v>0.7284722222222223</v>
      </c>
      <c r="D134" s="36"/>
      <c r="E134" s="36" t="s">
        <v>173</v>
      </c>
      <c r="F134" s="38">
        <v>2</v>
      </c>
      <c r="G134" s="43" t="str">
        <f>VLOOKUP(F134,Key!$A$17:$B$21,2,FALSE)</f>
        <v>Road Vehicle</v>
      </c>
      <c r="H134" s="37">
        <v>7</v>
      </c>
      <c r="I134" s="44" t="str">
        <f>VLOOKUP(H134,Key!$A$2:$B$13,2,FALSE)</f>
        <v xml:space="preserve">Light Truck </v>
      </c>
      <c r="J134" s="38" t="s">
        <v>174</v>
      </c>
      <c r="K134" s="38">
        <v>2</v>
      </c>
      <c r="L134" s="45" t="str">
        <f>VLOOKUP(K134,Key!$A$24:$B$29,2,FALSE)</f>
        <v>30-39</v>
      </c>
      <c r="M134" s="38" t="s">
        <v>177</v>
      </c>
      <c r="N134" s="33" t="s">
        <v>161</v>
      </c>
      <c r="O134" s="38" t="s">
        <v>159</v>
      </c>
      <c r="P134" s="40">
        <v>2</v>
      </c>
      <c r="Q134" s="35" t="str">
        <f>VLOOKUP(P134,Key!$E$2:$F$9,2,FALSE)</f>
        <v>Work</v>
      </c>
      <c r="R134" s="38" t="s">
        <v>168</v>
      </c>
      <c r="S134" s="33" t="s">
        <v>161</v>
      </c>
      <c r="T134" s="38" t="s">
        <v>159</v>
      </c>
      <c r="U134" s="33">
        <v>4</v>
      </c>
      <c r="V134" s="35" t="str">
        <f>VLOOKUP(U134,Key!$E$2:$F$9,2,FALSE)</f>
        <v>Commercial</v>
      </c>
      <c r="W134" s="35" t="str">
        <f>Q134&amp;"-"&amp;V134</f>
        <v>Work-Commercial</v>
      </c>
      <c r="X134" s="51">
        <v>30000</v>
      </c>
      <c r="Y134" s="39">
        <v>21</v>
      </c>
      <c r="Z134" s="39">
        <v>1</v>
      </c>
      <c r="AA134" s="33">
        <v>7</v>
      </c>
      <c r="AB134" s="35" t="str">
        <f>VLOOKUP(AA134,Key!$C$20:$D$29,2,FALSE)</f>
        <v>Farmer</v>
      </c>
      <c r="AC134" s="33">
        <v>3</v>
      </c>
      <c r="AD134" s="35" t="str">
        <f>VLOOKUP(AC134,Key!$E$20:$F$24,2,FALSE)</f>
        <v>500,000-750,000</v>
      </c>
      <c r="AE134" s="33">
        <v>3</v>
      </c>
      <c r="AF134" s="39">
        <v>3</v>
      </c>
      <c r="AG134" s="39">
        <v>4</v>
      </c>
      <c r="AH134" s="39">
        <v>5</v>
      </c>
      <c r="AI134" s="39">
        <v>3</v>
      </c>
      <c r="AJ134" s="40" t="s">
        <v>160</v>
      </c>
      <c r="AK134" s="41">
        <v>1000</v>
      </c>
      <c r="AL134" s="25"/>
      <c r="AM134" s="25"/>
    </row>
    <row r="135" spans="1:46" x14ac:dyDescent="0.2">
      <c r="A135" s="19"/>
      <c r="B135" s="50" t="s">
        <v>163</v>
      </c>
      <c r="C135" s="36">
        <v>0.76527777777777783</v>
      </c>
      <c r="D135" s="36"/>
      <c r="E135" s="36" t="s">
        <v>164</v>
      </c>
      <c r="F135" s="38">
        <v>2</v>
      </c>
      <c r="G135" s="43" t="str">
        <f>VLOOKUP(F135,Key!$A$17:$B$21,2,FALSE)</f>
        <v>Road Vehicle</v>
      </c>
      <c r="H135" s="37">
        <v>4</v>
      </c>
      <c r="I135" s="44" t="str">
        <f>VLOOKUP(H135,Key!$A$2:$B$13,2,FALSE)</f>
        <v>Minibus</v>
      </c>
      <c r="J135" s="38" t="s">
        <v>165</v>
      </c>
      <c r="K135" s="38">
        <v>2</v>
      </c>
      <c r="L135" s="45" t="str">
        <f>VLOOKUP(K135,Key!$A$24:$B$29,2,FALSE)</f>
        <v>30-39</v>
      </c>
      <c r="M135" s="38" t="s">
        <v>166</v>
      </c>
      <c r="N135" s="33" t="s">
        <v>167</v>
      </c>
      <c r="O135" s="38" t="s">
        <v>159</v>
      </c>
      <c r="P135" s="40">
        <v>4</v>
      </c>
      <c r="Q135" s="35" t="str">
        <f>VLOOKUP(P135,Key!$E$2:$F$9,2,FALSE)</f>
        <v>Commercial</v>
      </c>
      <c r="R135" s="38" t="s">
        <v>168</v>
      </c>
      <c r="S135" s="33" t="s">
        <v>161</v>
      </c>
      <c r="T135" s="38" t="s">
        <v>159</v>
      </c>
      <c r="U135" s="33">
        <v>1</v>
      </c>
      <c r="V135" s="35" t="str">
        <f>VLOOKUP(U135,Key!$E$2:$F$9,2,FALSE)</f>
        <v>Home</v>
      </c>
      <c r="W135" s="35" t="str">
        <f>Q135&amp;"-"&amp;V135</f>
        <v>Commercial-Home</v>
      </c>
      <c r="X135" s="51">
        <v>5000</v>
      </c>
      <c r="Y135" s="39">
        <v>51</v>
      </c>
      <c r="Z135" s="39">
        <v>1</v>
      </c>
      <c r="AA135" s="33">
        <v>6</v>
      </c>
      <c r="AB135" s="35" t="str">
        <f>VLOOKUP(AA135,Key!$C$20:$D$29,2,FALSE)</f>
        <v>Businessman</v>
      </c>
      <c r="AC135" s="33">
        <v>4</v>
      </c>
      <c r="AD135" s="35" t="str">
        <f>VLOOKUP(AC135,Key!$E$20:$F$24,2,FALSE)</f>
        <v>750,000-1,000,000</v>
      </c>
      <c r="AE135" s="33">
        <v>3</v>
      </c>
      <c r="AF135" s="39">
        <v>2</v>
      </c>
      <c r="AG135" s="39">
        <v>2</v>
      </c>
      <c r="AH135" s="39">
        <v>2</v>
      </c>
      <c r="AI135" s="39">
        <v>2</v>
      </c>
      <c r="AJ135" s="40" t="s">
        <v>160</v>
      </c>
      <c r="AK135" s="41">
        <v>1500</v>
      </c>
      <c r="AL135" s="25"/>
      <c r="AM135" s="25"/>
      <c r="AN135" s="19"/>
      <c r="AO135" s="19"/>
      <c r="AP135" s="19"/>
      <c r="AQ135" s="19"/>
      <c r="AR135" s="19"/>
      <c r="AS135" s="19"/>
      <c r="AT135" s="19"/>
    </row>
    <row r="136" spans="1:46" x14ac:dyDescent="0.2">
      <c r="B136" s="50" t="s">
        <v>163</v>
      </c>
      <c r="C136" s="36">
        <v>0.67986111111111114</v>
      </c>
      <c r="D136" s="36"/>
      <c r="E136" s="36" t="s">
        <v>164</v>
      </c>
      <c r="F136" s="38">
        <v>2</v>
      </c>
      <c r="G136" s="43" t="str">
        <f>VLOOKUP(F136,Key!$A$17:$B$21,2,FALSE)</f>
        <v>Road Vehicle</v>
      </c>
      <c r="H136" s="37">
        <v>4</v>
      </c>
      <c r="I136" s="44" t="str">
        <f>VLOOKUP(H136,Key!$A$2:$B$13,2,FALSE)</f>
        <v>Minibus</v>
      </c>
      <c r="J136" s="38" t="s">
        <v>165</v>
      </c>
      <c r="K136" s="38">
        <v>2</v>
      </c>
      <c r="L136" s="45" t="str">
        <f>VLOOKUP(K136,Key!$A$24:$B$29,2,FALSE)</f>
        <v>30-39</v>
      </c>
      <c r="M136" s="38" t="s">
        <v>194</v>
      </c>
      <c r="N136" s="33" t="s">
        <v>161</v>
      </c>
      <c r="O136" s="38" t="s">
        <v>159</v>
      </c>
      <c r="P136" s="40">
        <v>1</v>
      </c>
      <c r="Q136" s="35" t="str">
        <f>VLOOKUP(P136,Key!$E$2:$F$9,2,FALSE)</f>
        <v>Home</v>
      </c>
      <c r="R136" s="38" t="s">
        <v>168</v>
      </c>
      <c r="S136" s="33" t="s">
        <v>161</v>
      </c>
      <c r="T136" s="38" t="s">
        <v>159</v>
      </c>
      <c r="U136" s="33">
        <v>4</v>
      </c>
      <c r="V136" s="35" t="str">
        <f>VLOOKUP(U136,Key!$E$2:$F$9,2,FALSE)</f>
        <v>Commercial</v>
      </c>
      <c r="W136" s="35" t="str">
        <f>Q136&amp;"-"&amp;V136</f>
        <v>Home-Commercial</v>
      </c>
      <c r="X136" s="51">
        <v>3000</v>
      </c>
      <c r="Y136" s="39">
        <v>42</v>
      </c>
      <c r="Z136" s="39">
        <v>2</v>
      </c>
      <c r="AA136" s="33">
        <v>6</v>
      </c>
      <c r="AB136" s="35" t="str">
        <f>VLOOKUP(AA136,Key!$C$20:$D$29,2,FALSE)</f>
        <v>Businessman</v>
      </c>
      <c r="AC136" s="33">
        <v>4</v>
      </c>
      <c r="AD136" s="35" t="str">
        <f>VLOOKUP(AC136,Key!$E$20:$F$24,2,FALSE)</f>
        <v>750,000-1,000,000</v>
      </c>
      <c r="AE136" s="33">
        <v>3</v>
      </c>
      <c r="AF136" s="39">
        <v>2</v>
      </c>
      <c r="AG136" s="39">
        <v>3</v>
      </c>
      <c r="AH136" s="39">
        <v>4</v>
      </c>
      <c r="AI136" s="39">
        <v>2</v>
      </c>
      <c r="AJ136" s="40" t="s">
        <v>160</v>
      </c>
      <c r="AK136" s="41">
        <v>2000</v>
      </c>
      <c r="AL136" s="25"/>
      <c r="AM136" s="25"/>
    </row>
    <row r="137" spans="1:46" x14ac:dyDescent="0.2">
      <c r="B137" s="50" t="s">
        <v>163</v>
      </c>
      <c r="C137" s="36">
        <v>0.78263888888888899</v>
      </c>
      <c r="D137" s="36"/>
      <c r="E137" s="36" t="s">
        <v>164</v>
      </c>
      <c r="F137" s="38">
        <v>2</v>
      </c>
      <c r="G137" s="43" t="str">
        <f>VLOOKUP(F137,Key!$A$17:$B$21,2,FALSE)</f>
        <v>Road Vehicle</v>
      </c>
      <c r="H137" s="37">
        <v>4</v>
      </c>
      <c r="I137" s="44" t="str">
        <f>VLOOKUP(H137,Key!$A$2:$B$13,2,FALSE)</f>
        <v>Minibus</v>
      </c>
      <c r="J137" s="38" t="s">
        <v>165</v>
      </c>
      <c r="K137" s="38">
        <v>2</v>
      </c>
      <c r="L137" s="45" t="str">
        <f>VLOOKUP(K137,Key!$A$24:$B$29,2,FALSE)</f>
        <v>30-39</v>
      </c>
      <c r="M137" s="38" t="s">
        <v>168</v>
      </c>
      <c r="N137" s="33" t="s">
        <v>161</v>
      </c>
      <c r="O137" s="38" t="s">
        <v>159</v>
      </c>
      <c r="P137" s="40">
        <v>1</v>
      </c>
      <c r="Q137" s="35" t="str">
        <f>VLOOKUP(P137,Key!$E$2:$F$9,2,FALSE)</f>
        <v>Home</v>
      </c>
      <c r="R137" s="38" t="s">
        <v>185</v>
      </c>
      <c r="S137" s="33" t="s">
        <v>186</v>
      </c>
      <c r="T137" s="38" t="s">
        <v>159</v>
      </c>
      <c r="U137" s="33">
        <v>4</v>
      </c>
      <c r="V137" s="35" t="str">
        <f>VLOOKUP(U137,Key!$E$2:$F$9,2,FALSE)</f>
        <v>Commercial</v>
      </c>
      <c r="W137" s="35" t="str">
        <f>Q137&amp;"-"&amp;V137</f>
        <v>Home-Commercial</v>
      </c>
      <c r="X137" s="51">
        <v>10000</v>
      </c>
      <c r="Y137" s="39">
        <v>136</v>
      </c>
      <c r="Z137" s="39">
        <v>2</v>
      </c>
      <c r="AA137" s="33">
        <v>7</v>
      </c>
      <c r="AB137" s="35" t="str">
        <f>VLOOKUP(AA137,Key!$C$20:$D$29,2,FALSE)</f>
        <v>Farmer</v>
      </c>
      <c r="AC137" s="33">
        <v>1</v>
      </c>
      <c r="AD137" s="35" t="str">
        <f>VLOOKUP(AC137,Key!$E$20:$F$24,2,FALSE)</f>
        <v>&lt;300,000</v>
      </c>
      <c r="AE137" s="33">
        <v>5</v>
      </c>
      <c r="AF137" s="39">
        <v>1</v>
      </c>
      <c r="AG137" s="39">
        <v>1</v>
      </c>
      <c r="AH137" s="39">
        <v>1</v>
      </c>
      <c r="AI137" s="39">
        <v>1</v>
      </c>
      <c r="AJ137" s="40" t="s">
        <v>160</v>
      </c>
      <c r="AK137" s="41">
        <v>1000</v>
      </c>
      <c r="AL137" s="25"/>
      <c r="AM137" s="25"/>
    </row>
    <row r="138" spans="1:46" x14ac:dyDescent="0.2">
      <c r="B138" s="50" t="s">
        <v>239</v>
      </c>
      <c r="C138" s="36">
        <v>0.37291666666666662</v>
      </c>
      <c r="D138" s="36" t="s">
        <v>243</v>
      </c>
      <c r="E138" s="36" t="s">
        <v>173</v>
      </c>
      <c r="F138" s="38">
        <v>2</v>
      </c>
      <c r="G138" s="43" t="str">
        <f>VLOOKUP(F138,Key!$A$17:$B$21,2,FALSE)</f>
        <v>Road Vehicle</v>
      </c>
      <c r="H138" s="37">
        <v>4</v>
      </c>
      <c r="I138" s="44" t="str">
        <f>VLOOKUP(H138,Key!$A$2:$B$13,2,FALSE)</f>
        <v>Minibus</v>
      </c>
      <c r="J138" s="38" t="s">
        <v>165</v>
      </c>
      <c r="K138" s="38">
        <v>2</v>
      </c>
      <c r="L138" s="45" t="str">
        <f>VLOOKUP(K138,Key!$A$24:$B$29,2,FALSE)</f>
        <v>30-39</v>
      </c>
      <c r="M138" s="38" t="s">
        <v>244</v>
      </c>
      <c r="N138" s="33" t="s">
        <v>245</v>
      </c>
      <c r="O138" s="38" t="s">
        <v>159</v>
      </c>
      <c r="P138" s="40">
        <v>1</v>
      </c>
      <c r="Q138" s="35" t="str">
        <f>VLOOKUP(P138,Key!$E$2:$F$9,2,FALSE)</f>
        <v>Home</v>
      </c>
      <c r="R138" s="38" t="s">
        <v>171</v>
      </c>
      <c r="S138" s="33" t="s">
        <v>172</v>
      </c>
      <c r="T138" s="38" t="s">
        <v>159</v>
      </c>
      <c r="U138" s="33">
        <v>2</v>
      </c>
      <c r="V138" s="35" t="str">
        <f>VLOOKUP(U138,Key!$E$2:$F$9,2,FALSE)</f>
        <v>Work</v>
      </c>
      <c r="W138" s="35" t="str">
        <f>Q138&amp;"-"&amp;V138</f>
        <v>Home-Work</v>
      </c>
      <c r="X138" s="51">
        <v>400000</v>
      </c>
      <c r="Y138" s="39">
        <v>470</v>
      </c>
      <c r="Z138" s="39">
        <v>5</v>
      </c>
      <c r="AA138" s="33">
        <v>4</v>
      </c>
      <c r="AB138" s="35" t="str">
        <f>VLOOKUP(AA138,Key!$C$20:$D$29,2,FALSE)</f>
        <v>Office Worker</v>
      </c>
      <c r="AC138" s="33">
        <v>2</v>
      </c>
      <c r="AD138" s="35" t="str">
        <f>VLOOKUP(AC138,Key!$E$20:$F$24,2,FALSE)</f>
        <v>300,000-500,000</v>
      </c>
      <c r="AE138" s="33">
        <v>1</v>
      </c>
      <c r="AF138" s="39">
        <v>5</v>
      </c>
      <c r="AG138" s="39">
        <v>5</v>
      </c>
      <c r="AH138" s="39">
        <v>5</v>
      </c>
      <c r="AI138" s="39">
        <v>1</v>
      </c>
      <c r="AJ138" s="40" t="s">
        <v>160</v>
      </c>
      <c r="AK138" s="41">
        <v>1000</v>
      </c>
      <c r="AL138" s="25"/>
      <c r="AM138" s="25"/>
    </row>
    <row r="139" spans="1:46" x14ac:dyDescent="0.2">
      <c r="B139" s="50" t="s">
        <v>239</v>
      </c>
      <c r="C139" s="36">
        <v>0.38194444444444442</v>
      </c>
      <c r="D139" s="36"/>
      <c r="E139" s="36" t="s">
        <v>164</v>
      </c>
      <c r="F139" s="38">
        <v>2</v>
      </c>
      <c r="G139" s="43" t="str">
        <f>VLOOKUP(F139,Key!$A$17:$B$21,2,FALSE)</f>
        <v>Road Vehicle</v>
      </c>
      <c r="H139" s="37">
        <v>4</v>
      </c>
      <c r="I139" s="44" t="str">
        <f>VLOOKUP(H139,Key!$A$2:$B$13,2,FALSE)</f>
        <v>Minibus</v>
      </c>
      <c r="J139" s="38" t="s">
        <v>165</v>
      </c>
      <c r="K139" s="38">
        <v>2</v>
      </c>
      <c r="L139" s="45" t="str">
        <f>VLOOKUP(K139,Key!$A$24:$B$29,2,FALSE)</f>
        <v>30-39</v>
      </c>
      <c r="M139" s="38"/>
      <c r="N139" s="33"/>
      <c r="O139" s="38" t="s">
        <v>159</v>
      </c>
      <c r="P139" s="40">
        <v>1</v>
      </c>
      <c r="Q139" s="35" t="str">
        <f>VLOOKUP(P139,Key!$E$2:$F$9,2,FALSE)</f>
        <v>Home</v>
      </c>
      <c r="R139" s="38"/>
      <c r="S139" s="33"/>
      <c r="T139" s="38" t="s">
        <v>159</v>
      </c>
      <c r="U139" s="33">
        <v>2</v>
      </c>
      <c r="V139" s="35" t="str">
        <f>VLOOKUP(U139,Key!$E$2:$F$9,2,FALSE)</f>
        <v>Work</v>
      </c>
      <c r="W139" s="35" t="str">
        <f>Q139&amp;"-"&amp;V139</f>
        <v>Home-Work</v>
      </c>
      <c r="X139" s="33"/>
      <c r="Y139" s="39"/>
      <c r="Z139" s="39"/>
      <c r="AA139" s="33">
        <v>5</v>
      </c>
      <c r="AB139" s="35" t="str">
        <f>VLOOKUP(AA139,Key!$C$20:$D$29,2,FALSE)</f>
        <v>Professional</v>
      </c>
      <c r="AC139" s="33">
        <v>5</v>
      </c>
      <c r="AD139" s="35" t="str">
        <f>VLOOKUP(AC139,Key!$E$20:$F$24,2,FALSE)</f>
        <v>&gt;1,000,000</v>
      </c>
      <c r="AE139" s="33">
        <v>5</v>
      </c>
      <c r="AF139" s="39">
        <v>1</v>
      </c>
      <c r="AG139" s="39">
        <v>1</v>
      </c>
      <c r="AH139" s="39">
        <v>5</v>
      </c>
      <c r="AI139" s="39">
        <v>5</v>
      </c>
      <c r="AJ139" s="40" t="s">
        <v>160</v>
      </c>
      <c r="AK139" s="41">
        <v>2000</v>
      </c>
      <c r="AL139" s="25"/>
      <c r="AM139" s="25"/>
    </row>
    <row r="140" spans="1:46" x14ac:dyDescent="0.2">
      <c r="B140" s="50" t="s">
        <v>239</v>
      </c>
      <c r="C140" s="36">
        <v>0.38680555555555557</v>
      </c>
      <c r="D140" s="36"/>
      <c r="E140" s="36" t="s">
        <v>164</v>
      </c>
      <c r="F140" s="38">
        <v>2</v>
      </c>
      <c r="G140" s="43" t="str">
        <f>VLOOKUP(F140,Key!$A$17:$B$21,2,FALSE)</f>
        <v>Road Vehicle</v>
      </c>
      <c r="H140" s="37">
        <v>4</v>
      </c>
      <c r="I140" s="44" t="str">
        <f>VLOOKUP(H140,Key!$A$2:$B$13,2,FALSE)</f>
        <v>Minibus</v>
      </c>
      <c r="J140" s="38" t="s">
        <v>165</v>
      </c>
      <c r="K140" s="38">
        <v>2</v>
      </c>
      <c r="L140" s="45" t="str">
        <f>VLOOKUP(K140,Key!$A$24:$B$29,2,FALSE)</f>
        <v>30-39</v>
      </c>
      <c r="M140" s="38" t="s">
        <v>188</v>
      </c>
      <c r="N140" s="33" t="s">
        <v>161</v>
      </c>
      <c r="O140" s="38" t="s">
        <v>159</v>
      </c>
      <c r="P140" s="40">
        <v>1</v>
      </c>
      <c r="Q140" s="35" t="str">
        <f>VLOOKUP(P140,Key!$E$2:$F$9,2,FALSE)</f>
        <v>Home</v>
      </c>
      <c r="R140" s="38" t="s">
        <v>168</v>
      </c>
      <c r="S140" s="33" t="s">
        <v>161</v>
      </c>
      <c r="T140" s="38" t="s">
        <v>159</v>
      </c>
      <c r="U140" s="33">
        <v>4</v>
      </c>
      <c r="V140" s="35" t="str">
        <f>VLOOKUP(U140,Key!$E$2:$F$9,2,FALSE)</f>
        <v>Commercial</v>
      </c>
      <c r="W140" s="35" t="str">
        <f>Q140&amp;"-"&amp;V140</f>
        <v>Home-Commercial</v>
      </c>
      <c r="X140" s="51">
        <v>4000</v>
      </c>
      <c r="Y140" s="39">
        <v>2</v>
      </c>
      <c r="Z140" s="39">
        <v>0.33</v>
      </c>
      <c r="AA140" s="33">
        <v>2</v>
      </c>
      <c r="AB140" s="35" t="str">
        <f>VLOOKUP(AA140,Key!$C$20:$D$29,2,FALSE)</f>
        <v>Manual Labour</v>
      </c>
      <c r="AC140" s="33">
        <v>2</v>
      </c>
      <c r="AD140" s="35" t="str">
        <f>VLOOKUP(AC140,Key!$E$20:$F$24,2,FALSE)</f>
        <v>300,000-500,000</v>
      </c>
      <c r="AE140" s="33">
        <v>1</v>
      </c>
      <c r="AF140" s="39">
        <v>1</v>
      </c>
      <c r="AG140" s="39">
        <v>5</v>
      </c>
      <c r="AH140" s="39">
        <v>5</v>
      </c>
      <c r="AI140" s="39">
        <v>1</v>
      </c>
      <c r="AJ140" s="40" t="s">
        <v>160</v>
      </c>
      <c r="AK140" s="41">
        <v>6000</v>
      </c>
      <c r="AL140" s="25"/>
      <c r="AM140" s="25"/>
    </row>
    <row r="141" spans="1:46" x14ac:dyDescent="0.2">
      <c r="B141" s="50" t="s">
        <v>239</v>
      </c>
      <c r="C141" s="36">
        <v>0.4069444444444445</v>
      </c>
      <c r="D141" s="36" t="s">
        <v>252</v>
      </c>
      <c r="E141" s="36" t="s">
        <v>173</v>
      </c>
      <c r="F141" s="38">
        <v>2</v>
      </c>
      <c r="G141" s="43" t="str">
        <f>VLOOKUP(F141,Key!$A$17:$B$21,2,FALSE)</f>
        <v>Road Vehicle</v>
      </c>
      <c r="H141" s="37">
        <v>4</v>
      </c>
      <c r="I141" s="44" t="str">
        <f>VLOOKUP(H141,Key!$A$2:$B$13,2,FALSE)</f>
        <v>Minibus</v>
      </c>
      <c r="J141" s="38" t="s">
        <v>165</v>
      </c>
      <c r="K141" s="38">
        <v>2</v>
      </c>
      <c r="L141" s="45" t="str">
        <f>VLOOKUP(K141,Key!$A$24:$B$29,2,FALSE)</f>
        <v>30-39</v>
      </c>
      <c r="M141" s="38" t="s">
        <v>253</v>
      </c>
      <c r="N141" s="33" t="s">
        <v>161</v>
      </c>
      <c r="O141" s="38" t="s">
        <v>159</v>
      </c>
      <c r="P141" s="40">
        <v>1</v>
      </c>
      <c r="Q141" s="35" t="str">
        <f>VLOOKUP(P141,Key!$E$2:$F$9,2,FALSE)</f>
        <v>Home</v>
      </c>
      <c r="R141" s="38" t="s">
        <v>168</v>
      </c>
      <c r="S141" s="33" t="s">
        <v>161</v>
      </c>
      <c r="T141" s="38" t="s">
        <v>159</v>
      </c>
      <c r="U141" s="33">
        <v>2</v>
      </c>
      <c r="V141" s="35" t="str">
        <f>VLOOKUP(U141,Key!$E$2:$F$9,2,FALSE)</f>
        <v>Work</v>
      </c>
      <c r="W141" s="35" t="str">
        <f>Q141&amp;"-"&amp;V141</f>
        <v>Home-Work</v>
      </c>
      <c r="X141" s="51">
        <v>10000</v>
      </c>
      <c r="Y141" s="39">
        <v>3</v>
      </c>
      <c r="Z141" s="39">
        <v>0.25</v>
      </c>
      <c r="AA141" s="33">
        <v>5</v>
      </c>
      <c r="AB141" s="35" t="str">
        <f>VLOOKUP(AA141,Key!$C$20:$D$29,2,FALSE)</f>
        <v>Professional</v>
      </c>
      <c r="AC141" s="33">
        <v>2</v>
      </c>
      <c r="AD141" s="35" t="str">
        <f>VLOOKUP(AC141,Key!$E$20:$F$24,2,FALSE)</f>
        <v>300,000-500,000</v>
      </c>
      <c r="AE141" s="33">
        <v>1</v>
      </c>
      <c r="AF141" s="39">
        <v>1</v>
      </c>
      <c r="AG141" s="39">
        <v>1</v>
      </c>
      <c r="AH141" s="39">
        <v>5</v>
      </c>
      <c r="AI141" s="39">
        <v>5</v>
      </c>
      <c r="AJ141" s="40" t="s">
        <v>160</v>
      </c>
      <c r="AK141" s="41">
        <v>1000</v>
      </c>
      <c r="AL141" s="25"/>
      <c r="AM141" s="25"/>
    </row>
    <row r="142" spans="1:46" x14ac:dyDescent="0.2">
      <c r="A142" s="14"/>
      <c r="B142" s="50" t="s">
        <v>239</v>
      </c>
      <c r="C142" s="36">
        <v>0.44722222222222219</v>
      </c>
      <c r="D142" s="36"/>
      <c r="E142" s="36" t="s">
        <v>164</v>
      </c>
      <c r="F142" s="38">
        <v>2</v>
      </c>
      <c r="G142" s="43" t="str">
        <f>VLOOKUP(F142,Key!$A$17:$B$21,2,FALSE)</f>
        <v>Road Vehicle</v>
      </c>
      <c r="H142" s="37">
        <v>4</v>
      </c>
      <c r="I142" s="44" t="str">
        <f>VLOOKUP(H142,Key!$A$2:$B$13,2,FALSE)</f>
        <v>Minibus</v>
      </c>
      <c r="J142" s="38" t="s">
        <v>165</v>
      </c>
      <c r="K142" s="38">
        <v>2</v>
      </c>
      <c r="L142" s="45" t="str">
        <f>VLOOKUP(K142,Key!$A$24:$B$29,2,FALSE)</f>
        <v>30-39</v>
      </c>
      <c r="M142" s="38" t="s">
        <v>168</v>
      </c>
      <c r="N142" s="33" t="s">
        <v>161</v>
      </c>
      <c r="O142" s="38" t="s">
        <v>159</v>
      </c>
      <c r="P142" s="40">
        <v>1</v>
      </c>
      <c r="Q142" s="35" t="str">
        <f>VLOOKUP(P142,Key!$E$2:$F$9,2,FALSE)</f>
        <v>Home</v>
      </c>
      <c r="R142" s="38" t="s">
        <v>259</v>
      </c>
      <c r="S142" s="33" t="s">
        <v>260</v>
      </c>
      <c r="T142" s="38" t="s">
        <v>159</v>
      </c>
      <c r="U142" s="33">
        <v>4</v>
      </c>
      <c r="V142" s="35" t="str">
        <f>VLOOKUP(U142,Key!$E$2:$F$9,2,FALSE)</f>
        <v>Commercial</v>
      </c>
      <c r="W142" s="35" t="str">
        <f>Q142&amp;"-"&amp;V142</f>
        <v>Home-Commercial</v>
      </c>
      <c r="X142" s="51">
        <v>40000</v>
      </c>
      <c r="Y142" s="39">
        <v>240</v>
      </c>
      <c r="Z142" s="39">
        <v>6</v>
      </c>
      <c r="AA142" s="33">
        <v>1</v>
      </c>
      <c r="AB142" s="35" t="str">
        <f>VLOOKUP(AA142,Key!$C$20:$D$29,2,FALSE)</f>
        <v>Unemployed</v>
      </c>
      <c r="AC142" s="33">
        <v>1</v>
      </c>
      <c r="AD142" s="35" t="str">
        <f>VLOOKUP(AC142,Key!$E$20:$F$24,2,FALSE)</f>
        <v>&lt;300,000</v>
      </c>
      <c r="AE142" s="33">
        <v>5</v>
      </c>
      <c r="AF142" s="39">
        <v>5</v>
      </c>
      <c r="AG142" s="39">
        <v>1</v>
      </c>
      <c r="AH142" s="39">
        <v>4</v>
      </c>
      <c r="AI142" s="39">
        <v>5</v>
      </c>
      <c r="AJ142" s="40" t="s">
        <v>160</v>
      </c>
      <c r="AK142" s="41">
        <v>1000</v>
      </c>
      <c r="AL142" s="25"/>
      <c r="AM142" s="25"/>
    </row>
    <row r="143" spans="1:46" x14ac:dyDescent="0.2">
      <c r="A143" s="14"/>
      <c r="B143" s="50" t="s">
        <v>239</v>
      </c>
      <c r="C143" s="36">
        <v>0.4770833333333333</v>
      </c>
      <c r="D143" s="36"/>
      <c r="E143" s="36" t="s">
        <v>164</v>
      </c>
      <c r="F143" s="38">
        <v>2</v>
      </c>
      <c r="G143" s="43" t="str">
        <f>VLOOKUP(F143,Key!$A$17:$B$21,2,FALSE)</f>
        <v>Road Vehicle</v>
      </c>
      <c r="H143" s="37">
        <v>4</v>
      </c>
      <c r="I143" s="44" t="str">
        <f>VLOOKUP(H143,Key!$A$2:$B$13,2,FALSE)</f>
        <v>Minibus</v>
      </c>
      <c r="J143" s="38" t="s">
        <v>165</v>
      </c>
      <c r="K143" s="38">
        <v>2</v>
      </c>
      <c r="L143" s="45" t="str">
        <f>VLOOKUP(K143,Key!$A$24:$B$29,2,FALSE)</f>
        <v>30-39</v>
      </c>
      <c r="M143" s="38" t="s">
        <v>253</v>
      </c>
      <c r="N143" s="33" t="s">
        <v>161</v>
      </c>
      <c r="O143" s="38" t="s">
        <v>159</v>
      </c>
      <c r="P143" s="40">
        <v>1</v>
      </c>
      <c r="Q143" s="35" t="str">
        <f>VLOOKUP(P143,Key!$E$2:$F$9,2,FALSE)</f>
        <v>Home</v>
      </c>
      <c r="R143" s="38" t="s">
        <v>168</v>
      </c>
      <c r="S143" s="33" t="s">
        <v>161</v>
      </c>
      <c r="T143" s="38" t="s">
        <v>159</v>
      </c>
      <c r="U143" s="33">
        <v>2</v>
      </c>
      <c r="V143" s="35" t="str">
        <f>VLOOKUP(U143,Key!$E$2:$F$9,2,FALSE)</f>
        <v>Work</v>
      </c>
      <c r="W143" s="35" t="str">
        <f>Q143&amp;"-"&amp;V143</f>
        <v>Home-Work</v>
      </c>
      <c r="X143" s="51">
        <v>3000</v>
      </c>
      <c r="Y143" s="39">
        <v>20</v>
      </c>
      <c r="Z143" s="39">
        <v>0.25</v>
      </c>
      <c r="AA143" s="33">
        <v>2</v>
      </c>
      <c r="AB143" s="35" t="str">
        <f>VLOOKUP(AA143,Key!$C$20:$D$29,2,FALSE)</f>
        <v>Manual Labour</v>
      </c>
      <c r="AC143" s="33">
        <v>1</v>
      </c>
      <c r="AD143" s="35" t="str">
        <f>VLOOKUP(AC143,Key!$E$20:$F$24,2,FALSE)</f>
        <v>&lt;300,000</v>
      </c>
      <c r="AE143" s="33">
        <v>5</v>
      </c>
      <c r="AF143" s="39">
        <v>5</v>
      </c>
      <c r="AG143" s="39">
        <v>5</v>
      </c>
      <c r="AH143" s="39">
        <v>1</v>
      </c>
      <c r="AI143" s="39">
        <v>5</v>
      </c>
      <c r="AJ143" s="40" t="s">
        <v>160</v>
      </c>
      <c r="AK143" s="41">
        <v>3000</v>
      </c>
      <c r="AL143" s="25"/>
      <c r="AM143" s="25"/>
    </row>
    <row r="144" spans="1:46" x14ac:dyDescent="0.2">
      <c r="A144" s="14"/>
      <c r="B144" s="50" t="s">
        <v>239</v>
      </c>
      <c r="C144" s="36">
        <v>0.49027777777777781</v>
      </c>
      <c r="D144" s="36"/>
      <c r="E144" s="36" t="s">
        <v>164</v>
      </c>
      <c r="F144" s="38">
        <v>2</v>
      </c>
      <c r="G144" s="43" t="str">
        <f>VLOOKUP(F144,Key!$A$17:$B$21,2,FALSE)</f>
        <v>Road Vehicle</v>
      </c>
      <c r="H144" s="37">
        <v>4</v>
      </c>
      <c r="I144" s="44" t="str">
        <f>VLOOKUP(H144,Key!$A$2:$B$13,2,FALSE)</f>
        <v>Minibus</v>
      </c>
      <c r="J144" s="38" t="s">
        <v>165</v>
      </c>
      <c r="K144" s="38">
        <v>2</v>
      </c>
      <c r="L144" s="45" t="str">
        <f>VLOOKUP(K144,Key!$A$24:$B$29,2,FALSE)</f>
        <v>30-39</v>
      </c>
      <c r="M144" s="38" t="s">
        <v>267</v>
      </c>
      <c r="N144" s="33" t="s">
        <v>161</v>
      </c>
      <c r="O144" s="38" t="s">
        <v>159</v>
      </c>
      <c r="P144" s="40">
        <v>1</v>
      </c>
      <c r="Q144" s="35" t="str">
        <f>VLOOKUP(P144,Key!$E$2:$F$9,2,FALSE)</f>
        <v>Home</v>
      </c>
      <c r="R144" s="38" t="s">
        <v>168</v>
      </c>
      <c r="S144" s="33" t="s">
        <v>161</v>
      </c>
      <c r="T144" s="38" t="s">
        <v>159</v>
      </c>
      <c r="U144" s="33">
        <v>2</v>
      </c>
      <c r="V144" s="35" t="str">
        <f>VLOOKUP(U144,Key!$E$2:$F$9,2,FALSE)</f>
        <v>Work</v>
      </c>
      <c r="W144" s="35" t="str">
        <f>Q144&amp;"-"&amp;V144</f>
        <v>Home-Work</v>
      </c>
      <c r="X144" s="51">
        <v>7000</v>
      </c>
      <c r="Y144" s="39">
        <v>32</v>
      </c>
      <c r="Z144" s="39">
        <v>1</v>
      </c>
      <c r="AA144" s="33">
        <v>5</v>
      </c>
      <c r="AB144" s="35" t="str">
        <f>VLOOKUP(AA144,Key!$C$20:$D$29,2,FALSE)</f>
        <v>Professional</v>
      </c>
      <c r="AC144" s="33">
        <v>2</v>
      </c>
      <c r="AD144" s="35" t="str">
        <f>VLOOKUP(AC144,Key!$E$20:$F$24,2,FALSE)</f>
        <v>300,000-500,000</v>
      </c>
      <c r="AE144" s="33">
        <v>5</v>
      </c>
      <c r="AF144" s="39">
        <v>1</v>
      </c>
      <c r="AG144" s="39">
        <v>1</v>
      </c>
      <c r="AH144" s="39">
        <v>5</v>
      </c>
      <c r="AI144" s="39">
        <v>4</v>
      </c>
      <c r="AJ144" s="40" t="s">
        <v>160</v>
      </c>
      <c r="AK144" s="41">
        <v>0</v>
      </c>
      <c r="AL144" s="25"/>
      <c r="AM144" s="25"/>
    </row>
    <row r="145" spans="2:39" x14ac:dyDescent="0.2">
      <c r="B145" s="50" t="s">
        <v>239</v>
      </c>
      <c r="C145" s="36">
        <v>0.54861111111111105</v>
      </c>
      <c r="D145" s="36" t="s">
        <v>273</v>
      </c>
      <c r="E145" s="36" t="s">
        <v>173</v>
      </c>
      <c r="F145" s="38">
        <v>2</v>
      </c>
      <c r="G145" s="43" t="str">
        <f>VLOOKUP(F145,Key!$A$17:$B$21,2,FALSE)</f>
        <v>Road Vehicle</v>
      </c>
      <c r="H145" s="37">
        <v>4</v>
      </c>
      <c r="I145" s="44" t="str">
        <f>VLOOKUP(H145,Key!$A$2:$B$13,2,FALSE)</f>
        <v>Minibus</v>
      </c>
      <c r="J145" s="38" t="s">
        <v>165</v>
      </c>
      <c r="K145" s="38">
        <v>2</v>
      </c>
      <c r="L145" s="45" t="str">
        <f>VLOOKUP(K145,Key!$A$24:$B$29,2,FALSE)</f>
        <v>30-39</v>
      </c>
      <c r="M145" s="38" t="s">
        <v>168</v>
      </c>
      <c r="N145" s="33" t="s">
        <v>161</v>
      </c>
      <c r="O145" s="38" t="s">
        <v>159</v>
      </c>
      <c r="P145" s="40">
        <v>4</v>
      </c>
      <c r="Q145" s="35" t="str">
        <f>VLOOKUP(P145,Key!$E$2:$F$9,2,FALSE)</f>
        <v>Commercial</v>
      </c>
      <c r="R145" s="38" t="s">
        <v>227</v>
      </c>
      <c r="S145" s="33" t="s">
        <v>228</v>
      </c>
      <c r="T145" s="38" t="s">
        <v>159</v>
      </c>
      <c r="U145" s="33">
        <v>4</v>
      </c>
      <c r="V145" s="35" t="str">
        <f>VLOOKUP(U145,Key!$E$2:$F$9,2,FALSE)</f>
        <v>Commercial</v>
      </c>
      <c r="W145" s="35" t="str">
        <f>Q145&amp;"-"&amp;V145</f>
        <v>Commercial-Commercial</v>
      </c>
      <c r="X145" s="51">
        <v>300000</v>
      </c>
      <c r="Y145" s="39">
        <v>470</v>
      </c>
      <c r="Z145" s="39"/>
      <c r="AA145" s="33">
        <v>5</v>
      </c>
      <c r="AB145" s="35" t="str">
        <f>VLOOKUP(AA145,Key!$C$20:$D$29,2,FALSE)</f>
        <v>Professional</v>
      </c>
      <c r="AC145" s="33">
        <v>2</v>
      </c>
      <c r="AD145" s="35" t="str">
        <f>VLOOKUP(AC145,Key!$E$20:$F$24,2,FALSE)</f>
        <v>300,000-500,000</v>
      </c>
      <c r="AE145" s="33">
        <v>1</v>
      </c>
      <c r="AF145" s="39">
        <v>5</v>
      </c>
      <c r="AG145" s="39">
        <v>5</v>
      </c>
      <c r="AH145" s="39">
        <v>5</v>
      </c>
      <c r="AI145" s="39">
        <v>5</v>
      </c>
      <c r="AJ145" s="40" t="s">
        <v>160</v>
      </c>
      <c r="AK145" s="41">
        <v>0</v>
      </c>
      <c r="AL145" s="25"/>
      <c r="AM145" s="25"/>
    </row>
    <row r="146" spans="2:39" x14ac:dyDescent="0.2">
      <c r="B146" s="50" t="s">
        <v>239</v>
      </c>
      <c r="C146" s="36">
        <v>0.55277777777777781</v>
      </c>
      <c r="D146" s="36"/>
      <c r="E146" s="36" t="s">
        <v>164</v>
      </c>
      <c r="F146" s="38">
        <v>2</v>
      </c>
      <c r="G146" s="43" t="str">
        <f>VLOOKUP(F146,Key!$A$17:$B$21,2,FALSE)</f>
        <v>Road Vehicle</v>
      </c>
      <c r="H146" s="37">
        <v>4</v>
      </c>
      <c r="I146" s="44" t="str">
        <f>VLOOKUP(H146,Key!$A$2:$B$13,2,FALSE)</f>
        <v>Minibus</v>
      </c>
      <c r="J146" s="38" t="s">
        <v>165</v>
      </c>
      <c r="K146" s="38">
        <v>2</v>
      </c>
      <c r="L146" s="45" t="str">
        <f>VLOOKUP(K146,Key!$A$24:$B$29,2,FALSE)</f>
        <v>30-39</v>
      </c>
      <c r="M146" s="38" t="s">
        <v>168</v>
      </c>
      <c r="N146" s="33" t="s">
        <v>161</v>
      </c>
      <c r="O146" s="38" t="s">
        <v>159</v>
      </c>
      <c r="P146" s="40">
        <v>1</v>
      </c>
      <c r="Q146" s="35" t="str">
        <f>VLOOKUP(P146,Key!$E$2:$F$9,2,FALSE)</f>
        <v>Home</v>
      </c>
      <c r="R146" s="38" t="s">
        <v>274</v>
      </c>
      <c r="S146" s="33" t="s">
        <v>275</v>
      </c>
      <c r="T146" s="38" t="s">
        <v>159</v>
      </c>
      <c r="U146" s="33">
        <v>1</v>
      </c>
      <c r="V146" s="35" t="str">
        <f>VLOOKUP(U146,Key!$E$2:$F$9,2,FALSE)</f>
        <v>Home</v>
      </c>
      <c r="W146" s="35" t="str">
        <f>Q146&amp;"-"&amp;V146</f>
        <v>Home-Home</v>
      </c>
      <c r="X146" s="51">
        <v>40000</v>
      </c>
      <c r="Y146" s="39">
        <v>470</v>
      </c>
      <c r="Z146" s="39">
        <v>5</v>
      </c>
      <c r="AA146" s="33">
        <v>1</v>
      </c>
      <c r="AB146" s="35" t="str">
        <f>VLOOKUP(AA146,Key!$C$20:$D$29,2,FALSE)</f>
        <v>Unemployed</v>
      </c>
      <c r="AC146" s="33">
        <v>1</v>
      </c>
      <c r="AD146" s="35" t="str">
        <f>VLOOKUP(AC146,Key!$E$20:$F$24,2,FALSE)</f>
        <v>&lt;300,000</v>
      </c>
      <c r="AE146" s="33">
        <v>5</v>
      </c>
      <c r="AF146" s="39">
        <v>5</v>
      </c>
      <c r="AG146" s="39">
        <v>5</v>
      </c>
      <c r="AH146" s="39">
        <v>5</v>
      </c>
      <c r="AI146" s="39">
        <v>1</v>
      </c>
      <c r="AJ146" s="40" t="s">
        <v>160</v>
      </c>
      <c r="AK146" s="41">
        <v>0</v>
      </c>
      <c r="AL146" s="25"/>
      <c r="AM146" s="25"/>
    </row>
    <row r="147" spans="2:39" x14ac:dyDescent="0.2">
      <c r="B147" s="50" t="s">
        <v>239</v>
      </c>
      <c r="C147" s="36">
        <v>0.60138888888888886</v>
      </c>
      <c r="D147" s="36"/>
      <c r="E147" s="36" t="s">
        <v>164</v>
      </c>
      <c r="F147" s="38">
        <v>2</v>
      </c>
      <c r="G147" s="43" t="str">
        <f>VLOOKUP(F147,Key!$A$17:$B$21,2,FALSE)</f>
        <v>Road Vehicle</v>
      </c>
      <c r="H147" s="37">
        <v>4</v>
      </c>
      <c r="I147" s="44" t="str">
        <f>VLOOKUP(H147,Key!$A$2:$B$13,2,FALSE)</f>
        <v>Minibus</v>
      </c>
      <c r="J147" s="38" t="s">
        <v>165</v>
      </c>
      <c r="K147" s="38">
        <v>2</v>
      </c>
      <c r="L147" s="45" t="str">
        <f>VLOOKUP(K147,Key!$A$24:$B$29,2,FALSE)</f>
        <v>30-39</v>
      </c>
      <c r="M147" s="38" t="s">
        <v>200</v>
      </c>
      <c r="N147" s="33" t="s">
        <v>161</v>
      </c>
      <c r="O147" s="38" t="s">
        <v>159</v>
      </c>
      <c r="P147" s="40">
        <v>1</v>
      </c>
      <c r="Q147" s="35" t="str">
        <f>VLOOKUP(P147,Key!$E$2:$F$9,2,FALSE)</f>
        <v>Home</v>
      </c>
      <c r="R147" s="38" t="s">
        <v>168</v>
      </c>
      <c r="S147" s="33" t="s">
        <v>161</v>
      </c>
      <c r="T147" s="38" t="s">
        <v>159</v>
      </c>
      <c r="U147" s="33">
        <v>4</v>
      </c>
      <c r="V147" s="35" t="str">
        <f>VLOOKUP(U147,Key!$E$2:$F$9,2,FALSE)</f>
        <v>Commercial</v>
      </c>
      <c r="W147" s="35" t="str">
        <f>Q147&amp;"-"&amp;V147</f>
        <v>Home-Commercial</v>
      </c>
      <c r="X147" s="51">
        <v>4000</v>
      </c>
      <c r="Y147" s="39">
        <v>32</v>
      </c>
      <c r="Z147" s="39">
        <v>0.33</v>
      </c>
      <c r="AA147" s="33">
        <v>3</v>
      </c>
      <c r="AB147" s="35" t="str">
        <f>VLOOKUP(AA147,Key!$C$20:$D$29,2,FALSE)</f>
        <v>Artisan/Domestic</v>
      </c>
      <c r="AC147" s="33">
        <v>1</v>
      </c>
      <c r="AD147" s="35" t="str">
        <f>VLOOKUP(AC147,Key!$E$20:$F$24,2,FALSE)</f>
        <v>&lt;300,000</v>
      </c>
      <c r="AE147" s="33">
        <v>4</v>
      </c>
      <c r="AF147" s="39">
        <v>1</v>
      </c>
      <c r="AG147" s="39">
        <v>1</v>
      </c>
      <c r="AH147" s="39">
        <v>1</v>
      </c>
      <c r="AI147" s="39">
        <v>1</v>
      </c>
      <c r="AJ147" s="40" t="s">
        <v>160</v>
      </c>
      <c r="AK147" s="41">
        <v>0</v>
      </c>
      <c r="AL147" s="25"/>
      <c r="AM147" s="25"/>
    </row>
    <row r="148" spans="2:39" x14ac:dyDescent="0.2">
      <c r="B148" s="50" t="s">
        <v>239</v>
      </c>
      <c r="C148" s="36">
        <v>0.60416666666666663</v>
      </c>
      <c r="D148" s="36"/>
      <c r="E148" s="36" t="s">
        <v>164</v>
      </c>
      <c r="F148" s="38">
        <v>2</v>
      </c>
      <c r="G148" s="43" t="str">
        <f>VLOOKUP(F148,Key!$A$17:$B$21,2,FALSE)</f>
        <v>Road Vehicle</v>
      </c>
      <c r="H148" s="37">
        <v>4</v>
      </c>
      <c r="I148" s="44" t="str">
        <f>VLOOKUP(H148,Key!$A$2:$B$13,2,FALSE)</f>
        <v>Minibus</v>
      </c>
      <c r="J148" s="38" t="s">
        <v>165</v>
      </c>
      <c r="K148" s="38">
        <v>2</v>
      </c>
      <c r="L148" s="45" t="str">
        <f>VLOOKUP(K148,Key!$A$24:$B$29,2,FALSE)</f>
        <v>30-39</v>
      </c>
      <c r="M148" s="38" t="s">
        <v>253</v>
      </c>
      <c r="N148" s="33" t="s">
        <v>161</v>
      </c>
      <c r="O148" s="38" t="s">
        <v>159</v>
      </c>
      <c r="P148" s="40">
        <v>1</v>
      </c>
      <c r="Q148" s="35" t="str">
        <f>VLOOKUP(P148,Key!$E$2:$F$9,2,FALSE)</f>
        <v>Home</v>
      </c>
      <c r="R148" s="38" t="s">
        <v>168</v>
      </c>
      <c r="S148" s="33" t="s">
        <v>161</v>
      </c>
      <c r="T148" s="38" t="s">
        <v>159</v>
      </c>
      <c r="U148" s="33">
        <v>2</v>
      </c>
      <c r="V148" s="35" t="str">
        <f>VLOOKUP(U148,Key!$E$2:$F$9,2,FALSE)</f>
        <v>Work</v>
      </c>
      <c r="W148" s="35" t="str">
        <f>Q148&amp;"-"&amp;V148</f>
        <v>Home-Work</v>
      </c>
      <c r="X148" s="51">
        <v>10000</v>
      </c>
      <c r="Y148" s="39">
        <v>3</v>
      </c>
      <c r="Z148" s="39">
        <v>0.28000000000000003</v>
      </c>
      <c r="AA148" s="33">
        <v>4</v>
      </c>
      <c r="AB148" s="35" t="str">
        <f>VLOOKUP(AA148,Key!$C$20:$D$29,2,FALSE)</f>
        <v>Office Worker</v>
      </c>
      <c r="AC148" s="33">
        <v>2</v>
      </c>
      <c r="AD148" s="35" t="str">
        <f>VLOOKUP(AC148,Key!$E$20:$F$24,2,FALSE)</f>
        <v>300,000-500,000</v>
      </c>
      <c r="AE148" s="33">
        <v>1</v>
      </c>
      <c r="AF148" s="39">
        <v>1</v>
      </c>
      <c r="AG148" s="39">
        <v>1</v>
      </c>
      <c r="AH148" s="39">
        <v>1</v>
      </c>
      <c r="AI148" s="39">
        <v>5</v>
      </c>
      <c r="AJ148" s="40" t="s">
        <v>160</v>
      </c>
      <c r="AK148" s="41">
        <v>2000</v>
      </c>
      <c r="AL148" s="25"/>
      <c r="AM148" s="25"/>
    </row>
    <row r="149" spans="2:39" x14ac:dyDescent="0.2">
      <c r="B149" s="50" t="s">
        <v>239</v>
      </c>
      <c r="C149" s="36">
        <v>0.61527777777777781</v>
      </c>
      <c r="D149" s="36"/>
      <c r="E149" s="36" t="s">
        <v>164</v>
      </c>
      <c r="F149" s="38">
        <v>2</v>
      </c>
      <c r="G149" s="43" t="str">
        <f>VLOOKUP(F149,Key!$A$17:$B$21,2,FALSE)</f>
        <v>Road Vehicle</v>
      </c>
      <c r="H149" s="37">
        <v>4</v>
      </c>
      <c r="I149" s="44" t="str">
        <f>VLOOKUP(H149,Key!$A$2:$B$13,2,FALSE)</f>
        <v>Minibus</v>
      </c>
      <c r="J149" s="38" t="s">
        <v>165</v>
      </c>
      <c r="K149" s="38">
        <v>2</v>
      </c>
      <c r="L149" s="45" t="str">
        <f>VLOOKUP(K149,Key!$A$24:$B$29,2,FALSE)</f>
        <v>30-39</v>
      </c>
      <c r="M149" s="38" t="s">
        <v>168</v>
      </c>
      <c r="N149" s="33" t="s">
        <v>161</v>
      </c>
      <c r="O149" s="38" t="s">
        <v>159</v>
      </c>
      <c r="P149" s="40">
        <v>4</v>
      </c>
      <c r="Q149" s="35" t="str">
        <f>VLOOKUP(P149,Key!$E$2:$F$9,2,FALSE)</f>
        <v>Commercial</v>
      </c>
      <c r="R149" s="38" t="s">
        <v>168</v>
      </c>
      <c r="S149" s="33" t="s">
        <v>161</v>
      </c>
      <c r="T149" s="38" t="s">
        <v>159</v>
      </c>
      <c r="U149" s="33">
        <v>4</v>
      </c>
      <c r="V149" s="35" t="str">
        <f>VLOOKUP(U149,Key!$E$2:$F$9,2,FALSE)</f>
        <v>Commercial</v>
      </c>
      <c r="W149" s="35" t="str">
        <f>Q149&amp;"-"&amp;V149</f>
        <v>Commercial-Commercial</v>
      </c>
      <c r="X149" s="51">
        <v>1000</v>
      </c>
      <c r="Y149" s="39">
        <v>1</v>
      </c>
      <c r="Z149" s="39">
        <v>0.06</v>
      </c>
      <c r="AA149" s="33">
        <v>6</v>
      </c>
      <c r="AB149" s="35" t="str">
        <f>VLOOKUP(AA149,Key!$C$20:$D$29,2,FALSE)</f>
        <v>Businessman</v>
      </c>
      <c r="AC149" s="33">
        <v>2</v>
      </c>
      <c r="AD149" s="35" t="str">
        <f>VLOOKUP(AC149,Key!$E$20:$F$24,2,FALSE)</f>
        <v>300,000-500,000</v>
      </c>
      <c r="AE149" s="33">
        <v>1</v>
      </c>
      <c r="AF149" s="39">
        <v>1</v>
      </c>
      <c r="AG149" s="39">
        <v>1</v>
      </c>
      <c r="AH149" s="39">
        <v>1</v>
      </c>
      <c r="AI149" s="39">
        <v>1</v>
      </c>
      <c r="AJ149" s="40" t="s">
        <v>160</v>
      </c>
      <c r="AK149" s="41">
        <v>2000</v>
      </c>
      <c r="AL149" s="25"/>
      <c r="AM149" s="25"/>
    </row>
    <row r="150" spans="2:39" x14ac:dyDescent="0.2">
      <c r="B150" s="50" t="s">
        <v>239</v>
      </c>
      <c r="C150" s="36">
        <v>0.63680555555555551</v>
      </c>
      <c r="D150" s="36"/>
      <c r="E150" s="36" t="s">
        <v>164</v>
      </c>
      <c r="F150" s="38">
        <v>2</v>
      </c>
      <c r="G150" s="43" t="str">
        <f>VLOOKUP(F150,Key!$A$17:$B$21,2,FALSE)</f>
        <v>Road Vehicle</v>
      </c>
      <c r="H150" s="37">
        <v>4</v>
      </c>
      <c r="I150" s="44" t="str">
        <f>VLOOKUP(H150,Key!$A$2:$B$13,2,FALSE)</f>
        <v>Minibus</v>
      </c>
      <c r="J150" s="38" t="s">
        <v>165</v>
      </c>
      <c r="K150" s="38">
        <v>2</v>
      </c>
      <c r="L150" s="45" t="str">
        <f>VLOOKUP(K150,Key!$A$24:$B$29,2,FALSE)</f>
        <v>30-39</v>
      </c>
      <c r="M150" s="38" t="s">
        <v>168</v>
      </c>
      <c r="N150" s="33" t="s">
        <v>161</v>
      </c>
      <c r="O150" s="38" t="s">
        <v>159</v>
      </c>
      <c r="P150" s="40">
        <v>4</v>
      </c>
      <c r="Q150" s="35" t="str">
        <f>VLOOKUP(P150,Key!$E$2:$F$9,2,FALSE)</f>
        <v>Commercial</v>
      </c>
      <c r="R150" s="38" t="s">
        <v>270</v>
      </c>
      <c r="S150" s="33" t="s">
        <v>271</v>
      </c>
      <c r="T150" s="38" t="s">
        <v>159</v>
      </c>
      <c r="U150" s="33">
        <v>4</v>
      </c>
      <c r="V150" s="35" t="str">
        <f>VLOOKUP(U150,Key!$E$2:$F$9,2,FALSE)</f>
        <v>Commercial</v>
      </c>
      <c r="W150" s="35" t="str">
        <f>Q150&amp;"-"&amp;V150</f>
        <v>Commercial-Commercial</v>
      </c>
      <c r="X150" s="51">
        <v>10000</v>
      </c>
      <c r="Y150" s="39">
        <v>130</v>
      </c>
      <c r="Z150" s="39">
        <v>3</v>
      </c>
      <c r="AA150" s="33">
        <v>5</v>
      </c>
      <c r="AB150" s="35" t="str">
        <f>VLOOKUP(AA150,Key!$C$20:$D$29,2,FALSE)</f>
        <v>Professional</v>
      </c>
      <c r="AC150" s="33">
        <v>2</v>
      </c>
      <c r="AD150" s="35" t="str">
        <f>VLOOKUP(AC150,Key!$E$20:$F$24,2,FALSE)</f>
        <v>300,000-500,000</v>
      </c>
      <c r="AE150" s="33">
        <v>5</v>
      </c>
      <c r="AF150" s="39">
        <v>1</v>
      </c>
      <c r="AG150" s="39">
        <v>5</v>
      </c>
      <c r="AH150" s="39">
        <v>5</v>
      </c>
      <c r="AI150" s="39">
        <v>5</v>
      </c>
      <c r="AJ150" s="40" t="s">
        <v>160</v>
      </c>
      <c r="AK150" s="41">
        <v>1000</v>
      </c>
      <c r="AL150" s="25"/>
      <c r="AM150" s="25"/>
    </row>
    <row r="151" spans="2:39" x14ac:dyDescent="0.2">
      <c r="B151" s="50" t="s">
        <v>239</v>
      </c>
      <c r="C151" s="36">
        <v>0.59930555555555554</v>
      </c>
      <c r="D151" s="36"/>
      <c r="E151" s="36" t="s">
        <v>164</v>
      </c>
      <c r="F151" s="38">
        <v>2</v>
      </c>
      <c r="G151" s="43" t="str">
        <f>VLOOKUP(F151,Key!$A$17:$B$21,2,FALSE)</f>
        <v>Road Vehicle</v>
      </c>
      <c r="H151" s="37">
        <v>4</v>
      </c>
      <c r="I151" s="44" t="str">
        <f>VLOOKUP(H151,Key!$A$2:$B$13,2,FALSE)</f>
        <v>Minibus</v>
      </c>
      <c r="J151" s="38" t="s">
        <v>165</v>
      </c>
      <c r="K151" s="38">
        <v>2</v>
      </c>
      <c r="L151" s="45" t="str">
        <f>VLOOKUP(K151,Key!$A$24:$B$29,2,FALSE)</f>
        <v>30-39</v>
      </c>
      <c r="M151" s="38" t="s">
        <v>168</v>
      </c>
      <c r="N151" s="33" t="s">
        <v>161</v>
      </c>
      <c r="O151" s="38" t="s">
        <v>159</v>
      </c>
      <c r="P151" s="40">
        <v>2</v>
      </c>
      <c r="Q151" s="35" t="str">
        <f>VLOOKUP(P151,Key!$E$2:$F$9,2,FALSE)</f>
        <v>Work</v>
      </c>
      <c r="R151" s="38" t="s">
        <v>287</v>
      </c>
      <c r="S151" s="33" t="s">
        <v>288</v>
      </c>
      <c r="T151" s="38" t="s">
        <v>159</v>
      </c>
      <c r="U151" s="33">
        <v>3</v>
      </c>
      <c r="V151" s="35" t="str">
        <f>VLOOKUP(U151,Key!$E$2:$F$9,2,FALSE)</f>
        <v>Study</v>
      </c>
      <c r="W151" s="35" t="str">
        <f>Q151&amp;"-"&amp;V151</f>
        <v>Work-Study</v>
      </c>
      <c r="X151" s="51">
        <v>10000</v>
      </c>
      <c r="Y151" s="39">
        <v>90</v>
      </c>
      <c r="Z151" s="39">
        <v>2</v>
      </c>
      <c r="AA151" s="33">
        <v>8</v>
      </c>
      <c r="AB151" s="35" t="str">
        <f>VLOOKUP(AA151,Key!$C$20:$D$29,2,FALSE)</f>
        <v>Student</v>
      </c>
      <c r="AC151" s="33">
        <v>1</v>
      </c>
      <c r="AD151" s="35" t="str">
        <f>VLOOKUP(AC151,Key!$E$20:$F$24,2,FALSE)</f>
        <v>&lt;300,000</v>
      </c>
      <c r="AE151" s="33">
        <v>2</v>
      </c>
      <c r="AF151" s="39">
        <v>4</v>
      </c>
      <c r="AG151" s="39">
        <v>1</v>
      </c>
      <c r="AH151" s="39">
        <v>2</v>
      </c>
      <c r="AI151" s="39">
        <v>2</v>
      </c>
      <c r="AJ151" s="40" t="s">
        <v>160</v>
      </c>
      <c r="AK151" s="41">
        <v>0</v>
      </c>
      <c r="AL151" s="25"/>
      <c r="AM151" s="25"/>
    </row>
    <row r="152" spans="2:39" x14ac:dyDescent="0.2">
      <c r="B152" s="50" t="s">
        <v>239</v>
      </c>
      <c r="C152" s="36">
        <v>0.44444444444444442</v>
      </c>
      <c r="D152" s="36"/>
      <c r="E152" s="36" t="s">
        <v>164</v>
      </c>
      <c r="F152" s="38">
        <v>2</v>
      </c>
      <c r="G152" s="43" t="str">
        <f>VLOOKUP(F152,Key!$A$17:$B$21,2,FALSE)</f>
        <v>Road Vehicle</v>
      </c>
      <c r="H152" s="37">
        <v>4</v>
      </c>
      <c r="I152" s="44" t="str">
        <f>VLOOKUP(H152,Key!$A$2:$B$13,2,FALSE)</f>
        <v>Minibus</v>
      </c>
      <c r="J152" s="38" t="s">
        <v>165</v>
      </c>
      <c r="K152" s="38">
        <v>2</v>
      </c>
      <c r="L152" s="45" t="str">
        <f>VLOOKUP(K152,Key!$A$24:$B$29,2,FALSE)</f>
        <v>30-39</v>
      </c>
      <c r="M152" s="38" t="s">
        <v>168</v>
      </c>
      <c r="N152" s="33" t="s">
        <v>161</v>
      </c>
      <c r="O152" s="38" t="s">
        <v>159</v>
      </c>
      <c r="P152" s="40">
        <v>2</v>
      </c>
      <c r="Q152" s="35" t="str">
        <f>VLOOKUP(P152,Key!$E$2:$F$9,2,FALSE)</f>
        <v>Work</v>
      </c>
      <c r="R152" s="38" t="s">
        <v>306</v>
      </c>
      <c r="S152" s="33" t="s">
        <v>186</v>
      </c>
      <c r="T152" s="38" t="s">
        <v>159</v>
      </c>
      <c r="U152" s="33">
        <v>1</v>
      </c>
      <c r="V152" s="35" t="str">
        <f>VLOOKUP(U152,Key!$E$2:$F$9,2,FALSE)</f>
        <v>Home</v>
      </c>
      <c r="W152" s="35" t="str">
        <f>Q152&amp;"-"&amp;V152</f>
        <v>Work-Home</v>
      </c>
      <c r="X152" s="51">
        <v>15000</v>
      </c>
      <c r="Y152" s="39">
        <v>150</v>
      </c>
      <c r="Z152" s="39">
        <v>2</v>
      </c>
      <c r="AA152" s="33">
        <v>6</v>
      </c>
      <c r="AB152" s="35" t="str">
        <f>VLOOKUP(AA152,Key!$C$20:$D$29,2,FALSE)</f>
        <v>Businessman</v>
      </c>
      <c r="AC152" s="33">
        <v>1</v>
      </c>
      <c r="AD152" s="35" t="str">
        <f>VLOOKUP(AC152,Key!$E$20:$F$24,2,FALSE)</f>
        <v>&lt;300,000</v>
      </c>
      <c r="AE152" s="33">
        <v>2</v>
      </c>
      <c r="AF152" s="39">
        <v>2</v>
      </c>
      <c r="AG152" s="39">
        <v>2</v>
      </c>
      <c r="AH152" s="39">
        <v>2</v>
      </c>
      <c r="AI152" s="39">
        <v>2</v>
      </c>
      <c r="AJ152" s="40" t="s">
        <v>160</v>
      </c>
      <c r="AK152" s="41">
        <v>0</v>
      </c>
      <c r="AL152" s="25"/>
      <c r="AM152" s="25"/>
    </row>
    <row r="153" spans="2:39" x14ac:dyDescent="0.2">
      <c r="B153" s="50" t="s">
        <v>239</v>
      </c>
      <c r="C153" s="36">
        <v>0.43124999999999997</v>
      </c>
      <c r="D153" s="36"/>
      <c r="E153" s="36" t="s">
        <v>164</v>
      </c>
      <c r="F153" s="38">
        <v>2</v>
      </c>
      <c r="G153" s="43" t="str">
        <f>VLOOKUP(F153,Key!$A$17:$B$21,2,FALSE)</f>
        <v>Road Vehicle</v>
      </c>
      <c r="H153" s="37">
        <v>4</v>
      </c>
      <c r="I153" s="44" t="str">
        <f>VLOOKUP(H153,Key!$A$2:$B$13,2,FALSE)</f>
        <v>Minibus</v>
      </c>
      <c r="J153" s="38" t="s">
        <v>165</v>
      </c>
      <c r="K153" s="38">
        <v>2</v>
      </c>
      <c r="L153" s="45" t="str">
        <f>VLOOKUP(K153,Key!$A$24:$B$29,2,FALSE)</f>
        <v>30-39</v>
      </c>
      <c r="M153" s="38" t="s">
        <v>168</v>
      </c>
      <c r="N153" s="33" t="s">
        <v>161</v>
      </c>
      <c r="O153" s="38" t="s">
        <v>159</v>
      </c>
      <c r="P153" s="40">
        <v>2</v>
      </c>
      <c r="Q153" s="35" t="str">
        <f>VLOOKUP(P153,Key!$E$2:$F$9,2,FALSE)</f>
        <v>Work</v>
      </c>
      <c r="R153" s="38" t="s">
        <v>244</v>
      </c>
      <c r="S153" s="33" t="s">
        <v>245</v>
      </c>
      <c r="T153" s="38" t="s">
        <v>159</v>
      </c>
      <c r="U153" s="33">
        <v>1</v>
      </c>
      <c r="V153" s="35" t="str">
        <f>VLOOKUP(U153,Key!$E$2:$F$9,2,FALSE)</f>
        <v>Home</v>
      </c>
      <c r="W153" s="35" t="str">
        <f>Q153&amp;"-"&amp;V153</f>
        <v>Work-Home</v>
      </c>
      <c r="X153" s="51">
        <v>15000</v>
      </c>
      <c r="Y153" s="39">
        <v>150</v>
      </c>
      <c r="Z153" s="39">
        <v>2</v>
      </c>
      <c r="AA153" s="33">
        <v>6</v>
      </c>
      <c r="AB153" s="35" t="str">
        <f>VLOOKUP(AA153,Key!$C$20:$D$29,2,FALSE)</f>
        <v>Businessman</v>
      </c>
      <c r="AC153" s="33">
        <v>1</v>
      </c>
      <c r="AD153" s="35" t="str">
        <f>VLOOKUP(AC153,Key!$E$20:$F$24,2,FALSE)</f>
        <v>&lt;300,000</v>
      </c>
      <c r="AE153" s="33">
        <v>2</v>
      </c>
      <c r="AF153" s="39">
        <v>1</v>
      </c>
      <c r="AG153" s="39">
        <v>2</v>
      </c>
      <c r="AH153" s="39">
        <v>2</v>
      </c>
      <c r="AI153" s="39">
        <v>2</v>
      </c>
      <c r="AJ153" s="40" t="s">
        <v>160</v>
      </c>
      <c r="AK153" s="41">
        <v>0</v>
      </c>
      <c r="AL153" s="25"/>
      <c r="AM153" s="25"/>
    </row>
    <row r="154" spans="2:39" x14ac:dyDescent="0.2">
      <c r="B154" s="50" t="s">
        <v>321</v>
      </c>
      <c r="C154" s="36">
        <v>0.32083333333333336</v>
      </c>
      <c r="D154" s="36"/>
      <c r="E154" s="36" t="s">
        <v>164</v>
      </c>
      <c r="F154" s="38">
        <v>2</v>
      </c>
      <c r="G154" s="43" t="str">
        <f>VLOOKUP(F154,Key!$A$17:$B$21,2,FALSE)</f>
        <v>Road Vehicle</v>
      </c>
      <c r="H154" s="37">
        <v>4</v>
      </c>
      <c r="I154" s="44" t="str">
        <f>VLOOKUP(H154,Key!$A$2:$B$13,2,FALSE)</f>
        <v>Minibus</v>
      </c>
      <c r="J154" s="38" t="s">
        <v>165</v>
      </c>
      <c r="K154" s="38">
        <v>2</v>
      </c>
      <c r="L154" s="45" t="str">
        <f>VLOOKUP(K154,Key!$A$24:$B$29,2,FALSE)</f>
        <v>30-39</v>
      </c>
      <c r="M154" s="38" t="s">
        <v>168</v>
      </c>
      <c r="N154" s="33" t="s">
        <v>161</v>
      </c>
      <c r="O154" s="38" t="s">
        <v>159</v>
      </c>
      <c r="P154" s="40">
        <v>6</v>
      </c>
      <c r="Q154" s="35" t="str">
        <f>VLOOKUP(P154,Key!$E$2:$F$9,2,FALSE)</f>
        <v>Leisure/Social</v>
      </c>
      <c r="R154" s="38" t="s">
        <v>227</v>
      </c>
      <c r="S154" s="33" t="s">
        <v>228</v>
      </c>
      <c r="T154" s="38" t="s">
        <v>159</v>
      </c>
      <c r="U154" s="33">
        <v>6</v>
      </c>
      <c r="V154" s="35" t="str">
        <f>VLOOKUP(U154,Key!$E$2:$F$9,2,FALSE)</f>
        <v>Leisure/Social</v>
      </c>
      <c r="W154" s="35" t="str">
        <f>Q154&amp;"-"&amp;V154</f>
        <v>Leisure/Social-Leisure/Social</v>
      </c>
      <c r="X154" s="51">
        <v>50000</v>
      </c>
      <c r="Y154" s="39">
        <v>480</v>
      </c>
      <c r="Z154" s="39">
        <v>7</v>
      </c>
      <c r="AA154" s="33">
        <v>1</v>
      </c>
      <c r="AB154" s="35" t="str">
        <f>VLOOKUP(AA154,Key!$C$20:$D$29,2,FALSE)</f>
        <v>Unemployed</v>
      </c>
      <c r="AC154" s="33">
        <v>1</v>
      </c>
      <c r="AD154" s="35" t="str">
        <f>VLOOKUP(AC154,Key!$E$20:$F$24,2,FALSE)</f>
        <v>&lt;300,000</v>
      </c>
      <c r="AE154" s="33">
        <v>1</v>
      </c>
      <c r="AF154" s="39">
        <v>1</v>
      </c>
      <c r="AG154" s="39">
        <v>1</v>
      </c>
      <c r="AH154" s="39">
        <v>5</v>
      </c>
      <c r="AI154" s="39">
        <v>5</v>
      </c>
      <c r="AJ154" s="40" t="s">
        <v>160</v>
      </c>
      <c r="AK154" s="41">
        <v>0</v>
      </c>
      <c r="AL154" s="25"/>
      <c r="AM154" s="25"/>
    </row>
    <row r="155" spans="2:39" x14ac:dyDescent="0.2">
      <c r="B155" s="50" t="s">
        <v>321</v>
      </c>
      <c r="C155" s="36">
        <v>0.33194444444444443</v>
      </c>
      <c r="D155" s="36"/>
      <c r="E155" s="36" t="s">
        <v>173</v>
      </c>
      <c r="F155" s="38">
        <v>2</v>
      </c>
      <c r="G155" s="43" t="str">
        <f>VLOOKUP(F155,Key!$A$17:$B$21,2,FALSE)</f>
        <v>Road Vehicle</v>
      </c>
      <c r="H155" s="37">
        <v>4</v>
      </c>
      <c r="I155" s="44" t="str">
        <f>VLOOKUP(H155,Key!$A$2:$B$13,2,FALSE)</f>
        <v>Minibus</v>
      </c>
      <c r="J155" s="38" t="s">
        <v>165</v>
      </c>
      <c r="K155" s="38">
        <v>2</v>
      </c>
      <c r="L155" s="45" t="str">
        <f>VLOOKUP(K155,Key!$A$24:$B$29,2,FALSE)</f>
        <v>30-39</v>
      </c>
      <c r="M155" s="38" t="s">
        <v>200</v>
      </c>
      <c r="N155" s="33" t="s">
        <v>161</v>
      </c>
      <c r="O155" s="38" t="s">
        <v>159</v>
      </c>
      <c r="P155" s="40">
        <v>1</v>
      </c>
      <c r="Q155" s="35" t="str">
        <f>VLOOKUP(P155,Key!$E$2:$F$9,2,FALSE)</f>
        <v>Home</v>
      </c>
      <c r="R155" s="38" t="s">
        <v>168</v>
      </c>
      <c r="S155" s="33" t="s">
        <v>161</v>
      </c>
      <c r="T155" s="38" t="s">
        <v>159</v>
      </c>
      <c r="U155" s="33">
        <v>2</v>
      </c>
      <c r="V155" s="35" t="str">
        <f>VLOOKUP(U155,Key!$E$2:$F$9,2,FALSE)</f>
        <v>Work</v>
      </c>
      <c r="W155" s="35" t="str">
        <f>Q155&amp;"-"&amp;V155</f>
        <v>Home-Work</v>
      </c>
      <c r="X155" s="51">
        <v>10000</v>
      </c>
      <c r="Y155" s="39">
        <v>40</v>
      </c>
      <c r="Z155" s="39">
        <v>0.5</v>
      </c>
      <c r="AA155" s="33">
        <v>4</v>
      </c>
      <c r="AB155" s="35" t="str">
        <f>VLOOKUP(AA155,Key!$C$20:$D$29,2,FALSE)</f>
        <v>Office Worker</v>
      </c>
      <c r="AC155" s="33">
        <v>2</v>
      </c>
      <c r="AD155" s="35" t="str">
        <f>VLOOKUP(AC155,Key!$E$20:$F$24,2,FALSE)</f>
        <v>300,000-500,000</v>
      </c>
      <c r="AE155" s="33">
        <v>1</v>
      </c>
      <c r="AF155" s="39">
        <v>1</v>
      </c>
      <c r="AG155" s="39">
        <v>1</v>
      </c>
      <c r="AH155" s="39">
        <v>5</v>
      </c>
      <c r="AI155" s="39">
        <v>5</v>
      </c>
      <c r="AJ155" s="40" t="s">
        <v>160</v>
      </c>
      <c r="AK155" s="41">
        <v>2000</v>
      </c>
      <c r="AL155" s="25"/>
      <c r="AM155" s="25"/>
    </row>
    <row r="156" spans="2:39" x14ac:dyDescent="0.2">
      <c r="B156" s="50" t="s">
        <v>321</v>
      </c>
      <c r="C156" s="36">
        <v>0.35000000000000003</v>
      </c>
      <c r="D156" s="36"/>
      <c r="E156" s="36" t="s">
        <v>164</v>
      </c>
      <c r="F156" s="38">
        <v>2</v>
      </c>
      <c r="G156" s="43" t="str">
        <f>VLOOKUP(F156,Key!$A$17:$B$21,2,FALSE)</f>
        <v>Road Vehicle</v>
      </c>
      <c r="H156" s="37">
        <v>4</v>
      </c>
      <c r="I156" s="44" t="str">
        <f>VLOOKUP(H156,Key!$A$2:$B$13,2,FALSE)</f>
        <v>Minibus</v>
      </c>
      <c r="J156" s="38" t="s">
        <v>165</v>
      </c>
      <c r="K156" s="38">
        <v>2</v>
      </c>
      <c r="L156" s="45" t="str">
        <f>VLOOKUP(K156,Key!$A$24:$B$29,2,FALSE)</f>
        <v>30-39</v>
      </c>
      <c r="M156" s="38" t="s">
        <v>168</v>
      </c>
      <c r="N156" s="33" t="s">
        <v>161</v>
      </c>
      <c r="O156" s="38" t="s">
        <v>159</v>
      </c>
      <c r="P156" s="40">
        <v>1</v>
      </c>
      <c r="Q156" s="35" t="str">
        <f>VLOOKUP(P156,Key!$E$2:$F$9,2,FALSE)</f>
        <v>Home</v>
      </c>
      <c r="R156" s="38" t="s">
        <v>227</v>
      </c>
      <c r="S156" s="33" t="s">
        <v>228</v>
      </c>
      <c r="T156" s="38" t="s">
        <v>159</v>
      </c>
      <c r="U156" s="33">
        <v>6</v>
      </c>
      <c r="V156" s="35" t="str">
        <f>VLOOKUP(U156,Key!$E$2:$F$9,2,FALSE)</f>
        <v>Leisure/Social</v>
      </c>
      <c r="W156" s="35" t="str">
        <f>Q156&amp;"-"&amp;V156</f>
        <v>Home-Leisure/Social</v>
      </c>
      <c r="X156" s="51">
        <v>40000</v>
      </c>
      <c r="Y156" s="39">
        <v>487</v>
      </c>
      <c r="Z156" s="39">
        <v>7</v>
      </c>
      <c r="AA156" s="33">
        <v>2</v>
      </c>
      <c r="AB156" s="35" t="str">
        <f>VLOOKUP(AA156,Key!$C$20:$D$29,2,FALSE)</f>
        <v>Manual Labour</v>
      </c>
      <c r="AC156" s="33">
        <v>2</v>
      </c>
      <c r="AD156" s="35" t="str">
        <f>VLOOKUP(AC156,Key!$E$20:$F$24,2,FALSE)</f>
        <v>300,000-500,000</v>
      </c>
      <c r="AE156" s="33">
        <v>1</v>
      </c>
      <c r="AF156" s="39">
        <v>1</v>
      </c>
      <c r="AG156" s="39">
        <v>5</v>
      </c>
      <c r="AH156" s="39">
        <v>5</v>
      </c>
      <c r="AI156" s="39">
        <v>5</v>
      </c>
      <c r="AJ156" s="40" t="s">
        <v>160</v>
      </c>
      <c r="AK156" s="41">
        <v>2000</v>
      </c>
      <c r="AL156" s="25"/>
      <c r="AM156" s="25"/>
    </row>
    <row r="157" spans="2:39" x14ac:dyDescent="0.2">
      <c r="B157" s="50" t="s">
        <v>321</v>
      </c>
      <c r="C157" s="36">
        <v>0.375</v>
      </c>
      <c r="D157" s="36"/>
      <c r="E157" s="36" t="s">
        <v>164</v>
      </c>
      <c r="F157" s="38">
        <v>2</v>
      </c>
      <c r="G157" s="43" t="str">
        <f>VLOOKUP(F157,Key!$A$17:$B$21,2,FALSE)</f>
        <v>Road Vehicle</v>
      </c>
      <c r="H157" s="37">
        <v>4</v>
      </c>
      <c r="I157" s="44" t="str">
        <f>VLOOKUP(H157,Key!$A$2:$B$13,2,FALSE)</f>
        <v>Minibus</v>
      </c>
      <c r="J157" s="38" t="s">
        <v>165</v>
      </c>
      <c r="K157" s="38">
        <v>2</v>
      </c>
      <c r="L157" s="45" t="str">
        <f>VLOOKUP(K157,Key!$A$24:$B$29,2,FALSE)</f>
        <v>30-39</v>
      </c>
      <c r="M157" s="38" t="s">
        <v>168</v>
      </c>
      <c r="N157" s="33" t="s">
        <v>161</v>
      </c>
      <c r="O157" s="38" t="s">
        <v>159</v>
      </c>
      <c r="P157" s="40">
        <v>1</v>
      </c>
      <c r="Q157" s="35" t="str">
        <f>VLOOKUP(P157,Key!$E$2:$F$9,2,FALSE)</f>
        <v>Home</v>
      </c>
      <c r="R157" s="38" t="s">
        <v>171</v>
      </c>
      <c r="S157" s="33" t="s">
        <v>172</v>
      </c>
      <c r="T157" s="38" t="s">
        <v>159</v>
      </c>
      <c r="U157" s="33">
        <v>4</v>
      </c>
      <c r="V157" s="35" t="str">
        <f>VLOOKUP(U157,Key!$E$2:$F$9,2,FALSE)</f>
        <v>Commercial</v>
      </c>
      <c r="W157" s="35" t="str">
        <f>Q157&amp;"-"&amp;V157</f>
        <v>Home-Commercial</v>
      </c>
      <c r="X157" s="51">
        <v>30000</v>
      </c>
      <c r="Y157" s="39">
        <v>340</v>
      </c>
      <c r="Z157" s="39">
        <v>5</v>
      </c>
      <c r="AA157" s="33">
        <v>6</v>
      </c>
      <c r="AB157" s="35" t="str">
        <f>VLOOKUP(AA157,Key!$C$20:$D$29,2,FALSE)</f>
        <v>Businessman</v>
      </c>
      <c r="AC157" s="33">
        <v>3</v>
      </c>
      <c r="AD157" s="35" t="str">
        <f>VLOOKUP(AC157,Key!$E$20:$F$24,2,FALSE)</f>
        <v>500,000-750,000</v>
      </c>
      <c r="AE157" s="33">
        <v>1</v>
      </c>
      <c r="AF157" s="39">
        <v>1</v>
      </c>
      <c r="AG157" s="39">
        <v>5</v>
      </c>
      <c r="AH157" s="39">
        <v>5</v>
      </c>
      <c r="AI157" s="39">
        <v>5</v>
      </c>
      <c r="AJ157" s="40" t="s">
        <v>160</v>
      </c>
      <c r="AK157" s="41">
        <v>5000</v>
      </c>
      <c r="AL157" s="25"/>
      <c r="AM157" s="25"/>
    </row>
    <row r="158" spans="2:39" x14ac:dyDescent="0.2">
      <c r="B158" s="50" t="s">
        <v>321</v>
      </c>
      <c r="C158" s="36">
        <v>0.38680555555555557</v>
      </c>
      <c r="D158" s="36"/>
      <c r="E158" s="36" t="s">
        <v>164</v>
      </c>
      <c r="F158" s="38">
        <v>2</v>
      </c>
      <c r="G158" s="43" t="str">
        <f>VLOOKUP(F158,Key!$A$17:$B$21,2,FALSE)</f>
        <v>Road Vehicle</v>
      </c>
      <c r="H158" s="37">
        <v>4</v>
      </c>
      <c r="I158" s="44" t="str">
        <f>VLOOKUP(H158,Key!$A$2:$B$13,2,FALSE)</f>
        <v>Minibus</v>
      </c>
      <c r="J158" s="38" t="s">
        <v>165</v>
      </c>
      <c r="K158" s="38">
        <v>2</v>
      </c>
      <c r="L158" s="45" t="str">
        <f>VLOOKUP(K158,Key!$A$24:$B$29,2,FALSE)</f>
        <v>30-39</v>
      </c>
      <c r="M158" s="38" t="s">
        <v>168</v>
      </c>
      <c r="N158" s="33" t="s">
        <v>161</v>
      </c>
      <c r="O158" s="38" t="s">
        <v>159</v>
      </c>
      <c r="P158" s="40">
        <v>1</v>
      </c>
      <c r="Q158" s="35" t="str">
        <f>VLOOKUP(P158,Key!$E$2:$F$9,2,FALSE)</f>
        <v>Home</v>
      </c>
      <c r="R158" s="38" t="s">
        <v>227</v>
      </c>
      <c r="S158" s="33" t="s">
        <v>228</v>
      </c>
      <c r="T158" s="38" t="s">
        <v>159</v>
      </c>
      <c r="U158" s="33">
        <v>2</v>
      </c>
      <c r="V158" s="35" t="str">
        <f>VLOOKUP(U158,Key!$E$2:$F$9,2,FALSE)</f>
        <v>Work</v>
      </c>
      <c r="W158" s="35" t="str">
        <f>Q158&amp;"-"&amp;V158</f>
        <v>Home-Work</v>
      </c>
      <c r="X158" s="51">
        <v>50000</v>
      </c>
      <c r="Y158" s="39">
        <v>448</v>
      </c>
      <c r="Z158" s="39">
        <v>7</v>
      </c>
      <c r="AA158" s="33">
        <v>6</v>
      </c>
      <c r="AB158" s="35" t="str">
        <f>VLOOKUP(AA158,Key!$C$20:$D$29,2,FALSE)</f>
        <v>Businessman</v>
      </c>
      <c r="AC158" s="33">
        <v>2</v>
      </c>
      <c r="AD158" s="35" t="str">
        <f>VLOOKUP(AC158,Key!$E$20:$F$24,2,FALSE)</f>
        <v>300,000-500,000</v>
      </c>
      <c r="AE158" s="33">
        <v>1</v>
      </c>
      <c r="AF158" s="39">
        <v>5</v>
      </c>
      <c r="AG158" s="39">
        <v>5</v>
      </c>
      <c r="AH158" s="39">
        <v>5</v>
      </c>
      <c r="AI158" s="39">
        <v>5</v>
      </c>
      <c r="AJ158" s="40" t="s">
        <v>160</v>
      </c>
      <c r="AK158" s="41">
        <v>3000</v>
      </c>
      <c r="AL158" s="25"/>
      <c r="AM158" s="25"/>
    </row>
    <row r="159" spans="2:39" x14ac:dyDescent="0.2">
      <c r="B159" s="50" t="s">
        <v>321</v>
      </c>
      <c r="C159" s="36">
        <v>0.55972222222222223</v>
      </c>
      <c r="D159" s="36"/>
      <c r="E159" s="36" t="s">
        <v>164</v>
      </c>
      <c r="F159" s="38">
        <v>2</v>
      </c>
      <c r="G159" s="43" t="str">
        <f>VLOOKUP(F159,Key!$A$17:$B$21,2,FALSE)</f>
        <v>Road Vehicle</v>
      </c>
      <c r="H159" s="37">
        <v>4</v>
      </c>
      <c r="I159" s="44" t="str">
        <f>VLOOKUP(H159,Key!$A$2:$B$13,2,FALSE)</f>
        <v>Minibus</v>
      </c>
      <c r="J159" s="38" t="s">
        <v>165</v>
      </c>
      <c r="K159" s="38">
        <v>2</v>
      </c>
      <c r="L159" s="45" t="str">
        <f>VLOOKUP(K159,Key!$A$24:$B$29,2,FALSE)</f>
        <v>30-39</v>
      </c>
      <c r="M159" s="38" t="s">
        <v>168</v>
      </c>
      <c r="N159" s="33" t="s">
        <v>161</v>
      </c>
      <c r="O159" s="38" t="s">
        <v>159</v>
      </c>
      <c r="P159" s="40">
        <v>1</v>
      </c>
      <c r="Q159" s="35" t="str">
        <f>VLOOKUP(P159,Key!$E$2:$F$9,2,FALSE)</f>
        <v>Home</v>
      </c>
      <c r="R159" s="38" t="s">
        <v>185</v>
      </c>
      <c r="S159" s="33" t="s">
        <v>186</v>
      </c>
      <c r="T159" s="38" t="s">
        <v>159</v>
      </c>
      <c r="U159" s="33">
        <v>6</v>
      </c>
      <c r="V159" s="35" t="str">
        <f>VLOOKUP(U159,Key!$E$2:$F$9,2,FALSE)</f>
        <v>Leisure/Social</v>
      </c>
      <c r="W159" s="35" t="str">
        <f>Q159&amp;"-"&amp;V159</f>
        <v>Home-Leisure/Social</v>
      </c>
      <c r="X159" s="51">
        <v>15000</v>
      </c>
      <c r="Y159" s="39">
        <v>139</v>
      </c>
      <c r="Z159" s="39">
        <v>1.5</v>
      </c>
      <c r="AA159" s="33">
        <v>6</v>
      </c>
      <c r="AB159" s="35" t="str">
        <f>VLOOKUP(AA159,Key!$C$20:$D$29,2,FALSE)</f>
        <v>Businessman</v>
      </c>
      <c r="AC159" s="33">
        <v>3</v>
      </c>
      <c r="AD159" s="35" t="str">
        <f>VLOOKUP(AC159,Key!$E$20:$F$24,2,FALSE)</f>
        <v>500,000-750,000</v>
      </c>
      <c r="AE159" s="33">
        <v>1</v>
      </c>
      <c r="AF159" s="39">
        <v>1</v>
      </c>
      <c r="AG159" s="39">
        <v>1</v>
      </c>
      <c r="AH159" s="39">
        <v>1</v>
      </c>
      <c r="AI159" s="39">
        <v>1</v>
      </c>
      <c r="AJ159" s="40" t="s">
        <v>160</v>
      </c>
      <c r="AK159" s="41">
        <v>2000</v>
      </c>
      <c r="AL159" s="25"/>
      <c r="AM159" s="25"/>
    </row>
    <row r="160" spans="2:39" x14ac:dyDescent="0.2">
      <c r="B160" s="50" t="s">
        <v>321</v>
      </c>
      <c r="C160" s="36">
        <v>0.60347222222222219</v>
      </c>
      <c r="D160" s="36"/>
      <c r="E160" s="36" t="s">
        <v>164</v>
      </c>
      <c r="F160" s="38">
        <v>2</v>
      </c>
      <c r="G160" s="43" t="str">
        <f>VLOOKUP(F160,Key!$A$17:$B$21,2,FALSE)</f>
        <v>Road Vehicle</v>
      </c>
      <c r="H160" s="37">
        <v>4</v>
      </c>
      <c r="I160" s="44" t="str">
        <f>VLOOKUP(H160,Key!$A$2:$B$13,2,FALSE)</f>
        <v>Minibus</v>
      </c>
      <c r="J160" s="38" t="s">
        <v>165</v>
      </c>
      <c r="K160" s="38">
        <v>2</v>
      </c>
      <c r="L160" s="45" t="str">
        <f>VLOOKUP(K160,Key!$A$24:$B$29,2,FALSE)</f>
        <v>30-39</v>
      </c>
      <c r="M160" s="38" t="s">
        <v>168</v>
      </c>
      <c r="N160" s="33" t="s">
        <v>161</v>
      </c>
      <c r="O160" s="38" t="s">
        <v>159</v>
      </c>
      <c r="P160" s="40">
        <v>1</v>
      </c>
      <c r="Q160" s="35" t="str">
        <f>VLOOKUP(P160,Key!$E$2:$F$9,2,FALSE)</f>
        <v>Home</v>
      </c>
      <c r="R160" s="38" t="s">
        <v>306</v>
      </c>
      <c r="S160" s="33" t="s">
        <v>186</v>
      </c>
      <c r="T160" s="38" t="s">
        <v>159</v>
      </c>
      <c r="U160" s="33">
        <v>4</v>
      </c>
      <c r="V160" s="35" t="str">
        <f>VLOOKUP(U160,Key!$E$2:$F$9,2,FALSE)</f>
        <v>Commercial</v>
      </c>
      <c r="W160" s="35" t="str">
        <f>Q160&amp;"-"&amp;V160</f>
        <v>Home-Commercial</v>
      </c>
      <c r="X160" s="51">
        <v>15000</v>
      </c>
      <c r="Y160" s="39">
        <v>40</v>
      </c>
      <c r="Z160" s="39">
        <v>0.66</v>
      </c>
      <c r="AA160" s="33">
        <v>6</v>
      </c>
      <c r="AB160" s="35" t="str">
        <f>VLOOKUP(AA160,Key!$C$20:$D$29,2,FALSE)</f>
        <v>Businessman</v>
      </c>
      <c r="AC160" s="33">
        <v>2</v>
      </c>
      <c r="AD160" s="35" t="str">
        <f>VLOOKUP(AC160,Key!$E$20:$F$24,2,FALSE)</f>
        <v>300,000-500,000</v>
      </c>
      <c r="AE160" s="33">
        <v>1</v>
      </c>
      <c r="AF160" s="39">
        <v>1</v>
      </c>
      <c r="AG160" s="39">
        <v>1</v>
      </c>
      <c r="AH160" s="39">
        <v>1</v>
      </c>
      <c r="AI160" s="39">
        <v>1</v>
      </c>
      <c r="AJ160" s="40" t="s">
        <v>160</v>
      </c>
      <c r="AK160" s="41">
        <v>5000</v>
      </c>
      <c r="AL160" s="25"/>
      <c r="AM160" s="25"/>
    </row>
    <row r="161" spans="1:39" x14ac:dyDescent="0.2">
      <c r="B161" s="50" t="s">
        <v>321</v>
      </c>
      <c r="C161" s="36">
        <v>0.65972222222222221</v>
      </c>
      <c r="D161" s="36"/>
      <c r="E161" s="36" t="s">
        <v>164</v>
      </c>
      <c r="F161" s="38">
        <v>2</v>
      </c>
      <c r="G161" s="43" t="str">
        <f>VLOOKUP(F161,Key!$A$17:$B$21,2,FALSE)</f>
        <v>Road Vehicle</v>
      </c>
      <c r="H161" s="37">
        <v>4</v>
      </c>
      <c r="I161" s="44" t="str">
        <f>VLOOKUP(H161,Key!$A$2:$B$13,2,FALSE)</f>
        <v>Minibus</v>
      </c>
      <c r="J161" s="38" t="s">
        <v>165</v>
      </c>
      <c r="K161" s="38">
        <v>2</v>
      </c>
      <c r="L161" s="45" t="str">
        <f>VLOOKUP(K161,Key!$A$24:$B$29,2,FALSE)</f>
        <v>30-39</v>
      </c>
      <c r="M161" s="38" t="s">
        <v>168</v>
      </c>
      <c r="N161" s="33" t="s">
        <v>161</v>
      </c>
      <c r="O161" s="38" t="s">
        <v>159</v>
      </c>
      <c r="P161" s="40">
        <v>2</v>
      </c>
      <c r="Q161" s="35" t="str">
        <f>VLOOKUP(P161,Key!$E$2:$F$9,2,FALSE)</f>
        <v>Work</v>
      </c>
      <c r="R161" s="38" t="s">
        <v>185</v>
      </c>
      <c r="S161" s="33" t="s">
        <v>186</v>
      </c>
      <c r="T161" s="38" t="s">
        <v>159</v>
      </c>
      <c r="U161" s="33">
        <v>1</v>
      </c>
      <c r="V161" s="35" t="str">
        <f>VLOOKUP(U161,Key!$E$2:$F$9,2,FALSE)</f>
        <v>Home</v>
      </c>
      <c r="W161" s="35" t="str">
        <f>Q161&amp;"-"&amp;V161</f>
        <v>Work-Home</v>
      </c>
      <c r="X161" s="51">
        <v>10000</v>
      </c>
      <c r="Y161" s="39">
        <v>95</v>
      </c>
      <c r="Z161" s="39">
        <v>2.5</v>
      </c>
      <c r="AA161" s="33">
        <v>6</v>
      </c>
      <c r="AB161" s="35" t="str">
        <f>VLOOKUP(AA161,Key!$C$20:$D$29,2,FALSE)</f>
        <v>Businessman</v>
      </c>
      <c r="AC161" s="33">
        <v>1</v>
      </c>
      <c r="AD161" s="35" t="str">
        <f>VLOOKUP(AC161,Key!$E$20:$F$24,2,FALSE)</f>
        <v>&lt;300,000</v>
      </c>
      <c r="AE161" s="33">
        <v>5</v>
      </c>
      <c r="AF161" s="39">
        <v>4</v>
      </c>
      <c r="AG161" s="39">
        <v>2</v>
      </c>
      <c r="AH161" s="39">
        <v>2</v>
      </c>
      <c r="AI161" s="39">
        <v>2</v>
      </c>
      <c r="AJ161" s="40" t="s">
        <v>160</v>
      </c>
      <c r="AK161" s="41">
        <v>0</v>
      </c>
      <c r="AL161" s="25"/>
      <c r="AM161" s="25"/>
    </row>
    <row r="162" spans="1:39" x14ac:dyDescent="0.2">
      <c r="B162" s="50" t="s">
        <v>321</v>
      </c>
      <c r="C162" s="36">
        <v>0.64583333333333337</v>
      </c>
      <c r="D162" s="36"/>
      <c r="E162" s="36" t="s">
        <v>164</v>
      </c>
      <c r="F162" s="38">
        <v>2</v>
      </c>
      <c r="G162" s="43" t="str">
        <f>VLOOKUP(F162,Key!$A$17:$B$21,2,FALSE)</f>
        <v>Road Vehicle</v>
      </c>
      <c r="H162" s="37">
        <v>4</v>
      </c>
      <c r="I162" s="44" t="str">
        <f>VLOOKUP(H162,Key!$A$2:$B$13,2,FALSE)</f>
        <v>Minibus</v>
      </c>
      <c r="J162" s="38" t="s">
        <v>165</v>
      </c>
      <c r="K162" s="38">
        <v>2</v>
      </c>
      <c r="L162" s="45" t="str">
        <f>VLOOKUP(K162,Key!$A$24:$B$29,2,FALSE)</f>
        <v>30-39</v>
      </c>
      <c r="M162" s="38" t="s">
        <v>168</v>
      </c>
      <c r="N162" s="33" t="s">
        <v>161</v>
      </c>
      <c r="O162" s="38" t="s">
        <v>159</v>
      </c>
      <c r="P162" s="40">
        <v>2</v>
      </c>
      <c r="Q162" s="35" t="str">
        <f>VLOOKUP(P162,Key!$E$2:$F$9,2,FALSE)</f>
        <v>Work</v>
      </c>
      <c r="R162" s="38" t="s">
        <v>267</v>
      </c>
      <c r="S162" s="33" t="s">
        <v>161</v>
      </c>
      <c r="T162" s="38" t="s">
        <v>159</v>
      </c>
      <c r="U162" s="33">
        <v>1</v>
      </c>
      <c r="V162" s="35" t="str">
        <f>VLOOKUP(U162,Key!$E$2:$F$9,2,FALSE)</f>
        <v>Home</v>
      </c>
      <c r="W162" s="35" t="str">
        <f>Q162&amp;"-"&amp;V162</f>
        <v>Work-Home</v>
      </c>
      <c r="X162" s="51">
        <v>7000</v>
      </c>
      <c r="Y162" s="39">
        <v>48</v>
      </c>
      <c r="Z162" s="39">
        <v>1.5</v>
      </c>
      <c r="AA162" s="33">
        <v>6</v>
      </c>
      <c r="AB162" s="35" t="str">
        <f>VLOOKUP(AA162,Key!$C$20:$D$29,2,FALSE)</f>
        <v>Businessman</v>
      </c>
      <c r="AC162" s="33">
        <v>1</v>
      </c>
      <c r="AD162" s="35" t="str">
        <f>VLOOKUP(AC162,Key!$E$20:$F$24,2,FALSE)</f>
        <v>&lt;300,000</v>
      </c>
      <c r="AE162" s="33">
        <v>2</v>
      </c>
      <c r="AF162" s="39">
        <v>2</v>
      </c>
      <c r="AG162" s="39">
        <v>2</v>
      </c>
      <c r="AH162" s="39">
        <v>2</v>
      </c>
      <c r="AI162" s="39">
        <v>2</v>
      </c>
      <c r="AJ162" s="40" t="s">
        <v>160</v>
      </c>
      <c r="AK162" s="41">
        <v>0</v>
      </c>
      <c r="AL162" s="25"/>
      <c r="AM162" s="25"/>
    </row>
    <row r="163" spans="1:39" x14ac:dyDescent="0.2">
      <c r="B163" s="50" t="s">
        <v>321</v>
      </c>
      <c r="C163" s="36">
        <v>0.60277777777777775</v>
      </c>
      <c r="D163" s="36"/>
      <c r="E163" s="36" t="s">
        <v>164</v>
      </c>
      <c r="F163" s="38">
        <v>2</v>
      </c>
      <c r="G163" s="43" t="str">
        <f>VLOOKUP(F163,Key!$A$17:$B$21,2,FALSE)</f>
        <v>Road Vehicle</v>
      </c>
      <c r="H163" s="37">
        <v>4</v>
      </c>
      <c r="I163" s="44" t="str">
        <f>VLOOKUP(H163,Key!$A$2:$B$13,2,FALSE)</f>
        <v>Minibus</v>
      </c>
      <c r="J163" s="38" t="s">
        <v>165</v>
      </c>
      <c r="K163" s="38">
        <v>2</v>
      </c>
      <c r="L163" s="45" t="str">
        <f>VLOOKUP(K163,Key!$A$24:$B$29,2,FALSE)</f>
        <v>30-39</v>
      </c>
      <c r="M163" s="38" t="s">
        <v>168</v>
      </c>
      <c r="N163" s="33" t="s">
        <v>161</v>
      </c>
      <c r="O163" s="38" t="s">
        <v>159</v>
      </c>
      <c r="P163" s="40">
        <v>2</v>
      </c>
      <c r="Q163" s="35" t="str">
        <f>VLOOKUP(P163,Key!$E$2:$F$9,2,FALSE)</f>
        <v>Work</v>
      </c>
      <c r="R163" s="38" t="s">
        <v>194</v>
      </c>
      <c r="S163" s="33" t="s">
        <v>161</v>
      </c>
      <c r="T163" s="38" t="s">
        <v>159</v>
      </c>
      <c r="U163" s="33">
        <v>1</v>
      </c>
      <c r="V163" s="35" t="str">
        <f>VLOOKUP(U163,Key!$E$2:$F$9,2,FALSE)</f>
        <v>Home</v>
      </c>
      <c r="W163" s="35" t="str">
        <f>Q163&amp;"-"&amp;V163</f>
        <v>Work-Home</v>
      </c>
      <c r="X163" s="51">
        <v>5000</v>
      </c>
      <c r="Y163" s="39">
        <v>45</v>
      </c>
      <c r="Z163" s="39">
        <v>1</v>
      </c>
      <c r="AA163" s="33">
        <v>6</v>
      </c>
      <c r="AB163" s="35" t="str">
        <f>VLOOKUP(AA163,Key!$C$20:$D$29,2,FALSE)</f>
        <v>Businessman</v>
      </c>
      <c r="AC163" s="33">
        <v>1</v>
      </c>
      <c r="AD163" s="35" t="str">
        <f>VLOOKUP(AC163,Key!$E$20:$F$24,2,FALSE)</f>
        <v>&lt;300,000</v>
      </c>
      <c r="AE163" s="33">
        <v>2</v>
      </c>
      <c r="AF163" s="39">
        <v>4</v>
      </c>
      <c r="AG163" s="39">
        <v>2</v>
      </c>
      <c r="AH163" s="39">
        <v>2</v>
      </c>
      <c r="AI163" s="39">
        <v>2</v>
      </c>
      <c r="AJ163" s="40" t="s">
        <v>160</v>
      </c>
      <c r="AK163" s="41">
        <v>0</v>
      </c>
      <c r="AL163" s="25"/>
      <c r="AM163" s="25"/>
    </row>
    <row r="164" spans="1:39" x14ac:dyDescent="0.2">
      <c r="B164" s="50" t="s">
        <v>321</v>
      </c>
      <c r="C164" s="36">
        <v>0.60277777777777775</v>
      </c>
      <c r="D164" s="36"/>
      <c r="E164" s="36" t="s">
        <v>164</v>
      </c>
      <c r="F164" s="38">
        <v>2</v>
      </c>
      <c r="G164" s="43" t="str">
        <f>VLOOKUP(F164,Key!$A$17:$B$21,2,FALSE)</f>
        <v>Road Vehicle</v>
      </c>
      <c r="H164" s="37">
        <v>4</v>
      </c>
      <c r="I164" s="44" t="str">
        <f>VLOOKUP(H164,Key!$A$2:$B$13,2,FALSE)</f>
        <v>Minibus</v>
      </c>
      <c r="J164" s="38" t="s">
        <v>165</v>
      </c>
      <c r="K164" s="38">
        <v>2</v>
      </c>
      <c r="L164" s="45" t="str">
        <f>VLOOKUP(K164,Key!$A$24:$B$29,2,FALSE)</f>
        <v>30-39</v>
      </c>
      <c r="M164" s="38" t="s">
        <v>168</v>
      </c>
      <c r="N164" s="33" t="s">
        <v>161</v>
      </c>
      <c r="O164" s="38" t="s">
        <v>159</v>
      </c>
      <c r="P164" s="40">
        <v>2</v>
      </c>
      <c r="Q164" s="35" t="str">
        <f>VLOOKUP(P164,Key!$E$2:$F$9,2,FALSE)</f>
        <v>Work</v>
      </c>
      <c r="R164" s="38" t="s">
        <v>194</v>
      </c>
      <c r="S164" s="33" t="s">
        <v>161</v>
      </c>
      <c r="T164" s="38" t="s">
        <v>159</v>
      </c>
      <c r="U164" s="33">
        <v>1</v>
      </c>
      <c r="V164" s="35" t="str">
        <f>VLOOKUP(U164,Key!$E$2:$F$9,2,FALSE)</f>
        <v>Home</v>
      </c>
      <c r="W164" s="35" t="str">
        <f>Q164&amp;"-"&amp;V164</f>
        <v>Work-Home</v>
      </c>
      <c r="X164" s="51">
        <v>5000</v>
      </c>
      <c r="Y164" s="39">
        <v>45</v>
      </c>
      <c r="Z164" s="39">
        <v>1</v>
      </c>
      <c r="AA164" s="33">
        <v>6</v>
      </c>
      <c r="AB164" s="35" t="str">
        <f>VLOOKUP(AA164,Key!$C$20:$D$29,2,FALSE)</f>
        <v>Businessman</v>
      </c>
      <c r="AC164" s="33">
        <v>1</v>
      </c>
      <c r="AD164" s="35" t="str">
        <f>VLOOKUP(AC164,Key!$E$20:$F$24,2,FALSE)</f>
        <v>&lt;300,000</v>
      </c>
      <c r="AE164" s="33">
        <v>2</v>
      </c>
      <c r="AF164" s="39">
        <v>4</v>
      </c>
      <c r="AG164" s="39">
        <v>2</v>
      </c>
      <c r="AH164" s="39">
        <v>2</v>
      </c>
      <c r="AI164" s="39">
        <v>2</v>
      </c>
      <c r="AJ164" s="40" t="s">
        <v>160</v>
      </c>
      <c r="AK164" s="41">
        <v>0</v>
      </c>
      <c r="AL164" s="25"/>
      <c r="AM164" s="25"/>
    </row>
    <row r="165" spans="1:39" x14ac:dyDescent="0.2">
      <c r="B165" s="50" t="s">
        <v>321</v>
      </c>
      <c r="C165" s="36">
        <v>0.56805555555555554</v>
      </c>
      <c r="D165" s="36"/>
      <c r="E165" s="36" t="s">
        <v>164</v>
      </c>
      <c r="F165" s="38">
        <v>2</v>
      </c>
      <c r="G165" s="43" t="str">
        <f>VLOOKUP(F165,Key!$A$17:$B$21,2,FALSE)</f>
        <v>Road Vehicle</v>
      </c>
      <c r="H165" s="37">
        <v>4</v>
      </c>
      <c r="I165" s="44" t="str">
        <f>VLOOKUP(H165,Key!$A$2:$B$13,2,FALSE)</f>
        <v>Minibus</v>
      </c>
      <c r="J165" s="38" t="s">
        <v>165</v>
      </c>
      <c r="K165" s="38">
        <v>2</v>
      </c>
      <c r="L165" s="45" t="str">
        <f>VLOOKUP(K165,Key!$A$24:$B$29,2,FALSE)</f>
        <v>30-39</v>
      </c>
      <c r="M165" s="38" t="s">
        <v>168</v>
      </c>
      <c r="N165" s="33" t="s">
        <v>161</v>
      </c>
      <c r="O165" s="38" t="s">
        <v>159</v>
      </c>
      <c r="P165" s="40">
        <v>2</v>
      </c>
      <c r="Q165" s="35" t="str">
        <f>VLOOKUP(P165,Key!$E$2:$F$9,2,FALSE)</f>
        <v>Work</v>
      </c>
      <c r="R165" s="38" t="s">
        <v>334</v>
      </c>
      <c r="S165" s="33" t="s">
        <v>335</v>
      </c>
      <c r="T165" s="38" t="s">
        <v>159</v>
      </c>
      <c r="U165" s="33">
        <v>1</v>
      </c>
      <c r="V165" s="35" t="str">
        <f>VLOOKUP(U165,Key!$E$2:$F$9,2,FALSE)</f>
        <v>Home</v>
      </c>
      <c r="W165" s="35" t="str">
        <f>Q165&amp;"-"&amp;V165</f>
        <v>Work-Home</v>
      </c>
      <c r="X165" s="51">
        <v>10000</v>
      </c>
      <c r="Y165" s="39">
        <v>95</v>
      </c>
      <c r="Z165" s="39">
        <v>2.5</v>
      </c>
      <c r="AA165" s="33">
        <v>6</v>
      </c>
      <c r="AB165" s="35" t="str">
        <f>VLOOKUP(AA165,Key!$C$20:$D$29,2,FALSE)</f>
        <v>Businessman</v>
      </c>
      <c r="AC165" s="33">
        <v>1</v>
      </c>
      <c r="AD165" s="35" t="str">
        <f>VLOOKUP(AC165,Key!$E$20:$F$24,2,FALSE)</f>
        <v>&lt;300,000</v>
      </c>
      <c r="AE165" s="33">
        <v>5</v>
      </c>
      <c r="AF165" s="39">
        <v>2</v>
      </c>
      <c r="AG165" s="39">
        <v>1</v>
      </c>
      <c r="AH165" s="39">
        <v>2</v>
      </c>
      <c r="AI165" s="39">
        <v>2</v>
      </c>
      <c r="AJ165" s="40" t="s">
        <v>160</v>
      </c>
      <c r="AK165" s="41">
        <v>0</v>
      </c>
      <c r="AL165" s="25"/>
      <c r="AM165" s="25"/>
    </row>
    <row r="166" spans="1:39" x14ac:dyDescent="0.2">
      <c r="B166" s="50" t="s">
        <v>321</v>
      </c>
      <c r="C166" s="36">
        <v>0.51944444444444449</v>
      </c>
      <c r="D166" s="36"/>
      <c r="E166" s="36" t="s">
        <v>164</v>
      </c>
      <c r="F166" s="38">
        <v>2</v>
      </c>
      <c r="G166" s="43" t="str">
        <f>VLOOKUP(F166,Key!$A$17:$B$21,2,FALSE)</f>
        <v>Road Vehicle</v>
      </c>
      <c r="H166" s="37">
        <v>4</v>
      </c>
      <c r="I166" s="44" t="str">
        <f>VLOOKUP(H166,Key!$A$2:$B$13,2,FALSE)</f>
        <v>Minibus</v>
      </c>
      <c r="J166" s="38" t="s">
        <v>165</v>
      </c>
      <c r="K166" s="38">
        <v>2</v>
      </c>
      <c r="L166" s="45" t="str">
        <f>VLOOKUP(K166,Key!$A$24:$B$29,2,FALSE)</f>
        <v>30-39</v>
      </c>
      <c r="M166" s="38" t="s">
        <v>168</v>
      </c>
      <c r="N166" s="33" t="s">
        <v>161</v>
      </c>
      <c r="O166" s="38" t="s">
        <v>159</v>
      </c>
      <c r="P166" s="40">
        <v>2</v>
      </c>
      <c r="Q166" s="35" t="str">
        <f>VLOOKUP(P166,Key!$E$2:$F$9,2,FALSE)</f>
        <v>Work</v>
      </c>
      <c r="R166" s="38" t="s">
        <v>183</v>
      </c>
      <c r="S166" s="33" t="s">
        <v>184</v>
      </c>
      <c r="T166" s="38" t="s">
        <v>159</v>
      </c>
      <c r="U166" s="33">
        <v>1</v>
      </c>
      <c r="V166" s="35" t="str">
        <f>VLOOKUP(U166,Key!$E$2:$F$9,2,FALSE)</f>
        <v>Home</v>
      </c>
      <c r="W166" s="35" t="str">
        <f>Q166&amp;"-"&amp;V166</f>
        <v>Work-Home</v>
      </c>
      <c r="X166" s="51">
        <v>7000</v>
      </c>
      <c r="Y166" s="39">
        <v>68</v>
      </c>
      <c r="Z166" s="39">
        <v>1.5</v>
      </c>
      <c r="AA166" s="33">
        <v>6</v>
      </c>
      <c r="AB166" s="35" t="str">
        <f>VLOOKUP(AA166,Key!$C$20:$D$29,2,FALSE)</f>
        <v>Businessman</v>
      </c>
      <c r="AC166" s="33">
        <v>1</v>
      </c>
      <c r="AD166" s="35" t="str">
        <f>VLOOKUP(AC166,Key!$E$20:$F$24,2,FALSE)</f>
        <v>&lt;300,000</v>
      </c>
      <c r="AE166" s="33">
        <v>2</v>
      </c>
      <c r="AF166" s="39">
        <v>2</v>
      </c>
      <c r="AG166" s="39">
        <v>2</v>
      </c>
      <c r="AH166" s="39">
        <v>2</v>
      </c>
      <c r="AI166" s="39">
        <v>2</v>
      </c>
      <c r="AJ166" s="40" t="s">
        <v>160</v>
      </c>
      <c r="AK166" s="41">
        <v>0</v>
      </c>
      <c r="AL166" s="25"/>
      <c r="AM166" s="25"/>
    </row>
    <row r="167" spans="1:39" x14ac:dyDescent="0.2">
      <c r="B167" s="50" t="s">
        <v>321</v>
      </c>
      <c r="C167" s="36">
        <v>0.32083333333333336</v>
      </c>
      <c r="D167" s="36"/>
      <c r="E167" s="36" t="s">
        <v>164</v>
      </c>
      <c r="F167" s="38">
        <v>2</v>
      </c>
      <c r="G167" s="43" t="str">
        <f>VLOOKUP(F167,Key!$A$17:$B$21,2,FALSE)</f>
        <v>Road Vehicle</v>
      </c>
      <c r="H167" s="37">
        <v>4</v>
      </c>
      <c r="I167" s="44" t="str">
        <f>VLOOKUP(H167,Key!$A$2:$B$13,2,FALSE)</f>
        <v>Minibus</v>
      </c>
      <c r="J167" s="38" t="s">
        <v>165</v>
      </c>
      <c r="K167" s="38">
        <v>2</v>
      </c>
      <c r="L167" s="45" t="str">
        <f>VLOOKUP(K167,Key!$A$24:$B$29,2,FALSE)</f>
        <v>30-39</v>
      </c>
      <c r="M167" s="38" t="s">
        <v>168</v>
      </c>
      <c r="N167" s="33" t="s">
        <v>161</v>
      </c>
      <c r="O167" s="38" t="s">
        <v>159</v>
      </c>
      <c r="P167" s="40">
        <v>1</v>
      </c>
      <c r="Q167" s="35" t="str">
        <f>VLOOKUP(P167,Key!$E$2:$F$9,2,FALSE)</f>
        <v>Home</v>
      </c>
      <c r="R167" s="38" t="s">
        <v>287</v>
      </c>
      <c r="S167" s="33" t="s">
        <v>288</v>
      </c>
      <c r="T167" s="38" t="s">
        <v>159</v>
      </c>
      <c r="U167" s="33">
        <v>4</v>
      </c>
      <c r="V167" s="35" t="str">
        <f>VLOOKUP(U167,Key!$E$2:$F$9,2,FALSE)</f>
        <v>Commercial</v>
      </c>
      <c r="W167" s="35" t="str">
        <f>Q167&amp;"-"&amp;V167</f>
        <v>Home-Commercial</v>
      </c>
      <c r="X167" s="51">
        <v>10000</v>
      </c>
      <c r="Y167" s="39">
        <v>95</v>
      </c>
      <c r="Z167" s="39">
        <v>2.5</v>
      </c>
      <c r="AA167" s="33">
        <v>6</v>
      </c>
      <c r="AB167" s="35" t="str">
        <f>VLOOKUP(AA167,Key!$C$20:$D$29,2,FALSE)</f>
        <v>Businessman</v>
      </c>
      <c r="AC167" s="33">
        <v>1</v>
      </c>
      <c r="AD167" s="35" t="str">
        <f>VLOOKUP(AC167,Key!$E$20:$F$24,2,FALSE)</f>
        <v>&lt;300,000</v>
      </c>
      <c r="AE167" s="33">
        <v>2</v>
      </c>
      <c r="AF167" s="39">
        <v>2</v>
      </c>
      <c r="AG167" s="39">
        <v>2</v>
      </c>
      <c r="AH167" s="39">
        <v>5</v>
      </c>
      <c r="AI167" s="39">
        <v>5</v>
      </c>
      <c r="AJ167" s="40" t="s">
        <v>160</v>
      </c>
      <c r="AK167" s="41">
        <v>0</v>
      </c>
      <c r="AL167" s="25"/>
      <c r="AM167" s="25"/>
    </row>
    <row r="168" spans="1:39" x14ac:dyDescent="0.2">
      <c r="B168" s="50" t="s">
        <v>321</v>
      </c>
      <c r="C168" s="36">
        <v>0.31111111111111112</v>
      </c>
      <c r="D168" s="36"/>
      <c r="E168" s="36" t="s">
        <v>164</v>
      </c>
      <c r="F168" s="38">
        <v>2</v>
      </c>
      <c r="G168" s="43" t="str">
        <f>VLOOKUP(F168,Key!$A$17:$B$21,2,FALSE)</f>
        <v>Road Vehicle</v>
      </c>
      <c r="H168" s="37">
        <v>4</v>
      </c>
      <c r="I168" s="44" t="str">
        <f>VLOOKUP(H168,Key!$A$2:$B$13,2,FALSE)</f>
        <v>Minibus</v>
      </c>
      <c r="J168" s="38" t="s">
        <v>165</v>
      </c>
      <c r="K168" s="38">
        <v>2</v>
      </c>
      <c r="L168" s="45" t="str">
        <f>VLOOKUP(K168,Key!$A$24:$B$29,2,FALSE)</f>
        <v>30-39</v>
      </c>
      <c r="M168" s="38" t="s">
        <v>168</v>
      </c>
      <c r="N168" s="33" t="s">
        <v>161</v>
      </c>
      <c r="O168" s="38" t="s">
        <v>159</v>
      </c>
      <c r="P168" s="40">
        <v>2</v>
      </c>
      <c r="Q168" s="35" t="str">
        <f>VLOOKUP(P168,Key!$E$2:$F$9,2,FALSE)</f>
        <v>Work</v>
      </c>
      <c r="R168" s="38" t="s">
        <v>350</v>
      </c>
      <c r="S168" s="33" t="s">
        <v>266</v>
      </c>
      <c r="T168" s="38" t="s">
        <v>159</v>
      </c>
      <c r="U168" s="33">
        <v>1</v>
      </c>
      <c r="V168" s="35" t="str">
        <f>VLOOKUP(U168,Key!$E$2:$F$9,2,FALSE)</f>
        <v>Home</v>
      </c>
      <c r="W168" s="35" t="str">
        <f>Q168&amp;"-"&amp;V168</f>
        <v>Work-Home</v>
      </c>
      <c r="X168" s="51">
        <v>5000</v>
      </c>
      <c r="Y168" s="39">
        <v>30</v>
      </c>
      <c r="Z168" s="39">
        <v>1</v>
      </c>
      <c r="AA168" s="33">
        <v>6</v>
      </c>
      <c r="AB168" s="35" t="str">
        <f>VLOOKUP(AA168,Key!$C$20:$D$29,2,FALSE)</f>
        <v>Businessman</v>
      </c>
      <c r="AC168" s="33">
        <v>1</v>
      </c>
      <c r="AD168" s="35" t="str">
        <f>VLOOKUP(AC168,Key!$E$20:$F$24,2,FALSE)</f>
        <v>&lt;300,000</v>
      </c>
      <c r="AE168" s="33">
        <v>2</v>
      </c>
      <c r="AF168" s="39">
        <v>4</v>
      </c>
      <c r="AG168" s="39">
        <v>1</v>
      </c>
      <c r="AH168" s="39">
        <v>2</v>
      </c>
      <c r="AI168" s="39">
        <v>2</v>
      </c>
      <c r="AJ168" s="40" t="s">
        <v>160</v>
      </c>
      <c r="AK168" s="41">
        <v>0</v>
      </c>
      <c r="AL168" s="25"/>
      <c r="AM168" s="25"/>
    </row>
    <row r="169" spans="1:39" x14ac:dyDescent="0.2">
      <c r="B169" s="50" t="s">
        <v>321</v>
      </c>
      <c r="C169" s="36">
        <v>0.29166666666666669</v>
      </c>
      <c r="D169" s="36" t="s">
        <v>351</v>
      </c>
      <c r="E169" s="36" t="s">
        <v>173</v>
      </c>
      <c r="F169" s="38">
        <v>2</v>
      </c>
      <c r="G169" s="43" t="str">
        <f>VLOOKUP(F169,Key!$A$17:$B$21,2,FALSE)</f>
        <v>Road Vehicle</v>
      </c>
      <c r="H169" s="37">
        <v>4</v>
      </c>
      <c r="I169" s="44" t="str">
        <f>VLOOKUP(H169,Key!$A$2:$B$13,2,FALSE)</f>
        <v>Minibus</v>
      </c>
      <c r="J169" s="38" t="s">
        <v>165</v>
      </c>
      <c r="K169" s="38">
        <v>2</v>
      </c>
      <c r="L169" s="45" t="str">
        <f>VLOOKUP(K169,Key!$A$24:$B$29,2,FALSE)</f>
        <v>30-39</v>
      </c>
      <c r="M169" s="38" t="s">
        <v>168</v>
      </c>
      <c r="N169" s="33" t="s">
        <v>161</v>
      </c>
      <c r="O169" s="38" t="s">
        <v>159</v>
      </c>
      <c r="P169" s="40">
        <v>2</v>
      </c>
      <c r="Q169" s="35" t="str">
        <f>VLOOKUP(P169,Key!$E$2:$F$9,2,FALSE)</f>
        <v>Work</v>
      </c>
      <c r="R169" s="38" t="s">
        <v>200</v>
      </c>
      <c r="S169" s="33" t="s">
        <v>161</v>
      </c>
      <c r="T169" s="38" t="s">
        <v>159</v>
      </c>
      <c r="U169" s="33">
        <v>8</v>
      </c>
      <c r="V169" s="35" t="str">
        <f>VLOOKUP(U169,Key!$E$2:$F$9,2,FALSE)</f>
        <v>Others</v>
      </c>
      <c r="W169" s="35" t="str">
        <f>Q169&amp;"-"&amp;V169</f>
        <v>Work-Others</v>
      </c>
      <c r="X169" s="51">
        <v>30000</v>
      </c>
      <c r="Y169" s="39">
        <v>15</v>
      </c>
      <c r="Z169" s="39">
        <v>0.83</v>
      </c>
      <c r="AA169" s="33">
        <v>10</v>
      </c>
      <c r="AB169" s="35" t="str">
        <f>VLOOKUP(AA169,Key!$C$20:$D$29,2,FALSE)</f>
        <v>Other</v>
      </c>
      <c r="AC169" s="33">
        <v>1</v>
      </c>
      <c r="AD169" s="35" t="str">
        <f>VLOOKUP(AC169,Key!$E$20:$F$24,2,FALSE)</f>
        <v>&lt;300,000</v>
      </c>
      <c r="AE169" s="33">
        <v>5</v>
      </c>
      <c r="AF169" s="39">
        <v>4</v>
      </c>
      <c r="AG169" s="39">
        <v>2</v>
      </c>
      <c r="AH169" s="39">
        <v>5</v>
      </c>
      <c r="AI169" s="39">
        <v>2</v>
      </c>
      <c r="AJ169" s="40" t="s">
        <v>160</v>
      </c>
      <c r="AK169" s="41">
        <v>0</v>
      </c>
      <c r="AL169" s="25"/>
      <c r="AM169" s="25"/>
    </row>
    <row r="170" spans="1:39" x14ac:dyDescent="0.2">
      <c r="A170" s="10"/>
      <c r="B170" s="50" t="s">
        <v>163</v>
      </c>
      <c r="C170" s="36">
        <v>0.7055555555555556</v>
      </c>
      <c r="D170" s="36"/>
      <c r="E170" s="36" t="s">
        <v>164</v>
      </c>
      <c r="F170" s="38">
        <v>2</v>
      </c>
      <c r="G170" s="43" t="str">
        <f>VLOOKUP(F170,Key!$A$17:$B$21,2,FALSE)</f>
        <v>Road Vehicle</v>
      </c>
      <c r="H170" s="37">
        <v>4</v>
      </c>
      <c r="I170" s="44" t="str">
        <f>VLOOKUP(H170,Key!$A$2:$B$13,2,FALSE)</f>
        <v>Minibus</v>
      </c>
      <c r="J170" s="38" t="s">
        <v>174</v>
      </c>
      <c r="K170" s="38">
        <v>2</v>
      </c>
      <c r="L170" s="45" t="str">
        <f>VLOOKUP(K170,Key!$A$24:$B$29,2,FALSE)</f>
        <v>30-39</v>
      </c>
      <c r="M170" s="38" t="s">
        <v>185</v>
      </c>
      <c r="N170" s="33" t="s">
        <v>186</v>
      </c>
      <c r="O170" s="38" t="s">
        <v>159</v>
      </c>
      <c r="P170" s="40">
        <v>7</v>
      </c>
      <c r="Q170" s="35" t="str">
        <f>VLOOKUP(P170,Key!$E$2:$F$9,2,FALSE)</f>
        <v>Hospital</v>
      </c>
      <c r="R170" s="38" t="s">
        <v>168</v>
      </c>
      <c r="S170" s="33" t="s">
        <v>161</v>
      </c>
      <c r="T170" s="38" t="s">
        <v>159</v>
      </c>
      <c r="U170" s="33">
        <v>1</v>
      </c>
      <c r="V170" s="35" t="str">
        <f>VLOOKUP(U170,Key!$E$2:$F$9,2,FALSE)</f>
        <v>Home</v>
      </c>
      <c r="W170" s="35" t="str">
        <f>Q170&amp;"-"&amp;V170</f>
        <v>Hospital-Home</v>
      </c>
      <c r="X170" s="51">
        <v>15000</v>
      </c>
      <c r="Y170" s="39">
        <v>136</v>
      </c>
      <c r="Z170" s="39">
        <v>3</v>
      </c>
      <c r="AA170" s="33">
        <v>7</v>
      </c>
      <c r="AB170" s="35" t="str">
        <f>VLOOKUP(AA170,Key!$C$20:$D$29,2,FALSE)</f>
        <v>Farmer</v>
      </c>
      <c r="AC170" s="33">
        <v>2</v>
      </c>
      <c r="AD170" s="35" t="str">
        <f>VLOOKUP(AC170,Key!$E$20:$F$24,2,FALSE)</f>
        <v>300,000-500,000</v>
      </c>
      <c r="AE170" s="33">
        <v>1</v>
      </c>
      <c r="AF170" s="39">
        <v>1</v>
      </c>
      <c r="AG170" s="39">
        <v>1</v>
      </c>
      <c r="AH170" s="39">
        <v>2</v>
      </c>
      <c r="AI170" s="39">
        <v>2</v>
      </c>
      <c r="AJ170" s="40" t="s">
        <v>160</v>
      </c>
      <c r="AK170" s="41">
        <v>0</v>
      </c>
      <c r="AL170" s="25"/>
      <c r="AM170" s="25"/>
    </row>
    <row r="171" spans="1:39" x14ac:dyDescent="0.2">
      <c r="B171" s="50" t="s">
        <v>163</v>
      </c>
      <c r="C171" s="36">
        <v>0.65138888888888891</v>
      </c>
      <c r="D171" s="36" t="s">
        <v>199</v>
      </c>
      <c r="E171" s="36" t="s">
        <v>173</v>
      </c>
      <c r="F171" s="38">
        <v>2</v>
      </c>
      <c r="G171" s="43" t="str">
        <f>VLOOKUP(F171,Key!$A$17:$B$21,2,FALSE)</f>
        <v>Road Vehicle</v>
      </c>
      <c r="H171" s="37">
        <v>4</v>
      </c>
      <c r="I171" s="44" t="str">
        <f>VLOOKUP(H171,Key!$A$2:$B$13,2,FALSE)</f>
        <v>Minibus</v>
      </c>
      <c r="J171" s="38" t="s">
        <v>174</v>
      </c>
      <c r="K171" s="38">
        <v>2</v>
      </c>
      <c r="L171" s="45" t="str">
        <f>VLOOKUP(K171,Key!$A$24:$B$29,2,FALSE)</f>
        <v>30-39</v>
      </c>
      <c r="M171" s="38" t="s">
        <v>200</v>
      </c>
      <c r="N171" s="33" t="s">
        <v>161</v>
      </c>
      <c r="O171" s="38" t="s">
        <v>159</v>
      </c>
      <c r="P171" s="40">
        <v>2</v>
      </c>
      <c r="Q171" s="35" t="str">
        <f>VLOOKUP(P171,Key!$E$2:$F$9,2,FALSE)</f>
        <v>Work</v>
      </c>
      <c r="R171" s="38" t="s">
        <v>168</v>
      </c>
      <c r="S171" s="33" t="s">
        <v>161</v>
      </c>
      <c r="T171" s="38" t="s">
        <v>159</v>
      </c>
      <c r="U171" s="33">
        <v>1</v>
      </c>
      <c r="V171" s="35" t="str">
        <f>VLOOKUP(U171,Key!$E$2:$F$9,2,FALSE)</f>
        <v>Home</v>
      </c>
      <c r="W171" s="35" t="str">
        <f>Q171&amp;"-"&amp;V171</f>
        <v>Work-Home</v>
      </c>
      <c r="X171" s="51">
        <v>7000</v>
      </c>
      <c r="Y171" s="39">
        <v>54</v>
      </c>
      <c r="Z171" s="39">
        <v>1</v>
      </c>
      <c r="AA171" s="33">
        <v>6</v>
      </c>
      <c r="AB171" s="35" t="str">
        <f>VLOOKUP(AA171,Key!$C$20:$D$29,2,FALSE)</f>
        <v>Businessman</v>
      </c>
      <c r="AC171" s="33">
        <v>2</v>
      </c>
      <c r="AD171" s="35" t="str">
        <f>VLOOKUP(AC171,Key!$E$20:$F$24,2,FALSE)</f>
        <v>300,000-500,000</v>
      </c>
      <c r="AE171" s="33">
        <v>4</v>
      </c>
      <c r="AF171" s="39">
        <v>4</v>
      </c>
      <c r="AG171" s="39">
        <v>4</v>
      </c>
      <c r="AH171" s="39">
        <v>3</v>
      </c>
      <c r="AI171" s="39">
        <v>4</v>
      </c>
      <c r="AJ171" s="40" t="s">
        <v>160</v>
      </c>
      <c r="AK171" s="41">
        <v>0</v>
      </c>
      <c r="AL171" s="25"/>
      <c r="AM171" s="25"/>
    </row>
    <row r="172" spans="1:39" x14ac:dyDescent="0.2">
      <c r="B172" s="50" t="s">
        <v>163</v>
      </c>
      <c r="C172" s="36">
        <v>0.58958333333333335</v>
      </c>
      <c r="D172" s="36"/>
      <c r="E172" s="36" t="s">
        <v>164</v>
      </c>
      <c r="F172" s="38">
        <v>2</v>
      </c>
      <c r="G172" s="43" t="str">
        <f>VLOOKUP(F172,Key!$A$17:$B$21,2,FALSE)</f>
        <v>Road Vehicle</v>
      </c>
      <c r="H172" s="37">
        <v>4</v>
      </c>
      <c r="I172" s="44" t="str">
        <f>VLOOKUP(H172,Key!$A$2:$B$13,2,FALSE)</f>
        <v>Minibus</v>
      </c>
      <c r="J172" s="38" t="s">
        <v>174</v>
      </c>
      <c r="K172" s="38">
        <v>2</v>
      </c>
      <c r="L172" s="45" t="str">
        <f>VLOOKUP(K172,Key!$A$24:$B$29,2,FALSE)</f>
        <v>30-39</v>
      </c>
      <c r="M172" s="38" t="s">
        <v>188</v>
      </c>
      <c r="N172" s="33" t="s">
        <v>161</v>
      </c>
      <c r="O172" s="38" t="s">
        <v>159</v>
      </c>
      <c r="P172" s="40">
        <v>1</v>
      </c>
      <c r="Q172" s="35" t="str">
        <f>VLOOKUP(P172,Key!$E$2:$F$9,2,FALSE)</f>
        <v>Home</v>
      </c>
      <c r="R172" s="38" t="s">
        <v>168</v>
      </c>
      <c r="S172" s="33" t="s">
        <v>161</v>
      </c>
      <c r="T172" s="38" t="s">
        <v>159</v>
      </c>
      <c r="U172" s="33">
        <v>4</v>
      </c>
      <c r="V172" s="35" t="str">
        <f>VLOOKUP(U172,Key!$E$2:$F$9,2,FALSE)</f>
        <v>Commercial</v>
      </c>
      <c r="W172" s="35" t="str">
        <f>Q172&amp;"-"&amp;V172</f>
        <v>Home-Commercial</v>
      </c>
      <c r="X172" s="51">
        <v>4000</v>
      </c>
      <c r="Y172" s="39">
        <v>40</v>
      </c>
      <c r="Z172" s="39">
        <v>0.33</v>
      </c>
      <c r="AA172" s="33">
        <v>7</v>
      </c>
      <c r="AB172" s="35" t="str">
        <f>VLOOKUP(AA172,Key!$C$20:$D$29,2,FALSE)</f>
        <v>Farmer</v>
      </c>
      <c r="AC172" s="33">
        <v>2</v>
      </c>
      <c r="AD172" s="35" t="str">
        <f>VLOOKUP(AC172,Key!$E$20:$F$24,2,FALSE)</f>
        <v>300,000-500,000</v>
      </c>
      <c r="AE172" s="33">
        <v>2</v>
      </c>
      <c r="AF172" s="39">
        <v>2</v>
      </c>
      <c r="AG172" s="39">
        <v>2</v>
      </c>
      <c r="AH172" s="39">
        <v>1</v>
      </c>
      <c r="AI172" s="39">
        <v>1</v>
      </c>
      <c r="AJ172" s="40" t="s">
        <v>160</v>
      </c>
      <c r="AK172" s="41">
        <v>1000</v>
      </c>
      <c r="AL172" s="25"/>
      <c r="AM172" s="25"/>
    </row>
    <row r="173" spans="1:39" x14ac:dyDescent="0.2">
      <c r="B173" s="50" t="s">
        <v>163</v>
      </c>
      <c r="C173" s="36">
        <v>0.72638888888888886</v>
      </c>
      <c r="D173" s="36"/>
      <c r="E173" s="36" t="s">
        <v>164</v>
      </c>
      <c r="F173" s="38">
        <v>2</v>
      </c>
      <c r="G173" s="43" t="str">
        <f>VLOOKUP(F173,Key!$A$17:$B$21,2,FALSE)</f>
        <v>Road Vehicle</v>
      </c>
      <c r="H173" s="37">
        <v>4</v>
      </c>
      <c r="I173" s="44" t="str">
        <f>VLOOKUP(H173,Key!$A$2:$B$13,2,FALSE)</f>
        <v>Minibus</v>
      </c>
      <c r="J173" s="38" t="s">
        <v>174</v>
      </c>
      <c r="K173" s="38">
        <v>2</v>
      </c>
      <c r="L173" s="45" t="str">
        <f>VLOOKUP(K173,Key!$A$24:$B$29,2,FALSE)</f>
        <v>30-39</v>
      </c>
      <c r="M173" s="38" t="s">
        <v>168</v>
      </c>
      <c r="N173" s="33" t="s">
        <v>161</v>
      </c>
      <c r="O173" s="38" t="s">
        <v>159</v>
      </c>
      <c r="P173" s="40">
        <v>1</v>
      </c>
      <c r="Q173" s="35" t="str">
        <f>VLOOKUP(P173,Key!$E$2:$F$9,2,FALSE)</f>
        <v>Home</v>
      </c>
      <c r="R173" s="38" t="s">
        <v>232</v>
      </c>
      <c r="S173" s="33" t="s">
        <v>233</v>
      </c>
      <c r="T173" s="38" t="s">
        <v>159</v>
      </c>
      <c r="U173" s="33">
        <v>4</v>
      </c>
      <c r="V173" s="35" t="str">
        <f>VLOOKUP(U173,Key!$E$2:$F$9,2,FALSE)</f>
        <v>Commercial</v>
      </c>
      <c r="W173" s="35" t="str">
        <f>Q173&amp;"-"&amp;V173</f>
        <v>Home-Commercial</v>
      </c>
      <c r="X173" s="51">
        <v>30000</v>
      </c>
      <c r="Y173" s="39">
        <v>480</v>
      </c>
      <c r="Z173" s="39">
        <v>4</v>
      </c>
      <c r="AA173" s="33">
        <v>5</v>
      </c>
      <c r="AB173" s="35" t="str">
        <f>VLOOKUP(AA173,Key!$C$20:$D$29,2,FALSE)</f>
        <v>Professional</v>
      </c>
      <c r="AC173" s="33">
        <v>2</v>
      </c>
      <c r="AD173" s="35" t="str">
        <f>VLOOKUP(AC173,Key!$E$20:$F$24,2,FALSE)</f>
        <v>300,000-500,000</v>
      </c>
      <c r="AE173" s="33">
        <v>5</v>
      </c>
      <c r="AF173" s="39">
        <v>5</v>
      </c>
      <c r="AG173" s="39">
        <v>5</v>
      </c>
      <c r="AH173" s="39">
        <v>5</v>
      </c>
      <c r="AI173" s="39">
        <v>5</v>
      </c>
      <c r="AJ173" s="40" t="s">
        <v>160</v>
      </c>
      <c r="AK173" s="41">
        <v>1000</v>
      </c>
      <c r="AL173" s="25"/>
      <c r="AM173" s="25"/>
    </row>
    <row r="174" spans="1:39" x14ac:dyDescent="0.2">
      <c r="B174" s="50" t="s">
        <v>163</v>
      </c>
      <c r="C174" s="36">
        <v>0.7006944444444444</v>
      </c>
      <c r="D174" s="36"/>
      <c r="E174" s="36" t="s">
        <v>164</v>
      </c>
      <c r="F174" s="38">
        <v>2</v>
      </c>
      <c r="G174" s="43" t="str">
        <f>VLOOKUP(F174,Key!$A$17:$B$21,2,FALSE)</f>
        <v>Road Vehicle</v>
      </c>
      <c r="H174" s="37">
        <v>4</v>
      </c>
      <c r="I174" s="44" t="str">
        <f>VLOOKUP(H174,Key!$A$2:$B$13,2,FALSE)</f>
        <v>Minibus</v>
      </c>
      <c r="J174" s="38" t="s">
        <v>174</v>
      </c>
      <c r="K174" s="38">
        <v>2</v>
      </c>
      <c r="L174" s="45" t="str">
        <f>VLOOKUP(K174,Key!$A$24:$B$29,2,FALSE)</f>
        <v>30-39</v>
      </c>
      <c r="M174" s="38" t="s">
        <v>168</v>
      </c>
      <c r="N174" s="33" t="s">
        <v>161</v>
      </c>
      <c r="O174" s="38" t="s">
        <v>159</v>
      </c>
      <c r="P174" s="40">
        <v>1</v>
      </c>
      <c r="Q174" s="35" t="str">
        <f>VLOOKUP(P174,Key!$E$2:$F$9,2,FALSE)</f>
        <v>Home</v>
      </c>
      <c r="R174" s="38" t="s">
        <v>232</v>
      </c>
      <c r="S174" s="33" t="s">
        <v>233</v>
      </c>
      <c r="T174" s="38" t="s">
        <v>159</v>
      </c>
      <c r="U174" s="33">
        <v>2</v>
      </c>
      <c r="V174" s="35" t="str">
        <f>VLOOKUP(U174,Key!$E$2:$F$9,2,FALSE)</f>
        <v>Work</v>
      </c>
      <c r="W174" s="35" t="str">
        <f>Q174&amp;"-"&amp;V174</f>
        <v>Home-Work</v>
      </c>
      <c r="X174" s="51">
        <v>30000</v>
      </c>
      <c r="Y174" s="39">
        <v>470</v>
      </c>
      <c r="Z174" s="39">
        <v>5</v>
      </c>
      <c r="AA174" s="33">
        <v>4</v>
      </c>
      <c r="AB174" s="35" t="str">
        <f>VLOOKUP(AA174,Key!$C$20:$D$29,2,FALSE)</f>
        <v>Office Worker</v>
      </c>
      <c r="AC174" s="33">
        <v>2</v>
      </c>
      <c r="AD174" s="35" t="str">
        <f>VLOOKUP(AC174,Key!$E$20:$F$24,2,FALSE)</f>
        <v>300,000-500,000</v>
      </c>
      <c r="AE174" s="33">
        <v>5</v>
      </c>
      <c r="AF174" s="39">
        <v>5</v>
      </c>
      <c r="AG174" s="39">
        <v>5</v>
      </c>
      <c r="AH174" s="39">
        <v>5</v>
      </c>
      <c r="AI174" s="39">
        <v>5</v>
      </c>
      <c r="AJ174" s="40" t="s">
        <v>160</v>
      </c>
      <c r="AK174" s="41">
        <v>5000</v>
      </c>
      <c r="AL174" s="25"/>
      <c r="AM174" s="25"/>
    </row>
    <row r="175" spans="1:39" x14ac:dyDescent="0.2">
      <c r="B175" s="50" t="s">
        <v>163</v>
      </c>
      <c r="C175" s="36">
        <v>0.69236111111111109</v>
      </c>
      <c r="D175" s="36" t="s">
        <v>234</v>
      </c>
      <c r="E175" s="36" t="s">
        <v>173</v>
      </c>
      <c r="F175" s="38">
        <v>2</v>
      </c>
      <c r="G175" s="43" t="str">
        <f>VLOOKUP(F175,Key!$A$17:$B$21,2,FALSE)</f>
        <v>Road Vehicle</v>
      </c>
      <c r="H175" s="37">
        <v>4</v>
      </c>
      <c r="I175" s="44" t="str">
        <f>VLOOKUP(H175,Key!$A$2:$B$13,2,FALSE)</f>
        <v>Minibus</v>
      </c>
      <c r="J175" s="38" t="s">
        <v>174</v>
      </c>
      <c r="K175" s="38">
        <v>2</v>
      </c>
      <c r="L175" s="45" t="str">
        <f>VLOOKUP(K175,Key!$A$24:$B$29,2,FALSE)</f>
        <v>30-39</v>
      </c>
      <c r="M175" s="38" t="s">
        <v>168</v>
      </c>
      <c r="N175" s="33" t="s">
        <v>161</v>
      </c>
      <c r="O175" s="38" t="s">
        <v>159</v>
      </c>
      <c r="P175" s="40">
        <v>1</v>
      </c>
      <c r="Q175" s="35" t="str">
        <f>VLOOKUP(P175,Key!$E$2:$F$9,2,FALSE)</f>
        <v>Home</v>
      </c>
      <c r="R175" s="38" t="s">
        <v>185</v>
      </c>
      <c r="S175" s="33" t="s">
        <v>186</v>
      </c>
      <c r="T175" s="38" t="s">
        <v>159</v>
      </c>
      <c r="U175" s="33">
        <v>4</v>
      </c>
      <c r="V175" s="35" t="str">
        <f>VLOOKUP(U175,Key!$E$2:$F$9,2,FALSE)</f>
        <v>Commercial</v>
      </c>
      <c r="W175" s="35" t="str">
        <f>Q175&amp;"-"&amp;V175</f>
        <v>Home-Commercial</v>
      </c>
      <c r="X175" s="51">
        <v>100000</v>
      </c>
      <c r="Y175" s="39">
        <v>270</v>
      </c>
      <c r="Z175" s="39">
        <v>2</v>
      </c>
      <c r="AA175" s="33">
        <v>2</v>
      </c>
      <c r="AB175" s="35" t="str">
        <f>VLOOKUP(AA175,Key!$C$20:$D$29,2,FALSE)</f>
        <v>Manual Labour</v>
      </c>
      <c r="AC175" s="33">
        <v>2</v>
      </c>
      <c r="AD175" s="35" t="str">
        <f>VLOOKUP(AC175,Key!$E$20:$F$24,2,FALSE)</f>
        <v>300,000-500,000</v>
      </c>
      <c r="AE175" s="33">
        <v>1</v>
      </c>
      <c r="AF175" s="39">
        <v>1</v>
      </c>
      <c r="AG175" s="39">
        <v>1</v>
      </c>
      <c r="AH175" s="39">
        <v>1</v>
      </c>
      <c r="AI175" s="39">
        <v>1</v>
      </c>
      <c r="AJ175" s="40" t="s">
        <v>160</v>
      </c>
      <c r="AK175" s="41">
        <v>1000</v>
      </c>
      <c r="AL175" s="25"/>
      <c r="AM175" s="25"/>
    </row>
    <row r="176" spans="1:39" x14ac:dyDescent="0.2">
      <c r="B176" s="50" t="s">
        <v>239</v>
      </c>
      <c r="C176" s="36">
        <v>0.39652777777777781</v>
      </c>
      <c r="D176" s="36"/>
      <c r="E176" s="36" t="s">
        <v>164</v>
      </c>
      <c r="F176" s="38">
        <v>2</v>
      </c>
      <c r="G176" s="43" t="str">
        <f>VLOOKUP(F176,Key!$A$17:$B$21,2,FALSE)</f>
        <v>Road Vehicle</v>
      </c>
      <c r="H176" s="37">
        <v>4</v>
      </c>
      <c r="I176" s="44" t="str">
        <f>VLOOKUP(H176,Key!$A$2:$B$13,2,FALSE)</f>
        <v>Minibus</v>
      </c>
      <c r="J176" s="38" t="s">
        <v>174</v>
      </c>
      <c r="K176" s="38">
        <v>2</v>
      </c>
      <c r="L176" s="45" t="str">
        <f>VLOOKUP(K176,Key!$A$24:$B$29,2,FALSE)</f>
        <v>30-39</v>
      </c>
      <c r="M176" s="38" t="s">
        <v>168</v>
      </c>
      <c r="N176" s="33" t="s">
        <v>161</v>
      </c>
      <c r="O176" s="38" t="s">
        <v>159</v>
      </c>
      <c r="P176" s="40">
        <v>1</v>
      </c>
      <c r="Q176" s="35" t="str">
        <f>VLOOKUP(P176,Key!$E$2:$F$9,2,FALSE)</f>
        <v>Home</v>
      </c>
      <c r="R176" s="38" t="s">
        <v>249</v>
      </c>
      <c r="S176" s="33" t="s">
        <v>250</v>
      </c>
      <c r="T176" s="38" t="s">
        <v>159</v>
      </c>
      <c r="U176" s="33">
        <v>1</v>
      </c>
      <c r="V176" s="35" t="str">
        <f>VLOOKUP(U176,Key!$E$2:$F$9,2,FALSE)</f>
        <v>Home</v>
      </c>
      <c r="W176" s="35" t="str">
        <f>Q176&amp;"-"&amp;V176</f>
        <v>Home-Home</v>
      </c>
      <c r="X176" s="51">
        <v>50000</v>
      </c>
      <c r="Y176" s="39">
        <v>340</v>
      </c>
      <c r="Z176" s="39">
        <v>6</v>
      </c>
      <c r="AA176" s="33">
        <v>1</v>
      </c>
      <c r="AB176" s="35" t="str">
        <f>VLOOKUP(AA176,Key!$C$20:$D$29,2,FALSE)</f>
        <v>Unemployed</v>
      </c>
      <c r="AC176" s="33">
        <v>1</v>
      </c>
      <c r="AD176" s="35" t="str">
        <f>VLOOKUP(AC176,Key!$E$20:$F$24,2,FALSE)</f>
        <v>&lt;300,000</v>
      </c>
      <c r="AE176" s="33">
        <v>5</v>
      </c>
      <c r="AF176" s="39">
        <v>3</v>
      </c>
      <c r="AG176" s="39">
        <v>1</v>
      </c>
      <c r="AH176" s="39">
        <v>1</v>
      </c>
      <c r="AI176" s="39">
        <v>5</v>
      </c>
      <c r="AJ176" s="40" t="s">
        <v>160</v>
      </c>
      <c r="AK176" s="41">
        <v>1000</v>
      </c>
      <c r="AL176" s="25"/>
      <c r="AM176" s="25"/>
    </row>
    <row r="177" spans="1:39" x14ac:dyDescent="0.2">
      <c r="B177" s="50" t="s">
        <v>239</v>
      </c>
      <c r="C177" s="36">
        <v>0.44375000000000003</v>
      </c>
      <c r="D177" s="36" t="s">
        <v>258</v>
      </c>
      <c r="E177" s="36" t="s">
        <v>173</v>
      </c>
      <c r="F177" s="38">
        <v>2</v>
      </c>
      <c r="G177" s="43" t="str">
        <f>VLOOKUP(F177,Key!$A$17:$B$21,2,FALSE)</f>
        <v>Road Vehicle</v>
      </c>
      <c r="H177" s="37">
        <v>4</v>
      </c>
      <c r="I177" s="44" t="str">
        <f>VLOOKUP(H177,Key!$A$2:$B$13,2,FALSE)</f>
        <v>Minibus</v>
      </c>
      <c r="J177" s="38" t="s">
        <v>174</v>
      </c>
      <c r="K177" s="38">
        <v>2</v>
      </c>
      <c r="L177" s="45" t="str">
        <f>VLOOKUP(K177,Key!$A$24:$B$29,2,FALSE)</f>
        <v>30-39</v>
      </c>
      <c r="M177" s="38" t="s">
        <v>168</v>
      </c>
      <c r="N177" s="33" t="s">
        <v>161</v>
      </c>
      <c r="O177" s="38" t="s">
        <v>159</v>
      </c>
      <c r="P177" s="40">
        <v>4</v>
      </c>
      <c r="Q177" s="35" t="str">
        <f>VLOOKUP(P177,Key!$E$2:$F$9,2,FALSE)</f>
        <v>Commercial</v>
      </c>
      <c r="R177" s="38" t="s">
        <v>259</v>
      </c>
      <c r="S177" s="33" t="s">
        <v>260</v>
      </c>
      <c r="T177" s="38" t="s">
        <v>159</v>
      </c>
      <c r="U177" s="33">
        <v>4</v>
      </c>
      <c r="V177" s="35" t="str">
        <f>VLOOKUP(U177,Key!$E$2:$F$9,2,FALSE)</f>
        <v>Commercial</v>
      </c>
      <c r="W177" s="35" t="str">
        <f>Q177&amp;"-"&amp;V177</f>
        <v>Commercial-Commercial</v>
      </c>
      <c r="X177" s="51">
        <v>200000</v>
      </c>
      <c r="Y177" s="39">
        <v>240</v>
      </c>
      <c r="Z177" s="39">
        <v>4</v>
      </c>
      <c r="AA177" s="33">
        <v>5</v>
      </c>
      <c r="AB177" s="35" t="str">
        <f>VLOOKUP(AA177,Key!$C$20:$D$29,2,FALSE)</f>
        <v>Professional</v>
      </c>
      <c r="AC177" s="33">
        <v>2</v>
      </c>
      <c r="AD177" s="35" t="str">
        <f>VLOOKUP(AC177,Key!$E$20:$F$24,2,FALSE)</f>
        <v>300,000-500,000</v>
      </c>
      <c r="AE177" s="33">
        <v>5</v>
      </c>
      <c r="AF177" s="39">
        <v>5</v>
      </c>
      <c r="AG177" s="39">
        <v>5</v>
      </c>
      <c r="AH177" s="39">
        <v>5</v>
      </c>
      <c r="AI177" s="39">
        <v>1</v>
      </c>
      <c r="AJ177" s="40" t="s">
        <v>160</v>
      </c>
      <c r="AK177" s="41">
        <v>2000</v>
      </c>
      <c r="AL177" s="25"/>
      <c r="AM177" s="25"/>
    </row>
    <row r="178" spans="1:39" x14ac:dyDescent="0.2">
      <c r="B178" s="50" t="s">
        <v>239</v>
      </c>
      <c r="C178" s="36">
        <v>0.4597222222222222</v>
      </c>
      <c r="D178" s="36"/>
      <c r="E178" s="36" t="s">
        <v>173</v>
      </c>
      <c r="F178" s="38">
        <v>2</v>
      </c>
      <c r="G178" s="43" t="str">
        <f>VLOOKUP(F178,Key!$A$17:$B$21,2,FALSE)</f>
        <v>Road Vehicle</v>
      </c>
      <c r="H178" s="37">
        <v>4</v>
      </c>
      <c r="I178" s="44" t="str">
        <f>VLOOKUP(H178,Key!$A$2:$B$13,2,FALSE)</f>
        <v>Minibus</v>
      </c>
      <c r="J178" s="38" t="s">
        <v>174</v>
      </c>
      <c r="K178" s="38">
        <v>2</v>
      </c>
      <c r="L178" s="45" t="str">
        <f>VLOOKUP(K178,Key!$A$24:$B$29,2,FALSE)</f>
        <v>30-39</v>
      </c>
      <c r="M178" s="38" t="s">
        <v>188</v>
      </c>
      <c r="N178" s="33" t="s">
        <v>161</v>
      </c>
      <c r="O178" s="38" t="s">
        <v>159</v>
      </c>
      <c r="P178" s="40">
        <v>1</v>
      </c>
      <c r="Q178" s="35" t="str">
        <f>VLOOKUP(P178,Key!$E$2:$F$9,2,FALSE)</f>
        <v>Home</v>
      </c>
      <c r="R178" s="38" t="s">
        <v>183</v>
      </c>
      <c r="S178" s="33" t="s">
        <v>184</v>
      </c>
      <c r="T178" s="38" t="s">
        <v>159</v>
      </c>
      <c r="U178" s="33">
        <v>2</v>
      </c>
      <c r="V178" s="35" t="str">
        <f>VLOOKUP(U178,Key!$E$2:$F$9,2,FALSE)</f>
        <v>Work</v>
      </c>
      <c r="W178" s="35" t="str">
        <f>Q178&amp;"-"&amp;V178</f>
        <v>Home-Work</v>
      </c>
      <c r="X178" s="51">
        <v>120000</v>
      </c>
      <c r="Y178" s="39">
        <v>109</v>
      </c>
      <c r="Z178" s="39">
        <v>1.5</v>
      </c>
      <c r="AA178" s="33">
        <v>4</v>
      </c>
      <c r="AB178" s="35" t="str">
        <f>VLOOKUP(AA178,Key!$C$20:$D$29,2,FALSE)</f>
        <v>Office Worker</v>
      </c>
      <c r="AC178" s="33">
        <v>2</v>
      </c>
      <c r="AD178" s="35" t="str">
        <f>VLOOKUP(AC178,Key!$E$20:$F$24,2,FALSE)</f>
        <v>300,000-500,000</v>
      </c>
      <c r="AE178" s="33">
        <v>1</v>
      </c>
      <c r="AF178" s="39">
        <v>1</v>
      </c>
      <c r="AG178" s="39">
        <v>1</v>
      </c>
      <c r="AH178" s="39">
        <v>1</v>
      </c>
      <c r="AI178" s="39">
        <v>1</v>
      </c>
      <c r="AJ178" s="40" t="s">
        <v>160</v>
      </c>
      <c r="AK178" s="41">
        <v>5000</v>
      </c>
      <c r="AL178" s="25"/>
      <c r="AM178" s="25"/>
    </row>
    <row r="179" spans="1:39" x14ac:dyDescent="0.2">
      <c r="B179" s="50" t="s">
        <v>239</v>
      </c>
      <c r="C179" s="36">
        <v>0.48333333333333334</v>
      </c>
      <c r="D179" s="36"/>
      <c r="E179" s="36" t="s">
        <v>164</v>
      </c>
      <c r="F179" s="38">
        <v>2</v>
      </c>
      <c r="G179" s="43" t="str">
        <f>VLOOKUP(F179,Key!$A$17:$B$21,2,FALSE)</f>
        <v>Road Vehicle</v>
      </c>
      <c r="H179" s="37">
        <v>4</v>
      </c>
      <c r="I179" s="44" t="str">
        <f>VLOOKUP(H179,Key!$A$2:$B$13,2,FALSE)</f>
        <v>Minibus</v>
      </c>
      <c r="J179" s="38" t="s">
        <v>174</v>
      </c>
      <c r="K179" s="38">
        <v>2</v>
      </c>
      <c r="L179" s="45" t="str">
        <f>VLOOKUP(K179,Key!$A$24:$B$29,2,FALSE)</f>
        <v>30-39</v>
      </c>
      <c r="M179" s="38" t="s">
        <v>266</v>
      </c>
      <c r="N179" s="33" t="s">
        <v>161</v>
      </c>
      <c r="O179" s="38" t="s">
        <v>159</v>
      </c>
      <c r="P179" s="40">
        <v>1</v>
      </c>
      <c r="Q179" s="35" t="str">
        <f>VLOOKUP(P179,Key!$E$2:$F$9,2,FALSE)</f>
        <v>Home</v>
      </c>
      <c r="R179" s="38" t="s">
        <v>168</v>
      </c>
      <c r="S179" s="33" t="s">
        <v>161</v>
      </c>
      <c r="T179" s="38" t="s">
        <v>159</v>
      </c>
      <c r="U179" s="33">
        <v>3</v>
      </c>
      <c r="V179" s="35" t="str">
        <f>VLOOKUP(U179,Key!$E$2:$F$9,2,FALSE)</f>
        <v>Study</v>
      </c>
      <c r="W179" s="35" t="str">
        <f>Q179&amp;"-"&amp;V179</f>
        <v>Home-Study</v>
      </c>
      <c r="X179" s="51">
        <v>5000</v>
      </c>
      <c r="Y179" s="39">
        <v>32</v>
      </c>
      <c r="Z179" s="39">
        <v>0.33</v>
      </c>
      <c r="AA179" s="33">
        <v>5</v>
      </c>
      <c r="AB179" s="35" t="str">
        <f>VLOOKUP(AA179,Key!$C$20:$D$29,2,FALSE)</f>
        <v>Professional</v>
      </c>
      <c r="AC179" s="33">
        <v>2</v>
      </c>
      <c r="AD179" s="35" t="str">
        <f>VLOOKUP(AC179,Key!$E$20:$F$24,2,FALSE)</f>
        <v>300,000-500,000</v>
      </c>
      <c r="AE179" s="33">
        <v>1</v>
      </c>
      <c r="AF179" s="39">
        <v>1</v>
      </c>
      <c r="AG179" s="39">
        <v>5</v>
      </c>
      <c r="AH179" s="39">
        <v>5</v>
      </c>
      <c r="AI179" s="39">
        <v>5</v>
      </c>
      <c r="AJ179" s="40" t="s">
        <v>160</v>
      </c>
      <c r="AK179" s="41">
        <v>2000</v>
      </c>
      <c r="AL179" s="25"/>
      <c r="AM179" s="25"/>
    </row>
    <row r="180" spans="1:39" x14ac:dyDescent="0.2">
      <c r="B180" s="50" t="s">
        <v>239</v>
      </c>
      <c r="C180" s="36">
        <v>0.53055555555555556</v>
      </c>
      <c r="D180" s="36" t="s">
        <v>272</v>
      </c>
      <c r="E180" s="36" t="s">
        <v>173</v>
      </c>
      <c r="F180" s="38">
        <v>2</v>
      </c>
      <c r="G180" s="43" t="str">
        <f>VLOOKUP(F180,Key!$A$17:$B$21,2,FALSE)</f>
        <v>Road Vehicle</v>
      </c>
      <c r="H180" s="37">
        <v>4</v>
      </c>
      <c r="I180" s="44" t="str">
        <f>VLOOKUP(H180,Key!$A$2:$B$13,2,FALSE)</f>
        <v>Minibus</v>
      </c>
      <c r="J180" s="38" t="s">
        <v>174</v>
      </c>
      <c r="K180" s="38">
        <v>2</v>
      </c>
      <c r="L180" s="45" t="str">
        <f>VLOOKUP(K180,Key!$A$24:$B$29,2,FALSE)</f>
        <v>30-39</v>
      </c>
      <c r="M180" s="38" t="s">
        <v>168</v>
      </c>
      <c r="N180" s="33" t="s">
        <v>161</v>
      </c>
      <c r="O180" s="38" t="s">
        <v>159</v>
      </c>
      <c r="P180" s="40">
        <v>4</v>
      </c>
      <c r="Q180" s="35" t="str">
        <f>VLOOKUP(P180,Key!$E$2:$F$9,2,FALSE)</f>
        <v>Commercial</v>
      </c>
      <c r="R180" s="38" t="s">
        <v>230</v>
      </c>
      <c r="S180" s="33" t="s">
        <v>231</v>
      </c>
      <c r="T180" s="38" t="s">
        <v>159</v>
      </c>
      <c r="U180" s="33">
        <v>4</v>
      </c>
      <c r="V180" s="35" t="str">
        <f>VLOOKUP(U180,Key!$E$2:$F$9,2,FALSE)</f>
        <v>Commercial</v>
      </c>
      <c r="W180" s="35" t="str">
        <f>Q180&amp;"-"&amp;V180</f>
        <v>Commercial-Commercial</v>
      </c>
      <c r="X180" s="51">
        <v>100000</v>
      </c>
      <c r="Y180" s="39">
        <v>347</v>
      </c>
      <c r="Z180" s="39">
        <v>5</v>
      </c>
      <c r="AA180" s="33">
        <v>5</v>
      </c>
      <c r="AB180" s="35" t="str">
        <f>VLOOKUP(AA180,Key!$C$20:$D$29,2,FALSE)</f>
        <v>Professional</v>
      </c>
      <c r="AC180" s="33">
        <v>2</v>
      </c>
      <c r="AD180" s="35" t="str">
        <f>VLOOKUP(AC180,Key!$E$20:$F$24,2,FALSE)</f>
        <v>300,000-500,000</v>
      </c>
      <c r="AE180" s="33">
        <v>5</v>
      </c>
      <c r="AF180" s="39">
        <v>5</v>
      </c>
      <c r="AG180" s="39">
        <v>5</v>
      </c>
      <c r="AH180" s="39">
        <v>5</v>
      </c>
      <c r="AI180" s="39">
        <v>5</v>
      </c>
      <c r="AJ180" s="40" t="s">
        <v>160</v>
      </c>
      <c r="AK180" s="41">
        <v>1000</v>
      </c>
      <c r="AL180" s="25"/>
      <c r="AM180" s="25"/>
    </row>
    <row r="181" spans="1:39" x14ac:dyDescent="0.2">
      <c r="B181" s="50" t="s">
        <v>239</v>
      </c>
      <c r="C181" s="36">
        <v>0.57500000000000007</v>
      </c>
      <c r="D181" s="36" t="s">
        <v>278</v>
      </c>
      <c r="E181" s="36" t="s">
        <v>173</v>
      </c>
      <c r="F181" s="38">
        <v>2</v>
      </c>
      <c r="G181" s="43" t="s">
        <v>110</v>
      </c>
      <c r="H181" s="37">
        <v>4</v>
      </c>
      <c r="I181" s="44" t="str">
        <f>VLOOKUP(H181,Key!$A$2:$B$13,2,FALSE)</f>
        <v>Minibus</v>
      </c>
      <c r="J181" s="38" t="s">
        <v>174</v>
      </c>
      <c r="K181" s="38">
        <v>2</v>
      </c>
      <c r="L181" s="45" t="str">
        <f>VLOOKUP(K181,Key!$A$24:$B$29,2,FALSE)</f>
        <v>30-39</v>
      </c>
      <c r="M181" s="38" t="s">
        <v>265</v>
      </c>
      <c r="N181" s="33" t="s">
        <v>161</v>
      </c>
      <c r="O181" s="38" t="s">
        <v>159</v>
      </c>
      <c r="P181" s="40">
        <v>4</v>
      </c>
      <c r="Q181" s="35" t="str">
        <f>VLOOKUP(P181,Key!$E$2:$F$9,2,FALSE)</f>
        <v>Commercial</v>
      </c>
      <c r="R181" s="38" t="s">
        <v>168</v>
      </c>
      <c r="S181" s="33" t="s">
        <v>161</v>
      </c>
      <c r="T181" s="38" t="s">
        <v>159</v>
      </c>
      <c r="U181" s="33">
        <v>4</v>
      </c>
      <c r="V181" s="35" t="str">
        <f>VLOOKUP(U181,Key!$E$2:$F$9,2,FALSE)</f>
        <v>Commercial</v>
      </c>
      <c r="W181" s="35" t="str">
        <f>Q181&amp;"-"&amp;V181</f>
        <v>Commercial-Commercial</v>
      </c>
      <c r="X181" s="51">
        <v>20000</v>
      </c>
      <c r="Y181" s="39">
        <v>90</v>
      </c>
      <c r="Z181" s="39">
        <v>1</v>
      </c>
      <c r="AA181" s="33">
        <v>5</v>
      </c>
      <c r="AB181" s="35" t="str">
        <f>VLOOKUP(AA181,Key!$C$20:$D$29,2,FALSE)</f>
        <v>Professional</v>
      </c>
      <c r="AC181" s="33">
        <v>2</v>
      </c>
      <c r="AD181" s="35" t="str">
        <f>VLOOKUP(AC181,Key!$E$20:$F$24,2,FALSE)</f>
        <v>300,000-500,000</v>
      </c>
      <c r="AE181" s="33">
        <v>5</v>
      </c>
      <c r="AF181" s="39">
        <v>4</v>
      </c>
      <c r="AG181" s="39">
        <v>5</v>
      </c>
      <c r="AH181" s="39">
        <v>5</v>
      </c>
      <c r="AI181" s="39">
        <v>1</v>
      </c>
      <c r="AJ181" s="40" t="s">
        <v>160</v>
      </c>
      <c r="AK181" s="41">
        <v>2000</v>
      </c>
      <c r="AL181" s="25"/>
      <c r="AM181" s="25"/>
    </row>
    <row r="182" spans="1:39" x14ac:dyDescent="0.2">
      <c r="B182" s="50" t="s">
        <v>239</v>
      </c>
      <c r="C182" s="36">
        <v>0.7006944444444444</v>
      </c>
      <c r="D182" s="36"/>
      <c r="E182" s="36" t="s">
        <v>164</v>
      </c>
      <c r="F182" s="38">
        <v>2</v>
      </c>
      <c r="G182" s="43" t="str">
        <f>VLOOKUP(F182,Key!$A$17:$B$21,2,FALSE)</f>
        <v>Road Vehicle</v>
      </c>
      <c r="H182" s="37">
        <v>4</v>
      </c>
      <c r="I182" s="44" t="str">
        <f>VLOOKUP(H182,Key!$A$2:$B$13,2,FALSE)</f>
        <v>Minibus</v>
      </c>
      <c r="J182" s="38" t="s">
        <v>174</v>
      </c>
      <c r="K182" s="38">
        <v>2</v>
      </c>
      <c r="L182" s="45" t="str">
        <f>VLOOKUP(K182,Key!$A$24:$B$29,2,FALSE)</f>
        <v>30-39</v>
      </c>
      <c r="M182" s="38" t="s">
        <v>281</v>
      </c>
      <c r="N182" s="33" t="s">
        <v>161</v>
      </c>
      <c r="O182" s="38" t="s">
        <v>159</v>
      </c>
      <c r="P182" s="40">
        <v>1</v>
      </c>
      <c r="Q182" s="35" t="str">
        <f>VLOOKUP(P182,Key!$E$2:$F$9,2,FALSE)</f>
        <v>Home</v>
      </c>
      <c r="R182" s="38" t="s">
        <v>230</v>
      </c>
      <c r="S182" s="33" t="s">
        <v>231</v>
      </c>
      <c r="T182" s="38" t="s">
        <v>159</v>
      </c>
      <c r="U182" s="33">
        <v>6</v>
      </c>
      <c r="V182" s="35" t="str">
        <f>VLOOKUP(U182,Key!$E$2:$F$9,2,FALSE)</f>
        <v>Leisure/Social</v>
      </c>
      <c r="W182" s="35" t="str">
        <f>Q182&amp;"-"&amp;V182</f>
        <v>Home-Leisure/Social</v>
      </c>
      <c r="X182" s="51">
        <v>40000</v>
      </c>
      <c r="Y182" s="39">
        <v>480</v>
      </c>
      <c r="Z182" s="39">
        <v>5</v>
      </c>
      <c r="AA182" s="33">
        <v>1</v>
      </c>
      <c r="AB182" s="35" t="str">
        <f>VLOOKUP(AA182,Key!$C$20:$D$29,2,FALSE)</f>
        <v>Unemployed</v>
      </c>
      <c r="AC182" s="33">
        <v>1</v>
      </c>
      <c r="AD182" s="35" t="str">
        <f>VLOOKUP(AC182,Key!$E$20:$F$24,2,FALSE)</f>
        <v>&lt;300,000</v>
      </c>
      <c r="AE182" s="33">
        <v>1</v>
      </c>
      <c r="AF182" s="39">
        <v>1</v>
      </c>
      <c r="AG182" s="39">
        <v>5</v>
      </c>
      <c r="AH182" s="39">
        <v>5</v>
      </c>
      <c r="AI182" s="39">
        <v>5</v>
      </c>
      <c r="AJ182" s="40" t="s">
        <v>160</v>
      </c>
      <c r="AK182" s="41">
        <v>1000</v>
      </c>
      <c r="AL182" s="25"/>
      <c r="AM182" s="25"/>
    </row>
    <row r="183" spans="1:39" x14ac:dyDescent="0.2">
      <c r="A183" s="10"/>
      <c r="B183" s="50" t="s">
        <v>239</v>
      </c>
      <c r="C183" s="36">
        <v>0.7895833333333333</v>
      </c>
      <c r="D183" s="36" t="s">
        <v>285</v>
      </c>
      <c r="E183" s="36" t="s">
        <v>173</v>
      </c>
      <c r="F183" s="38">
        <v>2</v>
      </c>
      <c r="G183" s="43" t="str">
        <f>VLOOKUP(F183,Key!$A$17:$B$21,2,FALSE)</f>
        <v>Road Vehicle</v>
      </c>
      <c r="H183" s="37">
        <v>4</v>
      </c>
      <c r="I183" s="44" t="str">
        <f>VLOOKUP(H183,Key!$A$2:$B$13,2,FALSE)</f>
        <v>Minibus</v>
      </c>
      <c r="J183" s="38" t="s">
        <v>174</v>
      </c>
      <c r="K183" s="38">
        <v>2</v>
      </c>
      <c r="L183" s="45" t="str">
        <f>VLOOKUP(K183,Key!$A$24:$B$29,2,FALSE)</f>
        <v>30-39</v>
      </c>
      <c r="M183" s="38" t="s">
        <v>168</v>
      </c>
      <c r="N183" s="33" t="s">
        <v>161</v>
      </c>
      <c r="O183" s="38" t="s">
        <v>159</v>
      </c>
      <c r="P183" s="40">
        <v>4</v>
      </c>
      <c r="Q183" s="35" t="str">
        <f>VLOOKUP(P183,Key!$E$2:$F$9,2,FALSE)</f>
        <v>Commercial</v>
      </c>
      <c r="R183" s="38" t="s">
        <v>262</v>
      </c>
      <c r="S183" s="33" t="s">
        <v>263</v>
      </c>
      <c r="T183" s="38" t="s">
        <v>159</v>
      </c>
      <c r="U183" s="33">
        <v>4</v>
      </c>
      <c r="V183" s="35" t="str">
        <f>VLOOKUP(U183,Key!$E$2:$F$9,2,FALSE)</f>
        <v>Commercial</v>
      </c>
      <c r="W183" s="35" t="str">
        <f>Q183&amp;"-"&amp;V183</f>
        <v>Commercial-Commercial</v>
      </c>
      <c r="X183" s="51">
        <v>70000</v>
      </c>
      <c r="Y183" s="39">
        <v>240</v>
      </c>
      <c r="Z183" s="39">
        <v>2</v>
      </c>
      <c r="AA183" s="33">
        <v>5</v>
      </c>
      <c r="AB183" s="35" t="str">
        <f>VLOOKUP(AA183,Key!$C$20:$D$29,2,FALSE)</f>
        <v>Professional</v>
      </c>
      <c r="AC183" s="33">
        <v>2</v>
      </c>
      <c r="AD183" s="35" t="str">
        <f>VLOOKUP(AC183,Key!$E$20:$F$24,2,FALSE)</f>
        <v>300,000-500,000</v>
      </c>
      <c r="AE183" s="33">
        <v>1</v>
      </c>
      <c r="AF183" s="39">
        <v>1</v>
      </c>
      <c r="AG183" s="39">
        <v>1</v>
      </c>
      <c r="AH183" s="39">
        <v>1</v>
      </c>
      <c r="AI183" s="39">
        <v>1</v>
      </c>
      <c r="AJ183" s="40" t="s">
        <v>160</v>
      </c>
      <c r="AK183" s="41">
        <v>1000</v>
      </c>
      <c r="AL183" s="25"/>
      <c r="AM183" s="25"/>
    </row>
    <row r="184" spans="1:39" x14ac:dyDescent="0.2">
      <c r="B184" s="50" t="s">
        <v>239</v>
      </c>
      <c r="C184" s="36">
        <v>0.4375</v>
      </c>
      <c r="D184" s="36" t="s">
        <v>305</v>
      </c>
      <c r="E184" s="36" t="s">
        <v>173</v>
      </c>
      <c r="F184" s="38">
        <v>2</v>
      </c>
      <c r="G184" s="43" t="str">
        <f>VLOOKUP(F184,Key!$A$17:$B$21,2,FALSE)</f>
        <v>Road Vehicle</v>
      </c>
      <c r="H184" s="37">
        <v>4</v>
      </c>
      <c r="I184" s="44" t="str">
        <f>VLOOKUP(H184,Key!$A$2:$B$13,2,FALSE)</f>
        <v>Minibus</v>
      </c>
      <c r="J184" s="38" t="s">
        <v>174</v>
      </c>
      <c r="K184" s="38">
        <v>2</v>
      </c>
      <c r="L184" s="45" t="str">
        <f>VLOOKUP(K184,Key!$A$24:$B$29,2,FALSE)</f>
        <v>30-39</v>
      </c>
      <c r="M184" s="38" t="s">
        <v>168</v>
      </c>
      <c r="N184" s="33" t="s">
        <v>161</v>
      </c>
      <c r="O184" s="38" t="s">
        <v>159</v>
      </c>
      <c r="P184" s="40">
        <v>2</v>
      </c>
      <c r="Q184" s="35" t="str">
        <f>VLOOKUP(P184,Key!$E$2:$F$9,2,FALSE)</f>
        <v>Work</v>
      </c>
      <c r="R184" s="38" t="s">
        <v>306</v>
      </c>
      <c r="S184" s="33" t="s">
        <v>186</v>
      </c>
      <c r="T184" s="38" t="s">
        <v>159</v>
      </c>
      <c r="U184" s="33">
        <v>1</v>
      </c>
      <c r="V184" s="35" t="str">
        <f>VLOOKUP(U184,Key!$E$2:$F$9,2,FALSE)</f>
        <v>Home</v>
      </c>
      <c r="W184" s="35" t="str">
        <f>Q184&amp;"-"&amp;V184</f>
        <v>Work-Home</v>
      </c>
      <c r="X184" s="51">
        <v>100000</v>
      </c>
      <c r="Y184" s="39">
        <v>150</v>
      </c>
      <c r="Z184" s="39">
        <v>2</v>
      </c>
      <c r="AA184" s="33">
        <v>5</v>
      </c>
      <c r="AB184" s="35" t="str">
        <f>VLOOKUP(AA184,Key!$C$20:$D$29,2,FALSE)</f>
        <v>Professional</v>
      </c>
      <c r="AC184" s="33">
        <v>1</v>
      </c>
      <c r="AD184" s="35" t="str">
        <f>VLOOKUP(AC184,Key!$E$20:$F$24,2,FALSE)</f>
        <v>&lt;300,000</v>
      </c>
      <c r="AE184" s="33">
        <v>2</v>
      </c>
      <c r="AF184" s="39">
        <v>4</v>
      </c>
      <c r="AG184" s="39">
        <v>1</v>
      </c>
      <c r="AH184" s="39">
        <v>2</v>
      </c>
      <c r="AI184" s="39">
        <v>2</v>
      </c>
      <c r="AJ184" s="40" t="s">
        <v>160</v>
      </c>
      <c r="AK184" s="41">
        <v>1000</v>
      </c>
      <c r="AL184" s="25"/>
      <c r="AM184" s="25"/>
    </row>
    <row r="185" spans="1:39" x14ac:dyDescent="0.2">
      <c r="B185" s="50" t="s">
        <v>321</v>
      </c>
      <c r="C185" s="36">
        <v>0.37013888888888885</v>
      </c>
      <c r="D185" s="36"/>
      <c r="E185" s="36" t="s">
        <v>173</v>
      </c>
      <c r="F185" s="38">
        <v>2</v>
      </c>
      <c r="G185" s="43" t="str">
        <f>VLOOKUP(F185,Key!$A$17:$B$21,2,FALSE)</f>
        <v>Road Vehicle</v>
      </c>
      <c r="H185" s="37">
        <v>4</v>
      </c>
      <c r="I185" s="44" t="str">
        <f>VLOOKUP(H185,Key!$A$2:$B$13,2,FALSE)</f>
        <v>Minibus</v>
      </c>
      <c r="J185" s="38" t="s">
        <v>174</v>
      </c>
      <c r="K185" s="38">
        <v>2</v>
      </c>
      <c r="L185" s="45" t="str">
        <f>VLOOKUP(K185,Key!$A$24:$B$29,2,FALSE)</f>
        <v>30-39</v>
      </c>
      <c r="M185" s="38" t="s">
        <v>168</v>
      </c>
      <c r="N185" s="33" t="s">
        <v>161</v>
      </c>
      <c r="O185" s="38" t="s">
        <v>159</v>
      </c>
      <c r="P185" s="40">
        <v>4</v>
      </c>
      <c r="Q185" s="35" t="str">
        <f>VLOOKUP(P185,Key!$E$2:$F$9,2,FALSE)</f>
        <v>Commercial</v>
      </c>
      <c r="R185" s="38" t="s">
        <v>227</v>
      </c>
      <c r="S185" s="33" t="s">
        <v>228</v>
      </c>
      <c r="T185" s="38" t="s">
        <v>159</v>
      </c>
      <c r="U185" s="33">
        <v>4</v>
      </c>
      <c r="V185" s="35" t="str">
        <f>VLOOKUP(U185,Key!$E$2:$F$9,2,FALSE)</f>
        <v>Commercial</v>
      </c>
      <c r="W185" s="35" t="str">
        <f>Q185&amp;"-"&amp;V185</f>
        <v>Commercial-Commercial</v>
      </c>
      <c r="X185" s="51">
        <v>200000</v>
      </c>
      <c r="Y185" s="39">
        <v>480</v>
      </c>
      <c r="Z185" s="39">
        <v>7</v>
      </c>
      <c r="AA185" s="33">
        <v>5</v>
      </c>
      <c r="AB185" s="35" t="str">
        <f>VLOOKUP(AA185,Key!$C$20:$D$29,2,FALSE)</f>
        <v>Professional</v>
      </c>
      <c r="AC185" s="33">
        <v>2</v>
      </c>
      <c r="AD185" s="35" t="str">
        <f>VLOOKUP(AC185,Key!$E$20:$F$24,2,FALSE)</f>
        <v>300,000-500,000</v>
      </c>
      <c r="AE185" s="33">
        <v>5</v>
      </c>
      <c r="AF185" s="39">
        <v>1</v>
      </c>
      <c r="AG185" s="39">
        <v>1</v>
      </c>
      <c r="AH185" s="39">
        <v>5</v>
      </c>
      <c r="AI185" s="39">
        <v>2</v>
      </c>
      <c r="AJ185" s="40" t="s">
        <v>160</v>
      </c>
      <c r="AK185" s="41">
        <v>2000</v>
      </c>
      <c r="AL185" s="25"/>
      <c r="AM185" s="25"/>
    </row>
    <row r="186" spans="1:39" x14ac:dyDescent="0.2">
      <c r="B186" s="50" t="s">
        <v>321</v>
      </c>
      <c r="C186" s="36">
        <v>0.45694444444444443</v>
      </c>
      <c r="D186" s="36"/>
      <c r="E186" s="36" t="s">
        <v>164</v>
      </c>
      <c r="F186" s="38">
        <v>2</v>
      </c>
      <c r="G186" s="43" t="str">
        <f>VLOOKUP(F186,Key!$A$17:$B$21,2,FALSE)</f>
        <v>Road Vehicle</v>
      </c>
      <c r="H186" s="37">
        <v>4</v>
      </c>
      <c r="I186" s="44" t="str">
        <f>VLOOKUP(H186,Key!$A$2:$B$13,2,FALSE)</f>
        <v>Minibus</v>
      </c>
      <c r="J186" s="38" t="s">
        <v>174</v>
      </c>
      <c r="K186" s="38">
        <v>2</v>
      </c>
      <c r="L186" s="45" t="str">
        <f>VLOOKUP(K186,Key!$A$24:$B$29,2,FALSE)</f>
        <v>30-39</v>
      </c>
      <c r="M186" s="38" t="s">
        <v>168</v>
      </c>
      <c r="N186" s="33" t="s">
        <v>161</v>
      </c>
      <c r="O186" s="38" t="s">
        <v>159</v>
      </c>
      <c r="P186" s="40">
        <v>1</v>
      </c>
      <c r="Q186" s="35" t="str">
        <f>VLOOKUP(P186,Key!$E$2:$F$9,2,FALSE)</f>
        <v>Home</v>
      </c>
      <c r="R186" s="38" t="s">
        <v>244</v>
      </c>
      <c r="S186" s="33" t="s">
        <v>245</v>
      </c>
      <c r="T186" s="38" t="s">
        <v>159</v>
      </c>
      <c r="U186" s="33">
        <v>4</v>
      </c>
      <c r="V186" s="35" t="str">
        <f>VLOOKUP(U186,Key!$E$2:$F$9,2,FALSE)</f>
        <v>Commercial</v>
      </c>
      <c r="W186" s="35" t="str">
        <f>Q186&amp;"-"&amp;V186</f>
        <v>Home-Commercial</v>
      </c>
      <c r="X186" s="51">
        <v>30000</v>
      </c>
      <c r="Y186" s="39">
        <v>121</v>
      </c>
      <c r="Z186" s="39">
        <v>2</v>
      </c>
      <c r="AA186" s="33">
        <v>5</v>
      </c>
      <c r="AB186" s="35" t="str">
        <f>VLOOKUP(AA186,Key!$C$20:$D$29,2,FALSE)</f>
        <v>Professional</v>
      </c>
      <c r="AC186" s="33">
        <v>3</v>
      </c>
      <c r="AD186" s="35" t="str">
        <f>VLOOKUP(AC186,Key!$E$20:$F$24,2,FALSE)</f>
        <v>500,000-750,000</v>
      </c>
      <c r="AE186" s="33">
        <v>5</v>
      </c>
      <c r="AF186" s="39">
        <v>5</v>
      </c>
      <c r="AG186" s="39">
        <v>5</v>
      </c>
      <c r="AH186" s="39">
        <v>5</v>
      </c>
      <c r="AI186" s="39">
        <v>5</v>
      </c>
      <c r="AJ186" s="40" t="s">
        <v>160</v>
      </c>
      <c r="AK186" s="41">
        <v>5000</v>
      </c>
      <c r="AL186" s="25"/>
      <c r="AM186" s="25"/>
    </row>
    <row r="187" spans="1:39" x14ac:dyDescent="0.2">
      <c r="B187" s="50" t="s">
        <v>321</v>
      </c>
      <c r="C187" s="36">
        <v>0.47222222222222227</v>
      </c>
      <c r="D187" s="36"/>
      <c r="E187" s="36" t="s">
        <v>164</v>
      </c>
      <c r="F187" s="38">
        <v>2</v>
      </c>
      <c r="G187" s="43" t="str">
        <f>VLOOKUP(F187,Key!$A$17:$B$21,2,FALSE)</f>
        <v>Road Vehicle</v>
      </c>
      <c r="H187" s="37">
        <v>4</v>
      </c>
      <c r="I187" s="44" t="str">
        <f>VLOOKUP(H187,Key!$A$2:$B$13,2,FALSE)</f>
        <v>Minibus</v>
      </c>
      <c r="J187" s="38" t="s">
        <v>174</v>
      </c>
      <c r="K187" s="38">
        <v>2</v>
      </c>
      <c r="L187" s="45" t="str">
        <f>VLOOKUP(K187,Key!$A$24:$B$29,2,FALSE)</f>
        <v>30-39</v>
      </c>
      <c r="M187" s="38" t="s">
        <v>168</v>
      </c>
      <c r="N187" s="33" t="s">
        <v>161</v>
      </c>
      <c r="O187" s="38" t="s">
        <v>159</v>
      </c>
      <c r="P187" s="40">
        <v>1</v>
      </c>
      <c r="Q187" s="35" t="str">
        <f>VLOOKUP(P187,Key!$E$2:$F$9,2,FALSE)</f>
        <v>Home</v>
      </c>
      <c r="R187" s="38" t="s">
        <v>257</v>
      </c>
      <c r="S187" s="33" t="s">
        <v>250</v>
      </c>
      <c r="T187" s="38" t="s">
        <v>159</v>
      </c>
      <c r="U187" s="33">
        <v>4</v>
      </c>
      <c r="V187" s="35" t="str">
        <f>VLOOKUP(U187,Key!$E$2:$F$9,2,FALSE)</f>
        <v>Commercial</v>
      </c>
      <c r="W187" s="35" t="str">
        <f>Q187&amp;"-"&amp;V187</f>
        <v>Home-Commercial</v>
      </c>
      <c r="X187" s="51">
        <v>70000</v>
      </c>
      <c r="Y187" s="39">
        <v>361</v>
      </c>
      <c r="Z187" s="39">
        <v>6</v>
      </c>
      <c r="AA187" s="33">
        <v>6</v>
      </c>
      <c r="AB187" s="35" t="str">
        <f>VLOOKUP(AA187,Key!$C$20:$D$29,2,FALSE)</f>
        <v>Businessman</v>
      </c>
      <c r="AC187" s="33">
        <v>3</v>
      </c>
      <c r="AD187" s="35" t="str">
        <f>VLOOKUP(AC187,Key!$E$20:$F$24,2,FALSE)</f>
        <v>500,000-750,000</v>
      </c>
      <c r="AE187" s="33">
        <v>5</v>
      </c>
      <c r="AF187" s="39">
        <v>5</v>
      </c>
      <c r="AG187" s="39">
        <v>5</v>
      </c>
      <c r="AH187" s="39">
        <v>5</v>
      </c>
      <c r="AI187" s="39">
        <v>5</v>
      </c>
      <c r="AJ187" s="40" t="s">
        <v>160</v>
      </c>
      <c r="AK187" s="41">
        <v>1000</v>
      </c>
      <c r="AL187" s="25"/>
      <c r="AM187" s="25"/>
    </row>
    <row r="188" spans="1:39" x14ac:dyDescent="0.2">
      <c r="B188" s="50" t="s">
        <v>321</v>
      </c>
      <c r="C188" s="36">
        <v>0.48055555555555557</v>
      </c>
      <c r="D188" s="36"/>
      <c r="E188" s="36" t="s">
        <v>164</v>
      </c>
      <c r="F188" s="38">
        <v>2</v>
      </c>
      <c r="G188" s="43" t="str">
        <f>VLOOKUP(F188,Key!$A$17:$B$21,2,FALSE)</f>
        <v>Road Vehicle</v>
      </c>
      <c r="H188" s="37">
        <v>4</v>
      </c>
      <c r="I188" s="44" t="str">
        <f>VLOOKUP(H188,Key!$A$2:$B$13,2,FALSE)</f>
        <v>Minibus</v>
      </c>
      <c r="J188" s="38" t="s">
        <v>174</v>
      </c>
      <c r="K188" s="38">
        <v>2</v>
      </c>
      <c r="L188" s="45" t="str">
        <f>VLOOKUP(K188,Key!$A$24:$B$29,2,FALSE)</f>
        <v>30-39</v>
      </c>
      <c r="M188" s="38" t="s">
        <v>168</v>
      </c>
      <c r="N188" s="33" t="s">
        <v>161</v>
      </c>
      <c r="O188" s="38" t="s">
        <v>159</v>
      </c>
      <c r="P188" s="40">
        <v>1</v>
      </c>
      <c r="Q188" s="35" t="str">
        <f>VLOOKUP(P188,Key!$E$2:$F$9,2,FALSE)</f>
        <v>Home</v>
      </c>
      <c r="R188" s="38" t="s">
        <v>169</v>
      </c>
      <c r="S188" s="33" t="s">
        <v>170</v>
      </c>
      <c r="T188" s="38" t="s">
        <v>159</v>
      </c>
      <c r="U188" s="33">
        <v>4</v>
      </c>
      <c r="V188" s="35" t="str">
        <f>VLOOKUP(U188,Key!$E$2:$F$9,2,FALSE)</f>
        <v>Commercial</v>
      </c>
      <c r="W188" s="35" t="str">
        <f>Q188&amp;"-"&amp;V188</f>
        <v>Home-Commercial</v>
      </c>
      <c r="X188" s="51">
        <v>10000</v>
      </c>
      <c r="Y188" s="39">
        <v>140</v>
      </c>
      <c r="Z188" s="39">
        <v>2</v>
      </c>
      <c r="AA188" s="33">
        <v>2</v>
      </c>
      <c r="AB188" s="35" t="str">
        <f>VLOOKUP(AA188,Key!$C$20:$D$29,2,FALSE)</f>
        <v>Manual Labour</v>
      </c>
      <c r="AC188" s="33">
        <v>2</v>
      </c>
      <c r="AD188" s="35" t="str">
        <f>VLOOKUP(AC188,Key!$E$20:$F$24,2,FALSE)</f>
        <v>300,000-500,000</v>
      </c>
      <c r="AE188" s="33">
        <v>1</v>
      </c>
      <c r="AF188" s="39">
        <v>1</v>
      </c>
      <c r="AG188" s="39">
        <v>1</v>
      </c>
      <c r="AH188" s="39">
        <v>1</v>
      </c>
      <c r="AI188" s="39">
        <v>1</v>
      </c>
      <c r="AJ188" s="40" t="s">
        <v>160</v>
      </c>
      <c r="AK188" s="41">
        <v>1000</v>
      </c>
      <c r="AL188" s="25"/>
      <c r="AM188" s="25"/>
    </row>
    <row r="189" spans="1:39" x14ac:dyDescent="0.2">
      <c r="B189" s="50" t="s">
        <v>321</v>
      </c>
      <c r="C189" s="36">
        <v>0.48958333333333331</v>
      </c>
      <c r="D189" s="36"/>
      <c r="E189" s="36" t="s">
        <v>173</v>
      </c>
      <c r="F189" s="38">
        <v>2</v>
      </c>
      <c r="G189" s="43" t="str">
        <f>VLOOKUP(F189,Key!$A$17:$B$21,2,FALSE)</f>
        <v>Road Vehicle</v>
      </c>
      <c r="H189" s="37">
        <v>4</v>
      </c>
      <c r="I189" s="44" t="str">
        <f>VLOOKUP(H189,Key!$A$2:$B$13,2,FALSE)</f>
        <v>Minibus</v>
      </c>
      <c r="J189" s="38" t="s">
        <v>174</v>
      </c>
      <c r="K189" s="38">
        <v>2</v>
      </c>
      <c r="L189" s="45" t="str">
        <f>VLOOKUP(K189,Key!$A$24:$B$29,2,FALSE)</f>
        <v>30-39</v>
      </c>
      <c r="M189" s="38" t="s">
        <v>168</v>
      </c>
      <c r="N189" s="33" t="s">
        <v>161</v>
      </c>
      <c r="O189" s="38" t="s">
        <v>159</v>
      </c>
      <c r="P189" s="40">
        <v>4</v>
      </c>
      <c r="Q189" s="35" t="str">
        <f>VLOOKUP(P189,Key!$E$2:$F$9,2,FALSE)</f>
        <v>Commercial</v>
      </c>
      <c r="R189" s="38" t="s">
        <v>185</v>
      </c>
      <c r="S189" s="33" t="s">
        <v>186</v>
      </c>
      <c r="T189" s="38" t="s">
        <v>159</v>
      </c>
      <c r="U189" s="33">
        <v>4</v>
      </c>
      <c r="V189" s="35" t="str">
        <f>VLOOKUP(U189,Key!$E$2:$F$9,2,FALSE)</f>
        <v>Commercial</v>
      </c>
      <c r="W189" s="35" t="str">
        <f>Q189&amp;"-"&amp;V189</f>
        <v>Commercial-Commercial</v>
      </c>
      <c r="X189" s="51">
        <v>50000</v>
      </c>
      <c r="Y189" s="39">
        <v>142</v>
      </c>
      <c r="Z189" s="39">
        <v>2</v>
      </c>
      <c r="AA189" s="33">
        <v>5</v>
      </c>
      <c r="AB189" s="35" t="str">
        <f>VLOOKUP(AA189,Key!$C$20:$D$29,2,FALSE)</f>
        <v>Professional</v>
      </c>
      <c r="AC189" s="33">
        <v>2</v>
      </c>
      <c r="AD189" s="35" t="str">
        <f>VLOOKUP(AC189,Key!$E$20:$F$24,2,FALSE)</f>
        <v>300,000-500,000</v>
      </c>
      <c r="AE189" s="33">
        <v>1</v>
      </c>
      <c r="AF189" s="39">
        <v>1</v>
      </c>
      <c r="AG189" s="39">
        <v>1</v>
      </c>
      <c r="AH189" s="39">
        <v>1</v>
      </c>
      <c r="AI189" s="39">
        <v>1</v>
      </c>
      <c r="AJ189" s="40" t="s">
        <v>160</v>
      </c>
      <c r="AK189" s="41">
        <v>5000</v>
      </c>
      <c r="AL189" s="25"/>
      <c r="AM189" s="25"/>
    </row>
    <row r="190" spans="1:39" x14ac:dyDescent="0.2">
      <c r="B190" s="50" t="s">
        <v>321</v>
      </c>
      <c r="C190" s="36">
        <v>0.62152777777777779</v>
      </c>
      <c r="D190" s="36"/>
      <c r="E190" s="36" t="s">
        <v>173</v>
      </c>
      <c r="F190" s="38">
        <v>2</v>
      </c>
      <c r="G190" s="43" t="str">
        <f>VLOOKUP(F190,Key!$A$17:$B$21,2,FALSE)</f>
        <v>Road Vehicle</v>
      </c>
      <c r="H190" s="37">
        <v>4</v>
      </c>
      <c r="I190" s="44" t="str">
        <f>VLOOKUP(H190,Key!$A$2:$B$13,2,FALSE)</f>
        <v>Minibus</v>
      </c>
      <c r="J190" s="38" t="s">
        <v>174</v>
      </c>
      <c r="K190" s="38">
        <v>2</v>
      </c>
      <c r="L190" s="45" t="str">
        <f>VLOOKUP(K190,Key!$A$24:$B$29,2,FALSE)</f>
        <v>30-39</v>
      </c>
      <c r="M190" s="38" t="s">
        <v>168</v>
      </c>
      <c r="N190" s="33" t="s">
        <v>161</v>
      </c>
      <c r="O190" s="38" t="s">
        <v>159</v>
      </c>
      <c r="P190" s="40">
        <v>1</v>
      </c>
      <c r="Q190" s="35" t="str">
        <f>VLOOKUP(P190,Key!$E$2:$F$9,2,FALSE)</f>
        <v>Home</v>
      </c>
      <c r="R190" s="38" t="s">
        <v>230</v>
      </c>
      <c r="S190" s="33" t="s">
        <v>231</v>
      </c>
      <c r="T190" s="38" t="s">
        <v>159</v>
      </c>
      <c r="U190" s="33">
        <v>6</v>
      </c>
      <c r="V190" s="35" t="str">
        <f>VLOOKUP(U190,Key!$E$2:$F$9,2,FALSE)</f>
        <v>Leisure/Social</v>
      </c>
      <c r="W190" s="35" t="str">
        <f>Q190&amp;"-"&amp;V190</f>
        <v>Home-Leisure/Social</v>
      </c>
      <c r="X190" s="51">
        <v>200000</v>
      </c>
      <c r="Y190" s="39">
        <v>312</v>
      </c>
      <c r="Z190" s="39">
        <v>4</v>
      </c>
      <c r="AA190" s="33">
        <v>2</v>
      </c>
      <c r="AB190" s="35" t="str">
        <f>VLOOKUP(AA190,Key!$C$20:$D$29,2,FALSE)</f>
        <v>Manual Labour</v>
      </c>
      <c r="AC190" s="33">
        <v>2</v>
      </c>
      <c r="AD190" s="35" t="str">
        <f>VLOOKUP(AC190,Key!$E$20:$F$24,2,FALSE)</f>
        <v>300,000-500,000</v>
      </c>
      <c r="AE190" s="33">
        <v>5</v>
      </c>
      <c r="AF190" s="39">
        <v>5</v>
      </c>
      <c r="AG190" s="39">
        <v>5</v>
      </c>
      <c r="AH190" s="39">
        <v>5</v>
      </c>
      <c r="AI190" s="39">
        <v>5</v>
      </c>
      <c r="AJ190" s="40" t="s">
        <v>160</v>
      </c>
      <c r="AK190" s="41">
        <v>2000</v>
      </c>
      <c r="AL190" s="25"/>
      <c r="AM190" s="25"/>
    </row>
    <row r="191" spans="1:39" x14ac:dyDescent="0.2">
      <c r="B191" s="50" t="s">
        <v>321</v>
      </c>
      <c r="C191" s="36">
        <v>0.65277777777777779</v>
      </c>
      <c r="D191" s="36" t="s">
        <v>331</v>
      </c>
      <c r="E191" s="36" t="s">
        <v>173</v>
      </c>
      <c r="F191" s="38">
        <v>2</v>
      </c>
      <c r="G191" s="43" t="str">
        <f>VLOOKUP(F191,Key!$A$17:$B$21,2,FALSE)</f>
        <v>Road Vehicle</v>
      </c>
      <c r="H191" s="37">
        <v>4</v>
      </c>
      <c r="I191" s="44" t="str">
        <f>VLOOKUP(H191,Key!$A$2:$B$13,2,FALSE)</f>
        <v>Minibus</v>
      </c>
      <c r="J191" s="38" t="s">
        <v>174</v>
      </c>
      <c r="K191" s="38">
        <v>2</v>
      </c>
      <c r="L191" s="45" t="str">
        <f>VLOOKUP(K191,Key!$A$24:$B$29,2,FALSE)</f>
        <v>30-39</v>
      </c>
      <c r="M191" s="38" t="s">
        <v>168</v>
      </c>
      <c r="N191" s="33" t="s">
        <v>161</v>
      </c>
      <c r="O191" s="38" t="s">
        <v>159</v>
      </c>
      <c r="P191" s="40">
        <v>2</v>
      </c>
      <c r="Q191" s="35" t="str">
        <f>VLOOKUP(P191,Key!$E$2:$F$9,2,FALSE)</f>
        <v>Work</v>
      </c>
      <c r="R191" s="38" t="s">
        <v>314</v>
      </c>
      <c r="S191" s="33" t="s">
        <v>315</v>
      </c>
      <c r="T191" s="38" t="s">
        <v>159</v>
      </c>
      <c r="U191" s="33">
        <v>8</v>
      </c>
      <c r="V191" s="35" t="str">
        <f>VLOOKUP(U191,Key!$E$2:$F$9,2,FALSE)</f>
        <v>Others</v>
      </c>
      <c r="W191" s="35" t="str">
        <f>Q191&amp;"-"&amp;V191</f>
        <v>Work-Others</v>
      </c>
      <c r="X191" s="51">
        <v>70000</v>
      </c>
      <c r="Y191" s="39">
        <v>95</v>
      </c>
      <c r="Z191" s="39">
        <v>2.5</v>
      </c>
      <c r="AA191" s="33">
        <v>10</v>
      </c>
      <c r="AB191" s="35" t="str">
        <f>VLOOKUP(AA191,Key!$C$20:$D$29,2,FALSE)</f>
        <v>Other</v>
      </c>
      <c r="AC191" s="33">
        <v>1</v>
      </c>
      <c r="AD191" s="35" t="str">
        <f>VLOOKUP(AC191,Key!$E$20:$F$24,2,FALSE)</f>
        <v>&lt;300,000</v>
      </c>
      <c r="AE191" s="33">
        <v>5</v>
      </c>
      <c r="AF191" s="39">
        <v>4</v>
      </c>
      <c r="AG191" s="39">
        <v>5</v>
      </c>
      <c r="AH191" s="39">
        <v>5</v>
      </c>
      <c r="AI191" s="39">
        <v>5</v>
      </c>
      <c r="AJ191" s="40" t="s">
        <v>160</v>
      </c>
      <c r="AK191" s="41">
        <v>1000</v>
      </c>
      <c r="AL191" s="25"/>
      <c r="AM191" s="25"/>
    </row>
    <row r="192" spans="1:39" x14ac:dyDescent="0.2">
      <c r="B192" s="50" t="s">
        <v>321</v>
      </c>
      <c r="C192" s="36">
        <v>0.63750000000000007</v>
      </c>
      <c r="D192" s="36" t="s">
        <v>332</v>
      </c>
      <c r="E192" s="36" t="s">
        <v>173</v>
      </c>
      <c r="F192" s="38">
        <v>2</v>
      </c>
      <c r="G192" s="43" t="str">
        <f>VLOOKUP(F192,Key!$A$17:$B$21,2,FALSE)</f>
        <v>Road Vehicle</v>
      </c>
      <c r="H192" s="37">
        <v>4</v>
      </c>
      <c r="I192" s="44" t="str">
        <f>VLOOKUP(H192,Key!$A$2:$B$13,2,FALSE)</f>
        <v>Minibus</v>
      </c>
      <c r="J192" s="38" t="s">
        <v>174</v>
      </c>
      <c r="K192" s="38">
        <v>2</v>
      </c>
      <c r="L192" s="45" t="str">
        <f>VLOOKUP(K192,Key!$A$24:$B$29,2,FALSE)</f>
        <v>30-39</v>
      </c>
      <c r="M192" s="38" t="s">
        <v>168</v>
      </c>
      <c r="N192" s="33" t="s">
        <v>161</v>
      </c>
      <c r="O192" s="38" t="s">
        <v>159</v>
      </c>
      <c r="P192" s="40">
        <v>2</v>
      </c>
      <c r="Q192" s="35" t="str">
        <f>VLOOKUP(P192,Key!$E$2:$F$9,2,FALSE)</f>
        <v>Work</v>
      </c>
      <c r="R192" s="38" t="s">
        <v>267</v>
      </c>
      <c r="S192" s="33" t="s">
        <v>161</v>
      </c>
      <c r="T192" s="38" t="s">
        <v>159</v>
      </c>
      <c r="U192" s="33">
        <v>8</v>
      </c>
      <c r="V192" s="35" t="str">
        <f>VLOOKUP(U192,Key!$E$2:$F$9,2,FALSE)</f>
        <v>Others</v>
      </c>
      <c r="W192" s="35" t="str">
        <f>Q192&amp;"-"&amp;V192</f>
        <v>Work-Others</v>
      </c>
      <c r="X192" s="51">
        <v>70000</v>
      </c>
      <c r="Y192" s="39">
        <v>48</v>
      </c>
      <c r="Z192" s="39">
        <v>1.5</v>
      </c>
      <c r="AA192" s="33">
        <v>10</v>
      </c>
      <c r="AB192" s="35" t="str">
        <f>VLOOKUP(AA192,Key!$C$20:$D$29,2,FALSE)</f>
        <v>Other</v>
      </c>
      <c r="AC192" s="33">
        <v>1</v>
      </c>
      <c r="AD192" s="35" t="str">
        <f>VLOOKUP(AC192,Key!$E$20:$F$24,2,FALSE)</f>
        <v>&lt;300,000</v>
      </c>
      <c r="AE192" s="33">
        <v>5</v>
      </c>
      <c r="AF192" s="39">
        <v>4</v>
      </c>
      <c r="AG192" s="39">
        <v>5</v>
      </c>
      <c r="AH192" s="39">
        <v>5</v>
      </c>
      <c r="AI192" s="39">
        <v>5</v>
      </c>
      <c r="AJ192" s="40" t="s">
        <v>160</v>
      </c>
      <c r="AK192" s="41">
        <v>0</v>
      </c>
      <c r="AL192" s="25"/>
      <c r="AM192" s="25"/>
    </row>
    <row r="193" spans="1:39" x14ac:dyDescent="0.2">
      <c r="B193" s="50" t="s">
        <v>321</v>
      </c>
      <c r="C193" s="36">
        <v>0.59027777777777779</v>
      </c>
      <c r="D193" s="36" t="s">
        <v>333</v>
      </c>
      <c r="E193" s="36" t="s">
        <v>173</v>
      </c>
      <c r="F193" s="38">
        <v>2</v>
      </c>
      <c r="G193" s="43" t="str">
        <f>VLOOKUP(F193,Key!$A$17:$B$21,2,FALSE)</f>
        <v>Road Vehicle</v>
      </c>
      <c r="H193" s="37">
        <v>4</v>
      </c>
      <c r="I193" s="44" t="str">
        <f>VLOOKUP(H193,Key!$A$2:$B$13,2,FALSE)</f>
        <v>Minibus</v>
      </c>
      <c r="J193" s="38" t="s">
        <v>174</v>
      </c>
      <c r="K193" s="38">
        <v>2</v>
      </c>
      <c r="L193" s="45" t="str">
        <f>VLOOKUP(K193,Key!$A$24:$B$29,2,FALSE)</f>
        <v>30-39</v>
      </c>
      <c r="M193" s="38" t="s">
        <v>168</v>
      </c>
      <c r="N193" s="33" t="s">
        <v>161</v>
      </c>
      <c r="O193" s="38" t="s">
        <v>159</v>
      </c>
      <c r="P193" s="40">
        <v>2</v>
      </c>
      <c r="Q193" s="35" t="str">
        <f>VLOOKUP(P193,Key!$E$2:$F$9,2,FALSE)</f>
        <v>Work</v>
      </c>
      <c r="R193" s="38" t="s">
        <v>194</v>
      </c>
      <c r="S193" s="33" t="s">
        <v>161</v>
      </c>
      <c r="T193" s="38" t="s">
        <v>159</v>
      </c>
      <c r="U193" s="33">
        <v>1</v>
      </c>
      <c r="V193" s="35" t="str">
        <f>VLOOKUP(U193,Key!$E$2:$F$9,2,FALSE)</f>
        <v>Home</v>
      </c>
      <c r="W193" s="35" t="str">
        <f>Q193&amp;"-"&amp;V193</f>
        <v>Work-Home</v>
      </c>
      <c r="X193" s="51">
        <v>70000</v>
      </c>
      <c r="Y193" s="39">
        <v>45</v>
      </c>
      <c r="Z193" s="39">
        <v>1</v>
      </c>
      <c r="AA193" s="33">
        <v>10</v>
      </c>
      <c r="AB193" s="35" t="str">
        <f>VLOOKUP(AA193,Key!$C$20:$D$29,2,FALSE)</f>
        <v>Other</v>
      </c>
      <c r="AC193" s="33">
        <v>1</v>
      </c>
      <c r="AD193" s="35" t="str">
        <f>VLOOKUP(AC193,Key!$E$20:$F$24,2,FALSE)</f>
        <v>&lt;300,000</v>
      </c>
      <c r="AE193" s="33">
        <v>5</v>
      </c>
      <c r="AF193" s="39">
        <v>4</v>
      </c>
      <c r="AG193" s="39">
        <v>5</v>
      </c>
      <c r="AH193" s="39">
        <v>5</v>
      </c>
      <c r="AI193" s="39">
        <v>5</v>
      </c>
      <c r="AJ193" s="40" t="s">
        <v>160</v>
      </c>
      <c r="AK193" s="41">
        <v>0</v>
      </c>
      <c r="AL193" s="25"/>
      <c r="AM193" s="25"/>
    </row>
    <row r="194" spans="1:39" x14ac:dyDescent="0.2">
      <c r="B194" s="50" t="s">
        <v>321</v>
      </c>
      <c r="C194" s="36">
        <v>0.54791666666666672</v>
      </c>
      <c r="D194" s="36" t="s">
        <v>336</v>
      </c>
      <c r="E194" s="36" t="s">
        <v>173</v>
      </c>
      <c r="F194" s="38">
        <v>2</v>
      </c>
      <c r="G194" s="43" t="str">
        <f>VLOOKUP(F194,Key!$A$17:$B$21,2,FALSE)</f>
        <v>Road Vehicle</v>
      </c>
      <c r="H194" s="37">
        <v>4</v>
      </c>
      <c r="I194" s="44" t="str">
        <f>VLOOKUP(H194,Key!$A$2:$B$13,2,FALSE)</f>
        <v>Minibus</v>
      </c>
      <c r="J194" s="38" t="s">
        <v>174</v>
      </c>
      <c r="K194" s="38">
        <v>2</v>
      </c>
      <c r="L194" s="45" t="str">
        <f>VLOOKUP(K194,Key!$A$24:$B$29,2,FALSE)</f>
        <v>30-39</v>
      </c>
      <c r="M194" s="38" t="s">
        <v>168</v>
      </c>
      <c r="N194" s="33" t="s">
        <v>161</v>
      </c>
      <c r="O194" s="38" t="s">
        <v>159</v>
      </c>
      <c r="P194" s="40">
        <v>2</v>
      </c>
      <c r="Q194" s="35" t="str">
        <f>VLOOKUP(P194,Key!$E$2:$F$9,2,FALSE)</f>
        <v>Work</v>
      </c>
      <c r="R194" s="38" t="s">
        <v>334</v>
      </c>
      <c r="S194" s="33" t="s">
        <v>335</v>
      </c>
      <c r="T194" s="38" t="s">
        <v>159</v>
      </c>
      <c r="U194" s="33">
        <v>8</v>
      </c>
      <c r="V194" s="35" t="str">
        <f>VLOOKUP(U194,Key!$E$2:$F$9,2,FALSE)</f>
        <v>Others</v>
      </c>
      <c r="W194" s="35" t="str">
        <f>Q194&amp;"-"&amp;V194</f>
        <v>Work-Others</v>
      </c>
      <c r="X194" s="51">
        <v>80000</v>
      </c>
      <c r="Y194" s="39">
        <v>95</v>
      </c>
      <c r="Z194" s="39">
        <v>2.5</v>
      </c>
      <c r="AA194" s="33">
        <v>5</v>
      </c>
      <c r="AB194" s="35" t="str">
        <f>VLOOKUP(AA194,Key!$C$20:$D$29,2,FALSE)</f>
        <v>Professional</v>
      </c>
      <c r="AC194" s="33">
        <v>2</v>
      </c>
      <c r="AD194" s="35" t="str">
        <f>VLOOKUP(AC194,Key!$E$20:$F$24,2,FALSE)</f>
        <v>300,000-500,000</v>
      </c>
      <c r="AE194" s="33">
        <v>5</v>
      </c>
      <c r="AF194" s="39">
        <v>5</v>
      </c>
      <c r="AG194" s="39">
        <v>5</v>
      </c>
      <c r="AH194" s="39">
        <v>5</v>
      </c>
      <c r="AI194" s="39">
        <v>5</v>
      </c>
      <c r="AJ194" s="40" t="s">
        <v>160</v>
      </c>
      <c r="AK194" s="41">
        <v>2000</v>
      </c>
      <c r="AL194" s="25"/>
      <c r="AM194" s="25"/>
    </row>
    <row r="195" spans="1:39" x14ac:dyDescent="0.2">
      <c r="B195" s="50" t="s">
        <v>321</v>
      </c>
      <c r="C195" s="36">
        <v>0.50694444444444442</v>
      </c>
      <c r="D195" s="36" t="s">
        <v>337</v>
      </c>
      <c r="E195" s="36" t="s">
        <v>173</v>
      </c>
      <c r="F195" s="38">
        <v>2</v>
      </c>
      <c r="G195" s="43" t="str">
        <f>VLOOKUP(F195,Key!$A$17:$B$21,2,FALSE)</f>
        <v>Road Vehicle</v>
      </c>
      <c r="H195" s="37">
        <v>4</v>
      </c>
      <c r="I195" s="44" t="str">
        <f>VLOOKUP(H195,Key!$A$2:$B$13,2,FALSE)</f>
        <v>Minibus</v>
      </c>
      <c r="J195" s="38" t="s">
        <v>174</v>
      </c>
      <c r="K195" s="38">
        <v>2</v>
      </c>
      <c r="L195" s="45" t="str">
        <f>VLOOKUP(K195,Key!$A$24:$B$29,2,FALSE)</f>
        <v>30-39</v>
      </c>
      <c r="M195" s="38" t="s">
        <v>168</v>
      </c>
      <c r="N195" s="33" t="s">
        <v>161</v>
      </c>
      <c r="O195" s="38" t="s">
        <v>159</v>
      </c>
      <c r="P195" s="40">
        <v>2</v>
      </c>
      <c r="Q195" s="35" t="str">
        <f>VLOOKUP(P195,Key!$E$2:$F$9,2,FALSE)</f>
        <v>Work</v>
      </c>
      <c r="R195" s="38" t="s">
        <v>183</v>
      </c>
      <c r="S195" s="33" t="s">
        <v>184</v>
      </c>
      <c r="T195" s="38" t="s">
        <v>159</v>
      </c>
      <c r="U195" s="33">
        <v>8</v>
      </c>
      <c r="V195" s="35" t="str">
        <f>VLOOKUP(U195,Key!$E$2:$F$9,2,FALSE)</f>
        <v>Others</v>
      </c>
      <c r="W195" s="35" t="str">
        <f>Q195&amp;"-"&amp;V195</f>
        <v>Work-Others</v>
      </c>
      <c r="X195" s="51">
        <v>70000</v>
      </c>
      <c r="Y195" s="39">
        <v>68</v>
      </c>
      <c r="Z195" s="39">
        <v>1.5</v>
      </c>
      <c r="AA195" s="33">
        <v>10</v>
      </c>
      <c r="AB195" s="35" t="str">
        <f>VLOOKUP(AA195,Key!$C$20:$D$29,2,FALSE)</f>
        <v>Other</v>
      </c>
      <c r="AC195" s="33">
        <v>2</v>
      </c>
      <c r="AD195" s="35" t="str">
        <f>VLOOKUP(AC195,Key!$E$20:$F$24,2,FALSE)</f>
        <v>300,000-500,000</v>
      </c>
      <c r="AE195" s="33">
        <v>5</v>
      </c>
      <c r="AF195" s="39">
        <v>5</v>
      </c>
      <c r="AG195" s="39">
        <v>5</v>
      </c>
      <c r="AH195" s="39">
        <v>5</v>
      </c>
      <c r="AI195" s="39">
        <v>5</v>
      </c>
      <c r="AJ195" s="40" t="s">
        <v>160</v>
      </c>
      <c r="AK195" s="41">
        <v>0</v>
      </c>
      <c r="AL195" s="25"/>
      <c r="AM195" s="25"/>
    </row>
    <row r="196" spans="1:39" x14ac:dyDescent="0.2">
      <c r="B196" s="50" t="s">
        <v>321</v>
      </c>
      <c r="C196" s="36">
        <v>0.46458333333333335</v>
      </c>
      <c r="D196" s="36" t="s">
        <v>339</v>
      </c>
      <c r="E196" s="36" t="s">
        <v>173</v>
      </c>
      <c r="F196" s="38">
        <v>2</v>
      </c>
      <c r="G196" s="43" t="str">
        <f>VLOOKUP(F196,Key!$A$17:$B$21,2,FALSE)</f>
        <v>Road Vehicle</v>
      </c>
      <c r="H196" s="37">
        <v>4</v>
      </c>
      <c r="I196" s="44" t="str">
        <f>VLOOKUP(H196,Key!$A$2:$B$13,2,FALSE)</f>
        <v>Minibus</v>
      </c>
      <c r="J196" s="38" t="s">
        <v>174</v>
      </c>
      <c r="K196" s="38">
        <v>2</v>
      </c>
      <c r="L196" s="45" t="str">
        <f>VLOOKUP(K196,Key!$A$24:$B$29,2,FALSE)</f>
        <v>30-39</v>
      </c>
      <c r="M196" s="38" t="s">
        <v>168</v>
      </c>
      <c r="N196" s="33" t="s">
        <v>161</v>
      </c>
      <c r="O196" s="38" t="s">
        <v>159</v>
      </c>
      <c r="P196" s="40">
        <v>2</v>
      </c>
      <c r="Q196" s="35" t="str">
        <f>VLOOKUP(P196,Key!$E$2:$F$9,2,FALSE)</f>
        <v>Work</v>
      </c>
      <c r="R196" s="38" t="s">
        <v>338</v>
      </c>
      <c r="S196" s="33" t="s">
        <v>161</v>
      </c>
      <c r="T196" s="38" t="s">
        <v>159</v>
      </c>
      <c r="U196" s="33">
        <v>8</v>
      </c>
      <c r="V196" s="35" t="str">
        <f>VLOOKUP(U196,Key!$E$2:$F$9,2,FALSE)</f>
        <v>Others</v>
      </c>
      <c r="W196" s="35" t="str">
        <f>Q196&amp;"-"&amp;V196</f>
        <v>Work-Others</v>
      </c>
      <c r="X196" s="51">
        <v>30000</v>
      </c>
      <c r="Y196" s="39">
        <v>12</v>
      </c>
      <c r="Z196" s="39">
        <v>0.66</v>
      </c>
      <c r="AA196" s="33">
        <v>10</v>
      </c>
      <c r="AB196" s="35" t="str">
        <f>VLOOKUP(AA196,Key!$C$20:$D$29,2,FALSE)</f>
        <v>Other</v>
      </c>
      <c r="AC196" s="33">
        <v>1</v>
      </c>
      <c r="AD196" s="35" t="str">
        <f>VLOOKUP(AC196,Key!$E$20:$F$24,2,FALSE)</f>
        <v>&lt;300,000</v>
      </c>
      <c r="AE196" s="33">
        <v>5</v>
      </c>
      <c r="AF196" s="39">
        <v>4</v>
      </c>
      <c r="AG196" s="39">
        <v>5</v>
      </c>
      <c r="AH196" s="39">
        <v>2</v>
      </c>
      <c r="AI196" s="39">
        <v>2</v>
      </c>
      <c r="AJ196" s="40" t="s">
        <v>160</v>
      </c>
      <c r="AK196" s="41">
        <v>1000</v>
      </c>
      <c r="AL196" s="25"/>
      <c r="AM196" s="25"/>
    </row>
    <row r="197" spans="1:39" x14ac:dyDescent="0.2">
      <c r="B197" s="50" t="s">
        <v>321</v>
      </c>
      <c r="C197" s="36">
        <v>0.31597222222222221</v>
      </c>
      <c r="D197" s="36" t="s">
        <v>348</v>
      </c>
      <c r="E197" s="36" t="s">
        <v>173</v>
      </c>
      <c r="F197" s="38">
        <v>2</v>
      </c>
      <c r="G197" s="43" t="str">
        <f>VLOOKUP(F197,Key!$A$17:$B$21,2,FALSE)</f>
        <v>Road Vehicle</v>
      </c>
      <c r="H197" s="37">
        <v>4</v>
      </c>
      <c r="I197" s="44" t="str">
        <f>VLOOKUP(H197,Key!$A$2:$B$13,2,FALSE)</f>
        <v>Minibus</v>
      </c>
      <c r="J197" s="38" t="s">
        <v>174</v>
      </c>
      <c r="K197" s="38">
        <v>2</v>
      </c>
      <c r="L197" s="45" t="str">
        <f>VLOOKUP(K197,Key!$A$24:$B$29,2,FALSE)</f>
        <v>30-39</v>
      </c>
      <c r="M197" s="38" t="s">
        <v>168</v>
      </c>
      <c r="N197" s="33" t="s">
        <v>161</v>
      </c>
      <c r="O197" s="38" t="s">
        <v>159</v>
      </c>
      <c r="P197" s="40">
        <v>2</v>
      </c>
      <c r="Q197" s="35" t="str">
        <f>VLOOKUP(P197,Key!$E$2:$F$9,2,FALSE)</f>
        <v>Work</v>
      </c>
      <c r="R197" s="38" t="s">
        <v>287</v>
      </c>
      <c r="S197" s="33" t="s">
        <v>288</v>
      </c>
      <c r="T197" s="38" t="s">
        <v>159</v>
      </c>
      <c r="U197" s="33">
        <v>8</v>
      </c>
      <c r="V197" s="35" t="str">
        <f>VLOOKUP(U197,Key!$E$2:$F$9,2,FALSE)</f>
        <v>Others</v>
      </c>
      <c r="W197" s="35" t="str">
        <f>Q197&amp;"-"&amp;V197</f>
        <v>Work-Others</v>
      </c>
      <c r="X197" s="51">
        <v>70000</v>
      </c>
      <c r="Y197" s="39">
        <v>95</v>
      </c>
      <c r="Z197" s="39">
        <v>2.5</v>
      </c>
      <c r="AA197" s="33">
        <v>5</v>
      </c>
      <c r="AB197" s="35" t="str">
        <f>VLOOKUP(AA197,Key!$C$20:$D$29,2,FALSE)</f>
        <v>Professional</v>
      </c>
      <c r="AC197" s="33">
        <v>1</v>
      </c>
      <c r="AD197" s="35" t="str">
        <f>VLOOKUP(AC197,Key!$E$20:$F$24,2,FALSE)</f>
        <v>&lt;300,000</v>
      </c>
      <c r="AE197" s="33">
        <v>5</v>
      </c>
      <c r="AF197" s="39">
        <v>5</v>
      </c>
      <c r="AG197" s="39">
        <v>5</v>
      </c>
      <c r="AH197" s="39">
        <v>5</v>
      </c>
      <c r="AI197" s="39">
        <v>5</v>
      </c>
      <c r="AJ197" s="40" t="s">
        <v>160</v>
      </c>
      <c r="AK197" s="41">
        <v>1000</v>
      </c>
      <c r="AL197" s="25"/>
      <c r="AM197" s="25"/>
    </row>
    <row r="198" spans="1:39" x14ac:dyDescent="0.2">
      <c r="B198" s="50" t="s">
        <v>321</v>
      </c>
      <c r="C198" s="36">
        <v>0.30555555555555552</v>
      </c>
      <c r="D198" s="36" t="s">
        <v>349</v>
      </c>
      <c r="E198" s="36" t="s">
        <v>173</v>
      </c>
      <c r="F198" s="38">
        <v>2</v>
      </c>
      <c r="G198" s="43" t="str">
        <f>VLOOKUP(F198,Key!$A$17:$B$21,2,FALSE)</f>
        <v>Road Vehicle</v>
      </c>
      <c r="H198" s="37">
        <v>4</v>
      </c>
      <c r="I198" s="44" t="str">
        <f>VLOOKUP(H198,Key!$A$2:$B$13,2,FALSE)</f>
        <v>Minibus</v>
      </c>
      <c r="J198" s="38" t="s">
        <v>174</v>
      </c>
      <c r="K198" s="38">
        <v>2</v>
      </c>
      <c r="L198" s="45" t="str">
        <f>VLOOKUP(K198,Key!$A$24:$B$29,2,FALSE)</f>
        <v>30-39</v>
      </c>
      <c r="M198" s="38" t="s">
        <v>168</v>
      </c>
      <c r="N198" s="33" t="s">
        <v>161</v>
      </c>
      <c r="O198" s="38" t="s">
        <v>159</v>
      </c>
      <c r="P198" s="40">
        <v>2</v>
      </c>
      <c r="Q198" s="35" t="str">
        <f>VLOOKUP(P198,Key!$E$2:$F$9,2,FALSE)</f>
        <v>Work</v>
      </c>
      <c r="R198" s="38" t="s">
        <v>350</v>
      </c>
      <c r="S198" s="33" t="s">
        <v>266</v>
      </c>
      <c r="T198" s="38" t="s">
        <v>159</v>
      </c>
      <c r="U198" s="33">
        <v>8</v>
      </c>
      <c r="V198" s="35" t="str">
        <f>VLOOKUP(U198,Key!$E$2:$F$9,2,FALSE)</f>
        <v>Others</v>
      </c>
      <c r="W198" s="35" t="str">
        <f>Q198&amp;"-"&amp;V198</f>
        <v>Work-Others</v>
      </c>
      <c r="X198" s="51">
        <v>50000</v>
      </c>
      <c r="Y198" s="39">
        <v>30</v>
      </c>
      <c r="Z198" s="39">
        <v>1</v>
      </c>
      <c r="AA198" s="33">
        <v>6</v>
      </c>
      <c r="AB198" s="35" t="str">
        <f>VLOOKUP(AA198,Key!$C$20:$D$29,2,FALSE)</f>
        <v>Businessman</v>
      </c>
      <c r="AC198" s="33">
        <v>2</v>
      </c>
      <c r="AD198" s="35" t="str">
        <f>VLOOKUP(AC198,Key!$E$20:$F$24,2,FALSE)</f>
        <v>300,000-500,000</v>
      </c>
      <c r="AE198" s="33">
        <v>5</v>
      </c>
      <c r="AF198" s="39">
        <v>4</v>
      </c>
      <c r="AG198" s="39">
        <v>2</v>
      </c>
      <c r="AH198" s="39">
        <v>2</v>
      </c>
      <c r="AI198" s="39">
        <v>2</v>
      </c>
      <c r="AJ198" s="40" t="s">
        <v>160</v>
      </c>
      <c r="AK198" s="41">
        <v>2000</v>
      </c>
      <c r="AL198" s="25"/>
      <c r="AM198" s="25"/>
    </row>
    <row r="199" spans="1:39" x14ac:dyDescent="0.2">
      <c r="B199" s="50" t="s">
        <v>321</v>
      </c>
      <c r="C199" s="36">
        <v>0.29722222222222222</v>
      </c>
      <c r="D199" s="36"/>
      <c r="E199" s="36" t="s">
        <v>164</v>
      </c>
      <c r="F199" s="38">
        <v>2</v>
      </c>
      <c r="G199" s="43" t="str">
        <f>VLOOKUP(F199,Key!$A$17:$B$21,2,FALSE)</f>
        <v>Road Vehicle</v>
      </c>
      <c r="H199" s="37">
        <v>4</v>
      </c>
      <c r="I199" s="44" t="str">
        <f>VLOOKUP(H199,Key!$A$2:$B$13,2,FALSE)</f>
        <v>Minibus</v>
      </c>
      <c r="J199" s="38" t="s">
        <v>174</v>
      </c>
      <c r="K199" s="38">
        <v>2</v>
      </c>
      <c r="L199" s="45" t="str">
        <f>VLOOKUP(K199,Key!$A$24:$B$29,2,FALSE)</f>
        <v>30-39</v>
      </c>
      <c r="M199" s="38" t="s">
        <v>168</v>
      </c>
      <c r="N199" s="33" t="s">
        <v>161</v>
      </c>
      <c r="O199" s="38" t="s">
        <v>159</v>
      </c>
      <c r="P199" s="40">
        <v>2</v>
      </c>
      <c r="Q199" s="35" t="str">
        <f>VLOOKUP(P199,Key!$E$2:$F$9,2,FALSE)</f>
        <v>Work</v>
      </c>
      <c r="R199" s="38" t="s">
        <v>200</v>
      </c>
      <c r="S199" s="33" t="s">
        <v>161</v>
      </c>
      <c r="T199" s="38" t="s">
        <v>159</v>
      </c>
      <c r="U199" s="33">
        <v>4</v>
      </c>
      <c r="V199" s="35" t="str">
        <f>VLOOKUP(U199,Key!$E$2:$F$9,2,FALSE)</f>
        <v>Commercial</v>
      </c>
      <c r="W199" s="35" t="str">
        <f>Q199&amp;"-"&amp;V199</f>
        <v>Work-Commercial</v>
      </c>
      <c r="X199" s="51">
        <v>4000</v>
      </c>
      <c r="Y199" s="39">
        <v>15</v>
      </c>
      <c r="Z199" s="39">
        <v>0.83</v>
      </c>
      <c r="AA199" s="33">
        <v>7</v>
      </c>
      <c r="AB199" s="35" t="str">
        <f>VLOOKUP(AA199,Key!$C$20:$D$29,2,FALSE)</f>
        <v>Farmer</v>
      </c>
      <c r="AC199" s="33">
        <v>1</v>
      </c>
      <c r="AD199" s="35" t="str">
        <f>VLOOKUP(AC199,Key!$E$20:$F$24,2,FALSE)</f>
        <v>&lt;300,000</v>
      </c>
      <c r="AE199" s="33">
        <v>2</v>
      </c>
      <c r="AF199" s="39">
        <v>4</v>
      </c>
      <c r="AG199" s="39">
        <v>1</v>
      </c>
      <c r="AH199" s="39">
        <v>2</v>
      </c>
      <c r="AI199" s="39">
        <v>1</v>
      </c>
      <c r="AJ199" s="40" t="s">
        <v>160</v>
      </c>
      <c r="AK199" s="41">
        <v>0</v>
      </c>
      <c r="AL199" s="25"/>
      <c r="AM199" s="25"/>
    </row>
    <row r="200" spans="1:39" x14ac:dyDescent="0.2">
      <c r="B200" s="50" t="s">
        <v>321</v>
      </c>
      <c r="C200" s="36">
        <v>0.35555555555555557</v>
      </c>
      <c r="D200" s="36" t="s">
        <v>358</v>
      </c>
      <c r="E200" s="36" t="s">
        <v>173</v>
      </c>
      <c r="F200" s="38">
        <v>2</v>
      </c>
      <c r="G200" s="43" t="str">
        <f>VLOOKUP(F200,Key!$A$17:$B$21,2,FALSE)</f>
        <v>Road Vehicle</v>
      </c>
      <c r="H200" s="37">
        <v>4</v>
      </c>
      <c r="I200" s="44" t="str">
        <f>VLOOKUP(H200,Key!$A$2:$B$13,2,FALSE)</f>
        <v>Minibus</v>
      </c>
      <c r="J200" s="38" t="s">
        <v>174</v>
      </c>
      <c r="K200" s="38">
        <v>2</v>
      </c>
      <c r="L200" s="45" t="str">
        <f>VLOOKUP(K200,Key!$A$24:$B$29,2,FALSE)</f>
        <v>30-39</v>
      </c>
      <c r="M200" s="38" t="s">
        <v>168</v>
      </c>
      <c r="N200" s="33" t="s">
        <v>161</v>
      </c>
      <c r="O200" s="38" t="s">
        <v>159</v>
      </c>
      <c r="P200" s="40">
        <v>1</v>
      </c>
      <c r="Q200" s="35" t="str">
        <f>VLOOKUP(P200,Key!$E$2:$F$9,2,FALSE)</f>
        <v>Home</v>
      </c>
      <c r="R200" s="38" t="s">
        <v>359</v>
      </c>
      <c r="S200" s="33" t="s">
        <v>161</v>
      </c>
      <c r="T200" s="38" t="s">
        <v>159</v>
      </c>
      <c r="U200" s="33">
        <v>5</v>
      </c>
      <c r="V200" s="35" t="str">
        <f>VLOOKUP(U200,Key!$E$2:$F$9,2,FALSE)</f>
        <v>Tourism</v>
      </c>
      <c r="W200" s="35" t="str">
        <f>Q200&amp;"-"&amp;V200</f>
        <v>Home-Tourism</v>
      </c>
      <c r="X200" s="51">
        <v>30000</v>
      </c>
      <c r="Y200" s="39">
        <v>42</v>
      </c>
      <c r="Z200" s="39"/>
      <c r="AA200" s="33">
        <v>5</v>
      </c>
      <c r="AB200" s="35" t="str">
        <f>VLOOKUP(AA200,Key!$C$20:$D$29,2,FALSE)</f>
        <v>Professional</v>
      </c>
      <c r="AC200" s="33">
        <v>5</v>
      </c>
      <c r="AD200" s="35" t="str">
        <f>VLOOKUP(AC200,Key!$E$20:$F$24,2,FALSE)</f>
        <v>&gt;1,000,000</v>
      </c>
      <c r="AE200" s="33">
        <v>2</v>
      </c>
      <c r="AF200" s="39">
        <v>2</v>
      </c>
      <c r="AG200" s="39">
        <v>2</v>
      </c>
      <c r="AH200" s="39">
        <v>3</v>
      </c>
      <c r="AI200" s="39">
        <v>1</v>
      </c>
      <c r="AJ200" s="40" t="s">
        <v>160</v>
      </c>
      <c r="AK200" s="41">
        <v>4000</v>
      </c>
      <c r="AL200" s="25"/>
      <c r="AM200" s="25"/>
    </row>
    <row r="201" spans="1:39" x14ac:dyDescent="0.2">
      <c r="B201" s="50" t="s">
        <v>163</v>
      </c>
      <c r="C201" s="36">
        <v>0.73402777777777783</v>
      </c>
      <c r="D201" s="36" t="s">
        <v>176</v>
      </c>
      <c r="E201" s="36" t="s">
        <v>173</v>
      </c>
      <c r="F201" s="38">
        <v>2</v>
      </c>
      <c r="G201" s="43" t="str">
        <f>VLOOKUP(F201,Key!$A$17:$B$21,2,FALSE)</f>
        <v>Road Vehicle</v>
      </c>
      <c r="H201" s="37">
        <v>3</v>
      </c>
      <c r="I201" s="44" t="str">
        <f>VLOOKUP(H201,Key!$A$2:$B$13,2,FALSE)</f>
        <v>Pickups</v>
      </c>
      <c r="J201" s="38" t="s">
        <v>174</v>
      </c>
      <c r="K201" s="38">
        <v>2</v>
      </c>
      <c r="L201" s="45" t="str">
        <f>VLOOKUP(K201,Key!$A$24:$B$29,2,FALSE)</f>
        <v>30-39</v>
      </c>
      <c r="M201" s="38" t="s">
        <v>175</v>
      </c>
      <c r="N201" s="33" t="s">
        <v>161</v>
      </c>
      <c r="O201" s="38" t="s">
        <v>159</v>
      </c>
      <c r="P201" s="40">
        <v>2</v>
      </c>
      <c r="Q201" s="35" t="str">
        <f>VLOOKUP(P201,Key!$E$2:$F$9,2,FALSE)</f>
        <v>Work</v>
      </c>
      <c r="R201" s="38" t="s">
        <v>168</v>
      </c>
      <c r="S201" s="33" t="s">
        <v>161</v>
      </c>
      <c r="T201" s="38" t="s">
        <v>159</v>
      </c>
      <c r="U201" s="33">
        <v>1</v>
      </c>
      <c r="V201" s="35" t="str">
        <f>VLOOKUP(U201,Key!$E$2:$F$9,2,FALSE)</f>
        <v>Home</v>
      </c>
      <c r="W201" s="35" t="str">
        <f>Q201&amp;"-"&amp;V201</f>
        <v>Work-Home</v>
      </c>
      <c r="X201" s="51">
        <v>20000</v>
      </c>
      <c r="Y201" s="39">
        <v>20</v>
      </c>
      <c r="Z201" s="39">
        <v>1</v>
      </c>
      <c r="AA201" s="33">
        <v>7</v>
      </c>
      <c r="AB201" s="35" t="str">
        <f>VLOOKUP(AA201,Key!$C$20:$D$29,2,FALSE)</f>
        <v>Farmer</v>
      </c>
      <c r="AC201" s="33">
        <v>2</v>
      </c>
      <c r="AD201" s="35" t="str">
        <f>VLOOKUP(AC201,Key!$E$20:$F$24,2,FALSE)</f>
        <v>300,000-500,000</v>
      </c>
      <c r="AE201" s="33">
        <v>4</v>
      </c>
      <c r="AF201" s="39">
        <v>4</v>
      </c>
      <c r="AG201" s="39">
        <v>4</v>
      </c>
      <c r="AH201" s="39">
        <v>4</v>
      </c>
      <c r="AI201" s="39">
        <v>4</v>
      </c>
      <c r="AJ201" s="40" t="s">
        <v>160</v>
      </c>
      <c r="AK201" s="41">
        <v>500</v>
      </c>
      <c r="AL201" s="25"/>
      <c r="AM201" s="25"/>
    </row>
    <row r="202" spans="1:39" x14ac:dyDescent="0.2">
      <c r="A202" s="10"/>
      <c r="B202" s="50" t="s">
        <v>163</v>
      </c>
      <c r="C202" s="36">
        <v>0.70763888888888893</v>
      </c>
      <c r="D202" s="36" t="s">
        <v>182</v>
      </c>
      <c r="E202" s="36" t="s">
        <v>173</v>
      </c>
      <c r="F202" s="38">
        <v>2</v>
      </c>
      <c r="G202" s="43" t="str">
        <f>VLOOKUP(F202,Key!$A$17:$B$21,2,FALSE)</f>
        <v>Road Vehicle</v>
      </c>
      <c r="H202" s="37">
        <v>3</v>
      </c>
      <c r="I202" s="44" t="str">
        <f>VLOOKUP(H202,Key!$A$2:$B$13,2,FALSE)</f>
        <v>Pickups</v>
      </c>
      <c r="J202" s="38" t="s">
        <v>174</v>
      </c>
      <c r="K202" s="38">
        <v>2</v>
      </c>
      <c r="L202" s="45" t="str">
        <f>VLOOKUP(K202,Key!$A$24:$B$29,2,FALSE)</f>
        <v>30-39</v>
      </c>
      <c r="M202" s="38" t="s">
        <v>166</v>
      </c>
      <c r="N202" s="33" t="s">
        <v>167</v>
      </c>
      <c r="O202" s="38" t="s">
        <v>159</v>
      </c>
      <c r="P202" s="40">
        <v>4</v>
      </c>
      <c r="Q202" s="35" t="str">
        <f>VLOOKUP(P202,Key!$E$2:$F$9,2,FALSE)</f>
        <v>Commercial</v>
      </c>
      <c r="R202" s="38" t="s">
        <v>183</v>
      </c>
      <c r="S202" s="33" t="s">
        <v>184</v>
      </c>
      <c r="T202" s="38" t="s">
        <v>159</v>
      </c>
      <c r="U202" s="33">
        <v>4</v>
      </c>
      <c r="V202" s="35" t="str">
        <f>VLOOKUP(U202,Key!$E$2:$F$9,2,FALSE)</f>
        <v>Commercial</v>
      </c>
      <c r="W202" s="35" t="str">
        <f>Q202&amp;"-"&amp;V202</f>
        <v>Commercial-Commercial</v>
      </c>
      <c r="X202" s="51">
        <v>50000</v>
      </c>
      <c r="Y202" s="39">
        <v>126</v>
      </c>
      <c r="Z202" s="39">
        <v>3</v>
      </c>
      <c r="AA202" s="33">
        <v>6</v>
      </c>
      <c r="AB202" s="35" t="s">
        <v>136</v>
      </c>
      <c r="AC202" s="33">
        <v>3</v>
      </c>
      <c r="AD202" s="35" t="s">
        <v>146</v>
      </c>
      <c r="AE202" s="33">
        <v>4</v>
      </c>
      <c r="AF202" s="39">
        <v>2</v>
      </c>
      <c r="AG202" s="39">
        <v>2</v>
      </c>
      <c r="AH202" s="39">
        <v>2</v>
      </c>
      <c r="AI202" s="39">
        <v>2</v>
      </c>
      <c r="AJ202" s="40" t="s">
        <v>160</v>
      </c>
      <c r="AK202" s="41">
        <v>1000</v>
      </c>
      <c r="AL202" s="25"/>
      <c r="AM202" s="25"/>
    </row>
    <row r="203" spans="1:39" x14ac:dyDescent="0.2">
      <c r="B203" s="50" t="s">
        <v>163</v>
      </c>
      <c r="C203" s="36">
        <v>0.67499999999999993</v>
      </c>
      <c r="D203" s="36" t="s">
        <v>196</v>
      </c>
      <c r="E203" s="36" t="s">
        <v>173</v>
      </c>
      <c r="F203" s="38">
        <v>2</v>
      </c>
      <c r="G203" s="43" t="str">
        <f>VLOOKUP(F203,Key!$A$17:$B$21,2,FALSE)</f>
        <v>Road Vehicle</v>
      </c>
      <c r="H203" s="37">
        <v>2</v>
      </c>
      <c r="I203" s="44" t="str">
        <f>VLOOKUP(H203,Key!$A$2:$B$13,2,FALSE)</f>
        <v>Station Wagon</v>
      </c>
      <c r="J203" s="38" t="s">
        <v>165</v>
      </c>
      <c r="K203" s="38">
        <v>2</v>
      </c>
      <c r="L203" s="45" t="str">
        <f>VLOOKUP(K203,Key!$A$24:$B$29,2,FALSE)</f>
        <v>30-39</v>
      </c>
      <c r="M203" s="38" t="s">
        <v>197</v>
      </c>
      <c r="N203" s="33" t="s">
        <v>161</v>
      </c>
      <c r="O203" s="38" t="s">
        <v>159</v>
      </c>
      <c r="P203" s="40">
        <v>5</v>
      </c>
      <c r="Q203" s="35" t="str">
        <f>VLOOKUP(P203,Key!$E$2:$F$9,2,FALSE)</f>
        <v>Tourism</v>
      </c>
      <c r="R203" s="38" t="s">
        <v>168</v>
      </c>
      <c r="S203" s="33" t="s">
        <v>161</v>
      </c>
      <c r="T203" s="38" t="s">
        <v>159</v>
      </c>
      <c r="U203" s="33">
        <v>5</v>
      </c>
      <c r="V203" s="35" t="str">
        <f>VLOOKUP(U203,Key!$E$2:$F$9,2,FALSE)</f>
        <v>Tourism</v>
      </c>
      <c r="W203" s="35" t="str">
        <f>Q203&amp;"-"&amp;V203</f>
        <v>Tourism-Tourism</v>
      </c>
      <c r="X203" s="51">
        <v>20000</v>
      </c>
      <c r="Y203" s="39">
        <v>17</v>
      </c>
      <c r="Z203" s="39">
        <v>1</v>
      </c>
      <c r="AA203" s="33">
        <v>10</v>
      </c>
      <c r="AB203" s="35" t="str">
        <f>VLOOKUP(AA203,Key!$C$20:$D$29,2,FALSE)</f>
        <v>Other</v>
      </c>
      <c r="AC203" s="33">
        <v>5</v>
      </c>
      <c r="AD203" s="35" t="str">
        <f>VLOOKUP(AC203,Key!$E$20:$F$24,2,FALSE)</f>
        <v>&gt;1,000,000</v>
      </c>
      <c r="AE203" s="33">
        <v>1</v>
      </c>
      <c r="AF203" s="39">
        <v>1</v>
      </c>
      <c r="AG203" s="39">
        <v>1</v>
      </c>
      <c r="AH203" s="39">
        <v>1</v>
      </c>
      <c r="AI203" s="39">
        <v>1</v>
      </c>
      <c r="AJ203" s="40" t="s">
        <v>160</v>
      </c>
      <c r="AK203" s="41">
        <v>0</v>
      </c>
      <c r="AL203" s="25"/>
      <c r="AM203" s="25"/>
    </row>
    <row r="204" spans="1:39" x14ac:dyDescent="0.2">
      <c r="B204" s="50" t="s">
        <v>321</v>
      </c>
      <c r="C204" s="36">
        <v>0.29722222222222222</v>
      </c>
      <c r="D204" s="36" t="s">
        <v>353</v>
      </c>
      <c r="E204" s="36" t="s">
        <v>173</v>
      </c>
      <c r="F204" s="38">
        <v>2</v>
      </c>
      <c r="G204" s="43" t="str">
        <f>VLOOKUP(F204,Key!$A$17:$B$21,2,FALSE)</f>
        <v>Road Vehicle</v>
      </c>
      <c r="H204" s="37">
        <v>2</v>
      </c>
      <c r="I204" s="44" t="str">
        <f>VLOOKUP(H204,Key!$A$2:$B$13,2,FALSE)</f>
        <v>Station Wagon</v>
      </c>
      <c r="J204" s="38" t="s">
        <v>165</v>
      </c>
      <c r="K204" s="38">
        <v>2</v>
      </c>
      <c r="L204" s="45" t="str">
        <f>VLOOKUP(K204,Key!$A$24:$B$29,2,FALSE)</f>
        <v>30-39</v>
      </c>
      <c r="M204" s="38" t="s">
        <v>168</v>
      </c>
      <c r="N204" s="33" t="s">
        <v>161</v>
      </c>
      <c r="O204" s="38" t="s">
        <v>159</v>
      </c>
      <c r="P204" s="40">
        <v>1</v>
      </c>
      <c r="Q204" s="35" t="str">
        <f>VLOOKUP(P204,Key!$E$2:$F$9,2,FALSE)</f>
        <v>Home</v>
      </c>
      <c r="R204" s="38" t="s">
        <v>183</v>
      </c>
      <c r="S204" s="33" t="s">
        <v>184</v>
      </c>
      <c r="T204" s="38" t="s">
        <v>159</v>
      </c>
      <c r="U204" s="33">
        <v>7</v>
      </c>
      <c r="V204" s="35" t="str">
        <f>VLOOKUP(U204,Key!$E$2:$F$9,2,FALSE)</f>
        <v>Hospital</v>
      </c>
      <c r="W204" s="35" t="str">
        <f>Q204&amp;"-"&amp;V204</f>
        <v>Home-Hospital</v>
      </c>
      <c r="X204" s="51">
        <v>30000</v>
      </c>
      <c r="Y204" s="39">
        <v>74</v>
      </c>
      <c r="Z204" s="39">
        <v>1</v>
      </c>
      <c r="AA204" s="33">
        <v>5</v>
      </c>
      <c r="AB204" s="35" t="str">
        <f>VLOOKUP(AA204,Key!$C$20:$D$29,2,FALSE)</f>
        <v>Professional</v>
      </c>
      <c r="AC204" s="33">
        <v>5</v>
      </c>
      <c r="AD204" s="35" t="str">
        <f>VLOOKUP(AC204,Key!$E$20:$F$24,2,FALSE)</f>
        <v>&gt;1,000,000</v>
      </c>
      <c r="AE204" s="33">
        <v>2</v>
      </c>
      <c r="AF204" s="39">
        <v>1</v>
      </c>
      <c r="AG204" s="39">
        <v>1</v>
      </c>
      <c r="AH204" s="39">
        <v>1</v>
      </c>
      <c r="AI204" s="39">
        <v>1</v>
      </c>
      <c r="AJ204" s="40" t="s">
        <v>160</v>
      </c>
      <c r="AK204" s="41">
        <v>1000</v>
      </c>
      <c r="AL204" s="25"/>
      <c r="AM204" s="25"/>
    </row>
    <row r="205" spans="1:39" x14ac:dyDescent="0.2">
      <c r="B205" s="50" t="s">
        <v>321</v>
      </c>
      <c r="C205" s="36">
        <v>0.31319444444444444</v>
      </c>
      <c r="D205" s="36" t="s">
        <v>357</v>
      </c>
      <c r="E205" s="36" t="s">
        <v>173</v>
      </c>
      <c r="F205" s="38">
        <v>2</v>
      </c>
      <c r="G205" s="43" t="str">
        <f>VLOOKUP(F205,Key!$A$17:$B$21,2,FALSE)</f>
        <v>Road Vehicle</v>
      </c>
      <c r="H205" s="37">
        <v>2</v>
      </c>
      <c r="I205" s="44" t="str">
        <f>VLOOKUP(H205,Key!$A$2:$B$13,2,FALSE)</f>
        <v>Station Wagon</v>
      </c>
      <c r="J205" s="38" t="s">
        <v>165</v>
      </c>
      <c r="K205" s="38">
        <v>2</v>
      </c>
      <c r="L205" s="45" t="str">
        <f>VLOOKUP(K205,Key!$A$24:$B$29,2,FALSE)</f>
        <v>30-39</v>
      </c>
      <c r="M205" s="38" t="s">
        <v>274</v>
      </c>
      <c r="N205" s="33" t="s">
        <v>275</v>
      </c>
      <c r="O205" s="38" t="s">
        <v>159</v>
      </c>
      <c r="P205" s="40">
        <v>5</v>
      </c>
      <c r="Q205" s="35" t="str">
        <f>VLOOKUP(P205,Key!$E$2:$F$9,2,FALSE)</f>
        <v>Tourism</v>
      </c>
      <c r="R205" s="38" t="s">
        <v>168</v>
      </c>
      <c r="S205" s="33" t="s">
        <v>161</v>
      </c>
      <c r="T205" s="38" t="s">
        <v>159</v>
      </c>
      <c r="U205" s="33">
        <v>2</v>
      </c>
      <c r="V205" s="35" t="str">
        <f>VLOOKUP(U205,Key!$E$2:$F$9,2,FALSE)</f>
        <v>Work</v>
      </c>
      <c r="W205" s="35" t="str">
        <f>Q205&amp;"-"&amp;V205</f>
        <v>Tourism-Work</v>
      </c>
      <c r="X205" s="51">
        <v>20000</v>
      </c>
      <c r="Y205" s="39">
        <v>30</v>
      </c>
      <c r="Z205" s="39">
        <v>1</v>
      </c>
      <c r="AA205" s="33">
        <v>4</v>
      </c>
      <c r="AB205" s="35" t="str">
        <f>VLOOKUP(AA205,Key!$C$20:$D$29,2,FALSE)</f>
        <v>Office Worker</v>
      </c>
      <c r="AC205" s="33">
        <v>5</v>
      </c>
      <c r="AD205" s="35" t="str">
        <f>VLOOKUP(AC205,Key!$E$20:$F$24,2,FALSE)</f>
        <v>&gt;1,000,000</v>
      </c>
      <c r="AE205" s="33">
        <v>1</v>
      </c>
      <c r="AF205" s="39">
        <v>1</v>
      </c>
      <c r="AG205" s="39">
        <v>1</v>
      </c>
      <c r="AH205" s="39">
        <v>1</v>
      </c>
      <c r="AI205" s="39">
        <v>1</v>
      </c>
      <c r="AJ205" s="40" t="s">
        <v>160</v>
      </c>
      <c r="AK205" s="41">
        <v>3000</v>
      </c>
      <c r="AL205" s="25"/>
      <c r="AM205" s="25"/>
    </row>
    <row r="206" spans="1:39" x14ac:dyDescent="0.2">
      <c r="B206" s="50" t="s">
        <v>321</v>
      </c>
      <c r="C206" s="36">
        <v>0.3444444444444445</v>
      </c>
      <c r="D206" s="36"/>
      <c r="E206" s="36" t="s">
        <v>164</v>
      </c>
      <c r="F206" s="38">
        <v>2</v>
      </c>
      <c r="G206" s="43" t="str">
        <f>VLOOKUP(F206,Key!$A$17:$B$21,2,FALSE)</f>
        <v>Road Vehicle</v>
      </c>
      <c r="H206" s="37">
        <v>2</v>
      </c>
      <c r="I206" s="44" t="str">
        <f>VLOOKUP(H206,Key!$A$2:$B$13,2,FALSE)</f>
        <v>Station Wagon</v>
      </c>
      <c r="J206" s="38" t="s">
        <v>165</v>
      </c>
      <c r="K206" s="38">
        <v>2</v>
      </c>
      <c r="L206" s="45" t="str">
        <f>VLOOKUP(K206,Key!$A$24:$B$29,2,FALSE)</f>
        <v>30-39</v>
      </c>
      <c r="M206" s="38" t="s">
        <v>169</v>
      </c>
      <c r="N206" s="33" t="s">
        <v>170</v>
      </c>
      <c r="O206" s="38" t="s">
        <v>159</v>
      </c>
      <c r="P206" s="40">
        <v>5</v>
      </c>
      <c r="Q206" s="35" t="str">
        <f>VLOOKUP(P206,Key!$E$2:$F$9,2,FALSE)</f>
        <v>Tourism</v>
      </c>
      <c r="R206" s="38" t="s">
        <v>168</v>
      </c>
      <c r="S206" s="33" t="s">
        <v>161</v>
      </c>
      <c r="T206" s="38" t="s">
        <v>159</v>
      </c>
      <c r="U206" s="33">
        <v>1</v>
      </c>
      <c r="V206" s="35" t="str">
        <f>VLOOKUP(U206,Key!$E$2:$F$9,2,FALSE)</f>
        <v>Home</v>
      </c>
      <c r="W206" s="35" t="str">
        <f>Q206&amp;"-"&amp;V206</f>
        <v>Tourism-Home</v>
      </c>
      <c r="X206" s="33"/>
      <c r="Y206" s="39">
        <v>61</v>
      </c>
      <c r="Z206" s="39"/>
      <c r="AA206" s="33">
        <v>10</v>
      </c>
      <c r="AB206" s="35" t="str">
        <f>VLOOKUP(AA206,Key!$C$20:$D$29,2,FALSE)</f>
        <v>Other</v>
      </c>
      <c r="AC206" s="33">
        <v>5</v>
      </c>
      <c r="AD206" s="35" t="str">
        <f>VLOOKUP(AC206,Key!$E$20:$F$24,2,FALSE)</f>
        <v>&gt;1,000,000</v>
      </c>
      <c r="AE206" s="33">
        <v>1</v>
      </c>
      <c r="AF206" s="39">
        <v>1</v>
      </c>
      <c r="AG206" s="39">
        <v>1</v>
      </c>
      <c r="AH206" s="39">
        <v>1</v>
      </c>
      <c r="AI206" s="39">
        <v>1</v>
      </c>
      <c r="AJ206" s="40" t="s">
        <v>160</v>
      </c>
      <c r="AK206" s="41">
        <v>0</v>
      </c>
      <c r="AL206" s="25"/>
      <c r="AM206" s="25"/>
    </row>
    <row r="207" spans="1:39" x14ac:dyDescent="0.2">
      <c r="B207" s="50" t="s">
        <v>163</v>
      </c>
      <c r="C207" s="36">
        <v>0.6972222222222223</v>
      </c>
      <c r="D207" s="36" t="s">
        <v>187</v>
      </c>
      <c r="E207" s="36" t="s">
        <v>173</v>
      </c>
      <c r="F207" s="38">
        <v>2</v>
      </c>
      <c r="G207" s="43" t="str">
        <f>VLOOKUP(F207,Key!$A$17:$B$21,2,FALSE)</f>
        <v>Road Vehicle</v>
      </c>
      <c r="H207" s="37">
        <v>2</v>
      </c>
      <c r="I207" s="44" t="str">
        <f>VLOOKUP(H207,Key!$A$2:$B$13,2,FALSE)</f>
        <v>Station Wagon</v>
      </c>
      <c r="J207" s="38" t="s">
        <v>174</v>
      </c>
      <c r="K207" s="38">
        <v>2</v>
      </c>
      <c r="L207" s="45" t="str">
        <f>VLOOKUP(K207,Key!$A$24:$B$29,2,FALSE)</f>
        <v>30-39</v>
      </c>
      <c r="M207" s="38" t="s">
        <v>188</v>
      </c>
      <c r="N207" s="33" t="s">
        <v>161</v>
      </c>
      <c r="O207" s="38" t="s">
        <v>159</v>
      </c>
      <c r="P207" s="40">
        <v>4</v>
      </c>
      <c r="Q207" s="35" t="str">
        <f>VLOOKUP(P207,Key!$E$2:$F$9,2,FALSE)</f>
        <v>Commercial</v>
      </c>
      <c r="R207" s="38" t="s">
        <v>183</v>
      </c>
      <c r="S207" s="33" t="s">
        <v>184</v>
      </c>
      <c r="T207" s="38" t="s">
        <v>159</v>
      </c>
      <c r="U207" s="33">
        <v>1</v>
      </c>
      <c r="V207" s="35" t="str">
        <f>VLOOKUP(U207,Key!$E$2:$F$9,2,FALSE)</f>
        <v>Home</v>
      </c>
      <c r="W207" s="35" t="str">
        <f>Q207&amp;"-"&amp;V207</f>
        <v>Commercial-Home</v>
      </c>
      <c r="X207" s="51">
        <v>30000</v>
      </c>
      <c r="Y207" s="39">
        <v>86</v>
      </c>
      <c r="Z207" s="39">
        <v>1</v>
      </c>
      <c r="AA207" s="33">
        <v>6</v>
      </c>
      <c r="AB207" s="35" t="str">
        <f>VLOOKUP(AA207,Key!$C$20:$D$29,2,FALSE)</f>
        <v>Businessman</v>
      </c>
      <c r="AC207" s="33">
        <v>5</v>
      </c>
      <c r="AD207" s="35" t="str">
        <f>VLOOKUP(AC207,Key!$E$20:$F$24,2,FALSE)</f>
        <v>&gt;1,000,000</v>
      </c>
      <c r="AE207" s="33">
        <v>2</v>
      </c>
      <c r="AF207" s="39">
        <v>2</v>
      </c>
      <c r="AG207" s="39">
        <v>1</v>
      </c>
      <c r="AH207" s="39">
        <v>1</v>
      </c>
      <c r="AI207" s="39">
        <v>1</v>
      </c>
      <c r="AJ207" s="40" t="s">
        <v>160</v>
      </c>
      <c r="AK207" s="41">
        <v>2000</v>
      </c>
      <c r="AL207" s="25"/>
      <c r="AM207" s="25"/>
    </row>
    <row r="208" spans="1:39" x14ac:dyDescent="0.2">
      <c r="B208" s="50" t="s">
        <v>163</v>
      </c>
      <c r="C208" s="36">
        <v>0.6694444444444444</v>
      </c>
      <c r="D208" s="36"/>
      <c r="E208" s="36" t="s">
        <v>164</v>
      </c>
      <c r="F208" s="38">
        <v>2</v>
      </c>
      <c r="G208" s="43" t="str">
        <f>VLOOKUP(F208,Key!$A$17:$B$21,2,FALSE)</f>
        <v>Road Vehicle</v>
      </c>
      <c r="H208" s="37">
        <v>6</v>
      </c>
      <c r="I208" s="44" t="str">
        <f>VLOOKUP(H208,Key!$A$2:$B$13,2,FALSE)</f>
        <v>Large Bus</v>
      </c>
      <c r="J208" s="38" t="s">
        <v>165</v>
      </c>
      <c r="K208" s="38">
        <v>3</v>
      </c>
      <c r="L208" s="45" t="str">
        <f>VLOOKUP(K208,Key!$A$24:$B$29,2,FALSE)</f>
        <v>40-49</v>
      </c>
      <c r="M208" s="38" t="s">
        <v>168</v>
      </c>
      <c r="N208" s="33" t="s">
        <v>161</v>
      </c>
      <c r="O208" s="38" t="s">
        <v>159</v>
      </c>
      <c r="P208" s="40">
        <v>1</v>
      </c>
      <c r="Q208" s="35" t="str">
        <f>VLOOKUP(P208,Key!$E$2:$F$9,2,FALSE)</f>
        <v>Home</v>
      </c>
      <c r="R208" s="38" t="s">
        <v>185</v>
      </c>
      <c r="S208" s="33" t="s">
        <v>186</v>
      </c>
      <c r="T208" s="38" t="s">
        <v>159</v>
      </c>
      <c r="U208" s="33">
        <v>2</v>
      </c>
      <c r="V208" s="35" t="str">
        <f>VLOOKUP(U208,Key!$E$2:$F$9,2,FALSE)</f>
        <v>Work</v>
      </c>
      <c r="W208" s="35" t="str">
        <f>Q208&amp;"-"&amp;V208</f>
        <v>Home-Work</v>
      </c>
      <c r="X208" s="51">
        <v>15000</v>
      </c>
      <c r="Y208" s="39">
        <v>136</v>
      </c>
      <c r="Z208" s="39">
        <v>2</v>
      </c>
      <c r="AA208" s="33">
        <v>4</v>
      </c>
      <c r="AB208" s="35" t="str">
        <f>VLOOKUP(AA208,Key!$C$20:$D$29,2,FALSE)</f>
        <v>Office Worker</v>
      </c>
      <c r="AC208" s="33">
        <v>5</v>
      </c>
      <c r="AD208" s="35" t="str">
        <f>VLOOKUP(AC208,Key!$E$20:$F$24,2,FALSE)</f>
        <v>&gt;1,000,000</v>
      </c>
      <c r="AE208" s="33">
        <v>3</v>
      </c>
      <c r="AF208" s="39">
        <v>2</v>
      </c>
      <c r="AG208" s="39">
        <v>1</v>
      </c>
      <c r="AH208" s="39">
        <v>3</v>
      </c>
      <c r="AI208" s="39">
        <v>4</v>
      </c>
      <c r="AJ208" s="40" t="s">
        <v>160</v>
      </c>
      <c r="AK208" s="41">
        <v>3000</v>
      </c>
      <c r="AL208" s="25"/>
      <c r="AM208" s="25"/>
    </row>
    <row r="209" spans="2:39" x14ac:dyDescent="0.2">
      <c r="B209" s="50" t="s">
        <v>163</v>
      </c>
      <c r="C209" s="36">
        <v>0.77638888888888891</v>
      </c>
      <c r="D209" s="36"/>
      <c r="E209" s="36" t="s">
        <v>164</v>
      </c>
      <c r="F209" s="38">
        <v>2</v>
      </c>
      <c r="G209" s="43" t="str">
        <f>VLOOKUP(F209,Key!$A$17:$B$21,2,FALSE)</f>
        <v>Road Vehicle</v>
      </c>
      <c r="H209" s="37">
        <v>6</v>
      </c>
      <c r="I209" s="44" t="str">
        <f>VLOOKUP(H209,Key!$A$2:$B$13,2,FALSE)</f>
        <v>Large Bus</v>
      </c>
      <c r="J209" s="38" t="s">
        <v>165</v>
      </c>
      <c r="K209" s="38">
        <v>3</v>
      </c>
      <c r="L209" s="45" t="str">
        <f>VLOOKUP(K209,Key!$A$24:$B$29,2,FALSE)</f>
        <v>40-49</v>
      </c>
      <c r="M209" s="38" t="s">
        <v>217</v>
      </c>
      <c r="N209" s="33" t="s">
        <v>217</v>
      </c>
      <c r="O209" s="38" t="s">
        <v>35</v>
      </c>
      <c r="P209" s="40">
        <v>1</v>
      </c>
      <c r="Q209" s="35" t="str">
        <f>VLOOKUP(P209,Key!$E$2:$F$9,2,FALSE)</f>
        <v>Home</v>
      </c>
      <c r="R209" s="38" t="s">
        <v>171</v>
      </c>
      <c r="S209" s="33" t="s">
        <v>172</v>
      </c>
      <c r="T209" s="38" t="s">
        <v>159</v>
      </c>
      <c r="U209" s="33">
        <v>4</v>
      </c>
      <c r="V209" s="35" t="str">
        <f>VLOOKUP(U209,Key!$E$2:$F$9,2,FALSE)</f>
        <v>Commercial</v>
      </c>
      <c r="W209" s="35" t="str">
        <f>Q209&amp;"-"&amp;V209</f>
        <v>Home-Commercial</v>
      </c>
      <c r="X209" s="51">
        <v>50000</v>
      </c>
      <c r="Y209" s="39">
        <v>750</v>
      </c>
      <c r="Z209" s="39">
        <v>7</v>
      </c>
      <c r="AA209" s="33">
        <v>6</v>
      </c>
      <c r="AB209" s="35" t="str">
        <f>VLOOKUP(AA209,Key!$C$20:$D$29,2,FALSE)</f>
        <v>Businessman</v>
      </c>
      <c r="AC209" s="33">
        <v>2</v>
      </c>
      <c r="AD209" s="35" t="str">
        <f>VLOOKUP(AC209,Key!$E$20:$F$24,2,FALSE)</f>
        <v>300,000-500,000</v>
      </c>
      <c r="AE209" s="33">
        <v>5</v>
      </c>
      <c r="AF209" s="39">
        <v>5</v>
      </c>
      <c r="AG209" s="39">
        <v>5</v>
      </c>
      <c r="AH209" s="39">
        <v>5</v>
      </c>
      <c r="AI209" s="39">
        <v>5</v>
      </c>
      <c r="AJ209" s="40" t="s">
        <v>160</v>
      </c>
      <c r="AK209" s="41">
        <v>2000</v>
      </c>
      <c r="AL209" s="25"/>
      <c r="AM209" s="25"/>
    </row>
    <row r="210" spans="2:39" x14ac:dyDescent="0.2">
      <c r="B210" s="52" t="s">
        <v>239</v>
      </c>
      <c r="C210" s="36">
        <v>0.36527777777777781</v>
      </c>
      <c r="D210" s="36"/>
      <c r="E210" s="36" t="s">
        <v>164</v>
      </c>
      <c r="F210" s="38">
        <v>2</v>
      </c>
      <c r="G210" s="43" t="str">
        <f>VLOOKUP(F210,Key!$A$17:$B$21,2,FALSE)</f>
        <v>Road Vehicle</v>
      </c>
      <c r="H210" s="37">
        <v>6</v>
      </c>
      <c r="I210" s="44" t="str">
        <f>VLOOKUP(H210,Key!$A$2:$B$13,2,FALSE)</f>
        <v>Large Bus</v>
      </c>
      <c r="J210" s="38" t="s">
        <v>165</v>
      </c>
      <c r="K210" s="38">
        <v>3</v>
      </c>
      <c r="L210" s="45" t="str">
        <f>VLOOKUP(K210,Key!$A$24:$B$29,2,FALSE)</f>
        <v>40-49</v>
      </c>
      <c r="M210" s="38" t="s">
        <v>168</v>
      </c>
      <c r="N210" s="33" t="s">
        <v>161</v>
      </c>
      <c r="O210" s="38" t="s">
        <v>159</v>
      </c>
      <c r="P210" s="40">
        <v>1</v>
      </c>
      <c r="Q210" s="35" t="str">
        <f>VLOOKUP(P210,Key!$E$2:$F$9,2,FALSE)</f>
        <v>Home</v>
      </c>
      <c r="R210" s="38" t="s">
        <v>241</v>
      </c>
      <c r="S210" s="33" t="s">
        <v>216</v>
      </c>
      <c r="T210" s="38" t="s">
        <v>159</v>
      </c>
      <c r="U210" s="33">
        <v>4</v>
      </c>
      <c r="V210" s="35" t="str">
        <f>VLOOKUP(U210,Key!$E$2:$F$9,2,FALSE)</f>
        <v>Commercial</v>
      </c>
      <c r="W210" s="35" t="str">
        <f>Q210&amp;"-"&amp;V210</f>
        <v>Home-Commercial</v>
      </c>
      <c r="X210" s="51">
        <v>30000</v>
      </c>
      <c r="Y210" s="39">
        <v>280</v>
      </c>
      <c r="Z210" s="39">
        <v>4</v>
      </c>
      <c r="AA210" s="33">
        <v>2</v>
      </c>
      <c r="AB210" s="35" t="str">
        <f>VLOOKUP(AA210,Key!$C$20:$D$29,2,FALSE)</f>
        <v>Manual Labour</v>
      </c>
      <c r="AC210" s="33">
        <v>3</v>
      </c>
      <c r="AD210" s="35" t="str">
        <f>VLOOKUP(AC210,Key!$E$20:$F$24,2,FALSE)</f>
        <v>500,000-750,000</v>
      </c>
      <c r="AE210" s="33">
        <v>1</v>
      </c>
      <c r="AF210" s="39">
        <v>5</v>
      </c>
      <c r="AG210" s="39">
        <v>5</v>
      </c>
      <c r="AH210" s="39">
        <v>5</v>
      </c>
      <c r="AI210" s="39">
        <v>5</v>
      </c>
      <c r="AJ210" s="40" t="s">
        <v>160</v>
      </c>
      <c r="AK210" s="41">
        <v>1000</v>
      </c>
      <c r="AL210" s="25"/>
      <c r="AM210" s="25"/>
    </row>
    <row r="211" spans="2:39" x14ac:dyDescent="0.2">
      <c r="B211" s="50" t="s">
        <v>239</v>
      </c>
      <c r="C211" s="36">
        <v>0.68611111111111101</v>
      </c>
      <c r="D211" s="36"/>
      <c r="E211" s="36" t="s">
        <v>164</v>
      </c>
      <c r="F211" s="38">
        <v>2</v>
      </c>
      <c r="G211" s="43" t="str">
        <f>VLOOKUP(F211,Key!$A$17:$B$21,2,FALSE)</f>
        <v>Road Vehicle</v>
      </c>
      <c r="H211" s="37">
        <v>6</v>
      </c>
      <c r="I211" s="44" t="str">
        <f>VLOOKUP(H211,Key!$A$2:$B$13,2,FALSE)</f>
        <v>Large Bus</v>
      </c>
      <c r="J211" s="38" t="s">
        <v>165</v>
      </c>
      <c r="K211" s="38">
        <v>3</v>
      </c>
      <c r="L211" s="45" t="str">
        <f>VLOOKUP(K211,Key!$A$24:$B$29,2,FALSE)</f>
        <v>40-49</v>
      </c>
      <c r="M211" s="38" t="s">
        <v>169</v>
      </c>
      <c r="N211" s="33" t="s">
        <v>170</v>
      </c>
      <c r="O211" s="38" t="s">
        <v>159</v>
      </c>
      <c r="P211" s="40">
        <v>1</v>
      </c>
      <c r="Q211" s="35" t="str">
        <f>VLOOKUP(P211,Key!$E$2:$F$9,2,FALSE)</f>
        <v>Home</v>
      </c>
      <c r="R211" s="38" t="s">
        <v>312</v>
      </c>
      <c r="S211" s="33" t="s">
        <v>172</v>
      </c>
      <c r="T211" s="38" t="s">
        <v>159</v>
      </c>
      <c r="U211" s="33">
        <v>2</v>
      </c>
      <c r="V211" s="35" t="str">
        <f>VLOOKUP(U211,Key!$E$2:$F$9,2,FALSE)</f>
        <v>Work</v>
      </c>
      <c r="W211" s="35" t="str">
        <f>Q211&amp;"-"&amp;V211</f>
        <v>Home-Work</v>
      </c>
      <c r="X211" s="51">
        <v>30000</v>
      </c>
      <c r="Y211" s="39">
        <v>200</v>
      </c>
      <c r="Z211" s="39">
        <v>4.5</v>
      </c>
      <c r="AA211" s="33">
        <v>6</v>
      </c>
      <c r="AB211" s="35" t="str">
        <f>VLOOKUP(AA211,Key!$C$20:$D$29,2,FALSE)</f>
        <v>Businessman</v>
      </c>
      <c r="AC211" s="33">
        <v>1</v>
      </c>
      <c r="AD211" s="35" t="str">
        <f>VLOOKUP(AC211,Key!$E$20:$F$24,2,FALSE)</f>
        <v>&lt;300,000</v>
      </c>
      <c r="AE211" s="33">
        <v>1</v>
      </c>
      <c r="AF211" s="39">
        <v>2</v>
      </c>
      <c r="AG211" s="39">
        <v>1</v>
      </c>
      <c r="AH211" s="39">
        <v>2</v>
      </c>
      <c r="AI211" s="39">
        <v>2</v>
      </c>
      <c r="AJ211" s="40" t="s">
        <v>160</v>
      </c>
      <c r="AK211" s="41">
        <v>0</v>
      </c>
      <c r="AL211" s="25"/>
      <c r="AM211" s="25"/>
    </row>
    <row r="212" spans="2:39" x14ac:dyDescent="0.2">
      <c r="B212" s="50" t="s">
        <v>163</v>
      </c>
      <c r="C212" s="36">
        <v>0.68958333333333333</v>
      </c>
      <c r="D212" s="36"/>
      <c r="E212" s="36" t="s">
        <v>164</v>
      </c>
      <c r="F212" s="38">
        <v>2</v>
      </c>
      <c r="G212" s="43" t="str">
        <f>VLOOKUP(F212,Key!$A$17:$B$21,2,FALSE)</f>
        <v>Road Vehicle</v>
      </c>
      <c r="H212" s="37">
        <v>6</v>
      </c>
      <c r="I212" s="44" t="str">
        <f>VLOOKUP(H212,Key!$A$2:$B$13,2,FALSE)</f>
        <v>Large Bus</v>
      </c>
      <c r="J212" s="38" t="s">
        <v>174</v>
      </c>
      <c r="K212" s="38">
        <v>3</v>
      </c>
      <c r="L212" s="45" t="str">
        <f>VLOOKUP(K212,Key!$A$24:$B$29,2,FALSE)</f>
        <v>40-49</v>
      </c>
      <c r="M212" s="38" t="s">
        <v>169</v>
      </c>
      <c r="N212" s="33" t="s">
        <v>170</v>
      </c>
      <c r="O212" s="38" t="s">
        <v>159</v>
      </c>
      <c r="P212" s="40">
        <v>1</v>
      </c>
      <c r="Q212" s="35" t="str">
        <f>VLOOKUP(P212,Key!$E$2:$F$9,2,FALSE)</f>
        <v>Home</v>
      </c>
      <c r="R212" s="38" t="s">
        <v>171</v>
      </c>
      <c r="S212" s="33" t="s">
        <v>172</v>
      </c>
      <c r="T212" s="38" t="s">
        <v>159</v>
      </c>
      <c r="U212" s="33">
        <v>2</v>
      </c>
      <c r="V212" s="35" t="str">
        <f>VLOOKUP(U212,Key!$E$2:$F$9,2,FALSE)</f>
        <v>Work</v>
      </c>
      <c r="W212" s="35" t="str">
        <f>Q212&amp;"-"&amp;V212</f>
        <v>Home-Work</v>
      </c>
      <c r="X212" s="51">
        <v>30000</v>
      </c>
      <c r="Y212" s="39">
        <v>480</v>
      </c>
      <c r="Z212" s="39">
        <v>14</v>
      </c>
      <c r="AA212" s="33">
        <v>5</v>
      </c>
      <c r="AB212" s="35" t="str">
        <f>VLOOKUP(AA212,Key!$C$20:$D$29,2,FALSE)</f>
        <v>Professional</v>
      </c>
      <c r="AC212" s="33">
        <v>5</v>
      </c>
      <c r="AD212" s="35" t="str">
        <f>VLOOKUP(AC212,Key!$E$20:$F$24,2,FALSE)</f>
        <v>&gt;1,000,000</v>
      </c>
      <c r="AE212" s="33">
        <v>3</v>
      </c>
      <c r="AF212" s="39">
        <v>2</v>
      </c>
      <c r="AG212" s="39">
        <v>3</v>
      </c>
      <c r="AH212" s="39">
        <v>3</v>
      </c>
      <c r="AI212" s="39">
        <v>4</v>
      </c>
      <c r="AJ212" s="40" t="s">
        <v>160</v>
      </c>
      <c r="AK212" s="41">
        <v>0</v>
      </c>
      <c r="AL212" s="25"/>
      <c r="AM212" s="25"/>
    </row>
    <row r="213" spans="2:39" x14ac:dyDescent="0.2">
      <c r="B213" s="50" t="s">
        <v>163</v>
      </c>
      <c r="C213" s="36">
        <v>0.66388888888888886</v>
      </c>
      <c r="D213" s="36"/>
      <c r="E213" s="36" t="s">
        <v>164</v>
      </c>
      <c r="F213" s="38">
        <v>2</v>
      </c>
      <c r="G213" s="43" t="str">
        <f>VLOOKUP(F213,Key!$A$17:$B$21,2,FALSE)</f>
        <v>Road Vehicle</v>
      </c>
      <c r="H213" s="37">
        <v>6</v>
      </c>
      <c r="I213" s="44" t="str">
        <f>VLOOKUP(H213,Key!$A$2:$B$13,2,FALSE)</f>
        <v>Large Bus</v>
      </c>
      <c r="J213" s="38" t="s">
        <v>174</v>
      </c>
      <c r="K213" s="38">
        <v>3</v>
      </c>
      <c r="L213" s="45" t="str">
        <f>VLOOKUP(K213,Key!$A$24:$B$29,2,FALSE)</f>
        <v>40-49</v>
      </c>
      <c r="M213" s="38" t="s">
        <v>168</v>
      </c>
      <c r="N213" s="33" t="s">
        <v>161</v>
      </c>
      <c r="O213" s="38" t="s">
        <v>159</v>
      </c>
      <c r="P213" s="40">
        <v>1</v>
      </c>
      <c r="Q213" s="35" t="str">
        <f>VLOOKUP(P213,Key!$E$2:$F$9,2,FALSE)</f>
        <v>Home</v>
      </c>
      <c r="R213" s="38" t="s">
        <v>171</v>
      </c>
      <c r="S213" s="33" t="s">
        <v>172</v>
      </c>
      <c r="T213" s="38" t="s">
        <v>159</v>
      </c>
      <c r="U213" s="33">
        <v>2</v>
      </c>
      <c r="V213" s="35" t="str">
        <f>VLOOKUP(U213,Key!$E$2:$F$9,2,FALSE)</f>
        <v>Work</v>
      </c>
      <c r="W213" s="35" t="str">
        <f>Q213&amp;"-"&amp;V213</f>
        <v>Home-Work</v>
      </c>
      <c r="X213" s="51">
        <v>30000</v>
      </c>
      <c r="Y213" s="39">
        <v>400</v>
      </c>
      <c r="Z213" s="39">
        <v>13</v>
      </c>
      <c r="AA213" s="33">
        <v>5</v>
      </c>
      <c r="AB213" s="35" t="str">
        <f>VLOOKUP(AA213,Key!$C$20:$D$29,2,FALSE)</f>
        <v>Professional</v>
      </c>
      <c r="AC213" s="33">
        <v>3</v>
      </c>
      <c r="AD213" s="35" t="str">
        <f>VLOOKUP(AC213,Key!$E$20:$F$24,2,FALSE)</f>
        <v>500,000-750,000</v>
      </c>
      <c r="AE213" s="33">
        <v>3</v>
      </c>
      <c r="AF213" s="39">
        <v>2</v>
      </c>
      <c r="AG213" s="39">
        <v>3</v>
      </c>
      <c r="AH213" s="39">
        <v>3</v>
      </c>
      <c r="AI213" s="39">
        <v>2</v>
      </c>
      <c r="AJ213" s="40" t="s">
        <v>160</v>
      </c>
      <c r="AK213" s="41">
        <v>3000</v>
      </c>
      <c r="AL213" s="25"/>
      <c r="AM213" s="25"/>
    </row>
    <row r="214" spans="2:39" x14ac:dyDescent="0.2">
      <c r="B214" s="50" t="s">
        <v>163</v>
      </c>
      <c r="C214" s="36">
        <v>0.59305555555555556</v>
      </c>
      <c r="D214" s="36"/>
      <c r="E214" s="36" t="s">
        <v>164</v>
      </c>
      <c r="F214" s="38">
        <v>2</v>
      </c>
      <c r="G214" s="43" t="str">
        <f>VLOOKUP(F214,Key!$A$17:$B$21,2,FALSE)</f>
        <v>Road Vehicle</v>
      </c>
      <c r="H214" s="37">
        <v>6</v>
      </c>
      <c r="I214" s="44" t="str">
        <f>VLOOKUP(H214,Key!$A$2:$B$13,2,FALSE)</f>
        <v>Large Bus</v>
      </c>
      <c r="J214" s="38" t="s">
        <v>174</v>
      </c>
      <c r="K214" s="38">
        <v>3</v>
      </c>
      <c r="L214" s="45" t="str">
        <f>VLOOKUP(K214,Key!$A$24:$B$29,2,FALSE)</f>
        <v>40-49</v>
      </c>
      <c r="M214" s="38" t="s">
        <v>166</v>
      </c>
      <c r="N214" s="33" t="s">
        <v>167</v>
      </c>
      <c r="O214" s="38" t="s">
        <v>159</v>
      </c>
      <c r="P214" s="40">
        <v>1</v>
      </c>
      <c r="Q214" s="35" t="str">
        <f>VLOOKUP(P214,Key!$E$2:$F$9,2,FALSE)</f>
        <v>Home</v>
      </c>
      <c r="R214" s="38" t="s">
        <v>171</v>
      </c>
      <c r="S214" s="33" t="s">
        <v>172</v>
      </c>
      <c r="T214" s="38" t="s">
        <v>159</v>
      </c>
      <c r="U214" s="33">
        <v>4</v>
      </c>
      <c r="V214" s="35" t="str">
        <f>VLOOKUP(U214,Key!$E$2:$F$9,2,FALSE)</f>
        <v>Commercial</v>
      </c>
      <c r="W214" s="35" t="str">
        <f>Q214&amp;"-"&amp;V214</f>
        <v>Home-Commercial</v>
      </c>
      <c r="X214" s="51">
        <v>30000</v>
      </c>
      <c r="Y214" s="39">
        <v>420</v>
      </c>
      <c r="Z214" s="39">
        <v>14</v>
      </c>
      <c r="AA214" s="33">
        <v>7</v>
      </c>
      <c r="AB214" s="35" t="str">
        <f>VLOOKUP(AA214,Key!$C$20:$D$29,2,FALSE)</f>
        <v>Farmer</v>
      </c>
      <c r="AC214" s="33">
        <v>3</v>
      </c>
      <c r="AD214" s="35" t="str">
        <f>VLOOKUP(AC214,Key!$E$20:$F$24,2,FALSE)</f>
        <v>500,000-750,000</v>
      </c>
      <c r="AE214" s="33">
        <v>1</v>
      </c>
      <c r="AF214" s="39">
        <v>1</v>
      </c>
      <c r="AG214" s="39">
        <v>1</v>
      </c>
      <c r="AH214" s="39">
        <v>1</v>
      </c>
      <c r="AI214" s="39">
        <v>1</v>
      </c>
      <c r="AJ214" s="40" t="s">
        <v>160</v>
      </c>
      <c r="AK214" s="41">
        <v>4000</v>
      </c>
      <c r="AL214" s="25"/>
      <c r="AM214" s="25"/>
    </row>
    <row r="215" spans="2:39" x14ac:dyDescent="0.2">
      <c r="B215" s="50" t="s">
        <v>163</v>
      </c>
      <c r="C215" s="36">
        <v>0.70000000000000007</v>
      </c>
      <c r="D215" s="36" t="s">
        <v>208</v>
      </c>
      <c r="E215" s="36" t="s">
        <v>173</v>
      </c>
      <c r="F215" s="38">
        <v>2</v>
      </c>
      <c r="G215" s="43" t="str">
        <f>VLOOKUP(F215,Key!$A$17:$B$21,2,FALSE)</f>
        <v>Road Vehicle</v>
      </c>
      <c r="H215" s="37">
        <v>6</v>
      </c>
      <c r="I215" s="44" t="str">
        <f>VLOOKUP(H215,Key!$A$2:$B$13,2,FALSE)</f>
        <v>Large Bus</v>
      </c>
      <c r="J215" s="38" t="s">
        <v>174</v>
      </c>
      <c r="K215" s="38">
        <v>3</v>
      </c>
      <c r="L215" s="45" t="str">
        <f>VLOOKUP(K215,Key!$A$24:$B$29,2,FALSE)</f>
        <v>40-49</v>
      </c>
      <c r="M215" s="38" t="s">
        <v>204</v>
      </c>
      <c r="N215" s="33" t="s">
        <v>161</v>
      </c>
      <c r="O215" s="38" t="s">
        <v>159</v>
      </c>
      <c r="P215" s="40">
        <v>2</v>
      </c>
      <c r="Q215" s="35" t="str">
        <f>VLOOKUP(P215,Key!$E$2:$F$9,2,FALSE)</f>
        <v>Work</v>
      </c>
      <c r="R215" s="38" t="s">
        <v>171</v>
      </c>
      <c r="S215" s="33" t="s">
        <v>172</v>
      </c>
      <c r="T215" s="38" t="s">
        <v>159</v>
      </c>
      <c r="U215" s="33">
        <v>8</v>
      </c>
      <c r="V215" s="35" t="str">
        <f>VLOOKUP(U215,Key!$E$2:$F$9,2,FALSE)</f>
        <v>Others</v>
      </c>
      <c r="W215" s="35" t="str">
        <f>Q215&amp;"-"&amp;V215</f>
        <v>Work-Others</v>
      </c>
      <c r="X215" s="51">
        <v>200000</v>
      </c>
      <c r="Y215" s="39">
        <v>250</v>
      </c>
      <c r="Z215" s="39">
        <v>6</v>
      </c>
      <c r="AA215" s="33">
        <v>5</v>
      </c>
      <c r="AB215" s="35" t="str">
        <f>VLOOKUP(AA215,Key!$C$20:$D$29,2,FALSE)</f>
        <v>Professional</v>
      </c>
      <c r="AC215" s="33">
        <v>2</v>
      </c>
      <c r="AD215" s="35" t="str">
        <f>VLOOKUP(AC215,Key!$E$20:$F$24,2,FALSE)</f>
        <v>300,000-500,000</v>
      </c>
      <c r="AE215" s="33">
        <v>5</v>
      </c>
      <c r="AF215" s="39">
        <v>4</v>
      </c>
      <c r="AG215" s="39">
        <v>2</v>
      </c>
      <c r="AH215" s="39">
        <v>2</v>
      </c>
      <c r="AI215" s="39">
        <v>2</v>
      </c>
      <c r="AJ215" s="40" t="s">
        <v>160</v>
      </c>
      <c r="AK215" s="41">
        <v>2000</v>
      </c>
      <c r="AL215" s="25"/>
      <c r="AM215" s="25"/>
    </row>
    <row r="216" spans="2:39" x14ac:dyDescent="0.2">
      <c r="B216" s="50" t="s">
        <v>163</v>
      </c>
      <c r="C216" s="36">
        <v>0.68125000000000002</v>
      </c>
      <c r="D216" s="36" t="s">
        <v>235</v>
      </c>
      <c r="E216" s="36" t="s">
        <v>173</v>
      </c>
      <c r="F216" s="38">
        <v>2</v>
      </c>
      <c r="G216" s="43" t="str">
        <f>VLOOKUP(F216,Key!$A$17:$B$21,2,FALSE)</f>
        <v>Road Vehicle</v>
      </c>
      <c r="H216" s="37">
        <v>6</v>
      </c>
      <c r="I216" s="44" t="str">
        <f>VLOOKUP(H216,Key!$A$2:$B$13,2,FALSE)</f>
        <v>Large Bus</v>
      </c>
      <c r="J216" s="38" t="s">
        <v>174</v>
      </c>
      <c r="K216" s="38">
        <v>3</v>
      </c>
      <c r="L216" s="45" t="str">
        <f>VLOOKUP(K216,Key!$A$24:$B$29,2,FALSE)</f>
        <v>40-49</v>
      </c>
      <c r="M216" s="38" t="s">
        <v>168</v>
      </c>
      <c r="N216" s="33" t="s">
        <v>161</v>
      </c>
      <c r="O216" s="38" t="s">
        <v>159</v>
      </c>
      <c r="P216" s="40">
        <v>4</v>
      </c>
      <c r="Q216" s="35" t="str">
        <f>VLOOKUP(P216,Key!$E$2:$F$9,2,FALSE)</f>
        <v>Commercial</v>
      </c>
      <c r="R216" s="38" t="s">
        <v>171</v>
      </c>
      <c r="S216" s="33" t="s">
        <v>172</v>
      </c>
      <c r="T216" s="38" t="s">
        <v>159</v>
      </c>
      <c r="U216" s="33">
        <v>4</v>
      </c>
      <c r="V216" s="35" t="str">
        <f>VLOOKUP(U216,Key!$E$2:$F$9,2,FALSE)</f>
        <v>Commercial</v>
      </c>
      <c r="W216" s="35" t="str">
        <f>Q216&amp;"-"&amp;V216</f>
        <v>Commercial-Commercial</v>
      </c>
      <c r="X216" s="51">
        <v>200000</v>
      </c>
      <c r="Y216" s="39">
        <v>396</v>
      </c>
      <c r="Z216" s="39">
        <v>4</v>
      </c>
      <c r="AA216" s="33">
        <v>5</v>
      </c>
      <c r="AB216" s="35" t="str">
        <f>VLOOKUP(AA216,Key!$C$20:$D$29,2,FALSE)</f>
        <v>Professional</v>
      </c>
      <c r="AC216" s="33">
        <v>3</v>
      </c>
      <c r="AD216" s="35" t="str">
        <f>VLOOKUP(AC216,Key!$E$20:$F$24,2,FALSE)</f>
        <v>500,000-750,000</v>
      </c>
      <c r="AE216" s="33">
        <v>1</v>
      </c>
      <c r="AF216" s="39">
        <v>1</v>
      </c>
      <c r="AG216" s="39">
        <v>5</v>
      </c>
      <c r="AH216" s="39">
        <v>5</v>
      </c>
      <c r="AI216" s="39">
        <v>5</v>
      </c>
      <c r="AJ216" s="40" t="s">
        <v>160</v>
      </c>
      <c r="AK216" s="41">
        <v>5000</v>
      </c>
      <c r="AL216" s="25"/>
      <c r="AM216" s="25"/>
    </row>
    <row r="217" spans="2:39" x14ac:dyDescent="0.2">
      <c r="B217" s="50" t="s">
        <v>163</v>
      </c>
      <c r="C217" s="36"/>
      <c r="D217" s="36"/>
      <c r="E217" s="36" t="s">
        <v>164</v>
      </c>
      <c r="F217" s="38">
        <v>2</v>
      </c>
      <c r="G217" s="43" t="str">
        <f>VLOOKUP(F217,Key!$A$17:$B$21,2,FALSE)</f>
        <v>Road Vehicle</v>
      </c>
      <c r="H217" s="37">
        <v>6</v>
      </c>
      <c r="I217" s="44" t="str">
        <f>VLOOKUP(H217,Key!$A$2:$B$13,2,FALSE)</f>
        <v>Large Bus</v>
      </c>
      <c r="J217" s="38" t="s">
        <v>174</v>
      </c>
      <c r="K217" s="38">
        <v>3</v>
      </c>
      <c r="L217" s="45" t="str">
        <f>VLOOKUP(K217,Key!$A$24:$B$29,2,FALSE)</f>
        <v>40-49</v>
      </c>
      <c r="M217" s="38" t="s">
        <v>168</v>
      </c>
      <c r="N217" s="33" t="s">
        <v>161</v>
      </c>
      <c r="O217" s="38" t="s">
        <v>159</v>
      </c>
      <c r="P217" s="40">
        <v>4</v>
      </c>
      <c r="Q217" s="35" t="str">
        <f>VLOOKUP(P217,Key!$E$2:$F$9,2,FALSE)</f>
        <v>Commercial</v>
      </c>
      <c r="R217" s="38" t="s">
        <v>192</v>
      </c>
      <c r="S217" s="33" t="s">
        <v>193</v>
      </c>
      <c r="T217" s="38" t="s">
        <v>159</v>
      </c>
      <c r="U217" s="33">
        <v>4</v>
      </c>
      <c r="V217" s="35" t="str">
        <f>VLOOKUP(U217,Key!$E$2:$F$9,2,FALSE)</f>
        <v>Commercial</v>
      </c>
      <c r="W217" s="35" t="str">
        <f>Q217&amp;"-"&amp;V217</f>
        <v>Commercial-Commercial</v>
      </c>
      <c r="X217" s="51">
        <v>30000</v>
      </c>
      <c r="Y217" s="39"/>
      <c r="Z217" s="39">
        <v>4</v>
      </c>
      <c r="AA217" s="33">
        <v>1</v>
      </c>
      <c r="AB217" s="35" t="str">
        <f>VLOOKUP(AA217,Key!$C$20:$D$29,2,FALSE)</f>
        <v>Unemployed</v>
      </c>
      <c r="AC217" s="33">
        <v>1</v>
      </c>
      <c r="AD217" s="35" t="str">
        <f>VLOOKUP(AC217,Key!$E$20:$F$24,2,FALSE)</f>
        <v>&lt;300,000</v>
      </c>
      <c r="AE217" s="33">
        <v>1</v>
      </c>
      <c r="AF217" s="39">
        <v>1</v>
      </c>
      <c r="AG217" s="39">
        <v>1</v>
      </c>
      <c r="AH217" s="39">
        <v>1</v>
      </c>
      <c r="AI217" s="39">
        <v>1</v>
      </c>
      <c r="AJ217" s="40" t="s">
        <v>160</v>
      </c>
      <c r="AK217" s="41">
        <v>1000</v>
      </c>
      <c r="AL217" s="25"/>
      <c r="AM217" s="25"/>
    </row>
    <row r="218" spans="2:39" x14ac:dyDescent="0.2">
      <c r="B218" s="50" t="s">
        <v>239</v>
      </c>
      <c r="C218" s="36">
        <v>0.4201388888888889</v>
      </c>
      <c r="D218" s="36"/>
      <c r="E218" s="36" t="s">
        <v>164</v>
      </c>
      <c r="F218" s="38">
        <v>2</v>
      </c>
      <c r="G218" s="43" t="str">
        <f>VLOOKUP(F218,Key!$A$17:$B$21,2,FALSE)</f>
        <v>Road Vehicle</v>
      </c>
      <c r="H218" s="37">
        <v>6</v>
      </c>
      <c r="I218" s="44" t="str">
        <f>VLOOKUP(H218,Key!$A$2:$B$13,2,FALSE)</f>
        <v>Large Bus</v>
      </c>
      <c r="J218" s="38" t="s">
        <v>174</v>
      </c>
      <c r="K218" s="38">
        <v>3</v>
      </c>
      <c r="L218" s="45" t="str">
        <f>VLOOKUP(K218,Key!$A$24:$B$29,2,FALSE)</f>
        <v>40-49</v>
      </c>
      <c r="M218" s="38" t="s">
        <v>168</v>
      </c>
      <c r="N218" s="33" t="s">
        <v>161</v>
      </c>
      <c r="O218" s="38" t="s">
        <v>159</v>
      </c>
      <c r="P218" s="40">
        <v>1</v>
      </c>
      <c r="Q218" s="35" t="str">
        <f>VLOOKUP(P218,Key!$E$2:$F$9,2,FALSE)</f>
        <v>Home</v>
      </c>
      <c r="R218" s="38" t="s">
        <v>185</v>
      </c>
      <c r="S218" s="33" t="s">
        <v>186</v>
      </c>
      <c r="T218" s="38" t="s">
        <v>159</v>
      </c>
      <c r="U218" s="33">
        <v>4</v>
      </c>
      <c r="V218" s="35" t="str">
        <f>VLOOKUP(U218,Key!$E$2:$F$9,2,FALSE)</f>
        <v>Commercial</v>
      </c>
      <c r="W218" s="35" t="str">
        <f>Q218&amp;"-"&amp;V218</f>
        <v>Home-Commercial</v>
      </c>
      <c r="X218" s="51">
        <v>15000</v>
      </c>
      <c r="Y218" s="39">
        <v>96</v>
      </c>
      <c r="Z218" s="39">
        <v>2</v>
      </c>
      <c r="AA218" s="33">
        <v>5</v>
      </c>
      <c r="AB218" s="35" t="str">
        <f>VLOOKUP(AA218,Key!$C$20:$D$29,2,FALSE)</f>
        <v>Professional</v>
      </c>
      <c r="AC218" s="33">
        <v>2</v>
      </c>
      <c r="AD218" s="35" t="str">
        <f>VLOOKUP(AC218,Key!$E$20:$F$24,2,FALSE)</f>
        <v>300,000-500,000</v>
      </c>
      <c r="AE218" s="33">
        <v>1</v>
      </c>
      <c r="AF218" s="39">
        <v>1</v>
      </c>
      <c r="AG218" s="39">
        <v>1</v>
      </c>
      <c r="AH218" s="39">
        <v>1</v>
      </c>
      <c r="AI218" s="39">
        <v>1</v>
      </c>
      <c r="AJ218" s="40" t="s">
        <v>160</v>
      </c>
      <c r="AK218" s="41">
        <v>2000</v>
      </c>
      <c r="AL218" s="25"/>
      <c r="AM218" s="25"/>
    </row>
    <row r="219" spans="2:39" x14ac:dyDescent="0.2">
      <c r="B219" s="50" t="s">
        <v>239</v>
      </c>
      <c r="C219" s="36">
        <v>0.76597222222222217</v>
      </c>
      <c r="D219" s="36" t="s">
        <v>284</v>
      </c>
      <c r="E219" s="36" t="s">
        <v>173</v>
      </c>
      <c r="F219" s="38">
        <v>2</v>
      </c>
      <c r="G219" s="43" t="str">
        <f>VLOOKUP(F219,Key!$A$17:$B$21,2,FALSE)</f>
        <v>Road Vehicle</v>
      </c>
      <c r="H219" s="37">
        <v>6</v>
      </c>
      <c r="I219" s="44" t="str">
        <f>VLOOKUP(H219,Key!$A$2:$B$13,2,FALSE)</f>
        <v>Large Bus</v>
      </c>
      <c r="J219" s="38" t="s">
        <v>174</v>
      </c>
      <c r="K219" s="38">
        <v>3</v>
      </c>
      <c r="L219" s="45" t="str">
        <f>VLOOKUP(K219,Key!$A$24:$B$29,2,FALSE)</f>
        <v>40-49</v>
      </c>
      <c r="M219" s="38" t="s">
        <v>169</v>
      </c>
      <c r="N219" s="33" t="s">
        <v>170</v>
      </c>
      <c r="O219" s="38" t="s">
        <v>159</v>
      </c>
      <c r="P219" s="40">
        <v>4</v>
      </c>
      <c r="Q219" s="35" t="str">
        <f>VLOOKUP(P219,Key!$E$2:$F$9,2,FALSE)</f>
        <v>Commercial</v>
      </c>
      <c r="R219" s="38" t="s">
        <v>168</v>
      </c>
      <c r="S219" s="33" t="s">
        <v>161</v>
      </c>
      <c r="T219" s="38" t="s">
        <v>159</v>
      </c>
      <c r="U219" s="33">
        <v>4</v>
      </c>
      <c r="V219" s="35" t="str">
        <f>VLOOKUP(U219,Key!$E$2:$F$9,2,FALSE)</f>
        <v>Commercial</v>
      </c>
      <c r="W219" s="35" t="str">
        <f>Q219&amp;"-"&amp;V219</f>
        <v>Commercial-Commercial</v>
      </c>
      <c r="X219" s="51">
        <v>200000</v>
      </c>
      <c r="Y219" s="39">
        <v>390</v>
      </c>
      <c r="Z219" s="39">
        <v>4</v>
      </c>
      <c r="AA219" s="33">
        <v>5</v>
      </c>
      <c r="AB219" s="35" t="str">
        <f>VLOOKUP(AA219,Key!$C$20:$D$29,2,FALSE)</f>
        <v>Professional</v>
      </c>
      <c r="AC219" s="33">
        <v>3</v>
      </c>
      <c r="AD219" s="35" t="str">
        <f>VLOOKUP(AC219,Key!$E$20:$F$24,2,FALSE)</f>
        <v>500,000-750,000</v>
      </c>
      <c r="AE219" s="33">
        <v>1</v>
      </c>
      <c r="AF219" s="39">
        <v>1</v>
      </c>
      <c r="AG219" s="39">
        <v>1</v>
      </c>
      <c r="AH219" s="39">
        <v>1</v>
      </c>
      <c r="AI219" s="39">
        <v>1</v>
      </c>
      <c r="AJ219" s="40" t="s">
        <v>160</v>
      </c>
      <c r="AK219" s="41">
        <v>5000</v>
      </c>
      <c r="AL219" s="25"/>
      <c r="AM219" s="25"/>
    </row>
    <row r="220" spans="2:39" x14ac:dyDescent="0.2">
      <c r="B220" s="50" t="s">
        <v>239</v>
      </c>
      <c r="C220" s="36">
        <v>0.56805555555555554</v>
      </c>
      <c r="D220" s="36" t="s">
        <v>289</v>
      </c>
      <c r="E220" s="36" t="s">
        <v>173</v>
      </c>
      <c r="F220" s="38">
        <v>2</v>
      </c>
      <c r="G220" s="43" t="str">
        <f>VLOOKUP(F220,Key!$A$17:$B$21,2,FALSE)</f>
        <v>Road Vehicle</v>
      </c>
      <c r="H220" s="37">
        <v>6</v>
      </c>
      <c r="I220" s="44" t="str">
        <f>VLOOKUP(H220,Key!$A$2:$B$13,2,FALSE)</f>
        <v>Large Bus</v>
      </c>
      <c r="J220" s="38" t="s">
        <v>174</v>
      </c>
      <c r="K220" s="38">
        <v>3</v>
      </c>
      <c r="L220" s="45" t="str">
        <f>VLOOKUP(K220,Key!$A$24:$B$29,2,FALSE)</f>
        <v>40-49</v>
      </c>
      <c r="M220" s="38" t="s">
        <v>168</v>
      </c>
      <c r="N220" s="33" t="s">
        <v>161</v>
      </c>
      <c r="O220" s="38" t="s">
        <v>159</v>
      </c>
      <c r="P220" s="40">
        <v>2</v>
      </c>
      <c r="Q220" s="35" t="str">
        <f>VLOOKUP(P220,Key!$E$2:$F$9,2,FALSE)</f>
        <v>Work</v>
      </c>
      <c r="R220" s="38" t="s">
        <v>192</v>
      </c>
      <c r="S220" s="33" t="s">
        <v>193</v>
      </c>
      <c r="T220" s="38" t="s">
        <v>159</v>
      </c>
      <c r="U220" s="33">
        <v>2</v>
      </c>
      <c r="V220" s="35" t="str">
        <f>VLOOKUP(U220,Key!$E$2:$F$9,2,FALSE)</f>
        <v>Work</v>
      </c>
      <c r="W220" s="35" t="str">
        <f>Q220&amp;"-"&amp;V220</f>
        <v>Work-Work</v>
      </c>
      <c r="X220" s="51">
        <v>100000</v>
      </c>
      <c r="Y220" s="39">
        <v>270</v>
      </c>
      <c r="Z220" s="39">
        <v>3</v>
      </c>
      <c r="AA220" s="33">
        <v>5</v>
      </c>
      <c r="AB220" s="35" t="str">
        <f>VLOOKUP(AA220,Key!$C$20:$D$29,2,FALSE)</f>
        <v>Professional</v>
      </c>
      <c r="AC220" s="33">
        <v>2</v>
      </c>
      <c r="AD220" s="35" t="str">
        <f>VLOOKUP(AC220,Key!$E$20:$F$24,2,FALSE)</f>
        <v>300,000-500,000</v>
      </c>
      <c r="AE220" s="33">
        <v>5</v>
      </c>
      <c r="AF220" s="39">
        <v>5</v>
      </c>
      <c r="AG220" s="39">
        <v>4</v>
      </c>
      <c r="AH220" s="39">
        <v>2</v>
      </c>
      <c r="AI220" s="39">
        <v>2</v>
      </c>
      <c r="AJ220" s="40" t="s">
        <v>160</v>
      </c>
      <c r="AK220" s="41">
        <v>2000</v>
      </c>
      <c r="AL220" s="25"/>
      <c r="AM220" s="25"/>
    </row>
    <row r="221" spans="2:39" x14ac:dyDescent="0.2">
      <c r="B221" s="50" t="s">
        <v>239</v>
      </c>
      <c r="C221" s="36">
        <v>0.5</v>
      </c>
      <c r="D221" s="36" t="s">
        <v>297</v>
      </c>
      <c r="E221" s="36" t="s">
        <v>173</v>
      </c>
      <c r="F221" s="38">
        <v>2</v>
      </c>
      <c r="G221" s="43" t="str">
        <f>VLOOKUP(F221,Key!$A$17:$B$21,2,FALSE)</f>
        <v>Road Vehicle</v>
      </c>
      <c r="H221" s="37">
        <v>6</v>
      </c>
      <c r="I221" s="44" t="str">
        <f>VLOOKUP(H221,Key!$A$2:$B$13,2,FALSE)</f>
        <v>Large Bus</v>
      </c>
      <c r="J221" s="38" t="s">
        <v>174</v>
      </c>
      <c r="K221" s="38">
        <v>3</v>
      </c>
      <c r="L221" s="45" t="str">
        <f>VLOOKUP(K221,Key!$A$24:$B$29,2,FALSE)</f>
        <v>40-49</v>
      </c>
      <c r="M221" s="38" t="s">
        <v>168</v>
      </c>
      <c r="N221" s="33" t="s">
        <v>161</v>
      </c>
      <c r="O221" s="38" t="s">
        <v>159</v>
      </c>
      <c r="P221" s="40">
        <v>2</v>
      </c>
      <c r="Q221" s="35" t="str">
        <f>VLOOKUP(P221,Key!$E$2:$F$9,2,FALSE)</f>
        <v>Work</v>
      </c>
      <c r="R221" s="38" t="s">
        <v>171</v>
      </c>
      <c r="S221" s="33" t="s">
        <v>172</v>
      </c>
      <c r="T221" s="38" t="s">
        <v>159</v>
      </c>
      <c r="U221" s="33">
        <v>8</v>
      </c>
      <c r="V221" s="35" t="str">
        <f>VLOOKUP(U221,Key!$E$2:$F$9,2,FALSE)</f>
        <v>Others</v>
      </c>
      <c r="W221" s="35" t="str">
        <f>Q221&amp;"-"&amp;V221</f>
        <v>Work-Others</v>
      </c>
      <c r="X221" s="51">
        <v>150000</v>
      </c>
      <c r="Y221" s="39">
        <v>390</v>
      </c>
      <c r="Z221" s="39">
        <v>4.5</v>
      </c>
      <c r="AA221" s="33">
        <v>5</v>
      </c>
      <c r="AB221" s="35" t="str">
        <f>VLOOKUP(AA221,Key!$C$20:$D$29,2,FALSE)</f>
        <v>Professional</v>
      </c>
      <c r="AC221" s="33">
        <v>2</v>
      </c>
      <c r="AD221" s="35" t="str">
        <f>VLOOKUP(AC221,Key!$E$20:$F$24,2,FALSE)</f>
        <v>300,000-500,000</v>
      </c>
      <c r="AE221" s="33">
        <v>5</v>
      </c>
      <c r="AF221" s="39">
        <v>5</v>
      </c>
      <c r="AG221" s="39">
        <v>2</v>
      </c>
      <c r="AH221" s="39">
        <v>2</v>
      </c>
      <c r="AI221" s="39">
        <v>2</v>
      </c>
      <c r="AJ221" s="40" t="s">
        <v>160</v>
      </c>
      <c r="AK221" s="41">
        <v>2000</v>
      </c>
      <c r="AL221" s="25"/>
      <c r="AM221" s="25"/>
    </row>
    <row r="222" spans="2:39" x14ac:dyDescent="0.2">
      <c r="B222" s="50" t="s">
        <v>239</v>
      </c>
      <c r="C222" s="36">
        <v>0.3611111111111111</v>
      </c>
      <c r="D222" s="36" t="s">
        <v>212</v>
      </c>
      <c r="E222" s="36" t="s">
        <v>173</v>
      </c>
      <c r="F222" s="38">
        <v>2</v>
      </c>
      <c r="G222" s="43" t="str">
        <f>VLOOKUP(F222,Key!$A$17:$B$21,2,FALSE)</f>
        <v>Road Vehicle</v>
      </c>
      <c r="H222" s="37">
        <v>6</v>
      </c>
      <c r="I222" s="44" t="str">
        <f>VLOOKUP(H222,Key!$A$2:$B$13,2,FALSE)</f>
        <v>Large Bus</v>
      </c>
      <c r="J222" s="38" t="s">
        <v>174</v>
      </c>
      <c r="K222" s="38">
        <v>3</v>
      </c>
      <c r="L222" s="45" t="str">
        <f>VLOOKUP(K222,Key!$A$24:$B$29,2,FALSE)</f>
        <v>40-49</v>
      </c>
      <c r="M222" s="38" t="s">
        <v>362</v>
      </c>
      <c r="N222" s="33" t="s">
        <v>245</v>
      </c>
      <c r="O222" s="38" t="s">
        <v>159</v>
      </c>
      <c r="P222" s="40">
        <v>2</v>
      </c>
      <c r="Q222" s="35" t="str">
        <f>VLOOKUP(P222,Key!$E$2:$F$9,2,FALSE)</f>
        <v>Work</v>
      </c>
      <c r="R222" s="38" t="s">
        <v>171</v>
      </c>
      <c r="S222" s="33" t="s">
        <v>172</v>
      </c>
      <c r="T222" s="38" t="s">
        <v>159</v>
      </c>
      <c r="U222" s="33">
        <v>8</v>
      </c>
      <c r="V222" s="35" t="str">
        <f>VLOOKUP(U222,Key!$E$2:$F$9,2,FALSE)</f>
        <v>Others</v>
      </c>
      <c r="W222" s="35" t="str">
        <f>Q222&amp;"-"&amp;V222</f>
        <v>Work-Others</v>
      </c>
      <c r="X222" s="51">
        <v>150000</v>
      </c>
      <c r="Y222" s="39">
        <v>150</v>
      </c>
      <c r="Z222" s="39">
        <v>4</v>
      </c>
      <c r="AA222" s="33">
        <v>10</v>
      </c>
      <c r="AB222" s="35" t="str">
        <f>VLOOKUP(AA222,Key!$C$20:$D$29,2,FALSE)</f>
        <v>Other</v>
      </c>
      <c r="AC222" s="33">
        <v>2</v>
      </c>
      <c r="AD222" s="35" t="str">
        <f>VLOOKUP(AC222,Key!$E$20:$F$24,2,FALSE)</f>
        <v>300,000-500,000</v>
      </c>
      <c r="AE222" s="33">
        <v>5</v>
      </c>
      <c r="AF222" s="39">
        <v>4</v>
      </c>
      <c r="AG222" s="39">
        <v>2</v>
      </c>
      <c r="AH222" s="39">
        <v>2</v>
      </c>
      <c r="AI222" s="39">
        <v>2</v>
      </c>
      <c r="AJ222" s="40" t="s">
        <v>160</v>
      </c>
      <c r="AK222" s="41">
        <v>3000</v>
      </c>
      <c r="AL222" s="25"/>
      <c r="AM222" s="25"/>
    </row>
    <row r="223" spans="2:39" x14ac:dyDescent="0.2">
      <c r="B223" s="50" t="s">
        <v>239</v>
      </c>
      <c r="C223" s="36">
        <v>0.60416666666666663</v>
      </c>
      <c r="D223" s="36" t="s">
        <v>313</v>
      </c>
      <c r="E223" s="36" t="s">
        <v>173</v>
      </c>
      <c r="F223" s="38">
        <v>2</v>
      </c>
      <c r="G223" s="43" t="str">
        <f>VLOOKUP(F223,Key!$A$17:$B$21,2,FALSE)</f>
        <v>Road Vehicle</v>
      </c>
      <c r="H223" s="37">
        <v>6</v>
      </c>
      <c r="I223" s="44" t="str">
        <f>VLOOKUP(H223,Key!$A$2:$B$13,2,FALSE)</f>
        <v>Large Bus</v>
      </c>
      <c r="J223" s="38" t="s">
        <v>174</v>
      </c>
      <c r="K223" s="38">
        <v>3</v>
      </c>
      <c r="L223" s="45" t="str">
        <f>VLOOKUP(K223,Key!$A$24:$B$29,2,FALSE)</f>
        <v>40-49</v>
      </c>
      <c r="M223" s="38" t="s">
        <v>168</v>
      </c>
      <c r="N223" s="33" t="s">
        <v>161</v>
      </c>
      <c r="O223" s="38" t="s">
        <v>159</v>
      </c>
      <c r="P223" s="40">
        <v>2</v>
      </c>
      <c r="Q223" s="35" t="str">
        <f>VLOOKUP(P223,Key!$E$2:$F$9,2,FALSE)</f>
        <v>Work</v>
      </c>
      <c r="R223" s="38" t="s">
        <v>314</v>
      </c>
      <c r="S223" s="33" t="s">
        <v>315</v>
      </c>
      <c r="T223" s="38" t="s">
        <v>159</v>
      </c>
      <c r="U223" s="33">
        <v>2</v>
      </c>
      <c r="V223" s="35" t="str">
        <f>VLOOKUP(U223,Key!$E$2:$F$9,2,FALSE)</f>
        <v>Work</v>
      </c>
      <c r="W223" s="35" t="str">
        <f>Q223&amp;"-"&amp;V223</f>
        <v>Work-Work</v>
      </c>
      <c r="X223" s="51">
        <v>100000</v>
      </c>
      <c r="Y223" s="39">
        <v>90</v>
      </c>
      <c r="Z223" s="39">
        <v>2</v>
      </c>
      <c r="AA223" s="33">
        <v>5</v>
      </c>
      <c r="AB223" s="35" t="str">
        <f>VLOOKUP(AA223,Key!$C$20:$D$29,2,FALSE)</f>
        <v>Professional</v>
      </c>
      <c r="AC223" s="33">
        <v>2</v>
      </c>
      <c r="AD223" s="35" t="str">
        <f>VLOOKUP(AC223,Key!$E$20:$F$24,2,FALSE)</f>
        <v>300,000-500,000</v>
      </c>
      <c r="AE223" s="33">
        <v>5</v>
      </c>
      <c r="AF223" s="39">
        <v>4</v>
      </c>
      <c r="AG223" s="39">
        <v>2</v>
      </c>
      <c r="AH223" s="39">
        <v>2</v>
      </c>
      <c r="AI223" s="39">
        <v>2</v>
      </c>
      <c r="AJ223" s="40" t="s">
        <v>160</v>
      </c>
      <c r="AK223" s="41">
        <v>2000</v>
      </c>
      <c r="AL223" s="25"/>
      <c r="AM223" s="25"/>
    </row>
    <row r="224" spans="2:39" x14ac:dyDescent="0.2">
      <c r="B224" s="50" t="s">
        <v>239</v>
      </c>
      <c r="C224" s="36">
        <v>0.6958333333333333</v>
      </c>
      <c r="D224" s="36" t="s">
        <v>212</v>
      </c>
      <c r="E224" s="36" t="s">
        <v>173</v>
      </c>
      <c r="F224" s="38">
        <v>2</v>
      </c>
      <c r="G224" s="43" t="str">
        <f>VLOOKUP(F224,Key!$A$17:$B$21,2,FALSE)</f>
        <v>Road Vehicle</v>
      </c>
      <c r="H224" s="37">
        <v>6</v>
      </c>
      <c r="I224" s="44" t="str">
        <f>VLOOKUP(H224,Key!$A$2:$B$13,2,FALSE)</f>
        <v>Large Bus</v>
      </c>
      <c r="J224" s="38" t="s">
        <v>174</v>
      </c>
      <c r="K224" s="38">
        <v>3</v>
      </c>
      <c r="L224" s="45" t="str">
        <f>VLOOKUP(K224,Key!$A$24:$B$29,2,FALSE)</f>
        <v>40-49</v>
      </c>
      <c r="M224" s="38" t="s">
        <v>168</v>
      </c>
      <c r="N224" s="33" t="s">
        <v>161</v>
      </c>
      <c r="O224" s="38" t="s">
        <v>159</v>
      </c>
      <c r="P224" s="40">
        <v>2</v>
      </c>
      <c r="Q224" s="35" t="str">
        <f>VLOOKUP(P224,Key!$E$2:$F$9,2,FALSE)</f>
        <v>Work</v>
      </c>
      <c r="R224" s="38" t="s">
        <v>317</v>
      </c>
      <c r="S224" s="33" t="s">
        <v>316</v>
      </c>
      <c r="T224" s="38" t="s">
        <v>159</v>
      </c>
      <c r="U224" s="33">
        <v>8</v>
      </c>
      <c r="V224" s="35" t="str">
        <f>VLOOKUP(U224,Key!$E$2:$F$9,2,FALSE)</f>
        <v>Others</v>
      </c>
      <c r="W224" s="35" t="str">
        <f>Q224&amp;"-"&amp;V224</f>
        <v>Work-Others</v>
      </c>
      <c r="X224" s="51">
        <v>150000</v>
      </c>
      <c r="Y224" s="39">
        <v>270</v>
      </c>
      <c r="Z224" s="39">
        <v>3</v>
      </c>
      <c r="AA224" s="33">
        <v>5</v>
      </c>
      <c r="AB224" s="35" t="str">
        <f>VLOOKUP(AA224,Key!$C$20:$D$29,2,FALSE)</f>
        <v>Professional</v>
      </c>
      <c r="AC224" s="33">
        <v>2</v>
      </c>
      <c r="AD224" s="35" t="str">
        <f>VLOOKUP(AC224,Key!$E$20:$F$24,2,FALSE)</f>
        <v>300,000-500,000</v>
      </c>
      <c r="AE224" s="33">
        <v>5</v>
      </c>
      <c r="AF224" s="39">
        <v>2</v>
      </c>
      <c r="AG224" s="39">
        <v>5</v>
      </c>
      <c r="AH224" s="39">
        <v>5</v>
      </c>
      <c r="AI224" s="39">
        <v>5</v>
      </c>
      <c r="AJ224" s="40" t="s">
        <v>160</v>
      </c>
      <c r="AK224" s="41">
        <v>2000</v>
      </c>
      <c r="AL224" s="25"/>
      <c r="AM224" s="25"/>
    </row>
    <row r="225" spans="1:39" x14ac:dyDescent="0.2">
      <c r="B225" s="50" t="s">
        <v>239</v>
      </c>
      <c r="C225" s="36">
        <v>0.67569444444444438</v>
      </c>
      <c r="D225" s="36" t="s">
        <v>318</v>
      </c>
      <c r="E225" s="36" t="s">
        <v>173</v>
      </c>
      <c r="F225" s="38">
        <v>2</v>
      </c>
      <c r="G225" s="43" t="str">
        <f>VLOOKUP(F225,Key!$A$17:$B$21,2,FALSE)</f>
        <v>Road Vehicle</v>
      </c>
      <c r="H225" s="37">
        <v>6</v>
      </c>
      <c r="I225" s="44" t="str">
        <f>VLOOKUP(H225,Key!$A$2:$B$13,2,FALSE)</f>
        <v>Large Bus</v>
      </c>
      <c r="J225" s="38" t="s">
        <v>174</v>
      </c>
      <c r="K225" s="38">
        <v>3</v>
      </c>
      <c r="L225" s="45" t="str">
        <f>VLOOKUP(K225,Key!$A$24:$B$29,2,FALSE)</f>
        <v>40-49</v>
      </c>
      <c r="M225" s="38" t="s">
        <v>168</v>
      </c>
      <c r="N225" s="33" t="s">
        <v>161</v>
      </c>
      <c r="O225" s="38" t="s">
        <v>159</v>
      </c>
      <c r="P225" s="40">
        <v>2</v>
      </c>
      <c r="Q225" s="35" t="str">
        <f>VLOOKUP(P225,Key!$E$2:$F$9,2,FALSE)</f>
        <v>Work</v>
      </c>
      <c r="R225" s="38" t="s">
        <v>246</v>
      </c>
      <c r="S225" s="33" t="s">
        <v>247</v>
      </c>
      <c r="T225" s="38" t="s">
        <v>159</v>
      </c>
      <c r="U225" s="33">
        <v>2</v>
      </c>
      <c r="V225" s="35" t="str">
        <f>VLOOKUP(U225,Key!$E$2:$F$9,2,FALSE)</f>
        <v>Work</v>
      </c>
      <c r="W225" s="35" t="str">
        <f>Q225&amp;"-"&amp;V225</f>
        <v>Work-Work</v>
      </c>
      <c r="X225" s="51">
        <v>200000</v>
      </c>
      <c r="Y225" s="39">
        <v>330</v>
      </c>
      <c r="Z225" s="39">
        <v>4</v>
      </c>
      <c r="AA225" s="33">
        <v>10</v>
      </c>
      <c r="AB225" s="35" t="str">
        <f>VLOOKUP(AA225,Key!$C$20:$D$29,2,FALSE)</f>
        <v>Other</v>
      </c>
      <c r="AC225" s="33">
        <v>2</v>
      </c>
      <c r="AD225" s="35" t="str">
        <f>VLOOKUP(AC225,Key!$E$20:$F$24,2,FALSE)</f>
        <v>300,000-500,000</v>
      </c>
      <c r="AE225" s="33">
        <v>5</v>
      </c>
      <c r="AF225" s="39">
        <v>4</v>
      </c>
      <c r="AG225" s="39">
        <v>5</v>
      </c>
      <c r="AH225" s="39">
        <v>5</v>
      </c>
      <c r="AI225" s="39">
        <v>5</v>
      </c>
      <c r="AJ225" s="40" t="s">
        <v>160</v>
      </c>
      <c r="AK225" s="41">
        <v>1000</v>
      </c>
      <c r="AL225" s="25"/>
      <c r="AM225" s="25"/>
    </row>
    <row r="226" spans="1:39" x14ac:dyDescent="0.2">
      <c r="B226" s="50" t="s">
        <v>239</v>
      </c>
      <c r="C226" s="36">
        <v>0.63750000000000007</v>
      </c>
      <c r="D226" s="36" t="s">
        <v>320</v>
      </c>
      <c r="E226" s="36" t="s">
        <v>173</v>
      </c>
      <c r="F226" s="38">
        <v>2</v>
      </c>
      <c r="G226" s="43" t="str">
        <f>VLOOKUP(F226,Key!$A$17:$B$21,2,FALSE)</f>
        <v>Road Vehicle</v>
      </c>
      <c r="H226" s="37">
        <v>6</v>
      </c>
      <c r="I226" s="44" t="str">
        <f>VLOOKUP(H226,Key!$A$2:$B$13,2,FALSE)</f>
        <v>Large Bus</v>
      </c>
      <c r="J226" s="38" t="s">
        <v>174</v>
      </c>
      <c r="K226" s="38">
        <v>3</v>
      </c>
      <c r="L226" s="45" t="str">
        <f>VLOOKUP(K226,Key!$A$24:$B$29,2,FALSE)</f>
        <v>40-49</v>
      </c>
      <c r="M226" s="38" t="s">
        <v>168</v>
      </c>
      <c r="N226" s="33" t="s">
        <v>161</v>
      </c>
      <c r="O226" s="38" t="s">
        <v>159</v>
      </c>
      <c r="P226" s="40">
        <v>2</v>
      </c>
      <c r="Q226" s="35" t="str">
        <f>VLOOKUP(P226,Key!$E$2:$F$9,2,FALSE)</f>
        <v>Work</v>
      </c>
      <c r="R226" s="38" t="s">
        <v>185</v>
      </c>
      <c r="S226" s="33" t="s">
        <v>186</v>
      </c>
      <c r="T226" s="38" t="s">
        <v>159</v>
      </c>
      <c r="U226" s="33">
        <v>2</v>
      </c>
      <c r="V226" s="35" t="str">
        <f>VLOOKUP(U226,Key!$E$2:$F$9,2,FALSE)</f>
        <v>Work</v>
      </c>
      <c r="W226" s="35" t="str">
        <f>Q226&amp;"-"&amp;V226</f>
        <v>Work-Work</v>
      </c>
      <c r="X226" s="51">
        <v>100000</v>
      </c>
      <c r="Y226" s="39">
        <v>135</v>
      </c>
      <c r="Z226" s="39">
        <v>2.5</v>
      </c>
      <c r="AA226" s="33">
        <v>5</v>
      </c>
      <c r="AB226" s="35" t="str">
        <f>VLOOKUP(AA226,Key!$C$20:$D$29,2,FALSE)</f>
        <v>Professional</v>
      </c>
      <c r="AC226" s="33">
        <v>2</v>
      </c>
      <c r="AD226" s="35" t="str">
        <f>VLOOKUP(AC226,Key!$E$20:$F$24,2,FALSE)</f>
        <v>300,000-500,000</v>
      </c>
      <c r="AE226" s="33">
        <v>2</v>
      </c>
      <c r="AF226" s="39">
        <v>4</v>
      </c>
      <c r="AG226" s="39">
        <v>2</v>
      </c>
      <c r="AH226" s="39">
        <v>1</v>
      </c>
      <c r="AI226" s="39">
        <v>1</v>
      </c>
      <c r="AJ226" s="40" t="s">
        <v>160</v>
      </c>
      <c r="AK226" s="41">
        <v>0</v>
      </c>
      <c r="AL226" s="25"/>
      <c r="AM226" s="25"/>
    </row>
    <row r="227" spans="1:39" x14ac:dyDescent="0.2">
      <c r="B227" s="50" t="s">
        <v>321</v>
      </c>
      <c r="C227" s="36">
        <v>0.4069444444444445</v>
      </c>
      <c r="D227" s="36"/>
      <c r="E227" s="36" t="s">
        <v>173</v>
      </c>
      <c r="F227" s="38">
        <v>2</v>
      </c>
      <c r="G227" s="43" t="str">
        <f>VLOOKUP(F227,Key!$A$17:$B$21,2,FALSE)</f>
        <v>Road Vehicle</v>
      </c>
      <c r="H227" s="37">
        <v>6</v>
      </c>
      <c r="I227" s="44" t="str">
        <f>VLOOKUP(H227,Key!$A$2:$B$13,2,FALSE)</f>
        <v>Large Bus</v>
      </c>
      <c r="J227" s="38" t="s">
        <v>174</v>
      </c>
      <c r="K227" s="38">
        <v>3</v>
      </c>
      <c r="L227" s="45" t="str">
        <f>VLOOKUP(K227,Key!$A$24:$B$29,2,FALSE)</f>
        <v>40-49</v>
      </c>
      <c r="M227" s="38" t="s">
        <v>244</v>
      </c>
      <c r="N227" s="33" t="s">
        <v>245</v>
      </c>
      <c r="O227" s="38" t="s">
        <v>159</v>
      </c>
      <c r="P227" s="40">
        <v>4</v>
      </c>
      <c r="Q227" s="35" t="str">
        <f>VLOOKUP(P227,Key!$E$2:$F$9,2,FALSE)</f>
        <v>Commercial</v>
      </c>
      <c r="R227" s="38" t="s">
        <v>168</v>
      </c>
      <c r="S227" s="33" t="s">
        <v>161</v>
      </c>
      <c r="T227" s="38" t="s">
        <v>159</v>
      </c>
      <c r="U227" s="33">
        <v>4</v>
      </c>
      <c r="V227" s="35" t="str">
        <f>VLOOKUP(U227,Key!$E$2:$F$9,2,FALSE)</f>
        <v>Commercial</v>
      </c>
      <c r="W227" s="35" t="str">
        <f>Q227&amp;"-"&amp;V227</f>
        <v>Commercial-Commercial</v>
      </c>
      <c r="X227" s="51">
        <v>50000</v>
      </c>
      <c r="Y227" s="39">
        <v>47</v>
      </c>
      <c r="Z227" s="39">
        <v>2</v>
      </c>
      <c r="AA227" s="33">
        <v>5</v>
      </c>
      <c r="AB227" s="35" t="str">
        <f>VLOOKUP(AA227,Key!$C$20:$D$29,2,FALSE)</f>
        <v>Professional</v>
      </c>
      <c r="AC227" s="33">
        <v>3</v>
      </c>
      <c r="AD227" s="35" t="str">
        <f>VLOOKUP(AC227,Key!$E$20:$F$24,2,FALSE)</f>
        <v>500,000-750,000</v>
      </c>
      <c r="AE227" s="33">
        <v>1</v>
      </c>
      <c r="AF227" s="39">
        <v>5</v>
      </c>
      <c r="AG227" s="39">
        <v>5</v>
      </c>
      <c r="AH227" s="39">
        <v>5</v>
      </c>
      <c r="AI227" s="39">
        <v>5</v>
      </c>
      <c r="AJ227" s="40" t="s">
        <v>160</v>
      </c>
      <c r="AK227" s="41">
        <v>2000</v>
      </c>
      <c r="AL227" s="25"/>
      <c r="AM227" s="25"/>
    </row>
    <row r="228" spans="1:39" x14ac:dyDescent="0.2">
      <c r="B228" s="50" t="s">
        <v>321</v>
      </c>
      <c r="C228" s="36">
        <v>0.41319444444444442</v>
      </c>
      <c r="D228" s="36" t="s">
        <v>222</v>
      </c>
      <c r="E228" s="36" t="s">
        <v>173</v>
      </c>
      <c r="F228" s="38">
        <v>2</v>
      </c>
      <c r="G228" s="43" t="str">
        <f>VLOOKUP(F228,Key!$A$17:$B$21,2,FALSE)</f>
        <v>Road Vehicle</v>
      </c>
      <c r="H228" s="37">
        <v>6</v>
      </c>
      <c r="I228" s="44" t="str">
        <f>VLOOKUP(H228,Key!$A$2:$B$13,2,FALSE)</f>
        <v>Large Bus</v>
      </c>
      <c r="J228" s="38" t="s">
        <v>174</v>
      </c>
      <c r="K228" s="38">
        <v>3</v>
      </c>
      <c r="L228" s="45" t="str">
        <f>VLOOKUP(K228,Key!$A$24:$B$29,2,FALSE)</f>
        <v>40-49</v>
      </c>
      <c r="M228" s="38" t="s">
        <v>342</v>
      </c>
      <c r="N228" s="33" t="s">
        <v>361</v>
      </c>
      <c r="O228" s="38" t="s">
        <v>159</v>
      </c>
      <c r="P228" s="40">
        <v>2</v>
      </c>
      <c r="Q228" s="35" t="str">
        <f>VLOOKUP(P228,Key!$E$2:$F$9,2,FALSE)</f>
        <v>Work</v>
      </c>
      <c r="R228" s="38" t="s">
        <v>171</v>
      </c>
      <c r="S228" s="33" t="s">
        <v>172</v>
      </c>
      <c r="T228" s="38" t="s">
        <v>159</v>
      </c>
      <c r="U228" s="33">
        <v>8</v>
      </c>
      <c r="V228" s="35" t="str">
        <f>VLOOKUP(U228,Key!$E$2:$F$9,2,FALSE)</f>
        <v>Others</v>
      </c>
      <c r="W228" s="35" t="str">
        <f>Q228&amp;"-"&amp;V228</f>
        <v>Work-Others</v>
      </c>
      <c r="X228" s="51">
        <v>200000</v>
      </c>
      <c r="Y228" s="39">
        <v>340</v>
      </c>
      <c r="Z228" s="39">
        <v>6</v>
      </c>
      <c r="AA228" s="33">
        <v>10</v>
      </c>
      <c r="AB228" s="35" t="str">
        <f>VLOOKUP(AA228,Key!$C$20:$D$29,2,FALSE)</f>
        <v>Other</v>
      </c>
      <c r="AC228" s="33">
        <v>2</v>
      </c>
      <c r="AD228" s="35" t="str">
        <f>VLOOKUP(AC228,Key!$E$20:$F$24,2,FALSE)</f>
        <v>300,000-500,000</v>
      </c>
      <c r="AE228" s="33">
        <v>5</v>
      </c>
      <c r="AF228" s="39">
        <v>4</v>
      </c>
      <c r="AG228" s="39">
        <v>5</v>
      </c>
      <c r="AH228" s="39">
        <v>5</v>
      </c>
      <c r="AI228" s="39">
        <v>5</v>
      </c>
      <c r="AJ228" s="40" t="s">
        <v>160</v>
      </c>
      <c r="AK228" s="41">
        <v>3000</v>
      </c>
      <c r="AL228" s="25"/>
      <c r="AM228" s="25"/>
    </row>
    <row r="229" spans="1:39" x14ac:dyDescent="0.2">
      <c r="B229" s="50" t="s">
        <v>321</v>
      </c>
      <c r="C229" s="36">
        <v>0.3888888888888889</v>
      </c>
      <c r="D229" s="36"/>
      <c r="E229" s="36" t="s">
        <v>164</v>
      </c>
      <c r="F229" s="38">
        <v>2</v>
      </c>
      <c r="G229" s="43" t="str">
        <f>VLOOKUP(F229,Key!$A$17:$B$21,2,FALSE)</f>
        <v>Road Vehicle</v>
      </c>
      <c r="H229" s="37">
        <v>6</v>
      </c>
      <c r="I229" s="44" t="str">
        <f>VLOOKUP(H229,Key!$A$2:$B$13,2,FALSE)</f>
        <v>Large Bus</v>
      </c>
      <c r="J229" s="38" t="s">
        <v>174</v>
      </c>
      <c r="K229" s="38">
        <v>3</v>
      </c>
      <c r="L229" s="45" t="str">
        <f>VLOOKUP(K229,Key!$A$24:$B$29,2,FALSE)</f>
        <v>40-49</v>
      </c>
      <c r="M229" s="38" t="s">
        <v>168</v>
      </c>
      <c r="N229" s="33" t="s">
        <v>161</v>
      </c>
      <c r="O229" s="38" t="s">
        <v>159</v>
      </c>
      <c r="P229" s="40">
        <v>2</v>
      </c>
      <c r="Q229" s="35" t="str">
        <f>VLOOKUP(P229,Key!$E$2:$F$9,2,FALSE)</f>
        <v>Work</v>
      </c>
      <c r="R229" s="38" t="s">
        <v>227</v>
      </c>
      <c r="S229" s="33" t="s">
        <v>228</v>
      </c>
      <c r="T229" s="38" t="s">
        <v>159</v>
      </c>
      <c r="U229" s="33">
        <v>8</v>
      </c>
      <c r="V229" s="35" t="str">
        <f>VLOOKUP(U229,Key!$E$2:$F$9,2,FALSE)</f>
        <v>Others</v>
      </c>
      <c r="W229" s="35" t="str">
        <f>Q229&amp;"-"&amp;V229</f>
        <v>Work-Others</v>
      </c>
      <c r="X229" s="51">
        <v>50000</v>
      </c>
      <c r="Y229" s="39">
        <v>600</v>
      </c>
      <c r="Z229" s="39">
        <v>9</v>
      </c>
      <c r="AA229" s="33">
        <v>5</v>
      </c>
      <c r="AB229" s="35" t="str">
        <f>VLOOKUP(AA229,Key!$C$20:$D$29,2,FALSE)</f>
        <v>Professional</v>
      </c>
      <c r="AC229" s="33">
        <v>2</v>
      </c>
      <c r="AD229" s="35" t="str">
        <f>VLOOKUP(AC229,Key!$E$20:$F$24,2,FALSE)</f>
        <v>300,000-500,000</v>
      </c>
      <c r="AE229" s="33">
        <v>5</v>
      </c>
      <c r="AF229" s="39">
        <v>5</v>
      </c>
      <c r="AG229" s="39">
        <v>5</v>
      </c>
      <c r="AH229" s="39">
        <v>5</v>
      </c>
      <c r="AI229" s="39">
        <v>5</v>
      </c>
      <c r="AJ229" s="40" t="s">
        <v>160</v>
      </c>
      <c r="AK229" s="41">
        <v>0</v>
      </c>
      <c r="AL229" s="25"/>
      <c r="AM229" s="25"/>
    </row>
    <row r="230" spans="1:39" x14ac:dyDescent="0.2">
      <c r="B230" s="50" t="s">
        <v>321</v>
      </c>
      <c r="C230" s="36">
        <v>0.35972222222222222</v>
      </c>
      <c r="D230" s="36" t="s">
        <v>345</v>
      </c>
      <c r="E230" s="36" t="s">
        <v>173</v>
      </c>
      <c r="F230" s="38">
        <v>2</v>
      </c>
      <c r="G230" s="43" t="str">
        <f>VLOOKUP(F230,Key!$A$17:$B$21,2,FALSE)</f>
        <v>Road Vehicle</v>
      </c>
      <c r="H230" s="37">
        <v>6</v>
      </c>
      <c r="I230" s="44" t="str">
        <f>VLOOKUP(H230,Key!$A$2:$B$13,2,FALSE)</f>
        <v>Large Bus</v>
      </c>
      <c r="J230" s="38" t="s">
        <v>174</v>
      </c>
      <c r="K230" s="38">
        <v>3</v>
      </c>
      <c r="L230" s="45" t="str">
        <f>VLOOKUP(K230,Key!$A$24:$B$29,2,FALSE)</f>
        <v>40-49</v>
      </c>
      <c r="M230" s="38" t="s">
        <v>168</v>
      </c>
      <c r="N230" s="33" t="s">
        <v>161</v>
      </c>
      <c r="O230" s="38" t="s">
        <v>159</v>
      </c>
      <c r="P230" s="40">
        <v>2</v>
      </c>
      <c r="Q230" s="35" t="str">
        <f>VLOOKUP(P230,Key!$E$2:$F$9,2,FALSE)</f>
        <v>Work</v>
      </c>
      <c r="R230" s="38" t="s">
        <v>259</v>
      </c>
      <c r="S230" s="33" t="s">
        <v>260</v>
      </c>
      <c r="T230" s="38" t="s">
        <v>159</v>
      </c>
      <c r="U230" s="33">
        <v>8</v>
      </c>
      <c r="V230" s="35" t="str">
        <f>VLOOKUP(U230,Key!$E$2:$F$9,2,FALSE)</f>
        <v>Others</v>
      </c>
      <c r="W230" s="35" t="str">
        <f>Q230&amp;"-"&amp;V230</f>
        <v>Work-Others</v>
      </c>
      <c r="X230" s="51">
        <v>200000</v>
      </c>
      <c r="Y230" s="39">
        <v>360</v>
      </c>
      <c r="Z230" s="39">
        <v>6</v>
      </c>
      <c r="AA230" s="33">
        <v>5</v>
      </c>
      <c r="AB230" s="35" t="str">
        <f>VLOOKUP(AA230,Key!$C$20:$D$29,2,FALSE)</f>
        <v>Professional</v>
      </c>
      <c r="AC230" s="33">
        <v>2</v>
      </c>
      <c r="AD230" s="35" t="str">
        <f>VLOOKUP(AC230,Key!$E$20:$F$24,2,FALSE)</f>
        <v>300,000-500,000</v>
      </c>
      <c r="AE230" s="33">
        <v>5</v>
      </c>
      <c r="AF230" s="39">
        <v>4</v>
      </c>
      <c r="AG230" s="39">
        <v>1</v>
      </c>
      <c r="AH230" s="39">
        <v>1</v>
      </c>
      <c r="AI230" s="39">
        <v>2</v>
      </c>
      <c r="AJ230" s="40" t="s">
        <v>160</v>
      </c>
      <c r="AK230" s="41">
        <v>2000</v>
      </c>
      <c r="AL230" s="25"/>
      <c r="AM230" s="25"/>
    </row>
    <row r="231" spans="1:39" x14ac:dyDescent="0.2">
      <c r="B231" s="50" t="s">
        <v>321</v>
      </c>
      <c r="C231" s="36">
        <v>0.34861111111111115</v>
      </c>
      <c r="D231" s="36" t="s">
        <v>347</v>
      </c>
      <c r="E231" s="36" t="s">
        <v>173</v>
      </c>
      <c r="F231" s="38">
        <v>2</v>
      </c>
      <c r="G231" s="43" t="str">
        <f>VLOOKUP(F231,Key!$A$17:$B$21,2,FALSE)</f>
        <v>Road Vehicle</v>
      </c>
      <c r="H231" s="37">
        <v>6</v>
      </c>
      <c r="I231" s="44" t="str">
        <f>VLOOKUP(H231,Key!$A$2:$B$13,2,FALSE)</f>
        <v>Large Bus</v>
      </c>
      <c r="J231" s="38" t="s">
        <v>174</v>
      </c>
      <c r="K231" s="38">
        <v>3</v>
      </c>
      <c r="L231" s="45" t="str">
        <f>VLOOKUP(K231,Key!$A$24:$B$29,2,FALSE)</f>
        <v>40-49</v>
      </c>
      <c r="M231" s="38" t="s">
        <v>168</v>
      </c>
      <c r="N231" s="33" t="s">
        <v>161</v>
      </c>
      <c r="O231" s="38" t="s">
        <v>159</v>
      </c>
      <c r="P231" s="40">
        <v>2</v>
      </c>
      <c r="Q231" s="35" t="str">
        <f>VLOOKUP(P231,Key!$E$2:$F$9,2,FALSE)</f>
        <v>Work</v>
      </c>
      <c r="R231" s="38" t="s">
        <v>230</v>
      </c>
      <c r="S231" s="33" t="s">
        <v>231</v>
      </c>
      <c r="T231" s="38" t="s">
        <v>159</v>
      </c>
      <c r="U231" s="33">
        <v>8</v>
      </c>
      <c r="V231" s="35" t="str">
        <f>VLOOKUP(U231,Key!$E$2:$F$9,2,FALSE)</f>
        <v>Others</v>
      </c>
      <c r="W231" s="35" t="str">
        <f>Q231&amp;"-"&amp;V231</f>
        <v>Work-Others</v>
      </c>
      <c r="X231" s="51">
        <v>20000</v>
      </c>
      <c r="Y231" s="39">
        <v>320</v>
      </c>
      <c r="Z231" s="39">
        <v>5</v>
      </c>
      <c r="AA231" s="33">
        <v>5</v>
      </c>
      <c r="AB231" s="35" t="str">
        <f>VLOOKUP(AA231,Key!$C$20:$D$29,2,FALSE)</f>
        <v>Professional</v>
      </c>
      <c r="AC231" s="33">
        <v>2</v>
      </c>
      <c r="AD231" s="35" t="str">
        <f>VLOOKUP(AC231,Key!$E$20:$F$24,2,FALSE)</f>
        <v>300,000-500,000</v>
      </c>
      <c r="AE231" s="33">
        <v>5</v>
      </c>
      <c r="AF231" s="39">
        <v>4</v>
      </c>
      <c r="AG231" s="39">
        <v>2</v>
      </c>
      <c r="AH231" s="39">
        <v>2</v>
      </c>
      <c r="AI231" s="39">
        <v>2</v>
      </c>
      <c r="AJ231" s="40" t="s">
        <v>160</v>
      </c>
      <c r="AK231" s="41">
        <v>2000</v>
      </c>
      <c r="AL231" s="25"/>
      <c r="AM231" s="25"/>
    </row>
    <row r="232" spans="1:39" x14ac:dyDescent="0.2">
      <c r="B232" s="50" t="s">
        <v>321</v>
      </c>
      <c r="C232" s="36">
        <v>0.30694444444444441</v>
      </c>
      <c r="D232" s="36" t="s">
        <v>356</v>
      </c>
      <c r="E232" s="36" t="s">
        <v>173</v>
      </c>
      <c r="F232" s="38">
        <v>2</v>
      </c>
      <c r="G232" s="43" t="str">
        <f>VLOOKUP(F232,Key!$A$17:$B$21,2,FALSE)</f>
        <v>Road Vehicle</v>
      </c>
      <c r="H232" s="37">
        <v>6</v>
      </c>
      <c r="I232" s="44" t="str">
        <f>VLOOKUP(H232,Key!$A$2:$B$13,2,FALSE)</f>
        <v>Large Bus</v>
      </c>
      <c r="J232" s="38" t="s">
        <v>174</v>
      </c>
      <c r="K232" s="38">
        <v>3</v>
      </c>
      <c r="L232" s="45" t="str">
        <f>VLOOKUP(K232,Key!$A$24:$B$29,2,FALSE)</f>
        <v>40-49</v>
      </c>
      <c r="M232" s="38" t="s">
        <v>169</v>
      </c>
      <c r="N232" s="33" t="s">
        <v>170</v>
      </c>
      <c r="O232" s="38" t="s">
        <v>159</v>
      </c>
      <c r="P232" s="40">
        <v>2</v>
      </c>
      <c r="Q232" s="35" t="str">
        <f>VLOOKUP(P232,Key!$E$2:$F$9,2,FALSE)</f>
        <v>Work</v>
      </c>
      <c r="R232" s="38" t="s">
        <v>171</v>
      </c>
      <c r="S232" s="33" t="s">
        <v>172</v>
      </c>
      <c r="T232" s="38" t="s">
        <v>159</v>
      </c>
      <c r="U232" s="33">
        <v>2</v>
      </c>
      <c r="V232" s="35" t="str">
        <f>VLOOKUP(U232,Key!$E$2:$F$9,2,FALSE)</f>
        <v>Work</v>
      </c>
      <c r="W232" s="35" t="str">
        <f>Q232&amp;"-"&amp;V232</f>
        <v>Work-Work</v>
      </c>
      <c r="X232" s="51">
        <v>400000</v>
      </c>
      <c r="Y232" s="39">
        <v>480</v>
      </c>
      <c r="Z232" s="39">
        <v>13</v>
      </c>
      <c r="AA232" s="33">
        <v>5</v>
      </c>
      <c r="AB232" s="35" t="str">
        <f>VLOOKUP(AA232,Key!$C$20:$D$29,2,FALSE)</f>
        <v>Professional</v>
      </c>
      <c r="AC232" s="33">
        <v>5</v>
      </c>
      <c r="AD232" s="35" t="str">
        <f>VLOOKUP(AC232,Key!$E$20:$F$24,2,FALSE)</f>
        <v>&gt;1,000,000</v>
      </c>
      <c r="AE232" s="33">
        <v>2</v>
      </c>
      <c r="AF232" s="39">
        <v>2</v>
      </c>
      <c r="AG232" s="39">
        <v>1</v>
      </c>
      <c r="AH232" s="39">
        <v>1</v>
      </c>
      <c r="AI232" s="39">
        <v>2</v>
      </c>
      <c r="AJ232" s="40" t="s">
        <v>160</v>
      </c>
      <c r="AK232" s="41">
        <v>5000</v>
      </c>
      <c r="AL232" s="25"/>
      <c r="AM232" s="25"/>
    </row>
    <row r="233" spans="1:39" x14ac:dyDescent="0.2">
      <c r="B233" s="50" t="s">
        <v>163</v>
      </c>
      <c r="C233" s="36">
        <v>0.67638888888888893</v>
      </c>
      <c r="D233" s="36" t="s">
        <v>195</v>
      </c>
      <c r="E233" s="36" t="s">
        <v>173</v>
      </c>
      <c r="F233" s="38">
        <v>2</v>
      </c>
      <c r="G233" s="43" t="str">
        <f>VLOOKUP(F233,Key!$A$17:$B$21,2,FALSE)</f>
        <v>Road Vehicle</v>
      </c>
      <c r="H233" s="37">
        <v>7</v>
      </c>
      <c r="I233" s="44" t="str">
        <f>VLOOKUP(H233,Key!$A$2:$B$13,2,FALSE)</f>
        <v xml:space="preserve">Light Truck </v>
      </c>
      <c r="J233" s="38" t="s">
        <v>174</v>
      </c>
      <c r="K233" s="38">
        <v>3</v>
      </c>
      <c r="L233" s="45" t="str">
        <f>VLOOKUP(K233,Key!$A$24:$B$29,2,FALSE)</f>
        <v>40-49</v>
      </c>
      <c r="M233" s="38" t="s">
        <v>169</v>
      </c>
      <c r="N233" s="33" t="s">
        <v>170</v>
      </c>
      <c r="O233" s="38" t="s">
        <v>159</v>
      </c>
      <c r="P233" s="40">
        <v>2</v>
      </c>
      <c r="Q233" s="35" t="str">
        <f>VLOOKUP(P233,Key!$E$2:$F$9,2,FALSE)</f>
        <v>Work</v>
      </c>
      <c r="R233" s="38" t="s">
        <v>185</v>
      </c>
      <c r="S233" s="33" t="s">
        <v>186</v>
      </c>
      <c r="T233" s="38" t="s">
        <v>159</v>
      </c>
      <c r="U233" s="33">
        <v>4</v>
      </c>
      <c r="V233" s="35" t="str">
        <f>VLOOKUP(U233,Key!$E$2:$F$9,2,FALSE)</f>
        <v>Commercial</v>
      </c>
      <c r="W233" s="35" t="str">
        <f>Q233&amp;"-"&amp;V233</f>
        <v>Work-Commercial</v>
      </c>
      <c r="X233" s="51">
        <v>160000</v>
      </c>
      <c r="Y233" s="39">
        <v>224</v>
      </c>
      <c r="Z233" s="39">
        <v>5</v>
      </c>
      <c r="AA233" s="33">
        <v>7</v>
      </c>
      <c r="AB233" s="35" t="str">
        <f>VLOOKUP(AA233,Key!$C$20:$D$29,2,FALSE)</f>
        <v>Farmer</v>
      </c>
      <c r="AC233" s="33">
        <v>5</v>
      </c>
      <c r="AD233" s="35" t="str">
        <f>VLOOKUP(AC233,Key!$E$20:$F$24,2,FALSE)</f>
        <v>&gt;1,000,000</v>
      </c>
      <c r="AE233" s="33">
        <v>3</v>
      </c>
      <c r="AF233" s="39">
        <v>3</v>
      </c>
      <c r="AG233" s="39">
        <v>2</v>
      </c>
      <c r="AH233" s="39">
        <v>3</v>
      </c>
      <c r="AI233" s="39">
        <v>3</v>
      </c>
      <c r="AJ233" s="40" t="s">
        <v>160</v>
      </c>
      <c r="AK233" s="41">
        <v>4000</v>
      </c>
      <c r="AL233" s="25"/>
      <c r="AM233" s="25"/>
    </row>
    <row r="234" spans="1:39" x14ac:dyDescent="0.2">
      <c r="B234" s="50" t="s">
        <v>163</v>
      </c>
      <c r="C234" s="36">
        <v>0.65486111111111112</v>
      </c>
      <c r="D234" s="36"/>
      <c r="E234" s="36" t="s">
        <v>164</v>
      </c>
      <c r="F234" s="38">
        <v>2</v>
      </c>
      <c r="G234" s="43" t="str">
        <f>VLOOKUP(F234,Key!$A$17:$B$21,2,FALSE)</f>
        <v>Road Vehicle</v>
      </c>
      <c r="H234" s="37">
        <v>5</v>
      </c>
      <c r="I234" s="44" t="str">
        <f>VLOOKUP(H234,Key!$A$2:$B$13,2,FALSE)</f>
        <v xml:space="preserve">Medium bus </v>
      </c>
      <c r="J234" s="38" t="s">
        <v>174</v>
      </c>
      <c r="K234" s="38">
        <v>3</v>
      </c>
      <c r="L234" s="45" t="str">
        <f>VLOOKUP(K234,Key!$A$24:$B$29,2,FALSE)</f>
        <v>40-49</v>
      </c>
      <c r="M234" s="38" t="s">
        <v>169</v>
      </c>
      <c r="N234" s="33" t="s">
        <v>170</v>
      </c>
      <c r="O234" s="38" t="s">
        <v>159</v>
      </c>
      <c r="P234" s="40">
        <v>2</v>
      </c>
      <c r="Q234" s="35" t="str">
        <f>VLOOKUP(P234,Key!$E$2:$F$9,2,FALSE)</f>
        <v>Work</v>
      </c>
      <c r="R234" s="38" t="s">
        <v>168</v>
      </c>
      <c r="S234" s="33" t="s">
        <v>161</v>
      </c>
      <c r="T234" s="38" t="s">
        <v>159</v>
      </c>
      <c r="U234" s="33">
        <v>2</v>
      </c>
      <c r="V234" s="35" t="str">
        <f>VLOOKUP(U234,Key!$E$2:$F$9,2,FALSE)</f>
        <v>Work</v>
      </c>
      <c r="W234" s="35" t="str">
        <f>Q234&amp;"-"&amp;V234</f>
        <v>Work-Work</v>
      </c>
      <c r="X234" s="51">
        <v>7000</v>
      </c>
      <c r="Y234" s="39">
        <v>70</v>
      </c>
      <c r="Z234" s="39">
        <v>1</v>
      </c>
      <c r="AA234" s="33">
        <v>4</v>
      </c>
      <c r="AB234" s="35" t="str">
        <f>VLOOKUP(AA234,Key!$C$20:$D$29,2,FALSE)</f>
        <v>Office Worker</v>
      </c>
      <c r="AC234" s="33">
        <v>4</v>
      </c>
      <c r="AD234" s="35" t="str">
        <f>VLOOKUP(AC234,Key!$E$20:$F$24,2,FALSE)</f>
        <v>750,000-1,000,000</v>
      </c>
      <c r="AE234" s="33">
        <v>2</v>
      </c>
      <c r="AF234" s="39">
        <v>2</v>
      </c>
      <c r="AG234" s="39">
        <v>2</v>
      </c>
      <c r="AH234" s="39">
        <v>3</v>
      </c>
      <c r="AI234" s="39">
        <v>4</v>
      </c>
      <c r="AJ234" s="40" t="s">
        <v>160</v>
      </c>
      <c r="AK234" s="41">
        <v>3000</v>
      </c>
      <c r="AL234" s="25"/>
      <c r="AM234" s="25"/>
    </row>
    <row r="235" spans="1:39" x14ac:dyDescent="0.2">
      <c r="B235" s="50" t="s">
        <v>163</v>
      </c>
      <c r="C235" s="36">
        <v>0.68472222222222223</v>
      </c>
      <c r="D235" s="36" t="s">
        <v>191</v>
      </c>
      <c r="E235" s="36" t="s">
        <v>173</v>
      </c>
      <c r="F235" s="38">
        <v>2</v>
      </c>
      <c r="G235" s="43" t="str">
        <f>VLOOKUP(F235,Key!$A$17:$B$21,2,FALSE)</f>
        <v>Road Vehicle</v>
      </c>
      <c r="H235" s="37">
        <v>8</v>
      </c>
      <c r="I235" s="44" t="str">
        <f>VLOOKUP(H235,Key!$A$2:$B$13,2,FALSE)</f>
        <v xml:space="preserve">Medium Truck </v>
      </c>
      <c r="J235" s="38" t="s">
        <v>174</v>
      </c>
      <c r="K235" s="38">
        <v>3</v>
      </c>
      <c r="L235" s="45" t="str">
        <f>VLOOKUP(K235,Key!$A$24:$B$29,2,FALSE)</f>
        <v>40-49</v>
      </c>
      <c r="M235" s="38" t="s">
        <v>169</v>
      </c>
      <c r="N235" s="33" t="s">
        <v>170</v>
      </c>
      <c r="O235" s="38" t="s">
        <v>159</v>
      </c>
      <c r="P235" s="40">
        <v>4</v>
      </c>
      <c r="Q235" s="35" t="str">
        <f>VLOOKUP(P235,Key!$E$2:$F$9,2,FALSE)</f>
        <v>Commercial</v>
      </c>
      <c r="R235" s="38" t="s">
        <v>192</v>
      </c>
      <c r="S235" s="33" t="s">
        <v>193</v>
      </c>
      <c r="T235" s="38" t="s">
        <v>159</v>
      </c>
      <c r="U235" s="33">
        <v>4</v>
      </c>
      <c r="V235" s="35" t="str">
        <f>VLOOKUP(U235,Key!$E$2:$F$9,2,FALSE)</f>
        <v>Commercial</v>
      </c>
      <c r="W235" s="35" t="str">
        <f>Q235&amp;"-"&amp;V235</f>
        <v>Commercial-Commercial</v>
      </c>
      <c r="X235" s="51">
        <v>260000</v>
      </c>
      <c r="Y235" s="39">
        <v>359</v>
      </c>
      <c r="Z235" s="39">
        <v>6</v>
      </c>
      <c r="AA235" s="33">
        <v>6</v>
      </c>
      <c r="AB235" s="35" t="str">
        <f>VLOOKUP(AA235,Key!$C$20:$D$29,2,FALSE)</f>
        <v>Businessman</v>
      </c>
      <c r="AC235" s="33">
        <v>3</v>
      </c>
      <c r="AD235" s="35" t="str">
        <f>VLOOKUP(AC235,Key!$E$20:$F$24,2,FALSE)</f>
        <v>500,000-750,000</v>
      </c>
      <c r="AE235" s="33">
        <v>2</v>
      </c>
      <c r="AF235" s="39">
        <v>2</v>
      </c>
      <c r="AG235" s="39">
        <v>2</v>
      </c>
      <c r="AH235" s="39">
        <v>4</v>
      </c>
      <c r="AI235" s="39">
        <v>3</v>
      </c>
      <c r="AJ235" s="40" t="s">
        <v>160</v>
      </c>
      <c r="AK235" s="41">
        <v>0</v>
      </c>
      <c r="AL235" s="25"/>
      <c r="AM235" s="25"/>
    </row>
    <row r="236" spans="1:39" x14ac:dyDescent="0.2">
      <c r="B236" s="50" t="s">
        <v>163</v>
      </c>
      <c r="C236" s="36">
        <v>0.65555555555555556</v>
      </c>
      <c r="D236" s="36"/>
      <c r="E236" s="36" t="s">
        <v>164</v>
      </c>
      <c r="F236" s="38">
        <v>2</v>
      </c>
      <c r="G236" s="43" t="str">
        <f>VLOOKUP(F236,Key!$A$17:$B$21,2,FALSE)</f>
        <v>Road Vehicle</v>
      </c>
      <c r="H236" s="37">
        <v>4</v>
      </c>
      <c r="I236" s="44" t="str">
        <f>VLOOKUP(H236,Key!$A$2:$B$13,2,FALSE)</f>
        <v>Minibus</v>
      </c>
      <c r="J236" s="38" t="s">
        <v>165</v>
      </c>
      <c r="K236" s="38">
        <v>3</v>
      </c>
      <c r="L236" s="45" t="str">
        <f>VLOOKUP(K236,Key!$A$24:$B$29,2,FALSE)</f>
        <v>40-49</v>
      </c>
      <c r="M236" s="38" t="s">
        <v>168</v>
      </c>
      <c r="N236" s="33" t="s">
        <v>161</v>
      </c>
      <c r="O236" s="38" t="s">
        <v>159</v>
      </c>
      <c r="P236" s="40">
        <v>1</v>
      </c>
      <c r="Q236" s="35" t="str">
        <f>VLOOKUP(P236,Key!$E$2:$F$9,2,FALSE)</f>
        <v>Home</v>
      </c>
      <c r="R236" s="38" t="s">
        <v>183</v>
      </c>
      <c r="S236" s="33" t="s">
        <v>184</v>
      </c>
      <c r="T236" s="38" t="s">
        <v>159</v>
      </c>
      <c r="U236" s="33">
        <v>4</v>
      </c>
      <c r="V236" s="35" t="str">
        <f>VLOOKUP(U236,Key!$E$2:$F$9,2,FALSE)</f>
        <v>Commercial</v>
      </c>
      <c r="W236" s="35" t="str">
        <f>Q236&amp;"-"&amp;V236</f>
        <v>Home-Commercial</v>
      </c>
      <c r="X236" s="51">
        <v>10000</v>
      </c>
      <c r="Y236" s="39">
        <v>96</v>
      </c>
      <c r="Z236" s="39">
        <v>2</v>
      </c>
      <c r="AA236" s="33">
        <v>1</v>
      </c>
      <c r="AB236" s="35" t="str">
        <f>VLOOKUP(AA236,Key!$C$20:$D$29,2,FALSE)</f>
        <v>Unemployed</v>
      </c>
      <c r="AC236" s="33">
        <v>2</v>
      </c>
      <c r="AD236" s="35" t="str">
        <f>VLOOKUP(AC236,Key!$E$20:$F$24,2,FALSE)</f>
        <v>300,000-500,000</v>
      </c>
      <c r="AE236" s="33">
        <v>1</v>
      </c>
      <c r="AF236" s="39">
        <v>1</v>
      </c>
      <c r="AG236" s="39">
        <v>1</v>
      </c>
      <c r="AH236" s="39">
        <v>1</v>
      </c>
      <c r="AI236" s="39">
        <v>1</v>
      </c>
      <c r="AJ236" s="40" t="s">
        <v>160</v>
      </c>
      <c r="AK236" s="41">
        <v>1000</v>
      </c>
      <c r="AL236" s="25"/>
      <c r="AM236" s="25"/>
    </row>
    <row r="237" spans="1:39" x14ac:dyDescent="0.2">
      <c r="B237" s="50" t="s">
        <v>239</v>
      </c>
      <c r="C237" s="36">
        <v>0.36944444444444446</v>
      </c>
      <c r="D237" s="36"/>
      <c r="E237" s="36" t="s">
        <v>164</v>
      </c>
      <c r="F237" s="38">
        <v>2</v>
      </c>
      <c r="G237" s="43" t="str">
        <f>VLOOKUP(F237,Key!$A$17:$B$21,2,FALSE)</f>
        <v>Road Vehicle</v>
      </c>
      <c r="H237" s="37">
        <v>4</v>
      </c>
      <c r="I237" s="44" t="str">
        <f>VLOOKUP(H237,Key!$A$2:$B$13,2,FALSE)</f>
        <v>Minibus</v>
      </c>
      <c r="J237" s="38" t="s">
        <v>165</v>
      </c>
      <c r="K237" s="38">
        <v>3</v>
      </c>
      <c r="L237" s="45" t="str">
        <f>VLOOKUP(K237,Key!$A$24:$B$29,2,FALSE)</f>
        <v>40-49</v>
      </c>
      <c r="M237" s="38" t="s">
        <v>168</v>
      </c>
      <c r="N237" s="33" t="s">
        <v>161</v>
      </c>
      <c r="O237" s="38" t="s">
        <v>159</v>
      </c>
      <c r="P237" s="40">
        <v>1</v>
      </c>
      <c r="Q237" s="35" t="str">
        <f>VLOOKUP(P237,Key!$E$2:$F$9,2,FALSE)</f>
        <v>Home</v>
      </c>
      <c r="R237" s="38" t="s">
        <v>227</v>
      </c>
      <c r="S237" s="33" t="s">
        <v>228</v>
      </c>
      <c r="T237" s="38" t="s">
        <v>159</v>
      </c>
      <c r="U237" s="33">
        <v>4</v>
      </c>
      <c r="V237" s="35" t="str">
        <f>VLOOKUP(U237,Key!$E$2:$F$9,2,FALSE)</f>
        <v>Commercial</v>
      </c>
      <c r="W237" s="35" t="str">
        <f>Q237&amp;"-"&amp;V237</f>
        <v>Home-Commercial</v>
      </c>
      <c r="X237" s="51">
        <v>50000</v>
      </c>
      <c r="Y237" s="39">
        <v>360</v>
      </c>
      <c r="Z237" s="39">
        <v>6</v>
      </c>
      <c r="AA237" s="33">
        <v>5</v>
      </c>
      <c r="AB237" s="35" t="str">
        <f>VLOOKUP(AA237,Key!$C$20:$D$29,2,FALSE)</f>
        <v>Professional</v>
      </c>
      <c r="AC237" s="33">
        <v>2</v>
      </c>
      <c r="AD237" s="35" t="str">
        <f>VLOOKUP(AC237,Key!$E$20:$F$24,2,FALSE)</f>
        <v>300,000-500,000</v>
      </c>
      <c r="AE237" s="33">
        <v>5</v>
      </c>
      <c r="AF237" s="39">
        <v>5</v>
      </c>
      <c r="AG237" s="39">
        <v>5</v>
      </c>
      <c r="AH237" s="39">
        <v>5</v>
      </c>
      <c r="AI237" s="39">
        <v>5</v>
      </c>
      <c r="AJ237" s="40" t="s">
        <v>160</v>
      </c>
      <c r="AK237" s="41">
        <v>4000</v>
      </c>
      <c r="AL237" s="25"/>
      <c r="AM237" s="25"/>
    </row>
    <row r="238" spans="1:39" x14ac:dyDescent="0.2">
      <c r="A238" s="10"/>
      <c r="B238" s="50" t="s">
        <v>239</v>
      </c>
      <c r="C238" s="36">
        <v>0.43541666666666662</v>
      </c>
      <c r="D238" s="36"/>
      <c r="E238" s="36" t="s">
        <v>164</v>
      </c>
      <c r="F238" s="38">
        <v>2</v>
      </c>
      <c r="G238" s="43" t="str">
        <f>VLOOKUP(F238,Key!$A$17:$B$21,2,FALSE)</f>
        <v>Road Vehicle</v>
      </c>
      <c r="H238" s="37">
        <v>4</v>
      </c>
      <c r="I238" s="44" t="str">
        <f>VLOOKUP(H238,Key!$A$2:$B$13,2,FALSE)</f>
        <v>Minibus</v>
      </c>
      <c r="J238" s="38" t="s">
        <v>165</v>
      </c>
      <c r="K238" s="38">
        <v>3</v>
      </c>
      <c r="L238" s="45" t="str">
        <f>VLOOKUP(K238,Key!$A$24:$B$29,2,FALSE)</f>
        <v>40-49</v>
      </c>
      <c r="M238" s="38" t="s">
        <v>168</v>
      </c>
      <c r="N238" s="33" t="s">
        <v>161</v>
      </c>
      <c r="O238" s="38" t="s">
        <v>159</v>
      </c>
      <c r="P238" s="40">
        <v>1</v>
      </c>
      <c r="Q238" s="35" t="str">
        <f>VLOOKUP(P238,Key!$E$2:$F$9,2,FALSE)</f>
        <v>Home</v>
      </c>
      <c r="R238" s="38" t="s">
        <v>256</v>
      </c>
      <c r="S238" s="33" t="s">
        <v>193</v>
      </c>
      <c r="T238" s="38" t="s">
        <v>159</v>
      </c>
      <c r="U238" s="33">
        <v>6</v>
      </c>
      <c r="V238" s="35" t="str">
        <f>VLOOKUP(U238,Key!$E$2:$F$9,2,FALSE)</f>
        <v>Leisure/Social</v>
      </c>
      <c r="W238" s="35" t="str">
        <f>Q238&amp;"-"&amp;V238</f>
        <v>Home-Leisure/Social</v>
      </c>
      <c r="X238" s="51">
        <v>20000</v>
      </c>
      <c r="Y238" s="39">
        <v>200</v>
      </c>
      <c r="Z238" s="39">
        <v>3</v>
      </c>
      <c r="AA238" s="33">
        <v>1</v>
      </c>
      <c r="AB238" s="35" t="str">
        <f>VLOOKUP(AA238,Key!$C$20:$D$29,2,FALSE)</f>
        <v>Unemployed</v>
      </c>
      <c r="AC238" s="33">
        <v>1</v>
      </c>
      <c r="AD238" s="35" t="str">
        <f>VLOOKUP(AC238,Key!$E$20:$F$24,2,FALSE)</f>
        <v>&lt;300,000</v>
      </c>
      <c r="AE238" s="33">
        <v>1</v>
      </c>
      <c r="AF238" s="39">
        <v>1</v>
      </c>
      <c r="AG238" s="39">
        <v>1</v>
      </c>
      <c r="AH238" s="39">
        <v>1</v>
      </c>
      <c r="AI238" s="39">
        <v>1</v>
      </c>
      <c r="AJ238" s="40" t="s">
        <v>160</v>
      </c>
      <c r="AK238" s="41">
        <v>0</v>
      </c>
      <c r="AL238" s="25"/>
      <c r="AM238" s="25"/>
    </row>
    <row r="239" spans="1:39" x14ac:dyDescent="0.2">
      <c r="B239" s="50" t="s">
        <v>239</v>
      </c>
      <c r="C239" s="36">
        <v>0.76180555555555562</v>
      </c>
      <c r="D239" s="36" t="s">
        <v>283</v>
      </c>
      <c r="E239" s="36" t="s">
        <v>173</v>
      </c>
      <c r="F239" s="38">
        <v>2</v>
      </c>
      <c r="G239" s="43" t="str">
        <f>VLOOKUP(F239,Key!$A$17:$B$21,2,FALSE)</f>
        <v>Road Vehicle</v>
      </c>
      <c r="H239" s="37">
        <v>4</v>
      </c>
      <c r="I239" s="44" t="str">
        <f>VLOOKUP(H239,Key!$A$2:$B$13,2,FALSE)</f>
        <v>Minibus</v>
      </c>
      <c r="J239" s="38" t="s">
        <v>165</v>
      </c>
      <c r="K239" s="38">
        <v>3</v>
      </c>
      <c r="L239" s="45" t="str">
        <f>VLOOKUP(K239,Key!$A$24:$B$29,2,FALSE)</f>
        <v>40-49</v>
      </c>
      <c r="M239" s="38" t="s">
        <v>200</v>
      </c>
      <c r="N239" s="33" t="s">
        <v>161</v>
      </c>
      <c r="O239" s="38" t="s">
        <v>159</v>
      </c>
      <c r="P239" s="40">
        <v>1</v>
      </c>
      <c r="Q239" s="35" t="str">
        <f>VLOOKUP(P239,Key!$E$2:$F$9,2,FALSE)</f>
        <v>Home</v>
      </c>
      <c r="R239" s="38" t="s">
        <v>168</v>
      </c>
      <c r="S239" s="33" t="s">
        <v>161</v>
      </c>
      <c r="T239" s="38" t="s">
        <v>159</v>
      </c>
      <c r="U239" s="33">
        <v>2</v>
      </c>
      <c r="V239" s="35" t="str">
        <f>VLOOKUP(U239,Key!$E$2:$F$9,2,FALSE)</f>
        <v>Work</v>
      </c>
      <c r="W239" s="35" t="str">
        <f>Q239&amp;"-"&amp;V239</f>
        <v>Home-Work</v>
      </c>
      <c r="X239" s="51">
        <v>10000</v>
      </c>
      <c r="Y239" s="39">
        <v>3</v>
      </c>
      <c r="Z239" s="39">
        <v>0.28000000000000003</v>
      </c>
      <c r="AA239" s="33">
        <v>4</v>
      </c>
      <c r="AB239" s="35" t="str">
        <f>VLOOKUP(AA239,Key!$C$20:$D$29,2,FALSE)</f>
        <v>Office Worker</v>
      </c>
      <c r="AC239" s="33">
        <v>3</v>
      </c>
      <c r="AD239" s="35" t="str">
        <f>VLOOKUP(AC239,Key!$E$20:$F$24,2,FALSE)</f>
        <v>500,000-750,000</v>
      </c>
      <c r="AE239" s="33">
        <v>1</v>
      </c>
      <c r="AF239" s="39">
        <v>1</v>
      </c>
      <c r="AG239" s="39">
        <v>1</v>
      </c>
      <c r="AH239" s="39">
        <v>1</v>
      </c>
      <c r="AI239" s="39">
        <v>1</v>
      </c>
      <c r="AJ239" s="40" t="s">
        <v>160</v>
      </c>
      <c r="AK239" s="41">
        <v>2000</v>
      </c>
      <c r="AL239" s="25"/>
      <c r="AM239" s="25"/>
    </row>
    <row r="240" spans="1:39" x14ac:dyDescent="0.2">
      <c r="A240" s="10"/>
      <c r="B240" s="50" t="s">
        <v>239</v>
      </c>
      <c r="C240" s="36">
        <v>0.78055555555555556</v>
      </c>
      <c r="D240" s="36"/>
      <c r="E240" s="36" t="s">
        <v>164</v>
      </c>
      <c r="F240" s="38">
        <v>2</v>
      </c>
      <c r="G240" s="43" t="str">
        <f>VLOOKUP(F240,Key!$A$17:$B$21,2,FALSE)</f>
        <v>Road Vehicle</v>
      </c>
      <c r="H240" s="37">
        <v>4</v>
      </c>
      <c r="I240" s="44" t="str">
        <f>VLOOKUP(H240,Key!$A$2:$B$13,2,FALSE)</f>
        <v>Minibus</v>
      </c>
      <c r="J240" s="38" t="s">
        <v>165</v>
      </c>
      <c r="K240" s="38">
        <v>3</v>
      </c>
      <c r="L240" s="45" t="str">
        <f>VLOOKUP(K240,Key!$A$24:$B$29,2,FALSE)</f>
        <v>40-49</v>
      </c>
      <c r="M240" s="38" t="s">
        <v>168</v>
      </c>
      <c r="N240" s="33" t="s">
        <v>161</v>
      </c>
      <c r="O240" s="38" t="s">
        <v>159</v>
      </c>
      <c r="P240" s="40">
        <v>1</v>
      </c>
      <c r="Q240" s="35" t="str">
        <f>VLOOKUP(P240,Key!$E$2:$F$9,2,FALSE)</f>
        <v>Home</v>
      </c>
      <c r="R240" s="38" t="s">
        <v>262</v>
      </c>
      <c r="S240" s="33" t="s">
        <v>263</v>
      </c>
      <c r="T240" s="38" t="s">
        <v>159</v>
      </c>
      <c r="U240" s="33">
        <v>1</v>
      </c>
      <c r="V240" s="35" t="str">
        <f>VLOOKUP(U240,Key!$E$2:$F$9,2,FALSE)</f>
        <v>Home</v>
      </c>
      <c r="W240" s="35" t="str">
        <f>Q240&amp;"-"&amp;V240</f>
        <v>Home-Home</v>
      </c>
      <c r="X240" s="51">
        <v>25000</v>
      </c>
      <c r="Y240" s="39">
        <v>230</v>
      </c>
      <c r="Z240" s="39">
        <v>2</v>
      </c>
      <c r="AA240" s="33">
        <v>2</v>
      </c>
      <c r="AB240" s="35" t="str">
        <f>VLOOKUP(AA240,Key!$C$20:$D$29,2,FALSE)</f>
        <v>Manual Labour</v>
      </c>
      <c r="AC240" s="33">
        <v>2</v>
      </c>
      <c r="AD240" s="35" t="str">
        <f>VLOOKUP(AC240,Key!$E$20:$F$24,2,FALSE)</f>
        <v>300,000-500,000</v>
      </c>
      <c r="AE240" s="33">
        <v>1</v>
      </c>
      <c r="AF240" s="39">
        <v>5</v>
      </c>
      <c r="AG240" s="39">
        <v>5</v>
      </c>
      <c r="AH240" s="39">
        <v>1</v>
      </c>
      <c r="AI240" s="39">
        <v>1</v>
      </c>
      <c r="AJ240" s="40" t="s">
        <v>160</v>
      </c>
      <c r="AK240" s="41">
        <v>2000</v>
      </c>
      <c r="AL240" s="25"/>
      <c r="AM240" s="25"/>
    </row>
    <row r="241" spans="2:39" x14ac:dyDescent="0.2">
      <c r="B241" s="50" t="s">
        <v>321</v>
      </c>
      <c r="C241" s="36">
        <v>0.30833333333333335</v>
      </c>
      <c r="D241" s="36"/>
      <c r="E241" s="36" t="s">
        <v>173</v>
      </c>
      <c r="F241" s="38">
        <v>2</v>
      </c>
      <c r="G241" s="43" t="str">
        <f>VLOOKUP(F241,Key!$A$17:$B$21,2,FALSE)</f>
        <v>Road Vehicle</v>
      </c>
      <c r="H241" s="37">
        <v>4</v>
      </c>
      <c r="I241" s="44" t="str">
        <f>VLOOKUP(H241,Key!$A$2:$B$13,2,FALSE)</f>
        <v>Minibus</v>
      </c>
      <c r="J241" s="38" t="s">
        <v>165</v>
      </c>
      <c r="K241" s="38">
        <v>3</v>
      </c>
      <c r="L241" s="45" t="str">
        <f>VLOOKUP(K241,Key!$A$24:$B$29,2,FALSE)</f>
        <v>40-49</v>
      </c>
      <c r="M241" s="38" t="s">
        <v>238</v>
      </c>
      <c r="N241" s="33" t="s">
        <v>186</v>
      </c>
      <c r="O241" s="38" t="s">
        <v>159</v>
      </c>
      <c r="P241" s="40">
        <v>1</v>
      </c>
      <c r="Q241" s="35" t="str">
        <f>VLOOKUP(P241,Key!$E$2:$F$9,2,FALSE)</f>
        <v>Home</v>
      </c>
      <c r="R241" s="38" t="s">
        <v>168</v>
      </c>
      <c r="S241" s="33" t="s">
        <v>161</v>
      </c>
      <c r="T241" s="38" t="s">
        <v>159</v>
      </c>
      <c r="U241" s="33">
        <v>4</v>
      </c>
      <c r="V241" s="35" t="str">
        <f>VLOOKUP(U241,Key!$E$2:$F$9,2,FALSE)</f>
        <v>Commercial</v>
      </c>
      <c r="W241" s="35" t="str">
        <f>Q241&amp;"-"&amp;V241</f>
        <v>Home-Commercial</v>
      </c>
      <c r="X241" s="51">
        <v>30000</v>
      </c>
      <c r="Y241" s="39">
        <v>40</v>
      </c>
      <c r="Z241" s="39">
        <v>2</v>
      </c>
      <c r="AA241" s="33">
        <v>2</v>
      </c>
      <c r="AB241" s="35" t="str">
        <f>VLOOKUP(AA241,Key!$C$20:$D$29,2,FALSE)</f>
        <v>Manual Labour</v>
      </c>
      <c r="AC241" s="33">
        <v>2</v>
      </c>
      <c r="AD241" s="35" t="str">
        <f>VLOOKUP(AC241,Key!$E$20:$F$24,2,FALSE)</f>
        <v>300,000-500,000</v>
      </c>
      <c r="AE241" s="33">
        <v>5</v>
      </c>
      <c r="AF241" s="39">
        <v>5</v>
      </c>
      <c r="AG241" s="39">
        <v>5</v>
      </c>
      <c r="AH241" s="39">
        <v>5</v>
      </c>
      <c r="AI241" s="39">
        <v>5</v>
      </c>
      <c r="AJ241" s="40" t="s">
        <v>160</v>
      </c>
      <c r="AK241" s="41">
        <v>1000</v>
      </c>
      <c r="AL241" s="25"/>
      <c r="AM241" s="25"/>
    </row>
    <row r="242" spans="2:39" x14ac:dyDescent="0.2">
      <c r="B242" s="50" t="s">
        <v>321</v>
      </c>
      <c r="C242" s="36">
        <v>0.44305555555555554</v>
      </c>
      <c r="D242" s="36"/>
      <c r="E242" s="36" t="s">
        <v>164</v>
      </c>
      <c r="F242" s="38">
        <v>2</v>
      </c>
      <c r="G242" s="43" t="str">
        <f>VLOOKUP(F242,Key!$A$17:$B$21,2,FALSE)</f>
        <v>Road Vehicle</v>
      </c>
      <c r="H242" s="37">
        <v>4</v>
      </c>
      <c r="I242" s="44" t="str">
        <f>VLOOKUP(H242,Key!$A$2:$B$13,2,FALSE)</f>
        <v>Minibus</v>
      </c>
      <c r="J242" s="38" t="s">
        <v>165</v>
      </c>
      <c r="K242" s="38">
        <v>3</v>
      </c>
      <c r="L242" s="45" t="str">
        <f>VLOOKUP(K242,Key!$A$24:$B$29,2,FALSE)</f>
        <v>40-49</v>
      </c>
      <c r="M242" s="38" t="s">
        <v>274</v>
      </c>
      <c r="N242" s="33" t="s">
        <v>361</v>
      </c>
      <c r="O242" s="38" t="s">
        <v>159</v>
      </c>
      <c r="P242" s="40">
        <v>4</v>
      </c>
      <c r="Q242" s="35" t="str">
        <f>VLOOKUP(P242,Key!$E$2:$F$9,2,FALSE)</f>
        <v>Commercial</v>
      </c>
      <c r="R242" s="38" t="s">
        <v>168</v>
      </c>
      <c r="S242" s="33" t="s">
        <v>161</v>
      </c>
      <c r="T242" s="38" t="s">
        <v>159</v>
      </c>
      <c r="U242" s="33">
        <v>4</v>
      </c>
      <c r="V242" s="35" t="str">
        <f>VLOOKUP(U242,Key!$E$2:$F$9,2,FALSE)</f>
        <v>Commercial</v>
      </c>
      <c r="W242" s="35" t="str">
        <f>Q242&amp;"-"&amp;V242</f>
        <v>Commercial-Commercial</v>
      </c>
      <c r="X242" s="51">
        <v>40000</v>
      </c>
      <c r="Y242" s="39">
        <v>420</v>
      </c>
      <c r="Z242" s="39">
        <v>7</v>
      </c>
      <c r="AA242" s="33">
        <v>6</v>
      </c>
      <c r="AB242" s="35" t="str">
        <f>VLOOKUP(AA242,Key!$C$20:$D$29,2,FALSE)</f>
        <v>Businessman</v>
      </c>
      <c r="AC242" s="33">
        <v>3</v>
      </c>
      <c r="AD242" s="35" t="str">
        <f>VLOOKUP(AC242,Key!$E$20:$F$24,2,FALSE)</f>
        <v>500,000-750,000</v>
      </c>
      <c r="AE242" s="33">
        <v>5</v>
      </c>
      <c r="AF242" s="39">
        <v>5</v>
      </c>
      <c r="AG242" s="39">
        <v>5</v>
      </c>
      <c r="AH242" s="39">
        <v>5</v>
      </c>
      <c r="AI242" s="39">
        <v>5</v>
      </c>
      <c r="AJ242" s="40" t="s">
        <v>160</v>
      </c>
      <c r="AK242" s="41">
        <v>3000</v>
      </c>
      <c r="AL242" s="25"/>
      <c r="AM242" s="25"/>
    </row>
    <row r="243" spans="2:39" x14ac:dyDescent="0.2">
      <c r="B243" s="50" t="s">
        <v>321</v>
      </c>
      <c r="C243" s="36">
        <v>0.44722222222222219</v>
      </c>
      <c r="D243" s="36"/>
      <c r="E243" s="36" t="s">
        <v>164</v>
      </c>
      <c r="F243" s="38">
        <v>2</v>
      </c>
      <c r="G243" s="43" t="str">
        <f>VLOOKUP(F243,Key!$A$17:$B$21,2,FALSE)</f>
        <v>Road Vehicle</v>
      </c>
      <c r="H243" s="37">
        <v>4</v>
      </c>
      <c r="I243" s="44" t="str">
        <f>VLOOKUP(H243,Key!$A$2:$B$13,2,FALSE)</f>
        <v>Minibus</v>
      </c>
      <c r="J243" s="38" t="s">
        <v>165</v>
      </c>
      <c r="K243" s="38">
        <v>3</v>
      </c>
      <c r="L243" s="45" t="str">
        <f>VLOOKUP(K243,Key!$A$24:$B$29,2,FALSE)</f>
        <v>40-49</v>
      </c>
      <c r="M243" s="38" t="s">
        <v>168</v>
      </c>
      <c r="N243" s="33" t="s">
        <v>161</v>
      </c>
      <c r="O243" s="38" t="s">
        <v>159</v>
      </c>
      <c r="P243" s="40">
        <v>4</v>
      </c>
      <c r="Q243" s="35" t="str">
        <f>VLOOKUP(P243,Key!$E$2:$F$9,2,FALSE)</f>
        <v>Commercial</v>
      </c>
      <c r="R243" s="38" t="s">
        <v>323</v>
      </c>
      <c r="S243" s="33" t="s">
        <v>324</v>
      </c>
      <c r="T243" s="38" t="s">
        <v>159</v>
      </c>
      <c r="U243" s="33">
        <v>6</v>
      </c>
      <c r="V243" s="35" t="str">
        <f>VLOOKUP(U243,Key!$E$2:$F$9,2,FALSE)</f>
        <v>Leisure/Social</v>
      </c>
      <c r="W243" s="35" t="str">
        <f>Q243&amp;"-"&amp;V243</f>
        <v>Commercial-Leisure/Social</v>
      </c>
      <c r="X243" s="51">
        <v>12000</v>
      </c>
      <c r="Y243" s="39">
        <v>120</v>
      </c>
      <c r="Z243" s="39">
        <v>2</v>
      </c>
      <c r="AA243" s="33">
        <v>5</v>
      </c>
      <c r="AB243" s="35" t="str">
        <f>VLOOKUP(AA243,Key!$C$20:$D$29,2,FALSE)</f>
        <v>Professional</v>
      </c>
      <c r="AC243" s="33">
        <v>2</v>
      </c>
      <c r="AD243" s="35" t="str">
        <f>VLOOKUP(AC243,Key!$E$20:$F$24,2,FALSE)</f>
        <v>300,000-500,000</v>
      </c>
      <c r="AE243" s="33">
        <v>2</v>
      </c>
      <c r="AF243" s="39">
        <v>2</v>
      </c>
      <c r="AG243" s="39">
        <v>5</v>
      </c>
      <c r="AH243" s="39">
        <v>5</v>
      </c>
      <c r="AI243" s="39">
        <v>2</v>
      </c>
      <c r="AJ243" s="40" t="s">
        <v>160</v>
      </c>
      <c r="AK243" s="41">
        <v>0</v>
      </c>
      <c r="AL243" s="25"/>
      <c r="AM243" s="25"/>
    </row>
    <row r="244" spans="2:39" x14ac:dyDescent="0.2">
      <c r="B244" s="50" t="s">
        <v>321</v>
      </c>
      <c r="C244" s="36">
        <v>0.49652777777777773</v>
      </c>
      <c r="D244" s="36"/>
      <c r="E244" s="36" t="s">
        <v>164</v>
      </c>
      <c r="F244" s="38">
        <v>2</v>
      </c>
      <c r="G244" s="43" t="str">
        <f>VLOOKUP(F244,Key!$A$17:$B$21,2,FALSE)</f>
        <v>Road Vehicle</v>
      </c>
      <c r="H244" s="37">
        <v>4</v>
      </c>
      <c r="I244" s="44" t="str">
        <f>VLOOKUP(H244,Key!$A$2:$B$13,2,FALSE)</f>
        <v>Minibus</v>
      </c>
      <c r="J244" s="38" t="s">
        <v>165</v>
      </c>
      <c r="K244" s="38">
        <v>3</v>
      </c>
      <c r="L244" s="45" t="str">
        <f>VLOOKUP(K244,Key!$A$24:$B$29,2,FALSE)</f>
        <v>40-49</v>
      </c>
      <c r="M244" s="38" t="s">
        <v>168</v>
      </c>
      <c r="N244" s="33" t="s">
        <v>161</v>
      </c>
      <c r="O244" s="38" t="s">
        <v>159</v>
      </c>
      <c r="P244" s="40">
        <v>1</v>
      </c>
      <c r="Q244" s="35" t="str">
        <f>VLOOKUP(P244,Key!$E$2:$F$9,2,FALSE)</f>
        <v>Home</v>
      </c>
      <c r="R244" s="38" t="s">
        <v>327</v>
      </c>
      <c r="S244" s="33" t="s">
        <v>328</v>
      </c>
      <c r="T244" s="38" t="s">
        <v>159</v>
      </c>
      <c r="U244" s="33">
        <v>4</v>
      </c>
      <c r="V244" s="35" t="str">
        <f>VLOOKUP(U244,Key!$E$2:$F$9,2,FALSE)</f>
        <v>Commercial</v>
      </c>
      <c r="W244" s="35" t="str">
        <f>Q244&amp;"-"&amp;V244</f>
        <v>Home-Commercial</v>
      </c>
      <c r="X244" s="51">
        <v>3000</v>
      </c>
      <c r="Y244" s="39">
        <v>47</v>
      </c>
      <c r="Z244" s="39">
        <v>0.78</v>
      </c>
      <c r="AA244" s="33">
        <v>6</v>
      </c>
      <c r="AB244" s="35" t="str">
        <f>VLOOKUP(AA244,Key!$C$20:$D$29,2,FALSE)</f>
        <v>Businessman</v>
      </c>
      <c r="AC244" s="33">
        <v>3</v>
      </c>
      <c r="AD244" s="35" t="str">
        <f>VLOOKUP(AC244,Key!$E$20:$F$24,2,FALSE)</f>
        <v>500,000-750,000</v>
      </c>
      <c r="AE244" s="33">
        <v>1</v>
      </c>
      <c r="AF244" s="39">
        <v>1</v>
      </c>
      <c r="AG244" s="39">
        <v>1</v>
      </c>
      <c r="AH244" s="39">
        <v>1</v>
      </c>
      <c r="AI244" s="39">
        <v>1</v>
      </c>
      <c r="AJ244" s="40" t="s">
        <v>160</v>
      </c>
      <c r="AK244" s="41">
        <v>1000</v>
      </c>
      <c r="AL244" s="25"/>
      <c r="AM244" s="25"/>
    </row>
    <row r="245" spans="2:39" x14ac:dyDescent="0.2">
      <c r="B245" s="50" t="s">
        <v>321</v>
      </c>
      <c r="C245" s="36">
        <v>0.52847222222222223</v>
      </c>
      <c r="D245" s="36"/>
      <c r="E245" s="36" t="s">
        <v>164</v>
      </c>
      <c r="F245" s="38">
        <v>2</v>
      </c>
      <c r="G245" s="43" t="str">
        <f>VLOOKUP(F245,Key!$A$17:$B$21,2,FALSE)</f>
        <v>Road Vehicle</v>
      </c>
      <c r="H245" s="37">
        <v>4</v>
      </c>
      <c r="I245" s="44" t="str">
        <f>VLOOKUP(H245,Key!$A$2:$B$13,2,FALSE)</f>
        <v>Minibus</v>
      </c>
      <c r="J245" s="38" t="s">
        <v>165</v>
      </c>
      <c r="K245" s="38">
        <v>3</v>
      </c>
      <c r="L245" s="45" t="str">
        <f>VLOOKUP(K245,Key!$A$24:$B$29,2,FALSE)</f>
        <v>40-49</v>
      </c>
      <c r="M245" s="38" t="s">
        <v>168</v>
      </c>
      <c r="N245" s="33" t="s">
        <v>161</v>
      </c>
      <c r="O245" s="38" t="s">
        <v>159</v>
      </c>
      <c r="P245" s="40">
        <v>1</v>
      </c>
      <c r="Q245" s="35" t="str">
        <f>VLOOKUP(P245,Key!$E$2:$F$9,2,FALSE)</f>
        <v>Home</v>
      </c>
      <c r="R245" s="38" t="s">
        <v>227</v>
      </c>
      <c r="S245" s="33" t="s">
        <v>228</v>
      </c>
      <c r="T245" s="38" t="s">
        <v>159</v>
      </c>
      <c r="U245" s="33">
        <v>4</v>
      </c>
      <c r="V245" s="35" t="str">
        <f>VLOOKUP(U245,Key!$E$2:$F$9,2,FALSE)</f>
        <v>Commercial</v>
      </c>
      <c r="W245" s="35" t="str">
        <f>Q245&amp;"-"&amp;V245</f>
        <v>Home-Commercial</v>
      </c>
      <c r="X245" s="51">
        <v>50000</v>
      </c>
      <c r="Y245" s="39">
        <v>480</v>
      </c>
      <c r="Z245" s="39">
        <v>7</v>
      </c>
      <c r="AA245" s="33">
        <v>6</v>
      </c>
      <c r="AB245" s="35" t="str">
        <f>VLOOKUP(AA245,Key!$C$20:$D$29,2,FALSE)</f>
        <v>Businessman</v>
      </c>
      <c r="AC245" s="33">
        <v>3</v>
      </c>
      <c r="AD245" s="35" t="str">
        <f>VLOOKUP(AC245,Key!$E$20:$F$24,2,FALSE)</f>
        <v>500,000-750,000</v>
      </c>
      <c r="AE245" s="33">
        <v>5</v>
      </c>
      <c r="AF245" s="39">
        <v>5</v>
      </c>
      <c r="AG245" s="39">
        <v>5</v>
      </c>
      <c r="AH245" s="39">
        <v>5</v>
      </c>
      <c r="AI245" s="39">
        <v>5</v>
      </c>
      <c r="AJ245" s="40" t="s">
        <v>160</v>
      </c>
      <c r="AK245" s="41">
        <v>3000</v>
      </c>
      <c r="AL245" s="25"/>
      <c r="AM245" s="25"/>
    </row>
    <row r="246" spans="2:39" x14ac:dyDescent="0.2">
      <c r="B246" s="50" t="s">
        <v>321</v>
      </c>
      <c r="C246" s="36">
        <v>0.59027777777777779</v>
      </c>
      <c r="D246" s="36"/>
      <c r="E246" s="36" t="s">
        <v>173</v>
      </c>
      <c r="F246" s="38">
        <v>2</v>
      </c>
      <c r="G246" s="43" t="str">
        <f>VLOOKUP(F246,Key!$A$17:$B$21,2,FALSE)</f>
        <v>Road Vehicle</v>
      </c>
      <c r="H246" s="37">
        <v>4</v>
      </c>
      <c r="I246" s="44" t="str">
        <f>VLOOKUP(H246,Key!$A$2:$B$13,2,FALSE)</f>
        <v>Minibus</v>
      </c>
      <c r="J246" s="38" t="s">
        <v>165</v>
      </c>
      <c r="K246" s="38">
        <v>3</v>
      </c>
      <c r="L246" s="45" t="str">
        <f>VLOOKUP(K246,Key!$A$24:$B$29,2,FALSE)</f>
        <v>40-49</v>
      </c>
      <c r="M246" s="38" t="s">
        <v>188</v>
      </c>
      <c r="N246" s="33" t="s">
        <v>161</v>
      </c>
      <c r="O246" s="38" t="s">
        <v>159</v>
      </c>
      <c r="P246" s="40">
        <v>1</v>
      </c>
      <c r="Q246" s="35" t="str">
        <f>VLOOKUP(P246,Key!$E$2:$F$9,2,FALSE)</f>
        <v>Home</v>
      </c>
      <c r="R246" s="38" t="s">
        <v>168</v>
      </c>
      <c r="S246" s="33" t="s">
        <v>161</v>
      </c>
      <c r="T246" s="38" t="s">
        <v>159</v>
      </c>
      <c r="U246" s="33">
        <v>2</v>
      </c>
      <c r="V246" s="35" t="str">
        <f>VLOOKUP(U246,Key!$E$2:$F$9,2,FALSE)</f>
        <v>Work</v>
      </c>
      <c r="W246" s="35" t="str">
        <f>Q246&amp;"-"&amp;V246</f>
        <v>Home-Work</v>
      </c>
      <c r="X246" s="51">
        <v>20000</v>
      </c>
      <c r="Y246" s="39">
        <v>30</v>
      </c>
      <c r="Z246" s="39">
        <v>0.5</v>
      </c>
      <c r="AA246" s="33">
        <v>4</v>
      </c>
      <c r="AB246" s="35" t="str">
        <f>VLOOKUP(AA246,Key!$C$20:$D$29,2,FALSE)</f>
        <v>Office Worker</v>
      </c>
      <c r="AC246" s="33">
        <v>3</v>
      </c>
      <c r="AD246" s="35" t="str">
        <f>VLOOKUP(AC246,Key!$E$20:$F$24,2,FALSE)</f>
        <v>500,000-750,000</v>
      </c>
      <c r="AE246" s="33">
        <v>1</v>
      </c>
      <c r="AF246" s="39">
        <v>1</v>
      </c>
      <c r="AG246" s="39">
        <v>1</v>
      </c>
      <c r="AH246" s="39">
        <v>1</v>
      </c>
      <c r="AI246" s="39">
        <v>1</v>
      </c>
      <c r="AJ246" s="40" t="s">
        <v>160</v>
      </c>
      <c r="AK246" s="41">
        <v>2000</v>
      </c>
      <c r="AL246" s="25"/>
      <c r="AM246" s="25"/>
    </row>
    <row r="247" spans="2:39" x14ac:dyDescent="0.2">
      <c r="B247" s="50" t="s">
        <v>163</v>
      </c>
      <c r="C247" s="36">
        <v>0.63402777777777775</v>
      </c>
      <c r="D247" s="36"/>
      <c r="E247" s="36" t="s">
        <v>164</v>
      </c>
      <c r="F247" s="38">
        <v>2</v>
      </c>
      <c r="G247" s="43" t="str">
        <f>VLOOKUP(F247,Key!$A$17:$B$21,2,FALSE)</f>
        <v>Road Vehicle</v>
      </c>
      <c r="H247" s="37">
        <v>4</v>
      </c>
      <c r="I247" s="44" t="str">
        <f>VLOOKUP(H247,Key!$A$2:$B$13,2,FALSE)</f>
        <v>Minibus</v>
      </c>
      <c r="J247" s="38" t="s">
        <v>174</v>
      </c>
      <c r="K247" s="38">
        <v>3</v>
      </c>
      <c r="L247" s="45" t="str">
        <f>VLOOKUP(K247,Key!$A$24:$B$29,2,FALSE)</f>
        <v>40-49</v>
      </c>
      <c r="M247" s="38" t="s">
        <v>194</v>
      </c>
      <c r="N247" s="33" t="s">
        <v>161</v>
      </c>
      <c r="O247" s="38" t="s">
        <v>159</v>
      </c>
      <c r="P247" s="40">
        <v>1</v>
      </c>
      <c r="Q247" s="35" t="str">
        <f>VLOOKUP(P247,Key!$E$2:$F$9,2,FALSE)</f>
        <v>Home</v>
      </c>
      <c r="R247" s="38" t="s">
        <v>168</v>
      </c>
      <c r="S247" s="33" t="s">
        <v>161</v>
      </c>
      <c r="T247" s="38" t="s">
        <v>159</v>
      </c>
      <c r="U247" s="33">
        <v>4</v>
      </c>
      <c r="V247" s="35" t="str">
        <f>VLOOKUP(U247,Key!$E$2:$F$9,2,FALSE)</f>
        <v>Commercial</v>
      </c>
      <c r="W247" s="35" t="str">
        <f>Q247&amp;"-"&amp;V247</f>
        <v>Home-Commercial</v>
      </c>
      <c r="X247" s="51">
        <v>5000</v>
      </c>
      <c r="Y247" s="39">
        <v>41</v>
      </c>
      <c r="Z247" s="39">
        <v>0.5</v>
      </c>
      <c r="AA247" s="33">
        <v>7</v>
      </c>
      <c r="AB247" s="35" t="str">
        <f>VLOOKUP(AA247,Key!$C$20:$D$29,2,FALSE)</f>
        <v>Farmer</v>
      </c>
      <c r="AC247" s="33">
        <v>2</v>
      </c>
      <c r="AD247" s="35" t="str">
        <f>VLOOKUP(AC247,Key!$E$20:$F$24,2,FALSE)</f>
        <v>300,000-500,000</v>
      </c>
      <c r="AE247" s="33">
        <v>1</v>
      </c>
      <c r="AF247" s="39">
        <v>1</v>
      </c>
      <c r="AG247" s="39">
        <v>1</v>
      </c>
      <c r="AH247" s="39">
        <v>1</v>
      </c>
      <c r="AI247" s="39">
        <v>1</v>
      </c>
      <c r="AJ247" s="40" t="s">
        <v>160</v>
      </c>
      <c r="AK247" s="41">
        <v>0</v>
      </c>
      <c r="AL247" s="25"/>
      <c r="AM247" s="25"/>
    </row>
    <row r="248" spans="2:39" x14ac:dyDescent="0.2">
      <c r="B248" s="50" t="s">
        <v>163</v>
      </c>
      <c r="C248" s="36">
        <v>0.64374999999999993</v>
      </c>
      <c r="D248" s="36"/>
      <c r="E248" s="36" t="s">
        <v>164</v>
      </c>
      <c r="F248" s="38">
        <v>2</v>
      </c>
      <c r="G248" s="43" t="str">
        <f>VLOOKUP(F248,Key!$A$17:$B$21,2,FALSE)</f>
        <v>Road Vehicle</v>
      </c>
      <c r="H248" s="37">
        <v>4</v>
      </c>
      <c r="I248" s="44" t="str">
        <f>VLOOKUP(H248,Key!$A$2:$B$13,2,FALSE)</f>
        <v>Minibus</v>
      </c>
      <c r="J248" s="38" t="s">
        <v>174</v>
      </c>
      <c r="K248" s="38">
        <v>3</v>
      </c>
      <c r="L248" s="45" t="str">
        <f>VLOOKUP(K248,Key!$A$24:$B$29,2,FALSE)</f>
        <v>40-49</v>
      </c>
      <c r="M248" s="38" t="s">
        <v>238</v>
      </c>
      <c r="N248" s="33" t="s">
        <v>161</v>
      </c>
      <c r="O248" s="38" t="s">
        <v>159</v>
      </c>
      <c r="P248" s="40">
        <v>1</v>
      </c>
      <c r="Q248" s="35" t="str">
        <f>VLOOKUP(P248,Key!$E$2:$F$9,2,FALSE)</f>
        <v>Home</v>
      </c>
      <c r="R248" s="38" t="s">
        <v>168</v>
      </c>
      <c r="S248" s="33" t="s">
        <v>161</v>
      </c>
      <c r="T248" s="38" t="s">
        <v>159</v>
      </c>
      <c r="U248" s="33">
        <v>4</v>
      </c>
      <c r="V248" s="35" t="str">
        <f>VLOOKUP(U248,Key!$E$2:$F$9,2,FALSE)</f>
        <v>Commercial</v>
      </c>
      <c r="W248" s="35" t="str">
        <f>Q248&amp;"-"&amp;V248</f>
        <v>Home-Commercial</v>
      </c>
      <c r="X248" s="51">
        <v>15000</v>
      </c>
      <c r="Y248" s="39">
        <v>57</v>
      </c>
      <c r="Z248" s="39">
        <v>2</v>
      </c>
      <c r="AA248" s="33">
        <v>2</v>
      </c>
      <c r="AB248" s="35" t="str">
        <f>VLOOKUP(AA248,Key!$C$20:$D$29,2,FALSE)</f>
        <v>Manual Labour</v>
      </c>
      <c r="AC248" s="33">
        <v>2</v>
      </c>
      <c r="AD248" s="35" t="str">
        <f>VLOOKUP(AC248,Key!$E$20:$F$24,2,FALSE)</f>
        <v>300,000-500,000</v>
      </c>
      <c r="AE248" s="33">
        <v>5</v>
      </c>
      <c r="AF248" s="39">
        <v>5</v>
      </c>
      <c r="AG248" s="39">
        <v>5</v>
      </c>
      <c r="AH248" s="39">
        <v>5</v>
      </c>
      <c r="AI248" s="39">
        <v>5</v>
      </c>
      <c r="AJ248" s="40" t="s">
        <v>160</v>
      </c>
      <c r="AK248" s="41">
        <v>2000</v>
      </c>
      <c r="AL248" s="25"/>
      <c r="AM248" s="25"/>
    </row>
    <row r="249" spans="2:39" x14ac:dyDescent="0.2">
      <c r="B249" s="50" t="s">
        <v>239</v>
      </c>
      <c r="C249" s="36">
        <v>0.39305555555555555</v>
      </c>
      <c r="D249" s="36" t="s">
        <v>248</v>
      </c>
      <c r="E249" s="36" t="s">
        <v>173</v>
      </c>
      <c r="F249" s="38">
        <v>2</v>
      </c>
      <c r="G249" s="43" t="str">
        <f>VLOOKUP(F249,Key!$A$17:$B$21,2,FALSE)</f>
        <v>Road Vehicle</v>
      </c>
      <c r="H249" s="37">
        <v>4</v>
      </c>
      <c r="I249" s="44" t="str">
        <f>VLOOKUP(H249,Key!$A$2:$B$13,2,FALSE)</f>
        <v>Minibus</v>
      </c>
      <c r="J249" s="38" t="s">
        <v>174</v>
      </c>
      <c r="K249" s="38">
        <v>3</v>
      </c>
      <c r="L249" s="45" t="str">
        <f>VLOOKUP(K249,Key!$A$24:$B$29,2,FALSE)</f>
        <v>40-49</v>
      </c>
      <c r="M249" s="38" t="s">
        <v>200</v>
      </c>
      <c r="N249" s="33" t="s">
        <v>161</v>
      </c>
      <c r="O249" s="38" t="s">
        <v>159</v>
      </c>
      <c r="P249" s="40">
        <v>4</v>
      </c>
      <c r="Q249" s="35" t="str">
        <f>VLOOKUP(P249,Key!$E$2:$F$9,2,FALSE)</f>
        <v>Commercial</v>
      </c>
      <c r="R249" s="38" t="s">
        <v>168</v>
      </c>
      <c r="S249" s="33" t="s">
        <v>161</v>
      </c>
      <c r="T249" s="38" t="s">
        <v>159</v>
      </c>
      <c r="U249" s="33">
        <v>4</v>
      </c>
      <c r="V249" s="35" t="str">
        <f>VLOOKUP(U249,Key!$E$2:$F$9,2,FALSE)</f>
        <v>Commercial</v>
      </c>
      <c r="W249" s="35" t="str">
        <f>Q249&amp;"-"&amp;V249</f>
        <v>Commercial-Commercial</v>
      </c>
      <c r="X249" s="51">
        <v>70000</v>
      </c>
      <c r="Y249" s="39">
        <v>3</v>
      </c>
      <c r="Z249" s="39">
        <v>1</v>
      </c>
      <c r="AA249" s="33">
        <v>5</v>
      </c>
      <c r="AB249" s="35" t="str">
        <f>VLOOKUP(AA249,Key!$C$20:$D$29,2,FALSE)</f>
        <v>Professional</v>
      </c>
      <c r="AC249" s="33">
        <v>2</v>
      </c>
      <c r="AD249" s="35" t="str">
        <f>VLOOKUP(AC249,Key!$E$20:$F$24,2,FALSE)</f>
        <v>300,000-500,000</v>
      </c>
      <c r="AE249" s="33">
        <v>5</v>
      </c>
      <c r="AF249" s="39">
        <v>5</v>
      </c>
      <c r="AG249" s="39">
        <v>5</v>
      </c>
      <c r="AH249" s="39">
        <v>5</v>
      </c>
      <c r="AI249" s="39">
        <v>5</v>
      </c>
      <c r="AJ249" s="40" t="s">
        <v>160</v>
      </c>
      <c r="AK249" s="41">
        <v>3000</v>
      </c>
      <c r="AL249" s="25"/>
      <c r="AM249" s="25"/>
    </row>
    <row r="250" spans="2:39" x14ac:dyDescent="0.2">
      <c r="B250" s="50" t="s">
        <v>239</v>
      </c>
      <c r="C250" s="36">
        <v>0.40069444444444446</v>
      </c>
      <c r="D250" s="36" t="s">
        <v>251</v>
      </c>
      <c r="E250" s="36" t="s">
        <v>173</v>
      </c>
      <c r="F250" s="38">
        <v>2</v>
      </c>
      <c r="G250" s="43" t="str">
        <f>VLOOKUP(F250,Key!$A$17:$B$21,2,FALSE)</f>
        <v>Road Vehicle</v>
      </c>
      <c r="H250" s="37">
        <v>4</v>
      </c>
      <c r="I250" s="44" t="str">
        <f>VLOOKUP(H250,Key!$A$2:$B$13,2,FALSE)</f>
        <v>Minibus</v>
      </c>
      <c r="J250" s="38" t="s">
        <v>174</v>
      </c>
      <c r="K250" s="38">
        <v>3</v>
      </c>
      <c r="L250" s="45" t="str">
        <f>VLOOKUP(K250,Key!$A$24:$B$29,2,FALSE)</f>
        <v>40-49</v>
      </c>
      <c r="M250" s="38" t="s">
        <v>200</v>
      </c>
      <c r="N250" s="33" t="s">
        <v>161</v>
      </c>
      <c r="O250" s="38" t="s">
        <v>159</v>
      </c>
      <c r="P250" s="40">
        <v>4</v>
      </c>
      <c r="Q250" s="35" t="str">
        <f>VLOOKUP(P250,Key!$E$2:$F$9,2,FALSE)</f>
        <v>Commercial</v>
      </c>
      <c r="R250" s="38" t="s">
        <v>168</v>
      </c>
      <c r="S250" s="33" t="s">
        <v>161</v>
      </c>
      <c r="T250" s="38" t="s">
        <v>159</v>
      </c>
      <c r="U250" s="33">
        <v>4</v>
      </c>
      <c r="V250" s="35" t="str">
        <f>VLOOKUP(U250,Key!$E$2:$F$9,2,FALSE)</f>
        <v>Commercial</v>
      </c>
      <c r="W250" s="35" t="str">
        <f>Q250&amp;"-"&amp;V250</f>
        <v>Commercial-Commercial</v>
      </c>
      <c r="X250" s="51">
        <v>60000</v>
      </c>
      <c r="Y250" s="39">
        <v>3</v>
      </c>
      <c r="Z250" s="39">
        <v>1</v>
      </c>
      <c r="AA250" s="33">
        <v>5</v>
      </c>
      <c r="AB250" s="35" t="str">
        <f>VLOOKUP(AA250,Key!$C$20:$D$29,2,FALSE)</f>
        <v>Professional</v>
      </c>
      <c r="AC250" s="33">
        <v>2</v>
      </c>
      <c r="AD250" s="35" t="str">
        <f>VLOOKUP(AC250,Key!$E$20:$F$24,2,FALSE)</f>
        <v>300,000-500,000</v>
      </c>
      <c r="AE250" s="33">
        <v>5</v>
      </c>
      <c r="AF250" s="39">
        <v>5</v>
      </c>
      <c r="AG250" s="39">
        <v>1</v>
      </c>
      <c r="AH250" s="39">
        <v>1</v>
      </c>
      <c r="AI250" s="39">
        <v>3</v>
      </c>
      <c r="AJ250" s="40" t="s">
        <v>160</v>
      </c>
      <c r="AK250" s="41">
        <v>500</v>
      </c>
      <c r="AL250" s="25"/>
      <c r="AM250" s="25"/>
    </row>
    <row r="251" spans="2:39" x14ac:dyDescent="0.2">
      <c r="B251" s="50" t="s">
        <v>239</v>
      </c>
      <c r="C251" s="36">
        <v>0.56805555555555554</v>
      </c>
      <c r="D251" s="36" t="s">
        <v>276</v>
      </c>
      <c r="E251" s="36" t="s">
        <v>173</v>
      </c>
      <c r="F251" s="38">
        <v>2</v>
      </c>
      <c r="G251" s="43" t="str">
        <f>VLOOKUP(F251,Key!$A$17:$B$21,2,FALSE)</f>
        <v>Road Vehicle</v>
      </c>
      <c r="H251" s="37">
        <v>4</v>
      </c>
      <c r="I251" s="44" t="str">
        <f>VLOOKUP(H251,Key!$A$2:$B$13,2,FALSE)</f>
        <v>Minibus</v>
      </c>
      <c r="J251" s="38" t="s">
        <v>174</v>
      </c>
      <c r="K251" s="38">
        <v>3</v>
      </c>
      <c r="L251" s="45" t="str">
        <f>VLOOKUP(K251,Key!$A$24:$B$29,2,FALSE)</f>
        <v>40-49</v>
      </c>
      <c r="M251" s="38" t="s">
        <v>168</v>
      </c>
      <c r="N251" s="33" t="s">
        <v>161</v>
      </c>
      <c r="O251" s="38" t="s">
        <v>159</v>
      </c>
      <c r="P251" s="40">
        <v>4</v>
      </c>
      <c r="Q251" s="35" t="str">
        <f>VLOOKUP(P251,Key!$E$2:$F$9,2,FALSE)</f>
        <v>Commercial</v>
      </c>
      <c r="R251" s="38" t="s">
        <v>277</v>
      </c>
      <c r="S251" s="33" t="s">
        <v>161</v>
      </c>
      <c r="T251" s="38" t="s">
        <v>159</v>
      </c>
      <c r="U251" s="33">
        <v>4</v>
      </c>
      <c r="V251" s="35" t="str">
        <f>VLOOKUP(U251,Key!$E$2:$F$9,2,FALSE)</f>
        <v>Commercial</v>
      </c>
      <c r="W251" s="35" t="str">
        <f>Q251&amp;"-"&amp;V251</f>
        <v>Commercial-Commercial</v>
      </c>
      <c r="X251" s="51">
        <v>10000</v>
      </c>
      <c r="Y251" s="39">
        <v>137</v>
      </c>
      <c r="Z251" s="39">
        <v>2</v>
      </c>
      <c r="AA251" s="33">
        <v>5</v>
      </c>
      <c r="AB251" s="35" t="str">
        <f>VLOOKUP(AA251,Key!$C$20:$D$29,2,FALSE)</f>
        <v>Professional</v>
      </c>
      <c r="AC251" s="33">
        <v>2</v>
      </c>
      <c r="AD251" s="35" t="str">
        <f>VLOOKUP(AC251,Key!$E$20:$F$24,2,FALSE)</f>
        <v>300,000-500,000</v>
      </c>
      <c r="AE251" s="33">
        <v>5</v>
      </c>
      <c r="AF251" s="39">
        <v>5</v>
      </c>
      <c r="AG251" s="39">
        <v>1</v>
      </c>
      <c r="AH251" s="39">
        <v>5</v>
      </c>
      <c r="AI251" s="39">
        <v>1</v>
      </c>
      <c r="AJ251" s="40" t="s">
        <v>160</v>
      </c>
      <c r="AK251" s="41">
        <v>2000</v>
      </c>
      <c r="AL251" s="25"/>
      <c r="AM251" s="25"/>
    </row>
    <row r="252" spans="2:39" x14ac:dyDescent="0.2">
      <c r="B252" s="50" t="s">
        <v>239</v>
      </c>
      <c r="C252" s="36">
        <v>0.62291666666666667</v>
      </c>
      <c r="D252" s="36" t="s">
        <v>273</v>
      </c>
      <c r="E252" s="36" t="s">
        <v>173</v>
      </c>
      <c r="F252" s="38">
        <v>2</v>
      </c>
      <c r="G252" s="43" t="str">
        <f>VLOOKUP(F252,Key!$A$17:$B$21,2,FALSE)</f>
        <v>Road Vehicle</v>
      </c>
      <c r="H252" s="37">
        <v>4</v>
      </c>
      <c r="I252" s="44" t="str">
        <f>VLOOKUP(H252,Key!$A$2:$B$13,2,FALSE)</f>
        <v>Minibus</v>
      </c>
      <c r="J252" s="38" t="s">
        <v>174</v>
      </c>
      <c r="K252" s="38">
        <v>3</v>
      </c>
      <c r="L252" s="45" t="str">
        <f>VLOOKUP(K252,Key!$A$24:$B$29,2,FALSE)</f>
        <v>40-49</v>
      </c>
      <c r="M252" s="38"/>
      <c r="N252" s="33"/>
      <c r="O252" s="38" t="s">
        <v>159</v>
      </c>
      <c r="P252" s="40">
        <v>4</v>
      </c>
      <c r="Q252" s="35" t="str">
        <f>VLOOKUP(P252,Key!$E$2:$F$9,2,FALSE)</f>
        <v>Commercial</v>
      </c>
      <c r="R252" s="38"/>
      <c r="S252" s="33"/>
      <c r="T252" s="38" t="s">
        <v>159</v>
      </c>
      <c r="U252" s="33">
        <v>4</v>
      </c>
      <c r="V252" s="35" t="str">
        <f>VLOOKUP(U252,Key!$E$2:$F$9,2,FALSE)</f>
        <v>Commercial</v>
      </c>
      <c r="W252" s="35" t="str">
        <f>Q252&amp;"-"&amp;V252</f>
        <v>Commercial-Commercial</v>
      </c>
      <c r="X252" s="51">
        <v>700000</v>
      </c>
      <c r="Y252" s="39">
        <v>240</v>
      </c>
      <c r="Z252" s="39">
        <v>4</v>
      </c>
      <c r="AA252" s="33">
        <v>5</v>
      </c>
      <c r="AB252" s="35" t="str">
        <f>VLOOKUP(AA252,Key!$C$20:$D$29,2,FALSE)</f>
        <v>Professional</v>
      </c>
      <c r="AC252" s="33">
        <v>2</v>
      </c>
      <c r="AD252" s="35" t="str">
        <f>VLOOKUP(AC252,Key!$E$20:$F$24,2,FALSE)</f>
        <v>300,000-500,000</v>
      </c>
      <c r="AE252" s="33">
        <v>1</v>
      </c>
      <c r="AF252" s="39">
        <v>5</v>
      </c>
      <c r="AG252" s="39">
        <v>1</v>
      </c>
      <c r="AH252" s="39">
        <v>5</v>
      </c>
      <c r="AI252" s="39">
        <v>5</v>
      </c>
      <c r="AJ252" s="40" t="s">
        <v>160</v>
      </c>
      <c r="AK252" s="41">
        <v>1000</v>
      </c>
      <c r="AL252" s="25"/>
      <c r="AM252" s="25"/>
    </row>
    <row r="253" spans="2:39" x14ac:dyDescent="0.2">
      <c r="B253" s="50" t="s">
        <v>239</v>
      </c>
      <c r="C253" s="36">
        <v>0.7402777777777777</v>
      </c>
      <c r="D253" s="36"/>
      <c r="E253" s="36" t="s">
        <v>164</v>
      </c>
      <c r="F253" s="38">
        <v>2</v>
      </c>
      <c r="G253" s="43" t="str">
        <f>VLOOKUP(F253,Key!$A$17:$B$21,2,FALSE)</f>
        <v>Road Vehicle</v>
      </c>
      <c r="H253" s="37">
        <v>4</v>
      </c>
      <c r="I253" s="44" t="str">
        <f>VLOOKUP(H253,Key!$A$2:$B$13,2,FALSE)</f>
        <v>Minibus</v>
      </c>
      <c r="J253" s="38" t="s">
        <v>174</v>
      </c>
      <c r="K253" s="38">
        <v>3</v>
      </c>
      <c r="L253" s="45" t="str">
        <f>VLOOKUP(K253,Key!$A$24:$B$29,2,FALSE)</f>
        <v>40-49</v>
      </c>
      <c r="M253" s="38" t="s">
        <v>282</v>
      </c>
      <c r="N253" s="33" t="s">
        <v>161</v>
      </c>
      <c r="O253" s="38" t="s">
        <v>159</v>
      </c>
      <c r="P253" s="40">
        <v>1</v>
      </c>
      <c r="Q253" s="35" t="str">
        <f>VLOOKUP(P253,Key!$E$2:$F$9,2,FALSE)</f>
        <v>Home</v>
      </c>
      <c r="R253" s="38" t="s">
        <v>168</v>
      </c>
      <c r="S253" s="33" t="s">
        <v>161</v>
      </c>
      <c r="T253" s="38" t="s">
        <v>159</v>
      </c>
      <c r="U253" s="33">
        <v>2</v>
      </c>
      <c r="V253" s="35" t="str">
        <f>VLOOKUP(U253,Key!$E$2:$F$9,2,FALSE)</f>
        <v>Work</v>
      </c>
      <c r="W253" s="35" t="str">
        <f>Q253&amp;"-"&amp;V253</f>
        <v>Home-Work</v>
      </c>
      <c r="X253" s="51">
        <v>4000</v>
      </c>
      <c r="Y253" s="39">
        <v>30</v>
      </c>
      <c r="Z253" s="39">
        <v>0.36599999999999999</v>
      </c>
      <c r="AA253" s="33">
        <v>7</v>
      </c>
      <c r="AB253" s="35" t="str">
        <f>VLOOKUP(AA253,Key!$C$20:$D$29,2,FALSE)</f>
        <v>Farmer</v>
      </c>
      <c r="AC253" s="33">
        <v>2</v>
      </c>
      <c r="AD253" s="35" t="str">
        <f>VLOOKUP(AC253,Key!$E$20:$F$24,2,FALSE)</f>
        <v>300,000-500,000</v>
      </c>
      <c r="AE253" s="33">
        <v>1</v>
      </c>
      <c r="AF253" s="39">
        <v>1</v>
      </c>
      <c r="AG253" s="39">
        <v>5</v>
      </c>
      <c r="AH253" s="39">
        <v>5</v>
      </c>
      <c r="AI253" s="39">
        <v>5</v>
      </c>
      <c r="AJ253" s="40" t="s">
        <v>160</v>
      </c>
      <c r="AK253" s="41">
        <v>1000</v>
      </c>
      <c r="AL253" s="25"/>
      <c r="AM253" s="25"/>
    </row>
    <row r="254" spans="2:39" x14ac:dyDescent="0.2">
      <c r="B254" s="50" t="s">
        <v>239</v>
      </c>
      <c r="C254" s="36">
        <v>0.41736111111111113</v>
      </c>
      <c r="D254" s="36" t="s">
        <v>309</v>
      </c>
      <c r="E254" s="36" t="s">
        <v>173</v>
      </c>
      <c r="F254" s="38">
        <v>2</v>
      </c>
      <c r="G254" s="43" t="str">
        <f>VLOOKUP(F254,Key!$A$17:$B$21,2,FALSE)</f>
        <v>Road Vehicle</v>
      </c>
      <c r="H254" s="37">
        <v>4</v>
      </c>
      <c r="I254" s="44" t="str">
        <f>VLOOKUP(H254,Key!$A$2:$B$13,2,FALSE)</f>
        <v>Minibus</v>
      </c>
      <c r="J254" s="38" t="s">
        <v>174</v>
      </c>
      <c r="K254" s="38">
        <v>3</v>
      </c>
      <c r="L254" s="45" t="str">
        <f>VLOOKUP(K254,Key!$A$24:$B$29,2,FALSE)</f>
        <v>40-49</v>
      </c>
      <c r="M254" s="38" t="s">
        <v>168</v>
      </c>
      <c r="N254" s="33" t="s">
        <v>161</v>
      </c>
      <c r="O254" s="38" t="s">
        <v>159</v>
      </c>
      <c r="P254" s="40">
        <v>2</v>
      </c>
      <c r="Q254" s="35" t="str">
        <f>VLOOKUP(P254,Key!$E$2:$F$9,2,FALSE)</f>
        <v>Work</v>
      </c>
      <c r="R254" s="38" t="s">
        <v>244</v>
      </c>
      <c r="S254" s="33" t="s">
        <v>245</v>
      </c>
      <c r="T254" s="38" t="s">
        <v>159</v>
      </c>
      <c r="U254" s="33">
        <v>8</v>
      </c>
      <c r="V254" s="35" t="str">
        <f>VLOOKUP(U254,Key!$E$2:$F$9,2,FALSE)</f>
        <v>Others</v>
      </c>
      <c r="W254" s="35" t="str">
        <f>Q254&amp;"-"&amp;V254</f>
        <v>Work-Others</v>
      </c>
      <c r="X254" s="51">
        <v>100000</v>
      </c>
      <c r="Y254" s="39">
        <v>150</v>
      </c>
      <c r="Z254" s="39">
        <v>2</v>
      </c>
      <c r="AA254" s="33">
        <v>5</v>
      </c>
      <c r="AB254" s="35" t="str">
        <f>VLOOKUP(AA254,Key!$C$20:$D$29,2,FALSE)</f>
        <v>Professional</v>
      </c>
      <c r="AC254" s="33">
        <v>1</v>
      </c>
      <c r="AD254" s="35" t="str">
        <f>VLOOKUP(AC254,Key!$E$20:$F$24,2,FALSE)</f>
        <v>&lt;300,000</v>
      </c>
      <c r="AE254" s="33">
        <v>5</v>
      </c>
      <c r="AF254" s="39">
        <v>4</v>
      </c>
      <c r="AG254" s="39">
        <v>5</v>
      </c>
      <c r="AH254" s="39">
        <v>5</v>
      </c>
      <c r="AI254" s="39">
        <v>5</v>
      </c>
      <c r="AJ254" s="40" t="s">
        <v>160</v>
      </c>
      <c r="AK254" s="41">
        <v>0</v>
      </c>
      <c r="AL254" s="25"/>
      <c r="AM254" s="25"/>
    </row>
    <row r="255" spans="2:39" x14ac:dyDescent="0.2">
      <c r="B255" s="50" t="s">
        <v>321</v>
      </c>
      <c r="C255" s="36">
        <v>0.66736111111111107</v>
      </c>
      <c r="D255" s="36"/>
      <c r="E255" s="36" t="s">
        <v>173</v>
      </c>
      <c r="F255" s="38">
        <v>2</v>
      </c>
      <c r="G255" s="43" t="str">
        <f>VLOOKUP(F255,Key!$A$17:$B$21,2,FALSE)</f>
        <v>Road Vehicle</v>
      </c>
      <c r="H255" s="37">
        <v>4</v>
      </c>
      <c r="I255" s="44" t="str">
        <f>VLOOKUP(H255,Key!$A$2:$B$13,2,FALSE)</f>
        <v>Minibus</v>
      </c>
      <c r="J255" s="38" t="s">
        <v>174</v>
      </c>
      <c r="K255" s="38">
        <v>3</v>
      </c>
      <c r="L255" s="45" t="str">
        <f>VLOOKUP(K255,Key!$A$24:$B$29,2,FALSE)</f>
        <v>40-49</v>
      </c>
      <c r="M255" s="38" t="s">
        <v>185</v>
      </c>
      <c r="N255" s="33" t="s">
        <v>186</v>
      </c>
      <c r="O255" s="38" t="s">
        <v>159</v>
      </c>
      <c r="P255" s="40">
        <v>4</v>
      </c>
      <c r="Q255" s="35" t="str">
        <f>VLOOKUP(P255,Key!$E$2:$F$9,2,FALSE)</f>
        <v>Commercial</v>
      </c>
      <c r="R255" s="38" t="s">
        <v>168</v>
      </c>
      <c r="S255" s="33" t="s">
        <v>161</v>
      </c>
      <c r="T255" s="38" t="s">
        <v>159</v>
      </c>
      <c r="U255" s="33">
        <v>4</v>
      </c>
      <c r="V255" s="35" t="str">
        <f>VLOOKUP(U255,Key!$E$2:$F$9,2,FALSE)</f>
        <v>Commercial</v>
      </c>
      <c r="W255" s="35" t="str">
        <f>Q255&amp;"-"&amp;V255</f>
        <v>Commercial-Commercial</v>
      </c>
      <c r="X255" s="51">
        <v>60000</v>
      </c>
      <c r="Y255" s="39">
        <v>143</v>
      </c>
      <c r="Z255" s="39">
        <v>2.5</v>
      </c>
      <c r="AA255" s="33">
        <v>5</v>
      </c>
      <c r="AB255" s="35" t="str">
        <f>VLOOKUP(AA255,Key!$C$20:$D$29,2,FALSE)</f>
        <v>Professional</v>
      </c>
      <c r="AC255" s="33">
        <v>3</v>
      </c>
      <c r="AD255" s="35" t="str">
        <f>VLOOKUP(AC255,Key!$E$20:$F$24,2,FALSE)</f>
        <v>500,000-750,000</v>
      </c>
      <c r="AE255" s="33">
        <v>1</v>
      </c>
      <c r="AF255" s="39">
        <v>1</v>
      </c>
      <c r="AG255" s="39">
        <v>1</v>
      </c>
      <c r="AH255" s="39">
        <v>1</v>
      </c>
      <c r="AI255" s="39">
        <v>1</v>
      </c>
      <c r="AJ255" s="40" t="s">
        <v>160</v>
      </c>
      <c r="AK255" s="41">
        <v>2000</v>
      </c>
      <c r="AL255" s="25"/>
      <c r="AM255" s="25"/>
    </row>
    <row r="256" spans="2:39" x14ac:dyDescent="0.2">
      <c r="B256" s="50" t="s">
        <v>321</v>
      </c>
      <c r="C256" s="36">
        <v>0.36180555555555555</v>
      </c>
      <c r="D256" s="36"/>
      <c r="E256" s="36" t="s">
        <v>173</v>
      </c>
      <c r="F256" s="38">
        <v>2</v>
      </c>
      <c r="G256" s="43" t="s">
        <v>110</v>
      </c>
      <c r="H256" s="37">
        <v>4</v>
      </c>
      <c r="I256" s="44" t="str">
        <f>VLOOKUP(H256,Key!$A$2:$B$13,2,FALSE)</f>
        <v>Minibus</v>
      </c>
      <c r="J256" s="38" t="s">
        <v>174</v>
      </c>
      <c r="K256" s="38">
        <v>3</v>
      </c>
      <c r="L256" s="45" t="str">
        <f>VLOOKUP(K256,Key!$A$24:$B$29,2,FALSE)</f>
        <v>40-49</v>
      </c>
      <c r="M256" s="38" t="s">
        <v>168</v>
      </c>
      <c r="N256" s="33" t="s">
        <v>161</v>
      </c>
      <c r="O256" s="38" t="s">
        <v>159</v>
      </c>
      <c r="P256" s="40">
        <v>4</v>
      </c>
      <c r="Q256" s="35" t="str">
        <f>VLOOKUP(P256,Key!$E$2:$F$9,2,FALSE)</f>
        <v>Commercial</v>
      </c>
      <c r="R256" s="38" t="s">
        <v>230</v>
      </c>
      <c r="S256" s="33" t="s">
        <v>231</v>
      </c>
      <c r="T256" s="38" t="s">
        <v>159</v>
      </c>
      <c r="U256" s="33">
        <v>4</v>
      </c>
      <c r="V256" s="35" t="str">
        <f>VLOOKUP(U256,Key!$E$2:$F$9,2,FALSE)</f>
        <v>Commercial</v>
      </c>
      <c r="W256" s="35" t="str">
        <f>Q256&amp;"-"&amp;V256</f>
        <v>Commercial-Commercial</v>
      </c>
      <c r="X256" s="51">
        <v>200000</v>
      </c>
      <c r="Y256" s="39">
        <v>360</v>
      </c>
      <c r="Z256" s="39">
        <v>3</v>
      </c>
      <c r="AA256" s="33">
        <v>5</v>
      </c>
      <c r="AB256" s="35" t="str">
        <f>VLOOKUP(AA256,Key!$C$20:$D$29,2,FALSE)</f>
        <v>Professional</v>
      </c>
      <c r="AC256" s="33">
        <v>2</v>
      </c>
      <c r="AD256" s="35" t="str">
        <f>VLOOKUP(AC256,Key!$E$20:$F$24,2,FALSE)</f>
        <v>300,000-500,000</v>
      </c>
      <c r="AE256" s="33">
        <v>1</v>
      </c>
      <c r="AF256" s="39">
        <v>1</v>
      </c>
      <c r="AG256" s="39">
        <v>1</v>
      </c>
      <c r="AH256" s="39">
        <v>1</v>
      </c>
      <c r="AI256" s="39">
        <v>1</v>
      </c>
      <c r="AJ256" s="40" t="s">
        <v>160</v>
      </c>
      <c r="AK256" s="41">
        <v>2000</v>
      </c>
      <c r="AL256" s="25"/>
      <c r="AM256" s="25"/>
    </row>
    <row r="257" spans="2:39" x14ac:dyDescent="0.2">
      <c r="B257" s="50" t="s">
        <v>321</v>
      </c>
      <c r="C257" s="36">
        <v>0.49236111111111108</v>
      </c>
      <c r="D257" s="36"/>
      <c r="E257" s="36" t="s">
        <v>173</v>
      </c>
      <c r="F257" s="38">
        <v>2</v>
      </c>
      <c r="G257" s="43" t="str">
        <f>VLOOKUP(F257,Key!$A$17:$B$21,2,FALSE)</f>
        <v>Road Vehicle</v>
      </c>
      <c r="H257" s="37">
        <v>4</v>
      </c>
      <c r="I257" s="44" t="str">
        <f>VLOOKUP(H257,Key!$A$2:$B$13,2,FALSE)</f>
        <v>Minibus</v>
      </c>
      <c r="J257" s="38" t="s">
        <v>174</v>
      </c>
      <c r="K257" s="38">
        <v>3</v>
      </c>
      <c r="L257" s="45" t="str">
        <f>VLOOKUP(K257,Key!$A$24:$B$29,2,FALSE)</f>
        <v>40-49</v>
      </c>
      <c r="M257" s="38" t="s">
        <v>168</v>
      </c>
      <c r="N257" s="33" t="s">
        <v>161</v>
      </c>
      <c r="O257" s="38" t="s">
        <v>159</v>
      </c>
      <c r="P257" s="40">
        <v>4</v>
      </c>
      <c r="Q257" s="35" t="str">
        <f>VLOOKUP(P257,Key!$E$2:$F$9,2,FALSE)</f>
        <v>Commercial</v>
      </c>
      <c r="R257" s="38" t="s">
        <v>325</v>
      </c>
      <c r="S257" s="33" t="s">
        <v>326</v>
      </c>
      <c r="T257" s="38" t="s">
        <v>159</v>
      </c>
      <c r="U257" s="33">
        <v>4</v>
      </c>
      <c r="V257" s="35" t="str">
        <f>VLOOKUP(U257,Key!$E$2:$F$9,2,FALSE)</f>
        <v>Commercial</v>
      </c>
      <c r="W257" s="35" t="str">
        <f>Q257&amp;"-"&amp;V257</f>
        <v>Commercial-Commercial</v>
      </c>
      <c r="X257" s="51">
        <v>20000</v>
      </c>
      <c r="Y257" s="39">
        <v>223</v>
      </c>
      <c r="Z257" s="39">
        <v>3</v>
      </c>
      <c r="AA257" s="33">
        <v>5</v>
      </c>
      <c r="AB257" s="35" t="str">
        <f>VLOOKUP(AA257,Key!$C$20:$D$29,2,FALSE)</f>
        <v>Professional</v>
      </c>
      <c r="AC257" s="33">
        <v>2</v>
      </c>
      <c r="AD257" s="35" t="str">
        <f>VLOOKUP(AC257,Key!$E$20:$F$24,2,FALSE)</f>
        <v>300,000-500,000</v>
      </c>
      <c r="AE257" s="33">
        <v>1</v>
      </c>
      <c r="AF257" s="39">
        <v>1</v>
      </c>
      <c r="AG257" s="39">
        <v>1</v>
      </c>
      <c r="AH257" s="39">
        <v>1</v>
      </c>
      <c r="AI257" s="39">
        <v>1</v>
      </c>
      <c r="AJ257" s="40" t="s">
        <v>160</v>
      </c>
      <c r="AK257" s="41">
        <v>1000</v>
      </c>
      <c r="AL257" s="25"/>
      <c r="AM257" s="25"/>
    </row>
    <row r="258" spans="2:39" x14ac:dyDescent="0.2">
      <c r="B258" s="50" t="s">
        <v>321</v>
      </c>
      <c r="C258" s="36">
        <v>0.51597222222222217</v>
      </c>
      <c r="D258" s="36"/>
      <c r="E258" s="36" t="s">
        <v>173</v>
      </c>
      <c r="F258" s="38">
        <v>2</v>
      </c>
      <c r="G258" s="43" t="str">
        <f>VLOOKUP(F258,Key!$A$17:$B$21,2,FALSE)</f>
        <v>Road Vehicle</v>
      </c>
      <c r="H258" s="37">
        <v>4</v>
      </c>
      <c r="I258" s="44" t="str">
        <f>VLOOKUP(H258,Key!$A$2:$B$13,2,FALSE)</f>
        <v>Minibus</v>
      </c>
      <c r="J258" s="38" t="s">
        <v>174</v>
      </c>
      <c r="K258" s="38">
        <v>3</v>
      </c>
      <c r="L258" s="45" t="str">
        <f>VLOOKUP(K258,Key!$A$24:$B$29,2,FALSE)</f>
        <v>40-49</v>
      </c>
      <c r="M258" s="38" t="s">
        <v>168</v>
      </c>
      <c r="N258" s="33" t="s">
        <v>161</v>
      </c>
      <c r="O258" s="38" t="s">
        <v>159</v>
      </c>
      <c r="P258" s="40">
        <v>4</v>
      </c>
      <c r="Q258" s="35" t="str">
        <f>VLOOKUP(P258,Key!$E$2:$F$9,2,FALSE)</f>
        <v>Commercial</v>
      </c>
      <c r="R258" s="38" t="s">
        <v>230</v>
      </c>
      <c r="S258" s="33" t="s">
        <v>231</v>
      </c>
      <c r="T258" s="38" t="s">
        <v>159</v>
      </c>
      <c r="U258" s="33">
        <v>4</v>
      </c>
      <c r="V258" s="35" t="str">
        <f>VLOOKUP(U258,Key!$E$2:$F$9,2,FALSE)</f>
        <v>Commercial</v>
      </c>
      <c r="W258" s="35" t="str">
        <f>Q258&amp;"-"&amp;V258</f>
        <v>Commercial-Commercial</v>
      </c>
      <c r="X258" s="51">
        <v>300000</v>
      </c>
      <c r="Y258" s="39">
        <v>312</v>
      </c>
      <c r="Z258" s="39">
        <v>4</v>
      </c>
      <c r="AA258" s="33">
        <v>5</v>
      </c>
      <c r="AB258" s="35" t="str">
        <f>VLOOKUP(AA258,Key!$C$20:$D$29,2,FALSE)</f>
        <v>Professional</v>
      </c>
      <c r="AC258" s="33">
        <v>3</v>
      </c>
      <c r="AD258" s="35" t="str">
        <f>VLOOKUP(AC258,Key!$E$20:$F$24,2,FALSE)</f>
        <v>500,000-750,000</v>
      </c>
      <c r="AE258" s="33">
        <v>5</v>
      </c>
      <c r="AF258" s="39">
        <v>5</v>
      </c>
      <c r="AG258" s="39">
        <v>1</v>
      </c>
      <c r="AH258" s="39">
        <v>1</v>
      </c>
      <c r="AI258" s="39">
        <v>5</v>
      </c>
      <c r="AJ258" s="40" t="s">
        <v>160</v>
      </c>
      <c r="AK258" s="41">
        <v>5000</v>
      </c>
      <c r="AL258" s="25"/>
      <c r="AM258" s="25"/>
    </row>
    <row r="259" spans="2:39" x14ac:dyDescent="0.2">
      <c r="B259" s="50" t="s">
        <v>321</v>
      </c>
      <c r="C259" s="36">
        <v>0.56666666666666665</v>
      </c>
      <c r="D259" s="36"/>
      <c r="E259" s="36" t="s">
        <v>173</v>
      </c>
      <c r="F259" s="38">
        <v>2</v>
      </c>
      <c r="G259" s="43" t="str">
        <f>VLOOKUP(F259,Key!$A$17:$B$21,2,FALSE)</f>
        <v>Road Vehicle</v>
      </c>
      <c r="H259" s="37">
        <v>4</v>
      </c>
      <c r="I259" s="44" t="str">
        <f>VLOOKUP(H259,Key!$A$2:$B$13,2,FALSE)</f>
        <v>Minibus</v>
      </c>
      <c r="J259" s="38" t="s">
        <v>174</v>
      </c>
      <c r="K259" s="38">
        <v>3</v>
      </c>
      <c r="L259" s="45" t="str">
        <f>VLOOKUP(K259,Key!$A$24:$B$29,2,FALSE)</f>
        <v>40-49</v>
      </c>
      <c r="M259" s="38" t="s">
        <v>362</v>
      </c>
      <c r="N259" s="33" t="s">
        <v>245</v>
      </c>
      <c r="O259" s="38" t="s">
        <v>159</v>
      </c>
      <c r="P259" s="40">
        <v>4</v>
      </c>
      <c r="Q259" s="35" t="str">
        <f>VLOOKUP(P259,Key!$E$2:$F$9,2,FALSE)</f>
        <v>Commercial</v>
      </c>
      <c r="R259" s="38" t="s">
        <v>168</v>
      </c>
      <c r="S259" s="33" t="s">
        <v>161</v>
      </c>
      <c r="T259" s="38" t="s">
        <v>159</v>
      </c>
      <c r="U259" s="33">
        <v>4</v>
      </c>
      <c r="V259" s="35" t="str">
        <f>VLOOKUP(U259,Key!$E$2:$F$9,2,FALSE)</f>
        <v>Commercial</v>
      </c>
      <c r="W259" s="35" t="str">
        <f>Q259&amp;"-"&amp;V259</f>
        <v>Commercial-Commercial</v>
      </c>
      <c r="X259" s="51">
        <v>3000</v>
      </c>
      <c r="Y259" s="39">
        <v>40</v>
      </c>
      <c r="Z259" s="39">
        <v>0.66</v>
      </c>
      <c r="AA259" s="33">
        <v>5</v>
      </c>
      <c r="AB259" s="35" t="str">
        <f>VLOOKUP(AA259,Key!$C$20:$D$29,2,FALSE)</f>
        <v>Professional</v>
      </c>
      <c r="AC259" s="33">
        <v>2</v>
      </c>
      <c r="AD259" s="35" t="str">
        <f>VLOOKUP(AC259,Key!$E$20:$F$24,2,FALSE)</f>
        <v>300,000-500,000</v>
      </c>
      <c r="AE259" s="33">
        <v>1</v>
      </c>
      <c r="AF259" s="39">
        <v>5</v>
      </c>
      <c r="AG259" s="39">
        <v>5</v>
      </c>
      <c r="AH259" s="39">
        <v>5</v>
      </c>
      <c r="AI259" s="39">
        <v>1</v>
      </c>
      <c r="AJ259" s="40" t="s">
        <v>160</v>
      </c>
      <c r="AK259" s="41">
        <v>0</v>
      </c>
      <c r="AL259" s="25"/>
      <c r="AM259" s="25"/>
    </row>
    <row r="260" spans="2:39" x14ac:dyDescent="0.2">
      <c r="B260" s="50" t="s">
        <v>321</v>
      </c>
      <c r="C260" s="36">
        <v>0.48194444444444445</v>
      </c>
      <c r="D260" s="36" t="s">
        <v>336</v>
      </c>
      <c r="E260" s="36" t="s">
        <v>173</v>
      </c>
      <c r="F260" s="38">
        <v>2</v>
      </c>
      <c r="G260" s="43" t="str">
        <f>VLOOKUP(F260,Key!$A$17:$B$21,2,FALSE)</f>
        <v>Road Vehicle</v>
      </c>
      <c r="H260" s="37">
        <v>4</v>
      </c>
      <c r="I260" s="44" t="str">
        <f>VLOOKUP(H260,Key!$A$2:$B$13,2,FALSE)</f>
        <v>Minibus</v>
      </c>
      <c r="J260" s="38" t="s">
        <v>174</v>
      </c>
      <c r="K260" s="38">
        <v>3</v>
      </c>
      <c r="L260" s="45" t="str">
        <f>VLOOKUP(K260,Key!$A$24:$B$29,2,FALSE)</f>
        <v>40-49</v>
      </c>
      <c r="M260" s="38" t="s">
        <v>168</v>
      </c>
      <c r="N260" s="33" t="s">
        <v>161</v>
      </c>
      <c r="O260" s="38" t="s">
        <v>159</v>
      </c>
      <c r="P260" s="40">
        <v>2</v>
      </c>
      <c r="Q260" s="35" t="str">
        <f>VLOOKUP(P260,Key!$E$2:$F$9,2,FALSE)</f>
        <v>Work</v>
      </c>
      <c r="R260" s="38" t="s">
        <v>200</v>
      </c>
      <c r="S260" s="33" t="s">
        <v>161</v>
      </c>
      <c r="T260" s="38" t="s">
        <v>159</v>
      </c>
      <c r="U260" s="33">
        <v>1</v>
      </c>
      <c r="V260" s="35" t="str">
        <f>VLOOKUP(U260,Key!$E$2:$F$9,2,FALSE)</f>
        <v>Home</v>
      </c>
      <c r="W260" s="35" t="str">
        <f>Q260&amp;"-"&amp;V260</f>
        <v>Work-Home</v>
      </c>
      <c r="X260" s="51">
        <v>30000</v>
      </c>
      <c r="Y260" s="39">
        <v>15</v>
      </c>
      <c r="Z260" s="39">
        <v>0.83</v>
      </c>
      <c r="AA260" s="33">
        <v>10</v>
      </c>
      <c r="AB260" s="35" t="str">
        <f>VLOOKUP(AA260,Key!$C$20:$D$29,2,FALSE)</f>
        <v>Other</v>
      </c>
      <c r="AC260" s="33">
        <v>1</v>
      </c>
      <c r="AD260" s="35" t="str">
        <f>VLOOKUP(AC260,Key!$E$20:$F$24,2,FALSE)</f>
        <v>&lt;300,000</v>
      </c>
      <c r="AE260" s="33">
        <v>2</v>
      </c>
      <c r="AF260" s="39">
        <v>2</v>
      </c>
      <c r="AG260" s="39">
        <v>2</v>
      </c>
      <c r="AH260" s="39">
        <v>2</v>
      </c>
      <c r="AI260" s="39">
        <v>2</v>
      </c>
      <c r="AJ260" s="40" t="s">
        <v>160</v>
      </c>
      <c r="AK260" s="41">
        <v>0</v>
      </c>
      <c r="AL260" s="25"/>
      <c r="AM260" s="25"/>
    </row>
    <row r="261" spans="2:39" x14ac:dyDescent="0.2">
      <c r="B261" s="50" t="s">
        <v>321</v>
      </c>
      <c r="C261" s="36">
        <v>0.34652777777777777</v>
      </c>
      <c r="D261" s="36"/>
      <c r="E261" s="36" t="s">
        <v>164</v>
      </c>
      <c r="F261" s="38">
        <v>2</v>
      </c>
      <c r="G261" s="43" t="str">
        <f>VLOOKUP(F261,Key!$A$17:$B$21,2,FALSE)</f>
        <v>Road Vehicle</v>
      </c>
      <c r="H261" s="37">
        <v>3</v>
      </c>
      <c r="I261" s="44" t="str">
        <f>VLOOKUP(H261,Key!$A$2:$B$13,2,FALSE)</f>
        <v>Pickups</v>
      </c>
      <c r="J261" s="38" t="s">
        <v>165</v>
      </c>
      <c r="K261" s="38">
        <v>3</v>
      </c>
      <c r="L261" s="45" t="str">
        <f>VLOOKUP(K261,Key!$A$24:$B$29,2,FALSE)</f>
        <v>40-49</v>
      </c>
      <c r="M261" s="38" t="s">
        <v>166</v>
      </c>
      <c r="N261" s="33" t="s">
        <v>167</v>
      </c>
      <c r="O261" s="38" t="s">
        <v>159</v>
      </c>
      <c r="P261" s="40">
        <v>4</v>
      </c>
      <c r="Q261" s="35" t="str">
        <f>VLOOKUP(P261,Key!$E$2:$F$9,2,FALSE)</f>
        <v>Commercial</v>
      </c>
      <c r="R261" s="38" t="s">
        <v>168</v>
      </c>
      <c r="S261" s="33" t="s">
        <v>161</v>
      </c>
      <c r="T261" s="38" t="s">
        <v>159</v>
      </c>
      <c r="U261" s="33">
        <v>1</v>
      </c>
      <c r="V261" s="35" t="str">
        <f>VLOOKUP(U261,Key!$E$2:$F$9,2,FALSE)</f>
        <v>Home</v>
      </c>
      <c r="W261" s="35" t="str">
        <f>Q261&amp;"-"&amp;V261</f>
        <v>Commercial-Home</v>
      </c>
      <c r="X261" s="51">
        <v>10000</v>
      </c>
      <c r="Y261" s="39">
        <v>33</v>
      </c>
      <c r="Z261" s="39">
        <v>0.83</v>
      </c>
      <c r="AA261" s="33">
        <v>5</v>
      </c>
      <c r="AB261" s="35" t="str">
        <f>VLOOKUP(AA261,Key!$C$20:$D$29,2,FALSE)</f>
        <v>Professional</v>
      </c>
      <c r="AC261" s="33">
        <v>5</v>
      </c>
      <c r="AD261" s="35" t="str">
        <f>VLOOKUP(AC261,Key!$E$20:$F$24,2,FALSE)</f>
        <v>&gt;1,000,000</v>
      </c>
      <c r="AE261" s="33">
        <v>2</v>
      </c>
      <c r="AF261" s="39">
        <v>2</v>
      </c>
      <c r="AG261" s="39">
        <v>2</v>
      </c>
      <c r="AH261" s="39">
        <v>3</v>
      </c>
      <c r="AI261" s="39">
        <v>3</v>
      </c>
      <c r="AJ261" s="40" t="s">
        <v>160</v>
      </c>
      <c r="AK261" s="41">
        <v>5000</v>
      </c>
      <c r="AL261" s="25"/>
      <c r="AM261" s="25"/>
    </row>
    <row r="262" spans="2:39" x14ac:dyDescent="0.2">
      <c r="B262" s="50" t="s">
        <v>163</v>
      </c>
      <c r="C262" s="36">
        <v>0.69374999999999998</v>
      </c>
      <c r="D262" s="36" t="s">
        <v>189</v>
      </c>
      <c r="E262" s="36" t="s">
        <v>173</v>
      </c>
      <c r="F262" s="38">
        <v>2</v>
      </c>
      <c r="G262" s="43" t="str">
        <f>VLOOKUP(F262,Key!$A$17:$B$21,2,FALSE)</f>
        <v>Road Vehicle</v>
      </c>
      <c r="H262" s="37">
        <v>2</v>
      </c>
      <c r="I262" s="44" t="str">
        <f>VLOOKUP(H262,Key!$A$2:$B$13,2,FALSE)</f>
        <v>Station Wagon</v>
      </c>
      <c r="J262" s="38" t="s">
        <v>165</v>
      </c>
      <c r="K262" s="38">
        <v>3</v>
      </c>
      <c r="L262" s="45" t="str">
        <f>VLOOKUP(K262,Key!$A$24:$B$29,2,FALSE)</f>
        <v>40-49</v>
      </c>
      <c r="M262" s="38" t="s">
        <v>168</v>
      </c>
      <c r="N262" s="33" t="s">
        <v>161</v>
      </c>
      <c r="O262" s="38" t="s">
        <v>159</v>
      </c>
      <c r="P262" s="40">
        <v>2</v>
      </c>
      <c r="Q262" s="35" t="str">
        <f>VLOOKUP(P262,Key!$E$2:$F$9,2,FALSE)</f>
        <v>Work</v>
      </c>
      <c r="R262" s="38" t="s">
        <v>190</v>
      </c>
      <c r="S262" s="33" t="s">
        <v>161</v>
      </c>
      <c r="T262" s="38" t="s">
        <v>159</v>
      </c>
      <c r="U262" s="33">
        <v>1</v>
      </c>
      <c r="V262" s="35" t="str">
        <f>VLOOKUP(U262,Key!$E$2:$F$9,2,FALSE)</f>
        <v>Home</v>
      </c>
      <c r="W262" s="35" t="str">
        <f>Q262&amp;"-"&amp;V262</f>
        <v>Work-Home</v>
      </c>
      <c r="X262" s="51">
        <v>5000</v>
      </c>
      <c r="Y262" s="39">
        <v>3</v>
      </c>
      <c r="Z262" s="39">
        <v>0.05</v>
      </c>
      <c r="AA262" s="33">
        <v>4</v>
      </c>
      <c r="AB262" s="35" t="str">
        <f>VLOOKUP(AA262,Key!$C$20:$D$29,2,FALSE)</f>
        <v>Office Worker</v>
      </c>
      <c r="AC262" s="33">
        <v>5</v>
      </c>
      <c r="AD262" s="35" t="str">
        <f>VLOOKUP(AC262,Key!$E$20:$F$24,2,FALSE)</f>
        <v>&gt;1,000,000</v>
      </c>
      <c r="AE262" s="33">
        <v>1</v>
      </c>
      <c r="AF262" s="39">
        <v>1</v>
      </c>
      <c r="AG262" s="39">
        <v>1</v>
      </c>
      <c r="AH262" s="39">
        <v>1</v>
      </c>
      <c r="AI262" s="39">
        <v>1</v>
      </c>
      <c r="AJ262" s="40" t="s">
        <v>160</v>
      </c>
      <c r="AK262" s="41">
        <v>5000</v>
      </c>
      <c r="AL262" s="25"/>
      <c r="AM262" s="25"/>
    </row>
    <row r="263" spans="2:39" x14ac:dyDescent="0.2">
      <c r="B263" s="50" t="s">
        <v>163</v>
      </c>
      <c r="C263" s="36">
        <v>0.67222222222222217</v>
      </c>
      <c r="D263" s="36" t="s">
        <v>198</v>
      </c>
      <c r="E263" s="36" t="s">
        <v>173</v>
      </c>
      <c r="F263" s="38">
        <v>2</v>
      </c>
      <c r="G263" s="43" t="str">
        <f>VLOOKUP(F263,Key!$A$17:$B$21,2,FALSE)</f>
        <v>Road Vehicle</v>
      </c>
      <c r="H263" s="37">
        <v>9</v>
      </c>
      <c r="I263" s="44" t="str">
        <f>VLOOKUP(H263,Key!$A$2:$B$13,2,FALSE)</f>
        <v xml:space="preserve">Heavy truck </v>
      </c>
      <c r="J263" s="38" t="s">
        <v>174</v>
      </c>
      <c r="K263" s="38">
        <v>4</v>
      </c>
      <c r="L263" s="45" t="str">
        <f>VLOOKUP(K263,Key!$A$24:$B$29,2,FALSE)</f>
        <v>50-59</v>
      </c>
      <c r="M263" s="38" t="s">
        <v>169</v>
      </c>
      <c r="N263" s="33" t="s">
        <v>170</v>
      </c>
      <c r="O263" s="38" t="s">
        <v>159</v>
      </c>
      <c r="P263" s="40">
        <v>4</v>
      </c>
      <c r="Q263" s="35" t="str">
        <f>VLOOKUP(P263,Key!$E$2:$F$9,2,FALSE)</f>
        <v>Commercial</v>
      </c>
      <c r="R263" s="38" t="s">
        <v>171</v>
      </c>
      <c r="S263" s="33" t="s">
        <v>172</v>
      </c>
      <c r="T263" s="38" t="s">
        <v>159</v>
      </c>
      <c r="U263" s="33">
        <v>2</v>
      </c>
      <c r="V263" s="35" t="str">
        <f>VLOOKUP(U263,Key!$E$2:$F$9,2,FALSE)</f>
        <v>Work</v>
      </c>
      <c r="W263" s="35" t="str">
        <f>Q263&amp;"-"&amp;V263</f>
        <v>Commercial-Work</v>
      </c>
      <c r="X263" s="51">
        <v>500000</v>
      </c>
      <c r="Y263" s="39">
        <v>460</v>
      </c>
      <c r="Z263" s="39">
        <v>16</v>
      </c>
      <c r="AA263" s="33">
        <v>5</v>
      </c>
      <c r="AB263" s="35" t="str">
        <f>VLOOKUP(AA263,Key!$C$20:$D$29,2,FALSE)</f>
        <v>Professional</v>
      </c>
      <c r="AC263" s="33">
        <v>5</v>
      </c>
      <c r="AD263" s="35" t="str">
        <f>VLOOKUP(AC263,Key!$E$20:$F$24,2,FALSE)</f>
        <v>&gt;1,000,000</v>
      </c>
      <c r="AE263" s="33">
        <v>3</v>
      </c>
      <c r="AF263" s="39">
        <v>3</v>
      </c>
      <c r="AG263" s="39">
        <v>3</v>
      </c>
      <c r="AH263" s="39">
        <v>3</v>
      </c>
      <c r="AI263" s="39">
        <v>2</v>
      </c>
      <c r="AJ263" s="40" t="s">
        <v>160</v>
      </c>
      <c r="AK263" s="41">
        <v>5000</v>
      </c>
      <c r="AL263" s="25"/>
      <c r="AM263" s="25"/>
    </row>
    <row r="264" spans="2:39" x14ac:dyDescent="0.2">
      <c r="B264" s="50" t="s">
        <v>163</v>
      </c>
      <c r="C264" s="36">
        <v>0.64444444444444449</v>
      </c>
      <c r="D264" s="36" t="s">
        <v>201</v>
      </c>
      <c r="E264" s="36" t="s">
        <v>173</v>
      </c>
      <c r="F264" s="38">
        <v>2</v>
      </c>
      <c r="G264" s="43" t="str">
        <f>VLOOKUP(F264,Key!$A$17:$B$21,2,FALSE)</f>
        <v>Road Vehicle</v>
      </c>
      <c r="H264" s="37">
        <v>6</v>
      </c>
      <c r="I264" s="44" t="str">
        <f>VLOOKUP(H264,Key!$A$2:$B$13,2,FALSE)</f>
        <v>Large Bus</v>
      </c>
      <c r="J264" s="38" t="s">
        <v>174</v>
      </c>
      <c r="K264" s="38">
        <v>4</v>
      </c>
      <c r="L264" s="45" t="str">
        <f>VLOOKUP(K264,Key!$A$24:$B$29,2,FALSE)</f>
        <v>50-59</v>
      </c>
      <c r="M264" s="38" t="s">
        <v>169</v>
      </c>
      <c r="N264" s="33" t="s">
        <v>170</v>
      </c>
      <c r="O264" s="38" t="s">
        <v>159</v>
      </c>
      <c r="P264" s="40">
        <v>2</v>
      </c>
      <c r="Q264" s="35" t="str">
        <f>VLOOKUP(P264,Key!$E$2:$F$9,2,FALSE)</f>
        <v>Work</v>
      </c>
      <c r="R264" s="38" t="s">
        <v>171</v>
      </c>
      <c r="S264" s="33" t="s">
        <v>172</v>
      </c>
      <c r="T264" s="38" t="s">
        <v>159</v>
      </c>
      <c r="U264" s="33">
        <v>2</v>
      </c>
      <c r="V264" s="35" t="str">
        <f>VLOOKUP(U264,Key!$E$2:$F$9,2,FALSE)</f>
        <v>Work</v>
      </c>
      <c r="W264" s="35" t="str">
        <f>Q264&amp;"-"&amp;V264</f>
        <v>Work-Work</v>
      </c>
      <c r="X264" s="51">
        <v>350000</v>
      </c>
      <c r="Y264" s="39">
        <v>436</v>
      </c>
      <c r="Z264" s="39">
        <v>14</v>
      </c>
      <c r="AA264" s="33">
        <v>5</v>
      </c>
      <c r="AB264" s="35" t="str">
        <f>VLOOKUP(AA264,Key!$C$20:$D$29,2,FALSE)</f>
        <v>Professional</v>
      </c>
      <c r="AC264" s="33">
        <v>5</v>
      </c>
      <c r="AD264" s="35" t="str">
        <f>VLOOKUP(AC264,Key!$E$20:$F$24,2,FALSE)</f>
        <v>&gt;1,000,000</v>
      </c>
      <c r="AE264" s="33">
        <v>1</v>
      </c>
      <c r="AF264" s="39">
        <v>1</v>
      </c>
      <c r="AG264" s="39">
        <v>1</v>
      </c>
      <c r="AH264" s="39">
        <v>1</v>
      </c>
      <c r="AI264" s="39">
        <v>1</v>
      </c>
      <c r="AJ264" s="40" t="s">
        <v>160</v>
      </c>
      <c r="AK264" s="41">
        <v>5000</v>
      </c>
      <c r="AL264" s="25"/>
      <c r="AM264" s="25"/>
    </row>
    <row r="265" spans="2:39" x14ac:dyDescent="0.2">
      <c r="B265" s="50" t="s">
        <v>163</v>
      </c>
      <c r="C265" s="36">
        <v>0.60625000000000007</v>
      </c>
      <c r="D265" s="36" t="s">
        <v>203</v>
      </c>
      <c r="E265" s="36" t="s">
        <v>173</v>
      </c>
      <c r="F265" s="38">
        <v>2</v>
      </c>
      <c r="G265" s="43" t="str">
        <f>VLOOKUP(F265,Key!$A$17:$B$21,2,FALSE)</f>
        <v>Road Vehicle</v>
      </c>
      <c r="H265" s="37">
        <v>6</v>
      </c>
      <c r="I265" s="44" t="str">
        <f>VLOOKUP(H265,Key!$A$2:$B$13,2,FALSE)</f>
        <v>Large Bus</v>
      </c>
      <c r="J265" s="38" t="s">
        <v>174</v>
      </c>
      <c r="K265" s="38">
        <v>4</v>
      </c>
      <c r="L265" s="45" t="str">
        <f>VLOOKUP(K265,Key!$A$24:$B$29,2,FALSE)</f>
        <v>50-59</v>
      </c>
      <c r="M265" s="38" t="s">
        <v>169</v>
      </c>
      <c r="N265" s="33" t="s">
        <v>170</v>
      </c>
      <c r="O265" s="38" t="s">
        <v>159</v>
      </c>
      <c r="P265" s="40">
        <v>2</v>
      </c>
      <c r="Q265" s="35" t="str">
        <f>VLOOKUP(P265,Key!$E$2:$F$9,2,FALSE)</f>
        <v>Work</v>
      </c>
      <c r="R265" s="38" t="s">
        <v>171</v>
      </c>
      <c r="S265" s="33" t="s">
        <v>172</v>
      </c>
      <c r="T265" s="38" t="s">
        <v>159</v>
      </c>
      <c r="U265" s="33">
        <v>2</v>
      </c>
      <c r="V265" s="35" t="str">
        <f>VLOOKUP(U265,Key!$E$2:$F$9,2,FALSE)</f>
        <v>Work</v>
      </c>
      <c r="W265" s="35" t="str">
        <f>Q265&amp;"-"&amp;V265</f>
        <v>Work-Work</v>
      </c>
      <c r="X265" s="51">
        <v>320000</v>
      </c>
      <c r="Y265" s="39">
        <v>480</v>
      </c>
      <c r="Z265" s="39">
        <v>14</v>
      </c>
      <c r="AA265" s="33">
        <v>5</v>
      </c>
      <c r="AB265" s="35" t="str">
        <f>VLOOKUP(AA265,Key!$C$20:$D$29,2,FALSE)</f>
        <v>Professional</v>
      </c>
      <c r="AC265" s="33">
        <v>5</v>
      </c>
      <c r="AD265" s="35" t="str">
        <f>VLOOKUP(AC265,Key!$E$20:$F$24,2,FALSE)</f>
        <v>&gt;1,000,000</v>
      </c>
      <c r="AE265" s="33">
        <v>1</v>
      </c>
      <c r="AF265" s="39">
        <v>1</v>
      </c>
      <c r="AG265" s="39">
        <v>1</v>
      </c>
      <c r="AH265" s="39">
        <v>1</v>
      </c>
      <c r="AI265" s="39">
        <v>1</v>
      </c>
      <c r="AJ265" s="40" t="s">
        <v>160</v>
      </c>
      <c r="AK265" s="41">
        <v>5000</v>
      </c>
      <c r="AL265" s="25"/>
      <c r="AM265" s="25"/>
    </row>
    <row r="266" spans="2:39" x14ac:dyDescent="0.2">
      <c r="B266" s="50" t="s">
        <v>239</v>
      </c>
      <c r="C266" s="36">
        <v>0.39166666666666666</v>
      </c>
      <c r="D266" s="36"/>
      <c r="E266" s="36" t="s">
        <v>164</v>
      </c>
      <c r="F266" s="38">
        <v>2</v>
      </c>
      <c r="G266" s="43" t="str">
        <f>VLOOKUP(F266,Key!$A$17:$B$21,2,FALSE)</f>
        <v>Road Vehicle</v>
      </c>
      <c r="H266" s="37">
        <v>4</v>
      </c>
      <c r="I266" s="44" t="str">
        <f>VLOOKUP(H266,Key!$A$2:$B$13,2,FALSE)</f>
        <v>Minibus</v>
      </c>
      <c r="J266" s="38" t="s">
        <v>165</v>
      </c>
      <c r="K266" s="38">
        <v>4</v>
      </c>
      <c r="L266" s="45" t="str">
        <f>VLOOKUP(K266,Key!$A$24:$B$29,2,FALSE)</f>
        <v>50-59</v>
      </c>
      <c r="M266" s="38" t="s">
        <v>168</v>
      </c>
      <c r="N266" s="33" t="s">
        <v>161</v>
      </c>
      <c r="O266" s="38" t="s">
        <v>159</v>
      </c>
      <c r="P266" s="40">
        <v>1</v>
      </c>
      <c r="Q266" s="35" t="str">
        <f>VLOOKUP(P266,Key!$E$2:$F$9,2,FALSE)</f>
        <v>Home</v>
      </c>
      <c r="R266" s="38" t="s">
        <v>246</v>
      </c>
      <c r="S266" s="33" t="s">
        <v>247</v>
      </c>
      <c r="T266" s="38" t="s">
        <v>159</v>
      </c>
      <c r="U266" s="33">
        <v>3</v>
      </c>
      <c r="V266" s="35" t="str">
        <f>VLOOKUP(U266,Key!$E$2:$F$9,2,FALSE)</f>
        <v>Study</v>
      </c>
      <c r="W266" s="35" t="str">
        <f>Q266&amp;"-"&amp;V266</f>
        <v>Home-Study</v>
      </c>
      <c r="X266" s="51">
        <v>25000</v>
      </c>
      <c r="Y266" s="39">
        <v>260</v>
      </c>
      <c r="Z266" s="39">
        <v>3</v>
      </c>
      <c r="AA266" s="33">
        <v>1</v>
      </c>
      <c r="AB266" s="35" t="str">
        <f>VLOOKUP(AA266,Key!$C$20:$D$29,2,FALSE)</f>
        <v>Unemployed</v>
      </c>
      <c r="AC266" s="33">
        <v>1</v>
      </c>
      <c r="AD266" s="35" t="str">
        <f>VLOOKUP(AC266,Key!$E$20:$F$24,2,FALSE)</f>
        <v>&lt;300,000</v>
      </c>
      <c r="AE266" s="33">
        <v>1</v>
      </c>
      <c r="AF266" s="39">
        <v>1</v>
      </c>
      <c r="AG266" s="39">
        <v>1</v>
      </c>
      <c r="AH266" s="39">
        <v>1</v>
      </c>
      <c r="AI266" s="39">
        <v>5</v>
      </c>
      <c r="AJ266" s="40" t="s">
        <v>160</v>
      </c>
      <c r="AK266" s="41">
        <v>0</v>
      </c>
      <c r="AL266" s="25"/>
      <c r="AM266" s="25"/>
    </row>
    <row r="267" spans="2:39" x14ac:dyDescent="0.2">
      <c r="B267" s="50" t="s">
        <v>321</v>
      </c>
      <c r="C267" s="36">
        <v>0.39027777777777778</v>
      </c>
      <c r="D267" s="36"/>
      <c r="E267" s="36" t="s">
        <v>164</v>
      </c>
      <c r="F267" s="38">
        <v>2</v>
      </c>
      <c r="G267" s="43" t="str">
        <f>VLOOKUP(F267,Key!$A$17:$B$21,2,FALSE)</f>
        <v>Road Vehicle</v>
      </c>
      <c r="H267" s="37">
        <v>4</v>
      </c>
      <c r="I267" s="44" t="str">
        <f>VLOOKUP(H267,Key!$A$2:$B$13,2,FALSE)</f>
        <v>Minibus</v>
      </c>
      <c r="J267" s="38" t="s">
        <v>165</v>
      </c>
      <c r="K267" s="38">
        <v>4</v>
      </c>
      <c r="L267" s="45" t="str">
        <f>VLOOKUP(K267,Key!$A$24:$B$29,2,FALSE)</f>
        <v>50-59</v>
      </c>
      <c r="M267" s="38" t="s">
        <v>168</v>
      </c>
      <c r="N267" s="33" t="s">
        <v>161</v>
      </c>
      <c r="O267" s="38" t="s">
        <v>159</v>
      </c>
      <c r="P267" s="40">
        <v>1</v>
      </c>
      <c r="Q267" s="35" t="str">
        <f>VLOOKUP(P267,Key!$E$2:$F$9,2,FALSE)</f>
        <v>Home</v>
      </c>
      <c r="R267" s="38" t="s">
        <v>185</v>
      </c>
      <c r="S267" s="33" t="s">
        <v>186</v>
      </c>
      <c r="T267" s="38" t="s">
        <v>159</v>
      </c>
      <c r="U267" s="33">
        <v>7</v>
      </c>
      <c r="V267" s="35" t="str">
        <f>VLOOKUP(U267,Key!$E$2:$F$9,2,FALSE)</f>
        <v>Hospital</v>
      </c>
      <c r="W267" s="35" t="str">
        <f>Q267&amp;"-"&amp;V267</f>
        <v>Home-Hospital</v>
      </c>
      <c r="X267" s="51">
        <v>15000</v>
      </c>
      <c r="Y267" s="39">
        <v>139</v>
      </c>
      <c r="Z267" s="39">
        <v>2</v>
      </c>
      <c r="AA267" s="33">
        <v>2</v>
      </c>
      <c r="AB267" s="35" t="str">
        <f>VLOOKUP(AA267,Key!$C$20:$D$29,2,FALSE)</f>
        <v>Manual Labour</v>
      </c>
      <c r="AC267" s="33">
        <v>2</v>
      </c>
      <c r="AD267" s="35" t="str">
        <f>VLOOKUP(AC267,Key!$E$20:$F$24,2,FALSE)</f>
        <v>300,000-500,000</v>
      </c>
      <c r="AE267" s="33">
        <v>1</v>
      </c>
      <c r="AF267" s="39">
        <v>1</v>
      </c>
      <c r="AG267" s="39">
        <v>1</v>
      </c>
      <c r="AH267" s="39">
        <v>1</v>
      </c>
      <c r="AI267" s="39">
        <v>1</v>
      </c>
      <c r="AJ267" s="40" t="s">
        <v>160</v>
      </c>
      <c r="AK267" s="41">
        <v>1000</v>
      </c>
      <c r="AL267" s="25"/>
      <c r="AM267" s="25"/>
    </row>
    <row r="268" spans="2:39" x14ac:dyDescent="0.2">
      <c r="B268" s="50" t="s">
        <v>163</v>
      </c>
      <c r="C268" s="36">
        <v>0.76180555555555562</v>
      </c>
      <c r="D268" s="36" t="s">
        <v>226</v>
      </c>
      <c r="E268" s="36" t="s">
        <v>173</v>
      </c>
      <c r="F268" s="38">
        <v>2</v>
      </c>
      <c r="G268" s="43" t="str">
        <f>VLOOKUP(F268,Key!$A$17:$B$21,2,FALSE)</f>
        <v>Road Vehicle</v>
      </c>
      <c r="H268" s="37">
        <v>4</v>
      </c>
      <c r="I268" s="44" t="str">
        <f>VLOOKUP(H268,Key!$A$2:$B$13,2,FALSE)</f>
        <v>Minibus</v>
      </c>
      <c r="J268" s="38" t="s">
        <v>174</v>
      </c>
      <c r="K268" s="38">
        <v>4</v>
      </c>
      <c r="L268" s="45" t="str">
        <f>VLOOKUP(K268,Key!$A$24:$B$29,2,FALSE)</f>
        <v>50-59</v>
      </c>
      <c r="M268" s="38" t="s">
        <v>168</v>
      </c>
      <c r="N268" s="33" t="s">
        <v>161</v>
      </c>
      <c r="O268" s="38" t="s">
        <v>159</v>
      </c>
      <c r="P268" s="40">
        <v>4</v>
      </c>
      <c r="Q268" s="35" t="str">
        <f>VLOOKUP(P268,Key!$E$2:$F$9,2,FALSE)</f>
        <v>Commercial</v>
      </c>
      <c r="R268" s="38" t="s">
        <v>227</v>
      </c>
      <c r="S268" s="33" t="s">
        <v>228</v>
      </c>
      <c r="T268" s="38" t="s">
        <v>159</v>
      </c>
      <c r="U268" s="33">
        <v>4</v>
      </c>
      <c r="V268" s="35" t="str">
        <f>VLOOKUP(U268,Key!$E$2:$F$9,2,FALSE)</f>
        <v>Commercial</v>
      </c>
      <c r="W268" s="35" t="str">
        <f>Q268&amp;"-"&amp;V268</f>
        <v>Commercial-Commercial</v>
      </c>
      <c r="X268" s="51">
        <v>200000</v>
      </c>
      <c r="Y268" s="39">
        <v>460</v>
      </c>
      <c r="Z268" s="39">
        <v>4</v>
      </c>
      <c r="AA268" s="33">
        <v>5</v>
      </c>
      <c r="AB268" s="35" t="str">
        <f>VLOOKUP(AA268,Key!$C$20:$D$29,2,FALSE)</f>
        <v>Professional</v>
      </c>
      <c r="AC268" s="33">
        <v>2</v>
      </c>
      <c r="AD268" s="35" t="str">
        <f>VLOOKUP(AC268,Key!$E$20:$F$24,2,FALSE)</f>
        <v>300,000-500,000</v>
      </c>
      <c r="AE268" s="33">
        <v>5</v>
      </c>
      <c r="AF268" s="39">
        <v>5</v>
      </c>
      <c r="AG268" s="39">
        <v>1</v>
      </c>
      <c r="AH268" s="39">
        <v>5</v>
      </c>
      <c r="AI268" s="39">
        <v>5</v>
      </c>
      <c r="AJ268" s="40" t="s">
        <v>160</v>
      </c>
      <c r="AK268" s="41">
        <v>2000</v>
      </c>
      <c r="AL268" s="25"/>
      <c r="AM268" s="25"/>
    </row>
    <row r="269" spans="2:39" x14ac:dyDescent="0.2">
      <c r="B269" s="50" t="s">
        <v>239</v>
      </c>
      <c r="C269" s="36">
        <v>0.42708333333333331</v>
      </c>
      <c r="D269" s="36"/>
      <c r="E269" s="36" t="s">
        <v>164</v>
      </c>
      <c r="F269" s="38">
        <v>2</v>
      </c>
      <c r="G269" s="43" t="str">
        <f>VLOOKUP(F269,Key!$A$17:$B$21,2,FALSE)</f>
        <v>Road Vehicle</v>
      </c>
      <c r="H269" s="37">
        <v>4</v>
      </c>
      <c r="I269" s="44" t="str">
        <f>VLOOKUP(H269,Key!$A$2:$B$13,2,FALSE)</f>
        <v>Minibus</v>
      </c>
      <c r="J269" s="38" t="s">
        <v>174</v>
      </c>
      <c r="K269" s="38">
        <v>4</v>
      </c>
      <c r="L269" s="45" t="str">
        <f>VLOOKUP(K269,Key!$A$24:$B$29,2,FALSE)</f>
        <v>50-59</v>
      </c>
      <c r="M269" s="38" t="s">
        <v>255</v>
      </c>
      <c r="N269" s="33" t="s">
        <v>161</v>
      </c>
      <c r="O269" s="38" t="s">
        <v>159</v>
      </c>
      <c r="P269" s="40">
        <v>1</v>
      </c>
      <c r="Q269" s="35" t="str">
        <f>VLOOKUP(P269,Key!$E$2:$F$9,2,FALSE)</f>
        <v>Home</v>
      </c>
      <c r="R269" s="38" t="s">
        <v>168</v>
      </c>
      <c r="S269" s="33" t="s">
        <v>161</v>
      </c>
      <c r="T269" s="38" t="s">
        <v>159</v>
      </c>
      <c r="U269" s="33">
        <v>1</v>
      </c>
      <c r="V269" s="35" t="str">
        <f>VLOOKUP(U269,Key!$E$2:$F$9,2,FALSE)</f>
        <v>Home</v>
      </c>
      <c r="W269" s="35" t="str">
        <f>Q269&amp;"-"&amp;V269</f>
        <v>Home-Home</v>
      </c>
      <c r="X269" s="51">
        <v>7000</v>
      </c>
      <c r="Y269" s="39">
        <v>3</v>
      </c>
      <c r="Z269" s="39">
        <v>0.5</v>
      </c>
      <c r="AA269" s="33">
        <v>4</v>
      </c>
      <c r="AB269" s="35" t="str">
        <f>VLOOKUP(AA269,Key!$C$20:$D$29,2,FALSE)</f>
        <v>Office Worker</v>
      </c>
      <c r="AC269" s="33">
        <v>3</v>
      </c>
      <c r="AD269" s="35" t="str">
        <f>VLOOKUP(AC269,Key!$E$20:$F$24,2,FALSE)</f>
        <v>500,000-750,000</v>
      </c>
      <c r="AE269" s="33">
        <v>1</v>
      </c>
      <c r="AF269" s="39">
        <v>5</v>
      </c>
      <c r="AG269" s="39">
        <v>5</v>
      </c>
      <c r="AH269" s="39">
        <v>5</v>
      </c>
      <c r="AI269" s="39">
        <v>1</v>
      </c>
      <c r="AJ269" s="40" t="s">
        <v>160</v>
      </c>
      <c r="AK269" s="41">
        <v>2000</v>
      </c>
      <c r="AL269" s="25"/>
      <c r="AM269" s="25"/>
    </row>
    <row r="270" spans="2:39" x14ac:dyDescent="0.2">
      <c r="B270" s="50" t="s">
        <v>239</v>
      </c>
      <c r="C270" s="36">
        <v>0.49791666666666662</v>
      </c>
      <c r="D270" s="36" t="s">
        <v>268</v>
      </c>
      <c r="E270" s="36" t="s">
        <v>173</v>
      </c>
      <c r="F270" s="38">
        <v>2</v>
      </c>
      <c r="G270" s="43" t="str">
        <f>VLOOKUP(F270,Key!$A$17:$B$21,2,FALSE)</f>
        <v>Road Vehicle</v>
      </c>
      <c r="H270" s="37">
        <v>4</v>
      </c>
      <c r="I270" s="44" t="str">
        <f>VLOOKUP(H270,Key!$A$2:$B$13,2,FALSE)</f>
        <v>Minibus</v>
      </c>
      <c r="J270" s="38" t="s">
        <v>174</v>
      </c>
      <c r="K270" s="38">
        <v>4</v>
      </c>
      <c r="L270" s="45" t="str">
        <f>VLOOKUP(K270,Key!$A$24:$B$29,2,FALSE)</f>
        <v>50-59</v>
      </c>
      <c r="M270" s="38" t="s">
        <v>168</v>
      </c>
      <c r="N270" s="33" t="s">
        <v>161</v>
      </c>
      <c r="O270" s="38" t="s">
        <v>159</v>
      </c>
      <c r="P270" s="40">
        <v>4</v>
      </c>
      <c r="Q270" s="35" t="str">
        <f>VLOOKUP(P270,Key!$E$2:$F$9,2,FALSE)</f>
        <v>Commercial</v>
      </c>
      <c r="R270" s="38" t="s">
        <v>194</v>
      </c>
      <c r="S270" s="33" t="s">
        <v>161</v>
      </c>
      <c r="T270" s="38" t="s">
        <v>159</v>
      </c>
      <c r="U270" s="33">
        <v>4</v>
      </c>
      <c r="V270" s="35" t="str">
        <f>VLOOKUP(U270,Key!$E$2:$F$9,2,FALSE)</f>
        <v>Commercial</v>
      </c>
      <c r="W270" s="35" t="str">
        <f>Q270&amp;"-"&amp;V270</f>
        <v>Commercial-Commercial</v>
      </c>
      <c r="X270" s="51">
        <v>30000</v>
      </c>
      <c r="Y270" s="39">
        <v>42</v>
      </c>
      <c r="Z270" s="39">
        <v>0.66</v>
      </c>
      <c r="AA270" s="33">
        <v>5</v>
      </c>
      <c r="AB270" s="35" t="str">
        <f>VLOOKUP(AA270,Key!$C$20:$D$29,2,FALSE)</f>
        <v>Professional</v>
      </c>
      <c r="AC270" s="33">
        <v>2</v>
      </c>
      <c r="AD270" s="35" t="str">
        <f>VLOOKUP(AC270,Key!$E$20:$F$24,2,FALSE)</f>
        <v>300,000-500,000</v>
      </c>
      <c r="AE270" s="33">
        <v>5</v>
      </c>
      <c r="AF270" s="39">
        <v>5</v>
      </c>
      <c r="AG270" s="39">
        <v>5</v>
      </c>
      <c r="AH270" s="39">
        <v>5</v>
      </c>
      <c r="AI270" s="39">
        <v>5</v>
      </c>
      <c r="AJ270" s="40" t="s">
        <v>160</v>
      </c>
      <c r="AK270" s="41">
        <v>1000</v>
      </c>
      <c r="AL270" s="25"/>
      <c r="AM270" s="25"/>
    </row>
    <row r="271" spans="2:39" x14ac:dyDescent="0.2">
      <c r="B271" s="50" t="s">
        <v>239</v>
      </c>
      <c r="C271" s="36">
        <v>0.51180555555555551</v>
      </c>
      <c r="D271" s="36" t="s">
        <v>269</v>
      </c>
      <c r="E271" s="36" t="s">
        <v>173</v>
      </c>
      <c r="F271" s="38">
        <v>2</v>
      </c>
      <c r="G271" s="43" t="str">
        <f>VLOOKUP(F271,Key!$A$17:$B$21,2,FALSE)</f>
        <v>Road Vehicle</v>
      </c>
      <c r="H271" s="37">
        <v>4</v>
      </c>
      <c r="I271" s="44" t="str">
        <f>VLOOKUP(H271,Key!$A$2:$B$13,2,FALSE)</f>
        <v>Minibus</v>
      </c>
      <c r="J271" s="38" t="s">
        <v>174</v>
      </c>
      <c r="K271" s="38">
        <v>4</v>
      </c>
      <c r="L271" s="45" t="str">
        <f>VLOOKUP(K271,Key!$A$24:$B$29,2,FALSE)</f>
        <v>50-59</v>
      </c>
      <c r="M271" s="38" t="s">
        <v>188</v>
      </c>
      <c r="N271" s="33" t="s">
        <v>161</v>
      </c>
      <c r="O271" s="38" t="s">
        <v>159</v>
      </c>
      <c r="P271" s="40">
        <v>4</v>
      </c>
      <c r="Q271" s="35" t="str">
        <f>VLOOKUP(P271,Key!$E$2:$F$9,2,FALSE)</f>
        <v>Commercial</v>
      </c>
      <c r="R271" s="38" t="s">
        <v>168</v>
      </c>
      <c r="S271" s="33" t="s">
        <v>161</v>
      </c>
      <c r="T271" s="38" t="s">
        <v>159</v>
      </c>
      <c r="U271" s="33">
        <v>4</v>
      </c>
      <c r="V271" s="35" t="str">
        <f>VLOOKUP(U271,Key!$E$2:$F$9,2,FALSE)</f>
        <v>Commercial</v>
      </c>
      <c r="W271" s="35" t="str">
        <f>Q271&amp;"-"&amp;V271</f>
        <v>Commercial-Commercial</v>
      </c>
      <c r="X271" s="51">
        <v>10000</v>
      </c>
      <c r="Y271" s="39">
        <v>2</v>
      </c>
      <c r="Z271" s="39">
        <v>0.28000000000000003</v>
      </c>
      <c r="AA271" s="33">
        <v>5</v>
      </c>
      <c r="AB271" s="35" t="str">
        <f>VLOOKUP(AA271,Key!$C$20:$D$29,2,FALSE)</f>
        <v>Professional</v>
      </c>
      <c r="AC271" s="33">
        <v>2</v>
      </c>
      <c r="AD271" s="35" t="str">
        <f>VLOOKUP(AC271,Key!$E$20:$F$24,2,FALSE)</f>
        <v>300,000-500,000</v>
      </c>
      <c r="AE271" s="33">
        <v>5</v>
      </c>
      <c r="AF271" s="39">
        <v>5</v>
      </c>
      <c r="AG271" s="39">
        <v>1</v>
      </c>
      <c r="AH271" s="39">
        <v>5</v>
      </c>
      <c r="AI271" s="39">
        <v>1</v>
      </c>
      <c r="AJ271" s="40" t="s">
        <v>160</v>
      </c>
      <c r="AK271" s="41">
        <v>2000</v>
      </c>
      <c r="AL271" s="25"/>
      <c r="AM271" s="25"/>
    </row>
    <row r="272" spans="2:39" x14ac:dyDescent="0.2">
      <c r="B272" s="50" t="s">
        <v>239</v>
      </c>
      <c r="C272" s="36">
        <v>0.62916666666666665</v>
      </c>
      <c r="D272" s="36"/>
      <c r="E272" s="36" t="s">
        <v>164</v>
      </c>
      <c r="F272" s="38">
        <v>2</v>
      </c>
      <c r="G272" s="43" t="str">
        <f>VLOOKUP(F272,Key!$A$17:$B$21,2,FALSE)</f>
        <v>Road Vehicle</v>
      </c>
      <c r="H272" s="37">
        <v>4</v>
      </c>
      <c r="I272" s="44" t="str">
        <f>VLOOKUP(H272,Key!$A$2:$B$13,2,FALSE)</f>
        <v>Minibus</v>
      </c>
      <c r="J272" s="38" t="s">
        <v>174</v>
      </c>
      <c r="K272" s="38">
        <v>4</v>
      </c>
      <c r="L272" s="45" t="str">
        <f>VLOOKUP(K272,Key!$A$24:$B$29,2,FALSE)</f>
        <v>50-59</v>
      </c>
      <c r="M272" s="38" t="s">
        <v>168</v>
      </c>
      <c r="N272" s="33" t="s">
        <v>161</v>
      </c>
      <c r="O272" s="38" t="s">
        <v>159</v>
      </c>
      <c r="P272" s="40">
        <v>1</v>
      </c>
      <c r="Q272" s="35" t="str">
        <f>VLOOKUP(P272,Key!$E$2:$F$9,2,FALSE)</f>
        <v>Home</v>
      </c>
      <c r="R272" s="38" t="s">
        <v>171</v>
      </c>
      <c r="S272" s="33" t="s">
        <v>172</v>
      </c>
      <c r="T272" s="38" t="s">
        <v>159</v>
      </c>
      <c r="U272" s="33">
        <v>2</v>
      </c>
      <c r="V272" s="35" t="str">
        <f>VLOOKUP(U272,Key!$E$2:$F$9,2,FALSE)</f>
        <v>Work</v>
      </c>
      <c r="W272" s="35" t="str">
        <f>Q272&amp;"-"&amp;V272</f>
        <v>Home-Work</v>
      </c>
      <c r="X272" s="51">
        <v>40000</v>
      </c>
      <c r="Y272" s="39">
        <v>399</v>
      </c>
      <c r="Z272" s="39">
        <v>5</v>
      </c>
      <c r="AA272" s="33">
        <v>5</v>
      </c>
      <c r="AB272" s="35" t="str">
        <f>VLOOKUP(AA272,Key!$C$20:$D$29,2,FALSE)</f>
        <v>Professional</v>
      </c>
      <c r="AC272" s="33">
        <v>3</v>
      </c>
      <c r="AD272" s="35" t="str">
        <f>VLOOKUP(AC272,Key!$E$20:$F$24,2,FALSE)</f>
        <v>500,000-750,000</v>
      </c>
      <c r="AE272" s="33">
        <v>5</v>
      </c>
      <c r="AF272" s="39">
        <v>5</v>
      </c>
      <c r="AG272" s="39">
        <v>1</v>
      </c>
      <c r="AH272" s="39">
        <v>5</v>
      </c>
      <c r="AI272" s="39">
        <v>1</v>
      </c>
      <c r="AJ272" s="40" t="s">
        <v>160</v>
      </c>
      <c r="AK272" s="41">
        <v>10000</v>
      </c>
      <c r="AL272" s="25"/>
      <c r="AM272" s="25"/>
    </row>
    <row r="273" spans="2:39" x14ac:dyDescent="0.2">
      <c r="B273" s="50" t="s">
        <v>239</v>
      </c>
      <c r="C273" s="36">
        <v>0.69166666666666676</v>
      </c>
      <c r="D273" s="36" t="s">
        <v>280</v>
      </c>
      <c r="E273" s="36" t="s">
        <v>173</v>
      </c>
      <c r="F273" s="38">
        <v>2</v>
      </c>
      <c r="G273" s="43" t="str">
        <f>VLOOKUP(F273,Key!$A$17:$B$21,2,FALSE)</f>
        <v>Road Vehicle</v>
      </c>
      <c r="H273" s="37">
        <v>4</v>
      </c>
      <c r="I273" s="44" t="str">
        <f>VLOOKUP(H273,Key!$A$2:$B$13,2,FALSE)</f>
        <v>Minibus</v>
      </c>
      <c r="J273" s="38" t="s">
        <v>174</v>
      </c>
      <c r="K273" s="38">
        <v>4</v>
      </c>
      <c r="L273" s="45" t="str">
        <f>VLOOKUP(K273,Key!$A$24:$B$29,2,FALSE)</f>
        <v>50-59</v>
      </c>
      <c r="M273" s="38" t="s">
        <v>168</v>
      </c>
      <c r="N273" s="33" t="s">
        <v>161</v>
      </c>
      <c r="O273" s="38" t="s">
        <v>159</v>
      </c>
      <c r="P273" s="40">
        <v>4</v>
      </c>
      <c r="Q273" s="35" t="str">
        <f>VLOOKUP(P273,Key!$E$2:$F$9,2,FALSE)</f>
        <v>Commercial</v>
      </c>
      <c r="R273" s="38" t="s">
        <v>259</v>
      </c>
      <c r="S273" s="33" t="s">
        <v>260</v>
      </c>
      <c r="T273" s="38" t="s">
        <v>159</v>
      </c>
      <c r="U273" s="33">
        <v>4</v>
      </c>
      <c r="V273" s="35" t="str">
        <f>VLOOKUP(U273,Key!$E$2:$F$9,2,FALSE)</f>
        <v>Commercial</v>
      </c>
      <c r="W273" s="35" t="str">
        <f>Q273&amp;"-"&amp;V273</f>
        <v>Commercial-Commercial</v>
      </c>
      <c r="X273" s="51">
        <v>100000</v>
      </c>
      <c r="Y273" s="39">
        <v>560</v>
      </c>
      <c r="Z273" s="39">
        <v>5</v>
      </c>
      <c r="AA273" s="33">
        <v>5</v>
      </c>
      <c r="AB273" s="35" t="str">
        <f>VLOOKUP(AA273,Key!$C$20:$D$29,2,FALSE)</f>
        <v>Professional</v>
      </c>
      <c r="AC273" s="33">
        <v>2</v>
      </c>
      <c r="AD273" s="35" t="str">
        <f>VLOOKUP(AC273,Key!$E$20:$F$24,2,FALSE)</f>
        <v>300,000-500,000</v>
      </c>
      <c r="AE273" s="33">
        <v>5</v>
      </c>
      <c r="AF273" s="39">
        <v>5</v>
      </c>
      <c r="AG273" s="39">
        <v>5</v>
      </c>
      <c r="AH273" s="39">
        <v>5</v>
      </c>
      <c r="AI273" s="39">
        <v>1</v>
      </c>
      <c r="AJ273" s="40" t="s">
        <v>160</v>
      </c>
      <c r="AK273" s="41">
        <v>5000</v>
      </c>
      <c r="AL273" s="25"/>
      <c r="AM273" s="25"/>
    </row>
    <row r="274" spans="2:39" x14ac:dyDescent="0.2">
      <c r="B274" s="50" t="s">
        <v>321</v>
      </c>
      <c r="C274" s="36">
        <v>0.31736111111111115</v>
      </c>
      <c r="D274" s="36"/>
      <c r="E274" s="36" t="s">
        <v>173</v>
      </c>
      <c r="F274" s="38">
        <v>2</v>
      </c>
      <c r="G274" s="43" t="str">
        <f>VLOOKUP(F274,Key!$A$17:$B$21,2,FALSE)</f>
        <v>Road Vehicle</v>
      </c>
      <c r="H274" s="37">
        <v>4</v>
      </c>
      <c r="I274" s="44" t="str">
        <f>VLOOKUP(H274,Key!$A$2:$B$13,2,FALSE)</f>
        <v>Minibus</v>
      </c>
      <c r="J274" s="38" t="s">
        <v>174</v>
      </c>
      <c r="K274" s="38">
        <v>4</v>
      </c>
      <c r="L274" s="45" t="str">
        <f>VLOOKUP(K274,Key!$A$24:$B$29,2,FALSE)</f>
        <v>50-59</v>
      </c>
      <c r="M274" s="38" t="s">
        <v>211</v>
      </c>
      <c r="N274" s="33" t="s">
        <v>170</v>
      </c>
      <c r="O274" s="38" t="s">
        <v>159</v>
      </c>
      <c r="P274" s="40">
        <v>4</v>
      </c>
      <c r="Q274" s="35" t="str">
        <f>VLOOKUP(P274,Key!$E$2:$F$9,2,FALSE)</f>
        <v>Commercial</v>
      </c>
      <c r="R274" s="38" t="s">
        <v>171</v>
      </c>
      <c r="S274" s="33" t="s">
        <v>172</v>
      </c>
      <c r="T274" s="38" t="s">
        <v>159</v>
      </c>
      <c r="U274" s="33">
        <v>4</v>
      </c>
      <c r="V274" s="35" t="str">
        <f>VLOOKUP(U274,Key!$E$2:$F$9,2,FALSE)</f>
        <v>Commercial</v>
      </c>
      <c r="W274" s="35" t="str">
        <f>Q274&amp;"-"&amp;V274</f>
        <v>Commercial-Commercial</v>
      </c>
      <c r="X274" s="51">
        <v>200000</v>
      </c>
      <c r="Y274" s="39">
        <v>470</v>
      </c>
      <c r="Z274" s="39">
        <v>8</v>
      </c>
      <c r="AA274" s="33">
        <v>5</v>
      </c>
      <c r="AB274" s="35" t="str">
        <f>VLOOKUP(AA274,Key!$C$20:$D$29,2,FALSE)</f>
        <v>Professional</v>
      </c>
      <c r="AC274" s="33">
        <v>2</v>
      </c>
      <c r="AD274" s="35" t="str">
        <f>VLOOKUP(AC274,Key!$E$20:$F$24,2,FALSE)</f>
        <v>300,000-500,000</v>
      </c>
      <c r="AE274" s="33">
        <v>5</v>
      </c>
      <c r="AF274" s="39">
        <v>1</v>
      </c>
      <c r="AG274" s="39">
        <v>5</v>
      </c>
      <c r="AH274" s="39">
        <v>5</v>
      </c>
      <c r="AI274" s="39">
        <v>5</v>
      </c>
      <c r="AJ274" s="40" t="s">
        <v>160</v>
      </c>
      <c r="AK274" s="41">
        <v>1000</v>
      </c>
      <c r="AL274" s="25"/>
      <c r="AM274" s="25"/>
    </row>
    <row r="275" spans="2:39" x14ac:dyDescent="0.2">
      <c r="B275" s="50" t="s">
        <v>321</v>
      </c>
      <c r="C275" s="36">
        <v>0.39930555555555558</v>
      </c>
      <c r="D275" s="36"/>
      <c r="E275" s="36" t="s">
        <v>173</v>
      </c>
      <c r="F275" s="38">
        <v>2</v>
      </c>
      <c r="G275" s="43" t="str">
        <f>VLOOKUP(F275,Key!$A$17:$B$21,2,FALSE)</f>
        <v>Road Vehicle</v>
      </c>
      <c r="H275" s="37">
        <v>4</v>
      </c>
      <c r="I275" s="44" t="str">
        <f>VLOOKUP(H275,Key!$A$2:$B$13,2,FALSE)</f>
        <v>Minibus</v>
      </c>
      <c r="J275" s="38" t="s">
        <v>174</v>
      </c>
      <c r="K275" s="38">
        <v>4</v>
      </c>
      <c r="L275" s="45" t="str">
        <f>VLOOKUP(K275,Key!$A$24:$B$29,2,FALSE)</f>
        <v>50-59</v>
      </c>
      <c r="M275" s="38" t="s">
        <v>168</v>
      </c>
      <c r="N275" s="33" t="s">
        <v>161</v>
      </c>
      <c r="O275" s="38" t="s">
        <v>159</v>
      </c>
      <c r="P275" s="40">
        <v>4</v>
      </c>
      <c r="Q275" s="35" t="str">
        <f>VLOOKUP(P275,Key!$E$2:$F$9,2,FALSE)</f>
        <v>Commercial</v>
      </c>
      <c r="R275" s="38" t="s">
        <v>270</v>
      </c>
      <c r="S275" s="33" t="s">
        <v>271</v>
      </c>
      <c r="T275" s="38" t="s">
        <v>159</v>
      </c>
      <c r="U275" s="33">
        <v>4</v>
      </c>
      <c r="V275" s="35" t="str">
        <f>VLOOKUP(U275,Key!$E$2:$F$9,2,FALSE)</f>
        <v>Commercial</v>
      </c>
      <c r="W275" s="35" t="str">
        <f>Q275&amp;"-"&amp;V275</f>
        <v>Commercial-Commercial</v>
      </c>
      <c r="X275" s="51">
        <v>300000</v>
      </c>
      <c r="Y275" s="39">
        <v>360</v>
      </c>
      <c r="Z275" s="39">
        <v>3</v>
      </c>
      <c r="AA275" s="33">
        <v>5</v>
      </c>
      <c r="AB275" s="35" t="str">
        <f>VLOOKUP(AA275,Key!$C$20:$D$29,2,FALSE)</f>
        <v>Professional</v>
      </c>
      <c r="AC275" s="33">
        <v>2</v>
      </c>
      <c r="AD275" s="35" t="str">
        <f>VLOOKUP(AC275,Key!$E$20:$F$24,2,FALSE)</f>
        <v>300,000-500,000</v>
      </c>
      <c r="AE275" s="33">
        <v>1</v>
      </c>
      <c r="AF275" s="39">
        <v>5</v>
      </c>
      <c r="AG275" s="39">
        <v>5</v>
      </c>
      <c r="AH275" s="39">
        <v>5</v>
      </c>
      <c r="AI275" s="39">
        <v>5</v>
      </c>
      <c r="AJ275" s="40" t="s">
        <v>160</v>
      </c>
      <c r="AK275" s="41">
        <v>1000</v>
      </c>
      <c r="AL275" s="25"/>
      <c r="AM275" s="25"/>
    </row>
    <row r="276" spans="2:39" x14ac:dyDescent="0.2">
      <c r="B276" s="50" t="s">
        <v>321</v>
      </c>
      <c r="C276" s="36">
        <v>0.43541666666666662</v>
      </c>
      <c r="D276" s="36"/>
      <c r="E276" s="36" t="s">
        <v>164</v>
      </c>
      <c r="F276" s="38">
        <v>2</v>
      </c>
      <c r="G276" s="43" t="str">
        <f>VLOOKUP(F276,Key!$A$17:$B$21,2,FALSE)</f>
        <v>Road Vehicle</v>
      </c>
      <c r="H276" s="37">
        <v>4</v>
      </c>
      <c r="I276" s="44" t="str">
        <f>VLOOKUP(H276,Key!$A$2:$B$13,2,FALSE)</f>
        <v>Minibus</v>
      </c>
      <c r="J276" s="38" t="s">
        <v>165</v>
      </c>
      <c r="K276" s="38">
        <v>5</v>
      </c>
      <c r="L276" s="45" t="str">
        <f>VLOOKUP(K276,Key!$A$24:$B$29,2,FALSE)</f>
        <v>60-69</v>
      </c>
      <c r="M276" s="38" t="s">
        <v>168</v>
      </c>
      <c r="N276" s="33" t="s">
        <v>161</v>
      </c>
      <c r="O276" s="38" t="s">
        <v>159</v>
      </c>
      <c r="P276" s="40">
        <v>1</v>
      </c>
      <c r="Q276" s="35" t="str">
        <f>VLOOKUP(P276,Key!$E$2:$F$9,2,FALSE)</f>
        <v>Home</v>
      </c>
      <c r="R276" s="38" t="s">
        <v>185</v>
      </c>
      <c r="S276" s="33" t="s">
        <v>186</v>
      </c>
      <c r="T276" s="38" t="s">
        <v>159</v>
      </c>
      <c r="U276" s="33">
        <v>7</v>
      </c>
      <c r="V276" s="35" t="str">
        <f>VLOOKUP(U276,Key!$E$2:$F$9,2,FALSE)</f>
        <v>Hospital</v>
      </c>
      <c r="W276" s="35" t="str">
        <f>Q276&amp;"-"&amp;V276</f>
        <v>Home-Hospital</v>
      </c>
      <c r="X276" s="51">
        <v>15000</v>
      </c>
      <c r="Y276" s="39">
        <v>136</v>
      </c>
      <c r="Z276" s="39">
        <v>2</v>
      </c>
      <c r="AA276" s="33">
        <v>3</v>
      </c>
      <c r="AB276" s="35" t="str">
        <f>VLOOKUP(AA276,Key!$C$20:$D$29,2,FALSE)</f>
        <v>Artisan/Domestic</v>
      </c>
      <c r="AC276" s="33">
        <v>2</v>
      </c>
      <c r="AD276" s="35" t="str">
        <f>VLOOKUP(AC276,Key!$E$20:$F$24,2,FALSE)</f>
        <v>300,000-500,000</v>
      </c>
      <c r="AE276" s="33">
        <v>1</v>
      </c>
      <c r="AF276" s="39">
        <v>1</v>
      </c>
      <c r="AG276" s="39">
        <v>1</v>
      </c>
      <c r="AH276" s="39">
        <v>1</v>
      </c>
      <c r="AI276" s="39">
        <v>1</v>
      </c>
      <c r="AJ276" s="40" t="s">
        <v>160</v>
      </c>
      <c r="AK276" s="41">
        <v>0</v>
      </c>
      <c r="AL276" s="25"/>
      <c r="AM276" s="25"/>
    </row>
    <row r="280" spans="2:39" x14ac:dyDescent="0.2">
      <c r="I280" t="s">
        <v>363</v>
      </c>
      <c r="J280" t="s">
        <v>364</v>
      </c>
      <c r="K280" t="s">
        <v>365</v>
      </c>
    </row>
    <row r="281" spans="2:39" x14ac:dyDescent="0.2">
      <c r="I281" t="s">
        <v>366</v>
      </c>
      <c r="J281">
        <v>132</v>
      </c>
      <c r="K281" s="54">
        <f>J281/$J$283</f>
        <v>0.49070631970260226</v>
      </c>
    </row>
    <row r="282" spans="2:39" x14ac:dyDescent="0.2">
      <c r="I282" t="s">
        <v>367</v>
      </c>
      <c r="J282">
        <v>137</v>
      </c>
      <c r="K282" s="54">
        <f t="shared" ref="K282:K283" si="0">J282/$J$283</f>
        <v>0.50929368029739774</v>
      </c>
    </row>
    <row r="283" spans="2:39" x14ac:dyDescent="0.2">
      <c r="I283" t="s">
        <v>368</v>
      </c>
      <c r="J283">
        <f>SUM(J281:J282)</f>
        <v>269</v>
      </c>
      <c r="K283" s="54">
        <f t="shared" si="0"/>
        <v>1</v>
      </c>
    </row>
    <row r="286" spans="2:39" ht="15" x14ac:dyDescent="0.25">
      <c r="I286" s="55" t="s">
        <v>369</v>
      </c>
      <c r="J286" s="56" t="s">
        <v>367</v>
      </c>
      <c r="K286" s="56" t="s">
        <v>366</v>
      </c>
      <c r="L286" s="57" t="s">
        <v>370</v>
      </c>
      <c r="M286" s="76" t="s">
        <v>365</v>
      </c>
      <c r="N286" s="76"/>
    </row>
    <row r="287" spans="2:39" x14ac:dyDescent="0.2">
      <c r="I287" s="14"/>
      <c r="J287" s="14"/>
      <c r="K287" s="14"/>
      <c r="L287" s="14"/>
      <c r="M287" s="58" t="s">
        <v>367</v>
      </c>
      <c r="N287" s="58" t="s">
        <v>366</v>
      </c>
    </row>
    <row r="288" spans="2:39" x14ac:dyDescent="0.2">
      <c r="I288" s="25" t="s">
        <v>41</v>
      </c>
      <c r="J288" s="14">
        <v>0</v>
      </c>
      <c r="K288" s="14">
        <v>2</v>
      </c>
      <c r="L288" s="59">
        <f>SUM(J288:K288)</f>
        <v>2</v>
      </c>
      <c r="M288" s="60">
        <f>J288/L288</f>
        <v>0</v>
      </c>
      <c r="N288" s="60">
        <f>K288/L288</f>
        <v>1</v>
      </c>
    </row>
    <row r="289" spans="9:17" x14ac:dyDescent="0.2">
      <c r="I289" s="25" t="s">
        <v>42</v>
      </c>
      <c r="J289" s="14">
        <v>2</v>
      </c>
      <c r="K289" s="14">
        <v>5</v>
      </c>
      <c r="L289" s="59">
        <f t="shared" ref="L289:L300" si="1">SUM(J289:K289)</f>
        <v>7</v>
      </c>
      <c r="M289" s="60">
        <f t="shared" ref="M289:M290" si="2">J289/L289</f>
        <v>0.2857142857142857</v>
      </c>
      <c r="N289" s="60">
        <f t="shared" ref="N289:N290" si="3">K289/L289</f>
        <v>0.7142857142857143</v>
      </c>
    </row>
    <row r="290" spans="9:17" x14ac:dyDescent="0.2">
      <c r="I290" s="25" t="s">
        <v>43</v>
      </c>
      <c r="J290" s="14">
        <v>3</v>
      </c>
      <c r="K290" s="14">
        <v>1</v>
      </c>
      <c r="L290" s="59">
        <f t="shared" si="1"/>
        <v>4</v>
      </c>
      <c r="M290" s="60">
        <f t="shared" si="2"/>
        <v>0.75</v>
      </c>
      <c r="N290" s="60">
        <f t="shared" si="3"/>
        <v>0.25</v>
      </c>
    </row>
    <row r="291" spans="9:17" x14ac:dyDescent="0.2">
      <c r="I291" s="25" t="s">
        <v>115</v>
      </c>
      <c r="J291" s="14">
        <v>68</v>
      </c>
      <c r="K291" s="14">
        <v>70</v>
      </c>
      <c r="L291" s="59">
        <f t="shared" si="1"/>
        <v>138</v>
      </c>
      <c r="M291" s="60">
        <f>J291/L291</f>
        <v>0.49275362318840582</v>
      </c>
      <c r="N291" s="60">
        <f>K291/L291</f>
        <v>0.50724637681159424</v>
      </c>
    </row>
    <row r="292" spans="9:17" x14ac:dyDescent="0.2">
      <c r="I292" s="25" t="s">
        <v>44</v>
      </c>
      <c r="J292" s="14">
        <v>1</v>
      </c>
      <c r="K292" s="14">
        <v>0</v>
      </c>
      <c r="L292" s="59">
        <f t="shared" si="1"/>
        <v>1</v>
      </c>
      <c r="M292" s="60">
        <v>0</v>
      </c>
      <c r="N292" s="60">
        <v>0</v>
      </c>
    </row>
    <row r="293" spans="9:17" x14ac:dyDescent="0.2">
      <c r="I293" s="25" t="s">
        <v>45</v>
      </c>
      <c r="J293" s="14">
        <v>58</v>
      </c>
      <c r="K293" s="14">
        <v>53</v>
      </c>
      <c r="L293" s="59">
        <f t="shared" si="1"/>
        <v>111</v>
      </c>
      <c r="M293" s="60">
        <f t="shared" ref="M293:M296" si="4">J293/L293</f>
        <v>0.52252252252252251</v>
      </c>
      <c r="N293" s="60">
        <f t="shared" ref="N293:N296" si="5">K293/L293</f>
        <v>0.47747747747747749</v>
      </c>
    </row>
    <row r="294" spans="9:17" x14ac:dyDescent="0.2">
      <c r="I294" s="25" t="s">
        <v>46</v>
      </c>
      <c r="J294" s="14">
        <v>3</v>
      </c>
      <c r="K294" s="14">
        <v>1</v>
      </c>
      <c r="L294" s="59">
        <f t="shared" si="1"/>
        <v>4</v>
      </c>
      <c r="M294" s="60">
        <f t="shared" si="4"/>
        <v>0.75</v>
      </c>
      <c r="N294" s="60">
        <f t="shared" si="5"/>
        <v>0.25</v>
      </c>
    </row>
    <row r="295" spans="9:17" x14ac:dyDescent="0.2">
      <c r="I295" s="25" t="s">
        <v>47</v>
      </c>
      <c r="J295" s="14">
        <v>1</v>
      </c>
      <c r="K295" s="14">
        <v>0</v>
      </c>
      <c r="L295" s="59">
        <f t="shared" si="1"/>
        <v>1</v>
      </c>
      <c r="M295" s="60">
        <f t="shared" si="4"/>
        <v>1</v>
      </c>
      <c r="N295" s="60">
        <f t="shared" si="5"/>
        <v>0</v>
      </c>
    </row>
    <row r="296" spans="9:17" x14ac:dyDescent="0.2">
      <c r="I296" s="25" t="s">
        <v>48</v>
      </c>
      <c r="J296" s="14">
        <v>1</v>
      </c>
      <c r="K296" s="14">
        <v>0</v>
      </c>
      <c r="L296" s="59">
        <f>SUM(J296:K296)</f>
        <v>1</v>
      </c>
      <c r="M296" s="60">
        <f t="shared" si="4"/>
        <v>1</v>
      </c>
      <c r="N296" s="60">
        <f t="shared" si="5"/>
        <v>0</v>
      </c>
    </row>
    <row r="297" spans="9:17" x14ac:dyDescent="0.2">
      <c r="I297" s="25" t="s">
        <v>49</v>
      </c>
      <c r="J297" s="14">
        <v>0</v>
      </c>
      <c r="K297" s="14">
        <v>0</v>
      </c>
      <c r="L297" s="59">
        <f t="shared" si="1"/>
        <v>0</v>
      </c>
      <c r="M297" s="60">
        <v>0</v>
      </c>
      <c r="N297" s="60">
        <v>0</v>
      </c>
    </row>
    <row r="298" spans="9:17" x14ac:dyDescent="0.2">
      <c r="I298" s="25" t="s">
        <v>51</v>
      </c>
      <c r="J298" s="14">
        <v>0</v>
      </c>
      <c r="K298" s="14">
        <v>0</v>
      </c>
      <c r="L298" s="59">
        <f t="shared" si="1"/>
        <v>0</v>
      </c>
      <c r="M298" s="60">
        <v>0</v>
      </c>
      <c r="N298" s="60">
        <v>0</v>
      </c>
    </row>
    <row r="299" spans="9:17" x14ac:dyDescent="0.2">
      <c r="I299" s="25" t="s">
        <v>50</v>
      </c>
      <c r="J299" s="14">
        <v>0</v>
      </c>
      <c r="K299" s="14">
        <v>0</v>
      </c>
      <c r="L299" s="59">
        <f t="shared" si="1"/>
        <v>0</v>
      </c>
      <c r="M299" s="60">
        <v>0</v>
      </c>
      <c r="N299" s="60">
        <v>0</v>
      </c>
    </row>
    <row r="300" spans="9:17" x14ac:dyDescent="0.2">
      <c r="I300" s="25" t="s">
        <v>371</v>
      </c>
      <c r="J300" s="59">
        <v>0</v>
      </c>
      <c r="K300" s="59">
        <v>0</v>
      </c>
      <c r="L300" s="59">
        <f t="shared" si="1"/>
        <v>0</v>
      </c>
      <c r="M300" s="60">
        <v>0</v>
      </c>
      <c r="N300" s="60">
        <v>0</v>
      </c>
    </row>
    <row r="303" spans="9:17" x14ac:dyDescent="0.2">
      <c r="I303" s="94" t="s">
        <v>372</v>
      </c>
      <c r="J303" s="95" t="s">
        <v>366</v>
      </c>
      <c r="K303" s="95" t="s">
        <v>367</v>
      </c>
      <c r="L303" s="95" t="s">
        <v>370</v>
      </c>
      <c r="M303" s="49"/>
      <c r="N303" s="94" t="s">
        <v>372</v>
      </c>
      <c r="O303" s="95" t="s">
        <v>366</v>
      </c>
      <c r="P303" s="95" t="s">
        <v>367</v>
      </c>
      <c r="Q303" s="95" t="s">
        <v>370</v>
      </c>
    </row>
    <row r="304" spans="9:17" x14ac:dyDescent="0.2">
      <c r="I304" s="33" t="s">
        <v>119</v>
      </c>
      <c r="J304" s="96">
        <v>26</v>
      </c>
      <c r="K304" s="96">
        <v>20</v>
      </c>
      <c r="L304" s="96">
        <f>SUM(J304:K304)</f>
        <v>46</v>
      </c>
      <c r="M304" s="49"/>
      <c r="N304" s="33" t="s">
        <v>119</v>
      </c>
      <c r="O304" s="97">
        <f>J304/$J$310</f>
        <v>0.203125</v>
      </c>
      <c r="P304" s="97">
        <f>K304/$K$310</f>
        <v>0.145985401459854</v>
      </c>
      <c r="Q304" s="97">
        <f>L304/$L$310</f>
        <v>0.17358490566037735</v>
      </c>
    </row>
    <row r="305" spans="9:17" x14ac:dyDescent="0.2">
      <c r="I305" s="33" t="s">
        <v>120</v>
      </c>
      <c r="J305" s="96">
        <v>86</v>
      </c>
      <c r="K305" s="96">
        <v>68</v>
      </c>
      <c r="L305" s="96">
        <f t="shared" ref="L305:L309" si="6">SUM(J305:K305)</f>
        <v>154</v>
      </c>
      <c r="M305" s="49"/>
      <c r="N305" s="33" t="s">
        <v>120</v>
      </c>
      <c r="O305" s="97">
        <f t="shared" ref="O305:O310" si="7">J305/$J$310</f>
        <v>0.671875</v>
      </c>
      <c r="P305" s="97">
        <f t="shared" ref="P305:P310" si="8">K305/$K$310</f>
        <v>0.49635036496350365</v>
      </c>
      <c r="Q305" s="97">
        <f t="shared" ref="Q305:Q310" si="9">L305/$L$310</f>
        <v>0.5811320754716981</v>
      </c>
    </row>
    <row r="306" spans="9:17" x14ac:dyDescent="0.2">
      <c r="I306" s="33" t="s">
        <v>121</v>
      </c>
      <c r="J306" s="96">
        <v>13</v>
      </c>
      <c r="K306" s="96">
        <v>38</v>
      </c>
      <c r="L306" s="96">
        <f>SUM(J306:K306)</f>
        <v>51</v>
      </c>
      <c r="M306" s="49"/>
      <c r="N306" s="33" t="s">
        <v>121</v>
      </c>
      <c r="O306" s="97">
        <f t="shared" si="7"/>
        <v>0.1015625</v>
      </c>
      <c r="P306" s="97">
        <f t="shared" si="8"/>
        <v>0.27737226277372262</v>
      </c>
      <c r="Q306" s="97">
        <f t="shared" si="9"/>
        <v>0.19245283018867926</v>
      </c>
    </row>
    <row r="307" spans="9:17" x14ac:dyDescent="0.2">
      <c r="I307" s="33" t="s">
        <v>122</v>
      </c>
      <c r="J307" s="96">
        <v>2</v>
      </c>
      <c r="K307" s="96">
        <v>11</v>
      </c>
      <c r="L307" s="96">
        <f>SUM(J307:K307)</f>
        <v>13</v>
      </c>
      <c r="M307" s="49"/>
      <c r="N307" s="33" t="s">
        <v>122</v>
      </c>
      <c r="O307" s="97">
        <f t="shared" si="7"/>
        <v>1.5625E-2</v>
      </c>
      <c r="P307" s="97">
        <f t="shared" si="8"/>
        <v>8.0291970802919707E-2</v>
      </c>
      <c r="Q307" s="97">
        <f t="shared" si="9"/>
        <v>4.9056603773584909E-2</v>
      </c>
    </row>
    <row r="308" spans="9:17" x14ac:dyDescent="0.2">
      <c r="I308" s="33" t="s">
        <v>123</v>
      </c>
      <c r="J308" s="96">
        <v>1</v>
      </c>
      <c r="K308" s="96">
        <v>0</v>
      </c>
      <c r="L308" s="96">
        <f>SUM(J308:K308)</f>
        <v>1</v>
      </c>
      <c r="M308" s="49"/>
      <c r="N308" s="33" t="s">
        <v>123</v>
      </c>
      <c r="O308" s="97">
        <f t="shared" si="7"/>
        <v>7.8125E-3</v>
      </c>
      <c r="P308" s="97">
        <f t="shared" si="8"/>
        <v>0</v>
      </c>
      <c r="Q308" s="97">
        <f t="shared" si="9"/>
        <v>3.7735849056603774E-3</v>
      </c>
    </row>
    <row r="309" spans="9:17" x14ac:dyDescent="0.2">
      <c r="I309" s="33" t="s">
        <v>124</v>
      </c>
      <c r="J309" s="96">
        <v>0</v>
      </c>
      <c r="K309" s="96"/>
      <c r="L309" s="96">
        <f t="shared" si="6"/>
        <v>0</v>
      </c>
      <c r="M309" s="49"/>
      <c r="N309" s="33" t="s">
        <v>124</v>
      </c>
      <c r="O309" s="97">
        <f t="shared" si="7"/>
        <v>0</v>
      </c>
      <c r="P309" s="97">
        <f t="shared" si="8"/>
        <v>0</v>
      </c>
      <c r="Q309" s="97">
        <f t="shared" si="9"/>
        <v>0</v>
      </c>
    </row>
    <row r="310" spans="9:17" x14ac:dyDescent="0.2">
      <c r="I310" s="95" t="s">
        <v>370</v>
      </c>
      <c r="J310" s="96">
        <f>SUM(J304:J309)</f>
        <v>128</v>
      </c>
      <c r="K310" s="96">
        <f>SUM(K304:K309)</f>
        <v>137</v>
      </c>
      <c r="L310" s="96">
        <f>SUM(L304:L309)</f>
        <v>265</v>
      </c>
      <c r="M310" s="49"/>
      <c r="N310" s="95" t="s">
        <v>370</v>
      </c>
      <c r="O310" s="97">
        <f t="shared" si="7"/>
        <v>1</v>
      </c>
      <c r="P310" s="97">
        <f t="shared" si="8"/>
        <v>1</v>
      </c>
      <c r="Q310" s="97">
        <f t="shared" si="9"/>
        <v>1</v>
      </c>
    </row>
  </sheetData>
  <sortState ref="A8:AT276">
    <sortCondition ref="L8:L276"/>
  </sortState>
  <mergeCells count="38">
    <mergeCell ref="X4:Y4"/>
    <mergeCell ref="E6:E7"/>
    <mergeCell ref="F6:F7"/>
    <mergeCell ref="G6:G7"/>
    <mergeCell ref="I6:I7"/>
    <mergeCell ref="K6:K7"/>
    <mergeCell ref="L6:L7"/>
    <mergeCell ref="J4:L4"/>
    <mergeCell ref="O4:P4"/>
    <mergeCell ref="X6:X7"/>
    <mergeCell ref="S4:T4"/>
    <mergeCell ref="Y6:Y7"/>
    <mergeCell ref="AC6:AC7"/>
    <mergeCell ref="AD6:AD7"/>
    <mergeCell ref="AE6:AI6"/>
    <mergeCell ref="M286:N286"/>
    <mergeCell ref="B6:B7"/>
    <mergeCell ref="C6:C7"/>
    <mergeCell ref="H6:H7"/>
    <mergeCell ref="P6:P7"/>
    <mergeCell ref="R6:T6"/>
    <mergeCell ref="U6:U7"/>
    <mergeCell ref="C1:AM1"/>
    <mergeCell ref="C2:AM2"/>
    <mergeCell ref="D6:D7"/>
    <mergeCell ref="AL6:AL7"/>
    <mergeCell ref="AM6:AM7"/>
    <mergeCell ref="AA6:AA7"/>
    <mergeCell ref="AJ6:AJ7"/>
    <mergeCell ref="AK6:AK7"/>
    <mergeCell ref="E4:G4"/>
    <mergeCell ref="Z6:Z7"/>
    <mergeCell ref="Q6:Q7"/>
    <mergeCell ref="V6:V7"/>
    <mergeCell ref="W6:W7"/>
    <mergeCell ref="M6:O6"/>
    <mergeCell ref="J6:J7"/>
    <mergeCell ref="AB6:AB7"/>
  </mergeCells>
  <pageMargins left="0.2" right="0.2" top="0.15" bottom="0.15" header="0.05" footer="0.3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Y1489"/>
  <sheetViews>
    <sheetView workbookViewId="0">
      <selection activeCell="O4" sqref="O4"/>
    </sheetView>
  </sheetViews>
  <sheetFormatPr defaultRowHeight="12.75" x14ac:dyDescent="0.2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 x14ac:dyDescent="0.2">
      <c r="B1" s="90" t="s">
        <v>0</v>
      </c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6"/>
      <c r="R1" s="6"/>
      <c r="S1" s="6"/>
      <c r="T1" s="6"/>
      <c r="U1" s="6"/>
      <c r="V1" s="6"/>
      <c r="W1" s="6"/>
      <c r="X1" s="6"/>
      <c r="Y1" s="6"/>
    </row>
    <row r="2" spans="2:25" ht="15" x14ac:dyDescent="0.2">
      <c r="B2" s="90" t="s">
        <v>1</v>
      </c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7"/>
      <c r="R2" s="7"/>
      <c r="S2" s="7"/>
      <c r="T2" s="7"/>
      <c r="U2" s="7"/>
      <c r="V2" s="7"/>
      <c r="W2" s="7"/>
      <c r="X2" s="7"/>
      <c r="Y2" s="7"/>
    </row>
    <row r="3" spans="2:25" ht="15" x14ac:dyDescent="0.2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 x14ac:dyDescent="0.2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 x14ac:dyDescent="0.2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 x14ac:dyDescent="0.25"/>
    <row r="7" spans="2:25" ht="30.75" customHeight="1" x14ac:dyDescent="0.2">
      <c r="B7" s="77" t="s">
        <v>8</v>
      </c>
      <c r="C7" s="64" t="s">
        <v>9</v>
      </c>
      <c r="D7" s="64" t="s">
        <v>10</v>
      </c>
      <c r="E7" s="64" t="s">
        <v>11</v>
      </c>
      <c r="F7" s="64" t="s">
        <v>12</v>
      </c>
      <c r="G7" s="64"/>
      <c r="H7" s="64" t="s">
        <v>15</v>
      </c>
      <c r="I7" s="64" t="s">
        <v>16</v>
      </c>
      <c r="J7" s="64" t="s">
        <v>17</v>
      </c>
      <c r="K7" s="64"/>
      <c r="L7" s="64" t="s">
        <v>18</v>
      </c>
      <c r="M7" s="64" t="s">
        <v>19</v>
      </c>
      <c r="N7" s="64" t="s">
        <v>20</v>
      </c>
      <c r="O7" s="66" t="s">
        <v>21</v>
      </c>
      <c r="P7" s="86" t="s">
        <v>27</v>
      </c>
      <c r="Q7" s="87"/>
    </row>
    <row r="8" spans="2:25" ht="24.75" customHeight="1" thickBot="1" x14ac:dyDescent="0.25">
      <c r="B8" s="91"/>
      <c r="C8" s="92"/>
      <c r="D8" s="92"/>
      <c r="E8" s="92"/>
      <c r="F8" s="18" t="s">
        <v>13</v>
      </c>
      <c r="G8" s="18" t="s">
        <v>14</v>
      </c>
      <c r="H8" s="92"/>
      <c r="I8" s="92"/>
      <c r="J8" s="18" t="s">
        <v>13</v>
      </c>
      <c r="K8" s="18" t="s">
        <v>14</v>
      </c>
      <c r="L8" s="92"/>
      <c r="M8" s="92"/>
      <c r="N8" s="92"/>
      <c r="O8" s="93"/>
      <c r="P8" s="88"/>
      <c r="Q8" s="89"/>
    </row>
    <row r="9" spans="2:25" x14ac:dyDescent="0.2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 x14ac:dyDescent="0.2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 x14ac:dyDescent="0.2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 x14ac:dyDescent="0.2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 x14ac:dyDescent="0.2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 x14ac:dyDescent="0.2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 x14ac:dyDescent="0.2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 x14ac:dyDescent="0.2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 x14ac:dyDescent="0.2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 x14ac:dyDescent="0.2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 x14ac:dyDescent="0.2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 x14ac:dyDescent="0.2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 x14ac:dyDescent="0.2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 x14ac:dyDescent="0.2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 x14ac:dyDescent="0.2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 x14ac:dyDescent="0.2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 x14ac:dyDescent="0.2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 x14ac:dyDescent="0.2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 x14ac:dyDescent="0.2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 x14ac:dyDescent="0.2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 x14ac:dyDescent="0.2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 x14ac:dyDescent="0.2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 x14ac:dyDescent="0.2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 x14ac:dyDescent="0.2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 x14ac:dyDescent="0.2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 x14ac:dyDescent="0.2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 x14ac:dyDescent="0.2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 x14ac:dyDescent="0.2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 x14ac:dyDescent="0.2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 x14ac:dyDescent="0.2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 x14ac:dyDescent="0.2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 x14ac:dyDescent="0.2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 x14ac:dyDescent="0.2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 x14ac:dyDescent="0.2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 x14ac:dyDescent="0.2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 x14ac:dyDescent="0.2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 x14ac:dyDescent="0.2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 x14ac:dyDescent="0.2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 x14ac:dyDescent="0.2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 x14ac:dyDescent="0.2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 x14ac:dyDescent="0.2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 x14ac:dyDescent="0.2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 x14ac:dyDescent="0.2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 x14ac:dyDescent="0.2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 x14ac:dyDescent="0.2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 x14ac:dyDescent="0.2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 x14ac:dyDescent="0.2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 x14ac:dyDescent="0.2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 x14ac:dyDescent="0.2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 x14ac:dyDescent="0.2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 x14ac:dyDescent="0.2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 x14ac:dyDescent="0.2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 x14ac:dyDescent="0.2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 x14ac:dyDescent="0.2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 x14ac:dyDescent="0.2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 x14ac:dyDescent="0.2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 x14ac:dyDescent="0.2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 x14ac:dyDescent="0.2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 x14ac:dyDescent="0.2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 x14ac:dyDescent="0.2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 x14ac:dyDescent="0.2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 x14ac:dyDescent="0.2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 x14ac:dyDescent="0.2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 x14ac:dyDescent="0.2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 x14ac:dyDescent="0.2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 x14ac:dyDescent="0.2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 x14ac:dyDescent="0.2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 x14ac:dyDescent="0.2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 x14ac:dyDescent="0.2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 x14ac:dyDescent="0.2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 x14ac:dyDescent="0.2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 x14ac:dyDescent="0.2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 x14ac:dyDescent="0.2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 x14ac:dyDescent="0.2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 x14ac:dyDescent="0.2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 x14ac:dyDescent="0.2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 x14ac:dyDescent="0.2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 x14ac:dyDescent="0.2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 x14ac:dyDescent="0.2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 x14ac:dyDescent="0.2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 x14ac:dyDescent="0.2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 x14ac:dyDescent="0.2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 x14ac:dyDescent="0.2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 x14ac:dyDescent="0.2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 x14ac:dyDescent="0.2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 x14ac:dyDescent="0.2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 x14ac:dyDescent="0.2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 x14ac:dyDescent="0.2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 x14ac:dyDescent="0.2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 x14ac:dyDescent="0.2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 x14ac:dyDescent="0.2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 x14ac:dyDescent="0.2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 x14ac:dyDescent="0.2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 x14ac:dyDescent="0.2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 x14ac:dyDescent="0.2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 x14ac:dyDescent="0.2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 x14ac:dyDescent="0.2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 x14ac:dyDescent="0.2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 x14ac:dyDescent="0.2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 x14ac:dyDescent="0.2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 x14ac:dyDescent="0.2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 x14ac:dyDescent="0.2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 x14ac:dyDescent="0.2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 x14ac:dyDescent="0.2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 x14ac:dyDescent="0.2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 x14ac:dyDescent="0.2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 x14ac:dyDescent="0.2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 x14ac:dyDescent="0.2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 x14ac:dyDescent="0.2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 x14ac:dyDescent="0.2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 x14ac:dyDescent="0.2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 x14ac:dyDescent="0.2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 x14ac:dyDescent="0.2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 x14ac:dyDescent="0.2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 x14ac:dyDescent="0.2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 x14ac:dyDescent="0.2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 x14ac:dyDescent="0.2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 x14ac:dyDescent="0.2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 x14ac:dyDescent="0.2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 x14ac:dyDescent="0.2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 x14ac:dyDescent="0.2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 x14ac:dyDescent="0.2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 x14ac:dyDescent="0.2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 x14ac:dyDescent="0.2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 x14ac:dyDescent="0.2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 x14ac:dyDescent="0.2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 x14ac:dyDescent="0.2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 x14ac:dyDescent="0.2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 x14ac:dyDescent="0.2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 x14ac:dyDescent="0.2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 x14ac:dyDescent="0.2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 x14ac:dyDescent="0.2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 x14ac:dyDescent="0.2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 x14ac:dyDescent="0.2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 x14ac:dyDescent="0.2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 x14ac:dyDescent="0.2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 x14ac:dyDescent="0.2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 x14ac:dyDescent="0.2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 x14ac:dyDescent="0.2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 x14ac:dyDescent="0.2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 x14ac:dyDescent="0.2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 x14ac:dyDescent="0.2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 x14ac:dyDescent="0.2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 x14ac:dyDescent="0.2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 x14ac:dyDescent="0.2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 x14ac:dyDescent="0.2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 x14ac:dyDescent="0.2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 x14ac:dyDescent="0.2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 x14ac:dyDescent="0.2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 x14ac:dyDescent="0.2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 x14ac:dyDescent="0.2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 x14ac:dyDescent="0.2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 x14ac:dyDescent="0.2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 x14ac:dyDescent="0.2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 x14ac:dyDescent="0.2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 x14ac:dyDescent="0.2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 x14ac:dyDescent="0.2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 x14ac:dyDescent="0.2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 x14ac:dyDescent="0.2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 x14ac:dyDescent="0.2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 x14ac:dyDescent="0.2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 x14ac:dyDescent="0.2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 x14ac:dyDescent="0.2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 x14ac:dyDescent="0.2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 x14ac:dyDescent="0.2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 x14ac:dyDescent="0.2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 x14ac:dyDescent="0.2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 x14ac:dyDescent="0.2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 x14ac:dyDescent="0.2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 x14ac:dyDescent="0.2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 x14ac:dyDescent="0.2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 x14ac:dyDescent="0.2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 x14ac:dyDescent="0.2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 x14ac:dyDescent="0.2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 x14ac:dyDescent="0.2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 x14ac:dyDescent="0.2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 x14ac:dyDescent="0.2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 x14ac:dyDescent="0.2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 x14ac:dyDescent="0.2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 x14ac:dyDescent="0.2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 x14ac:dyDescent="0.2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 x14ac:dyDescent="0.2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 x14ac:dyDescent="0.2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 x14ac:dyDescent="0.2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 x14ac:dyDescent="0.2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 x14ac:dyDescent="0.2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 x14ac:dyDescent="0.2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 x14ac:dyDescent="0.2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 x14ac:dyDescent="0.2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 x14ac:dyDescent="0.2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 x14ac:dyDescent="0.2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 x14ac:dyDescent="0.2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 x14ac:dyDescent="0.2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 x14ac:dyDescent="0.2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 x14ac:dyDescent="0.2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 x14ac:dyDescent="0.2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 x14ac:dyDescent="0.2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 x14ac:dyDescent="0.2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 x14ac:dyDescent="0.2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 x14ac:dyDescent="0.2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 x14ac:dyDescent="0.2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 x14ac:dyDescent="0.2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 x14ac:dyDescent="0.2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 x14ac:dyDescent="0.2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 x14ac:dyDescent="0.2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 x14ac:dyDescent="0.2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 x14ac:dyDescent="0.2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 x14ac:dyDescent="0.2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 x14ac:dyDescent="0.2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 x14ac:dyDescent="0.2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 x14ac:dyDescent="0.2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 x14ac:dyDescent="0.2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 x14ac:dyDescent="0.2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 x14ac:dyDescent="0.2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 x14ac:dyDescent="0.2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 x14ac:dyDescent="0.2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 x14ac:dyDescent="0.2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 x14ac:dyDescent="0.2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 x14ac:dyDescent="0.2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 x14ac:dyDescent="0.2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 x14ac:dyDescent="0.2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 x14ac:dyDescent="0.2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 x14ac:dyDescent="0.2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 x14ac:dyDescent="0.2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 x14ac:dyDescent="0.2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 x14ac:dyDescent="0.2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 x14ac:dyDescent="0.2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 x14ac:dyDescent="0.2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 x14ac:dyDescent="0.2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 x14ac:dyDescent="0.2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 x14ac:dyDescent="0.2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 x14ac:dyDescent="0.2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 x14ac:dyDescent="0.2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 x14ac:dyDescent="0.2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 x14ac:dyDescent="0.2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 x14ac:dyDescent="0.2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 x14ac:dyDescent="0.2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 x14ac:dyDescent="0.2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 x14ac:dyDescent="0.2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 x14ac:dyDescent="0.2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 x14ac:dyDescent="0.2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 x14ac:dyDescent="0.2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 x14ac:dyDescent="0.2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 x14ac:dyDescent="0.2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 x14ac:dyDescent="0.2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 x14ac:dyDescent="0.2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 x14ac:dyDescent="0.2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 x14ac:dyDescent="0.2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 x14ac:dyDescent="0.2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 x14ac:dyDescent="0.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 x14ac:dyDescent="0.2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 x14ac:dyDescent="0.2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 x14ac:dyDescent="0.2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 x14ac:dyDescent="0.2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 x14ac:dyDescent="0.2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 x14ac:dyDescent="0.2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 x14ac:dyDescent="0.2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 x14ac:dyDescent="0.2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 x14ac:dyDescent="0.2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 x14ac:dyDescent="0.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 x14ac:dyDescent="0.2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 x14ac:dyDescent="0.2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 x14ac:dyDescent="0.2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 x14ac:dyDescent="0.2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 x14ac:dyDescent="0.2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 x14ac:dyDescent="0.2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 x14ac:dyDescent="0.2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 x14ac:dyDescent="0.2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 x14ac:dyDescent="0.2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 x14ac:dyDescent="0.2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 x14ac:dyDescent="0.2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 x14ac:dyDescent="0.2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 x14ac:dyDescent="0.2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 x14ac:dyDescent="0.2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 x14ac:dyDescent="0.2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 x14ac:dyDescent="0.2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 x14ac:dyDescent="0.2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 x14ac:dyDescent="0.2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 x14ac:dyDescent="0.2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 x14ac:dyDescent="0.2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 x14ac:dyDescent="0.2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 x14ac:dyDescent="0.2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 x14ac:dyDescent="0.2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 x14ac:dyDescent="0.2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 x14ac:dyDescent="0.2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 x14ac:dyDescent="0.2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 x14ac:dyDescent="0.2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 x14ac:dyDescent="0.2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 x14ac:dyDescent="0.2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 x14ac:dyDescent="0.2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 x14ac:dyDescent="0.2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 x14ac:dyDescent="0.2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 x14ac:dyDescent="0.2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 x14ac:dyDescent="0.2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 x14ac:dyDescent="0.2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 x14ac:dyDescent="0.2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 x14ac:dyDescent="0.2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 x14ac:dyDescent="0.2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 x14ac:dyDescent="0.2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 x14ac:dyDescent="0.2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 x14ac:dyDescent="0.2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 x14ac:dyDescent="0.2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 x14ac:dyDescent="0.2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 x14ac:dyDescent="0.2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 x14ac:dyDescent="0.2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 x14ac:dyDescent="0.2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 x14ac:dyDescent="0.2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 x14ac:dyDescent="0.2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 x14ac:dyDescent="0.2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 x14ac:dyDescent="0.2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 x14ac:dyDescent="0.2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 x14ac:dyDescent="0.2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 x14ac:dyDescent="0.2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 x14ac:dyDescent="0.2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 x14ac:dyDescent="0.2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 x14ac:dyDescent="0.2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 x14ac:dyDescent="0.2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 x14ac:dyDescent="0.2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 x14ac:dyDescent="0.2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 x14ac:dyDescent="0.2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 x14ac:dyDescent="0.2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 x14ac:dyDescent="0.2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 x14ac:dyDescent="0.2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 x14ac:dyDescent="0.2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 x14ac:dyDescent="0.2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 x14ac:dyDescent="0.2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 x14ac:dyDescent="0.2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 x14ac:dyDescent="0.2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 x14ac:dyDescent="0.2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 x14ac:dyDescent="0.2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 x14ac:dyDescent="0.2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 x14ac:dyDescent="0.2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 x14ac:dyDescent="0.2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 x14ac:dyDescent="0.2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 x14ac:dyDescent="0.2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 x14ac:dyDescent="0.2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 x14ac:dyDescent="0.2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 x14ac:dyDescent="0.2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 x14ac:dyDescent="0.2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 x14ac:dyDescent="0.2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 x14ac:dyDescent="0.2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 x14ac:dyDescent="0.2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 x14ac:dyDescent="0.2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 x14ac:dyDescent="0.2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 x14ac:dyDescent="0.2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 x14ac:dyDescent="0.2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 x14ac:dyDescent="0.2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 x14ac:dyDescent="0.2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 x14ac:dyDescent="0.2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 x14ac:dyDescent="0.2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 x14ac:dyDescent="0.2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 x14ac:dyDescent="0.2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 x14ac:dyDescent="0.2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 x14ac:dyDescent="0.2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 x14ac:dyDescent="0.2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 x14ac:dyDescent="0.2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 x14ac:dyDescent="0.2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 x14ac:dyDescent="0.2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 x14ac:dyDescent="0.2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 x14ac:dyDescent="0.2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 x14ac:dyDescent="0.2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 x14ac:dyDescent="0.2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 x14ac:dyDescent="0.2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 x14ac:dyDescent="0.2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 x14ac:dyDescent="0.2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 x14ac:dyDescent="0.2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 x14ac:dyDescent="0.2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 x14ac:dyDescent="0.2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 x14ac:dyDescent="0.2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 x14ac:dyDescent="0.2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 x14ac:dyDescent="0.2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 x14ac:dyDescent="0.2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 x14ac:dyDescent="0.2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 x14ac:dyDescent="0.2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 x14ac:dyDescent="0.2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 x14ac:dyDescent="0.2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 x14ac:dyDescent="0.2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 x14ac:dyDescent="0.2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 x14ac:dyDescent="0.2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 x14ac:dyDescent="0.2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 x14ac:dyDescent="0.2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 x14ac:dyDescent="0.2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 x14ac:dyDescent="0.2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 x14ac:dyDescent="0.2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 x14ac:dyDescent="0.2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 x14ac:dyDescent="0.2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 x14ac:dyDescent="0.2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 x14ac:dyDescent="0.2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 x14ac:dyDescent="0.2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 x14ac:dyDescent="0.2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 x14ac:dyDescent="0.2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 x14ac:dyDescent="0.2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 x14ac:dyDescent="0.2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 x14ac:dyDescent="0.2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 x14ac:dyDescent="0.2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 x14ac:dyDescent="0.2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 x14ac:dyDescent="0.2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 x14ac:dyDescent="0.2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 x14ac:dyDescent="0.2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 x14ac:dyDescent="0.2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 x14ac:dyDescent="0.2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 x14ac:dyDescent="0.2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 x14ac:dyDescent="0.2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 x14ac:dyDescent="0.2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 x14ac:dyDescent="0.2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 x14ac:dyDescent="0.2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 x14ac:dyDescent="0.2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 x14ac:dyDescent="0.2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 x14ac:dyDescent="0.2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 x14ac:dyDescent="0.2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 x14ac:dyDescent="0.2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 x14ac:dyDescent="0.2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 x14ac:dyDescent="0.2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 x14ac:dyDescent="0.2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 x14ac:dyDescent="0.2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 x14ac:dyDescent="0.2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 x14ac:dyDescent="0.2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 x14ac:dyDescent="0.2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 x14ac:dyDescent="0.2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 x14ac:dyDescent="0.2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 x14ac:dyDescent="0.2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 x14ac:dyDescent="0.2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 x14ac:dyDescent="0.2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 x14ac:dyDescent="0.2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 x14ac:dyDescent="0.2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 x14ac:dyDescent="0.2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 x14ac:dyDescent="0.2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 x14ac:dyDescent="0.2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 x14ac:dyDescent="0.2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 x14ac:dyDescent="0.2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 x14ac:dyDescent="0.2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 x14ac:dyDescent="0.2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 x14ac:dyDescent="0.2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 x14ac:dyDescent="0.2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 x14ac:dyDescent="0.2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 x14ac:dyDescent="0.2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 x14ac:dyDescent="0.2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 x14ac:dyDescent="0.2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 x14ac:dyDescent="0.2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 x14ac:dyDescent="0.2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 x14ac:dyDescent="0.2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 x14ac:dyDescent="0.2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 x14ac:dyDescent="0.2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 x14ac:dyDescent="0.2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 x14ac:dyDescent="0.2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 x14ac:dyDescent="0.2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 x14ac:dyDescent="0.2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 x14ac:dyDescent="0.2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 x14ac:dyDescent="0.2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 x14ac:dyDescent="0.2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 x14ac:dyDescent="0.2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 x14ac:dyDescent="0.2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 x14ac:dyDescent="0.2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 x14ac:dyDescent="0.2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 x14ac:dyDescent="0.2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 x14ac:dyDescent="0.2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 x14ac:dyDescent="0.2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 x14ac:dyDescent="0.2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 x14ac:dyDescent="0.2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 x14ac:dyDescent="0.2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 x14ac:dyDescent="0.2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 x14ac:dyDescent="0.2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 x14ac:dyDescent="0.2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 x14ac:dyDescent="0.2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 x14ac:dyDescent="0.2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 x14ac:dyDescent="0.2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 x14ac:dyDescent="0.2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 x14ac:dyDescent="0.2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 x14ac:dyDescent="0.2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 x14ac:dyDescent="0.2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 x14ac:dyDescent="0.2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 x14ac:dyDescent="0.2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 x14ac:dyDescent="0.2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 x14ac:dyDescent="0.2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 x14ac:dyDescent="0.2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 x14ac:dyDescent="0.2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 x14ac:dyDescent="0.2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 x14ac:dyDescent="0.2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 x14ac:dyDescent="0.2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 x14ac:dyDescent="0.2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 x14ac:dyDescent="0.2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 x14ac:dyDescent="0.2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 x14ac:dyDescent="0.2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 x14ac:dyDescent="0.2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 x14ac:dyDescent="0.2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 x14ac:dyDescent="0.2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 x14ac:dyDescent="0.2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 x14ac:dyDescent="0.2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 x14ac:dyDescent="0.2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 x14ac:dyDescent="0.2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 x14ac:dyDescent="0.2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 x14ac:dyDescent="0.2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 x14ac:dyDescent="0.2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 x14ac:dyDescent="0.2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 x14ac:dyDescent="0.2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 x14ac:dyDescent="0.2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 x14ac:dyDescent="0.2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 x14ac:dyDescent="0.2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 x14ac:dyDescent="0.2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 x14ac:dyDescent="0.2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 x14ac:dyDescent="0.2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 x14ac:dyDescent="0.2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 x14ac:dyDescent="0.2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 x14ac:dyDescent="0.2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 x14ac:dyDescent="0.2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 x14ac:dyDescent="0.2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 x14ac:dyDescent="0.2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 x14ac:dyDescent="0.2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 x14ac:dyDescent="0.2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 x14ac:dyDescent="0.2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 x14ac:dyDescent="0.2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 x14ac:dyDescent="0.2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 x14ac:dyDescent="0.2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 x14ac:dyDescent="0.2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 x14ac:dyDescent="0.2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 x14ac:dyDescent="0.2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 x14ac:dyDescent="0.2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 x14ac:dyDescent="0.2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 x14ac:dyDescent="0.2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 x14ac:dyDescent="0.2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 x14ac:dyDescent="0.2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 x14ac:dyDescent="0.2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 x14ac:dyDescent="0.2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 x14ac:dyDescent="0.2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 x14ac:dyDescent="0.2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 x14ac:dyDescent="0.2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 x14ac:dyDescent="0.2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 x14ac:dyDescent="0.2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 x14ac:dyDescent="0.2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 x14ac:dyDescent="0.2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 x14ac:dyDescent="0.2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 x14ac:dyDescent="0.2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 x14ac:dyDescent="0.2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 x14ac:dyDescent="0.2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 x14ac:dyDescent="0.2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 x14ac:dyDescent="0.2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 x14ac:dyDescent="0.2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 x14ac:dyDescent="0.2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 x14ac:dyDescent="0.2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 x14ac:dyDescent="0.2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 x14ac:dyDescent="0.2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 x14ac:dyDescent="0.2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 x14ac:dyDescent="0.2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 x14ac:dyDescent="0.2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 x14ac:dyDescent="0.2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 x14ac:dyDescent="0.2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 x14ac:dyDescent="0.2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 x14ac:dyDescent="0.2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 x14ac:dyDescent="0.2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 x14ac:dyDescent="0.2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 x14ac:dyDescent="0.2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 x14ac:dyDescent="0.2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 x14ac:dyDescent="0.2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 x14ac:dyDescent="0.2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 x14ac:dyDescent="0.2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 x14ac:dyDescent="0.2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 x14ac:dyDescent="0.2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 x14ac:dyDescent="0.2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 x14ac:dyDescent="0.2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 x14ac:dyDescent="0.2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 x14ac:dyDescent="0.2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 x14ac:dyDescent="0.2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 x14ac:dyDescent="0.2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 x14ac:dyDescent="0.2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 x14ac:dyDescent="0.2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 x14ac:dyDescent="0.2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 x14ac:dyDescent="0.2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 x14ac:dyDescent="0.2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 x14ac:dyDescent="0.2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 x14ac:dyDescent="0.2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 x14ac:dyDescent="0.2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 x14ac:dyDescent="0.2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 x14ac:dyDescent="0.2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 x14ac:dyDescent="0.2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 x14ac:dyDescent="0.2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 x14ac:dyDescent="0.2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 x14ac:dyDescent="0.2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 x14ac:dyDescent="0.2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 x14ac:dyDescent="0.2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 x14ac:dyDescent="0.2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 x14ac:dyDescent="0.2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 x14ac:dyDescent="0.2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 x14ac:dyDescent="0.2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 x14ac:dyDescent="0.2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 x14ac:dyDescent="0.2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 x14ac:dyDescent="0.2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 x14ac:dyDescent="0.2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 x14ac:dyDescent="0.2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 x14ac:dyDescent="0.2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 x14ac:dyDescent="0.2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 x14ac:dyDescent="0.2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 x14ac:dyDescent="0.2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 x14ac:dyDescent="0.2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 x14ac:dyDescent="0.2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 x14ac:dyDescent="0.2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 x14ac:dyDescent="0.2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 x14ac:dyDescent="0.2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 x14ac:dyDescent="0.2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 x14ac:dyDescent="0.2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 x14ac:dyDescent="0.2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 x14ac:dyDescent="0.2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 x14ac:dyDescent="0.2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 x14ac:dyDescent="0.2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 x14ac:dyDescent="0.2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 x14ac:dyDescent="0.2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 x14ac:dyDescent="0.2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 x14ac:dyDescent="0.2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 x14ac:dyDescent="0.2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 x14ac:dyDescent="0.2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 x14ac:dyDescent="0.2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 x14ac:dyDescent="0.2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 x14ac:dyDescent="0.2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 x14ac:dyDescent="0.2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 x14ac:dyDescent="0.2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 x14ac:dyDescent="0.2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 x14ac:dyDescent="0.2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 x14ac:dyDescent="0.2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 x14ac:dyDescent="0.2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 x14ac:dyDescent="0.2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 x14ac:dyDescent="0.2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 x14ac:dyDescent="0.2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 x14ac:dyDescent="0.2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 x14ac:dyDescent="0.2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 x14ac:dyDescent="0.2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 x14ac:dyDescent="0.2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 x14ac:dyDescent="0.2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 x14ac:dyDescent="0.2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 x14ac:dyDescent="0.2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 x14ac:dyDescent="0.2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 x14ac:dyDescent="0.2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 x14ac:dyDescent="0.2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 x14ac:dyDescent="0.2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 x14ac:dyDescent="0.2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 x14ac:dyDescent="0.2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 x14ac:dyDescent="0.2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 x14ac:dyDescent="0.2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 x14ac:dyDescent="0.2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 x14ac:dyDescent="0.2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 x14ac:dyDescent="0.2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 x14ac:dyDescent="0.2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 x14ac:dyDescent="0.2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 x14ac:dyDescent="0.2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 x14ac:dyDescent="0.2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 x14ac:dyDescent="0.2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 x14ac:dyDescent="0.2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 x14ac:dyDescent="0.2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 x14ac:dyDescent="0.2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 x14ac:dyDescent="0.2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 x14ac:dyDescent="0.2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 x14ac:dyDescent="0.2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 x14ac:dyDescent="0.2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 x14ac:dyDescent="0.2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 x14ac:dyDescent="0.2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 x14ac:dyDescent="0.2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 x14ac:dyDescent="0.2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 x14ac:dyDescent="0.2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 x14ac:dyDescent="0.2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 x14ac:dyDescent="0.2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 x14ac:dyDescent="0.2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 x14ac:dyDescent="0.2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 x14ac:dyDescent="0.2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 x14ac:dyDescent="0.2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 x14ac:dyDescent="0.2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 x14ac:dyDescent="0.2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 x14ac:dyDescent="0.2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 x14ac:dyDescent="0.2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 x14ac:dyDescent="0.2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 x14ac:dyDescent="0.2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 x14ac:dyDescent="0.2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 x14ac:dyDescent="0.2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 x14ac:dyDescent="0.2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 x14ac:dyDescent="0.2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 x14ac:dyDescent="0.2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 x14ac:dyDescent="0.2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 x14ac:dyDescent="0.2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 x14ac:dyDescent="0.2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 x14ac:dyDescent="0.2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 x14ac:dyDescent="0.2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 x14ac:dyDescent="0.2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 x14ac:dyDescent="0.2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 x14ac:dyDescent="0.2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 x14ac:dyDescent="0.2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 x14ac:dyDescent="0.2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 x14ac:dyDescent="0.2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 x14ac:dyDescent="0.2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 x14ac:dyDescent="0.2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 x14ac:dyDescent="0.2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 x14ac:dyDescent="0.2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 x14ac:dyDescent="0.2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 x14ac:dyDescent="0.2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 x14ac:dyDescent="0.2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 x14ac:dyDescent="0.2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 x14ac:dyDescent="0.2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 x14ac:dyDescent="0.2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 x14ac:dyDescent="0.2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 x14ac:dyDescent="0.2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 x14ac:dyDescent="0.2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 x14ac:dyDescent="0.2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 x14ac:dyDescent="0.2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 x14ac:dyDescent="0.2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 x14ac:dyDescent="0.2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 x14ac:dyDescent="0.2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 x14ac:dyDescent="0.2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 x14ac:dyDescent="0.2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 x14ac:dyDescent="0.2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 x14ac:dyDescent="0.2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 x14ac:dyDescent="0.2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 x14ac:dyDescent="0.2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 x14ac:dyDescent="0.2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 x14ac:dyDescent="0.2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 x14ac:dyDescent="0.2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 x14ac:dyDescent="0.2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 x14ac:dyDescent="0.2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 x14ac:dyDescent="0.2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 x14ac:dyDescent="0.2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 x14ac:dyDescent="0.2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 x14ac:dyDescent="0.2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 x14ac:dyDescent="0.2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 x14ac:dyDescent="0.2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 x14ac:dyDescent="0.2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 x14ac:dyDescent="0.2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 x14ac:dyDescent="0.2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 x14ac:dyDescent="0.2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 x14ac:dyDescent="0.2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 x14ac:dyDescent="0.2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 x14ac:dyDescent="0.2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 x14ac:dyDescent="0.2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 x14ac:dyDescent="0.2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 x14ac:dyDescent="0.2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 x14ac:dyDescent="0.2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 x14ac:dyDescent="0.2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 x14ac:dyDescent="0.2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 x14ac:dyDescent="0.2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 x14ac:dyDescent="0.2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 x14ac:dyDescent="0.2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 x14ac:dyDescent="0.2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 x14ac:dyDescent="0.2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 x14ac:dyDescent="0.2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 x14ac:dyDescent="0.2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 x14ac:dyDescent="0.2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 x14ac:dyDescent="0.2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 x14ac:dyDescent="0.2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 x14ac:dyDescent="0.2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 x14ac:dyDescent="0.2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 x14ac:dyDescent="0.2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 x14ac:dyDescent="0.2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 x14ac:dyDescent="0.2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 x14ac:dyDescent="0.2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 x14ac:dyDescent="0.2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 x14ac:dyDescent="0.2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 x14ac:dyDescent="0.2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 x14ac:dyDescent="0.2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 x14ac:dyDescent="0.2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 x14ac:dyDescent="0.2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 x14ac:dyDescent="0.2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 x14ac:dyDescent="0.2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 x14ac:dyDescent="0.2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 x14ac:dyDescent="0.2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 x14ac:dyDescent="0.2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 x14ac:dyDescent="0.2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 x14ac:dyDescent="0.2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 x14ac:dyDescent="0.2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 x14ac:dyDescent="0.2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 x14ac:dyDescent="0.2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 x14ac:dyDescent="0.2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 x14ac:dyDescent="0.2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 x14ac:dyDescent="0.2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 x14ac:dyDescent="0.2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 x14ac:dyDescent="0.2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 x14ac:dyDescent="0.2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 x14ac:dyDescent="0.2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 x14ac:dyDescent="0.2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 x14ac:dyDescent="0.2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 x14ac:dyDescent="0.2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 x14ac:dyDescent="0.2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 x14ac:dyDescent="0.2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 x14ac:dyDescent="0.2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 x14ac:dyDescent="0.2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 x14ac:dyDescent="0.2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 x14ac:dyDescent="0.2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 x14ac:dyDescent="0.2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 x14ac:dyDescent="0.2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 x14ac:dyDescent="0.2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 x14ac:dyDescent="0.2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 x14ac:dyDescent="0.2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 x14ac:dyDescent="0.2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 x14ac:dyDescent="0.2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 x14ac:dyDescent="0.2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 x14ac:dyDescent="0.2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 x14ac:dyDescent="0.2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 x14ac:dyDescent="0.2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 x14ac:dyDescent="0.2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 x14ac:dyDescent="0.2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 x14ac:dyDescent="0.2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 x14ac:dyDescent="0.2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 x14ac:dyDescent="0.2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 x14ac:dyDescent="0.2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 x14ac:dyDescent="0.2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 x14ac:dyDescent="0.2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 x14ac:dyDescent="0.2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 x14ac:dyDescent="0.2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 x14ac:dyDescent="0.2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 x14ac:dyDescent="0.2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 x14ac:dyDescent="0.2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 x14ac:dyDescent="0.2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 x14ac:dyDescent="0.2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 x14ac:dyDescent="0.2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 x14ac:dyDescent="0.2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 x14ac:dyDescent="0.2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 x14ac:dyDescent="0.2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 x14ac:dyDescent="0.2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 x14ac:dyDescent="0.2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 x14ac:dyDescent="0.2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 x14ac:dyDescent="0.2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 x14ac:dyDescent="0.2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 x14ac:dyDescent="0.2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 x14ac:dyDescent="0.2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 x14ac:dyDescent="0.2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 x14ac:dyDescent="0.2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 x14ac:dyDescent="0.2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 x14ac:dyDescent="0.2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 x14ac:dyDescent="0.2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 x14ac:dyDescent="0.2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 x14ac:dyDescent="0.2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 x14ac:dyDescent="0.2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 x14ac:dyDescent="0.2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 x14ac:dyDescent="0.2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 x14ac:dyDescent="0.2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 x14ac:dyDescent="0.2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 x14ac:dyDescent="0.2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 x14ac:dyDescent="0.2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 x14ac:dyDescent="0.2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 x14ac:dyDescent="0.2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 x14ac:dyDescent="0.2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 x14ac:dyDescent="0.2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 x14ac:dyDescent="0.2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 x14ac:dyDescent="0.2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 x14ac:dyDescent="0.2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 x14ac:dyDescent="0.2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 x14ac:dyDescent="0.2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 x14ac:dyDescent="0.2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 x14ac:dyDescent="0.2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 x14ac:dyDescent="0.2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 x14ac:dyDescent="0.2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 x14ac:dyDescent="0.2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 x14ac:dyDescent="0.2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 x14ac:dyDescent="0.2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 x14ac:dyDescent="0.2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 x14ac:dyDescent="0.2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 x14ac:dyDescent="0.2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 x14ac:dyDescent="0.2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 x14ac:dyDescent="0.2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 x14ac:dyDescent="0.2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 x14ac:dyDescent="0.2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 x14ac:dyDescent="0.2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 x14ac:dyDescent="0.2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 x14ac:dyDescent="0.2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 x14ac:dyDescent="0.2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 x14ac:dyDescent="0.2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 x14ac:dyDescent="0.2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 x14ac:dyDescent="0.2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 x14ac:dyDescent="0.2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 x14ac:dyDescent="0.2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 x14ac:dyDescent="0.2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 x14ac:dyDescent="0.2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 x14ac:dyDescent="0.2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 x14ac:dyDescent="0.2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 x14ac:dyDescent="0.2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 x14ac:dyDescent="0.2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 x14ac:dyDescent="0.2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 x14ac:dyDescent="0.2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 x14ac:dyDescent="0.2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 x14ac:dyDescent="0.2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 x14ac:dyDescent="0.2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 x14ac:dyDescent="0.2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 x14ac:dyDescent="0.2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 x14ac:dyDescent="0.2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 x14ac:dyDescent="0.2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 x14ac:dyDescent="0.2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 x14ac:dyDescent="0.2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 x14ac:dyDescent="0.2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 x14ac:dyDescent="0.2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 x14ac:dyDescent="0.2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 x14ac:dyDescent="0.2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 x14ac:dyDescent="0.2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 x14ac:dyDescent="0.2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 x14ac:dyDescent="0.2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 x14ac:dyDescent="0.2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 x14ac:dyDescent="0.2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 x14ac:dyDescent="0.2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 x14ac:dyDescent="0.2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 x14ac:dyDescent="0.2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 x14ac:dyDescent="0.2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 x14ac:dyDescent="0.2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 x14ac:dyDescent="0.2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 x14ac:dyDescent="0.2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 x14ac:dyDescent="0.2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 x14ac:dyDescent="0.2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 x14ac:dyDescent="0.2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 x14ac:dyDescent="0.2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 x14ac:dyDescent="0.2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 x14ac:dyDescent="0.2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 x14ac:dyDescent="0.2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 x14ac:dyDescent="0.2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 x14ac:dyDescent="0.2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 x14ac:dyDescent="0.2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 x14ac:dyDescent="0.2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 x14ac:dyDescent="0.2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 x14ac:dyDescent="0.2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 x14ac:dyDescent="0.2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 x14ac:dyDescent="0.2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 x14ac:dyDescent="0.2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 x14ac:dyDescent="0.2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 x14ac:dyDescent="0.2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 x14ac:dyDescent="0.2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 x14ac:dyDescent="0.2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 x14ac:dyDescent="0.2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 x14ac:dyDescent="0.2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 x14ac:dyDescent="0.2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 x14ac:dyDescent="0.2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 x14ac:dyDescent="0.2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 x14ac:dyDescent="0.2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 x14ac:dyDescent="0.2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 x14ac:dyDescent="0.2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 x14ac:dyDescent="0.2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 x14ac:dyDescent="0.2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 x14ac:dyDescent="0.2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 x14ac:dyDescent="0.2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 x14ac:dyDescent="0.2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 x14ac:dyDescent="0.2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 x14ac:dyDescent="0.2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 x14ac:dyDescent="0.2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 x14ac:dyDescent="0.2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 x14ac:dyDescent="0.2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 x14ac:dyDescent="0.2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 x14ac:dyDescent="0.2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 x14ac:dyDescent="0.2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 x14ac:dyDescent="0.2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 x14ac:dyDescent="0.2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 x14ac:dyDescent="0.2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 x14ac:dyDescent="0.2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 x14ac:dyDescent="0.2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 x14ac:dyDescent="0.2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 x14ac:dyDescent="0.2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 x14ac:dyDescent="0.2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 x14ac:dyDescent="0.2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 x14ac:dyDescent="0.2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 x14ac:dyDescent="0.2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 x14ac:dyDescent="0.2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 x14ac:dyDescent="0.2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 x14ac:dyDescent="0.2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 x14ac:dyDescent="0.2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 x14ac:dyDescent="0.2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 x14ac:dyDescent="0.2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 x14ac:dyDescent="0.2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 x14ac:dyDescent="0.2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 x14ac:dyDescent="0.2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 x14ac:dyDescent="0.2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 x14ac:dyDescent="0.2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 x14ac:dyDescent="0.2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 x14ac:dyDescent="0.2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 x14ac:dyDescent="0.2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 x14ac:dyDescent="0.2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 x14ac:dyDescent="0.2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 x14ac:dyDescent="0.2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 x14ac:dyDescent="0.2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 x14ac:dyDescent="0.2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 x14ac:dyDescent="0.2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 x14ac:dyDescent="0.2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 x14ac:dyDescent="0.2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 x14ac:dyDescent="0.2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 x14ac:dyDescent="0.2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 x14ac:dyDescent="0.2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 x14ac:dyDescent="0.2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 x14ac:dyDescent="0.2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 x14ac:dyDescent="0.2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 x14ac:dyDescent="0.2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 x14ac:dyDescent="0.2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 x14ac:dyDescent="0.2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 x14ac:dyDescent="0.2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 x14ac:dyDescent="0.2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 x14ac:dyDescent="0.2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 x14ac:dyDescent="0.2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 x14ac:dyDescent="0.2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 x14ac:dyDescent="0.2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 x14ac:dyDescent="0.2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 x14ac:dyDescent="0.2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 x14ac:dyDescent="0.2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 x14ac:dyDescent="0.2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 x14ac:dyDescent="0.2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 x14ac:dyDescent="0.2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 x14ac:dyDescent="0.2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 x14ac:dyDescent="0.2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 x14ac:dyDescent="0.2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 x14ac:dyDescent="0.2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 x14ac:dyDescent="0.2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 x14ac:dyDescent="0.2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 x14ac:dyDescent="0.2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 x14ac:dyDescent="0.2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 x14ac:dyDescent="0.2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 x14ac:dyDescent="0.2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 x14ac:dyDescent="0.2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 x14ac:dyDescent="0.2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 x14ac:dyDescent="0.2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 x14ac:dyDescent="0.2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 x14ac:dyDescent="0.2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 x14ac:dyDescent="0.2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 x14ac:dyDescent="0.2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 x14ac:dyDescent="0.2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 x14ac:dyDescent="0.2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 x14ac:dyDescent="0.2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 x14ac:dyDescent="0.2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 x14ac:dyDescent="0.2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 x14ac:dyDescent="0.2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 x14ac:dyDescent="0.2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 x14ac:dyDescent="0.2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 x14ac:dyDescent="0.2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 x14ac:dyDescent="0.2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 x14ac:dyDescent="0.2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 x14ac:dyDescent="0.2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 x14ac:dyDescent="0.2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 x14ac:dyDescent="0.2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 x14ac:dyDescent="0.2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 x14ac:dyDescent="0.2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 x14ac:dyDescent="0.2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 x14ac:dyDescent="0.2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 x14ac:dyDescent="0.2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 x14ac:dyDescent="0.2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 x14ac:dyDescent="0.2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 x14ac:dyDescent="0.2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 x14ac:dyDescent="0.2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 x14ac:dyDescent="0.2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 x14ac:dyDescent="0.2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 x14ac:dyDescent="0.2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 x14ac:dyDescent="0.2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 x14ac:dyDescent="0.2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 x14ac:dyDescent="0.2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 x14ac:dyDescent="0.2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 x14ac:dyDescent="0.2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 x14ac:dyDescent="0.2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 x14ac:dyDescent="0.2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 x14ac:dyDescent="0.2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 x14ac:dyDescent="0.2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 x14ac:dyDescent="0.2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 x14ac:dyDescent="0.2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 x14ac:dyDescent="0.2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 x14ac:dyDescent="0.2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 x14ac:dyDescent="0.2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 x14ac:dyDescent="0.2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 x14ac:dyDescent="0.2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 x14ac:dyDescent="0.2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 x14ac:dyDescent="0.2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 x14ac:dyDescent="0.2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 x14ac:dyDescent="0.2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 x14ac:dyDescent="0.2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 x14ac:dyDescent="0.2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 x14ac:dyDescent="0.2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 x14ac:dyDescent="0.2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 x14ac:dyDescent="0.2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 x14ac:dyDescent="0.2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 x14ac:dyDescent="0.2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 x14ac:dyDescent="0.2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 x14ac:dyDescent="0.2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 x14ac:dyDescent="0.2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 x14ac:dyDescent="0.2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 x14ac:dyDescent="0.2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 x14ac:dyDescent="0.2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 x14ac:dyDescent="0.2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 x14ac:dyDescent="0.2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 x14ac:dyDescent="0.2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 x14ac:dyDescent="0.2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 x14ac:dyDescent="0.2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 x14ac:dyDescent="0.2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 x14ac:dyDescent="0.2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 x14ac:dyDescent="0.2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 x14ac:dyDescent="0.2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 x14ac:dyDescent="0.2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 x14ac:dyDescent="0.2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 x14ac:dyDescent="0.2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 x14ac:dyDescent="0.2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 x14ac:dyDescent="0.2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 x14ac:dyDescent="0.2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 x14ac:dyDescent="0.2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 x14ac:dyDescent="0.2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 x14ac:dyDescent="0.2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 x14ac:dyDescent="0.2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 x14ac:dyDescent="0.2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 x14ac:dyDescent="0.2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 x14ac:dyDescent="0.2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 x14ac:dyDescent="0.2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 x14ac:dyDescent="0.2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 x14ac:dyDescent="0.2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 x14ac:dyDescent="0.2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 x14ac:dyDescent="0.2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 x14ac:dyDescent="0.2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 x14ac:dyDescent="0.2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 x14ac:dyDescent="0.2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 x14ac:dyDescent="0.2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 x14ac:dyDescent="0.2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 x14ac:dyDescent="0.2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 x14ac:dyDescent="0.2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 x14ac:dyDescent="0.2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 x14ac:dyDescent="0.2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 x14ac:dyDescent="0.2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 x14ac:dyDescent="0.2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 x14ac:dyDescent="0.2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 x14ac:dyDescent="0.2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 x14ac:dyDescent="0.2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 x14ac:dyDescent="0.2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 x14ac:dyDescent="0.2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 x14ac:dyDescent="0.2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 x14ac:dyDescent="0.2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 x14ac:dyDescent="0.2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 x14ac:dyDescent="0.2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 x14ac:dyDescent="0.2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 x14ac:dyDescent="0.2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 x14ac:dyDescent="0.2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 x14ac:dyDescent="0.2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 x14ac:dyDescent="0.2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 x14ac:dyDescent="0.2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 x14ac:dyDescent="0.2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 x14ac:dyDescent="0.2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 x14ac:dyDescent="0.2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 x14ac:dyDescent="0.2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 x14ac:dyDescent="0.2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 x14ac:dyDescent="0.2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 x14ac:dyDescent="0.2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 x14ac:dyDescent="0.2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 x14ac:dyDescent="0.2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 x14ac:dyDescent="0.2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 x14ac:dyDescent="0.2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 x14ac:dyDescent="0.2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 x14ac:dyDescent="0.2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 x14ac:dyDescent="0.2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 x14ac:dyDescent="0.2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 x14ac:dyDescent="0.2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 x14ac:dyDescent="0.2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 x14ac:dyDescent="0.2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 x14ac:dyDescent="0.2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 x14ac:dyDescent="0.2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 x14ac:dyDescent="0.2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 x14ac:dyDescent="0.2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 x14ac:dyDescent="0.2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 x14ac:dyDescent="0.2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 x14ac:dyDescent="0.2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 x14ac:dyDescent="0.2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 x14ac:dyDescent="0.2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 x14ac:dyDescent="0.2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 x14ac:dyDescent="0.2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 x14ac:dyDescent="0.2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 x14ac:dyDescent="0.2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 x14ac:dyDescent="0.2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 x14ac:dyDescent="0.2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 x14ac:dyDescent="0.2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 x14ac:dyDescent="0.2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 x14ac:dyDescent="0.2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 x14ac:dyDescent="0.2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 x14ac:dyDescent="0.2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 x14ac:dyDescent="0.2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 x14ac:dyDescent="0.2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 x14ac:dyDescent="0.2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 x14ac:dyDescent="0.2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 x14ac:dyDescent="0.2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 x14ac:dyDescent="0.2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 x14ac:dyDescent="0.2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 x14ac:dyDescent="0.2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 x14ac:dyDescent="0.2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 x14ac:dyDescent="0.2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 x14ac:dyDescent="0.2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 x14ac:dyDescent="0.2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 x14ac:dyDescent="0.2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 x14ac:dyDescent="0.2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 x14ac:dyDescent="0.2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 x14ac:dyDescent="0.2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 x14ac:dyDescent="0.2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 x14ac:dyDescent="0.2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 x14ac:dyDescent="0.2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 x14ac:dyDescent="0.2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 x14ac:dyDescent="0.2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 x14ac:dyDescent="0.2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 x14ac:dyDescent="0.2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 x14ac:dyDescent="0.2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 x14ac:dyDescent="0.2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 x14ac:dyDescent="0.2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 x14ac:dyDescent="0.2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 x14ac:dyDescent="0.2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 x14ac:dyDescent="0.2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 x14ac:dyDescent="0.2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 x14ac:dyDescent="0.2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 x14ac:dyDescent="0.2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 x14ac:dyDescent="0.2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 x14ac:dyDescent="0.2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 x14ac:dyDescent="0.2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 x14ac:dyDescent="0.2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 x14ac:dyDescent="0.2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 x14ac:dyDescent="0.2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 x14ac:dyDescent="0.2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 x14ac:dyDescent="0.2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 x14ac:dyDescent="0.2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 x14ac:dyDescent="0.2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 x14ac:dyDescent="0.2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 x14ac:dyDescent="0.2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 x14ac:dyDescent="0.2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 x14ac:dyDescent="0.2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 x14ac:dyDescent="0.2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 x14ac:dyDescent="0.2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 x14ac:dyDescent="0.2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 x14ac:dyDescent="0.2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 x14ac:dyDescent="0.2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 x14ac:dyDescent="0.2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 x14ac:dyDescent="0.2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 x14ac:dyDescent="0.2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 x14ac:dyDescent="0.2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 x14ac:dyDescent="0.2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 x14ac:dyDescent="0.2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 x14ac:dyDescent="0.2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 x14ac:dyDescent="0.2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 x14ac:dyDescent="0.2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 x14ac:dyDescent="0.2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 x14ac:dyDescent="0.2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 x14ac:dyDescent="0.2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 x14ac:dyDescent="0.2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 x14ac:dyDescent="0.2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 x14ac:dyDescent="0.2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 x14ac:dyDescent="0.2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 x14ac:dyDescent="0.2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 x14ac:dyDescent="0.2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 x14ac:dyDescent="0.2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 x14ac:dyDescent="0.2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 x14ac:dyDescent="0.2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 x14ac:dyDescent="0.2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 x14ac:dyDescent="0.2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 x14ac:dyDescent="0.2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 x14ac:dyDescent="0.2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 x14ac:dyDescent="0.2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 x14ac:dyDescent="0.2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 x14ac:dyDescent="0.2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 x14ac:dyDescent="0.2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 x14ac:dyDescent="0.2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 x14ac:dyDescent="0.2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 x14ac:dyDescent="0.2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 x14ac:dyDescent="0.2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 x14ac:dyDescent="0.2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 x14ac:dyDescent="0.2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 x14ac:dyDescent="0.2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 x14ac:dyDescent="0.2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 x14ac:dyDescent="0.2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 x14ac:dyDescent="0.2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 x14ac:dyDescent="0.2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 x14ac:dyDescent="0.2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 x14ac:dyDescent="0.2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 x14ac:dyDescent="0.2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 x14ac:dyDescent="0.2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 x14ac:dyDescent="0.2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 x14ac:dyDescent="0.2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 x14ac:dyDescent="0.2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 x14ac:dyDescent="0.2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 x14ac:dyDescent="0.2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 x14ac:dyDescent="0.2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 x14ac:dyDescent="0.2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 x14ac:dyDescent="0.2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 x14ac:dyDescent="0.2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 x14ac:dyDescent="0.2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 x14ac:dyDescent="0.2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 x14ac:dyDescent="0.2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 x14ac:dyDescent="0.2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 x14ac:dyDescent="0.2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 x14ac:dyDescent="0.2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 x14ac:dyDescent="0.2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 x14ac:dyDescent="0.2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 x14ac:dyDescent="0.2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 x14ac:dyDescent="0.2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 x14ac:dyDescent="0.2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 x14ac:dyDescent="0.2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 x14ac:dyDescent="0.2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 x14ac:dyDescent="0.2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 x14ac:dyDescent="0.2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 x14ac:dyDescent="0.2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 x14ac:dyDescent="0.2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 x14ac:dyDescent="0.2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 x14ac:dyDescent="0.2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 x14ac:dyDescent="0.2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 x14ac:dyDescent="0.2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 x14ac:dyDescent="0.2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 x14ac:dyDescent="0.2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 x14ac:dyDescent="0.2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 x14ac:dyDescent="0.2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 x14ac:dyDescent="0.2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 x14ac:dyDescent="0.2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 x14ac:dyDescent="0.2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 x14ac:dyDescent="0.2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 x14ac:dyDescent="0.2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 x14ac:dyDescent="0.2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 x14ac:dyDescent="0.2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 x14ac:dyDescent="0.2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x14ac:dyDescent="0.2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x14ac:dyDescent="0.2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x14ac:dyDescent="0.2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x14ac:dyDescent="0.2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x14ac:dyDescent="0.2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x14ac:dyDescent="0.2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x14ac:dyDescent="0.2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x14ac:dyDescent="0.2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x14ac:dyDescent="0.2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x14ac:dyDescent="0.2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x14ac:dyDescent="0.2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x14ac:dyDescent="0.2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x14ac:dyDescent="0.2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 x14ac:dyDescent="0.2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 x14ac:dyDescent="0.2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 x14ac:dyDescent="0.2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 x14ac:dyDescent="0.2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 x14ac:dyDescent="0.2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 x14ac:dyDescent="0.2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 x14ac:dyDescent="0.2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 x14ac:dyDescent="0.2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 x14ac:dyDescent="0.2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 x14ac:dyDescent="0.2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 x14ac:dyDescent="0.2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 x14ac:dyDescent="0.2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 x14ac:dyDescent="0.2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 x14ac:dyDescent="0.2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 x14ac:dyDescent="0.2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 x14ac:dyDescent="0.2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 x14ac:dyDescent="0.2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 x14ac:dyDescent="0.2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 x14ac:dyDescent="0.2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 x14ac:dyDescent="0.2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 x14ac:dyDescent="0.2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 x14ac:dyDescent="0.2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 x14ac:dyDescent="0.2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 x14ac:dyDescent="0.2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 x14ac:dyDescent="0.2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 x14ac:dyDescent="0.2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 x14ac:dyDescent="0.2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 x14ac:dyDescent="0.2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 x14ac:dyDescent="0.2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 x14ac:dyDescent="0.2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 x14ac:dyDescent="0.2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 x14ac:dyDescent="0.2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 x14ac:dyDescent="0.2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 x14ac:dyDescent="0.2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 x14ac:dyDescent="0.2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 x14ac:dyDescent="0.2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 x14ac:dyDescent="0.2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 x14ac:dyDescent="0.2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 x14ac:dyDescent="0.2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 x14ac:dyDescent="0.2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 x14ac:dyDescent="0.2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 x14ac:dyDescent="0.2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 x14ac:dyDescent="0.2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 x14ac:dyDescent="0.2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 x14ac:dyDescent="0.2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 x14ac:dyDescent="0.2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 x14ac:dyDescent="0.2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 x14ac:dyDescent="0.2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 x14ac:dyDescent="0.2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 x14ac:dyDescent="0.2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 x14ac:dyDescent="0.2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 x14ac:dyDescent="0.2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 x14ac:dyDescent="0.2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 x14ac:dyDescent="0.2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 x14ac:dyDescent="0.2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 x14ac:dyDescent="0.2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 x14ac:dyDescent="0.2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 x14ac:dyDescent="0.2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 x14ac:dyDescent="0.2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 x14ac:dyDescent="0.2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 x14ac:dyDescent="0.2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 x14ac:dyDescent="0.2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 x14ac:dyDescent="0.2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 x14ac:dyDescent="0.2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 x14ac:dyDescent="0.2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 x14ac:dyDescent="0.2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 x14ac:dyDescent="0.2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 x14ac:dyDescent="0.2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 x14ac:dyDescent="0.2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 x14ac:dyDescent="0.2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 x14ac:dyDescent="0.2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 x14ac:dyDescent="0.2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 x14ac:dyDescent="0.2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 x14ac:dyDescent="0.2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 x14ac:dyDescent="0.2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 x14ac:dyDescent="0.2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 x14ac:dyDescent="0.2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 x14ac:dyDescent="0.2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 x14ac:dyDescent="0.2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 x14ac:dyDescent="0.2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 x14ac:dyDescent="0.2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 x14ac:dyDescent="0.2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 x14ac:dyDescent="0.2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 x14ac:dyDescent="0.2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 x14ac:dyDescent="0.2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 x14ac:dyDescent="0.2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 x14ac:dyDescent="0.2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 x14ac:dyDescent="0.2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 x14ac:dyDescent="0.2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 x14ac:dyDescent="0.2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 x14ac:dyDescent="0.2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 x14ac:dyDescent="0.2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 x14ac:dyDescent="0.2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 x14ac:dyDescent="0.2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 x14ac:dyDescent="0.2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 x14ac:dyDescent="0.2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 x14ac:dyDescent="0.2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 x14ac:dyDescent="0.2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 x14ac:dyDescent="0.2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 x14ac:dyDescent="0.2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 x14ac:dyDescent="0.2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 x14ac:dyDescent="0.2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 x14ac:dyDescent="0.2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 x14ac:dyDescent="0.2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 x14ac:dyDescent="0.2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 x14ac:dyDescent="0.2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 x14ac:dyDescent="0.2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 x14ac:dyDescent="0.2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 x14ac:dyDescent="0.2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 x14ac:dyDescent="0.2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 x14ac:dyDescent="0.2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 x14ac:dyDescent="0.2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 x14ac:dyDescent="0.2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 x14ac:dyDescent="0.2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 x14ac:dyDescent="0.2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 x14ac:dyDescent="0.2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 x14ac:dyDescent="0.2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 x14ac:dyDescent="0.2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 x14ac:dyDescent="0.2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 x14ac:dyDescent="0.2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 x14ac:dyDescent="0.2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 x14ac:dyDescent="0.2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 x14ac:dyDescent="0.2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 x14ac:dyDescent="0.2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 x14ac:dyDescent="0.2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 x14ac:dyDescent="0.2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 x14ac:dyDescent="0.2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 x14ac:dyDescent="0.2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 x14ac:dyDescent="0.2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 x14ac:dyDescent="0.2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 x14ac:dyDescent="0.2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 x14ac:dyDescent="0.2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 x14ac:dyDescent="0.2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 x14ac:dyDescent="0.2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 x14ac:dyDescent="0.2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 x14ac:dyDescent="0.2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 x14ac:dyDescent="0.2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 x14ac:dyDescent="0.2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 x14ac:dyDescent="0.2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 x14ac:dyDescent="0.2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 x14ac:dyDescent="0.2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 x14ac:dyDescent="0.2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 x14ac:dyDescent="0.2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 x14ac:dyDescent="0.2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 x14ac:dyDescent="0.2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 x14ac:dyDescent="0.2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 x14ac:dyDescent="0.2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 x14ac:dyDescent="0.2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 x14ac:dyDescent="0.2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 x14ac:dyDescent="0.2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 x14ac:dyDescent="0.2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 x14ac:dyDescent="0.2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 x14ac:dyDescent="0.2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 x14ac:dyDescent="0.2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 x14ac:dyDescent="0.2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 x14ac:dyDescent="0.2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 x14ac:dyDescent="0.2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 x14ac:dyDescent="0.2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 x14ac:dyDescent="0.2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 x14ac:dyDescent="0.2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 x14ac:dyDescent="0.2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 x14ac:dyDescent="0.2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 x14ac:dyDescent="0.2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 x14ac:dyDescent="0.2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 x14ac:dyDescent="0.2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 x14ac:dyDescent="0.2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 x14ac:dyDescent="0.2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 x14ac:dyDescent="0.2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 x14ac:dyDescent="0.2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9"/>
  <sheetViews>
    <sheetView workbookViewId="0">
      <selection activeCell="F2" sqref="F2:F9"/>
    </sheetView>
  </sheetViews>
  <sheetFormatPr defaultRowHeight="12.75" x14ac:dyDescent="0.2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 x14ac:dyDescent="0.2">
      <c r="A1" s="31"/>
      <c r="B1" s="29" t="s">
        <v>33</v>
      </c>
      <c r="C1" s="29"/>
      <c r="D1" s="29" t="s">
        <v>52</v>
      </c>
      <c r="E1" s="29"/>
      <c r="F1" s="30" t="s">
        <v>69</v>
      </c>
      <c r="G1" s="31"/>
      <c r="H1" s="31" t="s">
        <v>77</v>
      </c>
      <c r="I1" s="31"/>
      <c r="J1" s="31" t="s">
        <v>84</v>
      </c>
      <c r="K1" s="31"/>
      <c r="L1" s="31"/>
      <c r="M1" s="31"/>
      <c r="N1" s="31"/>
      <c r="O1" s="31"/>
    </row>
    <row r="2" spans="1:15" x14ac:dyDescent="0.2">
      <c r="A2">
        <v>1</v>
      </c>
      <c r="B2" s="28" t="s">
        <v>41</v>
      </c>
      <c r="C2" s="10">
        <v>1</v>
      </c>
      <c r="D2" s="28" t="s">
        <v>53</v>
      </c>
      <c r="E2" s="10">
        <v>1</v>
      </c>
      <c r="F2" t="s">
        <v>70</v>
      </c>
      <c r="G2">
        <v>1</v>
      </c>
      <c r="H2" s="19" t="s">
        <v>78</v>
      </c>
      <c r="I2">
        <v>1</v>
      </c>
      <c r="J2" s="19" t="s">
        <v>85</v>
      </c>
    </row>
    <row r="3" spans="1:15" x14ac:dyDescent="0.2">
      <c r="A3">
        <v>2</v>
      </c>
      <c r="B3" s="28" t="s">
        <v>42</v>
      </c>
      <c r="C3" s="10">
        <v>2</v>
      </c>
      <c r="D3" s="28" t="s">
        <v>54</v>
      </c>
      <c r="E3" s="10">
        <v>2</v>
      </c>
      <c r="F3" t="s">
        <v>71</v>
      </c>
      <c r="G3">
        <v>2</v>
      </c>
      <c r="H3" s="19" t="s">
        <v>79</v>
      </c>
      <c r="I3">
        <v>2</v>
      </c>
      <c r="J3" s="19" t="s">
        <v>86</v>
      </c>
    </row>
    <row r="4" spans="1:15" x14ac:dyDescent="0.2">
      <c r="A4">
        <v>3</v>
      </c>
      <c r="B4" s="28" t="s">
        <v>43</v>
      </c>
      <c r="C4" s="10">
        <v>3</v>
      </c>
      <c r="D4" s="28" t="s">
        <v>55</v>
      </c>
      <c r="E4" s="10">
        <v>3</v>
      </c>
      <c r="F4" t="s">
        <v>72</v>
      </c>
      <c r="G4">
        <v>3</v>
      </c>
      <c r="H4" s="19" t="s">
        <v>80</v>
      </c>
      <c r="I4">
        <v>3</v>
      </c>
      <c r="J4" s="19" t="s">
        <v>87</v>
      </c>
    </row>
    <row r="5" spans="1:15" x14ac:dyDescent="0.2">
      <c r="A5">
        <v>4</v>
      </c>
      <c r="B5" s="28" t="s">
        <v>115</v>
      </c>
      <c r="C5" s="10">
        <v>4</v>
      </c>
      <c r="D5" s="28" t="s">
        <v>56</v>
      </c>
      <c r="E5" s="10">
        <v>4</v>
      </c>
      <c r="F5" t="s">
        <v>73</v>
      </c>
      <c r="G5">
        <v>4</v>
      </c>
      <c r="H5" s="19" t="s">
        <v>81</v>
      </c>
      <c r="I5">
        <v>4</v>
      </c>
      <c r="J5" s="32" t="s">
        <v>88</v>
      </c>
    </row>
    <row r="6" spans="1:15" x14ac:dyDescent="0.2">
      <c r="A6">
        <v>5</v>
      </c>
      <c r="B6" s="28" t="s">
        <v>44</v>
      </c>
      <c r="C6" s="10">
        <v>5</v>
      </c>
      <c r="D6" s="28" t="s">
        <v>57</v>
      </c>
      <c r="E6" s="10">
        <v>5</v>
      </c>
      <c r="F6" t="s">
        <v>74</v>
      </c>
      <c r="G6">
        <v>5</v>
      </c>
      <c r="H6" s="19" t="s">
        <v>82</v>
      </c>
      <c r="I6">
        <v>5</v>
      </c>
      <c r="J6" s="19" t="s">
        <v>89</v>
      </c>
    </row>
    <row r="7" spans="1:15" x14ac:dyDescent="0.2">
      <c r="A7">
        <v>6</v>
      </c>
      <c r="B7" s="28" t="s">
        <v>45</v>
      </c>
      <c r="C7" s="10">
        <v>6</v>
      </c>
      <c r="D7" s="28" t="s">
        <v>58</v>
      </c>
      <c r="E7" s="10">
        <v>6</v>
      </c>
      <c r="F7" t="s">
        <v>75</v>
      </c>
      <c r="G7">
        <v>6</v>
      </c>
      <c r="H7" s="19" t="s">
        <v>83</v>
      </c>
      <c r="I7">
        <v>6</v>
      </c>
      <c r="J7" s="19" t="s">
        <v>90</v>
      </c>
    </row>
    <row r="8" spans="1:15" x14ac:dyDescent="0.2">
      <c r="A8">
        <v>7</v>
      </c>
      <c r="B8" s="28" t="s">
        <v>46</v>
      </c>
      <c r="C8" s="10">
        <v>7</v>
      </c>
      <c r="D8" s="28" t="s">
        <v>59</v>
      </c>
      <c r="E8" s="10">
        <v>7</v>
      </c>
      <c r="F8" t="s">
        <v>57</v>
      </c>
      <c r="I8">
        <v>7</v>
      </c>
      <c r="J8" s="19" t="s">
        <v>91</v>
      </c>
    </row>
    <row r="9" spans="1:15" x14ac:dyDescent="0.2">
      <c r="A9">
        <v>8</v>
      </c>
      <c r="B9" s="28" t="s">
        <v>47</v>
      </c>
      <c r="C9" s="10">
        <v>8</v>
      </c>
      <c r="D9" s="28" t="s">
        <v>60</v>
      </c>
      <c r="E9" s="10">
        <v>8</v>
      </c>
      <c r="F9" t="s">
        <v>76</v>
      </c>
      <c r="I9">
        <v>8</v>
      </c>
      <c r="J9" s="19" t="s">
        <v>92</v>
      </c>
    </row>
    <row r="10" spans="1:15" x14ac:dyDescent="0.2">
      <c r="A10">
        <v>9</v>
      </c>
      <c r="B10" s="28" t="s">
        <v>48</v>
      </c>
      <c r="C10" s="10">
        <v>9</v>
      </c>
      <c r="D10" s="28" t="s">
        <v>61</v>
      </c>
      <c r="E10" s="10"/>
      <c r="I10">
        <v>9</v>
      </c>
      <c r="J10" s="19" t="s">
        <v>93</v>
      </c>
    </row>
    <row r="11" spans="1:15" x14ac:dyDescent="0.2">
      <c r="A11">
        <v>10</v>
      </c>
      <c r="B11" s="28" t="s">
        <v>49</v>
      </c>
      <c r="C11" s="10">
        <v>10</v>
      </c>
      <c r="D11" s="28" t="s">
        <v>62</v>
      </c>
      <c r="E11" s="10"/>
      <c r="I11">
        <v>10</v>
      </c>
      <c r="J11" s="32" t="s">
        <v>94</v>
      </c>
    </row>
    <row r="12" spans="1:15" x14ac:dyDescent="0.2">
      <c r="A12">
        <v>11</v>
      </c>
      <c r="B12" s="28" t="s">
        <v>51</v>
      </c>
      <c r="C12" s="10">
        <v>11</v>
      </c>
      <c r="D12" s="28" t="s">
        <v>63</v>
      </c>
      <c r="E12" s="10"/>
      <c r="I12">
        <v>11</v>
      </c>
      <c r="J12" s="19" t="s">
        <v>95</v>
      </c>
    </row>
    <row r="13" spans="1:15" x14ac:dyDescent="0.2">
      <c r="A13">
        <v>12</v>
      </c>
      <c r="B13" s="28" t="s">
        <v>50</v>
      </c>
      <c r="C13" s="10">
        <v>12</v>
      </c>
      <c r="D13" s="28" t="s">
        <v>64</v>
      </c>
      <c r="E13" s="10"/>
      <c r="I13">
        <v>12</v>
      </c>
      <c r="J13" s="19" t="s">
        <v>96</v>
      </c>
    </row>
    <row r="14" spans="1:15" x14ac:dyDescent="0.2">
      <c r="C14" s="10">
        <v>13</v>
      </c>
      <c r="D14" s="19" t="s">
        <v>65</v>
      </c>
    </row>
    <row r="15" spans="1:15" x14ac:dyDescent="0.2">
      <c r="B15" s="1"/>
      <c r="C15" s="10">
        <v>14</v>
      </c>
      <c r="D15" s="19" t="s">
        <v>66</v>
      </c>
    </row>
    <row r="16" spans="1:15" x14ac:dyDescent="0.2">
      <c r="A16" s="31"/>
      <c r="B16" s="29" t="s">
        <v>108</v>
      </c>
      <c r="C16" s="10">
        <v>15</v>
      </c>
      <c r="D16" s="19" t="s">
        <v>67</v>
      </c>
    </row>
    <row r="17" spans="1:6" x14ac:dyDescent="0.2">
      <c r="A17">
        <v>1</v>
      </c>
      <c r="B17" s="28" t="s">
        <v>109</v>
      </c>
      <c r="C17" s="10">
        <v>16</v>
      </c>
      <c r="D17" s="19" t="s">
        <v>68</v>
      </c>
    </row>
    <row r="18" spans="1:6" x14ac:dyDescent="0.2">
      <c r="A18">
        <v>2</v>
      </c>
      <c r="B18" s="28" t="s">
        <v>110</v>
      </c>
    </row>
    <row r="19" spans="1:6" x14ac:dyDescent="0.2">
      <c r="A19">
        <v>3</v>
      </c>
      <c r="B19" s="28" t="s">
        <v>111</v>
      </c>
      <c r="D19" s="1" t="s">
        <v>130</v>
      </c>
      <c r="F19" s="1" t="s">
        <v>143</v>
      </c>
    </row>
    <row r="20" spans="1:6" x14ac:dyDescent="0.2">
      <c r="A20">
        <v>4</v>
      </c>
      <c r="B20" s="28" t="s">
        <v>112</v>
      </c>
      <c r="C20">
        <v>1</v>
      </c>
      <c r="D20" s="19" t="s">
        <v>131</v>
      </c>
      <c r="E20">
        <v>1</v>
      </c>
      <c r="F20" s="19" t="s">
        <v>144</v>
      </c>
    </row>
    <row r="21" spans="1:6" x14ac:dyDescent="0.2">
      <c r="A21">
        <v>5</v>
      </c>
      <c r="B21" s="28" t="s">
        <v>113</v>
      </c>
      <c r="C21">
        <v>2</v>
      </c>
      <c r="D21" s="19" t="s">
        <v>132</v>
      </c>
      <c r="E21">
        <v>2</v>
      </c>
      <c r="F21" s="19" t="s">
        <v>145</v>
      </c>
    </row>
    <row r="22" spans="1:6" x14ac:dyDescent="0.2">
      <c r="C22">
        <v>3</v>
      </c>
      <c r="D22" s="19" t="s">
        <v>133</v>
      </c>
      <c r="E22">
        <v>3</v>
      </c>
      <c r="F22" s="19" t="s">
        <v>146</v>
      </c>
    </row>
    <row r="23" spans="1:6" x14ac:dyDescent="0.2">
      <c r="B23" s="29" t="s">
        <v>117</v>
      </c>
      <c r="C23">
        <v>4</v>
      </c>
      <c r="D23" s="19" t="s">
        <v>134</v>
      </c>
      <c r="E23">
        <v>4</v>
      </c>
      <c r="F23" s="19" t="s">
        <v>147</v>
      </c>
    </row>
    <row r="24" spans="1:6" x14ac:dyDescent="0.2">
      <c r="A24">
        <v>1</v>
      </c>
      <c r="B24" s="19" t="s">
        <v>119</v>
      </c>
      <c r="C24">
        <v>5</v>
      </c>
      <c r="D24" s="19" t="s">
        <v>135</v>
      </c>
      <c r="E24">
        <v>5</v>
      </c>
      <c r="F24" s="19" t="s">
        <v>148</v>
      </c>
    </row>
    <row r="25" spans="1:6" x14ac:dyDescent="0.2">
      <c r="A25">
        <v>2</v>
      </c>
      <c r="B25" s="19" t="s">
        <v>120</v>
      </c>
      <c r="C25">
        <v>6</v>
      </c>
      <c r="D25" s="19" t="s">
        <v>136</v>
      </c>
    </row>
    <row r="26" spans="1:6" x14ac:dyDescent="0.2">
      <c r="A26">
        <v>3</v>
      </c>
      <c r="B26" s="19" t="s">
        <v>121</v>
      </c>
      <c r="C26">
        <v>7</v>
      </c>
      <c r="D26" s="19" t="s">
        <v>137</v>
      </c>
    </row>
    <row r="27" spans="1:6" x14ac:dyDescent="0.2">
      <c r="A27">
        <v>4</v>
      </c>
      <c r="B27" s="19" t="s">
        <v>122</v>
      </c>
      <c r="C27">
        <v>8</v>
      </c>
      <c r="D27" s="19" t="s">
        <v>138</v>
      </c>
    </row>
    <row r="28" spans="1:6" x14ac:dyDescent="0.2">
      <c r="A28">
        <v>5</v>
      </c>
      <c r="B28" s="19" t="s">
        <v>123</v>
      </c>
      <c r="C28">
        <v>9</v>
      </c>
      <c r="D28" s="19" t="s">
        <v>139</v>
      </c>
    </row>
    <row r="29" spans="1:6" x14ac:dyDescent="0.2">
      <c r="A29">
        <v>6</v>
      </c>
      <c r="B29" s="19" t="s">
        <v>124</v>
      </c>
      <c r="C29">
        <v>10</v>
      </c>
      <c r="D29" s="19" t="s">
        <v>140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KABALE</vt:lpstr>
      <vt:lpstr>RSI FORM</vt:lpstr>
      <vt:lpstr>Key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K-BENZ</cp:lastModifiedBy>
  <cp:lastPrinted>2019-07-30T09:53:06Z</cp:lastPrinted>
  <dcterms:created xsi:type="dcterms:W3CDTF">2010-10-20T14:55:17Z</dcterms:created>
  <dcterms:modified xsi:type="dcterms:W3CDTF">2020-01-30T08:31:25Z</dcterms:modified>
</cp:coreProperties>
</file>