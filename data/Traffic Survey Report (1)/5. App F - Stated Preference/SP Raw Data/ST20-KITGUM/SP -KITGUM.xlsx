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20-KITGUM\"/>
    </mc:Choice>
  </mc:AlternateContent>
  <xr:revisionPtr revIDLastSave="0" documentId="13_ncr:1_{A9A7969F-DE3E-45C0-80E2-FBC978672244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KITGUM " sheetId="3" r:id="rId1"/>
    <sheet name="RSI FORM" sheetId="4" state="hidden" r:id="rId2"/>
    <sheet name="Key" sheetId="5" r:id="rId3"/>
    <sheet name="Zones" sheetId="31" r:id="rId4"/>
  </sheets>
  <definedNames>
    <definedName name="_xlnm._FilterDatabase" localSheetId="0" hidden="1">'KITGUM '!$C$8:$AM$104</definedName>
    <definedName name="Veh_Type">'KITGUM '!$H$8:$H$113</definedName>
    <definedName name="zones">Zones!$A$4:$B$127</definedName>
    <definedName name="Zones_Ndeke">Zones!$A$4:$B$90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46" i="3" l="1"/>
  <c r="P143" i="3" s="1"/>
  <c r="J146" i="3"/>
  <c r="O144" i="3" s="1"/>
  <c r="L145" i="3"/>
  <c r="L144" i="3"/>
  <c r="L143" i="3"/>
  <c r="L142" i="3"/>
  <c r="L141" i="3"/>
  <c r="L140" i="3"/>
  <c r="O143" i="3" l="1"/>
  <c r="O142" i="3"/>
  <c r="P142" i="3"/>
  <c r="P141" i="3"/>
  <c r="O141" i="3"/>
  <c r="L146" i="3"/>
  <c r="Q140" i="3" s="1"/>
  <c r="O140" i="3"/>
  <c r="P146" i="3"/>
  <c r="O146" i="3"/>
  <c r="P145" i="3"/>
  <c r="P140" i="3"/>
  <c r="O145" i="3"/>
  <c r="P144" i="3"/>
  <c r="L136" i="3"/>
  <c r="Q144" i="3" l="1"/>
  <c r="Q142" i="3"/>
  <c r="Q145" i="3"/>
  <c r="Q141" i="3"/>
  <c r="Q143" i="3"/>
  <c r="Q146" i="3"/>
  <c r="N124" i="3"/>
  <c r="M125" i="3"/>
  <c r="M126" i="3"/>
  <c r="M127" i="3"/>
  <c r="M129" i="3"/>
  <c r="M130" i="3"/>
  <c r="M124" i="3"/>
  <c r="N127" i="3"/>
  <c r="L135" i="3"/>
  <c r="L134" i="3"/>
  <c r="L133" i="3"/>
  <c r="L132" i="3"/>
  <c r="L131" i="3"/>
  <c r="L130" i="3"/>
  <c r="L129" i="3"/>
  <c r="N129" i="3" s="1"/>
  <c r="L128" i="3"/>
  <c r="L127" i="3"/>
  <c r="N126" i="3"/>
  <c r="L126" i="3"/>
  <c r="L125" i="3"/>
  <c r="N125" i="3" s="1"/>
  <c r="L124" i="3"/>
  <c r="K118" i="3" l="1"/>
  <c r="K119" i="3"/>
  <c r="K117" i="3"/>
  <c r="J119" i="3"/>
  <c r="V67" i="3" l="1"/>
  <c r="AB67" i="3"/>
  <c r="AD67" i="3"/>
  <c r="G67" i="3" l="1"/>
  <c r="I67" i="3"/>
  <c r="L67" i="3"/>
  <c r="Q67" i="3"/>
  <c r="W67" i="3" s="1"/>
  <c r="G68" i="3"/>
  <c r="I68" i="3"/>
  <c r="L68" i="3"/>
  <c r="Q68" i="3"/>
  <c r="V68" i="3"/>
  <c r="AB68" i="3"/>
  <c r="AD68" i="3"/>
  <c r="G69" i="3"/>
  <c r="I69" i="3"/>
  <c r="L69" i="3"/>
  <c r="Q69" i="3"/>
  <c r="V69" i="3"/>
  <c r="AB69" i="3"/>
  <c r="AD69" i="3"/>
  <c r="G70" i="3"/>
  <c r="I70" i="3"/>
  <c r="L70" i="3"/>
  <c r="Q70" i="3"/>
  <c r="V70" i="3"/>
  <c r="AB70" i="3"/>
  <c r="AD70" i="3"/>
  <c r="G12" i="3"/>
  <c r="I12" i="3"/>
  <c r="L12" i="3"/>
  <c r="Q12" i="3"/>
  <c r="V12" i="3"/>
  <c r="AB12" i="3"/>
  <c r="AD12" i="3"/>
  <c r="G71" i="3"/>
  <c r="I71" i="3"/>
  <c r="L71" i="3"/>
  <c r="Q71" i="3"/>
  <c r="V71" i="3"/>
  <c r="AB71" i="3"/>
  <c r="AD71" i="3"/>
  <c r="G102" i="3"/>
  <c r="I102" i="3"/>
  <c r="L102" i="3"/>
  <c r="Q102" i="3"/>
  <c r="V102" i="3"/>
  <c r="AB102" i="3"/>
  <c r="AD102" i="3"/>
  <c r="G72" i="3"/>
  <c r="I72" i="3"/>
  <c r="L72" i="3"/>
  <c r="Q72" i="3"/>
  <c r="V72" i="3"/>
  <c r="AB72" i="3"/>
  <c r="AD72" i="3"/>
  <c r="G106" i="3"/>
  <c r="I106" i="3"/>
  <c r="L106" i="3"/>
  <c r="Q106" i="3"/>
  <c r="V106" i="3"/>
  <c r="AB106" i="3"/>
  <c r="AD106" i="3"/>
  <c r="G73" i="3"/>
  <c r="I73" i="3"/>
  <c r="L73" i="3"/>
  <c r="Q73" i="3"/>
  <c r="V73" i="3"/>
  <c r="AB73" i="3"/>
  <c r="AD73" i="3"/>
  <c r="G57" i="3"/>
  <c r="I57" i="3"/>
  <c r="L57" i="3"/>
  <c r="Q57" i="3"/>
  <c r="V57" i="3"/>
  <c r="AB57" i="3"/>
  <c r="AD57" i="3"/>
  <c r="G109" i="3"/>
  <c r="I109" i="3"/>
  <c r="L109" i="3"/>
  <c r="Q109" i="3"/>
  <c r="V109" i="3"/>
  <c r="AB109" i="3"/>
  <c r="AD109" i="3"/>
  <c r="G13" i="3"/>
  <c r="I13" i="3"/>
  <c r="L13" i="3"/>
  <c r="Q13" i="3"/>
  <c r="V13" i="3"/>
  <c r="AB13" i="3"/>
  <c r="AD13" i="3"/>
  <c r="G14" i="3"/>
  <c r="I14" i="3"/>
  <c r="L14" i="3"/>
  <c r="Q14" i="3"/>
  <c r="V14" i="3"/>
  <c r="AB14" i="3"/>
  <c r="AD14" i="3"/>
  <c r="G111" i="3"/>
  <c r="I111" i="3"/>
  <c r="L111" i="3"/>
  <c r="Q111" i="3"/>
  <c r="V111" i="3"/>
  <c r="AB111" i="3"/>
  <c r="AD111" i="3"/>
  <c r="G58" i="3"/>
  <c r="I58" i="3"/>
  <c r="L58" i="3"/>
  <c r="Q58" i="3"/>
  <c r="V58" i="3"/>
  <c r="AB58" i="3"/>
  <c r="AD58" i="3"/>
  <c r="G15" i="3"/>
  <c r="I15" i="3"/>
  <c r="L15" i="3"/>
  <c r="Q15" i="3"/>
  <c r="V15" i="3"/>
  <c r="AB15" i="3"/>
  <c r="AD15" i="3"/>
  <c r="G16" i="3"/>
  <c r="I16" i="3"/>
  <c r="L16" i="3"/>
  <c r="Q16" i="3"/>
  <c r="V16" i="3"/>
  <c r="AB16" i="3"/>
  <c r="AD16" i="3"/>
  <c r="L112" i="3"/>
  <c r="Q112" i="3"/>
  <c r="V112" i="3"/>
  <c r="AB112" i="3"/>
  <c r="AD112" i="3"/>
  <c r="G59" i="3"/>
  <c r="I59" i="3"/>
  <c r="L59" i="3"/>
  <c r="Q59" i="3"/>
  <c r="V59" i="3"/>
  <c r="AB59" i="3"/>
  <c r="AD59" i="3"/>
  <c r="G17" i="3"/>
  <c r="I17" i="3"/>
  <c r="L17" i="3"/>
  <c r="Q17" i="3"/>
  <c r="V17" i="3"/>
  <c r="AB17" i="3"/>
  <c r="AD17" i="3"/>
  <c r="G103" i="3"/>
  <c r="I103" i="3"/>
  <c r="L103" i="3"/>
  <c r="Q103" i="3"/>
  <c r="V103" i="3"/>
  <c r="AB103" i="3"/>
  <c r="AD103" i="3"/>
  <c r="G93" i="3"/>
  <c r="I93" i="3"/>
  <c r="L93" i="3"/>
  <c r="Q93" i="3"/>
  <c r="V93" i="3"/>
  <c r="AB93" i="3"/>
  <c r="AD93" i="3"/>
  <c r="G60" i="3"/>
  <c r="L60" i="3"/>
  <c r="Q60" i="3"/>
  <c r="V60" i="3"/>
  <c r="AB60" i="3"/>
  <c r="AD60" i="3"/>
  <c r="G104" i="3"/>
  <c r="I104" i="3"/>
  <c r="L104" i="3"/>
  <c r="Q104" i="3"/>
  <c r="V104" i="3"/>
  <c r="AB104" i="3"/>
  <c r="AD104" i="3"/>
  <c r="G18" i="3"/>
  <c r="I18" i="3"/>
  <c r="L18" i="3"/>
  <c r="Q18" i="3"/>
  <c r="V18" i="3"/>
  <c r="AB18" i="3"/>
  <c r="AD18" i="3"/>
  <c r="G74" i="3"/>
  <c r="I74" i="3"/>
  <c r="L74" i="3"/>
  <c r="Q74" i="3"/>
  <c r="V74" i="3"/>
  <c r="AB74" i="3"/>
  <c r="AD74" i="3"/>
  <c r="G105" i="3"/>
  <c r="I105" i="3"/>
  <c r="L105" i="3"/>
  <c r="Q105" i="3"/>
  <c r="V105" i="3"/>
  <c r="AB105" i="3"/>
  <c r="AD105" i="3"/>
  <c r="G107" i="3"/>
  <c r="I107" i="3"/>
  <c r="L107" i="3"/>
  <c r="Q107" i="3"/>
  <c r="V107" i="3"/>
  <c r="AB107" i="3"/>
  <c r="AD107" i="3"/>
  <c r="G19" i="3"/>
  <c r="I19" i="3"/>
  <c r="L19" i="3"/>
  <c r="Q19" i="3"/>
  <c r="V19" i="3"/>
  <c r="AB19" i="3"/>
  <c r="AD19" i="3"/>
  <c r="G75" i="3"/>
  <c r="I75" i="3"/>
  <c r="L75" i="3"/>
  <c r="Q75" i="3"/>
  <c r="V75" i="3"/>
  <c r="AB75" i="3"/>
  <c r="AD75" i="3"/>
  <c r="G20" i="3"/>
  <c r="I20" i="3"/>
  <c r="L20" i="3"/>
  <c r="Q20" i="3"/>
  <c r="V20" i="3"/>
  <c r="AB20" i="3"/>
  <c r="AD20" i="3"/>
  <c r="G42" i="3"/>
  <c r="I42" i="3"/>
  <c r="L42" i="3"/>
  <c r="Q42" i="3"/>
  <c r="V42" i="3"/>
  <c r="AB42" i="3"/>
  <c r="AD42" i="3"/>
  <c r="G43" i="3"/>
  <c r="I43" i="3"/>
  <c r="L43" i="3"/>
  <c r="Q43" i="3"/>
  <c r="V43" i="3"/>
  <c r="AB43" i="3"/>
  <c r="AD43" i="3"/>
  <c r="G108" i="3"/>
  <c r="I108" i="3"/>
  <c r="L108" i="3"/>
  <c r="Q108" i="3"/>
  <c r="V108" i="3"/>
  <c r="AB108" i="3"/>
  <c r="AD108" i="3"/>
  <c r="G76" i="3"/>
  <c r="I76" i="3"/>
  <c r="L76" i="3"/>
  <c r="Q76" i="3"/>
  <c r="V76" i="3"/>
  <c r="AB76" i="3"/>
  <c r="AD76" i="3"/>
  <c r="G110" i="3"/>
  <c r="I110" i="3"/>
  <c r="L110" i="3"/>
  <c r="Q110" i="3"/>
  <c r="V110" i="3"/>
  <c r="AB110" i="3"/>
  <c r="AD110" i="3"/>
  <c r="G44" i="3"/>
  <c r="I44" i="3"/>
  <c r="L44" i="3"/>
  <c r="Q44" i="3"/>
  <c r="V44" i="3"/>
  <c r="AB44" i="3"/>
  <c r="AD44" i="3"/>
  <c r="G113" i="3"/>
  <c r="I113" i="3"/>
  <c r="L113" i="3"/>
  <c r="Q113" i="3"/>
  <c r="V113" i="3"/>
  <c r="AB113" i="3"/>
  <c r="AD113" i="3"/>
  <c r="G21" i="3"/>
  <c r="I21" i="3"/>
  <c r="L21" i="3"/>
  <c r="Q21" i="3"/>
  <c r="V21" i="3"/>
  <c r="AB21" i="3"/>
  <c r="AD21" i="3"/>
  <c r="G77" i="3"/>
  <c r="I77" i="3"/>
  <c r="L77" i="3"/>
  <c r="Q77" i="3"/>
  <c r="V77" i="3"/>
  <c r="AB77" i="3"/>
  <c r="AD77" i="3"/>
  <c r="G99" i="3"/>
  <c r="I99" i="3"/>
  <c r="L99" i="3"/>
  <c r="Q99" i="3"/>
  <c r="V99" i="3"/>
  <c r="AB99" i="3"/>
  <c r="AD99" i="3"/>
  <c r="G61" i="3"/>
  <c r="I61" i="3"/>
  <c r="L61" i="3"/>
  <c r="Q61" i="3"/>
  <c r="V61" i="3"/>
  <c r="AB61" i="3"/>
  <c r="AD61" i="3"/>
  <c r="G8" i="3"/>
  <c r="I8" i="3"/>
  <c r="L8" i="3"/>
  <c r="Q8" i="3"/>
  <c r="V8" i="3"/>
  <c r="AB8" i="3"/>
  <c r="AD8" i="3"/>
  <c r="G22" i="3"/>
  <c r="I22" i="3"/>
  <c r="L22" i="3"/>
  <c r="Q22" i="3"/>
  <c r="V22" i="3"/>
  <c r="AD22" i="3"/>
  <c r="G100" i="3"/>
  <c r="I100" i="3"/>
  <c r="L100" i="3"/>
  <c r="Q100" i="3"/>
  <c r="V100" i="3"/>
  <c r="AB100" i="3"/>
  <c r="AD100" i="3"/>
  <c r="G78" i="3"/>
  <c r="I78" i="3"/>
  <c r="L78" i="3"/>
  <c r="Q78" i="3"/>
  <c r="V78" i="3"/>
  <c r="AB78" i="3"/>
  <c r="AD78" i="3"/>
  <c r="G79" i="3"/>
  <c r="I79" i="3"/>
  <c r="L79" i="3"/>
  <c r="Q79" i="3"/>
  <c r="V79" i="3"/>
  <c r="AB79" i="3"/>
  <c r="AD79" i="3"/>
  <c r="G80" i="3"/>
  <c r="I80" i="3"/>
  <c r="L80" i="3"/>
  <c r="Q80" i="3"/>
  <c r="V80" i="3"/>
  <c r="AB80" i="3"/>
  <c r="AD80" i="3"/>
  <c r="G45" i="3"/>
  <c r="I45" i="3"/>
  <c r="L45" i="3"/>
  <c r="Q45" i="3"/>
  <c r="V45" i="3"/>
  <c r="AB45" i="3"/>
  <c r="AD45" i="3"/>
  <c r="G46" i="3"/>
  <c r="I46" i="3"/>
  <c r="L46" i="3"/>
  <c r="Q46" i="3"/>
  <c r="V46" i="3"/>
  <c r="AB46" i="3"/>
  <c r="AD46" i="3"/>
  <c r="G47" i="3"/>
  <c r="I47" i="3"/>
  <c r="L47" i="3"/>
  <c r="V47" i="3"/>
  <c r="AB47" i="3"/>
  <c r="AD47" i="3"/>
  <c r="G48" i="3"/>
  <c r="I48" i="3"/>
  <c r="L48" i="3"/>
  <c r="Q48" i="3"/>
  <c r="V48" i="3"/>
  <c r="AB48" i="3"/>
  <c r="AD48" i="3"/>
  <c r="G49" i="3"/>
  <c r="I49" i="3"/>
  <c r="L49" i="3"/>
  <c r="Q49" i="3"/>
  <c r="V49" i="3"/>
  <c r="AB49" i="3"/>
  <c r="AD49" i="3"/>
  <c r="G23" i="3"/>
  <c r="I23" i="3"/>
  <c r="L23" i="3"/>
  <c r="Q23" i="3"/>
  <c r="V23" i="3"/>
  <c r="AB23" i="3"/>
  <c r="AD23" i="3"/>
  <c r="G24" i="3"/>
  <c r="I24" i="3"/>
  <c r="L24" i="3"/>
  <c r="Q24" i="3"/>
  <c r="V24" i="3"/>
  <c r="AB24" i="3"/>
  <c r="AD24" i="3"/>
  <c r="G25" i="3"/>
  <c r="I25" i="3"/>
  <c r="L25" i="3"/>
  <c r="Q25" i="3"/>
  <c r="V25" i="3"/>
  <c r="AB25" i="3"/>
  <c r="AD25" i="3"/>
  <c r="G26" i="3"/>
  <c r="I26" i="3"/>
  <c r="L26" i="3"/>
  <c r="Q26" i="3"/>
  <c r="V26" i="3"/>
  <c r="AB26" i="3"/>
  <c r="AD26" i="3"/>
  <c r="G81" i="3"/>
  <c r="I81" i="3"/>
  <c r="L81" i="3"/>
  <c r="Q81" i="3"/>
  <c r="V81" i="3"/>
  <c r="AB81" i="3"/>
  <c r="AD81" i="3"/>
  <c r="G82" i="3"/>
  <c r="I82" i="3"/>
  <c r="L82" i="3"/>
  <c r="Q82" i="3"/>
  <c r="V82" i="3"/>
  <c r="AB82" i="3"/>
  <c r="AD82" i="3"/>
  <c r="G83" i="3"/>
  <c r="I83" i="3"/>
  <c r="L83" i="3"/>
  <c r="Q83" i="3"/>
  <c r="V83" i="3"/>
  <c r="AB83" i="3"/>
  <c r="AD83" i="3"/>
  <c r="G84" i="3"/>
  <c r="I84" i="3"/>
  <c r="L84" i="3"/>
  <c r="Q84" i="3"/>
  <c r="V84" i="3"/>
  <c r="AB84" i="3"/>
  <c r="AD84" i="3"/>
  <c r="G85" i="3"/>
  <c r="I85" i="3"/>
  <c r="L85" i="3"/>
  <c r="Q85" i="3"/>
  <c r="V85" i="3"/>
  <c r="AB85" i="3"/>
  <c r="AD85" i="3"/>
  <c r="G27" i="3"/>
  <c r="I27" i="3"/>
  <c r="L27" i="3"/>
  <c r="Q27" i="3"/>
  <c r="V27" i="3"/>
  <c r="AB27" i="3"/>
  <c r="AD27" i="3"/>
  <c r="G28" i="3"/>
  <c r="I28" i="3"/>
  <c r="L28" i="3"/>
  <c r="Q28" i="3"/>
  <c r="V28" i="3"/>
  <c r="AB28" i="3"/>
  <c r="AD28" i="3"/>
  <c r="G29" i="3"/>
  <c r="I29" i="3"/>
  <c r="L29" i="3"/>
  <c r="Q29" i="3"/>
  <c r="V29" i="3"/>
  <c r="AB29" i="3"/>
  <c r="AD29" i="3"/>
  <c r="G62" i="3"/>
  <c r="I62" i="3"/>
  <c r="L62" i="3"/>
  <c r="Q62" i="3"/>
  <c r="V62" i="3"/>
  <c r="AB62" i="3"/>
  <c r="AD62" i="3"/>
  <c r="G63" i="3"/>
  <c r="I63" i="3"/>
  <c r="L63" i="3"/>
  <c r="Q63" i="3"/>
  <c r="V63" i="3"/>
  <c r="AB63" i="3"/>
  <c r="AD63" i="3"/>
  <c r="G30" i="3"/>
  <c r="I30" i="3"/>
  <c r="L30" i="3"/>
  <c r="Q30" i="3"/>
  <c r="V30" i="3"/>
  <c r="AB30" i="3"/>
  <c r="AD30" i="3"/>
  <c r="G31" i="3"/>
  <c r="I31" i="3"/>
  <c r="L31" i="3"/>
  <c r="Q31" i="3"/>
  <c r="V31" i="3"/>
  <c r="AB31" i="3"/>
  <c r="AD31" i="3"/>
  <c r="G32" i="3"/>
  <c r="I32" i="3"/>
  <c r="L32" i="3"/>
  <c r="Q32" i="3"/>
  <c r="V32" i="3"/>
  <c r="AB32" i="3"/>
  <c r="AD32" i="3"/>
  <c r="G33" i="3"/>
  <c r="I33" i="3"/>
  <c r="L33" i="3"/>
  <c r="Q33" i="3"/>
  <c r="V33" i="3"/>
  <c r="AB33" i="3"/>
  <c r="AD33" i="3"/>
  <c r="G101" i="3"/>
  <c r="I101" i="3"/>
  <c r="L101" i="3"/>
  <c r="Q101" i="3"/>
  <c r="V101" i="3"/>
  <c r="AB101" i="3"/>
  <c r="AD101" i="3"/>
  <c r="G9" i="3"/>
  <c r="I9" i="3"/>
  <c r="L9" i="3"/>
  <c r="Q9" i="3"/>
  <c r="V9" i="3"/>
  <c r="AB9" i="3"/>
  <c r="AD9" i="3"/>
  <c r="G10" i="3"/>
  <c r="I10" i="3"/>
  <c r="L10" i="3"/>
  <c r="Q10" i="3"/>
  <c r="V10" i="3"/>
  <c r="AB10" i="3"/>
  <c r="AD10" i="3"/>
  <c r="G97" i="3"/>
  <c r="I97" i="3"/>
  <c r="L97" i="3"/>
  <c r="Q97" i="3"/>
  <c r="V97" i="3"/>
  <c r="AD97" i="3"/>
  <c r="G94" i="3"/>
  <c r="I94" i="3"/>
  <c r="L94" i="3"/>
  <c r="Q94" i="3"/>
  <c r="V94" i="3"/>
  <c r="AB94" i="3"/>
  <c r="AD94" i="3"/>
  <c r="G95" i="3"/>
  <c r="I95" i="3"/>
  <c r="L95" i="3"/>
  <c r="Q95" i="3"/>
  <c r="V95" i="3"/>
  <c r="AB95" i="3"/>
  <c r="AD95" i="3"/>
  <c r="G86" i="3"/>
  <c r="I86" i="3"/>
  <c r="L86" i="3"/>
  <c r="Q86" i="3"/>
  <c r="V86" i="3"/>
  <c r="AB86" i="3"/>
  <c r="AD86" i="3"/>
  <c r="G87" i="3"/>
  <c r="I87" i="3"/>
  <c r="Q87" i="3"/>
  <c r="V87" i="3"/>
  <c r="AD87" i="3"/>
  <c r="G88" i="3"/>
  <c r="I88" i="3"/>
  <c r="L88" i="3"/>
  <c r="Q88" i="3"/>
  <c r="V88" i="3"/>
  <c r="AB88" i="3"/>
  <c r="AD88" i="3"/>
  <c r="G89" i="3"/>
  <c r="I89" i="3"/>
  <c r="L89" i="3"/>
  <c r="Q89" i="3"/>
  <c r="V89" i="3"/>
  <c r="AB89" i="3"/>
  <c r="AD89" i="3"/>
  <c r="G50" i="3"/>
  <c r="I50" i="3"/>
  <c r="L50" i="3"/>
  <c r="Q50" i="3"/>
  <c r="V50" i="3"/>
  <c r="AB50" i="3"/>
  <c r="AD50" i="3"/>
  <c r="G51" i="3"/>
  <c r="I51" i="3"/>
  <c r="Q51" i="3"/>
  <c r="V51" i="3"/>
  <c r="AB51" i="3"/>
  <c r="AD51" i="3"/>
  <c r="G52" i="3"/>
  <c r="I52" i="3"/>
  <c r="L52" i="3"/>
  <c r="Q52" i="3"/>
  <c r="V52" i="3"/>
  <c r="AB52" i="3"/>
  <c r="AD52" i="3"/>
  <c r="G53" i="3"/>
  <c r="I53" i="3"/>
  <c r="L53" i="3"/>
  <c r="Q53" i="3"/>
  <c r="V53" i="3"/>
  <c r="AB53" i="3"/>
  <c r="AD53" i="3"/>
  <c r="G54" i="3"/>
  <c r="I54" i="3"/>
  <c r="L54" i="3"/>
  <c r="Q54" i="3"/>
  <c r="V54" i="3"/>
  <c r="AB54" i="3"/>
  <c r="AD54" i="3"/>
  <c r="G55" i="3"/>
  <c r="I55" i="3"/>
  <c r="L55" i="3"/>
  <c r="Q55" i="3"/>
  <c r="V55" i="3"/>
  <c r="AB55" i="3"/>
  <c r="AD55" i="3"/>
  <c r="G90" i="3"/>
  <c r="I90" i="3"/>
  <c r="L90" i="3"/>
  <c r="Q90" i="3"/>
  <c r="V90" i="3"/>
  <c r="AB90" i="3"/>
  <c r="AD90" i="3"/>
  <c r="G91" i="3"/>
  <c r="I91" i="3"/>
  <c r="L91" i="3"/>
  <c r="Q91" i="3"/>
  <c r="V91" i="3"/>
  <c r="AB91" i="3"/>
  <c r="AD91" i="3"/>
  <c r="G64" i="3"/>
  <c r="I64" i="3"/>
  <c r="L64" i="3"/>
  <c r="Q64" i="3"/>
  <c r="V64" i="3"/>
  <c r="AD64" i="3"/>
  <c r="G34" i="3"/>
  <c r="I34" i="3"/>
  <c r="L34" i="3"/>
  <c r="Q34" i="3"/>
  <c r="V34" i="3"/>
  <c r="AB34" i="3"/>
  <c r="AD34" i="3"/>
  <c r="G11" i="3"/>
  <c r="I11" i="3"/>
  <c r="L11" i="3"/>
  <c r="V11" i="3"/>
  <c r="AB11" i="3"/>
  <c r="G98" i="3"/>
  <c r="I98" i="3"/>
  <c r="L98" i="3"/>
  <c r="Q98" i="3"/>
  <c r="V98" i="3"/>
  <c r="AB98" i="3"/>
  <c r="AD98" i="3"/>
  <c r="G65" i="3"/>
  <c r="L65" i="3"/>
  <c r="Q65" i="3"/>
  <c r="V65" i="3"/>
  <c r="AB65" i="3"/>
  <c r="AD65" i="3"/>
  <c r="G66" i="3"/>
  <c r="I66" i="3"/>
  <c r="L66" i="3"/>
  <c r="Q66" i="3"/>
  <c r="V66" i="3"/>
  <c r="AB66" i="3"/>
  <c r="AD66" i="3"/>
  <c r="G35" i="3"/>
  <c r="I35" i="3"/>
  <c r="L35" i="3"/>
  <c r="Q35" i="3"/>
  <c r="V35" i="3"/>
  <c r="AB35" i="3"/>
  <c r="AD35" i="3"/>
  <c r="G36" i="3"/>
  <c r="I36" i="3"/>
  <c r="L36" i="3"/>
  <c r="Q36" i="3"/>
  <c r="V36" i="3"/>
  <c r="AB36" i="3"/>
  <c r="AD36" i="3"/>
  <c r="G96" i="3"/>
  <c r="I96" i="3"/>
  <c r="L96" i="3"/>
  <c r="Q96" i="3"/>
  <c r="V96" i="3"/>
  <c r="AB96" i="3"/>
  <c r="AD96" i="3"/>
  <c r="G37" i="3"/>
  <c r="I37" i="3"/>
  <c r="L37" i="3"/>
  <c r="Q37" i="3"/>
  <c r="V37" i="3"/>
  <c r="AB37" i="3"/>
  <c r="AD37" i="3"/>
  <c r="G56" i="3"/>
  <c r="I56" i="3"/>
  <c r="L56" i="3"/>
  <c r="Q56" i="3"/>
  <c r="V56" i="3"/>
  <c r="AB56" i="3"/>
  <c r="AD56" i="3"/>
  <c r="G38" i="3"/>
  <c r="I38" i="3"/>
  <c r="L38" i="3"/>
  <c r="Q38" i="3"/>
  <c r="V38" i="3"/>
  <c r="AB38" i="3"/>
  <c r="AD38" i="3"/>
  <c r="G92" i="3"/>
  <c r="I92" i="3"/>
  <c r="L92" i="3"/>
  <c r="Q92" i="3"/>
  <c r="V92" i="3"/>
  <c r="AB92" i="3"/>
  <c r="AD92" i="3"/>
  <c r="G39" i="3"/>
  <c r="I39" i="3"/>
  <c r="L39" i="3"/>
  <c r="Q39" i="3"/>
  <c r="V39" i="3"/>
  <c r="AB39" i="3"/>
  <c r="AD39" i="3"/>
  <c r="G40" i="3"/>
  <c r="I40" i="3"/>
  <c r="L40" i="3"/>
  <c r="Q40" i="3"/>
  <c r="V40" i="3"/>
  <c r="AB40" i="3"/>
  <c r="AD40" i="3"/>
  <c r="G41" i="3"/>
  <c r="I41" i="3"/>
  <c r="L41" i="3"/>
  <c r="Q41" i="3"/>
  <c r="V41" i="3"/>
  <c r="AB41" i="3"/>
  <c r="AD41" i="3"/>
  <c r="W52" i="3" l="1"/>
  <c r="W28" i="3"/>
  <c r="W25" i="3"/>
  <c r="W56" i="3"/>
  <c r="W83" i="3"/>
  <c r="W85" i="3"/>
  <c r="W42" i="3"/>
  <c r="W104" i="3"/>
  <c r="W107" i="3"/>
  <c r="W88" i="3"/>
  <c r="W86" i="3"/>
  <c r="W93" i="3"/>
  <c r="W112" i="3"/>
  <c r="W15" i="3"/>
  <c r="W13" i="3"/>
  <c r="W106" i="3"/>
  <c r="W12" i="3"/>
  <c r="W50" i="3"/>
  <c r="W94" i="3"/>
  <c r="W46" i="3"/>
  <c r="W17" i="3"/>
  <c r="W111" i="3"/>
  <c r="W69" i="3"/>
  <c r="W40" i="3"/>
  <c r="W92" i="3"/>
  <c r="W96" i="3"/>
  <c r="W35" i="3"/>
  <c r="W65" i="3"/>
  <c r="W11" i="3"/>
  <c r="W64" i="3"/>
  <c r="W90" i="3"/>
  <c r="W54" i="3"/>
  <c r="W10" i="3"/>
  <c r="W101" i="3"/>
  <c r="W32" i="3"/>
  <c r="W30" i="3"/>
  <c r="W81" i="3"/>
  <c r="W23" i="3"/>
  <c r="W48" i="3"/>
  <c r="W80" i="3"/>
  <c r="W78" i="3"/>
  <c r="W22" i="3"/>
  <c r="W61" i="3"/>
  <c r="W77" i="3"/>
  <c r="W113" i="3"/>
  <c r="W110" i="3"/>
  <c r="W108" i="3"/>
  <c r="W75" i="3"/>
  <c r="W74" i="3"/>
  <c r="W57" i="3"/>
  <c r="W102" i="3"/>
  <c r="W41" i="3"/>
  <c r="W39" i="3"/>
  <c r="W38" i="3"/>
  <c r="W37" i="3"/>
  <c r="W36" i="3"/>
  <c r="W66" i="3"/>
  <c r="W98" i="3"/>
  <c r="W34" i="3"/>
  <c r="W91" i="3"/>
  <c r="W55" i="3"/>
  <c r="W53" i="3"/>
  <c r="W51" i="3"/>
  <c r="W89" i="3"/>
  <c r="W87" i="3"/>
  <c r="W95" i="3"/>
  <c r="W97" i="3"/>
  <c r="W9" i="3"/>
  <c r="W33" i="3"/>
  <c r="W31" i="3"/>
  <c r="W63" i="3"/>
  <c r="W29" i="3"/>
  <c r="W27" i="3"/>
  <c r="W84" i="3"/>
  <c r="W82" i="3"/>
  <c r="W26" i="3"/>
  <c r="W24" i="3"/>
  <c r="W49" i="3"/>
  <c r="W47" i="3"/>
  <c r="W45" i="3"/>
  <c r="W79" i="3"/>
  <c r="W100" i="3"/>
  <c r="W8" i="3"/>
  <c r="W99" i="3"/>
  <c r="W21" i="3"/>
  <c r="W44" i="3"/>
  <c r="W76" i="3"/>
  <c r="W43" i="3"/>
  <c r="W20" i="3"/>
  <c r="W19" i="3"/>
  <c r="W105" i="3"/>
  <c r="W18" i="3"/>
  <c r="W60" i="3"/>
  <c r="W103" i="3"/>
  <c r="W59" i="3"/>
  <c r="W16" i="3"/>
  <c r="W58" i="3"/>
  <c r="W14" i="3"/>
  <c r="W109" i="3"/>
  <c r="W73" i="3"/>
  <c r="W72" i="3"/>
  <c r="W71" i="3"/>
  <c r="W70" i="3"/>
  <c r="W68" i="3"/>
</calcChain>
</file>

<file path=xl/sharedStrings.xml><?xml version="1.0" encoding="utf-8"?>
<sst xmlns="http://schemas.openxmlformats.org/spreadsheetml/2006/main" count="1304" uniqueCount="327">
  <si>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</si>
  <si>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</si>
  <si>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</si>
  <si>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</si>
  <si>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</si>
  <si>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</si>
  <si>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</si>
  <si>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</si>
  <si>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</si>
  <si>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</si>
  <si>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</si>
  <si>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</si>
  <si>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</si>
  <si>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</si>
  <si>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</si>
  <si>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</si>
  <si>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</si>
  <si>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</si>
  <si>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</si>
  <si>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</si>
  <si>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</si>
  <si>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</si>
  <si>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</si>
  <si>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</si>
  <si>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</si>
  <si>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</si>
  <si>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</si>
  <si>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</si>
  <si>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</si>
  <si>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</si>
  <si>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</si>
  <si>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</si>
  <si>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</si>
  <si>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</si>
  <si>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</si>
  <si>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</si>
  <si>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</si>
  <si>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</si>
  <si>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</si>
  <si>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</si>
  <si>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</si>
  <si>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</si>
  <si>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</si>
  <si>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</si>
  <si>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</si>
  <si>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</si>
  <si>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</si>
  <si>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</si>
  <si>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</si>
  <si>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</si>
  <si>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</si>
  <si>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</si>
  <si>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</si>
  <si>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</si>
  <si>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</si>
  <si>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</si>
  <si>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</si>
  <si>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</si>
  <si>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</si>
  <si>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</si>
  <si>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</si>
  <si>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</si>
  <si>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</si>
  <si>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</si>
  <si>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</si>
  <si>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</si>
  <si>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</si>
  <si>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</si>
  <si>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</si>
  <si>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</si>
  <si>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</si>
  <si>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</si>
  <si>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</si>
  <si>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</si>
  <si>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</si>
  <si>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</si>
  <si>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</si>
  <si>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</si>
  <si>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</si>
  <si>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</si>
  <si>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</si>
  <si>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</si>
  <si>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</si>
  <si>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</si>
  <si>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</si>
  <si>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</si>
  <si>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</si>
  <si>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</si>
  <si>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</si>
  <si>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</si>
  <si>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</si>
  <si>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</si>
  <si>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</si>
  <si>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</si>
  <si>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</si>
  <si>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</si>
  <si>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</si>
  <si>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</si>
  <si>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</si>
  <si>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</si>
  <si>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</si>
  <si>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</si>
  <si>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</si>
  <si>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</si>
  <si>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</si>
  <si>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</si>
  <si>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</si>
  <si>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</si>
  <si>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</si>
  <si>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</si>
  <si>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</si>
  <si>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</si>
  <si>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</si>
  <si>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</si>
  <si>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</si>
  <si>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</si>
  <si>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</si>
  <si>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</si>
  <si>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</si>
  <si>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</si>
  <si>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</si>
  <si>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</si>
  <si>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</si>
  <si>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</si>
  <si>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</si>
  <si>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</si>
  <si>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</si>
  <si>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</si>
  <si>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</si>
  <si>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</si>
  <si>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</si>
  <si>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</si>
  <si>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</si>
  <si>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</si>
  <si>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</si>
  <si>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</si>
  <si>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</si>
  <si>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</si>
  <si>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</si>
  <si>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</si>
  <si>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</si>
  <si>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</si>
  <si>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</si>
  <si>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</si>
  <si>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</si>
  <si>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</si>
  <si>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</si>
  <si>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</si>
  <si>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</si>
  <si>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</si>
  <si>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</si>
  <si>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</si>
  <si>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</si>
  <si>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</si>
  <si>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</si>
  <si>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</si>
  <si>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</si>
  <si>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</si>
  <si>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</si>
  <si>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</si>
  <si>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</si>
  <si>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</si>
  <si>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</si>
  <si>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</si>
  <si>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</si>
  <si>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</si>
  <si>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</si>
  <si>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</si>
  <si>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</si>
  <si>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</si>
  <si>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</si>
  <si>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</si>
  <si>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</si>
  <si>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</si>
  <si>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</si>
  <si>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</si>
  <si>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</si>
  <si>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</si>
  <si>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</si>
  <si>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</si>
  <si>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</si>
  <si>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</si>
  <si>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</si>
  <si>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</si>
  <si>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</si>
  <si>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</si>
  <si>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</si>
  <si>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</si>
  <si>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</si>
  <si>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</si>
  <si>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</si>
  <si>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</si>
  <si>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</si>
  <si>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</si>
  <si>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</si>
  <si>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</si>
  <si>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</si>
  <si>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</si>
  <si>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</si>
  <si>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</si>
  <si>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</si>
  <si>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</si>
  <si>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</si>
  <si>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</si>
  <si>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</si>
  <si>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</si>
  <si>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</si>
  <si>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</si>
  <si>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Date</t>
  </si>
  <si>
    <t>Town</t>
  </si>
  <si>
    <t>Deo B. M</t>
  </si>
  <si>
    <t>Stated Preferance Survey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</si>
  <si>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</si>
  <si>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</si>
  <si>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</si>
  <si>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</si>
  <si>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</si>
  <si>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</si>
  <si>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</si>
  <si>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</si>
  <si>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</si>
  <si>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</si>
  <si>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</si>
  <si>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</si>
  <si>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</si>
  <si>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</si>
  <si>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</si>
  <si>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</si>
  <si>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</si>
  <si>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</si>
  <si>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</si>
  <si>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</si>
  <si>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</si>
  <si>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</si>
  <si>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</si>
  <si>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</si>
  <si>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</si>
  <si>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</si>
  <si>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</si>
  <si>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</si>
  <si>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</si>
  <si>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</si>
  <si>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</si>
  <si>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</si>
  <si>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</si>
  <si>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</si>
  <si>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</si>
  <si>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</si>
  <si>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</si>
  <si>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</si>
  <si>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</si>
  <si>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</si>
  <si>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</si>
  <si>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</si>
  <si>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</si>
  <si>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</si>
  <si>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</si>
  <si>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</si>
  <si>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</si>
  <si>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</si>
  <si>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</si>
  <si>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</si>
  <si>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</si>
  <si>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</si>
  <si>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LIRA</t>
  </si>
  <si>
    <t>DENIS</t>
  </si>
  <si>
    <t>AJOK EMILY</t>
  </si>
  <si>
    <t>D</t>
  </si>
  <si>
    <t>M</t>
  </si>
  <si>
    <t>MOROROTO TOWN</t>
  </si>
  <si>
    <t>MOROROTO</t>
  </si>
  <si>
    <t>UG</t>
  </si>
  <si>
    <t>KITGUM TOWN</t>
  </si>
  <si>
    <t>KITGUM</t>
  </si>
  <si>
    <t>Y</t>
  </si>
  <si>
    <t>PALABEK TOWN</t>
  </si>
  <si>
    <t>PALABEK</t>
  </si>
  <si>
    <t>GULU TOWN</t>
  </si>
  <si>
    <t>GULU</t>
  </si>
  <si>
    <t>LIRA TOWN</t>
  </si>
  <si>
    <t>PADER TOWN</t>
  </si>
  <si>
    <t>PADER</t>
  </si>
  <si>
    <t>LAMWO TOWN</t>
  </si>
  <si>
    <t>LAMWO</t>
  </si>
  <si>
    <t>QUARTERS</t>
  </si>
  <si>
    <t>AKULANGU</t>
  </si>
  <si>
    <t>ACHOLI BUR TOWN</t>
  </si>
  <si>
    <t>ACHOLI BUR</t>
  </si>
  <si>
    <t>AKOLOKO</t>
  </si>
  <si>
    <t>KITGUM,</t>
  </si>
  <si>
    <t>AGWANGE</t>
  </si>
  <si>
    <t>AKIKI</t>
  </si>
  <si>
    <t>AKWANGU</t>
  </si>
  <si>
    <t>AGWANGU</t>
  </si>
  <si>
    <t>MATIDI</t>
  </si>
  <si>
    <t>MUSINGO TOWN</t>
  </si>
  <si>
    <t>MUSINGO</t>
  </si>
  <si>
    <t>MADIOPEL</t>
  </si>
  <si>
    <t>KAMPALA TOWN</t>
  </si>
  <si>
    <t>KAMPALA</t>
  </si>
  <si>
    <t>MADIOPEI</t>
  </si>
  <si>
    <t>I</t>
  </si>
  <si>
    <t>F</t>
  </si>
  <si>
    <t>MUNICIPAL C1</t>
  </si>
  <si>
    <t>ARUA STAGE</t>
  </si>
  <si>
    <t>GULU STAGE</t>
  </si>
  <si>
    <t>ARUA</t>
  </si>
  <si>
    <t>Work-Work</t>
  </si>
  <si>
    <t>LAMONG</t>
  </si>
  <si>
    <t>MBOMA</t>
  </si>
  <si>
    <t>ANGUNGU TOWN</t>
  </si>
  <si>
    <t>ANGUNGU</t>
  </si>
  <si>
    <t>500000-750000</t>
  </si>
  <si>
    <t>LAMONG TOWN</t>
  </si>
  <si>
    <t>MARORO TOWN</t>
  </si>
  <si>
    <t>MARORO</t>
  </si>
  <si>
    <t>ENOCK, NANGALAMA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</si>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</sst>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</cellStyleXfs>
  <cellXfs count="9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168" fontId="9" fillId="0" borderId="2" xfId="0" applyNumberFormat="1" applyFont="1" applyBorder="1"/>
    <xf numFmtId="9" fontId="0" fillId="0" borderId="0" xfId="0" applyNumberForma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Border="1" applyAlignment="1">
      <alignment horizont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Fill="1" applyBorder="1"/>
  </cellXfs>
  <cellStyles count="4">
    <cellStyle name="Comma" xfId="1" builtinId="3"/>
    <cellStyle name="Normal" xfId="0" builtinId="0"/>
    <cellStyle name="Normal 2" xfId="3" xr:uid="{00000000-0005-0000-0000-000002000000}"/>
    <cellStyle name="Percent 2" xfId="2" xr:uid="{00000000-0005-0000-0000-000003000000}"/>
  </cellStyles>
  <dxfs count="0"/>
  <tableStyles count="0" defaultTableStyle="TableStyleMedium9" defaultPivotStyle="PivotStyleLight16"/>
  <colors>
    <mruColors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T146"/>
  <sheetViews>
    <sheetView tabSelected="1" topLeftCell="A121" zoomScale="75" zoomScaleNormal="75" zoomScaleSheetLayoutView="80" workbookViewId="0">
      <selection activeCell="N148" sqref="N148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9.7109375" customWidth="1"/>
    <col min="9" max="9" width="13.7109375" customWidth="1"/>
    <col min="10" max="10" width="11.5703125" customWidth="1"/>
    <col min="11" max="11" width="8.85546875" customWidth="1"/>
    <col min="12" max="12" width="9.7109375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49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2:46" s="1" customFormat="1" ht="15.75" x14ac:dyDescent="0.2">
      <c r="C1" s="78" t="s">
        <v>203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6"/>
      <c r="AO1" s="6"/>
      <c r="AP1" s="6"/>
      <c r="AQ1" s="6"/>
      <c r="AR1" s="6"/>
      <c r="AS1" s="6"/>
      <c r="AT1" s="6"/>
    </row>
    <row r="2" spans="2:46" ht="15.75" x14ac:dyDescent="0.2">
      <c r="C2" s="78" t="s">
        <v>211</v>
      </c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"/>
      <c r="AO2" s="7"/>
      <c r="AP2" s="7"/>
      <c r="AQ2" s="7"/>
      <c r="AR2" s="7"/>
      <c r="AS2" s="7"/>
      <c r="AT2" s="7"/>
    </row>
    <row r="3" spans="2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2:46" ht="15" customHeight="1" x14ac:dyDescent="0.2">
      <c r="C4" s="34"/>
      <c r="D4" s="1" t="s">
        <v>209</v>
      </c>
      <c r="E4" s="81" t="s">
        <v>289</v>
      </c>
      <c r="F4" s="82"/>
      <c r="G4" s="83"/>
      <c r="I4" s="46" t="s">
        <v>3</v>
      </c>
      <c r="J4" s="66" t="s">
        <v>316</v>
      </c>
      <c r="K4" s="67"/>
      <c r="L4" s="68"/>
      <c r="N4" s="1" t="s">
        <v>145</v>
      </c>
      <c r="O4" s="66" t="s">
        <v>265</v>
      </c>
      <c r="P4" s="68"/>
      <c r="R4" s="26" t="s">
        <v>6</v>
      </c>
      <c r="S4" s="61" t="s">
        <v>266</v>
      </c>
      <c r="T4" s="62"/>
      <c r="W4" s="27" t="s">
        <v>7</v>
      </c>
      <c r="X4" s="61" t="s">
        <v>210</v>
      </c>
      <c r="Y4" s="62"/>
      <c r="AH4" s="47"/>
      <c r="AI4" s="47"/>
      <c r="AP4" s="10"/>
      <c r="AQ4" s="5"/>
    </row>
    <row r="5" spans="2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2:46" ht="30.75" customHeight="1" x14ac:dyDescent="0.2">
      <c r="B6" s="69" t="s">
        <v>208</v>
      </c>
      <c r="C6" s="71" t="s">
        <v>263</v>
      </c>
      <c r="D6" s="59" t="s">
        <v>142</v>
      </c>
      <c r="E6" s="63" t="s">
        <v>262</v>
      </c>
      <c r="F6" s="63" t="s">
        <v>212</v>
      </c>
      <c r="G6" s="63" t="s">
        <v>213</v>
      </c>
      <c r="H6" s="63" t="s">
        <v>9</v>
      </c>
      <c r="I6" s="63" t="s">
        <v>220</v>
      </c>
      <c r="J6" s="59" t="s">
        <v>222</v>
      </c>
      <c r="K6" s="59" t="s">
        <v>223</v>
      </c>
      <c r="L6" s="59" t="s">
        <v>224</v>
      </c>
      <c r="M6" s="73" t="s">
        <v>12</v>
      </c>
      <c r="N6" s="74"/>
      <c r="O6" s="75"/>
      <c r="P6" s="59" t="s">
        <v>15</v>
      </c>
      <c r="Q6" s="59" t="s">
        <v>204</v>
      </c>
      <c r="R6" s="73" t="s">
        <v>17</v>
      </c>
      <c r="S6" s="74"/>
      <c r="T6" s="75"/>
      <c r="U6" s="59" t="s">
        <v>18</v>
      </c>
      <c r="V6" s="59" t="s">
        <v>205</v>
      </c>
      <c r="W6" s="59" t="s">
        <v>206</v>
      </c>
      <c r="X6" s="59" t="s">
        <v>231</v>
      </c>
      <c r="Y6" s="59" t="s">
        <v>232</v>
      </c>
      <c r="Z6" s="59" t="s">
        <v>233</v>
      </c>
      <c r="AA6" s="59" t="s">
        <v>234</v>
      </c>
      <c r="AB6" s="59" t="s">
        <v>235</v>
      </c>
      <c r="AC6" s="59" t="s">
        <v>247</v>
      </c>
      <c r="AD6" s="59" t="s">
        <v>248</v>
      </c>
      <c r="AE6" s="76" t="s">
        <v>255</v>
      </c>
      <c r="AF6" s="76"/>
      <c r="AG6" s="76"/>
      <c r="AH6" s="76"/>
      <c r="AI6" s="76"/>
      <c r="AJ6" s="59" t="s">
        <v>261</v>
      </c>
      <c r="AK6" s="59" t="s">
        <v>207</v>
      </c>
      <c r="AL6" s="63" t="s">
        <v>20</v>
      </c>
      <c r="AM6" s="79" t="s">
        <v>21</v>
      </c>
      <c r="AO6" s="19"/>
    </row>
    <row r="7" spans="2:46" ht="38.25" customHeight="1" x14ac:dyDescent="0.2">
      <c r="B7" s="70"/>
      <c r="C7" s="72"/>
      <c r="D7" s="60"/>
      <c r="E7" s="64"/>
      <c r="F7" s="64"/>
      <c r="G7" s="64"/>
      <c r="H7" s="64"/>
      <c r="I7" s="64"/>
      <c r="J7" s="65"/>
      <c r="K7" s="65"/>
      <c r="L7" s="65"/>
      <c r="M7" s="23" t="s">
        <v>146</v>
      </c>
      <c r="N7" s="23" t="s">
        <v>143</v>
      </c>
      <c r="O7" s="24" t="s">
        <v>144</v>
      </c>
      <c r="P7" s="60"/>
      <c r="Q7" s="60"/>
      <c r="R7" s="23" t="s">
        <v>146</v>
      </c>
      <c r="S7" s="23" t="s">
        <v>143</v>
      </c>
      <c r="T7" s="23" t="s">
        <v>144</v>
      </c>
      <c r="U7" s="60"/>
      <c r="V7" s="60"/>
      <c r="W7" s="60"/>
      <c r="X7" s="60"/>
      <c r="Y7" s="60"/>
      <c r="Z7" s="60"/>
      <c r="AA7" s="60"/>
      <c r="AB7" s="60"/>
      <c r="AC7" s="60"/>
      <c r="AD7" s="60"/>
      <c r="AE7" s="48" t="s">
        <v>256</v>
      </c>
      <c r="AF7" s="48" t="s">
        <v>257</v>
      </c>
      <c r="AG7" s="48" t="s">
        <v>258</v>
      </c>
      <c r="AH7" s="48" t="s">
        <v>259</v>
      </c>
      <c r="AI7" s="48" t="s">
        <v>260</v>
      </c>
      <c r="AJ7" s="60"/>
      <c r="AK7" s="60"/>
      <c r="AL7" s="64"/>
      <c r="AM7" s="80"/>
    </row>
    <row r="8" spans="2:46" s="19" customFormat="1" x14ac:dyDescent="0.2">
      <c r="B8" s="50">
        <v>43700</v>
      </c>
      <c r="C8" s="36">
        <v>0.70486111111111116</v>
      </c>
      <c r="D8" s="36"/>
      <c r="E8" s="36" t="s">
        <v>267</v>
      </c>
      <c r="F8" s="38">
        <v>2</v>
      </c>
      <c r="G8" s="43" t="str">
        <f>VLOOKUP(F8,Key!$A$17:$B$21,2,FALSE)</f>
        <v>Road Vehicle</v>
      </c>
      <c r="H8" s="37">
        <v>1</v>
      </c>
      <c r="I8" s="44" t="str">
        <f>VLOOKUP(H8,Key!$A$2:$B$13,2,FALSE)</f>
        <v>Car</v>
      </c>
      <c r="J8" s="38" t="s">
        <v>302</v>
      </c>
      <c r="K8" s="38">
        <v>2</v>
      </c>
      <c r="L8" s="45" t="str">
        <f>VLOOKUP(K8,Key!$A$24:$B$29,2,FALSE)</f>
        <v>30-39</v>
      </c>
      <c r="M8" s="38" t="s">
        <v>292</v>
      </c>
      <c r="N8" s="33" t="s">
        <v>273</v>
      </c>
      <c r="O8" s="38" t="s">
        <v>271</v>
      </c>
      <c r="P8" s="40">
        <v>1</v>
      </c>
      <c r="Q8" s="35" t="str">
        <f>VLOOKUP(P8,Key!$E$2:$F$9,2,FALSE)</f>
        <v>Home</v>
      </c>
      <c r="R8" s="38" t="s">
        <v>272</v>
      </c>
      <c r="S8" s="33" t="s">
        <v>273</v>
      </c>
      <c r="T8" s="38" t="s">
        <v>271</v>
      </c>
      <c r="U8" s="33">
        <v>2</v>
      </c>
      <c r="V8" s="35" t="str">
        <f>VLOOKUP(U8,Key!$E$2:$F$9,2,FALSE)</f>
        <v>Work</v>
      </c>
      <c r="W8" s="35" t="str">
        <f>Q8&amp;"-"&amp;V8</f>
        <v>Home-Work</v>
      </c>
      <c r="X8" s="33">
        <v>20000</v>
      </c>
      <c r="Y8" s="39">
        <v>15</v>
      </c>
      <c r="Z8" s="39">
        <v>0.5</v>
      </c>
      <c r="AA8" s="33">
        <v>4</v>
      </c>
      <c r="AB8" s="35" t="str">
        <f>VLOOKUP(AA8,Key!$C$20:$D$29,2,FALSE)</f>
        <v>Office Worker</v>
      </c>
      <c r="AC8" s="33">
        <v>2</v>
      </c>
      <c r="AD8" s="35" t="str">
        <f>VLOOKUP(AC8,Key!$E$20:$F$24,2,FALSE)</f>
        <v>300,000-500,000</v>
      </c>
      <c r="AE8" s="33">
        <v>1</v>
      </c>
      <c r="AF8" s="39">
        <v>2</v>
      </c>
      <c r="AG8" s="39">
        <v>1</v>
      </c>
      <c r="AH8" s="39">
        <v>1</v>
      </c>
      <c r="AI8" s="39">
        <v>1</v>
      </c>
      <c r="AJ8" s="40" t="s">
        <v>274</v>
      </c>
      <c r="AK8" s="41"/>
      <c r="AL8" s="25"/>
      <c r="AM8" s="25"/>
      <c r="AN8"/>
      <c r="AO8"/>
      <c r="AP8"/>
      <c r="AQ8"/>
      <c r="AR8"/>
      <c r="AS8"/>
      <c r="AT8"/>
    </row>
    <row r="9" spans="2:46" x14ac:dyDescent="0.2">
      <c r="B9" s="50">
        <v>43701</v>
      </c>
      <c r="C9" s="36">
        <v>0.40208333333333335</v>
      </c>
      <c r="D9" s="36"/>
      <c r="E9" s="36" t="s">
        <v>267</v>
      </c>
      <c r="F9" s="38">
        <v>2</v>
      </c>
      <c r="G9" s="43" t="str">
        <f>VLOOKUP(F9,Key!$A$17:$B$21,2,FALSE)</f>
        <v>Road Vehicle</v>
      </c>
      <c r="H9" s="37">
        <v>1</v>
      </c>
      <c r="I9" s="44" t="str">
        <f>VLOOKUP(H9,Key!$A$2:$B$13,2,FALSE)</f>
        <v>Car</v>
      </c>
      <c r="J9" s="38" t="s">
        <v>302</v>
      </c>
      <c r="K9" s="38">
        <v>2</v>
      </c>
      <c r="L9" s="45" t="str">
        <f>VLOOKUP(K9,Key!$A$24:$B$29,2,FALSE)</f>
        <v>30-39</v>
      </c>
      <c r="M9" s="38" t="s">
        <v>284</v>
      </c>
      <c r="N9" s="33" t="s">
        <v>273</v>
      </c>
      <c r="O9" s="38" t="s">
        <v>271</v>
      </c>
      <c r="P9" s="40">
        <v>1</v>
      </c>
      <c r="Q9" s="35" t="str">
        <f>VLOOKUP(P9,Key!$E$2:$F$9,2,FALSE)</f>
        <v>Home</v>
      </c>
      <c r="R9" s="38" t="s">
        <v>272</v>
      </c>
      <c r="S9" s="33" t="s">
        <v>273</v>
      </c>
      <c r="T9" s="38"/>
      <c r="U9" s="33">
        <v>2</v>
      </c>
      <c r="V9" s="35" t="str">
        <f>VLOOKUP(U9,Key!$E$2:$F$9,2,FALSE)</f>
        <v>Work</v>
      </c>
      <c r="W9" s="35" t="str">
        <f>Q9&amp;"-"&amp;V9</f>
        <v>Home-Work</v>
      </c>
      <c r="X9" s="33">
        <v>20000</v>
      </c>
      <c r="Y9" s="39">
        <v>5</v>
      </c>
      <c r="Z9" s="39">
        <v>0.2</v>
      </c>
      <c r="AA9" s="33">
        <v>5</v>
      </c>
      <c r="AB9" s="35" t="str">
        <f>VLOOKUP(AA9,Key!$C$20:$D$29,2,FALSE)</f>
        <v>Professional</v>
      </c>
      <c r="AC9" s="33">
        <v>2</v>
      </c>
      <c r="AD9" s="35" t="str">
        <f>VLOOKUP(AC9,Key!$E$20:$F$24,2,FALSE)</f>
        <v>300,000-500,000</v>
      </c>
      <c r="AE9" s="33">
        <v>1</v>
      </c>
      <c r="AF9" s="39">
        <v>2</v>
      </c>
      <c r="AG9" s="39">
        <v>1</v>
      </c>
      <c r="AH9" s="39">
        <v>1</v>
      </c>
      <c r="AI9" s="39">
        <v>1</v>
      </c>
      <c r="AJ9" s="40" t="s">
        <v>274</v>
      </c>
      <c r="AK9" s="41"/>
      <c r="AL9" s="25"/>
      <c r="AM9" s="25"/>
    </row>
    <row r="10" spans="2:46" x14ac:dyDescent="0.2">
      <c r="B10" s="50">
        <v>43701</v>
      </c>
      <c r="C10" s="36">
        <v>0.42291666666666666</v>
      </c>
      <c r="D10" s="36"/>
      <c r="E10" s="36" t="s">
        <v>267</v>
      </c>
      <c r="F10" s="38">
        <v>2</v>
      </c>
      <c r="G10" s="43" t="str">
        <f>VLOOKUP(F10,Key!$A$17:$B$21,2,FALSE)</f>
        <v>Road Vehicle</v>
      </c>
      <c r="H10" s="37">
        <v>1</v>
      </c>
      <c r="I10" s="44" t="str">
        <f>VLOOKUP(H10,Key!$A$2:$B$13,2,FALSE)</f>
        <v>Car</v>
      </c>
      <c r="J10" s="38" t="s">
        <v>302</v>
      </c>
      <c r="K10" s="38">
        <v>2</v>
      </c>
      <c r="L10" s="45" t="str">
        <f>VLOOKUP(K10,Key!$A$24:$B$29,2,FALSE)</f>
        <v>30-39</v>
      </c>
      <c r="M10" s="38" t="s">
        <v>286</v>
      </c>
      <c r="N10" s="33" t="s">
        <v>273</v>
      </c>
      <c r="O10" s="38" t="s">
        <v>271</v>
      </c>
      <c r="P10" s="40">
        <v>1</v>
      </c>
      <c r="Q10" s="35" t="str">
        <f>VLOOKUP(P10,Key!$E$2:$F$9,2,FALSE)</f>
        <v>Home</v>
      </c>
      <c r="R10" s="38" t="s">
        <v>272</v>
      </c>
      <c r="S10" s="33" t="s">
        <v>273</v>
      </c>
      <c r="T10" s="38"/>
      <c r="U10" s="33">
        <v>4</v>
      </c>
      <c r="V10" s="35" t="str">
        <f>VLOOKUP(U10,Key!$E$2:$F$9,2,FALSE)</f>
        <v>Commercial</v>
      </c>
      <c r="W10" s="35" t="str">
        <f>Q10&amp;"-"&amp;V10</f>
        <v>Home-Commercial</v>
      </c>
      <c r="X10" s="33">
        <v>25000</v>
      </c>
      <c r="Y10" s="39">
        <v>18</v>
      </c>
      <c r="Z10" s="39">
        <v>0.3</v>
      </c>
      <c r="AA10" s="33">
        <v>6</v>
      </c>
      <c r="AB10" s="35" t="str">
        <f>VLOOKUP(AA10,Key!$C$20:$D$29,2,FALSE)</f>
        <v>Businessman</v>
      </c>
      <c r="AC10" s="33">
        <v>3</v>
      </c>
      <c r="AD10" s="35" t="str">
        <f>VLOOKUP(AC10,Key!$E$20:$F$24,2,FALSE)</f>
        <v>500,000-750,000</v>
      </c>
      <c r="AE10" s="33">
        <v>1</v>
      </c>
      <c r="AF10" s="39">
        <v>1</v>
      </c>
      <c r="AG10" s="39">
        <v>1</v>
      </c>
      <c r="AH10" s="39">
        <v>1</v>
      </c>
      <c r="AI10" s="39">
        <v>1</v>
      </c>
      <c r="AJ10" s="40" t="s">
        <v>274</v>
      </c>
      <c r="AK10" s="41"/>
      <c r="AL10" s="25"/>
      <c r="AM10" s="25"/>
    </row>
    <row r="11" spans="2:46" x14ac:dyDescent="0.2">
      <c r="B11" s="50">
        <v>43701</v>
      </c>
      <c r="C11" s="36">
        <v>0.43055555555555558</v>
      </c>
      <c r="D11" s="36"/>
      <c r="E11" s="36" t="s">
        <v>267</v>
      </c>
      <c r="F11" s="38">
        <v>2</v>
      </c>
      <c r="G11" s="43" t="str">
        <f>VLOOKUP(F11,Key!$A$17:$B$21,2,FALSE)</f>
        <v>Road Vehicle</v>
      </c>
      <c r="H11" s="37">
        <v>1</v>
      </c>
      <c r="I11" s="44" t="str">
        <f>VLOOKUP(H11,Key!$A$2:$B$13,2,FALSE)</f>
        <v>Car</v>
      </c>
      <c r="J11" s="38" t="s">
        <v>302</v>
      </c>
      <c r="K11" s="38">
        <v>2</v>
      </c>
      <c r="L11" s="45" t="str">
        <f>VLOOKUP(K11,Key!$A$24:$B$29,2,FALSE)</f>
        <v>30-39</v>
      </c>
      <c r="M11" s="38" t="s">
        <v>290</v>
      </c>
      <c r="N11" s="33" t="s">
        <v>273</v>
      </c>
      <c r="O11" s="38" t="s">
        <v>271</v>
      </c>
      <c r="P11" s="40" t="s">
        <v>301</v>
      </c>
      <c r="Q11" s="35" t="s">
        <v>176</v>
      </c>
      <c r="R11" s="38" t="s">
        <v>272</v>
      </c>
      <c r="S11" s="33" t="s">
        <v>273</v>
      </c>
      <c r="T11" s="38"/>
      <c r="U11" s="33">
        <v>6</v>
      </c>
      <c r="V11" s="35" t="str">
        <f>VLOOKUP(U11,Key!$E$2:$F$9,2,FALSE)</f>
        <v>Leisure/Social</v>
      </c>
      <c r="W11" s="35" t="str">
        <f>Q11&amp;"-"&amp;V11</f>
        <v>Home-Leisure/Social</v>
      </c>
      <c r="X11" s="33">
        <v>40000</v>
      </c>
      <c r="Y11" s="39">
        <v>40</v>
      </c>
      <c r="Z11" s="39">
        <v>2</v>
      </c>
      <c r="AA11" s="33">
        <v>6</v>
      </c>
      <c r="AB11" s="35" t="str">
        <f>VLOOKUP(AA11,Key!$C$20:$D$29,2,FALSE)</f>
        <v>Businessman</v>
      </c>
      <c r="AC11" s="33">
        <v>3</v>
      </c>
      <c r="AD11" s="35" t="s">
        <v>312</v>
      </c>
      <c r="AE11" s="33">
        <v>1</v>
      </c>
      <c r="AF11" s="39">
        <v>2</v>
      </c>
      <c r="AG11" s="39">
        <v>1</v>
      </c>
      <c r="AH11" s="39">
        <v>1</v>
      </c>
      <c r="AI11" s="39">
        <v>2</v>
      </c>
      <c r="AJ11" s="40" t="s">
        <v>274</v>
      </c>
      <c r="AK11" s="41"/>
      <c r="AL11" s="25"/>
      <c r="AM11" s="25"/>
    </row>
    <row r="12" spans="2:46" x14ac:dyDescent="0.2">
      <c r="B12" s="50">
        <v>43699</v>
      </c>
      <c r="C12" s="36">
        <v>0.39583333333333331</v>
      </c>
      <c r="D12" s="36"/>
      <c r="E12" s="36" t="s">
        <v>267</v>
      </c>
      <c r="F12" s="38">
        <v>2</v>
      </c>
      <c r="G12" s="43" t="str">
        <f>VLOOKUP(F12,Key!$A$17:$B$21,2,FALSE)</f>
        <v>Road Vehicle</v>
      </c>
      <c r="H12" s="37">
        <v>1</v>
      </c>
      <c r="I12" s="44" t="str">
        <f>VLOOKUP(H12,Key!$A$2:$B$13,2,FALSE)</f>
        <v>Car</v>
      </c>
      <c r="J12" s="38" t="s">
        <v>268</v>
      </c>
      <c r="K12" s="38">
        <v>2</v>
      </c>
      <c r="L12" s="45" t="str">
        <f>VLOOKUP(K12,Key!$A$24:$B$29,2,FALSE)</f>
        <v>30-39</v>
      </c>
      <c r="M12" s="38" t="s">
        <v>280</v>
      </c>
      <c r="N12" s="33" t="s">
        <v>281</v>
      </c>
      <c r="O12" s="38" t="s">
        <v>271</v>
      </c>
      <c r="P12" s="40">
        <v>4</v>
      </c>
      <c r="Q12" s="35" t="str">
        <f>VLOOKUP(P12,Key!$E$2:$F$9,2,FALSE)</f>
        <v>Commercial</v>
      </c>
      <c r="R12" s="38" t="s">
        <v>272</v>
      </c>
      <c r="S12" s="33" t="s">
        <v>273</v>
      </c>
      <c r="T12" s="38" t="s">
        <v>271</v>
      </c>
      <c r="U12" s="33">
        <v>2</v>
      </c>
      <c r="V12" s="35" t="str">
        <f>VLOOKUP(U12,Key!$E$2:$F$9,2,FALSE)</f>
        <v>Work</v>
      </c>
      <c r="W12" s="35" t="str">
        <f>Q12&amp;"-"&amp;V12</f>
        <v>Commercial-Work</v>
      </c>
      <c r="X12" s="33">
        <v>60000</v>
      </c>
      <c r="Y12" s="39">
        <v>80</v>
      </c>
      <c r="Z12" s="39">
        <v>2</v>
      </c>
      <c r="AA12" s="33">
        <v>6</v>
      </c>
      <c r="AB12" s="35" t="str">
        <f>VLOOKUP(AA12,Key!$C$20:$D$29,2,FALSE)</f>
        <v>Businessman</v>
      </c>
      <c r="AC12" s="33">
        <v>3</v>
      </c>
      <c r="AD12" s="35" t="str">
        <f>VLOOKUP(AC12,Key!$E$20:$F$24,2,FALSE)</f>
        <v>500,000-750,000</v>
      </c>
      <c r="AE12" s="33">
        <v>1</v>
      </c>
      <c r="AF12" s="39">
        <v>1</v>
      </c>
      <c r="AG12" s="39">
        <v>1</v>
      </c>
      <c r="AH12" s="39">
        <v>2</v>
      </c>
      <c r="AI12" s="39">
        <v>1</v>
      </c>
      <c r="AJ12" s="40">
        <v>1</v>
      </c>
      <c r="AK12" s="41">
        <v>3000</v>
      </c>
      <c r="AL12" s="25"/>
      <c r="AM12" s="25"/>
    </row>
    <row r="13" spans="2:46" x14ac:dyDescent="0.2">
      <c r="B13" s="50">
        <v>43699</v>
      </c>
      <c r="C13" s="36">
        <v>0.32430555555555557</v>
      </c>
      <c r="D13" s="36"/>
      <c r="E13" s="36" t="s">
        <v>267</v>
      </c>
      <c r="F13" s="38">
        <v>2</v>
      </c>
      <c r="G13" s="43" t="str">
        <f>VLOOKUP(F13,Key!$A$17:$B$21,2,FALSE)</f>
        <v>Road Vehicle</v>
      </c>
      <c r="H13" s="37">
        <v>1</v>
      </c>
      <c r="I13" s="44" t="str">
        <f>VLOOKUP(H13,Key!$A$2:$B$13,2,FALSE)</f>
        <v>Car</v>
      </c>
      <c r="J13" s="38" t="s">
        <v>268</v>
      </c>
      <c r="K13" s="38">
        <v>2</v>
      </c>
      <c r="L13" s="45" t="str">
        <f>VLOOKUP(K13,Key!$A$24:$B$29,2,FALSE)</f>
        <v>30-39</v>
      </c>
      <c r="M13" s="38" t="s">
        <v>286</v>
      </c>
      <c r="N13" s="33" t="s">
        <v>287</v>
      </c>
      <c r="O13" s="38" t="s">
        <v>271</v>
      </c>
      <c r="P13" s="40">
        <v>1</v>
      </c>
      <c r="Q13" s="35" t="str">
        <f>VLOOKUP(P13,Key!$E$2:$F$9,2,FALSE)</f>
        <v>Home</v>
      </c>
      <c r="R13" s="38" t="s">
        <v>272</v>
      </c>
      <c r="S13" s="33" t="s">
        <v>273</v>
      </c>
      <c r="T13" s="38" t="s">
        <v>271</v>
      </c>
      <c r="U13" s="33">
        <v>2</v>
      </c>
      <c r="V13" s="35" t="str">
        <f>VLOOKUP(U13,Key!$E$2:$F$9,2,FALSE)</f>
        <v>Work</v>
      </c>
      <c r="W13" s="35" t="str">
        <f>Q13&amp;"-"&amp;V13</f>
        <v>Home-Work</v>
      </c>
      <c r="X13" s="33">
        <v>20000</v>
      </c>
      <c r="Y13" s="39">
        <v>30</v>
      </c>
      <c r="Z13" s="39">
        <v>0.8</v>
      </c>
      <c r="AA13" s="33">
        <v>10</v>
      </c>
      <c r="AB13" s="35" t="str">
        <f>VLOOKUP(AA13,Key!$C$20:$D$29,2,FALSE)</f>
        <v>Other</v>
      </c>
      <c r="AC13" s="33">
        <v>2</v>
      </c>
      <c r="AD13" s="35" t="str">
        <f>VLOOKUP(AC13,Key!$E$20:$F$24,2,FALSE)</f>
        <v>300,000-500,000</v>
      </c>
      <c r="AE13" s="33">
        <v>1</v>
      </c>
      <c r="AF13" s="39">
        <v>1</v>
      </c>
      <c r="AG13" s="39">
        <v>1</v>
      </c>
      <c r="AH13" s="39">
        <v>1</v>
      </c>
      <c r="AI13" s="39">
        <v>1</v>
      </c>
      <c r="AJ13" s="40" t="s">
        <v>274</v>
      </c>
      <c r="AK13" s="41"/>
      <c r="AL13" s="25"/>
      <c r="AM13" s="25"/>
    </row>
    <row r="14" spans="2:46" x14ac:dyDescent="0.2">
      <c r="B14" s="50">
        <v>43699</v>
      </c>
      <c r="C14" s="36">
        <v>0.3298611111111111</v>
      </c>
      <c r="D14" s="36"/>
      <c r="E14" s="36" t="s">
        <v>267</v>
      </c>
      <c r="F14" s="38">
        <v>2</v>
      </c>
      <c r="G14" s="43" t="str">
        <f>VLOOKUP(F14,Key!$A$17:$B$21,2,FALSE)</f>
        <v>Road Vehicle</v>
      </c>
      <c r="H14" s="37">
        <v>1</v>
      </c>
      <c r="I14" s="44" t="str">
        <f>VLOOKUP(H14,Key!$A$2:$B$13,2,FALSE)</f>
        <v>Car</v>
      </c>
      <c r="J14" s="38" t="s">
        <v>268</v>
      </c>
      <c r="K14" s="38">
        <v>2</v>
      </c>
      <c r="L14" s="45" t="str">
        <f>VLOOKUP(K14,Key!$A$24:$B$29,2,FALSE)</f>
        <v>30-39</v>
      </c>
      <c r="M14" s="38" t="s">
        <v>272</v>
      </c>
      <c r="N14" s="33" t="s">
        <v>273</v>
      </c>
      <c r="O14" s="38" t="s">
        <v>271</v>
      </c>
      <c r="P14" s="40">
        <v>1</v>
      </c>
      <c r="Q14" s="35" t="str">
        <f>VLOOKUP(P14,Key!$E$2:$F$9,2,FALSE)</f>
        <v>Home</v>
      </c>
      <c r="R14" s="38" t="s">
        <v>272</v>
      </c>
      <c r="S14" s="33" t="s">
        <v>273</v>
      </c>
      <c r="T14" s="38" t="s">
        <v>271</v>
      </c>
      <c r="U14" s="33">
        <v>2</v>
      </c>
      <c r="V14" s="35" t="str">
        <f>VLOOKUP(U14,Key!$E$2:$F$9,2,FALSE)</f>
        <v>Work</v>
      </c>
      <c r="W14" s="35" t="str">
        <f>Q14&amp;"-"&amp;V14</f>
        <v>Home-Work</v>
      </c>
      <c r="X14" s="33">
        <v>25000</v>
      </c>
      <c r="Y14" s="39">
        <v>50</v>
      </c>
      <c r="Z14" s="39">
        <v>1</v>
      </c>
      <c r="AA14" s="33">
        <v>7</v>
      </c>
      <c r="AB14" s="35" t="str">
        <f>VLOOKUP(AA14,Key!$C$20:$D$29,2,FALSE)</f>
        <v>Farmer</v>
      </c>
      <c r="AC14" s="33">
        <v>2</v>
      </c>
      <c r="AD14" s="35" t="str">
        <f>VLOOKUP(AC14,Key!$E$20:$F$24,2,FALSE)</f>
        <v>300,000-500,000</v>
      </c>
      <c r="AE14" s="33">
        <v>1</v>
      </c>
      <c r="AF14" s="39">
        <v>1</v>
      </c>
      <c r="AG14" s="39">
        <v>1</v>
      </c>
      <c r="AH14" s="39">
        <v>1</v>
      </c>
      <c r="AI14" s="39">
        <v>1</v>
      </c>
      <c r="AJ14" s="40" t="s">
        <v>274</v>
      </c>
      <c r="AK14" s="41"/>
      <c r="AL14" s="25"/>
      <c r="AM14" s="25"/>
    </row>
    <row r="15" spans="2:46" x14ac:dyDescent="0.2">
      <c r="B15" s="50">
        <v>43699</v>
      </c>
      <c r="C15" s="36">
        <v>0.31597222222222221</v>
      </c>
      <c r="D15" s="36"/>
      <c r="E15" s="36" t="s">
        <v>267</v>
      </c>
      <c r="F15" s="38">
        <v>2</v>
      </c>
      <c r="G15" s="43" t="str">
        <f>VLOOKUP(F15,Key!$A$17:$B$21,2,FALSE)</f>
        <v>Road Vehicle</v>
      </c>
      <c r="H15" s="37">
        <v>1</v>
      </c>
      <c r="I15" s="44" t="str">
        <f>VLOOKUP(H15,Key!$A$2:$B$13,2,FALSE)</f>
        <v>Car</v>
      </c>
      <c r="J15" s="38" t="s">
        <v>268</v>
      </c>
      <c r="K15" s="38">
        <v>2</v>
      </c>
      <c r="L15" s="45" t="str">
        <f>VLOOKUP(K15,Key!$A$24:$B$29,2,FALSE)</f>
        <v>30-39</v>
      </c>
      <c r="M15" s="38" t="s">
        <v>288</v>
      </c>
      <c r="N15" s="33" t="s">
        <v>273</v>
      </c>
      <c r="O15" s="38" t="s">
        <v>271</v>
      </c>
      <c r="P15" s="40">
        <v>1</v>
      </c>
      <c r="Q15" s="35" t="str">
        <f>VLOOKUP(P15,Key!$E$2:$F$9,2,FALSE)</f>
        <v>Home</v>
      </c>
      <c r="R15" s="38" t="s">
        <v>272</v>
      </c>
      <c r="S15" s="33" t="s">
        <v>273</v>
      </c>
      <c r="T15" s="38" t="s">
        <v>271</v>
      </c>
      <c r="U15" s="33">
        <v>2</v>
      </c>
      <c r="V15" s="35" t="str">
        <f>VLOOKUP(U15,Key!$E$2:$F$9,2,FALSE)</f>
        <v>Work</v>
      </c>
      <c r="W15" s="35" t="str">
        <f>Q15&amp;"-"&amp;V15</f>
        <v>Home-Work</v>
      </c>
      <c r="X15" s="33">
        <v>15000</v>
      </c>
      <c r="Y15" s="39">
        <v>20</v>
      </c>
      <c r="Z15" s="39">
        <v>0.3</v>
      </c>
      <c r="AA15" s="33">
        <v>6</v>
      </c>
      <c r="AB15" s="35" t="str">
        <f>VLOOKUP(AA15,Key!$C$20:$D$29,2,FALSE)</f>
        <v>Businessman</v>
      </c>
      <c r="AC15" s="33">
        <v>1</v>
      </c>
      <c r="AD15" s="35" t="str">
        <f>VLOOKUP(AC15,Key!$E$20:$F$24,2,FALSE)</f>
        <v>&lt;300,000</v>
      </c>
      <c r="AE15" s="33">
        <v>1</v>
      </c>
      <c r="AF15" s="39">
        <v>1</v>
      </c>
      <c r="AG15" s="39">
        <v>1</v>
      </c>
      <c r="AH15" s="39">
        <v>1</v>
      </c>
      <c r="AI15" s="39">
        <v>1</v>
      </c>
      <c r="AJ15" s="40" t="s">
        <v>274</v>
      </c>
      <c r="AK15" s="41"/>
      <c r="AL15" s="25"/>
      <c r="AM15" s="25"/>
    </row>
    <row r="16" spans="2:46" x14ac:dyDescent="0.2">
      <c r="B16" s="50">
        <v>43699</v>
      </c>
      <c r="C16" s="36">
        <v>0.3125</v>
      </c>
      <c r="D16" s="36"/>
      <c r="E16" s="36" t="s">
        <v>267</v>
      </c>
      <c r="F16" s="38">
        <v>2</v>
      </c>
      <c r="G16" s="43" t="str">
        <f>VLOOKUP(F16,Key!$A$17:$B$21,2,FALSE)</f>
        <v>Road Vehicle</v>
      </c>
      <c r="H16" s="37">
        <v>1</v>
      </c>
      <c r="I16" s="44" t="str">
        <f>VLOOKUP(H16,Key!$A$2:$B$13,2,FALSE)</f>
        <v>Car</v>
      </c>
      <c r="J16" s="38" t="s">
        <v>268</v>
      </c>
      <c r="K16" s="38">
        <v>2</v>
      </c>
      <c r="L16" s="45" t="str">
        <f>VLOOKUP(K16,Key!$A$24:$B$29,2,FALSE)</f>
        <v>30-39</v>
      </c>
      <c r="M16" s="38" t="s">
        <v>290</v>
      </c>
      <c r="N16" s="33" t="s">
        <v>273</v>
      </c>
      <c r="O16" s="38" t="s">
        <v>271</v>
      </c>
      <c r="P16" s="40">
        <v>1</v>
      </c>
      <c r="Q16" s="35" t="str">
        <f>VLOOKUP(P16,Key!$E$2:$F$9,2,FALSE)</f>
        <v>Home</v>
      </c>
      <c r="R16" s="38" t="s">
        <v>272</v>
      </c>
      <c r="S16" s="33" t="s">
        <v>273</v>
      </c>
      <c r="T16" s="38" t="s">
        <v>271</v>
      </c>
      <c r="U16" s="33">
        <v>2</v>
      </c>
      <c r="V16" s="35" t="str">
        <f>VLOOKUP(U16,Key!$E$2:$F$9,2,FALSE)</f>
        <v>Work</v>
      </c>
      <c r="W16" s="35" t="str">
        <f>Q16&amp;"-"&amp;V16</f>
        <v>Home-Work</v>
      </c>
      <c r="X16" s="33">
        <v>20000</v>
      </c>
      <c r="Y16" s="39">
        <v>15</v>
      </c>
      <c r="Z16" s="39">
        <v>0.3</v>
      </c>
      <c r="AA16" s="33">
        <v>5</v>
      </c>
      <c r="AB16" s="35" t="str">
        <f>VLOOKUP(AA16,Key!$C$20:$D$29,2,FALSE)</f>
        <v>Professional</v>
      </c>
      <c r="AC16" s="33">
        <v>1</v>
      </c>
      <c r="AD16" s="35" t="str">
        <f>VLOOKUP(AC16,Key!$E$20:$F$24,2,FALSE)</f>
        <v>&lt;300,000</v>
      </c>
      <c r="AE16" s="33">
        <v>1</v>
      </c>
      <c r="AF16" s="39">
        <v>1</v>
      </c>
      <c r="AG16" s="39">
        <v>1</v>
      </c>
      <c r="AH16" s="39">
        <v>1</v>
      </c>
      <c r="AI16" s="39">
        <v>1</v>
      </c>
      <c r="AJ16" s="40" t="s">
        <v>274</v>
      </c>
      <c r="AK16" s="41"/>
      <c r="AL16" s="25"/>
      <c r="AM16" s="25"/>
    </row>
    <row r="17" spans="2:39" x14ac:dyDescent="0.2">
      <c r="B17" s="50">
        <v>43699</v>
      </c>
      <c r="C17" s="36">
        <v>0.39374999999999999</v>
      </c>
      <c r="D17" s="36"/>
      <c r="E17" s="36" t="s">
        <v>267</v>
      </c>
      <c r="F17" s="38">
        <v>2</v>
      </c>
      <c r="G17" s="43" t="str">
        <f>VLOOKUP(F17,Key!$A$17:$B$21,2,FALSE)</f>
        <v>Road Vehicle</v>
      </c>
      <c r="H17" s="37">
        <v>1</v>
      </c>
      <c r="I17" s="44" t="str">
        <f>VLOOKUP(H17,Key!$A$2:$B$13,2,FALSE)</f>
        <v>Car</v>
      </c>
      <c r="J17" s="38" t="s">
        <v>268</v>
      </c>
      <c r="K17" s="38">
        <v>2</v>
      </c>
      <c r="L17" s="45" t="str">
        <f>VLOOKUP(K17,Key!$A$24:$B$29,2,FALSE)</f>
        <v>30-39</v>
      </c>
      <c r="M17" s="38" t="s">
        <v>291</v>
      </c>
      <c r="N17" s="33" t="s">
        <v>283</v>
      </c>
      <c r="O17" s="38" t="s">
        <v>271</v>
      </c>
      <c r="P17" s="40">
        <v>2</v>
      </c>
      <c r="Q17" s="35" t="str">
        <f>VLOOKUP(P17,Key!$E$2:$F$9,2,FALSE)</f>
        <v>Work</v>
      </c>
      <c r="R17" s="38" t="s">
        <v>272</v>
      </c>
      <c r="S17" s="33" t="s">
        <v>273</v>
      </c>
      <c r="T17" s="38" t="s">
        <v>271</v>
      </c>
      <c r="U17" s="33">
        <v>2</v>
      </c>
      <c r="V17" s="35" t="str">
        <f>VLOOKUP(U17,Key!$E$2:$F$9,2,FALSE)</f>
        <v>Work</v>
      </c>
      <c r="W17" s="35" t="str">
        <f>Q17&amp;"-"&amp;V17</f>
        <v>Work-Work</v>
      </c>
      <c r="X17" s="33">
        <v>70000</v>
      </c>
      <c r="Y17" s="39">
        <v>120</v>
      </c>
      <c r="Z17" s="39">
        <v>2.5</v>
      </c>
      <c r="AA17" s="33">
        <v>10</v>
      </c>
      <c r="AB17" s="35" t="str">
        <f>VLOOKUP(AA17,Key!$C$20:$D$29,2,FALSE)</f>
        <v>Other</v>
      </c>
      <c r="AC17" s="33">
        <v>2</v>
      </c>
      <c r="AD17" s="35" t="str">
        <f>VLOOKUP(AC17,Key!$E$20:$F$24,2,FALSE)</f>
        <v>300,000-500,000</v>
      </c>
      <c r="AE17" s="33">
        <v>1</v>
      </c>
      <c r="AF17" s="39">
        <v>1</v>
      </c>
      <c r="AG17" s="39">
        <v>1</v>
      </c>
      <c r="AH17" s="39">
        <v>1</v>
      </c>
      <c r="AI17" s="39">
        <v>2</v>
      </c>
      <c r="AJ17" s="40" t="s">
        <v>274</v>
      </c>
      <c r="AK17" s="41">
        <v>2000</v>
      </c>
      <c r="AL17" s="25"/>
      <c r="AM17" s="25"/>
    </row>
    <row r="18" spans="2:39" x14ac:dyDescent="0.2">
      <c r="B18" s="50">
        <v>43699</v>
      </c>
      <c r="C18" s="36">
        <v>0.35416666666666669</v>
      </c>
      <c r="D18" s="36"/>
      <c r="E18" s="36" t="s">
        <v>267</v>
      </c>
      <c r="F18" s="38">
        <v>2</v>
      </c>
      <c r="G18" s="43" t="str">
        <f>VLOOKUP(F18,Key!$A$17:$B$21,2,FALSE)</f>
        <v>Road Vehicle</v>
      </c>
      <c r="H18" s="37">
        <v>1</v>
      </c>
      <c r="I18" s="44" t="str">
        <f>VLOOKUP(H18,Key!$A$2:$B$13,2,FALSE)</f>
        <v>Car</v>
      </c>
      <c r="J18" s="38" t="s">
        <v>268</v>
      </c>
      <c r="K18" s="38">
        <v>2</v>
      </c>
      <c r="L18" s="45" t="str">
        <f>VLOOKUP(K18,Key!$A$24:$B$29,2,FALSE)</f>
        <v>30-39</v>
      </c>
      <c r="M18" s="38" t="s">
        <v>290</v>
      </c>
      <c r="N18" s="33" t="s">
        <v>273</v>
      </c>
      <c r="O18" s="38" t="s">
        <v>271</v>
      </c>
      <c r="P18" s="40">
        <v>1</v>
      </c>
      <c r="Q18" s="35" t="str">
        <f>VLOOKUP(P18,Key!$E$2:$F$9,2,FALSE)</f>
        <v>Home</v>
      </c>
      <c r="R18" s="38" t="s">
        <v>272</v>
      </c>
      <c r="S18" s="33" t="s">
        <v>273</v>
      </c>
      <c r="T18" s="38" t="s">
        <v>271</v>
      </c>
      <c r="U18" s="33">
        <v>2</v>
      </c>
      <c r="V18" s="35" t="str">
        <f>VLOOKUP(U18,Key!$E$2:$F$9,2,FALSE)</f>
        <v>Work</v>
      </c>
      <c r="W18" s="35" t="str">
        <f>Q18&amp;"-"&amp;V18</f>
        <v>Home-Work</v>
      </c>
      <c r="X18" s="33">
        <v>25000</v>
      </c>
      <c r="Y18" s="39">
        <v>21</v>
      </c>
      <c r="Z18" s="39">
        <v>0.5</v>
      </c>
      <c r="AA18" s="33">
        <v>5</v>
      </c>
      <c r="AB18" s="35" t="str">
        <f>VLOOKUP(AA18,Key!$C$20:$D$29,2,FALSE)</f>
        <v>Professional</v>
      </c>
      <c r="AC18" s="33">
        <v>3</v>
      </c>
      <c r="AD18" s="35" t="str">
        <f>VLOOKUP(AC18,Key!$E$20:$F$24,2,FALSE)</f>
        <v>500,000-750,000</v>
      </c>
      <c r="AE18" s="33">
        <v>1</v>
      </c>
      <c r="AF18" s="39">
        <v>2</v>
      </c>
      <c r="AG18" s="39">
        <v>1</v>
      </c>
      <c r="AH18" s="39">
        <v>2</v>
      </c>
      <c r="AI18" s="39">
        <v>1</v>
      </c>
      <c r="AJ18" s="40" t="s">
        <v>274</v>
      </c>
      <c r="AK18" s="41">
        <v>1000</v>
      </c>
      <c r="AL18" s="25"/>
      <c r="AM18" s="25"/>
    </row>
    <row r="19" spans="2:39" x14ac:dyDescent="0.2">
      <c r="B19" s="50">
        <v>43699</v>
      </c>
      <c r="C19" s="36">
        <v>0.72569444444444453</v>
      </c>
      <c r="D19" s="36"/>
      <c r="E19" s="36" t="s">
        <v>267</v>
      </c>
      <c r="F19" s="38">
        <v>2</v>
      </c>
      <c r="G19" s="43" t="str">
        <f>VLOOKUP(F19,Key!$A$17:$B$21,2,FALSE)</f>
        <v>Road Vehicle</v>
      </c>
      <c r="H19" s="37">
        <v>1</v>
      </c>
      <c r="I19" s="44" t="str">
        <f>VLOOKUP(H19,Key!$A$2:$B$13,2,FALSE)</f>
        <v>Car</v>
      </c>
      <c r="J19" s="38" t="s">
        <v>268</v>
      </c>
      <c r="K19" s="38">
        <v>2</v>
      </c>
      <c r="L19" s="45" t="str">
        <f>VLOOKUP(K19,Key!$A$24:$B$29,2,FALSE)</f>
        <v>30-39</v>
      </c>
      <c r="M19" s="38" t="s">
        <v>279</v>
      </c>
      <c r="N19" s="33" t="s">
        <v>264</v>
      </c>
      <c r="O19" s="38" t="s">
        <v>271</v>
      </c>
      <c r="P19" s="40">
        <v>2</v>
      </c>
      <c r="Q19" s="35" t="str">
        <f>VLOOKUP(P19,Key!$E$2:$F$9,2,FALSE)</f>
        <v>Work</v>
      </c>
      <c r="R19" s="38" t="s">
        <v>272</v>
      </c>
      <c r="S19" s="33" t="s">
        <v>273</v>
      </c>
      <c r="T19" s="38" t="s">
        <v>271</v>
      </c>
      <c r="U19" s="33">
        <v>2</v>
      </c>
      <c r="V19" s="35" t="str">
        <f>VLOOKUP(U19,Key!$E$2:$F$9,2,FALSE)</f>
        <v>Work</v>
      </c>
      <c r="W19" s="35" t="str">
        <f>Q19&amp;"-"&amp;V19</f>
        <v>Work-Work</v>
      </c>
      <c r="X19" s="33">
        <v>130000</v>
      </c>
      <c r="Y19" s="39">
        <v>130</v>
      </c>
      <c r="Z19" s="39">
        <v>3</v>
      </c>
      <c r="AA19" s="33">
        <v>10</v>
      </c>
      <c r="AB19" s="35" t="str">
        <f>VLOOKUP(AA19,Key!$C$20:$D$29,2,FALSE)</f>
        <v>Other</v>
      </c>
      <c r="AC19" s="33">
        <v>2</v>
      </c>
      <c r="AD19" s="35" t="str">
        <f>VLOOKUP(AC19,Key!$E$20:$F$24,2,FALSE)</f>
        <v>300,000-500,000</v>
      </c>
      <c r="AE19" s="33">
        <v>1</v>
      </c>
      <c r="AF19" s="39">
        <v>1</v>
      </c>
      <c r="AG19" s="39">
        <v>1</v>
      </c>
      <c r="AH19" s="39">
        <v>1</v>
      </c>
      <c r="AI19" s="39">
        <v>1</v>
      </c>
      <c r="AJ19" s="40" t="s">
        <v>274</v>
      </c>
      <c r="AK19" s="41"/>
      <c r="AL19" s="25"/>
      <c r="AM19" s="25"/>
    </row>
    <row r="20" spans="2:39" x14ac:dyDescent="0.2">
      <c r="B20" s="50">
        <v>43699</v>
      </c>
      <c r="C20" s="36">
        <v>0.72152777777777777</v>
      </c>
      <c r="D20" s="36"/>
      <c r="E20" s="36" t="s">
        <v>267</v>
      </c>
      <c r="F20" s="38">
        <v>2</v>
      </c>
      <c r="G20" s="43" t="str">
        <f>VLOOKUP(F20,Key!$A$17:$B$21,2,FALSE)</f>
        <v>Road Vehicle</v>
      </c>
      <c r="H20" s="37">
        <v>1</v>
      </c>
      <c r="I20" s="44" t="str">
        <f>VLOOKUP(H20,Key!$A$2:$B$13,2,FALSE)</f>
        <v>Car</v>
      </c>
      <c r="J20" s="38" t="s">
        <v>268</v>
      </c>
      <c r="K20" s="38">
        <v>2</v>
      </c>
      <c r="L20" s="45" t="str">
        <f>VLOOKUP(K20,Key!$A$24:$B$29,2,FALSE)</f>
        <v>30-39</v>
      </c>
      <c r="M20" s="38" t="s">
        <v>286</v>
      </c>
      <c r="N20" s="33" t="s">
        <v>273</v>
      </c>
      <c r="O20" s="38" t="s">
        <v>271</v>
      </c>
      <c r="P20" s="40">
        <v>1</v>
      </c>
      <c r="Q20" s="35" t="str">
        <f>VLOOKUP(P20,Key!$E$2:$F$9,2,FALSE)</f>
        <v>Home</v>
      </c>
      <c r="R20" s="38" t="s">
        <v>272</v>
      </c>
      <c r="S20" s="33" t="s">
        <v>273</v>
      </c>
      <c r="T20" s="38" t="s">
        <v>271</v>
      </c>
      <c r="U20" s="33">
        <v>6</v>
      </c>
      <c r="V20" s="35" t="str">
        <f>VLOOKUP(U20,Key!$E$2:$F$9,2,FALSE)</f>
        <v>Leisure/Social</v>
      </c>
      <c r="W20" s="35" t="str">
        <f>Q20&amp;"-"&amp;V20</f>
        <v>Home-Leisure/Social</v>
      </c>
      <c r="X20" s="33">
        <v>20000</v>
      </c>
      <c r="Y20" s="39">
        <v>38</v>
      </c>
      <c r="Z20" s="39">
        <v>0.5</v>
      </c>
      <c r="AA20" s="33">
        <v>7</v>
      </c>
      <c r="AB20" s="35" t="str">
        <f>VLOOKUP(AA20,Key!$C$20:$D$29,2,FALSE)</f>
        <v>Farmer</v>
      </c>
      <c r="AC20" s="33">
        <v>1</v>
      </c>
      <c r="AD20" s="35" t="str">
        <f>VLOOKUP(AC20,Key!$E$20:$F$24,2,FALSE)</f>
        <v>&lt;300,000</v>
      </c>
      <c r="AE20" s="33">
        <v>1</v>
      </c>
      <c r="AF20" s="39">
        <v>1</v>
      </c>
      <c r="AG20" s="39">
        <v>1</v>
      </c>
      <c r="AH20" s="39">
        <v>1</v>
      </c>
      <c r="AI20" s="39">
        <v>1</v>
      </c>
      <c r="AJ20" s="40" t="s">
        <v>274</v>
      </c>
      <c r="AK20" s="41"/>
      <c r="AL20" s="25"/>
      <c r="AM20" s="25"/>
    </row>
    <row r="21" spans="2:39" x14ac:dyDescent="0.2">
      <c r="B21" s="50">
        <v>43699</v>
      </c>
      <c r="C21" s="36">
        <v>0.7631944444444444</v>
      </c>
      <c r="D21" s="36"/>
      <c r="E21" s="36" t="s">
        <v>267</v>
      </c>
      <c r="F21" s="38">
        <v>2</v>
      </c>
      <c r="G21" s="43" t="str">
        <f>VLOOKUP(F21,Key!$A$17:$B$21,2,FALSE)</f>
        <v>Road Vehicle</v>
      </c>
      <c r="H21" s="37">
        <v>1</v>
      </c>
      <c r="I21" s="44" t="str">
        <f>VLOOKUP(H21,Key!$A$2:$B$13,2,FALSE)</f>
        <v>Car</v>
      </c>
      <c r="J21" s="38" t="s">
        <v>268</v>
      </c>
      <c r="K21" s="38">
        <v>2</v>
      </c>
      <c r="L21" s="45" t="str">
        <f>VLOOKUP(K21,Key!$A$24:$B$29,2,FALSE)</f>
        <v>30-39</v>
      </c>
      <c r="M21" s="38" t="s">
        <v>292</v>
      </c>
      <c r="N21" s="33" t="s">
        <v>273</v>
      </c>
      <c r="O21" s="38" t="s">
        <v>271</v>
      </c>
      <c r="P21" s="40">
        <v>2</v>
      </c>
      <c r="Q21" s="35" t="str">
        <f>VLOOKUP(P21,Key!$E$2:$F$9,2,FALSE)</f>
        <v>Work</v>
      </c>
      <c r="R21" s="38" t="s">
        <v>272</v>
      </c>
      <c r="S21" s="33" t="s">
        <v>273</v>
      </c>
      <c r="T21" s="38" t="s">
        <v>271</v>
      </c>
      <c r="U21" s="33">
        <v>6</v>
      </c>
      <c r="V21" s="35" t="str">
        <f>VLOOKUP(U21,Key!$E$2:$F$9,2,FALSE)</f>
        <v>Leisure/Social</v>
      </c>
      <c r="W21" s="35" t="str">
        <f>Q21&amp;"-"&amp;V21</f>
        <v>Work-Leisure/Social</v>
      </c>
      <c r="X21" s="33">
        <v>25000</v>
      </c>
      <c r="Y21" s="39">
        <v>30</v>
      </c>
      <c r="Z21" s="39">
        <v>1</v>
      </c>
      <c r="AA21" s="33">
        <v>6</v>
      </c>
      <c r="AB21" s="35" t="str">
        <f>VLOOKUP(AA21,Key!$C$20:$D$29,2,FALSE)</f>
        <v>Businessman</v>
      </c>
      <c r="AC21" s="33">
        <v>4</v>
      </c>
      <c r="AD21" s="35" t="str">
        <f>VLOOKUP(AC21,Key!$E$20:$F$24,2,FALSE)</f>
        <v>750,000-1,000,000</v>
      </c>
      <c r="AE21" s="33">
        <v>1</v>
      </c>
      <c r="AF21" s="39">
        <v>1</v>
      </c>
      <c r="AG21" s="39">
        <v>1</v>
      </c>
      <c r="AH21" s="39">
        <v>1</v>
      </c>
      <c r="AI21" s="39">
        <v>1</v>
      </c>
      <c r="AJ21" s="40" t="s">
        <v>274</v>
      </c>
      <c r="AK21" s="41"/>
      <c r="AL21" s="25"/>
      <c r="AM21" s="25"/>
    </row>
    <row r="22" spans="2:39" x14ac:dyDescent="0.2">
      <c r="B22" s="50">
        <v>43700</v>
      </c>
      <c r="C22" s="36">
        <v>0.63888888888888895</v>
      </c>
      <c r="D22" s="36"/>
      <c r="E22" s="36" t="s">
        <v>267</v>
      </c>
      <c r="F22" s="38">
        <v>2</v>
      </c>
      <c r="G22" s="43" t="str">
        <f>VLOOKUP(F22,Key!$A$17:$B$21,2,FALSE)</f>
        <v>Road Vehicle</v>
      </c>
      <c r="H22" s="37">
        <v>1</v>
      </c>
      <c r="I22" s="44" t="str">
        <f>VLOOKUP(H22,Key!$A$2:$B$13,2,FALSE)</f>
        <v>Car</v>
      </c>
      <c r="J22" s="38" t="s">
        <v>268</v>
      </c>
      <c r="K22" s="38">
        <v>2</v>
      </c>
      <c r="L22" s="45" t="str">
        <f>VLOOKUP(K22,Key!$A$24:$B$29,2,FALSE)</f>
        <v>30-39</v>
      </c>
      <c r="M22" s="38" t="s">
        <v>294</v>
      </c>
      <c r="N22" s="33" t="s">
        <v>273</v>
      </c>
      <c r="O22" s="38" t="s">
        <v>271</v>
      </c>
      <c r="P22" s="40">
        <v>1</v>
      </c>
      <c r="Q22" s="35" t="str">
        <f>VLOOKUP(P22,Key!$E$2:$F$9,2,FALSE)</f>
        <v>Home</v>
      </c>
      <c r="R22" s="38" t="s">
        <v>272</v>
      </c>
      <c r="S22" s="33" t="s">
        <v>273</v>
      </c>
      <c r="T22" s="38" t="s">
        <v>271</v>
      </c>
      <c r="U22" s="33">
        <v>2</v>
      </c>
      <c r="V22" s="35" t="str">
        <f>VLOOKUP(U22,Key!$E$2:$F$9,2,FALSE)</f>
        <v>Work</v>
      </c>
      <c r="W22" s="35" t="str">
        <f>Q22&amp;"-"&amp;V22</f>
        <v>Home-Work</v>
      </c>
      <c r="X22" s="33"/>
      <c r="Y22" s="39"/>
      <c r="Z22" s="39"/>
      <c r="AA22" s="33">
        <v>4</v>
      </c>
      <c r="AB22" s="35" t="s">
        <v>240</v>
      </c>
      <c r="AC22" s="33">
        <v>3</v>
      </c>
      <c r="AD22" s="35" t="str">
        <f>VLOOKUP(AC22,Key!$E$20:$F$24,2,FALSE)</f>
        <v>500,000-750,000</v>
      </c>
      <c r="AE22" s="33">
        <v>1</v>
      </c>
      <c r="AF22" s="39">
        <v>1</v>
      </c>
      <c r="AG22" s="39">
        <v>1</v>
      </c>
      <c r="AH22" s="39">
        <v>1</v>
      </c>
      <c r="AI22" s="39">
        <v>1</v>
      </c>
      <c r="AJ22" s="40" t="s">
        <v>274</v>
      </c>
      <c r="AK22" s="41"/>
      <c r="AL22" s="25"/>
      <c r="AM22" s="25"/>
    </row>
    <row r="23" spans="2:39" x14ac:dyDescent="0.2">
      <c r="B23" s="50">
        <v>43700</v>
      </c>
      <c r="C23" s="36">
        <v>0.39027777777777778</v>
      </c>
      <c r="D23" s="36"/>
      <c r="E23" s="36" t="s">
        <v>267</v>
      </c>
      <c r="F23" s="38">
        <v>2</v>
      </c>
      <c r="G23" s="43" t="str">
        <f>VLOOKUP(F23,Key!$A$17:$B$21,2,FALSE)</f>
        <v>Road Vehicle</v>
      </c>
      <c r="H23" s="37">
        <v>1</v>
      </c>
      <c r="I23" s="44" t="str">
        <f>VLOOKUP(H23,Key!$A$2:$B$13,2,FALSE)</f>
        <v>Car</v>
      </c>
      <c r="J23" s="38" t="s">
        <v>268</v>
      </c>
      <c r="K23" s="38">
        <v>2</v>
      </c>
      <c r="L23" s="45" t="str">
        <f>VLOOKUP(K23,Key!$A$24:$B$29,2,FALSE)</f>
        <v>30-39</v>
      </c>
      <c r="M23" s="38" t="s">
        <v>305</v>
      </c>
      <c r="N23" s="33" t="s">
        <v>273</v>
      </c>
      <c r="O23" s="38" t="s">
        <v>271</v>
      </c>
      <c r="P23" s="40">
        <v>2</v>
      </c>
      <c r="Q23" s="35" t="str">
        <f>VLOOKUP(P23,Key!$E$2:$F$9,2,FALSE)</f>
        <v>Work</v>
      </c>
      <c r="R23" s="38" t="s">
        <v>277</v>
      </c>
      <c r="S23" s="33" t="s">
        <v>278</v>
      </c>
      <c r="T23" s="38"/>
      <c r="U23" s="33">
        <v>4</v>
      </c>
      <c r="V23" s="35" t="str">
        <f>VLOOKUP(U23,Key!$E$2:$F$9,2,FALSE)</f>
        <v>Commercial</v>
      </c>
      <c r="W23" s="35" t="str">
        <f>Q23&amp;"-"&amp;V23</f>
        <v>Work-Commercial</v>
      </c>
      <c r="X23" s="33">
        <v>100000</v>
      </c>
      <c r="Y23" s="39">
        <v>180</v>
      </c>
      <c r="Z23" s="39">
        <v>4</v>
      </c>
      <c r="AA23" s="33">
        <v>10</v>
      </c>
      <c r="AB23" s="35" t="str">
        <f>VLOOKUP(AA23,Key!$C$20:$D$29,2,FALSE)</f>
        <v>Other</v>
      </c>
      <c r="AC23" s="33">
        <v>2</v>
      </c>
      <c r="AD23" s="35" t="str">
        <f>VLOOKUP(AC23,Key!$E$20:$F$24,2,FALSE)</f>
        <v>300,000-500,000</v>
      </c>
      <c r="AE23" s="33">
        <v>1</v>
      </c>
      <c r="AF23" s="39">
        <v>1</v>
      </c>
      <c r="AG23" s="39">
        <v>2</v>
      </c>
      <c r="AH23" s="39">
        <v>2</v>
      </c>
      <c r="AI23" s="39">
        <v>2</v>
      </c>
      <c r="AJ23" s="40" t="s">
        <v>274</v>
      </c>
      <c r="AK23" s="41">
        <v>2000</v>
      </c>
      <c r="AL23" s="25"/>
      <c r="AM23" s="25"/>
    </row>
    <row r="24" spans="2:39" x14ac:dyDescent="0.2">
      <c r="B24" s="50">
        <v>43700</v>
      </c>
      <c r="C24" s="36">
        <v>0.35138888888888892</v>
      </c>
      <c r="D24" s="36"/>
      <c r="E24" s="36" t="s">
        <v>267</v>
      </c>
      <c r="F24" s="38">
        <v>2</v>
      </c>
      <c r="G24" s="43" t="str">
        <f>VLOOKUP(F24,Key!$A$17:$B$21,2,FALSE)</f>
        <v>Road Vehicle</v>
      </c>
      <c r="H24" s="37">
        <v>1</v>
      </c>
      <c r="I24" s="44" t="str">
        <f>VLOOKUP(H24,Key!$A$2:$B$13,2,FALSE)</f>
        <v>Car</v>
      </c>
      <c r="J24" s="38" t="s">
        <v>268</v>
      </c>
      <c r="K24" s="38">
        <v>2</v>
      </c>
      <c r="L24" s="45" t="str">
        <f>VLOOKUP(K24,Key!$A$24:$B$29,2,FALSE)</f>
        <v>30-39</v>
      </c>
      <c r="M24" s="38" t="s">
        <v>304</v>
      </c>
      <c r="N24" s="33" t="s">
        <v>273</v>
      </c>
      <c r="O24" s="38" t="s">
        <v>271</v>
      </c>
      <c r="P24" s="40">
        <v>4</v>
      </c>
      <c r="Q24" s="35" t="str">
        <f>VLOOKUP(P24,Key!$E$2:$F$9,2,FALSE)</f>
        <v>Commercial</v>
      </c>
      <c r="R24" s="38" t="s">
        <v>277</v>
      </c>
      <c r="S24" s="33" t="s">
        <v>278</v>
      </c>
      <c r="T24" s="38"/>
      <c r="U24" s="33">
        <v>4</v>
      </c>
      <c r="V24" s="35" t="str">
        <f>VLOOKUP(U24,Key!$E$2:$F$9,2,FALSE)</f>
        <v>Commercial</v>
      </c>
      <c r="W24" s="35" t="str">
        <f>Q24&amp;"-"&amp;V24</f>
        <v>Commercial-Commercial</v>
      </c>
      <c r="X24" s="33">
        <v>140000</v>
      </c>
      <c r="Y24" s="39">
        <v>200</v>
      </c>
      <c r="Z24" s="39">
        <v>4</v>
      </c>
      <c r="AA24" s="33">
        <v>10</v>
      </c>
      <c r="AB24" s="35" t="str">
        <f>VLOOKUP(AA24,Key!$C$20:$D$29,2,FALSE)</f>
        <v>Other</v>
      </c>
      <c r="AC24" s="33">
        <v>2</v>
      </c>
      <c r="AD24" s="35" t="str">
        <f>VLOOKUP(AC24,Key!$E$20:$F$24,2,FALSE)</f>
        <v>300,000-500,000</v>
      </c>
      <c r="AE24" s="33">
        <v>1</v>
      </c>
      <c r="AF24" s="39">
        <v>1</v>
      </c>
      <c r="AG24" s="39">
        <v>1</v>
      </c>
      <c r="AH24" s="39">
        <v>1</v>
      </c>
      <c r="AI24" s="39">
        <v>1</v>
      </c>
      <c r="AJ24" s="40" t="s">
        <v>274</v>
      </c>
      <c r="AK24" s="41"/>
      <c r="AL24" s="25"/>
      <c r="AM24" s="25"/>
    </row>
    <row r="25" spans="2:39" x14ac:dyDescent="0.2">
      <c r="B25" s="50">
        <v>43700</v>
      </c>
      <c r="C25" s="36">
        <v>0.37916666666666665</v>
      </c>
      <c r="D25" s="36"/>
      <c r="E25" s="36" t="s">
        <v>267</v>
      </c>
      <c r="F25" s="38">
        <v>2</v>
      </c>
      <c r="G25" s="43" t="str">
        <f>VLOOKUP(F25,Key!$A$17:$B$21,2,FALSE)</f>
        <v>Road Vehicle</v>
      </c>
      <c r="H25" s="37">
        <v>1</v>
      </c>
      <c r="I25" s="44" t="str">
        <f>VLOOKUP(H25,Key!$A$2:$B$13,2,FALSE)</f>
        <v>Car</v>
      </c>
      <c r="J25" s="38" t="s">
        <v>268</v>
      </c>
      <c r="K25" s="38">
        <v>2</v>
      </c>
      <c r="L25" s="45" t="str">
        <f>VLOOKUP(K25,Key!$A$24:$B$29,2,FALSE)</f>
        <v>30-39</v>
      </c>
      <c r="M25" s="38" t="s">
        <v>272</v>
      </c>
      <c r="N25" s="33" t="s">
        <v>273</v>
      </c>
      <c r="O25" s="38" t="s">
        <v>271</v>
      </c>
      <c r="P25" s="40">
        <v>2</v>
      </c>
      <c r="Q25" s="35" t="str">
        <f>VLOOKUP(P25,Key!$E$2:$F$9,2,FALSE)</f>
        <v>Work</v>
      </c>
      <c r="R25" s="38" t="s">
        <v>277</v>
      </c>
      <c r="S25" s="33" t="s">
        <v>278</v>
      </c>
      <c r="T25" s="38"/>
      <c r="U25" s="33">
        <v>4</v>
      </c>
      <c r="V25" s="35" t="str">
        <f>VLOOKUP(U25,Key!$E$2:$F$9,2,FALSE)</f>
        <v>Commercial</v>
      </c>
      <c r="W25" s="35" t="str">
        <f>Q25&amp;"-"&amp;V25</f>
        <v>Work-Commercial</v>
      </c>
      <c r="X25" s="33">
        <v>130000</v>
      </c>
      <c r="Y25" s="39">
        <v>180</v>
      </c>
      <c r="Z25" s="39">
        <v>5</v>
      </c>
      <c r="AA25" s="33">
        <v>10</v>
      </c>
      <c r="AB25" s="35" t="str">
        <f>VLOOKUP(AA25,Key!$C$20:$D$29,2,FALSE)</f>
        <v>Other</v>
      </c>
      <c r="AC25" s="33">
        <v>1</v>
      </c>
      <c r="AD25" s="35" t="str">
        <f>VLOOKUP(AC25,Key!$E$20:$F$24,2,FALSE)</f>
        <v>&lt;300,000</v>
      </c>
      <c r="AE25" s="33">
        <v>1</v>
      </c>
      <c r="AF25" s="39">
        <v>1</v>
      </c>
      <c r="AG25" s="39">
        <v>1</v>
      </c>
      <c r="AH25" s="39">
        <v>1</v>
      </c>
      <c r="AI25" s="39">
        <v>1</v>
      </c>
      <c r="AJ25" s="40" t="s">
        <v>274</v>
      </c>
      <c r="AK25" s="41"/>
      <c r="AL25" s="25"/>
      <c r="AM25" s="25"/>
    </row>
    <row r="26" spans="2:39" x14ac:dyDescent="0.2">
      <c r="B26" s="50">
        <v>43700</v>
      </c>
      <c r="C26" s="36">
        <v>0.34097222222222223</v>
      </c>
      <c r="D26" s="36"/>
      <c r="E26" s="36" t="s">
        <v>267</v>
      </c>
      <c r="F26" s="38">
        <v>2</v>
      </c>
      <c r="G26" s="43" t="str">
        <f>VLOOKUP(F26,Key!$A$17:$B$21,2,FALSE)</f>
        <v>Road Vehicle</v>
      </c>
      <c r="H26" s="37">
        <v>1</v>
      </c>
      <c r="I26" s="44" t="str">
        <f>VLOOKUP(H26,Key!$A$2:$B$13,2,FALSE)</f>
        <v>Car</v>
      </c>
      <c r="J26" s="38" t="s">
        <v>268</v>
      </c>
      <c r="K26" s="38">
        <v>2</v>
      </c>
      <c r="L26" s="45" t="str">
        <f>VLOOKUP(K26,Key!$A$24:$B$29,2,FALSE)</f>
        <v>30-39</v>
      </c>
      <c r="M26" s="38" t="s">
        <v>305</v>
      </c>
      <c r="N26" s="33" t="s">
        <v>273</v>
      </c>
      <c r="O26" s="38" t="s">
        <v>271</v>
      </c>
      <c r="P26" s="40">
        <v>2</v>
      </c>
      <c r="Q26" s="35" t="str">
        <f>VLOOKUP(P26,Key!$E$2:$F$9,2,FALSE)</f>
        <v>Work</v>
      </c>
      <c r="R26" s="38" t="s">
        <v>277</v>
      </c>
      <c r="S26" s="33" t="s">
        <v>278</v>
      </c>
      <c r="T26" s="38"/>
      <c r="U26" s="33">
        <v>2</v>
      </c>
      <c r="V26" s="35" t="str">
        <f>VLOOKUP(U26,Key!$E$2:$F$9,2,FALSE)</f>
        <v>Work</v>
      </c>
      <c r="W26" s="35" t="str">
        <f>Q26&amp;"-"&amp;V26</f>
        <v>Work-Work</v>
      </c>
      <c r="X26" s="33">
        <v>120000</v>
      </c>
      <c r="Y26" s="39">
        <v>200</v>
      </c>
      <c r="Z26" s="39">
        <v>3</v>
      </c>
      <c r="AA26" s="33">
        <v>10</v>
      </c>
      <c r="AB26" s="35" t="str">
        <f>VLOOKUP(AA26,Key!$C$20:$D$29,2,FALSE)</f>
        <v>Other</v>
      </c>
      <c r="AC26" s="33">
        <v>2</v>
      </c>
      <c r="AD26" s="35" t="str">
        <f>VLOOKUP(AC26,Key!$E$20:$F$24,2,FALSE)</f>
        <v>300,000-500,000</v>
      </c>
      <c r="AE26" s="33">
        <v>1</v>
      </c>
      <c r="AF26" s="39">
        <v>1</v>
      </c>
      <c r="AG26" s="39">
        <v>2</v>
      </c>
      <c r="AH26" s="39">
        <v>2</v>
      </c>
      <c r="AI26" s="39">
        <v>2</v>
      </c>
      <c r="AJ26" s="40" t="s">
        <v>274</v>
      </c>
      <c r="AK26" s="41">
        <v>1000</v>
      </c>
      <c r="AL26" s="25"/>
      <c r="AM26" s="25"/>
    </row>
    <row r="27" spans="2:39" x14ac:dyDescent="0.2">
      <c r="B27" s="50">
        <v>43700</v>
      </c>
      <c r="C27" s="36">
        <v>0.4055555555555555</v>
      </c>
      <c r="D27" s="36"/>
      <c r="E27" s="36" t="s">
        <v>267</v>
      </c>
      <c r="F27" s="38">
        <v>2</v>
      </c>
      <c r="G27" s="43" t="str">
        <f>VLOOKUP(F27,Key!$A$17:$B$21,2,FALSE)</f>
        <v>Road Vehicle</v>
      </c>
      <c r="H27" s="37">
        <v>1</v>
      </c>
      <c r="I27" s="44" t="str">
        <f>VLOOKUP(H27,Key!$A$2:$B$13,2,FALSE)</f>
        <v>Car</v>
      </c>
      <c r="J27" s="38" t="s">
        <v>268</v>
      </c>
      <c r="K27" s="38">
        <v>2</v>
      </c>
      <c r="L27" s="45" t="str">
        <f>VLOOKUP(K27,Key!$A$24:$B$29,2,FALSE)</f>
        <v>30-39</v>
      </c>
      <c r="M27" s="38" t="s">
        <v>295</v>
      </c>
      <c r="N27" s="33" t="s">
        <v>296</v>
      </c>
      <c r="O27" s="38" t="s">
        <v>271</v>
      </c>
      <c r="P27" s="40">
        <v>2</v>
      </c>
      <c r="Q27" s="35" t="str">
        <f>VLOOKUP(P27,Key!$E$2:$F$9,2,FALSE)</f>
        <v>Work</v>
      </c>
      <c r="R27" s="38" t="s">
        <v>272</v>
      </c>
      <c r="S27" s="33" t="s">
        <v>273</v>
      </c>
      <c r="T27" s="38"/>
      <c r="U27" s="33">
        <v>4</v>
      </c>
      <c r="V27" s="35" t="str">
        <f>VLOOKUP(U27,Key!$E$2:$F$9,2,FALSE)</f>
        <v>Commercial</v>
      </c>
      <c r="W27" s="35" t="str">
        <f>Q27&amp;"-"&amp;V27</f>
        <v>Work-Commercial</v>
      </c>
      <c r="X27" s="33">
        <v>35000</v>
      </c>
      <c r="Y27" s="39">
        <v>57</v>
      </c>
      <c r="Z27" s="39">
        <v>1.5</v>
      </c>
      <c r="AA27" s="33">
        <v>10</v>
      </c>
      <c r="AB27" s="35" t="str">
        <f>VLOOKUP(AA27,Key!$C$20:$D$29,2,FALSE)</f>
        <v>Other</v>
      </c>
      <c r="AC27" s="33">
        <v>2</v>
      </c>
      <c r="AD27" s="35" t="str">
        <f>VLOOKUP(AC27,Key!$E$20:$F$24,2,FALSE)</f>
        <v>300,000-500,000</v>
      </c>
      <c r="AE27" s="33">
        <v>1</v>
      </c>
      <c r="AF27" s="39">
        <v>1</v>
      </c>
      <c r="AG27" s="39">
        <v>1</v>
      </c>
      <c r="AH27" s="39">
        <v>1</v>
      </c>
      <c r="AI27" s="39">
        <v>1</v>
      </c>
      <c r="AJ27" s="40" t="s">
        <v>274</v>
      </c>
      <c r="AK27" s="41">
        <v>500</v>
      </c>
      <c r="AL27" s="25"/>
      <c r="AM27" s="25"/>
    </row>
    <row r="28" spans="2:39" x14ac:dyDescent="0.2">
      <c r="B28" s="50">
        <v>43700</v>
      </c>
      <c r="C28" s="36">
        <v>0.33402777777777781</v>
      </c>
      <c r="D28" s="36"/>
      <c r="E28" s="36" t="s">
        <v>267</v>
      </c>
      <c r="F28" s="38">
        <v>2</v>
      </c>
      <c r="G28" s="43" t="str">
        <f>VLOOKUP(F28,Key!$A$17:$B$21,2,FALSE)</f>
        <v>Road Vehicle</v>
      </c>
      <c r="H28" s="37">
        <v>1</v>
      </c>
      <c r="I28" s="44" t="str">
        <f>VLOOKUP(H28,Key!$A$2:$B$13,2,FALSE)</f>
        <v>Car</v>
      </c>
      <c r="J28" s="38" t="s">
        <v>268</v>
      </c>
      <c r="K28" s="38">
        <v>2</v>
      </c>
      <c r="L28" s="45" t="str">
        <f>VLOOKUP(K28,Key!$A$24:$B$29,2,FALSE)</f>
        <v>30-39</v>
      </c>
      <c r="M28" s="38" t="s">
        <v>304</v>
      </c>
      <c r="N28" s="33" t="s">
        <v>273</v>
      </c>
      <c r="O28" s="38" t="s">
        <v>271</v>
      </c>
      <c r="P28" s="40">
        <v>2</v>
      </c>
      <c r="Q28" s="35" t="str">
        <f>VLOOKUP(P28,Key!$E$2:$F$9,2,FALSE)</f>
        <v>Work</v>
      </c>
      <c r="R28" s="38" t="s">
        <v>304</v>
      </c>
      <c r="S28" s="33" t="s">
        <v>306</v>
      </c>
      <c r="T28" s="38"/>
      <c r="U28" s="33">
        <v>2</v>
      </c>
      <c r="V28" s="35" t="str">
        <f>VLOOKUP(U28,Key!$E$2:$F$9,2,FALSE)</f>
        <v>Work</v>
      </c>
      <c r="W28" s="35" t="str">
        <f>Q28&amp;"-"&amp;V28</f>
        <v>Work-Work</v>
      </c>
      <c r="X28" s="33">
        <v>170000</v>
      </c>
      <c r="Y28" s="39">
        <v>300</v>
      </c>
      <c r="Z28" s="39">
        <v>5</v>
      </c>
      <c r="AA28" s="33">
        <v>10</v>
      </c>
      <c r="AB28" s="35" t="str">
        <f>VLOOKUP(AA28,Key!$C$20:$D$29,2,FALSE)</f>
        <v>Other</v>
      </c>
      <c r="AC28" s="33">
        <v>2</v>
      </c>
      <c r="AD28" s="35" t="str">
        <f>VLOOKUP(AC28,Key!$E$20:$F$24,2,FALSE)</f>
        <v>300,000-500,000</v>
      </c>
      <c r="AE28" s="33">
        <v>1</v>
      </c>
      <c r="AF28" s="39">
        <v>1</v>
      </c>
      <c r="AG28" s="39">
        <v>2</v>
      </c>
      <c r="AH28" s="39">
        <v>1</v>
      </c>
      <c r="AI28" s="39">
        <v>1</v>
      </c>
      <c r="AJ28" s="40" t="s">
        <v>274</v>
      </c>
      <c r="AK28" s="41"/>
      <c r="AL28" s="25"/>
      <c r="AM28" s="25"/>
    </row>
    <row r="29" spans="2:39" x14ac:dyDescent="0.2">
      <c r="B29" s="50">
        <v>43700</v>
      </c>
      <c r="C29" s="36">
        <v>0.31944444444444448</v>
      </c>
      <c r="D29" s="36"/>
      <c r="E29" s="36" t="s">
        <v>267</v>
      </c>
      <c r="F29" s="38">
        <v>2</v>
      </c>
      <c r="G29" s="43" t="str">
        <f>VLOOKUP(F29,Key!$A$17:$B$21,2,FALSE)</f>
        <v>Road Vehicle</v>
      </c>
      <c r="H29" s="37">
        <v>1</v>
      </c>
      <c r="I29" s="44" t="str">
        <f>VLOOKUP(H29,Key!$A$2:$B$13,2,FALSE)</f>
        <v>Car</v>
      </c>
      <c r="J29" s="38" t="s">
        <v>268</v>
      </c>
      <c r="K29" s="38">
        <v>2</v>
      </c>
      <c r="L29" s="45" t="str">
        <f>VLOOKUP(K29,Key!$A$24:$B$29,2,FALSE)</f>
        <v>30-39</v>
      </c>
      <c r="M29" s="38" t="s">
        <v>304</v>
      </c>
      <c r="N29" s="33" t="s">
        <v>273</v>
      </c>
      <c r="O29" s="38" t="s">
        <v>271</v>
      </c>
      <c r="P29" s="40">
        <v>2</v>
      </c>
      <c r="Q29" s="35" t="str">
        <f>VLOOKUP(P29,Key!$E$2:$F$9,2,FALSE)</f>
        <v>Work</v>
      </c>
      <c r="R29" s="38" t="s">
        <v>304</v>
      </c>
      <c r="S29" s="33" t="s">
        <v>306</v>
      </c>
      <c r="T29" s="38"/>
      <c r="U29" s="33">
        <v>4</v>
      </c>
      <c r="V29" s="35" t="str">
        <f>VLOOKUP(U29,Key!$E$2:$F$9,2,FALSE)</f>
        <v>Commercial</v>
      </c>
      <c r="W29" s="35" t="str">
        <f>Q29&amp;"-"&amp;V29</f>
        <v>Work-Commercial</v>
      </c>
      <c r="X29" s="33">
        <v>150000</v>
      </c>
      <c r="Y29" s="39">
        <v>200</v>
      </c>
      <c r="Z29" s="39">
        <v>5</v>
      </c>
      <c r="AA29" s="33">
        <v>6</v>
      </c>
      <c r="AB29" s="35" t="str">
        <f>VLOOKUP(AA29,Key!$C$20:$D$29,2,FALSE)</f>
        <v>Businessman</v>
      </c>
      <c r="AC29" s="33">
        <v>2</v>
      </c>
      <c r="AD29" s="35" t="str">
        <f>VLOOKUP(AC29,Key!$E$20:$F$24,2,FALSE)</f>
        <v>300,000-500,000</v>
      </c>
      <c r="AE29" s="33">
        <v>1</v>
      </c>
      <c r="AF29" s="39">
        <v>1</v>
      </c>
      <c r="AG29" s="39">
        <v>1</v>
      </c>
      <c r="AH29" s="39">
        <v>1</v>
      </c>
      <c r="AI29" s="39">
        <v>1</v>
      </c>
      <c r="AJ29" s="40" t="s">
        <v>274</v>
      </c>
      <c r="AK29" s="41"/>
      <c r="AL29" s="25"/>
      <c r="AM29" s="25"/>
    </row>
    <row r="30" spans="2:39" x14ac:dyDescent="0.2">
      <c r="B30" s="51">
        <v>43701</v>
      </c>
      <c r="C30" s="36">
        <v>0.37847222222222227</v>
      </c>
      <c r="D30" s="36"/>
      <c r="E30" s="36" t="s">
        <v>267</v>
      </c>
      <c r="F30" s="38">
        <v>2</v>
      </c>
      <c r="G30" s="43" t="str">
        <f>VLOOKUP(F30,Key!$A$17:$B$21,2,FALSE)</f>
        <v>Road Vehicle</v>
      </c>
      <c r="H30" s="37">
        <v>1</v>
      </c>
      <c r="I30" s="44" t="str">
        <f>VLOOKUP(H30,Key!$A$2:$B$13,2,FALSE)</f>
        <v>Car</v>
      </c>
      <c r="J30" s="38" t="s">
        <v>268</v>
      </c>
      <c r="K30" s="38">
        <v>2</v>
      </c>
      <c r="L30" s="45" t="str">
        <f>VLOOKUP(K30,Key!$A$24:$B$29,2,FALSE)</f>
        <v>30-39</v>
      </c>
      <c r="M30" s="38" t="s">
        <v>272</v>
      </c>
      <c r="N30" s="33" t="s">
        <v>273</v>
      </c>
      <c r="O30" s="38" t="s">
        <v>271</v>
      </c>
      <c r="P30" s="40">
        <v>2</v>
      </c>
      <c r="Q30" s="35" t="str">
        <f>VLOOKUP(P30,Key!$E$2:$F$9,2,FALSE)</f>
        <v>Work</v>
      </c>
      <c r="R30" s="38" t="s">
        <v>308</v>
      </c>
      <c r="S30" s="33" t="s">
        <v>283</v>
      </c>
      <c r="T30" s="38"/>
      <c r="U30" s="33">
        <v>4</v>
      </c>
      <c r="V30" s="35" t="str">
        <f>VLOOKUP(U30,Key!$E$2:$F$9,2,FALSE)</f>
        <v>Commercial</v>
      </c>
      <c r="W30" s="35" t="str">
        <f>Q30&amp;"-"&amp;V30</f>
        <v>Work-Commercial</v>
      </c>
      <c r="X30" s="33">
        <v>50000</v>
      </c>
      <c r="Y30" s="39">
        <v>57</v>
      </c>
      <c r="Z30" s="39">
        <v>1.5</v>
      </c>
      <c r="AA30" s="33">
        <v>6</v>
      </c>
      <c r="AB30" s="35" t="str">
        <f>VLOOKUP(AA30,Key!$C$20:$D$29,2,FALSE)</f>
        <v>Businessman</v>
      </c>
      <c r="AC30" s="33">
        <v>3</v>
      </c>
      <c r="AD30" s="35" t="str">
        <f>VLOOKUP(AC30,Key!$E$20:$F$24,2,FALSE)</f>
        <v>500,000-750,000</v>
      </c>
      <c r="AE30" s="33">
        <v>1</v>
      </c>
      <c r="AF30" s="39">
        <v>1</v>
      </c>
      <c r="AG30" s="39">
        <v>1</v>
      </c>
      <c r="AH30" s="39">
        <v>1</v>
      </c>
      <c r="AI30" s="39">
        <v>1</v>
      </c>
      <c r="AJ30" s="40" t="s">
        <v>274</v>
      </c>
      <c r="AK30" s="41"/>
      <c r="AL30" s="25"/>
      <c r="AM30" s="25"/>
    </row>
    <row r="31" spans="2:39" x14ac:dyDescent="0.2">
      <c r="B31" s="50">
        <v>43701</v>
      </c>
      <c r="C31" s="36">
        <v>0.38472222222222219</v>
      </c>
      <c r="D31" s="36"/>
      <c r="E31" s="36" t="s">
        <v>267</v>
      </c>
      <c r="F31" s="38">
        <v>2</v>
      </c>
      <c r="G31" s="43" t="str">
        <f>VLOOKUP(F31,Key!$A$17:$B$21,2,FALSE)</f>
        <v>Road Vehicle</v>
      </c>
      <c r="H31" s="37">
        <v>1</v>
      </c>
      <c r="I31" s="44" t="str">
        <f>VLOOKUP(H31,Key!$A$2:$B$13,2,FALSE)</f>
        <v>Car</v>
      </c>
      <c r="J31" s="38" t="s">
        <v>268</v>
      </c>
      <c r="K31" s="38">
        <v>2</v>
      </c>
      <c r="L31" s="45" t="str">
        <f>VLOOKUP(K31,Key!$A$24:$B$29,2,FALSE)</f>
        <v>30-39</v>
      </c>
      <c r="M31" s="38" t="s">
        <v>275</v>
      </c>
      <c r="N31" s="33" t="s">
        <v>276</v>
      </c>
      <c r="O31" s="38" t="s">
        <v>271</v>
      </c>
      <c r="P31" s="40">
        <v>2</v>
      </c>
      <c r="Q31" s="35" t="str">
        <f>VLOOKUP(P31,Key!$E$2:$F$9,2,FALSE)</f>
        <v>Work</v>
      </c>
      <c r="R31" s="38" t="s">
        <v>272</v>
      </c>
      <c r="S31" s="33" t="s">
        <v>273</v>
      </c>
      <c r="T31" s="38"/>
      <c r="U31" s="33">
        <v>2</v>
      </c>
      <c r="V31" s="35" t="str">
        <f>VLOOKUP(U31,Key!$E$2:$F$9,2,FALSE)</f>
        <v>Work</v>
      </c>
      <c r="W31" s="35" t="str">
        <f>Q31&amp;"-"&amp;V31</f>
        <v>Work-Work</v>
      </c>
      <c r="X31" s="33">
        <v>40000</v>
      </c>
      <c r="Y31" s="39">
        <v>40</v>
      </c>
      <c r="Z31" s="39">
        <v>1</v>
      </c>
      <c r="AA31" s="33">
        <v>10</v>
      </c>
      <c r="AB31" s="35" t="str">
        <f>VLOOKUP(AA31,Key!$C$20:$D$29,2,FALSE)</f>
        <v>Other</v>
      </c>
      <c r="AC31" s="33">
        <v>2</v>
      </c>
      <c r="AD31" s="35" t="str">
        <f>VLOOKUP(AC31,Key!$E$20:$F$24,2,FALSE)</f>
        <v>300,000-500,000</v>
      </c>
      <c r="AE31" s="33">
        <v>1</v>
      </c>
      <c r="AF31" s="39">
        <v>1</v>
      </c>
      <c r="AG31" s="39">
        <v>2</v>
      </c>
      <c r="AH31" s="39">
        <v>1</v>
      </c>
      <c r="AI31" s="39">
        <v>1</v>
      </c>
      <c r="AJ31" s="40" t="s">
        <v>274</v>
      </c>
      <c r="AK31" s="41"/>
      <c r="AL31" s="25"/>
      <c r="AM31" s="25"/>
    </row>
    <row r="32" spans="2:39" x14ac:dyDescent="0.2">
      <c r="B32" s="50">
        <v>43701</v>
      </c>
      <c r="C32" s="36">
        <v>0.39374999999999999</v>
      </c>
      <c r="D32" s="36"/>
      <c r="E32" s="36" t="s">
        <v>267</v>
      </c>
      <c r="F32" s="38">
        <v>2</v>
      </c>
      <c r="G32" s="43" t="str">
        <f>VLOOKUP(F32,Key!$A$17:$B$21,2,FALSE)</f>
        <v>Road Vehicle</v>
      </c>
      <c r="H32" s="37">
        <v>1</v>
      </c>
      <c r="I32" s="44" t="str">
        <f>VLOOKUP(H32,Key!$A$2:$B$13,2,FALSE)</f>
        <v>Car</v>
      </c>
      <c r="J32" s="38" t="s">
        <v>268</v>
      </c>
      <c r="K32" s="38">
        <v>2</v>
      </c>
      <c r="L32" s="45" t="str">
        <f>VLOOKUP(K32,Key!$A$24:$B$29,2,FALSE)</f>
        <v>30-39</v>
      </c>
      <c r="M32" s="38" t="s">
        <v>294</v>
      </c>
      <c r="N32" s="33" t="s">
        <v>273</v>
      </c>
      <c r="O32" s="38" t="s">
        <v>271</v>
      </c>
      <c r="P32" s="40">
        <v>1</v>
      </c>
      <c r="Q32" s="35" t="str">
        <f>VLOOKUP(P32,Key!$E$2:$F$9,2,FALSE)</f>
        <v>Home</v>
      </c>
      <c r="R32" s="38" t="s">
        <v>272</v>
      </c>
      <c r="S32" s="33" t="s">
        <v>273</v>
      </c>
      <c r="T32" s="38"/>
      <c r="U32" s="33">
        <v>4</v>
      </c>
      <c r="V32" s="35" t="str">
        <f>VLOOKUP(U32,Key!$E$2:$F$9,2,FALSE)</f>
        <v>Commercial</v>
      </c>
      <c r="W32" s="35" t="str">
        <f>Q32&amp;"-"&amp;V32</f>
        <v>Home-Commercial</v>
      </c>
      <c r="X32" s="33">
        <v>20000</v>
      </c>
      <c r="Y32" s="39">
        <v>20</v>
      </c>
      <c r="Z32" s="39">
        <v>15</v>
      </c>
      <c r="AA32" s="33">
        <v>6</v>
      </c>
      <c r="AB32" s="35" t="str">
        <f>VLOOKUP(AA32,Key!$C$20:$D$29,2,FALSE)</f>
        <v>Businessman</v>
      </c>
      <c r="AC32" s="33">
        <v>3</v>
      </c>
      <c r="AD32" s="35" t="str">
        <f>VLOOKUP(AC32,Key!$E$20:$F$24,2,FALSE)</f>
        <v>500,000-750,000</v>
      </c>
      <c r="AE32" s="33">
        <v>1</v>
      </c>
      <c r="AF32" s="39">
        <v>1</v>
      </c>
      <c r="AG32" s="39">
        <v>2</v>
      </c>
      <c r="AH32" s="39">
        <v>1</v>
      </c>
      <c r="AI32" s="39">
        <v>1</v>
      </c>
      <c r="AJ32" s="40" t="s">
        <v>274</v>
      </c>
      <c r="AK32" s="41"/>
      <c r="AL32" s="25"/>
      <c r="AM32" s="25"/>
    </row>
    <row r="33" spans="2:39" x14ac:dyDescent="0.2">
      <c r="B33" s="50">
        <v>43701</v>
      </c>
      <c r="C33" s="36">
        <v>0.38958333333333334</v>
      </c>
      <c r="D33" s="36"/>
      <c r="E33" s="36" t="s">
        <v>267</v>
      </c>
      <c r="F33" s="38">
        <v>2</v>
      </c>
      <c r="G33" s="43" t="str">
        <f>VLOOKUP(F33,Key!$A$17:$B$21,2,FALSE)</f>
        <v>Road Vehicle</v>
      </c>
      <c r="H33" s="37">
        <v>1</v>
      </c>
      <c r="I33" s="44" t="str">
        <f>VLOOKUP(H33,Key!$A$2:$B$13,2,FALSE)</f>
        <v>Car</v>
      </c>
      <c r="J33" s="38" t="s">
        <v>268</v>
      </c>
      <c r="K33" s="38">
        <v>2</v>
      </c>
      <c r="L33" s="45" t="str">
        <f>VLOOKUP(K33,Key!$A$24:$B$29,2,FALSE)</f>
        <v>30-39</v>
      </c>
      <c r="M33" s="38" t="s">
        <v>295</v>
      </c>
      <c r="N33" s="33" t="s">
        <v>296</v>
      </c>
      <c r="O33" s="38" t="s">
        <v>271</v>
      </c>
      <c r="P33" s="40">
        <v>4</v>
      </c>
      <c r="Q33" s="35" t="str">
        <f>VLOOKUP(P33,Key!$E$2:$F$9,2,FALSE)</f>
        <v>Commercial</v>
      </c>
      <c r="R33" s="38" t="s">
        <v>272</v>
      </c>
      <c r="S33" s="33" t="s">
        <v>273</v>
      </c>
      <c r="T33" s="38"/>
      <c r="U33" s="33">
        <v>4</v>
      </c>
      <c r="V33" s="35" t="str">
        <f>VLOOKUP(U33,Key!$E$2:$F$9,2,FALSE)</f>
        <v>Commercial</v>
      </c>
      <c r="W33" s="35" t="str">
        <f>Q33&amp;"-"&amp;V33</f>
        <v>Commercial-Commercial</v>
      </c>
      <c r="X33" s="33">
        <v>40000</v>
      </c>
      <c r="Y33" s="39">
        <v>68</v>
      </c>
      <c r="Z33" s="39">
        <v>2.5</v>
      </c>
      <c r="AA33" s="33">
        <v>10</v>
      </c>
      <c r="AB33" s="35" t="str">
        <f>VLOOKUP(AA33,Key!$C$20:$D$29,2,FALSE)</f>
        <v>Other</v>
      </c>
      <c r="AC33" s="33">
        <v>2</v>
      </c>
      <c r="AD33" s="35" t="str">
        <f>VLOOKUP(AC33,Key!$E$20:$F$24,2,FALSE)</f>
        <v>300,000-500,000</v>
      </c>
      <c r="AE33" s="33">
        <v>1</v>
      </c>
      <c r="AF33" s="39">
        <v>1</v>
      </c>
      <c r="AG33" s="39">
        <v>1</v>
      </c>
      <c r="AH33" s="39">
        <v>1</v>
      </c>
      <c r="AI33" s="39">
        <v>1</v>
      </c>
      <c r="AJ33" s="40" t="s">
        <v>274</v>
      </c>
      <c r="AK33" s="41">
        <v>1000</v>
      </c>
      <c r="AL33" s="25"/>
      <c r="AM33" s="25"/>
    </row>
    <row r="34" spans="2:39" x14ac:dyDescent="0.2">
      <c r="B34" s="50">
        <v>43701</v>
      </c>
      <c r="C34" s="36">
        <v>0.52361111111111114</v>
      </c>
      <c r="D34" s="36"/>
      <c r="E34" s="36" t="s">
        <v>267</v>
      </c>
      <c r="F34" s="38">
        <v>2</v>
      </c>
      <c r="G34" s="43" t="str">
        <f>VLOOKUP(F34,Key!$A$17:$B$21,2,FALSE)</f>
        <v>Road Vehicle</v>
      </c>
      <c r="H34" s="37">
        <v>1</v>
      </c>
      <c r="I34" s="44" t="str">
        <f>VLOOKUP(H34,Key!$A$2:$B$13,2,FALSE)</f>
        <v>Car</v>
      </c>
      <c r="J34" s="38" t="s">
        <v>268</v>
      </c>
      <c r="K34" s="38">
        <v>2</v>
      </c>
      <c r="L34" s="45" t="str">
        <f>VLOOKUP(K34,Key!$A$24:$B$29,2,FALSE)</f>
        <v>30-39</v>
      </c>
      <c r="M34" s="38" t="s">
        <v>294</v>
      </c>
      <c r="N34" s="33" t="s">
        <v>273</v>
      </c>
      <c r="O34" s="38" t="s">
        <v>271</v>
      </c>
      <c r="P34" s="40">
        <v>1</v>
      </c>
      <c r="Q34" s="35" t="str">
        <f>VLOOKUP(P34,Key!$E$2:$F$9,2,FALSE)</f>
        <v>Home</v>
      </c>
      <c r="R34" s="38" t="s">
        <v>272</v>
      </c>
      <c r="S34" s="33" t="s">
        <v>273</v>
      </c>
      <c r="T34" s="38"/>
      <c r="U34" s="33">
        <v>6</v>
      </c>
      <c r="V34" s="35" t="str">
        <f>VLOOKUP(U34,Key!$E$2:$F$9,2,FALSE)</f>
        <v>Leisure/Social</v>
      </c>
      <c r="W34" s="35" t="str">
        <f>Q34&amp;"-"&amp;V34</f>
        <v>Home-Leisure/Social</v>
      </c>
      <c r="X34" s="33">
        <v>25000</v>
      </c>
      <c r="Y34" s="39">
        <v>20</v>
      </c>
      <c r="Z34" s="39">
        <v>0.4</v>
      </c>
      <c r="AA34" s="33">
        <v>8</v>
      </c>
      <c r="AB34" s="35" t="str">
        <f>VLOOKUP(AA34,Key!$C$20:$D$29,2,FALSE)</f>
        <v>Student</v>
      </c>
      <c r="AC34" s="33">
        <v>1</v>
      </c>
      <c r="AD34" s="35" t="str">
        <f>VLOOKUP(AC34,Key!$E$20:$F$24,2,FALSE)</f>
        <v>&lt;300,000</v>
      </c>
      <c r="AE34" s="33">
        <v>1</v>
      </c>
      <c r="AF34" s="39">
        <v>1</v>
      </c>
      <c r="AG34" s="39">
        <v>2</v>
      </c>
      <c r="AH34" s="39">
        <v>1</v>
      </c>
      <c r="AI34" s="39">
        <v>2</v>
      </c>
      <c r="AJ34" s="40" t="s">
        <v>274</v>
      </c>
      <c r="AK34" s="41">
        <v>500</v>
      </c>
      <c r="AL34" s="25"/>
      <c r="AM34" s="25"/>
    </row>
    <row r="35" spans="2:39" x14ac:dyDescent="0.2">
      <c r="B35" s="50">
        <v>43701</v>
      </c>
      <c r="C35" s="36">
        <v>0.33611111111111108</v>
      </c>
      <c r="D35" s="36"/>
      <c r="E35" s="36" t="s">
        <v>267</v>
      </c>
      <c r="F35" s="38">
        <v>2</v>
      </c>
      <c r="G35" s="43" t="str">
        <f>VLOOKUP(F35,Key!$A$17:$B$21,2,FALSE)</f>
        <v>Road Vehicle</v>
      </c>
      <c r="H35" s="37">
        <v>1</v>
      </c>
      <c r="I35" s="44" t="str">
        <f>VLOOKUP(H35,Key!$A$2:$B$13,2,FALSE)</f>
        <v>Car</v>
      </c>
      <c r="J35" s="38" t="s">
        <v>268</v>
      </c>
      <c r="K35" s="38">
        <v>2</v>
      </c>
      <c r="L35" s="45" t="str">
        <f>VLOOKUP(K35,Key!$A$24:$B$29,2,FALSE)</f>
        <v>30-39</v>
      </c>
      <c r="M35" s="38" t="s">
        <v>292</v>
      </c>
      <c r="N35" s="33" t="s">
        <v>273</v>
      </c>
      <c r="O35" s="38" t="s">
        <v>271</v>
      </c>
      <c r="P35" s="40">
        <v>1</v>
      </c>
      <c r="Q35" s="35" t="str">
        <f>VLOOKUP(P35,Key!$E$2:$F$9,2,FALSE)</f>
        <v>Home</v>
      </c>
      <c r="R35" s="38" t="s">
        <v>272</v>
      </c>
      <c r="S35" s="33" t="s">
        <v>273</v>
      </c>
      <c r="T35" s="38"/>
      <c r="U35" s="33">
        <v>2</v>
      </c>
      <c r="V35" s="35" t="str">
        <f>VLOOKUP(U35,Key!$E$2:$F$9,2,FALSE)</f>
        <v>Work</v>
      </c>
      <c r="W35" s="35" t="str">
        <f>Q35&amp;"-"&amp;V35</f>
        <v>Home-Work</v>
      </c>
      <c r="X35" s="33">
        <v>30000</v>
      </c>
      <c r="Y35" s="39">
        <v>50</v>
      </c>
      <c r="Z35" s="39">
        <v>1</v>
      </c>
      <c r="AA35" s="33">
        <v>7</v>
      </c>
      <c r="AB35" s="35" t="str">
        <f>VLOOKUP(AA35,Key!$C$20:$D$29,2,FALSE)</f>
        <v>Farmer</v>
      </c>
      <c r="AC35" s="33">
        <v>3</v>
      </c>
      <c r="AD35" s="35" t="str">
        <f>VLOOKUP(AC35,Key!$E$20:$F$24,2,FALSE)</f>
        <v>500,000-750,000</v>
      </c>
      <c r="AE35" s="33">
        <v>1</v>
      </c>
      <c r="AF35" s="39">
        <v>1</v>
      </c>
      <c r="AG35" s="39">
        <v>1</v>
      </c>
      <c r="AH35" s="39">
        <v>1</v>
      </c>
      <c r="AI35" s="39">
        <v>1</v>
      </c>
      <c r="AJ35" s="40" t="s">
        <v>274</v>
      </c>
      <c r="AK35" s="41"/>
      <c r="AL35" s="25"/>
      <c r="AM35" s="25"/>
    </row>
    <row r="36" spans="2:39" x14ac:dyDescent="0.2">
      <c r="B36" s="50">
        <v>43701</v>
      </c>
      <c r="C36" s="36">
        <v>0.34375</v>
      </c>
      <c r="D36" s="36"/>
      <c r="E36" s="36" t="s">
        <v>267</v>
      </c>
      <c r="F36" s="38">
        <v>2</v>
      </c>
      <c r="G36" s="43" t="str">
        <f>VLOOKUP(F36,Key!$A$17:$B$21,2,FALSE)</f>
        <v>Road Vehicle</v>
      </c>
      <c r="H36" s="37">
        <v>1</v>
      </c>
      <c r="I36" s="44" t="str">
        <f>VLOOKUP(H36,Key!$A$2:$B$13,2,FALSE)</f>
        <v>Car</v>
      </c>
      <c r="J36" s="38" t="s">
        <v>268</v>
      </c>
      <c r="K36" s="38">
        <v>2</v>
      </c>
      <c r="L36" s="45" t="str">
        <f>VLOOKUP(K36,Key!$A$24:$B$29,2,FALSE)</f>
        <v>30-39</v>
      </c>
      <c r="M36" s="38" t="s">
        <v>313</v>
      </c>
      <c r="N36" s="33" t="s">
        <v>308</v>
      </c>
      <c r="O36" s="38" t="s">
        <v>271</v>
      </c>
      <c r="P36" s="40">
        <v>2</v>
      </c>
      <c r="Q36" s="35" t="str">
        <f>VLOOKUP(P36,Key!$E$2:$F$9,2,FALSE)</f>
        <v>Work</v>
      </c>
      <c r="R36" s="38" t="s">
        <v>272</v>
      </c>
      <c r="S36" s="33" t="s">
        <v>273</v>
      </c>
      <c r="T36" s="38"/>
      <c r="U36" s="33">
        <v>2</v>
      </c>
      <c r="V36" s="35" t="str">
        <f>VLOOKUP(U36,Key!$E$2:$F$9,2,FALSE)</f>
        <v>Work</v>
      </c>
      <c r="W36" s="35" t="str">
        <f>Q36&amp;"-"&amp;V36</f>
        <v>Work-Work</v>
      </c>
      <c r="X36" s="33">
        <v>30000</v>
      </c>
      <c r="Y36" s="39">
        <v>38</v>
      </c>
      <c r="Z36" s="39">
        <v>1</v>
      </c>
      <c r="AA36" s="33">
        <v>10</v>
      </c>
      <c r="AB36" s="35" t="str">
        <f>VLOOKUP(AA36,Key!$C$20:$D$29,2,FALSE)</f>
        <v>Other</v>
      </c>
      <c r="AC36" s="33">
        <v>2</v>
      </c>
      <c r="AD36" s="35" t="str">
        <f>VLOOKUP(AC36,Key!$E$20:$F$24,2,FALSE)</f>
        <v>300,000-500,000</v>
      </c>
      <c r="AE36" s="33">
        <v>1</v>
      </c>
      <c r="AF36" s="39">
        <v>1</v>
      </c>
      <c r="AG36" s="39">
        <v>1</v>
      </c>
      <c r="AH36" s="39">
        <v>1</v>
      </c>
      <c r="AI36" s="39">
        <v>1</v>
      </c>
      <c r="AJ36" s="40" t="s">
        <v>274</v>
      </c>
      <c r="AK36" s="41"/>
      <c r="AL36" s="25"/>
      <c r="AM36" s="25"/>
    </row>
    <row r="37" spans="2:39" x14ac:dyDescent="0.2">
      <c r="B37" s="50">
        <v>43701</v>
      </c>
      <c r="C37" s="36">
        <v>0.38541666666666669</v>
      </c>
      <c r="D37" s="36"/>
      <c r="E37" s="36" t="s">
        <v>267</v>
      </c>
      <c r="F37" s="38">
        <v>2</v>
      </c>
      <c r="G37" s="43" t="str">
        <f>VLOOKUP(F37,Key!$A$17:$B$21,2,FALSE)</f>
        <v>Road Vehicle</v>
      </c>
      <c r="H37" s="37">
        <v>1</v>
      </c>
      <c r="I37" s="44" t="str">
        <f>VLOOKUP(H37,Key!$A$2:$B$13,2,FALSE)</f>
        <v>Car</v>
      </c>
      <c r="J37" s="38" t="s">
        <v>268</v>
      </c>
      <c r="K37" s="38">
        <v>2</v>
      </c>
      <c r="L37" s="45" t="str">
        <f>VLOOKUP(K37,Key!$A$24:$B$29,2,FALSE)</f>
        <v>30-39</v>
      </c>
      <c r="M37" s="38" t="s">
        <v>284</v>
      </c>
      <c r="N37" s="33" t="s">
        <v>273</v>
      </c>
      <c r="O37" s="38" t="s">
        <v>271</v>
      </c>
      <c r="P37" s="40">
        <v>1</v>
      </c>
      <c r="Q37" s="35" t="str">
        <f>VLOOKUP(P37,Key!$E$2:$F$9,2,FALSE)</f>
        <v>Home</v>
      </c>
      <c r="R37" s="38" t="s">
        <v>303</v>
      </c>
      <c r="S37" s="33" t="s">
        <v>273</v>
      </c>
      <c r="T37" s="38"/>
      <c r="U37" s="33">
        <v>2</v>
      </c>
      <c r="V37" s="35" t="str">
        <f>VLOOKUP(U37,Key!$E$2:$F$9,2,FALSE)</f>
        <v>Work</v>
      </c>
      <c r="W37" s="35" t="str">
        <f>Q37&amp;"-"&amp;V37</f>
        <v>Home-Work</v>
      </c>
      <c r="X37" s="33">
        <v>20000</v>
      </c>
      <c r="Y37" s="39">
        <v>3</v>
      </c>
      <c r="Z37" s="39">
        <v>0.2</v>
      </c>
      <c r="AA37" s="33">
        <v>5</v>
      </c>
      <c r="AB37" s="35" t="str">
        <f>VLOOKUP(AA37,Key!$C$20:$D$29,2,FALSE)</f>
        <v>Professional</v>
      </c>
      <c r="AC37" s="33">
        <v>4</v>
      </c>
      <c r="AD37" s="35" t="str">
        <f>VLOOKUP(AC37,Key!$E$20:$F$24,2,FALSE)</f>
        <v>750,000-1,000,000</v>
      </c>
      <c r="AE37" s="33">
        <v>1</v>
      </c>
      <c r="AF37" s="39">
        <v>1</v>
      </c>
      <c r="AG37" s="39">
        <v>1</v>
      </c>
      <c r="AH37" s="39">
        <v>1</v>
      </c>
      <c r="AI37" s="39">
        <v>1</v>
      </c>
      <c r="AJ37" s="40" t="s">
        <v>274</v>
      </c>
      <c r="AK37" s="41">
        <v>2000</v>
      </c>
      <c r="AL37" s="25"/>
      <c r="AM37" s="25"/>
    </row>
    <row r="38" spans="2:39" x14ac:dyDescent="0.2">
      <c r="B38" s="50">
        <v>43701</v>
      </c>
      <c r="C38" s="36">
        <v>0.36736111111111108</v>
      </c>
      <c r="D38" s="36"/>
      <c r="E38" s="36" t="s">
        <v>267</v>
      </c>
      <c r="F38" s="38">
        <v>2</v>
      </c>
      <c r="G38" s="43" t="str">
        <f>VLOOKUP(F38,Key!$A$17:$B$21,2,FALSE)</f>
        <v>Road Vehicle</v>
      </c>
      <c r="H38" s="37">
        <v>1</v>
      </c>
      <c r="I38" s="44" t="str">
        <f>VLOOKUP(H38,Key!$A$2:$B$13,2,FALSE)</f>
        <v>Car</v>
      </c>
      <c r="J38" s="38" t="s">
        <v>268</v>
      </c>
      <c r="K38" s="38">
        <v>2</v>
      </c>
      <c r="L38" s="45" t="str">
        <f>VLOOKUP(K38,Key!$A$24:$B$29,2,FALSE)</f>
        <v>30-39</v>
      </c>
      <c r="M38" s="38" t="s">
        <v>280</v>
      </c>
      <c r="N38" s="33" t="s">
        <v>281</v>
      </c>
      <c r="O38" s="38" t="s">
        <v>271</v>
      </c>
      <c r="P38" s="40">
        <v>1</v>
      </c>
      <c r="Q38" s="35" t="str">
        <f>VLOOKUP(P38,Key!$E$2:$F$9,2,FALSE)</f>
        <v>Home</v>
      </c>
      <c r="R38" s="38" t="s">
        <v>272</v>
      </c>
      <c r="S38" s="33" t="s">
        <v>273</v>
      </c>
      <c r="T38" s="38"/>
      <c r="U38" s="33">
        <v>6</v>
      </c>
      <c r="V38" s="35" t="str">
        <f>VLOOKUP(U38,Key!$E$2:$F$9,2,FALSE)</f>
        <v>Leisure/Social</v>
      </c>
      <c r="W38" s="35" t="str">
        <f>Q38&amp;"-"&amp;V38</f>
        <v>Home-Leisure/Social</v>
      </c>
      <c r="X38" s="33">
        <v>20000</v>
      </c>
      <c r="Y38" s="39">
        <v>30</v>
      </c>
      <c r="Z38" s="39">
        <v>0.2</v>
      </c>
      <c r="AA38" s="33">
        <v>6</v>
      </c>
      <c r="AB38" s="35" t="str">
        <f>VLOOKUP(AA38,Key!$C$20:$D$29,2,FALSE)</f>
        <v>Businessman</v>
      </c>
      <c r="AC38" s="33">
        <v>2</v>
      </c>
      <c r="AD38" s="35" t="str">
        <f>VLOOKUP(AC38,Key!$E$20:$F$24,2,FALSE)</f>
        <v>300,000-500,000</v>
      </c>
      <c r="AE38" s="33">
        <v>1</v>
      </c>
      <c r="AF38" s="39">
        <v>1</v>
      </c>
      <c r="AG38" s="39">
        <v>2</v>
      </c>
      <c r="AH38" s="39">
        <v>1</v>
      </c>
      <c r="AI38" s="39">
        <v>2</v>
      </c>
      <c r="AJ38" s="40" t="s">
        <v>274</v>
      </c>
      <c r="AK38" s="41">
        <v>1000</v>
      </c>
      <c r="AL38" s="25"/>
      <c r="AM38" s="25"/>
    </row>
    <row r="39" spans="2:39" x14ac:dyDescent="0.2">
      <c r="B39" s="50">
        <v>43701</v>
      </c>
      <c r="C39" s="36">
        <v>0.55486111111111114</v>
      </c>
      <c r="D39" s="36"/>
      <c r="E39" s="36" t="s">
        <v>267</v>
      </c>
      <c r="F39" s="38">
        <v>2</v>
      </c>
      <c r="G39" s="43" t="str">
        <f>VLOOKUP(F39,Key!$A$17:$B$21,2,FALSE)</f>
        <v>Road Vehicle</v>
      </c>
      <c r="H39" s="37">
        <v>1</v>
      </c>
      <c r="I39" s="44" t="str">
        <f>VLOOKUP(H39,Key!$A$2:$B$13,2,FALSE)</f>
        <v>Car</v>
      </c>
      <c r="J39" s="38" t="s">
        <v>268</v>
      </c>
      <c r="K39" s="38">
        <v>2</v>
      </c>
      <c r="L39" s="45" t="str">
        <f>VLOOKUP(K39,Key!$A$24:$B$29,2,FALSE)</f>
        <v>30-39</v>
      </c>
      <c r="M39" s="38" t="s">
        <v>298</v>
      </c>
      <c r="N39" s="33" t="s">
        <v>299</v>
      </c>
      <c r="O39" s="38" t="s">
        <v>271</v>
      </c>
      <c r="P39" s="40">
        <v>2</v>
      </c>
      <c r="Q39" s="35" t="str">
        <f>VLOOKUP(P39,Key!$E$2:$F$9,2,FALSE)</f>
        <v>Work</v>
      </c>
      <c r="R39" s="38" t="s">
        <v>294</v>
      </c>
      <c r="S39" s="33" t="s">
        <v>273</v>
      </c>
      <c r="T39" s="38"/>
      <c r="U39" s="33">
        <v>6</v>
      </c>
      <c r="V39" s="35" t="str">
        <f>VLOOKUP(U39,Key!$E$2:$F$9,2,FALSE)</f>
        <v>Leisure/Social</v>
      </c>
      <c r="W39" s="35" t="str">
        <f>Q39&amp;"-"&amp;V39</f>
        <v>Work-Leisure/Social</v>
      </c>
      <c r="X39" s="33">
        <v>200000</v>
      </c>
      <c r="Y39" s="39">
        <v>400</v>
      </c>
      <c r="Z39" s="39">
        <v>7</v>
      </c>
      <c r="AA39" s="33">
        <v>6</v>
      </c>
      <c r="AB39" s="35" t="str">
        <f>VLOOKUP(AA39,Key!$C$20:$D$29,2,FALSE)</f>
        <v>Businessman</v>
      </c>
      <c r="AC39" s="33">
        <v>4</v>
      </c>
      <c r="AD39" s="35" t="str">
        <f>VLOOKUP(AC39,Key!$E$20:$F$24,2,FALSE)</f>
        <v>750,000-1,000,000</v>
      </c>
      <c r="AE39" s="33">
        <v>1</v>
      </c>
      <c r="AF39" s="39">
        <v>1</v>
      </c>
      <c r="AG39" s="39">
        <v>1</v>
      </c>
      <c r="AH39" s="39">
        <v>2</v>
      </c>
      <c r="AI39" s="39">
        <v>1</v>
      </c>
      <c r="AJ39" s="40" t="s">
        <v>274</v>
      </c>
      <c r="AK39" s="41">
        <v>3000</v>
      </c>
      <c r="AL39" s="25"/>
      <c r="AM39" s="25"/>
    </row>
    <row r="40" spans="2:39" x14ac:dyDescent="0.2">
      <c r="B40" s="50">
        <v>43701</v>
      </c>
      <c r="C40" s="36">
        <v>0.42986111111111108</v>
      </c>
      <c r="D40" s="36"/>
      <c r="E40" s="36" t="s">
        <v>267</v>
      </c>
      <c r="F40" s="38">
        <v>2</v>
      </c>
      <c r="G40" s="43" t="str">
        <f>VLOOKUP(F40,Key!$A$17:$B$21,2,FALSE)</f>
        <v>Road Vehicle</v>
      </c>
      <c r="H40" s="37">
        <v>1</v>
      </c>
      <c r="I40" s="44" t="str">
        <f>VLOOKUP(H40,Key!$A$2:$B$13,2,FALSE)</f>
        <v>Car</v>
      </c>
      <c r="J40" s="38" t="s">
        <v>268</v>
      </c>
      <c r="K40" s="38">
        <v>2</v>
      </c>
      <c r="L40" s="45" t="str">
        <f>VLOOKUP(K40,Key!$A$24:$B$29,2,FALSE)</f>
        <v>30-39</v>
      </c>
      <c r="M40" s="38" t="s">
        <v>280</v>
      </c>
      <c r="N40" s="33" t="s">
        <v>281</v>
      </c>
      <c r="O40" s="38" t="s">
        <v>271</v>
      </c>
      <c r="P40" s="40">
        <v>1</v>
      </c>
      <c r="Q40" s="35" t="str">
        <f>VLOOKUP(P40,Key!$E$2:$F$9,2,FALSE)</f>
        <v>Home</v>
      </c>
      <c r="R40" s="38" t="s">
        <v>309</v>
      </c>
      <c r="S40" s="33" t="s">
        <v>273</v>
      </c>
      <c r="T40" s="38"/>
      <c r="U40" s="33">
        <v>6</v>
      </c>
      <c r="V40" s="35" t="str">
        <f>VLOOKUP(U40,Key!$E$2:$F$9,2,FALSE)</f>
        <v>Leisure/Social</v>
      </c>
      <c r="W40" s="35" t="str">
        <f>Q40&amp;"-"&amp;V40</f>
        <v>Home-Leisure/Social</v>
      </c>
      <c r="X40" s="33">
        <v>20000</v>
      </c>
      <c r="Y40" s="39">
        <v>15</v>
      </c>
      <c r="Z40" s="39">
        <v>0.3</v>
      </c>
      <c r="AA40" s="33">
        <v>8</v>
      </c>
      <c r="AB40" s="35" t="str">
        <f>VLOOKUP(AA40,Key!$C$20:$D$29,2,FALSE)</f>
        <v>Student</v>
      </c>
      <c r="AC40" s="33">
        <v>1</v>
      </c>
      <c r="AD40" s="35" t="str">
        <f>VLOOKUP(AC40,Key!$E$20:$F$24,2,FALSE)</f>
        <v>&lt;300,000</v>
      </c>
      <c r="AE40" s="33">
        <v>1</v>
      </c>
      <c r="AF40" s="39">
        <v>1</v>
      </c>
      <c r="AG40" s="39">
        <v>2</v>
      </c>
      <c r="AH40" s="39">
        <v>1</v>
      </c>
      <c r="AI40" s="39">
        <v>1</v>
      </c>
      <c r="AJ40" s="40" t="s">
        <v>274</v>
      </c>
      <c r="AK40" s="41">
        <v>1000</v>
      </c>
      <c r="AL40" s="25"/>
      <c r="AM40" s="25"/>
    </row>
    <row r="41" spans="2:39" x14ac:dyDescent="0.2">
      <c r="B41" s="50">
        <v>43701</v>
      </c>
      <c r="C41" s="36">
        <v>0.46875</v>
      </c>
      <c r="D41" s="36"/>
      <c r="E41" s="36" t="s">
        <v>267</v>
      </c>
      <c r="F41" s="38">
        <v>2</v>
      </c>
      <c r="G41" s="43" t="str">
        <f>VLOOKUP(F41,Key!$A$17:$B$21,2,FALSE)</f>
        <v>Road Vehicle</v>
      </c>
      <c r="H41" s="37">
        <v>1</v>
      </c>
      <c r="I41" s="44" t="str">
        <f>VLOOKUP(H41,Key!$A$2:$B$13,2,FALSE)</f>
        <v>Car</v>
      </c>
      <c r="J41" s="38" t="s">
        <v>268</v>
      </c>
      <c r="K41" s="38">
        <v>2</v>
      </c>
      <c r="L41" s="45" t="str">
        <f>VLOOKUP(K41,Key!$A$24:$B$29,2,FALSE)</f>
        <v>30-39</v>
      </c>
      <c r="M41" s="38" t="s">
        <v>300</v>
      </c>
      <c r="N41" s="33" t="s">
        <v>273</v>
      </c>
      <c r="O41" s="38" t="s">
        <v>271</v>
      </c>
      <c r="P41" s="40">
        <v>2</v>
      </c>
      <c r="Q41" s="35" t="str">
        <f>VLOOKUP(P41,Key!$E$2:$F$9,2,FALSE)</f>
        <v>Work</v>
      </c>
      <c r="R41" s="38" t="s">
        <v>272</v>
      </c>
      <c r="S41" s="33" t="s">
        <v>273</v>
      </c>
      <c r="T41" s="38"/>
      <c r="U41" s="33">
        <v>2</v>
      </c>
      <c r="V41" s="35" t="str">
        <f>VLOOKUP(U41,Key!$E$2:$F$9,2,FALSE)</f>
        <v>Work</v>
      </c>
      <c r="W41" s="35" t="str">
        <f>Q41&amp;"-"&amp;V41</f>
        <v>Work-Work</v>
      </c>
      <c r="X41" s="33">
        <v>35000</v>
      </c>
      <c r="Y41" s="39">
        <v>50</v>
      </c>
      <c r="Z41" s="39">
        <v>1.5</v>
      </c>
      <c r="AA41" s="33">
        <v>10</v>
      </c>
      <c r="AB41" s="35" t="str">
        <f>VLOOKUP(AA41,Key!$C$20:$D$29,2,FALSE)</f>
        <v>Other</v>
      </c>
      <c r="AC41" s="33">
        <v>2</v>
      </c>
      <c r="AD41" s="35" t="str">
        <f>VLOOKUP(AC41,Key!$E$20:$F$24,2,FALSE)</f>
        <v>300,000-500,000</v>
      </c>
      <c r="AE41" s="33">
        <v>1</v>
      </c>
      <c r="AF41" s="39">
        <v>1</v>
      </c>
      <c r="AG41" s="39">
        <v>1</v>
      </c>
      <c r="AH41" s="39">
        <v>1</v>
      </c>
      <c r="AI41" s="39">
        <v>1</v>
      </c>
      <c r="AJ41" s="40" t="s">
        <v>274</v>
      </c>
      <c r="AK41" s="41">
        <v>2000</v>
      </c>
      <c r="AL41" s="25"/>
      <c r="AM41" s="25"/>
    </row>
    <row r="42" spans="2:39" x14ac:dyDescent="0.2">
      <c r="B42" s="50">
        <v>43699</v>
      </c>
      <c r="C42" s="36">
        <v>0.65416666666666667</v>
      </c>
      <c r="D42" s="36"/>
      <c r="E42" s="36" t="s">
        <v>267</v>
      </c>
      <c r="F42" s="38">
        <v>2</v>
      </c>
      <c r="G42" s="43" t="str">
        <f>VLOOKUP(F42,Key!$A$17:$B$21,2,FALSE)</f>
        <v>Road Vehicle</v>
      </c>
      <c r="H42" s="37">
        <v>6</v>
      </c>
      <c r="I42" s="44" t="str">
        <f>VLOOKUP(H42,Key!$A$2:$B$13,2,FALSE)</f>
        <v>Large Bus</v>
      </c>
      <c r="J42" s="38" t="s">
        <v>268</v>
      </c>
      <c r="K42" s="38">
        <v>2</v>
      </c>
      <c r="L42" s="45" t="str">
        <f>VLOOKUP(K42,Key!$A$24:$B$29,2,FALSE)</f>
        <v>30-39</v>
      </c>
      <c r="M42" s="38" t="s">
        <v>272</v>
      </c>
      <c r="N42" s="33" t="s">
        <v>273</v>
      </c>
      <c r="O42" s="38" t="s">
        <v>271</v>
      </c>
      <c r="P42" s="40">
        <v>2</v>
      </c>
      <c r="Q42" s="35" t="str">
        <f>VLOOKUP(P42,Key!$E$2:$F$9,2,FALSE)</f>
        <v>Work</v>
      </c>
      <c r="R42" s="38" t="s">
        <v>298</v>
      </c>
      <c r="S42" s="33" t="s">
        <v>299</v>
      </c>
      <c r="T42" s="38" t="s">
        <v>271</v>
      </c>
      <c r="U42" s="33">
        <v>2</v>
      </c>
      <c r="V42" s="35" t="str">
        <f>VLOOKUP(U42,Key!$E$2:$F$9,2,FALSE)</f>
        <v>Work</v>
      </c>
      <c r="W42" s="35" t="str">
        <f>Q42&amp;"-"&amp;V42</f>
        <v>Work-Work</v>
      </c>
      <c r="X42" s="33">
        <v>200000</v>
      </c>
      <c r="Y42" s="39">
        <v>300</v>
      </c>
      <c r="Z42" s="39">
        <v>5</v>
      </c>
      <c r="AA42" s="33">
        <v>10</v>
      </c>
      <c r="AB42" s="35" t="str">
        <f>VLOOKUP(AA42,Key!$C$20:$D$29,2,FALSE)</f>
        <v>Other</v>
      </c>
      <c r="AC42" s="33">
        <v>3</v>
      </c>
      <c r="AD42" s="35" t="str">
        <f>VLOOKUP(AC42,Key!$E$20:$F$24,2,FALSE)</f>
        <v>500,000-750,000</v>
      </c>
      <c r="AE42" s="33">
        <v>1</v>
      </c>
      <c r="AF42" s="39">
        <v>1</v>
      </c>
      <c r="AG42" s="39">
        <v>2</v>
      </c>
      <c r="AH42" s="39">
        <v>1</v>
      </c>
      <c r="AI42" s="39">
        <v>1</v>
      </c>
      <c r="AJ42" s="40" t="s">
        <v>274</v>
      </c>
      <c r="AK42" s="41">
        <v>2000</v>
      </c>
      <c r="AL42" s="25"/>
      <c r="AM42" s="25"/>
    </row>
    <row r="43" spans="2:39" x14ac:dyDescent="0.2">
      <c r="B43" s="50">
        <v>43699</v>
      </c>
      <c r="C43" s="36">
        <v>0.67361111111111116</v>
      </c>
      <c r="D43" s="36"/>
      <c r="E43" s="36" t="s">
        <v>267</v>
      </c>
      <c r="F43" s="38">
        <v>2</v>
      </c>
      <c r="G43" s="43" t="str">
        <f>VLOOKUP(F43,Key!$A$17:$B$21,2,FALSE)</f>
        <v>Road Vehicle</v>
      </c>
      <c r="H43" s="37">
        <v>6</v>
      </c>
      <c r="I43" s="44" t="str">
        <f>VLOOKUP(H43,Key!$A$2:$B$13,2,FALSE)</f>
        <v>Large Bus</v>
      </c>
      <c r="J43" s="38" t="s">
        <v>268</v>
      </c>
      <c r="K43" s="38">
        <v>2</v>
      </c>
      <c r="L43" s="45" t="str">
        <f>VLOOKUP(K43,Key!$A$24:$B$29,2,FALSE)</f>
        <v>30-39</v>
      </c>
      <c r="M43" s="38" t="s">
        <v>272</v>
      </c>
      <c r="N43" s="33" t="s">
        <v>273</v>
      </c>
      <c r="O43" s="38" t="s">
        <v>271</v>
      </c>
      <c r="P43" s="40">
        <v>2</v>
      </c>
      <c r="Q43" s="35" t="str">
        <f>VLOOKUP(P43,Key!$E$2:$F$9,2,FALSE)</f>
        <v>Work</v>
      </c>
      <c r="R43" s="38" t="s">
        <v>298</v>
      </c>
      <c r="S43" s="33" t="s">
        <v>299</v>
      </c>
      <c r="T43" s="38" t="s">
        <v>271</v>
      </c>
      <c r="U43" s="33">
        <v>2</v>
      </c>
      <c r="V43" s="35" t="str">
        <f>VLOOKUP(U43,Key!$E$2:$F$9,2,FALSE)</f>
        <v>Work</v>
      </c>
      <c r="W43" s="35" t="str">
        <f>Q43&amp;"-"&amp;V43</f>
        <v>Work-Work</v>
      </c>
      <c r="X43" s="33">
        <v>400000</v>
      </c>
      <c r="Y43" s="39">
        <v>320</v>
      </c>
      <c r="Z43" s="39">
        <v>6</v>
      </c>
      <c r="AA43" s="33">
        <v>10</v>
      </c>
      <c r="AB43" s="35" t="str">
        <f>VLOOKUP(AA43,Key!$C$20:$D$29,2,FALSE)</f>
        <v>Other</v>
      </c>
      <c r="AC43" s="33">
        <v>3</v>
      </c>
      <c r="AD43" s="35" t="str">
        <f>VLOOKUP(AC43,Key!$E$20:$F$24,2,FALSE)</f>
        <v>500,000-750,000</v>
      </c>
      <c r="AE43" s="33">
        <v>1</v>
      </c>
      <c r="AF43" s="39">
        <v>2</v>
      </c>
      <c r="AG43" s="39">
        <v>2</v>
      </c>
      <c r="AH43" s="39">
        <v>2</v>
      </c>
      <c r="AI43" s="39">
        <v>2</v>
      </c>
      <c r="AJ43" s="40" t="s">
        <v>274</v>
      </c>
      <c r="AK43" s="41">
        <v>5000</v>
      </c>
      <c r="AL43" s="25"/>
      <c r="AM43" s="25"/>
    </row>
    <row r="44" spans="2:39" x14ac:dyDescent="0.2">
      <c r="B44" s="50">
        <v>43699</v>
      </c>
      <c r="C44" s="36">
        <v>0.64652777777777781</v>
      </c>
      <c r="D44" s="36"/>
      <c r="E44" s="36" t="s">
        <v>267</v>
      </c>
      <c r="F44" s="38">
        <v>2</v>
      </c>
      <c r="G44" s="43" t="str">
        <f>VLOOKUP(F44,Key!$A$17:$B$21,2,FALSE)</f>
        <v>Road Vehicle</v>
      </c>
      <c r="H44" s="37">
        <v>6</v>
      </c>
      <c r="I44" s="44" t="str">
        <f>VLOOKUP(H44,Key!$A$2:$B$13,2,FALSE)</f>
        <v>Large Bus</v>
      </c>
      <c r="J44" s="38" t="s">
        <v>268</v>
      </c>
      <c r="K44" s="38">
        <v>2</v>
      </c>
      <c r="L44" s="45" t="str">
        <f>VLOOKUP(K44,Key!$A$24:$B$29,2,FALSE)</f>
        <v>30-39</v>
      </c>
      <c r="M44" s="38" t="s">
        <v>277</v>
      </c>
      <c r="N44" s="33" t="s">
        <v>278</v>
      </c>
      <c r="O44" s="38" t="s">
        <v>271</v>
      </c>
      <c r="P44" s="40">
        <v>2</v>
      </c>
      <c r="Q44" s="35" t="str">
        <f>VLOOKUP(P44,Key!$E$2:$F$9,2,FALSE)</f>
        <v>Work</v>
      </c>
      <c r="R44" s="38" t="s">
        <v>272</v>
      </c>
      <c r="S44" s="33" t="s">
        <v>273</v>
      </c>
      <c r="T44" s="38" t="s">
        <v>271</v>
      </c>
      <c r="U44" s="33">
        <v>2</v>
      </c>
      <c r="V44" s="35" t="str">
        <f>VLOOKUP(U44,Key!$E$2:$F$9,2,FALSE)</f>
        <v>Work</v>
      </c>
      <c r="W44" s="35" t="str">
        <f>Q44&amp;"-"&amp;V44</f>
        <v>Work-Work</v>
      </c>
      <c r="X44" s="33">
        <v>140000</v>
      </c>
      <c r="Y44" s="39">
        <v>120</v>
      </c>
      <c r="Z44" s="39">
        <v>3</v>
      </c>
      <c r="AA44" s="33">
        <v>10</v>
      </c>
      <c r="AB44" s="35" t="str">
        <f>VLOOKUP(AA44,Key!$C$20:$D$29,2,FALSE)</f>
        <v>Other</v>
      </c>
      <c r="AC44" s="33">
        <v>3</v>
      </c>
      <c r="AD44" s="35" t="str">
        <f>VLOOKUP(AC44,Key!$E$20:$F$24,2,FALSE)</f>
        <v>500,000-750,000</v>
      </c>
      <c r="AE44" s="33">
        <v>1</v>
      </c>
      <c r="AF44" s="39">
        <v>1</v>
      </c>
      <c r="AG44" s="39">
        <v>2</v>
      </c>
      <c r="AH44" s="39">
        <v>1</v>
      </c>
      <c r="AI44" s="39">
        <v>2</v>
      </c>
      <c r="AJ44" s="40" t="s">
        <v>274</v>
      </c>
      <c r="AK44" s="41">
        <v>1000</v>
      </c>
      <c r="AL44" s="25"/>
      <c r="AM44" s="25"/>
    </row>
    <row r="45" spans="2:39" x14ac:dyDescent="0.2">
      <c r="B45" s="50">
        <v>43700</v>
      </c>
      <c r="C45" s="36">
        <v>0.59027777777777779</v>
      </c>
      <c r="D45" s="36"/>
      <c r="E45" s="36" t="s">
        <v>267</v>
      </c>
      <c r="F45" s="38">
        <v>2</v>
      </c>
      <c r="G45" s="43" t="str">
        <f>VLOOKUP(F45,Key!$A$17:$B$21,2,FALSE)</f>
        <v>Road Vehicle</v>
      </c>
      <c r="H45" s="37">
        <v>6</v>
      </c>
      <c r="I45" s="44" t="str">
        <f>VLOOKUP(H45,Key!$A$2:$B$13,2,FALSE)</f>
        <v>Large Bus</v>
      </c>
      <c r="J45" s="38" t="s">
        <v>268</v>
      </c>
      <c r="K45" s="38">
        <v>2</v>
      </c>
      <c r="L45" s="45" t="str">
        <f>VLOOKUP(K45,Key!$A$24:$B$29,2,FALSE)</f>
        <v>30-39</v>
      </c>
      <c r="M45" s="38" t="s">
        <v>277</v>
      </c>
      <c r="N45" s="33" t="s">
        <v>278</v>
      </c>
      <c r="O45" s="38" t="s">
        <v>271</v>
      </c>
      <c r="P45" s="40">
        <v>2</v>
      </c>
      <c r="Q45" s="35" t="str">
        <f>VLOOKUP(P45,Key!$E$2:$F$9,2,FALSE)</f>
        <v>Work</v>
      </c>
      <c r="R45" s="38" t="s">
        <v>272</v>
      </c>
      <c r="S45" s="33" t="s">
        <v>273</v>
      </c>
      <c r="T45" s="38"/>
      <c r="U45" s="33">
        <v>4</v>
      </c>
      <c r="V45" s="35" t="str">
        <f>VLOOKUP(U45,Key!$E$2:$F$9,2,FALSE)</f>
        <v>Commercial</v>
      </c>
      <c r="W45" s="35" t="str">
        <f>Q45&amp;"-"&amp;V45</f>
        <v>Work-Commercial</v>
      </c>
      <c r="X45" s="33">
        <v>100000</v>
      </c>
      <c r="Y45" s="39">
        <v>60</v>
      </c>
      <c r="Z45" s="39">
        <v>2</v>
      </c>
      <c r="AA45" s="33">
        <v>10</v>
      </c>
      <c r="AB45" s="35" t="str">
        <f>VLOOKUP(AA45,Key!$C$20:$D$29,2,FALSE)</f>
        <v>Other</v>
      </c>
      <c r="AC45" s="33">
        <v>3</v>
      </c>
      <c r="AD45" s="35" t="str">
        <f>VLOOKUP(AC45,Key!$E$20:$F$24,2,FALSE)</f>
        <v>500,000-750,000</v>
      </c>
      <c r="AE45" s="33">
        <v>2</v>
      </c>
      <c r="AF45" s="39">
        <v>1</v>
      </c>
      <c r="AG45" s="39">
        <v>1</v>
      </c>
      <c r="AH45" s="39">
        <v>2</v>
      </c>
      <c r="AI45" s="39">
        <v>1</v>
      </c>
      <c r="AJ45" s="40" t="s">
        <v>274</v>
      </c>
      <c r="AK45" s="41"/>
      <c r="AL45" s="25"/>
      <c r="AM45" s="25"/>
    </row>
    <row r="46" spans="2:39" x14ac:dyDescent="0.2">
      <c r="B46" s="50">
        <v>43700</v>
      </c>
      <c r="C46" s="36">
        <v>0.47222222222222227</v>
      </c>
      <c r="D46" s="36"/>
      <c r="E46" s="36" t="s">
        <v>267</v>
      </c>
      <c r="F46" s="38">
        <v>2</v>
      </c>
      <c r="G46" s="43" t="str">
        <f>VLOOKUP(F46,Key!$A$17:$B$21,2,FALSE)</f>
        <v>Road Vehicle</v>
      </c>
      <c r="H46" s="37">
        <v>6</v>
      </c>
      <c r="I46" s="44" t="str">
        <f>VLOOKUP(H46,Key!$A$2:$B$13,2,FALSE)</f>
        <v>Large Bus</v>
      </c>
      <c r="J46" s="38" t="s">
        <v>268</v>
      </c>
      <c r="K46" s="38">
        <v>2</v>
      </c>
      <c r="L46" s="45" t="str">
        <f>VLOOKUP(K46,Key!$A$24:$B$29,2,FALSE)</f>
        <v>30-39</v>
      </c>
      <c r="M46" s="38" t="s">
        <v>298</v>
      </c>
      <c r="N46" s="33" t="s">
        <v>299</v>
      </c>
      <c r="O46" s="38" t="s">
        <v>271</v>
      </c>
      <c r="P46" s="40">
        <v>4</v>
      </c>
      <c r="Q46" s="35" t="str">
        <f>VLOOKUP(P46,Key!$E$2:$F$9,2,FALSE)</f>
        <v>Commercial</v>
      </c>
      <c r="R46" s="38" t="s">
        <v>272</v>
      </c>
      <c r="S46" s="33" t="s">
        <v>273</v>
      </c>
      <c r="T46" s="38"/>
      <c r="U46" s="33">
        <v>4</v>
      </c>
      <c r="V46" s="35" t="str">
        <f>VLOOKUP(U46,Key!$E$2:$F$9,2,FALSE)</f>
        <v>Commercial</v>
      </c>
      <c r="W46" s="35" t="str">
        <f>Q46&amp;"-"&amp;V46</f>
        <v>Commercial-Commercial</v>
      </c>
      <c r="X46" s="33">
        <v>250000</v>
      </c>
      <c r="Y46" s="39">
        <v>400</v>
      </c>
      <c r="Z46" s="39">
        <v>7</v>
      </c>
      <c r="AA46" s="33">
        <v>10</v>
      </c>
      <c r="AB46" s="35" t="str">
        <f>VLOOKUP(AA46,Key!$C$20:$D$29,2,FALSE)</f>
        <v>Other</v>
      </c>
      <c r="AC46" s="33">
        <v>2</v>
      </c>
      <c r="AD46" s="35" t="str">
        <f>VLOOKUP(AC46,Key!$E$20:$F$24,2,FALSE)</f>
        <v>300,000-500,000</v>
      </c>
      <c r="AE46" s="33">
        <v>1</v>
      </c>
      <c r="AF46" s="39">
        <v>2</v>
      </c>
      <c r="AG46" s="39">
        <v>1</v>
      </c>
      <c r="AH46" s="39">
        <v>1</v>
      </c>
      <c r="AI46" s="39">
        <v>1</v>
      </c>
      <c r="AJ46" s="40" t="s">
        <v>274</v>
      </c>
      <c r="AK46" s="41"/>
      <c r="AL46" s="25"/>
      <c r="AM46" s="25"/>
    </row>
    <row r="47" spans="2:39" x14ac:dyDescent="0.2">
      <c r="B47" s="50">
        <v>43700</v>
      </c>
      <c r="C47" s="36">
        <v>0.43402777777777773</v>
      </c>
      <c r="D47" s="36"/>
      <c r="E47" s="36" t="s">
        <v>267</v>
      </c>
      <c r="F47" s="38">
        <v>2</v>
      </c>
      <c r="G47" s="43" t="str">
        <f>VLOOKUP(F47,Key!$A$17:$B$21,2,FALSE)</f>
        <v>Road Vehicle</v>
      </c>
      <c r="H47" s="37">
        <v>6</v>
      </c>
      <c r="I47" s="44" t="str">
        <f>VLOOKUP(H47,Key!$A$2:$B$13,2,FALSE)</f>
        <v>Large Bus</v>
      </c>
      <c r="J47" s="38" t="s">
        <v>268</v>
      </c>
      <c r="K47" s="38">
        <v>2</v>
      </c>
      <c r="L47" s="45" t="str">
        <f>VLOOKUP(K47,Key!$A$24:$B$29,2,FALSE)</f>
        <v>30-39</v>
      </c>
      <c r="M47" s="38" t="s">
        <v>272</v>
      </c>
      <c r="N47" s="33" t="s">
        <v>273</v>
      </c>
      <c r="O47" s="38" t="s">
        <v>271</v>
      </c>
      <c r="P47" s="40">
        <v>4</v>
      </c>
      <c r="Q47" s="35" t="s">
        <v>179</v>
      </c>
      <c r="R47" s="38" t="s">
        <v>298</v>
      </c>
      <c r="S47" s="33" t="s">
        <v>299</v>
      </c>
      <c r="T47" s="38"/>
      <c r="U47" s="33">
        <v>4</v>
      </c>
      <c r="V47" s="35" t="str">
        <f>VLOOKUP(U47,Key!$E$2:$F$9,2,FALSE)</f>
        <v>Commercial</v>
      </c>
      <c r="W47" s="35" t="str">
        <f>Q47&amp;"-"&amp;V47</f>
        <v>Commercial-Commercial</v>
      </c>
      <c r="X47" s="33">
        <v>400000</v>
      </c>
      <c r="Y47" s="39">
        <v>400</v>
      </c>
      <c r="Z47" s="39">
        <v>7</v>
      </c>
      <c r="AA47" s="33">
        <v>10</v>
      </c>
      <c r="AB47" s="35" t="str">
        <f>VLOOKUP(AA47,Key!$C$20:$D$29,2,FALSE)</f>
        <v>Other</v>
      </c>
      <c r="AC47" s="33">
        <v>3</v>
      </c>
      <c r="AD47" s="35" t="str">
        <f>VLOOKUP(AC47,Key!$E$20:$F$24,2,FALSE)</f>
        <v>500,000-750,000</v>
      </c>
      <c r="AE47" s="33">
        <v>1</v>
      </c>
      <c r="AF47" s="39">
        <v>2</v>
      </c>
      <c r="AG47" s="39">
        <v>1</v>
      </c>
      <c r="AH47" s="39">
        <v>1</v>
      </c>
      <c r="AI47" s="39">
        <v>1</v>
      </c>
      <c r="AJ47" s="40" t="s">
        <v>274</v>
      </c>
      <c r="AK47" s="41">
        <v>1000</v>
      </c>
      <c r="AL47" s="25"/>
      <c r="AM47" s="25"/>
    </row>
    <row r="48" spans="2:39" x14ac:dyDescent="0.2">
      <c r="B48" s="50">
        <v>43700</v>
      </c>
      <c r="C48" s="36">
        <v>0.42430555555555555</v>
      </c>
      <c r="D48" s="36"/>
      <c r="E48" s="36" t="s">
        <v>267</v>
      </c>
      <c r="F48" s="38">
        <v>2</v>
      </c>
      <c r="G48" s="43" t="str">
        <f>VLOOKUP(F48,Key!$A$17:$B$21,2,FALSE)</f>
        <v>Road Vehicle</v>
      </c>
      <c r="H48" s="37">
        <v>6</v>
      </c>
      <c r="I48" s="44" t="str">
        <f>VLOOKUP(H48,Key!$A$2:$B$13,2,FALSE)</f>
        <v>Large Bus</v>
      </c>
      <c r="J48" s="38" t="s">
        <v>268</v>
      </c>
      <c r="K48" s="38">
        <v>2</v>
      </c>
      <c r="L48" s="45" t="str">
        <f>VLOOKUP(K48,Key!$A$24:$B$29,2,FALSE)</f>
        <v>30-39</v>
      </c>
      <c r="M48" s="38" t="s">
        <v>272</v>
      </c>
      <c r="N48" s="33" t="s">
        <v>273</v>
      </c>
      <c r="O48" s="38" t="s">
        <v>271</v>
      </c>
      <c r="P48" s="40">
        <v>4</v>
      </c>
      <c r="Q48" s="35" t="str">
        <f>VLOOKUP(P48,Key!$E$2:$F$9,2,FALSE)</f>
        <v>Commercial</v>
      </c>
      <c r="R48" s="38" t="s">
        <v>277</v>
      </c>
      <c r="S48" s="33" t="s">
        <v>278</v>
      </c>
      <c r="T48" s="38"/>
      <c r="U48" s="33">
        <v>4</v>
      </c>
      <c r="V48" s="35" t="str">
        <f>VLOOKUP(U48,Key!$E$2:$F$9,2,FALSE)</f>
        <v>Commercial</v>
      </c>
      <c r="W48" s="35" t="str">
        <f>Q48&amp;"-"&amp;V48</f>
        <v>Commercial-Commercial</v>
      </c>
      <c r="X48" s="33">
        <v>350000</v>
      </c>
      <c r="Y48" s="39">
        <v>450</v>
      </c>
      <c r="Z48" s="39">
        <v>5</v>
      </c>
      <c r="AA48" s="33">
        <v>10</v>
      </c>
      <c r="AB48" s="35" t="str">
        <f>VLOOKUP(AA48,Key!$C$20:$D$29,2,FALSE)</f>
        <v>Other</v>
      </c>
      <c r="AC48" s="33">
        <v>2</v>
      </c>
      <c r="AD48" s="35" t="str">
        <f>VLOOKUP(AC48,Key!$E$20:$F$24,2,FALSE)</f>
        <v>300,000-500,000</v>
      </c>
      <c r="AE48" s="33">
        <v>1</v>
      </c>
      <c r="AF48" s="39">
        <v>1</v>
      </c>
      <c r="AG48" s="39">
        <v>2</v>
      </c>
      <c r="AH48" s="39">
        <v>1</v>
      </c>
      <c r="AI48" s="39">
        <v>1</v>
      </c>
      <c r="AJ48" s="40" t="s">
        <v>274</v>
      </c>
      <c r="AK48" s="41">
        <v>1000</v>
      </c>
      <c r="AL48" s="25"/>
      <c r="AM48" s="25"/>
    </row>
    <row r="49" spans="2:39" x14ac:dyDescent="0.2">
      <c r="B49" s="50">
        <v>43700</v>
      </c>
      <c r="C49" s="36">
        <v>0.38541666666666669</v>
      </c>
      <c r="D49" s="36"/>
      <c r="E49" s="36" t="s">
        <v>267</v>
      </c>
      <c r="F49" s="38">
        <v>2</v>
      </c>
      <c r="G49" s="43" t="str">
        <f>VLOOKUP(F49,Key!$A$17:$B$21,2,FALSE)</f>
        <v>Road Vehicle</v>
      </c>
      <c r="H49" s="37">
        <v>6</v>
      </c>
      <c r="I49" s="44" t="str">
        <f>VLOOKUP(H49,Key!$A$2:$B$13,2,FALSE)</f>
        <v>Large Bus</v>
      </c>
      <c r="J49" s="38" t="s">
        <v>268</v>
      </c>
      <c r="K49" s="38">
        <v>2</v>
      </c>
      <c r="L49" s="45" t="str">
        <f>VLOOKUP(K49,Key!$A$24:$B$29,2,FALSE)</f>
        <v>30-39</v>
      </c>
      <c r="M49" s="38" t="s">
        <v>298</v>
      </c>
      <c r="N49" s="33" t="s">
        <v>299</v>
      </c>
      <c r="O49" s="38" t="s">
        <v>271</v>
      </c>
      <c r="P49" s="40">
        <v>4</v>
      </c>
      <c r="Q49" s="35" t="str">
        <f>VLOOKUP(P49,Key!$E$2:$F$9,2,FALSE)</f>
        <v>Commercial</v>
      </c>
      <c r="R49" s="38" t="s">
        <v>272</v>
      </c>
      <c r="S49" s="33" t="s">
        <v>273</v>
      </c>
      <c r="T49" s="38"/>
      <c r="U49" s="33">
        <v>4</v>
      </c>
      <c r="V49" s="35" t="str">
        <f>VLOOKUP(U49,Key!$E$2:$F$9,2,FALSE)</f>
        <v>Commercial</v>
      </c>
      <c r="W49" s="35" t="str">
        <f>Q49&amp;"-"&amp;V49</f>
        <v>Commercial-Commercial</v>
      </c>
      <c r="X49" s="33">
        <v>300000</v>
      </c>
      <c r="Y49" s="39">
        <v>400</v>
      </c>
      <c r="Z49" s="39">
        <v>7</v>
      </c>
      <c r="AA49" s="33">
        <v>10</v>
      </c>
      <c r="AB49" s="35" t="str">
        <f>VLOOKUP(AA49,Key!$C$20:$D$29,2,FALSE)</f>
        <v>Other</v>
      </c>
      <c r="AC49" s="33">
        <v>3</v>
      </c>
      <c r="AD49" s="35" t="str">
        <f>VLOOKUP(AC49,Key!$E$20:$F$24,2,FALSE)</f>
        <v>500,000-750,000</v>
      </c>
      <c r="AE49" s="33">
        <v>1</v>
      </c>
      <c r="AF49" s="39">
        <v>1</v>
      </c>
      <c r="AG49" s="39">
        <v>2</v>
      </c>
      <c r="AH49" s="39">
        <v>1</v>
      </c>
      <c r="AI49" s="39">
        <v>1</v>
      </c>
      <c r="AJ49" s="40" t="s">
        <v>274</v>
      </c>
      <c r="AK49" s="41">
        <v>5000</v>
      </c>
      <c r="AL49" s="25"/>
      <c r="AM49" s="25"/>
    </row>
    <row r="50" spans="2:39" x14ac:dyDescent="0.2">
      <c r="B50" s="50">
        <v>43701</v>
      </c>
      <c r="C50" s="36">
        <v>0.34027777777777773</v>
      </c>
      <c r="D50" s="36"/>
      <c r="E50" s="36" t="s">
        <v>267</v>
      </c>
      <c r="F50" s="38">
        <v>2</v>
      </c>
      <c r="G50" s="43" t="str">
        <f>VLOOKUP(F50,Key!$A$17:$B$21,2,FALSE)</f>
        <v>Road Vehicle</v>
      </c>
      <c r="H50" s="37">
        <v>6</v>
      </c>
      <c r="I50" s="44" t="str">
        <f>VLOOKUP(H50,Key!$A$2:$B$13,2,FALSE)</f>
        <v>Large Bus</v>
      </c>
      <c r="J50" s="38" t="s">
        <v>268</v>
      </c>
      <c r="K50" s="38">
        <v>2</v>
      </c>
      <c r="L50" s="45" t="str">
        <f>VLOOKUP(K50,Key!$A$24:$B$29,2,FALSE)</f>
        <v>30-39</v>
      </c>
      <c r="M50" s="38" t="s">
        <v>298</v>
      </c>
      <c r="N50" s="33" t="s">
        <v>299</v>
      </c>
      <c r="O50" s="38" t="s">
        <v>271</v>
      </c>
      <c r="P50" s="40">
        <v>4</v>
      </c>
      <c r="Q50" s="35" t="str">
        <f>VLOOKUP(P50,Key!$E$2:$F$9,2,FALSE)</f>
        <v>Commercial</v>
      </c>
      <c r="R50" s="38" t="s">
        <v>272</v>
      </c>
      <c r="S50" s="33" t="s">
        <v>273</v>
      </c>
      <c r="T50" s="38"/>
      <c r="U50" s="33">
        <v>4</v>
      </c>
      <c r="V50" s="35" t="str">
        <f>VLOOKUP(U50,Key!$E$2:$F$9,2,FALSE)</f>
        <v>Commercial</v>
      </c>
      <c r="W50" s="35" t="str">
        <f>Q50&amp;"-"&amp;V50</f>
        <v>Commercial-Commercial</v>
      </c>
      <c r="X50" s="33">
        <v>300000</v>
      </c>
      <c r="Y50" s="39">
        <v>400</v>
      </c>
      <c r="Z50" s="39">
        <v>7</v>
      </c>
      <c r="AA50" s="33">
        <v>10</v>
      </c>
      <c r="AB50" s="35" t="str">
        <f>VLOOKUP(AA50,Key!$C$20:$D$29,2,FALSE)</f>
        <v>Other</v>
      </c>
      <c r="AC50" s="33">
        <v>3</v>
      </c>
      <c r="AD50" s="35" t="str">
        <f>VLOOKUP(AC50,Key!$E$20:$F$24,2,FALSE)</f>
        <v>500,000-750,000</v>
      </c>
      <c r="AE50" s="33">
        <v>1</v>
      </c>
      <c r="AF50" s="39">
        <v>1</v>
      </c>
      <c r="AG50" s="39">
        <v>1</v>
      </c>
      <c r="AH50" s="39">
        <v>1</v>
      </c>
      <c r="AI50" s="39">
        <v>2</v>
      </c>
      <c r="AJ50" s="40" t="s">
        <v>274</v>
      </c>
      <c r="AK50" s="41">
        <v>2000</v>
      </c>
      <c r="AL50" s="25"/>
      <c r="AM50" s="25"/>
    </row>
    <row r="51" spans="2:39" x14ac:dyDescent="0.2">
      <c r="B51" s="50">
        <v>43701</v>
      </c>
      <c r="C51" s="36">
        <v>0.34375</v>
      </c>
      <c r="D51" s="36"/>
      <c r="E51" s="36" t="s">
        <v>267</v>
      </c>
      <c r="F51" s="38">
        <v>2</v>
      </c>
      <c r="G51" s="43" t="str">
        <f>VLOOKUP(F51,Key!$A$17:$B$21,2,FALSE)</f>
        <v>Road Vehicle</v>
      </c>
      <c r="H51" s="37">
        <v>6</v>
      </c>
      <c r="I51" s="44" t="str">
        <f>VLOOKUP(H51,Key!$A$2:$B$13,2,FALSE)</f>
        <v>Large Bus</v>
      </c>
      <c r="J51" s="38" t="s">
        <v>268</v>
      </c>
      <c r="K51" s="38">
        <v>2</v>
      </c>
      <c r="L51" s="45" t="s">
        <v>226</v>
      </c>
      <c r="M51" s="38" t="s">
        <v>298</v>
      </c>
      <c r="N51" s="33" t="s">
        <v>299</v>
      </c>
      <c r="O51" s="38" t="s">
        <v>271</v>
      </c>
      <c r="P51" s="40">
        <v>2</v>
      </c>
      <c r="Q51" s="35" t="str">
        <f>VLOOKUP(P51,Key!$E$2:$F$9,2,FALSE)</f>
        <v>Work</v>
      </c>
      <c r="R51" s="38" t="s">
        <v>272</v>
      </c>
      <c r="S51" s="33" t="s">
        <v>273</v>
      </c>
      <c r="T51" s="38"/>
      <c r="U51" s="33">
        <v>2</v>
      </c>
      <c r="V51" s="35" t="str">
        <f>VLOOKUP(U51,Key!$E$2:$F$9,2,FALSE)</f>
        <v>Work</v>
      </c>
      <c r="W51" s="35" t="str">
        <f>Q51&amp;"-"&amp;V51</f>
        <v>Work-Work</v>
      </c>
      <c r="X51" s="33">
        <v>450000</v>
      </c>
      <c r="Y51" s="39">
        <v>400</v>
      </c>
      <c r="Z51" s="39">
        <v>7</v>
      </c>
      <c r="AA51" s="33">
        <v>10</v>
      </c>
      <c r="AB51" s="35" t="str">
        <f>VLOOKUP(AA51,Key!$C$20:$D$29,2,FALSE)</f>
        <v>Other</v>
      </c>
      <c r="AC51" s="33">
        <v>4</v>
      </c>
      <c r="AD51" s="35" t="str">
        <f>VLOOKUP(AC51,Key!$E$20:$F$24,2,FALSE)</f>
        <v>750,000-1,000,000</v>
      </c>
      <c r="AE51" s="33">
        <v>1</v>
      </c>
      <c r="AF51" s="39">
        <v>1</v>
      </c>
      <c r="AG51" s="39">
        <v>2</v>
      </c>
      <c r="AH51" s="39">
        <v>1</v>
      </c>
      <c r="AI51" s="39">
        <v>2</v>
      </c>
      <c r="AJ51" s="40" t="s">
        <v>274</v>
      </c>
      <c r="AK51" s="41">
        <v>4000</v>
      </c>
      <c r="AL51" s="25"/>
      <c r="AM51" s="25"/>
    </row>
    <row r="52" spans="2:39" x14ac:dyDescent="0.2">
      <c r="B52" s="50">
        <v>43701</v>
      </c>
      <c r="C52" s="36">
        <v>0.31597222222222221</v>
      </c>
      <c r="D52" s="36"/>
      <c r="E52" s="36" t="s">
        <v>267</v>
      </c>
      <c r="F52" s="38">
        <v>2</v>
      </c>
      <c r="G52" s="43" t="str">
        <f>VLOOKUP(F52,Key!$A$17:$B$21,2,FALSE)</f>
        <v>Road Vehicle</v>
      </c>
      <c r="H52" s="37">
        <v>6</v>
      </c>
      <c r="I52" s="44" t="str">
        <f>VLOOKUP(H52,Key!$A$2:$B$13,2,FALSE)</f>
        <v>Large Bus</v>
      </c>
      <c r="J52" s="38" t="s">
        <v>268</v>
      </c>
      <c r="K52" s="38">
        <v>2</v>
      </c>
      <c r="L52" s="45" t="str">
        <f>VLOOKUP(K52,Key!$A$24:$B$29,2,FALSE)</f>
        <v>30-39</v>
      </c>
      <c r="M52" s="38" t="s">
        <v>272</v>
      </c>
      <c r="N52" s="33" t="s">
        <v>273</v>
      </c>
      <c r="O52" s="38" t="s">
        <v>271</v>
      </c>
      <c r="P52" s="40">
        <v>2</v>
      </c>
      <c r="Q52" s="35" t="str">
        <f>VLOOKUP(P52,Key!$E$2:$F$9,2,FALSE)</f>
        <v>Work</v>
      </c>
      <c r="R52" s="38" t="s">
        <v>298</v>
      </c>
      <c r="S52" s="33" t="s">
        <v>299</v>
      </c>
      <c r="T52" s="38"/>
      <c r="U52" s="33">
        <v>2</v>
      </c>
      <c r="V52" s="35" t="str">
        <f>VLOOKUP(U52,Key!$E$2:$F$9,2,FALSE)</f>
        <v>Work</v>
      </c>
      <c r="W52" s="35" t="str">
        <f>Q52&amp;"-"&amp;V52</f>
        <v>Work-Work</v>
      </c>
      <c r="X52" s="33">
        <v>400000</v>
      </c>
      <c r="Y52" s="39">
        <v>380</v>
      </c>
      <c r="Z52" s="39">
        <v>7</v>
      </c>
      <c r="AA52" s="33">
        <v>10</v>
      </c>
      <c r="AB52" s="35" t="str">
        <f>VLOOKUP(AA52,Key!$C$20:$D$29,2,FALSE)</f>
        <v>Other</v>
      </c>
      <c r="AC52" s="33">
        <v>2</v>
      </c>
      <c r="AD52" s="35" t="str">
        <f>VLOOKUP(AC52,Key!$E$20:$F$24,2,FALSE)</f>
        <v>300,000-500,000</v>
      </c>
      <c r="AE52" s="33">
        <v>1</v>
      </c>
      <c r="AF52" s="39">
        <v>1</v>
      </c>
      <c r="AG52" s="39">
        <v>1</v>
      </c>
      <c r="AH52" s="39">
        <v>1</v>
      </c>
      <c r="AI52" s="39">
        <v>1</v>
      </c>
      <c r="AJ52" s="40" t="s">
        <v>274</v>
      </c>
      <c r="AK52" s="41">
        <v>1000</v>
      </c>
      <c r="AL52" s="25"/>
      <c r="AM52" s="25"/>
    </row>
    <row r="53" spans="2:39" x14ac:dyDescent="0.2">
      <c r="B53" s="50">
        <v>43701</v>
      </c>
      <c r="C53" s="36">
        <v>0.33402777777777781</v>
      </c>
      <c r="D53" s="36"/>
      <c r="E53" s="36" t="s">
        <v>267</v>
      </c>
      <c r="F53" s="38">
        <v>2</v>
      </c>
      <c r="G53" s="43" t="str">
        <f>VLOOKUP(F53,Key!$A$17:$B$21,2,FALSE)</f>
        <v>Road Vehicle</v>
      </c>
      <c r="H53" s="37">
        <v>6</v>
      </c>
      <c r="I53" s="44" t="str">
        <f>VLOOKUP(H53,Key!$A$2:$B$13,2,FALSE)</f>
        <v>Large Bus</v>
      </c>
      <c r="J53" s="38" t="s">
        <v>268</v>
      </c>
      <c r="K53" s="38">
        <v>2</v>
      </c>
      <c r="L53" s="45" t="str">
        <f>VLOOKUP(K53,Key!$A$24:$B$29,2,FALSE)</f>
        <v>30-39</v>
      </c>
      <c r="M53" s="38" t="s">
        <v>272</v>
      </c>
      <c r="N53" s="33" t="s">
        <v>273</v>
      </c>
      <c r="O53" s="38" t="s">
        <v>271</v>
      </c>
      <c r="P53" s="40">
        <v>2</v>
      </c>
      <c r="Q53" s="35" t="str">
        <f>VLOOKUP(P53,Key!$E$2:$F$9,2,FALSE)</f>
        <v>Work</v>
      </c>
      <c r="R53" s="38" t="s">
        <v>298</v>
      </c>
      <c r="S53" s="33" t="s">
        <v>299</v>
      </c>
      <c r="T53" s="38"/>
      <c r="U53" s="33">
        <v>4</v>
      </c>
      <c r="V53" s="35" t="str">
        <f>VLOOKUP(U53,Key!$E$2:$F$9,2,FALSE)</f>
        <v>Commercial</v>
      </c>
      <c r="W53" s="35" t="str">
        <f>Q53&amp;"-"&amp;V53</f>
        <v>Work-Commercial</v>
      </c>
      <c r="X53" s="33">
        <v>350000</v>
      </c>
      <c r="Y53" s="39">
        <v>400</v>
      </c>
      <c r="Z53" s="39">
        <v>7</v>
      </c>
      <c r="AA53" s="33">
        <v>10</v>
      </c>
      <c r="AB53" s="35" t="str">
        <f>VLOOKUP(AA53,Key!$C$20:$D$29,2,FALSE)</f>
        <v>Other</v>
      </c>
      <c r="AC53" s="33">
        <v>3</v>
      </c>
      <c r="AD53" s="35" t="str">
        <f>VLOOKUP(AC53,Key!$E$20:$F$24,2,FALSE)</f>
        <v>500,000-750,000</v>
      </c>
      <c r="AE53" s="33">
        <v>1</v>
      </c>
      <c r="AF53" s="39">
        <v>1</v>
      </c>
      <c r="AG53" s="39">
        <v>2</v>
      </c>
      <c r="AH53" s="39">
        <v>1</v>
      </c>
      <c r="AI53" s="39">
        <v>1</v>
      </c>
      <c r="AJ53" s="40" t="s">
        <v>274</v>
      </c>
      <c r="AK53" s="41">
        <v>4000</v>
      </c>
      <c r="AL53" s="25"/>
      <c r="AM53" s="25"/>
    </row>
    <row r="54" spans="2:39" x14ac:dyDescent="0.2">
      <c r="B54" s="50">
        <v>43701</v>
      </c>
      <c r="C54" s="36">
        <v>0.2986111111111111</v>
      </c>
      <c r="D54" s="36"/>
      <c r="E54" s="36" t="s">
        <v>267</v>
      </c>
      <c r="F54" s="38">
        <v>2</v>
      </c>
      <c r="G54" s="43" t="str">
        <f>VLOOKUP(F54,Key!$A$17:$B$21,2,FALSE)</f>
        <v>Road Vehicle</v>
      </c>
      <c r="H54" s="37">
        <v>6</v>
      </c>
      <c r="I54" s="44" t="str">
        <f>VLOOKUP(H54,Key!$A$2:$B$13,2,FALSE)</f>
        <v>Large Bus</v>
      </c>
      <c r="J54" s="38" t="s">
        <v>268</v>
      </c>
      <c r="K54" s="38">
        <v>2</v>
      </c>
      <c r="L54" s="45" t="str">
        <f>VLOOKUP(K54,Key!$A$24:$B$29,2,FALSE)</f>
        <v>30-39</v>
      </c>
      <c r="M54" s="38" t="s">
        <v>272</v>
      </c>
      <c r="N54" s="33" t="s">
        <v>273</v>
      </c>
      <c r="O54" s="38" t="s">
        <v>271</v>
      </c>
      <c r="P54" s="40">
        <v>2</v>
      </c>
      <c r="Q54" s="35" t="str">
        <f>VLOOKUP(P54,Key!$E$2:$F$9,2,FALSE)</f>
        <v>Work</v>
      </c>
      <c r="R54" s="38" t="s">
        <v>298</v>
      </c>
      <c r="S54" s="33" t="s">
        <v>299</v>
      </c>
      <c r="T54" s="38"/>
      <c r="U54" s="33">
        <v>4</v>
      </c>
      <c r="V54" s="35" t="str">
        <f>VLOOKUP(U54,Key!$E$2:$F$9,2,FALSE)</f>
        <v>Commercial</v>
      </c>
      <c r="W54" s="35" t="str">
        <f>Q54&amp;"-"&amp;V54</f>
        <v>Work-Commercial</v>
      </c>
      <c r="X54" s="33">
        <v>300000</v>
      </c>
      <c r="Y54" s="39">
        <v>400</v>
      </c>
      <c r="Z54" s="39">
        <v>7</v>
      </c>
      <c r="AA54" s="33">
        <v>10</v>
      </c>
      <c r="AB54" s="35" t="str">
        <f>VLOOKUP(AA54,Key!$C$20:$D$29,2,FALSE)</f>
        <v>Other</v>
      </c>
      <c r="AC54" s="33">
        <v>3</v>
      </c>
      <c r="AD54" s="35" t="str">
        <f>VLOOKUP(AC54,Key!$E$20:$F$24,2,FALSE)</f>
        <v>500,000-750,000</v>
      </c>
      <c r="AE54" s="33">
        <v>1</v>
      </c>
      <c r="AF54" s="39">
        <v>1</v>
      </c>
      <c r="AG54" s="39">
        <v>1</v>
      </c>
      <c r="AH54" s="39">
        <v>2</v>
      </c>
      <c r="AI54" s="39">
        <v>1</v>
      </c>
      <c r="AJ54" s="40" t="s">
        <v>274</v>
      </c>
      <c r="AK54" s="41">
        <v>20000</v>
      </c>
      <c r="AL54" s="25"/>
      <c r="AM54" s="25"/>
    </row>
    <row r="55" spans="2:39" x14ac:dyDescent="0.2">
      <c r="B55" s="50">
        <v>43701</v>
      </c>
      <c r="C55" s="36">
        <v>0.30486111111111108</v>
      </c>
      <c r="D55" s="36"/>
      <c r="E55" s="36" t="s">
        <v>267</v>
      </c>
      <c r="F55" s="38">
        <v>2</v>
      </c>
      <c r="G55" s="43" t="str">
        <f>VLOOKUP(F55,Key!$A$17:$B$21,2,FALSE)</f>
        <v>Road Vehicle</v>
      </c>
      <c r="H55" s="37">
        <v>6</v>
      </c>
      <c r="I55" s="44" t="str">
        <f>VLOOKUP(H55,Key!$A$2:$B$13,2,FALSE)</f>
        <v>Large Bus</v>
      </c>
      <c r="J55" s="38" t="s">
        <v>268</v>
      </c>
      <c r="K55" s="38">
        <v>2</v>
      </c>
      <c r="L55" s="45" t="str">
        <f>VLOOKUP(K55,Key!$A$24:$B$29,2,FALSE)</f>
        <v>30-39</v>
      </c>
      <c r="M55" s="38" t="s">
        <v>272</v>
      </c>
      <c r="N55" s="33" t="s">
        <v>273</v>
      </c>
      <c r="O55" s="38" t="s">
        <v>271</v>
      </c>
      <c r="P55" s="40">
        <v>2</v>
      </c>
      <c r="Q55" s="35" t="str">
        <f>VLOOKUP(P55,Key!$E$2:$F$9,2,FALSE)</f>
        <v>Work</v>
      </c>
      <c r="R55" s="38" t="s">
        <v>298</v>
      </c>
      <c r="S55" s="33" t="s">
        <v>299</v>
      </c>
      <c r="T55" s="38"/>
      <c r="U55" s="33">
        <v>2</v>
      </c>
      <c r="V55" s="35" t="str">
        <f>VLOOKUP(U55,Key!$E$2:$F$9,2,FALSE)</f>
        <v>Work</v>
      </c>
      <c r="W55" s="35" t="str">
        <f>Q55&amp;"-"&amp;V55</f>
        <v>Work-Work</v>
      </c>
      <c r="X55" s="33">
        <v>400000</v>
      </c>
      <c r="Y55" s="39">
        <v>500</v>
      </c>
      <c r="Z55" s="39">
        <v>8</v>
      </c>
      <c r="AA55" s="33">
        <v>10</v>
      </c>
      <c r="AB55" s="35" t="str">
        <f>VLOOKUP(AA55,Key!$C$20:$D$29,2,FALSE)</f>
        <v>Other</v>
      </c>
      <c r="AC55" s="33">
        <v>3</v>
      </c>
      <c r="AD55" s="35" t="str">
        <f>VLOOKUP(AC55,Key!$E$20:$F$24,2,FALSE)</f>
        <v>500,000-750,000</v>
      </c>
      <c r="AE55" s="33">
        <v>1</v>
      </c>
      <c r="AF55" s="39">
        <v>1</v>
      </c>
      <c r="AG55" s="39">
        <v>2</v>
      </c>
      <c r="AH55" s="39">
        <v>1</v>
      </c>
      <c r="AI55" s="39">
        <v>1</v>
      </c>
      <c r="AJ55" s="40" t="s">
        <v>274</v>
      </c>
      <c r="AK55" s="41">
        <v>5000</v>
      </c>
      <c r="AL55" s="25"/>
      <c r="AM55" s="25"/>
    </row>
    <row r="56" spans="2:39" x14ac:dyDescent="0.2">
      <c r="B56" s="50">
        <v>43701</v>
      </c>
      <c r="C56" s="36">
        <v>0.3611111111111111</v>
      </c>
      <c r="D56" s="36"/>
      <c r="E56" s="36" t="s">
        <v>267</v>
      </c>
      <c r="F56" s="38">
        <v>2</v>
      </c>
      <c r="G56" s="43" t="str">
        <f>VLOOKUP(F56,Key!$A$17:$B$21,2,FALSE)</f>
        <v>Road Vehicle</v>
      </c>
      <c r="H56" s="37">
        <v>6</v>
      </c>
      <c r="I56" s="44" t="str">
        <f>VLOOKUP(H56,Key!$A$2:$B$13,2,FALSE)</f>
        <v>Large Bus</v>
      </c>
      <c r="J56" s="38" t="s">
        <v>268</v>
      </c>
      <c r="K56" s="38">
        <v>2</v>
      </c>
      <c r="L56" s="45" t="str">
        <f>VLOOKUP(K56,Key!$A$24:$B$29,2,FALSE)</f>
        <v>30-39</v>
      </c>
      <c r="M56" s="38" t="s">
        <v>298</v>
      </c>
      <c r="N56" s="33" t="s">
        <v>299</v>
      </c>
      <c r="O56" s="38" t="s">
        <v>271</v>
      </c>
      <c r="P56" s="40">
        <v>2</v>
      </c>
      <c r="Q56" s="35" t="str">
        <f>VLOOKUP(P56,Key!$E$2:$F$9,2,FALSE)</f>
        <v>Work</v>
      </c>
      <c r="R56" s="38" t="s">
        <v>272</v>
      </c>
      <c r="S56" s="33" t="s">
        <v>273</v>
      </c>
      <c r="T56" s="38"/>
      <c r="U56" s="33">
        <v>2</v>
      </c>
      <c r="V56" s="35" t="str">
        <f>VLOOKUP(U56,Key!$E$2:$F$9,2,FALSE)</f>
        <v>Work</v>
      </c>
      <c r="W56" s="35" t="str">
        <f>Q56&amp;"-"&amp;V56</f>
        <v>Work-Work</v>
      </c>
      <c r="X56" s="33">
        <v>400000</v>
      </c>
      <c r="Y56" s="39">
        <v>400</v>
      </c>
      <c r="Z56" s="39">
        <v>7</v>
      </c>
      <c r="AA56" s="33">
        <v>10</v>
      </c>
      <c r="AB56" s="35" t="str">
        <f>VLOOKUP(AA56,Key!$C$20:$D$29,2,FALSE)</f>
        <v>Other</v>
      </c>
      <c r="AC56" s="33">
        <v>2</v>
      </c>
      <c r="AD56" s="35" t="str">
        <f>VLOOKUP(AC56,Key!$E$20:$F$24,2,FALSE)</f>
        <v>300,000-500,000</v>
      </c>
      <c r="AE56" s="33">
        <v>3</v>
      </c>
      <c r="AF56" s="39">
        <v>1</v>
      </c>
      <c r="AG56" s="39">
        <v>1</v>
      </c>
      <c r="AH56" s="39">
        <v>1</v>
      </c>
      <c r="AI56" s="39">
        <v>1</v>
      </c>
      <c r="AJ56" s="40" t="s">
        <v>274</v>
      </c>
      <c r="AK56" s="41"/>
      <c r="AL56" s="25"/>
      <c r="AM56" s="25"/>
    </row>
    <row r="57" spans="2:39" x14ac:dyDescent="0.2">
      <c r="B57" s="50">
        <v>43699</v>
      </c>
      <c r="C57" s="36">
        <v>5.486111111111111E-2</v>
      </c>
      <c r="D57" s="36"/>
      <c r="E57" s="36" t="s">
        <v>267</v>
      </c>
      <c r="F57" s="38">
        <v>2</v>
      </c>
      <c r="G57" s="43" t="str">
        <f>VLOOKUP(F57,Key!$A$17:$B$21,2,FALSE)</f>
        <v>Road Vehicle</v>
      </c>
      <c r="H57" s="37">
        <v>7</v>
      </c>
      <c r="I57" s="44" t="str">
        <f>VLOOKUP(H57,Key!$A$2:$B$13,2,FALSE)</f>
        <v xml:space="preserve">Light Truck </v>
      </c>
      <c r="J57" s="38" t="s">
        <v>268</v>
      </c>
      <c r="K57" s="38">
        <v>2</v>
      </c>
      <c r="L57" s="45" t="str">
        <f>VLOOKUP(K57,Key!$A$24:$B$29,2,FALSE)</f>
        <v>30-39</v>
      </c>
      <c r="M57" s="38" t="s">
        <v>291</v>
      </c>
      <c r="N57" s="33" t="s">
        <v>273</v>
      </c>
      <c r="O57" s="38" t="s">
        <v>271</v>
      </c>
      <c r="P57" s="40">
        <v>2</v>
      </c>
      <c r="Q57" s="35" t="str">
        <f>VLOOKUP(P57,Key!$E$2:$F$9,2,FALSE)</f>
        <v>Work</v>
      </c>
      <c r="R57" s="38" t="s">
        <v>284</v>
      </c>
      <c r="S57" s="33" t="s">
        <v>273</v>
      </c>
      <c r="T57" s="38" t="s">
        <v>271</v>
      </c>
      <c r="U57" s="33">
        <v>2</v>
      </c>
      <c r="V57" s="35" t="str">
        <f>VLOOKUP(U57,Key!$E$2:$F$9,2,FALSE)</f>
        <v>Work</v>
      </c>
      <c r="W57" s="35" t="str">
        <f>Q57&amp;"-"&amp;V57</f>
        <v>Work-Work</v>
      </c>
      <c r="X57" s="33">
        <v>25000</v>
      </c>
      <c r="Y57" s="39">
        <v>45</v>
      </c>
      <c r="Z57" s="39">
        <v>0.7</v>
      </c>
      <c r="AA57" s="33">
        <v>6</v>
      </c>
      <c r="AB57" s="35" t="str">
        <f>VLOOKUP(AA57,Key!$C$20:$D$29,2,FALSE)</f>
        <v>Businessman</v>
      </c>
      <c r="AC57" s="33">
        <v>3</v>
      </c>
      <c r="AD57" s="35" t="str">
        <f>VLOOKUP(AC57,Key!$E$20:$F$24,2,FALSE)</f>
        <v>500,000-750,000</v>
      </c>
      <c r="AE57" s="33">
        <v>1</v>
      </c>
      <c r="AF57" s="39">
        <v>1</v>
      </c>
      <c r="AG57" s="39">
        <v>2</v>
      </c>
      <c r="AH57" s="39">
        <v>1</v>
      </c>
      <c r="AI57" s="39">
        <v>1</v>
      </c>
      <c r="AJ57" s="40" t="s">
        <v>274</v>
      </c>
      <c r="AK57" s="41">
        <v>2000</v>
      </c>
      <c r="AL57" s="25"/>
      <c r="AM57" s="25"/>
    </row>
    <row r="58" spans="2:39" x14ac:dyDescent="0.2">
      <c r="B58" s="50">
        <v>43699</v>
      </c>
      <c r="C58" s="36">
        <v>0.46527777777777773</v>
      </c>
      <c r="D58" s="36"/>
      <c r="E58" s="36" t="s">
        <v>267</v>
      </c>
      <c r="F58" s="38">
        <v>2</v>
      </c>
      <c r="G58" s="43" t="str">
        <f>VLOOKUP(F58,Key!$A$17:$B$21,2,FALSE)</f>
        <v>Road Vehicle</v>
      </c>
      <c r="H58" s="37">
        <v>7</v>
      </c>
      <c r="I58" s="44" t="str">
        <f>VLOOKUP(H58,Key!$A$2:$B$13,2,FALSE)</f>
        <v xml:space="preserve">Light Truck </v>
      </c>
      <c r="J58" s="38" t="s">
        <v>268</v>
      </c>
      <c r="K58" s="38">
        <v>2</v>
      </c>
      <c r="L58" s="45" t="str">
        <f>VLOOKUP(K58,Key!$A$24:$B$29,2,FALSE)</f>
        <v>30-39</v>
      </c>
      <c r="M58" s="38" t="s">
        <v>290</v>
      </c>
      <c r="N58" s="33" t="s">
        <v>273</v>
      </c>
      <c r="O58" s="38" t="s">
        <v>271</v>
      </c>
      <c r="P58" s="40">
        <v>2</v>
      </c>
      <c r="Q58" s="35" t="str">
        <f>VLOOKUP(P58,Key!$E$2:$F$9,2,FALSE)</f>
        <v>Work</v>
      </c>
      <c r="R58" s="38" t="s">
        <v>272</v>
      </c>
      <c r="S58" s="33" t="s">
        <v>273</v>
      </c>
      <c r="T58" s="38" t="s">
        <v>271</v>
      </c>
      <c r="U58" s="33">
        <v>2</v>
      </c>
      <c r="V58" s="35" t="str">
        <f>VLOOKUP(U58,Key!$E$2:$F$9,2,FALSE)</f>
        <v>Work</v>
      </c>
      <c r="W58" s="35" t="str">
        <f>Q58&amp;"-"&amp;V58</f>
        <v>Work-Work</v>
      </c>
      <c r="X58" s="33">
        <v>20000</v>
      </c>
      <c r="Y58" s="39">
        <v>25</v>
      </c>
      <c r="Z58" s="39">
        <v>0.5</v>
      </c>
      <c r="AA58" s="33">
        <v>10</v>
      </c>
      <c r="AB58" s="35" t="str">
        <f>VLOOKUP(AA58,Key!$C$20:$D$29,2,FALSE)</f>
        <v>Other</v>
      </c>
      <c r="AC58" s="33">
        <v>2</v>
      </c>
      <c r="AD58" s="35" t="str">
        <f>VLOOKUP(AC58,Key!$E$20:$F$24,2,FALSE)</f>
        <v>300,000-500,000</v>
      </c>
      <c r="AE58" s="33">
        <v>1</v>
      </c>
      <c r="AF58" s="39">
        <v>1</v>
      </c>
      <c r="AG58" s="39">
        <v>2</v>
      </c>
      <c r="AH58" s="39">
        <v>2</v>
      </c>
      <c r="AI58" s="39">
        <v>1</v>
      </c>
      <c r="AJ58" s="40" t="s">
        <v>274</v>
      </c>
      <c r="AK58" s="41">
        <v>1000</v>
      </c>
      <c r="AL58" s="25"/>
      <c r="AM58" s="25"/>
    </row>
    <row r="59" spans="2:39" x14ac:dyDescent="0.2">
      <c r="B59" s="50">
        <v>43699</v>
      </c>
      <c r="C59" s="36">
        <v>0.44513888888888892</v>
      </c>
      <c r="D59" s="36"/>
      <c r="E59" s="36" t="s">
        <v>267</v>
      </c>
      <c r="F59" s="38">
        <v>2</v>
      </c>
      <c r="G59" s="43" t="str">
        <f>VLOOKUP(F59,Key!$A$17:$B$21,2,FALSE)</f>
        <v>Road Vehicle</v>
      </c>
      <c r="H59" s="37">
        <v>7</v>
      </c>
      <c r="I59" s="44" t="str">
        <f>VLOOKUP(H59,Key!$A$2:$B$13,2,FALSE)</f>
        <v xml:space="preserve">Light Truck </v>
      </c>
      <c r="J59" s="38" t="s">
        <v>268</v>
      </c>
      <c r="K59" s="38">
        <v>2</v>
      </c>
      <c r="L59" s="45" t="str">
        <f>VLOOKUP(K59,Key!$A$24:$B$29,2,FALSE)</f>
        <v>30-39</v>
      </c>
      <c r="M59" s="38" t="s">
        <v>292</v>
      </c>
      <c r="N59" s="33" t="s">
        <v>273</v>
      </c>
      <c r="O59" s="38" t="s">
        <v>271</v>
      </c>
      <c r="P59" s="40">
        <v>4</v>
      </c>
      <c r="Q59" s="35" t="str">
        <f>VLOOKUP(P59,Key!$E$2:$F$9,2,FALSE)</f>
        <v>Commercial</v>
      </c>
      <c r="R59" s="38" t="s">
        <v>293</v>
      </c>
      <c r="S59" s="33" t="s">
        <v>273</v>
      </c>
      <c r="T59" s="38" t="s">
        <v>271</v>
      </c>
      <c r="U59" s="33">
        <v>4</v>
      </c>
      <c r="V59" s="35" t="str">
        <f>VLOOKUP(U59,Key!$E$2:$F$9,2,FALSE)</f>
        <v>Commercial</v>
      </c>
      <c r="W59" s="35" t="str">
        <f>Q59&amp;"-"&amp;V59</f>
        <v>Commercial-Commercial</v>
      </c>
      <c r="X59" s="33">
        <v>40000</v>
      </c>
      <c r="Y59" s="39">
        <v>50</v>
      </c>
      <c r="Z59" s="39">
        <v>1</v>
      </c>
      <c r="AA59" s="33">
        <v>10</v>
      </c>
      <c r="AB59" s="35" t="str">
        <f>VLOOKUP(AA59,Key!$C$20:$D$29,2,FALSE)</f>
        <v>Other</v>
      </c>
      <c r="AC59" s="33">
        <v>2</v>
      </c>
      <c r="AD59" s="35" t="str">
        <f>VLOOKUP(AC59,Key!$E$20:$F$24,2,FALSE)</f>
        <v>300,000-500,000</v>
      </c>
      <c r="AE59" s="33">
        <v>1</v>
      </c>
      <c r="AF59" s="39">
        <v>1</v>
      </c>
      <c r="AG59" s="39">
        <v>2</v>
      </c>
      <c r="AH59" s="39">
        <v>1</v>
      </c>
      <c r="AI59" s="39">
        <v>2</v>
      </c>
      <c r="AJ59" s="40" t="s">
        <v>274</v>
      </c>
      <c r="AK59" s="41">
        <v>500</v>
      </c>
      <c r="AL59" s="25"/>
      <c r="AM59" s="25"/>
    </row>
    <row r="60" spans="2:39" x14ac:dyDescent="0.2">
      <c r="B60" s="50">
        <v>43699</v>
      </c>
      <c r="C60" s="36">
        <v>0.46527777777777773</v>
      </c>
      <c r="D60" s="36"/>
      <c r="E60" s="36" t="s">
        <v>267</v>
      </c>
      <c r="F60" s="38">
        <v>2</v>
      </c>
      <c r="G60" s="43" t="str">
        <f>VLOOKUP(F60,Key!$A$17:$B$21,2,FALSE)</f>
        <v>Road Vehicle</v>
      </c>
      <c r="H60" s="37">
        <v>7</v>
      </c>
      <c r="I60" s="44" t="s">
        <v>152</v>
      </c>
      <c r="J60" s="38" t="s">
        <v>268</v>
      </c>
      <c r="K60" s="38">
        <v>2</v>
      </c>
      <c r="L60" s="45" t="str">
        <f>VLOOKUP(K60,Key!$A$24:$B$29,2,FALSE)</f>
        <v>30-39</v>
      </c>
      <c r="M60" s="38" t="s">
        <v>294</v>
      </c>
      <c r="N60" s="33" t="s">
        <v>273</v>
      </c>
      <c r="O60" s="38" t="s">
        <v>271</v>
      </c>
      <c r="P60" s="40">
        <v>1</v>
      </c>
      <c r="Q60" s="35" t="str">
        <f>VLOOKUP(P60,Key!$E$2:$F$9,2,FALSE)</f>
        <v>Home</v>
      </c>
      <c r="R60" s="38" t="s">
        <v>272</v>
      </c>
      <c r="S60" s="33" t="s">
        <v>273</v>
      </c>
      <c r="T60" s="38" t="s">
        <v>271</v>
      </c>
      <c r="U60" s="33">
        <v>2</v>
      </c>
      <c r="V60" s="35" t="str">
        <f>VLOOKUP(U60,Key!$E$2:$F$9,2,FALSE)</f>
        <v>Work</v>
      </c>
      <c r="W60" s="35" t="str">
        <f>Q60&amp;"-"&amp;V60</f>
        <v>Home-Work</v>
      </c>
      <c r="X60" s="33">
        <v>20000</v>
      </c>
      <c r="Y60" s="39">
        <v>18</v>
      </c>
      <c r="Z60" s="39">
        <v>0.3</v>
      </c>
      <c r="AA60" s="33">
        <v>10</v>
      </c>
      <c r="AB60" s="35" t="str">
        <f>VLOOKUP(AA60,Key!$C$20:$D$29,2,FALSE)</f>
        <v>Other</v>
      </c>
      <c r="AC60" s="33">
        <v>1</v>
      </c>
      <c r="AD60" s="35" t="str">
        <f>VLOOKUP(AC60,Key!$E$20:$F$24,2,FALSE)</f>
        <v>&lt;300,000</v>
      </c>
      <c r="AE60" s="33">
        <v>1</v>
      </c>
      <c r="AF60" s="39">
        <v>1</v>
      </c>
      <c r="AG60" s="39">
        <v>1</v>
      </c>
      <c r="AH60" s="39">
        <v>1</v>
      </c>
      <c r="AI60" s="39">
        <v>1</v>
      </c>
      <c r="AJ60" s="40" t="s">
        <v>274</v>
      </c>
      <c r="AK60" s="41"/>
      <c r="AL60" s="25"/>
      <c r="AM60" s="25"/>
    </row>
    <row r="61" spans="2:39" x14ac:dyDescent="0.2">
      <c r="B61" s="51">
        <v>43700</v>
      </c>
      <c r="C61" s="36">
        <v>0.4826388888888889</v>
      </c>
      <c r="D61" s="36"/>
      <c r="E61" s="36" t="s">
        <v>267</v>
      </c>
      <c r="F61" s="38">
        <v>2</v>
      </c>
      <c r="G61" s="43" t="str">
        <f>VLOOKUP(F61,Key!$A$17:$B$21,2,FALSE)</f>
        <v>Road Vehicle</v>
      </c>
      <c r="H61" s="37">
        <v>7</v>
      </c>
      <c r="I61" s="44" t="str">
        <f>VLOOKUP(H61,Key!$A$2:$B$13,2,FALSE)</f>
        <v xml:space="preserve">Light Truck </v>
      </c>
      <c r="J61" s="38" t="s">
        <v>268</v>
      </c>
      <c r="K61" s="38">
        <v>2</v>
      </c>
      <c r="L61" s="45" t="str">
        <f>VLOOKUP(K61,Key!$A$24:$B$29,2,FALSE)</f>
        <v>30-39</v>
      </c>
      <c r="M61" s="38" t="s">
        <v>300</v>
      </c>
      <c r="N61" s="33" t="s">
        <v>273</v>
      </c>
      <c r="O61" s="38" t="s">
        <v>271</v>
      </c>
      <c r="P61" s="40">
        <v>2</v>
      </c>
      <c r="Q61" s="35" t="str">
        <f>VLOOKUP(P61,Key!$E$2:$F$9,2,FALSE)</f>
        <v>Work</v>
      </c>
      <c r="R61" s="38" t="s">
        <v>272</v>
      </c>
      <c r="S61" s="33" t="s">
        <v>273</v>
      </c>
      <c r="T61" s="38" t="s">
        <v>271</v>
      </c>
      <c r="U61" s="33">
        <v>4</v>
      </c>
      <c r="V61" s="35" t="str">
        <f>VLOOKUP(U61,Key!$E$2:$F$9,2,FALSE)</f>
        <v>Commercial</v>
      </c>
      <c r="W61" s="35" t="str">
        <f>Q61&amp;"-"&amp;V61</f>
        <v>Work-Commercial</v>
      </c>
      <c r="X61" s="33">
        <v>70000</v>
      </c>
      <c r="Y61" s="39">
        <v>57</v>
      </c>
      <c r="Z61" s="39">
        <v>2</v>
      </c>
      <c r="AA61" s="33">
        <v>10</v>
      </c>
      <c r="AB61" s="35" t="str">
        <f>VLOOKUP(AA61,Key!$C$20:$D$29,2,FALSE)</f>
        <v>Other</v>
      </c>
      <c r="AC61" s="33">
        <v>3</v>
      </c>
      <c r="AD61" s="35" t="str">
        <f>VLOOKUP(AC61,Key!$E$20:$F$24,2,FALSE)</f>
        <v>500,000-750,000</v>
      </c>
      <c r="AE61" s="33">
        <v>1</v>
      </c>
      <c r="AF61" s="39">
        <v>2</v>
      </c>
      <c r="AG61" s="39">
        <v>1</v>
      </c>
      <c r="AH61" s="39">
        <v>1</v>
      </c>
      <c r="AI61" s="39">
        <v>1</v>
      </c>
      <c r="AJ61" s="40" t="s">
        <v>274</v>
      </c>
      <c r="AK61" s="41"/>
      <c r="AL61" s="25"/>
      <c r="AM61" s="25"/>
    </row>
    <row r="62" spans="2:39" x14ac:dyDescent="0.2">
      <c r="B62" s="50">
        <v>43700</v>
      </c>
      <c r="C62" s="36">
        <v>0.31319444444444444</v>
      </c>
      <c r="D62" s="36"/>
      <c r="E62" s="36" t="s">
        <v>267</v>
      </c>
      <c r="F62" s="38">
        <v>2</v>
      </c>
      <c r="G62" s="43" t="str">
        <f>VLOOKUP(F62,Key!$A$17:$B$21,2,FALSE)</f>
        <v>Road Vehicle</v>
      </c>
      <c r="H62" s="37">
        <v>7</v>
      </c>
      <c r="I62" s="44" t="str">
        <f>VLOOKUP(H62,Key!$A$2:$B$13,2,FALSE)</f>
        <v xml:space="preserve">Light Truck </v>
      </c>
      <c r="J62" s="38" t="s">
        <v>268</v>
      </c>
      <c r="K62" s="38">
        <v>2</v>
      </c>
      <c r="L62" s="45" t="str">
        <f>VLOOKUP(K62,Key!$A$24:$B$29,2,FALSE)</f>
        <v>30-39</v>
      </c>
      <c r="M62" s="38" t="s">
        <v>304</v>
      </c>
      <c r="N62" s="33" t="s">
        <v>273</v>
      </c>
      <c r="O62" s="38" t="s">
        <v>271</v>
      </c>
      <c r="P62" s="40">
        <v>2</v>
      </c>
      <c r="Q62" s="35" t="str">
        <f>VLOOKUP(P62,Key!$E$2:$F$9,2,FALSE)</f>
        <v>Work</v>
      </c>
      <c r="R62" s="38" t="s">
        <v>304</v>
      </c>
      <c r="S62" s="33" t="s">
        <v>306</v>
      </c>
      <c r="T62" s="38"/>
      <c r="U62" s="33">
        <v>2</v>
      </c>
      <c r="V62" s="35" t="str">
        <f>VLOOKUP(U62,Key!$E$2:$F$9,2,FALSE)</f>
        <v>Work</v>
      </c>
      <c r="W62" s="35" t="s">
        <v>307</v>
      </c>
      <c r="X62" s="33">
        <v>150000</v>
      </c>
      <c r="Y62" s="39">
        <v>140</v>
      </c>
      <c r="Z62" s="39">
        <v>5</v>
      </c>
      <c r="AA62" s="33">
        <v>10</v>
      </c>
      <c r="AB62" s="35" t="str">
        <f>VLOOKUP(AA62,Key!$C$20:$D$29,2,FALSE)</f>
        <v>Other</v>
      </c>
      <c r="AC62" s="33">
        <v>2</v>
      </c>
      <c r="AD62" s="35" t="str">
        <f>VLOOKUP(AC62,Key!$E$20:$F$24,2,FALSE)</f>
        <v>300,000-500,000</v>
      </c>
      <c r="AE62" s="33">
        <v>1</v>
      </c>
      <c r="AF62" s="39">
        <v>1</v>
      </c>
      <c r="AG62" s="39">
        <v>1</v>
      </c>
      <c r="AH62" s="39">
        <v>1</v>
      </c>
      <c r="AI62" s="39">
        <v>1</v>
      </c>
      <c r="AJ62" s="40" t="s">
        <v>274</v>
      </c>
      <c r="AK62" s="41"/>
      <c r="AL62" s="25"/>
      <c r="AM62" s="25"/>
    </row>
    <row r="63" spans="2:39" x14ac:dyDescent="0.2">
      <c r="B63" s="50">
        <v>43700</v>
      </c>
      <c r="C63" s="36">
        <v>0.3</v>
      </c>
      <c r="D63" s="36"/>
      <c r="E63" s="36" t="s">
        <v>267</v>
      </c>
      <c r="F63" s="38">
        <v>2</v>
      </c>
      <c r="G63" s="43" t="str">
        <f>VLOOKUP(F63,Key!$A$17:$B$21,2,FALSE)</f>
        <v>Road Vehicle</v>
      </c>
      <c r="H63" s="37">
        <v>7</v>
      </c>
      <c r="I63" s="44" t="str">
        <f>VLOOKUP(H63,Key!$A$2:$B$13,2,FALSE)</f>
        <v xml:space="preserve">Light Truck </v>
      </c>
      <c r="J63" s="38" t="s">
        <v>268</v>
      </c>
      <c r="K63" s="38">
        <v>2</v>
      </c>
      <c r="L63" s="45" t="str">
        <f>VLOOKUP(K63,Key!$A$24:$B$29,2,FALSE)</f>
        <v>30-39</v>
      </c>
      <c r="M63" s="38" t="s">
        <v>304</v>
      </c>
      <c r="N63" s="33" t="s">
        <v>273</v>
      </c>
      <c r="O63" s="38" t="s">
        <v>271</v>
      </c>
      <c r="P63" s="40">
        <v>1</v>
      </c>
      <c r="Q63" s="35" t="str">
        <f>VLOOKUP(P63,Key!$E$2:$F$9,2,FALSE)</f>
        <v>Home</v>
      </c>
      <c r="R63" s="38" t="s">
        <v>304</v>
      </c>
      <c r="S63" s="33" t="s">
        <v>306</v>
      </c>
      <c r="T63" s="38"/>
      <c r="U63" s="33">
        <v>2</v>
      </c>
      <c r="V63" s="35" t="str">
        <f>VLOOKUP(U63,Key!$E$2:$F$9,2,FALSE)</f>
        <v>Work</v>
      </c>
      <c r="W63" s="35" t="str">
        <f>Q63&amp;"-"&amp;V63</f>
        <v>Home-Work</v>
      </c>
      <c r="X63" s="33">
        <v>25000</v>
      </c>
      <c r="Y63" s="39">
        <v>100</v>
      </c>
      <c r="Z63" s="39">
        <v>3</v>
      </c>
      <c r="AA63" s="33">
        <v>10</v>
      </c>
      <c r="AB63" s="35" t="str">
        <f>VLOOKUP(AA63,Key!$C$20:$D$29,2,FALSE)</f>
        <v>Other</v>
      </c>
      <c r="AC63" s="33">
        <v>2</v>
      </c>
      <c r="AD63" s="35" t="str">
        <f>VLOOKUP(AC63,Key!$E$20:$F$24,2,FALSE)</f>
        <v>300,000-500,000</v>
      </c>
      <c r="AE63" s="33">
        <v>1</v>
      </c>
      <c r="AF63" s="39">
        <v>1</v>
      </c>
      <c r="AG63" s="39">
        <v>1</v>
      </c>
      <c r="AH63" s="39">
        <v>2</v>
      </c>
      <c r="AI63" s="39">
        <v>1</v>
      </c>
      <c r="AJ63" s="40" t="s">
        <v>274</v>
      </c>
      <c r="AK63" s="41"/>
      <c r="AL63" s="25"/>
      <c r="AM63" s="25"/>
    </row>
    <row r="64" spans="2:39" x14ac:dyDescent="0.2">
      <c r="B64" s="50">
        <v>43701</v>
      </c>
      <c r="C64" s="36">
        <v>0.52013888888888882</v>
      </c>
      <c r="D64" s="36"/>
      <c r="E64" s="36" t="s">
        <v>267</v>
      </c>
      <c r="F64" s="38">
        <v>2</v>
      </c>
      <c r="G64" s="43" t="str">
        <f>VLOOKUP(F64,Key!$A$17:$B$21,2,FALSE)</f>
        <v>Road Vehicle</v>
      </c>
      <c r="H64" s="37">
        <v>7</v>
      </c>
      <c r="I64" s="44" t="str">
        <f>VLOOKUP(H64,Key!$A$2:$B$13,2,FALSE)</f>
        <v xml:space="preserve">Light Truck </v>
      </c>
      <c r="J64" s="38" t="s">
        <v>268</v>
      </c>
      <c r="K64" s="38">
        <v>2</v>
      </c>
      <c r="L64" s="45" t="str">
        <f>VLOOKUP(K64,Key!$A$24:$B$29,2,FALSE)</f>
        <v>30-39</v>
      </c>
      <c r="M64" s="38" t="s">
        <v>295</v>
      </c>
      <c r="N64" s="33" t="s">
        <v>296</v>
      </c>
      <c r="O64" s="38" t="s">
        <v>271</v>
      </c>
      <c r="P64" s="40">
        <v>2</v>
      </c>
      <c r="Q64" s="35" t="str">
        <f>VLOOKUP(P64,Key!$E$2:$F$9,2,FALSE)</f>
        <v>Work</v>
      </c>
      <c r="R64" s="38" t="s">
        <v>277</v>
      </c>
      <c r="S64" s="33" t="s">
        <v>278</v>
      </c>
      <c r="T64" s="38"/>
      <c r="U64" s="33">
        <v>2</v>
      </c>
      <c r="V64" s="35" t="str">
        <f>VLOOKUP(U64,Key!$E$2:$F$9,2,FALSE)</f>
        <v>Work</v>
      </c>
      <c r="W64" s="35" t="str">
        <f>Q64&amp;"-"&amp;V64</f>
        <v>Work-Work</v>
      </c>
      <c r="X64" s="33">
        <v>100000</v>
      </c>
      <c r="Y64" s="39">
        <v>60</v>
      </c>
      <c r="Z64" s="39">
        <v>3</v>
      </c>
      <c r="AA64" s="33">
        <v>10</v>
      </c>
      <c r="AB64" s="35" t="s">
        <v>246</v>
      </c>
      <c r="AC64" s="33">
        <v>2</v>
      </c>
      <c r="AD64" s="35" t="str">
        <f>VLOOKUP(AC64,Key!$E$20:$F$24,2,FALSE)</f>
        <v>300,000-500,000</v>
      </c>
      <c r="AE64" s="33">
        <v>2</v>
      </c>
      <c r="AF64" s="39">
        <v>1</v>
      </c>
      <c r="AG64" s="39">
        <v>1</v>
      </c>
      <c r="AH64" s="39">
        <v>1</v>
      </c>
      <c r="AI64" s="39">
        <v>2</v>
      </c>
      <c r="AJ64" s="40" t="s">
        <v>274</v>
      </c>
      <c r="AK64" s="41">
        <v>1000</v>
      </c>
      <c r="AL64" s="25"/>
      <c r="AM64" s="25"/>
    </row>
    <row r="65" spans="2:46" x14ac:dyDescent="0.2">
      <c r="B65" s="50">
        <v>43701</v>
      </c>
      <c r="C65" s="36">
        <v>0.62569444444444444</v>
      </c>
      <c r="D65" s="36"/>
      <c r="E65" s="36" t="s">
        <v>267</v>
      </c>
      <c r="F65" s="38">
        <v>2</v>
      </c>
      <c r="G65" s="43" t="str">
        <f>VLOOKUP(F65,Key!$A$17:$B$21,2,FALSE)</f>
        <v>Road Vehicle</v>
      </c>
      <c r="H65" s="37">
        <v>7</v>
      </c>
      <c r="I65" s="44" t="s">
        <v>152</v>
      </c>
      <c r="J65" s="38" t="s">
        <v>268</v>
      </c>
      <c r="K65" s="38">
        <v>2</v>
      </c>
      <c r="L65" s="45" t="str">
        <f>VLOOKUP(K65,Key!$A$24:$B$29,2,FALSE)</f>
        <v>30-39</v>
      </c>
      <c r="M65" s="38" t="s">
        <v>294</v>
      </c>
      <c r="N65" s="33" t="s">
        <v>273</v>
      </c>
      <c r="O65" s="38" t="s">
        <v>271</v>
      </c>
      <c r="P65" s="40">
        <v>2</v>
      </c>
      <c r="Q65" s="35" t="str">
        <f>VLOOKUP(P65,Key!$E$2:$F$9,2,FALSE)</f>
        <v>Work</v>
      </c>
      <c r="R65" s="38" t="s">
        <v>272</v>
      </c>
      <c r="S65" s="33" t="s">
        <v>273</v>
      </c>
      <c r="T65" s="38"/>
      <c r="U65" s="33">
        <v>4</v>
      </c>
      <c r="V65" s="35" t="str">
        <f>VLOOKUP(U65,Key!$E$2:$F$9,2,FALSE)</f>
        <v>Commercial</v>
      </c>
      <c r="W65" s="35" t="str">
        <f>Q65&amp;"-"&amp;V65</f>
        <v>Work-Commercial</v>
      </c>
      <c r="X65" s="33">
        <v>25000</v>
      </c>
      <c r="Y65" s="39">
        <v>20</v>
      </c>
      <c r="Z65" s="39">
        <v>0.7</v>
      </c>
      <c r="AA65" s="33">
        <v>10</v>
      </c>
      <c r="AB65" s="35" t="str">
        <f>VLOOKUP(AA65,Key!$C$20:$D$29,2,FALSE)</f>
        <v>Other</v>
      </c>
      <c r="AC65" s="33">
        <v>2</v>
      </c>
      <c r="AD65" s="35" t="str">
        <f>VLOOKUP(AC65,Key!$E$20:$F$24,2,FALSE)</f>
        <v>300,000-500,000</v>
      </c>
      <c r="AE65" s="33">
        <v>1</v>
      </c>
      <c r="AF65" s="39">
        <v>1</v>
      </c>
      <c r="AG65" s="39">
        <v>2</v>
      </c>
      <c r="AH65" s="39">
        <v>1</v>
      </c>
      <c r="AI65" s="39">
        <v>1</v>
      </c>
      <c r="AJ65" s="40" t="s">
        <v>274</v>
      </c>
      <c r="AK65" s="41">
        <v>500</v>
      </c>
      <c r="AL65" s="25"/>
      <c r="AM65" s="25"/>
    </row>
    <row r="66" spans="2:46" x14ac:dyDescent="0.2">
      <c r="B66" s="50">
        <v>43701</v>
      </c>
      <c r="C66" s="36">
        <v>0.59305555555555556</v>
      </c>
      <c r="D66" s="36"/>
      <c r="E66" s="36" t="s">
        <v>267</v>
      </c>
      <c r="F66" s="38">
        <v>2</v>
      </c>
      <c r="G66" s="43" t="str">
        <f>VLOOKUP(F66,Key!$A$17:$B$21,2,FALSE)</f>
        <v>Road Vehicle</v>
      </c>
      <c r="H66" s="37">
        <v>7</v>
      </c>
      <c r="I66" s="44" t="str">
        <f>VLOOKUP(H66,Key!$A$2:$B$13,2,FALSE)</f>
        <v xml:space="preserve">Light Truck </v>
      </c>
      <c r="J66" s="38" t="s">
        <v>268</v>
      </c>
      <c r="K66" s="38">
        <v>2</v>
      </c>
      <c r="L66" s="45" t="str">
        <f>VLOOKUP(K66,Key!$A$24:$B$29,2,FALSE)</f>
        <v>30-39</v>
      </c>
      <c r="M66" s="38" t="s">
        <v>294</v>
      </c>
      <c r="N66" s="33" t="s">
        <v>273</v>
      </c>
      <c r="O66" s="38" t="s">
        <v>271</v>
      </c>
      <c r="P66" s="40">
        <v>4</v>
      </c>
      <c r="Q66" s="35" t="str">
        <f>VLOOKUP(P66,Key!$E$2:$F$9,2,FALSE)</f>
        <v>Commercial</v>
      </c>
      <c r="R66" s="38" t="s">
        <v>272</v>
      </c>
      <c r="S66" s="33" t="s">
        <v>273</v>
      </c>
      <c r="T66" s="38"/>
      <c r="U66" s="33">
        <v>2</v>
      </c>
      <c r="V66" s="35" t="str">
        <f>VLOOKUP(U66,Key!$E$2:$F$9,2,FALSE)</f>
        <v>Work</v>
      </c>
      <c r="W66" s="35" t="str">
        <f>Q66&amp;"-"&amp;V66</f>
        <v>Commercial-Work</v>
      </c>
      <c r="X66" s="33">
        <v>15000</v>
      </c>
      <c r="Y66" s="39">
        <v>21</v>
      </c>
      <c r="Z66" s="39">
        <v>0.4</v>
      </c>
      <c r="AA66" s="33">
        <v>6</v>
      </c>
      <c r="AB66" s="35" t="str">
        <f>VLOOKUP(AA66,Key!$C$20:$D$29,2,FALSE)</f>
        <v>Businessman</v>
      </c>
      <c r="AC66" s="33">
        <v>2</v>
      </c>
      <c r="AD66" s="35" t="str">
        <f>VLOOKUP(AC66,Key!$E$20:$F$24,2,FALSE)</f>
        <v>300,000-500,000</v>
      </c>
      <c r="AE66" s="33">
        <v>1</v>
      </c>
      <c r="AF66" s="39">
        <v>2</v>
      </c>
      <c r="AG66" s="39">
        <v>1</v>
      </c>
      <c r="AH66" s="39">
        <v>1</v>
      </c>
      <c r="AI66" s="39">
        <v>2</v>
      </c>
      <c r="AJ66" s="40" t="s">
        <v>274</v>
      </c>
      <c r="AK66" s="41"/>
      <c r="AL66" s="25"/>
      <c r="AM66" s="25"/>
    </row>
    <row r="67" spans="2:46" x14ac:dyDescent="0.2">
      <c r="B67" s="50">
        <v>43699</v>
      </c>
      <c r="C67" s="36">
        <v>0.47916666666666669</v>
      </c>
      <c r="D67" s="36"/>
      <c r="E67" s="36" t="s">
        <v>267</v>
      </c>
      <c r="F67" s="38">
        <v>2</v>
      </c>
      <c r="G67" s="43" t="str">
        <f>VLOOKUP(F67,Key!$A$17:$B$21,2,FALSE)</f>
        <v>Road Vehicle</v>
      </c>
      <c r="H67" s="37">
        <v>4</v>
      </c>
      <c r="I67" s="44" t="str">
        <f>VLOOKUP(H67,Key!$A$2:$B$13,2,FALSE)</f>
        <v>Minibus</v>
      </c>
      <c r="J67" s="38" t="s">
        <v>268</v>
      </c>
      <c r="K67" s="38">
        <v>2</v>
      </c>
      <c r="L67" s="45" t="str">
        <f>VLOOKUP(K67,Key!$A$24:$B$29,2,FALSE)</f>
        <v>30-39</v>
      </c>
      <c r="M67" s="38" t="s">
        <v>269</v>
      </c>
      <c r="N67" s="33" t="s">
        <v>270</v>
      </c>
      <c r="O67" s="38" t="s">
        <v>271</v>
      </c>
      <c r="P67" s="40">
        <v>6</v>
      </c>
      <c r="Q67" s="35" t="str">
        <f>VLOOKUP(P67,Key!$E$2:$F$9,2,FALSE)</f>
        <v>Leisure/Social</v>
      </c>
      <c r="R67" s="38" t="s">
        <v>272</v>
      </c>
      <c r="S67" s="33" t="s">
        <v>273</v>
      </c>
      <c r="T67" s="38" t="s">
        <v>271</v>
      </c>
      <c r="U67" s="33">
        <v>6</v>
      </c>
      <c r="V67" s="35" t="str">
        <f>VLOOKUP(U67,Key!$E$2:$F$9,2,FALSE)</f>
        <v>Leisure/Social</v>
      </c>
      <c r="W67" s="35" t="str">
        <f>Q67&amp;"-"&amp;V67</f>
        <v>Leisure/Social-Leisure/Social</v>
      </c>
      <c r="X67" s="33">
        <v>200000</v>
      </c>
      <c r="Y67" s="39">
        <v>300</v>
      </c>
      <c r="Z67" s="39">
        <v>10</v>
      </c>
      <c r="AA67" s="33">
        <v>10</v>
      </c>
      <c r="AB67" s="35" t="str">
        <f>VLOOKUP(AA67,Key!$C$20:$D$29,2,FALSE)</f>
        <v>Other</v>
      </c>
      <c r="AC67" s="33">
        <v>2</v>
      </c>
      <c r="AD67" s="35" t="str">
        <f>VLOOKUP(AC67,Key!$E$20:$F$24,2,FALSE)</f>
        <v>300,000-500,000</v>
      </c>
      <c r="AE67" s="33">
        <v>1</v>
      </c>
      <c r="AF67" s="39">
        <v>1</v>
      </c>
      <c r="AG67" s="39">
        <v>2</v>
      </c>
      <c r="AH67" s="39">
        <v>1</v>
      </c>
      <c r="AI67" s="39">
        <v>2</v>
      </c>
      <c r="AJ67" s="40" t="s">
        <v>274</v>
      </c>
      <c r="AK67" s="41"/>
      <c r="AL67" s="25"/>
      <c r="AM67" s="25"/>
      <c r="AN67" s="19"/>
      <c r="AO67" s="19"/>
      <c r="AP67" s="19"/>
      <c r="AQ67" s="19"/>
      <c r="AR67" s="19"/>
      <c r="AS67" s="19"/>
      <c r="AT67" s="19"/>
    </row>
    <row r="68" spans="2:46" x14ac:dyDescent="0.2">
      <c r="B68" s="50">
        <v>43699</v>
      </c>
      <c r="C68" s="36">
        <v>0.42986111111111108</v>
      </c>
      <c r="D68" s="36"/>
      <c r="E68" s="36" t="s">
        <v>267</v>
      </c>
      <c r="F68" s="38">
        <v>2</v>
      </c>
      <c r="G68" s="43" t="str">
        <f>VLOOKUP(F68,Key!$A$17:$B$21,2,FALSE)</f>
        <v>Road Vehicle</v>
      </c>
      <c r="H68" s="37">
        <v>4</v>
      </c>
      <c r="I68" s="44" t="str">
        <f>VLOOKUP(H68,Key!$A$2:$B$13,2,FALSE)</f>
        <v>Minibus</v>
      </c>
      <c r="J68" s="38" t="s">
        <v>268</v>
      </c>
      <c r="K68" s="38">
        <v>2</v>
      </c>
      <c r="L68" s="45" t="str">
        <f>VLOOKUP(K68,Key!$A$24:$B$29,2,FALSE)</f>
        <v>30-39</v>
      </c>
      <c r="M68" s="38" t="s">
        <v>275</v>
      </c>
      <c r="N68" s="33" t="s">
        <v>276</v>
      </c>
      <c r="O68" s="38" t="s">
        <v>271</v>
      </c>
      <c r="P68" s="40">
        <v>1</v>
      </c>
      <c r="Q68" s="35" t="str">
        <f>VLOOKUP(P68,Key!$E$2:$F$9,2,FALSE)</f>
        <v>Home</v>
      </c>
      <c r="R68" s="38" t="s">
        <v>272</v>
      </c>
      <c r="S68" s="33" t="s">
        <v>273</v>
      </c>
      <c r="T68" s="38" t="s">
        <v>271</v>
      </c>
      <c r="U68" s="33">
        <v>6</v>
      </c>
      <c r="V68" s="35" t="str">
        <f>VLOOKUP(U68,Key!$E$2:$F$9,2,FALSE)</f>
        <v>Leisure/Social</v>
      </c>
      <c r="W68" s="35" t="str">
        <f>Q68&amp;"-"&amp;V68</f>
        <v>Home-Leisure/Social</v>
      </c>
      <c r="X68" s="33">
        <v>30000</v>
      </c>
      <c r="Y68" s="39">
        <v>30</v>
      </c>
      <c r="Z68" s="39">
        <v>1</v>
      </c>
      <c r="AA68" s="33">
        <v>8</v>
      </c>
      <c r="AB68" s="35" t="str">
        <f>VLOOKUP(AA68,Key!$C$20:$D$29,2,FALSE)</f>
        <v>Student</v>
      </c>
      <c r="AC68" s="33">
        <v>2</v>
      </c>
      <c r="AD68" s="35" t="str">
        <f>VLOOKUP(AC68,Key!$E$20:$F$24,2,FALSE)</f>
        <v>300,000-500,000</v>
      </c>
      <c r="AE68" s="33">
        <v>1</v>
      </c>
      <c r="AF68" s="39">
        <v>1</v>
      </c>
      <c r="AG68" s="39">
        <v>1</v>
      </c>
      <c r="AH68" s="39">
        <v>1</v>
      </c>
      <c r="AI68" s="39">
        <v>1</v>
      </c>
      <c r="AJ68" s="40" t="s">
        <v>274</v>
      </c>
      <c r="AK68" s="41">
        <v>5000</v>
      </c>
      <c r="AL68" s="25"/>
      <c r="AM68" s="25"/>
    </row>
    <row r="69" spans="2:46" x14ac:dyDescent="0.2">
      <c r="B69" s="50">
        <v>43699</v>
      </c>
      <c r="C69" s="36">
        <v>0.41736111111111113</v>
      </c>
      <c r="D69" s="36"/>
      <c r="E69" s="36" t="s">
        <v>267</v>
      </c>
      <c r="F69" s="38">
        <v>2</v>
      </c>
      <c r="G69" s="43" t="str">
        <f>VLOOKUP(F69,Key!$A$17:$B$21,2,FALSE)</f>
        <v>Road Vehicle</v>
      </c>
      <c r="H69" s="37">
        <v>4</v>
      </c>
      <c r="I69" s="44" t="str">
        <f>VLOOKUP(H69,Key!$A$2:$B$13,2,FALSE)</f>
        <v>Minibus</v>
      </c>
      <c r="J69" s="38" t="s">
        <v>268</v>
      </c>
      <c r="K69" s="38">
        <v>2</v>
      </c>
      <c r="L69" s="45" t="str">
        <f>VLOOKUP(K69,Key!$A$24:$B$29,2,FALSE)</f>
        <v>30-39</v>
      </c>
      <c r="M69" s="38" t="s">
        <v>277</v>
      </c>
      <c r="N69" s="33" t="s">
        <v>278</v>
      </c>
      <c r="O69" s="38" t="s">
        <v>271</v>
      </c>
      <c r="P69" s="40">
        <v>2</v>
      </c>
      <c r="Q69" s="35" t="str">
        <f>VLOOKUP(P69,Key!$E$2:$F$9,2,FALSE)</f>
        <v>Work</v>
      </c>
      <c r="R69" s="38" t="s">
        <v>272</v>
      </c>
      <c r="S69" s="33" t="s">
        <v>273</v>
      </c>
      <c r="T69" s="38" t="s">
        <v>271</v>
      </c>
      <c r="U69" s="33">
        <v>4</v>
      </c>
      <c r="V69" s="35" t="str">
        <f>VLOOKUP(U69,Key!$E$2:$F$9,2,FALSE)</f>
        <v>Commercial</v>
      </c>
      <c r="W69" s="35" t="str">
        <f>Q69&amp;"-"&amp;V69</f>
        <v>Work-Commercial</v>
      </c>
      <c r="X69" s="33">
        <v>70000</v>
      </c>
      <c r="Y69" s="39">
        <v>57</v>
      </c>
      <c r="Z69" s="39">
        <v>2</v>
      </c>
      <c r="AA69" s="33">
        <v>10</v>
      </c>
      <c r="AB69" s="35" t="str">
        <f>VLOOKUP(AA69,Key!$C$20:$D$29,2,FALSE)</f>
        <v>Other</v>
      </c>
      <c r="AC69" s="33">
        <v>1</v>
      </c>
      <c r="AD69" s="35" t="str">
        <f>VLOOKUP(AC69,Key!$E$20:$F$24,2,FALSE)</f>
        <v>&lt;300,000</v>
      </c>
      <c r="AE69" s="33">
        <v>1</v>
      </c>
      <c r="AF69" s="39">
        <v>1</v>
      </c>
      <c r="AG69" s="39">
        <v>2</v>
      </c>
      <c r="AH69" s="39">
        <v>1</v>
      </c>
      <c r="AI69" s="39">
        <v>2</v>
      </c>
      <c r="AJ69" s="40" t="s">
        <v>274</v>
      </c>
      <c r="AK69" s="41"/>
      <c r="AL69" s="25"/>
      <c r="AM69" s="25"/>
    </row>
    <row r="70" spans="2:46" x14ac:dyDescent="0.2">
      <c r="B70" s="50">
        <v>43699</v>
      </c>
      <c r="C70" s="36">
        <v>0.40347222222222223</v>
      </c>
      <c r="D70" s="36"/>
      <c r="E70" s="36" t="s">
        <v>267</v>
      </c>
      <c r="F70" s="38">
        <v>2</v>
      </c>
      <c r="G70" s="43" t="str">
        <f>VLOOKUP(F70,Key!$A$17:$B$21,2,FALSE)</f>
        <v>Road Vehicle</v>
      </c>
      <c r="H70" s="37">
        <v>4</v>
      </c>
      <c r="I70" s="44" t="str">
        <f>VLOOKUP(H70,Key!$A$2:$B$13,2,FALSE)</f>
        <v>Minibus</v>
      </c>
      <c r="J70" s="38" t="s">
        <v>268</v>
      </c>
      <c r="K70" s="38">
        <v>2</v>
      </c>
      <c r="L70" s="45" t="str">
        <f>VLOOKUP(K70,Key!$A$24:$B$29,2,FALSE)</f>
        <v>30-39</v>
      </c>
      <c r="M70" s="38" t="s">
        <v>272</v>
      </c>
      <c r="N70" s="33" t="s">
        <v>273</v>
      </c>
      <c r="O70" s="38" t="s">
        <v>271</v>
      </c>
      <c r="P70" s="40">
        <v>4</v>
      </c>
      <c r="Q70" s="35" t="str">
        <f>VLOOKUP(P70,Key!$E$2:$F$9,2,FALSE)</f>
        <v>Commercial</v>
      </c>
      <c r="R70" s="38" t="s">
        <v>279</v>
      </c>
      <c r="S70" s="33" t="s">
        <v>264</v>
      </c>
      <c r="T70" s="38" t="s">
        <v>271</v>
      </c>
      <c r="U70" s="33">
        <v>4</v>
      </c>
      <c r="V70" s="35" t="str">
        <f>VLOOKUP(U70,Key!$E$2:$F$9,2,FALSE)</f>
        <v>Commercial</v>
      </c>
      <c r="W70" s="35" t="str">
        <f>Q70&amp;"-"&amp;V70</f>
        <v>Commercial-Commercial</v>
      </c>
      <c r="X70" s="33">
        <v>110000</v>
      </c>
      <c r="Y70" s="39">
        <v>120</v>
      </c>
      <c r="Z70" s="39">
        <v>4</v>
      </c>
      <c r="AA70" s="33">
        <v>10</v>
      </c>
      <c r="AB70" s="35" t="str">
        <f>VLOOKUP(AA70,Key!$C$20:$D$29,2,FALSE)</f>
        <v>Other</v>
      </c>
      <c r="AC70" s="33">
        <v>2</v>
      </c>
      <c r="AD70" s="35" t="str">
        <f>VLOOKUP(AC70,Key!$E$20:$F$24,2,FALSE)</f>
        <v>300,000-500,000</v>
      </c>
      <c r="AE70" s="33">
        <v>1</v>
      </c>
      <c r="AF70" s="39">
        <v>1</v>
      </c>
      <c r="AG70" s="39">
        <v>2</v>
      </c>
      <c r="AH70" s="39">
        <v>1</v>
      </c>
      <c r="AI70" s="39">
        <v>1</v>
      </c>
      <c r="AJ70" s="40" t="s">
        <v>274</v>
      </c>
      <c r="AK70" s="41"/>
      <c r="AL70" s="25"/>
      <c r="AM70" s="25"/>
    </row>
    <row r="71" spans="2:46" x14ac:dyDescent="0.2">
      <c r="B71" s="50">
        <v>43699</v>
      </c>
      <c r="C71" s="36">
        <v>0.38541666666666669</v>
      </c>
      <c r="D71" s="36"/>
      <c r="E71" s="36" t="s">
        <v>267</v>
      </c>
      <c r="F71" s="38">
        <v>2</v>
      </c>
      <c r="G71" s="43" t="str">
        <f>VLOOKUP(F71,Key!$A$17:$B$21,2,FALSE)</f>
        <v>Road Vehicle</v>
      </c>
      <c r="H71" s="37">
        <v>4</v>
      </c>
      <c r="I71" s="44" t="str">
        <f>VLOOKUP(H71,Key!$A$2:$B$13,2,FALSE)</f>
        <v>Minibus</v>
      </c>
      <c r="J71" s="38" t="s">
        <v>268</v>
      </c>
      <c r="K71" s="38">
        <v>2</v>
      </c>
      <c r="L71" s="45" t="str">
        <f>VLOOKUP(K71,Key!$A$24:$B$29,2,FALSE)</f>
        <v>30-39</v>
      </c>
      <c r="M71" s="38" t="s">
        <v>279</v>
      </c>
      <c r="N71" s="33" t="s">
        <v>264</v>
      </c>
      <c r="O71" s="38" t="s">
        <v>271</v>
      </c>
      <c r="P71" s="40">
        <v>2</v>
      </c>
      <c r="Q71" s="35" t="str">
        <f>VLOOKUP(P71,Key!$E$2:$F$9,2,FALSE)</f>
        <v>Work</v>
      </c>
      <c r="R71" s="38" t="s">
        <v>272</v>
      </c>
      <c r="S71" s="33" t="s">
        <v>273</v>
      </c>
      <c r="T71" s="38" t="s">
        <v>271</v>
      </c>
      <c r="U71" s="33">
        <v>2</v>
      </c>
      <c r="V71" s="35" t="str">
        <f>VLOOKUP(U71,Key!$E$2:$F$9,2,FALSE)</f>
        <v>Work</v>
      </c>
      <c r="W71" s="35" t="str">
        <f>Q71&amp;"-"&amp;V71</f>
        <v>Work-Work</v>
      </c>
      <c r="X71" s="33">
        <v>140000</v>
      </c>
      <c r="Y71" s="39">
        <v>140</v>
      </c>
      <c r="Z71" s="39">
        <v>4</v>
      </c>
      <c r="AA71" s="33">
        <v>10</v>
      </c>
      <c r="AB71" s="35" t="str">
        <f>VLOOKUP(AA71,Key!$C$20:$D$29,2,FALSE)</f>
        <v>Other</v>
      </c>
      <c r="AC71" s="33">
        <v>3</v>
      </c>
      <c r="AD71" s="35" t="str">
        <f>VLOOKUP(AC71,Key!$E$20:$F$24,2,FALSE)</f>
        <v>500,000-750,000</v>
      </c>
      <c r="AE71" s="33">
        <v>1</v>
      </c>
      <c r="AF71" s="39">
        <v>1</v>
      </c>
      <c r="AG71" s="39">
        <v>1</v>
      </c>
      <c r="AH71" s="39">
        <v>2</v>
      </c>
      <c r="AI71" s="39">
        <v>1</v>
      </c>
      <c r="AJ71" s="40" t="s">
        <v>274</v>
      </c>
      <c r="AK71" s="41"/>
      <c r="AL71" s="25"/>
      <c r="AM71" s="25"/>
    </row>
    <row r="72" spans="2:46" x14ac:dyDescent="0.2">
      <c r="B72" s="50">
        <v>43699</v>
      </c>
      <c r="C72" s="36">
        <v>0.34027777777777773</v>
      </c>
      <c r="D72" s="36"/>
      <c r="E72" s="36" t="s">
        <v>267</v>
      </c>
      <c r="F72" s="38">
        <v>2</v>
      </c>
      <c r="G72" s="43" t="str">
        <f>VLOOKUP(F72,Key!$A$17:$B$21,2,FALSE)</f>
        <v>Road Vehicle</v>
      </c>
      <c r="H72" s="37">
        <v>4</v>
      </c>
      <c r="I72" s="44" t="str">
        <f>VLOOKUP(H72,Key!$A$2:$B$13,2,FALSE)</f>
        <v>Minibus</v>
      </c>
      <c r="J72" s="38" t="s">
        <v>268</v>
      </c>
      <c r="K72" s="38">
        <v>2</v>
      </c>
      <c r="L72" s="45" t="str">
        <f>VLOOKUP(K72,Key!$A$24:$B$29,2,FALSE)</f>
        <v>30-39</v>
      </c>
      <c r="M72" s="38" t="s">
        <v>282</v>
      </c>
      <c r="N72" s="33" t="s">
        <v>283</v>
      </c>
      <c r="O72" s="38" t="s">
        <v>271</v>
      </c>
      <c r="P72" s="40">
        <v>1</v>
      </c>
      <c r="Q72" s="35" t="str">
        <f>VLOOKUP(P72,Key!$E$2:$F$9,2,FALSE)</f>
        <v>Home</v>
      </c>
      <c r="R72" s="38" t="s">
        <v>272</v>
      </c>
      <c r="S72" s="33" t="s">
        <v>273</v>
      </c>
      <c r="T72" s="38" t="s">
        <v>271</v>
      </c>
      <c r="U72" s="33">
        <v>4</v>
      </c>
      <c r="V72" s="35" t="str">
        <f>VLOOKUP(U72,Key!$E$2:$F$9,2,FALSE)</f>
        <v>Commercial</v>
      </c>
      <c r="W72" s="35" t="str">
        <f>Q72&amp;"-"&amp;V72</f>
        <v>Home-Commercial</v>
      </c>
      <c r="X72" s="33">
        <v>50000</v>
      </c>
      <c r="Y72" s="39">
        <v>60</v>
      </c>
      <c r="Z72" s="39">
        <v>2</v>
      </c>
      <c r="AA72" s="33">
        <v>6</v>
      </c>
      <c r="AB72" s="35" t="str">
        <f>VLOOKUP(AA72,Key!$C$20:$D$29,2,FALSE)</f>
        <v>Businessman</v>
      </c>
      <c r="AC72" s="33">
        <v>3</v>
      </c>
      <c r="AD72" s="35" t="str">
        <f>VLOOKUP(AC72,Key!$E$20:$F$24,2,FALSE)</f>
        <v>500,000-750,000</v>
      </c>
      <c r="AE72" s="33">
        <v>1</v>
      </c>
      <c r="AF72" s="39">
        <v>2</v>
      </c>
      <c r="AG72" s="39">
        <v>1</v>
      </c>
      <c r="AH72" s="39">
        <v>1</v>
      </c>
      <c r="AI72" s="39">
        <v>1</v>
      </c>
      <c r="AJ72" s="40" t="s">
        <v>274</v>
      </c>
      <c r="AK72" s="41">
        <v>2000</v>
      </c>
      <c r="AL72" s="25"/>
      <c r="AM72" s="25"/>
    </row>
    <row r="73" spans="2:46" x14ac:dyDescent="0.2">
      <c r="B73" s="50">
        <v>43699</v>
      </c>
      <c r="C73" s="36">
        <v>0.32291666666666669</v>
      </c>
      <c r="D73" s="36"/>
      <c r="E73" s="36" t="s">
        <v>267</v>
      </c>
      <c r="F73" s="38">
        <v>2</v>
      </c>
      <c r="G73" s="43" t="str">
        <f>VLOOKUP(F73,Key!$A$17:$B$21,2,FALSE)</f>
        <v>Road Vehicle</v>
      </c>
      <c r="H73" s="37">
        <v>4</v>
      </c>
      <c r="I73" s="44" t="str">
        <f>VLOOKUP(H73,Key!$A$2:$B$13,2,FALSE)</f>
        <v>Minibus</v>
      </c>
      <c r="J73" s="38" t="s">
        <v>268</v>
      </c>
      <c r="K73" s="38">
        <v>2</v>
      </c>
      <c r="L73" s="45" t="str">
        <f>VLOOKUP(K73,Key!$A$24:$B$29,2,FALSE)</f>
        <v>30-39</v>
      </c>
      <c r="M73" s="38" t="s">
        <v>279</v>
      </c>
      <c r="N73" s="33" t="s">
        <v>264</v>
      </c>
      <c r="O73" s="38" t="s">
        <v>271</v>
      </c>
      <c r="P73" s="40">
        <v>2</v>
      </c>
      <c r="Q73" s="35" t="str">
        <f>VLOOKUP(P73,Key!$E$2:$F$9,2,FALSE)</f>
        <v>Work</v>
      </c>
      <c r="R73" s="38" t="s">
        <v>272</v>
      </c>
      <c r="S73" s="33" t="s">
        <v>273</v>
      </c>
      <c r="T73" s="38" t="s">
        <v>271</v>
      </c>
      <c r="U73" s="33">
        <v>2</v>
      </c>
      <c r="V73" s="35" t="str">
        <f>VLOOKUP(U73,Key!$E$2:$F$9,2,FALSE)</f>
        <v>Work</v>
      </c>
      <c r="W73" s="35" t="str">
        <f>Q73&amp;"-"&amp;V73</f>
        <v>Work-Work</v>
      </c>
      <c r="X73" s="33">
        <v>130000</v>
      </c>
      <c r="Y73" s="39">
        <v>120</v>
      </c>
      <c r="Z73" s="39">
        <v>3</v>
      </c>
      <c r="AA73" s="33">
        <v>10</v>
      </c>
      <c r="AB73" s="35" t="str">
        <f>VLOOKUP(AA73,Key!$C$20:$D$29,2,FALSE)</f>
        <v>Other</v>
      </c>
      <c r="AC73" s="33">
        <v>2</v>
      </c>
      <c r="AD73" s="35" t="str">
        <f>VLOOKUP(AC73,Key!$E$20:$F$24,2,FALSE)</f>
        <v>300,000-500,000</v>
      </c>
      <c r="AE73" s="33">
        <v>1</v>
      </c>
      <c r="AF73" s="39">
        <v>1</v>
      </c>
      <c r="AG73" s="39">
        <v>2</v>
      </c>
      <c r="AH73" s="39">
        <v>1</v>
      </c>
      <c r="AI73" s="39">
        <v>1</v>
      </c>
      <c r="AJ73" s="40" t="s">
        <v>274</v>
      </c>
      <c r="AK73" s="41"/>
      <c r="AL73" s="25"/>
      <c r="AM73" s="25"/>
    </row>
    <row r="74" spans="2:46" x14ac:dyDescent="0.2">
      <c r="B74" s="50">
        <v>43699</v>
      </c>
      <c r="C74" s="36">
        <v>0.73541666666666661</v>
      </c>
      <c r="D74" s="36"/>
      <c r="E74" s="36" t="s">
        <v>267</v>
      </c>
      <c r="F74" s="38">
        <v>2</v>
      </c>
      <c r="G74" s="43" t="str">
        <f>VLOOKUP(F74,Key!$A$17:$B$21,2,FALSE)</f>
        <v>Road Vehicle</v>
      </c>
      <c r="H74" s="37">
        <v>4</v>
      </c>
      <c r="I74" s="44" t="str">
        <f>VLOOKUP(H74,Key!$A$2:$B$13,2,FALSE)</f>
        <v>Minibus</v>
      </c>
      <c r="J74" s="38" t="s">
        <v>268</v>
      </c>
      <c r="K74" s="38">
        <v>2</v>
      </c>
      <c r="L74" s="45" t="str">
        <f>VLOOKUP(K74,Key!$A$24:$B$29,2,FALSE)</f>
        <v>30-39</v>
      </c>
      <c r="M74" s="38" t="s">
        <v>275</v>
      </c>
      <c r="N74" s="33" t="s">
        <v>276</v>
      </c>
      <c r="O74" s="38" t="s">
        <v>271</v>
      </c>
      <c r="P74" s="40">
        <v>2</v>
      </c>
      <c r="Q74" s="35" t="str">
        <f>VLOOKUP(P74,Key!$E$2:$F$9,2,FALSE)</f>
        <v>Work</v>
      </c>
      <c r="R74" s="38" t="s">
        <v>272</v>
      </c>
      <c r="S74" s="33" t="s">
        <v>273</v>
      </c>
      <c r="T74" s="38" t="s">
        <v>271</v>
      </c>
      <c r="U74" s="33">
        <v>4</v>
      </c>
      <c r="V74" s="35" t="str">
        <f>VLOOKUP(U74,Key!$E$2:$F$9,2,FALSE)</f>
        <v>Commercial</v>
      </c>
      <c r="W74" s="35" t="str">
        <f>Q74&amp;"-"&amp;V74</f>
        <v>Work-Commercial</v>
      </c>
      <c r="X74" s="33">
        <v>25000</v>
      </c>
      <c r="Y74" s="39">
        <v>38</v>
      </c>
      <c r="Z74" s="39">
        <v>1</v>
      </c>
      <c r="AA74" s="33">
        <v>6</v>
      </c>
      <c r="AB74" s="35" t="str">
        <f>VLOOKUP(AA74,Key!$C$20:$D$29,2,FALSE)</f>
        <v>Businessman</v>
      </c>
      <c r="AC74" s="33">
        <v>3</v>
      </c>
      <c r="AD74" s="35" t="str">
        <f>VLOOKUP(AC74,Key!$E$20:$F$24,2,FALSE)</f>
        <v>500,000-750,000</v>
      </c>
      <c r="AE74" s="33">
        <v>1</v>
      </c>
      <c r="AF74" s="39">
        <v>1</v>
      </c>
      <c r="AG74" s="39">
        <v>1</v>
      </c>
      <c r="AH74" s="39">
        <v>1</v>
      </c>
      <c r="AI74" s="39">
        <v>1</v>
      </c>
      <c r="AJ74" s="40" t="s">
        <v>274</v>
      </c>
      <c r="AK74" s="41">
        <v>500</v>
      </c>
      <c r="AL74" s="25"/>
      <c r="AM74" s="25"/>
    </row>
    <row r="75" spans="2:46" x14ac:dyDescent="0.2">
      <c r="B75" s="50">
        <v>43699</v>
      </c>
      <c r="C75" s="36">
        <v>0.70486111111111116</v>
      </c>
      <c r="D75" s="36"/>
      <c r="E75" s="36" t="s">
        <v>267</v>
      </c>
      <c r="F75" s="38">
        <v>2</v>
      </c>
      <c r="G75" s="43" t="str">
        <f>VLOOKUP(F75,Key!$A$17:$B$21,2,FALSE)</f>
        <v>Road Vehicle</v>
      </c>
      <c r="H75" s="37">
        <v>4</v>
      </c>
      <c r="I75" s="44" t="str">
        <f>VLOOKUP(H75,Key!$A$2:$B$13,2,FALSE)</f>
        <v>Minibus</v>
      </c>
      <c r="J75" s="38" t="s">
        <v>268</v>
      </c>
      <c r="K75" s="38">
        <v>2</v>
      </c>
      <c r="L75" s="45" t="str">
        <f>VLOOKUP(K75,Key!$A$24:$B$29,2,FALSE)</f>
        <v>30-39</v>
      </c>
      <c r="M75" s="38" t="s">
        <v>292</v>
      </c>
      <c r="N75" s="33" t="s">
        <v>273</v>
      </c>
      <c r="O75" s="38" t="s">
        <v>271</v>
      </c>
      <c r="P75" s="40">
        <v>2</v>
      </c>
      <c r="Q75" s="35" t="str">
        <f>VLOOKUP(P75,Key!$E$2:$F$9,2,FALSE)</f>
        <v>Work</v>
      </c>
      <c r="R75" s="38" t="s">
        <v>272</v>
      </c>
      <c r="S75" s="33" t="s">
        <v>273</v>
      </c>
      <c r="T75" s="38" t="s">
        <v>271</v>
      </c>
      <c r="U75" s="33">
        <v>2</v>
      </c>
      <c r="V75" s="35" t="str">
        <f>VLOOKUP(U75,Key!$E$2:$F$9,2,FALSE)</f>
        <v>Work</v>
      </c>
      <c r="W75" s="35" t="str">
        <f>Q75&amp;"-"&amp;V75</f>
        <v>Work-Work</v>
      </c>
      <c r="X75" s="33">
        <v>20000</v>
      </c>
      <c r="Y75" s="39">
        <v>35</v>
      </c>
      <c r="Z75" s="39">
        <v>1</v>
      </c>
      <c r="AA75" s="33">
        <v>10</v>
      </c>
      <c r="AB75" s="35" t="str">
        <f>VLOOKUP(AA75,Key!$C$20:$D$29,2,FALSE)</f>
        <v>Other</v>
      </c>
      <c r="AC75" s="33">
        <v>2</v>
      </c>
      <c r="AD75" s="35" t="str">
        <f>VLOOKUP(AC75,Key!$E$20:$F$24,2,FALSE)</f>
        <v>300,000-500,000</v>
      </c>
      <c r="AE75" s="33">
        <v>1</v>
      </c>
      <c r="AF75" s="39">
        <v>1</v>
      </c>
      <c r="AG75" s="39">
        <v>1</v>
      </c>
      <c r="AH75" s="39">
        <v>1</v>
      </c>
      <c r="AI75" s="39">
        <v>2</v>
      </c>
      <c r="AJ75" s="40" t="s">
        <v>274</v>
      </c>
      <c r="AK75" s="41"/>
      <c r="AL75" s="25"/>
      <c r="AM75" s="25"/>
    </row>
    <row r="76" spans="2:46" x14ac:dyDescent="0.2">
      <c r="B76" s="50">
        <v>43699</v>
      </c>
      <c r="C76" s="36">
        <v>0.68194444444444446</v>
      </c>
      <c r="D76" s="36"/>
      <c r="E76" s="36" t="s">
        <v>267</v>
      </c>
      <c r="F76" s="38">
        <v>2</v>
      </c>
      <c r="G76" s="43" t="str">
        <f>VLOOKUP(F76,Key!$A$17:$B$21,2,FALSE)</f>
        <v>Road Vehicle</v>
      </c>
      <c r="H76" s="37">
        <v>4</v>
      </c>
      <c r="I76" s="44" t="str">
        <f>VLOOKUP(H76,Key!$A$2:$B$13,2,FALSE)</f>
        <v>Minibus</v>
      </c>
      <c r="J76" s="38" t="s">
        <v>268</v>
      </c>
      <c r="K76" s="38">
        <v>2</v>
      </c>
      <c r="L76" s="45" t="str">
        <f>VLOOKUP(K76,Key!$A$24:$B$29,2,FALSE)</f>
        <v>30-39</v>
      </c>
      <c r="M76" s="38" t="s">
        <v>272</v>
      </c>
      <c r="N76" s="33" t="s">
        <v>273</v>
      </c>
      <c r="O76" s="38" t="s">
        <v>271</v>
      </c>
      <c r="P76" s="40">
        <v>4</v>
      </c>
      <c r="Q76" s="35" t="str">
        <f>VLOOKUP(P76,Key!$E$2:$F$9,2,FALSE)</f>
        <v>Commercial</v>
      </c>
      <c r="R76" s="38" t="s">
        <v>279</v>
      </c>
      <c r="S76" s="33" t="s">
        <v>264</v>
      </c>
      <c r="T76" s="38" t="s">
        <v>271</v>
      </c>
      <c r="U76" s="33">
        <v>2</v>
      </c>
      <c r="V76" s="35" t="str">
        <f>VLOOKUP(U76,Key!$E$2:$F$9,2,FALSE)</f>
        <v>Work</v>
      </c>
      <c r="W76" s="35" t="str">
        <f>Q76&amp;"-"&amp;V76</f>
        <v>Commercial-Work</v>
      </c>
      <c r="X76" s="33">
        <v>110000</v>
      </c>
      <c r="Y76" s="39">
        <v>100</v>
      </c>
      <c r="Z76" s="39">
        <v>5</v>
      </c>
      <c r="AA76" s="33">
        <v>10</v>
      </c>
      <c r="AB76" s="35" t="str">
        <f>VLOOKUP(AA76,Key!$C$20:$D$29,2,FALSE)</f>
        <v>Other</v>
      </c>
      <c r="AC76" s="33">
        <v>3</v>
      </c>
      <c r="AD76" s="35" t="str">
        <f>VLOOKUP(AC76,Key!$E$20:$F$24,2,FALSE)</f>
        <v>500,000-750,000</v>
      </c>
      <c r="AE76" s="33">
        <v>1</v>
      </c>
      <c r="AF76" s="39">
        <v>1</v>
      </c>
      <c r="AG76" s="39">
        <v>1</v>
      </c>
      <c r="AH76" s="39">
        <v>1</v>
      </c>
      <c r="AI76" s="39">
        <v>1</v>
      </c>
      <c r="AJ76" s="40" t="s">
        <v>274</v>
      </c>
      <c r="AK76" s="41">
        <v>1000</v>
      </c>
      <c r="AL76" s="25"/>
      <c r="AM76" s="25"/>
    </row>
    <row r="77" spans="2:46" x14ac:dyDescent="0.2">
      <c r="B77" s="50">
        <v>43699</v>
      </c>
      <c r="C77" s="36">
        <v>0.61736111111111114</v>
      </c>
      <c r="D77" s="36"/>
      <c r="E77" s="36" t="s">
        <v>267</v>
      </c>
      <c r="F77" s="38">
        <v>2</v>
      </c>
      <c r="G77" s="43" t="str">
        <f>VLOOKUP(F77,Key!$A$17:$B$21,2,FALSE)</f>
        <v>Road Vehicle</v>
      </c>
      <c r="H77" s="37">
        <v>4</v>
      </c>
      <c r="I77" s="44" t="str">
        <f>VLOOKUP(H77,Key!$A$2:$B$13,2,FALSE)</f>
        <v>Minibus</v>
      </c>
      <c r="J77" s="38" t="s">
        <v>268</v>
      </c>
      <c r="K77" s="38">
        <v>2</v>
      </c>
      <c r="L77" s="45" t="str">
        <f>VLOOKUP(K77,Key!$A$24:$B$29,2,FALSE)</f>
        <v>30-39</v>
      </c>
      <c r="M77" s="38" t="s">
        <v>280</v>
      </c>
      <c r="N77" s="33" t="s">
        <v>281</v>
      </c>
      <c r="O77" s="38" t="s">
        <v>271</v>
      </c>
      <c r="P77" s="40">
        <v>4</v>
      </c>
      <c r="Q77" s="35" t="str">
        <f>VLOOKUP(P77,Key!$E$2:$F$9,2,FALSE)</f>
        <v>Commercial</v>
      </c>
      <c r="R77" s="38" t="s">
        <v>272</v>
      </c>
      <c r="S77" s="33" t="s">
        <v>273</v>
      </c>
      <c r="T77" s="38" t="s">
        <v>271</v>
      </c>
      <c r="U77" s="33">
        <v>4</v>
      </c>
      <c r="V77" s="35" t="str">
        <f>VLOOKUP(U77,Key!$E$2:$F$9,2,FALSE)</f>
        <v>Commercial</v>
      </c>
      <c r="W77" s="35" t="str">
        <f>Q77&amp;"-"&amp;V77</f>
        <v>Commercial-Commercial</v>
      </c>
      <c r="X77" s="33">
        <v>35000</v>
      </c>
      <c r="Y77" s="39">
        <v>60</v>
      </c>
      <c r="Z77" s="39">
        <v>1</v>
      </c>
      <c r="AA77" s="33">
        <v>6</v>
      </c>
      <c r="AB77" s="35" t="str">
        <f>VLOOKUP(AA77,Key!$C$20:$D$29,2,FALSE)</f>
        <v>Businessman</v>
      </c>
      <c r="AC77" s="33">
        <v>3</v>
      </c>
      <c r="AD77" s="35" t="str">
        <f>VLOOKUP(AC77,Key!$E$20:$F$24,2,FALSE)</f>
        <v>500,000-750,000</v>
      </c>
      <c r="AE77" s="33">
        <v>1</v>
      </c>
      <c r="AF77" s="39">
        <v>2</v>
      </c>
      <c r="AG77" s="39">
        <v>2</v>
      </c>
      <c r="AH77" s="39">
        <v>1</v>
      </c>
      <c r="AI77" s="39">
        <v>2</v>
      </c>
      <c r="AJ77" s="40" t="s">
        <v>274</v>
      </c>
      <c r="AK77" s="41"/>
      <c r="AL77" s="25"/>
      <c r="AM77" s="25"/>
    </row>
    <row r="78" spans="2:46" x14ac:dyDescent="0.2">
      <c r="B78" s="50">
        <v>43700</v>
      </c>
      <c r="C78" s="36">
        <v>0.51111111111111118</v>
      </c>
      <c r="D78" s="36"/>
      <c r="E78" s="36" t="s">
        <v>267</v>
      </c>
      <c r="F78" s="38">
        <v>2</v>
      </c>
      <c r="G78" s="43" t="str">
        <f>VLOOKUP(F78,Key!$A$17:$B$21,2,FALSE)</f>
        <v>Road Vehicle</v>
      </c>
      <c r="H78" s="37">
        <v>4</v>
      </c>
      <c r="I78" s="44" t="str">
        <f>VLOOKUP(H78,Key!$A$2:$B$13,2,FALSE)</f>
        <v>Minibus</v>
      </c>
      <c r="J78" s="38" t="s">
        <v>268</v>
      </c>
      <c r="K78" s="38">
        <v>2</v>
      </c>
      <c r="L78" s="45" t="str">
        <f>VLOOKUP(K78,Key!$A$24:$B$29,2,FALSE)</f>
        <v>30-39</v>
      </c>
      <c r="M78" s="38" t="s">
        <v>279</v>
      </c>
      <c r="N78" s="33" t="s">
        <v>264</v>
      </c>
      <c r="O78" s="38" t="s">
        <v>271</v>
      </c>
      <c r="P78" s="40">
        <v>2</v>
      </c>
      <c r="Q78" s="35" t="str">
        <f>VLOOKUP(P78,Key!$E$2:$F$9,2,FALSE)</f>
        <v>Work</v>
      </c>
      <c r="R78" s="38" t="s">
        <v>272</v>
      </c>
      <c r="S78" s="33" t="s">
        <v>273</v>
      </c>
      <c r="T78" s="38" t="s">
        <v>271</v>
      </c>
      <c r="U78" s="33">
        <v>4</v>
      </c>
      <c r="V78" s="35" t="str">
        <f>VLOOKUP(U78,Key!$E$2:$F$9,2,FALSE)</f>
        <v>Commercial</v>
      </c>
      <c r="W78" s="35" t="str">
        <f>Q78&amp;"-"&amp;V78</f>
        <v>Work-Commercial</v>
      </c>
      <c r="X78" s="33">
        <v>120000</v>
      </c>
      <c r="Y78" s="39">
        <v>130</v>
      </c>
      <c r="Z78" s="39">
        <v>4</v>
      </c>
      <c r="AA78" s="33">
        <v>10</v>
      </c>
      <c r="AB78" s="35" t="str">
        <f>VLOOKUP(AA78,Key!$C$20:$D$29,2,FALSE)</f>
        <v>Other</v>
      </c>
      <c r="AC78" s="33">
        <v>1</v>
      </c>
      <c r="AD78" s="35" t="str">
        <f>VLOOKUP(AC78,Key!$E$20:$F$24,2,FALSE)</f>
        <v>&lt;300,000</v>
      </c>
      <c r="AE78" s="33">
        <v>1</v>
      </c>
      <c r="AF78" s="39">
        <v>1</v>
      </c>
      <c r="AG78" s="39">
        <v>3</v>
      </c>
      <c r="AH78" s="39">
        <v>1</v>
      </c>
      <c r="AI78" s="39">
        <v>1</v>
      </c>
      <c r="AJ78" s="40" t="s">
        <v>274</v>
      </c>
      <c r="AK78" s="41"/>
      <c r="AL78" s="25"/>
      <c r="AM78" s="25"/>
    </row>
    <row r="79" spans="2:46" x14ac:dyDescent="0.2">
      <c r="B79" s="50">
        <v>43700</v>
      </c>
      <c r="C79" s="36">
        <v>0.67847222222222225</v>
      </c>
      <c r="D79" s="36"/>
      <c r="E79" s="36" t="s">
        <v>267</v>
      </c>
      <c r="F79" s="38">
        <v>2</v>
      </c>
      <c r="G79" s="43" t="str">
        <f>VLOOKUP(F79,Key!$A$17:$B$21,2,FALSE)</f>
        <v>Road Vehicle</v>
      </c>
      <c r="H79" s="37">
        <v>4</v>
      </c>
      <c r="I79" s="44" t="str">
        <f>VLOOKUP(H79,Key!$A$2:$B$13,2,FALSE)</f>
        <v>Minibus</v>
      </c>
      <c r="J79" s="38" t="s">
        <v>268</v>
      </c>
      <c r="K79" s="38">
        <v>2</v>
      </c>
      <c r="L79" s="45" t="str">
        <f>VLOOKUP(K79,Key!$A$24:$B$29,2,FALSE)</f>
        <v>30-39</v>
      </c>
      <c r="M79" s="38" t="s">
        <v>279</v>
      </c>
      <c r="N79" s="33" t="s">
        <v>264</v>
      </c>
      <c r="O79" s="38" t="s">
        <v>271</v>
      </c>
      <c r="P79" s="40">
        <v>2</v>
      </c>
      <c r="Q79" s="35" t="str">
        <f>VLOOKUP(P79,Key!$E$2:$F$9,2,FALSE)</f>
        <v>Work</v>
      </c>
      <c r="R79" s="38" t="s">
        <v>272</v>
      </c>
      <c r="S79" s="33" t="s">
        <v>273</v>
      </c>
      <c r="T79" s="38" t="s">
        <v>271</v>
      </c>
      <c r="U79" s="33">
        <v>2</v>
      </c>
      <c r="V79" s="35" t="str">
        <f>VLOOKUP(U79,Key!$E$2:$F$9,2,FALSE)</f>
        <v>Work</v>
      </c>
      <c r="W79" s="35" t="str">
        <f>Q79&amp;"-"&amp;V79</f>
        <v>Work-Work</v>
      </c>
      <c r="X79" s="33">
        <v>110000</v>
      </c>
      <c r="Y79" s="39">
        <v>120</v>
      </c>
      <c r="Z79" s="39">
        <v>5</v>
      </c>
      <c r="AA79" s="33">
        <v>10</v>
      </c>
      <c r="AB79" s="35" t="str">
        <f>VLOOKUP(AA79,Key!$C$20:$D$29,2,FALSE)</f>
        <v>Other</v>
      </c>
      <c r="AC79" s="33">
        <v>3</v>
      </c>
      <c r="AD79" s="35" t="str">
        <f>VLOOKUP(AC79,Key!$E$20:$F$24,2,FALSE)</f>
        <v>500,000-750,000</v>
      </c>
      <c r="AE79" s="33">
        <v>1</v>
      </c>
      <c r="AF79" s="39">
        <v>1</v>
      </c>
      <c r="AG79" s="39">
        <v>2</v>
      </c>
      <c r="AH79" s="39">
        <v>1</v>
      </c>
      <c r="AI79" s="39">
        <v>1</v>
      </c>
      <c r="AJ79" s="40" t="s">
        <v>274</v>
      </c>
      <c r="AK79" s="41"/>
      <c r="AL79" s="25"/>
      <c r="AM79" s="25"/>
    </row>
    <row r="80" spans="2:46" x14ac:dyDescent="0.2">
      <c r="B80" s="50">
        <v>43700</v>
      </c>
      <c r="C80" s="36">
        <v>0.64583333333333337</v>
      </c>
      <c r="D80" s="36"/>
      <c r="E80" s="36" t="s">
        <v>267</v>
      </c>
      <c r="F80" s="38">
        <v>2</v>
      </c>
      <c r="G80" s="43" t="str">
        <f>VLOOKUP(F80,Key!$A$17:$B$21,2,FALSE)</f>
        <v>Road Vehicle</v>
      </c>
      <c r="H80" s="37">
        <v>4</v>
      </c>
      <c r="I80" s="44" t="str">
        <f>VLOOKUP(H80,Key!$A$2:$B$13,2,FALSE)</f>
        <v>Minibus</v>
      </c>
      <c r="J80" s="38" t="s">
        <v>268</v>
      </c>
      <c r="K80" s="38">
        <v>2</v>
      </c>
      <c r="L80" s="45" t="str">
        <f>VLOOKUP(K80,Key!$A$24:$B$29,2,FALSE)</f>
        <v>30-39</v>
      </c>
      <c r="M80" s="38" t="s">
        <v>279</v>
      </c>
      <c r="N80" s="33" t="s">
        <v>264</v>
      </c>
      <c r="O80" s="38" t="s">
        <v>271</v>
      </c>
      <c r="P80" s="40">
        <v>4</v>
      </c>
      <c r="Q80" s="35" t="str">
        <f>VLOOKUP(P80,Key!$E$2:$F$9,2,FALSE)</f>
        <v>Commercial</v>
      </c>
      <c r="R80" s="38" t="s">
        <v>272</v>
      </c>
      <c r="S80" s="33" t="s">
        <v>273</v>
      </c>
      <c r="T80" s="38" t="s">
        <v>271</v>
      </c>
      <c r="U80" s="33">
        <v>2</v>
      </c>
      <c r="V80" s="35" t="str">
        <f>VLOOKUP(U80,Key!$E$2:$F$9,2,FALSE)</f>
        <v>Work</v>
      </c>
      <c r="W80" s="35" t="str">
        <f>Q80&amp;"-"&amp;V80</f>
        <v>Commercial-Work</v>
      </c>
      <c r="X80" s="33">
        <v>150000</v>
      </c>
      <c r="Y80" s="39">
        <v>120</v>
      </c>
      <c r="Z80" s="39">
        <v>5</v>
      </c>
      <c r="AA80" s="33">
        <v>10</v>
      </c>
      <c r="AB80" s="35" t="str">
        <f>VLOOKUP(AA80,Key!$C$20:$D$29,2,FALSE)</f>
        <v>Other</v>
      </c>
      <c r="AC80" s="33">
        <v>2</v>
      </c>
      <c r="AD80" s="35" t="str">
        <f>VLOOKUP(AC80,Key!$E$20:$F$24,2,FALSE)</f>
        <v>300,000-500,000</v>
      </c>
      <c r="AE80" s="33">
        <v>1</v>
      </c>
      <c r="AF80" s="39">
        <v>1</v>
      </c>
      <c r="AG80" s="39">
        <v>2</v>
      </c>
      <c r="AH80" s="39">
        <v>1</v>
      </c>
      <c r="AI80" s="39">
        <v>1</v>
      </c>
      <c r="AJ80" s="40" t="s">
        <v>274</v>
      </c>
      <c r="AK80" s="41"/>
      <c r="AL80" s="25"/>
      <c r="AM80" s="25"/>
    </row>
    <row r="81" spans="2:39" x14ac:dyDescent="0.2">
      <c r="B81" s="50">
        <v>43700</v>
      </c>
      <c r="C81" s="36">
        <v>0.46875</v>
      </c>
      <c r="D81" s="36"/>
      <c r="E81" s="36" t="s">
        <v>267</v>
      </c>
      <c r="F81" s="38">
        <v>2</v>
      </c>
      <c r="G81" s="43" t="str">
        <f>VLOOKUP(F81,Key!$A$17:$B$21,2,FALSE)</f>
        <v>Road Vehicle</v>
      </c>
      <c r="H81" s="37">
        <v>4</v>
      </c>
      <c r="I81" s="44" t="str">
        <f>VLOOKUP(H81,Key!$A$2:$B$13,2,FALSE)</f>
        <v>Minibus</v>
      </c>
      <c r="J81" s="38" t="s">
        <v>268</v>
      </c>
      <c r="K81" s="38">
        <v>2</v>
      </c>
      <c r="L81" s="45" t="str">
        <f>VLOOKUP(K81,Key!$A$24:$B$29,2,FALSE)</f>
        <v>30-39</v>
      </c>
      <c r="M81" s="38" t="s">
        <v>279</v>
      </c>
      <c r="N81" s="33" t="s">
        <v>264</v>
      </c>
      <c r="O81" s="38" t="s">
        <v>271</v>
      </c>
      <c r="P81" s="40">
        <v>2</v>
      </c>
      <c r="Q81" s="35" t="str">
        <f>VLOOKUP(P81,Key!$E$2:$F$9,2,FALSE)</f>
        <v>Work</v>
      </c>
      <c r="R81" s="38" t="s">
        <v>272</v>
      </c>
      <c r="S81" s="33" t="s">
        <v>273</v>
      </c>
      <c r="T81" s="38"/>
      <c r="U81" s="33">
        <v>2</v>
      </c>
      <c r="V81" s="35" t="str">
        <f>VLOOKUP(U81,Key!$E$2:$F$9,2,FALSE)</f>
        <v>Work</v>
      </c>
      <c r="W81" s="35" t="str">
        <f>Q81&amp;"-"&amp;V81</f>
        <v>Work-Work</v>
      </c>
      <c r="X81" s="33">
        <v>120000</v>
      </c>
      <c r="Y81" s="39">
        <v>120</v>
      </c>
      <c r="Z81" s="39">
        <v>5</v>
      </c>
      <c r="AA81" s="33">
        <v>10</v>
      </c>
      <c r="AB81" s="35" t="str">
        <f>VLOOKUP(AA81,Key!$C$20:$D$29,2,FALSE)</f>
        <v>Other</v>
      </c>
      <c r="AC81" s="33">
        <v>2</v>
      </c>
      <c r="AD81" s="35" t="str">
        <f>VLOOKUP(AC81,Key!$E$20:$F$24,2,FALSE)</f>
        <v>300,000-500,000</v>
      </c>
      <c r="AE81" s="33">
        <v>1</v>
      </c>
      <c r="AF81" s="39">
        <v>1</v>
      </c>
      <c r="AG81" s="39">
        <v>1</v>
      </c>
      <c r="AH81" s="39">
        <v>2</v>
      </c>
      <c r="AI81" s="39">
        <v>1</v>
      </c>
      <c r="AJ81" s="40" t="s">
        <v>274</v>
      </c>
      <c r="AK81" s="41"/>
      <c r="AL81" s="25"/>
      <c r="AM81" s="25"/>
    </row>
    <row r="82" spans="2:39" x14ac:dyDescent="0.2">
      <c r="B82" s="50">
        <v>43700</v>
      </c>
      <c r="C82" s="36">
        <v>0.50416666666666665</v>
      </c>
      <c r="D82" s="36"/>
      <c r="E82" s="36" t="s">
        <v>267</v>
      </c>
      <c r="F82" s="38">
        <v>2</v>
      </c>
      <c r="G82" s="43" t="str">
        <f>VLOOKUP(F82,Key!$A$17:$B$21,2,FALSE)</f>
        <v>Road Vehicle</v>
      </c>
      <c r="H82" s="37">
        <v>4</v>
      </c>
      <c r="I82" s="44" t="str">
        <f>VLOOKUP(H82,Key!$A$2:$B$13,2,FALSE)</f>
        <v>Minibus</v>
      </c>
      <c r="J82" s="38" t="s">
        <v>268</v>
      </c>
      <c r="K82" s="38">
        <v>2</v>
      </c>
      <c r="L82" s="45" t="str">
        <f>VLOOKUP(K82,Key!$A$24:$B$29,2,FALSE)</f>
        <v>30-39</v>
      </c>
      <c r="M82" s="38" t="s">
        <v>272</v>
      </c>
      <c r="N82" s="33" t="s">
        <v>273</v>
      </c>
      <c r="O82" s="38" t="s">
        <v>271</v>
      </c>
      <c r="P82" s="40">
        <v>2</v>
      </c>
      <c r="Q82" s="35" t="str">
        <f>VLOOKUP(P82,Key!$E$2:$F$9,2,FALSE)</f>
        <v>Work</v>
      </c>
      <c r="R82" s="38" t="s">
        <v>279</v>
      </c>
      <c r="S82" s="33" t="s">
        <v>264</v>
      </c>
      <c r="T82" s="38"/>
      <c r="U82" s="33">
        <v>4</v>
      </c>
      <c r="V82" s="35" t="str">
        <f>VLOOKUP(U82,Key!$E$2:$F$9,2,FALSE)</f>
        <v>Commercial</v>
      </c>
      <c r="W82" s="35" t="str">
        <f>Q82&amp;"-"&amp;V82</f>
        <v>Work-Commercial</v>
      </c>
      <c r="X82" s="33">
        <v>110000</v>
      </c>
      <c r="Y82" s="39">
        <v>130</v>
      </c>
      <c r="Z82" s="39">
        <v>4</v>
      </c>
      <c r="AA82" s="33">
        <v>10</v>
      </c>
      <c r="AB82" s="35" t="str">
        <f>VLOOKUP(AA82,Key!$C$20:$D$29,2,FALSE)</f>
        <v>Other</v>
      </c>
      <c r="AC82" s="33">
        <v>2</v>
      </c>
      <c r="AD82" s="35" t="str">
        <f>VLOOKUP(AC82,Key!$E$20:$F$24,2,FALSE)</f>
        <v>300,000-500,000</v>
      </c>
      <c r="AE82" s="33">
        <v>1</v>
      </c>
      <c r="AF82" s="39">
        <v>1</v>
      </c>
      <c r="AG82" s="39">
        <v>1</v>
      </c>
      <c r="AH82" s="39">
        <v>1</v>
      </c>
      <c r="AI82" s="39">
        <v>1</v>
      </c>
      <c r="AJ82" s="40" t="s">
        <v>274</v>
      </c>
      <c r="AK82" s="41">
        <v>1000</v>
      </c>
      <c r="AL82" s="25"/>
      <c r="AM82" s="25"/>
    </row>
    <row r="83" spans="2:39" x14ac:dyDescent="0.2">
      <c r="B83" s="50">
        <v>43700</v>
      </c>
      <c r="C83" s="36">
        <v>0.5180555555555556</v>
      </c>
      <c r="D83" s="36"/>
      <c r="E83" s="36" t="s">
        <v>267</v>
      </c>
      <c r="F83" s="38">
        <v>2</v>
      </c>
      <c r="G83" s="43" t="str">
        <f>VLOOKUP(F83,Key!$A$17:$B$21,2,FALSE)</f>
        <v>Road Vehicle</v>
      </c>
      <c r="H83" s="37">
        <v>4</v>
      </c>
      <c r="I83" s="44" t="str">
        <f>VLOOKUP(H83,Key!$A$2:$B$13,2,FALSE)</f>
        <v>Minibus</v>
      </c>
      <c r="J83" s="38" t="s">
        <v>268</v>
      </c>
      <c r="K83" s="38">
        <v>2</v>
      </c>
      <c r="L83" s="45" t="str">
        <f>VLOOKUP(K83,Key!$A$24:$B$29,2,FALSE)</f>
        <v>30-39</v>
      </c>
      <c r="M83" s="38" t="s">
        <v>295</v>
      </c>
      <c r="N83" s="33" t="s">
        <v>296</v>
      </c>
      <c r="O83" s="38" t="s">
        <v>271</v>
      </c>
      <c r="P83" s="40">
        <v>2</v>
      </c>
      <c r="Q83" s="35" t="str">
        <f>VLOOKUP(P83,Key!$E$2:$F$9,2,FALSE)</f>
        <v>Work</v>
      </c>
      <c r="R83" s="38" t="s">
        <v>272</v>
      </c>
      <c r="S83" s="33" t="s">
        <v>273</v>
      </c>
      <c r="T83" s="38"/>
      <c r="U83" s="33">
        <v>4</v>
      </c>
      <c r="V83" s="35" t="str">
        <f>VLOOKUP(U83,Key!$E$2:$F$9,2,FALSE)</f>
        <v>Commercial</v>
      </c>
      <c r="W83" s="35" t="str">
        <f>Q83&amp;"-"&amp;V83</f>
        <v>Work-Commercial</v>
      </c>
      <c r="X83" s="33">
        <v>60000</v>
      </c>
      <c r="Y83" s="39">
        <v>68</v>
      </c>
      <c r="Z83" s="39">
        <v>2</v>
      </c>
      <c r="AA83" s="33">
        <v>10</v>
      </c>
      <c r="AB83" s="35" t="str">
        <f>VLOOKUP(AA83,Key!$C$20:$D$29,2,FALSE)</f>
        <v>Other</v>
      </c>
      <c r="AC83" s="33">
        <v>1</v>
      </c>
      <c r="AD83" s="35" t="str">
        <f>VLOOKUP(AC83,Key!$E$20:$F$24,2,FALSE)</f>
        <v>&lt;300,000</v>
      </c>
      <c r="AE83" s="33">
        <v>1</v>
      </c>
      <c r="AF83" s="39">
        <v>1</v>
      </c>
      <c r="AG83" s="39">
        <v>1</v>
      </c>
      <c r="AH83" s="39">
        <v>2</v>
      </c>
      <c r="AI83" s="39">
        <v>1</v>
      </c>
      <c r="AJ83" s="40" t="s">
        <v>274</v>
      </c>
      <c r="AK83" s="41">
        <v>500</v>
      </c>
      <c r="AL83" s="25"/>
      <c r="AM83" s="25"/>
    </row>
    <row r="84" spans="2:39" x14ac:dyDescent="0.2">
      <c r="B84" s="50">
        <v>43700</v>
      </c>
      <c r="C84" s="36">
        <v>0.5756944444444444</v>
      </c>
      <c r="D84" s="36"/>
      <c r="E84" s="36" t="s">
        <v>267</v>
      </c>
      <c r="F84" s="38">
        <v>2</v>
      </c>
      <c r="G84" s="43" t="str">
        <f>VLOOKUP(F84,Key!$A$17:$B$21,2,FALSE)</f>
        <v>Road Vehicle</v>
      </c>
      <c r="H84" s="37">
        <v>4</v>
      </c>
      <c r="I84" s="44" t="str">
        <f>VLOOKUP(H84,Key!$A$2:$B$13,2,FALSE)</f>
        <v>Minibus</v>
      </c>
      <c r="J84" s="38" t="s">
        <v>268</v>
      </c>
      <c r="K84" s="38">
        <v>2</v>
      </c>
      <c r="L84" s="45" t="str">
        <f>VLOOKUP(K84,Key!$A$24:$B$29,2,FALSE)</f>
        <v>30-39</v>
      </c>
      <c r="M84" s="38" t="s">
        <v>300</v>
      </c>
      <c r="N84" s="33" t="s">
        <v>273</v>
      </c>
      <c r="O84" s="38" t="s">
        <v>271</v>
      </c>
      <c r="P84" s="40">
        <v>2</v>
      </c>
      <c r="Q84" s="35" t="str">
        <f>VLOOKUP(P84,Key!$E$2:$F$9,2,FALSE)</f>
        <v>Work</v>
      </c>
      <c r="R84" s="38" t="s">
        <v>272</v>
      </c>
      <c r="S84" s="33" t="s">
        <v>273</v>
      </c>
      <c r="T84" s="38"/>
      <c r="U84" s="33">
        <v>2</v>
      </c>
      <c r="V84" s="35" t="str">
        <f>VLOOKUP(U84,Key!$E$2:$F$9,2,FALSE)</f>
        <v>Work</v>
      </c>
      <c r="W84" s="35" t="str">
        <f>Q84&amp;"-"&amp;V84</f>
        <v>Work-Work</v>
      </c>
      <c r="X84" s="33">
        <v>45000</v>
      </c>
      <c r="Y84" s="39">
        <v>67</v>
      </c>
      <c r="Z84" s="39">
        <v>2</v>
      </c>
      <c r="AA84" s="33">
        <v>10</v>
      </c>
      <c r="AB84" s="35" t="str">
        <f>VLOOKUP(AA84,Key!$C$20:$D$29,2,FALSE)</f>
        <v>Other</v>
      </c>
      <c r="AC84" s="33">
        <v>2</v>
      </c>
      <c r="AD84" s="35" t="str">
        <f>VLOOKUP(AC84,Key!$E$20:$F$24,2,FALSE)</f>
        <v>300,000-500,000</v>
      </c>
      <c r="AE84" s="33">
        <v>1</v>
      </c>
      <c r="AF84" s="39">
        <v>1</v>
      </c>
      <c r="AG84" s="39">
        <v>1</v>
      </c>
      <c r="AH84" s="39">
        <v>1</v>
      </c>
      <c r="AI84" s="39">
        <v>1</v>
      </c>
      <c r="AJ84" s="40" t="s">
        <v>274</v>
      </c>
      <c r="AK84" s="41">
        <v>2000</v>
      </c>
      <c r="AL84" s="25"/>
      <c r="AM84" s="25"/>
    </row>
    <row r="85" spans="2:39" x14ac:dyDescent="0.2">
      <c r="B85" s="50">
        <v>43700</v>
      </c>
      <c r="C85" s="36">
        <v>0.41319444444444442</v>
      </c>
      <c r="D85" s="36"/>
      <c r="E85" s="36" t="s">
        <v>267</v>
      </c>
      <c r="F85" s="38">
        <v>2</v>
      </c>
      <c r="G85" s="43" t="str">
        <f>VLOOKUP(F85,Key!$A$17:$B$21,2,FALSE)</f>
        <v>Road Vehicle</v>
      </c>
      <c r="H85" s="37">
        <v>4</v>
      </c>
      <c r="I85" s="44" t="str">
        <f>VLOOKUP(H85,Key!$A$2:$B$13,2,FALSE)</f>
        <v>Minibus</v>
      </c>
      <c r="J85" s="38" t="s">
        <v>268</v>
      </c>
      <c r="K85" s="38">
        <v>2</v>
      </c>
      <c r="L85" s="45" t="str">
        <f>VLOOKUP(K85,Key!$A$24:$B$29,2,FALSE)</f>
        <v>30-39</v>
      </c>
      <c r="M85" s="38" t="s">
        <v>272</v>
      </c>
      <c r="N85" s="33" t="s">
        <v>273</v>
      </c>
      <c r="O85" s="38" t="s">
        <v>271</v>
      </c>
      <c r="P85" s="40">
        <v>2</v>
      </c>
      <c r="Q85" s="35" t="str">
        <f>VLOOKUP(P85,Key!$E$2:$F$9,2,FALSE)</f>
        <v>Work</v>
      </c>
      <c r="R85" s="38" t="s">
        <v>276</v>
      </c>
      <c r="S85" s="33" t="s">
        <v>273</v>
      </c>
      <c r="T85" s="38"/>
      <c r="U85" s="33">
        <v>2</v>
      </c>
      <c r="V85" s="35" t="str">
        <f>VLOOKUP(U85,Key!$E$2:$F$9,2,FALSE)</f>
        <v>Work</v>
      </c>
      <c r="W85" s="35" t="str">
        <f>Q85&amp;"-"&amp;V85</f>
        <v>Work-Work</v>
      </c>
      <c r="X85" s="33">
        <v>20000</v>
      </c>
      <c r="Y85" s="39">
        <v>38</v>
      </c>
      <c r="Z85" s="39">
        <v>1</v>
      </c>
      <c r="AA85" s="33">
        <v>10</v>
      </c>
      <c r="AB85" s="35" t="str">
        <f>VLOOKUP(AA85,Key!$C$20:$D$29,2,FALSE)</f>
        <v>Other</v>
      </c>
      <c r="AC85" s="33">
        <v>2</v>
      </c>
      <c r="AD85" s="35" t="str">
        <f>VLOOKUP(AC85,Key!$E$20:$F$24,2,FALSE)</f>
        <v>300,000-500,000</v>
      </c>
      <c r="AE85" s="33">
        <v>1</v>
      </c>
      <c r="AF85" s="39">
        <v>1</v>
      </c>
      <c r="AG85" s="39">
        <v>1</v>
      </c>
      <c r="AH85" s="39">
        <v>1</v>
      </c>
      <c r="AI85" s="39">
        <v>2</v>
      </c>
      <c r="AJ85" s="40" t="s">
        <v>274</v>
      </c>
      <c r="AK85" s="41">
        <v>2000</v>
      </c>
      <c r="AL85" s="25"/>
      <c r="AM85" s="25"/>
    </row>
    <row r="86" spans="2:39" x14ac:dyDescent="0.2">
      <c r="B86" s="50">
        <v>43701</v>
      </c>
      <c r="C86" s="36">
        <v>0.37152777777777773</v>
      </c>
      <c r="D86" s="36"/>
      <c r="E86" s="36" t="s">
        <v>267</v>
      </c>
      <c r="F86" s="38">
        <v>2</v>
      </c>
      <c r="G86" s="43" t="str">
        <f>VLOOKUP(F86,Key!$A$17:$B$21,2,FALSE)</f>
        <v>Road Vehicle</v>
      </c>
      <c r="H86" s="37">
        <v>4</v>
      </c>
      <c r="I86" s="44" t="str">
        <f>VLOOKUP(H86,Key!$A$2:$B$13,2,FALSE)</f>
        <v>Minibus</v>
      </c>
      <c r="J86" s="38" t="s">
        <v>268</v>
      </c>
      <c r="K86" s="38">
        <v>2</v>
      </c>
      <c r="L86" s="45" t="str">
        <f>VLOOKUP(K86,Key!$A$24:$B$29,2,FALSE)</f>
        <v>30-39</v>
      </c>
      <c r="M86" s="38" t="s">
        <v>279</v>
      </c>
      <c r="N86" s="33" t="s">
        <v>264</v>
      </c>
      <c r="O86" s="38" t="s">
        <v>271</v>
      </c>
      <c r="P86" s="40">
        <v>4</v>
      </c>
      <c r="Q86" s="35" t="str">
        <f>VLOOKUP(P86,Key!$E$2:$F$9,2,FALSE)</f>
        <v>Commercial</v>
      </c>
      <c r="R86" s="38" t="s">
        <v>272</v>
      </c>
      <c r="S86" s="33" t="s">
        <v>273</v>
      </c>
      <c r="T86" s="38"/>
      <c r="U86" s="33">
        <v>4</v>
      </c>
      <c r="V86" s="35" t="str">
        <f>VLOOKUP(U86,Key!$E$2:$F$9,2,FALSE)</f>
        <v>Commercial</v>
      </c>
      <c r="W86" s="35" t="str">
        <f>Q86&amp;"-"&amp;V86</f>
        <v>Commercial-Commercial</v>
      </c>
      <c r="X86" s="33">
        <v>130000</v>
      </c>
      <c r="Y86" s="39">
        <v>130</v>
      </c>
      <c r="Z86" s="39">
        <v>5</v>
      </c>
      <c r="AA86" s="33">
        <v>10</v>
      </c>
      <c r="AB86" s="35" t="str">
        <f>VLOOKUP(AA86,Key!$C$20:$D$29,2,FALSE)</f>
        <v>Other</v>
      </c>
      <c r="AC86" s="33">
        <v>2</v>
      </c>
      <c r="AD86" s="35" t="str">
        <f>VLOOKUP(AC86,Key!$E$20:$F$24,2,FALSE)</f>
        <v>300,000-500,000</v>
      </c>
      <c r="AE86" s="33">
        <v>1</v>
      </c>
      <c r="AF86" s="39">
        <v>1</v>
      </c>
      <c r="AG86" s="39">
        <v>2</v>
      </c>
      <c r="AH86" s="39">
        <v>1</v>
      </c>
      <c r="AI86" s="39">
        <v>1</v>
      </c>
      <c r="AJ86" s="40" t="s">
        <v>274</v>
      </c>
      <c r="AK86" s="41"/>
      <c r="AL86" s="25"/>
      <c r="AM86" s="25"/>
    </row>
    <row r="87" spans="2:39" x14ac:dyDescent="0.2">
      <c r="B87" s="50">
        <v>43701</v>
      </c>
      <c r="C87" s="36">
        <v>0.3743055555555555</v>
      </c>
      <c r="D87" s="36"/>
      <c r="E87" s="36" t="s">
        <v>267</v>
      </c>
      <c r="F87" s="38">
        <v>2</v>
      </c>
      <c r="G87" s="43" t="str">
        <f>VLOOKUP(F87,Key!$A$17:$B$21,2,FALSE)</f>
        <v>Road Vehicle</v>
      </c>
      <c r="H87" s="37">
        <v>4</v>
      </c>
      <c r="I87" s="44" t="str">
        <f>VLOOKUP(H87,Key!$A$2:$B$13,2,FALSE)</f>
        <v>Minibus</v>
      </c>
      <c r="J87" s="38" t="s">
        <v>268</v>
      </c>
      <c r="K87" s="38">
        <v>2</v>
      </c>
      <c r="L87" s="45" t="s">
        <v>226</v>
      </c>
      <c r="M87" s="38" t="s">
        <v>300</v>
      </c>
      <c r="N87" s="33" t="s">
        <v>273</v>
      </c>
      <c r="O87" s="38" t="s">
        <v>271</v>
      </c>
      <c r="P87" s="40">
        <v>2</v>
      </c>
      <c r="Q87" s="35" t="str">
        <f>VLOOKUP(P87,Key!$E$2:$F$9,2,FALSE)</f>
        <v>Work</v>
      </c>
      <c r="R87" s="38" t="s">
        <v>272</v>
      </c>
      <c r="S87" s="33" t="s">
        <v>273</v>
      </c>
      <c r="T87" s="38"/>
      <c r="U87" s="33">
        <v>4</v>
      </c>
      <c r="V87" s="35" t="str">
        <f>VLOOKUP(U87,Key!$E$2:$F$9,2,FALSE)</f>
        <v>Commercial</v>
      </c>
      <c r="W87" s="35" t="str">
        <f>Q87&amp;"-"&amp;V87</f>
        <v>Work-Commercial</v>
      </c>
      <c r="X87" s="33">
        <v>60000</v>
      </c>
      <c r="Y87" s="39">
        <v>67</v>
      </c>
      <c r="Z87" s="39">
        <v>2</v>
      </c>
      <c r="AA87" s="33">
        <v>10</v>
      </c>
      <c r="AB87" s="35" t="s">
        <v>246</v>
      </c>
      <c r="AC87" s="33">
        <v>3</v>
      </c>
      <c r="AD87" s="35" t="str">
        <f>VLOOKUP(AC87,Key!$E$20:$F$24,2,FALSE)</f>
        <v>500,000-750,000</v>
      </c>
      <c r="AE87" s="33">
        <v>1</v>
      </c>
      <c r="AF87" s="39">
        <v>1</v>
      </c>
      <c r="AG87" s="39">
        <v>2</v>
      </c>
      <c r="AH87" s="39">
        <v>1</v>
      </c>
      <c r="AI87" s="39">
        <v>1</v>
      </c>
      <c r="AJ87" s="40" t="s">
        <v>274</v>
      </c>
      <c r="AK87" s="41"/>
      <c r="AL87" s="25"/>
      <c r="AM87" s="25"/>
    </row>
    <row r="88" spans="2:39" x14ac:dyDescent="0.2">
      <c r="B88" s="50">
        <v>43701</v>
      </c>
      <c r="C88" s="36">
        <v>0.36180555555555555</v>
      </c>
      <c r="D88" s="36"/>
      <c r="E88" s="36" t="s">
        <v>267</v>
      </c>
      <c r="F88" s="38">
        <v>2</v>
      </c>
      <c r="G88" s="43" t="str">
        <f>VLOOKUP(F88,Key!$A$17:$B$21,2,FALSE)</f>
        <v>Road Vehicle</v>
      </c>
      <c r="H88" s="37">
        <v>4</v>
      </c>
      <c r="I88" s="44" t="str">
        <f>VLOOKUP(H88,Key!$A$2:$B$13,2,FALSE)</f>
        <v>Minibus</v>
      </c>
      <c r="J88" s="38" t="s">
        <v>268</v>
      </c>
      <c r="K88" s="38">
        <v>2</v>
      </c>
      <c r="L88" s="45" t="str">
        <f>VLOOKUP(K88,Key!$A$24:$B$29,2,FALSE)</f>
        <v>30-39</v>
      </c>
      <c r="M88" s="38" t="s">
        <v>279</v>
      </c>
      <c r="N88" s="33" t="s">
        <v>264</v>
      </c>
      <c r="O88" s="38" t="s">
        <v>271</v>
      </c>
      <c r="P88" s="40">
        <v>2</v>
      </c>
      <c r="Q88" s="35" t="str">
        <f>VLOOKUP(P88,Key!$E$2:$F$9,2,FALSE)</f>
        <v>Work</v>
      </c>
      <c r="R88" s="38" t="s">
        <v>272</v>
      </c>
      <c r="S88" s="33" t="s">
        <v>273</v>
      </c>
      <c r="T88" s="38"/>
      <c r="U88" s="33">
        <v>2</v>
      </c>
      <c r="V88" s="35" t="str">
        <f>VLOOKUP(U88,Key!$E$2:$F$9,2,FALSE)</f>
        <v>Work</v>
      </c>
      <c r="W88" s="35" t="str">
        <f>Q88&amp;"-"&amp;V88</f>
        <v>Work-Work</v>
      </c>
      <c r="X88" s="33">
        <v>120000</v>
      </c>
      <c r="Y88" s="39">
        <v>120</v>
      </c>
      <c r="Z88" s="39">
        <v>4</v>
      </c>
      <c r="AA88" s="33">
        <v>10</v>
      </c>
      <c r="AB88" s="35" t="str">
        <f>VLOOKUP(AA88,Key!$C$20:$D$29,2,FALSE)</f>
        <v>Other</v>
      </c>
      <c r="AC88" s="33">
        <v>2</v>
      </c>
      <c r="AD88" s="35" t="str">
        <f>VLOOKUP(AC88,Key!$E$20:$F$24,2,FALSE)</f>
        <v>300,000-500,000</v>
      </c>
      <c r="AE88" s="33">
        <v>1</v>
      </c>
      <c r="AF88" s="39">
        <v>1</v>
      </c>
      <c r="AG88" s="39">
        <v>1</v>
      </c>
      <c r="AH88" s="39">
        <v>1</v>
      </c>
      <c r="AI88" s="39">
        <v>2</v>
      </c>
      <c r="AJ88" s="40" t="s">
        <v>274</v>
      </c>
      <c r="AK88" s="41"/>
      <c r="AL88" s="25"/>
      <c r="AM88" s="25"/>
    </row>
    <row r="89" spans="2:39" x14ac:dyDescent="0.2">
      <c r="B89" s="50">
        <v>43701</v>
      </c>
      <c r="C89" s="36">
        <v>0.36736111111111108</v>
      </c>
      <c r="D89" s="36"/>
      <c r="E89" s="36" t="s">
        <v>267</v>
      </c>
      <c r="F89" s="38">
        <v>2</v>
      </c>
      <c r="G89" s="43" t="str">
        <f>VLOOKUP(F89,Key!$A$17:$B$21,2,FALSE)</f>
        <v>Road Vehicle</v>
      </c>
      <c r="H89" s="37">
        <v>4</v>
      </c>
      <c r="I89" s="44" t="str">
        <f>VLOOKUP(H89,Key!$A$2:$B$13,2,FALSE)</f>
        <v>Minibus</v>
      </c>
      <c r="J89" s="38" t="s">
        <v>268</v>
      </c>
      <c r="K89" s="38">
        <v>2</v>
      </c>
      <c r="L89" s="45" t="str">
        <f>VLOOKUP(K89,Key!$A$24:$B$29,2,FALSE)</f>
        <v>30-39</v>
      </c>
      <c r="M89" s="38" t="s">
        <v>280</v>
      </c>
      <c r="N89" s="33" t="s">
        <v>281</v>
      </c>
      <c r="O89" s="38" t="s">
        <v>271</v>
      </c>
      <c r="P89" s="40">
        <v>2</v>
      </c>
      <c r="Q89" s="35" t="str">
        <f>VLOOKUP(P89,Key!$E$2:$F$9,2,FALSE)</f>
        <v>Work</v>
      </c>
      <c r="R89" s="38" t="s">
        <v>272</v>
      </c>
      <c r="S89" s="33" t="s">
        <v>273</v>
      </c>
      <c r="T89" s="38"/>
      <c r="U89" s="33">
        <v>2</v>
      </c>
      <c r="V89" s="35" t="str">
        <f>VLOOKUP(U89,Key!$E$2:$F$9,2,FALSE)</f>
        <v>Work</v>
      </c>
      <c r="W89" s="35" t="str">
        <f>Q89&amp;"-"&amp;V89</f>
        <v>Work-Work</v>
      </c>
      <c r="X89" s="33">
        <v>40000</v>
      </c>
      <c r="Y89" s="39">
        <v>21</v>
      </c>
      <c r="Z89" s="39">
        <v>0.5</v>
      </c>
      <c r="AA89" s="33">
        <v>10</v>
      </c>
      <c r="AB89" s="35" t="str">
        <f>VLOOKUP(AA89,Key!$C$20:$D$29,2,FALSE)</f>
        <v>Other</v>
      </c>
      <c r="AC89" s="33">
        <v>3</v>
      </c>
      <c r="AD89" s="35" t="str">
        <f>VLOOKUP(AC89,Key!$E$20:$F$24,2,FALSE)</f>
        <v>500,000-750,000</v>
      </c>
      <c r="AE89" s="33">
        <v>1</v>
      </c>
      <c r="AF89" s="39">
        <v>1</v>
      </c>
      <c r="AG89" s="39">
        <v>2</v>
      </c>
      <c r="AH89" s="39">
        <v>1</v>
      </c>
      <c r="AI89" s="39">
        <v>1</v>
      </c>
      <c r="AJ89" s="40" t="s">
        <v>274</v>
      </c>
      <c r="AK89" s="41"/>
      <c r="AL89" s="25"/>
      <c r="AM89" s="25"/>
    </row>
    <row r="90" spans="2:39" x14ac:dyDescent="0.2">
      <c r="B90" s="50">
        <v>43701</v>
      </c>
      <c r="C90" s="36">
        <v>0.50069444444444444</v>
      </c>
      <c r="D90" s="36"/>
      <c r="E90" s="36" t="s">
        <v>267</v>
      </c>
      <c r="F90" s="38">
        <v>2</v>
      </c>
      <c r="G90" s="43" t="str">
        <f>VLOOKUP(F90,Key!$A$17:$B$21,2,FALSE)</f>
        <v>Road Vehicle</v>
      </c>
      <c r="H90" s="37">
        <v>4</v>
      </c>
      <c r="I90" s="44" t="str">
        <f>VLOOKUP(H90,Key!$A$2:$B$13,2,FALSE)</f>
        <v>Minibus</v>
      </c>
      <c r="J90" s="38" t="s">
        <v>268</v>
      </c>
      <c r="K90" s="38">
        <v>2</v>
      </c>
      <c r="L90" s="45" t="str">
        <f>VLOOKUP(K90,Key!$A$24:$B$29,2,FALSE)</f>
        <v>30-39</v>
      </c>
      <c r="M90" s="38" t="s">
        <v>279</v>
      </c>
      <c r="N90" s="33" t="s">
        <v>264</v>
      </c>
      <c r="O90" s="38" t="s">
        <v>271</v>
      </c>
      <c r="P90" s="40">
        <v>4</v>
      </c>
      <c r="Q90" s="35" t="str">
        <f>VLOOKUP(P90,Key!$E$2:$F$9,2,FALSE)</f>
        <v>Commercial</v>
      </c>
      <c r="R90" s="38" t="s">
        <v>272</v>
      </c>
      <c r="S90" s="33" t="s">
        <v>273</v>
      </c>
      <c r="T90" s="38"/>
      <c r="U90" s="33">
        <v>4</v>
      </c>
      <c r="V90" s="35" t="str">
        <f>VLOOKUP(U90,Key!$E$2:$F$9,2,FALSE)</f>
        <v>Commercial</v>
      </c>
      <c r="W90" s="35" t="str">
        <f>Q90&amp;"-"&amp;V90</f>
        <v>Commercial-Commercial</v>
      </c>
      <c r="X90" s="33">
        <v>110000</v>
      </c>
      <c r="Y90" s="39">
        <v>120</v>
      </c>
      <c r="Z90" s="39">
        <v>3</v>
      </c>
      <c r="AA90" s="33">
        <v>10</v>
      </c>
      <c r="AB90" s="35" t="str">
        <f>VLOOKUP(AA90,Key!$C$20:$D$29,2,FALSE)</f>
        <v>Other</v>
      </c>
      <c r="AC90" s="33">
        <v>1</v>
      </c>
      <c r="AD90" s="35" t="str">
        <f>VLOOKUP(AC90,Key!$E$20:$F$24,2,FALSE)</f>
        <v>&lt;300,000</v>
      </c>
      <c r="AE90" s="33">
        <v>1</v>
      </c>
      <c r="AF90" s="39">
        <v>1</v>
      </c>
      <c r="AG90" s="39">
        <v>1</v>
      </c>
      <c r="AH90" s="39">
        <v>1</v>
      </c>
      <c r="AI90" s="39">
        <v>1</v>
      </c>
      <c r="AJ90" s="40" t="s">
        <v>274</v>
      </c>
      <c r="AK90" s="41"/>
      <c r="AL90" s="25"/>
      <c r="AM90" s="25"/>
    </row>
    <row r="91" spans="2:39" x14ac:dyDescent="0.2">
      <c r="B91" s="50">
        <v>43701</v>
      </c>
      <c r="C91" s="36">
        <v>0.50486111111111109</v>
      </c>
      <c r="D91" s="36"/>
      <c r="E91" s="36" t="s">
        <v>267</v>
      </c>
      <c r="F91" s="38">
        <v>2</v>
      </c>
      <c r="G91" s="43" t="str">
        <f>VLOOKUP(F91,Key!$A$17:$B$21,2,FALSE)</f>
        <v>Road Vehicle</v>
      </c>
      <c r="H91" s="37">
        <v>4</v>
      </c>
      <c r="I91" s="44" t="str">
        <f>VLOOKUP(H91,Key!$A$2:$B$13,2,FALSE)</f>
        <v>Minibus</v>
      </c>
      <c r="J91" s="38" t="s">
        <v>268</v>
      </c>
      <c r="K91" s="38">
        <v>2</v>
      </c>
      <c r="L91" s="45" t="str">
        <f>VLOOKUP(K91,Key!$A$24:$B$29,2,FALSE)</f>
        <v>30-39</v>
      </c>
      <c r="M91" s="38" t="s">
        <v>272</v>
      </c>
      <c r="N91" s="33" t="s">
        <v>273</v>
      </c>
      <c r="O91" s="38" t="s">
        <v>271</v>
      </c>
      <c r="P91" s="40">
        <v>2</v>
      </c>
      <c r="Q91" s="35" t="str">
        <f>VLOOKUP(P91,Key!$E$2:$F$9,2,FALSE)</f>
        <v>Work</v>
      </c>
      <c r="R91" s="38" t="s">
        <v>279</v>
      </c>
      <c r="S91" s="33" t="s">
        <v>264</v>
      </c>
      <c r="T91" s="38"/>
      <c r="U91" s="33">
        <v>2</v>
      </c>
      <c r="V91" s="35" t="str">
        <f>VLOOKUP(U91,Key!$E$2:$F$9,2,FALSE)</f>
        <v>Work</v>
      </c>
      <c r="W91" s="35" t="str">
        <f>Q91&amp;"-"&amp;V91</f>
        <v>Work-Work</v>
      </c>
      <c r="X91" s="33">
        <v>125000</v>
      </c>
      <c r="Y91" s="39">
        <v>130</v>
      </c>
      <c r="Z91" s="39">
        <v>4</v>
      </c>
      <c r="AA91" s="33">
        <v>10</v>
      </c>
      <c r="AB91" s="35" t="str">
        <f>VLOOKUP(AA91,Key!$C$20:$D$29,2,FALSE)</f>
        <v>Other</v>
      </c>
      <c r="AC91" s="33">
        <v>1</v>
      </c>
      <c r="AD91" s="35" t="str">
        <f>VLOOKUP(AC91,Key!$E$20:$F$24,2,FALSE)</f>
        <v>&lt;300,000</v>
      </c>
      <c r="AE91" s="33">
        <v>2</v>
      </c>
      <c r="AF91" s="39">
        <v>2</v>
      </c>
      <c r="AG91" s="39">
        <v>1</v>
      </c>
      <c r="AH91" s="39">
        <v>1</v>
      </c>
      <c r="AI91" s="39">
        <v>1</v>
      </c>
      <c r="AJ91" s="40" t="s">
        <v>274</v>
      </c>
      <c r="AK91" s="41"/>
      <c r="AL91" s="25"/>
      <c r="AM91" s="25"/>
    </row>
    <row r="92" spans="2:39" x14ac:dyDescent="0.2">
      <c r="B92" s="50">
        <v>43701</v>
      </c>
      <c r="C92" s="36">
        <v>0.50763888888888886</v>
      </c>
      <c r="D92" s="36"/>
      <c r="E92" s="36" t="s">
        <v>267</v>
      </c>
      <c r="F92" s="38">
        <v>2</v>
      </c>
      <c r="G92" s="43" t="str">
        <f>VLOOKUP(F92,Key!$A$17:$B$21,2,FALSE)</f>
        <v>Road Vehicle</v>
      </c>
      <c r="H92" s="37">
        <v>4</v>
      </c>
      <c r="I92" s="44" t="str">
        <f>VLOOKUP(H92,Key!$A$2:$B$13,2,FALSE)</f>
        <v>Minibus</v>
      </c>
      <c r="J92" s="38" t="s">
        <v>268</v>
      </c>
      <c r="K92" s="38">
        <v>2</v>
      </c>
      <c r="L92" s="45" t="str">
        <f>VLOOKUP(K92,Key!$A$24:$B$29,2,FALSE)</f>
        <v>30-39</v>
      </c>
      <c r="M92" s="38" t="s">
        <v>314</v>
      </c>
      <c r="N92" s="33" t="s">
        <v>315</v>
      </c>
      <c r="O92" s="38" t="s">
        <v>271</v>
      </c>
      <c r="P92" s="40">
        <v>6</v>
      </c>
      <c r="Q92" s="35" t="str">
        <f>VLOOKUP(P92,Key!$E$2:$F$9,2,FALSE)</f>
        <v>Leisure/Social</v>
      </c>
      <c r="R92" s="38" t="s">
        <v>272</v>
      </c>
      <c r="S92" s="33" t="s">
        <v>273</v>
      </c>
      <c r="T92" s="38"/>
      <c r="U92" s="33">
        <v>6</v>
      </c>
      <c r="V92" s="35" t="str">
        <f>VLOOKUP(U92,Key!$E$2:$F$9,2,FALSE)</f>
        <v>Leisure/Social</v>
      </c>
      <c r="W92" s="35" t="str">
        <f>Q92&amp;"-"&amp;V92</f>
        <v>Leisure/Social-Leisure/Social</v>
      </c>
      <c r="X92" s="33">
        <v>190000</v>
      </c>
      <c r="Y92" s="39">
        <v>200</v>
      </c>
      <c r="Z92" s="39">
        <v>9</v>
      </c>
      <c r="AA92" s="33">
        <v>10</v>
      </c>
      <c r="AB92" s="35" t="str">
        <f>VLOOKUP(AA92,Key!$C$20:$D$29,2,FALSE)</f>
        <v>Other</v>
      </c>
      <c r="AC92" s="33">
        <v>2</v>
      </c>
      <c r="AD92" s="35" t="str">
        <f>VLOOKUP(AC92,Key!$E$20:$F$24,2,FALSE)</f>
        <v>300,000-500,000</v>
      </c>
      <c r="AE92" s="33">
        <v>1</v>
      </c>
      <c r="AF92" s="39">
        <v>1</v>
      </c>
      <c r="AG92" s="39">
        <v>1</v>
      </c>
      <c r="AH92" s="39">
        <v>1</v>
      </c>
      <c r="AI92" s="39">
        <v>1</v>
      </c>
      <c r="AJ92" s="40" t="s">
        <v>274</v>
      </c>
      <c r="AK92" s="41">
        <v>2000</v>
      </c>
      <c r="AL92" s="25"/>
      <c r="AM92" s="25"/>
    </row>
    <row r="93" spans="2:39" x14ac:dyDescent="0.2">
      <c r="B93" s="50">
        <v>43699</v>
      </c>
      <c r="C93" s="36">
        <v>0.51111111111111118</v>
      </c>
      <c r="D93" s="36"/>
      <c r="E93" s="36" t="s">
        <v>267</v>
      </c>
      <c r="F93" s="38">
        <v>2</v>
      </c>
      <c r="G93" s="43" t="str">
        <f>VLOOKUP(F93,Key!$A$17:$B$21,2,FALSE)</f>
        <v>Road Vehicle</v>
      </c>
      <c r="H93" s="37">
        <v>3</v>
      </c>
      <c r="I93" s="44" t="str">
        <f>VLOOKUP(H93,Key!$A$2:$B$13,2,FALSE)</f>
        <v>Pickups</v>
      </c>
      <c r="J93" s="38" t="s">
        <v>268</v>
      </c>
      <c r="K93" s="38">
        <v>2</v>
      </c>
      <c r="L93" s="45" t="str">
        <f>VLOOKUP(K93,Key!$A$24:$B$29,2,FALSE)</f>
        <v>30-39</v>
      </c>
      <c r="M93" s="38" t="s">
        <v>294</v>
      </c>
      <c r="N93" s="33" t="s">
        <v>273</v>
      </c>
      <c r="O93" s="38" t="s">
        <v>271</v>
      </c>
      <c r="P93" s="40">
        <v>2</v>
      </c>
      <c r="Q93" s="35" t="str">
        <f>VLOOKUP(P93,Key!$E$2:$F$9,2,FALSE)</f>
        <v>Work</v>
      </c>
      <c r="R93" s="38" t="s">
        <v>294</v>
      </c>
      <c r="S93" s="33" t="s">
        <v>273</v>
      </c>
      <c r="T93" s="38" t="s">
        <v>271</v>
      </c>
      <c r="U93" s="33">
        <v>2</v>
      </c>
      <c r="V93" s="35" t="str">
        <f>VLOOKUP(U93,Key!$E$2:$F$9,2,FALSE)</f>
        <v>Work</v>
      </c>
      <c r="W93" s="35" t="str">
        <f>Q93&amp;"-"&amp;V93</f>
        <v>Work-Work</v>
      </c>
      <c r="X93" s="33">
        <v>25000</v>
      </c>
      <c r="Y93" s="39">
        <v>30</v>
      </c>
      <c r="Z93" s="39">
        <v>50</v>
      </c>
      <c r="AA93" s="33">
        <v>10</v>
      </c>
      <c r="AB93" s="35" t="str">
        <f>VLOOKUP(AA93,Key!$C$20:$D$29,2,FALSE)</f>
        <v>Other</v>
      </c>
      <c r="AC93" s="33">
        <v>2</v>
      </c>
      <c r="AD93" s="35" t="str">
        <f>VLOOKUP(AC93,Key!$E$20:$F$24,2,FALSE)</f>
        <v>300,000-500,000</v>
      </c>
      <c r="AE93" s="33">
        <v>1</v>
      </c>
      <c r="AF93" s="39">
        <v>1</v>
      </c>
      <c r="AG93" s="39">
        <v>1</v>
      </c>
      <c r="AH93" s="39">
        <v>2</v>
      </c>
      <c r="AI93" s="39">
        <v>1</v>
      </c>
      <c r="AJ93" s="40" t="s">
        <v>274</v>
      </c>
      <c r="AK93" s="41"/>
      <c r="AL93" s="25"/>
      <c r="AM93" s="25"/>
    </row>
    <row r="94" spans="2:39" x14ac:dyDescent="0.2">
      <c r="B94" s="50">
        <v>43701</v>
      </c>
      <c r="C94" s="36">
        <v>0.45902777777777781</v>
      </c>
      <c r="D94" s="36"/>
      <c r="E94" s="36" t="s">
        <v>267</v>
      </c>
      <c r="F94" s="38">
        <v>2</v>
      </c>
      <c r="G94" s="43" t="str">
        <f>VLOOKUP(F94,Key!$A$17:$B$21,2,FALSE)</f>
        <v>Road Vehicle</v>
      </c>
      <c r="H94" s="37">
        <v>3</v>
      </c>
      <c r="I94" s="44" t="str">
        <f>VLOOKUP(H94,Key!$A$2:$B$13,2,FALSE)</f>
        <v>Pickups</v>
      </c>
      <c r="J94" s="38" t="s">
        <v>268</v>
      </c>
      <c r="K94" s="38">
        <v>2</v>
      </c>
      <c r="L94" s="45" t="str">
        <f>VLOOKUP(K94,Key!$A$24:$B$29,2,FALSE)</f>
        <v>30-39</v>
      </c>
      <c r="M94" s="38" t="s">
        <v>309</v>
      </c>
      <c r="N94" s="33" t="s">
        <v>273</v>
      </c>
      <c r="O94" s="38" t="s">
        <v>271</v>
      </c>
      <c r="P94" s="40">
        <v>1</v>
      </c>
      <c r="Q94" s="35" t="str">
        <f>VLOOKUP(P94,Key!$E$2:$F$9,2,FALSE)</f>
        <v>Home</v>
      </c>
      <c r="R94" s="38" t="s">
        <v>294</v>
      </c>
      <c r="S94" s="33" t="s">
        <v>273</v>
      </c>
      <c r="T94" s="38"/>
      <c r="U94" s="33">
        <v>4</v>
      </c>
      <c r="V94" s="35" t="str">
        <f>VLOOKUP(U94,Key!$E$2:$F$9,2,FALSE)</f>
        <v>Commercial</v>
      </c>
      <c r="W94" s="35" t="str">
        <f>Q94&amp;"-"&amp;V94</f>
        <v>Home-Commercial</v>
      </c>
      <c r="X94" s="33">
        <v>35000</v>
      </c>
      <c r="Y94" s="39">
        <v>25</v>
      </c>
      <c r="Z94" s="39">
        <v>0.5</v>
      </c>
      <c r="AA94" s="33">
        <v>6</v>
      </c>
      <c r="AB94" s="35" t="str">
        <f>VLOOKUP(AA94,Key!$C$20:$D$29,2,FALSE)</f>
        <v>Businessman</v>
      </c>
      <c r="AC94" s="33">
        <v>3</v>
      </c>
      <c r="AD94" s="35" t="str">
        <f>VLOOKUP(AC94,Key!$E$20:$F$24,2,FALSE)</f>
        <v>500,000-750,000</v>
      </c>
      <c r="AE94" s="33">
        <v>1</v>
      </c>
      <c r="AF94" s="39">
        <v>1</v>
      </c>
      <c r="AG94" s="39">
        <v>1</v>
      </c>
      <c r="AH94" s="39">
        <v>1</v>
      </c>
      <c r="AI94" s="39">
        <v>1</v>
      </c>
      <c r="AJ94" s="40" t="s">
        <v>274</v>
      </c>
      <c r="AK94" s="41">
        <v>2000</v>
      </c>
      <c r="AL94" s="25"/>
      <c r="AM94" s="25"/>
    </row>
    <row r="95" spans="2:39" x14ac:dyDescent="0.2">
      <c r="B95" s="50">
        <v>43701</v>
      </c>
      <c r="C95" s="36">
        <v>0.48958333333333331</v>
      </c>
      <c r="D95" s="36"/>
      <c r="E95" s="36" t="s">
        <v>267</v>
      </c>
      <c r="F95" s="38">
        <v>2</v>
      </c>
      <c r="G95" s="43" t="str">
        <f>VLOOKUP(F95,Key!$A$17:$B$21,2,FALSE)</f>
        <v>Road Vehicle</v>
      </c>
      <c r="H95" s="37">
        <v>3</v>
      </c>
      <c r="I95" s="44" t="str">
        <f>VLOOKUP(H95,Key!$A$2:$B$13,2,FALSE)</f>
        <v>Pickups</v>
      </c>
      <c r="J95" s="38" t="s">
        <v>268</v>
      </c>
      <c r="K95" s="38">
        <v>2</v>
      </c>
      <c r="L95" s="45" t="str">
        <f>VLOOKUP(K95,Key!$A$24:$B$29,2,FALSE)</f>
        <v>30-39</v>
      </c>
      <c r="M95" s="38" t="s">
        <v>310</v>
      </c>
      <c r="N95" s="33" t="s">
        <v>311</v>
      </c>
      <c r="O95" s="38" t="s">
        <v>271</v>
      </c>
      <c r="P95" s="40">
        <v>4</v>
      </c>
      <c r="Q95" s="35" t="str">
        <f>VLOOKUP(P95,Key!$E$2:$F$9,2,FALSE)</f>
        <v>Commercial</v>
      </c>
      <c r="R95" s="38" t="s">
        <v>272</v>
      </c>
      <c r="S95" s="33" t="s">
        <v>273</v>
      </c>
      <c r="T95" s="38"/>
      <c r="U95" s="33">
        <v>4</v>
      </c>
      <c r="V95" s="35" t="str">
        <f>VLOOKUP(U95,Key!$E$2:$F$9,2,FALSE)</f>
        <v>Commercial</v>
      </c>
      <c r="W95" s="35" t="str">
        <f>Q95&amp;"-"&amp;V95</f>
        <v>Commercial-Commercial</v>
      </c>
      <c r="X95" s="33">
        <v>50000</v>
      </c>
      <c r="Y95" s="39">
        <v>68</v>
      </c>
      <c r="Z95" s="39">
        <v>2</v>
      </c>
      <c r="AA95" s="33">
        <v>6</v>
      </c>
      <c r="AB95" s="35" t="str">
        <f>VLOOKUP(AA95,Key!$C$20:$D$29,2,FALSE)</f>
        <v>Businessman</v>
      </c>
      <c r="AC95" s="33">
        <v>5</v>
      </c>
      <c r="AD95" s="35" t="str">
        <f>VLOOKUP(AC95,Key!$E$20:$F$24,2,FALSE)</f>
        <v>&gt;1,000,000</v>
      </c>
      <c r="AE95" s="33">
        <v>1</v>
      </c>
      <c r="AF95" s="39">
        <v>1</v>
      </c>
      <c r="AG95" s="39">
        <v>1</v>
      </c>
      <c r="AH95" s="39">
        <v>2</v>
      </c>
      <c r="AI95" s="39">
        <v>1</v>
      </c>
      <c r="AJ95" s="40" t="s">
        <v>274</v>
      </c>
      <c r="AK95" s="41">
        <v>1000</v>
      </c>
      <c r="AL95" s="25"/>
      <c r="AM95" s="25"/>
    </row>
    <row r="96" spans="2:39" x14ac:dyDescent="0.2">
      <c r="B96" s="50">
        <v>43701</v>
      </c>
      <c r="C96" s="36">
        <v>0.37847222222222227</v>
      </c>
      <c r="D96" s="36"/>
      <c r="E96" s="36" t="s">
        <v>267</v>
      </c>
      <c r="F96" s="38">
        <v>2</v>
      </c>
      <c r="G96" s="43" t="str">
        <f>VLOOKUP(F96,Key!$A$17:$B$21,2,FALSE)</f>
        <v>Road Vehicle</v>
      </c>
      <c r="H96" s="37">
        <v>3</v>
      </c>
      <c r="I96" s="44" t="str">
        <f>VLOOKUP(H96,Key!$A$2:$B$13,2,FALSE)</f>
        <v>Pickups</v>
      </c>
      <c r="J96" s="38" t="s">
        <v>268</v>
      </c>
      <c r="K96" s="38">
        <v>2</v>
      </c>
      <c r="L96" s="45" t="str">
        <f>VLOOKUP(K96,Key!$A$24:$B$29,2,FALSE)</f>
        <v>30-39</v>
      </c>
      <c r="M96" s="38" t="s">
        <v>277</v>
      </c>
      <c r="N96" s="33" t="s">
        <v>278</v>
      </c>
      <c r="O96" s="38" t="s">
        <v>271</v>
      </c>
      <c r="P96" s="40">
        <v>4</v>
      </c>
      <c r="Q96" s="35" t="str">
        <f>VLOOKUP(P96,Key!$E$2:$F$9,2,FALSE)</f>
        <v>Commercial</v>
      </c>
      <c r="R96" s="38" t="s">
        <v>309</v>
      </c>
      <c r="S96" s="33" t="s">
        <v>273</v>
      </c>
      <c r="T96" s="38"/>
      <c r="U96" s="33">
        <v>4</v>
      </c>
      <c r="V96" s="35" t="str">
        <f>VLOOKUP(U96,Key!$E$2:$F$9,2,FALSE)</f>
        <v>Commercial</v>
      </c>
      <c r="W96" s="35" t="str">
        <f>Q96&amp;"-"&amp;V96</f>
        <v>Commercial-Commercial</v>
      </c>
      <c r="X96" s="33">
        <v>40000</v>
      </c>
      <c r="Y96" s="39">
        <v>50</v>
      </c>
      <c r="Z96" s="39">
        <v>2</v>
      </c>
      <c r="AA96" s="33">
        <v>10</v>
      </c>
      <c r="AB96" s="35" t="str">
        <f>VLOOKUP(AA96,Key!$C$20:$D$29,2,FALSE)</f>
        <v>Other</v>
      </c>
      <c r="AC96" s="33">
        <v>2</v>
      </c>
      <c r="AD96" s="35" t="str">
        <f>VLOOKUP(AC96,Key!$E$20:$F$24,2,FALSE)</f>
        <v>300,000-500,000</v>
      </c>
      <c r="AE96" s="33">
        <v>1</v>
      </c>
      <c r="AF96" s="39">
        <v>1</v>
      </c>
      <c r="AG96" s="39">
        <v>1</v>
      </c>
      <c r="AH96" s="39">
        <v>1</v>
      </c>
      <c r="AI96" s="39">
        <v>2</v>
      </c>
      <c r="AJ96" s="40" t="s">
        <v>274</v>
      </c>
      <c r="AK96" s="41"/>
      <c r="AL96" s="25"/>
      <c r="AM96" s="25"/>
    </row>
    <row r="97" spans="2:39" x14ac:dyDescent="0.2">
      <c r="B97" s="50">
        <v>43701</v>
      </c>
      <c r="C97" s="36">
        <v>0.42986111111111108</v>
      </c>
      <c r="D97" s="36"/>
      <c r="E97" s="36" t="s">
        <v>267</v>
      </c>
      <c r="F97" s="38">
        <v>2</v>
      </c>
      <c r="G97" s="43" t="str">
        <f>VLOOKUP(F97,Key!$A$17:$B$21,2,FALSE)</f>
        <v>Road Vehicle</v>
      </c>
      <c r="H97" s="37">
        <v>2</v>
      </c>
      <c r="I97" s="44" t="str">
        <f>VLOOKUP(H97,Key!$A$2:$B$13,2,FALSE)</f>
        <v>Station Wagon</v>
      </c>
      <c r="J97" s="38" t="s">
        <v>302</v>
      </c>
      <c r="K97" s="38">
        <v>2</v>
      </c>
      <c r="L97" s="45" t="str">
        <f>VLOOKUP(K97,Key!$A$24:$B$29,2,FALSE)</f>
        <v>30-39</v>
      </c>
      <c r="M97" s="38" t="s">
        <v>279</v>
      </c>
      <c r="N97" s="33" t="s">
        <v>264</v>
      </c>
      <c r="O97" s="38" t="s">
        <v>271</v>
      </c>
      <c r="P97" s="40">
        <v>2</v>
      </c>
      <c r="Q97" s="35" t="str">
        <f>VLOOKUP(P97,Key!$E$2:$F$9,2,FALSE)</f>
        <v>Work</v>
      </c>
      <c r="R97" s="38" t="s">
        <v>272</v>
      </c>
      <c r="S97" s="33" t="s">
        <v>273</v>
      </c>
      <c r="T97" s="38"/>
      <c r="U97" s="33">
        <v>6</v>
      </c>
      <c r="V97" s="35" t="str">
        <f>VLOOKUP(U97,Key!$E$2:$F$9,2,FALSE)</f>
        <v>Leisure/Social</v>
      </c>
      <c r="W97" s="35" t="str">
        <f>Q97&amp;"-"&amp;V97</f>
        <v>Work-Leisure/Social</v>
      </c>
      <c r="X97" s="33">
        <v>150000</v>
      </c>
      <c r="Y97" s="39">
        <v>120</v>
      </c>
      <c r="Z97" s="39">
        <v>4</v>
      </c>
      <c r="AA97" s="33">
        <v>10</v>
      </c>
      <c r="AB97" s="35" t="s">
        <v>246</v>
      </c>
      <c r="AC97" s="33">
        <v>3</v>
      </c>
      <c r="AD97" s="35" t="str">
        <f>VLOOKUP(AC97,Key!$E$20:$F$24,2,FALSE)</f>
        <v>500,000-750,000</v>
      </c>
      <c r="AE97" s="33">
        <v>1</v>
      </c>
      <c r="AF97" s="39">
        <v>1</v>
      </c>
      <c r="AG97" s="39">
        <v>1</v>
      </c>
      <c r="AH97" s="39">
        <v>1</v>
      </c>
      <c r="AI97" s="39">
        <v>1</v>
      </c>
      <c r="AJ97" s="40" t="s">
        <v>274</v>
      </c>
      <c r="AK97" s="41"/>
      <c r="AL97" s="25"/>
      <c r="AM97" s="25"/>
    </row>
    <row r="98" spans="2:39" x14ac:dyDescent="0.2">
      <c r="B98" s="50">
        <v>43701</v>
      </c>
      <c r="C98" s="36">
        <v>0.46180555555555558</v>
      </c>
      <c r="D98" s="36"/>
      <c r="E98" s="36" t="s">
        <v>267</v>
      </c>
      <c r="F98" s="38">
        <v>2</v>
      </c>
      <c r="G98" s="43" t="str">
        <f>VLOOKUP(F98,Key!$A$17:$B$21,2,FALSE)</f>
        <v>Road Vehicle</v>
      </c>
      <c r="H98" s="37">
        <v>2</v>
      </c>
      <c r="I98" s="44" t="str">
        <f>VLOOKUP(H98,Key!$A$2:$B$13,2,FALSE)</f>
        <v>Station Wagon</v>
      </c>
      <c r="J98" s="38" t="s">
        <v>302</v>
      </c>
      <c r="K98" s="38">
        <v>2</v>
      </c>
      <c r="L98" s="45" t="str">
        <f>VLOOKUP(K98,Key!$A$24:$B$29,2,FALSE)</f>
        <v>30-39</v>
      </c>
      <c r="M98" s="38" t="s">
        <v>277</v>
      </c>
      <c r="N98" s="33" t="s">
        <v>278</v>
      </c>
      <c r="O98" s="38" t="s">
        <v>271</v>
      </c>
      <c r="P98" s="40">
        <v>2</v>
      </c>
      <c r="Q98" s="35" t="str">
        <f>VLOOKUP(P98,Key!$E$2:$F$9,2,FALSE)</f>
        <v>Work</v>
      </c>
      <c r="R98" s="38" t="s">
        <v>272</v>
      </c>
      <c r="S98" s="33" t="s">
        <v>273</v>
      </c>
      <c r="T98" s="38"/>
      <c r="U98" s="33">
        <v>6</v>
      </c>
      <c r="V98" s="35" t="str">
        <f>VLOOKUP(U98,Key!$E$2:$F$9,2,FALSE)</f>
        <v>Leisure/Social</v>
      </c>
      <c r="W98" s="35" t="str">
        <f>Q98&amp;"-"&amp;V98</f>
        <v>Work-Leisure/Social</v>
      </c>
      <c r="X98" s="33">
        <v>100000</v>
      </c>
      <c r="Y98" s="39">
        <v>50</v>
      </c>
      <c r="Z98" s="39">
        <v>1.5</v>
      </c>
      <c r="AA98" s="33">
        <v>5</v>
      </c>
      <c r="AB98" s="35" t="str">
        <f>VLOOKUP(AA98,Key!$C$20:$D$29,2,FALSE)</f>
        <v>Professional</v>
      </c>
      <c r="AC98" s="33">
        <v>3</v>
      </c>
      <c r="AD98" s="35" t="str">
        <f>VLOOKUP(AC98,Key!$E$20:$F$24,2,FALSE)</f>
        <v>500,000-750,000</v>
      </c>
      <c r="AE98" s="33">
        <v>1</v>
      </c>
      <c r="AF98" s="39">
        <v>1</v>
      </c>
      <c r="AG98" s="39">
        <v>1</v>
      </c>
      <c r="AH98" s="39">
        <v>1</v>
      </c>
      <c r="AI98" s="39">
        <v>2</v>
      </c>
      <c r="AJ98" s="40" t="s">
        <v>274</v>
      </c>
      <c r="AK98" s="41">
        <v>5000</v>
      </c>
      <c r="AL98" s="25"/>
      <c r="AM98" s="25"/>
    </row>
    <row r="99" spans="2:39" x14ac:dyDescent="0.2">
      <c r="B99" s="50">
        <v>43699</v>
      </c>
      <c r="C99" s="36">
        <v>0.59652777777777777</v>
      </c>
      <c r="D99" s="36"/>
      <c r="E99" s="36" t="s">
        <v>267</v>
      </c>
      <c r="F99" s="38">
        <v>2</v>
      </c>
      <c r="G99" s="43" t="str">
        <f>VLOOKUP(F99,Key!$A$17:$B$21,2,FALSE)</f>
        <v>Road Vehicle</v>
      </c>
      <c r="H99" s="37">
        <v>2</v>
      </c>
      <c r="I99" s="44" t="str">
        <f>VLOOKUP(H99,Key!$A$2:$B$13,2,FALSE)</f>
        <v>Station Wagon</v>
      </c>
      <c r="J99" s="38" t="s">
        <v>268</v>
      </c>
      <c r="K99" s="38">
        <v>2</v>
      </c>
      <c r="L99" s="45" t="str">
        <f>VLOOKUP(K99,Key!$A$24:$B$29,2,FALSE)</f>
        <v>30-39</v>
      </c>
      <c r="M99" s="38" t="s">
        <v>279</v>
      </c>
      <c r="N99" s="33" t="s">
        <v>264</v>
      </c>
      <c r="O99" s="38" t="s">
        <v>271</v>
      </c>
      <c r="P99" s="40">
        <v>2</v>
      </c>
      <c r="Q99" s="35" t="str">
        <f>VLOOKUP(P99,Key!$E$2:$F$9,2,FALSE)</f>
        <v>Work</v>
      </c>
      <c r="R99" s="38" t="s">
        <v>272</v>
      </c>
      <c r="S99" s="33" t="s">
        <v>273</v>
      </c>
      <c r="T99" s="38" t="s">
        <v>271</v>
      </c>
      <c r="U99" s="33">
        <v>2</v>
      </c>
      <c r="V99" s="35" t="str">
        <f>VLOOKUP(U99,Key!$E$2:$F$9,2,FALSE)</f>
        <v>Work</v>
      </c>
      <c r="W99" s="35" t="str">
        <f>Q99&amp;"-"&amp;V99</f>
        <v>Work-Work</v>
      </c>
      <c r="X99" s="33">
        <v>150000</v>
      </c>
      <c r="Y99" s="39">
        <v>120</v>
      </c>
      <c r="Z99" s="39">
        <v>2</v>
      </c>
      <c r="AA99" s="33">
        <v>10</v>
      </c>
      <c r="AB99" s="35" t="str">
        <f>VLOOKUP(AA99,Key!$C$20:$D$29,2,FALSE)</f>
        <v>Other</v>
      </c>
      <c r="AC99" s="33">
        <v>4</v>
      </c>
      <c r="AD99" s="35" t="str">
        <f>VLOOKUP(AC99,Key!$E$20:$F$24,2,FALSE)</f>
        <v>750,000-1,000,000</v>
      </c>
      <c r="AE99" s="33">
        <v>1</v>
      </c>
      <c r="AF99" s="39">
        <v>1</v>
      </c>
      <c r="AG99" s="39">
        <v>1</v>
      </c>
      <c r="AH99" s="39">
        <v>2</v>
      </c>
      <c r="AI99" s="39">
        <v>1</v>
      </c>
      <c r="AJ99" s="40" t="s">
        <v>274</v>
      </c>
      <c r="AK99" s="41"/>
      <c r="AL99" s="25"/>
      <c r="AM99" s="25"/>
    </row>
    <row r="100" spans="2:39" x14ac:dyDescent="0.2">
      <c r="B100" s="50">
        <v>43700</v>
      </c>
      <c r="C100" s="36">
        <v>0.6743055555555556</v>
      </c>
      <c r="D100" s="36"/>
      <c r="E100" s="36" t="s">
        <v>267</v>
      </c>
      <c r="F100" s="38">
        <v>2</v>
      </c>
      <c r="G100" s="43" t="str">
        <f>VLOOKUP(F100,Key!$A$17:$B$21,2,FALSE)</f>
        <v>Road Vehicle</v>
      </c>
      <c r="H100" s="37">
        <v>2</v>
      </c>
      <c r="I100" s="44" t="str">
        <f>VLOOKUP(H100,Key!$A$2:$B$13,2,FALSE)</f>
        <v>Station Wagon</v>
      </c>
      <c r="J100" s="38" t="s">
        <v>268</v>
      </c>
      <c r="K100" s="38">
        <v>2</v>
      </c>
      <c r="L100" s="45" t="str">
        <f>VLOOKUP(K100,Key!$A$24:$B$29,2,FALSE)</f>
        <v>30-39</v>
      </c>
      <c r="M100" s="38" t="s">
        <v>272</v>
      </c>
      <c r="N100" s="33" t="s">
        <v>273</v>
      </c>
      <c r="O100" s="38" t="s">
        <v>271</v>
      </c>
      <c r="P100" s="40">
        <v>1</v>
      </c>
      <c r="Q100" s="35" t="str">
        <f>VLOOKUP(P100,Key!$E$2:$F$9,2,FALSE)</f>
        <v>Home</v>
      </c>
      <c r="R100" s="38" t="s">
        <v>303</v>
      </c>
      <c r="S100" s="33" t="s">
        <v>273</v>
      </c>
      <c r="T100" s="38" t="s">
        <v>271</v>
      </c>
      <c r="U100" s="33">
        <v>2</v>
      </c>
      <c r="V100" s="35" t="str">
        <f>VLOOKUP(U100,Key!$E$2:$F$9,2,FALSE)</f>
        <v>Work</v>
      </c>
      <c r="W100" s="35" t="str">
        <f>Q100&amp;"-"&amp;V100</f>
        <v>Home-Work</v>
      </c>
      <c r="X100" s="33">
        <v>25000</v>
      </c>
      <c r="Y100" s="39">
        <v>2.5</v>
      </c>
      <c r="Z100" s="39">
        <v>0.3</v>
      </c>
      <c r="AA100" s="33">
        <v>5</v>
      </c>
      <c r="AB100" s="35" t="str">
        <f>VLOOKUP(AA100,Key!$C$20:$D$29,2,FALSE)</f>
        <v>Professional</v>
      </c>
      <c r="AC100" s="33">
        <v>4</v>
      </c>
      <c r="AD100" s="35" t="str">
        <f>VLOOKUP(AC100,Key!$E$20:$F$24,2,FALSE)</f>
        <v>750,000-1,000,000</v>
      </c>
      <c r="AE100" s="33">
        <v>1</v>
      </c>
      <c r="AF100" s="39">
        <v>1</v>
      </c>
      <c r="AG100" s="39">
        <v>1</v>
      </c>
      <c r="AH100" s="39">
        <v>1</v>
      </c>
      <c r="AI100" s="39">
        <v>1</v>
      </c>
      <c r="AJ100" s="40" t="s">
        <v>274</v>
      </c>
      <c r="AK100" s="41">
        <v>1000</v>
      </c>
      <c r="AL100" s="25"/>
      <c r="AM100" s="25"/>
    </row>
    <row r="101" spans="2:39" x14ac:dyDescent="0.2">
      <c r="B101" s="50">
        <v>43701</v>
      </c>
      <c r="C101" s="36">
        <v>0.3979166666666667</v>
      </c>
      <c r="D101" s="36"/>
      <c r="E101" s="36" t="s">
        <v>267</v>
      </c>
      <c r="F101" s="38">
        <v>2</v>
      </c>
      <c r="G101" s="43" t="str">
        <f>VLOOKUP(F101,Key!$A$17:$B$21,2,FALSE)</f>
        <v>Road Vehicle</v>
      </c>
      <c r="H101" s="37">
        <v>2</v>
      </c>
      <c r="I101" s="44" t="str">
        <f>VLOOKUP(H101,Key!$A$2:$B$13,2,FALSE)</f>
        <v>Station Wagon</v>
      </c>
      <c r="J101" s="38" t="s">
        <v>268</v>
      </c>
      <c r="K101" s="38">
        <v>2</v>
      </c>
      <c r="L101" s="45" t="str">
        <f>VLOOKUP(K101,Key!$A$24:$B$29,2,FALSE)</f>
        <v>30-39</v>
      </c>
      <c r="M101" s="38" t="s">
        <v>294</v>
      </c>
      <c r="N101" s="33" t="s">
        <v>273</v>
      </c>
      <c r="O101" s="38" t="s">
        <v>271</v>
      </c>
      <c r="P101" s="40">
        <v>1</v>
      </c>
      <c r="Q101" s="35" t="str">
        <f>VLOOKUP(P101,Key!$E$2:$F$9,2,FALSE)</f>
        <v>Home</v>
      </c>
      <c r="R101" s="38" t="s">
        <v>272</v>
      </c>
      <c r="S101" s="33" t="s">
        <v>273</v>
      </c>
      <c r="T101" s="38"/>
      <c r="U101" s="33">
        <v>2</v>
      </c>
      <c r="V101" s="35" t="str">
        <f>VLOOKUP(U101,Key!$E$2:$F$9,2,FALSE)</f>
        <v>Work</v>
      </c>
      <c r="W101" s="35" t="str">
        <f>Q101&amp;"-"&amp;V101</f>
        <v>Home-Work</v>
      </c>
      <c r="X101" s="33">
        <v>25000</v>
      </c>
      <c r="Y101" s="39">
        <v>20</v>
      </c>
      <c r="Z101" s="39">
        <v>0.3</v>
      </c>
      <c r="AA101" s="33">
        <v>4</v>
      </c>
      <c r="AB101" s="35" t="str">
        <f>VLOOKUP(AA101,Key!$C$20:$D$29,2,FALSE)</f>
        <v>Office Worker</v>
      </c>
      <c r="AC101" s="33">
        <v>4</v>
      </c>
      <c r="AD101" s="35" t="str">
        <f>VLOOKUP(AC101,Key!$E$20:$F$24,2,FALSE)</f>
        <v>750,000-1,000,000</v>
      </c>
      <c r="AE101" s="33">
        <v>1</v>
      </c>
      <c r="AF101" s="39">
        <v>1</v>
      </c>
      <c r="AG101" s="39">
        <v>1</v>
      </c>
      <c r="AH101" s="39">
        <v>1</v>
      </c>
      <c r="AI101" s="39">
        <v>1</v>
      </c>
      <c r="AJ101" s="40" t="s">
        <v>274</v>
      </c>
      <c r="AK101" s="41">
        <v>1000</v>
      </c>
      <c r="AL101" s="25"/>
      <c r="AM101" s="25"/>
    </row>
    <row r="102" spans="2:39" x14ac:dyDescent="0.2">
      <c r="B102" s="50">
        <v>43699</v>
      </c>
      <c r="C102" s="36">
        <v>0.34652777777777777</v>
      </c>
      <c r="D102" s="36"/>
      <c r="E102" s="36" t="s">
        <v>267</v>
      </c>
      <c r="F102" s="38">
        <v>2</v>
      </c>
      <c r="G102" s="43" t="str">
        <f>VLOOKUP(F102,Key!$A$17:$B$21,2,FALSE)</f>
        <v>Road Vehicle</v>
      </c>
      <c r="H102" s="37">
        <v>1</v>
      </c>
      <c r="I102" s="44" t="str">
        <f>VLOOKUP(H102,Key!$A$2:$B$13,2,FALSE)</f>
        <v>Car</v>
      </c>
      <c r="J102" s="38" t="s">
        <v>268</v>
      </c>
      <c r="K102" s="38">
        <v>3</v>
      </c>
      <c r="L102" s="45" t="str">
        <f>VLOOKUP(K102,Key!$A$24:$B$29,2,FALSE)</f>
        <v>40-49</v>
      </c>
      <c r="M102" s="38" t="s">
        <v>279</v>
      </c>
      <c r="N102" s="33" t="s">
        <v>264</v>
      </c>
      <c r="O102" s="38" t="s">
        <v>271</v>
      </c>
      <c r="P102" s="40">
        <v>4</v>
      </c>
      <c r="Q102" s="35" t="str">
        <f>VLOOKUP(P102,Key!$E$2:$F$9,2,FALSE)</f>
        <v>Commercial</v>
      </c>
      <c r="R102" s="38" t="s">
        <v>272</v>
      </c>
      <c r="S102" s="33" t="s">
        <v>273</v>
      </c>
      <c r="T102" s="38" t="s">
        <v>271</v>
      </c>
      <c r="U102" s="33">
        <v>2</v>
      </c>
      <c r="V102" s="35" t="str">
        <f>VLOOKUP(U102,Key!$E$2:$F$9,2,FALSE)</f>
        <v>Work</v>
      </c>
      <c r="W102" s="35" t="str">
        <f>Q102&amp;"-"&amp;V102</f>
        <v>Commercial-Work</v>
      </c>
      <c r="X102" s="33">
        <v>100000</v>
      </c>
      <c r="Y102" s="39">
        <v>140</v>
      </c>
      <c r="Z102" s="39">
        <v>5</v>
      </c>
      <c r="AA102" s="33">
        <v>6</v>
      </c>
      <c r="AB102" s="35" t="str">
        <f>VLOOKUP(AA102,Key!$C$20:$D$29,2,FALSE)</f>
        <v>Businessman</v>
      </c>
      <c r="AC102" s="33">
        <v>3</v>
      </c>
      <c r="AD102" s="35" t="str">
        <f>VLOOKUP(AC102,Key!$E$20:$F$24,2,FALSE)</f>
        <v>500,000-750,000</v>
      </c>
      <c r="AE102" s="33">
        <v>1</v>
      </c>
      <c r="AF102" s="39">
        <v>1</v>
      </c>
      <c r="AG102" s="39">
        <v>1</v>
      </c>
      <c r="AH102" s="39">
        <v>2</v>
      </c>
      <c r="AI102" s="39">
        <v>1</v>
      </c>
      <c r="AJ102" s="40" t="s">
        <v>274</v>
      </c>
      <c r="AK102" s="41">
        <v>1000</v>
      </c>
      <c r="AL102" s="25"/>
      <c r="AM102" s="25"/>
    </row>
    <row r="103" spans="2:39" x14ac:dyDescent="0.2">
      <c r="B103" s="50">
        <v>43699</v>
      </c>
      <c r="C103" s="36">
        <v>0.38541666666666669</v>
      </c>
      <c r="D103" s="36"/>
      <c r="E103" s="36" t="s">
        <v>267</v>
      </c>
      <c r="F103" s="38">
        <v>2</v>
      </c>
      <c r="G103" s="43" t="str">
        <f>VLOOKUP(F103,Key!$A$17:$B$21,2,FALSE)</f>
        <v>Road Vehicle</v>
      </c>
      <c r="H103" s="37">
        <v>1</v>
      </c>
      <c r="I103" s="44" t="str">
        <f>VLOOKUP(H103,Key!$A$2:$B$13,2,FALSE)</f>
        <v>Car</v>
      </c>
      <c r="J103" s="38" t="s">
        <v>268</v>
      </c>
      <c r="K103" s="38">
        <v>3</v>
      </c>
      <c r="L103" s="45" t="str">
        <f>VLOOKUP(K103,Key!$A$24:$B$29,2,FALSE)</f>
        <v>40-49</v>
      </c>
      <c r="M103" s="38" t="s">
        <v>292</v>
      </c>
      <c r="N103" s="33" t="s">
        <v>273</v>
      </c>
      <c r="O103" s="38" t="s">
        <v>271</v>
      </c>
      <c r="P103" s="40">
        <v>2</v>
      </c>
      <c r="Q103" s="35" t="str">
        <f>VLOOKUP(P103,Key!$E$2:$F$9,2,FALSE)</f>
        <v>Work</v>
      </c>
      <c r="R103" s="38" t="s">
        <v>293</v>
      </c>
      <c r="S103" s="33" t="s">
        <v>273</v>
      </c>
      <c r="T103" s="38" t="s">
        <v>271</v>
      </c>
      <c r="U103" s="33">
        <v>2</v>
      </c>
      <c r="V103" s="35" t="str">
        <f>VLOOKUP(U103,Key!$E$2:$F$9,2,FALSE)</f>
        <v>Work</v>
      </c>
      <c r="W103" s="35" t="str">
        <f>Q103&amp;"-"&amp;V103</f>
        <v>Work-Work</v>
      </c>
      <c r="X103" s="33">
        <v>40000</v>
      </c>
      <c r="Y103" s="39">
        <v>70</v>
      </c>
      <c r="Z103" s="39">
        <v>1.5</v>
      </c>
      <c r="AA103" s="33">
        <v>10</v>
      </c>
      <c r="AB103" s="35" t="str">
        <f>VLOOKUP(AA103,Key!$C$20:$D$29,2,FALSE)</f>
        <v>Other</v>
      </c>
      <c r="AC103" s="33">
        <v>2</v>
      </c>
      <c r="AD103" s="35" t="str">
        <f>VLOOKUP(AC103,Key!$E$20:$F$24,2,FALSE)</f>
        <v>300,000-500,000</v>
      </c>
      <c r="AE103" s="33">
        <v>1</v>
      </c>
      <c r="AF103" s="39">
        <v>1</v>
      </c>
      <c r="AG103" s="39">
        <v>1</v>
      </c>
      <c r="AH103" s="39">
        <v>1</v>
      </c>
      <c r="AI103" s="39">
        <v>1</v>
      </c>
      <c r="AJ103" s="40" t="s">
        <v>274</v>
      </c>
      <c r="AK103" s="41">
        <v>1000</v>
      </c>
      <c r="AL103" s="25"/>
      <c r="AM103" s="25"/>
    </row>
    <row r="104" spans="2:39" ht="12" customHeight="1" x14ac:dyDescent="0.2">
      <c r="B104" s="50">
        <v>43699</v>
      </c>
      <c r="C104" s="36">
        <v>0.36041666666666666</v>
      </c>
      <c r="D104" s="36"/>
      <c r="E104" s="36" t="s">
        <v>267</v>
      </c>
      <c r="F104" s="38">
        <v>2</v>
      </c>
      <c r="G104" s="43" t="str">
        <f>VLOOKUP(F104,Key!$A$17:$B$21,2,FALSE)</f>
        <v>Road Vehicle</v>
      </c>
      <c r="H104" s="37">
        <v>1</v>
      </c>
      <c r="I104" s="44" t="str">
        <f>VLOOKUP(H104,Key!$A$2:$B$13,2,FALSE)</f>
        <v>Car</v>
      </c>
      <c r="J104" s="38" t="s">
        <v>268</v>
      </c>
      <c r="K104" s="38">
        <v>3</v>
      </c>
      <c r="L104" s="45" t="str">
        <f>VLOOKUP(K104,Key!$A$24:$B$29,2,FALSE)</f>
        <v>40-49</v>
      </c>
      <c r="M104" s="38" t="s">
        <v>294</v>
      </c>
      <c r="N104" s="33" t="s">
        <v>273</v>
      </c>
      <c r="O104" s="38" t="s">
        <v>271</v>
      </c>
      <c r="P104" s="40">
        <v>2</v>
      </c>
      <c r="Q104" s="35" t="str">
        <f>VLOOKUP(P104,Key!$E$2:$F$9,2,FALSE)</f>
        <v>Work</v>
      </c>
      <c r="R104" s="38" t="s">
        <v>294</v>
      </c>
      <c r="S104" s="33" t="s">
        <v>273</v>
      </c>
      <c r="T104" s="38" t="s">
        <v>271</v>
      </c>
      <c r="U104" s="33">
        <v>2</v>
      </c>
      <c r="V104" s="35" t="str">
        <f>VLOOKUP(U104,Key!$E$2:$F$9,2,FALSE)</f>
        <v>Work</v>
      </c>
      <c r="W104" s="35" t="str">
        <f>Q104&amp;"-"&amp;V104</f>
        <v>Work-Work</v>
      </c>
      <c r="X104" s="33">
        <v>30000</v>
      </c>
      <c r="Y104" s="39">
        <v>40</v>
      </c>
      <c r="Z104" s="39">
        <v>1</v>
      </c>
      <c r="AA104" s="33">
        <v>10</v>
      </c>
      <c r="AB104" s="35" t="str">
        <f>VLOOKUP(AA104,Key!$C$20:$D$29,2,FALSE)</f>
        <v>Other</v>
      </c>
      <c r="AC104" s="33">
        <v>2</v>
      </c>
      <c r="AD104" s="35" t="str">
        <f>VLOOKUP(AC104,Key!$E$20:$F$24,2,FALSE)</f>
        <v>300,000-500,000</v>
      </c>
      <c r="AE104" s="33">
        <v>1</v>
      </c>
      <c r="AF104" s="39">
        <v>2</v>
      </c>
      <c r="AG104" s="39">
        <v>2</v>
      </c>
      <c r="AH104" s="39">
        <v>1</v>
      </c>
      <c r="AI104" s="39">
        <v>2</v>
      </c>
      <c r="AJ104" s="40" t="s">
        <v>274</v>
      </c>
      <c r="AK104" s="41">
        <v>500</v>
      </c>
      <c r="AL104" s="25"/>
      <c r="AM104" s="25"/>
    </row>
    <row r="105" spans="2:39" x14ac:dyDescent="0.2">
      <c r="B105" s="50">
        <v>43699</v>
      </c>
      <c r="C105" s="36">
        <v>0.73958333333333337</v>
      </c>
      <c r="D105" s="36"/>
      <c r="E105" s="36" t="s">
        <v>267</v>
      </c>
      <c r="F105" s="38">
        <v>2</v>
      </c>
      <c r="G105" s="43" t="str">
        <f>VLOOKUP(F105,Key!$A$17:$B$21,2,FALSE)</f>
        <v>Road Vehicle</v>
      </c>
      <c r="H105" s="37">
        <v>7</v>
      </c>
      <c r="I105" s="44" t="str">
        <f>VLOOKUP(H105,Key!$A$2:$B$13,2,FALSE)</f>
        <v xml:space="preserve">Light Truck </v>
      </c>
      <c r="J105" s="38" t="s">
        <v>268</v>
      </c>
      <c r="K105" s="38">
        <v>3</v>
      </c>
      <c r="L105" s="45" t="str">
        <f>VLOOKUP(K105,Key!$A$24:$B$29,2,FALSE)</f>
        <v>40-49</v>
      </c>
      <c r="M105" s="38" t="s">
        <v>295</v>
      </c>
      <c r="N105" s="33" t="s">
        <v>296</v>
      </c>
      <c r="O105" s="38" t="s">
        <v>271</v>
      </c>
      <c r="P105" s="40">
        <v>2</v>
      </c>
      <c r="Q105" s="35" t="str">
        <f>VLOOKUP(P105,Key!$E$2:$F$9,2,FALSE)</f>
        <v>Work</v>
      </c>
      <c r="R105" s="38" t="s">
        <v>272</v>
      </c>
      <c r="S105" s="33" t="s">
        <v>273</v>
      </c>
      <c r="T105" s="38" t="s">
        <v>271</v>
      </c>
      <c r="U105" s="33">
        <v>4</v>
      </c>
      <c r="V105" s="35" t="str">
        <f>VLOOKUP(U105,Key!$E$2:$F$9,2,FALSE)</f>
        <v>Commercial</v>
      </c>
      <c r="W105" s="35" t="str">
        <f>Q105&amp;"-"&amp;V105</f>
        <v>Work-Commercial</v>
      </c>
      <c r="X105" s="33">
        <v>50000</v>
      </c>
      <c r="Y105" s="39">
        <v>68</v>
      </c>
      <c r="Z105" s="39">
        <v>2</v>
      </c>
      <c r="AA105" s="33">
        <v>10</v>
      </c>
      <c r="AB105" s="35" t="str">
        <f>VLOOKUP(AA105,Key!$C$20:$D$29,2,FALSE)</f>
        <v>Other</v>
      </c>
      <c r="AC105" s="33">
        <v>3</v>
      </c>
      <c r="AD105" s="35" t="str">
        <f>VLOOKUP(AC105,Key!$E$20:$F$24,2,FALSE)</f>
        <v>500,000-750,000</v>
      </c>
      <c r="AE105" s="33">
        <v>1</v>
      </c>
      <c r="AF105" s="39">
        <v>1</v>
      </c>
      <c r="AG105" s="39">
        <v>1</v>
      </c>
      <c r="AH105" s="39">
        <v>1</v>
      </c>
      <c r="AI105" s="39">
        <v>1</v>
      </c>
      <c r="AJ105" s="40" t="s">
        <v>274</v>
      </c>
      <c r="AK105" s="41"/>
      <c r="AL105" s="25"/>
      <c r="AM105" s="25"/>
    </row>
    <row r="106" spans="2:39" x14ac:dyDescent="0.2">
      <c r="B106" s="50">
        <v>43699</v>
      </c>
      <c r="C106" s="36">
        <v>0.33194444444444443</v>
      </c>
      <c r="D106" s="36"/>
      <c r="E106" s="36" t="s">
        <v>267</v>
      </c>
      <c r="F106" s="38">
        <v>2</v>
      </c>
      <c r="G106" s="43" t="str">
        <f>VLOOKUP(F106,Key!$A$17:$B$21,2,FALSE)</f>
        <v>Road Vehicle</v>
      </c>
      <c r="H106" s="37">
        <v>4</v>
      </c>
      <c r="I106" s="44" t="str">
        <f>VLOOKUP(H106,Key!$A$2:$B$13,2,FALSE)</f>
        <v>Minibus</v>
      </c>
      <c r="J106" s="38" t="s">
        <v>268</v>
      </c>
      <c r="K106" s="38">
        <v>3</v>
      </c>
      <c r="L106" s="45" t="str">
        <f>VLOOKUP(K106,Key!$A$24:$B$29,2,FALSE)</f>
        <v>40-49</v>
      </c>
      <c r="M106" s="38" t="s">
        <v>279</v>
      </c>
      <c r="N106" s="33" t="s">
        <v>264</v>
      </c>
      <c r="O106" s="38" t="s">
        <v>271</v>
      </c>
      <c r="P106" s="40">
        <v>2</v>
      </c>
      <c r="Q106" s="35" t="str">
        <f>VLOOKUP(P106,Key!$E$2:$F$9,2,FALSE)</f>
        <v>Work</v>
      </c>
      <c r="R106" s="38" t="s">
        <v>272</v>
      </c>
      <c r="S106" s="33" t="s">
        <v>273</v>
      </c>
      <c r="T106" s="38" t="s">
        <v>271</v>
      </c>
      <c r="U106" s="33">
        <v>2</v>
      </c>
      <c r="V106" s="35" t="str">
        <f>VLOOKUP(U106,Key!$E$2:$F$9,2,FALSE)</f>
        <v>Work</v>
      </c>
      <c r="W106" s="35" t="str">
        <f>Q106&amp;"-"&amp;V106</f>
        <v>Work-Work</v>
      </c>
      <c r="X106" s="33">
        <v>120000</v>
      </c>
      <c r="Y106" s="39">
        <v>130</v>
      </c>
      <c r="Z106" s="39">
        <v>5</v>
      </c>
      <c r="AA106" s="33">
        <v>10</v>
      </c>
      <c r="AB106" s="35" t="str">
        <f>VLOOKUP(AA106,Key!$C$20:$D$29,2,FALSE)</f>
        <v>Other</v>
      </c>
      <c r="AC106" s="33">
        <v>2</v>
      </c>
      <c r="AD106" s="35" t="str">
        <f>VLOOKUP(AC106,Key!$E$20:$F$24,2,FALSE)</f>
        <v>300,000-500,000</v>
      </c>
      <c r="AE106" s="33">
        <v>1</v>
      </c>
      <c r="AF106" s="39">
        <v>1</v>
      </c>
      <c r="AG106" s="39">
        <v>2</v>
      </c>
      <c r="AH106" s="39">
        <v>1</v>
      </c>
      <c r="AI106" s="39">
        <v>1</v>
      </c>
      <c r="AJ106" s="40" t="s">
        <v>274</v>
      </c>
      <c r="AK106" s="41">
        <v>1000</v>
      </c>
      <c r="AL106" s="25"/>
      <c r="AM106" s="25"/>
    </row>
    <row r="107" spans="2:39" x14ac:dyDescent="0.2">
      <c r="B107" s="50">
        <v>43699</v>
      </c>
      <c r="C107" s="36">
        <v>0.7090277777777777</v>
      </c>
      <c r="D107" s="36"/>
      <c r="E107" s="36" t="s">
        <v>267</v>
      </c>
      <c r="F107" s="38">
        <v>2</v>
      </c>
      <c r="G107" s="43" t="str">
        <f>VLOOKUP(F107,Key!$A$17:$B$21,2,FALSE)</f>
        <v>Road Vehicle</v>
      </c>
      <c r="H107" s="37">
        <v>4</v>
      </c>
      <c r="I107" s="44" t="str">
        <f>VLOOKUP(H107,Key!$A$2:$B$13,2,FALSE)</f>
        <v>Minibus</v>
      </c>
      <c r="J107" s="38" t="s">
        <v>268</v>
      </c>
      <c r="K107" s="38">
        <v>3</v>
      </c>
      <c r="L107" s="45" t="str">
        <f>VLOOKUP(K107,Key!$A$24:$B$29,2,FALSE)</f>
        <v>40-49</v>
      </c>
      <c r="M107" s="38" t="s">
        <v>272</v>
      </c>
      <c r="N107" s="33" t="s">
        <v>273</v>
      </c>
      <c r="O107" s="38" t="s">
        <v>271</v>
      </c>
      <c r="P107" s="40">
        <v>2</v>
      </c>
      <c r="Q107" s="35" t="str">
        <f>VLOOKUP(P107,Key!$E$2:$F$9,2,FALSE)</f>
        <v>Work</v>
      </c>
      <c r="R107" s="38" t="s">
        <v>297</v>
      </c>
      <c r="S107" s="33" t="s">
        <v>273</v>
      </c>
      <c r="T107" s="38" t="s">
        <v>271</v>
      </c>
      <c r="U107" s="33">
        <v>2</v>
      </c>
      <c r="V107" s="35" t="str">
        <f>VLOOKUP(U107,Key!$E$2:$F$9,2,FALSE)</f>
        <v>Work</v>
      </c>
      <c r="W107" s="35" t="str">
        <f>Q107&amp;"-"&amp;V107</f>
        <v>Work-Work</v>
      </c>
      <c r="X107" s="33">
        <v>50000</v>
      </c>
      <c r="Y107" s="39">
        <v>67</v>
      </c>
      <c r="Z107" s="39">
        <v>2.5</v>
      </c>
      <c r="AA107" s="33">
        <v>10</v>
      </c>
      <c r="AB107" s="35" t="str">
        <f>VLOOKUP(AA107,Key!$C$20:$D$29,2,FALSE)</f>
        <v>Other</v>
      </c>
      <c r="AC107" s="33">
        <v>2</v>
      </c>
      <c r="AD107" s="35" t="str">
        <f>VLOOKUP(AC107,Key!$E$20:$F$24,2,FALSE)</f>
        <v>300,000-500,000</v>
      </c>
      <c r="AE107" s="33">
        <v>1</v>
      </c>
      <c r="AF107" s="39">
        <v>1</v>
      </c>
      <c r="AG107" s="39">
        <v>2</v>
      </c>
      <c r="AH107" s="39">
        <v>1</v>
      </c>
      <c r="AI107" s="39">
        <v>1</v>
      </c>
      <c r="AJ107" s="40" t="s">
        <v>274</v>
      </c>
      <c r="AK107" s="41">
        <v>1000</v>
      </c>
      <c r="AL107" s="25"/>
      <c r="AM107" s="25"/>
    </row>
    <row r="108" spans="2:39" x14ac:dyDescent="0.2">
      <c r="B108" s="50">
        <v>43699</v>
      </c>
      <c r="C108" s="36">
        <v>0.69374999999999998</v>
      </c>
      <c r="D108" s="36"/>
      <c r="E108" s="36" t="s">
        <v>267</v>
      </c>
      <c r="F108" s="38">
        <v>2</v>
      </c>
      <c r="G108" s="43" t="str">
        <f>VLOOKUP(F108,Key!$A$17:$B$21,2,FALSE)</f>
        <v>Road Vehicle</v>
      </c>
      <c r="H108" s="37">
        <v>4</v>
      </c>
      <c r="I108" s="44" t="str">
        <f>VLOOKUP(H108,Key!$A$2:$B$13,2,FALSE)</f>
        <v>Minibus</v>
      </c>
      <c r="J108" s="38" t="s">
        <v>268</v>
      </c>
      <c r="K108" s="38">
        <v>3</v>
      </c>
      <c r="L108" s="45" t="str">
        <f>VLOOKUP(K108,Key!$A$24:$B$29,2,FALSE)</f>
        <v>40-49</v>
      </c>
      <c r="M108" s="38" t="s">
        <v>272</v>
      </c>
      <c r="N108" s="33" t="s">
        <v>273</v>
      </c>
      <c r="O108" s="38" t="s">
        <v>271</v>
      </c>
      <c r="P108" s="40">
        <v>4</v>
      </c>
      <c r="Q108" s="35" t="str">
        <f>VLOOKUP(P108,Key!$E$2:$F$9,2,FALSE)</f>
        <v>Commercial</v>
      </c>
      <c r="R108" s="38" t="s">
        <v>279</v>
      </c>
      <c r="S108" s="33" t="s">
        <v>264</v>
      </c>
      <c r="T108" s="38" t="s">
        <v>271</v>
      </c>
      <c r="U108" s="33">
        <v>4</v>
      </c>
      <c r="V108" s="35" t="str">
        <f>VLOOKUP(U108,Key!$E$2:$F$9,2,FALSE)</f>
        <v>Commercial</v>
      </c>
      <c r="W108" s="35" t="str">
        <f>Q108&amp;"-"&amp;V108</f>
        <v>Commercial-Commercial</v>
      </c>
      <c r="X108" s="33">
        <v>130000</v>
      </c>
      <c r="Y108" s="39">
        <v>140</v>
      </c>
      <c r="Z108" s="39">
        <v>4</v>
      </c>
      <c r="AA108" s="33">
        <v>10</v>
      </c>
      <c r="AB108" s="35" t="str">
        <f>VLOOKUP(AA108,Key!$C$20:$D$29,2,FALSE)</f>
        <v>Other</v>
      </c>
      <c r="AC108" s="33">
        <v>3</v>
      </c>
      <c r="AD108" s="35" t="str">
        <f>VLOOKUP(AC108,Key!$E$20:$F$24,2,FALSE)</f>
        <v>500,000-750,000</v>
      </c>
      <c r="AE108" s="33">
        <v>1</v>
      </c>
      <c r="AF108" s="39">
        <v>1</v>
      </c>
      <c r="AG108" s="39">
        <v>1</v>
      </c>
      <c r="AH108" s="39">
        <v>2</v>
      </c>
      <c r="AI108" s="39">
        <v>1</v>
      </c>
      <c r="AJ108" s="40" t="s">
        <v>274</v>
      </c>
      <c r="AK108" s="41"/>
      <c r="AL108" s="25"/>
      <c r="AM108" s="25"/>
    </row>
    <row r="109" spans="2:39" x14ac:dyDescent="0.2">
      <c r="B109" s="50">
        <v>43699</v>
      </c>
      <c r="C109" s="36">
        <v>0.53402777777777777</v>
      </c>
      <c r="D109" s="36"/>
      <c r="E109" s="36" t="s">
        <v>267</v>
      </c>
      <c r="F109" s="38">
        <v>2</v>
      </c>
      <c r="G109" s="43" t="str">
        <f>VLOOKUP(F109,Key!$A$17:$B$21,2,FALSE)</f>
        <v>Road Vehicle</v>
      </c>
      <c r="H109" s="37">
        <v>3</v>
      </c>
      <c r="I109" s="44" t="str">
        <f>VLOOKUP(H109,Key!$A$2:$B$13,2,FALSE)</f>
        <v>Pickups</v>
      </c>
      <c r="J109" s="38" t="s">
        <v>268</v>
      </c>
      <c r="K109" s="38">
        <v>3</v>
      </c>
      <c r="L109" s="45" t="str">
        <f>VLOOKUP(K109,Key!$A$24:$B$29,2,FALSE)</f>
        <v>40-49</v>
      </c>
      <c r="M109" s="38" t="s">
        <v>285</v>
      </c>
      <c r="N109" s="33" t="s">
        <v>273</v>
      </c>
      <c r="O109" s="38" t="s">
        <v>271</v>
      </c>
      <c r="P109" s="40">
        <v>1</v>
      </c>
      <c r="Q109" s="35" t="str">
        <f>VLOOKUP(P109,Key!$E$2:$F$9,2,FALSE)</f>
        <v>Home</v>
      </c>
      <c r="R109" s="38" t="s">
        <v>272</v>
      </c>
      <c r="S109" s="33" t="s">
        <v>273</v>
      </c>
      <c r="T109" s="38" t="s">
        <v>271</v>
      </c>
      <c r="U109" s="33">
        <v>4</v>
      </c>
      <c r="V109" s="35" t="str">
        <f>VLOOKUP(U109,Key!$E$2:$F$9,2,FALSE)</f>
        <v>Commercial</v>
      </c>
      <c r="W109" s="35" t="str">
        <f>Q109&amp;"-"&amp;V109</f>
        <v>Home-Commercial</v>
      </c>
      <c r="X109" s="33">
        <v>25000</v>
      </c>
      <c r="Y109" s="39">
        <v>40</v>
      </c>
      <c r="Z109" s="39">
        <v>1</v>
      </c>
      <c r="AA109" s="33">
        <v>10</v>
      </c>
      <c r="AB109" s="35" t="str">
        <f>VLOOKUP(AA109,Key!$C$20:$D$29,2,FALSE)</f>
        <v>Other</v>
      </c>
      <c r="AC109" s="33">
        <v>2</v>
      </c>
      <c r="AD109" s="35" t="str">
        <f>VLOOKUP(AC109,Key!$E$20:$F$24,2,FALSE)</f>
        <v>300,000-500,000</v>
      </c>
      <c r="AE109" s="33">
        <v>1</v>
      </c>
      <c r="AF109" s="39">
        <v>1</v>
      </c>
      <c r="AG109" s="39">
        <v>2</v>
      </c>
      <c r="AH109" s="39">
        <v>1</v>
      </c>
      <c r="AI109" s="39">
        <v>2</v>
      </c>
      <c r="AJ109" s="40" t="s">
        <v>274</v>
      </c>
      <c r="AK109" s="41"/>
      <c r="AL109" s="25"/>
      <c r="AM109" s="25"/>
    </row>
    <row r="110" spans="2:39" x14ac:dyDescent="0.2">
      <c r="B110" s="50">
        <v>43699</v>
      </c>
      <c r="C110" s="36">
        <v>0.63263888888888886</v>
      </c>
      <c r="D110" s="36"/>
      <c r="E110" s="36" t="s">
        <v>267</v>
      </c>
      <c r="F110" s="38">
        <v>2</v>
      </c>
      <c r="G110" s="43" t="str">
        <f>VLOOKUP(F110,Key!$A$17:$B$21,2,FALSE)</f>
        <v>Road Vehicle</v>
      </c>
      <c r="H110" s="37">
        <v>6</v>
      </c>
      <c r="I110" s="44" t="str">
        <f>VLOOKUP(H110,Key!$A$2:$B$13,2,FALSE)</f>
        <v>Large Bus</v>
      </c>
      <c r="J110" s="38" t="s">
        <v>268</v>
      </c>
      <c r="K110" s="38">
        <v>4</v>
      </c>
      <c r="L110" s="45" t="str">
        <f>VLOOKUP(K110,Key!$A$24:$B$29,2,FALSE)</f>
        <v>50-59</v>
      </c>
      <c r="M110" s="38" t="s">
        <v>272</v>
      </c>
      <c r="N110" s="33" t="s">
        <v>273</v>
      </c>
      <c r="O110" s="38" t="s">
        <v>271</v>
      </c>
      <c r="P110" s="40">
        <v>2</v>
      </c>
      <c r="Q110" s="35" t="str">
        <f>VLOOKUP(P110,Key!$E$2:$F$9,2,FALSE)</f>
        <v>Work</v>
      </c>
      <c r="R110" s="38" t="s">
        <v>277</v>
      </c>
      <c r="S110" s="33" t="s">
        <v>278</v>
      </c>
      <c r="T110" s="38" t="s">
        <v>271</v>
      </c>
      <c r="U110" s="33">
        <v>2</v>
      </c>
      <c r="V110" s="35" t="str">
        <f>VLOOKUP(U110,Key!$E$2:$F$9,2,FALSE)</f>
        <v>Work</v>
      </c>
      <c r="W110" s="35" t="str">
        <f>Q110&amp;"-"&amp;V110</f>
        <v>Work-Work</v>
      </c>
      <c r="X110" s="33">
        <v>250000</v>
      </c>
      <c r="Y110" s="39">
        <v>120</v>
      </c>
      <c r="Z110" s="39">
        <v>2</v>
      </c>
      <c r="AA110" s="33">
        <v>10</v>
      </c>
      <c r="AB110" s="35" t="str">
        <f>VLOOKUP(AA110,Key!$C$20:$D$29,2,FALSE)</f>
        <v>Other</v>
      </c>
      <c r="AC110" s="33">
        <v>2</v>
      </c>
      <c r="AD110" s="35" t="str">
        <f>VLOOKUP(AC110,Key!$E$20:$F$24,2,FALSE)</f>
        <v>300,000-500,000</v>
      </c>
      <c r="AE110" s="33">
        <v>1</v>
      </c>
      <c r="AF110" s="39">
        <v>1</v>
      </c>
      <c r="AG110" s="39">
        <v>1</v>
      </c>
      <c r="AH110" s="39">
        <v>1</v>
      </c>
      <c r="AI110" s="39">
        <v>2</v>
      </c>
      <c r="AJ110" s="40" t="s">
        <v>274</v>
      </c>
      <c r="AK110" s="41">
        <v>2000</v>
      </c>
      <c r="AL110" s="25"/>
      <c r="AM110" s="25"/>
    </row>
    <row r="111" spans="2:39" x14ac:dyDescent="0.2">
      <c r="B111" s="50">
        <v>43699</v>
      </c>
      <c r="C111" s="36">
        <v>0.4284722222222222</v>
      </c>
      <c r="D111" s="36"/>
      <c r="E111" s="36" t="s">
        <v>267</v>
      </c>
      <c r="F111" s="38">
        <v>2</v>
      </c>
      <c r="G111" s="43" t="str">
        <f>VLOOKUP(F111,Key!$A$17:$B$21,2,FALSE)</f>
        <v>Road Vehicle</v>
      </c>
      <c r="H111" s="37">
        <v>7</v>
      </c>
      <c r="I111" s="44" t="str">
        <f>VLOOKUP(H111,Key!$A$2:$B$13,2,FALSE)</f>
        <v xml:space="preserve">Light Truck </v>
      </c>
      <c r="J111" s="38" t="s">
        <v>268</v>
      </c>
      <c r="K111" s="38">
        <v>4</v>
      </c>
      <c r="L111" s="45" t="str">
        <f>VLOOKUP(K111,Key!$A$24:$B$29,2,FALSE)</f>
        <v>50-59</v>
      </c>
      <c r="M111" s="38" t="s">
        <v>288</v>
      </c>
      <c r="N111" s="33" t="s">
        <v>273</v>
      </c>
      <c r="O111" s="38" t="s">
        <v>271</v>
      </c>
      <c r="P111" s="40">
        <v>2</v>
      </c>
      <c r="Q111" s="35" t="str">
        <f>VLOOKUP(P111,Key!$E$2:$F$9,2,FALSE)</f>
        <v>Work</v>
      </c>
      <c r="R111" s="38" t="s">
        <v>288</v>
      </c>
      <c r="S111" s="33" t="s">
        <v>273</v>
      </c>
      <c r="T111" s="38" t="s">
        <v>271</v>
      </c>
      <c r="U111" s="33">
        <v>2</v>
      </c>
      <c r="V111" s="35" t="str">
        <f>VLOOKUP(U111,Key!$E$2:$F$9,2,FALSE)</f>
        <v>Work</v>
      </c>
      <c r="W111" s="35" t="str">
        <f>Q111&amp;"-"&amp;V111</f>
        <v>Work-Work</v>
      </c>
      <c r="X111" s="33">
        <v>25000</v>
      </c>
      <c r="Y111" s="39">
        <v>35</v>
      </c>
      <c r="Z111" s="39">
        <v>0.7</v>
      </c>
      <c r="AA111" s="33">
        <v>6</v>
      </c>
      <c r="AB111" s="35" t="str">
        <f>VLOOKUP(AA111,Key!$C$20:$D$29,2,FALSE)</f>
        <v>Businessman</v>
      </c>
      <c r="AC111" s="33">
        <v>3</v>
      </c>
      <c r="AD111" s="35" t="str">
        <f>VLOOKUP(AC111,Key!$E$20:$F$24,2,FALSE)</f>
        <v>500,000-750,000</v>
      </c>
      <c r="AE111" s="33">
        <v>1</v>
      </c>
      <c r="AF111" s="39">
        <v>1</v>
      </c>
      <c r="AG111" s="39">
        <v>2</v>
      </c>
      <c r="AH111" s="39">
        <v>2</v>
      </c>
      <c r="AI111" s="39">
        <v>1</v>
      </c>
      <c r="AJ111" s="40" t="s">
        <v>274</v>
      </c>
      <c r="AK111" s="41">
        <v>2000</v>
      </c>
      <c r="AL111" s="25"/>
      <c r="AM111" s="25"/>
    </row>
    <row r="112" spans="2:39" x14ac:dyDescent="0.2">
      <c r="B112" s="50">
        <v>43699</v>
      </c>
      <c r="C112" s="36">
        <v>0.45555555555555555</v>
      </c>
      <c r="D112" s="36"/>
      <c r="E112" s="36" t="s">
        <v>267</v>
      </c>
      <c r="F112" s="38">
        <v>2</v>
      </c>
      <c r="G112" s="43" t="s">
        <v>216</v>
      </c>
      <c r="H112" s="37">
        <v>7</v>
      </c>
      <c r="I112" s="44" t="s">
        <v>152</v>
      </c>
      <c r="J112" s="38" t="s">
        <v>268</v>
      </c>
      <c r="K112" s="38">
        <v>4</v>
      </c>
      <c r="L112" s="45" t="str">
        <f>VLOOKUP(K112,Key!$A$24:$B$29,2,FALSE)</f>
        <v>50-59</v>
      </c>
      <c r="M112" s="38" t="s">
        <v>272</v>
      </c>
      <c r="N112" s="33" t="s">
        <v>273</v>
      </c>
      <c r="O112" s="38" t="s">
        <v>271</v>
      </c>
      <c r="P112" s="40">
        <v>2</v>
      </c>
      <c r="Q112" s="35" t="str">
        <f>VLOOKUP(P112,Key!$E$2:$F$9,2,FALSE)</f>
        <v>Work</v>
      </c>
      <c r="R112" s="38" t="s">
        <v>291</v>
      </c>
      <c r="S112" s="33" t="s">
        <v>283</v>
      </c>
      <c r="T112" s="38" t="s">
        <v>271</v>
      </c>
      <c r="U112" s="33">
        <v>2</v>
      </c>
      <c r="V112" s="35" t="str">
        <f>VLOOKUP(U112,Key!$E$2:$F$9,2,FALSE)</f>
        <v>Work</v>
      </c>
      <c r="W112" s="35" t="str">
        <f>Q112&amp;"-"&amp;V112</f>
        <v>Work-Work</v>
      </c>
      <c r="X112" s="33">
        <v>60000</v>
      </c>
      <c r="Y112" s="39">
        <v>110</v>
      </c>
      <c r="Z112" s="39">
        <v>3</v>
      </c>
      <c r="AA112" s="33">
        <v>10</v>
      </c>
      <c r="AB112" s="35" t="str">
        <f>VLOOKUP(AA112,Key!$C$20:$D$29,2,FALSE)</f>
        <v>Other</v>
      </c>
      <c r="AC112" s="33">
        <v>2</v>
      </c>
      <c r="AD112" s="35" t="str">
        <f>VLOOKUP(AC112,Key!$E$20:$F$24,2,FALSE)</f>
        <v>300,000-500,000</v>
      </c>
      <c r="AE112" s="33">
        <v>1</v>
      </c>
      <c r="AF112" s="39">
        <v>1</v>
      </c>
      <c r="AG112" s="39">
        <v>1</v>
      </c>
      <c r="AH112" s="39">
        <v>1</v>
      </c>
      <c r="AI112" s="39">
        <v>1</v>
      </c>
      <c r="AJ112" s="40" t="s">
        <v>274</v>
      </c>
      <c r="AK112" s="41">
        <v>1000</v>
      </c>
      <c r="AL112" s="25"/>
      <c r="AM112" s="25"/>
    </row>
    <row r="113" spans="2:39" x14ac:dyDescent="0.2">
      <c r="B113" s="50">
        <v>43699</v>
      </c>
      <c r="C113" s="36">
        <v>0.75763888888888886</v>
      </c>
      <c r="D113" s="36"/>
      <c r="E113" s="36" t="s">
        <v>267</v>
      </c>
      <c r="F113" s="38">
        <v>2</v>
      </c>
      <c r="G113" s="43" t="str">
        <f>VLOOKUP(F113,Key!$A$17:$B$21,2,FALSE)</f>
        <v>Road Vehicle</v>
      </c>
      <c r="H113" s="37">
        <v>7</v>
      </c>
      <c r="I113" s="44" t="str">
        <f>VLOOKUP(H113,Key!$A$2:$B$13,2,FALSE)</f>
        <v xml:space="preserve">Light Truck </v>
      </c>
      <c r="J113" s="38" t="s">
        <v>268</v>
      </c>
      <c r="K113" s="38">
        <v>5</v>
      </c>
      <c r="L113" s="45" t="str">
        <f>VLOOKUP(K113,Key!$A$24:$B$29,2,FALSE)</f>
        <v>60-69</v>
      </c>
      <c r="M113" s="38" t="s">
        <v>292</v>
      </c>
      <c r="N113" s="33" t="s">
        <v>273</v>
      </c>
      <c r="O113" s="38" t="s">
        <v>271</v>
      </c>
      <c r="P113" s="40">
        <v>2</v>
      </c>
      <c r="Q113" s="35" t="str">
        <f>VLOOKUP(P113,Key!$E$2:$F$9,2,FALSE)</f>
        <v>Work</v>
      </c>
      <c r="R113" s="38" t="s">
        <v>272</v>
      </c>
      <c r="S113" s="33" t="s">
        <v>273</v>
      </c>
      <c r="T113" s="38" t="s">
        <v>271</v>
      </c>
      <c r="U113" s="33">
        <v>2</v>
      </c>
      <c r="V113" s="35" t="str">
        <f>VLOOKUP(U113,Key!$E$2:$F$9,2,FALSE)</f>
        <v>Work</v>
      </c>
      <c r="W113" s="35" t="str">
        <f>Q113&amp;"-"&amp;V113</f>
        <v>Work-Work</v>
      </c>
      <c r="X113" s="33">
        <v>50000</v>
      </c>
      <c r="Y113" s="39">
        <v>40</v>
      </c>
      <c r="Z113" s="39">
        <v>0.7</v>
      </c>
      <c r="AA113" s="33">
        <v>10</v>
      </c>
      <c r="AB113" s="35" t="str">
        <f>VLOOKUP(AA113,Key!$C$20:$D$29,2,FALSE)</f>
        <v>Other</v>
      </c>
      <c r="AC113" s="33">
        <v>2</v>
      </c>
      <c r="AD113" s="35" t="str">
        <f>VLOOKUP(AC113,Key!$E$20:$F$24,2,FALSE)</f>
        <v>300,000-500,000</v>
      </c>
      <c r="AE113" s="33">
        <v>1</v>
      </c>
      <c r="AF113" s="39">
        <v>1</v>
      </c>
      <c r="AG113" s="39">
        <v>2</v>
      </c>
      <c r="AH113" s="39">
        <v>1</v>
      </c>
      <c r="AI113" s="39">
        <v>1</v>
      </c>
      <c r="AJ113" s="40" t="s">
        <v>274</v>
      </c>
      <c r="AK113" s="41"/>
      <c r="AL113" s="25"/>
      <c r="AM113" s="25"/>
    </row>
    <row r="116" spans="2:39" x14ac:dyDescent="0.2">
      <c r="I116" t="s">
        <v>317</v>
      </c>
      <c r="J116" t="s">
        <v>318</v>
      </c>
      <c r="K116" t="s">
        <v>319</v>
      </c>
    </row>
    <row r="117" spans="2:39" x14ac:dyDescent="0.2">
      <c r="I117" t="s">
        <v>320</v>
      </c>
      <c r="J117">
        <v>6</v>
      </c>
      <c r="K117" s="52">
        <f>J117/$J$119</f>
        <v>5.6603773584905662E-2</v>
      </c>
    </row>
    <row r="118" spans="2:39" x14ac:dyDescent="0.2">
      <c r="I118" t="s">
        <v>321</v>
      </c>
      <c r="J118">
        <v>100</v>
      </c>
      <c r="K118" s="52">
        <f t="shared" ref="K118:K119" si="0">J118/$J$119</f>
        <v>0.94339622641509435</v>
      </c>
    </row>
    <row r="119" spans="2:39" x14ac:dyDescent="0.2">
      <c r="I119" t="s">
        <v>322</v>
      </c>
      <c r="J119">
        <f>SUM(J117:J118)</f>
        <v>106</v>
      </c>
      <c r="K119" s="52">
        <f t="shared" si="0"/>
        <v>1</v>
      </c>
    </row>
    <row r="122" spans="2:39" ht="15" x14ac:dyDescent="0.25">
      <c r="I122" s="53" t="s">
        <v>323</v>
      </c>
      <c r="J122" s="54" t="s">
        <v>321</v>
      </c>
      <c r="K122" s="54" t="s">
        <v>320</v>
      </c>
      <c r="L122" s="55" t="s">
        <v>324</v>
      </c>
      <c r="M122" s="77" t="s">
        <v>319</v>
      </c>
      <c r="N122" s="77"/>
    </row>
    <row r="123" spans="2:39" x14ac:dyDescent="0.2">
      <c r="I123" s="14"/>
      <c r="J123" s="14"/>
      <c r="K123" s="14"/>
      <c r="L123" s="14"/>
      <c r="M123" s="56" t="s">
        <v>321</v>
      </c>
      <c r="N123" s="56" t="s">
        <v>320</v>
      </c>
    </row>
    <row r="124" spans="2:39" x14ac:dyDescent="0.2">
      <c r="I124" s="25" t="s">
        <v>147</v>
      </c>
      <c r="J124" s="14">
        <v>33</v>
      </c>
      <c r="K124" s="14">
        <v>4</v>
      </c>
      <c r="L124" s="57">
        <f>SUM(J124:K124)</f>
        <v>37</v>
      </c>
      <c r="M124" s="58">
        <f>J124/L124</f>
        <v>0.89189189189189189</v>
      </c>
      <c r="N124" s="58">
        <f>K124/L124</f>
        <v>0.10810810810810811</v>
      </c>
    </row>
    <row r="125" spans="2:39" x14ac:dyDescent="0.2">
      <c r="I125" s="25" t="s">
        <v>148</v>
      </c>
      <c r="J125" s="14">
        <v>3</v>
      </c>
      <c r="K125" s="14">
        <v>2</v>
      </c>
      <c r="L125" s="57">
        <f t="shared" ref="L125:L136" si="1">SUM(J125:K125)</f>
        <v>5</v>
      </c>
      <c r="M125" s="58">
        <f t="shared" ref="M125:M130" si="2">J125/L125</f>
        <v>0.6</v>
      </c>
      <c r="N125" s="58">
        <f t="shared" ref="N125:N129" si="3">K125/L125</f>
        <v>0.4</v>
      </c>
    </row>
    <row r="126" spans="2:39" x14ac:dyDescent="0.2">
      <c r="I126" s="25" t="s">
        <v>149</v>
      </c>
      <c r="J126" s="14">
        <v>5</v>
      </c>
      <c r="K126" s="14">
        <v>0</v>
      </c>
      <c r="L126" s="57">
        <f t="shared" si="1"/>
        <v>5</v>
      </c>
      <c r="M126" s="58">
        <f t="shared" si="2"/>
        <v>1</v>
      </c>
      <c r="N126" s="58">
        <f t="shared" si="3"/>
        <v>0</v>
      </c>
    </row>
    <row r="127" spans="2:39" x14ac:dyDescent="0.2">
      <c r="I127" s="25" t="s">
        <v>221</v>
      </c>
      <c r="J127" s="14">
        <v>29</v>
      </c>
      <c r="K127" s="14">
        <v>0</v>
      </c>
      <c r="L127" s="57">
        <f t="shared" si="1"/>
        <v>29</v>
      </c>
      <c r="M127" s="58">
        <f t="shared" si="2"/>
        <v>1</v>
      </c>
      <c r="N127" s="58">
        <f>K127/L127</f>
        <v>0</v>
      </c>
    </row>
    <row r="128" spans="2:39" x14ac:dyDescent="0.2">
      <c r="I128" s="25" t="s">
        <v>150</v>
      </c>
      <c r="J128" s="14">
        <v>0</v>
      </c>
      <c r="K128" s="14">
        <v>0</v>
      </c>
      <c r="L128" s="57">
        <f t="shared" si="1"/>
        <v>0</v>
      </c>
      <c r="M128" s="58">
        <v>0</v>
      </c>
      <c r="N128" s="58">
        <v>0</v>
      </c>
    </row>
    <row r="129" spans="9:17" x14ac:dyDescent="0.2">
      <c r="I129" s="25" t="s">
        <v>151</v>
      </c>
      <c r="J129" s="14">
        <v>16</v>
      </c>
      <c r="K129" s="14">
        <v>0</v>
      </c>
      <c r="L129" s="57">
        <f t="shared" si="1"/>
        <v>16</v>
      </c>
      <c r="M129" s="58">
        <f t="shared" si="2"/>
        <v>1</v>
      </c>
      <c r="N129" s="58">
        <f t="shared" si="3"/>
        <v>0</v>
      </c>
    </row>
    <row r="130" spans="9:17" x14ac:dyDescent="0.2">
      <c r="I130" s="25" t="s">
        <v>152</v>
      </c>
      <c r="J130" s="14">
        <v>14</v>
      </c>
      <c r="K130" s="14">
        <v>0</v>
      </c>
      <c r="L130" s="57">
        <f t="shared" si="1"/>
        <v>14</v>
      </c>
      <c r="M130" s="58">
        <f t="shared" si="2"/>
        <v>1</v>
      </c>
      <c r="N130" s="58">
        <v>0</v>
      </c>
    </row>
    <row r="131" spans="9:17" x14ac:dyDescent="0.2">
      <c r="I131" s="25" t="s">
        <v>153</v>
      </c>
      <c r="J131" s="14">
        <v>0</v>
      </c>
      <c r="K131" s="14">
        <v>0</v>
      </c>
      <c r="L131" s="57">
        <f t="shared" si="1"/>
        <v>0</v>
      </c>
      <c r="M131" s="58">
        <v>0</v>
      </c>
      <c r="N131" s="58">
        <v>0</v>
      </c>
    </row>
    <row r="132" spans="9:17" x14ac:dyDescent="0.2">
      <c r="I132" s="25" t="s">
        <v>154</v>
      </c>
      <c r="J132" s="14">
        <v>0</v>
      </c>
      <c r="K132" s="14">
        <v>0</v>
      </c>
      <c r="L132" s="57">
        <f t="shared" si="1"/>
        <v>0</v>
      </c>
      <c r="M132" s="58">
        <v>0</v>
      </c>
      <c r="N132" s="58">
        <v>0</v>
      </c>
    </row>
    <row r="133" spans="9:17" x14ac:dyDescent="0.2">
      <c r="I133" s="25" t="s">
        <v>155</v>
      </c>
      <c r="J133" s="14">
        <v>0</v>
      </c>
      <c r="K133" s="14">
        <v>0</v>
      </c>
      <c r="L133" s="57">
        <f t="shared" si="1"/>
        <v>0</v>
      </c>
      <c r="M133" s="58">
        <v>0</v>
      </c>
      <c r="N133" s="58">
        <v>0</v>
      </c>
    </row>
    <row r="134" spans="9:17" x14ac:dyDescent="0.2">
      <c r="I134" s="25" t="s">
        <v>157</v>
      </c>
      <c r="J134" s="14">
        <v>0</v>
      </c>
      <c r="K134" s="14">
        <v>0</v>
      </c>
      <c r="L134" s="57">
        <f t="shared" si="1"/>
        <v>0</v>
      </c>
      <c r="M134" s="58">
        <v>0</v>
      </c>
      <c r="N134" s="58">
        <v>0</v>
      </c>
    </row>
    <row r="135" spans="9:17" x14ac:dyDescent="0.2">
      <c r="I135" s="25" t="s">
        <v>156</v>
      </c>
      <c r="J135" s="14">
        <v>0</v>
      </c>
      <c r="K135" s="14">
        <v>0</v>
      </c>
      <c r="L135" s="57">
        <f t="shared" si="1"/>
        <v>0</v>
      </c>
      <c r="M135" s="58">
        <v>0</v>
      </c>
      <c r="N135" s="58">
        <v>0</v>
      </c>
    </row>
    <row r="136" spans="9:17" x14ac:dyDescent="0.2">
      <c r="I136" s="25" t="s">
        <v>325</v>
      </c>
      <c r="J136" s="14"/>
      <c r="K136" s="14"/>
      <c r="L136" s="57">
        <f t="shared" si="1"/>
        <v>0</v>
      </c>
      <c r="M136" s="58">
        <v>0</v>
      </c>
      <c r="N136" s="58">
        <v>0</v>
      </c>
    </row>
    <row r="139" spans="9:17" x14ac:dyDescent="0.2">
      <c r="I139" s="92" t="s">
        <v>326</v>
      </c>
      <c r="J139" s="93" t="s">
        <v>320</v>
      </c>
      <c r="K139" s="93" t="s">
        <v>321</v>
      </c>
      <c r="L139" s="93" t="s">
        <v>324</v>
      </c>
      <c r="N139" s="92" t="s">
        <v>326</v>
      </c>
      <c r="O139" s="93" t="s">
        <v>320</v>
      </c>
      <c r="P139" s="93" t="s">
        <v>321</v>
      </c>
      <c r="Q139" s="93" t="s">
        <v>324</v>
      </c>
    </row>
    <row r="140" spans="9:17" x14ac:dyDescent="0.2">
      <c r="I140" s="25" t="s">
        <v>225</v>
      </c>
      <c r="J140" s="14">
        <v>0</v>
      </c>
      <c r="K140" s="14">
        <v>0</v>
      </c>
      <c r="L140" s="14">
        <f>SUM(J140:K140)</f>
        <v>0</v>
      </c>
      <c r="N140" s="25" t="s">
        <v>225</v>
      </c>
      <c r="O140" s="94">
        <f>J140/$J$146</f>
        <v>0</v>
      </c>
      <c r="P140" s="94">
        <f>K140/$K$146</f>
        <v>0</v>
      </c>
      <c r="Q140" s="94">
        <f>L140/$L$146</f>
        <v>0</v>
      </c>
    </row>
    <row r="141" spans="9:17" x14ac:dyDescent="0.2">
      <c r="I141" s="25" t="s">
        <v>226</v>
      </c>
      <c r="J141" s="14">
        <v>6</v>
      </c>
      <c r="K141" s="14">
        <v>88</v>
      </c>
      <c r="L141" s="14">
        <f t="shared" ref="L141:L145" si="4">SUM(J141:K141)</f>
        <v>94</v>
      </c>
      <c r="N141" s="25" t="s">
        <v>226</v>
      </c>
      <c r="O141" s="94">
        <f t="shared" ref="O141:O146" si="5">J141/$J$146</f>
        <v>1</v>
      </c>
      <c r="P141" s="94">
        <f t="shared" ref="P141:P146" si="6">K141/$K$146</f>
        <v>0.88</v>
      </c>
      <c r="Q141" s="94">
        <f t="shared" ref="Q141:Q146" si="7">L141/$L$146</f>
        <v>0.8867924528301887</v>
      </c>
    </row>
    <row r="142" spans="9:17" x14ac:dyDescent="0.2">
      <c r="I142" s="25" t="s">
        <v>227</v>
      </c>
      <c r="J142" s="14">
        <v>0</v>
      </c>
      <c r="K142" s="14">
        <v>8</v>
      </c>
      <c r="L142" s="14">
        <f>SUM(J142:K142)</f>
        <v>8</v>
      </c>
      <c r="N142" s="25" t="s">
        <v>227</v>
      </c>
      <c r="O142" s="94">
        <f t="shared" si="5"/>
        <v>0</v>
      </c>
      <c r="P142" s="94">
        <f t="shared" si="6"/>
        <v>0.08</v>
      </c>
      <c r="Q142" s="94">
        <f t="shared" si="7"/>
        <v>7.5471698113207544E-2</v>
      </c>
    </row>
    <row r="143" spans="9:17" x14ac:dyDescent="0.2">
      <c r="I143" s="25" t="s">
        <v>228</v>
      </c>
      <c r="J143" s="14">
        <v>0</v>
      </c>
      <c r="K143" s="14">
        <v>3</v>
      </c>
      <c r="L143" s="14">
        <f>SUM(J143:K143)</f>
        <v>3</v>
      </c>
      <c r="N143" s="25" t="s">
        <v>228</v>
      </c>
      <c r="O143" s="94">
        <f t="shared" si="5"/>
        <v>0</v>
      </c>
      <c r="P143" s="94">
        <f t="shared" si="6"/>
        <v>0.03</v>
      </c>
      <c r="Q143" s="94">
        <f t="shared" si="7"/>
        <v>2.8301886792452831E-2</v>
      </c>
    </row>
    <row r="144" spans="9:17" x14ac:dyDescent="0.2">
      <c r="I144" s="25" t="s">
        <v>229</v>
      </c>
      <c r="J144" s="14">
        <v>0</v>
      </c>
      <c r="K144" s="14">
        <v>1</v>
      </c>
      <c r="L144" s="14">
        <f t="shared" ref="L144:L145" si="8">SUM(J144:K144)</f>
        <v>1</v>
      </c>
      <c r="N144" s="25" t="s">
        <v>229</v>
      </c>
      <c r="O144" s="94">
        <f t="shared" si="5"/>
        <v>0</v>
      </c>
      <c r="P144" s="94">
        <f t="shared" si="6"/>
        <v>0.01</v>
      </c>
      <c r="Q144" s="94">
        <f t="shared" si="7"/>
        <v>9.433962264150943E-3</v>
      </c>
    </row>
    <row r="145" spans="9:17" x14ac:dyDescent="0.2">
      <c r="I145" s="25" t="s">
        <v>230</v>
      </c>
      <c r="J145" s="14">
        <v>0</v>
      </c>
      <c r="K145" s="14">
        <v>0</v>
      </c>
      <c r="L145" s="14">
        <f t="shared" si="8"/>
        <v>0</v>
      </c>
      <c r="N145" s="25" t="s">
        <v>230</v>
      </c>
      <c r="O145" s="94">
        <f t="shared" si="5"/>
        <v>0</v>
      </c>
      <c r="P145" s="94">
        <f t="shared" si="6"/>
        <v>0</v>
      </c>
      <c r="Q145" s="94">
        <f t="shared" si="7"/>
        <v>0</v>
      </c>
    </row>
    <row r="146" spans="9:17" x14ac:dyDescent="0.2">
      <c r="I146" s="93" t="s">
        <v>324</v>
      </c>
      <c r="J146" s="14">
        <f>SUM(J140:J145)</f>
        <v>6</v>
      </c>
      <c r="K146" s="14">
        <f>SUM(K140:K145)</f>
        <v>100</v>
      </c>
      <c r="L146" s="14">
        <f>SUM(L140:L145)</f>
        <v>106</v>
      </c>
      <c r="N146" s="93" t="s">
        <v>324</v>
      </c>
      <c r="O146" s="94">
        <f t="shared" si="5"/>
        <v>1</v>
      </c>
      <c r="P146" s="94">
        <f t="shared" si="6"/>
        <v>1</v>
      </c>
      <c r="Q146" s="94">
        <f t="shared" si="7"/>
        <v>1</v>
      </c>
    </row>
  </sheetData>
  <sortState ref="B8:AT113">
    <sortCondition ref="L8:L113"/>
  </sortState>
  <mergeCells count="38"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AB6:AB7"/>
    <mergeCell ref="AC6:AC7"/>
    <mergeCell ref="AD6:AD7"/>
    <mergeCell ref="AE6:AI6"/>
    <mergeCell ref="M122:N122"/>
    <mergeCell ref="B6:B7"/>
    <mergeCell ref="C6:C7"/>
    <mergeCell ref="H6:H7"/>
    <mergeCell ref="P6:P7"/>
    <mergeCell ref="R6:T6"/>
    <mergeCell ref="U6:U7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Y6:Y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8" t="s">
        <v>0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8" t="s">
        <v>1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69" t="s">
        <v>8</v>
      </c>
      <c r="C7" s="63" t="s">
        <v>9</v>
      </c>
      <c r="D7" s="63" t="s">
        <v>10</v>
      </c>
      <c r="E7" s="63" t="s">
        <v>11</v>
      </c>
      <c r="F7" s="63" t="s">
        <v>12</v>
      </c>
      <c r="G7" s="63"/>
      <c r="H7" s="63" t="s">
        <v>15</v>
      </c>
      <c r="I7" s="63" t="s">
        <v>16</v>
      </c>
      <c r="J7" s="63" t="s">
        <v>17</v>
      </c>
      <c r="K7" s="63"/>
      <c r="L7" s="63" t="s">
        <v>18</v>
      </c>
      <c r="M7" s="63" t="s">
        <v>19</v>
      </c>
      <c r="N7" s="63" t="s">
        <v>20</v>
      </c>
      <c r="O7" s="79" t="s">
        <v>21</v>
      </c>
      <c r="P7" s="84" t="s">
        <v>27</v>
      </c>
      <c r="Q7" s="85"/>
    </row>
    <row r="8" spans="2:25" ht="24.75" customHeight="1" thickBot="1" x14ac:dyDescent="0.25">
      <c r="B8" s="89"/>
      <c r="C8" s="90"/>
      <c r="D8" s="90"/>
      <c r="E8" s="90"/>
      <c r="F8" s="18" t="s">
        <v>13</v>
      </c>
      <c r="G8" s="18" t="s">
        <v>14</v>
      </c>
      <c r="H8" s="90"/>
      <c r="I8" s="90"/>
      <c r="J8" s="18" t="s">
        <v>13</v>
      </c>
      <c r="K8" s="18" t="s">
        <v>14</v>
      </c>
      <c r="L8" s="90"/>
      <c r="M8" s="90"/>
      <c r="N8" s="90"/>
      <c r="O8" s="91"/>
      <c r="P8" s="86"/>
      <c r="Q8" s="87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topLeftCell="A13" workbookViewId="0">
      <selection activeCell="F19" sqref="F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158</v>
      </c>
      <c r="E1" s="29"/>
      <c r="F1" s="30" t="s">
        <v>175</v>
      </c>
      <c r="G1" s="31"/>
      <c r="H1" s="31" t="s">
        <v>183</v>
      </c>
      <c r="I1" s="31"/>
      <c r="J1" s="31" t="s">
        <v>190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147</v>
      </c>
      <c r="C2" s="10">
        <v>1</v>
      </c>
      <c r="D2" s="28" t="s">
        <v>159</v>
      </c>
      <c r="E2" s="10">
        <v>1</v>
      </c>
      <c r="F2" t="s">
        <v>176</v>
      </c>
      <c r="G2">
        <v>1</v>
      </c>
      <c r="H2" s="19" t="s">
        <v>184</v>
      </c>
      <c r="I2">
        <v>1</v>
      </c>
      <c r="J2" s="19" t="s">
        <v>191</v>
      </c>
    </row>
    <row r="3" spans="1:15" x14ac:dyDescent="0.2">
      <c r="A3">
        <v>2</v>
      </c>
      <c r="B3" s="28" t="s">
        <v>148</v>
      </c>
      <c r="C3" s="10">
        <v>2</v>
      </c>
      <c r="D3" s="28" t="s">
        <v>160</v>
      </c>
      <c r="E3" s="10">
        <v>2</v>
      </c>
      <c r="F3" t="s">
        <v>177</v>
      </c>
      <c r="G3">
        <v>2</v>
      </c>
      <c r="H3" s="19" t="s">
        <v>185</v>
      </c>
      <c r="I3">
        <v>2</v>
      </c>
      <c r="J3" s="19" t="s">
        <v>192</v>
      </c>
    </row>
    <row r="4" spans="1:15" x14ac:dyDescent="0.2">
      <c r="A4">
        <v>3</v>
      </c>
      <c r="B4" s="28" t="s">
        <v>149</v>
      </c>
      <c r="C4" s="10">
        <v>3</v>
      </c>
      <c r="D4" s="28" t="s">
        <v>161</v>
      </c>
      <c r="E4" s="10">
        <v>3</v>
      </c>
      <c r="F4" t="s">
        <v>178</v>
      </c>
      <c r="G4">
        <v>3</v>
      </c>
      <c r="H4" s="19" t="s">
        <v>186</v>
      </c>
      <c r="I4">
        <v>3</v>
      </c>
      <c r="J4" s="19" t="s">
        <v>193</v>
      </c>
    </row>
    <row r="5" spans="1:15" x14ac:dyDescent="0.2">
      <c r="A5">
        <v>4</v>
      </c>
      <c r="B5" s="28" t="s">
        <v>221</v>
      </c>
      <c r="C5" s="10">
        <v>4</v>
      </c>
      <c r="D5" s="28" t="s">
        <v>162</v>
      </c>
      <c r="E5" s="10">
        <v>4</v>
      </c>
      <c r="F5" t="s">
        <v>179</v>
      </c>
      <c r="G5">
        <v>4</v>
      </c>
      <c r="H5" s="19" t="s">
        <v>187</v>
      </c>
      <c r="I5">
        <v>4</v>
      </c>
      <c r="J5" s="32" t="s">
        <v>194</v>
      </c>
    </row>
    <row r="6" spans="1:15" x14ac:dyDescent="0.2">
      <c r="A6">
        <v>5</v>
      </c>
      <c r="B6" s="28" t="s">
        <v>150</v>
      </c>
      <c r="C6" s="10">
        <v>5</v>
      </c>
      <c r="D6" s="28" t="s">
        <v>163</v>
      </c>
      <c r="E6" s="10">
        <v>5</v>
      </c>
      <c r="F6" t="s">
        <v>180</v>
      </c>
      <c r="G6">
        <v>5</v>
      </c>
      <c r="H6" s="19" t="s">
        <v>188</v>
      </c>
      <c r="I6">
        <v>5</v>
      </c>
      <c r="J6" s="19" t="s">
        <v>195</v>
      </c>
    </row>
    <row r="7" spans="1:15" x14ac:dyDescent="0.2">
      <c r="A7">
        <v>6</v>
      </c>
      <c r="B7" s="28" t="s">
        <v>151</v>
      </c>
      <c r="C7" s="10">
        <v>6</v>
      </c>
      <c r="D7" s="28" t="s">
        <v>164</v>
      </c>
      <c r="E7" s="10">
        <v>6</v>
      </c>
      <c r="F7" t="s">
        <v>181</v>
      </c>
      <c r="G7">
        <v>6</v>
      </c>
      <c r="H7" s="19" t="s">
        <v>189</v>
      </c>
      <c r="I7">
        <v>6</v>
      </c>
      <c r="J7" s="19" t="s">
        <v>196</v>
      </c>
    </row>
    <row r="8" spans="1:15" x14ac:dyDescent="0.2">
      <c r="A8">
        <v>7</v>
      </c>
      <c r="B8" s="28" t="s">
        <v>152</v>
      </c>
      <c r="C8" s="10">
        <v>7</v>
      </c>
      <c r="D8" s="28" t="s">
        <v>165</v>
      </c>
      <c r="E8" s="10">
        <v>7</v>
      </c>
      <c r="F8" t="s">
        <v>163</v>
      </c>
      <c r="I8">
        <v>7</v>
      </c>
      <c r="J8" s="19" t="s">
        <v>197</v>
      </c>
    </row>
    <row r="9" spans="1:15" x14ac:dyDescent="0.2">
      <c r="A9">
        <v>8</v>
      </c>
      <c r="B9" s="28" t="s">
        <v>153</v>
      </c>
      <c r="C9" s="10">
        <v>8</v>
      </c>
      <c r="D9" s="28" t="s">
        <v>166</v>
      </c>
      <c r="E9" s="10">
        <v>8</v>
      </c>
      <c r="F9" t="s">
        <v>182</v>
      </c>
      <c r="I9">
        <v>8</v>
      </c>
      <c r="J9" s="19" t="s">
        <v>198</v>
      </c>
    </row>
    <row r="10" spans="1:15" x14ac:dyDescent="0.2">
      <c r="A10">
        <v>9</v>
      </c>
      <c r="B10" s="28" t="s">
        <v>154</v>
      </c>
      <c r="C10" s="10">
        <v>9</v>
      </c>
      <c r="D10" s="28" t="s">
        <v>167</v>
      </c>
      <c r="E10" s="10"/>
      <c r="I10">
        <v>9</v>
      </c>
      <c r="J10" s="19" t="s">
        <v>199</v>
      </c>
    </row>
    <row r="11" spans="1:15" x14ac:dyDescent="0.2">
      <c r="A11">
        <v>10</v>
      </c>
      <c r="B11" s="28" t="s">
        <v>155</v>
      </c>
      <c r="C11" s="10">
        <v>10</v>
      </c>
      <c r="D11" s="28" t="s">
        <v>168</v>
      </c>
      <c r="E11" s="10"/>
      <c r="I11">
        <v>10</v>
      </c>
      <c r="J11" s="32" t="s">
        <v>200</v>
      </c>
    </row>
    <row r="12" spans="1:15" x14ac:dyDescent="0.2">
      <c r="A12">
        <v>11</v>
      </c>
      <c r="B12" s="28" t="s">
        <v>157</v>
      </c>
      <c r="C12" s="10">
        <v>11</v>
      </c>
      <c r="D12" s="28" t="s">
        <v>169</v>
      </c>
      <c r="E12" s="10"/>
      <c r="I12">
        <v>11</v>
      </c>
      <c r="J12" s="19" t="s">
        <v>201</v>
      </c>
    </row>
    <row r="13" spans="1:15" x14ac:dyDescent="0.2">
      <c r="A13">
        <v>12</v>
      </c>
      <c r="B13" s="28" t="s">
        <v>156</v>
      </c>
      <c r="C13" s="10">
        <v>12</v>
      </c>
      <c r="D13" s="28" t="s">
        <v>170</v>
      </c>
      <c r="E13" s="10"/>
      <c r="I13">
        <v>12</v>
      </c>
      <c r="J13" s="19" t="s">
        <v>202</v>
      </c>
    </row>
    <row r="14" spans="1:15" x14ac:dyDescent="0.2">
      <c r="C14" s="10">
        <v>13</v>
      </c>
      <c r="D14" s="19" t="s">
        <v>171</v>
      </c>
    </row>
    <row r="15" spans="1:15" x14ac:dyDescent="0.2">
      <c r="B15" s="1"/>
      <c r="C15" s="10">
        <v>14</v>
      </c>
      <c r="D15" s="19" t="s">
        <v>172</v>
      </c>
    </row>
    <row r="16" spans="1:15" x14ac:dyDescent="0.2">
      <c r="A16" s="31"/>
      <c r="B16" s="29" t="s">
        <v>214</v>
      </c>
      <c r="C16" s="10">
        <v>15</v>
      </c>
      <c r="D16" s="19" t="s">
        <v>173</v>
      </c>
    </row>
    <row r="17" spans="1:6" x14ac:dyDescent="0.2">
      <c r="A17">
        <v>1</v>
      </c>
      <c r="B17" s="28" t="s">
        <v>215</v>
      </c>
      <c r="C17" s="10">
        <v>16</v>
      </c>
      <c r="D17" s="19" t="s">
        <v>174</v>
      </c>
    </row>
    <row r="18" spans="1:6" x14ac:dyDescent="0.2">
      <c r="A18">
        <v>2</v>
      </c>
      <c r="B18" s="28" t="s">
        <v>216</v>
      </c>
    </row>
    <row r="19" spans="1:6" x14ac:dyDescent="0.2">
      <c r="A19">
        <v>3</v>
      </c>
      <c r="B19" s="28" t="s">
        <v>217</v>
      </c>
      <c r="D19" s="1" t="s">
        <v>236</v>
      </c>
      <c r="F19" s="1" t="s">
        <v>249</v>
      </c>
    </row>
    <row r="20" spans="1:6" x14ac:dyDescent="0.2">
      <c r="A20">
        <v>4</v>
      </c>
      <c r="B20" s="28" t="s">
        <v>218</v>
      </c>
      <c r="C20">
        <v>1</v>
      </c>
      <c r="D20" s="19" t="s">
        <v>237</v>
      </c>
      <c r="E20">
        <v>1</v>
      </c>
      <c r="F20" s="19" t="s">
        <v>250</v>
      </c>
    </row>
    <row r="21" spans="1:6" x14ac:dyDescent="0.2">
      <c r="A21">
        <v>5</v>
      </c>
      <c r="B21" s="28" t="s">
        <v>219</v>
      </c>
      <c r="C21">
        <v>2</v>
      </c>
      <c r="D21" s="19" t="s">
        <v>238</v>
      </c>
      <c r="E21">
        <v>2</v>
      </c>
      <c r="F21" s="19" t="s">
        <v>251</v>
      </c>
    </row>
    <row r="22" spans="1:6" x14ac:dyDescent="0.2">
      <c r="C22">
        <v>3</v>
      </c>
      <c r="D22" s="19" t="s">
        <v>239</v>
      </c>
      <c r="E22">
        <v>3</v>
      </c>
      <c r="F22" s="19" t="s">
        <v>252</v>
      </c>
    </row>
    <row r="23" spans="1:6" x14ac:dyDescent="0.2">
      <c r="B23" s="29" t="s">
        <v>223</v>
      </c>
      <c r="C23">
        <v>4</v>
      </c>
      <c r="D23" s="19" t="s">
        <v>240</v>
      </c>
      <c r="E23">
        <v>4</v>
      </c>
      <c r="F23" s="19" t="s">
        <v>253</v>
      </c>
    </row>
    <row r="24" spans="1:6" x14ac:dyDescent="0.2">
      <c r="A24">
        <v>1</v>
      </c>
      <c r="B24" s="19" t="s">
        <v>225</v>
      </c>
      <c r="C24">
        <v>5</v>
      </c>
      <c r="D24" s="19" t="s">
        <v>241</v>
      </c>
      <c r="E24">
        <v>5</v>
      </c>
      <c r="F24" s="19" t="s">
        <v>254</v>
      </c>
    </row>
    <row r="25" spans="1:6" x14ac:dyDescent="0.2">
      <c r="A25">
        <v>2</v>
      </c>
      <c r="B25" s="19" t="s">
        <v>226</v>
      </c>
      <c r="C25">
        <v>6</v>
      </c>
      <c r="D25" s="19" t="s">
        <v>242</v>
      </c>
    </row>
    <row r="26" spans="1:6" x14ac:dyDescent="0.2">
      <c r="A26">
        <v>3</v>
      </c>
      <c r="B26" s="19" t="s">
        <v>227</v>
      </c>
      <c r="C26">
        <v>7</v>
      </c>
      <c r="D26" s="19" t="s">
        <v>243</v>
      </c>
    </row>
    <row r="27" spans="1:6" x14ac:dyDescent="0.2">
      <c r="A27">
        <v>4</v>
      </c>
      <c r="B27" s="19" t="s">
        <v>228</v>
      </c>
      <c r="C27">
        <v>8</v>
      </c>
      <c r="D27" s="19" t="s">
        <v>244</v>
      </c>
    </row>
    <row r="28" spans="1:6" x14ac:dyDescent="0.2">
      <c r="A28">
        <v>5</v>
      </c>
      <c r="B28" s="19" t="s">
        <v>229</v>
      </c>
      <c r="C28">
        <v>9</v>
      </c>
      <c r="D28" s="19" t="s">
        <v>245</v>
      </c>
    </row>
    <row r="29" spans="1:6" x14ac:dyDescent="0.2">
      <c r="A29">
        <v>6</v>
      </c>
      <c r="B29" s="19" t="s">
        <v>230</v>
      </c>
      <c r="C29">
        <v>10</v>
      </c>
      <c r="D29" s="19" t="s">
        <v>246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6"/>
  <sheetViews>
    <sheetView workbookViewId="0">
      <selection activeCell="B97" sqref="B97"/>
    </sheetView>
  </sheetViews>
  <sheetFormatPr defaultRowHeight="12.75" x14ac:dyDescent="0.2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 x14ac:dyDescent="0.2">
      <c r="A1" s="19" t="s">
        <v>79</v>
      </c>
    </row>
    <row r="2" spans="1:15" x14ac:dyDescent="0.2">
      <c r="A2" s="19"/>
      <c r="I2" t="s">
        <v>87</v>
      </c>
    </row>
    <row r="3" spans="1:15" x14ac:dyDescent="0.2">
      <c r="A3" s="19" t="s">
        <v>80</v>
      </c>
      <c r="B3" s="19" t="s">
        <v>81</v>
      </c>
      <c r="I3" s="19" t="s">
        <v>35</v>
      </c>
      <c r="J3">
        <v>1</v>
      </c>
    </row>
    <row r="4" spans="1:15" x14ac:dyDescent="0.2">
      <c r="A4" s="19" t="s">
        <v>46</v>
      </c>
      <c r="B4">
        <v>4</v>
      </c>
      <c r="I4" s="19" t="s">
        <v>91</v>
      </c>
      <c r="J4">
        <v>2</v>
      </c>
      <c r="O4" s="19"/>
    </row>
    <row r="5" spans="1:15" x14ac:dyDescent="0.2">
      <c r="A5" s="19" t="s">
        <v>82</v>
      </c>
      <c r="B5">
        <v>4</v>
      </c>
      <c r="I5" s="19" t="s">
        <v>138</v>
      </c>
      <c r="J5">
        <v>3</v>
      </c>
      <c r="O5" s="19"/>
    </row>
    <row r="6" spans="1:15" x14ac:dyDescent="0.2">
      <c r="A6" s="19" t="s">
        <v>63</v>
      </c>
      <c r="B6">
        <v>1</v>
      </c>
      <c r="I6" s="19" t="s">
        <v>95</v>
      </c>
      <c r="J6">
        <v>4</v>
      </c>
      <c r="O6" s="19"/>
    </row>
    <row r="7" spans="1:15" x14ac:dyDescent="0.2">
      <c r="A7" s="19" t="s">
        <v>49</v>
      </c>
      <c r="B7">
        <v>1</v>
      </c>
      <c r="I7" s="19" t="s">
        <v>89</v>
      </c>
      <c r="J7">
        <v>5</v>
      </c>
      <c r="O7" s="19"/>
    </row>
    <row r="8" spans="1:15" x14ac:dyDescent="0.2">
      <c r="A8" s="19" t="s">
        <v>36</v>
      </c>
      <c r="B8">
        <v>2</v>
      </c>
      <c r="I8" s="19" t="s">
        <v>96</v>
      </c>
      <c r="J8">
        <v>6</v>
      </c>
      <c r="O8" s="19"/>
    </row>
    <row r="9" spans="1:15" x14ac:dyDescent="0.2">
      <c r="A9" s="19" t="s">
        <v>62</v>
      </c>
      <c r="B9">
        <v>1</v>
      </c>
      <c r="I9" s="19" t="s">
        <v>97</v>
      </c>
      <c r="J9">
        <v>7</v>
      </c>
      <c r="O9" s="19"/>
    </row>
    <row r="10" spans="1:15" x14ac:dyDescent="0.2">
      <c r="A10" s="19" t="s">
        <v>75</v>
      </c>
      <c r="B10">
        <v>2</v>
      </c>
      <c r="I10" s="19" t="s">
        <v>54</v>
      </c>
      <c r="J10">
        <v>8</v>
      </c>
      <c r="O10" s="19"/>
    </row>
    <row r="11" spans="1:15" x14ac:dyDescent="0.2">
      <c r="A11" s="19" t="s">
        <v>83</v>
      </c>
      <c r="B11">
        <v>4</v>
      </c>
      <c r="I11" s="19" t="s">
        <v>40</v>
      </c>
      <c r="J11">
        <v>9</v>
      </c>
      <c r="O11" s="19"/>
    </row>
    <row r="12" spans="1:15" x14ac:dyDescent="0.2">
      <c r="A12" s="19" t="s">
        <v>84</v>
      </c>
      <c r="B12">
        <v>3</v>
      </c>
      <c r="I12" s="19" t="s">
        <v>108</v>
      </c>
      <c r="J12">
        <v>10</v>
      </c>
      <c r="O12" s="19"/>
    </row>
    <row r="13" spans="1:15" x14ac:dyDescent="0.2">
      <c r="A13" s="19" t="s">
        <v>43</v>
      </c>
      <c r="B13">
        <v>3</v>
      </c>
      <c r="I13" s="19" t="s">
        <v>94</v>
      </c>
      <c r="J13">
        <v>11</v>
      </c>
    </row>
    <row r="14" spans="1:15" x14ac:dyDescent="0.2">
      <c r="A14" s="19" t="s">
        <v>85</v>
      </c>
      <c r="B14">
        <v>3</v>
      </c>
      <c r="I14" s="19" t="s">
        <v>93</v>
      </c>
      <c r="J14">
        <v>12</v>
      </c>
    </row>
    <row r="15" spans="1:15" x14ac:dyDescent="0.2">
      <c r="A15" s="19" t="s">
        <v>41</v>
      </c>
      <c r="B15">
        <v>1</v>
      </c>
      <c r="I15" s="19" t="s">
        <v>90</v>
      </c>
      <c r="J15">
        <v>13</v>
      </c>
    </row>
    <row r="16" spans="1:15" x14ac:dyDescent="0.2">
      <c r="A16" s="19" t="s">
        <v>72</v>
      </c>
      <c r="B16">
        <v>3</v>
      </c>
      <c r="I16" s="19" t="s">
        <v>92</v>
      </c>
      <c r="J16">
        <v>14</v>
      </c>
    </row>
    <row r="17" spans="1:9" x14ac:dyDescent="0.2">
      <c r="A17" s="19" t="s">
        <v>60</v>
      </c>
      <c r="B17">
        <v>4</v>
      </c>
      <c r="I17" s="19"/>
    </row>
    <row r="18" spans="1:9" x14ac:dyDescent="0.2">
      <c r="A18" s="19" t="s">
        <v>57</v>
      </c>
      <c r="B18">
        <v>4</v>
      </c>
      <c r="I18" s="19"/>
    </row>
    <row r="19" spans="1:9" x14ac:dyDescent="0.2">
      <c r="A19" s="19" t="s">
        <v>86</v>
      </c>
      <c r="B19">
        <v>3</v>
      </c>
    </row>
    <row r="20" spans="1:9" x14ac:dyDescent="0.2">
      <c r="A20" s="19" t="s">
        <v>48</v>
      </c>
      <c r="B20">
        <v>2</v>
      </c>
    </row>
    <row r="21" spans="1:9" x14ac:dyDescent="0.2">
      <c r="A21" s="19" t="s">
        <v>37</v>
      </c>
      <c r="B21">
        <v>5</v>
      </c>
    </row>
    <row r="22" spans="1:9" x14ac:dyDescent="0.2">
      <c r="A22" s="19" t="s">
        <v>65</v>
      </c>
      <c r="B22">
        <v>6</v>
      </c>
    </row>
    <row r="23" spans="1:9" x14ac:dyDescent="0.2">
      <c r="A23" s="19" t="s">
        <v>67</v>
      </c>
      <c r="B23">
        <v>6</v>
      </c>
    </row>
    <row r="24" spans="1:9" x14ac:dyDescent="0.2">
      <c r="A24" s="19" t="s">
        <v>69</v>
      </c>
      <c r="B24">
        <v>7</v>
      </c>
    </row>
    <row r="25" spans="1:9" x14ac:dyDescent="0.2">
      <c r="A25" s="19" t="s">
        <v>70</v>
      </c>
      <c r="B25">
        <v>7</v>
      </c>
    </row>
    <row r="26" spans="1:9" x14ac:dyDescent="0.2">
      <c r="A26" s="19" t="s">
        <v>38</v>
      </c>
      <c r="B26">
        <v>5</v>
      </c>
    </row>
    <row r="27" spans="1:9" x14ac:dyDescent="0.2">
      <c r="A27" s="19" t="s">
        <v>98</v>
      </c>
      <c r="B27">
        <v>4</v>
      </c>
    </row>
    <row r="28" spans="1:9" x14ac:dyDescent="0.2">
      <c r="A28" s="19" t="s">
        <v>76</v>
      </c>
      <c r="B28">
        <v>7</v>
      </c>
    </row>
    <row r="29" spans="1:9" x14ac:dyDescent="0.2">
      <c r="A29" s="19" t="s">
        <v>73</v>
      </c>
      <c r="B29">
        <v>4</v>
      </c>
    </row>
    <row r="30" spans="1:9" x14ac:dyDescent="0.2">
      <c r="A30" s="19" t="s">
        <v>45</v>
      </c>
      <c r="B30">
        <v>6</v>
      </c>
    </row>
    <row r="31" spans="1:9" x14ac:dyDescent="0.2">
      <c r="A31" s="19" t="s">
        <v>47</v>
      </c>
      <c r="B31">
        <v>7</v>
      </c>
    </row>
    <row r="32" spans="1:9" x14ac:dyDescent="0.2">
      <c r="A32" s="19" t="s">
        <v>71</v>
      </c>
      <c r="B32">
        <v>4</v>
      </c>
    </row>
    <row r="33" spans="1:2" x14ac:dyDescent="0.2">
      <c r="A33" s="19" t="s">
        <v>42</v>
      </c>
      <c r="B33">
        <v>6</v>
      </c>
    </row>
    <row r="34" spans="1:2" x14ac:dyDescent="0.2">
      <c r="A34" s="19" t="s">
        <v>40</v>
      </c>
      <c r="B34">
        <v>9</v>
      </c>
    </row>
    <row r="35" spans="1:2" x14ac:dyDescent="0.2">
      <c r="A35" s="19" t="s">
        <v>55</v>
      </c>
      <c r="B35">
        <v>7</v>
      </c>
    </row>
    <row r="36" spans="1:2" x14ac:dyDescent="0.2">
      <c r="A36" s="19" t="s">
        <v>59</v>
      </c>
      <c r="B36">
        <v>5</v>
      </c>
    </row>
    <row r="37" spans="1:2" x14ac:dyDescent="0.2">
      <c r="A37" s="19" t="s">
        <v>64</v>
      </c>
      <c r="B37">
        <v>6</v>
      </c>
    </row>
    <row r="38" spans="1:2" x14ac:dyDescent="0.2">
      <c r="A38" s="19" t="s">
        <v>68</v>
      </c>
      <c r="B38">
        <v>4</v>
      </c>
    </row>
    <row r="39" spans="1:2" x14ac:dyDescent="0.2">
      <c r="A39" s="19" t="s">
        <v>39</v>
      </c>
      <c r="B39">
        <v>6</v>
      </c>
    </row>
    <row r="40" spans="1:2" x14ac:dyDescent="0.2">
      <c r="A40" t="s">
        <v>53</v>
      </c>
      <c r="B40">
        <v>6</v>
      </c>
    </row>
    <row r="41" spans="1:2" x14ac:dyDescent="0.2">
      <c r="A41" t="s">
        <v>30</v>
      </c>
      <c r="B41">
        <v>6</v>
      </c>
    </row>
    <row r="42" spans="1:2" x14ac:dyDescent="0.2">
      <c r="A42" t="s">
        <v>54</v>
      </c>
      <c r="B42">
        <v>8</v>
      </c>
    </row>
    <row r="43" spans="1:2" x14ac:dyDescent="0.2">
      <c r="A43" t="s">
        <v>58</v>
      </c>
      <c r="B43">
        <v>6</v>
      </c>
    </row>
    <row r="44" spans="1:2" x14ac:dyDescent="0.2">
      <c r="A44" t="s">
        <v>44</v>
      </c>
      <c r="B44">
        <v>7</v>
      </c>
    </row>
    <row r="45" spans="1:2" x14ac:dyDescent="0.2">
      <c r="A45" t="s">
        <v>56</v>
      </c>
      <c r="B45">
        <v>6</v>
      </c>
    </row>
    <row r="46" spans="1:2" x14ac:dyDescent="0.2">
      <c r="A46" t="s">
        <v>88</v>
      </c>
      <c r="B46">
        <v>2</v>
      </c>
    </row>
    <row r="47" spans="1:2" x14ac:dyDescent="0.2">
      <c r="A47" t="s">
        <v>61</v>
      </c>
      <c r="B47">
        <v>6</v>
      </c>
    </row>
    <row r="48" spans="1:2" x14ac:dyDescent="0.2">
      <c r="A48" t="s">
        <v>50</v>
      </c>
      <c r="B48">
        <v>7</v>
      </c>
    </row>
    <row r="49" spans="1:2" x14ac:dyDescent="0.2">
      <c r="A49" t="s">
        <v>99</v>
      </c>
      <c r="B49">
        <v>6</v>
      </c>
    </row>
    <row r="50" spans="1:2" x14ac:dyDescent="0.2">
      <c r="A50" t="s">
        <v>100</v>
      </c>
      <c r="B50">
        <v>1</v>
      </c>
    </row>
    <row r="51" spans="1:2" x14ac:dyDescent="0.2">
      <c r="A51" t="s">
        <v>52</v>
      </c>
      <c r="B51">
        <v>6</v>
      </c>
    </row>
    <row r="52" spans="1:2" x14ac:dyDescent="0.2">
      <c r="A52" t="s">
        <v>101</v>
      </c>
      <c r="B52">
        <v>7</v>
      </c>
    </row>
    <row r="53" spans="1:2" x14ac:dyDescent="0.2">
      <c r="A53" t="s">
        <v>51</v>
      </c>
      <c r="B53">
        <v>7</v>
      </c>
    </row>
    <row r="54" spans="1:2" x14ac:dyDescent="0.2">
      <c r="A54" t="s">
        <v>102</v>
      </c>
      <c r="B54">
        <v>6</v>
      </c>
    </row>
    <row r="55" spans="1:2" x14ac:dyDescent="0.2">
      <c r="A55" t="s">
        <v>66</v>
      </c>
      <c r="B55">
        <v>3</v>
      </c>
    </row>
    <row r="56" spans="1:2" x14ac:dyDescent="0.2">
      <c r="A56" t="s">
        <v>103</v>
      </c>
      <c r="B56">
        <v>10</v>
      </c>
    </row>
    <row r="57" spans="1:2" x14ac:dyDescent="0.2">
      <c r="A57" t="s">
        <v>104</v>
      </c>
      <c r="B57">
        <v>6</v>
      </c>
    </row>
    <row r="58" spans="1:2" x14ac:dyDescent="0.2">
      <c r="A58" t="s">
        <v>105</v>
      </c>
      <c r="B58">
        <v>7</v>
      </c>
    </row>
    <row r="59" spans="1:2" x14ac:dyDescent="0.2">
      <c r="A59" t="s">
        <v>106</v>
      </c>
      <c r="B59">
        <v>6</v>
      </c>
    </row>
    <row r="60" spans="1:2" x14ac:dyDescent="0.2">
      <c r="A60" t="s">
        <v>107</v>
      </c>
      <c r="B60">
        <v>6</v>
      </c>
    </row>
    <row r="61" spans="1:2" x14ac:dyDescent="0.2">
      <c r="A61" t="s">
        <v>109</v>
      </c>
      <c r="B61">
        <v>10</v>
      </c>
    </row>
    <row r="62" spans="1:2" x14ac:dyDescent="0.2">
      <c r="A62" t="s">
        <v>110</v>
      </c>
      <c r="B62">
        <v>5</v>
      </c>
    </row>
    <row r="63" spans="1:2" x14ac:dyDescent="0.2">
      <c r="A63" t="s">
        <v>34</v>
      </c>
      <c r="B63">
        <v>6</v>
      </c>
    </row>
    <row r="64" spans="1:2" x14ac:dyDescent="0.2">
      <c r="A64" t="s">
        <v>111</v>
      </c>
      <c r="B64">
        <v>5</v>
      </c>
    </row>
    <row r="65" spans="1:2" x14ac:dyDescent="0.2">
      <c r="A65" t="s">
        <v>112</v>
      </c>
      <c r="B65">
        <v>7</v>
      </c>
    </row>
    <row r="66" spans="1:2" x14ac:dyDescent="0.2">
      <c r="A66" t="s">
        <v>113</v>
      </c>
      <c r="B66">
        <v>3</v>
      </c>
    </row>
    <row r="67" spans="1:2" x14ac:dyDescent="0.2">
      <c r="A67" t="s">
        <v>114</v>
      </c>
      <c r="B67">
        <v>6</v>
      </c>
    </row>
    <row r="68" spans="1:2" x14ac:dyDescent="0.2">
      <c r="A68" t="s">
        <v>115</v>
      </c>
      <c r="B68">
        <v>6</v>
      </c>
    </row>
    <row r="69" spans="1:2" x14ac:dyDescent="0.2">
      <c r="A69" t="s">
        <v>116</v>
      </c>
      <c r="B69">
        <v>1</v>
      </c>
    </row>
    <row r="70" spans="1:2" x14ac:dyDescent="0.2">
      <c r="A70" t="s">
        <v>117</v>
      </c>
      <c r="B70">
        <v>4</v>
      </c>
    </row>
    <row r="71" spans="1:2" x14ac:dyDescent="0.2">
      <c r="A71" t="s">
        <v>118</v>
      </c>
      <c r="B71">
        <v>6</v>
      </c>
    </row>
    <row r="72" spans="1:2" x14ac:dyDescent="0.2">
      <c r="A72" t="s">
        <v>119</v>
      </c>
      <c r="B72">
        <v>7</v>
      </c>
    </row>
    <row r="73" spans="1:2" x14ac:dyDescent="0.2">
      <c r="A73" t="s">
        <v>120</v>
      </c>
      <c r="B73">
        <v>6</v>
      </c>
    </row>
    <row r="74" spans="1:2" x14ac:dyDescent="0.2">
      <c r="A74" t="s">
        <v>121</v>
      </c>
      <c r="B74">
        <v>4</v>
      </c>
    </row>
    <row r="75" spans="1:2" x14ac:dyDescent="0.2">
      <c r="A75" t="s">
        <v>122</v>
      </c>
      <c r="B75">
        <v>1</v>
      </c>
    </row>
    <row r="76" spans="1:2" x14ac:dyDescent="0.2">
      <c r="A76" t="s">
        <v>123</v>
      </c>
      <c r="B76">
        <v>7</v>
      </c>
    </row>
    <row r="77" spans="1:2" x14ac:dyDescent="0.2">
      <c r="A77" t="s">
        <v>124</v>
      </c>
      <c r="B77">
        <v>1</v>
      </c>
    </row>
    <row r="78" spans="1:2" x14ac:dyDescent="0.2">
      <c r="A78" t="s">
        <v>125</v>
      </c>
      <c r="B78">
        <v>6</v>
      </c>
    </row>
    <row r="79" spans="1:2" x14ac:dyDescent="0.2">
      <c r="A79" t="s">
        <v>77</v>
      </c>
      <c r="B79">
        <v>6</v>
      </c>
    </row>
    <row r="80" spans="1:2" x14ac:dyDescent="0.2">
      <c r="A80" t="s">
        <v>126</v>
      </c>
      <c r="B80">
        <v>3</v>
      </c>
    </row>
    <row r="81" spans="1:2" x14ac:dyDescent="0.2">
      <c r="A81" t="s">
        <v>127</v>
      </c>
      <c r="B81">
        <v>1</v>
      </c>
    </row>
    <row r="82" spans="1:2" x14ac:dyDescent="0.2">
      <c r="A82" t="s">
        <v>128</v>
      </c>
      <c r="B82">
        <v>1</v>
      </c>
    </row>
    <row r="83" spans="1:2" x14ac:dyDescent="0.2">
      <c r="A83" t="s">
        <v>129</v>
      </c>
      <c r="B83">
        <v>7</v>
      </c>
    </row>
    <row r="84" spans="1:2" x14ac:dyDescent="0.2">
      <c r="A84" t="s">
        <v>130</v>
      </c>
      <c r="B84">
        <v>7</v>
      </c>
    </row>
    <row r="85" spans="1:2" x14ac:dyDescent="0.2">
      <c r="A85" t="s">
        <v>74</v>
      </c>
      <c r="B85">
        <v>1</v>
      </c>
    </row>
    <row r="86" spans="1:2" x14ac:dyDescent="0.2">
      <c r="A86" t="s">
        <v>131</v>
      </c>
      <c r="B86">
        <v>1</v>
      </c>
    </row>
    <row r="87" spans="1:2" x14ac:dyDescent="0.2">
      <c r="A87" t="s">
        <v>132</v>
      </c>
      <c r="B87">
        <v>7</v>
      </c>
    </row>
    <row r="88" spans="1:2" x14ac:dyDescent="0.2">
      <c r="A88" t="s">
        <v>133</v>
      </c>
      <c r="B88">
        <v>6</v>
      </c>
    </row>
    <row r="89" spans="1:2" x14ac:dyDescent="0.2">
      <c r="A89" t="s">
        <v>134</v>
      </c>
      <c r="B89">
        <v>7</v>
      </c>
    </row>
    <row r="90" spans="1:2" x14ac:dyDescent="0.2">
      <c r="A90" t="s">
        <v>135</v>
      </c>
      <c r="B90">
        <v>1</v>
      </c>
    </row>
    <row r="91" spans="1:2" x14ac:dyDescent="0.2">
      <c r="A91" t="s">
        <v>136</v>
      </c>
      <c r="B91">
        <v>10</v>
      </c>
    </row>
    <row r="92" spans="1:2" x14ac:dyDescent="0.2">
      <c r="A92" t="s">
        <v>137</v>
      </c>
      <c r="B92">
        <v>2</v>
      </c>
    </row>
    <row r="93" spans="1:2" x14ac:dyDescent="0.2">
      <c r="A93" t="s">
        <v>139</v>
      </c>
      <c r="B93">
        <v>8</v>
      </c>
    </row>
    <row r="94" spans="1:2" x14ac:dyDescent="0.2">
      <c r="A94" t="s">
        <v>78</v>
      </c>
      <c r="B94">
        <v>7</v>
      </c>
    </row>
    <row r="95" spans="1:2" x14ac:dyDescent="0.2">
      <c r="A95" t="s">
        <v>140</v>
      </c>
      <c r="B95">
        <v>6</v>
      </c>
    </row>
    <row r="96" spans="1:2" x14ac:dyDescent="0.2">
      <c r="A96" t="s">
        <v>141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KITGUM </vt:lpstr>
      <vt:lpstr>RSI FORM</vt:lpstr>
      <vt:lpstr>Key</vt:lpstr>
      <vt:lpstr>Zones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2020-01-30T09:03:45Z</dcterms:modified>
</cp:coreProperties>
</file>