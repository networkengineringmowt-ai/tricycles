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8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ocuments\0. Steward Consultancy\00. Steward Projects\2019-003_EDMP\2. Traffic surveys\Survey Report\Revised Report\June 2020 Revision\EDMP_Traffic Survey Report CD\3. App D - JTC Data\"/>
    </mc:Choice>
  </mc:AlternateContent>
  <xr:revisionPtr revIDLastSave="0" documentId="13_ncr:1_{7C076085-DF3B-4479-A938-4D2021328AAE}" xr6:coauthVersionLast="45" xr6:coauthVersionMax="45" xr10:uidLastSave="{00000000-0000-0000-0000-000000000000}"/>
  <bookViews>
    <workbookView xWindow="-120" yWindow="-120" windowWidth="20730" windowHeight="11160" tabRatio="910" xr2:uid="{00000000-000D-0000-FFFF-FFFF00000000}"/>
  </bookViews>
  <sheets>
    <sheet name="Yusuf Lule - Access Road" sheetId="60" r:id="rId1"/>
    <sheet name="Access Road - Yusuf Lule" sheetId="61" r:id="rId2"/>
    <sheet name="Access Road - Kampala Road" sheetId="62" r:id="rId3"/>
    <sheet name="Kampala Road - Access Road" sheetId="64" r:id="rId4"/>
    <sheet name="YusufLuleRd-Kampala Rd" sheetId="65" r:id="rId5"/>
    <sheet name="Yusuf Lule - Jinja Road" sheetId="66" r:id="rId6"/>
    <sheet name="Jinja road - Access Road" sheetId="63" r:id="rId7"/>
    <sheet name="Jinja Road - Kampala Road" sheetId="69" r:id="rId8"/>
    <sheet name="JinjaRd-YusufLuleRd" sheetId="67" r:id="rId9"/>
    <sheet name="Access Road - Jinja Road" sheetId="68" r:id="rId10"/>
    <sheet name="Kampala Road - Jinja Road" sheetId="70" r:id="rId11"/>
    <sheet name="Kampala Road - Yusuf Lule" sheetId="71" r:id="rId12"/>
  </sheets>
  <definedNames>
    <definedName name="_xlnm.Print_Area" localSheetId="9">'Access Road - Jinja Road'!$A$1:$M$73</definedName>
    <definedName name="_xlnm.Print_Area" localSheetId="2">'Access Road - Kampala Road'!$A$1:$M$73</definedName>
    <definedName name="_xlnm.Print_Area" localSheetId="1">'Access Road - Yusuf Lule'!$A$1:$M$73</definedName>
    <definedName name="_xlnm.Print_Area" localSheetId="6">'Jinja road - Access Road'!$A$1:$M$73</definedName>
    <definedName name="_xlnm.Print_Area" localSheetId="7">'Jinja Road - Kampala Road'!$A$1:$M$73</definedName>
    <definedName name="_xlnm.Print_Area" localSheetId="8">'JinjaRd-YusufLuleRd'!$A$1:$M$73</definedName>
    <definedName name="_xlnm.Print_Area" localSheetId="3">'Kampala Road - Access Road'!$A$1:$M$73</definedName>
    <definedName name="_xlnm.Print_Area" localSheetId="10">'Kampala Road - Jinja Road'!$A$1:$M$73</definedName>
    <definedName name="_xlnm.Print_Area" localSheetId="11">'Kampala Road - Yusuf Lule'!$A$1:$M$73</definedName>
    <definedName name="_xlnm.Print_Area" localSheetId="0">'Yusuf Lule - Access Road'!$A$1:$M$73</definedName>
    <definedName name="_xlnm.Print_Area" localSheetId="5">'Yusuf Lule - Jinja Road'!$A$1:$M$73</definedName>
    <definedName name="_xlnm.Print_Area" localSheetId="4">'YusufLuleRd-Kampala Rd'!$A$1:$M$73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73" i="71" l="1"/>
  <c r="D73" i="71"/>
  <c r="E73" i="71"/>
  <c r="F73" i="71"/>
  <c r="G73" i="71"/>
  <c r="H73" i="71"/>
  <c r="I73" i="71"/>
  <c r="J73" i="71"/>
  <c r="K73" i="71"/>
  <c r="C74" i="71"/>
  <c r="D74" i="71"/>
  <c r="E74" i="71"/>
  <c r="F74" i="71"/>
  <c r="G74" i="71"/>
  <c r="H74" i="71"/>
  <c r="I74" i="71"/>
  <c r="J74" i="71"/>
  <c r="K74" i="71"/>
  <c r="B74" i="71"/>
  <c r="B73" i="71"/>
  <c r="C73" i="70"/>
  <c r="D73" i="70"/>
  <c r="E73" i="70"/>
  <c r="F73" i="70"/>
  <c r="G73" i="70"/>
  <c r="H73" i="70"/>
  <c r="I73" i="70"/>
  <c r="J73" i="70"/>
  <c r="K73" i="70"/>
  <c r="C74" i="70"/>
  <c r="D74" i="70"/>
  <c r="E74" i="70"/>
  <c r="F74" i="70"/>
  <c r="G74" i="70"/>
  <c r="H74" i="70"/>
  <c r="I74" i="70"/>
  <c r="J74" i="70"/>
  <c r="K74" i="70"/>
  <c r="B74" i="70"/>
  <c r="B73" i="70"/>
  <c r="C73" i="68"/>
  <c r="D73" i="68"/>
  <c r="E73" i="68"/>
  <c r="F73" i="68"/>
  <c r="G73" i="68"/>
  <c r="H73" i="68"/>
  <c r="I73" i="68"/>
  <c r="J73" i="68"/>
  <c r="K73" i="68"/>
  <c r="C74" i="68"/>
  <c r="D74" i="68"/>
  <c r="E74" i="68"/>
  <c r="F74" i="68"/>
  <c r="G74" i="68"/>
  <c r="H74" i="68"/>
  <c r="I74" i="68"/>
  <c r="J74" i="68"/>
  <c r="K74" i="68"/>
  <c r="B74" i="68"/>
  <c r="B73" i="68"/>
  <c r="C73" i="67"/>
  <c r="D73" i="67"/>
  <c r="E73" i="67"/>
  <c r="F73" i="67"/>
  <c r="G73" i="67"/>
  <c r="H73" i="67"/>
  <c r="I73" i="67"/>
  <c r="J73" i="67"/>
  <c r="K73" i="67"/>
  <c r="C74" i="67"/>
  <c r="D74" i="67"/>
  <c r="E74" i="67"/>
  <c r="F74" i="67"/>
  <c r="G74" i="67"/>
  <c r="H74" i="67"/>
  <c r="I74" i="67"/>
  <c r="J74" i="67"/>
  <c r="K74" i="67"/>
  <c r="B74" i="67"/>
  <c r="B73" i="67"/>
  <c r="C73" i="69"/>
  <c r="D73" i="69"/>
  <c r="E73" i="69"/>
  <c r="F73" i="69"/>
  <c r="G73" i="69"/>
  <c r="H73" i="69"/>
  <c r="I73" i="69"/>
  <c r="J73" i="69"/>
  <c r="K73" i="69"/>
  <c r="C74" i="69"/>
  <c r="D74" i="69"/>
  <c r="E74" i="69"/>
  <c r="F74" i="69"/>
  <c r="G74" i="69"/>
  <c r="H74" i="69"/>
  <c r="I74" i="69"/>
  <c r="J74" i="69"/>
  <c r="K74" i="69"/>
  <c r="B74" i="69"/>
  <c r="B73" i="69"/>
  <c r="C73" i="63"/>
  <c r="D73" i="63"/>
  <c r="E73" i="63"/>
  <c r="F73" i="63"/>
  <c r="G73" i="63"/>
  <c r="H73" i="63"/>
  <c r="I73" i="63"/>
  <c r="J73" i="63"/>
  <c r="K73" i="63"/>
  <c r="C74" i="63"/>
  <c r="D74" i="63"/>
  <c r="E74" i="63"/>
  <c r="F74" i="63"/>
  <c r="G74" i="63"/>
  <c r="H74" i="63"/>
  <c r="I74" i="63"/>
  <c r="J74" i="63"/>
  <c r="K74" i="63"/>
  <c r="B74" i="63"/>
  <c r="B73" i="63"/>
  <c r="C73" i="66"/>
  <c r="D73" i="66"/>
  <c r="E73" i="66"/>
  <c r="F73" i="66"/>
  <c r="G73" i="66"/>
  <c r="H73" i="66"/>
  <c r="I73" i="66"/>
  <c r="J73" i="66"/>
  <c r="K73" i="66"/>
  <c r="C74" i="66"/>
  <c r="D74" i="66"/>
  <c r="E74" i="66"/>
  <c r="F74" i="66"/>
  <c r="G74" i="66"/>
  <c r="H74" i="66"/>
  <c r="I74" i="66"/>
  <c r="J74" i="66"/>
  <c r="K74" i="66"/>
  <c r="B74" i="66"/>
  <c r="B73" i="66"/>
  <c r="C73" i="65"/>
  <c r="D73" i="65"/>
  <c r="E73" i="65"/>
  <c r="F73" i="65"/>
  <c r="G73" i="65"/>
  <c r="H73" i="65"/>
  <c r="I73" i="65"/>
  <c r="J73" i="65"/>
  <c r="K73" i="65"/>
  <c r="C74" i="65"/>
  <c r="D74" i="65"/>
  <c r="E74" i="65"/>
  <c r="F74" i="65"/>
  <c r="G74" i="65"/>
  <c r="H74" i="65"/>
  <c r="I74" i="65"/>
  <c r="J74" i="65"/>
  <c r="K74" i="65"/>
  <c r="B74" i="65"/>
  <c r="B73" i="65"/>
  <c r="C73" i="64"/>
  <c r="D73" i="64"/>
  <c r="E73" i="64"/>
  <c r="F73" i="64"/>
  <c r="G73" i="64"/>
  <c r="H73" i="64"/>
  <c r="I73" i="64"/>
  <c r="J73" i="64"/>
  <c r="K73" i="64"/>
  <c r="C74" i="64"/>
  <c r="D74" i="64"/>
  <c r="E74" i="64"/>
  <c r="F74" i="64"/>
  <c r="G74" i="64"/>
  <c r="H74" i="64"/>
  <c r="I74" i="64"/>
  <c r="J74" i="64"/>
  <c r="K74" i="64"/>
  <c r="B74" i="64"/>
  <c r="B73" i="64"/>
  <c r="C73" i="62"/>
  <c r="D73" i="62"/>
  <c r="E73" i="62"/>
  <c r="F73" i="62"/>
  <c r="G73" i="62"/>
  <c r="H73" i="62"/>
  <c r="I73" i="62"/>
  <c r="J73" i="62"/>
  <c r="K73" i="62"/>
  <c r="C74" i="62"/>
  <c r="D74" i="62"/>
  <c r="E74" i="62"/>
  <c r="F74" i="62"/>
  <c r="G74" i="62"/>
  <c r="H74" i="62"/>
  <c r="I74" i="62"/>
  <c r="J74" i="62"/>
  <c r="K74" i="62"/>
  <c r="B74" i="62"/>
  <c r="B73" i="62"/>
  <c r="C73" i="61"/>
  <c r="D73" i="61"/>
  <c r="E73" i="61"/>
  <c r="F73" i="61"/>
  <c r="G73" i="61"/>
  <c r="H73" i="61"/>
  <c r="I73" i="61"/>
  <c r="J73" i="61"/>
  <c r="K73" i="61"/>
  <c r="C74" i="61"/>
  <c r="D74" i="61"/>
  <c r="E74" i="61"/>
  <c r="F74" i="61"/>
  <c r="G74" i="61"/>
  <c r="H74" i="61"/>
  <c r="I74" i="61"/>
  <c r="J74" i="61"/>
  <c r="K74" i="61"/>
  <c r="B74" i="61"/>
  <c r="B73" i="61"/>
  <c r="C73" i="60"/>
  <c r="D73" i="60"/>
  <c r="E73" i="60"/>
  <c r="F73" i="60"/>
  <c r="G73" i="60"/>
  <c r="H73" i="60"/>
  <c r="I73" i="60"/>
  <c r="J73" i="60"/>
  <c r="K73" i="60"/>
  <c r="C74" i="60"/>
  <c r="D74" i="60"/>
  <c r="E74" i="60"/>
  <c r="F74" i="60"/>
  <c r="G74" i="60"/>
  <c r="H74" i="60"/>
  <c r="I74" i="60"/>
  <c r="J74" i="60"/>
  <c r="K74" i="60"/>
  <c r="B74" i="60"/>
  <c r="B73" i="60"/>
  <c r="N9" i="63" l="1"/>
  <c r="O9" i="63"/>
  <c r="P9" i="63"/>
  <c r="N10" i="63"/>
  <c r="O10" i="63"/>
  <c r="P10" i="63"/>
  <c r="N11" i="63"/>
  <c r="O11" i="63"/>
  <c r="T8" i="63" s="1"/>
  <c r="P11" i="63"/>
  <c r="N12" i="63"/>
  <c r="O12" i="63"/>
  <c r="P12" i="63"/>
  <c r="U9" i="63" s="1"/>
  <c r="N13" i="63"/>
  <c r="O13" i="63"/>
  <c r="P13" i="63"/>
  <c r="N14" i="63"/>
  <c r="O14" i="63"/>
  <c r="P14" i="63"/>
  <c r="N15" i="63"/>
  <c r="O15" i="63"/>
  <c r="P15" i="63"/>
  <c r="N16" i="63"/>
  <c r="O16" i="63"/>
  <c r="P16" i="63"/>
  <c r="N17" i="63"/>
  <c r="O17" i="63"/>
  <c r="P17" i="63"/>
  <c r="N18" i="63"/>
  <c r="O18" i="63"/>
  <c r="P18" i="63"/>
  <c r="N19" i="63"/>
  <c r="O19" i="63"/>
  <c r="P19" i="63"/>
  <c r="N20" i="63"/>
  <c r="S11" i="63" s="1"/>
  <c r="O20" i="63"/>
  <c r="P20" i="63"/>
  <c r="N21" i="63"/>
  <c r="O21" i="63"/>
  <c r="P21" i="63"/>
  <c r="N22" i="63"/>
  <c r="O22" i="63"/>
  <c r="P22" i="63"/>
  <c r="N23" i="63"/>
  <c r="O23" i="63"/>
  <c r="P23" i="63"/>
  <c r="N24" i="63"/>
  <c r="O24" i="63"/>
  <c r="T12" i="63" s="1"/>
  <c r="P24" i="63"/>
  <c r="U12" i="63" s="1"/>
  <c r="N25" i="63"/>
  <c r="O25" i="63"/>
  <c r="P25" i="63"/>
  <c r="N26" i="63"/>
  <c r="O26" i="63"/>
  <c r="P26" i="63"/>
  <c r="N27" i="63"/>
  <c r="O27" i="63"/>
  <c r="P27" i="63"/>
  <c r="N28" i="63"/>
  <c r="O28" i="63"/>
  <c r="P28" i="63"/>
  <c r="N29" i="63"/>
  <c r="O29" i="63"/>
  <c r="P29" i="63"/>
  <c r="N30" i="63"/>
  <c r="O30" i="63"/>
  <c r="P30" i="63"/>
  <c r="N31" i="63"/>
  <c r="O31" i="63"/>
  <c r="P31" i="63"/>
  <c r="N32" i="63"/>
  <c r="O32" i="63"/>
  <c r="P32" i="63"/>
  <c r="U14" i="63" s="1"/>
  <c r="N33" i="63"/>
  <c r="O33" i="63"/>
  <c r="P33" i="63"/>
  <c r="N34" i="63"/>
  <c r="O34" i="63"/>
  <c r="P34" i="63"/>
  <c r="N35" i="63"/>
  <c r="O35" i="63"/>
  <c r="P35" i="63"/>
  <c r="N36" i="63"/>
  <c r="O36" i="63"/>
  <c r="P36" i="63"/>
  <c r="N37" i="63"/>
  <c r="O37" i="63"/>
  <c r="P37" i="63"/>
  <c r="N38" i="63"/>
  <c r="O38" i="63"/>
  <c r="P38" i="63"/>
  <c r="N39" i="63"/>
  <c r="O39" i="63"/>
  <c r="P39" i="63"/>
  <c r="N40" i="63"/>
  <c r="O40" i="63"/>
  <c r="P40" i="63"/>
  <c r="N41" i="63"/>
  <c r="O41" i="63"/>
  <c r="P41" i="63"/>
  <c r="N42" i="63"/>
  <c r="O42" i="63"/>
  <c r="P42" i="63"/>
  <c r="N43" i="63"/>
  <c r="O43" i="63"/>
  <c r="P43" i="63"/>
  <c r="N44" i="63"/>
  <c r="O44" i="63"/>
  <c r="P44" i="63"/>
  <c r="N45" i="63"/>
  <c r="O45" i="63"/>
  <c r="P45" i="63"/>
  <c r="N46" i="63"/>
  <c r="O46" i="63"/>
  <c r="P46" i="63"/>
  <c r="N47" i="63"/>
  <c r="O47" i="63"/>
  <c r="P47" i="63"/>
  <c r="N48" i="63"/>
  <c r="O48" i="63"/>
  <c r="P48" i="63"/>
  <c r="U18" i="63" s="1"/>
  <c r="N49" i="63"/>
  <c r="O49" i="63"/>
  <c r="P49" i="63"/>
  <c r="N50" i="63"/>
  <c r="O50" i="63"/>
  <c r="P50" i="63"/>
  <c r="N51" i="63"/>
  <c r="O51" i="63"/>
  <c r="P51" i="63"/>
  <c r="N52" i="63"/>
  <c r="O52" i="63"/>
  <c r="P52" i="63"/>
  <c r="N53" i="63"/>
  <c r="O53" i="63"/>
  <c r="P53" i="63"/>
  <c r="N54" i="63"/>
  <c r="O54" i="63"/>
  <c r="P54" i="63"/>
  <c r="N55" i="63"/>
  <c r="O55" i="63"/>
  <c r="P55" i="63"/>
  <c r="N56" i="63"/>
  <c r="O56" i="63"/>
  <c r="P56" i="63"/>
  <c r="N57" i="63"/>
  <c r="O57" i="63"/>
  <c r="P57" i="63"/>
  <c r="N58" i="63"/>
  <c r="O58" i="63"/>
  <c r="P58" i="63"/>
  <c r="N59" i="63"/>
  <c r="O59" i="63"/>
  <c r="P59" i="63"/>
  <c r="N60" i="63"/>
  <c r="O60" i="63"/>
  <c r="P60" i="63"/>
  <c r="N61" i="63"/>
  <c r="O61" i="63"/>
  <c r="P61" i="63"/>
  <c r="N62" i="63"/>
  <c r="O62" i="63"/>
  <c r="P62" i="63"/>
  <c r="N63" i="63"/>
  <c r="O63" i="63"/>
  <c r="P63" i="63"/>
  <c r="N64" i="63"/>
  <c r="O64" i="63"/>
  <c r="P64" i="63"/>
  <c r="U22" i="63" s="1"/>
  <c r="N65" i="63"/>
  <c r="O65" i="63"/>
  <c r="P65" i="63"/>
  <c r="N66" i="63"/>
  <c r="O66" i="63"/>
  <c r="P66" i="63"/>
  <c r="N67" i="63"/>
  <c r="O67" i="63"/>
  <c r="P67" i="63"/>
  <c r="N68" i="63"/>
  <c r="O68" i="63"/>
  <c r="P68" i="63"/>
  <c r="N69" i="63"/>
  <c r="O69" i="63"/>
  <c r="P69" i="63"/>
  <c r="N70" i="63"/>
  <c r="O70" i="63"/>
  <c r="P70" i="63"/>
  <c r="N71" i="63"/>
  <c r="O71" i="63"/>
  <c r="P71" i="63"/>
  <c r="P8" i="63"/>
  <c r="O8" i="63"/>
  <c r="N8" i="63"/>
  <c r="N9" i="69"/>
  <c r="O9" i="69"/>
  <c r="P9" i="69"/>
  <c r="N10" i="69"/>
  <c r="O10" i="69"/>
  <c r="P10" i="69"/>
  <c r="N11" i="69"/>
  <c r="O11" i="69"/>
  <c r="P11" i="69"/>
  <c r="U8" i="69" s="1"/>
  <c r="N12" i="69"/>
  <c r="O12" i="69"/>
  <c r="P12" i="69"/>
  <c r="N13" i="69"/>
  <c r="O13" i="69"/>
  <c r="P13" i="69"/>
  <c r="N14" i="69"/>
  <c r="O14" i="69"/>
  <c r="P14" i="69"/>
  <c r="N15" i="69"/>
  <c r="O15" i="69"/>
  <c r="P15" i="69"/>
  <c r="N16" i="69"/>
  <c r="O16" i="69"/>
  <c r="P16" i="69"/>
  <c r="N17" i="69"/>
  <c r="S10" i="69" s="1"/>
  <c r="O17" i="69"/>
  <c r="P17" i="69"/>
  <c r="N18" i="69"/>
  <c r="O18" i="69"/>
  <c r="P18" i="69"/>
  <c r="N19" i="69"/>
  <c r="O19" i="69"/>
  <c r="P19" i="69"/>
  <c r="N20" i="69"/>
  <c r="O20" i="69"/>
  <c r="T11" i="69" s="1"/>
  <c r="P20" i="69"/>
  <c r="N21" i="69"/>
  <c r="O21" i="69"/>
  <c r="P21" i="69"/>
  <c r="N22" i="69"/>
  <c r="O22" i="69"/>
  <c r="P22" i="69"/>
  <c r="N23" i="69"/>
  <c r="O23" i="69"/>
  <c r="P23" i="69"/>
  <c r="N24" i="69"/>
  <c r="O24" i="69"/>
  <c r="P24" i="69"/>
  <c r="U12" i="69" s="1"/>
  <c r="N25" i="69"/>
  <c r="O25" i="69"/>
  <c r="P25" i="69"/>
  <c r="N26" i="69"/>
  <c r="O26" i="69"/>
  <c r="P26" i="69"/>
  <c r="N27" i="69"/>
  <c r="O27" i="69"/>
  <c r="P27" i="69"/>
  <c r="N28" i="69"/>
  <c r="O28" i="69"/>
  <c r="P28" i="69"/>
  <c r="N29" i="69"/>
  <c r="O29" i="69"/>
  <c r="P29" i="69"/>
  <c r="N30" i="69"/>
  <c r="O30" i="69"/>
  <c r="P30" i="69"/>
  <c r="N31" i="69"/>
  <c r="O31" i="69"/>
  <c r="P31" i="69"/>
  <c r="N32" i="69"/>
  <c r="S14" i="69" s="1"/>
  <c r="O32" i="69"/>
  <c r="P32" i="69"/>
  <c r="N33" i="69"/>
  <c r="O33" i="69"/>
  <c r="P33" i="69"/>
  <c r="N34" i="69"/>
  <c r="O34" i="69"/>
  <c r="P34" i="69"/>
  <c r="N35" i="69"/>
  <c r="O35" i="69"/>
  <c r="P35" i="69"/>
  <c r="N36" i="69"/>
  <c r="O36" i="69"/>
  <c r="T15" i="69" s="1"/>
  <c r="P36" i="69"/>
  <c r="N37" i="69"/>
  <c r="O37" i="69"/>
  <c r="P37" i="69"/>
  <c r="N38" i="69"/>
  <c r="O38" i="69"/>
  <c r="P38" i="69"/>
  <c r="N39" i="69"/>
  <c r="O39" i="69"/>
  <c r="P39" i="69"/>
  <c r="N40" i="69"/>
  <c r="O40" i="69"/>
  <c r="P40" i="69"/>
  <c r="U16" i="69" s="1"/>
  <c r="N41" i="69"/>
  <c r="O41" i="69"/>
  <c r="P41" i="69"/>
  <c r="N42" i="69"/>
  <c r="O42" i="69"/>
  <c r="P42" i="69"/>
  <c r="N43" i="69"/>
  <c r="O43" i="69"/>
  <c r="P43" i="69"/>
  <c r="N44" i="69"/>
  <c r="O44" i="69"/>
  <c r="P44" i="69"/>
  <c r="N45" i="69"/>
  <c r="O45" i="69"/>
  <c r="P45" i="69"/>
  <c r="N46" i="69"/>
  <c r="O46" i="69"/>
  <c r="P46" i="69"/>
  <c r="N47" i="69"/>
  <c r="O47" i="69"/>
  <c r="P47" i="69"/>
  <c r="N48" i="69"/>
  <c r="O48" i="69"/>
  <c r="P48" i="69"/>
  <c r="N49" i="69"/>
  <c r="S18" i="69" s="1"/>
  <c r="O49" i="69"/>
  <c r="P49" i="69"/>
  <c r="N50" i="69"/>
  <c r="O50" i="69"/>
  <c r="P50" i="69"/>
  <c r="N51" i="69"/>
  <c r="O51" i="69"/>
  <c r="P51" i="69"/>
  <c r="N52" i="69"/>
  <c r="O52" i="69"/>
  <c r="P52" i="69"/>
  <c r="N53" i="69"/>
  <c r="O53" i="69"/>
  <c r="P53" i="69"/>
  <c r="N54" i="69"/>
  <c r="O54" i="69"/>
  <c r="T19" i="69" s="1"/>
  <c r="P54" i="69"/>
  <c r="N55" i="69"/>
  <c r="O55" i="69"/>
  <c r="P55" i="69"/>
  <c r="N56" i="69"/>
  <c r="O56" i="69"/>
  <c r="P56" i="69"/>
  <c r="U20" i="69" s="1"/>
  <c r="N57" i="69"/>
  <c r="O57" i="69"/>
  <c r="P57" i="69"/>
  <c r="N58" i="69"/>
  <c r="O58" i="69"/>
  <c r="P58" i="69"/>
  <c r="N59" i="69"/>
  <c r="O59" i="69"/>
  <c r="P59" i="69"/>
  <c r="N60" i="69"/>
  <c r="O60" i="69"/>
  <c r="P60" i="69"/>
  <c r="N61" i="69"/>
  <c r="O61" i="69"/>
  <c r="P61" i="69"/>
  <c r="N62" i="69"/>
  <c r="O62" i="69"/>
  <c r="P62" i="69"/>
  <c r="N63" i="69"/>
  <c r="O63" i="69"/>
  <c r="P63" i="69"/>
  <c r="N64" i="69"/>
  <c r="S22" i="69" s="1"/>
  <c r="O64" i="69"/>
  <c r="P64" i="69"/>
  <c r="N65" i="69"/>
  <c r="O65" i="69"/>
  <c r="P65" i="69"/>
  <c r="N66" i="69"/>
  <c r="O66" i="69"/>
  <c r="P66" i="69"/>
  <c r="N67" i="69"/>
  <c r="O67" i="69"/>
  <c r="P67" i="69"/>
  <c r="N68" i="69"/>
  <c r="O68" i="69"/>
  <c r="P68" i="69"/>
  <c r="N69" i="69"/>
  <c r="O69" i="69"/>
  <c r="P69" i="69"/>
  <c r="N70" i="69"/>
  <c r="O70" i="69"/>
  <c r="P70" i="69"/>
  <c r="N71" i="69"/>
  <c r="O71" i="69"/>
  <c r="P71" i="69"/>
  <c r="P8" i="69"/>
  <c r="O8" i="69"/>
  <c r="N8" i="69"/>
  <c r="U21" i="67"/>
  <c r="S11" i="67"/>
  <c r="N9" i="67"/>
  <c r="O9" i="67"/>
  <c r="P9" i="67"/>
  <c r="N10" i="67"/>
  <c r="O10" i="67"/>
  <c r="P10" i="67"/>
  <c r="N11" i="67"/>
  <c r="O11" i="67"/>
  <c r="P11" i="67"/>
  <c r="N12" i="67"/>
  <c r="O12" i="67"/>
  <c r="P12" i="67"/>
  <c r="U9" i="67" s="1"/>
  <c r="N13" i="67"/>
  <c r="S9" i="67" s="1"/>
  <c r="O13" i="67"/>
  <c r="P13" i="67"/>
  <c r="N14" i="67"/>
  <c r="O14" i="67"/>
  <c r="P14" i="67"/>
  <c r="N15" i="67"/>
  <c r="O15" i="67"/>
  <c r="P15" i="67"/>
  <c r="N16" i="67"/>
  <c r="S10" i="67" s="1"/>
  <c r="O16" i="67"/>
  <c r="P16" i="67"/>
  <c r="N17" i="67"/>
  <c r="O17" i="67"/>
  <c r="P17" i="67"/>
  <c r="N18" i="67"/>
  <c r="O18" i="67"/>
  <c r="P18" i="67"/>
  <c r="N19" i="67"/>
  <c r="O19" i="67"/>
  <c r="P19" i="67"/>
  <c r="N20" i="67"/>
  <c r="O20" i="67"/>
  <c r="P20" i="67"/>
  <c r="N21" i="67"/>
  <c r="O21" i="67"/>
  <c r="P21" i="67"/>
  <c r="N22" i="67"/>
  <c r="O22" i="67"/>
  <c r="P22" i="67"/>
  <c r="N23" i="67"/>
  <c r="O23" i="67"/>
  <c r="P23" i="67"/>
  <c r="N24" i="67"/>
  <c r="S12" i="67" s="1"/>
  <c r="O24" i="67"/>
  <c r="P24" i="67"/>
  <c r="N25" i="67"/>
  <c r="O25" i="67"/>
  <c r="P25" i="67"/>
  <c r="N26" i="67"/>
  <c r="O26" i="67"/>
  <c r="T12" i="67" s="1"/>
  <c r="P26" i="67"/>
  <c r="N27" i="67"/>
  <c r="O27" i="67"/>
  <c r="P27" i="67"/>
  <c r="N28" i="67"/>
  <c r="O28" i="67"/>
  <c r="P28" i="67"/>
  <c r="U13" i="67" s="1"/>
  <c r="N29" i="67"/>
  <c r="S13" i="67" s="1"/>
  <c r="O29" i="67"/>
  <c r="P29" i="67"/>
  <c r="N30" i="67"/>
  <c r="O30" i="67"/>
  <c r="P30" i="67"/>
  <c r="N31" i="67"/>
  <c r="O31" i="67"/>
  <c r="P31" i="67"/>
  <c r="N32" i="67"/>
  <c r="S14" i="67" s="1"/>
  <c r="O32" i="67"/>
  <c r="P32" i="67"/>
  <c r="N33" i="67"/>
  <c r="O33" i="67"/>
  <c r="P33" i="67"/>
  <c r="N34" i="67"/>
  <c r="O34" i="67"/>
  <c r="P34" i="67"/>
  <c r="N35" i="67"/>
  <c r="O35" i="67"/>
  <c r="P35" i="67"/>
  <c r="N36" i="67"/>
  <c r="S15" i="67" s="1"/>
  <c r="O36" i="67"/>
  <c r="P36" i="67"/>
  <c r="N37" i="67"/>
  <c r="O37" i="67"/>
  <c r="P37" i="67"/>
  <c r="N38" i="67"/>
  <c r="O38" i="67"/>
  <c r="P38" i="67"/>
  <c r="N39" i="67"/>
  <c r="O39" i="67"/>
  <c r="P39" i="67"/>
  <c r="N40" i="67"/>
  <c r="S16" i="67" s="1"/>
  <c r="O40" i="67"/>
  <c r="P40" i="67"/>
  <c r="N41" i="67"/>
  <c r="O41" i="67"/>
  <c r="T16" i="67" s="1"/>
  <c r="P41" i="67"/>
  <c r="N42" i="67"/>
  <c r="O42" i="67"/>
  <c r="P42" i="67"/>
  <c r="N43" i="67"/>
  <c r="O43" i="67"/>
  <c r="P43" i="67"/>
  <c r="N44" i="67"/>
  <c r="O44" i="67"/>
  <c r="P44" i="67"/>
  <c r="U17" i="67" s="1"/>
  <c r="N45" i="67"/>
  <c r="S17" i="67" s="1"/>
  <c r="O45" i="67"/>
  <c r="P45" i="67"/>
  <c r="N46" i="67"/>
  <c r="O46" i="67"/>
  <c r="P46" i="67"/>
  <c r="N47" i="67"/>
  <c r="O47" i="67"/>
  <c r="P47" i="67"/>
  <c r="N48" i="67"/>
  <c r="S18" i="67" s="1"/>
  <c r="O48" i="67"/>
  <c r="P48" i="67"/>
  <c r="N49" i="67"/>
  <c r="O49" i="67"/>
  <c r="P49" i="67"/>
  <c r="N50" i="67"/>
  <c r="O50" i="67"/>
  <c r="P50" i="67"/>
  <c r="N51" i="67"/>
  <c r="O51" i="67"/>
  <c r="P51" i="67"/>
  <c r="N52" i="67"/>
  <c r="S19" i="67" s="1"/>
  <c r="O52" i="67"/>
  <c r="P52" i="67"/>
  <c r="N53" i="67"/>
  <c r="O53" i="67"/>
  <c r="P53" i="67"/>
  <c r="N54" i="67"/>
  <c r="O54" i="67"/>
  <c r="P54" i="67"/>
  <c r="N55" i="67"/>
  <c r="O55" i="67"/>
  <c r="P55" i="67"/>
  <c r="N56" i="67"/>
  <c r="S20" i="67" s="1"/>
  <c r="O56" i="67"/>
  <c r="T20" i="67" s="1"/>
  <c r="P56" i="67"/>
  <c r="N57" i="67"/>
  <c r="O57" i="67"/>
  <c r="P57" i="67"/>
  <c r="N58" i="67"/>
  <c r="O58" i="67"/>
  <c r="P58" i="67"/>
  <c r="N59" i="67"/>
  <c r="O59" i="67"/>
  <c r="P59" i="67"/>
  <c r="N60" i="67"/>
  <c r="O60" i="67"/>
  <c r="P60" i="67"/>
  <c r="N61" i="67"/>
  <c r="S21" i="67" s="1"/>
  <c r="O61" i="67"/>
  <c r="P61" i="67"/>
  <c r="N62" i="67"/>
  <c r="O62" i="67"/>
  <c r="P62" i="67"/>
  <c r="N63" i="67"/>
  <c r="O63" i="67"/>
  <c r="P63" i="67"/>
  <c r="N64" i="67"/>
  <c r="S22" i="67" s="1"/>
  <c r="O64" i="67"/>
  <c r="P64" i="67"/>
  <c r="N65" i="67"/>
  <c r="O65" i="67"/>
  <c r="P65" i="67"/>
  <c r="N66" i="67"/>
  <c r="O66" i="67"/>
  <c r="P66" i="67"/>
  <c r="N67" i="67"/>
  <c r="O67" i="67"/>
  <c r="P67" i="67"/>
  <c r="N68" i="67"/>
  <c r="O68" i="67"/>
  <c r="P68" i="67"/>
  <c r="N69" i="67"/>
  <c r="O69" i="67"/>
  <c r="P69" i="67"/>
  <c r="N70" i="67"/>
  <c r="O70" i="67"/>
  <c r="P70" i="67"/>
  <c r="N71" i="67"/>
  <c r="O71" i="67"/>
  <c r="P71" i="67"/>
  <c r="P8" i="67"/>
  <c r="U8" i="67" s="1"/>
  <c r="O8" i="67"/>
  <c r="T8" i="67" s="1"/>
  <c r="N8" i="67"/>
  <c r="S8" i="67" s="1"/>
  <c r="T8" i="69" l="1"/>
  <c r="T22" i="69"/>
  <c r="T20" i="69"/>
  <c r="T18" i="69"/>
  <c r="T16" i="69"/>
  <c r="T14" i="69"/>
  <c r="T12" i="69"/>
  <c r="T23" i="69" s="1"/>
  <c r="T24" i="69" s="1"/>
  <c r="T10" i="69"/>
  <c r="S8" i="69"/>
  <c r="U22" i="69"/>
  <c r="U18" i="69"/>
  <c r="U14" i="69"/>
  <c r="U10" i="69"/>
  <c r="T21" i="69"/>
  <c r="S20" i="69"/>
  <c r="T17" i="69"/>
  <c r="S16" i="69"/>
  <c r="T13" i="69"/>
  <c r="S12" i="69"/>
  <c r="T9" i="69"/>
  <c r="U11" i="63"/>
  <c r="T10" i="63"/>
  <c r="U20" i="63"/>
  <c r="U16" i="63"/>
  <c r="S23" i="67"/>
  <c r="S24" i="67" s="1"/>
  <c r="U22" i="67"/>
  <c r="U20" i="67"/>
  <c r="U18" i="67"/>
  <c r="U16" i="67"/>
  <c r="U14" i="67"/>
  <c r="U12" i="67"/>
  <c r="U10" i="67"/>
  <c r="U23" i="67" s="1"/>
  <c r="U24" i="67" s="1"/>
  <c r="U8" i="63"/>
  <c r="S22" i="63"/>
  <c r="S20" i="63"/>
  <c r="S18" i="63"/>
  <c r="S16" i="63"/>
  <c r="S14" i="63"/>
  <c r="S12" i="63"/>
  <c r="S10" i="63"/>
  <c r="S8" i="63"/>
  <c r="U10" i="63"/>
  <c r="T22" i="67"/>
  <c r="U19" i="67"/>
  <c r="T18" i="67"/>
  <c r="U15" i="67"/>
  <c r="T14" i="67"/>
  <c r="U11" i="67"/>
  <c r="T10" i="67"/>
  <c r="S13" i="63"/>
  <c r="S9" i="63"/>
  <c r="T21" i="67"/>
  <c r="T19" i="67"/>
  <c r="T17" i="67"/>
  <c r="T15" i="67"/>
  <c r="T13" i="67"/>
  <c r="T11" i="67"/>
  <c r="T9" i="67"/>
  <c r="U21" i="69"/>
  <c r="S21" i="69"/>
  <c r="U19" i="69"/>
  <c r="S19" i="69"/>
  <c r="U17" i="69"/>
  <c r="S17" i="69"/>
  <c r="U15" i="69"/>
  <c r="S15" i="69"/>
  <c r="U13" i="69"/>
  <c r="S13" i="69"/>
  <c r="U11" i="69"/>
  <c r="S11" i="69"/>
  <c r="U9" i="69"/>
  <c r="S9" i="69"/>
  <c r="T22" i="63"/>
  <c r="U21" i="63"/>
  <c r="S21" i="63"/>
  <c r="T21" i="63"/>
  <c r="T20" i="63"/>
  <c r="U19" i="63"/>
  <c r="S19" i="63"/>
  <c r="T19" i="63"/>
  <c r="T18" i="63"/>
  <c r="U17" i="63"/>
  <c r="S17" i="63"/>
  <c r="T17" i="63"/>
  <c r="T16" i="63"/>
  <c r="U15" i="63"/>
  <c r="S15" i="63"/>
  <c r="T15" i="63"/>
  <c r="T14" i="63"/>
  <c r="U13" i="63"/>
  <c r="T13" i="63"/>
  <c r="T11" i="63"/>
  <c r="T9" i="63"/>
  <c r="T23" i="63" l="1"/>
  <c r="T24" i="63" s="1"/>
  <c r="T23" i="67"/>
  <c r="T24" i="67" s="1"/>
  <c r="U23" i="63"/>
  <c r="U24" i="63" s="1"/>
  <c r="S23" i="69"/>
  <c r="S24" i="69" s="1"/>
  <c r="S23" i="63"/>
  <c r="S24" i="63" s="1"/>
  <c r="U23" i="69"/>
  <c r="U24" i="69" s="1"/>
  <c r="K72" i="60"/>
  <c r="J72" i="60"/>
  <c r="I72" i="60"/>
  <c r="H72" i="60"/>
  <c r="G72" i="60"/>
  <c r="F72" i="60"/>
  <c r="E72" i="60"/>
  <c r="D72" i="60"/>
  <c r="C72" i="60"/>
  <c r="K72" i="61"/>
  <c r="J72" i="61"/>
  <c r="I72" i="61"/>
  <c r="H72" i="61"/>
  <c r="G72" i="61"/>
  <c r="F72" i="61"/>
  <c r="E72" i="61"/>
  <c r="D72" i="61"/>
  <c r="C72" i="61"/>
  <c r="K72" i="62"/>
  <c r="J72" i="62"/>
  <c r="I72" i="62"/>
  <c r="H72" i="62"/>
  <c r="G72" i="62"/>
  <c r="F72" i="62"/>
  <c r="E72" i="62"/>
  <c r="D72" i="62"/>
  <c r="C72" i="62"/>
  <c r="K72" i="63"/>
  <c r="J72" i="63"/>
  <c r="I72" i="63"/>
  <c r="H72" i="63"/>
  <c r="G72" i="63"/>
  <c r="F72" i="63"/>
  <c r="E72" i="63"/>
  <c r="D72" i="63"/>
  <c r="C72" i="63"/>
  <c r="K72" i="64"/>
  <c r="J72" i="64"/>
  <c r="I72" i="64"/>
  <c r="H72" i="64"/>
  <c r="G72" i="64"/>
  <c r="F72" i="64"/>
  <c r="E72" i="64"/>
  <c r="D72" i="64"/>
  <c r="C72" i="64"/>
  <c r="K72" i="65"/>
  <c r="J72" i="65"/>
  <c r="I72" i="65"/>
  <c r="H72" i="65"/>
  <c r="G72" i="65"/>
  <c r="F72" i="65"/>
  <c r="E72" i="65"/>
  <c r="D72" i="65"/>
  <c r="C72" i="65"/>
  <c r="K72" i="66"/>
  <c r="J72" i="66"/>
  <c r="I72" i="66"/>
  <c r="H72" i="66"/>
  <c r="G72" i="66"/>
  <c r="F72" i="66"/>
  <c r="E72" i="66"/>
  <c r="D72" i="66"/>
  <c r="C72" i="66"/>
  <c r="K72" i="67"/>
  <c r="J72" i="67"/>
  <c r="I72" i="67"/>
  <c r="H72" i="67"/>
  <c r="G72" i="67"/>
  <c r="F72" i="67"/>
  <c r="E72" i="67"/>
  <c r="D72" i="67"/>
  <c r="C72" i="67"/>
  <c r="K72" i="68"/>
  <c r="J72" i="68"/>
  <c r="I72" i="68"/>
  <c r="H72" i="68"/>
  <c r="G72" i="68"/>
  <c r="F72" i="68"/>
  <c r="E72" i="68"/>
  <c r="D72" i="68"/>
  <c r="C72" i="68"/>
  <c r="K72" i="69"/>
  <c r="J72" i="69"/>
  <c r="I72" i="69"/>
  <c r="H72" i="69"/>
  <c r="G72" i="69"/>
  <c r="F72" i="69"/>
  <c r="E72" i="69"/>
  <c r="D72" i="69"/>
  <c r="C72" i="69"/>
  <c r="K72" i="70"/>
  <c r="J72" i="70"/>
  <c r="I72" i="70"/>
  <c r="H72" i="70"/>
  <c r="G72" i="70"/>
  <c r="F72" i="70"/>
  <c r="E72" i="70"/>
  <c r="D72" i="70"/>
  <c r="C72" i="70"/>
  <c r="K72" i="71"/>
  <c r="J72" i="71"/>
  <c r="I72" i="71"/>
  <c r="H72" i="71"/>
  <c r="G72" i="71"/>
  <c r="F72" i="71"/>
  <c r="E72" i="71"/>
  <c r="D72" i="71"/>
  <c r="C72" i="71"/>
  <c r="B72" i="60"/>
  <c r="B72" i="61"/>
  <c r="B72" i="62"/>
  <c r="B72" i="63"/>
  <c r="B72" i="64"/>
  <c r="B72" i="65"/>
  <c r="B72" i="66"/>
  <c r="B72" i="67"/>
  <c r="B72" i="68"/>
  <c r="B72" i="69"/>
  <c r="B72" i="70"/>
  <c r="B72" i="71"/>
  <c r="L9" i="71" l="1"/>
  <c r="L10" i="71"/>
  <c r="L11" i="71"/>
  <c r="L12" i="71"/>
  <c r="L13" i="71"/>
  <c r="L14" i="71"/>
  <c r="L15" i="71"/>
  <c r="L16" i="71"/>
  <c r="L17" i="71"/>
  <c r="L18" i="71"/>
  <c r="L19" i="71"/>
  <c r="L20" i="71"/>
  <c r="L21" i="71"/>
  <c r="L22" i="71"/>
  <c r="L23" i="71"/>
  <c r="L24" i="71"/>
  <c r="L25" i="71"/>
  <c r="L26" i="71"/>
  <c r="L27" i="71"/>
  <c r="L28" i="71"/>
  <c r="O13" i="71" s="1"/>
  <c r="L29" i="71"/>
  <c r="L30" i="71"/>
  <c r="L31" i="71"/>
  <c r="L32" i="71"/>
  <c r="L33" i="71"/>
  <c r="L34" i="71"/>
  <c r="L35" i="71"/>
  <c r="L36" i="71"/>
  <c r="L37" i="71"/>
  <c r="L38" i="71"/>
  <c r="L39" i="71"/>
  <c r="L40" i="71"/>
  <c r="L41" i="71"/>
  <c r="L42" i="71"/>
  <c r="L43" i="71"/>
  <c r="L44" i="71"/>
  <c r="L45" i="71"/>
  <c r="L46" i="71"/>
  <c r="L47" i="71"/>
  <c r="L48" i="71"/>
  <c r="L49" i="71"/>
  <c r="L50" i="71"/>
  <c r="L51" i="71"/>
  <c r="L52" i="71"/>
  <c r="L53" i="71"/>
  <c r="L54" i="71"/>
  <c r="L55" i="71"/>
  <c r="L56" i="71"/>
  <c r="L57" i="71"/>
  <c r="L58" i="71"/>
  <c r="L59" i="71"/>
  <c r="L60" i="71"/>
  <c r="L61" i="71"/>
  <c r="L62" i="71"/>
  <c r="L63" i="71"/>
  <c r="L8" i="71"/>
  <c r="M71" i="71"/>
  <c r="L71" i="71"/>
  <c r="M70" i="71"/>
  <c r="L70" i="71"/>
  <c r="M69" i="71"/>
  <c r="L69" i="71"/>
  <c r="M68" i="71"/>
  <c r="L68" i="71"/>
  <c r="M67" i="71"/>
  <c r="L67" i="71"/>
  <c r="M66" i="71"/>
  <c r="L66" i="71"/>
  <c r="M65" i="71"/>
  <c r="L65" i="71"/>
  <c r="M64" i="71"/>
  <c r="L64" i="71"/>
  <c r="O22" i="71" s="1"/>
  <c r="M63" i="71"/>
  <c r="M62" i="71"/>
  <c r="M61" i="71"/>
  <c r="M60" i="71"/>
  <c r="M59" i="71"/>
  <c r="M58" i="71"/>
  <c r="M57" i="71"/>
  <c r="M56" i="71"/>
  <c r="M55" i="71"/>
  <c r="M54" i="71"/>
  <c r="M53" i="71"/>
  <c r="M52" i="71"/>
  <c r="M51" i="71"/>
  <c r="M50" i="71"/>
  <c r="M49" i="71"/>
  <c r="M48" i="71"/>
  <c r="M47" i="71"/>
  <c r="M46" i="71"/>
  <c r="M45" i="71"/>
  <c r="M44" i="71"/>
  <c r="M43" i="71"/>
  <c r="M42" i="71"/>
  <c r="M41" i="71"/>
  <c r="M40" i="71"/>
  <c r="M39" i="71"/>
  <c r="M38" i="71"/>
  <c r="M37" i="71"/>
  <c r="M36" i="71"/>
  <c r="M35" i="71"/>
  <c r="M34" i="71"/>
  <c r="M33" i="71"/>
  <c r="M32" i="71"/>
  <c r="M31" i="71"/>
  <c r="M30" i="71"/>
  <c r="M29" i="71"/>
  <c r="M28" i="71"/>
  <c r="M27" i="71"/>
  <c r="M26" i="71"/>
  <c r="M25" i="71"/>
  <c r="M24" i="71"/>
  <c r="M23" i="71"/>
  <c r="M22" i="71"/>
  <c r="M21" i="71"/>
  <c r="M20" i="71"/>
  <c r="M19" i="71"/>
  <c r="M18" i="71"/>
  <c r="M17" i="71"/>
  <c r="M16" i="71"/>
  <c r="M15" i="71"/>
  <c r="M14" i="71"/>
  <c r="M13" i="71"/>
  <c r="M12" i="71"/>
  <c r="M11" i="71"/>
  <c r="M10" i="71"/>
  <c r="M9" i="71"/>
  <c r="M8" i="71"/>
  <c r="L9" i="70"/>
  <c r="L10" i="70"/>
  <c r="L11" i="70"/>
  <c r="L12" i="70"/>
  <c r="L13" i="70"/>
  <c r="L14" i="70"/>
  <c r="L15" i="70"/>
  <c r="L16" i="70"/>
  <c r="L17" i="70"/>
  <c r="L18" i="70"/>
  <c r="L19" i="70"/>
  <c r="L20" i="70"/>
  <c r="L21" i="70"/>
  <c r="L22" i="70"/>
  <c r="L23" i="70"/>
  <c r="L24" i="70"/>
  <c r="L25" i="70"/>
  <c r="L26" i="70"/>
  <c r="L27" i="70"/>
  <c r="L28" i="70"/>
  <c r="L29" i="70"/>
  <c r="L30" i="70"/>
  <c r="L31" i="70"/>
  <c r="L32" i="70"/>
  <c r="L33" i="70"/>
  <c r="L34" i="70"/>
  <c r="L35" i="70"/>
  <c r="L36" i="70"/>
  <c r="L37" i="70"/>
  <c r="L38" i="70"/>
  <c r="L39" i="70"/>
  <c r="L40" i="70"/>
  <c r="L41" i="70"/>
  <c r="L42" i="70"/>
  <c r="L43" i="70"/>
  <c r="L44" i="70"/>
  <c r="L45" i="70"/>
  <c r="L46" i="70"/>
  <c r="L47" i="70"/>
  <c r="L48" i="70"/>
  <c r="L49" i="70"/>
  <c r="L50" i="70"/>
  <c r="L51" i="70"/>
  <c r="L52" i="70"/>
  <c r="L53" i="70"/>
  <c r="L54" i="70"/>
  <c r="L55" i="70"/>
  <c r="L56" i="70"/>
  <c r="L57" i="70"/>
  <c r="L58" i="70"/>
  <c r="L59" i="70"/>
  <c r="L60" i="70"/>
  <c r="L61" i="70"/>
  <c r="L62" i="70"/>
  <c r="L63" i="70"/>
  <c r="L64" i="70"/>
  <c r="L65" i="70"/>
  <c r="L66" i="70"/>
  <c r="L67" i="70"/>
  <c r="L68" i="70"/>
  <c r="L69" i="70"/>
  <c r="L70" i="70"/>
  <c r="L71" i="70"/>
  <c r="M8" i="69"/>
  <c r="M9" i="69"/>
  <c r="L8" i="69"/>
  <c r="L9" i="69"/>
  <c r="L10" i="69"/>
  <c r="L11" i="69"/>
  <c r="L12" i="69"/>
  <c r="L13" i="69"/>
  <c r="L14" i="69"/>
  <c r="L15" i="69"/>
  <c r="L16" i="69"/>
  <c r="L17" i="69"/>
  <c r="L18" i="69"/>
  <c r="L19" i="69"/>
  <c r="L20" i="69"/>
  <c r="L21" i="69"/>
  <c r="L22" i="69"/>
  <c r="L23" i="69"/>
  <c r="L24" i="69"/>
  <c r="L25" i="69"/>
  <c r="L26" i="69"/>
  <c r="L27" i="69"/>
  <c r="L28" i="69"/>
  <c r="L29" i="69"/>
  <c r="L30" i="69"/>
  <c r="L31" i="69"/>
  <c r="L32" i="69"/>
  <c r="L33" i="69"/>
  <c r="L34" i="69"/>
  <c r="L35" i="69"/>
  <c r="L36" i="69"/>
  <c r="L37" i="69"/>
  <c r="L38" i="69"/>
  <c r="L39" i="69"/>
  <c r="L40" i="69"/>
  <c r="L41" i="69"/>
  <c r="L42" i="69"/>
  <c r="L43" i="69"/>
  <c r="L44" i="69"/>
  <c r="L45" i="69"/>
  <c r="L46" i="69"/>
  <c r="L47" i="69"/>
  <c r="L48" i="69"/>
  <c r="L49" i="69"/>
  <c r="L50" i="69"/>
  <c r="L51" i="69"/>
  <c r="L52" i="69"/>
  <c r="L53" i="69"/>
  <c r="L54" i="69"/>
  <c r="L55" i="69"/>
  <c r="L56" i="69"/>
  <c r="L57" i="69"/>
  <c r="L58" i="69"/>
  <c r="L59" i="69"/>
  <c r="L60" i="69"/>
  <c r="L61" i="69"/>
  <c r="L62" i="69"/>
  <c r="L63" i="69"/>
  <c r="L64" i="69"/>
  <c r="L65" i="69"/>
  <c r="L66" i="69"/>
  <c r="L67" i="69"/>
  <c r="L68" i="69"/>
  <c r="L69" i="69"/>
  <c r="L70" i="69"/>
  <c r="L71" i="69"/>
  <c r="M71" i="70"/>
  <c r="M70" i="70"/>
  <c r="M69" i="70"/>
  <c r="M68" i="70"/>
  <c r="M67" i="70"/>
  <c r="M66" i="70"/>
  <c r="M65" i="70"/>
  <c r="M64" i="70"/>
  <c r="M63" i="70"/>
  <c r="M62" i="70"/>
  <c r="M61" i="70"/>
  <c r="M60" i="70"/>
  <c r="M59" i="70"/>
  <c r="M58" i="70"/>
  <c r="M57" i="70"/>
  <c r="M56" i="70"/>
  <c r="O20" i="70"/>
  <c r="M55" i="70"/>
  <c r="M54" i="70"/>
  <c r="M53" i="70"/>
  <c r="M52" i="70"/>
  <c r="M51" i="70"/>
  <c r="M50" i="70"/>
  <c r="M49" i="70"/>
  <c r="M48" i="70"/>
  <c r="M47" i="70"/>
  <c r="M46" i="70"/>
  <c r="M45" i="70"/>
  <c r="M44" i="70"/>
  <c r="M43" i="70"/>
  <c r="M42" i="70"/>
  <c r="M41" i="70"/>
  <c r="M40" i="70"/>
  <c r="M39" i="70"/>
  <c r="M38" i="70"/>
  <c r="M37" i="70"/>
  <c r="M36" i="70"/>
  <c r="O15" i="70"/>
  <c r="M35" i="70"/>
  <c r="M34" i="70"/>
  <c r="M33" i="70"/>
  <c r="M32" i="70"/>
  <c r="M31" i="70"/>
  <c r="M30" i="70"/>
  <c r="M29" i="70"/>
  <c r="M28" i="70"/>
  <c r="M27" i="70"/>
  <c r="M26" i="70"/>
  <c r="M25" i="70"/>
  <c r="M24" i="70"/>
  <c r="M23" i="70"/>
  <c r="M22" i="70"/>
  <c r="M21" i="70"/>
  <c r="M20" i="70"/>
  <c r="M19" i="70"/>
  <c r="M18" i="70"/>
  <c r="M17" i="70"/>
  <c r="M16" i="70"/>
  <c r="M15" i="70"/>
  <c r="M14" i="70"/>
  <c r="M13" i="70"/>
  <c r="M12" i="70"/>
  <c r="M11" i="70"/>
  <c r="M10" i="70"/>
  <c r="M9" i="70"/>
  <c r="M8" i="70"/>
  <c r="L8" i="70"/>
  <c r="O17" i="70" l="1"/>
  <c r="O22" i="70"/>
  <c r="O19" i="70"/>
  <c r="O16" i="70"/>
  <c r="O12" i="70"/>
  <c r="O20" i="71"/>
  <c r="O15" i="71"/>
  <c r="M73" i="71"/>
  <c r="M73" i="70"/>
  <c r="O21" i="71"/>
  <c r="O19" i="71"/>
  <c r="O16" i="71"/>
  <c r="O14" i="71"/>
  <c r="O8" i="71"/>
  <c r="O18" i="71"/>
  <c r="O17" i="71"/>
  <c r="O12" i="71"/>
  <c r="O11" i="71"/>
  <c r="O10" i="71"/>
  <c r="M72" i="71"/>
  <c r="O9" i="71"/>
  <c r="O24" i="71" s="1"/>
  <c r="L72" i="71"/>
  <c r="O21" i="70"/>
  <c r="O14" i="70"/>
  <c r="O18" i="70"/>
  <c r="O25" i="70" s="1"/>
  <c r="L72" i="70"/>
  <c r="O13" i="70"/>
  <c r="O11" i="70"/>
  <c r="O10" i="70"/>
  <c r="O8" i="70"/>
  <c r="O9" i="70"/>
  <c r="O24" i="70" s="1"/>
  <c r="M72" i="70"/>
  <c r="M71" i="69"/>
  <c r="M70" i="69"/>
  <c r="M69" i="69"/>
  <c r="M68" i="69"/>
  <c r="M67" i="69"/>
  <c r="R22" i="69"/>
  <c r="M66" i="69"/>
  <c r="M65" i="69"/>
  <c r="M64" i="69"/>
  <c r="M63" i="69"/>
  <c r="M62" i="69"/>
  <c r="M61" i="69"/>
  <c r="M60" i="69"/>
  <c r="M59" i="69"/>
  <c r="R20" i="69"/>
  <c r="M58" i="69"/>
  <c r="M57" i="69"/>
  <c r="M56" i="69"/>
  <c r="M55" i="69"/>
  <c r="R19" i="69"/>
  <c r="M54" i="69"/>
  <c r="M53" i="69"/>
  <c r="M52" i="69"/>
  <c r="M51" i="69"/>
  <c r="R18" i="69"/>
  <c r="M50" i="69"/>
  <c r="M49" i="69"/>
  <c r="M48" i="69"/>
  <c r="M47" i="69"/>
  <c r="M46" i="69"/>
  <c r="M45" i="69"/>
  <c r="M44" i="69"/>
  <c r="M43" i="69"/>
  <c r="M42" i="69"/>
  <c r="R16" i="69"/>
  <c r="M41" i="69"/>
  <c r="M40" i="69"/>
  <c r="M39" i="69"/>
  <c r="M38" i="69"/>
  <c r="M37" i="69"/>
  <c r="M36" i="69"/>
  <c r="M35" i="69"/>
  <c r="M34" i="69"/>
  <c r="M33" i="69"/>
  <c r="M32" i="69"/>
  <c r="M31" i="69"/>
  <c r="M30" i="69"/>
  <c r="R13" i="69"/>
  <c r="M29" i="69"/>
  <c r="M28" i="69"/>
  <c r="M27" i="69"/>
  <c r="R12" i="69"/>
  <c r="M26" i="69"/>
  <c r="M25" i="69"/>
  <c r="M24" i="69"/>
  <c r="M23" i="69"/>
  <c r="M22" i="69"/>
  <c r="M21" i="69"/>
  <c r="M20" i="69"/>
  <c r="M19" i="69"/>
  <c r="M18" i="69"/>
  <c r="M17" i="69"/>
  <c r="M16" i="69"/>
  <c r="M15" i="69"/>
  <c r="M14" i="69"/>
  <c r="M13" i="69"/>
  <c r="M12" i="69"/>
  <c r="M11" i="69"/>
  <c r="M10" i="69"/>
  <c r="L8" i="68"/>
  <c r="O25" i="71" l="1"/>
  <c r="M73" i="69"/>
  <c r="R27" i="69"/>
  <c r="R15" i="69"/>
  <c r="R14" i="69"/>
  <c r="R11" i="69"/>
  <c r="R21" i="69"/>
  <c r="R17" i="69"/>
  <c r="R9" i="69"/>
  <c r="M72" i="69"/>
  <c r="R8" i="69"/>
  <c r="R10" i="69"/>
  <c r="L72" i="69"/>
  <c r="L9" i="68"/>
  <c r="L10" i="68"/>
  <c r="L11" i="68"/>
  <c r="L12" i="68"/>
  <c r="O9" i="68" s="1"/>
  <c r="L13" i="68"/>
  <c r="L14" i="68"/>
  <c r="L15" i="68"/>
  <c r="L16" i="68"/>
  <c r="L17" i="68"/>
  <c r="L18" i="68"/>
  <c r="L19" i="68"/>
  <c r="L20" i="68"/>
  <c r="L21" i="68"/>
  <c r="L22" i="68"/>
  <c r="L23" i="68"/>
  <c r="L24" i="68"/>
  <c r="L25" i="68"/>
  <c r="L26" i="68"/>
  <c r="L27" i="68"/>
  <c r="L28" i="68"/>
  <c r="L29" i="68"/>
  <c r="L30" i="68"/>
  <c r="L31" i="68"/>
  <c r="L32" i="68"/>
  <c r="L33" i="68"/>
  <c r="L34" i="68"/>
  <c r="L35" i="68"/>
  <c r="L36" i="68"/>
  <c r="L37" i="68"/>
  <c r="L38" i="68"/>
  <c r="L39" i="68"/>
  <c r="L40" i="68"/>
  <c r="L41" i="68"/>
  <c r="L42" i="68"/>
  <c r="L43" i="68"/>
  <c r="L44" i="68"/>
  <c r="L45" i="68"/>
  <c r="L46" i="68"/>
  <c r="L47" i="68"/>
  <c r="L48" i="68"/>
  <c r="L49" i="68"/>
  <c r="O18" i="68" s="1"/>
  <c r="L50" i="68"/>
  <c r="L51" i="68"/>
  <c r="L52" i="68"/>
  <c r="L53" i="68"/>
  <c r="L54" i="68"/>
  <c r="L55" i="68"/>
  <c r="L56" i="68"/>
  <c r="L57" i="68"/>
  <c r="L58" i="68"/>
  <c r="L59" i="68"/>
  <c r="L60" i="68"/>
  <c r="L61" i="68"/>
  <c r="L62" i="68"/>
  <c r="L63" i="68"/>
  <c r="L64" i="68"/>
  <c r="L65" i="68"/>
  <c r="L66" i="68"/>
  <c r="L67" i="68"/>
  <c r="L68" i="68"/>
  <c r="L69" i="68"/>
  <c r="L70" i="68"/>
  <c r="L71" i="68"/>
  <c r="M71" i="68"/>
  <c r="M70" i="68"/>
  <c r="M69" i="68"/>
  <c r="M68" i="68"/>
  <c r="M67" i="68"/>
  <c r="M66" i="68"/>
  <c r="M65" i="68"/>
  <c r="M64" i="68"/>
  <c r="M63" i="68"/>
  <c r="M62" i="68"/>
  <c r="M61" i="68"/>
  <c r="M60" i="68"/>
  <c r="M59" i="68"/>
  <c r="M58" i="68"/>
  <c r="M57" i="68"/>
  <c r="M56" i="68"/>
  <c r="M55" i="68"/>
  <c r="M54" i="68"/>
  <c r="O19" i="68"/>
  <c r="M53" i="68"/>
  <c r="M52" i="68"/>
  <c r="M51" i="68"/>
  <c r="M50" i="68"/>
  <c r="M49" i="68"/>
  <c r="M48" i="68"/>
  <c r="M47" i="68"/>
  <c r="M46" i="68"/>
  <c r="M45" i="68"/>
  <c r="M44" i="68"/>
  <c r="M43" i="68"/>
  <c r="M42" i="68"/>
  <c r="M41" i="68"/>
  <c r="M40" i="68"/>
  <c r="M39" i="68"/>
  <c r="M38" i="68"/>
  <c r="M37" i="68"/>
  <c r="M36" i="68"/>
  <c r="M35" i="68"/>
  <c r="M34" i="68"/>
  <c r="M33" i="68"/>
  <c r="M32" i="68"/>
  <c r="M31" i="68"/>
  <c r="O13" i="68"/>
  <c r="M30" i="68"/>
  <c r="M29" i="68"/>
  <c r="M28" i="68"/>
  <c r="M27" i="68"/>
  <c r="M26" i="68"/>
  <c r="M25" i="68"/>
  <c r="M24" i="68"/>
  <c r="M23" i="68"/>
  <c r="M22" i="68"/>
  <c r="M21" i="68"/>
  <c r="M20" i="68"/>
  <c r="M19" i="68"/>
  <c r="M18" i="68"/>
  <c r="M17" i="68"/>
  <c r="M16" i="68"/>
  <c r="M15" i="68"/>
  <c r="M14" i="68"/>
  <c r="M13" i="68"/>
  <c r="M12" i="68"/>
  <c r="M11" i="68"/>
  <c r="M10" i="68"/>
  <c r="M9" i="68"/>
  <c r="M8" i="68"/>
  <c r="L9" i="67"/>
  <c r="L10" i="67"/>
  <c r="L11" i="67"/>
  <c r="L12" i="67"/>
  <c r="L13" i="67"/>
  <c r="L14" i="67"/>
  <c r="L15" i="67"/>
  <c r="L16" i="67"/>
  <c r="L17" i="67"/>
  <c r="L18" i="67"/>
  <c r="L19" i="67"/>
  <c r="L20" i="67"/>
  <c r="L21" i="67"/>
  <c r="L22" i="67"/>
  <c r="L23" i="67"/>
  <c r="L24" i="67"/>
  <c r="L25" i="67"/>
  <c r="L26" i="67"/>
  <c r="L27" i="67"/>
  <c r="L28" i="67"/>
  <c r="L29" i="67"/>
  <c r="L30" i="67"/>
  <c r="L31" i="67"/>
  <c r="L32" i="67"/>
  <c r="L33" i="67"/>
  <c r="L34" i="67"/>
  <c r="L35" i="67"/>
  <c r="L36" i="67"/>
  <c r="L37" i="67"/>
  <c r="L38" i="67"/>
  <c r="L39" i="67"/>
  <c r="L40" i="67"/>
  <c r="L41" i="67"/>
  <c r="L42" i="67"/>
  <c r="L43" i="67"/>
  <c r="L44" i="67"/>
  <c r="L45" i="67"/>
  <c r="L46" i="67"/>
  <c r="L47" i="67"/>
  <c r="L48" i="67"/>
  <c r="L49" i="67"/>
  <c r="L50" i="67"/>
  <c r="L51" i="67"/>
  <c r="L52" i="67"/>
  <c r="L53" i="67"/>
  <c r="L54" i="67"/>
  <c r="L55" i="67"/>
  <c r="L56" i="67"/>
  <c r="L57" i="67"/>
  <c r="L58" i="67"/>
  <c r="L59" i="67"/>
  <c r="L60" i="67"/>
  <c r="L61" i="67"/>
  <c r="L62" i="67"/>
  <c r="L63" i="67"/>
  <c r="L64" i="67"/>
  <c r="L65" i="67"/>
  <c r="L66" i="67"/>
  <c r="L67" i="67"/>
  <c r="L68" i="67"/>
  <c r="L69" i="67"/>
  <c r="L70" i="67"/>
  <c r="L71" i="67"/>
  <c r="L8" i="67"/>
  <c r="M71" i="67"/>
  <c r="M70" i="67"/>
  <c r="M69" i="67"/>
  <c r="M68" i="67"/>
  <c r="M67" i="67"/>
  <c r="M66" i="67"/>
  <c r="M65" i="67"/>
  <c r="M64" i="67"/>
  <c r="M63" i="67"/>
  <c r="M62" i="67"/>
  <c r="M61" i="67"/>
  <c r="M60" i="67"/>
  <c r="M59" i="67"/>
  <c r="M58" i="67"/>
  <c r="M57" i="67"/>
  <c r="M56" i="67"/>
  <c r="M55" i="67"/>
  <c r="M54" i="67"/>
  <c r="M53" i="67"/>
  <c r="M52" i="67"/>
  <c r="M51" i="67"/>
  <c r="M50" i="67"/>
  <c r="M49" i="67"/>
  <c r="M48" i="67"/>
  <c r="M47" i="67"/>
  <c r="M46" i="67"/>
  <c r="M45" i="67"/>
  <c r="R17" i="67"/>
  <c r="M44" i="67"/>
  <c r="M43" i="67"/>
  <c r="M42" i="67"/>
  <c r="M41" i="67"/>
  <c r="M40" i="67"/>
  <c r="M39" i="67"/>
  <c r="M38" i="67"/>
  <c r="R15" i="67"/>
  <c r="M37" i="67"/>
  <c r="M36" i="67"/>
  <c r="M35" i="67"/>
  <c r="M34" i="67"/>
  <c r="M33" i="67"/>
  <c r="M32" i="67"/>
  <c r="M31" i="67"/>
  <c r="M30" i="67"/>
  <c r="M29" i="67"/>
  <c r="M28" i="67"/>
  <c r="M27" i="67"/>
  <c r="M26" i="67"/>
  <c r="M25" i="67"/>
  <c r="M24" i="67"/>
  <c r="M23" i="67"/>
  <c r="M22" i="67"/>
  <c r="M21" i="67"/>
  <c r="M20" i="67"/>
  <c r="M19" i="67"/>
  <c r="M18" i="67"/>
  <c r="M17" i="67"/>
  <c r="M16" i="67"/>
  <c r="M15" i="67"/>
  <c r="M14" i="67"/>
  <c r="M13" i="67"/>
  <c r="M12" i="67"/>
  <c r="M11" i="67"/>
  <c r="M10" i="67"/>
  <c r="M9" i="67"/>
  <c r="M8" i="67"/>
  <c r="L9" i="66"/>
  <c r="L10" i="66"/>
  <c r="L11" i="66"/>
  <c r="L12" i="66"/>
  <c r="L13" i="66"/>
  <c r="L14" i="66"/>
  <c r="L15" i="66"/>
  <c r="L16" i="66"/>
  <c r="L17" i="66"/>
  <c r="L18" i="66"/>
  <c r="L19" i="66"/>
  <c r="L20" i="66"/>
  <c r="L21" i="66"/>
  <c r="L22" i="66"/>
  <c r="L23" i="66"/>
  <c r="L24" i="66"/>
  <c r="L25" i="66"/>
  <c r="L26" i="66"/>
  <c r="L27" i="66"/>
  <c r="L28" i="66"/>
  <c r="L29" i="66"/>
  <c r="L30" i="66"/>
  <c r="L31" i="66"/>
  <c r="L32" i="66"/>
  <c r="L33" i="66"/>
  <c r="L34" i="66"/>
  <c r="L35" i="66"/>
  <c r="L36" i="66"/>
  <c r="L37" i="66"/>
  <c r="L38" i="66"/>
  <c r="L39" i="66"/>
  <c r="L40" i="66"/>
  <c r="L41" i="66"/>
  <c r="L42" i="66"/>
  <c r="L43" i="66"/>
  <c r="L44" i="66"/>
  <c r="L45" i="66"/>
  <c r="L46" i="66"/>
  <c r="L47" i="66"/>
  <c r="L48" i="66"/>
  <c r="L49" i="66"/>
  <c r="L50" i="66"/>
  <c r="L51" i="66"/>
  <c r="L52" i="66"/>
  <c r="L53" i="66"/>
  <c r="L54" i="66"/>
  <c r="L55" i="66"/>
  <c r="L56" i="66"/>
  <c r="L57" i="66"/>
  <c r="L58" i="66"/>
  <c r="L59" i="66"/>
  <c r="O20" i="66" s="1"/>
  <c r="L60" i="66"/>
  <c r="L61" i="66"/>
  <c r="L62" i="66"/>
  <c r="L63" i="66"/>
  <c r="L64" i="66"/>
  <c r="L65" i="66"/>
  <c r="L66" i="66"/>
  <c r="L67" i="66"/>
  <c r="L68" i="66"/>
  <c r="L69" i="66"/>
  <c r="L70" i="66"/>
  <c r="L71" i="66"/>
  <c r="L8" i="66"/>
  <c r="M71" i="66"/>
  <c r="M70" i="66"/>
  <c r="M69" i="66"/>
  <c r="M68" i="66"/>
  <c r="M67" i="66"/>
  <c r="M66" i="66"/>
  <c r="M65" i="66"/>
  <c r="M64" i="66"/>
  <c r="M63" i="66"/>
  <c r="M62" i="66"/>
  <c r="M61" i="66"/>
  <c r="M60" i="66"/>
  <c r="M59" i="66"/>
  <c r="M58" i="66"/>
  <c r="M57" i="66"/>
  <c r="M56" i="66"/>
  <c r="M55" i="66"/>
  <c r="M54" i="66"/>
  <c r="M53" i="66"/>
  <c r="M52" i="66"/>
  <c r="M51" i="66"/>
  <c r="M50" i="66"/>
  <c r="M49" i="66"/>
  <c r="M48" i="66"/>
  <c r="M47" i="66"/>
  <c r="M46" i="66"/>
  <c r="M45" i="66"/>
  <c r="M44" i="66"/>
  <c r="M43" i="66"/>
  <c r="M42" i="66"/>
  <c r="M41" i="66"/>
  <c r="M40" i="66"/>
  <c r="M39" i="66"/>
  <c r="M38" i="66"/>
  <c r="M37" i="66"/>
  <c r="M36" i="66"/>
  <c r="M35" i="66"/>
  <c r="M34" i="66"/>
  <c r="M33" i="66"/>
  <c r="M32" i="66"/>
  <c r="M31" i="66"/>
  <c r="M30" i="66"/>
  <c r="M29" i="66"/>
  <c r="M28" i="66"/>
  <c r="M27" i="66"/>
  <c r="M26" i="66"/>
  <c r="M25" i="66"/>
  <c r="M24" i="66"/>
  <c r="M23" i="66"/>
  <c r="M22" i="66"/>
  <c r="M21" i="66"/>
  <c r="M20" i="66"/>
  <c r="M19" i="66"/>
  <c r="M18" i="66"/>
  <c r="M17" i="66"/>
  <c r="M16" i="66"/>
  <c r="M15" i="66"/>
  <c r="M14" i="66"/>
  <c r="M13" i="66"/>
  <c r="M12" i="66"/>
  <c r="M11" i="66"/>
  <c r="M10" i="66"/>
  <c r="M9" i="66"/>
  <c r="M8" i="66"/>
  <c r="L9" i="65"/>
  <c r="L10" i="65"/>
  <c r="L11" i="65"/>
  <c r="L12" i="65"/>
  <c r="L13" i="65"/>
  <c r="L14" i="65"/>
  <c r="L15" i="65"/>
  <c r="L16" i="65"/>
  <c r="L17" i="65"/>
  <c r="L18" i="65"/>
  <c r="L19" i="65"/>
  <c r="L20" i="65"/>
  <c r="L21" i="65"/>
  <c r="L22" i="65"/>
  <c r="L23" i="65"/>
  <c r="L24" i="65"/>
  <c r="L25" i="65"/>
  <c r="L26" i="65"/>
  <c r="L27" i="65"/>
  <c r="L28" i="65"/>
  <c r="L29" i="65"/>
  <c r="L30" i="65"/>
  <c r="L31" i="65"/>
  <c r="L32" i="65"/>
  <c r="L33" i="65"/>
  <c r="L34" i="65"/>
  <c r="L35" i="65"/>
  <c r="L36" i="65"/>
  <c r="L37" i="65"/>
  <c r="L38" i="65"/>
  <c r="L39" i="65"/>
  <c r="L40" i="65"/>
  <c r="L41" i="65"/>
  <c r="L42" i="65"/>
  <c r="L43" i="65"/>
  <c r="L44" i="65"/>
  <c r="L45" i="65"/>
  <c r="L46" i="65"/>
  <c r="L47" i="65"/>
  <c r="L48" i="65"/>
  <c r="L49" i="65"/>
  <c r="L50" i="65"/>
  <c r="L51" i="65"/>
  <c r="L52" i="65"/>
  <c r="L53" i="65"/>
  <c r="L54" i="65"/>
  <c r="L55" i="65"/>
  <c r="L56" i="65"/>
  <c r="L57" i="65"/>
  <c r="L58" i="65"/>
  <c r="L59" i="65"/>
  <c r="L60" i="65"/>
  <c r="L61" i="65"/>
  <c r="L62" i="65"/>
  <c r="L63" i="65"/>
  <c r="L64" i="65"/>
  <c r="L65" i="65"/>
  <c r="L66" i="65"/>
  <c r="L67" i="65"/>
  <c r="L68" i="65"/>
  <c r="L69" i="65"/>
  <c r="L70" i="65"/>
  <c r="L71" i="65"/>
  <c r="L8" i="65"/>
  <c r="M71" i="65"/>
  <c r="M70" i="65"/>
  <c r="M69" i="65"/>
  <c r="M68" i="65"/>
  <c r="M67" i="65"/>
  <c r="O22" i="65"/>
  <c r="M66" i="65"/>
  <c r="M65" i="65"/>
  <c r="M64" i="65"/>
  <c r="M63" i="65"/>
  <c r="M62" i="65"/>
  <c r="M61" i="65"/>
  <c r="M60" i="65"/>
  <c r="M59" i="65"/>
  <c r="M58" i="65"/>
  <c r="M57" i="65"/>
  <c r="M56" i="65"/>
  <c r="M55" i="65"/>
  <c r="M54" i="65"/>
  <c r="M53" i="65"/>
  <c r="M52" i="65"/>
  <c r="M51" i="65"/>
  <c r="M50" i="65"/>
  <c r="M49" i="65"/>
  <c r="M48" i="65"/>
  <c r="M47" i="65"/>
  <c r="M46" i="65"/>
  <c r="M45" i="65"/>
  <c r="M44" i="65"/>
  <c r="M43" i="65"/>
  <c r="M42" i="65"/>
  <c r="M41" i="65"/>
  <c r="M40" i="65"/>
  <c r="M39" i="65"/>
  <c r="M38" i="65"/>
  <c r="M37" i="65"/>
  <c r="M36" i="65"/>
  <c r="M35" i="65"/>
  <c r="M34" i="65"/>
  <c r="M33" i="65"/>
  <c r="M32" i="65"/>
  <c r="M31" i="65"/>
  <c r="M30" i="65"/>
  <c r="M29" i="65"/>
  <c r="M28" i="65"/>
  <c r="M27" i="65"/>
  <c r="M26" i="65"/>
  <c r="M25" i="65"/>
  <c r="M24" i="65"/>
  <c r="M23" i="65"/>
  <c r="M22" i="65"/>
  <c r="M21" i="65"/>
  <c r="M20" i="65"/>
  <c r="M19" i="65"/>
  <c r="M18" i="65"/>
  <c r="M17" i="65"/>
  <c r="M16" i="65"/>
  <c r="M15" i="65"/>
  <c r="M14" i="65"/>
  <c r="M13" i="65"/>
  <c r="M12" i="65"/>
  <c r="M11" i="65"/>
  <c r="M10" i="65"/>
  <c r="M9" i="65"/>
  <c r="M8" i="65"/>
  <c r="L9" i="64"/>
  <c r="L10" i="64"/>
  <c r="L11" i="64"/>
  <c r="L12" i="64"/>
  <c r="L13" i="64"/>
  <c r="L14" i="64"/>
  <c r="L15" i="64"/>
  <c r="L16" i="64"/>
  <c r="L17" i="64"/>
  <c r="L18" i="64"/>
  <c r="L19" i="64"/>
  <c r="L20" i="64"/>
  <c r="L21" i="64"/>
  <c r="O11" i="64" s="1"/>
  <c r="L22" i="64"/>
  <c r="L23" i="64"/>
  <c r="L24" i="64"/>
  <c r="L25" i="64"/>
  <c r="L26" i="64"/>
  <c r="L27" i="64"/>
  <c r="L28" i="64"/>
  <c r="L29" i="64"/>
  <c r="O13" i="64" s="1"/>
  <c r="L30" i="64"/>
  <c r="L31" i="64"/>
  <c r="L32" i="64"/>
  <c r="L33" i="64"/>
  <c r="L34" i="64"/>
  <c r="L35" i="64"/>
  <c r="L36" i="64"/>
  <c r="L37" i="64"/>
  <c r="L38" i="64"/>
  <c r="L39" i="64"/>
  <c r="L40" i="64"/>
  <c r="L41" i="64"/>
  <c r="L42" i="64"/>
  <c r="L43" i="64"/>
  <c r="L44" i="64"/>
  <c r="L45" i="64"/>
  <c r="L46" i="64"/>
  <c r="L47" i="64"/>
  <c r="L48" i="64"/>
  <c r="L49" i="64"/>
  <c r="L50" i="64"/>
  <c r="L51" i="64"/>
  <c r="L52" i="64"/>
  <c r="L53" i="64"/>
  <c r="L54" i="64"/>
  <c r="L55" i="64"/>
  <c r="L56" i="64"/>
  <c r="L57" i="64"/>
  <c r="L58" i="64"/>
  <c r="L59" i="64"/>
  <c r="L60" i="64"/>
  <c r="L61" i="64"/>
  <c r="L62" i="64"/>
  <c r="L63" i="64"/>
  <c r="L64" i="64"/>
  <c r="L65" i="64"/>
  <c r="L66" i="64"/>
  <c r="L67" i="64"/>
  <c r="L68" i="64"/>
  <c r="L69" i="64"/>
  <c r="L70" i="64"/>
  <c r="L71" i="64"/>
  <c r="L8" i="64"/>
  <c r="M71" i="64"/>
  <c r="M70" i="64"/>
  <c r="M69" i="64"/>
  <c r="M68" i="64"/>
  <c r="M67" i="64"/>
  <c r="M66" i="64"/>
  <c r="M65" i="64"/>
  <c r="M64" i="64"/>
  <c r="M63" i="64"/>
  <c r="M62" i="64"/>
  <c r="M61" i="64"/>
  <c r="M60" i="64"/>
  <c r="M59" i="64"/>
  <c r="M58" i="64"/>
  <c r="M57" i="64"/>
  <c r="M56" i="64"/>
  <c r="M55" i="64"/>
  <c r="M54" i="64"/>
  <c r="M53" i="64"/>
  <c r="M52" i="64"/>
  <c r="M51" i="64"/>
  <c r="M50" i="64"/>
  <c r="M49" i="64"/>
  <c r="M48" i="64"/>
  <c r="M47" i="64"/>
  <c r="M46" i="64"/>
  <c r="M45" i="64"/>
  <c r="M44" i="64"/>
  <c r="M43" i="64"/>
  <c r="M42" i="64"/>
  <c r="M41" i="64"/>
  <c r="M40" i="64"/>
  <c r="M39" i="64"/>
  <c r="M38" i="64"/>
  <c r="M37" i="64"/>
  <c r="M36" i="64"/>
  <c r="M35" i="64"/>
  <c r="M34" i="64"/>
  <c r="M33" i="64"/>
  <c r="M32" i="64"/>
  <c r="M31" i="64"/>
  <c r="M30" i="64"/>
  <c r="M29" i="64"/>
  <c r="M28" i="64"/>
  <c r="M27" i="64"/>
  <c r="M26" i="64"/>
  <c r="M25" i="64"/>
  <c r="M24" i="64"/>
  <c r="M23" i="64"/>
  <c r="M22" i="64"/>
  <c r="M21" i="64"/>
  <c r="M20" i="64"/>
  <c r="M19" i="64"/>
  <c r="M18" i="64"/>
  <c r="M17" i="64"/>
  <c r="M16" i="64"/>
  <c r="M15" i="64"/>
  <c r="M14" i="64"/>
  <c r="M13" i="64"/>
  <c r="M12" i="64"/>
  <c r="M11" i="64"/>
  <c r="M10" i="64"/>
  <c r="M9" i="64"/>
  <c r="M8" i="64"/>
  <c r="L9" i="63"/>
  <c r="L10" i="63"/>
  <c r="L11" i="63"/>
  <c r="L12" i="63"/>
  <c r="L13" i="63"/>
  <c r="L14" i="63"/>
  <c r="L15" i="63"/>
  <c r="L16" i="63"/>
  <c r="L17" i="63"/>
  <c r="R10" i="63" s="1"/>
  <c r="L18" i="63"/>
  <c r="L19" i="63"/>
  <c r="L20" i="63"/>
  <c r="L21" i="63"/>
  <c r="L22" i="63"/>
  <c r="L23" i="63"/>
  <c r="L24" i="63"/>
  <c r="L25" i="63"/>
  <c r="R12" i="63" s="1"/>
  <c r="L26" i="63"/>
  <c r="L27" i="63"/>
  <c r="L28" i="63"/>
  <c r="L29" i="63"/>
  <c r="L30" i="63"/>
  <c r="L31" i="63"/>
  <c r="L32" i="63"/>
  <c r="L33" i="63"/>
  <c r="L34" i="63"/>
  <c r="L35" i="63"/>
  <c r="L36" i="63"/>
  <c r="L37" i="63"/>
  <c r="L38" i="63"/>
  <c r="L39" i="63"/>
  <c r="L40" i="63"/>
  <c r="L41" i="63"/>
  <c r="L42" i="63"/>
  <c r="L43" i="63"/>
  <c r="L44" i="63"/>
  <c r="L45" i="63"/>
  <c r="L46" i="63"/>
  <c r="L47" i="63"/>
  <c r="L48" i="63"/>
  <c r="L49" i="63"/>
  <c r="R18" i="63" s="1"/>
  <c r="L50" i="63"/>
  <c r="L51" i="63"/>
  <c r="L52" i="63"/>
  <c r="R19" i="63" s="1"/>
  <c r="L53" i="63"/>
  <c r="L54" i="63"/>
  <c r="L55" i="63"/>
  <c r="L56" i="63"/>
  <c r="L57" i="63"/>
  <c r="L58" i="63"/>
  <c r="L59" i="63"/>
  <c r="L60" i="63"/>
  <c r="L61" i="63"/>
  <c r="R21" i="63" s="1"/>
  <c r="L62" i="63"/>
  <c r="L63" i="63"/>
  <c r="L64" i="63"/>
  <c r="L65" i="63"/>
  <c r="R22" i="63" s="1"/>
  <c r="L66" i="63"/>
  <c r="L67" i="63"/>
  <c r="L68" i="63"/>
  <c r="L69" i="63"/>
  <c r="L70" i="63"/>
  <c r="L71" i="63"/>
  <c r="L8" i="63"/>
  <c r="M71" i="63"/>
  <c r="M70" i="63"/>
  <c r="M69" i="63"/>
  <c r="M68" i="63"/>
  <c r="M67" i="63"/>
  <c r="M66" i="63"/>
  <c r="M65" i="63"/>
  <c r="M64" i="63"/>
  <c r="M63" i="63"/>
  <c r="M62" i="63"/>
  <c r="M61" i="63"/>
  <c r="M60" i="63"/>
  <c r="M59" i="63"/>
  <c r="M58" i="63"/>
  <c r="M57" i="63"/>
  <c r="M56" i="63"/>
  <c r="M55" i="63"/>
  <c r="M54" i="63"/>
  <c r="M53" i="63"/>
  <c r="M52" i="63"/>
  <c r="M51" i="63"/>
  <c r="M50" i="63"/>
  <c r="M49" i="63"/>
  <c r="M48" i="63"/>
  <c r="M47" i="63"/>
  <c r="M46" i="63"/>
  <c r="M45" i="63"/>
  <c r="M44" i="63"/>
  <c r="M43" i="63"/>
  <c r="M42" i="63"/>
  <c r="M41" i="63"/>
  <c r="M40" i="63"/>
  <c r="M39" i="63"/>
  <c r="M38" i="63"/>
  <c r="M37" i="63"/>
  <c r="M36" i="63"/>
  <c r="M35" i="63"/>
  <c r="M34" i="63"/>
  <c r="M33" i="63"/>
  <c r="M32" i="63"/>
  <c r="M31" i="63"/>
  <c r="M30" i="63"/>
  <c r="M29" i="63"/>
  <c r="M28" i="63"/>
  <c r="M27" i="63"/>
  <c r="M26" i="63"/>
  <c r="M25" i="63"/>
  <c r="M24" i="63"/>
  <c r="M23" i="63"/>
  <c r="M22" i="63"/>
  <c r="M21" i="63"/>
  <c r="M20" i="63"/>
  <c r="M19" i="63"/>
  <c r="M18" i="63"/>
  <c r="M17" i="63"/>
  <c r="M16" i="63"/>
  <c r="M15" i="63"/>
  <c r="M14" i="63"/>
  <c r="M13" i="63"/>
  <c r="M12" i="63"/>
  <c r="M11" i="63"/>
  <c r="M10" i="63"/>
  <c r="M9" i="63"/>
  <c r="M8" i="63"/>
  <c r="L9" i="62"/>
  <c r="L10" i="62"/>
  <c r="L11" i="62"/>
  <c r="L12" i="62"/>
  <c r="L13" i="62"/>
  <c r="L14" i="62"/>
  <c r="L15" i="62"/>
  <c r="L16" i="62"/>
  <c r="L17" i="62"/>
  <c r="L18" i="62"/>
  <c r="L19" i="62"/>
  <c r="L20" i="62"/>
  <c r="L21" i="62"/>
  <c r="L22" i="62"/>
  <c r="L23" i="62"/>
  <c r="L24" i="62"/>
  <c r="L25" i="62"/>
  <c r="L26" i="62"/>
  <c r="L27" i="62"/>
  <c r="L28" i="62"/>
  <c r="L29" i="62"/>
  <c r="L30" i="62"/>
  <c r="L31" i="62"/>
  <c r="L32" i="62"/>
  <c r="L33" i="62"/>
  <c r="L34" i="62"/>
  <c r="L35" i="62"/>
  <c r="L36" i="62"/>
  <c r="L37" i="62"/>
  <c r="L38" i="62"/>
  <c r="L39" i="62"/>
  <c r="L40" i="62"/>
  <c r="O16" i="62" s="1"/>
  <c r="L41" i="62"/>
  <c r="L42" i="62"/>
  <c r="L43" i="62"/>
  <c r="L44" i="62"/>
  <c r="L45" i="62"/>
  <c r="L46" i="62"/>
  <c r="L47" i="62"/>
  <c r="L48" i="62"/>
  <c r="L49" i="62"/>
  <c r="L50" i="62"/>
  <c r="L51" i="62"/>
  <c r="L52" i="62"/>
  <c r="L53" i="62"/>
  <c r="L54" i="62"/>
  <c r="L55" i="62"/>
  <c r="L56" i="62"/>
  <c r="L57" i="62"/>
  <c r="L58" i="62"/>
  <c r="L59" i="62"/>
  <c r="L60" i="62"/>
  <c r="L61" i="62"/>
  <c r="L62" i="62"/>
  <c r="L63" i="62"/>
  <c r="L64" i="62"/>
  <c r="L65" i="62"/>
  <c r="L66" i="62"/>
  <c r="L67" i="62"/>
  <c r="L68" i="62"/>
  <c r="L69" i="62"/>
  <c r="L70" i="62"/>
  <c r="L71" i="62"/>
  <c r="L8" i="62"/>
  <c r="M71" i="62"/>
  <c r="M70" i="62"/>
  <c r="M69" i="62"/>
  <c r="M68" i="62"/>
  <c r="M67" i="62"/>
  <c r="M66" i="62"/>
  <c r="M65" i="62"/>
  <c r="M64" i="62"/>
  <c r="M63" i="62"/>
  <c r="M62" i="62"/>
  <c r="M61" i="62"/>
  <c r="M60" i="62"/>
  <c r="M59" i="62"/>
  <c r="M58" i="62"/>
  <c r="M57" i="62"/>
  <c r="M56" i="62"/>
  <c r="M55" i="62"/>
  <c r="M54" i="62"/>
  <c r="M53" i="62"/>
  <c r="M52" i="62"/>
  <c r="M51" i="62"/>
  <c r="M50" i="62"/>
  <c r="M49" i="62"/>
  <c r="M48" i="62"/>
  <c r="M47" i="62"/>
  <c r="M46" i="62"/>
  <c r="M45" i="62"/>
  <c r="M44" i="62"/>
  <c r="M43" i="62"/>
  <c r="M42" i="62"/>
  <c r="M41" i="62"/>
  <c r="M40" i="62"/>
  <c r="M39" i="62"/>
  <c r="M38" i="62"/>
  <c r="M37" i="62"/>
  <c r="M36" i="62"/>
  <c r="M35" i="62"/>
  <c r="M34" i="62"/>
  <c r="M33" i="62"/>
  <c r="M32" i="62"/>
  <c r="M31" i="62"/>
  <c r="M30" i="62"/>
  <c r="M29" i="62"/>
  <c r="M28" i="62"/>
  <c r="M27" i="62"/>
  <c r="M26" i="62"/>
  <c r="M25" i="62"/>
  <c r="M24" i="62"/>
  <c r="M23" i="62"/>
  <c r="M22" i="62"/>
  <c r="M21" i="62"/>
  <c r="M20" i="62"/>
  <c r="M19" i="62"/>
  <c r="M18" i="62"/>
  <c r="M17" i="62"/>
  <c r="M16" i="62"/>
  <c r="M15" i="62"/>
  <c r="M14" i="62"/>
  <c r="M13" i="62"/>
  <c r="M12" i="62"/>
  <c r="M11" i="62"/>
  <c r="M10" i="62"/>
  <c r="M9" i="62"/>
  <c r="M8" i="62"/>
  <c r="L9" i="61"/>
  <c r="L10" i="61"/>
  <c r="L11" i="61"/>
  <c r="L12" i="61"/>
  <c r="L13" i="61"/>
  <c r="L14" i="61"/>
  <c r="L15" i="61"/>
  <c r="L16" i="61"/>
  <c r="L17" i="61"/>
  <c r="L18" i="61"/>
  <c r="L19" i="61"/>
  <c r="L20" i="61"/>
  <c r="L21" i="61"/>
  <c r="L22" i="61"/>
  <c r="L23" i="61"/>
  <c r="L24" i="61"/>
  <c r="L25" i="61"/>
  <c r="L26" i="61"/>
  <c r="L27" i="61"/>
  <c r="L28" i="61"/>
  <c r="L29" i="61"/>
  <c r="L30" i="61"/>
  <c r="L31" i="61"/>
  <c r="L32" i="61"/>
  <c r="L33" i="61"/>
  <c r="L34" i="61"/>
  <c r="L35" i="61"/>
  <c r="L36" i="61"/>
  <c r="L37" i="61"/>
  <c r="L38" i="61"/>
  <c r="L39" i="61"/>
  <c r="L40" i="61"/>
  <c r="L41" i="61"/>
  <c r="L42" i="61"/>
  <c r="L43" i="61"/>
  <c r="L44" i="61"/>
  <c r="L45" i="61"/>
  <c r="L46" i="61"/>
  <c r="L47" i="61"/>
  <c r="L48" i="61"/>
  <c r="L49" i="61"/>
  <c r="L50" i="61"/>
  <c r="L51" i="61"/>
  <c r="L52" i="61"/>
  <c r="L53" i="61"/>
  <c r="L54" i="61"/>
  <c r="L55" i="61"/>
  <c r="L56" i="61"/>
  <c r="L57" i="61"/>
  <c r="L58" i="61"/>
  <c r="L59" i="61"/>
  <c r="L60" i="61"/>
  <c r="L61" i="61"/>
  <c r="L62" i="61"/>
  <c r="L63" i="61"/>
  <c r="L64" i="61"/>
  <c r="L65" i="61"/>
  <c r="L66" i="61"/>
  <c r="L67" i="61"/>
  <c r="L68" i="61"/>
  <c r="L69" i="61"/>
  <c r="L70" i="61"/>
  <c r="L71" i="61"/>
  <c r="L8" i="61"/>
  <c r="R22" i="67" l="1"/>
  <c r="R12" i="67"/>
  <c r="O11" i="65"/>
  <c r="O20" i="62"/>
  <c r="O16" i="68"/>
  <c r="R23" i="69"/>
  <c r="R24" i="69" s="1"/>
  <c r="R26" i="69"/>
  <c r="O20" i="65"/>
  <c r="O18" i="66"/>
  <c r="O16" i="66"/>
  <c r="O24" i="68"/>
  <c r="O22" i="62"/>
  <c r="O18" i="62"/>
  <c r="O14" i="62"/>
  <c r="O13" i="62"/>
  <c r="O10" i="62"/>
  <c r="O8" i="62"/>
  <c r="R14" i="63"/>
  <c r="R9" i="63"/>
  <c r="O18" i="64"/>
  <c r="O10" i="64"/>
  <c r="O15" i="65"/>
  <c r="O14" i="65"/>
  <c r="O22" i="66"/>
  <c r="O14" i="66"/>
  <c r="O13" i="66"/>
  <c r="O12" i="66"/>
  <c r="M73" i="62"/>
  <c r="M73" i="66"/>
  <c r="M73" i="63"/>
  <c r="M73" i="64"/>
  <c r="M73" i="67"/>
  <c r="O10" i="68"/>
  <c r="M73" i="68"/>
  <c r="M73" i="65"/>
  <c r="O21" i="65"/>
  <c r="O19" i="65"/>
  <c r="O18" i="65"/>
  <c r="O25" i="65" s="1"/>
  <c r="O17" i="65"/>
  <c r="O16" i="65"/>
  <c r="O13" i="65"/>
  <c r="O10" i="65"/>
  <c r="O21" i="68"/>
  <c r="O20" i="68"/>
  <c r="O25" i="68" s="1"/>
  <c r="O17" i="68"/>
  <c r="O15" i="68"/>
  <c r="O14" i="68"/>
  <c r="O12" i="68"/>
  <c r="O11" i="68"/>
  <c r="O21" i="62"/>
  <c r="O19" i="62"/>
  <c r="O17" i="62"/>
  <c r="O15" i="62"/>
  <c r="R20" i="63"/>
  <c r="R27" i="63" s="1"/>
  <c r="R16" i="63"/>
  <c r="R15" i="63"/>
  <c r="R13" i="63"/>
  <c r="O22" i="64"/>
  <c r="O21" i="64"/>
  <c r="O19" i="64"/>
  <c r="O17" i="64"/>
  <c r="O16" i="64"/>
  <c r="O15" i="64"/>
  <c r="O14" i="64"/>
  <c r="O12" i="64"/>
  <c r="O9" i="64"/>
  <c r="O21" i="66"/>
  <c r="O19" i="66"/>
  <c r="O17" i="66"/>
  <c r="O15" i="66"/>
  <c r="O10" i="66"/>
  <c r="O8" i="66"/>
  <c r="R21" i="67"/>
  <c r="R20" i="67"/>
  <c r="R19" i="67"/>
  <c r="R18" i="67"/>
  <c r="R16" i="67"/>
  <c r="R13" i="67"/>
  <c r="R10" i="67"/>
  <c r="O22" i="68"/>
  <c r="M72" i="68"/>
  <c r="O8" i="68"/>
  <c r="L72" i="68"/>
  <c r="R14" i="67"/>
  <c r="R11" i="67"/>
  <c r="R9" i="67"/>
  <c r="M72" i="67"/>
  <c r="R8" i="67"/>
  <c r="L72" i="67"/>
  <c r="L72" i="66"/>
  <c r="O9" i="66"/>
  <c r="O24" i="66" s="1"/>
  <c r="O11" i="66"/>
  <c r="M72" i="66"/>
  <c r="O12" i="65"/>
  <c r="O9" i="65"/>
  <c r="O24" i="65" s="1"/>
  <c r="M72" i="65"/>
  <c r="O8" i="65"/>
  <c r="L72" i="65"/>
  <c r="O20" i="64"/>
  <c r="M72" i="64"/>
  <c r="O8" i="64"/>
  <c r="L72" i="64"/>
  <c r="R17" i="63"/>
  <c r="R11" i="63"/>
  <c r="M72" i="63"/>
  <c r="R8" i="63"/>
  <c r="L72" i="63"/>
  <c r="O12" i="62"/>
  <c r="L72" i="62"/>
  <c r="O9" i="62"/>
  <c r="O24" i="62" s="1"/>
  <c r="O11" i="62"/>
  <c r="M72" i="62"/>
  <c r="M71" i="61"/>
  <c r="M70" i="61"/>
  <c r="M69" i="61"/>
  <c r="M68" i="61"/>
  <c r="M67" i="61"/>
  <c r="M66" i="61"/>
  <c r="M65" i="61"/>
  <c r="M64" i="61"/>
  <c r="M63" i="61"/>
  <c r="M62" i="61"/>
  <c r="M61" i="61"/>
  <c r="M60" i="61"/>
  <c r="M59" i="61"/>
  <c r="M58" i="61"/>
  <c r="M57" i="61"/>
  <c r="M56" i="61"/>
  <c r="M55" i="61"/>
  <c r="M54" i="61"/>
  <c r="M53" i="61"/>
  <c r="M52" i="61"/>
  <c r="M51" i="61"/>
  <c r="M50" i="61"/>
  <c r="M49" i="61"/>
  <c r="M48" i="61"/>
  <c r="O18" i="61"/>
  <c r="M47" i="61"/>
  <c r="O17" i="61"/>
  <c r="M46" i="61"/>
  <c r="M45" i="61"/>
  <c r="M44" i="61"/>
  <c r="M43" i="61"/>
  <c r="M42" i="61"/>
  <c r="M41" i="61"/>
  <c r="M40" i="61"/>
  <c r="O16" i="61"/>
  <c r="M39" i="61"/>
  <c r="M38" i="61"/>
  <c r="M37" i="61"/>
  <c r="M36" i="61"/>
  <c r="M35" i="61"/>
  <c r="M34" i="61"/>
  <c r="M33" i="61"/>
  <c r="M32" i="61"/>
  <c r="O14" i="61"/>
  <c r="M31" i="61"/>
  <c r="M30" i="61"/>
  <c r="O13" i="61"/>
  <c r="M29" i="61"/>
  <c r="M28" i="61"/>
  <c r="M25" i="61"/>
  <c r="M24" i="61"/>
  <c r="O12" i="61"/>
  <c r="M23" i="61"/>
  <c r="M22" i="61"/>
  <c r="M21" i="61"/>
  <c r="M20" i="61"/>
  <c r="M19" i="61"/>
  <c r="M18" i="61"/>
  <c r="M17" i="61"/>
  <c r="M16" i="61"/>
  <c r="O15" i="61"/>
  <c r="M15" i="61"/>
  <c r="M14" i="61"/>
  <c r="M13" i="61"/>
  <c r="M12" i="61"/>
  <c r="M11" i="61"/>
  <c r="O10" i="61"/>
  <c r="M10" i="61"/>
  <c r="M9" i="61"/>
  <c r="M8" i="61"/>
  <c r="O8" i="61"/>
  <c r="L9" i="60"/>
  <c r="L10" i="60"/>
  <c r="L11" i="60"/>
  <c r="L12" i="60"/>
  <c r="L13" i="60"/>
  <c r="L14" i="60"/>
  <c r="L15" i="60"/>
  <c r="L16" i="60"/>
  <c r="L17" i="60"/>
  <c r="L18" i="60"/>
  <c r="L19" i="60"/>
  <c r="L20" i="60"/>
  <c r="L21" i="60"/>
  <c r="L22" i="60"/>
  <c r="L23" i="60"/>
  <c r="L24" i="60"/>
  <c r="L25" i="60"/>
  <c r="L26" i="60"/>
  <c r="L27" i="60"/>
  <c r="L28" i="60"/>
  <c r="L29" i="60"/>
  <c r="L30" i="60"/>
  <c r="L31" i="60"/>
  <c r="L32" i="60"/>
  <c r="L33" i="60"/>
  <c r="L34" i="60"/>
  <c r="L35" i="60"/>
  <c r="L36" i="60"/>
  <c r="L37" i="60"/>
  <c r="L38" i="60"/>
  <c r="L39" i="60"/>
  <c r="L40" i="60"/>
  <c r="L41" i="60"/>
  <c r="L42" i="60"/>
  <c r="L43" i="60"/>
  <c r="L44" i="60"/>
  <c r="L45" i="60"/>
  <c r="L46" i="60"/>
  <c r="L47" i="60"/>
  <c r="L48" i="60"/>
  <c r="L49" i="60"/>
  <c r="L50" i="60"/>
  <c r="L51" i="60"/>
  <c r="L52" i="60"/>
  <c r="L53" i="60"/>
  <c r="L54" i="60"/>
  <c r="L55" i="60"/>
  <c r="L56" i="60"/>
  <c r="L57" i="60"/>
  <c r="L58" i="60"/>
  <c r="L59" i="60"/>
  <c r="L60" i="60"/>
  <c r="L61" i="60"/>
  <c r="L62" i="60"/>
  <c r="L63" i="60"/>
  <c r="L64" i="60"/>
  <c r="L65" i="60"/>
  <c r="L66" i="60"/>
  <c r="L67" i="60"/>
  <c r="L68" i="60"/>
  <c r="L69" i="60"/>
  <c r="L70" i="60"/>
  <c r="L71" i="60"/>
  <c r="L8" i="60"/>
  <c r="O25" i="62" l="1"/>
  <c r="R27" i="67"/>
  <c r="O25" i="64"/>
  <c r="R23" i="63"/>
  <c r="R24" i="63" s="1"/>
  <c r="R26" i="63"/>
  <c r="O24" i="64"/>
  <c r="O25" i="66"/>
  <c r="R23" i="67"/>
  <c r="R24" i="67" s="1"/>
  <c r="R26" i="67"/>
  <c r="M73" i="61"/>
  <c r="O22" i="61"/>
  <c r="O21" i="61"/>
  <c r="O20" i="61"/>
  <c r="O19" i="61"/>
  <c r="O25" i="61" s="1"/>
  <c r="L72" i="61"/>
  <c r="O9" i="61"/>
  <c r="O24" i="61" s="1"/>
  <c r="O11" i="61"/>
  <c r="M72" i="61"/>
  <c r="M71" i="60"/>
  <c r="M70" i="60"/>
  <c r="M69" i="60"/>
  <c r="M68" i="60"/>
  <c r="M67" i="60"/>
  <c r="O22" i="60"/>
  <c r="M66" i="60"/>
  <c r="M65" i="60"/>
  <c r="M64" i="60"/>
  <c r="M63" i="60"/>
  <c r="M62" i="60"/>
  <c r="M61" i="60"/>
  <c r="M60" i="60"/>
  <c r="M59" i="60"/>
  <c r="O20" i="60"/>
  <c r="M58" i="60"/>
  <c r="M57" i="60"/>
  <c r="M56" i="60"/>
  <c r="M55" i="60"/>
  <c r="M54" i="60"/>
  <c r="M53" i="60"/>
  <c r="M52" i="60"/>
  <c r="M51" i="60"/>
  <c r="O18" i="60"/>
  <c r="M50" i="60"/>
  <c r="M49" i="60"/>
  <c r="M48" i="60"/>
  <c r="M47" i="60"/>
  <c r="M46" i="60"/>
  <c r="M45" i="60"/>
  <c r="M44" i="60"/>
  <c r="M43" i="60"/>
  <c r="O16" i="60"/>
  <c r="M42" i="60"/>
  <c r="M41" i="60"/>
  <c r="M40" i="60"/>
  <c r="M39" i="60"/>
  <c r="O15" i="60"/>
  <c r="M38" i="60"/>
  <c r="M37" i="60"/>
  <c r="M36" i="60"/>
  <c r="M35" i="60"/>
  <c r="O14" i="60"/>
  <c r="M34" i="60"/>
  <c r="M33" i="60"/>
  <c r="M32" i="60"/>
  <c r="M31" i="60"/>
  <c r="O13" i="60"/>
  <c r="M30" i="60"/>
  <c r="M29" i="60"/>
  <c r="M28" i="60"/>
  <c r="M27" i="60"/>
  <c r="O12" i="60"/>
  <c r="M26" i="60"/>
  <c r="M25" i="60"/>
  <c r="M24" i="60"/>
  <c r="M23" i="60"/>
  <c r="M22" i="60"/>
  <c r="M21" i="60"/>
  <c r="M20" i="60"/>
  <c r="M19" i="60"/>
  <c r="M18" i="60"/>
  <c r="O10" i="60"/>
  <c r="M17" i="60"/>
  <c r="M16" i="60"/>
  <c r="M15" i="60"/>
  <c r="M14" i="60"/>
  <c r="M13" i="60"/>
  <c r="M12" i="60"/>
  <c r="M11" i="60"/>
  <c r="M10" i="60"/>
  <c r="M9" i="60"/>
  <c r="M8" i="60"/>
  <c r="O25" i="60" l="1"/>
  <c r="M73" i="60"/>
  <c r="O21" i="60"/>
  <c r="O19" i="60"/>
  <c r="O17" i="60"/>
  <c r="O8" i="60"/>
  <c r="L72" i="60"/>
  <c r="O9" i="60"/>
  <c r="O11" i="60"/>
  <c r="M72" i="60"/>
  <c r="O24" i="60" l="1"/>
</calcChain>
</file>

<file path=xl/sharedStrings.xml><?xml version="1.0" encoding="utf-8"?>
<sst xmlns="http://schemas.openxmlformats.org/spreadsheetml/2006/main" count="1285" uniqueCount="121">
  <si>
    <t>Time/Veh type</t>
  </si>
  <si>
    <t>Car</t>
  </si>
  <si>
    <t>Utility vehicle</t>
  </si>
  <si>
    <t>Minibus, matatu</t>
  </si>
  <si>
    <t>Medium bus, coaster</t>
  </si>
  <si>
    <t>Large bus, coach</t>
  </si>
  <si>
    <t>Light truck</t>
  </si>
  <si>
    <t>Medium truck</t>
  </si>
  <si>
    <t>Heavy truck</t>
  </si>
  <si>
    <t xml:space="preserve">Truck trailer and semi trailer </t>
  </si>
  <si>
    <t>Motorcycles</t>
  </si>
  <si>
    <t>Overall Total</t>
  </si>
  <si>
    <t>Vehicle Total</t>
  </si>
  <si>
    <t>06.00 - 06.15</t>
  </si>
  <si>
    <t>06.15 - 06.30</t>
  </si>
  <si>
    <t>06.30 - 06.45</t>
  </si>
  <si>
    <t>06.45 - 07.00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</si>
  <si>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</si>
  <si>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</si>
  <si>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</si>
  <si>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</si>
  <si>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</si>
  <si>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</si>
  <si>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</si>
  <si>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08.45 - 09.00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</si>
  <si>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</si>
  <si>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</si>
  <si>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</si>
  <si>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</si>
  <si>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</si>
  <si>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</si>
  <si>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</si>
  <si>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</si>
  <si>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</si>
  <si>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</si>
  <si>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</si>
  <si>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</si>
  <si>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</si>
  <si>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</si>
  <si>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</si>
  <si>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</si>
  <si>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</si>
  <si>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</si>
  <si>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</si>
  <si>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</si>
  <si>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</si>
  <si>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</si>
  <si>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</si>
  <si>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</si>
  <si>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</si>
  <si>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</si>
  <si>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</si>
  <si>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</si>
  <si>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</si>
  <si>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16.15 - 16.30</t>
  </si>
  <si>
    <t>16.30 - 16.45</t>
  </si>
  <si>
    <t>16.45 - 17.00</t>
  </si>
  <si>
    <t>17.00 - 17.15</t>
  </si>
  <si>
    <t>17.15 - 17.30</t>
  </si>
  <si>
    <t>17.30 - 17.45</t>
  </si>
  <si>
    <t>17.45 - 18.00</t>
  </si>
  <si>
    <t>18.00 - 18.15</t>
  </si>
  <si>
    <t>18.18 - 18.30</t>
  </si>
  <si>
    <t>18.30 - 18.45</t>
  </si>
  <si>
    <t>18.45 - 19.00</t>
  </si>
  <si>
    <t>19.00 - 19.15</t>
  </si>
  <si>
    <t>19.15 - 19.30</t>
  </si>
  <si>
    <t>19.30 - 19.45</t>
  </si>
  <si>
    <t>19.45 - 20.00</t>
  </si>
  <si>
    <t>20.00 - 20.15</t>
  </si>
  <si>
    <t>20.15 - 20.30</t>
  </si>
  <si>
    <t>20.30 - 20.45</t>
  </si>
  <si>
    <t>20.45 - 21.00</t>
  </si>
  <si>
    <t>Location:</t>
  </si>
  <si>
    <t>Dir To:</t>
  </si>
  <si>
    <t>06.00 - 07.00</t>
  </si>
  <si>
    <t>07.00 - 08.00</t>
  </si>
  <si>
    <t>08.00 - 09.00</t>
  </si>
  <si>
    <t>09.00 - 10.00</t>
  </si>
  <si>
    <t>10.00 - 11.00</t>
  </si>
  <si>
    <t>11.00 - 12.00</t>
  </si>
  <si>
    <t>12.00 - 13.00</t>
  </si>
  <si>
    <t>13.00 - 14.00</t>
  </si>
  <si>
    <t>14.00 - 15.00</t>
  </si>
  <si>
    <t>15.00 - 16.00</t>
  </si>
  <si>
    <t>16.00 - 17.00</t>
  </si>
  <si>
    <t>17.00 - 18.00</t>
  </si>
  <si>
    <t>18.00 - 19.00</t>
  </si>
  <si>
    <t>19.00 - 20.00</t>
  </si>
  <si>
    <t>20.00 - 21.00</t>
  </si>
  <si>
    <t>21.00 - 21.15</t>
  </si>
  <si>
    <t>21.21 - 21.30</t>
  </si>
  <si>
    <t>21.30 - 21.45</t>
  </si>
  <si>
    <t>21.45 - 22.00</t>
  </si>
  <si>
    <t>JUNCTION TURNING COUNT</t>
  </si>
  <si>
    <t>Nakumatt</t>
  </si>
  <si>
    <t>Kibuli</t>
  </si>
  <si>
    <t>Access Road</t>
  </si>
  <si>
    <t>Kampala</t>
  </si>
  <si>
    <t>Jinja Road</t>
  </si>
  <si>
    <t>Industrial</t>
  </si>
  <si>
    <t>Jinja</t>
  </si>
  <si>
    <t>Industrial Area</t>
  </si>
  <si>
    <t>Kampala Road</t>
  </si>
  <si>
    <t>YusufLule Road</t>
  </si>
  <si>
    <t>118</t>
  </si>
  <si>
    <t>YusufuLule Road</t>
  </si>
  <si>
    <t>Town</t>
  </si>
  <si>
    <t>Dir From:</t>
  </si>
  <si>
    <t>Kitgum House Junction</t>
  </si>
  <si>
    <t>Ysusf Lule Road</t>
  </si>
  <si>
    <t>Yusuf Lule</t>
  </si>
  <si>
    <t>Date:</t>
  </si>
  <si>
    <t>12 hr</t>
  </si>
  <si>
    <t>24 Hr</t>
  </si>
  <si>
    <t>UC1</t>
  </si>
  <si>
    <t>UC2</t>
  </si>
  <si>
    <t>UC3</t>
  </si>
  <si>
    <t>Average AM</t>
  </si>
  <si>
    <t>Average PM</t>
  </si>
  <si>
    <t>Consultancy services for Preparation of Expressway Development Master Plan (EDMP) for Uganda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</si>
</sst>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0" borderId="1" xfId="0" applyBorder="1" applyAlignment="1">
      <alignment horizontal="center"/>
    </xf>
    <xf numFmtId="0" fontId="1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0" fillId="0" borderId="3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1" fillId="0" borderId="10" xfId="0" applyFont="1" applyBorder="1" applyAlignment="1">
      <alignment horizontal="center"/>
    </xf>
    <xf numFmtId="0" fontId="1" fillId="0" borderId="4" xfId="0" applyFont="1" applyFill="1" applyBorder="1" applyAlignment="1"/>
    <xf numFmtId="0" fontId="1" fillId="0" borderId="5" xfId="0" applyFont="1" applyFill="1" applyBorder="1" applyAlignment="1"/>
    <xf numFmtId="0" fontId="1" fillId="0" borderId="4" xfId="0" applyFont="1" applyBorder="1" applyAlignment="1"/>
    <xf numFmtId="0" fontId="1" fillId="0" borderId="5" xfId="0" applyFont="1" applyBorder="1" applyAlignment="1"/>
    <xf numFmtId="0" fontId="1" fillId="0" borderId="0" xfId="0" applyFont="1" applyFill="1" applyBorder="1" applyAlignment="1"/>
    <xf numFmtId="0" fontId="1" fillId="0" borderId="0" xfId="0" applyFont="1" applyBorder="1" applyAlignment="1"/>
    <xf numFmtId="0" fontId="1" fillId="0" borderId="0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/>
    </xf>
    <xf numFmtId="0" fontId="0" fillId="0" borderId="0" xfId="0" applyBorder="1" applyAlignment="1">
      <alignment vertical="center"/>
    </xf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1" fillId="0" borderId="1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0" fillId="0" borderId="11" xfId="0" quotePrefix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0" borderId="2" xfId="0" applyFont="1" applyFill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0" xfId="0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1" fillId="0" borderId="0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0" fontId="0" fillId="0" borderId="0" xfId="0" applyFill="1" applyBorder="1" applyAlignment="1">
      <alignment vertical="center"/>
    </xf>
    <xf numFmtId="164" fontId="0" fillId="0" borderId="0" xfId="0" applyNumberFormat="1"/>
    <xf numFmtId="0" fontId="0" fillId="0" borderId="11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1" fillId="0" borderId="4" xfId="0" applyFont="1" applyBorder="1" applyAlignment="1">
      <alignment horizontal="left"/>
    </xf>
    <xf numFmtId="14" fontId="1" fillId="0" borderId="4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4"/>
  <sheetViews>
    <sheetView tabSelected="1" view="pageBreakPreview" zoomScale="90" zoomScaleSheetLayoutView="90" workbookViewId="0">
      <selection activeCell="B4" sqref="B4:C4"/>
    </sheetView>
  </sheetViews>
  <sheetFormatPr defaultColWidth="13.28515625" defaultRowHeight="15" x14ac:dyDescent="0.25"/>
  <cols>
    <col min="1" max="1" width="14.85546875" customWidth="1"/>
    <col min="2" max="2" width="11.7109375" customWidth="1"/>
    <col min="3" max="3" width="13.28515625" customWidth="1"/>
    <col min="4" max="4" width="12.7109375" customWidth="1"/>
    <col min="5" max="6" width="13.28515625" customWidth="1"/>
    <col min="7" max="7" width="11.42578125" customWidth="1"/>
    <col min="8" max="8" width="13.28515625" customWidth="1"/>
    <col min="9" max="9" width="11.42578125" customWidth="1"/>
    <col min="10" max="10" width="13.28515625" customWidth="1"/>
    <col min="11" max="11" width="12" customWidth="1"/>
    <col min="12" max="12" width="9.28515625" customWidth="1"/>
    <col min="13" max="13" width="10.7109375" customWidth="1"/>
    <col min="14" max="14" width="12.7109375" customWidth="1"/>
    <col min="15" max="15" width="6.42578125" style="22" customWidth="1"/>
  </cols>
  <sheetData>
    <row r="1" spans="1:15" ht="18.75" x14ac:dyDescent="0.3">
      <c r="A1" s="62" t="s">
        <v>120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26"/>
    </row>
    <row r="2" spans="1:15" ht="18.75" x14ac:dyDescent="0.3">
      <c r="A2" s="65" t="s">
        <v>94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7"/>
      <c r="N2" s="26"/>
    </row>
    <row r="3" spans="1:15" x14ac:dyDescent="0.25">
      <c r="A3" s="68"/>
      <c r="B3" s="69"/>
      <c r="C3" s="69"/>
      <c r="D3" s="69"/>
      <c r="E3" s="60"/>
      <c r="F3" s="69"/>
      <c r="G3" s="69"/>
      <c r="H3" s="69"/>
      <c r="I3" s="69"/>
      <c r="J3" s="60"/>
      <c r="K3" s="69"/>
      <c r="L3" s="69"/>
      <c r="M3" s="70"/>
      <c r="N3" s="24"/>
    </row>
    <row r="4" spans="1:15" x14ac:dyDescent="0.25">
      <c r="A4" s="50" t="s">
        <v>112</v>
      </c>
      <c r="B4" s="73">
        <v>43797</v>
      </c>
      <c r="C4" s="72"/>
      <c r="D4" s="15"/>
      <c r="E4" s="16"/>
      <c r="F4" s="49" t="s">
        <v>73</v>
      </c>
      <c r="G4" s="71" t="s">
        <v>109</v>
      </c>
      <c r="H4" s="71"/>
      <c r="I4" s="13"/>
      <c r="J4" s="13"/>
      <c r="K4" s="13"/>
      <c r="L4" s="13"/>
      <c r="M4" s="14"/>
      <c r="N4" s="17"/>
    </row>
    <row r="5" spans="1:15" x14ac:dyDescent="0.25">
      <c r="A5" s="50" t="s">
        <v>108</v>
      </c>
      <c r="B5" s="72" t="s">
        <v>111</v>
      </c>
      <c r="C5" s="72"/>
      <c r="D5" s="15"/>
      <c r="E5" s="16"/>
      <c r="F5" s="50" t="s">
        <v>74</v>
      </c>
      <c r="G5" s="72" t="s">
        <v>97</v>
      </c>
      <c r="H5" s="72"/>
      <c r="I5" s="15"/>
      <c r="J5" s="15"/>
      <c r="K5" s="15"/>
      <c r="L5" s="15"/>
      <c r="M5" s="16"/>
      <c r="N5" s="18"/>
    </row>
    <row r="6" spans="1:15" ht="15.75" thickBot="1" x14ac:dyDescent="0.3">
      <c r="A6" s="59"/>
      <c r="B6" s="60"/>
      <c r="C6" s="60"/>
      <c r="D6" s="60"/>
      <c r="E6" s="60"/>
      <c r="F6" s="60"/>
      <c r="G6" s="60"/>
      <c r="H6" s="60"/>
      <c r="I6" s="60"/>
      <c r="J6" s="60"/>
      <c r="K6" s="60"/>
      <c r="L6" s="60"/>
      <c r="M6" s="61"/>
      <c r="N6" s="24"/>
    </row>
    <row r="7" spans="1:15" ht="42.75" customHeight="1" thickBot="1" x14ac:dyDescent="0.3">
      <c r="A7" s="2" t="s">
        <v>0</v>
      </c>
      <c r="B7" s="3" t="s">
        <v>1</v>
      </c>
      <c r="C7" s="4" t="s">
        <v>2</v>
      </c>
      <c r="D7" s="3" t="s">
        <v>3</v>
      </c>
      <c r="E7" s="3" t="s">
        <v>4</v>
      </c>
      <c r="F7" s="4" t="s">
        <v>5</v>
      </c>
      <c r="G7" s="4" t="s">
        <v>6</v>
      </c>
      <c r="H7" s="5" t="s">
        <v>7</v>
      </c>
      <c r="I7" s="4" t="s">
        <v>8</v>
      </c>
      <c r="J7" s="6" t="s">
        <v>9</v>
      </c>
      <c r="K7" s="6" t="s">
        <v>10</v>
      </c>
      <c r="L7" s="27" t="s">
        <v>12</v>
      </c>
      <c r="M7" s="28" t="s">
        <v>11</v>
      </c>
      <c r="N7" s="19"/>
    </row>
    <row r="8" spans="1:15" ht="15.75" thickBot="1" x14ac:dyDescent="0.3">
      <c r="A8" s="9" t="s">
        <v>13</v>
      </c>
      <c r="B8" s="23">
        <v>20</v>
      </c>
      <c r="C8" s="1">
        <v>27</v>
      </c>
      <c r="D8" s="23">
        <v>1</v>
      </c>
      <c r="E8" s="23">
        <v>0</v>
      </c>
      <c r="F8" s="1">
        <v>0</v>
      </c>
      <c r="G8" s="1">
        <v>1</v>
      </c>
      <c r="H8" s="24">
        <v>0</v>
      </c>
      <c r="I8" s="1">
        <v>0</v>
      </c>
      <c r="J8" s="25">
        <v>0</v>
      </c>
      <c r="K8" s="25">
        <v>9</v>
      </c>
      <c r="L8" s="7">
        <f>SUM(B8:J8)</f>
        <v>49</v>
      </c>
      <c r="M8" s="8">
        <f t="shared" ref="M8:M66" si="0">SUM(B8:K8)</f>
        <v>58</v>
      </c>
      <c r="N8" s="21" t="s">
        <v>75</v>
      </c>
      <c r="O8" s="22">
        <f>SUM(L8:L11)</f>
        <v>209</v>
      </c>
    </row>
    <row r="9" spans="1:15" ht="15.75" thickBot="1" x14ac:dyDescent="0.3">
      <c r="A9" s="9" t="s">
        <v>14</v>
      </c>
      <c r="B9" s="23">
        <v>19</v>
      </c>
      <c r="C9" s="1">
        <v>28</v>
      </c>
      <c r="D9" s="23">
        <v>4</v>
      </c>
      <c r="E9" s="23">
        <v>0</v>
      </c>
      <c r="F9" s="1">
        <v>0</v>
      </c>
      <c r="G9" s="1">
        <v>3</v>
      </c>
      <c r="H9" s="24">
        <v>0</v>
      </c>
      <c r="I9" s="1">
        <v>0</v>
      </c>
      <c r="J9" s="25">
        <v>0</v>
      </c>
      <c r="K9" s="25">
        <v>8</v>
      </c>
      <c r="L9" s="7">
        <f t="shared" ref="L9:L71" si="1">SUM(B9:J9)</f>
        <v>54</v>
      </c>
      <c r="M9" s="8">
        <f t="shared" si="0"/>
        <v>62</v>
      </c>
      <c r="N9" s="21" t="s">
        <v>76</v>
      </c>
      <c r="O9" s="22">
        <f>SUM(L12:L15)</f>
        <v>225</v>
      </c>
    </row>
    <row r="10" spans="1:15" ht="15.75" thickBot="1" x14ac:dyDescent="0.3">
      <c r="A10" s="9" t="s">
        <v>15</v>
      </c>
      <c r="B10" s="23">
        <v>29</v>
      </c>
      <c r="C10" s="1">
        <v>22</v>
      </c>
      <c r="D10" s="23">
        <v>1</v>
      </c>
      <c r="E10" s="23">
        <v>1</v>
      </c>
      <c r="F10" s="1">
        <v>0</v>
      </c>
      <c r="G10" s="1">
        <v>2</v>
      </c>
      <c r="H10" s="24">
        <v>0</v>
      </c>
      <c r="I10" s="1">
        <v>0</v>
      </c>
      <c r="J10" s="25">
        <v>0</v>
      </c>
      <c r="K10" s="25">
        <v>15</v>
      </c>
      <c r="L10" s="7">
        <f t="shared" si="1"/>
        <v>55</v>
      </c>
      <c r="M10" s="8">
        <f t="shared" si="0"/>
        <v>70</v>
      </c>
      <c r="N10" s="21" t="s">
        <v>77</v>
      </c>
      <c r="O10" s="22">
        <f>SUM(L16:L19)</f>
        <v>188</v>
      </c>
    </row>
    <row r="11" spans="1:15" ht="15.75" thickBot="1" x14ac:dyDescent="0.3">
      <c r="A11" s="9" t="s">
        <v>16</v>
      </c>
      <c r="B11" s="23">
        <v>24</v>
      </c>
      <c r="C11" s="1">
        <v>25</v>
      </c>
      <c r="D11" s="23">
        <v>1</v>
      </c>
      <c r="E11" s="23">
        <v>0</v>
      </c>
      <c r="F11" s="1">
        <v>0</v>
      </c>
      <c r="G11" s="1">
        <v>0</v>
      </c>
      <c r="H11" s="24">
        <v>1</v>
      </c>
      <c r="I11" s="1">
        <v>0</v>
      </c>
      <c r="J11" s="25">
        <v>0</v>
      </c>
      <c r="K11" s="25">
        <v>23</v>
      </c>
      <c r="L11" s="7">
        <f t="shared" si="1"/>
        <v>51</v>
      </c>
      <c r="M11" s="8">
        <f t="shared" si="0"/>
        <v>74</v>
      </c>
      <c r="N11" s="21" t="s">
        <v>78</v>
      </c>
      <c r="O11" s="22">
        <f>SUM(L20:L23)</f>
        <v>167</v>
      </c>
    </row>
    <row r="12" spans="1:15" ht="15.75" thickBot="1" x14ac:dyDescent="0.3">
      <c r="A12" s="9" t="s">
        <v>17</v>
      </c>
      <c r="B12" s="23">
        <v>21</v>
      </c>
      <c r="C12" s="1">
        <v>22</v>
      </c>
      <c r="D12" s="23">
        <v>1</v>
      </c>
      <c r="E12" s="23">
        <v>0</v>
      </c>
      <c r="F12" s="1">
        <v>2</v>
      </c>
      <c r="G12" s="1">
        <v>0</v>
      </c>
      <c r="H12" s="24">
        <v>0</v>
      </c>
      <c r="I12" s="1">
        <v>0</v>
      </c>
      <c r="J12" s="25">
        <v>0</v>
      </c>
      <c r="K12" s="25">
        <v>30</v>
      </c>
      <c r="L12" s="7">
        <f t="shared" si="1"/>
        <v>46</v>
      </c>
      <c r="M12" s="8">
        <f t="shared" si="0"/>
        <v>76</v>
      </c>
      <c r="N12" s="21" t="s">
        <v>79</v>
      </c>
      <c r="O12" s="22">
        <f>SUM(L24:L27)</f>
        <v>303</v>
      </c>
    </row>
    <row r="13" spans="1:15" ht="15.75" thickBot="1" x14ac:dyDescent="0.3">
      <c r="A13" s="9" t="s">
        <v>18</v>
      </c>
      <c r="B13" s="23">
        <v>32</v>
      </c>
      <c r="C13" s="1">
        <v>28</v>
      </c>
      <c r="D13" s="23">
        <v>3</v>
      </c>
      <c r="E13" s="23">
        <v>0</v>
      </c>
      <c r="F13" s="1">
        <v>0</v>
      </c>
      <c r="G13" s="1">
        <v>2</v>
      </c>
      <c r="H13" s="24">
        <v>3</v>
      </c>
      <c r="I13" s="1">
        <v>1</v>
      </c>
      <c r="J13" s="25">
        <v>0</v>
      </c>
      <c r="K13" s="25">
        <v>28</v>
      </c>
      <c r="L13" s="7">
        <f t="shared" si="1"/>
        <v>69</v>
      </c>
      <c r="M13" s="8">
        <f t="shared" si="0"/>
        <v>97</v>
      </c>
      <c r="N13" s="21" t="s">
        <v>80</v>
      </c>
      <c r="O13" s="22">
        <f>SUM(L28:L31)</f>
        <v>238</v>
      </c>
    </row>
    <row r="14" spans="1:15" ht="15.75" thickBot="1" x14ac:dyDescent="0.3">
      <c r="A14" s="9" t="s">
        <v>19</v>
      </c>
      <c r="B14" s="23">
        <v>32</v>
      </c>
      <c r="C14" s="1">
        <v>23</v>
      </c>
      <c r="D14" s="23">
        <v>1</v>
      </c>
      <c r="E14" s="23">
        <v>0</v>
      </c>
      <c r="F14" s="1">
        <v>0</v>
      </c>
      <c r="G14" s="1">
        <v>0</v>
      </c>
      <c r="H14" s="24">
        <v>0</v>
      </c>
      <c r="I14" s="1">
        <v>1</v>
      </c>
      <c r="J14" s="25">
        <v>0</v>
      </c>
      <c r="K14" s="25">
        <v>31</v>
      </c>
      <c r="L14" s="7">
        <f t="shared" si="1"/>
        <v>57</v>
      </c>
      <c r="M14" s="8">
        <f t="shared" si="0"/>
        <v>88</v>
      </c>
      <c r="N14" s="21" t="s">
        <v>81</v>
      </c>
      <c r="O14" s="22">
        <f>SUM(L32:L35)</f>
        <v>334</v>
      </c>
    </row>
    <row r="15" spans="1:15" ht="15.75" thickBot="1" x14ac:dyDescent="0.3">
      <c r="A15" s="9" t="s">
        <v>20</v>
      </c>
      <c r="B15" s="23">
        <v>29</v>
      </c>
      <c r="C15" s="1">
        <v>18</v>
      </c>
      <c r="D15" s="23">
        <v>1</v>
      </c>
      <c r="E15" s="23">
        <v>0</v>
      </c>
      <c r="F15" s="1">
        <v>0</v>
      </c>
      <c r="G15" s="1">
        <v>5</v>
      </c>
      <c r="H15" s="24">
        <v>0</v>
      </c>
      <c r="I15" s="1">
        <v>0</v>
      </c>
      <c r="J15" s="25">
        <v>0</v>
      </c>
      <c r="K15" s="25">
        <v>28</v>
      </c>
      <c r="L15" s="7">
        <f t="shared" si="1"/>
        <v>53</v>
      </c>
      <c r="M15" s="8">
        <f t="shared" si="0"/>
        <v>81</v>
      </c>
      <c r="N15" s="21" t="s">
        <v>82</v>
      </c>
      <c r="O15" s="22">
        <f>SUM(L36:L39)</f>
        <v>277</v>
      </c>
    </row>
    <row r="16" spans="1:15" ht="15.75" thickBot="1" x14ac:dyDescent="0.3">
      <c r="A16" s="9" t="s">
        <v>21</v>
      </c>
      <c r="B16" s="23">
        <v>43</v>
      </c>
      <c r="C16" s="1">
        <v>28</v>
      </c>
      <c r="D16" s="23">
        <v>5</v>
      </c>
      <c r="E16" s="23">
        <v>0</v>
      </c>
      <c r="F16" s="1">
        <v>0</v>
      </c>
      <c r="G16" s="1">
        <v>2</v>
      </c>
      <c r="H16" s="24">
        <v>1</v>
      </c>
      <c r="I16" s="1">
        <v>1</v>
      </c>
      <c r="J16" s="25">
        <v>1</v>
      </c>
      <c r="K16" s="25">
        <v>22</v>
      </c>
      <c r="L16" s="7">
        <f t="shared" si="1"/>
        <v>81</v>
      </c>
      <c r="M16" s="8">
        <f t="shared" si="0"/>
        <v>103</v>
      </c>
      <c r="N16" s="21" t="s">
        <v>83</v>
      </c>
      <c r="O16" s="22">
        <f>SUM(L40:L43)</f>
        <v>309</v>
      </c>
    </row>
    <row r="17" spans="1:15" ht="15.75" thickBot="1" x14ac:dyDescent="0.3">
      <c r="A17" s="9" t="s">
        <v>22</v>
      </c>
      <c r="B17" s="23">
        <v>16</v>
      </c>
      <c r="C17" s="1">
        <v>16</v>
      </c>
      <c r="D17" s="23">
        <v>2</v>
      </c>
      <c r="E17" s="23">
        <v>0</v>
      </c>
      <c r="F17" s="1">
        <v>0</v>
      </c>
      <c r="G17" s="1">
        <v>3</v>
      </c>
      <c r="H17" s="24">
        <v>1</v>
      </c>
      <c r="I17" s="1">
        <v>0</v>
      </c>
      <c r="J17" s="25">
        <v>2</v>
      </c>
      <c r="K17" s="25">
        <v>24</v>
      </c>
      <c r="L17" s="7">
        <f t="shared" si="1"/>
        <v>40</v>
      </c>
      <c r="M17" s="8">
        <f t="shared" si="0"/>
        <v>64</v>
      </c>
      <c r="N17" s="21" t="s">
        <v>84</v>
      </c>
      <c r="O17" s="22">
        <f>SUM(L44:L47)</f>
        <v>280</v>
      </c>
    </row>
    <row r="18" spans="1:15" ht="15.75" thickBot="1" x14ac:dyDescent="0.3">
      <c r="A18" s="9" t="s">
        <v>23</v>
      </c>
      <c r="B18" s="23">
        <v>20</v>
      </c>
      <c r="C18" s="1">
        <v>26</v>
      </c>
      <c r="D18" s="23">
        <v>0</v>
      </c>
      <c r="E18" s="23">
        <v>0</v>
      </c>
      <c r="F18" s="1">
        <v>0</v>
      </c>
      <c r="G18" s="1">
        <v>1</v>
      </c>
      <c r="H18" s="24">
        <v>1</v>
      </c>
      <c r="I18" s="1">
        <v>2</v>
      </c>
      <c r="J18" s="25">
        <v>1</v>
      </c>
      <c r="K18" s="25">
        <v>36</v>
      </c>
      <c r="L18" s="7">
        <f t="shared" si="1"/>
        <v>51</v>
      </c>
      <c r="M18" s="8">
        <f t="shared" si="0"/>
        <v>87</v>
      </c>
      <c r="N18" s="21" t="s">
        <v>85</v>
      </c>
      <c r="O18" s="22">
        <f>SUM(L48:L51)</f>
        <v>281</v>
      </c>
    </row>
    <row r="19" spans="1:15" ht="15.75" thickBot="1" x14ac:dyDescent="0.3">
      <c r="A19" s="9" t="s">
        <v>24</v>
      </c>
      <c r="B19" s="23">
        <v>11</v>
      </c>
      <c r="C19" s="1">
        <v>4</v>
      </c>
      <c r="D19" s="23">
        <v>1</v>
      </c>
      <c r="E19" s="23">
        <v>0</v>
      </c>
      <c r="F19" s="1">
        <v>0</v>
      </c>
      <c r="G19" s="1">
        <v>0</v>
      </c>
      <c r="H19" s="24">
        <v>0</v>
      </c>
      <c r="I19" s="1">
        <v>0</v>
      </c>
      <c r="J19" s="25">
        <v>0</v>
      </c>
      <c r="K19" s="25">
        <v>13</v>
      </c>
      <c r="L19" s="7">
        <f t="shared" si="1"/>
        <v>16</v>
      </c>
      <c r="M19" s="8">
        <f t="shared" si="0"/>
        <v>29</v>
      </c>
      <c r="N19" s="21" t="s">
        <v>86</v>
      </c>
      <c r="O19" s="22">
        <f>SUM(L52:L55)</f>
        <v>228</v>
      </c>
    </row>
    <row r="20" spans="1:15" ht="15.75" thickBot="1" x14ac:dyDescent="0.3">
      <c r="A20" s="9" t="s">
        <v>25</v>
      </c>
      <c r="B20" s="23">
        <v>18</v>
      </c>
      <c r="C20" s="1">
        <v>23</v>
      </c>
      <c r="D20" s="23">
        <v>2</v>
      </c>
      <c r="E20" s="23">
        <v>0</v>
      </c>
      <c r="F20" s="1">
        <v>0</v>
      </c>
      <c r="G20" s="1">
        <v>1</v>
      </c>
      <c r="H20" s="24">
        <v>0</v>
      </c>
      <c r="I20" s="1">
        <v>0</v>
      </c>
      <c r="J20" s="25">
        <v>0</v>
      </c>
      <c r="K20" s="25">
        <v>25</v>
      </c>
      <c r="L20" s="7">
        <f t="shared" si="1"/>
        <v>44</v>
      </c>
      <c r="M20" s="8">
        <f t="shared" si="0"/>
        <v>69</v>
      </c>
      <c r="N20" s="21" t="s">
        <v>87</v>
      </c>
      <c r="O20" s="22">
        <f>SUM(L56:L59)</f>
        <v>219</v>
      </c>
    </row>
    <row r="21" spans="1:15" ht="15.75" thickBot="1" x14ac:dyDescent="0.3">
      <c r="A21" s="9" t="s">
        <v>26</v>
      </c>
      <c r="B21" s="23">
        <v>23</v>
      </c>
      <c r="C21" s="1">
        <v>19</v>
      </c>
      <c r="D21" s="23">
        <v>1</v>
      </c>
      <c r="E21" s="23">
        <v>0</v>
      </c>
      <c r="F21" s="1">
        <v>0</v>
      </c>
      <c r="G21" s="1">
        <v>0</v>
      </c>
      <c r="H21" s="24">
        <v>0</v>
      </c>
      <c r="I21" s="1">
        <v>1</v>
      </c>
      <c r="J21" s="25">
        <v>0</v>
      </c>
      <c r="K21" s="25">
        <v>35</v>
      </c>
      <c r="L21" s="7">
        <f t="shared" si="1"/>
        <v>44</v>
      </c>
      <c r="M21" s="8">
        <f t="shared" si="0"/>
        <v>79</v>
      </c>
      <c r="N21" s="21" t="s">
        <v>88</v>
      </c>
      <c r="O21" s="22">
        <f>SUM(L60:L63)</f>
        <v>246</v>
      </c>
    </row>
    <row r="22" spans="1:15" ht="15.75" thickBot="1" x14ac:dyDescent="0.3">
      <c r="A22" s="9" t="s">
        <v>27</v>
      </c>
      <c r="B22" s="23">
        <v>13</v>
      </c>
      <c r="C22" s="1">
        <v>26</v>
      </c>
      <c r="D22" s="23">
        <v>0</v>
      </c>
      <c r="E22" s="23">
        <v>1</v>
      </c>
      <c r="F22" s="1">
        <v>0</v>
      </c>
      <c r="G22" s="1">
        <v>1</v>
      </c>
      <c r="H22" s="24">
        <v>1</v>
      </c>
      <c r="I22" s="1">
        <v>2</v>
      </c>
      <c r="J22" s="25">
        <v>3</v>
      </c>
      <c r="K22" s="25">
        <v>30</v>
      </c>
      <c r="L22" s="7">
        <f t="shared" si="1"/>
        <v>47</v>
      </c>
      <c r="M22" s="8">
        <f t="shared" si="0"/>
        <v>77</v>
      </c>
      <c r="N22" s="21" t="s">
        <v>89</v>
      </c>
      <c r="O22" s="22">
        <f>SUM(L64:L67)</f>
        <v>414</v>
      </c>
    </row>
    <row r="23" spans="1:15" ht="15.75" thickBot="1" x14ac:dyDescent="0.3">
      <c r="A23" s="9" t="s">
        <v>28</v>
      </c>
      <c r="B23" s="23">
        <v>12</v>
      </c>
      <c r="C23" s="1">
        <v>14</v>
      </c>
      <c r="D23" s="23">
        <v>1</v>
      </c>
      <c r="E23" s="23">
        <v>0</v>
      </c>
      <c r="F23" s="1">
        <v>1</v>
      </c>
      <c r="G23" s="1">
        <v>0</v>
      </c>
      <c r="H23" s="24">
        <v>4</v>
      </c>
      <c r="I23" s="1">
        <v>0</v>
      </c>
      <c r="J23" s="25">
        <v>0</v>
      </c>
      <c r="K23" s="25">
        <v>30</v>
      </c>
      <c r="L23" s="7">
        <f t="shared" si="1"/>
        <v>32</v>
      </c>
      <c r="M23" s="8">
        <f t="shared" si="0"/>
        <v>62</v>
      </c>
      <c r="N23" s="20"/>
    </row>
    <row r="24" spans="1:15" ht="15.75" thickBot="1" x14ac:dyDescent="0.3">
      <c r="A24" s="9" t="s">
        <v>29</v>
      </c>
      <c r="B24" s="23">
        <v>47</v>
      </c>
      <c r="C24" s="1">
        <v>48</v>
      </c>
      <c r="D24" s="23">
        <v>2</v>
      </c>
      <c r="E24" s="23">
        <v>0</v>
      </c>
      <c r="F24" s="1">
        <v>0</v>
      </c>
      <c r="G24" s="1">
        <v>2</v>
      </c>
      <c r="H24" s="24">
        <v>5</v>
      </c>
      <c r="I24" s="1">
        <v>2</v>
      </c>
      <c r="J24" s="25">
        <v>4</v>
      </c>
      <c r="K24" s="25">
        <v>58</v>
      </c>
      <c r="L24" s="7">
        <f t="shared" si="1"/>
        <v>110</v>
      </c>
      <c r="M24" s="8">
        <f t="shared" si="0"/>
        <v>168</v>
      </c>
      <c r="N24" s="20" t="s">
        <v>118</v>
      </c>
      <c r="O24" s="22">
        <f>AVERAGE(O9:O11)</f>
        <v>193.33333333333334</v>
      </c>
    </row>
    <row r="25" spans="1:15" ht="15.75" thickBot="1" x14ac:dyDescent="0.3">
      <c r="A25" s="9" t="s">
        <v>30</v>
      </c>
      <c r="B25" s="23">
        <v>13</v>
      </c>
      <c r="C25" s="1">
        <v>25</v>
      </c>
      <c r="D25" s="23">
        <v>4</v>
      </c>
      <c r="E25" s="23">
        <v>0</v>
      </c>
      <c r="F25" s="1">
        <v>0</v>
      </c>
      <c r="G25" s="1">
        <v>1</v>
      </c>
      <c r="H25" s="24">
        <v>3</v>
      </c>
      <c r="I25" s="1">
        <v>0</v>
      </c>
      <c r="J25" s="25">
        <v>1</v>
      </c>
      <c r="K25" s="25">
        <v>37</v>
      </c>
      <c r="L25" s="7">
        <f t="shared" si="1"/>
        <v>47</v>
      </c>
      <c r="M25" s="8">
        <f t="shared" si="0"/>
        <v>84</v>
      </c>
      <c r="N25" s="20" t="s">
        <v>119</v>
      </c>
      <c r="O25" s="22">
        <f>AVERAGE(O18:O20)</f>
        <v>242.66666666666666</v>
      </c>
    </row>
    <row r="26" spans="1:15" ht="15.75" thickBot="1" x14ac:dyDescent="0.3">
      <c r="A26" s="9" t="s">
        <v>31</v>
      </c>
      <c r="B26" s="23">
        <v>36</v>
      </c>
      <c r="C26" s="1">
        <v>38</v>
      </c>
      <c r="D26" s="23">
        <v>2</v>
      </c>
      <c r="E26" s="23">
        <v>0</v>
      </c>
      <c r="F26" s="1">
        <v>0</v>
      </c>
      <c r="G26" s="1">
        <v>5</v>
      </c>
      <c r="H26" s="24">
        <v>1</v>
      </c>
      <c r="I26" s="1">
        <v>2</v>
      </c>
      <c r="J26" s="25">
        <v>1</v>
      </c>
      <c r="K26" s="25">
        <v>19</v>
      </c>
      <c r="L26" s="7">
        <f t="shared" si="1"/>
        <v>85</v>
      </c>
      <c r="M26" s="8">
        <f t="shared" si="0"/>
        <v>104</v>
      </c>
      <c r="N26" s="20"/>
    </row>
    <row r="27" spans="1:15" ht="15.75" thickBot="1" x14ac:dyDescent="0.3">
      <c r="A27" s="9" t="s">
        <v>32</v>
      </c>
      <c r="B27" s="23">
        <v>25</v>
      </c>
      <c r="C27" s="1">
        <v>31</v>
      </c>
      <c r="D27" s="23">
        <v>1</v>
      </c>
      <c r="E27" s="23">
        <v>0</v>
      </c>
      <c r="F27" s="1">
        <v>0</v>
      </c>
      <c r="G27" s="1">
        <v>1</v>
      </c>
      <c r="H27" s="24">
        <v>1</v>
      </c>
      <c r="I27" s="1">
        <v>1</v>
      </c>
      <c r="J27" s="25">
        <v>1</v>
      </c>
      <c r="K27" s="25">
        <v>37</v>
      </c>
      <c r="L27" s="7">
        <f t="shared" si="1"/>
        <v>61</v>
      </c>
      <c r="M27" s="8">
        <f t="shared" si="0"/>
        <v>98</v>
      </c>
      <c r="N27" s="20"/>
    </row>
    <row r="28" spans="1:15" ht="15.75" thickBot="1" x14ac:dyDescent="0.3">
      <c r="A28" s="9" t="s">
        <v>33</v>
      </c>
      <c r="B28" s="23">
        <v>24</v>
      </c>
      <c r="C28" s="1">
        <v>33</v>
      </c>
      <c r="D28" s="23">
        <v>3</v>
      </c>
      <c r="E28" s="23">
        <v>0</v>
      </c>
      <c r="F28" s="1">
        <v>0</v>
      </c>
      <c r="G28" s="1">
        <v>3</v>
      </c>
      <c r="H28" s="24">
        <v>2</v>
      </c>
      <c r="I28" s="1">
        <v>0</v>
      </c>
      <c r="J28" s="25">
        <v>0</v>
      </c>
      <c r="K28" s="25">
        <v>35</v>
      </c>
      <c r="L28" s="7">
        <f t="shared" si="1"/>
        <v>65</v>
      </c>
      <c r="M28" s="8">
        <f t="shared" si="0"/>
        <v>100</v>
      </c>
      <c r="N28" s="20"/>
    </row>
    <row r="29" spans="1:15" ht="15.75" thickBot="1" x14ac:dyDescent="0.3">
      <c r="A29" s="9" t="s">
        <v>34</v>
      </c>
      <c r="B29" s="23">
        <v>34</v>
      </c>
      <c r="C29" s="1">
        <v>31</v>
      </c>
      <c r="D29" s="23">
        <v>3</v>
      </c>
      <c r="E29" s="23">
        <v>0</v>
      </c>
      <c r="F29" s="1">
        <v>0</v>
      </c>
      <c r="G29" s="1">
        <v>1</v>
      </c>
      <c r="H29" s="24">
        <v>0</v>
      </c>
      <c r="I29" s="1">
        <v>0</v>
      </c>
      <c r="J29" s="25">
        <v>0</v>
      </c>
      <c r="K29" s="25">
        <v>56</v>
      </c>
      <c r="L29" s="7">
        <f t="shared" si="1"/>
        <v>69</v>
      </c>
      <c r="M29" s="8">
        <f t="shared" si="0"/>
        <v>125</v>
      </c>
      <c r="N29" s="20"/>
    </row>
    <row r="30" spans="1:15" ht="15.75" thickBot="1" x14ac:dyDescent="0.3">
      <c r="A30" s="9" t="s">
        <v>35</v>
      </c>
      <c r="B30" s="23">
        <v>27</v>
      </c>
      <c r="C30" s="1">
        <v>15</v>
      </c>
      <c r="D30" s="23">
        <v>4</v>
      </c>
      <c r="E30" s="23">
        <v>0</v>
      </c>
      <c r="F30" s="1">
        <v>0</v>
      </c>
      <c r="G30" s="1">
        <v>1</v>
      </c>
      <c r="H30" s="24">
        <v>0</v>
      </c>
      <c r="I30" s="1">
        <v>1</v>
      </c>
      <c r="J30" s="25">
        <v>0</v>
      </c>
      <c r="K30" s="25">
        <v>22</v>
      </c>
      <c r="L30" s="7">
        <f t="shared" si="1"/>
        <v>48</v>
      </c>
      <c r="M30" s="8">
        <f t="shared" si="0"/>
        <v>70</v>
      </c>
      <c r="N30" s="20"/>
    </row>
    <row r="31" spans="1:15" ht="15.75" thickBot="1" x14ac:dyDescent="0.3">
      <c r="A31" s="9" t="s">
        <v>36</v>
      </c>
      <c r="B31" s="23">
        <v>18</v>
      </c>
      <c r="C31" s="1">
        <v>29</v>
      </c>
      <c r="D31" s="23">
        <v>3</v>
      </c>
      <c r="E31" s="23">
        <v>0</v>
      </c>
      <c r="F31" s="1">
        <v>0</v>
      </c>
      <c r="G31" s="1">
        <v>1</v>
      </c>
      <c r="H31" s="24">
        <v>2</v>
      </c>
      <c r="I31" s="1">
        <v>1</v>
      </c>
      <c r="J31" s="25">
        <v>2</v>
      </c>
      <c r="K31" s="25">
        <v>30</v>
      </c>
      <c r="L31" s="7">
        <f t="shared" si="1"/>
        <v>56</v>
      </c>
      <c r="M31" s="8">
        <f t="shared" si="0"/>
        <v>86</v>
      </c>
      <c r="N31" s="20"/>
    </row>
    <row r="32" spans="1:15" ht="15.75" thickBot="1" x14ac:dyDescent="0.3">
      <c r="A32" s="9" t="s">
        <v>37</v>
      </c>
      <c r="B32" s="23">
        <v>30</v>
      </c>
      <c r="C32" s="1">
        <v>39</v>
      </c>
      <c r="D32" s="23">
        <v>4</v>
      </c>
      <c r="E32" s="23">
        <v>0</v>
      </c>
      <c r="F32" s="1">
        <v>0</v>
      </c>
      <c r="G32" s="1">
        <v>3</v>
      </c>
      <c r="H32" s="24">
        <v>4</v>
      </c>
      <c r="I32" s="1">
        <v>1</v>
      </c>
      <c r="J32" s="25">
        <v>1</v>
      </c>
      <c r="K32" s="25">
        <v>45</v>
      </c>
      <c r="L32" s="7">
        <f t="shared" si="1"/>
        <v>82</v>
      </c>
      <c r="M32" s="8">
        <f t="shared" si="0"/>
        <v>127</v>
      </c>
      <c r="N32" s="20"/>
    </row>
    <row r="33" spans="1:14" ht="15.75" thickBot="1" x14ac:dyDescent="0.3">
      <c r="A33" s="9" t="s">
        <v>38</v>
      </c>
      <c r="B33" s="23">
        <v>38</v>
      </c>
      <c r="C33" s="1">
        <v>39</v>
      </c>
      <c r="D33" s="23">
        <v>4</v>
      </c>
      <c r="E33" s="23">
        <v>0</v>
      </c>
      <c r="F33" s="1">
        <v>0</v>
      </c>
      <c r="G33" s="1">
        <v>1</v>
      </c>
      <c r="H33" s="24">
        <v>3</v>
      </c>
      <c r="I33" s="1">
        <v>1</v>
      </c>
      <c r="J33" s="25">
        <v>2</v>
      </c>
      <c r="K33" s="25">
        <v>34</v>
      </c>
      <c r="L33" s="7">
        <f t="shared" si="1"/>
        <v>88</v>
      </c>
      <c r="M33" s="8">
        <f t="shared" si="0"/>
        <v>122</v>
      </c>
      <c r="N33" s="20"/>
    </row>
    <row r="34" spans="1:14" ht="15.75" thickBot="1" x14ac:dyDescent="0.3">
      <c r="A34" s="9" t="s">
        <v>39</v>
      </c>
      <c r="B34" s="23">
        <v>35</v>
      </c>
      <c r="C34" s="1">
        <v>40</v>
      </c>
      <c r="D34" s="23">
        <v>1</v>
      </c>
      <c r="E34" s="23">
        <v>0</v>
      </c>
      <c r="F34" s="1">
        <v>0</v>
      </c>
      <c r="G34" s="1">
        <v>0</v>
      </c>
      <c r="H34" s="24">
        <v>2</v>
      </c>
      <c r="I34" s="1">
        <v>1</v>
      </c>
      <c r="J34" s="25">
        <v>0</v>
      </c>
      <c r="K34" s="25">
        <v>36</v>
      </c>
      <c r="L34" s="7">
        <f t="shared" si="1"/>
        <v>79</v>
      </c>
      <c r="M34" s="8">
        <f t="shared" si="0"/>
        <v>115</v>
      </c>
      <c r="N34" s="20"/>
    </row>
    <row r="35" spans="1:14" ht="15.75" thickBot="1" x14ac:dyDescent="0.3">
      <c r="A35" s="9" t="s">
        <v>40</v>
      </c>
      <c r="B35" s="23">
        <v>23</v>
      </c>
      <c r="C35" s="1">
        <v>49</v>
      </c>
      <c r="D35" s="23">
        <v>5</v>
      </c>
      <c r="E35" s="23">
        <v>0</v>
      </c>
      <c r="F35" s="1">
        <v>0</v>
      </c>
      <c r="G35" s="1">
        <v>4</v>
      </c>
      <c r="H35" s="24">
        <v>3</v>
      </c>
      <c r="I35" s="1">
        <v>1</v>
      </c>
      <c r="J35" s="25">
        <v>0</v>
      </c>
      <c r="K35" s="25">
        <v>42</v>
      </c>
      <c r="L35" s="7">
        <f t="shared" si="1"/>
        <v>85</v>
      </c>
      <c r="M35" s="8">
        <f t="shared" si="0"/>
        <v>127</v>
      </c>
      <c r="N35" s="20"/>
    </row>
    <row r="36" spans="1:14" ht="15.75" thickBot="1" x14ac:dyDescent="0.3">
      <c r="A36" s="9" t="s">
        <v>41</v>
      </c>
      <c r="B36" s="23">
        <v>65</v>
      </c>
      <c r="C36" s="1">
        <v>35</v>
      </c>
      <c r="D36" s="23">
        <v>2</v>
      </c>
      <c r="E36" s="23">
        <v>0</v>
      </c>
      <c r="F36" s="1">
        <v>0</v>
      </c>
      <c r="G36" s="1">
        <v>7</v>
      </c>
      <c r="H36" s="24">
        <v>0</v>
      </c>
      <c r="I36" s="1">
        <v>0</v>
      </c>
      <c r="J36" s="25">
        <v>0</v>
      </c>
      <c r="K36" s="25">
        <v>28</v>
      </c>
      <c r="L36" s="7">
        <f t="shared" si="1"/>
        <v>109</v>
      </c>
      <c r="M36" s="8">
        <f t="shared" si="0"/>
        <v>137</v>
      </c>
      <c r="N36" s="20"/>
    </row>
    <row r="37" spans="1:14" ht="15.75" thickBot="1" x14ac:dyDescent="0.3">
      <c r="A37" s="9" t="s">
        <v>42</v>
      </c>
      <c r="B37" s="23">
        <v>17</v>
      </c>
      <c r="C37" s="1">
        <v>15</v>
      </c>
      <c r="D37" s="23">
        <v>1</v>
      </c>
      <c r="E37" s="23">
        <v>0</v>
      </c>
      <c r="F37" s="1">
        <v>0</v>
      </c>
      <c r="G37" s="1">
        <v>0</v>
      </c>
      <c r="H37" s="24">
        <v>0</v>
      </c>
      <c r="I37" s="1">
        <v>2</v>
      </c>
      <c r="J37" s="25">
        <v>0</v>
      </c>
      <c r="K37" s="25">
        <v>32</v>
      </c>
      <c r="L37" s="7">
        <f t="shared" si="1"/>
        <v>35</v>
      </c>
      <c r="M37" s="8">
        <f t="shared" si="0"/>
        <v>67</v>
      </c>
      <c r="N37" s="20"/>
    </row>
    <row r="38" spans="1:14" ht="15.75" thickBot="1" x14ac:dyDescent="0.3">
      <c r="A38" s="9" t="s">
        <v>43</v>
      </c>
      <c r="B38" s="23">
        <v>27</v>
      </c>
      <c r="C38" s="1">
        <v>13</v>
      </c>
      <c r="D38" s="23">
        <v>0</v>
      </c>
      <c r="E38" s="23">
        <v>0</v>
      </c>
      <c r="F38" s="1">
        <v>0</v>
      </c>
      <c r="G38" s="1">
        <v>0</v>
      </c>
      <c r="H38" s="24">
        <v>1</v>
      </c>
      <c r="I38" s="1">
        <v>0</v>
      </c>
      <c r="J38" s="25">
        <v>0</v>
      </c>
      <c r="K38" s="25">
        <v>18</v>
      </c>
      <c r="L38" s="7">
        <f t="shared" si="1"/>
        <v>41</v>
      </c>
      <c r="M38" s="8">
        <f t="shared" si="0"/>
        <v>59</v>
      </c>
      <c r="N38" s="20"/>
    </row>
    <row r="39" spans="1:14" ht="15.75" thickBot="1" x14ac:dyDescent="0.3">
      <c r="A39" s="9" t="s">
        <v>44</v>
      </c>
      <c r="B39" s="23">
        <v>40</v>
      </c>
      <c r="C39" s="1">
        <v>42</v>
      </c>
      <c r="D39" s="23">
        <v>3</v>
      </c>
      <c r="E39" s="23">
        <v>2</v>
      </c>
      <c r="F39" s="1">
        <v>0</v>
      </c>
      <c r="G39" s="1">
        <v>2</v>
      </c>
      <c r="H39" s="24">
        <v>1</v>
      </c>
      <c r="I39" s="1">
        <v>1</v>
      </c>
      <c r="J39" s="25">
        <v>1</v>
      </c>
      <c r="K39" s="25">
        <v>20</v>
      </c>
      <c r="L39" s="7">
        <f t="shared" si="1"/>
        <v>92</v>
      </c>
      <c r="M39" s="8">
        <f t="shared" si="0"/>
        <v>112</v>
      </c>
      <c r="N39" s="20"/>
    </row>
    <row r="40" spans="1:14" ht="15.75" thickBot="1" x14ac:dyDescent="0.3">
      <c r="A40" s="9" t="s">
        <v>45</v>
      </c>
      <c r="B40" s="23">
        <v>37</v>
      </c>
      <c r="C40" s="1">
        <v>47</v>
      </c>
      <c r="D40" s="23">
        <v>0</v>
      </c>
      <c r="E40" s="23">
        <v>0</v>
      </c>
      <c r="F40" s="1">
        <v>0</v>
      </c>
      <c r="G40" s="1">
        <v>8</v>
      </c>
      <c r="H40" s="24">
        <v>0</v>
      </c>
      <c r="I40" s="1">
        <v>1</v>
      </c>
      <c r="J40" s="25">
        <v>0</v>
      </c>
      <c r="K40" s="25">
        <v>34</v>
      </c>
      <c r="L40" s="7">
        <f t="shared" si="1"/>
        <v>93</v>
      </c>
      <c r="M40" s="8">
        <f t="shared" si="0"/>
        <v>127</v>
      </c>
      <c r="N40" s="20"/>
    </row>
    <row r="41" spans="1:14" ht="15.75" thickBot="1" x14ac:dyDescent="0.3">
      <c r="A41" s="9" t="s">
        <v>46</v>
      </c>
      <c r="B41" s="23">
        <v>21</v>
      </c>
      <c r="C41" s="1">
        <v>28</v>
      </c>
      <c r="D41" s="23">
        <v>3</v>
      </c>
      <c r="E41" s="23">
        <v>0</v>
      </c>
      <c r="F41" s="1">
        <v>1</v>
      </c>
      <c r="G41" s="1">
        <v>5</v>
      </c>
      <c r="H41" s="24">
        <v>0</v>
      </c>
      <c r="I41" s="1">
        <v>0</v>
      </c>
      <c r="J41" s="25">
        <v>0</v>
      </c>
      <c r="K41" s="25">
        <v>25</v>
      </c>
      <c r="L41" s="7">
        <f t="shared" si="1"/>
        <v>58</v>
      </c>
      <c r="M41" s="8">
        <f t="shared" si="0"/>
        <v>83</v>
      </c>
      <c r="N41" s="20"/>
    </row>
    <row r="42" spans="1:14" ht="15.75" thickBot="1" x14ac:dyDescent="0.3">
      <c r="A42" s="9" t="s">
        <v>47</v>
      </c>
      <c r="B42" s="23">
        <v>33</v>
      </c>
      <c r="C42" s="1">
        <v>47</v>
      </c>
      <c r="D42" s="23">
        <v>0</v>
      </c>
      <c r="E42" s="23">
        <v>0</v>
      </c>
      <c r="F42" s="1">
        <v>0</v>
      </c>
      <c r="G42" s="1">
        <v>5</v>
      </c>
      <c r="H42" s="24">
        <v>3</v>
      </c>
      <c r="I42" s="1">
        <v>1</v>
      </c>
      <c r="J42" s="25">
        <v>0</v>
      </c>
      <c r="K42" s="25">
        <v>29</v>
      </c>
      <c r="L42" s="7">
        <f t="shared" si="1"/>
        <v>89</v>
      </c>
      <c r="M42" s="8">
        <f t="shared" si="0"/>
        <v>118</v>
      </c>
      <c r="N42" s="20"/>
    </row>
    <row r="43" spans="1:14" ht="15.75" thickBot="1" x14ac:dyDescent="0.3">
      <c r="A43" s="9" t="s">
        <v>48</v>
      </c>
      <c r="B43" s="23">
        <v>31</v>
      </c>
      <c r="C43" s="1">
        <v>29</v>
      </c>
      <c r="D43" s="23">
        <v>0</v>
      </c>
      <c r="E43" s="23">
        <v>0</v>
      </c>
      <c r="F43" s="1">
        <v>0</v>
      </c>
      <c r="G43" s="1">
        <v>2</v>
      </c>
      <c r="H43" s="24">
        <v>3</v>
      </c>
      <c r="I43" s="1">
        <v>2</v>
      </c>
      <c r="J43" s="25">
        <v>2</v>
      </c>
      <c r="K43" s="25">
        <v>20</v>
      </c>
      <c r="L43" s="7">
        <f t="shared" si="1"/>
        <v>69</v>
      </c>
      <c r="M43" s="8">
        <f t="shared" si="0"/>
        <v>89</v>
      </c>
      <c r="N43" s="20"/>
    </row>
    <row r="44" spans="1:14" ht="15.75" thickBot="1" x14ac:dyDescent="0.3">
      <c r="A44" s="9" t="s">
        <v>49</v>
      </c>
      <c r="B44" s="23">
        <v>37</v>
      </c>
      <c r="C44" s="1">
        <v>39</v>
      </c>
      <c r="D44" s="23">
        <v>0</v>
      </c>
      <c r="E44" s="23">
        <v>0</v>
      </c>
      <c r="F44" s="1">
        <v>0</v>
      </c>
      <c r="G44" s="1">
        <v>0</v>
      </c>
      <c r="H44" s="24">
        <v>1</v>
      </c>
      <c r="I44" s="1">
        <v>0</v>
      </c>
      <c r="J44" s="25">
        <v>0</v>
      </c>
      <c r="K44" s="25">
        <v>21</v>
      </c>
      <c r="L44" s="7">
        <f t="shared" si="1"/>
        <v>77</v>
      </c>
      <c r="M44" s="8">
        <f t="shared" si="0"/>
        <v>98</v>
      </c>
      <c r="N44" s="20"/>
    </row>
    <row r="45" spans="1:14" ht="15.75" thickBot="1" x14ac:dyDescent="0.3">
      <c r="A45" s="9" t="s">
        <v>50</v>
      </c>
      <c r="B45" s="23">
        <v>39</v>
      </c>
      <c r="C45" s="1">
        <v>55</v>
      </c>
      <c r="D45" s="23">
        <v>4</v>
      </c>
      <c r="E45" s="23">
        <v>0</v>
      </c>
      <c r="F45" s="1">
        <v>0</v>
      </c>
      <c r="G45" s="1">
        <v>4</v>
      </c>
      <c r="H45" s="24">
        <v>0</v>
      </c>
      <c r="I45" s="1">
        <v>0</v>
      </c>
      <c r="J45" s="25">
        <v>0</v>
      </c>
      <c r="K45" s="25">
        <v>37</v>
      </c>
      <c r="L45" s="7">
        <f t="shared" si="1"/>
        <v>102</v>
      </c>
      <c r="M45" s="8">
        <f t="shared" si="0"/>
        <v>139</v>
      </c>
      <c r="N45" s="20"/>
    </row>
    <row r="46" spans="1:14" ht="15.75" thickBot="1" x14ac:dyDescent="0.3">
      <c r="A46" s="9" t="s">
        <v>51</v>
      </c>
      <c r="B46" s="23">
        <v>14</v>
      </c>
      <c r="C46" s="1">
        <v>26</v>
      </c>
      <c r="D46" s="23">
        <v>0</v>
      </c>
      <c r="E46" s="23">
        <v>0</v>
      </c>
      <c r="F46" s="1">
        <v>0</v>
      </c>
      <c r="G46" s="1">
        <v>0</v>
      </c>
      <c r="H46" s="24">
        <v>1</v>
      </c>
      <c r="I46" s="1">
        <v>1</v>
      </c>
      <c r="J46" s="25">
        <v>0</v>
      </c>
      <c r="K46" s="25">
        <v>20</v>
      </c>
      <c r="L46" s="7">
        <f t="shared" si="1"/>
        <v>42</v>
      </c>
      <c r="M46" s="8">
        <f t="shared" si="0"/>
        <v>62</v>
      </c>
      <c r="N46" s="20"/>
    </row>
    <row r="47" spans="1:14" ht="15.75" thickBot="1" x14ac:dyDescent="0.3">
      <c r="A47" s="9" t="s">
        <v>52</v>
      </c>
      <c r="B47" s="23">
        <v>25</v>
      </c>
      <c r="C47" s="1">
        <v>30</v>
      </c>
      <c r="D47" s="23">
        <v>1</v>
      </c>
      <c r="E47" s="23">
        <v>0</v>
      </c>
      <c r="F47" s="1">
        <v>0</v>
      </c>
      <c r="G47" s="1">
        <v>0</v>
      </c>
      <c r="H47" s="24">
        <v>2</v>
      </c>
      <c r="I47" s="1">
        <v>1</v>
      </c>
      <c r="J47" s="25">
        <v>0</v>
      </c>
      <c r="K47" s="25">
        <v>26</v>
      </c>
      <c r="L47" s="7">
        <f t="shared" si="1"/>
        <v>59</v>
      </c>
      <c r="M47" s="8">
        <f t="shared" si="0"/>
        <v>85</v>
      </c>
      <c r="N47" s="20"/>
    </row>
    <row r="48" spans="1:14" ht="15.75" thickBot="1" x14ac:dyDescent="0.3">
      <c r="A48" s="9" t="s">
        <v>53</v>
      </c>
      <c r="B48" s="23">
        <v>26</v>
      </c>
      <c r="C48" s="1">
        <v>27</v>
      </c>
      <c r="D48" s="23">
        <v>2</v>
      </c>
      <c r="E48" s="23">
        <v>0</v>
      </c>
      <c r="F48" s="1">
        <v>0</v>
      </c>
      <c r="G48" s="1">
        <v>1</v>
      </c>
      <c r="H48" s="24">
        <v>1</v>
      </c>
      <c r="I48" s="1">
        <v>1</v>
      </c>
      <c r="J48" s="25">
        <v>0</v>
      </c>
      <c r="K48" s="25">
        <v>23</v>
      </c>
      <c r="L48" s="7">
        <f t="shared" si="1"/>
        <v>58</v>
      </c>
      <c r="M48" s="8">
        <f t="shared" si="0"/>
        <v>81</v>
      </c>
      <c r="N48" s="20"/>
    </row>
    <row r="49" spans="1:14" ht="15.75" thickBot="1" x14ac:dyDescent="0.3">
      <c r="A49" s="9" t="s">
        <v>54</v>
      </c>
      <c r="B49" s="23">
        <v>43</v>
      </c>
      <c r="C49" s="1">
        <v>48</v>
      </c>
      <c r="D49" s="23">
        <v>3</v>
      </c>
      <c r="E49" s="23">
        <v>2</v>
      </c>
      <c r="F49" s="1">
        <v>0</v>
      </c>
      <c r="G49" s="1">
        <v>3</v>
      </c>
      <c r="H49" s="24">
        <v>0</v>
      </c>
      <c r="I49" s="1">
        <v>0</v>
      </c>
      <c r="J49" s="25">
        <v>1</v>
      </c>
      <c r="K49" s="25">
        <v>22</v>
      </c>
      <c r="L49" s="7">
        <f t="shared" si="1"/>
        <v>100</v>
      </c>
      <c r="M49" s="8">
        <f t="shared" si="0"/>
        <v>122</v>
      </c>
      <c r="N49" s="20"/>
    </row>
    <row r="50" spans="1:14" ht="15.75" thickBot="1" x14ac:dyDescent="0.3">
      <c r="A50" s="9" t="s">
        <v>55</v>
      </c>
      <c r="B50" s="23">
        <v>21</v>
      </c>
      <c r="C50" s="1">
        <v>24</v>
      </c>
      <c r="D50" s="23">
        <v>1</v>
      </c>
      <c r="E50" s="23">
        <v>0</v>
      </c>
      <c r="F50" s="1">
        <v>0</v>
      </c>
      <c r="G50" s="1">
        <v>0</v>
      </c>
      <c r="H50" s="24">
        <v>0</v>
      </c>
      <c r="I50" s="1">
        <v>0</v>
      </c>
      <c r="J50" s="25">
        <v>0</v>
      </c>
      <c r="K50" s="25">
        <v>27</v>
      </c>
      <c r="L50" s="7">
        <f t="shared" si="1"/>
        <v>46</v>
      </c>
      <c r="M50" s="8">
        <f t="shared" si="0"/>
        <v>73</v>
      </c>
      <c r="N50" s="20"/>
    </row>
    <row r="51" spans="1:14" ht="15.75" thickBot="1" x14ac:dyDescent="0.3">
      <c r="A51" s="9" t="s">
        <v>56</v>
      </c>
      <c r="B51" s="23">
        <v>39</v>
      </c>
      <c r="C51" s="1">
        <v>35</v>
      </c>
      <c r="D51" s="23">
        <v>1</v>
      </c>
      <c r="E51" s="23">
        <v>0</v>
      </c>
      <c r="F51" s="1">
        <v>0</v>
      </c>
      <c r="G51" s="1">
        <v>0</v>
      </c>
      <c r="H51" s="24">
        <v>2</v>
      </c>
      <c r="I51" s="1">
        <v>0</v>
      </c>
      <c r="J51" s="25">
        <v>0</v>
      </c>
      <c r="K51" s="25">
        <v>30</v>
      </c>
      <c r="L51" s="7">
        <f t="shared" si="1"/>
        <v>77</v>
      </c>
      <c r="M51" s="8">
        <f t="shared" si="0"/>
        <v>107</v>
      </c>
      <c r="N51" s="20"/>
    </row>
    <row r="52" spans="1:14" ht="15.75" thickBot="1" x14ac:dyDescent="0.3">
      <c r="A52" s="9" t="s">
        <v>57</v>
      </c>
      <c r="B52" s="23">
        <v>18</v>
      </c>
      <c r="C52" s="1">
        <v>21</v>
      </c>
      <c r="D52" s="23">
        <v>0</v>
      </c>
      <c r="E52" s="23">
        <v>0</v>
      </c>
      <c r="F52" s="1">
        <v>0</v>
      </c>
      <c r="G52" s="1">
        <v>0</v>
      </c>
      <c r="H52" s="24">
        <v>0</v>
      </c>
      <c r="I52" s="1">
        <v>0</v>
      </c>
      <c r="J52" s="25">
        <v>0</v>
      </c>
      <c r="K52" s="25">
        <v>29</v>
      </c>
      <c r="L52" s="7">
        <f t="shared" si="1"/>
        <v>39</v>
      </c>
      <c r="M52" s="8">
        <f t="shared" si="0"/>
        <v>68</v>
      </c>
      <c r="N52" s="20"/>
    </row>
    <row r="53" spans="1:14" ht="15.75" thickBot="1" x14ac:dyDescent="0.3">
      <c r="A53" s="9" t="s">
        <v>58</v>
      </c>
      <c r="B53" s="23">
        <v>39</v>
      </c>
      <c r="C53" s="1">
        <v>39</v>
      </c>
      <c r="D53" s="23">
        <v>0</v>
      </c>
      <c r="E53" s="23">
        <v>2</v>
      </c>
      <c r="F53" s="1">
        <v>0</v>
      </c>
      <c r="G53" s="1">
        <v>2</v>
      </c>
      <c r="H53" s="24">
        <v>1</v>
      </c>
      <c r="I53" s="1">
        <v>0</v>
      </c>
      <c r="J53" s="25">
        <v>0</v>
      </c>
      <c r="K53" s="25">
        <v>25</v>
      </c>
      <c r="L53" s="7">
        <f t="shared" si="1"/>
        <v>83</v>
      </c>
      <c r="M53" s="8">
        <f t="shared" si="0"/>
        <v>108</v>
      </c>
      <c r="N53" s="20"/>
    </row>
    <row r="54" spans="1:14" ht="15.75" thickBot="1" x14ac:dyDescent="0.3">
      <c r="A54" s="9" t="s">
        <v>59</v>
      </c>
      <c r="B54" s="23">
        <v>21</v>
      </c>
      <c r="C54" s="1">
        <v>22</v>
      </c>
      <c r="D54" s="23">
        <v>1</v>
      </c>
      <c r="E54" s="23">
        <v>3</v>
      </c>
      <c r="F54" s="1">
        <v>0</v>
      </c>
      <c r="G54" s="1">
        <v>0</v>
      </c>
      <c r="H54" s="24">
        <v>2</v>
      </c>
      <c r="I54" s="1">
        <v>2</v>
      </c>
      <c r="J54" s="25">
        <v>2</v>
      </c>
      <c r="K54" s="25">
        <v>24</v>
      </c>
      <c r="L54" s="7">
        <f t="shared" si="1"/>
        <v>53</v>
      </c>
      <c r="M54" s="8">
        <f t="shared" si="0"/>
        <v>77</v>
      </c>
      <c r="N54" s="20"/>
    </row>
    <row r="55" spans="1:14" ht="15.75" thickBot="1" x14ac:dyDescent="0.3">
      <c r="A55" s="9" t="s">
        <v>60</v>
      </c>
      <c r="B55" s="23">
        <v>21</v>
      </c>
      <c r="C55" s="1">
        <v>22</v>
      </c>
      <c r="D55" s="23">
        <v>1</v>
      </c>
      <c r="E55" s="23">
        <v>3</v>
      </c>
      <c r="F55" s="1">
        <v>0</v>
      </c>
      <c r="G55" s="1">
        <v>0</v>
      </c>
      <c r="H55" s="24">
        <v>2</v>
      </c>
      <c r="I55" s="1">
        <v>2</v>
      </c>
      <c r="J55" s="25">
        <v>2</v>
      </c>
      <c r="K55" s="25">
        <v>24</v>
      </c>
      <c r="L55" s="7">
        <f t="shared" si="1"/>
        <v>53</v>
      </c>
      <c r="M55" s="8">
        <f t="shared" si="0"/>
        <v>77</v>
      </c>
      <c r="N55" s="20"/>
    </row>
    <row r="56" spans="1:14" ht="15.75" thickBot="1" x14ac:dyDescent="0.3">
      <c r="A56" s="9" t="s">
        <v>61</v>
      </c>
      <c r="B56" s="46">
        <v>22</v>
      </c>
      <c r="C56" s="1">
        <v>22</v>
      </c>
      <c r="D56" s="46">
        <v>0</v>
      </c>
      <c r="E56" s="46">
        <v>0</v>
      </c>
      <c r="F56" s="1">
        <v>0</v>
      </c>
      <c r="G56" s="1">
        <v>0</v>
      </c>
      <c r="H56" s="47">
        <v>1</v>
      </c>
      <c r="I56" s="1">
        <v>1</v>
      </c>
      <c r="J56" s="48">
        <v>0</v>
      </c>
      <c r="K56" s="48">
        <v>10</v>
      </c>
      <c r="L56" s="7">
        <f t="shared" si="1"/>
        <v>46</v>
      </c>
      <c r="M56" s="8">
        <f t="shared" si="0"/>
        <v>56</v>
      </c>
      <c r="N56" s="20"/>
    </row>
    <row r="57" spans="1:14" ht="15.75" thickBot="1" x14ac:dyDescent="0.3">
      <c r="A57" s="9" t="s">
        <v>62</v>
      </c>
      <c r="B57" s="46">
        <v>34</v>
      </c>
      <c r="C57" s="1">
        <v>39</v>
      </c>
      <c r="D57" s="46">
        <v>1</v>
      </c>
      <c r="E57" s="46">
        <v>0</v>
      </c>
      <c r="F57" s="1">
        <v>0</v>
      </c>
      <c r="G57" s="1">
        <v>1</v>
      </c>
      <c r="H57" s="47">
        <v>1</v>
      </c>
      <c r="I57" s="1">
        <v>1</v>
      </c>
      <c r="J57" s="48">
        <v>0</v>
      </c>
      <c r="K57" s="48">
        <v>42</v>
      </c>
      <c r="L57" s="7">
        <f t="shared" si="1"/>
        <v>77</v>
      </c>
      <c r="M57" s="8">
        <f t="shared" si="0"/>
        <v>119</v>
      </c>
      <c r="N57" s="20"/>
    </row>
    <row r="58" spans="1:14" ht="15.75" thickBot="1" x14ac:dyDescent="0.3">
      <c r="A58" s="9" t="s">
        <v>63</v>
      </c>
      <c r="B58" s="46">
        <v>19</v>
      </c>
      <c r="C58" s="1">
        <v>12</v>
      </c>
      <c r="D58" s="46">
        <v>0</v>
      </c>
      <c r="E58" s="46">
        <v>0</v>
      </c>
      <c r="F58" s="1">
        <v>0</v>
      </c>
      <c r="G58" s="1">
        <v>1</v>
      </c>
      <c r="H58" s="47">
        <v>1</v>
      </c>
      <c r="I58" s="1">
        <v>0</v>
      </c>
      <c r="J58" s="48">
        <v>0</v>
      </c>
      <c r="K58" s="48">
        <v>12</v>
      </c>
      <c r="L58" s="7">
        <f t="shared" si="1"/>
        <v>33</v>
      </c>
      <c r="M58" s="8">
        <f t="shared" si="0"/>
        <v>45</v>
      </c>
      <c r="N58" s="20"/>
    </row>
    <row r="59" spans="1:14" ht="15.75" thickBot="1" x14ac:dyDescent="0.3">
      <c r="A59" s="9" t="s">
        <v>64</v>
      </c>
      <c r="B59" s="46">
        <v>26</v>
      </c>
      <c r="C59" s="1">
        <v>31</v>
      </c>
      <c r="D59" s="46">
        <v>1</v>
      </c>
      <c r="E59" s="46">
        <v>0</v>
      </c>
      <c r="F59" s="1">
        <v>0</v>
      </c>
      <c r="G59" s="1">
        <v>1</v>
      </c>
      <c r="H59" s="47">
        <v>1</v>
      </c>
      <c r="I59" s="1">
        <v>3</v>
      </c>
      <c r="J59" s="48">
        <v>0</v>
      </c>
      <c r="K59" s="48">
        <v>15</v>
      </c>
      <c r="L59" s="7">
        <f t="shared" si="1"/>
        <v>63</v>
      </c>
      <c r="M59" s="8">
        <f t="shared" si="0"/>
        <v>78</v>
      </c>
      <c r="N59" s="20"/>
    </row>
    <row r="60" spans="1:14" ht="15.75" thickBot="1" x14ac:dyDescent="0.3">
      <c r="A60" s="9" t="s">
        <v>65</v>
      </c>
      <c r="B60" s="46">
        <v>30</v>
      </c>
      <c r="C60" s="1">
        <v>34</v>
      </c>
      <c r="D60" s="46">
        <v>2</v>
      </c>
      <c r="E60" s="46">
        <v>0</v>
      </c>
      <c r="F60" s="1">
        <v>0</v>
      </c>
      <c r="G60" s="1">
        <v>0</v>
      </c>
      <c r="H60" s="47">
        <v>2</v>
      </c>
      <c r="I60" s="1">
        <v>4</v>
      </c>
      <c r="J60" s="48">
        <v>0</v>
      </c>
      <c r="K60" s="48">
        <v>10</v>
      </c>
      <c r="L60" s="7">
        <f t="shared" si="1"/>
        <v>72</v>
      </c>
      <c r="M60" s="8">
        <f t="shared" si="0"/>
        <v>82</v>
      </c>
      <c r="N60" s="20"/>
    </row>
    <row r="61" spans="1:14" ht="15.75" thickBot="1" x14ac:dyDescent="0.3">
      <c r="A61" s="9" t="s">
        <v>66</v>
      </c>
      <c r="B61" s="46">
        <v>12</v>
      </c>
      <c r="C61" s="1">
        <v>20</v>
      </c>
      <c r="D61" s="46">
        <v>0</v>
      </c>
      <c r="E61" s="46">
        <v>0</v>
      </c>
      <c r="F61" s="1">
        <v>0</v>
      </c>
      <c r="G61" s="1">
        <v>1</v>
      </c>
      <c r="H61" s="47">
        <v>1</v>
      </c>
      <c r="I61" s="1">
        <v>0</v>
      </c>
      <c r="J61" s="48">
        <v>0</v>
      </c>
      <c r="K61" s="48">
        <v>24</v>
      </c>
      <c r="L61" s="7">
        <f t="shared" si="1"/>
        <v>34</v>
      </c>
      <c r="M61" s="8">
        <f t="shared" si="0"/>
        <v>58</v>
      </c>
      <c r="N61" s="20"/>
    </row>
    <row r="62" spans="1:14" ht="15.75" thickBot="1" x14ac:dyDescent="0.3">
      <c r="A62" s="10" t="s">
        <v>67</v>
      </c>
      <c r="B62" s="46">
        <v>31</v>
      </c>
      <c r="C62" s="1">
        <v>30</v>
      </c>
      <c r="D62" s="46">
        <v>0</v>
      </c>
      <c r="E62" s="46">
        <v>0</v>
      </c>
      <c r="F62" s="1">
        <v>0</v>
      </c>
      <c r="G62" s="1">
        <v>1</v>
      </c>
      <c r="H62" s="47">
        <v>0</v>
      </c>
      <c r="I62" s="1">
        <v>0</v>
      </c>
      <c r="J62" s="48">
        <v>0</v>
      </c>
      <c r="K62" s="48">
        <v>25</v>
      </c>
      <c r="L62" s="7">
        <f t="shared" si="1"/>
        <v>62</v>
      </c>
      <c r="M62" s="8">
        <f t="shared" si="0"/>
        <v>87</v>
      </c>
      <c r="N62" s="20"/>
    </row>
    <row r="63" spans="1:14" ht="15.75" thickBot="1" x14ac:dyDescent="0.3">
      <c r="A63" s="9" t="s">
        <v>68</v>
      </c>
      <c r="B63" s="46">
        <v>31</v>
      </c>
      <c r="C63" s="1">
        <v>40</v>
      </c>
      <c r="D63" s="46">
        <v>0</v>
      </c>
      <c r="E63" s="46">
        <v>0</v>
      </c>
      <c r="F63" s="1">
        <v>0</v>
      </c>
      <c r="G63" s="1">
        <v>0</v>
      </c>
      <c r="H63" s="47">
        <v>4</v>
      </c>
      <c r="I63" s="1">
        <v>3</v>
      </c>
      <c r="J63" s="48">
        <v>0</v>
      </c>
      <c r="K63" s="48">
        <v>26</v>
      </c>
      <c r="L63" s="7">
        <f t="shared" si="1"/>
        <v>78</v>
      </c>
      <c r="M63" s="8">
        <f t="shared" si="0"/>
        <v>104</v>
      </c>
      <c r="N63" s="20"/>
    </row>
    <row r="64" spans="1:14" ht="15.75" thickBot="1" x14ac:dyDescent="0.3">
      <c r="A64" s="9" t="s">
        <v>69</v>
      </c>
      <c r="B64" s="46">
        <v>30</v>
      </c>
      <c r="C64" s="1">
        <v>40</v>
      </c>
      <c r="D64" s="46">
        <v>0</v>
      </c>
      <c r="E64" s="46">
        <v>1</v>
      </c>
      <c r="F64" s="1">
        <v>0</v>
      </c>
      <c r="G64" s="1">
        <v>0</v>
      </c>
      <c r="H64" s="47">
        <v>0</v>
      </c>
      <c r="I64" s="1">
        <v>0</v>
      </c>
      <c r="J64" s="48">
        <v>0</v>
      </c>
      <c r="K64" s="48">
        <v>20</v>
      </c>
      <c r="L64" s="7">
        <f t="shared" si="1"/>
        <v>71</v>
      </c>
      <c r="M64" s="8">
        <f>SUM(B64:K64)</f>
        <v>91</v>
      </c>
      <c r="N64" s="20"/>
    </row>
    <row r="65" spans="1:14" ht="15.75" thickBot="1" x14ac:dyDescent="0.3">
      <c r="A65" s="11" t="s">
        <v>70</v>
      </c>
      <c r="B65" s="46">
        <v>75</v>
      </c>
      <c r="C65" s="1">
        <v>58</v>
      </c>
      <c r="D65" s="46">
        <v>3</v>
      </c>
      <c r="E65" s="46">
        <v>0</v>
      </c>
      <c r="F65" s="1">
        <v>0</v>
      </c>
      <c r="G65" s="1">
        <v>1</v>
      </c>
      <c r="H65" s="47">
        <v>1</v>
      </c>
      <c r="I65" s="1">
        <v>1</v>
      </c>
      <c r="J65" s="48">
        <v>0</v>
      </c>
      <c r="K65" s="48">
        <v>42</v>
      </c>
      <c r="L65" s="7">
        <f t="shared" si="1"/>
        <v>139</v>
      </c>
      <c r="M65" s="8">
        <f>SUM(B65:K65)</f>
        <v>181</v>
      </c>
      <c r="N65" s="20"/>
    </row>
    <row r="66" spans="1:14" ht="15.75" thickBot="1" x14ac:dyDescent="0.3">
      <c r="A66" s="9" t="s">
        <v>71</v>
      </c>
      <c r="B66" s="46">
        <v>72</v>
      </c>
      <c r="C66" s="1">
        <v>63</v>
      </c>
      <c r="D66" s="46">
        <v>4</v>
      </c>
      <c r="E66" s="46">
        <v>2</v>
      </c>
      <c r="F66" s="1">
        <v>2</v>
      </c>
      <c r="G66" s="1">
        <v>3</v>
      </c>
      <c r="H66" s="47">
        <v>5</v>
      </c>
      <c r="I66" s="1">
        <v>0</v>
      </c>
      <c r="J66" s="48">
        <v>1</v>
      </c>
      <c r="K66" s="48">
        <v>30</v>
      </c>
      <c r="L66" s="7">
        <f t="shared" si="1"/>
        <v>152</v>
      </c>
      <c r="M66" s="8">
        <f t="shared" si="0"/>
        <v>182</v>
      </c>
      <c r="N66" s="20"/>
    </row>
    <row r="67" spans="1:14" ht="15.75" thickBot="1" x14ac:dyDescent="0.3">
      <c r="A67" s="9" t="s">
        <v>72</v>
      </c>
      <c r="B67" s="46">
        <v>23</v>
      </c>
      <c r="C67" s="1">
        <v>24</v>
      </c>
      <c r="D67" s="46">
        <v>0</v>
      </c>
      <c r="E67" s="46">
        <v>1</v>
      </c>
      <c r="F67" s="1">
        <v>0</v>
      </c>
      <c r="G67" s="1">
        <v>0</v>
      </c>
      <c r="H67" s="47">
        <v>2</v>
      </c>
      <c r="I67" s="1">
        <v>2</v>
      </c>
      <c r="J67" s="48">
        <v>0</v>
      </c>
      <c r="K67" s="48">
        <v>11</v>
      </c>
      <c r="L67" s="7">
        <f t="shared" si="1"/>
        <v>52</v>
      </c>
      <c r="M67" s="8">
        <f>SUM(B67:K67)</f>
        <v>63</v>
      </c>
      <c r="N67" s="20"/>
    </row>
    <row r="68" spans="1:14" ht="15.75" thickBot="1" x14ac:dyDescent="0.3">
      <c r="A68" s="9" t="s">
        <v>90</v>
      </c>
      <c r="B68" s="46">
        <v>30</v>
      </c>
      <c r="C68" s="1">
        <v>32</v>
      </c>
      <c r="D68" s="46">
        <v>1</v>
      </c>
      <c r="E68" s="46">
        <v>0</v>
      </c>
      <c r="F68" s="1">
        <v>0</v>
      </c>
      <c r="G68" s="1">
        <v>2</v>
      </c>
      <c r="H68" s="47">
        <v>2</v>
      </c>
      <c r="I68" s="1">
        <v>0</v>
      </c>
      <c r="J68" s="48">
        <v>0</v>
      </c>
      <c r="K68" s="48">
        <v>17</v>
      </c>
      <c r="L68" s="7">
        <f t="shared" si="1"/>
        <v>67</v>
      </c>
      <c r="M68" s="8">
        <f t="shared" ref="M68:M71" si="2">SUM(B68:K68)</f>
        <v>84</v>
      </c>
      <c r="N68" s="20"/>
    </row>
    <row r="69" spans="1:14" ht="15.75" thickBot="1" x14ac:dyDescent="0.3">
      <c r="A69" s="9" t="s">
        <v>91</v>
      </c>
      <c r="B69" s="46">
        <v>41</v>
      </c>
      <c r="C69" s="1">
        <v>47</v>
      </c>
      <c r="D69" s="46">
        <v>0</v>
      </c>
      <c r="E69" s="46">
        <v>0</v>
      </c>
      <c r="F69" s="1">
        <v>0</v>
      </c>
      <c r="G69" s="1">
        <v>0</v>
      </c>
      <c r="H69" s="47">
        <v>1</v>
      </c>
      <c r="I69" s="1">
        <v>0</v>
      </c>
      <c r="J69" s="48">
        <v>0</v>
      </c>
      <c r="K69" s="48">
        <v>19</v>
      </c>
      <c r="L69" s="7">
        <f t="shared" si="1"/>
        <v>89</v>
      </c>
      <c r="M69" s="8">
        <f t="shared" si="2"/>
        <v>108</v>
      </c>
      <c r="N69" s="20"/>
    </row>
    <row r="70" spans="1:14" ht="15.75" thickBot="1" x14ac:dyDescent="0.3">
      <c r="A70" s="9" t="s">
        <v>92</v>
      </c>
      <c r="B70" s="46">
        <v>52</v>
      </c>
      <c r="C70" s="1">
        <v>58</v>
      </c>
      <c r="D70" s="46">
        <v>4</v>
      </c>
      <c r="E70" s="46">
        <v>0</v>
      </c>
      <c r="F70" s="1">
        <v>1</v>
      </c>
      <c r="G70" s="1">
        <v>1</v>
      </c>
      <c r="H70" s="47">
        <v>3</v>
      </c>
      <c r="I70" s="1">
        <v>0</v>
      </c>
      <c r="J70" s="48">
        <v>0</v>
      </c>
      <c r="K70" s="48">
        <v>21</v>
      </c>
      <c r="L70" s="7">
        <f t="shared" si="1"/>
        <v>119</v>
      </c>
      <c r="M70" s="8">
        <f t="shared" si="2"/>
        <v>140</v>
      </c>
      <c r="N70" s="20"/>
    </row>
    <row r="71" spans="1:14" ht="15.75" thickBot="1" x14ac:dyDescent="0.3">
      <c r="A71" s="9" t="s">
        <v>93</v>
      </c>
      <c r="B71" s="46">
        <v>54</v>
      </c>
      <c r="C71" s="1">
        <v>52</v>
      </c>
      <c r="D71" s="46">
        <v>0</v>
      </c>
      <c r="E71" s="46">
        <v>1</v>
      </c>
      <c r="F71" s="1">
        <v>0</v>
      </c>
      <c r="G71" s="1">
        <v>0</v>
      </c>
      <c r="H71" s="47">
        <v>0</v>
      </c>
      <c r="I71" s="1">
        <v>2</v>
      </c>
      <c r="J71" s="48">
        <v>0</v>
      </c>
      <c r="K71" s="48">
        <v>17</v>
      </c>
      <c r="L71" s="7">
        <f t="shared" si="1"/>
        <v>109</v>
      </c>
      <c r="M71" s="8">
        <f t="shared" si="2"/>
        <v>126</v>
      </c>
      <c r="N71" s="20"/>
    </row>
    <row r="72" spans="1:14" ht="15.75" thickBot="1" x14ac:dyDescent="0.3">
      <c r="B72" s="12">
        <f>SUM(B8:B71)</f>
        <v>1908</v>
      </c>
      <c r="C72" s="12">
        <f t="shared" ref="C72:K72" si="3">SUM(C8:C71)</f>
        <v>2012</v>
      </c>
      <c r="D72" s="12">
        <f t="shared" si="3"/>
        <v>100</v>
      </c>
      <c r="E72" s="12">
        <f t="shared" si="3"/>
        <v>19</v>
      </c>
      <c r="F72" s="12">
        <f t="shared" si="3"/>
        <v>7</v>
      </c>
      <c r="G72" s="12">
        <f t="shared" si="3"/>
        <v>95</v>
      </c>
      <c r="H72" s="12">
        <f t="shared" si="3"/>
        <v>83</v>
      </c>
      <c r="I72" s="12">
        <f t="shared" si="3"/>
        <v>50</v>
      </c>
      <c r="J72" s="12">
        <f t="shared" si="3"/>
        <v>28</v>
      </c>
      <c r="K72" s="12">
        <f t="shared" si="3"/>
        <v>1693</v>
      </c>
      <c r="L72" s="12">
        <f>SUM(B72:J72)</f>
        <v>4302</v>
      </c>
      <c r="M72" s="8">
        <f>SUM(B72:K72)</f>
        <v>5995</v>
      </c>
      <c r="N72" s="20"/>
    </row>
    <row r="73" spans="1:14" ht="15.75" thickBot="1" x14ac:dyDescent="0.3">
      <c r="A73" s="57" t="s">
        <v>118</v>
      </c>
      <c r="B73" s="58">
        <f>AVERAGE(B8:B23)*4</f>
        <v>90.5</v>
      </c>
      <c r="C73" s="58">
        <f t="shared" ref="C73:K73" si="4">AVERAGE(C8:C23)*4</f>
        <v>87.25</v>
      </c>
      <c r="D73" s="58">
        <f t="shared" si="4"/>
        <v>6.25</v>
      </c>
      <c r="E73" s="58">
        <f t="shared" si="4"/>
        <v>0.5</v>
      </c>
      <c r="F73" s="58">
        <f t="shared" si="4"/>
        <v>0.75</v>
      </c>
      <c r="G73" s="58">
        <f t="shared" si="4"/>
        <v>5.25</v>
      </c>
      <c r="H73" s="58">
        <f t="shared" si="4"/>
        <v>3</v>
      </c>
      <c r="I73" s="58">
        <f t="shared" si="4"/>
        <v>2</v>
      </c>
      <c r="J73" s="58">
        <f t="shared" si="4"/>
        <v>1.75</v>
      </c>
      <c r="K73" s="58">
        <f t="shared" si="4"/>
        <v>96.75</v>
      </c>
      <c r="M73" s="12">
        <f>SUM(M8:M71)</f>
        <v>5995</v>
      </c>
      <c r="N73" s="20"/>
    </row>
    <row r="74" spans="1:14" x14ac:dyDescent="0.25">
      <c r="A74" s="57" t="s">
        <v>119</v>
      </c>
      <c r="B74" s="58">
        <f>AVERAGE(B48:B59)*4</f>
        <v>109.66666666666667</v>
      </c>
      <c r="C74" s="58">
        <f t="shared" ref="C74:K74" si="5">AVERAGE(C48:C59)*4</f>
        <v>114</v>
      </c>
      <c r="D74" s="58">
        <f t="shared" si="5"/>
        <v>3.6666666666666665</v>
      </c>
      <c r="E74" s="58">
        <f t="shared" si="5"/>
        <v>3.3333333333333335</v>
      </c>
      <c r="F74" s="58">
        <f t="shared" si="5"/>
        <v>0</v>
      </c>
      <c r="G74" s="58">
        <f t="shared" si="5"/>
        <v>3</v>
      </c>
      <c r="H74" s="58">
        <f t="shared" si="5"/>
        <v>4</v>
      </c>
      <c r="I74" s="58">
        <f t="shared" si="5"/>
        <v>3.3333333333333335</v>
      </c>
      <c r="J74" s="58">
        <f t="shared" si="5"/>
        <v>1.6666666666666667</v>
      </c>
      <c r="K74" s="58">
        <f t="shared" si="5"/>
        <v>94.333333333333329</v>
      </c>
    </row>
  </sheetData>
  <mergeCells count="8">
    <mergeCell ref="A6:M6"/>
    <mergeCell ref="A1:M1"/>
    <mergeCell ref="A2:M2"/>
    <mergeCell ref="A3:M3"/>
    <mergeCell ref="G4:H4"/>
    <mergeCell ref="B5:C5"/>
    <mergeCell ref="G5:H5"/>
    <mergeCell ref="B4:C4"/>
  </mergeCells>
  <pageMargins left="0.7" right="0.7" top="0.75" bottom="0.75" header="0.3" footer="0.3"/>
  <pageSetup scale="4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74"/>
  <sheetViews>
    <sheetView view="pageBreakPreview" zoomScale="90" zoomScaleSheetLayoutView="90" workbookViewId="0">
      <selection activeCell="B4" sqref="B4:C4"/>
    </sheetView>
  </sheetViews>
  <sheetFormatPr defaultColWidth="13.28515625" defaultRowHeight="15" x14ac:dyDescent="0.25"/>
  <cols>
    <col min="1" max="1" width="14.85546875" customWidth="1"/>
    <col min="2" max="2" width="11.7109375" customWidth="1"/>
    <col min="3" max="3" width="13.28515625" customWidth="1"/>
    <col min="4" max="4" width="12.7109375" customWidth="1"/>
    <col min="5" max="6" width="13.28515625" customWidth="1"/>
    <col min="7" max="7" width="11.42578125" customWidth="1"/>
    <col min="8" max="8" width="13.28515625" customWidth="1"/>
    <col min="9" max="9" width="11.42578125" customWidth="1"/>
    <col min="10" max="10" width="13.28515625" customWidth="1"/>
    <col min="11" max="11" width="12" customWidth="1"/>
    <col min="12" max="12" width="9.28515625" customWidth="1"/>
    <col min="13" max="13" width="10.7109375" customWidth="1"/>
    <col min="14" max="14" width="12.7109375" customWidth="1"/>
    <col min="15" max="15" width="6.42578125" style="22" customWidth="1"/>
  </cols>
  <sheetData>
    <row r="1" spans="1:15" ht="18.75" x14ac:dyDescent="0.3">
      <c r="A1" s="62" t="s">
        <v>120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32"/>
    </row>
    <row r="2" spans="1:15" ht="18.75" x14ac:dyDescent="0.3">
      <c r="A2" s="65" t="s">
        <v>94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7"/>
      <c r="N2" s="32"/>
    </row>
    <row r="3" spans="1:15" x14ac:dyDescent="0.25">
      <c r="A3" s="68"/>
      <c r="B3" s="69"/>
      <c r="C3" s="69"/>
      <c r="D3" s="69"/>
      <c r="E3" s="60"/>
      <c r="F3" s="69"/>
      <c r="G3" s="69"/>
      <c r="H3" s="69"/>
      <c r="I3" s="69"/>
      <c r="J3" s="60"/>
      <c r="K3" s="69"/>
      <c r="L3" s="69"/>
      <c r="M3" s="70"/>
      <c r="N3" s="30"/>
    </row>
    <row r="4" spans="1:15" x14ac:dyDescent="0.25">
      <c r="A4" s="50" t="s">
        <v>112</v>
      </c>
      <c r="B4" s="73">
        <v>43797</v>
      </c>
      <c r="C4" s="72"/>
      <c r="D4" s="15"/>
      <c r="E4" s="16"/>
      <c r="F4" s="49" t="s">
        <v>73</v>
      </c>
      <c r="G4" s="71" t="s">
        <v>109</v>
      </c>
      <c r="H4" s="71"/>
      <c r="I4" s="13"/>
      <c r="J4" s="13"/>
      <c r="K4" s="13"/>
      <c r="L4" s="13"/>
      <c r="M4" s="14"/>
      <c r="N4" s="17"/>
    </row>
    <row r="5" spans="1:15" x14ac:dyDescent="0.25">
      <c r="A5" s="50" t="s">
        <v>108</v>
      </c>
      <c r="B5" s="72" t="s">
        <v>96</v>
      </c>
      <c r="C5" s="72"/>
      <c r="D5" s="15"/>
      <c r="E5" s="16"/>
      <c r="F5" s="50" t="s">
        <v>74</v>
      </c>
      <c r="G5" s="72" t="s">
        <v>95</v>
      </c>
      <c r="H5" s="72"/>
      <c r="I5" s="15"/>
      <c r="J5" s="15"/>
      <c r="K5" s="15"/>
      <c r="L5" s="15"/>
      <c r="M5" s="16"/>
      <c r="N5" s="18"/>
    </row>
    <row r="6" spans="1:15" ht="15.75" thickBot="1" x14ac:dyDescent="0.3">
      <c r="A6" s="59"/>
      <c r="B6" s="60"/>
      <c r="C6" s="60"/>
      <c r="D6" s="60"/>
      <c r="E6" s="60"/>
      <c r="F6" s="60"/>
      <c r="G6" s="60"/>
      <c r="H6" s="60"/>
      <c r="I6" s="60"/>
      <c r="J6" s="60"/>
      <c r="K6" s="60"/>
      <c r="L6" s="60"/>
      <c r="M6" s="61"/>
      <c r="N6" s="30"/>
    </row>
    <row r="7" spans="1:15" ht="42.75" customHeight="1" thickBot="1" x14ac:dyDescent="0.3">
      <c r="A7" s="2" t="s">
        <v>0</v>
      </c>
      <c r="B7" s="3" t="s">
        <v>1</v>
      </c>
      <c r="C7" s="4" t="s">
        <v>2</v>
      </c>
      <c r="D7" s="3" t="s">
        <v>3</v>
      </c>
      <c r="E7" s="3" t="s">
        <v>4</v>
      </c>
      <c r="F7" s="4" t="s">
        <v>5</v>
      </c>
      <c r="G7" s="4" t="s">
        <v>6</v>
      </c>
      <c r="H7" s="5" t="s">
        <v>7</v>
      </c>
      <c r="I7" s="4" t="s">
        <v>8</v>
      </c>
      <c r="J7" s="6" t="s">
        <v>9</v>
      </c>
      <c r="K7" s="6" t="s">
        <v>10</v>
      </c>
      <c r="L7" s="27" t="s">
        <v>12</v>
      </c>
      <c r="M7" s="28" t="s">
        <v>11</v>
      </c>
      <c r="N7" s="19"/>
    </row>
    <row r="8" spans="1:15" ht="15.75" thickBot="1" x14ac:dyDescent="0.3">
      <c r="A8" s="9" t="s">
        <v>13</v>
      </c>
      <c r="B8" s="29">
        <v>48</v>
      </c>
      <c r="C8" s="1">
        <v>55</v>
      </c>
      <c r="D8" s="29">
        <v>0</v>
      </c>
      <c r="E8" s="29">
        <v>0</v>
      </c>
      <c r="F8" s="1">
        <v>2</v>
      </c>
      <c r="G8" s="1">
        <v>1</v>
      </c>
      <c r="H8" s="30">
        <v>0</v>
      </c>
      <c r="I8" s="1">
        <v>0</v>
      </c>
      <c r="J8" s="31">
        <v>0</v>
      </c>
      <c r="K8" s="31">
        <v>16</v>
      </c>
      <c r="L8" s="7">
        <f>SUM(B8:J8)</f>
        <v>106</v>
      </c>
      <c r="M8" s="8">
        <f t="shared" ref="M8:M66" si="0">SUM(B8:K8)</f>
        <v>122</v>
      </c>
      <c r="N8" s="21" t="s">
        <v>75</v>
      </c>
      <c r="O8" s="22">
        <f>SUM(L8:L11)</f>
        <v>408</v>
      </c>
    </row>
    <row r="9" spans="1:15" ht="15.75" thickBot="1" x14ac:dyDescent="0.3">
      <c r="A9" s="9" t="s">
        <v>14</v>
      </c>
      <c r="B9" s="29">
        <v>33</v>
      </c>
      <c r="C9" s="1">
        <v>47</v>
      </c>
      <c r="D9" s="29">
        <v>0</v>
      </c>
      <c r="E9" s="29">
        <v>0</v>
      </c>
      <c r="F9" s="1">
        <v>0</v>
      </c>
      <c r="G9" s="1">
        <v>0</v>
      </c>
      <c r="H9" s="30">
        <v>2</v>
      </c>
      <c r="I9" s="1">
        <v>0</v>
      </c>
      <c r="J9" s="31">
        <v>0</v>
      </c>
      <c r="K9" s="31">
        <v>11</v>
      </c>
      <c r="L9" s="7">
        <f t="shared" ref="L9:L71" si="1">SUM(B9:J9)</f>
        <v>82</v>
      </c>
      <c r="M9" s="8">
        <f t="shared" si="0"/>
        <v>93</v>
      </c>
      <c r="N9" s="21" t="s">
        <v>76</v>
      </c>
      <c r="O9" s="22">
        <f>SUM(L12:L15)</f>
        <v>335</v>
      </c>
    </row>
    <row r="10" spans="1:15" ht="15.75" thickBot="1" x14ac:dyDescent="0.3">
      <c r="A10" s="9" t="s">
        <v>15</v>
      </c>
      <c r="B10" s="29">
        <v>55</v>
      </c>
      <c r="C10" s="1">
        <v>57</v>
      </c>
      <c r="D10" s="29">
        <v>3</v>
      </c>
      <c r="E10" s="29">
        <v>0</v>
      </c>
      <c r="F10" s="1">
        <v>0</v>
      </c>
      <c r="G10" s="1">
        <v>0</v>
      </c>
      <c r="H10" s="30">
        <v>0</v>
      </c>
      <c r="I10" s="1">
        <v>0</v>
      </c>
      <c r="J10" s="31">
        <v>0</v>
      </c>
      <c r="K10" s="31">
        <v>22</v>
      </c>
      <c r="L10" s="7">
        <f t="shared" si="1"/>
        <v>115</v>
      </c>
      <c r="M10" s="8">
        <f t="shared" si="0"/>
        <v>137</v>
      </c>
      <c r="N10" s="21" t="s">
        <v>77</v>
      </c>
      <c r="O10" s="22">
        <f>SUM(L16:L19)</f>
        <v>464</v>
      </c>
    </row>
    <row r="11" spans="1:15" ht="15.75" thickBot="1" x14ac:dyDescent="0.3">
      <c r="A11" s="9" t="s">
        <v>16</v>
      </c>
      <c r="B11" s="29">
        <v>47</v>
      </c>
      <c r="C11" s="1">
        <v>56</v>
      </c>
      <c r="D11" s="29">
        <v>2</v>
      </c>
      <c r="E11" s="29">
        <v>0</v>
      </c>
      <c r="F11" s="1">
        <v>0</v>
      </c>
      <c r="G11" s="1">
        <v>0</v>
      </c>
      <c r="H11" s="30">
        <v>0</v>
      </c>
      <c r="I11" s="1">
        <v>0</v>
      </c>
      <c r="J11" s="31">
        <v>0</v>
      </c>
      <c r="K11" s="31">
        <v>36</v>
      </c>
      <c r="L11" s="7">
        <f t="shared" si="1"/>
        <v>105</v>
      </c>
      <c r="M11" s="8">
        <f t="shared" si="0"/>
        <v>141</v>
      </c>
      <c r="N11" s="21" t="s">
        <v>78</v>
      </c>
      <c r="O11" s="22">
        <f>SUM(L20:L23)</f>
        <v>469</v>
      </c>
    </row>
    <row r="12" spans="1:15" ht="15.75" thickBot="1" x14ac:dyDescent="0.3">
      <c r="A12" s="9" t="s">
        <v>17</v>
      </c>
      <c r="B12" s="29">
        <v>20</v>
      </c>
      <c r="C12" s="1">
        <v>37</v>
      </c>
      <c r="D12" s="29">
        <v>3</v>
      </c>
      <c r="E12" s="29">
        <v>0</v>
      </c>
      <c r="F12" s="1">
        <v>0</v>
      </c>
      <c r="G12" s="1">
        <v>0</v>
      </c>
      <c r="H12" s="30">
        <v>0</v>
      </c>
      <c r="I12" s="1">
        <v>0</v>
      </c>
      <c r="J12" s="31">
        <v>0</v>
      </c>
      <c r="K12" s="31">
        <v>19</v>
      </c>
      <c r="L12" s="7">
        <f t="shared" si="1"/>
        <v>60</v>
      </c>
      <c r="M12" s="8">
        <f t="shared" si="0"/>
        <v>79</v>
      </c>
      <c r="N12" s="21" t="s">
        <v>79</v>
      </c>
      <c r="O12" s="22">
        <f>SUM(L24:L27)</f>
        <v>326</v>
      </c>
    </row>
    <row r="13" spans="1:15" ht="15.75" thickBot="1" x14ac:dyDescent="0.3">
      <c r="A13" s="9" t="s">
        <v>18</v>
      </c>
      <c r="B13" s="29">
        <v>30</v>
      </c>
      <c r="C13" s="1">
        <v>34</v>
      </c>
      <c r="D13" s="29">
        <v>1</v>
      </c>
      <c r="E13" s="29">
        <v>0</v>
      </c>
      <c r="F13" s="1">
        <v>0</v>
      </c>
      <c r="G13" s="1">
        <v>0</v>
      </c>
      <c r="H13" s="30">
        <v>0</v>
      </c>
      <c r="I13" s="1">
        <v>0</v>
      </c>
      <c r="J13" s="31">
        <v>0</v>
      </c>
      <c r="K13" s="31">
        <v>29</v>
      </c>
      <c r="L13" s="7">
        <f t="shared" si="1"/>
        <v>65</v>
      </c>
      <c r="M13" s="8">
        <f t="shared" si="0"/>
        <v>94</v>
      </c>
      <c r="N13" s="21" t="s">
        <v>80</v>
      </c>
      <c r="O13" s="22">
        <f>SUM(L28:L31)</f>
        <v>411</v>
      </c>
    </row>
    <row r="14" spans="1:15" ht="15.75" thickBot="1" x14ac:dyDescent="0.3">
      <c r="A14" s="9" t="s">
        <v>19</v>
      </c>
      <c r="B14" s="29">
        <v>49</v>
      </c>
      <c r="C14" s="1">
        <v>65</v>
      </c>
      <c r="D14" s="29">
        <v>0</v>
      </c>
      <c r="E14" s="29">
        <v>0</v>
      </c>
      <c r="F14" s="1">
        <v>0</v>
      </c>
      <c r="G14" s="1">
        <v>0</v>
      </c>
      <c r="H14" s="30">
        <v>1</v>
      </c>
      <c r="I14" s="1">
        <v>0</v>
      </c>
      <c r="J14" s="31">
        <v>0</v>
      </c>
      <c r="K14" s="31">
        <v>70</v>
      </c>
      <c r="L14" s="7">
        <f t="shared" si="1"/>
        <v>115</v>
      </c>
      <c r="M14" s="8">
        <f t="shared" si="0"/>
        <v>185</v>
      </c>
      <c r="N14" s="21" t="s">
        <v>81</v>
      </c>
      <c r="O14" s="22">
        <f>SUM(L32:L35)</f>
        <v>297</v>
      </c>
    </row>
    <row r="15" spans="1:15" ht="15.75" thickBot="1" x14ac:dyDescent="0.3">
      <c r="A15" s="9" t="s">
        <v>20</v>
      </c>
      <c r="B15" s="29">
        <v>41</v>
      </c>
      <c r="C15" s="1">
        <v>52</v>
      </c>
      <c r="D15" s="29">
        <v>0</v>
      </c>
      <c r="E15" s="29">
        <v>0</v>
      </c>
      <c r="F15" s="1">
        <v>0</v>
      </c>
      <c r="G15" s="1">
        <v>2</v>
      </c>
      <c r="H15" s="30">
        <v>0</v>
      </c>
      <c r="I15" s="1">
        <v>0</v>
      </c>
      <c r="J15" s="31">
        <v>0</v>
      </c>
      <c r="K15" s="31">
        <v>80</v>
      </c>
      <c r="L15" s="7">
        <f t="shared" si="1"/>
        <v>95</v>
      </c>
      <c r="M15" s="8">
        <f t="shared" si="0"/>
        <v>175</v>
      </c>
      <c r="N15" s="21" t="s">
        <v>82</v>
      </c>
      <c r="O15" s="22">
        <f>SUM(L36:L39)</f>
        <v>239</v>
      </c>
    </row>
    <row r="16" spans="1:15" ht="15.75" thickBot="1" x14ac:dyDescent="0.3">
      <c r="A16" s="9" t="s">
        <v>21</v>
      </c>
      <c r="B16" s="29">
        <v>32</v>
      </c>
      <c r="C16" s="1">
        <v>34</v>
      </c>
      <c r="D16" s="29">
        <v>0</v>
      </c>
      <c r="E16" s="29">
        <v>0</v>
      </c>
      <c r="F16" s="1">
        <v>0</v>
      </c>
      <c r="G16" s="1">
        <v>0</v>
      </c>
      <c r="H16" s="30">
        <v>1</v>
      </c>
      <c r="I16" s="1">
        <v>0</v>
      </c>
      <c r="J16" s="31">
        <v>0</v>
      </c>
      <c r="K16" s="31">
        <v>48</v>
      </c>
      <c r="L16" s="7">
        <f t="shared" si="1"/>
        <v>67</v>
      </c>
      <c r="M16" s="8">
        <f t="shared" si="0"/>
        <v>115</v>
      </c>
      <c r="N16" s="21" t="s">
        <v>83</v>
      </c>
      <c r="O16" s="22">
        <f>SUM(L40:L43)</f>
        <v>295</v>
      </c>
    </row>
    <row r="17" spans="1:15" ht="15.75" thickBot="1" x14ac:dyDescent="0.3">
      <c r="A17" s="9" t="s">
        <v>22</v>
      </c>
      <c r="B17" s="29">
        <v>73</v>
      </c>
      <c r="C17" s="1">
        <v>81</v>
      </c>
      <c r="D17" s="29">
        <v>0</v>
      </c>
      <c r="E17" s="29">
        <v>0</v>
      </c>
      <c r="F17" s="1">
        <v>1</v>
      </c>
      <c r="G17" s="1">
        <v>1</v>
      </c>
      <c r="H17" s="30">
        <v>0</v>
      </c>
      <c r="I17" s="1">
        <v>0</v>
      </c>
      <c r="J17" s="31">
        <v>0</v>
      </c>
      <c r="K17" s="31">
        <v>94</v>
      </c>
      <c r="L17" s="7">
        <f t="shared" si="1"/>
        <v>156</v>
      </c>
      <c r="M17" s="8">
        <f t="shared" si="0"/>
        <v>250</v>
      </c>
      <c r="N17" s="21" t="s">
        <v>84</v>
      </c>
      <c r="O17" s="22">
        <f>SUM(L44:L47)</f>
        <v>365</v>
      </c>
    </row>
    <row r="18" spans="1:15" ht="15.75" thickBot="1" x14ac:dyDescent="0.3">
      <c r="A18" s="9" t="s">
        <v>23</v>
      </c>
      <c r="B18" s="29">
        <v>70</v>
      </c>
      <c r="C18" s="1">
        <v>64</v>
      </c>
      <c r="D18" s="29">
        <v>2</v>
      </c>
      <c r="E18" s="29">
        <v>0</v>
      </c>
      <c r="F18" s="1">
        <v>0</v>
      </c>
      <c r="G18" s="1">
        <v>1</v>
      </c>
      <c r="H18" s="30">
        <v>0</v>
      </c>
      <c r="I18" s="1">
        <v>0</v>
      </c>
      <c r="J18" s="31">
        <v>1</v>
      </c>
      <c r="K18" s="31">
        <v>110</v>
      </c>
      <c r="L18" s="7">
        <f t="shared" si="1"/>
        <v>138</v>
      </c>
      <c r="M18" s="8">
        <f t="shared" si="0"/>
        <v>248</v>
      </c>
      <c r="N18" s="21" t="s">
        <v>85</v>
      </c>
      <c r="O18" s="22">
        <f>SUM(L48:L51)</f>
        <v>235</v>
      </c>
    </row>
    <row r="19" spans="1:15" ht="15.75" thickBot="1" x14ac:dyDescent="0.3">
      <c r="A19" s="9" t="s">
        <v>24</v>
      </c>
      <c r="B19" s="29">
        <v>38</v>
      </c>
      <c r="C19" s="1">
        <v>64</v>
      </c>
      <c r="D19" s="29">
        <v>0</v>
      </c>
      <c r="E19" s="29">
        <v>0</v>
      </c>
      <c r="F19" s="1">
        <v>0</v>
      </c>
      <c r="G19" s="1">
        <v>1</v>
      </c>
      <c r="H19" s="30">
        <v>0</v>
      </c>
      <c r="I19" s="1">
        <v>0</v>
      </c>
      <c r="J19" s="31">
        <v>0</v>
      </c>
      <c r="K19" s="31">
        <v>77</v>
      </c>
      <c r="L19" s="7">
        <f t="shared" si="1"/>
        <v>103</v>
      </c>
      <c r="M19" s="8">
        <f t="shared" si="0"/>
        <v>180</v>
      </c>
      <c r="N19" s="21" t="s">
        <v>86</v>
      </c>
      <c r="O19" s="22">
        <f>SUM(L52:L55)</f>
        <v>181</v>
      </c>
    </row>
    <row r="20" spans="1:15" ht="15.75" thickBot="1" x14ac:dyDescent="0.3">
      <c r="A20" s="9" t="s">
        <v>25</v>
      </c>
      <c r="B20" s="29">
        <v>50</v>
      </c>
      <c r="C20" s="1">
        <v>56</v>
      </c>
      <c r="D20" s="29">
        <v>0</v>
      </c>
      <c r="E20" s="29">
        <v>0</v>
      </c>
      <c r="F20" s="1">
        <v>0</v>
      </c>
      <c r="G20" s="1">
        <v>4</v>
      </c>
      <c r="H20" s="30">
        <v>0</v>
      </c>
      <c r="I20" s="1">
        <v>0</v>
      </c>
      <c r="J20" s="31">
        <v>0</v>
      </c>
      <c r="K20" s="31">
        <v>73</v>
      </c>
      <c r="L20" s="7">
        <f t="shared" si="1"/>
        <v>110</v>
      </c>
      <c r="M20" s="8">
        <f t="shared" si="0"/>
        <v>183</v>
      </c>
      <c r="N20" s="21" t="s">
        <v>87</v>
      </c>
      <c r="O20" s="22">
        <f>SUM(L56:L59)</f>
        <v>129</v>
      </c>
    </row>
    <row r="21" spans="1:15" ht="15.75" thickBot="1" x14ac:dyDescent="0.3">
      <c r="A21" s="9" t="s">
        <v>26</v>
      </c>
      <c r="B21" s="29">
        <v>56</v>
      </c>
      <c r="C21" s="1">
        <v>65</v>
      </c>
      <c r="D21" s="29">
        <v>3</v>
      </c>
      <c r="E21" s="29">
        <v>0</v>
      </c>
      <c r="F21" s="1">
        <v>0</v>
      </c>
      <c r="G21" s="1">
        <v>2</v>
      </c>
      <c r="H21" s="30">
        <v>0</v>
      </c>
      <c r="I21" s="1">
        <v>0</v>
      </c>
      <c r="J21" s="31">
        <v>1</v>
      </c>
      <c r="K21" s="31">
        <v>79</v>
      </c>
      <c r="L21" s="7">
        <f t="shared" si="1"/>
        <v>127</v>
      </c>
      <c r="M21" s="8">
        <f t="shared" si="0"/>
        <v>206</v>
      </c>
      <c r="N21" s="21" t="s">
        <v>88</v>
      </c>
      <c r="O21" s="22">
        <f>SUM(L60:L63)</f>
        <v>164</v>
      </c>
    </row>
    <row r="22" spans="1:15" ht="15.75" thickBot="1" x14ac:dyDescent="0.3">
      <c r="A22" s="9" t="s">
        <v>27</v>
      </c>
      <c r="B22" s="29">
        <v>25</v>
      </c>
      <c r="C22" s="1">
        <v>32</v>
      </c>
      <c r="D22" s="29">
        <v>0</v>
      </c>
      <c r="E22" s="29">
        <v>0</v>
      </c>
      <c r="F22" s="1">
        <v>1</v>
      </c>
      <c r="G22" s="1">
        <v>2</v>
      </c>
      <c r="H22" s="30">
        <v>2</v>
      </c>
      <c r="I22" s="1">
        <v>0</v>
      </c>
      <c r="J22" s="31">
        <v>0</v>
      </c>
      <c r="K22" s="31">
        <v>41</v>
      </c>
      <c r="L22" s="7">
        <f t="shared" si="1"/>
        <v>62</v>
      </c>
      <c r="M22" s="8">
        <f t="shared" si="0"/>
        <v>103</v>
      </c>
      <c r="N22" s="21" t="s">
        <v>89</v>
      </c>
      <c r="O22" s="22">
        <f>SUM(L64:L67)</f>
        <v>164</v>
      </c>
    </row>
    <row r="23" spans="1:15" ht="15.75" thickBot="1" x14ac:dyDescent="0.3">
      <c r="A23" s="9" t="s">
        <v>28</v>
      </c>
      <c r="B23" s="29">
        <v>81</v>
      </c>
      <c r="C23" s="1">
        <v>79</v>
      </c>
      <c r="D23" s="29">
        <v>5</v>
      </c>
      <c r="E23" s="29">
        <v>0</v>
      </c>
      <c r="F23" s="1">
        <v>0</v>
      </c>
      <c r="G23" s="1">
        <v>3</v>
      </c>
      <c r="H23" s="30">
        <v>2</v>
      </c>
      <c r="I23" s="1">
        <v>0</v>
      </c>
      <c r="J23" s="31">
        <v>0</v>
      </c>
      <c r="K23" s="31">
        <v>98</v>
      </c>
      <c r="L23" s="7">
        <f t="shared" si="1"/>
        <v>170</v>
      </c>
      <c r="M23" s="8">
        <f t="shared" si="0"/>
        <v>268</v>
      </c>
      <c r="N23" s="20"/>
    </row>
    <row r="24" spans="1:15" ht="15.75" thickBot="1" x14ac:dyDescent="0.3">
      <c r="A24" s="9" t="s">
        <v>29</v>
      </c>
      <c r="B24" s="29">
        <v>23</v>
      </c>
      <c r="C24" s="1">
        <v>40</v>
      </c>
      <c r="D24" s="29">
        <v>0</v>
      </c>
      <c r="E24" s="29">
        <v>0</v>
      </c>
      <c r="F24" s="1">
        <v>0</v>
      </c>
      <c r="G24" s="1">
        <v>0</v>
      </c>
      <c r="H24" s="30">
        <v>0</v>
      </c>
      <c r="I24" s="1">
        <v>0</v>
      </c>
      <c r="J24" s="31">
        <v>0</v>
      </c>
      <c r="K24" s="31">
        <v>21</v>
      </c>
      <c r="L24" s="7">
        <f t="shared" si="1"/>
        <v>63</v>
      </c>
      <c r="M24" s="8">
        <f t="shared" si="0"/>
        <v>84</v>
      </c>
      <c r="N24" s="20" t="s">
        <v>118</v>
      </c>
      <c r="O24" s="22">
        <f>AVERAGE(O9:O11)</f>
        <v>422.66666666666669</v>
      </c>
    </row>
    <row r="25" spans="1:15" ht="15.75" thickBot="1" x14ac:dyDescent="0.3">
      <c r="A25" s="9" t="s">
        <v>30</v>
      </c>
      <c r="B25" s="29">
        <v>37</v>
      </c>
      <c r="C25" s="1">
        <v>59</v>
      </c>
      <c r="D25" s="29">
        <v>5</v>
      </c>
      <c r="E25" s="29">
        <v>0</v>
      </c>
      <c r="F25" s="1">
        <v>0</v>
      </c>
      <c r="G25" s="1">
        <v>2</v>
      </c>
      <c r="H25" s="30">
        <v>2</v>
      </c>
      <c r="I25" s="1">
        <v>0</v>
      </c>
      <c r="J25" s="31">
        <v>0</v>
      </c>
      <c r="K25" s="31">
        <v>55</v>
      </c>
      <c r="L25" s="7">
        <f t="shared" si="1"/>
        <v>105</v>
      </c>
      <c r="M25" s="8">
        <f t="shared" si="0"/>
        <v>160</v>
      </c>
      <c r="N25" s="20" t="s">
        <v>119</v>
      </c>
      <c r="O25" s="22">
        <f>AVERAGE(O18:O20)</f>
        <v>181.66666666666666</v>
      </c>
    </row>
    <row r="26" spans="1:15" ht="15.75" thickBot="1" x14ac:dyDescent="0.3">
      <c r="A26" s="9" t="s">
        <v>31</v>
      </c>
      <c r="B26" s="29">
        <v>47</v>
      </c>
      <c r="C26" s="1">
        <v>44</v>
      </c>
      <c r="D26" s="29">
        <v>1</v>
      </c>
      <c r="E26" s="29">
        <v>0</v>
      </c>
      <c r="F26" s="1">
        <v>0</v>
      </c>
      <c r="G26" s="1">
        <v>1</v>
      </c>
      <c r="H26" s="30">
        <v>0</v>
      </c>
      <c r="I26" s="1">
        <v>1</v>
      </c>
      <c r="J26" s="31">
        <v>0</v>
      </c>
      <c r="K26" s="31">
        <v>0</v>
      </c>
      <c r="L26" s="7">
        <f t="shared" si="1"/>
        <v>94</v>
      </c>
      <c r="M26" s="8">
        <v>71</v>
      </c>
      <c r="N26" s="20"/>
    </row>
    <row r="27" spans="1:15" ht="15.75" thickBot="1" x14ac:dyDescent="0.3">
      <c r="A27" s="9" t="s">
        <v>32</v>
      </c>
      <c r="B27" s="29">
        <v>24</v>
      </c>
      <c r="C27" s="1">
        <v>37</v>
      </c>
      <c r="D27" s="29">
        <v>1</v>
      </c>
      <c r="E27" s="29">
        <v>0</v>
      </c>
      <c r="F27" s="1">
        <v>0</v>
      </c>
      <c r="G27" s="1">
        <v>1</v>
      </c>
      <c r="H27" s="30">
        <v>0</v>
      </c>
      <c r="I27" s="1">
        <v>1</v>
      </c>
      <c r="J27" s="31">
        <v>0</v>
      </c>
      <c r="K27" s="31">
        <v>18</v>
      </c>
      <c r="L27" s="7">
        <f t="shared" si="1"/>
        <v>64</v>
      </c>
      <c r="M27" s="8">
        <v>18</v>
      </c>
      <c r="N27" s="20"/>
    </row>
    <row r="28" spans="1:15" ht="15.75" thickBot="1" x14ac:dyDescent="0.3">
      <c r="A28" s="9" t="s">
        <v>33</v>
      </c>
      <c r="B28" s="29">
        <v>51</v>
      </c>
      <c r="C28" s="1">
        <v>77</v>
      </c>
      <c r="D28" s="29">
        <v>3</v>
      </c>
      <c r="E28" s="29">
        <v>0</v>
      </c>
      <c r="F28" s="1">
        <v>1</v>
      </c>
      <c r="G28" s="1">
        <v>3</v>
      </c>
      <c r="H28" s="30">
        <v>0</v>
      </c>
      <c r="I28" s="1">
        <v>4</v>
      </c>
      <c r="J28" s="31">
        <v>1</v>
      </c>
      <c r="K28" s="31">
        <v>83</v>
      </c>
      <c r="L28" s="7">
        <f t="shared" si="1"/>
        <v>140</v>
      </c>
      <c r="M28" s="8">
        <f t="shared" si="0"/>
        <v>223</v>
      </c>
      <c r="N28" s="20"/>
    </row>
    <row r="29" spans="1:15" ht="15.75" thickBot="1" x14ac:dyDescent="0.3">
      <c r="A29" s="9" t="s">
        <v>34</v>
      </c>
      <c r="B29" s="29">
        <v>28</v>
      </c>
      <c r="C29" s="1">
        <v>28</v>
      </c>
      <c r="D29" s="29">
        <v>2</v>
      </c>
      <c r="E29" s="29">
        <v>0</v>
      </c>
      <c r="F29" s="1">
        <v>0</v>
      </c>
      <c r="G29" s="1">
        <v>2</v>
      </c>
      <c r="H29" s="30">
        <v>0</v>
      </c>
      <c r="I29" s="1">
        <v>1</v>
      </c>
      <c r="J29" s="31">
        <v>1</v>
      </c>
      <c r="K29" s="31">
        <v>51</v>
      </c>
      <c r="L29" s="7">
        <f t="shared" si="1"/>
        <v>62</v>
      </c>
      <c r="M29" s="8">
        <f t="shared" si="0"/>
        <v>113</v>
      </c>
      <c r="N29" s="20"/>
    </row>
    <row r="30" spans="1:15" ht="15.75" thickBot="1" x14ac:dyDescent="0.3">
      <c r="A30" s="9" t="s">
        <v>35</v>
      </c>
      <c r="B30" s="29">
        <v>44</v>
      </c>
      <c r="C30" s="1">
        <v>58</v>
      </c>
      <c r="D30" s="29">
        <v>2</v>
      </c>
      <c r="E30" s="29">
        <v>0</v>
      </c>
      <c r="F30" s="1">
        <v>0</v>
      </c>
      <c r="G30" s="1">
        <v>0</v>
      </c>
      <c r="H30" s="30">
        <v>0</v>
      </c>
      <c r="I30" s="1">
        <v>2</v>
      </c>
      <c r="J30" s="31">
        <v>0</v>
      </c>
      <c r="K30" s="31">
        <v>57</v>
      </c>
      <c r="L30" s="7">
        <f t="shared" si="1"/>
        <v>106</v>
      </c>
      <c r="M30" s="8">
        <f t="shared" si="0"/>
        <v>163</v>
      </c>
      <c r="N30" s="20"/>
    </row>
    <row r="31" spans="1:15" ht="15.75" thickBot="1" x14ac:dyDescent="0.3">
      <c r="A31" s="9" t="s">
        <v>36</v>
      </c>
      <c r="B31" s="29">
        <v>44</v>
      </c>
      <c r="C31" s="1">
        <v>51</v>
      </c>
      <c r="D31" s="29">
        <v>3</v>
      </c>
      <c r="E31" s="29">
        <v>0</v>
      </c>
      <c r="F31" s="1">
        <v>0</v>
      </c>
      <c r="G31" s="1">
        <v>3</v>
      </c>
      <c r="H31" s="30">
        <v>0</v>
      </c>
      <c r="I31" s="1">
        <v>2</v>
      </c>
      <c r="J31" s="31">
        <v>0</v>
      </c>
      <c r="K31" s="31">
        <v>67</v>
      </c>
      <c r="L31" s="7">
        <f t="shared" si="1"/>
        <v>103</v>
      </c>
      <c r="M31" s="8">
        <f t="shared" si="0"/>
        <v>170</v>
      </c>
      <c r="N31" s="20"/>
    </row>
    <row r="32" spans="1:15" ht="15.75" thickBot="1" x14ac:dyDescent="0.3">
      <c r="A32" s="9" t="s">
        <v>37</v>
      </c>
      <c r="B32" s="29">
        <v>31</v>
      </c>
      <c r="C32" s="1">
        <v>35</v>
      </c>
      <c r="D32" s="29">
        <v>2</v>
      </c>
      <c r="E32" s="29">
        <v>0</v>
      </c>
      <c r="F32" s="1">
        <v>0</v>
      </c>
      <c r="G32" s="1">
        <v>1</v>
      </c>
      <c r="H32" s="30">
        <v>0</v>
      </c>
      <c r="I32" s="1">
        <v>3</v>
      </c>
      <c r="J32" s="31">
        <v>0</v>
      </c>
      <c r="K32" s="31">
        <v>39</v>
      </c>
      <c r="L32" s="7">
        <f t="shared" si="1"/>
        <v>72</v>
      </c>
      <c r="M32" s="8">
        <f t="shared" si="0"/>
        <v>111</v>
      </c>
      <c r="N32" s="20"/>
    </row>
    <row r="33" spans="1:14" ht="15.75" thickBot="1" x14ac:dyDescent="0.3">
      <c r="A33" s="9" t="s">
        <v>38</v>
      </c>
      <c r="B33" s="29">
        <v>18</v>
      </c>
      <c r="C33" s="1">
        <v>30</v>
      </c>
      <c r="D33" s="29">
        <v>11</v>
      </c>
      <c r="E33" s="29">
        <v>0</v>
      </c>
      <c r="F33" s="1">
        <v>0</v>
      </c>
      <c r="G33" s="1">
        <v>0</v>
      </c>
      <c r="H33" s="30">
        <v>0</v>
      </c>
      <c r="I33" s="1">
        <v>0</v>
      </c>
      <c r="J33" s="31">
        <v>0</v>
      </c>
      <c r="K33" s="31">
        <v>73</v>
      </c>
      <c r="L33" s="7">
        <f t="shared" si="1"/>
        <v>59</v>
      </c>
      <c r="M33" s="8">
        <f t="shared" si="0"/>
        <v>132</v>
      </c>
      <c r="N33" s="20"/>
    </row>
    <row r="34" spans="1:14" ht="15.75" thickBot="1" x14ac:dyDescent="0.3">
      <c r="A34" s="9" t="s">
        <v>39</v>
      </c>
      <c r="B34" s="29">
        <v>45</v>
      </c>
      <c r="C34" s="1">
        <v>63</v>
      </c>
      <c r="D34" s="29">
        <v>0</v>
      </c>
      <c r="E34" s="29">
        <v>0</v>
      </c>
      <c r="F34" s="1">
        <v>0</v>
      </c>
      <c r="G34" s="1">
        <v>0</v>
      </c>
      <c r="H34" s="30">
        <v>1</v>
      </c>
      <c r="I34" s="1">
        <v>1</v>
      </c>
      <c r="J34" s="31">
        <v>0</v>
      </c>
      <c r="K34" s="31">
        <v>45</v>
      </c>
      <c r="L34" s="7">
        <f t="shared" si="1"/>
        <v>110</v>
      </c>
      <c r="M34" s="8">
        <f t="shared" si="0"/>
        <v>155</v>
      </c>
      <c r="N34" s="20"/>
    </row>
    <row r="35" spans="1:14" ht="15.75" thickBot="1" x14ac:dyDescent="0.3">
      <c r="A35" s="9" t="s">
        <v>40</v>
      </c>
      <c r="B35" s="29">
        <v>23</v>
      </c>
      <c r="C35" s="1">
        <v>32</v>
      </c>
      <c r="D35" s="29">
        <v>0</v>
      </c>
      <c r="E35" s="29">
        <v>0</v>
      </c>
      <c r="F35" s="1">
        <v>0</v>
      </c>
      <c r="G35" s="1">
        <v>0</v>
      </c>
      <c r="H35" s="30">
        <v>0</v>
      </c>
      <c r="I35" s="1">
        <v>0</v>
      </c>
      <c r="J35" s="31">
        <v>1</v>
      </c>
      <c r="K35" s="31">
        <v>19</v>
      </c>
      <c r="L35" s="7">
        <f t="shared" si="1"/>
        <v>56</v>
      </c>
      <c r="M35" s="8">
        <f t="shared" si="0"/>
        <v>75</v>
      </c>
      <c r="N35" s="20"/>
    </row>
    <row r="36" spans="1:14" ht="15.75" thickBot="1" x14ac:dyDescent="0.3">
      <c r="A36" s="9" t="s">
        <v>41</v>
      </c>
      <c r="B36" s="29">
        <v>26</v>
      </c>
      <c r="C36" s="1">
        <v>38</v>
      </c>
      <c r="D36" s="29">
        <v>1</v>
      </c>
      <c r="E36" s="29">
        <v>0</v>
      </c>
      <c r="F36" s="1">
        <v>0</v>
      </c>
      <c r="G36" s="1">
        <v>5</v>
      </c>
      <c r="H36" s="30">
        <v>0</v>
      </c>
      <c r="I36" s="1">
        <v>3</v>
      </c>
      <c r="J36" s="31">
        <v>1</v>
      </c>
      <c r="K36" s="31">
        <v>29</v>
      </c>
      <c r="L36" s="7">
        <f t="shared" si="1"/>
        <v>74</v>
      </c>
      <c r="M36" s="8">
        <f t="shared" si="0"/>
        <v>103</v>
      </c>
      <c r="N36" s="20"/>
    </row>
    <row r="37" spans="1:14" ht="15.75" thickBot="1" x14ac:dyDescent="0.3">
      <c r="A37" s="9" t="s">
        <v>42</v>
      </c>
      <c r="B37" s="29">
        <v>18</v>
      </c>
      <c r="C37" s="1">
        <v>19</v>
      </c>
      <c r="D37" s="29">
        <v>0</v>
      </c>
      <c r="E37" s="29">
        <v>0</v>
      </c>
      <c r="F37" s="1">
        <v>0</v>
      </c>
      <c r="G37" s="1">
        <v>2</v>
      </c>
      <c r="H37" s="30">
        <v>0</v>
      </c>
      <c r="I37" s="1">
        <v>0</v>
      </c>
      <c r="J37" s="31">
        <v>0</v>
      </c>
      <c r="K37" s="31">
        <v>49</v>
      </c>
      <c r="L37" s="7">
        <f t="shared" si="1"/>
        <v>39</v>
      </c>
      <c r="M37" s="8">
        <f t="shared" si="0"/>
        <v>88</v>
      </c>
      <c r="N37" s="20"/>
    </row>
    <row r="38" spans="1:14" ht="15.75" thickBot="1" x14ac:dyDescent="0.3">
      <c r="A38" s="9" t="s">
        <v>43</v>
      </c>
      <c r="B38" s="29">
        <v>33</v>
      </c>
      <c r="C38" s="1">
        <v>39</v>
      </c>
      <c r="D38" s="29">
        <v>1</v>
      </c>
      <c r="E38" s="29">
        <v>0</v>
      </c>
      <c r="F38" s="1">
        <v>0</v>
      </c>
      <c r="G38" s="1">
        <v>5</v>
      </c>
      <c r="H38" s="30">
        <v>1</v>
      </c>
      <c r="I38" s="1">
        <v>2</v>
      </c>
      <c r="J38" s="31">
        <v>1</v>
      </c>
      <c r="K38" s="31">
        <v>52</v>
      </c>
      <c r="L38" s="7">
        <f t="shared" si="1"/>
        <v>82</v>
      </c>
      <c r="M38" s="8">
        <f t="shared" si="0"/>
        <v>134</v>
      </c>
      <c r="N38" s="20"/>
    </row>
    <row r="39" spans="1:14" ht="15.75" thickBot="1" x14ac:dyDescent="0.3">
      <c r="A39" s="9" t="s">
        <v>44</v>
      </c>
      <c r="B39" s="29">
        <v>19</v>
      </c>
      <c r="C39" s="1">
        <v>21</v>
      </c>
      <c r="D39" s="29">
        <v>0</v>
      </c>
      <c r="E39" s="29">
        <v>0</v>
      </c>
      <c r="F39" s="1">
        <v>0</v>
      </c>
      <c r="G39" s="1">
        <v>1</v>
      </c>
      <c r="H39" s="30">
        <v>2</v>
      </c>
      <c r="I39" s="1">
        <v>1</v>
      </c>
      <c r="J39" s="31">
        <v>0</v>
      </c>
      <c r="K39" s="31">
        <v>33</v>
      </c>
      <c r="L39" s="7">
        <f t="shared" si="1"/>
        <v>44</v>
      </c>
      <c r="M39" s="8">
        <f t="shared" si="0"/>
        <v>77</v>
      </c>
      <c r="N39" s="20"/>
    </row>
    <row r="40" spans="1:14" ht="15.75" thickBot="1" x14ac:dyDescent="0.3">
      <c r="A40" s="9" t="s">
        <v>45</v>
      </c>
      <c r="B40" s="29">
        <v>24</v>
      </c>
      <c r="C40" s="1">
        <v>49</v>
      </c>
      <c r="D40" s="29">
        <v>1</v>
      </c>
      <c r="E40" s="29">
        <v>0</v>
      </c>
      <c r="F40" s="1">
        <v>0</v>
      </c>
      <c r="G40" s="1">
        <v>0</v>
      </c>
      <c r="H40" s="30">
        <v>2</v>
      </c>
      <c r="I40" s="1">
        <v>2</v>
      </c>
      <c r="J40" s="31">
        <v>1</v>
      </c>
      <c r="K40" s="31">
        <v>47</v>
      </c>
      <c r="L40" s="7">
        <f t="shared" si="1"/>
        <v>79</v>
      </c>
      <c r="M40" s="8">
        <f t="shared" si="0"/>
        <v>126</v>
      </c>
      <c r="N40" s="20"/>
    </row>
    <row r="41" spans="1:14" ht="15.75" thickBot="1" x14ac:dyDescent="0.3">
      <c r="A41" s="9" t="s">
        <v>46</v>
      </c>
      <c r="B41" s="29">
        <v>25</v>
      </c>
      <c r="C41" s="1">
        <v>23</v>
      </c>
      <c r="D41" s="29">
        <v>3</v>
      </c>
      <c r="E41" s="29">
        <v>0</v>
      </c>
      <c r="F41" s="1">
        <v>0</v>
      </c>
      <c r="G41" s="1">
        <v>3</v>
      </c>
      <c r="H41" s="30">
        <v>0</v>
      </c>
      <c r="I41" s="1">
        <v>1</v>
      </c>
      <c r="J41" s="31">
        <v>1</v>
      </c>
      <c r="K41" s="31">
        <v>23</v>
      </c>
      <c r="L41" s="7">
        <f t="shared" si="1"/>
        <v>56</v>
      </c>
      <c r="M41" s="8">
        <f t="shared" si="0"/>
        <v>79</v>
      </c>
      <c r="N41" s="20"/>
    </row>
    <row r="42" spans="1:14" ht="15.75" thickBot="1" x14ac:dyDescent="0.3">
      <c r="A42" s="9" t="s">
        <v>47</v>
      </c>
      <c r="B42" s="29">
        <v>32</v>
      </c>
      <c r="C42" s="1">
        <v>49</v>
      </c>
      <c r="D42" s="29">
        <v>0</v>
      </c>
      <c r="E42" s="29">
        <v>0</v>
      </c>
      <c r="F42" s="1">
        <v>0</v>
      </c>
      <c r="G42" s="1">
        <v>4</v>
      </c>
      <c r="H42" s="30">
        <v>2</v>
      </c>
      <c r="I42" s="1">
        <v>1</v>
      </c>
      <c r="J42" s="31">
        <v>2</v>
      </c>
      <c r="K42" s="31">
        <v>59</v>
      </c>
      <c r="L42" s="7">
        <f t="shared" si="1"/>
        <v>90</v>
      </c>
      <c r="M42" s="8">
        <f t="shared" si="0"/>
        <v>149</v>
      </c>
      <c r="N42" s="20"/>
    </row>
    <row r="43" spans="1:14" ht="15.75" thickBot="1" x14ac:dyDescent="0.3">
      <c r="A43" s="9" t="s">
        <v>48</v>
      </c>
      <c r="B43" s="29">
        <v>29</v>
      </c>
      <c r="C43" s="1">
        <v>37</v>
      </c>
      <c r="D43" s="29">
        <v>1</v>
      </c>
      <c r="E43" s="29">
        <v>1</v>
      </c>
      <c r="F43" s="1">
        <v>0</v>
      </c>
      <c r="G43" s="1">
        <v>1</v>
      </c>
      <c r="H43" s="30">
        <v>1</v>
      </c>
      <c r="I43" s="1">
        <v>0</v>
      </c>
      <c r="J43" s="31">
        <v>0</v>
      </c>
      <c r="K43" s="31">
        <v>48</v>
      </c>
      <c r="L43" s="7">
        <f t="shared" si="1"/>
        <v>70</v>
      </c>
      <c r="M43" s="8">
        <f t="shared" si="0"/>
        <v>118</v>
      </c>
      <c r="N43" s="20"/>
    </row>
    <row r="44" spans="1:14" ht="15.75" thickBot="1" x14ac:dyDescent="0.3">
      <c r="A44" s="9" t="s">
        <v>49</v>
      </c>
      <c r="B44" s="29">
        <v>38</v>
      </c>
      <c r="C44" s="1">
        <v>39</v>
      </c>
      <c r="D44" s="29">
        <v>3</v>
      </c>
      <c r="E44" s="29">
        <v>0</v>
      </c>
      <c r="F44" s="1">
        <v>0</v>
      </c>
      <c r="G44" s="1">
        <v>4</v>
      </c>
      <c r="H44" s="30">
        <v>2</v>
      </c>
      <c r="I44" s="1">
        <v>0</v>
      </c>
      <c r="J44" s="31">
        <v>0</v>
      </c>
      <c r="K44" s="31">
        <v>76</v>
      </c>
      <c r="L44" s="7">
        <f t="shared" si="1"/>
        <v>86</v>
      </c>
      <c r="M44" s="8">
        <f t="shared" si="0"/>
        <v>162</v>
      </c>
      <c r="N44" s="20"/>
    </row>
    <row r="45" spans="1:14" ht="15.75" thickBot="1" x14ac:dyDescent="0.3">
      <c r="A45" s="9" t="s">
        <v>50</v>
      </c>
      <c r="B45" s="29">
        <v>27</v>
      </c>
      <c r="C45" s="1">
        <v>44</v>
      </c>
      <c r="D45" s="29">
        <v>0</v>
      </c>
      <c r="E45" s="29">
        <v>0</v>
      </c>
      <c r="F45" s="1">
        <v>0</v>
      </c>
      <c r="G45" s="1">
        <v>0</v>
      </c>
      <c r="H45" s="30">
        <v>0</v>
      </c>
      <c r="I45" s="1">
        <v>2</v>
      </c>
      <c r="J45" s="31">
        <v>1</v>
      </c>
      <c r="K45" s="31">
        <v>17</v>
      </c>
      <c r="L45" s="7">
        <f t="shared" si="1"/>
        <v>74</v>
      </c>
      <c r="M45" s="8">
        <f t="shared" si="0"/>
        <v>91</v>
      </c>
      <c r="N45" s="20"/>
    </row>
    <row r="46" spans="1:14" ht="15.75" thickBot="1" x14ac:dyDescent="0.3">
      <c r="A46" s="9" t="s">
        <v>51</v>
      </c>
      <c r="B46" s="29">
        <v>51</v>
      </c>
      <c r="C46" s="1">
        <v>65</v>
      </c>
      <c r="D46" s="29">
        <v>2</v>
      </c>
      <c r="E46" s="29">
        <v>0</v>
      </c>
      <c r="F46" s="1">
        <v>0</v>
      </c>
      <c r="G46" s="1">
        <v>3</v>
      </c>
      <c r="H46" s="30">
        <v>1</v>
      </c>
      <c r="I46" s="1">
        <v>1</v>
      </c>
      <c r="J46" s="31">
        <v>4</v>
      </c>
      <c r="K46" s="31">
        <v>84</v>
      </c>
      <c r="L46" s="7">
        <f t="shared" si="1"/>
        <v>127</v>
      </c>
      <c r="M46" s="8">
        <f t="shared" si="0"/>
        <v>211</v>
      </c>
      <c r="N46" s="20"/>
    </row>
    <row r="47" spans="1:14" ht="15.75" thickBot="1" x14ac:dyDescent="0.3">
      <c r="A47" s="9" t="s">
        <v>52</v>
      </c>
      <c r="B47" s="29">
        <v>39</v>
      </c>
      <c r="C47" s="1">
        <v>35</v>
      </c>
      <c r="D47" s="29">
        <v>0</v>
      </c>
      <c r="E47" s="29">
        <v>0</v>
      </c>
      <c r="F47" s="1">
        <v>1</v>
      </c>
      <c r="G47" s="1">
        <v>0</v>
      </c>
      <c r="H47" s="30">
        <v>0</v>
      </c>
      <c r="I47" s="1">
        <v>1</v>
      </c>
      <c r="J47" s="31">
        <v>2</v>
      </c>
      <c r="K47" s="31">
        <v>40</v>
      </c>
      <c r="L47" s="7">
        <f t="shared" si="1"/>
        <v>78</v>
      </c>
      <c r="M47" s="8">
        <f t="shared" si="0"/>
        <v>118</v>
      </c>
      <c r="N47" s="20"/>
    </row>
    <row r="48" spans="1:14" ht="15.75" thickBot="1" x14ac:dyDescent="0.3">
      <c r="A48" s="9" t="s">
        <v>53</v>
      </c>
      <c r="B48" s="29">
        <v>43</v>
      </c>
      <c r="C48" s="1">
        <v>52</v>
      </c>
      <c r="D48" s="29">
        <v>1</v>
      </c>
      <c r="E48" s="29">
        <v>0</v>
      </c>
      <c r="F48" s="1">
        <v>0</v>
      </c>
      <c r="G48" s="1">
        <v>2</v>
      </c>
      <c r="H48" s="30">
        <v>1</v>
      </c>
      <c r="I48" s="1">
        <v>0</v>
      </c>
      <c r="J48" s="31">
        <v>0</v>
      </c>
      <c r="K48" s="31">
        <v>89</v>
      </c>
      <c r="L48" s="7">
        <f t="shared" si="1"/>
        <v>99</v>
      </c>
      <c r="M48" s="8">
        <f t="shared" si="0"/>
        <v>188</v>
      </c>
      <c r="N48" s="20"/>
    </row>
    <row r="49" spans="1:14" ht="15.75" thickBot="1" x14ac:dyDescent="0.3">
      <c r="A49" s="9" t="s">
        <v>54</v>
      </c>
      <c r="B49" s="29">
        <v>19</v>
      </c>
      <c r="C49" s="1">
        <v>29</v>
      </c>
      <c r="D49" s="29">
        <v>0</v>
      </c>
      <c r="E49" s="29">
        <v>0</v>
      </c>
      <c r="F49" s="1">
        <v>0</v>
      </c>
      <c r="G49" s="1">
        <v>1</v>
      </c>
      <c r="H49" s="30">
        <v>1</v>
      </c>
      <c r="I49" s="1">
        <v>3</v>
      </c>
      <c r="J49" s="31">
        <v>0</v>
      </c>
      <c r="K49" s="31">
        <v>28</v>
      </c>
      <c r="L49" s="7">
        <f t="shared" si="1"/>
        <v>53</v>
      </c>
      <c r="M49" s="8">
        <f t="shared" si="0"/>
        <v>81</v>
      </c>
      <c r="N49" s="20"/>
    </row>
    <row r="50" spans="1:14" ht="15.75" thickBot="1" x14ac:dyDescent="0.3">
      <c r="A50" s="9" t="s">
        <v>55</v>
      </c>
      <c r="B50" s="29">
        <v>20</v>
      </c>
      <c r="C50" s="1">
        <v>25</v>
      </c>
      <c r="D50" s="29">
        <v>0</v>
      </c>
      <c r="E50" s="29">
        <v>0</v>
      </c>
      <c r="F50" s="1">
        <v>0</v>
      </c>
      <c r="G50" s="1">
        <v>4</v>
      </c>
      <c r="H50" s="30">
        <v>2</v>
      </c>
      <c r="I50" s="1">
        <v>0</v>
      </c>
      <c r="J50" s="31">
        <v>0</v>
      </c>
      <c r="K50" s="31">
        <v>43</v>
      </c>
      <c r="L50" s="7">
        <f t="shared" si="1"/>
        <v>51</v>
      </c>
      <c r="M50" s="8">
        <f t="shared" si="0"/>
        <v>94</v>
      </c>
      <c r="N50" s="20"/>
    </row>
    <row r="51" spans="1:14" ht="15.75" thickBot="1" x14ac:dyDescent="0.3">
      <c r="A51" s="9" t="s">
        <v>56</v>
      </c>
      <c r="B51" s="29">
        <v>14</v>
      </c>
      <c r="C51" s="1">
        <v>16</v>
      </c>
      <c r="D51" s="29">
        <v>1</v>
      </c>
      <c r="E51" s="29">
        <v>0</v>
      </c>
      <c r="F51" s="1">
        <v>0</v>
      </c>
      <c r="G51" s="1">
        <v>0</v>
      </c>
      <c r="H51" s="30">
        <v>0</v>
      </c>
      <c r="I51" s="1">
        <v>1</v>
      </c>
      <c r="J51" s="31">
        <v>0</v>
      </c>
      <c r="K51" s="31">
        <v>25</v>
      </c>
      <c r="L51" s="7">
        <f t="shared" si="1"/>
        <v>32</v>
      </c>
      <c r="M51" s="8">
        <f t="shared" si="0"/>
        <v>57</v>
      </c>
      <c r="N51" s="20"/>
    </row>
    <row r="52" spans="1:14" ht="15.75" thickBot="1" x14ac:dyDescent="0.3">
      <c r="A52" s="9" t="s">
        <v>57</v>
      </c>
      <c r="B52" s="29">
        <v>19</v>
      </c>
      <c r="C52" s="1">
        <v>22</v>
      </c>
      <c r="D52" s="29">
        <v>1</v>
      </c>
      <c r="E52" s="29">
        <v>0</v>
      </c>
      <c r="F52" s="1">
        <v>0</v>
      </c>
      <c r="G52" s="1">
        <v>0</v>
      </c>
      <c r="H52" s="30">
        <v>1</v>
      </c>
      <c r="I52" s="1">
        <v>1</v>
      </c>
      <c r="J52" s="31">
        <v>2</v>
      </c>
      <c r="K52" s="31">
        <v>38</v>
      </c>
      <c r="L52" s="7">
        <f t="shared" si="1"/>
        <v>46</v>
      </c>
      <c r="M52" s="8">
        <f t="shared" si="0"/>
        <v>84</v>
      </c>
      <c r="N52" s="20"/>
    </row>
    <row r="53" spans="1:14" ht="15.75" thickBot="1" x14ac:dyDescent="0.3">
      <c r="A53" s="9" t="s">
        <v>58</v>
      </c>
      <c r="B53" s="29">
        <v>19</v>
      </c>
      <c r="C53" s="1">
        <v>14</v>
      </c>
      <c r="D53" s="29">
        <v>0</v>
      </c>
      <c r="E53" s="29">
        <v>0</v>
      </c>
      <c r="F53" s="1">
        <v>0</v>
      </c>
      <c r="G53" s="1">
        <v>0</v>
      </c>
      <c r="H53" s="30">
        <v>1</v>
      </c>
      <c r="I53" s="1">
        <v>0</v>
      </c>
      <c r="J53" s="31">
        <v>1</v>
      </c>
      <c r="K53" s="31">
        <v>41</v>
      </c>
      <c r="L53" s="7">
        <f t="shared" si="1"/>
        <v>35</v>
      </c>
      <c r="M53" s="8">
        <f t="shared" si="0"/>
        <v>76</v>
      </c>
      <c r="N53" s="20"/>
    </row>
    <row r="54" spans="1:14" ht="15.75" thickBot="1" x14ac:dyDescent="0.3">
      <c r="A54" s="9" t="s">
        <v>59</v>
      </c>
      <c r="B54" s="29">
        <v>15</v>
      </c>
      <c r="C54" s="1">
        <v>14</v>
      </c>
      <c r="D54" s="29">
        <v>0</v>
      </c>
      <c r="E54" s="29">
        <v>0</v>
      </c>
      <c r="F54" s="1">
        <v>1</v>
      </c>
      <c r="G54" s="1">
        <v>0</v>
      </c>
      <c r="H54" s="30">
        <v>4</v>
      </c>
      <c r="I54" s="1">
        <v>1</v>
      </c>
      <c r="J54" s="31">
        <v>2</v>
      </c>
      <c r="K54" s="31">
        <v>42</v>
      </c>
      <c r="L54" s="7">
        <f t="shared" si="1"/>
        <v>37</v>
      </c>
      <c r="M54" s="8">
        <f t="shared" si="0"/>
        <v>79</v>
      </c>
      <c r="N54" s="20"/>
    </row>
    <row r="55" spans="1:14" ht="15.75" thickBot="1" x14ac:dyDescent="0.3">
      <c r="A55" s="9" t="s">
        <v>60</v>
      </c>
      <c r="B55" s="29">
        <v>26</v>
      </c>
      <c r="C55" s="1">
        <v>31</v>
      </c>
      <c r="D55" s="29">
        <v>1</v>
      </c>
      <c r="E55" s="29">
        <v>0</v>
      </c>
      <c r="F55" s="1">
        <v>0</v>
      </c>
      <c r="G55" s="1">
        <v>0</v>
      </c>
      <c r="H55" s="30">
        <v>1</v>
      </c>
      <c r="I55" s="1">
        <v>3</v>
      </c>
      <c r="J55" s="31">
        <v>1</v>
      </c>
      <c r="K55" s="31">
        <v>90</v>
      </c>
      <c r="L55" s="7">
        <f t="shared" si="1"/>
        <v>63</v>
      </c>
      <c r="M55" s="8">
        <f t="shared" si="0"/>
        <v>153</v>
      </c>
      <c r="N55" s="20"/>
    </row>
    <row r="56" spans="1:14" ht="15.75" thickBot="1" x14ac:dyDescent="0.3">
      <c r="A56" s="9" t="s">
        <v>61</v>
      </c>
      <c r="B56" s="29">
        <v>9</v>
      </c>
      <c r="C56" s="1">
        <v>15</v>
      </c>
      <c r="D56" s="29">
        <v>0</v>
      </c>
      <c r="E56" s="29">
        <v>0</v>
      </c>
      <c r="F56" s="1">
        <v>0</v>
      </c>
      <c r="G56" s="1">
        <v>0</v>
      </c>
      <c r="H56" s="30">
        <v>0</v>
      </c>
      <c r="I56" s="1">
        <v>0</v>
      </c>
      <c r="J56" s="31">
        <v>0</v>
      </c>
      <c r="K56" s="31">
        <v>48</v>
      </c>
      <c r="L56" s="7">
        <f t="shared" si="1"/>
        <v>24</v>
      </c>
      <c r="M56" s="8">
        <f t="shared" si="0"/>
        <v>72</v>
      </c>
      <c r="N56" s="20"/>
    </row>
    <row r="57" spans="1:14" ht="15.75" thickBot="1" x14ac:dyDescent="0.3">
      <c r="A57" s="9" t="s">
        <v>62</v>
      </c>
      <c r="B57" s="29">
        <v>7</v>
      </c>
      <c r="C57" s="1">
        <v>12</v>
      </c>
      <c r="D57" s="29">
        <v>1</v>
      </c>
      <c r="E57" s="29">
        <v>0</v>
      </c>
      <c r="F57" s="1">
        <v>0</v>
      </c>
      <c r="G57" s="1">
        <v>0</v>
      </c>
      <c r="H57" s="30">
        <v>0</v>
      </c>
      <c r="I57" s="1">
        <v>0</v>
      </c>
      <c r="J57" s="31">
        <v>2</v>
      </c>
      <c r="K57" s="31">
        <v>38</v>
      </c>
      <c r="L57" s="7">
        <f t="shared" si="1"/>
        <v>22</v>
      </c>
      <c r="M57" s="8">
        <f t="shared" si="0"/>
        <v>60</v>
      </c>
      <c r="N57" s="20"/>
    </row>
    <row r="58" spans="1:14" ht="15.75" thickBot="1" x14ac:dyDescent="0.3">
      <c r="A58" s="9" t="s">
        <v>63</v>
      </c>
      <c r="B58" s="29">
        <v>26</v>
      </c>
      <c r="C58" s="1">
        <v>17</v>
      </c>
      <c r="D58" s="29">
        <v>1</v>
      </c>
      <c r="E58" s="29">
        <v>0</v>
      </c>
      <c r="F58" s="1">
        <v>0</v>
      </c>
      <c r="G58" s="1">
        <v>1</v>
      </c>
      <c r="H58" s="30">
        <v>0</v>
      </c>
      <c r="I58" s="1">
        <v>1</v>
      </c>
      <c r="J58" s="31">
        <v>1</v>
      </c>
      <c r="K58" s="31">
        <v>52</v>
      </c>
      <c r="L58" s="7">
        <f t="shared" si="1"/>
        <v>47</v>
      </c>
      <c r="M58" s="8">
        <f t="shared" si="0"/>
        <v>99</v>
      </c>
      <c r="N58" s="20"/>
    </row>
    <row r="59" spans="1:14" ht="15.75" thickBot="1" x14ac:dyDescent="0.3">
      <c r="A59" s="9" t="s">
        <v>64</v>
      </c>
      <c r="B59" s="29">
        <v>18</v>
      </c>
      <c r="C59" s="1">
        <v>15</v>
      </c>
      <c r="D59" s="29">
        <v>2</v>
      </c>
      <c r="E59" s="29">
        <v>0</v>
      </c>
      <c r="F59" s="1">
        <v>0</v>
      </c>
      <c r="G59" s="1">
        <v>0</v>
      </c>
      <c r="H59" s="30">
        <v>0</v>
      </c>
      <c r="I59" s="1">
        <v>0</v>
      </c>
      <c r="J59" s="31">
        <v>1</v>
      </c>
      <c r="K59" s="31">
        <v>48</v>
      </c>
      <c r="L59" s="7">
        <f t="shared" si="1"/>
        <v>36</v>
      </c>
      <c r="M59" s="8">
        <f t="shared" si="0"/>
        <v>84</v>
      </c>
      <c r="N59" s="20"/>
    </row>
    <row r="60" spans="1:14" ht="15.75" thickBot="1" x14ac:dyDescent="0.3">
      <c r="A60" s="9" t="s">
        <v>65</v>
      </c>
      <c r="B60" s="29">
        <v>14</v>
      </c>
      <c r="C60" s="1">
        <v>25</v>
      </c>
      <c r="D60" s="29">
        <v>0</v>
      </c>
      <c r="E60" s="29">
        <v>0</v>
      </c>
      <c r="F60" s="1">
        <v>0</v>
      </c>
      <c r="G60" s="1">
        <v>1</v>
      </c>
      <c r="H60" s="30">
        <v>1</v>
      </c>
      <c r="I60" s="1">
        <v>0</v>
      </c>
      <c r="J60" s="31">
        <v>0</v>
      </c>
      <c r="K60" s="31">
        <v>33</v>
      </c>
      <c r="L60" s="7">
        <f t="shared" si="1"/>
        <v>41</v>
      </c>
      <c r="M60" s="8">
        <f t="shared" si="0"/>
        <v>74</v>
      </c>
      <c r="N60" s="20"/>
    </row>
    <row r="61" spans="1:14" ht="15.75" thickBot="1" x14ac:dyDescent="0.3">
      <c r="A61" s="9" t="s">
        <v>66</v>
      </c>
      <c r="B61" s="29">
        <v>18</v>
      </c>
      <c r="C61" s="1">
        <v>12</v>
      </c>
      <c r="D61" s="29">
        <v>1</v>
      </c>
      <c r="E61" s="29">
        <v>0</v>
      </c>
      <c r="F61" s="1">
        <v>0</v>
      </c>
      <c r="G61" s="1">
        <v>0</v>
      </c>
      <c r="H61" s="30">
        <v>1</v>
      </c>
      <c r="I61" s="1">
        <v>0</v>
      </c>
      <c r="J61" s="31">
        <v>0</v>
      </c>
      <c r="K61" s="31">
        <v>28</v>
      </c>
      <c r="L61" s="7">
        <f t="shared" si="1"/>
        <v>32</v>
      </c>
      <c r="M61" s="8">
        <f t="shared" si="0"/>
        <v>60</v>
      </c>
      <c r="N61" s="20"/>
    </row>
    <row r="62" spans="1:14" ht="15.75" thickBot="1" x14ac:dyDescent="0.3">
      <c r="A62" s="10" t="s">
        <v>67</v>
      </c>
      <c r="B62" s="29">
        <v>28</v>
      </c>
      <c r="C62" s="1">
        <v>27</v>
      </c>
      <c r="D62" s="29">
        <v>0</v>
      </c>
      <c r="E62" s="29">
        <v>0</v>
      </c>
      <c r="F62" s="1">
        <v>0</v>
      </c>
      <c r="G62" s="1">
        <v>2</v>
      </c>
      <c r="H62" s="30">
        <v>1</v>
      </c>
      <c r="I62" s="1">
        <v>1</v>
      </c>
      <c r="J62" s="31">
        <v>1</v>
      </c>
      <c r="K62" s="31">
        <v>39</v>
      </c>
      <c r="L62" s="7">
        <f t="shared" si="1"/>
        <v>60</v>
      </c>
      <c r="M62" s="8">
        <f t="shared" si="0"/>
        <v>99</v>
      </c>
      <c r="N62" s="20"/>
    </row>
    <row r="63" spans="1:14" ht="15.75" thickBot="1" x14ac:dyDescent="0.3">
      <c r="A63" s="9" t="s">
        <v>68</v>
      </c>
      <c r="B63" s="29">
        <v>21</v>
      </c>
      <c r="C63" s="1">
        <v>8</v>
      </c>
      <c r="D63" s="29">
        <v>0</v>
      </c>
      <c r="E63" s="29">
        <v>0</v>
      </c>
      <c r="F63" s="1">
        <v>0</v>
      </c>
      <c r="G63" s="1">
        <v>2</v>
      </c>
      <c r="H63" s="30">
        <v>0</v>
      </c>
      <c r="I63" s="1">
        <v>0</v>
      </c>
      <c r="J63" s="31">
        <v>0</v>
      </c>
      <c r="K63" s="31">
        <v>65</v>
      </c>
      <c r="L63" s="7">
        <f t="shared" si="1"/>
        <v>31</v>
      </c>
      <c r="M63" s="8">
        <f t="shared" si="0"/>
        <v>96</v>
      </c>
      <c r="N63" s="20"/>
    </row>
    <row r="64" spans="1:14" ht="15.75" thickBot="1" x14ac:dyDescent="0.3">
      <c r="A64" s="9" t="s">
        <v>69</v>
      </c>
      <c r="B64" s="29">
        <v>24</v>
      </c>
      <c r="C64" s="1">
        <v>16</v>
      </c>
      <c r="D64" s="29">
        <v>0</v>
      </c>
      <c r="E64" s="29">
        <v>0</v>
      </c>
      <c r="F64" s="1">
        <v>0</v>
      </c>
      <c r="G64" s="1">
        <v>0</v>
      </c>
      <c r="H64" s="30">
        <v>1</v>
      </c>
      <c r="I64" s="1">
        <v>0</v>
      </c>
      <c r="J64" s="31">
        <v>0</v>
      </c>
      <c r="K64" s="31">
        <v>67</v>
      </c>
      <c r="L64" s="7">
        <f t="shared" si="1"/>
        <v>41</v>
      </c>
      <c r="M64" s="8">
        <f>SUM(B64:K64)</f>
        <v>108</v>
      </c>
      <c r="N64" s="20"/>
    </row>
    <row r="65" spans="1:14" ht="15.75" thickBot="1" x14ac:dyDescent="0.3">
      <c r="A65" s="11" t="s">
        <v>70</v>
      </c>
      <c r="B65" s="29">
        <v>19</v>
      </c>
      <c r="C65" s="1">
        <v>16</v>
      </c>
      <c r="D65" s="29">
        <v>0</v>
      </c>
      <c r="E65" s="29">
        <v>0</v>
      </c>
      <c r="F65" s="1">
        <v>0</v>
      </c>
      <c r="G65" s="1">
        <v>1</v>
      </c>
      <c r="H65" s="30">
        <v>1</v>
      </c>
      <c r="I65" s="1">
        <v>0</v>
      </c>
      <c r="J65" s="31">
        <v>0</v>
      </c>
      <c r="K65" s="31">
        <v>55</v>
      </c>
      <c r="L65" s="7">
        <f t="shared" si="1"/>
        <v>37</v>
      </c>
      <c r="M65" s="8">
        <f>SUM(B65:K65)</f>
        <v>92</v>
      </c>
      <c r="N65" s="20"/>
    </row>
    <row r="66" spans="1:14" ht="15.75" thickBot="1" x14ac:dyDescent="0.3">
      <c r="A66" s="9" t="s">
        <v>71</v>
      </c>
      <c r="B66" s="29">
        <v>22</v>
      </c>
      <c r="C66" s="1">
        <v>23</v>
      </c>
      <c r="D66" s="29">
        <v>0</v>
      </c>
      <c r="E66" s="29">
        <v>0</v>
      </c>
      <c r="F66" s="1">
        <v>0</v>
      </c>
      <c r="G66" s="1">
        <v>0</v>
      </c>
      <c r="H66" s="30">
        <v>0</v>
      </c>
      <c r="I66" s="1">
        <v>0</v>
      </c>
      <c r="J66" s="31">
        <v>0</v>
      </c>
      <c r="K66" s="31">
        <v>64</v>
      </c>
      <c r="L66" s="7">
        <f t="shared" si="1"/>
        <v>45</v>
      </c>
      <c r="M66" s="8">
        <f t="shared" si="0"/>
        <v>109</v>
      </c>
      <c r="N66" s="20"/>
    </row>
    <row r="67" spans="1:14" ht="15.75" thickBot="1" x14ac:dyDescent="0.3">
      <c r="A67" s="9" t="s">
        <v>72</v>
      </c>
      <c r="B67" s="29">
        <v>14</v>
      </c>
      <c r="C67" s="1">
        <v>25</v>
      </c>
      <c r="D67" s="29">
        <v>0</v>
      </c>
      <c r="E67" s="29">
        <v>0</v>
      </c>
      <c r="F67" s="1">
        <v>0</v>
      </c>
      <c r="G67" s="1">
        <v>2</v>
      </c>
      <c r="H67" s="30">
        <v>0</v>
      </c>
      <c r="I67" s="1">
        <v>0</v>
      </c>
      <c r="J67" s="31">
        <v>0</v>
      </c>
      <c r="K67" s="31">
        <v>26</v>
      </c>
      <c r="L67" s="7">
        <f t="shared" si="1"/>
        <v>41</v>
      </c>
      <c r="M67" s="8">
        <f>SUM(B67:K67)</f>
        <v>67</v>
      </c>
      <c r="N67" s="20"/>
    </row>
    <row r="68" spans="1:14" ht="15.75" thickBot="1" x14ac:dyDescent="0.3">
      <c r="A68" s="9" t="s">
        <v>90</v>
      </c>
      <c r="B68" s="29">
        <v>9</v>
      </c>
      <c r="C68" s="1">
        <v>10</v>
      </c>
      <c r="D68" s="29">
        <v>0</v>
      </c>
      <c r="E68" s="29">
        <v>0</v>
      </c>
      <c r="F68" s="1">
        <v>0</v>
      </c>
      <c r="G68" s="1">
        <v>4</v>
      </c>
      <c r="H68" s="30">
        <v>1</v>
      </c>
      <c r="I68" s="1">
        <v>1</v>
      </c>
      <c r="J68" s="31">
        <v>0</v>
      </c>
      <c r="K68" s="31">
        <v>19</v>
      </c>
      <c r="L68" s="7">
        <f t="shared" si="1"/>
        <v>25</v>
      </c>
      <c r="M68" s="8">
        <f t="shared" ref="M68:M71" si="2">SUM(B68:K68)</f>
        <v>44</v>
      </c>
      <c r="N68" s="20"/>
    </row>
    <row r="69" spans="1:14" ht="15.75" thickBot="1" x14ac:dyDescent="0.3">
      <c r="A69" s="9" t="s">
        <v>91</v>
      </c>
      <c r="B69" s="29">
        <v>33</v>
      </c>
      <c r="C69" s="1">
        <v>28</v>
      </c>
      <c r="D69" s="29">
        <v>2</v>
      </c>
      <c r="E69" s="29">
        <v>0</v>
      </c>
      <c r="F69" s="1">
        <v>0</v>
      </c>
      <c r="G69" s="1">
        <v>1</v>
      </c>
      <c r="H69" s="30">
        <v>2</v>
      </c>
      <c r="I69" s="1">
        <v>0</v>
      </c>
      <c r="J69" s="31">
        <v>0</v>
      </c>
      <c r="K69" s="31">
        <v>31</v>
      </c>
      <c r="L69" s="7">
        <f t="shared" si="1"/>
        <v>66</v>
      </c>
      <c r="M69" s="8">
        <f t="shared" si="2"/>
        <v>97</v>
      </c>
      <c r="N69" s="20"/>
    </row>
    <row r="70" spans="1:14" ht="15.75" thickBot="1" x14ac:dyDescent="0.3">
      <c r="A70" s="9" t="s">
        <v>92</v>
      </c>
      <c r="B70" s="29">
        <v>19</v>
      </c>
      <c r="C70" s="1">
        <v>14</v>
      </c>
      <c r="D70" s="29">
        <v>1</v>
      </c>
      <c r="E70" s="29">
        <v>0</v>
      </c>
      <c r="F70" s="1">
        <v>0</v>
      </c>
      <c r="G70" s="1">
        <v>0</v>
      </c>
      <c r="H70" s="30">
        <v>1</v>
      </c>
      <c r="I70" s="1">
        <v>0</v>
      </c>
      <c r="J70" s="31">
        <v>0</v>
      </c>
      <c r="K70" s="31">
        <v>15</v>
      </c>
      <c r="L70" s="7">
        <f t="shared" si="1"/>
        <v>35</v>
      </c>
      <c r="M70" s="8">
        <f t="shared" si="2"/>
        <v>50</v>
      </c>
      <c r="N70" s="20"/>
    </row>
    <row r="71" spans="1:14" ht="15.75" thickBot="1" x14ac:dyDescent="0.3">
      <c r="A71" s="9" t="s">
        <v>93</v>
      </c>
      <c r="B71" s="29">
        <v>24</v>
      </c>
      <c r="C71" s="1">
        <v>28</v>
      </c>
      <c r="D71" s="29">
        <v>0</v>
      </c>
      <c r="E71" s="29">
        <v>0</v>
      </c>
      <c r="F71" s="1">
        <v>0</v>
      </c>
      <c r="G71" s="1">
        <v>0</v>
      </c>
      <c r="H71" s="30">
        <v>0</v>
      </c>
      <c r="I71" s="1">
        <v>1</v>
      </c>
      <c r="J71" s="31">
        <v>0</v>
      </c>
      <c r="K71" s="31">
        <v>54</v>
      </c>
      <c r="L71" s="7">
        <f t="shared" si="1"/>
        <v>53</v>
      </c>
      <c r="M71" s="8">
        <f t="shared" si="2"/>
        <v>107</v>
      </c>
      <c r="N71" s="20"/>
    </row>
    <row r="72" spans="1:14" ht="15.75" thickBot="1" x14ac:dyDescent="0.3">
      <c r="B72" s="12">
        <f>SUM(B8:B71)</f>
        <v>2004</v>
      </c>
      <c r="C72" s="12">
        <f t="shared" ref="C72:K72" si="3">SUM(C8:C71)</f>
        <v>2384</v>
      </c>
      <c r="D72" s="12">
        <f t="shared" si="3"/>
        <v>73</v>
      </c>
      <c r="E72" s="12">
        <f t="shared" si="3"/>
        <v>1</v>
      </c>
      <c r="F72" s="12">
        <f t="shared" si="3"/>
        <v>7</v>
      </c>
      <c r="G72" s="12">
        <f t="shared" si="3"/>
        <v>79</v>
      </c>
      <c r="H72" s="12">
        <f t="shared" si="3"/>
        <v>42</v>
      </c>
      <c r="I72" s="12">
        <f t="shared" si="3"/>
        <v>42</v>
      </c>
      <c r="J72" s="12">
        <f t="shared" si="3"/>
        <v>29</v>
      </c>
      <c r="K72" s="12">
        <f t="shared" si="3"/>
        <v>3066</v>
      </c>
      <c r="L72" s="12">
        <f>SUM(B72:J72)</f>
        <v>4661</v>
      </c>
      <c r="M72" s="8">
        <f>SUM(B72:K72)</f>
        <v>7727</v>
      </c>
      <c r="N72" s="20"/>
    </row>
    <row r="73" spans="1:14" ht="15.75" thickBot="1" x14ac:dyDescent="0.3">
      <c r="A73" s="57" t="s">
        <v>118</v>
      </c>
      <c r="B73" s="58">
        <f>AVERAGE(B8:B23)*4</f>
        <v>187</v>
      </c>
      <c r="C73" s="58">
        <f t="shared" ref="C73:K73" si="4">AVERAGE(C8:C23)*4</f>
        <v>219.5</v>
      </c>
      <c r="D73" s="58">
        <f t="shared" si="4"/>
        <v>4.75</v>
      </c>
      <c r="E73" s="58">
        <f t="shared" si="4"/>
        <v>0</v>
      </c>
      <c r="F73" s="58">
        <f t="shared" si="4"/>
        <v>1</v>
      </c>
      <c r="G73" s="58">
        <f t="shared" si="4"/>
        <v>4.25</v>
      </c>
      <c r="H73" s="58">
        <f t="shared" si="4"/>
        <v>2</v>
      </c>
      <c r="I73" s="58">
        <f t="shared" si="4"/>
        <v>0</v>
      </c>
      <c r="J73" s="58">
        <f t="shared" si="4"/>
        <v>0.5</v>
      </c>
      <c r="K73" s="58">
        <f t="shared" si="4"/>
        <v>225.75</v>
      </c>
      <c r="M73" s="12">
        <f>SUM(M8:M71)</f>
        <v>7640</v>
      </c>
      <c r="N73" s="20"/>
    </row>
    <row r="74" spans="1:14" x14ac:dyDescent="0.25">
      <c r="A74" s="57" t="s">
        <v>119</v>
      </c>
      <c r="B74" s="58">
        <f>AVERAGE(B48:B59)*4</f>
        <v>78.333333333333329</v>
      </c>
      <c r="C74" s="58">
        <f t="shared" ref="C74:K74" si="5">AVERAGE(C48:C59)*4</f>
        <v>87.333333333333329</v>
      </c>
      <c r="D74" s="58">
        <f t="shared" si="5"/>
        <v>2.6666666666666665</v>
      </c>
      <c r="E74" s="58">
        <f t="shared" si="5"/>
        <v>0</v>
      </c>
      <c r="F74" s="58">
        <f t="shared" si="5"/>
        <v>0.33333333333333331</v>
      </c>
      <c r="G74" s="58">
        <f t="shared" si="5"/>
        <v>2.6666666666666665</v>
      </c>
      <c r="H74" s="58">
        <f t="shared" si="5"/>
        <v>3.6666666666666665</v>
      </c>
      <c r="I74" s="58">
        <f t="shared" si="5"/>
        <v>3.3333333333333335</v>
      </c>
      <c r="J74" s="58">
        <f t="shared" si="5"/>
        <v>3.3333333333333335</v>
      </c>
      <c r="K74" s="58">
        <f t="shared" si="5"/>
        <v>194</v>
      </c>
    </row>
  </sheetData>
  <mergeCells count="8">
    <mergeCell ref="A6:M6"/>
    <mergeCell ref="A1:M1"/>
    <mergeCell ref="A2:M2"/>
    <mergeCell ref="A3:M3"/>
    <mergeCell ref="G4:H4"/>
    <mergeCell ref="B5:C5"/>
    <mergeCell ref="G5:H5"/>
    <mergeCell ref="B4:C4"/>
  </mergeCells>
  <pageMargins left="0.7" right="0.7" top="0.75" bottom="0.75" header="0.3" footer="0.3"/>
  <pageSetup scale="4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74"/>
  <sheetViews>
    <sheetView view="pageBreakPreview" zoomScale="84" zoomScaleSheetLayoutView="84" workbookViewId="0">
      <selection activeCell="B4" sqref="B4:C4"/>
    </sheetView>
  </sheetViews>
  <sheetFormatPr defaultColWidth="13.28515625" defaultRowHeight="15" x14ac:dyDescent="0.25"/>
  <cols>
    <col min="1" max="1" width="14.85546875" customWidth="1"/>
    <col min="2" max="2" width="11.7109375" customWidth="1"/>
    <col min="3" max="3" width="13.28515625" customWidth="1"/>
    <col min="4" max="4" width="12.7109375" customWidth="1"/>
    <col min="5" max="6" width="13.28515625" customWidth="1"/>
    <col min="7" max="7" width="11.42578125" customWidth="1"/>
    <col min="8" max="8" width="13.28515625" customWidth="1"/>
    <col min="9" max="9" width="11.42578125" customWidth="1"/>
    <col min="10" max="10" width="13.28515625" customWidth="1"/>
    <col min="11" max="11" width="12" customWidth="1"/>
    <col min="12" max="12" width="9.28515625" customWidth="1"/>
    <col min="13" max="13" width="10.7109375" customWidth="1"/>
    <col min="14" max="14" width="12.7109375" customWidth="1"/>
    <col min="15" max="15" width="6.42578125" style="22" customWidth="1"/>
  </cols>
  <sheetData>
    <row r="1" spans="1:15" ht="18.75" x14ac:dyDescent="0.3">
      <c r="A1" s="62" t="s">
        <v>120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36"/>
    </row>
    <row r="2" spans="1:15" ht="18.75" x14ac:dyDescent="0.3">
      <c r="A2" s="65" t="s">
        <v>94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7"/>
      <c r="N2" s="36"/>
    </row>
    <row r="3" spans="1:15" x14ac:dyDescent="0.25">
      <c r="A3" s="68"/>
      <c r="B3" s="69"/>
      <c r="C3" s="69"/>
      <c r="D3" s="69"/>
      <c r="E3" s="60"/>
      <c r="F3" s="69"/>
      <c r="G3" s="69"/>
      <c r="H3" s="69"/>
      <c r="I3" s="69"/>
      <c r="J3" s="60"/>
      <c r="K3" s="69"/>
      <c r="L3" s="69"/>
      <c r="M3" s="70"/>
      <c r="N3" s="34"/>
    </row>
    <row r="4" spans="1:15" x14ac:dyDescent="0.25">
      <c r="A4" s="50" t="s">
        <v>112</v>
      </c>
      <c r="B4" s="73">
        <v>43797</v>
      </c>
      <c r="C4" s="72"/>
      <c r="D4" s="15"/>
      <c r="E4" s="16"/>
      <c r="F4" s="49" t="s">
        <v>73</v>
      </c>
      <c r="G4" s="71" t="s">
        <v>109</v>
      </c>
      <c r="H4" s="71"/>
      <c r="I4" s="13"/>
      <c r="J4" s="13"/>
      <c r="K4" s="13"/>
      <c r="L4" s="13"/>
      <c r="M4" s="14"/>
      <c r="N4" s="17"/>
    </row>
    <row r="5" spans="1:15" x14ac:dyDescent="0.25">
      <c r="A5" s="50" t="s">
        <v>108</v>
      </c>
      <c r="B5" s="72" t="s">
        <v>97</v>
      </c>
      <c r="C5" s="72"/>
      <c r="D5" s="15"/>
      <c r="E5" s="16"/>
      <c r="F5" s="50" t="s">
        <v>74</v>
      </c>
      <c r="G5" s="72" t="s">
        <v>98</v>
      </c>
      <c r="H5" s="72"/>
      <c r="I5" s="15"/>
      <c r="J5" s="15"/>
      <c r="K5" s="15"/>
      <c r="L5" s="15"/>
      <c r="M5" s="16"/>
      <c r="N5" s="18"/>
    </row>
    <row r="6" spans="1:15" ht="15.75" thickBot="1" x14ac:dyDescent="0.3">
      <c r="A6" s="59"/>
      <c r="B6" s="60"/>
      <c r="C6" s="60"/>
      <c r="D6" s="60"/>
      <c r="E6" s="60"/>
      <c r="F6" s="60"/>
      <c r="G6" s="60"/>
      <c r="H6" s="60"/>
      <c r="I6" s="60"/>
      <c r="J6" s="60"/>
      <c r="K6" s="60"/>
      <c r="L6" s="60"/>
      <c r="M6" s="61"/>
      <c r="N6" s="34"/>
    </row>
    <row r="7" spans="1:15" ht="42.75" customHeight="1" thickBot="1" x14ac:dyDescent="0.3">
      <c r="A7" s="2" t="s">
        <v>0</v>
      </c>
      <c r="B7" s="3" t="s">
        <v>1</v>
      </c>
      <c r="C7" s="4" t="s">
        <v>2</v>
      </c>
      <c r="D7" s="3" t="s">
        <v>3</v>
      </c>
      <c r="E7" s="3" t="s">
        <v>4</v>
      </c>
      <c r="F7" s="4" t="s">
        <v>5</v>
      </c>
      <c r="G7" s="4" t="s">
        <v>6</v>
      </c>
      <c r="H7" s="5" t="s">
        <v>7</v>
      </c>
      <c r="I7" s="4" t="s">
        <v>8</v>
      </c>
      <c r="J7" s="6" t="s">
        <v>9</v>
      </c>
      <c r="K7" s="6" t="s">
        <v>10</v>
      </c>
      <c r="L7" s="27" t="s">
        <v>12</v>
      </c>
      <c r="M7" s="28" t="s">
        <v>11</v>
      </c>
      <c r="N7" s="19"/>
    </row>
    <row r="8" spans="1:15" ht="15.75" thickBot="1" x14ac:dyDescent="0.3">
      <c r="A8" s="9" t="s">
        <v>13</v>
      </c>
      <c r="B8" s="33">
        <v>27</v>
      </c>
      <c r="C8" s="1">
        <v>20</v>
      </c>
      <c r="D8" s="33">
        <v>5</v>
      </c>
      <c r="E8" s="33">
        <v>0</v>
      </c>
      <c r="F8" s="1">
        <v>0</v>
      </c>
      <c r="G8" s="1">
        <v>0</v>
      </c>
      <c r="H8" s="34">
        <v>0</v>
      </c>
      <c r="I8" s="1">
        <v>3</v>
      </c>
      <c r="J8" s="35">
        <v>0</v>
      </c>
      <c r="K8" s="35">
        <v>10</v>
      </c>
      <c r="L8" s="7">
        <f>SUM(B8:J8)</f>
        <v>55</v>
      </c>
      <c r="M8" s="8">
        <f t="shared" ref="M8:M66" si="0">SUM(B8:K8)</f>
        <v>65</v>
      </c>
      <c r="N8" s="21" t="s">
        <v>75</v>
      </c>
      <c r="O8" s="22">
        <f>SUM(L8:L11)</f>
        <v>159</v>
      </c>
    </row>
    <row r="9" spans="1:15" ht="15.75" thickBot="1" x14ac:dyDescent="0.3">
      <c r="A9" s="9" t="s">
        <v>14</v>
      </c>
      <c r="B9" s="33">
        <v>10</v>
      </c>
      <c r="C9" s="1">
        <v>12</v>
      </c>
      <c r="D9" s="33">
        <v>6</v>
      </c>
      <c r="E9" s="33">
        <v>0</v>
      </c>
      <c r="F9" s="1">
        <v>0</v>
      </c>
      <c r="G9" s="1">
        <v>15</v>
      </c>
      <c r="H9" s="34">
        <v>0</v>
      </c>
      <c r="I9" s="1">
        <v>0</v>
      </c>
      <c r="J9" s="35">
        <v>0</v>
      </c>
      <c r="K9" s="35">
        <v>11</v>
      </c>
      <c r="L9" s="7">
        <f t="shared" ref="L9:L71" si="1">SUM(B9:J9)</f>
        <v>43</v>
      </c>
      <c r="M9" s="8">
        <f t="shared" si="0"/>
        <v>54</v>
      </c>
      <c r="N9" s="21" t="s">
        <v>76</v>
      </c>
      <c r="O9" s="22">
        <f>SUM(L12:L15)</f>
        <v>160</v>
      </c>
    </row>
    <row r="10" spans="1:15" ht="15.75" thickBot="1" x14ac:dyDescent="0.3">
      <c r="A10" s="9" t="s">
        <v>15</v>
      </c>
      <c r="B10" s="33">
        <v>13</v>
      </c>
      <c r="C10" s="1">
        <v>7</v>
      </c>
      <c r="D10" s="33">
        <v>8</v>
      </c>
      <c r="E10" s="33">
        <v>0</v>
      </c>
      <c r="F10" s="1">
        <v>0</v>
      </c>
      <c r="G10" s="1">
        <v>4</v>
      </c>
      <c r="H10" s="34">
        <v>0</v>
      </c>
      <c r="I10" s="1">
        <v>0</v>
      </c>
      <c r="J10" s="35">
        <v>0</v>
      </c>
      <c r="K10" s="35">
        <v>20</v>
      </c>
      <c r="L10" s="7">
        <f t="shared" si="1"/>
        <v>32</v>
      </c>
      <c r="M10" s="8">
        <f t="shared" si="0"/>
        <v>52</v>
      </c>
      <c r="N10" s="21" t="s">
        <v>77</v>
      </c>
      <c r="O10" s="22">
        <f>SUM(L16:L19)</f>
        <v>205</v>
      </c>
    </row>
    <row r="11" spans="1:15" ht="15.75" thickBot="1" x14ac:dyDescent="0.3">
      <c r="A11" s="9" t="s">
        <v>16</v>
      </c>
      <c r="B11" s="33">
        <v>10</v>
      </c>
      <c r="C11" s="1">
        <v>11</v>
      </c>
      <c r="D11" s="33">
        <v>5</v>
      </c>
      <c r="E11" s="33">
        <v>0</v>
      </c>
      <c r="F11" s="1">
        <v>0</v>
      </c>
      <c r="G11" s="1">
        <v>3</v>
      </c>
      <c r="H11" s="34">
        <v>0</v>
      </c>
      <c r="I11" s="1">
        <v>0</v>
      </c>
      <c r="J11" s="35">
        <v>0</v>
      </c>
      <c r="K11" s="35">
        <v>8</v>
      </c>
      <c r="L11" s="7">
        <f t="shared" si="1"/>
        <v>29</v>
      </c>
      <c r="M11" s="8">
        <f t="shared" si="0"/>
        <v>37</v>
      </c>
      <c r="N11" s="21" t="s">
        <v>78</v>
      </c>
      <c r="O11" s="22">
        <f>SUM(L20:L23)</f>
        <v>164</v>
      </c>
    </row>
    <row r="12" spans="1:15" ht="15.75" thickBot="1" x14ac:dyDescent="0.3">
      <c r="A12" s="9" t="s">
        <v>17</v>
      </c>
      <c r="B12" s="33">
        <v>0</v>
      </c>
      <c r="C12" s="1">
        <v>0</v>
      </c>
      <c r="D12" s="33">
        <v>0</v>
      </c>
      <c r="E12" s="33">
        <v>0</v>
      </c>
      <c r="F12" s="1">
        <v>0</v>
      </c>
      <c r="G12" s="1">
        <v>0</v>
      </c>
      <c r="H12" s="34">
        <v>0</v>
      </c>
      <c r="I12" s="1">
        <v>0</v>
      </c>
      <c r="J12" s="35">
        <v>0</v>
      </c>
      <c r="K12" s="35">
        <v>0</v>
      </c>
      <c r="L12" s="7">
        <f t="shared" si="1"/>
        <v>0</v>
      </c>
      <c r="M12" s="8">
        <f t="shared" si="0"/>
        <v>0</v>
      </c>
      <c r="N12" s="21" t="s">
        <v>79</v>
      </c>
      <c r="O12" s="22">
        <f>SUM(L24:L27)</f>
        <v>230</v>
      </c>
    </row>
    <row r="13" spans="1:15" ht="15.75" thickBot="1" x14ac:dyDescent="0.3">
      <c r="A13" s="9" t="s">
        <v>18</v>
      </c>
      <c r="B13" s="33">
        <v>0</v>
      </c>
      <c r="C13" s="1">
        <v>0</v>
      </c>
      <c r="D13" s="33">
        <v>0</v>
      </c>
      <c r="E13" s="33">
        <v>0</v>
      </c>
      <c r="F13" s="1">
        <v>0</v>
      </c>
      <c r="G13" s="1">
        <v>0</v>
      </c>
      <c r="H13" s="34">
        <v>0</v>
      </c>
      <c r="I13" s="1">
        <v>0</v>
      </c>
      <c r="J13" s="35">
        <v>0</v>
      </c>
      <c r="K13" s="35">
        <v>0</v>
      </c>
      <c r="L13" s="7">
        <f t="shared" si="1"/>
        <v>0</v>
      </c>
      <c r="M13" s="8">
        <f t="shared" si="0"/>
        <v>0</v>
      </c>
      <c r="N13" s="21" t="s">
        <v>80</v>
      </c>
      <c r="O13" s="22">
        <f>SUM(L28:L31)</f>
        <v>216</v>
      </c>
    </row>
    <row r="14" spans="1:15" ht="15.75" thickBot="1" x14ac:dyDescent="0.3">
      <c r="A14" s="9" t="s">
        <v>19</v>
      </c>
      <c r="B14" s="33">
        <v>13</v>
      </c>
      <c r="C14" s="1">
        <v>15</v>
      </c>
      <c r="D14" s="33">
        <v>5</v>
      </c>
      <c r="E14" s="33">
        <v>0</v>
      </c>
      <c r="F14" s="1">
        <v>0</v>
      </c>
      <c r="G14" s="1">
        <v>10</v>
      </c>
      <c r="H14" s="34">
        <v>0</v>
      </c>
      <c r="I14" s="1">
        <v>0</v>
      </c>
      <c r="J14" s="35">
        <v>0</v>
      </c>
      <c r="K14" s="35">
        <v>20</v>
      </c>
      <c r="L14" s="7">
        <f t="shared" si="1"/>
        <v>43</v>
      </c>
      <c r="M14" s="8">
        <f t="shared" si="0"/>
        <v>63</v>
      </c>
      <c r="N14" s="21" t="s">
        <v>81</v>
      </c>
      <c r="O14" s="22">
        <f>SUM(L32:L35)</f>
        <v>161</v>
      </c>
    </row>
    <row r="15" spans="1:15" ht="15.75" thickBot="1" x14ac:dyDescent="0.3">
      <c r="A15" s="9" t="s">
        <v>20</v>
      </c>
      <c r="B15" s="33">
        <v>30</v>
      </c>
      <c r="C15" s="1">
        <v>37</v>
      </c>
      <c r="D15" s="33">
        <v>20</v>
      </c>
      <c r="E15" s="33">
        <v>0</v>
      </c>
      <c r="F15" s="1">
        <v>0</v>
      </c>
      <c r="G15" s="1">
        <v>30</v>
      </c>
      <c r="H15" s="34">
        <v>0</v>
      </c>
      <c r="I15" s="1">
        <v>0</v>
      </c>
      <c r="J15" s="35">
        <v>0</v>
      </c>
      <c r="K15" s="35">
        <v>25</v>
      </c>
      <c r="L15" s="7">
        <f t="shared" si="1"/>
        <v>117</v>
      </c>
      <c r="M15" s="8">
        <f t="shared" si="0"/>
        <v>142</v>
      </c>
      <c r="N15" s="21" t="s">
        <v>82</v>
      </c>
      <c r="O15" s="22">
        <f>SUM(L36:L39)</f>
        <v>101</v>
      </c>
    </row>
    <row r="16" spans="1:15" ht="15.75" thickBot="1" x14ac:dyDescent="0.3">
      <c r="A16" s="9" t="s">
        <v>21</v>
      </c>
      <c r="B16" s="33">
        <v>20</v>
      </c>
      <c r="C16" s="1">
        <v>36</v>
      </c>
      <c r="D16" s="33">
        <v>2</v>
      </c>
      <c r="E16" s="33">
        <v>2</v>
      </c>
      <c r="F16" s="1">
        <v>0</v>
      </c>
      <c r="G16" s="1">
        <v>11</v>
      </c>
      <c r="H16" s="34">
        <v>0</v>
      </c>
      <c r="I16" s="1">
        <v>0</v>
      </c>
      <c r="J16" s="35">
        <v>0</v>
      </c>
      <c r="K16" s="35">
        <v>25</v>
      </c>
      <c r="L16" s="7">
        <f t="shared" si="1"/>
        <v>71</v>
      </c>
      <c r="M16" s="8">
        <f t="shared" si="0"/>
        <v>96</v>
      </c>
      <c r="N16" s="21" t="s">
        <v>83</v>
      </c>
      <c r="O16" s="22">
        <f>SUM(L40:L43)</f>
        <v>58</v>
      </c>
    </row>
    <row r="17" spans="1:15" ht="15.75" thickBot="1" x14ac:dyDescent="0.3">
      <c r="A17" s="9" t="s">
        <v>22</v>
      </c>
      <c r="B17" s="33">
        <v>10</v>
      </c>
      <c r="C17" s="1">
        <v>12</v>
      </c>
      <c r="D17" s="33">
        <v>10</v>
      </c>
      <c r="E17" s="33">
        <v>0</v>
      </c>
      <c r="F17" s="1">
        <v>2</v>
      </c>
      <c r="G17" s="1">
        <v>5</v>
      </c>
      <c r="H17" s="34">
        <v>2</v>
      </c>
      <c r="I17" s="1">
        <v>0</v>
      </c>
      <c r="J17" s="35">
        <v>0</v>
      </c>
      <c r="K17" s="35">
        <v>24</v>
      </c>
      <c r="L17" s="7">
        <f t="shared" si="1"/>
        <v>41</v>
      </c>
      <c r="M17" s="8">
        <f t="shared" si="0"/>
        <v>65</v>
      </c>
      <c r="N17" s="21" t="s">
        <v>84</v>
      </c>
      <c r="O17" s="22">
        <f>SUM(L44:L47)</f>
        <v>41</v>
      </c>
    </row>
    <row r="18" spans="1:15" ht="15.75" thickBot="1" x14ac:dyDescent="0.3">
      <c r="A18" s="9" t="s">
        <v>23</v>
      </c>
      <c r="B18" s="33">
        <v>10</v>
      </c>
      <c r="C18" s="1">
        <v>10</v>
      </c>
      <c r="D18" s="33">
        <v>6</v>
      </c>
      <c r="E18" s="33">
        <v>0</v>
      </c>
      <c r="F18" s="1">
        <v>0</v>
      </c>
      <c r="G18" s="1">
        <v>1</v>
      </c>
      <c r="H18" s="34">
        <v>0</v>
      </c>
      <c r="I18" s="1">
        <v>0</v>
      </c>
      <c r="J18" s="35">
        <v>0</v>
      </c>
      <c r="K18" s="35">
        <v>12</v>
      </c>
      <c r="L18" s="7">
        <f t="shared" si="1"/>
        <v>27</v>
      </c>
      <c r="M18" s="8">
        <f t="shared" si="0"/>
        <v>39</v>
      </c>
      <c r="N18" s="21" t="s">
        <v>85</v>
      </c>
      <c r="O18" s="22">
        <f>SUM(L48:L51)</f>
        <v>22</v>
      </c>
    </row>
    <row r="19" spans="1:15" ht="15.75" thickBot="1" x14ac:dyDescent="0.3">
      <c r="A19" s="9" t="s">
        <v>24</v>
      </c>
      <c r="B19" s="33">
        <v>19</v>
      </c>
      <c r="C19" s="1">
        <v>21</v>
      </c>
      <c r="D19" s="33">
        <v>7</v>
      </c>
      <c r="E19" s="33">
        <v>6</v>
      </c>
      <c r="F19" s="1">
        <v>0</v>
      </c>
      <c r="G19" s="1">
        <v>10</v>
      </c>
      <c r="H19" s="34">
        <v>1</v>
      </c>
      <c r="I19" s="1">
        <v>1</v>
      </c>
      <c r="J19" s="35">
        <v>1</v>
      </c>
      <c r="K19" s="35">
        <v>45</v>
      </c>
      <c r="L19" s="7">
        <f t="shared" si="1"/>
        <v>66</v>
      </c>
      <c r="M19" s="8">
        <f t="shared" si="0"/>
        <v>111</v>
      </c>
      <c r="N19" s="21" t="s">
        <v>86</v>
      </c>
      <c r="O19" s="22">
        <f>SUM(L52:L55)</f>
        <v>3</v>
      </c>
    </row>
    <row r="20" spans="1:15" ht="15.75" thickBot="1" x14ac:dyDescent="0.3">
      <c r="A20" s="9" t="s">
        <v>25</v>
      </c>
      <c r="B20" s="33">
        <v>20</v>
      </c>
      <c r="C20" s="1">
        <v>22</v>
      </c>
      <c r="D20" s="33">
        <v>5</v>
      </c>
      <c r="E20" s="33">
        <v>5</v>
      </c>
      <c r="F20" s="1">
        <v>1</v>
      </c>
      <c r="G20" s="1">
        <v>10</v>
      </c>
      <c r="H20" s="34">
        <v>2</v>
      </c>
      <c r="I20" s="1">
        <v>0</v>
      </c>
      <c r="J20" s="35">
        <v>5</v>
      </c>
      <c r="K20" s="35">
        <v>20</v>
      </c>
      <c r="L20" s="7">
        <f t="shared" si="1"/>
        <v>70</v>
      </c>
      <c r="M20" s="8">
        <f t="shared" si="0"/>
        <v>90</v>
      </c>
      <c r="N20" s="21" t="s">
        <v>87</v>
      </c>
      <c r="O20" s="22">
        <f>SUM(L56:L59)</f>
        <v>31</v>
      </c>
    </row>
    <row r="21" spans="1:15" ht="15.75" thickBot="1" x14ac:dyDescent="0.3">
      <c r="A21" s="9" t="s">
        <v>26</v>
      </c>
      <c r="B21" s="33">
        <v>15</v>
      </c>
      <c r="C21" s="1">
        <v>26</v>
      </c>
      <c r="D21" s="33">
        <v>2</v>
      </c>
      <c r="E21" s="33">
        <v>1</v>
      </c>
      <c r="F21" s="1">
        <v>0</v>
      </c>
      <c r="G21" s="1">
        <v>12</v>
      </c>
      <c r="H21" s="34">
        <v>0</v>
      </c>
      <c r="I21" s="1">
        <v>0</v>
      </c>
      <c r="J21" s="35">
        <v>2</v>
      </c>
      <c r="K21" s="35">
        <v>36</v>
      </c>
      <c r="L21" s="7">
        <f t="shared" si="1"/>
        <v>58</v>
      </c>
      <c r="M21" s="8">
        <f t="shared" si="0"/>
        <v>94</v>
      </c>
      <c r="N21" s="21" t="s">
        <v>88</v>
      </c>
      <c r="O21" s="22">
        <f>SUM(L60:L63)</f>
        <v>29</v>
      </c>
    </row>
    <row r="22" spans="1:15" ht="15.75" thickBot="1" x14ac:dyDescent="0.3">
      <c r="A22" s="9" t="s">
        <v>27</v>
      </c>
      <c r="B22" s="33">
        <v>10</v>
      </c>
      <c r="C22" s="1">
        <v>12</v>
      </c>
      <c r="D22" s="33">
        <v>0</v>
      </c>
      <c r="E22" s="33">
        <v>0</v>
      </c>
      <c r="F22" s="1">
        <v>0</v>
      </c>
      <c r="G22" s="1">
        <v>5</v>
      </c>
      <c r="H22" s="34">
        <v>0</v>
      </c>
      <c r="I22" s="1">
        <v>0</v>
      </c>
      <c r="J22" s="35">
        <v>0</v>
      </c>
      <c r="K22" s="35">
        <v>18</v>
      </c>
      <c r="L22" s="7">
        <f t="shared" si="1"/>
        <v>27</v>
      </c>
      <c r="M22" s="8">
        <f t="shared" si="0"/>
        <v>45</v>
      </c>
      <c r="N22" s="21" t="s">
        <v>89</v>
      </c>
      <c r="O22" s="22">
        <f>SUM(L64:L67)</f>
        <v>160</v>
      </c>
    </row>
    <row r="23" spans="1:15" ht="15.75" thickBot="1" x14ac:dyDescent="0.3">
      <c r="A23" s="9" t="s">
        <v>28</v>
      </c>
      <c r="B23" s="33">
        <v>3</v>
      </c>
      <c r="C23" s="1">
        <v>2</v>
      </c>
      <c r="D23" s="33">
        <v>1</v>
      </c>
      <c r="E23" s="33">
        <v>0</v>
      </c>
      <c r="F23" s="1">
        <v>0</v>
      </c>
      <c r="G23" s="1">
        <v>3</v>
      </c>
      <c r="H23" s="34">
        <v>0</v>
      </c>
      <c r="I23" s="1">
        <v>0</v>
      </c>
      <c r="J23" s="35">
        <v>0</v>
      </c>
      <c r="K23" s="35">
        <v>4</v>
      </c>
      <c r="L23" s="7">
        <f t="shared" si="1"/>
        <v>9</v>
      </c>
      <c r="M23" s="8">
        <f t="shared" si="0"/>
        <v>13</v>
      </c>
      <c r="N23" s="20"/>
    </row>
    <row r="24" spans="1:15" ht="15.75" thickBot="1" x14ac:dyDescent="0.3">
      <c r="A24" s="9" t="s">
        <v>29</v>
      </c>
      <c r="B24" s="33">
        <v>12</v>
      </c>
      <c r="C24" s="1">
        <v>20</v>
      </c>
      <c r="D24" s="33">
        <v>5</v>
      </c>
      <c r="E24" s="33">
        <v>0</v>
      </c>
      <c r="F24" s="1">
        <v>0</v>
      </c>
      <c r="G24" s="1">
        <v>4</v>
      </c>
      <c r="H24" s="34">
        <v>0</v>
      </c>
      <c r="I24" s="1">
        <v>0</v>
      </c>
      <c r="J24" s="35">
        <v>0</v>
      </c>
      <c r="K24" s="35">
        <v>17</v>
      </c>
      <c r="L24" s="7">
        <f t="shared" si="1"/>
        <v>41</v>
      </c>
      <c r="M24" s="8">
        <f t="shared" si="0"/>
        <v>58</v>
      </c>
      <c r="N24" s="20" t="s">
        <v>118</v>
      </c>
      <c r="O24" s="22">
        <f>AVERAGE(O9:O11)</f>
        <v>176.33333333333334</v>
      </c>
    </row>
    <row r="25" spans="1:15" ht="15.75" thickBot="1" x14ac:dyDescent="0.3">
      <c r="A25" s="9" t="s">
        <v>30</v>
      </c>
      <c r="B25" s="33">
        <v>17</v>
      </c>
      <c r="C25" s="1">
        <v>40</v>
      </c>
      <c r="D25" s="33">
        <v>1</v>
      </c>
      <c r="E25" s="33">
        <v>0</v>
      </c>
      <c r="F25" s="1">
        <v>0</v>
      </c>
      <c r="G25" s="1">
        <v>1</v>
      </c>
      <c r="H25" s="34">
        <v>2</v>
      </c>
      <c r="I25" s="1">
        <v>0</v>
      </c>
      <c r="J25" s="35">
        <v>3</v>
      </c>
      <c r="K25" s="35">
        <v>38</v>
      </c>
      <c r="L25" s="7">
        <f t="shared" si="1"/>
        <v>64</v>
      </c>
      <c r="M25" s="8">
        <f t="shared" si="0"/>
        <v>102</v>
      </c>
      <c r="N25" s="20" t="s">
        <v>119</v>
      </c>
      <c r="O25" s="22">
        <f>AVERAGE(O18:O20)</f>
        <v>18.666666666666668</v>
      </c>
    </row>
    <row r="26" spans="1:15" ht="15.75" thickBot="1" x14ac:dyDescent="0.3">
      <c r="A26" s="9" t="s">
        <v>31</v>
      </c>
      <c r="B26" s="33">
        <v>7</v>
      </c>
      <c r="C26" s="1">
        <v>25</v>
      </c>
      <c r="D26" s="33">
        <v>4</v>
      </c>
      <c r="E26" s="33">
        <v>0</v>
      </c>
      <c r="F26" s="1">
        <v>0</v>
      </c>
      <c r="G26" s="1">
        <v>0</v>
      </c>
      <c r="H26" s="34">
        <v>0</v>
      </c>
      <c r="I26" s="1">
        <v>0</v>
      </c>
      <c r="J26" s="35">
        <v>2</v>
      </c>
      <c r="K26" s="35">
        <v>22</v>
      </c>
      <c r="L26" s="7">
        <f t="shared" si="1"/>
        <v>38</v>
      </c>
      <c r="M26" s="8">
        <f t="shared" si="0"/>
        <v>60</v>
      </c>
      <c r="N26" s="20"/>
    </row>
    <row r="27" spans="1:15" ht="15.75" thickBot="1" x14ac:dyDescent="0.3">
      <c r="A27" s="9" t="s">
        <v>32</v>
      </c>
      <c r="B27" s="33">
        <v>23</v>
      </c>
      <c r="C27" s="1">
        <v>55</v>
      </c>
      <c r="D27" s="33">
        <v>7</v>
      </c>
      <c r="E27" s="33">
        <v>0</v>
      </c>
      <c r="F27" s="1">
        <v>0</v>
      </c>
      <c r="G27" s="1">
        <v>0</v>
      </c>
      <c r="H27" s="34">
        <v>0</v>
      </c>
      <c r="I27" s="1">
        <v>0</v>
      </c>
      <c r="J27" s="35">
        <v>2</v>
      </c>
      <c r="K27" s="35">
        <v>31</v>
      </c>
      <c r="L27" s="7">
        <f t="shared" si="1"/>
        <v>87</v>
      </c>
      <c r="M27" s="8">
        <f t="shared" si="0"/>
        <v>118</v>
      </c>
      <c r="N27" s="20"/>
    </row>
    <row r="28" spans="1:15" ht="15.75" thickBot="1" x14ac:dyDescent="0.3">
      <c r="A28" s="9" t="s">
        <v>33</v>
      </c>
      <c r="B28" s="33">
        <v>5</v>
      </c>
      <c r="C28" s="1">
        <v>6</v>
      </c>
      <c r="D28" s="33">
        <v>10</v>
      </c>
      <c r="E28" s="33">
        <v>0</v>
      </c>
      <c r="F28" s="1">
        <v>0</v>
      </c>
      <c r="G28" s="1">
        <v>0</v>
      </c>
      <c r="H28" s="34">
        <v>0</v>
      </c>
      <c r="I28" s="1">
        <v>0</v>
      </c>
      <c r="J28" s="35">
        <v>4</v>
      </c>
      <c r="K28" s="35">
        <v>22</v>
      </c>
      <c r="L28" s="7">
        <f t="shared" si="1"/>
        <v>25</v>
      </c>
      <c r="M28" s="8">
        <f t="shared" si="0"/>
        <v>47</v>
      </c>
      <c r="N28" s="20"/>
    </row>
    <row r="29" spans="1:15" ht="15.75" thickBot="1" x14ac:dyDescent="0.3">
      <c r="A29" s="9" t="s">
        <v>34</v>
      </c>
      <c r="B29" s="33">
        <v>10</v>
      </c>
      <c r="C29" s="1">
        <v>40</v>
      </c>
      <c r="D29" s="33">
        <v>0</v>
      </c>
      <c r="E29" s="33">
        <v>0</v>
      </c>
      <c r="F29" s="1">
        <v>0</v>
      </c>
      <c r="G29" s="1">
        <v>13</v>
      </c>
      <c r="H29" s="34">
        <v>0</v>
      </c>
      <c r="I29" s="1">
        <v>0</v>
      </c>
      <c r="J29" s="35">
        <v>5</v>
      </c>
      <c r="K29" s="35">
        <v>15</v>
      </c>
      <c r="L29" s="7">
        <f t="shared" si="1"/>
        <v>68</v>
      </c>
      <c r="M29" s="8">
        <f t="shared" si="0"/>
        <v>83</v>
      </c>
      <c r="N29" s="20"/>
    </row>
    <row r="30" spans="1:15" ht="15.75" thickBot="1" x14ac:dyDescent="0.3">
      <c r="A30" s="9" t="s">
        <v>35</v>
      </c>
      <c r="B30" s="33">
        <v>10</v>
      </c>
      <c r="C30" s="1">
        <v>18</v>
      </c>
      <c r="D30" s="33">
        <v>4</v>
      </c>
      <c r="E30" s="33">
        <v>0</v>
      </c>
      <c r="F30" s="1">
        <v>0</v>
      </c>
      <c r="G30" s="1">
        <v>5</v>
      </c>
      <c r="H30" s="34">
        <v>0</v>
      </c>
      <c r="I30" s="1">
        <v>0</v>
      </c>
      <c r="J30" s="35">
        <v>4</v>
      </c>
      <c r="K30" s="35">
        <v>21</v>
      </c>
      <c r="L30" s="7">
        <f t="shared" si="1"/>
        <v>41</v>
      </c>
      <c r="M30" s="8">
        <f t="shared" si="0"/>
        <v>62</v>
      </c>
      <c r="N30" s="20"/>
    </row>
    <row r="31" spans="1:15" ht="15.75" thickBot="1" x14ac:dyDescent="0.3">
      <c r="A31" s="9" t="s">
        <v>36</v>
      </c>
      <c r="B31" s="33">
        <v>20</v>
      </c>
      <c r="C31" s="1">
        <v>33</v>
      </c>
      <c r="D31" s="33">
        <v>2</v>
      </c>
      <c r="E31" s="33">
        <v>0</v>
      </c>
      <c r="F31" s="1">
        <v>0</v>
      </c>
      <c r="G31" s="1">
        <v>18</v>
      </c>
      <c r="H31" s="34">
        <v>0</v>
      </c>
      <c r="I31" s="1">
        <v>0</v>
      </c>
      <c r="J31" s="35">
        <v>9</v>
      </c>
      <c r="K31" s="35">
        <v>35</v>
      </c>
      <c r="L31" s="7">
        <f t="shared" si="1"/>
        <v>82</v>
      </c>
      <c r="M31" s="8">
        <f t="shared" si="0"/>
        <v>117</v>
      </c>
      <c r="N31" s="20"/>
    </row>
    <row r="32" spans="1:15" ht="15.75" thickBot="1" x14ac:dyDescent="0.3">
      <c r="A32" s="9" t="s">
        <v>37</v>
      </c>
      <c r="B32" s="33">
        <v>20</v>
      </c>
      <c r="C32" s="1">
        <v>45</v>
      </c>
      <c r="D32" s="33">
        <v>0</v>
      </c>
      <c r="E32" s="33">
        <v>0</v>
      </c>
      <c r="F32" s="1">
        <v>0</v>
      </c>
      <c r="G32" s="1">
        <v>5</v>
      </c>
      <c r="H32" s="34">
        <v>0</v>
      </c>
      <c r="I32" s="1">
        <v>0</v>
      </c>
      <c r="J32" s="35">
        <v>7</v>
      </c>
      <c r="K32" s="35">
        <v>20</v>
      </c>
      <c r="L32" s="7">
        <f t="shared" si="1"/>
        <v>77</v>
      </c>
      <c r="M32" s="8">
        <f t="shared" si="0"/>
        <v>97</v>
      </c>
      <c r="N32" s="20"/>
    </row>
    <row r="33" spans="1:14" ht="15.75" thickBot="1" x14ac:dyDescent="0.3">
      <c r="A33" s="9" t="s">
        <v>38</v>
      </c>
      <c r="B33" s="33">
        <v>5</v>
      </c>
      <c r="C33" s="1">
        <v>15</v>
      </c>
      <c r="D33" s="33">
        <v>0</v>
      </c>
      <c r="E33" s="33">
        <v>0</v>
      </c>
      <c r="F33" s="1">
        <v>0</v>
      </c>
      <c r="G33" s="1">
        <v>4</v>
      </c>
      <c r="H33" s="34">
        <v>0</v>
      </c>
      <c r="I33" s="1">
        <v>0</v>
      </c>
      <c r="J33" s="35">
        <v>3</v>
      </c>
      <c r="K33" s="35">
        <v>20</v>
      </c>
      <c r="L33" s="7">
        <f t="shared" si="1"/>
        <v>27</v>
      </c>
      <c r="M33" s="8">
        <f t="shared" si="0"/>
        <v>47</v>
      </c>
      <c r="N33" s="20"/>
    </row>
    <row r="34" spans="1:14" ht="15.75" thickBot="1" x14ac:dyDescent="0.3">
      <c r="A34" s="9" t="s">
        <v>39</v>
      </c>
      <c r="B34" s="33">
        <v>8</v>
      </c>
      <c r="C34" s="1">
        <v>20</v>
      </c>
      <c r="D34" s="33">
        <v>0</v>
      </c>
      <c r="E34" s="33">
        <v>0</v>
      </c>
      <c r="F34" s="1">
        <v>0</v>
      </c>
      <c r="G34" s="1">
        <v>5</v>
      </c>
      <c r="H34" s="34">
        <v>0</v>
      </c>
      <c r="I34" s="1">
        <v>0</v>
      </c>
      <c r="J34" s="35">
        <v>3</v>
      </c>
      <c r="K34" s="35">
        <v>9</v>
      </c>
      <c r="L34" s="7">
        <f t="shared" si="1"/>
        <v>36</v>
      </c>
      <c r="M34" s="8">
        <f t="shared" si="0"/>
        <v>45</v>
      </c>
      <c r="N34" s="20"/>
    </row>
    <row r="35" spans="1:14" ht="15.75" thickBot="1" x14ac:dyDescent="0.3">
      <c r="A35" s="9" t="s">
        <v>40</v>
      </c>
      <c r="B35" s="33">
        <v>7</v>
      </c>
      <c r="C35" s="1">
        <v>10</v>
      </c>
      <c r="D35" s="33">
        <v>0</v>
      </c>
      <c r="E35" s="33">
        <v>0</v>
      </c>
      <c r="F35" s="1">
        <v>0</v>
      </c>
      <c r="G35" s="1">
        <v>3</v>
      </c>
      <c r="H35" s="34">
        <v>0</v>
      </c>
      <c r="I35" s="1">
        <v>1</v>
      </c>
      <c r="J35" s="35">
        <v>0</v>
      </c>
      <c r="K35" s="35">
        <v>20</v>
      </c>
      <c r="L35" s="7">
        <f t="shared" si="1"/>
        <v>21</v>
      </c>
      <c r="M35" s="8">
        <f t="shared" si="0"/>
        <v>41</v>
      </c>
      <c r="N35" s="20"/>
    </row>
    <row r="36" spans="1:14" ht="15.75" thickBot="1" x14ac:dyDescent="0.3">
      <c r="A36" s="9" t="s">
        <v>41</v>
      </c>
      <c r="B36" s="33">
        <v>5</v>
      </c>
      <c r="C36" s="1">
        <v>2</v>
      </c>
      <c r="D36" s="33">
        <v>3</v>
      </c>
      <c r="E36" s="33">
        <v>0</v>
      </c>
      <c r="F36" s="1">
        <v>0</v>
      </c>
      <c r="G36" s="1">
        <v>0</v>
      </c>
      <c r="H36" s="34">
        <v>2</v>
      </c>
      <c r="I36" s="1">
        <v>0</v>
      </c>
      <c r="J36" s="35">
        <v>1</v>
      </c>
      <c r="K36" s="35">
        <v>15</v>
      </c>
      <c r="L36" s="7">
        <f t="shared" si="1"/>
        <v>13</v>
      </c>
      <c r="M36" s="8">
        <f t="shared" si="0"/>
        <v>28</v>
      </c>
      <c r="N36" s="20"/>
    </row>
    <row r="37" spans="1:14" ht="15.75" thickBot="1" x14ac:dyDescent="0.3">
      <c r="A37" s="9" t="s">
        <v>42</v>
      </c>
      <c r="B37" s="33">
        <v>15</v>
      </c>
      <c r="C37" s="1">
        <v>30</v>
      </c>
      <c r="D37" s="33">
        <v>2</v>
      </c>
      <c r="E37" s="33">
        <v>0</v>
      </c>
      <c r="F37" s="1">
        <v>0</v>
      </c>
      <c r="G37" s="1">
        <v>10</v>
      </c>
      <c r="H37" s="34">
        <v>0</v>
      </c>
      <c r="I37" s="1">
        <v>0</v>
      </c>
      <c r="J37" s="35">
        <v>2</v>
      </c>
      <c r="K37" s="35">
        <v>36</v>
      </c>
      <c r="L37" s="7">
        <f t="shared" si="1"/>
        <v>59</v>
      </c>
      <c r="M37" s="8">
        <f t="shared" si="0"/>
        <v>95</v>
      </c>
      <c r="N37" s="20"/>
    </row>
    <row r="38" spans="1:14" ht="15.75" thickBot="1" x14ac:dyDescent="0.3">
      <c r="A38" s="9" t="s">
        <v>43</v>
      </c>
      <c r="B38" s="33">
        <v>5</v>
      </c>
      <c r="C38" s="1">
        <v>5</v>
      </c>
      <c r="D38" s="33">
        <v>3</v>
      </c>
      <c r="E38" s="33">
        <v>0</v>
      </c>
      <c r="F38" s="1">
        <v>0</v>
      </c>
      <c r="G38" s="1">
        <v>5</v>
      </c>
      <c r="H38" s="34">
        <v>0</v>
      </c>
      <c r="I38" s="1">
        <v>0</v>
      </c>
      <c r="J38" s="35">
        <v>3</v>
      </c>
      <c r="K38" s="35">
        <v>7</v>
      </c>
      <c r="L38" s="7">
        <f t="shared" si="1"/>
        <v>21</v>
      </c>
      <c r="M38" s="8">
        <f t="shared" si="0"/>
        <v>28</v>
      </c>
      <c r="N38" s="20"/>
    </row>
    <row r="39" spans="1:14" ht="15.75" thickBot="1" x14ac:dyDescent="0.3">
      <c r="A39" s="9" t="s">
        <v>44</v>
      </c>
      <c r="B39" s="33">
        <v>0</v>
      </c>
      <c r="C39" s="1">
        <v>5</v>
      </c>
      <c r="D39" s="33">
        <v>1</v>
      </c>
      <c r="E39" s="33">
        <v>0</v>
      </c>
      <c r="F39" s="1">
        <v>0</v>
      </c>
      <c r="G39" s="1">
        <v>0</v>
      </c>
      <c r="H39" s="34">
        <v>0</v>
      </c>
      <c r="I39" s="1">
        <v>0</v>
      </c>
      <c r="J39" s="35">
        <v>2</v>
      </c>
      <c r="K39" s="35">
        <v>8</v>
      </c>
      <c r="L39" s="7">
        <f t="shared" si="1"/>
        <v>8</v>
      </c>
      <c r="M39" s="8">
        <f t="shared" si="0"/>
        <v>16</v>
      </c>
      <c r="N39" s="20"/>
    </row>
    <row r="40" spans="1:14" ht="15.75" thickBot="1" x14ac:dyDescent="0.3">
      <c r="A40" s="9" t="s">
        <v>45</v>
      </c>
      <c r="B40" s="33">
        <v>3</v>
      </c>
      <c r="C40" s="1">
        <v>3</v>
      </c>
      <c r="D40" s="33">
        <v>2</v>
      </c>
      <c r="E40" s="33">
        <v>0</v>
      </c>
      <c r="F40" s="1">
        <v>1</v>
      </c>
      <c r="G40" s="1">
        <v>0</v>
      </c>
      <c r="H40" s="34">
        <v>0</v>
      </c>
      <c r="I40" s="1">
        <v>0</v>
      </c>
      <c r="J40" s="35">
        <v>2</v>
      </c>
      <c r="K40" s="35">
        <v>15</v>
      </c>
      <c r="L40" s="7">
        <f t="shared" si="1"/>
        <v>11</v>
      </c>
      <c r="M40" s="8">
        <f t="shared" si="0"/>
        <v>26</v>
      </c>
      <c r="N40" s="20"/>
    </row>
    <row r="41" spans="1:14" ht="15.75" thickBot="1" x14ac:dyDescent="0.3">
      <c r="A41" s="9" t="s">
        <v>46</v>
      </c>
      <c r="B41" s="33">
        <v>6</v>
      </c>
      <c r="C41" s="1">
        <v>5</v>
      </c>
      <c r="D41" s="33">
        <v>2</v>
      </c>
      <c r="E41" s="33">
        <v>0</v>
      </c>
      <c r="F41" s="1">
        <v>0</v>
      </c>
      <c r="G41" s="1">
        <v>0</v>
      </c>
      <c r="H41" s="34">
        <v>0</v>
      </c>
      <c r="I41" s="1">
        <v>0</v>
      </c>
      <c r="J41" s="35">
        <v>0</v>
      </c>
      <c r="K41" s="35">
        <v>20</v>
      </c>
      <c r="L41" s="7">
        <f t="shared" si="1"/>
        <v>13</v>
      </c>
      <c r="M41" s="8">
        <f t="shared" si="0"/>
        <v>33</v>
      </c>
      <c r="N41" s="20"/>
    </row>
    <row r="42" spans="1:14" ht="15.75" thickBot="1" x14ac:dyDescent="0.3">
      <c r="A42" s="9" t="s">
        <v>47</v>
      </c>
      <c r="B42" s="33">
        <v>5</v>
      </c>
      <c r="C42" s="1">
        <v>7</v>
      </c>
      <c r="D42" s="33">
        <v>5</v>
      </c>
      <c r="E42" s="33">
        <v>0</v>
      </c>
      <c r="F42" s="1">
        <v>5</v>
      </c>
      <c r="G42" s="1">
        <v>0</v>
      </c>
      <c r="H42" s="34">
        <v>0</v>
      </c>
      <c r="I42" s="1">
        <v>0</v>
      </c>
      <c r="J42" s="35">
        <v>2</v>
      </c>
      <c r="K42" s="35">
        <v>25</v>
      </c>
      <c r="L42" s="7">
        <f t="shared" si="1"/>
        <v>24</v>
      </c>
      <c r="M42" s="8">
        <f t="shared" si="0"/>
        <v>49</v>
      </c>
      <c r="N42" s="20"/>
    </row>
    <row r="43" spans="1:14" ht="15.75" thickBot="1" x14ac:dyDescent="0.3">
      <c r="A43" s="9" t="s">
        <v>48</v>
      </c>
      <c r="B43" s="33">
        <v>5</v>
      </c>
      <c r="C43" s="1">
        <v>5</v>
      </c>
      <c r="D43" s="33">
        <v>0</v>
      </c>
      <c r="E43" s="33">
        <v>0</v>
      </c>
      <c r="F43" s="1">
        <v>0</v>
      </c>
      <c r="G43" s="1">
        <v>0</v>
      </c>
      <c r="H43" s="34">
        <v>0</v>
      </c>
      <c r="I43" s="1">
        <v>0</v>
      </c>
      <c r="J43" s="35">
        <v>0</v>
      </c>
      <c r="K43" s="35">
        <v>20</v>
      </c>
      <c r="L43" s="7">
        <f t="shared" si="1"/>
        <v>10</v>
      </c>
      <c r="M43" s="8">
        <f t="shared" si="0"/>
        <v>30</v>
      </c>
      <c r="N43" s="20"/>
    </row>
    <row r="44" spans="1:14" ht="15.75" thickBot="1" x14ac:dyDescent="0.3">
      <c r="A44" s="9" t="s">
        <v>49</v>
      </c>
      <c r="B44" s="33">
        <v>8</v>
      </c>
      <c r="C44" s="1">
        <v>14</v>
      </c>
      <c r="D44" s="33">
        <v>1</v>
      </c>
      <c r="E44" s="33">
        <v>0</v>
      </c>
      <c r="F44" s="1">
        <v>0</v>
      </c>
      <c r="G44" s="1">
        <v>0</v>
      </c>
      <c r="H44" s="34">
        <v>0</v>
      </c>
      <c r="I44" s="1">
        <v>0</v>
      </c>
      <c r="J44" s="35">
        <v>0</v>
      </c>
      <c r="K44" s="35">
        <v>51</v>
      </c>
      <c r="L44" s="7">
        <f t="shared" si="1"/>
        <v>23</v>
      </c>
      <c r="M44" s="8">
        <f t="shared" si="0"/>
        <v>74</v>
      </c>
      <c r="N44" s="20"/>
    </row>
    <row r="45" spans="1:14" ht="15.75" thickBot="1" x14ac:dyDescent="0.3">
      <c r="A45" s="9" t="s">
        <v>50</v>
      </c>
      <c r="B45" s="33">
        <v>0</v>
      </c>
      <c r="C45" s="1">
        <v>0</v>
      </c>
      <c r="D45" s="33">
        <v>0</v>
      </c>
      <c r="E45" s="33">
        <v>0</v>
      </c>
      <c r="F45" s="1">
        <v>0</v>
      </c>
      <c r="G45" s="1">
        <v>0</v>
      </c>
      <c r="H45" s="34">
        <v>0</v>
      </c>
      <c r="I45" s="1">
        <v>0</v>
      </c>
      <c r="J45" s="35">
        <v>0</v>
      </c>
      <c r="K45" s="35">
        <v>50</v>
      </c>
      <c r="L45" s="7">
        <f t="shared" si="1"/>
        <v>0</v>
      </c>
      <c r="M45" s="8">
        <f t="shared" si="0"/>
        <v>50</v>
      </c>
      <c r="N45" s="20"/>
    </row>
    <row r="46" spans="1:14" ht="15.75" thickBot="1" x14ac:dyDescent="0.3">
      <c r="A46" s="9" t="s">
        <v>51</v>
      </c>
      <c r="B46" s="33">
        <v>4</v>
      </c>
      <c r="C46" s="1">
        <v>3</v>
      </c>
      <c r="D46" s="33">
        <v>0</v>
      </c>
      <c r="E46" s="33">
        <v>0</v>
      </c>
      <c r="F46" s="1">
        <v>0</v>
      </c>
      <c r="G46" s="1">
        <v>0</v>
      </c>
      <c r="H46" s="34">
        <v>0</v>
      </c>
      <c r="I46" s="1">
        <v>0</v>
      </c>
      <c r="J46" s="35">
        <v>0</v>
      </c>
      <c r="K46" s="35">
        <v>15</v>
      </c>
      <c r="L46" s="7">
        <f t="shared" si="1"/>
        <v>7</v>
      </c>
      <c r="M46" s="8">
        <f t="shared" si="0"/>
        <v>22</v>
      </c>
      <c r="N46" s="20"/>
    </row>
    <row r="47" spans="1:14" ht="15.75" thickBot="1" x14ac:dyDescent="0.3">
      <c r="A47" s="9" t="s">
        <v>52</v>
      </c>
      <c r="B47" s="33">
        <v>5</v>
      </c>
      <c r="C47" s="1">
        <v>6</v>
      </c>
      <c r="D47" s="33">
        <v>0</v>
      </c>
      <c r="E47" s="33">
        <v>0</v>
      </c>
      <c r="F47" s="1">
        <v>0</v>
      </c>
      <c r="G47" s="1">
        <v>0</v>
      </c>
      <c r="H47" s="34">
        <v>0</v>
      </c>
      <c r="I47" s="1">
        <v>0</v>
      </c>
      <c r="J47" s="35">
        <v>0</v>
      </c>
      <c r="K47" s="35">
        <v>25</v>
      </c>
      <c r="L47" s="7">
        <f t="shared" si="1"/>
        <v>11</v>
      </c>
      <c r="M47" s="8">
        <f t="shared" si="0"/>
        <v>36</v>
      </c>
      <c r="N47" s="20"/>
    </row>
    <row r="48" spans="1:14" ht="15.75" thickBot="1" x14ac:dyDescent="0.3">
      <c r="A48" s="9" t="s">
        <v>53</v>
      </c>
      <c r="B48" s="33">
        <v>3</v>
      </c>
      <c r="C48" s="1">
        <v>3</v>
      </c>
      <c r="D48" s="33">
        <v>0</v>
      </c>
      <c r="E48" s="33">
        <v>0</v>
      </c>
      <c r="F48" s="1">
        <v>0</v>
      </c>
      <c r="G48" s="1">
        <v>0</v>
      </c>
      <c r="H48" s="34">
        <v>0</v>
      </c>
      <c r="I48" s="1">
        <v>0</v>
      </c>
      <c r="J48" s="35">
        <v>1</v>
      </c>
      <c r="K48" s="35">
        <v>15</v>
      </c>
      <c r="L48" s="7">
        <f t="shared" si="1"/>
        <v>7</v>
      </c>
      <c r="M48" s="8">
        <f t="shared" si="0"/>
        <v>22</v>
      </c>
      <c r="N48" s="20"/>
    </row>
    <row r="49" spans="1:14" ht="15.75" thickBot="1" x14ac:dyDescent="0.3">
      <c r="A49" s="9" t="s">
        <v>54</v>
      </c>
      <c r="B49" s="33">
        <v>5</v>
      </c>
      <c r="C49" s="1">
        <v>4</v>
      </c>
      <c r="D49" s="33">
        <v>0</v>
      </c>
      <c r="E49" s="33">
        <v>0</v>
      </c>
      <c r="F49" s="1">
        <v>0</v>
      </c>
      <c r="G49" s="1">
        <v>0</v>
      </c>
      <c r="H49" s="34">
        <v>0</v>
      </c>
      <c r="I49" s="1">
        <v>0</v>
      </c>
      <c r="J49" s="35">
        <v>0</v>
      </c>
      <c r="K49" s="35">
        <v>20</v>
      </c>
      <c r="L49" s="7">
        <f t="shared" si="1"/>
        <v>9</v>
      </c>
      <c r="M49" s="8">
        <f t="shared" si="0"/>
        <v>29</v>
      </c>
      <c r="N49" s="20"/>
    </row>
    <row r="50" spans="1:14" ht="15.75" thickBot="1" x14ac:dyDescent="0.3">
      <c r="A50" s="9" t="s">
        <v>55</v>
      </c>
      <c r="B50" s="33">
        <v>1</v>
      </c>
      <c r="C50" s="1">
        <v>3</v>
      </c>
      <c r="D50" s="33">
        <v>0</v>
      </c>
      <c r="E50" s="33">
        <v>0</v>
      </c>
      <c r="F50" s="1">
        <v>0</v>
      </c>
      <c r="G50" s="1">
        <v>0</v>
      </c>
      <c r="H50" s="34">
        <v>0</v>
      </c>
      <c r="I50" s="1">
        <v>0</v>
      </c>
      <c r="J50" s="35">
        <v>0</v>
      </c>
      <c r="K50" s="35">
        <v>10</v>
      </c>
      <c r="L50" s="7">
        <f t="shared" si="1"/>
        <v>4</v>
      </c>
      <c r="M50" s="8">
        <f t="shared" si="0"/>
        <v>14</v>
      </c>
      <c r="N50" s="20"/>
    </row>
    <row r="51" spans="1:14" ht="15.75" thickBot="1" x14ac:dyDescent="0.3">
      <c r="A51" s="9" t="s">
        <v>56</v>
      </c>
      <c r="B51" s="33">
        <v>2</v>
      </c>
      <c r="C51" s="1">
        <v>0</v>
      </c>
      <c r="D51" s="33">
        <v>0</v>
      </c>
      <c r="E51" s="33">
        <v>0</v>
      </c>
      <c r="F51" s="1">
        <v>0</v>
      </c>
      <c r="G51" s="1">
        <v>0</v>
      </c>
      <c r="H51" s="34">
        <v>0</v>
      </c>
      <c r="I51" s="1">
        <v>0</v>
      </c>
      <c r="J51" s="35">
        <v>0</v>
      </c>
      <c r="K51" s="35">
        <v>7</v>
      </c>
      <c r="L51" s="7">
        <f t="shared" si="1"/>
        <v>2</v>
      </c>
      <c r="M51" s="8">
        <f t="shared" si="0"/>
        <v>9</v>
      </c>
      <c r="N51" s="20"/>
    </row>
    <row r="52" spans="1:14" ht="15.75" thickBot="1" x14ac:dyDescent="0.3">
      <c r="A52" s="9" t="s">
        <v>57</v>
      </c>
      <c r="B52" s="33">
        <v>0</v>
      </c>
      <c r="C52" s="1">
        <v>0</v>
      </c>
      <c r="D52" s="33">
        <v>0</v>
      </c>
      <c r="E52" s="33">
        <v>0</v>
      </c>
      <c r="F52" s="1">
        <v>0</v>
      </c>
      <c r="G52" s="1">
        <v>0</v>
      </c>
      <c r="H52" s="34">
        <v>0</v>
      </c>
      <c r="I52" s="1">
        <v>0</v>
      </c>
      <c r="J52" s="35">
        <v>0</v>
      </c>
      <c r="K52" s="35">
        <v>5</v>
      </c>
      <c r="L52" s="7">
        <f t="shared" si="1"/>
        <v>0</v>
      </c>
      <c r="M52" s="8">
        <f t="shared" si="0"/>
        <v>5</v>
      </c>
      <c r="N52" s="20"/>
    </row>
    <row r="53" spans="1:14" ht="15.75" thickBot="1" x14ac:dyDescent="0.3">
      <c r="A53" s="9" t="s">
        <v>58</v>
      </c>
      <c r="B53" s="33">
        <v>1</v>
      </c>
      <c r="C53" s="1">
        <v>2</v>
      </c>
      <c r="D53" s="33">
        <v>0</v>
      </c>
      <c r="E53" s="33">
        <v>0</v>
      </c>
      <c r="F53" s="1">
        <v>0</v>
      </c>
      <c r="G53" s="1">
        <v>0</v>
      </c>
      <c r="H53" s="34">
        <v>0</v>
      </c>
      <c r="I53" s="1">
        <v>0</v>
      </c>
      <c r="J53" s="35">
        <v>0</v>
      </c>
      <c r="K53" s="35">
        <v>3</v>
      </c>
      <c r="L53" s="7">
        <f t="shared" si="1"/>
        <v>3</v>
      </c>
      <c r="M53" s="8">
        <f t="shared" si="0"/>
        <v>6</v>
      </c>
      <c r="N53" s="20"/>
    </row>
    <row r="54" spans="1:14" ht="15.75" thickBot="1" x14ac:dyDescent="0.3">
      <c r="A54" s="9" t="s">
        <v>59</v>
      </c>
      <c r="B54" s="33">
        <v>0</v>
      </c>
      <c r="C54" s="1">
        <v>0</v>
      </c>
      <c r="D54" s="33">
        <v>0</v>
      </c>
      <c r="E54" s="33">
        <v>0</v>
      </c>
      <c r="F54" s="1">
        <v>0</v>
      </c>
      <c r="G54" s="1">
        <v>0</v>
      </c>
      <c r="H54" s="34">
        <v>0</v>
      </c>
      <c r="I54" s="1">
        <v>0</v>
      </c>
      <c r="J54" s="35">
        <v>0</v>
      </c>
      <c r="K54" s="35">
        <v>4</v>
      </c>
      <c r="L54" s="7">
        <f t="shared" si="1"/>
        <v>0</v>
      </c>
      <c r="M54" s="8">
        <f t="shared" si="0"/>
        <v>4</v>
      </c>
      <c r="N54" s="20"/>
    </row>
    <row r="55" spans="1:14" ht="15.75" thickBot="1" x14ac:dyDescent="0.3">
      <c r="A55" s="9" t="s">
        <v>60</v>
      </c>
      <c r="B55" s="33">
        <v>0</v>
      </c>
      <c r="C55" s="1">
        <v>0</v>
      </c>
      <c r="D55" s="33">
        <v>0</v>
      </c>
      <c r="E55" s="33">
        <v>0</v>
      </c>
      <c r="F55" s="1">
        <v>0</v>
      </c>
      <c r="G55" s="1">
        <v>0</v>
      </c>
      <c r="H55" s="34">
        <v>0</v>
      </c>
      <c r="I55" s="1">
        <v>0</v>
      </c>
      <c r="J55" s="35">
        <v>0</v>
      </c>
      <c r="K55" s="35">
        <v>9</v>
      </c>
      <c r="L55" s="7">
        <f t="shared" si="1"/>
        <v>0</v>
      </c>
      <c r="M55" s="8">
        <f t="shared" si="0"/>
        <v>9</v>
      </c>
      <c r="N55" s="20"/>
    </row>
    <row r="56" spans="1:14" ht="15.75" thickBot="1" x14ac:dyDescent="0.3">
      <c r="A56" s="9" t="s">
        <v>61</v>
      </c>
      <c r="B56" s="33">
        <v>3</v>
      </c>
      <c r="C56" s="1">
        <v>6</v>
      </c>
      <c r="D56" s="33">
        <v>2</v>
      </c>
      <c r="E56" s="33">
        <v>0</v>
      </c>
      <c r="F56" s="1">
        <v>0</v>
      </c>
      <c r="G56" s="1">
        <v>0</v>
      </c>
      <c r="H56" s="34">
        <v>0</v>
      </c>
      <c r="I56" s="1">
        <v>0</v>
      </c>
      <c r="J56" s="35">
        <v>0</v>
      </c>
      <c r="K56" s="35">
        <v>40</v>
      </c>
      <c r="L56" s="7">
        <f t="shared" si="1"/>
        <v>11</v>
      </c>
      <c r="M56" s="8">
        <f t="shared" si="0"/>
        <v>51</v>
      </c>
      <c r="N56" s="20"/>
    </row>
    <row r="57" spans="1:14" ht="15.75" thickBot="1" x14ac:dyDescent="0.3">
      <c r="A57" s="9" t="s">
        <v>62</v>
      </c>
      <c r="B57" s="33">
        <v>1</v>
      </c>
      <c r="C57" s="1">
        <v>1</v>
      </c>
      <c r="D57" s="33">
        <v>2</v>
      </c>
      <c r="E57" s="33">
        <v>0</v>
      </c>
      <c r="F57" s="1">
        <v>0</v>
      </c>
      <c r="G57" s="1">
        <v>1</v>
      </c>
      <c r="H57" s="34">
        <v>0</v>
      </c>
      <c r="I57" s="1">
        <v>1</v>
      </c>
      <c r="J57" s="35">
        <v>0</v>
      </c>
      <c r="K57" s="35">
        <v>8</v>
      </c>
      <c r="L57" s="7">
        <f t="shared" si="1"/>
        <v>6</v>
      </c>
      <c r="M57" s="8">
        <f t="shared" si="0"/>
        <v>14</v>
      </c>
      <c r="N57" s="20"/>
    </row>
    <row r="58" spans="1:14" ht="15.75" thickBot="1" x14ac:dyDescent="0.3">
      <c r="A58" s="9" t="s">
        <v>63</v>
      </c>
      <c r="B58" s="33">
        <v>2</v>
      </c>
      <c r="C58" s="1">
        <v>0</v>
      </c>
      <c r="D58" s="33">
        <v>0</v>
      </c>
      <c r="E58" s="33">
        <v>0</v>
      </c>
      <c r="F58" s="1">
        <v>0</v>
      </c>
      <c r="G58" s="1">
        <v>1</v>
      </c>
      <c r="H58" s="34">
        <v>0</v>
      </c>
      <c r="I58" s="1">
        <v>0</v>
      </c>
      <c r="J58" s="35">
        <v>0</v>
      </c>
      <c r="K58" s="35">
        <v>8</v>
      </c>
      <c r="L58" s="7">
        <f t="shared" si="1"/>
        <v>3</v>
      </c>
      <c r="M58" s="8">
        <f t="shared" si="0"/>
        <v>11</v>
      </c>
      <c r="N58" s="20"/>
    </row>
    <row r="59" spans="1:14" ht="15.75" thickBot="1" x14ac:dyDescent="0.3">
      <c r="A59" s="9" t="s">
        <v>64</v>
      </c>
      <c r="B59" s="33">
        <v>3</v>
      </c>
      <c r="C59" s="1">
        <v>0</v>
      </c>
      <c r="D59" s="33">
        <v>5</v>
      </c>
      <c r="E59" s="33">
        <v>0</v>
      </c>
      <c r="F59" s="1">
        <v>0</v>
      </c>
      <c r="G59" s="1">
        <v>3</v>
      </c>
      <c r="H59" s="34">
        <v>0</v>
      </c>
      <c r="I59" s="1">
        <v>0</v>
      </c>
      <c r="J59" s="35">
        <v>0</v>
      </c>
      <c r="K59" s="35">
        <v>10</v>
      </c>
      <c r="L59" s="7">
        <f t="shared" si="1"/>
        <v>11</v>
      </c>
      <c r="M59" s="8">
        <f t="shared" si="0"/>
        <v>21</v>
      </c>
      <c r="N59" s="20"/>
    </row>
    <row r="60" spans="1:14" ht="15.75" thickBot="1" x14ac:dyDescent="0.3">
      <c r="A60" s="9" t="s">
        <v>65</v>
      </c>
      <c r="B60" s="33">
        <v>3</v>
      </c>
      <c r="C60" s="1">
        <v>5</v>
      </c>
      <c r="D60" s="33">
        <v>5</v>
      </c>
      <c r="E60" s="33">
        <v>3</v>
      </c>
      <c r="F60" s="1">
        <v>0</v>
      </c>
      <c r="G60" s="1">
        <v>2</v>
      </c>
      <c r="H60" s="34">
        <v>0</v>
      </c>
      <c r="I60" s="1">
        <v>0</v>
      </c>
      <c r="J60" s="35">
        <v>0</v>
      </c>
      <c r="K60" s="35">
        <v>10</v>
      </c>
      <c r="L60" s="7">
        <f t="shared" si="1"/>
        <v>18</v>
      </c>
      <c r="M60" s="8">
        <f t="shared" si="0"/>
        <v>28</v>
      </c>
      <c r="N60" s="20"/>
    </row>
    <row r="61" spans="1:14" ht="15.75" thickBot="1" x14ac:dyDescent="0.3">
      <c r="A61" s="9" t="s">
        <v>66</v>
      </c>
      <c r="B61" s="33">
        <v>0</v>
      </c>
      <c r="C61" s="1">
        <v>0</v>
      </c>
      <c r="D61" s="33">
        <v>0</v>
      </c>
      <c r="E61" s="33">
        <v>0</v>
      </c>
      <c r="F61" s="1">
        <v>0</v>
      </c>
      <c r="G61" s="1">
        <v>0</v>
      </c>
      <c r="H61" s="34">
        <v>0</v>
      </c>
      <c r="I61" s="1">
        <v>0</v>
      </c>
      <c r="J61" s="35">
        <v>0</v>
      </c>
      <c r="K61" s="35">
        <v>10</v>
      </c>
      <c r="L61" s="7">
        <f t="shared" si="1"/>
        <v>0</v>
      </c>
      <c r="M61" s="8">
        <f t="shared" si="0"/>
        <v>10</v>
      </c>
      <c r="N61" s="20"/>
    </row>
    <row r="62" spans="1:14" ht="15.75" thickBot="1" x14ac:dyDescent="0.3">
      <c r="A62" s="10" t="s">
        <v>67</v>
      </c>
      <c r="B62" s="33">
        <v>3</v>
      </c>
      <c r="C62" s="1">
        <v>2</v>
      </c>
      <c r="D62" s="33">
        <v>0</v>
      </c>
      <c r="E62" s="33">
        <v>0</v>
      </c>
      <c r="F62" s="1">
        <v>0</v>
      </c>
      <c r="G62" s="1">
        <v>1</v>
      </c>
      <c r="H62" s="34">
        <v>0</v>
      </c>
      <c r="I62" s="1">
        <v>0</v>
      </c>
      <c r="J62" s="35">
        <v>0</v>
      </c>
      <c r="K62" s="35">
        <v>9</v>
      </c>
      <c r="L62" s="7">
        <f t="shared" si="1"/>
        <v>6</v>
      </c>
      <c r="M62" s="8">
        <f t="shared" si="0"/>
        <v>15</v>
      </c>
      <c r="N62" s="20"/>
    </row>
    <row r="63" spans="1:14" ht="15.75" thickBot="1" x14ac:dyDescent="0.3">
      <c r="A63" s="9" t="s">
        <v>68</v>
      </c>
      <c r="B63" s="33">
        <v>2</v>
      </c>
      <c r="C63" s="1">
        <v>1</v>
      </c>
      <c r="D63" s="33">
        <v>2</v>
      </c>
      <c r="E63" s="33">
        <v>0</v>
      </c>
      <c r="F63" s="1">
        <v>0</v>
      </c>
      <c r="G63" s="1">
        <v>0</v>
      </c>
      <c r="H63" s="34">
        <v>0</v>
      </c>
      <c r="I63" s="1">
        <v>0</v>
      </c>
      <c r="J63" s="35">
        <v>0</v>
      </c>
      <c r="K63" s="35">
        <v>29</v>
      </c>
      <c r="L63" s="7">
        <f t="shared" si="1"/>
        <v>5</v>
      </c>
      <c r="M63" s="8">
        <f t="shared" si="0"/>
        <v>34</v>
      </c>
      <c r="N63" s="20"/>
    </row>
    <row r="64" spans="1:14" ht="15.75" thickBot="1" x14ac:dyDescent="0.3">
      <c r="A64" s="9" t="s">
        <v>69</v>
      </c>
      <c r="B64" s="33">
        <v>36</v>
      </c>
      <c r="C64" s="1">
        <v>29</v>
      </c>
      <c r="D64" s="33">
        <v>2</v>
      </c>
      <c r="E64" s="33">
        <v>0</v>
      </c>
      <c r="F64" s="1">
        <v>1</v>
      </c>
      <c r="G64" s="1">
        <v>0</v>
      </c>
      <c r="H64" s="34">
        <v>0</v>
      </c>
      <c r="I64" s="1">
        <v>0</v>
      </c>
      <c r="J64" s="35">
        <v>0</v>
      </c>
      <c r="K64" s="35">
        <v>21</v>
      </c>
      <c r="L64" s="7">
        <f t="shared" si="1"/>
        <v>68</v>
      </c>
      <c r="M64" s="8">
        <f>SUM(B64:K64)</f>
        <v>89</v>
      </c>
      <c r="N64" s="20"/>
    </row>
    <row r="65" spans="1:14" ht="15.75" thickBot="1" x14ac:dyDescent="0.3">
      <c r="A65" s="11" t="s">
        <v>70</v>
      </c>
      <c r="B65" s="33">
        <v>10</v>
      </c>
      <c r="C65" s="1">
        <v>25</v>
      </c>
      <c r="D65" s="33">
        <v>6</v>
      </c>
      <c r="E65" s="33">
        <v>0</v>
      </c>
      <c r="F65" s="1">
        <v>0</v>
      </c>
      <c r="G65" s="1">
        <v>15</v>
      </c>
      <c r="H65" s="34">
        <v>0</v>
      </c>
      <c r="I65" s="1">
        <v>0</v>
      </c>
      <c r="J65" s="35">
        <v>0</v>
      </c>
      <c r="K65" s="35">
        <v>11</v>
      </c>
      <c r="L65" s="7">
        <f t="shared" si="1"/>
        <v>56</v>
      </c>
      <c r="M65" s="8">
        <f>SUM(B65:K65)</f>
        <v>67</v>
      </c>
      <c r="N65" s="20"/>
    </row>
    <row r="66" spans="1:14" ht="15.75" thickBot="1" x14ac:dyDescent="0.3">
      <c r="A66" s="9" t="s">
        <v>71</v>
      </c>
      <c r="B66" s="33">
        <v>11</v>
      </c>
      <c r="C66" s="1">
        <v>15</v>
      </c>
      <c r="D66" s="33">
        <v>5</v>
      </c>
      <c r="E66" s="33">
        <v>0</v>
      </c>
      <c r="F66" s="1">
        <v>0</v>
      </c>
      <c r="G66" s="1">
        <v>4</v>
      </c>
      <c r="H66" s="34">
        <v>0</v>
      </c>
      <c r="I66" s="1">
        <v>0</v>
      </c>
      <c r="J66" s="35">
        <v>0</v>
      </c>
      <c r="K66" s="35">
        <v>20</v>
      </c>
      <c r="L66" s="7">
        <f t="shared" si="1"/>
        <v>35</v>
      </c>
      <c r="M66" s="8">
        <f t="shared" si="0"/>
        <v>55</v>
      </c>
      <c r="N66" s="20"/>
    </row>
    <row r="67" spans="1:14" ht="15.75" thickBot="1" x14ac:dyDescent="0.3">
      <c r="A67" s="9" t="s">
        <v>72</v>
      </c>
      <c r="B67" s="33">
        <v>1</v>
      </c>
      <c r="C67" s="1">
        <v>0</v>
      </c>
      <c r="D67" s="33">
        <v>0</v>
      </c>
      <c r="E67" s="33">
        <v>0</v>
      </c>
      <c r="F67" s="1">
        <v>0</v>
      </c>
      <c r="G67" s="1">
        <v>0</v>
      </c>
      <c r="H67" s="34">
        <v>0</v>
      </c>
      <c r="I67" s="1">
        <v>0</v>
      </c>
      <c r="J67" s="35">
        <v>0</v>
      </c>
      <c r="K67" s="35">
        <v>8</v>
      </c>
      <c r="L67" s="7">
        <f t="shared" si="1"/>
        <v>1</v>
      </c>
      <c r="M67" s="8">
        <f>SUM(B67:K67)</f>
        <v>9</v>
      </c>
      <c r="N67" s="20"/>
    </row>
    <row r="68" spans="1:14" ht="15.75" thickBot="1" x14ac:dyDescent="0.3">
      <c r="A68" s="9" t="s">
        <v>90</v>
      </c>
      <c r="B68" s="33">
        <v>0</v>
      </c>
      <c r="C68" s="1">
        <v>0</v>
      </c>
      <c r="D68" s="33">
        <v>0</v>
      </c>
      <c r="E68" s="33">
        <v>0</v>
      </c>
      <c r="F68" s="1">
        <v>0</v>
      </c>
      <c r="G68" s="1">
        <v>0</v>
      </c>
      <c r="H68" s="34">
        <v>0</v>
      </c>
      <c r="I68" s="1">
        <v>0</v>
      </c>
      <c r="J68" s="35">
        <v>0</v>
      </c>
      <c r="K68" s="35">
        <v>16</v>
      </c>
      <c r="L68" s="7">
        <f t="shared" si="1"/>
        <v>0</v>
      </c>
      <c r="M68" s="8">
        <f t="shared" ref="M68:M71" si="2">SUM(B68:K68)</f>
        <v>16</v>
      </c>
      <c r="N68" s="20"/>
    </row>
    <row r="69" spans="1:14" ht="15.75" thickBot="1" x14ac:dyDescent="0.3">
      <c r="A69" s="9" t="s">
        <v>91</v>
      </c>
      <c r="B69" s="33">
        <v>0</v>
      </c>
      <c r="C69" s="1">
        <v>0</v>
      </c>
      <c r="D69" s="33">
        <v>0</v>
      </c>
      <c r="E69" s="33">
        <v>0</v>
      </c>
      <c r="F69" s="1">
        <v>0</v>
      </c>
      <c r="G69" s="1">
        <v>0</v>
      </c>
      <c r="H69" s="34">
        <v>0</v>
      </c>
      <c r="I69" s="1">
        <v>0</v>
      </c>
      <c r="J69" s="35">
        <v>0</v>
      </c>
      <c r="K69" s="35">
        <v>5</v>
      </c>
      <c r="L69" s="7">
        <f t="shared" si="1"/>
        <v>0</v>
      </c>
      <c r="M69" s="8">
        <f t="shared" si="2"/>
        <v>5</v>
      </c>
      <c r="N69" s="20"/>
    </row>
    <row r="70" spans="1:14" ht="15.75" thickBot="1" x14ac:dyDescent="0.3">
      <c r="A70" s="9" t="s">
        <v>92</v>
      </c>
      <c r="B70" s="33">
        <v>4</v>
      </c>
      <c r="C70" s="1">
        <v>0</v>
      </c>
      <c r="D70" s="33">
        <v>0</v>
      </c>
      <c r="E70" s="33">
        <v>0</v>
      </c>
      <c r="F70" s="1">
        <v>0</v>
      </c>
      <c r="G70" s="1">
        <v>0</v>
      </c>
      <c r="H70" s="34">
        <v>0</v>
      </c>
      <c r="I70" s="1">
        <v>0</v>
      </c>
      <c r="J70" s="35">
        <v>0</v>
      </c>
      <c r="K70" s="35">
        <v>2</v>
      </c>
      <c r="L70" s="7">
        <f t="shared" si="1"/>
        <v>4</v>
      </c>
      <c r="M70" s="8">
        <f t="shared" si="2"/>
        <v>6</v>
      </c>
      <c r="N70" s="20"/>
    </row>
    <row r="71" spans="1:14" ht="15.75" thickBot="1" x14ac:dyDescent="0.3">
      <c r="A71" s="9" t="s">
        <v>93</v>
      </c>
      <c r="B71" s="33">
        <v>10</v>
      </c>
      <c r="C71" s="1">
        <v>25</v>
      </c>
      <c r="D71" s="33">
        <v>1</v>
      </c>
      <c r="E71" s="33">
        <v>1</v>
      </c>
      <c r="F71" s="1">
        <v>0</v>
      </c>
      <c r="G71" s="1">
        <v>0</v>
      </c>
      <c r="H71" s="34">
        <v>5</v>
      </c>
      <c r="I71" s="1">
        <v>0</v>
      </c>
      <c r="J71" s="35">
        <v>2</v>
      </c>
      <c r="K71" s="35">
        <v>8</v>
      </c>
      <c r="L71" s="7">
        <f t="shared" si="1"/>
        <v>44</v>
      </c>
      <c r="M71" s="8">
        <f t="shared" si="2"/>
        <v>52</v>
      </c>
      <c r="N71" s="20"/>
    </row>
    <row r="72" spans="1:14" ht="15.75" thickBot="1" x14ac:dyDescent="0.3">
      <c r="B72" s="12">
        <f>SUM(B8:B71)</f>
        <v>516</v>
      </c>
      <c r="C72" s="12">
        <f t="shared" ref="C72:K72" si="3">SUM(C8:C71)</f>
        <v>776</v>
      </c>
      <c r="D72" s="12">
        <f t="shared" si="3"/>
        <v>164</v>
      </c>
      <c r="E72" s="12">
        <f t="shared" si="3"/>
        <v>18</v>
      </c>
      <c r="F72" s="12">
        <f t="shared" si="3"/>
        <v>10</v>
      </c>
      <c r="G72" s="12">
        <f t="shared" si="3"/>
        <v>219</v>
      </c>
      <c r="H72" s="12">
        <f t="shared" si="3"/>
        <v>14</v>
      </c>
      <c r="I72" s="12">
        <f t="shared" si="3"/>
        <v>6</v>
      </c>
      <c r="J72" s="12">
        <f t="shared" si="3"/>
        <v>65</v>
      </c>
      <c r="K72" s="12">
        <f t="shared" si="3"/>
        <v>1123</v>
      </c>
      <c r="L72" s="12">
        <f>SUM(B72:J72)</f>
        <v>1788</v>
      </c>
      <c r="M72" s="8">
        <f>SUM(B72:K72)</f>
        <v>2911</v>
      </c>
      <c r="N72" s="20"/>
    </row>
    <row r="73" spans="1:14" ht="15.75" thickBot="1" x14ac:dyDescent="0.3">
      <c r="A73" s="57" t="s">
        <v>118</v>
      </c>
      <c r="B73" s="58">
        <f>AVERAGE(B8:B23)*4</f>
        <v>52.5</v>
      </c>
      <c r="C73" s="58">
        <f t="shared" ref="C73:K73" si="4">AVERAGE(C8:C23)*4</f>
        <v>60.75</v>
      </c>
      <c r="D73" s="58">
        <f t="shared" si="4"/>
        <v>20.5</v>
      </c>
      <c r="E73" s="58">
        <f t="shared" si="4"/>
        <v>3.5</v>
      </c>
      <c r="F73" s="58">
        <f t="shared" si="4"/>
        <v>0.75</v>
      </c>
      <c r="G73" s="58">
        <f t="shared" si="4"/>
        <v>29.75</v>
      </c>
      <c r="H73" s="58">
        <f t="shared" si="4"/>
        <v>1.25</v>
      </c>
      <c r="I73" s="58">
        <f t="shared" si="4"/>
        <v>1</v>
      </c>
      <c r="J73" s="58">
        <f t="shared" si="4"/>
        <v>2</v>
      </c>
      <c r="K73" s="58">
        <f t="shared" si="4"/>
        <v>69.5</v>
      </c>
      <c r="M73" s="12">
        <f>SUM(M8:M71)</f>
        <v>2911</v>
      </c>
      <c r="N73" s="20"/>
    </row>
    <row r="74" spans="1:14" x14ac:dyDescent="0.25">
      <c r="A74" s="57" t="s">
        <v>119</v>
      </c>
      <c r="B74" s="58">
        <f>AVERAGE(B48:B59)*4</f>
        <v>7</v>
      </c>
      <c r="C74" s="58">
        <f t="shared" ref="C74:K74" si="5">AVERAGE(C48:C59)*4</f>
        <v>6.333333333333333</v>
      </c>
      <c r="D74" s="58">
        <f t="shared" si="5"/>
        <v>3</v>
      </c>
      <c r="E74" s="58">
        <f t="shared" si="5"/>
        <v>0</v>
      </c>
      <c r="F74" s="58">
        <f t="shared" si="5"/>
        <v>0</v>
      </c>
      <c r="G74" s="58">
        <f t="shared" si="5"/>
        <v>1.6666666666666667</v>
      </c>
      <c r="H74" s="58">
        <f t="shared" si="5"/>
        <v>0</v>
      </c>
      <c r="I74" s="58">
        <f t="shared" si="5"/>
        <v>0.33333333333333331</v>
      </c>
      <c r="J74" s="58">
        <f t="shared" si="5"/>
        <v>0.33333333333333331</v>
      </c>
      <c r="K74" s="58">
        <f t="shared" si="5"/>
        <v>46.333333333333336</v>
      </c>
    </row>
  </sheetData>
  <mergeCells count="8">
    <mergeCell ref="A6:M6"/>
    <mergeCell ref="A1:M1"/>
    <mergeCell ref="A2:M2"/>
    <mergeCell ref="A3:M3"/>
    <mergeCell ref="G4:H4"/>
    <mergeCell ref="B5:C5"/>
    <mergeCell ref="G5:H5"/>
    <mergeCell ref="B4:C4"/>
  </mergeCells>
  <pageMargins left="0.7" right="0.7" top="0.75" bottom="0.75" header="0.3" footer="0.3"/>
  <pageSetup scale="4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74"/>
  <sheetViews>
    <sheetView view="pageBreakPreview" zoomScale="86" zoomScaleSheetLayoutView="86" workbookViewId="0">
      <selection activeCell="B4" sqref="B4:C4"/>
    </sheetView>
  </sheetViews>
  <sheetFormatPr defaultColWidth="13.28515625" defaultRowHeight="15" x14ac:dyDescent="0.25"/>
  <cols>
    <col min="1" max="1" width="14.85546875" customWidth="1"/>
    <col min="2" max="2" width="11.7109375" customWidth="1"/>
    <col min="3" max="3" width="13.28515625" customWidth="1"/>
    <col min="4" max="4" width="12.7109375" customWidth="1"/>
    <col min="5" max="6" width="13.28515625" customWidth="1"/>
    <col min="7" max="7" width="11.42578125" customWidth="1"/>
    <col min="8" max="8" width="13.28515625" customWidth="1"/>
    <col min="9" max="9" width="11.42578125" customWidth="1"/>
    <col min="10" max="10" width="13.28515625" customWidth="1"/>
    <col min="11" max="11" width="12" customWidth="1"/>
    <col min="12" max="12" width="9.28515625" customWidth="1"/>
    <col min="13" max="13" width="10.7109375" customWidth="1"/>
    <col min="14" max="14" width="12.7109375" customWidth="1"/>
    <col min="15" max="15" width="6.42578125" style="22" customWidth="1"/>
  </cols>
  <sheetData>
    <row r="1" spans="1:15" ht="18.75" x14ac:dyDescent="0.3">
      <c r="A1" s="62" t="s">
        <v>120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36"/>
    </row>
    <row r="2" spans="1:15" ht="18.75" x14ac:dyDescent="0.3">
      <c r="A2" s="65" t="s">
        <v>94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7"/>
      <c r="N2" s="36"/>
    </row>
    <row r="3" spans="1:15" x14ac:dyDescent="0.25">
      <c r="A3" s="68"/>
      <c r="B3" s="69"/>
      <c r="C3" s="69"/>
      <c r="D3" s="69"/>
      <c r="E3" s="60"/>
      <c r="F3" s="69"/>
      <c r="G3" s="69"/>
      <c r="H3" s="69"/>
      <c r="I3" s="69"/>
      <c r="J3" s="60"/>
      <c r="K3" s="69"/>
      <c r="L3" s="69"/>
      <c r="M3" s="70"/>
      <c r="N3" s="34"/>
    </row>
    <row r="4" spans="1:15" x14ac:dyDescent="0.25">
      <c r="A4" s="50" t="s">
        <v>112</v>
      </c>
      <c r="B4" s="73">
        <v>43797</v>
      </c>
      <c r="C4" s="72"/>
      <c r="D4" s="15"/>
      <c r="E4" s="16"/>
      <c r="F4" s="49" t="s">
        <v>73</v>
      </c>
      <c r="G4" s="71" t="s">
        <v>109</v>
      </c>
      <c r="H4" s="71"/>
      <c r="I4" s="13"/>
      <c r="J4" s="13"/>
      <c r="K4" s="13"/>
      <c r="L4" s="13"/>
      <c r="M4" s="14"/>
      <c r="N4" s="17"/>
    </row>
    <row r="5" spans="1:15" x14ac:dyDescent="0.25">
      <c r="A5" s="50" t="s">
        <v>108</v>
      </c>
      <c r="B5" s="72" t="s">
        <v>103</v>
      </c>
      <c r="C5" s="72"/>
      <c r="D5" s="15"/>
      <c r="E5" s="16"/>
      <c r="F5" s="50" t="s">
        <v>74</v>
      </c>
      <c r="G5" s="72" t="s">
        <v>102</v>
      </c>
      <c r="H5" s="72"/>
      <c r="I5" s="15"/>
      <c r="J5" s="15"/>
      <c r="K5" s="15"/>
      <c r="L5" s="15"/>
      <c r="M5" s="16"/>
      <c r="N5" s="18"/>
    </row>
    <row r="6" spans="1:15" ht="15.75" thickBot="1" x14ac:dyDescent="0.3">
      <c r="A6" s="59"/>
      <c r="B6" s="60"/>
      <c r="C6" s="60"/>
      <c r="D6" s="60"/>
      <c r="E6" s="60"/>
      <c r="F6" s="60"/>
      <c r="G6" s="60"/>
      <c r="H6" s="60"/>
      <c r="I6" s="60"/>
      <c r="J6" s="60"/>
      <c r="K6" s="60"/>
      <c r="L6" s="60"/>
      <c r="M6" s="61"/>
      <c r="N6" s="34"/>
    </row>
    <row r="7" spans="1:15" ht="42.75" customHeight="1" thickBot="1" x14ac:dyDescent="0.3">
      <c r="A7" s="2" t="s">
        <v>0</v>
      </c>
      <c r="B7" s="3" t="s">
        <v>1</v>
      </c>
      <c r="C7" s="4" t="s">
        <v>2</v>
      </c>
      <c r="D7" s="3" t="s">
        <v>3</v>
      </c>
      <c r="E7" s="3" t="s">
        <v>4</v>
      </c>
      <c r="F7" s="4" t="s">
        <v>5</v>
      </c>
      <c r="G7" s="4" t="s">
        <v>6</v>
      </c>
      <c r="H7" s="5" t="s">
        <v>7</v>
      </c>
      <c r="I7" s="4" t="s">
        <v>8</v>
      </c>
      <c r="J7" s="6" t="s">
        <v>9</v>
      </c>
      <c r="K7" s="6" t="s">
        <v>10</v>
      </c>
      <c r="L7" s="27" t="s">
        <v>12</v>
      </c>
      <c r="M7" s="28" t="s">
        <v>11</v>
      </c>
      <c r="N7" s="19"/>
    </row>
    <row r="8" spans="1:15" ht="15.75" thickBot="1" x14ac:dyDescent="0.3">
      <c r="A8" s="9" t="s">
        <v>13</v>
      </c>
      <c r="B8" s="33">
        <v>0</v>
      </c>
      <c r="C8" s="1">
        <v>0</v>
      </c>
      <c r="D8" s="33">
        <v>0</v>
      </c>
      <c r="E8" s="33">
        <v>0</v>
      </c>
      <c r="F8" s="1">
        <v>0</v>
      </c>
      <c r="G8" s="1">
        <v>0</v>
      </c>
      <c r="H8" s="34">
        <v>0</v>
      </c>
      <c r="I8" s="1">
        <v>0</v>
      </c>
      <c r="J8" s="35">
        <v>0</v>
      </c>
      <c r="K8" s="35">
        <v>0</v>
      </c>
      <c r="L8" s="7">
        <f>SUM(B8:J8)</f>
        <v>0</v>
      </c>
      <c r="M8" s="8">
        <f t="shared" ref="M8:M66" si="0">SUM(B8:K8)</f>
        <v>0</v>
      </c>
      <c r="N8" s="21" t="s">
        <v>75</v>
      </c>
      <c r="O8" s="22">
        <f>SUM(L8:L11)</f>
        <v>55</v>
      </c>
    </row>
    <row r="9" spans="1:15" ht="15.75" thickBot="1" x14ac:dyDescent="0.3">
      <c r="A9" s="9" t="s">
        <v>14</v>
      </c>
      <c r="B9" s="33">
        <v>0</v>
      </c>
      <c r="C9" s="1">
        <v>0</v>
      </c>
      <c r="D9" s="33">
        <v>0</v>
      </c>
      <c r="E9" s="33">
        <v>0</v>
      </c>
      <c r="F9" s="1">
        <v>0</v>
      </c>
      <c r="G9" s="1">
        <v>0</v>
      </c>
      <c r="H9" s="34">
        <v>0</v>
      </c>
      <c r="I9" s="1">
        <v>0</v>
      </c>
      <c r="J9" s="35">
        <v>0</v>
      </c>
      <c r="K9" s="35">
        <v>0</v>
      </c>
      <c r="L9" s="7">
        <f t="shared" ref="L9:L71" si="1">SUM(B9:J9)</f>
        <v>0</v>
      </c>
      <c r="M9" s="8">
        <f t="shared" si="0"/>
        <v>0</v>
      </c>
      <c r="N9" s="21" t="s">
        <v>76</v>
      </c>
      <c r="O9" s="22">
        <f>SUM(L12:L15)</f>
        <v>108</v>
      </c>
    </row>
    <row r="10" spans="1:15" ht="15.75" thickBot="1" x14ac:dyDescent="0.3">
      <c r="A10" s="9" t="s">
        <v>15</v>
      </c>
      <c r="B10" s="33">
        <v>1</v>
      </c>
      <c r="C10" s="1">
        <v>0</v>
      </c>
      <c r="D10" s="33">
        <v>0</v>
      </c>
      <c r="E10" s="33">
        <v>0</v>
      </c>
      <c r="F10" s="1">
        <v>0</v>
      </c>
      <c r="G10" s="1">
        <v>0</v>
      </c>
      <c r="H10" s="34">
        <v>0</v>
      </c>
      <c r="I10" s="1">
        <v>1</v>
      </c>
      <c r="J10" s="35">
        <v>0</v>
      </c>
      <c r="K10" s="35">
        <v>0</v>
      </c>
      <c r="L10" s="7">
        <f t="shared" si="1"/>
        <v>2</v>
      </c>
      <c r="M10" s="8">
        <f t="shared" si="0"/>
        <v>2</v>
      </c>
      <c r="N10" s="21" t="s">
        <v>77</v>
      </c>
      <c r="O10" s="22">
        <f>SUM(L16:L19)</f>
        <v>129</v>
      </c>
    </row>
    <row r="11" spans="1:15" ht="15.75" thickBot="1" x14ac:dyDescent="0.3">
      <c r="A11" s="9" t="s">
        <v>16</v>
      </c>
      <c r="B11" s="33">
        <v>22</v>
      </c>
      <c r="C11" s="1">
        <v>26</v>
      </c>
      <c r="D11" s="33">
        <v>3</v>
      </c>
      <c r="E11" s="33">
        <v>0</v>
      </c>
      <c r="F11" s="1">
        <v>1</v>
      </c>
      <c r="G11" s="1">
        <v>0</v>
      </c>
      <c r="H11" s="34">
        <v>0</v>
      </c>
      <c r="I11" s="1">
        <v>1</v>
      </c>
      <c r="J11" s="35">
        <v>0</v>
      </c>
      <c r="K11" s="35">
        <v>5</v>
      </c>
      <c r="L11" s="7">
        <f t="shared" si="1"/>
        <v>53</v>
      </c>
      <c r="M11" s="8">
        <f t="shared" si="0"/>
        <v>58</v>
      </c>
      <c r="N11" s="21" t="s">
        <v>78</v>
      </c>
      <c r="O11" s="22">
        <f>SUM(L20:L23)</f>
        <v>158</v>
      </c>
    </row>
    <row r="12" spans="1:15" ht="15.75" thickBot="1" x14ac:dyDescent="0.3">
      <c r="A12" s="9" t="s">
        <v>17</v>
      </c>
      <c r="B12" s="33">
        <v>8</v>
      </c>
      <c r="C12" s="1">
        <v>9</v>
      </c>
      <c r="D12" s="33">
        <v>7</v>
      </c>
      <c r="E12" s="33">
        <v>0</v>
      </c>
      <c r="F12" s="1">
        <v>0</v>
      </c>
      <c r="G12" s="1">
        <v>0</v>
      </c>
      <c r="H12" s="34">
        <v>1</v>
      </c>
      <c r="I12" s="1">
        <v>0</v>
      </c>
      <c r="J12" s="35">
        <v>0</v>
      </c>
      <c r="K12" s="35">
        <v>3</v>
      </c>
      <c r="L12" s="7">
        <f t="shared" si="1"/>
        <v>25</v>
      </c>
      <c r="M12" s="8">
        <f t="shared" si="0"/>
        <v>28</v>
      </c>
      <c r="N12" s="21" t="s">
        <v>79</v>
      </c>
      <c r="O12" s="22">
        <f>SUM(L24:L27)</f>
        <v>134</v>
      </c>
    </row>
    <row r="13" spans="1:15" ht="15.75" thickBot="1" x14ac:dyDescent="0.3">
      <c r="A13" s="9" t="s">
        <v>18</v>
      </c>
      <c r="B13" s="33">
        <v>8</v>
      </c>
      <c r="C13" s="1">
        <v>21</v>
      </c>
      <c r="D13" s="33">
        <v>6</v>
      </c>
      <c r="E13" s="33">
        <v>0</v>
      </c>
      <c r="F13" s="1">
        <v>0</v>
      </c>
      <c r="G13" s="1">
        <v>0</v>
      </c>
      <c r="H13" s="34">
        <v>2</v>
      </c>
      <c r="I13" s="1">
        <v>0</v>
      </c>
      <c r="J13" s="35">
        <v>0</v>
      </c>
      <c r="K13" s="35">
        <v>3</v>
      </c>
      <c r="L13" s="7">
        <f t="shared" si="1"/>
        <v>37</v>
      </c>
      <c r="M13" s="8">
        <f t="shared" si="0"/>
        <v>40</v>
      </c>
      <c r="N13" s="21" t="s">
        <v>80</v>
      </c>
      <c r="O13" s="22">
        <f>SUM(L28:L31)</f>
        <v>228</v>
      </c>
    </row>
    <row r="14" spans="1:15" ht="15.75" thickBot="1" x14ac:dyDescent="0.3">
      <c r="A14" s="9" t="s">
        <v>19</v>
      </c>
      <c r="B14" s="33">
        <v>15</v>
      </c>
      <c r="C14" s="1">
        <v>20</v>
      </c>
      <c r="D14" s="33">
        <v>4</v>
      </c>
      <c r="E14" s="33">
        <v>0</v>
      </c>
      <c r="F14" s="1">
        <v>0</v>
      </c>
      <c r="G14" s="1">
        <v>0</v>
      </c>
      <c r="H14" s="34">
        <v>1</v>
      </c>
      <c r="I14" s="1">
        <v>0</v>
      </c>
      <c r="J14" s="35">
        <v>0</v>
      </c>
      <c r="K14" s="35">
        <v>17</v>
      </c>
      <c r="L14" s="7">
        <f t="shared" si="1"/>
        <v>40</v>
      </c>
      <c r="M14" s="8">
        <f t="shared" si="0"/>
        <v>57</v>
      </c>
      <c r="N14" s="21" t="s">
        <v>81</v>
      </c>
      <c r="O14" s="22">
        <f>SUM(L32:L35)</f>
        <v>188</v>
      </c>
    </row>
    <row r="15" spans="1:15" ht="15.75" thickBot="1" x14ac:dyDescent="0.3">
      <c r="A15" s="9" t="s">
        <v>20</v>
      </c>
      <c r="B15" s="33">
        <v>1</v>
      </c>
      <c r="C15" s="1">
        <v>4</v>
      </c>
      <c r="D15" s="33">
        <v>0</v>
      </c>
      <c r="E15" s="33">
        <v>0</v>
      </c>
      <c r="F15" s="1">
        <v>1</v>
      </c>
      <c r="G15" s="1">
        <v>0</v>
      </c>
      <c r="H15" s="34">
        <v>0</v>
      </c>
      <c r="I15" s="1">
        <v>0</v>
      </c>
      <c r="J15" s="35">
        <v>0</v>
      </c>
      <c r="K15" s="35">
        <v>7</v>
      </c>
      <c r="L15" s="7">
        <f t="shared" si="1"/>
        <v>6</v>
      </c>
      <c r="M15" s="8">
        <f t="shared" si="0"/>
        <v>13</v>
      </c>
      <c r="N15" s="21" t="s">
        <v>82</v>
      </c>
      <c r="O15" s="22">
        <f>SUM(L36:L39)</f>
        <v>158</v>
      </c>
    </row>
    <row r="16" spans="1:15" ht="15.75" thickBot="1" x14ac:dyDescent="0.3">
      <c r="A16" s="9" t="s">
        <v>21</v>
      </c>
      <c r="B16" s="33">
        <v>7</v>
      </c>
      <c r="C16" s="1">
        <v>3</v>
      </c>
      <c r="D16" s="33">
        <v>11</v>
      </c>
      <c r="E16" s="33">
        <v>0</v>
      </c>
      <c r="F16" s="1">
        <v>0</v>
      </c>
      <c r="G16" s="1">
        <v>0</v>
      </c>
      <c r="H16" s="34">
        <v>0</v>
      </c>
      <c r="I16" s="1">
        <v>0</v>
      </c>
      <c r="J16" s="35">
        <v>0</v>
      </c>
      <c r="K16" s="35">
        <v>8</v>
      </c>
      <c r="L16" s="7">
        <f t="shared" si="1"/>
        <v>21</v>
      </c>
      <c r="M16" s="8">
        <f t="shared" si="0"/>
        <v>29</v>
      </c>
      <c r="N16" s="21" t="s">
        <v>83</v>
      </c>
      <c r="O16" s="22">
        <f>SUM(L40:L43)</f>
        <v>211</v>
      </c>
    </row>
    <row r="17" spans="1:15" ht="15.75" thickBot="1" x14ac:dyDescent="0.3">
      <c r="A17" s="9" t="s">
        <v>22</v>
      </c>
      <c r="B17" s="33">
        <v>3</v>
      </c>
      <c r="C17" s="1">
        <v>16</v>
      </c>
      <c r="D17" s="33">
        <v>16</v>
      </c>
      <c r="E17" s="33">
        <v>0</v>
      </c>
      <c r="F17" s="1">
        <v>6</v>
      </c>
      <c r="G17" s="1">
        <v>0</v>
      </c>
      <c r="H17" s="34">
        <v>1</v>
      </c>
      <c r="I17" s="1">
        <v>0</v>
      </c>
      <c r="J17" s="35">
        <v>0</v>
      </c>
      <c r="K17" s="35">
        <v>22</v>
      </c>
      <c r="L17" s="7">
        <f t="shared" si="1"/>
        <v>42</v>
      </c>
      <c r="M17" s="8">
        <f t="shared" si="0"/>
        <v>64</v>
      </c>
      <c r="N17" s="21" t="s">
        <v>84</v>
      </c>
      <c r="O17" s="22">
        <f>SUM(L44:L47)</f>
        <v>177</v>
      </c>
    </row>
    <row r="18" spans="1:15" ht="15.75" thickBot="1" x14ac:dyDescent="0.3">
      <c r="A18" s="9" t="s">
        <v>23</v>
      </c>
      <c r="B18" s="33">
        <v>8</v>
      </c>
      <c r="C18" s="1">
        <v>21</v>
      </c>
      <c r="D18" s="33">
        <v>6</v>
      </c>
      <c r="E18" s="33">
        <v>0</v>
      </c>
      <c r="F18" s="1">
        <v>0</v>
      </c>
      <c r="G18" s="1">
        <v>1</v>
      </c>
      <c r="H18" s="34">
        <v>0</v>
      </c>
      <c r="I18" s="1">
        <v>0</v>
      </c>
      <c r="J18" s="35">
        <v>0</v>
      </c>
      <c r="K18" s="35">
        <v>11</v>
      </c>
      <c r="L18" s="7">
        <f t="shared" si="1"/>
        <v>36</v>
      </c>
      <c r="M18" s="8">
        <f t="shared" si="0"/>
        <v>47</v>
      </c>
      <c r="N18" s="21" t="s">
        <v>85</v>
      </c>
      <c r="O18" s="22">
        <f>SUM(L48:L51)</f>
        <v>177</v>
      </c>
    </row>
    <row r="19" spans="1:15" ht="15.75" thickBot="1" x14ac:dyDescent="0.3">
      <c r="A19" s="9" t="s">
        <v>24</v>
      </c>
      <c r="B19" s="33">
        <v>12</v>
      </c>
      <c r="C19" s="1">
        <v>8</v>
      </c>
      <c r="D19" s="33">
        <v>9</v>
      </c>
      <c r="E19" s="33">
        <v>0</v>
      </c>
      <c r="F19" s="1">
        <v>0</v>
      </c>
      <c r="G19" s="1">
        <v>0</v>
      </c>
      <c r="H19" s="34">
        <v>1</v>
      </c>
      <c r="I19" s="1">
        <v>0</v>
      </c>
      <c r="J19" s="35">
        <v>0</v>
      </c>
      <c r="K19" s="35">
        <v>16</v>
      </c>
      <c r="L19" s="7">
        <f t="shared" si="1"/>
        <v>30</v>
      </c>
      <c r="M19" s="8">
        <f t="shared" si="0"/>
        <v>46</v>
      </c>
      <c r="N19" s="21" t="s">
        <v>86</v>
      </c>
      <c r="O19" s="22">
        <f>SUM(L52:L55)</f>
        <v>153</v>
      </c>
    </row>
    <row r="20" spans="1:15" ht="15.75" thickBot="1" x14ac:dyDescent="0.3">
      <c r="A20" s="9" t="s">
        <v>25</v>
      </c>
      <c r="B20" s="33">
        <v>10</v>
      </c>
      <c r="C20" s="1">
        <v>18</v>
      </c>
      <c r="D20" s="33">
        <v>11</v>
      </c>
      <c r="E20" s="33">
        <v>0</v>
      </c>
      <c r="F20" s="1">
        <v>0</v>
      </c>
      <c r="G20" s="1">
        <v>0</v>
      </c>
      <c r="H20" s="34">
        <v>3</v>
      </c>
      <c r="I20" s="1">
        <v>0</v>
      </c>
      <c r="J20" s="35">
        <v>0</v>
      </c>
      <c r="K20" s="35">
        <v>16</v>
      </c>
      <c r="L20" s="7">
        <f t="shared" si="1"/>
        <v>42</v>
      </c>
      <c r="M20" s="8">
        <f t="shared" si="0"/>
        <v>58</v>
      </c>
      <c r="N20" s="21" t="s">
        <v>87</v>
      </c>
      <c r="O20" s="22">
        <f>SUM(L56:L59)</f>
        <v>135</v>
      </c>
    </row>
    <row r="21" spans="1:15" ht="15.75" thickBot="1" x14ac:dyDescent="0.3">
      <c r="A21" s="9" t="s">
        <v>26</v>
      </c>
      <c r="B21" s="33">
        <v>11</v>
      </c>
      <c r="C21" s="1">
        <v>11</v>
      </c>
      <c r="D21" s="33">
        <v>6</v>
      </c>
      <c r="E21" s="33">
        <v>0</v>
      </c>
      <c r="F21" s="1">
        <v>0</v>
      </c>
      <c r="G21" s="1">
        <v>0</v>
      </c>
      <c r="H21" s="34">
        <v>1</v>
      </c>
      <c r="I21" s="1">
        <v>0</v>
      </c>
      <c r="J21" s="35">
        <v>0</v>
      </c>
      <c r="K21" s="35">
        <v>19</v>
      </c>
      <c r="L21" s="7">
        <f t="shared" si="1"/>
        <v>29</v>
      </c>
      <c r="M21" s="8">
        <f t="shared" si="0"/>
        <v>48</v>
      </c>
      <c r="N21" s="21" t="s">
        <v>88</v>
      </c>
      <c r="O21" s="22">
        <f>SUM(L60:L63)</f>
        <v>149</v>
      </c>
    </row>
    <row r="22" spans="1:15" ht="15.75" thickBot="1" x14ac:dyDescent="0.3">
      <c r="A22" s="9" t="s">
        <v>27</v>
      </c>
      <c r="B22" s="33">
        <v>12</v>
      </c>
      <c r="C22" s="1">
        <v>17</v>
      </c>
      <c r="D22" s="33">
        <v>12</v>
      </c>
      <c r="E22" s="33">
        <v>0</v>
      </c>
      <c r="F22" s="1">
        <v>0</v>
      </c>
      <c r="G22" s="1">
        <v>1</v>
      </c>
      <c r="H22" s="34">
        <v>1</v>
      </c>
      <c r="I22" s="1">
        <v>0</v>
      </c>
      <c r="J22" s="35">
        <v>0</v>
      </c>
      <c r="K22" s="35">
        <v>17</v>
      </c>
      <c r="L22" s="7">
        <f t="shared" si="1"/>
        <v>43</v>
      </c>
      <c r="M22" s="8">
        <f t="shared" si="0"/>
        <v>60</v>
      </c>
      <c r="N22" s="21" t="s">
        <v>89</v>
      </c>
      <c r="O22" s="22">
        <f>SUM(L64:L67)</f>
        <v>181</v>
      </c>
    </row>
    <row r="23" spans="1:15" ht="15.75" thickBot="1" x14ac:dyDescent="0.3">
      <c r="A23" s="9" t="s">
        <v>28</v>
      </c>
      <c r="B23" s="33">
        <v>7</v>
      </c>
      <c r="C23" s="1">
        <v>26</v>
      </c>
      <c r="D23" s="33">
        <v>7</v>
      </c>
      <c r="E23" s="33">
        <v>0</v>
      </c>
      <c r="F23" s="1">
        <v>0</v>
      </c>
      <c r="G23" s="1">
        <v>3</v>
      </c>
      <c r="H23" s="34">
        <v>1</v>
      </c>
      <c r="I23" s="1">
        <v>0</v>
      </c>
      <c r="J23" s="35">
        <v>0</v>
      </c>
      <c r="K23" s="35">
        <v>21</v>
      </c>
      <c r="L23" s="7">
        <f t="shared" si="1"/>
        <v>44</v>
      </c>
      <c r="M23" s="8">
        <f t="shared" si="0"/>
        <v>65</v>
      </c>
      <c r="N23" s="20"/>
    </row>
    <row r="24" spans="1:15" ht="15.75" thickBot="1" x14ac:dyDescent="0.3">
      <c r="A24" s="9" t="s">
        <v>29</v>
      </c>
      <c r="B24" s="33">
        <v>7</v>
      </c>
      <c r="C24" s="1">
        <v>21</v>
      </c>
      <c r="D24" s="33">
        <v>6</v>
      </c>
      <c r="E24" s="33">
        <v>0</v>
      </c>
      <c r="F24" s="1">
        <v>0</v>
      </c>
      <c r="G24" s="1">
        <v>1</v>
      </c>
      <c r="H24" s="34">
        <v>3</v>
      </c>
      <c r="I24" s="1">
        <v>0</v>
      </c>
      <c r="J24" s="35">
        <v>0</v>
      </c>
      <c r="K24" s="35">
        <v>21</v>
      </c>
      <c r="L24" s="7">
        <f t="shared" si="1"/>
        <v>38</v>
      </c>
      <c r="M24" s="8">
        <f t="shared" si="0"/>
        <v>59</v>
      </c>
      <c r="N24" s="20" t="s">
        <v>118</v>
      </c>
      <c r="O24" s="22">
        <f>AVERAGE(O9:O11)</f>
        <v>131.66666666666666</v>
      </c>
    </row>
    <row r="25" spans="1:15" ht="15.75" thickBot="1" x14ac:dyDescent="0.3">
      <c r="A25" s="9" t="s">
        <v>30</v>
      </c>
      <c r="B25" s="33">
        <v>11</v>
      </c>
      <c r="C25" s="1">
        <v>10</v>
      </c>
      <c r="D25" s="33">
        <v>0</v>
      </c>
      <c r="E25" s="33">
        <v>0</v>
      </c>
      <c r="F25" s="1">
        <v>0</v>
      </c>
      <c r="G25" s="1">
        <v>0</v>
      </c>
      <c r="H25" s="34">
        <v>0</v>
      </c>
      <c r="I25" s="1">
        <v>0</v>
      </c>
      <c r="J25" s="35">
        <v>0</v>
      </c>
      <c r="K25" s="35">
        <v>11</v>
      </c>
      <c r="L25" s="7">
        <f t="shared" si="1"/>
        <v>21</v>
      </c>
      <c r="M25" s="8">
        <f t="shared" si="0"/>
        <v>32</v>
      </c>
      <c r="N25" s="20" t="s">
        <v>119</v>
      </c>
      <c r="O25" s="22">
        <f>AVERAGE(O18:O20)</f>
        <v>155</v>
      </c>
    </row>
    <row r="26" spans="1:15" ht="15.75" thickBot="1" x14ac:dyDescent="0.3">
      <c r="A26" s="9" t="s">
        <v>31</v>
      </c>
      <c r="B26" s="33">
        <v>10</v>
      </c>
      <c r="C26" s="1">
        <v>23</v>
      </c>
      <c r="D26" s="33">
        <v>0</v>
      </c>
      <c r="E26" s="33">
        <v>0</v>
      </c>
      <c r="F26" s="1">
        <v>0</v>
      </c>
      <c r="G26" s="1">
        <v>2</v>
      </c>
      <c r="H26" s="34">
        <v>0</v>
      </c>
      <c r="I26" s="1">
        <v>0</v>
      </c>
      <c r="J26" s="35">
        <v>0</v>
      </c>
      <c r="K26" s="35">
        <v>23</v>
      </c>
      <c r="L26" s="7">
        <f t="shared" si="1"/>
        <v>35</v>
      </c>
      <c r="M26" s="8">
        <f t="shared" si="0"/>
        <v>58</v>
      </c>
      <c r="N26" s="20"/>
    </row>
    <row r="27" spans="1:15" ht="15.75" thickBot="1" x14ac:dyDescent="0.3">
      <c r="A27" s="9" t="s">
        <v>32</v>
      </c>
      <c r="B27" s="33">
        <v>14</v>
      </c>
      <c r="C27" s="1">
        <v>24</v>
      </c>
      <c r="D27" s="33">
        <v>0</v>
      </c>
      <c r="E27" s="33">
        <v>0</v>
      </c>
      <c r="F27" s="1">
        <v>1</v>
      </c>
      <c r="G27" s="1">
        <v>1</v>
      </c>
      <c r="H27" s="34">
        <v>0</v>
      </c>
      <c r="I27" s="1">
        <v>0</v>
      </c>
      <c r="J27" s="35">
        <v>0</v>
      </c>
      <c r="K27" s="35">
        <v>27</v>
      </c>
      <c r="L27" s="7">
        <f t="shared" si="1"/>
        <v>40</v>
      </c>
      <c r="M27" s="8">
        <f t="shared" si="0"/>
        <v>67</v>
      </c>
      <c r="N27" s="20"/>
    </row>
    <row r="28" spans="1:15" ht="15.75" thickBot="1" x14ac:dyDescent="0.3">
      <c r="A28" s="9" t="s">
        <v>33</v>
      </c>
      <c r="B28" s="33">
        <v>21</v>
      </c>
      <c r="C28" s="1">
        <v>22</v>
      </c>
      <c r="D28" s="33">
        <v>4</v>
      </c>
      <c r="E28" s="33">
        <v>0</v>
      </c>
      <c r="F28" s="1">
        <v>0</v>
      </c>
      <c r="G28" s="1">
        <v>4</v>
      </c>
      <c r="H28" s="34">
        <v>3</v>
      </c>
      <c r="I28" s="1">
        <v>0</v>
      </c>
      <c r="J28" s="35">
        <v>0</v>
      </c>
      <c r="K28" s="35">
        <v>16</v>
      </c>
      <c r="L28" s="7">
        <f t="shared" si="1"/>
        <v>54</v>
      </c>
      <c r="M28" s="8">
        <f t="shared" si="0"/>
        <v>70</v>
      </c>
      <c r="N28" s="20"/>
    </row>
    <row r="29" spans="1:15" ht="15.75" thickBot="1" x14ac:dyDescent="0.3">
      <c r="A29" s="9" t="s">
        <v>34</v>
      </c>
      <c r="B29" s="33">
        <v>19</v>
      </c>
      <c r="C29" s="1">
        <v>31</v>
      </c>
      <c r="D29" s="33">
        <v>3</v>
      </c>
      <c r="E29" s="33">
        <v>0</v>
      </c>
      <c r="F29" s="1">
        <v>0</v>
      </c>
      <c r="G29" s="1">
        <v>7</v>
      </c>
      <c r="H29" s="34">
        <v>0</v>
      </c>
      <c r="I29" s="1">
        <v>1</v>
      </c>
      <c r="J29" s="35">
        <v>0</v>
      </c>
      <c r="K29" s="35">
        <v>19</v>
      </c>
      <c r="L29" s="7">
        <f t="shared" si="1"/>
        <v>61</v>
      </c>
      <c r="M29" s="8">
        <f t="shared" si="0"/>
        <v>80</v>
      </c>
      <c r="N29" s="20"/>
    </row>
    <row r="30" spans="1:15" ht="15.75" thickBot="1" x14ac:dyDescent="0.3">
      <c r="A30" s="9" t="s">
        <v>35</v>
      </c>
      <c r="B30" s="33">
        <v>23</v>
      </c>
      <c r="C30" s="1">
        <v>24</v>
      </c>
      <c r="D30" s="33">
        <v>7</v>
      </c>
      <c r="E30" s="33">
        <v>0</v>
      </c>
      <c r="F30" s="1">
        <v>0</v>
      </c>
      <c r="G30" s="1">
        <v>2</v>
      </c>
      <c r="H30" s="34">
        <v>0</v>
      </c>
      <c r="I30" s="1">
        <v>0</v>
      </c>
      <c r="J30" s="35">
        <v>0</v>
      </c>
      <c r="K30" s="35">
        <v>17</v>
      </c>
      <c r="L30" s="7">
        <f t="shared" si="1"/>
        <v>56</v>
      </c>
      <c r="M30" s="8">
        <f t="shared" si="0"/>
        <v>73</v>
      </c>
      <c r="N30" s="20"/>
    </row>
    <row r="31" spans="1:15" ht="15.75" thickBot="1" x14ac:dyDescent="0.3">
      <c r="A31" s="9" t="s">
        <v>36</v>
      </c>
      <c r="B31" s="33">
        <v>26</v>
      </c>
      <c r="C31" s="1">
        <v>20</v>
      </c>
      <c r="D31" s="33">
        <v>11</v>
      </c>
      <c r="E31" s="33">
        <v>0</v>
      </c>
      <c r="F31" s="1">
        <v>0</v>
      </c>
      <c r="G31" s="1">
        <v>0</v>
      </c>
      <c r="H31" s="34">
        <v>0</v>
      </c>
      <c r="I31" s="1">
        <v>0</v>
      </c>
      <c r="J31" s="35">
        <v>0</v>
      </c>
      <c r="K31" s="35">
        <v>16</v>
      </c>
      <c r="L31" s="7">
        <f t="shared" si="1"/>
        <v>57</v>
      </c>
      <c r="M31" s="8">
        <f t="shared" si="0"/>
        <v>73</v>
      </c>
      <c r="N31" s="20"/>
    </row>
    <row r="32" spans="1:15" ht="15.75" thickBot="1" x14ac:dyDescent="0.3">
      <c r="A32" s="9" t="s">
        <v>37</v>
      </c>
      <c r="B32" s="33">
        <v>10</v>
      </c>
      <c r="C32" s="1">
        <v>21</v>
      </c>
      <c r="D32" s="33">
        <v>12</v>
      </c>
      <c r="E32" s="33">
        <v>0</v>
      </c>
      <c r="F32" s="1">
        <v>0</v>
      </c>
      <c r="G32" s="1">
        <v>11</v>
      </c>
      <c r="H32" s="34">
        <v>0</v>
      </c>
      <c r="I32" s="1">
        <v>0</v>
      </c>
      <c r="J32" s="35">
        <v>0</v>
      </c>
      <c r="K32" s="35">
        <v>22</v>
      </c>
      <c r="L32" s="7">
        <f t="shared" si="1"/>
        <v>54</v>
      </c>
      <c r="M32" s="8">
        <f t="shared" si="0"/>
        <v>76</v>
      </c>
      <c r="N32" s="20"/>
    </row>
    <row r="33" spans="1:14" ht="15.75" thickBot="1" x14ac:dyDescent="0.3">
      <c r="A33" s="9" t="s">
        <v>38</v>
      </c>
      <c r="B33" s="33">
        <v>16</v>
      </c>
      <c r="C33" s="1">
        <v>23</v>
      </c>
      <c r="D33" s="33">
        <v>11</v>
      </c>
      <c r="E33" s="33">
        <v>0</v>
      </c>
      <c r="F33" s="1">
        <v>0</v>
      </c>
      <c r="G33" s="1">
        <v>0</v>
      </c>
      <c r="H33" s="34">
        <v>6</v>
      </c>
      <c r="I33" s="1">
        <v>0</v>
      </c>
      <c r="J33" s="35">
        <v>0</v>
      </c>
      <c r="K33" s="35">
        <v>18</v>
      </c>
      <c r="L33" s="7">
        <f t="shared" si="1"/>
        <v>56</v>
      </c>
      <c r="M33" s="8">
        <f t="shared" si="0"/>
        <v>74</v>
      </c>
      <c r="N33" s="20"/>
    </row>
    <row r="34" spans="1:14" ht="15.75" thickBot="1" x14ac:dyDescent="0.3">
      <c r="A34" s="9" t="s">
        <v>39</v>
      </c>
      <c r="B34" s="33">
        <v>12</v>
      </c>
      <c r="C34" s="1">
        <v>19</v>
      </c>
      <c r="D34" s="33">
        <v>9</v>
      </c>
      <c r="E34" s="33">
        <v>0</v>
      </c>
      <c r="F34" s="1">
        <v>0</v>
      </c>
      <c r="G34" s="1">
        <v>0</v>
      </c>
      <c r="H34" s="34">
        <v>0</v>
      </c>
      <c r="I34" s="1">
        <v>0</v>
      </c>
      <c r="J34" s="35">
        <v>0</v>
      </c>
      <c r="K34" s="35">
        <v>24</v>
      </c>
      <c r="L34" s="7">
        <f t="shared" si="1"/>
        <v>40</v>
      </c>
      <c r="M34" s="8">
        <f t="shared" si="0"/>
        <v>64</v>
      </c>
      <c r="N34" s="20"/>
    </row>
    <row r="35" spans="1:14" ht="15.75" thickBot="1" x14ac:dyDescent="0.3">
      <c r="A35" s="9" t="s">
        <v>40</v>
      </c>
      <c r="B35" s="33">
        <v>15</v>
      </c>
      <c r="C35" s="1">
        <v>15</v>
      </c>
      <c r="D35" s="33">
        <v>8</v>
      </c>
      <c r="E35" s="33">
        <v>0</v>
      </c>
      <c r="F35" s="1">
        <v>0</v>
      </c>
      <c r="G35" s="1">
        <v>0</v>
      </c>
      <c r="H35" s="34">
        <v>0</v>
      </c>
      <c r="I35" s="1">
        <v>0</v>
      </c>
      <c r="J35" s="35">
        <v>0</v>
      </c>
      <c r="K35" s="35">
        <v>20</v>
      </c>
      <c r="L35" s="7">
        <f t="shared" si="1"/>
        <v>38</v>
      </c>
      <c r="M35" s="8">
        <f t="shared" si="0"/>
        <v>58</v>
      </c>
      <c r="N35" s="20"/>
    </row>
    <row r="36" spans="1:14" ht="15.75" thickBot="1" x14ac:dyDescent="0.3">
      <c r="A36" s="9" t="s">
        <v>41</v>
      </c>
      <c r="B36" s="33">
        <v>19</v>
      </c>
      <c r="C36" s="1">
        <v>19</v>
      </c>
      <c r="D36" s="33">
        <v>6</v>
      </c>
      <c r="E36" s="33">
        <v>2</v>
      </c>
      <c r="F36" s="1">
        <v>0</v>
      </c>
      <c r="G36" s="1">
        <v>0</v>
      </c>
      <c r="H36" s="34">
        <v>0</v>
      </c>
      <c r="I36" s="1">
        <v>0</v>
      </c>
      <c r="J36" s="35">
        <v>0</v>
      </c>
      <c r="K36" s="35">
        <v>22</v>
      </c>
      <c r="L36" s="7">
        <f t="shared" si="1"/>
        <v>46</v>
      </c>
      <c r="M36" s="8">
        <f t="shared" si="0"/>
        <v>68</v>
      </c>
      <c r="N36" s="20"/>
    </row>
    <row r="37" spans="1:14" ht="15.75" thickBot="1" x14ac:dyDescent="0.3">
      <c r="A37" s="9" t="s">
        <v>42</v>
      </c>
      <c r="B37" s="33">
        <v>22</v>
      </c>
      <c r="C37" s="1">
        <v>20</v>
      </c>
      <c r="D37" s="33">
        <v>0</v>
      </c>
      <c r="E37" s="33">
        <v>0</v>
      </c>
      <c r="F37" s="1">
        <v>0</v>
      </c>
      <c r="G37" s="1">
        <v>4</v>
      </c>
      <c r="H37" s="34">
        <v>1</v>
      </c>
      <c r="I37" s="1">
        <v>0</v>
      </c>
      <c r="J37" s="35">
        <v>0</v>
      </c>
      <c r="K37" s="35">
        <v>31</v>
      </c>
      <c r="L37" s="7">
        <f t="shared" si="1"/>
        <v>47</v>
      </c>
      <c r="M37" s="8">
        <f t="shared" si="0"/>
        <v>78</v>
      </c>
      <c r="N37" s="20"/>
    </row>
    <row r="38" spans="1:14" ht="15.75" thickBot="1" x14ac:dyDescent="0.3">
      <c r="A38" s="9" t="s">
        <v>43</v>
      </c>
      <c r="B38" s="33">
        <v>9</v>
      </c>
      <c r="C38" s="1">
        <v>23</v>
      </c>
      <c r="D38" s="33">
        <v>3</v>
      </c>
      <c r="E38" s="33">
        <v>0</v>
      </c>
      <c r="F38" s="1">
        <v>0</v>
      </c>
      <c r="G38" s="1">
        <v>0</v>
      </c>
      <c r="H38" s="34">
        <v>2</v>
      </c>
      <c r="I38" s="1">
        <v>0</v>
      </c>
      <c r="J38" s="35">
        <v>0</v>
      </c>
      <c r="K38" s="35">
        <v>19</v>
      </c>
      <c r="L38" s="7">
        <f t="shared" si="1"/>
        <v>37</v>
      </c>
      <c r="M38" s="8">
        <f t="shared" si="0"/>
        <v>56</v>
      </c>
      <c r="N38" s="20"/>
    </row>
    <row r="39" spans="1:14" ht="15.75" thickBot="1" x14ac:dyDescent="0.3">
      <c r="A39" s="9" t="s">
        <v>44</v>
      </c>
      <c r="B39" s="33">
        <v>9</v>
      </c>
      <c r="C39" s="1">
        <v>16</v>
      </c>
      <c r="D39" s="33">
        <v>1</v>
      </c>
      <c r="E39" s="33">
        <v>0</v>
      </c>
      <c r="F39" s="1">
        <v>0</v>
      </c>
      <c r="G39" s="1">
        <v>2</v>
      </c>
      <c r="H39" s="34">
        <v>0</v>
      </c>
      <c r="I39" s="1">
        <v>0</v>
      </c>
      <c r="J39" s="35">
        <v>0</v>
      </c>
      <c r="K39" s="35">
        <v>23</v>
      </c>
      <c r="L39" s="7">
        <f t="shared" si="1"/>
        <v>28</v>
      </c>
      <c r="M39" s="8">
        <f t="shared" si="0"/>
        <v>51</v>
      </c>
      <c r="N39" s="20"/>
    </row>
    <row r="40" spans="1:14" ht="15.75" thickBot="1" x14ac:dyDescent="0.3">
      <c r="A40" s="9" t="s">
        <v>45</v>
      </c>
      <c r="B40" s="33">
        <v>14</v>
      </c>
      <c r="C40" s="1">
        <v>19</v>
      </c>
      <c r="D40" s="33">
        <v>5</v>
      </c>
      <c r="E40" s="33">
        <v>0</v>
      </c>
      <c r="F40" s="1">
        <v>0</v>
      </c>
      <c r="G40" s="1">
        <v>0</v>
      </c>
      <c r="H40" s="34">
        <v>1</v>
      </c>
      <c r="I40" s="1">
        <v>0</v>
      </c>
      <c r="J40" s="35">
        <v>0</v>
      </c>
      <c r="K40" s="35">
        <v>16</v>
      </c>
      <c r="L40" s="7">
        <f t="shared" si="1"/>
        <v>39</v>
      </c>
      <c r="M40" s="8">
        <f t="shared" si="0"/>
        <v>55</v>
      </c>
      <c r="N40" s="20"/>
    </row>
    <row r="41" spans="1:14" ht="15.75" thickBot="1" x14ac:dyDescent="0.3">
      <c r="A41" s="9" t="s">
        <v>46</v>
      </c>
      <c r="B41" s="33">
        <v>16</v>
      </c>
      <c r="C41" s="1">
        <v>16</v>
      </c>
      <c r="D41" s="33">
        <v>11</v>
      </c>
      <c r="E41" s="33">
        <v>0</v>
      </c>
      <c r="F41" s="1">
        <v>0</v>
      </c>
      <c r="G41" s="1">
        <v>1</v>
      </c>
      <c r="H41" s="34">
        <v>0</v>
      </c>
      <c r="I41" s="1">
        <v>0</v>
      </c>
      <c r="J41" s="35">
        <v>0</v>
      </c>
      <c r="K41" s="35">
        <v>18</v>
      </c>
      <c r="L41" s="7">
        <f t="shared" si="1"/>
        <v>44</v>
      </c>
      <c r="M41" s="8">
        <f t="shared" si="0"/>
        <v>62</v>
      </c>
      <c r="N41" s="20"/>
    </row>
    <row r="42" spans="1:14" ht="15.75" thickBot="1" x14ac:dyDescent="0.3">
      <c r="A42" s="9" t="s">
        <v>47</v>
      </c>
      <c r="B42" s="33">
        <v>21</v>
      </c>
      <c r="C42" s="1">
        <v>26</v>
      </c>
      <c r="D42" s="33">
        <v>12</v>
      </c>
      <c r="E42" s="33">
        <v>0</v>
      </c>
      <c r="F42" s="1">
        <v>0</v>
      </c>
      <c r="G42" s="1">
        <v>0</v>
      </c>
      <c r="H42" s="34">
        <v>0</v>
      </c>
      <c r="I42" s="1">
        <v>0</v>
      </c>
      <c r="J42" s="35">
        <v>0</v>
      </c>
      <c r="K42" s="35">
        <v>16</v>
      </c>
      <c r="L42" s="7">
        <f t="shared" si="1"/>
        <v>59</v>
      </c>
      <c r="M42" s="8">
        <f t="shared" si="0"/>
        <v>75</v>
      </c>
      <c r="N42" s="20"/>
    </row>
    <row r="43" spans="1:14" ht="15.75" thickBot="1" x14ac:dyDescent="0.3">
      <c r="A43" s="9" t="s">
        <v>48</v>
      </c>
      <c r="B43" s="33">
        <v>20</v>
      </c>
      <c r="C43" s="1">
        <v>28</v>
      </c>
      <c r="D43" s="33">
        <v>13</v>
      </c>
      <c r="E43" s="33">
        <v>0</v>
      </c>
      <c r="F43" s="1">
        <v>0</v>
      </c>
      <c r="G43" s="1">
        <v>3</v>
      </c>
      <c r="H43" s="34">
        <v>5</v>
      </c>
      <c r="I43" s="1">
        <v>0</v>
      </c>
      <c r="J43" s="35">
        <v>0</v>
      </c>
      <c r="K43" s="35">
        <v>22</v>
      </c>
      <c r="L43" s="7">
        <f t="shared" si="1"/>
        <v>69</v>
      </c>
      <c r="M43" s="8">
        <f t="shared" si="0"/>
        <v>91</v>
      </c>
      <c r="N43" s="20"/>
    </row>
    <row r="44" spans="1:14" ht="15.75" thickBot="1" x14ac:dyDescent="0.3">
      <c r="A44" s="9" t="s">
        <v>49</v>
      </c>
      <c r="B44" s="33">
        <v>16</v>
      </c>
      <c r="C44" s="1">
        <v>17</v>
      </c>
      <c r="D44" s="33">
        <v>6</v>
      </c>
      <c r="E44" s="33">
        <v>0</v>
      </c>
      <c r="F44" s="1">
        <v>0</v>
      </c>
      <c r="G44" s="1">
        <v>1</v>
      </c>
      <c r="H44" s="34">
        <v>2</v>
      </c>
      <c r="I44" s="1">
        <v>1</v>
      </c>
      <c r="J44" s="35">
        <v>0</v>
      </c>
      <c r="K44" s="35">
        <v>29</v>
      </c>
      <c r="L44" s="7">
        <f t="shared" si="1"/>
        <v>43</v>
      </c>
      <c r="M44" s="8">
        <f t="shared" si="0"/>
        <v>72</v>
      </c>
      <c r="N44" s="20"/>
    </row>
    <row r="45" spans="1:14" ht="15.75" thickBot="1" x14ac:dyDescent="0.3">
      <c r="A45" s="9" t="s">
        <v>50</v>
      </c>
      <c r="B45" s="33">
        <v>21</v>
      </c>
      <c r="C45" s="1">
        <v>22</v>
      </c>
      <c r="D45" s="33">
        <v>4</v>
      </c>
      <c r="E45" s="33">
        <v>0</v>
      </c>
      <c r="F45" s="1">
        <v>0</v>
      </c>
      <c r="G45" s="1">
        <v>0</v>
      </c>
      <c r="H45" s="34">
        <v>3</v>
      </c>
      <c r="I45" s="1">
        <v>0</v>
      </c>
      <c r="J45" s="35">
        <v>0</v>
      </c>
      <c r="K45" s="35">
        <v>17</v>
      </c>
      <c r="L45" s="7">
        <f t="shared" si="1"/>
        <v>50</v>
      </c>
      <c r="M45" s="8">
        <f t="shared" si="0"/>
        <v>67</v>
      </c>
      <c r="N45" s="20"/>
    </row>
    <row r="46" spans="1:14" ht="15.75" thickBot="1" x14ac:dyDescent="0.3">
      <c r="A46" s="9" t="s">
        <v>51</v>
      </c>
      <c r="B46" s="33">
        <v>19</v>
      </c>
      <c r="C46" s="1">
        <v>24</v>
      </c>
      <c r="D46" s="33">
        <v>0</v>
      </c>
      <c r="E46" s="33">
        <v>0</v>
      </c>
      <c r="F46" s="1">
        <v>0</v>
      </c>
      <c r="G46" s="1">
        <v>1</v>
      </c>
      <c r="H46" s="34">
        <v>1</v>
      </c>
      <c r="I46" s="1">
        <v>0</v>
      </c>
      <c r="J46" s="35">
        <v>0</v>
      </c>
      <c r="K46" s="35">
        <v>23</v>
      </c>
      <c r="L46" s="7">
        <f t="shared" si="1"/>
        <v>45</v>
      </c>
      <c r="M46" s="8">
        <f t="shared" si="0"/>
        <v>68</v>
      </c>
      <c r="N46" s="20"/>
    </row>
    <row r="47" spans="1:14" ht="15.75" thickBot="1" x14ac:dyDescent="0.3">
      <c r="A47" s="9" t="s">
        <v>52</v>
      </c>
      <c r="B47" s="33">
        <v>18</v>
      </c>
      <c r="C47" s="1">
        <v>20</v>
      </c>
      <c r="D47" s="33">
        <v>0</v>
      </c>
      <c r="E47" s="33">
        <v>0</v>
      </c>
      <c r="F47" s="1">
        <v>0</v>
      </c>
      <c r="G47" s="1">
        <v>1</v>
      </c>
      <c r="H47" s="34">
        <v>0</v>
      </c>
      <c r="I47" s="1">
        <v>0</v>
      </c>
      <c r="J47" s="35">
        <v>0</v>
      </c>
      <c r="K47" s="35">
        <v>19</v>
      </c>
      <c r="L47" s="7">
        <f t="shared" si="1"/>
        <v>39</v>
      </c>
      <c r="M47" s="8">
        <f t="shared" si="0"/>
        <v>58</v>
      </c>
      <c r="N47" s="20"/>
    </row>
    <row r="48" spans="1:14" ht="15.75" thickBot="1" x14ac:dyDescent="0.3">
      <c r="A48" s="9" t="s">
        <v>53</v>
      </c>
      <c r="B48" s="33">
        <v>14</v>
      </c>
      <c r="C48" s="1">
        <v>17</v>
      </c>
      <c r="D48" s="33">
        <v>0</v>
      </c>
      <c r="E48" s="33">
        <v>2</v>
      </c>
      <c r="F48" s="1">
        <v>0</v>
      </c>
      <c r="G48" s="1">
        <v>1</v>
      </c>
      <c r="H48" s="34">
        <v>0</v>
      </c>
      <c r="I48" s="1">
        <v>0</v>
      </c>
      <c r="J48" s="35">
        <v>0</v>
      </c>
      <c r="K48" s="35">
        <v>18</v>
      </c>
      <c r="L48" s="7">
        <f t="shared" si="1"/>
        <v>34</v>
      </c>
      <c r="M48" s="8">
        <f t="shared" si="0"/>
        <v>52</v>
      </c>
      <c r="N48" s="20"/>
    </row>
    <row r="49" spans="1:14" ht="15.75" thickBot="1" x14ac:dyDescent="0.3">
      <c r="A49" s="9" t="s">
        <v>54</v>
      </c>
      <c r="B49" s="33">
        <v>21</v>
      </c>
      <c r="C49" s="1">
        <v>19</v>
      </c>
      <c r="D49" s="33">
        <v>0</v>
      </c>
      <c r="E49" s="33">
        <v>0</v>
      </c>
      <c r="F49" s="1">
        <v>0</v>
      </c>
      <c r="G49" s="1">
        <v>1</v>
      </c>
      <c r="H49" s="34">
        <v>1</v>
      </c>
      <c r="I49" s="1">
        <v>0</v>
      </c>
      <c r="J49" s="35">
        <v>0</v>
      </c>
      <c r="K49" s="35">
        <v>12</v>
      </c>
      <c r="L49" s="7">
        <f t="shared" si="1"/>
        <v>42</v>
      </c>
      <c r="M49" s="8">
        <f t="shared" si="0"/>
        <v>54</v>
      </c>
      <c r="N49" s="20"/>
    </row>
    <row r="50" spans="1:14" ht="15.75" thickBot="1" x14ac:dyDescent="0.3">
      <c r="A50" s="9" t="s">
        <v>55</v>
      </c>
      <c r="B50" s="33">
        <v>19</v>
      </c>
      <c r="C50" s="1">
        <v>18</v>
      </c>
      <c r="D50" s="33">
        <v>2</v>
      </c>
      <c r="E50" s="33">
        <v>0</v>
      </c>
      <c r="F50" s="1">
        <v>0</v>
      </c>
      <c r="G50" s="1">
        <v>1</v>
      </c>
      <c r="H50" s="34">
        <v>2</v>
      </c>
      <c r="I50" s="1">
        <v>0</v>
      </c>
      <c r="J50" s="35">
        <v>0</v>
      </c>
      <c r="K50" s="35">
        <v>12</v>
      </c>
      <c r="L50" s="7">
        <f t="shared" si="1"/>
        <v>42</v>
      </c>
      <c r="M50" s="8">
        <f t="shared" si="0"/>
        <v>54</v>
      </c>
      <c r="N50" s="20"/>
    </row>
    <row r="51" spans="1:14" ht="15.75" thickBot="1" x14ac:dyDescent="0.3">
      <c r="A51" s="9" t="s">
        <v>56</v>
      </c>
      <c r="B51" s="33">
        <v>21</v>
      </c>
      <c r="C51" s="1">
        <v>23</v>
      </c>
      <c r="D51" s="33">
        <v>13</v>
      </c>
      <c r="E51" s="33">
        <v>0</v>
      </c>
      <c r="F51" s="1">
        <v>0</v>
      </c>
      <c r="G51" s="1">
        <v>1</v>
      </c>
      <c r="H51" s="34">
        <v>1</v>
      </c>
      <c r="I51" s="1">
        <v>0</v>
      </c>
      <c r="J51" s="35">
        <v>0</v>
      </c>
      <c r="K51" s="35">
        <v>16</v>
      </c>
      <c r="L51" s="7">
        <f t="shared" si="1"/>
        <v>59</v>
      </c>
      <c r="M51" s="8">
        <f t="shared" si="0"/>
        <v>75</v>
      </c>
      <c r="N51" s="20"/>
    </row>
    <row r="52" spans="1:14" ht="15.75" thickBot="1" x14ac:dyDescent="0.3">
      <c r="A52" s="9" t="s">
        <v>57</v>
      </c>
      <c r="B52" s="33">
        <v>28</v>
      </c>
      <c r="C52" s="1">
        <v>22</v>
      </c>
      <c r="D52" s="33">
        <v>11</v>
      </c>
      <c r="E52" s="33">
        <v>0</v>
      </c>
      <c r="F52" s="1">
        <v>0</v>
      </c>
      <c r="G52" s="1">
        <v>0</v>
      </c>
      <c r="H52" s="34">
        <v>1</v>
      </c>
      <c r="I52" s="1">
        <v>0</v>
      </c>
      <c r="J52" s="35">
        <v>0</v>
      </c>
      <c r="K52" s="35">
        <v>16</v>
      </c>
      <c r="L52" s="7">
        <f t="shared" si="1"/>
        <v>62</v>
      </c>
      <c r="M52" s="8">
        <f t="shared" si="0"/>
        <v>78</v>
      </c>
      <c r="N52" s="20"/>
    </row>
    <row r="53" spans="1:14" ht="15.75" thickBot="1" x14ac:dyDescent="0.3">
      <c r="A53" s="9" t="s">
        <v>58</v>
      </c>
      <c r="B53" s="33">
        <v>16</v>
      </c>
      <c r="C53" s="1">
        <v>9</v>
      </c>
      <c r="D53" s="33">
        <v>2</v>
      </c>
      <c r="E53" s="33">
        <v>0</v>
      </c>
      <c r="F53" s="1">
        <v>0</v>
      </c>
      <c r="G53" s="1">
        <v>0</v>
      </c>
      <c r="H53" s="34">
        <v>0</v>
      </c>
      <c r="I53" s="1">
        <v>0</v>
      </c>
      <c r="J53" s="35">
        <v>0</v>
      </c>
      <c r="K53" s="35">
        <v>12</v>
      </c>
      <c r="L53" s="7">
        <f t="shared" si="1"/>
        <v>27</v>
      </c>
      <c r="M53" s="8">
        <f t="shared" si="0"/>
        <v>39</v>
      </c>
      <c r="N53" s="20"/>
    </row>
    <row r="54" spans="1:14" ht="15.75" thickBot="1" x14ac:dyDescent="0.3">
      <c r="A54" s="9" t="s">
        <v>59</v>
      </c>
      <c r="B54" s="33">
        <v>22</v>
      </c>
      <c r="C54" s="1">
        <v>18</v>
      </c>
      <c r="D54" s="33">
        <v>0</v>
      </c>
      <c r="E54" s="33">
        <v>0</v>
      </c>
      <c r="F54" s="1">
        <v>0</v>
      </c>
      <c r="G54" s="1">
        <v>2</v>
      </c>
      <c r="H54" s="34">
        <v>3</v>
      </c>
      <c r="I54" s="1">
        <v>0</v>
      </c>
      <c r="J54" s="35">
        <v>0</v>
      </c>
      <c r="K54" s="35">
        <v>16</v>
      </c>
      <c r="L54" s="7">
        <f t="shared" si="1"/>
        <v>45</v>
      </c>
      <c r="M54" s="8">
        <f t="shared" si="0"/>
        <v>61</v>
      </c>
      <c r="N54" s="20"/>
    </row>
    <row r="55" spans="1:14" ht="15.75" thickBot="1" x14ac:dyDescent="0.3">
      <c r="A55" s="9" t="s">
        <v>60</v>
      </c>
      <c r="B55" s="33">
        <v>3</v>
      </c>
      <c r="C55" s="1">
        <v>16</v>
      </c>
      <c r="D55" s="33">
        <v>0</v>
      </c>
      <c r="E55" s="33">
        <v>0</v>
      </c>
      <c r="F55" s="1">
        <v>0</v>
      </c>
      <c r="G55" s="1">
        <v>0</v>
      </c>
      <c r="H55" s="34">
        <v>0</v>
      </c>
      <c r="I55" s="1">
        <v>0</v>
      </c>
      <c r="J55" s="35">
        <v>0</v>
      </c>
      <c r="K55" s="35">
        <v>4</v>
      </c>
      <c r="L55" s="7">
        <f t="shared" si="1"/>
        <v>19</v>
      </c>
      <c r="M55" s="8">
        <f t="shared" si="0"/>
        <v>23</v>
      </c>
      <c r="N55" s="20"/>
    </row>
    <row r="56" spans="1:14" ht="15.75" thickBot="1" x14ac:dyDescent="0.3">
      <c r="A56" s="9" t="s">
        <v>61</v>
      </c>
      <c r="B56" s="33">
        <v>11</v>
      </c>
      <c r="C56" s="1">
        <v>17</v>
      </c>
      <c r="D56" s="33">
        <v>2</v>
      </c>
      <c r="E56" s="33">
        <v>0</v>
      </c>
      <c r="F56" s="1">
        <v>0</v>
      </c>
      <c r="G56" s="1">
        <v>1</v>
      </c>
      <c r="H56" s="34">
        <v>0</v>
      </c>
      <c r="I56" s="1">
        <v>0</v>
      </c>
      <c r="J56" s="35">
        <v>0</v>
      </c>
      <c r="K56" s="35">
        <v>8</v>
      </c>
      <c r="L56" s="7">
        <f t="shared" si="1"/>
        <v>31</v>
      </c>
      <c r="M56" s="8">
        <f t="shared" si="0"/>
        <v>39</v>
      </c>
      <c r="N56" s="20"/>
    </row>
    <row r="57" spans="1:14" ht="15.75" thickBot="1" x14ac:dyDescent="0.3">
      <c r="A57" s="9" t="s">
        <v>62</v>
      </c>
      <c r="B57" s="33">
        <v>6</v>
      </c>
      <c r="C57" s="1">
        <v>16</v>
      </c>
      <c r="D57" s="33">
        <v>2</v>
      </c>
      <c r="E57" s="33">
        <v>0</v>
      </c>
      <c r="F57" s="1">
        <v>0</v>
      </c>
      <c r="G57" s="1">
        <v>0</v>
      </c>
      <c r="H57" s="34">
        <v>0</v>
      </c>
      <c r="I57" s="1">
        <v>0</v>
      </c>
      <c r="J57" s="35">
        <v>0</v>
      </c>
      <c r="K57" s="35">
        <v>11</v>
      </c>
      <c r="L57" s="7">
        <f t="shared" si="1"/>
        <v>24</v>
      </c>
      <c r="M57" s="8">
        <f t="shared" si="0"/>
        <v>35</v>
      </c>
      <c r="N57" s="20"/>
    </row>
    <row r="58" spans="1:14" ht="15.75" thickBot="1" x14ac:dyDescent="0.3">
      <c r="A58" s="9" t="s">
        <v>63</v>
      </c>
      <c r="B58" s="33">
        <v>13</v>
      </c>
      <c r="C58" s="1">
        <v>24</v>
      </c>
      <c r="D58" s="33">
        <v>7</v>
      </c>
      <c r="E58" s="33">
        <v>0</v>
      </c>
      <c r="F58" s="1">
        <v>0</v>
      </c>
      <c r="G58" s="1">
        <v>0</v>
      </c>
      <c r="H58" s="34">
        <v>1</v>
      </c>
      <c r="I58" s="1">
        <v>0</v>
      </c>
      <c r="J58" s="35">
        <v>0</v>
      </c>
      <c r="K58" s="35">
        <v>16</v>
      </c>
      <c r="L58" s="7">
        <f t="shared" si="1"/>
        <v>45</v>
      </c>
      <c r="M58" s="8">
        <f t="shared" si="0"/>
        <v>61</v>
      </c>
      <c r="N58" s="20"/>
    </row>
    <row r="59" spans="1:14" ht="15.75" thickBot="1" x14ac:dyDescent="0.3">
      <c r="A59" s="9" t="s">
        <v>64</v>
      </c>
      <c r="B59" s="33">
        <v>14</v>
      </c>
      <c r="C59" s="1">
        <v>17</v>
      </c>
      <c r="D59" s="33">
        <v>4</v>
      </c>
      <c r="E59" s="33">
        <v>0</v>
      </c>
      <c r="F59" s="1">
        <v>0</v>
      </c>
      <c r="G59" s="1">
        <v>0</v>
      </c>
      <c r="H59" s="34">
        <v>0</v>
      </c>
      <c r="I59" s="1">
        <v>0</v>
      </c>
      <c r="J59" s="35">
        <v>0</v>
      </c>
      <c r="K59" s="35">
        <v>9</v>
      </c>
      <c r="L59" s="7">
        <f t="shared" si="1"/>
        <v>35</v>
      </c>
      <c r="M59" s="8">
        <f t="shared" si="0"/>
        <v>44</v>
      </c>
      <c r="N59" s="20"/>
    </row>
    <row r="60" spans="1:14" ht="15.75" thickBot="1" x14ac:dyDescent="0.3">
      <c r="A60" s="9" t="s">
        <v>65</v>
      </c>
      <c r="B60" s="33">
        <v>5</v>
      </c>
      <c r="C60" s="1">
        <v>16</v>
      </c>
      <c r="D60" s="33">
        <v>1</v>
      </c>
      <c r="E60" s="33">
        <v>0</v>
      </c>
      <c r="F60" s="1">
        <v>0</v>
      </c>
      <c r="G60" s="1">
        <v>1</v>
      </c>
      <c r="H60" s="34">
        <v>1</v>
      </c>
      <c r="I60" s="1">
        <v>0</v>
      </c>
      <c r="J60" s="35">
        <v>0</v>
      </c>
      <c r="K60" s="35">
        <v>8</v>
      </c>
      <c r="L60" s="7">
        <f t="shared" si="1"/>
        <v>24</v>
      </c>
      <c r="M60" s="8">
        <f t="shared" si="0"/>
        <v>32</v>
      </c>
      <c r="N60" s="20"/>
    </row>
    <row r="61" spans="1:14" ht="15.75" thickBot="1" x14ac:dyDescent="0.3">
      <c r="A61" s="9" t="s">
        <v>66</v>
      </c>
      <c r="B61" s="33">
        <v>6</v>
      </c>
      <c r="C61" s="1">
        <v>19</v>
      </c>
      <c r="D61" s="33">
        <v>4</v>
      </c>
      <c r="E61" s="33">
        <v>1</v>
      </c>
      <c r="F61" s="1">
        <v>0</v>
      </c>
      <c r="G61" s="1">
        <v>0</v>
      </c>
      <c r="H61" s="34">
        <v>0</v>
      </c>
      <c r="I61" s="1">
        <v>0</v>
      </c>
      <c r="J61" s="35">
        <v>0</v>
      </c>
      <c r="K61" s="35">
        <v>11</v>
      </c>
      <c r="L61" s="7">
        <f t="shared" si="1"/>
        <v>30</v>
      </c>
      <c r="M61" s="8">
        <f t="shared" si="0"/>
        <v>41</v>
      </c>
      <c r="N61" s="20"/>
    </row>
    <row r="62" spans="1:14" ht="15.75" thickBot="1" x14ac:dyDescent="0.3">
      <c r="A62" s="10" t="s">
        <v>67</v>
      </c>
      <c r="B62" s="33">
        <v>13</v>
      </c>
      <c r="C62" s="1">
        <v>21</v>
      </c>
      <c r="D62" s="33">
        <v>11</v>
      </c>
      <c r="E62" s="33">
        <v>0</v>
      </c>
      <c r="F62" s="1">
        <v>0</v>
      </c>
      <c r="G62" s="1">
        <v>1</v>
      </c>
      <c r="H62" s="34">
        <v>2</v>
      </c>
      <c r="I62" s="1">
        <v>0</v>
      </c>
      <c r="J62" s="35">
        <v>0</v>
      </c>
      <c r="K62" s="35">
        <v>10</v>
      </c>
      <c r="L62" s="7">
        <f t="shared" si="1"/>
        <v>48</v>
      </c>
      <c r="M62" s="8">
        <f t="shared" si="0"/>
        <v>58</v>
      </c>
      <c r="N62" s="20"/>
    </row>
    <row r="63" spans="1:14" ht="15.75" thickBot="1" x14ac:dyDescent="0.3">
      <c r="A63" s="9" t="s">
        <v>68</v>
      </c>
      <c r="B63" s="33">
        <v>16</v>
      </c>
      <c r="C63" s="1">
        <v>23</v>
      </c>
      <c r="D63" s="33">
        <v>8</v>
      </c>
      <c r="E63" s="33">
        <v>0</v>
      </c>
      <c r="F63" s="1">
        <v>0</v>
      </c>
      <c r="G63" s="1">
        <v>0</v>
      </c>
      <c r="H63" s="34">
        <v>0</v>
      </c>
      <c r="I63" s="1">
        <v>0</v>
      </c>
      <c r="J63" s="35">
        <v>0</v>
      </c>
      <c r="K63" s="35">
        <v>9</v>
      </c>
      <c r="L63" s="7">
        <f t="shared" si="1"/>
        <v>47</v>
      </c>
      <c r="M63" s="8">
        <f t="shared" si="0"/>
        <v>56</v>
      </c>
      <c r="N63" s="20"/>
    </row>
    <row r="64" spans="1:14" ht="15.75" thickBot="1" x14ac:dyDescent="0.3">
      <c r="A64" s="9" t="s">
        <v>69</v>
      </c>
      <c r="B64" s="33">
        <v>9</v>
      </c>
      <c r="C64" s="1">
        <v>21</v>
      </c>
      <c r="D64" s="33">
        <v>7</v>
      </c>
      <c r="E64" s="33">
        <v>1</v>
      </c>
      <c r="F64" s="1">
        <v>0</v>
      </c>
      <c r="G64" s="1">
        <v>1</v>
      </c>
      <c r="H64" s="34">
        <v>0</v>
      </c>
      <c r="I64" s="1">
        <v>0</v>
      </c>
      <c r="J64" s="35">
        <v>0</v>
      </c>
      <c r="K64" s="35">
        <v>14</v>
      </c>
      <c r="L64" s="7">
        <f t="shared" si="1"/>
        <v>39</v>
      </c>
      <c r="M64" s="8">
        <f>SUM(B64:K64)</f>
        <v>53</v>
      </c>
      <c r="N64" s="20"/>
    </row>
    <row r="65" spans="1:14" ht="15.75" thickBot="1" x14ac:dyDescent="0.3">
      <c r="A65" s="11" t="s">
        <v>70</v>
      </c>
      <c r="B65" s="33">
        <v>16</v>
      </c>
      <c r="C65" s="1">
        <v>15</v>
      </c>
      <c r="D65" s="33">
        <v>6</v>
      </c>
      <c r="E65" s="33">
        <v>0</v>
      </c>
      <c r="F65" s="1">
        <v>0</v>
      </c>
      <c r="G65" s="1">
        <v>2</v>
      </c>
      <c r="H65" s="34">
        <v>0</v>
      </c>
      <c r="I65" s="1">
        <v>0</v>
      </c>
      <c r="J65" s="35">
        <v>0</v>
      </c>
      <c r="K65" s="35">
        <v>5</v>
      </c>
      <c r="L65" s="7">
        <f t="shared" si="1"/>
        <v>39</v>
      </c>
      <c r="M65" s="8">
        <f>SUM(B65:K65)</f>
        <v>44</v>
      </c>
      <c r="N65" s="20"/>
    </row>
    <row r="66" spans="1:14" ht="15.75" thickBot="1" x14ac:dyDescent="0.3">
      <c r="A66" s="9" t="s">
        <v>71</v>
      </c>
      <c r="B66" s="33">
        <v>18</v>
      </c>
      <c r="C66" s="1">
        <v>18</v>
      </c>
      <c r="D66" s="33">
        <v>12</v>
      </c>
      <c r="E66" s="33">
        <v>0</v>
      </c>
      <c r="F66" s="1">
        <v>0</v>
      </c>
      <c r="G66" s="1">
        <v>1</v>
      </c>
      <c r="H66" s="34">
        <v>0</v>
      </c>
      <c r="I66" s="1">
        <v>2</v>
      </c>
      <c r="J66" s="35">
        <v>0</v>
      </c>
      <c r="K66" s="35">
        <v>11</v>
      </c>
      <c r="L66" s="7">
        <f t="shared" si="1"/>
        <v>51</v>
      </c>
      <c r="M66" s="8">
        <f t="shared" si="0"/>
        <v>62</v>
      </c>
      <c r="N66" s="20"/>
    </row>
    <row r="67" spans="1:14" ht="15.75" thickBot="1" x14ac:dyDescent="0.3">
      <c r="A67" s="9" t="s">
        <v>72</v>
      </c>
      <c r="B67" s="33">
        <v>15</v>
      </c>
      <c r="C67" s="1">
        <v>19</v>
      </c>
      <c r="D67" s="33">
        <v>16</v>
      </c>
      <c r="E67" s="33">
        <v>0</v>
      </c>
      <c r="F67" s="1">
        <v>1</v>
      </c>
      <c r="G67" s="1">
        <v>0</v>
      </c>
      <c r="H67" s="34">
        <v>0</v>
      </c>
      <c r="I67" s="1">
        <v>1</v>
      </c>
      <c r="J67" s="35">
        <v>0</v>
      </c>
      <c r="K67" s="35">
        <v>14</v>
      </c>
      <c r="L67" s="7">
        <f t="shared" si="1"/>
        <v>52</v>
      </c>
      <c r="M67" s="8">
        <f>SUM(B67:K67)</f>
        <v>66</v>
      </c>
      <c r="N67" s="20"/>
    </row>
    <row r="68" spans="1:14" ht="15.75" thickBot="1" x14ac:dyDescent="0.3">
      <c r="A68" s="9" t="s">
        <v>90</v>
      </c>
      <c r="B68" s="33">
        <v>11</v>
      </c>
      <c r="C68" s="1">
        <v>14</v>
      </c>
      <c r="D68" s="33">
        <v>11</v>
      </c>
      <c r="E68" s="33">
        <v>0</v>
      </c>
      <c r="F68" s="1">
        <v>0</v>
      </c>
      <c r="G68" s="1">
        <v>0</v>
      </c>
      <c r="H68" s="34">
        <v>0</v>
      </c>
      <c r="I68" s="1">
        <v>0</v>
      </c>
      <c r="J68" s="35">
        <v>0</v>
      </c>
      <c r="K68" s="35">
        <v>2</v>
      </c>
      <c r="L68" s="7">
        <f t="shared" si="1"/>
        <v>36</v>
      </c>
      <c r="M68" s="8">
        <f t="shared" ref="M68:M71" si="2">SUM(B68:K68)</f>
        <v>38</v>
      </c>
      <c r="N68" s="20"/>
    </row>
    <row r="69" spans="1:14" ht="15.75" thickBot="1" x14ac:dyDescent="0.3">
      <c r="A69" s="9" t="s">
        <v>91</v>
      </c>
      <c r="B69" s="33">
        <v>12</v>
      </c>
      <c r="C69" s="1">
        <v>13</v>
      </c>
      <c r="D69" s="33">
        <v>3</v>
      </c>
      <c r="E69" s="33">
        <v>0</v>
      </c>
      <c r="F69" s="1">
        <v>0</v>
      </c>
      <c r="G69" s="1">
        <v>1</v>
      </c>
      <c r="H69" s="34">
        <v>0</v>
      </c>
      <c r="I69" s="1">
        <v>0</v>
      </c>
      <c r="J69" s="35">
        <v>0</v>
      </c>
      <c r="K69" s="35">
        <v>6</v>
      </c>
      <c r="L69" s="7">
        <f t="shared" si="1"/>
        <v>29</v>
      </c>
      <c r="M69" s="8">
        <f t="shared" si="2"/>
        <v>35</v>
      </c>
      <c r="N69" s="20"/>
    </row>
    <row r="70" spans="1:14" ht="15.75" thickBot="1" x14ac:dyDescent="0.3">
      <c r="A70" s="9" t="s">
        <v>92</v>
      </c>
      <c r="B70" s="33">
        <v>14</v>
      </c>
      <c r="C70" s="1">
        <v>11</v>
      </c>
      <c r="D70" s="33">
        <v>9</v>
      </c>
      <c r="E70" s="33">
        <v>0</v>
      </c>
      <c r="F70" s="1">
        <v>0</v>
      </c>
      <c r="G70" s="1">
        <v>0</v>
      </c>
      <c r="H70" s="34">
        <v>2</v>
      </c>
      <c r="I70" s="1">
        <v>0</v>
      </c>
      <c r="J70" s="35">
        <v>0</v>
      </c>
      <c r="K70" s="35">
        <v>8</v>
      </c>
      <c r="L70" s="7">
        <f t="shared" si="1"/>
        <v>36</v>
      </c>
      <c r="M70" s="8">
        <f t="shared" si="2"/>
        <v>44</v>
      </c>
      <c r="N70" s="20"/>
    </row>
    <row r="71" spans="1:14" ht="15.75" thickBot="1" x14ac:dyDescent="0.3">
      <c r="A71" s="9" t="s">
        <v>93</v>
      </c>
      <c r="B71" s="33">
        <v>11</v>
      </c>
      <c r="C71" s="1">
        <v>10</v>
      </c>
      <c r="D71" s="33">
        <v>10</v>
      </c>
      <c r="E71" s="33">
        <v>0</v>
      </c>
      <c r="F71" s="1">
        <v>0</v>
      </c>
      <c r="G71" s="1">
        <v>0</v>
      </c>
      <c r="H71" s="34">
        <v>1</v>
      </c>
      <c r="I71" s="1">
        <v>0</v>
      </c>
      <c r="J71" s="35">
        <v>0</v>
      </c>
      <c r="K71" s="35">
        <v>7</v>
      </c>
      <c r="L71" s="7">
        <f t="shared" si="1"/>
        <v>32</v>
      </c>
      <c r="M71" s="8">
        <f t="shared" si="2"/>
        <v>39</v>
      </c>
      <c r="N71" s="20"/>
    </row>
    <row r="72" spans="1:14" ht="15.75" thickBot="1" x14ac:dyDescent="0.3">
      <c r="B72" s="12">
        <f>SUM(B8:B71)</f>
        <v>847</v>
      </c>
      <c r="C72" s="12">
        <f t="shared" ref="C72:K72" si="3">SUM(C8:C71)</f>
        <v>1119</v>
      </c>
      <c r="D72" s="12">
        <f t="shared" si="3"/>
        <v>371</v>
      </c>
      <c r="E72" s="12">
        <f t="shared" si="3"/>
        <v>6</v>
      </c>
      <c r="F72" s="12">
        <f t="shared" si="3"/>
        <v>10</v>
      </c>
      <c r="G72" s="12">
        <f t="shared" si="3"/>
        <v>60</v>
      </c>
      <c r="H72" s="12">
        <f t="shared" si="3"/>
        <v>54</v>
      </c>
      <c r="I72" s="12">
        <f t="shared" si="3"/>
        <v>7</v>
      </c>
      <c r="J72" s="12">
        <f t="shared" si="3"/>
        <v>0</v>
      </c>
      <c r="K72" s="12">
        <f t="shared" si="3"/>
        <v>909</v>
      </c>
      <c r="L72" s="12">
        <f>SUM(B72:J72)</f>
        <v>2474</v>
      </c>
      <c r="M72" s="8">
        <f>SUM(B72:K72)</f>
        <v>3383</v>
      </c>
      <c r="N72" s="20"/>
    </row>
    <row r="73" spans="1:14" ht="15.75" thickBot="1" x14ac:dyDescent="0.3">
      <c r="A73" s="57" t="s">
        <v>118</v>
      </c>
      <c r="B73" s="58">
        <f>AVERAGE(B8:B23)*4</f>
        <v>31.25</v>
      </c>
      <c r="C73" s="58">
        <f t="shared" ref="C73:K73" si="4">AVERAGE(C8:C23)*4</f>
        <v>50</v>
      </c>
      <c r="D73" s="58">
        <f t="shared" si="4"/>
        <v>24.5</v>
      </c>
      <c r="E73" s="58">
        <f t="shared" si="4"/>
        <v>0</v>
      </c>
      <c r="F73" s="58">
        <f t="shared" si="4"/>
        <v>2</v>
      </c>
      <c r="G73" s="58">
        <f t="shared" si="4"/>
        <v>1.25</v>
      </c>
      <c r="H73" s="58">
        <f t="shared" si="4"/>
        <v>3</v>
      </c>
      <c r="I73" s="58">
        <f t="shared" si="4"/>
        <v>0.5</v>
      </c>
      <c r="J73" s="58">
        <f t="shared" si="4"/>
        <v>0</v>
      </c>
      <c r="K73" s="58">
        <f t="shared" si="4"/>
        <v>41.25</v>
      </c>
      <c r="M73" s="12">
        <f>SUM(M8:M71)</f>
        <v>3383</v>
      </c>
      <c r="N73" s="20"/>
    </row>
    <row r="74" spans="1:14" x14ac:dyDescent="0.25">
      <c r="A74" s="57" t="s">
        <v>119</v>
      </c>
      <c r="B74" s="58">
        <f>AVERAGE(B48:B59)*4</f>
        <v>62.666666666666664</v>
      </c>
      <c r="C74" s="58">
        <f t="shared" ref="C74:K74" si="5">AVERAGE(C48:C59)*4</f>
        <v>72</v>
      </c>
      <c r="D74" s="58">
        <f t="shared" si="5"/>
        <v>14.333333333333334</v>
      </c>
      <c r="E74" s="58">
        <f t="shared" si="5"/>
        <v>0.66666666666666663</v>
      </c>
      <c r="F74" s="58">
        <f t="shared" si="5"/>
        <v>0</v>
      </c>
      <c r="G74" s="58">
        <f t="shared" si="5"/>
        <v>2.3333333333333335</v>
      </c>
      <c r="H74" s="58">
        <f t="shared" si="5"/>
        <v>3</v>
      </c>
      <c r="I74" s="58">
        <f t="shared" si="5"/>
        <v>0</v>
      </c>
      <c r="J74" s="58">
        <f t="shared" si="5"/>
        <v>0</v>
      </c>
      <c r="K74" s="58">
        <f t="shared" si="5"/>
        <v>50</v>
      </c>
    </row>
  </sheetData>
  <mergeCells count="8">
    <mergeCell ref="A6:M6"/>
    <mergeCell ref="A1:M1"/>
    <mergeCell ref="A2:M2"/>
    <mergeCell ref="A3:M3"/>
    <mergeCell ref="G4:H4"/>
    <mergeCell ref="B5:C5"/>
    <mergeCell ref="G5:H5"/>
    <mergeCell ref="B4:C4"/>
  </mergeCells>
  <pageMargins left="0.7" right="0.7" top="0.75" bottom="0.75" header="0.3" footer="0.3"/>
  <pageSetup scale="4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74"/>
  <sheetViews>
    <sheetView view="pageBreakPreview" zoomScale="90" zoomScaleSheetLayoutView="90" workbookViewId="0">
      <selection activeCell="B4" sqref="B4:C4"/>
    </sheetView>
  </sheetViews>
  <sheetFormatPr defaultColWidth="13.28515625" defaultRowHeight="15" x14ac:dyDescent="0.25"/>
  <cols>
    <col min="1" max="1" width="14.85546875" customWidth="1"/>
    <col min="2" max="2" width="11.7109375" customWidth="1"/>
    <col min="3" max="3" width="13.28515625" customWidth="1"/>
    <col min="4" max="4" width="12.7109375" customWidth="1"/>
    <col min="5" max="6" width="13.28515625" customWidth="1"/>
    <col min="7" max="7" width="11.42578125" customWidth="1"/>
    <col min="8" max="8" width="13.28515625" customWidth="1"/>
    <col min="9" max="9" width="11.42578125" customWidth="1"/>
    <col min="10" max="10" width="13.28515625" customWidth="1"/>
    <col min="11" max="11" width="12" customWidth="1"/>
    <col min="12" max="12" width="9.28515625" customWidth="1"/>
    <col min="13" max="13" width="10.7109375" customWidth="1"/>
    <col min="14" max="14" width="12.7109375" customWidth="1"/>
    <col min="15" max="15" width="6.42578125" style="22" customWidth="1"/>
  </cols>
  <sheetData>
    <row r="1" spans="1:15" ht="18.75" x14ac:dyDescent="0.3">
      <c r="A1" s="62" t="s">
        <v>120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36"/>
    </row>
    <row r="2" spans="1:15" ht="18.75" x14ac:dyDescent="0.3">
      <c r="A2" s="65" t="s">
        <v>94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7"/>
      <c r="N2" s="36"/>
    </row>
    <row r="3" spans="1:15" x14ac:dyDescent="0.25">
      <c r="A3" s="68"/>
      <c r="B3" s="69"/>
      <c r="C3" s="69"/>
      <c r="D3" s="69"/>
      <c r="E3" s="60"/>
      <c r="F3" s="69"/>
      <c r="G3" s="69"/>
      <c r="H3" s="69"/>
      <c r="I3" s="69"/>
      <c r="J3" s="60"/>
      <c r="K3" s="69"/>
      <c r="L3" s="69"/>
      <c r="M3" s="70"/>
      <c r="N3" s="34"/>
    </row>
    <row r="4" spans="1:15" x14ac:dyDescent="0.25">
      <c r="A4" s="50" t="s">
        <v>112</v>
      </c>
      <c r="B4" s="73">
        <v>43797</v>
      </c>
      <c r="C4" s="72"/>
      <c r="D4" s="15"/>
      <c r="E4" s="16"/>
      <c r="F4" s="49" t="s">
        <v>73</v>
      </c>
      <c r="G4" s="71" t="s">
        <v>109</v>
      </c>
      <c r="H4" s="71"/>
      <c r="I4" s="13"/>
      <c r="J4" s="13"/>
      <c r="K4" s="13"/>
      <c r="L4" s="13"/>
      <c r="M4" s="14"/>
      <c r="N4" s="17"/>
    </row>
    <row r="5" spans="1:15" x14ac:dyDescent="0.25">
      <c r="A5" s="50" t="s">
        <v>108</v>
      </c>
      <c r="B5" s="72" t="s">
        <v>104</v>
      </c>
      <c r="C5" s="72"/>
      <c r="D5" s="15"/>
      <c r="E5" s="16"/>
      <c r="F5" s="50" t="s">
        <v>74</v>
      </c>
      <c r="G5" s="72" t="s">
        <v>98</v>
      </c>
      <c r="H5" s="72"/>
      <c r="I5" s="15"/>
      <c r="J5" s="15"/>
      <c r="K5" s="15"/>
      <c r="L5" s="15"/>
      <c r="M5" s="16"/>
      <c r="N5" s="18"/>
    </row>
    <row r="6" spans="1:15" ht="15.75" thickBot="1" x14ac:dyDescent="0.3">
      <c r="A6" s="59"/>
      <c r="B6" s="60"/>
      <c r="C6" s="60"/>
      <c r="D6" s="60"/>
      <c r="E6" s="60"/>
      <c r="F6" s="60"/>
      <c r="G6" s="60"/>
      <c r="H6" s="60"/>
      <c r="I6" s="60"/>
      <c r="J6" s="60"/>
      <c r="K6" s="60"/>
      <c r="L6" s="60"/>
      <c r="M6" s="61"/>
      <c r="N6" s="34"/>
    </row>
    <row r="7" spans="1:15" ht="42.75" customHeight="1" thickBot="1" x14ac:dyDescent="0.3">
      <c r="A7" s="2" t="s">
        <v>0</v>
      </c>
      <c r="B7" s="3" t="s">
        <v>1</v>
      </c>
      <c r="C7" s="4" t="s">
        <v>2</v>
      </c>
      <c r="D7" s="3" t="s">
        <v>3</v>
      </c>
      <c r="E7" s="3" t="s">
        <v>4</v>
      </c>
      <c r="F7" s="4" t="s">
        <v>5</v>
      </c>
      <c r="G7" s="4" t="s">
        <v>6</v>
      </c>
      <c r="H7" s="5" t="s">
        <v>7</v>
      </c>
      <c r="I7" s="4" t="s">
        <v>8</v>
      </c>
      <c r="J7" s="6" t="s">
        <v>9</v>
      </c>
      <c r="K7" s="6" t="s">
        <v>10</v>
      </c>
      <c r="L7" s="27" t="s">
        <v>12</v>
      </c>
      <c r="M7" s="28" t="s">
        <v>11</v>
      </c>
      <c r="N7" s="19"/>
    </row>
    <row r="8" spans="1:15" ht="15.75" thickBot="1" x14ac:dyDescent="0.3">
      <c r="A8" s="9" t="s">
        <v>13</v>
      </c>
      <c r="B8" s="33">
        <v>1</v>
      </c>
      <c r="C8" s="1">
        <v>0</v>
      </c>
      <c r="D8" s="33">
        <v>0</v>
      </c>
      <c r="E8" s="33">
        <v>0</v>
      </c>
      <c r="F8" s="1">
        <v>0</v>
      </c>
      <c r="G8" s="1">
        <v>0</v>
      </c>
      <c r="H8" s="34">
        <v>0</v>
      </c>
      <c r="I8" s="1">
        <v>0</v>
      </c>
      <c r="J8" s="35">
        <v>0</v>
      </c>
      <c r="K8" s="35">
        <v>0</v>
      </c>
      <c r="L8" s="7">
        <f>SUM(B8:J8)</f>
        <v>1</v>
      </c>
      <c r="M8" s="8">
        <f t="shared" ref="M8:M66" si="0">SUM(B8:K8)</f>
        <v>1</v>
      </c>
      <c r="N8" s="21" t="s">
        <v>75</v>
      </c>
      <c r="O8" s="22">
        <f>SUM(L8:L11)</f>
        <v>2</v>
      </c>
    </row>
    <row r="9" spans="1:15" ht="15.75" thickBot="1" x14ac:dyDescent="0.3">
      <c r="A9" s="9" t="s">
        <v>14</v>
      </c>
      <c r="B9" s="33">
        <v>0</v>
      </c>
      <c r="C9" s="1">
        <v>0</v>
      </c>
      <c r="D9" s="33">
        <v>0</v>
      </c>
      <c r="E9" s="33">
        <v>0</v>
      </c>
      <c r="F9" s="1">
        <v>0</v>
      </c>
      <c r="G9" s="1">
        <v>0</v>
      </c>
      <c r="H9" s="34">
        <v>0</v>
      </c>
      <c r="I9" s="1">
        <v>0</v>
      </c>
      <c r="J9" s="35">
        <v>0</v>
      </c>
      <c r="K9" s="35">
        <v>0</v>
      </c>
      <c r="L9" s="7">
        <f t="shared" ref="L9:L71" si="1">SUM(B9:J9)</f>
        <v>0</v>
      </c>
      <c r="M9" s="8">
        <f t="shared" si="0"/>
        <v>0</v>
      </c>
      <c r="N9" s="21" t="s">
        <v>76</v>
      </c>
      <c r="O9" s="22">
        <f>SUM(L12:L15)</f>
        <v>11</v>
      </c>
    </row>
    <row r="10" spans="1:15" ht="15.75" thickBot="1" x14ac:dyDescent="0.3">
      <c r="A10" s="9" t="s">
        <v>15</v>
      </c>
      <c r="B10" s="33">
        <v>0</v>
      </c>
      <c r="C10" s="1">
        <v>0</v>
      </c>
      <c r="D10" s="33">
        <v>0</v>
      </c>
      <c r="E10" s="33">
        <v>0</v>
      </c>
      <c r="F10" s="1">
        <v>0</v>
      </c>
      <c r="G10" s="1">
        <v>0</v>
      </c>
      <c r="H10" s="34">
        <v>0</v>
      </c>
      <c r="I10" s="1">
        <v>0</v>
      </c>
      <c r="J10" s="35">
        <v>0</v>
      </c>
      <c r="K10" s="35">
        <v>0</v>
      </c>
      <c r="L10" s="7">
        <f t="shared" si="1"/>
        <v>0</v>
      </c>
      <c r="M10" s="8">
        <f t="shared" si="0"/>
        <v>0</v>
      </c>
      <c r="N10" s="21" t="s">
        <v>77</v>
      </c>
      <c r="O10" s="22">
        <f>SUM(L16:L19)</f>
        <v>13</v>
      </c>
    </row>
    <row r="11" spans="1:15" ht="15.75" thickBot="1" x14ac:dyDescent="0.3">
      <c r="A11" s="9" t="s">
        <v>16</v>
      </c>
      <c r="B11" s="51">
        <v>0</v>
      </c>
      <c r="C11" s="51">
        <v>1</v>
      </c>
      <c r="D11" s="51">
        <v>0</v>
      </c>
      <c r="E11" s="51">
        <v>0</v>
      </c>
      <c r="F11" s="51">
        <v>0</v>
      </c>
      <c r="G11" s="51">
        <v>0</v>
      </c>
      <c r="H11" s="51">
        <v>0</v>
      </c>
      <c r="I11" s="51">
        <v>0</v>
      </c>
      <c r="J11" s="51">
        <v>0</v>
      </c>
      <c r="K11" s="51">
        <v>2</v>
      </c>
      <c r="L11" s="7">
        <f t="shared" si="1"/>
        <v>1</v>
      </c>
      <c r="M11" s="8">
        <f t="shared" si="0"/>
        <v>3</v>
      </c>
      <c r="N11" s="21" t="s">
        <v>78</v>
      </c>
      <c r="O11" s="22">
        <f>SUM(L20:L23)</f>
        <v>18</v>
      </c>
    </row>
    <row r="12" spans="1:15" ht="15.75" thickBot="1" x14ac:dyDescent="0.3">
      <c r="A12" s="9" t="s">
        <v>17</v>
      </c>
      <c r="B12" s="51">
        <v>2</v>
      </c>
      <c r="C12" s="51">
        <v>2</v>
      </c>
      <c r="D12" s="51">
        <v>0</v>
      </c>
      <c r="E12" s="51">
        <v>0</v>
      </c>
      <c r="F12" s="51">
        <v>0</v>
      </c>
      <c r="G12" s="51">
        <v>0</v>
      </c>
      <c r="H12" s="51">
        <v>0</v>
      </c>
      <c r="I12" s="51">
        <v>0</v>
      </c>
      <c r="J12" s="51">
        <v>0</v>
      </c>
      <c r="K12" s="51">
        <v>5</v>
      </c>
      <c r="L12" s="7">
        <f t="shared" si="1"/>
        <v>4</v>
      </c>
      <c r="M12" s="8">
        <f t="shared" si="0"/>
        <v>9</v>
      </c>
      <c r="N12" s="21" t="s">
        <v>79</v>
      </c>
      <c r="O12" s="22">
        <f>SUM(L24:L27)</f>
        <v>12</v>
      </c>
    </row>
    <row r="13" spans="1:15" ht="15.75" thickBot="1" x14ac:dyDescent="0.3">
      <c r="A13" s="9" t="s">
        <v>18</v>
      </c>
      <c r="B13" s="33">
        <v>1</v>
      </c>
      <c r="C13" s="1">
        <v>2</v>
      </c>
      <c r="D13" s="33">
        <v>0</v>
      </c>
      <c r="E13" s="33">
        <v>1</v>
      </c>
      <c r="F13" s="1">
        <v>0</v>
      </c>
      <c r="G13" s="1">
        <v>0</v>
      </c>
      <c r="H13" s="34">
        <v>0</v>
      </c>
      <c r="I13" s="1">
        <v>0</v>
      </c>
      <c r="J13" s="35">
        <v>0</v>
      </c>
      <c r="K13" s="35">
        <v>9</v>
      </c>
      <c r="L13" s="7">
        <f t="shared" si="1"/>
        <v>4</v>
      </c>
      <c r="M13" s="8">
        <f t="shared" si="0"/>
        <v>13</v>
      </c>
      <c r="N13" s="21" t="s">
        <v>80</v>
      </c>
      <c r="O13" s="22">
        <f>SUM(L28:L31)</f>
        <v>27</v>
      </c>
    </row>
    <row r="14" spans="1:15" ht="15.75" thickBot="1" x14ac:dyDescent="0.3">
      <c r="A14" s="9" t="s">
        <v>19</v>
      </c>
      <c r="B14" s="33">
        <v>0</v>
      </c>
      <c r="C14" s="1">
        <v>0</v>
      </c>
      <c r="D14" s="33">
        <v>2</v>
      </c>
      <c r="E14" s="33">
        <v>0</v>
      </c>
      <c r="F14" s="1">
        <v>0</v>
      </c>
      <c r="G14" s="1">
        <v>0</v>
      </c>
      <c r="H14" s="34">
        <v>0</v>
      </c>
      <c r="I14" s="1">
        <v>0</v>
      </c>
      <c r="J14" s="35">
        <v>0</v>
      </c>
      <c r="K14" s="35">
        <v>0</v>
      </c>
      <c r="L14" s="7">
        <f t="shared" si="1"/>
        <v>2</v>
      </c>
      <c r="M14" s="8">
        <f t="shared" si="0"/>
        <v>2</v>
      </c>
      <c r="N14" s="21" t="s">
        <v>81</v>
      </c>
      <c r="O14" s="22">
        <f>SUM(L32:L35)</f>
        <v>31</v>
      </c>
    </row>
    <row r="15" spans="1:15" ht="15.75" thickBot="1" x14ac:dyDescent="0.3">
      <c r="A15" s="9" t="s">
        <v>20</v>
      </c>
      <c r="B15" s="33">
        <v>0</v>
      </c>
      <c r="C15" s="1">
        <v>1</v>
      </c>
      <c r="D15" s="33">
        <v>0</v>
      </c>
      <c r="E15" s="33">
        <v>0</v>
      </c>
      <c r="F15" s="1">
        <v>0</v>
      </c>
      <c r="G15" s="1">
        <v>0</v>
      </c>
      <c r="H15" s="34">
        <v>0</v>
      </c>
      <c r="I15" s="1">
        <v>0</v>
      </c>
      <c r="J15" s="35">
        <v>0</v>
      </c>
      <c r="K15" s="35">
        <v>1</v>
      </c>
      <c r="L15" s="7">
        <f t="shared" si="1"/>
        <v>1</v>
      </c>
      <c r="M15" s="8">
        <f t="shared" si="0"/>
        <v>2</v>
      </c>
      <c r="N15" s="21" t="s">
        <v>82</v>
      </c>
      <c r="O15" s="22">
        <f>SUM(L36:L39)</f>
        <v>17</v>
      </c>
    </row>
    <row r="16" spans="1:15" ht="15.75" thickBot="1" x14ac:dyDescent="0.3">
      <c r="A16" s="9" t="s">
        <v>21</v>
      </c>
      <c r="B16" s="33">
        <v>0</v>
      </c>
      <c r="C16" s="1">
        <v>0</v>
      </c>
      <c r="D16" s="33">
        <v>0</v>
      </c>
      <c r="E16" s="33">
        <v>0</v>
      </c>
      <c r="F16" s="1">
        <v>0</v>
      </c>
      <c r="G16" s="1">
        <v>0</v>
      </c>
      <c r="H16" s="34">
        <v>0</v>
      </c>
      <c r="I16" s="1">
        <v>0</v>
      </c>
      <c r="J16" s="35">
        <v>0</v>
      </c>
      <c r="K16" s="35">
        <v>0</v>
      </c>
      <c r="L16" s="7">
        <f t="shared" si="1"/>
        <v>0</v>
      </c>
      <c r="M16" s="8">
        <f t="shared" si="0"/>
        <v>0</v>
      </c>
      <c r="N16" s="21" t="s">
        <v>83</v>
      </c>
      <c r="O16" s="22">
        <f>SUM(L40:L43)</f>
        <v>24</v>
      </c>
    </row>
    <row r="17" spans="1:15" ht="15.75" thickBot="1" x14ac:dyDescent="0.3">
      <c r="A17" s="9" t="s">
        <v>22</v>
      </c>
      <c r="B17" s="33">
        <v>1</v>
      </c>
      <c r="C17" s="1">
        <v>0</v>
      </c>
      <c r="D17" s="33">
        <v>0</v>
      </c>
      <c r="E17" s="33">
        <v>0</v>
      </c>
      <c r="F17" s="1">
        <v>0</v>
      </c>
      <c r="G17" s="1">
        <v>0</v>
      </c>
      <c r="H17" s="34">
        <v>0</v>
      </c>
      <c r="I17" s="1">
        <v>0</v>
      </c>
      <c r="J17" s="35">
        <v>0</v>
      </c>
      <c r="K17" s="35">
        <v>1</v>
      </c>
      <c r="L17" s="7">
        <f t="shared" si="1"/>
        <v>1</v>
      </c>
      <c r="M17" s="8">
        <f t="shared" si="0"/>
        <v>2</v>
      </c>
      <c r="N17" s="21" t="s">
        <v>84</v>
      </c>
      <c r="O17" s="22">
        <f>SUM(L44:L47)</f>
        <v>25</v>
      </c>
    </row>
    <row r="18" spans="1:15" ht="15.75" thickBot="1" x14ac:dyDescent="0.3">
      <c r="A18" s="9" t="s">
        <v>23</v>
      </c>
      <c r="B18" s="33">
        <v>2</v>
      </c>
      <c r="C18" s="1">
        <v>2</v>
      </c>
      <c r="D18" s="33">
        <v>0</v>
      </c>
      <c r="E18" s="33">
        <v>0</v>
      </c>
      <c r="F18" s="1">
        <v>0</v>
      </c>
      <c r="G18" s="1">
        <v>1</v>
      </c>
      <c r="H18" s="34">
        <v>1</v>
      </c>
      <c r="I18" s="1">
        <v>0</v>
      </c>
      <c r="J18" s="35">
        <v>0</v>
      </c>
      <c r="K18" s="35">
        <v>6</v>
      </c>
      <c r="L18" s="7">
        <f t="shared" si="1"/>
        <v>6</v>
      </c>
      <c r="M18" s="8">
        <f t="shared" si="0"/>
        <v>12</v>
      </c>
      <c r="N18" s="21" t="s">
        <v>85</v>
      </c>
      <c r="O18" s="22">
        <f>SUM(L48:L51)</f>
        <v>12</v>
      </c>
    </row>
    <row r="19" spans="1:15" ht="15.75" thickBot="1" x14ac:dyDescent="0.3">
      <c r="A19" s="9" t="s">
        <v>24</v>
      </c>
      <c r="B19" s="33">
        <v>3</v>
      </c>
      <c r="C19" s="1">
        <v>2</v>
      </c>
      <c r="D19" s="33">
        <v>1</v>
      </c>
      <c r="E19" s="33">
        <v>0</v>
      </c>
      <c r="F19" s="1">
        <v>0</v>
      </c>
      <c r="G19" s="1">
        <v>0</v>
      </c>
      <c r="H19" s="34">
        <v>0</v>
      </c>
      <c r="I19" s="1">
        <v>0</v>
      </c>
      <c r="J19" s="35">
        <v>0</v>
      </c>
      <c r="K19" s="35">
        <v>6</v>
      </c>
      <c r="L19" s="7">
        <f t="shared" si="1"/>
        <v>6</v>
      </c>
      <c r="M19" s="8">
        <f t="shared" si="0"/>
        <v>12</v>
      </c>
      <c r="N19" s="21" t="s">
        <v>86</v>
      </c>
      <c r="O19" s="22">
        <f>SUM(L52:L55)</f>
        <v>15</v>
      </c>
    </row>
    <row r="20" spans="1:15" ht="15.75" thickBot="1" x14ac:dyDescent="0.3">
      <c r="A20" s="9" t="s">
        <v>25</v>
      </c>
      <c r="B20" s="33">
        <v>3</v>
      </c>
      <c r="C20" s="1">
        <v>1</v>
      </c>
      <c r="D20" s="33">
        <v>0</v>
      </c>
      <c r="E20" s="33">
        <v>0</v>
      </c>
      <c r="F20" s="1">
        <v>0</v>
      </c>
      <c r="G20" s="1">
        <v>0</v>
      </c>
      <c r="H20" s="34">
        <v>0</v>
      </c>
      <c r="I20" s="1">
        <v>0</v>
      </c>
      <c r="J20" s="35">
        <v>0</v>
      </c>
      <c r="K20" s="35">
        <v>2</v>
      </c>
      <c r="L20" s="7">
        <f t="shared" si="1"/>
        <v>4</v>
      </c>
      <c r="M20" s="8">
        <f t="shared" si="0"/>
        <v>6</v>
      </c>
      <c r="N20" s="21" t="s">
        <v>87</v>
      </c>
      <c r="O20" s="22">
        <f>SUM(L56:L59)</f>
        <v>10</v>
      </c>
    </row>
    <row r="21" spans="1:15" ht="15.75" thickBot="1" x14ac:dyDescent="0.3">
      <c r="A21" s="9" t="s">
        <v>26</v>
      </c>
      <c r="B21" s="33">
        <v>2</v>
      </c>
      <c r="C21" s="1">
        <v>3</v>
      </c>
      <c r="D21" s="33">
        <v>0</v>
      </c>
      <c r="E21" s="33">
        <v>0</v>
      </c>
      <c r="F21" s="1">
        <v>0</v>
      </c>
      <c r="G21" s="1">
        <v>0</v>
      </c>
      <c r="H21" s="34">
        <v>0</v>
      </c>
      <c r="I21" s="1">
        <v>0</v>
      </c>
      <c r="J21" s="35">
        <v>0</v>
      </c>
      <c r="K21" s="35">
        <v>6</v>
      </c>
      <c r="L21" s="7">
        <f t="shared" si="1"/>
        <v>5</v>
      </c>
      <c r="M21" s="8">
        <f t="shared" si="0"/>
        <v>11</v>
      </c>
      <c r="N21" s="21" t="s">
        <v>88</v>
      </c>
      <c r="O21" s="22">
        <f>SUM(L60:L63)</f>
        <v>6</v>
      </c>
    </row>
    <row r="22" spans="1:15" ht="15.75" thickBot="1" x14ac:dyDescent="0.3">
      <c r="A22" s="9" t="s">
        <v>27</v>
      </c>
      <c r="B22" s="33">
        <v>2</v>
      </c>
      <c r="C22" s="1">
        <v>1</v>
      </c>
      <c r="D22" s="33">
        <v>0</v>
      </c>
      <c r="E22" s="33">
        <v>0</v>
      </c>
      <c r="F22" s="1">
        <v>0</v>
      </c>
      <c r="G22" s="1">
        <v>0</v>
      </c>
      <c r="H22" s="34">
        <v>0</v>
      </c>
      <c r="I22" s="1">
        <v>0</v>
      </c>
      <c r="J22" s="35">
        <v>0</v>
      </c>
      <c r="K22" s="35">
        <v>5</v>
      </c>
      <c r="L22" s="7">
        <f t="shared" si="1"/>
        <v>3</v>
      </c>
      <c r="M22" s="8">
        <f t="shared" si="0"/>
        <v>8</v>
      </c>
      <c r="N22" s="21" t="s">
        <v>89</v>
      </c>
      <c r="O22" s="22">
        <f>SUM(L64:L67)</f>
        <v>4</v>
      </c>
    </row>
    <row r="23" spans="1:15" ht="15.75" thickBot="1" x14ac:dyDescent="0.3">
      <c r="A23" s="9" t="s">
        <v>28</v>
      </c>
      <c r="B23" s="33">
        <v>2</v>
      </c>
      <c r="C23" s="1">
        <v>4</v>
      </c>
      <c r="D23" s="33">
        <v>0</v>
      </c>
      <c r="E23" s="33">
        <v>0</v>
      </c>
      <c r="F23" s="1">
        <v>0</v>
      </c>
      <c r="G23" s="1">
        <v>0</v>
      </c>
      <c r="H23" s="34">
        <v>0</v>
      </c>
      <c r="I23" s="1">
        <v>0</v>
      </c>
      <c r="J23" s="35">
        <v>0</v>
      </c>
      <c r="K23" s="35">
        <v>4</v>
      </c>
      <c r="L23" s="7">
        <f t="shared" si="1"/>
        <v>6</v>
      </c>
      <c r="M23" s="8">
        <f t="shared" si="0"/>
        <v>10</v>
      </c>
      <c r="N23" s="20"/>
    </row>
    <row r="24" spans="1:15" ht="15.75" thickBot="1" x14ac:dyDescent="0.3">
      <c r="A24" s="9" t="s">
        <v>29</v>
      </c>
      <c r="B24" s="33">
        <v>2</v>
      </c>
      <c r="C24" s="1">
        <v>1</v>
      </c>
      <c r="D24" s="33">
        <v>0</v>
      </c>
      <c r="E24" s="33">
        <v>0</v>
      </c>
      <c r="F24" s="1">
        <v>0</v>
      </c>
      <c r="G24" s="1">
        <v>0</v>
      </c>
      <c r="H24" s="34">
        <v>0</v>
      </c>
      <c r="I24" s="1">
        <v>0</v>
      </c>
      <c r="J24" s="35">
        <v>0</v>
      </c>
      <c r="K24" s="35">
        <v>8</v>
      </c>
      <c r="L24" s="7">
        <f t="shared" si="1"/>
        <v>3</v>
      </c>
      <c r="M24" s="8">
        <f t="shared" si="0"/>
        <v>11</v>
      </c>
      <c r="N24" s="20" t="s">
        <v>118</v>
      </c>
      <c r="O24" s="22">
        <f>AVERAGE(O9:O11)</f>
        <v>14</v>
      </c>
    </row>
    <row r="25" spans="1:15" ht="15.75" thickBot="1" x14ac:dyDescent="0.3">
      <c r="A25" s="9" t="s">
        <v>30</v>
      </c>
      <c r="B25" s="33">
        <v>1</v>
      </c>
      <c r="C25" s="1">
        <v>0</v>
      </c>
      <c r="D25" s="33">
        <v>0</v>
      </c>
      <c r="E25" s="33">
        <v>0</v>
      </c>
      <c r="F25" s="1">
        <v>0</v>
      </c>
      <c r="G25" s="1">
        <v>0</v>
      </c>
      <c r="H25" s="34">
        <v>0</v>
      </c>
      <c r="I25" s="1">
        <v>0</v>
      </c>
      <c r="J25" s="35">
        <v>0</v>
      </c>
      <c r="K25" s="35">
        <v>6</v>
      </c>
      <c r="L25" s="7">
        <f t="shared" si="1"/>
        <v>1</v>
      </c>
      <c r="M25" s="8">
        <f t="shared" si="0"/>
        <v>7</v>
      </c>
      <c r="N25" s="20" t="s">
        <v>119</v>
      </c>
      <c r="O25" s="22">
        <f>AVERAGE(O18:O20)</f>
        <v>12.333333333333334</v>
      </c>
    </row>
    <row r="26" spans="1:15" ht="15.75" thickBot="1" x14ac:dyDescent="0.3">
      <c r="A26" s="9" t="s">
        <v>31</v>
      </c>
      <c r="B26" s="33">
        <v>1</v>
      </c>
      <c r="C26" s="1">
        <v>0</v>
      </c>
      <c r="D26" s="33">
        <v>0</v>
      </c>
      <c r="E26" s="33">
        <v>0</v>
      </c>
      <c r="F26" s="1">
        <v>0</v>
      </c>
      <c r="G26" s="1">
        <v>0</v>
      </c>
      <c r="H26" s="34">
        <v>0</v>
      </c>
      <c r="I26" s="1">
        <v>0</v>
      </c>
      <c r="J26" s="35">
        <v>0</v>
      </c>
      <c r="K26" s="35">
        <v>6</v>
      </c>
      <c r="L26" s="7">
        <f t="shared" si="1"/>
        <v>1</v>
      </c>
      <c r="M26" s="8">
        <f t="shared" si="0"/>
        <v>7</v>
      </c>
      <c r="N26" s="20"/>
    </row>
    <row r="27" spans="1:15" ht="15.75" thickBot="1" x14ac:dyDescent="0.3">
      <c r="A27" s="9" t="s">
        <v>32</v>
      </c>
      <c r="B27" s="33">
        <v>5</v>
      </c>
      <c r="C27" s="1">
        <v>2</v>
      </c>
      <c r="D27" s="33">
        <v>0</v>
      </c>
      <c r="E27" s="33">
        <v>0</v>
      </c>
      <c r="F27" s="1">
        <v>0</v>
      </c>
      <c r="G27" s="1">
        <v>0</v>
      </c>
      <c r="H27" s="34">
        <v>0</v>
      </c>
      <c r="I27" s="1">
        <v>0</v>
      </c>
      <c r="J27" s="35">
        <v>0</v>
      </c>
      <c r="K27" s="35">
        <v>6</v>
      </c>
      <c r="L27" s="7">
        <f t="shared" si="1"/>
        <v>7</v>
      </c>
      <c r="M27" s="8">
        <f t="shared" si="0"/>
        <v>13</v>
      </c>
      <c r="N27" s="20"/>
    </row>
    <row r="28" spans="1:15" ht="15.75" thickBot="1" x14ac:dyDescent="0.3">
      <c r="A28" s="9" t="s">
        <v>33</v>
      </c>
      <c r="B28" s="33">
        <v>7</v>
      </c>
      <c r="C28" s="1">
        <v>7</v>
      </c>
      <c r="D28" s="33">
        <v>0</v>
      </c>
      <c r="E28" s="33">
        <v>0</v>
      </c>
      <c r="F28" s="1">
        <v>0</v>
      </c>
      <c r="G28" s="1">
        <v>0</v>
      </c>
      <c r="H28" s="34">
        <v>0</v>
      </c>
      <c r="I28" s="1">
        <v>0</v>
      </c>
      <c r="J28" s="35">
        <v>0</v>
      </c>
      <c r="K28" s="35">
        <v>2</v>
      </c>
      <c r="L28" s="7">
        <f t="shared" si="1"/>
        <v>14</v>
      </c>
      <c r="M28" s="8">
        <f t="shared" si="0"/>
        <v>16</v>
      </c>
      <c r="N28" s="20"/>
    </row>
    <row r="29" spans="1:15" ht="15.75" thickBot="1" x14ac:dyDescent="0.3">
      <c r="A29" s="9" t="s">
        <v>34</v>
      </c>
      <c r="B29" s="33">
        <v>2</v>
      </c>
      <c r="C29" s="1">
        <v>3</v>
      </c>
      <c r="D29" s="33">
        <v>0</v>
      </c>
      <c r="E29" s="33">
        <v>0</v>
      </c>
      <c r="F29" s="1">
        <v>0</v>
      </c>
      <c r="G29" s="1">
        <v>0</v>
      </c>
      <c r="H29" s="34">
        <v>0</v>
      </c>
      <c r="I29" s="1">
        <v>0</v>
      </c>
      <c r="J29" s="35">
        <v>0</v>
      </c>
      <c r="K29" s="35">
        <v>7</v>
      </c>
      <c r="L29" s="7">
        <f t="shared" si="1"/>
        <v>5</v>
      </c>
      <c r="M29" s="8">
        <f t="shared" si="0"/>
        <v>12</v>
      </c>
      <c r="N29" s="20"/>
    </row>
    <row r="30" spans="1:15" ht="15.75" thickBot="1" x14ac:dyDescent="0.3">
      <c r="A30" s="9" t="s">
        <v>35</v>
      </c>
      <c r="B30" s="33">
        <v>2</v>
      </c>
      <c r="C30" s="1">
        <v>2</v>
      </c>
      <c r="D30" s="33">
        <v>0</v>
      </c>
      <c r="E30" s="33">
        <v>0</v>
      </c>
      <c r="F30" s="1">
        <v>0</v>
      </c>
      <c r="G30" s="1">
        <v>1</v>
      </c>
      <c r="H30" s="34">
        <v>0</v>
      </c>
      <c r="I30" s="1">
        <v>0</v>
      </c>
      <c r="J30" s="35">
        <v>0</v>
      </c>
      <c r="K30" s="35">
        <v>6</v>
      </c>
      <c r="L30" s="7">
        <f t="shared" si="1"/>
        <v>5</v>
      </c>
      <c r="M30" s="8">
        <f t="shared" si="0"/>
        <v>11</v>
      </c>
      <c r="N30" s="20"/>
    </row>
    <row r="31" spans="1:15" ht="15.75" thickBot="1" x14ac:dyDescent="0.3">
      <c r="A31" s="9" t="s">
        <v>36</v>
      </c>
      <c r="B31" s="33">
        <v>0</v>
      </c>
      <c r="C31" s="1">
        <v>3</v>
      </c>
      <c r="D31" s="33">
        <v>0</v>
      </c>
      <c r="E31" s="33">
        <v>0</v>
      </c>
      <c r="F31" s="1">
        <v>0</v>
      </c>
      <c r="G31" s="1">
        <v>0</v>
      </c>
      <c r="H31" s="34">
        <v>0</v>
      </c>
      <c r="I31" s="1">
        <v>0</v>
      </c>
      <c r="J31" s="35">
        <v>0</v>
      </c>
      <c r="K31" s="35">
        <v>2</v>
      </c>
      <c r="L31" s="7">
        <f t="shared" si="1"/>
        <v>3</v>
      </c>
      <c r="M31" s="8">
        <f t="shared" si="0"/>
        <v>5</v>
      </c>
      <c r="N31" s="20"/>
    </row>
    <row r="32" spans="1:15" ht="15.75" thickBot="1" x14ac:dyDescent="0.3">
      <c r="A32" s="9" t="s">
        <v>37</v>
      </c>
      <c r="B32" s="33">
        <v>2</v>
      </c>
      <c r="C32" s="1">
        <v>2</v>
      </c>
      <c r="D32" s="33">
        <v>0</v>
      </c>
      <c r="E32" s="33">
        <v>0</v>
      </c>
      <c r="F32" s="1">
        <v>0</v>
      </c>
      <c r="G32" s="1">
        <v>0</v>
      </c>
      <c r="H32" s="34">
        <v>0</v>
      </c>
      <c r="I32" s="1">
        <v>0</v>
      </c>
      <c r="J32" s="35">
        <v>0</v>
      </c>
      <c r="K32" s="35">
        <v>0</v>
      </c>
      <c r="L32" s="7">
        <f t="shared" si="1"/>
        <v>4</v>
      </c>
      <c r="M32" s="8">
        <f t="shared" si="0"/>
        <v>4</v>
      </c>
      <c r="N32" s="20"/>
    </row>
    <row r="33" spans="1:14" ht="15.75" thickBot="1" x14ac:dyDescent="0.3">
      <c r="A33" s="9" t="s">
        <v>38</v>
      </c>
      <c r="B33" s="33">
        <v>2</v>
      </c>
      <c r="C33" s="1">
        <v>5</v>
      </c>
      <c r="D33" s="33">
        <v>0</v>
      </c>
      <c r="E33" s="33">
        <v>0</v>
      </c>
      <c r="F33" s="1">
        <v>0</v>
      </c>
      <c r="G33" s="1">
        <v>0</v>
      </c>
      <c r="H33" s="34">
        <v>0</v>
      </c>
      <c r="I33" s="1">
        <v>0</v>
      </c>
      <c r="J33" s="35">
        <v>0</v>
      </c>
      <c r="K33" s="35">
        <v>3</v>
      </c>
      <c r="L33" s="7">
        <f t="shared" si="1"/>
        <v>7</v>
      </c>
      <c r="M33" s="8">
        <f t="shared" si="0"/>
        <v>10</v>
      </c>
      <c r="N33" s="20"/>
    </row>
    <row r="34" spans="1:14" ht="15.75" thickBot="1" x14ac:dyDescent="0.3">
      <c r="A34" s="9" t="s">
        <v>39</v>
      </c>
      <c r="B34" s="33">
        <v>3</v>
      </c>
      <c r="C34" s="1">
        <v>3</v>
      </c>
      <c r="D34" s="33">
        <v>0</v>
      </c>
      <c r="E34" s="33">
        <v>0</v>
      </c>
      <c r="F34" s="1">
        <v>0</v>
      </c>
      <c r="G34" s="1">
        <v>0</v>
      </c>
      <c r="H34" s="34">
        <v>0</v>
      </c>
      <c r="I34" s="1">
        <v>0</v>
      </c>
      <c r="J34" s="35">
        <v>0</v>
      </c>
      <c r="K34" s="35">
        <v>7</v>
      </c>
      <c r="L34" s="7">
        <f t="shared" si="1"/>
        <v>6</v>
      </c>
      <c r="M34" s="8">
        <f t="shared" si="0"/>
        <v>13</v>
      </c>
      <c r="N34" s="20"/>
    </row>
    <row r="35" spans="1:14" ht="15.75" thickBot="1" x14ac:dyDescent="0.3">
      <c r="A35" s="9" t="s">
        <v>40</v>
      </c>
      <c r="B35" s="33">
        <v>6</v>
      </c>
      <c r="C35" s="1">
        <v>8</v>
      </c>
      <c r="D35" s="33">
        <v>0</v>
      </c>
      <c r="E35" s="33">
        <v>0</v>
      </c>
      <c r="F35" s="1">
        <v>0</v>
      </c>
      <c r="G35" s="1">
        <v>0</v>
      </c>
      <c r="H35" s="34">
        <v>0</v>
      </c>
      <c r="I35" s="1">
        <v>0</v>
      </c>
      <c r="J35" s="35">
        <v>0</v>
      </c>
      <c r="K35" s="35">
        <v>6</v>
      </c>
      <c r="L35" s="7">
        <f t="shared" si="1"/>
        <v>14</v>
      </c>
      <c r="M35" s="8">
        <f t="shared" si="0"/>
        <v>20</v>
      </c>
      <c r="N35" s="20"/>
    </row>
    <row r="36" spans="1:14" ht="15.75" thickBot="1" x14ac:dyDescent="0.3">
      <c r="A36" s="9" t="s">
        <v>41</v>
      </c>
      <c r="B36" s="33">
        <v>6</v>
      </c>
      <c r="C36" s="1">
        <v>0</v>
      </c>
      <c r="D36" s="33">
        <v>0</v>
      </c>
      <c r="E36" s="33">
        <v>0</v>
      </c>
      <c r="F36" s="1">
        <v>0</v>
      </c>
      <c r="G36" s="1">
        <v>0</v>
      </c>
      <c r="H36" s="34">
        <v>0</v>
      </c>
      <c r="I36" s="1">
        <v>0</v>
      </c>
      <c r="J36" s="35">
        <v>0</v>
      </c>
      <c r="K36" s="35">
        <v>8</v>
      </c>
      <c r="L36" s="7">
        <f t="shared" si="1"/>
        <v>6</v>
      </c>
      <c r="M36" s="8">
        <f t="shared" si="0"/>
        <v>14</v>
      </c>
      <c r="N36" s="20"/>
    </row>
    <row r="37" spans="1:14" ht="15.75" thickBot="1" x14ac:dyDescent="0.3">
      <c r="A37" s="9" t="s">
        <v>42</v>
      </c>
      <c r="B37" s="33">
        <v>0</v>
      </c>
      <c r="C37" s="1">
        <v>0</v>
      </c>
      <c r="D37" s="33">
        <v>0</v>
      </c>
      <c r="E37" s="33">
        <v>0</v>
      </c>
      <c r="F37" s="1">
        <v>0</v>
      </c>
      <c r="G37" s="1">
        <v>0</v>
      </c>
      <c r="H37" s="34">
        <v>0</v>
      </c>
      <c r="I37" s="1">
        <v>0</v>
      </c>
      <c r="J37" s="35">
        <v>0</v>
      </c>
      <c r="K37" s="35">
        <v>0</v>
      </c>
      <c r="L37" s="7">
        <f t="shared" si="1"/>
        <v>0</v>
      </c>
      <c r="M37" s="8">
        <f t="shared" si="0"/>
        <v>0</v>
      </c>
      <c r="N37" s="20"/>
    </row>
    <row r="38" spans="1:14" ht="15.75" thickBot="1" x14ac:dyDescent="0.3">
      <c r="A38" s="9" t="s">
        <v>43</v>
      </c>
      <c r="B38" s="33">
        <v>5</v>
      </c>
      <c r="C38" s="1">
        <v>2</v>
      </c>
      <c r="D38" s="33">
        <v>0</v>
      </c>
      <c r="E38" s="33">
        <v>0</v>
      </c>
      <c r="F38" s="1">
        <v>0</v>
      </c>
      <c r="G38" s="1">
        <v>0</v>
      </c>
      <c r="H38" s="34">
        <v>0</v>
      </c>
      <c r="I38" s="1">
        <v>0</v>
      </c>
      <c r="J38" s="35">
        <v>0</v>
      </c>
      <c r="K38" s="35">
        <v>9</v>
      </c>
      <c r="L38" s="7">
        <f t="shared" si="1"/>
        <v>7</v>
      </c>
      <c r="M38" s="8">
        <f t="shared" si="0"/>
        <v>16</v>
      </c>
      <c r="N38" s="20"/>
    </row>
    <row r="39" spans="1:14" ht="15.75" thickBot="1" x14ac:dyDescent="0.3">
      <c r="A39" s="9" t="s">
        <v>44</v>
      </c>
      <c r="B39" s="33">
        <v>4</v>
      </c>
      <c r="C39" s="1">
        <v>0</v>
      </c>
      <c r="D39" s="33">
        <v>0</v>
      </c>
      <c r="E39" s="33">
        <v>0</v>
      </c>
      <c r="F39" s="1">
        <v>0</v>
      </c>
      <c r="G39" s="1">
        <v>0</v>
      </c>
      <c r="H39" s="34">
        <v>0</v>
      </c>
      <c r="I39" s="1">
        <v>0</v>
      </c>
      <c r="J39" s="35">
        <v>0</v>
      </c>
      <c r="K39" s="35">
        <v>7</v>
      </c>
      <c r="L39" s="7">
        <f t="shared" si="1"/>
        <v>4</v>
      </c>
      <c r="M39" s="8">
        <f t="shared" si="0"/>
        <v>11</v>
      </c>
      <c r="N39" s="20"/>
    </row>
    <row r="40" spans="1:14" ht="15.75" thickBot="1" x14ac:dyDescent="0.3">
      <c r="A40" s="9" t="s">
        <v>45</v>
      </c>
      <c r="B40" s="33">
        <v>1</v>
      </c>
      <c r="C40" s="1">
        <v>0</v>
      </c>
      <c r="D40" s="33">
        <v>0</v>
      </c>
      <c r="E40" s="33">
        <v>0</v>
      </c>
      <c r="F40" s="1">
        <v>0</v>
      </c>
      <c r="G40" s="1">
        <v>0</v>
      </c>
      <c r="H40" s="34">
        <v>0</v>
      </c>
      <c r="I40" s="1">
        <v>0</v>
      </c>
      <c r="J40" s="35">
        <v>0</v>
      </c>
      <c r="K40" s="35">
        <v>3</v>
      </c>
      <c r="L40" s="7">
        <f t="shared" si="1"/>
        <v>1</v>
      </c>
      <c r="M40" s="8">
        <f t="shared" si="0"/>
        <v>4</v>
      </c>
      <c r="N40" s="20"/>
    </row>
    <row r="41" spans="1:14" ht="15.75" thickBot="1" x14ac:dyDescent="0.3">
      <c r="A41" s="9" t="s">
        <v>46</v>
      </c>
      <c r="B41" s="33">
        <v>3</v>
      </c>
      <c r="C41" s="1">
        <v>0</v>
      </c>
      <c r="D41" s="33">
        <v>0</v>
      </c>
      <c r="E41" s="33">
        <v>0</v>
      </c>
      <c r="F41" s="1">
        <v>0</v>
      </c>
      <c r="G41" s="1">
        <v>1</v>
      </c>
      <c r="H41" s="34">
        <v>0</v>
      </c>
      <c r="I41" s="1">
        <v>0</v>
      </c>
      <c r="J41" s="35">
        <v>0</v>
      </c>
      <c r="K41" s="35">
        <v>6</v>
      </c>
      <c r="L41" s="7">
        <f t="shared" si="1"/>
        <v>4</v>
      </c>
      <c r="M41" s="8">
        <f t="shared" si="0"/>
        <v>10</v>
      </c>
      <c r="N41" s="20"/>
    </row>
    <row r="42" spans="1:14" ht="15.75" thickBot="1" x14ac:dyDescent="0.3">
      <c r="A42" s="9" t="s">
        <v>47</v>
      </c>
      <c r="B42" s="33">
        <v>3</v>
      </c>
      <c r="C42" s="1">
        <v>0</v>
      </c>
      <c r="D42" s="33">
        <v>0</v>
      </c>
      <c r="E42" s="33">
        <v>0</v>
      </c>
      <c r="F42" s="1">
        <v>0</v>
      </c>
      <c r="G42" s="1">
        <v>0</v>
      </c>
      <c r="H42" s="34">
        <v>0</v>
      </c>
      <c r="I42" s="1">
        <v>0</v>
      </c>
      <c r="J42" s="35">
        <v>0</v>
      </c>
      <c r="K42" s="35">
        <v>3</v>
      </c>
      <c r="L42" s="7">
        <f t="shared" si="1"/>
        <v>3</v>
      </c>
      <c r="M42" s="8">
        <f t="shared" si="0"/>
        <v>6</v>
      </c>
      <c r="N42" s="20"/>
    </row>
    <row r="43" spans="1:14" ht="15.75" thickBot="1" x14ac:dyDescent="0.3">
      <c r="A43" s="9" t="s">
        <v>48</v>
      </c>
      <c r="B43" s="33">
        <v>10</v>
      </c>
      <c r="C43" s="1">
        <v>6</v>
      </c>
      <c r="D43" s="33">
        <v>0</v>
      </c>
      <c r="E43" s="33">
        <v>0</v>
      </c>
      <c r="F43" s="1">
        <v>0</v>
      </c>
      <c r="G43" s="1">
        <v>0</v>
      </c>
      <c r="H43" s="34">
        <v>0</v>
      </c>
      <c r="I43" s="1">
        <v>0</v>
      </c>
      <c r="J43" s="35">
        <v>0</v>
      </c>
      <c r="K43" s="35">
        <v>8</v>
      </c>
      <c r="L43" s="7">
        <f t="shared" si="1"/>
        <v>16</v>
      </c>
      <c r="M43" s="8">
        <f t="shared" si="0"/>
        <v>24</v>
      </c>
      <c r="N43" s="20"/>
    </row>
    <row r="44" spans="1:14" ht="15.75" thickBot="1" x14ac:dyDescent="0.3">
      <c r="A44" s="9" t="s">
        <v>49</v>
      </c>
      <c r="B44" s="33">
        <v>0</v>
      </c>
      <c r="C44" s="1">
        <v>2</v>
      </c>
      <c r="D44" s="33">
        <v>0</v>
      </c>
      <c r="E44" s="33">
        <v>0</v>
      </c>
      <c r="F44" s="1">
        <v>0</v>
      </c>
      <c r="G44" s="1">
        <v>0</v>
      </c>
      <c r="H44" s="34">
        <v>0</v>
      </c>
      <c r="I44" s="1">
        <v>0</v>
      </c>
      <c r="J44" s="35">
        <v>0</v>
      </c>
      <c r="K44" s="35">
        <v>6</v>
      </c>
      <c r="L44" s="7">
        <f t="shared" si="1"/>
        <v>2</v>
      </c>
      <c r="M44" s="8">
        <f t="shared" si="0"/>
        <v>8</v>
      </c>
      <c r="N44" s="20"/>
    </row>
    <row r="45" spans="1:14" ht="15.75" thickBot="1" x14ac:dyDescent="0.3">
      <c r="A45" s="9" t="s">
        <v>50</v>
      </c>
      <c r="B45" s="33">
        <v>6</v>
      </c>
      <c r="C45" s="1">
        <v>3</v>
      </c>
      <c r="D45" s="33">
        <v>0</v>
      </c>
      <c r="E45" s="33">
        <v>0</v>
      </c>
      <c r="F45" s="1">
        <v>0</v>
      </c>
      <c r="G45" s="1">
        <v>1</v>
      </c>
      <c r="H45" s="34">
        <v>0</v>
      </c>
      <c r="I45" s="1">
        <v>0</v>
      </c>
      <c r="J45" s="35">
        <v>0</v>
      </c>
      <c r="K45" s="35">
        <v>3</v>
      </c>
      <c r="L45" s="7">
        <f t="shared" si="1"/>
        <v>10</v>
      </c>
      <c r="M45" s="8">
        <f t="shared" si="0"/>
        <v>13</v>
      </c>
      <c r="N45" s="20"/>
    </row>
    <row r="46" spans="1:14" ht="15.75" thickBot="1" x14ac:dyDescent="0.3">
      <c r="A46" s="9" t="s">
        <v>51</v>
      </c>
      <c r="B46" s="33">
        <v>6</v>
      </c>
      <c r="C46" s="1">
        <v>2</v>
      </c>
      <c r="D46" s="33">
        <v>0</v>
      </c>
      <c r="E46" s="33">
        <v>0</v>
      </c>
      <c r="F46" s="1">
        <v>0</v>
      </c>
      <c r="G46" s="1">
        <v>0</v>
      </c>
      <c r="H46" s="34">
        <v>0</v>
      </c>
      <c r="I46" s="1">
        <v>0</v>
      </c>
      <c r="J46" s="35">
        <v>0</v>
      </c>
      <c r="K46" s="35">
        <v>3</v>
      </c>
      <c r="L46" s="7">
        <f t="shared" si="1"/>
        <v>8</v>
      </c>
      <c r="M46" s="8">
        <f t="shared" si="0"/>
        <v>11</v>
      </c>
      <c r="N46" s="20"/>
    </row>
    <row r="47" spans="1:14" ht="15.75" thickBot="1" x14ac:dyDescent="0.3">
      <c r="A47" s="9" t="s">
        <v>52</v>
      </c>
      <c r="B47" s="33">
        <v>4</v>
      </c>
      <c r="C47" s="1">
        <v>1</v>
      </c>
      <c r="D47" s="33">
        <v>0</v>
      </c>
      <c r="E47" s="33">
        <v>0</v>
      </c>
      <c r="F47" s="1">
        <v>0</v>
      </c>
      <c r="G47" s="1">
        <v>0</v>
      </c>
      <c r="H47" s="34">
        <v>0</v>
      </c>
      <c r="I47" s="1">
        <v>0</v>
      </c>
      <c r="J47" s="35">
        <v>0</v>
      </c>
      <c r="K47" s="35">
        <v>2</v>
      </c>
      <c r="L47" s="7">
        <f t="shared" si="1"/>
        <v>5</v>
      </c>
      <c r="M47" s="8">
        <f t="shared" si="0"/>
        <v>7</v>
      </c>
      <c r="N47" s="20"/>
    </row>
    <row r="48" spans="1:14" ht="15.75" thickBot="1" x14ac:dyDescent="0.3">
      <c r="A48" s="9" t="s">
        <v>53</v>
      </c>
      <c r="B48" s="33">
        <v>3</v>
      </c>
      <c r="C48" s="1">
        <v>0</v>
      </c>
      <c r="D48" s="33">
        <v>0</v>
      </c>
      <c r="E48" s="33">
        <v>0</v>
      </c>
      <c r="F48" s="1">
        <v>0</v>
      </c>
      <c r="G48" s="1">
        <v>0</v>
      </c>
      <c r="H48" s="34">
        <v>1</v>
      </c>
      <c r="I48" s="1">
        <v>0</v>
      </c>
      <c r="J48" s="35">
        <v>0</v>
      </c>
      <c r="K48" s="35">
        <v>6</v>
      </c>
      <c r="L48" s="7">
        <f t="shared" si="1"/>
        <v>4</v>
      </c>
      <c r="M48" s="8">
        <f t="shared" si="0"/>
        <v>10</v>
      </c>
      <c r="N48" s="20"/>
    </row>
    <row r="49" spans="1:14" ht="15.75" thickBot="1" x14ac:dyDescent="0.3">
      <c r="A49" s="9" t="s">
        <v>54</v>
      </c>
      <c r="B49" s="33">
        <v>3</v>
      </c>
      <c r="C49" s="1">
        <v>2</v>
      </c>
      <c r="D49" s="33">
        <v>0</v>
      </c>
      <c r="E49" s="33">
        <v>0</v>
      </c>
      <c r="F49" s="1">
        <v>0</v>
      </c>
      <c r="G49" s="1">
        <v>0</v>
      </c>
      <c r="H49" s="34">
        <v>0</v>
      </c>
      <c r="I49" s="1">
        <v>0</v>
      </c>
      <c r="J49" s="35">
        <v>0</v>
      </c>
      <c r="K49" s="35">
        <v>3</v>
      </c>
      <c r="L49" s="7">
        <f t="shared" si="1"/>
        <v>5</v>
      </c>
      <c r="M49" s="8">
        <f t="shared" si="0"/>
        <v>8</v>
      </c>
      <c r="N49" s="20"/>
    </row>
    <row r="50" spans="1:14" ht="15.75" thickBot="1" x14ac:dyDescent="0.3">
      <c r="A50" s="9" t="s">
        <v>55</v>
      </c>
      <c r="B50" s="33">
        <v>0</v>
      </c>
      <c r="C50" s="1">
        <v>0</v>
      </c>
      <c r="D50" s="33">
        <v>1</v>
      </c>
      <c r="E50" s="33">
        <v>0</v>
      </c>
      <c r="F50" s="1">
        <v>0</v>
      </c>
      <c r="G50" s="1">
        <v>0</v>
      </c>
      <c r="H50" s="34">
        <v>0</v>
      </c>
      <c r="I50" s="1">
        <v>0</v>
      </c>
      <c r="J50" s="35">
        <v>0</v>
      </c>
      <c r="K50" s="35">
        <v>8</v>
      </c>
      <c r="L50" s="7">
        <f t="shared" si="1"/>
        <v>1</v>
      </c>
      <c r="M50" s="8">
        <f t="shared" si="0"/>
        <v>9</v>
      </c>
      <c r="N50" s="20"/>
    </row>
    <row r="51" spans="1:14" ht="15.75" thickBot="1" x14ac:dyDescent="0.3">
      <c r="A51" s="9" t="s">
        <v>56</v>
      </c>
      <c r="B51" s="33">
        <v>0</v>
      </c>
      <c r="C51" s="1">
        <v>2</v>
      </c>
      <c r="D51" s="33">
        <v>0</v>
      </c>
      <c r="E51" s="33">
        <v>0</v>
      </c>
      <c r="F51" s="1">
        <v>0</v>
      </c>
      <c r="G51" s="1">
        <v>0</v>
      </c>
      <c r="H51" s="34">
        <v>0</v>
      </c>
      <c r="I51" s="1">
        <v>0</v>
      </c>
      <c r="J51" s="35">
        <v>0</v>
      </c>
      <c r="K51" s="35">
        <v>1</v>
      </c>
      <c r="L51" s="7">
        <f t="shared" si="1"/>
        <v>2</v>
      </c>
      <c r="M51" s="8">
        <f t="shared" si="0"/>
        <v>3</v>
      </c>
      <c r="N51" s="20"/>
    </row>
    <row r="52" spans="1:14" ht="15.75" thickBot="1" x14ac:dyDescent="0.3">
      <c r="A52" s="9" t="s">
        <v>57</v>
      </c>
      <c r="B52" s="33">
        <v>2</v>
      </c>
      <c r="C52" s="1">
        <v>2</v>
      </c>
      <c r="D52" s="33">
        <v>0</v>
      </c>
      <c r="E52" s="33">
        <v>0</v>
      </c>
      <c r="F52" s="1">
        <v>0</v>
      </c>
      <c r="G52" s="1">
        <v>0</v>
      </c>
      <c r="H52" s="34">
        <v>0</v>
      </c>
      <c r="I52" s="1">
        <v>0</v>
      </c>
      <c r="J52" s="35">
        <v>0</v>
      </c>
      <c r="K52" s="35">
        <v>2</v>
      </c>
      <c r="L52" s="7">
        <f t="shared" si="1"/>
        <v>4</v>
      </c>
      <c r="M52" s="8">
        <f t="shared" si="0"/>
        <v>6</v>
      </c>
      <c r="N52" s="20"/>
    </row>
    <row r="53" spans="1:14" ht="15.75" thickBot="1" x14ac:dyDescent="0.3">
      <c r="A53" s="9" t="s">
        <v>58</v>
      </c>
      <c r="B53" s="33">
        <v>2</v>
      </c>
      <c r="C53" s="1">
        <v>0</v>
      </c>
      <c r="D53" s="33">
        <v>0</v>
      </c>
      <c r="E53" s="33">
        <v>0</v>
      </c>
      <c r="F53" s="1">
        <v>0</v>
      </c>
      <c r="G53" s="1">
        <v>0</v>
      </c>
      <c r="H53" s="34">
        <v>0</v>
      </c>
      <c r="I53" s="1">
        <v>0</v>
      </c>
      <c r="J53" s="35">
        <v>0</v>
      </c>
      <c r="K53" s="35">
        <v>0</v>
      </c>
      <c r="L53" s="7">
        <f t="shared" si="1"/>
        <v>2</v>
      </c>
      <c r="M53" s="8">
        <f t="shared" si="0"/>
        <v>2</v>
      </c>
      <c r="N53" s="20"/>
    </row>
    <row r="54" spans="1:14" ht="15.75" thickBot="1" x14ac:dyDescent="0.3">
      <c r="A54" s="9" t="s">
        <v>59</v>
      </c>
      <c r="B54" s="33">
        <v>5</v>
      </c>
      <c r="C54" s="1">
        <v>0</v>
      </c>
      <c r="D54" s="33">
        <v>0</v>
      </c>
      <c r="E54" s="33">
        <v>0</v>
      </c>
      <c r="F54" s="1">
        <v>0</v>
      </c>
      <c r="G54" s="1">
        <v>0</v>
      </c>
      <c r="H54" s="34">
        <v>0</v>
      </c>
      <c r="I54" s="1">
        <v>0</v>
      </c>
      <c r="J54" s="35">
        <v>0</v>
      </c>
      <c r="K54" s="35">
        <v>1</v>
      </c>
      <c r="L54" s="7">
        <f t="shared" si="1"/>
        <v>5</v>
      </c>
      <c r="M54" s="8">
        <f t="shared" si="0"/>
        <v>6</v>
      </c>
      <c r="N54" s="20"/>
    </row>
    <row r="55" spans="1:14" ht="15.75" thickBot="1" x14ac:dyDescent="0.3">
      <c r="A55" s="9" t="s">
        <v>60</v>
      </c>
      <c r="B55" s="33">
        <v>1</v>
      </c>
      <c r="C55" s="1">
        <v>2</v>
      </c>
      <c r="D55" s="33">
        <v>1</v>
      </c>
      <c r="E55" s="33">
        <v>0</v>
      </c>
      <c r="F55" s="1">
        <v>0</v>
      </c>
      <c r="G55" s="1">
        <v>0</v>
      </c>
      <c r="H55" s="34">
        <v>0</v>
      </c>
      <c r="I55" s="1">
        <v>0</v>
      </c>
      <c r="J55" s="35">
        <v>0</v>
      </c>
      <c r="K55" s="35">
        <v>2</v>
      </c>
      <c r="L55" s="7">
        <f t="shared" si="1"/>
        <v>4</v>
      </c>
      <c r="M55" s="8">
        <f t="shared" si="0"/>
        <v>6</v>
      </c>
      <c r="N55" s="20"/>
    </row>
    <row r="56" spans="1:14" ht="15.75" thickBot="1" x14ac:dyDescent="0.3">
      <c r="A56" s="9" t="s">
        <v>61</v>
      </c>
      <c r="B56" s="33">
        <v>0</v>
      </c>
      <c r="C56" s="1">
        <v>0</v>
      </c>
      <c r="D56" s="33">
        <v>0</v>
      </c>
      <c r="E56" s="33">
        <v>0</v>
      </c>
      <c r="F56" s="1">
        <v>0</v>
      </c>
      <c r="G56" s="1">
        <v>0</v>
      </c>
      <c r="H56" s="34">
        <v>0</v>
      </c>
      <c r="I56" s="1">
        <v>0</v>
      </c>
      <c r="J56" s="35">
        <v>0</v>
      </c>
      <c r="K56" s="35">
        <v>3</v>
      </c>
      <c r="L56" s="7">
        <f t="shared" si="1"/>
        <v>0</v>
      </c>
      <c r="M56" s="8">
        <f t="shared" si="0"/>
        <v>3</v>
      </c>
      <c r="N56" s="20"/>
    </row>
    <row r="57" spans="1:14" ht="15.75" thickBot="1" x14ac:dyDescent="0.3">
      <c r="A57" s="9" t="s">
        <v>62</v>
      </c>
      <c r="B57" s="33">
        <v>0</v>
      </c>
      <c r="C57" s="1">
        <v>1</v>
      </c>
      <c r="D57" s="33">
        <v>0</v>
      </c>
      <c r="E57" s="33">
        <v>0</v>
      </c>
      <c r="F57" s="1">
        <v>0</v>
      </c>
      <c r="G57" s="1">
        <v>0</v>
      </c>
      <c r="H57" s="34">
        <v>0</v>
      </c>
      <c r="I57" s="1">
        <v>0</v>
      </c>
      <c r="J57" s="35">
        <v>0</v>
      </c>
      <c r="K57" s="35">
        <v>5</v>
      </c>
      <c r="L57" s="7">
        <f t="shared" si="1"/>
        <v>1</v>
      </c>
      <c r="M57" s="8">
        <f t="shared" si="0"/>
        <v>6</v>
      </c>
      <c r="N57" s="20"/>
    </row>
    <row r="58" spans="1:14" ht="15.75" thickBot="1" x14ac:dyDescent="0.3">
      <c r="A58" s="9" t="s">
        <v>63</v>
      </c>
      <c r="B58" s="33">
        <v>2</v>
      </c>
      <c r="C58" s="1">
        <v>3</v>
      </c>
      <c r="D58" s="33">
        <v>0</v>
      </c>
      <c r="E58" s="33">
        <v>0</v>
      </c>
      <c r="F58" s="1">
        <v>0</v>
      </c>
      <c r="G58" s="1">
        <v>0</v>
      </c>
      <c r="H58" s="34">
        <v>0</v>
      </c>
      <c r="I58" s="1">
        <v>0</v>
      </c>
      <c r="J58" s="35">
        <v>0</v>
      </c>
      <c r="K58" s="35">
        <v>2</v>
      </c>
      <c r="L58" s="7">
        <f t="shared" si="1"/>
        <v>5</v>
      </c>
      <c r="M58" s="8">
        <f t="shared" si="0"/>
        <v>7</v>
      </c>
      <c r="N58" s="20"/>
    </row>
    <row r="59" spans="1:14" ht="15.75" thickBot="1" x14ac:dyDescent="0.3">
      <c r="A59" s="9" t="s">
        <v>64</v>
      </c>
      <c r="B59" s="33">
        <v>2</v>
      </c>
      <c r="C59" s="1">
        <v>2</v>
      </c>
      <c r="D59" s="33">
        <v>0</v>
      </c>
      <c r="E59" s="33">
        <v>0</v>
      </c>
      <c r="F59" s="1">
        <v>0</v>
      </c>
      <c r="G59" s="1">
        <v>0</v>
      </c>
      <c r="H59" s="34">
        <v>0</v>
      </c>
      <c r="I59" s="1">
        <v>0</v>
      </c>
      <c r="J59" s="35">
        <v>0</v>
      </c>
      <c r="K59" s="35">
        <v>4</v>
      </c>
      <c r="L59" s="7">
        <f t="shared" si="1"/>
        <v>4</v>
      </c>
      <c r="M59" s="8">
        <f t="shared" si="0"/>
        <v>8</v>
      </c>
      <c r="N59" s="20"/>
    </row>
    <row r="60" spans="1:14" ht="15.75" thickBot="1" x14ac:dyDescent="0.3">
      <c r="A60" s="9" t="s">
        <v>65</v>
      </c>
      <c r="B60" s="33">
        <v>1</v>
      </c>
      <c r="C60" s="1">
        <v>1</v>
      </c>
      <c r="D60" s="33">
        <v>0</v>
      </c>
      <c r="E60" s="33">
        <v>0</v>
      </c>
      <c r="F60" s="1">
        <v>0</v>
      </c>
      <c r="G60" s="1">
        <v>0</v>
      </c>
      <c r="H60" s="34">
        <v>0</v>
      </c>
      <c r="I60" s="1">
        <v>0</v>
      </c>
      <c r="J60" s="35">
        <v>0</v>
      </c>
      <c r="K60" s="35">
        <v>5</v>
      </c>
      <c r="L60" s="7">
        <f t="shared" si="1"/>
        <v>2</v>
      </c>
      <c r="M60" s="8">
        <f t="shared" si="0"/>
        <v>7</v>
      </c>
      <c r="N60" s="20"/>
    </row>
    <row r="61" spans="1:14" ht="15.75" thickBot="1" x14ac:dyDescent="0.3">
      <c r="A61" s="9" t="s">
        <v>66</v>
      </c>
      <c r="B61" s="33">
        <v>1</v>
      </c>
      <c r="C61" s="1">
        <v>0</v>
      </c>
      <c r="D61" s="33">
        <v>0</v>
      </c>
      <c r="E61" s="33">
        <v>0</v>
      </c>
      <c r="F61" s="1">
        <v>0</v>
      </c>
      <c r="G61" s="1">
        <v>0</v>
      </c>
      <c r="H61" s="34">
        <v>0</v>
      </c>
      <c r="I61" s="1">
        <v>0</v>
      </c>
      <c r="J61" s="35">
        <v>0</v>
      </c>
      <c r="K61" s="35">
        <v>0</v>
      </c>
      <c r="L61" s="7">
        <f t="shared" si="1"/>
        <v>1</v>
      </c>
      <c r="M61" s="8">
        <f t="shared" si="0"/>
        <v>1</v>
      </c>
      <c r="N61" s="20"/>
    </row>
    <row r="62" spans="1:14" ht="15.75" thickBot="1" x14ac:dyDescent="0.3">
      <c r="A62" s="10" t="s">
        <v>67</v>
      </c>
      <c r="B62" s="33">
        <v>0</v>
      </c>
      <c r="C62" s="1">
        <v>1</v>
      </c>
      <c r="D62" s="33">
        <v>0</v>
      </c>
      <c r="E62" s="33">
        <v>0</v>
      </c>
      <c r="F62" s="1">
        <v>0</v>
      </c>
      <c r="G62" s="1">
        <v>0</v>
      </c>
      <c r="H62" s="34">
        <v>0</v>
      </c>
      <c r="I62" s="1">
        <v>0</v>
      </c>
      <c r="J62" s="35">
        <v>0</v>
      </c>
      <c r="K62" s="35">
        <v>2</v>
      </c>
      <c r="L62" s="7">
        <f t="shared" si="1"/>
        <v>1</v>
      </c>
      <c r="M62" s="8">
        <f t="shared" si="0"/>
        <v>3</v>
      </c>
      <c r="N62" s="20"/>
    </row>
    <row r="63" spans="1:14" ht="15.75" thickBot="1" x14ac:dyDescent="0.3">
      <c r="A63" s="9" t="s">
        <v>68</v>
      </c>
      <c r="B63" s="33">
        <v>1</v>
      </c>
      <c r="C63" s="1">
        <v>0</v>
      </c>
      <c r="D63" s="33">
        <v>1</v>
      </c>
      <c r="E63" s="33">
        <v>0</v>
      </c>
      <c r="F63" s="1">
        <v>0</v>
      </c>
      <c r="G63" s="1">
        <v>0</v>
      </c>
      <c r="H63" s="34">
        <v>0</v>
      </c>
      <c r="I63" s="1">
        <v>0</v>
      </c>
      <c r="J63" s="35">
        <v>0</v>
      </c>
      <c r="K63" s="35">
        <v>2</v>
      </c>
      <c r="L63" s="7">
        <f t="shared" si="1"/>
        <v>2</v>
      </c>
      <c r="M63" s="8">
        <f t="shared" si="0"/>
        <v>4</v>
      </c>
      <c r="N63" s="20"/>
    </row>
    <row r="64" spans="1:14" ht="15.75" thickBot="1" x14ac:dyDescent="0.3">
      <c r="A64" s="9" t="s">
        <v>69</v>
      </c>
      <c r="B64" s="33">
        <v>2</v>
      </c>
      <c r="C64" s="1">
        <v>0</v>
      </c>
      <c r="D64" s="33">
        <v>0</v>
      </c>
      <c r="E64" s="33">
        <v>0</v>
      </c>
      <c r="F64" s="1">
        <v>0</v>
      </c>
      <c r="G64" s="1">
        <v>0</v>
      </c>
      <c r="H64" s="34">
        <v>0</v>
      </c>
      <c r="I64" s="1">
        <v>0</v>
      </c>
      <c r="J64" s="35">
        <v>0</v>
      </c>
      <c r="K64" s="35">
        <v>1</v>
      </c>
      <c r="L64" s="7">
        <f t="shared" si="1"/>
        <v>2</v>
      </c>
      <c r="M64" s="8">
        <f>SUM(B64:K64)</f>
        <v>3</v>
      </c>
      <c r="N64" s="20"/>
    </row>
    <row r="65" spans="1:14" ht="15.75" thickBot="1" x14ac:dyDescent="0.3">
      <c r="A65" s="11" t="s">
        <v>70</v>
      </c>
      <c r="B65" s="33">
        <v>0</v>
      </c>
      <c r="C65" s="1">
        <v>0</v>
      </c>
      <c r="D65" s="33">
        <v>0</v>
      </c>
      <c r="E65" s="33">
        <v>0</v>
      </c>
      <c r="F65" s="1">
        <v>0</v>
      </c>
      <c r="G65" s="1">
        <v>0</v>
      </c>
      <c r="H65" s="34">
        <v>0</v>
      </c>
      <c r="I65" s="1">
        <v>0</v>
      </c>
      <c r="J65" s="35">
        <v>0</v>
      </c>
      <c r="K65" s="35">
        <v>3</v>
      </c>
      <c r="L65" s="7">
        <f t="shared" si="1"/>
        <v>0</v>
      </c>
      <c r="M65" s="8">
        <f>SUM(B65:K65)</f>
        <v>3</v>
      </c>
      <c r="N65" s="20"/>
    </row>
    <row r="66" spans="1:14" ht="15.75" thickBot="1" x14ac:dyDescent="0.3">
      <c r="A66" s="9" t="s">
        <v>71</v>
      </c>
      <c r="B66" s="33">
        <v>0</v>
      </c>
      <c r="C66" s="1">
        <v>0</v>
      </c>
      <c r="D66" s="33">
        <v>0</v>
      </c>
      <c r="E66" s="33">
        <v>0</v>
      </c>
      <c r="F66" s="1">
        <v>0</v>
      </c>
      <c r="G66" s="1">
        <v>0</v>
      </c>
      <c r="H66" s="34">
        <v>0</v>
      </c>
      <c r="I66" s="1">
        <v>0</v>
      </c>
      <c r="J66" s="35">
        <v>0</v>
      </c>
      <c r="K66" s="35">
        <v>0</v>
      </c>
      <c r="L66" s="7">
        <f t="shared" si="1"/>
        <v>0</v>
      </c>
      <c r="M66" s="8">
        <f t="shared" si="0"/>
        <v>0</v>
      </c>
      <c r="N66" s="20"/>
    </row>
    <row r="67" spans="1:14" ht="15.75" thickBot="1" x14ac:dyDescent="0.3">
      <c r="A67" s="9" t="s">
        <v>72</v>
      </c>
      <c r="B67" s="33">
        <v>2</v>
      </c>
      <c r="C67" s="1">
        <v>0</v>
      </c>
      <c r="D67" s="33">
        <v>0</v>
      </c>
      <c r="E67" s="33">
        <v>0</v>
      </c>
      <c r="F67" s="1">
        <v>0</v>
      </c>
      <c r="G67" s="1">
        <v>0</v>
      </c>
      <c r="H67" s="34">
        <v>0</v>
      </c>
      <c r="I67" s="1">
        <v>0</v>
      </c>
      <c r="J67" s="35">
        <v>0</v>
      </c>
      <c r="K67" s="35">
        <v>1</v>
      </c>
      <c r="L67" s="7">
        <f t="shared" si="1"/>
        <v>2</v>
      </c>
      <c r="M67" s="8">
        <f>SUM(B67:K67)</f>
        <v>3</v>
      </c>
      <c r="N67" s="20"/>
    </row>
    <row r="68" spans="1:14" ht="15.75" thickBot="1" x14ac:dyDescent="0.3">
      <c r="A68" s="9" t="s">
        <v>90</v>
      </c>
      <c r="B68" s="33">
        <v>8</v>
      </c>
      <c r="C68" s="1">
        <v>0</v>
      </c>
      <c r="D68" s="33">
        <v>0</v>
      </c>
      <c r="E68" s="33">
        <v>0</v>
      </c>
      <c r="F68" s="1">
        <v>0</v>
      </c>
      <c r="G68" s="1">
        <v>0</v>
      </c>
      <c r="H68" s="34">
        <v>0</v>
      </c>
      <c r="I68" s="1">
        <v>0</v>
      </c>
      <c r="J68" s="35">
        <v>0</v>
      </c>
      <c r="K68" s="35">
        <v>0</v>
      </c>
      <c r="L68" s="7">
        <f t="shared" si="1"/>
        <v>8</v>
      </c>
      <c r="M68" s="8">
        <f t="shared" ref="M68:M71" si="2">SUM(B68:K68)</f>
        <v>8</v>
      </c>
      <c r="N68" s="20"/>
    </row>
    <row r="69" spans="1:14" ht="15.75" thickBot="1" x14ac:dyDescent="0.3">
      <c r="A69" s="9" t="s">
        <v>91</v>
      </c>
      <c r="B69" s="33">
        <v>5</v>
      </c>
      <c r="C69" s="1">
        <v>4</v>
      </c>
      <c r="D69" s="33">
        <v>0</v>
      </c>
      <c r="E69" s="33">
        <v>0</v>
      </c>
      <c r="F69" s="1">
        <v>0</v>
      </c>
      <c r="G69" s="1">
        <v>0</v>
      </c>
      <c r="H69" s="34">
        <v>0</v>
      </c>
      <c r="I69" s="1">
        <v>0</v>
      </c>
      <c r="J69" s="35">
        <v>0</v>
      </c>
      <c r="K69" s="35">
        <v>1</v>
      </c>
      <c r="L69" s="7">
        <f t="shared" si="1"/>
        <v>9</v>
      </c>
      <c r="M69" s="8">
        <f t="shared" si="2"/>
        <v>10</v>
      </c>
      <c r="N69" s="20"/>
    </row>
    <row r="70" spans="1:14" ht="15.75" thickBot="1" x14ac:dyDescent="0.3">
      <c r="A70" s="9" t="s">
        <v>92</v>
      </c>
      <c r="B70" s="33">
        <v>7</v>
      </c>
      <c r="C70" s="1">
        <v>1</v>
      </c>
      <c r="D70" s="33">
        <v>0</v>
      </c>
      <c r="E70" s="33">
        <v>0</v>
      </c>
      <c r="F70" s="1">
        <v>0</v>
      </c>
      <c r="G70" s="1">
        <v>1</v>
      </c>
      <c r="H70" s="34">
        <v>0</v>
      </c>
      <c r="I70" s="1">
        <v>0</v>
      </c>
      <c r="J70" s="35">
        <v>0</v>
      </c>
      <c r="K70" s="35">
        <v>1</v>
      </c>
      <c r="L70" s="7">
        <f t="shared" si="1"/>
        <v>9</v>
      </c>
      <c r="M70" s="8">
        <f t="shared" si="2"/>
        <v>10</v>
      </c>
      <c r="N70" s="20"/>
    </row>
    <row r="71" spans="1:14" ht="15.75" thickBot="1" x14ac:dyDescent="0.3">
      <c r="A71" s="9" t="s">
        <v>93</v>
      </c>
      <c r="B71" s="33">
        <v>2</v>
      </c>
      <c r="C71" s="1">
        <v>0</v>
      </c>
      <c r="D71" s="33">
        <v>0</v>
      </c>
      <c r="E71" s="33">
        <v>0</v>
      </c>
      <c r="F71" s="1">
        <v>0</v>
      </c>
      <c r="G71" s="1">
        <v>0</v>
      </c>
      <c r="H71" s="34">
        <v>0</v>
      </c>
      <c r="I71" s="1">
        <v>0</v>
      </c>
      <c r="J71" s="35">
        <v>0</v>
      </c>
      <c r="K71" s="35">
        <v>1</v>
      </c>
      <c r="L71" s="7">
        <f t="shared" si="1"/>
        <v>2</v>
      </c>
      <c r="M71" s="8">
        <f t="shared" si="2"/>
        <v>3</v>
      </c>
      <c r="N71" s="20"/>
    </row>
    <row r="72" spans="1:14" ht="15.75" thickBot="1" x14ac:dyDescent="0.3">
      <c r="B72" s="12">
        <f>SUM(B8:B71)</f>
        <v>149</v>
      </c>
      <c r="C72" s="12">
        <f t="shared" ref="C72:K72" si="3">SUM(C8:C71)</f>
        <v>92</v>
      </c>
      <c r="D72" s="12">
        <f t="shared" si="3"/>
        <v>6</v>
      </c>
      <c r="E72" s="12">
        <f t="shared" si="3"/>
        <v>1</v>
      </c>
      <c r="F72" s="12">
        <f t="shared" si="3"/>
        <v>0</v>
      </c>
      <c r="G72" s="12">
        <f t="shared" si="3"/>
        <v>5</v>
      </c>
      <c r="H72" s="12">
        <f t="shared" si="3"/>
        <v>2</v>
      </c>
      <c r="I72" s="12">
        <f t="shared" si="3"/>
        <v>0</v>
      </c>
      <c r="J72" s="12">
        <f t="shared" si="3"/>
        <v>0</v>
      </c>
      <c r="K72" s="12">
        <f t="shared" si="3"/>
        <v>218</v>
      </c>
      <c r="L72" s="12">
        <f>SUM(B72:J72)</f>
        <v>255</v>
      </c>
      <c r="M72" s="8">
        <f>SUM(B72:K72)</f>
        <v>473</v>
      </c>
      <c r="N72" s="20"/>
    </row>
    <row r="73" spans="1:14" ht="15.75" thickBot="1" x14ac:dyDescent="0.3">
      <c r="A73" s="57" t="s">
        <v>118</v>
      </c>
      <c r="B73" s="58">
        <f>AVERAGE(B8:B23)*4</f>
        <v>4.75</v>
      </c>
      <c r="C73" s="58">
        <f t="shared" ref="C73:K73" si="4">AVERAGE(C8:C23)*4</f>
        <v>4.75</v>
      </c>
      <c r="D73" s="58">
        <f t="shared" si="4"/>
        <v>0.75</v>
      </c>
      <c r="E73" s="58">
        <f t="shared" si="4"/>
        <v>0.25</v>
      </c>
      <c r="F73" s="58">
        <f t="shared" si="4"/>
        <v>0</v>
      </c>
      <c r="G73" s="58">
        <f t="shared" si="4"/>
        <v>0.25</v>
      </c>
      <c r="H73" s="58">
        <f t="shared" si="4"/>
        <v>0.25</v>
      </c>
      <c r="I73" s="58">
        <f t="shared" si="4"/>
        <v>0</v>
      </c>
      <c r="J73" s="58">
        <f t="shared" si="4"/>
        <v>0</v>
      </c>
      <c r="K73" s="58">
        <f t="shared" si="4"/>
        <v>11.75</v>
      </c>
      <c r="M73" s="12">
        <f>SUM(M8:M71)</f>
        <v>473</v>
      </c>
      <c r="N73" s="20"/>
    </row>
    <row r="74" spans="1:14" x14ac:dyDescent="0.25">
      <c r="A74" s="57" t="s">
        <v>119</v>
      </c>
      <c r="B74" s="58">
        <f>AVERAGE(B48:B59)*4</f>
        <v>6.666666666666667</v>
      </c>
      <c r="C74" s="58">
        <f t="shared" ref="C74:K74" si="5">AVERAGE(C48:C59)*4</f>
        <v>4.666666666666667</v>
      </c>
      <c r="D74" s="58">
        <f t="shared" si="5"/>
        <v>0.66666666666666663</v>
      </c>
      <c r="E74" s="58">
        <f t="shared" si="5"/>
        <v>0</v>
      </c>
      <c r="F74" s="58">
        <f t="shared" si="5"/>
        <v>0</v>
      </c>
      <c r="G74" s="58">
        <f t="shared" si="5"/>
        <v>0</v>
      </c>
      <c r="H74" s="58">
        <f t="shared" si="5"/>
        <v>0.33333333333333331</v>
      </c>
      <c r="I74" s="58">
        <f t="shared" si="5"/>
        <v>0</v>
      </c>
      <c r="J74" s="58">
        <f t="shared" si="5"/>
        <v>0</v>
      </c>
      <c r="K74" s="58">
        <f t="shared" si="5"/>
        <v>12.333333333333334</v>
      </c>
    </row>
  </sheetData>
  <mergeCells count="8">
    <mergeCell ref="A6:M6"/>
    <mergeCell ref="A1:M1"/>
    <mergeCell ref="A2:M2"/>
    <mergeCell ref="A3:M3"/>
    <mergeCell ref="G4:H4"/>
    <mergeCell ref="B5:C5"/>
    <mergeCell ref="G5:H5"/>
    <mergeCell ref="B4:C4"/>
  </mergeCells>
  <pageMargins left="0.7" right="0.7" top="0.75" bottom="0.75" header="0.3" footer="0.3"/>
  <pageSetup scale="4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74"/>
  <sheetViews>
    <sheetView view="pageBreakPreview" zoomScale="90" zoomScaleSheetLayoutView="90" workbookViewId="0">
      <selection activeCell="B4" sqref="B4:C4"/>
    </sheetView>
  </sheetViews>
  <sheetFormatPr defaultColWidth="13.28515625" defaultRowHeight="15" x14ac:dyDescent="0.25"/>
  <cols>
    <col min="1" max="1" width="14.85546875" customWidth="1"/>
    <col min="2" max="2" width="11.7109375" customWidth="1"/>
    <col min="3" max="3" width="13.28515625" customWidth="1"/>
    <col min="4" max="4" width="12.7109375" customWidth="1"/>
    <col min="5" max="6" width="13.28515625" customWidth="1"/>
    <col min="7" max="7" width="11.42578125" customWidth="1"/>
    <col min="8" max="8" width="13.28515625" customWidth="1"/>
    <col min="9" max="9" width="11.42578125" customWidth="1"/>
    <col min="10" max="10" width="13.28515625" customWidth="1"/>
    <col min="11" max="11" width="12" customWidth="1"/>
    <col min="12" max="12" width="9.28515625" customWidth="1"/>
    <col min="13" max="13" width="10.7109375" customWidth="1"/>
    <col min="14" max="14" width="12.7109375" customWidth="1"/>
    <col min="15" max="15" width="6.42578125" style="22" customWidth="1"/>
  </cols>
  <sheetData>
    <row r="1" spans="1:15" ht="18.75" x14ac:dyDescent="0.3">
      <c r="A1" s="62" t="s">
        <v>120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36"/>
    </row>
    <row r="2" spans="1:15" ht="18.75" x14ac:dyDescent="0.3">
      <c r="A2" s="65" t="s">
        <v>94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7"/>
      <c r="N2" s="36"/>
    </row>
    <row r="3" spans="1:15" x14ac:dyDescent="0.25">
      <c r="A3" s="68"/>
      <c r="B3" s="69"/>
      <c r="C3" s="69"/>
      <c r="D3" s="69"/>
      <c r="E3" s="60"/>
      <c r="F3" s="69"/>
      <c r="G3" s="69"/>
      <c r="H3" s="69"/>
      <c r="I3" s="69"/>
      <c r="J3" s="60"/>
      <c r="K3" s="69"/>
      <c r="L3" s="69"/>
      <c r="M3" s="70"/>
      <c r="N3" s="34"/>
    </row>
    <row r="4" spans="1:15" x14ac:dyDescent="0.25">
      <c r="A4" s="50" t="s">
        <v>112</v>
      </c>
      <c r="B4" s="73">
        <v>43797</v>
      </c>
      <c r="C4" s="72"/>
      <c r="D4" s="15"/>
      <c r="E4" s="16"/>
      <c r="F4" s="49" t="s">
        <v>73</v>
      </c>
      <c r="G4" s="71" t="s">
        <v>109</v>
      </c>
      <c r="H4" s="71"/>
      <c r="I4" s="13"/>
      <c r="J4" s="13"/>
      <c r="K4" s="13"/>
      <c r="L4" s="13"/>
      <c r="M4" s="14"/>
      <c r="N4" s="17"/>
    </row>
    <row r="5" spans="1:15" x14ac:dyDescent="0.25">
      <c r="A5" s="50" t="s">
        <v>108</v>
      </c>
      <c r="B5" s="72" t="s">
        <v>99</v>
      </c>
      <c r="C5" s="72"/>
      <c r="D5" s="15"/>
      <c r="E5" s="16"/>
      <c r="F5" s="50" t="s">
        <v>74</v>
      </c>
      <c r="G5" s="72" t="s">
        <v>110</v>
      </c>
      <c r="H5" s="72"/>
      <c r="I5" s="15"/>
      <c r="J5" s="15"/>
      <c r="K5" s="15"/>
      <c r="L5" s="15"/>
      <c r="M5" s="16"/>
      <c r="N5" s="18"/>
    </row>
    <row r="6" spans="1:15" ht="15.75" thickBot="1" x14ac:dyDescent="0.3">
      <c r="A6" s="59"/>
      <c r="B6" s="60"/>
      <c r="C6" s="60"/>
      <c r="D6" s="60"/>
      <c r="E6" s="60"/>
      <c r="F6" s="60"/>
      <c r="G6" s="60"/>
      <c r="H6" s="60"/>
      <c r="I6" s="60"/>
      <c r="J6" s="60"/>
      <c r="K6" s="60"/>
      <c r="L6" s="60"/>
      <c r="M6" s="61"/>
      <c r="N6" s="34"/>
    </row>
    <row r="7" spans="1:15" ht="42.75" customHeight="1" thickBot="1" x14ac:dyDescent="0.3">
      <c r="A7" s="2" t="s">
        <v>0</v>
      </c>
      <c r="B7" s="3" t="s">
        <v>1</v>
      </c>
      <c r="C7" s="4" t="s">
        <v>2</v>
      </c>
      <c r="D7" s="3" t="s">
        <v>3</v>
      </c>
      <c r="E7" s="3" t="s">
        <v>4</v>
      </c>
      <c r="F7" s="4" t="s">
        <v>5</v>
      </c>
      <c r="G7" s="4" t="s">
        <v>6</v>
      </c>
      <c r="H7" s="5" t="s">
        <v>7</v>
      </c>
      <c r="I7" s="4" t="s">
        <v>8</v>
      </c>
      <c r="J7" s="6" t="s">
        <v>9</v>
      </c>
      <c r="K7" s="6" t="s">
        <v>10</v>
      </c>
      <c r="L7" s="27" t="s">
        <v>12</v>
      </c>
      <c r="M7" s="28" t="s">
        <v>11</v>
      </c>
      <c r="N7" s="19"/>
    </row>
    <row r="8" spans="1:15" ht="15.75" thickBot="1" x14ac:dyDescent="0.3">
      <c r="A8" s="9" t="s">
        <v>13</v>
      </c>
      <c r="B8" s="33">
        <v>0</v>
      </c>
      <c r="C8" s="1">
        <v>0</v>
      </c>
      <c r="D8" s="33">
        <v>0</v>
      </c>
      <c r="E8" s="33">
        <v>0</v>
      </c>
      <c r="F8" s="1">
        <v>0</v>
      </c>
      <c r="G8" s="1">
        <v>0</v>
      </c>
      <c r="H8" s="34">
        <v>0</v>
      </c>
      <c r="I8" s="1">
        <v>0</v>
      </c>
      <c r="J8" s="35">
        <v>0</v>
      </c>
      <c r="K8" s="35">
        <v>0</v>
      </c>
      <c r="L8" s="7">
        <f>SUM(B8:J8)</f>
        <v>0</v>
      </c>
      <c r="M8" s="8">
        <f t="shared" ref="M8:M66" si="0">SUM(B8:K8)</f>
        <v>0</v>
      </c>
      <c r="N8" s="21" t="s">
        <v>75</v>
      </c>
      <c r="O8" s="22">
        <f>SUM(L8:L11)</f>
        <v>90</v>
      </c>
    </row>
    <row r="9" spans="1:15" ht="15.75" thickBot="1" x14ac:dyDescent="0.3">
      <c r="A9" s="9" t="s">
        <v>14</v>
      </c>
      <c r="B9" s="33">
        <v>0</v>
      </c>
      <c r="C9" s="1">
        <v>0</v>
      </c>
      <c r="D9" s="33">
        <v>0</v>
      </c>
      <c r="E9" s="33">
        <v>0</v>
      </c>
      <c r="F9" s="1">
        <v>0</v>
      </c>
      <c r="G9" s="1">
        <v>0</v>
      </c>
      <c r="H9" s="34">
        <v>0</v>
      </c>
      <c r="I9" s="1">
        <v>0</v>
      </c>
      <c r="J9" s="35">
        <v>0</v>
      </c>
      <c r="K9" s="35">
        <v>0</v>
      </c>
      <c r="L9" s="7">
        <f t="shared" ref="L9:L71" si="1">SUM(B9:J9)</f>
        <v>0</v>
      </c>
      <c r="M9" s="8">
        <f t="shared" si="0"/>
        <v>0</v>
      </c>
      <c r="N9" s="21" t="s">
        <v>76</v>
      </c>
      <c r="O9" s="22">
        <f>SUM(L12:L15)</f>
        <v>673</v>
      </c>
    </row>
    <row r="10" spans="1:15" ht="15.75" thickBot="1" x14ac:dyDescent="0.3">
      <c r="A10" s="9" t="s">
        <v>15</v>
      </c>
      <c r="B10" s="33">
        <v>0</v>
      </c>
      <c r="C10" s="1">
        <v>0</v>
      </c>
      <c r="D10" s="33">
        <v>0</v>
      </c>
      <c r="E10" s="33">
        <v>0</v>
      </c>
      <c r="F10" s="1">
        <v>0</v>
      </c>
      <c r="G10" s="1">
        <v>0</v>
      </c>
      <c r="H10" s="34">
        <v>0</v>
      </c>
      <c r="I10" s="1">
        <v>0</v>
      </c>
      <c r="J10" s="35">
        <v>0</v>
      </c>
      <c r="K10" s="35">
        <v>0</v>
      </c>
      <c r="L10" s="7">
        <f t="shared" si="1"/>
        <v>0</v>
      </c>
      <c r="M10" s="8">
        <f t="shared" si="0"/>
        <v>0</v>
      </c>
      <c r="N10" s="21" t="s">
        <v>77</v>
      </c>
      <c r="O10" s="22">
        <f>SUM(L16:L19)</f>
        <v>922</v>
      </c>
    </row>
    <row r="11" spans="1:15" ht="15.75" thickBot="1" x14ac:dyDescent="0.3">
      <c r="A11" s="9" t="s">
        <v>16</v>
      </c>
      <c r="B11" s="33">
        <v>50</v>
      </c>
      <c r="C11" s="1">
        <v>20</v>
      </c>
      <c r="D11" s="33">
        <v>20</v>
      </c>
      <c r="E11" s="33">
        <v>0</v>
      </c>
      <c r="F11" s="1">
        <v>0</v>
      </c>
      <c r="G11" s="1">
        <v>0</v>
      </c>
      <c r="H11" s="34">
        <v>0</v>
      </c>
      <c r="I11" s="1">
        <v>0</v>
      </c>
      <c r="J11" s="35">
        <v>0</v>
      </c>
      <c r="K11" s="35">
        <v>20</v>
      </c>
      <c r="L11" s="7">
        <f t="shared" si="1"/>
        <v>90</v>
      </c>
      <c r="M11" s="8">
        <f t="shared" si="0"/>
        <v>110</v>
      </c>
      <c r="N11" s="21" t="s">
        <v>78</v>
      </c>
      <c r="O11" s="22">
        <f>SUM(L20:L23)</f>
        <v>822</v>
      </c>
    </row>
    <row r="12" spans="1:15" ht="15.75" thickBot="1" x14ac:dyDescent="0.3">
      <c r="A12" s="9" t="s">
        <v>17</v>
      </c>
      <c r="B12" s="33">
        <v>19</v>
      </c>
      <c r="C12" s="1">
        <v>9</v>
      </c>
      <c r="D12" s="33">
        <v>23</v>
      </c>
      <c r="E12" s="33">
        <v>2</v>
      </c>
      <c r="F12" s="1">
        <v>1</v>
      </c>
      <c r="G12" s="1">
        <v>2</v>
      </c>
      <c r="H12" s="34">
        <v>0</v>
      </c>
      <c r="I12" s="1">
        <v>0</v>
      </c>
      <c r="J12" s="35">
        <v>0</v>
      </c>
      <c r="K12" s="35">
        <v>12</v>
      </c>
      <c r="L12" s="7">
        <f t="shared" si="1"/>
        <v>56</v>
      </c>
      <c r="M12" s="8">
        <f t="shared" si="0"/>
        <v>68</v>
      </c>
      <c r="N12" s="21" t="s">
        <v>79</v>
      </c>
      <c r="O12" s="22">
        <f>SUM(L24:L27)</f>
        <v>772</v>
      </c>
    </row>
    <row r="13" spans="1:15" ht="15.75" thickBot="1" x14ac:dyDescent="0.3">
      <c r="A13" s="9" t="s">
        <v>18</v>
      </c>
      <c r="B13" s="33">
        <v>68</v>
      </c>
      <c r="C13" s="1">
        <v>36</v>
      </c>
      <c r="D13" s="33">
        <v>62</v>
      </c>
      <c r="E13" s="33">
        <v>7</v>
      </c>
      <c r="F13" s="1">
        <v>2</v>
      </c>
      <c r="G13" s="1">
        <v>3</v>
      </c>
      <c r="H13" s="34">
        <v>0</v>
      </c>
      <c r="I13" s="1">
        <v>0</v>
      </c>
      <c r="J13" s="35">
        <v>0</v>
      </c>
      <c r="K13" s="35">
        <v>17</v>
      </c>
      <c r="L13" s="7">
        <f t="shared" si="1"/>
        <v>178</v>
      </c>
      <c r="M13" s="8">
        <f t="shared" si="0"/>
        <v>195</v>
      </c>
      <c r="N13" s="21" t="s">
        <v>80</v>
      </c>
      <c r="O13" s="22">
        <f>SUM(L28:L31)</f>
        <v>768</v>
      </c>
    </row>
    <row r="14" spans="1:15" ht="15.75" thickBot="1" x14ac:dyDescent="0.3">
      <c r="A14" s="9" t="s">
        <v>19</v>
      </c>
      <c r="B14" s="33">
        <v>62</v>
      </c>
      <c r="C14" s="1">
        <v>42</v>
      </c>
      <c r="D14" s="33">
        <v>71</v>
      </c>
      <c r="E14" s="33">
        <v>5</v>
      </c>
      <c r="F14" s="1">
        <v>0</v>
      </c>
      <c r="G14" s="1">
        <v>2</v>
      </c>
      <c r="H14" s="34">
        <v>0</v>
      </c>
      <c r="I14" s="1">
        <v>0</v>
      </c>
      <c r="J14" s="35">
        <v>0</v>
      </c>
      <c r="K14" s="35">
        <v>32</v>
      </c>
      <c r="L14" s="7">
        <f t="shared" si="1"/>
        <v>182</v>
      </c>
      <c r="M14" s="8">
        <f t="shared" si="0"/>
        <v>214</v>
      </c>
      <c r="N14" s="21" t="s">
        <v>81</v>
      </c>
      <c r="O14" s="22">
        <f>SUM(L32:L35)</f>
        <v>519</v>
      </c>
    </row>
    <row r="15" spans="1:15" ht="15.75" thickBot="1" x14ac:dyDescent="0.3">
      <c r="A15" s="9" t="s">
        <v>20</v>
      </c>
      <c r="B15" s="33">
        <v>95</v>
      </c>
      <c r="C15" s="1">
        <v>64</v>
      </c>
      <c r="D15" s="33">
        <v>88</v>
      </c>
      <c r="E15" s="33">
        <v>8</v>
      </c>
      <c r="F15" s="1">
        <v>1</v>
      </c>
      <c r="G15" s="1">
        <v>1</v>
      </c>
      <c r="H15" s="34">
        <v>0</v>
      </c>
      <c r="I15" s="1">
        <v>0</v>
      </c>
      <c r="J15" s="35">
        <v>0</v>
      </c>
      <c r="K15" s="35">
        <v>64</v>
      </c>
      <c r="L15" s="7">
        <f t="shared" si="1"/>
        <v>257</v>
      </c>
      <c r="M15" s="8">
        <f t="shared" si="0"/>
        <v>321</v>
      </c>
      <c r="N15" s="21" t="s">
        <v>82</v>
      </c>
      <c r="O15" s="22">
        <f>SUM(L36:L39)</f>
        <v>775</v>
      </c>
    </row>
    <row r="16" spans="1:15" ht="15.75" thickBot="1" x14ac:dyDescent="0.3">
      <c r="A16" s="9" t="s">
        <v>21</v>
      </c>
      <c r="B16" s="33">
        <v>89</v>
      </c>
      <c r="C16" s="1">
        <v>64</v>
      </c>
      <c r="D16" s="33">
        <v>88</v>
      </c>
      <c r="E16" s="33">
        <v>1</v>
      </c>
      <c r="F16" s="1">
        <v>1</v>
      </c>
      <c r="G16" s="1">
        <v>2</v>
      </c>
      <c r="H16" s="34">
        <v>0</v>
      </c>
      <c r="I16" s="1">
        <v>3</v>
      </c>
      <c r="J16" s="35">
        <v>0</v>
      </c>
      <c r="K16" s="35">
        <v>96</v>
      </c>
      <c r="L16" s="7">
        <f t="shared" si="1"/>
        <v>248</v>
      </c>
      <c r="M16" s="8">
        <f t="shared" si="0"/>
        <v>344</v>
      </c>
      <c r="N16" s="21" t="s">
        <v>83</v>
      </c>
      <c r="O16" s="22">
        <f>SUM(L40:L43)</f>
        <v>663</v>
      </c>
    </row>
    <row r="17" spans="1:15" ht="15.75" thickBot="1" x14ac:dyDescent="0.3">
      <c r="A17" s="9" t="s">
        <v>22</v>
      </c>
      <c r="B17" s="33">
        <v>82</v>
      </c>
      <c r="C17" s="1">
        <v>61</v>
      </c>
      <c r="D17" s="33">
        <v>78</v>
      </c>
      <c r="E17" s="33">
        <v>2</v>
      </c>
      <c r="F17" s="1">
        <v>0</v>
      </c>
      <c r="G17" s="1">
        <v>3</v>
      </c>
      <c r="H17" s="34">
        <v>0</v>
      </c>
      <c r="I17" s="1">
        <v>1</v>
      </c>
      <c r="J17" s="35">
        <v>0</v>
      </c>
      <c r="K17" s="35">
        <v>84</v>
      </c>
      <c r="L17" s="7">
        <f t="shared" si="1"/>
        <v>227</v>
      </c>
      <c r="M17" s="8">
        <f t="shared" si="0"/>
        <v>311</v>
      </c>
      <c r="N17" s="21" t="s">
        <v>84</v>
      </c>
      <c r="O17" s="22">
        <f>SUM(L44:L47)</f>
        <v>1014</v>
      </c>
    </row>
    <row r="18" spans="1:15" ht="15.75" thickBot="1" x14ac:dyDescent="0.3">
      <c r="A18" s="9" t="s">
        <v>23</v>
      </c>
      <c r="B18" s="33">
        <v>72</v>
      </c>
      <c r="C18" s="1">
        <v>48</v>
      </c>
      <c r="D18" s="33">
        <v>104</v>
      </c>
      <c r="E18" s="33">
        <v>3</v>
      </c>
      <c r="F18" s="1">
        <v>2</v>
      </c>
      <c r="G18" s="1">
        <v>1</v>
      </c>
      <c r="H18" s="34">
        <v>0</v>
      </c>
      <c r="I18" s="1">
        <v>2</v>
      </c>
      <c r="J18" s="35">
        <v>0</v>
      </c>
      <c r="K18" s="35">
        <v>93</v>
      </c>
      <c r="L18" s="7">
        <f t="shared" si="1"/>
        <v>232</v>
      </c>
      <c r="M18" s="8">
        <f t="shared" si="0"/>
        <v>325</v>
      </c>
      <c r="N18" s="21" t="s">
        <v>85</v>
      </c>
      <c r="O18" s="22">
        <f>SUM(L48:L51)</f>
        <v>736</v>
      </c>
    </row>
    <row r="19" spans="1:15" ht="15.75" thickBot="1" x14ac:dyDescent="0.3">
      <c r="A19" s="9" t="s">
        <v>24</v>
      </c>
      <c r="B19" s="33">
        <v>69</v>
      </c>
      <c r="C19" s="1">
        <v>63</v>
      </c>
      <c r="D19" s="33">
        <v>76</v>
      </c>
      <c r="E19" s="33">
        <v>4</v>
      </c>
      <c r="F19" s="1">
        <v>1</v>
      </c>
      <c r="G19" s="1">
        <v>2</v>
      </c>
      <c r="H19" s="34">
        <v>0</v>
      </c>
      <c r="I19" s="1">
        <v>0</v>
      </c>
      <c r="J19" s="35">
        <v>0</v>
      </c>
      <c r="K19" s="35">
        <v>99</v>
      </c>
      <c r="L19" s="7">
        <f t="shared" si="1"/>
        <v>215</v>
      </c>
      <c r="M19" s="8">
        <f t="shared" si="0"/>
        <v>314</v>
      </c>
      <c r="N19" s="21" t="s">
        <v>86</v>
      </c>
      <c r="O19" s="22">
        <f>SUM(L52:L55)</f>
        <v>1025</v>
      </c>
    </row>
    <row r="20" spans="1:15" ht="15.75" thickBot="1" x14ac:dyDescent="0.3">
      <c r="A20" s="9" t="s">
        <v>25</v>
      </c>
      <c r="B20" s="33">
        <v>52</v>
      </c>
      <c r="C20" s="1">
        <v>56</v>
      </c>
      <c r="D20" s="33">
        <v>76</v>
      </c>
      <c r="E20" s="33">
        <v>2</v>
      </c>
      <c r="F20" s="1">
        <v>0</v>
      </c>
      <c r="G20" s="1">
        <v>1</v>
      </c>
      <c r="H20" s="34">
        <v>0</v>
      </c>
      <c r="I20" s="1">
        <v>2</v>
      </c>
      <c r="J20" s="35">
        <v>1</v>
      </c>
      <c r="K20" s="35">
        <v>106</v>
      </c>
      <c r="L20" s="7">
        <f t="shared" si="1"/>
        <v>190</v>
      </c>
      <c r="M20" s="8">
        <f t="shared" si="0"/>
        <v>296</v>
      </c>
      <c r="N20" s="21" t="s">
        <v>87</v>
      </c>
      <c r="O20" s="22">
        <f>SUM(L56:L59)</f>
        <v>878</v>
      </c>
    </row>
    <row r="21" spans="1:15" ht="15.75" thickBot="1" x14ac:dyDescent="0.3">
      <c r="A21" s="9" t="s">
        <v>26</v>
      </c>
      <c r="B21" s="33">
        <v>54</v>
      </c>
      <c r="C21" s="1">
        <v>47</v>
      </c>
      <c r="D21" s="33">
        <v>93</v>
      </c>
      <c r="E21" s="33">
        <v>1</v>
      </c>
      <c r="F21" s="1">
        <v>0</v>
      </c>
      <c r="G21" s="1">
        <v>2</v>
      </c>
      <c r="H21" s="34">
        <v>0</v>
      </c>
      <c r="I21" s="1">
        <v>2</v>
      </c>
      <c r="J21" s="35">
        <v>0</v>
      </c>
      <c r="K21" s="35">
        <v>83</v>
      </c>
      <c r="L21" s="7">
        <f t="shared" si="1"/>
        <v>199</v>
      </c>
      <c r="M21" s="8">
        <f t="shared" si="0"/>
        <v>282</v>
      </c>
      <c r="N21" s="21" t="s">
        <v>88</v>
      </c>
      <c r="O21" s="22">
        <f>SUM(L60:L63)</f>
        <v>927</v>
      </c>
    </row>
    <row r="22" spans="1:15" ht="15.75" thickBot="1" x14ac:dyDescent="0.3">
      <c r="A22" s="9" t="s">
        <v>27</v>
      </c>
      <c r="B22" s="33">
        <v>69</v>
      </c>
      <c r="C22" s="1">
        <v>51</v>
      </c>
      <c r="D22" s="33">
        <v>81</v>
      </c>
      <c r="E22" s="33">
        <v>2</v>
      </c>
      <c r="F22" s="1">
        <v>0</v>
      </c>
      <c r="G22" s="1">
        <v>4</v>
      </c>
      <c r="H22" s="34">
        <v>0</v>
      </c>
      <c r="I22" s="1">
        <v>3</v>
      </c>
      <c r="J22" s="35">
        <v>0</v>
      </c>
      <c r="K22" s="35">
        <v>87</v>
      </c>
      <c r="L22" s="7">
        <f t="shared" si="1"/>
        <v>210</v>
      </c>
      <c r="M22" s="8">
        <f t="shared" si="0"/>
        <v>297</v>
      </c>
      <c r="N22" s="21" t="s">
        <v>89</v>
      </c>
      <c r="O22" s="22">
        <f>SUM(L64:L67)</f>
        <v>974</v>
      </c>
    </row>
    <row r="23" spans="1:15" ht="15.75" thickBot="1" x14ac:dyDescent="0.3">
      <c r="A23" s="9" t="s">
        <v>28</v>
      </c>
      <c r="B23" s="33">
        <v>55</v>
      </c>
      <c r="C23" s="1">
        <v>63</v>
      </c>
      <c r="D23" s="33">
        <v>97</v>
      </c>
      <c r="E23" s="33">
        <v>2</v>
      </c>
      <c r="F23" s="1">
        <v>0</v>
      </c>
      <c r="G23" s="1">
        <v>0</v>
      </c>
      <c r="H23" s="34">
        <v>0</v>
      </c>
      <c r="I23" s="1">
        <v>5</v>
      </c>
      <c r="J23" s="35">
        <v>1</v>
      </c>
      <c r="K23" s="35">
        <v>69</v>
      </c>
      <c r="L23" s="7">
        <f t="shared" si="1"/>
        <v>223</v>
      </c>
      <c r="M23" s="8">
        <f t="shared" si="0"/>
        <v>292</v>
      </c>
      <c r="N23" s="20"/>
    </row>
    <row r="24" spans="1:15" ht="15.75" thickBot="1" x14ac:dyDescent="0.3">
      <c r="A24" s="9" t="s">
        <v>29</v>
      </c>
      <c r="B24" s="33">
        <v>57</v>
      </c>
      <c r="C24" s="1">
        <v>33</v>
      </c>
      <c r="D24" s="33">
        <v>113</v>
      </c>
      <c r="E24" s="33">
        <v>0</v>
      </c>
      <c r="F24" s="1">
        <v>1</v>
      </c>
      <c r="G24" s="1">
        <v>1</v>
      </c>
      <c r="H24" s="34">
        <v>0</v>
      </c>
      <c r="I24" s="1">
        <v>3</v>
      </c>
      <c r="J24" s="35">
        <v>1</v>
      </c>
      <c r="K24" s="35">
        <v>109</v>
      </c>
      <c r="L24" s="7">
        <f t="shared" si="1"/>
        <v>209</v>
      </c>
      <c r="M24" s="8">
        <f t="shared" si="0"/>
        <v>318</v>
      </c>
      <c r="N24" s="20" t="s">
        <v>118</v>
      </c>
      <c r="O24" s="22">
        <f>AVERAGE(O9:O11)</f>
        <v>805.66666666666663</v>
      </c>
    </row>
    <row r="25" spans="1:15" ht="15.75" thickBot="1" x14ac:dyDescent="0.3">
      <c r="A25" s="9" t="s">
        <v>30</v>
      </c>
      <c r="B25" s="33">
        <v>75</v>
      </c>
      <c r="C25" s="1">
        <v>51</v>
      </c>
      <c r="D25" s="33">
        <v>72</v>
      </c>
      <c r="E25" s="33">
        <v>4</v>
      </c>
      <c r="F25" s="1">
        <v>0</v>
      </c>
      <c r="G25" s="1">
        <v>6</v>
      </c>
      <c r="H25" s="34">
        <v>1</v>
      </c>
      <c r="I25" s="1">
        <v>3</v>
      </c>
      <c r="J25" s="35">
        <v>0</v>
      </c>
      <c r="K25" s="35">
        <v>114</v>
      </c>
      <c r="L25" s="7">
        <f t="shared" si="1"/>
        <v>212</v>
      </c>
      <c r="M25" s="8">
        <f t="shared" si="0"/>
        <v>326</v>
      </c>
      <c r="N25" s="20" t="s">
        <v>119</v>
      </c>
      <c r="O25" s="22">
        <f>AVERAGE(O18:O20)</f>
        <v>879.66666666666663</v>
      </c>
    </row>
    <row r="26" spans="1:15" ht="15.75" thickBot="1" x14ac:dyDescent="0.3">
      <c r="A26" s="9" t="s">
        <v>31</v>
      </c>
      <c r="B26" s="33">
        <v>54</v>
      </c>
      <c r="C26" s="1">
        <v>42</v>
      </c>
      <c r="D26" s="33">
        <v>68</v>
      </c>
      <c r="E26" s="33">
        <v>1</v>
      </c>
      <c r="F26" s="1">
        <v>1</v>
      </c>
      <c r="G26" s="1">
        <v>3</v>
      </c>
      <c r="H26" s="34">
        <v>0</v>
      </c>
      <c r="I26" s="1">
        <v>1</v>
      </c>
      <c r="J26" s="35">
        <v>0</v>
      </c>
      <c r="K26" s="35">
        <v>58</v>
      </c>
      <c r="L26" s="7">
        <f t="shared" si="1"/>
        <v>170</v>
      </c>
      <c r="M26" s="8">
        <f t="shared" si="0"/>
        <v>228</v>
      </c>
      <c r="N26" s="20"/>
    </row>
    <row r="27" spans="1:15" ht="15.75" thickBot="1" x14ac:dyDescent="0.3">
      <c r="A27" s="9" t="s">
        <v>32</v>
      </c>
      <c r="B27" s="33">
        <v>51</v>
      </c>
      <c r="C27" s="1">
        <v>64</v>
      </c>
      <c r="D27" s="33">
        <v>59</v>
      </c>
      <c r="E27" s="33">
        <v>2</v>
      </c>
      <c r="F27" s="1">
        <v>2</v>
      </c>
      <c r="G27" s="1">
        <v>3</v>
      </c>
      <c r="H27" s="34">
        <v>0</v>
      </c>
      <c r="I27" s="1">
        <v>0</v>
      </c>
      <c r="J27" s="35">
        <v>0</v>
      </c>
      <c r="K27" s="35">
        <v>81</v>
      </c>
      <c r="L27" s="7">
        <f t="shared" si="1"/>
        <v>181</v>
      </c>
      <c r="M27" s="8">
        <f t="shared" si="0"/>
        <v>262</v>
      </c>
      <c r="N27" s="20"/>
    </row>
    <row r="28" spans="1:15" ht="15.75" thickBot="1" x14ac:dyDescent="0.3">
      <c r="A28" s="9" t="s">
        <v>33</v>
      </c>
      <c r="B28" s="33">
        <v>97</v>
      </c>
      <c r="C28" s="1">
        <v>56</v>
      </c>
      <c r="D28" s="33">
        <v>47</v>
      </c>
      <c r="E28" s="33">
        <v>0</v>
      </c>
      <c r="F28" s="1">
        <v>0</v>
      </c>
      <c r="G28" s="1">
        <v>1</v>
      </c>
      <c r="H28" s="34">
        <v>0</v>
      </c>
      <c r="I28" s="1">
        <v>2</v>
      </c>
      <c r="J28" s="35">
        <v>0</v>
      </c>
      <c r="K28" s="35">
        <v>63</v>
      </c>
      <c r="L28" s="7">
        <f t="shared" si="1"/>
        <v>203</v>
      </c>
      <c r="M28" s="8">
        <f t="shared" si="0"/>
        <v>266</v>
      </c>
      <c r="N28" s="20"/>
    </row>
    <row r="29" spans="1:15" ht="15.75" thickBot="1" x14ac:dyDescent="0.3">
      <c r="A29" s="9" t="s">
        <v>34</v>
      </c>
      <c r="B29" s="33">
        <v>79</v>
      </c>
      <c r="C29" s="1">
        <v>83</v>
      </c>
      <c r="D29" s="33">
        <v>77</v>
      </c>
      <c r="E29" s="33">
        <v>1</v>
      </c>
      <c r="F29" s="1">
        <v>0</v>
      </c>
      <c r="G29" s="1">
        <v>0</v>
      </c>
      <c r="H29" s="34">
        <v>0</v>
      </c>
      <c r="I29" s="1">
        <v>1</v>
      </c>
      <c r="J29" s="35">
        <v>1</v>
      </c>
      <c r="K29" s="35">
        <v>74</v>
      </c>
      <c r="L29" s="7">
        <f t="shared" si="1"/>
        <v>242</v>
      </c>
      <c r="M29" s="8">
        <f t="shared" si="0"/>
        <v>316</v>
      </c>
      <c r="N29" s="20"/>
    </row>
    <row r="30" spans="1:15" ht="15.75" thickBot="1" x14ac:dyDescent="0.3">
      <c r="A30" s="9" t="s">
        <v>35</v>
      </c>
      <c r="B30" s="33">
        <v>49</v>
      </c>
      <c r="C30" s="1">
        <v>46</v>
      </c>
      <c r="D30" s="33">
        <v>69</v>
      </c>
      <c r="E30" s="33">
        <v>2</v>
      </c>
      <c r="F30" s="1">
        <v>1</v>
      </c>
      <c r="G30" s="1">
        <v>3</v>
      </c>
      <c r="H30" s="34">
        <v>0</v>
      </c>
      <c r="I30" s="1">
        <v>3</v>
      </c>
      <c r="J30" s="35">
        <v>1</v>
      </c>
      <c r="K30" s="35">
        <v>62</v>
      </c>
      <c r="L30" s="7">
        <f t="shared" si="1"/>
        <v>174</v>
      </c>
      <c r="M30" s="8">
        <f t="shared" si="0"/>
        <v>236</v>
      </c>
      <c r="N30" s="20"/>
    </row>
    <row r="31" spans="1:15" ht="15.75" thickBot="1" x14ac:dyDescent="0.3">
      <c r="A31" s="9" t="s">
        <v>36</v>
      </c>
      <c r="B31" s="33">
        <v>48</v>
      </c>
      <c r="C31" s="1">
        <v>42</v>
      </c>
      <c r="D31" s="33">
        <v>57</v>
      </c>
      <c r="E31" s="33">
        <v>0</v>
      </c>
      <c r="F31" s="1">
        <v>0</v>
      </c>
      <c r="G31" s="1">
        <v>0</v>
      </c>
      <c r="H31" s="34">
        <v>0</v>
      </c>
      <c r="I31" s="1">
        <v>2</v>
      </c>
      <c r="J31" s="35">
        <v>0</v>
      </c>
      <c r="K31" s="35">
        <v>71</v>
      </c>
      <c r="L31" s="7">
        <f t="shared" si="1"/>
        <v>149</v>
      </c>
      <c r="M31" s="8">
        <f t="shared" si="0"/>
        <v>220</v>
      </c>
      <c r="N31" s="20"/>
    </row>
    <row r="32" spans="1:15" ht="15.75" thickBot="1" x14ac:dyDescent="0.3">
      <c r="A32" s="9" t="s">
        <v>37</v>
      </c>
      <c r="B32" s="33">
        <v>43</v>
      </c>
      <c r="C32" s="1">
        <v>37</v>
      </c>
      <c r="D32" s="33">
        <v>32</v>
      </c>
      <c r="E32" s="33">
        <v>1</v>
      </c>
      <c r="F32" s="1">
        <v>0</v>
      </c>
      <c r="G32" s="1">
        <v>5</v>
      </c>
      <c r="H32" s="34">
        <v>0</v>
      </c>
      <c r="I32" s="1">
        <v>4</v>
      </c>
      <c r="J32" s="35">
        <v>0</v>
      </c>
      <c r="K32" s="35">
        <v>58</v>
      </c>
      <c r="L32" s="7">
        <f t="shared" si="1"/>
        <v>122</v>
      </c>
      <c r="M32" s="8">
        <f t="shared" si="0"/>
        <v>180</v>
      </c>
      <c r="N32" s="20"/>
    </row>
    <row r="33" spans="1:14" ht="15.75" thickBot="1" x14ac:dyDescent="0.3">
      <c r="A33" s="9" t="s">
        <v>38</v>
      </c>
      <c r="B33" s="33">
        <v>54</v>
      </c>
      <c r="C33" s="1">
        <v>33</v>
      </c>
      <c r="D33" s="33">
        <v>25</v>
      </c>
      <c r="E33" s="33">
        <v>0</v>
      </c>
      <c r="F33" s="1">
        <v>0</v>
      </c>
      <c r="G33" s="1">
        <v>3</v>
      </c>
      <c r="H33" s="34">
        <v>0</v>
      </c>
      <c r="I33" s="1">
        <v>0</v>
      </c>
      <c r="J33" s="35">
        <v>0</v>
      </c>
      <c r="K33" s="35">
        <v>57</v>
      </c>
      <c r="L33" s="7">
        <f t="shared" si="1"/>
        <v>115</v>
      </c>
      <c r="M33" s="8">
        <f t="shared" si="0"/>
        <v>172</v>
      </c>
      <c r="N33" s="20"/>
    </row>
    <row r="34" spans="1:14" ht="15.75" thickBot="1" x14ac:dyDescent="0.3">
      <c r="A34" s="9" t="s">
        <v>39</v>
      </c>
      <c r="B34" s="33">
        <v>27</v>
      </c>
      <c r="C34" s="1">
        <v>22</v>
      </c>
      <c r="D34" s="33">
        <v>39</v>
      </c>
      <c r="E34" s="33">
        <v>0</v>
      </c>
      <c r="F34" s="1">
        <v>0</v>
      </c>
      <c r="G34" s="1">
        <v>0</v>
      </c>
      <c r="H34" s="34">
        <v>0</v>
      </c>
      <c r="I34" s="1">
        <v>1</v>
      </c>
      <c r="J34" s="35">
        <v>0</v>
      </c>
      <c r="K34" s="35">
        <v>74</v>
      </c>
      <c r="L34" s="7">
        <f t="shared" si="1"/>
        <v>89</v>
      </c>
      <c r="M34" s="8">
        <f t="shared" si="0"/>
        <v>163</v>
      </c>
      <c r="N34" s="20"/>
    </row>
    <row r="35" spans="1:14" ht="15.75" thickBot="1" x14ac:dyDescent="0.3">
      <c r="A35" s="9" t="s">
        <v>40</v>
      </c>
      <c r="B35" s="33">
        <v>84</v>
      </c>
      <c r="C35" s="1">
        <v>58</v>
      </c>
      <c r="D35" s="33">
        <v>41</v>
      </c>
      <c r="E35" s="33">
        <v>4</v>
      </c>
      <c r="F35" s="1">
        <v>0</v>
      </c>
      <c r="G35" s="1">
        <v>1</v>
      </c>
      <c r="H35" s="34">
        <v>0</v>
      </c>
      <c r="I35" s="1">
        <v>5</v>
      </c>
      <c r="J35" s="35">
        <v>0</v>
      </c>
      <c r="K35" s="35">
        <v>81</v>
      </c>
      <c r="L35" s="7">
        <f t="shared" si="1"/>
        <v>193</v>
      </c>
      <c r="M35" s="8">
        <f t="shared" si="0"/>
        <v>274</v>
      </c>
      <c r="N35" s="20"/>
    </row>
    <row r="36" spans="1:14" ht="15.75" thickBot="1" x14ac:dyDescent="0.3">
      <c r="A36" s="9" t="s">
        <v>41</v>
      </c>
      <c r="B36" s="33">
        <v>89</v>
      </c>
      <c r="C36" s="1">
        <v>43</v>
      </c>
      <c r="D36" s="33">
        <v>41</v>
      </c>
      <c r="E36" s="33">
        <v>1</v>
      </c>
      <c r="F36" s="1">
        <v>1</v>
      </c>
      <c r="G36" s="1">
        <v>5</v>
      </c>
      <c r="H36" s="34">
        <v>0</v>
      </c>
      <c r="I36" s="1">
        <v>3</v>
      </c>
      <c r="J36" s="35">
        <v>0</v>
      </c>
      <c r="K36" s="35">
        <v>93</v>
      </c>
      <c r="L36" s="7">
        <f t="shared" si="1"/>
        <v>183</v>
      </c>
      <c r="M36" s="8">
        <f t="shared" si="0"/>
        <v>276</v>
      </c>
      <c r="N36" s="20"/>
    </row>
    <row r="37" spans="1:14" ht="15.75" thickBot="1" x14ac:dyDescent="0.3">
      <c r="A37" s="9" t="s">
        <v>42</v>
      </c>
      <c r="B37" s="33">
        <v>71</v>
      </c>
      <c r="C37" s="1">
        <v>58</v>
      </c>
      <c r="D37" s="33">
        <v>64</v>
      </c>
      <c r="E37" s="33">
        <v>1</v>
      </c>
      <c r="F37" s="1">
        <v>0</v>
      </c>
      <c r="G37" s="1">
        <v>1</v>
      </c>
      <c r="H37" s="34">
        <v>0</v>
      </c>
      <c r="I37" s="1">
        <v>1</v>
      </c>
      <c r="J37" s="35">
        <v>1</v>
      </c>
      <c r="K37" s="35">
        <v>97</v>
      </c>
      <c r="L37" s="7">
        <f t="shared" si="1"/>
        <v>197</v>
      </c>
      <c r="M37" s="8">
        <f t="shared" si="0"/>
        <v>294</v>
      </c>
      <c r="N37" s="20"/>
    </row>
    <row r="38" spans="1:14" ht="15.75" thickBot="1" x14ac:dyDescent="0.3">
      <c r="A38" s="9" t="s">
        <v>43</v>
      </c>
      <c r="B38" s="33">
        <v>91</v>
      </c>
      <c r="C38" s="1">
        <v>53</v>
      </c>
      <c r="D38" s="33">
        <v>48</v>
      </c>
      <c r="E38" s="33">
        <v>3</v>
      </c>
      <c r="F38" s="1">
        <v>0</v>
      </c>
      <c r="G38" s="1">
        <v>3</v>
      </c>
      <c r="H38" s="34">
        <v>0</v>
      </c>
      <c r="I38" s="1">
        <v>0</v>
      </c>
      <c r="J38" s="35">
        <v>0</v>
      </c>
      <c r="K38" s="35">
        <v>113</v>
      </c>
      <c r="L38" s="7">
        <f t="shared" si="1"/>
        <v>198</v>
      </c>
      <c r="M38" s="8">
        <f t="shared" si="0"/>
        <v>311</v>
      </c>
      <c r="N38" s="20"/>
    </row>
    <row r="39" spans="1:14" ht="15.75" thickBot="1" x14ac:dyDescent="0.3">
      <c r="A39" s="9" t="s">
        <v>44</v>
      </c>
      <c r="B39" s="33">
        <v>77</v>
      </c>
      <c r="C39" s="1">
        <v>69</v>
      </c>
      <c r="D39" s="33">
        <v>47</v>
      </c>
      <c r="E39" s="33">
        <v>1</v>
      </c>
      <c r="F39" s="1">
        <v>0</v>
      </c>
      <c r="G39" s="1">
        <v>2</v>
      </c>
      <c r="H39" s="34">
        <v>0</v>
      </c>
      <c r="I39" s="1">
        <v>1</v>
      </c>
      <c r="J39" s="35">
        <v>0</v>
      </c>
      <c r="K39" s="35">
        <v>132</v>
      </c>
      <c r="L39" s="7">
        <f t="shared" si="1"/>
        <v>197</v>
      </c>
      <c r="M39" s="8">
        <f t="shared" si="0"/>
        <v>329</v>
      </c>
      <c r="N39" s="20"/>
    </row>
    <row r="40" spans="1:14" ht="15.75" thickBot="1" x14ac:dyDescent="0.3">
      <c r="A40" s="9" t="s">
        <v>45</v>
      </c>
      <c r="B40" s="33">
        <v>58</v>
      </c>
      <c r="C40" s="1">
        <v>65</v>
      </c>
      <c r="D40" s="33">
        <v>29</v>
      </c>
      <c r="E40" s="33">
        <v>4</v>
      </c>
      <c r="F40" s="1">
        <v>0</v>
      </c>
      <c r="G40" s="1">
        <v>2</v>
      </c>
      <c r="H40" s="34">
        <v>0</v>
      </c>
      <c r="I40" s="1">
        <v>0</v>
      </c>
      <c r="J40" s="35">
        <v>0</v>
      </c>
      <c r="K40" s="35">
        <v>102</v>
      </c>
      <c r="L40" s="7">
        <f t="shared" si="1"/>
        <v>158</v>
      </c>
      <c r="M40" s="8">
        <f t="shared" si="0"/>
        <v>260</v>
      </c>
      <c r="N40" s="20"/>
    </row>
    <row r="41" spans="1:14" ht="15.75" thickBot="1" x14ac:dyDescent="0.3">
      <c r="A41" s="9" t="s">
        <v>46</v>
      </c>
      <c r="B41" s="33">
        <v>72</v>
      </c>
      <c r="C41" s="1">
        <v>51</v>
      </c>
      <c r="D41" s="33">
        <v>45</v>
      </c>
      <c r="E41" s="33">
        <v>1</v>
      </c>
      <c r="F41" s="1">
        <v>2</v>
      </c>
      <c r="G41" s="1">
        <v>2</v>
      </c>
      <c r="H41" s="34">
        <v>0</v>
      </c>
      <c r="I41" s="1">
        <v>2</v>
      </c>
      <c r="J41" s="35">
        <v>1</v>
      </c>
      <c r="K41" s="35">
        <v>77</v>
      </c>
      <c r="L41" s="7">
        <f t="shared" si="1"/>
        <v>176</v>
      </c>
      <c r="M41" s="8">
        <f t="shared" si="0"/>
        <v>253</v>
      </c>
      <c r="N41" s="20"/>
    </row>
    <row r="42" spans="1:14" ht="15.75" thickBot="1" x14ac:dyDescent="0.3">
      <c r="A42" s="9" t="s">
        <v>47</v>
      </c>
      <c r="B42" s="33">
        <v>78</v>
      </c>
      <c r="C42" s="1">
        <v>54</v>
      </c>
      <c r="D42" s="33">
        <v>43</v>
      </c>
      <c r="E42" s="33">
        <v>2</v>
      </c>
      <c r="F42" s="1">
        <v>0</v>
      </c>
      <c r="G42" s="1">
        <v>1</v>
      </c>
      <c r="H42" s="34">
        <v>0</v>
      </c>
      <c r="I42" s="1">
        <v>0</v>
      </c>
      <c r="J42" s="35">
        <v>1</v>
      </c>
      <c r="K42" s="35">
        <v>92</v>
      </c>
      <c r="L42" s="7">
        <f t="shared" si="1"/>
        <v>179</v>
      </c>
      <c r="M42" s="8">
        <f t="shared" si="0"/>
        <v>271</v>
      </c>
      <c r="N42" s="20"/>
    </row>
    <row r="43" spans="1:14" ht="15.75" thickBot="1" x14ac:dyDescent="0.3">
      <c r="A43" s="9" t="s">
        <v>48</v>
      </c>
      <c r="B43" s="33">
        <v>67</v>
      </c>
      <c r="C43" s="1">
        <v>47</v>
      </c>
      <c r="D43" s="33">
        <v>29</v>
      </c>
      <c r="E43" s="33">
        <v>1</v>
      </c>
      <c r="F43" s="1">
        <v>0</v>
      </c>
      <c r="G43" s="1">
        <v>5</v>
      </c>
      <c r="H43" s="34">
        <v>0</v>
      </c>
      <c r="I43" s="1">
        <v>0</v>
      </c>
      <c r="J43" s="35">
        <v>1</v>
      </c>
      <c r="K43" s="35">
        <v>108</v>
      </c>
      <c r="L43" s="7">
        <f t="shared" si="1"/>
        <v>150</v>
      </c>
      <c r="M43" s="8">
        <f t="shared" si="0"/>
        <v>258</v>
      </c>
      <c r="N43" s="20"/>
    </row>
    <row r="44" spans="1:14" ht="15.75" thickBot="1" x14ac:dyDescent="0.3">
      <c r="A44" s="9" t="s">
        <v>49</v>
      </c>
      <c r="B44" s="33">
        <v>102</v>
      </c>
      <c r="C44" s="1">
        <v>91</v>
      </c>
      <c r="D44" s="33">
        <v>49</v>
      </c>
      <c r="E44" s="33">
        <v>0</v>
      </c>
      <c r="F44" s="1">
        <v>2</v>
      </c>
      <c r="G44" s="1">
        <v>1</v>
      </c>
      <c r="H44" s="34">
        <v>0</v>
      </c>
      <c r="I44" s="1">
        <v>0</v>
      </c>
      <c r="J44" s="35">
        <v>0</v>
      </c>
      <c r="K44" s="35">
        <v>93</v>
      </c>
      <c r="L44" s="7">
        <f t="shared" si="1"/>
        <v>245</v>
      </c>
      <c r="M44" s="8">
        <f t="shared" si="0"/>
        <v>338</v>
      </c>
      <c r="N44" s="20"/>
    </row>
    <row r="45" spans="1:14" ht="15.75" thickBot="1" x14ac:dyDescent="0.3">
      <c r="A45" s="9" t="s">
        <v>50</v>
      </c>
      <c r="B45" s="33">
        <v>119</v>
      </c>
      <c r="C45" s="1">
        <v>97</v>
      </c>
      <c r="D45" s="33">
        <v>69</v>
      </c>
      <c r="E45" s="33">
        <v>1</v>
      </c>
      <c r="F45" s="1">
        <v>1</v>
      </c>
      <c r="G45" s="1">
        <v>2</v>
      </c>
      <c r="H45" s="34">
        <v>0</v>
      </c>
      <c r="I45" s="1">
        <v>3</v>
      </c>
      <c r="J45" s="35">
        <v>0</v>
      </c>
      <c r="K45" s="35">
        <v>121</v>
      </c>
      <c r="L45" s="7">
        <f t="shared" si="1"/>
        <v>292</v>
      </c>
      <c r="M45" s="8">
        <f t="shared" si="0"/>
        <v>413</v>
      </c>
      <c r="N45" s="20"/>
    </row>
    <row r="46" spans="1:14" ht="15.75" thickBot="1" x14ac:dyDescent="0.3">
      <c r="A46" s="9" t="s">
        <v>51</v>
      </c>
      <c r="B46" s="33">
        <v>119</v>
      </c>
      <c r="C46" s="1">
        <v>108</v>
      </c>
      <c r="D46" s="33">
        <v>48</v>
      </c>
      <c r="E46" s="33">
        <v>0</v>
      </c>
      <c r="F46" s="1">
        <v>0</v>
      </c>
      <c r="G46" s="1">
        <v>3</v>
      </c>
      <c r="H46" s="34">
        <v>0</v>
      </c>
      <c r="I46" s="1">
        <v>3</v>
      </c>
      <c r="J46" s="35">
        <v>0</v>
      </c>
      <c r="K46" s="35">
        <v>156</v>
      </c>
      <c r="L46" s="7">
        <f t="shared" si="1"/>
        <v>281</v>
      </c>
      <c r="M46" s="8">
        <f t="shared" si="0"/>
        <v>437</v>
      </c>
      <c r="N46" s="20"/>
    </row>
    <row r="47" spans="1:14" ht="15.75" thickBot="1" x14ac:dyDescent="0.3">
      <c r="A47" s="9" t="s">
        <v>52</v>
      </c>
      <c r="B47" s="33">
        <v>87</v>
      </c>
      <c r="C47" s="1">
        <v>56</v>
      </c>
      <c r="D47" s="33">
        <v>51</v>
      </c>
      <c r="E47" s="33">
        <v>2</v>
      </c>
      <c r="F47" s="1">
        <v>0</v>
      </c>
      <c r="G47" s="1">
        <v>0</v>
      </c>
      <c r="H47" s="34">
        <v>0</v>
      </c>
      <c r="I47" s="1">
        <v>0</v>
      </c>
      <c r="J47" s="35">
        <v>0</v>
      </c>
      <c r="K47" s="35">
        <v>123</v>
      </c>
      <c r="L47" s="7">
        <f t="shared" si="1"/>
        <v>196</v>
      </c>
      <c r="M47" s="8">
        <f t="shared" si="0"/>
        <v>319</v>
      </c>
      <c r="N47" s="20"/>
    </row>
    <row r="48" spans="1:14" ht="15.75" thickBot="1" x14ac:dyDescent="0.3">
      <c r="A48" s="9" t="s">
        <v>53</v>
      </c>
      <c r="B48" s="33">
        <v>103</v>
      </c>
      <c r="C48" s="1">
        <v>47</v>
      </c>
      <c r="D48" s="33">
        <v>64</v>
      </c>
      <c r="E48" s="33">
        <v>2</v>
      </c>
      <c r="F48" s="1">
        <v>1</v>
      </c>
      <c r="G48" s="1">
        <v>0</v>
      </c>
      <c r="H48" s="34">
        <v>0</v>
      </c>
      <c r="I48" s="1">
        <v>1</v>
      </c>
      <c r="J48" s="35">
        <v>2</v>
      </c>
      <c r="K48" s="35">
        <v>123</v>
      </c>
      <c r="L48" s="7">
        <f t="shared" si="1"/>
        <v>220</v>
      </c>
      <c r="M48" s="8">
        <f t="shared" si="0"/>
        <v>343</v>
      </c>
      <c r="N48" s="20"/>
    </row>
    <row r="49" spans="1:14" ht="15.75" thickBot="1" x14ac:dyDescent="0.3">
      <c r="A49" s="9" t="s">
        <v>54</v>
      </c>
      <c r="B49" s="33">
        <v>91</v>
      </c>
      <c r="C49" s="1">
        <v>41</v>
      </c>
      <c r="D49" s="33">
        <v>44</v>
      </c>
      <c r="E49" s="33">
        <v>0</v>
      </c>
      <c r="F49" s="1">
        <v>3</v>
      </c>
      <c r="G49" s="1">
        <v>0</v>
      </c>
      <c r="H49" s="34">
        <v>0</v>
      </c>
      <c r="I49" s="1">
        <v>5</v>
      </c>
      <c r="J49" s="35">
        <v>1</v>
      </c>
      <c r="K49" s="35">
        <v>67</v>
      </c>
      <c r="L49" s="7">
        <f t="shared" si="1"/>
        <v>185</v>
      </c>
      <c r="M49" s="8">
        <f t="shared" si="0"/>
        <v>252</v>
      </c>
      <c r="N49" s="20"/>
    </row>
    <row r="50" spans="1:14" ht="15.75" thickBot="1" x14ac:dyDescent="0.3">
      <c r="A50" s="9" t="s">
        <v>55</v>
      </c>
      <c r="B50" s="33">
        <v>63</v>
      </c>
      <c r="C50" s="1">
        <v>34</v>
      </c>
      <c r="D50" s="33">
        <v>47</v>
      </c>
      <c r="E50" s="33">
        <v>2</v>
      </c>
      <c r="F50" s="1">
        <v>0</v>
      </c>
      <c r="G50" s="1">
        <v>1</v>
      </c>
      <c r="H50" s="34">
        <v>0</v>
      </c>
      <c r="I50" s="1">
        <v>2</v>
      </c>
      <c r="J50" s="35">
        <v>0</v>
      </c>
      <c r="K50" s="35">
        <v>52</v>
      </c>
      <c r="L50" s="7">
        <f t="shared" si="1"/>
        <v>149</v>
      </c>
      <c r="M50" s="8">
        <f t="shared" si="0"/>
        <v>201</v>
      </c>
      <c r="N50" s="20"/>
    </row>
    <row r="51" spans="1:14" ht="15.75" thickBot="1" x14ac:dyDescent="0.3">
      <c r="A51" s="9" t="s">
        <v>56</v>
      </c>
      <c r="B51" s="33">
        <v>76</v>
      </c>
      <c r="C51" s="1">
        <v>57</v>
      </c>
      <c r="D51" s="33">
        <v>45</v>
      </c>
      <c r="E51" s="33">
        <v>3</v>
      </c>
      <c r="F51" s="1">
        <v>0</v>
      </c>
      <c r="G51" s="1">
        <v>0</v>
      </c>
      <c r="H51" s="34">
        <v>1</v>
      </c>
      <c r="I51" s="1">
        <v>0</v>
      </c>
      <c r="J51" s="35">
        <v>0</v>
      </c>
      <c r="K51" s="35">
        <v>108</v>
      </c>
      <c r="L51" s="7">
        <f t="shared" si="1"/>
        <v>182</v>
      </c>
      <c r="M51" s="8">
        <f t="shared" si="0"/>
        <v>290</v>
      </c>
      <c r="N51" s="20"/>
    </row>
    <row r="52" spans="1:14" ht="15.75" thickBot="1" x14ac:dyDescent="0.3">
      <c r="A52" s="9" t="s">
        <v>57</v>
      </c>
      <c r="B52" s="33">
        <v>134</v>
      </c>
      <c r="C52" s="1">
        <v>76</v>
      </c>
      <c r="D52" s="33">
        <v>52</v>
      </c>
      <c r="E52" s="33">
        <v>5</v>
      </c>
      <c r="F52" s="1">
        <v>1</v>
      </c>
      <c r="G52" s="1">
        <v>4</v>
      </c>
      <c r="H52" s="34">
        <v>0</v>
      </c>
      <c r="I52" s="1">
        <v>2</v>
      </c>
      <c r="J52" s="35">
        <v>0</v>
      </c>
      <c r="K52" s="35">
        <v>123</v>
      </c>
      <c r="L52" s="7">
        <f t="shared" si="1"/>
        <v>274</v>
      </c>
      <c r="M52" s="8">
        <f t="shared" si="0"/>
        <v>397</v>
      </c>
      <c r="N52" s="20"/>
    </row>
    <row r="53" spans="1:14" ht="15.75" thickBot="1" x14ac:dyDescent="0.3">
      <c r="A53" s="9" t="s">
        <v>58</v>
      </c>
      <c r="B53" s="33">
        <v>117</v>
      </c>
      <c r="C53" s="1">
        <v>53</v>
      </c>
      <c r="D53" s="33">
        <v>74</v>
      </c>
      <c r="E53" s="33">
        <v>2</v>
      </c>
      <c r="F53" s="1">
        <v>0</v>
      </c>
      <c r="G53" s="1">
        <v>1</v>
      </c>
      <c r="H53" s="34">
        <v>0</v>
      </c>
      <c r="I53" s="1">
        <v>1</v>
      </c>
      <c r="J53" s="35">
        <v>0</v>
      </c>
      <c r="K53" s="35">
        <v>104</v>
      </c>
      <c r="L53" s="7">
        <f t="shared" si="1"/>
        <v>248</v>
      </c>
      <c r="M53" s="8">
        <f t="shared" si="0"/>
        <v>352</v>
      </c>
      <c r="N53" s="20"/>
    </row>
    <row r="54" spans="1:14" ht="15.75" thickBot="1" x14ac:dyDescent="0.3">
      <c r="A54" s="9" t="s">
        <v>59</v>
      </c>
      <c r="B54" s="33">
        <v>99</v>
      </c>
      <c r="C54" s="1">
        <v>63</v>
      </c>
      <c r="D54" s="33">
        <v>51</v>
      </c>
      <c r="E54" s="33">
        <v>1</v>
      </c>
      <c r="F54" s="1">
        <v>1</v>
      </c>
      <c r="G54" s="1">
        <v>1</v>
      </c>
      <c r="H54" s="34">
        <v>0</v>
      </c>
      <c r="I54" s="1">
        <v>1</v>
      </c>
      <c r="J54" s="35">
        <v>0</v>
      </c>
      <c r="K54" s="35">
        <v>148</v>
      </c>
      <c r="L54" s="7">
        <f t="shared" si="1"/>
        <v>217</v>
      </c>
      <c r="M54" s="8">
        <f t="shared" si="0"/>
        <v>365</v>
      </c>
      <c r="N54" s="20"/>
    </row>
    <row r="55" spans="1:14" ht="15.75" thickBot="1" x14ac:dyDescent="0.3">
      <c r="A55" s="9" t="s">
        <v>60</v>
      </c>
      <c r="B55" s="33">
        <v>129</v>
      </c>
      <c r="C55" s="1">
        <v>83</v>
      </c>
      <c r="D55" s="33">
        <v>72</v>
      </c>
      <c r="E55" s="33">
        <v>1</v>
      </c>
      <c r="F55" s="1">
        <v>1</v>
      </c>
      <c r="G55" s="1">
        <v>0</v>
      </c>
      <c r="H55" s="34">
        <v>0</v>
      </c>
      <c r="I55" s="1">
        <v>0</v>
      </c>
      <c r="J55" s="35">
        <v>0</v>
      </c>
      <c r="K55" s="35">
        <v>191</v>
      </c>
      <c r="L55" s="7">
        <f t="shared" si="1"/>
        <v>286</v>
      </c>
      <c r="M55" s="8">
        <f t="shared" si="0"/>
        <v>477</v>
      </c>
      <c r="N55" s="20"/>
    </row>
    <row r="56" spans="1:14" ht="15.75" thickBot="1" x14ac:dyDescent="0.3">
      <c r="A56" s="9" t="s">
        <v>61</v>
      </c>
      <c r="B56" s="41" t="s">
        <v>105</v>
      </c>
      <c r="C56" s="1">
        <v>69</v>
      </c>
      <c r="D56" s="33">
        <v>46</v>
      </c>
      <c r="E56" s="33">
        <v>1</v>
      </c>
      <c r="F56" s="1">
        <v>2</v>
      </c>
      <c r="G56" s="1">
        <v>0</v>
      </c>
      <c r="H56" s="34">
        <v>1</v>
      </c>
      <c r="I56" s="1">
        <v>0</v>
      </c>
      <c r="J56" s="35">
        <v>0</v>
      </c>
      <c r="K56" s="35">
        <v>216</v>
      </c>
      <c r="L56" s="7">
        <f t="shared" si="1"/>
        <v>119</v>
      </c>
      <c r="M56" s="8">
        <f t="shared" si="0"/>
        <v>335</v>
      </c>
      <c r="N56" s="20"/>
    </row>
    <row r="57" spans="1:14" ht="15.75" thickBot="1" x14ac:dyDescent="0.3">
      <c r="A57" s="9" t="s">
        <v>62</v>
      </c>
      <c r="B57" s="33">
        <v>94</v>
      </c>
      <c r="C57" s="1">
        <v>48</v>
      </c>
      <c r="D57" s="33">
        <v>53</v>
      </c>
      <c r="E57" s="33">
        <v>2</v>
      </c>
      <c r="F57" s="1">
        <v>0</v>
      </c>
      <c r="G57" s="1">
        <v>2</v>
      </c>
      <c r="H57" s="34">
        <v>0</v>
      </c>
      <c r="I57" s="1">
        <v>1</v>
      </c>
      <c r="J57" s="35">
        <v>0</v>
      </c>
      <c r="K57" s="35">
        <v>103</v>
      </c>
      <c r="L57" s="7">
        <f t="shared" si="1"/>
        <v>200</v>
      </c>
      <c r="M57" s="8">
        <f t="shared" si="0"/>
        <v>303</v>
      </c>
      <c r="N57" s="20"/>
    </row>
    <row r="58" spans="1:14" ht="15.75" thickBot="1" x14ac:dyDescent="0.3">
      <c r="A58" s="9" t="s">
        <v>63</v>
      </c>
      <c r="B58" s="33">
        <v>128</v>
      </c>
      <c r="C58" s="1">
        <v>101</v>
      </c>
      <c r="D58" s="33">
        <v>74</v>
      </c>
      <c r="E58" s="33">
        <v>0</v>
      </c>
      <c r="F58" s="1">
        <v>1</v>
      </c>
      <c r="G58" s="1">
        <v>7</v>
      </c>
      <c r="H58" s="34">
        <v>0</v>
      </c>
      <c r="I58" s="1">
        <v>0</v>
      </c>
      <c r="J58" s="35">
        <v>0</v>
      </c>
      <c r="K58" s="35">
        <v>119</v>
      </c>
      <c r="L58" s="7">
        <f t="shared" si="1"/>
        <v>311</v>
      </c>
      <c r="M58" s="8">
        <f t="shared" si="0"/>
        <v>430</v>
      </c>
      <c r="N58" s="20"/>
    </row>
    <row r="59" spans="1:14" ht="15.75" thickBot="1" x14ac:dyDescent="0.3">
      <c r="A59" s="9" t="s">
        <v>64</v>
      </c>
      <c r="B59" s="33">
        <v>127</v>
      </c>
      <c r="C59" s="1">
        <v>64</v>
      </c>
      <c r="D59" s="33">
        <v>54</v>
      </c>
      <c r="E59" s="33">
        <v>3</v>
      </c>
      <c r="F59" s="1">
        <v>0</v>
      </c>
      <c r="G59" s="1">
        <v>0</v>
      </c>
      <c r="H59" s="34">
        <v>0</v>
      </c>
      <c r="I59" s="1">
        <v>0</v>
      </c>
      <c r="J59" s="35">
        <v>0</v>
      </c>
      <c r="K59" s="35">
        <v>146</v>
      </c>
      <c r="L59" s="7">
        <f t="shared" si="1"/>
        <v>248</v>
      </c>
      <c r="M59" s="8">
        <f t="shared" si="0"/>
        <v>394</v>
      </c>
      <c r="N59" s="20"/>
    </row>
    <row r="60" spans="1:14" ht="15.75" thickBot="1" x14ac:dyDescent="0.3">
      <c r="A60" s="9" t="s">
        <v>65</v>
      </c>
      <c r="B60" s="33">
        <v>93</v>
      </c>
      <c r="C60" s="1">
        <v>44</v>
      </c>
      <c r="D60" s="33">
        <v>52</v>
      </c>
      <c r="E60" s="33">
        <v>3</v>
      </c>
      <c r="F60" s="1">
        <v>3</v>
      </c>
      <c r="G60" s="1">
        <v>3</v>
      </c>
      <c r="H60" s="34">
        <v>0</v>
      </c>
      <c r="I60" s="1">
        <v>1</v>
      </c>
      <c r="J60" s="35">
        <v>0</v>
      </c>
      <c r="K60" s="35">
        <v>115</v>
      </c>
      <c r="L60" s="7">
        <f t="shared" si="1"/>
        <v>199</v>
      </c>
      <c r="M60" s="8">
        <f t="shared" si="0"/>
        <v>314</v>
      </c>
      <c r="N60" s="20"/>
    </row>
    <row r="61" spans="1:14" ht="15.75" thickBot="1" x14ac:dyDescent="0.3">
      <c r="A61" s="9" t="s">
        <v>66</v>
      </c>
      <c r="B61" s="33">
        <v>75</v>
      </c>
      <c r="C61" s="1">
        <v>34</v>
      </c>
      <c r="D61" s="33">
        <v>38</v>
      </c>
      <c r="E61" s="33">
        <v>2</v>
      </c>
      <c r="F61" s="1">
        <v>0</v>
      </c>
      <c r="G61" s="1">
        <v>1</v>
      </c>
      <c r="H61" s="34">
        <v>0</v>
      </c>
      <c r="I61" s="1">
        <v>0</v>
      </c>
      <c r="J61" s="35">
        <v>0</v>
      </c>
      <c r="K61" s="35">
        <v>88</v>
      </c>
      <c r="L61" s="7">
        <f t="shared" si="1"/>
        <v>150</v>
      </c>
      <c r="M61" s="8">
        <f t="shared" si="0"/>
        <v>238</v>
      </c>
      <c r="N61" s="20"/>
    </row>
    <row r="62" spans="1:14" ht="15.75" thickBot="1" x14ac:dyDescent="0.3">
      <c r="A62" s="10" t="s">
        <v>67</v>
      </c>
      <c r="B62" s="33">
        <v>124</v>
      </c>
      <c r="C62" s="1">
        <v>117</v>
      </c>
      <c r="D62" s="33">
        <v>88</v>
      </c>
      <c r="E62" s="33">
        <v>0</v>
      </c>
      <c r="F62" s="1">
        <v>1</v>
      </c>
      <c r="G62" s="1">
        <v>3</v>
      </c>
      <c r="H62" s="34">
        <v>0</v>
      </c>
      <c r="I62" s="1">
        <v>0</v>
      </c>
      <c r="J62" s="35">
        <v>1</v>
      </c>
      <c r="K62" s="35">
        <v>87</v>
      </c>
      <c r="L62" s="7">
        <f t="shared" si="1"/>
        <v>334</v>
      </c>
      <c r="M62" s="8">
        <f t="shared" si="0"/>
        <v>421</v>
      </c>
      <c r="N62" s="20"/>
    </row>
    <row r="63" spans="1:14" ht="15.75" thickBot="1" x14ac:dyDescent="0.3">
      <c r="A63" s="9" t="s">
        <v>68</v>
      </c>
      <c r="B63" s="33">
        <v>106</v>
      </c>
      <c r="C63" s="1">
        <v>69</v>
      </c>
      <c r="D63" s="33">
        <v>64</v>
      </c>
      <c r="E63" s="33">
        <v>4</v>
      </c>
      <c r="F63" s="1">
        <v>1</v>
      </c>
      <c r="G63" s="1">
        <v>0</v>
      </c>
      <c r="H63" s="34">
        <v>0</v>
      </c>
      <c r="I63" s="1">
        <v>0</v>
      </c>
      <c r="J63" s="35">
        <v>0</v>
      </c>
      <c r="K63" s="35">
        <v>39</v>
      </c>
      <c r="L63" s="7">
        <f t="shared" si="1"/>
        <v>244</v>
      </c>
      <c r="M63" s="8">
        <f t="shared" si="0"/>
        <v>283</v>
      </c>
      <c r="N63" s="20"/>
    </row>
    <row r="64" spans="1:14" ht="15.75" thickBot="1" x14ac:dyDescent="0.3">
      <c r="A64" s="9" t="s">
        <v>69</v>
      </c>
      <c r="B64" s="33">
        <v>103</v>
      </c>
      <c r="C64" s="1">
        <v>32</v>
      </c>
      <c r="D64" s="33">
        <v>52</v>
      </c>
      <c r="E64" s="33">
        <v>1</v>
      </c>
      <c r="F64" s="1">
        <v>0</v>
      </c>
      <c r="G64" s="1">
        <v>1</v>
      </c>
      <c r="H64" s="34">
        <v>0</v>
      </c>
      <c r="I64" s="1">
        <v>1</v>
      </c>
      <c r="J64" s="35">
        <v>0</v>
      </c>
      <c r="K64" s="35">
        <v>33</v>
      </c>
      <c r="L64" s="7">
        <f t="shared" si="1"/>
        <v>190</v>
      </c>
      <c r="M64" s="8">
        <f>SUM(B64:K64)</f>
        <v>223</v>
      </c>
      <c r="N64" s="20"/>
    </row>
    <row r="65" spans="1:14" ht="15.75" thickBot="1" x14ac:dyDescent="0.3">
      <c r="A65" s="11" t="s">
        <v>70</v>
      </c>
      <c r="B65" s="33">
        <v>110</v>
      </c>
      <c r="C65" s="1">
        <v>53</v>
      </c>
      <c r="D65" s="33">
        <v>92</v>
      </c>
      <c r="E65" s="33">
        <v>5</v>
      </c>
      <c r="F65" s="1">
        <v>0</v>
      </c>
      <c r="G65" s="1">
        <v>2</v>
      </c>
      <c r="H65" s="34">
        <v>0</v>
      </c>
      <c r="I65" s="1">
        <v>0</v>
      </c>
      <c r="J65" s="35">
        <v>0</v>
      </c>
      <c r="K65" s="35">
        <v>97</v>
      </c>
      <c r="L65" s="7">
        <f t="shared" si="1"/>
        <v>262</v>
      </c>
      <c r="M65" s="8">
        <f>SUM(B65:K65)</f>
        <v>359</v>
      </c>
      <c r="N65" s="20"/>
    </row>
    <row r="66" spans="1:14" ht="15.75" thickBot="1" x14ac:dyDescent="0.3">
      <c r="A66" s="9" t="s">
        <v>71</v>
      </c>
      <c r="B66" s="33">
        <v>89</v>
      </c>
      <c r="C66" s="1">
        <v>92</v>
      </c>
      <c r="D66" s="33">
        <v>109</v>
      </c>
      <c r="E66" s="33">
        <v>1</v>
      </c>
      <c r="F66" s="1">
        <v>1</v>
      </c>
      <c r="G66" s="1">
        <v>0</v>
      </c>
      <c r="H66" s="34">
        <v>0</v>
      </c>
      <c r="I66" s="1">
        <v>0</v>
      </c>
      <c r="J66" s="35">
        <v>0</v>
      </c>
      <c r="K66" s="35">
        <v>79</v>
      </c>
      <c r="L66" s="7">
        <f t="shared" si="1"/>
        <v>292</v>
      </c>
      <c r="M66" s="8">
        <f t="shared" si="0"/>
        <v>371</v>
      </c>
      <c r="N66" s="20"/>
    </row>
    <row r="67" spans="1:14" ht="15.75" thickBot="1" x14ac:dyDescent="0.3">
      <c r="A67" s="9" t="s">
        <v>72</v>
      </c>
      <c r="B67" s="33">
        <v>83</v>
      </c>
      <c r="C67" s="1">
        <v>91</v>
      </c>
      <c r="D67" s="33">
        <v>53</v>
      </c>
      <c r="E67" s="33">
        <v>3</v>
      </c>
      <c r="F67" s="1">
        <v>0</v>
      </c>
      <c r="G67" s="1">
        <v>0</v>
      </c>
      <c r="H67" s="34">
        <v>0</v>
      </c>
      <c r="I67" s="1">
        <v>0</v>
      </c>
      <c r="J67" s="35">
        <v>0</v>
      </c>
      <c r="K67" s="35">
        <v>84</v>
      </c>
      <c r="L67" s="7">
        <f t="shared" si="1"/>
        <v>230</v>
      </c>
      <c r="M67" s="8">
        <f>SUM(B67:K67)</f>
        <v>314</v>
      </c>
      <c r="N67" s="20"/>
    </row>
    <row r="68" spans="1:14" ht="15.75" thickBot="1" x14ac:dyDescent="0.3">
      <c r="A68" s="9" t="s">
        <v>90</v>
      </c>
      <c r="B68" s="33">
        <v>112</v>
      </c>
      <c r="C68" s="1">
        <v>52</v>
      </c>
      <c r="D68" s="33">
        <v>38</v>
      </c>
      <c r="E68" s="33">
        <v>0</v>
      </c>
      <c r="F68" s="1">
        <v>0</v>
      </c>
      <c r="G68" s="1">
        <v>0</v>
      </c>
      <c r="H68" s="34">
        <v>0</v>
      </c>
      <c r="I68" s="1">
        <v>0</v>
      </c>
      <c r="J68" s="35">
        <v>0</v>
      </c>
      <c r="K68" s="35">
        <v>63</v>
      </c>
      <c r="L68" s="7">
        <f t="shared" si="1"/>
        <v>202</v>
      </c>
      <c r="M68" s="8">
        <f t="shared" ref="M68:M71" si="2">SUM(B68:K68)</f>
        <v>265</v>
      </c>
      <c r="N68" s="20"/>
    </row>
    <row r="69" spans="1:14" ht="15.75" thickBot="1" x14ac:dyDescent="0.3">
      <c r="A69" s="9" t="s">
        <v>91</v>
      </c>
      <c r="B69" s="33">
        <v>103</v>
      </c>
      <c r="C69" s="1">
        <v>48</v>
      </c>
      <c r="D69" s="33">
        <v>24</v>
      </c>
      <c r="E69" s="33">
        <v>3</v>
      </c>
      <c r="F69" s="1">
        <v>0</v>
      </c>
      <c r="G69" s="1">
        <v>0</v>
      </c>
      <c r="H69" s="34">
        <v>0</v>
      </c>
      <c r="I69" s="1">
        <v>0</v>
      </c>
      <c r="J69" s="35">
        <v>0</v>
      </c>
      <c r="K69" s="35">
        <v>44</v>
      </c>
      <c r="L69" s="7">
        <f t="shared" si="1"/>
        <v>178</v>
      </c>
      <c r="M69" s="8">
        <f t="shared" si="2"/>
        <v>222</v>
      </c>
      <c r="N69" s="20"/>
    </row>
    <row r="70" spans="1:14" ht="15.75" thickBot="1" x14ac:dyDescent="0.3">
      <c r="A70" s="9" t="s">
        <v>92</v>
      </c>
      <c r="B70" s="33">
        <v>83</v>
      </c>
      <c r="C70" s="1">
        <v>19</v>
      </c>
      <c r="D70" s="33">
        <v>12</v>
      </c>
      <c r="E70" s="33">
        <v>0</v>
      </c>
      <c r="F70" s="1">
        <v>0</v>
      </c>
      <c r="G70" s="1">
        <v>0</v>
      </c>
      <c r="H70" s="34">
        <v>0</v>
      </c>
      <c r="I70" s="1">
        <v>0</v>
      </c>
      <c r="J70" s="35">
        <v>0</v>
      </c>
      <c r="K70" s="35">
        <v>22</v>
      </c>
      <c r="L70" s="7">
        <f t="shared" si="1"/>
        <v>114</v>
      </c>
      <c r="M70" s="8">
        <f t="shared" si="2"/>
        <v>136</v>
      </c>
      <c r="N70" s="20"/>
    </row>
    <row r="71" spans="1:14" ht="15.75" thickBot="1" x14ac:dyDescent="0.3">
      <c r="A71" s="9" t="s">
        <v>93</v>
      </c>
      <c r="B71" s="33">
        <v>32</v>
      </c>
      <c r="C71" s="1">
        <v>28</v>
      </c>
      <c r="D71" s="33">
        <v>14</v>
      </c>
      <c r="E71" s="33">
        <v>0</v>
      </c>
      <c r="F71" s="1">
        <v>0</v>
      </c>
      <c r="G71" s="1">
        <v>0</v>
      </c>
      <c r="H71" s="34">
        <v>0</v>
      </c>
      <c r="I71" s="1">
        <v>0</v>
      </c>
      <c r="J71" s="35">
        <v>0</v>
      </c>
      <c r="K71" s="35">
        <v>54</v>
      </c>
      <c r="L71" s="7">
        <f t="shared" si="1"/>
        <v>74</v>
      </c>
      <c r="M71" s="8">
        <f t="shared" si="2"/>
        <v>128</v>
      </c>
      <c r="N71" s="20"/>
    </row>
    <row r="72" spans="1:14" ht="15.75" thickBot="1" x14ac:dyDescent="0.3">
      <c r="B72" s="12">
        <f>SUM(B8:B71)</f>
        <v>4858</v>
      </c>
      <c r="C72" s="12">
        <f t="shared" ref="C72:K72" si="3">SUM(C8:C71)</f>
        <v>3398</v>
      </c>
      <c r="D72" s="12">
        <f t="shared" si="3"/>
        <v>3531</v>
      </c>
      <c r="E72" s="12">
        <f t="shared" si="3"/>
        <v>115</v>
      </c>
      <c r="F72" s="12">
        <f t="shared" si="3"/>
        <v>35</v>
      </c>
      <c r="G72" s="12">
        <f t="shared" si="3"/>
        <v>102</v>
      </c>
      <c r="H72" s="12">
        <f t="shared" si="3"/>
        <v>3</v>
      </c>
      <c r="I72" s="12">
        <f t="shared" si="3"/>
        <v>71</v>
      </c>
      <c r="J72" s="12">
        <f t="shared" si="3"/>
        <v>13</v>
      </c>
      <c r="K72" s="12">
        <f t="shared" si="3"/>
        <v>5376</v>
      </c>
      <c r="L72" s="12">
        <f>SUM(B72:J72)</f>
        <v>12126</v>
      </c>
      <c r="M72" s="8">
        <f>SUM(B72:K72)</f>
        <v>17502</v>
      </c>
      <c r="N72" s="20"/>
    </row>
    <row r="73" spans="1:14" ht="15.75" thickBot="1" x14ac:dyDescent="0.3">
      <c r="A73" s="57" t="s">
        <v>118</v>
      </c>
      <c r="B73" s="58">
        <f>AVERAGE(B8:B23)*4</f>
        <v>209</v>
      </c>
      <c r="C73" s="58">
        <f t="shared" ref="C73:K73" si="4">AVERAGE(C8:C23)*4</f>
        <v>156</v>
      </c>
      <c r="D73" s="58">
        <f t="shared" si="4"/>
        <v>239.25</v>
      </c>
      <c r="E73" s="58">
        <f t="shared" si="4"/>
        <v>9.75</v>
      </c>
      <c r="F73" s="58">
        <f t="shared" si="4"/>
        <v>2</v>
      </c>
      <c r="G73" s="58">
        <f t="shared" si="4"/>
        <v>5.75</v>
      </c>
      <c r="H73" s="58">
        <f t="shared" si="4"/>
        <v>0</v>
      </c>
      <c r="I73" s="58">
        <f t="shared" si="4"/>
        <v>4.5</v>
      </c>
      <c r="J73" s="58">
        <f t="shared" si="4"/>
        <v>0.5</v>
      </c>
      <c r="K73" s="58">
        <f t="shared" si="4"/>
        <v>215.5</v>
      </c>
      <c r="M73" s="12">
        <f>SUM(M8:M71)</f>
        <v>17502</v>
      </c>
      <c r="N73" s="20"/>
    </row>
    <row r="74" spans="1:14" x14ac:dyDescent="0.25">
      <c r="A74" s="57" t="s">
        <v>119</v>
      </c>
      <c r="B74" s="58">
        <f>AVERAGE(B48:B59)*4</f>
        <v>422.18181818181819</v>
      </c>
      <c r="C74" s="58">
        <f t="shared" ref="C74:K74" si="5">AVERAGE(C48:C59)*4</f>
        <v>245.33333333333334</v>
      </c>
      <c r="D74" s="58">
        <f t="shared" si="5"/>
        <v>225.33333333333334</v>
      </c>
      <c r="E74" s="58">
        <f t="shared" si="5"/>
        <v>7.333333333333333</v>
      </c>
      <c r="F74" s="58">
        <f t="shared" si="5"/>
        <v>3.3333333333333335</v>
      </c>
      <c r="G74" s="58">
        <f t="shared" si="5"/>
        <v>5.333333333333333</v>
      </c>
      <c r="H74" s="58">
        <f t="shared" si="5"/>
        <v>0.66666666666666663</v>
      </c>
      <c r="I74" s="58">
        <f t="shared" si="5"/>
        <v>4.333333333333333</v>
      </c>
      <c r="J74" s="58">
        <f t="shared" si="5"/>
        <v>1</v>
      </c>
      <c r="K74" s="58">
        <f t="shared" si="5"/>
        <v>500</v>
      </c>
    </row>
  </sheetData>
  <mergeCells count="8">
    <mergeCell ref="A6:M6"/>
    <mergeCell ref="A1:M1"/>
    <mergeCell ref="A2:M2"/>
    <mergeCell ref="A3:M3"/>
    <mergeCell ref="G4:H4"/>
    <mergeCell ref="B5:C5"/>
    <mergeCell ref="G5:H5"/>
    <mergeCell ref="B4:C4"/>
  </mergeCells>
  <pageMargins left="0.7" right="0.7" top="0.75" bottom="0.75" header="0.3" footer="0.3"/>
  <pageSetup scale="4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74"/>
  <sheetViews>
    <sheetView view="pageBreakPreview" zoomScaleSheetLayoutView="100" workbookViewId="0">
      <selection activeCell="B4" sqref="B4:C4"/>
    </sheetView>
  </sheetViews>
  <sheetFormatPr defaultColWidth="13.28515625" defaultRowHeight="15" x14ac:dyDescent="0.25"/>
  <cols>
    <col min="1" max="1" width="14.85546875" customWidth="1"/>
    <col min="2" max="2" width="11.7109375" customWidth="1"/>
    <col min="3" max="3" width="13.28515625" customWidth="1"/>
    <col min="4" max="4" width="12.7109375" customWidth="1"/>
    <col min="5" max="6" width="13.28515625" customWidth="1"/>
    <col min="7" max="7" width="11.42578125" customWidth="1"/>
    <col min="8" max="8" width="13.28515625" customWidth="1"/>
    <col min="9" max="9" width="11.42578125" customWidth="1"/>
    <col min="10" max="10" width="13.28515625" customWidth="1"/>
    <col min="11" max="11" width="12" customWidth="1"/>
    <col min="12" max="12" width="9.28515625" customWidth="1"/>
    <col min="13" max="16" width="10.7109375" customWidth="1"/>
    <col min="17" max="17" width="12.7109375" customWidth="1"/>
    <col min="18" max="18" width="6.42578125" style="22" customWidth="1"/>
  </cols>
  <sheetData>
    <row r="1" spans="1:21" ht="18.75" x14ac:dyDescent="0.3">
      <c r="A1" s="62" t="s">
        <v>120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45"/>
      <c r="O1" s="45"/>
      <c r="P1" s="45"/>
      <c r="Q1" s="36"/>
    </row>
    <row r="2" spans="1:21" ht="18.75" x14ac:dyDescent="0.3">
      <c r="A2" s="65" t="s">
        <v>94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7"/>
      <c r="N2" s="54"/>
      <c r="O2" s="54"/>
      <c r="P2" s="54"/>
      <c r="Q2" s="36"/>
    </row>
    <row r="3" spans="1:21" x14ac:dyDescent="0.25">
      <c r="A3" s="68"/>
      <c r="B3" s="69"/>
      <c r="C3" s="69"/>
      <c r="D3" s="69"/>
      <c r="E3" s="60"/>
      <c r="F3" s="69"/>
      <c r="G3" s="69"/>
      <c r="H3" s="69"/>
      <c r="I3" s="69"/>
      <c r="J3" s="60"/>
      <c r="K3" s="69"/>
      <c r="L3" s="69"/>
      <c r="M3" s="70"/>
      <c r="N3" s="53"/>
      <c r="O3" s="53"/>
      <c r="P3" s="53"/>
      <c r="Q3" s="34"/>
    </row>
    <row r="4" spans="1:21" x14ac:dyDescent="0.25">
      <c r="A4" s="50" t="s">
        <v>112</v>
      </c>
      <c r="B4" s="73">
        <v>43797</v>
      </c>
      <c r="C4" s="72"/>
      <c r="D4" s="15"/>
      <c r="E4" s="16"/>
      <c r="F4" s="49" t="s">
        <v>73</v>
      </c>
      <c r="G4" s="71" t="s">
        <v>109</v>
      </c>
      <c r="H4" s="71"/>
      <c r="I4" s="13"/>
      <c r="J4" s="13"/>
      <c r="K4" s="13"/>
      <c r="L4" s="13"/>
      <c r="M4" s="14"/>
      <c r="N4" s="17"/>
      <c r="O4" s="17"/>
      <c r="P4" s="17"/>
      <c r="Q4" s="17"/>
    </row>
    <row r="5" spans="1:21" x14ac:dyDescent="0.25">
      <c r="A5" s="50" t="s">
        <v>108</v>
      </c>
      <c r="B5" s="72" t="s">
        <v>101</v>
      </c>
      <c r="C5" s="72"/>
      <c r="D5" s="15"/>
      <c r="E5" s="16"/>
      <c r="F5" s="50" t="s">
        <v>74</v>
      </c>
      <c r="G5" s="72" t="s">
        <v>100</v>
      </c>
      <c r="H5" s="72"/>
      <c r="I5" s="15"/>
      <c r="J5" s="15"/>
      <c r="K5" s="15"/>
      <c r="L5" s="15"/>
      <c r="M5" s="16"/>
      <c r="N5" s="18"/>
      <c r="O5" s="18"/>
      <c r="P5" s="18"/>
      <c r="Q5" s="18"/>
    </row>
    <row r="6" spans="1:21" ht="15.75" thickBot="1" x14ac:dyDescent="0.3">
      <c r="A6" s="59"/>
      <c r="B6" s="60"/>
      <c r="C6" s="60"/>
      <c r="D6" s="60"/>
      <c r="E6" s="60"/>
      <c r="F6" s="60"/>
      <c r="G6" s="60"/>
      <c r="H6" s="60"/>
      <c r="I6" s="60"/>
      <c r="J6" s="60"/>
      <c r="K6" s="60"/>
      <c r="L6" s="60"/>
      <c r="M6" s="61"/>
      <c r="N6" s="53"/>
      <c r="O6" s="53"/>
      <c r="P6" s="53"/>
      <c r="Q6" s="34"/>
    </row>
    <row r="7" spans="1:21" ht="42.75" customHeight="1" thickBot="1" x14ac:dyDescent="0.3">
      <c r="A7" s="2" t="s">
        <v>0</v>
      </c>
      <c r="B7" s="3" t="s">
        <v>1</v>
      </c>
      <c r="C7" s="4" t="s">
        <v>2</v>
      </c>
      <c r="D7" s="3" t="s">
        <v>3</v>
      </c>
      <c r="E7" s="3" t="s">
        <v>4</v>
      </c>
      <c r="F7" s="4" t="s">
        <v>5</v>
      </c>
      <c r="G7" s="4" t="s">
        <v>6</v>
      </c>
      <c r="H7" s="5" t="s">
        <v>7</v>
      </c>
      <c r="I7" s="4" t="s">
        <v>8</v>
      </c>
      <c r="J7" s="6" t="s">
        <v>9</v>
      </c>
      <c r="K7" s="6" t="s">
        <v>10</v>
      </c>
      <c r="L7" s="27" t="s">
        <v>12</v>
      </c>
      <c r="M7" s="28" t="s">
        <v>11</v>
      </c>
      <c r="N7" s="19" t="s">
        <v>115</v>
      </c>
      <c r="O7" s="19" t="s">
        <v>116</v>
      </c>
      <c r="P7" s="19" t="s">
        <v>117</v>
      </c>
      <c r="Q7" s="19"/>
      <c r="S7" s="55" t="s">
        <v>115</v>
      </c>
      <c r="T7" s="55" t="s">
        <v>116</v>
      </c>
      <c r="U7" s="55" t="s">
        <v>117</v>
      </c>
    </row>
    <row r="8" spans="1:21" ht="15.75" thickBot="1" x14ac:dyDescent="0.3">
      <c r="A8" s="9" t="s">
        <v>13</v>
      </c>
      <c r="B8" s="33">
        <v>15</v>
      </c>
      <c r="C8" s="1">
        <v>47</v>
      </c>
      <c r="D8" s="33">
        <v>2</v>
      </c>
      <c r="E8" s="33">
        <v>2</v>
      </c>
      <c r="F8" s="1">
        <v>2</v>
      </c>
      <c r="G8" s="1">
        <v>2</v>
      </c>
      <c r="H8" s="34">
        <v>2</v>
      </c>
      <c r="I8" s="1">
        <v>4</v>
      </c>
      <c r="J8" s="35">
        <v>1</v>
      </c>
      <c r="K8" s="35">
        <v>42</v>
      </c>
      <c r="L8" s="7">
        <f>SUM(B8:J8)</f>
        <v>77</v>
      </c>
      <c r="M8" s="8">
        <f t="shared" ref="M8:M66" si="0">SUM(B8:K8)</f>
        <v>119</v>
      </c>
      <c r="N8" s="20">
        <f>SUM(B8,C8)</f>
        <v>62</v>
      </c>
      <c r="O8" s="20">
        <f>SUM(D8,E8,F8)</f>
        <v>6</v>
      </c>
      <c r="P8" s="20">
        <f>SUM(G8,H8,I8,J8)</f>
        <v>9</v>
      </c>
      <c r="Q8" s="21" t="s">
        <v>75</v>
      </c>
      <c r="R8" s="22">
        <f>SUM(L8:L11)</f>
        <v>354</v>
      </c>
      <c r="S8" s="22">
        <f>SUM(N8:N11)</f>
        <v>297</v>
      </c>
      <c r="T8" s="22">
        <f>SUM(O8:O11)</f>
        <v>33</v>
      </c>
      <c r="U8" s="22">
        <f>SUM(P8:P11)</f>
        <v>24</v>
      </c>
    </row>
    <row r="9" spans="1:21" ht="15.75" thickBot="1" x14ac:dyDescent="0.3">
      <c r="A9" s="9" t="s">
        <v>14</v>
      </c>
      <c r="B9" s="33">
        <v>20</v>
      </c>
      <c r="C9" s="1">
        <v>86</v>
      </c>
      <c r="D9" s="33">
        <v>2</v>
      </c>
      <c r="E9" s="33">
        <v>3</v>
      </c>
      <c r="F9" s="1">
        <v>2</v>
      </c>
      <c r="G9" s="1">
        <v>2</v>
      </c>
      <c r="H9" s="34">
        <v>3</v>
      </c>
      <c r="I9" s="1">
        <v>4</v>
      </c>
      <c r="J9" s="35">
        <v>2</v>
      </c>
      <c r="K9" s="35">
        <v>43</v>
      </c>
      <c r="L9" s="7">
        <f t="shared" ref="L9:L71" si="1">SUM(B9:J9)</f>
        <v>124</v>
      </c>
      <c r="M9" s="8">
        <f t="shared" si="0"/>
        <v>167</v>
      </c>
      <c r="N9" s="20">
        <f t="shared" ref="N9:N71" si="2">SUM(B9,C9)</f>
        <v>106</v>
      </c>
      <c r="O9" s="20">
        <f t="shared" ref="O9:O71" si="3">SUM(D9,E9,F9)</f>
        <v>7</v>
      </c>
      <c r="P9" s="20">
        <f t="shared" ref="P9:P71" si="4">SUM(G9,H9,I9,J9)</f>
        <v>11</v>
      </c>
      <c r="Q9" s="21" t="s">
        <v>76</v>
      </c>
      <c r="R9" s="22">
        <f>SUM(L12:L15)</f>
        <v>218</v>
      </c>
      <c r="S9" s="22">
        <f>SUM(N12:N15)</f>
        <v>194</v>
      </c>
      <c r="T9" s="22">
        <f t="shared" ref="T9:U9" si="5">SUM(O12:O15)</f>
        <v>12</v>
      </c>
      <c r="U9" s="22">
        <f t="shared" si="5"/>
        <v>12</v>
      </c>
    </row>
    <row r="10" spans="1:21" ht="15.75" thickBot="1" x14ac:dyDescent="0.3">
      <c r="A10" s="9" t="s">
        <v>15</v>
      </c>
      <c r="B10" s="33">
        <v>25</v>
      </c>
      <c r="C10" s="1">
        <v>17</v>
      </c>
      <c r="D10" s="33">
        <v>15</v>
      </c>
      <c r="E10" s="33">
        <v>2</v>
      </c>
      <c r="F10" s="1">
        <v>1</v>
      </c>
      <c r="G10" s="1">
        <v>1</v>
      </c>
      <c r="H10" s="34">
        <v>2</v>
      </c>
      <c r="I10" s="1">
        <v>1</v>
      </c>
      <c r="J10" s="35">
        <v>0</v>
      </c>
      <c r="K10" s="35">
        <v>20</v>
      </c>
      <c r="L10" s="7">
        <f t="shared" si="1"/>
        <v>64</v>
      </c>
      <c r="M10" s="8">
        <f t="shared" si="0"/>
        <v>84</v>
      </c>
      <c r="N10" s="20">
        <f t="shared" si="2"/>
        <v>42</v>
      </c>
      <c r="O10" s="20">
        <f t="shared" si="3"/>
        <v>18</v>
      </c>
      <c r="P10" s="20">
        <f t="shared" si="4"/>
        <v>4</v>
      </c>
      <c r="Q10" s="21" t="s">
        <v>77</v>
      </c>
      <c r="R10" s="22">
        <f>SUM(L16:L19)</f>
        <v>199</v>
      </c>
      <c r="S10" s="22">
        <f>SUM(N16:N19)</f>
        <v>169</v>
      </c>
      <c r="T10" s="22">
        <f t="shared" ref="T10:U10" si="6">SUM(O16:O19)</f>
        <v>9</v>
      </c>
      <c r="U10" s="22">
        <f t="shared" si="6"/>
        <v>21</v>
      </c>
    </row>
    <row r="11" spans="1:21" ht="15.75" thickBot="1" x14ac:dyDescent="0.3">
      <c r="A11" s="9" t="s">
        <v>16</v>
      </c>
      <c r="B11" s="33">
        <v>32</v>
      </c>
      <c r="C11" s="1">
        <v>55</v>
      </c>
      <c r="D11" s="33">
        <v>2</v>
      </c>
      <c r="E11" s="33">
        <v>0</v>
      </c>
      <c r="F11" s="1">
        <v>0</v>
      </c>
      <c r="G11" s="1">
        <v>0</v>
      </c>
      <c r="H11" s="34">
        <v>0</v>
      </c>
      <c r="I11" s="1">
        <v>0</v>
      </c>
      <c r="J11" s="35">
        <v>0</v>
      </c>
      <c r="K11" s="35">
        <v>32</v>
      </c>
      <c r="L11" s="7">
        <f t="shared" si="1"/>
        <v>89</v>
      </c>
      <c r="M11" s="8">
        <f t="shared" si="0"/>
        <v>121</v>
      </c>
      <c r="N11" s="20">
        <f t="shared" si="2"/>
        <v>87</v>
      </c>
      <c r="O11" s="20">
        <f t="shared" si="3"/>
        <v>2</v>
      </c>
      <c r="P11" s="20">
        <f t="shared" si="4"/>
        <v>0</v>
      </c>
      <c r="Q11" s="21" t="s">
        <v>78</v>
      </c>
      <c r="R11" s="22">
        <f>SUM(L20:L23)</f>
        <v>289</v>
      </c>
      <c r="S11" s="22">
        <f>SUM(N20:N23)</f>
        <v>226</v>
      </c>
      <c r="T11" s="22">
        <f t="shared" ref="T11:U11" si="7">SUM(O20:O23)</f>
        <v>24</v>
      </c>
      <c r="U11" s="22">
        <f t="shared" si="7"/>
        <v>39</v>
      </c>
    </row>
    <row r="12" spans="1:21" ht="15.75" thickBot="1" x14ac:dyDescent="0.3">
      <c r="A12" s="9" t="s">
        <v>17</v>
      </c>
      <c r="B12" s="33">
        <v>21</v>
      </c>
      <c r="C12" s="1">
        <v>3</v>
      </c>
      <c r="D12" s="33">
        <v>1</v>
      </c>
      <c r="E12" s="33">
        <v>1</v>
      </c>
      <c r="F12" s="1">
        <v>0</v>
      </c>
      <c r="G12" s="1">
        <v>0</v>
      </c>
      <c r="H12" s="34">
        <v>1</v>
      </c>
      <c r="I12" s="1">
        <v>2</v>
      </c>
      <c r="J12" s="35">
        <v>0</v>
      </c>
      <c r="K12" s="35">
        <v>25</v>
      </c>
      <c r="L12" s="7">
        <f t="shared" si="1"/>
        <v>29</v>
      </c>
      <c r="M12" s="8">
        <f t="shared" si="0"/>
        <v>54</v>
      </c>
      <c r="N12" s="20">
        <f t="shared" si="2"/>
        <v>24</v>
      </c>
      <c r="O12" s="20">
        <f t="shared" si="3"/>
        <v>2</v>
      </c>
      <c r="P12" s="20">
        <f t="shared" si="4"/>
        <v>3</v>
      </c>
      <c r="Q12" s="21" t="s">
        <v>79</v>
      </c>
      <c r="R12" s="22">
        <f>SUM(L24:L27)</f>
        <v>284</v>
      </c>
      <c r="S12" s="22">
        <f>SUM(N24:N27)</f>
        <v>211</v>
      </c>
      <c r="T12" s="22">
        <f t="shared" ref="T12:U12" si="8">SUM(O24:O27)</f>
        <v>20</v>
      </c>
      <c r="U12" s="22">
        <f t="shared" si="8"/>
        <v>53</v>
      </c>
    </row>
    <row r="13" spans="1:21" ht="15.75" thickBot="1" x14ac:dyDescent="0.3">
      <c r="A13" s="9" t="s">
        <v>18</v>
      </c>
      <c r="B13" s="33">
        <v>15</v>
      </c>
      <c r="C13" s="1">
        <v>51</v>
      </c>
      <c r="D13" s="33">
        <v>5</v>
      </c>
      <c r="E13" s="33">
        <v>0</v>
      </c>
      <c r="F13" s="1">
        <v>0</v>
      </c>
      <c r="G13" s="1">
        <v>2</v>
      </c>
      <c r="H13" s="34">
        <v>1</v>
      </c>
      <c r="I13" s="1">
        <v>0</v>
      </c>
      <c r="J13" s="35">
        <v>0</v>
      </c>
      <c r="K13" s="35">
        <v>45</v>
      </c>
      <c r="L13" s="7">
        <f t="shared" si="1"/>
        <v>74</v>
      </c>
      <c r="M13" s="8">
        <f t="shared" si="0"/>
        <v>119</v>
      </c>
      <c r="N13" s="20">
        <f t="shared" si="2"/>
        <v>66</v>
      </c>
      <c r="O13" s="20">
        <f t="shared" si="3"/>
        <v>5</v>
      </c>
      <c r="P13" s="20">
        <f t="shared" si="4"/>
        <v>3</v>
      </c>
      <c r="Q13" s="21" t="s">
        <v>80</v>
      </c>
      <c r="R13" s="22">
        <f>SUM(L28:L31)</f>
        <v>255</v>
      </c>
      <c r="S13" s="22">
        <f>SUM(N28:N31)</f>
        <v>193</v>
      </c>
      <c r="T13" s="22">
        <f t="shared" ref="T13:U13" si="9">SUM(O28:O31)</f>
        <v>19</v>
      </c>
      <c r="U13" s="22">
        <f t="shared" si="9"/>
        <v>43</v>
      </c>
    </row>
    <row r="14" spans="1:21" ht="15.75" thickBot="1" x14ac:dyDescent="0.3">
      <c r="A14" s="9" t="s">
        <v>19</v>
      </c>
      <c r="B14" s="33">
        <v>25</v>
      </c>
      <c r="C14" s="1">
        <v>41</v>
      </c>
      <c r="D14" s="33">
        <v>3</v>
      </c>
      <c r="E14" s="33">
        <v>1</v>
      </c>
      <c r="F14" s="1">
        <v>0</v>
      </c>
      <c r="G14" s="1">
        <v>2</v>
      </c>
      <c r="H14" s="34">
        <v>0</v>
      </c>
      <c r="I14" s="1">
        <v>2</v>
      </c>
      <c r="J14" s="35">
        <v>1</v>
      </c>
      <c r="K14" s="35">
        <v>45</v>
      </c>
      <c r="L14" s="7">
        <f t="shared" si="1"/>
        <v>75</v>
      </c>
      <c r="M14" s="8">
        <f t="shared" si="0"/>
        <v>120</v>
      </c>
      <c r="N14" s="20">
        <f t="shared" si="2"/>
        <v>66</v>
      </c>
      <c r="O14" s="20">
        <f t="shared" si="3"/>
        <v>4</v>
      </c>
      <c r="P14" s="20">
        <f t="shared" si="4"/>
        <v>5</v>
      </c>
      <c r="Q14" s="21" t="s">
        <v>81</v>
      </c>
      <c r="R14" s="22">
        <f>SUM(L32:L35)</f>
        <v>222</v>
      </c>
      <c r="S14" s="22">
        <f>SUM(N32:N35)</f>
        <v>169</v>
      </c>
      <c r="T14" s="22">
        <f t="shared" ref="T14:U14" si="10">SUM(O32:O35)</f>
        <v>15</v>
      </c>
      <c r="U14" s="22">
        <f t="shared" si="10"/>
        <v>38</v>
      </c>
    </row>
    <row r="15" spans="1:21" ht="15.75" thickBot="1" x14ac:dyDescent="0.3">
      <c r="A15" s="9" t="s">
        <v>20</v>
      </c>
      <c r="B15" s="33">
        <v>6</v>
      </c>
      <c r="C15" s="1">
        <v>32</v>
      </c>
      <c r="D15" s="33">
        <v>1</v>
      </c>
      <c r="E15" s="33">
        <v>0</v>
      </c>
      <c r="F15" s="1">
        <v>0</v>
      </c>
      <c r="G15" s="1">
        <v>1</v>
      </c>
      <c r="H15" s="34">
        <v>0</v>
      </c>
      <c r="I15" s="1">
        <v>0</v>
      </c>
      <c r="J15" s="35">
        <v>0</v>
      </c>
      <c r="K15" s="35">
        <v>32</v>
      </c>
      <c r="L15" s="7">
        <f t="shared" si="1"/>
        <v>40</v>
      </c>
      <c r="M15" s="8">
        <f t="shared" si="0"/>
        <v>72</v>
      </c>
      <c r="N15" s="20">
        <f t="shared" si="2"/>
        <v>38</v>
      </c>
      <c r="O15" s="20">
        <f t="shared" si="3"/>
        <v>1</v>
      </c>
      <c r="P15" s="20">
        <f t="shared" si="4"/>
        <v>1</v>
      </c>
      <c r="Q15" s="21" t="s">
        <v>82</v>
      </c>
      <c r="R15" s="22">
        <f>SUM(L36:L39)</f>
        <v>255</v>
      </c>
      <c r="S15" s="22">
        <f>SUM(N36:N39)</f>
        <v>196</v>
      </c>
      <c r="T15" s="22">
        <f t="shared" ref="T15:U15" si="11">SUM(O36:O39)</f>
        <v>18</v>
      </c>
      <c r="U15" s="22">
        <f t="shared" si="11"/>
        <v>41</v>
      </c>
    </row>
    <row r="16" spans="1:21" ht="15.75" thickBot="1" x14ac:dyDescent="0.3">
      <c r="A16" s="9" t="s">
        <v>21</v>
      </c>
      <c r="B16" s="33">
        <v>7</v>
      </c>
      <c r="C16" s="1">
        <v>25</v>
      </c>
      <c r="D16" s="33">
        <v>1</v>
      </c>
      <c r="E16" s="33">
        <v>0</v>
      </c>
      <c r="F16" s="1">
        <v>0</v>
      </c>
      <c r="G16" s="1">
        <v>0</v>
      </c>
      <c r="H16" s="34">
        <v>0</v>
      </c>
      <c r="I16" s="1">
        <v>2</v>
      </c>
      <c r="J16" s="35">
        <v>1</v>
      </c>
      <c r="K16" s="35">
        <v>30</v>
      </c>
      <c r="L16" s="7">
        <f t="shared" si="1"/>
        <v>36</v>
      </c>
      <c r="M16" s="8">
        <f t="shared" si="0"/>
        <v>66</v>
      </c>
      <c r="N16" s="20">
        <f t="shared" si="2"/>
        <v>32</v>
      </c>
      <c r="O16" s="20">
        <f t="shared" si="3"/>
        <v>1</v>
      </c>
      <c r="P16" s="20">
        <f t="shared" si="4"/>
        <v>3</v>
      </c>
      <c r="Q16" s="21" t="s">
        <v>83</v>
      </c>
      <c r="R16" s="22">
        <f>SUM(L40:L43)</f>
        <v>267</v>
      </c>
      <c r="S16" s="22">
        <f>SUM(N40:N43)</f>
        <v>206</v>
      </c>
      <c r="T16" s="22">
        <f t="shared" ref="T16:U16" si="12">SUM(O40:O43)</f>
        <v>13</v>
      </c>
      <c r="U16" s="22">
        <f t="shared" si="12"/>
        <v>48</v>
      </c>
    </row>
    <row r="17" spans="1:21" ht="15.75" thickBot="1" x14ac:dyDescent="0.3">
      <c r="A17" s="9" t="s">
        <v>22</v>
      </c>
      <c r="B17" s="33">
        <v>9</v>
      </c>
      <c r="C17" s="1">
        <v>36</v>
      </c>
      <c r="D17" s="33">
        <v>2</v>
      </c>
      <c r="E17" s="33">
        <v>0</v>
      </c>
      <c r="F17" s="1">
        <v>0</v>
      </c>
      <c r="G17" s="1">
        <v>5</v>
      </c>
      <c r="H17" s="34">
        <v>1</v>
      </c>
      <c r="I17" s="1">
        <v>3</v>
      </c>
      <c r="J17" s="35">
        <v>1</v>
      </c>
      <c r="K17" s="35">
        <v>45</v>
      </c>
      <c r="L17" s="7">
        <f t="shared" si="1"/>
        <v>57</v>
      </c>
      <c r="M17" s="8">
        <f t="shared" si="0"/>
        <v>102</v>
      </c>
      <c r="N17" s="20">
        <f t="shared" si="2"/>
        <v>45</v>
      </c>
      <c r="O17" s="20">
        <f t="shared" si="3"/>
        <v>2</v>
      </c>
      <c r="P17" s="20">
        <f t="shared" si="4"/>
        <v>10</v>
      </c>
      <c r="Q17" s="21" t="s">
        <v>84</v>
      </c>
      <c r="R17" s="22">
        <f>SUM(L44:L47)</f>
        <v>249</v>
      </c>
      <c r="S17" s="22">
        <f>SUM(N44:N47)</f>
        <v>197</v>
      </c>
      <c r="T17" s="22">
        <f t="shared" ref="T17:U17" si="13">SUM(O44:O47)</f>
        <v>14</v>
      </c>
      <c r="U17" s="22">
        <f t="shared" si="13"/>
        <v>38</v>
      </c>
    </row>
    <row r="18" spans="1:21" ht="15.75" thickBot="1" x14ac:dyDescent="0.3">
      <c r="A18" s="9" t="s">
        <v>23</v>
      </c>
      <c r="B18" s="33">
        <v>14</v>
      </c>
      <c r="C18" s="1">
        <v>32</v>
      </c>
      <c r="D18" s="33">
        <v>3</v>
      </c>
      <c r="E18" s="33">
        <v>0</v>
      </c>
      <c r="F18" s="1">
        <v>0</v>
      </c>
      <c r="G18" s="1">
        <v>1</v>
      </c>
      <c r="H18" s="34">
        <v>0</v>
      </c>
      <c r="I18" s="1">
        <v>0</v>
      </c>
      <c r="J18" s="35">
        <v>0</v>
      </c>
      <c r="K18" s="35">
        <v>25</v>
      </c>
      <c r="L18" s="7">
        <f t="shared" si="1"/>
        <v>50</v>
      </c>
      <c r="M18" s="8">
        <f t="shared" si="0"/>
        <v>75</v>
      </c>
      <c r="N18" s="20">
        <f t="shared" si="2"/>
        <v>46</v>
      </c>
      <c r="O18" s="20">
        <f t="shared" si="3"/>
        <v>3</v>
      </c>
      <c r="P18" s="20">
        <f t="shared" si="4"/>
        <v>1</v>
      </c>
      <c r="Q18" s="21" t="s">
        <v>85</v>
      </c>
      <c r="R18" s="22">
        <f>SUM(L48:L51)</f>
        <v>275</v>
      </c>
      <c r="S18" s="22">
        <f>SUM(N48:N51)</f>
        <v>214</v>
      </c>
      <c r="T18" s="22">
        <f t="shared" ref="T18:U18" si="14">SUM(O48:O51)</f>
        <v>14</v>
      </c>
      <c r="U18" s="22">
        <f t="shared" si="14"/>
        <v>47</v>
      </c>
    </row>
    <row r="19" spans="1:21" ht="15.75" thickBot="1" x14ac:dyDescent="0.3">
      <c r="A19" s="9" t="s">
        <v>24</v>
      </c>
      <c r="B19" s="33">
        <v>11</v>
      </c>
      <c r="C19" s="1">
        <v>35</v>
      </c>
      <c r="D19" s="33">
        <v>3</v>
      </c>
      <c r="E19" s="33">
        <v>0</v>
      </c>
      <c r="F19" s="1">
        <v>0</v>
      </c>
      <c r="G19" s="1">
        <v>3</v>
      </c>
      <c r="H19" s="34">
        <v>1</v>
      </c>
      <c r="I19" s="1">
        <v>3</v>
      </c>
      <c r="J19" s="35">
        <v>0</v>
      </c>
      <c r="K19" s="35">
        <v>32</v>
      </c>
      <c r="L19" s="7">
        <f t="shared" si="1"/>
        <v>56</v>
      </c>
      <c r="M19" s="8">
        <f t="shared" si="0"/>
        <v>88</v>
      </c>
      <c r="N19" s="20">
        <f t="shared" si="2"/>
        <v>46</v>
      </c>
      <c r="O19" s="20">
        <f t="shared" si="3"/>
        <v>3</v>
      </c>
      <c r="P19" s="20">
        <f t="shared" si="4"/>
        <v>7</v>
      </c>
      <c r="Q19" s="21" t="s">
        <v>86</v>
      </c>
      <c r="R19" s="22">
        <f>SUM(L52:L55)</f>
        <v>448</v>
      </c>
      <c r="S19" s="22">
        <f>SUM(N52:N55)</f>
        <v>384</v>
      </c>
      <c r="T19" s="22">
        <f t="shared" ref="T19:U19" si="15">SUM(O52:O55)</f>
        <v>19</v>
      </c>
      <c r="U19" s="22">
        <f t="shared" si="15"/>
        <v>45</v>
      </c>
    </row>
    <row r="20" spans="1:21" ht="15.75" thickBot="1" x14ac:dyDescent="0.3">
      <c r="A20" s="9" t="s">
        <v>25</v>
      </c>
      <c r="B20" s="33">
        <v>18</v>
      </c>
      <c r="C20" s="1">
        <v>45</v>
      </c>
      <c r="D20" s="33">
        <v>5</v>
      </c>
      <c r="E20" s="33">
        <v>1</v>
      </c>
      <c r="F20" s="1">
        <v>0</v>
      </c>
      <c r="G20" s="1">
        <v>3</v>
      </c>
      <c r="H20" s="34">
        <v>1</v>
      </c>
      <c r="I20" s="1">
        <v>3</v>
      </c>
      <c r="J20" s="35">
        <v>0</v>
      </c>
      <c r="K20" s="35">
        <v>28</v>
      </c>
      <c r="L20" s="7">
        <f t="shared" si="1"/>
        <v>76</v>
      </c>
      <c r="M20" s="8">
        <f t="shared" si="0"/>
        <v>104</v>
      </c>
      <c r="N20" s="20">
        <f t="shared" si="2"/>
        <v>63</v>
      </c>
      <c r="O20" s="20">
        <f t="shared" si="3"/>
        <v>6</v>
      </c>
      <c r="P20" s="20">
        <f t="shared" si="4"/>
        <v>7</v>
      </c>
      <c r="Q20" s="21" t="s">
        <v>87</v>
      </c>
      <c r="R20" s="22">
        <f>SUM(L56:L59)</f>
        <v>513</v>
      </c>
      <c r="S20" s="22">
        <f>SUM(N56:N59)</f>
        <v>453</v>
      </c>
      <c r="T20" s="22">
        <f t="shared" ref="T20:U20" si="16">SUM(O56:O59)</f>
        <v>24</v>
      </c>
      <c r="U20" s="22">
        <f t="shared" si="16"/>
        <v>36</v>
      </c>
    </row>
    <row r="21" spans="1:21" ht="15.75" thickBot="1" x14ac:dyDescent="0.3">
      <c r="A21" s="9" t="s">
        <v>26</v>
      </c>
      <c r="B21" s="33">
        <v>15</v>
      </c>
      <c r="C21" s="1">
        <v>40</v>
      </c>
      <c r="D21" s="33">
        <v>7</v>
      </c>
      <c r="E21" s="33">
        <v>0</v>
      </c>
      <c r="F21" s="1">
        <v>0</v>
      </c>
      <c r="G21" s="1">
        <v>6</v>
      </c>
      <c r="H21" s="34">
        <v>2</v>
      </c>
      <c r="I21" s="1">
        <v>3</v>
      </c>
      <c r="J21" s="35">
        <v>2</v>
      </c>
      <c r="K21" s="35">
        <v>30</v>
      </c>
      <c r="L21" s="7">
        <f t="shared" si="1"/>
        <v>75</v>
      </c>
      <c r="M21" s="8">
        <f t="shared" si="0"/>
        <v>105</v>
      </c>
      <c r="N21" s="20">
        <f t="shared" si="2"/>
        <v>55</v>
      </c>
      <c r="O21" s="20">
        <f t="shared" si="3"/>
        <v>7</v>
      </c>
      <c r="P21" s="20">
        <f t="shared" si="4"/>
        <v>13</v>
      </c>
      <c r="Q21" s="21" t="s">
        <v>88</v>
      </c>
      <c r="R21" s="22">
        <f>SUM(L60:L63)</f>
        <v>340</v>
      </c>
      <c r="S21" s="22">
        <f>SUM(N60:N63)</f>
        <v>295</v>
      </c>
      <c r="T21" s="22">
        <f t="shared" ref="T21:U21" si="17">SUM(O60:O63)</f>
        <v>17</v>
      </c>
      <c r="U21" s="22">
        <f t="shared" si="17"/>
        <v>28</v>
      </c>
    </row>
    <row r="22" spans="1:21" ht="15.75" thickBot="1" x14ac:dyDescent="0.3">
      <c r="A22" s="9" t="s">
        <v>27</v>
      </c>
      <c r="B22" s="33">
        <v>10</v>
      </c>
      <c r="C22" s="1">
        <v>48</v>
      </c>
      <c r="D22" s="33">
        <v>1</v>
      </c>
      <c r="E22" s="33">
        <v>1</v>
      </c>
      <c r="F22" s="1">
        <v>1</v>
      </c>
      <c r="G22" s="1">
        <v>5</v>
      </c>
      <c r="H22" s="34">
        <v>1</v>
      </c>
      <c r="I22" s="1">
        <v>1</v>
      </c>
      <c r="J22" s="35">
        <v>2</v>
      </c>
      <c r="K22" s="35">
        <v>27</v>
      </c>
      <c r="L22" s="7">
        <f t="shared" si="1"/>
        <v>70</v>
      </c>
      <c r="M22" s="8">
        <f t="shared" si="0"/>
        <v>97</v>
      </c>
      <c r="N22" s="20">
        <f t="shared" si="2"/>
        <v>58</v>
      </c>
      <c r="O22" s="20">
        <f t="shared" si="3"/>
        <v>3</v>
      </c>
      <c r="P22" s="20">
        <f t="shared" si="4"/>
        <v>9</v>
      </c>
      <c r="Q22" s="21" t="s">
        <v>89</v>
      </c>
      <c r="R22" s="22">
        <f>SUM(L64:L67)</f>
        <v>339</v>
      </c>
      <c r="S22" s="22">
        <f>SUM(N64:N67)</f>
        <v>291</v>
      </c>
      <c r="T22" s="22">
        <f t="shared" ref="T22:U22" si="18">SUM(O64:O67)</f>
        <v>20</v>
      </c>
      <c r="U22" s="22">
        <f t="shared" si="18"/>
        <v>28</v>
      </c>
    </row>
    <row r="23" spans="1:21" ht="15.75" thickBot="1" x14ac:dyDescent="0.3">
      <c r="A23" s="9" t="s">
        <v>28</v>
      </c>
      <c r="B23" s="33">
        <v>18</v>
      </c>
      <c r="C23" s="1">
        <v>32</v>
      </c>
      <c r="D23" s="33">
        <v>6</v>
      </c>
      <c r="E23" s="33">
        <v>0</v>
      </c>
      <c r="F23" s="1">
        <v>2</v>
      </c>
      <c r="G23" s="1">
        <v>4</v>
      </c>
      <c r="H23" s="34">
        <v>2</v>
      </c>
      <c r="I23" s="1">
        <v>1</v>
      </c>
      <c r="J23" s="35">
        <v>3</v>
      </c>
      <c r="K23" s="35">
        <v>22</v>
      </c>
      <c r="L23" s="7">
        <f t="shared" si="1"/>
        <v>68</v>
      </c>
      <c r="M23" s="8">
        <f t="shared" si="0"/>
        <v>90</v>
      </c>
      <c r="N23" s="20">
        <f t="shared" si="2"/>
        <v>50</v>
      </c>
      <c r="O23" s="20">
        <f t="shared" si="3"/>
        <v>8</v>
      </c>
      <c r="P23" s="20">
        <f t="shared" si="4"/>
        <v>10</v>
      </c>
      <c r="Q23" s="20" t="s">
        <v>113</v>
      </c>
      <c r="R23" s="22">
        <f>SUM(R8:R19)</f>
        <v>3315</v>
      </c>
      <c r="S23" s="22">
        <f t="shared" ref="S23:U23" si="19">SUM(S8:S19)</f>
        <v>2656</v>
      </c>
      <c r="T23" s="22">
        <f t="shared" si="19"/>
        <v>210</v>
      </c>
      <c r="U23" s="22">
        <f t="shared" si="19"/>
        <v>449</v>
      </c>
    </row>
    <row r="24" spans="1:21" ht="15.75" thickBot="1" x14ac:dyDescent="0.3">
      <c r="A24" s="9" t="s">
        <v>29</v>
      </c>
      <c r="B24" s="33">
        <v>24</v>
      </c>
      <c r="C24" s="1">
        <v>54</v>
      </c>
      <c r="D24" s="33">
        <v>3</v>
      </c>
      <c r="E24" s="33">
        <v>0</v>
      </c>
      <c r="F24" s="1">
        <v>0</v>
      </c>
      <c r="G24" s="1">
        <v>6</v>
      </c>
      <c r="H24" s="34">
        <v>2</v>
      </c>
      <c r="I24" s="1">
        <v>5</v>
      </c>
      <c r="J24" s="35">
        <v>2</v>
      </c>
      <c r="K24" s="35">
        <v>30</v>
      </c>
      <c r="L24" s="7">
        <f t="shared" si="1"/>
        <v>96</v>
      </c>
      <c r="M24" s="8">
        <f t="shared" si="0"/>
        <v>126</v>
      </c>
      <c r="N24" s="20">
        <f t="shared" si="2"/>
        <v>78</v>
      </c>
      <c r="O24" s="20">
        <f t="shared" si="3"/>
        <v>3</v>
      </c>
      <c r="P24" s="20">
        <f t="shared" si="4"/>
        <v>15</v>
      </c>
      <c r="Q24" s="20" t="s">
        <v>114</v>
      </c>
      <c r="R24" s="22">
        <f>R23*1.334</f>
        <v>4422.21</v>
      </c>
      <c r="S24" s="56">
        <f t="shared" ref="S24:U24" si="20">S23*1.334</f>
        <v>3543.1040000000003</v>
      </c>
      <c r="T24" s="56">
        <f t="shared" si="20"/>
        <v>280.14000000000004</v>
      </c>
      <c r="U24" s="56">
        <f t="shared" si="20"/>
        <v>598.96600000000001</v>
      </c>
    </row>
    <row r="25" spans="1:21" ht="15.75" thickBot="1" x14ac:dyDescent="0.3">
      <c r="A25" s="9" t="s">
        <v>30</v>
      </c>
      <c r="B25" s="33">
        <v>11</v>
      </c>
      <c r="C25" s="1">
        <v>37</v>
      </c>
      <c r="D25" s="33">
        <v>8</v>
      </c>
      <c r="E25" s="33">
        <v>1</v>
      </c>
      <c r="F25" s="1">
        <v>1</v>
      </c>
      <c r="G25" s="1">
        <v>4</v>
      </c>
      <c r="H25" s="34">
        <v>2</v>
      </c>
      <c r="I25" s="1">
        <v>3</v>
      </c>
      <c r="J25" s="35">
        <v>2</v>
      </c>
      <c r="K25" s="35">
        <v>22</v>
      </c>
      <c r="L25" s="7">
        <f t="shared" si="1"/>
        <v>69</v>
      </c>
      <c r="M25" s="8">
        <f t="shared" si="0"/>
        <v>91</v>
      </c>
      <c r="N25" s="20">
        <f t="shared" si="2"/>
        <v>48</v>
      </c>
      <c r="O25" s="20">
        <f t="shared" si="3"/>
        <v>10</v>
      </c>
      <c r="P25" s="20">
        <f t="shared" si="4"/>
        <v>11</v>
      </c>
      <c r="Q25" s="20"/>
    </row>
    <row r="26" spans="1:21" ht="15.75" thickBot="1" x14ac:dyDescent="0.3">
      <c r="A26" s="9" t="s">
        <v>31</v>
      </c>
      <c r="B26" s="33">
        <v>8</v>
      </c>
      <c r="C26" s="1">
        <v>29</v>
      </c>
      <c r="D26" s="33">
        <v>3</v>
      </c>
      <c r="E26" s="33">
        <v>0</v>
      </c>
      <c r="F26" s="1">
        <v>0</v>
      </c>
      <c r="G26" s="1">
        <v>0</v>
      </c>
      <c r="H26" s="34">
        <v>2</v>
      </c>
      <c r="I26" s="1">
        <v>2</v>
      </c>
      <c r="J26" s="35">
        <v>3</v>
      </c>
      <c r="K26" s="35">
        <v>40</v>
      </c>
      <c r="L26" s="7">
        <f t="shared" si="1"/>
        <v>47</v>
      </c>
      <c r="M26" s="8">
        <f t="shared" si="0"/>
        <v>87</v>
      </c>
      <c r="N26" s="20">
        <f t="shared" si="2"/>
        <v>37</v>
      </c>
      <c r="O26" s="20">
        <f t="shared" si="3"/>
        <v>3</v>
      </c>
      <c r="P26" s="20">
        <f t="shared" si="4"/>
        <v>7</v>
      </c>
      <c r="Q26" s="20" t="s">
        <v>118</v>
      </c>
      <c r="R26" s="22">
        <f>AVERAGE(R8:R10)</f>
        <v>257</v>
      </c>
    </row>
    <row r="27" spans="1:21" ht="15.75" thickBot="1" x14ac:dyDescent="0.3">
      <c r="A27" s="9" t="s">
        <v>32</v>
      </c>
      <c r="B27" s="33">
        <v>5</v>
      </c>
      <c r="C27" s="1">
        <v>43</v>
      </c>
      <c r="D27" s="33">
        <v>3</v>
      </c>
      <c r="E27" s="33">
        <v>0</v>
      </c>
      <c r="F27" s="1">
        <v>1</v>
      </c>
      <c r="G27" s="1">
        <v>8</v>
      </c>
      <c r="H27" s="34">
        <v>2</v>
      </c>
      <c r="I27" s="1">
        <v>6</v>
      </c>
      <c r="J27" s="35">
        <v>4</v>
      </c>
      <c r="K27" s="35">
        <v>30</v>
      </c>
      <c r="L27" s="7">
        <f t="shared" si="1"/>
        <v>72</v>
      </c>
      <c r="M27" s="8">
        <f t="shared" si="0"/>
        <v>102</v>
      </c>
      <c r="N27" s="20">
        <f t="shared" si="2"/>
        <v>48</v>
      </c>
      <c r="O27" s="20">
        <f t="shared" si="3"/>
        <v>4</v>
      </c>
      <c r="P27" s="20">
        <f t="shared" si="4"/>
        <v>20</v>
      </c>
      <c r="Q27" s="20" t="s">
        <v>119</v>
      </c>
      <c r="R27" s="22">
        <f>AVERAGE(R18:R20)</f>
        <v>412</v>
      </c>
    </row>
    <row r="28" spans="1:21" ht="15.75" thickBot="1" x14ac:dyDescent="0.3">
      <c r="A28" s="9" t="s">
        <v>33</v>
      </c>
      <c r="B28" s="33">
        <v>8</v>
      </c>
      <c r="C28" s="1">
        <v>26</v>
      </c>
      <c r="D28" s="33">
        <v>3</v>
      </c>
      <c r="E28" s="33">
        <v>0</v>
      </c>
      <c r="F28" s="1">
        <v>0</v>
      </c>
      <c r="G28" s="1">
        <v>0</v>
      </c>
      <c r="H28" s="34">
        <v>1</v>
      </c>
      <c r="I28" s="1">
        <v>1</v>
      </c>
      <c r="J28" s="35">
        <v>2</v>
      </c>
      <c r="K28" s="35">
        <v>30</v>
      </c>
      <c r="L28" s="7">
        <f t="shared" si="1"/>
        <v>41</v>
      </c>
      <c r="M28" s="8">
        <f t="shared" si="0"/>
        <v>71</v>
      </c>
      <c r="N28" s="20">
        <f t="shared" si="2"/>
        <v>34</v>
      </c>
      <c r="O28" s="20">
        <f t="shared" si="3"/>
        <v>3</v>
      </c>
      <c r="P28" s="20">
        <f t="shared" si="4"/>
        <v>4</v>
      </c>
      <c r="Q28" s="20"/>
    </row>
    <row r="29" spans="1:21" ht="15.75" thickBot="1" x14ac:dyDescent="0.3">
      <c r="A29" s="9" t="s">
        <v>34</v>
      </c>
      <c r="B29" s="33">
        <v>10</v>
      </c>
      <c r="C29" s="1">
        <v>53</v>
      </c>
      <c r="D29" s="33">
        <v>3</v>
      </c>
      <c r="E29" s="33">
        <v>0</v>
      </c>
      <c r="F29" s="1">
        <v>0</v>
      </c>
      <c r="G29" s="1">
        <v>6</v>
      </c>
      <c r="H29" s="34">
        <v>2</v>
      </c>
      <c r="I29" s="1">
        <v>2</v>
      </c>
      <c r="J29" s="35">
        <v>1</v>
      </c>
      <c r="K29" s="35">
        <v>21</v>
      </c>
      <c r="L29" s="7">
        <f t="shared" si="1"/>
        <v>77</v>
      </c>
      <c r="M29" s="8">
        <f t="shared" si="0"/>
        <v>98</v>
      </c>
      <c r="N29" s="20">
        <f t="shared" si="2"/>
        <v>63</v>
      </c>
      <c r="O29" s="20">
        <f t="shared" si="3"/>
        <v>3</v>
      </c>
      <c r="P29" s="20">
        <f t="shared" si="4"/>
        <v>11</v>
      </c>
      <c r="Q29" s="20"/>
    </row>
    <row r="30" spans="1:21" ht="15.75" thickBot="1" x14ac:dyDescent="0.3">
      <c r="A30" s="9" t="s">
        <v>35</v>
      </c>
      <c r="B30" s="33">
        <v>12</v>
      </c>
      <c r="C30" s="1">
        <v>48</v>
      </c>
      <c r="D30" s="33">
        <v>7</v>
      </c>
      <c r="E30" s="33">
        <v>0</v>
      </c>
      <c r="F30" s="1">
        <v>0</v>
      </c>
      <c r="G30" s="1">
        <v>5</v>
      </c>
      <c r="H30" s="34">
        <v>2</v>
      </c>
      <c r="I30" s="1">
        <v>4</v>
      </c>
      <c r="J30" s="35">
        <v>2</v>
      </c>
      <c r="K30" s="35">
        <v>62</v>
      </c>
      <c r="L30" s="7">
        <f t="shared" si="1"/>
        <v>80</v>
      </c>
      <c r="M30" s="8">
        <f t="shared" si="0"/>
        <v>142</v>
      </c>
      <c r="N30" s="20">
        <f t="shared" si="2"/>
        <v>60</v>
      </c>
      <c r="O30" s="20">
        <f t="shared" si="3"/>
        <v>7</v>
      </c>
      <c r="P30" s="20">
        <f t="shared" si="4"/>
        <v>13</v>
      </c>
      <c r="Q30" s="20"/>
    </row>
    <row r="31" spans="1:21" ht="15.75" thickBot="1" x14ac:dyDescent="0.3">
      <c r="A31" s="9" t="s">
        <v>36</v>
      </c>
      <c r="B31" s="33">
        <v>8</v>
      </c>
      <c r="C31" s="1">
        <v>28</v>
      </c>
      <c r="D31" s="33">
        <v>5</v>
      </c>
      <c r="E31" s="33">
        <v>1</v>
      </c>
      <c r="F31" s="1">
        <v>0</v>
      </c>
      <c r="G31" s="1">
        <v>7</v>
      </c>
      <c r="H31" s="34">
        <v>1</v>
      </c>
      <c r="I31" s="1">
        <v>6</v>
      </c>
      <c r="J31" s="35">
        <v>1</v>
      </c>
      <c r="K31" s="35">
        <v>47</v>
      </c>
      <c r="L31" s="7">
        <f t="shared" si="1"/>
        <v>57</v>
      </c>
      <c r="M31" s="8">
        <f t="shared" si="0"/>
        <v>104</v>
      </c>
      <c r="N31" s="20">
        <f t="shared" si="2"/>
        <v>36</v>
      </c>
      <c r="O31" s="20">
        <f t="shared" si="3"/>
        <v>6</v>
      </c>
      <c r="P31" s="20">
        <f t="shared" si="4"/>
        <v>15</v>
      </c>
      <c r="Q31" s="20"/>
    </row>
    <row r="32" spans="1:21" ht="15.75" thickBot="1" x14ac:dyDescent="0.3">
      <c r="A32" s="9" t="s">
        <v>37</v>
      </c>
      <c r="B32" s="33">
        <v>17</v>
      </c>
      <c r="C32" s="1">
        <v>30</v>
      </c>
      <c r="D32" s="33">
        <v>2</v>
      </c>
      <c r="E32" s="33">
        <v>0</v>
      </c>
      <c r="F32" s="1">
        <v>0</v>
      </c>
      <c r="G32" s="1">
        <v>6</v>
      </c>
      <c r="H32" s="34">
        <v>1</v>
      </c>
      <c r="I32" s="1">
        <v>3</v>
      </c>
      <c r="J32" s="35">
        <v>1</v>
      </c>
      <c r="K32" s="35">
        <v>51</v>
      </c>
      <c r="L32" s="7">
        <f t="shared" si="1"/>
        <v>60</v>
      </c>
      <c r="M32" s="8">
        <f t="shared" si="0"/>
        <v>111</v>
      </c>
      <c r="N32" s="20">
        <f t="shared" si="2"/>
        <v>47</v>
      </c>
      <c r="O32" s="20">
        <f t="shared" si="3"/>
        <v>2</v>
      </c>
      <c r="P32" s="20">
        <f t="shared" si="4"/>
        <v>11</v>
      </c>
      <c r="Q32" s="20"/>
    </row>
    <row r="33" spans="1:17" ht="15.75" thickBot="1" x14ac:dyDescent="0.3">
      <c r="A33" s="9" t="s">
        <v>38</v>
      </c>
      <c r="B33" s="33">
        <v>3</v>
      </c>
      <c r="C33" s="1">
        <v>25</v>
      </c>
      <c r="D33" s="33">
        <v>6</v>
      </c>
      <c r="E33" s="33">
        <v>0</v>
      </c>
      <c r="F33" s="1">
        <v>0</v>
      </c>
      <c r="G33" s="1">
        <v>4</v>
      </c>
      <c r="H33" s="34">
        <v>4</v>
      </c>
      <c r="I33" s="1">
        <v>4</v>
      </c>
      <c r="J33" s="35">
        <v>0</v>
      </c>
      <c r="K33" s="35">
        <v>30</v>
      </c>
      <c r="L33" s="7">
        <f t="shared" si="1"/>
        <v>46</v>
      </c>
      <c r="M33" s="8">
        <f t="shared" si="0"/>
        <v>76</v>
      </c>
      <c r="N33" s="20">
        <f t="shared" si="2"/>
        <v>28</v>
      </c>
      <c r="O33" s="20">
        <f t="shared" si="3"/>
        <v>6</v>
      </c>
      <c r="P33" s="20">
        <f t="shared" si="4"/>
        <v>12</v>
      </c>
      <c r="Q33" s="20"/>
    </row>
    <row r="34" spans="1:17" ht="15.75" thickBot="1" x14ac:dyDescent="0.3">
      <c r="A34" s="9" t="s">
        <v>39</v>
      </c>
      <c r="B34" s="33">
        <v>11</v>
      </c>
      <c r="C34" s="1">
        <v>45</v>
      </c>
      <c r="D34" s="33">
        <v>6</v>
      </c>
      <c r="E34" s="33">
        <v>0</v>
      </c>
      <c r="F34" s="1">
        <v>0</v>
      </c>
      <c r="G34" s="1">
        <v>3</v>
      </c>
      <c r="H34" s="34">
        <v>3</v>
      </c>
      <c r="I34" s="1">
        <v>2</v>
      </c>
      <c r="J34" s="35">
        <v>0</v>
      </c>
      <c r="K34" s="35">
        <v>45</v>
      </c>
      <c r="L34" s="7">
        <f t="shared" si="1"/>
        <v>70</v>
      </c>
      <c r="M34" s="8">
        <f t="shared" si="0"/>
        <v>115</v>
      </c>
      <c r="N34" s="20">
        <f t="shared" si="2"/>
        <v>56</v>
      </c>
      <c r="O34" s="20">
        <f t="shared" si="3"/>
        <v>6</v>
      </c>
      <c r="P34" s="20">
        <f t="shared" si="4"/>
        <v>8</v>
      </c>
      <c r="Q34" s="20"/>
    </row>
    <row r="35" spans="1:17" ht="15.75" thickBot="1" x14ac:dyDescent="0.3">
      <c r="A35" s="9" t="s">
        <v>40</v>
      </c>
      <c r="B35" s="33">
        <v>10</v>
      </c>
      <c r="C35" s="1">
        <v>28</v>
      </c>
      <c r="D35" s="33">
        <v>1</v>
      </c>
      <c r="E35" s="33">
        <v>0</v>
      </c>
      <c r="F35" s="1">
        <v>0</v>
      </c>
      <c r="G35" s="1">
        <v>3</v>
      </c>
      <c r="H35" s="34">
        <v>2</v>
      </c>
      <c r="I35" s="1">
        <v>1</v>
      </c>
      <c r="J35" s="35">
        <v>1</v>
      </c>
      <c r="K35" s="35">
        <v>50</v>
      </c>
      <c r="L35" s="7">
        <f t="shared" si="1"/>
        <v>46</v>
      </c>
      <c r="M35" s="8">
        <f t="shared" si="0"/>
        <v>96</v>
      </c>
      <c r="N35" s="20">
        <f t="shared" si="2"/>
        <v>38</v>
      </c>
      <c r="O35" s="20">
        <f t="shared" si="3"/>
        <v>1</v>
      </c>
      <c r="P35" s="20">
        <f t="shared" si="4"/>
        <v>7</v>
      </c>
      <c r="Q35" s="20"/>
    </row>
    <row r="36" spans="1:17" ht="15.75" thickBot="1" x14ac:dyDescent="0.3">
      <c r="A36" s="9" t="s">
        <v>41</v>
      </c>
      <c r="B36" s="33">
        <v>14</v>
      </c>
      <c r="C36" s="1">
        <v>45</v>
      </c>
      <c r="D36" s="33">
        <v>4</v>
      </c>
      <c r="E36" s="33">
        <v>0</v>
      </c>
      <c r="F36" s="1">
        <v>0</v>
      </c>
      <c r="G36" s="1">
        <v>6</v>
      </c>
      <c r="H36" s="34">
        <v>2</v>
      </c>
      <c r="I36" s="1">
        <v>2</v>
      </c>
      <c r="J36" s="35">
        <v>1</v>
      </c>
      <c r="K36" s="35">
        <v>45</v>
      </c>
      <c r="L36" s="7">
        <f t="shared" si="1"/>
        <v>74</v>
      </c>
      <c r="M36" s="8">
        <f t="shared" si="0"/>
        <v>119</v>
      </c>
      <c r="N36" s="20">
        <f t="shared" si="2"/>
        <v>59</v>
      </c>
      <c r="O36" s="20">
        <f t="shared" si="3"/>
        <v>4</v>
      </c>
      <c r="P36" s="20">
        <f t="shared" si="4"/>
        <v>11</v>
      </c>
      <c r="Q36" s="20"/>
    </row>
    <row r="37" spans="1:17" ht="15.75" thickBot="1" x14ac:dyDescent="0.3">
      <c r="A37" s="9" t="s">
        <v>42</v>
      </c>
      <c r="B37" s="33">
        <v>15</v>
      </c>
      <c r="C37" s="1">
        <v>40</v>
      </c>
      <c r="D37" s="33">
        <v>5</v>
      </c>
      <c r="E37" s="33">
        <v>0</v>
      </c>
      <c r="F37" s="1">
        <v>1</v>
      </c>
      <c r="G37" s="1">
        <v>2</v>
      </c>
      <c r="H37" s="34">
        <v>2</v>
      </c>
      <c r="I37" s="1">
        <v>6</v>
      </c>
      <c r="J37" s="35">
        <v>2</v>
      </c>
      <c r="K37" s="35">
        <v>40</v>
      </c>
      <c r="L37" s="7">
        <f t="shared" si="1"/>
        <v>73</v>
      </c>
      <c r="M37" s="8">
        <f t="shared" si="0"/>
        <v>113</v>
      </c>
      <c r="N37" s="20">
        <f t="shared" si="2"/>
        <v>55</v>
      </c>
      <c r="O37" s="20">
        <f t="shared" si="3"/>
        <v>6</v>
      </c>
      <c r="P37" s="20">
        <f t="shared" si="4"/>
        <v>12</v>
      </c>
      <c r="Q37" s="20"/>
    </row>
    <row r="38" spans="1:17" ht="15.75" thickBot="1" x14ac:dyDescent="0.3">
      <c r="A38" s="9" t="s">
        <v>43</v>
      </c>
      <c r="B38" s="33">
        <v>8</v>
      </c>
      <c r="C38" s="1">
        <v>27</v>
      </c>
      <c r="D38" s="33">
        <v>1</v>
      </c>
      <c r="E38" s="33">
        <v>0</v>
      </c>
      <c r="F38" s="1">
        <v>0</v>
      </c>
      <c r="G38" s="1">
        <v>0</v>
      </c>
      <c r="H38" s="34">
        <v>1</v>
      </c>
      <c r="I38" s="1">
        <v>3</v>
      </c>
      <c r="J38" s="35">
        <v>1</v>
      </c>
      <c r="K38" s="35">
        <v>41</v>
      </c>
      <c r="L38" s="7">
        <f t="shared" si="1"/>
        <v>41</v>
      </c>
      <c r="M38" s="8">
        <f t="shared" si="0"/>
        <v>82</v>
      </c>
      <c r="N38" s="20">
        <f t="shared" si="2"/>
        <v>35</v>
      </c>
      <c r="O38" s="20">
        <f t="shared" si="3"/>
        <v>1</v>
      </c>
      <c r="P38" s="20">
        <f t="shared" si="4"/>
        <v>5</v>
      </c>
      <c r="Q38" s="20"/>
    </row>
    <row r="39" spans="1:17" ht="15.75" thickBot="1" x14ac:dyDescent="0.3">
      <c r="A39" s="9" t="s">
        <v>44</v>
      </c>
      <c r="B39" s="33">
        <v>12</v>
      </c>
      <c r="C39" s="1">
        <v>35</v>
      </c>
      <c r="D39" s="33">
        <v>5</v>
      </c>
      <c r="E39" s="33">
        <v>0</v>
      </c>
      <c r="F39" s="1">
        <v>2</v>
      </c>
      <c r="G39" s="1">
        <v>0</v>
      </c>
      <c r="H39" s="34">
        <v>3</v>
      </c>
      <c r="I39" s="1">
        <v>7</v>
      </c>
      <c r="J39" s="35">
        <v>3</v>
      </c>
      <c r="K39" s="35">
        <v>55</v>
      </c>
      <c r="L39" s="7">
        <f t="shared" si="1"/>
        <v>67</v>
      </c>
      <c r="M39" s="8">
        <f t="shared" si="0"/>
        <v>122</v>
      </c>
      <c r="N39" s="20">
        <f t="shared" si="2"/>
        <v>47</v>
      </c>
      <c r="O39" s="20">
        <f t="shared" si="3"/>
        <v>7</v>
      </c>
      <c r="P39" s="20">
        <f t="shared" si="4"/>
        <v>13</v>
      </c>
      <c r="Q39" s="20"/>
    </row>
    <row r="40" spans="1:17" ht="15.75" thickBot="1" x14ac:dyDescent="0.3">
      <c r="A40" s="9" t="s">
        <v>45</v>
      </c>
      <c r="B40" s="33">
        <v>15</v>
      </c>
      <c r="C40" s="1">
        <v>30</v>
      </c>
      <c r="D40" s="33">
        <v>3</v>
      </c>
      <c r="E40" s="33">
        <v>0</v>
      </c>
      <c r="F40" s="1">
        <v>0</v>
      </c>
      <c r="G40" s="1">
        <v>0</v>
      </c>
      <c r="H40" s="34">
        <v>3</v>
      </c>
      <c r="I40" s="1">
        <v>4</v>
      </c>
      <c r="J40" s="35">
        <v>0</v>
      </c>
      <c r="K40" s="35">
        <v>60</v>
      </c>
      <c r="L40" s="7">
        <f t="shared" si="1"/>
        <v>55</v>
      </c>
      <c r="M40" s="8">
        <f t="shared" si="0"/>
        <v>115</v>
      </c>
      <c r="N40" s="20">
        <f t="shared" si="2"/>
        <v>45</v>
      </c>
      <c r="O40" s="20">
        <f t="shared" si="3"/>
        <v>3</v>
      </c>
      <c r="P40" s="20">
        <f t="shared" si="4"/>
        <v>7</v>
      </c>
      <c r="Q40" s="20"/>
    </row>
    <row r="41" spans="1:17" ht="15.75" thickBot="1" x14ac:dyDescent="0.3">
      <c r="A41" s="9" t="s">
        <v>46</v>
      </c>
      <c r="B41" s="33">
        <v>12</v>
      </c>
      <c r="C41" s="1">
        <v>42</v>
      </c>
      <c r="D41" s="33">
        <v>3</v>
      </c>
      <c r="E41" s="33">
        <v>0</v>
      </c>
      <c r="F41" s="1">
        <v>0</v>
      </c>
      <c r="G41" s="1">
        <v>7</v>
      </c>
      <c r="H41" s="34">
        <v>2</v>
      </c>
      <c r="I41" s="1">
        <v>3</v>
      </c>
      <c r="J41" s="35">
        <v>1</v>
      </c>
      <c r="K41" s="35">
        <v>50</v>
      </c>
      <c r="L41" s="7">
        <f t="shared" si="1"/>
        <v>70</v>
      </c>
      <c r="M41" s="8">
        <f t="shared" si="0"/>
        <v>120</v>
      </c>
      <c r="N41" s="20">
        <f t="shared" si="2"/>
        <v>54</v>
      </c>
      <c r="O41" s="20">
        <f t="shared" si="3"/>
        <v>3</v>
      </c>
      <c r="P41" s="20">
        <f t="shared" si="4"/>
        <v>13</v>
      </c>
      <c r="Q41" s="20"/>
    </row>
    <row r="42" spans="1:17" ht="15.75" thickBot="1" x14ac:dyDescent="0.3">
      <c r="A42" s="9" t="s">
        <v>47</v>
      </c>
      <c r="B42" s="33">
        <v>8</v>
      </c>
      <c r="C42" s="1">
        <v>38</v>
      </c>
      <c r="D42" s="33">
        <v>3</v>
      </c>
      <c r="E42" s="33">
        <v>0</v>
      </c>
      <c r="F42" s="1">
        <v>0</v>
      </c>
      <c r="G42" s="1">
        <v>3</v>
      </c>
      <c r="H42" s="34">
        <v>4</v>
      </c>
      <c r="I42" s="1">
        <v>4</v>
      </c>
      <c r="J42" s="35">
        <v>4</v>
      </c>
      <c r="K42" s="35">
        <v>15</v>
      </c>
      <c r="L42" s="7">
        <f t="shared" si="1"/>
        <v>64</v>
      </c>
      <c r="M42" s="8">
        <f t="shared" si="0"/>
        <v>79</v>
      </c>
      <c r="N42" s="20">
        <f t="shared" si="2"/>
        <v>46</v>
      </c>
      <c r="O42" s="20">
        <f t="shared" si="3"/>
        <v>3</v>
      </c>
      <c r="P42" s="20">
        <f t="shared" si="4"/>
        <v>15</v>
      </c>
      <c r="Q42" s="20"/>
    </row>
    <row r="43" spans="1:17" ht="15.75" thickBot="1" x14ac:dyDescent="0.3">
      <c r="A43" s="9" t="s">
        <v>48</v>
      </c>
      <c r="B43" s="33">
        <v>18</v>
      </c>
      <c r="C43" s="1">
        <v>43</v>
      </c>
      <c r="D43" s="33">
        <v>3</v>
      </c>
      <c r="E43" s="33">
        <v>0</v>
      </c>
      <c r="F43" s="1">
        <v>1</v>
      </c>
      <c r="G43" s="1">
        <v>5</v>
      </c>
      <c r="H43" s="34">
        <v>3</v>
      </c>
      <c r="I43" s="1">
        <v>1</v>
      </c>
      <c r="J43" s="35">
        <v>4</v>
      </c>
      <c r="K43" s="35">
        <v>25</v>
      </c>
      <c r="L43" s="7">
        <f t="shared" si="1"/>
        <v>78</v>
      </c>
      <c r="M43" s="8">
        <f t="shared" si="0"/>
        <v>103</v>
      </c>
      <c r="N43" s="20">
        <f t="shared" si="2"/>
        <v>61</v>
      </c>
      <c r="O43" s="20">
        <f t="shared" si="3"/>
        <v>4</v>
      </c>
      <c r="P43" s="20">
        <f t="shared" si="4"/>
        <v>13</v>
      </c>
      <c r="Q43" s="20"/>
    </row>
    <row r="44" spans="1:17" ht="15.75" thickBot="1" x14ac:dyDescent="0.3">
      <c r="A44" s="9" t="s">
        <v>49</v>
      </c>
      <c r="B44" s="33">
        <v>10</v>
      </c>
      <c r="C44" s="1">
        <v>48</v>
      </c>
      <c r="D44" s="33">
        <v>2</v>
      </c>
      <c r="E44" s="33">
        <v>0</v>
      </c>
      <c r="F44" s="1">
        <v>0</v>
      </c>
      <c r="G44" s="1">
        <v>3</v>
      </c>
      <c r="H44" s="34">
        <v>1</v>
      </c>
      <c r="I44" s="1">
        <v>1</v>
      </c>
      <c r="J44" s="35">
        <v>5</v>
      </c>
      <c r="K44" s="35">
        <v>14</v>
      </c>
      <c r="L44" s="7">
        <f t="shared" si="1"/>
        <v>70</v>
      </c>
      <c r="M44" s="8">
        <f t="shared" si="0"/>
        <v>84</v>
      </c>
      <c r="N44" s="20">
        <f t="shared" si="2"/>
        <v>58</v>
      </c>
      <c r="O44" s="20">
        <f t="shared" si="3"/>
        <v>2</v>
      </c>
      <c r="P44" s="20">
        <f t="shared" si="4"/>
        <v>10</v>
      </c>
      <c r="Q44" s="20"/>
    </row>
    <row r="45" spans="1:17" ht="15.75" thickBot="1" x14ac:dyDescent="0.3">
      <c r="A45" s="9" t="s">
        <v>50</v>
      </c>
      <c r="B45" s="33">
        <v>8</v>
      </c>
      <c r="C45" s="1">
        <v>27</v>
      </c>
      <c r="D45" s="33">
        <v>1</v>
      </c>
      <c r="E45" s="33">
        <v>1</v>
      </c>
      <c r="F45" s="1">
        <v>0</v>
      </c>
      <c r="G45" s="1">
        <v>6</v>
      </c>
      <c r="H45" s="34">
        <v>0</v>
      </c>
      <c r="I45" s="1">
        <v>2</v>
      </c>
      <c r="J45" s="35">
        <v>2</v>
      </c>
      <c r="K45" s="35">
        <v>20</v>
      </c>
      <c r="L45" s="7">
        <f t="shared" si="1"/>
        <v>47</v>
      </c>
      <c r="M45" s="8">
        <f t="shared" si="0"/>
        <v>67</v>
      </c>
      <c r="N45" s="20">
        <f t="shared" si="2"/>
        <v>35</v>
      </c>
      <c r="O45" s="20">
        <f t="shared" si="3"/>
        <v>2</v>
      </c>
      <c r="P45" s="20">
        <f t="shared" si="4"/>
        <v>10</v>
      </c>
      <c r="Q45" s="20"/>
    </row>
    <row r="46" spans="1:17" ht="15.75" thickBot="1" x14ac:dyDescent="0.3">
      <c r="A46" s="9" t="s">
        <v>51</v>
      </c>
      <c r="B46" s="33">
        <v>10</v>
      </c>
      <c r="C46" s="1">
        <v>40</v>
      </c>
      <c r="D46" s="33">
        <v>3</v>
      </c>
      <c r="E46" s="33">
        <v>0</v>
      </c>
      <c r="F46" s="1">
        <v>0</v>
      </c>
      <c r="G46" s="1">
        <v>3</v>
      </c>
      <c r="H46" s="34">
        <v>1</v>
      </c>
      <c r="I46" s="1">
        <v>3</v>
      </c>
      <c r="J46" s="35">
        <v>1</v>
      </c>
      <c r="K46" s="35">
        <v>20</v>
      </c>
      <c r="L46" s="7">
        <f t="shared" si="1"/>
        <v>61</v>
      </c>
      <c r="M46" s="8">
        <f t="shared" si="0"/>
        <v>81</v>
      </c>
      <c r="N46" s="20">
        <f t="shared" si="2"/>
        <v>50</v>
      </c>
      <c r="O46" s="20">
        <f t="shared" si="3"/>
        <v>3</v>
      </c>
      <c r="P46" s="20">
        <f t="shared" si="4"/>
        <v>8</v>
      </c>
      <c r="Q46" s="20"/>
    </row>
    <row r="47" spans="1:17" ht="15.75" thickBot="1" x14ac:dyDescent="0.3">
      <c r="A47" s="9" t="s">
        <v>52</v>
      </c>
      <c r="B47" s="33">
        <v>9</v>
      </c>
      <c r="C47" s="1">
        <v>45</v>
      </c>
      <c r="D47" s="33">
        <v>6</v>
      </c>
      <c r="E47" s="33">
        <v>1</v>
      </c>
      <c r="F47" s="1">
        <v>0</v>
      </c>
      <c r="G47" s="1">
        <v>3</v>
      </c>
      <c r="H47" s="34">
        <v>0</v>
      </c>
      <c r="I47" s="1">
        <v>4</v>
      </c>
      <c r="J47" s="35">
        <v>3</v>
      </c>
      <c r="K47" s="35">
        <v>14</v>
      </c>
      <c r="L47" s="7">
        <f t="shared" si="1"/>
        <v>71</v>
      </c>
      <c r="M47" s="8">
        <f t="shared" si="0"/>
        <v>85</v>
      </c>
      <c r="N47" s="20">
        <f t="shared" si="2"/>
        <v>54</v>
      </c>
      <c r="O47" s="20">
        <f t="shared" si="3"/>
        <v>7</v>
      </c>
      <c r="P47" s="20">
        <f t="shared" si="4"/>
        <v>10</v>
      </c>
      <c r="Q47" s="20"/>
    </row>
    <row r="48" spans="1:17" ht="15.75" thickBot="1" x14ac:dyDescent="0.3">
      <c r="A48" s="9" t="s">
        <v>53</v>
      </c>
      <c r="B48" s="33">
        <v>12</v>
      </c>
      <c r="C48" s="1">
        <v>46</v>
      </c>
      <c r="D48" s="33">
        <v>4</v>
      </c>
      <c r="E48" s="33">
        <v>1</v>
      </c>
      <c r="F48" s="1">
        <v>0</v>
      </c>
      <c r="G48" s="1">
        <v>6</v>
      </c>
      <c r="H48" s="34">
        <v>2</v>
      </c>
      <c r="I48" s="1">
        <v>5</v>
      </c>
      <c r="J48" s="35">
        <v>3</v>
      </c>
      <c r="K48" s="35">
        <v>22</v>
      </c>
      <c r="L48" s="7">
        <f t="shared" si="1"/>
        <v>79</v>
      </c>
      <c r="M48" s="8">
        <f t="shared" si="0"/>
        <v>101</v>
      </c>
      <c r="N48" s="20">
        <f t="shared" si="2"/>
        <v>58</v>
      </c>
      <c r="O48" s="20">
        <f t="shared" si="3"/>
        <v>5</v>
      </c>
      <c r="P48" s="20">
        <f t="shared" si="4"/>
        <v>16</v>
      </c>
      <c r="Q48" s="20"/>
    </row>
    <row r="49" spans="1:17" ht="15.75" thickBot="1" x14ac:dyDescent="0.3">
      <c r="A49" s="9" t="s">
        <v>54</v>
      </c>
      <c r="B49" s="33">
        <v>7</v>
      </c>
      <c r="C49" s="1">
        <v>30</v>
      </c>
      <c r="D49" s="33">
        <v>3</v>
      </c>
      <c r="E49" s="33">
        <v>0</v>
      </c>
      <c r="F49" s="1">
        <v>0</v>
      </c>
      <c r="G49" s="1">
        <v>3</v>
      </c>
      <c r="H49" s="34">
        <v>2</v>
      </c>
      <c r="I49" s="1">
        <v>2</v>
      </c>
      <c r="J49" s="35">
        <v>3</v>
      </c>
      <c r="K49" s="35">
        <v>20</v>
      </c>
      <c r="L49" s="7">
        <f t="shared" si="1"/>
        <v>50</v>
      </c>
      <c r="M49" s="8">
        <f t="shared" si="0"/>
        <v>70</v>
      </c>
      <c r="N49" s="20">
        <f t="shared" si="2"/>
        <v>37</v>
      </c>
      <c r="O49" s="20">
        <f t="shared" si="3"/>
        <v>3</v>
      </c>
      <c r="P49" s="20">
        <f t="shared" si="4"/>
        <v>10</v>
      </c>
      <c r="Q49" s="20"/>
    </row>
    <row r="50" spans="1:17" ht="15.75" thickBot="1" x14ac:dyDescent="0.3">
      <c r="A50" s="9" t="s">
        <v>55</v>
      </c>
      <c r="B50" s="33">
        <v>15</v>
      </c>
      <c r="C50" s="1">
        <v>56</v>
      </c>
      <c r="D50" s="33">
        <v>3</v>
      </c>
      <c r="E50" s="33">
        <v>0</v>
      </c>
      <c r="F50" s="1">
        <v>0</v>
      </c>
      <c r="G50" s="1">
        <v>4</v>
      </c>
      <c r="H50" s="34">
        <v>3</v>
      </c>
      <c r="I50" s="1">
        <v>0</v>
      </c>
      <c r="J50" s="35">
        <v>6</v>
      </c>
      <c r="K50" s="35">
        <v>30</v>
      </c>
      <c r="L50" s="7">
        <f t="shared" si="1"/>
        <v>87</v>
      </c>
      <c r="M50" s="8">
        <f t="shared" si="0"/>
        <v>117</v>
      </c>
      <c r="N50" s="20">
        <f t="shared" si="2"/>
        <v>71</v>
      </c>
      <c r="O50" s="20">
        <f t="shared" si="3"/>
        <v>3</v>
      </c>
      <c r="P50" s="20">
        <f t="shared" si="4"/>
        <v>13</v>
      </c>
      <c r="Q50" s="20"/>
    </row>
    <row r="51" spans="1:17" ht="15.75" thickBot="1" x14ac:dyDescent="0.3">
      <c r="A51" s="9" t="s">
        <v>56</v>
      </c>
      <c r="B51" s="33">
        <v>6</v>
      </c>
      <c r="C51" s="1">
        <v>42</v>
      </c>
      <c r="D51" s="33">
        <v>1</v>
      </c>
      <c r="E51" s="33">
        <v>2</v>
      </c>
      <c r="F51" s="1">
        <v>0</v>
      </c>
      <c r="G51" s="1">
        <v>0</v>
      </c>
      <c r="H51" s="34">
        <v>2</v>
      </c>
      <c r="I51" s="1">
        <v>2</v>
      </c>
      <c r="J51" s="35">
        <v>4</v>
      </c>
      <c r="K51" s="35">
        <v>18</v>
      </c>
      <c r="L51" s="7">
        <f t="shared" si="1"/>
        <v>59</v>
      </c>
      <c r="M51" s="8">
        <f t="shared" si="0"/>
        <v>77</v>
      </c>
      <c r="N51" s="20">
        <f t="shared" si="2"/>
        <v>48</v>
      </c>
      <c r="O51" s="20">
        <f t="shared" si="3"/>
        <v>3</v>
      </c>
      <c r="P51" s="20">
        <f t="shared" si="4"/>
        <v>8</v>
      </c>
      <c r="Q51" s="20"/>
    </row>
    <row r="52" spans="1:17" ht="15.75" thickBot="1" x14ac:dyDescent="0.3">
      <c r="A52" s="9" t="s">
        <v>57</v>
      </c>
      <c r="B52" s="33">
        <v>19</v>
      </c>
      <c r="C52" s="1">
        <v>75</v>
      </c>
      <c r="D52" s="33">
        <v>4</v>
      </c>
      <c r="E52" s="33">
        <v>0</v>
      </c>
      <c r="F52" s="1">
        <v>0</v>
      </c>
      <c r="G52" s="1">
        <v>4</v>
      </c>
      <c r="H52" s="34">
        <v>1</v>
      </c>
      <c r="I52" s="1">
        <v>5</v>
      </c>
      <c r="J52" s="35">
        <v>5</v>
      </c>
      <c r="K52" s="35">
        <v>17</v>
      </c>
      <c r="L52" s="7">
        <f t="shared" si="1"/>
        <v>113</v>
      </c>
      <c r="M52" s="8">
        <f t="shared" si="0"/>
        <v>130</v>
      </c>
      <c r="N52" s="20">
        <f t="shared" si="2"/>
        <v>94</v>
      </c>
      <c r="O52" s="20">
        <f t="shared" si="3"/>
        <v>4</v>
      </c>
      <c r="P52" s="20">
        <f t="shared" si="4"/>
        <v>15</v>
      </c>
      <c r="Q52" s="20"/>
    </row>
    <row r="53" spans="1:17" ht="15.75" thickBot="1" x14ac:dyDescent="0.3">
      <c r="A53" s="9" t="s">
        <v>58</v>
      </c>
      <c r="B53" s="33">
        <v>26</v>
      </c>
      <c r="C53" s="1">
        <v>93</v>
      </c>
      <c r="D53" s="33">
        <v>1</v>
      </c>
      <c r="E53" s="33">
        <v>0</v>
      </c>
      <c r="F53" s="1">
        <v>0</v>
      </c>
      <c r="G53" s="1">
        <v>3</v>
      </c>
      <c r="H53" s="34">
        <v>2</v>
      </c>
      <c r="I53" s="1">
        <v>4</v>
      </c>
      <c r="J53" s="35">
        <v>3</v>
      </c>
      <c r="K53" s="35">
        <v>45</v>
      </c>
      <c r="L53" s="7">
        <f t="shared" si="1"/>
        <v>132</v>
      </c>
      <c r="M53" s="8">
        <f t="shared" si="0"/>
        <v>177</v>
      </c>
      <c r="N53" s="20">
        <f t="shared" si="2"/>
        <v>119</v>
      </c>
      <c r="O53" s="20">
        <f t="shared" si="3"/>
        <v>1</v>
      </c>
      <c r="P53" s="20">
        <f t="shared" si="4"/>
        <v>12</v>
      </c>
      <c r="Q53" s="20"/>
    </row>
    <row r="54" spans="1:17" ht="15.75" thickBot="1" x14ac:dyDescent="0.3">
      <c r="A54" s="9" t="s">
        <v>59</v>
      </c>
      <c r="B54" s="33">
        <v>25</v>
      </c>
      <c r="C54" s="1">
        <v>45</v>
      </c>
      <c r="D54" s="33">
        <v>2</v>
      </c>
      <c r="E54" s="33">
        <v>2</v>
      </c>
      <c r="F54" s="1">
        <v>0</v>
      </c>
      <c r="G54" s="1">
        <v>2</v>
      </c>
      <c r="H54" s="34">
        <v>0</v>
      </c>
      <c r="I54" s="1">
        <v>3</v>
      </c>
      <c r="J54" s="35">
        <v>2</v>
      </c>
      <c r="K54" s="35">
        <v>45</v>
      </c>
      <c r="L54" s="7">
        <f t="shared" si="1"/>
        <v>81</v>
      </c>
      <c r="M54" s="8">
        <f t="shared" si="0"/>
        <v>126</v>
      </c>
      <c r="N54" s="20">
        <f t="shared" si="2"/>
        <v>70</v>
      </c>
      <c r="O54" s="20">
        <f t="shared" si="3"/>
        <v>4</v>
      </c>
      <c r="P54" s="20">
        <f t="shared" si="4"/>
        <v>7</v>
      </c>
      <c r="Q54" s="20"/>
    </row>
    <row r="55" spans="1:17" ht="15.75" thickBot="1" x14ac:dyDescent="0.3">
      <c r="A55" s="9" t="s">
        <v>60</v>
      </c>
      <c r="B55" s="33">
        <v>16</v>
      </c>
      <c r="C55" s="1">
        <v>85</v>
      </c>
      <c r="D55" s="33">
        <v>10</v>
      </c>
      <c r="E55" s="33">
        <v>0</v>
      </c>
      <c r="F55" s="1">
        <v>0</v>
      </c>
      <c r="G55" s="1">
        <v>2</v>
      </c>
      <c r="H55" s="34">
        <v>1</v>
      </c>
      <c r="I55" s="1">
        <v>2</v>
      </c>
      <c r="J55" s="35">
        <v>6</v>
      </c>
      <c r="K55" s="35">
        <v>35</v>
      </c>
      <c r="L55" s="7">
        <f t="shared" si="1"/>
        <v>122</v>
      </c>
      <c r="M55" s="8">
        <f t="shared" si="0"/>
        <v>157</v>
      </c>
      <c r="N55" s="20">
        <f t="shared" si="2"/>
        <v>101</v>
      </c>
      <c r="O55" s="20">
        <f t="shared" si="3"/>
        <v>10</v>
      </c>
      <c r="P55" s="20">
        <f t="shared" si="4"/>
        <v>11</v>
      </c>
      <c r="Q55" s="20"/>
    </row>
    <row r="56" spans="1:17" ht="15.75" thickBot="1" x14ac:dyDescent="0.3">
      <c r="A56" s="9" t="s">
        <v>61</v>
      </c>
      <c r="B56" s="33">
        <v>33</v>
      </c>
      <c r="C56" s="1">
        <v>144</v>
      </c>
      <c r="D56" s="33">
        <v>3</v>
      </c>
      <c r="E56" s="33">
        <v>0</v>
      </c>
      <c r="F56" s="1">
        <v>0</v>
      </c>
      <c r="G56" s="1">
        <v>1</v>
      </c>
      <c r="H56" s="34">
        <v>2</v>
      </c>
      <c r="I56" s="1">
        <v>5</v>
      </c>
      <c r="J56" s="35">
        <v>3</v>
      </c>
      <c r="K56" s="35">
        <v>20</v>
      </c>
      <c r="L56" s="7">
        <f t="shared" si="1"/>
        <v>191</v>
      </c>
      <c r="M56" s="8">
        <f t="shared" si="0"/>
        <v>211</v>
      </c>
      <c r="N56" s="20">
        <f t="shared" si="2"/>
        <v>177</v>
      </c>
      <c r="O56" s="20">
        <f t="shared" si="3"/>
        <v>3</v>
      </c>
      <c r="P56" s="20">
        <f t="shared" si="4"/>
        <v>11</v>
      </c>
      <c r="Q56" s="20"/>
    </row>
    <row r="57" spans="1:17" ht="15.75" thickBot="1" x14ac:dyDescent="0.3">
      <c r="A57" s="9" t="s">
        <v>62</v>
      </c>
      <c r="B57" s="33">
        <v>12</v>
      </c>
      <c r="C57" s="1">
        <v>95</v>
      </c>
      <c r="D57" s="33">
        <v>11</v>
      </c>
      <c r="E57" s="33">
        <v>0</v>
      </c>
      <c r="F57" s="1">
        <v>0</v>
      </c>
      <c r="G57" s="1">
        <v>3</v>
      </c>
      <c r="H57" s="34">
        <v>1</v>
      </c>
      <c r="I57" s="1">
        <v>2</v>
      </c>
      <c r="J57" s="35">
        <v>3</v>
      </c>
      <c r="K57" s="35">
        <v>25</v>
      </c>
      <c r="L57" s="7">
        <f t="shared" si="1"/>
        <v>127</v>
      </c>
      <c r="M57" s="8">
        <f t="shared" si="0"/>
        <v>152</v>
      </c>
      <c r="N57" s="20">
        <f t="shared" si="2"/>
        <v>107</v>
      </c>
      <c r="O57" s="20">
        <f t="shared" si="3"/>
        <v>11</v>
      </c>
      <c r="P57" s="20">
        <f t="shared" si="4"/>
        <v>9</v>
      </c>
      <c r="Q57" s="20"/>
    </row>
    <row r="58" spans="1:17" ht="15.75" thickBot="1" x14ac:dyDescent="0.3">
      <c r="A58" s="9" t="s">
        <v>63</v>
      </c>
      <c r="B58" s="33">
        <v>12</v>
      </c>
      <c r="C58" s="1">
        <v>40</v>
      </c>
      <c r="D58" s="33">
        <v>1</v>
      </c>
      <c r="E58" s="33">
        <v>1</v>
      </c>
      <c r="F58" s="1">
        <v>0</v>
      </c>
      <c r="G58" s="1">
        <v>1</v>
      </c>
      <c r="H58" s="34">
        <v>2</v>
      </c>
      <c r="I58" s="1">
        <v>3</v>
      </c>
      <c r="J58" s="35">
        <v>4</v>
      </c>
      <c r="K58" s="35">
        <v>22</v>
      </c>
      <c r="L58" s="7">
        <f t="shared" si="1"/>
        <v>64</v>
      </c>
      <c r="M58" s="8">
        <f t="shared" si="0"/>
        <v>86</v>
      </c>
      <c r="N58" s="20">
        <f t="shared" si="2"/>
        <v>52</v>
      </c>
      <c r="O58" s="20">
        <f t="shared" si="3"/>
        <v>2</v>
      </c>
      <c r="P58" s="20">
        <f t="shared" si="4"/>
        <v>10</v>
      </c>
      <c r="Q58" s="20"/>
    </row>
    <row r="59" spans="1:17" ht="15.75" thickBot="1" x14ac:dyDescent="0.3">
      <c r="A59" s="9" t="s">
        <v>64</v>
      </c>
      <c r="B59" s="33">
        <v>15</v>
      </c>
      <c r="C59" s="1">
        <v>102</v>
      </c>
      <c r="D59" s="33">
        <v>8</v>
      </c>
      <c r="E59" s="33">
        <v>0</v>
      </c>
      <c r="F59" s="1">
        <v>0</v>
      </c>
      <c r="G59" s="1">
        <v>4</v>
      </c>
      <c r="H59" s="34">
        <v>0</v>
      </c>
      <c r="I59" s="1">
        <v>1</v>
      </c>
      <c r="J59" s="35">
        <v>1</v>
      </c>
      <c r="K59" s="35">
        <v>25</v>
      </c>
      <c r="L59" s="7">
        <f t="shared" si="1"/>
        <v>131</v>
      </c>
      <c r="M59" s="8">
        <f t="shared" si="0"/>
        <v>156</v>
      </c>
      <c r="N59" s="20">
        <f t="shared" si="2"/>
        <v>117</v>
      </c>
      <c r="O59" s="20">
        <f t="shared" si="3"/>
        <v>8</v>
      </c>
      <c r="P59" s="20">
        <f t="shared" si="4"/>
        <v>6</v>
      </c>
      <c r="Q59" s="20"/>
    </row>
    <row r="60" spans="1:17" ht="15.75" thickBot="1" x14ac:dyDescent="0.3">
      <c r="A60" s="9" t="s">
        <v>65</v>
      </c>
      <c r="B60" s="33">
        <v>14</v>
      </c>
      <c r="C60" s="1">
        <v>65</v>
      </c>
      <c r="D60" s="33">
        <v>5</v>
      </c>
      <c r="E60" s="33">
        <v>0</v>
      </c>
      <c r="F60" s="1">
        <v>0</v>
      </c>
      <c r="G60" s="1">
        <v>3</v>
      </c>
      <c r="H60" s="34">
        <v>2</v>
      </c>
      <c r="I60" s="1">
        <v>1</v>
      </c>
      <c r="J60" s="35">
        <v>2</v>
      </c>
      <c r="K60" s="35">
        <v>30</v>
      </c>
      <c r="L60" s="7">
        <f t="shared" si="1"/>
        <v>92</v>
      </c>
      <c r="M60" s="8">
        <f t="shared" si="0"/>
        <v>122</v>
      </c>
      <c r="N60" s="20">
        <f t="shared" si="2"/>
        <v>79</v>
      </c>
      <c r="O60" s="20">
        <f t="shared" si="3"/>
        <v>5</v>
      </c>
      <c r="P60" s="20">
        <f t="shared" si="4"/>
        <v>8</v>
      </c>
      <c r="Q60" s="20"/>
    </row>
    <row r="61" spans="1:17" ht="15.75" thickBot="1" x14ac:dyDescent="0.3">
      <c r="A61" s="9" t="s">
        <v>66</v>
      </c>
      <c r="B61" s="33">
        <v>17</v>
      </c>
      <c r="C61" s="1">
        <v>100</v>
      </c>
      <c r="D61" s="33">
        <v>5</v>
      </c>
      <c r="E61" s="33">
        <v>0</v>
      </c>
      <c r="F61" s="1">
        <v>0</v>
      </c>
      <c r="G61" s="1">
        <v>5</v>
      </c>
      <c r="H61" s="34">
        <v>2</v>
      </c>
      <c r="I61" s="1">
        <v>4</v>
      </c>
      <c r="J61" s="35">
        <v>3</v>
      </c>
      <c r="K61" s="35">
        <v>30</v>
      </c>
      <c r="L61" s="7">
        <f t="shared" si="1"/>
        <v>136</v>
      </c>
      <c r="M61" s="8">
        <f t="shared" si="0"/>
        <v>166</v>
      </c>
      <c r="N61" s="20">
        <f t="shared" si="2"/>
        <v>117</v>
      </c>
      <c r="O61" s="20">
        <f t="shared" si="3"/>
        <v>5</v>
      </c>
      <c r="P61" s="20">
        <f t="shared" si="4"/>
        <v>14</v>
      </c>
      <c r="Q61" s="20"/>
    </row>
    <row r="62" spans="1:17" ht="15.75" thickBot="1" x14ac:dyDescent="0.3">
      <c r="A62" s="10" t="s">
        <v>67</v>
      </c>
      <c r="B62" s="33">
        <v>13</v>
      </c>
      <c r="C62" s="1">
        <v>30</v>
      </c>
      <c r="D62" s="33">
        <v>2</v>
      </c>
      <c r="E62" s="33">
        <v>0</v>
      </c>
      <c r="F62" s="1">
        <v>0</v>
      </c>
      <c r="G62" s="1">
        <v>1</v>
      </c>
      <c r="H62" s="34">
        <v>0</v>
      </c>
      <c r="I62" s="1">
        <v>1</v>
      </c>
      <c r="J62" s="35">
        <v>0</v>
      </c>
      <c r="K62" s="35">
        <v>15</v>
      </c>
      <c r="L62" s="7">
        <f t="shared" si="1"/>
        <v>47</v>
      </c>
      <c r="M62" s="8">
        <f t="shared" si="0"/>
        <v>62</v>
      </c>
      <c r="N62" s="20">
        <f t="shared" si="2"/>
        <v>43</v>
      </c>
      <c r="O62" s="20">
        <f t="shared" si="3"/>
        <v>2</v>
      </c>
      <c r="P62" s="20">
        <f t="shared" si="4"/>
        <v>2</v>
      </c>
      <c r="Q62" s="20"/>
    </row>
    <row r="63" spans="1:17" ht="15.75" thickBot="1" x14ac:dyDescent="0.3">
      <c r="A63" s="9" t="s">
        <v>68</v>
      </c>
      <c r="B63" s="33">
        <v>10</v>
      </c>
      <c r="C63" s="1">
        <v>46</v>
      </c>
      <c r="D63" s="33">
        <v>5</v>
      </c>
      <c r="E63" s="33">
        <v>0</v>
      </c>
      <c r="F63" s="1">
        <v>0</v>
      </c>
      <c r="G63" s="1">
        <v>2</v>
      </c>
      <c r="H63" s="34">
        <v>1</v>
      </c>
      <c r="I63" s="1">
        <v>1</v>
      </c>
      <c r="J63" s="35">
        <v>0</v>
      </c>
      <c r="K63" s="35">
        <v>20</v>
      </c>
      <c r="L63" s="7">
        <f t="shared" si="1"/>
        <v>65</v>
      </c>
      <c r="M63" s="8">
        <f t="shared" si="0"/>
        <v>85</v>
      </c>
      <c r="N63" s="20">
        <f t="shared" si="2"/>
        <v>56</v>
      </c>
      <c r="O63" s="20">
        <f t="shared" si="3"/>
        <v>5</v>
      </c>
      <c r="P63" s="20">
        <f t="shared" si="4"/>
        <v>4</v>
      </c>
      <c r="Q63" s="20"/>
    </row>
    <row r="64" spans="1:17" ht="15.75" thickBot="1" x14ac:dyDescent="0.3">
      <c r="A64" s="9" t="s">
        <v>69</v>
      </c>
      <c r="B64" s="33">
        <v>6</v>
      </c>
      <c r="C64" s="1">
        <v>44</v>
      </c>
      <c r="D64" s="33">
        <v>6</v>
      </c>
      <c r="E64" s="33">
        <v>0</v>
      </c>
      <c r="F64" s="1">
        <v>0</v>
      </c>
      <c r="G64" s="1">
        <v>1</v>
      </c>
      <c r="H64" s="34">
        <v>1</v>
      </c>
      <c r="I64" s="1">
        <v>1</v>
      </c>
      <c r="J64" s="35">
        <v>1</v>
      </c>
      <c r="K64" s="35">
        <v>18</v>
      </c>
      <c r="L64" s="7">
        <f t="shared" si="1"/>
        <v>60</v>
      </c>
      <c r="M64" s="8">
        <f>SUM(B64:K64)</f>
        <v>78</v>
      </c>
      <c r="N64" s="20">
        <f t="shared" si="2"/>
        <v>50</v>
      </c>
      <c r="O64" s="20">
        <f t="shared" si="3"/>
        <v>6</v>
      </c>
      <c r="P64" s="20">
        <f t="shared" si="4"/>
        <v>4</v>
      </c>
      <c r="Q64" s="20"/>
    </row>
    <row r="65" spans="1:17" ht="15.75" thickBot="1" x14ac:dyDescent="0.3">
      <c r="A65" s="11" t="s">
        <v>70</v>
      </c>
      <c r="B65" s="33">
        <v>13</v>
      </c>
      <c r="C65" s="1">
        <v>65</v>
      </c>
      <c r="D65" s="33">
        <v>7</v>
      </c>
      <c r="E65" s="33">
        <v>0</v>
      </c>
      <c r="F65" s="1">
        <v>0</v>
      </c>
      <c r="G65" s="1">
        <v>4</v>
      </c>
      <c r="H65" s="34">
        <v>4</v>
      </c>
      <c r="I65" s="1">
        <v>2</v>
      </c>
      <c r="J65" s="35">
        <v>2</v>
      </c>
      <c r="K65" s="35">
        <v>27</v>
      </c>
      <c r="L65" s="7">
        <f t="shared" si="1"/>
        <v>97</v>
      </c>
      <c r="M65" s="8">
        <f>SUM(B65:K65)</f>
        <v>124</v>
      </c>
      <c r="N65" s="20">
        <f t="shared" si="2"/>
        <v>78</v>
      </c>
      <c r="O65" s="20">
        <f t="shared" si="3"/>
        <v>7</v>
      </c>
      <c r="P65" s="20">
        <f t="shared" si="4"/>
        <v>12</v>
      </c>
      <c r="Q65" s="20"/>
    </row>
    <row r="66" spans="1:17" ht="15.75" thickBot="1" x14ac:dyDescent="0.3">
      <c r="A66" s="9" t="s">
        <v>71</v>
      </c>
      <c r="B66" s="33">
        <v>9</v>
      </c>
      <c r="C66" s="1">
        <v>42</v>
      </c>
      <c r="D66" s="33">
        <v>3</v>
      </c>
      <c r="E66" s="33">
        <v>0</v>
      </c>
      <c r="F66" s="1">
        <v>0</v>
      </c>
      <c r="G66" s="1">
        <v>1</v>
      </c>
      <c r="H66" s="34">
        <v>1</v>
      </c>
      <c r="I66" s="1">
        <v>3</v>
      </c>
      <c r="J66" s="35">
        <v>1</v>
      </c>
      <c r="K66" s="35">
        <v>20</v>
      </c>
      <c r="L66" s="7">
        <f t="shared" si="1"/>
        <v>60</v>
      </c>
      <c r="M66" s="8">
        <f t="shared" si="0"/>
        <v>80</v>
      </c>
      <c r="N66" s="20">
        <f t="shared" si="2"/>
        <v>51</v>
      </c>
      <c r="O66" s="20">
        <f t="shared" si="3"/>
        <v>3</v>
      </c>
      <c r="P66" s="20">
        <f t="shared" si="4"/>
        <v>6</v>
      </c>
      <c r="Q66" s="20"/>
    </row>
    <row r="67" spans="1:17" ht="15.75" thickBot="1" x14ac:dyDescent="0.3">
      <c r="A67" s="9" t="s">
        <v>72</v>
      </c>
      <c r="B67" s="33">
        <v>27</v>
      </c>
      <c r="C67" s="1">
        <v>85</v>
      </c>
      <c r="D67" s="33">
        <v>4</v>
      </c>
      <c r="E67" s="33">
        <v>0</v>
      </c>
      <c r="F67" s="1">
        <v>0</v>
      </c>
      <c r="G67" s="1">
        <v>1</v>
      </c>
      <c r="H67" s="34">
        <v>0</v>
      </c>
      <c r="I67" s="1">
        <v>0</v>
      </c>
      <c r="J67" s="35">
        <v>5</v>
      </c>
      <c r="K67" s="35">
        <v>23</v>
      </c>
      <c r="L67" s="7">
        <f t="shared" si="1"/>
        <v>122</v>
      </c>
      <c r="M67" s="8">
        <f>SUM(B67:K67)</f>
        <v>145</v>
      </c>
      <c r="N67" s="20">
        <f t="shared" si="2"/>
        <v>112</v>
      </c>
      <c r="O67" s="20">
        <f t="shared" si="3"/>
        <v>4</v>
      </c>
      <c r="P67" s="20">
        <f t="shared" si="4"/>
        <v>6</v>
      </c>
      <c r="Q67" s="20"/>
    </row>
    <row r="68" spans="1:17" ht="15.75" thickBot="1" x14ac:dyDescent="0.3">
      <c r="A68" s="9" t="s">
        <v>90</v>
      </c>
      <c r="B68" s="33">
        <v>17</v>
      </c>
      <c r="C68" s="1">
        <v>41</v>
      </c>
      <c r="D68" s="33">
        <v>0</v>
      </c>
      <c r="E68" s="33">
        <v>0</v>
      </c>
      <c r="F68" s="1">
        <v>0</v>
      </c>
      <c r="G68" s="1">
        <v>5</v>
      </c>
      <c r="H68" s="34">
        <v>0</v>
      </c>
      <c r="I68" s="1">
        <v>0</v>
      </c>
      <c r="J68" s="35">
        <v>0</v>
      </c>
      <c r="K68" s="35">
        <v>35</v>
      </c>
      <c r="L68" s="7">
        <f t="shared" si="1"/>
        <v>63</v>
      </c>
      <c r="M68" s="8">
        <f t="shared" ref="M68:M71" si="21">SUM(B68:K68)</f>
        <v>98</v>
      </c>
      <c r="N68" s="20">
        <f t="shared" si="2"/>
        <v>58</v>
      </c>
      <c r="O68" s="20">
        <f t="shared" si="3"/>
        <v>0</v>
      </c>
      <c r="P68" s="20">
        <f t="shared" si="4"/>
        <v>5</v>
      </c>
      <c r="Q68" s="20"/>
    </row>
    <row r="69" spans="1:17" ht="15.75" thickBot="1" x14ac:dyDescent="0.3">
      <c r="A69" s="9" t="s">
        <v>91</v>
      </c>
      <c r="B69" s="33">
        <v>11</v>
      </c>
      <c r="C69" s="1">
        <v>50</v>
      </c>
      <c r="D69" s="33">
        <v>2</v>
      </c>
      <c r="E69" s="33">
        <v>1</v>
      </c>
      <c r="F69" s="1">
        <v>1</v>
      </c>
      <c r="G69" s="1">
        <v>2</v>
      </c>
      <c r="H69" s="34">
        <v>0</v>
      </c>
      <c r="I69" s="1">
        <v>1</v>
      </c>
      <c r="J69" s="35">
        <v>3</v>
      </c>
      <c r="K69" s="35">
        <v>35</v>
      </c>
      <c r="L69" s="7">
        <f t="shared" si="1"/>
        <v>71</v>
      </c>
      <c r="M69" s="8">
        <f t="shared" si="21"/>
        <v>106</v>
      </c>
      <c r="N69" s="20">
        <f t="shared" si="2"/>
        <v>61</v>
      </c>
      <c r="O69" s="20">
        <f t="shared" si="3"/>
        <v>4</v>
      </c>
      <c r="P69" s="20">
        <f t="shared" si="4"/>
        <v>6</v>
      </c>
      <c r="Q69" s="20"/>
    </row>
    <row r="70" spans="1:17" ht="15.75" thickBot="1" x14ac:dyDescent="0.3">
      <c r="A70" s="9" t="s">
        <v>92</v>
      </c>
      <c r="B70" s="33">
        <v>15</v>
      </c>
      <c r="C70" s="1">
        <v>70</v>
      </c>
      <c r="D70" s="33">
        <v>3</v>
      </c>
      <c r="E70" s="33">
        <v>1</v>
      </c>
      <c r="F70" s="1">
        <v>1</v>
      </c>
      <c r="G70" s="1">
        <v>2</v>
      </c>
      <c r="H70" s="34">
        <v>3</v>
      </c>
      <c r="I70" s="1">
        <v>3</v>
      </c>
      <c r="J70" s="35">
        <v>0</v>
      </c>
      <c r="K70" s="35">
        <v>22</v>
      </c>
      <c r="L70" s="7">
        <f t="shared" si="1"/>
        <v>98</v>
      </c>
      <c r="M70" s="8">
        <f t="shared" si="21"/>
        <v>120</v>
      </c>
      <c r="N70" s="20">
        <f t="shared" si="2"/>
        <v>85</v>
      </c>
      <c r="O70" s="20">
        <f t="shared" si="3"/>
        <v>5</v>
      </c>
      <c r="P70" s="20">
        <f t="shared" si="4"/>
        <v>8</v>
      </c>
      <c r="Q70" s="20"/>
    </row>
    <row r="71" spans="1:17" ht="15.75" thickBot="1" x14ac:dyDescent="0.3">
      <c r="A71" s="9" t="s">
        <v>93</v>
      </c>
      <c r="B71" s="33">
        <v>10</v>
      </c>
      <c r="C71" s="1">
        <v>35</v>
      </c>
      <c r="D71" s="33">
        <v>1</v>
      </c>
      <c r="E71" s="33">
        <v>1</v>
      </c>
      <c r="F71" s="1">
        <v>1</v>
      </c>
      <c r="G71" s="1">
        <v>1</v>
      </c>
      <c r="H71" s="34">
        <v>0</v>
      </c>
      <c r="I71" s="1">
        <v>0</v>
      </c>
      <c r="J71" s="35">
        <v>2</v>
      </c>
      <c r="K71" s="35">
        <v>8</v>
      </c>
      <c r="L71" s="7">
        <f t="shared" si="1"/>
        <v>51</v>
      </c>
      <c r="M71" s="8">
        <f t="shared" si="21"/>
        <v>59</v>
      </c>
      <c r="N71" s="20">
        <f t="shared" si="2"/>
        <v>45</v>
      </c>
      <c r="O71" s="20">
        <f t="shared" si="3"/>
        <v>3</v>
      </c>
      <c r="P71" s="20">
        <f t="shared" si="4"/>
        <v>3</v>
      </c>
      <c r="Q71" s="20"/>
    </row>
    <row r="72" spans="1:17" ht="15.75" thickBot="1" x14ac:dyDescent="0.3">
      <c r="B72" s="12">
        <f>SUM(B8:B71)</f>
        <v>887</v>
      </c>
      <c r="C72" s="12">
        <f t="shared" ref="C72:K72" si="22">SUM(C8:C71)</f>
        <v>3057</v>
      </c>
      <c r="D72" s="12">
        <f t="shared" si="22"/>
        <v>242</v>
      </c>
      <c r="E72" s="12">
        <f t="shared" si="22"/>
        <v>24</v>
      </c>
      <c r="F72" s="12">
        <f t="shared" si="22"/>
        <v>17</v>
      </c>
      <c r="G72" s="12">
        <f t="shared" si="22"/>
        <v>188</v>
      </c>
      <c r="H72" s="12">
        <f t="shared" si="22"/>
        <v>95</v>
      </c>
      <c r="I72" s="12">
        <f t="shared" si="22"/>
        <v>159</v>
      </c>
      <c r="J72" s="12">
        <f t="shared" si="22"/>
        <v>121</v>
      </c>
      <c r="K72" s="12">
        <f t="shared" si="22"/>
        <v>1987</v>
      </c>
      <c r="L72" s="12">
        <f>SUM(B72:J72)</f>
        <v>4790</v>
      </c>
      <c r="M72" s="8">
        <f>SUM(B72:K72)</f>
        <v>6777</v>
      </c>
      <c r="N72" s="20"/>
      <c r="O72" s="20"/>
      <c r="P72" s="20"/>
      <c r="Q72" s="20"/>
    </row>
    <row r="73" spans="1:17" ht="15.75" thickBot="1" x14ac:dyDescent="0.3">
      <c r="A73" s="57" t="s">
        <v>118</v>
      </c>
      <c r="B73" s="58">
        <f>AVERAGE(B8:B23)*4</f>
        <v>65.25</v>
      </c>
      <c r="C73" s="58">
        <f t="shared" ref="C73:K73" si="23">AVERAGE(C8:C23)*4</f>
        <v>156.25</v>
      </c>
      <c r="D73" s="58">
        <f t="shared" si="23"/>
        <v>14.75</v>
      </c>
      <c r="E73" s="58">
        <f t="shared" si="23"/>
        <v>2.75</v>
      </c>
      <c r="F73" s="58">
        <f t="shared" si="23"/>
        <v>2</v>
      </c>
      <c r="G73" s="58">
        <f t="shared" si="23"/>
        <v>9.25</v>
      </c>
      <c r="H73" s="58">
        <f t="shared" si="23"/>
        <v>4.25</v>
      </c>
      <c r="I73" s="58">
        <f t="shared" si="23"/>
        <v>7.25</v>
      </c>
      <c r="J73" s="58">
        <f t="shared" si="23"/>
        <v>3.25</v>
      </c>
      <c r="K73" s="58">
        <f t="shared" si="23"/>
        <v>130.75</v>
      </c>
      <c r="M73" s="12">
        <f>SUM(M8:M71)</f>
        <v>6777</v>
      </c>
      <c r="N73" s="20"/>
      <c r="O73" s="20"/>
      <c r="P73" s="20"/>
      <c r="Q73" s="20"/>
    </row>
    <row r="74" spans="1:17" x14ac:dyDescent="0.25">
      <c r="A74" s="57" t="s">
        <v>119</v>
      </c>
      <c r="B74" s="58">
        <f>AVERAGE(B48:B59)*4</f>
        <v>66</v>
      </c>
      <c r="C74" s="58">
        <f t="shared" ref="C74:K74" si="24">AVERAGE(C48:C59)*4</f>
        <v>284.33333333333331</v>
      </c>
      <c r="D74" s="58">
        <f t="shared" si="24"/>
        <v>17</v>
      </c>
      <c r="E74" s="58">
        <f t="shared" si="24"/>
        <v>2</v>
      </c>
      <c r="F74" s="58">
        <f t="shared" si="24"/>
        <v>0</v>
      </c>
      <c r="G74" s="58">
        <f t="shared" si="24"/>
        <v>11</v>
      </c>
      <c r="H74" s="58">
        <f t="shared" si="24"/>
        <v>6</v>
      </c>
      <c r="I74" s="58">
        <f t="shared" si="24"/>
        <v>11.333333333333334</v>
      </c>
      <c r="J74" s="58">
        <f t="shared" si="24"/>
        <v>14.333333333333334</v>
      </c>
      <c r="K74" s="58">
        <f t="shared" si="24"/>
        <v>108</v>
      </c>
    </row>
  </sheetData>
  <mergeCells count="8">
    <mergeCell ref="A6:M6"/>
    <mergeCell ref="A1:M1"/>
    <mergeCell ref="A2:M2"/>
    <mergeCell ref="A3:M3"/>
    <mergeCell ref="G4:H4"/>
    <mergeCell ref="B5:C5"/>
    <mergeCell ref="G5:H5"/>
    <mergeCell ref="B4:C4"/>
  </mergeCells>
  <pageMargins left="0.7" right="0.7" top="0.75" bottom="0.75" header="0.3" footer="0.3"/>
  <pageSetup scale="4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74"/>
  <sheetViews>
    <sheetView view="pageBreakPreview" zoomScale="90" zoomScaleSheetLayoutView="90" workbookViewId="0">
      <selection activeCell="B4" sqref="B4:C4"/>
    </sheetView>
  </sheetViews>
  <sheetFormatPr defaultColWidth="13.28515625" defaultRowHeight="15" x14ac:dyDescent="0.25"/>
  <cols>
    <col min="1" max="1" width="14.85546875" customWidth="1"/>
    <col min="2" max="2" width="11.7109375" customWidth="1"/>
    <col min="3" max="3" width="13.28515625" customWidth="1"/>
    <col min="4" max="4" width="12.7109375" customWidth="1"/>
    <col min="5" max="6" width="13.28515625" customWidth="1"/>
    <col min="7" max="7" width="11.42578125" customWidth="1"/>
    <col min="8" max="8" width="13.28515625" customWidth="1"/>
    <col min="9" max="9" width="11.42578125" customWidth="1"/>
    <col min="10" max="10" width="13.28515625" customWidth="1"/>
    <col min="11" max="11" width="12" customWidth="1"/>
    <col min="12" max="12" width="9.28515625" customWidth="1"/>
    <col min="13" max="16" width="10.7109375" customWidth="1"/>
    <col min="17" max="17" width="12.7109375" customWidth="1"/>
    <col min="18" max="18" width="6.42578125" style="22" customWidth="1"/>
  </cols>
  <sheetData>
    <row r="1" spans="1:21" ht="18.75" x14ac:dyDescent="0.3">
      <c r="A1" s="62" t="s">
        <v>120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45"/>
      <c r="O1" s="45"/>
      <c r="P1" s="45"/>
      <c r="Q1" s="40"/>
    </row>
    <row r="2" spans="1:21" ht="18.75" x14ac:dyDescent="0.3">
      <c r="A2" s="65" t="s">
        <v>94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7"/>
      <c r="N2" s="54"/>
      <c r="O2" s="54"/>
      <c r="P2" s="54"/>
      <c r="Q2" s="40"/>
    </row>
    <row r="3" spans="1:21" x14ac:dyDescent="0.25">
      <c r="A3" s="68"/>
      <c r="B3" s="69"/>
      <c r="C3" s="69"/>
      <c r="D3" s="69"/>
      <c r="E3" s="60"/>
      <c r="F3" s="69"/>
      <c r="G3" s="69"/>
      <c r="H3" s="69"/>
      <c r="I3" s="69"/>
      <c r="J3" s="60"/>
      <c r="K3" s="69"/>
      <c r="L3" s="69"/>
      <c r="M3" s="70"/>
      <c r="N3" s="53"/>
      <c r="O3" s="53"/>
      <c r="P3" s="53"/>
      <c r="Q3" s="38"/>
    </row>
    <row r="4" spans="1:21" x14ac:dyDescent="0.25">
      <c r="A4" s="50" t="s">
        <v>112</v>
      </c>
      <c r="B4" s="73">
        <v>43797</v>
      </c>
      <c r="C4" s="72"/>
      <c r="D4" s="15"/>
      <c r="E4" s="16"/>
      <c r="F4" s="49" t="s">
        <v>73</v>
      </c>
      <c r="G4" s="71" t="s">
        <v>109</v>
      </c>
      <c r="H4" s="71"/>
      <c r="I4" s="13"/>
      <c r="J4" s="13"/>
      <c r="K4" s="13"/>
      <c r="L4" s="13"/>
      <c r="M4" s="14"/>
      <c r="N4" s="17"/>
      <c r="O4" s="17"/>
      <c r="P4" s="17"/>
      <c r="Q4" s="17"/>
    </row>
    <row r="5" spans="1:21" x14ac:dyDescent="0.25">
      <c r="A5" s="50" t="s">
        <v>108</v>
      </c>
      <c r="B5" s="72" t="s">
        <v>101</v>
      </c>
      <c r="C5" s="72"/>
      <c r="D5" s="15"/>
      <c r="E5" s="16"/>
      <c r="F5" s="50" t="s">
        <v>74</v>
      </c>
      <c r="G5" s="72" t="s">
        <v>98</v>
      </c>
      <c r="H5" s="72"/>
      <c r="I5" s="15"/>
      <c r="J5" s="15"/>
      <c r="K5" s="15"/>
      <c r="L5" s="15"/>
      <c r="M5" s="16"/>
      <c r="N5" s="18"/>
      <c r="O5" s="18"/>
      <c r="P5" s="18"/>
      <c r="Q5" s="18"/>
    </row>
    <row r="6" spans="1:21" ht="15.75" thickBot="1" x14ac:dyDescent="0.3">
      <c r="A6" s="59"/>
      <c r="B6" s="60"/>
      <c r="C6" s="60"/>
      <c r="D6" s="60"/>
      <c r="E6" s="60"/>
      <c r="F6" s="60"/>
      <c r="G6" s="60"/>
      <c r="H6" s="60"/>
      <c r="I6" s="60"/>
      <c r="J6" s="60"/>
      <c r="K6" s="60"/>
      <c r="L6" s="60"/>
      <c r="M6" s="61"/>
      <c r="N6" s="53"/>
      <c r="O6" s="53"/>
      <c r="P6" s="53"/>
      <c r="Q6" s="38"/>
    </row>
    <row r="7" spans="1:21" ht="42.75" customHeight="1" thickBot="1" x14ac:dyDescent="0.3">
      <c r="A7" s="2" t="s">
        <v>0</v>
      </c>
      <c r="B7" s="3" t="s">
        <v>1</v>
      </c>
      <c r="C7" s="4" t="s">
        <v>2</v>
      </c>
      <c r="D7" s="3" t="s">
        <v>3</v>
      </c>
      <c r="E7" s="3" t="s">
        <v>4</v>
      </c>
      <c r="F7" s="4" t="s">
        <v>5</v>
      </c>
      <c r="G7" s="4" t="s">
        <v>6</v>
      </c>
      <c r="H7" s="5" t="s">
        <v>7</v>
      </c>
      <c r="I7" s="4" t="s">
        <v>8</v>
      </c>
      <c r="J7" s="6" t="s">
        <v>9</v>
      </c>
      <c r="K7" s="6" t="s">
        <v>10</v>
      </c>
      <c r="L7" s="27" t="s">
        <v>12</v>
      </c>
      <c r="M7" s="28" t="s">
        <v>11</v>
      </c>
      <c r="N7" s="19" t="s">
        <v>115</v>
      </c>
      <c r="O7" s="19" t="s">
        <v>116</v>
      </c>
      <c r="P7" s="19" t="s">
        <v>117</v>
      </c>
      <c r="Q7" s="19"/>
      <c r="S7" s="55" t="s">
        <v>115</v>
      </c>
      <c r="T7" s="55" t="s">
        <v>116</v>
      </c>
      <c r="U7" s="55" t="s">
        <v>117</v>
      </c>
    </row>
    <row r="8" spans="1:21" ht="15.75" thickBot="1" x14ac:dyDescent="0.3">
      <c r="A8" s="9" t="s">
        <v>13</v>
      </c>
      <c r="B8" s="37">
        <v>0</v>
      </c>
      <c r="C8" s="1">
        <v>0</v>
      </c>
      <c r="D8" s="37">
        <v>0</v>
      </c>
      <c r="E8" s="37">
        <v>0</v>
      </c>
      <c r="F8" s="1">
        <v>0</v>
      </c>
      <c r="G8" s="1">
        <v>0</v>
      </c>
      <c r="H8" s="38">
        <v>0</v>
      </c>
      <c r="I8" s="1">
        <v>0</v>
      </c>
      <c r="J8" s="39">
        <v>0</v>
      </c>
      <c r="K8" s="39">
        <v>0</v>
      </c>
      <c r="L8" s="7">
        <f>SUM(B8:J8)</f>
        <v>0</v>
      </c>
      <c r="M8" s="8">
        <f>SUM(B8:K8)</f>
        <v>0</v>
      </c>
      <c r="N8" s="20">
        <f>SUM(B8,C8)</f>
        <v>0</v>
      </c>
      <c r="O8" s="20">
        <f>SUM(D8,E8,F8)</f>
        <v>0</v>
      </c>
      <c r="P8" s="20">
        <f>SUM(G8,H8,I8,J8)</f>
        <v>0</v>
      </c>
      <c r="Q8" s="21" t="s">
        <v>75</v>
      </c>
      <c r="R8" s="22">
        <f>SUM(L8:L11)</f>
        <v>449</v>
      </c>
      <c r="S8" s="22">
        <f>SUM(N8:N11)</f>
        <v>210</v>
      </c>
      <c r="T8" s="22">
        <f>SUM(O8:O11)</f>
        <v>232</v>
      </c>
      <c r="U8" s="22">
        <f>SUM(P8:P11)</f>
        <v>7</v>
      </c>
    </row>
    <row r="9" spans="1:21" ht="15.75" thickBot="1" x14ac:dyDescent="0.3">
      <c r="A9" s="9" t="s">
        <v>14</v>
      </c>
      <c r="B9" s="37">
        <v>0</v>
      </c>
      <c r="C9" s="1">
        <v>0</v>
      </c>
      <c r="D9" s="37">
        <v>0</v>
      </c>
      <c r="E9" s="37">
        <v>0</v>
      </c>
      <c r="F9" s="1">
        <v>0</v>
      </c>
      <c r="G9" s="1">
        <v>0</v>
      </c>
      <c r="H9" s="38">
        <v>0</v>
      </c>
      <c r="I9" s="1">
        <v>0</v>
      </c>
      <c r="J9" s="39">
        <v>0</v>
      </c>
      <c r="K9" s="39">
        <v>0</v>
      </c>
      <c r="L9" s="7">
        <f>SUM(B9:J9)</f>
        <v>0</v>
      </c>
      <c r="M9" s="8">
        <f>SUM(B9:K9)</f>
        <v>0</v>
      </c>
      <c r="N9" s="20">
        <f t="shared" ref="N9:N71" si="0">SUM(B9,C9)</f>
        <v>0</v>
      </c>
      <c r="O9" s="20">
        <f t="shared" ref="O9:O71" si="1">SUM(D9,E9,F9)</f>
        <v>0</v>
      </c>
      <c r="P9" s="20">
        <f t="shared" ref="P9:P71" si="2">SUM(G9,H9,I9,J9)</f>
        <v>0</v>
      </c>
      <c r="Q9" s="21" t="s">
        <v>76</v>
      </c>
      <c r="R9" s="22">
        <f>SUM(L12:L15)</f>
        <v>1300</v>
      </c>
      <c r="S9" s="22">
        <f>SUM(N12:N15)</f>
        <v>547</v>
      </c>
      <c r="T9" s="22">
        <f t="shared" ref="T9:U9" si="3">SUM(O12:O15)</f>
        <v>745</v>
      </c>
      <c r="U9" s="22">
        <f t="shared" si="3"/>
        <v>8</v>
      </c>
    </row>
    <row r="10" spans="1:21" ht="15.75" thickBot="1" x14ac:dyDescent="0.3">
      <c r="A10" s="9" t="s">
        <v>15</v>
      </c>
      <c r="B10" s="37">
        <v>50</v>
      </c>
      <c r="C10" s="1">
        <v>45</v>
      </c>
      <c r="D10" s="37">
        <v>50</v>
      </c>
      <c r="E10" s="37">
        <v>4</v>
      </c>
      <c r="F10" s="1">
        <v>0</v>
      </c>
      <c r="G10" s="1">
        <v>1</v>
      </c>
      <c r="H10" s="38">
        <v>0</v>
      </c>
      <c r="I10" s="1">
        <v>0</v>
      </c>
      <c r="J10" s="39">
        <v>0</v>
      </c>
      <c r="K10" s="39">
        <v>40</v>
      </c>
      <c r="L10" s="7">
        <f>SUM(B10:J10)</f>
        <v>150</v>
      </c>
      <c r="M10" s="8">
        <f t="shared" ref="M10:M66" si="4">SUM(B10:K10)</f>
        <v>190</v>
      </c>
      <c r="N10" s="20">
        <f t="shared" si="0"/>
        <v>95</v>
      </c>
      <c r="O10" s="20">
        <f t="shared" si="1"/>
        <v>54</v>
      </c>
      <c r="P10" s="20">
        <f t="shared" si="2"/>
        <v>1</v>
      </c>
      <c r="Q10" s="21" t="s">
        <v>77</v>
      </c>
      <c r="R10" s="22">
        <f>SUM(L16:L19)</f>
        <v>948</v>
      </c>
      <c r="S10" s="22">
        <f>SUM(N16:N19)</f>
        <v>366</v>
      </c>
      <c r="T10" s="22">
        <f t="shared" ref="T10:U10" si="5">SUM(O16:O19)</f>
        <v>566</v>
      </c>
      <c r="U10" s="22">
        <f t="shared" si="5"/>
        <v>16</v>
      </c>
    </row>
    <row r="11" spans="1:21" ht="15.75" thickBot="1" x14ac:dyDescent="0.3">
      <c r="A11" s="9" t="s">
        <v>16</v>
      </c>
      <c r="B11" s="37">
        <v>60</v>
      </c>
      <c r="C11" s="1">
        <v>55</v>
      </c>
      <c r="D11" s="37">
        <v>175</v>
      </c>
      <c r="E11" s="37">
        <v>0</v>
      </c>
      <c r="F11" s="1">
        <v>3</v>
      </c>
      <c r="G11" s="1">
        <v>2</v>
      </c>
      <c r="H11" s="38">
        <v>1</v>
      </c>
      <c r="I11" s="1">
        <v>3</v>
      </c>
      <c r="J11" s="39">
        <v>0</v>
      </c>
      <c r="K11" s="39">
        <v>50</v>
      </c>
      <c r="L11" s="7">
        <f t="shared" ref="L11:L71" si="6">SUM(B11:J11)</f>
        <v>299</v>
      </c>
      <c r="M11" s="8">
        <f t="shared" si="4"/>
        <v>349</v>
      </c>
      <c r="N11" s="20">
        <f t="shared" si="0"/>
        <v>115</v>
      </c>
      <c r="O11" s="20">
        <f t="shared" si="1"/>
        <v>178</v>
      </c>
      <c r="P11" s="20">
        <f t="shared" si="2"/>
        <v>6</v>
      </c>
      <c r="Q11" s="21" t="s">
        <v>78</v>
      </c>
      <c r="R11" s="22">
        <f>SUM(L20:L23)</f>
        <v>1078</v>
      </c>
      <c r="S11" s="22">
        <f>SUM(N20:N23)</f>
        <v>238</v>
      </c>
      <c r="T11" s="22">
        <f t="shared" ref="T11:U11" si="7">SUM(O20:O23)</f>
        <v>819</v>
      </c>
      <c r="U11" s="22">
        <f t="shared" si="7"/>
        <v>21</v>
      </c>
    </row>
    <row r="12" spans="1:21" ht="15.75" thickBot="1" x14ac:dyDescent="0.3">
      <c r="A12" s="9" t="s">
        <v>17</v>
      </c>
      <c r="B12" s="37">
        <v>60</v>
      </c>
      <c r="C12" s="1">
        <v>60</v>
      </c>
      <c r="D12" s="37">
        <v>200</v>
      </c>
      <c r="E12" s="37">
        <v>1</v>
      </c>
      <c r="F12" s="1">
        <v>0</v>
      </c>
      <c r="G12" s="1">
        <v>1</v>
      </c>
      <c r="H12" s="38">
        <v>0</v>
      </c>
      <c r="I12" s="1">
        <v>0</v>
      </c>
      <c r="J12" s="39">
        <v>0</v>
      </c>
      <c r="K12" s="39">
        <v>70</v>
      </c>
      <c r="L12" s="7">
        <f t="shared" si="6"/>
        <v>322</v>
      </c>
      <c r="M12" s="8">
        <f t="shared" si="4"/>
        <v>392</v>
      </c>
      <c r="N12" s="20">
        <f t="shared" si="0"/>
        <v>120</v>
      </c>
      <c r="O12" s="20">
        <f t="shared" si="1"/>
        <v>201</v>
      </c>
      <c r="P12" s="20">
        <f t="shared" si="2"/>
        <v>1</v>
      </c>
      <c r="Q12" s="21" t="s">
        <v>79</v>
      </c>
      <c r="R12" s="22">
        <f>SUM(L24:L27)</f>
        <v>820</v>
      </c>
      <c r="S12" s="22">
        <f>SUM(N24:N27)</f>
        <v>208</v>
      </c>
      <c r="T12" s="22">
        <f t="shared" ref="T12:U12" si="8">SUM(O24:O27)</f>
        <v>584</v>
      </c>
      <c r="U12" s="22">
        <f t="shared" si="8"/>
        <v>28</v>
      </c>
    </row>
    <row r="13" spans="1:21" ht="15.75" thickBot="1" x14ac:dyDescent="0.3">
      <c r="A13" s="9" t="s">
        <v>18</v>
      </c>
      <c r="B13" s="37">
        <v>58</v>
      </c>
      <c r="C13" s="1">
        <v>45</v>
      </c>
      <c r="D13" s="37">
        <v>190</v>
      </c>
      <c r="E13" s="37">
        <v>1</v>
      </c>
      <c r="F13" s="1">
        <v>1</v>
      </c>
      <c r="G13" s="1">
        <v>2</v>
      </c>
      <c r="H13" s="38">
        <v>0</v>
      </c>
      <c r="I13" s="1">
        <v>0</v>
      </c>
      <c r="J13" s="39">
        <v>1</v>
      </c>
      <c r="K13" s="39">
        <v>65</v>
      </c>
      <c r="L13" s="7">
        <f t="shared" si="6"/>
        <v>298</v>
      </c>
      <c r="M13" s="8">
        <f t="shared" si="4"/>
        <v>363</v>
      </c>
      <c r="N13" s="20">
        <f t="shared" si="0"/>
        <v>103</v>
      </c>
      <c r="O13" s="20">
        <f t="shared" si="1"/>
        <v>192</v>
      </c>
      <c r="P13" s="20">
        <f t="shared" si="2"/>
        <v>3</v>
      </c>
      <c r="Q13" s="21" t="s">
        <v>80</v>
      </c>
      <c r="R13" s="22">
        <f>SUM(L28:L31)</f>
        <v>781</v>
      </c>
      <c r="S13" s="22">
        <f>SUM(N28:N31)</f>
        <v>214</v>
      </c>
      <c r="T13" s="22">
        <f t="shared" ref="T13:U13" si="9">SUM(O28:O31)</f>
        <v>523</v>
      </c>
      <c r="U13" s="22">
        <f t="shared" si="9"/>
        <v>44</v>
      </c>
    </row>
    <row r="14" spans="1:21" ht="15.75" thickBot="1" x14ac:dyDescent="0.3">
      <c r="A14" s="9" t="s">
        <v>19</v>
      </c>
      <c r="B14" s="37">
        <v>131</v>
      </c>
      <c r="C14" s="1">
        <v>55</v>
      </c>
      <c r="D14" s="37">
        <v>230</v>
      </c>
      <c r="E14" s="37">
        <v>2</v>
      </c>
      <c r="F14" s="1">
        <v>0</v>
      </c>
      <c r="G14" s="1">
        <v>0</v>
      </c>
      <c r="H14" s="38">
        <v>0</v>
      </c>
      <c r="I14" s="1">
        <v>0</v>
      </c>
      <c r="J14" s="39">
        <v>0</v>
      </c>
      <c r="K14" s="39">
        <v>100</v>
      </c>
      <c r="L14" s="7">
        <f t="shared" si="6"/>
        <v>418</v>
      </c>
      <c r="M14" s="8">
        <f t="shared" si="4"/>
        <v>518</v>
      </c>
      <c r="N14" s="20">
        <f t="shared" si="0"/>
        <v>186</v>
      </c>
      <c r="O14" s="20">
        <f t="shared" si="1"/>
        <v>232</v>
      </c>
      <c r="P14" s="20">
        <f t="shared" si="2"/>
        <v>0</v>
      </c>
      <c r="Q14" s="21" t="s">
        <v>81</v>
      </c>
      <c r="R14" s="22">
        <f>SUM(L32:L35)</f>
        <v>597</v>
      </c>
      <c r="S14" s="22">
        <f>SUM(N32:N35)</f>
        <v>155</v>
      </c>
      <c r="T14" s="22">
        <f t="shared" ref="T14:U14" si="10">SUM(O32:O35)</f>
        <v>407</v>
      </c>
      <c r="U14" s="22">
        <f t="shared" si="10"/>
        <v>35</v>
      </c>
    </row>
    <row r="15" spans="1:21" ht="15.75" thickBot="1" x14ac:dyDescent="0.3">
      <c r="A15" s="9" t="s">
        <v>20</v>
      </c>
      <c r="B15" s="37">
        <v>88</v>
      </c>
      <c r="C15" s="1">
        <v>50</v>
      </c>
      <c r="D15" s="37">
        <v>120</v>
      </c>
      <c r="E15" s="37">
        <v>0</v>
      </c>
      <c r="F15" s="1">
        <v>0</v>
      </c>
      <c r="G15" s="1">
        <v>2</v>
      </c>
      <c r="H15" s="38">
        <v>1</v>
      </c>
      <c r="I15" s="1">
        <v>0</v>
      </c>
      <c r="J15" s="39">
        <v>1</v>
      </c>
      <c r="K15" s="39">
        <v>110</v>
      </c>
      <c r="L15" s="7">
        <f t="shared" si="6"/>
        <v>262</v>
      </c>
      <c r="M15" s="8">
        <f t="shared" si="4"/>
        <v>372</v>
      </c>
      <c r="N15" s="20">
        <f t="shared" si="0"/>
        <v>138</v>
      </c>
      <c r="O15" s="20">
        <f t="shared" si="1"/>
        <v>120</v>
      </c>
      <c r="P15" s="20">
        <f t="shared" si="2"/>
        <v>4</v>
      </c>
      <c r="Q15" s="21" t="s">
        <v>82</v>
      </c>
      <c r="R15" s="22">
        <f>SUM(L36:L39)</f>
        <v>663</v>
      </c>
      <c r="S15" s="22">
        <f>SUM(N36:N39)</f>
        <v>140</v>
      </c>
      <c r="T15" s="22">
        <f t="shared" ref="T15:U15" si="11">SUM(O36:O39)</f>
        <v>466</v>
      </c>
      <c r="U15" s="22">
        <f t="shared" si="11"/>
        <v>57</v>
      </c>
    </row>
    <row r="16" spans="1:21" ht="15.75" thickBot="1" x14ac:dyDescent="0.3">
      <c r="A16" s="9" t="s">
        <v>21</v>
      </c>
      <c r="B16" s="37">
        <v>87</v>
      </c>
      <c r="C16" s="1">
        <v>33</v>
      </c>
      <c r="D16" s="37">
        <v>160</v>
      </c>
      <c r="E16" s="37">
        <v>0</v>
      </c>
      <c r="F16" s="1">
        <v>1</v>
      </c>
      <c r="G16" s="1">
        <v>5</v>
      </c>
      <c r="H16" s="38">
        <v>1</v>
      </c>
      <c r="I16" s="1">
        <v>2</v>
      </c>
      <c r="J16" s="39">
        <v>0</v>
      </c>
      <c r="K16" s="39">
        <v>139</v>
      </c>
      <c r="L16" s="7">
        <f t="shared" si="6"/>
        <v>289</v>
      </c>
      <c r="M16" s="8">
        <f t="shared" si="4"/>
        <v>428</v>
      </c>
      <c r="N16" s="20">
        <f t="shared" si="0"/>
        <v>120</v>
      </c>
      <c r="O16" s="20">
        <f t="shared" si="1"/>
        <v>161</v>
      </c>
      <c r="P16" s="20">
        <f t="shared" si="2"/>
        <v>8</v>
      </c>
      <c r="Q16" s="21" t="s">
        <v>83</v>
      </c>
      <c r="R16" s="22">
        <f>SUM(L40:L43)</f>
        <v>665</v>
      </c>
      <c r="S16" s="22">
        <f>SUM(N40:N43)</f>
        <v>225</v>
      </c>
      <c r="T16" s="22">
        <f t="shared" ref="T16:U16" si="12">SUM(O40:O43)</f>
        <v>396</v>
      </c>
      <c r="U16" s="22">
        <f t="shared" si="12"/>
        <v>44</v>
      </c>
    </row>
    <row r="17" spans="1:21" ht="15.75" thickBot="1" x14ac:dyDescent="0.3">
      <c r="A17" s="9" t="s">
        <v>22</v>
      </c>
      <c r="B17" s="37">
        <v>59</v>
      </c>
      <c r="C17" s="1">
        <v>35</v>
      </c>
      <c r="D17" s="37">
        <v>160</v>
      </c>
      <c r="E17" s="37">
        <v>0</v>
      </c>
      <c r="F17" s="1">
        <v>0</v>
      </c>
      <c r="G17" s="1">
        <v>2</v>
      </c>
      <c r="H17" s="38">
        <v>1</v>
      </c>
      <c r="I17" s="1">
        <v>0</v>
      </c>
      <c r="J17" s="39">
        <v>0</v>
      </c>
      <c r="K17" s="39">
        <v>140</v>
      </c>
      <c r="L17" s="7">
        <f t="shared" si="6"/>
        <v>257</v>
      </c>
      <c r="M17" s="8">
        <f t="shared" si="4"/>
        <v>397</v>
      </c>
      <c r="N17" s="20">
        <f t="shared" si="0"/>
        <v>94</v>
      </c>
      <c r="O17" s="20">
        <f t="shared" si="1"/>
        <v>160</v>
      </c>
      <c r="P17" s="20">
        <f t="shared" si="2"/>
        <v>3</v>
      </c>
      <c r="Q17" s="21" t="s">
        <v>84</v>
      </c>
      <c r="R17" s="22">
        <f>SUM(L44:L47)</f>
        <v>689</v>
      </c>
      <c r="S17" s="22">
        <f>SUM(N44:N47)</f>
        <v>230</v>
      </c>
      <c r="T17" s="22">
        <f t="shared" ref="T17:U17" si="13">SUM(O44:O47)</f>
        <v>414</v>
      </c>
      <c r="U17" s="22">
        <f t="shared" si="13"/>
        <v>45</v>
      </c>
    </row>
    <row r="18" spans="1:21" ht="15.75" thickBot="1" x14ac:dyDescent="0.3">
      <c r="A18" s="9" t="s">
        <v>23</v>
      </c>
      <c r="B18" s="37">
        <v>48</v>
      </c>
      <c r="C18" s="1">
        <v>25</v>
      </c>
      <c r="D18" s="37">
        <v>125</v>
      </c>
      <c r="E18" s="37">
        <v>0</v>
      </c>
      <c r="F18" s="1">
        <v>0</v>
      </c>
      <c r="G18" s="1">
        <v>1</v>
      </c>
      <c r="H18" s="38">
        <v>0</v>
      </c>
      <c r="I18" s="1">
        <v>1</v>
      </c>
      <c r="J18" s="39">
        <v>0</v>
      </c>
      <c r="K18" s="39">
        <v>115</v>
      </c>
      <c r="L18" s="7">
        <f t="shared" si="6"/>
        <v>200</v>
      </c>
      <c r="M18" s="8">
        <f t="shared" si="4"/>
        <v>315</v>
      </c>
      <c r="N18" s="20">
        <f t="shared" si="0"/>
        <v>73</v>
      </c>
      <c r="O18" s="20">
        <f t="shared" si="1"/>
        <v>125</v>
      </c>
      <c r="P18" s="20">
        <f t="shared" si="2"/>
        <v>2</v>
      </c>
      <c r="Q18" s="21" t="s">
        <v>85</v>
      </c>
      <c r="R18" s="22">
        <f>SUM(L48:L51)</f>
        <v>706</v>
      </c>
      <c r="S18" s="22">
        <f>SUM(N48:N51)</f>
        <v>314</v>
      </c>
      <c r="T18" s="22">
        <f t="shared" ref="T18:U18" si="14">SUM(O48:O51)</f>
        <v>357</v>
      </c>
      <c r="U18" s="22">
        <f t="shared" si="14"/>
        <v>35</v>
      </c>
    </row>
    <row r="19" spans="1:21" ht="15.75" thickBot="1" x14ac:dyDescent="0.3">
      <c r="A19" s="9" t="s">
        <v>24</v>
      </c>
      <c r="B19" s="37">
        <v>54</v>
      </c>
      <c r="C19" s="1">
        <v>25</v>
      </c>
      <c r="D19" s="37">
        <v>120</v>
      </c>
      <c r="E19" s="37">
        <v>0</v>
      </c>
      <c r="F19" s="1">
        <v>0</v>
      </c>
      <c r="G19" s="1">
        <v>2</v>
      </c>
      <c r="H19" s="38">
        <v>0</v>
      </c>
      <c r="I19" s="1">
        <v>1</v>
      </c>
      <c r="J19" s="39">
        <v>0</v>
      </c>
      <c r="K19" s="39">
        <v>135</v>
      </c>
      <c r="L19" s="7">
        <f t="shared" si="6"/>
        <v>202</v>
      </c>
      <c r="M19" s="8">
        <f t="shared" si="4"/>
        <v>337</v>
      </c>
      <c r="N19" s="20">
        <f t="shared" si="0"/>
        <v>79</v>
      </c>
      <c r="O19" s="20">
        <f t="shared" si="1"/>
        <v>120</v>
      </c>
      <c r="P19" s="20">
        <f t="shared" si="2"/>
        <v>3</v>
      </c>
      <c r="Q19" s="21" t="s">
        <v>86</v>
      </c>
      <c r="R19" s="22">
        <f>SUM(L52:L55)</f>
        <v>800</v>
      </c>
      <c r="S19" s="22">
        <f>SUM(N52:N55)</f>
        <v>359</v>
      </c>
      <c r="T19" s="22">
        <f t="shared" ref="T19:U19" si="15">SUM(O52:O55)</f>
        <v>411</v>
      </c>
      <c r="U19" s="22">
        <f t="shared" si="15"/>
        <v>30</v>
      </c>
    </row>
    <row r="20" spans="1:21" ht="15.75" thickBot="1" x14ac:dyDescent="0.3">
      <c r="A20" s="9" t="s">
        <v>25</v>
      </c>
      <c r="B20" s="37">
        <v>36</v>
      </c>
      <c r="C20" s="1">
        <v>16</v>
      </c>
      <c r="D20" s="37">
        <v>225</v>
      </c>
      <c r="E20" s="37">
        <v>0</v>
      </c>
      <c r="F20" s="1">
        <v>0</v>
      </c>
      <c r="G20" s="1">
        <v>2</v>
      </c>
      <c r="H20" s="38">
        <v>0</v>
      </c>
      <c r="I20" s="1">
        <v>2</v>
      </c>
      <c r="J20" s="39">
        <v>0</v>
      </c>
      <c r="K20" s="39">
        <v>160</v>
      </c>
      <c r="L20" s="7">
        <f t="shared" si="6"/>
        <v>281</v>
      </c>
      <c r="M20" s="8">
        <f t="shared" si="4"/>
        <v>441</v>
      </c>
      <c r="N20" s="20">
        <f t="shared" si="0"/>
        <v>52</v>
      </c>
      <c r="O20" s="20">
        <f t="shared" si="1"/>
        <v>225</v>
      </c>
      <c r="P20" s="20">
        <f t="shared" si="2"/>
        <v>4</v>
      </c>
      <c r="Q20" s="21" t="s">
        <v>87</v>
      </c>
      <c r="R20" s="22">
        <f>SUM(L56:L59)</f>
        <v>641</v>
      </c>
      <c r="S20" s="22">
        <f>SUM(N56:N59)</f>
        <v>165</v>
      </c>
      <c r="T20" s="22">
        <f t="shared" ref="T20:U20" si="16">SUM(O56:O59)</f>
        <v>434</v>
      </c>
      <c r="U20" s="22">
        <f t="shared" si="16"/>
        <v>42</v>
      </c>
    </row>
    <row r="21" spans="1:21" ht="15.75" thickBot="1" x14ac:dyDescent="0.3">
      <c r="A21" s="9" t="s">
        <v>26</v>
      </c>
      <c r="B21" s="37">
        <v>35</v>
      </c>
      <c r="C21" s="1">
        <v>15</v>
      </c>
      <c r="D21" s="37">
        <v>190</v>
      </c>
      <c r="E21" s="37">
        <v>0</v>
      </c>
      <c r="F21" s="1">
        <v>1</v>
      </c>
      <c r="G21" s="1">
        <v>4</v>
      </c>
      <c r="H21" s="38">
        <v>0</v>
      </c>
      <c r="I21" s="1">
        <v>1</v>
      </c>
      <c r="J21" s="39">
        <v>1</v>
      </c>
      <c r="K21" s="39">
        <v>120</v>
      </c>
      <c r="L21" s="7">
        <f t="shared" si="6"/>
        <v>247</v>
      </c>
      <c r="M21" s="8">
        <f t="shared" si="4"/>
        <v>367</v>
      </c>
      <c r="N21" s="20">
        <f t="shared" si="0"/>
        <v>50</v>
      </c>
      <c r="O21" s="20">
        <f t="shared" si="1"/>
        <v>191</v>
      </c>
      <c r="P21" s="20">
        <f t="shared" si="2"/>
        <v>6</v>
      </c>
      <c r="Q21" s="21" t="s">
        <v>88</v>
      </c>
      <c r="R21" s="22">
        <f>SUM(L60:L63)</f>
        <v>798</v>
      </c>
      <c r="S21" s="22">
        <f>SUM(N60:N63)</f>
        <v>320</v>
      </c>
      <c r="T21" s="22">
        <f t="shared" ref="T21:U21" si="17">SUM(O60:O63)</f>
        <v>456</v>
      </c>
      <c r="U21" s="22">
        <f t="shared" si="17"/>
        <v>22</v>
      </c>
    </row>
    <row r="22" spans="1:21" ht="15.75" thickBot="1" x14ac:dyDescent="0.3">
      <c r="A22" s="9" t="s">
        <v>27</v>
      </c>
      <c r="B22" s="37">
        <v>60</v>
      </c>
      <c r="C22" s="1">
        <v>48</v>
      </c>
      <c r="D22" s="37">
        <v>210</v>
      </c>
      <c r="E22" s="37">
        <v>2</v>
      </c>
      <c r="F22" s="1">
        <v>1</v>
      </c>
      <c r="G22" s="1">
        <v>1</v>
      </c>
      <c r="H22" s="38">
        <v>1</v>
      </c>
      <c r="I22" s="1">
        <v>0</v>
      </c>
      <c r="J22" s="39">
        <v>1</v>
      </c>
      <c r="K22" s="39">
        <v>160</v>
      </c>
      <c r="L22" s="7">
        <f t="shared" si="6"/>
        <v>324</v>
      </c>
      <c r="M22" s="8">
        <f t="shared" si="4"/>
        <v>484</v>
      </c>
      <c r="N22" s="20">
        <f t="shared" si="0"/>
        <v>108</v>
      </c>
      <c r="O22" s="20">
        <f t="shared" si="1"/>
        <v>213</v>
      </c>
      <c r="P22" s="20">
        <f t="shared" si="2"/>
        <v>3</v>
      </c>
      <c r="Q22" s="21" t="s">
        <v>89</v>
      </c>
      <c r="R22" s="22">
        <f>SUM(L64:L67)</f>
        <v>635</v>
      </c>
      <c r="S22" s="22">
        <f>SUM(N64:N67)</f>
        <v>234</v>
      </c>
      <c r="T22" s="22">
        <f t="shared" ref="T22:U22" si="18">SUM(O64:O67)</f>
        <v>383</v>
      </c>
      <c r="U22" s="22">
        <f t="shared" si="18"/>
        <v>18</v>
      </c>
    </row>
    <row r="23" spans="1:21" ht="15.75" thickBot="1" x14ac:dyDescent="0.3">
      <c r="A23" s="9" t="s">
        <v>28</v>
      </c>
      <c r="B23" s="37">
        <v>19</v>
      </c>
      <c r="C23" s="1">
        <v>9</v>
      </c>
      <c r="D23" s="37">
        <v>190</v>
      </c>
      <c r="E23" s="37">
        <v>0</v>
      </c>
      <c r="F23" s="1">
        <v>0</v>
      </c>
      <c r="G23" s="1">
        <v>5</v>
      </c>
      <c r="H23" s="38">
        <v>2</v>
      </c>
      <c r="I23" s="1">
        <v>1</v>
      </c>
      <c r="J23" s="39">
        <v>0</v>
      </c>
      <c r="K23" s="39">
        <v>130</v>
      </c>
      <c r="L23" s="7">
        <f t="shared" si="6"/>
        <v>226</v>
      </c>
      <c r="M23" s="8">
        <f t="shared" si="4"/>
        <v>356</v>
      </c>
      <c r="N23" s="20">
        <f t="shared" si="0"/>
        <v>28</v>
      </c>
      <c r="O23" s="20">
        <f t="shared" si="1"/>
        <v>190</v>
      </c>
      <c r="P23" s="20">
        <f t="shared" si="2"/>
        <v>8</v>
      </c>
      <c r="Q23" s="20" t="s">
        <v>113</v>
      </c>
      <c r="R23" s="22">
        <f>SUM(R8:R19)</f>
        <v>9496</v>
      </c>
      <c r="S23" s="22">
        <f t="shared" ref="S23:U23" si="19">SUM(S8:S19)</f>
        <v>3206</v>
      </c>
      <c r="T23" s="22">
        <f t="shared" si="19"/>
        <v>5920</v>
      </c>
      <c r="U23" s="22">
        <f t="shared" si="19"/>
        <v>370</v>
      </c>
    </row>
    <row r="24" spans="1:21" ht="15.75" thickBot="1" x14ac:dyDescent="0.3">
      <c r="A24" s="9" t="s">
        <v>29</v>
      </c>
      <c r="B24" s="37">
        <v>37</v>
      </c>
      <c r="C24" s="1">
        <v>24</v>
      </c>
      <c r="D24" s="37">
        <v>170</v>
      </c>
      <c r="E24" s="37">
        <v>0</v>
      </c>
      <c r="F24" s="1">
        <v>1</v>
      </c>
      <c r="G24" s="1">
        <v>2</v>
      </c>
      <c r="H24" s="38">
        <v>0</v>
      </c>
      <c r="I24" s="1">
        <v>2</v>
      </c>
      <c r="J24" s="39">
        <v>2</v>
      </c>
      <c r="K24" s="39">
        <v>110</v>
      </c>
      <c r="L24" s="7">
        <f t="shared" si="6"/>
        <v>238</v>
      </c>
      <c r="M24" s="8">
        <f t="shared" si="4"/>
        <v>348</v>
      </c>
      <c r="N24" s="20">
        <f t="shared" si="0"/>
        <v>61</v>
      </c>
      <c r="O24" s="20">
        <f t="shared" si="1"/>
        <v>171</v>
      </c>
      <c r="P24" s="20">
        <f t="shared" si="2"/>
        <v>6</v>
      </c>
      <c r="Q24" s="20" t="s">
        <v>114</v>
      </c>
      <c r="R24" s="22">
        <f>R23*1.334</f>
        <v>12667.664000000001</v>
      </c>
      <c r="S24" s="56">
        <f t="shared" ref="S24:U24" si="20">S23*1.334</f>
        <v>4276.8040000000001</v>
      </c>
      <c r="T24" s="56">
        <f t="shared" si="20"/>
        <v>7897.2800000000007</v>
      </c>
      <c r="U24" s="56">
        <f t="shared" si="20"/>
        <v>493.58000000000004</v>
      </c>
    </row>
    <row r="25" spans="1:21" ht="15.75" thickBot="1" x14ac:dyDescent="0.3">
      <c r="A25" s="9" t="s">
        <v>30</v>
      </c>
      <c r="B25" s="37">
        <v>26</v>
      </c>
      <c r="C25" s="1">
        <v>17</v>
      </c>
      <c r="D25" s="37">
        <v>125</v>
      </c>
      <c r="E25" s="37">
        <v>1</v>
      </c>
      <c r="F25" s="1">
        <v>1</v>
      </c>
      <c r="G25" s="1">
        <v>5</v>
      </c>
      <c r="H25" s="38">
        <v>0</v>
      </c>
      <c r="I25" s="1">
        <v>1</v>
      </c>
      <c r="J25" s="39">
        <v>1</v>
      </c>
      <c r="K25" s="39">
        <v>160</v>
      </c>
      <c r="L25" s="7">
        <f t="shared" si="6"/>
        <v>177</v>
      </c>
      <c r="M25" s="8">
        <f t="shared" si="4"/>
        <v>337</v>
      </c>
      <c r="N25" s="20">
        <f t="shared" si="0"/>
        <v>43</v>
      </c>
      <c r="O25" s="20">
        <f t="shared" si="1"/>
        <v>127</v>
      </c>
      <c r="P25" s="20">
        <f t="shared" si="2"/>
        <v>7</v>
      </c>
      <c r="Q25" s="20"/>
    </row>
    <row r="26" spans="1:21" ht="15.75" thickBot="1" x14ac:dyDescent="0.3">
      <c r="A26" s="9" t="s">
        <v>31</v>
      </c>
      <c r="B26" s="37">
        <v>28</v>
      </c>
      <c r="C26" s="1">
        <v>11</v>
      </c>
      <c r="D26" s="37">
        <v>140</v>
      </c>
      <c r="E26" s="37">
        <v>0</v>
      </c>
      <c r="F26" s="1">
        <v>0</v>
      </c>
      <c r="G26" s="1">
        <v>2</v>
      </c>
      <c r="H26" s="38">
        <v>0</v>
      </c>
      <c r="I26" s="1">
        <v>0</v>
      </c>
      <c r="J26" s="39">
        <v>0</v>
      </c>
      <c r="K26" s="39">
        <v>170</v>
      </c>
      <c r="L26" s="7">
        <f t="shared" si="6"/>
        <v>181</v>
      </c>
      <c r="M26" s="8">
        <f t="shared" si="4"/>
        <v>351</v>
      </c>
      <c r="N26" s="20">
        <f t="shared" si="0"/>
        <v>39</v>
      </c>
      <c r="O26" s="20">
        <f t="shared" si="1"/>
        <v>140</v>
      </c>
      <c r="P26" s="20">
        <f t="shared" si="2"/>
        <v>2</v>
      </c>
      <c r="Q26" s="20" t="s">
        <v>118</v>
      </c>
      <c r="R26" s="22">
        <f>AVERAGE(R8:R10)</f>
        <v>899</v>
      </c>
    </row>
    <row r="27" spans="1:21" ht="15.75" thickBot="1" x14ac:dyDescent="0.3">
      <c r="A27" s="9" t="s">
        <v>32</v>
      </c>
      <c r="B27" s="37">
        <v>40</v>
      </c>
      <c r="C27" s="1">
        <v>25</v>
      </c>
      <c r="D27" s="37">
        <v>145</v>
      </c>
      <c r="E27" s="37">
        <v>1</v>
      </c>
      <c r="F27" s="1">
        <v>0</v>
      </c>
      <c r="G27" s="1">
        <v>5</v>
      </c>
      <c r="H27" s="38">
        <v>2</v>
      </c>
      <c r="I27" s="1">
        <v>6</v>
      </c>
      <c r="J27" s="39">
        <v>0</v>
      </c>
      <c r="K27" s="39">
        <v>210</v>
      </c>
      <c r="L27" s="7">
        <f t="shared" si="6"/>
        <v>224</v>
      </c>
      <c r="M27" s="8">
        <f t="shared" si="4"/>
        <v>434</v>
      </c>
      <c r="N27" s="20">
        <f t="shared" si="0"/>
        <v>65</v>
      </c>
      <c r="O27" s="20">
        <f t="shared" si="1"/>
        <v>146</v>
      </c>
      <c r="P27" s="20">
        <f t="shared" si="2"/>
        <v>13</v>
      </c>
      <c r="Q27" s="20" t="s">
        <v>119</v>
      </c>
      <c r="R27" s="22">
        <f>AVERAGE(R18:R20)</f>
        <v>715.66666666666663</v>
      </c>
    </row>
    <row r="28" spans="1:21" ht="15.75" thickBot="1" x14ac:dyDescent="0.3">
      <c r="A28" s="9" t="s">
        <v>33</v>
      </c>
      <c r="B28" s="37">
        <v>35</v>
      </c>
      <c r="C28" s="1">
        <v>35</v>
      </c>
      <c r="D28" s="37">
        <v>110</v>
      </c>
      <c r="E28" s="37">
        <v>0</v>
      </c>
      <c r="F28" s="1">
        <v>0</v>
      </c>
      <c r="G28" s="1">
        <v>3</v>
      </c>
      <c r="H28" s="38">
        <v>0</v>
      </c>
      <c r="I28" s="1">
        <v>4</v>
      </c>
      <c r="J28" s="39">
        <v>0</v>
      </c>
      <c r="K28" s="39">
        <v>120</v>
      </c>
      <c r="L28" s="7">
        <f t="shared" si="6"/>
        <v>187</v>
      </c>
      <c r="M28" s="8">
        <f t="shared" si="4"/>
        <v>307</v>
      </c>
      <c r="N28" s="20">
        <f t="shared" si="0"/>
        <v>70</v>
      </c>
      <c r="O28" s="20">
        <f t="shared" si="1"/>
        <v>110</v>
      </c>
      <c r="P28" s="20">
        <f t="shared" si="2"/>
        <v>7</v>
      </c>
      <c r="Q28" s="20"/>
    </row>
    <row r="29" spans="1:21" ht="15.75" thickBot="1" x14ac:dyDescent="0.3">
      <c r="A29" s="9" t="s">
        <v>34</v>
      </c>
      <c r="B29" s="37">
        <v>40</v>
      </c>
      <c r="C29" s="1">
        <v>27</v>
      </c>
      <c r="D29" s="37">
        <v>180</v>
      </c>
      <c r="E29" s="37">
        <v>1</v>
      </c>
      <c r="F29" s="1">
        <v>2</v>
      </c>
      <c r="G29" s="1">
        <v>3</v>
      </c>
      <c r="H29" s="38">
        <v>1</v>
      </c>
      <c r="I29" s="1">
        <v>5</v>
      </c>
      <c r="J29" s="39">
        <v>2</v>
      </c>
      <c r="K29" s="39">
        <v>160</v>
      </c>
      <c r="L29" s="7">
        <f t="shared" si="6"/>
        <v>261</v>
      </c>
      <c r="M29" s="8">
        <f t="shared" si="4"/>
        <v>421</v>
      </c>
      <c r="N29" s="20">
        <f t="shared" si="0"/>
        <v>67</v>
      </c>
      <c r="O29" s="20">
        <f t="shared" si="1"/>
        <v>183</v>
      </c>
      <c r="P29" s="20">
        <f t="shared" si="2"/>
        <v>11</v>
      </c>
      <c r="Q29" s="20"/>
    </row>
    <row r="30" spans="1:21" ht="15.75" thickBot="1" x14ac:dyDescent="0.3">
      <c r="A30" s="9" t="s">
        <v>35</v>
      </c>
      <c r="B30" s="37">
        <v>35</v>
      </c>
      <c r="C30" s="1">
        <v>13</v>
      </c>
      <c r="D30" s="37">
        <v>130</v>
      </c>
      <c r="E30" s="37">
        <v>0</v>
      </c>
      <c r="F30" s="1">
        <v>0</v>
      </c>
      <c r="G30" s="1">
        <v>8</v>
      </c>
      <c r="H30" s="38">
        <v>0</v>
      </c>
      <c r="I30" s="1">
        <v>4</v>
      </c>
      <c r="J30" s="39">
        <v>1</v>
      </c>
      <c r="K30" s="39">
        <v>125</v>
      </c>
      <c r="L30" s="7">
        <f t="shared" si="6"/>
        <v>191</v>
      </c>
      <c r="M30" s="8">
        <f t="shared" si="4"/>
        <v>316</v>
      </c>
      <c r="N30" s="20">
        <f t="shared" si="0"/>
        <v>48</v>
      </c>
      <c r="O30" s="20">
        <f t="shared" si="1"/>
        <v>130</v>
      </c>
      <c r="P30" s="20">
        <f t="shared" si="2"/>
        <v>13</v>
      </c>
      <c r="Q30" s="20"/>
    </row>
    <row r="31" spans="1:21" ht="15.75" thickBot="1" x14ac:dyDescent="0.3">
      <c r="A31" s="9" t="s">
        <v>36</v>
      </c>
      <c r="B31" s="37">
        <v>22</v>
      </c>
      <c r="C31" s="1">
        <v>7</v>
      </c>
      <c r="D31" s="37">
        <v>100</v>
      </c>
      <c r="E31" s="37">
        <v>0</v>
      </c>
      <c r="F31" s="1">
        <v>0</v>
      </c>
      <c r="G31" s="1">
        <v>7</v>
      </c>
      <c r="H31" s="38">
        <v>2</v>
      </c>
      <c r="I31" s="1">
        <v>3</v>
      </c>
      <c r="J31" s="39">
        <v>1</v>
      </c>
      <c r="K31" s="39">
        <v>185</v>
      </c>
      <c r="L31" s="7">
        <f t="shared" si="6"/>
        <v>142</v>
      </c>
      <c r="M31" s="8">
        <f t="shared" si="4"/>
        <v>327</v>
      </c>
      <c r="N31" s="20">
        <f t="shared" si="0"/>
        <v>29</v>
      </c>
      <c r="O31" s="20">
        <f t="shared" si="1"/>
        <v>100</v>
      </c>
      <c r="P31" s="20">
        <f t="shared" si="2"/>
        <v>13</v>
      </c>
      <c r="Q31" s="20"/>
    </row>
    <row r="32" spans="1:21" ht="15.75" thickBot="1" x14ac:dyDescent="0.3">
      <c r="A32" s="9" t="s">
        <v>37</v>
      </c>
      <c r="B32" s="37">
        <v>23</v>
      </c>
      <c r="C32" s="1">
        <v>18</v>
      </c>
      <c r="D32" s="37">
        <v>120</v>
      </c>
      <c r="E32" s="37">
        <v>0</v>
      </c>
      <c r="F32" s="1">
        <v>0</v>
      </c>
      <c r="G32" s="1">
        <v>8</v>
      </c>
      <c r="H32" s="38">
        <v>0</v>
      </c>
      <c r="I32" s="1">
        <v>4</v>
      </c>
      <c r="J32" s="39">
        <v>2</v>
      </c>
      <c r="K32" s="39">
        <v>110</v>
      </c>
      <c r="L32" s="7">
        <f t="shared" si="6"/>
        <v>175</v>
      </c>
      <c r="M32" s="8">
        <f t="shared" si="4"/>
        <v>285</v>
      </c>
      <c r="N32" s="20">
        <f t="shared" si="0"/>
        <v>41</v>
      </c>
      <c r="O32" s="20">
        <f t="shared" si="1"/>
        <v>120</v>
      </c>
      <c r="P32" s="20">
        <f t="shared" si="2"/>
        <v>14</v>
      </c>
      <c r="Q32" s="20"/>
    </row>
    <row r="33" spans="1:17" ht="15.75" thickBot="1" x14ac:dyDescent="0.3">
      <c r="A33" s="9" t="s">
        <v>38</v>
      </c>
      <c r="B33" s="37">
        <v>24</v>
      </c>
      <c r="C33" s="1">
        <v>17</v>
      </c>
      <c r="D33" s="37">
        <v>100</v>
      </c>
      <c r="E33" s="37">
        <v>0</v>
      </c>
      <c r="F33" s="1">
        <v>0</v>
      </c>
      <c r="G33" s="1">
        <v>4</v>
      </c>
      <c r="H33" s="38">
        <v>0</v>
      </c>
      <c r="I33" s="1">
        <v>0</v>
      </c>
      <c r="J33" s="39">
        <v>3</v>
      </c>
      <c r="K33" s="39">
        <v>140</v>
      </c>
      <c r="L33" s="7">
        <f t="shared" si="6"/>
        <v>148</v>
      </c>
      <c r="M33" s="8">
        <f t="shared" si="4"/>
        <v>288</v>
      </c>
      <c r="N33" s="20">
        <f t="shared" si="0"/>
        <v>41</v>
      </c>
      <c r="O33" s="20">
        <f t="shared" si="1"/>
        <v>100</v>
      </c>
      <c r="P33" s="20">
        <f t="shared" si="2"/>
        <v>7</v>
      </c>
      <c r="Q33" s="20"/>
    </row>
    <row r="34" spans="1:17" ht="15.75" thickBot="1" x14ac:dyDescent="0.3">
      <c r="A34" s="9" t="s">
        <v>39</v>
      </c>
      <c r="B34" s="37">
        <v>30</v>
      </c>
      <c r="C34" s="1">
        <v>13</v>
      </c>
      <c r="D34" s="37">
        <v>110</v>
      </c>
      <c r="E34" s="37">
        <v>2</v>
      </c>
      <c r="F34" s="1">
        <v>0</v>
      </c>
      <c r="G34" s="1">
        <v>4</v>
      </c>
      <c r="H34" s="38">
        <v>2</v>
      </c>
      <c r="I34" s="1">
        <v>1</v>
      </c>
      <c r="J34" s="39">
        <v>0</v>
      </c>
      <c r="K34" s="39">
        <v>110</v>
      </c>
      <c r="L34" s="7">
        <f t="shared" si="6"/>
        <v>162</v>
      </c>
      <c r="M34" s="8">
        <f t="shared" si="4"/>
        <v>272</v>
      </c>
      <c r="N34" s="20">
        <f t="shared" si="0"/>
        <v>43</v>
      </c>
      <c r="O34" s="20">
        <f t="shared" si="1"/>
        <v>112</v>
      </c>
      <c r="P34" s="20">
        <f t="shared" si="2"/>
        <v>7</v>
      </c>
      <c r="Q34" s="20"/>
    </row>
    <row r="35" spans="1:17" ht="15.75" thickBot="1" x14ac:dyDescent="0.3">
      <c r="A35" s="9" t="s">
        <v>40</v>
      </c>
      <c r="B35" s="37">
        <v>20</v>
      </c>
      <c r="C35" s="1">
        <v>10</v>
      </c>
      <c r="D35" s="37">
        <v>75</v>
      </c>
      <c r="E35" s="37">
        <v>0</v>
      </c>
      <c r="F35" s="1">
        <v>0</v>
      </c>
      <c r="G35" s="1">
        <v>6</v>
      </c>
      <c r="H35" s="38">
        <v>0</v>
      </c>
      <c r="I35" s="1">
        <v>1</v>
      </c>
      <c r="J35" s="39">
        <v>0</v>
      </c>
      <c r="K35" s="39">
        <v>115</v>
      </c>
      <c r="L35" s="7">
        <f t="shared" si="6"/>
        <v>112</v>
      </c>
      <c r="M35" s="8">
        <f t="shared" si="4"/>
        <v>227</v>
      </c>
      <c r="N35" s="20">
        <f t="shared" si="0"/>
        <v>30</v>
      </c>
      <c r="O35" s="20">
        <f t="shared" si="1"/>
        <v>75</v>
      </c>
      <c r="P35" s="20">
        <f t="shared" si="2"/>
        <v>7</v>
      </c>
      <c r="Q35" s="20"/>
    </row>
    <row r="36" spans="1:17" ht="15.75" thickBot="1" x14ac:dyDescent="0.3">
      <c r="A36" s="9" t="s">
        <v>41</v>
      </c>
      <c r="B36" s="37">
        <v>17</v>
      </c>
      <c r="C36" s="1">
        <v>13</v>
      </c>
      <c r="D36" s="37">
        <v>120</v>
      </c>
      <c r="E36" s="37">
        <v>0</v>
      </c>
      <c r="F36" s="1">
        <v>0</v>
      </c>
      <c r="G36" s="1">
        <v>8</v>
      </c>
      <c r="H36" s="38">
        <v>2</v>
      </c>
      <c r="I36" s="1">
        <v>4</v>
      </c>
      <c r="J36" s="39">
        <v>4</v>
      </c>
      <c r="K36" s="39">
        <v>110</v>
      </c>
      <c r="L36" s="7">
        <f t="shared" si="6"/>
        <v>168</v>
      </c>
      <c r="M36" s="8">
        <f t="shared" si="4"/>
        <v>278</v>
      </c>
      <c r="N36" s="20">
        <f t="shared" si="0"/>
        <v>30</v>
      </c>
      <c r="O36" s="20">
        <f t="shared" si="1"/>
        <v>120</v>
      </c>
      <c r="P36" s="20">
        <f t="shared" si="2"/>
        <v>18</v>
      </c>
      <c r="Q36" s="20"/>
    </row>
    <row r="37" spans="1:17" ht="15.75" thickBot="1" x14ac:dyDescent="0.3">
      <c r="A37" s="9" t="s">
        <v>42</v>
      </c>
      <c r="B37" s="37">
        <v>23</v>
      </c>
      <c r="C37" s="1">
        <v>15</v>
      </c>
      <c r="D37" s="37">
        <v>135</v>
      </c>
      <c r="E37" s="37">
        <v>1</v>
      </c>
      <c r="F37" s="1">
        <v>0</v>
      </c>
      <c r="G37" s="1">
        <v>3</v>
      </c>
      <c r="H37" s="38">
        <v>0</v>
      </c>
      <c r="I37" s="1">
        <v>4</v>
      </c>
      <c r="J37" s="39">
        <v>1</v>
      </c>
      <c r="K37" s="39">
        <v>155</v>
      </c>
      <c r="L37" s="7">
        <f t="shared" si="6"/>
        <v>182</v>
      </c>
      <c r="M37" s="8">
        <f t="shared" si="4"/>
        <v>337</v>
      </c>
      <c r="N37" s="20">
        <f t="shared" si="0"/>
        <v>38</v>
      </c>
      <c r="O37" s="20">
        <f t="shared" si="1"/>
        <v>136</v>
      </c>
      <c r="P37" s="20">
        <f t="shared" si="2"/>
        <v>8</v>
      </c>
      <c r="Q37" s="20"/>
    </row>
    <row r="38" spans="1:17" ht="15.75" thickBot="1" x14ac:dyDescent="0.3">
      <c r="A38" s="9" t="s">
        <v>43</v>
      </c>
      <c r="B38" s="37">
        <v>33</v>
      </c>
      <c r="C38" s="1">
        <v>21</v>
      </c>
      <c r="D38" s="37">
        <v>100</v>
      </c>
      <c r="E38" s="37">
        <v>0</v>
      </c>
      <c r="F38" s="1">
        <v>1</v>
      </c>
      <c r="G38" s="1">
        <v>7</v>
      </c>
      <c r="H38" s="38">
        <v>2</v>
      </c>
      <c r="I38" s="1">
        <v>3</v>
      </c>
      <c r="J38" s="39">
        <v>1</v>
      </c>
      <c r="K38" s="39">
        <v>115</v>
      </c>
      <c r="L38" s="7">
        <f t="shared" si="6"/>
        <v>168</v>
      </c>
      <c r="M38" s="8">
        <f t="shared" si="4"/>
        <v>283</v>
      </c>
      <c r="N38" s="20">
        <f t="shared" si="0"/>
        <v>54</v>
      </c>
      <c r="O38" s="20">
        <f t="shared" si="1"/>
        <v>101</v>
      </c>
      <c r="P38" s="20">
        <f t="shared" si="2"/>
        <v>13</v>
      </c>
      <c r="Q38" s="20"/>
    </row>
    <row r="39" spans="1:17" ht="15.75" thickBot="1" x14ac:dyDescent="0.3">
      <c r="A39" s="9" t="s">
        <v>44</v>
      </c>
      <c r="B39" s="37">
        <v>14</v>
      </c>
      <c r="C39" s="1">
        <v>4</v>
      </c>
      <c r="D39" s="37">
        <v>105</v>
      </c>
      <c r="E39" s="37">
        <v>3</v>
      </c>
      <c r="F39" s="1">
        <v>1</v>
      </c>
      <c r="G39" s="1">
        <v>9</v>
      </c>
      <c r="H39" s="38">
        <v>3</v>
      </c>
      <c r="I39" s="1">
        <v>6</v>
      </c>
      <c r="J39" s="39">
        <v>0</v>
      </c>
      <c r="K39" s="39">
        <v>160</v>
      </c>
      <c r="L39" s="7">
        <f t="shared" si="6"/>
        <v>145</v>
      </c>
      <c r="M39" s="8">
        <f t="shared" si="4"/>
        <v>305</v>
      </c>
      <c r="N39" s="20">
        <f t="shared" si="0"/>
        <v>18</v>
      </c>
      <c r="O39" s="20">
        <f t="shared" si="1"/>
        <v>109</v>
      </c>
      <c r="P39" s="20">
        <f t="shared" si="2"/>
        <v>18</v>
      </c>
      <c r="Q39" s="20"/>
    </row>
    <row r="40" spans="1:17" ht="15.75" thickBot="1" x14ac:dyDescent="0.3">
      <c r="A40" s="9" t="s">
        <v>45</v>
      </c>
      <c r="B40" s="37">
        <v>31</v>
      </c>
      <c r="C40" s="1">
        <v>17</v>
      </c>
      <c r="D40" s="37">
        <v>90</v>
      </c>
      <c r="E40" s="37">
        <v>0</v>
      </c>
      <c r="F40" s="1">
        <v>0</v>
      </c>
      <c r="G40" s="1">
        <v>5</v>
      </c>
      <c r="H40" s="38">
        <v>1</v>
      </c>
      <c r="I40" s="1">
        <v>3</v>
      </c>
      <c r="J40" s="39">
        <v>1</v>
      </c>
      <c r="K40" s="39">
        <v>100</v>
      </c>
      <c r="L40" s="7">
        <f t="shared" si="6"/>
        <v>148</v>
      </c>
      <c r="M40" s="8">
        <f t="shared" si="4"/>
        <v>248</v>
      </c>
      <c r="N40" s="20">
        <f t="shared" si="0"/>
        <v>48</v>
      </c>
      <c r="O40" s="20">
        <f t="shared" si="1"/>
        <v>90</v>
      </c>
      <c r="P40" s="20">
        <f t="shared" si="2"/>
        <v>10</v>
      </c>
      <c r="Q40" s="20"/>
    </row>
    <row r="41" spans="1:17" ht="15.75" thickBot="1" x14ac:dyDescent="0.3">
      <c r="A41" s="9" t="s">
        <v>46</v>
      </c>
      <c r="B41" s="37">
        <v>19</v>
      </c>
      <c r="C41" s="1">
        <v>10</v>
      </c>
      <c r="D41" s="37">
        <v>100</v>
      </c>
      <c r="E41" s="37">
        <v>0</v>
      </c>
      <c r="F41" s="1">
        <v>1</v>
      </c>
      <c r="G41" s="1">
        <v>4</v>
      </c>
      <c r="H41" s="38">
        <v>0</v>
      </c>
      <c r="I41" s="1">
        <v>6</v>
      </c>
      <c r="J41" s="39">
        <v>1</v>
      </c>
      <c r="K41" s="39">
        <v>185</v>
      </c>
      <c r="L41" s="7">
        <f t="shared" si="6"/>
        <v>141</v>
      </c>
      <c r="M41" s="8">
        <f t="shared" si="4"/>
        <v>326</v>
      </c>
      <c r="N41" s="20">
        <f t="shared" si="0"/>
        <v>29</v>
      </c>
      <c r="O41" s="20">
        <f t="shared" si="1"/>
        <v>101</v>
      </c>
      <c r="P41" s="20">
        <f t="shared" si="2"/>
        <v>11</v>
      </c>
      <c r="Q41" s="20"/>
    </row>
    <row r="42" spans="1:17" ht="15.75" thickBot="1" x14ac:dyDescent="0.3">
      <c r="A42" s="9" t="s">
        <v>47</v>
      </c>
      <c r="B42" s="37">
        <v>24</v>
      </c>
      <c r="C42" s="1">
        <v>15</v>
      </c>
      <c r="D42" s="37">
        <v>110</v>
      </c>
      <c r="E42" s="37">
        <v>1</v>
      </c>
      <c r="F42" s="1">
        <v>0</v>
      </c>
      <c r="G42" s="1">
        <v>9</v>
      </c>
      <c r="H42" s="38">
        <v>1</v>
      </c>
      <c r="I42" s="1">
        <v>3</v>
      </c>
      <c r="J42" s="39">
        <v>1</v>
      </c>
      <c r="K42" s="39">
        <v>135</v>
      </c>
      <c r="L42" s="7">
        <f t="shared" si="6"/>
        <v>164</v>
      </c>
      <c r="M42" s="8">
        <f t="shared" si="4"/>
        <v>299</v>
      </c>
      <c r="N42" s="20">
        <f t="shared" si="0"/>
        <v>39</v>
      </c>
      <c r="O42" s="20">
        <f t="shared" si="1"/>
        <v>111</v>
      </c>
      <c r="P42" s="20">
        <f t="shared" si="2"/>
        <v>14</v>
      </c>
      <c r="Q42" s="20"/>
    </row>
    <row r="43" spans="1:17" ht="15.75" thickBot="1" x14ac:dyDescent="0.3">
      <c r="A43" s="9" t="s">
        <v>48</v>
      </c>
      <c r="B43" s="37">
        <v>64</v>
      </c>
      <c r="C43" s="1">
        <v>45</v>
      </c>
      <c r="D43" s="37">
        <v>93</v>
      </c>
      <c r="E43" s="37">
        <v>1</v>
      </c>
      <c r="F43" s="1">
        <v>0</v>
      </c>
      <c r="G43" s="1">
        <v>6</v>
      </c>
      <c r="H43" s="38">
        <v>1</v>
      </c>
      <c r="I43" s="1">
        <v>2</v>
      </c>
      <c r="J43" s="39">
        <v>0</v>
      </c>
      <c r="K43" s="39">
        <v>125</v>
      </c>
      <c r="L43" s="7">
        <f t="shared" si="6"/>
        <v>212</v>
      </c>
      <c r="M43" s="8">
        <f t="shared" si="4"/>
        <v>337</v>
      </c>
      <c r="N43" s="20">
        <f t="shared" si="0"/>
        <v>109</v>
      </c>
      <c r="O43" s="20">
        <f t="shared" si="1"/>
        <v>94</v>
      </c>
      <c r="P43" s="20">
        <f t="shared" si="2"/>
        <v>9</v>
      </c>
      <c r="Q43" s="20"/>
    </row>
    <row r="44" spans="1:17" ht="15.75" thickBot="1" x14ac:dyDescent="0.3">
      <c r="A44" s="9" t="s">
        <v>49</v>
      </c>
      <c r="B44" s="37">
        <v>20</v>
      </c>
      <c r="C44" s="1">
        <v>25</v>
      </c>
      <c r="D44" s="37">
        <v>117</v>
      </c>
      <c r="E44" s="37">
        <v>1</v>
      </c>
      <c r="F44" s="1">
        <v>0</v>
      </c>
      <c r="G44" s="1">
        <v>6</v>
      </c>
      <c r="H44" s="38">
        <v>1</v>
      </c>
      <c r="I44" s="1">
        <v>8</v>
      </c>
      <c r="J44" s="39">
        <v>0</v>
      </c>
      <c r="K44" s="39">
        <v>150</v>
      </c>
      <c r="L44" s="7">
        <f t="shared" si="6"/>
        <v>178</v>
      </c>
      <c r="M44" s="8">
        <f t="shared" si="4"/>
        <v>328</v>
      </c>
      <c r="N44" s="20">
        <f t="shared" si="0"/>
        <v>45</v>
      </c>
      <c r="O44" s="20">
        <f t="shared" si="1"/>
        <v>118</v>
      </c>
      <c r="P44" s="20">
        <f t="shared" si="2"/>
        <v>15</v>
      </c>
      <c r="Q44" s="20"/>
    </row>
    <row r="45" spans="1:17" ht="15.75" thickBot="1" x14ac:dyDescent="0.3">
      <c r="A45" s="9" t="s">
        <v>50</v>
      </c>
      <c r="B45" s="37">
        <v>15</v>
      </c>
      <c r="C45" s="1">
        <v>18</v>
      </c>
      <c r="D45" s="37">
        <v>100</v>
      </c>
      <c r="E45" s="37">
        <v>3</v>
      </c>
      <c r="F45" s="1">
        <v>1</v>
      </c>
      <c r="G45" s="1">
        <v>2</v>
      </c>
      <c r="H45" s="38">
        <v>0</v>
      </c>
      <c r="I45" s="1">
        <v>4</v>
      </c>
      <c r="J45" s="39">
        <v>1</v>
      </c>
      <c r="K45" s="39">
        <v>110</v>
      </c>
      <c r="L45" s="7">
        <f t="shared" si="6"/>
        <v>144</v>
      </c>
      <c r="M45" s="8">
        <f t="shared" si="4"/>
        <v>254</v>
      </c>
      <c r="N45" s="20">
        <f t="shared" si="0"/>
        <v>33</v>
      </c>
      <c r="O45" s="20">
        <f t="shared" si="1"/>
        <v>104</v>
      </c>
      <c r="P45" s="20">
        <f t="shared" si="2"/>
        <v>7</v>
      </c>
      <c r="Q45" s="20"/>
    </row>
    <row r="46" spans="1:17" ht="15.75" thickBot="1" x14ac:dyDescent="0.3">
      <c r="A46" s="9" t="s">
        <v>51</v>
      </c>
      <c r="B46" s="37">
        <v>40</v>
      </c>
      <c r="C46" s="1">
        <v>45</v>
      </c>
      <c r="D46" s="37">
        <v>80</v>
      </c>
      <c r="E46" s="37">
        <v>0</v>
      </c>
      <c r="F46" s="1">
        <v>1</v>
      </c>
      <c r="G46" s="1">
        <v>5</v>
      </c>
      <c r="H46" s="38">
        <v>0</v>
      </c>
      <c r="I46" s="1">
        <v>4</v>
      </c>
      <c r="J46" s="39">
        <v>0</v>
      </c>
      <c r="K46" s="39">
        <v>120</v>
      </c>
      <c r="L46" s="7">
        <f t="shared" si="6"/>
        <v>175</v>
      </c>
      <c r="M46" s="8">
        <f t="shared" si="4"/>
        <v>295</v>
      </c>
      <c r="N46" s="20">
        <f t="shared" si="0"/>
        <v>85</v>
      </c>
      <c r="O46" s="20">
        <f t="shared" si="1"/>
        <v>81</v>
      </c>
      <c r="P46" s="20">
        <f t="shared" si="2"/>
        <v>9</v>
      </c>
      <c r="Q46" s="20"/>
    </row>
    <row r="47" spans="1:17" ht="15.75" thickBot="1" x14ac:dyDescent="0.3">
      <c r="A47" s="9" t="s">
        <v>52</v>
      </c>
      <c r="B47" s="37">
        <v>33</v>
      </c>
      <c r="C47" s="1">
        <v>34</v>
      </c>
      <c r="D47" s="37">
        <v>110</v>
      </c>
      <c r="E47" s="37">
        <v>1</v>
      </c>
      <c r="F47" s="1">
        <v>0</v>
      </c>
      <c r="G47" s="1">
        <v>3</v>
      </c>
      <c r="H47" s="38">
        <v>2</v>
      </c>
      <c r="I47" s="1">
        <v>9</v>
      </c>
      <c r="J47" s="39">
        <v>0</v>
      </c>
      <c r="K47" s="39">
        <v>115</v>
      </c>
      <c r="L47" s="7">
        <f t="shared" si="6"/>
        <v>192</v>
      </c>
      <c r="M47" s="8">
        <f t="shared" si="4"/>
        <v>307</v>
      </c>
      <c r="N47" s="20">
        <f t="shared" si="0"/>
        <v>67</v>
      </c>
      <c r="O47" s="20">
        <f t="shared" si="1"/>
        <v>111</v>
      </c>
      <c r="P47" s="20">
        <f t="shared" si="2"/>
        <v>14</v>
      </c>
      <c r="Q47" s="20"/>
    </row>
    <row r="48" spans="1:17" ht="15.75" thickBot="1" x14ac:dyDescent="0.3">
      <c r="A48" s="9" t="s">
        <v>53</v>
      </c>
      <c r="B48" s="37">
        <v>43</v>
      </c>
      <c r="C48" s="1">
        <v>23</v>
      </c>
      <c r="D48" s="37">
        <v>103</v>
      </c>
      <c r="E48" s="37">
        <v>2</v>
      </c>
      <c r="F48" s="1">
        <v>2</v>
      </c>
      <c r="G48" s="1">
        <v>6</v>
      </c>
      <c r="H48" s="38">
        <v>3</v>
      </c>
      <c r="I48" s="1">
        <v>1</v>
      </c>
      <c r="J48" s="39">
        <v>2</v>
      </c>
      <c r="K48" s="39">
        <v>125</v>
      </c>
      <c r="L48" s="7">
        <f t="shared" si="6"/>
        <v>185</v>
      </c>
      <c r="M48" s="8">
        <f t="shared" si="4"/>
        <v>310</v>
      </c>
      <c r="N48" s="20">
        <f t="shared" si="0"/>
        <v>66</v>
      </c>
      <c r="O48" s="20">
        <f t="shared" si="1"/>
        <v>107</v>
      </c>
      <c r="P48" s="20">
        <f t="shared" si="2"/>
        <v>12</v>
      </c>
      <c r="Q48" s="20"/>
    </row>
    <row r="49" spans="1:17" ht="15.75" thickBot="1" x14ac:dyDescent="0.3">
      <c r="A49" s="9" t="s">
        <v>54</v>
      </c>
      <c r="B49" s="37">
        <v>37</v>
      </c>
      <c r="C49" s="1">
        <v>43</v>
      </c>
      <c r="D49" s="37">
        <v>70</v>
      </c>
      <c r="E49" s="37">
        <v>0</v>
      </c>
      <c r="F49" s="1">
        <v>0</v>
      </c>
      <c r="G49" s="1">
        <v>5</v>
      </c>
      <c r="H49" s="38">
        <v>0</v>
      </c>
      <c r="I49" s="1">
        <v>3</v>
      </c>
      <c r="J49" s="39">
        <v>1</v>
      </c>
      <c r="K49" s="39">
        <v>150</v>
      </c>
      <c r="L49" s="7">
        <f t="shared" si="6"/>
        <v>159</v>
      </c>
      <c r="M49" s="8">
        <f t="shared" si="4"/>
        <v>309</v>
      </c>
      <c r="N49" s="20">
        <f t="shared" si="0"/>
        <v>80</v>
      </c>
      <c r="O49" s="20">
        <f t="shared" si="1"/>
        <v>70</v>
      </c>
      <c r="P49" s="20">
        <f t="shared" si="2"/>
        <v>9</v>
      </c>
      <c r="Q49" s="20"/>
    </row>
    <row r="50" spans="1:17" ht="15.75" thickBot="1" x14ac:dyDescent="0.3">
      <c r="A50" s="9" t="s">
        <v>55</v>
      </c>
      <c r="B50" s="37">
        <v>48</v>
      </c>
      <c r="C50" s="1">
        <v>35</v>
      </c>
      <c r="D50" s="37">
        <v>70</v>
      </c>
      <c r="E50" s="37">
        <v>2</v>
      </c>
      <c r="F50" s="1">
        <v>1</v>
      </c>
      <c r="G50" s="1">
        <v>3</v>
      </c>
      <c r="H50" s="38">
        <v>2</v>
      </c>
      <c r="I50" s="1">
        <v>4</v>
      </c>
      <c r="J50" s="39">
        <v>0</v>
      </c>
      <c r="K50" s="39">
        <v>145</v>
      </c>
      <c r="L50" s="7">
        <f t="shared" si="6"/>
        <v>165</v>
      </c>
      <c r="M50" s="8">
        <f t="shared" si="4"/>
        <v>310</v>
      </c>
      <c r="N50" s="20">
        <f t="shared" si="0"/>
        <v>83</v>
      </c>
      <c r="O50" s="20">
        <f t="shared" si="1"/>
        <v>73</v>
      </c>
      <c r="P50" s="20">
        <f t="shared" si="2"/>
        <v>9</v>
      </c>
      <c r="Q50" s="20"/>
    </row>
    <row r="51" spans="1:17" ht="15.75" thickBot="1" x14ac:dyDescent="0.3">
      <c r="A51" s="9" t="s">
        <v>56</v>
      </c>
      <c r="B51" s="37">
        <v>45</v>
      </c>
      <c r="C51" s="1">
        <v>40</v>
      </c>
      <c r="D51" s="37">
        <v>105</v>
      </c>
      <c r="E51" s="37">
        <v>2</v>
      </c>
      <c r="F51" s="1">
        <v>0</v>
      </c>
      <c r="G51" s="1">
        <v>3</v>
      </c>
      <c r="H51" s="38">
        <v>1</v>
      </c>
      <c r="I51" s="1">
        <v>1</v>
      </c>
      <c r="J51" s="39">
        <v>0</v>
      </c>
      <c r="K51" s="39">
        <v>115</v>
      </c>
      <c r="L51" s="7">
        <f t="shared" si="6"/>
        <v>197</v>
      </c>
      <c r="M51" s="8">
        <f t="shared" si="4"/>
        <v>312</v>
      </c>
      <c r="N51" s="20">
        <f t="shared" si="0"/>
        <v>85</v>
      </c>
      <c r="O51" s="20">
        <f t="shared" si="1"/>
        <v>107</v>
      </c>
      <c r="P51" s="20">
        <f t="shared" si="2"/>
        <v>5</v>
      </c>
      <c r="Q51" s="20"/>
    </row>
    <row r="52" spans="1:17" ht="15.75" thickBot="1" x14ac:dyDescent="0.3">
      <c r="A52" s="9" t="s">
        <v>57</v>
      </c>
      <c r="B52" s="37">
        <v>38</v>
      </c>
      <c r="C52" s="1">
        <v>48</v>
      </c>
      <c r="D52" s="37">
        <v>130</v>
      </c>
      <c r="E52" s="37">
        <v>0</v>
      </c>
      <c r="F52" s="1">
        <v>1</v>
      </c>
      <c r="G52" s="1">
        <v>5</v>
      </c>
      <c r="H52" s="38">
        <v>1</v>
      </c>
      <c r="I52" s="1">
        <v>8</v>
      </c>
      <c r="J52" s="39">
        <v>0</v>
      </c>
      <c r="K52" s="39">
        <v>190</v>
      </c>
      <c r="L52" s="7">
        <f t="shared" si="6"/>
        <v>231</v>
      </c>
      <c r="M52" s="8">
        <f t="shared" si="4"/>
        <v>421</v>
      </c>
      <c r="N52" s="20">
        <f t="shared" si="0"/>
        <v>86</v>
      </c>
      <c r="O52" s="20">
        <f t="shared" si="1"/>
        <v>131</v>
      </c>
      <c r="P52" s="20">
        <f t="shared" si="2"/>
        <v>14</v>
      </c>
      <c r="Q52" s="20"/>
    </row>
    <row r="53" spans="1:17" ht="15.75" thickBot="1" x14ac:dyDescent="0.3">
      <c r="A53" s="9" t="s">
        <v>58</v>
      </c>
      <c r="B53" s="37">
        <v>70</v>
      </c>
      <c r="C53" s="1">
        <v>50</v>
      </c>
      <c r="D53" s="37">
        <v>100</v>
      </c>
      <c r="E53" s="37">
        <v>1</v>
      </c>
      <c r="F53" s="1">
        <v>0</v>
      </c>
      <c r="G53" s="1">
        <v>2</v>
      </c>
      <c r="H53" s="38">
        <v>1</v>
      </c>
      <c r="I53" s="1">
        <v>2</v>
      </c>
      <c r="J53" s="39">
        <v>0</v>
      </c>
      <c r="K53" s="39">
        <v>110</v>
      </c>
      <c r="L53" s="7">
        <f t="shared" si="6"/>
        <v>226</v>
      </c>
      <c r="M53" s="8">
        <f t="shared" si="4"/>
        <v>336</v>
      </c>
      <c r="N53" s="20">
        <f t="shared" si="0"/>
        <v>120</v>
      </c>
      <c r="O53" s="20">
        <f t="shared" si="1"/>
        <v>101</v>
      </c>
      <c r="P53" s="20">
        <f t="shared" si="2"/>
        <v>5</v>
      </c>
      <c r="Q53" s="20"/>
    </row>
    <row r="54" spans="1:17" ht="15.75" thickBot="1" x14ac:dyDescent="0.3">
      <c r="A54" s="9" t="s">
        <v>59</v>
      </c>
      <c r="B54" s="37">
        <v>39</v>
      </c>
      <c r="C54" s="1">
        <v>37</v>
      </c>
      <c r="D54" s="37">
        <v>80</v>
      </c>
      <c r="E54" s="37">
        <v>2</v>
      </c>
      <c r="F54" s="1">
        <v>0</v>
      </c>
      <c r="G54" s="1">
        <v>0</v>
      </c>
      <c r="H54" s="38">
        <v>1</v>
      </c>
      <c r="I54" s="1">
        <v>0</v>
      </c>
      <c r="J54" s="39">
        <v>0</v>
      </c>
      <c r="K54" s="39">
        <v>150</v>
      </c>
      <c r="L54" s="7">
        <f t="shared" si="6"/>
        <v>159</v>
      </c>
      <c r="M54" s="8">
        <f t="shared" si="4"/>
        <v>309</v>
      </c>
      <c r="N54" s="20">
        <f t="shared" si="0"/>
        <v>76</v>
      </c>
      <c r="O54" s="20">
        <f t="shared" si="1"/>
        <v>82</v>
      </c>
      <c r="P54" s="20">
        <f t="shared" si="2"/>
        <v>1</v>
      </c>
      <c r="Q54" s="20"/>
    </row>
    <row r="55" spans="1:17" ht="15.75" thickBot="1" x14ac:dyDescent="0.3">
      <c r="A55" s="9" t="s">
        <v>60</v>
      </c>
      <c r="B55" s="37">
        <v>54</v>
      </c>
      <c r="C55" s="1">
        <v>23</v>
      </c>
      <c r="D55" s="37">
        <v>95</v>
      </c>
      <c r="E55" s="37">
        <v>1</v>
      </c>
      <c r="F55" s="1">
        <v>1</v>
      </c>
      <c r="G55" s="1">
        <v>3</v>
      </c>
      <c r="H55" s="38">
        <v>0</v>
      </c>
      <c r="I55" s="1">
        <v>5</v>
      </c>
      <c r="J55" s="39">
        <v>2</v>
      </c>
      <c r="K55" s="39">
        <v>90</v>
      </c>
      <c r="L55" s="7">
        <f t="shared" si="6"/>
        <v>184</v>
      </c>
      <c r="M55" s="8">
        <f t="shared" si="4"/>
        <v>274</v>
      </c>
      <c r="N55" s="20">
        <f t="shared" si="0"/>
        <v>77</v>
      </c>
      <c r="O55" s="20">
        <f t="shared" si="1"/>
        <v>97</v>
      </c>
      <c r="P55" s="20">
        <f t="shared" si="2"/>
        <v>10</v>
      </c>
      <c r="Q55" s="20"/>
    </row>
    <row r="56" spans="1:17" ht="15.75" thickBot="1" x14ac:dyDescent="0.3">
      <c r="A56" s="9" t="s">
        <v>61</v>
      </c>
      <c r="B56" s="37">
        <v>5</v>
      </c>
      <c r="C56" s="1">
        <v>3</v>
      </c>
      <c r="D56" s="37">
        <v>110</v>
      </c>
      <c r="E56" s="37">
        <v>4</v>
      </c>
      <c r="F56" s="1">
        <v>1</v>
      </c>
      <c r="G56" s="1">
        <v>2</v>
      </c>
      <c r="H56" s="38">
        <v>0</v>
      </c>
      <c r="I56" s="1">
        <v>7</v>
      </c>
      <c r="J56" s="39">
        <v>0</v>
      </c>
      <c r="K56" s="39">
        <v>140</v>
      </c>
      <c r="L56" s="7">
        <f t="shared" si="6"/>
        <v>132</v>
      </c>
      <c r="M56" s="8">
        <f t="shared" si="4"/>
        <v>272</v>
      </c>
      <c r="N56" s="20">
        <f t="shared" si="0"/>
        <v>8</v>
      </c>
      <c r="O56" s="20">
        <f t="shared" si="1"/>
        <v>115</v>
      </c>
      <c r="P56" s="20">
        <f t="shared" si="2"/>
        <v>9</v>
      </c>
      <c r="Q56" s="20"/>
    </row>
    <row r="57" spans="1:17" ht="15.75" thickBot="1" x14ac:dyDescent="0.3">
      <c r="A57" s="9" t="s">
        <v>62</v>
      </c>
      <c r="B57" s="37">
        <v>13</v>
      </c>
      <c r="C57" s="1">
        <v>16</v>
      </c>
      <c r="D57" s="37">
        <v>85</v>
      </c>
      <c r="E57" s="37">
        <v>0</v>
      </c>
      <c r="F57" s="1">
        <v>1</v>
      </c>
      <c r="G57" s="1">
        <v>10</v>
      </c>
      <c r="H57" s="38">
        <v>0</v>
      </c>
      <c r="I57" s="1">
        <v>5</v>
      </c>
      <c r="J57" s="39">
        <v>3</v>
      </c>
      <c r="K57" s="39">
        <v>150</v>
      </c>
      <c r="L57" s="7">
        <f t="shared" si="6"/>
        <v>133</v>
      </c>
      <c r="M57" s="8">
        <f t="shared" si="4"/>
        <v>283</v>
      </c>
      <c r="N57" s="20">
        <f t="shared" si="0"/>
        <v>29</v>
      </c>
      <c r="O57" s="20">
        <f t="shared" si="1"/>
        <v>86</v>
      </c>
      <c r="P57" s="20">
        <f t="shared" si="2"/>
        <v>18</v>
      </c>
      <c r="Q57" s="20"/>
    </row>
    <row r="58" spans="1:17" ht="15.75" thickBot="1" x14ac:dyDescent="0.3">
      <c r="A58" s="9" t="s">
        <v>63</v>
      </c>
      <c r="B58" s="37">
        <v>8</v>
      </c>
      <c r="C58" s="1">
        <v>1</v>
      </c>
      <c r="D58" s="37">
        <v>120</v>
      </c>
      <c r="E58" s="37">
        <v>1</v>
      </c>
      <c r="F58" s="1">
        <v>0</v>
      </c>
      <c r="G58" s="1">
        <v>2</v>
      </c>
      <c r="H58" s="38">
        <v>0</v>
      </c>
      <c r="I58" s="1">
        <v>1</v>
      </c>
      <c r="J58" s="39">
        <v>1</v>
      </c>
      <c r="K58" s="39">
        <v>180</v>
      </c>
      <c r="L58" s="7">
        <f t="shared" si="6"/>
        <v>134</v>
      </c>
      <c r="M58" s="8">
        <f t="shared" si="4"/>
        <v>314</v>
      </c>
      <c r="N58" s="20">
        <f t="shared" si="0"/>
        <v>9</v>
      </c>
      <c r="O58" s="20">
        <f t="shared" si="1"/>
        <v>121</v>
      </c>
      <c r="P58" s="20">
        <f t="shared" si="2"/>
        <v>4</v>
      </c>
      <c r="Q58" s="20"/>
    </row>
    <row r="59" spans="1:17" ht="15.75" thickBot="1" x14ac:dyDescent="0.3">
      <c r="A59" s="9" t="s">
        <v>64</v>
      </c>
      <c r="B59" s="37">
        <v>65</v>
      </c>
      <c r="C59" s="1">
        <v>54</v>
      </c>
      <c r="D59" s="37">
        <v>110</v>
      </c>
      <c r="E59" s="37">
        <v>2</v>
      </c>
      <c r="F59" s="1">
        <v>0</v>
      </c>
      <c r="G59" s="1">
        <v>5</v>
      </c>
      <c r="H59" s="38">
        <v>1</v>
      </c>
      <c r="I59" s="1">
        <v>5</v>
      </c>
      <c r="J59" s="39">
        <v>0</v>
      </c>
      <c r="K59" s="39">
        <v>100</v>
      </c>
      <c r="L59" s="7">
        <f t="shared" si="6"/>
        <v>242</v>
      </c>
      <c r="M59" s="8">
        <f t="shared" si="4"/>
        <v>342</v>
      </c>
      <c r="N59" s="20">
        <f t="shared" si="0"/>
        <v>119</v>
      </c>
      <c r="O59" s="20">
        <f t="shared" si="1"/>
        <v>112</v>
      </c>
      <c r="P59" s="20">
        <f t="shared" si="2"/>
        <v>11</v>
      </c>
      <c r="Q59" s="20"/>
    </row>
    <row r="60" spans="1:17" ht="15.75" thickBot="1" x14ac:dyDescent="0.3">
      <c r="A60" s="9" t="s">
        <v>65</v>
      </c>
      <c r="B60" s="37">
        <v>70</v>
      </c>
      <c r="C60" s="1">
        <v>40</v>
      </c>
      <c r="D60" s="37">
        <v>120</v>
      </c>
      <c r="E60" s="37">
        <v>2</v>
      </c>
      <c r="F60" s="1">
        <v>0</v>
      </c>
      <c r="G60" s="1">
        <v>2</v>
      </c>
      <c r="H60" s="38">
        <v>0</v>
      </c>
      <c r="I60" s="1">
        <v>7</v>
      </c>
      <c r="J60" s="39">
        <v>1</v>
      </c>
      <c r="K60" s="39">
        <v>110</v>
      </c>
      <c r="L60" s="7">
        <f t="shared" si="6"/>
        <v>242</v>
      </c>
      <c r="M60" s="8">
        <f t="shared" si="4"/>
        <v>352</v>
      </c>
      <c r="N60" s="20">
        <f t="shared" si="0"/>
        <v>110</v>
      </c>
      <c r="O60" s="20">
        <f t="shared" si="1"/>
        <v>122</v>
      </c>
      <c r="P60" s="20">
        <f t="shared" si="2"/>
        <v>10</v>
      </c>
      <c r="Q60" s="20"/>
    </row>
    <row r="61" spans="1:17" ht="15.75" thickBot="1" x14ac:dyDescent="0.3">
      <c r="A61" s="9" t="s">
        <v>66</v>
      </c>
      <c r="B61" s="37">
        <v>30</v>
      </c>
      <c r="C61" s="1">
        <v>23</v>
      </c>
      <c r="D61" s="37">
        <v>102</v>
      </c>
      <c r="E61" s="37">
        <v>1</v>
      </c>
      <c r="F61" s="1">
        <v>0</v>
      </c>
      <c r="G61" s="1">
        <v>2</v>
      </c>
      <c r="H61" s="38">
        <v>1</v>
      </c>
      <c r="I61" s="1">
        <v>2</v>
      </c>
      <c r="J61" s="39">
        <v>1</v>
      </c>
      <c r="K61" s="39">
        <v>140</v>
      </c>
      <c r="L61" s="7">
        <f t="shared" si="6"/>
        <v>162</v>
      </c>
      <c r="M61" s="8">
        <f t="shared" si="4"/>
        <v>302</v>
      </c>
      <c r="N61" s="20">
        <f t="shared" si="0"/>
        <v>53</v>
      </c>
      <c r="O61" s="20">
        <f t="shared" si="1"/>
        <v>103</v>
      </c>
      <c r="P61" s="20">
        <f t="shared" si="2"/>
        <v>6</v>
      </c>
      <c r="Q61" s="20"/>
    </row>
    <row r="62" spans="1:17" ht="15.75" thickBot="1" x14ac:dyDescent="0.3">
      <c r="A62" s="10" t="s">
        <v>67</v>
      </c>
      <c r="B62" s="37">
        <v>45</v>
      </c>
      <c r="C62" s="1">
        <v>30</v>
      </c>
      <c r="D62" s="37">
        <v>108</v>
      </c>
      <c r="E62" s="37">
        <v>1</v>
      </c>
      <c r="F62" s="1">
        <v>0</v>
      </c>
      <c r="G62" s="1">
        <v>2</v>
      </c>
      <c r="H62" s="38">
        <v>0</v>
      </c>
      <c r="I62" s="1">
        <v>1</v>
      </c>
      <c r="J62" s="39">
        <v>0</v>
      </c>
      <c r="K62" s="39">
        <v>140</v>
      </c>
      <c r="L62" s="7">
        <f t="shared" si="6"/>
        <v>187</v>
      </c>
      <c r="M62" s="8">
        <f t="shared" si="4"/>
        <v>327</v>
      </c>
      <c r="N62" s="20">
        <f t="shared" si="0"/>
        <v>75</v>
      </c>
      <c r="O62" s="20">
        <f t="shared" si="1"/>
        <v>109</v>
      </c>
      <c r="P62" s="20">
        <f t="shared" si="2"/>
        <v>3</v>
      </c>
      <c r="Q62" s="20"/>
    </row>
    <row r="63" spans="1:17" ht="15.75" thickBot="1" x14ac:dyDescent="0.3">
      <c r="A63" s="9" t="s">
        <v>68</v>
      </c>
      <c r="B63" s="37">
        <v>47</v>
      </c>
      <c r="C63" s="1">
        <v>35</v>
      </c>
      <c r="D63" s="37">
        <v>120</v>
      </c>
      <c r="E63" s="37">
        <v>0</v>
      </c>
      <c r="F63" s="1">
        <v>2</v>
      </c>
      <c r="G63" s="1">
        <v>1</v>
      </c>
      <c r="H63" s="38">
        <v>0</v>
      </c>
      <c r="I63" s="1">
        <v>1</v>
      </c>
      <c r="J63" s="39">
        <v>1</v>
      </c>
      <c r="K63" s="39">
        <v>100</v>
      </c>
      <c r="L63" s="7">
        <f t="shared" si="6"/>
        <v>207</v>
      </c>
      <c r="M63" s="8">
        <f t="shared" si="4"/>
        <v>307</v>
      </c>
      <c r="N63" s="20">
        <f t="shared" si="0"/>
        <v>82</v>
      </c>
      <c r="O63" s="20">
        <f t="shared" si="1"/>
        <v>122</v>
      </c>
      <c r="P63" s="20">
        <f t="shared" si="2"/>
        <v>3</v>
      </c>
      <c r="Q63" s="20"/>
    </row>
    <row r="64" spans="1:17" ht="15.75" thickBot="1" x14ac:dyDescent="0.3">
      <c r="A64" s="9" t="s">
        <v>69</v>
      </c>
      <c r="B64" s="37">
        <v>30</v>
      </c>
      <c r="C64" s="1">
        <v>27</v>
      </c>
      <c r="D64" s="37">
        <v>110</v>
      </c>
      <c r="E64" s="37">
        <v>5</v>
      </c>
      <c r="F64" s="1">
        <v>1</v>
      </c>
      <c r="G64" s="1">
        <v>1</v>
      </c>
      <c r="H64" s="38">
        <v>2</v>
      </c>
      <c r="I64" s="1">
        <v>2</v>
      </c>
      <c r="J64" s="39">
        <v>0</v>
      </c>
      <c r="K64" s="39">
        <v>100</v>
      </c>
      <c r="L64" s="7">
        <f t="shared" si="6"/>
        <v>178</v>
      </c>
      <c r="M64" s="8">
        <f>SUM(B64:K64)</f>
        <v>278</v>
      </c>
      <c r="N64" s="20">
        <f t="shared" si="0"/>
        <v>57</v>
      </c>
      <c r="O64" s="20">
        <f t="shared" si="1"/>
        <v>116</v>
      </c>
      <c r="P64" s="20">
        <f t="shared" si="2"/>
        <v>5</v>
      </c>
      <c r="Q64" s="20"/>
    </row>
    <row r="65" spans="1:17" ht="15.75" thickBot="1" x14ac:dyDescent="0.3">
      <c r="A65" s="11" t="s">
        <v>70</v>
      </c>
      <c r="B65" s="37">
        <v>19</v>
      </c>
      <c r="C65" s="1">
        <v>21</v>
      </c>
      <c r="D65" s="37">
        <v>91</v>
      </c>
      <c r="E65" s="37">
        <v>2</v>
      </c>
      <c r="F65" s="1">
        <v>1</v>
      </c>
      <c r="G65" s="1">
        <v>3</v>
      </c>
      <c r="H65" s="38">
        <v>2</v>
      </c>
      <c r="I65" s="1">
        <v>1</v>
      </c>
      <c r="J65" s="39">
        <v>2</v>
      </c>
      <c r="K65" s="39">
        <v>74</v>
      </c>
      <c r="L65" s="7">
        <f t="shared" si="6"/>
        <v>142</v>
      </c>
      <c r="M65" s="8">
        <f>SUM(B65:K65)</f>
        <v>216</v>
      </c>
      <c r="N65" s="20">
        <f t="shared" si="0"/>
        <v>40</v>
      </c>
      <c r="O65" s="20">
        <f t="shared" si="1"/>
        <v>94</v>
      </c>
      <c r="P65" s="20">
        <f t="shared" si="2"/>
        <v>8</v>
      </c>
      <c r="Q65" s="20"/>
    </row>
    <row r="66" spans="1:17" ht="15.75" thickBot="1" x14ac:dyDescent="0.3">
      <c r="A66" s="9" t="s">
        <v>71</v>
      </c>
      <c r="B66" s="37">
        <v>38</v>
      </c>
      <c r="C66" s="1">
        <v>30</v>
      </c>
      <c r="D66" s="37">
        <v>52</v>
      </c>
      <c r="E66" s="37">
        <v>2</v>
      </c>
      <c r="F66" s="1">
        <v>0</v>
      </c>
      <c r="G66" s="1">
        <v>1</v>
      </c>
      <c r="H66" s="38">
        <v>1</v>
      </c>
      <c r="I66" s="1">
        <v>1</v>
      </c>
      <c r="J66" s="39">
        <v>0</v>
      </c>
      <c r="K66" s="39">
        <v>49</v>
      </c>
      <c r="L66" s="7">
        <f t="shared" si="6"/>
        <v>125</v>
      </c>
      <c r="M66" s="8">
        <f t="shared" si="4"/>
        <v>174</v>
      </c>
      <c r="N66" s="20">
        <f t="shared" si="0"/>
        <v>68</v>
      </c>
      <c r="O66" s="20">
        <f t="shared" si="1"/>
        <v>54</v>
      </c>
      <c r="P66" s="20">
        <f t="shared" si="2"/>
        <v>3</v>
      </c>
      <c r="Q66" s="20"/>
    </row>
    <row r="67" spans="1:17" ht="15.75" thickBot="1" x14ac:dyDescent="0.3">
      <c r="A67" s="9" t="s">
        <v>72</v>
      </c>
      <c r="B67" s="37">
        <v>45</v>
      </c>
      <c r="C67" s="1">
        <v>24</v>
      </c>
      <c r="D67" s="37">
        <v>115</v>
      </c>
      <c r="E67" s="37">
        <v>3</v>
      </c>
      <c r="F67" s="1">
        <v>1</v>
      </c>
      <c r="G67" s="1">
        <v>1</v>
      </c>
      <c r="H67" s="38">
        <v>0</v>
      </c>
      <c r="I67" s="1">
        <v>1</v>
      </c>
      <c r="J67" s="39">
        <v>0</v>
      </c>
      <c r="K67" s="39">
        <v>47</v>
      </c>
      <c r="L67" s="7">
        <f t="shared" si="6"/>
        <v>190</v>
      </c>
      <c r="M67" s="8">
        <f>SUM(B67:K67)</f>
        <v>237</v>
      </c>
      <c r="N67" s="20">
        <f t="shared" si="0"/>
        <v>69</v>
      </c>
      <c r="O67" s="20">
        <f t="shared" si="1"/>
        <v>119</v>
      </c>
      <c r="P67" s="20">
        <f t="shared" si="2"/>
        <v>2</v>
      </c>
      <c r="Q67" s="20"/>
    </row>
    <row r="68" spans="1:17" ht="15.75" thickBot="1" x14ac:dyDescent="0.3">
      <c r="A68" s="9" t="s">
        <v>90</v>
      </c>
      <c r="B68" s="37">
        <v>55</v>
      </c>
      <c r="C68" s="1">
        <v>25</v>
      </c>
      <c r="D68" s="37">
        <v>114</v>
      </c>
      <c r="E68" s="37">
        <v>2</v>
      </c>
      <c r="F68" s="1">
        <v>1</v>
      </c>
      <c r="G68" s="1">
        <v>1</v>
      </c>
      <c r="H68" s="38">
        <v>1</v>
      </c>
      <c r="I68" s="1">
        <v>1</v>
      </c>
      <c r="J68" s="39">
        <v>1</v>
      </c>
      <c r="K68" s="39">
        <v>54</v>
      </c>
      <c r="L68" s="7">
        <f t="shared" si="6"/>
        <v>201</v>
      </c>
      <c r="M68" s="8">
        <f t="shared" ref="M68:M71" si="21">SUM(B68:K68)</f>
        <v>255</v>
      </c>
      <c r="N68" s="20">
        <f t="shared" si="0"/>
        <v>80</v>
      </c>
      <c r="O68" s="20">
        <f t="shared" si="1"/>
        <v>117</v>
      </c>
      <c r="P68" s="20">
        <f t="shared" si="2"/>
        <v>4</v>
      </c>
      <c r="Q68" s="20"/>
    </row>
    <row r="69" spans="1:17" ht="15.75" thickBot="1" x14ac:dyDescent="0.3">
      <c r="A69" s="9" t="s">
        <v>91</v>
      </c>
      <c r="B69" s="37">
        <v>20</v>
      </c>
      <c r="C69" s="1">
        <v>14</v>
      </c>
      <c r="D69" s="37">
        <v>53</v>
      </c>
      <c r="E69" s="37">
        <v>1</v>
      </c>
      <c r="F69" s="1">
        <v>0</v>
      </c>
      <c r="G69" s="1">
        <v>2</v>
      </c>
      <c r="H69" s="38">
        <v>0</v>
      </c>
      <c r="I69" s="1">
        <v>8</v>
      </c>
      <c r="J69" s="39">
        <v>0</v>
      </c>
      <c r="K69" s="39">
        <v>62</v>
      </c>
      <c r="L69" s="7">
        <f t="shared" si="6"/>
        <v>98</v>
      </c>
      <c r="M69" s="8">
        <f t="shared" si="21"/>
        <v>160</v>
      </c>
      <c r="N69" s="20">
        <f t="shared" si="0"/>
        <v>34</v>
      </c>
      <c r="O69" s="20">
        <f t="shared" si="1"/>
        <v>54</v>
      </c>
      <c r="P69" s="20">
        <f t="shared" si="2"/>
        <v>10</v>
      </c>
      <c r="Q69" s="20"/>
    </row>
    <row r="70" spans="1:17" ht="15.75" thickBot="1" x14ac:dyDescent="0.3">
      <c r="A70" s="9" t="s">
        <v>92</v>
      </c>
      <c r="B70" s="37">
        <v>35</v>
      </c>
      <c r="C70" s="1">
        <v>18</v>
      </c>
      <c r="D70" s="37">
        <v>41</v>
      </c>
      <c r="E70" s="37">
        <v>2</v>
      </c>
      <c r="F70" s="1">
        <v>0</v>
      </c>
      <c r="G70" s="1">
        <v>2</v>
      </c>
      <c r="H70" s="38">
        <v>0</v>
      </c>
      <c r="I70" s="1">
        <v>0</v>
      </c>
      <c r="J70" s="39">
        <v>0</v>
      </c>
      <c r="K70" s="39">
        <v>35</v>
      </c>
      <c r="L70" s="7">
        <f t="shared" si="6"/>
        <v>98</v>
      </c>
      <c r="M70" s="8">
        <f t="shared" si="21"/>
        <v>133</v>
      </c>
      <c r="N70" s="20">
        <f t="shared" si="0"/>
        <v>53</v>
      </c>
      <c r="O70" s="20">
        <f t="shared" si="1"/>
        <v>43</v>
      </c>
      <c r="P70" s="20">
        <f t="shared" si="2"/>
        <v>2</v>
      </c>
      <c r="Q70" s="20"/>
    </row>
    <row r="71" spans="1:17" ht="15.75" thickBot="1" x14ac:dyDescent="0.3">
      <c r="A71" s="9" t="s">
        <v>93</v>
      </c>
      <c r="B71" s="37">
        <v>49</v>
      </c>
      <c r="C71" s="1">
        <v>13</v>
      </c>
      <c r="D71" s="37">
        <v>57</v>
      </c>
      <c r="E71" s="37">
        <v>0</v>
      </c>
      <c r="F71" s="1">
        <v>0</v>
      </c>
      <c r="G71" s="1">
        <v>3</v>
      </c>
      <c r="H71" s="38">
        <v>0</v>
      </c>
      <c r="I71" s="1">
        <v>3</v>
      </c>
      <c r="J71" s="39">
        <v>0</v>
      </c>
      <c r="K71" s="39">
        <v>28</v>
      </c>
      <c r="L71" s="7">
        <f t="shared" si="6"/>
        <v>125</v>
      </c>
      <c r="M71" s="8">
        <f t="shared" si="21"/>
        <v>153</v>
      </c>
      <c r="N71" s="20">
        <f t="shared" si="0"/>
        <v>62</v>
      </c>
      <c r="O71" s="20">
        <f t="shared" si="1"/>
        <v>57</v>
      </c>
      <c r="P71" s="20">
        <f t="shared" si="2"/>
        <v>6</v>
      </c>
      <c r="Q71" s="20"/>
    </row>
    <row r="72" spans="1:17" ht="15.75" thickBot="1" x14ac:dyDescent="0.3">
      <c r="B72" s="12">
        <f>SUM(B8:B71)</f>
        <v>2486</v>
      </c>
      <c r="C72" s="12">
        <f t="shared" ref="C72:K72" si="22">SUM(C8:C71)</f>
        <v>1668</v>
      </c>
      <c r="D72" s="12">
        <f t="shared" si="22"/>
        <v>7371</v>
      </c>
      <c r="E72" s="12">
        <f t="shared" si="22"/>
        <v>64</v>
      </c>
      <c r="F72" s="12">
        <f t="shared" si="22"/>
        <v>29</v>
      </c>
      <c r="G72" s="12">
        <f t="shared" si="22"/>
        <v>221</v>
      </c>
      <c r="H72" s="12">
        <f t="shared" si="22"/>
        <v>44</v>
      </c>
      <c r="I72" s="12">
        <f t="shared" si="22"/>
        <v>168</v>
      </c>
      <c r="J72" s="12">
        <f t="shared" si="22"/>
        <v>41</v>
      </c>
      <c r="K72" s="12">
        <f t="shared" si="22"/>
        <v>7413</v>
      </c>
      <c r="L72" s="12">
        <f>SUM(B72:J72)</f>
        <v>12092</v>
      </c>
      <c r="M72" s="8">
        <f>SUM(B72:K72)</f>
        <v>19505</v>
      </c>
      <c r="N72" s="20"/>
      <c r="O72" s="20"/>
      <c r="P72" s="20"/>
      <c r="Q72" s="20"/>
    </row>
    <row r="73" spans="1:17" ht="15.75" thickBot="1" x14ac:dyDescent="0.3">
      <c r="A73" s="57" t="s">
        <v>118</v>
      </c>
      <c r="B73" s="58">
        <f>AVERAGE(B8:B23)*4</f>
        <v>211.25</v>
      </c>
      <c r="C73" s="58">
        <f t="shared" ref="C73:K73" si="23">AVERAGE(C8:C23)*4</f>
        <v>129</v>
      </c>
      <c r="D73" s="58">
        <f t="shared" si="23"/>
        <v>586.25</v>
      </c>
      <c r="E73" s="58">
        <f t="shared" si="23"/>
        <v>2.5</v>
      </c>
      <c r="F73" s="58">
        <f t="shared" si="23"/>
        <v>1.75</v>
      </c>
      <c r="G73" s="58">
        <f t="shared" si="23"/>
        <v>7.5</v>
      </c>
      <c r="H73" s="58">
        <f t="shared" si="23"/>
        <v>1.75</v>
      </c>
      <c r="I73" s="58">
        <f t="shared" si="23"/>
        <v>2.75</v>
      </c>
      <c r="J73" s="58">
        <f t="shared" si="23"/>
        <v>1</v>
      </c>
      <c r="K73" s="58">
        <f t="shared" si="23"/>
        <v>383.5</v>
      </c>
      <c r="M73" s="12">
        <f>SUM(M8:M71)</f>
        <v>19505</v>
      </c>
      <c r="N73" s="20"/>
      <c r="O73" s="20"/>
      <c r="P73" s="20"/>
      <c r="Q73" s="20"/>
    </row>
    <row r="74" spans="1:17" x14ac:dyDescent="0.25">
      <c r="A74" s="57" t="s">
        <v>119</v>
      </c>
      <c r="B74" s="58">
        <f>AVERAGE(B48:B59)*4</f>
        <v>155</v>
      </c>
      <c r="C74" s="58">
        <f t="shared" ref="C74:K74" si="24">AVERAGE(C48:C59)*4</f>
        <v>124.33333333333333</v>
      </c>
      <c r="D74" s="58">
        <f t="shared" si="24"/>
        <v>392.66666666666669</v>
      </c>
      <c r="E74" s="58">
        <f t="shared" si="24"/>
        <v>5.666666666666667</v>
      </c>
      <c r="F74" s="58">
        <f t="shared" si="24"/>
        <v>2.3333333333333335</v>
      </c>
      <c r="G74" s="58">
        <f t="shared" si="24"/>
        <v>15.333333333333334</v>
      </c>
      <c r="H74" s="58">
        <f t="shared" si="24"/>
        <v>3.3333333333333335</v>
      </c>
      <c r="I74" s="58">
        <f t="shared" si="24"/>
        <v>14</v>
      </c>
      <c r="J74" s="58">
        <f t="shared" si="24"/>
        <v>3</v>
      </c>
      <c r="K74" s="58">
        <f t="shared" si="24"/>
        <v>548.33333333333337</v>
      </c>
    </row>
  </sheetData>
  <mergeCells count="8">
    <mergeCell ref="A6:M6"/>
    <mergeCell ref="A1:M1"/>
    <mergeCell ref="A2:M2"/>
    <mergeCell ref="A3:M3"/>
    <mergeCell ref="G4:H4"/>
    <mergeCell ref="B5:C5"/>
    <mergeCell ref="G5:H5"/>
    <mergeCell ref="B4:C4"/>
  </mergeCells>
  <pageMargins left="0.7" right="0.7" top="0.75" bottom="0.75" header="0.3" footer="0.3"/>
  <pageSetup scale="4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74"/>
  <sheetViews>
    <sheetView view="pageBreakPreview" zoomScale="90" zoomScaleSheetLayoutView="90" workbookViewId="0">
      <selection activeCell="B4" sqref="B4:C4"/>
    </sheetView>
  </sheetViews>
  <sheetFormatPr defaultColWidth="13.28515625" defaultRowHeight="15" x14ac:dyDescent="0.25"/>
  <cols>
    <col min="1" max="1" width="14.85546875" customWidth="1"/>
    <col min="2" max="2" width="11.7109375" customWidth="1"/>
    <col min="3" max="3" width="13.28515625" customWidth="1"/>
    <col min="4" max="4" width="12.7109375" customWidth="1"/>
    <col min="5" max="6" width="13.28515625" customWidth="1"/>
    <col min="7" max="7" width="11.42578125" customWidth="1"/>
    <col min="8" max="8" width="13.28515625" customWidth="1"/>
    <col min="9" max="9" width="11.42578125" customWidth="1"/>
    <col min="10" max="10" width="13.28515625" customWidth="1"/>
    <col min="11" max="11" width="12" customWidth="1"/>
    <col min="12" max="12" width="9.28515625" customWidth="1"/>
    <col min="13" max="16" width="10.7109375" customWidth="1"/>
    <col min="17" max="17" width="12.7109375" customWidth="1"/>
    <col min="18" max="18" width="6.42578125" style="22" customWidth="1"/>
  </cols>
  <sheetData>
    <row r="1" spans="1:21" ht="18.75" x14ac:dyDescent="0.3">
      <c r="A1" s="62" t="s">
        <v>120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45"/>
      <c r="O1" s="45"/>
      <c r="P1" s="45"/>
      <c r="Q1" s="36"/>
    </row>
    <row r="2" spans="1:21" ht="18.75" x14ac:dyDescent="0.3">
      <c r="A2" s="65" t="s">
        <v>94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7"/>
      <c r="N2" s="54"/>
      <c r="O2" s="54"/>
      <c r="P2" s="54"/>
      <c r="Q2" s="36"/>
    </row>
    <row r="3" spans="1:21" x14ac:dyDescent="0.25">
      <c r="A3" s="68"/>
      <c r="B3" s="69"/>
      <c r="C3" s="69"/>
      <c r="D3" s="69"/>
      <c r="E3" s="60"/>
      <c r="F3" s="69"/>
      <c r="G3" s="69"/>
      <c r="H3" s="69"/>
      <c r="I3" s="69"/>
      <c r="J3" s="60"/>
      <c r="K3" s="69"/>
      <c r="L3" s="69"/>
      <c r="M3" s="70"/>
      <c r="N3" s="53"/>
      <c r="O3" s="53"/>
      <c r="P3" s="53"/>
      <c r="Q3" s="34"/>
    </row>
    <row r="4" spans="1:21" x14ac:dyDescent="0.25">
      <c r="A4" s="50" t="s">
        <v>112</v>
      </c>
      <c r="B4" s="73">
        <v>43797</v>
      </c>
      <c r="C4" s="72"/>
      <c r="D4" s="15"/>
      <c r="E4" s="16"/>
      <c r="F4" s="49" t="s">
        <v>73</v>
      </c>
      <c r="G4" s="71" t="s">
        <v>109</v>
      </c>
      <c r="H4" s="71"/>
      <c r="I4" s="13"/>
      <c r="J4" s="13"/>
      <c r="K4" s="13"/>
      <c r="L4" s="13"/>
      <c r="M4" s="14"/>
      <c r="N4" s="17"/>
      <c r="O4" s="17"/>
      <c r="P4" s="17"/>
      <c r="Q4" s="17"/>
    </row>
    <row r="5" spans="1:21" x14ac:dyDescent="0.25">
      <c r="A5" s="50" t="s">
        <v>108</v>
      </c>
      <c r="B5" s="72" t="s">
        <v>99</v>
      </c>
      <c r="C5" s="72"/>
      <c r="D5" s="15"/>
      <c r="E5" s="16"/>
      <c r="F5" s="50" t="s">
        <v>74</v>
      </c>
      <c r="G5" s="72" t="s">
        <v>106</v>
      </c>
      <c r="H5" s="72"/>
      <c r="I5" s="15"/>
      <c r="J5" s="15"/>
      <c r="K5" s="15"/>
      <c r="L5" s="15"/>
      <c r="M5" s="16"/>
      <c r="N5" s="18"/>
      <c r="O5" s="18"/>
      <c r="P5" s="18"/>
      <c r="Q5" s="18"/>
    </row>
    <row r="6" spans="1:21" ht="15.75" thickBot="1" x14ac:dyDescent="0.3">
      <c r="A6" s="59"/>
      <c r="B6" s="60"/>
      <c r="C6" s="60"/>
      <c r="D6" s="60"/>
      <c r="E6" s="60"/>
      <c r="F6" s="60"/>
      <c r="G6" s="60"/>
      <c r="H6" s="60"/>
      <c r="I6" s="60"/>
      <c r="J6" s="60"/>
      <c r="K6" s="60"/>
      <c r="L6" s="60"/>
      <c r="M6" s="61"/>
      <c r="N6" s="53"/>
      <c r="O6" s="53"/>
      <c r="P6" s="53"/>
      <c r="Q6" s="34"/>
    </row>
    <row r="7" spans="1:21" ht="42.75" customHeight="1" thickBot="1" x14ac:dyDescent="0.3">
      <c r="A7" s="2" t="s">
        <v>0</v>
      </c>
      <c r="B7" s="3" t="s">
        <v>1</v>
      </c>
      <c r="C7" s="4" t="s">
        <v>2</v>
      </c>
      <c r="D7" s="3" t="s">
        <v>3</v>
      </c>
      <c r="E7" s="3" t="s">
        <v>4</v>
      </c>
      <c r="F7" s="4" t="s">
        <v>5</v>
      </c>
      <c r="G7" s="4" t="s">
        <v>6</v>
      </c>
      <c r="H7" s="5" t="s">
        <v>7</v>
      </c>
      <c r="I7" s="4" t="s">
        <v>8</v>
      </c>
      <c r="J7" s="6" t="s">
        <v>9</v>
      </c>
      <c r="K7" s="6" t="s">
        <v>10</v>
      </c>
      <c r="L7" s="27" t="s">
        <v>12</v>
      </c>
      <c r="M7" s="28" t="s">
        <v>11</v>
      </c>
      <c r="N7" s="19" t="s">
        <v>115</v>
      </c>
      <c r="O7" s="19" t="s">
        <v>116</v>
      </c>
      <c r="P7" s="19" t="s">
        <v>117</v>
      </c>
      <c r="Q7" s="19"/>
      <c r="S7" s="55" t="s">
        <v>115</v>
      </c>
      <c r="T7" s="55" t="s">
        <v>116</v>
      </c>
      <c r="U7" s="55" t="s">
        <v>117</v>
      </c>
    </row>
    <row r="8" spans="1:21" ht="15.75" thickBot="1" x14ac:dyDescent="0.3">
      <c r="A8" s="9" t="s">
        <v>13</v>
      </c>
      <c r="B8" s="33">
        <v>195</v>
      </c>
      <c r="C8" s="1">
        <v>95</v>
      </c>
      <c r="D8" s="33">
        <v>15</v>
      </c>
      <c r="E8" s="33">
        <v>17</v>
      </c>
      <c r="F8" s="1">
        <v>0</v>
      </c>
      <c r="G8" s="1">
        <v>7</v>
      </c>
      <c r="H8" s="34">
        <v>8</v>
      </c>
      <c r="I8" s="1">
        <v>0</v>
      </c>
      <c r="J8" s="35">
        <v>0</v>
      </c>
      <c r="K8" s="35">
        <v>75</v>
      </c>
      <c r="L8" s="7">
        <f>SUM(B8:J8)</f>
        <v>337</v>
      </c>
      <c r="M8" s="8">
        <f t="shared" ref="M8:M66" si="0">SUM(B8:K8)</f>
        <v>412</v>
      </c>
      <c r="N8" s="20">
        <f>SUM(B8,C8)</f>
        <v>290</v>
      </c>
      <c r="O8" s="20">
        <f>SUM(D8,E8,F8)</f>
        <v>32</v>
      </c>
      <c r="P8" s="20">
        <f>SUM(G8,H8,I8,J8)</f>
        <v>15</v>
      </c>
      <c r="Q8" s="21" t="s">
        <v>75</v>
      </c>
      <c r="R8" s="22">
        <f>SUM(L8:L11)</f>
        <v>1397</v>
      </c>
      <c r="S8" s="22">
        <f>SUM(N8:N11)</f>
        <v>1350</v>
      </c>
      <c r="T8" s="22">
        <f>SUM(O8:O11)</f>
        <v>32</v>
      </c>
      <c r="U8" s="22">
        <f>SUM(P8:P11)</f>
        <v>15</v>
      </c>
    </row>
    <row r="9" spans="1:21" ht="15.75" thickBot="1" x14ac:dyDescent="0.3">
      <c r="A9" s="9" t="s">
        <v>14</v>
      </c>
      <c r="B9" s="33">
        <v>155</v>
      </c>
      <c r="C9" s="1">
        <v>110</v>
      </c>
      <c r="D9" s="33">
        <v>0</v>
      </c>
      <c r="E9" s="33">
        <v>0</v>
      </c>
      <c r="F9" s="1">
        <v>0</v>
      </c>
      <c r="G9" s="1">
        <v>0</v>
      </c>
      <c r="H9" s="34">
        <v>0</v>
      </c>
      <c r="I9" s="1">
        <v>0</v>
      </c>
      <c r="J9" s="35">
        <v>0</v>
      </c>
      <c r="K9" s="35">
        <v>0</v>
      </c>
      <c r="L9" s="7">
        <f t="shared" ref="L9:L71" si="1">SUM(B9:J9)</f>
        <v>265</v>
      </c>
      <c r="M9" s="8">
        <f t="shared" si="0"/>
        <v>265</v>
      </c>
      <c r="N9" s="20">
        <f t="shared" ref="N9:N71" si="2">SUM(B9,C9)</f>
        <v>265</v>
      </c>
      <c r="O9" s="20">
        <f t="shared" ref="O9:O71" si="3">SUM(D9,E9,F9)</f>
        <v>0</v>
      </c>
      <c r="P9" s="20">
        <f t="shared" ref="P9:P71" si="4">SUM(G9,H9,I9,J9)</f>
        <v>0</v>
      </c>
      <c r="Q9" s="21" t="s">
        <v>76</v>
      </c>
      <c r="R9" s="22">
        <f>SUM(L12:L15)</f>
        <v>1326</v>
      </c>
      <c r="S9" s="22">
        <f>SUM(N12:N15)</f>
        <v>1289</v>
      </c>
      <c r="T9" s="22">
        <f t="shared" ref="T9:U9" si="5">SUM(O12:O15)</f>
        <v>31</v>
      </c>
      <c r="U9" s="22">
        <f t="shared" si="5"/>
        <v>6</v>
      </c>
    </row>
    <row r="10" spans="1:21" ht="15.75" thickBot="1" x14ac:dyDescent="0.3">
      <c r="A10" s="9" t="s">
        <v>15</v>
      </c>
      <c r="B10" s="33">
        <v>275</v>
      </c>
      <c r="C10" s="1">
        <v>180</v>
      </c>
      <c r="D10" s="33">
        <v>0</v>
      </c>
      <c r="E10" s="33">
        <v>0</v>
      </c>
      <c r="F10" s="1">
        <v>0</v>
      </c>
      <c r="G10" s="1">
        <v>0</v>
      </c>
      <c r="H10" s="34">
        <v>0</v>
      </c>
      <c r="I10" s="1">
        <v>0</v>
      </c>
      <c r="J10" s="35">
        <v>0</v>
      </c>
      <c r="K10" s="35">
        <v>0</v>
      </c>
      <c r="L10" s="7">
        <f t="shared" si="1"/>
        <v>455</v>
      </c>
      <c r="M10" s="8">
        <f t="shared" si="0"/>
        <v>455</v>
      </c>
      <c r="N10" s="20">
        <f t="shared" si="2"/>
        <v>455</v>
      </c>
      <c r="O10" s="20">
        <f t="shared" si="3"/>
        <v>0</v>
      </c>
      <c r="P10" s="20">
        <f t="shared" si="4"/>
        <v>0</v>
      </c>
      <c r="Q10" s="21" t="s">
        <v>77</v>
      </c>
      <c r="R10" s="22">
        <f>SUM(L16:L19)</f>
        <v>1503</v>
      </c>
      <c r="S10" s="22">
        <f>SUM(N16:N19)</f>
        <v>1442</v>
      </c>
      <c r="T10" s="22">
        <f t="shared" ref="T10:U10" si="6">SUM(O16:O19)</f>
        <v>51</v>
      </c>
      <c r="U10" s="22">
        <f t="shared" si="6"/>
        <v>10</v>
      </c>
    </row>
    <row r="11" spans="1:21" ht="15.75" thickBot="1" x14ac:dyDescent="0.3">
      <c r="A11" s="9" t="s">
        <v>16</v>
      </c>
      <c r="B11" s="33">
        <v>215</v>
      </c>
      <c r="C11" s="1">
        <v>125</v>
      </c>
      <c r="D11" s="33">
        <v>0</v>
      </c>
      <c r="E11" s="33">
        <v>0</v>
      </c>
      <c r="F11" s="1">
        <v>0</v>
      </c>
      <c r="G11" s="1">
        <v>0</v>
      </c>
      <c r="H11" s="34">
        <v>0</v>
      </c>
      <c r="I11" s="1">
        <v>0</v>
      </c>
      <c r="J11" s="35">
        <v>0</v>
      </c>
      <c r="K11" s="35">
        <v>0</v>
      </c>
      <c r="L11" s="7">
        <f t="shared" si="1"/>
        <v>340</v>
      </c>
      <c r="M11" s="8">
        <f t="shared" si="0"/>
        <v>340</v>
      </c>
      <c r="N11" s="20">
        <f t="shared" si="2"/>
        <v>340</v>
      </c>
      <c r="O11" s="20">
        <f t="shared" si="3"/>
        <v>0</v>
      </c>
      <c r="P11" s="20">
        <f t="shared" si="4"/>
        <v>0</v>
      </c>
      <c r="Q11" s="21" t="s">
        <v>78</v>
      </c>
      <c r="R11" s="22">
        <f>SUM(L20:L23)</f>
        <v>1280</v>
      </c>
      <c r="S11" s="22">
        <f>SUM(N20:N23)</f>
        <v>1171</v>
      </c>
      <c r="T11" s="22">
        <f t="shared" ref="T11:U11" si="7">SUM(O20:O23)</f>
        <v>90</v>
      </c>
      <c r="U11" s="22">
        <f t="shared" si="7"/>
        <v>19</v>
      </c>
    </row>
    <row r="12" spans="1:21" ht="15.75" thickBot="1" x14ac:dyDescent="0.3">
      <c r="A12" s="9" t="s">
        <v>17</v>
      </c>
      <c r="B12" s="33">
        <v>203</v>
      </c>
      <c r="C12" s="1">
        <v>123</v>
      </c>
      <c r="D12" s="33">
        <v>0</v>
      </c>
      <c r="E12" s="33">
        <v>0</v>
      </c>
      <c r="F12" s="1">
        <v>0</v>
      </c>
      <c r="G12" s="1">
        <v>0</v>
      </c>
      <c r="H12" s="34">
        <v>0</v>
      </c>
      <c r="I12" s="1">
        <v>0</v>
      </c>
      <c r="J12" s="35">
        <v>0</v>
      </c>
      <c r="K12" s="35">
        <v>0</v>
      </c>
      <c r="L12" s="7">
        <f t="shared" si="1"/>
        <v>326</v>
      </c>
      <c r="M12" s="8">
        <f t="shared" si="0"/>
        <v>326</v>
      </c>
      <c r="N12" s="20">
        <f t="shared" si="2"/>
        <v>326</v>
      </c>
      <c r="O12" s="20">
        <f t="shared" si="3"/>
        <v>0</v>
      </c>
      <c r="P12" s="20">
        <f t="shared" si="4"/>
        <v>0</v>
      </c>
      <c r="Q12" s="21" t="s">
        <v>79</v>
      </c>
      <c r="R12" s="22">
        <f>SUM(L24:L27)</f>
        <v>1261</v>
      </c>
      <c r="S12" s="22">
        <f>SUM(N24:N27)</f>
        <v>1191</v>
      </c>
      <c r="T12" s="22">
        <f t="shared" ref="T12:U12" si="8">SUM(O24:O27)</f>
        <v>54</v>
      </c>
      <c r="U12" s="22">
        <f t="shared" si="8"/>
        <v>16</v>
      </c>
    </row>
    <row r="13" spans="1:21" ht="15.75" thickBot="1" x14ac:dyDescent="0.3">
      <c r="A13" s="9" t="s">
        <v>18</v>
      </c>
      <c r="B13" s="33">
        <v>175</v>
      </c>
      <c r="C13" s="1">
        <v>137</v>
      </c>
      <c r="D13" s="33">
        <v>1</v>
      </c>
      <c r="E13" s="33">
        <v>1</v>
      </c>
      <c r="F13" s="1">
        <v>0</v>
      </c>
      <c r="G13" s="1">
        <v>0</v>
      </c>
      <c r="H13" s="34">
        <v>0</v>
      </c>
      <c r="I13" s="1">
        <v>0</v>
      </c>
      <c r="J13" s="35">
        <v>0</v>
      </c>
      <c r="K13" s="35">
        <v>10</v>
      </c>
      <c r="L13" s="7">
        <f t="shared" si="1"/>
        <v>314</v>
      </c>
      <c r="M13" s="8">
        <f t="shared" si="0"/>
        <v>324</v>
      </c>
      <c r="N13" s="20">
        <f t="shared" si="2"/>
        <v>312</v>
      </c>
      <c r="O13" s="20">
        <f t="shared" si="3"/>
        <v>2</v>
      </c>
      <c r="P13" s="20">
        <f t="shared" si="4"/>
        <v>0</v>
      </c>
      <c r="Q13" s="21" t="s">
        <v>80</v>
      </c>
      <c r="R13" s="22">
        <f>SUM(L28:L31)</f>
        <v>1111</v>
      </c>
      <c r="S13" s="22">
        <f>SUM(N28:N31)</f>
        <v>1035</v>
      </c>
      <c r="T13" s="22">
        <f t="shared" ref="T13:U13" si="9">SUM(O28:O31)</f>
        <v>52</v>
      </c>
      <c r="U13" s="22">
        <f t="shared" si="9"/>
        <v>24</v>
      </c>
    </row>
    <row r="14" spans="1:21" ht="15.75" thickBot="1" x14ac:dyDescent="0.3">
      <c r="A14" s="9" t="s">
        <v>19</v>
      </c>
      <c r="B14" s="33">
        <v>201</v>
      </c>
      <c r="C14" s="1">
        <v>125</v>
      </c>
      <c r="D14" s="33">
        <v>7</v>
      </c>
      <c r="E14" s="33">
        <v>11</v>
      </c>
      <c r="F14" s="1">
        <v>1</v>
      </c>
      <c r="G14" s="1">
        <v>2</v>
      </c>
      <c r="H14" s="34">
        <v>2</v>
      </c>
      <c r="I14" s="1">
        <v>2</v>
      </c>
      <c r="J14" s="35">
        <v>0</v>
      </c>
      <c r="K14" s="35">
        <v>17</v>
      </c>
      <c r="L14" s="7">
        <f t="shared" si="1"/>
        <v>351</v>
      </c>
      <c r="M14" s="8">
        <f t="shared" si="0"/>
        <v>368</v>
      </c>
      <c r="N14" s="20">
        <f t="shared" si="2"/>
        <v>326</v>
      </c>
      <c r="O14" s="20">
        <f t="shared" si="3"/>
        <v>19</v>
      </c>
      <c r="P14" s="20">
        <f t="shared" si="4"/>
        <v>6</v>
      </c>
      <c r="Q14" s="21" t="s">
        <v>81</v>
      </c>
      <c r="R14" s="22">
        <f>SUM(L32:L35)</f>
        <v>951</v>
      </c>
      <c r="S14" s="22">
        <f>SUM(N32:N35)</f>
        <v>902</v>
      </c>
      <c r="T14" s="22">
        <f t="shared" ref="T14:U14" si="10">SUM(O32:O35)</f>
        <v>36</v>
      </c>
      <c r="U14" s="22">
        <f t="shared" si="10"/>
        <v>13</v>
      </c>
    </row>
    <row r="15" spans="1:21" ht="15.75" thickBot="1" x14ac:dyDescent="0.3">
      <c r="A15" s="9" t="s">
        <v>20</v>
      </c>
      <c r="B15" s="33">
        <v>185</v>
      </c>
      <c r="C15" s="1">
        <v>140</v>
      </c>
      <c r="D15" s="33">
        <v>5</v>
      </c>
      <c r="E15" s="33">
        <v>5</v>
      </c>
      <c r="F15" s="1">
        <v>0</v>
      </c>
      <c r="G15" s="1">
        <v>0</v>
      </c>
      <c r="H15" s="34">
        <v>0</v>
      </c>
      <c r="I15" s="1">
        <v>0</v>
      </c>
      <c r="J15" s="35">
        <v>0</v>
      </c>
      <c r="K15" s="35">
        <v>18</v>
      </c>
      <c r="L15" s="7">
        <f t="shared" si="1"/>
        <v>335</v>
      </c>
      <c r="M15" s="8">
        <f t="shared" si="0"/>
        <v>353</v>
      </c>
      <c r="N15" s="20">
        <f t="shared" si="2"/>
        <v>325</v>
      </c>
      <c r="O15" s="20">
        <f t="shared" si="3"/>
        <v>10</v>
      </c>
      <c r="P15" s="20">
        <f t="shared" si="4"/>
        <v>0</v>
      </c>
      <c r="Q15" s="21" t="s">
        <v>82</v>
      </c>
      <c r="R15" s="22">
        <f>SUM(L36:L39)</f>
        <v>846</v>
      </c>
      <c r="S15" s="22">
        <f>SUM(N36:N39)</f>
        <v>780</v>
      </c>
      <c r="T15" s="22">
        <f t="shared" ref="T15:U15" si="11">SUM(O36:O39)</f>
        <v>48</v>
      </c>
      <c r="U15" s="22">
        <f t="shared" si="11"/>
        <v>18</v>
      </c>
    </row>
    <row r="16" spans="1:21" ht="15.75" thickBot="1" x14ac:dyDescent="0.3">
      <c r="A16" s="9" t="s">
        <v>21</v>
      </c>
      <c r="B16" s="33">
        <v>199</v>
      </c>
      <c r="C16" s="1">
        <v>135</v>
      </c>
      <c r="D16" s="33">
        <v>3</v>
      </c>
      <c r="E16" s="33">
        <v>4</v>
      </c>
      <c r="F16" s="1">
        <v>0</v>
      </c>
      <c r="G16" s="1">
        <v>1</v>
      </c>
      <c r="H16" s="34">
        <v>1</v>
      </c>
      <c r="I16" s="1">
        <v>0</v>
      </c>
      <c r="J16" s="35">
        <v>0</v>
      </c>
      <c r="K16" s="35">
        <v>20</v>
      </c>
      <c r="L16" s="7">
        <f t="shared" si="1"/>
        <v>343</v>
      </c>
      <c r="M16" s="8">
        <f t="shared" si="0"/>
        <v>363</v>
      </c>
      <c r="N16" s="20">
        <f t="shared" si="2"/>
        <v>334</v>
      </c>
      <c r="O16" s="20">
        <f t="shared" si="3"/>
        <v>7</v>
      </c>
      <c r="P16" s="20">
        <f t="shared" si="4"/>
        <v>2</v>
      </c>
      <c r="Q16" s="21" t="s">
        <v>83</v>
      </c>
      <c r="R16" s="22">
        <f>SUM(L40:L43)</f>
        <v>1127</v>
      </c>
      <c r="S16" s="22">
        <f>SUM(N40:N43)</f>
        <v>1064</v>
      </c>
      <c r="T16" s="22">
        <f t="shared" ref="T16:U16" si="12">SUM(O40:O43)</f>
        <v>40</v>
      </c>
      <c r="U16" s="22">
        <f t="shared" si="12"/>
        <v>23</v>
      </c>
    </row>
    <row r="17" spans="1:21" ht="15.75" thickBot="1" x14ac:dyDescent="0.3">
      <c r="A17" s="9" t="s">
        <v>22</v>
      </c>
      <c r="B17" s="33">
        <v>240</v>
      </c>
      <c r="C17" s="1">
        <v>165</v>
      </c>
      <c r="D17" s="33">
        <v>10</v>
      </c>
      <c r="E17" s="33">
        <v>10</v>
      </c>
      <c r="F17" s="1">
        <v>0</v>
      </c>
      <c r="G17" s="1">
        <v>0</v>
      </c>
      <c r="H17" s="34">
        <v>1</v>
      </c>
      <c r="I17" s="1">
        <v>3</v>
      </c>
      <c r="J17" s="35">
        <v>0</v>
      </c>
      <c r="K17" s="35">
        <v>63</v>
      </c>
      <c r="L17" s="7">
        <f t="shared" si="1"/>
        <v>429</v>
      </c>
      <c r="M17" s="8">
        <f t="shared" si="0"/>
        <v>492</v>
      </c>
      <c r="N17" s="20">
        <f t="shared" si="2"/>
        <v>405</v>
      </c>
      <c r="O17" s="20">
        <f t="shared" si="3"/>
        <v>20</v>
      </c>
      <c r="P17" s="20">
        <f t="shared" si="4"/>
        <v>4</v>
      </c>
      <c r="Q17" s="21" t="s">
        <v>84</v>
      </c>
      <c r="R17" s="22">
        <f>SUM(L44:L47)</f>
        <v>1281</v>
      </c>
      <c r="S17" s="22">
        <f>SUM(N44:N47)</f>
        <v>1245</v>
      </c>
      <c r="T17" s="22">
        <f t="shared" ref="T17:U17" si="13">SUM(O44:O47)</f>
        <v>27</v>
      </c>
      <c r="U17" s="22">
        <f t="shared" si="13"/>
        <v>9</v>
      </c>
    </row>
    <row r="18" spans="1:21" ht="15.75" thickBot="1" x14ac:dyDescent="0.3">
      <c r="A18" s="9" t="s">
        <v>23</v>
      </c>
      <c r="B18" s="33">
        <v>180</v>
      </c>
      <c r="C18" s="1">
        <v>135</v>
      </c>
      <c r="D18" s="33">
        <v>9</v>
      </c>
      <c r="E18" s="33">
        <v>6</v>
      </c>
      <c r="F18" s="1">
        <v>0</v>
      </c>
      <c r="G18" s="1">
        <v>1</v>
      </c>
      <c r="H18" s="34">
        <v>0</v>
      </c>
      <c r="I18" s="1">
        <v>1</v>
      </c>
      <c r="J18" s="35">
        <v>0</v>
      </c>
      <c r="K18" s="35">
        <v>60</v>
      </c>
      <c r="L18" s="7">
        <f t="shared" si="1"/>
        <v>332</v>
      </c>
      <c r="M18" s="8">
        <f t="shared" si="0"/>
        <v>392</v>
      </c>
      <c r="N18" s="20">
        <f t="shared" si="2"/>
        <v>315</v>
      </c>
      <c r="O18" s="20">
        <f t="shared" si="3"/>
        <v>15</v>
      </c>
      <c r="P18" s="20">
        <f t="shared" si="4"/>
        <v>2</v>
      </c>
      <c r="Q18" s="21" t="s">
        <v>85</v>
      </c>
      <c r="R18" s="22">
        <f>SUM(L48:L51)</f>
        <v>1207</v>
      </c>
      <c r="S18" s="22">
        <f>SUM(N48:N51)</f>
        <v>1164</v>
      </c>
      <c r="T18" s="22">
        <f t="shared" ref="T18:U18" si="14">SUM(O48:O51)</f>
        <v>25</v>
      </c>
      <c r="U18" s="22">
        <f t="shared" si="14"/>
        <v>18</v>
      </c>
    </row>
    <row r="19" spans="1:21" ht="15.75" thickBot="1" x14ac:dyDescent="0.3">
      <c r="A19" s="9" t="s">
        <v>24</v>
      </c>
      <c r="B19" s="33">
        <v>230</v>
      </c>
      <c r="C19" s="1">
        <v>158</v>
      </c>
      <c r="D19" s="33">
        <v>2</v>
      </c>
      <c r="E19" s="33">
        <v>7</v>
      </c>
      <c r="F19" s="1">
        <v>0</v>
      </c>
      <c r="G19" s="1">
        <v>1</v>
      </c>
      <c r="H19" s="34">
        <v>0</v>
      </c>
      <c r="I19" s="1">
        <v>0</v>
      </c>
      <c r="J19" s="35">
        <v>1</v>
      </c>
      <c r="K19" s="35">
        <v>47</v>
      </c>
      <c r="L19" s="7">
        <f t="shared" si="1"/>
        <v>399</v>
      </c>
      <c r="M19" s="8">
        <f t="shared" si="0"/>
        <v>446</v>
      </c>
      <c r="N19" s="20">
        <f t="shared" si="2"/>
        <v>388</v>
      </c>
      <c r="O19" s="20">
        <f t="shared" si="3"/>
        <v>9</v>
      </c>
      <c r="P19" s="20">
        <f t="shared" si="4"/>
        <v>2</v>
      </c>
      <c r="Q19" s="21" t="s">
        <v>86</v>
      </c>
      <c r="R19" s="22">
        <f>SUM(L52:L55)</f>
        <v>1213</v>
      </c>
      <c r="S19" s="22">
        <f>SUM(N52:N55)</f>
        <v>1176</v>
      </c>
      <c r="T19" s="22">
        <f t="shared" ref="T19:U19" si="15">SUM(O52:O55)</f>
        <v>22</v>
      </c>
      <c r="U19" s="22">
        <f t="shared" si="15"/>
        <v>15</v>
      </c>
    </row>
    <row r="20" spans="1:21" ht="15.75" thickBot="1" x14ac:dyDescent="0.3">
      <c r="A20" s="9" t="s">
        <v>25</v>
      </c>
      <c r="B20" s="33">
        <v>225</v>
      </c>
      <c r="C20" s="1">
        <v>115</v>
      </c>
      <c r="D20" s="33">
        <v>19</v>
      </c>
      <c r="E20" s="33">
        <v>14</v>
      </c>
      <c r="F20" s="1">
        <v>2</v>
      </c>
      <c r="G20" s="1">
        <v>2</v>
      </c>
      <c r="H20" s="34">
        <v>1</v>
      </c>
      <c r="I20" s="1">
        <v>0</v>
      </c>
      <c r="J20" s="35">
        <v>0</v>
      </c>
      <c r="K20" s="35">
        <v>57</v>
      </c>
      <c r="L20" s="7">
        <f t="shared" si="1"/>
        <v>378</v>
      </c>
      <c r="M20" s="8">
        <f t="shared" si="0"/>
        <v>435</v>
      </c>
      <c r="N20" s="20">
        <f t="shared" si="2"/>
        <v>340</v>
      </c>
      <c r="O20" s="20">
        <f t="shared" si="3"/>
        <v>35</v>
      </c>
      <c r="P20" s="20">
        <f t="shared" si="4"/>
        <v>3</v>
      </c>
      <c r="Q20" s="21" t="s">
        <v>87</v>
      </c>
      <c r="R20" s="22">
        <f>SUM(L56:L59)</f>
        <v>1015</v>
      </c>
      <c r="S20" s="22">
        <f>SUM(N56:N59)</f>
        <v>997</v>
      </c>
      <c r="T20" s="22">
        <f t="shared" ref="T20:U20" si="16">SUM(O56:O59)</f>
        <v>11</v>
      </c>
      <c r="U20" s="22">
        <f t="shared" si="16"/>
        <v>7</v>
      </c>
    </row>
    <row r="21" spans="1:21" ht="15.75" thickBot="1" x14ac:dyDescent="0.3">
      <c r="A21" s="9" t="s">
        <v>26</v>
      </c>
      <c r="B21" s="33">
        <v>125</v>
      </c>
      <c r="C21" s="1">
        <v>155</v>
      </c>
      <c r="D21" s="33">
        <v>6</v>
      </c>
      <c r="E21" s="33">
        <v>11</v>
      </c>
      <c r="F21" s="1">
        <v>1</v>
      </c>
      <c r="G21" s="1">
        <v>4</v>
      </c>
      <c r="H21" s="34">
        <v>1</v>
      </c>
      <c r="I21" s="1">
        <v>0</v>
      </c>
      <c r="J21" s="35">
        <v>0</v>
      </c>
      <c r="K21" s="35">
        <v>54</v>
      </c>
      <c r="L21" s="7">
        <f t="shared" si="1"/>
        <v>303</v>
      </c>
      <c r="M21" s="8">
        <f t="shared" si="0"/>
        <v>357</v>
      </c>
      <c r="N21" s="20">
        <f t="shared" si="2"/>
        <v>280</v>
      </c>
      <c r="O21" s="20">
        <f t="shared" si="3"/>
        <v>18</v>
      </c>
      <c r="P21" s="20">
        <f t="shared" si="4"/>
        <v>5</v>
      </c>
      <c r="Q21" s="21" t="s">
        <v>88</v>
      </c>
      <c r="R21" s="22">
        <f>SUM(L60:L63)</f>
        <v>1229</v>
      </c>
      <c r="S21" s="22">
        <f>SUM(N60:N63)</f>
        <v>1190</v>
      </c>
      <c r="T21" s="22">
        <f t="shared" ref="T21:U21" si="17">SUM(O60:O63)</f>
        <v>27</v>
      </c>
      <c r="U21" s="22">
        <f t="shared" si="17"/>
        <v>12</v>
      </c>
    </row>
    <row r="22" spans="1:21" ht="15.75" thickBot="1" x14ac:dyDescent="0.3">
      <c r="A22" s="9" t="s">
        <v>27</v>
      </c>
      <c r="B22" s="33">
        <v>170</v>
      </c>
      <c r="C22" s="1">
        <v>155</v>
      </c>
      <c r="D22" s="33">
        <v>14</v>
      </c>
      <c r="E22" s="33">
        <v>4</v>
      </c>
      <c r="F22" s="1">
        <v>1</v>
      </c>
      <c r="G22" s="1">
        <v>5</v>
      </c>
      <c r="H22" s="34">
        <v>1</v>
      </c>
      <c r="I22" s="1">
        <v>1</v>
      </c>
      <c r="J22" s="35">
        <v>2</v>
      </c>
      <c r="K22" s="35">
        <v>55</v>
      </c>
      <c r="L22" s="7">
        <f t="shared" si="1"/>
        <v>353</v>
      </c>
      <c r="M22" s="8">
        <f t="shared" si="0"/>
        <v>408</v>
      </c>
      <c r="N22" s="20">
        <f t="shared" si="2"/>
        <v>325</v>
      </c>
      <c r="O22" s="20">
        <f t="shared" si="3"/>
        <v>19</v>
      </c>
      <c r="P22" s="20">
        <f t="shared" si="4"/>
        <v>9</v>
      </c>
      <c r="Q22" s="21" t="s">
        <v>89</v>
      </c>
      <c r="R22" s="22">
        <f>SUM(L64:L67)</f>
        <v>685</v>
      </c>
      <c r="S22" s="22">
        <f>SUM(N64:N67)</f>
        <v>654</v>
      </c>
      <c r="T22" s="22">
        <f t="shared" ref="T22:U22" si="18">SUM(O64:O67)</f>
        <v>22</v>
      </c>
      <c r="U22" s="22">
        <f t="shared" si="18"/>
        <v>9</v>
      </c>
    </row>
    <row r="23" spans="1:21" ht="15.75" thickBot="1" x14ac:dyDescent="0.3">
      <c r="A23" s="9" t="s">
        <v>28</v>
      </c>
      <c r="B23" s="33">
        <v>140</v>
      </c>
      <c r="C23" s="1">
        <v>86</v>
      </c>
      <c r="D23" s="33">
        <v>13</v>
      </c>
      <c r="E23" s="33">
        <v>4</v>
      </c>
      <c r="F23" s="1">
        <v>1</v>
      </c>
      <c r="G23" s="1">
        <v>1</v>
      </c>
      <c r="H23" s="34">
        <v>1</v>
      </c>
      <c r="I23" s="1">
        <v>0</v>
      </c>
      <c r="J23" s="35">
        <v>0</v>
      </c>
      <c r="K23" s="35">
        <v>43</v>
      </c>
      <c r="L23" s="7">
        <f t="shared" si="1"/>
        <v>246</v>
      </c>
      <c r="M23" s="8">
        <f t="shared" si="0"/>
        <v>289</v>
      </c>
      <c r="N23" s="20">
        <f t="shared" si="2"/>
        <v>226</v>
      </c>
      <c r="O23" s="20">
        <f t="shared" si="3"/>
        <v>18</v>
      </c>
      <c r="P23" s="20">
        <f t="shared" si="4"/>
        <v>2</v>
      </c>
      <c r="Q23" s="20" t="s">
        <v>113</v>
      </c>
      <c r="R23" s="22">
        <f>SUM(R8:R19)</f>
        <v>14503</v>
      </c>
      <c r="S23" s="22">
        <f t="shared" ref="S23:U23" si="19">SUM(S8:S19)</f>
        <v>13809</v>
      </c>
      <c r="T23" s="22">
        <f t="shared" si="19"/>
        <v>508</v>
      </c>
      <c r="U23" s="22">
        <f t="shared" si="19"/>
        <v>186</v>
      </c>
    </row>
    <row r="24" spans="1:21" ht="15.75" thickBot="1" x14ac:dyDescent="0.3">
      <c r="A24" s="9" t="s">
        <v>29</v>
      </c>
      <c r="B24" s="33">
        <v>180</v>
      </c>
      <c r="C24" s="1">
        <v>136</v>
      </c>
      <c r="D24" s="33">
        <v>13</v>
      </c>
      <c r="E24" s="33">
        <v>2</v>
      </c>
      <c r="F24" s="1">
        <v>1</v>
      </c>
      <c r="G24" s="1">
        <v>4</v>
      </c>
      <c r="H24" s="34">
        <v>0</v>
      </c>
      <c r="I24" s="1">
        <v>1</v>
      </c>
      <c r="J24" s="35">
        <v>0</v>
      </c>
      <c r="K24" s="35">
        <v>42</v>
      </c>
      <c r="L24" s="7">
        <f t="shared" si="1"/>
        <v>337</v>
      </c>
      <c r="M24" s="8">
        <f t="shared" si="0"/>
        <v>379</v>
      </c>
      <c r="N24" s="20">
        <f t="shared" si="2"/>
        <v>316</v>
      </c>
      <c r="O24" s="20">
        <f t="shared" si="3"/>
        <v>16</v>
      </c>
      <c r="P24" s="20">
        <f t="shared" si="4"/>
        <v>5</v>
      </c>
      <c r="Q24" s="20" t="s">
        <v>114</v>
      </c>
      <c r="R24" s="22">
        <f>R23*1.334</f>
        <v>19347.002</v>
      </c>
      <c r="S24" s="56">
        <f t="shared" ref="S24:U24" si="20">S23*1.334</f>
        <v>18421.206000000002</v>
      </c>
      <c r="T24" s="56">
        <f t="shared" si="20"/>
        <v>677.67200000000003</v>
      </c>
      <c r="U24" s="56">
        <f t="shared" si="20"/>
        <v>248.12400000000002</v>
      </c>
    </row>
    <row r="25" spans="1:21" ht="15.75" thickBot="1" x14ac:dyDescent="0.3">
      <c r="A25" s="9" t="s">
        <v>30</v>
      </c>
      <c r="B25" s="33">
        <v>125</v>
      </c>
      <c r="C25" s="1">
        <v>110</v>
      </c>
      <c r="D25" s="33">
        <v>4</v>
      </c>
      <c r="E25" s="33">
        <v>2</v>
      </c>
      <c r="F25" s="1">
        <v>0</v>
      </c>
      <c r="G25" s="1">
        <v>1</v>
      </c>
      <c r="H25" s="34">
        <v>2</v>
      </c>
      <c r="I25" s="1">
        <v>1</v>
      </c>
      <c r="J25" s="35">
        <v>0</v>
      </c>
      <c r="K25" s="35">
        <v>61</v>
      </c>
      <c r="L25" s="7">
        <f t="shared" si="1"/>
        <v>245</v>
      </c>
      <c r="M25" s="8">
        <f t="shared" si="0"/>
        <v>306</v>
      </c>
      <c r="N25" s="20">
        <f t="shared" si="2"/>
        <v>235</v>
      </c>
      <c r="O25" s="20">
        <f t="shared" si="3"/>
        <v>6</v>
      </c>
      <c r="P25" s="20">
        <f t="shared" si="4"/>
        <v>4</v>
      </c>
      <c r="Q25" s="20"/>
    </row>
    <row r="26" spans="1:21" ht="15.75" thickBot="1" x14ac:dyDescent="0.3">
      <c r="A26" s="9" t="s">
        <v>31</v>
      </c>
      <c r="B26" s="33">
        <v>175</v>
      </c>
      <c r="C26" s="1">
        <v>125</v>
      </c>
      <c r="D26" s="33">
        <v>8</v>
      </c>
      <c r="E26" s="33">
        <v>3</v>
      </c>
      <c r="F26" s="1">
        <v>0</v>
      </c>
      <c r="G26" s="1">
        <v>0</v>
      </c>
      <c r="H26" s="34">
        <v>2</v>
      </c>
      <c r="I26" s="1">
        <v>3</v>
      </c>
      <c r="J26" s="35">
        <v>0</v>
      </c>
      <c r="K26" s="35">
        <v>52</v>
      </c>
      <c r="L26" s="7">
        <f t="shared" si="1"/>
        <v>316</v>
      </c>
      <c r="M26" s="8">
        <f t="shared" si="0"/>
        <v>368</v>
      </c>
      <c r="N26" s="20">
        <f t="shared" si="2"/>
        <v>300</v>
      </c>
      <c r="O26" s="20">
        <f t="shared" si="3"/>
        <v>11</v>
      </c>
      <c r="P26" s="20">
        <f t="shared" si="4"/>
        <v>5</v>
      </c>
      <c r="Q26" s="20" t="s">
        <v>118</v>
      </c>
      <c r="R26" s="22">
        <f>AVERAGE(R8:R10)</f>
        <v>1408.6666666666667</v>
      </c>
    </row>
    <row r="27" spans="1:21" ht="15.75" thickBot="1" x14ac:dyDescent="0.3">
      <c r="A27" s="9" t="s">
        <v>32</v>
      </c>
      <c r="B27" s="33">
        <v>185</v>
      </c>
      <c r="C27" s="1">
        <v>155</v>
      </c>
      <c r="D27" s="33">
        <v>19</v>
      </c>
      <c r="E27" s="33">
        <v>2</v>
      </c>
      <c r="F27" s="1">
        <v>0</v>
      </c>
      <c r="G27" s="1">
        <v>0</v>
      </c>
      <c r="H27" s="34">
        <v>1</v>
      </c>
      <c r="I27" s="1">
        <v>1</v>
      </c>
      <c r="J27" s="35">
        <v>0</v>
      </c>
      <c r="K27" s="35">
        <v>49</v>
      </c>
      <c r="L27" s="7">
        <f t="shared" si="1"/>
        <v>363</v>
      </c>
      <c r="M27" s="8">
        <f t="shared" si="0"/>
        <v>412</v>
      </c>
      <c r="N27" s="20">
        <f t="shared" si="2"/>
        <v>340</v>
      </c>
      <c r="O27" s="20">
        <f t="shared" si="3"/>
        <v>21</v>
      </c>
      <c r="P27" s="20">
        <f t="shared" si="4"/>
        <v>2</v>
      </c>
      <c r="Q27" s="20" t="s">
        <v>119</v>
      </c>
      <c r="R27" s="22">
        <f>AVERAGE(R18:R20)</f>
        <v>1145</v>
      </c>
    </row>
    <row r="28" spans="1:21" ht="15.75" thickBot="1" x14ac:dyDescent="0.3">
      <c r="A28" s="9" t="s">
        <v>33</v>
      </c>
      <c r="B28" s="33">
        <v>125</v>
      </c>
      <c r="C28" s="1">
        <v>90</v>
      </c>
      <c r="D28" s="33">
        <v>4</v>
      </c>
      <c r="E28" s="33">
        <v>1</v>
      </c>
      <c r="F28" s="1">
        <v>1</v>
      </c>
      <c r="G28" s="1">
        <v>2</v>
      </c>
      <c r="H28" s="34">
        <v>1</v>
      </c>
      <c r="I28" s="1">
        <v>1</v>
      </c>
      <c r="J28" s="35">
        <v>0</v>
      </c>
      <c r="K28" s="35">
        <v>43</v>
      </c>
      <c r="L28" s="7">
        <f t="shared" si="1"/>
        <v>225</v>
      </c>
      <c r="M28" s="8">
        <f t="shared" si="0"/>
        <v>268</v>
      </c>
      <c r="N28" s="20">
        <f t="shared" si="2"/>
        <v>215</v>
      </c>
      <c r="O28" s="20">
        <f t="shared" si="3"/>
        <v>6</v>
      </c>
      <c r="P28" s="20">
        <f t="shared" si="4"/>
        <v>4</v>
      </c>
      <c r="Q28" s="20"/>
    </row>
    <row r="29" spans="1:21" ht="15.75" thickBot="1" x14ac:dyDescent="0.3">
      <c r="A29" s="9" t="s">
        <v>34</v>
      </c>
      <c r="B29" s="33">
        <v>155</v>
      </c>
      <c r="C29" s="1">
        <v>105</v>
      </c>
      <c r="D29" s="33">
        <v>17</v>
      </c>
      <c r="E29" s="33">
        <v>2</v>
      </c>
      <c r="F29" s="1">
        <v>0</v>
      </c>
      <c r="G29" s="1">
        <v>1</v>
      </c>
      <c r="H29" s="34">
        <v>4</v>
      </c>
      <c r="I29" s="1">
        <v>1</v>
      </c>
      <c r="J29" s="35">
        <v>1</v>
      </c>
      <c r="K29" s="35">
        <v>68</v>
      </c>
      <c r="L29" s="7">
        <f t="shared" si="1"/>
        <v>286</v>
      </c>
      <c r="M29" s="8">
        <f t="shared" si="0"/>
        <v>354</v>
      </c>
      <c r="N29" s="20">
        <f t="shared" si="2"/>
        <v>260</v>
      </c>
      <c r="O29" s="20">
        <f t="shared" si="3"/>
        <v>19</v>
      </c>
      <c r="P29" s="20">
        <f t="shared" si="4"/>
        <v>7</v>
      </c>
      <c r="Q29" s="20"/>
    </row>
    <row r="30" spans="1:21" ht="15.75" thickBot="1" x14ac:dyDescent="0.3">
      <c r="A30" s="9" t="s">
        <v>35</v>
      </c>
      <c r="B30" s="33">
        <v>135</v>
      </c>
      <c r="C30" s="1">
        <v>125</v>
      </c>
      <c r="D30" s="33">
        <v>18</v>
      </c>
      <c r="E30" s="33">
        <v>3</v>
      </c>
      <c r="F30" s="1">
        <v>0</v>
      </c>
      <c r="G30" s="1">
        <v>4</v>
      </c>
      <c r="H30" s="34">
        <v>1</v>
      </c>
      <c r="I30" s="1">
        <v>0</v>
      </c>
      <c r="J30" s="35">
        <v>1</v>
      </c>
      <c r="K30" s="35">
        <v>39</v>
      </c>
      <c r="L30" s="7">
        <f t="shared" si="1"/>
        <v>287</v>
      </c>
      <c r="M30" s="8">
        <f t="shared" si="0"/>
        <v>326</v>
      </c>
      <c r="N30" s="20">
        <f t="shared" si="2"/>
        <v>260</v>
      </c>
      <c r="O30" s="20">
        <f t="shared" si="3"/>
        <v>21</v>
      </c>
      <c r="P30" s="20">
        <f t="shared" si="4"/>
        <v>6</v>
      </c>
      <c r="Q30" s="20"/>
    </row>
    <row r="31" spans="1:21" ht="15.75" thickBot="1" x14ac:dyDescent="0.3">
      <c r="A31" s="9" t="s">
        <v>36</v>
      </c>
      <c r="B31" s="33">
        <v>185</v>
      </c>
      <c r="C31" s="1">
        <v>115</v>
      </c>
      <c r="D31" s="33">
        <v>6</v>
      </c>
      <c r="E31" s="33">
        <v>0</v>
      </c>
      <c r="F31" s="1">
        <v>0</v>
      </c>
      <c r="G31" s="1">
        <v>4</v>
      </c>
      <c r="H31" s="34">
        <v>2</v>
      </c>
      <c r="I31" s="1">
        <v>1</v>
      </c>
      <c r="J31" s="35">
        <v>0</v>
      </c>
      <c r="K31" s="35">
        <v>66</v>
      </c>
      <c r="L31" s="7">
        <f t="shared" si="1"/>
        <v>313</v>
      </c>
      <c r="M31" s="8">
        <f t="shared" si="0"/>
        <v>379</v>
      </c>
      <c r="N31" s="20">
        <f t="shared" si="2"/>
        <v>300</v>
      </c>
      <c r="O31" s="20">
        <f t="shared" si="3"/>
        <v>6</v>
      </c>
      <c r="P31" s="20">
        <f t="shared" si="4"/>
        <v>7</v>
      </c>
      <c r="Q31" s="20"/>
    </row>
    <row r="32" spans="1:21" ht="15.75" thickBot="1" x14ac:dyDescent="0.3">
      <c r="A32" s="9" t="s">
        <v>37</v>
      </c>
      <c r="B32" s="33">
        <v>185</v>
      </c>
      <c r="C32" s="1">
        <v>110</v>
      </c>
      <c r="D32" s="33">
        <v>2</v>
      </c>
      <c r="E32" s="33">
        <v>3</v>
      </c>
      <c r="F32" s="1">
        <v>0</v>
      </c>
      <c r="G32" s="1">
        <v>1</v>
      </c>
      <c r="H32" s="34">
        <v>3</v>
      </c>
      <c r="I32" s="1">
        <v>1</v>
      </c>
      <c r="J32" s="35">
        <v>0</v>
      </c>
      <c r="K32" s="35">
        <v>88</v>
      </c>
      <c r="L32" s="7">
        <f t="shared" si="1"/>
        <v>305</v>
      </c>
      <c r="M32" s="8">
        <f t="shared" si="0"/>
        <v>393</v>
      </c>
      <c r="N32" s="20">
        <f t="shared" si="2"/>
        <v>295</v>
      </c>
      <c r="O32" s="20">
        <f t="shared" si="3"/>
        <v>5</v>
      </c>
      <c r="P32" s="20">
        <f t="shared" si="4"/>
        <v>5</v>
      </c>
      <c r="Q32" s="20"/>
    </row>
    <row r="33" spans="1:17" ht="15.75" thickBot="1" x14ac:dyDescent="0.3">
      <c r="A33" s="9" t="s">
        <v>38</v>
      </c>
      <c r="B33" s="33">
        <v>115</v>
      </c>
      <c r="C33" s="1">
        <v>106</v>
      </c>
      <c r="D33" s="33">
        <v>5</v>
      </c>
      <c r="E33" s="33">
        <v>1</v>
      </c>
      <c r="F33" s="1">
        <v>0</v>
      </c>
      <c r="G33" s="1">
        <v>0</v>
      </c>
      <c r="H33" s="34">
        <v>1</v>
      </c>
      <c r="I33" s="1">
        <v>1</v>
      </c>
      <c r="J33" s="35">
        <v>0</v>
      </c>
      <c r="K33" s="35">
        <v>84</v>
      </c>
      <c r="L33" s="7">
        <f t="shared" si="1"/>
        <v>229</v>
      </c>
      <c r="M33" s="8">
        <f t="shared" si="0"/>
        <v>313</v>
      </c>
      <c r="N33" s="20">
        <f t="shared" si="2"/>
        <v>221</v>
      </c>
      <c r="O33" s="20">
        <f t="shared" si="3"/>
        <v>6</v>
      </c>
      <c r="P33" s="20">
        <f t="shared" si="4"/>
        <v>2</v>
      </c>
      <c r="Q33" s="20"/>
    </row>
    <row r="34" spans="1:17" ht="15.75" thickBot="1" x14ac:dyDescent="0.3">
      <c r="A34" s="9" t="s">
        <v>39</v>
      </c>
      <c r="B34" s="33">
        <v>106</v>
      </c>
      <c r="C34" s="1">
        <v>90</v>
      </c>
      <c r="D34" s="33">
        <v>9</v>
      </c>
      <c r="E34" s="33">
        <v>2</v>
      </c>
      <c r="F34" s="1">
        <v>1</v>
      </c>
      <c r="G34" s="1">
        <v>1</v>
      </c>
      <c r="H34" s="34">
        <v>0</v>
      </c>
      <c r="I34" s="1">
        <v>0</v>
      </c>
      <c r="J34" s="35">
        <v>0</v>
      </c>
      <c r="K34" s="35">
        <v>83</v>
      </c>
      <c r="L34" s="7">
        <f t="shared" si="1"/>
        <v>209</v>
      </c>
      <c r="M34" s="8">
        <f t="shared" si="0"/>
        <v>292</v>
      </c>
      <c r="N34" s="20">
        <f t="shared" si="2"/>
        <v>196</v>
      </c>
      <c r="O34" s="20">
        <f t="shared" si="3"/>
        <v>12</v>
      </c>
      <c r="P34" s="20">
        <f t="shared" si="4"/>
        <v>1</v>
      </c>
      <c r="Q34" s="20"/>
    </row>
    <row r="35" spans="1:17" ht="15.75" thickBot="1" x14ac:dyDescent="0.3">
      <c r="A35" s="9" t="s">
        <v>40</v>
      </c>
      <c r="B35" s="33">
        <v>105</v>
      </c>
      <c r="C35" s="1">
        <v>85</v>
      </c>
      <c r="D35" s="33">
        <v>10</v>
      </c>
      <c r="E35" s="33">
        <v>2</v>
      </c>
      <c r="F35" s="1">
        <v>1</v>
      </c>
      <c r="G35" s="1">
        <v>3</v>
      </c>
      <c r="H35" s="34">
        <v>0</v>
      </c>
      <c r="I35" s="1">
        <v>1</v>
      </c>
      <c r="J35" s="35">
        <v>1</v>
      </c>
      <c r="K35" s="35">
        <v>47</v>
      </c>
      <c r="L35" s="7">
        <f t="shared" si="1"/>
        <v>208</v>
      </c>
      <c r="M35" s="8">
        <f t="shared" si="0"/>
        <v>255</v>
      </c>
      <c r="N35" s="20">
        <f t="shared" si="2"/>
        <v>190</v>
      </c>
      <c r="O35" s="20">
        <f t="shared" si="3"/>
        <v>13</v>
      </c>
      <c r="P35" s="20">
        <f t="shared" si="4"/>
        <v>5</v>
      </c>
      <c r="Q35" s="20"/>
    </row>
    <row r="36" spans="1:17" ht="15.75" thickBot="1" x14ac:dyDescent="0.3">
      <c r="A36" s="9" t="s">
        <v>41</v>
      </c>
      <c r="B36" s="33">
        <v>115</v>
      </c>
      <c r="C36" s="1">
        <v>100</v>
      </c>
      <c r="D36" s="33">
        <v>7</v>
      </c>
      <c r="E36" s="33">
        <v>3</v>
      </c>
      <c r="F36" s="1">
        <v>0</v>
      </c>
      <c r="G36" s="1">
        <v>1</v>
      </c>
      <c r="H36" s="34">
        <v>0</v>
      </c>
      <c r="I36" s="1">
        <v>0</v>
      </c>
      <c r="J36" s="35">
        <v>0</v>
      </c>
      <c r="K36" s="35">
        <v>52</v>
      </c>
      <c r="L36" s="7">
        <f t="shared" si="1"/>
        <v>226</v>
      </c>
      <c r="M36" s="8">
        <f t="shared" si="0"/>
        <v>278</v>
      </c>
      <c r="N36" s="20">
        <f t="shared" si="2"/>
        <v>215</v>
      </c>
      <c r="O36" s="20">
        <f t="shared" si="3"/>
        <v>10</v>
      </c>
      <c r="P36" s="20">
        <f t="shared" si="4"/>
        <v>1</v>
      </c>
      <c r="Q36" s="20"/>
    </row>
    <row r="37" spans="1:17" ht="15.75" thickBot="1" x14ac:dyDescent="0.3">
      <c r="A37" s="9" t="s">
        <v>42</v>
      </c>
      <c r="B37" s="33">
        <v>95</v>
      </c>
      <c r="C37" s="1">
        <v>125</v>
      </c>
      <c r="D37" s="33">
        <v>14</v>
      </c>
      <c r="E37" s="33">
        <v>3</v>
      </c>
      <c r="F37" s="1">
        <v>0</v>
      </c>
      <c r="G37" s="1">
        <v>3</v>
      </c>
      <c r="H37" s="34">
        <v>4</v>
      </c>
      <c r="I37" s="1">
        <v>2</v>
      </c>
      <c r="J37" s="35">
        <v>0</v>
      </c>
      <c r="K37" s="35">
        <v>60</v>
      </c>
      <c r="L37" s="7">
        <f t="shared" si="1"/>
        <v>246</v>
      </c>
      <c r="M37" s="8">
        <f t="shared" si="0"/>
        <v>306</v>
      </c>
      <c r="N37" s="20">
        <f t="shared" si="2"/>
        <v>220</v>
      </c>
      <c r="O37" s="20">
        <f t="shared" si="3"/>
        <v>17</v>
      </c>
      <c r="P37" s="20">
        <f t="shared" si="4"/>
        <v>9</v>
      </c>
      <c r="Q37" s="20"/>
    </row>
    <row r="38" spans="1:17" ht="15.75" thickBot="1" x14ac:dyDescent="0.3">
      <c r="A38" s="9" t="s">
        <v>43</v>
      </c>
      <c r="B38" s="33">
        <v>125</v>
      </c>
      <c r="C38" s="1">
        <v>50</v>
      </c>
      <c r="D38" s="33">
        <v>13</v>
      </c>
      <c r="E38" s="33">
        <v>4</v>
      </c>
      <c r="F38" s="1">
        <v>0</v>
      </c>
      <c r="G38" s="1">
        <v>2</v>
      </c>
      <c r="H38" s="34">
        <v>2</v>
      </c>
      <c r="I38" s="1">
        <v>0</v>
      </c>
      <c r="J38" s="35">
        <v>1</v>
      </c>
      <c r="K38" s="35">
        <v>63</v>
      </c>
      <c r="L38" s="7">
        <f t="shared" si="1"/>
        <v>197</v>
      </c>
      <c r="M38" s="8">
        <f t="shared" si="0"/>
        <v>260</v>
      </c>
      <c r="N38" s="20">
        <f t="shared" si="2"/>
        <v>175</v>
      </c>
      <c r="O38" s="20">
        <f t="shared" si="3"/>
        <v>17</v>
      </c>
      <c r="P38" s="20">
        <f t="shared" si="4"/>
        <v>5</v>
      </c>
      <c r="Q38" s="20"/>
    </row>
    <row r="39" spans="1:17" ht="15.75" thickBot="1" x14ac:dyDescent="0.3">
      <c r="A39" s="9" t="s">
        <v>44</v>
      </c>
      <c r="B39" s="33">
        <v>85</v>
      </c>
      <c r="C39" s="1">
        <v>85</v>
      </c>
      <c r="D39" s="33">
        <v>3</v>
      </c>
      <c r="E39" s="33">
        <v>1</v>
      </c>
      <c r="F39" s="1">
        <v>0</v>
      </c>
      <c r="G39" s="1">
        <v>3</v>
      </c>
      <c r="H39" s="34">
        <v>0</v>
      </c>
      <c r="I39" s="1">
        <v>0</v>
      </c>
      <c r="J39" s="35">
        <v>0</v>
      </c>
      <c r="K39" s="35">
        <v>57</v>
      </c>
      <c r="L39" s="7">
        <f t="shared" si="1"/>
        <v>177</v>
      </c>
      <c r="M39" s="8">
        <f t="shared" si="0"/>
        <v>234</v>
      </c>
      <c r="N39" s="20">
        <f t="shared" si="2"/>
        <v>170</v>
      </c>
      <c r="O39" s="20">
        <f t="shared" si="3"/>
        <v>4</v>
      </c>
      <c r="P39" s="20">
        <f t="shared" si="4"/>
        <v>3</v>
      </c>
      <c r="Q39" s="20"/>
    </row>
    <row r="40" spans="1:17" ht="15.75" thickBot="1" x14ac:dyDescent="0.3">
      <c r="A40" s="9" t="s">
        <v>45</v>
      </c>
      <c r="B40" s="33">
        <v>95</v>
      </c>
      <c r="C40" s="1">
        <v>85</v>
      </c>
      <c r="D40" s="33">
        <v>10</v>
      </c>
      <c r="E40" s="33">
        <v>1</v>
      </c>
      <c r="F40" s="1">
        <v>0</v>
      </c>
      <c r="G40" s="1">
        <v>2</v>
      </c>
      <c r="H40" s="34">
        <v>4</v>
      </c>
      <c r="I40" s="1">
        <v>0</v>
      </c>
      <c r="J40" s="35">
        <v>0</v>
      </c>
      <c r="K40" s="35">
        <v>65</v>
      </c>
      <c r="L40" s="7">
        <f t="shared" si="1"/>
        <v>197</v>
      </c>
      <c r="M40" s="8">
        <f t="shared" si="0"/>
        <v>262</v>
      </c>
      <c r="N40" s="20">
        <f t="shared" si="2"/>
        <v>180</v>
      </c>
      <c r="O40" s="20">
        <f t="shared" si="3"/>
        <v>11</v>
      </c>
      <c r="P40" s="20">
        <f t="shared" si="4"/>
        <v>6</v>
      </c>
      <c r="Q40" s="20"/>
    </row>
    <row r="41" spans="1:17" ht="15.75" thickBot="1" x14ac:dyDescent="0.3">
      <c r="A41" s="9" t="s">
        <v>46</v>
      </c>
      <c r="B41" s="33">
        <v>185</v>
      </c>
      <c r="C41" s="1">
        <v>125</v>
      </c>
      <c r="D41" s="33">
        <v>15</v>
      </c>
      <c r="E41" s="33">
        <v>3</v>
      </c>
      <c r="F41" s="1">
        <v>0</v>
      </c>
      <c r="G41" s="1">
        <v>3</v>
      </c>
      <c r="H41" s="34">
        <v>8</v>
      </c>
      <c r="I41" s="1">
        <v>1</v>
      </c>
      <c r="J41" s="35">
        <v>1</v>
      </c>
      <c r="K41" s="35">
        <v>75</v>
      </c>
      <c r="L41" s="7">
        <f t="shared" si="1"/>
        <v>341</v>
      </c>
      <c r="M41" s="8">
        <f t="shared" si="0"/>
        <v>416</v>
      </c>
      <c r="N41" s="20">
        <f t="shared" si="2"/>
        <v>310</v>
      </c>
      <c r="O41" s="20">
        <f t="shared" si="3"/>
        <v>18</v>
      </c>
      <c r="P41" s="20">
        <f t="shared" si="4"/>
        <v>13</v>
      </c>
      <c r="Q41" s="20"/>
    </row>
    <row r="42" spans="1:17" ht="15.75" thickBot="1" x14ac:dyDescent="0.3">
      <c r="A42" s="9" t="s">
        <v>47</v>
      </c>
      <c r="B42" s="33">
        <v>145</v>
      </c>
      <c r="C42" s="1">
        <v>129</v>
      </c>
      <c r="D42" s="33">
        <v>4</v>
      </c>
      <c r="E42" s="33">
        <v>2</v>
      </c>
      <c r="F42" s="1">
        <v>0</v>
      </c>
      <c r="G42" s="1">
        <v>1</v>
      </c>
      <c r="H42" s="34">
        <v>0</v>
      </c>
      <c r="I42" s="1">
        <v>0</v>
      </c>
      <c r="J42" s="35">
        <v>1</v>
      </c>
      <c r="K42" s="35">
        <v>83</v>
      </c>
      <c r="L42" s="7">
        <f t="shared" si="1"/>
        <v>282</v>
      </c>
      <c r="M42" s="8">
        <f t="shared" si="0"/>
        <v>365</v>
      </c>
      <c r="N42" s="20">
        <f t="shared" si="2"/>
        <v>274</v>
      </c>
      <c r="O42" s="20">
        <f t="shared" si="3"/>
        <v>6</v>
      </c>
      <c r="P42" s="20">
        <f t="shared" si="4"/>
        <v>2</v>
      </c>
      <c r="Q42" s="20"/>
    </row>
    <row r="43" spans="1:17" ht="15.75" thickBot="1" x14ac:dyDescent="0.3">
      <c r="A43" s="9" t="s">
        <v>48</v>
      </c>
      <c r="B43" s="33">
        <v>160</v>
      </c>
      <c r="C43" s="1">
        <v>140</v>
      </c>
      <c r="D43" s="33">
        <v>3</v>
      </c>
      <c r="E43" s="33">
        <v>2</v>
      </c>
      <c r="F43" s="1">
        <v>0</v>
      </c>
      <c r="G43" s="1">
        <v>1</v>
      </c>
      <c r="H43" s="34">
        <v>0</v>
      </c>
      <c r="I43" s="1">
        <v>0</v>
      </c>
      <c r="J43" s="35">
        <v>1</v>
      </c>
      <c r="K43" s="35">
        <v>83</v>
      </c>
      <c r="L43" s="7">
        <f t="shared" si="1"/>
        <v>307</v>
      </c>
      <c r="M43" s="8">
        <f t="shared" si="0"/>
        <v>390</v>
      </c>
      <c r="N43" s="20">
        <f t="shared" si="2"/>
        <v>300</v>
      </c>
      <c r="O43" s="20">
        <f t="shared" si="3"/>
        <v>5</v>
      </c>
      <c r="P43" s="20">
        <f t="shared" si="4"/>
        <v>2</v>
      </c>
      <c r="Q43" s="20"/>
    </row>
    <row r="44" spans="1:17" ht="15.75" thickBot="1" x14ac:dyDescent="0.3">
      <c r="A44" s="9" t="s">
        <v>49</v>
      </c>
      <c r="B44" s="33">
        <v>185</v>
      </c>
      <c r="C44" s="1">
        <v>147</v>
      </c>
      <c r="D44" s="33">
        <v>3</v>
      </c>
      <c r="E44" s="33">
        <v>2</v>
      </c>
      <c r="F44" s="1">
        <v>0</v>
      </c>
      <c r="G44" s="1">
        <v>1</v>
      </c>
      <c r="H44" s="34">
        <v>0</v>
      </c>
      <c r="I44" s="1">
        <v>0</v>
      </c>
      <c r="J44" s="35">
        <v>0</v>
      </c>
      <c r="K44" s="35">
        <v>60</v>
      </c>
      <c r="L44" s="7">
        <f t="shared" si="1"/>
        <v>338</v>
      </c>
      <c r="M44" s="8">
        <f t="shared" si="0"/>
        <v>398</v>
      </c>
      <c r="N44" s="20">
        <f t="shared" si="2"/>
        <v>332</v>
      </c>
      <c r="O44" s="20">
        <f t="shared" si="3"/>
        <v>5</v>
      </c>
      <c r="P44" s="20">
        <f t="shared" si="4"/>
        <v>1</v>
      </c>
      <c r="Q44" s="20"/>
    </row>
    <row r="45" spans="1:17" ht="15.75" thickBot="1" x14ac:dyDescent="0.3">
      <c r="A45" s="9" t="s">
        <v>50</v>
      </c>
      <c r="B45" s="33">
        <v>165</v>
      </c>
      <c r="C45" s="1">
        <v>150</v>
      </c>
      <c r="D45" s="33">
        <v>10</v>
      </c>
      <c r="E45" s="33">
        <v>1</v>
      </c>
      <c r="F45" s="1">
        <v>1</v>
      </c>
      <c r="G45" s="1">
        <v>0</v>
      </c>
      <c r="H45" s="34">
        <v>3</v>
      </c>
      <c r="I45" s="1">
        <v>2</v>
      </c>
      <c r="J45" s="35">
        <v>0</v>
      </c>
      <c r="K45" s="35">
        <v>48</v>
      </c>
      <c r="L45" s="7">
        <f t="shared" si="1"/>
        <v>332</v>
      </c>
      <c r="M45" s="8">
        <f t="shared" si="0"/>
        <v>380</v>
      </c>
      <c r="N45" s="20">
        <f t="shared" si="2"/>
        <v>315</v>
      </c>
      <c r="O45" s="20">
        <f t="shared" si="3"/>
        <v>12</v>
      </c>
      <c r="P45" s="20">
        <f t="shared" si="4"/>
        <v>5</v>
      </c>
      <c r="Q45" s="20"/>
    </row>
    <row r="46" spans="1:17" ht="15.75" thickBot="1" x14ac:dyDescent="0.3">
      <c r="A46" s="9" t="s">
        <v>51</v>
      </c>
      <c r="B46" s="33">
        <v>143</v>
      </c>
      <c r="C46" s="1">
        <v>115</v>
      </c>
      <c r="D46" s="33">
        <v>3</v>
      </c>
      <c r="E46" s="33">
        <v>1</v>
      </c>
      <c r="F46" s="1">
        <v>1</v>
      </c>
      <c r="G46" s="1">
        <v>3</v>
      </c>
      <c r="H46" s="34">
        <v>0</v>
      </c>
      <c r="I46" s="1">
        <v>0</v>
      </c>
      <c r="J46" s="35">
        <v>0</v>
      </c>
      <c r="K46" s="35">
        <v>57</v>
      </c>
      <c r="L46" s="7">
        <f t="shared" si="1"/>
        <v>266</v>
      </c>
      <c r="M46" s="8">
        <f t="shared" si="0"/>
        <v>323</v>
      </c>
      <c r="N46" s="20">
        <f t="shared" si="2"/>
        <v>258</v>
      </c>
      <c r="O46" s="20">
        <f t="shared" si="3"/>
        <v>5</v>
      </c>
      <c r="P46" s="20">
        <f t="shared" si="4"/>
        <v>3</v>
      </c>
      <c r="Q46" s="20"/>
    </row>
    <row r="47" spans="1:17" ht="15.75" thickBot="1" x14ac:dyDescent="0.3">
      <c r="A47" s="9" t="s">
        <v>52</v>
      </c>
      <c r="B47" s="33">
        <v>180</v>
      </c>
      <c r="C47" s="1">
        <v>160</v>
      </c>
      <c r="D47" s="33">
        <v>5</v>
      </c>
      <c r="E47" s="33">
        <v>0</v>
      </c>
      <c r="F47" s="1">
        <v>0</v>
      </c>
      <c r="G47" s="1">
        <v>0</v>
      </c>
      <c r="H47" s="34">
        <v>0</v>
      </c>
      <c r="I47" s="1">
        <v>0</v>
      </c>
      <c r="J47" s="35">
        <v>0</v>
      </c>
      <c r="K47" s="35">
        <v>65</v>
      </c>
      <c r="L47" s="7">
        <f t="shared" si="1"/>
        <v>345</v>
      </c>
      <c r="M47" s="8">
        <f t="shared" si="0"/>
        <v>410</v>
      </c>
      <c r="N47" s="20">
        <f t="shared" si="2"/>
        <v>340</v>
      </c>
      <c r="O47" s="20">
        <f t="shared" si="3"/>
        <v>5</v>
      </c>
      <c r="P47" s="20">
        <f t="shared" si="4"/>
        <v>0</v>
      </c>
      <c r="Q47" s="20"/>
    </row>
    <row r="48" spans="1:17" ht="15.75" thickBot="1" x14ac:dyDescent="0.3">
      <c r="A48" s="9" t="s">
        <v>53</v>
      </c>
      <c r="B48" s="33">
        <v>140</v>
      </c>
      <c r="C48" s="1">
        <v>130</v>
      </c>
      <c r="D48" s="33">
        <v>4</v>
      </c>
      <c r="E48" s="33">
        <v>2</v>
      </c>
      <c r="F48" s="1">
        <v>0</v>
      </c>
      <c r="G48" s="1">
        <v>1</v>
      </c>
      <c r="H48" s="34">
        <v>3</v>
      </c>
      <c r="I48" s="1">
        <v>0</v>
      </c>
      <c r="J48" s="35">
        <v>0</v>
      </c>
      <c r="K48" s="35">
        <v>67</v>
      </c>
      <c r="L48" s="7">
        <f t="shared" si="1"/>
        <v>280</v>
      </c>
      <c r="M48" s="8">
        <f t="shared" si="0"/>
        <v>347</v>
      </c>
      <c r="N48" s="20">
        <f t="shared" si="2"/>
        <v>270</v>
      </c>
      <c r="O48" s="20">
        <f t="shared" si="3"/>
        <v>6</v>
      </c>
      <c r="P48" s="20">
        <f t="shared" si="4"/>
        <v>4</v>
      </c>
      <c r="Q48" s="20"/>
    </row>
    <row r="49" spans="1:17" ht="15.75" thickBot="1" x14ac:dyDescent="0.3">
      <c r="A49" s="9" t="s">
        <v>54</v>
      </c>
      <c r="B49" s="33">
        <v>144</v>
      </c>
      <c r="C49" s="1">
        <v>123</v>
      </c>
      <c r="D49" s="33">
        <v>13</v>
      </c>
      <c r="E49" s="33">
        <v>2</v>
      </c>
      <c r="F49" s="1">
        <v>0</v>
      </c>
      <c r="G49" s="1">
        <v>4</v>
      </c>
      <c r="H49" s="34">
        <v>2</v>
      </c>
      <c r="I49" s="1">
        <v>3</v>
      </c>
      <c r="J49" s="35">
        <v>0</v>
      </c>
      <c r="K49" s="35">
        <v>81</v>
      </c>
      <c r="L49" s="7">
        <f t="shared" si="1"/>
        <v>291</v>
      </c>
      <c r="M49" s="8">
        <f t="shared" si="0"/>
        <v>372</v>
      </c>
      <c r="N49" s="20">
        <f t="shared" si="2"/>
        <v>267</v>
      </c>
      <c r="O49" s="20">
        <f t="shared" si="3"/>
        <v>15</v>
      </c>
      <c r="P49" s="20">
        <f t="shared" si="4"/>
        <v>9</v>
      </c>
      <c r="Q49" s="20"/>
    </row>
    <row r="50" spans="1:17" ht="15.75" thickBot="1" x14ac:dyDescent="0.3">
      <c r="A50" s="9" t="s">
        <v>55</v>
      </c>
      <c r="B50" s="33">
        <v>192</v>
      </c>
      <c r="C50" s="1">
        <v>125</v>
      </c>
      <c r="D50" s="33">
        <v>1</v>
      </c>
      <c r="E50" s="33">
        <v>0</v>
      </c>
      <c r="F50" s="1">
        <v>0</v>
      </c>
      <c r="G50" s="1">
        <v>0</v>
      </c>
      <c r="H50" s="34">
        <v>0</v>
      </c>
      <c r="I50" s="1">
        <v>0</v>
      </c>
      <c r="J50" s="35">
        <v>1</v>
      </c>
      <c r="K50" s="35">
        <v>51</v>
      </c>
      <c r="L50" s="7">
        <f t="shared" si="1"/>
        <v>319</v>
      </c>
      <c r="M50" s="8">
        <f t="shared" si="0"/>
        <v>370</v>
      </c>
      <c r="N50" s="20">
        <f t="shared" si="2"/>
        <v>317</v>
      </c>
      <c r="O50" s="20">
        <f t="shared" si="3"/>
        <v>1</v>
      </c>
      <c r="P50" s="20">
        <f t="shared" si="4"/>
        <v>1</v>
      </c>
      <c r="Q50" s="20"/>
    </row>
    <row r="51" spans="1:17" ht="15.75" thickBot="1" x14ac:dyDescent="0.3">
      <c r="A51" s="9" t="s">
        <v>56</v>
      </c>
      <c r="B51" s="33">
        <v>182</v>
      </c>
      <c r="C51" s="1">
        <v>128</v>
      </c>
      <c r="D51" s="33">
        <v>3</v>
      </c>
      <c r="E51" s="33">
        <v>0</v>
      </c>
      <c r="F51" s="1">
        <v>0</v>
      </c>
      <c r="G51" s="1">
        <v>3</v>
      </c>
      <c r="H51" s="34">
        <v>0</v>
      </c>
      <c r="I51" s="1">
        <v>1</v>
      </c>
      <c r="J51" s="35">
        <v>0</v>
      </c>
      <c r="K51" s="35">
        <v>68</v>
      </c>
      <c r="L51" s="7">
        <f t="shared" si="1"/>
        <v>317</v>
      </c>
      <c r="M51" s="8">
        <f t="shared" si="0"/>
        <v>385</v>
      </c>
      <c r="N51" s="20">
        <f t="shared" si="2"/>
        <v>310</v>
      </c>
      <c r="O51" s="20">
        <f t="shared" si="3"/>
        <v>3</v>
      </c>
      <c r="P51" s="20">
        <f t="shared" si="4"/>
        <v>4</v>
      </c>
      <c r="Q51" s="20"/>
    </row>
    <row r="52" spans="1:17" ht="15.75" thickBot="1" x14ac:dyDescent="0.3">
      <c r="A52" s="9" t="s">
        <v>57</v>
      </c>
      <c r="B52" s="33">
        <v>150</v>
      </c>
      <c r="C52" s="1">
        <v>115</v>
      </c>
      <c r="D52" s="33">
        <v>6</v>
      </c>
      <c r="E52" s="33">
        <v>1</v>
      </c>
      <c r="F52" s="1">
        <v>0</v>
      </c>
      <c r="G52" s="1">
        <v>0</v>
      </c>
      <c r="H52" s="34">
        <v>0</v>
      </c>
      <c r="I52" s="1">
        <v>1</v>
      </c>
      <c r="J52" s="35">
        <v>1</v>
      </c>
      <c r="K52" s="35">
        <v>48</v>
      </c>
      <c r="L52" s="7">
        <f t="shared" si="1"/>
        <v>274</v>
      </c>
      <c r="M52" s="8">
        <f t="shared" si="0"/>
        <v>322</v>
      </c>
      <c r="N52" s="20">
        <f t="shared" si="2"/>
        <v>265</v>
      </c>
      <c r="O52" s="20">
        <f t="shared" si="3"/>
        <v>7</v>
      </c>
      <c r="P52" s="20">
        <f t="shared" si="4"/>
        <v>2</v>
      </c>
      <c r="Q52" s="20"/>
    </row>
    <row r="53" spans="1:17" ht="15.75" thickBot="1" x14ac:dyDescent="0.3">
      <c r="A53" s="9" t="s">
        <v>58</v>
      </c>
      <c r="B53" s="33">
        <v>148</v>
      </c>
      <c r="C53" s="1">
        <v>95</v>
      </c>
      <c r="D53" s="33">
        <v>4</v>
      </c>
      <c r="E53" s="33">
        <v>0</v>
      </c>
      <c r="F53" s="1">
        <v>0</v>
      </c>
      <c r="G53" s="1">
        <v>2</v>
      </c>
      <c r="H53" s="34">
        <v>6</v>
      </c>
      <c r="I53" s="1">
        <v>1</v>
      </c>
      <c r="J53" s="35">
        <v>0</v>
      </c>
      <c r="K53" s="35">
        <v>46</v>
      </c>
      <c r="L53" s="7">
        <f t="shared" si="1"/>
        <v>256</v>
      </c>
      <c r="M53" s="8">
        <f t="shared" si="0"/>
        <v>302</v>
      </c>
      <c r="N53" s="20">
        <f t="shared" si="2"/>
        <v>243</v>
      </c>
      <c r="O53" s="20">
        <f t="shared" si="3"/>
        <v>4</v>
      </c>
      <c r="P53" s="20">
        <f t="shared" si="4"/>
        <v>9</v>
      </c>
      <c r="Q53" s="20"/>
    </row>
    <row r="54" spans="1:17" ht="15.75" thickBot="1" x14ac:dyDescent="0.3">
      <c r="A54" s="9" t="s">
        <v>59</v>
      </c>
      <c r="B54" s="33">
        <v>145</v>
      </c>
      <c r="C54" s="1">
        <v>150</v>
      </c>
      <c r="D54" s="33">
        <v>6</v>
      </c>
      <c r="E54" s="33">
        <v>2</v>
      </c>
      <c r="F54" s="1">
        <v>0</v>
      </c>
      <c r="G54" s="1">
        <v>0</v>
      </c>
      <c r="H54" s="34">
        <v>1</v>
      </c>
      <c r="I54" s="1">
        <v>2</v>
      </c>
      <c r="J54" s="35">
        <v>0</v>
      </c>
      <c r="K54" s="35">
        <v>36</v>
      </c>
      <c r="L54" s="7">
        <f t="shared" si="1"/>
        <v>306</v>
      </c>
      <c r="M54" s="8">
        <f t="shared" si="0"/>
        <v>342</v>
      </c>
      <c r="N54" s="20">
        <f t="shared" si="2"/>
        <v>295</v>
      </c>
      <c r="O54" s="20">
        <f t="shared" si="3"/>
        <v>8</v>
      </c>
      <c r="P54" s="20">
        <f t="shared" si="4"/>
        <v>3</v>
      </c>
      <c r="Q54" s="20"/>
    </row>
    <row r="55" spans="1:17" ht="15.75" thickBot="1" x14ac:dyDescent="0.3">
      <c r="A55" s="9" t="s">
        <v>60</v>
      </c>
      <c r="B55" s="33">
        <v>188</v>
      </c>
      <c r="C55" s="1">
        <v>185</v>
      </c>
      <c r="D55" s="33">
        <v>3</v>
      </c>
      <c r="E55" s="33">
        <v>0</v>
      </c>
      <c r="F55" s="1">
        <v>0</v>
      </c>
      <c r="G55" s="1">
        <v>0</v>
      </c>
      <c r="H55" s="34">
        <v>1</v>
      </c>
      <c r="I55" s="1">
        <v>0</v>
      </c>
      <c r="J55" s="35">
        <v>0</v>
      </c>
      <c r="K55" s="35">
        <v>51</v>
      </c>
      <c r="L55" s="7">
        <f t="shared" si="1"/>
        <v>377</v>
      </c>
      <c r="M55" s="8">
        <f t="shared" si="0"/>
        <v>428</v>
      </c>
      <c r="N55" s="20">
        <f t="shared" si="2"/>
        <v>373</v>
      </c>
      <c r="O55" s="20">
        <f t="shared" si="3"/>
        <v>3</v>
      </c>
      <c r="P55" s="20">
        <f t="shared" si="4"/>
        <v>1</v>
      </c>
      <c r="Q55" s="20"/>
    </row>
    <row r="56" spans="1:17" ht="15.75" thickBot="1" x14ac:dyDescent="0.3">
      <c r="A56" s="9" t="s">
        <v>61</v>
      </c>
      <c r="B56" s="33">
        <v>0</v>
      </c>
      <c r="C56" s="1">
        <v>0</v>
      </c>
      <c r="D56" s="33">
        <v>3</v>
      </c>
      <c r="E56" s="33">
        <v>1</v>
      </c>
      <c r="F56" s="1">
        <v>0</v>
      </c>
      <c r="G56" s="1">
        <v>0</v>
      </c>
      <c r="H56" s="34">
        <v>0</v>
      </c>
      <c r="I56" s="1">
        <v>1</v>
      </c>
      <c r="J56" s="35">
        <v>0</v>
      </c>
      <c r="K56" s="35">
        <v>43</v>
      </c>
      <c r="L56" s="7">
        <f t="shared" si="1"/>
        <v>5</v>
      </c>
      <c r="M56" s="8">
        <f t="shared" si="0"/>
        <v>48</v>
      </c>
      <c r="N56" s="20">
        <f t="shared" si="2"/>
        <v>0</v>
      </c>
      <c r="O56" s="20">
        <f t="shared" si="3"/>
        <v>4</v>
      </c>
      <c r="P56" s="20">
        <f t="shared" si="4"/>
        <v>1</v>
      </c>
      <c r="Q56" s="20"/>
    </row>
    <row r="57" spans="1:17" ht="15.75" thickBot="1" x14ac:dyDescent="0.3">
      <c r="A57" s="9" t="s">
        <v>62</v>
      </c>
      <c r="B57" s="33">
        <v>235</v>
      </c>
      <c r="C57" s="1">
        <v>105</v>
      </c>
      <c r="D57" s="33">
        <v>0</v>
      </c>
      <c r="E57" s="33">
        <v>0</v>
      </c>
      <c r="F57" s="1">
        <v>0</v>
      </c>
      <c r="G57" s="1">
        <v>0</v>
      </c>
      <c r="H57" s="34">
        <v>0</v>
      </c>
      <c r="I57" s="1">
        <v>0</v>
      </c>
      <c r="J57" s="35">
        <v>0</v>
      </c>
      <c r="K57" s="35">
        <v>47</v>
      </c>
      <c r="L57" s="7">
        <f t="shared" si="1"/>
        <v>340</v>
      </c>
      <c r="M57" s="8">
        <f t="shared" si="0"/>
        <v>387</v>
      </c>
      <c r="N57" s="20">
        <f t="shared" si="2"/>
        <v>340</v>
      </c>
      <c r="O57" s="20">
        <f t="shared" si="3"/>
        <v>0</v>
      </c>
      <c r="P57" s="20">
        <f t="shared" si="4"/>
        <v>0</v>
      </c>
      <c r="Q57" s="20"/>
    </row>
    <row r="58" spans="1:17" ht="15.75" thickBot="1" x14ac:dyDescent="0.3">
      <c r="A58" s="9" t="s">
        <v>63</v>
      </c>
      <c r="B58" s="33">
        <v>185</v>
      </c>
      <c r="C58" s="1">
        <v>169</v>
      </c>
      <c r="D58" s="33">
        <v>1</v>
      </c>
      <c r="E58" s="33">
        <v>1</v>
      </c>
      <c r="F58" s="1">
        <v>0</v>
      </c>
      <c r="G58" s="1">
        <v>0</v>
      </c>
      <c r="H58" s="34">
        <v>1</v>
      </c>
      <c r="I58" s="1">
        <v>0</v>
      </c>
      <c r="J58" s="35">
        <v>0</v>
      </c>
      <c r="K58" s="35">
        <v>33</v>
      </c>
      <c r="L58" s="7">
        <f t="shared" si="1"/>
        <v>357</v>
      </c>
      <c r="M58" s="8">
        <f t="shared" si="0"/>
        <v>390</v>
      </c>
      <c r="N58" s="20">
        <f t="shared" si="2"/>
        <v>354</v>
      </c>
      <c r="O58" s="20">
        <f t="shared" si="3"/>
        <v>2</v>
      </c>
      <c r="P58" s="20">
        <f t="shared" si="4"/>
        <v>1</v>
      </c>
      <c r="Q58" s="20"/>
    </row>
    <row r="59" spans="1:17" ht="15.75" thickBot="1" x14ac:dyDescent="0.3">
      <c r="A59" s="9" t="s">
        <v>64</v>
      </c>
      <c r="B59" s="33">
        <v>195</v>
      </c>
      <c r="C59" s="1">
        <v>108</v>
      </c>
      <c r="D59" s="33">
        <v>5</v>
      </c>
      <c r="E59" s="33">
        <v>0</v>
      </c>
      <c r="F59" s="1">
        <v>0</v>
      </c>
      <c r="G59" s="1">
        <v>0</v>
      </c>
      <c r="H59" s="34">
        <v>1</v>
      </c>
      <c r="I59" s="1">
        <v>2</v>
      </c>
      <c r="J59" s="35">
        <v>2</v>
      </c>
      <c r="K59" s="35">
        <v>66</v>
      </c>
      <c r="L59" s="7">
        <f t="shared" si="1"/>
        <v>313</v>
      </c>
      <c r="M59" s="8">
        <f t="shared" si="0"/>
        <v>379</v>
      </c>
      <c r="N59" s="20">
        <f t="shared" si="2"/>
        <v>303</v>
      </c>
      <c r="O59" s="20">
        <f t="shared" si="3"/>
        <v>5</v>
      </c>
      <c r="P59" s="20">
        <f t="shared" si="4"/>
        <v>5</v>
      </c>
      <c r="Q59" s="20"/>
    </row>
    <row r="60" spans="1:17" ht="15.75" thickBot="1" x14ac:dyDescent="0.3">
      <c r="A60" s="9" t="s">
        <v>65</v>
      </c>
      <c r="B60" s="33">
        <v>190</v>
      </c>
      <c r="C60" s="1">
        <v>130</v>
      </c>
      <c r="D60" s="33">
        <v>3</v>
      </c>
      <c r="E60" s="33">
        <v>0</v>
      </c>
      <c r="F60" s="1">
        <v>0</v>
      </c>
      <c r="G60" s="1">
        <v>3</v>
      </c>
      <c r="H60" s="34">
        <v>2</v>
      </c>
      <c r="I60" s="1">
        <v>0</v>
      </c>
      <c r="J60" s="35">
        <v>0</v>
      </c>
      <c r="K60" s="35">
        <v>35</v>
      </c>
      <c r="L60" s="7">
        <f t="shared" si="1"/>
        <v>328</v>
      </c>
      <c r="M60" s="8">
        <f t="shared" si="0"/>
        <v>363</v>
      </c>
      <c r="N60" s="20">
        <f t="shared" si="2"/>
        <v>320</v>
      </c>
      <c r="O60" s="20">
        <f t="shared" si="3"/>
        <v>3</v>
      </c>
      <c r="P60" s="20">
        <f t="shared" si="4"/>
        <v>5</v>
      </c>
      <c r="Q60" s="20"/>
    </row>
    <row r="61" spans="1:17" ht="15.75" thickBot="1" x14ac:dyDescent="0.3">
      <c r="A61" s="9" t="s">
        <v>66</v>
      </c>
      <c r="B61" s="33">
        <v>185</v>
      </c>
      <c r="C61" s="1">
        <v>120</v>
      </c>
      <c r="D61" s="33">
        <v>4</v>
      </c>
      <c r="E61" s="33">
        <v>3</v>
      </c>
      <c r="F61" s="1">
        <v>0</v>
      </c>
      <c r="G61" s="1">
        <v>0</v>
      </c>
      <c r="H61" s="34">
        <v>0</v>
      </c>
      <c r="I61" s="1">
        <v>0</v>
      </c>
      <c r="J61" s="35">
        <v>0</v>
      </c>
      <c r="K61" s="35">
        <v>20</v>
      </c>
      <c r="L61" s="7">
        <f t="shared" si="1"/>
        <v>312</v>
      </c>
      <c r="M61" s="8">
        <f t="shared" si="0"/>
        <v>332</v>
      </c>
      <c r="N61" s="20">
        <f t="shared" si="2"/>
        <v>305</v>
      </c>
      <c r="O61" s="20">
        <f t="shared" si="3"/>
        <v>7</v>
      </c>
      <c r="P61" s="20">
        <f t="shared" si="4"/>
        <v>0</v>
      </c>
      <c r="Q61" s="20"/>
    </row>
    <row r="62" spans="1:17" ht="15.75" thickBot="1" x14ac:dyDescent="0.3">
      <c r="A62" s="10" t="s">
        <v>67</v>
      </c>
      <c r="B62" s="33">
        <v>163</v>
      </c>
      <c r="C62" s="1">
        <v>112</v>
      </c>
      <c r="D62" s="33">
        <v>8</v>
      </c>
      <c r="E62" s="33">
        <v>4</v>
      </c>
      <c r="F62" s="1">
        <v>0</v>
      </c>
      <c r="G62" s="1">
        <v>2</v>
      </c>
      <c r="H62" s="34">
        <v>2</v>
      </c>
      <c r="I62" s="1">
        <v>1</v>
      </c>
      <c r="J62" s="35">
        <v>0</v>
      </c>
      <c r="K62" s="35">
        <v>43</v>
      </c>
      <c r="L62" s="7">
        <f t="shared" si="1"/>
        <v>292</v>
      </c>
      <c r="M62" s="8">
        <f t="shared" si="0"/>
        <v>335</v>
      </c>
      <c r="N62" s="20">
        <f t="shared" si="2"/>
        <v>275</v>
      </c>
      <c r="O62" s="20">
        <f t="shared" si="3"/>
        <v>12</v>
      </c>
      <c r="P62" s="20">
        <f t="shared" si="4"/>
        <v>5</v>
      </c>
      <c r="Q62" s="20"/>
    </row>
    <row r="63" spans="1:17" ht="15.75" thickBot="1" x14ac:dyDescent="0.3">
      <c r="A63" s="9" t="s">
        <v>68</v>
      </c>
      <c r="B63" s="33">
        <v>170</v>
      </c>
      <c r="C63" s="1">
        <v>120</v>
      </c>
      <c r="D63" s="33">
        <v>4</v>
      </c>
      <c r="E63" s="33">
        <v>1</v>
      </c>
      <c r="F63" s="1">
        <v>0</v>
      </c>
      <c r="G63" s="1">
        <v>0</v>
      </c>
      <c r="H63" s="34">
        <v>1</v>
      </c>
      <c r="I63" s="1">
        <v>1</v>
      </c>
      <c r="J63" s="35">
        <v>0</v>
      </c>
      <c r="K63" s="35">
        <v>64</v>
      </c>
      <c r="L63" s="7">
        <f t="shared" si="1"/>
        <v>297</v>
      </c>
      <c r="M63" s="8">
        <f t="shared" si="0"/>
        <v>361</v>
      </c>
      <c r="N63" s="20">
        <f t="shared" si="2"/>
        <v>290</v>
      </c>
      <c r="O63" s="20">
        <f t="shared" si="3"/>
        <v>5</v>
      </c>
      <c r="P63" s="20">
        <f t="shared" si="4"/>
        <v>2</v>
      </c>
      <c r="Q63" s="20"/>
    </row>
    <row r="64" spans="1:17" ht="15.75" thickBot="1" x14ac:dyDescent="0.3">
      <c r="A64" s="9" t="s">
        <v>69</v>
      </c>
      <c r="B64" s="33">
        <v>150</v>
      </c>
      <c r="C64" s="1">
        <v>50</v>
      </c>
      <c r="D64" s="33">
        <v>6</v>
      </c>
      <c r="E64" s="33">
        <v>1</v>
      </c>
      <c r="F64" s="1">
        <v>0</v>
      </c>
      <c r="G64" s="1">
        <v>0</v>
      </c>
      <c r="H64" s="34">
        <v>2</v>
      </c>
      <c r="I64" s="1">
        <v>1</v>
      </c>
      <c r="J64" s="35">
        <v>0</v>
      </c>
      <c r="K64" s="35">
        <v>70</v>
      </c>
      <c r="L64" s="7">
        <f t="shared" si="1"/>
        <v>210</v>
      </c>
      <c r="M64" s="8">
        <f>SUM(B64:K64)</f>
        <v>280</v>
      </c>
      <c r="N64" s="20">
        <f t="shared" si="2"/>
        <v>200</v>
      </c>
      <c r="O64" s="20">
        <f t="shared" si="3"/>
        <v>7</v>
      </c>
      <c r="P64" s="20">
        <f t="shared" si="4"/>
        <v>3</v>
      </c>
      <c r="Q64" s="20"/>
    </row>
    <row r="65" spans="1:17" ht="15.75" thickBot="1" x14ac:dyDescent="0.3">
      <c r="A65" s="11" t="s">
        <v>70</v>
      </c>
      <c r="B65" s="33">
        <v>120</v>
      </c>
      <c r="C65" s="1">
        <v>65</v>
      </c>
      <c r="D65" s="33">
        <v>2</v>
      </c>
      <c r="E65" s="33">
        <v>6</v>
      </c>
      <c r="F65" s="1">
        <v>0</v>
      </c>
      <c r="G65" s="1">
        <v>2</v>
      </c>
      <c r="H65" s="34">
        <v>0</v>
      </c>
      <c r="I65" s="1">
        <v>1</v>
      </c>
      <c r="J65" s="35">
        <v>0</v>
      </c>
      <c r="K65" s="35">
        <v>63</v>
      </c>
      <c r="L65" s="7">
        <f t="shared" si="1"/>
        <v>196</v>
      </c>
      <c r="M65" s="8">
        <f>SUM(B65:K65)</f>
        <v>259</v>
      </c>
      <c r="N65" s="20">
        <f t="shared" si="2"/>
        <v>185</v>
      </c>
      <c r="O65" s="20">
        <f t="shared" si="3"/>
        <v>8</v>
      </c>
      <c r="P65" s="20">
        <f t="shared" si="4"/>
        <v>3</v>
      </c>
      <c r="Q65" s="20"/>
    </row>
    <row r="66" spans="1:17" ht="15.75" thickBot="1" x14ac:dyDescent="0.3">
      <c r="A66" s="9" t="s">
        <v>71</v>
      </c>
      <c r="B66" s="33">
        <v>92</v>
      </c>
      <c r="C66" s="1">
        <v>57</v>
      </c>
      <c r="D66" s="33">
        <v>2</v>
      </c>
      <c r="E66" s="33">
        <v>4</v>
      </c>
      <c r="F66" s="1">
        <v>0</v>
      </c>
      <c r="G66" s="1">
        <v>1</v>
      </c>
      <c r="H66" s="34">
        <v>1</v>
      </c>
      <c r="I66" s="1">
        <v>0</v>
      </c>
      <c r="J66" s="35">
        <v>0</v>
      </c>
      <c r="K66" s="35">
        <v>32</v>
      </c>
      <c r="L66" s="7">
        <f t="shared" si="1"/>
        <v>157</v>
      </c>
      <c r="M66" s="8">
        <f t="shared" si="0"/>
        <v>189</v>
      </c>
      <c r="N66" s="20">
        <f t="shared" si="2"/>
        <v>149</v>
      </c>
      <c r="O66" s="20">
        <f t="shared" si="3"/>
        <v>6</v>
      </c>
      <c r="P66" s="20">
        <f t="shared" si="4"/>
        <v>2</v>
      </c>
      <c r="Q66" s="20"/>
    </row>
    <row r="67" spans="1:17" ht="15.75" thickBot="1" x14ac:dyDescent="0.3">
      <c r="A67" s="9" t="s">
        <v>72</v>
      </c>
      <c r="B67" s="33">
        <v>55</v>
      </c>
      <c r="C67" s="1">
        <v>65</v>
      </c>
      <c r="D67" s="33">
        <v>0</v>
      </c>
      <c r="E67" s="33">
        <v>1</v>
      </c>
      <c r="F67" s="1">
        <v>0</v>
      </c>
      <c r="G67" s="1">
        <v>1</v>
      </c>
      <c r="H67" s="34">
        <v>0</v>
      </c>
      <c r="I67" s="1">
        <v>0</v>
      </c>
      <c r="J67" s="35">
        <v>0</v>
      </c>
      <c r="K67" s="35">
        <v>28</v>
      </c>
      <c r="L67" s="7">
        <f t="shared" si="1"/>
        <v>122</v>
      </c>
      <c r="M67" s="8">
        <f>SUM(B67:K67)</f>
        <v>150</v>
      </c>
      <c r="N67" s="20">
        <f t="shared" si="2"/>
        <v>120</v>
      </c>
      <c r="O67" s="20">
        <f t="shared" si="3"/>
        <v>1</v>
      </c>
      <c r="P67" s="20">
        <f t="shared" si="4"/>
        <v>1</v>
      </c>
      <c r="Q67" s="20"/>
    </row>
    <row r="68" spans="1:17" ht="15.75" thickBot="1" x14ac:dyDescent="0.3">
      <c r="A68" s="9" t="s">
        <v>90</v>
      </c>
      <c r="B68" s="33">
        <v>52</v>
      </c>
      <c r="C68" s="1">
        <v>26</v>
      </c>
      <c r="D68" s="33">
        <v>7</v>
      </c>
      <c r="E68" s="33">
        <v>3</v>
      </c>
      <c r="F68" s="1">
        <v>1</v>
      </c>
      <c r="G68" s="1">
        <v>1</v>
      </c>
      <c r="H68" s="34">
        <v>0</v>
      </c>
      <c r="I68" s="1">
        <v>0</v>
      </c>
      <c r="J68" s="35">
        <v>1</v>
      </c>
      <c r="K68" s="35">
        <v>21</v>
      </c>
      <c r="L68" s="7">
        <f t="shared" si="1"/>
        <v>91</v>
      </c>
      <c r="M68" s="8">
        <f t="shared" ref="M68:M71" si="21">SUM(B68:K68)</f>
        <v>112</v>
      </c>
      <c r="N68" s="20">
        <f t="shared" si="2"/>
        <v>78</v>
      </c>
      <c r="O68" s="20">
        <f t="shared" si="3"/>
        <v>11</v>
      </c>
      <c r="P68" s="20">
        <f t="shared" si="4"/>
        <v>2</v>
      </c>
      <c r="Q68" s="20"/>
    </row>
    <row r="69" spans="1:17" ht="15.75" thickBot="1" x14ac:dyDescent="0.3">
      <c r="A69" s="9" t="s">
        <v>91</v>
      </c>
      <c r="B69" s="33">
        <v>48</v>
      </c>
      <c r="C69" s="1">
        <v>40</v>
      </c>
      <c r="D69" s="33">
        <v>5</v>
      </c>
      <c r="E69" s="33">
        <v>2</v>
      </c>
      <c r="F69" s="1">
        <v>1</v>
      </c>
      <c r="G69" s="1">
        <v>0</v>
      </c>
      <c r="H69" s="34">
        <v>0</v>
      </c>
      <c r="I69" s="1">
        <v>0</v>
      </c>
      <c r="J69" s="35">
        <v>0</v>
      </c>
      <c r="K69" s="35">
        <v>27</v>
      </c>
      <c r="L69" s="7">
        <f t="shared" si="1"/>
        <v>96</v>
      </c>
      <c r="M69" s="8">
        <f t="shared" si="21"/>
        <v>123</v>
      </c>
      <c r="N69" s="20">
        <f t="shared" si="2"/>
        <v>88</v>
      </c>
      <c r="O69" s="20">
        <f t="shared" si="3"/>
        <v>8</v>
      </c>
      <c r="P69" s="20">
        <f t="shared" si="4"/>
        <v>0</v>
      </c>
      <c r="Q69" s="20"/>
    </row>
    <row r="70" spans="1:17" ht="15.75" thickBot="1" x14ac:dyDescent="0.3">
      <c r="A70" s="9" t="s">
        <v>92</v>
      </c>
      <c r="B70" s="33">
        <v>50</v>
      </c>
      <c r="C70" s="1">
        <v>25</v>
      </c>
      <c r="D70" s="33">
        <v>6</v>
      </c>
      <c r="E70" s="33">
        <v>1</v>
      </c>
      <c r="F70" s="1">
        <v>0</v>
      </c>
      <c r="G70" s="1">
        <v>0</v>
      </c>
      <c r="H70" s="34">
        <v>2</v>
      </c>
      <c r="I70" s="1">
        <v>1</v>
      </c>
      <c r="J70" s="35">
        <v>0</v>
      </c>
      <c r="K70" s="35">
        <v>24</v>
      </c>
      <c r="L70" s="7">
        <f t="shared" si="1"/>
        <v>85</v>
      </c>
      <c r="M70" s="8">
        <f t="shared" si="21"/>
        <v>109</v>
      </c>
      <c r="N70" s="20">
        <f t="shared" si="2"/>
        <v>75</v>
      </c>
      <c r="O70" s="20">
        <f t="shared" si="3"/>
        <v>7</v>
      </c>
      <c r="P70" s="20">
        <f t="shared" si="4"/>
        <v>3</v>
      </c>
      <c r="Q70" s="20"/>
    </row>
    <row r="71" spans="1:17" ht="15.75" thickBot="1" x14ac:dyDescent="0.3">
      <c r="A71" s="9" t="s">
        <v>93</v>
      </c>
      <c r="B71" s="33">
        <v>108</v>
      </c>
      <c r="C71" s="1">
        <v>89</v>
      </c>
      <c r="D71" s="33">
        <v>6</v>
      </c>
      <c r="E71" s="33">
        <v>0</v>
      </c>
      <c r="F71" s="1">
        <v>0</v>
      </c>
      <c r="G71" s="1">
        <v>1</v>
      </c>
      <c r="H71" s="34">
        <v>0</v>
      </c>
      <c r="I71" s="1">
        <v>0</v>
      </c>
      <c r="J71" s="35">
        <v>3</v>
      </c>
      <c r="K71" s="35">
        <v>34</v>
      </c>
      <c r="L71" s="7">
        <f t="shared" si="1"/>
        <v>207</v>
      </c>
      <c r="M71" s="8">
        <f t="shared" si="21"/>
        <v>241</v>
      </c>
      <c r="N71" s="20">
        <f t="shared" si="2"/>
        <v>197</v>
      </c>
      <c r="O71" s="20">
        <f t="shared" si="3"/>
        <v>6</v>
      </c>
      <c r="P71" s="20">
        <f t="shared" si="4"/>
        <v>4</v>
      </c>
      <c r="Q71" s="20"/>
    </row>
    <row r="72" spans="1:17" ht="15.75" thickBot="1" x14ac:dyDescent="0.3">
      <c r="B72" s="12">
        <f>SUM(B8:B71)</f>
        <v>9854</v>
      </c>
      <c r="C72" s="12">
        <f t="shared" ref="C72:K72" si="22">SUM(C8:C71)</f>
        <v>7234</v>
      </c>
      <c r="D72" s="12">
        <f t="shared" si="22"/>
        <v>411</v>
      </c>
      <c r="E72" s="12">
        <f t="shared" si="22"/>
        <v>175</v>
      </c>
      <c r="F72" s="12">
        <f t="shared" si="22"/>
        <v>14</v>
      </c>
      <c r="G72" s="12">
        <f t="shared" si="22"/>
        <v>86</v>
      </c>
      <c r="H72" s="12">
        <f t="shared" si="22"/>
        <v>79</v>
      </c>
      <c r="I72" s="12">
        <f t="shared" si="22"/>
        <v>40</v>
      </c>
      <c r="J72" s="12">
        <f t="shared" si="22"/>
        <v>18</v>
      </c>
      <c r="K72" s="12">
        <f t="shared" si="22"/>
        <v>3107</v>
      </c>
      <c r="L72" s="12">
        <f>SUM(B72:J72)</f>
        <v>17911</v>
      </c>
      <c r="M72" s="8">
        <f>SUM(B72:K72)</f>
        <v>21018</v>
      </c>
      <c r="N72" s="20"/>
      <c r="O72" s="20"/>
      <c r="P72" s="20"/>
      <c r="Q72" s="20"/>
    </row>
    <row r="73" spans="1:17" ht="15.75" thickBot="1" x14ac:dyDescent="0.3">
      <c r="A73" s="57" t="s">
        <v>118</v>
      </c>
      <c r="B73" s="58">
        <f>AVERAGE(B8:B23)*4</f>
        <v>778.25</v>
      </c>
      <c r="C73" s="58">
        <f t="shared" ref="C73:K73" si="23">AVERAGE(C8:C23)*4</f>
        <v>534.75</v>
      </c>
      <c r="D73" s="58">
        <f t="shared" si="23"/>
        <v>26</v>
      </c>
      <c r="E73" s="58">
        <f t="shared" si="23"/>
        <v>23.5</v>
      </c>
      <c r="F73" s="58">
        <f t="shared" si="23"/>
        <v>1.5</v>
      </c>
      <c r="G73" s="58">
        <f t="shared" si="23"/>
        <v>6</v>
      </c>
      <c r="H73" s="58">
        <f t="shared" si="23"/>
        <v>4</v>
      </c>
      <c r="I73" s="58">
        <f t="shared" si="23"/>
        <v>1.75</v>
      </c>
      <c r="J73" s="58">
        <f t="shared" si="23"/>
        <v>0.75</v>
      </c>
      <c r="K73" s="58">
        <f t="shared" si="23"/>
        <v>129.75</v>
      </c>
      <c r="M73" s="12">
        <f>SUM(M8:M71)</f>
        <v>21018</v>
      </c>
      <c r="N73" s="20"/>
      <c r="O73" s="20"/>
      <c r="P73" s="20"/>
      <c r="Q73" s="20"/>
    </row>
    <row r="74" spans="1:17" x14ac:dyDescent="0.25">
      <c r="A74" s="57" t="s">
        <v>119</v>
      </c>
      <c r="B74" s="58">
        <f>AVERAGE(B48:B59)*4</f>
        <v>634.66666666666663</v>
      </c>
      <c r="C74" s="58">
        <f t="shared" ref="C74:K74" si="24">AVERAGE(C48:C59)*4</f>
        <v>477.66666666666669</v>
      </c>
      <c r="D74" s="58">
        <f t="shared" si="24"/>
        <v>16.333333333333332</v>
      </c>
      <c r="E74" s="58">
        <f t="shared" si="24"/>
        <v>3</v>
      </c>
      <c r="F74" s="58">
        <f t="shared" si="24"/>
        <v>0</v>
      </c>
      <c r="G74" s="58">
        <f t="shared" si="24"/>
        <v>3.3333333333333335</v>
      </c>
      <c r="H74" s="58">
        <f t="shared" si="24"/>
        <v>5</v>
      </c>
      <c r="I74" s="58">
        <f t="shared" si="24"/>
        <v>3.6666666666666665</v>
      </c>
      <c r="J74" s="58">
        <f t="shared" si="24"/>
        <v>1.3333333333333333</v>
      </c>
      <c r="K74" s="58">
        <f t="shared" si="24"/>
        <v>212.33333333333334</v>
      </c>
    </row>
  </sheetData>
  <mergeCells count="8">
    <mergeCell ref="A6:M6"/>
    <mergeCell ref="A1:M1"/>
    <mergeCell ref="A2:M2"/>
    <mergeCell ref="A3:M3"/>
    <mergeCell ref="G4:H4"/>
    <mergeCell ref="B5:C5"/>
    <mergeCell ref="G5:H5"/>
    <mergeCell ref="B4:C4"/>
  </mergeCells>
  <pageMargins left="0.7" right="0.7" top="0.75" bottom="0.75" header="0.3" footer="0.3"/>
  <pageSetup scale="4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74"/>
  <sheetViews>
    <sheetView view="pageBreakPreview" zoomScale="90" zoomScaleSheetLayoutView="90" workbookViewId="0">
      <selection activeCell="B4" sqref="B4:C4"/>
    </sheetView>
  </sheetViews>
  <sheetFormatPr defaultColWidth="13.28515625" defaultRowHeight="15" x14ac:dyDescent="0.25"/>
  <cols>
    <col min="1" max="1" width="14.85546875" customWidth="1"/>
    <col min="2" max="2" width="11.7109375" customWidth="1"/>
    <col min="3" max="3" width="13.28515625" customWidth="1"/>
    <col min="4" max="4" width="12.7109375" customWidth="1"/>
    <col min="5" max="6" width="13.28515625" customWidth="1"/>
    <col min="7" max="7" width="11.42578125" customWidth="1"/>
    <col min="8" max="8" width="13.28515625" customWidth="1"/>
    <col min="9" max="9" width="11.42578125" customWidth="1"/>
    <col min="10" max="10" width="13.28515625" customWidth="1"/>
    <col min="11" max="11" width="12" customWidth="1"/>
    <col min="12" max="12" width="9.28515625" customWidth="1"/>
    <col min="13" max="13" width="10.7109375" customWidth="1"/>
    <col min="14" max="14" width="12.7109375" customWidth="1"/>
    <col min="15" max="15" width="6.42578125" style="22" customWidth="1"/>
  </cols>
  <sheetData>
    <row r="1" spans="1:15" ht="18.75" x14ac:dyDescent="0.3">
      <c r="A1" s="62" t="s">
        <v>120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36"/>
    </row>
    <row r="2" spans="1:15" ht="18.75" x14ac:dyDescent="0.3">
      <c r="A2" s="65" t="s">
        <v>94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7"/>
      <c r="N2" s="36"/>
    </row>
    <row r="3" spans="1:15" x14ac:dyDescent="0.25">
      <c r="A3" s="68"/>
      <c r="B3" s="69"/>
      <c r="C3" s="69"/>
      <c r="D3" s="69"/>
      <c r="E3" s="60"/>
      <c r="F3" s="69"/>
      <c r="G3" s="69"/>
      <c r="H3" s="69"/>
      <c r="I3" s="69"/>
      <c r="J3" s="60"/>
      <c r="K3" s="69"/>
      <c r="L3" s="69"/>
      <c r="M3" s="70"/>
      <c r="N3" s="34"/>
    </row>
    <row r="4" spans="1:15" x14ac:dyDescent="0.25">
      <c r="A4" s="50" t="s">
        <v>112</v>
      </c>
      <c r="B4" s="73">
        <v>43797</v>
      </c>
      <c r="C4" s="72"/>
      <c r="D4" s="15"/>
      <c r="E4" s="16"/>
      <c r="F4" s="49" t="s">
        <v>73</v>
      </c>
      <c r="G4" s="71" t="s">
        <v>109</v>
      </c>
      <c r="H4" s="71"/>
      <c r="I4" s="13"/>
      <c r="J4" s="13"/>
      <c r="K4" s="13"/>
      <c r="L4" s="13"/>
      <c r="M4" s="14"/>
      <c r="N4" s="17"/>
    </row>
    <row r="5" spans="1:15" x14ac:dyDescent="0.25">
      <c r="A5" s="50" t="s">
        <v>108</v>
      </c>
      <c r="B5" s="72" t="s">
        <v>97</v>
      </c>
      <c r="C5" s="72"/>
      <c r="D5" s="15"/>
      <c r="E5" s="16"/>
      <c r="F5" s="50" t="s">
        <v>74</v>
      </c>
      <c r="G5" s="72" t="s">
        <v>99</v>
      </c>
      <c r="H5" s="72"/>
      <c r="I5" s="15"/>
      <c r="J5" s="15"/>
      <c r="K5" s="15"/>
      <c r="L5" s="15"/>
      <c r="M5" s="16"/>
      <c r="N5" s="18"/>
    </row>
    <row r="6" spans="1:15" ht="15.75" thickBot="1" x14ac:dyDescent="0.3">
      <c r="A6" s="59"/>
      <c r="B6" s="60"/>
      <c r="C6" s="60"/>
      <c r="D6" s="60"/>
      <c r="E6" s="60"/>
      <c r="F6" s="60"/>
      <c r="G6" s="60"/>
      <c r="H6" s="60"/>
      <c r="I6" s="60"/>
      <c r="J6" s="60"/>
      <c r="K6" s="60"/>
      <c r="L6" s="60"/>
      <c r="M6" s="61"/>
      <c r="N6" s="34"/>
    </row>
    <row r="7" spans="1:15" ht="42.75" customHeight="1" thickBot="1" x14ac:dyDescent="0.3">
      <c r="A7" s="2" t="s">
        <v>0</v>
      </c>
      <c r="B7" s="3" t="s">
        <v>1</v>
      </c>
      <c r="C7" s="4" t="s">
        <v>2</v>
      </c>
      <c r="D7" s="3" t="s">
        <v>3</v>
      </c>
      <c r="E7" s="3" t="s">
        <v>4</v>
      </c>
      <c r="F7" s="4" t="s">
        <v>5</v>
      </c>
      <c r="G7" s="4" t="s">
        <v>6</v>
      </c>
      <c r="H7" s="5" t="s">
        <v>7</v>
      </c>
      <c r="I7" s="4" t="s">
        <v>8</v>
      </c>
      <c r="J7" s="6" t="s">
        <v>9</v>
      </c>
      <c r="K7" s="6" t="s">
        <v>10</v>
      </c>
      <c r="L7" s="27" t="s">
        <v>12</v>
      </c>
      <c r="M7" s="28" t="s">
        <v>11</v>
      </c>
      <c r="N7" s="19"/>
    </row>
    <row r="8" spans="1:15" ht="15.75" thickBot="1" x14ac:dyDescent="0.3">
      <c r="A8" s="9" t="s">
        <v>13</v>
      </c>
      <c r="B8" s="33">
        <v>8</v>
      </c>
      <c r="C8" s="1">
        <v>42</v>
      </c>
      <c r="D8" s="33">
        <v>3</v>
      </c>
      <c r="E8" s="33">
        <v>2</v>
      </c>
      <c r="F8" s="1">
        <v>0</v>
      </c>
      <c r="G8" s="1">
        <v>0</v>
      </c>
      <c r="H8" s="34">
        <v>1</v>
      </c>
      <c r="I8" s="1">
        <v>7</v>
      </c>
      <c r="J8" s="35">
        <v>2</v>
      </c>
      <c r="K8" s="35">
        <v>15</v>
      </c>
      <c r="L8" s="7">
        <f>SUM(B8:J8)</f>
        <v>65</v>
      </c>
      <c r="M8" s="8">
        <f t="shared" ref="M8:M66" si="0">SUM(B8:K8)</f>
        <v>80</v>
      </c>
      <c r="N8" s="21" t="s">
        <v>75</v>
      </c>
      <c r="O8" s="22">
        <f>SUM(L8:L11)</f>
        <v>247</v>
      </c>
    </row>
    <row r="9" spans="1:15" ht="15.75" thickBot="1" x14ac:dyDescent="0.3">
      <c r="A9" s="9" t="s">
        <v>14</v>
      </c>
      <c r="B9" s="33">
        <v>3</v>
      </c>
      <c r="C9" s="1">
        <v>29</v>
      </c>
      <c r="D9" s="33">
        <v>16</v>
      </c>
      <c r="E9" s="33">
        <v>0</v>
      </c>
      <c r="F9" s="1">
        <v>0</v>
      </c>
      <c r="G9" s="1">
        <v>3</v>
      </c>
      <c r="H9" s="34">
        <v>0</v>
      </c>
      <c r="I9" s="1">
        <v>0</v>
      </c>
      <c r="J9" s="35">
        <v>1</v>
      </c>
      <c r="K9" s="35">
        <v>23</v>
      </c>
      <c r="L9" s="7">
        <f t="shared" ref="L9:L71" si="1">SUM(B9:J9)</f>
        <v>52</v>
      </c>
      <c r="M9" s="8">
        <f t="shared" si="0"/>
        <v>75</v>
      </c>
      <c r="N9" s="21" t="s">
        <v>76</v>
      </c>
      <c r="O9" s="22">
        <f>SUM(L12:L15)</f>
        <v>243</v>
      </c>
    </row>
    <row r="10" spans="1:15" ht="15.75" thickBot="1" x14ac:dyDescent="0.3">
      <c r="A10" s="9" t="s">
        <v>15</v>
      </c>
      <c r="B10" s="33">
        <v>11</v>
      </c>
      <c r="C10" s="1">
        <v>26</v>
      </c>
      <c r="D10" s="33">
        <v>8</v>
      </c>
      <c r="E10" s="33">
        <v>0</v>
      </c>
      <c r="F10" s="1">
        <v>0</v>
      </c>
      <c r="G10" s="1">
        <v>1</v>
      </c>
      <c r="H10" s="34">
        <v>0</v>
      </c>
      <c r="I10" s="1">
        <v>0</v>
      </c>
      <c r="J10" s="35">
        <v>3</v>
      </c>
      <c r="K10" s="35">
        <v>11</v>
      </c>
      <c r="L10" s="7">
        <f t="shared" si="1"/>
        <v>49</v>
      </c>
      <c r="M10" s="8">
        <f t="shared" si="0"/>
        <v>60</v>
      </c>
      <c r="N10" s="21" t="s">
        <v>77</v>
      </c>
      <c r="O10" s="22">
        <f>SUM(L16:L19)</f>
        <v>286</v>
      </c>
    </row>
    <row r="11" spans="1:15" ht="15.75" thickBot="1" x14ac:dyDescent="0.3">
      <c r="A11" s="9" t="s">
        <v>16</v>
      </c>
      <c r="B11" s="33">
        <v>23</v>
      </c>
      <c r="C11" s="1">
        <v>48</v>
      </c>
      <c r="D11" s="33">
        <v>9</v>
      </c>
      <c r="E11" s="33">
        <v>0</v>
      </c>
      <c r="F11" s="1">
        <v>0</v>
      </c>
      <c r="G11" s="1">
        <v>0</v>
      </c>
      <c r="H11" s="34">
        <v>0</v>
      </c>
      <c r="I11" s="1">
        <v>0</v>
      </c>
      <c r="J11" s="35">
        <v>1</v>
      </c>
      <c r="K11" s="35">
        <v>17</v>
      </c>
      <c r="L11" s="7">
        <f t="shared" si="1"/>
        <v>81</v>
      </c>
      <c r="M11" s="8">
        <f t="shared" si="0"/>
        <v>98</v>
      </c>
      <c r="N11" s="21" t="s">
        <v>78</v>
      </c>
      <c r="O11" s="22">
        <f>SUM(L20:L23)</f>
        <v>361</v>
      </c>
    </row>
    <row r="12" spans="1:15" ht="15.75" thickBot="1" x14ac:dyDescent="0.3">
      <c r="A12" s="9" t="s">
        <v>17</v>
      </c>
      <c r="B12" s="33">
        <v>2</v>
      </c>
      <c r="C12" s="1">
        <v>4</v>
      </c>
      <c r="D12" s="33">
        <v>0</v>
      </c>
      <c r="E12" s="33">
        <v>0</v>
      </c>
      <c r="F12" s="1">
        <v>0</v>
      </c>
      <c r="G12" s="1">
        <v>1</v>
      </c>
      <c r="H12" s="34">
        <v>0</v>
      </c>
      <c r="I12" s="1">
        <v>0</v>
      </c>
      <c r="J12" s="35">
        <v>1</v>
      </c>
      <c r="K12" s="35">
        <v>32</v>
      </c>
      <c r="L12" s="7">
        <f t="shared" si="1"/>
        <v>8</v>
      </c>
      <c r="M12" s="8">
        <f t="shared" si="0"/>
        <v>40</v>
      </c>
      <c r="N12" s="21" t="s">
        <v>79</v>
      </c>
      <c r="O12" s="22">
        <f>SUM(L24:L27)</f>
        <v>368</v>
      </c>
    </row>
    <row r="13" spans="1:15" ht="15.75" thickBot="1" x14ac:dyDescent="0.3">
      <c r="A13" s="9" t="s">
        <v>18</v>
      </c>
      <c r="B13" s="33">
        <v>15</v>
      </c>
      <c r="C13" s="1">
        <v>24</v>
      </c>
      <c r="D13" s="33">
        <v>12</v>
      </c>
      <c r="E13" s="33">
        <v>0</v>
      </c>
      <c r="F13" s="1">
        <v>0</v>
      </c>
      <c r="G13" s="1">
        <v>1</v>
      </c>
      <c r="H13" s="34">
        <v>3</v>
      </c>
      <c r="I13" s="1">
        <v>2</v>
      </c>
      <c r="J13" s="35">
        <v>0</v>
      </c>
      <c r="K13" s="35">
        <v>30</v>
      </c>
      <c r="L13" s="7">
        <f t="shared" si="1"/>
        <v>57</v>
      </c>
      <c r="M13" s="8">
        <f t="shared" si="0"/>
        <v>87</v>
      </c>
      <c r="N13" s="21" t="s">
        <v>80</v>
      </c>
      <c r="O13" s="22">
        <f>SUM(L28:L31)</f>
        <v>359</v>
      </c>
    </row>
    <row r="14" spans="1:15" ht="15.75" thickBot="1" x14ac:dyDescent="0.3">
      <c r="A14" s="9" t="s">
        <v>19</v>
      </c>
      <c r="B14" s="33">
        <v>25</v>
      </c>
      <c r="C14" s="1">
        <v>39</v>
      </c>
      <c r="D14" s="33">
        <v>5</v>
      </c>
      <c r="E14" s="33">
        <v>0</v>
      </c>
      <c r="F14" s="1">
        <v>0</v>
      </c>
      <c r="G14" s="1">
        <v>0</v>
      </c>
      <c r="H14" s="34">
        <v>0</v>
      </c>
      <c r="I14" s="1">
        <v>1</v>
      </c>
      <c r="J14" s="35">
        <v>0</v>
      </c>
      <c r="K14" s="35">
        <v>37</v>
      </c>
      <c r="L14" s="7">
        <f t="shared" si="1"/>
        <v>70</v>
      </c>
      <c r="M14" s="8">
        <f t="shared" si="0"/>
        <v>107</v>
      </c>
      <c r="N14" s="21" t="s">
        <v>81</v>
      </c>
      <c r="O14" s="22">
        <f>SUM(L32:L35)</f>
        <v>430</v>
      </c>
    </row>
    <row r="15" spans="1:15" ht="15.75" thickBot="1" x14ac:dyDescent="0.3">
      <c r="A15" s="9" t="s">
        <v>20</v>
      </c>
      <c r="B15" s="33">
        <v>39</v>
      </c>
      <c r="C15" s="1">
        <v>53</v>
      </c>
      <c r="D15" s="33">
        <v>9</v>
      </c>
      <c r="E15" s="33">
        <v>2</v>
      </c>
      <c r="F15" s="1">
        <v>1</v>
      </c>
      <c r="G15" s="1">
        <v>0</v>
      </c>
      <c r="H15" s="34">
        <v>1</v>
      </c>
      <c r="I15" s="1">
        <v>0</v>
      </c>
      <c r="J15" s="35">
        <v>3</v>
      </c>
      <c r="K15" s="35">
        <v>68</v>
      </c>
      <c r="L15" s="7">
        <f t="shared" si="1"/>
        <v>108</v>
      </c>
      <c r="M15" s="8">
        <f t="shared" si="0"/>
        <v>176</v>
      </c>
      <c r="N15" s="21" t="s">
        <v>82</v>
      </c>
      <c r="O15" s="22">
        <f>SUM(L36:L39)</f>
        <v>375</v>
      </c>
    </row>
    <row r="16" spans="1:15" ht="15.75" thickBot="1" x14ac:dyDescent="0.3">
      <c r="A16" s="9" t="s">
        <v>21</v>
      </c>
      <c r="B16" s="33">
        <v>10</v>
      </c>
      <c r="C16" s="1">
        <v>21</v>
      </c>
      <c r="D16" s="33">
        <v>16</v>
      </c>
      <c r="E16" s="33">
        <v>0</v>
      </c>
      <c r="F16" s="1">
        <v>0</v>
      </c>
      <c r="G16" s="1">
        <v>0</v>
      </c>
      <c r="H16" s="34">
        <v>2</v>
      </c>
      <c r="I16" s="1">
        <v>0</v>
      </c>
      <c r="J16" s="35">
        <v>1</v>
      </c>
      <c r="K16" s="35">
        <v>91</v>
      </c>
      <c r="L16" s="7">
        <f t="shared" si="1"/>
        <v>50</v>
      </c>
      <c r="M16" s="8">
        <f t="shared" si="0"/>
        <v>141</v>
      </c>
      <c r="N16" s="21" t="s">
        <v>83</v>
      </c>
      <c r="O16" s="22">
        <f>SUM(L40:L43)</f>
        <v>449</v>
      </c>
    </row>
    <row r="17" spans="1:15" ht="15.75" thickBot="1" x14ac:dyDescent="0.3">
      <c r="A17" s="9" t="s">
        <v>22</v>
      </c>
      <c r="B17" s="33">
        <v>23</v>
      </c>
      <c r="C17" s="1">
        <v>39</v>
      </c>
      <c r="D17" s="33">
        <v>12</v>
      </c>
      <c r="E17" s="33">
        <v>0</v>
      </c>
      <c r="F17" s="1">
        <v>2</v>
      </c>
      <c r="G17" s="1">
        <v>0</v>
      </c>
      <c r="H17" s="34">
        <v>2</v>
      </c>
      <c r="I17" s="1">
        <v>1</v>
      </c>
      <c r="J17" s="35">
        <v>2</v>
      </c>
      <c r="K17" s="35">
        <v>47</v>
      </c>
      <c r="L17" s="7">
        <f t="shared" si="1"/>
        <v>81</v>
      </c>
      <c r="M17" s="8">
        <f t="shared" si="0"/>
        <v>128</v>
      </c>
      <c r="N17" s="21" t="s">
        <v>84</v>
      </c>
      <c r="O17" s="22">
        <f>SUM(L44:L47)</f>
        <v>621</v>
      </c>
    </row>
    <row r="18" spans="1:15" ht="15.75" thickBot="1" x14ac:dyDescent="0.3">
      <c r="A18" s="9" t="s">
        <v>23</v>
      </c>
      <c r="B18" s="33">
        <v>17</v>
      </c>
      <c r="C18" s="1">
        <v>45</v>
      </c>
      <c r="D18" s="33">
        <v>8</v>
      </c>
      <c r="E18" s="33">
        <v>0</v>
      </c>
      <c r="F18" s="1">
        <v>0</v>
      </c>
      <c r="G18" s="1">
        <v>1</v>
      </c>
      <c r="H18" s="34">
        <v>4</v>
      </c>
      <c r="I18" s="1">
        <v>0</v>
      </c>
      <c r="J18" s="35">
        <v>2</v>
      </c>
      <c r="K18" s="35">
        <v>138</v>
      </c>
      <c r="L18" s="7">
        <f t="shared" si="1"/>
        <v>77</v>
      </c>
      <c r="M18" s="8">
        <f t="shared" si="0"/>
        <v>215</v>
      </c>
      <c r="N18" s="21" t="s">
        <v>85</v>
      </c>
      <c r="O18" s="22">
        <f>SUM(L48:L51)</f>
        <v>708</v>
      </c>
    </row>
    <row r="19" spans="1:15" ht="15.75" thickBot="1" x14ac:dyDescent="0.3">
      <c r="A19" s="9" t="s">
        <v>24</v>
      </c>
      <c r="B19" s="33">
        <v>27</v>
      </c>
      <c r="C19" s="1">
        <v>25</v>
      </c>
      <c r="D19" s="33">
        <v>12</v>
      </c>
      <c r="E19" s="33">
        <v>1</v>
      </c>
      <c r="F19" s="1">
        <v>0</v>
      </c>
      <c r="G19" s="1">
        <v>4</v>
      </c>
      <c r="H19" s="34">
        <v>4</v>
      </c>
      <c r="I19" s="1">
        <v>1</v>
      </c>
      <c r="J19" s="35">
        <v>4</v>
      </c>
      <c r="K19" s="35">
        <v>99</v>
      </c>
      <c r="L19" s="7">
        <f t="shared" si="1"/>
        <v>78</v>
      </c>
      <c r="M19" s="8">
        <f t="shared" si="0"/>
        <v>177</v>
      </c>
      <c r="N19" s="21" t="s">
        <v>86</v>
      </c>
      <c r="O19" s="22">
        <f>SUM(L52:L55)</f>
        <v>1130</v>
      </c>
    </row>
    <row r="20" spans="1:15" ht="15.75" thickBot="1" x14ac:dyDescent="0.3">
      <c r="A20" s="9" t="s">
        <v>25</v>
      </c>
      <c r="B20" s="33">
        <v>24</v>
      </c>
      <c r="C20" s="1">
        <v>42</v>
      </c>
      <c r="D20" s="33">
        <v>13</v>
      </c>
      <c r="E20" s="33">
        <v>1</v>
      </c>
      <c r="F20" s="1">
        <v>0</v>
      </c>
      <c r="G20" s="1">
        <v>0</v>
      </c>
      <c r="H20" s="34">
        <v>0</v>
      </c>
      <c r="I20" s="1">
        <v>0</v>
      </c>
      <c r="J20" s="35">
        <v>4</v>
      </c>
      <c r="K20" s="35">
        <v>98</v>
      </c>
      <c r="L20" s="7">
        <f t="shared" si="1"/>
        <v>84</v>
      </c>
      <c r="M20" s="8">
        <f t="shared" si="0"/>
        <v>182</v>
      </c>
      <c r="N20" s="21" t="s">
        <v>87</v>
      </c>
      <c r="O20" s="22">
        <f>SUM(L56:L59)</f>
        <v>1109</v>
      </c>
    </row>
    <row r="21" spans="1:15" ht="15.75" thickBot="1" x14ac:dyDescent="0.3">
      <c r="A21" s="9" t="s">
        <v>26</v>
      </c>
      <c r="B21" s="33">
        <v>18</v>
      </c>
      <c r="C21" s="1">
        <v>41</v>
      </c>
      <c r="D21" s="33">
        <v>46</v>
      </c>
      <c r="E21" s="33">
        <v>0</v>
      </c>
      <c r="F21" s="1">
        <v>0</v>
      </c>
      <c r="G21" s="1">
        <v>2</v>
      </c>
      <c r="H21" s="34">
        <v>0</v>
      </c>
      <c r="I21" s="1">
        <v>0</v>
      </c>
      <c r="J21" s="35">
        <v>3</v>
      </c>
      <c r="K21" s="35">
        <v>86</v>
      </c>
      <c r="L21" s="7">
        <f t="shared" si="1"/>
        <v>110</v>
      </c>
      <c r="M21" s="8">
        <f t="shared" si="0"/>
        <v>196</v>
      </c>
      <c r="N21" s="21" t="s">
        <v>88</v>
      </c>
      <c r="O21" s="22">
        <f>SUM(L60:L63)</f>
        <v>1071</v>
      </c>
    </row>
    <row r="22" spans="1:15" ht="15.75" thickBot="1" x14ac:dyDescent="0.3">
      <c r="A22" s="9" t="s">
        <v>27</v>
      </c>
      <c r="B22" s="33">
        <v>13</v>
      </c>
      <c r="C22" s="1">
        <v>15</v>
      </c>
      <c r="D22" s="33">
        <v>19</v>
      </c>
      <c r="E22" s="33">
        <v>0</v>
      </c>
      <c r="F22" s="1">
        <v>0</v>
      </c>
      <c r="G22" s="1">
        <v>0</v>
      </c>
      <c r="H22" s="34">
        <v>0</v>
      </c>
      <c r="I22" s="1">
        <v>0</v>
      </c>
      <c r="J22" s="35">
        <v>2</v>
      </c>
      <c r="K22" s="35">
        <v>89</v>
      </c>
      <c r="L22" s="7">
        <f t="shared" si="1"/>
        <v>49</v>
      </c>
      <c r="M22" s="8">
        <f t="shared" si="0"/>
        <v>138</v>
      </c>
      <c r="N22" s="21" t="s">
        <v>89</v>
      </c>
      <c r="O22" s="22">
        <f>SUM(L64:L67)</f>
        <v>491</v>
      </c>
    </row>
    <row r="23" spans="1:15" ht="15.75" thickBot="1" x14ac:dyDescent="0.3">
      <c r="A23" s="9" t="s">
        <v>28</v>
      </c>
      <c r="B23" s="33">
        <v>32</v>
      </c>
      <c r="C23" s="1">
        <v>59</v>
      </c>
      <c r="D23" s="33">
        <v>15</v>
      </c>
      <c r="E23" s="33">
        <v>0</v>
      </c>
      <c r="F23" s="1">
        <v>0</v>
      </c>
      <c r="G23" s="1">
        <v>0</v>
      </c>
      <c r="H23" s="34">
        <v>2</v>
      </c>
      <c r="I23" s="1">
        <v>2</v>
      </c>
      <c r="J23" s="35">
        <v>8</v>
      </c>
      <c r="K23" s="35">
        <v>90</v>
      </c>
      <c r="L23" s="7">
        <f t="shared" si="1"/>
        <v>118</v>
      </c>
      <c r="M23" s="8">
        <f t="shared" si="0"/>
        <v>208</v>
      </c>
      <c r="N23" s="20"/>
    </row>
    <row r="24" spans="1:15" ht="15.75" thickBot="1" x14ac:dyDescent="0.3">
      <c r="A24" s="9" t="s">
        <v>29</v>
      </c>
      <c r="B24" s="33">
        <v>20</v>
      </c>
      <c r="C24" s="1">
        <v>28</v>
      </c>
      <c r="D24" s="33">
        <v>3</v>
      </c>
      <c r="E24" s="33">
        <v>2</v>
      </c>
      <c r="F24" s="1">
        <v>0</v>
      </c>
      <c r="G24" s="1">
        <v>1</v>
      </c>
      <c r="H24" s="34">
        <v>2</v>
      </c>
      <c r="I24" s="1">
        <v>0</v>
      </c>
      <c r="J24" s="35">
        <v>5</v>
      </c>
      <c r="K24" s="35">
        <v>115</v>
      </c>
      <c r="L24" s="7">
        <f t="shared" si="1"/>
        <v>61</v>
      </c>
      <c r="M24" s="8">
        <f t="shared" si="0"/>
        <v>176</v>
      </c>
      <c r="N24" s="20" t="s">
        <v>118</v>
      </c>
      <c r="O24" s="22">
        <f>AVERAGE(O9:O11)</f>
        <v>296.66666666666669</v>
      </c>
    </row>
    <row r="25" spans="1:15" ht="15.75" thickBot="1" x14ac:dyDescent="0.3">
      <c r="A25" s="9" t="s">
        <v>30</v>
      </c>
      <c r="B25" s="33">
        <v>27</v>
      </c>
      <c r="C25" s="1">
        <v>44</v>
      </c>
      <c r="D25" s="33">
        <v>12</v>
      </c>
      <c r="E25" s="33">
        <v>1</v>
      </c>
      <c r="F25" s="1">
        <v>0</v>
      </c>
      <c r="G25" s="1">
        <v>1</v>
      </c>
      <c r="H25" s="34">
        <v>2</v>
      </c>
      <c r="I25" s="1">
        <v>0</v>
      </c>
      <c r="J25" s="35">
        <v>5</v>
      </c>
      <c r="K25" s="35">
        <v>108</v>
      </c>
      <c r="L25" s="7">
        <f t="shared" si="1"/>
        <v>92</v>
      </c>
      <c r="M25" s="8">
        <f t="shared" si="0"/>
        <v>200</v>
      </c>
      <c r="N25" s="20" t="s">
        <v>119</v>
      </c>
      <c r="O25" s="22">
        <f>AVERAGE(O18:O20)</f>
        <v>982.33333333333337</v>
      </c>
    </row>
    <row r="26" spans="1:15" ht="15.75" thickBot="1" x14ac:dyDescent="0.3">
      <c r="A26" s="9" t="s">
        <v>31</v>
      </c>
      <c r="B26" s="33">
        <v>31</v>
      </c>
      <c r="C26" s="1">
        <v>58</v>
      </c>
      <c r="D26" s="33">
        <v>4</v>
      </c>
      <c r="E26" s="33">
        <v>0</v>
      </c>
      <c r="F26" s="1">
        <v>0</v>
      </c>
      <c r="G26" s="1">
        <v>0</v>
      </c>
      <c r="H26" s="34">
        <v>0</v>
      </c>
      <c r="I26" s="1">
        <v>4</v>
      </c>
      <c r="J26" s="35">
        <v>0</v>
      </c>
      <c r="K26" s="35">
        <v>99</v>
      </c>
      <c r="L26" s="7">
        <f t="shared" si="1"/>
        <v>97</v>
      </c>
      <c r="M26" s="8">
        <f t="shared" si="0"/>
        <v>196</v>
      </c>
      <c r="N26" s="20"/>
    </row>
    <row r="27" spans="1:15" ht="15.75" thickBot="1" x14ac:dyDescent="0.3">
      <c r="A27" s="9" t="s">
        <v>32</v>
      </c>
      <c r="B27" s="33">
        <v>29</v>
      </c>
      <c r="C27" s="1">
        <v>76</v>
      </c>
      <c r="D27" s="33">
        <v>4</v>
      </c>
      <c r="E27" s="33">
        <v>0</v>
      </c>
      <c r="F27" s="1">
        <v>0</v>
      </c>
      <c r="G27" s="1">
        <v>4</v>
      </c>
      <c r="H27" s="34">
        <v>0</v>
      </c>
      <c r="I27" s="1">
        <v>2</v>
      </c>
      <c r="J27" s="35">
        <v>3</v>
      </c>
      <c r="K27" s="35">
        <v>56</v>
      </c>
      <c r="L27" s="7">
        <f t="shared" si="1"/>
        <v>118</v>
      </c>
      <c r="M27" s="8">
        <f t="shared" si="0"/>
        <v>174</v>
      </c>
      <c r="N27" s="20"/>
    </row>
    <row r="28" spans="1:15" ht="15.75" thickBot="1" x14ac:dyDescent="0.3">
      <c r="A28" s="9" t="s">
        <v>33</v>
      </c>
      <c r="B28" s="33">
        <v>21</v>
      </c>
      <c r="C28" s="1">
        <v>34</v>
      </c>
      <c r="D28" s="33">
        <v>7</v>
      </c>
      <c r="E28" s="33">
        <v>1</v>
      </c>
      <c r="F28" s="1">
        <v>0</v>
      </c>
      <c r="G28" s="1">
        <v>0</v>
      </c>
      <c r="H28" s="34">
        <v>1</v>
      </c>
      <c r="I28" s="1">
        <v>5</v>
      </c>
      <c r="J28" s="35">
        <v>2</v>
      </c>
      <c r="K28" s="35">
        <v>65</v>
      </c>
      <c r="L28" s="7">
        <f t="shared" si="1"/>
        <v>71</v>
      </c>
      <c r="M28" s="8">
        <f t="shared" si="0"/>
        <v>136</v>
      </c>
      <c r="N28" s="20"/>
    </row>
    <row r="29" spans="1:15" ht="15.75" thickBot="1" x14ac:dyDescent="0.3">
      <c r="A29" s="9" t="s">
        <v>34</v>
      </c>
      <c r="B29" s="33">
        <v>25</v>
      </c>
      <c r="C29" s="1">
        <v>42</v>
      </c>
      <c r="D29" s="33">
        <v>13</v>
      </c>
      <c r="E29" s="33">
        <v>0</v>
      </c>
      <c r="F29" s="1">
        <v>0</v>
      </c>
      <c r="G29" s="1">
        <v>2</v>
      </c>
      <c r="H29" s="34">
        <v>0</v>
      </c>
      <c r="I29" s="1">
        <v>5</v>
      </c>
      <c r="J29" s="35">
        <v>6</v>
      </c>
      <c r="K29" s="35">
        <v>99</v>
      </c>
      <c r="L29" s="7">
        <f t="shared" si="1"/>
        <v>93</v>
      </c>
      <c r="M29" s="8">
        <f t="shared" si="0"/>
        <v>192</v>
      </c>
      <c r="N29" s="20"/>
    </row>
    <row r="30" spans="1:15" ht="15.75" thickBot="1" x14ac:dyDescent="0.3">
      <c r="A30" s="9" t="s">
        <v>35</v>
      </c>
      <c r="B30" s="33">
        <v>30</v>
      </c>
      <c r="C30" s="1">
        <v>34</v>
      </c>
      <c r="D30" s="33">
        <v>10</v>
      </c>
      <c r="E30" s="33">
        <v>2</v>
      </c>
      <c r="F30" s="1">
        <v>1</v>
      </c>
      <c r="G30" s="1">
        <v>1</v>
      </c>
      <c r="H30" s="34">
        <v>0</v>
      </c>
      <c r="I30" s="1">
        <v>4</v>
      </c>
      <c r="J30" s="35">
        <v>2</v>
      </c>
      <c r="K30" s="35">
        <v>56</v>
      </c>
      <c r="L30" s="7">
        <f t="shared" si="1"/>
        <v>84</v>
      </c>
      <c r="M30" s="8">
        <f t="shared" si="0"/>
        <v>140</v>
      </c>
      <c r="N30" s="20"/>
    </row>
    <row r="31" spans="1:15" ht="15.75" thickBot="1" x14ac:dyDescent="0.3">
      <c r="A31" s="9" t="s">
        <v>36</v>
      </c>
      <c r="B31" s="33">
        <v>31</v>
      </c>
      <c r="C31" s="1">
        <v>48</v>
      </c>
      <c r="D31" s="33">
        <v>13</v>
      </c>
      <c r="E31" s="33">
        <v>0</v>
      </c>
      <c r="F31" s="1">
        <v>1</v>
      </c>
      <c r="G31" s="1">
        <v>14</v>
      </c>
      <c r="H31" s="34">
        <v>1</v>
      </c>
      <c r="I31" s="1">
        <v>0</v>
      </c>
      <c r="J31" s="35">
        <v>3</v>
      </c>
      <c r="K31" s="35">
        <v>78</v>
      </c>
      <c r="L31" s="7">
        <f t="shared" si="1"/>
        <v>111</v>
      </c>
      <c r="M31" s="8">
        <f t="shared" si="0"/>
        <v>189</v>
      </c>
      <c r="N31" s="20"/>
    </row>
    <row r="32" spans="1:15" ht="15.75" thickBot="1" x14ac:dyDescent="0.3">
      <c r="A32" s="9" t="s">
        <v>37</v>
      </c>
      <c r="B32" s="33">
        <v>39</v>
      </c>
      <c r="C32" s="1">
        <v>60</v>
      </c>
      <c r="D32" s="33">
        <v>5</v>
      </c>
      <c r="E32" s="33">
        <v>0</v>
      </c>
      <c r="F32" s="1">
        <v>0</v>
      </c>
      <c r="G32" s="1">
        <v>0</v>
      </c>
      <c r="H32" s="34">
        <v>0</v>
      </c>
      <c r="I32" s="1">
        <v>0</v>
      </c>
      <c r="J32" s="35">
        <v>18</v>
      </c>
      <c r="K32" s="35">
        <v>65</v>
      </c>
      <c r="L32" s="7">
        <f t="shared" si="1"/>
        <v>122</v>
      </c>
      <c r="M32" s="8">
        <f t="shared" si="0"/>
        <v>187</v>
      </c>
      <c r="N32" s="20"/>
    </row>
    <row r="33" spans="1:14" ht="15.75" thickBot="1" x14ac:dyDescent="0.3">
      <c r="A33" s="9" t="s">
        <v>38</v>
      </c>
      <c r="B33" s="33">
        <v>13</v>
      </c>
      <c r="C33" s="1">
        <v>29</v>
      </c>
      <c r="D33" s="33">
        <v>12</v>
      </c>
      <c r="E33" s="33">
        <v>0</v>
      </c>
      <c r="F33" s="1">
        <v>0</v>
      </c>
      <c r="G33" s="1">
        <v>0</v>
      </c>
      <c r="H33" s="34">
        <v>1</v>
      </c>
      <c r="I33" s="1">
        <v>2</v>
      </c>
      <c r="J33" s="35">
        <v>13</v>
      </c>
      <c r="K33" s="35">
        <v>87</v>
      </c>
      <c r="L33" s="7">
        <f t="shared" si="1"/>
        <v>70</v>
      </c>
      <c r="M33" s="8">
        <f t="shared" si="0"/>
        <v>157</v>
      </c>
      <c r="N33" s="20"/>
    </row>
    <row r="34" spans="1:14" ht="15.75" thickBot="1" x14ac:dyDescent="0.3">
      <c r="A34" s="9" t="s">
        <v>39</v>
      </c>
      <c r="B34" s="33">
        <v>18</v>
      </c>
      <c r="C34" s="1">
        <v>32</v>
      </c>
      <c r="D34" s="33">
        <v>30</v>
      </c>
      <c r="E34" s="33">
        <v>0</v>
      </c>
      <c r="F34" s="1">
        <v>0</v>
      </c>
      <c r="G34" s="1">
        <v>4</v>
      </c>
      <c r="H34" s="34">
        <v>1</v>
      </c>
      <c r="I34" s="1">
        <v>0</v>
      </c>
      <c r="J34" s="35">
        <v>2</v>
      </c>
      <c r="K34" s="35">
        <v>78</v>
      </c>
      <c r="L34" s="7">
        <f t="shared" si="1"/>
        <v>87</v>
      </c>
      <c r="M34" s="8">
        <f t="shared" si="0"/>
        <v>165</v>
      </c>
      <c r="N34" s="20"/>
    </row>
    <row r="35" spans="1:14" ht="15.75" thickBot="1" x14ac:dyDescent="0.3">
      <c r="A35" s="9" t="s">
        <v>40</v>
      </c>
      <c r="B35" s="33">
        <v>29</v>
      </c>
      <c r="C35" s="1">
        <v>48</v>
      </c>
      <c r="D35" s="33">
        <v>37</v>
      </c>
      <c r="E35" s="33">
        <v>0</v>
      </c>
      <c r="F35" s="1">
        <v>0</v>
      </c>
      <c r="G35" s="1">
        <v>6</v>
      </c>
      <c r="H35" s="34">
        <v>2</v>
      </c>
      <c r="I35" s="1">
        <v>11</v>
      </c>
      <c r="J35" s="35">
        <v>18</v>
      </c>
      <c r="K35" s="35">
        <v>77</v>
      </c>
      <c r="L35" s="7">
        <f t="shared" si="1"/>
        <v>151</v>
      </c>
      <c r="M35" s="8">
        <f t="shared" si="0"/>
        <v>228</v>
      </c>
      <c r="N35" s="20"/>
    </row>
    <row r="36" spans="1:14" ht="15.75" thickBot="1" x14ac:dyDescent="0.3">
      <c r="A36" s="9" t="s">
        <v>41</v>
      </c>
      <c r="B36" s="33">
        <v>18</v>
      </c>
      <c r="C36" s="1">
        <v>44</v>
      </c>
      <c r="D36" s="33">
        <v>13</v>
      </c>
      <c r="E36" s="33">
        <v>0</v>
      </c>
      <c r="F36" s="1">
        <v>1</v>
      </c>
      <c r="G36" s="1">
        <v>6</v>
      </c>
      <c r="H36" s="34">
        <v>0</v>
      </c>
      <c r="I36" s="1">
        <v>6</v>
      </c>
      <c r="J36" s="35">
        <v>11</v>
      </c>
      <c r="K36" s="35">
        <v>70</v>
      </c>
      <c r="L36" s="7">
        <f t="shared" si="1"/>
        <v>99</v>
      </c>
      <c r="M36" s="8">
        <f t="shared" si="0"/>
        <v>169</v>
      </c>
      <c r="N36" s="20"/>
    </row>
    <row r="37" spans="1:14" ht="15.75" thickBot="1" x14ac:dyDescent="0.3">
      <c r="A37" s="9" t="s">
        <v>42</v>
      </c>
      <c r="B37" s="33">
        <v>11</v>
      </c>
      <c r="C37" s="1">
        <v>22</v>
      </c>
      <c r="D37" s="33">
        <v>15</v>
      </c>
      <c r="E37" s="33">
        <v>0</v>
      </c>
      <c r="F37" s="1">
        <v>0</v>
      </c>
      <c r="G37" s="1">
        <v>17</v>
      </c>
      <c r="H37" s="34">
        <v>0</v>
      </c>
      <c r="I37" s="1">
        <v>7</v>
      </c>
      <c r="J37" s="35">
        <v>16</v>
      </c>
      <c r="K37" s="35">
        <v>60</v>
      </c>
      <c r="L37" s="7">
        <f t="shared" si="1"/>
        <v>88</v>
      </c>
      <c r="M37" s="8">
        <f t="shared" si="0"/>
        <v>148</v>
      </c>
      <c r="N37" s="20"/>
    </row>
    <row r="38" spans="1:14" ht="15.75" thickBot="1" x14ac:dyDescent="0.3">
      <c r="A38" s="9" t="s">
        <v>43</v>
      </c>
      <c r="B38" s="33">
        <v>15</v>
      </c>
      <c r="C38" s="1">
        <v>32</v>
      </c>
      <c r="D38" s="33">
        <v>12</v>
      </c>
      <c r="E38" s="33">
        <v>0</v>
      </c>
      <c r="F38" s="1">
        <v>1</v>
      </c>
      <c r="G38" s="1">
        <v>10</v>
      </c>
      <c r="H38" s="34">
        <v>0</v>
      </c>
      <c r="I38" s="1">
        <v>5</v>
      </c>
      <c r="J38" s="35">
        <v>17</v>
      </c>
      <c r="K38" s="35">
        <v>40</v>
      </c>
      <c r="L38" s="7">
        <f t="shared" si="1"/>
        <v>92</v>
      </c>
      <c r="M38" s="8">
        <f t="shared" si="0"/>
        <v>132</v>
      </c>
      <c r="N38" s="20"/>
    </row>
    <row r="39" spans="1:14" ht="15.75" thickBot="1" x14ac:dyDescent="0.3">
      <c r="A39" s="9" t="s">
        <v>44</v>
      </c>
      <c r="B39" s="33">
        <v>21</v>
      </c>
      <c r="C39" s="1">
        <v>34</v>
      </c>
      <c r="D39" s="33">
        <v>16</v>
      </c>
      <c r="E39" s="33">
        <v>2</v>
      </c>
      <c r="F39" s="1">
        <v>0</v>
      </c>
      <c r="G39" s="1">
        <v>17</v>
      </c>
      <c r="H39" s="34">
        <v>3</v>
      </c>
      <c r="I39" s="1">
        <v>0</v>
      </c>
      <c r="J39" s="35">
        <v>3</v>
      </c>
      <c r="K39" s="35">
        <v>48</v>
      </c>
      <c r="L39" s="7">
        <f t="shared" si="1"/>
        <v>96</v>
      </c>
      <c r="M39" s="8">
        <f t="shared" si="0"/>
        <v>144</v>
      </c>
      <c r="N39" s="20"/>
    </row>
    <row r="40" spans="1:14" ht="15.75" thickBot="1" x14ac:dyDescent="0.3">
      <c r="A40" s="9" t="s">
        <v>45</v>
      </c>
      <c r="B40" s="33">
        <v>36</v>
      </c>
      <c r="C40" s="1">
        <v>57</v>
      </c>
      <c r="D40" s="33">
        <v>11</v>
      </c>
      <c r="E40" s="33">
        <v>0</v>
      </c>
      <c r="F40" s="1">
        <v>0</v>
      </c>
      <c r="G40" s="1">
        <v>0</v>
      </c>
      <c r="H40" s="34">
        <v>7</v>
      </c>
      <c r="I40" s="1">
        <v>0</v>
      </c>
      <c r="J40" s="35">
        <v>7</v>
      </c>
      <c r="K40" s="35">
        <v>63</v>
      </c>
      <c r="L40" s="7">
        <f t="shared" si="1"/>
        <v>118</v>
      </c>
      <c r="M40" s="8">
        <f t="shared" si="0"/>
        <v>181</v>
      </c>
      <c r="N40" s="20"/>
    </row>
    <row r="41" spans="1:14" ht="15.75" thickBot="1" x14ac:dyDescent="0.3">
      <c r="A41" s="9" t="s">
        <v>46</v>
      </c>
      <c r="B41" s="33">
        <v>19</v>
      </c>
      <c r="C41" s="1">
        <v>38</v>
      </c>
      <c r="D41" s="33">
        <v>25</v>
      </c>
      <c r="E41" s="33">
        <v>0</v>
      </c>
      <c r="F41" s="1">
        <v>0</v>
      </c>
      <c r="G41" s="1">
        <v>15</v>
      </c>
      <c r="H41" s="34">
        <v>7</v>
      </c>
      <c r="I41" s="1">
        <v>6</v>
      </c>
      <c r="J41" s="35">
        <v>15</v>
      </c>
      <c r="K41" s="35">
        <v>90</v>
      </c>
      <c r="L41" s="7">
        <f t="shared" si="1"/>
        <v>125</v>
      </c>
      <c r="M41" s="8">
        <f t="shared" si="0"/>
        <v>215</v>
      </c>
      <c r="N41" s="20"/>
    </row>
    <row r="42" spans="1:14" ht="15.75" thickBot="1" x14ac:dyDescent="0.3">
      <c r="A42" s="9" t="s">
        <v>47</v>
      </c>
      <c r="B42" s="33">
        <v>21</v>
      </c>
      <c r="C42" s="1">
        <v>41</v>
      </c>
      <c r="D42" s="33">
        <v>15</v>
      </c>
      <c r="E42" s="33">
        <v>2</v>
      </c>
      <c r="F42" s="1">
        <v>0</v>
      </c>
      <c r="G42" s="1">
        <v>11</v>
      </c>
      <c r="H42" s="34">
        <v>1</v>
      </c>
      <c r="I42" s="1">
        <v>1</v>
      </c>
      <c r="J42" s="35">
        <v>8</v>
      </c>
      <c r="K42" s="35">
        <v>20</v>
      </c>
      <c r="L42" s="7">
        <f t="shared" si="1"/>
        <v>100</v>
      </c>
      <c r="M42" s="8">
        <f t="shared" si="0"/>
        <v>120</v>
      </c>
      <c r="N42" s="20"/>
    </row>
    <row r="43" spans="1:14" ht="15.75" thickBot="1" x14ac:dyDescent="0.3">
      <c r="A43" s="9" t="s">
        <v>48</v>
      </c>
      <c r="B43" s="33">
        <v>22</v>
      </c>
      <c r="C43" s="1">
        <v>35</v>
      </c>
      <c r="D43" s="33">
        <v>17</v>
      </c>
      <c r="E43" s="33">
        <v>1</v>
      </c>
      <c r="F43" s="1">
        <v>0</v>
      </c>
      <c r="G43" s="1">
        <v>3</v>
      </c>
      <c r="H43" s="34">
        <v>0</v>
      </c>
      <c r="I43" s="1">
        <v>11</v>
      </c>
      <c r="J43" s="35">
        <v>17</v>
      </c>
      <c r="K43" s="35">
        <v>72</v>
      </c>
      <c r="L43" s="7">
        <f t="shared" si="1"/>
        <v>106</v>
      </c>
      <c r="M43" s="8">
        <f t="shared" si="0"/>
        <v>178</v>
      </c>
      <c r="N43" s="20"/>
    </row>
    <row r="44" spans="1:14" ht="15.75" thickBot="1" x14ac:dyDescent="0.3">
      <c r="A44" s="9" t="s">
        <v>49</v>
      </c>
      <c r="B44" s="33">
        <v>26</v>
      </c>
      <c r="C44" s="1">
        <v>42</v>
      </c>
      <c r="D44" s="33">
        <v>24</v>
      </c>
      <c r="E44" s="33">
        <v>0</v>
      </c>
      <c r="F44" s="1">
        <v>0</v>
      </c>
      <c r="G44" s="1">
        <v>2</v>
      </c>
      <c r="H44" s="34">
        <v>2</v>
      </c>
      <c r="I44" s="1">
        <v>4</v>
      </c>
      <c r="J44" s="35">
        <v>14</v>
      </c>
      <c r="K44" s="35">
        <v>86</v>
      </c>
      <c r="L44" s="7">
        <f t="shared" si="1"/>
        <v>114</v>
      </c>
      <c r="M44" s="8">
        <f t="shared" si="0"/>
        <v>200</v>
      </c>
      <c r="N44" s="20"/>
    </row>
    <row r="45" spans="1:14" ht="15.75" thickBot="1" x14ac:dyDescent="0.3">
      <c r="A45" s="9" t="s">
        <v>50</v>
      </c>
      <c r="B45" s="33">
        <v>52</v>
      </c>
      <c r="C45" s="1">
        <v>88</v>
      </c>
      <c r="D45" s="33">
        <v>46</v>
      </c>
      <c r="E45" s="33">
        <v>10</v>
      </c>
      <c r="F45" s="1">
        <v>0</v>
      </c>
      <c r="G45" s="1">
        <v>0</v>
      </c>
      <c r="H45" s="34">
        <v>3</v>
      </c>
      <c r="I45" s="1">
        <v>0</v>
      </c>
      <c r="J45" s="35">
        <v>9</v>
      </c>
      <c r="K45" s="35">
        <v>100</v>
      </c>
      <c r="L45" s="7">
        <f t="shared" si="1"/>
        <v>208</v>
      </c>
      <c r="M45" s="8">
        <f t="shared" si="0"/>
        <v>308</v>
      </c>
      <c r="N45" s="20"/>
    </row>
    <row r="46" spans="1:14" ht="15.75" thickBot="1" x14ac:dyDescent="0.3">
      <c r="A46" s="9" t="s">
        <v>51</v>
      </c>
      <c r="B46" s="33">
        <v>30</v>
      </c>
      <c r="C46" s="1">
        <v>93</v>
      </c>
      <c r="D46" s="33">
        <v>31</v>
      </c>
      <c r="E46" s="33">
        <v>0</v>
      </c>
      <c r="F46" s="1">
        <v>0</v>
      </c>
      <c r="G46" s="1">
        <v>3</v>
      </c>
      <c r="H46" s="34">
        <v>13</v>
      </c>
      <c r="I46" s="1">
        <v>0</v>
      </c>
      <c r="J46" s="35">
        <v>4</v>
      </c>
      <c r="K46" s="35">
        <v>90</v>
      </c>
      <c r="L46" s="7">
        <f t="shared" si="1"/>
        <v>174</v>
      </c>
      <c r="M46" s="8">
        <f t="shared" si="0"/>
        <v>264</v>
      </c>
      <c r="N46" s="20"/>
    </row>
    <row r="47" spans="1:14" ht="15.75" thickBot="1" x14ac:dyDescent="0.3">
      <c r="A47" s="9" t="s">
        <v>52</v>
      </c>
      <c r="B47" s="33">
        <v>21</v>
      </c>
      <c r="C47" s="1">
        <v>45</v>
      </c>
      <c r="D47" s="33">
        <v>38</v>
      </c>
      <c r="E47" s="33">
        <v>1</v>
      </c>
      <c r="F47" s="1">
        <v>0</v>
      </c>
      <c r="G47" s="1">
        <v>3</v>
      </c>
      <c r="H47" s="34">
        <v>5</v>
      </c>
      <c r="I47" s="1">
        <v>3</v>
      </c>
      <c r="J47" s="35">
        <v>9</v>
      </c>
      <c r="K47" s="35">
        <v>85</v>
      </c>
      <c r="L47" s="7">
        <f t="shared" si="1"/>
        <v>125</v>
      </c>
      <c r="M47" s="8">
        <f t="shared" si="0"/>
        <v>210</v>
      </c>
      <c r="N47" s="20"/>
    </row>
    <row r="48" spans="1:14" ht="15.75" thickBot="1" x14ac:dyDescent="0.3">
      <c r="A48" s="9" t="s">
        <v>53</v>
      </c>
      <c r="B48" s="33">
        <v>20</v>
      </c>
      <c r="C48" s="1">
        <v>43</v>
      </c>
      <c r="D48" s="33">
        <v>14</v>
      </c>
      <c r="E48" s="33">
        <v>0</v>
      </c>
      <c r="F48" s="1">
        <v>0</v>
      </c>
      <c r="G48" s="1">
        <v>0</v>
      </c>
      <c r="H48" s="34">
        <v>4</v>
      </c>
      <c r="I48" s="1">
        <v>1</v>
      </c>
      <c r="J48" s="35">
        <v>18</v>
      </c>
      <c r="K48" s="35">
        <v>92</v>
      </c>
      <c r="L48" s="7">
        <f t="shared" si="1"/>
        <v>100</v>
      </c>
      <c r="M48" s="8">
        <f t="shared" si="0"/>
        <v>192</v>
      </c>
      <c r="N48" s="20"/>
    </row>
    <row r="49" spans="1:14" ht="15.75" thickBot="1" x14ac:dyDescent="0.3">
      <c r="A49" s="9" t="s">
        <v>54</v>
      </c>
      <c r="B49" s="33">
        <v>34</v>
      </c>
      <c r="C49" s="1">
        <v>46</v>
      </c>
      <c r="D49" s="33">
        <v>65</v>
      </c>
      <c r="E49" s="33">
        <v>0</v>
      </c>
      <c r="F49" s="1">
        <v>0</v>
      </c>
      <c r="G49" s="1">
        <v>3</v>
      </c>
      <c r="H49" s="34">
        <v>2</v>
      </c>
      <c r="I49" s="1">
        <v>14</v>
      </c>
      <c r="J49" s="35">
        <v>40</v>
      </c>
      <c r="K49" s="35">
        <v>98</v>
      </c>
      <c r="L49" s="7">
        <f t="shared" si="1"/>
        <v>204</v>
      </c>
      <c r="M49" s="8">
        <f t="shared" si="0"/>
        <v>302</v>
      </c>
      <c r="N49" s="20"/>
    </row>
    <row r="50" spans="1:14" ht="15.75" thickBot="1" x14ac:dyDescent="0.3">
      <c r="A50" s="9" t="s">
        <v>55</v>
      </c>
      <c r="B50" s="33">
        <v>40</v>
      </c>
      <c r="C50" s="1">
        <v>67</v>
      </c>
      <c r="D50" s="33">
        <v>85</v>
      </c>
      <c r="E50" s="33">
        <v>2</v>
      </c>
      <c r="F50" s="1">
        <v>0</v>
      </c>
      <c r="G50" s="1">
        <v>1</v>
      </c>
      <c r="H50" s="34">
        <v>8</v>
      </c>
      <c r="I50" s="1">
        <v>3</v>
      </c>
      <c r="J50" s="35">
        <v>8</v>
      </c>
      <c r="K50" s="35">
        <v>75</v>
      </c>
      <c r="L50" s="7">
        <f t="shared" si="1"/>
        <v>214</v>
      </c>
      <c r="M50" s="8">
        <f t="shared" si="0"/>
        <v>289</v>
      </c>
      <c r="N50" s="20"/>
    </row>
    <row r="51" spans="1:14" ht="15.75" thickBot="1" x14ac:dyDescent="0.3">
      <c r="A51" s="9" t="s">
        <v>56</v>
      </c>
      <c r="B51" s="33">
        <v>47</v>
      </c>
      <c r="C51" s="1">
        <v>78</v>
      </c>
      <c r="D51" s="33">
        <v>39</v>
      </c>
      <c r="E51" s="33">
        <v>2</v>
      </c>
      <c r="F51" s="1">
        <v>3</v>
      </c>
      <c r="G51" s="1">
        <v>1</v>
      </c>
      <c r="H51" s="34">
        <v>2</v>
      </c>
      <c r="I51" s="1">
        <v>7</v>
      </c>
      <c r="J51" s="35">
        <v>11</v>
      </c>
      <c r="K51" s="35">
        <v>74</v>
      </c>
      <c r="L51" s="7">
        <f t="shared" si="1"/>
        <v>190</v>
      </c>
      <c r="M51" s="8">
        <f t="shared" si="0"/>
        <v>264</v>
      </c>
      <c r="N51" s="20"/>
    </row>
    <row r="52" spans="1:14" ht="15.75" thickBot="1" x14ac:dyDescent="0.3">
      <c r="A52" s="9" t="s">
        <v>57</v>
      </c>
      <c r="B52" s="33">
        <v>54</v>
      </c>
      <c r="C52" s="1">
        <v>118</v>
      </c>
      <c r="D52" s="33">
        <v>68</v>
      </c>
      <c r="E52" s="33">
        <v>2</v>
      </c>
      <c r="F52" s="1">
        <v>0</v>
      </c>
      <c r="G52" s="1">
        <v>6</v>
      </c>
      <c r="H52" s="34">
        <v>13</v>
      </c>
      <c r="I52" s="1">
        <v>3</v>
      </c>
      <c r="J52" s="35">
        <v>28</v>
      </c>
      <c r="K52" s="35">
        <v>80</v>
      </c>
      <c r="L52" s="7">
        <f t="shared" si="1"/>
        <v>292</v>
      </c>
      <c r="M52" s="8">
        <f t="shared" si="0"/>
        <v>372</v>
      </c>
      <c r="N52" s="20"/>
    </row>
    <row r="53" spans="1:14" ht="15.75" thickBot="1" x14ac:dyDescent="0.3">
      <c r="A53" s="9" t="s">
        <v>58</v>
      </c>
      <c r="B53" s="33">
        <v>39</v>
      </c>
      <c r="C53" s="1">
        <v>67</v>
      </c>
      <c r="D53" s="33">
        <v>38</v>
      </c>
      <c r="E53" s="33">
        <v>0</v>
      </c>
      <c r="F53" s="1">
        <v>0</v>
      </c>
      <c r="G53" s="1">
        <v>8</v>
      </c>
      <c r="H53" s="34">
        <v>1</v>
      </c>
      <c r="I53" s="1">
        <v>8</v>
      </c>
      <c r="J53" s="35">
        <v>18</v>
      </c>
      <c r="K53" s="35">
        <v>115</v>
      </c>
      <c r="L53" s="7">
        <f t="shared" si="1"/>
        <v>179</v>
      </c>
      <c r="M53" s="8">
        <f t="shared" si="0"/>
        <v>294</v>
      </c>
      <c r="N53" s="20"/>
    </row>
    <row r="54" spans="1:14" ht="15.75" thickBot="1" x14ac:dyDescent="0.3">
      <c r="A54" s="9" t="s">
        <v>59</v>
      </c>
      <c r="B54" s="33">
        <v>88</v>
      </c>
      <c r="C54" s="1">
        <v>151</v>
      </c>
      <c r="D54" s="33">
        <v>53</v>
      </c>
      <c r="E54" s="33">
        <v>1</v>
      </c>
      <c r="F54" s="1">
        <v>2</v>
      </c>
      <c r="G54" s="1">
        <v>0</v>
      </c>
      <c r="H54" s="34">
        <v>13</v>
      </c>
      <c r="I54" s="1">
        <v>3</v>
      </c>
      <c r="J54" s="35">
        <v>11</v>
      </c>
      <c r="K54" s="35">
        <v>143</v>
      </c>
      <c r="L54" s="7">
        <f t="shared" si="1"/>
        <v>322</v>
      </c>
      <c r="M54" s="8">
        <f t="shared" si="0"/>
        <v>465</v>
      </c>
      <c r="N54" s="20"/>
    </row>
    <row r="55" spans="1:14" ht="15.75" thickBot="1" x14ac:dyDescent="0.3">
      <c r="A55" s="9" t="s">
        <v>60</v>
      </c>
      <c r="B55" s="33">
        <v>79</v>
      </c>
      <c r="C55" s="1">
        <v>180</v>
      </c>
      <c r="D55" s="33">
        <v>60</v>
      </c>
      <c r="E55" s="33">
        <v>0</v>
      </c>
      <c r="F55" s="1">
        <v>0</v>
      </c>
      <c r="G55" s="1">
        <v>0</v>
      </c>
      <c r="H55" s="34">
        <v>6</v>
      </c>
      <c r="I55" s="1">
        <v>9</v>
      </c>
      <c r="J55" s="35">
        <v>3</v>
      </c>
      <c r="K55" s="35">
        <v>102</v>
      </c>
      <c r="L55" s="7">
        <f t="shared" si="1"/>
        <v>337</v>
      </c>
      <c r="M55" s="8">
        <f t="shared" si="0"/>
        <v>439</v>
      </c>
      <c r="N55" s="20"/>
    </row>
    <row r="56" spans="1:14" ht="15.75" thickBot="1" x14ac:dyDescent="0.3">
      <c r="A56" s="9" t="s">
        <v>61</v>
      </c>
      <c r="B56" s="33">
        <v>94</v>
      </c>
      <c r="C56" s="1">
        <v>52</v>
      </c>
      <c r="D56" s="33">
        <v>69</v>
      </c>
      <c r="E56" s="33">
        <v>1</v>
      </c>
      <c r="F56" s="1">
        <v>0</v>
      </c>
      <c r="G56" s="1">
        <v>1</v>
      </c>
      <c r="H56" s="34">
        <v>8</v>
      </c>
      <c r="I56" s="1">
        <v>1</v>
      </c>
      <c r="J56" s="35">
        <v>33</v>
      </c>
      <c r="K56" s="35">
        <v>130</v>
      </c>
      <c r="L56" s="7">
        <f t="shared" si="1"/>
        <v>259</v>
      </c>
      <c r="M56" s="8">
        <f t="shared" si="0"/>
        <v>389</v>
      </c>
      <c r="N56" s="20"/>
    </row>
    <row r="57" spans="1:14" ht="15.75" thickBot="1" x14ac:dyDescent="0.3">
      <c r="A57" s="9" t="s">
        <v>62</v>
      </c>
      <c r="B57" s="33">
        <v>80</v>
      </c>
      <c r="C57" s="1">
        <v>154</v>
      </c>
      <c r="D57" s="33">
        <v>87</v>
      </c>
      <c r="E57" s="33">
        <v>2</v>
      </c>
      <c r="F57" s="1">
        <v>3</v>
      </c>
      <c r="G57" s="1">
        <v>0</v>
      </c>
      <c r="H57" s="34">
        <v>4</v>
      </c>
      <c r="I57" s="1">
        <v>1</v>
      </c>
      <c r="J57" s="35">
        <v>9</v>
      </c>
      <c r="K57" s="35">
        <v>179</v>
      </c>
      <c r="L57" s="7">
        <f t="shared" si="1"/>
        <v>340</v>
      </c>
      <c r="M57" s="8">
        <f t="shared" si="0"/>
        <v>519</v>
      </c>
      <c r="N57" s="20"/>
    </row>
    <row r="58" spans="1:14" ht="15.75" thickBot="1" x14ac:dyDescent="0.3">
      <c r="A58" s="9" t="s">
        <v>63</v>
      </c>
      <c r="B58" s="33">
        <v>53</v>
      </c>
      <c r="C58" s="1">
        <v>155</v>
      </c>
      <c r="D58" s="33">
        <v>33</v>
      </c>
      <c r="E58" s="33">
        <v>0</v>
      </c>
      <c r="F58" s="1">
        <v>0</v>
      </c>
      <c r="G58" s="1">
        <v>0</v>
      </c>
      <c r="H58" s="34">
        <v>9</v>
      </c>
      <c r="I58" s="1">
        <v>1</v>
      </c>
      <c r="J58" s="35">
        <v>2</v>
      </c>
      <c r="K58" s="35">
        <v>106</v>
      </c>
      <c r="L58" s="7">
        <f t="shared" si="1"/>
        <v>253</v>
      </c>
      <c r="M58" s="8">
        <f t="shared" si="0"/>
        <v>359</v>
      </c>
      <c r="N58" s="20"/>
    </row>
    <row r="59" spans="1:14" ht="15.75" thickBot="1" x14ac:dyDescent="0.3">
      <c r="A59" s="9" t="s">
        <v>64</v>
      </c>
      <c r="B59" s="33">
        <v>69</v>
      </c>
      <c r="C59" s="1">
        <v>141</v>
      </c>
      <c r="D59" s="33">
        <v>41</v>
      </c>
      <c r="E59" s="33">
        <v>0</v>
      </c>
      <c r="F59" s="1">
        <v>0</v>
      </c>
      <c r="G59" s="1">
        <v>3</v>
      </c>
      <c r="H59" s="34">
        <v>0</v>
      </c>
      <c r="I59" s="1">
        <v>0</v>
      </c>
      <c r="J59" s="35">
        <v>3</v>
      </c>
      <c r="K59" s="35">
        <v>90</v>
      </c>
      <c r="L59" s="7">
        <f t="shared" si="1"/>
        <v>257</v>
      </c>
      <c r="M59" s="8">
        <f t="shared" si="0"/>
        <v>347</v>
      </c>
      <c r="N59" s="20"/>
    </row>
    <row r="60" spans="1:14" ht="15.75" thickBot="1" x14ac:dyDescent="0.3">
      <c r="A60" s="9" t="s">
        <v>65</v>
      </c>
      <c r="B60" s="33">
        <v>86</v>
      </c>
      <c r="C60" s="1">
        <v>178</v>
      </c>
      <c r="D60" s="33">
        <v>8</v>
      </c>
      <c r="E60" s="33">
        <v>2</v>
      </c>
      <c r="F60" s="1">
        <v>0</v>
      </c>
      <c r="G60" s="1">
        <v>0</v>
      </c>
      <c r="H60" s="34">
        <v>0</v>
      </c>
      <c r="I60" s="1">
        <v>1</v>
      </c>
      <c r="J60" s="35">
        <v>3</v>
      </c>
      <c r="K60" s="35">
        <v>90</v>
      </c>
      <c r="L60" s="7">
        <f t="shared" si="1"/>
        <v>278</v>
      </c>
      <c r="M60" s="8">
        <f t="shared" si="0"/>
        <v>368</v>
      </c>
      <c r="N60" s="20"/>
    </row>
    <row r="61" spans="1:14" ht="15.75" thickBot="1" x14ac:dyDescent="0.3">
      <c r="A61" s="9" t="s">
        <v>66</v>
      </c>
      <c r="B61" s="33">
        <v>72</v>
      </c>
      <c r="C61" s="1">
        <v>143</v>
      </c>
      <c r="D61" s="33">
        <v>43</v>
      </c>
      <c r="E61" s="33">
        <v>2</v>
      </c>
      <c r="F61" s="1">
        <v>0</v>
      </c>
      <c r="G61" s="1">
        <v>2</v>
      </c>
      <c r="H61" s="34">
        <v>0</v>
      </c>
      <c r="I61" s="1">
        <v>2</v>
      </c>
      <c r="J61" s="35">
        <v>8</v>
      </c>
      <c r="K61" s="35">
        <v>68</v>
      </c>
      <c r="L61" s="7">
        <f t="shared" si="1"/>
        <v>272</v>
      </c>
      <c r="M61" s="8">
        <f t="shared" si="0"/>
        <v>340</v>
      </c>
      <c r="N61" s="20"/>
    </row>
    <row r="62" spans="1:14" ht="15.75" thickBot="1" x14ac:dyDescent="0.3">
      <c r="A62" s="10" t="s">
        <v>67</v>
      </c>
      <c r="B62" s="33">
        <v>93</v>
      </c>
      <c r="C62" s="1">
        <v>151</v>
      </c>
      <c r="D62" s="33">
        <v>23</v>
      </c>
      <c r="E62" s="33">
        <v>6</v>
      </c>
      <c r="F62" s="1">
        <v>0</v>
      </c>
      <c r="G62" s="1">
        <v>3</v>
      </c>
      <c r="H62" s="34">
        <v>3</v>
      </c>
      <c r="I62" s="1">
        <v>1</v>
      </c>
      <c r="J62" s="35">
        <v>1</v>
      </c>
      <c r="K62" s="35">
        <v>103</v>
      </c>
      <c r="L62" s="7">
        <f t="shared" si="1"/>
        <v>281</v>
      </c>
      <c r="M62" s="8">
        <f t="shared" si="0"/>
        <v>384</v>
      </c>
      <c r="N62" s="20"/>
    </row>
    <row r="63" spans="1:14" ht="15.75" thickBot="1" x14ac:dyDescent="0.3">
      <c r="A63" s="9" t="s">
        <v>68</v>
      </c>
      <c r="B63" s="33">
        <v>80</v>
      </c>
      <c r="C63" s="1">
        <v>152</v>
      </c>
      <c r="D63" s="33">
        <v>2</v>
      </c>
      <c r="E63" s="33">
        <v>0</v>
      </c>
      <c r="F63" s="1">
        <v>0</v>
      </c>
      <c r="G63" s="1">
        <v>1</v>
      </c>
      <c r="H63" s="34">
        <v>0</v>
      </c>
      <c r="I63" s="1">
        <v>4</v>
      </c>
      <c r="J63" s="35">
        <v>1</v>
      </c>
      <c r="K63" s="35">
        <v>32</v>
      </c>
      <c r="L63" s="7">
        <f t="shared" si="1"/>
        <v>240</v>
      </c>
      <c r="M63" s="8">
        <f t="shared" si="0"/>
        <v>272</v>
      </c>
      <c r="N63" s="20"/>
    </row>
    <row r="64" spans="1:14" ht="15.75" thickBot="1" x14ac:dyDescent="0.3">
      <c r="A64" s="9" t="s">
        <v>69</v>
      </c>
      <c r="B64" s="33">
        <v>16</v>
      </c>
      <c r="C64" s="1">
        <v>60</v>
      </c>
      <c r="D64" s="33">
        <v>22</v>
      </c>
      <c r="E64" s="33">
        <v>3</v>
      </c>
      <c r="F64" s="1">
        <v>0</v>
      </c>
      <c r="G64" s="1">
        <v>1</v>
      </c>
      <c r="H64" s="34">
        <v>3</v>
      </c>
      <c r="I64" s="1">
        <v>2</v>
      </c>
      <c r="J64" s="35">
        <v>3</v>
      </c>
      <c r="K64" s="35">
        <v>30</v>
      </c>
      <c r="L64" s="7">
        <f t="shared" si="1"/>
        <v>110</v>
      </c>
      <c r="M64" s="8">
        <f>SUM(B64:K64)</f>
        <v>140</v>
      </c>
      <c r="N64" s="20"/>
    </row>
    <row r="65" spans="1:14" ht="15.75" thickBot="1" x14ac:dyDescent="0.3">
      <c r="A65" s="11" t="s">
        <v>70</v>
      </c>
      <c r="B65" s="33">
        <v>49</v>
      </c>
      <c r="C65" s="1">
        <v>97</v>
      </c>
      <c r="D65" s="33">
        <v>27</v>
      </c>
      <c r="E65" s="33">
        <v>7</v>
      </c>
      <c r="F65" s="1">
        <v>0</v>
      </c>
      <c r="G65" s="1">
        <v>8</v>
      </c>
      <c r="H65" s="34">
        <v>0</v>
      </c>
      <c r="I65" s="1">
        <v>2</v>
      </c>
      <c r="J65" s="35">
        <v>7</v>
      </c>
      <c r="K65" s="35">
        <v>51</v>
      </c>
      <c r="L65" s="7">
        <f t="shared" si="1"/>
        <v>197</v>
      </c>
      <c r="M65" s="8">
        <f>SUM(B65:K65)</f>
        <v>248</v>
      </c>
      <c r="N65" s="20"/>
    </row>
    <row r="66" spans="1:14" ht="15.75" thickBot="1" x14ac:dyDescent="0.3">
      <c r="A66" s="9" t="s">
        <v>71</v>
      </c>
      <c r="B66" s="33">
        <v>15</v>
      </c>
      <c r="C66" s="1">
        <v>72</v>
      </c>
      <c r="D66" s="33">
        <v>17</v>
      </c>
      <c r="E66" s="33">
        <v>0</v>
      </c>
      <c r="F66" s="1">
        <v>0</v>
      </c>
      <c r="G66" s="1">
        <v>3</v>
      </c>
      <c r="H66" s="34">
        <v>2</v>
      </c>
      <c r="I66" s="1">
        <v>2</v>
      </c>
      <c r="J66" s="35">
        <v>11</v>
      </c>
      <c r="K66" s="35">
        <v>29</v>
      </c>
      <c r="L66" s="7">
        <f t="shared" si="1"/>
        <v>122</v>
      </c>
      <c r="M66" s="8">
        <f t="shared" si="0"/>
        <v>151</v>
      </c>
      <c r="N66" s="20"/>
    </row>
    <row r="67" spans="1:14" ht="15.75" thickBot="1" x14ac:dyDescent="0.3">
      <c r="A67" s="9" t="s">
        <v>72</v>
      </c>
      <c r="B67" s="33">
        <v>11</v>
      </c>
      <c r="C67" s="1">
        <v>34</v>
      </c>
      <c r="D67" s="33">
        <v>7</v>
      </c>
      <c r="E67" s="33">
        <v>0</v>
      </c>
      <c r="F67" s="1">
        <v>0</v>
      </c>
      <c r="G67" s="1">
        <v>1</v>
      </c>
      <c r="H67" s="34">
        <v>2</v>
      </c>
      <c r="I67" s="1">
        <v>4</v>
      </c>
      <c r="J67" s="35">
        <v>3</v>
      </c>
      <c r="K67" s="35">
        <v>40</v>
      </c>
      <c r="L67" s="7">
        <f t="shared" si="1"/>
        <v>62</v>
      </c>
      <c r="M67" s="8">
        <f>SUM(B67:K67)</f>
        <v>102</v>
      </c>
      <c r="N67" s="20"/>
    </row>
    <row r="68" spans="1:14" ht="15.75" thickBot="1" x14ac:dyDescent="0.3">
      <c r="A68" s="9" t="s">
        <v>90</v>
      </c>
      <c r="B68" s="33">
        <v>20</v>
      </c>
      <c r="C68" s="1">
        <v>42</v>
      </c>
      <c r="D68" s="33">
        <v>12</v>
      </c>
      <c r="E68" s="33">
        <v>2</v>
      </c>
      <c r="F68" s="1">
        <v>0</v>
      </c>
      <c r="G68" s="1">
        <v>0</v>
      </c>
      <c r="H68" s="34">
        <v>0</v>
      </c>
      <c r="I68" s="1">
        <v>3</v>
      </c>
      <c r="J68" s="35">
        <v>3</v>
      </c>
      <c r="K68" s="35">
        <v>20</v>
      </c>
      <c r="L68" s="7">
        <f t="shared" si="1"/>
        <v>82</v>
      </c>
      <c r="M68" s="8">
        <f t="shared" ref="M68:M71" si="2">SUM(B68:K68)</f>
        <v>102</v>
      </c>
      <c r="N68" s="20"/>
    </row>
    <row r="69" spans="1:14" ht="15.75" thickBot="1" x14ac:dyDescent="0.3">
      <c r="A69" s="9" t="s">
        <v>91</v>
      </c>
      <c r="B69" s="33">
        <v>12</v>
      </c>
      <c r="C69" s="1">
        <v>28</v>
      </c>
      <c r="D69" s="33">
        <v>8</v>
      </c>
      <c r="E69" s="33">
        <v>2</v>
      </c>
      <c r="F69" s="1">
        <v>0</v>
      </c>
      <c r="G69" s="1">
        <v>1</v>
      </c>
      <c r="H69" s="34">
        <v>0</v>
      </c>
      <c r="I69" s="1">
        <v>0</v>
      </c>
      <c r="J69" s="35">
        <v>3</v>
      </c>
      <c r="K69" s="35">
        <v>11</v>
      </c>
      <c r="L69" s="7">
        <f t="shared" si="1"/>
        <v>54</v>
      </c>
      <c r="M69" s="8">
        <f t="shared" si="2"/>
        <v>65</v>
      </c>
      <c r="N69" s="20"/>
    </row>
    <row r="70" spans="1:14" ht="15.75" thickBot="1" x14ac:dyDescent="0.3">
      <c r="A70" s="9" t="s">
        <v>92</v>
      </c>
      <c r="B70" s="33">
        <v>9</v>
      </c>
      <c r="C70" s="1">
        <v>26</v>
      </c>
      <c r="D70" s="33">
        <v>9</v>
      </c>
      <c r="E70" s="33">
        <v>0</v>
      </c>
      <c r="F70" s="1">
        <v>0</v>
      </c>
      <c r="G70" s="1">
        <v>0</v>
      </c>
      <c r="H70" s="34">
        <v>0</v>
      </c>
      <c r="I70" s="1">
        <v>7</v>
      </c>
      <c r="J70" s="35">
        <v>1</v>
      </c>
      <c r="K70" s="35">
        <v>17</v>
      </c>
      <c r="L70" s="7">
        <f t="shared" si="1"/>
        <v>52</v>
      </c>
      <c r="M70" s="8">
        <f t="shared" si="2"/>
        <v>69</v>
      </c>
      <c r="N70" s="20"/>
    </row>
    <row r="71" spans="1:14" ht="15.75" thickBot="1" x14ac:dyDescent="0.3">
      <c r="A71" s="9" t="s">
        <v>93</v>
      </c>
      <c r="B71" s="33">
        <v>23</v>
      </c>
      <c r="C71" s="1">
        <v>48</v>
      </c>
      <c r="D71" s="33">
        <v>12</v>
      </c>
      <c r="E71" s="33">
        <v>2</v>
      </c>
      <c r="F71" s="1">
        <v>0</v>
      </c>
      <c r="G71" s="1">
        <v>0</v>
      </c>
      <c r="H71" s="34">
        <v>0</v>
      </c>
      <c r="I71" s="1">
        <v>3</v>
      </c>
      <c r="J71" s="35">
        <v>3</v>
      </c>
      <c r="K71" s="35">
        <v>20</v>
      </c>
      <c r="L71" s="7">
        <f t="shared" si="1"/>
        <v>91</v>
      </c>
      <c r="M71" s="8">
        <f t="shared" si="2"/>
        <v>111</v>
      </c>
      <c r="N71" s="20"/>
    </row>
    <row r="72" spans="1:14" ht="15.75" thickBot="1" x14ac:dyDescent="0.3">
      <c r="B72" s="12">
        <f>SUM(B8:B71)</f>
        <v>2078</v>
      </c>
      <c r="C72" s="12">
        <f t="shared" ref="C72:K72" si="3">SUM(C8:C71)</f>
        <v>3939</v>
      </c>
      <c r="D72" s="12">
        <f t="shared" si="3"/>
        <v>1458</v>
      </c>
      <c r="E72" s="12">
        <f t="shared" si="3"/>
        <v>64</v>
      </c>
      <c r="F72" s="12">
        <f t="shared" si="3"/>
        <v>15</v>
      </c>
      <c r="G72" s="12">
        <f t="shared" si="3"/>
        <v>176</v>
      </c>
      <c r="H72" s="12">
        <f t="shared" si="3"/>
        <v>150</v>
      </c>
      <c r="I72" s="12">
        <f t="shared" si="3"/>
        <v>172</v>
      </c>
      <c r="J72" s="12">
        <f t="shared" si="3"/>
        <v>475</v>
      </c>
      <c r="K72" s="12">
        <f t="shared" si="3"/>
        <v>4573</v>
      </c>
      <c r="L72" s="12">
        <f>SUM(B72:J72)</f>
        <v>8527</v>
      </c>
      <c r="M72" s="8">
        <f>SUM(B72:K72)</f>
        <v>13100</v>
      </c>
      <c r="N72" s="20"/>
    </row>
    <row r="73" spans="1:14" ht="15.75" thickBot="1" x14ac:dyDescent="0.3">
      <c r="A73" s="57" t="s">
        <v>118</v>
      </c>
      <c r="B73" s="58">
        <f>AVERAGE(B8:B23)*4</f>
        <v>72.5</v>
      </c>
      <c r="C73" s="58">
        <f t="shared" ref="C73:K73" si="4">AVERAGE(C8:C23)*4</f>
        <v>138</v>
      </c>
      <c r="D73" s="58">
        <f t="shared" si="4"/>
        <v>50.75</v>
      </c>
      <c r="E73" s="58">
        <f t="shared" si="4"/>
        <v>1.5</v>
      </c>
      <c r="F73" s="58">
        <f t="shared" si="4"/>
        <v>0.75</v>
      </c>
      <c r="G73" s="58">
        <f t="shared" si="4"/>
        <v>3.25</v>
      </c>
      <c r="H73" s="58">
        <f t="shared" si="4"/>
        <v>4.75</v>
      </c>
      <c r="I73" s="58">
        <f t="shared" si="4"/>
        <v>3.5</v>
      </c>
      <c r="J73" s="58">
        <f t="shared" si="4"/>
        <v>9.25</v>
      </c>
      <c r="K73" s="58">
        <f t="shared" si="4"/>
        <v>242.75</v>
      </c>
      <c r="M73" s="12">
        <f>SUM(M8:M71)</f>
        <v>13100</v>
      </c>
      <c r="N73" s="20"/>
    </row>
    <row r="74" spans="1:14" x14ac:dyDescent="0.25">
      <c r="A74" s="57" t="s">
        <v>119</v>
      </c>
      <c r="B74" s="58">
        <f>AVERAGE(B48:B59)*4</f>
        <v>232.33333333333334</v>
      </c>
      <c r="C74" s="58">
        <f t="shared" ref="C74:K74" si="5">AVERAGE(C48:C59)*4</f>
        <v>417.33333333333331</v>
      </c>
      <c r="D74" s="58">
        <f t="shared" si="5"/>
        <v>217.33333333333334</v>
      </c>
      <c r="E74" s="58">
        <f t="shared" si="5"/>
        <v>3.3333333333333335</v>
      </c>
      <c r="F74" s="58">
        <f t="shared" si="5"/>
        <v>2.6666666666666665</v>
      </c>
      <c r="G74" s="58">
        <f t="shared" si="5"/>
        <v>7.666666666666667</v>
      </c>
      <c r="H74" s="58">
        <f t="shared" si="5"/>
        <v>23.333333333333332</v>
      </c>
      <c r="I74" s="58">
        <f t="shared" si="5"/>
        <v>17</v>
      </c>
      <c r="J74" s="58">
        <f t="shared" si="5"/>
        <v>61.333333333333336</v>
      </c>
      <c r="K74" s="58">
        <f t="shared" si="5"/>
        <v>428</v>
      </c>
    </row>
  </sheetData>
  <mergeCells count="8">
    <mergeCell ref="A6:M6"/>
    <mergeCell ref="A1:M1"/>
    <mergeCell ref="A2:M2"/>
    <mergeCell ref="A3:M3"/>
    <mergeCell ref="G4:H4"/>
    <mergeCell ref="B5:C5"/>
    <mergeCell ref="G5:H5"/>
    <mergeCell ref="B4:C4"/>
  </mergeCells>
  <pageMargins left="0.7" right="0.7" top="0.75" bottom="0.75" header="0.3" footer="0.3"/>
  <pageSetup scale="4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74"/>
  <sheetViews>
    <sheetView view="pageBreakPreview" zoomScale="90" zoomScaleSheetLayoutView="90" workbookViewId="0">
      <selection activeCell="B4" sqref="B4:C4"/>
    </sheetView>
  </sheetViews>
  <sheetFormatPr defaultColWidth="13.28515625" defaultRowHeight="15" x14ac:dyDescent="0.25"/>
  <cols>
    <col min="1" max="1" width="14.85546875" customWidth="1"/>
    <col min="2" max="2" width="11.7109375" customWidth="1"/>
    <col min="3" max="3" width="13.28515625" customWidth="1"/>
    <col min="4" max="4" width="12.7109375" customWidth="1"/>
    <col min="5" max="6" width="13.28515625" customWidth="1"/>
    <col min="7" max="7" width="11.42578125" customWidth="1"/>
    <col min="8" max="8" width="13.28515625" customWidth="1"/>
    <col min="9" max="9" width="11.42578125" customWidth="1"/>
    <col min="10" max="10" width="13.28515625" customWidth="1"/>
    <col min="11" max="11" width="12" customWidth="1"/>
    <col min="12" max="12" width="9.28515625" customWidth="1"/>
    <col min="13" max="13" width="10.7109375" customWidth="1"/>
    <col min="14" max="14" width="12.7109375" customWidth="1"/>
    <col min="15" max="15" width="6.42578125" style="22" customWidth="1"/>
  </cols>
  <sheetData>
    <row r="1" spans="1:15" ht="18.75" x14ac:dyDescent="0.3">
      <c r="A1" s="62" t="s">
        <v>120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45"/>
    </row>
    <row r="2" spans="1:15" ht="18.75" x14ac:dyDescent="0.3">
      <c r="A2" s="65" t="s">
        <v>94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7"/>
      <c r="N2" s="45"/>
    </row>
    <row r="3" spans="1:15" x14ac:dyDescent="0.25">
      <c r="A3" s="68"/>
      <c r="B3" s="69"/>
      <c r="C3" s="69"/>
      <c r="D3" s="69"/>
      <c r="E3" s="60"/>
      <c r="F3" s="69"/>
      <c r="G3" s="69"/>
      <c r="H3" s="69"/>
      <c r="I3" s="69"/>
      <c r="J3" s="60"/>
      <c r="K3" s="69"/>
      <c r="L3" s="69"/>
      <c r="M3" s="70"/>
      <c r="N3" s="43"/>
    </row>
    <row r="4" spans="1:15" x14ac:dyDescent="0.25">
      <c r="A4" s="50" t="s">
        <v>112</v>
      </c>
      <c r="B4" s="73">
        <v>43797</v>
      </c>
      <c r="C4" s="72"/>
      <c r="D4" s="15"/>
      <c r="E4" s="16"/>
      <c r="F4" s="49" t="s">
        <v>73</v>
      </c>
      <c r="G4" s="71" t="s">
        <v>109</v>
      </c>
      <c r="H4" s="71"/>
      <c r="I4" s="13"/>
      <c r="J4" s="13"/>
      <c r="K4" s="13"/>
      <c r="L4" s="13"/>
      <c r="M4" s="14"/>
      <c r="N4" s="17"/>
    </row>
    <row r="5" spans="1:15" x14ac:dyDescent="0.25">
      <c r="A5" s="50" t="s">
        <v>108</v>
      </c>
      <c r="B5" s="72" t="s">
        <v>103</v>
      </c>
      <c r="C5" s="72"/>
      <c r="D5" s="15"/>
      <c r="E5" s="16"/>
      <c r="F5" s="50" t="s">
        <v>74</v>
      </c>
      <c r="G5" s="72" t="s">
        <v>99</v>
      </c>
      <c r="H5" s="72"/>
      <c r="I5" s="15"/>
      <c r="J5" s="15"/>
      <c r="K5" s="15"/>
      <c r="L5" s="15"/>
      <c r="M5" s="16"/>
      <c r="N5" s="18"/>
    </row>
    <row r="6" spans="1:15" ht="15.75" thickBot="1" x14ac:dyDescent="0.3">
      <c r="A6" s="59"/>
      <c r="B6" s="60"/>
      <c r="C6" s="60"/>
      <c r="D6" s="60"/>
      <c r="E6" s="60"/>
      <c r="F6" s="60"/>
      <c r="G6" s="60"/>
      <c r="H6" s="60"/>
      <c r="I6" s="60"/>
      <c r="J6" s="60"/>
      <c r="K6" s="60"/>
      <c r="L6" s="60"/>
      <c r="M6" s="61"/>
      <c r="N6" s="43"/>
    </row>
    <row r="7" spans="1:15" ht="42.75" customHeight="1" thickBot="1" x14ac:dyDescent="0.3">
      <c r="A7" s="2" t="s">
        <v>0</v>
      </c>
      <c r="B7" s="3" t="s">
        <v>1</v>
      </c>
      <c r="C7" s="4" t="s">
        <v>2</v>
      </c>
      <c r="D7" s="3" t="s">
        <v>3</v>
      </c>
      <c r="E7" s="3" t="s">
        <v>4</v>
      </c>
      <c r="F7" s="4" t="s">
        <v>5</v>
      </c>
      <c r="G7" s="4" t="s">
        <v>6</v>
      </c>
      <c r="H7" s="5" t="s">
        <v>7</v>
      </c>
      <c r="I7" s="4" t="s">
        <v>8</v>
      </c>
      <c r="J7" s="6" t="s">
        <v>9</v>
      </c>
      <c r="K7" s="6" t="s">
        <v>10</v>
      </c>
      <c r="L7" s="27" t="s">
        <v>12</v>
      </c>
      <c r="M7" s="28" t="s">
        <v>11</v>
      </c>
      <c r="N7" s="19"/>
    </row>
    <row r="8" spans="1:15" ht="15.75" thickBot="1" x14ac:dyDescent="0.3">
      <c r="A8" s="9" t="s">
        <v>13</v>
      </c>
      <c r="B8" s="42">
        <v>25</v>
      </c>
      <c r="C8" s="1">
        <v>65</v>
      </c>
      <c r="D8" s="42">
        <v>0</v>
      </c>
      <c r="E8" s="42">
        <v>0</v>
      </c>
      <c r="F8" s="1">
        <v>0</v>
      </c>
      <c r="G8" s="1">
        <v>0</v>
      </c>
      <c r="H8" s="43">
        <v>0</v>
      </c>
      <c r="I8" s="1">
        <v>0</v>
      </c>
      <c r="J8" s="44">
        <v>3</v>
      </c>
      <c r="K8" s="44">
        <v>0</v>
      </c>
      <c r="L8" s="7">
        <f>SUM(B8:J8)</f>
        <v>93</v>
      </c>
      <c r="M8" s="8">
        <f t="shared" ref="M8:M66" si="0">SUM(B8:K8)</f>
        <v>93</v>
      </c>
      <c r="N8" s="21" t="s">
        <v>75</v>
      </c>
      <c r="O8" s="22">
        <f>SUM(L8:L11)</f>
        <v>412</v>
      </c>
    </row>
    <row r="9" spans="1:15" ht="15.75" thickBot="1" x14ac:dyDescent="0.3">
      <c r="A9" s="9" t="s">
        <v>14</v>
      </c>
      <c r="B9" s="42">
        <v>21</v>
      </c>
      <c r="C9" s="1">
        <v>60</v>
      </c>
      <c r="D9" s="42">
        <v>30</v>
      </c>
      <c r="E9" s="42">
        <v>2</v>
      </c>
      <c r="F9" s="1">
        <v>0</v>
      </c>
      <c r="G9" s="1">
        <v>0</v>
      </c>
      <c r="H9" s="43">
        <v>3</v>
      </c>
      <c r="I9" s="1">
        <v>0</v>
      </c>
      <c r="J9" s="44">
        <v>0</v>
      </c>
      <c r="K9" s="44">
        <v>30</v>
      </c>
      <c r="L9" s="7">
        <f t="shared" ref="L9:L71" si="1">SUM(B9:J9)</f>
        <v>116</v>
      </c>
      <c r="M9" s="8">
        <f t="shared" si="0"/>
        <v>146</v>
      </c>
      <c r="N9" s="21" t="s">
        <v>76</v>
      </c>
      <c r="O9" s="22">
        <f>SUM(L12:L15)</f>
        <v>421</v>
      </c>
    </row>
    <row r="10" spans="1:15" ht="15.75" thickBot="1" x14ac:dyDescent="0.3">
      <c r="A10" s="9" t="s">
        <v>15</v>
      </c>
      <c r="B10" s="42">
        <v>19</v>
      </c>
      <c r="C10" s="1">
        <v>50</v>
      </c>
      <c r="D10" s="42">
        <v>35</v>
      </c>
      <c r="E10" s="42">
        <v>0</v>
      </c>
      <c r="F10" s="1">
        <v>4</v>
      </c>
      <c r="G10" s="1">
        <v>1</v>
      </c>
      <c r="H10" s="43">
        <v>1</v>
      </c>
      <c r="I10" s="1">
        <v>2</v>
      </c>
      <c r="J10" s="44">
        <v>0</v>
      </c>
      <c r="K10" s="44">
        <v>55</v>
      </c>
      <c r="L10" s="7">
        <f t="shared" si="1"/>
        <v>112</v>
      </c>
      <c r="M10" s="8">
        <f t="shared" si="0"/>
        <v>167</v>
      </c>
      <c r="N10" s="21" t="s">
        <v>77</v>
      </c>
      <c r="O10" s="22">
        <f>SUM(L16:L19)</f>
        <v>774</v>
      </c>
    </row>
    <row r="11" spans="1:15" ht="15.75" thickBot="1" x14ac:dyDescent="0.3">
      <c r="A11" s="9" t="s">
        <v>16</v>
      </c>
      <c r="B11" s="42">
        <v>18</v>
      </c>
      <c r="C11" s="1">
        <v>40</v>
      </c>
      <c r="D11" s="42">
        <v>30</v>
      </c>
      <c r="E11" s="42">
        <v>1</v>
      </c>
      <c r="F11" s="1">
        <v>0</v>
      </c>
      <c r="G11" s="1">
        <v>2</v>
      </c>
      <c r="H11" s="43">
        <v>0</v>
      </c>
      <c r="I11" s="1">
        <v>0</v>
      </c>
      <c r="J11" s="44">
        <v>0</v>
      </c>
      <c r="K11" s="44">
        <v>70</v>
      </c>
      <c r="L11" s="7">
        <f t="shared" si="1"/>
        <v>91</v>
      </c>
      <c r="M11" s="8">
        <f t="shared" si="0"/>
        <v>161</v>
      </c>
      <c r="N11" s="21" t="s">
        <v>78</v>
      </c>
      <c r="O11" s="22">
        <f>SUM(L20:L23)</f>
        <v>899</v>
      </c>
    </row>
    <row r="12" spans="1:15" ht="15.75" thickBot="1" x14ac:dyDescent="0.3">
      <c r="A12" s="9" t="s">
        <v>17</v>
      </c>
      <c r="B12" s="42">
        <v>39</v>
      </c>
      <c r="C12" s="1">
        <v>39</v>
      </c>
      <c r="D12" s="42">
        <v>26</v>
      </c>
      <c r="E12" s="42">
        <v>0</v>
      </c>
      <c r="F12" s="1">
        <v>0</v>
      </c>
      <c r="G12" s="1">
        <v>2</v>
      </c>
      <c r="H12" s="43">
        <v>0</v>
      </c>
      <c r="I12" s="1">
        <v>0</v>
      </c>
      <c r="J12" s="44">
        <v>1</v>
      </c>
      <c r="K12" s="44">
        <v>55</v>
      </c>
      <c r="L12" s="7">
        <f t="shared" si="1"/>
        <v>107</v>
      </c>
      <c r="M12" s="8">
        <f t="shared" si="0"/>
        <v>162</v>
      </c>
      <c r="N12" s="21" t="s">
        <v>79</v>
      </c>
      <c r="O12" s="22">
        <f>SUM(L24:L27)</f>
        <v>876</v>
      </c>
    </row>
    <row r="13" spans="1:15" ht="15.75" thickBot="1" x14ac:dyDescent="0.3">
      <c r="A13" s="9" t="s">
        <v>18</v>
      </c>
      <c r="B13" s="42">
        <v>26</v>
      </c>
      <c r="C13" s="1">
        <v>76</v>
      </c>
      <c r="D13" s="42">
        <v>0</v>
      </c>
      <c r="E13" s="42">
        <v>0</v>
      </c>
      <c r="F13" s="1">
        <v>0</v>
      </c>
      <c r="G13" s="1">
        <v>0</v>
      </c>
      <c r="H13" s="43">
        <v>2</v>
      </c>
      <c r="I13" s="1">
        <v>0</v>
      </c>
      <c r="J13" s="44">
        <v>0</v>
      </c>
      <c r="K13" s="52">
        <v>42</v>
      </c>
      <c r="L13" s="7">
        <f t="shared" si="1"/>
        <v>104</v>
      </c>
      <c r="M13" s="8">
        <f t="shared" si="0"/>
        <v>146</v>
      </c>
      <c r="N13" s="21" t="s">
        <v>80</v>
      </c>
      <c r="O13" s="22">
        <f>SUM(L28:L31)</f>
        <v>713</v>
      </c>
    </row>
    <row r="14" spans="1:15" ht="15.75" thickBot="1" x14ac:dyDescent="0.3">
      <c r="A14" s="9" t="s">
        <v>19</v>
      </c>
      <c r="B14" s="42">
        <v>30</v>
      </c>
      <c r="C14" s="1">
        <v>70</v>
      </c>
      <c r="D14" s="42">
        <v>0</v>
      </c>
      <c r="E14" s="42">
        <v>0</v>
      </c>
      <c r="F14" s="1">
        <v>0</v>
      </c>
      <c r="G14" s="1">
        <v>0</v>
      </c>
      <c r="H14" s="43">
        <v>4</v>
      </c>
      <c r="I14" s="1">
        <v>0</v>
      </c>
      <c r="J14" s="44">
        <v>0</v>
      </c>
      <c r="K14" s="52">
        <v>62</v>
      </c>
      <c r="L14" s="7">
        <f t="shared" si="1"/>
        <v>104</v>
      </c>
      <c r="M14" s="8">
        <f t="shared" si="0"/>
        <v>166</v>
      </c>
      <c r="N14" s="21" t="s">
        <v>81</v>
      </c>
      <c r="O14" s="22">
        <f>SUM(L32:L35)</f>
        <v>638</v>
      </c>
    </row>
    <row r="15" spans="1:15" ht="15.75" thickBot="1" x14ac:dyDescent="0.3">
      <c r="A15" s="9" t="s">
        <v>20</v>
      </c>
      <c r="B15" s="42">
        <v>24</v>
      </c>
      <c r="C15" s="1">
        <v>76</v>
      </c>
      <c r="D15" s="42">
        <v>0</v>
      </c>
      <c r="E15" s="42">
        <v>0</v>
      </c>
      <c r="F15" s="1">
        <v>0</v>
      </c>
      <c r="G15" s="1">
        <v>0</v>
      </c>
      <c r="H15" s="43">
        <v>1</v>
      </c>
      <c r="I15" s="1">
        <v>4</v>
      </c>
      <c r="J15" s="44">
        <v>1</v>
      </c>
      <c r="K15" s="52">
        <v>53</v>
      </c>
      <c r="L15" s="7">
        <f t="shared" si="1"/>
        <v>106</v>
      </c>
      <c r="M15" s="8">
        <f t="shared" si="0"/>
        <v>159</v>
      </c>
      <c r="N15" s="21" t="s">
        <v>82</v>
      </c>
      <c r="O15" s="22">
        <f>SUM(L36:L39)</f>
        <v>632</v>
      </c>
    </row>
    <row r="16" spans="1:15" ht="15.75" thickBot="1" x14ac:dyDescent="0.3">
      <c r="A16" s="9" t="s">
        <v>21</v>
      </c>
      <c r="B16" s="42">
        <v>39</v>
      </c>
      <c r="C16" s="1">
        <v>99</v>
      </c>
      <c r="D16" s="42">
        <v>53</v>
      </c>
      <c r="E16" s="42">
        <v>0</v>
      </c>
      <c r="F16" s="1">
        <v>0</v>
      </c>
      <c r="G16" s="1">
        <v>0</v>
      </c>
      <c r="H16" s="43">
        <v>4</v>
      </c>
      <c r="I16" s="1">
        <v>1</v>
      </c>
      <c r="J16" s="44">
        <v>0</v>
      </c>
      <c r="K16" s="44">
        <v>74</v>
      </c>
      <c r="L16" s="7">
        <f t="shared" si="1"/>
        <v>196</v>
      </c>
      <c r="M16" s="8">
        <f t="shared" si="0"/>
        <v>270</v>
      </c>
      <c r="N16" s="21" t="s">
        <v>83</v>
      </c>
      <c r="O16" s="22">
        <f>SUM(L40:L43)</f>
        <v>624</v>
      </c>
    </row>
    <row r="17" spans="1:15" ht="15.75" thickBot="1" x14ac:dyDescent="0.3">
      <c r="A17" s="9" t="s">
        <v>22</v>
      </c>
      <c r="B17" s="42">
        <v>40</v>
      </c>
      <c r="C17" s="1">
        <v>90</v>
      </c>
      <c r="D17" s="42">
        <v>50</v>
      </c>
      <c r="E17" s="42">
        <v>0</v>
      </c>
      <c r="F17" s="1">
        <v>0</v>
      </c>
      <c r="G17" s="1">
        <v>0</v>
      </c>
      <c r="H17" s="43">
        <v>3</v>
      </c>
      <c r="I17" s="1">
        <v>0</v>
      </c>
      <c r="J17" s="44">
        <v>0</v>
      </c>
      <c r="K17" s="44">
        <v>70</v>
      </c>
      <c r="L17" s="7">
        <f t="shared" si="1"/>
        <v>183</v>
      </c>
      <c r="M17" s="8">
        <f t="shared" si="0"/>
        <v>253</v>
      </c>
      <c r="N17" s="21" t="s">
        <v>84</v>
      </c>
      <c r="O17" s="22">
        <f>SUM(L44:L47)</f>
        <v>623</v>
      </c>
    </row>
    <row r="18" spans="1:15" ht="15.75" thickBot="1" x14ac:dyDescent="0.3">
      <c r="A18" s="9" t="s">
        <v>23</v>
      </c>
      <c r="B18" s="42">
        <v>45</v>
      </c>
      <c r="C18" s="1">
        <v>112</v>
      </c>
      <c r="D18" s="42">
        <v>55</v>
      </c>
      <c r="E18" s="42">
        <v>0</v>
      </c>
      <c r="F18" s="1">
        <v>0</v>
      </c>
      <c r="G18" s="1">
        <v>1</v>
      </c>
      <c r="H18" s="43">
        <v>0</v>
      </c>
      <c r="I18" s="1">
        <v>0</v>
      </c>
      <c r="J18" s="44">
        <v>1</v>
      </c>
      <c r="K18" s="44">
        <v>110</v>
      </c>
      <c r="L18" s="7">
        <f t="shared" si="1"/>
        <v>214</v>
      </c>
      <c r="M18" s="8">
        <f t="shared" si="0"/>
        <v>324</v>
      </c>
      <c r="N18" s="21" t="s">
        <v>85</v>
      </c>
      <c r="O18" s="22">
        <f>SUM(L48:L51)</f>
        <v>506</v>
      </c>
    </row>
    <row r="19" spans="1:15" ht="15.75" thickBot="1" x14ac:dyDescent="0.3">
      <c r="A19" s="9" t="s">
        <v>24</v>
      </c>
      <c r="B19" s="42">
        <v>39</v>
      </c>
      <c r="C19" s="1">
        <v>95</v>
      </c>
      <c r="D19" s="42">
        <v>45</v>
      </c>
      <c r="E19" s="42">
        <v>0</v>
      </c>
      <c r="F19" s="1">
        <v>0</v>
      </c>
      <c r="G19" s="1">
        <v>0</v>
      </c>
      <c r="H19" s="43">
        <v>0</v>
      </c>
      <c r="I19" s="1">
        <v>0</v>
      </c>
      <c r="J19" s="44">
        <v>2</v>
      </c>
      <c r="K19" s="44">
        <v>80</v>
      </c>
      <c r="L19" s="7">
        <f t="shared" si="1"/>
        <v>181</v>
      </c>
      <c r="M19" s="8">
        <f t="shared" si="0"/>
        <v>261</v>
      </c>
      <c r="N19" s="21" t="s">
        <v>86</v>
      </c>
      <c r="O19" s="22">
        <f>SUM(L52:L55)</f>
        <v>451</v>
      </c>
    </row>
    <row r="20" spans="1:15" ht="15.75" thickBot="1" x14ac:dyDescent="0.3">
      <c r="A20" s="9" t="s">
        <v>25</v>
      </c>
      <c r="B20" s="42">
        <v>50</v>
      </c>
      <c r="C20" s="1">
        <v>130</v>
      </c>
      <c r="D20" s="42">
        <v>60</v>
      </c>
      <c r="E20" s="42">
        <v>0</v>
      </c>
      <c r="F20" s="1">
        <v>0</v>
      </c>
      <c r="G20" s="1">
        <v>0</v>
      </c>
      <c r="H20" s="43">
        <v>2</v>
      </c>
      <c r="I20" s="1">
        <v>3</v>
      </c>
      <c r="J20" s="44">
        <v>1</v>
      </c>
      <c r="K20" s="44">
        <v>75</v>
      </c>
      <c r="L20" s="7">
        <f t="shared" si="1"/>
        <v>246</v>
      </c>
      <c r="M20" s="8">
        <f t="shared" si="0"/>
        <v>321</v>
      </c>
      <c r="N20" s="21" t="s">
        <v>87</v>
      </c>
      <c r="O20" s="22">
        <f>SUM(L56:L59)</f>
        <v>550</v>
      </c>
    </row>
    <row r="21" spans="1:15" ht="15.75" thickBot="1" x14ac:dyDescent="0.3">
      <c r="A21" s="9" t="s">
        <v>26</v>
      </c>
      <c r="B21" s="42">
        <v>45</v>
      </c>
      <c r="C21" s="1">
        <v>120</v>
      </c>
      <c r="D21" s="42">
        <v>55</v>
      </c>
      <c r="E21" s="42">
        <v>0</v>
      </c>
      <c r="F21" s="1">
        <v>0</v>
      </c>
      <c r="G21" s="1">
        <v>0</v>
      </c>
      <c r="H21" s="43">
        <v>0</v>
      </c>
      <c r="I21" s="1">
        <v>0</v>
      </c>
      <c r="J21" s="44">
        <v>0</v>
      </c>
      <c r="K21" s="44">
        <v>100</v>
      </c>
      <c r="L21" s="7">
        <f t="shared" si="1"/>
        <v>220</v>
      </c>
      <c r="M21" s="8">
        <f t="shared" si="0"/>
        <v>320</v>
      </c>
      <c r="N21" s="21" t="s">
        <v>88</v>
      </c>
      <c r="O21" s="22">
        <f>SUM(L60:L63)</f>
        <v>456</v>
      </c>
    </row>
    <row r="22" spans="1:15" ht="15.75" thickBot="1" x14ac:dyDescent="0.3">
      <c r="A22" s="9" t="s">
        <v>27</v>
      </c>
      <c r="B22" s="42">
        <v>40</v>
      </c>
      <c r="C22" s="1">
        <v>95</v>
      </c>
      <c r="D22" s="42">
        <v>70</v>
      </c>
      <c r="E22" s="42">
        <v>0</v>
      </c>
      <c r="F22" s="1">
        <v>0</v>
      </c>
      <c r="G22" s="1">
        <v>0</v>
      </c>
      <c r="H22" s="43">
        <v>1</v>
      </c>
      <c r="I22" s="1">
        <v>0</v>
      </c>
      <c r="J22" s="44">
        <v>0</v>
      </c>
      <c r="K22" s="44">
        <v>95</v>
      </c>
      <c r="L22" s="7">
        <f t="shared" si="1"/>
        <v>206</v>
      </c>
      <c r="M22" s="8">
        <f t="shared" si="0"/>
        <v>301</v>
      </c>
      <c r="N22" s="21" t="s">
        <v>89</v>
      </c>
      <c r="O22" s="22">
        <f>SUM(L64:L67)</f>
        <v>501</v>
      </c>
    </row>
    <row r="23" spans="1:15" ht="15.75" thickBot="1" x14ac:dyDescent="0.3">
      <c r="A23" s="9" t="s">
        <v>28</v>
      </c>
      <c r="B23" s="42">
        <v>44</v>
      </c>
      <c r="C23" s="1">
        <v>100</v>
      </c>
      <c r="D23" s="42">
        <v>75</v>
      </c>
      <c r="E23" s="42">
        <v>0</v>
      </c>
      <c r="F23" s="1">
        <v>0</v>
      </c>
      <c r="G23" s="1">
        <v>0</v>
      </c>
      <c r="H23" s="43">
        <v>6</v>
      </c>
      <c r="I23" s="1">
        <v>0</v>
      </c>
      <c r="J23" s="44">
        <v>2</v>
      </c>
      <c r="K23" s="44">
        <v>84</v>
      </c>
      <c r="L23" s="7">
        <f t="shared" si="1"/>
        <v>227</v>
      </c>
      <c r="M23" s="8">
        <f t="shared" si="0"/>
        <v>311</v>
      </c>
      <c r="N23" s="20"/>
    </row>
    <row r="24" spans="1:15" ht="15.75" thickBot="1" x14ac:dyDescent="0.3">
      <c r="A24" s="9" t="s">
        <v>29</v>
      </c>
      <c r="B24" s="42">
        <v>45</v>
      </c>
      <c r="C24" s="1">
        <v>115</v>
      </c>
      <c r="D24" s="42">
        <v>74</v>
      </c>
      <c r="E24" s="42">
        <v>0</v>
      </c>
      <c r="F24" s="1">
        <v>0</v>
      </c>
      <c r="G24" s="1">
        <v>0</v>
      </c>
      <c r="H24" s="43">
        <v>2</v>
      </c>
      <c r="I24" s="1">
        <v>0</v>
      </c>
      <c r="J24" s="44">
        <v>2</v>
      </c>
      <c r="K24" s="44">
        <v>85</v>
      </c>
      <c r="L24" s="7">
        <f t="shared" si="1"/>
        <v>238</v>
      </c>
      <c r="M24" s="8">
        <f t="shared" si="0"/>
        <v>323</v>
      </c>
      <c r="N24" s="20" t="s">
        <v>118</v>
      </c>
      <c r="O24" s="22">
        <f>AVERAGE(O9:O11)</f>
        <v>698</v>
      </c>
    </row>
    <row r="25" spans="1:15" ht="15.75" thickBot="1" x14ac:dyDescent="0.3">
      <c r="A25" s="9" t="s">
        <v>30</v>
      </c>
      <c r="B25" s="42">
        <v>45</v>
      </c>
      <c r="C25" s="1">
        <v>109</v>
      </c>
      <c r="D25" s="42">
        <v>68</v>
      </c>
      <c r="E25" s="42">
        <v>0</v>
      </c>
      <c r="F25" s="1">
        <v>0</v>
      </c>
      <c r="G25" s="1">
        <v>0</v>
      </c>
      <c r="H25" s="43">
        <v>3</v>
      </c>
      <c r="I25" s="1">
        <v>0</v>
      </c>
      <c r="J25" s="44">
        <v>0</v>
      </c>
      <c r="K25" s="44">
        <v>85</v>
      </c>
      <c r="L25" s="7">
        <f t="shared" si="1"/>
        <v>225</v>
      </c>
      <c r="M25" s="8">
        <f t="shared" si="0"/>
        <v>310</v>
      </c>
      <c r="N25" s="20" t="s">
        <v>119</v>
      </c>
      <c r="O25" s="22">
        <f>AVERAGE(O18:O20)</f>
        <v>502.33333333333331</v>
      </c>
    </row>
    <row r="26" spans="1:15" ht="15.75" thickBot="1" x14ac:dyDescent="0.3">
      <c r="A26" s="9" t="s">
        <v>31</v>
      </c>
      <c r="B26" s="42">
        <v>40</v>
      </c>
      <c r="C26" s="1">
        <v>95</v>
      </c>
      <c r="D26" s="42">
        <v>50</v>
      </c>
      <c r="E26" s="42">
        <v>0</v>
      </c>
      <c r="F26" s="1">
        <v>0</v>
      </c>
      <c r="G26" s="1">
        <v>0</v>
      </c>
      <c r="H26" s="43">
        <v>0</v>
      </c>
      <c r="I26" s="1">
        <v>0</v>
      </c>
      <c r="J26" s="44">
        <v>0</v>
      </c>
      <c r="K26" s="44">
        <v>80</v>
      </c>
      <c r="L26" s="7">
        <f t="shared" si="1"/>
        <v>185</v>
      </c>
      <c r="M26" s="8">
        <f t="shared" si="0"/>
        <v>265</v>
      </c>
      <c r="N26" s="20"/>
    </row>
    <row r="27" spans="1:15" ht="15.75" thickBot="1" x14ac:dyDescent="0.3">
      <c r="A27" s="9" t="s">
        <v>32</v>
      </c>
      <c r="B27" s="42">
        <v>48</v>
      </c>
      <c r="C27" s="1">
        <v>120</v>
      </c>
      <c r="D27" s="42">
        <v>55</v>
      </c>
      <c r="E27" s="42">
        <v>0</v>
      </c>
      <c r="F27" s="1">
        <v>0</v>
      </c>
      <c r="G27" s="1">
        <v>0</v>
      </c>
      <c r="H27" s="43">
        <v>2</v>
      </c>
      <c r="I27" s="1">
        <v>1</v>
      </c>
      <c r="J27" s="44">
        <v>2</v>
      </c>
      <c r="K27" s="44">
        <v>75</v>
      </c>
      <c r="L27" s="7">
        <f t="shared" si="1"/>
        <v>228</v>
      </c>
      <c r="M27" s="8">
        <f t="shared" si="0"/>
        <v>303</v>
      </c>
      <c r="N27" s="20"/>
    </row>
    <row r="28" spans="1:15" ht="15.75" thickBot="1" x14ac:dyDescent="0.3">
      <c r="A28" s="9" t="s">
        <v>33</v>
      </c>
      <c r="B28" s="42">
        <v>22</v>
      </c>
      <c r="C28" s="1">
        <v>59</v>
      </c>
      <c r="D28" s="42">
        <v>64</v>
      </c>
      <c r="E28" s="42">
        <v>0</v>
      </c>
      <c r="F28" s="1">
        <v>0</v>
      </c>
      <c r="G28" s="1">
        <v>0</v>
      </c>
      <c r="H28" s="43">
        <v>6</v>
      </c>
      <c r="I28" s="1">
        <v>0</v>
      </c>
      <c r="J28" s="44">
        <v>0</v>
      </c>
      <c r="K28" s="44">
        <v>65</v>
      </c>
      <c r="L28" s="7">
        <f t="shared" si="1"/>
        <v>151</v>
      </c>
      <c r="M28" s="8">
        <f t="shared" si="0"/>
        <v>216</v>
      </c>
      <c r="N28" s="20"/>
    </row>
    <row r="29" spans="1:15" ht="15.75" thickBot="1" x14ac:dyDescent="0.3">
      <c r="A29" s="9" t="s">
        <v>34</v>
      </c>
      <c r="B29" s="42">
        <v>31</v>
      </c>
      <c r="C29" s="1">
        <v>55</v>
      </c>
      <c r="D29" s="42">
        <v>65</v>
      </c>
      <c r="E29" s="42">
        <v>0</v>
      </c>
      <c r="F29" s="1">
        <v>0</v>
      </c>
      <c r="G29" s="1">
        <v>0</v>
      </c>
      <c r="H29" s="43">
        <v>3</v>
      </c>
      <c r="I29" s="1">
        <v>1</v>
      </c>
      <c r="J29" s="44">
        <v>2</v>
      </c>
      <c r="K29" s="44">
        <v>75</v>
      </c>
      <c r="L29" s="7">
        <f t="shared" si="1"/>
        <v>157</v>
      </c>
      <c r="M29" s="8">
        <f t="shared" si="0"/>
        <v>232</v>
      </c>
      <c r="N29" s="20"/>
    </row>
    <row r="30" spans="1:15" ht="15.75" thickBot="1" x14ac:dyDescent="0.3">
      <c r="A30" s="9" t="s">
        <v>35</v>
      </c>
      <c r="B30" s="42">
        <v>40</v>
      </c>
      <c r="C30" s="1">
        <v>89</v>
      </c>
      <c r="D30" s="42">
        <v>65</v>
      </c>
      <c r="E30" s="42">
        <v>0</v>
      </c>
      <c r="F30" s="1">
        <v>0</v>
      </c>
      <c r="G30" s="1">
        <v>0</v>
      </c>
      <c r="H30" s="43">
        <v>3</v>
      </c>
      <c r="I30" s="1">
        <v>2</v>
      </c>
      <c r="J30" s="44">
        <v>0</v>
      </c>
      <c r="K30" s="44">
        <v>70</v>
      </c>
      <c r="L30" s="7">
        <f t="shared" si="1"/>
        <v>199</v>
      </c>
      <c r="M30" s="8">
        <f t="shared" si="0"/>
        <v>269</v>
      </c>
      <c r="N30" s="20"/>
    </row>
    <row r="31" spans="1:15" ht="15.75" thickBot="1" x14ac:dyDescent="0.3">
      <c r="A31" s="9" t="s">
        <v>36</v>
      </c>
      <c r="B31" s="42">
        <v>53</v>
      </c>
      <c r="C31" s="1">
        <v>108</v>
      </c>
      <c r="D31" s="42">
        <v>42</v>
      </c>
      <c r="E31" s="42">
        <v>0</v>
      </c>
      <c r="F31" s="1">
        <v>0</v>
      </c>
      <c r="G31" s="1">
        <v>0</v>
      </c>
      <c r="H31" s="43">
        <v>0</v>
      </c>
      <c r="I31" s="1">
        <v>1</v>
      </c>
      <c r="J31" s="44">
        <v>2</v>
      </c>
      <c r="K31" s="44">
        <v>73</v>
      </c>
      <c r="L31" s="7">
        <f t="shared" si="1"/>
        <v>206</v>
      </c>
      <c r="M31" s="8">
        <f t="shared" si="0"/>
        <v>279</v>
      </c>
      <c r="N31" s="20"/>
    </row>
    <row r="32" spans="1:15" ht="15.75" thickBot="1" x14ac:dyDescent="0.3">
      <c r="A32" s="9" t="s">
        <v>37</v>
      </c>
      <c r="B32" s="42">
        <v>25</v>
      </c>
      <c r="C32" s="1">
        <v>55</v>
      </c>
      <c r="D32" s="42">
        <v>57</v>
      </c>
      <c r="E32" s="42">
        <v>0</v>
      </c>
      <c r="F32" s="1">
        <v>0</v>
      </c>
      <c r="G32" s="1">
        <v>0</v>
      </c>
      <c r="H32" s="43">
        <v>4</v>
      </c>
      <c r="I32" s="1">
        <v>0</v>
      </c>
      <c r="J32" s="44">
        <v>0</v>
      </c>
      <c r="K32" s="44">
        <v>70</v>
      </c>
      <c r="L32" s="7">
        <f t="shared" si="1"/>
        <v>141</v>
      </c>
      <c r="M32" s="8">
        <f t="shared" si="0"/>
        <v>211</v>
      </c>
      <c r="N32" s="20"/>
    </row>
    <row r="33" spans="1:14" ht="15.75" thickBot="1" x14ac:dyDescent="0.3">
      <c r="A33" s="9" t="s">
        <v>38</v>
      </c>
      <c r="B33" s="42">
        <v>31</v>
      </c>
      <c r="C33" s="1">
        <v>64</v>
      </c>
      <c r="D33" s="42">
        <v>55</v>
      </c>
      <c r="E33" s="42">
        <v>0</v>
      </c>
      <c r="F33" s="1">
        <v>0</v>
      </c>
      <c r="G33" s="1">
        <v>0</v>
      </c>
      <c r="H33" s="43">
        <v>2</v>
      </c>
      <c r="I33" s="1">
        <v>0</v>
      </c>
      <c r="J33" s="44">
        <v>2</v>
      </c>
      <c r="K33" s="44">
        <v>73</v>
      </c>
      <c r="L33" s="7">
        <f t="shared" si="1"/>
        <v>154</v>
      </c>
      <c r="M33" s="8">
        <f t="shared" si="0"/>
        <v>227</v>
      </c>
      <c r="N33" s="20"/>
    </row>
    <row r="34" spans="1:14" ht="15.75" thickBot="1" x14ac:dyDescent="0.3">
      <c r="A34" s="9" t="s">
        <v>39</v>
      </c>
      <c r="B34" s="42">
        <v>30</v>
      </c>
      <c r="C34" s="1">
        <v>60</v>
      </c>
      <c r="D34" s="42">
        <v>72</v>
      </c>
      <c r="E34" s="42">
        <v>0</v>
      </c>
      <c r="F34" s="1">
        <v>0</v>
      </c>
      <c r="G34" s="1">
        <v>0</v>
      </c>
      <c r="H34" s="43">
        <v>4</v>
      </c>
      <c r="I34" s="1">
        <v>0</v>
      </c>
      <c r="J34" s="44">
        <v>3</v>
      </c>
      <c r="K34" s="44">
        <v>60</v>
      </c>
      <c r="L34" s="7">
        <f t="shared" si="1"/>
        <v>169</v>
      </c>
      <c r="M34" s="8">
        <f t="shared" si="0"/>
        <v>229</v>
      </c>
      <c r="N34" s="20"/>
    </row>
    <row r="35" spans="1:14" ht="15.75" thickBot="1" x14ac:dyDescent="0.3">
      <c r="A35" s="9" t="s">
        <v>40</v>
      </c>
      <c r="B35" s="42">
        <v>25</v>
      </c>
      <c r="C35" s="1">
        <v>65</v>
      </c>
      <c r="D35" s="42">
        <v>80</v>
      </c>
      <c r="E35" s="42">
        <v>0</v>
      </c>
      <c r="F35" s="1">
        <v>0</v>
      </c>
      <c r="G35" s="1">
        <v>0</v>
      </c>
      <c r="H35" s="43">
        <v>2</v>
      </c>
      <c r="I35" s="1">
        <v>0</v>
      </c>
      <c r="J35" s="44">
        <v>2</v>
      </c>
      <c r="K35" s="44">
        <v>77</v>
      </c>
      <c r="L35" s="7">
        <f t="shared" si="1"/>
        <v>174</v>
      </c>
      <c r="M35" s="8">
        <f t="shared" si="0"/>
        <v>251</v>
      </c>
      <c r="N35" s="20"/>
    </row>
    <row r="36" spans="1:14" ht="15.75" thickBot="1" x14ac:dyDescent="0.3">
      <c r="A36" s="9" t="s">
        <v>41</v>
      </c>
      <c r="B36" s="42">
        <v>26</v>
      </c>
      <c r="C36" s="1">
        <v>54</v>
      </c>
      <c r="D36" s="42">
        <v>70</v>
      </c>
      <c r="E36" s="42">
        <v>0</v>
      </c>
      <c r="F36" s="1">
        <v>0</v>
      </c>
      <c r="G36" s="1">
        <v>0</v>
      </c>
      <c r="H36" s="43">
        <v>4</v>
      </c>
      <c r="I36" s="1">
        <v>0</v>
      </c>
      <c r="J36" s="44">
        <v>0</v>
      </c>
      <c r="K36" s="44">
        <v>65</v>
      </c>
      <c r="L36" s="7">
        <f t="shared" si="1"/>
        <v>154</v>
      </c>
      <c r="M36" s="8">
        <f t="shared" si="0"/>
        <v>219</v>
      </c>
      <c r="N36" s="20"/>
    </row>
    <row r="37" spans="1:14" ht="15.75" thickBot="1" x14ac:dyDescent="0.3">
      <c r="A37" s="9" t="s">
        <v>42</v>
      </c>
      <c r="B37" s="42">
        <v>20</v>
      </c>
      <c r="C37" s="1">
        <v>63</v>
      </c>
      <c r="D37" s="42">
        <v>73</v>
      </c>
      <c r="E37" s="42">
        <v>0</v>
      </c>
      <c r="F37" s="1">
        <v>0</v>
      </c>
      <c r="G37" s="1">
        <v>0</v>
      </c>
      <c r="H37" s="43">
        <v>2</v>
      </c>
      <c r="I37" s="1">
        <v>1</v>
      </c>
      <c r="J37" s="44">
        <v>0</v>
      </c>
      <c r="K37" s="44">
        <v>65</v>
      </c>
      <c r="L37" s="7">
        <f t="shared" si="1"/>
        <v>159</v>
      </c>
      <c r="M37" s="8">
        <f t="shared" si="0"/>
        <v>224</v>
      </c>
      <c r="N37" s="20"/>
    </row>
    <row r="38" spans="1:14" ht="15.75" thickBot="1" x14ac:dyDescent="0.3">
      <c r="A38" s="9" t="s">
        <v>43</v>
      </c>
      <c r="B38" s="42">
        <v>16</v>
      </c>
      <c r="C38" s="1">
        <v>52</v>
      </c>
      <c r="D38" s="42">
        <v>65</v>
      </c>
      <c r="E38" s="42">
        <v>0</v>
      </c>
      <c r="F38" s="1">
        <v>0</v>
      </c>
      <c r="G38" s="1">
        <v>0</v>
      </c>
      <c r="H38" s="43">
        <v>5</v>
      </c>
      <c r="I38" s="1">
        <v>0</v>
      </c>
      <c r="J38" s="44">
        <v>3</v>
      </c>
      <c r="K38" s="44">
        <v>70</v>
      </c>
      <c r="L38" s="7">
        <f t="shared" si="1"/>
        <v>141</v>
      </c>
      <c r="M38" s="8">
        <f t="shared" si="0"/>
        <v>211</v>
      </c>
      <c r="N38" s="20"/>
    </row>
    <row r="39" spans="1:14" ht="15.75" thickBot="1" x14ac:dyDescent="0.3">
      <c r="A39" s="9" t="s">
        <v>44</v>
      </c>
      <c r="B39" s="42">
        <v>25</v>
      </c>
      <c r="C39" s="1">
        <v>60</v>
      </c>
      <c r="D39" s="42">
        <v>85</v>
      </c>
      <c r="E39" s="42">
        <v>0</v>
      </c>
      <c r="F39" s="1">
        <v>0</v>
      </c>
      <c r="G39" s="1">
        <v>0</v>
      </c>
      <c r="H39" s="43">
        <v>6</v>
      </c>
      <c r="I39" s="1">
        <v>0</v>
      </c>
      <c r="J39" s="44">
        <v>2</v>
      </c>
      <c r="K39" s="44">
        <v>95</v>
      </c>
      <c r="L39" s="7">
        <f t="shared" si="1"/>
        <v>178</v>
      </c>
      <c r="M39" s="8">
        <f t="shared" si="0"/>
        <v>273</v>
      </c>
      <c r="N39" s="20"/>
    </row>
    <row r="40" spans="1:14" ht="15.75" thickBot="1" x14ac:dyDescent="0.3">
      <c r="A40" s="9" t="s">
        <v>45</v>
      </c>
      <c r="B40" s="42">
        <v>21</v>
      </c>
      <c r="C40" s="1">
        <v>62</v>
      </c>
      <c r="D40" s="42">
        <v>62</v>
      </c>
      <c r="E40" s="42">
        <v>0</v>
      </c>
      <c r="F40" s="1">
        <v>0</v>
      </c>
      <c r="G40" s="1">
        <v>0</v>
      </c>
      <c r="H40" s="43">
        <v>2</v>
      </c>
      <c r="I40" s="1">
        <v>0</v>
      </c>
      <c r="J40" s="44">
        <v>0</v>
      </c>
      <c r="K40" s="44">
        <v>90</v>
      </c>
      <c r="L40" s="7">
        <f t="shared" si="1"/>
        <v>147</v>
      </c>
      <c r="M40" s="8">
        <f t="shared" si="0"/>
        <v>237</v>
      </c>
      <c r="N40" s="20"/>
    </row>
    <row r="41" spans="1:14" ht="15.75" thickBot="1" x14ac:dyDescent="0.3">
      <c r="A41" s="9" t="s">
        <v>46</v>
      </c>
      <c r="B41" s="42">
        <v>19</v>
      </c>
      <c r="C41" s="1">
        <v>50</v>
      </c>
      <c r="D41" s="42">
        <v>65</v>
      </c>
      <c r="E41" s="42">
        <v>0</v>
      </c>
      <c r="F41" s="1">
        <v>0</v>
      </c>
      <c r="G41" s="1">
        <v>0</v>
      </c>
      <c r="H41" s="43">
        <v>7</v>
      </c>
      <c r="I41" s="1">
        <v>1</v>
      </c>
      <c r="J41" s="44">
        <v>3</v>
      </c>
      <c r="K41" s="44">
        <v>92</v>
      </c>
      <c r="L41" s="7">
        <f t="shared" si="1"/>
        <v>145</v>
      </c>
      <c r="M41" s="8">
        <f t="shared" si="0"/>
        <v>237</v>
      </c>
      <c r="N41" s="20"/>
    </row>
    <row r="42" spans="1:14" ht="15.75" thickBot="1" x14ac:dyDescent="0.3">
      <c r="A42" s="9" t="s">
        <v>47</v>
      </c>
      <c r="B42" s="42">
        <v>27</v>
      </c>
      <c r="C42" s="1">
        <v>69</v>
      </c>
      <c r="D42" s="42">
        <v>57</v>
      </c>
      <c r="E42" s="42">
        <v>0</v>
      </c>
      <c r="F42" s="1">
        <v>0</v>
      </c>
      <c r="G42" s="1">
        <v>0</v>
      </c>
      <c r="H42" s="43">
        <v>5</v>
      </c>
      <c r="I42" s="1">
        <v>0</v>
      </c>
      <c r="J42" s="44">
        <v>0</v>
      </c>
      <c r="K42" s="44">
        <v>85</v>
      </c>
      <c r="L42" s="7">
        <f t="shared" si="1"/>
        <v>158</v>
      </c>
      <c r="M42" s="8">
        <f t="shared" si="0"/>
        <v>243</v>
      </c>
      <c r="N42" s="20"/>
    </row>
    <row r="43" spans="1:14" ht="15.75" thickBot="1" x14ac:dyDescent="0.3">
      <c r="A43" s="9" t="s">
        <v>48</v>
      </c>
      <c r="B43" s="42">
        <v>27</v>
      </c>
      <c r="C43" s="1">
        <v>64</v>
      </c>
      <c r="D43" s="42">
        <v>75</v>
      </c>
      <c r="E43" s="42">
        <v>0</v>
      </c>
      <c r="F43" s="1">
        <v>0</v>
      </c>
      <c r="G43" s="1">
        <v>0</v>
      </c>
      <c r="H43" s="43">
        <v>4</v>
      </c>
      <c r="I43" s="1">
        <v>1</v>
      </c>
      <c r="J43" s="44">
        <v>3</v>
      </c>
      <c r="K43" s="44">
        <v>88</v>
      </c>
      <c r="L43" s="7">
        <f t="shared" si="1"/>
        <v>174</v>
      </c>
      <c r="M43" s="8">
        <f t="shared" si="0"/>
        <v>262</v>
      </c>
      <c r="N43" s="20"/>
    </row>
    <row r="44" spans="1:14" ht="15.75" thickBot="1" x14ac:dyDescent="0.3">
      <c r="A44" s="9" t="s">
        <v>49</v>
      </c>
      <c r="B44" s="42">
        <v>25</v>
      </c>
      <c r="C44" s="1">
        <v>55</v>
      </c>
      <c r="D44" s="42">
        <v>77</v>
      </c>
      <c r="E44" s="42">
        <v>0</v>
      </c>
      <c r="F44" s="1">
        <v>0</v>
      </c>
      <c r="G44" s="1">
        <v>0</v>
      </c>
      <c r="H44" s="43">
        <v>1</v>
      </c>
      <c r="I44" s="1">
        <v>0</v>
      </c>
      <c r="J44" s="44">
        <v>2</v>
      </c>
      <c r="K44" s="44">
        <v>104</v>
      </c>
      <c r="L44" s="7">
        <f t="shared" si="1"/>
        <v>160</v>
      </c>
      <c r="M44" s="8">
        <f t="shared" si="0"/>
        <v>264</v>
      </c>
      <c r="N44" s="20"/>
    </row>
    <row r="45" spans="1:14" ht="15.75" thickBot="1" x14ac:dyDescent="0.3">
      <c r="A45" s="9" t="s">
        <v>50</v>
      </c>
      <c r="B45" s="42">
        <v>20</v>
      </c>
      <c r="C45" s="1">
        <v>70</v>
      </c>
      <c r="D45" s="42">
        <v>54</v>
      </c>
      <c r="E45" s="42">
        <v>0</v>
      </c>
      <c r="F45" s="1">
        <v>0</v>
      </c>
      <c r="G45" s="1">
        <v>0</v>
      </c>
      <c r="H45" s="43">
        <v>1</v>
      </c>
      <c r="I45" s="1">
        <v>0</v>
      </c>
      <c r="J45" s="44">
        <v>2</v>
      </c>
      <c r="K45" s="44">
        <v>90</v>
      </c>
      <c r="L45" s="7">
        <f t="shared" si="1"/>
        <v>147</v>
      </c>
      <c r="M45" s="8">
        <f t="shared" si="0"/>
        <v>237</v>
      </c>
      <c r="N45" s="20"/>
    </row>
    <row r="46" spans="1:14" ht="15.75" thickBot="1" x14ac:dyDescent="0.3">
      <c r="A46" s="9" t="s">
        <v>51</v>
      </c>
      <c r="B46" s="42">
        <v>32</v>
      </c>
      <c r="C46" s="1">
        <v>78</v>
      </c>
      <c r="D46" s="42">
        <v>55</v>
      </c>
      <c r="E46" s="42">
        <v>0</v>
      </c>
      <c r="F46" s="1">
        <v>0</v>
      </c>
      <c r="G46" s="1">
        <v>0</v>
      </c>
      <c r="H46" s="43">
        <v>3</v>
      </c>
      <c r="I46" s="1">
        <v>0</v>
      </c>
      <c r="J46" s="44">
        <v>0</v>
      </c>
      <c r="K46" s="44">
        <v>40</v>
      </c>
      <c r="L46" s="7">
        <f t="shared" si="1"/>
        <v>168</v>
      </c>
      <c r="M46" s="8">
        <f t="shared" si="0"/>
        <v>208</v>
      </c>
      <c r="N46" s="20"/>
    </row>
    <row r="47" spans="1:14" ht="15.75" thickBot="1" x14ac:dyDescent="0.3">
      <c r="A47" s="9" t="s">
        <v>52</v>
      </c>
      <c r="B47" s="42">
        <v>24</v>
      </c>
      <c r="C47" s="1">
        <v>52</v>
      </c>
      <c r="D47" s="42">
        <v>70</v>
      </c>
      <c r="E47" s="42">
        <v>0</v>
      </c>
      <c r="F47" s="1">
        <v>0</v>
      </c>
      <c r="G47" s="1">
        <v>0</v>
      </c>
      <c r="H47" s="43">
        <v>0</v>
      </c>
      <c r="I47" s="1">
        <v>0</v>
      </c>
      <c r="J47" s="44">
        <v>2</v>
      </c>
      <c r="K47" s="44">
        <v>97</v>
      </c>
      <c r="L47" s="7">
        <f t="shared" si="1"/>
        <v>148</v>
      </c>
      <c r="M47" s="8">
        <f t="shared" si="0"/>
        <v>245</v>
      </c>
      <c r="N47" s="20"/>
    </row>
    <row r="48" spans="1:14" ht="15.75" thickBot="1" x14ac:dyDescent="0.3">
      <c r="A48" s="9" t="s">
        <v>53</v>
      </c>
      <c r="B48" s="42">
        <v>29</v>
      </c>
      <c r="C48" s="1">
        <v>45</v>
      </c>
      <c r="D48" s="42">
        <v>55</v>
      </c>
      <c r="E48" s="42">
        <v>0</v>
      </c>
      <c r="F48" s="1">
        <v>0</v>
      </c>
      <c r="G48" s="1">
        <v>0</v>
      </c>
      <c r="H48" s="43">
        <v>0</v>
      </c>
      <c r="I48" s="1">
        <v>0</v>
      </c>
      <c r="J48" s="44">
        <v>1</v>
      </c>
      <c r="K48" s="44">
        <v>90</v>
      </c>
      <c r="L48" s="7">
        <f t="shared" si="1"/>
        <v>130</v>
      </c>
      <c r="M48" s="8">
        <f t="shared" si="0"/>
        <v>220</v>
      </c>
      <c r="N48" s="20"/>
    </row>
    <row r="49" spans="1:14" ht="15.75" thickBot="1" x14ac:dyDescent="0.3">
      <c r="A49" s="9" t="s">
        <v>54</v>
      </c>
      <c r="B49" s="42">
        <v>25</v>
      </c>
      <c r="C49" s="1">
        <v>50</v>
      </c>
      <c r="D49" s="42">
        <v>50</v>
      </c>
      <c r="E49" s="42">
        <v>0</v>
      </c>
      <c r="F49" s="1">
        <v>0</v>
      </c>
      <c r="G49" s="1">
        <v>0</v>
      </c>
      <c r="H49" s="43">
        <v>3</v>
      </c>
      <c r="I49" s="1">
        <v>1</v>
      </c>
      <c r="J49" s="44">
        <v>0</v>
      </c>
      <c r="K49" s="44">
        <v>86</v>
      </c>
      <c r="L49" s="7">
        <f t="shared" si="1"/>
        <v>129</v>
      </c>
      <c r="M49" s="8">
        <f t="shared" si="0"/>
        <v>215</v>
      </c>
      <c r="N49" s="20"/>
    </row>
    <row r="50" spans="1:14" ht="15.75" thickBot="1" x14ac:dyDescent="0.3">
      <c r="A50" s="9" t="s">
        <v>55</v>
      </c>
      <c r="B50" s="42">
        <v>14</v>
      </c>
      <c r="C50" s="1">
        <v>42</v>
      </c>
      <c r="D50" s="42">
        <v>65</v>
      </c>
      <c r="E50" s="42">
        <v>0</v>
      </c>
      <c r="F50" s="1">
        <v>0</v>
      </c>
      <c r="G50" s="1">
        <v>0</v>
      </c>
      <c r="H50" s="43">
        <v>3</v>
      </c>
      <c r="I50" s="1">
        <v>0</v>
      </c>
      <c r="J50" s="44">
        <v>0</v>
      </c>
      <c r="K50" s="44">
        <v>83</v>
      </c>
      <c r="L50" s="7">
        <f t="shared" si="1"/>
        <v>124</v>
      </c>
      <c r="M50" s="8">
        <f t="shared" si="0"/>
        <v>207</v>
      </c>
      <c r="N50" s="20"/>
    </row>
    <row r="51" spans="1:14" ht="15.75" thickBot="1" x14ac:dyDescent="0.3">
      <c r="A51" s="9" t="s">
        <v>56</v>
      </c>
      <c r="B51" s="42">
        <v>26</v>
      </c>
      <c r="C51" s="1">
        <v>45</v>
      </c>
      <c r="D51" s="42">
        <v>52</v>
      </c>
      <c r="E51" s="42">
        <v>0</v>
      </c>
      <c r="F51" s="1">
        <v>0</v>
      </c>
      <c r="G51" s="1">
        <v>0</v>
      </c>
      <c r="H51" s="43">
        <v>0</v>
      </c>
      <c r="I51" s="1">
        <v>0</v>
      </c>
      <c r="J51" s="44">
        <v>0</v>
      </c>
      <c r="K51" s="44">
        <v>95</v>
      </c>
      <c r="L51" s="7">
        <f t="shared" si="1"/>
        <v>123</v>
      </c>
      <c r="M51" s="8">
        <f t="shared" si="0"/>
        <v>218</v>
      </c>
      <c r="N51" s="20"/>
    </row>
    <row r="52" spans="1:14" ht="15.75" thickBot="1" x14ac:dyDescent="0.3">
      <c r="A52" s="9" t="s">
        <v>57</v>
      </c>
      <c r="B52" s="42">
        <v>30</v>
      </c>
      <c r="C52" s="1">
        <v>55</v>
      </c>
      <c r="D52" s="42">
        <v>44</v>
      </c>
      <c r="E52" s="42">
        <v>0</v>
      </c>
      <c r="F52" s="1">
        <v>0</v>
      </c>
      <c r="G52" s="1">
        <v>0</v>
      </c>
      <c r="H52" s="43">
        <v>0</v>
      </c>
      <c r="I52" s="1">
        <v>1</v>
      </c>
      <c r="J52" s="44">
        <v>0</v>
      </c>
      <c r="K52" s="44">
        <v>65</v>
      </c>
      <c r="L52" s="7">
        <f t="shared" si="1"/>
        <v>130</v>
      </c>
      <c r="M52" s="8">
        <f t="shared" si="0"/>
        <v>195</v>
      </c>
      <c r="N52" s="20"/>
    </row>
    <row r="53" spans="1:14" ht="15.75" thickBot="1" x14ac:dyDescent="0.3">
      <c r="A53" s="9" t="s">
        <v>58</v>
      </c>
      <c r="B53" s="42">
        <v>28</v>
      </c>
      <c r="C53" s="1">
        <v>45</v>
      </c>
      <c r="D53" s="42">
        <v>55</v>
      </c>
      <c r="E53" s="42">
        <v>0</v>
      </c>
      <c r="F53" s="1">
        <v>0</v>
      </c>
      <c r="G53" s="1">
        <v>0</v>
      </c>
      <c r="H53" s="43">
        <v>5</v>
      </c>
      <c r="I53" s="1">
        <v>2</v>
      </c>
      <c r="J53" s="44">
        <v>2</v>
      </c>
      <c r="K53" s="44">
        <v>80</v>
      </c>
      <c r="L53" s="7">
        <f t="shared" si="1"/>
        <v>137</v>
      </c>
      <c r="M53" s="8">
        <f t="shared" si="0"/>
        <v>217</v>
      </c>
      <c r="N53" s="20"/>
    </row>
    <row r="54" spans="1:14" ht="15.75" thickBot="1" x14ac:dyDescent="0.3">
      <c r="A54" s="9" t="s">
        <v>59</v>
      </c>
      <c r="B54" s="42">
        <v>11</v>
      </c>
      <c r="C54" s="1">
        <v>35</v>
      </c>
      <c r="D54" s="42">
        <v>35</v>
      </c>
      <c r="E54" s="42">
        <v>0</v>
      </c>
      <c r="F54" s="1">
        <v>0</v>
      </c>
      <c r="G54" s="1">
        <v>0</v>
      </c>
      <c r="H54" s="43">
        <v>3</v>
      </c>
      <c r="I54" s="1">
        <v>0</v>
      </c>
      <c r="J54" s="44">
        <v>0</v>
      </c>
      <c r="K54" s="44">
        <v>75</v>
      </c>
      <c r="L54" s="7">
        <f t="shared" si="1"/>
        <v>84</v>
      </c>
      <c r="M54" s="8">
        <f t="shared" si="0"/>
        <v>159</v>
      </c>
      <c r="N54" s="20"/>
    </row>
    <row r="55" spans="1:14" ht="15.75" thickBot="1" x14ac:dyDescent="0.3">
      <c r="A55" s="9" t="s">
        <v>60</v>
      </c>
      <c r="B55" s="42">
        <v>20</v>
      </c>
      <c r="C55" s="1">
        <v>36</v>
      </c>
      <c r="D55" s="42">
        <v>42</v>
      </c>
      <c r="E55" s="42">
        <v>0</v>
      </c>
      <c r="F55" s="1">
        <v>0</v>
      </c>
      <c r="G55" s="1">
        <v>0</v>
      </c>
      <c r="H55" s="43">
        <v>2</v>
      </c>
      <c r="I55" s="1">
        <v>0</v>
      </c>
      <c r="J55" s="44">
        <v>0</v>
      </c>
      <c r="K55" s="44">
        <v>75</v>
      </c>
      <c r="L55" s="7">
        <f t="shared" si="1"/>
        <v>100</v>
      </c>
      <c r="M55" s="8">
        <f t="shared" si="0"/>
        <v>175</v>
      </c>
      <c r="N55" s="20"/>
    </row>
    <row r="56" spans="1:14" ht="15.75" thickBot="1" x14ac:dyDescent="0.3">
      <c r="A56" s="9" t="s">
        <v>61</v>
      </c>
      <c r="B56" s="42">
        <v>24</v>
      </c>
      <c r="C56" s="1">
        <v>45</v>
      </c>
      <c r="D56" s="42">
        <v>67</v>
      </c>
      <c r="E56" s="42">
        <v>0</v>
      </c>
      <c r="F56" s="1">
        <v>0</v>
      </c>
      <c r="G56" s="1">
        <v>0</v>
      </c>
      <c r="H56" s="43">
        <v>3</v>
      </c>
      <c r="I56" s="1">
        <v>1</v>
      </c>
      <c r="J56" s="44">
        <v>0</v>
      </c>
      <c r="K56" s="44">
        <v>90</v>
      </c>
      <c r="L56" s="7">
        <f t="shared" si="1"/>
        <v>140</v>
      </c>
      <c r="M56" s="8">
        <f t="shared" si="0"/>
        <v>230</v>
      </c>
      <c r="N56" s="20"/>
    </row>
    <row r="57" spans="1:14" ht="15.75" thickBot="1" x14ac:dyDescent="0.3">
      <c r="A57" s="9" t="s">
        <v>62</v>
      </c>
      <c r="B57" s="42">
        <v>18</v>
      </c>
      <c r="C57" s="1">
        <v>51</v>
      </c>
      <c r="D57" s="42">
        <v>49</v>
      </c>
      <c r="E57" s="42">
        <v>0</v>
      </c>
      <c r="F57" s="1">
        <v>0</v>
      </c>
      <c r="G57" s="1">
        <v>0</v>
      </c>
      <c r="H57" s="43">
        <v>1</v>
      </c>
      <c r="I57" s="1">
        <v>1</v>
      </c>
      <c r="J57" s="44">
        <v>0</v>
      </c>
      <c r="K57" s="44">
        <v>80</v>
      </c>
      <c r="L57" s="7">
        <f t="shared" si="1"/>
        <v>120</v>
      </c>
      <c r="M57" s="8">
        <f t="shared" si="0"/>
        <v>200</v>
      </c>
      <c r="N57" s="20"/>
    </row>
    <row r="58" spans="1:14" ht="15.75" thickBot="1" x14ac:dyDescent="0.3">
      <c r="A58" s="9" t="s">
        <v>63</v>
      </c>
      <c r="B58" s="42">
        <v>25</v>
      </c>
      <c r="C58" s="1">
        <v>45</v>
      </c>
      <c r="D58" s="42">
        <v>70</v>
      </c>
      <c r="E58" s="42">
        <v>0</v>
      </c>
      <c r="F58" s="1">
        <v>0</v>
      </c>
      <c r="G58" s="1">
        <v>0</v>
      </c>
      <c r="H58" s="43">
        <v>0</v>
      </c>
      <c r="I58" s="1">
        <v>0</v>
      </c>
      <c r="J58" s="44">
        <v>0</v>
      </c>
      <c r="K58" s="44">
        <v>75</v>
      </c>
      <c r="L58" s="7">
        <f t="shared" si="1"/>
        <v>140</v>
      </c>
      <c r="M58" s="8">
        <f t="shared" si="0"/>
        <v>215</v>
      </c>
      <c r="N58" s="20"/>
    </row>
    <row r="59" spans="1:14" ht="15.75" thickBot="1" x14ac:dyDescent="0.3">
      <c r="A59" s="9" t="s">
        <v>64</v>
      </c>
      <c r="B59" s="42">
        <v>25</v>
      </c>
      <c r="C59" s="1">
        <v>50</v>
      </c>
      <c r="D59" s="42">
        <v>72</v>
      </c>
      <c r="E59" s="42">
        <v>0</v>
      </c>
      <c r="F59" s="1">
        <v>0</v>
      </c>
      <c r="G59" s="1">
        <v>0</v>
      </c>
      <c r="H59" s="43">
        <v>2</v>
      </c>
      <c r="I59" s="1">
        <v>1</v>
      </c>
      <c r="J59" s="44">
        <v>0</v>
      </c>
      <c r="K59" s="44">
        <v>80</v>
      </c>
      <c r="L59" s="7">
        <f t="shared" si="1"/>
        <v>150</v>
      </c>
      <c r="M59" s="8">
        <f t="shared" si="0"/>
        <v>230</v>
      </c>
      <c r="N59" s="20"/>
    </row>
    <row r="60" spans="1:14" ht="15.75" thickBot="1" x14ac:dyDescent="0.3">
      <c r="A60" s="9" t="s">
        <v>65</v>
      </c>
      <c r="B60" s="42">
        <v>21</v>
      </c>
      <c r="C60" s="1">
        <v>41</v>
      </c>
      <c r="D60" s="42">
        <v>47</v>
      </c>
      <c r="E60" s="42">
        <v>0</v>
      </c>
      <c r="F60" s="1">
        <v>0</v>
      </c>
      <c r="G60" s="1">
        <v>0</v>
      </c>
      <c r="H60" s="43">
        <v>0</v>
      </c>
      <c r="I60" s="1">
        <v>0</v>
      </c>
      <c r="J60" s="44">
        <v>0</v>
      </c>
      <c r="K60" s="44">
        <v>80</v>
      </c>
      <c r="L60" s="7">
        <f t="shared" si="1"/>
        <v>109</v>
      </c>
      <c r="M60" s="8">
        <f t="shared" si="0"/>
        <v>189</v>
      </c>
      <c r="N60" s="20"/>
    </row>
    <row r="61" spans="1:14" ht="15.75" thickBot="1" x14ac:dyDescent="0.3">
      <c r="A61" s="9" t="s">
        <v>66</v>
      </c>
      <c r="B61" s="42">
        <v>26</v>
      </c>
      <c r="C61" s="1">
        <v>33</v>
      </c>
      <c r="D61" s="42">
        <v>70</v>
      </c>
      <c r="E61" s="42">
        <v>0</v>
      </c>
      <c r="F61" s="1">
        <v>0</v>
      </c>
      <c r="G61" s="1">
        <v>0</v>
      </c>
      <c r="H61" s="43">
        <v>0</v>
      </c>
      <c r="I61" s="1">
        <v>0</v>
      </c>
      <c r="J61" s="44">
        <v>0</v>
      </c>
      <c r="K61" s="44">
        <v>83</v>
      </c>
      <c r="L61" s="7">
        <f t="shared" si="1"/>
        <v>129</v>
      </c>
      <c r="M61" s="8">
        <f t="shared" si="0"/>
        <v>212</v>
      </c>
      <c r="N61" s="20"/>
    </row>
    <row r="62" spans="1:14" ht="15.75" thickBot="1" x14ac:dyDescent="0.3">
      <c r="A62" s="10" t="s">
        <v>67</v>
      </c>
      <c r="B62" s="42">
        <v>20</v>
      </c>
      <c r="C62" s="1">
        <v>26</v>
      </c>
      <c r="D62" s="42">
        <v>70</v>
      </c>
      <c r="E62" s="42">
        <v>0</v>
      </c>
      <c r="F62" s="1">
        <v>0</v>
      </c>
      <c r="G62" s="1">
        <v>2</v>
      </c>
      <c r="H62" s="43">
        <v>0</v>
      </c>
      <c r="I62" s="1">
        <v>0</v>
      </c>
      <c r="J62" s="44">
        <v>0</v>
      </c>
      <c r="K62" s="44">
        <v>180</v>
      </c>
      <c r="L62" s="7">
        <f t="shared" si="1"/>
        <v>118</v>
      </c>
      <c r="M62" s="8">
        <f t="shared" si="0"/>
        <v>298</v>
      </c>
      <c r="N62" s="20"/>
    </row>
    <row r="63" spans="1:14" ht="15.75" thickBot="1" x14ac:dyDescent="0.3">
      <c r="A63" s="9" t="s">
        <v>68</v>
      </c>
      <c r="B63" s="42">
        <v>19</v>
      </c>
      <c r="C63" s="1">
        <v>29</v>
      </c>
      <c r="D63" s="42">
        <v>50</v>
      </c>
      <c r="E63" s="42">
        <v>0</v>
      </c>
      <c r="F63" s="1">
        <v>0</v>
      </c>
      <c r="G63" s="1">
        <v>0</v>
      </c>
      <c r="H63" s="43">
        <v>2</v>
      </c>
      <c r="I63" s="1">
        <v>0</v>
      </c>
      <c r="J63" s="44">
        <v>0</v>
      </c>
      <c r="K63" s="44">
        <v>110</v>
      </c>
      <c r="L63" s="7">
        <f t="shared" si="1"/>
        <v>100</v>
      </c>
      <c r="M63" s="8">
        <f t="shared" si="0"/>
        <v>210</v>
      </c>
      <c r="N63" s="20"/>
    </row>
    <row r="64" spans="1:14" ht="15.75" thickBot="1" x14ac:dyDescent="0.3">
      <c r="A64" s="9" t="s">
        <v>69</v>
      </c>
      <c r="B64" s="42">
        <v>26</v>
      </c>
      <c r="C64" s="1">
        <v>36</v>
      </c>
      <c r="D64" s="42">
        <v>65</v>
      </c>
      <c r="E64" s="42">
        <v>0</v>
      </c>
      <c r="F64" s="1">
        <v>0</v>
      </c>
      <c r="G64" s="1">
        <v>0</v>
      </c>
      <c r="H64" s="43">
        <v>2</v>
      </c>
      <c r="I64" s="1">
        <v>0</v>
      </c>
      <c r="J64" s="44">
        <v>0</v>
      </c>
      <c r="K64" s="44">
        <v>65</v>
      </c>
      <c r="L64" s="7">
        <f t="shared" si="1"/>
        <v>129</v>
      </c>
      <c r="M64" s="8">
        <f>SUM(B64:K64)</f>
        <v>194</v>
      </c>
      <c r="N64" s="20"/>
    </row>
    <row r="65" spans="1:14" ht="15.75" thickBot="1" x14ac:dyDescent="0.3">
      <c r="A65" s="11" t="s">
        <v>70</v>
      </c>
      <c r="B65" s="42">
        <v>24</v>
      </c>
      <c r="C65" s="1">
        <v>46</v>
      </c>
      <c r="D65" s="42">
        <v>65</v>
      </c>
      <c r="E65" s="42">
        <v>0</v>
      </c>
      <c r="F65" s="1">
        <v>0</v>
      </c>
      <c r="G65" s="1">
        <v>0</v>
      </c>
      <c r="H65" s="43">
        <v>1</v>
      </c>
      <c r="I65" s="1">
        <v>0</v>
      </c>
      <c r="J65" s="44">
        <v>0</v>
      </c>
      <c r="K65" s="44">
        <v>60</v>
      </c>
      <c r="L65" s="7">
        <f t="shared" si="1"/>
        <v>136</v>
      </c>
      <c r="M65" s="8">
        <f>SUM(B65:K65)</f>
        <v>196</v>
      </c>
      <c r="N65" s="20"/>
    </row>
    <row r="66" spans="1:14" ht="15.75" thickBot="1" x14ac:dyDescent="0.3">
      <c r="A66" s="9" t="s">
        <v>71</v>
      </c>
      <c r="B66" s="42">
        <v>26</v>
      </c>
      <c r="C66" s="1">
        <v>40</v>
      </c>
      <c r="D66" s="42">
        <v>44</v>
      </c>
      <c r="E66" s="42">
        <v>0</v>
      </c>
      <c r="F66" s="1">
        <v>0</v>
      </c>
      <c r="G66" s="1">
        <v>0</v>
      </c>
      <c r="H66" s="43">
        <v>0</v>
      </c>
      <c r="I66" s="1">
        <v>0</v>
      </c>
      <c r="J66" s="44">
        <v>0</v>
      </c>
      <c r="K66" s="44">
        <v>53</v>
      </c>
      <c r="L66" s="7">
        <f t="shared" si="1"/>
        <v>110</v>
      </c>
      <c r="M66" s="8">
        <f t="shared" si="0"/>
        <v>163</v>
      </c>
      <c r="N66" s="20"/>
    </row>
    <row r="67" spans="1:14" ht="15.75" thickBot="1" x14ac:dyDescent="0.3">
      <c r="A67" s="9" t="s">
        <v>72</v>
      </c>
      <c r="B67" s="42">
        <v>30</v>
      </c>
      <c r="C67" s="1">
        <v>40</v>
      </c>
      <c r="D67" s="42">
        <v>50</v>
      </c>
      <c r="E67" s="42">
        <v>2</v>
      </c>
      <c r="F67" s="1">
        <v>0</v>
      </c>
      <c r="G67" s="1">
        <v>3</v>
      </c>
      <c r="H67" s="43">
        <v>1</v>
      </c>
      <c r="I67" s="1">
        <v>0</v>
      </c>
      <c r="J67" s="44">
        <v>0</v>
      </c>
      <c r="K67" s="44">
        <v>55</v>
      </c>
      <c r="L67" s="7">
        <f t="shared" si="1"/>
        <v>126</v>
      </c>
      <c r="M67" s="8">
        <f>SUM(B67:K67)</f>
        <v>181</v>
      </c>
      <c r="N67" s="20"/>
    </row>
    <row r="68" spans="1:14" ht="15.75" thickBot="1" x14ac:dyDescent="0.3">
      <c r="A68" s="9" t="s">
        <v>90</v>
      </c>
      <c r="B68" s="42">
        <v>10</v>
      </c>
      <c r="C68" s="1">
        <v>0</v>
      </c>
      <c r="D68" s="42">
        <v>40</v>
      </c>
      <c r="E68" s="42">
        <v>0</v>
      </c>
      <c r="F68" s="1">
        <v>2</v>
      </c>
      <c r="G68" s="1">
        <v>1</v>
      </c>
      <c r="H68" s="43">
        <v>1</v>
      </c>
      <c r="I68" s="1">
        <v>0</v>
      </c>
      <c r="J68" s="44">
        <v>0</v>
      </c>
      <c r="K68" s="44">
        <v>50</v>
      </c>
      <c r="L68" s="7">
        <f t="shared" si="1"/>
        <v>54</v>
      </c>
      <c r="M68" s="8">
        <f t="shared" ref="M68:M71" si="2">SUM(B68:K68)</f>
        <v>104</v>
      </c>
      <c r="N68" s="20"/>
    </row>
    <row r="69" spans="1:14" ht="15.75" thickBot="1" x14ac:dyDescent="0.3">
      <c r="A69" s="9" t="s">
        <v>91</v>
      </c>
      <c r="B69" s="42">
        <v>16</v>
      </c>
      <c r="C69" s="1">
        <v>20</v>
      </c>
      <c r="D69" s="42">
        <v>36</v>
      </c>
      <c r="E69" s="42">
        <v>1</v>
      </c>
      <c r="F69" s="1">
        <v>0</v>
      </c>
      <c r="G69" s="1">
        <v>2</v>
      </c>
      <c r="H69" s="43">
        <v>0</v>
      </c>
      <c r="I69" s="1">
        <v>0</v>
      </c>
      <c r="J69" s="44">
        <v>0</v>
      </c>
      <c r="K69" s="44">
        <v>51</v>
      </c>
      <c r="L69" s="7">
        <f t="shared" si="1"/>
        <v>75</v>
      </c>
      <c r="M69" s="8">
        <f t="shared" si="2"/>
        <v>126</v>
      </c>
      <c r="N69" s="20"/>
    </row>
    <row r="70" spans="1:14" ht="15.75" thickBot="1" x14ac:dyDescent="0.3">
      <c r="A70" s="9" t="s">
        <v>92</v>
      </c>
      <c r="B70" s="42">
        <v>18</v>
      </c>
      <c r="C70" s="1">
        <v>22</v>
      </c>
      <c r="D70" s="42">
        <v>40</v>
      </c>
      <c r="E70" s="42">
        <v>0</v>
      </c>
      <c r="F70" s="1">
        <v>0</v>
      </c>
      <c r="G70" s="1">
        <v>0</v>
      </c>
      <c r="H70" s="43">
        <v>0</v>
      </c>
      <c r="I70" s="1">
        <v>0</v>
      </c>
      <c r="J70" s="44">
        <v>0</v>
      </c>
      <c r="K70" s="44">
        <v>40</v>
      </c>
      <c r="L70" s="7">
        <f t="shared" si="1"/>
        <v>80</v>
      </c>
      <c r="M70" s="8">
        <f t="shared" si="2"/>
        <v>120</v>
      </c>
      <c r="N70" s="20"/>
    </row>
    <row r="71" spans="1:14" ht="15.75" thickBot="1" x14ac:dyDescent="0.3">
      <c r="A71" s="9" t="s">
        <v>93</v>
      </c>
      <c r="B71" s="42">
        <v>20</v>
      </c>
      <c r="C71" s="1">
        <v>26</v>
      </c>
      <c r="D71" s="42">
        <v>40</v>
      </c>
      <c r="E71" s="42">
        <v>0</v>
      </c>
      <c r="F71" s="1">
        <v>0</v>
      </c>
      <c r="G71" s="1">
        <v>0</v>
      </c>
      <c r="H71" s="43">
        <v>0</v>
      </c>
      <c r="I71" s="1">
        <v>0</v>
      </c>
      <c r="J71" s="44">
        <v>0</v>
      </c>
      <c r="K71" s="44">
        <v>35</v>
      </c>
      <c r="L71" s="7">
        <f t="shared" si="1"/>
        <v>86</v>
      </c>
      <c r="M71" s="8">
        <f t="shared" si="2"/>
        <v>121</v>
      </c>
      <c r="N71" s="20"/>
    </row>
    <row r="72" spans="1:14" ht="15.75" thickBot="1" x14ac:dyDescent="0.3">
      <c r="B72" s="12">
        <f>SUM(B8:B71)</f>
        <v>1792</v>
      </c>
      <c r="C72" s="12">
        <f t="shared" ref="C72:K72" si="3">SUM(C8:C71)</f>
        <v>3943</v>
      </c>
      <c r="D72" s="12">
        <f t="shared" si="3"/>
        <v>3412</v>
      </c>
      <c r="E72" s="12">
        <f t="shared" si="3"/>
        <v>6</v>
      </c>
      <c r="F72" s="12">
        <f t="shared" si="3"/>
        <v>6</v>
      </c>
      <c r="G72" s="12">
        <f t="shared" si="3"/>
        <v>14</v>
      </c>
      <c r="H72" s="12">
        <f t="shared" si="3"/>
        <v>127</v>
      </c>
      <c r="I72" s="12">
        <f t="shared" si="3"/>
        <v>25</v>
      </c>
      <c r="J72" s="12">
        <f t="shared" si="3"/>
        <v>46</v>
      </c>
      <c r="K72" s="12">
        <f t="shared" si="3"/>
        <v>4760</v>
      </c>
      <c r="L72" s="12">
        <f>SUM(B72:J72)</f>
        <v>9371</v>
      </c>
      <c r="M72" s="8">
        <f>SUM(B72:K72)</f>
        <v>14131</v>
      </c>
      <c r="N72" s="20"/>
    </row>
    <row r="73" spans="1:14" ht="15.75" thickBot="1" x14ac:dyDescent="0.3">
      <c r="A73" s="57" t="s">
        <v>118</v>
      </c>
      <c r="B73" s="58">
        <f>AVERAGE(B8:B23)*4</f>
        <v>136</v>
      </c>
      <c r="C73" s="58">
        <f t="shared" ref="C73:K73" si="4">AVERAGE(C8:C23)*4</f>
        <v>329.25</v>
      </c>
      <c r="D73" s="58">
        <f t="shared" si="4"/>
        <v>146</v>
      </c>
      <c r="E73" s="58">
        <f t="shared" si="4"/>
        <v>0.75</v>
      </c>
      <c r="F73" s="58">
        <f t="shared" si="4"/>
        <v>1</v>
      </c>
      <c r="G73" s="58">
        <f t="shared" si="4"/>
        <v>1.5</v>
      </c>
      <c r="H73" s="58">
        <f t="shared" si="4"/>
        <v>6.75</v>
      </c>
      <c r="I73" s="58">
        <f t="shared" si="4"/>
        <v>2.5</v>
      </c>
      <c r="J73" s="58">
        <f t="shared" si="4"/>
        <v>2.75</v>
      </c>
      <c r="K73" s="58">
        <f t="shared" si="4"/>
        <v>263.75</v>
      </c>
      <c r="M73" s="12">
        <f>SUM(M8:M71)</f>
        <v>14131</v>
      </c>
      <c r="N73" s="20"/>
    </row>
    <row r="74" spans="1:14" x14ac:dyDescent="0.25">
      <c r="A74" s="57" t="s">
        <v>119</v>
      </c>
      <c r="B74" s="58">
        <f>AVERAGE(B48:B59)*4</f>
        <v>91.666666666666671</v>
      </c>
      <c r="C74" s="58">
        <f t="shared" ref="C74:K74" si="5">AVERAGE(C48:C59)*4</f>
        <v>181.33333333333334</v>
      </c>
      <c r="D74" s="58">
        <f t="shared" si="5"/>
        <v>218.66666666666666</v>
      </c>
      <c r="E74" s="58">
        <f t="shared" si="5"/>
        <v>0</v>
      </c>
      <c r="F74" s="58">
        <f t="shared" si="5"/>
        <v>0</v>
      </c>
      <c r="G74" s="58">
        <f t="shared" si="5"/>
        <v>0</v>
      </c>
      <c r="H74" s="58">
        <f t="shared" si="5"/>
        <v>7.333333333333333</v>
      </c>
      <c r="I74" s="58">
        <f t="shared" si="5"/>
        <v>2.3333333333333335</v>
      </c>
      <c r="J74" s="58">
        <f t="shared" si="5"/>
        <v>1</v>
      </c>
      <c r="K74" s="58">
        <f t="shared" si="5"/>
        <v>324.66666666666669</v>
      </c>
    </row>
  </sheetData>
  <mergeCells count="8">
    <mergeCell ref="A6:M6"/>
    <mergeCell ref="A1:M1"/>
    <mergeCell ref="A2:M2"/>
    <mergeCell ref="A3:M3"/>
    <mergeCell ref="G4:H4"/>
    <mergeCell ref="B5:C5"/>
    <mergeCell ref="G5:H5"/>
    <mergeCell ref="B4:C4"/>
  </mergeCells>
  <pageMargins left="0.7" right="0.7" top="0.75" bottom="0.75" header="0.3" footer="0.3"/>
  <pageSetup scale="4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74"/>
  <sheetViews>
    <sheetView view="pageBreakPreview" zoomScale="90" zoomScaleSheetLayoutView="90" workbookViewId="0">
      <selection activeCell="D12" sqref="D12"/>
    </sheetView>
  </sheetViews>
  <sheetFormatPr defaultColWidth="13.28515625" defaultRowHeight="15" x14ac:dyDescent="0.25"/>
  <cols>
    <col min="1" max="1" width="14.85546875" customWidth="1"/>
    <col min="2" max="2" width="11.7109375" customWidth="1"/>
    <col min="3" max="3" width="13.28515625" customWidth="1"/>
    <col min="4" max="4" width="12.7109375" customWidth="1"/>
    <col min="5" max="6" width="13.28515625" customWidth="1"/>
    <col min="7" max="7" width="11.42578125" customWidth="1"/>
    <col min="8" max="8" width="13.28515625" customWidth="1"/>
    <col min="9" max="9" width="11.42578125" customWidth="1"/>
    <col min="10" max="10" width="13.28515625" customWidth="1"/>
    <col min="11" max="11" width="12" customWidth="1"/>
    <col min="12" max="12" width="9.28515625" customWidth="1"/>
    <col min="13" max="13" width="10.7109375" customWidth="1"/>
    <col min="14" max="14" width="12.7109375" customWidth="1"/>
    <col min="15" max="15" width="6.42578125" style="22" customWidth="1"/>
  </cols>
  <sheetData>
    <row r="1" spans="1:15" ht="18.75" x14ac:dyDescent="0.3">
      <c r="A1" s="62" t="s">
        <v>120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4"/>
      <c r="N1" s="45"/>
    </row>
    <row r="2" spans="1:15" ht="18.75" x14ac:dyDescent="0.3">
      <c r="A2" s="65" t="s">
        <v>94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7"/>
      <c r="N2" s="45"/>
    </row>
    <row r="3" spans="1:15" x14ac:dyDescent="0.25">
      <c r="A3" s="68"/>
      <c r="B3" s="69"/>
      <c r="C3" s="69"/>
      <c r="D3" s="69"/>
      <c r="E3" s="60"/>
      <c r="F3" s="69"/>
      <c r="G3" s="69"/>
      <c r="H3" s="69"/>
      <c r="I3" s="69"/>
      <c r="J3" s="60"/>
      <c r="K3" s="69"/>
      <c r="L3" s="69"/>
      <c r="M3" s="70"/>
      <c r="N3" s="43"/>
    </row>
    <row r="4" spans="1:15" x14ac:dyDescent="0.25">
      <c r="A4" s="50" t="s">
        <v>112</v>
      </c>
      <c r="B4" s="73">
        <v>43797</v>
      </c>
      <c r="C4" s="72"/>
      <c r="D4" s="15"/>
      <c r="E4" s="16"/>
      <c r="F4" s="49" t="s">
        <v>73</v>
      </c>
      <c r="G4" s="71" t="s">
        <v>109</v>
      </c>
      <c r="H4" s="71"/>
      <c r="I4" s="13"/>
      <c r="J4" s="13"/>
      <c r="K4" s="13"/>
      <c r="L4" s="13"/>
      <c r="M4" s="14"/>
      <c r="N4" s="17"/>
    </row>
    <row r="5" spans="1:15" x14ac:dyDescent="0.25">
      <c r="A5" s="50" t="s">
        <v>108</v>
      </c>
      <c r="B5" s="72" t="s">
        <v>107</v>
      </c>
      <c r="C5" s="72"/>
      <c r="D5" s="15"/>
      <c r="E5" s="16"/>
      <c r="F5" s="50" t="s">
        <v>74</v>
      </c>
      <c r="G5" s="72" t="s">
        <v>95</v>
      </c>
      <c r="H5" s="72"/>
      <c r="I5" s="15"/>
      <c r="J5" s="15"/>
      <c r="K5" s="15"/>
      <c r="L5" s="15"/>
      <c r="M5" s="16"/>
      <c r="N5" s="18"/>
    </row>
    <row r="6" spans="1:15" ht="15.75" thickBot="1" x14ac:dyDescent="0.3">
      <c r="A6" s="59"/>
      <c r="B6" s="60"/>
      <c r="C6" s="60"/>
      <c r="D6" s="60"/>
      <c r="E6" s="60"/>
      <c r="F6" s="60"/>
      <c r="G6" s="60"/>
      <c r="H6" s="60"/>
      <c r="I6" s="60"/>
      <c r="J6" s="60"/>
      <c r="K6" s="60"/>
      <c r="L6" s="60"/>
      <c r="M6" s="61"/>
      <c r="N6" s="43"/>
    </row>
    <row r="7" spans="1:15" ht="42.75" customHeight="1" thickBot="1" x14ac:dyDescent="0.3">
      <c r="A7" s="2" t="s">
        <v>0</v>
      </c>
      <c r="B7" s="3" t="s">
        <v>1</v>
      </c>
      <c r="C7" s="4" t="s">
        <v>2</v>
      </c>
      <c r="D7" s="3" t="s">
        <v>3</v>
      </c>
      <c r="E7" s="3" t="s">
        <v>4</v>
      </c>
      <c r="F7" s="4" t="s">
        <v>5</v>
      </c>
      <c r="G7" s="4" t="s">
        <v>6</v>
      </c>
      <c r="H7" s="5" t="s">
        <v>7</v>
      </c>
      <c r="I7" s="4" t="s">
        <v>8</v>
      </c>
      <c r="J7" s="6" t="s">
        <v>9</v>
      </c>
      <c r="K7" s="6" t="s">
        <v>10</v>
      </c>
      <c r="L7" s="27" t="s">
        <v>12</v>
      </c>
      <c r="M7" s="28" t="s">
        <v>11</v>
      </c>
      <c r="N7" s="19"/>
    </row>
    <row r="8" spans="1:15" ht="15.75" thickBot="1" x14ac:dyDescent="0.3">
      <c r="A8" s="9" t="s">
        <v>13</v>
      </c>
      <c r="B8" s="42">
        <v>0</v>
      </c>
      <c r="C8" s="1">
        <v>0</v>
      </c>
      <c r="D8" s="42">
        <v>0</v>
      </c>
      <c r="E8" s="42">
        <v>0</v>
      </c>
      <c r="F8" s="1">
        <v>0</v>
      </c>
      <c r="G8" s="1">
        <v>0</v>
      </c>
      <c r="H8" s="43">
        <v>0</v>
      </c>
      <c r="I8" s="1">
        <v>0</v>
      </c>
      <c r="J8" s="44">
        <v>0</v>
      </c>
      <c r="K8" s="44">
        <v>0</v>
      </c>
      <c r="L8" s="7">
        <f>SUM(B8:J8)</f>
        <v>0</v>
      </c>
      <c r="M8" s="8">
        <f t="shared" ref="M8:M66" si="0">SUM(B8:K8)</f>
        <v>0</v>
      </c>
      <c r="N8" s="21" t="s">
        <v>75</v>
      </c>
      <c r="O8" s="22">
        <f>SUM(L8:L11)</f>
        <v>1</v>
      </c>
    </row>
    <row r="9" spans="1:15" ht="15.75" thickBot="1" x14ac:dyDescent="0.3">
      <c r="A9" s="9" t="s">
        <v>14</v>
      </c>
      <c r="B9" s="42">
        <v>0</v>
      </c>
      <c r="C9" s="1">
        <v>0</v>
      </c>
      <c r="D9" s="42">
        <v>0</v>
      </c>
      <c r="E9" s="42">
        <v>0</v>
      </c>
      <c r="F9" s="1">
        <v>0</v>
      </c>
      <c r="G9" s="1">
        <v>0</v>
      </c>
      <c r="H9" s="43">
        <v>0</v>
      </c>
      <c r="I9" s="1">
        <v>0</v>
      </c>
      <c r="J9" s="44">
        <v>0</v>
      </c>
      <c r="K9" s="44">
        <v>0</v>
      </c>
      <c r="L9" s="7">
        <f t="shared" ref="L9:L63" si="1">SUM(B9:J9)</f>
        <v>0</v>
      </c>
      <c r="M9" s="8">
        <f t="shared" si="0"/>
        <v>0</v>
      </c>
      <c r="N9" s="21" t="s">
        <v>76</v>
      </c>
      <c r="O9" s="22">
        <f>SUM(L12:L15)</f>
        <v>4</v>
      </c>
    </row>
    <row r="10" spans="1:15" ht="15.75" thickBot="1" x14ac:dyDescent="0.3">
      <c r="A10" s="9" t="s">
        <v>15</v>
      </c>
      <c r="B10" s="42">
        <v>0</v>
      </c>
      <c r="C10" s="1">
        <v>0</v>
      </c>
      <c r="D10" s="42">
        <v>0</v>
      </c>
      <c r="E10" s="42">
        <v>0</v>
      </c>
      <c r="F10" s="1">
        <v>0</v>
      </c>
      <c r="G10" s="1">
        <v>0</v>
      </c>
      <c r="H10" s="43">
        <v>0</v>
      </c>
      <c r="I10" s="1">
        <v>0</v>
      </c>
      <c r="J10" s="44">
        <v>0</v>
      </c>
      <c r="K10" s="44">
        <v>0</v>
      </c>
      <c r="L10" s="7">
        <f t="shared" si="1"/>
        <v>0</v>
      </c>
      <c r="M10" s="8">
        <f t="shared" si="0"/>
        <v>0</v>
      </c>
      <c r="N10" s="21" t="s">
        <v>77</v>
      </c>
      <c r="O10" s="22">
        <f>SUM(L16:L19)</f>
        <v>15</v>
      </c>
    </row>
    <row r="11" spans="1:15" ht="15.75" thickBot="1" x14ac:dyDescent="0.3">
      <c r="A11" s="9" t="s">
        <v>16</v>
      </c>
      <c r="B11" s="42">
        <v>1</v>
      </c>
      <c r="C11" s="1">
        <v>0</v>
      </c>
      <c r="D11" s="42">
        <v>0</v>
      </c>
      <c r="E11" s="42">
        <v>0</v>
      </c>
      <c r="F11" s="1">
        <v>0</v>
      </c>
      <c r="G11" s="1">
        <v>0</v>
      </c>
      <c r="H11" s="43">
        <v>0</v>
      </c>
      <c r="I11" s="1">
        <v>0</v>
      </c>
      <c r="J11" s="44">
        <v>0</v>
      </c>
      <c r="K11" s="44">
        <v>5</v>
      </c>
      <c r="L11" s="7">
        <f t="shared" si="1"/>
        <v>1</v>
      </c>
      <c r="M11" s="8">
        <f t="shared" si="0"/>
        <v>6</v>
      </c>
      <c r="N11" s="21" t="s">
        <v>78</v>
      </c>
      <c r="O11" s="22">
        <f>SUM(L20:L23)</f>
        <v>15</v>
      </c>
    </row>
    <row r="12" spans="1:15" ht="15.75" thickBot="1" x14ac:dyDescent="0.3">
      <c r="A12" s="9" t="s">
        <v>17</v>
      </c>
      <c r="B12" s="42">
        <v>1</v>
      </c>
      <c r="C12" s="1">
        <v>1</v>
      </c>
      <c r="D12" s="42">
        <v>0</v>
      </c>
      <c r="E12" s="42">
        <v>0</v>
      </c>
      <c r="F12" s="1">
        <v>0</v>
      </c>
      <c r="G12" s="1">
        <v>0</v>
      </c>
      <c r="H12" s="43">
        <v>0</v>
      </c>
      <c r="I12" s="1">
        <v>0</v>
      </c>
      <c r="J12" s="44">
        <v>0</v>
      </c>
      <c r="K12" s="44">
        <v>1</v>
      </c>
      <c r="L12" s="7">
        <f t="shared" si="1"/>
        <v>2</v>
      </c>
      <c r="M12" s="8">
        <f t="shared" si="0"/>
        <v>3</v>
      </c>
      <c r="N12" s="21" t="s">
        <v>79</v>
      </c>
      <c r="O12" s="22">
        <f>SUM(L24:L27)</f>
        <v>26</v>
      </c>
    </row>
    <row r="13" spans="1:15" ht="15.75" thickBot="1" x14ac:dyDescent="0.3">
      <c r="A13" s="9" t="s">
        <v>18</v>
      </c>
      <c r="B13" s="42">
        <v>1</v>
      </c>
      <c r="C13" s="1">
        <v>0</v>
      </c>
      <c r="D13" s="42">
        <v>0</v>
      </c>
      <c r="E13" s="42">
        <v>0</v>
      </c>
      <c r="F13" s="1">
        <v>0</v>
      </c>
      <c r="G13" s="1">
        <v>0</v>
      </c>
      <c r="H13" s="43">
        <v>0</v>
      </c>
      <c r="I13" s="1">
        <v>0</v>
      </c>
      <c r="J13" s="44">
        <v>0</v>
      </c>
      <c r="K13" s="44">
        <v>5</v>
      </c>
      <c r="L13" s="7">
        <f t="shared" si="1"/>
        <v>1</v>
      </c>
      <c r="M13" s="8">
        <f t="shared" si="0"/>
        <v>6</v>
      </c>
      <c r="N13" s="21" t="s">
        <v>80</v>
      </c>
      <c r="O13" s="22">
        <f>SUM(L28:L31)</f>
        <v>33</v>
      </c>
    </row>
    <row r="14" spans="1:15" ht="15.75" thickBot="1" x14ac:dyDescent="0.3">
      <c r="A14" s="9" t="s">
        <v>19</v>
      </c>
      <c r="B14" s="42">
        <v>0</v>
      </c>
      <c r="C14" s="1">
        <v>0</v>
      </c>
      <c r="D14" s="42">
        <v>0</v>
      </c>
      <c r="E14" s="42">
        <v>0</v>
      </c>
      <c r="F14" s="1">
        <v>0</v>
      </c>
      <c r="G14" s="1">
        <v>0</v>
      </c>
      <c r="H14" s="43">
        <v>0</v>
      </c>
      <c r="I14" s="1">
        <v>0</v>
      </c>
      <c r="J14" s="44">
        <v>0</v>
      </c>
      <c r="K14" s="44">
        <v>14</v>
      </c>
      <c r="L14" s="7">
        <f t="shared" si="1"/>
        <v>0</v>
      </c>
      <c r="M14" s="8">
        <f t="shared" si="0"/>
        <v>14</v>
      </c>
      <c r="N14" s="21" t="s">
        <v>81</v>
      </c>
      <c r="O14" s="22">
        <f>SUM(L32:L35)</f>
        <v>39</v>
      </c>
    </row>
    <row r="15" spans="1:15" ht="15.75" thickBot="1" x14ac:dyDescent="0.3">
      <c r="A15" s="9" t="s">
        <v>20</v>
      </c>
      <c r="B15" s="42">
        <v>1</v>
      </c>
      <c r="C15" s="1">
        <v>0</v>
      </c>
      <c r="D15" s="42">
        <v>0</v>
      </c>
      <c r="E15" s="42">
        <v>0</v>
      </c>
      <c r="F15" s="1">
        <v>0</v>
      </c>
      <c r="G15" s="1">
        <v>0</v>
      </c>
      <c r="H15" s="43">
        <v>0</v>
      </c>
      <c r="I15" s="1">
        <v>0</v>
      </c>
      <c r="J15" s="44">
        <v>0</v>
      </c>
      <c r="K15" s="44">
        <v>5</v>
      </c>
      <c r="L15" s="7">
        <f t="shared" si="1"/>
        <v>1</v>
      </c>
      <c r="M15" s="8">
        <f t="shared" si="0"/>
        <v>6</v>
      </c>
      <c r="N15" s="21" t="s">
        <v>82</v>
      </c>
      <c r="O15" s="22">
        <f>SUM(L36:L39)</f>
        <v>13</v>
      </c>
    </row>
    <row r="16" spans="1:15" ht="15.75" thickBot="1" x14ac:dyDescent="0.3">
      <c r="A16" s="9" t="s">
        <v>21</v>
      </c>
      <c r="B16" s="42">
        <v>2</v>
      </c>
      <c r="C16" s="1">
        <v>0</v>
      </c>
      <c r="D16" s="42">
        <v>0</v>
      </c>
      <c r="E16" s="42">
        <v>0</v>
      </c>
      <c r="F16" s="1">
        <v>0</v>
      </c>
      <c r="G16" s="1">
        <v>0</v>
      </c>
      <c r="H16" s="43">
        <v>0</v>
      </c>
      <c r="I16" s="1">
        <v>0</v>
      </c>
      <c r="J16" s="44">
        <v>0</v>
      </c>
      <c r="K16" s="44">
        <v>20</v>
      </c>
      <c r="L16" s="7">
        <f t="shared" si="1"/>
        <v>2</v>
      </c>
      <c r="M16" s="8">
        <f t="shared" si="0"/>
        <v>22</v>
      </c>
      <c r="N16" s="21" t="s">
        <v>83</v>
      </c>
      <c r="O16" s="22">
        <f>SUM(L40:L43)</f>
        <v>13</v>
      </c>
    </row>
    <row r="17" spans="1:15" ht="15.75" thickBot="1" x14ac:dyDescent="0.3">
      <c r="A17" s="9" t="s">
        <v>22</v>
      </c>
      <c r="B17" s="42">
        <v>2</v>
      </c>
      <c r="C17" s="1">
        <v>0</v>
      </c>
      <c r="D17" s="42">
        <v>0</v>
      </c>
      <c r="E17" s="42">
        <v>0</v>
      </c>
      <c r="F17" s="1">
        <v>0</v>
      </c>
      <c r="G17" s="1">
        <v>0</v>
      </c>
      <c r="H17" s="43">
        <v>0</v>
      </c>
      <c r="I17" s="1">
        <v>0</v>
      </c>
      <c r="J17" s="44">
        <v>0</v>
      </c>
      <c r="K17" s="44">
        <v>20</v>
      </c>
      <c r="L17" s="7">
        <f t="shared" si="1"/>
        <v>2</v>
      </c>
      <c r="M17" s="8">
        <f t="shared" si="0"/>
        <v>22</v>
      </c>
      <c r="N17" s="21" t="s">
        <v>84</v>
      </c>
      <c r="O17" s="22">
        <f>SUM(L44:L47)</f>
        <v>6</v>
      </c>
    </row>
    <row r="18" spans="1:15" ht="15.75" thickBot="1" x14ac:dyDescent="0.3">
      <c r="A18" s="9" t="s">
        <v>23</v>
      </c>
      <c r="B18" s="42">
        <v>1</v>
      </c>
      <c r="C18" s="1">
        <v>2</v>
      </c>
      <c r="D18" s="42">
        <v>0</v>
      </c>
      <c r="E18" s="42">
        <v>0</v>
      </c>
      <c r="F18" s="1">
        <v>0</v>
      </c>
      <c r="G18" s="1">
        <v>1</v>
      </c>
      <c r="H18" s="43">
        <v>0</v>
      </c>
      <c r="I18" s="1">
        <v>0</v>
      </c>
      <c r="J18" s="44">
        <v>0</v>
      </c>
      <c r="K18" s="44">
        <v>16</v>
      </c>
      <c r="L18" s="7">
        <f t="shared" si="1"/>
        <v>4</v>
      </c>
      <c r="M18" s="8">
        <f t="shared" si="0"/>
        <v>20</v>
      </c>
      <c r="N18" s="21" t="s">
        <v>85</v>
      </c>
      <c r="O18" s="22">
        <f>SUM(L48:L51)</f>
        <v>7</v>
      </c>
    </row>
    <row r="19" spans="1:15" ht="15.75" thickBot="1" x14ac:dyDescent="0.3">
      <c r="A19" s="9" t="s">
        <v>24</v>
      </c>
      <c r="B19" s="42">
        <v>7</v>
      </c>
      <c r="C19" s="1">
        <v>0</v>
      </c>
      <c r="D19" s="42">
        <v>0</v>
      </c>
      <c r="E19" s="42">
        <v>0</v>
      </c>
      <c r="F19" s="1">
        <v>0</v>
      </c>
      <c r="G19" s="1">
        <v>0</v>
      </c>
      <c r="H19" s="43">
        <v>0</v>
      </c>
      <c r="I19" s="1">
        <v>0</v>
      </c>
      <c r="J19" s="44">
        <v>0</v>
      </c>
      <c r="K19" s="44">
        <v>7</v>
      </c>
      <c r="L19" s="7">
        <f t="shared" si="1"/>
        <v>7</v>
      </c>
      <c r="M19" s="8">
        <f t="shared" si="0"/>
        <v>14</v>
      </c>
      <c r="N19" s="21" t="s">
        <v>86</v>
      </c>
      <c r="O19" s="22">
        <f>SUM(L52:L55)</f>
        <v>7</v>
      </c>
    </row>
    <row r="20" spans="1:15" ht="15.75" thickBot="1" x14ac:dyDescent="0.3">
      <c r="A20" s="9" t="s">
        <v>25</v>
      </c>
      <c r="B20" s="42">
        <v>2</v>
      </c>
      <c r="C20" s="1">
        <v>0</v>
      </c>
      <c r="D20" s="42">
        <v>0</v>
      </c>
      <c r="E20" s="42">
        <v>0</v>
      </c>
      <c r="F20" s="1">
        <v>0</v>
      </c>
      <c r="G20" s="1">
        <v>0</v>
      </c>
      <c r="H20" s="43">
        <v>0</v>
      </c>
      <c r="I20" s="1">
        <v>0</v>
      </c>
      <c r="J20" s="44">
        <v>0</v>
      </c>
      <c r="K20" s="44">
        <v>15</v>
      </c>
      <c r="L20" s="7">
        <f t="shared" si="1"/>
        <v>2</v>
      </c>
      <c r="M20" s="8">
        <f t="shared" si="0"/>
        <v>17</v>
      </c>
      <c r="N20" s="21" t="s">
        <v>87</v>
      </c>
      <c r="O20" s="22">
        <f>SUM(L56:L59)</f>
        <v>11</v>
      </c>
    </row>
    <row r="21" spans="1:15" ht="15.75" thickBot="1" x14ac:dyDescent="0.3">
      <c r="A21" s="9" t="s">
        <v>26</v>
      </c>
      <c r="B21" s="42">
        <v>3</v>
      </c>
      <c r="C21" s="1">
        <v>1</v>
      </c>
      <c r="D21" s="42">
        <v>0</v>
      </c>
      <c r="E21" s="42">
        <v>0</v>
      </c>
      <c r="F21" s="1">
        <v>0</v>
      </c>
      <c r="G21" s="1">
        <v>0</v>
      </c>
      <c r="H21" s="43">
        <v>0</v>
      </c>
      <c r="I21" s="1">
        <v>0</v>
      </c>
      <c r="J21" s="44">
        <v>0</v>
      </c>
      <c r="K21" s="44">
        <v>17</v>
      </c>
      <c r="L21" s="7">
        <f t="shared" si="1"/>
        <v>4</v>
      </c>
      <c r="M21" s="8">
        <f t="shared" si="0"/>
        <v>21</v>
      </c>
      <c r="N21" s="21" t="s">
        <v>88</v>
      </c>
      <c r="O21" s="22">
        <f>SUM(L60:L63)</f>
        <v>12</v>
      </c>
    </row>
    <row r="22" spans="1:15" ht="15.75" thickBot="1" x14ac:dyDescent="0.3">
      <c r="A22" s="9" t="s">
        <v>27</v>
      </c>
      <c r="B22" s="42">
        <v>3</v>
      </c>
      <c r="C22" s="1">
        <v>1</v>
      </c>
      <c r="D22" s="42">
        <v>0</v>
      </c>
      <c r="E22" s="42">
        <v>0</v>
      </c>
      <c r="F22" s="1">
        <v>0</v>
      </c>
      <c r="G22" s="1">
        <v>0</v>
      </c>
      <c r="H22" s="43">
        <v>0</v>
      </c>
      <c r="I22" s="1">
        <v>0</v>
      </c>
      <c r="J22" s="44">
        <v>0</v>
      </c>
      <c r="K22" s="44">
        <v>25</v>
      </c>
      <c r="L22" s="7">
        <f t="shared" si="1"/>
        <v>4</v>
      </c>
      <c r="M22" s="8">
        <f t="shared" si="0"/>
        <v>29</v>
      </c>
      <c r="N22" s="21" t="s">
        <v>89</v>
      </c>
      <c r="O22" s="22">
        <f>SUM(L64:L67)</f>
        <v>11</v>
      </c>
    </row>
    <row r="23" spans="1:15" ht="15.75" thickBot="1" x14ac:dyDescent="0.3">
      <c r="A23" s="9" t="s">
        <v>28</v>
      </c>
      <c r="B23" s="42">
        <v>3</v>
      </c>
      <c r="C23" s="1">
        <v>2</v>
      </c>
      <c r="D23" s="42">
        <v>0</v>
      </c>
      <c r="E23" s="42">
        <v>0</v>
      </c>
      <c r="F23" s="1">
        <v>0</v>
      </c>
      <c r="G23" s="1">
        <v>0</v>
      </c>
      <c r="H23" s="43">
        <v>0</v>
      </c>
      <c r="I23" s="1">
        <v>0</v>
      </c>
      <c r="J23" s="44">
        <v>0</v>
      </c>
      <c r="K23" s="44">
        <v>14</v>
      </c>
      <c r="L23" s="7">
        <f t="shared" si="1"/>
        <v>5</v>
      </c>
      <c r="M23" s="8">
        <f t="shared" si="0"/>
        <v>19</v>
      </c>
      <c r="N23" s="20"/>
    </row>
    <row r="24" spans="1:15" ht="15.75" thickBot="1" x14ac:dyDescent="0.3">
      <c r="A24" s="9" t="s">
        <v>29</v>
      </c>
      <c r="B24" s="42">
        <v>2</v>
      </c>
      <c r="C24" s="1">
        <v>2</v>
      </c>
      <c r="D24" s="42">
        <v>1</v>
      </c>
      <c r="E24" s="42">
        <v>0</v>
      </c>
      <c r="F24" s="1">
        <v>0</v>
      </c>
      <c r="G24" s="1">
        <v>0</v>
      </c>
      <c r="H24" s="43">
        <v>0</v>
      </c>
      <c r="I24" s="1">
        <v>0</v>
      </c>
      <c r="J24" s="44">
        <v>0</v>
      </c>
      <c r="K24" s="44">
        <v>17</v>
      </c>
      <c r="L24" s="7">
        <f t="shared" si="1"/>
        <v>5</v>
      </c>
      <c r="M24" s="8">
        <f t="shared" si="0"/>
        <v>22</v>
      </c>
      <c r="N24" s="20" t="s">
        <v>118</v>
      </c>
      <c r="O24" s="22">
        <f>AVERAGE(O9:O11)</f>
        <v>11.333333333333334</v>
      </c>
    </row>
    <row r="25" spans="1:15" ht="15.75" thickBot="1" x14ac:dyDescent="0.3">
      <c r="A25" s="9" t="s">
        <v>30</v>
      </c>
      <c r="B25" s="42">
        <v>2</v>
      </c>
      <c r="C25" s="1">
        <v>3</v>
      </c>
      <c r="D25" s="42">
        <v>1</v>
      </c>
      <c r="E25" s="42">
        <v>0</v>
      </c>
      <c r="F25" s="1">
        <v>0</v>
      </c>
      <c r="G25" s="1">
        <v>0</v>
      </c>
      <c r="H25" s="43">
        <v>0</v>
      </c>
      <c r="I25" s="1">
        <v>0</v>
      </c>
      <c r="J25" s="44">
        <v>0</v>
      </c>
      <c r="K25" s="44">
        <v>19</v>
      </c>
      <c r="L25" s="7">
        <f t="shared" si="1"/>
        <v>6</v>
      </c>
      <c r="M25" s="8">
        <f t="shared" si="0"/>
        <v>25</v>
      </c>
      <c r="N25" s="20" t="s">
        <v>119</v>
      </c>
      <c r="O25" s="22">
        <f>AVERAGE(O18:O20)</f>
        <v>8.3333333333333339</v>
      </c>
    </row>
    <row r="26" spans="1:15" ht="15.75" thickBot="1" x14ac:dyDescent="0.3">
      <c r="A26" s="9" t="s">
        <v>31</v>
      </c>
      <c r="B26" s="42">
        <v>4</v>
      </c>
      <c r="C26" s="1">
        <v>3</v>
      </c>
      <c r="D26" s="42">
        <v>0</v>
      </c>
      <c r="E26" s="42">
        <v>0</v>
      </c>
      <c r="F26" s="1">
        <v>0</v>
      </c>
      <c r="G26" s="1">
        <v>0</v>
      </c>
      <c r="H26" s="43">
        <v>0</v>
      </c>
      <c r="I26" s="1">
        <v>0</v>
      </c>
      <c r="J26" s="44">
        <v>0</v>
      </c>
      <c r="K26" s="44">
        <v>10</v>
      </c>
      <c r="L26" s="7">
        <f t="shared" si="1"/>
        <v>7</v>
      </c>
      <c r="M26" s="8">
        <f t="shared" si="0"/>
        <v>17</v>
      </c>
      <c r="N26" s="20"/>
    </row>
    <row r="27" spans="1:15" ht="15.75" thickBot="1" x14ac:dyDescent="0.3">
      <c r="A27" s="9" t="s">
        <v>32</v>
      </c>
      <c r="B27" s="42">
        <v>4</v>
      </c>
      <c r="C27" s="1">
        <v>4</v>
      </c>
      <c r="D27" s="42">
        <v>0</v>
      </c>
      <c r="E27" s="42">
        <v>0</v>
      </c>
      <c r="F27" s="1">
        <v>0</v>
      </c>
      <c r="G27" s="1">
        <v>0</v>
      </c>
      <c r="H27" s="43">
        <v>0</v>
      </c>
      <c r="I27" s="1">
        <v>0</v>
      </c>
      <c r="J27" s="44">
        <v>0</v>
      </c>
      <c r="K27" s="44">
        <v>8</v>
      </c>
      <c r="L27" s="7">
        <f t="shared" si="1"/>
        <v>8</v>
      </c>
      <c r="M27" s="8">
        <f t="shared" si="0"/>
        <v>16</v>
      </c>
      <c r="N27" s="20"/>
    </row>
    <row r="28" spans="1:15" ht="15.75" thickBot="1" x14ac:dyDescent="0.3">
      <c r="A28" s="9" t="s">
        <v>33</v>
      </c>
      <c r="B28" s="42">
        <v>2</v>
      </c>
      <c r="C28" s="1">
        <v>0</v>
      </c>
      <c r="D28" s="42">
        <v>0</v>
      </c>
      <c r="E28" s="42">
        <v>0</v>
      </c>
      <c r="F28" s="1">
        <v>0</v>
      </c>
      <c r="G28" s="1">
        <v>0</v>
      </c>
      <c r="H28" s="43">
        <v>0</v>
      </c>
      <c r="I28" s="1">
        <v>0</v>
      </c>
      <c r="J28" s="44">
        <v>0</v>
      </c>
      <c r="K28" s="44">
        <v>9</v>
      </c>
      <c r="L28" s="7">
        <f t="shared" si="1"/>
        <v>2</v>
      </c>
      <c r="M28" s="8">
        <f t="shared" si="0"/>
        <v>11</v>
      </c>
      <c r="N28" s="20"/>
    </row>
    <row r="29" spans="1:15" ht="15.75" thickBot="1" x14ac:dyDescent="0.3">
      <c r="A29" s="9" t="s">
        <v>34</v>
      </c>
      <c r="B29" s="42">
        <v>4</v>
      </c>
      <c r="C29" s="1">
        <v>4</v>
      </c>
      <c r="D29" s="42">
        <v>1</v>
      </c>
      <c r="E29" s="42">
        <v>1</v>
      </c>
      <c r="F29" s="1">
        <v>0</v>
      </c>
      <c r="G29" s="1">
        <v>0</v>
      </c>
      <c r="H29" s="43">
        <v>0</v>
      </c>
      <c r="I29" s="1">
        <v>0</v>
      </c>
      <c r="J29" s="44">
        <v>0</v>
      </c>
      <c r="K29" s="44">
        <v>15</v>
      </c>
      <c r="L29" s="7">
        <f t="shared" si="1"/>
        <v>10</v>
      </c>
      <c r="M29" s="8">
        <f t="shared" si="0"/>
        <v>25</v>
      </c>
      <c r="N29" s="20"/>
    </row>
    <row r="30" spans="1:15" ht="15.75" thickBot="1" x14ac:dyDescent="0.3">
      <c r="A30" s="9" t="s">
        <v>35</v>
      </c>
      <c r="B30" s="42">
        <v>9</v>
      </c>
      <c r="C30" s="1">
        <v>4</v>
      </c>
      <c r="D30" s="42">
        <v>0</v>
      </c>
      <c r="E30" s="42">
        <v>0</v>
      </c>
      <c r="F30" s="1">
        <v>0</v>
      </c>
      <c r="G30" s="1">
        <v>0</v>
      </c>
      <c r="H30" s="43">
        <v>0</v>
      </c>
      <c r="I30" s="1">
        <v>0</v>
      </c>
      <c r="J30" s="44">
        <v>0</v>
      </c>
      <c r="K30" s="44">
        <v>22</v>
      </c>
      <c r="L30" s="7">
        <f t="shared" si="1"/>
        <v>13</v>
      </c>
      <c r="M30" s="8">
        <f t="shared" si="0"/>
        <v>35</v>
      </c>
      <c r="N30" s="20"/>
    </row>
    <row r="31" spans="1:15" ht="15.75" thickBot="1" x14ac:dyDescent="0.3">
      <c r="A31" s="9" t="s">
        <v>36</v>
      </c>
      <c r="B31" s="42">
        <v>4</v>
      </c>
      <c r="C31" s="1">
        <v>4</v>
      </c>
      <c r="D31" s="42">
        <v>0</v>
      </c>
      <c r="E31" s="42">
        <v>0</v>
      </c>
      <c r="F31" s="1">
        <v>0</v>
      </c>
      <c r="G31" s="1">
        <v>0</v>
      </c>
      <c r="H31" s="43">
        <v>0</v>
      </c>
      <c r="I31" s="1">
        <v>0</v>
      </c>
      <c r="J31" s="44">
        <v>0</v>
      </c>
      <c r="K31" s="44">
        <v>18</v>
      </c>
      <c r="L31" s="7">
        <f t="shared" si="1"/>
        <v>8</v>
      </c>
      <c r="M31" s="8">
        <f t="shared" si="0"/>
        <v>26</v>
      </c>
      <c r="N31" s="20"/>
    </row>
    <row r="32" spans="1:15" ht="15.75" thickBot="1" x14ac:dyDescent="0.3">
      <c r="A32" s="9" t="s">
        <v>37</v>
      </c>
      <c r="B32" s="42">
        <v>10</v>
      </c>
      <c r="C32" s="1">
        <v>5</v>
      </c>
      <c r="D32" s="42">
        <v>0</v>
      </c>
      <c r="E32" s="42">
        <v>0</v>
      </c>
      <c r="F32" s="1">
        <v>0</v>
      </c>
      <c r="G32" s="1">
        <v>0</v>
      </c>
      <c r="H32" s="43">
        <v>0</v>
      </c>
      <c r="I32" s="1">
        <v>0</v>
      </c>
      <c r="J32" s="44">
        <v>0</v>
      </c>
      <c r="K32" s="44">
        <v>25</v>
      </c>
      <c r="L32" s="7">
        <f t="shared" si="1"/>
        <v>15</v>
      </c>
      <c r="M32" s="8">
        <f t="shared" si="0"/>
        <v>40</v>
      </c>
      <c r="N32" s="20"/>
    </row>
    <row r="33" spans="1:14" ht="15.75" thickBot="1" x14ac:dyDescent="0.3">
      <c r="A33" s="9" t="s">
        <v>38</v>
      </c>
      <c r="B33" s="42">
        <v>5</v>
      </c>
      <c r="C33" s="1">
        <v>1</v>
      </c>
      <c r="D33" s="42">
        <v>0</v>
      </c>
      <c r="E33" s="42">
        <v>0</v>
      </c>
      <c r="F33" s="1">
        <v>0</v>
      </c>
      <c r="G33" s="1">
        <v>0</v>
      </c>
      <c r="H33" s="43">
        <v>0</v>
      </c>
      <c r="I33" s="1">
        <v>0</v>
      </c>
      <c r="J33" s="44">
        <v>0</v>
      </c>
      <c r="K33" s="44">
        <v>20</v>
      </c>
      <c r="L33" s="7">
        <f t="shared" si="1"/>
        <v>6</v>
      </c>
      <c r="M33" s="8">
        <f t="shared" si="0"/>
        <v>26</v>
      </c>
      <c r="N33" s="20"/>
    </row>
    <row r="34" spans="1:14" ht="15.75" thickBot="1" x14ac:dyDescent="0.3">
      <c r="A34" s="9" t="s">
        <v>39</v>
      </c>
      <c r="B34" s="42">
        <v>9</v>
      </c>
      <c r="C34" s="1">
        <v>2</v>
      </c>
      <c r="D34" s="42">
        <v>0</v>
      </c>
      <c r="E34" s="42">
        <v>0</v>
      </c>
      <c r="F34" s="1">
        <v>0</v>
      </c>
      <c r="G34" s="1">
        <v>0</v>
      </c>
      <c r="H34" s="43">
        <v>0</v>
      </c>
      <c r="I34" s="1">
        <v>0</v>
      </c>
      <c r="J34" s="44">
        <v>0</v>
      </c>
      <c r="K34" s="44">
        <v>15</v>
      </c>
      <c r="L34" s="7">
        <f t="shared" si="1"/>
        <v>11</v>
      </c>
      <c r="M34" s="8">
        <f t="shared" si="0"/>
        <v>26</v>
      </c>
      <c r="N34" s="20"/>
    </row>
    <row r="35" spans="1:14" ht="15.75" thickBot="1" x14ac:dyDescent="0.3">
      <c r="A35" s="9" t="s">
        <v>40</v>
      </c>
      <c r="B35" s="42">
        <v>4</v>
      </c>
      <c r="C35" s="1">
        <v>1</v>
      </c>
      <c r="D35" s="42">
        <v>2</v>
      </c>
      <c r="E35" s="42">
        <v>0</v>
      </c>
      <c r="F35" s="1">
        <v>0</v>
      </c>
      <c r="G35" s="1">
        <v>0</v>
      </c>
      <c r="H35" s="43">
        <v>0</v>
      </c>
      <c r="I35" s="1">
        <v>0</v>
      </c>
      <c r="J35" s="44">
        <v>0</v>
      </c>
      <c r="K35" s="44">
        <v>20</v>
      </c>
      <c r="L35" s="7">
        <f t="shared" si="1"/>
        <v>7</v>
      </c>
      <c r="M35" s="8">
        <f t="shared" si="0"/>
        <v>27</v>
      </c>
      <c r="N35" s="20"/>
    </row>
    <row r="36" spans="1:14" ht="15.75" thickBot="1" x14ac:dyDescent="0.3">
      <c r="A36" s="9" t="s">
        <v>41</v>
      </c>
      <c r="B36" s="42">
        <v>0</v>
      </c>
      <c r="C36" s="1">
        <v>1</v>
      </c>
      <c r="D36" s="42">
        <v>0</v>
      </c>
      <c r="E36" s="42">
        <v>0</v>
      </c>
      <c r="F36" s="1">
        <v>0</v>
      </c>
      <c r="G36" s="1">
        <v>0</v>
      </c>
      <c r="H36" s="43">
        <v>0</v>
      </c>
      <c r="I36" s="1">
        <v>0</v>
      </c>
      <c r="J36" s="44">
        <v>0</v>
      </c>
      <c r="K36" s="44">
        <v>5</v>
      </c>
      <c r="L36" s="7">
        <f t="shared" si="1"/>
        <v>1</v>
      </c>
      <c r="M36" s="8">
        <f t="shared" si="0"/>
        <v>6</v>
      </c>
      <c r="N36" s="20"/>
    </row>
    <row r="37" spans="1:14" ht="15.75" thickBot="1" x14ac:dyDescent="0.3">
      <c r="A37" s="9" t="s">
        <v>42</v>
      </c>
      <c r="B37" s="42">
        <v>3</v>
      </c>
      <c r="C37" s="1">
        <v>1</v>
      </c>
      <c r="D37" s="42">
        <v>0</v>
      </c>
      <c r="E37" s="42">
        <v>0</v>
      </c>
      <c r="F37" s="1">
        <v>0</v>
      </c>
      <c r="G37" s="1">
        <v>0</v>
      </c>
      <c r="H37" s="43">
        <v>0</v>
      </c>
      <c r="I37" s="1">
        <v>0</v>
      </c>
      <c r="J37" s="44">
        <v>0</v>
      </c>
      <c r="K37" s="44">
        <v>20</v>
      </c>
      <c r="L37" s="7">
        <f t="shared" si="1"/>
        <v>4</v>
      </c>
      <c r="M37" s="8">
        <f t="shared" si="0"/>
        <v>24</v>
      </c>
      <c r="N37" s="20"/>
    </row>
    <row r="38" spans="1:14" ht="15.75" thickBot="1" x14ac:dyDescent="0.3">
      <c r="A38" s="9" t="s">
        <v>43</v>
      </c>
      <c r="B38" s="42">
        <v>2</v>
      </c>
      <c r="C38" s="1">
        <v>2</v>
      </c>
      <c r="D38" s="42">
        <v>0</v>
      </c>
      <c r="E38" s="42">
        <v>0</v>
      </c>
      <c r="F38" s="1">
        <v>0</v>
      </c>
      <c r="G38" s="1">
        <v>0</v>
      </c>
      <c r="H38" s="43">
        <v>0</v>
      </c>
      <c r="I38" s="1">
        <v>0</v>
      </c>
      <c r="J38" s="44">
        <v>0</v>
      </c>
      <c r="K38" s="44">
        <v>10</v>
      </c>
      <c r="L38" s="7">
        <f t="shared" si="1"/>
        <v>4</v>
      </c>
      <c r="M38" s="8">
        <f t="shared" si="0"/>
        <v>14</v>
      </c>
      <c r="N38" s="20"/>
    </row>
    <row r="39" spans="1:14" ht="15.75" thickBot="1" x14ac:dyDescent="0.3">
      <c r="A39" s="9" t="s">
        <v>44</v>
      </c>
      <c r="B39" s="42">
        <v>2</v>
      </c>
      <c r="C39" s="1">
        <v>2</v>
      </c>
      <c r="D39" s="42">
        <v>0</v>
      </c>
      <c r="E39" s="42">
        <v>0</v>
      </c>
      <c r="F39" s="1">
        <v>0</v>
      </c>
      <c r="G39" s="1">
        <v>0</v>
      </c>
      <c r="H39" s="43">
        <v>0</v>
      </c>
      <c r="I39" s="1">
        <v>0</v>
      </c>
      <c r="J39" s="44">
        <v>0</v>
      </c>
      <c r="K39" s="44">
        <v>5</v>
      </c>
      <c r="L39" s="7">
        <f t="shared" si="1"/>
        <v>4</v>
      </c>
      <c r="M39" s="8">
        <f t="shared" si="0"/>
        <v>9</v>
      </c>
      <c r="N39" s="20"/>
    </row>
    <row r="40" spans="1:14" ht="15.75" thickBot="1" x14ac:dyDescent="0.3">
      <c r="A40" s="9" t="s">
        <v>45</v>
      </c>
      <c r="B40" s="42">
        <v>1</v>
      </c>
      <c r="C40" s="1">
        <v>1</v>
      </c>
      <c r="D40" s="42">
        <v>0</v>
      </c>
      <c r="E40" s="42">
        <v>0</v>
      </c>
      <c r="F40" s="1">
        <v>0</v>
      </c>
      <c r="G40" s="1">
        <v>0</v>
      </c>
      <c r="H40" s="43">
        <v>0</v>
      </c>
      <c r="I40" s="1">
        <v>0</v>
      </c>
      <c r="J40" s="44">
        <v>0</v>
      </c>
      <c r="K40" s="44">
        <v>10</v>
      </c>
      <c r="L40" s="7">
        <f t="shared" si="1"/>
        <v>2</v>
      </c>
      <c r="M40" s="8">
        <f t="shared" si="0"/>
        <v>12</v>
      </c>
      <c r="N40" s="20"/>
    </row>
    <row r="41" spans="1:14" ht="15.75" thickBot="1" x14ac:dyDescent="0.3">
      <c r="A41" s="9" t="s">
        <v>46</v>
      </c>
      <c r="B41" s="42">
        <v>2</v>
      </c>
      <c r="C41" s="1">
        <v>2</v>
      </c>
      <c r="D41" s="42">
        <v>0</v>
      </c>
      <c r="E41" s="42">
        <v>0</v>
      </c>
      <c r="F41" s="1">
        <v>0</v>
      </c>
      <c r="G41" s="1">
        <v>0</v>
      </c>
      <c r="H41" s="43">
        <v>0</v>
      </c>
      <c r="I41" s="1">
        <v>0</v>
      </c>
      <c r="J41" s="44">
        <v>0</v>
      </c>
      <c r="K41" s="44">
        <v>10</v>
      </c>
      <c r="L41" s="7">
        <f t="shared" si="1"/>
        <v>4</v>
      </c>
      <c r="M41" s="8">
        <f t="shared" si="0"/>
        <v>14</v>
      </c>
      <c r="N41" s="20"/>
    </row>
    <row r="42" spans="1:14" ht="15.75" thickBot="1" x14ac:dyDescent="0.3">
      <c r="A42" s="9" t="s">
        <v>47</v>
      </c>
      <c r="B42" s="42">
        <v>3</v>
      </c>
      <c r="C42" s="1">
        <v>1</v>
      </c>
      <c r="D42" s="42">
        <v>0</v>
      </c>
      <c r="E42" s="42">
        <v>0</v>
      </c>
      <c r="F42" s="1">
        <v>0</v>
      </c>
      <c r="G42" s="1">
        <v>0</v>
      </c>
      <c r="H42" s="43">
        <v>0</v>
      </c>
      <c r="I42" s="1">
        <v>0</v>
      </c>
      <c r="J42" s="44">
        <v>0</v>
      </c>
      <c r="K42" s="44">
        <v>4</v>
      </c>
      <c r="L42" s="7">
        <f t="shared" si="1"/>
        <v>4</v>
      </c>
      <c r="M42" s="8">
        <f t="shared" si="0"/>
        <v>8</v>
      </c>
      <c r="N42" s="20"/>
    </row>
    <row r="43" spans="1:14" ht="15.75" thickBot="1" x14ac:dyDescent="0.3">
      <c r="A43" s="9" t="s">
        <v>48</v>
      </c>
      <c r="B43" s="42">
        <v>2</v>
      </c>
      <c r="C43" s="1">
        <v>1</v>
      </c>
      <c r="D43" s="42">
        <v>0</v>
      </c>
      <c r="E43" s="42">
        <v>0</v>
      </c>
      <c r="F43" s="1">
        <v>0</v>
      </c>
      <c r="G43" s="1">
        <v>0</v>
      </c>
      <c r="H43" s="43">
        <v>0</v>
      </c>
      <c r="I43" s="1">
        <v>0</v>
      </c>
      <c r="J43" s="44">
        <v>0</v>
      </c>
      <c r="K43" s="44">
        <v>20</v>
      </c>
      <c r="L43" s="7">
        <f t="shared" si="1"/>
        <v>3</v>
      </c>
      <c r="M43" s="8">
        <f t="shared" si="0"/>
        <v>23</v>
      </c>
      <c r="N43" s="20"/>
    </row>
    <row r="44" spans="1:14" ht="15.75" thickBot="1" x14ac:dyDescent="0.3">
      <c r="A44" s="9" t="s">
        <v>49</v>
      </c>
      <c r="B44" s="42">
        <v>1</v>
      </c>
      <c r="C44" s="1">
        <v>0</v>
      </c>
      <c r="D44" s="42">
        <v>0</v>
      </c>
      <c r="E44" s="42">
        <v>0</v>
      </c>
      <c r="F44" s="1">
        <v>0</v>
      </c>
      <c r="G44" s="1">
        <v>0</v>
      </c>
      <c r="H44" s="43">
        <v>0</v>
      </c>
      <c r="I44" s="1">
        <v>0</v>
      </c>
      <c r="J44" s="44">
        <v>0</v>
      </c>
      <c r="K44" s="44">
        <v>1</v>
      </c>
      <c r="L44" s="7">
        <f t="shared" si="1"/>
        <v>1</v>
      </c>
      <c r="M44" s="8">
        <f t="shared" si="0"/>
        <v>2</v>
      </c>
      <c r="N44" s="20"/>
    </row>
    <row r="45" spans="1:14" ht="15.75" thickBot="1" x14ac:dyDescent="0.3">
      <c r="A45" s="9" t="s">
        <v>50</v>
      </c>
      <c r="B45" s="42">
        <v>0</v>
      </c>
      <c r="C45" s="1">
        <v>2</v>
      </c>
      <c r="D45" s="42">
        <v>0</v>
      </c>
      <c r="E45" s="42">
        <v>0</v>
      </c>
      <c r="F45" s="1">
        <v>0</v>
      </c>
      <c r="G45" s="1">
        <v>0</v>
      </c>
      <c r="H45" s="43">
        <v>0</v>
      </c>
      <c r="I45" s="1">
        <v>0</v>
      </c>
      <c r="J45" s="44">
        <v>0</v>
      </c>
      <c r="K45" s="44">
        <v>5</v>
      </c>
      <c r="L45" s="7">
        <f t="shared" si="1"/>
        <v>2</v>
      </c>
      <c r="M45" s="8">
        <f t="shared" si="0"/>
        <v>7</v>
      </c>
      <c r="N45" s="20"/>
    </row>
    <row r="46" spans="1:14" ht="15.75" thickBot="1" x14ac:dyDescent="0.3">
      <c r="A46" s="9" t="s">
        <v>51</v>
      </c>
      <c r="B46" s="42">
        <v>2</v>
      </c>
      <c r="C46" s="1">
        <v>0</v>
      </c>
      <c r="D46" s="42">
        <v>0</v>
      </c>
      <c r="E46" s="42">
        <v>0</v>
      </c>
      <c r="F46" s="1">
        <v>0</v>
      </c>
      <c r="G46" s="1">
        <v>0</v>
      </c>
      <c r="H46" s="43">
        <v>0</v>
      </c>
      <c r="I46" s="1">
        <v>0</v>
      </c>
      <c r="J46" s="44">
        <v>0</v>
      </c>
      <c r="K46" s="44">
        <v>10</v>
      </c>
      <c r="L46" s="7">
        <f t="shared" si="1"/>
        <v>2</v>
      </c>
      <c r="M46" s="8">
        <f t="shared" si="0"/>
        <v>12</v>
      </c>
      <c r="N46" s="20"/>
    </row>
    <row r="47" spans="1:14" ht="15.75" thickBot="1" x14ac:dyDescent="0.3">
      <c r="A47" s="9" t="s">
        <v>52</v>
      </c>
      <c r="B47" s="42">
        <v>1</v>
      </c>
      <c r="C47" s="1">
        <v>0</v>
      </c>
      <c r="D47" s="42">
        <v>0</v>
      </c>
      <c r="E47" s="42">
        <v>0</v>
      </c>
      <c r="F47" s="1">
        <v>0</v>
      </c>
      <c r="G47" s="1">
        <v>0</v>
      </c>
      <c r="H47" s="43">
        <v>0</v>
      </c>
      <c r="I47" s="1">
        <v>0</v>
      </c>
      <c r="J47" s="44">
        <v>0</v>
      </c>
      <c r="K47" s="44">
        <v>3</v>
      </c>
      <c r="L47" s="7">
        <f t="shared" si="1"/>
        <v>1</v>
      </c>
      <c r="M47" s="8">
        <f t="shared" si="0"/>
        <v>4</v>
      </c>
      <c r="N47" s="20"/>
    </row>
    <row r="48" spans="1:14" ht="15.75" thickBot="1" x14ac:dyDescent="0.3">
      <c r="A48" s="9" t="s">
        <v>53</v>
      </c>
      <c r="B48" s="42">
        <v>1</v>
      </c>
      <c r="C48" s="1">
        <v>1</v>
      </c>
      <c r="D48" s="42">
        <v>0</v>
      </c>
      <c r="E48" s="42">
        <v>0</v>
      </c>
      <c r="F48" s="1">
        <v>0</v>
      </c>
      <c r="G48" s="1">
        <v>1</v>
      </c>
      <c r="H48" s="43">
        <v>0</v>
      </c>
      <c r="I48" s="1">
        <v>0</v>
      </c>
      <c r="J48" s="44">
        <v>0</v>
      </c>
      <c r="K48" s="44">
        <v>3</v>
      </c>
      <c r="L48" s="7">
        <f t="shared" si="1"/>
        <v>3</v>
      </c>
      <c r="M48" s="8">
        <f t="shared" si="0"/>
        <v>6</v>
      </c>
      <c r="N48" s="20"/>
    </row>
    <row r="49" spans="1:14" ht="15.75" thickBot="1" x14ac:dyDescent="0.3">
      <c r="A49" s="9" t="s">
        <v>54</v>
      </c>
      <c r="B49" s="42">
        <v>2</v>
      </c>
      <c r="C49" s="1">
        <v>0</v>
      </c>
      <c r="D49" s="42">
        <v>0</v>
      </c>
      <c r="E49" s="42">
        <v>0</v>
      </c>
      <c r="F49" s="1">
        <v>0</v>
      </c>
      <c r="G49" s="1">
        <v>0</v>
      </c>
      <c r="H49" s="43">
        <v>0</v>
      </c>
      <c r="I49" s="1">
        <v>0</v>
      </c>
      <c r="J49" s="44">
        <v>0</v>
      </c>
      <c r="K49" s="44">
        <v>15</v>
      </c>
      <c r="L49" s="7">
        <f t="shared" si="1"/>
        <v>2</v>
      </c>
      <c r="M49" s="8">
        <f t="shared" si="0"/>
        <v>17</v>
      </c>
      <c r="N49" s="20"/>
    </row>
    <row r="50" spans="1:14" ht="15.75" thickBot="1" x14ac:dyDescent="0.3">
      <c r="A50" s="9" t="s">
        <v>55</v>
      </c>
      <c r="B50" s="42">
        <v>1</v>
      </c>
      <c r="C50" s="1">
        <v>0</v>
      </c>
      <c r="D50" s="42">
        <v>0</v>
      </c>
      <c r="E50" s="42">
        <v>0</v>
      </c>
      <c r="F50" s="1">
        <v>0</v>
      </c>
      <c r="G50" s="1">
        <v>0</v>
      </c>
      <c r="H50" s="43">
        <v>0</v>
      </c>
      <c r="I50" s="1">
        <v>0</v>
      </c>
      <c r="J50" s="44">
        <v>0</v>
      </c>
      <c r="K50" s="44">
        <v>10</v>
      </c>
      <c r="L50" s="7">
        <f t="shared" si="1"/>
        <v>1</v>
      </c>
      <c r="M50" s="8">
        <f t="shared" si="0"/>
        <v>11</v>
      </c>
      <c r="N50" s="20"/>
    </row>
    <row r="51" spans="1:14" ht="15.75" thickBot="1" x14ac:dyDescent="0.3">
      <c r="A51" s="9" t="s">
        <v>56</v>
      </c>
      <c r="B51" s="42">
        <v>1</v>
      </c>
      <c r="C51" s="1">
        <v>0</v>
      </c>
      <c r="D51" s="42">
        <v>0</v>
      </c>
      <c r="E51" s="42">
        <v>0</v>
      </c>
      <c r="F51" s="1">
        <v>0</v>
      </c>
      <c r="G51" s="1">
        <v>0</v>
      </c>
      <c r="H51" s="43">
        <v>0</v>
      </c>
      <c r="I51" s="1">
        <v>0</v>
      </c>
      <c r="J51" s="44">
        <v>0</v>
      </c>
      <c r="K51" s="44">
        <v>3</v>
      </c>
      <c r="L51" s="7">
        <f t="shared" si="1"/>
        <v>1</v>
      </c>
      <c r="M51" s="8">
        <f t="shared" si="0"/>
        <v>4</v>
      </c>
      <c r="N51" s="20"/>
    </row>
    <row r="52" spans="1:14" ht="15.75" thickBot="1" x14ac:dyDescent="0.3">
      <c r="A52" s="9" t="s">
        <v>57</v>
      </c>
      <c r="B52" s="42">
        <v>3</v>
      </c>
      <c r="C52" s="1">
        <v>1</v>
      </c>
      <c r="D52" s="42">
        <v>0</v>
      </c>
      <c r="E52" s="42">
        <v>0</v>
      </c>
      <c r="F52" s="1">
        <v>0</v>
      </c>
      <c r="G52" s="1">
        <v>0</v>
      </c>
      <c r="H52" s="43">
        <v>0</v>
      </c>
      <c r="I52" s="1">
        <v>1</v>
      </c>
      <c r="J52" s="44">
        <v>0</v>
      </c>
      <c r="K52" s="44">
        <v>5</v>
      </c>
      <c r="L52" s="7">
        <f t="shared" si="1"/>
        <v>5</v>
      </c>
      <c r="M52" s="8">
        <f t="shared" si="0"/>
        <v>10</v>
      </c>
      <c r="N52" s="20"/>
    </row>
    <row r="53" spans="1:14" ht="15.75" thickBot="1" x14ac:dyDescent="0.3">
      <c r="A53" s="9" t="s">
        <v>58</v>
      </c>
      <c r="B53" s="42">
        <v>0</v>
      </c>
      <c r="C53" s="1">
        <v>0</v>
      </c>
      <c r="D53" s="42">
        <v>0</v>
      </c>
      <c r="E53" s="42">
        <v>0</v>
      </c>
      <c r="F53" s="1">
        <v>0</v>
      </c>
      <c r="G53" s="1">
        <v>0</v>
      </c>
      <c r="H53" s="43">
        <v>0</v>
      </c>
      <c r="I53" s="1">
        <v>0</v>
      </c>
      <c r="J53" s="44">
        <v>0</v>
      </c>
      <c r="K53" s="44">
        <v>8</v>
      </c>
      <c r="L53" s="7">
        <f t="shared" si="1"/>
        <v>0</v>
      </c>
      <c r="M53" s="8">
        <f t="shared" si="0"/>
        <v>8</v>
      </c>
      <c r="N53" s="20"/>
    </row>
    <row r="54" spans="1:14" ht="15.75" thickBot="1" x14ac:dyDescent="0.3">
      <c r="A54" s="9" t="s">
        <v>59</v>
      </c>
      <c r="B54" s="42">
        <v>1</v>
      </c>
      <c r="C54" s="1">
        <v>0</v>
      </c>
      <c r="D54" s="42">
        <v>0</v>
      </c>
      <c r="E54" s="42">
        <v>0</v>
      </c>
      <c r="F54" s="1">
        <v>0</v>
      </c>
      <c r="G54" s="1">
        <v>0</v>
      </c>
      <c r="H54" s="43">
        <v>0</v>
      </c>
      <c r="I54" s="1">
        <v>0</v>
      </c>
      <c r="J54" s="44">
        <v>0</v>
      </c>
      <c r="K54" s="44">
        <v>3</v>
      </c>
      <c r="L54" s="7">
        <f t="shared" si="1"/>
        <v>1</v>
      </c>
      <c r="M54" s="8">
        <f t="shared" si="0"/>
        <v>4</v>
      </c>
      <c r="N54" s="20"/>
    </row>
    <row r="55" spans="1:14" ht="15.75" thickBot="1" x14ac:dyDescent="0.3">
      <c r="A55" s="9" t="s">
        <v>60</v>
      </c>
      <c r="B55" s="42">
        <v>1</v>
      </c>
      <c r="C55" s="1">
        <v>0</v>
      </c>
      <c r="D55" s="42">
        <v>0</v>
      </c>
      <c r="E55" s="42">
        <v>0</v>
      </c>
      <c r="F55" s="1">
        <v>0</v>
      </c>
      <c r="G55" s="1">
        <v>0</v>
      </c>
      <c r="H55" s="43">
        <v>0</v>
      </c>
      <c r="I55" s="1">
        <v>0</v>
      </c>
      <c r="J55" s="44">
        <v>0</v>
      </c>
      <c r="K55" s="44">
        <v>5</v>
      </c>
      <c r="L55" s="7">
        <f t="shared" si="1"/>
        <v>1</v>
      </c>
      <c r="M55" s="8">
        <f t="shared" si="0"/>
        <v>6</v>
      </c>
      <c r="N55" s="20"/>
    </row>
    <row r="56" spans="1:14" ht="15.75" thickBot="1" x14ac:dyDescent="0.3">
      <c r="A56" s="9" t="s">
        <v>61</v>
      </c>
      <c r="B56" s="42">
        <v>2</v>
      </c>
      <c r="C56" s="1">
        <v>2</v>
      </c>
      <c r="D56" s="42">
        <v>0</v>
      </c>
      <c r="E56" s="42">
        <v>0</v>
      </c>
      <c r="F56" s="1">
        <v>0</v>
      </c>
      <c r="G56" s="1">
        <v>0</v>
      </c>
      <c r="H56" s="43">
        <v>0</v>
      </c>
      <c r="I56" s="1">
        <v>0</v>
      </c>
      <c r="J56" s="44">
        <v>0</v>
      </c>
      <c r="K56" s="44">
        <v>2</v>
      </c>
      <c r="L56" s="7">
        <f t="shared" si="1"/>
        <v>4</v>
      </c>
      <c r="M56" s="8">
        <f t="shared" si="0"/>
        <v>6</v>
      </c>
      <c r="N56" s="20"/>
    </row>
    <row r="57" spans="1:14" ht="15.75" thickBot="1" x14ac:dyDescent="0.3">
      <c r="A57" s="9" t="s">
        <v>62</v>
      </c>
      <c r="B57" s="42">
        <v>1</v>
      </c>
      <c r="C57" s="1">
        <v>2</v>
      </c>
      <c r="D57" s="42">
        <v>0</v>
      </c>
      <c r="E57" s="42">
        <v>0</v>
      </c>
      <c r="F57" s="1">
        <v>0</v>
      </c>
      <c r="G57" s="1">
        <v>0</v>
      </c>
      <c r="H57" s="43">
        <v>0</v>
      </c>
      <c r="I57" s="1">
        <v>0</v>
      </c>
      <c r="J57" s="44">
        <v>0</v>
      </c>
      <c r="K57" s="44">
        <v>1</v>
      </c>
      <c r="L57" s="7">
        <f t="shared" si="1"/>
        <v>3</v>
      </c>
      <c r="M57" s="8">
        <f t="shared" si="0"/>
        <v>4</v>
      </c>
      <c r="N57" s="20"/>
    </row>
    <row r="58" spans="1:14" ht="15.75" thickBot="1" x14ac:dyDescent="0.3">
      <c r="A58" s="9" t="s">
        <v>63</v>
      </c>
      <c r="B58" s="42">
        <v>1</v>
      </c>
      <c r="C58" s="1">
        <v>1</v>
      </c>
      <c r="D58" s="42">
        <v>0</v>
      </c>
      <c r="E58" s="42">
        <v>0</v>
      </c>
      <c r="F58" s="1">
        <v>0</v>
      </c>
      <c r="G58" s="1">
        <v>0</v>
      </c>
      <c r="H58" s="43">
        <v>0</v>
      </c>
      <c r="I58" s="1">
        <v>0</v>
      </c>
      <c r="J58" s="44">
        <v>0</v>
      </c>
      <c r="K58" s="44">
        <v>0</v>
      </c>
      <c r="L58" s="7">
        <f t="shared" si="1"/>
        <v>2</v>
      </c>
      <c r="M58" s="8">
        <f t="shared" si="0"/>
        <v>2</v>
      </c>
      <c r="N58" s="20"/>
    </row>
    <row r="59" spans="1:14" ht="15.75" thickBot="1" x14ac:dyDescent="0.3">
      <c r="A59" s="9" t="s">
        <v>64</v>
      </c>
      <c r="B59" s="42">
        <v>2</v>
      </c>
      <c r="C59" s="1">
        <v>0</v>
      </c>
      <c r="D59" s="42">
        <v>0</v>
      </c>
      <c r="E59" s="42">
        <v>0</v>
      </c>
      <c r="F59" s="1">
        <v>0</v>
      </c>
      <c r="G59" s="1">
        <v>0</v>
      </c>
      <c r="H59" s="43">
        <v>0</v>
      </c>
      <c r="I59" s="1">
        <v>0</v>
      </c>
      <c r="J59" s="44">
        <v>0</v>
      </c>
      <c r="K59" s="44">
        <v>3</v>
      </c>
      <c r="L59" s="7">
        <f t="shared" si="1"/>
        <v>2</v>
      </c>
      <c r="M59" s="8">
        <f t="shared" si="0"/>
        <v>5</v>
      </c>
      <c r="N59" s="20"/>
    </row>
    <row r="60" spans="1:14" ht="15.75" thickBot="1" x14ac:dyDescent="0.3">
      <c r="A60" s="9" t="s">
        <v>65</v>
      </c>
      <c r="B60" s="42">
        <v>1</v>
      </c>
      <c r="C60" s="1">
        <v>0</v>
      </c>
      <c r="D60" s="42">
        <v>0</v>
      </c>
      <c r="E60" s="42">
        <v>0</v>
      </c>
      <c r="F60" s="1">
        <v>0</v>
      </c>
      <c r="G60" s="1">
        <v>0</v>
      </c>
      <c r="H60" s="43">
        <v>0</v>
      </c>
      <c r="I60" s="1">
        <v>0</v>
      </c>
      <c r="J60" s="44">
        <v>0</v>
      </c>
      <c r="K60" s="44">
        <v>2</v>
      </c>
      <c r="L60" s="7">
        <f t="shared" si="1"/>
        <v>1</v>
      </c>
      <c r="M60" s="8">
        <f t="shared" si="0"/>
        <v>3</v>
      </c>
      <c r="N60" s="20"/>
    </row>
    <row r="61" spans="1:14" ht="15.75" thickBot="1" x14ac:dyDescent="0.3">
      <c r="A61" s="9" t="s">
        <v>66</v>
      </c>
      <c r="B61" s="42">
        <v>2</v>
      </c>
      <c r="C61" s="1">
        <v>0</v>
      </c>
      <c r="D61" s="42">
        <v>0</v>
      </c>
      <c r="E61" s="42">
        <v>0</v>
      </c>
      <c r="F61" s="1">
        <v>0</v>
      </c>
      <c r="G61" s="1">
        <v>0</v>
      </c>
      <c r="H61" s="43">
        <v>0</v>
      </c>
      <c r="I61" s="1">
        <v>0</v>
      </c>
      <c r="J61" s="44">
        <v>0</v>
      </c>
      <c r="K61" s="44">
        <v>4</v>
      </c>
      <c r="L61" s="7">
        <f t="shared" si="1"/>
        <v>2</v>
      </c>
      <c r="M61" s="8">
        <f t="shared" si="0"/>
        <v>6</v>
      </c>
      <c r="N61" s="20"/>
    </row>
    <row r="62" spans="1:14" ht="15.75" thickBot="1" x14ac:dyDescent="0.3">
      <c r="A62" s="10" t="s">
        <v>67</v>
      </c>
      <c r="B62" s="42">
        <v>1</v>
      </c>
      <c r="C62" s="1">
        <v>0</v>
      </c>
      <c r="D62" s="42">
        <v>0</v>
      </c>
      <c r="E62" s="42">
        <v>0</v>
      </c>
      <c r="F62" s="1">
        <v>0</v>
      </c>
      <c r="G62" s="1">
        <v>0</v>
      </c>
      <c r="H62" s="43">
        <v>0</v>
      </c>
      <c r="I62" s="1">
        <v>0</v>
      </c>
      <c r="J62" s="44">
        <v>0</v>
      </c>
      <c r="K62" s="44">
        <v>2</v>
      </c>
      <c r="L62" s="7">
        <f t="shared" si="1"/>
        <v>1</v>
      </c>
      <c r="M62" s="8">
        <f t="shared" si="0"/>
        <v>3</v>
      </c>
      <c r="N62" s="20"/>
    </row>
    <row r="63" spans="1:14" ht="15.75" thickBot="1" x14ac:dyDescent="0.3">
      <c r="A63" s="9" t="s">
        <v>68</v>
      </c>
      <c r="B63" s="42">
        <v>4</v>
      </c>
      <c r="C63" s="1">
        <v>4</v>
      </c>
      <c r="D63" s="42">
        <v>0</v>
      </c>
      <c r="E63" s="42">
        <v>0</v>
      </c>
      <c r="F63" s="1">
        <v>0</v>
      </c>
      <c r="G63" s="1">
        <v>0</v>
      </c>
      <c r="H63" s="43">
        <v>0</v>
      </c>
      <c r="I63" s="1">
        <v>0</v>
      </c>
      <c r="J63" s="44">
        <v>0</v>
      </c>
      <c r="K63" s="44">
        <v>6</v>
      </c>
      <c r="L63" s="7">
        <f t="shared" si="1"/>
        <v>8</v>
      </c>
      <c r="M63" s="8">
        <f t="shared" si="0"/>
        <v>14</v>
      </c>
      <c r="N63" s="20"/>
    </row>
    <row r="64" spans="1:14" ht="15.75" thickBot="1" x14ac:dyDescent="0.3">
      <c r="A64" s="9" t="s">
        <v>69</v>
      </c>
      <c r="B64" s="46">
        <v>2</v>
      </c>
      <c r="C64" s="1">
        <v>2</v>
      </c>
      <c r="D64" s="46">
        <v>0</v>
      </c>
      <c r="E64" s="46">
        <v>0</v>
      </c>
      <c r="F64" s="1">
        <v>0</v>
      </c>
      <c r="G64" s="1">
        <v>0</v>
      </c>
      <c r="H64" s="47">
        <v>0</v>
      </c>
      <c r="I64" s="1">
        <v>0</v>
      </c>
      <c r="J64" s="48">
        <v>0</v>
      </c>
      <c r="K64" s="48">
        <v>5</v>
      </c>
      <c r="L64" s="7">
        <f t="shared" ref="L64:L71" si="2">SUM(B64:J64)</f>
        <v>4</v>
      </c>
      <c r="M64" s="8">
        <f>SUM(B64:K64)</f>
        <v>9</v>
      </c>
      <c r="N64" s="20"/>
    </row>
    <row r="65" spans="1:14" ht="15.75" thickBot="1" x14ac:dyDescent="0.3">
      <c r="A65" s="11" t="s">
        <v>70</v>
      </c>
      <c r="B65" s="46">
        <v>1</v>
      </c>
      <c r="C65" s="1">
        <v>2</v>
      </c>
      <c r="D65" s="46">
        <v>0</v>
      </c>
      <c r="E65" s="46">
        <v>0</v>
      </c>
      <c r="F65" s="1">
        <v>0</v>
      </c>
      <c r="G65" s="1">
        <v>0</v>
      </c>
      <c r="H65" s="47">
        <v>0</v>
      </c>
      <c r="I65" s="1">
        <v>0</v>
      </c>
      <c r="J65" s="48">
        <v>0</v>
      </c>
      <c r="K65" s="48">
        <v>1</v>
      </c>
      <c r="L65" s="7">
        <f t="shared" si="2"/>
        <v>3</v>
      </c>
      <c r="M65" s="8">
        <f>SUM(B65:K65)</f>
        <v>4</v>
      </c>
      <c r="N65" s="20"/>
    </row>
    <row r="66" spans="1:14" ht="15.75" thickBot="1" x14ac:dyDescent="0.3">
      <c r="A66" s="9" t="s">
        <v>71</v>
      </c>
      <c r="B66" s="46">
        <v>1</v>
      </c>
      <c r="C66" s="1">
        <v>1</v>
      </c>
      <c r="D66" s="46">
        <v>0</v>
      </c>
      <c r="E66" s="46">
        <v>0</v>
      </c>
      <c r="F66" s="1">
        <v>0</v>
      </c>
      <c r="G66" s="1">
        <v>0</v>
      </c>
      <c r="H66" s="47">
        <v>0</v>
      </c>
      <c r="I66" s="1">
        <v>0</v>
      </c>
      <c r="J66" s="48">
        <v>0</v>
      </c>
      <c r="K66" s="48">
        <v>0</v>
      </c>
      <c r="L66" s="7">
        <f t="shared" si="2"/>
        <v>2</v>
      </c>
      <c r="M66" s="8">
        <f t="shared" si="0"/>
        <v>2</v>
      </c>
      <c r="N66" s="20"/>
    </row>
    <row r="67" spans="1:14" ht="15.75" thickBot="1" x14ac:dyDescent="0.3">
      <c r="A67" s="9" t="s">
        <v>72</v>
      </c>
      <c r="B67" s="46">
        <v>2</v>
      </c>
      <c r="C67" s="1">
        <v>0</v>
      </c>
      <c r="D67" s="46">
        <v>0</v>
      </c>
      <c r="E67" s="46">
        <v>0</v>
      </c>
      <c r="F67" s="1">
        <v>0</v>
      </c>
      <c r="G67" s="1">
        <v>0</v>
      </c>
      <c r="H67" s="47">
        <v>0</v>
      </c>
      <c r="I67" s="1">
        <v>0</v>
      </c>
      <c r="J67" s="48">
        <v>0</v>
      </c>
      <c r="K67" s="48">
        <v>5</v>
      </c>
      <c r="L67" s="7">
        <f t="shared" si="2"/>
        <v>2</v>
      </c>
      <c r="M67" s="8">
        <f>SUM(B67:K67)</f>
        <v>7</v>
      </c>
      <c r="N67" s="20"/>
    </row>
    <row r="68" spans="1:14" ht="15.75" thickBot="1" x14ac:dyDescent="0.3">
      <c r="A68" s="9" t="s">
        <v>90</v>
      </c>
      <c r="B68" s="46">
        <v>3</v>
      </c>
      <c r="C68" s="1">
        <v>0</v>
      </c>
      <c r="D68" s="46">
        <v>0</v>
      </c>
      <c r="E68" s="46">
        <v>0</v>
      </c>
      <c r="F68" s="1">
        <v>0</v>
      </c>
      <c r="G68" s="1">
        <v>0</v>
      </c>
      <c r="H68" s="47">
        <v>0</v>
      </c>
      <c r="I68" s="1">
        <v>0</v>
      </c>
      <c r="J68" s="48">
        <v>0</v>
      </c>
      <c r="K68" s="48">
        <v>3</v>
      </c>
      <c r="L68" s="7">
        <f t="shared" si="2"/>
        <v>3</v>
      </c>
      <c r="M68" s="8">
        <f t="shared" ref="M68:M71" si="3">SUM(B68:K68)</f>
        <v>6</v>
      </c>
      <c r="N68" s="20"/>
    </row>
    <row r="69" spans="1:14" ht="15.75" thickBot="1" x14ac:dyDescent="0.3">
      <c r="A69" s="9" t="s">
        <v>91</v>
      </c>
      <c r="B69" s="46">
        <v>2</v>
      </c>
      <c r="C69" s="1">
        <v>0</v>
      </c>
      <c r="D69" s="46">
        <v>0</v>
      </c>
      <c r="E69" s="46">
        <v>0</v>
      </c>
      <c r="F69" s="1">
        <v>0</v>
      </c>
      <c r="G69" s="1">
        <v>0</v>
      </c>
      <c r="H69" s="47">
        <v>0</v>
      </c>
      <c r="I69" s="1">
        <v>0</v>
      </c>
      <c r="J69" s="48">
        <v>0</v>
      </c>
      <c r="K69" s="48">
        <v>4</v>
      </c>
      <c r="L69" s="7">
        <f t="shared" si="2"/>
        <v>2</v>
      </c>
      <c r="M69" s="8">
        <f t="shared" si="3"/>
        <v>6</v>
      </c>
      <c r="N69" s="20"/>
    </row>
    <row r="70" spans="1:14" ht="15.75" thickBot="1" x14ac:dyDescent="0.3">
      <c r="A70" s="9" t="s">
        <v>92</v>
      </c>
      <c r="B70" s="46">
        <v>1</v>
      </c>
      <c r="C70" s="1">
        <v>0</v>
      </c>
      <c r="D70" s="46">
        <v>0</v>
      </c>
      <c r="E70" s="46">
        <v>0</v>
      </c>
      <c r="F70" s="1">
        <v>0</v>
      </c>
      <c r="G70" s="1">
        <v>0</v>
      </c>
      <c r="H70" s="47">
        <v>0</v>
      </c>
      <c r="I70" s="1">
        <v>0</v>
      </c>
      <c r="J70" s="48">
        <v>0</v>
      </c>
      <c r="K70" s="48">
        <v>5</v>
      </c>
      <c r="L70" s="7">
        <f t="shared" si="2"/>
        <v>1</v>
      </c>
      <c r="M70" s="8">
        <f t="shared" si="3"/>
        <v>6</v>
      </c>
      <c r="N70" s="20"/>
    </row>
    <row r="71" spans="1:14" ht="15.75" thickBot="1" x14ac:dyDescent="0.3">
      <c r="A71" s="9" t="s">
        <v>93</v>
      </c>
      <c r="B71" s="46">
        <v>6</v>
      </c>
      <c r="C71" s="1">
        <v>4</v>
      </c>
      <c r="D71" s="46">
        <v>0</v>
      </c>
      <c r="E71" s="46">
        <v>0</v>
      </c>
      <c r="F71" s="1">
        <v>0</v>
      </c>
      <c r="G71" s="1">
        <v>0</v>
      </c>
      <c r="H71" s="47">
        <v>0</v>
      </c>
      <c r="I71" s="1">
        <v>0</v>
      </c>
      <c r="J71" s="48">
        <v>0</v>
      </c>
      <c r="K71" s="48">
        <v>8</v>
      </c>
      <c r="L71" s="7">
        <f t="shared" si="2"/>
        <v>10</v>
      </c>
      <c r="M71" s="8">
        <f t="shared" si="3"/>
        <v>18</v>
      </c>
      <c r="N71" s="20"/>
    </row>
    <row r="72" spans="1:14" ht="15.75" thickBot="1" x14ac:dyDescent="0.3">
      <c r="B72" s="12">
        <f>SUM(B8:B71)</f>
        <v>147</v>
      </c>
      <c r="C72" s="12">
        <f t="shared" ref="C72:K72" si="4">SUM(C8:C71)</f>
        <v>73</v>
      </c>
      <c r="D72" s="12">
        <f t="shared" si="4"/>
        <v>5</v>
      </c>
      <c r="E72" s="12">
        <f t="shared" si="4"/>
        <v>1</v>
      </c>
      <c r="F72" s="12">
        <f t="shared" si="4"/>
        <v>0</v>
      </c>
      <c r="G72" s="12">
        <f t="shared" si="4"/>
        <v>2</v>
      </c>
      <c r="H72" s="12">
        <f t="shared" si="4"/>
        <v>0</v>
      </c>
      <c r="I72" s="12">
        <f t="shared" si="4"/>
        <v>1</v>
      </c>
      <c r="J72" s="12">
        <f t="shared" si="4"/>
        <v>0</v>
      </c>
      <c r="K72" s="12">
        <f t="shared" si="4"/>
        <v>568</v>
      </c>
      <c r="L72" s="12">
        <f>SUM(B72:J72)</f>
        <v>229</v>
      </c>
      <c r="M72" s="8">
        <f>SUM(B72:K72)</f>
        <v>797</v>
      </c>
      <c r="N72" s="20"/>
    </row>
    <row r="73" spans="1:14" ht="15.75" thickBot="1" x14ac:dyDescent="0.3">
      <c r="A73" s="57" t="s">
        <v>118</v>
      </c>
      <c r="B73" s="58">
        <f>AVERAGE(B8:B23)*4</f>
        <v>6.75</v>
      </c>
      <c r="C73" s="58">
        <f t="shared" ref="C73:K73" si="5">AVERAGE(C8:C23)*4</f>
        <v>1.75</v>
      </c>
      <c r="D73" s="58">
        <f t="shared" si="5"/>
        <v>0</v>
      </c>
      <c r="E73" s="58">
        <f t="shared" si="5"/>
        <v>0</v>
      </c>
      <c r="F73" s="58">
        <f t="shared" si="5"/>
        <v>0</v>
      </c>
      <c r="G73" s="58">
        <f t="shared" si="5"/>
        <v>0.25</v>
      </c>
      <c r="H73" s="58">
        <f t="shared" si="5"/>
        <v>0</v>
      </c>
      <c r="I73" s="58">
        <f t="shared" si="5"/>
        <v>0</v>
      </c>
      <c r="J73" s="58">
        <f t="shared" si="5"/>
        <v>0</v>
      </c>
      <c r="K73" s="58">
        <f t="shared" si="5"/>
        <v>41</v>
      </c>
      <c r="M73" s="12">
        <f>SUM(M8:M71)</f>
        <v>797</v>
      </c>
      <c r="N73" s="20"/>
    </row>
    <row r="74" spans="1:14" x14ac:dyDescent="0.25">
      <c r="A74" s="57" t="s">
        <v>119</v>
      </c>
      <c r="B74" s="58">
        <f>AVERAGE(B48:B59)*4</f>
        <v>5.333333333333333</v>
      </c>
      <c r="C74" s="58">
        <f t="shared" ref="C74:K74" si="6">AVERAGE(C48:C59)*4</f>
        <v>2.3333333333333335</v>
      </c>
      <c r="D74" s="58">
        <f t="shared" si="6"/>
        <v>0</v>
      </c>
      <c r="E74" s="58">
        <f t="shared" si="6"/>
        <v>0</v>
      </c>
      <c r="F74" s="58">
        <f t="shared" si="6"/>
        <v>0</v>
      </c>
      <c r="G74" s="58">
        <f t="shared" si="6"/>
        <v>0.33333333333333331</v>
      </c>
      <c r="H74" s="58">
        <f t="shared" si="6"/>
        <v>0</v>
      </c>
      <c r="I74" s="58">
        <f t="shared" si="6"/>
        <v>0.33333333333333331</v>
      </c>
      <c r="J74" s="58">
        <f t="shared" si="6"/>
        <v>0</v>
      </c>
      <c r="K74" s="58">
        <f t="shared" si="6"/>
        <v>19.333333333333332</v>
      </c>
    </row>
  </sheetData>
  <mergeCells count="8">
    <mergeCell ref="A6:M6"/>
    <mergeCell ref="A1:M1"/>
    <mergeCell ref="A2:M2"/>
    <mergeCell ref="A3:M3"/>
    <mergeCell ref="G4:H4"/>
    <mergeCell ref="B5:C5"/>
    <mergeCell ref="G5:H5"/>
    <mergeCell ref="B4:C4"/>
  </mergeCells>
  <pageMargins left="0.7" right="0.7" top="0.75" bottom="0.75" header="0.3" footer="0.3"/>
  <pageSetup scale="4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Yusuf Lule - Access Road</vt:lpstr>
      <vt:lpstr>Access Road - Yusuf Lule</vt:lpstr>
      <vt:lpstr>Access Road - Kampala Road</vt:lpstr>
      <vt:lpstr>Kampala Road - Access Road</vt:lpstr>
      <vt:lpstr>YusufLuleRd-Kampala Rd</vt:lpstr>
      <vt:lpstr>Yusuf Lule - Jinja Road</vt:lpstr>
      <vt:lpstr>Jinja road - Access Road</vt:lpstr>
      <vt:lpstr>Jinja Road - Kampala Road</vt:lpstr>
      <vt:lpstr>JinjaRd-YusufLuleRd</vt:lpstr>
      <vt:lpstr>Access Road - Jinja Road</vt:lpstr>
      <vt:lpstr>Kampala Road - Jinja Road</vt:lpstr>
      <vt:lpstr>Kampala Road - Yusuf Lule</vt:lpstr>
      <vt:lpstr>'Access Road - Jinja Road'!Print_Area</vt:lpstr>
      <vt:lpstr>'Access Road - Kampala Road'!Print_Area</vt:lpstr>
      <vt:lpstr>'Access Road - Yusuf Lule'!Print_Area</vt:lpstr>
      <vt:lpstr>'Jinja road - Access Road'!Print_Area</vt:lpstr>
      <vt:lpstr>'Jinja Road - Kampala Road'!Print_Area</vt:lpstr>
      <vt:lpstr>'JinjaRd-YusufLuleRd'!Print_Area</vt:lpstr>
      <vt:lpstr>'Kampala Road - Access Road'!Print_Area</vt:lpstr>
      <vt:lpstr>'Kampala Road - Jinja Road'!Print_Area</vt:lpstr>
      <vt:lpstr>'Kampala Road - Yusuf Lule'!Print_Area</vt:lpstr>
      <vt:lpstr>'Yusuf Lule - Access Road'!Print_Area</vt:lpstr>
      <vt:lpstr>'Yusuf Lule - Jinja Road'!Print_Area</vt:lpstr>
      <vt:lpstr>'YusufLuleRd-Kampala Rd'!Print_Area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Drew</dc:creator>
  <cp:lastModifiedBy>USER</cp:lastModifiedBy>
  <dcterms:created xsi:type="dcterms:W3CDTF">2010-10-05T16:19:35Z</dcterms:created>
  <dcterms:modified xsi:type="dcterms:W3CDTF">2020-06-29T10:59:37Z</dcterms:modified>
</cp:coreProperties>
</file>