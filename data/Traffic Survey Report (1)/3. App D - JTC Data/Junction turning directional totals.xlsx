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ing Folder\EDMP\Analysed Data\JTC Data\"/>
    </mc:Choice>
  </mc:AlternateContent>
  <xr:revisionPtr revIDLastSave="0" documentId="13_ncr:1_{B95611C0-F2CF-4C64-9879-03E60C328BF9}" xr6:coauthVersionLast="45" xr6:coauthVersionMax="45" xr10:uidLastSave="{00000000-0000-0000-0000-000000000000}"/>
  <bookViews>
    <workbookView xWindow="-120" yWindow="-120" windowWidth="20730" windowHeight="11160" activeTab="1" xr2:uid="{1E5BC340-1417-46F8-84F7-6D815E2FB23A}"/>
  </bookViews>
  <sheets>
    <sheet name="Sheet1" sheetId="1" r:id="rId1"/>
    <sheet name="Summary" sheetId="3" r:id="rId2"/>
    <sheet name="Junction Layouts" sheetId="2" r:id="rId3"/>
  </sheets>
  <definedNames>
    <definedName name="_xlnm.Print_Area" localSheetId="2">'Junction Layouts'!$A$1:$H$74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6" i="3" l="1"/>
  <c r="D16" i="3"/>
  <c r="F14" i="3"/>
  <c r="D14" i="3"/>
  <c r="F13" i="3"/>
  <c r="H13" i="3" s="1"/>
  <c r="E13" i="3"/>
  <c r="H16" i="3"/>
  <c r="H15" i="3"/>
  <c r="G15" i="3"/>
  <c r="G17" i="3"/>
  <c r="F8" i="3"/>
  <c r="E8" i="3"/>
  <c r="D8" i="3"/>
  <c r="G7" i="3"/>
  <c r="H7" i="3" s="1"/>
  <c r="E7" i="3"/>
  <c r="D7" i="3"/>
  <c r="G6" i="3"/>
  <c r="F6" i="3"/>
  <c r="D6" i="3"/>
  <c r="G5" i="3"/>
  <c r="F5" i="3"/>
  <c r="E5" i="3"/>
  <c r="H5" i="3" s="1"/>
  <c r="D17" i="3" l="1"/>
  <c r="F17" i="3"/>
  <c r="E17" i="3"/>
  <c r="H14" i="3"/>
  <c r="H8" i="3"/>
  <c r="E9" i="3"/>
  <c r="D9" i="3"/>
  <c r="G9" i="3"/>
  <c r="F9" i="3"/>
  <c r="H6" i="3"/>
  <c r="H17" i="3" l="1"/>
  <c r="H9" i="3"/>
  <c r="J12" i="1" l="1"/>
  <c r="K12" i="1"/>
  <c r="L12" i="1"/>
  <c r="M12" i="1"/>
  <c r="N12" i="1"/>
  <c r="N8" i="1" l="1"/>
  <c r="M8" i="1"/>
  <c r="L8" i="1"/>
  <c r="K8" i="1"/>
  <c r="J8" i="1"/>
  <c r="I8" i="1"/>
  <c r="H8" i="1"/>
  <c r="G8" i="1"/>
  <c r="F8" i="1"/>
  <c r="E8" i="1"/>
  <c r="D8" i="1"/>
  <c r="C8" i="1"/>
  <c r="N10" i="1"/>
  <c r="M10" i="1"/>
  <c r="L10" i="1"/>
  <c r="K10" i="1"/>
  <c r="J10" i="1"/>
  <c r="I10" i="1"/>
  <c r="H10" i="1"/>
  <c r="G10" i="1"/>
  <c r="F10" i="1"/>
  <c r="E10" i="1"/>
  <c r="D10" i="1"/>
  <c r="C10" i="1"/>
  <c r="C12" i="1"/>
  <c r="I12" i="1"/>
  <c r="H12" i="1"/>
  <c r="G12" i="1"/>
  <c r="F12" i="1"/>
  <c r="E12" i="1"/>
  <c r="D12" i="1"/>
  <c r="N6" i="1"/>
  <c r="M6" i="1"/>
  <c r="L6" i="1"/>
  <c r="K6" i="1"/>
  <c r="J6" i="1"/>
  <c r="I6" i="1"/>
  <c r="H6" i="1"/>
  <c r="G6" i="1"/>
  <c r="F6" i="1"/>
  <c r="E6" i="1"/>
  <c r="D6" i="1"/>
  <c r="C6" i="1"/>
  <c r="F4" i="1"/>
  <c r="E4" i="1"/>
  <c r="D4" i="1"/>
  <c r="G4" i="1"/>
  <c r="H4" i="1"/>
  <c r="I4" i="1"/>
  <c r="J4" i="1"/>
  <c r="K4" i="1"/>
  <c r="L4" i="1"/>
  <c r="M4" i="1"/>
  <c r="N4" i="1"/>
  <c r="C4" i="1"/>
</calcChain>
</file>

<file path=xl/sharedStrings.xml><?xml version="1.0" encoding="utf-8"?>
<sst xmlns="http://schemas.openxmlformats.org/spreadsheetml/2006/main" count="71" uniqueCount="35">
  <si>
    <t>Junction Name</t>
  </si>
  <si>
    <t>Time Periods</t>
  </si>
  <si>
    <t>Directional Totals</t>
  </si>
  <si>
    <t>Dir 1</t>
  </si>
  <si>
    <t>Dir 2</t>
  </si>
  <si>
    <t>Dir 3</t>
  </si>
  <si>
    <t>Dir 4</t>
  </si>
  <si>
    <t>Dir 5</t>
  </si>
  <si>
    <t>Dir 6</t>
  </si>
  <si>
    <t>Dir 7</t>
  </si>
  <si>
    <t>Dir 8</t>
  </si>
  <si>
    <t>Dir 9</t>
  </si>
  <si>
    <t>Dir 10</t>
  </si>
  <si>
    <t>Dir 11</t>
  </si>
  <si>
    <t>Dir 12</t>
  </si>
  <si>
    <t>Kitgum Junction (JTC1)</t>
  </si>
  <si>
    <t>12-hr traffic volume</t>
  </si>
  <si>
    <t>24-Hr traffic volume (ADT)</t>
  </si>
  <si>
    <t>Clock Tower Junction (JTC2)</t>
  </si>
  <si>
    <t>Kibuye Junction (JTC3)</t>
  </si>
  <si>
    <t>Mulago Junction (JTC4)</t>
  </si>
  <si>
    <t>Nateeta Junction (JTC5)</t>
  </si>
  <si>
    <t>NEF</t>
  </si>
  <si>
    <t>To Arm</t>
  </si>
  <si>
    <t>TOTAL</t>
  </si>
  <si>
    <t>From Arm</t>
  </si>
  <si>
    <t>Yusuf Lule Rd</t>
  </si>
  <si>
    <t>Kampala Rd</t>
  </si>
  <si>
    <t>Access Rd</t>
  </si>
  <si>
    <t>Jinja Rd</t>
  </si>
  <si>
    <t>-</t>
  </si>
  <si>
    <t>Shoprite</t>
  </si>
  <si>
    <t>Nsambya Rd</t>
  </si>
  <si>
    <t>Queensway</t>
  </si>
  <si>
    <t>Nakivubo 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</si>
</sst>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Calibri"/>
      <family val="2"/>
      <scheme val="minor"/>
    </font>
    <font>
      <b/>
      <sz val="11"/>
      <color rgb="FF1F497D"/>
      <name val="Calibri"/>
      <family val="2"/>
    </font>
    <font>
      <sz val="11"/>
      <color theme="1"/>
      <name val="Calibri"/>
      <family val="2"/>
    </font>
    <font>
      <b/>
      <sz val="10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41" fontId="5" fillId="0" borderId="0" applyFont="0" applyFill="0" applyBorder="0" applyAlignment="0" applyProtection="0"/>
  </cellStyleXfs>
  <cellXfs count="33">
    <xf numFmtId="0" fontId="0" fillId="0" borderId="0" xfId="0"/>
    <xf numFmtId="0" fontId="2" fillId="0" borderId="2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1" fontId="4" fillId="2" borderId="2" xfId="0" applyNumberFormat="1" applyFont="1" applyFill="1" applyBorder="1" applyAlignment="1">
      <alignment vertical="center"/>
    </xf>
    <xf numFmtId="1" fontId="4" fillId="3" borderId="2" xfId="0" applyNumberFormat="1" applyFont="1" applyFill="1" applyBorder="1" applyAlignment="1">
      <alignment vertical="center"/>
    </xf>
    <xf numFmtId="0" fontId="3" fillId="3" borderId="5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3" fillId="3" borderId="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3" fillId="5" borderId="0" xfId="0" applyFont="1" applyFill="1" applyBorder="1" applyAlignment="1">
      <alignment horizontal="center" vertical="center" wrapText="1"/>
    </xf>
    <xf numFmtId="0" fontId="6" fillId="0" borderId="0" xfId="0" applyFont="1"/>
    <xf numFmtId="0" fontId="7" fillId="6" borderId="9" xfId="0" applyFont="1" applyFill="1" applyBorder="1" applyAlignment="1">
      <alignment horizontal="center"/>
    </xf>
    <xf numFmtId="0" fontId="7" fillId="6" borderId="10" xfId="0" applyFont="1" applyFill="1" applyBorder="1" applyAlignment="1">
      <alignment horizontal="center"/>
    </xf>
    <xf numFmtId="0" fontId="7" fillId="6" borderId="11" xfId="0" applyFont="1" applyFill="1" applyBorder="1" applyAlignment="1">
      <alignment horizontal="center"/>
    </xf>
    <xf numFmtId="0" fontId="7" fillId="6" borderId="12" xfId="0" applyFont="1" applyFill="1" applyBorder="1" applyAlignment="1">
      <alignment horizontal="center"/>
    </xf>
    <xf numFmtId="0" fontId="7" fillId="6" borderId="12" xfId="0" applyFont="1" applyFill="1" applyBorder="1" applyAlignment="1">
      <alignment horizontal="center" vertical="center" wrapText="1"/>
    </xf>
    <xf numFmtId="0" fontId="7" fillId="6" borderId="12" xfId="0" applyFont="1" applyFill="1" applyBorder="1"/>
    <xf numFmtId="41" fontId="6" fillId="7" borderId="12" xfId="1" applyFont="1" applyFill="1" applyBorder="1"/>
    <xf numFmtId="41" fontId="7" fillId="8" borderId="12" xfId="0" applyNumberFormat="1" applyFont="1" applyFill="1" applyBorder="1"/>
    <xf numFmtId="0" fontId="7" fillId="8" borderId="12" xfId="0" applyFont="1" applyFill="1" applyBorder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10584</xdr:colOff>
      <xdr:row>32</xdr:row>
      <xdr:rowOff>67734</xdr:rowOff>
    </xdr:from>
    <xdr:to>
      <xdr:col>4</xdr:col>
      <xdr:colOff>14817</xdr:colOff>
      <xdr:row>42</xdr:row>
      <xdr:rowOff>10583</xdr:rowOff>
    </xdr:to>
    <xdr:cxnSp macro="">
      <xdr:nvCxnSpPr>
        <xdr:cNvPr id="220" name="Straight Connector 219">
          <a:extLst>
            <a:ext uri="{FF2B5EF4-FFF2-40B4-BE49-F238E27FC236}">
              <a16:creationId xmlns:a16="http://schemas.microsoft.com/office/drawing/2014/main" id="{79D3DCE7-7F9B-44AF-B54F-6B2B6D52D923}"/>
            </a:ext>
          </a:extLst>
        </xdr:cNvPr>
        <xdr:cNvCxnSpPr/>
      </xdr:nvCxnSpPr>
      <xdr:spPr>
        <a:xfrm flipV="1">
          <a:off x="2465917" y="6163734"/>
          <a:ext cx="4233" cy="1847849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539752</xdr:colOff>
      <xdr:row>4</xdr:row>
      <xdr:rowOff>21167</xdr:rowOff>
    </xdr:from>
    <xdr:to>
      <xdr:col>5</xdr:col>
      <xdr:colOff>508000</xdr:colOff>
      <xdr:row>19</xdr:row>
      <xdr:rowOff>10583</xdr:rowOff>
    </xdr:to>
    <xdr:cxnSp macro="">
      <xdr:nvCxnSpPr>
        <xdr:cNvPr id="112" name="Straight Connector 111">
          <a:extLst>
            <a:ext uri="{FF2B5EF4-FFF2-40B4-BE49-F238E27FC236}">
              <a16:creationId xmlns:a16="http://schemas.microsoft.com/office/drawing/2014/main" id="{88340CB6-954F-4658-AB03-E716B814571F}"/>
            </a:ext>
          </a:extLst>
        </xdr:cNvPr>
        <xdr:cNvCxnSpPr/>
      </xdr:nvCxnSpPr>
      <xdr:spPr>
        <a:xfrm flipH="1" flipV="1">
          <a:off x="1767419" y="1164167"/>
          <a:ext cx="1809748" cy="2846916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256444</xdr:colOff>
      <xdr:row>1</xdr:row>
      <xdr:rowOff>129440</xdr:rowOff>
    </xdr:from>
    <xdr:to>
      <xdr:col>4</xdr:col>
      <xdr:colOff>1630</xdr:colOff>
      <xdr:row>2</xdr:row>
      <xdr:rowOff>173401</xdr:rowOff>
    </xdr:to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B0A0BD86-7B7F-46A6-9609-6DD6F6C11B4F}"/>
            </a:ext>
          </a:extLst>
        </xdr:cNvPr>
        <xdr:cNvSpPr txBox="1"/>
      </xdr:nvSpPr>
      <xdr:spPr>
        <a:xfrm>
          <a:off x="2097944" y="700940"/>
          <a:ext cx="35901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3</a:t>
          </a:r>
        </a:p>
      </xdr:txBody>
    </xdr:sp>
    <xdr:clientData/>
  </xdr:twoCellAnchor>
  <xdr:twoCellAnchor>
    <xdr:from>
      <xdr:col>1</xdr:col>
      <xdr:colOff>222250</xdr:colOff>
      <xdr:row>4</xdr:row>
      <xdr:rowOff>47605</xdr:rowOff>
    </xdr:from>
    <xdr:to>
      <xdr:col>6</xdr:col>
      <xdr:colOff>131759</xdr:colOff>
      <xdr:row>17</xdr:row>
      <xdr:rowOff>0</xdr:rowOff>
    </xdr:to>
    <xdr:cxnSp macro="">
      <xdr:nvCxnSpPr>
        <xdr:cNvPr id="87" name="Straight Connector 86">
          <a:extLst>
            <a:ext uri="{FF2B5EF4-FFF2-40B4-BE49-F238E27FC236}">
              <a16:creationId xmlns:a16="http://schemas.microsoft.com/office/drawing/2014/main" id="{6E7A9209-61FF-4825-8AB1-14FEABE00F69}"/>
            </a:ext>
          </a:extLst>
        </xdr:cNvPr>
        <xdr:cNvCxnSpPr>
          <a:endCxn id="92" idx="2"/>
        </xdr:cNvCxnSpPr>
      </xdr:nvCxnSpPr>
      <xdr:spPr>
        <a:xfrm flipV="1">
          <a:off x="836083" y="1190605"/>
          <a:ext cx="2978676" cy="24288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365407</xdr:colOff>
      <xdr:row>19</xdr:row>
      <xdr:rowOff>2934</xdr:rowOff>
    </xdr:from>
    <xdr:to>
      <xdr:col>6</xdr:col>
      <xdr:colOff>75423</xdr:colOff>
      <xdr:row>20</xdr:row>
      <xdr:rowOff>82679</xdr:rowOff>
    </xdr:to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0058B683-CFAA-4E67-B676-9ADCE740F717}"/>
            </a:ext>
          </a:extLst>
        </xdr:cNvPr>
        <xdr:cNvSpPr txBox="1"/>
      </xdr:nvSpPr>
      <xdr:spPr>
        <a:xfrm>
          <a:off x="2820740" y="4003434"/>
          <a:ext cx="937683" cy="27024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ACCESS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RD</a:t>
          </a:r>
          <a:endParaRPr lang="en-UG">
            <a:effectLst/>
          </a:endParaRPr>
        </a:p>
      </xdr:txBody>
    </xdr:sp>
    <xdr:clientData/>
  </xdr:twoCellAnchor>
  <xdr:twoCellAnchor>
    <xdr:from>
      <xdr:col>0</xdr:col>
      <xdr:colOff>191996</xdr:colOff>
      <xdr:row>16</xdr:row>
      <xdr:rowOff>58243</xdr:rowOff>
    </xdr:from>
    <xdr:to>
      <xdr:col>2</xdr:col>
      <xdr:colOff>42332</xdr:colOff>
      <xdr:row>17</xdr:row>
      <xdr:rowOff>137987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B3861999-DFF2-413E-B25A-3E40A9394920}"/>
            </a:ext>
          </a:extLst>
        </xdr:cNvPr>
        <xdr:cNvSpPr txBox="1"/>
      </xdr:nvSpPr>
      <xdr:spPr>
        <a:xfrm>
          <a:off x="191996" y="3487243"/>
          <a:ext cx="1078003" cy="2702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KAMPALA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RD</a:t>
          </a:r>
          <a:endParaRPr lang="en-UG">
            <a:effectLst/>
          </a:endParaRPr>
        </a:p>
      </xdr:txBody>
    </xdr:sp>
    <xdr:clientData/>
  </xdr:twoCellAnchor>
  <xdr:twoCellAnchor>
    <xdr:from>
      <xdr:col>3</xdr:col>
      <xdr:colOff>538614</xdr:colOff>
      <xdr:row>9</xdr:row>
      <xdr:rowOff>139893</xdr:rowOff>
    </xdr:from>
    <xdr:to>
      <xdr:col>4</xdr:col>
      <xdr:colOff>52310</xdr:colOff>
      <xdr:row>10</xdr:row>
      <xdr:rowOff>68265</xdr:rowOff>
    </xdr:to>
    <xdr:sp macro="" textlink="">
      <xdr:nvSpPr>
        <xdr:cNvPr id="91" name="Oval 90">
          <a:extLst>
            <a:ext uri="{FF2B5EF4-FFF2-40B4-BE49-F238E27FC236}">
              <a16:creationId xmlns:a16="http://schemas.microsoft.com/office/drawing/2014/main" id="{5FA06475-E42A-4499-AC0A-B0EE20E45E1D}"/>
            </a:ext>
          </a:extLst>
        </xdr:cNvPr>
        <xdr:cNvSpPr/>
      </xdr:nvSpPr>
      <xdr:spPr>
        <a:xfrm>
          <a:off x="2977014" y="2425893"/>
          <a:ext cx="123296" cy="118872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273901</xdr:colOff>
      <xdr:row>2</xdr:row>
      <xdr:rowOff>160575</xdr:rowOff>
    </xdr:from>
    <xdr:to>
      <xdr:col>6</xdr:col>
      <xdr:colOff>603450</xdr:colOff>
      <xdr:row>4</xdr:row>
      <xdr:rowOff>47605</xdr:rowOff>
    </xdr:to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086B689E-9442-4E92-A798-CC06C6DCBEE8}"/>
            </a:ext>
          </a:extLst>
        </xdr:cNvPr>
        <xdr:cNvSpPr txBox="1"/>
      </xdr:nvSpPr>
      <xdr:spPr>
        <a:xfrm>
          <a:off x="3343068" y="922575"/>
          <a:ext cx="943382" cy="26803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aseline="0"/>
            <a:t>JINJA RD</a:t>
          </a:r>
          <a:endParaRPr lang="en-US" sz="1100"/>
        </a:p>
      </xdr:txBody>
    </xdr:sp>
    <xdr:clientData/>
  </xdr:twoCellAnchor>
  <xdr:twoCellAnchor>
    <xdr:from>
      <xdr:col>6</xdr:col>
      <xdr:colOff>131399</xdr:colOff>
      <xdr:row>6</xdr:row>
      <xdr:rowOff>159073</xdr:rowOff>
    </xdr:from>
    <xdr:to>
      <xdr:col>6</xdr:col>
      <xdr:colOff>327598</xdr:colOff>
      <xdr:row>8</xdr:row>
      <xdr:rowOff>12534</xdr:rowOff>
    </xdr:to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50AEFA15-20DE-4AAF-89D4-FB14AE342A1B}"/>
            </a:ext>
          </a:extLst>
        </xdr:cNvPr>
        <xdr:cNvSpPr txBox="1"/>
      </xdr:nvSpPr>
      <xdr:spPr>
        <a:xfrm>
          <a:off x="3814399" y="1683073"/>
          <a:ext cx="19619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6</a:t>
          </a:r>
        </a:p>
      </xdr:txBody>
    </xdr:sp>
    <xdr:clientData/>
  </xdr:twoCellAnchor>
  <xdr:twoCellAnchor>
    <xdr:from>
      <xdr:col>6</xdr:col>
      <xdr:colOff>30609</xdr:colOff>
      <xdr:row>6</xdr:row>
      <xdr:rowOff>6180</xdr:rowOff>
    </xdr:from>
    <xdr:to>
      <xdr:col>6</xdr:col>
      <xdr:colOff>226808</xdr:colOff>
      <xdr:row>7</xdr:row>
      <xdr:rowOff>50141</xdr:rowOff>
    </xdr:to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2B9459BF-7C67-46EE-BFC1-3CBC57ACA9D8}"/>
            </a:ext>
          </a:extLst>
        </xdr:cNvPr>
        <xdr:cNvSpPr txBox="1"/>
      </xdr:nvSpPr>
      <xdr:spPr>
        <a:xfrm>
          <a:off x="3713609" y="1530180"/>
          <a:ext cx="19619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5</a:t>
          </a:r>
        </a:p>
      </xdr:txBody>
    </xdr:sp>
    <xdr:clientData/>
  </xdr:twoCellAnchor>
  <xdr:twoCellAnchor>
    <xdr:from>
      <xdr:col>3</xdr:col>
      <xdr:colOff>68284</xdr:colOff>
      <xdr:row>2</xdr:row>
      <xdr:rowOff>125349</xdr:rowOff>
    </xdr:from>
    <xdr:to>
      <xdr:col>4</xdr:col>
      <xdr:colOff>281257</xdr:colOff>
      <xdr:row>6</xdr:row>
      <xdr:rowOff>120906</xdr:rowOff>
    </xdr:to>
    <xdr:grpSp>
      <xdr:nvGrpSpPr>
        <xdr:cNvPr id="123" name="Group 122">
          <a:extLst>
            <a:ext uri="{FF2B5EF4-FFF2-40B4-BE49-F238E27FC236}">
              <a16:creationId xmlns:a16="http://schemas.microsoft.com/office/drawing/2014/main" id="{BA61EF86-82FD-4C5A-B027-B3956D33152A}"/>
            </a:ext>
          </a:extLst>
        </xdr:cNvPr>
        <xdr:cNvGrpSpPr/>
      </xdr:nvGrpSpPr>
      <xdr:grpSpPr>
        <a:xfrm rot="21273671">
          <a:off x="1909784" y="506349"/>
          <a:ext cx="826806" cy="757557"/>
          <a:chOff x="2195534" y="1183683"/>
          <a:chExt cx="826806" cy="757557"/>
        </a:xfrm>
      </xdr:grpSpPr>
      <xdr:grpSp>
        <xdr:nvGrpSpPr>
          <xdr:cNvPr id="93" name="Group 92">
            <a:extLst>
              <a:ext uri="{FF2B5EF4-FFF2-40B4-BE49-F238E27FC236}">
                <a16:creationId xmlns:a16="http://schemas.microsoft.com/office/drawing/2014/main" id="{AB04F36A-E934-492E-9430-192058C31F96}"/>
              </a:ext>
            </a:extLst>
          </xdr:cNvPr>
          <xdr:cNvGrpSpPr/>
        </xdr:nvGrpSpPr>
        <xdr:grpSpPr>
          <a:xfrm rot="700658">
            <a:off x="2357561" y="1183683"/>
            <a:ext cx="664779" cy="619958"/>
            <a:chOff x="2423209" y="1217871"/>
            <a:chExt cx="611058" cy="588603"/>
          </a:xfrm>
        </xdr:grpSpPr>
        <xdr:cxnSp macro="">
          <xdr:nvCxnSpPr>
            <xdr:cNvPr id="94" name="Straight Connector 93">
              <a:extLst>
                <a:ext uri="{FF2B5EF4-FFF2-40B4-BE49-F238E27FC236}">
                  <a16:creationId xmlns:a16="http://schemas.microsoft.com/office/drawing/2014/main" id="{ED6F343E-65EA-4D72-9CB8-52DC678C1642}"/>
                </a:ext>
              </a:extLst>
            </xdr:cNvPr>
            <xdr:cNvCxnSpPr/>
          </xdr:nvCxnSpPr>
          <xdr:spPr>
            <a:xfrm>
              <a:off x="2423209" y="1347945"/>
              <a:ext cx="387645" cy="45852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95" name="Straight Connector 94">
              <a:extLst>
                <a:ext uri="{FF2B5EF4-FFF2-40B4-BE49-F238E27FC236}">
                  <a16:creationId xmlns:a16="http://schemas.microsoft.com/office/drawing/2014/main" id="{F0CD05F0-0EFE-4356-B071-2F81765F7734}"/>
                </a:ext>
              </a:extLst>
            </xdr:cNvPr>
            <xdr:cNvCxnSpPr/>
          </xdr:nvCxnSpPr>
          <xdr:spPr>
            <a:xfrm>
              <a:off x="2551712" y="1217871"/>
              <a:ext cx="387645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96" name="Straight Connector 95">
              <a:extLst>
                <a:ext uri="{FF2B5EF4-FFF2-40B4-BE49-F238E27FC236}">
                  <a16:creationId xmlns:a16="http://schemas.microsoft.com/office/drawing/2014/main" id="{AD1E0283-C8A8-4946-856F-F33B5635E5D8}"/>
                </a:ext>
              </a:extLst>
            </xdr:cNvPr>
            <xdr:cNvCxnSpPr/>
          </xdr:nvCxnSpPr>
          <xdr:spPr>
            <a:xfrm flipH="1">
              <a:off x="2934586" y="1582514"/>
              <a:ext cx="99681" cy="90819"/>
            </a:xfrm>
            <a:prstGeom prst="line">
              <a:avLst/>
            </a:prstGeom>
            <a:ln>
              <a:headEnd type="arrow" w="med" len="med"/>
              <a:tailEnd type="non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99" name="Group 98">
            <a:extLst>
              <a:ext uri="{FF2B5EF4-FFF2-40B4-BE49-F238E27FC236}">
                <a16:creationId xmlns:a16="http://schemas.microsoft.com/office/drawing/2014/main" id="{455A155E-C3D2-4299-A99A-1DBD2C1C7C7F}"/>
              </a:ext>
            </a:extLst>
          </xdr:cNvPr>
          <xdr:cNvGrpSpPr/>
        </xdr:nvGrpSpPr>
        <xdr:grpSpPr>
          <a:xfrm rot="703814">
            <a:off x="2195534" y="1387283"/>
            <a:ext cx="393030" cy="553957"/>
            <a:chOff x="2342298" y="1441598"/>
            <a:chExt cx="393030" cy="548258"/>
          </a:xfrm>
        </xdr:grpSpPr>
        <xdr:cxnSp macro="">
          <xdr:nvCxnSpPr>
            <xdr:cNvPr id="100" name="Straight Connector 99">
              <a:extLst>
                <a:ext uri="{FF2B5EF4-FFF2-40B4-BE49-F238E27FC236}">
                  <a16:creationId xmlns:a16="http://schemas.microsoft.com/office/drawing/2014/main" id="{A51FBB0B-547B-49B0-AE22-D58001E982EF}"/>
                </a:ext>
              </a:extLst>
            </xdr:cNvPr>
            <xdr:cNvCxnSpPr/>
          </xdr:nvCxnSpPr>
          <xdr:spPr>
            <a:xfrm>
              <a:off x="2342298" y="1441598"/>
              <a:ext cx="386622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01" name="Straight Connector 100">
              <a:extLst>
                <a:ext uri="{FF2B5EF4-FFF2-40B4-BE49-F238E27FC236}">
                  <a16:creationId xmlns:a16="http://schemas.microsoft.com/office/drawing/2014/main" id="{99DD8A88-50BF-4DE7-9F69-26579C509BB6}"/>
                </a:ext>
              </a:extLst>
            </xdr:cNvPr>
            <xdr:cNvCxnSpPr/>
          </xdr:nvCxnSpPr>
          <xdr:spPr>
            <a:xfrm flipH="1">
              <a:off x="2635647" y="1899037"/>
              <a:ext cx="99681" cy="9081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3</xdr:col>
      <xdr:colOff>106156</xdr:colOff>
      <xdr:row>2</xdr:row>
      <xdr:rowOff>66269</xdr:rowOff>
    </xdr:from>
    <xdr:to>
      <xdr:col>3</xdr:col>
      <xdr:colOff>296656</xdr:colOff>
      <xdr:row>3</xdr:row>
      <xdr:rowOff>110230</xdr:rowOff>
    </xdr:to>
    <xdr:sp macro="" textlink="">
      <xdr:nvSpPr>
        <xdr:cNvPr id="102" name="TextBox 101">
          <a:extLst>
            <a:ext uri="{FF2B5EF4-FFF2-40B4-BE49-F238E27FC236}">
              <a16:creationId xmlns:a16="http://schemas.microsoft.com/office/drawing/2014/main" id="{F2A4FACA-3113-48D4-B598-1381D2FE8F3C}"/>
            </a:ext>
          </a:extLst>
        </xdr:cNvPr>
        <xdr:cNvSpPr txBox="1"/>
      </xdr:nvSpPr>
      <xdr:spPr>
        <a:xfrm>
          <a:off x="1947656" y="828269"/>
          <a:ext cx="190500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2</a:t>
          </a:r>
        </a:p>
      </xdr:txBody>
    </xdr:sp>
    <xdr:clientData/>
  </xdr:twoCellAnchor>
  <xdr:twoCellAnchor>
    <xdr:from>
      <xdr:col>2</xdr:col>
      <xdr:colOff>587612</xdr:colOff>
      <xdr:row>2</xdr:row>
      <xdr:rowOff>155332</xdr:rowOff>
    </xdr:from>
    <xdr:to>
      <xdr:col>3</xdr:col>
      <xdr:colOff>169978</xdr:colOff>
      <xdr:row>4</xdr:row>
      <xdr:rowOff>8793</xdr:rowOff>
    </xdr:to>
    <xdr:sp macro="" textlink="">
      <xdr:nvSpPr>
        <xdr:cNvPr id="103" name="TextBox 102">
          <a:extLst>
            <a:ext uri="{FF2B5EF4-FFF2-40B4-BE49-F238E27FC236}">
              <a16:creationId xmlns:a16="http://schemas.microsoft.com/office/drawing/2014/main" id="{E5A4BEE3-3E43-49DF-969E-7385D8768218}"/>
            </a:ext>
          </a:extLst>
        </xdr:cNvPr>
        <xdr:cNvSpPr txBox="1"/>
      </xdr:nvSpPr>
      <xdr:spPr>
        <a:xfrm>
          <a:off x="1815279" y="917332"/>
          <a:ext cx="19619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1</a:t>
          </a:r>
        </a:p>
      </xdr:txBody>
    </xdr:sp>
    <xdr:clientData/>
  </xdr:twoCellAnchor>
  <xdr:twoCellAnchor>
    <xdr:from>
      <xdr:col>5</xdr:col>
      <xdr:colOff>486835</xdr:colOff>
      <xdr:row>5</xdr:row>
      <xdr:rowOff>52918</xdr:rowOff>
    </xdr:from>
    <xdr:to>
      <xdr:col>6</xdr:col>
      <xdr:colOff>161039</xdr:colOff>
      <xdr:row>6</xdr:row>
      <xdr:rowOff>16934</xdr:rowOff>
    </xdr:to>
    <xdr:sp macro="" textlink="">
      <xdr:nvSpPr>
        <xdr:cNvPr id="108" name="TextBox 107">
          <a:extLst>
            <a:ext uri="{FF2B5EF4-FFF2-40B4-BE49-F238E27FC236}">
              <a16:creationId xmlns:a16="http://schemas.microsoft.com/office/drawing/2014/main" id="{5AFBFA51-B0E8-4B0D-B19A-E71278D91D1B}"/>
            </a:ext>
          </a:extLst>
        </xdr:cNvPr>
        <xdr:cNvSpPr txBox="1"/>
      </xdr:nvSpPr>
      <xdr:spPr>
        <a:xfrm>
          <a:off x="3556002" y="1386418"/>
          <a:ext cx="288037" cy="15451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4</a:t>
          </a:r>
        </a:p>
      </xdr:txBody>
    </xdr:sp>
    <xdr:clientData/>
  </xdr:twoCellAnchor>
  <xdr:twoCellAnchor>
    <xdr:from>
      <xdr:col>1</xdr:col>
      <xdr:colOff>212481</xdr:colOff>
      <xdr:row>7</xdr:row>
      <xdr:rowOff>87923</xdr:rowOff>
    </xdr:from>
    <xdr:to>
      <xdr:col>1</xdr:col>
      <xdr:colOff>212481</xdr:colOff>
      <xdr:row>10</xdr:row>
      <xdr:rowOff>183173</xdr:rowOff>
    </xdr:to>
    <xdr:cxnSp macro="">
      <xdr:nvCxnSpPr>
        <xdr:cNvPr id="109" name="Straight Arrow Connector 108">
          <a:extLst>
            <a:ext uri="{FF2B5EF4-FFF2-40B4-BE49-F238E27FC236}">
              <a16:creationId xmlns:a16="http://schemas.microsoft.com/office/drawing/2014/main" id="{12E44D38-36B5-459E-9EC3-E39F9EA1EC64}"/>
            </a:ext>
          </a:extLst>
        </xdr:cNvPr>
        <xdr:cNvCxnSpPr/>
      </xdr:nvCxnSpPr>
      <xdr:spPr>
        <a:xfrm flipV="1">
          <a:off x="826314" y="1802423"/>
          <a:ext cx="0" cy="666750"/>
        </a:xfrm>
        <a:prstGeom prst="straightConnector1">
          <a:avLst/>
        </a:prstGeom>
        <a:ln w="57150">
          <a:solidFill>
            <a:schemeClr val="tx1"/>
          </a:solidFill>
          <a:headEnd type="none" w="med" len="med"/>
          <a:tailEnd type="arrow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63498</xdr:colOff>
      <xdr:row>5</xdr:row>
      <xdr:rowOff>109904</xdr:rowOff>
    </xdr:from>
    <xdr:to>
      <xdr:col>1</xdr:col>
      <xdr:colOff>327266</xdr:colOff>
      <xdr:row>7</xdr:row>
      <xdr:rowOff>29307</xdr:rowOff>
    </xdr:to>
    <xdr:sp macro="" textlink="">
      <xdr:nvSpPr>
        <xdr:cNvPr id="110" name="TextBox 109">
          <a:extLst>
            <a:ext uri="{FF2B5EF4-FFF2-40B4-BE49-F238E27FC236}">
              <a16:creationId xmlns:a16="http://schemas.microsoft.com/office/drawing/2014/main" id="{2F1CAD8C-1D41-4475-A8CD-BF7380ECAF28}"/>
            </a:ext>
          </a:extLst>
        </xdr:cNvPr>
        <xdr:cNvSpPr txBox="1"/>
      </xdr:nvSpPr>
      <xdr:spPr>
        <a:xfrm>
          <a:off x="677331" y="1443404"/>
          <a:ext cx="263768" cy="30040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/>
            <a:t>N</a:t>
          </a:r>
        </a:p>
      </xdr:txBody>
    </xdr:sp>
    <xdr:clientData/>
  </xdr:twoCellAnchor>
  <xdr:twoCellAnchor>
    <xdr:from>
      <xdr:col>1</xdr:col>
      <xdr:colOff>201080</xdr:colOff>
      <xdr:row>2</xdr:row>
      <xdr:rowOff>105831</xdr:rowOff>
    </xdr:from>
    <xdr:to>
      <xdr:col>2</xdr:col>
      <xdr:colOff>603250</xdr:colOff>
      <xdr:row>4</xdr:row>
      <xdr:rowOff>10583</xdr:rowOff>
    </xdr:to>
    <xdr:sp macro="" textlink="">
      <xdr:nvSpPr>
        <xdr:cNvPr id="114" name="TextBox 113">
          <a:extLst>
            <a:ext uri="{FF2B5EF4-FFF2-40B4-BE49-F238E27FC236}">
              <a16:creationId xmlns:a16="http://schemas.microsoft.com/office/drawing/2014/main" id="{D52F0F86-D300-4D44-A03D-275443F370BD}"/>
            </a:ext>
          </a:extLst>
        </xdr:cNvPr>
        <xdr:cNvSpPr txBox="1"/>
      </xdr:nvSpPr>
      <xdr:spPr>
        <a:xfrm>
          <a:off x="814913" y="867831"/>
          <a:ext cx="1016004" cy="28575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/>
            <a:t>YUSUF LULE RD</a:t>
          </a:r>
        </a:p>
      </xdr:txBody>
    </xdr:sp>
    <xdr:clientData/>
  </xdr:twoCellAnchor>
  <xdr:twoCellAnchor>
    <xdr:from>
      <xdr:col>5</xdr:col>
      <xdr:colOff>87542</xdr:colOff>
      <xdr:row>5</xdr:row>
      <xdr:rowOff>155876</xdr:rowOff>
    </xdr:from>
    <xdr:to>
      <xdr:col>6</xdr:col>
      <xdr:colOff>231266</xdr:colOff>
      <xdr:row>10</xdr:row>
      <xdr:rowOff>30182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A868039E-A81C-485A-B76B-4CE4C4B6DBC4}"/>
            </a:ext>
          </a:extLst>
        </xdr:cNvPr>
        <xdr:cNvGrpSpPr/>
      </xdr:nvGrpSpPr>
      <xdr:grpSpPr>
        <a:xfrm rot="4617827">
          <a:off x="3122085" y="1143000"/>
          <a:ext cx="826806" cy="757557"/>
          <a:chOff x="2195534" y="1183683"/>
          <a:chExt cx="826806" cy="757557"/>
        </a:xfrm>
      </xdr:grpSpPr>
      <xdr:grpSp>
        <xdr:nvGrpSpPr>
          <xdr:cNvPr id="125" name="Group 124">
            <a:extLst>
              <a:ext uri="{FF2B5EF4-FFF2-40B4-BE49-F238E27FC236}">
                <a16:creationId xmlns:a16="http://schemas.microsoft.com/office/drawing/2014/main" id="{A720670E-9AF9-48EB-942A-ED0D24A96A17}"/>
              </a:ext>
            </a:extLst>
          </xdr:cNvPr>
          <xdr:cNvGrpSpPr/>
        </xdr:nvGrpSpPr>
        <xdr:grpSpPr>
          <a:xfrm rot="700658">
            <a:off x="2357561" y="1183683"/>
            <a:ext cx="664779" cy="619958"/>
            <a:chOff x="2423209" y="1217871"/>
            <a:chExt cx="611058" cy="588603"/>
          </a:xfrm>
        </xdr:grpSpPr>
        <xdr:cxnSp macro="">
          <xdr:nvCxnSpPr>
            <xdr:cNvPr id="129" name="Straight Connector 128">
              <a:extLst>
                <a:ext uri="{FF2B5EF4-FFF2-40B4-BE49-F238E27FC236}">
                  <a16:creationId xmlns:a16="http://schemas.microsoft.com/office/drawing/2014/main" id="{AA2D7DFE-9F79-484A-9BD0-AC0269707AF5}"/>
                </a:ext>
              </a:extLst>
            </xdr:cNvPr>
            <xdr:cNvCxnSpPr/>
          </xdr:nvCxnSpPr>
          <xdr:spPr>
            <a:xfrm>
              <a:off x="2423209" y="1347945"/>
              <a:ext cx="387645" cy="45852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0" name="Straight Connector 129">
              <a:extLst>
                <a:ext uri="{FF2B5EF4-FFF2-40B4-BE49-F238E27FC236}">
                  <a16:creationId xmlns:a16="http://schemas.microsoft.com/office/drawing/2014/main" id="{DB2E4CD4-4B4D-459C-8B0A-01FF8A88DCC1}"/>
                </a:ext>
              </a:extLst>
            </xdr:cNvPr>
            <xdr:cNvCxnSpPr/>
          </xdr:nvCxnSpPr>
          <xdr:spPr>
            <a:xfrm>
              <a:off x="2551712" y="1217871"/>
              <a:ext cx="387645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1" name="Straight Connector 130">
              <a:extLst>
                <a:ext uri="{FF2B5EF4-FFF2-40B4-BE49-F238E27FC236}">
                  <a16:creationId xmlns:a16="http://schemas.microsoft.com/office/drawing/2014/main" id="{B157651E-85CC-4E64-8D54-892A90E874EB}"/>
                </a:ext>
              </a:extLst>
            </xdr:cNvPr>
            <xdr:cNvCxnSpPr/>
          </xdr:nvCxnSpPr>
          <xdr:spPr>
            <a:xfrm flipH="1">
              <a:off x="2934586" y="1582514"/>
              <a:ext cx="99681" cy="90819"/>
            </a:xfrm>
            <a:prstGeom prst="line">
              <a:avLst/>
            </a:prstGeom>
            <a:ln>
              <a:headEnd type="arrow" w="med" len="med"/>
              <a:tailEnd type="non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26" name="Group 125">
            <a:extLst>
              <a:ext uri="{FF2B5EF4-FFF2-40B4-BE49-F238E27FC236}">
                <a16:creationId xmlns:a16="http://schemas.microsoft.com/office/drawing/2014/main" id="{424E7FE6-547D-46E3-BE79-A0587835A233}"/>
              </a:ext>
            </a:extLst>
          </xdr:cNvPr>
          <xdr:cNvGrpSpPr/>
        </xdr:nvGrpSpPr>
        <xdr:grpSpPr>
          <a:xfrm rot="703814">
            <a:off x="2195534" y="1387283"/>
            <a:ext cx="393030" cy="553957"/>
            <a:chOff x="2342298" y="1441598"/>
            <a:chExt cx="393030" cy="548258"/>
          </a:xfrm>
        </xdr:grpSpPr>
        <xdr:cxnSp macro="">
          <xdr:nvCxnSpPr>
            <xdr:cNvPr id="127" name="Straight Connector 126">
              <a:extLst>
                <a:ext uri="{FF2B5EF4-FFF2-40B4-BE49-F238E27FC236}">
                  <a16:creationId xmlns:a16="http://schemas.microsoft.com/office/drawing/2014/main" id="{0B1ECED9-9C96-4C8F-8119-7ED52D76EFA2}"/>
                </a:ext>
              </a:extLst>
            </xdr:cNvPr>
            <xdr:cNvCxnSpPr/>
          </xdr:nvCxnSpPr>
          <xdr:spPr>
            <a:xfrm>
              <a:off x="2342298" y="1441598"/>
              <a:ext cx="386622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8" name="Straight Connector 127">
              <a:extLst>
                <a:ext uri="{FF2B5EF4-FFF2-40B4-BE49-F238E27FC236}">
                  <a16:creationId xmlns:a16="http://schemas.microsoft.com/office/drawing/2014/main" id="{65716F65-D219-4DC9-8D6D-B1F2CAB3E630}"/>
                </a:ext>
              </a:extLst>
            </xdr:cNvPr>
            <xdr:cNvCxnSpPr/>
          </xdr:nvCxnSpPr>
          <xdr:spPr>
            <a:xfrm flipH="1">
              <a:off x="2635647" y="1899037"/>
              <a:ext cx="99681" cy="9081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3</xdr:col>
      <xdr:colOff>228572</xdr:colOff>
      <xdr:row>14</xdr:row>
      <xdr:rowOff>8038</xdr:rowOff>
    </xdr:from>
    <xdr:to>
      <xdr:col>4</xdr:col>
      <xdr:colOff>580688</xdr:colOff>
      <xdr:row>18</xdr:row>
      <xdr:rowOff>124276</xdr:rowOff>
    </xdr:to>
    <xdr:grpSp>
      <xdr:nvGrpSpPr>
        <xdr:cNvPr id="132" name="Group 131">
          <a:extLst>
            <a:ext uri="{FF2B5EF4-FFF2-40B4-BE49-F238E27FC236}">
              <a16:creationId xmlns:a16="http://schemas.microsoft.com/office/drawing/2014/main" id="{7ADC4E66-5589-4B4B-B83C-DF504DFC31B1}"/>
            </a:ext>
          </a:extLst>
        </xdr:cNvPr>
        <xdr:cNvGrpSpPr/>
      </xdr:nvGrpSpPr>
      <xdr:grpSpPr>
        <a:xfrm rot="10379564">
          <a:off x="2070072" y="2675038"/>
          <a:ext cx="965949" cy="878238"/>
          <a:chOff x="2195534" y="1183683"/>
          <a:chExt cx="826806" cy="757557"/>
        </a:xfrm>
      </xdr:grpSpPr>
      <xdr:grpSp>
        <xdr:nvGrpSpPr>
          <xdr:cNvPr id="133" name="Group 132">
            <a:extLst>
              <a:ext uri="{FF2B5EF4-FFF2-40B4-BE49-F238E27FC236}">
                <a16:creationId xmlns:a16="http://schemas.microsoft.com/office/drawing/2014/main" id="{0777EC0E-F257-4C01-B918-697E32B0960D}"/>
              </a:ext>
            </a:extLst>
          </xdr:cNvPr>
          <xdr:cNvGrpSpPr/>
        </xdr:nvGrpSpPr>
        <xdr:grpSpPr>
          <a:xfrm rot="700658">
            <a:off x="2357561" y="1183683"/>
            <a:ext cx="664779" cy="619958"/>
            <a:chOff x="2423209" y="1217871"/>
            <a:chExt cx="611058" cy="588603"/>
          </a:xfrm>
        </xdr:grpSpPr>
        <xdr:cxnSp macro="">
          <xdr:nvCxnSpPr>
            <xdr:cNvPr id="137" name="Straight Connector 136">
              <a:extLst>
                <a:ext uri="{FF2B5EF4-FFF2-40B4-BE49-F238E27FC236}">
                  <a16:creationId xmlns:a16="http://schemas.microsoft.com/office/drawing/2014/main" id="{B7055710-8693-44D9-8327-D53714A19212}"/>
                </a:ext>
              </a:extLst>
            </xdr:cNvPr>
            <xdr:cNvCxnSpPr/>
          </xdr:nvCxnSpPr>
          <xdr:spPr>
            <a:xfrm>
              <a:off x="2423209" y="1347945"/>
              <a:ext cx="387645" cy="45852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8" name="Straight Connector 137">
              <a:extLst>
                <a:ext uri="{FF2B5EF4-FFF2-40B4-BE49-F238E27FC236}">
                  <a16:creationId xmlns:a16="http://schemas.microsoft.com/office/drawing/2014/main" id="{0B1F189C-4529-4E77-9124-E5316EA75E07}"/>
                </a:ext>
              </a:extLst>
            </xdr:cNvPr>
            <xdr:cNvCxnSpPr/>
          </xdr:nvCxnSpPr>
          <xdr:spPr>
            <a:xfrm>
              <a:off x="2551712" y="1217871"/>
              <a:ext cx="387645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Straight Connector 138">
              <a:extLst>
                <a:ext uri="{FF2B5EF4-FFF2-40B4-BE49-F238E27FC236}">
                  <a16:creationId xmlns:a16="http://schemas.microsoft.com/office/drawing/2014/main" id="{3E8A79A2-3239-40FF-A999-6EA3B51FEB53}"/>
                </a:ext>
              </a:extLst>
            </xdr:cNvPr>
            <xdr:cNvCxnSpPr/>
          </xdr:nvCxnSpPr>
          <xdr:spPr>
            <a:xfrm flipH="1">
              <a:off x="2934586" y="1582514"/>
              <a:ext cx="99681" cy="90819"/>
            </a:xfrm>
            <a:prstGeom prst="line">
              <a:avLst/>
            </a:prstGeom>
            <a:ln>
              <a:headEnd type="arrow" w="med" len="med"/>
              <a:tailEnd type="non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34" name="Group 133">
            <a:extLst>
              <a:ext uri="{FF2B5EF4-FFF2-40B4-BE49-F238E27FC236}">
                <a16:creationId xmlns:a16="http://schemas.microsoft.com/office/drawing/2014/main" id="{3B29B4BE-3DBA-4406-829E-90FE97376425}"/>
              </a:ext>
            </a:extLst>
          </xdr:cNvPr>
          <xdr:cNvGrpSpPr/>
        </xdr:nvGrpSpPr>
        <xdr:grpSpPr>
          <a:xfrm rot="703814">
            <a:off x="2195534" y="1387283"/>
            <a:ext cx="393030" cy="553957"/>
            <a:chOff x="2342298" y="1441598"/>
            <a:chExt cx="393030" cy="548258"/>
          </a:xfrm>
        </xdr:grpSpPr>
        <xdr:cxnSp macro="">
          <xdr:nvCxnSpPr>
            <xdr:cNvPr id="135" name="Straight Connector 134">
              <a:extLst>
                <a:ext uri="{FF2B5EF4-FFF2-40B4-BE49-F238E27FC236}">
                  <a16:creationId xmlns:a16="http://schemas.microsoft.com/office/drawing/2014/main" id="{997D94F3-61A9-4963-A7A2-666A1317C417}"/>
                </a:ext>
              </a:extLst>
            </xdr:cNvPr>
            <xdr:cNvCxnSpPr/>
          </xdr:nvCxnSpPr>
          <xdr:spPr>
            <a:xfrm>
              <a:off x="2342298" y="1441598"/>
              <a:ext cx="386622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6" name="Straight Connector 135">
              <a:extLst>
                <a:ext uri="{FF2B5EF4-FFF2-40B4-BE49-F238E27FC236}">
                  <a16:creationId xmlns:a16="http://schemas.microsoft.com/office/drawing/2014/main" id="{731CF8BE-9A7D-46CE-B8E7-EF3F57068D3C}"/>
                </a:ext>
              </a:extLst>
            </xdr:cNvPr>
            <xdr:cNvCxnSpPr/>
          </xdr:nvCxnSpPr>
          <xdr:spPr>
            <a:xfrm flipH="1">
              <a:off x="2635647" y="1899037"/>
              <a:ext cx="99681" cy="9081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0</xdr:col>
      <xdr:colOff>497193</xdr:colOff>
      <xdr:row>10</xdr:row>
      <xdr:rowOff>59140</xdr:rowOff>
    </xdr:from>
    <xdr:to>
      <xdr:col>2</xdr:col>
      <xdr:colOff>222882</xdr:colOff>
      <xdr:row>15</xdr:row>
      <xdr:rowOff>47877</xdr:rowOff>
    </xdr:to>
    <xdr:grpSp>
      <xdr:nvGrpSpPr>
        <xdr:cNvPr id="140" name="Group 139">
          <a:extLst>
            <a:ext uri="{FF2B5EF4-FFF2-40B4-BE49-F238E27FC236}">
              <a16:creationId xmlns:a16="http://schemas.microsoft.com/office/drawing/2014/main" id="{8E015222-03BA-4807-9DCE-BE81B286EFBC}"/>
            </a:ext>
          </a:extLst>
        </xdr:cNvPr>
        <xdr:cNvGrpSpPr/>
      </xdr:nvGrpSpPr>
      <xdr:grpSpPr>
        <a:xfrm rot="15605601">
          <a:off x="503252" y="1958081"/>
          <a:ext cx="941237" cy="953356"/>
          <a:chOff x="2195534" y="1183683"/>
          <a:chExt cx="826806" cy="757557"/>
        </a:xfrm>
      </xdr:grpSpPr>
      <xdr:grpSp>
        <xdr:nvGrpSpPr>
          <xdr:cNvPr id="141" name="Group 140">
            <a:extLst>
              <a:ext uri="{FF2B5EF4-FFF2-40B4-BE49-F238E27FC236}">
                <a16:creationId xmlns:a16="http://schemas.microsoft.com/office/drawing/2014/main" id="{ACFA7E14-9FC5-49AD-9761-2E798D0928B4}"/>
              </a:ext>
            </a:extLst>
          </xdr:cNvPr>
          <xdr:cNvGrpSpPr/>
        </xdr:nvGrpSpPr>
        <xdr:grpSpPr>
          <a:xfrm rot="700658">
            <a:off x="2357561" y="1183683"/>
            <a:ext cx="664779" cy="619958"/>
            <a:chOff x="2423209" y="1217871"/>
            <a:chExt cx="611058" cy="588603"/>
          </a:xfrm>
        </xdr:grpSpPr>
        <xdr:cxnSp macro="">
          <xdr:nvCxnSpPr>
            <xdr:cNvPr id="145" name="Straight Connector 144">
              <a:extLst>
                <a:ext uri="{FF2B5EF4-FFF2-40B4-BE49-F238E27FC236}">
                  <a16:creationId xmlns:a16="http://schemas.microsoft.com/office/drawing/2014/main" id="{E34D20F6-28BA-45C1-A03C-F2D114DFB76C}"/>
                </a:ext>
              </a:extLst>
            </xdr:cNvPr>
            <xdr:cNvCxnSpPr/>
          </xdr:nvCxnSpPr>
          <xdr:spPr>
            <a:xfrm>
              <a:off x="2423209" y="1347945"/>
              <a:ext cx="387645" cy="45852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6" name="Straight Connector 145">
              <a:extLst>
                <a:ext uri="{FF2B5EF4-FFF2-40B4-BE49-F238E27FC236}">
                  <a16:creationId xmlns:a16="http://schemas.microsoft.com/office/drawing/2014/main" id="{B740D610-27E0-4379-B071-2970A2B0A262}"/>
                </a:ext>
              </a:extLst>
            </xdr:cNvPr>
            <xdr:cNvCxnSpPr/>
          </xdr:nvCxnSpPr>
          <xdr:spPr>
            <a:xfrm>
              <a:off x="2551712" y="1217871"/>
              <a:ext cx="387645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7" name="Straight Connector 146">
              <a:extLst>
                <a:ext uri="{FF2B5EF4-FFF2-40B4-BE49-F238E27FC236}">
                  <a16:creationId xmlns:a16="http://schemas.microsoft.com/office/drawing/2014/main" id="{298416AD-3007-4D34-976C-36721E02D610}"/>
                </a:ext>
              </a:extLst>
            </xdr:cNvPr>
            <xdr:cNvCxnSpPr/>
          </xdr:nvCxnSpPr>
          <xdr:spPr>
            <a:xfrm flipH="1">
              <a:off x="2934586" y="1582514"/>
              <a:ext cx="99681" cy="90819"/>
            </a:xfrm>
            <a:prstGeom prst="line">
              <a:avLst/>
            </a:prstGeom>
            <a:ln>
              <a:headEnd type="arrow" w="med" len="med"/>
              <a:tailEnd type="non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oup 141">
            <a:extLst>
              <a:ext uri="{FF2B5EF4-FFF2-40B4-BE49-F238E27FC236}">
                <a16:creationId xmlns:a16="http://schemas.microsoft.com/office/drawing/2014/main" id="{4F8AA201-6163-4898-8C51-43199ACFB40E}"/>
              </a:ext>
            </a:extLst>
          </xdr:cNvPr>
          <xdr:cNvGrpSpPr/>
        </xdr:nvGrpSpPr>
        <xdr:grpSpPr>
          <a:xfrm rot="703814">
            <a:off x="2195534" y="1387283"/>
            <a:ext cx="393030" cy="553957"/>
            <a:chOff x="2342298" y="1441598"/>
            <a:chExt cx="393030" cy="548258"/>
          </a:xfrm>
        </xdr:grpSpPr>
        <xdr:cxnSp macro="">
          <xdr:nvCxnSpPr>
            <xdr:cNvPr id="143" name="Straight Connector 142">
              <a:extLst>
                <a:ext uri="{FF2B5EF4-FFF2-40B4-BE49-F238E27FC236}">
                  <a16:creationId xmlns:a16="http://schemas.microsoft.com/office/drawing/2014/main" id="{D29F1274-7E03-43D3-83D2-F3D4F95691EF}"/>
                </a:ext>
              </a:extLst>
            </xdr:cNvPr>
            <xdr:cNvCxnSpPr/>
          </xdr:nvCxnSpPr>
          <xdr:spPr>
            <a:xfrm>
              <a:off x="2342298" y="1441598"/>
              <a:ext cx="386622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Straight Connector 143">
              <a:extLst>
                <a:ext uri="{FF2B5EF4-FFF2-40B4-BE49-F238E27FC236}">
                  <a16:creationId xmlns:a16="http://schemas.microsoft.com/office/drawing/2014/main" id="{64D5488F-AA31-4698-80F4-3626BB4D8705}"/>
                </a:ext>
              </a:extLst>
            </xdr:cNvPr>
            <xdr:cNvCxnSpPr/>
          </xdr:nvCxnSpPr>
          <xdr:spPr>
            <a:xfrm flipH="1">
              <a:off x="2635647" y="1899037"/>
              <a:ext cx="99681" cy="9081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0</xdr:col>
      <xdr:colOff>162983</xdr:colOff>
      <xdr:row>13</xdr:row>
      <xdr:rowOff>88900</xdr:rowOff>
    </xdr:from>
    <xdr:to>
      <xdr:col>0</xdr:col>
      <xdr:colOff>522002</xdr:colOff>
      <xdr:row>14</xdr:row>
      <xdr:rowOff>132861</xdr:rowOff>
    </xdr:to>
    <xdr:sp macro="" textlink="">
      <xdr:nvSpPr>
        <xdr:cNvPr id="154" name="TextBox 153">
          <a:extLst>
            <a:ext uri="{FF2B5EF4-FFF2-40B4-BE49-F238E27FC236}">
              <a16:creationId xmlns:a16="http://schemas.microsoft.com/office/drawing/2014/main" id="{283288CD-0865-414D-83B0-0EEF02A4A393}"/>
            </a:ext>
          </a:extLst>
        </xdr:cNvPr>
        <xdr:cNvSpPr txBox="1"/>
      </xdr:nvSpPr>
      <xdr:spPr>
        <a:xfrm>
          <a:off x="162983" y="2946400"/>
          <a:ext cx="35901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12</a:t>
          </a:r>
        </a:p>
      </xdr:txBody>
    </xdr:sp>
    <xdr:clientData/>
  </xdr:twoCellAnchor>
  <xdr:twoCellAnchor>
    <xdr:from>
      <xdr:col>0</xdr:col>
      <xdr:colOff>378883</xdr:colOff>
      <xdr:row>14</xdr:row>
      <xdr:rowOff>50800</xdr:rowOff>
    </xdr:from>
    <xdr:to>
      <xdr:col>1</xdr:col>
      <xdr:colOff>124069</xdr:colOff>
      <xdr:row>15</xdr:row>
      <xdr:rowOff>94761</xdr:rowOff>
    </xdr:to>
    <xdr:sp macro="" textlink="">
      <xdr:nvSpPr>
        <xdr:cNvPr id="155" name="TextBox 154">
          <a:extLst>
            <a:ext uri="{FF2B5EF4-FFF2-40B4-BE49-F238E27FC236}">
              <a16:creationId xmlns:a16="http://schemas.microsoft.com/office/drawing/2014/main" id="{EDCF99AA-D87E-4D26-8D6D-43E09FC4AB24}"/>
            </a:ext>
          </a:extLst>
        </xdr:cNvPr>
        <xdr:cNvSpPr txBox="1"/>
      </xdr:nvSpPr>
      <xdr:spPr>
        <a:xfrm>
          <a:off x="378883" y="3098800"/>
          <a:ext cx="35901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11</a:t>
          </a:r>
        </a:p>
      </xdr:txBody>
    </xdr:sp>
    <xdr:clientData/>
  </xdr:twoCellAnchor>
  <xdr:twoCellAnchor>
    <xdr:from>
      <xdr:col>1</xdr:col>
      <xdr:colOff>97366</xdr:colOff>
      <xdr:row>14</xdr:row>
      <xdr:rowOff>160867</xdr:rowOff>
    </xdr:from>
    <xdr:to>
      <xdr:col>1</xdr:col>
      <xdr:colOff>456385</xdr:colOff>
      <xdr:row>16</xdr:row>
      <xdr:rowOff>14328</xdr:rowOff>
    </xdr:to>
    <xdr:sp macro="" textlink="">
      <xdr:nvSpPr>
        <xdr:cNvPr id="156" name="TextBox 155">
          <a:extLst>
            <a:ext uri="{FF2B5EF4-FFF2-40B4-BE49-F238E27FC236}">
              <a16:creationId xmlns:a16="http://schemas.microsoft.com/office/drawing/2014/main" id="{CCC91301-C8A6-4D1D-8077-28B72C91253F}"/>
            </a:ext>
          </a:extLst>
        </xdr:cNvPr>
        <xdr:cNvSpPr txBox="1"/>
      </xdr:nvSpPr>
      <xdr:spPr>
        <a:xfrm>
          <a:off x="711199" y="3208867"/>
          <a:ext cx="35901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10</a:t>
          </a:r>
        </a:p>
      </xdr:txBody>
    </xdr:sp>
    <xdr:clientData/>
  </xdr:twoCellAnchor>
  <xdr:twoCellAnchor>
    <xdr:from>
      <xdr:col>4</xdr:col>
      <xdr:colOff>101599</xdr:colOff>
      <xdr:row>18</xdr:row>
      <xdr:rowOff>175683</xdr:rowOff>
    </xdr:from>
    <xdr:to>
      <xdr:col>4</xdr:col>
      <xdr:colOff>460618</xdr:colOff>
      <xdr:row>20</xdr:row>
      <xdr:rowOff>29144</xdr:rowOff>
    </xdr:to>
    <xdr:sp macro="" textlink="">
      <xdr:nvSpPr>
        <xdr:cNvPr id="157" name="TextBox 156">
          <a:extLst>
            <a:ext uri="{FF2B5EF4-FFF2-40B4-BE49-F238E27FC236}">
              <a16:creationId xmlns:a16="http://schemas.microsoft.com/office/drawing/2014/main" id="{2F6DF968-C22B-491E-BDCC-4816E92B6645}"/>
            </a:ext>
          </a:extLst>
        </xdr:cNvPr>
        <xdr:cNvSpPr txBox="1"/>
      </xdr:nvSpPr>
      <xdr:spPr>
        <a:xfrm>
          <a:off x="2556932" y="3985683"/>
          <a:ext cx="35901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9</a:t>
          </a:r>
        </a:p>
      </xdr:txBody>
    </xdr:sp>
    <xdr:clientData/>
  </xdr:twoCellAnchor>
  <xdr:twoCellAnchor>
    <xdr:from>
      <xdr:col>4</xdr:col>
      <xdr:colOff>285751</xdr:colOff>
      <xdr:row>18</xdr:row>
      <xdr:rowOff>0</xdr:rowOff>
    </xdr:from>
    <xdr:to>
      <xdr:col>4</xdr:col>
      <xdr:colOff>539751</xdr:colOff>
      <xdr:row>19</xdr:row>
      <xdr:rowOff>43961</xdr:rowOff>
    </xdr:to>
    <xdr:sp macro="" textlink="">
      <xdr:nvSpPr>
        <xdr:cNvPr id="158" name="TextBox 157">
          <a:extLst>
            <a:ext uri="{FF2B5EF4-FFF2-40B4-BE49-F238E27FC236}">
              <a16:creationId xmlns:a16="http://schemas.microsoft.com/office/drawing/2014/main" id="{677215CD-CC05-4BF8-B3B6-268AE7BDA27C}"/>
            </a:ext>
          </a:extLst>
        </xdr:cNvPr>
        <xdr:cNvSpPr txBox="1"/>
      </xdr:nvSpPr>
      <xdr:spPr>
        <a:xfrm>
          <a:off x="2741084" y="3810000"/>
          <a:ext cx="254000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8</a:t>
          </a:r>
        </a:p>
      </xdr:txBody>
    </xdr:sp>
    <xdr:clientData/>
  </xdr:twoCellAnchor>
  <xdr:twoCellAnchor>
    <xdr:from>
      <xdr:col>4</xdr:col>
      <xdr:colOff>448733</xdr:colOff>
      <xdr:row>17</xdr:row>
      <xdr:rowOff>0</xdr:rowOff>
    </xdr:from>
    <xdr:to>
      <xdr:col>5</xdr:col>
      <xdr:colOff>201083</xdr:colOff>
      <xdr:row>18</xdr:row>
      <xdr:rowOff>27027</xdr:rowOff>
    </xdr:to>
    <xdr:sp macro="" textlink="">
      <xdr:nvSpPr>
        <xdr:cNvPr id="159" name="TextBox 158">
          <a:extLst>
            <a:ext uri="{FF2B5EF4-FFF2-40B4-BE49-F238E27FC236}">
              <a16:creationId xmlns:a16="http://schemas.microsoft.com/office/drawing/2014/main" id="{16B2AE95-458A-4448-8878-68EDA7F9D26E}"/>
            </a:ext>
          </a:extLst>
        </xdr:cNvPr>
        <xdr:cNvSpPr txBox="1"/>
      </xdr:nvSpPr>
      <xdr:spPr>
        <a:xfrm>
          <a:off x="2904066" y="3619500"/>
          <a:ext cx="366184" cy="2175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7</a:t>
          </a:r>
        </a:p>
      </xdr:txBody>
    </xdr:sp>
    <xdr:clientData/>
  </xdr:twoCellAnchor>
  <xdr:twoCellAnchor>
    <xdr:from>
      <xdr:col>3</xdr:col>
      <xdr:colOff>610205</xdr:colOff>
      <xdr:row>26</xdr:row>
      <xdr:rowOff>10583</xdr:rowOff>
    </xdr:from>
    <xdr:to>
      <xdr:col>4</xdr:col>
      <xdr:colOff>2</xdr:colOff>
      <xdr:row>32</xdr:row>
      <xdr:rowOff>103772</xdr:rowOff>
    </xdr:to>
    <xdr:cxnSp macro="">
      <xdr:nvCxnSpPr>
        <xdr:cNvPr id="162" name="Straight Connector 161">
          <a:extLst>
            <a:ext uri="{FF2B5EF4-FFF2-40B4-BE49-F238E27FC236}">
              <a16:creationId xmlns:a16="http://schemas.microsoft.com/office/drawing/2014/main" id="{AD27EA59-6C15-497E-B4F7-16FC57B201E9}"/>
            </a:ext>
          </a:extLst>
        </xdr:cNvPr>
        <xdr:cNvCxnSpPr/>
      </xdr:nvCxnSpPr>
      <xdr:spPr>
        <a:xfrm flipV="1">
          <a:off x="2451705" y="4963583"/>
          <a:ext cx="3630" cy="1236189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117165</xdr:colOff>
      <xdr:row>32</xdr:row>
      <xdr:rowOff>146104</xdr:rowOff>
    </xdr:from>
    <xdr:to>
      <xdr:col>3</xdr:col>
      <xdr:colOff>589039</xdr:colOff>
      <xdr:row>38</xdr:row>
      <xdr:rowOff>47660</xdr:rowOff>
    </xdr:to>
    <xdr:cxnSp macro="">
      <xdr:nvCxnSpPr>
        <xdr:cNvPr id="164" name="Straight Connector 163">
          <a:extLst>
            <a:ext uri="{FF2B5EF4-FFF2-40B4-BE49-F238E27FC236}">
              <a16:creationId xmlns:a16="http://schemas.microsoft.com/office/drawing/2014/main" id="{89D6D7B2-FDE7-40ED-82EF-7C6831908BC6}"/>
            </a:ext>
          </a:extLst>
        </xdr:cNvPr>
        <xdr:cNvCxnSpPr/>
      </xdr:nvCxnSpPr>
      <xdr:spPr>
        <a:xfrm flipV="1">
          <a:off x="730998" y="6242104"/>
          <a:ext cx="1699541" cy="1044556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69073</xdr:colOff>
      <xdr:row>42</xdr:row>
      <xdr:rowOff>2934</xdr:rowOff>
    </xdr:from>
    <xdr:to>
      <xdr:col>5</xdr:col>
      <xdr:colOff>31749</xdr:colOff>
      <xdr:row>43</xdr:row>
      <xdr:rowOff>82679</xdr:rowOff>
    </xdr:to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049010DE-2D14-4611-B2B7-CCCCD7DEC151}"/>
            </a:ext>
          </a:extLst>
        </xdr:cNvPr>
        <xdr:cNvSpPr txBox="1"/>
      </xdr:nvSpPr>
      <xdr:spPr>
        <a:xfrm>
          <a:off x="1910573" y="8003934"/>
          <a:ext cx="1190343" cy="27024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QUEENS WAY RD</a:t>
          </a:r>
          <a:endParaRPr lang="en-UG">
            <a:effectLst/>
          </a:endParaRPr>
        </a:p>
      </xdr:txBody>
    </xdr:sp>
    <xdr:clientData/>
  </xdr:twoCellAnchor>
  <xdr:twoCellAnchor>
    <xdr:from>
      <xdr:col>0</xdr:col>
      <xdr:colOff>191996</xdr:colOff>
      <xdr:row>38</xdr:row>
      <xdr:rowOff>58243</xdr:rowOff>
    </xdr:from>
    <xdr:to>
      <xdr:col>2</xdr:col>
      <xdr:colOff>42332</xdr:colOff>
      <xdr:row>39</xdr:row>
      <xdr:rowOff>137987</xdr:rowOff>
    </xdr:to>
    <xdr:sp macro="" textlink="">
      <xdr:nvSpPr>
        <xdr:cNvPr id="166" name="TextBox 165">
          <a:extLst>
            <a:ext uri="{FF2B5EF4-FFF2-40B4-BE49-F238E27FC236}">
              <a16:creationId xmlns:a16="http://schemas.microsoft.com/office/drawing/2014/main" id="{7A304645-3916-4703-B041-15F7CC90180C}"/>
            </a:ext>
          </a:extLst>
        </xdr:cNvPr>
        <xdr:cNvSpPr txBox="1"/>
      </xdr:nvSpPr>
      <xdr:spPr>
        <a:xfrm>
          <a:off x="191996" y="3106243"/>
          <a:ext cx="1078003" cy="2702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NAKIVUBO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RD</a:t>
          </a:r>
          <a:endParaRPr lang="en-UG">
            <a:effectLst/>
          </a:endParaRPr>
        </a:p>
      </xdr:txBody>
    </xdr:sp>
    <xdr:clientData/>
  </xdr:twoCellAnchor>
  <xdr:twoCellAnchor>
    <xdr:from>
      <xdr:col>3</xdr:col>
      <xdr:colOff>570363</xdr:colOff>
      <xdr:row>32</xdr:row>
      <xdr:rowOff>55223</xdr:rowOff>
    </xdr:from>
    <xdr:to>
      <xdr:col>4</xdr:col>
      <xdr:colOff>84059</xdr:colOff>
      <xdr:row>32</xdr:row>
      <xdr:rowOff>174095</xdr:rowOff>
    </xdr:to>
    <xdr:sp macro="" textlink="">
      <xdr:nvSpPr>
        <xdr:cNvPr id="167" name="Oval 166">
          <a:extLst>
            <a:ext uri="{FF2B5EF4-FFF2-40B4-BE49-F238E27FC236}">
              <a16:creationId xmlns:a16="http://schemas.microsoft.com/office/drawing/2014/main" id="{59CBFBE1-23F9-404E-A8E5-E6BAC1B0C5B0}"/>
            </a:ext>
          </a:extLst>
        </xdr:cNvPr>
        <xdr:cNvSpPr/>
      </xdr:nvSpPr>
      <xdr:spPr>
        <a:xfrm>
          <a:off x="2411863" y="6151223"/>
          <a:ext cx="127529" cy="118872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285750</xdr:colOff>
      <xdr:row>29</xdr:row>
      <xdr:rowOff>107657</xdr:rowOff>
    </xdr:from>
    <xdr:to>
      <xdr:col>6</xdr:col>
      <xdr:colOff>751616</xdr:colOff>
      <xdr:row>31</xdr:row>
      <xdr:rowOff>52916</xdr:rowOff>
    </xdr:to>
    <xdr:sp macro="" textlink="">
      <xdr:nvSpPr>
        <xdr:cNvPr id="168" name="TextBox 167">
          <a:extLst>
            <a:ext uri="{FF2B5EF4-FFF2-40B4-BE49-F238E27FC236}">
              <a16:creationId xmlns:a16="http://schemas.microsoft.com/office/drawing/2014/main" id="{3A2CEB3E-EF48-44F4-8EA6-BEE47F1E4BDB}"/>
            </a:ext>
          </a:extLst>
        </xdr:cNvPr>
        <xdr:cNvSpPr txBox="1"/>
      </xdr:nvSpPr>
      <xdr:spPr>
        <a:xfrm>
          <a:off x="3354917" y="5632157"/>
          <a:ext cx="1079699" cy="32625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aseline="0"/>
            <a:t>NSAMBYA RD</a:t>
          </a:r>
          <a:endParaRPr lang="en-US" sz="1100"/>
        </a:p>
      </xdr:txBody>
    </xdr:sp>
    <xdr:clientData/>
  </xdr:twoCellAnchor>
  <xdr:twoCellAnchor>
    <xdr:from>
      <xdr:col>6</xdr:col>
      <xdr:colOff>20025</xdr:colOff>
      <xdr:row>33</xdr:row>
      <xdr:rowOff>16763</xdr:rowOff>
    </xdr:from>
    <xdr:to>
      <xdr:col>6</xdr:col>
      <xdr:colOff>216224</xdr:colOff>
      <xdr:row>34</xdr:row>
      <xdr:rowOff>60724</xdr:rowOff>
    </xdr:to>
    <xdr:sp macro="" textlink="">
      <xdr:nvSpPr>
        <xdr:cNvPr id="170" name="TextBox 169">
          <a:extLst>
            <a:ext uri="{FF2B5EF4-FFF2-40B4-BE49-F238E27FC236}">
              <a16:creationId xmlns:a16="http://schemas.microsoft.com/office/drawing/2014/main" id="{ECFA50AD-36AE-40E9-A3D6-BE8311BB69F1}"/>
            </a:ext>
          </a:extLst>
        </xdr:cNvPr>
        <xdr:cNvSpPr txBox="1"/>
      </xdr:nvSpPr>
      <xdr:spPr>
        <a:xfrm>
          <a:off x="3703025" y="6303263"/>
          <a:ext cx="19619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4</a:t>
          </a:r>
        </a:p>
      </xdr:txBody>
    </xdr:sp>
    <xdr:clientData/>
  </xdr:twoCellAnchor>
  <xdr:twoCellAnchor>
    <xdr:from>
      <xdr:col>4</xdr:col>
      <xdr:colOff>323615</xdr:colOff>
      <xdr:row>26</xdr:row>
      <xdr:rowOff>40117</xdr:rowOff>
    </xdr:from>
    <xdr:to>
      <xdr:col>5</xdr:col>
      <xdr:colOff>475968</xdr:colOff>
      <xdr:row>30</xdr:row>
      <xdr:rowOff>30993</xdr:rowOff>
    </xdr:to>
    <xdr:grpSp>
      <xdr:nvGrpSpPr>
        <xdr:cNvPr id="172" name="Group 171">
          <a:extLst>
            <a:ext uri="{FF2B5EF4-FFF2-40B4-BE49-F238E27FC236}">
              <a16:creationId xmlns:a16="http://schemas.microsoft.com/office/drawing/2014/main" id="{7789FD95-B638-47C6-A82E-E070C958151C}"/>
            </a:ext>
          </a:extLst>
        </xdr:cNvPr>
        <xdr:cNvGrpSpPr/>
      </xdr:nvGrpSpPr>
      <xdr:grpSpPr>
        <a:xfrm rot="2369381">
          <a:off x="2778948" y="4993117"/>
          <a:ext cx="766187" cy="752876"/>
          <a:chOff x="2423209" y="1217871"/>
          <a:chExt cx="611058" cy="588603"/>
        </a:xfrm>
      </xdr:grpSpPr>
      <xdr:cxnSp macro="">
        <xdr:nvCxnSpPr>
          <xdr:cNvPr id="176" name="Straight Connector 175">
            <a:extLst>
              <a:ext uri="{FF2B5EF4-FFF2-40B4-BE49-F238E27FC236}">
                <a16:creationId xmlns:a16="http://schemas.microsoft.com/office/drawing/2014/main" id="{105B1057-3158-4C72-AC15-E3AC888A370C}"/>
              </a:ext>
            </a:extLst>
          </xdr:cNvPr>
          <xdr:cNvCxnSpPr/>
        </xdr:nvCxnSpPr>
        <xdr:spPr>
          <a:xfrm>
            <a:off x="2423209" y="1347945"/>
            <a:ext cx="387645" cy="458529"/>
          </a:xfrm>
          <a:prstGeom prst="line">
            <a:avLst/>
          </a:prstGeom>
          <a:ln>
            <a:headEnd type="none" w="med" len="med"/>
            <a:tailEnd type="arrow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7" name="Straight Connector 176">
            <a:extLst>
              <a:ext uri="{FF2B5EF4-FFF2-40B4-BE49-F238E27FC236}">
                <a16:creationId xmlns:a16="http://schemas.microsoft.com/office/drawing/2014/main" id="{AF93D708-9BF1-4338-A733-CB3B0777F636}"/>
              </a:ext>
            </a:extLst>
          </xdr:cNvPr>
          <xdr:cNvCxnSpPr/>
        </xdr:nvCxnSpPr>
        <xdr:spPr>
          <a:xfrm>
            <a:off x="2551712" y="1217871"/>
            <a:ext cx="387645" cy="458529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8" name="Straight Connector 177">
            <a:extLst>
              <a:ext uri="{FF2B5EF4-FFF2-40B4-BE49-F238E27FC236}">
                <a16:creationId xmlns:a16="http://schemas.microsoft.com/office/drawing/2014/main" id="{F5AA329F-D277-46F9-8F17-C23786248118}"/>
              </a:ext>
            </a:extLst>
          </xdr:cNvPr>
          <xdr:cNvCxnSpPr/>
        </xdr:nvCxnSpPr>
        <xdr:spPr>
          <a:xfrm flipH="1">
            <a:off x="2934586" y="1582514"/>
            <a:ext cx="99681" cy="90819"/>
          </a:xfrm>
          <a:prstGeom prst="line">
            <a:avLst/>
          </a:prstGeom>
          <a:ln>
            <a:headEnd type="arrow" w="med" len="med"/>
            <a:tailEnd type="non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413073</xdr:colOff>
      <xdr:row>24</xdr:row>
      <xdr:rowOff>140352</xdr:rowOff>
    </xdr:from>
    <xdr:to>
      <xdr:col>4</xdr:col>
      <xdr:colOff>603573</xdr:colOff>
      <xdr:row>25</xdr:row>
      <xdr:rowOff>184313</xdr:rowOff>
    </xdr:to>
    <xdr:sp macro="" textlink="">
      <xdr:nvSpPr>
        <xdr:cNvPr id="179" name="TextBox 178">
          <a:extLst>
            <a:ext uri="{FF2B5EF4-FFF2-40B4-BE49-F238E27FC236}">
              <a16:creationId xmlns:a16="http://schemas.microsoft.com/office/drawing/2014/main" id="{593C544B-0D85-4DD9-A746-E55502DABA2E}"/>
            </a:ext>
          </a:extLst>
        </xdr:cNvPr>
        <xdr:cNvSpPr txBox="1"/>
      </xdr:nvSpPr>
      <xdr:spPr>
        <a:xfrm>
          <a:off x="2868406" y="4712352"/>
          <a:ext cx="190500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2</a:t>
          </a:r>
        </a:p>
      </xdr:txBody>
    </xdr:sp>
    <xdr:clientData/>
  </xdr:twoCellAnchor>
  <xdr:twoCellAnchor>
    <xdr:from>
      <xdr:col>5</xdr:col>
      <xdr:colOff>69028</xdr:colOff>
      <xdr:row>24</xdr:row>
      <xdr:rowOff>123582</xdr:rowOff>
    </xdr:from>
    <xdr:to>
      <xdr:col>5</xdr:col>
      <xdr:colOff>265227</xdr:colOff>
      <xdr:row>25</xdr:row>
      <xdr:rowOff>167543</xdr:rowOff>
    </xdr:to>
    <xdr:sp macro="" textlink="">
      <xdr:nvSpPr>
        <xdr:cNvPr id="180" name="TextBox 179">
          <a:extLst>
            <a:ext uri="{FF2B5EF4-FFF2-40B4-BE49-F238E27FC236}">
              <a16:creationId xmlns:a16="http://schemas.microsoft.com/office/drawing/2014/main" id="{4C00E7AC-3FC5-4676-970C-6DF43EFD50A7}"/>
            </a:ext>
          </a:extLst>
        </xdr:cNvPr>
        <xdr:cNvSpPr txBox="1"/>
      </xdr:nvSpPr>
      <xdr:spPr>
        <a:xfrm>
          <a:off x="3138195" y="4695582"/>
          <a:ext cx="19619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1</a:t>
          </a:r>
        </a:p>
      </xdr:txBody>
    </xdr:sp>
    <xdr:clientData/>
  </xdr:twoCellAnchor>
  <xdr:twoCellAnchor>
    <xdr:from>
      <xdr:col>5</xdr:col>
      <xdr:colOff>508001</xdr:colOff>
      <xdr:row>31</xdr:row>
      <xdr:rowOff>74085</xdr:rowOff>
    </xdr:from>
    <xdr:to>
      <xdr:col>6</xdr:col>
      <xdr:colOff>182205</xdr:colOff>
      <xdr:row>32</xdr:row>
      <xdr:rowOff>38101</xdr:rowOff>
    </xdr:to>
    <xdr:sp macro="" textlink="">
      <xdr:nvSpPr>
        <xdr:cNvPr id="181" name="TextBox 180">
          <a:extLst>
            <a:ext uri="{FF2B5EF4-FFF2-40B4-BE49-F238E27FC236}">
              <a16:creationId xmlns:a16="http://schemas.microsoft.com/office/drawing/2014/main" id="{4BCB97D1-5FC7-4E93-AF63-57CE357966A1}"/>
            </a:ext>
          </a:extLst>
        </xdr:cNvPr>
        <xdr:cNvSpPr txBox="1"/>
      </xdr:nvSpPr>
      <xdr:spPr>
        <a:xfrm>
          <a:off x="3577168" y="5979585"/>
          <a:ext cx="288037" cy="15451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3</a:t>
          </a:r>
        </a:p>
      </xdr:txBody>
    </xdr:sp>
    <xdr:clientData/>
  </xdr:twoCellAnchor>
  <xdr:twoCellAnchor>
    <xdr:from>
      <xdr:col>1</xdr:col>
      <xdr:colOff>212481</xdr:colOff>
      <xdr:row>29</xdr:row>
      <xdr:rowOff>87923</xdr:rowOff>
    </xdr:from>
    <xdr:to>
      <xdr:col>1</xdr:col>
      <xdr:colOff>212481</xdr:colOff>
      <xdr:row>32</xdr:row>
      <xdr:rowOff>183173</xdr:rowOff>
    </xdr:to>
    <xdr:cxnSp macro="">
      <xdr:nvCxnSpPr>
        <xdr:cNvPr id="182" name="Straight Arrow Connector 181">
          <a:extLst>
            <a:ext uri="{FF2B5EF4-FFF2-40B4-BE49-F238E27FC236}">
              <a16:creationId xmlns:a16="http://schemas.microsoft.com/office/drawing/2014/main" id="{6DF81224-3B06-429C-95D4-7B6EE065BB17}"/>
            </a:ext>
          </a:extLst>
        </xdr:cNvPr>
        <xdr:cNvCxnSpPr/>
      </xdr:nvCxnSpPr>
      <xdr:spPr>
        <a:xfrm flipV="1">
          <a:off x="826314" y="1421423"/>
          <a:ext cx="0" cy="666750"/>
        </a:xfrm>
        <a:prstGeom prst="straightConnector1">
          <a:avLst/>
        </a:prstGeom>
        <a:ln w="57150">
          <a:solidFill>
            <a:schemeClr val="tx1"/>
          </a:solidFill>
          <a:headEnd type="none" w="med" len="med"/>
          <a:tailEnd type="arrow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63498</xdr:colOff>
      <xdr:row>27</xdr:row>
      <xdr:rowOff>109904</xdr:rowOff>
    </xdr:from>
    <xdr:to>
      <xdr:col>1</xdr:col>
      <xdr:colOff>327266</xdr:colOff>
      <xdr:row>29</xdr:row>
      <xdr:rowOff>29307</xdr:rowOff>
    </xdr:to>
    <xdr:sp macro="" textlink="">
      <xdr:nvSpPr>
        <xdr:cNvPr id="183" name="TextBox 182">
          <a:extLst>
            <a:ext uri="{FF2B5EF4-FFF2-40B4-BE49-F238E27FC236}">
              <a16:creationId xmlns:a16="http://schemas.microsoft.com/office/drawing/2014/main" id="{8B843A90-CF94-45D4-86D8-4AEA1B7D0763}"/>
            </a:ext>
          </a:extLst>
        </xdr:cNvPr>
        <xdr:cNvSpPr txBox="1"/>
      </xdr:nvSpPr>
      <xdr:spPr>
        <a:xfrm>
          <a:off x="677331" y="1062404"/>
          <a:ext cx="263768" cy="30040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/>
            <a:t>N</a:t>
          </a:r>
        </a:p>
      </xdr:txBody>
    </xdr:sp>
    <xdr:clientData/>
  </xdr:twoCellAnchor>
  <xdr:twoCellAnchor>
    <xdr:from>
      <xdr:col>3</xdr:col>
      <xdr:colOff>42329</xdr:colOff>
      <xdr:row>24</xdr:row>
      <xdr:rowOff>105831</xdr:rowOff>
    </xdr:from>
    <xdr:to>
      <xdr:col>4</xdr:col>
      <xdr:colOff>444500</xdr:colOff>
      <xdr:row>26</xdr:row>
      <xdr:rowOff>10583</xdr:rowOff>
    </xdr:to>
    <xdr:sp macro="" textlink="">
      <xdr:nvSpPr>
        <xdr:cNvPr id="184" name="TextBox 183">
          <a:extLst>
            <a:ext uri="{FF2B5EF4-FFF2-40B4-BE49-F238E27FC236}">
              <a16:creationId xmlns:a16="http://schemas.microsoft.com/office/drawing/2014/main" id="{2E41EDE5-484E-4255-90B5-C9A6DD962AE1}"/>
            </a:ext>
          </a:extLst>
        </xdr:cNvPr>
        <xdr:cNvSpPr txBox="1"/>
      </xdr:nvSpPr>
      <xdr:spPr>
        <a:xfrm>
          <a:off x="1883829" y="4677831"/>
          <a:ext cx="1016004" cy="28575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/>
            <a:t>SHOPRITE RD</a:t>
          </a:r>
        </a:p>
      </xdr:txBody>
    </xdr:sp>
    <xdr:clientData/>
  </xdr:twoCellAnchor>
  <xdr:twoCellAnchor>
    <xdr:from>
      <xdr:col>4</xdr:col>
      <xdr:colOff>503897</xdr:colOff>
      <xdr:row>31</xdr:row>
      <xdr:rowOff>119945</xdr:rowOff>
    </xdr:from>
    <xdr:to>
      <xdr:col>5</xdr:col>
      <xdr:colOff>612455</xdr:colOff>
      <xdr:row>35</xdr:row>
      <xdr:rowOff>161803</xdr:rowOff>
    </xdr:to>
    <xdr:grpSp>
      <xdr:nvGrpSpPr>
        <xdr:cNvPr id="185" name="Group 184">
          <a:extLst>
            <a:ext uri="{FF2B5EF4-FFF2-40B4-BE49-F238E27FC236}">
              <a16:creationId xmlns:a16="http://schemas.microsoft.com/office/drawing/2014/main" id="{06674F3C-032C-4CBE-B070-2E35F496E0E3}"/>
            </a:ext>
          </a:extLst>
        </xdr:cNvPr>
        <xdr:cNvGrpSpPr/>
      </xdr:nvGrpSpPr>
      <xdr:grpSpPr>
        <a:xfrm rot="6026024">
          <a:off x="2918497" y="6066178"/>
          <a:ext cx="803858" cy="722392"/>
          <a:chOff x="2195534" y="1236134"/>
          <a:chExt cx="719328" cy="705106"/>
        </a:xfrm>
      </xdr:grpSpPr>
      <xdr:grpSp>
        <xdr:nvGrpSpPr>
          <xdr:cNvPr id="186" name="Group 185">
            <a:extLst>
              <a:ext uri="{FF2B5EF4-FFF2-40B4-BE49-F238E27FC236}">
                <a16:creationId xmlns:a16="http://schemas.microsoft.com/office/drawing/2014/main" id="{B30B1AE6-9231-4190-8355-2716A08DF5E5}"/>
              </a:ext>
            </a:extLst>
          </xdr:cNvPr>
          <xdr:cNvGrpSpPr/>
        </xdr:nvGrpSpPr>
        <xdr:grpSpPr>
          <a:xfrm rot="700658">
            <a:off x="2389881" y="1236134"/>
            <a:ext cx="524981" cy="482955"/>
            <a:chOff x="2450637" y="1275213"/>
            <a:chExt cx="482555" cy="458529"/>
          </a:xfrm>
        </xdr:grpSpPr>
        <xdr:cxnSp macro="">
          <xdr:nvCxnSpPr>
            <xdr:cNvPr id="191" name="Straight Connector 190">
              <a:extLst>
                <a:ext uri="{FF2B5EF4-FFF2-40B4-BE49-F238E27FC236}">
                  <a16:creationId xmlns:a16="http://schemas.microsoft.com/office/drawing/2014/main" id="{CCB63EEB-4587-4E19-8234-8BF565763A6E}"/>
                </a:ext>
              </a:extLst>
            </xdr:cNvPr>
            <xdr:cNvCxnSpPr/>
          </xdr:nvCxnSpPr>
          <xdr:spPr>
            <a:xfrm>
              <a:off x="2450637" y="1275213"/>
              <a:ext cx="387645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92" name="Straight Connector 191">
              <a:extLst>
                <a:ext uri="{FF2B5EF4-FFF2-40B4-BE49-F238E27FC236}">
                  <a16:creationId xmlns:a16="http://schemas.microsoft.com/office/drawing/2014/main" id="{6A3FB91F-5868-41FD-A5FB-4A43975595B4}"/>
                </a:ext>
              </a:extLst>
            </xdr:cNvPr>
            <xdr:cNvCxnSpPr/>
          </xdr:nvCxnSpPr>
          <xdr:spPr>
            <a:xfrm flipH="1">
              <a:off x="2833511" y="1639846"/>
              <a:ext cx="99681" cy="90819"/>
            </a:xfrm>
            <a:prstGeom prst="line">
              <a:avLst/>
            </a:prstGeom>
            <a:ln>
              <a:headEnd type="arrow" w="med" len="med"/>
              <a:tailEnd type="non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87" name="Group 186">
            <a:extLst>
              <a:ext uri="{FF2B5EF4-FFF2-40B4-BE49-F238E27FC236}">
                <a16:creationId xmlns:a16="http://schemas.microsoft.com/office/drawing/2014/main" id="{6DA83822-C4A2-4AED-B64D-0982C2D108EC}"/>
              </a:ext>
            </a:extLst>
          </xdr:cNvPr>
          <xdr:cNvGrpSpPr/>
        </xdr:nvGrpSpPr>
        <xdr:grpSpPr>
          <a:xfrm rot="703814">
            <a:off x="2195534" y="1387283"/>
            <a:ext cx="393030" cy="553957"/>
            <a:chOff x="2342298" y="1441598"/>
            <a:chExt cx="393030" cy="548258"/>
          </a:xfrm>
        </xdr:grpSpPr>
        <xdr:cxnSp macro="">
          <xdr:nvCxnSpPr>
            <xdr:cNvPr id="188" name="Straight Connector 187">
              <a:extLst>
                <a:ext uri="{FF2B5EF4-FFF2-40B4-BE49-F238E27FC236}">
                  <a16:creationId xmlns:a16="http://schemas.microsoft.com/office/drawing/2014/main" id="{48E05984-3F31-41B0-BC32-FDA476486354}"/>
                </a:ext>
              </a:extLst>
            </xdr:cNvPr>
            <xdr:cNvCxnSpPr/>
          </xdr:nvCxnSpPr>
          <xdr:spPr>
            <a:xfrm>
              <a:off x="2342298" y="1441598"/>
              <a:ext cx="386622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9" name="Straight Connector 188">
              <a:extLst>
                <a:ext uri="{FF2B5EF4-FFF2-40B4-BE49-F238E27FC236}">
                  <a16:creationId xmlns:a16="http://schemas.microsoft.com/office/drawing/2014/main" id="{DF1A7403-46D5-464D-8180-E81F1B7BB11C}"/>
                </a:ext>
              </a:extLst>
            </xdr:cNvPr>
            <xdr:cNvCxnSpPr/>
          </xdr:nvCxnSpPr>
          <xdr:spPr>
            <a:xfrm flipH="1">
              <a:off x="2635647" y="1899037"/>
              <a:ext cx="99681" cy="9081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</xdr:col>
      <xdr:colOff>32487</xdr:colOff>
      <xdr:row>32</xdr:row>
      <xdr:rowOff>132597</xdr:rowOff>
    </xdr:from>
    <xdr:to>
      <xdr:col>2</xdr:col>
      <xdr:colOff>266693</xdr:colOff>
      <xdr:row>37</xdr:row>
      <xdr:rowOff>353</xdr:rowOff>
    </xdr:to>
    <xdr:grpSp>
      <xdr:nvGrpSpPr>
        <xdr:cNvPr id="202" name="Group 201">
          <a:extLst>
            <a:ext uri="{FF2B5EF4-FFF2-40B4-BE49-F238E27FC236}">
              <a16:creationId xmlns:a16="http://schemas.microsoft.com/office/drawing/2014/main" id="{8755394E-D530-40E2-B986-59A3742D0388}"/>
            </a:ext>
          </a:extLst>
        </xdr:cNvPr>
        <xdr:cNvGrpSpPr/>
      </xdr:nvGrpSpPr>
      <xdr:grpSpPr>
        <a:xfrm rot="16498527">
          <a:off x="660212" y="6214705"/>
          <a:ext cx="820256" cy="848040"/>
          <a:chOff x="2423209" y="1217871"/>
          <a:chExt cx="611058" cy="588603"/>
        </a:xfrm>
      </xdr:grpSpPr>
      <xdr:cxnSp macro="">
        <xdr:nvCxnSpPr>
          <xdr:cNvPr id="206" name="Straight Connector 205">
            <a:extLst>
              <a:ext uri="{FF2B5EF4-FFF2-40B4-BE49-F238E27FC236}">
                <a16:creationId xmlns:a16="http://schemas.microsoft.com/office/drawing/2014/main" id="{FBCC59A2-10D4-400A-9B5D-9C82EF0B4E65}"/>
              </a:ext>
            </a:extLst>
          </xdr:cNvPr>
          <xdr:cNvCxnSpPr/>
        </xdr:nvCxnSpPr>
        <xdr:spPr>
          <a:xfrm>
            <a:off x="2423209" y="1347945"/>
            <a:ext cx="387645" cy="458529"/>
          </a:xfrm>
          <a:prstGeom prst="line">
            <a:avLst/>
          </a:prstGeom>
          <a:ln>
            <a:headEnd type="none" w="med" len="med"/>
            <a:tailEnd type="arrow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7" name="Straight Connector 206">
            <a:extLst>
              <a:ext uri="{FF2B5EF4-FFF2-40B4-BE49-F238E27FC236}">
                <a16:creationId xmlns:a16="http://schemas.microsoft.com/office/drawing/2014/main" id="{1A7B8DB1-0305-4226-B757-5B0E5DA77274}"/>
              </a:ext>
            </a:extLst>
          </xdr:cNvPr>
          <xdr:cNvCxnSpPr/>
        </xdr:nvCxnSpPr>
        <xdr:spPr>
          <a:xfrm>
            <a:off x="2551712" y="1217871"/>
            <a:ext cx="387645" cy="458529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8" name="Straight Connector 207">
            <a:extLst>
              <a:ext uri="{FF2B5EF4-FFF2-40B4-BE49-F238E27FC236}">
                <a16:creationId xmlns:a16="http://schemas.microsoft.com/office/drawing/2014/main" id="{9EF5C880-4EB9-4389-9EE1-949A6AA24654}"/>
              </a:ext>
            </a:extLst>
          </xdr:cNvPr>
          <xdr:cNvCxnSpPr/>
        </xdr:nvCxnSpPr>
        <xdr:spPr>
          <a:xfrm flipH="1">
            <a:off x="2934586" y="1582514"/>
            <a:ext cx="99681" cy="90819"/>
          </a:xfrm>
          <a:prstGeom prst="line">
            <a:avLst/>
          </a:prstGeom>
          <a:ln>
            <a:headEnd type="arrow" w="med" len="med"/>
            <a:tailEnd type="non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347133</xdr:colOff>
      <xdr:row>35</xdr:row>
      <xdr:rowOff>146050</xdr:rowOff>
    </xdr:from>
    <xdr:to>
      <xdr:col>1</xdr:col>
      <xdr:colOff>92319</xdr:colOff>
      <xdr:row>36</xdr:row>
      <xdr:rowOff>190011</xdr:rowOff>
    </xdr:to>
    <xdr:sp macro="" textlink="">
      <xdr:nvSpPr>
        <xdr:cNvPr id="210" name="TextBox 209">
          <a:extLst>
            <a:ext uri="{FF2B5EF4-FFF2-40B4-BE49-F238E27FC236}">
              <a16:creationId xmlns:a16="http://schemas.microsoft.com/office/drawing/2014/main" id="{C74B92F6-F020-40F5-8A5E-D3A590CF591D}"/>
            </a:ext>
          </a:extLst>
        </xdr:cNvPr>
        <xdr:cNvSpPr txBox="1"/>
      </xdr:nvSpPr>
      <xdr:spPr>
        <a:xfrm>
          <a:off x="347133" y="6813550"/>
          <a:ext cx="35901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5</a:t>
          </a:r>
        </a:p>
      </xdr:txBody>
    </xdr:sp>
    <xdr:clientData/>
  </xdr:twoCellAnchor>
  <xdr:twoCellAnchor>
    <xdr:from>
      <xdr:col>0</xdr:col>
      <xdr:colOff>541865</xdr:colOff>
      <xdr:row>36</xdr:row>
      <xdr:rowOff>139702</xdr:rowOff>
    </xdr:from>
    <xdr:to>
      <xdr:col>1</xdr:col>
      <xdr:colOff>116417</xdr:colOff>
      <xdr:row>37</xdr:row>
      <xdr:rowOff>105834</xdr:rowOff>
    </xdr:to>
    <xdr:sp macro="" textlink="">
      <xdr:nvSpPr>
        <xdr:cNvPr id="211" name="TextBox 210">
          <a:extLst>
            <a:ext uri="{FF2B5EF4-FFF2-40B4-BE49-F238E27FC236}">
              <a16:creationId xmlns:a16="http://schemas.microsoft.com/office/drawing/2014/main" id="{7DB36EAC-1A58-47B5-8A12-1D950F8E75C2}"/>
            </a:ext>
          </a:extLst>
        </xdr:cNvPr>
        <xdr:cNvSpPr txBox="1"/>
      </xdr:nvSpPr>
      <xdr:spPr>
        <a:xfrm>
          <a:off x="541865" y="6997702"/>
          <a:ext cx="188385" cy="1566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6</a:t>
          </a:r>
        </a:p>
        <a:p>
          <a:endParaRPr lang="en-US" sz="1000" b="1"/>
        </a:p>
      </xdr:txBody>
    </xdr:sp>
    <xdr:clientData/>
  </xdr:twoCellAnchor>
  <xdr:twoCellAnchor>
    <xdr:from>
      <xdr:col>4</xdr:col>
      <xdr:colOff>84059</xdr:colOff>
      <xdr:row>31</xdr:row>
      <xdr:rowOff>10582</xdr:rowOff>
    </xdr:from>
    <xdr:to>
      <xdr:col>6</xdr:col>
      <xdr:colOff>10584</xdr:colOff>
      <xdr:row>32</xdr:row>
      <xdr:rowOff>114659</xdr:rowOff>
    </xdr:to>
    <xdr:cxnSp macro="">
      <xdr:nvCxnSpPr>
        <xdr:cNvPr id="113" name="Straight Connector 112">
          <a:extLst>
            <a:ext uri="{FF2B5EF4-FFF2-40B4-BE49-F238E27FC236}">
              <a16:creationId xmlns:a16="http://schemas.microsoft.com/office/drawing/2014/main" id="{6F06C689-AF16-4D89-9B90-6C2D1F00034F}"/>
            </a:ext>
          </a:extLst>
        </xdr:cNvPr>
        <xdr:cNvCxnSpPr>
          <a:stCxn id="167" idx="6"/>
        </xdr:cNvCxnSpPr>
      </xdr:nvCxnSpPr>
      <xdr:spPr>
        <a:xfrm flipV="1">
          <a:off x="2539392" y="5916082"/>
          <a:ext cx="1154192" cy="294577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201085</xdr:colOff>
      <xdr:row>51</xdr:row>
      <xdr:rowOff>84667</xdr:rowOff>
    </xdr:from>
    <xdr:to>
      <xdr:col>6</xdr:col>
      <xdr:colOff>529167</xdr:colOff>
      <xdr:row>56</xdr:row>
      <xdr:rowOff>127000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E4165307-6C75-4009-9D44-6F9856B41827}"/>
            </a:ext>
          </a:extLst>
        </xdr:cNvPr>
        <xdr:cNvCxnSpPr/>
      </xdr:nvCxnSpPr>
      <xdr:spPr>
        <a:xfrm flipH="1" flipV="1">
          <a:off x="814918" y="9800167"/>
          <a:ext cx="3397249" cy="994833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108278</xdr:colOff>
      <xdr:row>59</xdr:row>
      <xdr:rowOff>23607</xdr:rowOff>
    </xdr:from>
    <xdr:to>
      <xdr:col>1</xdr:col>
      <xdr:colOff>467297</xdr:colOff>
      <xdr:row>60</xdr:row>
      <xdr:rowOff>67568</xdr:rowOff>
    </xdr:to>
    <xdr:sp macro="" textlink="">
      <xdr:nvSpPr>
        <xdr:cNvPr id="149" name="TextBox 148">
          <a:extLst>
            <a:ext uri="{FF2B5EF4-FFF2-40B4-BE49-F238E27FC236}">
              <a16:creationId xmlns:a16="http://schemas.microsoft.com/office/drawing/2014/main" id="{2DD9B9F9-63D2-4D46-AA4D-7D16CA82E86E}"/>
            </a:ext>
          </a:extLst>
        </xdr:cNvPr>
        <xdr:cNvSpPr txBox="1"/>
      </xdr:nvSpPr>
      <xdr:spPr>
        <a:xfrm>
          <a:off x="722111" y="11263107"/>
          <a:ext cx="35901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3</a:t>
          </a:r>
        </a:p>
      </xdr:txBody>
    </xdr:sp>
    <xdr:clientData/>
  </xdr:twoCellAnchor>
  <xdr:twoCellAnchor>
    <xdr:from>
      <xdr:col>1</xdr:col>
      <xdr:colOff>222250</xdr:colOff>
      <xdr:row>48</xdr:row>
      <xdr:rowOff>21167</xdr:rowOff>
    </xdr:from>
    <xdr:to>
      <xdr:col>6</xdr:col>
      <xdr:colOff>95250</xdr:colOff>
      <xdr:row>61</xdr:row>
      <xdr:rowOff>1</xdr:rowOff>
    </xdr:to>
    <xdr:cxnSp macro="">
      <xdr:nvCxnSpPr>
        <xdr:cNvPr id="150" name="Straight Connector 149">
          <a:extLst>
            <a:ext uri="{FF2B5EF4-FFF2-40B4-BE49-F238E27FC236}">
              <a16:creationId xmlns:a16="http://schemas.microsoft.com/office/drawing/2014/main" id="{A7187AC3-6B74-4ED5-BE31-A06E8885512E}"/>
            </a:ext>
          </a:extLst>
        </xdr:cNvPr>
        <xdr:cNvCxnSpPr/>
      </xdr:nvCxnSpPr>
      <xdr:spPr>
        <a:xfrm flipV="1">
          <a:off x="836083" y="9165167"/>
          <a:ext cx="2942167" cy="2455334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74083</xdr:colOff>
      <xdr:row>55</xdr:row>
      <xdr:rowOff>119350</xdr:rowOff>
    </xdr:from>
    <xdr:to>
      <xdr:col>7</xdr:col>
      <xdr:colOff>571500</xdr:colOff>
      <xdr:row>57</xdr:row>
      <xdr:rowOff>8595</xdr:rowOff>
    </xdr:to>
    <xdr:sp macro="" textlink="">
      <xdr:nvSpPr>
        <xdr:cNvPr id="151" name="TextBox 150">
          <a:extLst>
            <a:ext uri="{FF2B5EF4-FFF2-40B4-BE49-F238E27FC236}">
              <a16:creationId xmlns:a16="http://schemas.microsoft.com/office/drawing/2014/main" id="{22E40615-8AF7-41A4-9909-D37588930D02}"/>
            </a:ext>
          </a:extLst>
        </xdr:cNvPr>
        <xdr:cNvSpPr txBox="1"/>
      </xdr:nvSpPr>
      <xdr:spPr>
        <a:xfrm>
          <a:off x="3757083" y="10596850"/>
          <a:ext cx="1333500" cy="27024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NALUKULONGO</a:t>
          </a:r>
          <a:endParaRPr lang="en-UG">
            <a:effectLst/>
          </a:endParaRPr>
        </a:p>
      </xdr:txBody>
    </xdr:sp>
    <xdr:clientData/>
  </xdr:twoCellAnchor>
  <xdr:twoCellAnchor>
    <xdr:from>
      <xdr:col>0</xdr:col>
      <xdr:colOff>191996</xdr:colOff>
      <xdr:row>60</xdr:row>
      <xdr:rowOff>58243</xdr:rowOff>
    </xdr:from>
    <xdr:to>
      <xdr:col>2</xdr:col>
      <xdr:colOff>42332</xdr:colOff>
      <xdr:row>61</xdr:row>
      <xdr:rowOff>137987</xdr:rowOff>
    </xdr:to>
    <xdr:sp macro="" textlink="">
      <xdr:nvSpPr>
        <xdr:cNvPr id="152" name="TextBox 151">
          <a:extLst>
            <a:ext uri="{FF2B5EF4-FFF2-40B4-BE49-F238E27FC236}">
              <a16:creationId xmlns:a16="http://schemas.microsoft.com/office/drawing/2014/main" id="{6C055FF8-69F0-46EF-BAA0-539E450E71CE}"/>
            </a:ext>
          </a:extLst>
        </xdr:cNvPr>
        <xdr:cNvSpPr txBox="1"/>
      </xdr:nvSpPr>
      <xdr:spPr>
        <a:xfrm>
          <a:off x="191996" y="3106243"/>
          <a:ext cx="1078003" cy="2702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NAKAWUKA RD</a:t>
          </a:r>
          <a:endParaRPr lang="en-UG">
            <a:effectLst/>
          </a:endParaRPr>
        </a:p>
      </xdr:txBody>
    </xdr:sp>
    <xdr:clientData/>
  </xdr:twoCellAnchor>
  <xdr:twoCellAnchor>
    <xdr:from>
      <xdr:col>3</xdr:col>
      <xdr:colOff>538614</xdr:colOff>
      <xdr:row>53</xdr:row>
      <xdr:rowOff>139893</xdr:rowOff>
    </xdr:from>
    <xdr:to>
      <xdr:col>4</xdr:col>
      <xdr:colOff>52310</xdr:colOff>
      <xdr:row>54</xdr:row>
      <xdr:rowOff>68265</xdr:rowOff>
    </xdr:to>
    <xdr:sp macro="" textlink="">
      <xdr:nvSpPr>
        <xdr:cNvPr id="153" name="Oval 152">
          <a:extLst>
            <a:ext uri="{FF2B5EF4-FFF2-40B4-BE49-F238E27FC236}">
              <a16:creationId xmlns:a16="http://schemas.microsoft.com/office/drawing/2014/main" id="{28916E65-7EF9-4C51-BE6A-333F5BA80B5B}"/>
            </a:ext>
          </a:extLst>
        </xdr:cNvPr>
        <xdr:cNvSpPr/>
      </xdr:nvSpPr>
      <xdr:spPr>
        <a:xfrm>
          <a:off x="2380114" y="1854393"/>
          <a:ext cx="127529" cy="118872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273900</xdr:colOff>
      <xdr:row>46</xdr:row>
      <xdr:rowOff>160575</xdr:rowOff>
    </xdr:from>
    <xdr:to>
      <xdr:col>6</xdr:col>
      <xdr:colOff>814916</xdr:colOff>
      <xdr:row>48</xdr:row>
      <xdr:rowOff>47605</xdr:rowOff>
    </xdr:to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D9955641-A839-4E82-907F-B8460D670E66}"/>
            </a:ext>
          </a:extLst>
        </xdr:cNvPr>
        <xdr:cNvSpPr txBox="1"/>
      </xdr:nvSpPr>
      <xdr:spPr>
        <a:xfrm>
          <a:off x="3343067" y="8923575"/>
          <a:ext cx="1154849" cy="26803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aseline="0"/>
            <a:t>WAKALIGA RD</a:t>
          </a:r>
          <a:endParaRPr lang="en-US" sz="1100"/>
        </a:p>
      </xdr:txBody>
    </xdr:sp>
    <xdr:clientData/>
  </xdr:twoCellAnchor>
  <xdr:twoCellAnchor>
    <xdr:from>
      <xdr:col>2</xdr:col>
      <xdr:colOff>131398</xdr:colOff>
      <xdr:row>47</xdr:row>
      <xdr:rowOff>95573</xdr:rowOff>
    </xdr:from>
    <xdr:to>
      <xdr:col>2</xdr:col>
      <xdr:colOff>327597</xdr:colOff>
      <xdr:row>48</xdr:row>
      <xdr:rowOff>139534</xdr:rowOff>
    </xdr:to>
    <xdr:sp macro="" textlink="">
      <xdr:nvSpPr>
        <xdr:cNvPr id="161" name="TextBox 160">
          <a:extLst>
            <a:ext uri="{FF2B5EF4-FFF2-40B4-BE49-F238E27FC236}">
              <a16:creationId xmlns:a16="http://schemas.microsoft.com/office/drawing/2014/main" id="{E453589D-F27F-4DDB-A991-874B96C02E4E}"/>
            </a:ext>
          </a:extLst>
        </xdr:cNvPr>
        <xdr:cNvSpPr txBox="1"/>
      </xdr:nvSpPr>
      <xdr:spPr>
        <a:xfrm>
          <a:off x="1359065" y="9049073"/>
          <a:ext cx="19619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6</a:t>
          </a:r>
        </a:p>
      </xdr:txBody>
    </xdr:sp>
    <xdr:clientData/>
  </xdr:twoCellAnchor>
  <xdr:twoCellAnchor>
    <xdr:from>
      <xdr:col>2</xdr:col>
      <xdr:colOff>20025</xdr:colOff>
      <xdr:row>48</xdr:row>
      <xdr:rowOff>69680</xdr:rowOff>
    </xdr:from>
    <xdr:to>
      <xdr:col>2</xdr:col>
      <xdr:colOff>216224</xdr:colOff>
      <xdr:row>49</xdr:row>
      <xdr:rowOff>113641</xdr:rowOff>
    </xdr:to>
    <xdr:sp macro="" textlink="">
      <xdr:nvSpPr>
        <xdr:cNvPr id="215" name="TextBox 214">
          <a:extLst>
            <a:ext uri="{FF2B5EF4-FFF2-40B4-BE49-F238E27FC236}">
              <a16:creationId xmlns:a16="http://schemas.microsoft.com/office/drawing/2014/main" id="{AA53C701-9ED6-4982-A26A-D5708C9C9381}"/>
            </a:ext>
          </a:extLst>
        </xdr:cNvPr>
        <xdr:cNvSpPr txBox="1"/>
      </xdr:nvSpPr>
      <xdr:spPr>
        <a:xfrm>
          <a:off x="1247692" y="9213680"/>
          <a:ext cx="19619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5</a:t>
          </a:r>
        </a:p>
      </xdr:txBody>
    </xdr:sp>
    <xdr:clientData/>
  </xdr:twoCellAnchor>
  <xdr:twoCellAnchor>
    <xdr:from>
      <xdr:col>2</xdr:col>
      <xdr:colOff>248200</xdr:colOff>
      <xdr:row>48</xdr:row>
      <xdr:rowOff>19519</xdr:rowOff>
    </xdr:from>
    <xdr:to>
      <xdr:col>3</xdr:col>
      <xdr:colOff>461173</xdr:colOff>
      <xdr:row>52</xdr:row>
      <xdr:rowOff>15076</xdr:rowOff>
    </xdr:to>
    <xdr:grpSp>
      <xdr:nvGrpSpPr>
        <xdr:cNvPr id="216" name="Group 215">
          <a:extLst>
            <a:ext uri="{FF2B5EF4-FFF2-40B4-BE49-F238E27FC236}">
              <a16:creationId xmlns:a16="http://schemas.microsoft.com/office/drawing/2014/main" id="{2EEE72F3-6954-400D-9F60-22FDDE6D9CF8}"/>
            </a:ext>
          </a:extLst>
        </xdr:cNvPr>
        <xdr:cNvGrpSpPr/>
      </xdr:nvGrpSpPr>
      <xdr:grpSpPr>
        <a:xfrm rot="19339866">
          <a:off x="1475867" y="9163519"/>
          <a:ext cx="826806" cy="757557"/>
          <a:chOff x="2195534" y="1183683"/>
          <a:chExt cx="826806" cy="757557"/>
        </a:xfrm>
      </xdr:grpSpPr>
      <xdr:grpSp>
        <xdr:nvGrpSpPr>
          <xdr:cNvPr id="217" name="Group 216">
            <a:extLst>
              <a:ext uri="{FF2B5EF4-FFF2-40B4-BE49-F238E27FC236}">
                <a16:creationId xmlns:a16="http://schemas.microsoft.com/office/drawing/2014/main" id="{26293B7E-DA11-4623-AC7F-E1DAC390C9C8}"/>
              </a:ext>
            </a:extLst>
          </xdr:cNvPr>
          <xdr:cNvGrpSpPr/>
        </xdr:nvGrpSpPr>
        <xdr:grpSpPr>
          <a:xfrm rot="700658">
            <a:off x="2357561" y="1183683"/>
            <a:ext cx="664779" cy="619958"/>
            <a:chOff x="2423209" y="1217871"/>
            <a:chExt cx="611058" cy="588603"/>
          </a:xfrm>
        </xdr:grpSpPr>
        <xdr:cxnSp macro="">
          <xdr:nvCxnSpPr>
            <xdr:cNvPr id="222" name="Straight Connector 221">
              <a:extLst>
                <a:ext uri="{FF2B5EF4-FFF2-40B4-BE49-F238E27FC236}">
                  <a16:creationId xmlns:a16="http://schemas.microsoft.com/office/drawing/2014/main" id="{D5632DC3-E4E7-47E9-85E3-7B5883720498}"/>
                </a:ext>
              </a:extLst>
            </xdr:cNvPr>
            <xdr:cNvCxnSpPr/>
          </xdr:nvCxnSpPr>
          <xdr:spPr>
            <a:xfrm>
              <a:off x="2423209" y="1347945"/>
              <a:ext cx="387645" cy="45852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23" name="Straight Connector 222">
              <a:extLst>
                <a:ext uri="{FF2B5EF4-FFF2-40B4-BE49-F238E27FC236}">
                  <a16:creationId xmlns:a16="http://schemas.microsoft.com/office/drawing/2014/main" id="{41EE80A7-EDA6-4C0D-9AF0-831E5666F616}"/>
                </a:ext>
              </a:extLst>
            </xdr:cNvPr>
            <xdr:cNvCxnSpPr/>
          </xdr:nvCxnSpPr>
          <xdr:spPr>
            <a:xfrm>
              <a:off x="2551712" y="1217871"/>
              <a:ext cx="387645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24" name="Straight Connector 223">
              <a:extLst>
                <a:ext uri="{FF2B5EF4-FFF2-40B4-BE49-F238E27FC236}">
                  <a16:creationId xmlns:a16="http://schemas.microsoft.com/office/drawing/2014/main" id="{54E7A880-CE45-4359-BA86-77C4C81AD42E}"/>
                </a:ext>
              </a:extLst>
            </xdr:cNvPr>
            <xdr:cNvCxnSpPr/>
          </xdr:nvCxnSpPr>
          <xdr:spPr>
            <a:xfrm flipH="1">
              <a:off x="2934586" y="1582514"/>
              <a:ext cx="99681" cy="90819"/>
            </a:xfrm>
            <a:prstGeom prst="line">
              <a:avLst/>
            </a:prstGeom>
            <a:ln>
              <a:headEnd type="arrow" w="med" len="med"/>
              <a:tailEnd type="non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18" name="Group 217">
            <a:extLst>
              <a:ext uri="{FF2B5EF4-FFF2-40B4-BE49-F238E27FC236}">
                <a16:creationId xmlns:a16="http://schemas.microsoft.com/office/drawing/2014/main" id="{104AE0DF-B84E-4882-AFCD-B036CDFBC1D5}"/>
              </a:ext>
            </a:extLst>
          </xdr:cNvPr>
          <xdr:cNvGrpSpPr/>
        </xdr:nvGrpSpPr>
        <xdr:grpSpPr>
          <a:xfrm rot="703814">
            <a:off x="2195534" y="1387283"/>
            <a:ext cx="393030" cy="553957"/>
            <a:chOff x="2342298" y="1441598"/>
            <a:chExt cx="393030" cy="548258"/>
          </a:xfrm>
        </xdr:grpSpPr>
        <xdr:cxnSp macro="">
          <xdr:nvCxnSpPr>
            <xdr:cNvPr id="219" name="Straight Connector 218">
              <a:extLst>
                <a:ext uri="{FF2B5EF4-FFF2-40B4-BE49-F238E27FC236}">
                  <a16:creationId xmlns:a16="http://schemas.microsoft.com/office/drawing/2014/main" id="{DFA84EC7-7012-4C0A-ABF9-BD97C4BA1C0C}"/>
                </a:ext>
              </a:extLst>
            </xdr:cNvPr>
            <xdr:cNvCxnSpPr/>
          </xdr:nvCxnSpPr>
          <xdr:spPr>
            <a:xfrm>
              <a:off x="2342298" y="1441598"/>
              <a:ext cx="386622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21" name="Straight Connector 220">
              <a:extLst>
                <a:ext uri="{FF2B5EF4-FFF2-40B4-BE49-F238E27FC236}">
                  <a16:creationId xmlns:a16="http://schemas.microsoft.com/office/drawing/2014/main" id="{9939286A-72C7-4CAA-AFD5-553704DD5602}"/>
                </a:ext>
              </a:extLst>
            </xdr:cNvPr>
            <xdr:cNvCxnSpPr/>
          </xdr:nvCxnSpPr>
          <xdr:spPr>
            <a:xfrm flipH="1">
              <a:off x="2635647" y="1899037"/>
              <a:ext cx="99681" cy="9081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6</xdr:col>
      <xdr:colOff>74406</xdr:colOff>
      <xdr:row>49</xdr:row>
      <xdr:rowOff>119186</xdr:rowOff>
    </xdr:from>
    <xdr:to>
      <xdr:col>6</xdr:col>
      <xdr:colOff>264906</xdr:colOff>
      <xdr:row>50</xdr:row>
      <xdr:rowOff>163147</xdr:rowOff>
    </xdr:to>
    <xdr:sp macro="" textlink="">
      <xdr:nvSpPr>
        <xdr:cNvPr id="225" name="TextBox 224">
          <a:extLst>
            <a:ext uri="{FF2B5EF4-FFF2-40B4-BE49-F238E27FC236}">
              <a16:creationId xmlns:a16="http://schemas.microsoft.com/office/drawing/2014/main" id="{98B4CEF7-0F04-4BA5-8DC9-B5E882C5C0BF}"/>
            </a:ext>
          </a:extLst>
        </xdr:cNvPr>
        <xdr:cNvSpPr txBox="1"/>
      </xdr:nvSpPr>
      <xdr:spPr>
        <a:xfrm>
          <a:off x="3757406" y="9453686"/>
          <a:ext cx="190500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8</a:t>
          </a:r>
        </a:p>
      </xdr:txBody>
    </xdr:sp>
    <xdr:clientData/>
  </xdr:twoCellAnchor>
  <xdr:twoCellAnchor>
    <xdr:from>
      <xdr:col>5</xdr:col>
      <xdr:colOff>555862</xdr:colOff>
      <xdr:row>48</xdr:row>
      <xdr:rowOff>165915</xdr:rowOff>
    </xdr:from>
    <xdr:to>
      <xdr:col>6</xdr:col>
      <xdr:colOff>138228</xdr:colOff>
      <xdr:row>50</xdr:row>
      <xdr:rowOff>19376</xdr:rowOff>
    </xdr:to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644F96AF-01BC-4946-B4F6-D25B8C638A03}"/>
            </a:ext>
          </a:extLst>
        </xdr:cNvPr>
        <xdr:cNvSpPr txBox="1"/>
      </xdr:nvSpPr>
      <xdr:spPr>
        <a:xfrm>
          <a:off x="3625029" y="9309915"/>
          <a:ext cx="19619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7</a:t>
          </a:r>
        </a:p>
      </xdr:txBody>
    </xdr:sp>
    <xdr:clientData/>
  </xdr:twoCellAnchor>
  <xdr:twoCellAnchor>
    <xdr:from>
      <xdr:col>1</xdr:col>
      <xdr:colOff>508002</xdr:colOff>
      <xdr:row>49</xdr:row>
      <xdr:rowOff>63501</xdr:rowOff>
    </xdr:from>
    <xdr:to>
      <xdr:col>2</xdr:col>
      <xdr:colOff>182205</xdr:colOff>
      <xdr:row>50</xdr:row>
      <xdr:rowOff>27517</xdr:rowOff>
    </xdr:to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B768C46A-A2ED-4E7E-945E-CA2084CEDE0C}"/>
            </a:ext>
          </a:extLst>
        </xdr:cNvPr>
        <xdr:cNvSpPr txBox="1"/>
      </xdr:nvSpPr>
      <xdr:spPr>
        <a:xfrm>
          <a:off x="1121835" y="9398001"/>
          <a:ext cx="288037" cy="15451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4</a:t>
          </a:r>
        </a:p>
      </xdr:txBody>
    </xdr:sp>
    <xdr:clientData/>
  </xdr:twoCellAnchor>
  <xdr:twoCellAnchor>
    <xdr:from>
      <xdr:col>0</xdr:col>
      <xdr:colOff>318314</xdr:colOff>
      <xdr:row>47</xdr:row>
      <xdr:rowOff>98506</xdr:rowOff>
    </xdr:from>
    <xdr:to>
      <xdr:col>0</xdr:col>
      <xdr:colOff>318314</xdr:colOff>
      <xdr:row>51</xdr:row>
      <xdr:rowOff>3256</xdr:rowOff>
    </xdr:to>
    <xdr:cxnSp macro="">
      <xdr:nvCxnSpPr>
        <xdr:cNvPr id="228" name="Straight Arrow Connector 227">
          <a:extLst>
            <a:ext uri="{FF2B5EF4-FFF2-40B4-BE49-F238E27FC236}">
              <a16:creationId xmlns:a16="http://schemas.microsoft.com/office/drawing/2014/main" id="{59B7895F-8A79-4EA1-9F01-B98E27A9B4FF}"/>
            </a:ext>
          </a:extLst>
        </xdr:cNvPr>
        <xdr:cNvCxnSpPr/>
      </xdr:nvCxnSpPr>
      <xdr:spPr>
        <a:xfrm flipV="1">
          <a:off x="318314" y="9052006"/>
          <a:ext cx="0" cy="666750"/>
        </a:xfrm>
        <a:prstGeom prst="straightConnector1">
          <a:avLst/>
        </a:prstGeom>
        <a:ln w="57150">
          <a:solidFill>
            <a:schemeClr val="tx1"/>
          </a:solidFill>
          <a:headEnd type="none" w="med" len="med"/>
          <a:tailEnd type="arrow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137581</xdr:colOff>
      <xdr:row>45</xdr:row>
      <xdr:rowOff>183987</xdr:rowOff>
    </xdr:from>
    <xdr:to>
      <xdr:col>0</xdr:col>
      <xdr:colOff>401349</xdr:colOff>
      <xdr:row>47</xdr:row>
      <xdr:rowOff>103390</xdr:rowOff>
    </xdr:to>
    <xdr:sp macro="" textlink="">
      <xdr:nvSpPr>
        <xdr:cNvPr id="229" name="TextBox 228">
          <a:extLst>
            <a:ext uri="{FF2B5EF4-FFF2-40B4-BE49-F238E27FC236}">
              <a16:creationId xmlns:a16="http://schemas.microsoft.com/office/drawing/2014/main" id="{8F2883A3-7149-472C-B167-23FE8CFF83CC}"/>
            </a:ext>
          </a:extLst>
        </xdr:cNvPr>
        <xdr:cNvSpPr txBox="1"/>
      </xdr:nvSpPr>
      <xdr:spPr>
        <a:xfrm>
          <a:off x="137581" y="8756487"/>
          <a:ext cx="263768" cy="30040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/>
            <a:t>N</a:t>
          </a:r>
        </a:p>
      </xdr:txBody>
    </xdr:sp>
    <xdr:clientData/>
  </xdr:twoCellAnchor>
  <xdr:twoCellAnchor>
    <xdr:from>
      <xdr:col>0</xdr:col>
      <xdr:colOff>455080</xdr:colOff>
      <xdr:row>50</xdr:row>
      <xdr:rowOff>84664</xdr:rowOff>
    </xdr:from>
    <xdr:to>
      <xdr:col>2</xdr:col>
      <xdr:colOff>243417</xdr:colOff>
      <xdr:row>51</xdr:row>
      <xdr:rowOff>95250</xdr:rowOff>
    </xdr:to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E3E3C036-14C5-468F-9489-2692960D4A3B}"/>
            </a:ext>
          </a:extLst>
        </xdr:cNvPr>
        <xdr:cNvSpPr txBox="1"/>
      </xdr:nvSpPr>
      <xdr:spPr>
        <a:xfrm>
          <a:off x="455080" y="9609664"/>
          <a:ext cx="1016004" cy="2010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/>
            <a:t>BUSEGA</a:t>
          </a:r>
        </a:p>
      </xdr:txBody>
    </xdr:sp>
    <xdr:clientData/>
  </xdr:twoCellAnchor>
  <xdr:twoCellAnchor>
    <xdr:from>
      <xdr:col>5</xdr:col>
      <xdr:colOff>87542</xdr:colOff>
      <xdr:row>49</xdr:row>
      <xdr:rowOff>155876</xdr:rowOff>
    </xdr:from>
    <xdr:to>
      <xdr:col>6</xdr:col>
      <xdr:colOff>231266</xdr:colOff>
      <xdr:row>54</xdr:row>
      <xdr:rowOff>30182</xdr:rowOff>
    </xdr:to>
    <xdr:grpSp>
      <xdr:nvGrpSpPr>
        <xdr:cNvPr id="231" name="Group 230">
          <a:extLst>
            <a:ext uri="{FF2B5EF4-FFF2-40B4-BE49-F238E27FC236}">
              <a16:creationId xmlns:a16="http://schemas.microsoft.com/office/drawing/2014/main" id="{E646ED04-4AFE-4E4F-8AB9-ADA46AB5FEA6}"/>
            </a:ext>
          </a:extLst>
        </xdr:cNvPr>
        <xdr:cNvGrpSpPr/>
      </xdr:nvGrpSpPr>
      <xdr:grpSpPr>
        <a:xfrm rot="4617827">
          <a:off x="3122085" y="9525000"/>
          <a:ext cx="826806" cy="757557"/>
          <a:chOff x="2195534" y="1183683"/>
          <a:chExt cx="826806" cy="757557"/>
        </a:xfrm>
      </xdr:grpSpPr>
      <xdr:grpSp>
        <xdr:nvGrpSpPr>
          <xdr:cNvPr id="232" name="Group 231">
            <a:extLst>
              <a:ext uri="{FF2B5EF4-FFF2-40B4-BE49-F238E27FC236}">
                <a16:creationId xmlns:a16="http://schemas.microsoft.com/office/drawing/2014/main" id="{0071A797-0926-4984-ACC9-60FF945F9915}"/>
              </a:ext>
            </a:extLst>
          </xdr:cNvPr>
          <xdr:cNvGrpSpPr/>
        </xdr:nvGrpSpPr>
        <xdr:grpSpPr>
          <a:xfrm rot="700658">
            <a:off x="2357561" y="1183683"/>
            <a:ext cx="664779" cy="619958"/>
            <a:chOff x="2423209" y="1217871"/>
            <a:chExt cx="611058" cy="588603"/>
          </a:xfrm>
        </xdr:grpSpPr>
        <xdr:cxnSp macro="">
          <xdr:nvCxnSpPr>
            <xdr:cNvPr id="236" name="Straight Connector 235">
              <a:extLst>
                <a:ext uri="{FF2B5EF4-FFF2-40B4-BE49-F238E27FC236}">
                  <a16:creationId xmlns:a16="http://schemas.microsoft.com/office/drawing/2014/main" id="{BEDD044B-27C8-4FE8-A1EC-E2DE313E90BA}"/>
                </a:ext>
              </a:extLst>
            </xdr:cNvPr>
            <xdr:cNvCxnSpPr/>
          </xdr:nvCxnSpPr>
          <xdr:spPr>
            <a:xfrm>
              <a:off x="2423209" y="1347945"/>
              <a:ext cx="387645" cy="45852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37" name="Straight Connector 236">
              <a:extLst>
                <a:ext uri="{FF2B5EF4-FFF2-40B4-BE49-F238E27FC236}">
                  <a16:creationId xmlns:a16="http://schemas.microsoft.com/office/drawing/2014/main" id="{B36AC1DF-20B9-4E63-93DF-DCBD520094F9}"/>
                </a:ext>
              </a:extLst>
            </xdr:cNvPr>
            <xdr:cNvCxnSpPr/>
          </xdr:nvCxnSpPr>
          <xdr:spPr>
            <a:xfrm>
              <a:off x="2551712" y="1217871"/>
              <a:ext cx="387645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38" name="Straight Connector 237">
              <a:extLst>
                <a:ext uri="{FF2B5EF4-FFF2-40B4-BE49-F238E27FC236}">
                  <a16:creationId xmlns:a16="http://schemas.microsoft.com/office/drawing/2014/main" id="{9C359DB5-0024-4272-BAC0-DDC8358ADBB3}"/>
                </a:ext>
              </a:extLst>
            </xdr:cNvPr>
            <xdr:cNvCxnSpPr/>
          </xdr:nvCxnSpPr>
          <xdr:spPr>
            <a:xfrm flipH="1">
              <a:off x="2934586" y="1582514"/>
              <a:ext cx="99681" cy="90819"/>
            </a:xfrm>
            <a:prstGeom prst="line">
              <a:avLst/>
            </a:prstGeom>
            <a:ln>
              <a:headEnd type="arrow" w="med" len="med"/>
              <a:tailEnd type="non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33" name="Group 232">
            <a:extLst>
              <a:ext uri="{FF2B5EF4-FFF2-40B4-BE49-F238E27FC236}">
                <a16:creationId xmlns:a16="http://schemas.microsoft.com/office/drawing/2014/main" id="{4A4C70E8-4BE2-4BE5-90B9-156EEEAB71C5}"/>
              </a:ext>
            </a:extLst>
          </xdr:cNvPr>
          <xdr:cNvGrpSpPr/>
        </xdr:nvGrpSpPr>
        <xdr:grpSpPr>
          <a:xfrm rot="703814">
            <a:off x="2195534" y="1387283"/>
            <a:ext cx="393030" cy="553957"/>
            <a:chOff x="2342298" y="1441598"/>
            <a:chExt cx="393030" cy="548258"/>
          </a:xfrm>
        </xdr:grpSpPr>
        <xdr:cxnSp macro="">
          <xdr:nvCxnSpPr>
            <xdr:cNvPr id="234" name="Straight Connector 233">
              <a:extLst>
                <a:ext uri="{FF2B5EF4-FFF2-40B4-BE49-F238E27FC236}">
                  <a16:creationId xmlns:a16="http://schemas.microsoft.com/office/drawing/2014/main" id="{53EBFC0F-35FF-4044-9D4A-D5F7EE566408}"/>
                </a:ext>
              </a:extLst>
            </xdr:cNvPr>
            <xdr:cNvCxnSpPr/>
          </xdr:nvCxnSpPr>
          <xdr:spPr>
            <a:xfrm>
              <a:off x="2342298" y="1441598"/>
              <a:ext cx="386622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35" name="Straight Connector 234">
              <a:extLst>
                <a:ext uri="{FF2B5EF4-FFF2-40B4-BE49-F238E27FC236}">
                  <a16:creationId xmlns:a16="http://schemas.microsoft.com/office/drawing/2014/main" id="{273F697C-6F0F-4F63-92B5-7D8928BE4554}"/>
                </a:ext>
              </a:extLst>
            </xdr:cNvPr>
            <xdr:cNvCxnSpPr/>
          </xdr:nvCxnSpPr>
          <xdr:spPr>
            <a:xfrm flipH="1">
              <a:off x="2635647" y="1899037"/>
              <a:ext cx="99681" cy="9081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134845</xdr:colOff>
      <xdr:row>55</xdr:row>
      <xdr:rowOff>112346</xdr:rowOff>
    </xdr:from>
    <xdr:to>
      <xdr:col>5</xdr:col>
      <xdr:colOff>399249</xdr:colOff>
      <xdr:row>60</xdr:row>
      <xdr:rowOff>125795</xdr:rowOff>
    </xdr:to>
    <xdr:grpSp>
      <xdr:nvGrpSpPr>
        <xdr:cNvPr id="239" name="Group 238">
          <a:extLst>
            <a:ext uri="{FF2B5EF4-FFF2-40B4-BE49-F238E27FC236}">
              <a16:creationId xmlns:a16="http://schemas.microsoft.com/office/drawing/2014/main" id="{8973B4D5-C640-480D-BF55-1A37C19D1795}"/>
            </a:ext>
          </a:extLst>
        </xdr:cNvPr>
        <xdr:cNvGrpSpPr/>
      </xdr:nvGrpSpPr>
      <xdr:grpSpPr>
        <a:xfrm rot="7902440">
          <a:off x="2546322" y="10633702"/>
          <a:ext cx="965949" cy="878238"/>
          <a:chOff x="2195534" y="1183683"/>
          <a:chExt cx="826806" cy="757557"/>
        </a:xfrm>
      </xdr:grpSpPr>
      <xdr:grpSp>
        <xdr:nvGrpSpPr>
          <xdr:cNvPr id="240" name="Group 239">
            <a:extLst>
              <a:ext uri="{FF2B5EF4-FFF2-40B4-BE49-F238E27FC236}">
                <a16:creationId xmlns:a16="http://schemas.microsoft.com/office/drawing/2014/main" id="{3E0834ED-47F8-4ACF-97CF-F2ECC2748F74}"/>
              </a:ext>
            </a:extLst>
          </xdr:cNvPr>
          <xdr:cNvGrpSpPr/>
        </xdr:nvGrpSpPr>
        <xdr:grpSpPr>
          <a:xfrm rot="700658">
            <a:off x="2357561" y="1183683"/>
            <a:ext cx="664779" cy="619958"/>
            <a:chOff x="2423209" y="1217871"/>
            <a:chExt cx="611058" cy="588603"/>
          </a:xfrm>
        </xdr:grpSpPr>
        <xdr:cxnSp macro="">
          <xdr:nvCxnSpPr>
            <xdr:cNvPr id="244" name="Straight Connector 243">
              <a:extLst>
                <a:ext uri="{FF2B5EF4-FFF2-40B4-BE49-F238E27FC236}">
                  <a16:creationId xmlns:a16="http://schemas.microsoft.com/office/drawing/2014/main" id="{75CFECC7-2487-4EE3-AAA8-A5372A588BC3}"/>
                </a:ext>
              </a:extLst>
            </xdr:cNvPr>
            <xdr:cNvCxnSpPr/>
          </xdr:nvCxnSpPr>
          <xdr:spPr>
            <a:xfrm>
              <a:off x="2423209" y="1347945"/>
              <a:ext cx="387645" cy="45852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45" name="Straight Connector 244">
              <a:extLst>
                <a:ext uri="{FF2B5EF4-FFF2-40B4-BE49-F238E27FC236}">
                  <a16:creationId xmlns:a16="http://schemas.microsoft.com/office/drawing/2014/main" id="{207832A8-1035-4796-ACB4-3ECA7D9EFD31}"/>
                </a:ext>
              </a:extLst>
            </xdr:cNvPr>
            <xdr:cNvCxnSpPr/>
          </xdr:nvCxnSpPr>
          <xdr:spPr>
            <a:xfrm>
              <a:off x="2551712" y="1217871"/>
              <a:ext cx="387645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46" name="Straight Connector 245">
              <a:extLst>
                <a:ext uri="{FF2B5EF4-FFF2-40B4-BE49-F238E27FC236}">
                  <a16:creationId xmlns:a16="http://schemas.microsoft.com/office/drawing/2014/main" id="{F513D9B1-FAD9-4651-A18D-0165314E5BBC}"/>
                </a:ext>
              </a:extLst>
            </xdr:cNvPr>
            <xdr:cNvCxnSpPr/>
          </xdr:nvCxnSpPr>
          <xdr:spPr>
            <a:xfrm flipH="1">
              <a:off x="2934586" y="1582514"/>
              <a:ext cx="99681" cy="90819"/>
            </a:xfrm>
            <a:prstGeom prst="line">
              <a:avLst/>
            </a:prstGeom>
            <a:ln>
              <a:headEnd type="arrow" w="med" len="med"/>
              <a:tailEnd type="non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41" name="Group 240">
            <a:extLst>
              <a:ext uri="{FF2B5EF4-FFF2-40B4-BE49-F238E27FC236}">
                <a16:creationId xmlns:a16="http://schemas.microsoft.com/office/drawing/2014/main" id="{6A488401-48ED-4BB0-B23D-41F8998084AD}"/>
              </a:ext>
            </a:extLst>
          </xdr:cNvPr>
          <xdr:cNvGrpSpPr/>
        </xdr:nvGrpSpPr>
        <xdr:grpSpPr>
          <a:xfrm rot="703814">
            <a:off x="2195534" y="1387283"/>
            <a:ext cx="393030" cy="553957"/>
            <a:chOff x="2342298" y="1441598"/>
            <a:chExt cx="393030" cy="548258"/>
          </a:xfrm>
        </xdr:grpSpPr>
        <xdr:cxnSp macro="">
          <xdr:nvCxnSpPr>
            <xdr:cNvPr id="242" name="Straight Connector 241">
              <a:extLst>
                <a:ext uri="{FF2B5EF4-FFF2-40B4-BE49-F238E27FC236}">
                  <a16:creationId xmlns:a16="http://schemas.microsoft.com/office/drawing/2014/main" id="{099E6E7C-ED0D-4545-8CF2-3F3B0E25C57D}"/>
                </a:ext>
              </a:extLst>
            </xdr:cNvPr>
            <xdr:cNvCxnSpPr/>
          </xdr:nvCxnSpPr>
          <xdr:spPr>
            <a:xfrm>
              <a:off x="2342298" y="1441598"/>
              <a:ext cx="386622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43" name="Straight Connector 242">
              <a:extLst>
                <a:ext uri="{FF2B5EF4-FFF2-40B4-BE49-F238E27FC236}">
                  <a16:creationId xmlns:a16="http://schemas.microsoft.com/office/drawing/2014/main" id="{107BF8BE-BAFF-4BDA-94FC-5672B26845B2}"/>
                </a:ext>
              </a:extLst>
            </xdr:cNvPr>
            <xdr:cNvCxnSpPr/>
          </xdr:nvCxnSpPr>
          <xdr:spPr>
            <a:xfrm flipH="1">
              <a:off x="2635647" y="1899037"/>
              <a:ext cx="99681" cy="9081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0</xdr:col>
      <xdr:colOff>368299</xdr:colOff>
      <xdr:row>57</xdr:row>
      <xdr:rowOff>93133</xdr:rowOff>
    </xdr:from>
    <xdr:to>
      <xdr:col>1</xdr:col>
      <xdr:colOff>113485</xdr:colOff>
      <xdr:row>58</xdr:row>
      <xdr:rowOff>137094</xdr:rowOff>
    </xdr:to>
    <xdr:sp macro="" textlink="">
      <xdr:nvSpPr>
        <xdr:cNvPr id="256" name="TextBox 255">
          <a:extLst>
            <a:ext uri="{FF2B5EF4-FFF2-40B4-BE49-F238E27FC236}">
              <a16:creationId xmlns:a16="http://schemas.microsoft.com/office/drawing/2014/main" id="{7368EB86-D81B-4D1C-B708-9FABB7BC2468}"/>
            </a:ext>
          </a:extLst>
        </xdr:cNvPr>
        <xdr:cNvSpPr txBox="1"/>
      </xdr:nvSpPr>
      <xdr:spPr>
        <a:xfrm>
          <a:off x="368299" y="10951633"/>
          <a:ext cx="35901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1</a:t>
          </a:r>
        </a:p>
      </xdr:txBody>
    </xdr:sp>
    <xdr:clientData/>
  </xdr:twoCellAnchor>
  <xdr:twoCellAnchor>
    <xdr:from>
      <xdr:col>0</xdr:col>
      <xdr:colOff>541865</xdr:colOff>
      <xdr:row>58</xdr:row>
      <xdr:rowOff>55033</xdr:rowOff>
    </xdr:from>
    <xdr:to>
      <xdr:col>1</xdr:col>
      <xdr:colOff>287051</xdr:colOff>
      <xdr:row>59</xdr:row>
      <xdr:rowOff>98994</xdr:rowOff>
    </xdr:to>
    <xdr:sp macro="" textlink="">
      <xdr:nvSpPr>
        <xdr:cNvPr id="257" name="TextBox 256">
          <a:extLst>
            <a:ext uri="{FF2B5EF4-FFF2-40B4-BE49-F238E27FC236}">
              <a16:creationId xmlns:a16="http://schemas.microsoft.com/office/drawing/2014/main" id="{49FD3770-34FF-46B3-952F-7C4A6BFEE098}"/>
            </a:ext>
          </a:extLst>
        </xdr:cNvPr>
        <xdr:cNvSpPr txBox="1"/>
      </xdr:nvSpPr>
      <xdr:spPr>
        <a:xfrm>
          <a:off x="541865" y="11104033"/>
          <a:ext cx="35901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2</a:t>
          </a:r>
        </a:p>
      </xdr:txBody>
    </xdr:sp>
    <xdr:clientData/>
  </xdr:twoCellAnchor>
  <xdr:twoCellAnchor>
    <xdr:from>
      <xdr:col>5</xdr:col>
      <xdr:colOff>218015</xdr:colOff>
      <xdr:row>59</xdr:row>
      <xdr:rowOff>91016</xdr:rowOff>
    </xdr:from>
    <xdr:to>
      <xdr:col>5</xdr:col>
      <xdr:colOff>577034</xdr:colOff>
      <xdr:row>60</xdr:row>
      <xdr:rowOff>134977</xdr:rowOff>
    </xdr:to>
    <xdr:sp macro="" textlink="">
      <xdr:nvSpPr>
        <xdr:cNvPr id="258" name="TextBox 257">
          <a:extLst>
            <a:ext uri="{FF2B5EF4-FFF2-40B4-BE49-F238E27FC236}">
              <a16:creationId xmlns:a16="http://schemas.microsoft.com/office/drawing/2014/main" id="{7D348E4D-FE8F-49EA-A488-482222B77905}"/>
            </a:ext>
          </a:extLst>
        </xdr:cNvPr>
        <xdr:cNvSpPr txBox="1"/>
      </xdr:nvSpPr>
      <xdr:spPr>
        <a:xfrm>
          <a:off x="3287182" y="11330516"/>
          <a:ext cx="359019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12</a:t>
          </a:r>
        </a:p>
      </xdr:txBody>
    </xdr:sp>
    <xdr:clientData/>
  </xdr:twoCellAnchor>
  <xdr:twoCellAnchor>
    <xdr:from>
      <xdr:col>5</xdr:col>
      <xdr:colOff>338666</xdr:colOff>
      <xdr:row>58</xdr:row>
      <xdr:rowOff>42334</xdr:rowOff>
    </xdr:from>
    <xdr:to>
      <xdr:col>6</xdr:col>
      <xdr:colOff>42332</xdr:colOff>
      <xdr:row>59</xdr:row>
      <xdr:rowOff>84667</xdr:rowOff>
    </xdr:to>
    <xdr:sp macro="" textlink="">
      <xdr:nvSpPr>
        <xdr:cNvPr id="259" name="TextBox 258">
          <a:extLst>
            <a:ext uri="{FF2B5EF4-FFF2-40B4-BE49-F238E27FC236}">
              <a16:creationId xmlns:a16="http://schemas.microsoft.com/office/drawing/2014/main" id="{75289F53-3D5F-4BF0-A52A-20330B7D6BF7}"/>
            </a:ext>
          </a:extLst>
        </xdr:cNvPr>
        <xdr:cNvSpPr txBox="1"/>
      </xdr:nvSpPr>
      <xdr:spPr>
        <a:xfrm>
          <a:off x="3407833" y="11091334"/>
          <a:ext cx="317499" cy="23283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11</a:t>
          </a:r>
        </a:p>
      </xdr:txBody>
    </xdr:sp>
    <xdr:clientData/>
  </xdr:twoCellAnchor>
  <xdr:twoCellAnchor>
    <xdr:from>
      <xdr:col>5</xdr:col>
      <xdr:colOff>406399</xdr:colOff>
      <xdr:row>56</xdr:row>
      <xdr:rowOff>116417</xdr:rowOff>
    </xdr:from>
    <xdr:to>
      <xdr:col>6</xdr:col>
      <xdr:colOff>158750</xdr:colOff>
      <xdr:row>57</xdr:row>
      <xdr:rowOff>143444</xdr:rowOff>
    </xdr:to>
    <xdr:sp macro="" textlink="">
      <xdr:nvSpPr>
        <xdr:cNvPr id="260" name="TextBox 259">
          <a:extLst>
            <a:ext uri="{FF2B5EF4-FFF2-40B4-BE49-F238E27FC236}">
              <a16:creationId xmlns:a16="http://schemas.microsoft.com/office/drawing/2014/main" id="{5BB4F78A-4195-4E40-B4CD-1085B70C7637}"/>
            </a:ext>
          </a:extLst>
        </xdr:cNvPr>
        <xdr:cNvSpPr txBox="1"/>
      </xdr:nvSpPr>
      <xdr:spPr>
        <a:xfrm>
          <a:off x="3475566" y="10784417"/>
          <a:ext cx="366184" cy="2175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10</a:t>
          </a:r>
        </a:p>
      </xdr:txBody>
    </xdr:sp>
    <xdr:clientData/>
  </xdr:twoCellAnchor>
  <xdr:twoCellAnchor>
    <xdr:from>
      <xdr:col>1</xdr:col>
      <xdr:colOff>34625</xdr:colOff>
      <xdr:row>54</xdr:row>
      <xdr:rowOff>155875</xdr:rowOff>
    </xdr:from>
    <xdr:to>
      <xdr:col>2</xdr:col>
      <xdr:colOff>178348</xdr:colOff>
      <xdr:row>59</xdr:row>
      <xdr:rowOff>30181</xdr:rowOff>
    </xdr:to>
    <xdr:grpSp>
      <xdr:nvGrpSpPr>
        <xdr:cNvPr id="261" name="Group 260">
          <a:extLst>
            <a:ext uri="{FF2B5EF4-FFF2-40B4-BE49-F238E27FC236}">
              <a16:creationId xmlns:a16="http://schemas.microsoft.com/office/drawing/2014/main" id="{A777FC57-B5CD-4910-B349-3996C72D74CE}"/>
            </a:ext>
          </a:extLst>
        </xdr:cNvPr>
        <xdr:cNvGrpSpPr/>
      </xdr:nvGrpSpPr>
      <xdr:grpSpPr>
        <a:xfrm rot="15376120">
          <a:off x="613834" y="10477499"/>
          <a:ext cx="826806" cy="757557"/>
          <a:chOff x="2195534" y="1183683"/>
          <a:chExt cx="826806" cy="757557"/>
        </a:xfrm>
      </xdr:grpSpPr>
      <xdr:grpSp>
        <xdr:nvGrpSpPr>
          <xdr:cNvPr id="262" name="Group 261">
            <a:extLst>
              <a:ext uri="{FF2B5EF4-FFF2-40B4-BE49-F238E27FC236}">
                <a16:creationId xmlns:a16="http://schemas.microsoft.com/office/drawing/2014/main" id="{0B735E44-3299-4BAA-9784-9A48A26CDAD1}"/>
              </a:ext>
            </a:extLst>
          </xdr:cNvPr>
          <xdr:cNvGrpSpPr/>
        </xdr:nvGrpSpPr>
        <xdr:grpSpPr>
          <a:xfrm rot="700658">
            <a:off x="2357561" y="1183683"/>
            <a:ext cx="664779" cy="619958"/>
            <a:chOff x="2423209" y="1217871"/>
            <a:chExt cx="611058" cy="588603"/>
          </a:xfrm>
        </xdr:grpSpPr>
        <xdr:cxnSp macro="">
          <xdr:nvCxnSpPr>
            <xdr:cNvPr id="266" name="Straight Connector 265">
              <a:extLst>
                <a:ext uri="{FF2B5EF4-FFF2-40B4-BE49-F238E27FC236}">
                  <a16:creationId xmlns:a16="http://schemas.microsoft.com/office/drawing/2014/main" id="{99C6E9C2-E840-47F9-B9A1-F2A5BB79F7AC}"/>
                </a:ext>
              </a:extLst>
            </xdr:cNvPr>
            <xdr:cNvCxnSpPr/>
          </xdr:nvCxnSpPr>
          <xdr:spPr>
            <a:xfrm>
              <a:off x="2423209" y="1347945"/>
              <a:ext cx="387645" cy="45852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7" name="Straight Connector 266">
              <a:extLst>
                <a:ext uri="{FF2B5EF4-FFF2-40B4-BE49-F238E27FC236}">
                  <a16:creationId xmlns:a16="http://schemas.microsoft.com/office/drawing/2014/main" id="{25DF2DD1-545D-48C4-9982-D9BE1E8A9F9D}"/>
                </a:ext>
              </a:extLst>
            </xdr:cNvPr>
            <xdr:cNvCxnSpPr/>
          </xdr:nvCxnSpPr>
          <xdr:spPr>
            <a:xfrm>
              <a:off x="2551712" y="1217871"/>
              <a:ext cx="387645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8" name="Straight Connector 267">
              <a:extLst>
                <a:ext uri="{FF2B5EF4-FFF2-40B4-BE49-F238E27FC236}">
                  <a16:creationId xmlns:a16="http://schemas.microsoft.com/office/drawing/2014/main" id="{4603F335-9B64-42C3-8123-09A928B1C365}"/>
                </a:ext>
              </a:extLst>
            </xdr:cNvPr>
            <xdr:cNvCxnSpPr/>
          </xdr:nvCxnSpPr>
          <xdr:spPr>
            <a:xfrm flipH="1">
              <a:off x="2934586" y="1582514"/>
              <a:ext cx="99681" cy="90819"/>
            </a:xfrm>
            <a:prstGeom prst="line">
              <a:avLst/>
            </a:prstGeom>
            <a:ln>
              <a:headEnd type="arrow" w="med" len="med"/>
              <a:tailEnd type="non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3" name="Group 262">
            <a:extLst>
              <a:ext uri="{FF2B5EF4-FFF2-40B4-BE49-F238E27FC236}">
                <a16:creationId xmlns:a16="http://schemas.microsoft.com/office/drawing/2014/main" id="{2BA49038-C2B2-4039-9B35-5729E5F71870}"/>
              </a:ext>
            </a:extLst>
          </xdr:cNvPr>
          <xdr:cNvGrpSpPr/>
        </xdr:nvGrpSpPr>
        <xdr:grpSpPr>
          <a:xfrm rot="703814">
            <a:off x="2195534" y="1387283"/>
            <a:ext cx="393030" cy="553957"/>
            <a:chOff x="2342298" y="1441598"/>
            <a:chExt cx="393030" cy="548258"/>
          </a:xfrm>
        </xdr:grpSpPr>
        <xdr:cxnSp macro="">
          <xdr:nvCxnSpPr>
            <xdr:cNvPr id="264" name="Straight Connector 263">
              <a:extLst>
                <a:ext uri="{FF2B5EF4-FFF2-40B4-BE49-F238E27FC236}">
                  <a16:creationId xmlns:a16="http://schemas.microsoft.com/office/drawing/2014/main" id="{837B1442-3237-4960-AAED-BDC0E9B397C5}"/>
                </a:ext>
              </a:extLst>
            </xdr:cNvPr>
            <xdr:cNvCxnSpPr/>
          </xdr:nvCxnSpPr>
          <xdr:spPr>
            <a:xfrm>
              <a:off x="2342298" y="1441598"/>
              <a:ext cx="386622" cy="458529"/>
            </a:xfrm>
            <a:prstGeom prst="line">
              <a:avLst/>
            </a:prstGeom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5" name="Straight Connector 264">
              <a:extLst>
                <a:ext uri="{FF2B5EF4-FFF2-40B4-BE49-F238E27FC236}">
                  <a16:creationId xmlns:a16="http://schemas.microsoft.com/office/drawing/2014/main" id="{7181CC4F-E260-4FE6-A34F-0C25B663E08A}"/>
                </a:ext>
              </a:extLst>
            </xdr:cNvPr>
            <xdr:cNvCxnSpPr/>
          </xdr:nvCxnSpPr>
          <xdr:spPr>
            <a:xfrm flipH="1">
              <a:off x="2635647" y="1899037"/>
              <a:ext cx="99681" cy="90819"/>
            </a:xfrm>
            <a:prstGeom prst="line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6</xdr:col>
      <xdr:colOff>254000</xdr:colOff>
      <xdr:row>50</xdr:row>
      <xdr:rowOff>169333</xdr:rowOff>
    </xdr:from>
    <xdr:to>
      <xdr:col>6</xdr:col>
      <xdr:colOff>444500</xdr:colOff>
      <xdr:row>52</xdr:row>
      <xdr:rowOff>22794</xdr:rowOff>
    </xdr:to>
    <xdr:sp macro="" textlink="">
      <xdr:nvSpPr>
        <xdr:cNvPr id="269" name="TextBox 268">
          <a:extLst>
            <a:ext uri="{FF2B5EF4-FFF2-40B4-BE49-F238E27FC236}">
              <a16:creationId xmlns:a16="http://schemas.microsoft.com/office/drawing/2014/main" id="{4E89A99B-79DC-4FDD-9878-A70A8DC4F957}"/>
            </a:ext>
          </a:extLst>
        </xdr:cNvPr>
        <xdr:cNvSpPr txBox="1"/>
      </xdr:nvSpPr>
      <xdr:spPr>
        <a:xfrm>
          <a:off x="3937000" y="9694333"/>
          <a:ext cx="190500" cy="23446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/>
            <a:t>9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3179E-BF8D-4974-BB3B-CB8ED1F2B35B}">
  <dimension ref="A1:N14"/>
  <sheetViews>
    <sheetView workbookViewId="0">
      <selection activeCell="N4" sqref="N4"/>
    </sheetView>
  </sheetViews>
  <sheetFormatPr defaultRowHeight="15" x14ac:dyDescent="0.25"/>
  <cols>
    <col min="1" max="1" width="25.42578125" customWidth="1"/>
    <col min="2" max="2" width="26" customWidth="1"/>
  </cols>
  <sheetData>
    <row r="1" spans="1:14" ht="15.75" thickBot="1" x14ac:dyDescent="0.3">
      <c r="A1" s="10" t="s">
        <v>0</v>
      </c>
      <c r="B1" s="10" t="s">
        <v>1</v>
      </c>
      <c r="C1" s="12" t="s">
        <v>2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4"/>
    </row>
    <row r="2" spans="1:14" ht="15.75" thickBot="1" x14ac:dyDescent="0.3">
      <c r="A2" s="11"/>
      <c r="B2" s="11"/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 spans="1:14" ht="22.5" customHeight="1" thickBot="1" x14ac:dyDescent="0.3">
      <c r="A3" s="15" t="s">
        <v>15</v>
      </c>
      <c r="B3" s="2" t="s">
        <v>16</v>
      </c>
      <c r="C3" s="2">
        <v>394</v>
      </c>
      <c r="D3" s="2">
        <v>4391</v>
      </c>
      <c r="E3" s="2">
        <v>12766</v>
      </c>
      <c r="F3" s="2">
        <v>16960</v>
      </c>
      <c r="G3" s="2">
        <v>15400</v>
      </c>
      <c r="H3" s="2">
        <v>4927</v>
      </c>
      <c r="I3" s="2">
        <v>9134</v>
      </c>
      <c r="J3" s="2">
        <v>6322</v>
      </c>
      <c r="K3" s="2">
        <v>2428</v>
      </c>
      <c r="L3" s="2">
        <v>2636</v>
      </c>
      <c r="M3" s="2">
        <v>11142</v>
      </c>
      <c r="N3" s="2">
        <v>696</v>
      </c>
    </row>
    <row r="4" spans="1:14" ht="15.75" thickBot="1" x14ac:dyDescent="0.3">
      <c r="A4" s="16"/>
      <c r="B4" s="2" t="s">
        <v>17</v>
      </c>
      <c r="C4" s="4">
        <f>C3*$C$14</f>
        <v>584.69600000000003</v>
      </c>
      <c r="D4" s="4">
        <f>D3*$C$14</f>
        <v>6516.2439999999997</v>
      </c>
      <c r="E4" s="4">
        <f>E3*$C$14</f>
        <v>18944.743999999999</v>
      </c>
      <c r="F4" s="4">
        <f>F3*$C$14</f>
        <v>25168.639999999999</v>
      </c>
      <c r="G4" s="4">
        <f t="shared" ref="G4:N4" si="0">G3*$C$14</f>
        <v>22853.599999999999</v>
      </c>
      <c r="H4" s="4">
        <f t="shared" si="0"/>
        <v>7311.6679999999997</v>
      </c>
      <c r="I4" s="4">
        <f t="shared" si="0"/>
        <v>13554.856</v>
      </c>
      <c r="J4" s="4">
        <f t="shared" si="0"/>
        <v>9381.848</v>
      </c>
      <c r="K4" s="4">
        <f t="shared" si="0"/>
        <v>3603.152</v>
      </c>
      <c r="L4" s="4">
        <f t="shared" si="0"/>
        <v>3911.8240000000001</v>
      </c>
      <c r="M4" s="4">
        <f t="shared" si="0"/>
        <v>16534.727999999999</v>
      </c>
      <c r="N4" s="4">
        <f t="shared" si="0"/>
        <v>1032.864</v>
      </c>
    </row>
    <row r="5" spans="1:14" ht="35.25" customHeight="1" thickBot="1" x14ac:dyDescent="0.3">
      <c r="A5" s="17" t="s">
        <v>18</v>
      </c>
      <c r="B5" s="3" t="s">
        <v>16</v>
      </c>
      <c r="C5" s="3">
        <v>23323</v>
      </c>
      <c r="D5" s="5">
        <v>30717</v>
      </c>
      <c r="E5" s="5">
        <v>19238</v>
      </c>
      <c r="F5" s="3">
        <v>12745</v>
      </c>
      <c r="G5" s="5">
        <v>43505</v>
      </c>
      <c r="H5" s="5">
        <v>3200</v>
      </c>
      <c r="I5" s="3"/>
      <c r="J5" s="3"/>
      <c r="K5" s="3"/>
      <c r="L5" s="3"/>
      <c r="M5" s="3"/>
      <c r="N5" s="3"/>
    </row>
    <row r="6" spans="1:14" ht="15.75" thickBot="1" x14ac:dyDescent="0.3">
      <c r="A6" s="7"/>
      <c r="B6" s="3" t="s">
        <v>17</v>
      </c>
      <c r="C6" s="4">
        <f>C5*$C$14</f>
        <v>34611.332000000002</v>
      </c>
      <c r="D6" s="4">
        <f>D5*$C$14</f>
        <v>45584.027999999998</v>
      </c>
      <c r="E6" s="4">
        <f>E5*$C$14</f>
        <v>28549.191999999999</v>
      </c>
      <c r="F6" s="4">
        <f>F5*$C$14</f>
        <v>18913.579999999998</v>
      </c>
      <c r="G6" s="4">
        <f t="shared" ref="G6" si="1">G5*$C$14</f>
        <v>64561.42</v>
      </c>
      <c r="H6" s="4">
        <f t="shared" ref="H6" si="2">H5*$C$14</f>
        <v>4748.8</v>
      </c>
      <c r="I6" s="4">
        <f t="shared" ref="I6" si="3">I5*$C$14</f>
        <v>0</v>
      </c>
      <c r="J6" s="4">
        <f t="shared" ref="J6" si="4">J5*$C$14</f>
        <v>0</v>
      </c>
      <c r="K6" s="4">
        <f t="shared" ref="K6" si="5">K5*$C$14</f>
        <v>0</v>
      </c>
      <c r="L6" s="4">
        <f t="shared" ref="L6" si="6">L5*$C$14</f>
        <v>0</v>
      </c>
      <c r="M6" s="4">
        <f t="shared" ref="M6" si="7">M5*$C$14</f>
        <v>0</v>
      </c>
      <c r="N6" s="4">
        <f t="shared" ref="N6" si="8">N5*$C$14</f>
        <v>0</v>
      </c>
    </row>
    <row r="7" spans="1:14" ht="22.5" customHeight="1" thickBot="1" x14ac:dyDescent="0.3">
      <c r="A7" s="8" t="s">
        <v>19</v>
      </c>
      <c r="B7" s="2" t="s">
        <v>16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.75" thickBot="1" x14ac:dyDescent="0.3">
      <c r="A8" s="18"/>
      <c r="B8" s="2" t="s">
        <v>17</v>
      </c>
      <c r="C8" s="4">
        <f>C7*$C$14</f>
        <v>0</v>
      </c>
      <c r="D8" s="4">
        <f>D7*$C$14</f>
        <v>0</v>
      </c>
      <c r="E8" s="4">
        <f>E7*$C$14</f>
        <v>0</v>
      </c>
      <c r="F8" s="4">
        <f>F7*$C$14</f>
        <v>0</v>
      </c>
      <c r="G8" s="4">
        <f t="shared" ref="G8" si="9">G7*$C$14</f>
        <v>0</v>
      </c>
      <c r="H8" s="4">
        <f t="shared" ref="H8" si="10">H7*$C$14</f>
        <v>0</v>
      </c>
      <c r="I8" s="4">
        <f t="shared" ref="I8" si="11">I7*$C$14</f>
        <v>0</v>
      </c>
      <c r="J8" s="4">
        <f t="shared" ref="J8" si="12">J7*$C$14</f>
        <v>0</v>
      </c>
      <c r="K8" s="4">
        <f t="shared" ref="K8" si="13">K7*$C$14</f>
        <v>0</v>
      </c>
      <c r="L8" s="4">
        <f t="shared" ref="L8" si="14">L7*$C$14</f>
        <v>0</v>
      </c>
      <c r="M8" s="4">
        <f t="shared" ref="M8" si="15">M7*$C$14</f>
        <v>0</v>
      </c>
      <c r="N8" s="4">
        <f t="shared" ref="N8" si="16">N7*$C$14</f>
        <v>0</v>
      </c>
    </row>
    <row r="9" spans="1:14" ht="22.5" customHeight="1" thickBot="1" x14ac:dyDescent="0.3">
      <c r="A9" s="6" t="s">
        <v>20</v>
      </c>
      <c r="B9" s="3" t="s">
        <v>16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ht="15.75" thickBot="1" x14ac:dyDescent="0.3">
      <c r="A10" s="7"/>
      <c r="B10" s="3" t="s">
        <v>17</v>
      </c>
      <c r="C10" s="4">
        <f>C9*$C$14</f>
        <v>0</v>
      </c>
      <c r="D10" s="4">
        <f>D9*$C$14</f>
        <v>0</v>
      </c>
      <c r="E10" s="4">
        <f>E9*$C$14</f>
        <v>0</v>
      </c>
      <c r="F10" s="4">
        <f>F9*$C$14</f>
        <v>0</v>
      </c>
      <c r="G10" s="4">
        <f t="shared" ref="G10" si="17">G9*$C$14</f>
        <v>0</v>
      </c>
      <c r="H10" s="4">
        <f t="shared" ref="H10" si="18">H9*$C$14</f>
        <v>0</v>
      </c>
      <c r="I10" s="4">
        <f t="shared" ref="I10" si="19">I9*$C$14</f>
        <v>0</v>
      </c>
      <c r="J10" s="4">
        <f t="shared" ref="J10" si="20">J9*$C$14</f>
        <v>0</v>
      </c>
      <c r="K10" s="4">
        <f t="shared" ref="K10" si="21">K9*$C$14</f>
        <v>0</v>
      </c>
      <c r="L10" s="4">
        <f t="shared" ref="L10" si="22">L9*$C$14</f>
        <v>0</v>
      </c>
      <c r="M10" s="4">
        <f t="shared" ref="M10" si="23">M9*$C$14</f>
        <v>0</v>
      </c>
      <c r="N10" s="4">
        <f t="shared" ref="N10" si="24">N9*$C$14</f>
        <v>0</v>
      </c>
    </row>
    <row r="11" spans="1:14" ht="22.5" customHeight="1" thickBot="1" x14ac:dyDescent="0.3">
      <c r="A11" s="8" t="s">
        <v>21</v>
      </c>
      <c r="B11" s="2" t="s">
        <v>16</v>
      </c>
      <c r="C11" s="2">
        <v>1206</v>
      </c>
      <c r="D11" s="2">
        <v>2772</v>
      </c>
      <c r="E11" s="2"/>
      <c r="F11" s="2">
        <v>856</v>
      </c>
      <c r="G11" s="2">
        <v>11514</v>
      </c>
      <c r="H11" s="2">
        <v>11068</v>
      </c>
      <c r="I11" s="2">
        <v>5603</v>
      </c>
      <c r="J11" s="2">
        <v>2377</v>
      </c>
      <c r="K11" s="2">
        <v>1101</v>
      </c>
      <c r="L11" s="2">
        <v>644</v>
      </c>
      <c r="M11" s="2">
        <v>9970</v>
      </c>
      <c r="N11" s="2">
        <v>2714</v>
      </c>
    </row>
    <row r="12" spans="1:14" ht="15.75" thickBot="1" x14ac:dyDescent="0.3">
      <c r="A12" s="9"/>
      <c r="B12" s="2" t="s">
        <v>17</v>
      </c>
      <c r="C12" s="4">
        <f>C11*$C$14</f>
        <v>1789.704</v>
      </c>
      <c r="D12" s="4">
        <f>D11*$C$14</f>
        <v>4113.6480000000001</v>
      </c>
      <c r="E12" s="4">
        <f>E11*$C$14</f>
        <v>0</v>
      </c>
      <c r="F12" s="4">
        <f>F11*$C$14</f>
        <v>1270.3040000000001</v>
      </c>
      <c r="G12" s="4">
        <f t="shared" ref="G12" si="25">G11*$C$14</f>
        <v>17086.775999999998</v>
      </c>
      <c r="H12" s="4">
        <f t="shared" ref="H12" si="26">H11*$C$14</f>
        <v>16424.912</v>
      </c>
      <c r="I12" s="4">
        <f t="shared" ref="I12" si="27">I11*$C$14</f>
        <v>8314.8520000000008</v>
      </c>
      <c r="J12" s="4">
        <f t="shared" ref="J12" si="28">J11*$C$14</f>
        <v>3527.4679999999998</v>
      </c>
      <c r="K12" s="4">
        <f t="shared" ref="K12" si="29">K11*$C$14</f>
        <v>1633.884</v>
      </c>
      <c r="L12" s="4">
        <f t="shared" ref="L12" si="30">L11*$C$14</f>
        <v>955.69600000000003</v>
      </c>
      <c r="M12" s="4">
        <f t="shared" ref="M12" si="31">M11*$C$14</f>
        <v>14795.48</v>
      </c>
      <c r="N12" s="4">
        <f t="shared" ref="N12" si="32">N11*$C$14</f>
        <v>4027.576</v>
      </c>
    </row>
    <row r="14" spans="1:14" x14ac:dyDescent="0.25">
      <c r="B14" t="s">
        <v>22</v>
      </c>
      <c r="C14">
        <v>1.484</v>
      </c>
    </row>
  </sheetData>
  <mergeCells count="8">
    <mergeCell ref="A9:A10"/>
    <mergeCell ref="A11:A12"/>
    <mergeCell ref="A1:A2"/>
    <mergeCell ref="B1:B2"/>
    <mergeCell ref="C1:N1"/>
    <mergeCell ref="A3:A4"/>
    <mergeCell ref="A5:A6"/>
    <mergeCell ref="A7:A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AA5CF-7AC0-49D8-852F-7A564FF12E10}">
  <dimension ref="B3:H18"/>
  <sheetViews>
    <sheetView tabSelected="1" zoomScale="85" zoomScaleNormal="85" workbookViewId="0">
      <selection activeCell="F19" sqref="F19"/>
    </sheetView>
  </sheetViews>
  <sheetFormatPr defaultRowHeight="15" x14ac:dyDescent="0.25"/>
  <cols>
    <col min="2" max="2" width="6.28515625" customWidth="1"/>
    <col min="3" max="3" width="14.7109375" customWidth="1"/>
    <col min="4" max="5" width="12.7109375" customWidth="1"/>
    <col min="6" max="6" width="13.85546875" customWidth="1"/>
    <col min="7" max="7" width="14" customWidth="1"/>
    <col min="8" max="8" width="12.7109375" customWidth="1"/>
  </cols>
  <sheetData>
    <row r="3" spans="2:8" ht="18" customHeight="1" x14ac:dyDescent="0.25">
      <c r="B3" s="23"/>
      <c r="C3" s="23"/>
      <c r="D3" s="24" t="s">
        <v>23</v>
      </c>
      <c r="E3" s="25"/>
      <c r="F3" s="25"/>
      <c r="G3" s="25"/>
      <c r="H3" s="26"/>
    </row>
    <row r="4" spans="2:8" ht="18" customHeight="1" x14ac:dyDescent="0.25">
      <c r="B4" s="23"/>
      <c r="C4" s="23"/>
      <c r="D4" s="29" t="s">
        <v>28</v>
      </c>
      <c r="E4" s="29" t="s">
        <v>27</v>
      </c>
      <c r="F4" s="29" t="s">
        <v>26</v>
      </c>
      <c r="G4" s="29" t="s">
        <v>29</v>
      </c>
      <c r="H4" s="27" t="s">
        <v>24</v>
      </c>
    </row>
    <row r="5" spans="2:8" ht="18" customHeight="1" x14ac:dyDescent="0.25">
      <c r="B5" s="28" t="s">
        <v>25</v>
      </c>
      <c r="C5" s="29" t="s">
        <v>28</v>
      </c>
      <c r="D5" s="30" t="s">
        <v>30</v>
      </c>
      <c r="E5" s="30">
        <f>Sheet1!K4</f>
        <v>3603.152</v>
      </c>
      <c r="F5" s="30">
        <f>Sheet1!J4</f>
        <v>9381.848</v>
      </c>
      <c r="G5" s="30">
        <f>Sheet1!I4</f>
        <v>13554.856</v>
      </c>
      <c r="H5" s="31">
        <f>SUM(D5:G5)</f>
        <v>26539.856</v>
      </c>
    </row>
    <row r="6" spans="2:8" ht="18" customHeight="1" x14ac:dyDescent="0.25">
      <c r="B6" s="28"/>
      <c r="C6" s="29" t="s">
        <v>27</v>
      </c>
      <c r="D6" s="30">
        <f>Sheet1!L4</f>
        <v>3911.8240000000001</v>
      </c>
      <c r="E6" s="30" t="s">
        <v>30</v>
      </c>
      <c r="F6" s="30">
        <f>Sheet1!N4</f>
        <v>1032.864</v>
      </c>
      <c r="G6" s="30">
        <f>Sheet1!M4</f>
        <v>16534.727999999999</v>
      </c>
      <c r="H6" s="31">
        <f t="shared" ref="H6:H9" si="0">SUM(D6:G6)</f>
        <v>21479.415999999997</v>
      </c>
    </row>
    <row r="7" spans="2:8" ht="18" customHeight="1" x14ac:dyDescent="0.25">
      <c r="B7" s="28"/>
      <c r="C7" s="29" t="s">
        <v>26</v>
      </c>
      <c r="D7" s="30">
        <f>Sheet1!D4</f>
        <v>6516.2439999999997</v>
      </c>
      <c r="E7" s="30">
        <f>Sheet1!C4</f>
        <v>584.69600000000003</v>
      </c>
      <c r="F7" s="30" t="s">
        <v>30</v>
      </c>
      <c r="G7" s="30">
        <f>Sheet1!E4</f>
        <v>18944.743999999999</v>
      </c>
      <c r="H7" s="31">
        <f t="shared" si="0"/>
        <v>26045.683999999997</v>
      </c>
    </row>
    <row r="8" spans="2:8" ht="18" customHeight="1" x14ac:dyDescent="0.25">
      <c r="B8" s="28"/>
      <c r="C8" s="29" t="s">
        <v>29</v>
      </c>
      <c r="D8" s="30">
        <f>Sheet1!H4</f>
        <v>7311.6679999999997</v>
      </c>
      <c r="E8" s="30">
        <f>Sheet1!G4</f>
        <v>22853.599999999999</v>
      </c>
      <c r="F8" s="30">
        <f>Sheet1!F4</f>
        <v>25168.639999999999</v>
      </c>
      <c r="G8" s="30" t="s">
        <v>30</v>
      </c>
      <c r="H8" s="31">
        <f t="shared" si="0"/>
        <v>55333.907999999996</v>
      </c>
    </row>
    <row r="9" spans="2:8" ht="18" customHeight="1" x14ac:dyDescent="0.25">
      <c r="B9" s="28"/>
      <c r="C9" s="32" t="s">
        <v>24</v>
      </c>
      <c r="D9" s="31">
        <f>SUM(D5:D8)</f>
        <v>17739.735999999997</v>
      </c>
      <c r="E9" s="31">
        <f t="shared" ref="E9:G9" si="1">SUM(E5:E8)</f>
        <v>27041.447999999997</v>
      </c>
      <c r="F9" s="31">
        <f t="shared" si="1"/>
        <v>35583.351999999999</v>
      </c>
      <c r="G9" s="31">
        <f t="shared" si="1"/>
        <v>49034.327999999994</v>
      </c>
      <c r="H9" s="31">
        <f t="shared" si="0"/>
        <v>129398.86399999999</v>
      </c>
    </row>
    <row r="10" spans="2:8" ht="18" customHeight="1" x14ac:dyDescent="0.25"/>
    <row r="11" spans="2:8" ht="18" customHeight="1" x14ac:dyDescent="0.25">
      <c r="B11" s="23"/>
      <c r="C11" s="23"/>
      <c r="D11" s="24" t="s">
        <v>23</v>
      </c>
      <c r="E11" s="25"/>
      <c r="F11" s="25"/>
      <c r="G11" s="25"/>
      <c r="H11" s="26"/>
    </row>
    <row r="12" spans="2:8" ht="18" customHeight="1" x14ac:dyDescent="0.25">
      <c r="B12" s="23"/>
      <c r="C12" s="23"/>
      <c r="D12" s="29" t="s">
        <v>31</v>
      </c>
      <c r="E12" s="29" t="s">
        <v>32</v>
      </c>
      <c r="F12" s="29" t="s">
        <v>33</v>
      </c>
      <c r="G12" s="29" t="s">
        <v>34</v>
      </c>
      <c r="H12" s="27" t="s">
        <v>24</v>
      </c>
    </row>
    <row r="13" spans="2:8" ht="18" customHeight="1" x14ac:dyDescent="0.25">
      <c r="B13" s="28" t="s">
        <v>25</v>
      </c>
      <c r="C13" s="29" t="s">
        <v>31</v>
      </c>
      <c r="D13" s="30" t="s">
        <v>30</v>
      </c>
      <c r="E13" s="30">
        <f>Sheet1!C6</f>
        <v>34611.332000000002</v>
      </c>
      <c r="F13" s="30">
        <f>Sheet1!D6</f>
        <v>45584.027999999998</v>
      </c>
      <c r="G13" s="30" t="s">
        <v>30</v>
      </c>
      <c r="H13" s="31">
        <f>SUM(D13:G13)</f>
        <v>80195.360000000001</v>
      </c>
    </row>
    <row r="14" spans="2:8" ht="18" customHeight="1" x14ac:dyDescent="0.25">
      <c r="B14" s="28"/>
      <c r="C14" s="29" t="s">
        <v>32</v>
      </c>
      <c r="D14" s="30">
        <f>Sheet1!E6</f>
        <v>28549.191999999999</v>
      </c>
      <c r="E14" s="30" t="s">
        <v>30</v>
      </c>
      <c r="F14" s="30">
        <f>Sheet1!F6</f>
        <v>18913.579999999998</v>
      </c>
      <c r="G14" s="30" t="s">
        <v>30</v>
      </c>
      <c r="H14" s="31">
        <f t="shared" ref="H14:H17" si="2">SUM(D14:G14)</f>
        <v>47462.771999999997</v>
      </c>
    </row>
    <row r="15" spans="2:8" ht="18" customHeight="1" x14ac:dyDescent="0.25">
      <c r="B15" s="28"/>
      <c r="C15" s="29" t="s">
        <v>33</v>
      </c>
      <c r="D15" s="30" t="s">
        <v>30</v>
      </c>
      <c r="E15" s="30" t="s">
        <v>30</v>
      </c>
      <c r="F15" s="30" t="s">
        <v>30</v>
      </c>
      <c r="G15" s="30">
        <f>Sheet1!E12</f>
        <v>0</v>
      </c>
      <c r="H15" s="31">
        <f t="shared" si="2"/>
        <v>0</v>
      </c>
    </row>
    <row r="16" spans="2:8" ht="18" customHeight="1" x14ac:dyDescent="0.25">
      <c r="B16" s="28"/>
      <c r="C16" s="29" t="s">
        <v>34</v>
      </c>
      <c r="D16" s="30">
        <f>Sheet1!G6</f>
        <v>64561.42</v>
      </c>
      <c r="E16" s="30">
        <f>Sheet1!H6</f>
        <v>4748.8</v>
      </c>
      <c r="F16" s="30" t="s">
        <v>30</v>
      </c>
      <c r="G16" s="30" t="s">
        <v>30</v>
      </c>
      <c r="H16" s="31">
        <f t="shared" si="2"/>
        <v>69310.22</v>
      </c>
    </row>
    <row r="17" spans="2:8" ht="18" customHeight="1" x14ac:dyDescent="0.25">
      <c r="B17" s="28"/>
      <c r="C17" s="32" t="s">
        <v>24</v>
      </c>
      <c r="D17" s="31">
        <f>SUM(D13:D16)</f>
        <v>93110.611999999994</v>
      </c>
      <c r="E17" s="31">
        <f t="shared" ref="E17" si="3">SUM(E13:E16)</f>
        <v>39360.132000000005</v>
      </c>
      <c r="F17" s="31">
        <f t="shared" ref="F17" si="4">SUM(F13:F16)</f>
        <v>64497.607999999993</v>
      </c>
      <c r="G17" s="31">
        <f t="shared" ref="G17" si="5">SUM(G13:G16)</f>
        <v>0</v>
      </c>
      <c r="H17" s="31">
        <f t="shared" si="2"/>
        <v>196968.35200000001</v>
      </c>
    </row>
    <row r="18" spans="2:8" ht="18" customHeight="1" x14ac:dyDescent="0.25"/>
  </sheetData>
  <mergeCells count="4">
    <mergeCell ref="D3:H3"/>
    <mergeCell ref="B5:B9"/>
    <mergeCell ref="D11:H11"/>
    <mergeCell ref="B13:B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3C12-27FB-46FC-97FD-29F24944EB32}">
  <dimension ref="A1:F93"/>
  <sheetViews>
    <sheetView view="pageBreakPreview" topLeftCell="A22" zoomScale="90" zoomScaleNormal="100" zoomScaleSheetLayoutView="90" workbookViewId="0">
      <selection activeCell="G13" sqref="G13"/>
    </sheetView>
  </sheetViews>
  <sheetFormatPr defaultRowHeight="15" x14ac:dyDescent="0.25"/>
  <cols>
    <col min="7" max="7" width="12.5703125" customWidth="1"/>
  </cols>
  <sheetData>
    <row r="1" spans="1:6" ht="15" customHeight="1" x14ac:dyDescent="0.25">
      <c r="A1" s="22" t="s">
        <v>15</v>
      </c>
      <c r="B1" s="22"/>
      <c r="C1" s="22"/>
      <c r="D1" s="22"/>
      <c r="E1" s="22"/>
      <c r="F1" s="22"/>
    </row>
    <row r="23" spans="1:6" ht="15" customHeight="1" x14ac:dyDescent="0.25">
      <c r="A23" s="20" t="s">
        <v>18</v>
      </c>
      <c r="B23" s="20"/>
      <c r="C23" s="20"/>
      <c r="D23" s="20"/>
      <c r="E23" s="20"/>
      <c r="F23" s="20"/>
    </row>
    <row r="45" spans="1:6" x14ac:dyDescent="0.25">
      <c r="A45" s="21" t="s">
        <v>21</v>
      </c>
      <c r="B45" s="21"/>
      <c r="C45" s="21"/>
      <c r="D45" s="21"/>
      <c r="E45" s="21"/>
      <c r="F45" s="21"/>
    </row>
    <row r="93" spans="1:6" x14ac:dyDescent="0.25">
      <c r="A93" s="19"/>
      <c r="B93" s="19"/>
      <c r="C93" s="19"/>
      <c r="D93" s="19"/>
      <c r="E93" s="19"/>
      <c r="F93" s="19"/>
    </row>
  </sheetData>
  <mergeCells count="4">
    <mergeCell ref="A93:F93"/>
    <mergeCell ref="A23:F23"/>
    <mergeCell ref="A45:F45"/>
    <mergeCell ref="A1:F1"/>
  </mergeCells>
  <pageMargins left="0.7" right="0.7" top="0.75" bottom="0.75" header="0.3" footer="0.3"/>
  <pageSetup paperSize="9" scale="5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Summary</vt:lpstr>
      <vt:lpstr>Junction Layouts</vt:lpstr>
      <vt:lpstr>'Junction Layouts'!Print_Area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MR.O</dc:creator>
  <cp:lastModifiedBy>USER</cp:lastModifiedBy>
  <dcterms:created xsi:type="dcterms:W3CDTF">2020-03-17T05:11:33Z</dcterms:created>
  <dcterms:modified xsi:type="dcterms:W3CDTF">2020-04-14T11:16:23Z</dcterms:modified>
</cp:coreProperties>
</file>